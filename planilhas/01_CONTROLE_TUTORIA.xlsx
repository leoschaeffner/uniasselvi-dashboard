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asselvi01.sharepoint.com/sites/gestaoped.polos/Shared Documents/02. Tutoria de Práticas/1. Quadro de Lotação/"/>
    </mc:Choice>
  </mc:AlternateContent>
  <xr:revisionPtr revIDLastSave="10028" documentId="6_{DCCFD55D-F8C8-4CE8-B6C2-A78B0ACF0AE5}" xr6:coauthVersionLast="47" xr6:coauthVersionMax="47" xr10:uidLastSave="{4BE09686-1F06-4A84-8E8B-DA4EED1C8FA8}"/>
  <bookViews>
    <workbookView xWindow="28680" yWindow="2130" windowWidth="20730" windowHeight="11040" tabRatio="744" activeTab="3" xr2:uid="{5A99D780-3C53-4F3F-A605-7ED5C4E17048}"/>
  </bookViews>
  <sheets>
    <sheet name="Base de Tutores" sheetId="1" r:id="rId1"/>
    <sheet name="Demissional" sheetId="18" r:id="rId2"/>
    <sheet name="Transferência" sheetId="21" r:id="rId3"/>
    <sheet name="TUT.CONTROL" sheetId="15" r:id="rId4"/>
    <sheet name="REG.CONTROL" sheetId="16" r:id="rId5"/>
    <sheet name="CHAVE" sheetId="20" state="hidden" r:id="rId6"/>
    <sheet name="REGENTE CH" sheetId="22" state="hidden" r:id="rId7"/>
  </sheets>
  <definedNames>
    <definedName name="_xlnm._FilterDatabase" localSheetId="0" hidden="1">'Base de Tutores'!$E$2:$S$2</definedName>
    <definedName name="_xlnm._FilterDatabase" localSheetId="4" hidden="1">'REG.CONTROL'!$A$1:$AC$1173</definedName>
    <definedName name="_xlnm._FilterDatabase" localSheetId="3" hidden="1">TUT.CONTROL!$A$1:$AD$401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5" i="18" l="1"/>
  <c r="D155" i="18"/>
  <c r="A14" i="20"/>
  <c r="A153" i="18" l="1"/>
  <c r="A154" i="18"/>
  <c r="D153" i="18"/>
  <c r="D154" i="18"/>
  <c r="A152" i="18"/>
  <c r="D152" i="18"/>
  <c r="A148" i="18"/>
  <c r="A149" i="18"/>
  <c r="A150" i="18"/>
  <c r="A151" i="18"/>
  <c r="D148" i="18"/>
  <c r="D149" i="18"/>
  <c r="D150" i="18"/>
  <c r="D151" i="18"/>
  <c r="A147" i="18"/>
  <c r="D147" i="18"/>
  <c r="O456" i="1"/>
  <c r="J456" i="1"/>
  <c r="B456" i="1"/>
  <c r="C456" i="1"/>
  <c r="L456" i="1"/>
  <c r="I456" i="1" s="1"/>
  <c r="P456" i="1" s="1"/>
  <c r="A456" i="1" l="1"/>
  <c r="D456" i="1"/>
  <c r="N456" i="1"/>
  <c r="O452" i="1" l="1"/>
  <c r="O453" i="1"/>
  <c r="O454" i="1"/>
  <c r="O455" i="1"/>
  <c r="J452" i="1"/>
  <c r="J453" i="1"/>
  <c r="J454" i="1"/>
  <c r="J455" i="1"/>
  <c r="B452" i="1"/>
  <c r="B453" i="1"/>
  <c r="B454" i="1"/>
  <c r="B455" i="1"/>
  <c r="C452" i="1"/>
  <c r="C453" i="1"/>
  <c r="C454" i="1"/>
  <c r="C455" i="1"/>
  <c r="L452" i="1"/>
  <c r="I452" i="1" s="1"/>
  <c r="P452" i="1" s="1"/>
  <c r="L453" i="1"/>
  <c r="I453" i="1" s="1"/>
  <c r="P453" i="1" s="1"/>
  <c r="L454" i="1"/>
  <c r="N454" i="1" s="1"/>
  <c r="L455" i="1"/>
  <c r="I455" i="1" s="1"/>
  <c r="P455" i="1" s="1"/>
  <c r="D455" i="1" l="1"/>
  <c r="A455" i="1"/>
  <c r="A452" i="1"/>
  <c r="D452" i="1"/>
  <c r="D453" i="1"/>
  <c r="A453" i="1"/>
  <c r="N455" i="1"/>
  <c r="I454" i="1"/>
  <c r="P454" i="1" s="1"/>
  <c r="N453" i="1"/>
  <c r="N452" i="1"/>
  <c r="A454" i="1" l="1"/>
  <c r="D454" i="1"/>
  <c r="D46" i="18" l="1"/>
  <c r="D145" i="18"/>
  <c r="A98" i="18"/>
  <c r="D98" i="18"/>
  <c r="A79" i="18"/>
  <c r="D79" i="18"/>
  <c r="A142" i="18"/>
  <c r="D142" i="18"/>
  <c r="A143" i="18"/>
  <c r="D143" i="18"/>
  <c r="A82" i="18"/>
  <c r="D82" i="18"/>
  <c r="A14" i="18"/>
  <c r="D14" i="18"/>
  <c r="A11" i="18"/>
  <c r="D11" i="18"/>
  <c r="A10" i="18"/>
  <c r="D10" i="18"/>
  <c r="A17" i="18"/>
  <c r="D17" i="18"/>
  <c r="A7" i="18"/>
  <c r="D7" i="18"/>
  <c r="A15" i="18"/>
  <c r="D15" i="18"/>
  <c r="A13" i="18"/>
  <c r="D13" i="18"/>
  <c r="A2" i="18"/>
  <c r="D2" i="18"/>
  <c r="A3" i="18"/>
  <c r="D3" i="18"/>
  <c r="H21" i="1"/>
  <c r="O20" i="1"/>
  <c r="O85" i="1"/>
  <c r="O29" i="1"/>
  <c r="O31" i="1"/>
  <c r="O77" i="1"/>
  <c r="O449" i="1"/>
  <c r="O450" i="1"/>
  <c r="O380" i="1"/>
  <c r="O139" i="1"/>
  <c r="L20" i="1"/>
  <c r="N20" i="1" s="1"/>
  <c r="L85" i="1"/>
  <c r="N85" i="1" s="1"/>
  <c r="L29" i="1"/>
  <c r="I29" i="1" s="1"/>
  <c r="P29" i="1" s="1"/>
  <c r="L31" i="1"/>
  <c r="I31" i="1" s="1"/>
  <c r="P31" i="1" s="1"/>
  <c r="L77" i="1"/>
  <c r="N77" i="1" s="1"/>
  <c r="L449" i="1"/>
  <c r="N449" i="1" s="1"/>
  <c r="L450" i="1"/>
  <c r="N450" i="1" s="1"/>
  <c r="L380" i="1"/>
  <c r="I380" i="1" s="1"/>
  <c r="P380" i="1" s="1"/>
  <c r="J139" i="1"/>
  <c r="J380" i="1"/>
  <c r="J20" i="1"/>
  <c r="J85" i="1"/>
  <c r="J29" i="1"/>
  <c r="J31" i="1"/>
  <c r="J77" i="1"/>
  <c r="J449" i="1"/>
  <c r="J450" i="1"/>
  <c r="B380" i="1"/>
  <c r="B20" i="1"/>
  <c r="B85" i="1"/>
  <c r="B29" i="1"/>
  <c r="B31" i="1"/>
  <c r="B77" i="1"/>
  <c r="B449" i="1"/>
  <c r="B450" i="1"/>
  <c r="C380" i="1"/>
  <c r="C20" i="1"/>
  <c r="C85" i="1"/>
  <c r="C29" i="1"/>
  <c r="C31" i="1"/>
  <c r="C77" i="1"/>
  <c r="C449" i="1"/>
  <c r="C450" i="1"/>
  <c r="N29" i="1" l="1"/>
  <c r="I85" i="1"/>
  <c r="P85" i="1" s="1"/>
  <c r="N380" i="1"/>
  <c r="N31" i="1"/>
  <c r="A380" i="1"/>
  <c r="D380" i="1"/>
  <c r="A31" i="1"/>
  <c r="D31" i="1"/>
  <c r="A29" i="1"/>
  <c r="D29" i="1"/>
  <c r="I449" i="1"/>
  <c r="P449" i="1" s="1"/>
  <c r="I77" i="1"/>
  <c r="P77" i="1" s="1"/>
  <c r="I450" i="1"/>
  <c r="P450" i="1" s="1"/>
  <c r="I20" i="1"/>
  <c r="P20" i="1" s="1"/>
  <c r="A85" i="1" l="1"/>
  <c r="D85" i="1"/>
  <c r="A449" i="1"/>
  <c r="D449" i="1"/>
  <c r="A77" i="1"/>
  <c r="D77" i="1"/>
  <c r="A20" i="1"/>
  <c r="D20" i="1"/>
  <c r="A450" i="1"/>
  <c r="D450" i="1"/>
  <c r="L139" i="1" l="1"/>
  <c r="I139" i="1" s="1"/>
  <c r="P139" i="1" s="1"/>
  <c r="B139" i="1"/>
  <c r="C139" i="1"/>
  <c r="L65" i="1"/>
  <c r="N65" i="1" s="1"/>
  <c r="O292" i="1"/>
  <c r="O345" i="1"/>
  <c r="O41" i="1"/>
  <c r="O42" i="1"/>
  <c r="O39" i="1"/>
  <c r="O108" i="1"/>
  <c r="O132" i="1"/>
  <c r="O106" i="1"/>
  <c r="O198" i="1"/>
  <c r="O33" i="1"/>
  <c r="O122" i="1"/>
  <c r="O201" i="1"/>
  <c r="O189" i="1"/>
  <c r="O36" i="1"/>
  <c r="O213" i="1"/>
  <c r="O140" i="1"/>
  <c r="O176" i="1"/>
  <c r="O448" i="1"/>
  <c r="O289" i="1"/>
  <c r="O135" i="1"/>
  <c r="O88" i="1"/>
  <c r="O4" i="1"/>
  <c r="O136" i="1"/>
  <c r="O402" i="1"/>
  <c r="O90" i="1"/>
  <c r="O40" i="1"/>
  <c r="O43" i="1"/>
  <c r="O365" i="1"/>
  <c r="O100" i="1"/>
  <c r="O180" i="1"/>
  <c r="O80" i="1"/>
  <c r="O373" i="1"/>
  <c r="O200" i="1"/>
  <c r="O217" i="1"/>
  <c r="O147" i="1"/>
  <c r="O97" i="1"/>
  <c r="O25" i="1"/>
  <c r="O56" i="1"/>
  <c r="O38" i="1"/>
  <c r="O10" i="1"/>
  <c r="O206" i="1"/>
  <c r="O193" i="1"/>
  <c r="O63" i="1"/>
  <c r="O73" i="1"/>
  <c r="O451" i="1"/>
  <c r="O34" i="1"/>
  <c r="O98" i="1"/>
  <c r="O6" i="1"/>
  <c r="O8" i="1"/>
  <c r="O65" i="1"/>
  <c r="O21" i="1"/>
  <c r="A144" i="18"/>
  <c r="A146" i="18"/>
  <c r="D144" i="18"/>
  <c r="D146" i="18"/>
  <c r="A139" i="1" l="1"/>
  <c r="D139" i="1"/>
  <c r="N139" i="1"/>
  <c r="I65" i="1"/>
  <c r="A2" i="20"/>
  <c r="A49" i="18"/>
  <c r="A51" i="18"/>
  <c r="A55" i="18"/>
  <c r="A60" i="18"/>
  <c r="A64" i="18"/>
  <c r="A70" i="18"/>
  <c r="A72" i="18"/>
  <c r="A74" i="18"/>
  <c r="A77" i="18"/>
  <c r="A81" i="18"/>
  <c r="A87" i="18"/>
  <c r="A90" i="18"/>
  <c r="A91" i="18"/>
  <c r="A92" i="18"/>
  <c r="A93" i="18"/>
  <c r="A94" i="18"/>
  <c r="A95" i="18"/>
  <c r="A96" i="18"/>
  <c r="A97" i="18"/>
  <c r="A99" i="18"/>
  <c r="A100" i="18"/>
  <c r="A101" i="18"/>
  <c r="A102" i="18"/>
  <c r="A103" i="18"/>
  <c r="A104" i="18"/>
  <c r="A105" i="18"/>
  <c r="A106" i="18"/>
  <c r="A112" i="18"/>
  <c r="A118" i="18"/>
  <c r="A119" i="18"/>
  <c r="A121" i="18"/>
  <c r="D49" i="18"/>
  <c r="D51" i="18"/>
  <c r="D55" i="18"/>
  <c r="D60" i="18"/>
  <c r="D64" i="18"/>
  <c r="D70" i="18"/>
  <c r="D72" i="18"/>
  <c r="D74" i="18"/>
  <c r="D77" i="18"/>
  <c r="D81" i="18"/>
  <c r="D87" i="18"/>
  <c r="D90" i="18"/>
  <c r="D91" i="18"/>
  <c r="D92" i="18"/>
  <c r="D93" i="18"/>
  <c r="D94" i="18"/>
  <c r="D95" i="18"/>
  <c r="D96" i="18"/>
  <c r="D97" i="18"/>
  <c r="D99" i="18"/>
  <c r="D100" i="18"/>
  <c r="D101" i="18"/>
  <c r="D102" i="18"/>
  <c r="D103" i="18"/>
  <c r="D104" i="18"/>
  <c r="D105" i="18"/>
  <c r="D106" i="18"/>
  <c r="D112" i="18"/>
  <c r="D118" i="18"/>
  <c r="D119" i="18"/>
  <c r="D121" i="18"/>
  <c r="P121" i="18"/>
  <c r="P119" i="18"/>
  <c r="P118" i="18"/>
  <c r="P112" i="18"/>
  <c r="P106" i="18"/>
  <c r="P105" i="18"/>
  <c r="P104" i="18"/>
  <c r="P103" i="18"/>
  <c r="P102" i="18"/>
  <c r="P101" i="18"/>
  <c r="P100" i="18"/>
  <c r="P99" i="18"/>
  <c r="P97" i="18"/>
  <c r="P96" i="18"/>
  <c r="P95" i="18"/>
  <c r="P94" i="18"/>
  <c r="P93" i="18"/>
  <c r="P92" i="18"/>
  <c r="P91" i="18"/>
  <c r="P90" i="18"/>
  <c r="P87" i="18"/>
  <c r="P74" i="18"/>
  <c r="P72" i="18"/>
  <c r="P70" i="18"/>
  <c r="P64" i="18"/>
  <c r="P60" i="18"/>
  <c r="P55" i="18"/>
  <c r="P51" i="18"/>
  <c r="P49" i="18"/>
  <c r="P46" i="18"/>
  <c r="P145" i="18"/>
  <c r="B367" i="1"/>
  <c r="B344" i="1"/>
  <c r="B237" i="1"/>
  <c r="B313" i="1"/>
  <c r="B338" i="1"/>
  <c r="B290" i="1"/>
  <c r="B403" i="1"/>
  <c r="B401" i="1"/>
  <c r="B400" i="1"/>
  <c r="B274" i="1"/>
  <c r="B311" i="1"/>
  <c r="B368" i="1"/>
  <c r="B283" i="1"/>
  <c r="B382" i="1"/>
  <c r="B330" i="1"/>
  <c r="B326" i="1"/>
  <c r="B253" i="1"/>
  <c r="B234" i="1"/>
  <c r="B356" i="1"/>
  <c r="B230" i="1"/>
  <c r="B383" i="1"/>
  <c r="B329" i="1"/>
  <c r="B249" i="1"/>
  <c r="B259" i="1"/>
  <c r="B287" i="1"/>
  <c r="B278" i="1"/>
  <c r="B310" i="1"/>
  <c r="B304" i="1"/>
  <c r="B312" i="1"/>
  <c r="B315" i="1"/>
  <c r="B317" i="1"/>
  <c r="B261" i="1"/>
  <c r="B396" i="1"/>
  <c r="B321" i="1"/>
  <c r="B337" i="1"/>
  <c r="B371" i="1"/>
  <c r="B282" i="1"/>
  <c r="B353" i="1"/>
  <c r="B294" i="1"/>
  <c r="B361" i="1"/>
  <c r="B299" i="1"/>
  <c r="B363" i="1"/>
  <c r="B366" i="1"/>
  <c r="B285" i="1"/>
  <c r="B378" i="1"/>
  <c r="B389" i="1"/>
  <c r="B370" i="1"/>
  <c r="B331" i="1"/>
  <c r="B394" i="1"/>
  <c r="B357" i="1"/>
  <c r="B409" i="1"/>
  <c r="B404" i="1"/>
  <c r="B414" i="1"/>
  <c r="B381" i="1"/>
  <c r="B422" i="1"/>
  <c r="B372" i="1"/>
  <c r="B426" i="1"/>
  <c r="B427" i="1"/>
  <c r="B428" i="1"/>
  <c r="B429" i="1"/>
  <c r="B430" i="1"/>
  <c r="B431" i="1"/>
  <c r="B432" i="1"/>
  <c r="B435" i="1"/>
  <c r="B438" i="1"/>
  <c r="B439" i="1"/>
  <c r="B442" i="1"/>
  <c r="C367" i="1"/>
  <c r="C344" i="1"/>
  <c r="C237" i="1"/>
  <c r="C313" i="1"/>
  <c r="C338" i="1"/>
  <c r="C290" i="1"/>
  <c r="C403" i="1"/>
  <c r="C401" i="1"/>
  <c r="C400" i="1"/>
  <c r="C274" i="1"/>
  <c r="C311" i="1"/>
  <c r="C368" i="1"/>
  <c r="C283" i="1"/>
  <c r="C382" i="1"/>
  <c r="C330" i="1"/>
  <c r="C326" i="1"/>
  <c r="C253" i="1"/>
  <c r="C234" i="1"/>
  <c r="C356" i="1"/>
  <c r="C230" i="1"/>
  <c r="C383" i="1"/>
  <c r="C329" i="1"/>
  <c r="C249" i="1"/>
  <c r="C259" i="1"/>
  <c r="C287" i="1"/>
  <c r="C278" i="1"/>
  <c r="C310" i="1"/>
  <c r="C304" i="1"/>
  <c r="C312" i="1"/>
  <c r="C315" i="1"/>
  <c r="C317" i="1"/>
  <c r="C261" i="1"/>
  <c r="C396" i="1"/>
  <c r="C321" i="1"/>
  <c r="C337" i="1"/>
  <c r="C371" i="1"/>
  <c r="C282" i="1"/>
  <c r="C353" i="1"/>
  <c r="C294" i="1"/>
  <c r="C361" i="1"/>
  <c r="C299" i="1"/>
  <c r="C363" i="1"/>
  <c r="C366" i="1"/>
  <c r="C285" i="1"/>
  <c r="C378" i="1"/>
  <c r="C389" i="1"/>
  <c r="C370" i="1"/>
  <c r="C331" i="1"/>
  <c r="C394" i="1"/>
  <c r="C357" i="1"/>
  <c r="C409" i="1"/>
  <c r="C404" i="1"/>
  <c r="C414" i="1"/>
  <c r="C381" i="1"/>
  <c r="C422" i="1"/>
  <c r="C372" i="1"/>
  <c r="C426" i="1"/>
  <c r="C427" i="1"/>
  <c r="C428" i="1"/>
  <c r="C429" i="1"/>
  <c r="C430" i="1"/>
  <c r="C431" i="1"/>
  <c r="C432" i="1"/>
  <c r="C435" i="1"/>
  <c r="C438" i="1"/>
  <c r="C439" i="1"/>
  <c r="C442" i="1"/>
  <c r="O442" i="1"/>
  <c r="L442" i="1"/>
  <c r="J442" i="1"/>
  <c r="O439" i="1"/>
  <c r="L439" i="1"/>
  <c r="J439" i="1"/>
  <c r="O438" i="1"/>
  <c r="L438" i="1"/>
  <c r="J438" i="1"/>
  <c r="H435" i="1"/>
  <c r="O432" i="1"/>
  <c r="L432" i="1"/>
  <c r="J432" i="1"/>
  <c r="O431" i="1"/>
  <c r="L431" i="1"/>
  <c r="J431" i="1"/>
  <c r="O430" i="1"/>
  <c r="L430" i="1"/>
  <c r="J430" i="1"/>
  <c r="O429" i="1"/>
  <c r="L429" i="1"/>
  <c r="J429" i="1"/>
  <c r="O428" i="1"/>
  <c r="L428" i="1"/>
  <c r="J428" i="1"/>
  <c r="O427" i="1"/>
  <c r="L427" i="1"/>
  <c r="J427" i="1"/>
  <c r="O426" i="1"/>
  <c r="L426" i="1"/>
  <c r="J426" i="1"/>
  <c r="O372" i="1"/>
  <c r="L372" i="1"/>
  <c r="J372" i="1"/>
  <c r="O422" i="1"/>
  <c r="L422" i="1"/>
  <c r="J422" i="1"/>
  <c r="O381" i="1"/>
  <c r="L381" i="1"/>
  <c r="J381" i="1"/>
  <c r="O414" i="1"/>
  <c r="L414" i="1"/>
  <c r="J414" i="1"/>
  <c r="O404" i="1"/>
  <c r="L404" i="1"/>
  <c r="J404" i="1"/>
  <c r="O409" i="1"/>
  <c r="L409" i="1"/>
  <c r="J409" i="1"/>
  <c r="O357" i="1"/>
  <c r="L357" i="1"/>
  <c r="J357" i="1"/>
  <c r="O394" i="1"/>
  <c r="L394" i="1"/>
  <c r="J394" i="1"/>
  <c r="O331" i="1"/>
  <c r="L331" i="1"/>
  <c r="J331" i="1"/>
  <c r="O370" i="1"/>
  <c r="L370" i="1"/>
  <c r="J370" i="1"/>
  <c r="O389" i="1"/>
  <c r="L389" i="1"/>
  <c r="J389" i="1"/>
  <c r="O378" i="1"/>
  <c r="L378" i="1"/>
  <c r="J378" i="1"/>
  <c r="O285" i="1"/>
  <c r="L285" i="1"/>
  <c r="J285" i="1"/>
  <c r="O366" i="1"/>
  <c r="L366" i="1"/>
  <c r="J366" i="1"/>
  <c r="O363" i="1"/>
  <c r="L363" i="1"/>
  <c r="J363" i="1"/>
  <c r="O299" i="1"/>
  <c r="L299" i="1"/>
  <c r="J299" i="1"/>
  <c r="O361" i="1"/>
  <c r="L361" i="1"/>
  <c r="J361" i="1"/>
  <c r="O294" i="1"/>
  <c r="L294" i="1"/>
  <c r="J294" i="1"/>
  <c r="O353" i="1"/>
  <c r="L353" i="1"/>
  <c r="J353" i="1"/>
  <c r="O282" i="1"/>
  <c r="L282" i="1"/>
  <c r="J282" i="1"/>
  <c r="O371" i="1"/>
  <c r="L371" i="1"/>
  <c r="J371" i="1"/>
  <c r="O337" i="1"/>
  <c r="L337" i="1"/>
  <c r="J337" i="1"/>
  <c r="O321" i="1"/>
  <c r="L321" i="1"/>
  <c r="J321" i="1"/>
  <c r="O396" i="1"/>
  <c r="L396" i="1"/>
  <c r="J396" i="1"/>
  <c r="O261" i="1"/>
  <c r="L261" i="1"/>
  <c r="J261" i="1"/>
  <c r="O317" i="1"/>
  <c r="L317" i="1"/>
  <c r="J317" i="1"/>
  <c r="O315" i="1"/>
  <c r="L315" i="1"/>
  <c r="J315" i="1"/>
  <c r="O312" i="1"/>
  <c r="L312" i="1"/>
  <c r="J312" i="1"/>
  <c r="O304" i="1"/>
  <c r="L304" i="1"/>
  <c r="J304" i="1"/>
  <c r="O310" i="1"/>
  <c r="L310" i="1"/>
  <c r="J310" i="1"/>
  <c r="O278" i="1"/>
  <c r="L278" i="1"/>
  <c r="J278" i="1"/>
  <c r="O287" i="1"/>
  <c r="L287" i="1"/>
  <c r="J287" i="1"/>
  <c r="O259" i="1"/>
  <c r="L259" i="1"/>
  <c r="J259" i="1"/>
  <c r="O249" i="1"/>
  <c r="L249" i="1"/>
  <c r="J249" i="1"/>
  <c r="O329" i="1"/>
  <c r="L329" i="1"/>
  <c r="J329" i="1"/>
  <c r="O383" i="1"/>
  <c r="L383" i="1"/>
  <c r="J383" i="1"/>
  <c r="O230" i="1"/>
  <c r="L230" i="1"/>
  <c r="J230" i="1"/>
  <c r="O356" i="1"/>
  <c r="L356" i="1"/>
  <c r="J356" i="1"/>
  <c r="O234" i="1"/>
  <c r="L234" i="1"/>
  <c r="J234" i="1"/>
  <c r="O253" i="1"/>
  <c r="L253" i="1"/>
  <c r="J253" i="1"/>
  <c r="O326" i="1"/>
  <c r="L326" i="1"/>
  <c r="J326" i="1"/>
  <c r="O330" i="1"/>
  <c r="L330" i="1"/>
  <c r="J330" i="1"/>
  <c r="O382" i="1"/>
  <c r="L382" i="1"/>
  <c r="J382" i="1"/>
  <c r="O283" i="1"/>
  <c r="L283" i="1"/>
  <c r="J283" i="1"/>
  <c r="O368" i="1"/>
  <c r="L368" i="1"/>
  <c r="J368" i="1"/>
  <c r="O311" i="1"/>
  <c r="L311" i="1"/>
  <c r="J311" i="1"/>
  <c r="O274" i="1"/>
  <c r="L274" i="1"/>
  <c r="J274" i="1"/>
  <c r="O400" i="1"/>
  <c r="L400" i="1"/>
  <c r="J400" i="1"/>
  <c r="O401" i="1"/>
  <c r="L401" i="1"/>
  <c r="J401" i="1"/>
  <c r="O403" i="1"/>
  <c r="L403" i="1"/>
  <c r="J403" i="1"/>
  <c r="O290" i="1"/>
  <c r="L290" i="1"/>
  <c r="J290" i="1"/>
  <c r="O338" i="1"/>
  <c r="L338" i="1"/>
  <c r="J338" i="1"/>
  <c r="O313" i="1"/>
  <c r="L313" i="1"/>
  <c r="J313" i="1"/>
  <c r="O237" i="1"/>
  <c r="L237" i="1"/>
  <c r="J237" i="1"/>
  <c r="O344" i="1"/>
  <c r="L344" i="1"/>
  <c r="J344" i="1"/>
  <c r="O367" i="1"/>
  <c r="L367" i="1"/>
  <c r="J367" i="1"/>
  <c r="O328" i="1"/>
  <c r="L328" i="1"/>
  <c r="J328" i="1"/>
  <c r="O263" i="1"/>
  <c r="L263" i="1"/>
  <c r="J263" i="1"/>
  <c r="B328" i="1"/>
  <c r="C328" i="1"/>
  <c r="B263" i="1"/>
  <c r="C263" i="1"/>
  <c r="I383" i="1" l="1"/>
  <c r="P383" i="1" s="1"/>
  <c r="N383" i="1"/>
  <c r="N422" i="1"/>
  <c r="I422" i="1"/>
  <c r="A422" i="1" s="1"/>
  <c r="I427" i="1"/>
  <c r="A427" i="1" s="1"/>
  <c r="N427" i="1"/>
  <c r="N430" i="1"/>
  <c r="I430" i="1"/>
  <c r="P430" i="1" s="1"/>
  <c r="N330" i="1"/>
  <c r="I330" i="1"/>
  <c r="A330" i="1" s="1"/>
  <c r="N234" i="1"/>
  <c r="I234" i="1"/>
  <c r="A234" i="1" s="1"/>
  <c r="N389" i="1"/>
  <c r="I389" i="1"/>
  <c r="D389" i="1" s="1"/>
  <c r="N394" i="1"/>
  <c r="I394" i="1"/>
  <c r="A394" i="1" s="1"/>
  <c r="N404" i="1"/>
  <c r="I404" i="1"/>
  <c r="A404" i="1" s="1"/>
  <c r="I438" i="1"/>
  <c r="A438" i="1" s="1"/>
  <c r="N438" i="1"/>
  <c r="I282" i="1"/>
  <c r="A282" i="1" s="1"/>
  <c r="N282" i="1"/>
  <c r="I361" i="1"/>
  <c r="D361" i="1" s="1"/>
  <c r="N361" i="1"/>
  <c r="N366" i="1"/>
  <c r="I366" i="1"/>
  <c r="A366" i="1" s="1"/>
  <c r="I290" i="1"/>
  <c r="A290" i="1" s="1"/>
  <c r="N290" i="1"/>
  <c r="I400" i="1"/>
  <c r="A400" i="1" s="1"/>
  <c r="N400" i="1"/>
  <c r="N368" i="1"/>
  <c r="I368" i="1"/>
  <c r="A368" i="1" s="1"/>
  <c r="I329" i="1"/>
  <c r="A329" i="1" s="1"/>
  <c r="N329" i="1"/>
  <c r="I287" i="1"/>
  <c r="A287" i="1" s="1"/>
  <c r="N287" i="1"/>
  <c r="I304" i="1"/>
  <c r="A304" i="1" s="1"/>
  <c r="N304" i="1"/>
  <c r="N317" i="1"/>
  <c r="I317" i="1"/>
  <c r="A317" i="1" s="1"/>
  <c r="N321" i="1"/>
  <c r="I321" i="1"/>
  <c r="A321" i="1" s="1"/>
  <c r="N344" i="1"/>
  <c r="I344" i="1"/>
  <c r="A344" i="1" s="1"/>
  <c r="I372" i="1"/>
  <c r="D372" i="1" s="1"/>
  <c r="N372" i="1"/>
  <c r="I428" i="1"/>
  <c r="A428" i="1" s="1"/>
  <c r="N428" i="1"/>
  <c r="N431" i="1"/>
  <c r="I431" i="1"/>
  <c r="P431" i="1" s="1"/>
  <c r="N237" i="1"/>
  <c r="I237" i="1"/>
  <c r="A237" i="1" s="1"/>
  <c r="N326" i="1"/>
  <c r="I326" i="1"/>
  <c r="D326" i="1" s="1"/>
  <c r="I356" i="1"/>
  <c r="A356" i="1" s="1"/>
  <c r="N356" i="1"/>
  <c r="N370" i="1"/>
  <c r="I370" i="1"/>
  <c r="A370" i="1" s="1"/>
  <c r="N357" i="1"/>
  <c r="I357" i="1"/>
  <c r="A357" i="1" s="1"/>
  <c r="N414" i="1"/>
  <c r="I414" i="1"/>
  <c r="P414" i="1" s="1"/>
  <c r="I439" i="1"/>
  <c r="A439" i="1" s="1"/>
  <c r="N439" i="1"/>
  <c r="I283" i="1"/>
  <c r="D283" i="1" s="1"/>
  <c r="N283" i="1"/>
  <c r="N353" i="1"/>
  <c r="I353" i="1"/>
  <c r="P353" i="1" s="1"/>
  <c r="I299" i="1"/>
  <c r="A299" i="1" s="1"/>
  <c r="N299" i="1"/>
  <c r="N285" i="1"/>
  <c r="I285" i="1"/>
  <c r="A285" i="1" s="1"/>
  <c r="N338" i="1"/>
  <c r="I338" i="1"/>
  <c r="D338" i="1" s="1"/>
  <c r="N403" i="1"/>
  <c r="I403" i="1"/>
  <c r="A403" i="1" s="1"/>
  <c r="I274" i="1"/>
  <c r="A274" i="1" s="1"/>
  <c r="N274" i="1"/>
  <c r="I249" i="1"/>
  <c r="A249" i="1" s="1"/>
  <c r="N249" i="1"/>
  <c r="N278" i="1"/>
  <c r="I278" i="1"/>
  <c r="A278" i="1" s="1"/>
  <c r="I312" i="1"/>
  <c r="P312" i="1" s="1"/>
  <c r="N312" i="1"/>
  <c r="N261" i="1"/>
  <c r="I261" i="1"/>
  <c r="D261" i="1" s="1"/>
  <c r="N337" i="1"/>
  <c r="I337" i="1"/>
  <c r="A337" i="1" s="1"/>
  <c r="I381" i="1"/>
  <c r="A381" i="1" s="1"/>
  <c r="N381" i="1"/>
  <c r="I426" i="1"/>
  <c r="A426" i="1" s="1"/>
  <c r="N426" i="1"/>
  <c r="I429" i="1"/>
  <c r="A429" i="1" s="1"/>
  <c r="N429" i="1"/>
  <c r="I432" i="1"/>
  <c r="A432" i="1" s="1"/>
  <c r="N432" i="1"/>
  <c r="I367" i="1"/>
  <c r="A367" i="1" s="1"/>
  <c r="N367" i="1"/>
  <c r="N313" i="1"/>
  <c r="I313" i="1"/>
  <c r="A313" i="1" s="1"/>
  <c r="N382" i="1"/>
  <c r="I382" i="1"/>
  <c r="D382" i="1" s="1"/>
  <c r="I253" i="1"/>
  <c r="A253" i="1" s="1"/>
  <c r="N253" i="1"/>
  <c r="I230" i="1"/>
  <c r="A230" i="1" s="1"/>
  <c r="N230" i="1"/>
  <c r="N331" i="1"/>
  <c r="I331" i="1"/>
  <c r="D331" i="1" s="1"/>
  <c r="N409" i="1"/>
  <c r="I409" i="1"/>
  <c r="A409" i="1" s="1"/>
  <c r="N442" i="1"/>
  <c r="I442" i="1"/>
  <c r="A442" i="1" s="1"/>
  <c r="I263" i="1"/>
  <c r="A263" i="1" s="1"/>
  <c r="N263" i="1"/>
  <c r="I328" i="1"/>
  <c r="A328" i="1" s="1"/>
  <c r="N328" i="1"/>
  <c r="N294" i="1"/>
  <c r="I294" i="1"/>
  <c r="A294" i="1" s="1"/>
  <c r="I363" i="1"/>
  <c r="A363" i="1" s="1"/>
  <c r="N363" i="1"/>
  <c r="N378" i="1"/>
  <c r="I378" i="1"/>
  <c r="P378" i="1" s="1"/>
  <c r="N401" i="1"/>
  <c r="I401" i="1"/>
  <c r="D401" i="1" s="1"/>
  <c r="N311" i="1"/>
  <c r="I311" i="1"/>
  <c r="A311" i="1" s="1"/>
  <c r="I259" i="1"/>
  <c r="D259" i="1" s="1"/>
  <c r="N259" i="1"/>
  <c r="I310" i="1"/>
  <c r="A310" i="1" s="1"/>
  <c r="N310" i="1"/>
  <c r="N315" i="1"/>
  <c r="I315" i="1"/>
  <c r="P315" i="1" s="1"/>
  <c r="I396" i="1"/>
  <c r="A396" i="1" s="1"/>
  <c r="N396" i="1"/>
  <c r="N371" i="1"/>
  <c r="I371" i="1"/>
  <c r="A371" i="1" s="1"/>
  <c r="L435" i="1"/>
  <c r="O435" i="1"/>
  <c r="J435" i="1"/>
  <c r="D366" i="1" l="1"/>
  <c r="A383" i="1"/>
  <c r="D383" i="1"/>
  <c r="A389" i="1"/>
  <c r="P366" i="1"/>
  <c r="D422" i="1"/>
  <c r="P389" i="1"/>
  <c r="D394" i="1"/>
  <c r="D317" i="1"/>
  <c r="P394" i="1"/>
  <c r="P438" i="1"/>
  <c r="D438" i="1"/>
  <c r="P368" i="1"/>
  <c r="D414" i="1"/>
  <c r="A414" i="1"/>
  <c r="D234" i="1"/>
  <c r="P234" i="1"/>
  <c r="P403" i="1"/>
  <c r="D427" i="1"/>
  <c r="P338" i="1"/>
  <c r="P283" i="1"/>
  <c r="A261" i="1"/>
  <c r="P337" i="1"/>
  <c r="P304" i="1"/>
  <c r="D304" i="1"/>
  <c r="D290" i="1"/>
  <c r="P290" i="1"/>
  <c r="D367" i="1"/>
  <c r="D237" i="1"/>
  <c r="D431" i="1"/>
  <c r="P422" i="1"/>
  <c r="D337" i="1"/>
  <c r="A431" i="1"/>
  <c r="P317" i="1"/>
  <c r="P381" i="1"/>
  <c r="D321" i="1"/>
  <c r="D404" i="1"/>
  <c r="P321" i="1"/>
  <c r="D381" i="1"/>
  <c r="D400" i="1"/>
  <c r="A283" i="1"/>
  <c r="P404" i="1"/>
  <c r="P367" i="1"/>
  <c r="A338" i="1"/>
  <c r="P409" i="1"/>
  <c r="D439" i="1"/>
  <c r="P439" i="1"/>
  <c r="D409" i="1"/>
  <c r="D315" i="1"/>
  <c r="A430" i="1"/>
  <c r="A401" i="1"/>
  <c r="D396" i="1"/>
  <c r="P274" i="1"/>
  <c r="D313" i="1"/>
  <c r="P400" i="1"/>
  <c r="P427" i="1"/>
  <c r="P396" i="1"/>
  <c r="P356" i="1"/>
  <c r="D442" i="1"/>
  <c r="D274" i="1"/>
  <c r="D371" i="1"/>
  <c r="P313" i="1"/>
  <c r="P426" i="1"/>
  <c r="A378" i="1"/>
  <c r="D378" i="1"/>
  <c r="P249" i="1"/>
  <c r="D356" i="1"/>
  <c r="D311" i="1"/>
  <c r="A259" i="1"/>
  <c r="P253" i="1"/>
  <c r="P326" i="1"/>
  <c r="D328" i="1"/>
  <c r="P330" i="1"/>
  <c r="D368" i="1"/>
  <c r="P259" i="1"/>
  <c r="P263" i="1"/>
  <c r="P278" i="1"/>
  <c r="D353" i="1"/>
  <c r="A315" i="1"/>
  <c r="A353" i="1"/>
  <c r="P299" i="1"/>
  <c r="P287" i="1"/>
  <c r="P329" i="1"/>
  <c r="D253" i="1"/>
  <c r="A361" i="1"/>
  <c r="P282" i="1"/>
  <c r="D287" i="1"/>
  <c r="D330" i="1"/>
  <c r="D312" i="1"/>
  <c r="D426" i="1"/>
  <c r="P382" i="1"/>
  <c r="P372" i="1"/>
  <c r="P310" i="1"/>
  <c r="P328" i="1"/>
  <c r="P230" i="1"/>
  <c r="P429" i="1"/>
  <c r="D299" i="1"/>
  <c r="D310" i="1"/>
  <c r="D230" i="1"/>
  <c r="D344" i="1"/>
  <c r="A372" i="1"/>
  <c r="P344" i="1"/>
  <c r="D282" i="1"/>
  <c r="D370" i="1"/>
  <c r="D429" i="1"/>
  <c r="D263" i="1"/>
  <c r="D278" i="1"/>
  <c r="P442" i="1"/>
  <c r="P361" i="1"/>
  <c r="P261" i="1"/>
  <c r="D403" i="1"/>
  <c r="P371" i="1"/>
  <c r="D329" i="1"/>
  <c r="D430" i="1"/>
  <c r="D357" i="1"/>
  <c r="D428" i="1"/>
  <c r="P401" i="1"/>
  <c r="P237" i="1"/>
  <c r="P432" i="1"/>
  <c r="D363" i="1"/>
  <c r="D285" i="1"/>
  <c r="I435" i="1"/>
  <c r="A435" i="1" s="1"/>
  <c r="N435" i="1"/>
  <c r="D294" i="1"/>
  <c r="A312" i="1"/>
  <c r="D432" i="1"/>
  <c r="A331" i="1"/>
  <c r="P311" i="1"/>
  <c r="P357" i="1"/>
  <c r="P370" i="1"/>
  <c r="P363" i="1"/>
  <c r="A382" i="1"/>
  <c r="A326" i="1"/>
  <c r="P285" i="1"/>
  <c r="P294" i="1"/>
  <c r="D249" i="1"/>
  <c r="P331" i="1"/>
  <c r="P428" i="1"/>
  <c r="D435" i="1" l="1"/>
  <c r="P435" i="1"/>
  <c r="J157" i="1"/>
  <c r="J440" i="1"/>
  <c r="B157" i="1"/>
  <c r="B440" i="1"/>
  <c r="C157" i="1"/>
  <c r="C440" i="1"/>
  <c r="L157" i="1"/>
  <c r="L440" i="1"/>
  <c r="I440" i="1" s="1"/>
  <c r="O157" i="1"/>
  <c r="O440" i="1"/>
  <c r="P440" i="1" l="1"/>
  <c r="N440" i="1"/>
  <c r="I157" i="1"/>
  <c r="A157" i="1" s="1"/>
  <c r="N157" i="1"/>
  <c r="D440" i="1" l="1"/>
  <c r="A440" i="1"/>
  <c r="D157" i="1"/>
  <c r="P157" i="1"/>
  <c r="A145" i="18"/>
  <c r="A46" i="18"/>
  <c r="J208" i="1" l="1"/>
  <c r="J61" i="1"/>
  <c r="J186" i="1"/>
  <c r="J48" i="1"/>
  <c r="J133" i="1"/>
  <c r="J195" i="1"/>
  <c r="J268" i="1"/>
  <c r="J183" i="1"/>
  <c r="J69" i="1"/>
  <c r="B69" i="1"/>
  <c r="C69" i="1"/>
  <c r="L69" i="1"/>
  <c r="O69" i="1"/>
  <c r="B183" i="1"/>
  <c r="C183" i="1"/>
  <c r="L183" i="1"/>
  <c r="O183" i="1"/>
  <c r="B268" i="1"/>
  <c r="C268" i="1"/>
  <c r="L268" i="1"/>
  <c r="O268" i="1"/>
  <c r="B195" i="1"/>
  <c r="C195" i="1"/>
  <c r="L195" i="1"/>
  <c r="O195" i="1"/>
  <c r="B133" i="1"/>
  <c r="C133" i="1"/>
  <c r="L133" i="1"/>
  <c r="O133" i="1"/>
  <c r="B48" i="1"/>
  <c r="C48" i="1"/>
  <c r="L48" i="1"/>
  <c r="O48" i="1"/>
  <c r="B186" i="1"/>
  <c r="C186" i="1"/>
  <c r="L186" i="1"/>
  <c r="O186" i="1"/>
  <c r="B61" i="1"/>
  <c r="C61" i="1"/>
  <c r="L61" i="1"/>
  <c r="O61" i="1"/>
  <c r="B208" i="1"/>
  <c r="C208" i="1"/>
  <c r="L208" i="1"/>
  <c r="O208" i="1"/>
  <c r="N268" i="1" l="1"/>
  <c r="I268" i="1"/>
  <c r="A268" i="1" s="1"/>
  <c r="I183" i="1"/>
  <c r="A183" i="1" s="1"/>
  <c r="N183" i="1"/>
  <c r="I133" i="1"/>
  <c r="A133" i="1" s="1"/>
  <c r="N133" i="1"/>
  <c r="I186" i="1"/>
  <c r="A186" i="1" s="1"/>
  <c r="N186" i="1"/>
  <c r="I195" i="1"/>
  <c r="A195" i="1" s="1"/>
  <c r="N195" i="1"/>
  <c r="I208" i="1"/>
  <c r="A208" i="1" s="1"/>
  <c r="N208" i="1"/>
  <c r="N61" i="1"/>
  <c r="I61" i="1"/>
  <c r="D61" i="1" s="1"/>
  <c r="N48" i="1"/>
  <c r="I48" i="1"/>
  <c r="A48" i="1" s="1"/>
  <c r="N69" i="1"/>
  <c r="I69" i="1"/>
  <c r="A69" i="1" s="1"/>
  <c r="P133" i="1" l="1"/>
  <c r="P183" i="1"/>
  <c r="D133" i="1"/>
  <c r="P268" i="1"/>
  <c r="D268" i="1"/>
  <c r="D183" i="1"/>
  <c r="P61" i="1"/>
  <c r="A61" i="1"/>
  <c r="P186" i="1"/>
  <c r="D186" i="1"/>
  <c r="P48" i="1"/>
  <c r="P69" i="1"/>
  <c r="D69" i="1"/>
  <c r="D208" i="1"/>
  <c r="P208" i="1"/>
  <c r="D48" i="1"/>
  <c r="P195" i="1"/>
  <c r="D195" i="1"/>
  <c r="A9" i="18" l="1"/>
  <c r="B21" i="1"/>
  <c r="C21" i="1"/>
  <c r="J437" i="1"/>
  <c r="J178" i="1"/>
  <c r="B178" i="1"/>
  <c r="B437" i="1"/>
  <c r="C178" i="1"/>
  <c r="C437" i="1"/>
  <c r="L178" i="1"/>
  <c r="L437" i="1"/>
  <c r="O178" i="1"/>
  <c r="O437" i="1"/>
  <c r="N437" i="1" l="1"/>
  <c r="I437" i="1"/>
  <c r="A437" i="1" s="1"/>
  <c r="N178" i="1"/>
  <c r="I178" i="1"/>
  <c r="A178" i="1" s="1"/>
  <c r="L21" i="1"/>
  <c r="J21" i="1"/>
  <c r="P437" i="1" l="1"/>
  <c r="D437" i="1"/>
  <c r="N21" i="1"/>
  <c r="I21" i="1"/>
  <c r="A21" i="1" s="1"/>
  <c r="P178" i="1"/>
  <c r="D178" i="1"/>
  <c r="A78" i="18"/>
  <c r="D78" i="18"/>
  <c r="D140" i="18"/>
  <c r="D139" i="18"/>
  <c r="D136" i="18"/>
  <c r="D135" i="18"/>
  <c r="D134" i="18"/>
  <c r="D138" i="18"/>
  <c r="D141" i="18"/>
  <c r="D137" i="18"/>
  <c r="D133" i="18"/>
  <c r="D132" i="18"/>
  <c r="D131" i="18"/>
  <c r="D129" i="18"/>
  <c r="D130" i="18"/>
  <c r="D127" i="18"/>
  <c r="D128" i="18"/>
  <c r="D126" i="18"/>
  <c r="D125" i="18"/>
  <c r="D124" i="18"/>
  <c r="D123" i="18"/>
  <c r="D122" i="18"/>
  <c r="D120" i="18"/>
  <c r="D117" i="18"/>
  <c r="D110" i="18"/>
  <c r="D109" i="18"/>
  <c r="D116" i="18"/>
  <c r="D115" i="18"/>
  <c r="D114" i="18"/>
  <c r="D113" i="18"/>
  <c r="D111" i="18"/>
  <c r="D108" i="18"/>
  <c r="D107" i="18"/>
  <c r="D89" i="18"/>
  <c r="D88" i="18"/>
  <c r="D86" i="18"/>
  <c r="D85" i="18"/>
  <c r="D84" i="18"/>
  <c r="D83" i="18"/>
  <c r="D80" i="18"/>
  <c r="D76" i="18"/>
  <c r="D75" i="18"/>
  <c r="D73" i="18"/>
  <c r="D71" i="18"/>
  <c r="D69" i="18"/>
  <c r="D68" i="18"/>
  <c r="D67" i="18"/>
  <c r="D66" i="18"/>
  <c r="D65" i="18"/>
  <c r="D63" i="18"/>
  <c r="D62" i="18"/>
  <c r="D61" i="18"/>
  <c r="D59" i="18"/>
  <c r="D58" i="18"/>
  <c r="D57" i="18"/>
  <c r="D56" i="18"/>
  <c r="D54" i="18"/>
  <c r="D53" i="18"/>
  <c r="D52" i="18"/>
  <c r="D50" i="18"/>
  <c r="D48" i="18"/>
  <c r="D47" i="18"/>
  <c r="D45" i="18"/>
  <c r="D41" i="18"/>
  <c r="D43" i="18"/>
  <c r="D44" i="18"/>
  <c r="D42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0" i="18"/>
  <c r="D23" i="18"/>
  <c r="D22" i="18"/>
  <c r="D21" i="18"/>
  <c r="D24" i="18"/>
  <c r="D19" i="18"/>
  <c r="D18" i="18"/>
  <c r="D16" i="18"/>
  <c r="D12" i="18"/>
  <c r="D8" i="18"/>
  <c r="D5" i="18"/>
  <c r="D4" i="18"/>
  <c r="D6" i="18"/>
  <c r="A141" i="18"/>
  <c r="A140" i="18"/>
  <c r="A137" i="18"/>
  <c r="A139" i="18"/>
  <c r="A136" i="18"/>
  <c r="A135" i="18"/>
  <c r="A134" i="18"/>
  <c r="A138" i="18"/>
  <c r="D21" i="1" l="1"/>
  <c r="P21" i="1"/>
  <c r="J192" i="1" l="1"/>
  <c r="J91" i="1"/>
  <c r="L91" i="1"/>
  <c r="O91" i="1"/>
  <c r="B91" i="1"/>
  <c r="C91" i="1"/>
  <c r="L192" i="1"/>
  <c r="O192" i="1"/>
  <c r="B192" i="1"/>
  <c r="C192" i="1"/>
  <c r="A4" i="18"/>
  <c r="A5" i="18"/>
  <c r="A6" i="18"/>
  <c r="A8" i="18"/>
  <c r="A12" i="18"/>
  <c r="A16" i="18"/>
  <c r="A18" i="18"/>
  <c r="A19" i="18"/>
  <c r="A21" i="18"/>
  <c r="A20" i="18"/>
  <c r="A22" i="18"/>
  <c r="A24" i="18"/>
  <c r="A23" i="18"/>
  <c r="A25" i="18"/>
  <c r="A26" i="18"/>
  <c r="A27" i="18"/>
  <c r="A28" i="18"/>
  <c r="A29" i="18"/>
  <c r="A30" i="18"/>
  <c r="A31" i="18"/>
  <c r="A32" i="18"/>
  <c r="A33" i="18"/>
  <c r="A34" i="18"/>
  <c r="A39" i="18"/>
  <c r="A41" i="18"/>
  <c r="A35" i="18"/>
  <c r="A37" i="18"/>
  <c r="A42" i="18"/>
  <c r="A38" i="18"/>
  <c r="A44" i="18"/>
  <c r="A43" i="18"/>
  <c r="A36" i="18"/>
  <c r="A45" i="18"/>
  <c r="A40" i="18"/>
  <c r="A48" i="18"/>
  <c r="A47" i="18"/>
  <c r="A50" i="18"/>
  <c r="A56" i="18"/>
  <c r="A52" i="18"/>
  <c r="A54" i="18"/>
  <c r="A53" i="18"/>
  <c r="A57" i="18"/>
  <c r="A58" i="18"/>
  <c r="A59" i="18"/>
  <c r="A61" i="18"/>
  <c r="A62" i="18"/>
  <c r="A63" i="18"/>
  <c r="A66" i="18"/>
  <c r="A65" i="18"/>
  <c r="A67" i="18"/>
  <c r="A68" i="18"/>
  <c r="A69" i="18"/>
  <c r="A71" i="18"/>
  <c r="A73" i="18"/>
  <c r="A75" i="18"/>
  <c r="A76" i="18"/>
  <c r="A80" i="18"/>
  <c r="A83" i="18"/>
  <c r="A84" i="18"/>
  <c r="A85" i="18"/>
  <c r="A86" i="18"/>
  <c r="A88" i="18"/>
  <c r="A89" i="18"/>
  <c r="A107" i="18"/>
  <c r="A111" i="18"/>
  <c r="A113" i="18"/>
  <c r="A114" i="18"/>
  <c r="A116" i="18"/>
  <c r="A109" i="18"/>
  <c r="A110" i="18"/>
  <c r="A115" i="18"/>
  <c r="A108" i="18"/>
  <c r="A117" i="18"/>
  <c r="A122" i="18"/>
  <c r="A120" i="18"/>
  <c r="A123" i="18"/>
  <c r="A126" i="18"/>
  <c r="A124" i="18"/>
  <c r="A125" i="18"/>
  <c r="A127" i="18"/>
  <c r="A128" i="18"/>
  <c r="A129" i="18"/>
  <c r="A130" i="18"/>
  <c r="A131" i="18"/>
  <c r="A132" i="18"/>
  <c r="A133" i="18"/>
  <c r="N91" i="1" l="1"/>
  <c r="I91" i="1"/>
  <c r="P91" i="1" s="1"/>
  <c r="I192" i="1"/>
  <c r="P192" i="1" s="1"/>
  <c r="N192" i="1"/>
  <c r="P4" i="18"/>
  <c r="P5" i="18"/>
  <c r="P6" i="18"/>
  <c r="P8" i="18"/>
  <c r="P12" i="18"/>
  <c r="P16" i="18"/>
  <c r="P18" i="18"/>
  <c r="P19" i="18"/>
  <c r="P21" i="18"/>
  <c r="P20" i="18"/>
  <c r="P22" i="18"/>
  <c r="P24" i="18"/>
  <c r="P23" i="18"/>
  <c r="P25" i="18"/>
  <c r="P26" i="18"/>
  <c r="P27" i="18"/>
  <c r="P28" i="18"/>
  <c r="P29" i="18"/>
  <c r="P30" i="18"/>
  <c r="P31" i="18"/>
  <c r="P32" i="18"/>
  <c r="P33" i="18"/>
  <c r="P34" i="18"/>
  <c r="P39" i="18"/>
  <c r="P41" i="18"/>
  <c r="P35" i="18"/>
  <c r="P37" i="18"/>
  <c r="P42" i="18"/>
  <c r="P38" i="18"/>
  <c r="P44" i="18"/>
  <c r="P43" i="18"/>
  <c r="P36" i="18"/>
  <c r="P45" i="18"/>
  <c r="P40" i="18"/>
  <c r="P48" i="18"/>
  <c r="P47" i="18"/>
  <c r="P50" i="18"/>
  <c r="P56" i="18"/>
  <c r="P52" i="18"/>
  <c r="P54" i="18"/>
  <c r="P53" i="18"/>
  <c r="P57" i="18"/>
  <c r="P58" i="18"/>
  <c r="P59" i="18"/>
  <c r="P61" i="18"/>
  <c r="P62" i="18"/>
  <c r="P63" i="18"/>
  <c r="P66" i="18"/>
  <c r="P65" i="18"/>
  <c r="P67" i="18"/>
  <c r="P68" i="18"/>
  <c r="P69" i="18"/>
  <c r="P71" i="18"/>
  <c r="P73" i="18"/>
  <c r="P75" i="18"/>
  <c r="P76" i="18"/>
  <c r="P80" i="18"/>
  <c r="P84" i="18"/>
  <c r="P85" i="18"/>
  <c r="P86" i="18"/>
  <c r="P88" i="18"/>
  <c r="P89" i="18"/>
  <c r="P107" i="18"/>
  <c r="P111" i="18"/>
  <c r="P113" i="18"/>
  <c r="P114" i="18"/>
  <c r="P116" i="18"/>
  <c r="P109" i="18"/>
  <c r="P110" i="18"/>
  <c r="P115" i="18"/>
  <c r="P108" i="18"/>
  <c r="P117" i="18"/>
  <c r="P122" i="18"/>
  <c r="P120" i="18"/>
  <c r="P123" i="18"/>
  <c r="P126" i="18"/>
  <c r="P124" i="18"/>
  <c r="P125" i="18"/>
  <c r="P127" i="18"/>
  <c r="P128" i="18"/>
  <c r="P129" i="18"/>
  <c r="P130" i="18"/>
  <c r="P131" i="18"/>
  <c r="P132" i="18"/>
  <c r="P133" i="18"/>
  <c r="P65" i="1"/>
  <c r="D192" i="1" l="1"/>
  <c r="D91" i="1"/>
  <c r="A91" i="1"/>
  <c r="A192" i="1"/>
  <c r="D65" i="1"/>
  <c r="C3" i="1" l="1"/>
  <c r="C4" i="1"/>
  <c r="C5" i="1"/>
  <c r="C246" i="1"/>
  <c r="C272" i="1"/>
  <c r="C308" i="1"/>
  <c r="C6" i="1"/>
  <c r="C7" i="1"/>
  <c r="C8" i="1"/>
  <c r="C9" i="1"/>
  <c r="C10" i="1"/>
  <c r="C11" i="1"/>
  <c r="C255" i="1"/>
  <c r="C12" i="1"/>
  <c r="C13" i="1"/>
  <c r="C387" i="1"/>
  <c r="C14" i="1"/>
  <c r="C15" i="1"/>
  <c r="C16" i="1"/>
  <c r="C17" i="1"/>
  <c r="C18" i="1"/>
  <c r="C19" i="1"/>
  <c r="C22" i="1"/>
  <c r="C161" i="1"/>
  <c r="C293" i="1"/>
  <c r="C23" i="1"/>
  <c r="C301" i="1"/>
  <c r="C386" i="1"/>
  <c r="C24" i="1"/>
  <c r="C25" i="1"/>
  <c r="C115" i="1"/>
  <c r="C232" i="1"/>
  <c r="C265" i="1"/>
  <c r="C26" i="1"/>
  <c r="C27" i="1"/>
  <c r="C219" i="1"/>
  <c r="C130" i="1"/>
  <c r="C28" i="1"/>
  <c r="C215" i="1"/>
  <c r="C296" i="1"/>
  <c r="C297" i="1"/>
  <c r="C399" i="1"/>
  <c r="C30" i="1"/>
  <c r="C384" i="1"/>
  <c r="C32" i="1"/>
  <c r="C34" i="1"/>
  <c r="C225" i="1"/>
  <c r="C298" i="1"/>
  <c r="C35" i="1"/>
  <c r="C36" i="1"/>
  <c r="C37" i="1"/>
  <c r="C38" i="1"/>
  <c r="C39" i="1"/>
  <c r="C40" i="1"/>
  <c r="C322" i="1"/>
  <c r="C41" i="1"/>
  <c r="C42" i="1"/>
  <c r="C354" i="1"/>
  <c r="C207" i="1"/>
  <c r="C221" i="1"/>
  <c r="C393" i="1"/>
  <c r="C43" i="1"/>
  <c r="C44" i="1"/>
  <c r="C209" i="1"/>
  <c r="C45" i="1"/>
  <c r="C305" i="1"/>
  <c r="C347" i="1"/>
  <c r="C46" i="1"/>
  <c r="C320" i="1"/>
  <c r="C47" i="1"/>
  <c r="C49" i="1"/>
  <c r="C50" i="1"/>
  <c r="C226" i="1"/>
  <c r="C51" i="1"/>
  <c r="C52" i="1"/>
  <c r="C53" i="1"/>
  <c r="C114" i="1"/>
  <c r="C421" i="1"/>
  <c r="C54" i="1"/>
  <c r="C55" i="1"/>
  <c r="C288" i="1"/>
  <c r="C56" i="1"/>
  <c r="C57" i="1"/>
  <c r="C336" i="1"/>
  <c r="C58" i="1"/>
  <c r="C59" i="1"/>
  <c r="C224" i="1"/>
  <c r="C302" i="1"/>
  <c r="C60" i="1"/>
  <c r="C62" i="1"/>
  <c r="C63" i="1"/>
  <c r="C64" i="1"/>
  <c r="C65" i="1"/>
  <c r="C239" i="1"/>
  <c r="C369" i="1"/>
  <c r="C416" i="1"/>
  <c r="C66" i="1"/>
  <c r="C67" i="1"/>
  <c r="C68" i="1"/>
  <c r="C405" i="1"/>
  <c r="C174" i="1"/>
  <c r="C216" i="1"/>
  <c r="C70" i="1"/>
  <c r="C71" i="1"/>
  <c r="C164" i="1"/>
  <c r="C281" i="1"/>
  <c r="C72" i="1"/>
  <c r="C324" i="1"/>
  <c r="C415" i="1"/>
  <c r="C73" i="1"/>
  <c r="C74" i="1"/>
  <c r="C75" i="1"/>
  <c r="C76" i="1"/>
  <c r="C340" i="1"/>
  <c r="C78" i="1"/>
  <c r="C79" i="1"/>
  <c r="C267" i="1"/>
  <c r="C300" i="1"/>
  <c r="C80" i="1"/>
  <c r="C205" i="1"/>
  <c r="C251" i="1"/>
  <c r="C280" i="1"/>
  <c r="C242" i="1"/>
  <c r="C406" i="1"/>
  <c r="C159" i="1"/>
  <c r="C81" i="1"/>
  <c r="C250" i="1"/>
  <c r="C82" i="1"/>
  <c r="C84" i="1"/>
  <c r="C83" i="1"/>
  <c r="C86" i="1"/>
  <c r="C87" i="1"/>
  <c r="C88" i="1"/>
  <c r="C325" i="1"/>
  <c r="C167" i="1"/>
  <c r="C258" i="1"/>
  <c r="C318" i="1"/>
  <c r="C335" i="1"/>
  <c r="C392" i="1"/>
  <c r="C89" i="1"/>
  <c r="C90" i="1"/>
  <c r="C92" i="1"/>
  <c r="C391" i="1"/>
  <c r="C342" i="1"/>
  <c r="C93" i="1"/>
  <c r="C260" i="1"/>
  <c r="C303" i="1"/>
  <c r="C94" i="1"/>
  <c r="C163" i="1"/>
  <c r="C355" i="1"/>
  <c r="C95" i="1"/>
  <c r="C96" i="1"/>
  <c r="C97" i="1"/>
  <c r="C137" i="1"/>
  <c r="C98" i="1"/>
  <c r="C228" i="1"/>
  <c r="C266" i="1"/>
  <c r="C99" i="1"/>
  <c r="C100" i="1"/>
  <c r="C101" i="1"/>
  <c r="C102" i="1"/>
  <c r="C103" i="1"/>
  <c r="C104" i="1"/>
  <c r="C204" i="1"/>
  <c r="C379" i="1"/>
  <c r="C397" i="1"/>
  <c r="C105" i="1"/>
  <c r="C271" i="1"/>
  <c r="C284" i="1"/>
  <c r="C243" i="1"/>
  <c r="C360" i="1"/>
  <c r="C106" i="1"/>
  <c r="C408" i="1"/>
  <c r="C107" i="1"/>
  <c r="C108" i="1"/>
  <c r="C109" i="1"/>
  <c r="C110" i="1"/>
  <c r="C275" i="1"/>
  <c r="C112" i="1"/>
  <c r="C113" i="1"/>
  <c r="C116" i="1"/>
  <c r="C220" i="1"/>
  <c r="C231" i="1"/>
  <c r="C117" i="1"/>
  <c r="C118" i="1"/>
  <c r="C119" i="1"/>
  <c r="C120" i="1"/>
  <c r="C121" i="1"/>
  <c r="C145" i="1"/>
  <c r="C256" i="1"/>
  <c r="C122" i="1"/>
  <c r="C123" i="1"/>
  <c r="C125" i="1"/>
  <c r="C333" i="1"/>
  <c r="C334" i="1"/>
  <c r="C126" i="1"/>
  <c r="C339" i="1"/>
  <c r="C423" i="1"/>
  <c r="C127" i="1"/>
  <c r="C128" i="1"/>
  <c r="C129" i="1"/>
  <c r="C131" i="1"/>
  <c r="C132" i="1"/>
  <c r="C149" i="1"/>
  <c r="C247" i="1"/>
  <c r="C359" i="1"/>
  <c r="C135" i="1"/>
  <c r="C136" i="1"/>
  <c r="C138" i="1"/>
  <c r="C111" i="1"/>
  <c r="C236" i="1"/>
  <c r="C140" i="1"/>
  <c r="C141" i="1"/>
  <c r="C142" i="1"/>
  <c r="C143" i="1"/>
  <c r="C144" i="1"/>
  <c r="C146" i="1"/>
  <c r="C147" i="1"/>
  <c r="C264" i="1"/>
  <c r="C148" i="1"/>
  <c r="C150" i="1"/>
  <c r="C153" i="1"/>
  <c r="C241" i="1"/>
  <c r="C270" i="1"/>
  <c r="C307" i="1"/>
  <c r="C151" i="1"/>
  <c r="C395" i="1"/>
  <c r="C407" i="1"/>
  <c r="C152" i="1"/>
  <c r="C155" i="1"/>
  <c r="C156" i="1"/>
  <c r="C158" i="1"/>
  <c r="C160" i="1"/>
  <c r="C134" i="1"/>
  <c r="C162" i="1"/>
  <c r="C165" i="1"/>
  <c r="C168" i="1"/>
  <c r="C223" i="1"/>
  <c r="C169" i="1"/>
  <c r="C420" i="1"/>
  <c r="C170" i="1"/>
  <c r="C171" i="1"/>
  <c r="C172" i="1"/>
  <c r="C173" i="1"/>
  <c r="C175" i="1"/>
  <c r="C176" i="1"/>
  <c r="C177" i="1"/>
  <c r="C179" i="1"/>
  <c r="C180" i="1"/>
  <c r="C181" i="1"/>
  <c r="C184" i="1"/>
  <c r="C252" i="1"/>
  <c r="C248" i="1"/>
  <c r="C277" i="1"/>
  <c r="C185" i="1"/>
  <c r="C398" i="1"/>
  <c r="C417" i="1"/>
  <c r="C154" i="1"/>
  <c r="C187" i="1"/>
  <c r="C188" i="1"/>
  <c r="C235" i="1"/>
  <c r="C240" i="1"/>
  <c r="C358" i="1"/>
  <c r="C364" i="1"/>
  <c r="C189" i="1"/>
  <c r="C190" i="1"/>
  <c r="C262" i="1"/>
  <c r="C191" i="1"/>
  <c r="C182" i="1"/>
  <c r="C233" i="1"/>
  <c r="C193" i="1"/>
  <c r="C194" i="1"/>
  <c r="C196" i="1"/>
  <c r="C166" i="1"/>
  <c r="C197" i="1"/>
  <c r="C198" i="1"/>
  <c r="C199" i="1"/>
  <c r="C200" i="1"/>
  <c r="C201" i="1"/>
  <c r="C343" i="1"/>
  <c r="C376" i="1"/>
  <c r="C388" i="1"/>
  <c r="C202" i="1"/>
  <c r="C341" i="1"/>
  <c r="C203" i="1"/>
  <c r="C206" i="1"/>
  <c r="C210" i="1"/>
  <c r="C211" i="1"/>
  <c r="C212" i="1"/>
  <c r="C425" i="1"/>
  <c r="C213" i="1"/>
  <c r="C291" i="1"/>
  <c r="C214" i="1"/>
  <c r="C245" i="1"/>
  <c r="C217" i="1"/>
  <c r="C229" i="1"/>
  <c r="C238" i="1"/>
  <c r="C244" i="1"/>
  <c r="C254" i="1"/>
  <c r="C279" i="1"/>
  <c r="C314" i="1"/>
  <c r="C419" i="1"/>
  <c r="C273" i="1"/>
  <c r="C276" i="1"/>
  <c r="C289" i="1"/>
  <c r="C292" i="1"/>
  <c r="C418" i="1"/>
  <c r="C385" i="1"/>
  <c r="C295" i="1"/>
  <c r="C309" i="1"/>
  <c r="C316" i="1"/>
  <c r="C323" i="1"/>
  <c r="C327" i="1"/>
  <c r="C332" i="1"/>
  <c r="C345" i="1"/>
  <c r="C346" i="1"/>
  <c r="C348" i="1"/>
  <c r="C351" i="1"/>
  <c r="C352" i="1"/>
  <c r="C362" i="1"/>
  <c r="C365" i="1"/>
  <c r="C124" i="1"/>
  <c r="C227" i="1"/>
  <c r="C218" i="1"/>
  <c r="C286" i="1"/>
  <c r="C349" i="1"/>
  <c r="C269" i="1"/>
  <c r="C373" i="1"/>
  <c r="C33" i="1"/>
  <c r="C374" i="1"/>
  <c r="C375" i="1"/>
  <c r="C377" i="1"/>
  <c r="C402" i="1"/>
  <c r="C306" i="1"/>
  <c r="C410" i="1"/>
  <c r="C411" i="1"/>
  <c r="C412" i="1"/>
  <c r="C390" i="1"/>
  <c r="C413" i="1"/>
  <c r="C424" i="1"/>
  <c r="C433" i="1"/>
  <c r="C434" i="1"/>
  <c r="C257" i="1"/>
  <c r="C436" i="1"/>
  <c r="C441" i="1"/>
  <c r="C350" i="1"/>
  <c r="C443" i="1"/>
  <c r="C444" i="1"/>
  <c r="C445" i="1"/>
  <c r="C446" i="1"/>
  <c r="C447" i="1"/>
  <c r="C222" i="1"/>
  <c r="C448" i="1"/>
  <c r="C319" i="1"/>
  <c r="C451" i="1"/>
  <c r="B3" i="1"/>
  <c r="B4" i="1"/>
  <c r="B5" i="1"/>
  <c r="B246" i="1"/>
  <c r="B272" i="1"/>
  <c r="B308" i="1"/>
  <c r="B6" i="1"/>
  <c r="B7" i="1"/>
  <c r="B8" i="1"/>
  <c r="B9" i="1"/>
  <c r="B10" i="1"/>
  <c r="B11" i="1"/>
  <c r="B255" i="1"/>
  <c r="B12" i="1"/>
  <c r="B13" i="1"/>
  <c r="B387" i="1"/>
  <c r="B14" i="1"/>
  <c r="B15" i="1"/>
  <c r="B16" i="1"/>
  <c r="B17" i="1"/>
  <c r="B18" i="1"/>
  <c r="B19" i="1"/>
  <c r="B22" i="1"/>
  <c r="B161" i="1"/>
  <c r="B293" i="1"/>
  <c r="B23" i="1"/>
  <c r="B301" i="1"/>
  <c r="B386" i="1"/>
  <c r="B24" i="1"/>
  <c r="B25" i="1"/>
  <c r="B115" i="1"/>
  <c r="B232" i="1"/>
  <c r="B265" i="1"/>
  <c r="B26" i="1"/>
  <c r="B27" i="1"/>
  <c r="B219" i="1"/>
  <c r="B130" i="1"/>
  <c r="B28" i="1"/>
  <c r="B215" i="1"/>
  <c r="B296" i="1"/>
  <c r="B297" i="1"/>
  <c r="B399" i="1"/>
  <c r="B30" i="1"/>
  <c r="B384" i="1"/>
  <c r="B32" i="1"/>
  <c r="B34" i="1"/>
  <c r="B225" i="1"/>
  <c r="B298" i="1"/>
  <c r="B35" i="1"/>
  <c r="B36" i="1"/>
  <c r="B37" i="1"/>
  <c r="B38" i="1"/>
  <c r="B39" i="1"/>
  <c r="B40" i="1"/>
  <c r="B322" i="1"/>
  <c r="B41" i="1"/>
  <c r="B42" i="1"/>
  <c r="B354" i="1"/>
  <c r="B207" i="1"/>
  <c r="B221" i="1"/>
  <c r="B393" i="1"/>
  <c r="B43" i="1"/>
  <c r="B44" i="1"/>
  <c r="B209" i="1"/>
  <c r="B45" i="1"/>
  <c r="B305" i="1"/>
  <c r="B347" i="1"/>
  <c r="B46" i="1"/>
  <c r="B320" i="1"/>
  <c r="B47" i="1"/>
  <c r="B49" i="1"/>
  <c r="B50" i="1"/>
  <c r="B226" i="1"/>
  <c r="B51" i="1"/>
  <c r="B52" i="1"/>
  <c r="B53" i="1"/>
  <c r="B114" i="1"/>
  <c r="B421" i="1"/>
  <c r="B54" i="1"/>
  <c r="B55" i="1"/>
  <c r="B288" i="1"/>
  <c r="B56" i="1"/>
  <c r="B57" i="1"/>
  <c r="B336" i="1"/>
  <c r="B58" i="1"/>
  <c r="B59" i="1"/>
  <c r="B224" i="1"/>
  <c r="B302" i="1"/>
  <c r="B60" i="1"/>
  <c r="B62" i="1"/>
  <c r="B63" i="1"/>
  <c r="B64" i="1"/>
  <c r="B65" i="1"/>
  <c r="B239" i="1"/>
  <c r="B369" i="1"/>
  <c r="B416" i="1"/>
  <c r="B66" i="1"/>
  <c r="B67" i="1"/>
  <c r="B68" i="1"/>
  <c r="B405" i="1"/>
  <c r="B174" i="1"/>
  <c r="B216" i="1"/>
  <c r="B70" i="1"/>
  <c r="B71" i="1"/>
  <c r="B164" i="1"/>
  <c r="B281" i="1"/>
  <c r="B72" i="1"/>
  <c r="B324" i="1"/>
  <c r="B415" i="1"/>
  <c r="B73" i="1"/>
  <c r="B74" i="1"/>
  <c r="B75" i="1"/>
  <c r="B76" i="1"/>
  <c r="B340" i="1"/>
  <c r="B78" i="1"/>
  <c r="B79" i="1"/>
  <c r="B267" i="1"/>
  <c r="B300" i="1"/>
  <c r="B80" i="1"/>
  <c r="B205" i="1"/>
  <c r="B251" i="1"/>
  <c r="B280" i="1"/>
  <c r="B242" i="1"/>
  <c r="B406" i="1"/>
  <c r="B159" i="1"/>
  <c r="B81" i="1"/>
  <c r="B250" i="1"/>
  <c r="B82" i="1"/>
  <c r="B84" i="1"/>
  <c r="B83" i="1"/>
  <c r="B86" i="1"/>
  <c r="B87" i="1"/>
  <c r="B88" i="1"/>
  <c r="B325" i="1"/>
  <c r="B167" i="1"/>
  <c r="B258" i="1"/>
  <c r="B318" i="1"/>
  <c r="B335" i="1"/>
  <c r="B392" i="1"/>
  <c r="B89" i="1"/>
  <c r="B90" i="1"/>
  <c r="B92" i="1"/>
  <c r="B391" i="1"/>
  <c r="B342" i="1"/>
  <c r="B93" i="1"/>
  <c r="B260" i="1"/>
  <c r="B303" i="1"/>
  <c r="B94" i="1"/>
  <c r="B163" i="1"/>
  <c r="B355" i="1"/>
  <c r="B95" i="1"/>
  <c r="B96" i="1"/>
  <c r="B97" i="1"/>
  <c r="B137" i="1"/>
  <c r="B98" i="1"/>
  <c r="B228" i="1"/>
  <c r="B266" i="1"/>
  <c r="B99" i="1"/>
  <c r="B100" i="1"/>
  <c r="B101" i="1"/>
  <c r="B102" i="1"/>
  <c r="B103" i="1"/>
  <c r="B104" i="1"/>
  <c r="B204" i="1"/>
  <c r="B379" i="1"/>
  <c r="B397" i="1"/>
  <c r="B105" i="1"/>
  <c r="B271" i="1"/>
  <c r="B284" i="1"/>
  <c r="B243" i="1"/>
  <c r="B360" i="1"/>
  <c r="B106" i="1"/>
  <c r="B408" i="1"/>
  <c r="B107" i="1"/>
  <c r="B108" i="1"/>
  <c r="B109" i="1"/>
  <c r="B110" i="1"/>
  <c r="B275" i="1"/>
  <c r="B112" i="1"/>
  <c r="B113" i="1"/>
  <c r="B116" i="1"/>
  <c r="B220" i="1"/>
  <c r="B231" i="1"/>
  <c r="B117" i="1"/>
  <c r="B118" i="1"/>
  <c r="B119" i="1"/>
  <c r="B120" i="1"/>
  <c r="B121" i="1"/>
  <c r="B145" i="1"/>
  <c r="B256" i="1"/>
  <c r="B122" i="1"/>
  <c r="B123" i="1"/>
  <c r="B125" i="1"/>
  <c r="B333" i="1"/>
  <c r="B334" i="1"/>
  <c r="B126" i="1"/>
  <c r="B339" i="1"/>
  <c r="B423" i="1"/>
  <c r="B127" i="1"/>
  <c r="B128" i="1"/>
  <c r="B129" i="1"/>
  <c r="B131" i="1"/>
  <c r="B132" i="1"/>
  <c r="B149" i="1"/>
  <c r="B247" i="1"/>
  <c r="B359" i="1"/>
  <c r="B135" i="1"/>
  <c r="B136" i="1"/>
  <c r="B138" i="1"/>
  <c r="B111" i="1"/>
  <c r="B236" i="1"/>
  <c r="B140" i="1"/>
  <c r="B141" i="1"/>
  <c r="B142" i="1"/>
  <c r="B143" i="1"/>
  <c r="B144" i="1"/>
  <c r="B146" i="1"/>
  <c r="B147" i="1"/>
  <c r="B264" i="1"/>
  <c r="B148" i="1"/>
  <c r="B150" i="1"/>
  <c r="B153" i="1"/>
  <c r="B241" i="1"/>
  <c r="B270" i="1"/>
  <c r="B307" i="1"/>
  <c r="B151" i="1"/>
  <c r="B395" i="1"/>
  <c r="B407" i="1"/>
  <c r="B152" i="1"/>
  <c r="B155" i="1"/>
  <c r="B156" i="1"/>
  <c r="B158" i="1"/>
  <c r="B160" i="1"/>
  <c r="B134" i="1"/>
  <c r="B162" i="1"/>
  <c r="B165" i="1"/>
  <c r="B168" i="1"/>
  <c r="B223" i="1"/>
  <c r="B169" i="1"/>
  <c r="B420" i="1"/>
  <c r="B170" i="1"/>
  <c r="B171" i="1"/>
  <c r="B172" i="1"/>
  <c r="B173" i="1"/>
  <c r="B175" i="1"/>
  <c r="B176" i="1"/>
  <c r="B177" i="1"/>
  <c r="B179" i="1"/>
  <c r="B180" i="1"/>
  <c r="B181" i="1"/>
  <c r="B184" i="1"/>
  <c r="B252" i="1"/>
  <c r="B248" i="1"/>
  <c r="B277" i="1"/>
  <c r="B185" i="1"/>
  <c r="B398" i="1"/>
  <c r="B417" i="1"/>
  <c r="B154" i="1"/>
  <c r="B187" i="1"/>
  <c r="B188" i="1"/>
  <c r="B235" i="1"/>
  <c r="B240" i="1"/>
  <c r="B358" i="1"/>
  <c r="B364" i="1"/>
  <c r="B189" i="1"/>
  <c r="B190" i="1"/>
  <c r="B262" i="1"/>
  <c r="B191" i="1"/>
  <c r="B182" i="1"/>
  <c r="B233" i="1"/>
  <c r="B193" i="1"/>
  <c r="B194" i="1"/>
  <c r="B196" i="1"/>
  <c r="B166" i="1"/>
  <c r="B197" i="1"/>
  <c r="B198" i="1"/>
  <c r="B199" i="1"/>
  <c r="B200" i="1"/>
  <c r="B201" i="1"/>
  <c r="B343" i="1"/>
  <c r="B376" i="1"/>
  <c r="B388" i="1"/>
  <c r="B202" i="1"/>
  <c r="B341" i="1"/>
  <c r="B203" i="1"/>
  <c r="B206" i="1"/>
  <c r="B210" i="1"/>
  <c r="B211" i="1"/>
  <c r="B212" i="1"/>
  <c r="B425" i="1"/>
  <c r="B213" i="1"/>
  <c r="B291" i="1"/>
  <c r="B214" i="1"/>
  <c r="B245" i="1"/>
  <c r="B217" i="1"/>
  <c r="B229" i="1"/>
  <c r="B238" i="1"/>
  <c r="B244" i="1"/>
  <c r="B254" i="1"/>
  <c r="B279" i="1"/>
  <c r="B314" i="1"/>
  <c r="B419" i="1"/>
  <c r="B273" i="1"/>
  <c r="B276" i="1"/>
  <c r="B289" i="1"/>
  <c r="B292" i="1"/>
  <c r="B418" i="1"/>
  <c r="B385" i="1"/>
  <c r="B295" i="1"/>
  <c r="B309" i="1"/>
  <c r="B316" i="1"/>
  <c r="B323" i="1"/>
  <c r="B327" i="1"/>
  <c r="B332" i="1"/>
  <c r="B345" i="1"/>
  <c r="B346" i="1"/>
  <c r="B348" i="1"/>
  <c r="B351" i="1"/>
  <c r="B352" i="1"/>
  <c r="B362" i="1"/>
  <c r="B365" i="1"/>
  <c r="B124" i="1"/>
  <c r="B227" i="1"/>
  <c r="B218" i="1"/>
  <c r="B286" i="1"/>
  <c r="B349" i="1"/>
  <c r="B269" i="1"/>
  <c r="B373" i="1"/>
  <c r="B33" i="1"/>
  <c r="B374" i="1"/>
  <c r="B375" i="1"/>
  <c r="B377" i="1"/>
  <c r="B402" i="1"/>
  <c r="B306" i="1"/>
  <c r="B410" i="1"/>
  <c r="B411" i="1"/>
  <c r="B412" i="1"/>
  <c r="B390" i="1"/>
  <c r="B413" i="1"/>
  <c r="B424" i="1"/>
  <c r="B433" i="1"/>
  <c r="B434" i="1"/>
  <c r="B257" i="1"/>
  <c r="B436" i="1"/>
  <c r="B441" i="1"/>
  <c r="B350" i="1"/>
  <c r="B443" i="1"/>
  <c r="B444" i="1"/>
  <c r="B445" i="1"/>
  <c r="B446" i="1"/>
  <c r="B447" i="1"/>
  <c r="B222" i="1"/>
  <c r="B448" i="1"/>
  <c r="B319" i="1"/>
  <c r="B451" i="1"/>
  <c r="A4" i="20"/>
  <c r="A5" i="20"/>
  <c r="A6" i="20"/>
  <c r="A7" i="20"/>
  <c r="A8" i="20"/>
  <c r="A9" i="20"/>
  <c r="A10" i="20"/>
  <c r="A11" i="20"/>
  <c r="A12" i="20"/>
  <c r="A13" i="20"/>
  <c r="A3" i="20"/>
  <c r="B155" i="18" l="1"/>
  <c r="B147" i="18"/>
  <c r="B148" i="18"/>
  <c r="B151" i="18"/>
  <c r="B149" i="18"/>
  <c r="B150" i="18"/>
  <c r="B152" i="18"/>
  <c r="B153" i="18"/>
  <c r="B154" i="18"/>
  <c r="B82" i="18"/>
  <c r="B98" i="18"/>
  <c r="B13" i="18"/>
  <c r="B17" i="18"/>
  <c r="B11" i="18"/>
  <c r="B15" i="18"/>
  <c r="B143" i="18"/>
  <c r="B14" i="18"/>
  <c r="B142" i="18"/>
  <c r="B3" i="18"/>
  <c r="B10" i="18"/>
  <c r="B79" i="18"/>
  <c r="B7" i="18"/>
  <c r="B2" i="18"/>
  <c r="B146" i="18"/>
  <c r="B144" i="18"/>
  <c r="B120" i="18"/>
  <c r="B104" i="18"/>
  <c r="B87" i="18"/>
  <c r="B105" i="18"/>
  <c r="B49" i="18"/>
  <c r="B90" i="18"/>
  <c r="B106" i="18"/>
  <c r="B60" i="18"/>
  <c r="B93" i="18"/>
  <c r="B119" i="18"/>
  <c r="B64" i="18"/>
  <c r="B96" i="18"/>
  <c r="B70" i="18"/>
  <c r="B97" i="18"/>
  <c r="B77" i="18"/>
  <c r="B101" i="18"/>
  <c r="B118" i="18"/>
  <c r="B103" i="18"/>
  <c r="B100" i="18"/>
  <c r="B95" i="18"/>
  <c r="B92" i="18"/>
  <c r="B81" i="18"/>
  <c r="B74" i="18"/>
  <c r="B55" i="18"/>
  <c r="B99" i="18"/>
  <c r="B112" i="18"/>
  <c r="B121" i="18"/>
  <c r="B102" i="18"/>
  <c r="B91" i="18"/>
  <c r="B94" i="18"/>
  <c r="B72" i="18"/>
  <c r="B51" i="18"/>
  <c r="B113" i="18"/>
  <c r="B61" i="18"/>
  <c r="B122" i="18"/>
  <c r="B43" i="18"/>
  <c r="B84" i="18"/>
  <c r="B8" i="18"/>
  <c r="B29" i="18"/>
  <c r="B38" i="18"/>
  <c r="B53" i="18"/>
  <c r="B76" i="18"/>
  <c r="B107" i="18"/>
  <c r="B26" i="18"/>
  <c r="B54" i="18"/>
  <c r="B16" i="18"/>
  <c r="B30" i="18"/>
  <c r="B37" i="18"/>
  <c r="B65" i="18"/>
  <c r="B117" i="18"/>
  <c r="B50" i="18"/>
  <c r="B12" i="18"/>
  <c r="B46" i="18"/>
  <c r="B145" i="18"/>
  <c r="B9" i="18"/>
  <c r="B134" i="18"/>
  <c r="B140" i="18"/>
  <c r="B141" i="18"/>
  <c r="B138" i="18"/>
  <c r="B135" i="18"/>
  <c r="B78" i="18"/>
  <c r="B137" i="18"/>
  <c r="B139" i="18"/>
  <c r="B136" i="18"/>
  <c r="B25" i="18"/>
  <c r="B83" i="18"/>
  <c r="B85" i="18"/>
  <c r="B18" i="18"/>
  <c r="B31" i="18"/>
  <c r="B35" i="18"/>
  <c r="B52" i="18"/>
  <c r="B66" i="18"/>
  <c r="B108" i="18"/>
  <c r="B123" i="18"/>
  <c r="B42" i="18"/>
  <c r="B133" i="18"/>
  <c r="B19" i="18"/>
  <c r="B32" i="18"/>
  <c r="B41" i="18"/>
  <c r="B56" i="18"/>
  <c r="B68" i="18"/>
  <c r="B115" i="18"/>
  <c r="B129" i="18"/>
  <c r="B67" i="18"/>
  <c r="B125" i="18"/>
  <c r="B23" i="18"/>
  <c r="B33" i="18"/>
  <c r="B39" i="18"/>
  <c r="B58" i="18"/>
  <c r="B69" i="18"/>
  <c r="B89" i="18"/>
  <c r="B124" i="18"/>
  <c r="B28" i="18"/>
  <c r="B80" i="18"/>
  <c r="B24" i="18"/>
  <c r="B34" i="18"/>
  <c r="B47" i="18"/>
  <c r="B57" i="18"/>
  <c r="B88" i="18"/>
  <c r="B110" i="18"/>
  <c r="B126" i="18"/>
  <c r="B130" i="18"/>
  <c r="B22" i="18"/>
  <c r="B40" i="18"/>
  <c r="B48" i="18"/>
  <c r="B59" i="18"/>
  <c r="B71" i="18"/>
  <c r="B109" i="18"/>
  <c r="B128" i="18"/>
  <c r="B131" i="18"/>
  <c r="B20" i="18"/>
  <c r="B45" i="18"/>
  <c r="B73" i="18"/>
  <c r="B116" i="18"/>
  <c r="B127" i="18"/>
  <c r="B5" i="18"/>
  <c r="B4" i="18"/>
  <c r="B21" i="18"/>
  <c r="B36" i="18"/>
  <c r="B62" i="18"/>
  <c r="B114" i="18"/>
  <c r="B86" i="18"/>
  <c r="B6" i="18"/>
  <c r="B27" i="18"/>
  <c r="B44" i="18"/>
  <c r="B63" i="18"/>
  <c r="B75" i="18"/>
  <c r="B111" i="18"/>
  <c r="B132" i="18"/>
  <c r="J5" i="1"/>
  <c r="J246" i="1"/>
  <c r="J272" i="1"/>
  <c r="J308" i="1"/>
  <c r="J6" i="1"/>
  <c r="J7" i="1"/>
  <c r="J8" i="1"/>
  <c r="J9" i="1"/>
  <c r="J10" i="1"/>
  <c r="J11" i="1"/>
  <c r="J255" i="1"/>
  <c r="J12" i="1"/>
  <c r="J13" i="1"/>
  <c r="J387" i="1"/>
  <c r="J14" i="1"/>
  <c r="J15" i="1"/>
  <c r="J16" i="1"/>
  <c r="J17" i="1"/>
  <c r="J18" i="1"/>
  <c r="J19" i="1"/>
  <c r="J22" i="1"/>
  <c r="J161" i="1"/>
  <c r="J293" i="1"/>
  <c r="J23" i="1"/>
  <c r="J301" i="1"/>
  <c r="J386" i="1"/>
  <c r="J24" i="1"/>
  <c r="J25" i="1"/>
  <c r="J115" i="1"/>
  <c r="J232" i="1"/>
  <c r="J265" i="1"/>
  <c r="J26" i="1"/>
  <c r="J27" i="1"/>
  <c r="J219" i="1"/>
  <c r="J130" i="1"/>
  <c r="J28" i="1"/>
  <c r="J215" i="1"/>
  <c r="J296" i="1"/>
  <c r="J297" i="1"/>
  <c r="J399" i="1"/>
  <c r="J30" i="1"/>
  <c r="J384" i="1"/>
  <c r="J32" i="1"/>
  <c r="J34" i="1"/>
  <c r="J225" i="1"/>
  <c r="J298" i="1"/>
  <c r="J35" i="1"/>
  <c r="J36" i="1"/>
  <c r="J37" i="1"/>
  <c r="J38" i="1"/>
  <c r="J39" i="1"/>
  <c r="J40" i="1"/>
  <c r="J322" i="1"/>
  <c r="J41" i="1"/>
  <c r="J42" i="1"/>
  <c r="J354" i="1"/>
  <c r="J207" i="1"/>
  <c r="J221" i="1"/>
  <c r="J393" i="1"/>
  <c r="J43" i="1"/>
  <c r="J44" i="1"/>
  <c r="J209" i="1"/>
  <c r="J45" i="1"/>
  <c r="J305" i="1"/>
  <c r="J347" i="1"/>
  <c r="J46" i="1"/>
  <c r="J320" i="1"/>
  <c r="J47" i="1"/>
  <c r="J49" i="1"/>
  <c r="J50" i="1"/>
  <c r="J226" i="1"/>
  <c r="J51" i="1"/>
  <c r="J52" i="1"/>
  <c r="J53" i="1"/>
  <c r="J114" i="1"/>
  <c r="J421" i="1"/>
  <c r="J54" i="1"/>
  <c r="J55" i="1"/>
  <c r="J288" i="1"/>
  <c r="J56" i="1"/>
  <c r="J57" i="1"/>
  <c r="J336" i="1"/>
  <c r="J58" i="1"/>
  <c r="J59" i="1"/>
  <c r="J224" i="1"/>
  <c r="J302" i="1"/>
  <c r="J60" i="1"/>
  <c r="J62" i="1"/>
  <c r="J63" i="1"/>
  <c r="J64" i="1"/>
  <c r="J65" i="1"/>
  <c r="J239" i="1"/>
  <c r="J369" i="1"/>
  <c r="J416" i="1"/>
  <c r="J66" i="1"/>
  <c r="J67" i="1"/>
  <c r="J68" i="1"/>
  <c r="J405" i="1"/>
  <c r="J174" i="1"/>
  <c r="J216" i="1"/>
  <c r="J70" i="1"/>
  <c r="J71" i="1"/>
  <c r="J164" i="1"/>
  <c r="J281" i="1"/>
  <c r="J72" i="1"/>
  <c r="J324" i="1"/>
  <c r="J415" i="1"/>
  <c r="J73" i="1"/>
  <c r="J74" i="1"/>
  <c r="J75" i="1"/>
  <c r="J76" i="1"/>
  <c r="J340" i="1"/>
  <c r="J78" i="1"/>
  <c r="J79" i="1"/>
  <c r="J267" i="1"/>
  <c r="J300" i="1"/>
  <c r="J80" i="1"/>
  <c r="J205" i="1"/>
  <c r="J251" i="1"/>
  <c r="J280" i="1"/>
  <c r="J242" i="1"/>
  <c r="J406" i="1"/>
  <c r="J159" i="1"/>
  <c r="J81" i="1"/>
  <c r="J250" i="1"/>
  <c r="J82" i="1"/>
  <c r="J84" i="1"/>
  <c r="J83" i="1"/>
  <c r="J86" i="1"/>
  <c r="J87" i="1"/>
  <c r="J88" i="1"/>
  <c r="J325" i="1"/>
  <c r="J167" i="1"/>
  <c r="J258" i="1"/>
  <c r="J318" i="1"/>
  <c r="J335" i="1"/>
  <c r="J392" i="1"/>
  <c r="J89" i="1"/>
  <c r="J90" i="1"/>
  <c r="J92" i="1"/>
  <c r="J391" i="1"/>
  <c r="J342" i="1"/>
  <c r="J93" i="1"/>
  <c r="J260" i="1"/>
  <c r="J303" i="1"/>
  <c r="J94" i="1"/>
  <c r="J163" i="1"/>
  <c r="J355" i="1"/>
  <c r="J95" i="1"/>
  <c r="J96" i="1"/>
  <c r="J97" i="1"/>
  <c r="J137" i="1"/>
  <c r="J98" i="1"/>
  <c r="J228" i="1"/>
  <c r="J266" i="1"/>
  <c r="J100" i="1"/>
  <c r="J101" i="1"/>
  <c r="J102" i="1"/>
  <c r="J103" i="1"/>
  <c r="J104" i="1"/>
  <c r="J204" i="1"/>
  <c r="J379" i="1"/>
  <c r="J397" i="1"/>
  <c r="J105" i="1"/>
  <c r="J271" i="1"/>
  <c r="J284" i="1"/>
  <c r="J243" i="1"/>
  <c r="J360" i="1"/>
  <c r="J106" i="1"/>
  <c r="J408" i="1"/>
  <c r="J107" i="1"/>
  <c r="J108" i="1"/>
  <c r="J109" i="1"/>
  <c r="J110" i="1"/>
  <c r="J275" i="1"/>
  <c r="J112" i="1"/>
  <c r="J113" i="1"/>
  <c r="J116" i="1"/>
  <c r="J220" i="1"/>
  <c r="J231" i="1"/>
  <c r="J117" i="1"/>
  <c r="J118" i="1"/>
  <c r="J119" i="1"/>
  <c r="J120" i="1"/>
  <c r="J121" i="1"/>
  <c r="J145" i="1"/>
  <c r="J256" i="1"/>
  <c r="J122" i="1"/>
  <c r="J123" i="1"/>
  <c r="J125" i="1"/>
  <c r="J333" i="1"/>
  <c r="J334" i="1"/>
  <c r="J126" i="1"/>
  <c r="J339" i="1"/>
  <c r="J423" i="1"/>
  <c r="J127" i="1"/>
  <c r="J128" i="1"/>
  <c r="J129" i="1"/>
  <c r="J131" i="1"/>
  <c r="J132" i="1"/>
  <c r="J149" i="1"/>
  <c r="J247" i="1"/>
  <c r="J359" i="1"/>
  <c r="J135" i="1"/>
  <c r="J136" i="1"/>
  <c r="J138" i="1"/>
  <c r="J111" i="1"/>
  <c r="J236" i="1"/>
  <c r="J140" i="1"/>
  <c r="J141" i="1"/>
  <c r="J142" i="1"/>
  <c r="J143" i="1"/>
  <c r="J144" i="1"/>
  <c r="J146" i="1"/>
  <c r="J147" i="1"/>
  <c r="J264" i="1"/>
  <c r="J148" i="1"/>
  <c r="J150" i="1"/>
  <c r="J153" i="1"/>
  <c r="J241" i="1"/>
  <c r="J270" i="1"/>
  <c r="J307" i="1"/>
  <c r="J151" i="1"/>
  <c r="J395" i="1"/>
  <c r="J407" i="1"/>
  <c r="J152" i="1"/>
  <c r="J155" i="1"/>
  <c r="J156" i="1"/>
  <c r="J158" i="1"/>
  <c r="J160" i="1"/>
  <c r="J134" i="1"/>
  <c r="J162" i="1"/>
  <c r="J165" i="1"/>
  <c r="J168" i="1"/>
  <c r="J223" i="1"/>
  <c r="J169" i="1"/>
  <c r="J420" i="1"/>
  <c r="J170" i="1"/>
  <c r="J171" i="1"/>
  <c r="J172" i="1"/>
  <c r="J173" i="1"/>
  <c r="J175" i="1"/>
  <c r="J176" i="1"/>
  <c r="J177" i="1"/>
  <c r="J179" i="1"/>
  <c r="J180" i="1"/>
  <c r="J181" i="1"/>
  <c r="J184" i="1"/>
  <c r="J252" i="1"/>
  <c r="J248" i="1"/>
  <c r="J277" i="1"/>
  <c r="J185" i="1"/>
  <c r="J398" i="1"/>
  <c r="J417" i="1"/>
  <c r="J154" i="1"/>
  <c r="J187" i="1"/>
  <c r="J188" i="1"/>
  <c r="J235" i="1"/>
  <c r="J240" i="1"/>
  <c r="J358" i="1"/>
  <c r="J364" i="1"/>
  <c r="J189" i="1"/>
  <c r="J190" i="1"/>
  <c r="J262" i="1"/>
  <c r="J191" i="1"/>
  <c r="J182" i="1"/>
  <c r="J233" i="1"/>
  <c r="J193" i="1"/>
  <c r="J194" i="1"/>
  <c r="J196" i="1"/>
  <c r="J166" i="1"/>
  <c r="J197" i="1"/>
  <c r="J198" i="1"/>
  <c r="J199" i="1"/>
  <c r="J200" i="1"/>
  <c r="J201" i="1"/>
  <c r="J343" i="1"/>
  <c r="J376" i="1"/>
  <c r="J388" i="1"/>
  <c r="J202" i="1"/>
  <c r="J341" i="1"/>
  <c r="J203" i="1"/>
  <c r="J206" i="1"/>
  <c r="J210" i="1"/>
  <c r="J211" i="1"/>
  <c r="J212" i="1"/>
  <c r="J425" i="1"/>
  <c r="J213" i="1"/>
  <c r="J291" i="1"/>
  <c r="J214" i="1"/>
  <c r="J245" i="1"/>
  <c r="J217" i="1"/>
  <c r="J229" i="1"/>
  <c r="J238" i="1"/>
  <c r="J244" i="1"/>
  <c r="J254" i="1"/>
  <c r="J279" i="1"/>
  <c r="J314" i="1"/>
  <c r="J419" i="1"/>
  <c r="J273" i="1"/>
  <c r="J276" i="1"/>
  <c r="J289" i="1"/>
  <c r="J292" i="1"/>
  <c r="J418" i="1"/>
  <c r="J385" i="1"/>
  <c r="J295" i="1"/>
  <c r="J309" i="1"/>
  <c r="J316" i="1"/>
  <c r="J323" i="1"/>
  <c r="J327" i="1"/>
  <c r="J332" i="1"/>
  <c r="J345" i="1"/>
  <c r="J346" i="1"/>
  <c r="J348" i="1"/>
  <c r="J351" i="1"/>
  <c r="J352" i="1"/>
  <c r="J362" i="1"/>
  <c r="J365" i="1"/>
  <c r="J124" i="1"/>
  <c r="J227" i="1"/>
  <c r="J218" i="1"/>
  <c r="J286" i="1"/>
  <c r="J349" i="1"/>
  <c r="J269" i="1"/>
  <c r="J373" i="1"/>
  <c r="J33" i="1"/>
  <c r="J374" i="1"/>
  <c r="J375" i="1"/>
  <c r="J377" i="1"/>
  <c r="J402" i="1"/>
  <c r="J306" i="1"/>
  <c r="J410" i="1"/>
  <c r="J411" i="1"/>
  <c r="J412" i="1"/>
  <c r="J390" i="1"/>
  <c r="J413" i="1"/>
  <c r="J424" i="1"/>
  <c r="J433" i="1"/>
  <c r="J434" i="1"/>
  <c r="J257" i="1"/>
  <c r="J436" i="1"/>
  <c r="J441" i="1"/>
  <c r="J350" i="1"/>
  <c r="J443" i="1"/>
  <c r="J444" i="1"/>
  <c r="J445" i="1"/>
  <c r="J446" i="1"/>
  <c r="J447" i="1"/>
  <c r="J222" i="1"/>
  <c r="J448" i="1"/>
  <c r="J319" i="1"/>
  <c r="J451" i="1"/>
  <c r="J3" i="1"/>
  <c r="L99" i="1" l="1"/>
  <c r="O99" i="1"/>
  <c r="L451" i="1"/>
  <c r="L448" i="1"/>
  <c r="L402" i="1"/>
  <c r="L33" i="1"/>
  <c r="L373" i="1"/>
  <c r="L365" i="1"/>
  <c r="L345" i="1"/>
  <c r="L292" i="1"/>
  <c r="L289" i="1"/>
  <c r="L217" i="1"/>
  <c r="L213" i="1"/>
  <c r="L206" i="1"/>
  <c r="L201" i="1"/>
  <c r="L200" i="1"/>
  <c r="L198" i="1"/>
  <c r="L193" i="1"/>
  <c r="L189" i="1"/>
  <c r="L180" i="1"/>
  <c r="L176" i="1"/>
  <c r="L147" i="1"/>
  <c r="L140" i="1"/>
  <c r="L136" i="1"/>
  <c r="L135" i="1"/>
  <c r="L132" i="1"/>
  <c r="L122" i="1"/>
  <c r="L108" i="1"/>
  <c r="L106" i="1"/>
  <c r="L100" i="1"/>
  <c r="L98" i="1"/>
  <c r="L97" i="1"/>
  <c r="L90" i="1"/>
  <c r="L88" i="1"/>
  <c r="L80" i="1"/>
  <c r="L73" i="1"/>
  <c r="L63" i="1"/>
  <c r="L56" i="1"/>
  <c r="L43" i="1"/>
  <c r="L42" i="1"/>
  <c r="L41" i="1"/>
  <c r="L40" i="1"/>
  <c r="L39" i="1"/>
  <c r="L38" i="1"/>
  <c r="L36" i="1"/>
  <c r="L34" i="1"/>
  <c r="L25" i="1"/>
  <c r="L10" i="1"/>
  <c r="L8" i="1"/>
  <c r="L6" i="1"/>
  <c r="O3" i="1"/>
  <c r="O5" i="1"/>
  <c r="O246" i="1"/>
  <c r="O272" i="1"/>
  <c r="O308" i="1"/>
  <c r="O7" i="1"/>
  <c r="O9" i="1"/>
  <c r="O11" i="1"/>
  <c r="O255" i="1"/>
  <c r="O12" i="1"/>
  <c r="O13" i="1"/>
  <c r="O387" i="1"/>
  <c r="O14" i="1"/>
  <c r="O15" i="1"/>
  <c r="O16" i="1"/>
  <c r="O17" i="1"/>
  <c r="O18" i="1"/>
  <c r="O19" i="1"/>
  <c r="O22" i="1"/>
  <c r="O161" i="1"/>
  <c r="O293" i="1"/>
  <c r="O23" i="1"/>
  <c r="O301" i="1"/>
  <c r="O386" i="1"/>
  <c r="O24" i="1"/>
  <c r="O115" i="1"/>
  <c r="O232" i="1"/>
  <c r="O265" i="1"/>
  <c r="O26" i="1"/>
  <c r="O27" i="1"/>
  <c r="O219" i="1"/>
  <c r="O130" i="1"/>
  <c r="O28" i="1"/>
  <c r="O215" i="1"/>
  <c r="O296" i="1"/>
  <c r="O297" i="1"/>
  <c r="O399" i="1"/>
  <c r="O30" i="1"/>
  <c r="O384" i="1"/>
  <c r="O32" i="1"/>
  <c r="O225" i="1"/>
  <c r="O298" i="1"/>
  <c r="O35" i="1"/>
  <c r="O37" i="1"/>
  <c r="O322" i="1"/>
  <c r="O354" i="1"/>
  <c r="O207" i="1"/>
  <c r="O221" i="1"/>
  <c r="O393" i="1"/>
  <c r="O44" i="1"/>
  <c r="O209" i="1"/>
  <c r="O45" i="1"/>
  <c r="O305" i="1"/>
  <c r="O347" i="1"/>
  <c r="O46" i="1"/>
  <c r="O320" i="1"/>
  <c r="O47" i="1"/>
  <c r="O49" i="1"/>
  <c r="O50" i="1"/>
  <c r="O226" i="1"/>
  <c r="O51" i="1"/>
  <c r="O52" i="1"/>
  <c r="O53" i="1"/>
  <c r="O114" i="1"/>
  <c r="O421" i="1"/>
  <c r="O54" i="1"/>
  <c r="O55" i="1"/>
  <c r="O288" i="1"/>
  <c r="O57" i="1"/>
  <c r="O336" i="1"/>
  <c r="O58" i="1"/>
  <c r="O59" i="1"/>
  <c r="O224" i="1"/>
  <c r="O302" i="1"/>
  <c r="O60" i="1"/>
  <c r="O62" i="1"/>
  <c r="O64" i="1"/>
  <c r="O239" i="1"/>
  <c r="O369" i="1"/>
  <c r="O416" i="1"/>
  <c r="O66" i="1"/>
  <c r="O67" i="1"/>
  <c r="O68" i="1"/>
  <c r="O405" i="1"/>
  <c r="O174" i="1"/>
  <c r="O216" i="1"/>
  <c r="O70" i="1"/>
  <c r="O71" i="1"/>
  <c r="O164" i="1"/>
  <c r="O281" i="1"/>
  <c r="O72" i="1"/>
  <c r="O324" i="1"/>
  <c r="O415" i="1"/>
  <c r="O74" i="1"/>
  <c r="O75" i="1"/>
  <c r="O76" i="1"/>
  <c r="O340" i="1"/>
  <c r="O78" i="1"/>
  <c r="O79" i="1"/>
  <c r="O267" i="1"/>
  <c r="O300" i="1"/>
  <c r="O205" i="1"/>
  <c r="O251" i="1"/>
  <c r="O280" i="1"/>
  <c r="O242" i="1"/>
  <c r="O406" i="1"/>
  <c r="O159" i="1"/>
  <c r="O81" i="1"/>
  <c r="O250" i="1"/>
  <c r="O82" i="1"/>
  <c r="O84" i="1"/>
  <c r="O83" i="1"/>
  <c r="O86" i="1"/>
  <c r="O87" i="1"/>
  <c r="O325" i="1"/>
  <c r="O167" i="1"/>
  <c r="O258" i="1"/>
  <c r="O318" i="1"/>
  <c r="O335" i="1"/>
  <c r="O392" i="1"/>
  <c r="O89" i="1"/>
  <c r="O92" i="1"/>
  <c r="O391" i="1"/>
  <c r="O342" i="1"/>
  <c r="O93" i="1"/>
  <c r="O260" i="1"/>
  <c r="O303" i="1"/>
  <c r="O94" i="1"/>
  <c r="O163" i="1"/>
  <c r="O355" i="1"/>
  <c r="O95" i="1"/>
  <c r="O96" i="1"/>
  <c r="O137" i="1"/>
  <c r="O228" i="1"/>
  <c r="O266" i="1"/>
  <c r="O101" i="1"/>
  <c r="O102" i="1"/>
  <c r="O103" i="1"/>
  <c r="O104" i="1"/>
  <c r="O204" i="1"/>
  <c r="O379" i="1"/>
  <c r="O397" i="1"/>
  <c r="O105" i="1"/>
  <c r="O271" i="1"/>
  <c r="O284" i="1"/>
  <c r="O243" i="1"/>
  <c r="O360" i="1"/>
  <c r="O408" i="1"/>
  <c r="O107" i="1"/>
  <c r="O109" i="1"/>
  <c r="O110" i="1"/>
  <c r="O275" i="1"/>
  <c r="O112" i="1"/>
  <c r="O113" i="1"/>
  <c r="O116" i="1"/>
  <c r="O220" i="1"/>
  <c r="O231" i="1"/>
  <c r="O117" i="1"/>
  <c r="O118" i="1"/>
  <c r="O119" i="1"/>
  <c r="O120" i="1"/>
  <c r="O121" i="1"/>
  <c r="O145" i="1"/>
  <c r="O256" i="1"/>
  <c r="O123" i="1"/>
  <c r="O125" i="1"/>
  <c r="O333" i="1"/>
  <c r="O334" i="1"/>
  <c r="O126" i="1"/>
  <c r="O339" i="1"/>
  <c r="O423" i="1"/>
  <c r="O127" i="1"/>
  <c r="O128" i="1"/>
  <c r="O129" i="1"/>
  <c r="O131" i="1"/>
  <c r="O149" i="1"/>
  <c r="O247" i="1"/>
  <c r="O359" i="1"/>
  <c r="O138" i="1"/>
  <c r="O111" i="1"/>
  <c r="O236" i="1"/>
  <c r="O141" i="1"/>
  <c r="O142" i="1"/>
  <c r="O143" i="1"/>
  <c r="O144" i="1"/>
  <c r="O146" i="1"/>
  <c r="O264" i="1"/>
  <c r="O148" i="1"/>
  <c r="O150" i="1"/>
  <c r="O153" i="1"/>
  <c r="O241" i="1"/>
  <c r="O270" i="1"/>
  <c r="O307" i="1"/>
  <c r="O151" i="1"/>
  <c r="O395" i="1"/>
  <c r="O407" i="1"/>
  <c r="O152" i="1"/>
  <c r="O155" i="1"/>
  <c r="O156" i="1"/>
  <c r="O158" i="1"/>
  <c r="O160" i="1"/>
  <c r="O134" i="1"/>
  <c r="O162" i="1"/>
  <c r="O165" i="1"/>
  <c r="O168" i="1"/>
  <c r="O223" i="1"/>
  <c r="O169" i="1"/>
  <c r="O420" i="1"/>
  <c r="O170" i="1"/>
  <c r="O171" i="1"/>
  <c r="O172" i="1"/>
  <c r="O173" i="1"/>
  <c r="O175" i="1"/>
  <c r="O177" i="1"/>
  <c r="O179" i="1"/>
  <c r="O181" i="1"/>
  <c r="O184" i="1"/>
  <c r="O252" i="1"/>
  <c r="O248" i="1"/>
  <c r="O277" i="1"/>
  <c r="O185" i="1"/>
  <c r="O398" i="1"/>
  <c r="O417" i="1"/>
  <c r="O154" i="1"/>
  <c r="O187" i="1"/>
  <c r="O188" i="1"/>
  <c r="O235" i="1"/>
  <c r="O240" i="1"/>
  <c r="O358" i="1"/>
  <c r="O364" i="1"/>
  <c r="O190" i="1"/>
  <c r="O262" i="1"/>
  <c r="O191" i="1"/>
  <c r="O182" i="1"/>
  <c r="O233" i="1"/>
  <c r="O194" i="1"/>
  <c r="O196" i="1"/>
  <c r="O166" i="1"/>
  <c r="O197" i="1"/>
  <c r="O199" i="1"/>
  <c r="O343" i="1"/>
  <c r="O376" i="1"/>
  <c r="O388" i="1"/>
  <c r="O202" i="1"/>
  <c r="O341" i="1"/>
  <c r="O203" i="1"/>
  <c r="O210" i="1"/>
  <c r="O211" i="1"/>
  <c r="O212" i="1"/>
  <c r="O425" i="1"/>
  <c r="O291" i="1"/>
  <c r="O214" i="1"/>
  <c r="O245" i="1"/>
  <c r="O229" i="1"/>
  <c r="O238" i="1"/>
  <c r="O244" i="1"/>
  <c r="O254" i="1"/>
  <c r="O279" i="1"/>
  <c r="O314" i="1"/>
  <c r="O419" i="1"/>
  <c r="O273" i="1"/>
  <c r="O276" i="1"/>
  <c r="O418" i="1"/>
  <c r="O385" i="1"/>
  <c r="O295" i="1"/>
  <c r="O309" i="1"/>
  <c r="O316" i="1"/>
  <c r="O323" i="1"/>
  <c r="O327" i="1"/>
  <c r="O332" i="1"/>
  <c r="O346" i="1"/>
  <c r="O348" i="1"/>
  <c r="O351" i="1"/>
  <c r="O352" i="1"/>
  <c r="O362" i="1"/>
  <c r="O124" i="1"/>
  <c r="O227" i="1"/>
  <c r="O218" i="1"/>
  <c r="O286" i="1"/>
  <c r="O349" i="1"/>
  <c r="O269" i="1"/>
  <c r="O374" i="1"/>
  <c r="O375" i="1"/>
  <c r="O377" i="1"/>
  <c r="O306" i="1"/>
  <c r="O410" i="1"/>
  <c r="O411" i="1"/>
  <c r="O412" i="1"/>
  <c r="O390" i="1"/>
  <c r="O413" i="1"/>
  <c r="O424" i="1"/>
  <c r="O433" i="1"/>
  <c r="O434" i="1"/>
  <c r="O257" i="1"/>
  <c r="O436" i="1"/>
  <c r="O441" i="1"/>
  <c r="O350" i="1"/>
  <c r="O443" i="1"/>
  <c r="O444" i="1"/>
  <c r="O445" i="1"/>
  <c r="O446" i="1"/>
  <c r="O447" i="1"/>
  <c r="O222" i="1"/>
  <c r="O319" i="1"/>
  <c r="L3" i="1"/>
  <c r="L4" i="1"/>
  <c r="L5" i="1"/>
  <c r="L246" i="1"/>
  <c r="L272" i="1"/>
  <c r="L308" i="1"/>
  <c r="L7" i="1"/>
  <c r="L9" i="1"/>
  <c r="L11" i="1"/>
  <c r="L255" i="1"/>
  <c r="L12" i="1"/>
  <c r="L13" i="1"/>
  <c r="L387" i="1"/>
  <c r="L14" i="1"/>
  <c r="L15" i="1"/>
  <c r="L16" i="1"/>
  <c r="L17" i="1"/>
  <c r="L18" i="1"/>
  <c r="L19" i="1"/>
  <c r="L22" i="1"/>
  <c r="L161" i="1"/>
  <c r="L293" i="1"/>
  <c r="L23" i="1"/>
  <c r="L301" i="1"/>
  <c r="L386" i="1"/>
  <c r="L24" i="1"/>
  <c r="L115" i="1"/>
  <c r="L232" i="1"/>
  <c r="L265" i="1"/>
  <c r="L26" i="1"/>
  <c r="L27" i="1"/>
  <c r="L219" i="1"/>
  <c r="L130" i="1"/>
  <c r="L28" i="1"/>
  <c r="L215" i="1"/>
  <c r="L296" i="1"/>
  <c r="L297" i="1"/>
  <c r="L399" i="1"/>
  <c r="L30" i="1"/>
  <c r="L384" i="1"/>
  <c r="L32" i="1"/>
  <c r="L225" i="1"/>
  <c r="L298" i="1"/>
  <c r="L35" i="1"/>
  <c r="L37" i="1"/>
  <c r="L322" i="1"/>
  <c r="L354" i="1"/>
  <c r="L207" i="1"/>
  <c r="L221" i="1"/>
  <c r="L393" i="1"/>
  <c r="L44" i="1"/>
  <c r="L209" i="1"/>
  <c r="L45" i="1"/>
  <c r="L305" i="1"/>
  <c r="L347" i="1"/>
  <c r="L46" i="1"/>
  <c r="L320" i="1"/>
  <c r="L47" i="1"/>
  <c r="L49" i="1"/>
  <c r="L50" i="1"/>
  <c r="L226" i="1"/>
  <c r="L51" i="1"/>
  <c r="L52" i="1"/>
  <c r="L53" i="1"/>
  <c r="L114" i="1"/>
  <c r="L421" i="1"/>
  <c r="L54" i="1"/>
  <c r="L55" i="1"/>
  <c r="L288" i="1"/>
  <c r="L57" i="1"/>
  <c r="L336" i="1"/>
  <c r="L58" i="1"/>
  <c r="L59" i="1"/>
  <c r="L224" i="1"/>
  <c r="L302" i="1"/>
  <c r="L60" i="1"/>
  <c r="L62" i="1"/>
  <c r="L64" i="1"/>
  <c r="L239" i="1"/>
  <c r="L369" i="1"/>
  <c r="L416" i="1"/>
  <c r="L66" i="1"/>
  <c r="L67" i="1"/>
  <c r="L68" i="1"/>
  <c r="L405" i="1"/>
  <c r="L174" i="1"/>
  <c r="L216" i="1"/>
  <c r="L70" i="1"/>
  <c r="L71" i="1"/>
  <c r="L164" i="1"/>
  <c r="L281" i="1"/>
  <c r="L72" i="1"/>
  <c r="L324" i="1"/>
  <c r="L415" i="1"/>
  <c r="L74" i="1"/>
  <c r="L75" i="1"/>
  <c r="L76" i="1"/>
  <c r="L340" i="1"/>
  <c r="L78" i="1"/>
  <c r="L79" i="1"/>
  <c r="L267" i="1"/>
  <c r="L300" i="1"/>
  <c r="L205" i="1"/>
  <c r="L251" i="1"/>
  <c r="L280" i="1"/>
  <c r="L242" i="1"/>
  <c r="L406" i="1"/>
  <c r="L159" i="1"/>
  <c r="L81" i="1"/>
  <c r="L250" i="1"/>
  <c r="L82" i="1"/>
  <c r="L84" i="1"/>
  <c r="L83" i="1"/>
  <c r="L86" i="1"/>
  <c r="L87" i="1"/>
  <c r="L325" i="1"/>
  <c r="L167" i="1"/>
  <c r="L258" i="1"/>
  <c r="L318" i="1"/>
  <c r="L335" i="1"/>
  <c r="L392" i="1"/>
  <c r="L89" i="1"/>
  <c r="L92" i="1"/>
  <c r="L391" i="1"/>
  <c r="L342" i="1"/>
  <c r="L93" i="1"/>
  <c r="L260" i="1"/>
  <c r="L303" i="1"/>
  <c r="L94" i="1"/>
  <c r="L163" i="1"/>
  <c r="L355" i="1"/>
  <c r="L95" i="1"/>
  <c r="L96" i="1"/>
  <c r="L137" i="1"/>
  <c r="L228" i="1"/>
  <c r="L266" i="1"/>
  <c r="L101" i="1"/>
  <c r="L102" i="1"/>
  <c r="L103" i="1"/>
  <c r="L104" i="1"/>
  <c r="L204" i="1"/>
  <c r="L379" i="1"/>
  <c r="L397" i="1"/>
  <c r="L105" i="1"/>
  <c r="L271" i="1"/>
  <c r="L284" i="1"/>
  <c r="L243" i="1"/>
  <c r="L360" i="1"/>
  <c r="L408" i="1"/>
  <c r="L107" i="1"/>
  <c r="L109" i="1"/>
  <c r="L110" i="1"/>
  <c r="L275" i="1"/>
  <c r="L112" i="1"/>
  <c r="L113" i="1"/>
  <c r="L116" i="1"/>
  <c r="L220" i="1"/>
  <c r="L231" i="1"/>
  <c r="L117" i="1"/>
  <c r="L118" i="1"/>
  <c r="L119" i="1"/>
  <c r="L120" i="1"/>
  <c r="L121" i="1"/>
  <c r="L145" i="1"/>
  <c r="L256" i="1"/>
  <c r="L123" i="1"/>
  <c r="L125" i="1"/>
  <c r="L333" i="1"/>
  <c r="L334" i="1"/>
  <c r="L126" i="1"/>
  <c r="L339" i="1"/>
  <c r="L423" i="1"/>
  <c r="L127" i="1"/>
  <c r="L128" i="1"/>
  <c r="L129" i="1"/>
  <c r="L131" i="1"/>
  <c r="L149" i="1"/>
  <c r="L247" i="1"/>
  <c r="L359" i="1"/>
  <c r="L138" i="1"/>
  <c r="L111" i="1"/>
  <c r="L236" i="1"/>
  <c r="L141" i="1"/>
  <c r="L142" i="1"/>
  <c r="L143" i="1"/>
  <c r="L144" i="1"/>
  <c r="L146" i="1"/>
  <c r="L264" i="1"/>
  <c r="L148" i="1"/>
  <c r="L150" i="1"/>
  <c r="L153" i="1"/>
  <c r="L241" i="1"/>
  <c r="L270" i="1"/>
  <c r="L307" i="1"/>
  <c r="L151" i="1"/>
  <c r="L395" i="1"/>
  <c r="L407" i="1"/>
  <c r="L152" i="1"/>
  <c r="L155" i="1"/>
  <c r="L156" i="1"/>
  <c r="L158" i="1"/>
  <c r="L160" i="1"/>
  <c r="L134" i="1"/>
  <c r="L162" i="1"/>
  <c r="L165" i="1"/>
  <c r="L168" i="1"/>
  <c r="L223" i="1"/>
  <c r="L169" i="1"/>
  <c r="L420" i="1"/>
  <c r="L170" i="1"/>
  <c r="L171" i="1"/>
  <c r="L172" i="1"/>
  <c r="L173" i="1"/>
  <c r="L175" i="1"/>
  <c r="L177" i="1"/>
  <c r="L179" i="1"/>
  <c r="L181" i="1"/>
  <c r="L184" i="1"/>
  <c r="L252" i="1"/>
  <c r="L248" i="1"/>
  <c r="L277" i="1"/>
  <c r="L185" i="1"/>
  <c r="L398" i="1"/>
  <c r="L417" i="1"/>
  <c r="L154" i="1"/>
  <c r="L187" i="1"/>
  <c r="L188" i="1"/>
  <c r="L235" i="1"/>
  <c r="L240" i="1"/>
  <c r="L358" i="1"/>
  <c r="L364" i="1"/>
  <c r="L190" i="1"/>
  <c r="L262" i="1"/>
  <c r="L191" i="1"/>
  <c r="L182" i="1"/>
  <c r="L233" i="1"/>
  <c r="L194" i="1"/>
  <c r="L196" i="1"/>
  <c r="L166" i="1"/>
  <c r="L197" i="1"/>
  <c r="L199" i="1"/>
  <c r="L343" i="1"/>
  <c r="L376" i="1"/>
  <c r="L388" i="1"/>
  <c r="L202" i="1"/>
  <c r="L341" i="1"/>
  <c r="L203" i="1"/>
  <c r="L210" i="1"/>
  <c r="L211" i="1"/>
  <c r="L212" i="1"/>
  <c r="L425" i="1"/>
  <c r="L291" i="1"/>
  <c r="L214" i="1"/>
  <c r="L245" i="1"/>
  <c r="L229" i="1"/>
  <c r="L238" i="1"/>
  <c r="L244" i="1"/>
  <c r="L254" i="1"/>
  <c r="L279" i="1"/>
  <c r="L314" i="1"/>
  <c r="L419" i="1"/>
  <c r="L273" i="1"/>
  <c r="L276" i="1"/>
  <c r="L418" i="1"/>
  <c r="L385" i="1"/>
  <c r="L295" i="1"/>
  <c r="L309" i="1"/>
  <c r="L316" i="1"/>
  <c r="L323" i="1"/>
  <c r="L327" i="1"/>
  <c r="L332" i="1"/>
  <c r="L346" i="1"/>
  <c r="L348" i="1"/>
  <c r="L351" i="1"/>
  <c r="L352" i="1"/>
  <c r="L362" i="1"/>
  <c r="L124" i="1"/>
  <c r="L227" i="1"/>
  <c r="L218" i="1"/>
  <c r="L286" i="1"/>
  <c r="L349" i="1"/>
  <c r="L269" i="1"/>
  <c r="L374" i="1"/>
  <c r="L375" i="1"/>
  <c r="L377" i="1"/>
  <c r="L306" i="1"/>
  <c r="L410" i="1"/>
  <c r="L411" i="1"/>
  <c r="L412" i="1"/>
  <c r="L390" i="1"/>
  <c r="L413" i="1"/>
  <c r="L424" i="1"/>
  <c r="L433" i="1"/>
  <c r="L434" i="1"/>
  <c r="L257" i="1"/>
  <c r="L436" i="1"/>
  <c r="L441" i="1"/>
  <c r="L350" i="1"/>
  <c r="L443" i="1"/>
  <c r="L444" i="1"/>
  <c r="L445" i="1"/>
  <c r="L446" i="1"/>
  <c r="L447" i="1"/>
  <c r="L222" i="1"/>
  <c r="L319" i="1"/>
  <c r="J4" i="1"/>
  <c r="AD3" i="15" l="1"/>
  <c r="AD11" i="15"/>
  <c r="AD19" i="15"/>
  <c r="AD27" i="15"/>
  <c r="AD35" i="15"/>
  <c r="AD43" i="15"/>
  <c r="AD51" i="15"/>
  <c r="AD59" i="15"/>
  <c r="AD67" i="15"/>
  <c r="AD75" i="15"/>
  <c r="AD83" i="15"/>
  <c r="AD91" i="15"/>
  <c r="AD99" i="15"/>
  <c r="AD107" i="15"/>
  <c r="AD115" i="15"/>
  <c r="AD123" i="15"/>
  <c r="AD131" i="15"/>
  <c r="AD139" i="15"/>
  <c r="AD147" i="15"/>
  <c r="AD155" i="15"/>
  <c r="AD163" i="15"/>
  <c r="AD171" i="15"/>
  <c r="AD179" i="15"/>
  <c r="AD187" i="15"/>
  <c r="AD195" i="15"/>
  <c r="AD203" i="15"/>
  <c r="AD211" i="15"/>
  <c r="AD219" i="15"/>
  <c r="AD227" i="15"/>
  <c r="AD235" i="15"/>
  <c r="AD243" i="15"/>
  <c r="AD251" i="15"/>
  <c r="AD259" i="15"/>
  <c r="AD267" i="15"/>
  <c r="AD275" i="15"/>
  <c r="AD283" i="15"/>
  <c r="AD291" i="15"/>
  <c r="AD299" i="15"/>
  <c r="AD307" i="15"/>
  <c r="AD315" i="15"/>
  <c r="AD323" i="15"/>
  <c r="AD331" i="15"/>
  <c r="AD347" i="15"/>
  <c r="AD371" i="15"/>
  <c r="AD387" i="15"/>
  <c r="AD4" i="15"/>
  <c r="AD12" i="15"/>
  <c r="AD20" i="15"/>
  <c r="AD28" i="15"/>
  <c r="AD36" i="15"/>
  <c r="AD44" i="15"/>
  <c r="AD52" i="15"/>
  <c r="AD60" i="15"/>
  <c r="AD68" i="15"/>
  <c r="AD76" i="15"/>
  <c r="AD84" i="15"/>
  <c r="AD92" i="15"/>
  <c r="AD100" i="15"/>
  <c r="AD108" i="15"/>
  <c r="AD116" i="15"/>
  <c r="AD124" i="15"/>
  <c r="AD132" i="15"/>
  <c r="AD140" i="15"/>
  <c r="AD148" i="15"/>
  <c r="AD156" i="15"/>
  <c r="AD164" i="15"/>
  <c r="AD172" i="15"/>
  <c r="AD180" i="15"/>
  <c r="AD188" i="15"/>
  <c r="AD196" i="15"/>
  <c r="AD204" i="15"/>
  <c r="AD212" i="15"/>
  <c r="AD220" i="15"/>
  <c r="AD228" i="15"/>
  <c r="AD236" i="15"/>
  <c r="AD244" i="15"/>
  <c r="AD252" i="15"/>
  <c r="AD260" i="15"/>
  <c r="AD268" i="15"/>
  <c r="AD276" i="15"/>
  <c r="AD284" i="15"/>
  <c r="AD292" i="15"/>
  <c r="AD300" i="15"/>
  <c r="AD308" i="15"/>
  <c r="AD316" i="15"/>
  <c r="AD324" i="15"/>
  <c r="AD332" i="15"/>
  <c r="AD340" i="15"/>
  <c r="AD348" i="15"/>
  <c r="AD356" i="15"/>
  <c r="AD364" i="15"/>
  <c r="AD372" i="15"/>
  <c r="AD380" i="15"/>
  <c r="AD388" i="15"/>
  <c r="AD396" i="15"/>
  <c r="AD333" i="15"/>
  <c r="AD357" i="15"/>
  <c r="AD373" i="15"/>
  <c r="AD397" i="15"/>
  <c r="AD366" i="15"/>
  <c r="AD382" i="15"/>
  <c r="AD398" i="15"/>
  <c r="AD33" i="15"/>
  <c r="AD73" i="15"/>
  <c r="AD97" i="15"/>
  <c r="AD121" i="15"/>
  <c r="AD145" i="15"/>
  <c r="AD161" i="15"/>
  <c r="AD193" i="15"/>
  <c r="AD217" i="15"/>
  <c r="AD257" i="15"/>
  <c r="AD281" i="15"/>
  <c r="AD313" i="15"/>
  <c r="AD345" i="15"/>
  <c r="AD361" i="15"/>
  <c r="AD385" i="15"/>
  <c r="AD5" i="15"/>
  <c r="AD13" i="15"/>
  <c r="AD21" i="15"/>
  <c r="AD29" i="15"/>
  <c r="AD37" i="15"/>
  <c r="AD45" i="15"/>
  <c r="AD53" i="15"/>
  <c r="AD61" i="15"/>
  <c r="AD69" i="15"/>
  <c r="AD77" i="15"/>
  <c r="AD85" i="15"/>
  <c r="AD93" i="15"/>
  <c r="AD101" i="15"/>
  <c r="AD109" i="15"/>
  <c r="AD117" i="15"/>
  <c r="AD125" i="15"/>
  <c r="AD133" i="15"/>
  <c r="AD141" i="15"/>
  <c r="AD149" i="15"/>
  <c r="AD157" i="15"/>
  <c r="AD165" i="15"/>
  <c r="AD173" i="15"/>
  <c r="AD181" i="15"/>
  <c r="AD189" i="15"/>
  <c r="AD197" i="15"/>
  <c r="AD205" i="15"/>
  <c r="AD213" i="15"/>
  <c r="AD221" i="15"/>
  <c r="AD229" i="15"/>
  <c r="AD237" i="15"/>
  <c r="AD245" i="15"/>
  <c r="AD253" i="15"/>
  <c r="AD261" i="15"/>
  <c r="AD269" i="15"/>
  <c r="AD277" i="15"/>
  <c r="AD285" i="15"/>
  <c r="AD293" i="15"/>
  <c r="AD301" i="15"/>
  <c r="AD309" i="15"/>
  <c r="AD317" i="15"/>
  <c r="AD325" i="15"/>
  <c r="AD341" i="15"/>
  <c r="AD349" i="15"/>
  <c r="AD365" i="15"/>
  <c r="AD381" i="15"/>
  <c r="AD389" i="15"/>
  <c r="AD374" i="15"/>
  <c r="AD390" i="15"/>
  <c r="AD41" i="15"/>
  <c r="AD65" i="15"/>
  <c r="AD105" i="15"/>
  <c r="AD129" i="15"/>
  <c r="AD153" i="15"/>
  <c r="AD177" i="15"/>
  <c r="AD209" i="15"/>
  <c r="AD273" i="15"/>
  <c r="AD329" i="15"/>
  <c r="AD6" i="15"/>
  <c r="AD14" i="15"/>
  <c r="AD22" i="15"/>
  <c r="AD30" i="15"/>
  <c r="AD38" i="15"/>
  <c r="AD46" i="15"/>
  <c r="AD54" i="15"/>
  <c r="AD62" i="15"/>
  <c r="AD70" i="15"/>
  <c r="AD78" i="15"/>
  <c r="AD86" i="15"/>
  <c r="AD94" i="15"/>
  <c r="AD102" i="15"/>
  <c r="AD110" i="15"/>
  <c r="AD118" i="15"/>
  <c r="AD126" i="15"/>
  <c r="AD134" i="15"/>
  <c r="AD142" i="15"/>
  <c r="AD150" i="15"/>
  <c r="AD158" i="15"/>
  <c r="AD166" i="15"/>
  <c r="AD174" i="15"/>
  <c r="AD182" i="15"/>
  <c r="AD190" i="15"/>
  <c r="AD198" i="15"/>
  <c r="AD206" i="15"/>
  <c r="AD214" i="15"/>
  <c r="AD222" i="15"/>
  <c r="AD230" i="15"/>
  <c r="AD238" i="15"/>
  <c r="AD246" i="15"/>
  <c r="AD254" i="15"/>
  <c r="AD262" i="15"/>
  <c r="AD270" i="15"/>
  <c r="AD278" i="15"/>
  <c r="AD286" i="15"/>
  <c r="AD294" i="15"/>
  <c r="AD302" i="15"/>
  <c r="AD310" i="15"/>
  <c r="AD318" i="15"/>
  <c r="AD326" i="15"/>
  <c r="AD334" i="15"/>
  <c r="AD342" i="15"/>
  <c r="AD350" i="15"/>
  <c r="AD358" i="15"/>
  <c r="AD7" i="15"/>
  <c r="AD15" i="15"/>
  <c r="AD23" i="15"/>
  <c r="AD31" i="15"/>
  <c r="AD39" i="15"/>
  <c r="AD47" i="15"/>
  <c r="AD55" i="15"/>
  <c r="AD63" i="15"/>
  <c r="AD71" i="15"/>
  <c r="AD79" i="15"/>
  <c r="AD87" i="15"/>
  <c r="AD95" i="15"/>
  <c r="AD103" i="15"/>
  <c r="AD111" i="15"/>
  <c r="AD119" i="15"/>
  <c r="AD127" i="15"/>
  <c r="AD135" i="15"/>
  <c r="AD143" i="15"/>
  <c r="AD151" i="15"/>
  <c r="AD159" i="15"/>
  <c r="AD167" i="15"/>
  <c r="AD175" i="15"/>
  <c r="AD183" i="15"/>
  <c r="AD191" i="15"/>
  <c r="AD199" i="15"/>
  <c r="AD207" i="15"/>
  <c r="AD215" i="15"/>
  <c r="AD223" i="15"/>
  <c r="AD231" i="15"/>
  <c r="AD239" i="15"/>
  <c r="AD247" i="15"/>
  <c r="AD255" i="15"/>
  <c r="AD263" i="15"/>
  <c r="AD271" i="15"/>
  <c r="AD279" i="15"/>
  <c r="AD287" i="15"/>
  <c r="AD295" i="15"/>
  <c r="AD303" i="15"/>
  <c r="AD311" i="15"/>
  <c r="AD319" i="15"/>
  <c r="AD327" i="15"/>
  <c r="AD335" i="15"/>
  <c r="AD343" i="15"/>
  <c r="AD351" i="15"/>
  <c r="AD359" i="15"/>
  <c r="AD367" i="15"/>
  <c r="AD375" i="15"/>
  <c r="AD383" i="15"/>
  <c r="AD391" i="15"/>
  <c r="AD399" i="15"/>
  <c r="AD328" i="15"/>
  <c r="AD344" i="15"/>
  <c r="AD376" i="15"/>
  <c r="AD384" i="15"/>
  <c r="AD392" i="15"/>
  <c r="AD400" i="15"/>
  <c r="AD9" i="15"/>
  <c r="AD25" i="15"/>
  <c r="AD49" i="15"/>
  <c r="AD233" i="15"/>
  <c r="AD265" i="15"/>
  <c r="AD289" i="15"/>
  <c r="AD321" i="15"/>
  <c r="AD393" i="15"/>
  <c r="AD8" i="15"/>
  <c r="AD16" i="15"/>
  <c r="AD24" i="15"/>
  <c r="AD32" i="15"/>
  <c r="AD40" i="15"/>
  <c r="AD48" i="15"/>
  <c r="AD56" i="15"/>
  <c r="AD64" i="15"/>
  <c r="AD72" i="15"/>
  <c r="AD80" i="15"/>
  <c r="AD88" i="15"/>
  <c r="AD96" i="15"/>
  <c r="AD104" i="15"/>
  <c r="AD112" i="15"/>
  <c r="AD120" i="15"/>
  <c r="AD128" i="15"/>
  <c r="AD136" i="15"/>
  <c r="AD144" i="15"/>
  <c r="AD152" i="15"/>
  <c r="AD160" i="15"/>
  <c r="AD168" i="15"/>
  <c r="AD176" i="15"/>
  <c r="AD184" i="15"/>
  <c r="AD192" i="15"/>
  <c r="AD200" i="15"/>
  <c r="AD208" i="15"/>
  <c r="AD216" i="15"/>
  <c r="AD224" i="15"/>
  <c r="AD232" i="15"/>
  <c r="AD240" i="15"/>
  <c r="AD248" i="15"/>
  <c r="AD256" i="15"/>
  <c r="AD264" i="15"/>
  <c r="AD272" i="15"/>
  <c r="AD280" i="15"/>
  <c r="AD288" i="15"/>
  <c r="AD296" i="15"/>
  <c r="AD304" i="15"/>
  <c r="AD312" i="15"/>
  <c r="AD320" i="15"/>
  <c r="AD336" i="15"/>
  <c r="AD352" i="15"/>
  <c r="AD360" i="15"/>
  <c r="AD368" i="15"/>
  <c r="AD17" i="15"/>
  <c r="AD57" i="15"/>
  <c r="AD81" i="15"/>
  <c r="AD89" i="15"/>
  <c r="AD113" i="15"/>
  <c r="AD185" i="15"/>
  <c r="AD249" i="15"/>
  <c r="AD305" i="15"/>
  <c r="AD337" i="15"/>
  <c r="AD353" i="15"/>
  <c r="AD369" i="15"/>
  <c r="AD377" i="15"/>
  <c r="AD2" i="15"/>
  <c r="AD10" i="15"/>
  <c r="AD18" i="15"/>
  <c r="AD26" i="15"/>
  <c r="AD34" i="15"/>
  <c r="AD42" i="15"/>
  <c r="AD50" i="15"/>
  <c r="AD58" i="15"/>
  <c r="AD66" i="15"/>
  <c r="AD74" i="15"/>
  <c r="AD82" i="15"/>
  <c r="AD90" i="15"/>
  <c r="AD98" i="15"/>
  <c r="AD106" i="15"/>
  <c r="AD114" i="15"/>
  <c r="AD122" i="15"/>
  <c r="AD130" i="15"/>
  <c r="AD138" i="15"/>
  <c r="AD146" i="15"/>
  <c r="AD154" i="15"/>
  <c r="AD162" i="15"/>
  <c r="AD170" i="15"/>
  <c r="AD178" i="15"/>
  <c r="AD186" i="15"/>
  <c r="AD194" i="15"/>
  <c r="AD202" i="15"/>
  <c r="AD210" i="15"/>
  <c r="AD218" i="15"/>
  <c r="AD226" i="15"/>
  <c r="AD234" i="15"/>
  <c r="AD242" i="15"/>
  <c r="AD250" i="15"/>
  <c r="AD258" i="15"/>
  <c r="AD266" i="15"/>
  <c r="AD274" i="15"/>
  <c r="AD282" i="15"/>
  <c r="AD290" i="15"/>
  <c r="AD298" i="15"/>
  <c r="AD306" i="15"/>
  <c r="AD314" i="15"/>
  <c r="AD322" i="15"/>
  <c r="AD330" i="15"/>
  <c r="AD338" i="15"/>
  <c r="AD346" i="15"/>
  <c r="AD354" i="15"/>
  <c r="AD362" i="15"/>
  <c r="AD370" i="15"/>
  <c r="AD378" i="15"/>
  <c r="AD386" i="15"/>
  <c r="AD394" i="15"/>
  <c r="AD339" i="15"/>
  <c r="AD355" i="15"/>
  <c r="AD363" i="15"/>
  <c r="AD379" i="15"/>
  <c r="AD395" i="15"/>
  <c r="AD137" i="15"/>
  <c r="AD169" i="15"/>
  <c r="AD201" i="15"/>
  <c r="AD225" i="15"/>
  <c r="AD241" i="15"/>
  <c r="AD297" i="15"/>
  <c r="I222" i="1"/>
  <c r="D222" i="1" s="1"/>
  <c r="N222" i="1"/>
  <c r="N424" i="1"/>
  <c r="I424" i="1"/>
  <c r="D424" i="1" s="1"/>
  <c r="I273" i="1"/>
  <c r="N273" i="1"/>
  <c r="N291" i="1"/>
  <c r="I291" i="1"/>
  <c r="D291" i="1" s="1"/>
  <c r="N343" i="1"/>
  <c r="I343" i="1"/>
  <c r="A343" i="1" s="1"/>
  <c r="I262" i="1"/>
  <c r="D262" i="1" s="1"/>
  <c r="N262" i="1"/>
  <c r="I173" i="1"/>
  <c r="N173" i="1"/>
  <c r="N160" i="1"/>
  <c r="I160" i="1"/>
  <c r="I270" i="1"/>
  <c r="A270" i="1" s="1"/>
  <c r="N270" i="1"/>
  <c r="I141" i="1"/>
  <c r="A141" i="1" s="1"/>
  <c r="N141" i="1"/>
  <c r="N145" i="1"/>
  <c r="I145" i="1"/>
  <c r="A145" i="1" s="1"/>
  <c r="N112" i="1"/>
  <c r="I112" i="1"/>
  <c r="A112" i="1" s="1"/>
  <c r="N105" i="1"/>
  <c r="I105" i="1"/>
  <c r="A105" i="1" s="1"/>
  <c r="N96" i="1"/>
  <c r="I96" i="1"/>
  <c r="A96" i="1" s="1"/>
  <c r="I89" i="1"/>
  <c r="A89" i="1" s="1"/>
  <c r="N89" i="1"/>
  <c r="N82" i="1"/>
  <c r="I82" i="1"/>
  <c r="D82" i="1" s="1"/>
  <c r="I267" i="1"/>
  <c r="N267" i="1"/>
  <c r="I72" i="1"/>
  <c r="A72" i="1" s="1"/>
  <c r="N72" i="1"/>
  <c r="I416" i="1"/>
  <c r="D416" i="1" s="1"/>
  <c r="N416" i="1"/>
  <c r="N58" i="1"/>
  <c r="I58" i="1"/>
  <c r="A58" i="1" s="1"/>
  <c r="N52" i="1"/>
  <c r="I52" i="1"/>
  <c r="A52" i="1" s="1"/>
  <c r="N305" i="1"/>
  <c r="I305" i="1"/>
  <c r="A305" i="1" s="1"/>
  <c r="I37" i="1"/>
  <c r="A37" i="1" s="1"/>
  <c r="N37" i="1"/>
  <c r="N28" i="1"/>
  <c r="I28" i="1"/>
  <c r="N301" i="1"/>
  <c r="I301" i="1"/>
  <c r="A301" i="1" s="1"/>
  <c r="I387" i="1"/>
  <c r="A387" i="1" s="1"/>
  <c r="N387" i="1"/>
  <c r="I4" i="1"/>
  <c r="A4" i="1" s="1"/>
  <c r="N4" i="1"/>
  <c r="N40" i="1"/>
  <c r="I40" i="1"/>
  <c r="N100" i="1"/>
  <c r="I100" i="1"/>
  <c r="A100" i="1" s="1"/>
  <c r="I193" i="1"/>
  <c r="A193" i="1" s="1"/>
  <c r="N193" i="1"/>
  <c r="N33" i="1"/>
  <c r="I33" i="1"/>
  <c r="A33" i="1" s="1"/>
  <c r="N447" i="1"/>
  <c r="I447" i="1"/>
  <c r="A447" i="1" s="1"/>
  <c r="I349" i="1"/>
  <c r="A349" i="1" s="1"/>
  <c r="N349" i="1"/>
  <c r="N172" i="1"/>
  <c r="I172" i="1"/>
  <c r="A172" i="1" s="1"/>
  <c r="I127" i="1"/>
  <c r="A127" i="1" s="1"/>
  <c r="N127" i="1"/>
  <c r="N121" i="1"/>
  <c r="I121" i="1"/>
  <c r="N275" i="1"/>
  <c r="I275" i="1"/>
  <c r="D275" i="1" s="1"/>
  <c r="I397" i="1"/>
  <c r="A397" i="1" s="1"/>
  <c r="N397" i="1"/>
  <c r="I95" i="1"/>
  <c r="N95" i="1"/>
  <c r="N392" i="1"/>
  <c r="I392" i="1"/>
  <c r="A392" i="1" s="1"/>
  <c r="I250" i="1"/>
  <c r="A250" i="1" s="1"/>
  <c r="N250" i="1"/>
  <c r="N79" i="1"/>
  <c r="I79" i="1"/>
  <c r="A79" i="1" s="1"/>
  <c r="N369" i="1"/>
  <c r="I369" i="1"/>
  <c r="A369" i="1" s="1"/>
  <c r="R106" i="18"/>
  <c r="N51" i="1"/>
  <c r="I51" i="1"/>
  <c r="A51" i="1" s="1"/>
  <c r="N45" i="1"/>
  <c r="I45" i="1"/>
  <c r="P45" i="1" s="1"/>
  <c r="R75" i="18" s="1"/>
  <c r="I35" i="1"/>
  <c r="A35" i="1" s="1"/>
  <c r="N35" i="1"/>
  <c r="I130" i="1"/>
  <c r="N130" i="1"/>
  <c r="N23" i="1"/>
  <c r="I23" i="1"/>
  <c r="N13" i="1"/>
  <c r="I13" i="1"/>
  <c r="A13" i="1" s="1"/>
  <c r="N3" i="1"/>
  <c r="I3" i="1"/>
  <c r="N41" i="1"/>
  <c r="I41" i="1"/>
  <c r="A41" i="1" s="1"/>
  <c r="N106" i="1"/>
  <c r="I106" i="1"/>
  <c r="A106" i="1" s="1"/>
  <c r="I198" i="1"/>
  <c r="A198" i="1" s="1"/>
  <c r="N198" i="1"/>
  <c r="I402" i="1"/>
  <c r="A402" i="1" s="1"/>
  <c r="N402" i="1"/>
  <c r="R96" i="18"/>
  <c r="N286" i="1"/>
  <c r="I286" i="1"/>
  <c r="D286" i="1" s="1"/>
  <c r="N248" i="1"/>
  <c r="I248" i="1"/>
  <c r="A248" i="1" s="1"/>
  <c r="I171" i="1"/>
  <c r="N171" i="1"/>
  <c r="I158" i="1"/>
  <c r="N158" i="1"/>
  <c r="I153" i="1"/>
  <c r="D153" i="1" s="1"/>
  <c r="N153" i="1"/>
  <c r="N236" i="1"/>
  <c r="I236" i="1"/>
  <c r="D236" i="1" s="1"/>
  <c r="N423" i="1"/>
  <c r="I423" i="1"/>
  <c r="I120" i="1"/>
  <c r="N120" i="1"/>
  <c r="N110" i="1"/>
  <c r="I110" i="1"/>
  <c r="N379" i="1"/>
  <c r="I379" i="1"/>
  <c r="N355" i="1"/>
  <c r="I355" i="1"/>
  <c r="N335" i="1"/>
  <c r="I335" i="1"/>
  <c r="A335" i="1" s="1"/>
  <c r="N81" i="1"/>
  <c r="I81" i="1"/>
  <c r="D81" i="1" s="1"/>
  <c r="I78" i="1"/>
  <c r="D78" i="1" s="1"/>
  <c r="N78" i="1"/>
  <c r="N281" i="1"/>
  <c r="I281" i="1"/>
  <c r="A281" i="1" s="1"/>
  <c r="I336" i="1"/>
  <c r="A336" i="1" s="1"/>
  <c r="N336" i="1"/>
  <c r="I226" i="1"/>
  <c r="N226" i="1"/>
  <c r="I209" i="1"/>
  <c r="N209" i="1"/>
  <c r="N298" i="1"/>
  <c r="I298" i="1"/>
  <c r="A298" i="1" s="1"/>
  <c r="N219" i="1"/>
  <c r="I219" i="1"/>
  <c r="D219" i="1" s="1"/>
  <c r="I12" i="1"/>
  <c r="A12" i="1" s="1"/>
  <c r="N12" i="1"/>
  <c r="I42" i="1"/>
  <c r="A42" i="1" s="1"/>
  <c r="N42" i="1"/>
  <c r="N108" i="1"/>
  <c r="I108" i="1"/>
  <c r="N200" i="1"/>
  <c r="I200" i="1"/>
  <c r="A200" i="1" s="1"/>
  <c r="N448" i="1"/>
  <c r="I448" i="1"/>
  <c r="A448" i="1" s="1"/>
  <c r="I332" i="1"/>
  <c r="A332" i="1" s="1"/>
  <c r="N332" i="1"/>
  <c r="N241" i="1"/>
  <c r="I241" i="1"/>
  <c r="I364" i="1"/>
  <c r="A364" i="1" s="1"/>
  <c r="N364" i="1"/>
  <c r="I445" i="1"/>
  <c r="N445" i="1"/>
  <c r="N218" i="1"/>
  <c r="I218" i="1"/>
  <c r="P218" i="1" s="1"/>
  <c r="R33" i="18" s="1"/>
  <c r="I314" i="1"/>
  <c r="A314" i="1" s="1"/>
  <c r="N314" i="1"/>
  <c r="N358" i="1"/>
  <c r="I358" i="1"/>
  <c r="A358" i="1" s="1"/>
  <c r="N252" i="1"/>
  <c r="I252" i="1"/>
  <c r="N170" i="1"/>
  <c r="I170" i="1"/>
  <c r="A170" i="1" s="1"/>
  <c r="I150" i="1"/>
  <c r="N150" i="1"/>
  <c r="N111" i="1"/>
  <c r="I111" i="1"/>
  <c r="D111" i="1" s="1"/>
  <c r="I339" i="1"/>
  <c r="D339" i="1" s="1"/>
  <c r="N339" i="1"/>
  <c r="N119" i="1"/>
  <c r="I119" i="1"/>
  <c r="A119" i="1" s="1"/>
  <c r="N109" i="1"/>
  <c r="I109" i="1"/>
  <c r="A109" i="1" s="1"/>
  <c r="I204" i="1"/>
  <c r="A204" i="1" s="1"/>
  <c r="N204" i="1"/>
  <c r="I163" i="1"/>
  <c r="N163" i="1"/>
  <c r="I318" i="1"/>
  <c r="N318" i="1"/>
  <c r="I159" i="1"/>
  <c r="N159" i="1"/>
  <c r="N164" i="1"/>
  <c r="I164" i="1"/>
  <c r="D164" i="1" s="1"/>
  <c r="I239" i="1"/>
  <c r="A239" i="1" s="1"/>
  <c r="N239" i="1"/>
  <c r="I57" i="1"/>
  <c r="N57" i="1"/>
  <c r="N50" i="1"/>
  <c r="I50" i="1"/>
  <c r="A50" i="1" s="1"/>
  <c r="N225" i="1"/>
  <c r="I225" i="1"/>
  <c r="A225" i="1" s="1"/>
  <c r="N27" i="1"/>
  <c r="I27" i="1"/>
  <c r="D27" i="1" s="1"/>
  <c r="I293" i="1"/>
  <c r="P293" i="1" s="1"/>
  <c r="R56" i="18" s="1"/>
  <c r="N293" i="1"/>
  <c r="N43" i="1"/>
  <c r="I43" i="1"/>
  <c r="I122" i="1"/>
  <c r="A122" i="1" s="1"/>
  <c r="N122" i="1"/>
  <c r="I201" i="1"/>
  <c r="A201" i="1" s="1"/>
  <c r="N201" i="1"/>
  <c r="I451" i="1"/>
  <c r="A451" i="1" s="1"/>
  <c r="N451" i="1"/>
  <c r="N327" i="1"/>
  <c r="I327" i="1"/>
  <c r="A327" i="1" s="1"/>
  <c r="N199" i="1"/>
  <c r="I199" i="1"/>
  <c r="A199" i="1" s="1"/>
  <c r="I412" i="1"/>
  <c r="D412" i="1" s="1"/>
  <c r="N412" i="1"/>
  <c r="I444" i="1"/>
  <c r="N444" i="1"/>
  <c r="I211" i="1"/>
  <c r="D211" i="1" s="1"/>
  <c r="N211" i="1"/>
  <c r="N240" i="1"/>
  <c r="I240" i="1"/>
  <c r="A240" i="1" s="1"/>
  <c r="N184" i="1"/>
  <c r="I184" i="1"/>
  <c r="A184" i="1" s="1"/>
  <c r="I420" i="1"/>
  <c r="N420" i="1"/>
  <c r="I156" i="1"/>
  <c r="D156" i="1" s="1"/>
  <c r="N156" i="1"/>
  <c r="N148" i="1"/>
  <c r="I148" i="1"/>
  <c r="D148" i="1" s="1"/>
  <c r="I138" i="1"/>
  <c r="D138" i="1" s="1"/>
  <c r="N138" i="1"/>
  <c r="N118" i="1"/>
  <c r="I118" i="1"/>
  <c r="I104" i="1"/>
  <c r="N104" i="1"/>
  <c r="I94" i="1"/>
  <c r="A94" i="1" s="1"/>
  <c r="N94" i="1"/>
  <c r="N258" i="1"/>
  <c r="I258" i="1"/>
  <c r="I340" i="1"/>
  <c r="D340" i="1" s="1"/>
  <c r="N340" i="1"/>
  <c r="N71" i="1"/>
  <c r="I71" i="1"/>
  <c r="N44" i="1"/>
  <c r="I44" i="1"/>
  <c r="A44" i="1" s="1"/>
  <c r="N32" i="1"/>
  <c r="I32" i="1"/>
  <c r="D32" i="1" s="1"/>
  <c r="N26" i="1"/>
  <c r="I26" i="1"/>
  <c r="D26" i="1" s="1"/>
  <c r="N161" i="1"/>
  <c r="I161" i="1"/>
  <c r="A161" i="1" s="1"/>
  <c r="N255" i="1"/>
  <c r="I255" i="1"/>
  <c r="A255" i="1" s="1"/>
  <c r="I6" i="1"/>
  <c r="A6" i="1" s="1"/>
  <c r="N6" i="1"/>
  <c r="N56" i="1"/>
  <c r="I56" i="1"/>
  <c r="A56" i="1" s="1"/>
  <c r="N132" i="1"/>
  <c r="I132" i="1"/>
  <c r="A132" i="1" s="1"/>
  <c r="N206" i="1"/>
  <c r="I206" i="1"/>
  <c r="A206" i="1" s="1"/>
  <c r="I319" i="1"/>
  <c r="N319" i="1"/>
  <c r="N419" i="1"/>
  <c r="I419" i="1"/>
  <c r="A419" i="1" s="1"/>
  <c r="N190" i="1"/>
  <c r="I190" i="1"/>
  <c r="A190" i="1" s="1"/>
  <c r="N446" i="1"/>
  <c r="I446" i="1"/>
  <c r="A446" i="1" s="1"/>
  <c r="I212" i="1"/>
  <c r="A212" i="1" s="1"/>
  <c r="N212" i="1"/>
  <c r="I411" i="1"/>
  <c r="A411" i="1" s="1"/>
  <c r="N411" i="1"/>
  <c r="N227" i="1"/>
  <c r="I227" i="1"/>
  <c r="A227" i="1" s="1"/>
  <c r="N279" i="1"/>
  <c r="I279" i="1"/>
  <c r="A279" i="1" s="1"/>
  <c r="N443" i="1"/>
  <c r="I443" i="1"/>
  <c r="A443" i="1" s="1"/>
  <c r="N124" i="1"/>
  <c r="I124" i="1"/>
  <c r="A124" i="1" s="1"/>
  <c r="N254" i="1"/>
  <c r="I254" i="1"/>
  <c r="A254" i="1" s="1"/>
  <c r="I210" i="1"/>
  <c r="D210" i="1" s="1"/>
  <c r="N210" i="1"/>
  <c r="I235" i="1"/>
  <c r="N235" i="1"/>
  <c r="N181" i="1"/>
  <c r="I181" i="1"/>
  <c r="A181" i="1" s="1"/>
  <c r="I155" i="1"/>
  <c r="D155" i="1" s="1"/>
  <c r="N155" i="1"/>
  <c r="I264" i="1"/>
  <c r="N264" i="1"/>
  <c r="N359" i="1"/>
  <c r="I359" i="1"/>
  <c r="A359" i="1" s="1"/>
  <c r="N126" i="1"/>
  <c r="I126" i="1"/>
  <c r="N117" i="1"/>
  <c r="I117" i="1"/>
  <c r="A117" i="1" s="1"/>
  <c r="I107" i="1"/>
  <c r="N107" i="1"/>
  <c r="N103" i="1"/>
  <c r="I103" i="1"/>
  <c r="A103" i="1" s="1"/>
  <c r="I167" i="1"/>
  <c r="D167" i="1" s="1"/>
  <c r="N167" i="1"/>
  <c r="N406" i="1"/>
  <c r="I406" i="1"/>
  <c r="A406" i="1" s="1"/>
  <c r="N76" i="1"/>
  <c r="I76" i="1"/>
  <c r="A76" i="1" s="1"/>
  <c r="N70" i="1"/>
  <c r="I70" i="1"/>
  <c r="D70" i="1" s="1"/>
  <c r="N64" i="1"/>
  <c r="I64" i="1"/>
  <c r="A64" i="1" s="1"/>
  <c r="N288" i="1"/>
  <c r="I288" i="1"/>
  <c r="D288" i="1" s="1"/>
  <c r="N49" i="1"/>
  <c r="I49" i="1"/>
  <c r="A49" i="1" s="1"/>
  <c r="I393" i="1"/>
  <c r="N393" i="1"/>
  <c r="I384" i="1"/>
  <c r="A384" i="1" s="1"/>
  <c r="N384" i="1"/>
  <c r="N22" i="1"/>
  <c r="I22" i="1"/>
  <c r="N11" i="1"/>
  <c r="I11" i="1"/>
  <c r="N8" i="1"/>
  <c r="I8" i="1"/>
  <c r="N63" i="1"/>
  <c r="I63" i="1"/>
  <c r="I135" i="1"/>
  <c r="A135" i="1" s="1"/>
  <c r="N135" i="1"/>
  <c r="I213" i="1"/>
  <c r="N213" i="1"/>
  <c r="N99" i="1"/>
  <c r="I99" i="1"/>
  <c r="N413" i="1"/>
  <c r="I413" i="1"/>
  <c r="A413" i="1" s="1"/>
  <c r="N425" i="1"/>
  <c r="I425" i="1"/>
  <c r="I277" i="1"/>
  <c r="A277" i="1" s="1"/>
  <c r="N277" i="1"/>
  <c r="I390" i="1"/>
  <c r="D390" i="1" s="1"/>
  <c r="N390" i="1"/>
  <c r="I323" i="1"/>
  <c r="A323" i="1" s="1"/>
  <c r="N323" i="1"/>
  <c r="I197" i="1"/>
  <c r="N197" i="1"/>
  <c r="I410" i="1"/>
  <c r="A410" i="1" s="1"/>
  <c r="N410" i="1"/>
  <c r="I316" i="1"/>
  <c r="A316" i="1" s="1"/>
  <c r="N316" i="1"/>
  <c r="I166" i="1"/>
  <c r="A166" i="1" s="1"/>
  <c r="N166" i="1"/>
  <c r="N350" i="1"/>
  <c r="I350" i="1"/>
  <c r="I362" i="1"/>
  <c r="D362" i="1" s="1"/>
  <c r="N362" i="1"/>
  <c r="I309" i="1"/>
  <c r="A309" i="1" s="1"/>
  <c r="N309" i="1"/>
  <c r="I244" i="1"/>
  <c r="A244" i="1" s="1"/>
  <c r="N244" i="1"/>
  <c r="N203" i="1"/>
  <c r="I203" i="1"/>
  <c r="I196" i="1"/>
  <c r="N196" i="1"/>
  <c r="N188" i="1"/>
  <c r="I188" i="1"/>
  <c r="A188" i="1" s="1"/>
  <c r="N169" i="1"/>
  <c r="I169" i="1"/>
  <c r="D169" i="1" s="1"/>
  <c r="N152" i="1"/>
  <c r="I152" i="1"/>
  <c r="I334" i="1"/>
  <c r="A334" i="1" s="1"/>
  <c r="N334" i="1"/>
  <c r="I231" i="1"/>
  <c r="A231" i="1" s="1"/>
  <c r="N231" i="1"/>
  <c r="N408" i="1"/>
  <c r="I408" i="1"/>
  <c r="I303" i="1"/>
  <c r="A303" i="1" s="1"/>
  <c r="N303" i="1"/>
  <c r="N325" i="1"/>
  <c r="I325" i="1"/>
  <c r="D325" i="1" s="1"/>
  <c r="I242" i="1"/>
  <c r="N242" i="1"/>
  <c r="N216" i="1"/>
  <c r="I216" i="1"/>
  <c r="D216" i="1" s="1"/>
  <c r="I62" i="1"/>
  <c r="D62" i="1" s="1"/>
  <c r="N62" i="1"/>
  <c r="N55" i="1"/>
  <c r="I55" i="1"/>
  <c r="A55" i="1" s="1"/>
  <c r="N47" i="1"/>
  <c r="I47" i="1"/>
  <c r="A47" i="1" s="1"/>
  <c r="N221" i="1"/>
  <c r="I221" i="1"/>
  <c r="D221" i="1" s="1"/>
  <c r="I30" i="1"/>
  <c r="D30" i="1" s="1"/>
  <c r="N30" i="1"/>
  <c r="N265" i="1"/>
  <c r="I265" i="1"/>
  <c r="A265" i="1" s="1"/>
  <c r="N19" i="1"/>
  <c r="I19" i="1"/>
  <c r="A19" i="1" s="1"/>
  <c r="I9" i="1"/>
  <c r="A9" i="1" s="1"/>
  <c r="N9" i="1"/>
  <c r="N10" i="1"/>
  <c r="I10" i="1"/>
  <c r="I73" i="1"/>
  <c r="A73" i="1" s="1"/>
  <c r="N73" i="1"/>
  <c r="I136" i="1"/>
  <c r="A136" i="1" s="1"/>
  <c r="N136" i="1"/>
  <c r="N217" i="1"/>
  <c r="I217" i="1"/>
  <c r="A217" i="1" s="1"/>
  <c r="N441" i="1"/>
  <c r="I441" i="1"/>
  <c r="I238" i="1"/>
  <c r="A238" i="1" s="1"/>
  <c r="N238" i="1"/>
  <c r="N194" i="1"/>
  <c r="I194" i="1"/>
  <c r="A194" i="1" s="1"/>
  <c r="I187" i="1"/>
  <c r="A187" i="1" s="1"/>
  <c r="N187" i="1"/>
  <c r="N223" i="1"/>
  <c r="I223" i="1"/>
  <c r="D223" i="1" s="1"/>
  <c r="N407" i="1"/>
  <c r="I407" i="1"/>
  <c r="N146" i="1"/>
  <c r="I146" i="1"/>
  <c r="A146" i="1" s="1"/>
  <c r="N247" i="1"/>
  <c r="I247" i="1"/>
  <c r="A247" i="1" s="1"/>
  <c r="I220" i="1"/>
  <c r="D220" i="1" s="1"/>
  <c r="N220" i="1"/>
  <c r="I102" i="1"/>
  <c r="N102" i="1"/>
  <c r="I260" i="1"/>
  <c r="A260" i="1" s="1"/>
  <c r="N260" i="1"/>
  <c r="I87" i="1"/>
  <c r="A87" i="1" s="1"/>
  <c r="N87" i="1"/>
  <c r="I280" i="1"/>
  <c r="N280" i="1"/>
  <c r="I75" i="1"/>
  <c r="N75" i="1"/>
  <c r="N174" i="1"/>
  <c r="I174" i="1"/>
  <c r="N54" i="1"/>
  <c r="I54" i="1"/>
  <c r="A54" i="1" s="1"/>
  <c r="N207" i="1"/>
  <c r="I207" i="1"/>
  <c r="D207" i="1" s="1"/>
  <c r="I399" i="1"/>
  <c r="N399" i="1"/>
  <c r="I232" i="1"/>
  <c r="D232" i="1" s="1"/>
  <c r="N232" i="1"/>
  <c r="N18" i="1"/>
  <c r="I18" i="1"/>
  <c r="A18" i="1" s="1"/>
  <c r="I7" i="1"/>
  <c r="D7" i="1" s="1"/>
  <c r="N7" i="1"/>
  <c r="N25" i="1"/>
  <c r="I25" i="1"/>
  <c r="D25" i="1" s="1"/>
  <c r="N80" i="1"/>
  <c r="I80" i="1"/>
  <c r="A80" i="1" s="1"/>
  <c r="I140" i="1"/>
  <c r="A140" i="1" s="1"/>
  <c r="N140" i="1"/>
  <c r="N289" i="1"/>
  <c r="I289" i="1"/>
  <c r="A289" i="1" s="1"/>
  <c r="I306" i="1"/>
  <c r="A306" i="1" s="1"/>
  <c r="N306" i="1"/>
  <c r="N295" i="1"/>
  <c r="I295" i="1"/>
  <c r="A295" i="1" s="1"/>
  <c r="N436" i="1"/>
  <c r="I436" i="1"/>
  <c r="A436" i="1" s="1"/>
  <c r="N377" i="1"/>
  <c r="I377" i="1"/>
  <c r="D377" i="1" s="1"/>
  <c r="N352" i="1"/>
  <c r="I352" i="1"/>
  <c r="I385" i="1"/>
  <c r="A385" i="1" s="1"/>
  <c r="N385" i="1"/>
  <c r="I229" i="1"/>
  <c r="A229" i="1" s="1"/>
  <c r="N229" i="1"/>
  <c r="N341" i="1"/>
  <c r="I341" i="1"/>
  <c r="D341" i="1" s="1"/>
  <c r="N233" i="1"/>
  <c r="I233" i="1"/>
  <c r="D233" i="1" s="1"/>
  <c r="I154" i="1"/>
  <c r="D154" i="1" s="1"/>
  <c r="N154" i="1"/>
  <c r="I179" i="1"/>
  <c r="A179" i="1" s="1"/>
  <c r="N179" i="1"/>
  <c r="I168" i="1"/>
  <c r="N168" i="1"/>
  <c r="N395" i="1"/>
  <c r="I395" i="1"/>
  <c r="A395" i="1" s="1"/>
  <c r="N144" i="1"/>
  <c r="I144" i="1"/>
  <c r="A144" i="1" s="1"/>
  <c r="I149" i="1"/>
  <c r="A149" i="1" s="1"/>
  <c r="N149" i="1"/>
  <c r="N333" i="1"/>
  <c r="I333" i="1"/>
  <c r="A333" i="1" s="1"/>
  <c r="N116" i="1"/>
  <c r="I116" i="1"/>
  <c r="A116" i="1" s="1"/>
  <c r="N360" i="1"/>
  <c r="I360" i="1"/>
  <c r="A360" i="1" s="1"/>
  <c r="N101" i="1"/>
  <c r="I101" i="1"/>
  <c r="A101" i="1" s="1"/>
  <c r="N93" i="1"/>
  <c r="I93" i="1"/>
  <c r="A93" i="1" s="1"/>
  <c r="I86" i="1"/>
  <c r="D86" i="1" s="1"/>
  <c r="N86" i="1"/>
  <c r="N251" i="1"/>
  <c r="I251" i="1"/>
  <c r="D251" i="1" s="1"/>
  <c r="I74" i="1"/>
  <c r="A74" i="1" s="1"/>
  <c r="N74" i="1"/>
  <c r="N405" i="1"/>
  <c r="I405" i="1"/>
  <c r="D405" i="1" s="1"/>
  <c r="I60" i="1"/>
  <c r="A60" i="1" s="1"/>
  <c r="N60" i="1"/>
  <c r="I320" i="1"/>
  <c r="N320" i="1"/>
  <c r="I297" i="1"/>
  <c r="N297" i="1"/>
  <c r="N115" i="1"/>
  <c r="I115" i="1"/>
  <c r="A115" i="1" s="1"/>
  <c r="N17" i="1"/>
  <c r="I17" i="1"/>
  <c r="A17" i="1" s="1"/>
  <c r="N308" i="1"/>
  <c r="I308" i="1"/>
  <c r="A308" i="1" s="1"/>
  <c r="I34" i="1"/>
  <c r="A34" i="1" s="1"/>
  <c r="N34" i="1"/>
  <c r="N88" i="1"/>
  <c r="I88" i="1"/>
  <c r="A88" i="1" s="1"/>
  <c r="I147" i="1"/>
  <c r="A147" i="1" s="1"/>
  <c r="N147" i="1"/>
  <c r="N292" i="1"/>
  <c r="I292" i="1"/>
  <c r="A292" i="1" s="1"/>
  <c r="N257" i="1"/>
  <c r="I257" i="1"/>
  <c r="D257" i="1" s="1"/>
  <c r="I375" i="1"/>
  <c r="P375" i="1" s="1"/>
  <c r="R5" i="18" s="1"/>
  <c r="N375" i="1"/>
  <c r="N351" i="1"/>
  <c r="I351" i="1"/>
  <c r="N202" i="1"/>
  <c r="I202" i="1"/>
  <c r="A202" i="1" s="1"/>
  <c r="N417" i="1"/>
  <c r="I417" i="1"/>
  <c r="D417" i="1" s="1"/>
  <c r="N177" i="1"/>
  <c r="I177" i="1"/>
  <c r="I165" i="1"/>
  <c r="A165" i="1" s="1"/>
  <c r="N165" i="1"/>
  <c r="N151" i="1"/>
  <c r="I151" i="1"/>
  <c r="D151" i="1" s="1"/>
  <c r="I131" i="1"/>
  <c r="N131" i="1"/>
  <c r="N125" i="1"/>
  <c r="I125" i="1"/>
  <c r="A125" i="1" s="1"/>
  <c r="N243" i="1"/>
  <c r="I243" i="1"/>
  <c r="A243" i="1" s="1"/>
  <c r="N266" i="1"/>
  <c r="I266" i="1"/>
  <c r="A266" i="1" s="1"/>
  <c r="I342" i="1"/>
  <c r="N342" i="1"/>
  <c r="N205" i="1"/>
  <c r="I205" i="1"/>
  <c r="I415" i="1"/>
  <c r="D415" i="1" s="1"/>
  <c r="N415" i="1"/>
  <c r="I68" i="1"/>
  <c r="A68" i="1" s="1"/>
  <c r="N68" i="1"/>
  <c r="N302" i="1"/>
  <c r="I302" i="1"/>
  <c r="A302" i="1" s="1"/>
  <c r="N421" i="1"/>
  <c r="I421" i="1"/>
  <c r="A421" i="1" s="1"/>
  <c r="I46" i="1"/>
  <c r="A46" i="1" s="1"/>
  <c r="N46" i="1"/>
  <c r="N354" i="1"/>
  <c r="I354" i="1"/>
  <c r="D354" i="1" s="1"/>
  <c r="I296" i="1"/>
  <c r="A296" i="1" s="1"/>
  <c r="N296" i="1"/>
  <c r="I16" i="1"/>
  <c r="N16" i="1"/>
  <c r="N272" i="1"/>
  <c r="I272" i="1"/>
  <c r="A272" i="1" s="1"/>
  <c r="I36" i="1"/>
  <c r="P36" i="1" s="1"/>
  <c r="R135" i="18" s="1"/>
  <c r="N36" i="1"/>
  <c r="N90" i="1"/>
  <c r="I90" i="1"/>
  <c r="A90" i="1" s="1"/>
  <c r="I176" i="1"/>
  <c r="N176" i="1"/>
  <c r="I345" i="1"/>
  <c r="N345" i="1"/>
  <c r="I434" i="1"/>
  <c r="A434" i="1" s="1"/>
  <c r="N434" i="1"/>
  <c r="I374" i="1"/>
  <c r="A374" i="1" s="1"/>
  <c r="N374" i="1"/>
  <c r="I348" i="1"/>
  <c r="A348" i="1" s="1"/>
  <c r="N348" i="1"/>
  <c r="I418" i="1"/>
  <c r="N418" i="1"/>
  <c r="N245" i="1"/>
  <c r="I245" i="1"/>
  <c r="N388" i="1"/>
  <c r="I388" i="1"/>
  <c r="A388" i="1" s="1"/>
  <c r="N182" i="1"/>
  <c r="I182" i="1"/>
  <c r="A182" i="1" s="1"/>
  <c r="I398" i="1"/>
  <c r="A398" i="1" s="1"/>
  <c r="N398" i="1"/>
  <c r="I162" i="1"/>
  <c r="A162" i="1" s="1"/>
  <c r="N162" i="1"/>
  <c r="N307" i="1"/>
  <c r="I307" i="1"/>
  <c r="A307" i="1" s="1"/>
  <c r="N143" i="1"/>
  <c r="I143" i="1"/>
  <c r="I129" i="1"/>
  <c r="A129" i="1" s="1"/>
  <c r="N129" i="1"/>
  <c r="N123" i="1"/>
  <c r="I123" i="1"/>
  <c r="A123" i="1" s="1"/>
  <c r="I113" i="1"/>
  <c r="N113" i="1"/>
  <c r="N284" i="1"/>
  <c r="I284" i="1"/>
  <c r="D284" i="1" s="1"/>
  <c r="N228" i="1"/>
  <c r="I228" i="1"/>
  <c r="A228" i="1" s="1"/>
  <c r="I391" i="1"/>
  <c r="A391" i="1" s="1"/>
  <c r="N391" i="1"/>
  <c r="N83" i="1"/>
  <c r="I83" i="1"/>
  <c r="A83" i="1" s="1"/>
  <c r="N324" i="1"/>
  <c r="I324" i="1"/>
  <c r="D324" i="1" s="1"/>
  <c r="N67" i="1"/>
  <c r="I67" i="1"/>
  <c r="A67" i="1" s="1"/>
  <c r="I224" i="1"/>
  <c r="D224" i="1" s="1"/>
  <c r="N224" i="1"/>
  <c r="N114" i="1"/>
  <c r="I114" i="1"/>
  <c r="A114" i="1" s="1"/>
  <c r="N24" i="1"/>
  <c r="I24" i="1"/>
  <c r="A24" i="1" s="1"/>
  <c r="N15" i="1"/>
  <c r="I15" i="1"/>
  <c r="A15" i="1" s="1"/>
  <c r="N246" i="1"/>
  <c r="I246" i="1"/>
  <c r="I38" i="1"/>
  <c r="N38" i="1"/>
  <c r="I97" i="1"/>
  <c r="A97" i="1" s="1"/>
  <c r="N97" i="1"/>
  <c r="N180" i="1"/>
  <c r="I180" i="1"/>
  <c r="A180" i="1" s="1"/>
  <c r="I365" i="1"/>
  <c r="A365" i="1" s="1"/>
  <c r="N365" i="1"/>
  <c r="I433" i="1"/>
  <c r="N433" i="1"/>
  <c r="I269" i="1"/>
  <c r="N269" i="1"/>
  <c r="N346" i="1"/>
  <c r="I346" i="1"/>
  <c r="D346" i="1" s="1"/>
  <c r="I276" i="1"/>
  <c r="N276" i="1"/>
  <c r="N214" i="1"/>
  <c r="I214" i="1"/>
  <c r="D214" i="1" s="1"/>
  <c r="N376" i="1"/>
  <c r="I376" i="1"/>
  <c r="A376" i="1" s="1"/>
  <c r="N191" i="1"/>
  <c r="I191" i="1"/>
  <c r="A191" i="1" s="1"/>
  <c r="N185" i="1"/>
  <c r="I185" i="1"/>
  <c r="A185" i="1" s="1"/>
  <c r="N175" i="1"/>
  <c r="I175" i="1"/>
  <c r="A175" i="1" s="1"/>
  <c r="N134" i="1"/>
  <c r="I134" i="1"/>
  <c r="A134" i="1" s="1"/>
  <c r="N142" i="1"/>
  <c r="I142" i="1"/>
  <c r="A142" i="1" s="1"/>
  <c r="I128" i="1"/>
  <c r="A128" i="1" s="1"/>
  <c r="N128" i="1"/>
  <c r="I256" i="1"/>
  <c r="D256" i="1" s="1"/>
  <c r="N256" i="1"/>
  <c r="N271" i="1"/>
  <c r="I271" i="1"/>
  <c r="A271" i="1" s="1"/>
  <c r="I137" i="1"/>
  <c r="A137" i="1" s="1"/>
  <c r="N137" i="1"/>
  <c r="N92" i="1"/>
  <c r="I92" i="1"/>
  <c r="N84" i="1"/>
  <c r="I84" i="1"/>
  <c r="N300" i="1"/>
  <c r="I300" i="1"/>
  <c r="A300" i="1" s="1"/>
  <c r="N66" i="1"/>
  <c r="I66" i="1"/>
  <c r="A66" i="1" s="1"/>
  <c r="I59" i="1"/>
  <c r="A59" i="1" s="1"/>
  <c r="N59" i="1"/>
  <c r="I53" i="1"/>
  <c r="A53" i="1" s="1"/>
  <c r="N53" i="1"/>
  <c r="N347" i="1"/>
  <c r="I347" i="1"/>
  <c r="N322" i="1"/>
  <c r="I322" i="1"/>
  <c r="D322" i="1" s="1"/>
  <c r="I215" i="1"/>
  <c r="D215" i="1" s="1"/>
  <c r="N215" i="1"/>
  <c r="N386" i="1"/>
  <c r="I386" i="1"/>
  <c r="A386" i="1" s="1"/>
  <c r="I14" i="1"/>
  <c r="A14" i="1" s="1"/>
  <c r="N14" i="1"/>
  <c r="I5" i="1"/>
  <c r="N5" i="1"/>
  <c r="I39" i="1"/>
  <c r="A39" i="1" s="1"/>
  <c r="N39" i="1"/>
  <c r="I98" i="1"/>
  <c r="A98" i="1" s="1"/>
  <c r="N98" i="1"/>
  <c r="N189" i="1"/>
  <c r="I189" i="1"/>
  <c r="A189" i="1" s="1"/>
  <c r="I373" i="1"/>
  <c r="A373" i="1" s="1"/>
  <c r="N373" i="1"/>
  <c r="A65" i="1"/>
  <c r="A222" i="1" l="1"/>
  <c r="A262" i="1"/>
  <c r="A424" i="1"/>
  <c r="A82" i="1"/>
  <c r="A30" i="1"/>
  <c r="A291" i="1"/>
  <c r="A251" i="1"/>
  <c r="A288" i="1"/>
  <c r="A275" i="1"/>
  <c r="A415" i="1"/>
  <c r="A220" i="1"/>
  <c r="A412" i="1"/>
  <c r="P291" i="1"/>
  <c r="R47" i="18" s="1"/>
  <c r="A232" i="1"/>
  <c r="A354" i="1"/>
  <c r="A377" i="1"/>
  <c r="A325" i="1"/>
  <c r="P415" i="1"/>
  <c r="R108" i="18" s="1"/>
  <c r="P154" i="1"/>
  <c r="R12" i="18" s="1"/>
  <c r="A362" i="1"/>
  <c r="A169" i="1"/>
  <c r="P354" i="1"/>
  <c r="R132" i="18" s="1"/>
  <c r="R81" i="18"/>
  <c r="A154" i="1"/>
  <c r="A219" i="1"/>
  <c r="A155" i="1"/>
  <c r="R70" i="18"/>
  <c r="A224" i="1"/>
  <c r="A214" i="1"/>
  <c r="A207" i="1"/>
  <c r="A70" i="1"/>
  <c r="R144" i="18"/>
  <c r="A223" i="1"/>
  <c r="A151" i="1"/>
  <c r="A153" i="1"/>
  <c r="A62" i="1"/>
  <c r="A216" i="1"/>
  <c r="A81" i="1"/>
  <c r="A86" i="1"/>
  <c r="A78" i="1"/>
  <c r="P236" i="1"/>
  <c r="R62" i="18" s="1"/>
  <c r="A405" i="1"/>
  <c r="A210" i="1"/>
  <c r="R72" i="18"/>
  <c r="A341" i="1"/>
  <c r="P207" i="1"/>
  <c r="R115" i="18" s="1"/>
  <c r="P30" i="1"/>
  <c r="R32" i="18" s="1"/>
  <c r="A215" i="1"/>
  <c r="A286" i="1"/>
  <c r="A322" i="1"/>
  <c r="R119" i="18"/>
  <c r="A236" i="1"/>
  <c r="A27" i="1"/>
  <c r="D28" i="1"/>
  <c r="A28" i="1"/>
  <c r="P28" i="1"/>
  <c r="R19" i="18" s="1"/>
  <c r="D177" i="1"/>
  <c r="A177" i="1"/>
  <c r="P177" i="1"/>
  <c r="R31" i="18" s="1"/>
  <c r="P251" i="1"/>
  <c r="R80" i="18" s="1"/>
  <c r="D276" i="1"/>
  <c r="A276" i="1"/>
  <c r="P276" i="1"/>
  <c r="R122" i="18" s="1"/>
  <c r="D264" i="1"/>
  <c r="P264" i="1"/>
  <c r="R66" i="18" s="1"/>
  <c r="A264" i="1"/>
  <c r="D355" i="1"/>
  <c r="A355" i="1"/>
  <c r="R51" i="18"/>
  <c r="D160" i="1"/>
  <c r="A160" i="1"/>
  <c r="P160" i="1"/>
  <c r="R146" i="18" s="1"/>
  <c r="D347" i="1"/>
  <c r="A347" i="1"/>
  <c r="D99" i="1"/>
  <c r="P99" i="1"/>
  <c r="R4" i="18" s="1"/>
  <c r="A99" i="1"/>
  <c r="D22" i="1"/>
  <c r="P22" i="1"/>
  <c r="R41" i="18" s="1"/>
  <c r="A22" i="1"/>
  <c r="D40" i="1"/>
  <c r="A40" i="1"/>
  <c r="P40" i="1"/>
  <c r="R127" i="18" s="1"/>
  <c r="A138" i="1"/>
  <c r="A7" i="1"/>
  <c r="D191" i="1"/>
  <c r="P191" i="1"/>
  <c r="R29" i="18" s="1"/>
  <c r="R97" i="18"/>
  <c r="P62" i="1"/>
  <c r="R42" i="18" s="1"/>
  <c r="D252" i="1"/>
  <c r="A252" i="1"/>
  <c r="P252" i="1"/>
  <c r="R85" i="18" s="1"/>
  <c r="R112" i="18"/>
  <c r="A26" i="1"/>
  <c r="P347" i="1"/>
  <c r="A256" i="1"/>
  <c r="D92" i="1"/>
  <c r="P92" i="1"/>
  <c r="R28" i="18" s="1"/>
  <c r="A92" i="1"/>
  <c r="R92" i="18"/>
  <c r="D258" i="1"/>
  <c r="A258" i="1"/>
  <c r="P7" i="1"/>
  <c r="R129" i="18" s="1"/>
  <c r="A416" i="1"/>
  <c r="P216" i="1"/>
  <c r="R22" i="18" s="1"/>
  <c r="P82" i="1"/>
  <c r="R63" i="18" s="1"/>
  <c r="A257" i="1"/>
  <c r="P233" i="1"/>
  <c r="R58" i="18" s="1"/>
  <c r="P377" i="1"/>
  <c r="R27" i="18" s="1"/>
  <c r="P232" i="1"/>
  <c r="R57" i="18" s="1"/>
  <c r="A233" i="1"/>
  <c r="P390" i="1"/>
  <c r="R76" i="18" s="1"/>
  <c r="R100" i="18"/>
  <c r="P412" i="1"/>
  <c r="R83" i="18" s="1"/>
  <c r="A339" i="1"/>
  <c r="A32" i="1"/>
  <c r="R104" i="18"/>
  <c r="P169" i="1"/>
  <c r="R16" i="18" s="1"/>
  <c r="P339" i="1"/>
  <c r="R116" i="18" s="1"/>
  <c r="P155" i="1"/>
  <c r="R130" i="18" s="1"/>
  <c r="P32" i="1"/>
  <c r="R20" i="18" s="1"/>
  <c r="A390" i="1"/>
  <c r="A324" i="1"/>
  <c r="P215" i="1"/>
  <c r="R21" i="18" s="1"/>
  <c r="P405" i="1"/>
  <c r="R131" i="18" s="1"/>
  <c r="P341" i="1"/>
  <c r="P223" i="1"/>
  <c r="R48" i="18" s="1"/>
  <c r="P286" i="1"/>
  <c r="R126" i="18" s="1"/>
  <c r="P108" i="1"/>
  <c r="D108" i="1"/>
  <c r="A108" i="1"/>
  <c r="P153" i="1"/>
  <c r="R8" i="18" s="1"/>
  <c r="P95" i="1"/>
  <c r="D95" i="1"/>
  <c r="P80" i="1"/>
  <c r="D80" i="1"/>
  <c r="P102" i="1"/>
  <c r="D102" i="1"/>
  <c r="A417" i="1"/>
  <c r="P16" i="1"/>
  <c r="D16" i="1"/>
  <c r="A16" i="1"/>
  <c r="P209" i="1"/>
  <c r="D209" i="1"/>
  <c r="P78" i="1"/>
  <c r="R44" i="18" s="1"/>
  <c r="P158" i="1"/>
  <c r="D158" i="1"/>
  <c r="P402" i="1"/>
  <c r="D402" i="1"/>
  <c r="P128" i="1"/>
  <c r="D128" i="1"/>
  <c r="R95" i="18"/>
  <c r="P324" i="1"/>
  <c r="R38" i="18" s="1"/>
  <c r="P284" i="1"/>
  <c r="R107" i="18" s="1"/>
  <c r="P162" i="1"/>
  <c r="D162" i="1"/>
  <c r="D375" i="1"/>
  <c r="A375" i="1"/>
  <c r="P34" i="1"/>
  <c r="D34" i="1"/>
  <c r="P116" i="1"/>
  <c r="D116" i="1"/>
  <c r="P229" i="1"/>
  <c r="D229" i="1"/>
  <c r="R94" i="18"/>
  <c r="D47" i="1"/>
  <c r="P47" i="1"/>
  <c r="R136" i="18" s="1"/>
  <c r="P126" i="1"/>
  <c r="D126" i="1"/>
  <c r="A126" i="1"/>
  <c r="P443" i="1"/>
  <c r="D443" i="1"/>
  <c r="P190" i="1"/>
  <c r="D190" i="1"/>
  <c r="P44" i="1"/>
  <c r="D44" i="1"/>
  <c r="P451" i="1"/>
  <c r="D451" i="1"/>
  <c r="P239" i="1"/>
  <c r="D239" i="1"/>
  <c r="P364" i="1"/>
  <c r="D364" i="1"/>
  <c r="P42" i="1"/>
  <c r="D42" i="1"/>
  <c r="D369" i="1"/>
  <c r="P369" i="1"/>
  <c r="D273" i="1"/>
  <c r="A273" i="1"/>
  <c r="P273" i="1"/>
  <c r="R50" i="18" s="1"/>
  <c r="P413" i="1"/>
  <c r="D413" i="1"/>
  <c r="P318" i="1"/>
  <c r="D318" i="1"/>
  <c r="P238" i="1"/>
  <c r="D238" i="1"/>
  <c r="P408" i="1"/>
  <c r="D408" i="1"/>
  <c r="A408" i="1"/>
  <c r="D49" i="1"/>
  <c r="P49" i="1"/>
  <c r="P57" i="1"/>
  <c r="D57" i="1"/>
  <c r="P445" i="1"/>
  <c r="D445" i="1"/>
  <c r="P110" i="1"/>
  <c r="D110" i="1"/>
  <c r="P345" i="1"/>
  <c r="D345" i="1"/>
  <c r="A345" i="1"/>
  <c r="P346" i="1"/>
  <c r="R65" i="18" s="1"/>
  <c r="P6" i="1"/>
  <c r="D6" i="1"/>
  <c r="P171" i="1"/>
  <c r="D171" i="1"/>
  <c r="D130" i="1"/>
  <c r="P130" i="1"/>
  <c r="R84" i="18" s="1"/>
  <c r="P189" i="1"/>
  <c r="D189" i="1"/>
  <c r="P59" i="1"/>
  <c r="D59" i="1"/>
  <c r="P246" i="1"/>
  <c r="D246" i="1"/>
  <c r="A246" i="1"/>
  <c r="P113" i="1"/>
  <c r="D113" i="1"/>
  <c r="A113" i="1"/>
  <c r="P90" i="1"/>
  <c r="D90" i="1"/>
  <c r="P296" i="1"/>
  <c r="D296" i="1"/>
  <c r="R64" i="18"/>
  <c r="P333" i="1"/>
  <c r="D333" i="1"/>
  <c r="P385" i="1"/>
  <c r="D385" i="1"/>
  <c r="D441" i="1"/>
  <c r="P441" i="1"/>
  <c r="R67" i="18" s="1"/>
  <c r="A441" i="1"/>
  <c r="P55" i="1"/>
  <c r="D55" i="1"/>
  <c r="P309" i="1"/>
  <c r="D309" i="1"/>
  <c r="P316" i="1"/>
  <c r="D316" i="1"/>
  <c r="P288" i="1"/>
  <c r="R25" i="18" s="1"/>
  <c r="P167" i="1"/>
  <c r="R111" i="18" s="1"/>
  <c r="P359" i="1"/>
  <c r="D359" i="1"/>
  <c r="P279" i="1"/>
  <c r="D279" i="1"/>
  <c r="P419" i="1"/>
  <c r="D419" i="1"/>
  <c r="P255" i="1"/>
  <c r="D255" i="1"/>
  <c r="P340" i="1"/>
  <c r="P118" i="1"/>
  <c r="D118" i="1"/>
  <c r="A118" i="1"/>
  <c r="P156" i="1"/>
  <c r="R73" i="18" s="1"/>
  <c r="P201" i="1"/>
  <c r="D201" i="1"/>
  <c r="P27" i="1"/>
  <c r="R134" i="18" s="1"/>
  <c r="P109" i="1"/>
  <c r="D109" i="1"/>
  <c r="P12" i="1"/>
  <c r="D12" i="1"/>
  <c r="P81" i="1"/>
  <c r="R68" i="18" s="1"/>
  <c r="P423" i="1"/>
  <c r="D423" i="1"/>
  <c r="A423" i="1"/>
  <c r="P248" i="1"/>
  <c r="D248" i="1"/>
  <c r="D106" i="1"/>
  <c r="P106" i="1"/>
  <c r="R139" i="18" s="1"/>
  <c r="P305" i="1"/>
  <c r="D305" i="1"/>
  <c r="P131" i="1"/>
  <c r="D131" i="1"/>
  <c r="P350" i="1"/>
  <c r="D350" i="1"/>
  <c r="P107" i="1"/>
  <c r="D107" i="1"/>
  <c r="P358" i="1"/>
  <c r="D358" i="1"/>
  <c r="P185" i="1"/>
  <c r="D185" i="1"/>
  <c r="P174" i="1"/>
  <c r="D174" i="1"/>
  <c r="P407" i="1"/>
  <c r="D407" i="1"/>
  <c r="A407" i="1"/>
  <c r="R49" i="18"/>
  <c r="P11" i="1"/>
  <c r="D11" i="1"/>
  <c r="A11" i="1"/>
  <c r="P23" i="1"/>
  <c r="D23" i="1"/>
  <c r="A23" i="1"/>
  <c r="R145" i="18"/>
  <c r="P418" i="1"/>
  <c r="D418" i="1"/>
  <c r="P198" i="1"/>
  <c r="D198" i="1"/>
  <c r="P173" i="1"/>
  <c r="D173" i="1"/>
  <c r="A211" i="1"/>
  <c r="A25" i="1"/>
  <c r="A158" i="1"/>
  <c r="A57" i="1"/>
  <c r="A131" i="1"/>
  <c r="A111" i="1"/>
  <c r="A445" i="1"/>
  <c r="P66" i="1"/>
  <c r="D66" i="1"/>
  <c r="P376" i="1"/>
  <c r="D376" i="1"/>
  <c r="P269" i="1"/>
  <c r="D269" i="1"/>
  <c r="A269" i="1"/>
  <c r="P114" i="1"/>
  <c r="D114" i="1"/>
  <c r="R101" i="18"/>
  <c r="P123" i="1"/>
  <c r="D123" i="1"/>
  <c r="R60" i="18"/>
  <c r="P348" i="1"/>
  <c r="D348" i="1"/>
  <c r="P151" i="1"/>
  <c r="R123" i="18" s="1"/>
  <c r="P202" i="1"/>
  <c r="D202" i="1"/>
  <c r="P17" i="1"/>
  <c r="D17" i="1"/>
  <c r="P352" i="1"/>
  <c r="D352" i="1"/>
  <c r="A352" i="1"/>
  <c r="P280" i="1"/>
  <c r="D280" i="1"/>
  <c r="A280" i="1"/>
  <c r="P220" i="1"/>
  <c r="R36" i="18" s="1"/>
  <c r="P334" i="1"/>
  <c r="D334" i="1"/>
  <c r="P213" i="1"/>
  <c r="D213" i="1"/>
  <c r="A213" i="1"/>
  <c r="P64" i="1"/>
  <c r="D64" i="1"/>
  <c r="P225" i="1"/>
  <c r="D225" i="1"/>
  <c r="P164" i="1"/>
  <c r="R6" i="18" s="1"/>
  <c r="R121" i="18"/>
  <c r="P35" i="1"/>
  <c r="D35" i="1"/>
  <c r="P349" i="1"/>
  <c r="D349" i="1"/>
  <c r="P351" i="1"/>
  <c r="D351" i="1"/>
  <c r="P203" i="1"/>
  <c r="D203" i="1"/>
  <c r="P393" i="1"/>
  <c r="D393" i="1"/>
  <c r="D84" i="1"/>
  <c r="P84" i="1"/>
  <c r="R24" i="18" s="1"/>
  <c r="A84" i="1"/>
  <c r="P245" i="1"/>
  <c r="D245" i="1"/>
  <c r="P342" i="1"/>
  <c r="D342" i="1"/>
  <c r="A342" i="1"/>
  <c r="P10" i="1"/>
  <c r="D10" i="1"/>
  <c r="D293" i="1"/>
  <c r="A293" i="1"/>
  <c r="P97" i="1"/>
  <c r="D97" i="1"/>
  <c r="P266" i="1"/>
  <c r="D266" i="1"/>
  <c r="P417" i="1"/>
  <c r="R137" i="18" s="1"/>
  <c r="P111" i="1"/>
  <c r="R23" i="18" s="1"/>
  <c r="A393" i="1"/>
  <c r="P38" i="1"/>
  <c r="D38" i="1"/>
  <c r="P68" i="1"/>
  <c r="D68" i="1"/>
  <c r="P308" i="1"/>
  <c r="D308" i="1"/>
  <c r="P231" i="1"/>
  <c r="D231" i="1"/>
  <c r="P444" i="1"/>
  <c r="D444" i="1"/>
  <c r="P241" i="1"/>
  <c r="D241" i="1"/>
  <c r="P120" i="1"/>
  <c r="D120" i="1"/>
  <c r="A120" i="1"/>
  <c r="P145" i="1"/>
  <c r="D145" i="1"/>
  <c r="A171" i="1"/>
  <c r="A340" i="1"/>
  <c r="A346" i="1"/>
  <c r="A164" i="1"/>
  <c r="A241" i="1"/>
  <c r="A351" i="1"/>
  <c r="A38" i="1"/>
  <c r="A156" i="1"/>
  <c r="A350" i="1"/>
  <c r="P137" i="1"/>
  <c r="D137" i="1"/>
  <c r="P15" i="1"/>
  <c r="D15" i="1"/>
  <c r="P83" i="1"/>
  <c r="D83" i="1"/>
  <c r="P257" i="1"/>
  <c r="R45" i="18" s="1"/>
  <c r="P306" i="1"/>
  <c r="D306" i="1"/>
  <c r="R105" i="18"/>
  <c r="P217" i="1"/>
  <c r="D217" i="1"/>
  <c r="P265" i="1"/>
  <c r="D265" i="1"/>
  <c r="P325" i="1"/>
  <c r="R43" i="18" s="1"/>
  <c r="R102" i="18"/>
  <c r="P410" i="1"/>
  <c r="D410" i="1"/>
  <c r="P235" i="1"/>
  <c r="D235" i="1"/>
  <c r="A235" i="1"/>
  <c r="P227" i="1"/>
  <c r="D227" i="1"/>
  <c r="P161" i="1"/>
  <c r="D161" i="1"/>
  <c r="R90" i="18"/>
  <c r="P420" i="1"/>
  <c r="D420" i="1"/>
  <c r="A420" i="1"/>
  <c r="P122" i="1"/>
  <c r="D122" i="1"/>
  <c r="P119" i="1"/>
  <c r="D119" i="1"/>
  <c r="D170" i="1"/>
  <c r="P170" i="1"/>
  <c r="R120" i="18" s="1"/>
  <c r="P41" i="1"/>
  <c r="D41" i="1"/>
  <c r="D45" i="1"/>
  <c r="A45" i="1"/>
  <c r="P79" i="1"/>
  <c r="D79" i="1"/>
  <c r="P275" i="1"/>
  <c r="R53" i="18" s="1"/>
  <c r="P447" i="1"/>
  <c r="D447" i="1"/>
  <c r="P5" i="1"/>
  <c r="D5" i="1"/>
  <c r="P73" i="1"/>
  <c r="D73" i="1"/>
  <c r="P152" i="1"/>
  <c r="D152" i="1"/>
  <c r="P74" i="1"/>
  <c r="D74" i="1"/>
  <c r="P168" i="1"/>
  <c r="D168" i="1"/>
  <c r="P399" i="1"/>
  <c r="D399" i="1"/>
  <c r="A399" i="1"/>
  <c r="P148" i="1"/>
  <c r="R117" i="18" s="1"/>
  <c r="P226" i="1"/>
  <c r="D226" i="1"/>
  <c r="P267" i="1"/>
  <c r="D267" i="1"/>
  <c r="A267" i="1"/>
  <c r="A209" i="1"/>
  <c r="A418" i="1"/>
  <c r="A167" i="1"/>
  <c r="A168" i="1"/>
  <c r="A174" i="1"/>
  <c r="P98" i="1"/>
  <c r="D98" i="1"/>
  <c r="P271" i="1"/>
  <c r="D271" i="1"/>
  <c r="R46" i="18"/>
  <c r="P433" i="1"/>
  <c r="D433" i="1"/>
  <c r="A433" i="1"/>
  <c r="P398" i="1"/>
  <c r="D398" i="1"/>
  <c r="P374" i="1"/>
  <c r="D374" i="1"/>
  <c r="D36" i="1"/>
  <c r="A36" i="1"/>
  <c r="D205" i="1"/>
  <c r="P205" i="1"/>
  <c r="R61" i="18" s="1"/>
  <c r="A205" i="1"/>
  <c r="P165" i="1"/>
  <c r="D165" i="1"/>
  <c r="P292" i="1"/>
  <c r="D292" i="1"/>
  <c r="P115" i="1"/>
  <c r="D115" i="1"/>
  <c r="P86" i="1"/>
  <c r="R18" i="18" s="1"/>
  <c r="D149" i="1"/>
  <c r="P149" i="1"/>
  <c r="R89" i="18" s="1"/>
  <c r="P188" i="1"/>
  <c r="D188" i="1"/>
  <c r="P362" i="1"/>
  <c r="R141" i="18" s="1"/>
  <c r="P135" i="1"/>
  <c r="D135" i="1"/>
  <c r="R91" i="18"/>
  <c r="P319" i="1"/>
  <c r="D319" i="1"/>
  <c r="A319" i="1"/>
  <c r="P184" i="1"/>
  <c r="D184" i="1"/>
  <c r="P199" i="1"/>
  <c r="D199" i="1"/>
  <c r="P43" i="1"/>
  <c r="D43" i="1"/>
  <c r="A43" i="1"/>
  <c r="R103" i="18"/>
  <c r="P121" i="1"/>
  <c r="D121" i="1"/>
  <c r="A121" i="1"/>
  <c r="P88" i="1"/>
  <c r="D88" i="1"/>
  <c r="P302" i="1"/>
  <c r="D302" i="1"/>
  <c r="P360" i="1"/>
  <c r="D360" i="1"/>
  <c r="P71" i="1"/>
  <c r="D71" i="1"/>
  <c r="A71" i="1"/>
  <c r="A284" i="1"/>
  <c r="P221" i="1"/>
  <c r="R37" i="18" s="1"/>
  <c r="P163" i="1"/>
  <c r="D163" i="1"/>
  <c r="A163" i="1"/>
  <c r="A152" i="1"/>
  <c r="A10" i="1"/>
  <c r="P373" i="1"/>
  <c r="D373" i="1"/>
  <c r="P142" i="1"/>
  <c r="D142" i="1"/>
  <c r="P243" i="1"/>
  <c r="D243" i="1"/>
  <c r="P320" i="1"/>
  <c r="D320" i="1"/>
  <c r="P179" i="1"/>
  <c r="D179" i="1"/>
  <c r="P75" i="1"/>
  <c r="D75" i="1"/>
  <c r="A75" i="1"/>
  <c r="P242" i="1"/>
  <c r="D242" i="1"/>
  <c r="P181" i="1"/>
  <c r="D181" i="1"/>
  <c r="P150" i="1"/>
  <c r="D150" i="1"/>
  <c r="A102" i="1"/>
  <c r="A173" i="1"/>
  <c r="A130" i="1"/>
  <c r="P134" i="1"/>
  <c r="D134" i="1"/>
  <c r="P24" i="1"/>
  <c r="D24" i="1"/>
  <c r="P129" i="1"/>
  <c r="D129" i="1"/>
  <c r="P182" i="1"/>
  <c r="D182" i="1"/>
  <c r="P247" i="1"/>
  <c r="D247" i="1"/>
  <c r="P187" i="1"/>
  <c r="D187" i="1"/>
  <c r="P303" i="1"/>
  <c r="D303" i="1"/>
  <c r="P197" i="1"/>
  <c r="D197" i="1"/>
  <c r="A197" i="1"/>
  <c r="P277" i="1"/>
  <c r="D277" i="1"/>
  <c r="P63" i="1"/>
  <c r="D63" i="1"/>
  <c r="A63" i="1"/>
  <c r="P103" i="1"/>
  <c r="D103" i="1"/>
  <c r="P206" i="1"/>
  <c r="D206" i="1"/>
  <c r="R99" i="18"/>
  <c r="D218" i="1"/>
  <c r="A218" i="1"/>
  <c r="P3" i="1"/>
  <c r="D3" i="1"/>
  <c r="A3" i="1"/>
  <c r="P104" i="1"/>
  <c r="D104" i="1"/>
  <c r="P211" i="1"/>
  <c r="R140" i="18" s="1"/>
  <c r="A95" i="1"/>
  <c r="A148" i="1"/>
  <c r="P295" i="1"/>
  <c r="D295" i="1"/>
  <c r="P25" i="1"/>
  <c r="R138" i="18" s="1"/>
  <c r="D9" i="1"/>
  <c r="P9" i="1"/>
  <c r="R39" i="18" s="1"/>
  <c r="P204" i="1"/>
  <c r="D204" i="1"/>
  <c r="A203" i="1"/>
  <c r="A444" i="1"/>
  <c r="A107" i="1"/>
  <c r="A221" i="1"/>
  <c r="A226" i="1"/>
  <c r="A318" i="1"/>
  <c r="A245" i="1"/>
  <c r="P39" i="1"/>
  <c r="D39" i="1"/>
  <c r="P322" i="1"/>
  <c r="R34" i="18" s="1"/>
  <c r="R55" i="18"/>
  <c r="P214" i="1"/>
  <c r="R124" i="18" s="1"/>
  <c r="P365" i="1"/>
  <c r="D365" i="1"/>
  <c r="P224" i="1"/>
  <c r="R52" i="18" s="1"/>
  <c r="P391" i="1"/>
  <c r="D391" i="1"/>
  <c r="P143" i="1"/>
  <c r="D143" i="1"/>
  <c r="A143" i="1"/>
  <c r="P434" i="1"/>
  <c r="D434" i="1"/>
  <c r="D272" i="1"/>
  <c r="P272" i="1"/>
  <c r="R86" i="18" s="1"/>
  <c r="P260" i="1"/>
  <c r="D260" i="1"/>
  <c r="P194" i="1"/>
  <c r="D194" i="1"/>
  <c r="P136" i="1"/>
  <c r="D136" i="1"/>
  <c r="P425" i="1"/>
  <c r="D425" i="1"/>
  <c r="A425" i="1"/>
  <c r="P384" i="1"/>
  <c r="D384" i="1"/>
  <c r="P70" i="1"/>
  <c r="R88" i="18" s="1"/>
  <c r="P210" i="1"/>
  <c r="R69" i="18" s="1"/>
  <c r="P411" i="1"/>
  <c r="D411" i="1"/>
  <c r="R74" i="18"/>
  <c r="P258" i="1"/>
  <c r="R71" i="18" s="1"/>
  <c r="P159" i="1"/>
  <c r="D159" i="1"/>
  <c r="A159" i="1"/>
  <c r="P200" i="1"/>
  <c r="D200" i="1"/>
  <c r="P219" i="1"/>
  <c r="R35" i="18" s="1"/>
  <c r="P281" i="1"/>
  <c r="D281" i="1"/>
  <c r="P355" i="1"/>
  <c r="R54" i="18" s="1"/>
  <c r="P51" i="1"/>
  <c r="D51" i="1"/>
  <c r="P250" i="1"/>
  <c r="D250" i="1"/>
  <c r="P96" i="1"/>
  <c r="D96" i="1"/>
  <c r="P176" i="1"/>
  <c r="D176" i="1"/>
  <c r="A176" i="1"/>
  <c r="A242" i="1"/>
  <c r="A320" i="1"/>
  <c r="A104" i="1"/>
  <c r="A5" i="1"/>
  <c r="A150" i="1"/>
  <c r="A110" i="1"/>
  <c r="P300" i="1"/>
  <c r="D300" i="1"/>
  <c r="D175" i="1"/>
  <c r="P175" i="1"/>
  <c r="R133" i="18" s="1"/>
  <c r="P147" i="1"/>
  <c r="D147" i="1"/>
  <c r="P297" i="1"/>
  <c r="D297" i="1"/>
  <c r="A297" i="1"/>
  <c r="P101" i="1"/>
  <c r="D101" i="1"/>
  <c r="P395" i="1"/>
  <c r="D395" i="1"/>
  <c r="P436" i="1"/>
  <c r="D436" i="1"/>
  <c r="P140" i="1"/>
  <c r="D140" i="1"/>
  <c r="P146" i="1"/>
  <c r="D146" i="1"/>
  <c r="P196" i="1"/>
  <c r="D196" i="1"/>
  <c r="A196" i="1"/>
  <c r="P323" i="1"/>
  <c r="D323" i="1"/>
  <c r="P8" i="1"/>
  <c r="D8" i="1"/>
  <c r="A8" i="1"/>
  <c r="P76" i="1"/>
  <c r="D76" i="1"/>
  <c r="D254" i="1"/>
  <c r="P254" i="1"/>
  <c r="R114" i="18" s="1"/>
  <c r="P132" i="1"/>
  <c r="D132" i="1"/>
  <c r="P26" i="1"/>
  <c r="R59" i="18" s="1"/>
  <c r="P298" i="1"/>
  <c r="D298" i="1"/>
  <c r="P379" i="1"/>
  <c r="D379" i="1"/>
  <c r="A379" i="1"/>
  <c r="P13" i="1"/>
  <c r="D13" i="1"/>
  <c r="P392" i="1"/>
  <c r="D392" i="1"/>
  <c r="P127" i="1"/>
  <c r="D127" i="1"/>
  <c r="P4" i="1"/>
  <c r="D4" i="1"/>
  <c r="P52" i="1"/>
  <c r="D52" i="1"/>
  <c r="P33" i="1"/>
  <c r="D33" i="1"/>
  <c r="P387" i="1"/>
  <c r="D387" i="1"/>
  <c r="P58" i="1"/>
  <c r="D58" i="1"/>
  <c r="P301" i="1"/>
  <c r="D301" i="1"/>
  <c r="P89" i="1"/>
  <c r="D89" i="1"/>
  <c r="P141" i="1"/>
  <c r="D141" i="1"/>
  <c r="P262" i="1"/>
  <c r="R30" i="18" s="1"/>
  <c r="P343" i="1"/>
  <c r="D343" i="1"/>
  <c r="P193" i="1"/>
  <c r="D193" i="1"/>
  <c r="P270" i="1"/>
  <c r="D270" i="1"/>
  <c r="P100" i="1"/>
  <c r="D100" i="1"/>
  <c r="P416" i="1"/>
  <c r="R113" i="18" s="1"/>
  <c r="P105" i="1"/>
  <c r="D105" i="1"/>
  <c r="P424" i="1"/>
  <c r="R125" i="18" s="1"/>
  <c r="P14" i="1"/>
  <c r="D14" i="1"/>
  <c r="P180" i="1"/>
  <c r="D180" i="1"/>
  <c r="P67" i="1"/>
  <c r="D67" i="1"/>
  <c r="P228" i="1"/>
  <c r="D228" i="1"/>
  <c r="P388" i="1"/>
  <c r="D388" i="1"/>
  <c r="P46" i="1"/>
  <c r="D46" i="1"/>
  <c r="P125" i="1"/>
  <c r="D125" i="1"/>
  <c r="P60" i="1"/>
  <c r="D60" i="1"/>
  <c r="P93" i="1"/>
  <c r="D93" i="1"/>
  <c r="P289" i="1"/>
  <c r="D289" i="1"/>
  <c r="P18" i="1"/>
  <c r="D18" i="1"/>
  <c r="P54" i="1"/>
  <c r="D54" i="1"/>
  <c r="P87" i="1"/>
  <c r="D87" i="1"/>
  <c r="P406" i="1"/>
  <c r="D406" i="1"/>
  <c r="P117" i="1"/>
  <c r="D117" i="1"/>
  <c r="P212" i="1"/>
  <c r="D212" i="1"/>
  <c r="P240" i="1"/>
  <c r="D240" i="1"/>
  <c r="P327" i="1"/>
  <c r="D327" i="1"/>
  <c r="P332" i="1"/>
  <c r="D332" i="1"/>
  <c r="P336" i="1"/>
  <c r="D336" i="1"/>
  <c r="P335" i="1"/>
  <c r="D335" i="1"/>
  <c r="P172" i="1"/>
  <c r="D172" i="1"/>
  <c r="P72" i="1"/>
  <c r="D72" i="1"/>
  <c r="P112" i="1"/>
  <c r="D112" i="1"/>
  <c r="P386" i="1"/>
  <c r="D386" i="1"/>
  <c r="P53" i="1"/>
  <c r="D53" i="1"/>
  <c r="P256" i="1"/>
  <c r="R26" i="18" s="1"/>
  <c r="P307" i="1"/>
  <c r="D307" i="1"/>
  <c r="P421" i="1"/>
  <c r="D421" i="1"/>
  <c r="P144" i="1"/>
  <c r="D144" i="1"/>
  <c r="R93" i="18"/>
  <c r="P19" i="1"/>
  <c r="D19" i="1"/>
  <c r="P244" i="1"/>
  <c r="D244" i="1"/>
  <c r="P166" i="1"/>
  <c r="D166" i="1"/>
  <c r="P124" i="1"/>
  <c r="D124" i="1"/>
  <c r="P446" i="1"/>
  <c r="D446" i="1"/>
  <c r="P56" i="1"/>
  <c r="D56" i="1"/>
  <c r="R118" i="18"/>
  <c r="P94" i="1"/>
  <c r="D94" i="1"/>
  <c r="P138" i="1"/>
  <c r="R128" i="18" s="1"/>
  <c r="P50" i="1"/>
  <c r="D50" i="1"/>
  <c r="P314" i="1"/>
  <c r="D314" i="1"/>
  <c r="P448" i="1"/>
  <c r="D448" i="1"/>
  <c r="R87" i="18"/>
  <c r="P397" i="1"/>
  <c r="D397" i="1"/>
  <c r="P37" i="1"/>
  <c r="D37" i="1"/>
  <c r="P222" i="1"/>
  <c r="R40" i="18" s="1"/>
  <c r="R78" i="18" l="1"/>
  <c r="R77" i="18"/>
  <c r="R110" i="18"/>
  <c r="R109" i="18"/>
  <c r="V7" i="18" l="1"/>
  <c r="V135" i="18"/>
  <c r="V32" i="18"/>
  <c r="V128" i="18"/>
  <c r="V150" i="18"/>
  <c r="V3" i="18"/>
  <c r="V147" i="18"/>
  <c r="V64" i="18"/>
  <c r="V114" i="18"/>
  <c r="V23" i="18"/>
  <c r="V30" i="18"/>
  <c r="V57" i="18"/>
  <c r="V86" i="18"/>
  <c r="V96" i="18"/>
  <c r="V116" i="18"/>
  <c r="V141" i="18"/>
  <c r="V143" i="18"/>
  <c r="V113" i="18"/>
  <c r="V43" i="18"/>
  <c r="V66" i="18"/>
  <c r="V74" i="18"/>
  <c r="V82" i="18"/>
  <c r="V127" i="18"/>
  <c r="V62" i="18"/>
  <c r="V151" i="18"/>
  <c r="V148" i="18"/>
  <c r="V56" i="18"/>
  <c r="V80" i="18"/>
  <c r="V17" i="18"/>
  <c r="V125" i="18"/>
  <c r="V139" i="18"/>
  <c r="V91" i="18"/>
  <c r="V85" i="18"/>
  <c r="V19" i="18"/>
  <c r="V55" i="18"/>
  <c r="V35" i="18"/>
  <c r="V99" i="18"/>
  <c r="V12" i="18"/>
  <c r="V42" i="18"/>
  <c r="V41" i="18"/>
  <c r="V133" i="18"/>
  <c r="V48" i="18"/>
  <c r="V22" i="18"/>
  <c r="V78" i="18"/>
  <c r="V109" i="18"/>
  <c r="V27" i="18"/>
  <c r="V29" i="18"/>
  <c r="V81" i="18"/>
  <c r="V140" i="18"/>
  <c r="V8" i="18"/>
  <c r="V152" i="18"/>
  <c r="V149" i="18"/>
  <c r="V117" i="18"/>
  <c r="V47" i="18"/>
  <c r="V69" i="18"/>
  <c r="V115" i="18"/>
  <c r="V142" i="18"/>
  <c r="V68" i="18"/>
  <c r="V153" i="18"/>
  <c r="V24" i="18"/>
  <c r="V112" i="18"/>
  <c r="V105" i="18"/>
  <c r="V46" i="18"/>
  <c r="V15" i="18"/>
  <c r="V137" i="18"/>
  <c r="V98" i="18"/>
  <c r="V60" i="18"/>
  <c r="V40" i="18"/>
  <c r="V101" i="18"/>
  <c r="V89" i="18"/>
  <c r="V155" i="18"/>
  <c r="V103" i="18"/>
  <c r="V71" i="18"/>
  <c r="V51" i="18"/>
  <c r="V59" i="18"/>
  <c r="V33" i="18"/>
  <c r="V132" i="18"/>
  <c r="V87" i="18"/>
  <c r="V39" i="18"/>
  <c r="V124" i="18"/>
  <c r="V6" i="18"/>
  <c r="V75" i="18"/>
  <c r="V107" i="18"/>
  <c r="V25" i="18"/>
  <c r="V136" i="18"/>
  <c r="V52" i="18"/>
  <c r="V129" i="18"/>
  <c r="V104" i="18"/>
  <c r="V9" i="18"/>
  <c r="V36" i="18"/>
  <c r="V37" i="18"/>
  <c r="V79" i="18"/>
  <c r="V44" i="18"/>
  <c r="V77" i="18"/>
  <c r="V138" i="18"/>
  <c r="V144" i="18"/>
  <c r="V45" i="18"/>
  <c r="V54" i="18"/>
  <c r="V34" i="18"/>
  <c r="V88" i="18"/>
  <c r="V134" i="18"/>
  <c r="V10" i="18"/>
  <c r="V21" i="18"/>
  <c r="V16" i="18"/>
  <c r="V119" i="18"/>
  <c r="V67" i="18"/>
  <c r="V53" i="18"/>
  <c r="V110" i="18"/>
  <c r="V154" i="18"/>
  <c r="V13" i="18"/>
  <c r="V95" i="18"/>
  <c r="V90" i="18"/>
  <c r="V11" i="18"/>
  <c r="V76" i="18"/>
  <c r="V123" i="18"/>
  <c r="V5" i="18"/>
  <c r="V70" i="18"/>
  <c r="V121" i="18"/>
  <c r="V14" i="18"/>
  <c r="V84" i="18"/>
  <c r="V83" i="18"/>
  <c r="V65" i="18"/>
  <c r="V106" i="18"/>
  <c r="V145" i="18"/>
  <c r="V92" i="18"/>
  <c r="V50" i="18"/>
  <c r="V20" i="18"/>
  <c r="V4" i="18"/>
  <c r="V38" i="18"/>
  <c r="V63" i="18"/>
  <c r="V18" i="18"/>
  <c r="V93" i="18"/>
  <c r="V73" i="18"/>
  <c r="V111" i="18"/>
  <c r="V49" i="18"/>
  <c r="V72" i="18"/>
  <c r="V102" i="18"/>
  <c r="V120" i="18"/>
  <c r="V61" i="18"/>
  <c r="V94" i="18"/>
  <c r="V146" i="18"/>
  <c r="V118" i="18"/>
  <c r="V122" i="18"/>
  <c r="V97" i="18"/>
  <c r="V131" i="18"/>
  <c r="V126" i="18"/>
  <c r="V108" i="18"/>
  <c r="V100" i="18"/>
  <c r="V26" i="18"/>
  <c r="V58" i="18"/>
  <c r="V130" i="18"/>
  <c r="V31" i="18"/>
  <c r="V2" i="18"/>
  <c r="V28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tc={0DC05275-2D67-43C7-A7DA-4D192EC23B5F}</author>
    <author>tc={554AB3A3-14CE-433C-9A57-DA3D891984F5}</author>
    <author>tc={660611B7-D2D2-4F36-B0EB-6ADF0F6E6018}</author>
    <author>tc={FBC78BF7-7992-474F-88DB-C0DDC070688D}</author>
    <author>tc={83BFB675-9FB3-49E4-A29A-7CA0A76FC1C1}</author>
    <author>tc={2EC8E67E-F150-49FB-9B3B-A2EA63D9DBDC}</author>
    <author>tc={182C236D-0DD1-4276-8403-823FD1B53550}</author>
    <author>tc={BB520EF7-6A13-453E-8E2B-8BE9886CCE40}</author>
    <author>tc={66266BD7-FE97-4B64-88E1-FE9BB39431D7}</author>
    <author>tc={CCF20320-83A2-4B2F-854A-51089925308F}</author>
    <author>tc={26A1492B-61CD-47FF-A353-832E0A133ACC}</author>
    <author>tc={DE11AC05-B846-4FDD-978E-D8D5A7BFA598}</author>
    <author>tc={00AEBC24-0B03-43FB-9F11-37228EB1FE33}</author>
    <author>tc={617ADF41-271D-4823-AC90-77FB6FEDE85B}</author>
    <author>tc={0A109613-20CC-4EB4-AE1C-1D18B1AD0759}</author>
    <author>tc={18A2EDF0-A186-47DE-AC13-38A0B7EA122B}</author>
    <author>tc={E276FDA7-2243-4588-BD4B-AFC33107A6AC}</author>
  </authors>
  <commentList>
    <comment ref="H191" authorId="0" shapeId="0" xr:uid="{0DC05275-2D67-43C7-A7DA-4D192EC23B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Pediu desligamento</t>
      </text>
    </comment>
    <comment ref="G219" authorId="1" shapeId="0" xr:uid="{554AB3A3-14CE-433C-9A57-DA3D891984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substituir</t>
      </text>
    </comment>
    <comment ref="G220" authorId="2" shapeId="0" xr:uid="{660611B7-D2D2-4F36-B0EB-6ADF0F6E60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substituir</t>
      </text>
    </comment>
    <comment ref="G221" authorId="3" shapeId="0" xr:uid="{FBC78BF7-7992-474F-88DB-C0DDC07068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substituir</t>
      </text>
    </comment>
    <comment ref="G222" authorId="4" shapeId="0" xr:uid="{83BFB675-9FB3-49E4-A29A-7CA0A76FC1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substituir</t>
      </text>
    </comment>
    <comment ref="G223" authorId="5" shapeId="0" xr:uid="{2EC8E67E-F150-49FB-9B3B-A2EA63D9DB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substituir</t>
      </text>
    </comment>
    <comment ref="G224" authorId="6" shapeId="0" xr:uid="{182C236D-0DD1-4276-8403-823FD1B535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substituir</t>
      </text>
    </comment>
    <comment ref="G233" authorId="7" shapeId="0" xr:uid="{BB520EF7-6A13-453E-8E2B-8BE9886CCE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substituir</t>
      </text>
    </comment>
    <comment ref="H254" authorId="8" shapeId="0" xr:uid="{66266BD7-FE97-4B64-88E1-FE9BB39431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desligada</t>
      </text>
    </comment>
    <comment ref="G256" authorId="9" shapeId="0" xr:uid="{CCF20320-83A2-4B2F-854A-5108992530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substituir</t>
      </text>
    </comment>
    <comment ref="G257" authorId="10" shapeId="0" xr:uid="{26A1492B-61CD-47FF-A353-832E0A133A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substituir</t>
      </text>
    </comment>
    <comment ref="I266" authorId="11" shapeId="0" xr:uid="{DE11AC05-B846-4FDD-978E-D8D5A7BFA5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 em 02/09/2026</t>
      </text>
    </comment>
    <comment ref="G275" authorId="12" shapeId="0" xr:uid="{00AEBC24-0B03-43FB-9F11-37228EB1FE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substituir</t>
      </text>
    </comment>
    <comment ref="G293" authorId="13" shapeId="0" xr:uid="{617ADF41-271D-4823-AC90-77FB6FEDE8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substituir</t>
      </text>
    </comment>
    <comment ref="G325" authorId="14" shapeId="0" xr:uid="{0A109613-20CC-4EB4-AE1C-1D18B1AD07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substituir</t>
      </text>
    </comment>
    <comment ref="G355" authorId="15" shapeId="0" xr:uid="{18A2EDF0-A186-47DE-AC13-38A0B7EA12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substituir</t>
      </text>
    </comment>
    <comment ref="G424" authorId="16" shapeId="0" xr:uid="{E276FDA7-2243-4588-BD4B-AFC33107A6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substituir</t>
      </text>
    </comment>
  </commentList>
</comments>
</file>

<file path=xl/sharedStrings.xml><?xml version="1.0" encoding="utf-8"?>
<sst xmlns="http://schemas.openxmlformats.org/spreadsheetml/2006/main" count="32747" uniqueCount="5822">
  <si>
    <t xml:space="preserve">Controle de Tutores de Práticas </t>
  </si>
  <si>
    <t xml:space="preserve">   </t>
  </si>
  <si>
    <t>CHAVE</t>
  </si>
  <si>
    <t>CHAVE GERENCIAMENTO</t>
  </si>
  <si>
    <t>CHAVE LOTAÇÃO CLASSIFICAÇÃO DE CURSOS</t>
  </si>
  <si>
    <t>CHAVE LOTAÇÃO</t>
  </si>
  <si>
    <t>CATEGORIA</t>
  </si>
  <si>
    <t>CURSOS</t>
  </si>
  <si>
    <t>POLO</t>
  </si>
  <si>
    <t>NOME DO TUTOR</t>
  </si>
  <si>
    <t>SITUAÇÃO</t>
  </si>
  <si>
    <t>INÍCIO</t>
  </si>
  <si>
    <t>WHATSAPP</t>
  </si>
  <si>
    <t>CHAPA</t>
  </si>
  <si>
    <t>E-MAIL INSTITUCIONAL</t>
  </si>
  <si>
    <t>CARGO RM</t>
  </si>
  <si>
    <t>CH SEMANAL</t>
  </si>
  <si>
    <t>DESLIGAMENTO</t>
  </si>
  <si>
    <t>CONTRATO</t>
  </si>
  <si>
    <t>REGISTRO PROFISSIONAL</t>
  </si>
  <si>
    <t>Nº DE REGISTRO</t>
  </si>
  <si>
    <t>ENF-INS (Multidisciplinar II)</t>
  </si>
  <si>
    <t>EMF-ISN</t>
  </si>
  <si>
    <t>Abaetetuba/PA</t>
  </si>
  <si>
    <t>Sandro Jose Santos Dos Santos</t>
  </si>
  <si>
    <t>sandro.santos@tutorpratica.uniasselvi.com.br</t>
  </si>
  <si>
    <t>COREN-PA</t>
  </si>
  <si>
    <t>Acaraú/CE</t>
  </si>
  <si>
    <t>Maria Suliana Machado Lima</t>
  </si>
  <si>
    <t>maria.lima@regentedepolo.uniasselvi.com.br</t>
  </si>
  <si>
    <t>OK</t>
  </si>
  <si>
    <t>COREN-CE</t>
  </si>
  <si>
    <t>Águas Belas/PE</t>
  </si>
  <si>
    <t>Jose Cicero Rosendo Da Silva Filho</t>
  </si>
  <si>
    <t>cicero.filho@tutorpratica.uniasselvi.com.br</t>
  </si>
  <si>
    <t>COREN-PE</t>
  </si>
  <si>
    <t>Alenquer/PA</t>
  </si>
  <si>
    <t>Ana Flavia Chaves De Souza</t>
  </si>
  <si>
    <t>93 8420-9817</t>
  </si>
  <si>
    <t>ana.souza@regentedepolo.uniasselvi.com.br</t>
  </si>
  <si>
    <t>Alta Floresta/MT</t>
  </si>
  <si>
    <t>Fabia De Oliveira Carvalho</t>
  </si>
  <si>
    <t>fabia.carvalho@tutorpratica.uniasselvi.com.br</t>
  </si>
  <si>
    <t>Desligado</t>
  </si>
  <si>
    <t>COREN-MT</t>
  </si>
  <si>
    <t>Ananindeua/PA - Cidade Nova</t>
  </si>
  <si>
    <t>Alina Dariane Freitas Da Silva</t>
  </si>
  <si>
    <t>alina.silva@regentedepolo.uniasselvi.com.br</t>
  </si>
  <si>
    <t>Gilmara Rodrigues Carvalho Costa</t>
  </si>
  <si>
    <t>gilmara.costa@tutorpratica.uniasselvi.com.br</t>
  </si>
  <si>
    <t>Aquidauana/MS</t>
  </si>
  <si>
    <t>Erika Martins Leite</t>
  </si>
  <si>
    <t>erika.leite@regentedepolo.uniasselvi.com.br</t>
  </si>
  <si>
    <t>COREN-MS</t>
  </si>
  <si>
    <t>Aracaju/SE - Ponto Novo</t>
  </si>
  <si>
    <t>Caio Guilherme Santos Morais Oliveira</t>
  </si>
  <si>
    <t>caio.oliveira@tutorpratica.uniasselvi.com.br</t>
  </si>
  <si>
    <t>COREN-SE</t>
  </si>
  <si>
    <t>Aracati/CE</t>
  </si>
  <si>
    <t>Debora Ferreira Dos Anjos</t>
  </si>
  <si>
    <t>debora.anjos@tutorpratica.uniasselvi.com.br</t>
  </si>
  <si>
    <t>Araguaína/TO</t>
  </si>
  <si>
    <t>Vanessa De Oliveira Menezes</t>
  </si>
  <si>
    <t>vanessa.menezes@tutorpratica.uniasselvi.com.br</t>
  </si>
  <si>
    <t>COREN-TO</t>
  </si>
  <si>
    <t>Aripuanã/MT</t>
  </si>
  <si>
    <t>Tarcilio Jose Salles Sampaio Neto</t>
  </si>
  <si>
    <t>tarcilio.neto@tutorpratica.uniasselvi.com.br</t>
  </si>
  <si>
    <t>Assú/RN</t>
  </si>
  <si>
    <t>Romulo Freire Pinto</t>
  </si>
  <si>
    <t>romulo.pinto@tutorpratica.uniasselvi.com.br</t>
  </si>
  <si>
    <t>COREN-RN</t>
  </si>
  <si>
    <t>Avaré/SP</t>
  </si>
  <si>
    <t>Larissa Brandolin Ventura</t>
  </si>
  <si>
    <t>larissa.silva@tutorpratica.uniasselvi.com.br</t>
  </si>
  <si>
    <t>COREN-SP</t>
  </si>
  <si>
    <t>Barcelos/AM</t>
  </si>
  <si>
    <t>Priscila Ferreira De Sousa</t>
  </si>
  <si>
    <t>priscila.sousa@tutorpratica.uniasselvi.com.br</t>
  </si>
  <si>
    <t>Barra do Garças/MT</t>
  </si>
  <si>
    <t>Gabriella Ribeiro Sousa</t>
  </si>
  <si>
    <t>gabriella.sousa@tutorpratica.uniasselvi.com.br</t>
  </si>
  <si>
    <t>000.710.572</t>
  </si>
  <si>
    <t>Barreirinhas/MA</t>
  </si>
  <si>
    <t>Hozana De Almeida Evangelista</t>
  </si>
  <si>
    <t>hozana.evangelista@tutorpratica.uniasselvi.com.br</t>
  </si>
  <si>
    <t>COREN-MA</t>
  </si>
  <si>
    <t>Baturité/CE</t>
  </si>
  <si>
    <t>Aline Camurca Mesquita</t>
  </si>
  <si>
    <t>aline.mesquita@tutorpratica.uniasselvi.com.br</t>
  </si>
  <si>
    <t>aline.mesquita@regentedepolo.uniasselvi.com.br</t>
  </si>
  <si>
    <t>Raiane Martins Da Silva</t>
  </si>
  <si>
    <t>raiane.silva@tutorpratica.uniasselvi.com.br</t>
  </si>
  <si>
    <t>Belém/PA - São Brás</t>
  </si>
  <si>
    <t>Edenilza Fabiana De Almeida Santos</t>
  </si>
  <si>
    <t>91 9995-8831</t>
  </si>
  <si>
    <t>edenilza.santos@tutorpratica.uniasselvi.com.br</t>
  </si>
  <si>
    <t>Belo Horizonte/MG - Barreiro</t>
  </si>
  <si>
    <t>Italo Leonardo Fernandes Faria</t>
  </si>
  <si>
    <t>italo.faria@tutorpratica.uniasselvi.com.br</t>
  </si>
  <si>
    <t>COREN-MG</t>
  </si>
  <si>
    <t>Belo Horizonte/MG - Shopping Estação BH</t>
  </si>
  <si>
    <t>Gislene Pace De Souza Santos Nascimento</t>
  </si>
  <si>
    <t>gislene.nascimento@regentedepolo.uniasselvi.com.br</t>
  </si>
  <si>
    <t>Yasmin Tatielle De Sousa Santos</t>
  </si>
  <si>
    <t>yasmin.santos@tutorpratica.uniasselvi.com.br</t>
  </si>
  <si>
    <t>Bento Gonçalves/RS</t>
  </si>
  <si>
    <t>Juliana Brito Ferreira</t>
  </si>
  <si>
    <t>juliana.ferreira@tutorpratica.uniasselvi.com.br</t>
  </si>
  <si>
    <t>COREN-RS</t>
  </si>
  <si>
    <t>Blumenau/SC - Salto Do Norte (Centro Universitário Dante)</t>
  </si>
  <si>
    <t>Matheus Pereira De Oliveira</t>
  </si>
  <si>
    <t>47 9289-1794</t>
  </si>
  <si>
    <t>matheus.oliveira@tutorpratica.uniasselvi.com.br</t>
  </si>
  <si>
    <t>Boa Viagem/CE</t>
  </si>
  <si>
    <t>Aparecida Heliane Cavalcante Oliveira</t>
  </si>
  <si>
    <t>aparecida.oliveira@tutorpratica.uniasselvi.com.br</t>
  </si>
  <si>
    <t>Jayne Cavalcante Torres</t>
  </si>
  <si>
    <t>jayne.torres@tutorpratica.uniasselvi.com.br</t>
  </si>
  <si>
    <t>Boa Vista/RR - Centro</t>
  </si>
  <si>
    <t>Cleiton Mendes Honorato Sousa</t>
  </si>
  <si>
    <t>cleiton.sousa@tutorpratica.uniasselvi.com.br</t>
  </si>
  <si>
    <t>Thais Pereira Da Silva</t>
  </si>
  <si>
    <t>thais.siva@tutorpratica.uniasselvi.com.br</t>
  </si>
  <si>
    <t>COREN-RR</t>
  </si>
  <si>
    <t>ENGMAKER+QUÍMICA E FÍSICA</t>
  </si>
  <si>
    <t>ECE-ENM-ENS-ENG-EEA-GPI-CDE-OBR-SAN-TER-FSA-SLF-QUI</t>
  </si>
  <si>
    <t>São Raimundo Nonato/PI</t>
  </si>
  <si>
    <t>Romario Vilanova Santana</t>
  </si>
  <si>
    <t>(89) 98100-8289</t>
  </si>
  <si>
    <t>romario.santana@regentedepolo.uniasselvi.com.br</t>
  </si>
  <si>
    <t>CREA - Piauí</t>
  </si>
  <si>
    <t>Bom Jesus das Selvas/MA</t>
  </si>
  <si>
    <t>Bruno Moreira Lima</t>
  </si>
  <si>
    <t>bruno.lima@regentedepolo.uniasselvi.com.br</t>
  </si>
  <si>
    <t>Brasília/DF - Taguatinga</t>
  </si>
  <si>
    <t>Tatiane Da Silva Rodrigues</t>
  </si>
  <si>
    <t>tatiane.rodrigues@tutorpratica.uniasselvi.com.br</t>
  </si>
  <si>
    <t>COREN-DF</t>
  </si>
  <si>
    <t>Brejo Santo/CE</t>
  </si>
  <si>
    <t>Ramon Martins Gomes</t>
  </si>
  <si>
    <t>ramon.gomes@regentedepolo.uniasselvi.com.br</t>
  </si>
  <si>
    <t>Breu Branco/PA</t>
  </si>
  <si>
    <t>Eduarda Teixeira Wisoski</t>
  </si>
  <si>
    <t>eduarda.wisoski@tutorpratica.uniasselvi.com.br</t>
  </si>
  <si>
    <t>Brusque/SC</t>
  </si>
  <si>
    <t>Fabio Junior da Rosa</t>
  </si>
  <si>
    <t>48 9173-6234</t>
  </si>
  <si>
    <t>fabio.rosa@regentedepolo.uniasselvi.com.br</t>
  </si>
  <si>
    <t>COREN-SC</t>
  </si>
  <si>
    <t>Buriticupu/MA</t>
  </si>
  <si>
    <t>Thayanna Karen Pires Muniz</t>
  </si>
  <si>
    <t>98 8505-4070</t>
  </si>
  <si>
    <t>thayanna.valadao@regentedepolo.uniasselvi.com.br</t>
  </si>
  <si>
    <t>Cabo Frio/RJ</t>
  </si>
  <si>
    <t>Marcelo De Lemos Goncalves Lassala</t>
  </si>
  <si>
    <t>marcelo.lassala@regentedepolo.uniasselvi.com.br</t>
  </si>
  <si>
    <t>COREN-RJ</t>
  </si>
  <si>
    <t>Cáceres/MT</t>
  </si>
  <si>
    <t>Vanessa Accacio Gomes Lopes</t>
  </si>
  <si>
    <t>vanessa.lopes@regentedepolo.uniasselvi.com.br</t>
  </si>
  <si>
    <t>Camaquã/RS</t>
  </si>
  <si>
    <t>Thaylane De Mattos Centeno</t>
  </si>
  <si>
    <t>thaylane.centeno@regentedepolo.uniasselvi.com.br</t>
  </si>
  <si>
    <t>Cametá/PA</t>
  </si>
  <si>
    <t>Marcelle Patricia Oliveira Pinto</t>
  </si>
  <si>
    <t>91 9123-2037</t>
  </si>
  <si>
    <t>marcelle.pinto@regentedepolo.uniasselvi.com.br</t>
  </si>
  <si>
    <t>Campina Grande/PB</t>
  </si>
  <si>
    <t>Cassandra Alves De Oliveira Silva</t>
  </si>
  <si>
    <t>cassandra.silva@tutorpratica.uniasselvi.com.br</t>
  </si>
  <si>
    <t>COREN-PB</t>
  </si>
  <si>
    <t>Campinas/SP - Abolição</t>
  </si>
  <si>
    <t>Julia Gonzalez Celestino</t>
  </si>
  <si>
    <t>julia.celestino@tutorpratica.uniasselvi.com.br</t>
  </si>
  <si>
    <t>Patricia Vitoria Basaglia Lopes</t>
  </si>
  <si>
    <t>patricia.lopes@tutorpratica.uniasselvi.com.br</t>
  </si>
  <si>
    <t>COREN - São Paulo</t>
  </si>
  <si>
    <t>Campo Grande/MS - Terminal Morenão</t>
  </si>
  <si>
    <t>Sara Jheniffer De Souza Lima</t>
  </si>
  <si>
    <t>67 9323-1126</t>
  </si>
  <si>
    <t>sara.lima@tutorpratica.uniasselvi.com.br</t>
  </si>
  <si>
    <t>Campos dos Goytacazes/RJ - Pelinca</t>
  </si>
  <si>
    <t>Douglas De Abreu Jose</t>
  </si>
  <si>
    <t>douglas.jose@tutorpratica.uniasselvi.com.br</t>
  </si>
  <si>
    <t>Leticia Bonifacio Miranda</t>
  </si>
  <si>
    <t>leticia.miranda@tutorpratica.uniasselvi.com.br</t>
  </si>
  <si>
    <t>Canindé/CE</t>
  </si>
  <si>
    <t>Gauthelly Gomes De Miranda</t>
  </si>
  <si>
    <t>85 92000-4704</t>
  </si>
  <si>
    <t>gauthelly.miranda@tutorpratica.uniasselvi.com.br</t>
  </si>
  <si>
    <t>Canoas/RS - Centro</t>
  </si>
  <si>
    <t>Mariana Kallenbach Oliveira</t>
  </si>
  <si>
    <t>mariana.oliveira@tutorpratica.uniasselvi.com.br</t>
  </si>
  <si>
    <t>Canoinhas/SC</t>
  </si>
  <si>
    <t>Diovana Aparecida De Paula Kriginski</t>
  </si>
  <si>
    <t>diovana.kriginski@tutorpratica.uniasselvi.com.br</t>
  </si>
  <si>
    <t>Capão Da Canoa/RS</t>
  </si>
  <si>
    <t>Alessandra Sibele Borges Pedroso</t>
  </si>
  <si>
    <t>alessandra.pedroso@tutorpratica.uniasselvi.com.br</t>
  </si>
  <si>
    <t>Carapicuíba/SP</t>
  </si>
  <si>
    <t>Sandra Fernandes Massad</t>
  </si>
  <si>
    <t>sandra.massad@tutorpratica.uniasselvi.com.br</t>
  </si>
  <si>
    <t>Caratinga/MG</t>
  </si>
  <si>
    <t>Bruna Ribeiro Tortelote</t>
  </si>
  <si>
    <t>bruna.tortelote@tutorpratica.uniasselvi.com.br</t>
  </si>
  <si>
    <t>Cascavel/PR</t>
  </si>
  <si>
    <t>Geonice Liber Baratieri</t>
  </si>
  <si>
    <t>geonice.baratieri@regentedepolo.uniasselvi.com.br</t>
  </si>
  <si>
    <t>COREN-PR</t>
  </si>
  <si>
    <t>Catalão/GO</t>
  </si>
  <si>
    <t>Alessandra Santos Silveira</t>
  </si>
  <si>
    <t>alessandra.silveira@tutorpratica.uniasselvi.com.br</t>
  </si>
  <si>
    <t>COREN-GO</t>
  </si>
  <si>
    <t>Cedro/CE</t>
  </si>
  <si>
    <t>Jaqueline Lima Bezerra Dos Santos</t>
  </si>
  <si>
    <t>jaqueline.santos@tutorpratica.uniasselvi.com.br</t>
  </si>
  <si>
    <t>Chapadinha/MA</t>
  </si>
  <si>
    <t>Raquel De Oliveira Rocha Abreu</t>
  </si>
  <si>
    <t>raquel.abreu@tutorpratica.uniasselvi.com.br</t>
  </si>
  <si>
    <t>Chapecó/SC - Centro</t>
  </si>
  <si>
    <t>Joinice Lineira Oliveira Hippolyte</t>
  </si>
  <si>
    <t>joinice.hippolyte@tutorpratica.uniasselvi.com.br</t>
  </si>
  <si>
    <t>Ana Carolina Teixeira De Oliveira</t>
  </si>
  <si>
    <t>ana.oliveira@tutorpratica.uniasselvi.com.br</t>
  </si>
  <si>
    <t>Cocos/BA</t>
  </si>
  <si>
    <t>Mateus Santos Macena</t>
  </si>
  <si>
    <t>62 9670-0735</t>
  </si>
  <si>
    <t>mateus.macena@tutorpratica.uniasselvi.com.br</t>
  </si>
  <si>
    <t>Colíder/MT</t>
  </si>
  <si>
    <t>Elaine Cristina Bianchi De Oliveira</t>
  </si>
  <si>
    <t>elaine.oliveira@regentedepolo.uniasselvi.com.br</t>
  </si>
  <si>
    <t>Conselheiro Lafaiete/MG</t>
  </si>
  <si>
    <t>Aline Graziele Goncalves Costa</t>
  </si>
  <si>
    <t>aline.costa@tutorpratica.uniasselvi.com.br</t>
  </si>
  <si>
    <t>Corumbá/MS</t>
  </si>
  <si>
    <t>Ada Cecilia Gomes Porto</t>
  </si>
  <si>
    <t>ada.porto@regentedepolo.uniasselvi.com.br</t>
  </si>
  <si>
    <t>Cristalina/GO</t>
  </si>
  <si>
    <t>Merielle Fatima Rabelo Alves</t>
  </si>
  <si>
    <t>61 9658-5728</t>
  </si>
  <si>
    <t>merielle.ribeiro@tutorpratica.uniasselvi.com.br</t>
  </si>
  <si>
    <t>Cruz Alta/RS</t>
  </si>
  <si>
    <t>Jessica Lemes Garces</t>
  </si>
  <si>
    <t>55 9128-8703</t>
  </si>
  <si>
    <t>jessica.garces@tutorpratica.uniasselvi.com.br</t>
  </si>
  <si>
    <t>Cruzeiro Do Sul/AC</t>
  </si>
  <si>
    <t>Antonia Fabricia Martins Da Silva</t>
  </si>
  <si>
    <t>97 9151-8125</t>
  </si>
  <si>
    <t>antonia.silva@tutorpratica.uniasselvi.com.br</t>
  </si>
  <si>
    <t>COREN-AC</t>
  </si>
  <si>
    <t>Cuiabá/MT - Poção</t>
  </si>
  <si>
    <t>Talita Xavier Claudino</t>
  </si>
  <si>
    <t>talita.claudino@tutorpratica.uniasselvi.com.br</t>
  </si>
  <si>
    <t>Fernando Henrique Modolo</t>
  </si>
  <si>
    <t>fernando.modolo@tutorpratica.uniasselvi.com.br</t>
  </si>
  <si>
    <t>Curitiba/PR - Boqueirão</t>
  </si>
  <si>
    <t>Fadia Amira Baitala</t>
  </si>
  <si>
    <t>fadia.baitala@tutorpratica.uniasselvi.com.br</t>
  </si>
  <si>
    <t>Curitiba/PR - Centro</t>
  </si>
  <si>
    <t>Vania Carvalho De Oliveira Schuertz</t>
  </si>
  <si>
    <t>vania.schuertz@tutorpratica.uniasselvi.com.br</t>
  </si>
  <si>
    <t>Curitibanos/SC</t>
  </si>
  <si>
    <t>Clademir Jose Fernandes Da Silva</t>
  </si>
  <si>
    <t>clademir.silva@regentedepolo.uniasselvi.com.br</t>
  </si>
  <si>
    <t>Diamantina/MG</t>
  </si>
  <si>
    <t>Cleya Da Silva Santana Cruz</t>
  </si>
  <si>
    <t>cleya.cruz@tutorpratica.uniasselvi.com.br</t>
  </si>
  <si>
    <t>Dourados/MS</t>
  </si>
  <si>
    <t>Nivia Maria Da Silva Calado</t>
  </si>
  <si>
    <t>nivia.calado@tutorpratica.uniasselvi.com.br</t>
  </si>
  <si>
    <t>Duque de Caxias/RJ - 25 de Agosto</t>
  </si>
  <si>
    <t>Magno Luis Das Neves Rosa</t>
  </si>
  <si>
    <t>21 96440-7572</t>
  </si>
  <si>
    <t>magno.rosa@tutorpratica.uniasselvi.com.br</t>
  </si>
  <si>
    <t>345683</t>
  </si>
  <si>
    <t>Erval Seco/RS</t>
  </si>
  <si>
    <t>Cleoniria Barbosa Pereira</t>
  </si>
  <si>
    <t>cleoniria.pereira@tutorpratica.uniasselvi.com.br</t>
  </si>
  <si>
    <t>Fazenda Rio Grande/PR</t>
  </si>
  <si>
    <t>Quezia De Souza Porto</t>
  </si>
  <si>
    <t>quezia.porto@tutorpratica.uniasselvi.com.br</t>
  </si>
  <si>
    <t>COREN-RO</t>
  </si>
  <si>
    <t>Feira De Santana/BA - Centro</t>
  </si>
  <si>
    <t>Karine Tosta Souza Borges</t>
  </si>
  <si>
    <t>karine.borges@tutorpratica.uniasselvi.com.br</t>
  </si>
  <si>
    <t>COREN-BA</t>
  </si>
  <si>
    <t>Florianópolis/SC - Centro</t>
  </si>
  <si>
    <t>Leandro Martins Costa De Araujo</t>
  </si>
  <si>
    <t>leandro.araujo@regentedepolo.uniasselvi.com.br</t>
  </si>
  <si>
    <t>Formosa/GO</t>
  </si>
  <si>
    <t>Karoline Garcia de Mendonca</t>
  </si>
  <si>
    <t>karoline.mendonca@tutorpratica.uniasselvi.com.br</t>
  </si>
  <si>
    <t>Antonia Bruna Gomes Da Silva</t>
  </si>
  <si>
    <t>antonia.bsilva@tutorpratica.uniasselvi.com.br</t>
  </si>
  <si>
    <t>Fortaleza/CE - Aguanambi</t>
  </si>
  <si>
    <t>Karla Ingridy Cardoso Oliveira</t>
  </si>
  <si>
    <t>karla.oliveira@tutorpratica.uniasselvi.com.br</t>
  </si>
  <si>
    <t>COREN - Ceará</t>
  </si>
  <si>
    <t>Ana Luiza Araujo De Souza</t>
  </si>
  <si>
    <t>85 9744-6840</t>
  </si>
  <si>
    <t>ana.souza@tutorpratica.uniasselvi.com.br</t>
  </si>
  <si>
    <t>Francisco Beltrão/PR</t>
  </si>
  <si>
    <t>Angela Ariane Dalzoto Graniska Ribas</t>
  </si>
  <si>
    <t>angela.ribas@tutorpratica.uniasselvi.com.br</t>
  </si>
  <si>
    <t>Rosana Freitas De Assis</t>
  </si>
  <si>
    <t>rosana.assis@tutorpratica.uniasselvi.com.br</t>
  </si>
  <si>
    <t>Gandu/BA</t>
  </si>
  <si>
    <t>Juliete Santos Santana</t>
  </si>
  <si>
    <t>juliete.santana@tutorpratica.uniasselvi.com.br</t>
  </si>
  <si>
    <t>Garanhuns/PE</t>
  </si>
  <si>
    <t>Maria Valtania Santos Galdino Brasil</t>
  </si>
  <si>
    <t>87 8166-0443</t>
  </si>
  <si>
    <t>maria.brasil@regentedepolo.uniasselvi.com.br</t>
  </si>
  <si>
    <t>Goiânia/GO - Cerrado</t>
  </si>
  <si>
    <t>Marina Almeida Rodrigues</t>
  </si>
  <si>
    <t>marina.rodrigues@tutorpratica.uniasselvi.com.br</t>
  </si>
  <si>
    <t>Guaíba/RS</t>
  </si>
  <si>
    <t>Marcia Rosane Silva Dos Santos</t>
  </si>
  <si>
    <t>marcia.santos@regentedepolo.uniasselvi.com.br</t>
  </si>
  <si>
    <t>Guaramirim/SC</t>
  </si>
  <si>
    <t>Perla De Souza Andrade</t>
  </si>
  <si>
    <t>perla.andrade@tutorpratica.uniasselvi.com.br</t>
  </si>
  <si>
    <t>Carla Schorck</t>
  </si>
  <si>
    <t>carla.schorck@tutorpratica.uniasselvi.com.br</t>
  </si>
  <si>
    <t>Guarujá/SP</t>
  </si>
  <si>
    <t>Marilene Da Fonseca Magalhaes Silva</t>
  </si>
  <si>
    <t>marilene.silva@tutorpratica.uniasselvi.com.br</t>
  </si>
  <si>
    <t>Herval D'Oeste/SC</t>
  </si>
  <si>
    <t>Maksllene Ingrid De Souza Cavalcanti Spessatto</t>
  </si>
  <si>
    <t>49 9917-5464</t>
  </si>
  <si>
    <t>maksllene.cavalcanti@tutorpratica.uniasselvi.com.br</t>
  </si>
  <si>
    <t>Igarapé-Miri/PA</t>
  </si>
  <si>
    <t>Aline Farias Dos Santos</t>
  </si>
  <si>
    <t>aline.santos@tutorpratica.uniasselvi.com.br</t>
  </si>
  <si>
    <t>Ilhéus/BA</t>
  </si>
  <si>
    <t>Isabella Ramos Dos Santos</t>
  </si>
  <si>
    <t>isabella.santos@tutorpratica.uniasselvi.com.br</t>
  </si>
  <si>
    <t>Imbituba/SC</t>
  </si>
  <si>
    <t>Ingrid Schroeder Pineiro</t>
  </si>
  <si>
    <t>ingrid.pineiro@regentedepolo.uniasselvi.com.br</t>
  </si>
  <si>
    <t>Indaial/SC - Vitória Regia ( Centro Universitário Leonardo da Vinci)</t>
  </si>
  <si>
    <t>Antonieta Carolina Ramos Andrade Graupe</t>
  </si>
  <si>
    <t>antonieta.graupe@regentedepolo.uniasselvi.com.br</t>
  </si>
  <si>
    <t>Ipatinga/MG</t>
  </si>
  <si>
    <t>Paloma Araujo Souza</t>
  </si>
  <si>
    <t>paloma.souza@tutorpratica.uniasselvi.com.br</t>
  </si>
  <si>
    <t>Ipueiras/CE</t>
  </si>
  <si>
    <t>Lilian Maria De Meneses Bernardo</t>
  </si>
  <si>
    <t>lilian.bernardo@regentedepolo.uniasselvi.com.br</t>
  </si>
  <si>
    <t>Irecê/BA</t>
  </si>
  <si>
    <t>Esdras Da Silva Brito</t>
  </si>
  <si>
    <t>74 9953-0250</t>
  </si>
  <si>
    <t>esdras.brito@tutorpratica.uniasselvi.com.br</t>
  </si>
  <si>
    <t>Itaboraí/RJ</t>
  </si>
  <si>
    <t>Patricia da Silva Trasmontano</t>
  </si>
  <si>
    <t>55 21 96646-4336</t>
  </si>
  <si>
    <t>patricia.trasmontano@tutorpratica.uniasselvi.com.br</t>
  </si>
  <si>
    <t>Itabuna/BA</t>
  </si>
  <si>
    <t>Leidiana Neri Dos Santos</t>
  </si>
  <si>
    <t>73 9100-3147</t>
  </si>
  <si>
    <t>leidiana.santos@tutorpratica.uniasselvi.com.br</t>
  </si>
  <si>
    <t>Itacoatiara/AM</t>
  </si>
  <si>
    <t>Cinthia Clece Dos Santos Macedo</t>
  </si>
  <si>
    <t>cinthia.macedo@tutorpratica.uniasselvi.com.br</t>
  </si>
  <si>
    <t>COREN-AM</t>
  </si>
  <si>
    <t>Itajaí/SC - São Vicente</t>
  </si>
  <si>
    <t>Alexandre Ferreira Daltro</t>
  </si>
  <si>
    <t>47 8861-9803</t>
  </si>
  <si>
    <t>alexandre.daltro@tutorpratica.uniasselvi.com.br</t>
  </si>
  <si>
    <t>Itapajé/CE</t>
  </si>
  <si>
    <t>Saulo Dutra Avila Pinheiro</t>
  </si>
  <si>
    <t>saulo.pinheiro@regentedepolo.uniasselvi.com.br</t>
  </si>
  <si>
    <t>Itapecuru Mirim/MA</t>
  </si>
  <si>
    <t>Deborah Da Silva Vasconcelos Ewerton</t>
  </si>
  <si>
    <t>deborah.vasconcelos@tutorpratica.uniasselvi.com.br</t>
  </si>
  <si>
    <t>Itapipoca/CE</t>
  </si>
  <si>
    <t>Tamiles Bruna Da Mota Teixeira</t>
  </si>
  <si>
    <t>tamiles.teixeira@regentedepolo.uniasselvi.com.br</t>
  </si>
  <si>
    <t>Ituiutaba/MG</t>
  </si>
  <si>
    <t>Lorena Tomaz Ribeiro</t>
  </si>
  <si>
    <t>lorena.ribeiro@tutorpratica.uniasselvi.com.br</t>
  </si>
  <si>
    <t>Jacobina/BA</t>
  </si>
  <si>
    <t>Amanda Jaqueline Chagas Bispo</t>
  </si>
  <si>
    <t>amanda.bispo@tutorpratica.uniasselvi.com.br</t>
  </si>
  <si>
    <t>Maringá/PR - Zona 01</t>
  </si>
  <si>
    <t>Juliana Maria De Souza</t>
  </si>
  <si>
    <t>44 99700-9859</t>
  </si>
  <si>
    <t>juliana.souza@tutorpratica.uniasselvi.com.br</t>
  </si>
  <si>
    <t>Janaúba/MG- Padre Eustáquio</t>
  </si>
  <si>
    <t>Adalci Rosana Goncalves Dias</t>
  </si>
  <si>
    <t>adalci.dias@tutorpratica.uniasselvi.com.br</t>
  </si>
  <si>
    <t>Jequié/BA</t>
  </si>
  <si>
    <t>Ariana Marques Dourado Oliveira</t>
  </si>
  <si>
    <t>ariana.oliveira@tutorpratica.uniasselvi.com.br</t>
  </si>
  <si>
    <t>Amanda Reis De Oliveira</t>
  </si>
  <si>
    <t>amanda.oliveira@tutorpratica.uniasselvi.com.br</t>
  </si>
  <si>
    <t>CREA - Rio Grande do Sul</t>
  </si>
  <si>
    <t>Atila Lourena Pereira Oliveira</t>
  </si>
  <si>
    <t>38 9139-9192</t>
  </si>
  <si>
    <t>atila.oliveira@tutorpratica.uniasselvi.com.br</t>
  </si>
  <si>
    <t>Joinville/SC - Saguaçu</t>
  </si>
  <si>
    <t>Adriana Regina Ferreira Guimaraes</t>
  </si>
  <si>
    <t>adriana.guimaraes@tutorpratica.uniasselvi.com.br</t>
  </si>
  <si>
    <t>Juazeiro do Norte/CE - Franciscanos</t>
  </si>
  <si>
    <t>Daniel Pereira Barros</t>
  </si>
  <si>
    <t>(88)99211-9726</t>
  </si>
  <si>
    <t>daniel.barros@tutorpratica.uniasselvi.com.br</t>
  </si>
  <si>
    <t>Juazeiro/BA</t>
  </si>
  <si>
    <t>Rafaela Carla Da Silva Hilariao</t>
  </si>
  <si>
    <t>rafaela.hilariao@tutorpratica.uniasselvi.com.br</t>
  </si>
  <si>
    <t>Juiz de Fora/MG</t>
  </si>
  <si>
    <t>Rafaela Patricia Andrade De Oliveira</t>
  </si>
  <si>
    <t>rafaela.oliveira@tutorpratica.uniasselvi.com.br</t>
  </si>
  <si>
    <t>Juruá/AM</t>
  </si>
  <si>
    <t>Kalison Batista Da Silva</t>
  </si>
  <si>
    <t>97 8429-3911</t>
  </si>
  <si>
    <t>kalison.silva@tutorpratica.uniasselvi.com.br</t>
  </si>
  <si>
    <t>Lages/SC - Centro</t>
  </si>
  <si>
    <t>Daniela Madruga</t>
  </si>
  <si>
    <t>49 9820-5466</t>
  </si>
  <si>
    <t>daniela.madruga@tutorpratica.uniasselvi.com.br</t>
  </si>
  <si>
    <t>Laranjal do Jari/AP</t>
  </si>
  <si>
    <t>Risabel Tavares Fernandes</t>
  </si>
  <si>
    <t>risabel.fernandes@regentedepolo.uniasselvi.com.br</t>
  </si>
  <si>
    <t>COREN-AP</t>
  </si>
  <si>
    <t>Livramento de Nossa Senhora/BA</t>
  </si>
  <si>
    <t>Nadia Carla Rodrigues Azevedo</t>
  </si>
  <si>
    <t>77 9110-0234</t>
  </si>
  <si>
    <t>nadia.azevedo@tutorpratica.uniasselvi.com.br</t>
  </si>
  <si>
    <t>000.228.134</t>
  </si>
  <si>
    <t>São Paulo/SP - Tatuapé</t>
  </si>
  <si>
    <t>Paulo Sergio Lanzarotto</t>
  </si>
  <si>
    <t>11 99976-4516</t>
  </si>
  <si>
    <t>paulo.lanzarotto@tutorpratica.uniasselvi.com.br</t>
  </si>
  <si>
    <t>Luís Eduardo Magalhães/BA</t>
  </si>
  <si>
    <t>Vinicius Freire Silva Da Rocha</t>
  </si>
  <si>
    <t>61 9848-1097</t>
  </si>
  <si>
    <t>vinicius.rocha@tutorpratica.uniasselvi.com.br</t>
  </si>
  <si>
    <t>Macapá/AP</t>
  </si>
  <si>
    <t>Yohanan Reis De Souza</t>
  </si>
  <si>
    <t>yohanan.souza@tutorpratica.uniasselvi.com.br</t>
  </si>
  <si>
    <t>Maceió/AL - Pitanguinha</t>
  </si>
  <si>
    <t>Jean Carlos Firmino Da Silva</t>
  </si>
  <si>
    <t>jean.silva@tutorpratica.uniasselvi.com.br</t>
  </si>
  <si>
    <t>COREN-AL</t>
  </si>
  <si>
    <t>MÃE DO RIO/PA</t>
  </si>
  <si>
    <t>Maria Marly De Oliveira Reis Lopes</t>
  </si>
  <si>
    <t>maria.lopes@tutorpratica.uniasselvi.com.br</t>
  </si>
  <si>
    <t>Mamanguape/PB</t>
  </si>
  <si>
    <t>Sara Luana De Vasconcelos Gomes</t>
  </si>
  <si>
    <t>83 8610-8473</t>
  </si>
  <si>
    <t>sara.gomes@tutorpratica.uniasselvi.com.br</t>
  </si>
  <si>
    <t>Priscila Freiberger Wehmuth Da Silva</t>
  </si>
  <si>
    <t>47 9739-6719</t>
  </si>
  <si>
    <t>priscila.freiberger@tutorpratica.uniasselvi.com.br</t>
  </si>
  <si>
    <t>Manacapuru/AM - Terra Preta</t>
  </si>
  <si>
    <t>Noemia Jully De Vasconcelos Queiroz</t>
  </si>
  <si>
    <t>noemia.queiroz@tutorpratica.uniasselvi.com.br</t>
  </si>
  <si>
    <t>Manaus/AM - Cidade Nova</t>
  </si>
  <si>
    <t>Suzanne Taina Matos De Lima</t>
  </si>
  <si>
    <t>suzanne.lima@regentedepolo.uniasselvi.com.br</t>
  </si>
  <si>
    <t>Marabá/PA - Cidade Nova</t>
  </si>
  <si>
    <t>Mairla Carvalho Dos Santos Costa</t>
  </si>
  <si>
    <t>mairla.costa@tutorpratica.uniasselvi.com.br</t>
  </si>
  <si>
    <t>Parauapebas/PA</t>
  </si>
  <si>
    <t>Adailton Pablyo Alves Silveira</t>
  </si>
  <si>
    <t>94 99193-9146</t>
  </si>
  <si>
    <t>adailton.silveira@tutorpratica.uniasselvi.com.br</t>
  </si>
  <si>
    <t>Mariana Gurjao de Jesus</t>
  </si>
  <si>
    <t>94 8130-6478</t>
  </si>
  <si>
    <t>mariana.jesus@regentedepolo.uniasselvi.com.br</t>
  </si>
  <si>
    <t>Marcelândia/MT</t>
  </si>
  <si>
    <t>Maria Rosangela Da Gama De La Torre</t>
  </si>
  <si>
    <t>maria.torre@regentedepolo.uniasselvi.com.br</t>
  </si>
  <si>
    <t>Daniel De Jesus Valentim</t>
  </si>
  <si>
    <t>048 9954-9489</t>
  </si>
  <si>
    <t>daniel.valentim@tutorpratica.uniasselvi.com.br</t>
  </si>
  <si>
    <t>CREA - Santa Catarina</t>
  </si>
  <si>
    <t>170224-1</t>
  </si>
  <si>
    <t>Maringá/PR - Centro</t>
  </si>
  <si>
    <t>Laura Cristina Da Silva Ahmann Lopes</t>
  </si>
  <si>
    <t>laura.ahmann@tutorpratica.uniasselvi.com.br</t>
  </si>
  <si>
    <t>Viviane Yumi Nakahara Da Silva</t>
  </si>
  <si>
    <t>viviane.silva@tutorpratica.uniasselvi.com.br</t>
  </si>
  <si>
    <t>Maués/AM</t>
  </si>
  <si>
    <t>Nelma Rita Passos Martins</t>
  </si>
  <si>
    <t>nelma.martins@regentedepolo.uniasselvi.com.br</t>
  </si>
  <si>
    <t>Montes Claros/MG - Centro</t>
  </si>
  <si>
    <t>Izabel Francisca Da Silva</t>
  </si>
  <si>
    <t>izabel.silva@tutorpratica.uniasselvi.com.br</t>
  </si>
  <si>
    <t>Natal/RN - Zona Norte</t>
  </si>
  <si>
    <t>Ana Luiza Almeida De Azevedo</t>
  </si>
  <si>
    <t>84 9919-3274</t>
  </si>
  <si>
    <t>ana.azevedo@tutorpratica.uniasselvi.com.br</t>
  </si>
  <si>
    <t>Niterói/RJ - Ingá</t>
  </si>
  <si>
    <t>Conceicao Ignacio da Silva Delphino</t>
  </si>
  <si>
    <t>21 96727-0559</t>
  </si>
  <si>
    <t>conceicao.delphino@tutorpratica.uniasselvi.com.br</t>
  </si>
  <si>
    <t>Nossa Senhora da Glória/SE</t>
  </si>
  <si>
    <t>Amanda Santos</t>
  </si>
  <si>
    <t>79 9811-9666</t>
  </si>
  <si>
    <t>amanda.santos@tutorpratica.uniasselvi.com.br</t>
  </si>
  <si>
    <t>Lages/SC - Garden Shopping</t>
  </si>
  <si>
    <t>Rodrigo Leopoldo Mendes Coelho</t>
  </si>
  <si>
    <t>49 99923-7337</t>
  </si>
  <si>
    <t>rodrigo.coelho@tutorpratica.uniasselvi.com.br</t>
  </si>
  <si>
    <t>Nova Iguaçu/RJ</t>
  </si>
  <si>
    <t>Rosirene De Castro</t>
  </si>
  <si>
    <t>rosirene.castro@tutorpratica.uniasselvi.com.br</t>
  </si>
  <si>
    <t>Nova Mutum/MT</t>
  </si>
  <si>
    <t>Jackeliny Laurindo Da Fonseca</t>
  </si>
  <si>
    <t>jackeliny.fonseca@regentedepolo.uniasselvi.com.br</t>
  </si>
  <si>
    <t>Nova Olinda do Norte/AM</t>
  </si>
  <si>
    <t>Lorena Da Silva Ramos</t>
  </si>
  <si>
    <t>lorena.ramos@tutorpratica.uniasselvi.com.br</t>
  </si>
  <si>
    <t>Humberto Leao Menezes</t>
  </si>
  <si>
    <t>(92) 99601-0982</t>
  </si>
  <si>
    <t>humberto.menezes@tutorpratica.uniasselvi.com.br</t>
  </si>
  <si>
    <t>CREA - Amazonas</t>
  </si>
  <si>
    <t>Novo Hamburgo/RS - Centro</t>
  </si>
  <si>
    <t>Francine Xavier Guterres</t>
  </si>
  <si>
    <t>francine.cruvinel@tutorpratica.uniasselvi.com.br</t>
  </si>
  <si>
    <t>Gabriely Westphal Ramos</t>
  </si>
  <si>
    <t>gabriely.ramos@tutorpratica.uniasselvi.com.br</t>
  </si>
  <si>
    <t>Novo Progresso/PA</t>
  </si>
  <si>
    <t>Laurilene Oliveira Mota</t>
  </si>
  <si>
    <t>laurilene.mota@tutorpratica.uniasselvi.com.br</t>
  </si>
  <si>
    <t>Mauricio Thomas</t>
  </si>
  <si>
    <t>55 99903-9698</t>
  </si>
  <si>
    <t>mauricio.thomas@tutorpratica.uniasselvi.com.br</t>
  </si>
  <si>
    <t>Porto Alegre/RS - Phenix</t>
  </si>
  <si>
    <t>Graciele Pinto Machado</t>
  </si>
  <si>
    <t>51 99217-6464</t>
  </si>
  <si>
    <t>graciele.machado@tutorpratica.uniasselvi.com.br</t>
  </si>
  <si>
    <t>Oliveira/MG</t>
  </si>
  <si>
    <t>Deborah Resende De Oliveira</t>
  </si>
  <si>
    <t>deborah.oliveira@tutorpratica.uniasselvi.com.br</t>
  </si>
  <si>
    <t>Palhoça/SC</t>
  </si>
  <si>
    <t>Milene Letusa Vieira</t>
  </si>
  <si>
    <t>42 8851-6464</t>
  </si>
  <si>
    <t>milene.vieira@tutorpratica.uniasselvi.com.br</t>
  </si>
  <si>
    <t>Gean Lucas Paulino Da Conceicao</t>
  </si>
  <si>
    <t>gean.conceicao@tutorpratica.uniasselvi.com.br</t>
  </si>
  <si>
    <t>Palmas/TO - Plano Diretor Sul</t>
  </si>
  <si>
    <t>Willame Oliveira Ribeiro Junior</t>
  </si>
  <si>
    <t>willame.junior@tutorpratica.uniasselvi.com.br</t>
  </si>
  <si>
    <t>Luis Fernando Caetano Marins</t>
  </si>
  <si>
    <t>luis.marins@tutorpratica.uniasselvi.com.br</t>
  </si>
  <si>
    <t>CREA-Distrito Federal</t>
  </si>
  <si>
    <t>28391/D-DF</t>
  </si>
  <si>
    <t>Danielle Cristine De Avila Arrais</t>
  </si>
  <si>
    <t>danielle.arrais@tutorpratica.uniasselvi.com.br</t>
  </si>
  <si>
    <t>Belém/PA - Nazaré</t>
  </si>
  <si>
    <t>Sandro Bastos De Moura</t>
  </si>
  <si>
    <t>(91) 988367697</t>
  </si>
  <si>
    <t>sandro.moura@tutorpratica.uniasselvi.com.br</t>
  </si>
  <si>
    <t>Parnaíba/PI</t>
  </si>
  <si>
    <t>Dhiego De Souza Paixao</t>
  </si>
  <si>
    <t>dhiego.paixao@tutorpratica.uniasselvi.com.br</t>
  </si>
  <si>
    <t>COREN-PI</t>
  </si>
  <si>
    <t>Emanueli Lottermann</t>
  </si>
  <si>
    <t>emanueli.lottermann@tutorpratica.uniasselvi.com.br</t>
  </si>
  <si>
    <t>CREA-Santa Catarina</t>
  </si>
  <si>
    <t>181680-0</t>
  </si>
  <si>
    <t>Lucas De Sant Anna Vitor Barbieri</t>
  </si>
  <si>
    <t>41 9994-4101</t>
  </si>
  <si>
    <t>lucas.barbieri@tutorpratica.uniasselvi.com.br</t>
  </si>
  <si>
    <t>Passo Fundo/RS</t>
  </si>
  <si>
    <t>Leonardo Azeredo De Marchi</t>
  </si>
  <si>
    <t>leonardo.marchi@tutorpratica.uniasselvi.com.br</t>
  </si>
  <si>
    <t>224613</t>
  </si>
  <si>
    <t>Quixeramobim/CE</t>
  </si>
  <si>
    <t>Francisco Anderson De Sousa Lima</t>
  </si>
  <si>
    <t>(88) 99347-4682</t>
  </si>
  <si>
    <t>francisco.lima@tutorpratica.uniasselvi.com.br</t>
  </si>
  <si>
    <t>CREA-Ceará</t>
  </si>
  <si>
    <t>359828CE</t>
  </si>
  <si>
    <t>Goiânia/GO - Centro</t>
  </si>
  <si>
    <t>Bruno Mendes Correa</t>
  </si>
  <si>
    <t>(64) 99305-9441</t>
  </si>
  <si>
    <t>bruno.correa@tutorpratica.uniasselvi.com.br</t>
  </si>
  <si>
    <t>EMF-ISN2</t>
  </si>
  <si>
    <t>Maraisa Da Rosa Duarte De Medeiros Menezes</t>
  </si>
  <si>
    <t>maraisa.menezes@tutorpratica.uniasselvi.com.br</t>
  </si>
  <si>
    <t>Patos de Minas/MG</t>
  </si>
  <si>
    <t>Erica Geralda Rodrigues Leal</t>
  </si>
  <si>
    <t>67 9272-8254</t>
  </si>
  <si>
    <t>erica.leal@tutorpratica.uniasselvi.com.br</t>
  </si>
  <si>
    <t>Paulo Afonso/BA - Tancredo Neves II</t>
  </si>
  <si>
    <t>Airla Cristina Freire Campos</t>
  </si>
  <si>
    <t>airla.campos@tutorpratica.uniasselvi.com.br</t>
  </si>
  <si>
    <t>Pelotas/RS - Centro</t>
  </si>
  <si>
    <t>Lilian Cruz Souto De Oliveira Sperb</t>
  </si>
  <si>
    <t>lilian.sperb@tutorpratica.uniasselvi.com.br</t>
  </si>
  <si>
    <t>Petrópolis/RJ</t>
  </si>
  <si>
    <t>Juliana Araujo Pereira Gomes</t>
  </si>
  <si>
    <t>juliana.gomes@tutorpratica.uniasselvi.com.br</t>
  </si>
  <si>
    <t>Picos/PI</t>
  </si>
  <si>
    <t>Izabel Cristina Borges Feitosa Caminha</t>
  </si>
  <si>
    <t>izabel.caminha@tutorpratica.uniasselvi.com.br</t>
  </si>
  <si>
    <t>Alber Vitorino Da Silva</t>
  </si>
  <si>
    <t>65 99999-9856</t>
  </si>
  <si>
    <t>alber.silva@tutorpratica.uniasselvi.com.br</t>
  </si>
  <si>
    <t>Pirapora/MG</t>
  </si>
  <si>
    <t>Brunna Ariely Lopes De Souza</t>
  </si>
  <si>
    <t>38 9830-5593</t>
  </si>
  <si>
    <t>brunna.souza@tutorpratica.uniasselvi.com.br</t>
  </si>
  <si>
    <t>Planaltina/GO</t>
  </si>
  <si>
    <t>Naually Rosa De Moura Rodrigues</t>
  </si>
  <si>
    <t>naually.rodrigues@regentedepolo.uniasselvi.com.br</t>
  </si>
  <si>
    <t>Ponta Grossa/PR - Centro</t>
  </si>
  <si>
    <t>Lorena Maria Koller</t>
  </si>
  <si>
    <t>lorena.koller@tutorpratica.uniasselvi.com.br</t>
  </si>
  <si>
    <t>Leticia Bregantini Silva</t>
  </si>
  <si>
    <t>leticia.silva@tutorpratica.uniasselvi.com.br</t>
  </si>
  <si>
    <t>21AZ</t>
  </si>
  <si>
    <t>Ponta Porã/MS</t>
  </si>
  <si>
    <t>Leticia Tavares Viana</t>
  </si>
  <si>
    <t>leticia.viana@tutorpratica.uniasselvi.com.br</t>
  </si>
  <si>
    <t>Pontes e Lacerda/MT</t>
  </si>
  <si>
    <t>Leticia De Andrade Ciritelli</t>
  </si>
  <si>
    <t>65 9952-0722</t>
  </si>
  <si>
    <t>leticia.ciritelli@regentedepolo.uniasselvi.com.br</t>
  </si>
  <si>
    <t>Portel/PA</t>
  </si>
  <si>
    <t>Haylla Portal Lima</t>
  </si>
  <si>
    <t>91 8559-3411</t>
  </si>
  <si>
    <t>haylla.lima@tutorpratica.uniasselvi.com.br</t>
  </si>
  <si>
    <t>SEM ASSINATURA/COBRADA DIA 05/08/2025</t>
  </si>
  <si>
    <t>Pouso Alegre/MG</t>
  </si>
  <si>
    <t>Miguel Angelo Damazio Da Costa</t>
  </si>
  <si>
    <t>miguel.costa@tutorpratica.uniasselvi.com.br</t>
  </si>
  <si>
    <t>Porto Alegre/RS - Centro Histórico</t>
  </si>
  <si>
    <t>Simone Machado Kuhn De Oliveira</t>
  </si>
  <si>
    <t>simone.oliveira@tutorpratica.uniasselvi.com.br</t>
  </si>
  <si>
    <t>Ester De Melo Borba</t>
  </si>
  <si>
    <t>51 8297-4059</t>
  </si>
  <si>
    <t>ester.borba@tutorpratica.uniasselvi.com.br</t>
  </si>
  <si>
    <t>Salete Beatriz Lanes Da Cruz</t>
  </si>
  <si>
    <t>salete.cruz@tutorpratica.uniasselvi.com.br</t>
  </si>
  <si>
    <t>Porto Alegre/RS - Zona Norte</t>
  </si>
  <si>
    <t>Cheila Bueno Da Costa</t>
  </si>
  <si>
    <t>cheila.costa@tutorpratica.uniasselvi.com.br</t>
  </si>
  <si>
    <t>Cristiane Ribeiro Maciel</t>
  </si>
  <si>
    <t>81 9164-6505</t>
  </si>
  <si>
    <t>cristiane.maciel@tutorpratica.uniasselvi.com.br</t>
  </si>
  <si>
    <t>Marcella Silveira Leivas</t>
  </si>
  <si>
    <t>51 9746-2146</t>
  </si>
  <si>
    <t>marcella.leivas@tutorpratica.uniasselvi.com.br</t>
  </si>
  <si>
    <t>Porto Velho/RO - Distrito de Extrema</t>
  </si>
  <si>
    <t>Raul Dos Santos Aguirre</t>
  </si>
  <si>
    <t>(69)84473051</t>
  </si>
  <si>
    <t>raul.aguirre@regentedepolo.uniasselvi.com.br</t>
  </si>
  <si>
    <t>Posse/GO</t>
  </si>
  <si>
    <t>Anna Caroline Matos Almeida</t>
  </si>
  <si>
    <t>anna.almeida@tutorpratica.uniasselvi.com.br</t>
  </si>
  <si>
    <t>Tiago Antonio Da Rosa Junior</t>
  </si>
  <si>
    <t>35 9831-1823</t>
  </si>
  <si>
    <t>tiago.junior@tutorpratica.uniasselvi.com.br</t>
  </si>
  <si>
    <t>Leonardo Lucio Augusto Felipe</t>
  </si>
  <si>
    <t>leonardo.felipe@tutorpratica.uniasselvi.com.br</t>
  </si>
  <si>
    <t>Praia Grande/SP</t>
  </si>
  <si>
    <t>Eliana Lazari Vieira Goncalves</t>
  </si>
  <si>
    <t>eliana.goncalves@regentedepolo.uniasselvi.com.br</t>
  </si>
  <si>
    <t>Presidente Dutra/MA</t>
  </si>
  <si>
    <t>Romario Cunha Da Rocha</t>
  </si>
  <si>
    <t>romario.rocha@tutorpratica.uniasselvi.com.br</t>
  </si>
  <si>
    <t>Raissa Ribeiro Saraiva De Carvalho Schier</t>
  </si>
  <si>
    <t>raissa.schier@tutorpratica.uniasselvi.com.br</t>
  </si>
  <si>
    <t>Presidente Prudente/SP - Jardim Guanabara</t>
  </si>
  <si>
    <t>Aquiles Gonzales De Andrade</t>
  </si>
  <si>
    <t>18 99116-2348</t>
  </si>
  <si>
    <t>aquiles.andrade@tutorpratica.uniasselvi.com.br</t>
  </si>
  <si>
    <t>284.816-ENF</t>
  </si>
  <si>
    <t>Recife/PE - Imbiribeira</t>
  </si>
  <si>
    <t>Guilherme Henrique Santana</t>
  </si>
  <si>
    <t>guilherme.santana@tutorpratica.uniasselvi.com.br</t>
  </si>
  <si>
    <t>Registro/SP</t>
  </si>
  <si>
    <t>Rosa Tatiane Dias Mahs</t>
  </si>
  <si>
    <t>rosa.dias@regentedepolo.uniasselvi.com.br</t>
  </si>
  <si>
    <t>Ribeirão Preto/SP</t>
  </si>
  <si>
    <t>Cristhine Pereira de Sousa</t>
  </si>
  <si>
    <t>33 99971-9502</t>
  </si>
  <si>
    <t>cristhine.sousa@tutorpratica.uniasselvi.com.br</t>
  </si>
  <si>
    <t>Rio Branco/AC - Tangará</t>
  </si>
  <si>
    <t>Jaysiane Azevedo Da Cunha</t>
  </si>
  <si>
    <t>68 9953-0728</t>
  </si>
  <si>
    <t>jaysiane.cunha@regentedepolo.uniasselvi.com.br</t>
  </si>
  <si>
    <t>Rio de Janeiro/RJ - Barra da Tijuca</t>
  </si>
  <si>
    <t>Renata Souza De Silva</t>
  </si>
  <si>
    <t>renata.silva@regentedepolo.uniasselvi.com.br</t>
  </si>
  <si>
    <t>Rio de Janeiro/RJ - Ilha do Governador</t>
  </si>
  <si>
    <t>Rio de Janeiro/RJ - Santa Cruz</t>
  </si>
  <si>
    <t>Giulia Souza Theotonio</t>
  </si>
  <si>
    <t>21 97943-1767</t>
  </si>
  <si>
    <t>giulia.theotonio@tutorpratica.uniasselvi.com.br</t>
  </si>
  <si>
    <t>Itaguaí/RJ - Edifício Manancial</t>
  </si>
  <si>
    <t>Priscilla Honorio Lima</t>
  </si>
  <si>
    <t>21 99740-3927</t>
  </si>
  <si>
    <t>priscilla.lima@tutorpratica.uniasselvi.com.br</t>
  </si>
  <si>
    <t>Gabriel Alexandre Rodrigues</t>
  </si>
  <si>
    <t>+351 933 489 644</t>
  </si>
  <si>
    <t>gabriel.rodrigues@tutorpratica.uniasselvi.com.br</t>
  </si>
  <si>
    <t>Rio de Janeiro/RJ - Tijuca</t>
  </si>
  <si>
    <t>Ericles Jardel De Souza Teles</t>
  </si>
  <si>
    <t>ericles.teles@regentedepolo.uniasselvi.com.br</t>
  </si>
  <si>
    <t>Camboriú/SC</t>
  </si>
  <si>
    <t>Felipe Schwert Gutierrez</t>
  </si>
  <si>
    <t>55 9231-0184</t>
  </si>
  <si>
    <t>felipe.gutierrez@tutorpratica.uniasselvi.com.br</t>
  </si>
  <si>
    <t>Rio do Sul/SC</t>
  </si>
  <si>
    <t>Amanda Caroline Batista</t>
  </si>
  <si>
    <t>amanda.batista@tutorpratica.uniasselvi.com.br</t>
  </si>
  <si>
    <t>Joao Paulo da Silva Jerusalem</t>
  </si>
  <si>
    <t>joao.jerusalem@tutorpratica.uniasselvi.com.br</t>
  </si>
  <si>
    <t>CREA - São Paulo</t>
  </si>
  <si>
    <t>Ana Gabriela Costa Pires</t>
  </si>
  <si>
    <t>ana.pires@tutorpratica.uniasselvi.com.br</t>
  </si>
  <si>
    <t>Thais Goncalves Dias</t>
  </si>
  <si>
    <t>thais.dias@tutorpratica.uniasselvi.com.br</t>
  </si>
  <si>
    <t>Rio Verde/GO</t>
  </si>
  <si>
    <t>Luiz Felipe Braz Teles</t>
  </si>
  <si>
    <t>luiz.teles@tutorpratica.uniasselvi.com.br</t>
  </si>
  <si>
    <t>Rolim de Moura/RO</t>
  </si>
  <si>
    <t>Quezia Da Silva Dos Anjos Da Silva</t>
  </si>
  <si>
    <t>69 8422-3758</t>
  </si>
  <si>
    <t>quezia.silva@regentedepolo.uniasselvi.com.br</t>
  </si>
  <si>
    <t>Rondonópolis/MT</t>
  </si>
  <si>
    <t>Bruno Henrique Paulo Risse</t>
  </si>
  <si>
    <t>bruno.risse@tutorpratica.uniasselvi.com.br</t>
  </si>
  <si>
    <t>NUTRI (Multidisciplinar IV)</t>
  </si>
  <si>
    <t>NTR</t>
  </si>
  <si>
    <t>Isabella Nascimento Meneses De Almeida</t>
  </si>
  <si>
    <t>isabella.almeida@tutorpratica.uniasselvi.com.br</t>
  </si>
  <si>
    <t>QUÍMICA E FÍSICA</t>
  </si>
  <si>
    <t>AGM</t>
  </si>
  <si>
    <t>Janaina De Miranda Silverio</t>
  </si>
  <si>
    <t>janaina.silverio@tutorpratica.uniasselvi.com.br</t>
  </si>
  <si>
    <t>Rorainópolis/RR</t>
  </si>
  <si>
    <t>Janailson Da Silva Tavares</t>
  </si>
  <si>
    <t>janailson.tavares@regentedepolo.uniasselvi.com.br</t>
  </si>
  <si>
    <t>Caroline Limeira Carneiro</t>
  </si>
  <si>
    <t>caroline.carneiro@tutorpratica.uniasselvi.com.br</t>
  </si>
  <si>
    <t>Bruna Pereira Ferreira</t>
  </si>
  <si>
    <t>bruna.ferreira@tutorpratica.uniasselvi.com.br</t>
  </si>
  <si>
    <t>Carla Marielle Pavin Dal Lin</t>
  </si>
  <si>
    <t>carla.lin@tutorpratica.uniasselvi.com.br</t>
  </si>
  <si>
    <t>David Bruno De Sousa Teixeira</t>
  </si>
  <si>
    <t>david.teixeira@tutorpratica.uniasselvi.com.br</t>
  </si>
  <si>
    <t>Vila Velha/ES</t>
  </si>
  <si>
    <t>Leticia Souza Stofilis Gramelich</t>
  </si>
  <si>
    <t>leticia.gramelich@tutorpratica.uniasselvi.com.br</t>
  </si>
  <si>
    <t>Pato Branco/PR</t>
  </si>
  <si>
    <t>Patricia Bortolanza Pereira</t>
  </si>
  <si>
    <t>patricia.pereira@tutorpratica.uniasselvi.com.br</t>
  </si>
  <si>
    <t>Amanda Raquel Bizollo</t>
  </si>
  <si>
    <t>amanda.bizollo@tutorpratica.uniasselvi.com.br</t>
  </si>
  <si>
    <t>BIO-FISIO-EST-TO (Multidisciplinar III)</t>
  </si>
  <si>
    <t>BFI</t>
  </si>
  <si>
    <t>Brasília/DF - Cruzeiro Novo</t>
  </si>
  <si>
    <t>Adriana Felipe Moura</t>
  </si>
  <si>
    <t>adriana.moura@tutorpratica.uniasselvi.com.br</t>
  </si>
  <si>
    <t>Antonio Elinardo Abreu Sales</t>
  </si>
  <si>
    <t>antonio.sales@tutorpratica.uniasselvi.com.br</t>
  </si>
  <si>
    <t>Barbara Cristina Claro Sabino</t>
  </si>
  <si>
    <t>barbara.sabino@tutorpratica.uniasselvi.com.br</t>
  </si>
  <si>
    <t>Bruna Emily Hack</t>
  </si>
  <si>
    <t>bruna.hack@tutorpratica.uniasselvi.com.br</t>
  </si>
  <si>
    <t>Salinas/MG</t>
  </si>
  <si>
    <t>Cristiane De Oliveira Silva</t>
  </si>
  <si>
    <t>cristiane.silva@tutorpratica.uniasselvi.com.br</t>
  </si>
  <si>
    <t>BIO-FAR (Multidisciplinar I)</t>
  </si>
  <si>
    <t>BFR</t>
  </si>
  <si>
    <t>Santa Inês/MA</t>
  </si>
  <si>
    <t>Camille Graziele Rocha Dos Santos</t>
  </si>
  <si>
    <t>camille.santos@tutorpratica.uniasselvi.com.br</t>
  </si>
  <si>
    <t>Cristiano Feuser</t>
  </si>
  <si>
    <t>cristiano.feuser@tutorpratica.uniasselvi.com.br</t>
  </si>
  <si>
    <t>Franciel Barboza De Sousa</t>
  </si>
  <si>
    <t>franciel.sousa@tutorpratica.uniasselvi.com.br</t>
  </si>
  <si>
    <t>Thaiara Aparecida Bueno Prioli</t>
  </si>
  <si>
    <t>thaiara.prioli@tutorpratica.uniasselvi.com.br</t>
  </si>
  <si>
    <t>Leticia De Sousa Severo</t>
  </si>
  <si>
    <t>leticia.severo@tutorpratica.uniasselvi.com.br</t>
  </si>
  <si>
    <t>Fabiano Johnson Duarte Bartmann</t>
  </si>
  <si>
    <t>fabiano.bartmann@tutorpratica.uniasselvi.com.br</t>
  </si>
  <si>
    <t>CREFITO - Rio Grande do Sul</t>
  </si>
  <si>
    <t>50266-F</t>
  </si>
  <si>
    <t>Marianna Dos Santos Rodrigues Alencar</t>
  </si>
  <si>
    <t>marianna.alencar@tutorpratica.uniasselvi.com.br</t>
  </si>
  <si>
    <t>Camila Rissatti Brandao</t>
  </si>
  <si>
    <t>camila.brandao@tutorpratica.uniasselvi.com.br</t>
  </si>
  <si>
    <t>Salinópolis/PA</t>
  </si>
  <si>
    <t>Jean Sousa Dos Santos</t>
  </si>
  <si>
    <t>jean.santos@tutorpratica.uniasselvi.com.br</t>
  </si>
  <si>
    <t>Criciúma/SC</t>
  </si>
  <si>
    <t>Izabela Cechinel Biela</t>
  </si>
  <si>
    <t>izabela.biela@tutorpratica.uniasselvi.com.br</t>
  </si>
  <si>
    <t>CRN - Santa Catarina</t>
  </si>
  <si>
    <t>Janaina Pieruccini Pulgatti</t>
  </si>
  <si>
    <t>janaina.pulgatti@tutorpratica.uniasselvi.com.br</t>
  </si>
  <si>
    <t>CRN - Rio Grande do Sul</t>
  </si>
  <si>
    <t>10639D</t>
  </si>
  <si>
    <t>Juliana Berger</t>
  </si>
  <si>
    <t>juliana.berger@tutorpratica.uniasselvi.com.br</t>
  </si>
  <si>
    <t>CRN2 16361D</t>
  </si>
  <si>
    <t>Laura Volpato</t>
  </si>
  <si>
    <t>laura.volpato@tutorpratica.uniasselvi.com.br</t>
  </si>
  <si>
    <t>Lua Augusto De Araujo Costa</t>
  </si>
  <si>
    <t>lua.costa@tutorpratica.uniasselvi.com.br</t>
  </si>
  <si>
    <t>Salvador/BA - Caminho das Árvores</t>
  </si>
  <si>
    <t>Bruno Jones De Castro</t>
  </si>
  <si>
    <t>bruno.castro@tutorpratica.uniasselvi.com.br</t>
  </si>
  <si>
    <t>Nathane Beatrys Dos Santos Ramos</t>
  </si>
  <si>
    <t>nathane.ramos@tutorpratica.uniasselvi.com.br</t>
  </si>
  <si>
    <t>Alagoinhas/BA</t>
  </si>
  <si>
    <t>Priscila Maria Bittencourt Alves</t>
  </si>
  <si>
    <t>priscila.alves@tutorpratica.uniasselvi.com.br</t>
  </si>
  <si>
    <t>Sancha Victoria Coelho Cardoso</t>
  </si>
  <si>
    <t>sancha.cardoso@tutorpratica.uniasselvi.com.br</t>
  </si>
  <si>
    <t>Silvestre Araujo Assumpcao</t>
  </si>
  <si>
    <t>silvestre.assumpcao@tutorpratica.uniasselvi.com.br</t>
  </si>
  <si>
    <t>São Caetano do Sul/SP</t>
  </si>
  <si>
    <t>Simone Mendonca Rodrigues</t>
  </si>
  <si>
    <t>simone.rodrigues@tutorpratica.uniasselvi.com.br</t>
  </si>
  <si>
    <t>CRF-SP - São Paulo</t>
  </si>
  <si>
    <t>Thecica Layme De Sousa Santos</t>
  </si>
  <si>
    <t>thecica.santos@tutorpratica.uniasselvi.com.br</t>
  </si>
  <si>
    <t>CREA - Distrito Federal</t>
  </si>
  <si>
    <t>Elisia Martins Pires</t>
  </si>
  <si>
    <t>elisia.pires@tutorpratica.uniasselvi.com.br</t>
  </si>
  <si>
    <t>Joao Paulo Chodacki Quiuqui</t>
  </si>
  <si>
    <t>joao.quiuqui@tutorpratica.uniasselvi.com.br</t>
  </si>
  <si>
    <t>Rio de Janeiro/RJ - Campo Grande</t>
  </si>
  <si>
    <t>Leonardo Bittencourt Dos Santos</t>
  </si>
  <si>
    <t>leonardo.santos@tutorpratica.uniasselvi.com.br</t>
  </si>
  <si>
    <t>CRF-RJ - Rio de Janeiro</t>
  </si>
  <si>
    <t>Daniele Tamires Guimaraes Carneiro</t>
  </si>
  <si>
    <t>daniele.carneiro@tutorpratica.uniasselvi.com.br</t>
  </si>
  <si>
    <t>Jessica Sousa Silva</t>
  </si>
  <si>
    <t>jessica.silva@tutorpratica.uniasselvi.com.br</t>
  </si>
  <si>
    <t>Cintia Hoffer Rocha</t>
  </si>
  <si>
    <t>cintia.rocha@tutorpratica.uniasselvi.com.br</t>
  </si>
  <si>
    <t>Três Lagoas/MS</t>
  </si>
  <si>
    <t>Renato Cezar Da Mota Borges</t>
  </si>
  <si>
    <t>renato.borges@tutorpratica.uniasselvi.com.br</t>
  </si>
  <si>
    <t>Tercio Pompeu De Mello</t>
  </si>
  <si>
    <t>tercio.mello@tutorpratica.uniasselvi.com.br</t>
  </si>
  <si>
    <t>Anderlan Do Nascimento Oliveira</t>
  </si>
  <si>
    <t>anderlan.oliveira@tutorpratica.uniasselvi.com.br</t>
  </si>
  <si>
    <t>Lucas Soares De Medeiros</t>
  </si>
  <si>
    <t>lucas.medeiros@tutorpratica.uniasselvi.com.br</t>
  </si>
  <si>
    <t>CREFITO - São Paulo</t>
  </si>
  <si>
    <t>Pamella Antunes De Macedo Sales</t>
  </si>
  <si>
    <t>pamella.sales@tutorpratica.uniasselvi.com.br</t>
  </si>
  <si>
    <t>Carla Nebele Ferreira Hanau</t>
  </si>
  <si>
    <t>carla.hanau@tutorpratica.uniasselvi.com.br</t>
  </si>
  <si>
    <t>Alexandre Da Silva Cardoso</t>
  </si>
  <si>
    <t>alexandre.cardoso@tutorpratica.uniasselvi.com.br</t>
  </si>
  <si>
    <t>Ellen Magda Silva Machado</t>
  </si>
  <si>
    <t>ellen.machado@tutorpratica.uniasselvi.com.br</t>
  </si>
  <si>
    <t>Ana Julia Ribeiro Dos Santos</t>
  </si>
  <si>
    <t>ana.santos@tutorpratica.uniasselvi.com.br</t>
  </si>
  <si>
    <t>CREA-MG</t>
  </si>
  <si>
    <t>167464MG</t>
  </si>
  <si>
    <t>Angela Florencio</t>
  </si>
  <si>
    <t>angela.florencio@tutorpratica.uniasselvi.com.br</t>
  </si>
  <si>
    <t>COFFITO</t>
  </si>
  <si>
    <t>335191F</t>
  </si>
  <si>
    <t>Daiane Dias Ferreira</t>
  </si>
  <si>
    <t>daiane.ferreira@tutorpratica.uniasselvi.com.br</t>
  </si>
  <si>
    <t>Santa Cruz do Sul/RS</t>
  </si>
  <si>
    <t>Regina Elisa Schmitz</t>
  </si>
  <si>
    <t>regina.schmitz@tutorpratica.uniasselvi.com.br</t>
  </si>
  <si>
    <t>São Pedro da Aldeia/RJ</t>
  </si>
  <si>
    <t>Natalia Silva De Mattos</t>
  </si>
  <si>
    <t>natalia.mattos@tutorpratica.uniasselvi.com.br</t>
  </si>
  <si>
    <t>CRN - Rio de Janeiro</t>
  </si>
  <si>
    <t>Stelen Bondan</t>
  </si>
  <si>
    <t>stelen.bondan@tutorpratica.uniasselvi.com.br</t>
  </si>
  <si>
    <t>Tuani Rafaela Matana Neves</t>
  </si>
  <si>
    <t>tuani.neves@tutorpratica.uniasselvi.com.br</t>
  </si>
  <si>
    <t>CREFITO - Santa Catarina</t>
  </si>
  <si>
    <t>225.690-F</t>
  </si>
  <si>
    <t>Rachell Adrielle Bomfim Reis Santos</t>
  </si>
  <si>
    <t>rachell.santos@tutorpratica.uniasselvi.com.br</t>
  </si>
  <si>
    <t>Felipe Luiz Ieger</t>
  </si>
  <si>
    <t>felipe.ieger@tutorpratica.uniasselvi.com.br</t>
  </si>
  <si>
    <t>Gustavo Aguiar De Sousa</t>
  </si>
  <si>
    <t>gustavo.sousa@tutorpratica.uniasselvi.com.br</t>
  </si>
  <si>
    <t>CRF-MS - Mato Grosso do Sul</t>
  </si>
  <si>
    <t>Carlos Vitor Oliveira Alves</t>
  </si>
  <si>
    <t>carlos.alves@tutorpratica.uniasselvi.com.br</t>
  </si>
  <si>
    <t>Suzeline Ferreira</t>
  </si>
  <si>
    <t>suzeline.ferreira@tutorpratica.uniasselvi.com.br</t>
  </si>
  <si>
    <t>Albertina Radtke Wieth</t>
  </si>
  <si>
    <t>albertina.wieth@tutorpratica.uniasselvi.com.br</t>
  </si>
  <si>
    <t>Campo Grande/MS - Santo Antonio</t>
  </si>
  <si>
    <t>Giovana Coutinho Zulin Nascimento</t>
  </si>
  <si>
    <t>giovana.nascimento@tutorpratica.uniasselvi.com.br</t>
  </si>
  <si>
    <t>COS-TIP</t>
  </si>
  <si>
    <t>Lorrine De Souza Silva</t>
  </si>
  <si>
    <t>lorrine.silva@tutorpratica.uniasselvi.com.br</t>
  </si>
  <si>
    <t>Michelle Barros Pantoja</t>
  </si>
  <si>
    <t>michelle.pantoja@tutorpratica.uniasselvi.com.br</t>
  </si>
  <si>
    <t>Thais De Souza</t>
  </si>
  <si>
    <t>thais.souza@tutorpratica.uniasselvi.com.br</t>
  </si>
  <si>
    <t>São Luís/MA - Região Central</t>
  </si>
  <si>
    <t>Raimundo Renato Silva Ramos</t>
  </si>
  <si>
    <t>raimundo.ramos@tutorpratica.uniasselvi.com.br</t>
  </si>
  <si>
    <t>CRF-MA - Maranhão</t>
  </si>
  <si>
    <t>Macaé/RJ</t>
  </si>
  <si>
    <t>Igor De Souza Pinto</t>
  </si>
  <si>
    <t>igor.pinto@tutorpratica.uniasselvi.com.br</t>
  </si>
  <si>
    <t>Munique Lopes Pires</t>
  </si>
  <si>
    <t>munique.pires@tutorpratica.uniasselvi.com.br</t>
  </si>
  <si>
    <t>Ronaldo Dutra Gomes</t>
  </si>
  <si>
    <t>ronaldo.gomes@tutorpratica.uniasselvi.com.br</t>
  </si>
  <si>
    <t>Vivian Calegaro Da Silva</t>
  </si>
  <si>
    <t>vivian.silva@tutorpratica.uniasselvi.com.br</t>
  </si>
  <si>
    <t>Eduarda Marcom Ferrandin</t>
  </si>
  <si>
    <t>eduarda.ferrandin@tutorpratica.uniasselvi.com.br</t>
  </si>
  <si>
    <t>Cariacica/ES - Shopping Moxuara</t>
  </si>
  <si>
    <t>Diego Garcia Rodrigues</t>
  </si>
  <si>
    <t>diego.rodrigues@tutorpratica.uniasselvi.com.br</t>
  </si>
  <si>
    <t>Santa Fé do Sul/SP</t>
  </si>
  <si>
    <t>Mariana Mirian Correia</t>
  </si>
  <si>
    <t>mariana.correia@regentedepolo.uniasselvi.com.br</t>
  </si>
  <si>
    <t>Denise Marques Demetriuk</t>
  </si>
  <si>
    <t>denise.demetriuk@tutorpratica.uniasselvi.com.br</t>
  </si>
  <si>
    <t>Marcos Antonio De Aguiar</t>
  </si>
  <si>
    <t>marcos.aguiar@tutorpratica.uniasselvi.com.br</t>
  </si>
  <si>
    <t>Ygor Lafaeth Vieira Nunes</t>
  </si>
  <si>
    <t>98 8438-7401</t>
  </si>
  <si>
    <t>ygor.nunes@regentedepolo.uniasselvi.com.br</t>
  </si>
  <si>
    <t>Igor Luiz Cunha Fernandes</t>
  </si>
  <si>
    <t>igor.fernandes@tutorpratica.uniasselvi.com.br</t>
  </si>
  <si>
    <t>Paulo Afonso/BA</t>
  </si>
  <si>
    <t>Renata De Souza Araujo Ferraz</t>
  </si>
  <si>
    <t>renata.ferraz@tutorpratica.uniasselvi.com.br</t>
  </si>
  <si>
    <t>Santa Maria/RS - Medianeira</t>
  </si>
  <si>
    <t>Laura Prestes Moreira</t>
  </si>
  <si>
    <t>laura.moreira@tutorpratica.uniasselvi.com.br</t>
  </si>
  <si>
    <t>Ariane Andreola</t>
  </si>
  <si>
    <t>ariane.andreola@tutorpratica.uniasselvi.com.br</t>
  </si>
  <si>
    <t>Beatriz Henkels</t>
  </si>
  <si>
    <t>beatriz.henkels@tutorpratica.uniasselvi.com.br</t>
  </si>
  <si>
    <t>Beatriz Oliveira De Andrade</t>
  </si>
  <si>
    <t>61 9867-1835</t>
  </si>
  <si>
    <t>beatriz.andrade@tutorpratica.uniasselvi.com.br</t>
  </si>
  <si>
    <t>Roberta Vieira Barreto</t>
  </si>
  <si>
    <t>roberta.barreto@tutorpratica.uniasselvi.com.br</t>
  </si>
  <si>
    <t>CRF-BA - Bahia</t>
  </si>
  <si>
    <t>Clara Oliveira E Oliveira</t>
  </si>
  <si>
    <t>clara.oliveira@tutorpratica.uniasselvi.com.br</t>
  </si>
  <si>
    <t>Fred Mauricio Ferreira Da Conceicao</t>
  </si>
  <si>
    <t>fred.conceicao@tutorpratica.uniasselvi.com.br</t>
  </si>
  <si>
    <t>Gabriela Fanck Dos Santos</t>
  </si>
  <si>
    <t>gabriela.santos@tutorpratica.uniasselvi.com.br</t>
  </si>
  <si>
    <t>192592-1</t>
  </si>
  <si>
    <t>Julia Nicole Fontes Arruda</t>
  </si>
  <si>
    <t>julia.arruda@tutorpratica.uniasselvi.com.br</t>
  </si>
  <si>
    <t>Katlen Ribeiro Gadelha</t>
  </si>
  <si>
    <t>katlen.gadelha@tutorpratica.uniasselvi.com.br</t>
  </si>
  <si>
    <t>Marina Pedroso Carneiro</t>
  </si>
  <si>
    <t>marina.carneiro@tutorpratica.uniasselvi.com.br</t>
  </si>
  <si>
    <t>CREA-São Paulo</t>
  </si>
  <si>
    <t>Sinop/MT</t>
  </si>
  <si>
    <t>Paulo Roberto Di Filippo</t>
  </si>
  <si>
    <t>paulo.filippo@tutorpratica.uniasselvi.com.br</t>
  </si>
  <si>
    <t>Suzieli Alves Rumpel</t>
  </si>
  <si>
    <t>suzieli.rumpel@tutorpratica.uniasselvi.com.br</t>
  </si>
  <si>
    <t>Vitor Batista Pinheiro</t>
  </si>
  <si>
    <t>vitor.pinheiro@tutorpratica.uniasselvi.com.br</t>
  </si>
  <si>
    <t>CREA - Bahia</t>
  </si>
  <si>
    <t>Santarém/PA</t>
  </si>
  <si>
    <t>Lulucha De Fatima Lima Da Silva</t>
  </si>
  <si>
    <t>93 9902-1573</t>
  </si>
  <si>
    <t>lulucha.silva@tutorpratica.uniasselvi.com.br</t>
  </si>
  <si>
    <t>Ana Carolina Santos Da Ponte Souza</t>
  </si>
  <si>
    <t>ana.csouza@tutorpratica.uniasselvi.com.br</t>
  </si>
  <si>
    <t>Hamilton Dos Santos Oliveira Junior</t>
  </si>
  <si>
    <t>hamilton.junior@tutorpratica.uniasselvi.com.br</t>
  </si>
  <si>
    <t>Aline Margareth Nogueira Maciel</t>
  </si>
  <si>
    <t>aline.maciel@tutorpratica.uniasselvi.com.br</t>
  </si>
  <si>
    <t>Ana Valeria De Oliveira Goncalves Prietsch</t>
  </si>
  <si>
    <t>ana.prietsch@tutorpratica.uniasselvi.com.br</t>
  </si>
  <si>
    <t>BTO</t>
  </si>
  <si>
    <t>Beatriz Teixeira Da Silva</t>
  </si>
  <si>
    <t>beatriz.silva@tutorpratica.uniasselvi.com.br</t>
  </si>
  <si>
    <t>São Gonçalo/RJ - Partage Shopping</t>
  </si>
  <si>
    <t>Caio Roberto Siqueira Lamego</t>
  </si>
  <si>
    <t>caio.lamego@tutorpratica.uniasselvi.com.br</t>
  </si>
  <si>
    <t>Santo André/SP</t>
  </si>
  <si>
    <t>Kamila Cabral Sena</t>
  </si>
  <si>
    <t>kamila.sena@tutorpratica.uniasselvi.com.br</t>
  </si>
  <si>
    <t>Nova Iguaçu/RJ - Centro</t>
  </si>
  <si>
    <t>Eli Da Trindade Ferreira</t>
  </si>
  <si>
    <t>eli.ferreira@tutorpratica.uniasselvi.com.br</t>
  </si>
  <si>
    <t>Goiânia/GO - Jardim Europa</t>
  </si>
  <si>
    <t>Kellen Ferreira Nascimento</t>
  </si>
  <si>
    <t>kellen.nascimento@tutorpratica.uniasselvi.com.br</t>
  </si>
  <si>
    <t>CRN - Goiás</t>
  </si>
  <si>
    <t>Santo Antônio de Jesus/BA</t>
  </si>
  <si>
    <t>Joao Antonio Brito Porto</t>
  </si>
  <si>
    <t>joao.porto@tutorpratica.uniasselvi.com.br</t>
  </si>
  <si>
    <t>Thaisa Silveira</t>
  </si>
  <si>
    <t>thaisa.silveira@tutorpratica.uniasselvi.com.br</t>
  </si>
  <si>
    <t>William Benjamim Acarini</t>
  </si>
  <si>
    <t>william.acarini@tutorpratica.uniasselvi.com.br</t>
  </si>
  <si>
    <t>CRF-SC - Santa Catarina</t>
  </si>
  <si>
    <t>Caroline Maciel Ribeiro</t>
  </si>
  <si>
    <t>caroline.ribeiro@tutorpratica.uniasselvi.com.br</t>
  </si>
  <si>
    <t>São Bento/MA</t>
  </si>
  <si>
    <t>Matheus Campos Silva</t>
  </si>
  <si>
    <t>matheus.silva@tutorpratica.uniasselvi.com.br</t>
  </si>
  <si>
    <t>Gabrieli Pereira Da Cruz</t>
  </si>
  <si>
    <t>gabrieli.cruz@tutorpratica.uniasselvi.com.br</t>
  </si>
  <si>
    <t>Rafaela Felix Da Franca</t>
  </si>
  <si>
    <t>rafaela.franca@tutorpratica.uniasselvi.com.br</t>
  </si>
  <si>
    <t>Karoline Novais Da Silva</t>
  </si>
  <si>
    <t>karoline.silva@tutorpratica.uniasselvi.com.br</t>
  </si>
  <si>
    <t>São Félix do Xingu/PA</t>
  </si>
  <si>
    <t>Rachel De Brito Ribeiro</t>
  </si>
  <si>
    <t>rachel.ribeiro@tutorpratica.uniasselvi.com.br</t>
  </si>
  <si>
    <t>Ana Caroliny Guedes Da Silva</t>
  </si>
  <si>
    <t>ana.silva@tutorpratica.uniasselvi.com.br</t>
  </si>
  <si>
    <t>Maisa Dare Perim</t>
  </si>
  <si>
    <t>maisa.perim@tutorpratica.uniasselvi.com.br</t>
  </si>
  <si>
    <t>Karen Ritt</t>
  </si>
  <si>
    <t>karen.ritt@tutorpratica.uniasselvi.com.br</t>
  </si>
  <si>
    <t>Silverio Teixeira Dos Santos</t>
  </si>
  <si>
    <t>silverio.santos@tutorpratica.uniasselvi.com.br</t>
  </si>
  <si>
    <t>CRF-RO - Rondônia</t>
  </si>
  <si>
    <t>São Gabriel da Cachoeira/AM</t>
  </si>
  <si>
    <t>Maria Rosalia Marques Sampaio</t>
  </si>
  <si>
    <t>97 8450-9440</t>
  </si>
  <si>
    <t>maria.sampaio@tutorpratica.uniasselvi.com.br</t>
  </si>
  <si>
    <t>Flavia Angelica Da Silva</t>
  </si>
  <si>
    <t>flavia.silva@tutorpratica.uniasselvi.com.br</t>
  </si>
  <si>
    <t>Keilla Boehler Ferreira</t>
  </si>
  <si>
    <t>keilla.ferreira@tutorpratica.uniasselvi.com.br</t>
  </si>
  <si>
    <t>Luiza Rodrigues De Assis Brito</t>
  </si>
  <si>
    <t>luiza.brito@tutorpratica.uniasselvi.com.br</t>
  </si>
  <si>
    <t>Marla Maria Ferreira De Souza</t>
  </si>
  <si>
    <t>marla.souza@tutorpratica.uniasselvi.com.br</t>
  </si>
  <si>
    <t>Jaraguá do Sul/SC</t>
  </si>
  <si>
    <t>Menithen Beber Rodrigues</t>
  </si>
  <si>
    <t>menithen.rodrigues@tutorpratica.uniasselvi.com.br</t>
  </si>
  <si>
    <t>Cristiana Machado De Abreu Farias</t>
  </si>
  <si>
    <t>cristiana.farias@tutorpratica.uniasselvi.com.br</t>
  </si>
  <si>
    <t>Francisco Farias Feitoza</t>
  </si>
  <si>
    <t>francisco.feitoza@tutorpratica.uniasselvi.com.br</t>
  </si>
  <si>
    <t>Jessica Neves Lameiro De Miranda</t>
  </si>
  <si>
    <t>jessica.miranda@tutorpratica.uniasselvi.com.br</t>
  </si>
  <si>
    <t>Roseli Bastos Grillo</t>
  </si>
  <si>
    <t>roseli.grillo@tutorpratica.uniasselvi.com.br</t>
  </si>
  <si>
    <t>Simone Alves Da Silva</t>
  </si>
  <si>
    <t>simone.silva@tutorpratica.uniasselvi.com.br</t>
  </si>
  <si>
    <t>Camila Cristina Pereira De Souza Dos Anjos</t>
  </si>
  <si>
    <t>camila.anjos@tutorpratica.uniasselvi.com.br</t>
  </si>
  <si>
    <t>CRF-MT - Mato Grosso</t>
  </si>
  <si>
    <t>William Da Silva Coimbra</t>
  </si>
  <si>
    <t>william.coimbra@regentedepolo.uniasselvi.com.br</t>
  </si>
  <si>
    <t>São José do Rio Preto/SP - Centro</t>
  </si>
  <si>
    <t>Barbara De Fatima Caetano</t>
  </si>
  <si>
    <t>barbara.caetano@tutorpratica.uniasselvi.com.br</t>
  </si>
  <si>
    <t>Elaine Cristina Camilo</t>
  </si>
  <si>
    <t>elaine.camilo@tutorpratica.uniasselvi.com.br</t>
  </si>
  <si>
    <t>190784-F</t>
  </si>
  <si>
    <t>São José dos Campos/SP</t>
  </si>
  <si>
    <t>Tatiana Cavalcante De Moura</t>
  </si>
  <si>
    <t>12 98146-1601</t>
  </si>
  <si>
    <t>tatiana.moura@tutorpratica.uniasselvi.com.br</t>
  </si>
  <si>
    <t>Bianca Barros Silva</t>
  </si>
  <si>
    <t>bianca.silva@tutorpratica.uniasselvi.com.br</t>
  </si>
  <si>
    <t>Unaí/MG</t>
  </si>
  <si>
    <t>Rannery Camargos Dos Santos</t>
  </si>
  <si>
    <t>rannery.santos@tutorpratica.uniasselvi.com.br</t>
  </si>
  <si>
    <t>CREA - Minas Gerais</t>
  </si>
  <si>
    <t>CREA-MG 1422395421</t>
  </si>
  <si>
    <t>São Luís/MA - Cidade Operária</t>
  </si>
  <si>
    <t>Denise Nunes Do Nascimento</t>
  </si>
  <si>
    <t>denise.nascimento@tutorpratica.uniasselvi.com.br</t>
  </si>
  <si>
    <t>Zuelma Andrade De Oliveira</t>
  </si>
  <si>
    <t>zuelma.oliveira@tutorpratica.uniasselvi.com.br</t>
  </si>
  <si>
    <t>Veryluska Marques Sousa</t>
  </si>
  <si>
    <t>veryluska.sousa@tutorpratica.uniasselvi.com.br</t>
  </si>
  <si>
    <t>Jackeson Oliveira De Moraes</t>
  </si>
  <si>
    <t>jackeson.moraes@tutorpratica.uniasselvi.com.br</t>
  </si>
  <si>
    <t>Giselle Nascimento</t>
  </si>
  <si>
    <t>giselle.nascimento@tutorpratica.uniasselvi.com.br</t>
  </si>
  <si>
    <t>Ji-Paraná/RO</t>
  </si>
  <si>
    <t>Leticia Mariano Lima</t>
  </si>
  <si>
    <t>leticia.lima@tutorpratica.uniasselvi.com.br</t>
  </si>
  <si>
    <t>Tamilles Dos Santos Guimaraes Da Hora</t>
  </si>
  <si>
    <t>tamilles.hora@tutorpratica.uniasselvi.com.br</t>
  </si>
  <si>
    <t>Lauren Da Rosa De Oliveira</t>
  </si>
  <si>
    <t>lauren.oliveira@tutorpratica.uniasselvi.com.br</t>
  </si>
  <si>
    <t>Mauro Da Silva Alves</t>
  </si>
  <si>
    <t>mauro.alves@tutorpratica.uniasselvi.com.br</t>
  </si>
  <si>
    <t>Paulo Vitor Santos Da Silva</t>
  </si>
  <si>
    <t>paulo.silva@tutorpratica.uniasselvi.com.br</t>
  </si>
  <si>
    <t>Rodrigo Cavalheiro Da Silva</t>
  </si>
  <si>
    <t>rodrigo.silva@tutorpratica.uniasselvi.com.br</t>
  </si>
  <si>
    <t>São Paulo/SP - Saúde</t>
  </si>
  <si>
    <t>Evelyn Araujo Da Silva</t>
  </si>
  <si>
    <t>evelyn.silva@tutorpratica.uniasselvi.com.br</t>
  </si>
  <si>
    <t>Simone Gabino Barbosa De Oliveira</t>
  </si>
  <si>
    <t>simone.goliveira@tutorpratica.uniasselvi.com.br</t>
  </si>
  <si>
    <t>Vanessa Dell Osbel Fachini</t>
  </si>
  <si>
    <t>vanessa.fachini@tutorpratica.uniasselvi.com.br</t>
  </si>
  <si>
    <t>Luiz Dias Da Silva</t>
  </si>
  <si>
    <t>luiz.silva@regentedepolo.uniasselvi.com.br</t>
  </si>
  <si>
    <t>Recife/PE - Madalena</t>
  </si>
  <si>
    <t>Italo Luis Santos De Lima</t>
  </si>
  <si>
    <t>italo.lima@tutorpratica.uniasselvi.com.br</t>
  </si>
  <si>
    <t>Brenda Lopes Barbosa Bonadiman</t>
  </si>
  <si>
    <t>brenda.bonadiman@tutorpratica.uniasselvi.com.br</t>
  </si>
  <si>
    <t>Helena Manenti Martins</t>
  </si>
  <si>
    <t>helena.martins@tutorpratica.uniasselvi.com.br</t>
  </si>
  <si>
    <t>Sarah Andrade Toledo Homci</t>
  </si>
  <si>
    <t>sarah.homci@tutorpratica.uniasselvi.com.br</t>
  </si>
  <si>
    <t>Rafael Costa Rodrigues De Oliveira</t>
  </si>
  <si>
    <t>rafael.oliveira@tutorpratica.uniasselvi.com.br</t>
  </si>
  <si>
    <t>CRF-PB - Paraíba</t>
  </si>
  <si>
    <t>Caxias Do Sul/RS - Shopping Villagio</t>
  </si>
  <si>
    <t>Vanessa Espindola De Alencar</t>
  </si>
  <si>
    <t>vanessa.alencar@tutorpratica.uniasselvi.com.br</t>
  </si>
  <si>
    <t>CRF-RS - Rio Grande do Sul</t>
  </si>
  <si>
    <t>Juliane Alves Ribeiro Diogenes</t>
  </si>
  <si>
    <t>juliane.diogenes@regentedepolo.uniasselvi.com.br</t>
  </si>
  <si>
    <t>Sapé/PB</t>
  </si>
  <si>
    <t>Sena Madureira/AC</t>
  </si>
  <si>
    <t>Wendy Carolina Cardoso De Lima Rocha</t>
  </si>
  <si>
    <t>wendy.rocha@tutorpratica.uniasselvi.com.br</t>
  </si>
  <si>
    <t>Edwiges Beatriz Coimbra De Souza</t>
  </si>
  <si>
    <t>edwiges.souza@tutorpratica.uniasselvi.com.br</t>
  </si>
  <si>
    <t>Serrinha/BA</t>
  </si>
  <si>
    <t>Tainan De Souza Lima</t>
  </si>
  <si>
    <t>tainam.lima@tutorpratica.uniasselvi.com.br</t>
  </si>
  <si>
    <t>Magda Adriana Mizuoti Al Kabiri</t>
  </si>
  <si>
    <t>magda.kabiri@tutorpratica.uniasselvi.com.br</t>
  </si>
  <si>
    <t>Otavio Augusto Queiroz Dos Santos</t>
  </si>
  <si>
    <t>otavio.santos@tutorpratica.uniasselvi.com.br</t>
  </si>
  <si>
    <t>CREA - Rio de Janeiro</t>
  </si>
  <si>
    <t>Adriana Souza De Siqueira Porto</t>
  </si>
  <si>
    <t>adriana.porto@tutorpratica.uniasselvi.com.br</t>
  </si>
  <si>
    <t>Thiago Fragoso Goncalves</t>
  </si>
  <si>
    <t>thiago.goncalves@tutorpratica.uniasselvi.com.br</t>
  </si>
  <si>
    <t>Jhonatan Ramos Soares</t>
  </si>
  <si>
    <t>jhonatan.soares@tutorpratica.uniasselvi.com.br</t>
  </si>
  <si>
    <t>Luiz Augusto Maschmann Inacio</t>
  </si>
  <si>
    <t>luiz.inacio@tutorpratica.uniasselvi.com.br</t>
  </si>
  <si>
    <t>Airton Souza Farias</t>
  </si>
  <si>
    <t>airton.farias@tutorpratica.uniasselvi.com.br</t>
  </si>
  <si>
    <t>CREFITO - Ceará</t>
  </si>
  <si>
    <t>438780-F</t>
  </si>
  <si>
    <t>David Santos Junior</t>
  </si>
  <si>
    <t>david.junior@tutorpratica.uniasselvi.com.br</t>
  </si>
  <si>
    <t>ENGMAKER</t>
  </si>
  <si>
    <t>BAU</t>
  </si>
  <si>
    <t>Doralice Vinagre Melo</t>
  </si>
  <si>
    <t>doralice.melo@tutorpratica.uniasselvi.com.br</t>
  </si>
  <si>
    <t>CAU/PA - Pará</t>
  </si>
  <si>
    <t>A96632-0</t>
  </si>
  <si>
    <t>Arapiraca/AL</t>
  </si>
  <si>
    <t>Emerson Dos Santos Ferreira Farias</t>
  </si>
  <si>
    <t>emerson.farias@tutorpratica.uniasselvi.com.br</t>
  </si>
  <si>
    <t>CREA - Alagoas</t>
  </si>
  <si>
    <t>10000003227-8</t>
  </si>
  <si>
    <t>Tayna Figueira Da Fonseca</t>
  </si>
  <si>
    <t>tayna.fonseca@tutorpratica.uniasselvi.com.br</t>
  </si>
  <si>
    <t>Cassio Oliveira De Freitas</t>
  </si>
  <si>
    <t>cassio.freitas@tutorpratica.uniasselvi.com.br</t>
  </si>
  <si>
    <t>Tangará da Serra/MT</t>
  </si>
  <si>
    <t>Ricardo Pontes Dias</t>
  </si>
  <si>
    <t>ricardo.dias@tutorpratica.uniasselvi.com.br</t>
  </si>
  <si>
    <t>Alessandra Branco Moreira</t>
  </si>
  <si>
    <t>alessandra.moreira@tutorpratica.uniasselvi.com.br</t>
  </si>
  <si>
    <t>Anna Carolina Luli Barsanulfo</t>
  </si>
  <si>
    <t>anna.barsanulfo@tutorpratica.uniasselvi.com.br</t>
  </si>
  <si>
    <t>Gilnei Da Silva Dias</t>
  </si>
  <si>
    <t>gilnei.dias@tutorpratica.uniasselvi.com.br</t>
  </si>
  <si>
    <t>CAU/SC - Santa Catarina</t>
  </si>
  <si>
    <t>A191627-0</t>
  </si>
  <si>
    <t>Foz do Iguaçu/PR</t>
  </si>
  <si>
    <t>Isabella Melchior Do Prado</t>
  </si>
  <si>
    <t>isabella.prado@tutorpratica.uniasselvi.com.br</t>
  </si>
  <si>
    <t>Janaina Priscila Carnete</t>
  </si>
  <si>
    <t>janaina.carnete@tutorpratica.uniasselvi.com.br</t>
  </si>
  <si>
    <t>CAU/RS - Rio Grande do Sul</t>
  </si>
  <si>
    <t>A184437-7</t>
  </si>
  <si>
    <t>Patricia Marques Soares Valente</t>
  </si>
  <si>
    <t>patricia.valente@tutorpratica.uniasselvi.com.br</t>
  </si>
  <si>
    <t>Marcelly Marinho Dos Santos</t>
  </si>
  <si>
    <t>marcelly.santos@tutorpratica.uniasselvi.com.br</t>
  </si>
  <si>
    <t>CAU/RJ - Rio de Janeiro</t>
  </si>
  <si>
    <t>A300309-4</t>
  </si>
  <si>
    <t>Maria Cristina De Freitas Guerreiro</t>
  </si>
  <si>
    <t>maria.guerreiro@tutorpratica.uniasselvi.com.br</t>
  </si>
  <si>
    <t>A16950-1</t>
  </si>
  <si>
    <t>Maryon Brotto Rosado</t>
  </si>
  <si>
    <t>maryon.rosado@tutorpratica.uniasselvi.com.br</t>
  </si>
  <si>
    <t>CAU-SC - Santa Catarina</t>
  </si>
  <si>
    <t>A268973-1</t>
  </si>
  <si>
    <t>Fabiane Pereira Do Carmo Luna</t>
  </si>
  <si>
    <t>fabiane.luna@tutorpratica.uniasselvi.com.br</t>
  </si>
  <si>
    <t>Eriton Ronaldo Maria Freitas</t>
  </si>
  <si>
    <t>eriton.freitas@tutorpratica.uniasselvi.com.br</t>
  </si>
  <si>
    <t>Sidrolândia/MS</t>
  </si>
  <si>
    <t>Maria Ignacia Fabricio Meirelles</t>
  </si>
  <si>
    <t>maria.meirelles@regentedepolo.uniasselvi.com.br</t>
  </si>
  <si>
    <t>Eduardo Gomes Da Silva</t>
  </si>
  <si>
    <t>eduardo.silva@tutorpratica.uniasselvi.com.br</t>
  </si>
  <si>
    <t>Tenes Dias De Jesus Junior</t>
  </si>
  <si>
    <t>tenes.junior@tutorpratica.uniasselvi.com.br</t>
  </si>
  <si>
    <t>Cuiabá/MT - CPA</t>
  </si>
  <si>
    <t>Sarah Favero Martins</t>
  </si>
  <si>
    <t>sarah.martins@tutorpratica.uniasselvi.com.br</t>
  </si>
  <si>
    <t>Ana Paula Ferreira Nagata</t>
  </si>
  <si>
    <t>ana.nagata@tutorpratica.uniasselvi.com.br</t>
  </si>
  <si>
    <t>10-21323-TO</t>
  </si>
  <si>
    <t>Camila Martins Nobre</t>
  </si>
  <si>
    <t>camila.nobre@tutorpratica.uniasselvi.com.br</t>
  </si>
  <si>
    <t>Thiago Oliveira Silva</t>
  </si>
  <si>
    <t>thiago.silva@tutorpratica.uniasselvi.com.br</t>
  </si>
  <si>
    <t>CREA</t>
  </si>
  <si>
    <t>350443CE</t>
  </si>
  <si>
    <t>Walber Bastos Portilho</t>
  </si>
  <si>
    <t>walber.portilho@tutorpratica.uniasselvi.com.br</t>
  </si>
  <si>
    <t>Sara Jane Amann</t>
  </si>
  <si>
    <t>sara.amann@tutorpratica.uniasselvi.com.br</t>
  </si>
  <si>
    <t>Sobral/CE</t>
  </si>
  <si>
    <t>Samilly Maranhao Coelho</t>
  </si>
  <si>
    <t>samilly.coelho@tutorpratica.uniasselvi.com.br</t>
  </si>
  <si>
    <t>Franciele Valdameri</t>
  </si>
  <si>
    <t>franciele.valdameri@tutorpratica.uniasselvi.com.br</t>
  </si>
  <si>
    <t>Tapauá/AM</t>
  </si>
  <si>
    <t>Joselia De Andrade De Lima</t>
  </si>
  <si>
    <t>joselia.lima@tutorpratica.uniasselvi.com.br</t>
  </si>
  <si>
    <t>Leonardo Teixeira Lage</t>
  </si>
  <si>
    <t>leonardo.lage@tutorpratica.uniasselvi.com.br</t>
  </si>
  <si>
    <t>Bruno Henrique Moreira De Lima</t>
  </si>
  <si>
    <t>bruno.lima@tutorpratica.uniasselvi.com.br</t>
  </si>
  <si>
    <t>Daiani Bortolotto Picolo</t>
  </si>
  <si>
    <t>daiani.picolo@tutorpratica.uniasselvi.com.br</t>
  </si>
  <si>
    <t>Auristela Espirito Santo</t>
  </si>
  <si>
    <t>auristela.santo@tutorpratica.uniasselvi.com.br</t>
  </si>
  <si>
    <t>Amanda Aparecida Campos Oliveira Nogueira</t>
  </si>
  <si>
    <t>amanda.nogueira@tutorpratica.uniasselvi.com.br</t>
  </si>
  <si>
    <t>CRN - Maranhão</t>
  </si>
  <si>
    <t>Helenice Sacramento Souza Melo</t>
  </si>
  <si>
    <t>helenice.melo@tutorpratica.uniasselvi.com.br</t>
  </si>
  <si>
    <t>Vanessa Das Neves Varjao</t>
  </si>
  <si>
    <t>vanessa.varjao@tutorpratica.uniasselvi.com.br</t>
  </si>
  <si>
    <t>430106-F</t>
  </si>
  <si>
    <t>Ana Carolina Da Silva Sedrez</t>
  </si>
  <si>
    <t>ana.sedrez@tutorpratica.uniasselvi.com.br</t>
  </si>
  <si>
    <t>20027D</t>
  </si>
  <si>
    <t>Barbara Heleodora Rodrigues Sousa</t>
  </si>
  <si>
    <t>barbara.sousa@tutorpratica.uniasselvi.com.br</t>
  </si>
  <si>
    <t>Nayana Dos Santos Flexa</t>
  </si>
  <si>
    <t>nayana.flexa@tutorpratica.uniasselvi.com.br</t>
  </si>
  <si>
    <t>Teixeira de Freitas/BA</t>
  </si>
  <si>
    <t>Danielle Do Nascimento Souza</t>
  </si>
  <si>
    <t>danielle.souza@tutorpratica.uniasselvi.com.br</t>
  </si>
  <si>
    <t>Fellipe Oliveira Da Silva Barbieri</t>
  </si>
  <si>
    <t>fellipe.barbieri@tutorpratica.uniasselvi.com.br</t>
  </si>
  <si>
    <t>Andre Carlison De Lima Oliveira</t>
  </si>
  <si>
    <t>andre.oliveira@tutorpratica.uniasselvi.com.br</t>
  </si>
  <si>
    <t>Patricia Freitas Pereira Rodrigues</t>
  </si>
  <si>
    <t>patricia.rodrigues@tutorpratica.uniasselvi.com.br</t>
  </si>
  <si>
    <t>Ivete Terezinha Machado Da Rocha</t>
  </si>
  <si>
    <t>ivete.rocha@tutorpratica.uniasselvi.com.br</t>
  </si>
  <si>
    <t>Jessica Laiz Carvalho Dos Santos Cunha</t>
  </si>
  <si>
    <t>jessica.cunha@tutorpratica.uniasselvi.com.br</t>
  </si>
  <si>
    <t>Giseli Penha De Souza</t>
  </si>
  <si>
    <t>giseli.souza@tutorpratica.uniasselvi.com.br</t>
  </si>
  <si>
    <t>Nathalia Goncalves Avelar</t>
  </si>
  <si>
    <t>nathalia.avelar@tutorpratica.uniasselvi.com.br</t>
  </si>
  <si>
    <t>Andressa Rosa Da Costa</t>
  </si>
  <si>
    <t>andressa.costa@tutorpratica.uniasselvi.com.br</t>
  </si>
  <si>
    <t>Teresina/PI - Frei Serafim</t>
  </si>
  <si>
    <t>Raffael Esdras Cavalcante Pinto</t>
  </si>
  <si>
    <t>raffael.pinto@tutorpratica.uniasselvi.com.br</t>
  </si>
  <si>
    <t>Gilberto Dellai Filho</t>
  </si>
  <si>
    <t>gilberto.filho@tutorpratica.uniasselvi.com.br</t>
  </si>
  <si>
    <t>234899</t>
  </si>
  <si>
    <t>andrea.pereira@tutorpratica.uniasselvi.com.br</t>
  </si>
  <si>
    <t>Uberlândia/MG</t>
  </si>
  <si>
    <t>Marco Aurelio Afonso Abreu</t>
  </si>
  <si>
    <t>marco.abreu@tutorpratica.uniasselvi.com.br</t>
  </si>
  <si>
    <t>Vinicius Augusto Da Silva</t>
  </si>
  <si>
    <t>vinicius.silva@tutorpratica.uniasselvi.com.br</t>
  </si>
  <si>
    <t>Milene Gomes De Sousa</t>
  </si>
  <si>
    <t>milene.sousa@tutorpratica.uniasselvi.com.br</t>
  </si>
  <si>
    <t>Bruna De Jesus Ramalho Esteves</t>
  </si>
  <si>
    <t>bruna.esteves@tutorpratica.uniasselvi.com.br</t>
  </si>
  <si>
    <t>Lais Lang Silva</t>
  </si>
  <si>
    <t>lais.silva@tutorpratica.uniasselvi.com.br</t>
  </si>
  <si>
    <t>Umuarama/PR</t>
  </si>
  <si>
    <t>Tayane Nepomuceno Dos Santos</t>
  </si>
  <si>
    <t>tayane.santos@tutorpratica.uniasselvi.com.br</t>
  </si>
  <si>
    <t>Paolla Armstrong Marques</t>
  </si>
  <si>
    <t>paolla.marques@tutorpratica.uniasselvi.com.br</t>
  </si>
  <si>
    <t>Várzea da Palma/MG</t>
  </si>
  <si>
    <t>Paula Cristina Fernandes Da Silva</t>
  </si>
  <si>
    <t>paula.silva@tutorpratica.uniasselvi.com.br</t>
  </si>
  <si>
    <t>Viçosa/MG</t>
  </si>
  <si>
    <t>Dwovany De Oliveira Lacerda</t>
  </si>
  <si>
    <t>dwovany.lacerda@tutorpratica.uniasselvi.com.br</t>
  </si>
  <si>
    <t>Videira/SC</t>
  </si>
  <si>
    <t>Caio Bruce Barroso Vieira</t>
  </si>
  <si>
    <t>caio.vieira@tutorpratica.uniasselvi.com.br</t>
  </si>
  <si>
    <t>Vigia/PA</t>
  </si>
  <si>
    <t>Leticia Roberta Modesto Dos Santos</t>
  </si>
  <si>
    <t>leticia.santos@tutorpratica.uniasselvi.com.br</t>
  </si>
  <si>
    <t>Viviane Aparecida Andrade Silveira</t>
  </si>
  <si>
    <t>viviane.silveira@tutorpratica.uniasselvi.com.br</t>
  </si>
  <si>
    <t>COREN-ES</t>
  </si>
  <si>
    <t>Viseu/PA</t>
  </si>
  <si>
    <t>Natanael Da Silva Teixeira</t>
  </si>
  <si>
    <t>natanael.teixeira@regentedepolo.uniasselvi.com.br</t>
  </si>
  <si>
    <t>Noriane Mendonca De Souza</t>
  </si>
  <si>
    <t>noriane.souza@tutorpratica.uniasselvi.com.br</t>
  </si>
  <si>
    <t>Odine Rosane Dos Santos Alves</t>
  </si>
  <si>
    <t>odine.alves@tutorpratica.uniasselvi.com.br</t>
  </si>
  <si>
    <t>Volta Redonda/RJ</t>
  </si>
  <si>
    <t>Carlos Eduardo Da Rocha</t>
  </si>
  <si>
    <t>carlos.rocha@regentedepolo.uniasselvi.com.br</t>
  </si>
  <si>
    <t>Ingrid Ribeiro Carvajal Tota</t>
  </si>
  <si>
    <t>ingrid.tota@tutorpratica.uniasselvi.com.br</t>
  </si>
  <si>
    <t>Janaina Colman Clemente</t>
  </si>
  <si>
    <t>janaina.clemente@tutorpratica.uniasselvi.com.br</t>
  </si>
  <si>
    <t>Karenina Tabusa De Godoy</t>
  </si>
  <si>
    <t>karenina.godoy@tutorpratica.uniasselvi.com.br</t>
  </si>
  <si>
    <t>Lais Rangel De Souza Azevedo Maia</t>
  </si>
  <si>
    <t>lais.maia@tutorpratica.uniasselvi.com.br</t>
  </si>
  <si>
    <t>BBI</t>
  </si>
  <si>
    <t>Larissa Islany Franca Rocha</t>
  </si>
  <si>
    <t>larissa.rocha@tutorpratica.uniasselvi.com.br</t>
  </si>
  <si>
    <t>DEMISSIONAL</t>
  </si>
  <si>
    <t>DATA DESLIGAMENTO</t>
  </si>
  <si>
    <t>AVISO</t>
  </si>
  <si>
    <t>LOTAÇÃO</t>
  </si>
  <si>
    <t>PERMANENCIA (MÊS)</t>
  </si>
  <si>
    <t>Assinado</t>
  </si>
  <si>
    <t>■ Substituição</t>
  </si>
  <si>
    <t>Demitido</t>
  </si>
  <si>
    <t>TUTOR DE PRATICA (UC_1749)</t>
  </si>
  <si>
    <t>018:00</t>
  </si>
  <si>
    <t>Inic.Empregado sem justa causa</t>
  </si>
  <si>
    <t>004:00</t>
  </si>
  <si>
    <t>012:00</t>
  </si>
  <si>
    <t xml:space="preserve">41 9994-4101  </t>
  </si>
  <si>
    <t>008:00</t>
  </si>
  <si>
    <t>Iniciativa empresa</t>
  </si>
  <si>
    <t xml:space="preserve"> 55 99903-9698</t>
  </si>
  <si>
    <t>Desligamento pela empresa</t>
  </si>
  <si>
    <t>PROFESSOR REGENTE DE POLO (UC_1744)</t>
  </si>
  <si>
    <t>003:00</t>
  </si>
  <si>
    <t xml:space="preserve">44 99700-9859 </t>
  </si>
  <si>
    <t>020:00</t>
  </si>
  <si>
    <t>Pedido de desligamento</t>
  </si>
  <si>
    <t>Desligamento fora do novo fluxo</t>
  </si>
  <si>
    <t xml:space="preserve"> (92) 99601-0982</t>
  </si>
  <si>
    <t>Campos dos Goytacazes/RJ</t>
  </si>
  <si>
    <t>NÃO ENCONTRADO</t>
  </si>
  <si>
    <t xml:space="preserve">190784-F </t>
  </si>
  <si>
    <t>POLO ORIGEM</t>
  </si>
  <si>
    <t>POLO DESTINO</t>
  </si>
  <si>
    <t>STATUS</t>
  </si>
  <si>
    <t>MOTIVO</t>
  </si>
  <si>
    <t>Ativo</t>
  </si>
  <si>
    <t>Indeferido</t>
  </si>
  <si>
    <t>Polo não possui Multi III</t>
  </si>
  <si>
    <t>Deferido</t>
  </si>
  <si>
    <t>COLIGADA</t>
  </si>
  <si>
    <t>FILIAL</t>
  </si>
  <si>
    <t>NOME</t>
  </si>
  <si>
    <t>CPF</t>
  </si>
  <si>
    <t>RG</t>
  </si>
  <si>
    <t>ADMISSÃO</t>
  </si>
  <si>
    <t>FUNÇÃO</t>
  </si>
  <si>
    <t>CH (Ultima)</t>
  </si>
  <si>
    <t>CH.SEM.</t>
  </si>
  <si>
    <t>TIPO REC.</t>
  </si>
  <si>
    <t>ESCOLARIDADE</t>
  </si>
  <si>
    <t>ESCOLARIDADE GIO</t>
  </si>
  <si>
    <t>ETINIA</t>
  </si>
  <si>
    <t>ETINIA GIO</t>
  </si>
  <si>
    <t>DEFICIÊNCIA</t>
  </si>
  <si>
    <t>DEFICIÊNCIA GIO</t>
  </si>
  <si>
    <t>DATA ALTERAÇÃO RM</t>
  </si>
  <si>
    <t>DATA AFAST. INÍCIO</t>
  </si>
  <si>
    <t>DATA AFAST. FIM</t>
  </si>
  <si>
    <t>DATA DEMISSÃO</t>
  </si>
  <si>
    <t>DATA NASCIMENTO</t>
  </si>
  <si>
    <t>NATURALIDADE RM</t>
  </si>
  <si>
    <t>NATURALIDADE GIO</t>
  </si>
  <si>
    <t>SEXO</t>
  </si>
  <si>
    <t>EMAIL</t>
  </si>
  <si>
    <t>TELEFONE</t>
  </si>
  <si>
    <t>curso</t>
  </si>
  <si>
    <t>SOCIEDADE EDUCACIONAL LEONARDO DA VINCI (1)</t>
  </si>
  <si>
    <t>UNIASSELVI-NEAD (158)</t>
  </si>
  <si>
    <t>ADAILTON PABLYO ALVES SILVEIRA</t>
  </si>
  <si>
    <t>Mensalista</t>
  </si>
  <si>
    <t>PÓS GRAD. COMPLETO</t>
  </si>
  <si>
    <t>Especialização</t>
  </si>
  <si>
    <t>Parda</t>
  </si>
  <si>
    <t>Não</t>
  </si>
  <si>
    <t>Brasil - Itaituba/PA (Brasileira)</t>
  </si>
  <si>
    <t>021|PR - MARINGA</t>
  </si>
  <si>
    <t>M</t>
  </si>
  <si>
    <t>ADALCI ROSANA GONCALVES DIAS</t>
  </si>
  <si>
    <t>Não declarado</t>
  </si>
  <si>
    <t>Brasil - Porteirinha/MG (Brasileira)</t>
  </si>
  <si>
    <t>F</t>
  </si>
  <si>
    <t>ADRIANA FELIPE MOURA</t>
  </si>
  <si>
    <t>EDUCAÇÃO SUPERIOR COMPLETO</t>
  </si>
  <si>
    <t>Graduação</t>
  </si>
  <si>
    <t>Branca</t>
  </si>
  <si>
    <t>Brasil - Goiânia/GO (Brasileira)</t>
  </si>
  <si>
    <t>ADRIANA REGINA FERREIRA GUIMARAES</t>
  </si>
  <si>
    <t>1266477-4</t>
  </si>
  <si>
    <t>040:00</t>
  </si>
  <si>
    <t>Brasil - Aracaju/SE (Brasileira)</t>
  </si>
  <si>
    <t>ADRIANA SOUZA DE SIQUEIRA PORTO</t>
  </si>
  <si>
    <t>Brasil - Salvador/BA (Brasileira)</t>
  </si>
  <si>
    <t>AIRLA CRISTINA FREIRE CAMPOS</t>
  </si>
  <si>
    <t>Brasil - Paulo Afonso/BA (Brasileira)</t>
  </si>
  <si>
    <t>Brasil - PAULO AFONSO/BA (brasileira)</t>
  </si>
  <si>
    <t>AIRTON SOUZA FARIAS</t>
  </si>
  <si>
    <t>075.201.983-08</t>
  </si>
  <si>
    <t>Brasil - Monsenhor Tabosa/CE (Brasileira)</t>
  </si>
  <si>
    <t>ALBER VITORINO DA SILVA</t>
  </si>
  <si>
    <t>000785053 SESP/</t>
  </si>
  <si>
    <t>Amarela</t>
  </si>
  <si>
    <t>Brasil - Vilhena/RO (Brasileira)</t>
  </si>
  <si>
    <t>ALBERTINA RADTKE WIETH</t>
  </si>
  <si>
    <t>DOUTORADO COMPLETO</t>
  </si>
  <si>
    <t>Doutorado</t>
  </si>
  <si>
    <t>Brasil - São Lourenço Do Sul/RS (Brasileira)</t>
  </si>
  <si>
    <t>Brasil - SÃO LOURENÇO DO SUL/RS (brasileira)</t>
  </si>
  <si>
    <t>ALESSANDRA BRANCO MOREIRA</t>
  </si>
  <si>
    <t>MESTRADO COMPLETO</t>
  </si>
  <si>
    <t>Mestrado</t>
  </si>
  <si>
    <t>Brasil - Lapa/PR (Brasileira)</t>
  </si>
  <si>
    <t>ALESSANDRA SANTOS SILVEIRA</t>
  </si>
  <si>
    <t>Brasil - Pires Do Rio/GO (Brasileira)</t>
  </si>
  <si>
    <t>ALESSANDRA SIBELE BORGES PEDROSO</t>
  </si>
  <si>
    <t>Brasil - Santa Maria/RS (Brasileira)</t>
  </si>
  <si>
    <t>Brasil - CAPÃO DA CANOA/RS (brasileira)</t>
  </si>
  <si>
    <t>ALEXANDRE DA SILVA CARDOSO</t>
  </si>
  <si>
    <t>Brasil - Dourados/MS (Brasileira)</t>
  </si>
  <si>
    <t>ALEXANDRE FERREIRA DALTRO</t>
  </si>
  <si>
    <t>Brasil - Nova Iguaçu/RJ (Brasileira)</t>
  </si>
  <si>
    <t>ALINE CAMURCA MESQUITA</t>
  </si>
  <si>
    <t>Brasil - Baturité/CE (Brasileira)</t>
  </si>
  <si>
    <t>ALINE FARIAS DOS SANTOS</t>
  </si>
  <si>
    <t>Preta</t>
  </si>
  <si>
    <t>Brasil - Igarapé-miri/PA (Brasileira)</t>
  </si>
  <si>
    <t>ALINE GRAZIELE GONCALVES COSTA</t>
  </si>
  <si>
    <t>MG18407362</t>
  </si>
  <si>
    <t>Brasil - Conselheiro Lafaiete/MG (Brasileira)</t>
  </si>
  <si>
    <t>ALINE MARGARETH NOGUEIRA MACIEL</t>
  </si>
  <si>
    <t>5064725004/RS</t>
  </si>
  <si>
    <t>Brasil - Sant' Ana do Livramento/RS (Brasileira)</t>
  </si>
  <si>
    <t>AMANDA APARECIDA CAMPOS OLIVEIRA NOGUEIRA</t>
  </si>
  <si>
    <t>046728372012-2</t>
  </si>
  <si>
    <t>Brasil - Pindaré-Mirim/MA (Brasileira)</t>
  </si>
  <si>
    <t>AMANDA CAROLINE BATISTA</t>
  </si>
  <si>
    <t>Brasil - Rio Do Sul/SC (Brasileira)</t>
  </si>
  <si>
    <t>Brasil - RIO DO SUL/SC (brasileira)</t>
  </si>
  <si>
    <t>amanda.cbatista@uniasselvi.com.br</t>
  </si>
  <si>
    <t>AMANDA JAQUELINE CHAGAS BISPO</t>
  </si>
  <si>
    <t>14.344.183-32</t>
  </si>
  <si>
    <t>Brasil - Jacobina/BA (Brasileira)</t>
  </si>
  <si>
    <t>AMANDA RAQUEL BIZOLLO</t>
  </si>
  <si>
    <t>Brasil - Seara/SC (Brasileira)</t>
  </si>
  <si>
    <t>Brasil - SEARA/SC (brasileira)</t>
  </si>
  <si>
    <t>AMANDA REIS DE OLIVEIRA</t>
  </si>
  <si>
    <t>808.738.953-5</t>
  </si>
  <si>
    <t>Brasil - Porto Alegre/RS (Brasileira)</t>
  </si>
  <si>
    <t>AMANDA SANTOS</t>
  </si>
  <si>
    <t>3.186.845-2</t>
  </si>
  <si>
    <t>Brasil - Gararu/SE (Brasileira)</t>
  </si>
  <si>
    <t>ANA CAROLINA DA SILVA SEDREZ</t>
  </si>
  <si>
    <t>Brasil - Pelotas/RS (Brasileira)</t>
  </si>
  <si>
    <t>ANA CAROLINA SANTOS DA PONTE SOUZA</t>
  </si>
  <si>
    <t>Brasil - Belém/PA (Brasileira)</t>
  </si>
  <si>
    <t>ANA CAROLINA TEIXEIRA DE OLIVEIRA</t>
  </si>
  <si>
    <t>Brasil - Chapecó/SC (Brasileira)</t>
  </si>
  <si>
    <t>953|PR - MARINGA (CORPORATIVO)</t>
  </si>
  <si>
    <t>ana.oliveira@uniasselvi.com.br</t>
  </si>
  <si>
    <t>ANA CAROLINY GUEDES DA SILVA</t>
  </si>
  <si>
    <t>ANA GABRIELA COSTA PIRES</t>
  </si>
  <si>
    <t>52.556.524-3</t>
  </si>
  <si>
    <t>Brasil - Pariquera-açu/SP (Brasileira)</t>
  </si>
  <si>
    <t>ANA JULIA RIBEIRO DOS SANTOS</t>
  </si>
  <si>
    <t>MG 16.585.510</t>
  </si>
  <si>
    <t>Brasil - Belo Horizonte/MG (Brasileira)</t>
  </si>
  <si>
    <t>ANA LUIZA ALMEIDA DE AZEVEDO</t>
  </si>
  <si>
    <t>Brasil - Caicó/RN (Brasileira)</t>
  </si>
  <si>
    <t>ANA LUIZA ARAUJO DE SOUZA</t>
  </si>
  <si>
    <t>Brasil - Fortaleza/CE (Brasileira)</t>
  </si>
  <si>
    <t>ana.lsouza@uniasselvi.com.br</t>
  </si>
  <si>
    <t>ANA PAULA FERREIRA NAGATA</t>
  </si>
  <si>
    <t>Brasil - São Paulo/SP (Brasileira)</t>
  </si>
  <si>
    <t>ANA VALERIA DE OLIVEIRA GONCALVES PRIETSCH</t>
  </si>
  <si>
    <t>Brasil - Alegrete/RS (Brasileira)</t>
  </si>
  <si>
    <t>ANDERLAN DO NASCIMENTO OLIVEIRA</t>
  </si>
  <si>
    <t>3411724-5</t>
  </si>
  <si>
    <t>Brasil - Maceió/AL (Brasileira)</t>
  </si>
  <si>
    <t>ANDRE CARLISON DE LIMA OLIVEIRA</t>
  </si>
  <si>
    <t>Brasil - Campina Grande/PB (Brasileira)</t>
  </si>
  <si>
    <t>ANDREA COELHO PEREIRA</t>
  </si>
  <si>
    <t>Brasil - São Luís/MA (Brasileira)</t>
  </si>
  <si>
    <t>ANDRESSA ROSA DA COSTA</t>
  </si>
  <si>
    <t>Brasil - Planaltina/GO (Brasileira)</t>
  </si>
  <si>
    <t>ANGELA ARIANE DALZOTO GRANISKA RIBAS</t>
  </si>
  <si>
    <t>Brasil - Imbituva/PR (Brasileira)</t>
  </si>
  <si>
    <t>ANGELA FLORENCIO</t>
  </si>
  <si>
    <t>Licença Maternidade</t>
  </si>
  <si>
    <t>Brasil - Salete/SC (Brasileira)</t>
  </si>
  <si>
    <t>Brasil - SALETE/SC (brasileira)</t>
  </si>
  <si>
    <t>ANNA CAROLINA LULI BARSANULFO</t>
  </si>
  <si>
    <t>ANNA CAROLINE MATOS ALMEIDA</t>
  </si>
  <si>
    <t>Brasil - Posse/GO (Brasileira)</t>
  </si>
  <si>
    <t>ANTONIA BRUNA GOMES DA SILVA</t>
  </si>
  <si>
    <t>Brasil - Acopiara/CE (Brasileira)</t>
  </si>
  <si>
    <t>ANTONIA FABRICIA MARTINS DA SILVA</t>
  </si>
  <si>
    <t>3248799-1</t>
  </si>
  <si>
    <t>Brasil - Guajará/AM (Brasileira)</t>
  </si>
  <si>
    <t>ANTONIO ELINARDO ABREU SALES</t>
  </si>
  <si>
    <t>Brasil - Canindé/CE (Brasileira)</t>
  </si>
  <si>
    <t>APARECIDA HELIANE CAVALCANTE OLIVEIRA</t>
  </si>
  <si>
    <t>Brasil - Solonópole/CE (Brasileira)</t>
  </si>
  <si>
    <t>AQUILES GONZALES DE ANDRADE</t>
  </si>
  <si>
    <t>28.233.069-0</t>
  </si>
  <si>
    <t>Brasil - Carapicuíba/SP (Brasileira)</t>
  </si>
  <si>
    <t>Brasil - CARAPICUÍBA/SP (brasileira)</t>
  </si>
  <si>
    <t>ARIANA MARQUES DOURADO OLIVEIRA</t>
  </si>
  <si>
    <t>13.073.518-32</t>
  </si>
  <si>
    <t>Brasil - Irecê/BA (Brasileira)</t>
  </si>
  <si>
    <t>Brasil - IRECÊ/BA (brasileira)</t>
  </si>
  <si>
    <t>ARIANE ANDREOLA</t>
  </si>
  <si>
    <t>Brasil - Sananduva/RS (Brasileira)</t>
  </si>
  <si>
    <t>ATILA LOURENA PEREIRA OLIVEIRA</t>
  </si>
  <si>
    <t>MG 167 000 35</t>
  </si>
  <si>
    <t>Brasil - Montalvânia/MG (Brasileira)</t>
  </si>
  <si>
    <t>AURISTELA ESPIRITO SANTO</t>
  </si>
  <si>
    <t>Brasil - Santa Rosa/RS (Brasileira)</t>
  </si>
  <si>
    <t>BARBARA CRISTINA CLARO SABINO</t>
  </si>
  <si>
    <t>37.479.637-3</t>
  </si>
  <si>
    <t>BARBARA DE FATIMA CAETANO</t>
  </si>
  <si>
    <t>46932933-6</t>
  </si>
  <si>
    <t>Brasil - Nova Granada/SP (Brasileira)</t>
  </si>
  <si>
    <t>BARBARA HELEODORA RODRIGUES SOUSA</t>
  </si>
  <si>
    <t>Brasil - Itapipoca/CE (Brasileira)</t>
  </si>
  <si>
    <t>BEATRIZ HENKELS</t>
  </si>
  <si>
    <t>Brasil - Blumenau/SC (Brasileira)</t>
  </si>
  <si>
    <t>Brasil - BLUMENAU/SC (brasileira)</t>
  </si>
  <si>
    <t>BEATRIZ OLIVEIRA DE ANDRADE</t>
  </si>
  <si>
    <t>Brasil - Valparaíso De Goiás/GO (Brasileira)</t>
  </si>
  <si>
    <t>BEATRIZ TEIXEIRA DA SILVA</t>
  </si>
  <si>
    <t>BIANCA BARROS SILVA</t>
  </si>
  <si>
    <t>50.228.668-4</t>
  </si>
  <si>
    <t>Brasil - Uberaba/MG (Brasileira)</t>
  </si>
  <si>
    <t>BRENDA LOPES BARBOSA BONADIMAN</t>
  </si>
  <si>
    <t>Brasil - Cariacica/ES (Brasileira)</t>
  </si>
  <si>
    <t>BRUNA DE JESUS RAMALHO ESTEVES</t>
  </si>
  <si>
    <t>brunaramalho131@gmail.com</t>
  </si>
  <si>
    <t>BRUNA EMILY HACK</t>
  </si>
  <si>
    <t>Brasil - Indaial/SC (Brasileira)</t>
  </si>
  <si>
    <t>Brasil - INDAIAL/SC (brasileira)</t>
  </si>
  <si>
    <t>BRUNA PEREIRA FERREIRA</t>
  </si>
  <si>
    <t>BRUNA RIBEIRO TORTELOTE</t>
  </si>
  <si>
    <t>MG 15769890</t>
  </si>
  <si>
    <t>Brasil - Caratinga/MG (Brasileira)</t>
  </si>
  <si>
    <t>BRUNNA ARIELY LOPES DE SOUZA</t>
  </si>
  <si>
    <t>Brasil - Pirapora/MG (Brasileira)</t>
  </si>
  <si>
    <t>BRUNO HENRIQUE MOREIRA DE LIMA</t>
  </si>
  <si>
    <t xml:space="preserve">13.478.213-7 </t>
  </si>
  <si>
    <t>Brasil - Curitiba/PR (Brasileira)</t>
  </si>
  <si>
    <t>BRUNO HENRIQUE PAULO RISSE</t>
  </si>
  <si>
    <t>055.872.101-03</t>
  </si>
  <si>
    <t>Brasil - Rondonópolis/MT (Brasileira)</t>
  </si>
  <si>
    <t>Brasil - RONDONÓPOLIS/MT (brasileira)</t>
  </si>
  <si>
    <t>BRUNO JONES DE CASTRO</t>
  </si>
  <si>
    <t>BRUNO MENDES CORREA</t>
  </si>
  <si>
    <t>Sim</t>
  </si>
  <si>
    <t>Brasil - Itumbiara/GO (Brasileira)</t>
  </si>
  <si>
    <t>CAIO BRUCE BARROSO VIEIRA</t>
  </si>
  <si>
    <t>064.926.083-05</t>
  </si>
  <si>
    <t>Brasil - Maracanaú/CE (Brasileira)</t>
  </si>
  <si>
    <t>CAIO GUILHERME SANTOS MORAIS OLIVEIRA</t>
  </si>
  <si>
    <t>03.526.185-4</t>
  </si>
  <si>
    <t>CAIO ROBERTO SIQUEIRA LAMEGO</t>
  </si>
  <si>
    <t xml:space="preserve"> 21317269-5</t>
  </si>
  <si>
    <t>Brasil - São Gonçalo/RJ (Brasileira)</t>
  </si>
  <si>
    <t>CAMILA CRISTINA PEREIRA DE SOUZA DOS ANJOS</t>
  </si>
  <si>
    <t>016.037.636-00</t>
  </si>
  <si>
    <t>Brasil - Bocaiúva/MG (Brasileira)</t>
  </si>
  <si>
    <t>Brasil - BOCAIÚVA/MG (brasileira)</t>
  </si>
  <si>
    <t>CAMILA MARTINS NOBRE</t>
  </si>
  <si>
    <t>CAMILA RISSATTI BRANDAO</t>
  </si>
  <si>
    <t>MG-13.119.963</t>
  </si>
  <si>
    <t>Brasil - Pouso Alegre/MG (Brasileira)</t>
  </si>
  <si>
    <t>CAMILLE GRAZIELE ROCHA DOS SANTOS</t>
  </si>
  <si>
    <t>046768272012-6</t>
  </si>
  <si>
    <t>Brasil - Santa Inês/MA (Brasileira)</t>
  </si>
  <si>
    <t>CARLA MARIELLE PAVIN DAL LIN</t>
  </si>
  <si>
    <t>Brasil - Colombo/PR (Brasileira)</t>
  </si>
  <si>
    <t>CARLA NEBELE FERREIRA HANAU</t>
  </si>
  <si>
    <t>Brasil - Brasília/DF (Brasileira)</t>
  </si>
  <si>
    <t>CARLA SCHORCK</t>
  </si>
  <si>
    <t>Brasil - Jaraguá do Sul/SC (Brasileira)</t>
  </si>
  <si>
    <t>Brasil - GUARAMIRIM/SC (brasileira)</t>
  </si>
  <si>
    <t>carlaschorck.cs@gmail.com</t>
  </si>
  <si>
    <t>CARLOS VITOR OLIVEIRA ALVES</t>
  </si>
  <si>
    <t>CAROLINE LIMEIRA CARNEIRO</t>
  </si>
  <si>
    <t>41517039-4</t>
  </si>
  <si>
    <t>CAROLINE MACIEL RIBEIRO</t>
  </si>
  <si>
    <t>13255865-1</t>
  </si>
  <si>
    <t>Brasil - Campos Dos Goytacazes/RJ (Brasileira)</t>
  </si>
  <si>
    <t>CASSANDRA ALVES DE OLIVEIRA SILVA</t>
  </si>
  <si>
    <t>Brasil - Esperança/PB (Brasileira)</t>
  </si>
  <si>
    <t>CASSIO OLIVEIRA DE FREITAS</t>
  </si>
  <si>
    <t>Brasil - Camaquã/RS (Brasileira)</t>
  </si>
  <si>
    <t>CHEILA BUENO DA COSTA</t>
  </si>
  <si>
    <t>090:00</t>
  </si>
  <si>
    <t>Brasil - Arroio Do Tigre/RS (Brasileira)</t>
  </si>
  <si>
    <t>cheila.costa@uniasselvi.com.br</t>
  </si>
  <si>
    <t>CINTHIA CLECE DOS SANTOS MACEDO</t>
  </si>
  <si>
    <t>Brasil - Itacoatiara/AM (Brasileira)</t>
  </si>
  <si>
    <t>CINTIA HOFFER ROCHA</t>
  </si>
  <si>
    <t>Brasil - Rio Negrinho/SC (Brasileira)</t>
  </si>
  <si>
    <t>Brasil - RIO NEGRINHO/SC (brasileira)</t>
  </si>
  <si>
    <t>CLARA OLIVEIRA E OLIVEIRA</t>
  </si>
  <si>
    <t>Brasil - Santo Antônio De Jesus/BA (Brasileira)</t>
  </si>
  <si>
    <t>CLEITON MENDES HONORATO SOUSA</t>
  </si>
  <si>
    <t>Brasil - Boa Vista/RR (Brasileira)</t>
  </si>
  <si>
    <t>CLEONIRIA BARBOSA PEREIRA</t>
  </si>
  <si>
    <t>ENSINO MÉDIO COMPLETO</t>
  </si>
  <si>
    <t>2º Grau Completo</t>
  </si>
  <si>
    <t>Brasil - Erval Seco/RS (Brasileira)</t>
  </si>
  <si>
    <t>CLEYA DA SILVA SANTANA CRUZ</t>
  </si>
  <si>
    <t>MG 7. 618. 510</t>
  </si>
  <si>
    <t>Brasil - Capelinha/MG (Brasileira)</t>
  </si>
  <si>
    <t>CONCEICAO IGNACIO DA SILVA DELPHINO</t>
  </si>
  <si>
    <t>20970245-5</t>
  </si>
  <si>
    <t>Brasil - Niterói/RJ (Brasileira)</t>
  </si>
  <si>
    <t>Brasil - NITERÓI/RJ (brasileira)</t>
  </si>
  <si>
    <t>CRISTHINE PEREIRA DE SOUSA</t>
  </si>
  <si>
    <t>69909656x</t>
  </si>
  <si>
    <t>CRISTIANA MACHADO DE ABREU FARIAS</t>
  </si>
  <si>
    <t>CRISTIANE DE OLIVEIRA SILVA</t>
  </si>
  <si>
    <t>Brasil - Monteiro/PB (Brasileira)</t>
  </si>
  <si>
    <t>CRISTIANE RIBEIRO MACIEL</t>
  </si>
  <si>
    <t>Brasil - PELOTAS/RS (brasileira)</t>
  </si>
  <si>
    <t>CRISTIANO FEUSER</t>
  </si>
  <si>
    <t>009.315.119-50</t>
  </si>
  <si>
    <t>Brasil - Joinville/SC (Brasileira)</t>
  </si>
  <si>
    <t>DAIANE DIAS FERREIRA</t>
  </si>
  <si>
    <t>Brasil - Feira De Santana/BA (Brasileira)</t>
  </si>
  <si>
    <t>DAIANI BORTOLOTTO PICOLO</t>
  </si>
  <si>
    <t>Brasil - Criciúma/SC (Brasileira)</t>
  </si>
  <si>
    <t>DANIEL DE JESUS VALENTIM</t>
  </si>
  <si>
    <t>Brasil - Imbituba/SC (Brasileira)</t>
  </si>
  <si>
    <t>DANIEL PEREIRA BARROS</t>
  </si>
  <si>
    <t>Brasil - Juazeiro Do Norte/CE (Brasileira)</t>
  </si>
  <si>
    <t>DANIELA MADRUGA</t>
  </si>
  <si>
    <t>62173374-10</t>
  </si>
  <si>
    <t>Brasil - Lages/SC (Brasileira)</t>
  </si>
  <si>
    <t>DANIELE TAMIRES GUIMARAES CARNEIRO</t>
  </si>
  <si>
    <t>13.379.148-35</t>
  </si>
  <si>
    <t>Brasil - Riachão Do Jacuípe/BA (Brasileira)</t>
  </si>
  <si>
    <t>DANIELLE CRISTINE DE AVILA ARRAIS</t>
  </si>
  <si>
    <t>Brasil - Tucuruí/PA (Brasileira)</t>
  </si>
  <si>
    <t>DANIELLE DO NASCIMENTO SOUZA</t>
  </si>
  <si>
    <t>Brasil - Teixeira De Freitas/BA (Brasileira)</t>
  </si>
  <si>
    <t>DAVID BRUNO DE SOUSA TEIXEIRA</t>
  </si>
  <si>
    <t>DAVID SANTOS JUNIOR</t>
  </si>
  <si>
    <t>DEBORA FERREIRA DOS ANJOS</t>
  </si>
  <si>
    <t>Brasil - Aracati/CE (Brasileira)</t>
  </si>
  <si>
    <t>DEBORAH DA SILVA VASCONCELOS EWERTON</t>
  </si>
  <si>
    <t>DEBORAH RESENDE DE OLIVEIRA</t>
  </si>
  <si>
    <t>DENISE MARQUES DEMETRIUK</t>
  </si>
  <si>
    <t>Brasil - Barueri/SP (Brasileira)</t>
  </si>
  <si>
    <t>DENISE NUNES DO NASCIMENTO</t>
  </si>
  <si>
    <t>000055828196-6</t>
  </si>
  <si>
    <t>DHIEGO DE SOUZA PAIXAO</t>
  </si>
  <si>
    <t>214054720002-8</t>
  </si>
  <si>
    <t>060:00</t>
  </si>
  <si>
    <t>Brasil - Parnaíba/PI (Brasileira)</t>
  </si>
  <si>
    <t>Brasil - PARNAÍBA/PI (brasileira)</t>
  </si>
  <si>
    <t>DIEGO GARCIA RODRIGUES</t>
  </si>
  <si>
    <t>2187551-ES</t>
  </si>
  <si>
    <t>Brasil - Vitória/ES (Brasileira)</t>
  </si>
  <si>
    <t>Brasil - VITÓRIA/ES (brasileira)</t>
  </si>
  <si>
    <t>diego.grodrigues@uniasselvi.com.br</t>
  </si>
  <si>
    <t>DIOVANA APARECIDA DE PAULA KRIGINSKI</t>
  </si>
  <si>
    <t>DORALICE VINAGRE MELO</t>
  </si>
  <si>
    <t>DOUGLAS DE ABREU JOSE</t>
  </si>
  <si>
    <t>27.844.653-9</t>
  </si>
  <si>
    <t>douglas.jose@uniasselvi.com.br</t>
  </si>
  <si>
    <t>DWOVANY DE OLIVEIRA LACERDA</t>
  </si>
  <si>
    <t>Brasil - Carangola/MG (Brasileira)</t>
  </si>
  <si>
    <t>Brasil - CARANGOLA/MG (brasileira)</t>
  </si>
  <si>
    <t>EDENILZA FABIANA DE ALMEIDA SANTOS</t>
  </si>
  <si>
    <t>EDUARDA MARCOM FERRANDIN</t>
  </si>
  <si>
    <t>Brasil - Joaçaba/SC (Brasileira)</t>
  </si>
  <si>
    <t>EDUARDA TEIXEIRA WISOSKI</t>
  </si>
  <si>
    <t>EDUARDO GOMES DA SILVA</t>
  </si>
  <si>
    <t>Brasil - Guarujá/SP (Brasileira)</t>
  </si>
  <si>
    <t>Brasil - GUARUJÁ/SP (brasileira)</t>
  </si>
  <si>
    <t>EDWIGES BEATRIZ COIMBRA DE SOUZA</t>
  </si>
  <si>
    <t>27866185-5</t>
  </si>
  <si>
    <t>Brasil - Rio De Janeiro/RJ (Brasileira)</t>
  </si>
  <si>
    <t>ELAINE CRISTINA CAMILO</t>
  </si>
  <si>
    <t xml:space="preserve">42.795.470-8 </t>
  </si>
  <si>
    <t>Brasil - Campinas/SP (Brasileira)</t>
  </si>
  <si>
    <t>ELI DA TRINDADE FERREIRA</t>
  </si>
  <si>
    <t>ELISIA MARTINS PIRES</t>
  </si>
  <si>
    <t>064.631.279-06</t>
  </si>
  <si>
    <t>Brasil - Florianópolis/SC (Brasileira)</t>
  </si>
  <si>
    <t>Brasil - FLORIANÓPOLIS/SC (brasileira)</t>
  </si>
  <si>
    <t>ELLEN MAGDA SILVA MACHADO</t>
  </si>
  <si>
    <t>Brasil - Rurópolis/PA (Brasileira)</t>
  </si>
  <si>
    <t>EMANUELI LOTTERMANN</t>
  </si>
  <si>
    <t>EMERSON DOS SANTOS FERREIRA FARIAS</t>
  </si>
  <si>
    <t>ERICA GERALDA RODRIGUES LEAL</t>
  </si>
  <si>
    <t>Brasil - Patos De Minas/MG (Brasileira)</t>
  </si>
  <si>
    <t>1135|MG - PATOS DE MINAS</t>
  </si>
  <si>
    <t>erica.leal@uniasselvi.com.br</t>
  </si>
  <si>
    <t>ERITON RONALDO MARIA FREITAS</t>
  </si>
  <si>
    <t>ESDRAS DA SILVA BRITO</t>
  </si>
  <si>
    <t>20.185.510-00</t>
  </si>
  <si>
    <t>Brasil - Central/BA (Brasileira)</t>
  </si>
  <si>
    <t>ESTER DE MELO BORBA</t>
  </si>
  <si>
    <t>EVELYN ARAUJO DA SILVA</t>
  </si>
  <si>
    <t>39.394.501-7</t>
  </si>
  <si>
    <t>FABIA DE OLIVEIRA CARVALHO</t>
  </si>
  <si>
    <t>Brasil - Naviraí/MS (Brasileira)</t>
  </si>
  <si>
    <t>FABIANE PEREIRA DO CARMO LUNA</t>
  </si>
  <si>
    <t>FABIANO JOHNSON DUARTE BARTMANN</t>
  </si>
  <si>
    <t>Brasil - Cruz Alta/RS (Brasileira)</t>
  </si>
  <si>
    <t>Brasil - CRUZ ALTA/RS (brasileira)</t>
  </si>
  <si>
    <t>FADIA AMIRA BAITALA</t>
  </si>
  <si>
    <t>Brasil - CURITIBA/PR (brasileira)</t>
  </si>
  <si>
    <t>FELIPE LUIZ IEGER</t>
  </si>
  <si>
    <t>Brasil - Santa Cruz do Sul/RS (Brasileira)</t>
  </si>
  <si>
    <t>FELIPE SCHWERT GUTIERREZ</t>
  </si>
  <si>
    <t>Brasil - PORTO ALEGRE/RS (brasileira)</t>
  </si>
  <si>
    <t>FELLIPE OLIVEIRA DA SILVA BARBIERI</t>
  </si>
  <si>
    <t>Brasil - Rio Verde/GO (Brasileira)</t>
  </si>
  <si>
    <t>fbarbieri.agro@gmail.com</t>
  </si>
  <si>
    <t>FERNANDO HENRIQUE MODOLO</t>
  </si>
  <si>
    <t>Brasil - Castanheira/MT (Brasileira)</t>
  </si>
  <si>
    <t>Brasil - CUIABÁ/MT (brasileira)</t>
  </si>
  <si>
    <t>FLAVIA ANGELICA DA SILVA</t>
  </si>
  <si>
    <t>Brasil - Diadema/SP (Brasileira)</t>
  </si>
  <si>
    <t>FRANCIEL BARBOZA DE SOUSA</t>
  </si>
  <si>
    <t>MG 17083944</t>
  </si>
  <si>
    <t>Brasil - CASTANHAL/PA (brasileira)</t>
  </si>
  <si>
    <t>FRANCIELE VALDAMERI</t>
  </si>
  <si>
    <t>Brasil - Tangará Da Serra/MT (Brasileira)</t>
  </si>
  <si>
    <t>FRANCINE XAVIER GUTERRES</t>
  </si>
  <si>
    <t>FRANCISCO ANDERSON DE SOUSA LIMA</t>
  </si>
  <si>
    <t>2008417895-1</t>
  </si>
  <si>
    <t>Brasil - Quixeramobim/CE (Brasileira)</t>
  </si>
  <si>
    <t>FRANCISCO FARIAS FEITOZA</t>
  </si>
  <si>
    <t>Brasil - Macapá/AP (Brasileira)</t>
  </si>
  <si>
    <t>FRED MAURICIO FERREIRA DA CONCEICAO</t>
  </si>
  <si>
    <t>GABRIEL ALEXANDRE RODRIGUES</t>
  </si>
  <si>
    <t>GABRIELA FANCK DOS SANTOS</t>
  </si>
  <si>
    <t>Brasil - Ijuí/RS (Brasileira)</t>
  </si>
  <si>
    <t>GABRIELI PEREIRA DA CRUZ</t>
  </si>
  <si>
    <t xml:space="preserve">11.020.352-7 </t>
  </si>
  <si>
    <t>Brasil - Mandirituba/PR (Brasileira)</t>
  </si>
  <si>
    <t>GABRIELLA RIBEIRO SOUSA</t>
  </si>
  <si>
    <t>3449063-9</t>
  </si>
  <si>
    <t>Brasil - Aragarças/GO (Brasileira)</t>
  </si>
  <si>
    <t>GABRIELY WESTPHAL RAMOS</t>
  </si>
  <si>
    <t>GAUTHELLY GOMES DE MIRANDA</t>
  </si>
  <si>
    <t>Brasil - Guarulhos/SP (Brasileira)</t>
  </si>
  <si>
    <t>GEAN LUCAS PAULINO DA CONCEICAO</t>
  </si>
  <si>
    <t>lucaspaulinobra@gmail.com</t>
  </si>
  <si>
    <t>GILBERTO DELLAI FILHO</t>
  </si>
  <si>
    <t>7.403. 917-0</t>
  </si>
  <si>
    <t>Brasil - Cianorte/PR (Brasileira)</t>
  </si>
  <si>
    <t>Brasil - CIANORTE/PR (brasileira)</t>
  </si>
  <si>
    <t>GILMARA RODRIGUES CARVALHO COSTA</t>
  </si>
  <si>
    <t>Brasil - Ananindeua/PA (Brasileira)</t>
  </si>
  <si>
    <t>GILNEI DA SILVA DIAS</t>
  </si>
  <si>
    <t>GIOVANA COUTINHO ZULIN NASCIMENTO</t>
  </si>
  <si>
    <t>Brasil - Presidente Prudente/SP (Brasileira)</t>
  </si>
  <si>
    <t>GISELI PENHA DE SOUZA</t>
  </si>
  <si>
    <t>GISELLE NASCIMENTO</t>
  </si>
  <si>
    <t>GIULIA SOUZA THEOTONIO</t>
  </si>
  <si>
    <t>073.533.322-60</t>
  </si>
  <si>
    <t>GLEICY LOANY DE ALENCAR CARDOSO</t>
  </si>
  <si>
    <t>Admissão prox.mês</t>
  </si>
  <si>
    <t>gleicyloany3@hotmail.com</t>
  </si>
  <si>
    <t>GRACIELE PINTO MACHADO</t>
  </si>
  <si>
    <t>410.602.951-7</t>
  </si>
  <si>
    <t>graciele.machado@uniasselvi.com.br</t>
  </si>
  <si>
    <t>GUILHERME HENRIQUE SANTANA</t>
  </si>
  <si>
    <t>Brasil - Recife/PE (Brasileira)</t>
  </si>
  <si>
    <t>GUSTAVO AGUIAR DE SOUSA</t>
  </si>
  <si>
    <t>05715850355.</t>
  </si>
  <si>
    <t>Brasil - Pastos Bons/MA (Brasileira)</t>
  </si>
  <si>
    <t>HAMILTON DOS SANTOS OLIVEIRA JUNIOR</t>
  </si>
  <si>
    <t>8.125.097-9</t>
  </si>
  <si>
    <t>Brasil - Palmas/PR (Brasileira)</t>
  </si>
  <si>
    <t>HAYLLA PORTAL LIMA</t>
  </si>
  <si>
    <t>HELENA MANENTI MARTINS</t>
  </si>
  <si>
    <t>Brasil - Turvo/SC (Brasileira)</t>
  </si>
  <si>
    <t>HELENICE SACRAMENTO SOUZA MELO</t>
  </si>
  <si>
    <t>HOZANA DE ALMEIDA EVANGELISTA</t>
  </si>
  <si>
    <t>Brasil - SÃO LUÍS/MA (brasileira)</t>
  </si>
  <si>
    <t>HUMBERTO LEAO MENEZES</t>
  </si>
  <si>
    <t>Brasil - Manaus/AM (Brasileira)</t>
  </si>
  <si>
    <t>IGOR DE SOUZA PINTO</t>
  </si>
  <si>
    <t>Brasil - Duque De Caxias/RJ (Brasileira)</t>
  </si>
  <si>
    <t>IGOR LUIZ CUNHA FERNANDES</t>
  </si>
  <si>
    <t>INGRID RIBEIRO CARVAJAL TOTA</t>
  </si>
  <si>
    <t>Brasil - Sorocaba/SP (Brasileira)</t>
  </si>
  <si>
    <t>ingridtota@hotmail.com</t>
  </si>
  <si>
    <t>ISABELLA MELCHIOR DO PRADO</t>
  </si>
  <si>
    <t>Brasil - Cascavel/PR (Brasileira)</t>
  </si>
  <si>
    <t>Brasil - CASCAVEL/PR (brasileira)</t>
  </si>
  <si>
    <t>ISABELLA NASCIMENTO MENESES DE ALMEIDA</t>
  </si>
  <si>
    <t>isabella.almeida@uniasselvi.com.br</t>
  </si>
  <si>
    <t>ISABELLA RAMOS DOS SANTOS</t>
  </si>
  <si>
    <t>Brasil - Ilhéus/BA (Brasileira)</t>
  </si>
  <si>
    <t>Brasil - ILHÉUS/BA (brasileira)</t>
  </si>
  <si>
    <t>ITALO LEONARDO FERNANDES FARIA</t>
  </si>
  <si>
    <t>MG 18.375.985</t>
  </si>
  <si>
    <t>ITALO LUIS SANTOS DE LIMA</t>
  </si>
  <si>
    <t>IVETE TEREZINHA MACHADO DA ROCHA</t>
  </si>
  <si>
    <t>Brasil - São Martinho/RS (Brasileira)</t>
  </si>
  <si>
    <t>IZABEL CRISTINA BORGES FEITOSA CAMINHA</t>
  </si>
  <si>
    <t>042.712.343-70</t>
  </si>
  <si>
    <t>Brasil - Picos/PI (Brasileira)</t>
  </si>
  <si>
    <t>IZABEL FRANCISCA DA SILVA</t>
  </si>
  <si>
    <t>MG 21231176</t>
  </si>
  <si>
    <t>Brasil - Brasília De Minas/MG (Brasileira)</t>
  </si>
  <si>
    <t>IZABELA CECHINEL BIELA</t>
  </si>
  <si>
    <t>Brasil - Urussanga/SC (Brasileira)</t>
  </si>
  <si>
    <t>JACKESON OLIVEIRA DE MORAES</t>
  </si>
  <si>
    <t>Brasil - Vila Bela Da Santíssima Trindade/MT (Brasileira)</t>
  </si>
  <si>
    <t>JANAINA COLMAN CLEMENTE</t>
  </si>
  <si>
    <t>janainacolman@hotmail.com</t>
  </si>
  <si>
    <t>JANAINA DE MIRANDA SILVERIO</t>
  </si>
  <si>
    <t>Brasil - Cuiabá/MT (Brasileira)</t>
  </si>
  <si>
    <t>janaina.silverio@uniasselvi.com.br</t>
  </si>
  <si>
    <t>JANAINA PIERUCCINI PULGATTI</t>
  </si>
  <si>
    <t xml:space="preserve">828.011.500-53 </t>
  </si>
  <si>
    <t>janaina.pulgatti@regente.uniasselvi.com.br</t>
  </si>
  <si>
    <t>JANAINA PRISCILA CARNETE</t>
  </si>
  <si>
    <t>Brasil - Alpestre/RS (Brasileira)</t>
  </si>
  <si>
    <t>JAQUELINE LIMA BEZERRA DOS SANTOS</t>
  </si>
  <si>
    <t>2007861054-5</t>
  </si>
  <si>
    <t>Brasil - Cedro/CE (Brasileira)</t>
  </si>
  <si>
    <t>JAYNE CAVALCANTE TORRES</t>
  </si>
  <si>
    <t>Brasil - Boa Viagem/CE (Brasileira)</t>
  </si>
  <si>
    <t>JEAN CARLOS FIRMINO DA SILVA</t>
  </si>
  <si>
    <t>Brasil - MACEIÓ/AL (brasileira)</t>
  </si>
  <si>
    <t>JEAN SOUSA DOS SANTOS</t>
  </si>
  <si>
    <t>Brasil - Aurora Do Pará/PA (Brasileira)</t>
  </si>
  <si>
    <t>Brasil - MÃE DO RIO/PA (brasileira)</t>
  </si>
  <si>
    <t>JESSICA LAIZ CARVALHO DOS SANTOS CUNHA</t>
  </si>
  <si>
    <t>JESSICA LEMES GARCES</t>
  </si>
  <si>
    <t>JESSICA NEVES LAMEIRO DE MIRANDA</t>
  </si>
  <si>
    <t>20566688-6</t>
  </si>
  <si>
    <t>JESSICA SOUSA SILVA</t>
  </si>
  <si>
    <t>3438478-2</t>
  </si>
  <si>
    <t>JHONATAN RAMOS SOARES</t>
  </si>
  <si>
    <t>1091202-9</t>
  </si>
  <si>
    <t>Brasil - Guajará-mirim/RO (Brasileira)</t>
  </si>
  <si>
    <t>JOAO ANTONIO BRITO PORTO</t>
  </si>
  <si>
    <t>13.845.226-11</t>
  </si>
  <si>
    <t>Brasil - Brumado/BA (Brasileira)</t>
  </si>
  <si>
    <t>JOAO PAULO CHODACKI QUIUQUI</t>
  </si>
  <si>
    <t>145.616.417-18</t>
  </si>
  <si>
    <t>Brasil - Águia Branca/ES (Brasileira)</t>
  </si>
  <si>
    <t>JOAO PAULO DA SILVA JERUSALEM</t>
  </si>
  <si>
    <t>JOINICE LINEIRA OLIVEIRA HIPPOLYTE</t>
  </si>
  <si>
    <t>JOSE CICERO ROSENDO DA SILVA FILHO</t>
  </si>
  <si>
    <t>Brasil - Garanhuns/PE (Brasileira)</t>
  </si>
  <si>
    <t>JOSELIA DE ANDRADE DE LIMA</t>
  </si>
  <si>
    <t>042.189.192-08</t>
  </si>
  <si>
    <t>Brasil - Manacapuru/AM (Brasileira)</t>
  </si>
  <si>
    <t>JULIA GONZALEZ CELESTINO</t>
  </si>
  <si>
    <t>JULIA NICOLE FONTES ARRUDA</t>
  </si>
  <si>
    <t>53.119.455-3</t>
  </si>
  <si>
    <t>Brasil - Santos/SP (Brasileira)</t>
  </si>
  <si>
    <t>Brasil - SANTOS/SP (brasileira)</t>
  </si>
  <si>
    <t>JULIANA ARAUJO PEREIRA GOMES</t>
  </si>
  <si>
    <t>Brasil - Petrópolis/RJ (Brasileira)</t>
  </si>
  <si>
    <t>Brasil - PETRÓPOLIS/RJ (brasileira)</t>
  </si>
  <si>
    <t>JULIANA BERGER</t>
  </si>
  <si>
    <t>Brasil - São Leopoldo/RS (Brasileira)</t>
  </si>
  <si>
    <t>JULIANA BRITO FERREIRA</t>
  </si>
  <si>
    <t>JULIANA MARIA DE SOUZA</t>
  </si>
  <si>
    <t>9.286.711-0</t>
  </si>
  <si>
    <t>Brasil - Apucarana/PR (Brasileira)</t>
  </si>
  <si>
    <t>Brasil - APUCARANA/PR (brasileira)</t>
  </si>
  <si>
    <t>juliana.msouza@uniasselvi.com.br</t>
  </si>
  <si>
    <t>JULIETE SANTOS SANTANA</t>
  </si>
  <si>
    <t>Brasil - Wenceslau Guimarães/BA (Brasileira)</t>
  </si>
  <si>
    <t>KALISON BATISTA DA SILVA</t>
  </si>
  <si>
    <t>2892812-1</t>
  </si>
  <si>
    <t>Brasil - Juruá/AM (Brasileira)</t>
  </si>
  <si>
    <t>KAMILA CABRAL SENA</t>
  </si>
  <si>
    <t>68.590.613-9</t>
  </si>
  <si>
    <t>Brasil - MANAUS/AM (brasileira)</t>
  </si>
  <si>
    <t>KAREN RITT</t>
  </si>
  <si>
    <t>Brasil - Cabo Frio/RJ (Brasileira)</t>
  </si>
  <si>
    <t>KARENINA TABUSA DE GODOY</t>
  </si>
  <si>
    <t>farmaceuticasfme@gmail.com</t>
  </si>
  <si>
    <t>KARINE TOSTA SOUZA BORGES</t>
  </si>
  <si>
    <t>093.003.587-9</t>
  </si>
  <si>
    <t>KARLA INGRIDY CARDOSO OLIVEIRA</t>
  </si>
  <si>
    <t>KAROLINE GARCIA DE MENDONCA</t>
  </si>
  <si>
    <t>KAROLINE NOVAIS DA SILVA</t>
  </si>
  <si>
    <t>KATLEN RIBEIRO GADELHA</t>
  </si>
  <si>
    <t>KEILLA BOEHLER FERREIRA</t>
  </si>
  <si>
    <t>13257489 SSP MG</t>
  </si>
  <si>
    <t>Brasil - Teófilo Otoni/MG (Brasileira)</t>
  </si>
  <si>
    <t>KELLEN FERREIRA NASCIMENTO</t>
  </si>
  <si>
    <t>LAIS LANG SILVA</t>
  </si>
  <si>
    <t>LAIS RANGEL DE SOUZA AZEVEDO MAIA</t>
  </si>
  <si>
    <t>laisrsazevedo@gmail.com</t>
  </si>
  <si>
    <t>LARISSA BRANDOLIN VENTURA</t>
  </si>
  <si>
    <t>36.632.703-5</t>
  </si>
  <si>
    <t>LARISSA ISLANY FRANCA ROCHA</t>
  </si>
  <si>
    <t>larissafranca.prodart@gmail.com</t>
  </si>
  <si>
    <t>LAURA CRISTINA DA SILVA AHMANN LOPES</t>
  </si>
  <si>
    <t>10.162.419-6</t>
  </si>
  <si>
    <t>LAURA PRESTES MOREIRA</t>
  </si>
  <si>
    <t>LAURA VOLPATO</t>
  </si>
  <si>
    <t>Brasil - Tubarão/SC (Brasileira)</t>
  </si>
  <si>
    <t>LAUREN DA ROSA DE OLIVEIRA</t>
  </si>
  <si>
    <t>Brasil - Jaguarão/RS (Brasileira)</t>
  </si>
  <si>
    <t>LAURILENE OLIVEIRA MOTA</t>
  </si>
  <si>
    <t>Brasil - Santarém/PA (Brasileira)</t>
  </si>
  <si>
    <t>Brasil - NOVO PROGRESSO/PA (brasileira)</t>
  </si>
  <si>
    <t>LEIDIANA NERI DOS SANTOS</t>
  </si>
  <si>
    <t>11.440.590-54</t>
  </si>
  <si>
    <t>Brasil - Itabuna/BA (Brasileira)</t>
  </si>
  <si>
    <t>LEONARDO AZEREDO DE MARCHI</t>
  </si>
  <si>
    <t>Brasil - Passo Fundo/RS (Brasileira)</t>
  </si>
  <si>
    <t>LEONARDO BITTENCOURT DOS SANTOS</t>
  </si>
  <si>
    <t>22.399.953-3</t>
  </si>
  <si>
    <t>Brasil - DUQUE DE CAXIAS/RJ (brasileira)</t>
  </si>
  <si>
    <t>LEONARDO LUCIO AUGUSTO FELIPE</t>
  </si>
  <si>
    <t>Brasil - Poços De Caldas/MG (Brasileira)</t>
  </si>
  <si>
    <t>ll170217@gmail.com</t>
  </si>
  <si>
    <t>LEONARDO TEIXEIRA LAGE</t>
  </si>
  <si>
    <t>059.335.751-51</t>
  </si>
  <si>
    <t>Brasil - Governador Valadares/MG (Brasileira)</t>
  </si>
  <si>
    <t>LETICIA BONIFACIO MIRANDA</t>
  </si>
  <si>
    <t>LETICIA BREGANTINI SILVA</t>
  </si>
  <si>
    <t>Brasil - Terra Rica/PR (Brasileira)</t>
  </si>
  <si>
    <t>LETICIA DE SOUSA SEVERO</t>
  </si>
  <si>
    <t>LETICIA MARIANO LIMA</t>
  </si>
  <si>
    <t>Brasil - Ubiratã/PR (Brasileira)</t>
  </si>
  <si>
    <t>LETICIA ROBERTA MODESTO DOS SANTOS</t>
  </si>
  <si>
    <t>LETICIA SOUZA STOFILIS GRAMELICH</t>
  </si>
  <si>
    <t>Brasil - Linhares/ES (Brasileira)</t>
  </si>
  <si>
    <t>LETICIA TAVARES VIANA</t>
  </si>
  <si>
    <t>Brasil - Anápolis/GO (Brasileira)</t>
  </si>
  <si>
    <t>LILIAN CRUZ SOUTO DE OLIVEIRA SPERB</t>
  </si>
  <si>
    <t>PÓS DOUT.COMPLETO</t>
  </si>
  <si>
    <t>LORENA DA SILVA RAMOS</t>
  </si>
  <si>
    <t>2732235-1</t>
  </si>
  <si>
    <t>Brasil - Nova Olinda Do Norte/AM (Brasileira)</t>
  </si>
  <si>
    <t>LORENA MARIA KOLLER</t>
  </si>
  <si>
    <t>13.139.153-6</t>
  </si>
  <si>
    <t>Brasil - Ponta Grossa/PR (Brasileira)</t>
  </si>
  <si>
    <t>LORENA TOMAZ RIBEIRO</t>
  </si>
  <si>
    <t>Brasil - Ituiutaba/MG (Brasileira)</t>
  </si>
  <si>
    <t>LORRINE DE SOUZA SILVA</t>
  </si>
  <si>
    <t>LUA AUGUSTO DE ARAUJO COSTA</t>
  </si>
  <si>
    <t>LUCAS DE SANT ANNA VITOR BARBIERI</t>
  </si>
  <si>
    <t>8.306.618-0</t>
  </si>
  <si>
    <t>lucas.barbieri@uniasselvi.com.br</t>
  </si>
  <si>
    <t>LUCAS SOARES DE MEDEIROS</t>
  </si>
  <si>
    <t>LUIS FERNANDO CAETANO MARINS</t>
  </si>
  <si>
    <t>LUIZ AUGUSTO MASCHMANN INACIO</t>
  </si>
  <si>
    <t>Brasil - Osório/RS (Brasileira)</t>
  </si>
  <si>
    <t>LUIZ FELIPE BRAZ TELES</t>
  </si>
  <si>
    <t>027.712.021-74</t>
  </si>
  <si>
    <t>LUIZA RODRIGUES DE ASSIS BRITO</t>
  </si>
  <si>
    <t>LULUCHA DE FATIMA LIMA DA SILVA</t>
  </si>
  <si>
    <t>Brasil - SANTARÉM/PA (brasileira)</t>
  </si>
  <si>
    <t>MAGDA ADRIANA MIZUOTI AL KABIRI</t>
  </si>
  <si>
    <t>MAGNO LUIS DAS NEVES ROSA</t>
  </si>
  <si>
    <t>MAIRLA CARVALHO DOS SANTOS COSTA</t>
  </si>
  <si>
    <t>Brasil - Pedreiras/MA (Brasileira)</t>
  </si>
  <si>
    <t>mairla.costa@uniasselvi.com.br</t>
  </si>
  <si>
    <t>MAISA DARE PERIM</t>
  </si>
  <si>
    <t>Brasil - Venda Nova Do Imigrante/ES (Brasileira)</t>
  </si>
  <si>
    <t>MAKSLLENE INGRID DE SOUZA CAVALCANTI SPESSATTO</t>
  </si>
  <si>
    <t>MARAISA DA ROSA DUARTE DE MEDEIROS MENEZES</t>
  </si>
  <si>
    <t>Brasil - Santiago/RS (Brasileira)</t>
  </si>
  <si>
    <t>MARCELLA SILVEIRA LEIVAS</t>
  </si>
  <si>
    <t>MARCELLY MARINHO DOS SANTOS</t>
  </si>
  <si>
    <t>30.458.679-5</t>
  </si>
  <si>
    <t>MARCO AURELIO AFONSO ABREU</t>
  </si>
  <si>
    <t>MG-4.502.685</t>
  </si>
  <si>
    <t>Brasil - Uberlândia/MG (Brasileira)</t>
  </si>
  <si>
    <t>MARCOS ANTONIO DE AGUIAR</t>
  </si>
  <si>
    <t>705.232 SSP/RO</t>
  </si>
  <si>
    <t>Brasil - Santa Luzia D'Oeste/RO (Brasileira)</t>
  </si>
  <si>
    <t>Brasil - ROLIM DE MOURA/RO (brasileira)</t>
  </si>
  <si>
    <t>MARIA CRISTINA DE FREITAS GUERREIRO</t>
  </si>
  <si>
    <t>Brasil - Santo Ângelo/RS (Brasileira)</t>
  </si>
  <si>
    <t>MARIA MARLY DE OLIVEIRA REIS LOPES</t>
  </si>
  <si>
    <t>Brasil - Ourém/PA (Brasileira)</t>
  </si>
  <si>
    <t>MARIA ROSALIA MARQUES SAMPAIO</t>
  </si>
  <si>
    <t>2273783-9</t>
  </si>
  <si>
    <t>Indígena</t>
  </si>
  <si>
    <t>Brasil - São Gabriel Da Cachoeira/AM (Brasileira)</t>
  </si>
  <si>
    <t>MARIANA KALLENBACH OLIVEIRA</t>
  </si>
  <si>
    <t>Brasil - Canoas/RS (Brasileira)</t>
  </si>
  <si>
    <t>MARIANNA DOS SANTOS RODRIGUES ALENCAR</t>
  </si>
  <si>
    <t xml:space="preserve"> 9.889.313-0</t>
  </si>
  <si>
    <t>Brasil - SÃO GONÇALO/RJ (brasileira)</t>
  </si>
  <si>
    <t>MARILENE DA FONSECA MAGALHAES SILVA</t>
  </si>
  <si>
    <t>MARINA ALMEIDA RODRIGUES</t>
  </si>
  <si>
    <t>Brasil - Goiás/GO (Brasileira)</t>
  </si>
  <si>
    <t>MARINA PEDROSO CARNEIRO</t>
  </si>
  <si>
    <t>47.161.487-7</t>
  </si>
  <si>
    <t>MARLA MARIA FERREIRA DE SOUZA</t>
  </si>
  <si>
    <t>MARYON BROTTO ROSADO</t>
  </si>
  <si>
    <t>MATEUS SANTOS MACENA</t>
  </si>
  <si>
    <t>Brasil - Guanambi/BA (Brasileira)</t>
  </si>
  <si>
    <t>MATHEUS CAMPOS SILVA</t>
  </si>
  <si>
    <t>038513172009-0</t>
  </si>
  <si>
    <t>MATHEUS PEREIRA DE OLIVEIRA</t>
  </si>
  <si>
    <t>Brasil - Avaré/SP (Brasileira)</t>
  </si>
  <si>
    <t>matheus.poliveira@uniasselvi.com.br</t>
  </si>
  <si>
    <t>MAURICIO THOMAS</t>
  </si>
  <si>
    <t>608.557.009-8</t>
  </si>
  <si>
    <t>Brasil - Salvador Das Missões/RS (Brasileira)</t>
  </si>
  <si>
    <t>mauricio.thomas@uniasselvi.com.br</t>
  </si>
  <si>
    <t>MAURO DA SILVA ALVES</t>
  </si>
  <si>
    <t>MENITHEN BEBER RODRIGUES</t>
  </si>
  <si>
    <t>Brasil - Jaraguá Do Sul/SC (Brasileira)</t>
  </si>
  <si>
    <t>MERIELLE FATIMA RABELO ALVES</t>
  </si>
  <si>
    <t>Brasil - Cristalina/GO (Brasileira)</t>
  </si>
  <si>
    <t>MICHELLE BARROS PANTOJA</t>
  </si>
  <si>
    <t>Brasil - BELÉM/PA (brasileira)</t>
  </si>
  <si>
    <t>MIGUEL ANGELO DAMAZIO DA COSTA</t>
  </si>
  <si>
    <t>MG22090623</t>
  </si>
  <si>
    <t>Brasil - POUSO ALEGRE/MG (brasileira)</t>
  </si>
  <si>
    <t>MILENE GOMES DE SOUSA</t>
  </si>
  <si>
    <t>MILENE LETUSA VIEIRA</t>
  </si>
  <si>
    <t>Brasil - Pato Branco/PR (Brasileira)</t>
  </si>
  <si>
    <t>MUNIQUE LOPES PIRES</t>
  </si>
  <si>
    <t>NADIA CARLA RODRIGUES AZEVEDO</t>
  </si>
  <si>
    <t>13.437.557-27</t>
  </si>
  <si>
    <t>Brasil - Livramento De Nossa Senhora/BA (Brasileira)</t>
  </si>
  <si>
    <t>NATALIA SILVA DE MATTOS</t>
  </si>
  <si>
    <t>25578355-7</t>
  </si>
  <si>
    <t>NATHALIA GONCALVES AVELAR</t>
  </si>
  <si>
    <t>NATHANE BEATRYS DOS SANTOS RAMOS</t>
  </si>
  <si>
    <t>NAYANA DOS SANTOS FLEXA</t>
  </si>
  <si>
    <t>NIVIA MARIA DA SILVA CALADO</t>
  </si>
  <si>
    <t>NOEMIA JULLY DE VASCONCELOS QUEIROZ</t>
  </si>
  <si>
    <t>027.140.652-60</t>
  </si>
  <si>
    <t>NORIANE MENDONCA DE SOUZA</t>
  </si>
  <si>
    <t>Brasil - Parintins/AM (Brasileira)</t>
  </si>
  <si>
    <t>ODINE ROSANE DOS SANTOS ALVES</t>
  </si>
  <si>
    <t>Brasil - Montes Claros/MG (Brasileira)</t>
  </si>
  <si>
    <t>OTAVIO AUGUSTO QUEIROZ DOS SANTOS</t>
  </si>
  <si>
    <t>41.071.370-3</t>
  </si>
  <si>
    <t>Brasil - Novo Horizonte/SP (Brasileira)</t>
  </si>
  <si>
    <t>PALOMA ARAUJO SOUZA</t>
  </si>
  <si>
    <t>MG-8.552.612</t>
  </si>
  <si>
    <t>Brasil - Timóteo/MG (Brasileira)</t>
  </si>
  <si>
    <t>paloma.souza@uniasselvi.com.br</t>
  </si>
  <si>
    <t>PAMELLA ANTUNES DE MACEDO SALES</t>
  </si>
  <si>
    <t>27473505-9</t>
  </si>
  <si>
    <t>PAOLLA ARMSTRONG MARQUES</t>
  </si>
  <si>
    <t>Brasil - Registro/SP (Brasileira)</t>
  </si>
  <si>
    <t>paolla.arms@gmail.com</t>
  </si>
  <si>
    <t>PATRICIA BORTOLANZA PEREIRA</t>
  </si>
  <si>
    <t>12.605.182-4</t>
  </si>
  <si>
    <t>Brasil - Chopinzinho/PR (Brasileira)</t>
  </si>
  <si>
    <t>PATRICIA DA SILVA TRASMONTANO</t>
  </si>
  <si>
    <t>22.435 018-1</t>
  </si>
  <si>
    <t>PATRICIA FREITAS PEREIRA RODRIGUES</t>
  </si>
  <si>
    <t>PATRICIA MARQUES SOARES VALENTE</t>
  </si>
  <si>
    <t>PATRICIA VITORIA BASAGLIA LOPES</t>
  </si>
  <si>
    <t>PAULA CRISTINA FERNANDES DA SILVA</t>
  </si>
  <si>
    <t>54.029.144-4</t>
  </si>
  <si>
    <t>Brasil - Várzea Da Palma/MG (Brasileira)</t>
  </si>
  <si>
    <t>PAULO ROBERTO DI FILIPPO</t>
  </si>
  <si>
    <t>Brasil - São Carlos/SP (Brasileira)</t>
  </si>
  <si>
    <t>Brasil - SÃO CARLOS/SP (brasileira)</t>
  </si>
  <si>
    <t>PAULO SERGIO LANZAROTTO</t>
  </si>
  <si>
    <t>10553720-2</t>
  </si>
  <si>
    <t>PAULO VITOR SANTOS DA SILVA</t>
  </si>
  <si>
    <t>PERLA DE SOUZA ANDRADE</t>
  </si>
  <si>
    <t>souzaperla53@gmail.com</t>
  </si>
  <si>
    <t>PRISCILA FERREIRA DE SOUSA</t>
  </si>
  <si>
    <t>062295352017-0</t>
  </si>
  <si>
    <t>PRISCILA FREIBERGER WEHMUTH DA SILVA</t>
  </si>
  <si>
    <t>Brasil - Irati/PR (Brasileira)</t>
  </si>
  <si>
    <t>PRISCILA MARIA BITTENCOURT ALVES</t>
  </si>
  <si>
    <t>Brasil - Alagoinhas/BA (Brasileira)</t>
  </si>
  <si>
    <t>PRISCILLA HONORIO LIMA</t>
  </si>
  <si>
    <t>27.803.486-3</t>
  </si>
  <si>
    <t>Brasil - Paracambi/RJ (Brasileira)</t>
  </si>
  <si>
    <t>QUEZIA DE SOUZA PORTO</t>
  </si>
  <si>
    <t>045.223.349-66</t>
  </si>
  <si>
    <t>RACHEL DE BRITO RIBEIRO</t>
  </si>
  <si>
    <t>RACHELL ADRIELLE BOMFIM REIS SANTOS</t>
  </si>
  <si>
    <t>RAFAEL COSTA RODRIGUES DE OLIVEIRA</t>
  </si>
  <si>
    <t>RAFAELA CARLA DA SILVA HILARIAO</t>
  </si>
  <si>
    <t>Brasil - Campo Formoso/BA (Brasileira)</t>
  </si>
  <si>
    <t>RAFAELA FELIX DA FRANCA</t>
  </si>
  <si>
    <t>Brasil - Eunápolis/BA (Brasileira)</t>
  </si>
  <si>
    <t>Brasil - EUNÁPOLIS/BA (brasileira)</t>
  </si>
  <si>
    <t>RAFAELA PATRICIA ANDRADE DE OLIVEIRA</t>
  </si>
  <si>
    <t>MG - 18404547</t>
  </si>
  <si>
    <t>Brasil - Barbacena/MG (Brasileira)</t>
  </si>
  <si>
    <t>Brasil - BARBACENA/MG (brasileira)</t>
  </si>
  <si>
    <t>RAFFAEL ESDRAS CAVALCANTE PINTO</t>
  </si>
  <si>
    <t>Brasil - Castanhal/PA (Brasileira)</t>
  </si>
  <si>
    <t>RAIANE MARTINS DA SILVA</t>
  </si>
  <si>
    <t>Brasil - Itapiúna/CE (Brasileira)</t>
  </si>
  <si>
    <t>Brasil - ITAPIÚNA/CE (brasileira)</t>
  </si>
  <si>
    <t>RAIMUNDO RENATO SILVA RAMOS</t>
  </si>
  <si>
    <t>RAISSA RIBEIRO SARAIVA DE CARVALHO SCHIER</t>
  </si>
  <si>
    <t>Brasil - Tianguá/CE (Brasileira)</t>
  </si>
  <si>
    <t>raissa.schier@uniasselvi.com.br</t>
  </si>
  <si>
    <t>RANNERY CAMARGOS DOS SANTOS</t>
  </si>
  <si>
    <t>Brasil - Unaí/MG (Brasileira)</t>
  </si>
  <si>
    <t>RAQUEL DE OLIVEIRA ROCHA ABREU</t>
  </si>
  <si>
    <t>Brasil - Coelho Neto/MA (Brasileira)</t>
  </si>
  <si>
    <t>REGINA ELISA SCHMITZ</t>
  </si>
  <si>
    <t>Brasil - Santa Cruz Do Sul/RS (Brasileira)</t>
  </si>
  <si>
    <t>regina.schmitz@uniasselvi.com.br</t>
  </si>
  <si>
    <t>RENATA DE SOUZA ARAUJO FERRAZ</t>
  </si>
  <si>
    <t>RENATO CEZAR DA MOTA BORGES</t>
  </si>
  <si>
    <t>Brasil - Três Lagoas/MS (Brasileira)</t>
  </si>
  <si>
    <t>RICARDO PONTES DIAS</t>
  </si>
  <si>
    <t>2362634-8</t>
  </si>
  <si>
    <t>Brasil - Americana/SP (Brasileira)</t>
  </si>
  <si>
    <t>ROBERTA VIEIRA BARRETO</t>
  </si>
  <si>
    <t>12873476-06</t>
  </si>
  <si>
    <t>RODRIGO CAVALHEIRO DA SILVA</t>
  </si>
  <si>
    <t>11878870-2</t>
  </si>
  <si>
    <t>RODRIGO LEOPOLDO MENDES COELHO</t>
  </si>
  <si>
    <t>rodrigo.coelho@regente.uniasselvi.com.br</t>
  </si>
  <si>
    <t>ROMARIO CUNHA DA ROCHA</t>
  </si>
  <si>
    <t>033240882007-8</t>
  </si>
  <si>
    <t>Brasil - Coroatá/MA (Brasileira)</t>
  </si>
  <si>
    <t>ROMULO FREIRE PINTO</t>
  </si>
  <si>
    <t>Brasil - Açu/RN (Brasileira)</t>
  </si>
  <si>
    <t>Brasil - AÇU/RN (brasileira)</t>
  </si>
  <si>
    <t>RONALDO DUTRA GOMES</t>
  </si>
  <si>
    <t>695705-6</t>
  </si>
  <si>
    <t>Brasil - RIO DE JANEIRO/RJ (brasileira)</t>
  </si>
  <si>
    <t>ROSANA FREITAS DE ASSIS</t>
  </si>
  <si>
    <t>rosana.assis@uniasselvi.com.br</t>
  </si>
  <si>
    <t>ROSELI BASTOS GRILLO</t>
  </si>
  <si>
    <t>Brasil - PASSO FUNDO/RS (brasileira)</t>
  </si>
  <si>
    <t>ROSIRENE DE CASTRO</t>
  </si>
  <si>
    <t>11.168.471-8</t>
  </si>
  <si>
    <t>SALETE BEATRIZ LANES DA CRUZ</t>
  </si>
  <si>
    <t>SAMILLY MARANHAO COELHO</t>
  </si>
  <si>
    <t>2007351938-8</t>
  </si>
  <si>
    <t>Brasil - Sobral/CE (Brasileira)</t>
  </si>
  <si>
    <t>SANCHA VICTORIA COELHO CARDOSO</t>
  </si>
  <si>
    <t>2000085-5</t>
  </si>
  <si>
    <t>SANDRA FERNANDES MASSAD</t>
  </si>
  <si>
    <t>019062199/07</t>
  </si>
  <si>
    <t>Brasil - Osasco/SP (Brasileira)</t>
  </si>
  <si>
    <t>SANDRO BASTOS DE MOURA</t>
  </si>
  <si>
    <t>SANDRO JOSE SANTOS DOS SANTOS</t>
  </si>
  <si>
    <t>Brasil - Abaetetuba/PA (Brasileira)</t>
  </si>
  <si>
    <t>Brasil - ABAETETUBA/PA (brasileira)</t>
  </si>
  <si>
    <t>SARA JANE AMANN</t>
  </si>
  <si>
    <t>Brasil - São Gabriel Do Oeste/MS (Brasileira)</t>
  </si>
  <si>
    <t>SARA JHENIFFER DE SOUZA LIMA</t>
  </si>
  <si>
    <t>Brasil - Campo Grande/MS (Brasileira)</t>
  </si>
  <si>
    <t>SARA LUANA DE VASCONCELOS GOMES</t>
  </si>
  <si>
    <t>Brasil - Mamanguape/PB (Brasileira)</t>
  </si>
  <si>
    <t>SARAH ANDRADE TOLEDO HOMCI</t>
  </si>
  <si>
    <t>SARAH FAVERO MARTINS</t>
  </si>
  <si>
    <t>1888793-7</t>
  </si>
  <si>
    <t>Brasil - Sorriso/MT (Brasileira)</t>
  </si>
  <si>
    <t>SILVERIO TEIXEIRA DOS SANTOS</t>
  </si>
  <si>
    <t>25.278.310-4</t>
  </si>
  <si>
    <t>Brasil - Buritama/SP (Brasileira)</t>
  </si>
  <si>
    <t>Brasil - BURITAMA/SP (brasileira)</t>
  </si>
  <si>
    <t>SILVESTRE ARAUJO ASSUMPCAO</t>
  </si>
  <si>
    <t>SIMONE ALVES DA SILVA</t>
  </si>
  <si>
    <t xml:space="preserve"> 09914527-8 </t>
  </si>
  <si>
    <t>SIMONE GABINO BARBOSA DE OLIVEIRA</t>
  </si>
  <si>
    <t>SIMONE MACHADO KUHN DE OLIVEIRA</t>
  </si>
  <si>
    <t>simone.oliveira@uniasselvi.com.br</t>
  </si>
  <si>
    <t>SIMONE MENDONCA RODRIGUES</t>
  </si>
  <si>
    <t>28.048.474-4</t>
  </si>
  <si>
    <t>Brasil - São Caetano Do Sul/SP (Brasileira)</t>
  </si>
  <si>
    <t>STELEN BONDAN</t>
  </si>
  <si>
    <t>Brasil - Novo Hamburgo/RS (Brasileira)</t>
  </si>
  <si>
    <t>SUZELINE FERREIRA</t>
  </si>
  <si>
    <t>Brasil - Candelária/RS (Brasileira)</t>
  </si>
  <si>
    <t>SUZIELI ALVES RUMPEL</t>
  </si>
  <si>
    <t>Brasil - Rosário Do Sul/RS (Brasileira)</t>
  </si>
  <si>
    <t>Brasil - ROSÁRIO DO SUL/RS (brasileira)</t>
  </si>
  <si>
    <t>TAINAN DE SOUZA LIMA</t>
  </si>
  <si>
    <t>08.907.141.77</t>
  </si>
  <si>
    <t>Brasil - Serrinha/BA (Brasileira)</t>
  </si>
  <si>
    <t>TALITA XAVIER CLAUDINO</t>
  </si>
  <si>
    <t>talita.claudino@uniasselvi.com.br</t>
  </si>
  <si>
    <t>TAMILLES DOS SANTOS GUIMARAES DA HORA</t>
  </si>
  <si>
    <t>Brasil - Duque de Caxias/RJ (Brasileira)</t>
  </si>
  <si>
    <t>TARCILIO JOSE SALLES SAMPAIO NETO</t>
  </si>
  <si>
    <t>Brasil - Cerejeiras/RO (Brasileira)</t>
  </si>
  <si>
    <t>TATIANA CAVALCANTE DE MOURA</t>
  </si>
  <si>
    <t>TATIANE DA SILVA RODRIGUES</t>
  </si>
  <si>
    <t>Brasil - Brasilia/DF (Brasileira)</t>
  </si>
  <si>
    <t>Brasil - BRASILIA/DF (brasileira)</t>
  </si>
  <si>
    <t>TAYANE NEPOMUCENO DOS SANTOS</t>
  </si>
  <si>
    <t>TAYNA FIGUEIRA DA FONSECA</t>
  </si>
  <si>
    <t xml:space="preserve">25529878-8 </t>
  </si>
  <si>
    <t>TENES DIAS DE JESUS JUNIOR</t>
  </si>
  <si>
    <t>Brasil - Ji-paraná/RO (Brasileira)</t>
  </si>
  <si>
    <t>TERCIO POMPEU DE MELLO</t>
  </si>
  <si>
    <t>Brasil - Marabá/PA (Brasileira)</t>
  </si>
  <si>
    <t>Brasil - GOIÂNIA/GO (brasileira)</t>
  </si>
  <si>
    <t>THAIARA APARECIDA BUENO PRIOLI</t>
  </si>
  <si>
    <t>Brasil - Guaxupé/MG (Brasileira)</t>
  </si>
  <si>
    <t>Brasil - GUAXUPÉ/MG (brasileira)</t>
  </si>
  <si>
    <t>THAIS DE SOUZA</t>
  </si>
  <si>
    <t>Brasil - Palmeira/PR (Brasileira)</t>
  </si>
  <si>
    <t>THAIS GONCALVES DIAS</t>
  </si>
  <si>
    <t>014.762.601-33</t>
  </si>
  <si>
    <t>Brasil - Angélica/MS (Brasileira)</t>
  </si>
  <si>
    <t>THAIS PEREIRA DA SILVA</t>
  </si>
  <si>
    <t>348320-7</t>
  </si>
  <si>
    <t>thais.psilva@uniasselvi.com.br</t>
  </si>
  <si>
    <t>THAISA SILVEIRA</t>
  </si>
  <si>
    <t>52.792.623-1</t>
  </si>
  <si>
    <t>THECICA LAYME DE SOUSA SANTOS</t>
  </si>
  <si>
    <t>THIAGO FRAGOSO GONCALVES</t>
  </si>
  <si>
    <t>Brasil - Cachoeiro De Itapemirim/ES (Brasileira)</t>
  </si>
  <si>
    <t>THIAGO OLIVEIRA SILVA</t>
  </si>
  <si>
    <t>Brasil - Salinas/MG (Brasileira)</t>
  </si>
  <si>
    <t>TIAGO ANTONIO DA ROSA JUNIOR</t>
  </si>
  <si>
    <t>66.243.132-7</t>
  </si>
  <si>
    <t>Brasil - Camanducaia/MG (Brasileira)</t>
  </si>
  <si>
    <t>TUANI RAFAELA MATANA NEVES</t>
  </si>
  <si>
    <t>Brasil - Caxias Do Sul/RS (Brasileira)</t>
  </si>
  <si>
    <t>VANESSA DAS NEVES VARJAO</t>
  </si>
  <si>
    <t>21.074.973-38</t>
  </si>
  <si>
    <t>VANESSA DE OLIVEIRA MENEZES</t>
  </si>
  <si>
    <t>Brasil - Paraíso do Tocantins/TO (Brasileira)</t>
  </si>
  <si>
    <t>VANESSA DELL OSBEL FACHINI</t>
  </si>
  <si>
    <t>VANESSA ESPINDOLA DE ALENCAR</t>
  </si>
  <si>
    <t>Brasil - Santa Terezinha De Goiás/GO (Brasileira)</t>
  </si>
  <si>
    <t>VANIA CARVALHO DE OLIVEIRA SCHUERTZ</t>
  </si>
  <si>
    <t>VERYLUSKA MARQUES SOUSA</t>
  </si>
  <si>
    <t>Brasil - São Geraldo Do Araguaia/PA (Brasileira)</t>
  </si>
  <si>
    <t>VINICIUS AUGUSTO DA SILVA</t>
  </si>
  <si>
    <t>Brasil - Oliveira/MG (Brasileira)</t>
  </si>
  <si>
    <t>vinicius.augusto.nutricionista@gmail.com</t>
  </si>
  <si>
    <t>VINICIUS FREIRE SILVA DA ROCHA</t>
  </si>
  <si>
    <t>VITOR BATISTA PINHEIRO</t>
  </si>
  <si>
    <t>16 327 463 01</t>
  </si>
  <si>
    <t>VIVIAN CALEGARO DA SILVA</t>
  </si>
  <si>
    <t>49.233.224-1</t>
  </si>
  <si>
    <t>VIVIANE APARECIDA ANDRADE SILVEIRA</t>
  </si>
  <si>
    <t>Brasil - Contagem/MG (Brasileira)</t>
  </si>
  <si>
    <t>VIVIANE YUMI NAKAHARA DA SILVA</t>
  </si>
  <si>
    <t>Brasil - Maringá/PR (Brasileira)</t>
  </si>
  <si>
    <t>WALBER BASTOS PORTILHO</t>
  </si>
  <si>
    <t>Brasil - Cametá/PA (Brasileira)</t>
  </si>
  <si>
    <t>WENDY CAROLINA CARDOSO DE LIMA ROCHA</t>
  </si>
  <si>
    <t>009.233.772-47</t>
  </si>
  <si>
    <t>Brasil - Sena Madureira/AC (Brasileira)</t>
  </si>
  <si>
    <t>wendy.rocha@uniasselvi.com.br</t>
  </si>
  <si>
    <t>WILLAME OLIVEIRA RIBEIRO JUNIOR</t>
  </si>
  <si>
    <t>Brasil - Santa Helena/MA (Brasileira)</t>
  </si>
  <si>
    <t>WILLIAM BENJAMIM ACARINI</t>
  </si>
  <si>
    <t>Brasil - PALHOÇA/SC (brasileira)</t>
  </si>
  <si>
    <t>YASMIN TATIELLE DE SOUSA SANTOS</t>
  </si>
  <si>
    <t>117.841.406-00</t>
  </si>
  <si>
    <t>Brasil - RIBEIRÃO DAS NEVES/MG (brasileira)</t>
  </si>
  <si>
    <t>YOHANAN REIS DE SOUZA</t>
  </si>
  <si>
    <t>ZUELMA ANDRADE DE OLIVEIRA</t>
  </si>
  <si>
    <t>UNIASSELVI-NEAD (4)</t>
  </si>
  <si>
    <t>ADA CECILIA GOMES PORTO</t>
  </si>
  <si>
    <t>10099211-3</t>
  </si>
  <si>
    <t>Horista (Professor)</t>
  </si>
  <si>
    <t>527|MS - CORUMBA</t>
  </si>
  <si>
    <t>ADELAYNE EDITE MENDES DA SILVA</t>
  </si>
  <si>
    <t>001:00</t>
  </si>
  <si>
    <t>Brasil - Brejo Da Madre De Deus/PE (Brasileira)</t>
  </si>
  <si>
    <t>449|PE - BREJO DA MADRE DE DEUS</t>
  </si>
  <si>
    <t>adelayne.silva@regentedepolo.uniasselvi.com.br</t>
  </si>
  <si>
    <t>ADELIA CRISTINA ALVES DE ALMEIDA</t>
  </si>
  <si>
    <t>000:00</t>
  </si>
  <si>
    <t>771|AM - MANAUS (ZONA LESTE)</t>
  </si>
  <si>
    <t>adelia.almeida@regentedepolo.uniasselvi.com.br</t>
  </si>
  <si>
    <t>ADELIR TEREZINHA GADOTTI</t>
  </si>
  <si>
    <t>Af.Previdência</t>
  </si>
  <si>
    <t>Brasil - TAIO/SC (Brasileira)</t>
  </si>
  <si>
    <t>Brasil - TAIÓ/SC (brasileira)</t>
  </si>
  <si>
    <t>403|SC - RIO DO SUL</t>
  </si>
  <si>
    <t>adelir.gadotti@regentedepolo.uniasselvi.com.br</t>
  </si>
  <si>
    <t>ADELSON PEREIRA DOS SANTOS</t>
  </si>
  <si>
    <t>M-8.941.941</t>
  </si>
  <si>
    <t>Brasil - Arinos/MG (Brasileira)</t>
  </si>
  <si>
    <t>696|MG - UNAI</t>
  </si>
  <si>
    <t>adelson-p@hotmail.com</t>
  </si>
  <si>
    <t>ADILA LUCIO SANTOS</t>
  </si>
  <si>
    <t>Brasil - Ipiaú/BA (Brasileira)</t>
  </si>
  <si>
    <t>Brasil - IPIAÚ/BA (brasileira)</t>
  </si>
  <si>
    <t>008|BA - TEIXEIRA DE FREITAS</t>
  </si>
  <si>
    <t>adila.santos@regentedepolo.uniasselvi.com.br</t>
  </si>
  <si>
    <t>ADILA VERONICA SOUZA GUIMARAES</t>
  </si>
  <si>
    <t>148|MT - RONDONOPOLIS</t>
  </si>
  <si>
    <t>adila.guimaraes@regentedepolo.uniasselvi.com.br</t>
  </si>
  <si>
    <t>ADILSON DE OLIVEIRA SILVA</t>
  </si>
  <si>
    <t>Brasil - SÃO PAULO/SP (brasileira)</t>
  </si>
  <si>
    <t xml:space="preserve">196|RS - SANTO ANTONIO DA PATRULHA		</t>
  </si>
  <si>
    <t>adilson.silva@regentedepolo.uniasselvi.com.br</t>
  </si>
  <si>
    <t>ADIMILSON MERIN DA SILVA</t>
  </si>
  <si>
    <t xml:space="preserve">217|SC - NAVEGANTES                    </t>
  </si>
  <si>
    <t>adimilson.silva@regentedepolo.uniasselvi.com.br</t>
  </si>
  <si>
    <t>ADOVANIA ALESSANDRA PEREIRA DA SILVA</t>
  </si>
  <si>
    <t>Brasil - Cascavel/CE (Brasileira)</t>
  </si>
  <si>
    <t>Brasil - CASCAVEL/CE (brasileira)</t>
  </si>
  <si>
    <t xml:space="preserve">652|CE - CASCAVEL </t>
  </si>
  <si>
    <t>adovania.silva@regentedepolo.uniasselvi.com.br</t>
  </si>
  <si>
    <t>ADRIA CRISTINA ANTUNES DINELLY DE ALMEIDA</t>
  </si>
  <si>
    <t>006:00</t>
  </si>
  <si>
    <t>Brasil - Maués/AM (Brasileira)</t>
  </si>
  <si>
    <t>084|AM - MAUES</t>
  </si>
  <si>
    <t>adria.almeida@regentedepolo.uniasselvi.com.br</t>
  </si>
  <si>
    <t>ADRIANA DE FREITAS</t>
  </si>
  <si>
    <t xml:space="preserve">212|SC - ITAJAI                       </t>
  </si>
  <si>
    <t>adriana.freitas@regentedepolo.uniasselvi.com.br</t>
  </si>
  <si>
    <t>ADRIANA DUARTE SCHEFFER PEREIRA</t>
  </si>
  <si>
    <t>898.289.339-34</t>
  </si>
  <si>
    <t>Brasil - Torres/RS (Brasileira)</t>
  </si>
  <si>
    <t>364|RS - TORRES</t>
  </si>
  <si>
    <t>adri.duarte1085@gmail.com</t>
  </si>
  <si>
    <t>ADRIANA SILVA CARIBE</t>
  </si>
  <si>
    <t>Brasil - Feira de Santana/BA (Brasileira)</t>
  </si>
  <si>
    <t>Brasil - FEIRA DE SANTANA/BA (brasileira)</t>
  </si>
  <si>
    <t>003|BA - FEIRA DE SANTANA (CENTRO)</t>
  </si>
  <si>
    <t>100106935@tutor.uniasselvi.com.br</t>
  </si>
  <si>
    <t>ADRIANA VOLPATO GALVANI</t>
  </si>
  <si>
    <t>Brasil - GRAO PARA/SC (Brasileira)</t>
  </si>
  <si>
    <t>Brasil - GRÃO-PARÁ/SC (brasileira)</t>
  </si>
  <si>
    <t>366|SC - BRACO DO NORTE</t>
  </si>
  <si>
    <t>adriana.galvani@regentedepolo.uniasselvi.com.br</t>
  </si>
  <si>
    <t>ADRIANE ALVES DOS SANTOS</t>
  </si>
  <si>
    <t>807|AM - BORBA</t>
  </si>
  <si>
    <t>adriane.santos@regentedepolo.uniasselvi.com.br</t>
  </si>
  <si>
    <t>ADRIANO POSTAE</t>
  </si>
  <si>
    <t>Brasil - Rio do Sul/SC (Brasileira)</t>
  </si>
  <si>
    <t>adriano.postae@regentedepolo.uniasselvi.com.br</t>
  </si>
  <si>
    <t>ADRIANO SALVAGNI MARCHI</t>
  </si>
  <si>
    <t>Brasil - LAJEADO/RS (brasileira)</t>
  </si>
  <si>
    <t>029|RS - PORTO ALEGRE (CENTRO)</t>
  </si>
  <si>
    <t>23613@tutor.uniasselvi.com.br</t>
  </si>
  <si>
    <t>ADRIELLY APARECIDA ALVES DE OLIVEIRA</t>
  </si>
  <si>
    <t>014|MS - CAMPO GRANDE (CENTRO)</t>
  </si>
  <si>
    <t>adrielly.oliveira@regentedepolo.uniasselvi.com.br</t>
  </si>
  <si>
    <t>ALABIBE DA VEIGA DA SILVA</t>
  </si>
  <si>
    <t>Brasil - NOVO HAMBURGO/RS (brasileira)</t>
  </si>
  <si>
    <t>355|RS - LAJEADO</t>
  </si>
  <si>
    <t>alabibe.silva@regentedepolo.uniasselvi.com.br</t>
  </si>
  <si>
    <t>ALBERTO MACHADO DE MEDEIROS</t>
  </si>
  <si>
    <t>Brasil - Santo Antônio da Patrulha/RS (Brasileira)</t>
  </si>
  <si>
    <t>Brasil - OSÓRIO/RS (brasileira)</t>
  </si>
  <si>
    <t>alberto.medeiros@regentedepolo.uniasselvi.com.br</t>
  </si>
  <si>
    <t>ALBERTO NETO MOTA SILVA</t>
  </si>
  <si>
    <t>Brasil - ITAPAJÉ/CE (brasileira)</t>
  </si>
  <si>
    <t>278|CE - ITAPAJE</t>
  </si>
  <si>
    <t>alberto.silva@regentedepolo.uniasselvi.com.br</t>
  </si>
  <si>
    <t>ALBERTO SANTA BRIGIDA PINHEIRO</t>
  </si>
  <si>
    <t>Brasil - Magalhães Barata/PA (Brasileira)</t>
  </si>
  <si>
    <t>017|PA - BELEM (SAO BRAZ)</t>
  </si>
  <si>
    <t>alberto.pinheiro@regentedepolo.uniasselvi.com.br</t>
  </si>
  <si>
    <t>ALDENIR DE JESUS NASCIMENTO</t>
  </si>
  <si>
    <t>Brasil - CAMPO GRANDE/MS (brasileira)</t>
  </si>
  <si>
    <t>aldenir.nascimento@regentedepolo.uniasselvi.com.br</t>
  </si>
  <si>
    <t>ALDIENE FIEL DA SILVA</t>
  </si>
  <si>
    <t>Brasil - Baião/PA (Brasileira)</t>
  </si>
  <si>
    <t>Brasil - BAIÃO/PA (brasileira)</t>
  </si>
  <si>
    <t>323|PA - BAIAO</t>
  </si>
  <si>
    <t>100104813@tutor.uniasselvi.com.br</t>
  </si>
  <si>
    <t>ALESSANDRA MACHADO CAMPOS</t>
  </si>
  <si>
    <t>Brasil - Rio Das Ostras/RJ (Brasileira)</t>
  </si>
  <si>
    <t>341|RJ - RIO DAS OSTRAS</t>
  </si>
  <si>
    <t>alessandra.campos@regentedepolo.uniasselvi.com.br</t>
  </si>
  <si>
    <t>ALESSANDRO BEZERRA DA SILVA</t>
  </si>
  <si>
    <t>Brasil - Rio de Janeiro/RJ (Brasileira)</t>
  </si>
  <si>
    <t>Brasil - ITAGUAÍ/RJ (brasileira)</t>
  </si>
  <si>
    <t>641|RJ - ITAGUAI (XAVIER)</t>
  </si>
  <si>
    <t>alessandro.silva@regentedepolo.uniasselvi.com.br</t>
  </si>
  <si>
    <t>ALESSANDRO SENA DE OLIVEIRA</t>
  </si>
  <si>
    <t>Deficiência Auditiva - Surdez severa/profunda</t>
  </si>
  <si>
    <t>372|TO - ARAGUAINA</t>
  </si>
  <si>
    <t>alessandro.oliveira@regentedepolo.uniasselvi.com.br</t>
  </si>
  <si>
    <t>ALESSANDRO SILVA SANTOS</t>
  </si>
  <si>
    <t>mediador.santos@mediador.uniasselvi.com.br</t>
  </si>
  <si>
    <t>ALEX LEANDRO XAVIER MENDES</t>
  </si>
  <si>
    <t>Brasil - Limoeiro do Norte/CE (Brasileira)</t>
  </si>
  <si>
    <t>Brasil - LIMOEIRO DO NORTE/CE (brasileira)</t>
  </si>
  <si>
    <t xml:space="preserve">660|CE - LIMOEIRO DO NORTE </t>
  </si>
  <si>
    <t>alex.mendes@regentedepolo.uniasselvi.com.br</t>
  </si>
  <si>
    <t>ALEXANDRE DA SILVA ESPINOSA</t>
  </si>
  <si>
    <t>Brasil - Butiá/RS (Brasileira)</t>
  </si>
  <si>
    <t>Brasil - BUTIÁ/RS (brasileira)</t>
  </si>
  <si>
    <t>061|RS - GUAIBA</t>
  </si>
  <si>
    <t>alexandre.espinosa@regentedepolo.uniasselvi.com.br</t>
  </si>
  <si>
    <t>ALEXANDRE DO ESPIRITO SANTO BELFORT SILVA</t>
  </si>
  <si>
    <t>013|MA - SAO LUIS (MONTE CASTELO)</t>
  </si>
  <si>
    <t>100100674@tutor.uniasselvi.com.br</t>
  </si>
  <si>
    <t>ALEXANDRE GERASIMENKO RIBEIRO SOUZA</t>
  </si>
  <si>
    <t>282|SC - POMERODE</t>
  </si>
  <si>
    <t>alexandre.souza@regentedepolo.uniasselvi.com.br</t>
  </si>
  <si>
    <t>ALEXANDRE REIS SOARES ALVES</t>
  </si>
  <si>
    <t>087|AP - MACAPA</t>
  </si>
  <si>
    <t>alexandre.alves@regentedepolo.uniasselvi.com.br</t>
  </si>
  <si>
    <t>ALEXSANDRO DA SILVA LIMA</t>
  </si>
  <si>
    <t>981|PE - LAGOA DO OURO</t>
  </si>
  <si>
    <t>alexsandro.dlima@regentedepolo.uniasselvi.com.br</t>
  </si>
  <si>
    <t>001:01</t>
  </si>
  <si>
    <t>alexsandro.lima@regentedepolo.uniasselvi.com.br</t>
  </si>
  <si>
    <t>ALICE MATHIAS</t>
  </si>
  <si>
    <t>Brasil - CAMAQUÃ/RS (brasileira)</t>
  </si>
  <si>
    <t>025|RS - CAMAQUA</t>
  </si>
  <si>
    <t>alice.mathias@regentedepolo.uniasselvi.com.br</t>
  </si>
  <si>
    <t>ALINA DARIANE FREITAS DA SILVA</t>
  </si>
  <si>
    <t>050|PA - ANANINDEUA (CIDADE NOVA)</t>
  </si>
  <si>
    <t>274|CE - BATURITE</t>
  </si>
  <si>
    <t>ALINE DA HORA DE JESUS</t>
  </si>
  <si>
    <t>aline.jesus@regentedepolo.uniasselvi.com.br</t>
  </si>
  <si>
    <t>ALINE DJULEI MONGUILHOTT MACHADO</t>
  </si>
  <si>
    <t>Brasil - Brusque/SC (Brasileira)</t>
  </si>
  <si>
    <t>Brasil - BRUSQUE/SC (brasileira)</t>
  </si>
  <si>
    <t>033|SC - BRUSQUE</t>
  </si>
  <si>
    <t>aline.machado@regentedepolo.uniasselvi.com.br</t>
  </si>
  <si>
    <t>ALINE FLORES VILKE</t>
  </si>
  <si>
    <t>Brasil - Canguçu/RS (Brasileira)</t>
  </si>
  <si>
    <t>185|RS - CANGUCU</t>
  </si>
  <si>
    <t>aline.vilke@regentedepolo.uniasselvi.com.br</t>
  </si>
  <si>
    <t>ALINE PEREIRA DE SOUZA</t>
  </si>
  <si>
    <t>Brasil - GARANHUNS/PE (brasileira)</t>
  </si>
  <si>
    <t xml:space="preserve">167|PE - GARANHUNS                     </t>
  </si>
  <si>
    <t>aline.souza@regentedepolo.uniasselvi.com.br</t>
  </si>
  <si>
    <t>ALINE PEREIRA RIBEIRO</t>
  </si>
  <si>
    <t xml:space="preserve">609|PR - PONTA GROSSA </t>
  </si>
  <si>
    <t>aline_peribeiro@hotmail.com</t>
  </si>
  <si>
    <t>ALLAN KARDEC DE ARAUJO</t>
  </si>
  <si>
    <t>Brasil - São Gonçalo do Amarante/CE (Brasileira)</t>
  </si>
  <si>
    <t xml:space="preserve">101|CE - ITAPIPOCA                     </t>
  </si>
  <si>
    <t>allan.araujo@regentedepolo.uniasselvi.com.br</t>
  </si>
  <si>
    <t>ALLINE LAM ORUE</t>
  </si>
  <si>
    <t>Transtorno do Espectro do Autista</t>
  </si>
  <si>
    <t>Brasil - Ponta Porã/MS (Brasileira)</t>
  </si>
  <si>
    <t>669|MS - CAMPO GRANDE</t>
  </si>
  <si>
    <t>alline.orue@regente.uniasselvi.com.br</t>
  </si>
  <si>
    <t>ALLYSSON CARTER SILVA BORGES</t>
  </si>
  <si>
    <t>Brasil - Buriti/MA (Brasileira)</t>
  </si>
  <si>
    <t xml:space="preserve">124|MA - CHAPADINHA                    </t>
  </si>
  <si>
    <t>allysson.borges@regentedepolo.uniasselvi.com.br</t>
  </si>
  <si>
    <t>ALZENI DAMASIO SANTOS</t>
  </si>
  <si>
    <t>Brasil - Cuité/PB (Brasileira)</t>
  </si>
  <si>
    <t>Brasil - CUITÉ/PB (brasileira)</t>
  </si>
  <si>
    <t>263|PB - CUITE</t>
  </si>
  <si>
    <t>100168382@tutor.uniasselvi.com.br</t>
  </si>
  <si>
    <t>ALZENIRA ROCHA DE OLIVEIRA JORDAO</t>
  </si>
  <si>
    <t>alzenira.jordao@regentedepolo.uniasselvi.com.br</t>
  </si>
  <si>
    <t>ALZIRA PEREIRA DE SOUZA FERNANDES</t>
  </si>
  <si>
    <t>Brasil - São Domingos/GO (Brasileira)</t>
  </si>
  <si>
    <t>Brasil - SÃO DOMINGOS/GO (brasileira)</t>
  </si>
  <si>
    <t>012|GO - POSSE</t>
  </si>
  <si>
    <t>alzira.fernandes@regentedepolo.uniasselvi.com.br</t>
  </si>
  <si>
    <t>AMANDA AMORIM DE SOUZA</t>
  </si>
  <si>
    <t>010.453.122-31</t>
  </si>
  <si>
    <t>287|AC - RIO BRANCO</t>
  </si>
  <si>
    <t>amandasouzato001@gmail.com</t>
  </si>
  <si>
    <t>AMANDA MESQUITA MAMBRUM PACHECO</t>
  </si>
  <si>
    <t>amanda.pacheco@regentedepolo.uniasselvi.com.br</t>
  </si>
  <si>
    <t>AMANDA SOUZA BARBOSA HOLANDA</t>
  </si>
  <si>
    <t>054.612.743-66</t>
  </si>
  <si>
    <t>Brasil - Acaraú/CE (Brasileira)</t>
  </si>
  <si>
    <t>Brasil - ITAREMA/CE (brasileira)</t>
  </si>
  <si>
    <t>469|CE - ACARAU</t>
  </si>
  <si>
    <t>amanda.holanda@regentedepolo.uniasselvi.com.br</t>
  </si>
  <si>
    <t>AMANDHA MONTENEGRO BARUKI</t>
  </si>
  <si>
    <t>Brasil - Corumbá/MS (Brasileira)</t>
  </si>
  <si>
    <t>Brasil - ACARÁ/PA (brasileira)</t>
  </si>
  <si>
    <t>amandha.baruki@regentedepolo.uniasselvi.com.br</t>
  </si>
  <si>
    <t>AMELIA VENAS FIGUEIREDO ROCHA</t>
  </si>
  <si>
    <t>095|BA - SANTO ESTEVAO</t>
  </si>
  <si>
    <t>amelia.rocha@regentedepolo.uniasselvi.com.br</t>
  </si>
  <si>
    <t>ANA BENEDITA DIAS AQUINO</t>
  </si>
  <si>
    <t>Brasil - Portel/PA (Brasileira)</t>
  </si>
  <si>
    <t>Brasil - PORTEL/PA (brasileira)</t>
  </si>
  <si>
    <t>068|PA - PORTEL</t>
  </si>
  <si>
    <t>ana.aquino@regentedepolo.uniasselvi.com.br</t>
  </si>
  <si>
    <t>ANA CARLA CARNEIRO</t>
  </si>
  <si>
    <t>Brasil - Itarema/CE (Brasileira)</t>
  </si>
  <si>
    <t>ana.carneiro@regentedepolo.uniasselvi.com.br</t>
  </si>
  <si>
    <t>ANA CAROLINA CARVALHO DE MOURA ALBANO</t>
  </si>
  <si>
    <t>MG 10.163.258</t>
  </si>
  <si>
    <t xml:space="preserve">684|MG - VARZEA DA PALMA </t>
  </si>
  <si>
    <t>ana.moura@regentedepolo.uniasselvi.com.br</t>
  </si>
  <si>
    <t>ANA CAROLINA MACIEL</t>
  </si>
  <si>
    <t>Brasil - Videira/SC (Brasileira)</t>
  </si>
  <si>
    <t xml:space="preserve">209|SC - FRAIBURGO                     </t>
  </si>
  <si>
    <t>ana.maciel@regentedepolo.uniasselvi.com.br</t>
  </si>
  <si>
    <t>ANA CAROLINA OLIVEIRA PINHEIRO</t>
  </si>
  <si>
    <t>018|PA - CAMETA</t>
  </si>
  <si>
    <t>ana.pinheiro@regentedepolo.uniasselvi.com.br</t>
  </si>
  <si>
    <t>ANA CAROLINE DE ASSIS COSTA</t>
  </si>
  <si>
    <t>Brasil - Santa Luzia/MA (Brasileira)</t>
  </si>
  <si>
    <t xml:space="preserve">121|GO - SENADOR CANEDO                </t>
  </si>
  <si>
    <t>ana.costa@regentedepolo.uniasselvi.com.br</t>
  </si>
  <si>
    <t>ANA CLARA SOLON RUFINO</t>
  </si>
  <si>
    <t>Brasil - Benevides/PA (Brasileira)</t>
  </si>
  <si>
    <t>Brasil - BENEVIDES/PA (brasileira)</t>
  </si>
  <si>
    <t>802|PA - BENEVIDES</t>
  </si>
  <si>
    <t>ana.rufino@regentedepolo.uniasselvi.com.br</t>
  </si>
  <si>
    <t>ANA DE PAULA PEREZ</t>
  </si>
  <si>
    <t>Brasil - Curralinho/PA (Brasileira)</t>
  </si>
  <si>
    <t>Brasil - CURRALINHO/PA (brasileira)</t>
  </si>
  <si>
    <t>1097|PA - CURRALINHO</t>
  </si>
  <si>
    <t>ana.perez@regentedepolo.uniasselvi.com.br</t>
  </si>
  <si>
    <t>ANA FLAVIA CHAVES DE SOUZA</t>
  </si>
  <si>
    <t>Brasil - Alenquer/PA (Brasileira)</t>
  </si>
  <si>
    <t>Brasil - ALENQUER/PA (brasileira)</t>
  </si>
  <si>
    <t>784|PA - ALENQUER</t>
  </si>
  <si>
    <t>ANA FLAVIA DE SOUZA MORAES</t>
  </si>
  <si>
    <t>Brasil - CAMETÁ/PA (brasileira)</t>
  </si>
  <si>
    <t>769|PA - MOCAJUBA</t>
  </si>
  <si>
    <t>anaflavia1.moraes@gmail.com</t>
  </si>
  <si>
    <t>ANA GISSELA PORTILLO SANTANA</t>
  </si>
  <si>
    <t>Brasil - CORUMBÁ/MS (brasileira)</t>
  </si>
  <si>
    <t>100125510@tutor.uniasselvi.com.br</t>
  </si>
  <si>
    <t>ANA JANDIRA NASCIMENTO GONCALVES</t>
  </si>
  <si>
    <t>Brasil - Laguna/SC (Brasileira)</t>
  </si>
  <si>
    <t>Brasil - IMBITUBA/SC (brasileira)</t>
  </si>
  <si>
    <t>039|SC - IMBITUBA</t>
  </si>
  <si>
    <t>ana.goncalves@regentedepolo.uniasselvi.com.br</t>
  </si>
  <si>
    <t>ANA KARINA NEVES RIBEIRO</t>
  </si>
  <si>
    <t>Brasil - Bragança/PA (Brasileira)</t>
  </si>
  <si>
    <t>Brasil - BRAGANÇA/PA (brasileira)</t>
  </si>
  <si>
    <t xml:space="preserve">156|PA - BRAGANCA                      </t>
  </si>
  <si>
    <t>ana.ribeiro@regentedepolo.uniasselvi.com.br</t>
  </si>
  <si>
    <t>ANA KARINE FERREIRA BASTOS VIDAL</t>
  </si>
  <si>
    <t>ana.vidal@regentedepolo.uniasselvi.com.br</t>
  </si>
  <si>
    <t>ANA KAROLINE BARBOSA DOS SANTOS</t>
  </si>
  <si>
    <t>009:00</t>
  </si>
  <si>
    <t>002:00</t>
  </si>
  <si>
    <t>Brasil - Capitão Poço/PA (Brasileira)</t>
  </si>
  <si>
    <t>Brasil - CAPITÃO POÇO/PA (brasileira)</t>
  </si>
  <si>
    <t>056|PA - CAPITAO POCO</t>
  </si>
  <si>
    <t>ana.santos@regentedepolo.uniasselvi.com.br</t>
  </si>
  <si>
    <t>ANA MARIA BARBOSA DA SILVA</t>
  </si>
  <si>
    <t>13.302.901-86</t>
  </si>
  <si>
    <t>Brasil - Amargosa/BA (Brasileira)</t>
  </si>
  <si>
    <t>Brasil - AMARGOSA/BA (brasileira)</t>
  </si>
  <si>
    <t>1132|BA - AMARGOSA</t>
  </si>
  <si>
    <t>ana.msilva@regentedepolo.uniasselvi.com.br</t>
  </si>
  <si>
    <t>ANA MARIA GOMES HUMENHUK</t>
  </si>
  <si>
    <t>Brasil - Boqueirão/PB (Brasileira)</t>
  </si>
  <si>
    <t>Brasil - BOQUEIRÃO/PB (brasileira)</t>
  </si>
  <si>
    <t>520|SC - SAO FRANCISCO DO SUL</t>
  </si>
  <si>
    <t>ana.humenhuk@regentedepolo.uniasselvi.com.br</t>
  </si>
  <si>
    <t>ANA PAULA BORGES MENDONCA</t>
  </si>
  <si>
    <t>ana.mendonca@regentedepolo.uniasselvi.com.br</t>
  </si>
  <si>
    <t>ANA PAULA DA SILVA</t>
  </si>
  <si>
    <t>Brasil - São Joaquim do Monte/PE (Brasileira)</t>
  </si>
  <si>
    <t>Brasil - SÃO JOAQUIM DO MONTE/PE (brasileira)</t>
  </si>
  <si>
    <t>259|PE - BONITO (CENTRO)</t>
  </si>
  <si>
    <t>ana.psilva@regentedepolo.uniasselvi.com.br</t>
  </si>
  <si>
    <t>ANA PAULA DE ASSUMPCAO DA SILVA</t>
  </si>
  <si>
    <t>Brasil - Chapadinha/MA (Brasileira)</t>
  </si>
  <si>
    <t>Brasil - CHAPADINHA/MA (brasileira)</t>
  </si>
  <si>
    <t>ana.silva@regentedepolo.uniasselvi.com.br</t>
  </si>
  <si>
    <t>ANA PAULA DE BONA SARTOR</t>
  </si>
  <si>
    <t>044|SC - LAGES</t>
  </si>
  <si>
    <t>ana.sartor@regentedepolo.uniasselvi.com.br</t>
  </si>
  <si>
    <t>ANA PAULA GONCALVES SILVEIRA</t>
  </si>
  <si>
    <t>Apos. Invalidez</t>
  </si>
  <si>
    <t>Brasil - Bagé/RS (Brasileira)</t>
  </si>
  <si>
    <t>Brasil - BAGÉ/RS (brasileira)</t>
  </si>
  <si>
    <t>026|RS - CAPAO DA CANOA</t>
  </si>
  <si>
    <t>68684@tutor.uniasselvi.com.br</t>
  </si>
  <si>
    <t>ANA PAULA MARTINS FLORES</t>
  </si>
  <si>
    <t>032|SC - BLUMENAU (SALTO DO NORTE)</t>
  </si>
  <si>
    <t>ana.flores@regentedepolo.uniasselvi.com.br</t>
  </si>
  <si>
    <t>ANA PAULA SANTOS DE MIRANDA</t>
  </si>
  <si>
    <t>08.907.087-97</t>
  </si>
  <si>
    <t>Brasil - SERRINHA/BA (brasileira)</t>
  </si>
  <si>
    <t>096|BA - SERRINHA</t>
  </si>
  <si>
    <t>ana.miranda@regentedepolo.uniasselvi.com.br</t>
  </si>
  <si>
    <t>ANA PAULA SOARES DE ALMEIDA</t>
  </si>
  <si>
    <t>Brasil - Paranavaí/PR (Brasileira)</t>
  </si>
  <si>
    <t>Brasil - PARANAVAÍ/PR (brasileira)</t>
  </si>
  <si>
    <t>023|RO - ROLIM DE MOURA</t>
  </si>
  <si>
    <t>ana.roszak@regentedepolo.uniasselvi.com.br</t>
  </si>
  <si>
    <t>ANA PAULA VIEIRA</t>
  </si>
  <si>
    <t>Brasil - Ipu/CE (Brasileira)</t>
  </si>
  <si>
    <t>Brasil - IPU/CE (brasileira)</t>
  </si>
  <si>
    <t>268|CE - IPU</t>
  </si>
  <si>
    <t>ana.vieira@regentedepolo.uniasselvi.com.br</t>
  </si>
  <si>
    <t>ANA REGINA BOZAN FREITAS</t>
  </si>
  <si>
    <t>Brasil - Pomerode/SC (Brasileira)</t>
  </si>
  <si>
    <t>Brasil - POMERODE/SC (brasileira)</t>
  </si>
  <si>
    <t>261|SC - BLUMENAU (VELHA)</t>
  </si>
  <si>
    <t>ana.freitas@regentedepolo.uniasselvi.com.br</t>
  </si>
  <si>
    <t>ANA RUFINA DE ARAUJO</t>
  </si>
  <si>
    <t>152|PA - ANANINDEUA (CENTRO)</t>
  </si>
  <si>
    <t>ana.araujo@regentedepolo.uniasselvi.com.br</t>
  </si>
  <si>
    <t>ANANDA CRISTINA SILVA</t>
  </si>
  <si>
    <t>MG 14.934.738</t>
  </si>
  <si>
    <t>ananda.silva@regentedepolo.uniasselvi.com.br</t>
  </si>
  <si>
    <t>ANDERSON ANDRADE DA ROSA</t>
  </si>
  <si>
    <t>Brasil - ALEGRETE/RS (brasileira)</t>
  </si>
  <si>
    <t>183|RS - ALEGRETE</t>
  </si>
  <si>
    <t>100148059@tutor.uniasselvi.com.br</t>
  </si>
  <si>
    <t>ANDERSON DA SILVA RODRIGUES</t>
  </si>
  <si>
    <t>anderson.rodrigues@regentedepolo.uniasselvi.com.br</t>
  </si>
  <si>
    <t>ANDERSON DE FRANCA EVANGELISTA</t>
  </si>
  <si>
    <t>Brasil - Natal/RN (Brasileira)</t>
  </si>
  <si>
    <t>Brasil - NATAL/RN (brasileira)</t>
  </si>
  <si>
    <t>668|RN - NATAL (ZONA SUL)</t>
  </si>
  <si>
    <t>anderson.evangelista@regentedepolo.uniasselvi.com.br</t>
  </si>
  <si>
    <t>ANDERSON FABIANO RECH</t>
  </si>
  <si>
    <t>Brasil - CAXIAS DO SUL/RS (Brasileira)</t>
  </si>
  <si>
    <t>Brasil - CAXIAS DO SUL/RS (brasileira)</t>
  </si>
  <si>
    <t>038|SC - HERVAL D OESTE</t>
  </si>
  <si>
    <t>anderson.rech@regentedepolo.uniasselvi.com.br</t>
  </si>
  <si>
    <t>ANDERSON FERREIRA</t>
  </si>
  <si>
    <t>Brasil - Cláudia/MT (Brasileira)</t>
  </si>
  <si>
    <t>Brasil - CLÁUDIA/MT (brasileira)</t>
  </si>
  <si>
    <t xml:space="preserve">149|MT - SINOP                         </t>
  </si>
  <si>
    <t>anderson.ferreira@regentedepolo.uniasselvi.com.br</t>
  </si>
  <si>
    <t>ANDERSON QUEIROZ SANTOS</t>
  </si>
  <si>
    <t>08.780.904-44</t>
  </si>
  <si>
    <t>Brasil - Gandu/BA (Brasileira)</t>
  </si>
  <si>
    <t>Brasil - GANDU/BA (brasileira)</t>
  </si>
  <si>
    <t>290|BA - GANDU</t>
  </si>
  <si>
    <t>anderson.santos@regentedepolo.uniasselvi.com.br</t>
  </si>
  <si>
    <t>ANDRE GOMES</t>
  </si>
  <si>
    <t>Brasil - Itapejara D'Oeste/PR (Brasileira)</t>
  </si>
  <si>
    <t>Brasil - ITAPEJARA D'OESTE/PR (brasileira)</t>
  </si>
  <si>
    <t xml:space="preserve">657|PR - PATO BRANCO </t>
  </si>
  <si>
    <t>100168828@tutor.uniasselvi.com.br</t>
  </si>
  <si>
    <t>ANDRE LUIS PEREIRA FARIAS</t>
  </si>
  <si>
    <t>andre.farias@regentedepolo.uniasselvi.com.br</t>
  </si>
  <si>
    <t>ANDRE LUIZ DE BARROS</t>
  </si>
  <si>
    <t>100101952@tutor.uniasselvi.com.br</t>
  </si>
  <si>
    <t>ANDRE MARLISSON MOTA FERREIRA</t>
  </si>
  <si>
    <t>andre.ferreira@regentedepolo.uniasselvi.com.br</t>
  </si>
  <si>
    <t>ANDREA BERNARD PEREIRA</t>
  </si>
  <si>
    <t>089|BA - FEIRA DE SANTANA (CIDADE NOVA)</t>
  </si>
  <si>
    <t>andrea.pereira@regentedepolo.uniasselvi.com.br</t>
  </si>
  <si>
    <t>ANDREA DAS NEVES</t>
  </si>
  <si>
    <t>Brasil - ITAJAI/SC (Brasileira)</t>
  </si>
  <si>
    <t>394|SC - CAMBORIU</t>
  </si>
  <si>
    <t>andrea.neves@regentedepolo.uniasselvi.com.br</t>
  </si>
  <si>
    <t>ANDREA DOS SANTOS LEITE OLIVEIRA</t>
  </si>
  <si>
    <t>andrea.oliveira@regentedepolo.uniasselvi.com.br</t>
  </si>
  <si>
    <t>ANDREA LUCIANA RUFFEIL MELO E SILVA</t>
  </si>
  <si>
    <t>324|PA - BELEM (NAZARE)</t>
  </si>
  <si>
    <t>andrea.silva@regentedepolo.uniasselvi.com.br</t>
  </si>
  <si>
    <t>ANDREA OLIVEIRA DE SOUZA</t>
  </si>
  <si>
    <t>688|SC - JOINVILLE (SAGUACU)</t>
  </si>
  <si>
    <t>andrea.souza@regentedepolo.uniasselvi.com.br</t>
  </si>
  <si>
    <t>ANDREA WITT</t>
  </si>
  <si>
    <t>Brasil - Capão da Canoa/RS (Brasileira)</t>
  </si>
  <si>
    <t>andrea.witt@regentedepolo.uniasselvi.com.br</t>
  </si>
  <si>
    <t>ANDREIA BASILIO DA SILVA MATOS</t>
  </si>
  <si>
    <t>andreia.matos@regentedepolo.uniasselvi.com.br</t>
  </si>
  <si>
    <t>ANDREIA LOURENCO DA SILVA</t>
  </si>
  <si>
    <t>Brasil - Cacoal/RO (Brasileira)</t>
  </si>
  <si>
    <t>073|SC - SAO JOSE</t>
  </si>
  <si>
    <t>100167577@tutor.uniasselvi.com.br</t>
  </si>
  <si>
    <t>ANDREIA MARIA LIBERALESSO</t>
  </si>
  <si>
    <t>Brasil - VICENTE DUTRA/RS (brasileira)</t>
  </si>
  <si>
    <t>063|RS - NOVO HAMBURGO</t>
  </si>
  <si>
    <t>andreia.liberalesso@regentedepolo.uniasselvi.com.br</t>
  </si>
  <si>
    <t>ANDREIA MOREIRA DA SILVA</t>
  </si>
  <si>
    <t>Brasil - Santaluz/BA (Brasileira)</t>
  </si>
  <si>
    <t>586|BA - SANTA LUZ</t>
  </si>
  <si>
    <t>andreia.silva@regentedepolo.uniasselvi.com.br</t>
  </si>
  <si>
    <t>ANDRESSA ALENCAR DOS SANTOS DE ASSIS</t>
  </si>
  <si>
    <t>andressa.assis@regentedepolo.uniasselvi.com.br</t>
  </si>
  <si>
    <t>ANDRESSA CIMADON</t>
  </si>
  <si>
    <t>Brasil - Mondaí/SC (Brasileira)</t>
  </si>
  <si>
    <t>andressa.simadon@regentedepolo.uniasselvi.com.br</t>
  </si>
  <si>
    <t>ANDRESSA CRUZ DA SILVA PALUDO</t>
  </si>
  <si>
    <t>041.318.599-04</t>
  </si>
  <si>
    <t xml:space="preserve">207|SC - CONCORDIA                     </t>
  </si>
  <si>
    <t>andressa.paludo@regentedepolo.uniasselvi.com.br</t>
  </si>
  <si>
    <t>ANDREZA OLIVEIRA DA SILVA</t>
  </si>
  <si>
    <t>Brasil - Coari/AM (Brasileira)</t>
  </si>
  <si>
    <t>435|AM - COARI</t>
  </si>
  <si>
    <t>andreza.silva@regentedepolo.uniasselvi.com.br</t>
  </si>
  <si>
    <t>ANE FERNANDA HOFFMANN</t>
  </si>
  <si>
    <t>Brasil - Ituporanga/SC (Brasileira)</t>
  </si>
  <si>
    <t>Brasil - ITUPORANGA/SC (brasileira)</t>
  </si>
  <si>
    <t>042|SC - ITUPORANGA</t>
  </si>
  <si>
    <t>ane.hoffmann@regentedepolo.uniasselvi.com.br</t>
  </si>
  <si>
    <t>ANELISE REHN</t>
  </si>
  <si>
    <t>Brasil - Três de Maio/RS (Brasileira)</t>
  </si>
  <si>
    <t>Brasil - TRÊS DE MAIO/RS (brasileira)</t>
  </si>
  <si>
    <t>anelise.rehn@regentedepolo.uniasselvi.com.br</t>
  </si>
  <si>
    <t>ANELISE ROSSETTI PEDACK</t>
  </si>
  <si>
    <t>Brasil - JOINVILLE/SC (brasileira)</t>
  </si>
  <si>
    <t>072|SC - SAO BENTO DO SUL</t>
  </si>
  <si>
    <t>anelise.pedack@regentedepolo.uniasselvi.com.br</t>
  </si>
  <si>
    <t>ANGELA ANSILIERO</t>
  </si>
  <si>
    <t>Brasil - VIDEIRA/SC (brasileira)</t>
  </si>
  <si>
    <t>angela.ansiliero@regentedepolo.uniasselvi.com.br</t>
  </si>
  <si>
    <t>ANGELA MARIA MACHADO FERREIRA</t>
  </si>
  <si>
    <t>Brasil - SANTIAGO/RS (brasileira)</t>
  </si>
  <si>
    <t>571|RS - SANTIAGO</t>
  </si>
  <si>
    <t>angela.ferreira@regentedepolo.uniasselvi.com.br</t>
  </si>
  <si>
    <t>ANGELICA DA SILVA CARVALHO</t>
  </si>
  <si>
    <t>Brasil - Curitibanos/SC (Brasileira)</t>
  </si>
  <si>
    <t>280|SC - CURITIBANOS</t>
  </si>
  <si>
    <t>100106592@tutor.uniasselvi.com.br</t>
  </si>
  <si>
    <t>ANGELINA AVANCO DA SILVA</t>
  </si>
  <si>
    <t>Brasil - Araras/SP (Brasileira)</t>
  </si>
  <si>
    <t>529|SP - CAMPINAS</t>
  </si>
  <si>
    <t>angelina.silva@regentedepolo.uniasselvi.com.br</t>
  </si>
  <si>
    <t>ANNA KAROLYNA MONTEIRO SILVA</t>
  </si>
  <si>
    <t>613|GO - GOIANIA (CENTRO)</t>
  </si>
  <si>
    <t>anna.silva@regentedepolo.uniasselvi.com.br</t>
  </si>
  <si>
    <t>ANNELISE DO VALE PEREIRA DE OLIVEIRA CAMPOS</t>
  </si>
  <si>
    <t>Brasil - SÃO JOSÉ/SC (brasileira)</t>
  </si>
  <si>
    <t>045|SC - PALHOCA</t>
  </si>
  <si>
    <t>annelise.campos@regentedepolo.uniasselvi.com.br</t>
  </si>
  <si>
    <t>ANSELMO ANTONIO RODRIGUES</t>
  </si>
  <si>
    <t>Brasil - Ipameri/GO (Brasileira)</t>
  </si>
  <si>
    <t xml:space="preserve">115|GO - CATALAO                       </t>
  </si>
  <si>
    <t>anselmo.rodrigues@regentedepolo.uniasselvi.com.br</t>
  </si>
  <si>
    <t>ANTONIA REJANE COSTA VERAS SILVEIRA</t>
  </si>
  <si>
    <t>Brasil - Bom Jardim/MA (Brasileira)</t>
  </si>
  <si>
    <t>Brasil - BOM JARDIM/MA (brasileira)</t>
  </si>
  <si>
    <t>825|MA - SANTA LUZIA</t>
  </si>
  <si>
    <t>antonia.veras@regentedepolo.uniasselvi.com.br</t>
  </si>
  <si>
    <t>ANTONIETA CAROLINA RAMOS ANDRADE GRAUPE</t>
  </si>
  <si>
    <t>Brasil - Londrina/PR (Brasileira)</t>
  </si>
  <si>
    <t>Brasil - LONDRINA/PR (brasileira)</t>
  </si>
  <si>
    <t>ANTONIO EUGENIO BARROS FILHO DOS SANTOS</t>
  </si>
  <si>
    <t>Brasil - MARABÁ/PA (brasileira)</t>
  </si>
  <si>
    <t>328|PA - MARABA (FOLHA 31)</t>
  </si>
  <si>
    <t>100117571@tutor.uniasselvi.com.br</t>
  </si>
  <si>
    <t>ANTONIO FERNANDO CARNEIRO FILHO</t>
  </si>
  <si>
    <t>100100232@tutor.uniasselvi.com.br</t>
  </si>
  <si>
    <t>ANTONIO FRANCISCO CARVALHO FREITAS ALBUQUERQUE</t>
  </si>
  <si>
    <t>411|CE - GUARACIABA DO NORTE</t>
  </si>
  <si>
    <t>100189064@tutor.uniasselvi.com.br</t>
  </si>
  <si>
    <t>ANTONIO JONAS DE SOUSA MEDEIROS</t>
  </si>
  <si>
    <t>509|CE - IPUEIRAS</t>
  </si>
  <si>
    <t>antonio.medeiros@regentedepolo.uniasselvi.com.br</t>
  </si>
  <si>
    <t>ANTONIO LEONARDO REZENDE CRUZ</t>
  </si>
  <si>
    <t>Brasil - Jequié/BA (Brasileira)</t>
  </si>
  <si>
    <t>Brasil - JEQUIÉ/BA (brasileira)</t>
  </si>
  <si>
    <t>090|BA - JEQUIE</t>
  </si>
  <si>
    <t>antonio.cruz@regentedepolo.uniasselvi.com.br</t>
  </si>
  <si>
    <t>ANTONIO RONDINELLY DE OLIVEIRA SOUZA</t>
  </si>
  <si>
    <t>Brasil - FORTALEZA/CE (brasileira)</t>
  </si>
  <si>
    <t>507|CE - FORTALEZA</t>
  </si>
  <si>
    <t>100119008@tutor.uniasselvi.com.br</t>
  </si>
  <si>
    <t>ANTONIO RONNYS FERREIRA DE AZEVEDO</t>
  </si>
  <si>
    <t>Brasil - Maranguape/CE (Brasileira)</t>
  </si>
  <si>
    <t>099|CE - CAUCAIA</t>
  </si>
  <si>
    <t>antonio.azevedo@regentedepolo.uniasselvi.com.br</t>
  </si>
  <si>
    <t>ANTONIO SALESIO COSTA</t>
  </si>
  <si>
    <t>Brasil - WITMARSUM/SC (Brasileira)</t>
  </si>
  <si>
    <t>Brasil - WITMARSUM/SC (brasileira)</t>
  </si>
  <si>
    <t>antonio.costa@regentedepolo.uniasselvi.com.br</t>
  </si>
  <si>
    <t>ANTONIO SERGIO SOUZA FERREIRA</t>
  </si>
  <si>
    <t>antonio.ferreira@regentedepolo.uniasselvi.com.br</t>
  </si>
  <si>
    <t>ARETUZA COSTA DA SILVA</t>
  </si>
  <si>
    <t>001|AM - MANAUS (CHAPADA)</t>
  </si>
  <si>
    <t>64916@tutor.uniasselvi.com.br</t>
  </si>
  <si>
    <t>ARIADNY ALESSANDRA GOMES DA SILVA</t>
  </si>
  <si>
    <t>ariadny.silva@regentedepolo.uniasselvi.com.br</t>
  </si>
  <si>
    <t>ARIANE LUZ AQUINO</t>
  </si>
  <si>
    <t>Brasil - ITABUNA/BA (brasileira)</t>
  </si>
  <si>
    <t>004|BA - ITABUNA</t>
  </si>
  <si>
    <t>ariane.aquino@regentedepolo.uniasselvi.com.br</t>
  </si>
  <si>
    <t>ARILTON DE PIERI CARDOZO JUNIOR</t>
  </si>
  <si>
    <t>arilton.junior@regentedepolo.uniasselvi.com.br</t>
  </si>
  <si>
    <t>ARISNEI RIBEIRO DIAS</t>
  </si>
  <si>
    <t>arisnei.dias@regentedepolo.uniasselvi.com.br</t>
  </si>
  <si>
    <t>ARLETE DO NASCIMENTO ROCHA</t>
  </si>
  <si>
    <t>Brasil - Boa Vista do Tupim/BA (Brasileira)</t>
  </si>
  <si>
    <t>Brasil - BOA VISTA DO TUPIM/BA (brasileira)</t>
  </si>
  <si>
    <t>293|BA - ITABERABA</t>
  </si>
  <si>
    <t>100168904@tutor.uniasselvi.com.br</t>
  </si>
  <si>
    <t>ARLINDO MORATO DA SILVA VEIGA</t>
  </si>
  <si>
    <t>043|SC - JOINVILLE (SAGUACU - AUPEX)</t>
  </si>
  <si>
    <t>arlindo.veiga@regentedepolo.uniasselvi.com.br</t>
  </si>
  <si>
    <t>AURELINA FERNANDA DE ANDRADE MORAIS</t>
  </si>
  <si>
    <t>13994546-68</t>
  </si>
  <si>
    <t>006|BA - PAULO AFONSO</t>
  </si>
  <si>
    <t>aurelina.morais@regentedepolo.uniasselvi.com.br</t>
  </si>
  <si>
    <t>AURILENE LUCAS SERRAO CASTILHO</t>
  </si>
  <si>
    <t>2998756-3</t>
  </si>
  <si>
    <t>Brasil - Monte Alegre/PA (Brasileira)</t>
  </si>
  <si>
    <t>Brasil - MONTE ALEGRE/PA (brasileira)</t>
  </si>
  <si>
    <t>994|PA - MONTE ALEGRE</t>
  </si>
  <si>
    <t>aurilene.castilho@regentedepolo.uniasselvi.com.br</t>
  </si>
  <si>
    <t>AVNER ANDERSON BEZERRA GOMES</t>
  </si>
  <si>
    <t>avner.gomes@regentedepolo.uniasselvi.com.br</t>
  </si>
  <si>
    <t>BARBARA BEATRIZ DA COSTA KRICK</t>
  </si>
  <si>
    <t>269|RJ - ITAGUAI</t>
  </si>
  <si>
    <t>barbara.krick@regentedepolo.uniasselvi.com.br</t>
  </si>
  <si>
    <t>BARBARA THAIS OLIVEIRA LOPES</t>
  </si>
  <si>
    <t>Brasil - Formosa/GO (Brasileira)</t>
  </si>
  <si>
    <t>444|GO - FORMOSA</t>
  </si>
  <si>
    <t>barbara.lopes@regentedepolo.uniasselvi.com.br</t>
  </si>
  <si>
    <t>BEATRIZ DA FRANCA DE SOUZA</t>
  </si>
  <si>
    <t>Brasil - Itaberaba/BA (Brasileira)</t>
  </si>
  <si>
    <t>beatriz.souza@regentedepolo.uniasselvi.com.br</t>
  </si>
  <si>
    <t>BEATRIZ DINIZ DIAS MIRANDA</t>
  </si>
  <si>
    <t>Brasil - CAMBORIÚ/SC (brasileira)</t>
  </si>
  <si>
    <t xml:space="preserve">227|SC - CAMBORIU </t>
  </si>
  <si>
    <t>beatriz.miranda@regentedepolo.uniasselvi.com.br</t>
  </si>
  <si>
    <t>BEATRIZ RODRIGUES PEIXOTO</t>
  </si>
  <si>
    <t xml:space="preserve">3390454 SESP - </t>
  </si>
  <si>
    <t xml:space="preserve">182|RR - BOA VISTA                     </t>
  </si>
  <si>
    <t>beatriz.peixoto@regentedepolo.uniasselvi.com.br</t>
  </si>
  <si>
    <t>BENEDITA ELENICE PINTO SILVA</t>
  </si>
  <si>
    <t>Brasil - Ipueiras/CE (Brasileira)</t>
  </si>
  <si>
    <t>Brasil - IPUEIRAS/CE (brasileira)</t>
  </si>
  <si>
    <t>379|CE - IPUEIRAS</t>
  </si>
  <si>
    <t>benedita.silva@regentedepolo.uniasselvi.com.br</t>
  </si>
  <si>
    <t>BERNARDO ELIZANDRO DA SILVA JUNIOR</t>
  </si>
  <si>
    <t>Brasil - Paulo Lopes/SC (Brasileira)</t>
  </si>
  <si>
    <t>036|SC - FLORIANOPOLIS (CENTRO)</t>
  </si>
  <si>
    <t>bernardo.junior@regentedepolo.uniasselvi.com.br</t>
  </si>
  <si>
    <t>BIANCA DO PARTO DO NASCIMENTO FERREIRA</t>
  </si>
  <si>
    <t>Brasil - BELÉM/PB (brasileira)</t>
  </si>
  <si>
    <t>bianca.ferreira@regentedepolo.uniasselvi.com.br</t>
  </si>
  <si>
    <t>BIANCA FERASSO</t>
  </si>
  <si>
    <t>Brasil - Monte Negro/RO (Brasileira)</t>
  </si>
  <si>
    <t>532|MT - TANGARA DA SERRA</t>
  </si>
  <si>
    <t>bia_ferasso@outlook.com</t>
  </si>
  <si>
    <t>BRENDHEL HENRIQUE ALBUQUERQUE CHAVES</t>
  </si>
  <si>
    <t>Brasil - Belo Jardim/PE (Brasileira)</t>
  </si>
  <si>
    <t>Brasil - BELO JARDIM/PE (brasileira)</t>
  </si>
  <si>
    <t xml:space="preserve">164|PE - BELO JARDIM                   </t>
  </si>
  <si>
    <t>brendhel.chaves@regentedepolo.uniasselvi.com.br</t>
  </si>
  <si>
    <t>BRENO CAIQUE BAIONI DO CARMO</t>
  </si>
  <si>
    <t>Brasil - Mirassol D'Oeste/MT (Brasileira)</t>
  </si>
  <si>
    <t xml:space="preserve">602|MT - PONTES E LACERDA </t>
  </si>
  <si>
    <t>breno.carmo@regentedepolo.uniasselvi.com.br</t>
  </si>
  <si>
    <t>BRUNA DE OLIVEIRA LAZZARIN</t>
  </si>
  <si>
    <t>035|SC - CRICIUMA</t>
  </si>
  <si>
    <t>bruna.lazzarin@regentedepolo.uniasselvi.com.br</t>
  </si>
  <si>
    <t>BRUNA FISCHER DE SIQUEIRA DA SILVA</t>
  </si>
  <si>
    <t>Brasil - Campo Bom/RS (Brasileira)</t>
  </si>
  <si>
    <t>Brasil - CAMPO BOM/RS (brasileira)</t>
  </si>
  <si>
    <t>368|SC - SAO JOAO BATISTA</t>
  </si>
  <si>
    <t>bruna.silva@regentedepolo.uniasselvi.com.br</t>
  </si>
  <si>
    <t>BRUNA HELEN SILVA HERCULANO</t>
  </si>
  <si>
    <t>Brasil - Araci/BA (Brasileira)</t>
  </si>
  <si>
    <t>Brasil - ARACI/BA (brasileira)</t>
  </si>
  <si>
    <t>bruna.herculano@regentedepolo.uniasselvi.com.br</t>
  </si>
  <si>
    <t>BRUNA KAUYNE PEREIRA PLACK</t>
  </si>
  <si>
    <t>100165334@tutor.uniasselvi.com.br</t>
  </si>
  <si>
    <t>BRUNA LORENA DA SILVA REIS</t>
  </si>
  <si>
    <t>Brasil - Canto Do Buriti/PI (Brasileira)</t>
  </si>
  <si>
    <t>868|PI - CANTO DO BURITI</t>
  </si>
  <si>
    <t>bruna.reis@regentedepolo.uniasselvi.com.br</t>
  </si>
  <si>
    <t>BRUNA MARIA BARANCELLI ALVES</t>
  </si>
  <si>
    <t>Brasil - Maximiliano de Almeida/RS (Brasileira)</t>
  </si>
  <si>
    <t>Brasil - MAXIMILIANO DE ALMEIDA/RS (brasileira)</t>
  </si>
  <si>
    <t>bruna.alves@regentedepolo.uniasselvi.com.br</t>
  </si>
  <si>
    <t>BRUNO CAVICHIOLI</t>
  </si>
  <si>
    <t>bruno.cavichioli@regentedepolo.uniasselvi.com.br</t>
  </si>
  <si>
    <t>BRUNO COSTA COELHO</t>
  </si>
  <si>
    <t>Brasil - LAGES/SC (brasileira)</t>
  </si>
  <si>
    <t>bruno.coelho@regentedepolo.uniasselvi.com.br</t>
  </si>
  <si>
    <t>BRUNO DANILO SILVA E SILVA</t>
  </si>
  <si>
    <t>818|AM - MANAUS (CENTRO)</t>
  </si>
  <si>
    <t>bruno.silva@regentedepolo.uniasselvi.com.br</t>
  </si>
  <si>
    <t>BRUNO DUARTE ALMEIDA</t>
  </si>
  <si>
    <t>Brasil - SALVADOR/BA (brasileira)</t>
  </si>
  <si>
    <t>007|BA - SALVADOR (CAMINHO DAS ARVORES)</t>
  </si>
  <si>
    <t>bruno.almeida@regentedepolo.uniasselvi.com.br</t>
  </si>
  <si>
    <t>BRUNO HENRIQUE MARIANO DE PAULA</t>
  </si>
  <si>
    <t>569|SP - GUARUJA</t>
  </si>
  <si>
    <t>bruno.paula@regentedepolo.uniasselvi.com.br</t>
  </si>
  <si>
    <t>BRUNO HEVERTON LAUREANO DE SOUSA</t>
  </si>
  <si>
    <t>Brasil - MARANGUAPE/CE (brasileira)</t>
  </si>
  <si>
    <t>bruno.sousa@regentedepolo.uniasselvi.com.br</t>
  </si>
  <si>
    <t>BRUNO MOREIRA LIMA</t>
  </si>
  <si>
    <t>Brasil - Dom Pedro/MA (Brasileira)</t>
  </si>
  <si>
    <t>526|MA - BOM JESUS DAS SELVAS</t>
  </si>
  <si>
    <t>BRUNO SANTANA FERNANDES</t>
  </si>
  <si>
    <t>bruno.fernandes@regentedepolo.uniasselvi.com.br</t>
  </si>
  <si>
    <t>CAIO DE ALMEIDA SOUZA ALVES</t>
  </si>
  <si>
    <t>caio.alves@regentedepolo.uniasselvi.com.br</t>
  </si>
  <si>
    <t>CAMILA ALEXANDRE DA SILVA LIMA</t>
  </si>
  <si>
    <t>617|CE - BOA VIAGEM</t>
  </si>
  <si>
    <t>camila.lima@regentedepolo.uniasselvi.com.br</t>
  </si>
  <si>
    <t>CAMILA DE SOUZA BERALDI BENEVENUTO DE PAULA</t>
  </si>
  <si>
    <t>779|RJ - DUQUE DE CAIXIAS</t>
  </si>
  <si>
    <t>camila.paula@regentedepolo.uniasselvi.com.br</t>
  </si>
  <si>
    <t>CAMILA GIOVANA RIBEIRO</t>
  </si>
  <si>
    <t>30.516.886-1</t>
  </si>
  <si>
    <t>760|SC - INDAIAL (EXTERNO FLEX)</t>
  </si>
  <si>
    <t>camila.ribeiro@regente.uniasselvi.com.br</t>
  </si>
  <si>
    <t>CAMILA KIRALY SAUTCHUK</t>
  </si>
  <si>
    <t>820|SP - SANTO ANDRE</t>
  </si>
  <si>
    <t>100138506@tutor.uniasselvi.com.br</t>
  </si>
  <si>
    <t>CAMILA PAOLA MORAIS DA SILVA</t>
  </si>
  <si>
    <t>camila.silva@regentedepolo.uniasselvi.com.br</t>
  </si>
  <si>
    <t>CAMILA SERRAO MOTA</t>
  </si>
  <si>
    <t>camilaserraom@gmail.com</t>
  </si>
  <si>
    <t>CAMILA SILVEIRA MARTINS</t>
  </si>
  <si>
    <t>Brasil - Encruzilhada do Sul/RS (Brasileira)</t>
  </si>
  <si>
    <t>Brasil - ENCRUZILHADA DO SUL/RS (brasileira)</t>
  </si>
  <si>
    <t>782|RS - ENCRUZILHADA DO SUL</t>
  </si>
  <si>
    <t>ka.mila.martins@hotmail.com</t>
  </si>
  <si>
    <t>CAMILA TERESA MARTINS DA MOTA</t>
  </si>
  <si>
    <t>610512293-40</t>
  </si>
  <si>
    <t>Brasil - Colinas/MA (Brasileira)</t>
  </si>
  <si>
    <t>1098|MA - COLINAS</t>
  </si>
  <si>
    <t>camila.mota@regentedepolo.uniasselvi.com.br</t>
  </si>
  <si>
    <t>CAMILLA GABRIELA MELO AMPESSAN BRAUN</t>
  </si>
  <si>
    <t>Brasil - São José/SC (Brasileira)</t>
  </si>
  <si>
    <t>337|PR - FRANCISCO BELTRAO</t>
  </si>
  <si>
    <t>100168857@tutor.uniasselvi.com.br</t>
  </si>
  <si>
    <t>CAMILLO RODRIGUES JUNIOR</t>
  </si>
  <si>
    <t>100137028@tutor.uniasselvi.com.br</t>
  </si>
  <si>
    <t>CARINA DA SILVA</t>
  </si>
  <si>
    <t>046|SC - RIO DO SUL</t>
  </si>
  <si>
    <t>carina.silva@regentedepolo.uniasselvi.com.br</t>
  </si>
  <si>
    <t>CARINE HEMKEMEIER</t>
  </si>
  <si>
    <t>2163996-5</t>
  </si>
  <si>
    <t>Brasil - Alta Floresta/MT (Brasileira)</t>
  </si>
  <si>
    <t>Brasil - ALTA FLORESTA/MT (brasileira)</t>
  </si>
  <si>
    <t>049|MT - ALTA FLORESTA</t>
  </si>
  <si>
    <t>carine.heidrich@regentedepolo.uniasselvi.com.br</t>
  </si>
  <si>
    <t>CARLA BERNARDINA CUSTODIO</t>
  </si>
  <si>
    <t>Brasil - Orós/CE (Brasileira)</t>
  </si>
  <si>
    <t>Brasil - ORÓS/CE (brasileira)</t>
  </si>
  <si>
    <t>788|CE - OROS</t>
  </si>
  <si>
    <t>carla.custodio@regentedepolo.uniasselvi.com.br</t>
  </si>
  <si>
    <t>CARLA BIANCA GONCALVES MUNHOZ</t>
  </si>
  <si>
    <t>4.989.869-8</t>
  </si>
  <si>
    <t>carla.munhoz@regentedepolo.uniasselvi.com.br</t>
  </si>
  <si>
    <t>CARLOS ALBERTO FIGUEIREDO PRADO</t>
  </si>
  <si>
    <t>1092191-5</t>
  </si>
  <si>
    <t>376|MT - CUIABA (CPA)</t>
  </si>
  <si>
    <t>carlos.prado@regentedepolo.uniasselvi.com.br</t>
  </si>
  <si>
    <t>CARLOS ALBERTO PIRES FLORES</t>
  </si>
  <si>
    <t>Brasil - SANT'ANA DO LIVRAMENTO/RS (brasileira)</t>
  </si>
  <si>
    <t>carlos.flores@regentedepolo.uniasselvi.com.br</t>
  </si>
  <si>
    <t>CARLOS ALBERTO VICENSI SIQUEIRA</t>
  </si>
  <si>
    <t>Brasil - PORTO ALEGRE/RS (Brasileira)</t>
  </si>
  <si>
    <t>21500@tutor.uniasselvi.com.br</t>
  </si>
  <si>
    <t>CARLOS ANDRE DE ARAUJO BRAGA</t>
  </si>
  <si>
    <t>Brasil - São Bento Do Una/PE (Brasileira)</t>
  </si>
  <si>
    <t>Brasil - SÃO BENTO DO UNA/PE (brasileira)</t>
  </si>
  <si>
    <t xml:space="preserve">1022|PE - BELO JARDIM (PONTE NOVA) </t>
  </si>
  <si>
    <t>carlos.braga@regentedepolo.uniasselvi.com.br</t>
  </si>
  <si>
    <t>CARLOS EDUARDO DA ROCHA</t>
  </si>
  <si>
    <t>Brasil - Barra Mansa/RJ (Brasileira)</t>
  </si>
  <si>
    <t>Brasil - BARRA MANSA/RJ (brasileira)</t>
  </si>
  <si>
    <t xml:space="preserve">679|RJ - VOLTA REDONDA </t>
  </si>
  <si>
    <t>CARLOS ROBERTO SILVA DE ARAUJO</t>
  </si>
  <si>
    <t>Brasil - BELO HORIZONTE/MG (brasileira)</t>
  </si>
  <si>
    <t>576 |MG - RIBEIRAO DAS NEVES</t>
  </si>
  <si>
    <t>carlos.araujo@regentedepolo.uniasselvi.com.br</t>
  </si>
  <si>
    <t>CAROLAINE SILVA DA SILVA</t>
  </si>
  <si>
    <t>Brasil - MANACAPURU/AM (brasileira)</t>
  </si>
  <si>
    <t>082|AM - MANACAPURU</t>
  </si>
  <si>
    <t>carolaine.silva@regentedepolo.uniasselvi.com.br</t>
  </si>
  <si>
    <t>CAROLINA DA SILVA NOVAKOSKI</t>
  </si>
  <si>
    <t>076|SC - INDAIAL (CORPORATIVO)</t>
  </si>
  <si>
    <t>carolina.novakoski@regentedepolo.uniasselvi.com.br</t>
  </si>
  <si>
    <t>CASSIA FERNANDA ROCHA SOLIDADE</t>
  </si>
  <si>
    <t>Brasil - DOURADOS/MS (brasileira)</t>
  </si>
  <si>
    <t>cassia.solidade@regentedepolo.uniasselvi.com.br</t>
  </si>
  <si>
    <t>CASSIA REGINA COSTA PONTES</t>
  </si>
  <si>
    <t>342|RJ - SAO PEDRO DA ALDEIA</t>
  </si>
  <si>
    <t>cassiarcpontes@gmail.com</t>
  </si>
  <si>
    <t>CASSIANE DOS SANTOS DA SILVA</t>
  </si>
  <si>
    <t>Brasil - Fonte Boa/AM (Brasileira)</t>
  </si>
  <si>
    <t>Brasil - FONTE BOA/AM (brasileira)</t>
  </si>
  <si>
    <t>1073|AM - FONTE BOA</t>
  </si>
  <si>
    <t>cassiane.silva@regentedepolo.uniasselvi.com.br</t>
  </si>
  <si>
    <t>CASSIUS DIMITRIUS RIGOTTI FERRAO</t>
  </si>
  <si>
    <t>Brasil - São Jerônimo/RS (Brasileira)</t>
  </si>
  <si>
    <t>Brasil - SÃO JERÔNIMO/RS (brasileira)</t>
  </si>
  <si>
    <t>cassius.ferrao@regentedepolo.uniasselvi.com.br</t>
  </si>
  <si>
    <t>CECILIA ROCHA DE ALBUQUERQUE</t>
  </si>
  <si>
    <t>102.053.464-80</t>
  </si>
  <si>
    <t>cecilia.albuquerque@regentedepolo.uniasselvi.com.br</t>
  </si>
  <si>
    <t>CEILA MENDONCA ALVES ARAUJO</t>
  </si>
  <si>
    <t>Brasil - Redenção/PA (Brasileira)</t>
  </si>
  <si>
    <t>ceila.araujo@regentedepolo.uniasselvi.com.br</t>
  </si>
  <si>
    <t>CHE NERUDA FERREIRA ROCHA</t>
  </si>
  <si>
    <t>che.rocha@regentedepolo.uniasselvi.com.br</t>
  </si>
  <si>
    <t>CIBELE TELES DA SILVA</t>
  </si>
  <si>
    <t>cibele.silva@regentedepolo.uniasselvi.com.br</t>
  </si>
  <si>
    <t>CIDELSON PINTO DIAS</t>
  </si>
  <si>
    <t>cidelson.dias@regentedepolo.uniasselvi.com.br</t>
  </si>
  <si>
    <t>CINTHIA NEUMANN DE OLIVEIRA JOSENDE</t>
  </si>
  <si>
    <t>cinthia.josende@regentedepolo.uniasselvi.com.br</t>
  </si>
  <si>
    <t>CINTHYA CYBELLE ARAUJO NASCIMENTO</t>
  </si>
  <si>
    <t>484|AL - DELMIRO GOUVEIA</t>
  </si>
  <si>
    <t>cinthya.nascimento@regentedepolo.uniasselvi.com.br</t>
  </si>
  <si>
    <t>CINTHYA RAQUEL FERREIRA ALVES MARTINS</t>
  </si>
  <si>
    <t>Brasil - Águas Belas/PE (Brasileira)</t>
  </si>
  <si>
    <t xml:space="preserve">162|PE - AGUAS BELAS                   </t>
  </si>
  <si>
    <t>cinthya.martins@regentedepolo.uniasselvi.com.br</t>
  </si>
  <si>
    <t>CINTIA DE JESUS FRAGA</t>
  </si>
  <si>
    <t>869.696.505-10</t>
  </si>
  <si>
    <t>cintia.fraga@regentedepolo.uniasselvi.com.br</t>
  </si>
  <si>
    <t>CLADEMIR JOSE FERNANDES DA SILVA</t>
  </si>
  <si>
    <t>Brasil - CURITIBANOS/SC (brasileira)</t>
  </si>
  <si>
    <t>CLARA MARIA LOPES DE CASTRO</t>
  </si>
  <si>
    <t>Brasil - Jaguaretama/CE (Brasileira)</t>
  </si>
  <si>
    <t>Brasil - JAGUARETAMA/CE (brasileira)</t>
  </si>
  <si>
    <t>979|CE - SOLONOPOLE</t>
  </si>
  <si>
    <t>cmlopesfarmaceutica@gmail.com</t>
  </si>
  <si>
    <t>CLAUDETE DA SILVA SCHMIDT</t>
  </si>
  <si>
    <t>221|SC - TAIO</t>
  </si>
  <si>
    <t>claudete.schmidt@regentedepolo.uniasselvi.com.br</t>
  </si>
  <si>
    <t>CLAUDIA CATIUSCIA FREITAS ALMEIDA</t>
  </si>
  <si>
    <t>claudia.freitas@uniasselvi.com.br</t>
  </si>
  <si>
    <t>CLAUDIA DENIZE ALVES MIRANDA</t>
  </si>
  <si>
    <t>claudia.miranda@regentedepolo.uniasselvi.com.br</t>
  </si>
  <si>
    <t>CLAUDIA PATRICIA DA SILVA RIBEIRO MENEZES</t>
  </si>
  <si>
    <t>claudia.menezes@regentedepolo.uniasselvi.com.br</t>
  </si>
  <si>
    <t>CLAUDIA RIBEIRO FERNANDES</t>
  </si>
  <si>
    <t>claudia.fernandes@regentedepolo.uniasselvi.com.br</t>
  </si>
  <si>
    <t>CLAUDINE DE SOUZA OLIVEIRA DOS ANJOS</t>
  </si>
  <si>
    <t>Brasil - ALAGOINHAS/BA (brasileira)</t>
  </si>
  <si>
    <t>002|BA - ALAGOINHAS</t>
  </si>
  <si>
    <t>claudine.anjos@regentedepolo.uniasselvi.com.br</t>
  </si>
  <si>
    <t>CLAUDIO FABRICIO RODRIGUES DUARTE</t>
  </si>
  <si>
    <t>claudio.duarte@regentedepolo.uniasselvi.com.br</t>
  </si>
  <si>
    <t>CLAUMERSON LUIS LEITE ALVES</t>
  </si>
  <si>
    <t>Brasil - Escada/PE (Brasileira)</t>
  </si>
  <si>
    <t>Brasil - CANHOTINHO/PE (brasileira)</t>
  </si>
  <si>
    <t>1024|PE - GARANHUNS (BOA VISTA)</t>
  </si>
  <si>
    <t>claumerson.alves@regentedepolo.uniasselvi.com.br</t>
  </si>
  <si>
    <t>CLEANE MORAES SOUZA</t>
  </si>
  <si>
    <t>cleane.souza@regentedepolo.uniasselvi.com.br</t>
  </si>
  <si>
    <t>CLEOLEINE MARIANO SANTANA</t>
  </si>
  <si>
    <t>cleoleine.santana@regentedepolo.uniasselvi.com.br</t>
  </si>
  <si>
    <t>CLEONICE ALVES DA SILVA</t>
  </si>
  <si>
    <t>Brasil - Correntes/PE (Brasileira)</t>
  </si>
  <si>
    <t>Brasil - CORRENTES/PE (brasileira)</t>
  </si>
  <si>
    <t xml:space="preserve">173|PE - SAO BENTO DO UNA              </t>
  </si>
  <si>
    <t>100147526@tutor.uniasselvi.com.br</t>
  </si>
  <si>
    <t>CRECI LUCIANA DA SILVA</t>
  </si>
  <si>
    <t>creci.silva@regentedepolo.uniasselvi.com.br</t>
  </si>
  <si>
    <t>CRISTIANE ARAUJO CABRAL NIEMEYER</t>
  </si>
  <si>
    <t>Brasil - Osorio/RS (Brasileira)</t>
  </si>
  <si>
    <t>cristiane.niemeyer@regentedepolo.uniasselvi.com.br</t>
  </si>
  <si>
    <t>CRISTIANE BORGES</t>
  </si>
  <si>
    <t xml:space="preserve">202|SC - BIGUACU                       </t>
  </si>
  <si>
    <t>cristiane.augusto@regentedepolo.uniasselvi.com.br</t>
  </si>
  <si>
    <t>CRISTIANE BRAZ DE SOUZA FRANCA</t>
  </si>
  <si>
    <t>058|MT - CUIABA (POCAO)</t>
  </si>
  <si>
    <t>cristiane.franca@regentedepolo.uniasselvi.com.br</t>
  </si>
  <si>
    <t>CRISTIANE COMANDOLLI</t>
  </si>
  <si>
    <t>cristiane.comandolli@regentedepolo.uniasselvi.com.br</t>
  </si>
  <si>
    <t>CRISTIANE DE AVILA LOPES</t>
  </si>
  <si>
    <t>cristiane.lopes@regentedepolo.uniasselvi.com.br</t>
  </si>
  <si>
    <t>CRISTIANE MARIA GOMES TORRES</t>
  </si>
  <si>
    <t>Brasil - Inajá/PE (Brasileira)</t>
  </si>
  <si>
    <t>Brasil - INAJÁ/PE (brasileira)</t>
  </si>
  <si>
    <t>496|PE - INAJA</t>
  </si>
  <si>
    <t>cristiane.torres@regentedepolo.uniasselvi.com.br</t>
  </si>
  <si>
    <t>CRISTIANE MARQUES DE FREITAS LOIOLA</t>
  </si>
  <si>
    <t>Brasil - Santa Helena De Goiás/GO (Brasileira)</t>
  </si>
  <si>
    <t>Brasil - SANTA HELENA DE GOIÁS/GO (brasileira)</t>
  </si>
  <si>
    <t xml:space="preserve">119|GO - RIO VERDE                     </t>
  </si>
  <si>
    <t>cristiane.loiola@regentedepolo.uniasselvi.com.br</t>
  </si>
  <si>
    <t>CRISTIANE MAZZINI VARGAS</t>
  </si>
  <si>
    <t>Brasil - CAMPO GRANDE/MS (Brasileira)</t>
  </si>
  <si>
    <t>cristiane.medeiros@regentedepolo.uniasselvi.com.br</t>
  </si>
  <si>
    <t>CRISTIANE MOREIRA DOS SANTOS</t>
  </si>
  <si>
    <t>cristiane.santos@regentedepolo.uniasselvi.com.br</t>
  </si>
  <si>
    <t>CRISTIANE SCHEIDEGGER LAIA MAIA</t>
  </si>
  <si>
    <t>Brasil - Jacundá/PA (Brasileira)</t>
  </si>
  <si>
    <t>Brasil - JACUNDÁ/PA (brasileira)</t>
  </si>
  <si>
    <t>019|PA - MARABA</t>
  </si>
  <si>
    <t>cristiane.maia@regentedepolo.uniasselvi.com.br</t>
  </si>
  <si>
    <t>CRISTIANI COSTA</t>
  </si>
  <si>
    <t>Brasil - CRICIÚMA/SC (brasileira)</t>
  </si>
  <si>
    <t>27564@tutor.uniasselvi.com.br</t>
  </si>
  <si>
    <t>CRISTIANO AGOSTINHO DE OLIVEIRA</t>
  </si>
  <si>
    <t>Brasil - Clevelândia/PR (Brasileira)</t>
  </si>
  <si>
    <t>cristiano.oliveira@regentedepolo.uniasselvi.com.br</t>
  </si>
  <si>
    <t>CRISTIANO RECH BITENCOURT</t>
  </si>
  <si>
    <t>cristiano.bitencourt@regentedepolo.uniasselvi.com.br</t>
  </si>
  <si>
    <t>CRISTIANY MARCAL ALBUQUERQUE</t>
  </si>
  <si>
    <t>060|CE - FORTALEZA (ALDEOTA)</t>
  </si>
  <si>
    <t>cristiany.albuquerque@regentedepolo.uniasselvi.com.br</t>
  </si>
  <si>
    <t>CRISTINA REUS</t>
  </si>
  <si>
    <t>Brasil - CRICIUMA/SC (Brasileira)</t>
  </si>
  <si>
    <t>Brasil - IÇARA/SC (brasileira)</t>
  </si>
  <si>
    <t>cristina.reus@regentedepolo.uniasselvi.com.br</t>
  </si>
  <si>
    <t>CRISTOVAM CRISPIM DE CARVALHO FILHO</t>
  </si>
  <si>
    <t>cristovam.filho@regentedepolo.uniasselvi.com.br</t>
  </si>
  <si>
    <t>CYNTHYA PAVANELLI OLIVEIRA SILVA</t>
  </si>
  <si>
    <t xml:space="preserve">132|MA - SANTA INES                    </t>
  </si>
  <si>
    <t>cynthya.silva@regentedepolo.uniasselvi.com.br</t>
  </si>
  <si>
    <t>DAIANA GABRIELA LIMA PRANDI</t>
  </si>
  <si>
    <t>daiana.prandi@regentedepolo.uniasselvi.com.br</t>
  </si>
  <si>
    <t>DAIANE MARQUES DA SILVA</t>
  </si>
  <si>
    <t>Brasil - QUIXERAMOBIM/CE (brasileira)</t>
  </si>
  <si>
    <t>704|CE - QUIXERAMOBIM</t>
  </si>
  <si>
    <t>daiane.silva@regentedepolo.uniasselvi.com.br</t>
  </si>
  <si>
    <t>DAIANE RODRIGUES LOPES</t>
  </si>
  <si>
    <t>Brasil - Alvorada/RS (Brasileira)</t>
  </si>
  <si>
    <t>Brasil - ALVORADA/RS (brasileira)</t>
  </si>
  <si>
    <t>348|RS - ALVORADA</t>
  </si>
  <si>
    <t>100106850@tutor.uniasselvi.com.br</t>
  </si>
  <si>
    <t>DAIANE TRAINOTTI</t>
  </si>
  <si>
    <t>Brasil - Timbó/SC (Brasileira)</t>
  </si>
  <si>
    <t>Brasil - TIMBÓ/SC (brasileira)</t>
  </si>
  <si>
    <t>daiane.trainotti@regentedepolo.uniasselvi.com.br</t>
  </si>
  <si>
    <t>DAILAN SANTOS DE OLIVEIRA FEITOSA</t>
  </si>
  <si>
    <t>ATÉ O 5º ANO INCOMPLETO DO ENSINO FUNDAMENTAL</t>
  </si>
  <si>
    <t>Brasil - JACOBINA/BA (brasileira)</t>
  </si>
  <si>
    <t>396|BA - JACOBINA</t>
  </si>
  <si>
    <t>dailan.feitosa@regentedepolo.uniasselvi.com.br</t>
  </si>
  <si>
    <t>DAMIAO AILSON DA SILVA LIMA</t>
  </si>
  <si>
    <t>Brasil - Ipubi/PE (Brasileira)</t>
  </si>
  <si>
    <t>Brasil - SERROLÂNDIA/BA (brasileira)</t>
  </si>
  <si>
    <t>damiao.lima@regentedepolo.uniasselvi.com.br</t>
  </si>
  <si>
    <t>DANIEL AZEREDO DE SOUZA</t>
  </si>
  <si>
    <t>Brasil - CABO FRIO/RJ (brasileira)</t>
  </si>
  <si>
    <t>daniel.souza@regentedepolo.uniasselvi.com.br</t>
  </si>
  <si>
    <t>DANIEL JANHZ MARQUES</t>
  </si>
  <si>
    <t>Brasil - Presidente Getúlio/SC (Brasileira)</t>
  </si>
  <si>
    <t>Brasil - PRESIDENTE GETÚLIO/SC (brasileira)</t>
  </si>
  <si>
    <t>daniel.marques@regentedepolo.uniasselvi.com.br</t>
  </si>
  <si>
    <t>DANIEL RICARDO STARKE</t>
  </si>
  <si>
    <t>daniel.starke@regentedepolo.uniasselvi.com.br</t>
  </si>
  <si>
    <t>DANIELA CIONI RODRIGUES</t>
  </si>
  <si>
    <t>danielacionirodrigues@gmail.com</t>
  </si>
  <si>
    <t>DANIELA ELIAS ALVIM</t>
  </si>
  <si>
    <t>prof.danielalvim@yahoo.com</t>
  </si>
  <si>
    <t>DANIELA FERNANDES RODRIGUES</t>
  </si>
  <si>
    <t>Brasil - Cachoeirinha/RS (Brasileira)</t>
  </si>
  <si>
    <t>Brasil - CACHOEIRINHA/RS (brasileira)</t>
  </si>
  <si>
    <t>daniela.rodrigues@regentedepolo.uniasselvi.com.br</t>
  </si>
  <si>
    <t>DANIELA ROHAN HIRSCHMANN</t>
  </si>
  <si>
    <t>351|RS - CHARQUEADAS</t>
  </si>
  <si>
    <t>daniela.hirschmann@regentedepolo.uniasselvi.com.br</t>
  </si>
  <si>
    <t>DANIELA SCHENKEL</t>
  </si>
  <si>
    <t>Brasil - Taquara/RS (Brasileira)</t>
  </si>
  <si>
    <t>Brasil - TAQUARA/RS (brasileira)</t>
  </si>
  <si>
    <t>419|RS - IGREJINHA</t>
  </si>
  <si>
    <t>daniela.schenkel@regentedepolo.uniasselvi.com.br</t>
  </si>
  <si>
    <t>DANIELI KARINE FRANCA DA SILVA</t>
  </si>
  <si>
    <t>Brasil - Santa Rita/PB (Brasileira)</t>
  </si>
  <si>
    <t>Brasil - SAPÉ/PB (brasileira)</t>
  </si>
  <si>
    <t>264|PB - SAPE</t>
  </si>
  <si>
    <t>danieli.silva@regentedepolo.uniasselvi.com.br</t>
  </si>
  <si>
    <t>DANIELI TAVARES KOEPSEL</t>
  </si>
  <si>
    <t>633|SC - TIMBO</t>
  </si>
  <si>
    <t>danieli.koepsel@regentedepolo.uniasselvi.com.br</t>
  </si>
  <si>
    <t>DANIELLE BARBOSA ROCHA MADUREIRA</t>
  </si>
  <si>
    <t>Brasil - Cachoeiro de Itapemirim/ES (Brasileira)</t>
  </si>
  <si>
    <t xml:space="preserve">675|RJ - ITABORAI </t>
  </si>
  <si>
    <t>danielle.madureira@regentedepolo.uniasselvi.com.br</t>
  </si>
  <si>
    <t>DANIELLE CRISTINA SILVA</t>
  </si>
  <si>
    <t>Brasil - Patrocínio/MG (Brasileira)</t>
  </si>
  <si>
    <t>237|MG - PATROCINIO</t>
  </si>
  <si>
    <t>danielle.silva@regentedepolo.uniasselvi.com.br</t>
  </si>
  <si>
    <t>DANIELLE GOMES DE PAULO</t>
  </si>
  <si>
    <t>danielle.paulo@regentedepolo.uniasselvi.com.br</t>
  </si>
  <si>
    <t>DANIELLY GOMES SILVA SANTORO</t>
  </si>
  <si>
    <t>46495@tutor.uniasselvi.com.br</t>
  </si>
  <si>
    <t>DANILO ALVES PORTO DA SILVA LOPES</t>
  </si>
  <si>
    <t>024.096.681-35</t>
  </si>
  <si>
    <t>Brasil - Canabrava Do Norte/MT (Brasileira)</t>
  </si>
  <si>
    <t>321|MT - LUCAS DO RIO VERDE</t>
  </si>
  <si>
    <t>danillo_sanfa@outlook.com</t>
  </si>
  <si>
    <t>DANYELLE DYANNA LESSA SILVA RODRIGUES</t>
  </si>
  <si>
    <t xml:space="preserve">224|SE - ARACAJU                       </t>
  </si>
  <si>
    <t>100106065@tutor.uniasselvi.com.br</t>
  </si>
  <si>
    <t>DARLENY LUIZA ARAUJO SILVA AMORIM</t>
  </si>
  <si>
    <t>Brasil - Taquaritinga do Norte/PE (Brasileira)</t>
  </si>
  <si>
    <t>Brasil - TAQUARITINGA DO NORTE/PE (brasileira)</t>
  </si>
  <si>
    <t xml:space="preserve">170|PE - LAJEDO                        </t>
  </si>
  <si>
    <t>darleny.amorim@regentedepolo.uniasselvi.com.br</t>
  </si>
  <si>
    <t>DAVID RAFAEL DE FREITAS</t>
  </si>
  <si>
    <t>david.freitas@regentedepolo.uniasselvi.com.br</t>
  </si>
  <si>
    <t>DAYLANA REGIA DE SOUSA DANTAS</t>
  </si>
  <si>
    <t>756|CE - FORTALEZA (AGUANAMBI)</t>
  </si>
  <si>
    <t>daylana.dantas@regentedepolo.uniasselvi.com.br</t>
  </si>
  <si>
    <t>DEAVIDE BARBUENO</t>
  </si>
  <si>
    <t>deavide.barbueno@regentedepolo.uniasselvi.com.br</t>
  </si>
  <si>
    <t>DEBORA CHERFAN GOULART NOGUEIRA</t>
  </si>
  <si>
    <t>10.946.386-9</t>
  </si>
  <si>
    <t>755|RJ - ARARUAMA</t>
  </si>
  <si>
    <t>debora.nogueira@regentedepolo.uniasselvi.com.br</t>
  </si>
  <si>
    <t>DEBORA GREI DO NASCIMENTO</t>
  </si>
  <si>
    <t>Brasil - São Caetano do Sul/SP (Brasileira)</t>
  </si>
  <si>
    <t>Brasil - SÃO CAETANO DO SUL/SP (brasileira)</t>
  </si>
  <si>
    <t>20412@tutor.uniasselvi.com.br</t>
  </si>
  <si>
    <t>DEBORA PEDROSO RIGHI KOHLER</t>
  </si>
  <si>
    <t>069|RS - PORTO ALEGRE (PHOENIX)</t>
  </si>
  <si>
    <t>debora.kohler@regentedepolo.uniasselvi.com.br</t>
  </si>
  <si>
    <t>DEISE DA GLORIA VERLY DOMINGOS</t>
  </si>
  <si>
    <t>deise.domingos@regentedepolo.uniasselvi.com.br</t>
  </si>
  <si>
    <t>DEISE FERREIRA DOS SANTOS</t>
  </si>
  <si>
    <t>deisesantoss@yahoo.com.br</t>
  </si>
  <si>
    <t>DENISE APARECIDA DE ALMEIDA NASCIMENTO</t>
  </si>
  <si>
    <t>Brasil - Itati/RS (Brasileira)</t>
  </si>
  <si>
    <t>denise.nascimento@regentedepolo.uniasselvi.com.br</t>
  </si>
  <si>
    <t>DENISE DA ROCHA IMHOF</t>
  </si>
  <si>
    <t>Brasil - BRUSQUE/SC (Brasileira)</t>
  </si>
  <si>
    <t>denise.imhof@regentedepolo.uniasselvi.com.br</t>
  </si>
  <si>
    <t>DENISE PEREIRA DA SILVA</t>
  </si>
  <si>
    <t>Brasil - SENADOR CANEDO/GO (brasileira)</t>
  </si>
  <si>
    <t>denise.silva@regentedepolo.uniasselvi.com.br</t>
  </si>
  <si>
    <t>DENISE VIANA DA SILVA</t>
  </si>
  <si>
    <t>Brasil - Santo André/SP (Brasileira)</t>
  </si>
  <si>
    <t>Brasil - SANTO ANDRÉ/SP (brasileira)</t>
  </si>
  <si>
    <t>denise.vsilva@regentedepolo.uniasselvi.com.br</t>
  </si>
  <si>
    <t>DENISE VIEIRA BERNARDES</t>
  </si>
  <si>
    <t>denise.bernardes@regentedepolo.uniasselvi.com.br</t>
  </si>
  <si>
    <t>DENNYS AUGUSTO DA FONSECA DOS SANTOS</t>
  </si>
  <si>
    <t>Brasil - Capanema/PA (Brasileira)</t>
  </si>
  <si>
    <t>Brasil - CAPANEMA/PA (brasileira)</t>
  </si>
  <si>
    <t>332|PA - SALINOPOLIS</t>
  </si>
  <si>
    <t>dennys.santos@regentedepolo.uniasselvi.com.br</t>
  </si>
  <si>
    <t>DEYSE NAYARA SILVA PEREIRA</t>
  </si>
  <si>
    <t>deyse.pereira@regentedepolo.uniasselvi.com.br</t>
  </si>
  <si>
    <t>DEYVISON JONATHAN LIRA MARTINS</t>
  </si>
  <si>
    <t>727807-9</t>
  </si>
  <si>
    <t>Brasil - Vigia/PA (Brasileira)</t>
  </si>
  <si>
    <t>333|PA - VIGIA</t>
  </si>
  <si>
    <t>deyvison.martins@regentedepolo.uniasselvi.com.br</t>
  </si>
  <si>
    <t>DIEGO DE OLIVEIRA</t>
  </si>
  <si>
    <t>Brasil - Lajeado/RS (Brasileira)</t>
  </si>
  <si>
    <t>100189557@tutor.uniasselvi.com.br</t>
  </si>
  <si>
    <t>DIEGO DE SOUSA ALVES</t>
  </si>
  <si>
    <t>Brasil - SALVADOR/BA (Brasileira)</t>
  </si>
  <si>
    <t>diego.alves@regentedepolo.uniasselvi.com.br</t>
  </si>
  <si>
    <t>DIEGO FELIPE FERNANDES</t>
  </si>
  <si>
    <t>213|SC - JOINVILLE (IRIRIU)</t>
  </si>
  <si>
    <t>diego.fernandes@regentedepolo.uniasselvi.com.br</t>
  </si>
  <si>
    <t>DIEGO GUILHERME LEMOS CAMINHA</t>
  </si>
  <si>
    <t>diego.caminha@regentedepolo.uniasselvi.com.br</t>
  </si>
  <si>
    <t>DIEGO MATOS MOURA</t>
  </si>
  <si>
    <t>486|CE - SANTA QUITERIA</t>
  </si>
  <si>
    <t>diego.moura@regentedepolo.uniasselvi.com.br</t>
  </si>
  <si>
    <t>DIEGO SILVA DIAS</t>
  </si>
  <si>
    <t>diego.dias@regentedepolo.uniasselvi.com.br</t>
  </si>
  <si>
    <t>DIEGO ZATELLI</t>
  </si>
  <si>
    <t>diego.zatelli@regentedepolo.uniasselvi.com.br</t>
  </si>
  <si>
    <t>DIEICE DE ALMEIDA MACHADO</t>
  </si>
  <si>
    <t>Brasil - Araquari/SC (Brasileira)</t>
  </si>
  <si>
    <t>Brasil - ARAQUARI/SC (brasileira)</t>
  </si>
  <si>
    <t>dieice.machado@regentedepolo.uniasselvi.com.br</t>
  </si>
  <si>
    <t>DILMA REINALDO</t>
  </si>
  <si>
    <t>Brasil - Catu/BA (Brasileira)</t>
  </si>
  <si>
    <t>Brasil - CATU/BA (brasileira)</t>
  </si>
  <si>
    <t>dilma.reinaldo@regentedepolo.uniasselvi.com.br</t>
  </si>
  <si>
    <t>DIMITRE ANUNCIACAO OLIVEIRA</t>
  </si>
  <si>
    <t>dimitre.oliveira@regentedepolo.uniasselvi.com.br</t>
  </si>
  <si>
    <t>DIOGO DE PAULO MARINHO DE MATOS</t>
  </si>
  <si>
    <t>832|RR - SAO LUIZ</t>
  </si>
  <si>
    <t>diogo.matos@regentedepolo.uniasselvi.com.br</t>
  </si>
  <si>
    <t>DIOGO LIMA CORREA</t>
  </si>
  <si>
    <t>331|PA - PARAUAPEBAS</t>
  </si>
  <si>
    <t>diogo.correa@regentedepolo.uniasselvi.com.br</t>
  </si>
  <si>
    <t>DIONE DE AZEVEDO</t>
  </si>
  <si>
    <t>10.418.911-3</t>
  </si>
  <si>
    <t>Brasil - Salto Do Lontra/PR (Brasileira)</t>
  </si>
  <si>
    <t>Brasil - SALTO DO LONTRA/PR (brasileira)</t>
  </si>
  <si>
    <t>452|PR - SAO MATEUS DO SUL</t>
  </si>
  <si>
    <t>dione.azevedo@hotmail.com</t>
  </si>
  <si>
    <t>DJENIFER PEREIRA PEREIRA DOS SANTOS</t>
  </si>
  <si>
    <t>Brasil - Tijucas/SC (Brasileira)</t>
  </si>
  <si>
    <t>763|SC - ITAJAI (SAO JOAO)</t>
  </si>
  <si>
    <t>100183528@tutor.uniasselvi.com.br</t>
  </si>
  <si>
    <t>DOUGLAS DAMIAO ROSA GOMES</t>
  </si>
  <si>
    <t>462|RJ - SAO JOAO DO MERITI</t>
  </si>
  <si>
    <t>douglas.gomes@regentedepolo.uniasselvi.com.br</t>
  </si>
  <si>
    <t>DOUGLAS OLIVEIRA DO NASCIMENTO</t>
  </si>
  <si>
    <t>200.790.318-16</t>
  </si>
  <si>
    <t>douglas.nascimento@regentedepolo.uniasselvi.com.br</t>
  </si>
  <si>
    <t>DOUGLAS WESLEY LIMA SILVA</t>
  </si>
  <si>
    <t>douglas.silva@regentedepolo.uniasselvi.com.br</t>
  </si>
  <si>
    <t>EDELCACIA SILVA</t>
  </si>
  <si>
    <t>Brasil - Nossa Senhora Da Glória/SE (Brasileira)</t>
  </si>
  <si>
    <t>671|SE - NOSSA SENHORA DA GLORIA</t>
  </si>
  <si>
    <t>edelcacia.silva@regentedepolo.uniasselvi.com.br</t>
  </si>
  <si>
    <t>EDER BATISTA DE OLIVEIRA VARJAO</t>
  </si>
  <si>
    <t>325|PA - CANAA DOS CARAJAS</t>
  </si>
  <si>
    <t>100144013@tutor.uniasselvi.com.br</t>
  </si>
  <si>
    <t>EDER LUIS RODRIGUES</t>
  </si>
  <si>
    <t xml:space="preserve">120|GO - SANTO ANTONIO DO DESCOBERTO   </t>
  </si>
  <si>
    <t>eder.rodrigues@regentedepolo.uniasselvi.com.br</t>
  </si>
  <si>
    <t>EDGAR TEOFILO DO ROSARIO NETO</t>
  </si>
  <si>
    <t>432|PA - SANTA IZABEL DO PARA</t>
  </si>
  <si>
    <t>edgar.neto@regentedepolo.uniasselvi.com.br</t>
  </si>
  <si>
    <t>EDICLEI ROSA SANTOS</t>
  </si>
  <si>
    <t>ediclei.santos@regentedepolo.uniasselvi.com.br</t>
  </si>
  <si>
    <t>EDILBERTO DA SILVA LIMA</t>
  </si>
  <si>
    <t>243|PI - PICOS</t>
  </si>
  <si>
    <t>edilberto.lima@regentedepolo.uniasselvi.com.br</t>
  </si>
  <si>
    <t>EDINEIDE DOS SANTOS RODRIGUES</t>
  </si>
  <si>
    <t>Brasil - Barbalha/CE (Brasileira)</t>
  </si>
  <si>
    <t>429|CE - FORTALEZA (MESSEJANA)</t>
  </si>
  <si>
    <t>edineide.rodrigues@regentedepolo.uniasselvi.com.br</t>
  </si>
  <si>
    <t>EDINEY RODRIGUES LEAL</t>
  </si>
  <si>
    <t>34311-83</t>
  </si>
  <si>
    <t>ediney.leal@regentedepolo.uniasselvi.com.br</t>
  </si>
  <si>
    <t>EDJANE DANTAS MARTINS</t>
  </si>
  <si>
    <t>Brasil - Conceição/PB (Brasileira)</t>
  </si>
  <si>
    <t>829|PB - CONCEICAO</t>
  </si>
  <si>
    <t>edjane.martins@regentedepolo.uniasselvi.com.br</t>
  </si>
  <si>
    <t>EDNA MARIA NASCIMENTO SILVA</t>
  </si>
  <si>
    <t>Brasil - Santa Isabel do Pará/PA (Brasileira)</t>
  </si>
  <si>
    <t>edna.silva@regentedepolo.uniasselvi.com.br</t>
  </si>
  <si>
    <t>EDNARDO MAGALHAES MOREIRA</t>
  </si>
  <si>
    <t>2125918-6</t>
  </si>
  <si>
    <t>Deficiência Visual - Cegueira</t>
  </si>
  <si>
    <t xml:space="preserve">150|MT - VARZEA GRANDE                 </t>
  </si>
  <si>
    <t>ednardo.moreira@regentedepolo.uniasselvi.com.br</t>
  </si>
  <si>
    <t>EDSON MORAIS ARAUJO</t>
  </si>
  <si>
    <t>Brasil - LAGUNA/SC (brasileira)</t>
  </si>
  <si>
    <t>edson.araujo@regentedepolo.uniasselvi.com.br</t>
  </si>
  <si>
    <t>EDSON WAGNER BRAGA JUNIOR</t>
  </si>
  <si>
    <t>766|RJ - RIO DE JANEIRO (CAMPO GRANDE)</t>
  </si>
  <si>
    <t>edson.junior@regentedepolo.uniasselvi.com.br</t>
  </si>
  <si>
    <t>EDUARDO FILIPE ROCHA E SILVA</t>
  </si>
  <si>
    <t>eduardofilipe26@gmail.com</t>
  </si>
  <si>
    <t>EDUARDO FRANCISCO DA SILVA BENTO</t>
  </si>
  <si>
    <t>439|MG - BELO HORIZONTE (SHOPPING ESTACAO BH)</t>
  </si>
  <si>
    <t>eduardo.bento@regentedepolo.uniasselvi.com.br</t>
  </si>
  <si>
    <t>EDUARDO HENRIQUE DOS SANTOS CHAVES</t>
  </si>
  <si>
    <t>Brasil - Itaguaí/RJ (Brasileira)</t>
  </si>
  <si>
    <t>799|RJ - RIO DE JANEIRO (SANTA CRUZ)</t>
  </si>
  <si>
    <t>eduardo.chaves@regentedepolo.uniasselvi.com.br</t>
  </si>
  <si>
    <t>EDUARDO HIPPOLYTO LATSCH CHEREM</t>
  </si>
  <si>
    <t>eduardo.cherem@regentedepolo.uniasselvi.com.br</t>
  </si>
  <si>
    <t>EDUARDO OLIVEIRA DOS SANTOS</t>
  </si>
  <si>
    <t>eduardo.santos@regentedepolo.uniasselvi.com.br</t>
  </si>
  <si>
    <t>EDUARDO SCHABATOSKI</t>
  </si>
  <si>
    <t>838|SC - LAGES (GARDEN SHOPPING)</t>
  </si>
  <si>
    <t>eduardo.guidi@regentedepolo.uniasselvi.com.br</t>
  </si>
  <si>
    <t>EDVANIA BISPO RAMOS DA SILVA</t>
  </si>
  <si>
    <t>edvania.silva@regentedepolo.uniasselvi.com.br</t>
  </si>
  <si>
    <t>EDWAR SANTOS SANTANA</t>
  </si>
  <si>
    <t>edwar.santana@regentedepolo.uniasselvi.com.br</t>
  </si>
  <si>
    <t>ELAINE APARECIDA DA COSTA</t>
  </si>
  <si>
    <t>elaine.costa@regentedepolo.uniasselvi.com.br</t>
  </si>
  <si>
    <t>ELAINE CRISTINA BIANCHI DE OLIVEIRA</t>
  </si>
  <si>
    <t>016|MT - COLIDER</t>
  </si>
  <si>
    <t>ELAINE CRISTINA PREDO NOGUEIRA BETTI</t>
  </si>
  <si>
    <t>Brasil - CAMPINAS/SP (brasileira)</t>
  </si>
  <si>
    <t>elaine.betti@regentedepolo.uniasselvi.com.br</t>
  </si>
  <si>
    <t>ELAINE CRISTINA RODRIGUES VOGES</t>
  </si>
  <si>
    <t>Brasil - FLORIANOPOLIS/SC (Brasileira)</t>
  </si>
  <si>
    <t>elaine.voges@regentedepolo.uniasselvi.com.br</t>
  </si>
  <si>
    <t>ELAINE TEREZINHA FARIAS SOARES DE CARVALHO</t>
  </si>
  <si>
    <t>199|RS - VIAMAO</t>
  </si>
  <si>
    <t>elaine.carvalho@regentedepolo.uniasselvi.com.br</t>
  </si>
  <si>
    <t>ELAYNE CRISTINA DE LIMA MOREIRA</t>
  </si>
  <si>
    <t>Brasil - Limoeiro Do Norte/CE (Brasileira)</t>
  </si>
  <si>
    <t>elayne.moreira@regentedepolo.uniasselvi.com.br</t>
  </si>
  <si>
    <t>ELAYNE SOUSA NASCIMENTO DA SILVA</t>
  </si>
  <si>
    <t>040.713.312.01</t>
  </si>
  <si>
    <t>Brasil - Buriticupu/MA (Brasileira)</t>
  </si>
  <si>
    <t>767|MA - BURITICUPU</t>
  </si>
  <si>
    <t>elayne.el.el@gmail.com</t>
  </si>
  <si>
    <t>ELBES ADRIANO DE OLIVEIRA LIMA</t>
  </si>
  <si>
    <t>Brasil - Arcoverde/PE (Brasileira)</t>
  </si>
  <si>
    <t>Brasil - ARCOVERDE/PE (brasileira)</t>
  </si>
  <si>
    <t>1127|PE - ITAIBA</t>
  </si>
  <si>
    <t>elbes.lima@regentedepolo.uniasselvi.com.br</t>
  </si>
  <si>
    <t>ELDENIR TATIANA RODRIGUES DE ALMEIDA</t>
  </si>
  <si>
    <t>1875778-2</t>
  </si>
  <si>
    <t>eldenir.almeida@regentedepolo.uniasselvi.com.br</t>
  </si>
  <si>
    <t>ELENISE MARKS</t>
  </si>
  <si>
    <t>Brasil - SÃO LEOPOLDO/RS (brasileira)</t>
  </si>
  <si>
    <t>416|RS - CAMPO BOM</t>
  </si>
  <si>
    <t>elenise.marks@regentedepolo.uniasselvi.com.br</t>
  </si>
  <si>
    <t>ELIA MARIA SOARES BARROS MENDES</t>
  </si>
  <si>
    <t>Brasil - Porto Franco/MA (Brasileira)</t>
  </si>
  <si>
    <t>eliamendes.professora@gmail.com</t>
  </si>
  <si>
    <t>ELIANA GONCALVES DA FONSECA</t>
  </si>
  <si>
    <t>Brasil - Russas/CE (Brasileira)</t>
  </si>
  <si>
    <t>eliana.fonseca@regentedepolo.uniasselvi.com.br</t>
  </si>
  <si>
    <t>ELIANA LAZARI VIEIRA GONCALVES</t>
  </si>
  <si>
    <t>524|SP - PRAIA GRANDE</t>
  </si>
  <si>
    <t>ELIANA RUIZ MORANDI</t>
  </si>
  <si>
    <t>Brasil - Rolim de Moura/RO (Brasileira)</t>
  </si>
  <si>
    <t>eliana.morandi@regentedepolo.uniasselvi.com.br</t>
  </si>
  <si>
    <t>ELIARA MENDONCA CORREA</t>
  </si>
  <si>
    <t>eliara.correa@regentedepolo.uniasselvi.com.br</t>
  </si>
  <si>
    <t>ELIAS DE SOUZA DA SILVA</t>
  </si>
  <si>
    <t>elias.rdr@hotmail.com</t>
  </si>
  <si>
    <t>ELIAS LIMA DE MORAES</t>
  </si>
  <si>
    <t>100132047@tutor.uniasselvi.com.br</t>
  </si>
  <si>
    <t>ELIDA DAYANNE DA SILVA BRITO</t>
  </si>
  <si>
    <t>elida.brito@regentedepolo.uniasselvi.com.br</t>
  </si>
  <si>
    <t>ELIEGE RODRIGUES CARNEIRO</t>
  </si>
  <si>
    <t>03.786.030-52</t>
  </si>
  <si>
    <t>Brasil - Jitaúna/BA (Brasileira)</t>
  </si>
  <si>
    <t>eliege.carneiro@regentedepolo.uniasselvi.com.br</t>
  </si>
  <si>
    <t>ELIENE MARIA DA SILVA</t>
  </si>
  <si>
    <t>Brasil - Laje/BA (Brasileira)</t>
  </si>
  <si>
    <t>Brasil - LAJE/BA (brasileira)</t>
  </si>
  <si>
    <t>eliene.silva@regentedepolo.uniasselvi.com.br</t>
  </si>
  <si>
    <t>ELISABETE RAFACHO ORTIZ CASSANTA</t>
  </si>
  <si>
    <t>Brasil - Franca/SP (Brasileira)</t>
  </si>
  <si>
    <t>Brasil - FRANCA/SP (brasileira)</t>
  </si>
  <si>
    <t>502|SP - FRANCA</t>
  </si>
  <si>
    <t>elisabete.cassanta@regentedepolo.uniasselvi.com.br</t>
  </si>
  <si>
    <t>ELISANDRA VIEIRA DA SILVA TELES</t>
  </si>
  <si>
    <t>393|MT - ALTA FLORESTA</t>
  </si>
  <si>
    <t>elisandra.silva@regentedepolo.uniasselvi.com.br</t>
  </si>
  <si>
    <t>ELISANGELA BARROS MIRANDA GOMES</t>
  </si>
  <si>
    <t>Brasil - Breves/PA (Brasileira)</t>
  </si>
  <si>
    <t>Brasil - BREVES/PA (brasileira)</t>
  </si>
  <si>
    <t>elisangela.gomes@regentedepolo.uniasselvi.com.br</t>
  </si>
  <si>
    <t>ELISIA MARIA BARABA MARINI</t>
  </si>
  <si>
    <t>Brasil - PARANAÍTA/MT (brasileira)</t>
  </si>
  <si>
    <t>elisia.marini@regentedepolo.uniasselvi.com.br</t>
  </si>
  <si>
    <t>ELITA COSTA BRAVERES</t>
  </si>
  <si>
    <t>Brasil - São Bernardo/MA (Brasileira)</t>
  </si>
  <si>
    <t>992|MA - TUTOIA</t>
  </si>
  <si>
    <t>elita.braveres@regentedepolo.uniasselvi.com.br</t>
  </si>
  <si>
    <t>ELIVANE DE SOUSA BERNALDO DE MENDONCA</t>
  </si>
  <si>
    <t>Brasil - Tailândia/PA (Brasileira)</t>
  </si>
  <si>
    <t>Brasil - TAILÂNDIA/PA (brasileira)</t>
  </si>
  <si>
    <t>elivane.mendonca@regentedepolo.uniasselvi.com.br</t>
  </si>
  <si>
    <t>ELIVELTON BARRETO FARIAS</t>
  </si>
  <si>
    <t>elivelton.farias@regentedepolo.uniasselvi.com.br</t>
  </si>
  <si>
    <t>ELIZIANE MATIAS GOMES</t>
  </si>
  <si>
    <t>Brasil - Tomé-Açu/PA (Brasileira)</t>
  </si>
  <si>
    <t>Brasil - TOMÉ-AÇU/PA (brasileira)</t>
  </si>
  <si>
    <t>074|PA - TOME-ACU</t>
  </si>
  <si>
    <t>eliziane.gomes@regentedepolo.uniasselvi.com.br</t>
  </si>
  <si>
    <t>ELLEN KARINE LOPES ANTUNINO</t>
  </si>
  <si>
    <t>Brasil - LAJEDO/PE (brasileira)</t>
  </si>
  <si>
    <t>ellen.antunino@regentedepolo.uniasselvi.com.br</t>
  </si>
  <si>
    <t>ELLEN MAYDA APARECIDA TEIXEIRA</t>
  </si>
  <si>
    <t>322|MT - NOVA MUTUM</t>
  </si>
  <si>
    <t>ellen.teixeira@regentedepolo.uniasselvi.com.br</t>
  </si>
  <si>
    <t>ELYSSON MIZAEL DE CASTRO</t>
  </si>
  <si>
    <t>elysson.castro@regentedepolo.uniasselvi.com.br</t>
  </si>
  <si>
    <t>ELYZABETH KESSY DE LIMA GOMES</t>
  </si>
  <si>
    <t xml:space="preserve">103|CE - SAO GONCALO DO AMARANTE       </t>
  </si>
  <si>
    <t>elyzabeth.gomes@regentedepolo.uniasselvi.com.br</t>
  </si>
  <si>
    <t>ELZILENE ALVES DA SILVA</t>
  </si>
  <si>
    <t>elzilene.silva@regentedepolo.uniasselvi.com.br</t>
  </si>
  <si>
    <t>EMANUEL ANDRE MANGOLIM</t>
  </si>
  <si>
    <t>Brasil - Francisco Alves/PR (Brasileira)</t>
  </si>
  <si>
    <t>Brasil - FRANCISCO ALVES/PR (brasileira)</t>
  </si>
  <si>
    <t>emanuel.mangolim@regentedepolo.uniasselvi.com.br</t>
  </si>
  <si>
    <t>EMANUELA PAULA DA CRUZ CASTRO QUEIROZ</t>
  </si>
  <si>
    <t>emanuela.queiroz@regentedepolo.uniasselvi.com.br</t>
  </si>
  <si>
    <t>EMILY TAYNA ALVES SIMON</t>
  </si>
  <si>
    <t>Brasil - Tangará da Serra/MT (Brasileira)</t>
  </si>
  <si>
    <t>Brasil - CAMPO NOVO DO PARECIS/MT (brasileira)</t>
  </si>
  <si>
    <t>703|MT - CAMPO NOVO DO PARECIS</t>
  </si>
  <si>
    <t>emily.simon@regentedepolo.uniasselvi.com.br</t>
  </si>
  <si>
    <t>ERALDO ROCHA FILHO</t>
  </si>
  <si>
    <t>eraldo.filho@regentedepolo.uniasselvi.com.br</t>
  </si>
  <si>
    <t>ERICA ALVES OLIVEIRA</t>
  </si>
  <si>
    <t>erica.oliveira@regentedepolo.uniasselvi.com.br</t>
  </si>
  <si>
    <t>ERICK DE CARVALHO ALBUQUERQUE</t>
  </si>
  <si>
    <t>erick.albuquerque@regentedepolo.uniasselvi.com.br</t>
  </si>
  <si>
    <t>ERICLES JARDEL DE SOUZA TELES</t>
  </si>
  <si>
    <t>Brasil - Seabra/BA (Brasileira)</t>
  </si>
  <si>
    <t>568|RJ - RIO DE JANEIRO (CONDE DO BONFIM TIJUCA)</t>
  </si>
  <si>
    <t>ERICO MARTINS DO NASCIMENTO</t>
  </si>
  <si>
    <t>100169526@tutor.uniasselvi.com.br</t>
  </si>
  <si>
    <t>ERIKA MARTINS LEITE</t>
  </si>
  <si>
    <t>Brasil - Miranda/MS (Brasileira)</t>
  </si>
  <si>
    <t xml:space="preserve">644|MS - AQUIDAUANA </t>
  </si>
  <si>
    <t>ERISON TEIXEIRA MOREIRA</t>
  </si>
  <si>
    <t>Brasil - ITAPIPOCA/CE (brasileira)</t>
  </si>
  <si>
    <t>erison.moreira@regentedepolo.uniasselvi.com.br</t>
  </si>
  <si>
    <t>ERISVALDO MELIANO DE CARVALHO</t>
  </si>
  <si>
    <t>Brasil - Pio XII/MA (Brasileira)</t>
  </si>
  <si>
    <t>Brasil - PIO XII/MA (brasileira)</t>
  </si>
  <si>
    <t>702|PA - PARAUAPEBAS</t>
  </si>
  <si>
    <t>erisvaldo.carvalho@regentedepolo.uniasselvi.com.br</t>
  </si>
  <si>
    <t>EUKI MEYA FERREIRA DE MELO</t>
  </si>
  <si>
    <t>Brasil - Capoeiras/PE (Brasileira)</t>
  </si>
  <si>
    <t>Brasil - CAPOEIRAS/PE (brasileira)</t>
  </si>
  <si>
    <t>euki.melo@regentedepolo.uniasselvi.com.br</t>
  </si>
  <si>
    <t>EVANDRO CARLOS GEVAERD</t>
  </si>
  <si>
    <t>evandro.gevaerd@regentedepolo.uniasselvi.com.br</t>
  </si>
  <si>
    <t>EVANY ALVES SANTOS</t>
  </si>
  <si>
    <t>evany.santos@regentedepolo.uniasselvi.com.br</t>
  </si>
  <si>
    <t>EVELLYNI BRITTANY FRANCO DA SILVA FERREIRA</t>
  </si>
  <si>
    <t>Brasil - BARRA DO CORDA/MA (brasileira)</t>
  </si>
  <si>
    <t>evellyni.ferreira@regentedepolo.uniasselvi.com.br</t>
  </si>
  <si>
    <t>EVERALDO COSTA DA SILVA</t>
  </si>
  <si>
    <t>Brasil - Nova Russas/CE (Brasileira)</t>
  </si>
  <si>
    <t>Brasil - NOVA RUSSAS/CE (brasileira)</t>
  </si>
  <si>
    <t>everaldo.silva@regentedepolo.uniasselvi.com.br</t>
  </si>
  <si>
    <t>EVERLAINE ISOLINA CARNEIRO NUNES DE OLIVEIRA LIMA</t>
  </si>
  <si>
    <t>everlaine.lima@regentedepolo.uniasselvi.com.br</t>
  </si>
  <si>
    <t>EVERTON DONAY SPERB</t>
  </si>
  <si>
    <t>everton.sperb@regentedepolo.uniasselvi.com.br</t>
  </si>
  <si>
    <t>EWANDSON CLISMAN MENDONCA CORREA</t>
  </si>
  <si>
    <t>ewandson.correa@regentedepolo.uniasselvi.com.br</t>
  </si>
  <si>
    <t>EWERTON MARINHO DE AGUIAR</t>
  </si>
  <si>
    <t>Brasil - Sapé/PB (Brasileira)</t>
  </si>
  <si>
    <t>ewerton.aguiar@regentedepolo.uniasselvi.com.br</t>
  </si>
  <si>
    <t>FABIANA LAIS ROGISKI</t>
  </si>
  <si>
    <t xml:space="preserve">634|PR - IRATI </t>
  </si>
  <si>
    <t>fabiana.rogiski@regentedepolo.uniasselvi.com.br</t>
  </si>
  <si>
    <t>FABIANA PINHEIRO DE CARVALHO</t>
  </si>
  <si>
    <t>Brasil - Almeirim/PA (Brasileira)</t>
  </si>
  <si>
    <t>Brasil - LARANJAL DO JARI/AP (brasileira)</t>
  </si>
  <si>
    <t>451|AP - LARANJAL DO JARI</t>
  </si>
  <si>
    <t>fabiana.carvalho@regentedepolo.uniasselvi.com.br</t>
  </si>
  <si>
    <t>FABIANA RODRIGUES DE SOUZA</t>
  </si>
  <si>
    <t>6.979.513-7</t>
  </si>
  <si>
    <t>446|PR - CURITIBA (CENTRO)</t>
  </si>
  <si>
    <t>fabiana.souza@regentedepolo.uniasselvi.com.br</t>
  </si>
  <si>
    <t>FABIANE HELLER</t>
  </si>
  <si>
    <t>Brasil - JARAGUÁ DO SUL/SC (brasileira)</t>
  </si>
  <si>
    <t>037|SC - GUARAMIRIM</t>
  </si>
  <si>
    <t>fabiane.heller@regentedepolo.uniasselvi.com.br</t>
  </si>
  <si>
    <t>FABIO JUNIOR DA ROSA</t>
  </si>
  <si>
    <t>FABIO PIRES SOARES</t>
  </si>
  <si>
    <t>Brasil - Belém De São Francisco/PE (Brasileira)</t>
  </si>
  <si>
    <t>Brasil - BELÉM DO SÃO FRANCISCO/PE (brasileira)</t>
  </si>
  <si>
    <t>336|PE - PETROLINA</t>
  </si>
  <si>
    <t>fabio.soares@regentedepolo.uniasselvi.com.br</t>
  </si>
  <si>
    <t>FABIO TOMAZ DE OLIVEIRA</t>
  </si>
  <si>
    <t>001.223-151</t>
  </si>
  <si>
    <t>406|MT - RONDONOPOLIS</t>
  </si>
  <si>
    <t>fabio.oliveira@regentedepolo.uniasselvi.com.br</t>
  </si>
  <si>
    <t>FABIO VINICIUS DE ARAUJO PASSOS</t>
  </si>
  <si>
    <t>768|RJ - RIO DE JANEIRO(COPACABANA)</t>
  </si>
  <si>
    <t>fabio.passos@regentedepolo.uniasselvi.com.br</t>
  </si>
  <si>
    <t>FABRICIA JACINTO</t>
  </si>
  <si>
    <t>Brasil - Itajaí/SC (Brasileira)</t>
  </si>
  <si>
    <t>Brasil - ITAJAÍ/SC (brasileira)</t>
  </si>
  <si>
    <t>fabricia.jacinto@regentedepolo.uniasselvi.com.br</t>
  </si>
  <si>
    <t>FABRICIO CAVALCANTI DE ALBUQUERQUE</t>
  </si>
  <si>
    <t>Brasil - RECIFE/PE (brasileira)</t>
  </si>
  <si>
    <t>448|PE - JABOATAO DOS GUARARAPES</t>
  </si>
  <si>
    <t>fabricio.albuquerque@regentedepolo.uniasselvi.com.br</t>
  </si>
  <si>
    <t>FABRICIO DA SILVA ALMEIDA</t>
  </si>
  <si>
    <t xml:space="preserve">118|GO - PLANALTINA                    </t>
  </si>
  <si>
    <t>fabricio.almeida@regentedepolo.uniasselvi.com.br</t>
  </si>
  <si>
    <t>FABRICIO PAULO DOS SANTOS</t>
  </si>
  <si>
    <t>228|SC - JARAGUA DO SUL</t>
  </si>
  <si>
    <t>fabricio.santos@regentedepolo.uniasselvi.com.br</t>
  </si>
  <si>
    <t>FELIPE FERNANDES</t>
  </si>
  <si>
    <t>Brasil - Caçador/SC (Brasileira)</t>
  </si>
  <si>
    <t xml:space="preserve">222|SC - VIDEIRA                       </t>
  </si>
  <si>
    <t>felipe.fernandes@regentedepolo.uniasselvi.com.br</t>
  </si>
  <si>
    <t>FELIPE FRANCISCO DE QUEIROZ</t>
  </si>
  <si>
    <t>felipe.queiroz@regentedepolo.uniasselvi.com.br</t>
  </si>
  <si>
    <t>FELIPE NUNES DUARTE</t>
  </si>
  <si>
    <t>felipe.duarte@regentedepolo.uniasselvi.com.br</t>
  </si>
  <si>
    <t>FELIPE OLIVEIRA DOS SANTOS</t>
  </si>
  <si>
    <t>2622709-6</t>
  </si>
  <si>
    <t>Brasil - Ipixuna/AM (Brasileira)</t>
  </si>
  <si>
    <t>1124|AM - IPIXUNA</t>
  </si>
  <si>
    <t>100165359@tutor.uniasselvi.com.br</t>
  </si>
  <si>
    <t>FERNANDA APARECIDA HERCULANO DE SOUZA</t>
  </si>
  <si>
    <t>MG-15.134.754</t>
  </si>
  <si>
    <t>Brasil - Mantena/MG (Brasileira)</t>
  </si>
  <si>
    <t>Brasil - MANTENA/MG (brasileira)</t>
  </si>
  <si>
    <t>710|MG - ITABIRINHA</t>
  </si>
  <si>
    <t>fernanda.asouza@regentedepolo.uniasselvi.com.br</t>
  </si>
  <si>
    <t>FERNANDA CRISTINA BORGATTO</t>
  </si>
  <si>
    <t>Brasil - SOROCABA/SP (brasileira)</t>
  </si>
  <si>
    <t>048|SP - MAIRINQUE</t>
  </si>
  <si>
    <t>fernanda.borgatto@regentedepolo.uniasselvi.com.br</t>
  </si>
  <si>
    <t>FERNANDA CRISTINA PINHEIRO SANTOS DE SOUZA</t>
  </si>
  <si>
    <t>fernanda.souza@regentedepolo.uniasselvi.com.br</t>
  </si>
  <si>
    <t>FERNANDA LAIS BASTOS BRAGA</t>
  </si>
  <si>
    <t>Brasil - Itapagé/CE (Brasileira)</t>
  </si>
  <si>
    <t>fernanda.braga@regentedepolo.uniasselvi.com.br</t>
  </si>
  <si>
    <t>FERNANDA SILVA MARTINS</t>
  </si>
  <si>
    <t>681|RS - SOLEDADE</t>
  </si>
  <si>
    <t>fernanda.martins@regentedepolo.uniasselvi.com.br</t>
  </si>
  <si>
    <t>FERNANDA VEDI MACHADO</t>
  </si>
  <si>
    <t>Brasil - Campo Mourão/PR (Brasileira)</t>
  </si>
  <si>
    <t>Brasil - CAMPO MOURÃO/PR (brasileira)</t>
  </si>
  <si>
    <t>fernanda.machado@regentedepolo.uniasselvi.com.br</t>
  </si>
  <si>
    <t>FERNANDO DAVI ARAUJO RIBEIRO</t>
  </si>
  <si>
    <t>488|CE - SOBRAL</t>
  </si>
  <si>
    <t>fernando.ribeiro@regentedepolo.uniasselvi.com.br</t>
  </si>
  <si>
    <t>FERNANDO LUIZ BRITO DA SILVA</t>
  </si>
  <si>
    <t>368899-9</t>
  </si>
  <si>
    <t>Brasil - VIGIA/PA (brasileira)</t>
  </si>
  <si>
    <t>fernando.silva@regentedepolo.uniasselvi.com.br</t>
  </si>
  <si>
    <t>FERNANDO MATEUS PANIAGUA MENDIETA</t>
  </si>
  <si>
    <t>648|MS - PONTA PORA</t>
  </si>
  <si>
    <t>fernando.mendieta@regentedepolo.uniasselvi.com.br</t>
  </si>
  <si>
    <t>FILIPE CAMPOS MAIA DE LIMA</t>
  </si>
  <si>
    <t>filipe.lima@regentedepolo.uniasselvi.com.br</t>
  </si>
  <si>
    <t>FILIPE GOMES GADEIA BRITO</t>
  </si>
  <si>
    <t>filipe.brito@regentedepolo.uniasselvi.com.br</t>
  </si>
  <si>
    <t>FLAVIA ROSANE DE MENDONCA LUIS</t>
  </si>
  <si>
    <t>1663770-4</t>
  </si>
  <si>
    <t>flavia.luis@regentedepolo.uniasselvi.com.br</t>
  </si>
  <si>
    <t>FLAVIO ABREU SENA</t>
  </si>
  <si>
    <t>000.015.085.593</t>
  </si>
  <si>
    <t>642|MA - SAO LUIS (REGIAO CENTRAL)</t>
  </si>
  <si>
    <t>flavio.sena@regentedepolo.uniasselvi.com.br</t>
  </si>
  <si>
    <t>FLAVIO JULIO SOUTO DA COSTA</t>
  </si>
  <si>
    <t>flavio.costa@regentedepolo.uniasselvi.com.br</t>
  </si>
  <si>
    <t>FLAVIO LUIZ BECCON BRUSTOLONI</t>
  </si>
  <si>
    <t>flavio.brustoloni@regentedepolo.uniasselvi.com.br</t>
  </si>
  <si>
    <t>FRANCIELE MOURA CUNHA</t>
  </si>
  <si>
    <t>franciele.cunha@regentedepolo.uniasselvi.com.br</t>
  </si>
  <si>
    <t>FRANCINE MIRIAN SCHULZ</t>
  </si>
  <si>
    <t>Brasil - Carazinho/RS (Brasileira)</t>
  </si>
  <si>
    <t>francine.schulz@regentedepolo.uniasselvi.com.br</t>
  </si>
  <si>
    <t>FRANCINI MANGANELI ZANELLA MELLO</t>
  </si>
  <si>
    <t>077|AL - MACEIO</t>
  </si>
  <si>
    <t>francini.zanella@regentedepolo.uniasselvi.com.br</t>
  </si>
  <si>
    <t>FRANCISCA DAS CHAGAS MACIEL MELO SILVA</t>
  </si>
  <si>
    <t xml:space="preserve">102|CE - MARACANAU                   </t>
  </si>
  <si>
    <t>francisca.melo@polos.uniasselvi.com.br</t>
  </si>
  <si>
    <t>FRANCISCA GEANE MEDEIROS DE AQUINO</t>
  </si>
  <si>
    <t>Brasil - Bom Jesus/RN (Brasileira)</t>
  </si>
  <si>
    <t>Brasil - BOM JESUS/RN (brasileira)</t>
  </si>
  <si>
    <t>francisca.aquino@regentedepolo.uniasselvi.com.br</t>
  </si>
  <si>
    <t>FRANCISCA JANIELE MARTINS DA COSTA</t>
  </si>
  <si>
    <t>Brasil - Paracuru/CE (Brasileira)</t>
  </si>
  <si>
    <t>francisca.costa@regentedepolo.uniasselvi.com.br</t>
  </si>
  <si>
    <t>FRANCISCA LIANA DA SILVA DUTRA</t>
  </si>
  <si>
    <t>Brasil - Granja/CE (Brasileira)</t>
  </si>
  <si>
    <t>494|CE - GRANJA</t>
  </si>
  <si>
    <t>francisca.dutra@regentedepolo.uniasselvi.com.br</t>
  </si>
  <si>
    <t>FRANCISCA MARIA CARDOSO COSTA</t>
  </si>
  <si>
    <t>francisca.mcosta@regentedepolo.uniasselvi.com.br</t>
  </si>
  <si>
    <t>FRANCISCA SOUSA MORAIS</t>
  </si>
  <si>
    <t>Brasil - Santo Antônio Dos Lopes/MA (Brasileira)</t>
  </si>
  <si>
    <t>Brasil - SANTO ANTÔNIO DOS LOPES/MA (brasileira)</t>
  </si>
  <si>
    <t>298|CE - CAMOCIM</t>
  </si>
  <si>
    <t>francisca.morais@regentedepolo.uniasselvi.com.br</t>
  </si>
  <si>
    <t>FRANCISCA VILEIDE FERNANDES SALES SANTIAGO</t>
  </si>
  <si>
    <t>francisca.santiago@regentedepolo.uniasselvi.com.br</t>
  </si>
  <si>
    <t>FRANCISCO ANTONIO DE SOUSA RODRIGUES</t>
  </si>
  <si>
    <t>Brasil - Aracoiaba/CE (Brasileira)</t>
  </si>
  <si>
    <t>Brasil - ARACOIABA/CE (brasileira)</t>
  </si>
  <si>
    <t>100183502@tutor.uniasselvi.com.br</t>
  </si>
  <si>
    <t>FRANCISCO ANTONIO RIBEIRO SALDANHA</t>
  </si>
  <si>
    <t>Brasil - Pentecoste/CE (Brasileira)</t>
  </si>
  <si>
    <t>Brasil - PENTECOSTE/CE (brasileira)</t>
  </si>
  <si>
    <t>409|CE - PENTECOSTE</t>
  </si>
  <si>
    <t>francisco.saldanha@regentedepolo.uniasselvi.com.br</t>
  </si>
  <si>
    <t>FRANCISCO AURICELIO BRAGA TORRES</t>
  </si>
  <si>
    <t>francisco.torres@regentedepolo.uniasselvi.com.br</t>
  </si>
  <si>
    <t>FRANCISCO AURICELIO PAIVA</t>
  </si>
  <si>
    <t>francisco.paiva@regentedepolo.uniasselvi.com.br</t>
  </si>
  <si>
    <t>FRANCISCO DE OLIVEIRA GONCALVES</t>
  </si>
  <si>
    <t>Brasil - Teresina/PI (Brasileira)</t>
  </si>
  <si>
    <t>Brasil - TERESINA/PI (brasileira)</t>
  </si>
  <si>
    <t>francisco.goncalves@regentedepolo.uniasselvi.com.br</t>
  </si>
  <si>
    <t>FRANCISCO DE SOUSA</t>
  </si>
  <si>
    <t>Brasil - Açailândia/MA (Brasileira)</t>
  </si>
  <si>
    <t>Brasil - AÇAILÂNDIA/MA (brasileira)</t>
  </si>
  <si>
    <t>941|MA - SANTA RITA</t>
  </si>
  <si>
    <t>francisco.sousa@regentedepolo.uniasselvi.com.br</t>
  </si>
  <si>
    <t>FRANCISCO FILHO DOS SANTOS SILVA</t>
  </si>
  <si>
    <t>Brasil - Pacoti/CE (Brasileira)</t>
  </si>
  <si>
    <t>Brasil - BATURITÉ/CE (brasileira)</t>
  </si>
  <si>
    <t>francisco.silva@regentedepolo.uniasselvi.com.br</t>
  </si>
  <si>
    <t>FRANCISCO LEANDRO XAVIER</t>
  </si>
  <si>
    <t>Brasil - Cruz/CE (Brasileira)</t>
  </si>
  <si>
    <t>francisco.xavier@regentedepolo.uniasselvi.com.br</t>
  </si>
  <si>
    <t>FRANCISCO LUCIEUDO TAVARES DE OLIVEIRA</t>
  </si>
  <si>
    <t>Brasil - Juazeiro do Norte/CE (Brasileira)</t>
  </si>
  <si>
    <t>Brasil - JUAZEIRO DO NORTE/CE (brasileira)</t>
  </si>
  <si>
    <t>299|CE - JUAZEIRO DO NORTE</t>
  </si>
  <si>
    <t>francisco.oliveira@regentedepolo.uniasselvi.com.br</t>
  </si>
  <si>
    <t>FRANCISCO MARCKSON SANTOS DA SILVA</t>
  </si>
  <si>
    <t>francisco.msilva@regentedepolo.uniasselvi.com.br</t>
  </si>
  <si>
    <t>FRANCISCO RENATO PEREIRA DOS SANTOS</t>
  </si>
  <si>
    <t>Brasil - Beberibe/CE (Brasileira)</t>
  </si>
  <si>
    <t>Brasil - BEBERIBE/CE (brasileira)</t>
  </si>
  <si>
    <t>283|CE - ARACATI</t>
  </si>
  <si>
    <t>francisco.santos@regentedepolo.uniasselvi.com.br</t>
  </si>
  <si>
    <t>FRANCISCO TADEU BARRETO PINHEIRO FILHO</t>
  </si>
  <si>
    <t>Brasil - Jaguaribe/CE (Brasileira)</t>
  </si>
  <si>
    <t>Brasil - JAGUARIBE/CE (brasileira)</t>
  </si>
  <si>
    <t>francisco.filho@regentedepolo.uniasselvi.com.br</t>
  </si>
  <si>
    <t>FRANCISCO WILKER MESQUITA TEIXEIRA</t>
  </si>
  <si>
    <t>100105172@tutor.uniasselvi.com.br</t>
  </si>
  <si>
    <t>FRANER AVILA FUCOLO</t>
  </si>
  <si>
    <t>Brasil - Santa Vitória do Palmar/RS (Brasileira)</t>
  </si>
  <si>
    <t>franer.fucolo@regentedepolo.uniasselvi.com.br</t>
  </si>
  <si>
    <t>GABRIEL DA SILVA CARVALHO</t>
  </si>
  <si>
    <t>38.174.465-6</t>
  </si>
  <si>
    <t>gabriel.carvalho@regentedepolo.uniasselvi.com.br</t>
  </si>
  <si>
    <t>GABRIEL DUARTE DE OLIVEIRA</t>
  </si>
  <si>
    <t>Brasil - Moji Mirim/SP (Brasileira)</t>
  </si>
  <si>
    <t>373|TO - PALMAS</t>
  </si>
  <si>
    <t>gabriel.oliveira@regentedepolo.uniasselvi.com.br</t>
  </si>
  <si>
    <t>GABRIEL PEREIRA PITANA</t>
  </si>
  <si>
    <t>gabriel.pitana@regentedepolo.uniasselvi.com.br</t>
  </si>
  <si>
    <t>GABRIELA ADAMES PINTO</t>
  </si>
  <si>
    <t>Brasil - Marau/RS (Brasileira)</t>
  </si>
  <si>
    <t>028|RS - PASSO FUNDO</t>
  </si>
  <si>
    <t>gabriela.pinto@regentedepolo.uniasselvi.com.br</t>
  </si>
  <si>
    <t>GABRIELA CALINI DOS SANTOS</t>
  </si>
  <si>
    <t>Brasil - Francisco Beltrão/PR (Brasileira)</t>
  </si>
  <si>
    <t xml:space="preserve">1028|PR - CORONEL VIVIDA </t>
  </si>
  <si>
    <t>prof.gabrielacalini@gmail.com</t>
  </si>
  <si>
    <t>GABRIELA MUELLER GRASS</t>
  </si>
  <si>
    <t>210|SC - GASPAR</t>
  </si>
  <si>
    <t>100162526@tutor.uniasselvi.com.br</t>
  </si>
  <si>
    <t>GABRIELLA ARAUJO SOUZA ESTEVES</t>
  </si>
  <si>
    <t>Deficiência Auditiva - Surdez Leve/moderada</t>
  </si>
  <si>
    <t>gabriella.esteves@regentedepolo.uniasselvi.com.br</t>
  </si>
  <si>
    <t>GEISIANE LEAO PINTO</t>
  </si>
  <si>
    <t>Brasil - Mocajuba/PA (Brasileira)</t>
  </si>
  <si>
    <t>Brasil - MOCAJUBA/PA (brasileira)</t>
  </si>
  <si>
    <t>geisiane.pinto@regentedepolo.uniasselvi.com.br</t>
  </si>
  <si>
    <t>GEONICE LIBER BARATIERI</t>
  </si>
  <si>
    <t>Brasil - Diamante do Sul/PR (Brasileira)</t>
  </si>
  <si>
    <t>Brasil - DIAMANTE DO SUL/PR (brasileira)</t>
  </si>
  <si>
    <t>384|PR - CASCAVEL</t>
  </si>
  <si>
    <t>GEORGIA LUANA MARTINS</t>
  </si>
  <si>
    <t>georgia.martins@regentedepolo.uniasselvi.com.br</t>
  </si>
  <si>
    <t>GERMANO DEMATHE ALENCAR</t>
  </si>
  <si>
    <t>4.608.891-1</t>
  </si>
  <si>
    <t>germano.alencar@regentedepolo.uniasselvi.com.br</t>
  </si>
  <si>
    <t>GESLEY ALVES DA SILVA</t>
  </si>
  <si>
    <t>gesley.silva@uniasselvi.com.br</t>
  </si>
  <si>
    <t>GESSI NOGUEIRA OLIVEIRA</t>
  </si>
  <si>
    <t>gessi.oliveira@regentedepolo.uniasselvi.com.br</t>
  </si>
  <si>
    <t>GESSILENE DOS SANTOS PIRES</t>
  </si>
  <si>
    <t>Brasil - São Gonçalo dos Campos/BA (Brasileira)</t>
  </si>
  <si>
    <t>Brasil - SÃO GONÇALO DOS CAMPOS/BA (brasileira)</t>
  </si>
  <si>
    <t>gessilene.pires@regentedepolo.uniasselvi.com.br</t>
  </si>
  <si>
    <t>GEVELYN CASSIA ALMEIDA DE QUADROS</t>
  </si>
  <si>
    <t>Outros - outras dificuldades, deficiências, síndromes e transtornos</t>
  </si>
  <si>
    <t>031|SC - BALNEARIO CAMBORIU</t>
  </si>
  <si>
    <t>gevelyn.quadros@regentedepolo.uniasselvi.com.br</t>
  </si>
  <si>
    <t>GIAN CARLO DAL BERTO RODRIGUES</t>
  </si>
  <si>
    <t>Brasil - Medianeira/PR (Brasileira)</t>
  </si>
  <si>
    <t>gian.rodrigues@regentedepolo.uniasselvi.com.br</t>
  </si>
  <si>
    <t>GICELE CARVALHO DA SILVA MARCON</t>
  </si>
  <si>
    <t>Brasil - JOAÇABA/SC (brasileira)</t>
  </si>
  <si>
    <t>gicelemarcon31@gmail.com</t>
  </si>
  <si>
    <t>GILBERTO BRASILEIRO LEITAO JUNIOR</t>
  </si>
  <si>
    <t>gilberto.junior@regentedepolo.uniasselvi.com.br</t>
  </si>
  <si>
    <t>GILDERLEY DA SILVA</t>
  </si>
  <si>
    <t>gilderley.silva@regentedepolo.uniasselvi.com.br</t>
  </si>
  <si>
    <t>GILDETE POMPEU MOREIRA</t>
  </si>
  <si>
    <t>Brasil - Breu Branco/PA (Brasileira)</t>
  </si>
  <si>
    <t>gildete.moreira@regentedepolo.uniasselvi.com.br</t>
  </si>
  <si>
    <t>GILMARIA SILVA DA COSTA</t>
  </si>
  <si>
    <t>09.945.925-66</t>
  </si>
  <si>
    <t>005|BA - JACOBINA</t>
  </si>
  <si>
    <t>gilmaria.costa@regentedepolo.uniasselvi.com.br</t>
  </si>
  <si>
    <t>GILSANIA BEZERRA MOURA</t>
  </si>
  <si>
    <t>gilsania.moura@regentedepolo.uniasselvi.com.br</t>
  </si>
  <si>
    <t>GILSON ALVES DOS SANTOS</t>
  </si>
  <si>
    <t>gilson.santos@regentedepolo.uniasselvi.com.br</t>
  </si>
  <si>
    <t>GIOVANA DOS SANTOS SOUSA</t>
  </si>
  <si>
    <t>Brasil - Mauá/SP (Brasileira)</t>
  </si>
  <si>
    <t>Brasil - MAUÁ/SP (brasileira)</t>
  </si>
  <si>
    <t>giovana.sousa@regentedepolo.uniasselvi.com.br</t>
  </si>
  <si>
    <t>GIOVANNA OLIVEIRA PIMENTEL</t>
  </si>
  <si>
    <t>773|RN - ASSU</t>
  </si>
  <si>
    <t>giovannapimentel62@gmail.com</t>
  </si>
  <si>
    <t>GISAH ESSUCY VASCONCELOS GONCALVES</t>
  </si>
  <si>
    <t>018.037.692-62</t>
  </si>
  <si>
    <t>gisah.goncalves@regentedepolo.uniasselvi.com.br</t>
  </si>
  <si>
    <t>GISELE OLIVEIRA</t>
  </si>
  <si>
    <t>Brasil - Palmeira Das Missões/RS (Brasileira)</t>
  </si>
  <si>
    <t>354|RS - IJUI</t>
  </si>
  <si>
    <t>gisele.oliveira@regentedepolo.uniasselvi.com.br</t>
  </si>
  <si>
    <t>GISELE TELES DA SILVA</t>
  </si>
  <si>
    <t>gisele.silva@regentedepolo.uniasselvi.com.br</t>
  </si>
  <si>
    <t>GISELLE CAVALCANTI LOPES SANTANA</t>
  </si>
  <si>
    <t>giselle.santana@regentedepolo.uniasselvi.com.br</t>
  </si>
  <si>
    <t>GISELLE SILVA DOS SANTOS</t>
  </si>
  <si>
    <t>Brasil - Araruama/RJ (Brasileira)</t>
  </si>
  <si>
    <t>Brasil - ARARUAMA/RJ (brasileira)</t>
  </si>
  <si>
    <t>giselle.santos@regentedepolo.uniasselvi.com.br</t>
  </si>
  <si>
    <t>GISLENE PACE DE SOUZA SANTOS NASCIMENTO</t>
  </si>
  <si>
    <t>089.082.426-60</t>
  </si>
  <si>
    <t>GIZELLE DA SILVA GARRIDO</t>
  </si>
  <si>
    <t>09310834-8</t>
  </si>
  <si>
    <t>gizelle.garrido@regentedepolo.uniasselvi.com.br</t>
  </si>
  <si>
    <t>GIZELLE MARIA DANTAS DE ALENCAR</t>
  </si>
  <si>
    <t>0665271-9</t>
  </si>
  <si>
    <t>gizelle.alencar@regentedepolo.uniasselvi.com.br</t>
  </si>
  <si>
    <t>GLAUCIA ROMUALDO DOS SANTOS</t>
  </si>
  <si>
    <t>MG6402856</t>
  </si>
  <si>
    <t>100104843@tutor.uniasselvi.com.br</t>
  </si>
  <si>
    <t>GLAUCINERY DOS SANTOS BRANCO</t>
  </si>
  <si>
    <t>glaucinery.branco@regentedepolo.uniasselvi.com.br</t>
  </si>
  <si>
    <t>GLAUCYANNE SIQUEIRA FARIAS ROCHA</t>
  </si>
  <si>
    <t>glaucyanne.rocha@regentedepolo.uniasselvi.com.br</t>
  </si>
  <si>
    <t>GRACIELLY SOARES GOMES</t>
  </si>
  <si>
    <t>gracielly.gomes@regentedepolo.uniasselvi.com.br</t>
  </si>
  <si>
    <t>GRAZILEINE FERNANDES</t>
  </si>
  <si>
    <t>grazileine.fernandes@regentedepolo.uniasselvi.com.br</t>
  </si>
  <si>
    <t>GREICE KELLY SIQUEIRA DA CUNHA</t>
  </si>
  <si>
    <t>1366.726-2</t>
  </si>
  <si>
    <t>greice.siqueira@regentedepolo.uniasselvi.com.br</t>
  </si>
  <si>
    <t>GUILHERME NASCIMENTO DE LIMA</t>
  </si>
  <si>
    <t>097|BA - VALENCA</t>
  </si>
  <si>
    <t>guilherme.nas.20@gmail.com</t>
  </si>
  <si>
    <t>GUILHERME SANTOS VASCONCELOS</t>
  </si>
  <si>
    <t>100183652@tutor.uniasselvi.com.br</t>
  </si>
  <si>
    <t>GUSTAVO SANTOS DO NASCIMENTO</t>
  </si>
  <si>
    <t>Brasil - Rio Branco/AC (Brasileira)</t>
  </si>
  <si>
    <t>Brasil - RIO BRANCO/AC (brasileira)</t>
  </si>
  <si>
    <t>gustavo.nascimento@regentedepolo.uniasselvi.com.br</t>
  </si>
  <si>
    <t>HEITOR FRANCO DE SOUSA</t>
  </si>
  <si>
    <t>Brasil - ITUIUTABA/MG (brasileira)</t>
  </si>
  <si>
    <t>456|MG - ITUIUTABA</t>
  </si>
  <si>
    <t>heitor.sousa@regentedepolo.uniasselvi.com.br</t>
  </si>
  <si>
    <t>HELLEN BESSA DE OLIVEIRA</t>
  </si>
  <si>
    <t>hellen.oliveira@regentedepolo.uniasselvi.com.br</t>
  </si>
  <si>
    <t>HENRIQUE AMARAL DA SILVA</t>
  </si>
  <si>
    <t>Brasil - Cáceres/MT (Brasileira)</t>
  </si>
  <si>
    <t>Brasil - CÁCERES/MT (brasileira)</t>
  </si>
  <si>
    <t>296|BA - LUIS EDUARDO MAGALHAES</t>
  </si>
  <si>
    <t>100103270@professor.uniasselvi.com.br</t>
  </si>
  <si>
    <t>HENRIQUE RAVANELLO</t>
  </si>
  <si>
    <t>Brasil - Bento Gonçalves/RS (Brasileira)</t>
  </si>
  <si>
    <t xml:space="preserve">169|RS - SAO LEOPOLDO            </t>
  </si>
  <si>
    <t>100118523@tutor.uniasselvi.com.br</t>
  </si>
  <si>
    <t>HERON RODRIGUES DA SILVA</t>
  </si>
  <si>
    <t>Brasil - FRANCISCO BELTRÃO/PR (brasileira)</t>
  </si>
  <si>
    <t>heron.silva@regentedepolo.uniasselvi.com.br</t>
  </si>
  <si>
    <t>HEVELAYNE CRISTINA FERREIRA DE MIRANDA</t>
  </si>
  <si>
    <t>Brasil - SIDROLÂNDIA/MS (brasileira)</t>
  </si>
  <si>
    <t>319|MS - SIDROLANDIA</t>
  </si>
  <si>
    <t>hevelayne.miranda@regentedepolo.uniasselvi.com.br</t>
  </si>
  <si>
    <t>HIANA BRITO COSTA</t>
  </si>
  <si>
    <t>hiana.costa@regentedepolo.uniasselvi.com.br</t>
  </si>
  <si>
    <t>HILDER AFONSO FRAGA BATISTA DA SILVA</t>
  </si>
  <si>
    <t>Brasil - Porto Velho/RO (Brasileira)</t>
  </si>
  <si>
    <t>718|RO - PORTO VELHO</t>
  </si>
  <si>
    <t>hilder.silva@regentedepolo.uniasselvi.com.br</t>
  </si>
  <si>
    <t>HUDSON AUGUSTO SILVA DE CASTRO</t>
  </si>
  <si>
    <t xml:space="preserve">155|PA - BELEM (AUGUSTO MONTENEGRO)                   </t>
  </si>
  <si>
    <t>hudson.castro@regentedepolo.uniasselvi.com.br</t>
  </si>
  <si>
    <t>HUGO MAXIMO</t>
  </si>
  <si>
    <t>Brasil - Goioerê/PR (Brasileira)</t>
  </si>
  <si>
    <t>Brasil - GOIOERÊ/PR (brasileira)</t>
  </si>
  <si>
    <t>100102535@tutor.uniasselvi.com.br</t>
  </si>
  <si>
    <t>HUMBERTO SARAIVA COSTA</t>
  </si>
  <si>
    <t>Brasil - SANTA INÊS/MA (brasileira)</t>
  </si>
  <si>
    <t>humberto.costa@regentedepolo.uniasselvi.com.br</t>
  </si>
  <si>
    <t>IAMARA MIRELLI SILVA VIEIRA</t>
  </si>
  <si>
    <t>Brasil - Irauçuba/CE (Brasileira)</t>
  </si>
  <si>
    <t>iamara.vieira@regentedepolo.uniasselvi.com.br</t>
  </si>
  <si>
    <t>IAN JORGE CARVALHO DE SEIXAS</t>
  </si>
  <si>
    <t>ian.seixas@regentedepolo.uniasselvi.com.br</t>
  </si>
  <si>
    <t>IARA TEIXEIRA BATISTA</t>
  </si>
  <si>
    <t>1815519-7</t>
  </si>
  <si>
    <t>Brasil - Terra Santa/PA (Brasileira)</t>
  </si>
  <si>
    <t>Brasil - SÃO GABRIEL DA CACHOEIRA/AM (brasileira)</t>
  </si>
  <si>
    <t>1114|AM - BARCELOS</t>
  </si>
  <si>
    <t>iara.batista@regentedepolo.uniasselvi.com.br</t>
  </si>
  <si>
    <t>IARA TORRES DE SOUSA</t>
  </si>
  <si>
    <t>2007293218-4</t>
  </si>
  <si>
    <t>iara.sousa@regentedepolo.uniasselvi.com.br</t>
  </si>
  <si>
    <t>IASMIM DE OLIVEIRA MORAES</t>
  </si>
  <si>
    <t>iasmim.moraes@regentedepolo.uniasselvi.com.br</t>
  </si>
  <si>
    <t>IGHOR ERICO FLORA DOS SANTOS</t>
  </si>
  <si>
    <t>ighor.santos@regentedepolo.uniasselvi.com.br</t>
  </si>
  <si>
    <t>IGOR BARBOSA MARQUES</t>
  </si>
  <si>
    <t>igor.marques@regentedepolo.uniasselvi.com.br</t>
  </si>
  <si>
    <t>IGOR OLACIR FERNANDES SILVA</t>
  </si>
  <si>
    <t>Brasil - Quirinópolis/GO (Brasileira)</t>
  </si>
  <si>
    <t>Brasil - QUIRINÓPOLIS/GO (brasileira)</t>
  </si>
  <si>
    <t xml:space="preserve">693|GO - QUIRINOPOLIS </t>
  </si>
  <si>
    <t>igor.silva@regentedepolo.uniasselvi.com.br</t>
  </si>
  <si>
    <t>IGOR RICARDO DE ALMEIDA VIEIRA</t>
  </si>
  <si>
    <t>igor.vieira@regentedepolo.uniasselvi.com.br</t>
  </si>
  <si>
    <t>IGOR SANTOS SOUZA</t>
  </si>
  <si>
    <t>Brasil - Propriá/SE (Brasileira)</t>
  </si>
  <si>
    <t>Brasil - PROPRIÁ/SE (brasileira)</t>
  </si>
  <si>
    <t>igor.souza@regentedepolo.uniasselvi.com.br</t>
  </si>
  <si>
    <t>INES REGINA MARINHO DE OLIVEIRA</t>
  </si>
  <si>
    <t>ines.oliveira@regentedepolo.uniasselvi.com.br</t>
  </si>
  <si>
    <t>INGRID AGUIAR DE CARVALHO</t>
  </si>
  <si>
    <t>ingrid.carvalho@regentedepolo.uniasselvi.com.br</t>
  </si>
  <si>
    <t>INGRID IARA DEUNER PIUCCO</t>
  </si>
  <si>
    <t>ingridiarad@gmail.com</t>
  </si>
  <si>
    <t>INGRID SCHROEDER PINEIRO</t>
  </si>
  <si>
    <t>INSLANE ROUSSENQ FORTUNATO FELIPE</t>
  </si>
  <si>
    <t xml:space="preserve">211|SC - ICARA                         </t>
  </si>
  <si>
    <t>inslane.felipe@regentedepolo.uniasselvi.com.br</t>
  </si>
  <si>
    <t>IRAMAR DA SILVA</t>
  </si>
  <si>
    <t>Brasil - Itaíba/PE (Brasileira)</t>
  </si>
  <si>
    <t>Brasil - ITAÍBA/PE (brasileira)</t>
  </si>
  <si>
    <t>iramar.rodrigues@regentedepolo.uniasselvi.com.br</t>
  </si>
  <si>
    <t>IRANI APARECIDA SEIDLER PRIM</t>
  </si>
  <si>
    <t>Brasil - Major Gercino/SC (Brasileira)</t>
  </si>
  <si>
    <t>Brasil - MAJOR GERCINO/SC (brasileira)</t>
  </si>
  <si>
    <t>irani.prim@regentedepolo.uniasselvi.com.br</t>
  </si>
  <si>
    <t>IRENE DOS SANTOS MARTINS SOARES</t>
  </si>
  <si>
    <t>Brasil - Araranguá/SC (Brasileira)</t>
  </si>
  <si>
    <t>20727@tutor.uniasselvi.com.br</t>
  </si>
  <si>
    <t>ISAAC DE SOUSA LOURENCO</t>
  </si>
  <si>
    <t>Brasil - Anapurus/MA (Brasileira)</t>
  </si>
  <si>
    <t>Brasil - ANAPURUS/MA (brasileira)</t>
  </si>
  <si>
    <t>isaac.lourenco@regentedepolo.uniasselvi.com.br</t>
  </si>
  <si>
    <t>ISABELA DA SILVA ROSA XIMENES</t>
  </si>
  <si>
    <t>isabela.ximenes@regentedepolo.uniasselvi.com.br</t>
  </si>
  <si>
    <t>ISABELA LETICIA PESSENTI</t>
  </si>
  <si>
    <t>Brasil - Cacador/SC (Brasileira)</t>
  </si>
  <si>
    <t>Brasil - PONTA GROSSA/PR (brasileira)</t>
  </si>
  <si>
    <t>isabela.pessenti@regentedepolo.uniasselvi.com.br</t>
  </si>
  <si>
    <t>ISAQUE DA SILVA RODRIGUES</t>
  </si>
  <si>
    <t>Brasil - João Pessoa/PB (Brasileira)</t>
  </si>
  <si>
    <t>Brasil - JOÃO PESSOA/PB (brasileira)</t>
  </si>
  <si>
    <t>258|PB - MAMANGUAPE</t>
  </si>
  <si>
    <t>isaque.rodrigues@regentedepolo.uniasselvi.com.br</t>
  </si>
  <si>
    <t>ISLANIA MARIA CARNEIRO DA SILVA</t>
  </si>
  <si>
    <t>islania.silva@regentedepolo.uniasselvi.com.br</t>
  </si>
  <si>
    <t>ITACIO DA SILVA SANTOS</t>
  </si>
  <si>
    <t>Brasil - Grajaú/MA (Brasileira)</t>
  </si>
  <si>
    <t>Brasil - GRAJAÚ/MA (brasileira)</t>
  </si>
  <si>
    <t>713 |PA - TUCUMA</t>
  </si>
  <si>
    <t>itacio.santos@regentedepolo.uniasselvi.com.br</t>
  </si>
  <si>
    <t>ITAMAR MICAIL SANTANA DE FRAGA</t>
  </si>
  <si>
    <t>Brasil - Cachoeira Do Sul/RS (Brasileira)</t>
  </si>
  <si>
    <t>Brasil - CACHOEIRA DO SUL/RS (brasileira)</t>
  </si>
  <si>
    <t>itamar.fraga@regentedepolo.uniasselvi.com.br</t>
  </si>
  <si>
    <t>IURY TORQUATO DE ALMEIDA</t>
  </si>
  <si>
    <t>iury.almeida@regentedepolo.uniasselvi.com.br</t>
  </si>
  <si>
    <t>IVAN ANTONIO BASEGIO</t>
  </si>
  <si>
    <t>ivan.basegio@regentedepolo.uniasselvi.com.br</t>
  </si>
  <si>
    <t>IVAN CARDOSO</t>
  </si>
  <si>
    <t>ivan.cardoso@regentedepolo.uniasselvi.com.br</t>
  </si>
  <si>
    <t>IVAN DE JESUS CONCEIÇAO</t>
  </si>
  <si>
    <t>ivan.conceicao@regentedepolo.uniasselvi.com.br</t>
  </si>
  <si>
    <t>IVAN RICARDO CARNEIRO DA SILVA</t>
  </si>
  <si>
    <t>Brasil - Iguatemi/MS (Brasileira)</t>
  </si>
  <si>
    <t>Brasil - IGUATEMI/MS (brasileira)</t>
  </si>
  <si>
    <t>ivan.silva@regentedepolo.uniasselvi.com.br</t>
  </si>
  <si>
    <t>IVANDRA SOARES CAMARGO</t>
  </si>
  <si>
    <t>ivandra.camargo@regentedepolo.uniasselvi.com.br</t>
  </si>
  <si>
    <t>IVOMAX DUTRA LIMA</t>
  </si>
  <si>
    <t>Brasil - Igarapé do Meio/MA (Brasileira)</t>
  </si>
  <si>
    <t>Brasil - IGARAPÉ DO MEIO/MA (brasileira)</t>
  </si>
  <si>
    <t>ivomax123@outlook.com</t>
  </si>
  <si>
    <t>IVONETI SCHMIDT FIABANE</t>
  </si>
  <si>
    <t xml:space="preserve"> - EXTERIOR/EX (Paraguaia)</t>
  </si>
  <si>
    <t>Brasil - NOVA BANDEIRANTES/MT (brasileira)</t>
  </si>
  <si>
    <t>100183000@tutor.uniasselvi.com.br</t>
  </si>
  <si>
    <t>JACIARA TEODORA DOS REIS MALTA</t>
  </si>
  <si>
    <t>725.201.675-72</t>
  </si>
  <si>
    <t>jaciara.malta@regentedepolo.uniasselvi.com.br</t>
  </si>
  <si>
    <t>JACIMARA FREIRE DOS SANTOS CHAVES</t>
  </si>
  <si>
    <t>Brasil - São João Batista/MA (Brasileira)</t>
  </si>
  <si>
    <t>Brasil - SÃO JOÃO BATISTA/MA (brasileira)</t>
  </si>
  <si>
    <t>jacimara.chaves@regentedepolo.uniasselvi.com.br</t>
  </si>
  <si>
    <t>JACK DO NASCIMENTO PAMPOLHA</t>
  </si>
  <si>
    <t>jack.pampolha@regentedepolo.uniasselvi.com.br</t>
  </si>
  <si>
    <t>JACKELINY LAURINDO DA FONSECA</t>
  </si>
  <si>
    <t>JADERUZ SILVA SENA</t>
  </si>
  <si>
    <t>jaderuz.sena@regentedepolo.uniasselvi.com.br</t>
  </si>
  <si>
    <t>JAIANE FREIRE DE SOUZA</t>
  </si>
  <si>
    <t>Brasil - Morro do Chapéu/BA (Brasileira)</t>
  </si>
  <si>
    <t>Brasil - MORRO DO CHAPÉU/BA (brasileira)</t>
  </si>
  <si>
    <t>jaiane.souza@regentedepolo.uniasselvi.com.br</t>
  </si>
  <si>
    <t>JAIRO ALVES GARRETO</t>
  </si>
  <si>
    <t>048330962013-4</t>
  </si>
  <si>
    <t>jairo.garreto@regentedepolo.uniasselvi.com.br</t>
  </si>
  <si>
    <t>JAMILLE MILITAO LIMA</t>
  </si>
  <si>
    <t>jamille.lima@uniasselvi.com.br</t>
  </si>
  <si>
    <t>JAMILLY COELHO TEIXEIRA BRAGA</t>
  </si>
  <si>
    <t>jamilly.braga@regentedepolo.uniasselvi.com.br</t>
  </si>
  <si>
    <t>JANAILSON DA SILVA TAVARES</t>
  </si>
  <si>
    <t>Brasil - Lago da Pedra/MA (Brasileira)</t>
  </si>
  <si>
    <t>783|RR - RORAINOPOLIS</t>
  </si>
  <si>
    <t>JANAILSON INACIO DA SILVEIRA</t>
  </si>
  <si>
    <t>Brasil - CRUZ/CE (brasileira)</t>
  </si>
  <si>
    <t>janailson.silveira@regentedepolo.uniasselvi.com.br</t>
  </si>
  <si>
    <t>JANAINA KEHL DE CASTILHOS</t>
  </si>
  <si>
    <t>Brasil - Gramado/RS (Brasileira)</t>
  </si>
  <si>
    <t>184|RS - CANELA</t>
  </si>
  <si>
    <t>janaina.castilhos@regentedepolo.uniasselvi.com.br</t>
  </si>
  <si>
    <t>JANAINA SILVA COSTA E CAVAGNOLI</t>
  </si>
  <si>
    <t>Brasil - UNAÍ/MG (brasileira)</t>
  </si>
  <si>
    <t>janaina.cavagnoli@regentedepolo.uniasselvi.com.br</t>
  </si>
  <si>
    <t>JANE APARECIDA DE SOUZA CRUZ E SOUZA</t>
  </si>
  <si>
    <t>Brasil - Santo Estêvão/BA (Brasileira)</t>
  </si>
  <si>
    <t>Brasil - SANTO ESTÊVÃO/BA (brasileira)</t>
  </si>
  <si>
    <t>jane.souza@regentedepolo.uniasselvi.com.br</t>
  </si>
  <si>
    <t>JANE CLEIDE SALGUEIRA DE JESUS</t>
  </si>
  <si>
    <t>Brasil - Poço Redondo/SE (Brasileira)</t>
  </si>
  <si>
    <t>Brasil - POÇO REDONDO/SE (brasileira)</t>
  </si>
  <si>
    <t>jane.jesus@regentedepolo.uniasselvi.com.br</t>
  </si>
  <si>
    <t>JANEIDE PEREIRA DA SILVA</t>
  </si>
  <si>
    <t>614|MT - CACERES</t>
  </si>
  <si>
    <t>janeide.silva@regentedepolo.uniasselvi.com.br</t>
  </si>
  <si>
    <t>JANINE MOURAO ULGUIM VIEIRA</t>
  </si>
  <si>
    <t>janine.vieira@regentedepolo.uniasselvi.com.br</t>
  </si>
  <si>
    <t>JAQUELINE ARAUJO LIMA DE SOUZA</t>
  </si>
  <si>
    <t>jaqueline.souza@regentedepolo.uniasselvi.com.br</t>
  </si>
  <si>
    <t>JAQUELINE DA SILVA NAIFF</t>
  </si>
  <si>
    <t xml:space="preserve">208|SC - FLORIANOPOLIS (ZONA NORTE)                 </t>
  </si>
  <si>
    <t>jaqueline.naiff@regentedepolo.uniasselvi.com.br</t>
  </si>
  <si>
    <t>JAYNE DOS SANTOS MOREIRA</t>
  </si>
  <si>
    <t>jayne.moreira@regentedepolo.uniasselvi.com.br</t>
  </si>
  <si>
    <t>JAYSIANE AZEVEDO DA CUNHA</t>
  </si>
  <si>
    <t>JEANE ARAUJO DOS SANTOS</t>
  </si>
  <si>
    <t>jeane.verly@regentedepolo.uniasselvi.com.br</t>
  </si>
  <si>
    <t>JEF EZEQUIEL VERAS ROCHA</t>
  </si>
  <si>
    <t>024074332003-0</t>
  </si>
  <si>
    <t>Brasil - Pindaré-mirim/MA (Brasileira)</t>
  </si>
  <si>
    <t>Brasil - PINDARÉ-MIRIM/MA (brasileira)</t>
  </si>
  <si>
    <t>jef.rocha@regentedepolo.uniasselvi.com.br</t>
  </si>
  <si>
    <t>JEFFERSON LIMA DE JESUS</t>
  </si>
  <si>
    <t>15198442-55</t>
  </si>
  <si>
    <t>Brasil - SANTO ANTÔNIO DE JESUS/BA (brasileira)</t>
  </si>
  <si>
    <t>jefferson.jesus@regentedepolo.uniasselvi.com.br</t>
  </si>
  <si>
    <t>JEISY ANNE CHRISTIE PAIZANO NEVES</t>
  </si>
  <si>
    <t>002:02</t>
  </si>
  <si>
    <t>jeisy.neves@regentedepolo.uniasselvi.com.br</t>
  </si>
  <si>
    <t>JEREMIAS DE SOUZA SANTOS</t>
  </si>
  <si>
    <t>Brasil - Santa Cruz Do Capibaribe/PE (Brasileira)</t>
  </si>
  <si>
    <t>jeremias.santos@regentedepolo.uniasselvi.com.br</t>
  </si>
  <si>
    <t>JERFERSON DA CONCEIÇÃO LUCENA</t>
  </si>
  <si>
    <t>Brasil - Imperatriz/MA (Brasileira)</t>
  </si>
  <si>
    <t>Brasil - IMPERATRIZ/MA (brasileira)</t>
  </si>
  <si>
    <t>jerferson.lucena@regentedepolo.uniasselvi.com.br</t>
  </si>
  <si>
    <t>JESSICA DOS SANTOS TEIXEIRA</t>
  </si>
  <si>
    <t>25.615.994-8</t>
  </si>
  <si>
    <t>995|RJ - BELFORD ROXO</t>
  </si>
  <si>
    <t>jessica.teixeira@regentedepolo.uniasselvi.com.br</t>
  </si>
  <si>
    <t>JESSICA FINGER</t>
  </si>
  <si>
    <t>Brasil - Guaíba/RS (Brasileira)</t>
  </si>
  <si>
    <t>Brasil - GUAÍBA/RS (brasileira)</t>
  </si>
  <si>
    <t>jessica.finger@regentedepolo.uniasselvi.com.br</t>
  </si>
  <si>
    <t>JESSICA LIMA DA SILVA</t>
  </si>
  <si>
    <t>Brasil - Capão Da Canoa/RS (Brasileira)</t>
  </si>
  <si>
    <t>jessica.silva@regentedepolo.uniasselvi.com.br</t>
  </si>
  <si>
    <t>JHENNIFER LETICIA DA SILVA</t>
  </si>
  <si>
    <t>Brasil - Itaúba/MT (Brasileira)</t>
  </si>
  <si>
    <t>Brasil - SINOP/MT (brasileira)</t>
  </si>
  <si>
    <t>jhennifer.sila@regentedepolo.uniasselvi.com.br</t>
  </si>
  <si>
    <t>JOANA MACHADO DE FREITAS</t>
  </si>
  <si>
    <t>joana.freitas@regentedepolo.uniasselvi.com.br</t>
  </si>
  <si>
    <t>JOAO AUGUSTO NUNES DE CARVALHO</t>
  </si>
  <si>
    <t>Brasil - BELEM/PA (Brasileira)</t>
  </si>
  <si>
    <t>carvalhojoao.1@hotmail.com</t>
  </si>
  <si>
    <t>JOAO DELINO DE SOUSA</t>
  </si>
  <si>
    <t>Brasil - ACARAÚ/CE (brasileira)</t>
  </si>
  <si>
    <t>joao.sousa@regentedepolo.uniasselvi.com.br</t>
  </si>
  <si>
    <t>JOAO FRANCISCO NUSSRALA MARTINS</t>
  </si>
  <si>
    <t>joao.martins@regentedepolo.uniasselvi.com.br</t>
  </si>
  <si>
    <t>JOAO INACIO MARTINS SANTOS</t>
  </si>
  <si>
    <t>022405842002-9</t>
  </si>
  <si>
    <t>joao.santos@regentedepolo.uniasselvi.com.br</t>
  </si>
  <si>
    <t>JOAO PAULO GONCALVES DE BRITO</t>
  </si>
  <si>
    <t>Brasil - Senador Pompeu/CE (Brasileira)</t>
  </si>
  <si>
    <t>618|CE - MOMBACA</t>
  </si>
  <si>
    <t>joao.brito@mediador.uniasselvi.com.br</t>
  </si>
  <si>
    <t>JOAO PAULO PINHEIRO DE JESUS</t>
  </si>
  <si>
    <t>Brasil - Zé Doca/MA (Brasileira)</t>
  </si>
  <si>
    <t>joao.jesus@regentedepolo.uniasselvi.com.br</t>
  </si>
  <si>
    <t>JOAO VICTOR MENEZES SOUSA</t>
  </si>
  <si>
    <t>joao.vsousa@regentedepolo.uniasselvi.com.br</t>
  </si>
  <si>
    <t>JOEL SILVA E SOUZA</t>
  </si>
  <si>
    <t>joel.souza@regentedepolo.uniasselvi.com.br</t>
  </si>
  <si>
    <t>JOELICE SILVA DE SOUZA</t>
  </si>
  <si>
    <t>Brasil - Livramento de Nossa Senhora/BA (Brasileira)</t>
  </si>
  <si>
    <t>485|BA - LIVRAMENTO DE NOSSA SENHORA</t>
  </si>
  <si>
    <t>joelice.souza@mediador.uniasselvi.com.br</t>
  </si>
  <si>
    <t>JOICE JESUS DOS SANTOS</t>
  </si>
  <si>
    <t>09.482.648-02</t>
  </si>
  <si>
    <t>100168623@tutor.uniasselvi.com.br</t>
  </si>
  <si>
    <t>JONATAS KONS</t>
  </si>
  <si>
    <t>Brasil - JOINVILLE/SC (Brasileira)</t>
  </si>
  <si>
    <t>jonatas.kons@regentedepolo.uniasselvi.com.br</t>
  </si>
  <si>
    <t>JONATHAN FERNANDO ESSER</t>
  </si>
  <si>
    <t>Brasil - Taió/SC (Brasileira)</t>
  </si>
  <si>
    <t>jonathan.esser@regentedepolo.uniasselvi.com.br</t>
  </si>
  <si>
    <t>JONIS SEGABINAZZI DE CAMPOS</t>
  </si>
  <si>
    <t>190|RS - GRAVATAI</t>
  </si>
  <si>
    <t>jonis.campos@regentedepolo.uniasselvi.com.br</t>
  </si>
  <si>
    <t>JORDANA DE SOUSA BARROS</t>
  </si>
  <si>
    <t>jordana.barros@regentedepolo.uniasselvi.com.br</t>
  </si>
  <si>
    <t>JORGE LUIZ RAMOS PORTO THIMOTHEO</t>
  </si>
  <si>
    <t>jorge.thimotheo@regentedepolo.uniasselvi.com.br</t>
  </si>
  <si>
    <t>JORGE MARCELO PEREIRA BATISTA</t>
  </si>
  <si>
    <t>jorge.batista@regentedepolo.uniasselvi.com.br</t>
  </si>
  <si>
    <t>JORGE RODRIGO ASSIS MOREIRA</t>
  </si>
  <si>
    <t>jorge.moreira@regentedepolo.uniasselvi.com.br</t>
  </si>
  <si>
    <t>JOSE ALEXANDRE FERNANDES SOARES</t>
  </si>
  <si>
    <t>Brasil - Arari/MA (Brasileira)</t>
  </si>
  <si>
    <t>Brasil - ARARI/MA (brasileira)</t>
  </si>
  <si>
    <t>jose.soares@regentedepolo.uniasselvi.com.br</t>
  </si>
  <si>
    <t>JOSE ANTONIO OLIVEIRA DE FREITAS</t>
  </si>
  <si>
    <t>Brasil - Arroio dos Ratos/RS (Brasileira)</t>
  </si>
  <si>
    <t>Brasil - ARROIO DOS RATOS/RS (brasileira)</t>
  </si>
  <si>
    <t>186|RS - CANOAS</t>
  </si>
  <si>
    <t>100117582@tutor.uniasselvi.com.br</t>
  </si>
  <si>
    <t>JOSE ARCLENES DE SOUSA DA SILVA</t>
  </si>
  <si>
    <t>arclenes.sousa@gmail.com</t>
  </si>
  <si>
    <t>JOSE ARUDA PINHEIRO MACHADO</t>
  </si>
  <si>
    <t>josearuda01@gmail.com</t>
  </si>
  <si>
    <t>JOSE CARLOS DA SILVA PRATA</t>
  </si>
  <si>
    <t>231|DF - BRASILIA (TAGUATINGA)</t>
  </si>
  <si>
    <t>jose.prata@regentedepolo.uniasselvi.com.br</t>
  </si>
  <si>
    <t>JOSE CLEITON DA SILVA</t>
  </si>
  <si>
    <t>Brasil - Lajedo/PE (Brasileira)</t>
  </si>
  <si>
    <t>jose.silva@regentedepolo.uniasselvi.com.br</t>
  </si>
  <si>
    <t>JOSE GENILSON ROMAO NETO</t>
  </si>
  <si>
    <t>jose.neto@regentedepolo.uniasselvi.com.br</t>
  </si>
  <si>
    <t>JOSE MOISES DE FREITAS</t>
  </si>
  <si>
    <t>Brasil - Morrinhos/CE (Brasileira)</t>
  </si>
  <si>
    <t>Brasil - MORRINHOS/CE (brasileira)</t>
  </si>
  <si>
    <t>757|CE - MORRINHOS</t>
  </si>
  <si>
    <t>jose.mfreitas@regentedepolo.uniasselvi.com.br</t>
  </si>
  <si>
    <t>JOSE RICARDO PINTO BRAGA</t>
  </si>
  <si>
    <t>jose.braga@regentedepolo.uniasselvi.com.br</t>
  </si>
  <si>
    <t>JOSE ROBERTO DA SILVA MELO</t>
  </si>
  <si>
    <t>544|PE - CARUARU</t>
  </si>
  <si>
    <t>jose.melo@regentedepolo.uniasselvi.com.br</t>
  </si>
  <si>
    <t>JOSELIA BALDEZ</t>
  </si>
  <si>
    <t>joselia.baldez@regentedepolo.uniasselvi.com.br</t>
  </si>
  <si>
    <t>JOSIANE CHERBISKI</t>
  </si>
  <si>
    <t>Brasil - HERVAL D'OESTE/SC (brasileira)</t>
  </si>
  <si>
    <t>josiane.cherbiski@regentedepolo.uniasselvi.com.br</t>
  </si>
  <si>
    <t>JOSIANE MARIA PONTES DA SILVA</t>
  </si>
  <si>
    <t>Brasil - Bonito/PE (Brasileira)</t>
  </si>
  <si>
    <t>Brasil - BONITO/PE (brasileira)</t>
  </si>
  <si>
    <t>josiane.silva@regentedepolo.uniasselvi.com.br</t>
  </si>
  <si>
    <t>JOSIANI BERNARDO CALEFI</t>
  </si>
  <si>
    <t>398|SC - GASPAR</t>
  </si>
  <si>
    <t>josiani.calefi@regentedepolo.uniasselvi.com.br</t>
  </si>
  <si>
    <t>JOSILENE CARAMES MELO</t>
  </si>
  <si>
    <t>josilene.melo@regentedepolo.uniasselvi.com.br</t>
  </si>
  <si>
    <t>JOYCIEIDE VIVIA SOARES DE SOUZA</t>
  </si>
  <si>
    <t>joycieide.souza@regentedepolo.uniasselvi.com.br</t>
  </si>
  <si>
    <t>JUCIANO ROMAO DA SILVA</t>
  </si>
  <si>
    <t>Brasil - Itaporanga/PB (Brasileira)</t>
  </si>
  <si>
    <t>Brasil - ITAPORANGA/PB (brasileira)</t>
  </si>
  <si>
    <t>juciano.silva@regentedepolo.uniasselvi.com.br</t>
  </si>
  <si>
    <t>JUCINEI DA SILVA JANUARIO</t>
  </si>
  <si>
    <t>jucinei.januario@regentedepolo.uniasselvi.com.br</t>
  </si>
  <si>
    <t>JULIANA D ARC DE FRANCA</t>
  </si>
  <si>
    <t>Brasil - PAULISTA/PE (brasileira)</t>
  </si>
  <si>
    <t>549|PE - PAULISTA</t>
  </si>
  <si>
    <t>juliana.franca@regentedepolo.uniasselvi.com.br</t>
  </si>
  <si>
    <t>JULIANA DA SILVA FORTES CAMPOS</t>
  </si>
  <si>
    <t>288|AC - SENA MADUREIRA</t>
  </si>
  <si>
    <t>juliana.campos@regentedepolo.uniasselvi.com.br</t>
  </si>
  <si>
    <t>JULIANA DO NASCIMENTO BERNARDO</t>
  </si>
  <si>
    <t>juliana.bernardo@regentedepolo.uniasselvi.com.br</t>
  </si>
  <si>
    <t>JULIANA JOSE CAXITO</t>
  </si>
  <si>
    <t>100146023@tutor.uniasselvi.com.br</t>
  </si>
  <si>
    <t>JULIANA KESSIA VIEIRA REGIS</t>
  </si>
  <si>
    <t>juliana.regis@regentedepolo.uniasselvi.com.br</t>
  </si>
  <si>
    <t>JULIANA MAGNUS BELLETTINI</t>
  </si>
  <si>
    <t>Brasil - TORRES/RS (brasileira)</t>
  </si>
  <si>
    <t>juliana.bellettini@regentedepolo.uniasselvi.com.br</t>
  </si>
  <si>
    <t>JULIANA MILHOMEM PAZ</t>
  </si>
  <si>
    <t>juliana.paz@regentedepolo.uniasselvi.com.br</t>
  </si>
  <si>
    <t>JULIANA PEREIRA BOAVENTURA</t>
  </si>
  <si>
    <t>juliana.boaventura@regentedepolo.uniasselvi.com.br</t>
  </si>
  <si>
    <t>JULIANA SIBELE BARROS LOPES</t>
  </si>
  <si>
    <t>juliana.lopes@regentedepolo.uniasselvi.com.br</t>
  </si>
  <si>
    <t>JULIANA SILVEIRA DA SILVA SANTOS</t>
  </si>
  <si>
    <t>juliana.santos@regentedepolo.uniasselvi.com.br</t>
  </si>
  <si>
    <t>JULIANA VENANCIO DOS SANTOS</t>
  </si>
  <si>
    <t>juliana.venancio146@gmail.com</t>
  </si>
  <si>
    <t>JULIANE ALVES RIBEIRO DIOGENES</t>
  </si>
  <si>
    <t>Brasil - São Raimundo Nonato/PI (Brasileira)</t>
  </si>
  <si>
    <t>Brasil - SÃO RAIMUNDO NONATO/PI (brasileira)</t>
  </si>
  <si>
    <t>229|PI - SAO RAIMUNDO NONATO</t>
  </si>
  <si>
    <t>JULIANE BARRETTO COSTA</t>
  </si>
  <si>
    <t>Brasil - BOA VISTA/RR (brasileira)</t>
  </si>
  <si>
    <t>juliane.costa@regentedepolo.uniasselvi.com.br</t>
  </si>
  <si>
    <t>JULIANE SOARES DE AVILA</t>
  </si>
  <si>
    <t>533|MT - CUIABA (ALTOS DO COXIPO)</t>
  </si>
  <si>
    <t>juliane.avila@regentedepolo.uniasselvi.com.br</t>
  </si>
  <si>
    <t>JULIANI BARBOSA DE OLIVEIRA</t>
  </si>
  <si>
    <t>juliani.oliveira@regentedepolo.uniasselvi.com.br</t>
  </si>
  <si>
    <t>JULIANO DE SANTI</t>
  </si>
  <si>
    <t>Brasil - Concórdia/SC (Brasileira)</t>
  </si>
  <si>
    <t>Brasil - CONCÓRDIA/SC (brasileira)</t>
  </si>
  <si>
    <t>juliano.santi@regentedepolo.uniasselvi.com.br</t>
  </si>
  <si>
    <t>JULIO CESAR MOURA BATISTA</t>
  </si>
  <si>
    <t>24.777.709-7</t>
  </si>
  <si>
    <t>julio.batista@regentedepolo.uniasselvi.com.br</t>
  </si>
  <si>
    <t>JULIO CESAR VERIATO ZOLLY</t>
  </si>
  <si>
    <t>julio.zolly@regentedepolo.uniasselvi.com.br</t>
  </si>
  <si>
    <t>JULIO NEVES DA COSTA</t>
  </si>
  <si>
    <t>julio.costa@regentedepolo.uniasselvi.com.br</t>
  </si>
  <si>
    <t>JUNIOR CESAR MOTA</t>
  </si>
  <si>
    <t>Brasil - Nova Trento/SC (Brasileira)</t>
  </si>
  <si>
    <t>Brasil - NOVA TRENTO/SC (brasileira)</t>
  </si>
  <si>
    <t>junior.mota@regentedepolo.uniasselvi.com.br</t>
  </si>
  <si>
    <t>JUNIOR MENDES</t>
  </si>
  <si>
    <t>Brasil - Santa Luzia do Paruá/MA (Brasileira)</t>
  </si>
  <si>
    <t>Brasil - SANTA LUZIA DO PARUÁ/MA (brasileira)</t>
  </si>
  <si>
    <t>junior.mendes@regentedepolo.uniasselvi.com.br</t>
  </si>
  <si>
    <t>JUREMA GONCALVES LOPES DE CASTRO FILHA</t>
  </si>
  <si>
    <t>033469894 4</t>
  </si>
  <si>
    <t>jurema.filha@regentedepolo.uniasselvi.com.br</t>
  </si>
  <si>
    <t>JUSSANDRO PLACIDO LEITE</t>
  </si>
  <si>
    <t>Brasil - Pesqueira/PE (Brasileira)</t>
  </si>
  <si>
    <t>Brasil - PESQUEIRA/PE (brasileira)</t>
  </si>
  <si>
    <t>335|PE - PESQUEIRA</t>
  </si>
  <si>
    <t>jussandro.leite@regentedepolo.uniasselvi.com.br</t>
  </si>
  <si>
    <t>JUSSI MARA ARISTOTELES MEDEIROS</t>
  </si>
  <si>
    <t>Brasil - Paranaguá/PR (Brasileira)</t>
  </si>
  <si>
    <t>Brasil - PARANAGUÁ/PR (brasileira)</t>
  </si>
  <si>
    <t>471|PR - PARANAGUA</t>
  </si>
  <si>
    <t>jussi.medeiros@regentedepolo.uniasselvi.com.br</t>
  </si>
  <si>
    <t>JUVENTINO NERES</t>
  </si>
  <si>
    <t>Brasil - Ponte Serrada/SC (Brasileira)</t>
  </si>
  <si>
    <t>Brasil - PONTE SERRADA/SC (brasileira)</t>
  </si>
  <si>
    <t>juventino.neres@regentedepolo.uniasselvi.com.br</t>
  </si>
  <si>
    <t>KALI NOABE XAVIER SANTOS DE MELLO</t>
  </si>
  <si>
    <t>29.419.657-1</t>
  </si>
  <si>
    <t>kali.mello@regentedepolo.uniasselvi.com.br</t>
  </si>
  <si>
    <t>KALINE ELISA DOS SANTOS</t>
  </si>
  <si>
    <t>Brasil - São Julião/PI (Brasileira)</t>
  </si>
  <si>
    <t>kaline.santos@regentedepolo.uniasselvi.com.br</t>
  </si>
  <si>
    <t>KAMILA RODRIGUES RIBEIRO</t>
  </si>
  <si>
    <t>Brasil - MONTES CLAROS/MG (brasileira)</t>
  </si>
  <si>
    <t>143|MG - MONTES CLAROS</t>
  </si>
  <si>
    <t>kamila.ribeiro@regentedepolo.uniasselvi.com.br</t>
  </si>
  <si>
    <t>KAMILLA FERREIRA DA SILVA SOUZA</t>
  </si>
  <si>
    <t>kamilla.souza@regentedepolo.uniasselvi.com.br</t>
  </si>
  <si>
    <t>KAREN CRISTINA SOUZA DOS REIS</t>
  </si>
  <si>
    <t>Brasil - RIO PRETO DA EVA/AM (brasileira)</t>
  </si>
  <si>
    <t>873|AM - RIO PRETO DA EVA</t>
  </si>
  <si>
    <t>100139504@tutor.uniasselvi.com.br</t>
  </si>
  <si>
    <t>KARINA OLIVEIRA DOS SANTOS</t>
  </si>
  <si>
    <t>Brasil - Água Azul Do Norte/PA (Brasileira)</t>
  </si>
  <si>
    <t>712|PA - XINGUARA</t>
  </si>
  <si>
    <t>karinamarillia@gmail.com</t>
  </si>
  <si>
    <t>KARINE ALANA DO NASCIMENTO</t>
  </si>
  <si>
    <t>Brasil - Marco/CE (Brasileira)</t>
  </si>
  <si>
    <t>karine.nascimento@regentedepolo.uniasselvi.com.br</t>
  </si>
  <si>
    <t>KARINE BURGEL FACIN</t>
  </si>
  <si>
    <t>Brasil - União da Vitória/PR (Brasileira)</t>
  </si>
  <si>
    <t>Brasil - UNIÃO DA VITÓRIA/PR (brasileira)</t>
  </si>
  <si>
    <t>100107256@tutor.uniasselvi.com.br</t>
  </si>
  <si>
    <t>KARINE GASPAR MARTINS HAMAD</t>
  </si>
  <si>
    <t>karine.hamad@regentedepolo.uniasselvi.com.br</t>
  </si>
  <si>
    <t>KARINE HELENA MORAIS</t>
  </si>
  <si>
    <t>Brasil - Balneário Camboriú/SC (Brasileira)</t>
  </si>
  <si>
    <t>karine.morais@regentedepolo.uniasselvi.com.br</t>
  </si>
  <si>
    <t>KARINE LINO RODRIGUES</t>
  </si>
  <si>
    <t>Brasil - Jaguariaíva/PR (Brasileira)</t>
  </si>
  <si>
    <t>karine_lino@hotmail.com</t>
  </si>
  <si>
    <t>KARINE RAFAELA DE MOURA</t>
  </si>
  <si>
    <t>karine.moura@regentedepolo.uniasselvi.com.br</t>
  </si>
  <si>
    <t>KARLA OLIVEIRA</t>
  </si>
  <si>
    <t>Brasil - URUSSANGA/SC (brasileira)</t>
  </si>
  <si>
    <t>karla.oliveira@regentedepolo.uniasselvi.com.br</t>
  </si>
  <si>
    <t>KAROLINE PITAN</t>
  </si>
  <si>
    <t>Brasil - Santo Amaro Da Imperatriz/SC (Brasileira)</t>
  </si>
  <si>
    <t>Brasil - ÁGUAS MORNAS/SC (brasileira)</t>
  </si>
  <si>
    <t>071|SC - SANTO AMARO DA IMPERATRIZ</t>
  </si>
  <si>
    <t>karoline.pitan@regentedepolo.uniasselvi.com.br</t>
  </si>
  <si>
    <t>KATIA EMILIA MACIEL</t>
  </si>
  <si>
    <t>20861@tutor.uniasselvi.com.br</t>
  </si>
  <si>
    <t>KATIA MARCIA XAVIER DA SILVA</t>
  </si>
  <si>
    <t>Brasil - Angelim/PE (Brasileira)</t>
  </si>
  <si>
    <t>Brasil - ANGELIM/PE (brasileira)</t>
  </si>
  <si>
    <t xml:space="preserve">166|PE - CANHOTINHO                    </t>
  </si>
  <si>
    <t>katia.silva@regentedepolo.uniasselvi.com.br</t>
  </si>
  <si>
    <t>KATIA MARIA VENDRAME GUINDANI</t>
  </si>
  <si>
    <t>katiavg25@gmail.com</t>
  </si>
  <si>
    <t>KATIA REGINA STRIETHORST ANTUNES</t>
  </si>
  <si>
    <t>katia.antunes@regentedepolo.uniasselvi.com.br</t>
  </si>
  <si>
    <t>KEILA ANASTACIO</t>
  </si>
  <si>
    <t>078.702.189-01</t>
  </si>
  <si>
    <t>keila.anastacio@regentedepolo.uniasselvi.com.br</t>
  </si>
  <si>
    <t>KEISE DAYANNE LEAL SARRAF</t>
  </si>
  <si>
    <t>keise.sarraf@regentedepolo.uniasselvi.com.br</t>
  </si>
  <si>
    <t>KEITILLY DE CARVALHO MENDES</t>
  </si>
  <si>
    <t>332.020-4</t>
  </si>
  <si>
    <t>keitilly.mendes@regentedepolo.uniasselvi.com.br</t>
  </si>
  <si>
    <t>KELLY TICIANA SCHUMANN</t>
  </si>
  <si>
    <t>Brasil - Rio dos Cedros/SC (Brasileira)</t>
  </si>
  <si>
    <t>Brasil - RIO DOS CEDROS/SC (brasileira)</t>
  </si>
  <si>
    <t>kelly.schumann@regentedepolo.uniasselvi.com.br</t>
  </si>
  <si>
    <t>KELY CRISTINA ZIMMERMANN</t>
  </si>
  <si>
    <t>2/C2447867</t>
  </si>
  <si>
    <t>kely.zimmermann@regentedepolo.uniasselvi.com.br</t>
  </si>
  <si>
    <t>KENE CRISTINE GOMES PARIZ</t>
  </si>
  <si>
    <t>M-6.246.048</t>
  </si>
  <si>
    <t>009|ES - SERRA (BARCELONA - UNIDADE 1)</t>
  </si>
  <si>
    <t>kene.pariz@regentedepolo.uniasselvi.com.br</t>
  </si>
  <si>
    <t>KENNET ANDERSSO DA SILVA MACIEL</t>
  </si>
  <si>
    <t>kennet.maciel@regentedepolo.uniasselvi.com.br</t>
  </si>
  <si>
    <t>KEOMA KEWYNNY DE OLIVEIRA</t>
  </si>
  <si>
    <t>Brasil - Arapiraca/AL (Brasileira)</t>
  </si>
  <si>
    <t>Brasil - ARAPIRACA/AL (brasileira)</t>
  </si>
  <si>
    <t>keoma.oliveira@regentedepolo.uniasselvi.com.br</t>
  </si>
  <si>
    <t>KETLEN OLIVEIRA BASTOS</t>
  </si>
  <si>
    <t>754|AM - CAREIRO</t>
  </si>
  <si>
    <t>ketlen.bastos@regentedepolo.uniasselvi.com.br</t>
  </si>
  <si>
    <t>KLENIO BEZERRA DE SA</t>
  </si>
  <si>
    <t>Brasil - Ibiapina/CE (Brasileira)</t>
  </si>
  <si>
    <t>klenio.sa@regentedepolo.uniasselvi.com.br</t>
  </si>
  <si>
    <t>KLEVERTON VIEIRA DE ANDRADE</t>
  </si>
  <si>
    <t>kleverton.andrade@regentedepolo.uniasselvi.com.br</t>
  </si>
  <si>
    <t>LAIS DO SOCORRO DOS SANTOS RODRIGUES</t>
  </si>
  <si>
    <t>lais.rodrigues@regentedepolo.uniasselvi.com.br</t>
  </si>
  <si>
    <t>LAIS TREDICCI LOPES NIERO</t>
  </si>
  <si>
    <t>Brasil - Moji Das Cruzes/SP (Brasileira)</t>
  </si>
  <si>
    <t>lais.niero@regentedepolo.uniasselvi.com.br</t>
  </si>
  <si>
    <t>LARISSA JUSSARA LEITE DE BRITO SOMBRA</t>
  </si>
  <si>
    <t>larissa.sombra@regentedepolo.uniasselvi.com.br</t>
  </si>
  <si>
    <t>LAUDICREIA ISABEL SANCHES</t>
  </si>
  <si>
    <t>Brasil - OSASCO/SP (brasileira)</t>
  </si>
  <si>
    <t>laudicreia.sanches@regentedepolo.uniasselvi.com.br</t>
  </si>
  <si>
    <t>LAURA MATTOS DIMER</t>
  </si>
  <si>
    <t>laura.dimer@regentedepolo.uniasselvi.com.br</t>
  </si>
  <si>
    <t>LAURENE VAZ</t>
  </si>
  <si>
    <t>laurene.vaz@regentedepolo.uniasselvi.com.br</t>
  </si>
  <si>
    <t>LAURO PAULUS JUNIOR</t>
  </si>
  <si>
    <t>9/R2240450</t>
  </si>
  <si>
    <t>Brasil - RIO NEGRO/PR (Brasileira)</t>
  </si>
  <si>
    <t>Brasil - RIO NEGRO/PR (brasileira)</t>
  </si>
  <si>
    <t>28853@tutor.uniasselvi.com.br</t>
  </si>
  <si>
    <t>LEANDRO ANTUNES</t>
  </si>
  <si>
    <t xml:space="preserve">707|SC - PALHOCA (PAGANI)              </t>
  </si>
  <si>
    <t>100110530@tutor.uniasselvi.com.br</t>
  </si>
  <si>
    <t>LEANDRO DUARTE DUTRA</t>
  </si>
  <si>
    <t>leandro.dutra@regente.uniasselvi.com.br</t>
  </si>
  <si>
    <t>LEANDRO MARTINS COSTA DE ARAUJO</t>
  </si>
  <si>
    <t>MG- 14.048.820</t>
  </si>
  <si>
    <t>LEANE BRITO CAVALCANTE</t>
  </si>
  <si>
    <t>Brasil - Marcionílio Souza/BA (Brasileira)</t>
  </si>
  <si>
    <t>leane.cavalcante@regentedepolo.uniasselvi.com.br</t>
  </si>
  <si>
    <t>LENNA KAROLINE BARROS MEDEIROS</t>
  </si>
  <si>
    <t>2684649-7</t>
  </si>
  <si>
    <t>lenna.medeiros@regentedepolo.uniasselvi.com.br</t>
  </si>
  <si>
    <t>LEON MAYKE DE MORAIS SILVA</t>
  </si>
  <si>
    <t>412|CE - BOA VIAGEM</t>
  </si>
  <si>
    <t>leon.silva@regentedepolo.uniasselvi.com.br</t>
  </si>
  <si>
    <t>LEONARDO FLOCK</t>
  </si>
  <si>
    <t>067:67</t>
  </si>
  <si>
    <t>leonardo.flock@regentedepolo.uniasselvi.com.br</t>
  </si>
  <si>
    <t>LEONARDO SOARES STAMM</t>
  </si>
  <si>
    <t>leonardo.stamm@regentedepolo.uniasselvi.com.br</t>
  </si>
  <si>
    <t>LETIANA APARECIDA PIMENTEL</t>
  </si>
  <si>
    <t>10.295.888-8</t>
  </si>
  <si>
    <t>Brasil - PALMAS/PR (brasileira)</t>
  </si>
  <si>
    <t>letiana.pimentel@regentedepolo.uniasselvi.com.br</t>
  </si>
  <si>
    <t>LETIANE LEMES NOBRE</t>
  </si>
  <si>
    <t>Brasil - CAMAQUÃ/RS (Brasileira)</t>
  </si>
  <si>
    <t>letiane.nobre@regentedepolo.uniasselvi.com.br</t>
  </si>
  <si>
    <t>LETICIA DE ANDRADE CIRITELLI</t>
  </si>
  <si>
    <t>Brasil - Araputanga/MT (Brasileira)</t>
  </si>
  <si>
    <t>LETICIA MIRIAN DE SOUZA FARO</t>
  </si>
  <si>
    <t>leticia.faro@regentedepolo.uniasselvi.com.br</t>
  </si>
  <si>
    <t>LETICIA PEREIRA DA SILVA</t>
  </si>
  <si>
    <t>leticia.silva@regentedepolo.uniasselvi.com.br</t>
  </si>
  <si>
    <t>LIDIANA DIAS DOS SANTOS</t>
  </si>
  <si>
    <t xml:space="preserve">122|MA - BARREIRINHAS                  </t>
  </si>
  <si>
    <t>lidiana.santos@regentedepolo.uniasselvi.com.br</t>
  </si>
  <si>
    <t>LIDIANE RAMOS COSTA</t>
  </si>
  <si>
    <t>lidiane.costa@regentedepolo.uniasselvi.com.br</t>
  </si>
  <si>
    <t>LIDYANE SOUZA RIBEIRO</t>
  </si>
  <si>
    <t>lidyane.ribeiro@regentedepolo.uniasselvi.com.br</t>
  </si>
  <si>
    <t>LIGIANE PEDRON</t>
  </si>
  <si>
    <t>033.381.149-66</t>
  </si>
  <si>
    <t>ligiane.pedron@regentedepolo.uniasselvi.com.br</t>
  </si>
  <si>
    <t>LILIA SILENE ROSA DE SOUZA LIMA</t>
  </si>
  <si>
    <t>lilia.lima@regentedepolo.uniasselvi.com.br</t>
  </si>
  <si>
    <t>LILIAN ADRYA OLIVEIRA FERREIRA</t>
  </si>
  <si>
    <t>lilian.ferreira@regentedepolo.uniasselvi.com.br</t>
  </si>
  <si>
    <t>LILIAN MARIA DE MENESES BERNARDO</t>
  </si>
  <si>
    <t>LILIAN SOARES ALVES BRANCO</t>
  </si>
  <si>
    <t>lilian.branco@regentedepolo.uniasselvi.com.br</t>
  </si>
  <si>
    <t>LILIAN TAYNA DA SILVA RAULINO</t>
  </si>
  <si>
    <t>lilian.raulino@regentedepolo.uniasselvi.com.br</t>
  </si>
  <si>
    <t>LILIANI FELIX MASSELI</t>
  </si>
  <si>
    <t>liliani.masseli@regentedepolo.uniasselvi.com.br</t>
  </si>
  <si>
    <t>LILLIAN EVELLY VASCONCELOS SOUSA</t>
  </si>
  <si>
    <t>2015180114-7</t>
  </si>
  <si>
    <t>Brasil - SOBRAL/CE (brasileira)</t>
  </si>
  <si>
    <t>lillian.sousa@regentedepolo.uniasselvi.com.br</t>
  </si>
  <si>
    <t>LIRIA ANGELICA SILVA ARAUJO</t>
  </si>
  <si>
    <t>liria.araujo@regentedepolo.uniasselvi.com.br</t>
  </si>
  <si>
    <t>LIS BRENDHA DA SILVA MAGALHAES</t>
  </si>
  <si>
    <t>100165314@tutor.uniasselvi.com.br</t>
  </si>
  <si>
    <t>LISANDRA PETRY MARTINS</t>
  </si>
  <si>
    <t>lisandra.martins@regentedepolo.uniasselvi.com.br</t>
  </si>
  <si>
    <t>LISOLENE BRANDAO BRITO</t>
  </si>
  <si>
    <t>lisolene.brito@regentedepolo.uniasselvi.com.br</t>
  </si>
  <si>
    <t>LIVIA ESPIRITO SANTO ROSA EGER</t>
  </si>
  <si>
    <t>100115009@tutor.uniasselvi.com.br</t>
  </si>
  <si>
    <t>LIVIENE MARIA DE OLIVEIRA LOURENCO</t>
  </si>
  <si>
    <t>Brasil - Camocim/CE (Brasileira)</t>
  </si>
  <si>
    <t>liviene.lourenco@regentedepolo.uniasselvi.com.br</t>
  </si>
  <si>
    <t>LIZYANNE SOUZA RIBEIRO</t>
  </si>
  <si>
    <t>lizyanne.ribeiro@regentedepolo.uniasselvi.com.br</t>
  </si>
  <si>
    <t>LOHENA RODRIGUES GOMES FERREIRA</t>
  </si>
  <si>
    <t>lohena.ferreira@regentedepolo.uniasselvi.com.br</t>
  </si>
  <si>
    <t>LOIDE CHIMANKO</t>
  </si>
  <si>
    <t>Brasil - Arabutã/SC (Brasileira)</t>
  </si>
  <si>
    <t>loide.chimanko@regentedepolo.uniasselvi.com.br</t>
  </si>
  <si>
    <t>LONCLEI BALIEIRO DANTAS</t>
  </si>
  <si>
    <t>lonclei.dantas@regentedepolo.uniasselvi.com.br</t>
  </si>
  <si>
    <t>LOUISE LIMA LANTIE BRITO</t>
  </si>
  <si>
    <t>647|SE - ESTANCIA</t>
  </si>
  <si>
    <t>louise.brito@regentedepolo.uniasselvi.com.br</t>
  </si>
  <si>
    <t>LUAN FELIPE LUIZ</t>
  </si>
  <si>
    <t>luan.luiz@regentedepolo.uniasselvi.com.br</t>
  </si>
  <si>
    <t>LUANA LAMPERTI</t>
  </si>
  <si>
    <t>luana.lamperti@regentedepolo.uniasselvi.com.br</t>
  </si>
  <si>
    <t>LUANA MENGUAL CEQUINE</t>
  </si>
  <si>
    <t>Brasil - Morro Agudo/SP (Brasileira)</t>
  </si>
  <si>
    <t>Brasil - CRISTALINA/GO (brasileira)</t>
  </si>
  <si>
    <t>605|GO - CRISTALINA</t>
  </si>
  <si>
    <t>luana.cequine@regentedepolo.uniasselvi.com.br</t>
  </si>
  <si>
    <t>LUANA MESQUITA BERRI</t>
  </si>
  <si>
    <t>luana.berri@mediador.uniasselvi.com.br</t>
  </si>
  <si>
    <t>LUANA PEREIRA DE AMORIM</t>
  </si>
  <si>
    <t>Brasil - JURUÁ/AM (brasileira)</t>
  </si>
  <si>
    <t>255|AM - JURUA</t>
  </si>
  <si>
    <t>luana.amorim@regentedepolo.uniasselvi.com.br</t>
  </si>
  <si>
    <t>LUANE PORTILHO BAIA</t>
  </si>
  <si>
    <t>luane.baia@regentedepolo.uniasselvi.com.br</t>
  </si>
  <si>
    <t>LUCAS RIBEIRO DE FREITAS</t>
  </si>
  <si>
    <t>27.427.236-8</t>
  </si>
  <si>
    <t>lucas.freitas@regentedepolo.uniasselvi.com.br</t>
  </si>
  <si>
    <t>LUCAS RIGON LINK</t>
  </si>
  <si>
    <t>lucas.link@regentedepolo.uniasselvi.com.br</t>
  </si>
  <si>
    <t>LUCAS VITOR BAUMGARTNER</t>
  </si>
  <si>
    <t>lucas.baumgartner@regentedepolo.uniasselvi.com.br</t>
  </si>
  <si>
    <t>LUCAS WEBER</t>
  </si>
  <si>
    <t>103.481.279-36</t>
  </si>
  <si>
    <t>Brasil - Petrolândia/SC (Brasileira)</t>
  </si>
  <si>
    <t>Brasil - PETROLÂNDIA/SC (brasileira)</t>
  </si>
  <si>
    <t>lucas.weber@regentedepolo.uniasselvi.com.br</t>
  </si>
  <si>
    <t>LUCIANA DEMARCHI</t>
  </si>
  <si>
    <t>Brasil - São Bernardo do Campo/SP (Brasileira)</t>
  </si>
  <si>
    <t>Brasil - SÃO BERNARDO DO CAMPO/SP (brasileira)</t>
  </si>
  <si>
    <t>luciana.demarchi@regentedepolo.uniasselvi.com.br</t>
  </si>
  <si>
    <t>LUCIANA MARIA DA SILVA SANTOS</t>
  </si>
  <si>
    <t>Brasil - São Joaquim Do Monte/PE (Brasileira)</t>
  </si>
  <si>
    <t>luciana.santos@regentedepolo.uniasselvi.com.br</t>
  </si>
  <si>
    <t>LUCIANA TRETTIN</t>
  </si>
  <si>
    <t>luciana.trettin@regentedepolo.uniasselvi.com.br</t>
  </si>
  <si>
    <t>LUCIANE BARRA VIANA</t>
  </si>
  <si>
    <t>luciane.viana@regentedepolo.uniasselvi.com.br</t>
  </si>
  <si>
    <t>LUCIANE CRISTINE BIANCHINI VIEIRA</t>
  </si>
  <si>
    <t>Brasil - Arroio do Meio/RS (Brasileira)</t>
  </si>
  <si>
    <t>Brasil - ARROIO DO MEIO/RS (brasileira)</t>
  </si>
  <si>
    <t>luciane.vieira@regentedepolo.uniasselvi.com.br</t>
  </si>
  <si>
    <t>LUCIANE LUMMERTZ AGUIAR</t>
  </si>
  <si>
    <t>Brasil - São João do Sul/SC (Brasileira)</t>
  </si>
  <si>
    <t>Brasil - SÃO JOÃO DO SUL/SC (brasileira)</t>
  </si>
  <si>
    <t>luciane.aguiar@regentedepolo.uniasselvi.com.br</t>
  </si>
  <si>
    <t>LUCIANE MARIA DE MELO PAES</t>
  </si>
  <si>
    <t>luciane.paes@regentedepolo.uniasselvi.com.br</t>
  </si>
  <si>
    <t>LUCIANO ARAUJO DA COSTA</t>
  </si>
  <si>
    <t>100170374@tutor.uniasselvi.com.br</t>
  </si>
  <si>
    <t>LUCIANO DE LACERDA GURSKI</t>
  </si>
  <si>
    <t>luciano.gurski@regentedepolo.uniasselvi.com.br</t>
  </si>
  <si>
    <t>LUCIANO MOMM</t>
  </si>
  <si>
    <t>Brasil - Bom Retiro/SC (Brasileira)</t>
  </si>
  <si>
    <t>Brasil - BOM RETIRO/SC (brasileira)</t>
  </si>
  <si>
    <t>luciano.momm@regentedepolo.uniasselvi.com.br</t>
  </si>
  <si>
    <t>LUCIANO RIBEIRO GOMES NETO</t>
  </si>
  <si>
    <t>758|RJ - NITEROI (INGA)</t>
  </si>
  <si>
    <t>luciano.neto@regentedepolo.uniasselvi.com.br</t>
  </si>
  <si>
    <t>LUCIENE MONTEIRO DE FRANCA BARROS</t>
  </si>
  <si>
    <t>luciene.barros@regentedepolo.uniasselvi.com.br</t>
  </si>
  <si>
    <t>LUCIMAR RAMOS DE LIMA</t>
  </si>
  <si>
    <t xml:space="preserve">157|PA - BREVES                        </t>
  </si>
  <si>
    <t>lucimar.lima@regentedepolo.uniasselvi.com.br</t>
  </si>
  <si>
    <t>LUCIMARA VARELLA CAMARGO CHARAO</t>
  </si>
  <si>
    <t>460|SC - ARAQUARI</t>
  </si>
  <si>
    <t>lucimara.camargo@regentedepolo.uniasselvi.com.br</t>
  </si>
  <si>
    <t>LUCINILDA DE MOURA</t>
  </si>
  <si>
    <t>100133501@tutor.uniasselvi.com.br</t>
  </si>
  <si>
    <t>88 994503056</t>
  </si>
  <si>
    <t>LUCIVANDA OLIVEIRA TEODORO</t>
  </si>
  <si>
    <t>lucivanda.teodoro@regentedepolo.uniasselvi.com.br</t>
  </si>
  <si>
    <t>LUENNA VIANA MOTA</t>
  </si>
  <si>
    <t>Brasil - Barreiras/BA (Brasileira)</t>
  </si>
  <si>
    <t>Brasil - BARREIRAS/BA (brasileira)</t>
  </si>
  <si>
    <t>luenna.mota@regentedepolo.uniasselvi.com.br</t>
  </si>
  <si>
    <t>LUIS ENIO AZAMBUJA DA SILVA</t>
  </si>
  <si>
    <t>075|RS - PORTO ALEGRE (ZONA NORTE)</t>
  </si>
  <si>
    <t>luis.silva@regentedepolo.uniasselvi.com.br</t>
  </si>
  <si>
    <t>LUIS FERNANDO FARIA BARRETO</t>
  </si>
  <si>
    <t>Brasil - Paraibuna/SP (Brasileira)</t>
  </si>
  <si>
    <t>luis.fbarreto@regentedepolo.uniasselvi.com.br</t>
  </si>
  <si>
    <t>LUIS GEOVANNY SARAIVA BARRETO</t>
  </si>
  <si>
    <t>luis.barreto@regentedepolo.uniasselvi.com.br</t>
  </si>
  <si>
    <t>LUIS PAULO DOS SANTOS DE CASTRO</t>
  </si>
  <si>
    <t>luis.castro@regentedepolo.uniasselvi.com.br</t>
  </si>
  <si>
    <t>LUIS RIBEIRO DA ROCHA</t>
  </si>
  <si>
    <t>luis.rocha@regentedepolo.uniasselvi.com.br</t>
  </si>
  <si>
    <t>LUIZ ANDERSON MARINHO OLIVEIRA</t>
  </si>
  <si>
    <t>Brasil - Barra do Piraí/RJ (Brasileira)</t>
  </si>
  <si>
    <t>luiz.oliveira@regentedepolo.uniasselvi.com.br</t>
  </si>
  <si>
    <t>LUIZ DIAS DA SILVA</t>
  </si>
  <si>
    <t>535|SP - SAO PAULO (TATUAPE)</t>
  </si>
  <si>
    <t>LUIZ FERNANDO DOS SANTOS MIRANDA</t>
  </si>
  <si>
    <t>luiz.miranda@regentedepolo.uniasselvi.com.br</t>
  </si>
  <si>
    <t>LUIZ FERNANDO FRAMIL FERNANDES</t>
  </si>
  <si>
    <t>luiz.fernandes@regentedepolo.uniasselvi.com.br</t>
  </si>
  <si>
    <t>LUIZA EMMANUELLE SARAIVA DE ARAUJO</t>
  </si>
  <si>
    <t>luiza.araujo@regentedepolo.uniasselvi.com.br</t>
  </si>
  <si>
    <t>LUZ MARY PADILHA DIAS</t>
  </si>
  <si>
    <t>luz.dias@regentedepolo.uniasselvi.com.br</t>
  </si>
  <si>
    <t>LUZIANE MARIA FERREIRA DOS SANTOS FURTADO</t>
  </si>
  <si>
    <t>Brasil - Mara Rosa/GO (Brasileira)</t>
  </si>
  <si>
    <t>luziane.furtado@regentedepolo.uniasselvi.com.br</t>
  </si>
  <si>
    <t>LUZINEI DA COSTA BARBOSA</t>
  </si>
  <si>
    <t>Brasil - Tapauá/AM (Brasileira)</t>
  </si>
  <si>
    <t>Brasil - TAPAUÁ/AM (brasileira)</t>
  </si>
  <si>
    <t>luzinei.barbosa@regentedepolo.uniasselvi.com.br</t>
  </si>
  <si>
    <t>MABSON DE JESUS GOMES DOS SANTOS</t>
  </si>
  <si>
    <t>mabson.santos@regentedepolo.uniasselvi.com.br</t>
  </si>
  <si>
    <t>MAHELE VERONICA DOS SANTOS SILVA</t>
  </si>
  <si>
    <t>mahele.silva@regentedepolo.uniasselvi.com.br</t>
  </si>
  <si>
    <t>MAICON KREUTZFELD</t>
  </si>
  <si>
    <t>Brasil - Ibirama/SC (Brasileira)</t>
  </si>
  <si>
    <t>Brasil - IBIRAMA/SC (brasileira)</t>
  </si>
  <si>
    <t>367|SC - IBIRAMA</t>
  </si>
  <si>
    <t>maicon.kreutzfeld@regentedepolo.uniasselvi.com.br</t>
  </si>
  <si>
    <t>MAIRA LIANA MAAS ROBLES</t>
  </si>
  <si>
    <t>260|SC - INDAIAL (CENTRO)</t>
  </si>
  <si>
    <t>maira.robles@regentedepolo.uniasselvi.com.br</t>
  </si>
  <si>
    <t>MANOEL WESLEY CARVALHO ROCHA</t>
  </si>
  <si>
    <t>Brasil - Floriano/PI (Brasileira)</t>
  </si>
  <si>
    <t>Brasil - FLORIANO/PI (brasileira)</t>
  </si>
  <si>
    <t>manoel.rocha@regentedepolo.uniasselvi.com.br</t>
  </si>
  <si>
    <t>MANOELA LARA DIAS</t>
  </si>
  <si>
    <t>Brasil - Juscimeira/MT (Brasileira)</t>
  </si>
  <si>
    <t>Brasil - CAMPO VERDE/MT (brasileira)</t>
  </si>
  <si>
    <t>616|MT - CAMPO VERDE</t>
  </si>
  <si>
    <t>manoela.dias@regentedepolo.uniasselvi.com.br</t>
  </si>
  <si>
    <t>MARA LUCIA SANTOS DE PAULA</t>
  </si>
  <si>
    <t>mara.paula@regentedepolo.uniasselvi.com.br</t>
  </si>
  <si>
    <t>MARA RUBIA ANDRADE DE CARVALHO</t>
  </si>
  <si>
    <t>Brasil - Mutuípe/BA (Brasileira)</t>
  </si>
  <si>
    <t>Brasil - MUTUÍPE/BA (brasileira)</t>
  </si>
  <si>
    <t>266|SE - ESTANCIA</t>
  </si>
  <si>
    <t>mara.carvalho@regentedepolo.uniasselvi.com.br</t>
  </si>
  <si>
    <t>MARCELA DA SILVA MELO</t>
  </si>
  <si>
    <t>marcela.melo@regentedepolo.uniasselvi.com.br</t>
  </si>
  <si>
    <t>MARCELA GONCALVES VAZ COUTINHO</t>
  </si>
  <si>
    <t>100163508@tutor.uniasselvi.com.br</t>
  </si>
  <si>
    <t>MARCELA MOREIRA BRATTI AVILA</t>
  </si>
  <si>
    <t>marcela.bratti@regentedepolo.uniasselvi.com.br</t>
  </si>
  <si>
    <t>MARCELLE PATRICIA OLIVEIRA PINTO</t>
  </si>
  <si>
    <t>MARCELO DE LEMOS GONCALVES LASSALA</t>
  </si>
  <si>
    <t>387|RJ - CABO FRIO</t>
  </si>
  <si>
    <t>MARCELO RODRIGUES RIBEIRO DOS SANTOS</t>
  </si>
  <si>
    <t>59.901.748-x</t>
  </si>
  <si>
    <t>marcelo.santos@regentedepolo.uniasselvi.com.br</t>
  </si>
  <si>
    <t>MARCIA COELHO DE OLIVEIRA SOUZA</t>
  </si>
  <si>
    <t>marcia.csouza@regentedepolo.uniasselvi.com.br</t>
  </si>
  <si>
    <t>MARCIA CRISTINA MONTEIRO RIBEIRO</t>
  </si>
  <si>
    <t>marcia.ribeiro@regentedepolo.uniasselvi.com.br</t>
  </si>
  <si>
    <t>MARCIA CRISTINA TARGUETA DE SOUZA</t>
  </si>
  <si>
    <t>Brasil - SEROPÉDICA/RJ (brasileira)</t>
  </si>
  <si>
    <t>marcia.souza@regentedepolo.uniasselvi.com.br</t>
  </si>
  <si>
    <t>MARCIA DE JESUS CONCEICAO</t>
  </si>
  <si>
    <t>marcia.conceicao@regentedepolo.uniasselvi.com.br</t>
  </si>
  <si>
    <t>MARCIA ELIZABETE DA SILVA</t>
  </si>
  <si>
    <t>677|PE - RECIFE (MADALENA)</t>
  </si>
  <si>
    <t>marcia.silva@regentedepolo.uniasselvi.com.br</t>
  </si>
  <si>
    <t>MARCIA FRANCISCA DIOGO RODRIGUES</t>
  </si>
  <si>
    <t>Brasil - Ceilândia/DF (brasileira)</t>
  </si>
  <si>
    <t>marcia.rodrigues@regentedepolo.uniasselvi.com.br</t>
  </si>
  <si>
    <t>MARCIA GOMES DE SOUZA</t>
  </si>
  <si>
    <t>marcia.gsouza@regentedepolo.uniasselvi.com.br</t>
  </si>
  <si>
    <t>MARCIA LIMA DOS SANTOS</t>
  </si>
  <si>
    <t>marcia.lsantos@regentedepolo.uniasselvi.com.br</t>
  </si>
  <si>
    <t>MARCIA RIOS BRANDAO</t>
  </si>
  <si>
    <t>marcia.brandao@regentedepolo.uniasselvi.com.br</t>
  </si>
  <si>
    <t>MARCIA ROSANE SILVA DOS SANTOS</t>
  </si>
  <si>
    <t>Brasil - Taquari/RS (Brasileira)</t>
  </si>
  <si>
    <t>MARCIA SANTOS DA SILVA</t>
  </si>
  <si>
    <t>Brasil - Teolândia/BA (Brasileira)</t>
  </si>
  <si>
    <t>Brasil - TEOLÂNDIA/BA (brasileira)</t>
  </si>
  <si>
    <t>eng.marciaagro@hotmail.com</t>
  </si>
  <si>
    <t>MARCIA SILVEIRA DE ALMEIDA</t>
  </si>
  <si>
    <t>358|RS - PORTO ALEGRE (ZONA SUL)</t>
  </si>
  <si>
    <t>marcia.almeida@regentedepolo.uniasselvi.com.br</t>
  </si>
  <si>
    <t>MARCIA THOME DOMINGUES</t>
  </si>
  <si>
    <t>Brasil - Porto Amazonas/PR (Brasileira)</t>
  </si>
  <si>
    <t>Brasil - LAPA/PR (brasileira)</t>
  </si>
  <si>
    <t>999|PR - LAPA</t>
  </si>
  <si>
    <t>marcia.domingues@regentedepolo.uniasselvi.com.br</t>
  </si>
  <si>
    <t>MARCIANE KATIUSCI SCHMITT</t>
  </si>
  <si>
    <t>marciane.schmitt@regentedepolo.uniasselvi.com.br</t>
  </si>
  <si>
    <t>MARCIO BRUNO LOPES DA SILVA OLIVEIRA</t>
  </si>
  <si>
    <t>marcio.oliveira@regentedepolo.uniasselvi.com.br</t>
  </si>
  <si>
    <t>MARCIO GOMES DOS SANTOS</t>
  </si>
  <si>
    <t>11607180-4</t>
  </si>
  <si>
    <t>marcio.santos@regentedepolo.uniasselvi.com.br</t>
  </si>
  <si>
    <t>MARCIO MARCELINO DE GODOI</t>
  </si>
  <si>
    <t>marcio.godoi@regentedepolo.uniasselvi.com.br</t>
  </si>
  <si>
    <t>MARCO ANDRE ARAUJO RAMOS</t>
  </si>
  <si>
    <t>marco.ramos@regentedepolo.uniasselvi.com.br</t>
  </si>
  <si>
    <t>MARCO AURELIO OLIVEIRA</t>
  </si>
  <si>
    <t>514|SC - FLORIANOPOLIS</t>
  </si>
  <si>
    <t>marco.oliveira@regentedepolo.uniasselvi.com.br</t>
  </si>
  <si>
    <t>MARCONDES DE LIMA SILVA</t>
  </si>
  <si>
    <t>marcondes.silva@regentedepolo.uniasselvi.com.br</t>
  </si>
  <si>
    <t>MARCOS ALEXANDRE MARTINS RIBEIRO</t>
  </si>
  <si>
    <t>528|SC - JOINVILLE (ZONA NORTE)</t>
  </si>
  <si>
    <t>marcos.ribeiro@regentedepolo.uniasselvi.com.br</t>
  </si>
  <si>
    <t>MARCOS CARDOSO DE BRITO</t>
  </si>
  <si>
    <t>marcos.brito@regentedepolo.uniasselvi.com.br</t>
  </si>
  <si>
    <t>MARCOS MYKAELL DA SILVA TORRES</t>
  </si>
  <si>
    <t>marcos.torres@regentedepolo.uniasselvi.com.br</t>
  </si>
  <si>
    <t>MARCOS PAULO DUQUE MARINHO</t>
  </si>
  <si>
    <t>2305891-9</t>
  </si>
  <si>
    <t>Brasil - Juruti/PA (Brasileira)</t>
  </si>
  <si>
    <t>Brasil - JURUTI/PA (brasileira)</t>
  </si>
  <si>
    <t>marcos.marinho@regentedepolo.uniasselvi.com.br</t>
  </si>
  <si>
    <t>MARCOS RAMON FILHO SOUZA</t>
  </si>
  <si>
    <t>marcos.souza@regentedepolo.uniasselvi.com.br</t>
  </si>
  <si>
    <t>MARCOS WILLIAN DA SILVA SANTOS</t>
  </si>
  <si>
    <t>100168543@tutor.uniasselvi.com.br</t>
  </si>
  <si>
    <t>(46)988308937</t>
  </si>
  <si>
    <t>MARCUS HUBNER</t>
  </si>
  <si>
    <t>marcus.hubner@regentedepolo.uniasselvi.com.br</t>
  </si>
  <si>
    <t>MARIA ALCLIENER LOPES DA SILVA</t>
  </si>
  <si>
    <t>maria.alsilva@regentedepolo.uniasselvi.com.br</t>
  </si>
  <si>
    <t>MARIA ALINE LIMA OLIVEIRA</t>
  </si>
  <si>
    <t>Brasil - Olho D'Água das Cunhãs/MA (Brasileira)</t>
  </si>
  <si>
    <t>842|MA - PIO XII</t>
  </si>
  <si>
    <t>maria.aoliveira@regentedepolo.uniasselvi.com.br</t>
  </si>
  <si>
    <t>MARIA ANGELICA MAGALHAES LOPES</t>
  </si>
  <si>
    <t>maria.alopes@regentedepolo.uniasselvi.com.br</t>
  </si>
  <si>
    <t>MARIA ANGELICA VIGNE</t>
  </si>
  <si>
    <t>Brasil - NONOAI/RS (Brasileira)</t>
  </si>
  <si>
    <t>Brasil - NONOAI/RS (brasileira)</t>
  </si>
  <si>
    <t>047|SC - XAXIM</t>
  </si>
  <si>
    <t>hermestrindade@hotmail.com</t>
  </si>
  <si>
    <t>MARIA APARECIDA DA SILVA</t>
  </si>
  <si>
    <t>100107210@tutor.uniasselvi.com.br</t>
  </si>
  <si>
    <t>MARIA AUGUSTA DE MENEZES LIRA</t>
  </si>
  <si>
    <t>maria.lira@regentedepolo.uniasselvi.com.br</t>
  </si>
  <si>
    <t>MARIA AUXILIADORA DE SALES</t>
  </si>
  <si>
    <t>Brasil - Ipaumirim/CE (Brasileira)</t>
  </si>
  <si>
    <t>Brasil - IPAUMIRIM/CE (brasileira)</t>
  </si>
  <si>
    <t>maria.sales@regentedepolo.uniasselvi.com.br</t>
  </si>
  <si>
    <t>MARIA CAROLINE DA COSTA DIAS</t>
  </si>
  <si>
    <t>2.600.802-5</t>
  </si>
  <si>
    <t>caroldiascosta12@gmail.com</t>
  </si>
  <si>
    <t>MARIA CINTIA DE LIMA OLIVEIRA ALVES</t>
  </si>
  <si>
    <t>maria.alves@regentedepolo.uniasselvi.com.br</t>
  </si>
  <si>
    <t>MARIA CLARA DE LIMA SOUSA</t>
  </si>
  <si>
    <t>Brasil - Barro/CE (Brasileira)</t>
  </si>
  <si>
    <t xml:space="preserve">635|CE - IGUATU </t>
  </si>
  <si>
    <t>maria.sousa@regentedepolo.uniasselvi.com.br</t>
  </si>
  <si>
    <t>MARIA CLEIDIANNE BEZERRA PINHEIRO</t>
  </si>
  <si>
    <t>Brasil - SOLONÓPOLE/CE (brasileira)</t>
  </si>
  <si>
    <t>maria.pinheiro@regentedepolo.uniasselvi.com.br</t>
  </si>
  <si>
    <t>MARIA CRISTINA VIEIRA CAVALCANTI</t>
  </si>
  <si>
    <t>Brasil - CANOAS/RS (brasileira)</t>
  </si>
  <si>
    <t>maria.cavalcanti@regentedepolo.uniasselvi.com.br</t>
  </si>
  <si>
    <t>MARIA DA CONCEICAO VASCONCELOS BEZERRA</t>
  </si>
  <si>
    <t>Brasil - Umirim/CE (Brasileira)</t>
  </si>
  <si>
    <t>Brasil - UMIRIM/CE (brasileira)</t>
  </si>
  <si>
    <t>maria.bezerra@regentedepolo.uniasselvi.com.br</t>
  </si>
  <si>
    <t>MARIA DAIRES DOS SANTOS</t>
  </si>
  <si>
    <t>Brasil - Jupi/PE (Brasileira)</t>
  </si>
  <si>
    <t>Brasil - JUPI/PE (brasileira)</t>
  </si>
  <si>
    <t>1062|PE - JUCATI</t>
  </si>
  <si>
    <t>maria.santos@regentedepolo.uniasselvi.com.br</t>
  </si>
  <si>
    <t>MARIA DAS GRACAS DE ALMEIDA MIDLEJ</t>
  </si>
  <si>
    <t>maria.midlej@regentedepolo.uniasselvi.com.br</t>
  </si>
  <si>
    <t>MARIA DE FATIMA BATISTA DA SILVA</t>
  </si>
  <si>
    <t>maria.silva@regentedepolo.uniasselvi.com.br</t>
  </si>
  <si>
    <t>MARIA DE LOURDES MACHADO</t>
  </si>
  <si>
    <t>285|SC - TUBARAO</t>
  </si>
  <si>
    <t>lurdinha_machado@hotmail.com</t>
  </si>
  <si>
    <t>MARIA DE LOURDES PEREIRA DO AMARAL LIMA</t>
  </si>
  <si>
    <t>Brasil - Canhotinho/PE (Brasileira)</t>
  </si>
  <si>
    <t>maria.dlima@regentedepolo.uniasselvi.com.br</t>
  </si>
  <si>
    <t>MARIA DO SOCORRO ARAUJO ACIOLE</t>
  </si>
  <si>
    <t>Brasil - Pedra/PE (Brasileira)</t>
  </si>
  <si>
    <t>778|PE - BUIQUE</t>
  </si>
  <si>
    <t>maria.aciole@regentedepolo.uniasselvi.com.br</t>
  </si>
  <si>
    <t>MARIA DO SOCORRO DE LIMA OLIVEIRA</t>
  </si>
  <si>
    <t>maria.oliveira@regentedepolo.uniasselvi.com.br</t>
  </si>
  <si>
    <t>MARIA DOS SANTOS COSTA</t>
  </si>
  <si>
    <t>733|AM - TAPAUA</t>
  </si>
  <si>
    <t>maria.costa@regentedepolo.uniasselvi.com.br</t>
  </si>
  <si>
    <t>MARIA DOS SANTOS GUIMARAES</t>
  </si>
  <si>
    <t>maria.guimaraes@regentedepolo.uniasselvi.com.br</t>
  </si>
  <si>
    <t>MARIA EDILENE ABREU COSTA</t>
  </si>
  <si>
    <t>Brasil - CANINDÉ/CE (brasileira)</t>
  </si>
  <si>
    <t xml:space="preserve">662|CE - CANINDE </t>
  </si>
  <si>
    <t>maria.ecosta@regentedepolo.uniasselvi.com.br</t>
  </si>
  <si>
    <t>MARIA EDINEIA BERNARDO DA SILVA</t>
  </si>
  <si>
    <t>maria.esilva@regentedepolo.uniasselvi.com.br</t>
  </si>
  <si>
    <t>MARIA EDJANE DE ALMEIDA</t>
  </si>
  <si>
    <t>maria.pontes@regentedepolo.uniasselvi.com.br</t>
  </si>
  <si>
    <t>MARIA EDUARDA DE MORAES SIRYDAKIS</t>
  </si>
  <si>
    <t>100148003@tutor.uniasselvi.com.br</t>
  </si>
  <si>
    <t>MARIA EDUARDA OLIVEIRA SANTOS</t>
  </si>
  <si>
    <t>maria.esantos@regentedepolo.uniasselvi.com.br</t>
  </si>
  <si>
    <t>MARIA ELIANA BALIEIRO SARDINHA</t>
  </si>
  <si>
    <t>maria.sardinha@regentedepolo.uniasselvi.com.br</t>
  </si>
  <si>
    <t>MARIA ERLY DE FATIMA PEREIRA TEIXEIRA</t>
  </si>
  <si>
    <t>erlyteixeira@yahoo.com.br</t>
  </si>
  <si>
    <t>MARIA FERNANDA CARVALHO FARIAS</t>
  </si>
  <si>
    <t>maria.farias@regentedepolo.uniasselvi.com.br</t>
  </si>
  <si>
    <t>MARIA GERLANDIA BEZERRA DA PENHA LIMA</t>
  </si>
  <si>
    <t>2008170198-0</t>
  </si>
  <si>
    <t>Deficiência Visual - Visão reduzida ou Baixa visão</t>
  </si>
  <si>
    <t>maria.glima@regentedepolo.uniasselvi.com.br</t>
  </si>
  <si>
    <t>MARIA IGNACIA FABRICIO MEIRELLES</t>
  </si>
  <si>
    <t>MARIA IRANILDA RODRIGUES DA SILVA</t>
  </si>
  <si>
    <t>Brasil - Bujaru/PA (Brasileira)</t>
  </si>
  <si>
    <t xml:space="preserve">161|PA - VISEU                         </t>
  </si>
  <si>
    <t>maria.isilva@regentedepolo.uniasselvi.com.br</t>
  </si>
  <si>
    <t>MARIA JANIELE DE SOUSA ROCHA</t>
  </si>
  <si>
    <t>maria.rocha@regentedepolo.uniasselvi.com.br</t>
  </si>
  <si>
    <t>MARIA JORGIANE RAMOS DE LIMA</t>
  </si>
  <si>
    <t>maria.jlima@regentedepolo.uniasselvi.com.br</t>
  </si>
  <si>
    <t>MARIA JOSE GOMES DA SILVA</t>
  </si>
  <si>
    <t>Brasil - CAMOCIM/CE (brasileira)</t>
  </si>
  <si>
    <t>maria.jsilva@regentedepolo.uniasselvi.com.br</t>
  </si>
  <si>
    <t>MARIA LEUDYSVANIA DE SOUSA LIMA GADELHA</t>
  </si>
  <si>
    <t>2007997366-8</t>
  </si>
  <si>
    <t>maria.gadelha@regentedepolo.uniasselvi.com.br</t>
  </si>
  <si>
    <t>MARIA LILIANE MIRANDA DA COSTA</t>
  </si>
  <si>
    <t>maria.lcosta@regentedepolo.uniasselvi.com.br</t>
  </si>
  <si>
    <t>MARIA LUDMILA SILVA RIBEIRO</t>
  </si>
  <si>
    <t>Brasil - BOA VIAGEM/CE (brasileira)</t>
  </si>
  <si>
    <t>maria.ribeiro@regentedepolo.uniasselvi.com.br</t>
  </si>
  <si>
    <t>MARIA OLIVEIRA SANTOS</t>
  </si>
  <si>
    <t>07.932.5152-22</t>
  </si>
  <si>
    <t>Brasil - Fátima/BA (Brasileira)</t>
  </si>
  <si>
    <t>Brasil - CÍCERO DANTAS/BA (brasileira)</t>
  </si>
  <si>
    <t>059|BA - FATIMA</t>
  </si>
  <si>
    <t>maria.osantos@regentedepolo.uniasselvi.com.br</t>
  </si>
  <si>
    <t>MARIA PEROLA CARDOSO FIGUEIREDO</t>
  </si>
  <si>
    <t>934 856</t>
  </si>
  <si>
    <t>Brasil - LAURO MULLER/SC (Brasileira)</t>
  </si>
  <si>
    <t>Brasil - LAURO MÜLLER/SC (brasileira)</t>
  </si>
  <si>
    <t>maria.figueiredo@regentedepolo.uniasselvi.com.br</t>
  </si>
  <si>
    <t>MARIA REISGLAUCIA LOBO DE OLIVEIRA</t>
  </si>
  <si>
    <t>Brasil - Santa Quitéria/CE (Brasileira)</t>
  </si>
  <si>
    <t>Brasil - SANTA QUITÉRIA/CE (brasileira)</t>
  </si>
  <si>
    <t>maria.roliveira@regentedepolo.uniasselvi.com.br</t>
  </si>
  <si>
    <t>MARIA ROSANGELA DA GAMA DE LA TORRE</t>
  </si>
  <si>
    <t>Brasil - COLÍDER/MT (brasileira)</t>
  </si>
  <si>
    <t xml:space="preserve">146|MT - MARCELANDIA                   </t>
  </si>
  <si>
    <t>MARIA SALVILENE LOPES</t>
  </si>
  <si>
    <t>Brasil - Santana Do Acaraú/CE (Brasileira)</t>
  </si>
  <si>
    <t>Brasil - SANTANA DO ACARAÚ/CE (brasileira)</t>
  </si>
  <si>
    <t>maria.lopes@regentedepolo.uniasselvi.com.br</t>
  </si>
  <si>
    <t>MARIA SULIANA MACHADO LIMA</t>
  </si>
  <si>
    <t>MARIA TAINAN DA SILVA PEREIRA</t>
  </si>
  <si>
    <t>2.008.098.037.6</t>
  </si>
  <si>
    <t>maria.pereira@regentedepolo.uniasselvi.com.br</t>
  </si>
  <si>
    <t>MARIA VALTANIA SANTOS GALDINO BRASIL</t>
  </si>
  <si>
    <t>MARIANA GUIMARAES PODESTA</t>
  </si>
  <si>
    <t>043.767.919-54</t>
  </si>
  <si>
    <t>mariana.podesta@regentedepolo.uniasselvi.com.br</t>
  </si>
  <si>
    <t>MARIANA GURJAO DE JESUS</t>
  </si>
  <si>
    <t>MARIANA MARTA DA SILVA CARVALHO</t>
  </si>
  <si>
    <t>Brasil - COLINAS/MA (brasileira)</t>
  </si>
  <si>
    <t>mariana.carvalho@regentedepolo.uniasselvi.com.br</t>
  </si>
  <si>
    <t>MARIANA MIGUEL</t>
  </si>
  <si>
    <t>100106790@tutor.uniasselvi.com.br</t>
  </si>
  <si>
    <t>MARIANA MIRIAN CORREIA</t>
  </si>
  <si>
    <t>Brasil - Santa Fé do Sul/SP (Brasileira)</t>
  </si>
  <si>
    <t>Brasil - SANTA FÉ DO SUL/SP (brasileira)</t>
  </si>
  <si>
    <t>850|SP - SANTA FE DO SUL</t>
  </si>
  <si>
    <t>MARIANE JOCHEN ROHDEN OSCAR</t>
  </si>
  <si>
    <t>mariane.rohden@regentedepolo.uniasselvi.com.br</t>
  </si>
  <si>
    <t>MARIELI RIBEIRO</t>
  </si>
  <si>
    <t>Brasil - Nova Prata do Iguaçu/PR (Brasileira)</t>
  </si>
  <si>
    <t>Brasil - NOVA PRATA DO IGUAÇU/PR (brasileira)</t>
  </si>
  <si>
    <t xml:space="preserve">220|SC - SAO MIGUEL DO OESTE           </t>
  </si>
  <si>
    <t>100177505@tutor.uniasselvi.com.br</t>
  </si>
  <si>
    <t>MARILEIDE CONCEICAO DOS SANTOS</t>
  </si>
  <si>
    <t>Brasil - MARACAJU/MS (brasileira)</t>
  </si>
  <si>
    <t>015|MS - MARACAJU</t>
  </si>
  <si>
    <t>marileide.santos@regentedepolo.uniasselvi.com.br</t>
  </si>
  <si>
    <t>MARILIA CAIXETA SOUSA</t>
  </si>
  <si>
    <t>Brasil - Patos de Minas/MG (Brasileira)</t>
  </si>
  <si>
    <t>Brasil - PATOS DE MINAS/MG (brasileira)</t>
  </si>
  <si>
    <t>marilia.sousa@regentedepolo.uniasselvi.com.br</t>
  </si>
  <si>
    <t>MARILIA CAVALCANTI DIAS MATSUMOTO</t>
  </si>
  <si>
    <t>Brasil - Petrolina/PE (Brasileira)</t>
  </si>
  <si>
    <t>295|BA - JUAZEIRO</t>
  </si>
  <si>
    <t>marilia.matsumoto@regentedepolo.uniasselvi.com.br</t>
  </si>
  <si>
    <t>MARILIA GABRIELLA DOS SANTOS GUERRA</t>
  </si>
  <si>
    <t>3.586.481-8</t>
  </si>
  <si>
    <t>marilia.guerra@regentedepolo.uniasselvi.com.br</t>
  </si>
  <si>
    <t>MARILIA RIBEIRO NUNES</t>
  </si>
  <si>
    <t>marilia.nunes@regentedepolo.uniasselvi.com.br</t>
  </si>
  <si>
    <t>MARINA BARROS DE BRUM</t>
  </si>
  <si>
    <t>Brasil - Rio Pardo/RS (Brasileira)</t>
  </si>
  <si>
    <t>Brasil - RIO PARDO/RS (brasileira)</t>
  </si>
  <si>
    <t>marina.brum@regentedepolo.uniasselvi.com.br</t>
  </si>
  <si>
    <t>MARINA FRANCO SANTA ROSA</t>
  </si>
  <si>
    <t>marina.rosa@regentedepolo.uniasselvi.com.br</t>
  </si>
  <si>
    <t>MARINA LIRA BATISTA</t>
  </si>
  <si>
    <t>2007595080-9</t>
  </si>
  <si>
    <t>marina.batista@regentedepolo.uniasselvi.com.br</t>
  </si>
  <si>
    <t>MARINO NORONHA DA SILVA JUNIOR</t>
  </si>
  <si>
    <t>marino.junior@regentedepolo.uniasselvi.com.br</t>
  </si>
  <si>
    <t>MARIO PEREIRA DE ARAUJO JUNIOR</t>
  </si>
  <si>
    <t>mario.junior@regentedepolo.uniasselvi.com.br</t>
  </si>
  <si>
    <t>MARISA APARECIDA ELY</t>
  </si>
  <si>
    <t>marisa.ely@regentedepolo.uniasselvi.com.br</t>
  </si>
  <si>
    <t>MARISA DE LIMA MACHADO</t>
  </si>
  <si>
    <t>5R/2730856</t>
  </si>
  <si>
    <t>Brasil - UBERABA/MG (Brasileira)</t>
  </si>
  <si>
    <t>Brasil - UBERABA/MG (brasileira)</t>
  </si>
  <si>
    <t>marisa_amorperfeito@hotmail.com</t>
  </si>
  <si>
    <t>MARISOL FIGUEIREDO ALMEIDA</t>
  </si>
  <si>
    <t>100127653@tutor.uniasselvi.com.br</t>
  </si>
  <si>
    <t>MARISTELA CONSTANTE PRA</t>
  </si>
  <si>
    <t>Brasil - TUBARÃO/SC (brasileira)</t>
  </si>
  <si>
    <t>maristela.pra@regentedepolo.uniasselvi.com.br</t>
  </si>
  <si>
    <t>MARISTELA DAL AGNOL</t>
  </si>
  <si>
    <t>maristela.agnol@regentedepolo.uniasselvi.com.br</t>
  </si>
  <si>
    <t>MARIUZA VITORINA DE JESUS</t>
  </si>
  <si>
    <t>Brasil - Poxoréo/MT (Brasileira)</t>
  </si>
  <si>
    <t>Brasil - POXORÉU/MT (brasileira)</t>
  </si>
  <si>
    <t>mariuza.jesus@regentedepolo.uniasselvi.com.br</t>
  </si>
  <si>
    <t>MARLON DE NORONHA SILVA</t>
  </si>
  <si>
    <t>Brasil - Paranatama/PE (Brasileira)</t>
  </si>
  <si>
    <t>marlon.silva@regentedepolo.uniasselvi.com.br</t>
  </si>
  <si>
    <t>MARLON FLECK</t>
  </si>
  <si>
    <t>Brasil - CAÇADOR/SC (brasileira)</t>
  </si>
  <si>
    <t>marlon.fleck@regentedepolo.uniasselvi.com.br</t>
  </si>
  <si>
    <t>MARLUCIA MARTINS CABRAL</t>
  </si>
  <si>
    <t>Brasil - Araguaína/TO (Brasileira)</t>
  </si>
  <si>
    <t>Brasil - ARAGUAÍNA/TO (brasileira)</t>
  </si>
  <si>
    <t>marlucia.cabral@regentedepolo.uniasselvi.com.br</t>
  </si>
  <si>
    <t>MARLY LIMA DE SOUZA</t>
  </si>
  <si>
    <t>marly.souza@regentedepolo.uniasselvi.com.br</t>
  </si>
  <si>
    <t>MARTA DA GRACA LIMA</t>
  </si>
  <si>
    <t>11918845-70</t>
  </si>
  <si>
    <t>marta.lima@regentedepolo.uniasselvi.com.br</t>
  </si>
  <si>
    <t>MARTA FERNANDA RODRIGUES PENHA</t>
  </si>
  <si>
    <t>marta.penha@regentedepolo.uniasselvi.com.br</t>
  </si>
  <si>
    <t>MARTA SILVA MIRANDA</t>
  </si>
  <si>
    <t>marta.miranda@regentedepolo.uniasselvi.com.br</t>
  </si>
  <si>
    <t>MARY JULLY FREITAS NUNES</t>
  </si>
  <si>
    <t>019.764.235-70</t>
  </si>
  <si>
    <t>mary.nunes@regentedepolo.uniasselvi.com.br</t>
  </si>
  <si>
    <t>MATHEUS DA SILVEIRA MASSCHMANN</t>
  </si>
  <si>
    <t>matheus.masschmann@regentedepolo.uniasselvi.com.br</t>
  </si>
  <si>
    <t>MATHEUS KUNRATH MEYER</t>
  </si>
  <si>
    <t>matheus.meyer@regentedepolo.uniasselvi.com.br</t>
  </si>
  <si>
    <t>MATHEUS RIBEIRO MENEZES</t>
  </si>
  <si>
    <t>Brasil - ARACAJU/SE (brasileira)</t>
  </si>
  <si>
    <t>matheus.menezes@regentedepolo.uniasselvi.com.br</t>
  </si>
  <si>
    <t>MATHEUS SILVA DE ALMEIDA</t>
  </si>
  <si>
    <t>matheus.almeida@regentedepolo.uniasselvi.com.br</t>
  </si>
  <si>
    <t>MAUCILENE GENESIA DA SILVA</t>
  </si>
  <si>
    <t>100106158@tutor.uniasselvi.com.br</t>
  </si>
  <si>
    <t>MAURICIO FERREIRA DOS SANTOS</t>
  </si>
  <si>
    <t>mauricio.santos@regentedepolo.uniasselvi.com.br</t>
  </si>
  <si>
    <t>MAURICIO RODRIGUES SAMPAIO</t>
  </si>
  <si>
    <t>mauricio.sampaio@regentedepolo.uniasselvi.com.br</t>
  </si>
  <si>
    <t>MAURILIO MACIEL MARTINS FILHO</t>
  </si>
  <si>
    <t>1896765-5</t>
  </si>
  <si>
    <t>unicicatendimento@hotmail.com</t>
  </si>
  <si>
    <t>MAYANA FORTES OLIVEIRA</t>
  </si>
  <si>
    <t>327|PA - IGARAPE-MIRI</t>
  </si>
  <si>
    <t>mayana.oliveira@regentedepolo.uniasselvi.com.br</t>
  </si>
  <si>
    <t>MAYARA BASBOSA COSTA</t>
  </si>
  <si>
    <t>Brasil - Lagoa do Ouro/PE (Brasileira)</t>
  </si>
  <si>
    <t>273|PE - GOIANA</t>
  </si>
  <si>
    <t>mayara.costa@regentedepolo.uniasselvi.com.br</t>
  </si>
  <si>
    <t>MAYARA CRISTINA DE OLIVEIRA</t>
  </si>
  <si>
    <t>mayara.oliveira@regentedepolo.uniasselvi.com.br</t>
  </si>
  <si>
    <t>MAYARA SARA DAS NEVES AZEVEDO</t>
  </si>
  <si>
    <t>Brasil - Ladário/MS (Brasileira)</t>
  </si>
  <si>
    <t>mayara.azevedo@regentedepolo.uniasselvi.com.br</t>
  </si>
  <si>
    <t>MAYCON KLINTON FERREIRA LOURENCO</t>
  </si>
  <si>
    <t>maycon.lourenco@regentedepolo.uniasselvi.com.br</t>
  </si>
  <si>
    <t>MERCIA ROSANGELA GOMES TORRES DANTAS</t>
  </si>
  <si>
    <t>mercia.dantas@regentedepolo.uniasselvi.com.br</t>
  </si>
  <si>
    <t>MERILIN GOMES DE OLIVEIRA MOREIRA</t>
  </si>
  <si>
    <t>merilin.moreira@regentedepolo.uniasselvi.com.br</t>
  </si>
  <si>
    <t>MHAYSA CAROLINA GOMES MOREIRA BARROS</t>
  </si>
  <si>
    <t>Brasil - Xinguara/PA (Brasileira)</t>
  </si>
  <si>
    <t>Brasil - XINGUARA/PA (brasileira)</t>
  </si>
  <si>
    <t>mhaysa.barros@regentedepolo.uniasselvi.com.br</t>
  </si>
  <si>
    <t>MICHEL DA SILVA ADOLFO</t>
  </si>
  <si>
    <t>365|RS - TRAMANDAI</t>
  </si>
  <si>
    <t>michel.adolfo@regentedepolo.uniasselvi.com.br</t>
  </si>
  <si>
    <t>MICHELE APARECIDA KNOB</t>
  </si>
  <si>
    <t>726|MT - SAPEZAL</t>
  </si>
  <si>
    <t>100119511@tutor.uniasselvi.com.br</t>
  </si>
  <si>
    <t>MICHELE NASCIMENTO BRAGA</t>
  </si>
  <si>
    <t>michele.braga@regentedepolo.uniasselvi.com.br</t>
  </si>
  <si>
    <t>MICHELE SANTANA SANTOS</t>
  </si>
  <si>
    <t>20.067.092-16</t>
  </si>
  <si>
    <t>Brasil - Barra Da Estiva/BA (Brasileira)</t>
  </si>
  <si>
    <t>Brasil - BARRA DA ESTIVA/BA (brasileira)</t>
  </si>
  <si>
    <t>289|BA - BARRA DA ESTIVA</t>
  </si>
  <si>
    <t>michele.santana@regentedepolo.uniasselvi.com.br</t>
  </si>
  <si>
    <t>MICHELLEN SANTOS DE CARVALHO</t>
  </si>
  <si>
    <t>michellen.carvalho@regentedepolo.uniasselvi.com.br</t>
  </si>
  <si>
    <t>MICHELLI FURCHO</t>
  </si>
  <si>
    <t>Brasil - Umuarama/PR (Brasileira)</t>
  </si>
  <si>
    <t xml:space="preserve">655|PR - UMUARAMA </t>
  </si>
  <si>
    <t>100152007@tutor.uniasselvi.com.br</t>
  </si>
  <si>
    <t>MICHELY SILVA SOUSA</t>
  </si>
  <si>
    <t>Brasil - Santo Antônio De Lisboa/PI (Brasileira)</t>
  </si>
  <si>
    <t>michely.sousa@regentedepolo.uniasselvi.com.br</t>
  </si>
  <si>
    <t>MIGUEL DOS SANTOS GUTERRES RIBEIRO JUNIOR</t>
  </si>
  <si>
    <t>Brasil - ALMEIRIM/PA (brasileira)</t>
  </si>
  <si>
    <t>miguel.junior@regentedepolo.uniasselvi.com.br</t>
  </si>
  <si>
    <t>MIGUEL JOSE BRAGA SANTOS TAVARES</t>
  </si>
  <si>
    <t>M3 178178</t>
  </si>
  <si>
    <t>Brasil - Feira de Santana/RJ (Brasileira)</t>
  </si>
  <si>
    <t>miguel.tavares@regentedepolo.uniasselvi.com.br</t>
  </si>
  <si>
    <t>MIKELANDE FERREIRA DA SILVA</t>
  </si>
  <si>
    <t>2007620637-2</t>
  </si>
  <si>
    <t>mikelande.silva@regentedepolo.uniasselvi.com.br</t>
  </si>
  <si>
    <t>MILENY BIS</t>
  </si>
  <si>
    <t>2383222-3</t>
  </si>
  <si>
    <t>Brasil - Rio Branco/MT (Brasileira)</t>
  </si>
  <si>
    <t>mileny.bis@regentedepolo.uniasselvi.com.br</t>
  </si>
  <si>
    <t>MILLENA KARLA DIAS PAZ DE ARAUJO</t>
  </si>
  <si>
    <t>millena.araujo@regentedepolo.uniasselvi.com.br</t>
  </si>
  <si>
    <t>MILTON MULLER JUNIOR</t>
  </si>
  <si>
    <t>626|MT - PRIMAVERA DO LESTE</t>
  </si>
  <si>
    <t>milton.junior@regentedepolo.uniasselvi.com.br</t>
  </si>
  <si>
    <t>MOISES RODRIGUES MAZZUCCO</t>
  </si>
  <si>
    <t>moises.mazzucco@regentedepolo.uniasselvi.com.br</t>
  </si>
  <si>
    <t>MONICA CELI E SILVA SALUSTIANO LUCHNER</t>
  </si>
  <si>
    <t>monica.luchner@regentedepolo.uniasselvi.com.br</t>
  </si>
  <si>
    <t>MONICA CRISTINA LIMA DE SOUZA ARAUJO</t>
  </si>
  <si>
    <t>monica.araujo@regentedepolo.uniasselvi.com.br</t>
  </si>
  <si>
    <t>MONICA DOURADO MARTINS</t>
  </si>
  <si>
    <t>monica.martins@regentedepolo.uniasselvi.com.br</t>
  </si>
  <si>
    <t>MONICA MARIA VIEIRA LIMA BARBOSA</t>
  </si>
  <si>
    <t>monica.barbosa@regentedepolo.uniasselvi.com.br</t>
  </si>
  <si>
    <t>MONICA PASSEBOM ZANARDO</t>
  </si>
  <si>
    <t>400|SP - MAIRINQUE</t>
  </si>
  <si>
    <t>monica.zanardo@regentedepolo.uniasselvi.com.br</t>
  </si>
  <si>
    <t>MONICA RODRIGUES LEALDINI</t>
  </si>
  <si>
    <t>monica.lealdini@regentedepolo.uniasselvi.com.br</t>
  </si>
  <si>
    <t>MONICA THOMAZZI CLARAZ DE SOUZA</t>
  </si>
  <si>
    <t>187|RS - ESTEIO</t>
  </si>
  <si>
    <t>monica.souza@regentedepolo.uniasselvi.com.br</t>
  </si>
  <si>
    <t>MONIQUE TEREZINHA CEZARIO ELEUTERIO</t>
  </si>
  <si>
    <t>monique.eleuterio@regentedepolo.uniasselvi.com.br</t>
  </si>
  <si>
    <t>MURILO GONZAGA SANTOS LOPES</t>
  </si>
  <si>
    <t>murilo.lopes@regentedepolo.uniasselvi.com.br</t>
  </si>
  <si>
    <t>MURILO PEREIRA CARDOSO</t>
  </si>
  <si>
    <t>100107135@tutor.uniasselvi.com.br</t>
  </si>
  <si>
    <t>NADIELLE LORENA JANING KUBNIK</t>
  </si>
  <si>
    <t>nadielle.kubnik@regentedepolo.uniasselvi.com.br</t>
  </si>
  <si>
    <t>NADJA SANTOS SILVA</t>
  </si>
  <si>
    <t>Brasil - Valença/BA (Brasileira)</t>
  </si>
  <si>
    <t>Brasil - VALENÇA/BA (brasileira)</t>
  </si>
  <si>
    <t>nadja.silva@regentedepolo.uniasselvi.com.br</t>
  </si>
  <si>
    <t>NAIARA REIS DE SOUSA</t>
  </si>
  <si>
    <t>Brasil - Pedra Branca/CE (Brasileira)</t>
  </si>
  <si>
    <t>776|CE - PEDRA BRANCA</t>
  </si>
  <si>
    <t>100183654@tutor.uniasselvi.com.br</t>
  </si>
  <si>
    <t>NATALIA CRISTINA DE FARIA ALVES</t>
  </si>
  <si>
    <t>Brasil - Pitangui/MG (Brasileira)</t>
  </si>
  <si>
    <t xml:space="preserve">144|MG - NOVA SERRANA                  </t>
  </si>
  <si>
    <t>100106519@tutor.uniasselvi.com.br</t>
  </si>
  <si>
    <t>NATALIA DA SILVEIRA</t>
  </si>
  <si>
    <t>natalia.silveira@regentedepolo.uniasselvi.com.br</t>
  </si>
  <si>
    <t>NATANAEL DA SILVA TEIXEIRA</t>
  </si>
  <si>
    <t>Brasil - Viseu/PA (Brasileira)</t>
  </si>
  <si>
    <t>NATHALIA ROCHA MENDES</t>
  </si>
  <si>
    <t>Brasil - Porto Nacional/TO (Brasileira)</t>
  </si>
  <si>
    <t>nathalia.mendes@regentedepolo.uniasselvi.com.br</t>
  </si>
  <si>
    <t>NATHALLIA BARBOSA ALENCAR MAIA FERREIRA</t>
  </si>
  <si>
    <t>Contrato de Trabalho Suspenso</t>
  </si>
  <si>
    <t>nathallia.maia@uniasselvi.com.br</t>
  </si>
  <si>
    <t>NAUALLY ROSA DE MOURA RODRIGUES</t>
  </si>
  <si>
    <t>NAYANE ARAUJO DE SOUZA FONTES</t>
  </si>
  <si>
    <t>nayane.fontes@regentedepolo.uniasselvi.com.br</t>
  </si>
  <si>
    <t>NEIMAR FRANCISCO WILLEMANN</t>
  </si>
  <si>
    <t>neimar.willemann@regentedepolo.uniasselvi.com.br</t>
  </si>
  <si>
    <t>NELITA ALVES MEDEIROS DO NASCIMENTO SILVEIRA</t>
  </si>
  <si>
    <t>nelita.nascimento@regentedepolo.uniasselvi.com.br</t>
  </si>
  <si>
    <t>NELMA RITA PASSOS MARTINS</t>
  </si>
  <si>
    <t>NESON GUSTAVO DE ARAUJO SOUZA MASCARENHAS</t>
  </si>
  <si>
    <t>Brasil - Caruaru/PE (Brasileira)</t>
  </si>
  <si>
    <t>neson.mascarenhas@regentedepolo.uniasselvi.com.br</t>
  </si>
  <si>
    <t>NEUMARA MARIA DOS SANTOS</t>
  </si>
  <si>
    <t>neumara.santos@regentedepolo.uniasselvi.com.br</t>
  </si>
  <si>
    <t>NICIANE SENA DOS SANTOS</t>
  </si>
  <si>
    <t>niciane.santos@regentedepolo.uniasselvi.com.br</t>
  </si>
  <si>
    <t>NIELSEN JESUS FERREIRA SPECHT</t>
  </si>
  <si>
    <t>mediador.specht@mediador.uniasselvi.com.br</t>
  </si>
  <si>
    <t>NIKAELLY BEZERRA OLIVEIRA ALMEIDA</t>
  </si>
  <si>
    <t>1150|CE - JAGUARETAMA</t>
  </si>
  <si>
    <t>nikaelly.oliveira@regentedepolo.uniasselvi.com.br</t>
  </si>
  <si>
    <t>NILVANIA DOS SANTOS</t>
  </si>
  <si>
    <t>3.184.104-0</t>
  </si>
  <si>
    <t>Brasil - NOSSA SENHORA DA GLÓRIA/SE (brasileira)</t>
  </si>
  <si>
    <t>nilvania.santos@regentedepolo.uniasselvi.com.br</t>
  </si>
  <si>
    <t>NIVIA MARIA CRUZ CARVALHO</t>
  </si>
  <si>
    <t>nivia.carvalho@regentedepolo.uniasselvi.com.br</t>
  </si>
  <si>
    <t>NOELMA HOLANDA ALENCAR</t>
  </si>
  <si>
    <t>Brasil - Mombaça/CE (Brasileira)</t>
  </si>
  <si>
    <t>Brasil - MOMBAÇA/CE (brasileira)</t>
  </si>
  <si>
    <t>noelma.silva@regentedepolo.uniasselvi.com.br</t>
  </si>
  <si>
    <t>NORDANA TONACO SANTOS FIDELIS</t>
  </si>
  <si>
    <t>Brasil - Catalão/GO (Brasileira)</t>
  </si>
  <si>
    <t>Brasil - CATALÃO/GO (brasileira)</t>
  </si>
  <si>
    <t>nordana.fidelis@regentedepolo.uniasselvi.com.br</t>
  </si>
  <si>
    <t>NORMELIA MACEDO AMARAL</t>
  </si>
  <si>
    <t>051200472015-9</t>
  </si>
  <si>
    <t>normelia.amaral@regentedepolo.uniasselvi.com.br</t>
  </si>
  <si>
    <t>NUBYENE MAIRA LOBATO CARDOSO DE FREITAS</t>
  </si>
  <si>
    <t>nubyene.cardoso@regentedepolo.uniasselvi.com.br</t>
  </si>
  <si>
    <t>ORLANDO FRANÇA DE PAIVA JUNIOR</t>
  </si>
  <si>
    <t>orlando.junior@regentedepolo.uniasselvi.com.br</t>
  </si>
  <si>
    <t>OSNI MARQUES JUNIOR</t>
  </si>
  <si>
    <t>osni.junior@regentedepolo.uniasselvi.com.br</t>
  </si>
  <si>
    <t>OSWALDO RODRIGUES GOES NETO</t>
  </si>
  <si>
    <t>Brasil - São Vicente/SP (Brasileira)</t>
  </si>
  <si>
    <t>Brasil - SÃO VICENTE/SP (brasileira)</t>
  </si>
  <si>
    <t>neto.rod26@gmail.com</t>
  </si>
  <si>
    <t>OTONIEL DE MELO LOPES</t>
  </si>
  <si>
    <t>Brasil - Limoeiro Do Ajuru/PA (Brasileira)</t>
  </si>
  <si>
    <t>Brasil - LIMOEIRO DO AJURU/PA (brasileira)</t>
  </si>
  <si>
    <t>800|PA - SAO SEBASTIAO DA BOA VISTA</t>
  </si>
  <si>
    <t>otoniel.lopes@regentedepolo.uniasselvi.com.br</t>
  </si>
  <si>
    <t>OZINALDO SARDINHA VIEIRA</t>
  </si>
  <si>
    <t>051|PA - BREU BRANCO</t>
  </si>
  <si>
    <t>ozinaldo.vieira@regentedepolo.uniasselvi.com.br</t>
  </si>
  <si>
    <t>PABLO RODRIGO BES OLIVEIRA</t>
  </si>
  <si>
    <t>Brasil - Sapucaia Do Sul/RS (Brasileira)</t>
  </si>
  <si>
    <t>Brasil - SAPUCAIA DO SUL/RS (brasileira)</t>
  </si>
  <si>
    <t>pablo.oliveira@regentedepolo.uniasselvi.com.br</t>
  </si>
  <si>
    <t>PATRIANDESON SOLIDADE DOS SANTOS</t>
  </si>
  <si>
    <t>Brasil - São Domingos do Araguaia/PA (Brasileira)</t>
  </si>
  <si>
    <t>patriandeson.santos@regentedepolo.uniasselvi.com.br</t>
  </si>
  <si>
    <t>PATRICIA BATISTA DA LUZ ALBUQUERQUE</t>
  </si>
  <si>
    <t>patricia.albuquerque@regentedepolo.uniasselvi.com.br</t>
  </si>
  <si>
    <t>PATRICIA DA SILVA RIBEIRO</t>
  </si>
  <si>
    <t>patricia.ribeiro@regentedepolo.uniasselvi.com.br</t>
  </si>
  <si>
    <t>PATRICIA DE MORAIS ROCHA MARTINS</t>
  </si>
  <si>
    <t>Brasil - Caucaia/CE (Brasileira)</t>
  </si>
  <si>
    <t>Brasil - SÃO GONÇALO DO AMARANTE/CE (brasileira)</t>
  </si>
  <si>
    <t>patricia.martins@regentedepolo.uniasselvi.com.br</t>
  </si>
  <si>
    <t>PATRICIA DE TOLEDO RAMOS</t>
  </si>
  <si>
    <t>patricia.ramos@regentedepolo.uniasselvi.com.br</t>
  </si>
  <si>
    <t>PATRICIA HELENA ELIAS DA SILVA</t>
  </si>
  <si>
    <t>patriciahelena.fisio@live.com</t>
  </si>
  <si>
    <t>PATRICIA KATH</t>
  </si>
  <si>
    <t>patricia.kath@regentedepolo.uniasselvi.com.br</t>
  </si>
  <si>
    <t>PATRICIA MELLO DE ALBUQUERQUE</t>
  </si>
  <si>
    <t>patricia.malbuquerque@regentedepolo.uniasselvi.com.br</t>
  </si>
  <si>
    <t>PATRICIA POLONIA FAZENDA</t>
  </si>
  <si>
    <t>Brasil - TAQUARI/RS (brasileira)</t>
  </si>
  <si>
    <t>483|RS - TAQUARI</t>
  </si>
  <si>
    <t>patricia.fazenda@regentedepolo.uniasselvi.com.br</t>
  </si>
  <si>
    <t>PATRICIA QUEIROZ DE ANDRADE OLIVEIRA</t>
  </si>
  <si>
    <t>patricia.oliveira@regentedepolo.uniasselvi.com.br</t>
  </si>
  <si>
    <t>PATRICK NIEHUES SCARDUELLI</t>
  </si>
  <si>
    <t>patrick.scarduelli@regentedepolo.uniasselvi.com.br</t>
  </si>
  <si>
    <t>PAULA CAROLINA FERRETTI</t>
  </si>
  <si>
    <t>Brasil - Rodeio/SC (Brasileira)</t>
  </si>
  <si>
    <t>paula.ferretti@regente.uniasselvi.com.br</t>
  </si>
  <si>
    <t>PAULA DOS SANTOS ROUMILLAC GROULT DA SILVA</t>
  </si>
  <si>
    <t>705|RJ - CABO FRIO</t>
  </si>
  <si>
    <t>paula.silva@regentedepolo.uniasselvi.com.br</t>
  </si>
  <si>
    <t>PAULO CESAR STEFEN JUNIOR</t>
  </si>
  <si>
    <t>paulo.junior@regentedepolo.uniasselvi.com.br</t>
  </si>
  <si>
    <t>PAULO DENIZAR CORREA OLIVEIRA</t>
  </si>
  <si>
    <t>020|PR - CURITIBA (PORTAO)</t>
  </si>
  <si>
    <t>100165153@tutor.uniasselvi.com.br</t>
  </si>
  <si>
    <t>PAULO HENRIQUE GOMES MESQUITA</t>
  </si>
  <si>
    <t>ph.mesquita27@gmail.com</t>
  </si>
  <si>
    <t>PAULO MAX PAIXAO REGO</t>
  </si>
  <si>
    <t>paulo.rego@regentedepolo.uniasselvi.com.br</t>
  </si>
  <si>
    <t>PAULO ROBERTO DE ALMEIDA GOMES</t>
  </si>
  <si>
    <t>paulo.gomes@regentedepolo.uniasselvi.com.br</t>
  </si>
  <si>
    <t>PAULO SERGIO CERQUEIRA SILVA</t>
  </si>
  <si>
    <t>paulo.silva@regentedepolo.uniasselvi.com.br</t>
  </si>
  <si>
    <t>PAULO SERGIO PRAXEDES DO MONTE ARAUJO</t>
  </si>
  <si>
    <t>paulo.araujo@regentedepolo.uniasselvi.com.br</t>
  </si>
  <si>
    <t>PEDRO DAVI LIMA DE SOUSA</t>
  </si>
  <si>
    <t>pedro.sousa@regentedepolo.uniasselvi.com.br</t>
  </si>
  <si>
    <t>PEDRO FERNANDO CONCEICAO DOS SANTOS</t>
  </si>
  <si>
    <t>15.727.489-66</t>
  </si>
  <si>
    <t>Brasil - Nazaré/BA (Brasileira)</t>
  </si>
  <si>
    <t>pedro.santos@regentedepolo.uniasselvi.com.br</t>
  </si>
  <si>
    <t>PEDRO LUCAS BENTO TORRES</t>
  </si>
  <si>
    <t>pedro.torres@regentedepolo.uniasselvi.com.br</t>
  </si>
  <si>
    <t>PEDRO MESSIAS DA SILVA NETO</t>
  </si>
  <si>
    <t>Brasil - CAUCAIA/CE (brasileira)</t>
  </si>
  <si>
    <t>pedro.neto@regentedepolo.uniasselvi.com.br</t>
  </si>
  <si>
    <t>PHILIPE SAMPAIO LIMA</t>
  </si>
  <si>
    <t>Brasil - Esperantina/PI (Brasileira)</t>
  </si>
  <si>
    <t>philipe.lima@regentedepolo.uniasselvi.com.br</t>
  </si>
  <si>
    <t>POLLYANA DOS SANTOS BRITO</t>
  </si>
  <si>
    <t>pollyana.brito@regentedepolo.uniasselvi.com.br</t>
  </si>
  <si>
    <t>POLLYANNA DA SILVA LIMA</t>
  </si>
  <si>
    <t>65634826-6</t>
  </si>
  <si>
    <t>Brasil - Cocos/BA (Brasileira)</t>
  </si>
  <si>
    <t>824|BA - COCOS</t>
  </si>
  <si>
    <t>100147619@tutor.uniasselvi.com.br</t>
  </si>
  <si>
    <t>PRICIANI MARTINS AGNE</t>
  </si>
  <si>
    <t>Brasil - CARAZINHO/RS (brasileira)</t>
  </si>
  <si>
    <t>priciani.agne@regentedepolo.uniasselvi.com.br</t>
  </si>
  <si>
    <t>PRICILA MAYARA CAVALCANTE SOUSA</t>
  </si>
  <si>
    <t>pricila.sousa@regentedepolo.uniasselvi.com.br</t>
  </si>
  <si>
    <t>PRISCILA ALVES DE SOUZA</t>
  </si>
  <si>
    <t xml:space="preserve">624|PR - LONDRINA </t>
  </si>
  <si>
    <t>priscila.souza@regentedepolo.uniasselvi.com.br</t>
  </si>
  <si>
    <t>PRISCILA GONCALVES SANTOS</t>
  </si>
  <si>
    <t>priscila.santos@regentedepolo.uniasselvi.com.br</t>
  </si>
  <si>
    <t>PRISCILA PENTEADO</t>
  </si>
  <si>
    <t>priscila.penteado@regentedepolo.uniasselvi.com.br</t>
  </si>
  <si>
    <t>PRISCILA PRANDO DE AVILA</t>
  </si>
  <si>
    <t>Brasil - Mamborê/PR (Brasileira)</t>
  </si>
  <si>
    <t>Brasil - MAMBORÊ/PR (brasileira)</t>
  </si>
  <si>
    <t>priscila.avila@regentedepolo.uniasselvi.com.br</t>
  </si>
  <si>
    <t>PRISCILA SATURNO SABOIA</t>
  </si>
  <si>
    <t>priscila.saboia@regentedepolo.uniasselvi.com.br</t>
  </si>
  <si>
    <t>PRISCILLA CERQUEIRA COSTA</t>
  </si>
  <si>
    <t>pris.cerqueira@hotmail.com</t>
  </si>
  <si>
    <t>PRISCILLA GABRIEL RIBEIRO MARQUES</t>
  </si>
  <si>
    <t>057.963.195-82</t>
  </si>
  <si>
    <t>priscilla.marques@regentedepolo.uniasselvi.com.br</t>
  </si>
  <si>
    <t>QUEZIA DA SILVA DOS ANJOS DA SILVA</t>
  </si>
  <si>
    <t>Brasil - Mundo Novo/MS (Brasileira)</t>
  </si>
  <si>
    <t>Brasil - MUNDO NOVO/MS (brasileira)</t>
  </si>
  <si>
    <t>RADRIELLY DE SOUSA ALVARENGA</t>
  </si>
  <si>
    <t>Brasil - POSSE/GO (brasileira)</t>
  </si>
  <si>
    <t>100190007@tutor.uniasselvi.com.br</t>
  </si>
  <si>
    <t>RAFAEL BECKHAUSER</t>
  </si>
  <si>
    <t>rafael.beckhauser@regentedepolo.uniasselvi.com.br</t>
  </si>
  <si>
    <t>RAFAEL DE FREITAS PESSANHA</t>
  </si>
  <si>
    <t>Brasil - JI-PARANÁ/RO (brasileira)</t>
  </si>
  <si>
    <t>2003|RO - SÃO MIGUEL DO GUAPORÉ</t>
  </si>
  <si>
    <t>rafael.pessanha@regentedepolo.uniasselvi.com.br</t>
  </si>
  <si>
    <t>RAFAEL GONCALVES CUISSE</t>
  </si>
  <si>
    <t>MG21168951</t>
  </si>
  <si>
    <t>rafael.cuissi@regentedepolo.uniasselvi.com.br</t>
  </si>
  <si>
    <t>RAFAEL GONCALVES GINDRI</t>
  </si>
  <si>
    <t>rafael.gindri@regentedepolo.uniasselvi.com.br</t>
  </si>
  <si>
    <t>RAFAEL NEVES DA SILVA</t>
  </si>
  <si>
    <t>Brasil - ANÁPOLIS/GO (brasileira)</t>
  </si>
  <si>
    <t>rafael.nsilva@regentedepolo.uniasselvi.com.br</t>
  </si>
  <si>
    <t>RAFAEL RAMOS DA SILVA</t>
  </si>
  <si>
    <t>rafael.silva@regentedepolo.uniasselvi.com.br</t>
  </si>
  <si>
    <t>RAFAEL ROCHA DE MELO</t>
  </si>
  <si>
    <t>rafaelmellosaude39@gmail.com</t>
  </si>
  <si>
    <t>RAFAELA LIMA DO PRADO</t>
  </si>
  <si>
    <t>rafaela.prado@regentedepolo.uniasselvi.com.br</t>
  </si>
  <si>
    <t>RAFAELLE BARBOZA MARQUES</t>
  </si>
  <si>
    <t>2007527378-5</t>
  </si>
  <si>
    <t>rafaelle.marques@regentedepolo.uniasselvi.com.br</t>
  </si>
  <si>
    <t>RAIANI MUNIZ DO NASCIMENTO</t>
  </si>
  <si>
    <t>raiani.muniz@icloud.com</t>
  </si>
  <si>
    <t>RAILDA MACHADO DOS SANTOS</t>
  </si>
  <si>
    <t>Brasil - Paragominas/PA (Brasileira)</t>
  </si>
  <si>
    <t>Brasil - PARAGOMINAS/PA (brasileira)</t>
  </si>
  <si>
    <t xml:space="preserve">159|PA - GOIANESIA DO PARA            </t>
  </si>
  <si>
    <t>railda.santos@regentedepolo.uniasselvi.com.br</t>
  </si>
  <si>
    <t>RAIMUNDO NONATO GOMES DE OLIVEIRA FILHO</t>
  </si>
  <si>
    <t>raimundo.filho@regentedepolo.uniasselvi.com.br</t>
  </si>
  <si>
    <t>RAIMUNDO NONATO RODRIGUES CAMPELO</t>
  </si>
  <si>
    <t>raimundo.campelo@regentedepolo.uniasselvi.com.br</t>
  </si>
  <si>
    <t>RAMIRO QUINTAO</t>
  </si>
  <si>
    <t>ramiro.quintao@regentedepolo.uniasselvi.com.br</t>
  </si>
  <si>
    <t>RAMON ALVES MALTA</t>
  </si>
  <si>
    <t>Brasil - Ituberá/BA (Brasileira)</t>
  </si>
  <si>
    <t>14393880@tutor.uniasselvi.com.br</t>
  </si>
  <si>
    <t>RAMON MARTINS GOMES</t>
  </si>
  <si>
    <t>Brasil - Crato/CE (Brasileira)</t>
  </si>
  <si>
    <t>716|CE - BREJO SANTO</t>
  </si>
  <si>
    <t>RANFLEYSSON MATHEUS CARDOSO DE OLIVEIRA</t>
  </si>
  <si>
    <t>Brasil - Janaúba/MG (Brasileira)</t>
  </si>
  <si>
    <t>Brasil - JANAÚBA/MG (brasileira)</t>
  </si>
  <si>
    <t>848|MG - JANAUBA (PADRE EUSTAQUIO)</t>
  </si>
  <si>
    <t>ranfleysson.oliveira@regentedepolo.uniasselvi.com.br</t>
  </si>
  <si>
    <t>RAQUEL CAPARROZ CICCONI RAMOS</t>
  </si>
  <si>
    <t>26.841.906-1</t>
  </si>
  <si>
    <t>raquel.ramos@regentedepolo.uniasselvi.com.br</t>
  </si>
  <si>
    <t>RAQUEL CRISTINE WALLAUER SILVEIRA</t>
  </si>
  <si>
    <t>Brasil - Três Passos/RS (Brasileira)</t>
  </si>
  <si>
    <t>Brasil - TRÊS PASSOS/RS (brasileira)</t>
  </si>
  <si>
    <t>100118004@tutor.uniasselvi.com.br</t>
  </si>
  <si>
    <t>RAQUEL DI PAULA MESQUITA LIMA DE OLIVEIRA</t>
  </si>
  <si>
    <t>raqueldipaula@gmail.com</t>
  </si>
  <si>
    <t>RAQUEL DOS SANTOS NASCIMENTO</t>
  </si>
  <si>
    <t>09.244.363-9</t>
  </si>
  <si>
    <t>543|RJ - SAO GONCALO</t>
  </si>
  <si>
    <t>100147547@tutor.uniasselvi.com.br</t>
  </si>
  <si>
    <t>RAQUEL MARIA DOS SANTOS NETA</t>
  </si>
  <si>
    <t>Brasil - FÁTIMA/BA (brasileira)</t>
  </si>
  <si>
    <t>raquel.neta@regentedepolo.uniasselvi.com.br</t>
  </si>
  <si>
    <t>RAQUEL RIBEIRO DE LIMA TEIXEIRA</t>
  </si>
  <si>
    <t>raquel.teixeira@regentedepolo.uniasselvi.com.br</t>
  </si>
  <si>
    <t>RAQUEL SIRTULLI</t>
  </si>
  <si>
    <t>Brasil - CHAPECÓ/SC (brasileira)</t>
  </si>
  <si>
    <t xml:space="preserve">206|SC - CHAPECO                       </t>
  </si>
  <si>
    <t>100184564@tutor.uniasselvi.com.br</t>
  </si>
  <si>
    <t>RAUDER REQUENA LOPES FIGUEIREDO</t>
  </si>
  <si>
    <t>1365158-7</t>
  </si>
  <si>
    <t>rauder.figueiredo@regentedepolo.uniasselvi.com.br</t>
  </si>
  <si>
    <t>RAUL BRASILEIRO DA SILVA</t>
  </si>
  <si>
    <t>14958712-07</t>
  </si>
  <si>
    <t>raul.silva@regentedepolo.uniasselvi.com.br</t>
  </si>
  <si>
    <t>RAUL DOS SANTOS AGUIRRE</t>
  </si>
  <si>
    <t>REGIANE GORDIA DRABESKI</t>
  </si>
  <si>
    <t>100181956@tutor.uniasselvi.com.br</t>
  </si>
  <si>
    <t>REGINA MARIA COURI GUSMAN</t>
  </si>
  <si>
    <t>Brasil - Muriaé/MG (Brasileira)</t>
  </si>
  <si>
    <t>100192019@tutor.uniasselvi.com.br</t>
  </si>
  <si>
    <t>REGINALDO DOS SANTOS CAMELO</t>
  </si>
  <si>
    <t>reginaldo.camelo@regentedepolo.uniasselvi.com.br</t>
  </si>
  <si>
    <t>REJANE CLAUDIA VASCONCELOS ROCHA</t>
  </si>
  <si>
    <t>2628635-92</t>
  </si>
  <si>
    <t>rejane.rocha@regentedepolo.uniasselvi.com.br</t>
  </si>
  <si>
    <t>REJANE CLEZAR DOS SANTOS</t>
  </si>
  <si>
    <t>Brasil - TORRES/RS (Brasileira)</t>
  </si>
  <si>
    <t>rejane.santos@regentedepolo.uniasselvi.com.br</t>
  </si>
  <si>
    <t>REJANE NOVAIS LIMA</t>
  </si>
  <si>
    <t>13.946.134-58</t>
  </si>
  <si>
    <t>Brasil - Itaeté/BA (Brasileira)</t>
  </si>
  <si>
    <t>rejane.lima@regentedepolo.uniasselvi.com.br</t>
  </si>
  <si>
    <t>RELIANNY CRISTINA ALBUQUERQUE SABOIA</t>
  </si>
  <si>
    <t>relianny.saboia@regentedepolo.uniasselvi.com.br</t>
  </si>
  <si>
    <t>RENATA GANCINE BUDEL</t>
  </si>
  <si>
    <t>Brasil - SANTA MARIA/RS (brasileira)</t>
  </si>
  <si>
    <t>renata.budel@regentedepolo.uniasselvi.com.br</t>
  </si>
  <si>
    <t>RENATA LINHARES FERREIRA MACIEL</t>
  </si>
  <si>
    <t>11483714-9</t>
  </si>
  <si>
    <t>renata.maciel@regentedepolo.uniasselvi.com.br</t>
  </si>
  <si>
    <t>RENATA MARIA FEITOSA CHAVES</t>
  </si>
  <si>
    <t>renata.chaves@regentedepolo.uniasselvi.com.br</t>
  </si>
  <si>
    <t>RENATA SOUZA DE SILVA</t>
  </si>
  <si>
    <t xml:space="preserve">612|RJ - RIO DE JANEIRO (BARRA DA TIJUCA) </t>
  </si>
  <si>
    <t>RENATO FERREIRA AVILA</t>
  </si>
  <si>
    <t>Brasil - PONTA PORÃ/MS (brasileira)</t>
  </si>
  <si>
    <t>renato.avila@regentedepolo.uniasselvi.com.br</t>
  </si>
  <si>
    <t>RHUANA MARIA DE SOUZA MACELLAY</t>
  </si>
  <si>
    <t>rhuana.macellay@regentedepolo.uniasselvi.com.br</t>
  </si>
  <si>
    <t>RICARDO COSTA CAMPOS JUNIOR</t>
  </si>
  <si>
    <t>ricardo.junior@regentedepolo.uniasselvi.com.br</t>
  </si>
  <si>
    <t>RICARDO FERREIRA DA SILVA</t>
  </si>
  <si>
    <t>ricardo.silva@regentedepolo.uniasselvi.com.br</t>
  </si>
  <si>
    <t>RICARDO IGOR BEZERRA</t>
  </si>
  <si>
    <t>ricardo.bezerra@regentedepolo.uniasselvi.com.br</t>
  </si>
  <si>
    <t>RICARDO LUZ FERREIRA</t>
  </si>
  <si>
    <t>ricardo.ferreira@regentedepolo.uniasselvi.com.br</t>
  </si>
  <si>
    <t>RICHARD OLIVEIRA JARDIM</t>
  </si>
  <si>
    <t>richard.jardim@regentedepolo.uniasselvi.com.br</t>
  </si>
  <si>
    <t>RICHARD PAUL CHARTRAIN</t>
  </si>
  <si>
    <t>100120517@tutor.uniasselvi.com.br</t>
  </si>
  <si>
    <t>RISABEL TAVARES FERNANDES</t>
  </si>
  <si>
    <t>RITA DE CASSIA AYRES DE HOLANDA</t>
  </si>
  <si>
    <t>rita.holanda@regentedepolo.uniasselvi.com.br</t>
  </si>
  <si>
    <t>RITA DE CASSIA DOS ANJOS PICANCO PINHEIRO</t>
  </si>
  <si>
    <t>rita.pinheiro@regentedepolo.uniasselvi.com.br</t>
  </si>
  <si>
    <t>RITA DE CASSIA FRAGA DA COSTA</t>
  </si>
  <si>
    <t>638.110.300-00</t>
  </si>
  <si>
    <t>rita.costa@regentedepolo.uniasselvi.com.br</t>
  </si>
  <si>
    <t>RITA DOS SANTOS AMARAL SAMPAIO</t>
  </si>
  <si>
    <t>Brasil - Santa Bárbara/BA (Brasileira)</t>
  </si>
  <si>
    <t>Brasil - SANTA BÁRBARA/BA (brasileira)</t>
  </si>
  <si>
    <t>rita.sampaio@regentedepolo.uniasselvi.com.br</t>
  </si>
  <si>
    <t>RITA GRACELI PEGORETTI</t>
  </si>
  <si>
    <t>Brasil - ASCURRA/SC (Brasileira)</t>
  </si>
  <si>
    <t>Brasil - ASCURRA/SC (brasileira)</t>
  </si>
  <si>
    <t>rgpego@hotmail.com</t>
  </si>
  <si>
    <t>ROBERTA GESSICA DA COSTA SANTOS</t>
  </si>
  <si>
    <t>roberta.santos@regentedepolo.uniasselvi.com.br</t>
  </si>
  <si>
    <t>ROBERTA LUIZA LIMA BARBOSA DE AMORIM</t>
  </si>
  <si>
    <t>828|CE - FORTALEZA (PARANGABA)</t>
  </si>
  <si>
    <t>100125522@tutor.uniasselvi.com.br</t>
  </si>
  <si>
    <t>ROBERTA REGIS SILVEIRA BEZERRA</t>
  </si>
  <si>
    <t>910.020.150-25</t>
  </si>
  <si>
    <t>roberta.bezerra@regentedepolo.uniasselvi.com.br</t>
  </si>
  <si>
    <t>ROBERTA RODRIGUES LEITES</t>
  </si>
  <si>
    <t>Brasil - São Gabriel/RS (Brasileira)</t>
  </si>
  <si>
    <t>Brasil - SÃO GABRIEL/RS (brasileira)</t>
  </si>
  <si>
    <t>roberta.leites@regentedepolo.uniasselvi.com.br</t>
  </si>
  <si>
    <t>ROBERTO DOS SANTOS ALVES</t>
  </si>
  <si>
    <t>roberto.alves@regentedepolo.uniasselvi.com.br</t>
  </si>
  <si>
    <t>ROBERTO FLAVIO CALUMBY</t>
  </si>
  <si>
    <t>robertoflavio0982023@gmail.com</t>
  </si>
  <si>
    <t>ROBSON DE CARVALHO DA SILVA</t>
  </si>
  <si>
    <t>036796872009-0</t>
  </si>
  <si>
    <t>robson.silva@regentedepolo.uniasselvi.com.br</t>
  </si>
  <si>
    <t>RODRIGO GONCALVES</t>
  </si>
  <si>
    <t>100116062@tutor.uniasselvi.com.br</t>
  </si>
  <si>
    <t>RODRIGO VILETTI PEREIRA</t>
  </si>
  <si>
    <t>8450455-6</t>
  </si>
  <si>
    <t>Brasil - Palotina/PR (Brasileira)</t>
  </si>
  <si>
    <t>rodrigo.pereira@regentedepolo.uniasselvi.com.br</t>
  </si>
  <si>
    <t>ROGER MEDEIROS XAVIER</t>
  </si>
  <si>
    <t>Brasil - Peixoto de Azevedo/MT (Brasileira)</t>
  </si>
  <si>
    <t>roger.xavier@regentedepolo.uniasselvi.com.br</t>
  </si>
  <si>
    <t>ROMARIO GUIMARAES VERCOSA DE ARAUJO</t>
  </si>
  <si>
    <t>100117551@tutor.uniasselvi.com.br</t>
  </si>
  <si>
    <t>ROMARIO VILANOVA SANTANA</t>
  </si>
  <si>
    <t>ROMEU MATIAS DA SILVA</t>
  </si>
  <si>
    <t>romeu.silva@regentedepolo.uniasselvi.com.br</t>
  </si>
  <si>
    <t>RONALDO DA SILVA</t>
  </si>
  <si>
    <t>ronaldo.silva@regentedepolo.uniasselvi.com.br</t>
  </si>
  <si>
    <t>ROQUE RIBEIRO DA SILVA JUNIOR</t>
  </si>
  <si>
    <t>2007414648-8</t>
  </si>
  <si>
    <t>Brasil - Jaguaruana/CE (Brasileira)</t>
  </si>
  <si>
    <t>Brasil - ARACATI/CE (brasileira)</t>
  </si>
  <si>
    <t>roqueujs@gmail.com</t>
  </si>
  <si>
    <t>ROSA TATIANE DIAS MAHS</t>
  </si>
  <si>
    <t>003:03</t>
  </si>
  <si>
    <t>739|SP - REGISTRO</t>
  </si>
  <si>
    <t>ROSA TORRES RODRIGUES COSTA</t>
  </si>
  <si>
    <t>rosa.costa@regentedepolo.uniasselvi.com.br</t>
  </si>
  <si>
    <t>ROSALVO PEIXOTO DE OLIVEIRA JUNIOR</t>
  </si>
  <si>
    <t>rosalvo.junior@regentedepolo.uniasselvi.com.br</t>
  </si>
  <si>
    <t>ROSANA PERACA SILVA</t>
  </si>
  <si>
    <t>rosana.silva@regentedepolo.uniasselvi.com.br</t>
  </si>
  <si>
    <t>ROSANA PIMENTEL DE ARAUJO</t>
  </si>
  <si>
    <t>rosana.mello@regentedepolo.uniasselvi.com.br</t>
  </si>
  <si>
    <t>ROSANA RICHTER</t>
  </si>
  <si>
    <t>2.497.753-5</t>
  </si>
  <si>
    <t>rosana.richter@regentedepolo.uniasselvi.com.br</t>
  </si>
  <si>
    <t>ROSANGELA DA GLORIA PEREIRA DE SOUSA</t>
  </si>
  <si>
    <t>rosangela.sousa@regentedepolo.uniasselvi.com.br</t>
  </si>
  <si>
    <t>ROSANGELA DE FATIMA KUNZ</t>
  </si>
  <si>
    <t>rosangela.kunz@regentedepolo.uniasselvi.com.br</t>
  </si>
  <si>
    <t>ROSILDA FERREIRA NUNES CASTRO</t>
  </si>
  <si>
    <t>Brasil - Campo Maior/PI (Brasileira)</t>
  </si>
  <si>
    <t>Brasil - SANTA RITA/MA (brasileira)</t>
  </si>
  <si>
    <t>rosilda.castro@regentedepolo.uniasselvi.com.br</t>
  </si>
  <si>
    <t>ROSILENE DA SILVA SARGES</t>
  </si>
  <si>
    <t>rosilene.sarges@regentedepolo.uniasselvi.com.br</t>
  </si>
  <si>
    <t>ROSILENE TENORIO WANDERLEY</t>
  </si>
  <si>
    <t>56.550-86</t>
  </si>
  <si>
    <t>Brasil - ÁGUAS BELAS/PE (brasileira)</t>
  </si>
  <si>
    <t>rosilene.wanderley@regentedepolo.uniasselvi.com.br</t>
  </si>
  <si>
    <t>ROSINETE FRANCA ALVES</t>
  </si>
  <si>
    <t>Brasil - Santana do Ipanema/AL (Brasileira)</t>
  </si>
  <si>
    <t>Brasil - SANTANA DO IPANEMA/AL (brasileira)</t>
  </si>
  <si>
    <t>rosinete.alves@regentedepolo.uniasselvi.com.br</t>
  </si>
  <si>
    <t>ROZELI BENNER</t>
  </si>
  <si>
    <t>Brasil - PETROLANDIA/SC (Brasileira)</t>
  </si>
  <si>
    <t>rozeli.benner@regentedepolo.uniasselvi.com.br</t>
  </si>
  <si>
    <t>RUBEM PORTO DA ROCHA</t>
  </si>
  <si>
    <t>rubem.rocha@regentedepolo.uniasselvi.com.br</t>
  </si>
  <si>
    <t>RUBIA MAURIZIO LEITE</t>
  </si>
  <si>
    <t>rubia.leite@regentedepolo.uniasselvi.com.br</t>
  </si>
  <si>
    <t>RUBIA PAULA JACOB NILES</t>
  </si>
  <si>
    <t>rubia.niles@regentedepolo.uniasselvi.com.br</t>
  </si>
  <si>
    <t>RUBIA VITORIA SILVA DO NASCIMENTO MICHELON</t>
  </si>
  <si>
    <t>Brasil - Andaraí/BA (Brasileira)</t>
  </si>
  <si>
    <t>Brasil - ANDARAÍ/BA (brasileira)</t>
  </si>
  <si>
    <t>rubia.michelon@regentedepolo.uniasselvi.com.br</t>
  </si>
  <si>
    <t>RUY CIRO MOURA MAGALHAES</t>
  </si>
  <si>
    <t>ruy.magalhaes@regentedepolo.uniasselvi.com.br</t>
  </si>
  <si>
    <t>SAARA JOENA MARQUES</t>
  </si>
  <si>
    <t>saara.marques@regentedepolo.uniasselvi.com.br</t>
  </si>
  <si>
    <t>SAIONARA APARECIDA DA SILVA RAMOS CAMPOS</t>
  </si>
  <si>
    <t>Brasil - LAGES/SC (Brasileira)</t>
  </si>
  <si>
    <t>saionara.campos@regentedepolo.uniasselvi.com.br</t>
  </si>
  <si>
    <t>SALIM FONSECA SENA</t>
  </si>
  <si>
    <t>Brasil - Salinópolis/PA (Brasileira)</t>
  </si>
  <si>
    <t>Brasil - SALINÓPOLIS/PA (brasileira)</t>
  </si>
  <si>
    <t>100116266@tutor.uniasselvi.com.br</t>
  </si>
  <si>
    <t>SAMARA DE CASTRO MARTINS</t>
  </si>
  <si>
    <t>Brasil - Igarapé-Miri/PA (Brasileira)</t>
  </si>
  <si>
    <t>samara.martins@regentedepolo.uniasselvi.com.br</t>
  </si>
  <si>
    <t>SAMARA MARQUES DOS REIS</t>
  </si>
  <si>
    <t>samara.reis@regentedepolo.uniasselvi.com.br</t>
  </si>
  <si>
    <t>SAMILLA ROCHA DOS SANTOS</t>
  </si>
  <si>
    <t>Brasil - São Miguel Do Guamá/PA (Brasileira)</t>
  </si>
  <si>
    <t>Brasil - SÃO MIGUEL DO GUAMÁ/PA (brasileira)</t>
  </si>
  <si>
    <t>062|PA - MAE DO RIO</t>
  </si>
  <si>
    <t>samilla.santos@regentedepolo.uniasselvi.com.br</t>
  </si>
  <si>
    <t>SAMILLE FARIAS DE LIMA</t>
  </si>
  <si>
    <t>2573145-9</t>
  </si>
  <si>
    <t>Brasil - Boca Do Acre/AM (Brasileira)</t>
  </si>
  <si>
    <t>Brasil - BOCA DO ACRE/AM (brasileira)</t>
  </si>
  <si>
    <t>samille.lima@regentedepolo.uniasselvi.com.br</t>
  </si>
  <si>
    <t>SAMIRA SANTOS DE AGUIAR DA SILVA</t>
  </si>
  <si>
    <t>100174858@professor.uniasselvi.com.br</t>
  </si>
  <si>
    <t>SANDERSON LINHARES DE SOUZA</t>
  </si>
  <si>
    <t>sanderson.souza@regentedepolo.uniasselvi.com.br</t>
  </si>
  <si>
    <t>SANDRA BRANDAO BRANCO</t>
  </si>
  <si>
    <t>Brasil - Altamira/PA (Brasileira)</t>
  </si>
  <si>
    <t>Brasil - ALTAMIRA/PA (brasileira)</t>
  </si>
  <si>
    <t>sandra.branco@regentedepolo.uniasselvi.com.br</t>
  </si>
  <si>
    <t>SANDRA DENIZ HORN</t>
  </si>
  <si>
    <t>Brasil - PONTES E LACERDA/MT (brasileira)</t>
  </si>
  <si>
    <t>sandra.horn@regentedepolo.uniasselvi.com.br</t>
  </si>
  <si>
    <t>SANDRA GORETE MEDEIROS DOS SANTOS TEIXEIRA</t>
  </si>
  <si>
    <t>100102018@tutor.uniasselvi.com.br</t>
  </si>
  <si>
    <t>SANDRA MARA ACIOLES DO NASCIMENTO</t>
  </si>
  <si>
    <t>sandra.nascimento@regentedepolo.uniasselvi.com.br</t>
  </si>
  <si>
    <t>SANDRA MARIA DOS SANTOS DE OLIVEIRA</t>
  </si>
  <si>
    <t>Brasil - Bacabal/MA (Brasileira)</t>
  </si>
  <si>
    <t>sandra.oliveira@regentedepolo.uniasselvi.com.br</t>
  </si>
  <si>
    <t>SANDRA REGINA ALENCAR COSTA</t>
  </si>
  <si>
    <t>sandra.costa@regentedepolo.uniasselvi.com.br</t>
  </si>
  <si>
    <t>SARA ALVES FELIX</t>
  </si>
  <si>
    <t>sara.felix@regentedepolo.uniasselvi.com.br</t>
  </si>
  <si>
    <t>SARA ALVES MARQUES</t>
  </si>
  <si>
    <t>sara.marques@regentedepolo.uniasselvi.com.br</t>
  </si>
  <si>
    <t>SARA CAROLINI DOS SANTOS</t>
  </si>
  <si>
    <t>Brasil - Imbuia/SC (Brasileira)</t>
  </si>
  <si>
    <t>Brasil - IMBUIA/SC (brasileira)</t>
  </si>
  <si>
    <t>sara.santos@regentedepolo.uniasselvi.com.br</t>
  </si>
  <si>
    <t>SARAH MARIANA SODRE COSTA</t>
  </si>
  <si>
    <t>sarah.costa@regentedepolo.uniasselvi.com.br</t>
  </si>
  <si>
    <t>SAULO AUGUSTO MACEDO FARIA GONTIJO</t>
  </si>
  <si>
    <t>Brasil - Formiga/MG (Brasileira)</t>
  </si>
  <si>
    <t>saulo.gontijo@regentedepolo.uniasselvi.com.br</t>
  </si>
  <si>
    <t>SAULO DUTRA AVILA PINHEIRO</t>
  </si>
  <si>
    <t>SAVIO RIBEIRO GOMES NEGRAO</t>
  </si>
  <si>
    <t>savio.negrao@regentedepolo.uniasselvi.com.br</t>
  </si>
  <si>
    <t>SEDIEL ANDRADE AMBROSIO</t>
  </si>
  <si>
    <t>781|AM - SAO GABRIEL DA CACHOEIRA</t>
  </si>
  <si>
    <t>sediel.ambrosio@regentedepolo.uniasselvi.com.br</t>
  </si>
  <si>
    <t>SEDINEI DE OLIVEIRA</t>
  </si>
  <si>
    <t>sedinei.oliveira@regentedepolo.uniasselvi.com.br</t>
  </si>
  <si>
    <t>SERGIO LUIZ DE ALMEIDA</t>
  </si>
  <si>
    <t>Brasil - SAO JOSE/SC (Brasileira)</t>
  </si>
  <si>
    <t>sergio.almeida@regentedepolo.uniasselvi.com.br</t>
  </si>
  <si>
    <t>SERGIO LUIZ DE MORAES BARTEL</t>
  </si>
  <si>
    <t>sergio.bartel@regentedepolo.uniasselvi.com.br</t>
  </si>
  <si>
    <t>SERGIO VIEIRA MOTA</t>
  </si>
  <si>
    <t>Brasil - PORTO FRANCO/MA (brasileira)</t>
  </si>
  <si>
    <t>100153518@tutor.uniasselvi.com.br</t>
  </si>
  <si>
    <t>SHAMYRES TEIXEIRA RUIZ</t>
  </si>
  <si>
    <t>2280420-0</t>
  </si>
  <si>
    <t>Brasil - Barcelos/AM (Brasileira)</t>
  </si>
  <si>
    <t>shamyres.ruiz@regentedepolo.uniasselvi.com.br</t>
  </si>
  <si>
    <t>SHEILA CRISTINA BENASSULY AZEVEDO</t>
  </si>
  <si>
    <t>Deficiência Física - Deformidades congênitas ou adquiridas</t>
  </si>
  <si>
    <t>sheila.azevedo@regentedepolo.uniasselvi.com.br</t>
  </si>
  <si>
    <t>SILAS RODRIGUES DOS SANTOS</t>
  </si>
  <si>
    <t>rodrigues.silasr7@gmail.com</t>
  </si>
  <si>
    <t>SILVANA LAZZARINI BULLA</t>
  </si>
  <si>
    <t>Brasil - Herval D'Oeste/SC (Brasileira)</t>
  </si>
  <si>
    <t>silvana.bulla@regentedepolo.uniasselvi.com.br</t>
  </si>
  <si>
    <t>SILVIO VERAS JUNIOR PALHETA DA SILVA</t>
  </si>
  <si>
    <t>753|PA - BELEM (CASTANHEIRA)</t>
  </si>
  <si>
    <t>100182994@tutor.uniasselvi.com.br</t>
  </si>
  <si>
    <t>SIMONE DA ROCHA BANDEIRA DONAY</t>
  </si>
  <si>
    <t>Brasil - Barra Do Ribeiro/RS (Brasileira)</t>
  </si>
  <si>
    <t>Brasil - BARRA DO RIBEIRO/RS (brasileira)</t>
  </si>
  <si>
    <t>simonebdonay@gmail.com</t>
  </si>
  <si>
    <t>SIMONE DE CARLA DO NASCIMENTO RAIOL</t>
  </si>
  <si>
    <t>simone.raiol@regentedepolo.uniasselvi.com.br</t>
  </si>
  <si>
    <t>SIMONE MELISSA DA SILVA</t>
  </si>
  <si>
    <t>Brasil - Sapucaia do Sul/RS (Brasileira)</t>
  </si>
  <si>
    <t>simone.silva@regentedepolo.uniasselvi.com.br</t>
  </si>
  <si>
    <t>SIMONE MINOTTO ZANETTE</t>
  </si>
  <si>
    <t>mone-zanettecri@hotmail.com</t>
  </si>
  <si>
    <t>SIMONE TEREZINHA FELDHAUS DE SOUZA</t>
  </si>
  <si>
    <t>Brasil - Bocaina Do Sul/SC (Brasileira)</t>
  </si>
  <si>
    <t>simone.souza@regentedepolo.uniasselvi.com.br</t>
  </si>
  <si>
    <t>SIRLEIA PAULA DE ARRUDA</t>
  </si>
  <si>
    <t>sirleia.arruda@regentedepolo.uniasselvi.com.br</t>
  </si>
  <si>
    <t>SIZY BRENDA DE MELO</t>
  </si>
  <si>
    <t>sizy.melo@regentedepolo.uniasselvi.com.br</t>
  </si>
  <si>
    <t>SOLANGE DE JESUS SILVA</t>
  </si>
  <si>
    <t>soll-silva@hotmail.com</t>
  </si>
  <si>
    <t>SOLANGE SILVEIRA ROSA</t>
  </si>
  <si>
    <t>solangesilveirarosa@gmail.com</t>
  </si>
  <si>
    <t>SONIA DA SILVA DE SOUZA</t>
  </si>
  <si>
    <t>1608581-7</t>
  </si>
  <si>
    <t>Brasil - Manicoré/AM (Brasileira)</t>
  </si>
  <si>
    <t>sonia.souza@regentedepolo.uniasselvi.com.br</t>
  </si>
  <si>
    <t>SUELLEN DE SENA MARINHO</t>
  </si>
  <si>
    <t>suellen.marinho@regentedepolo.uniasselvi.com.br</t>
  </si>
  <si>
    <t>SUSANA DA SILVA PEREIRA ALVES</t>
  </si>
  <si>
    <t>5.375.803-0</t>
  </si>
  <si>
    <t>Brasil - São Francisco Do Sul/SC (Brasileira)</t>
  </si>
  <si>
    <t>Brasil - SÃO FRANCISCO DO SUL/SC (brasileira)</t>
  </si>
  <si>
    <t>susanadasilvapereiraalves@gmail.com</t>
  </si>
  <si>
    <t>SUSANE RAPHAELA FERNANDES BIFF</t>
  </si>
  <si>
    <t>100100613@tutor.uniasselvi.com.br</t>
  </si>
  <si>
    <t>SUZANE FERREIRA DE CARVALHO LEMGRUBER</t>
  </si>
  <si>
    <t>10.961.753-0</t>
  </si>
  <si>
    <t xml:space="preserve">1044|SC - SAO JOSE (KOBRASOL) </t>
  </si>
  <si>
    <t>suzane.lemgruber@regentedepolo.uniasselvi.com.br</t>
  </si>
  <si>
    <t>SUZANNE TAINA MATOS DE LIMA</t>
  </si>
  <si>
    <t>SUZI CLEIA GOMES DE OLIVEIRA</t>
  </si>
  <si>
    <t>Brasil - Monte Alegre de Sergipe/SE (Brasileira)</t>
  </si>
  <si>
    <t>suzi.oliveira@regentedepolo.uniasselvi.com.br</t>
  </si>
  <si>
    <t>TAINA GOMES FARIAS</t>
  </si>
  <si>
    <t>Brasil - PLANALTINA/DF (brasileira)</t>
  </si>
  <si>
    <t>100165973@tutor.uniasselvi.com.br</t>
  </si>
  <si>
    <t>TAINA SANTOS SILVA LIRA</t>
  </si>
  <si>
    <t>taina.lira@regentedepolo.uniasselvi.com.br</t>
  </si>
  <si>
    <t>TAIS DORILEIA KUNDE</t>
  </si>
  <si>
    <t>Brasil - São Lourenço do Sul/RS (Brasileira)</t>
  </si>
  <si>
    <t>245|RS - SAO LOURENCO DO SUL</t>
  </si>
  <si>
    <t>100102861@tutor.uniasselvi.com.br</t>
  </si>
  <si>
    <t>TALINE MARIA DE CARVALHO VIANA LIRA</t>
  </si>
  <si>
    <t>Brasil - Pedro II/PI (Brasileira)</t>
  </si>
  <si>
    <t>Brasil - PEDRO II/PI (brasileira)</t>
  </si>
  <si>
    <t>taline.lira@regentedepolo.uniasselvi.com.br</t>
  </si>
  <si>
    <t>TALITA ARAUJO DE OLIVEIRA</t>
  </si>
  <si>
    <t>265.301-55</t>
  </si>
  <si>
    <t>talita_arauujo@hotmail.com</t>
  </si>
  <si>
    <t>TALITA BUERI MACHADO SCHIOCHET</t>
  </si>
  <si>
    <t>Brasil - Rio Negro/PR (Brasileira)</t>
  </si>
  <si>
    <t>talita.schiochet@regentedepolo.uniasselvi.com.br</t>
  </si>
  <si>
    <t>TALITHA TAVARES SANTOS</t>
  </si>
  <si>
    <t>764|SE - NOSSA SENHORA DO SOCORRO</t>
  </si>
  <si>
    <t>talitha.ribeiro@regentedepolo.uniasselvi.com.br</t>
  </si>
  <si>
    <t>TAMILES BRUNA DA MOTA TEIXEIRA</t>
  </si>
  <si>
    <t>TAMIRES MIRANDA PEREIRA DA CRUZ</t>
  </si>
  <si>
    <t>Brasil - Gaspar/SC (Brasileira)</t>
  </si>
  <si>
    <t>tamires.cruz@regentedepolo.uniasselvi.com.br</t>
  </si>
  <si>
    <t>TARCIANA BRITO MONTEIRO FARIAS COSTA</t>
  </si>
  <si>
    <t>588.850.804-72</t>
  </si>
  <si>
    <t>tarciana.costa@regentedepolo.uniasselvi.com.br</t>
  </si>
  <si>
    <t>TARCISIO CARVALHO DA CRUZ</t>
  </si>
  <si>
    <t>Brasil - Pojuca/BA (Brasileira)</t>
  </si>
  <si>
    <t>Brasil - POJUCA/BA (brasileira)</t>
  </si>
  <si>
    <t>29053@tutor.uniasselvi.com.br</t>
  </si>
  <si>
    <t>TARCISIO DE JESUS MOREIRA</t>
  </si>
  <si>
    <t>tarcisio.moreira@regentedepolo.uniasselvi.com.br</t>
  </si>
  <si>
    <t>TATIANA CALS MAUES SOUZA</t>
  </si>
  <si>
    <t>tatiana.souza@regentedepolo.uniasselvi.com.br</t>
  </si>
  <si>
    <t>TATIANA MACHADO OLIVEIRA RUSSI</t>
  </si>
  <si>
    <t>tatiana.russi@regentedepolo.uniasselvi.com.br</t>
  </si>
  <si>
    <t>TATIANE BILK FELIX LEITE</t>
  </si>
  <si>
    <t>tatiane.leite@regentedepolo.uniasselvi.com.br</t>
  </si>
  <si>
    <t>TATIANE DE OLIVEIRA MARQUES</t>
  </si>
  <si>
    <t xml:space="preserve">215|SC - LAGUNA                        </t>
  </si>
  <si>
    <t>tatiane.marques@regentedepolo.uniasselvi.com.br</t>
  </si>
  <si>
    <t>TATIANE LIMA SANTOS</t>
  </si>
  <si>
    <t>tatiane.santos@regentedepolo.uniasselvi.com.br</t>
  </si>
  <si>
    <t>TATYANA CRISTINA CARDOSO XAVIER</t>
  </si>
  <si>
    <t>tatyana.xavier@regentedepolo.uniasselvi.com.br</t>
  </si>
  <si>
    <t>TAUANA AMELIA TESTONI</t>
  </si>
  <si>
    <t>100120506@tutor.uniasselvi.com.br</t>
  </si>
  <si>
    <t>TAYANA STEINHORST SIMOES</t>
  </si>
  <si>
    <t>Brasil - SANTO ÂNGELO/RS (brasileira)</t>
  </si>
  <si>
    <t>tayana.simoes@regentedepolo.uniasselvi.com.br</t>
  </si>
  <si>
    <t>TAYLA QUEREN DOS SANTOS BASSO</t>
  </si>
  <si>
    <t>Brasil - Barra do Garças/MT (Brasileira)</t>
  </si>
  <si>
    <t>678|MT - BARRA DO GARCAS</t>
  </si>
  <si>
    <t>tayla.basso@regentedepolo.uniasselvi.com.br</t>
  </si>
  <si>
    <t>TAYLO DE SOUZA UGARTE</t>
  </si>
  <si>
    <t>1987811-7</t>
  </si>
  <si>
    <t>Brasil - BARCELOS/AM (brasileira)</t>
  </si>
  <si>
    <t>taylo.ugarte@regentedepolo.uniasselvi.com.br</t>
  </si>
  <si>
    <t>THACYANNE LIMA MEIRELES</t>
  </si>
  <si>
    <t>Brasil - Mata Roma/MA (Brasileira)</t>
  </si>
  <si>
    <t>Brasil - MATA ROMA/MA (brasileira)</t>
  </si>
  <si>
    <t>thacyanne.meireles@regentedepolo.uniasselvi.com.br</t>
  </si>
  <si>
    <t>THAIS BRUNA ROCHA VASCONCELOS</t>
  </si>
  <si>
    <t>thais.bvasconcelos@regentedepolo.uniasselvi.com.br</t>
  </si>
  <si>
    <t>THAIS CHRISLANY ALMEIDA FERREIRA CAVALCANTE</t>
  </si>
  <si>
    <t>Brasil - Oeiras/PI (Brasileira)</t>
  </si>
  <si>
    <t>175|PI - TERESINA (1 ZONA SUL)</t>
  </si>
  <si>
    <t>thais.cavalcante@regentedepolo.uniasselvi.com.br</t>
  </si>
  <si>
    <t>THAIS CRISTINA PEREIRA VASCONCELOS</t>
  </si>
  <si>
    <t>thais.vasconcelos@regentedepolo.uniasselvi.com.br</t>
  </si>
  <si>
    <t>THAIS REGIA ARCELINO DA SILVA LIMA COSTA</t>
  </si>
  <si>
    <t>Brasil - Redenção/CE (Brasileira)</t>
  </si>
  <si>
    <t>thais.costa@regentedepolo.uniasselvi.com.br</t>
  </si>
  <si>
    <t>THAIS SANTOS OLIVEIRA</t>
  </si>
  <si>
    <t>thais.oliveira@regentedepolo.uniasselvi.com.br</t>
  </si>
  <si>
    <t>THAISMARIA ALVES DE SOUSA</t>
  </si>
  <si>
    <t>thaismaria.sousa@regentedepolo.uniasselvi.com.br</t>
  </si>
  <si>
    <t>THALIA DO SOCORRO GALES FERREIRA</t>
  </si>
  <si>
    <t>thalia.ferreira@regentedepolo.uniasselvi.com.br</t>
  </si>
  <si>
    <t>THALISSON FLORES PITANA</t>
  </si>
  <si>
    <t>thalisson.pitana@regentedepolo.uniasselvi.com.br</t>
  </si>
  <si>
    <t>THALITA DIAS DA COSTA FERNANDES</t>
  </si>
  <si>
    <t>100189037@tutor.uniasselvi.com.br</t>
  </si>
  <si>
    <t>THALITA VICENTE JARDIM DA SILVA</t>
  </si>
  <si>
    <t>233|MG - ARACUAI</t>
  </si>
  <si>
    <t>100106821@tutor.uniasselvi.com.br</t>
  </si>
  <si>
    <t>THAMIRIS CRISTINE CORDEIRO MARQUES</t>
  </si>
  <si>
    <t>thamiris.marques@regentedepolo.uniasselvi.com.br</t>
  </si>
  <si>
    <t>THAMIRIS MICAELLY DE MOURA BESSA SALGADO</t>
  </si>
  <si>
    <t>thamiris.salgado@regentedepolo.uniasselvi.com.br</t>
  </si>
  <si>
    <t>THAYANA HAYDEE BALTHAZAR NUNES</t>
  </si>
  <si>
    <t>thayana.nunes@regentedepolo.uniasselvi.com.br</t>
  </si>
  <si>
    <t>THAYANE ANDRADE BARRETO</t>
  </si>
  <si>
    <t>thayane.barreto@regentedepolo.uniasselvi.com.br</t>
  </si>
  <si>
    <t>THAYANNA KAREN PIRES MUNIZ</t>
  </si>
  <si>
    <t>Brasil - Santa Rita/MA (Brasileira)</t>
  </si>
  <si>
    <t>THAYLANE DE MATTOS CENTENO</t>
  </si>
  <si>
    <t>THAYNA FELIX DA SILVA</t>
  </si>
  <si>
    <t>100119012@tutor.uniasselvi.com.br</t>
  </si>
  <si>
    <t>THAYS CRISTINA SOUZA NICHELE</t>
  </si>
  <si>
    <t>thays.nichele@regentedepolo.uniasselvi.com.br</t>
  </si>
  <si>
    <t>THIAGO BUZATTO STORCK</t>
  </si>
  <si>
    <t>thiago.storck@regentedepolo.uniasselvi.com.br</t>
  </si>
  <si>
    <t>THIAGO CARNEIRO MESQUITA DE LIMA</t>
  </si>
  <si>
    <t>200.702.4435-3</t>
  </si>
  <si>
    <t>thiago.lima@regentedepolo.uniasselvi.com.br</t>
  </si>
  <si>
    <t>THIAGO LIMA SOUZA</t>
  </si>
  <si>
    <t>thiago-stz@hotmail.com</t>
  </si>
  <si>
    <t>THIAGO PINHEIRO DE MAGALHAES</t>
  </si>
  <si>
    <t>2107851-3</t>
  </si>
  <si>
    <t>thiago.magalhaes@regentedepolo.uniasselvi.com.br</t>
  </si>
  <si>
    <t>THIAGO ULIANO</t>
  </si>
  <si>
    <t>thiago.uliano@regentedepolo.uniasselvi.com.br</t>
  </si>
  <si>
    <t>TIELY SILVA LIMA</t>
  </si>
  <si>
    <t>Brasil - Tomé-açu/PA (Brasileira)</t>
  </si>
  <si>
    <t>tiely.lima@regentedepolo.uniasselvi.com.br</t>
  </si>
  <si>
    <t>TIPHANI ROCHA DE ARAUJO</t>
  </si>
  <si>
    <t>Brasil - Paracatu/MG (Brasileira)</t>
  </si>
  <si>
    <t>tiphani.araujo@regentedepolo.uniasselvi.com.br</t>
  </si>
  <si>
    <t>TOLENTINO JOSE PINHEIRO NETO</t>
  </si>
  <si>
    <t>Brasil - Ponte Alta/SC (Brasileira)</t>
  </si>
  <si>
    <t>Brasil - PONTE ALTA/SC (brasileira)</t>
  </si>
  <si>
    <t>100165008@tutor.uniasselvi.com.br</t>
  </si>
  <si>
    <t>TUISE KUHN KRUGER</t>
  </si>
  <si>
    <t>tuise.kruger@regentedepolo.uniasselvi.com.br</t>
  </si>
  <si>
    <t>UDMILA BRITO DA SILVA</t>
  </si>
  <si>
    <t>udmila.silva@regentedepolo.uniasselvi.com.br</t>
  </si>
  <si>
    <t>UELSON CARVALHO RODRIGUES</t>
  </si>
  <si>
    <t>Brasil - Goiana/PE (Brasileira)</t>
  </si>
  <si>
    <t>100167553@tutor.uniasselvi.com.br</t>
  </si>
  <si>
    <t>UILIAM SAMUEL RODRIGUES COSTEIRA</t>
  </si>
  <si>
    <t>Brasil - Dom Pedrito/RS (Brasileira)</t>
  </si>
  <si>
    <t>Brasil - DOM PEDRITO/RS (brasileira)</t>
  </si>
  <si>
    <t>uiliam.costeira@regentedepolo.uniasselvi.com.br</t>
  </si>
  <si>
    <t>VALDENICE TEREZINHA DA SILVA</t>
  </si>
  <si>
    <t>666|SC - IBIRAMA</t>
  </si>
  <si>
    <t>valdenice.silva@regentedepolo.uniasselvi.com.br</t>
  </si>
  <si>
    <t>VALDIANA SOUSA DA SILVA ROCHA</t>
  </si>
  <si>
    <t>1133|CE - PARACURU</t>
  </si>
  <si>
    <t>valdiana.rocha@regentedepolo.uniasselvi.com.br</t>
  </si>
  <si>
    <t>VALDILENE OLIVEIRA SOUSA</t>
  </si>
  <si>
    <t>Brasil - Mãe do Rio/PA (Brasileira)</t>
  </si>
  <si>
    <t>valdilene.sousa@regentedepolo.uniasselvi.com.br</t>
  </si>
  <si>
    <t>VALMIR JOSE EFFTING</t>
  </si>
  <si>
    <t>Brasil - São Martinho/SC (Brasileira)</t>
  </si>
  <si>
    <t>Brasil - SÃO MARTINHO/SC (brasileira)</t>
  </si>
  <si>
    <t>valmir.effting@regentedepolo.uniasselvi.com.br</t>
  </si>
  <si>
    <t>VALQUIRIA ZEFERINO GERMANO DA SILVA</t>
  </si>
  <si>
    <t>72349@tutor.uniasselvi.com.br</t>
  </si>
  <si>
    <t>VANDERLEI AMARO DA SILVA JUNIOR</t>
  </si>
  <si>
    <t>Brasil - TRÊS LAGOAS/MS (brasileira)</t>
  </si>
  <si>
    <t>vanderlei.junior@regentedepolo.uniasselvi.com.br</t>
  </si>
  <si>
    <t>VANESSA ACCACIO GOMES LOPES</t>
  </si>
  <si>
    <t>VANESSA ANUNCIACAO SILVA</t>
  </si>
  <si>
    <t>Brasil - Piritiba/BA (Brasileira)</t>
  </si>
  <si>
    <t>Brasil - PIRITIBA/BA (brasileira)</t>
  </si>
  <si>
    <t>vanessa.silva@regentedepolo.uniasselvi.com.br</t>
  </si>
  <si>
    <t>VANESSA CERVI DA SILVA</t>
  </si>
  <si>
    <t>708.777.078-5</t>
  </si>
  <si>
    <t>vanessacervi@rioverde.go.gov.br</t>
  </si>
  <si>
    <t>VANESSA DO AMOR DIVINO SOUZA</t>
  </si>
  <si>
    <t>vanessa.souza@regentedepolo.uniasselvi.com.br</t>
  </si>
  <si>
    <t>VANESSA PINHEIRO AMARAL LEMOS</t>
  </si>
  <si>
    <t>vanessa.lemos@regentedepolo.uniasselvi.com.br</t>
  </si>
  <si>
    <t>VANESSA ROCHA MESQUITA</t>
  </si>
  <si>
    <t>vanessa.mesquita@regentedepolo.uniasselvi.com.br</t>
  </si>
  <si>
    <t>VANESSA RODRIGUES SANTOS EVALDT</t>
  </si>
  <si>
    <t>Brasil - TRÊS CACHOEIRAS/RS (brasileira)</t>
  </si>
  <si>
    <t>100147613@tutor.uniasselvi.com.br</t>
  </si>
  <si>
    <t>VANIA EVALDA JOSE DO VALLE</t>
  </si>
  <si>
    <t>vania.valle@regentedepolo.uniasselvi.com.br</t>
  </si>
  <si>
    <t>VERA LUCIA DAL BOSCO DA SILVA</t>
  </si>
  <si>
    <t>057|RS - CAXIAS DO SUL</t>
  </si>
  <si>
    <t>vera.silva@regentedepolo.uniasselvi.com.br</t>
  </si>
  <si>
    <t>VERONICA DE CARVALHO SILVA BARBOSA</t>
  </si>
  <si>
    <t>Brasil - Gavião/BA (Brasileira)</t>
  </si>
  <si>
    <t>815|BA - CONCEICAO DO COITE</t>
  </si>
  <si>
    <t>veronica.barbosa@regentedepolo.uniasselvi.com.br</t>
  </si>
  <si>
    <t>VILMAR ANTONIO CARUS</t>
  </si>
  <si>
    <t>vilmar.carus@uniasselvi.com.br</t>
  </si>
  <si>
    <t>VILMAR GRIMES</t>
  </si>
  <si>
    <t>Brasil - Santa Cecília/SC (Brasileira)</t>
  </si>
  <si>
    <t>vilmar.grimes@regentedepolo.uniasselvi.com.br</t>
  </si>
  <si>
    <t>VINICIUS DOUGLAS BONFIM FLORENCIO</t>
  </si>
  <si>
    <t>Brasil - Silvanópolis/TO (Brasileira)</t>
  </si>
  <si>
    <t>1106|TO - PALMAS (PLANO DIRETOR SUL)</t>
  </si>
  <si>
    <t>100158543@tutor.uniasselvi.com.br</t>
  </si>
  <si>
    <t>VITOR MATHEUS NASCIMENTO DOS SANTOS</t>
  </si>
  <si>
    <t>Brasil - Canavieiras/BA (Brasileira)</t>
  </si>
  <si>
    <t>Brasil - CANAVIEIRAS/BA (brasileira)</t>
  </si>
  <si>
    <t>vitor.santos@regentedepolo.uniasselvi.com.br</t>
  </si>
  <si>
    <t>VITORIA GOMES SOUZA</t>
  </si>
  <si>
    <t>vitoria.souza@regentedepolo.uniasselvi.com.br</t>
  </si>
  <si>
    <t>VITORIA SANTOS NUNES</t>
  </si>
  <si>
    <t>1119|PA - MARABA (CIDADE NOVA)</t>
  </si>
  <si>
    <t>vitoria.nunes@tutor.uniasselvi.com.br</t>
  </si>
  <si>
    <t>VIVIAN DA SILVA</t>
  </si>
  <si>
    <t>vivian.silva@regentedepolo.uniasselvi.com.br</t>
  </si>
  <si>
    <t>VIVIAN ROSELANY FERREIRA HIPOLITO</t>
  </si>
  <si>
    <t>Brasil - PICOS/PI (brasileira)</t>
  </si>
  <si>
    <t>hipolitoviivian@gmail.com</t>
  </si>
  <si>
    <t>VIVIAN SOUZA DOS SANTOS</t>
  </si>
  <si>
    <t>vivian.santos@regentedepolo.uniasselvi.com.br</t>
  </si>
  <si>
    <t>VIVIANA REGINA DA SILVA MONTEIRO</t>
  </si>
  <si>
    <t>Brasil - Queimados/RJ (Brasileira)</t>
  </si>
  <si>
    <t>Brasil - QUEIMADOS/RJ (brasileira)</t>
  </si>
  <si>
    <t>100129034@tutor.uniasselvi.com.br</t>
  </si>
  <si>
    <t>VIVIANE DE JESUS TELES BATISTA</t>
  </si>
  <si>
    <t>viviane.batista@regentedepolo.uniasselvi.com.br</t>
  </si>
  <si>
    <t>VIVIANI CRISTINA CARDOSO</t>
  </si>
  <si>
    <t>Brasil - Ituverava/SP (Brasileira)</t>
  </si>
  <si>
    <t>viviani.cardoso@regentedepolo.uniasselvi.com.br</t>
  </si>
  <si>
    <t>WAGNER MARTINS IZIRIO</t>
  </si>
  <si>
    <t>Brasil - Orleans/SC (Brasileira)</t>
  </si>
  <si>
    <t>wagner.izirio@regentedepolo.uniasselvi.com.br</t>
  </si>
  <si>
    <t>WALDIMAR CARVALHO DA SILVA</t>
  </si>
  <si>
    <t>304|DF - BRASILIA (CEILANDIA)</t>
  </si>
  <si>
    <t>waldimar.silva@regentedepolo.uniasselvi.com.br</t>
  </si>
  <si>
    <t>WANDA MARIA DOS SANTOS LIMA</t>
  </si>
  <si>
    <t>083|AM - MANAUS (COROADO)</t>
  </si>
  <si>
    <t>wanda.lima@regentedepolo.uniasselvi.com.br</t>
  </si>
  <si>
    <t>WASLEY SARAIVA DE FREITAS</t>
  </si>
  <si>
    <t>wasley.freitas@regentedepolo.uniasselvi.com.br</t>
  </si>
  <si>
    <t>WEDJA CELINA NASCIMENTO DA COSTA</t>
  </si>
  <si>
    <t>wedja.costa@regentedepolo.uniasselvi.com.br</t>
  </si>
  <si>
    <t>WELLINGTON MANOEL DOS SANTOS</t>
  </si>
  <si>
    <t>539|AL - ARAPIRACA</t>
  </si>
  <si>
    <t>wellington.santos@regentedepolo.uniasselvi.com.br</t>
  </si>
  <si>
    <t>WENDEL GONCALVES DE SOUZA PEREIRA</t>
  </si>
  <si>
    <t>wendel.pereira@regentedepolo.uniasselvi.com.br</t>
  </si>
  <si>
    <t>WENDRYK GOMES PAZ</t>
  </si>
  <si>
    <t>wendryk.paz@regentedepolo.uniasselvi.com.br</t>
  </si>
  <si>
    <t>WEYLA MAYLANE BONFIM DE ASSIS</t>
  </si>
  <si>
    <t>weyla.assis@regentedepolo.uniasselvi.com.br</t>
  </si>
  <si>
    <t>WILLAMS SANTANA MESSIAS</t>
  </si>
  <si>
    <t>Brasil - Pão de Açúcar/AL (Brasileira)</t>
  </si>
  <si>
    <t>Brasil - PÃO DE AÇÚCAR/AL (brasileira)</t>
  </si>
  <si>
    <t>willams.messias@regentedepolo.uniasselvi.com.br</t>
  </si>
  <si>
    <t>WILLIAM DA SILVA COIMBRA</t>
  </si>
  <si>
    <t>WILLIAN DANIEL PESSOA</t>
  </si>
  <si>
    <t>055.244.009-40</t>
  </si>
  <si>
    <t>willian.pessoa@regentedepolo.uniasselvi.com.br</t>
  </si>
  <si>
    <t>WILSON BARTH JUNIOR</t>
  </si>
  <si>
    <t>wilson.junior@regentedepolo.uniasselvi.com.br</t>
  </si>
  <si>
    <t>WILSON FELIPE MANJIALARDO DE OLIVEIRA</t>
  </si>
  <si>
    <t>Brasil - Osvaldo Cruz/SP (Brasileira)</t>
  </si>
  <si>
    <t>Brasil - TIMBÓ GRANDE/SC (brasileira)</t>
  </si>
  <si>
    <t>wilson.oliveira@regentedepolo.uniasselvi.com.br</t>
  </si>
  <si>
    <t>WILSON FERREIRA ARAUJO</t>
  </si>
  <si>
    <t>Brasil - CEREJEIRAS/RO (brasileira)</t>
  </si>
  <si>
    <t>wilson.araujo@regentedepolo.uniasselvi.com.br</t>
  </si>
  <si>
    <t>WIRLAND DE SOUSA TEIXEIRA</t>
  </si>
  <si>
    <t>wirland.teixeira@regentedepolo.uniasselvi.com.br</t>
  </si>
  <si>
    <t>YARA DE SOUZA ALMEIDA</t>
  </si>
  <si>
    <t>Brasil - FEIRA DE SANTANA/BA (Brasileira)</t>
  </si>
  <si>
    <t>yara.almeida@regentedepolo.uniasselvi.com.br</t>
  </si>
  <si>
    <t>YARA MAIRA ARAUJO DE MORAIS</t>
  </si>
  <si>
    <t>yara.morais@regentedepolo.uniasselvi.com.br</t>
  </si>
  <si>
    <t>YARON YEORGIE NUNES GAMA</t>
  </si>
  <si>
    <t>yaronyeorgie@gmail.com</t>
  </si>
  <si>
    <t>YGOR LAFAETH VIEIRA NUNES</t>
  </si>
  <si>
    <t>YRUANA RODRIGUES QUEIROZ OLIVEIRA DOS SANTOS ALVES</t>
  </si>
  <si>
    <t>Brasil - Ruy Barbosa/BA (Brasileira)</t>
  </si>
  <si>
    <t>Brasil - RUY BARBOSA/BA (brasileira)</t>
  </si>
  <si>
    <t>yruana.alves@regentedepolo.uniasselvi.com.br</t>
  </si>
  <si>
    <t>ZEUXIS ROSA EVANGELISTA</t>
  </si>
  <si>
    <t>Brasil - Inhumas/GO (Brasileira)</t>
  </si>
  <si>
    <t>zeuxis.evangelista@regentedepolo.uniasselvi.com.br</t>
  </si>
  <si>
    <t>ZULMIRA MONICA DE JESUS</t>
  </si>
  <si>
    <t>Brasil - Três Corações/MG (Brasileira)</t>
  </si>
  <si>
    <t>Brasil - TRÊS CORAÇÕES/MG (brasileira)</t>
  </si>
  <si>
    <t>zulmira.jesus@regentedepolo.uniasselvi.com.br</t>
  </si>
  <si>
    <t>CATEGORIA LABORATÓRIO</t>
  </si>
  <si>
    <t>CURSOS VINCULADOS</t>
  </si>
  <si>
    <t>Farmácia</t>
  </si>
  <si>
    <t>Biomedicina</t>
  </si>
  <si>
    <t>Fisioterapia</t>
  </si>
  <si>
    <t>Tecnologia em Estética e Cosmética,Estética e Imagem Pessoal</t>
  </si>
  <si>
    <t>Terapia Ocupacional</t>
  </si>
  <si>
    <t>Enfermagem,Instrumentação cirúrgica</t>
  </si>
  <si>
    <t>Arquitetura e Urbanismo</t>
  </si>
  <si>
    <t>Construção de Edifícios,Engenharia Civil,Engenharia Elétrica,Engenharia de Produção,Engenharia Mecânica,Engenharia Ambiental e Sanitária,Formação Pedagógica em Física,Física,Gestão da Produção Industrial,Controle de Obras,Química,Saneamento Ambiental,Segunda Licenciatura em Física,Tecnologia em Energias Renováveis</t>
  </si>
  <si>
    <t>Engenharia Civil,Engenharia Elétrica,Engenharia de Produção,Engenharia Mecânica</t>
  </si>
  <si>
    <t>Nutrição</t>
  </si>
  <si>
    <t>Agronomia</t>
  </si>
  <si>
    <t>Enfermagem,Instrumentação cirúrgica2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</si>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</sst>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0"/>
    <numFmt numFmtId="165" formatCode="[$-F400]h:mm:ss\ AM/PM"/>
    <numFmt numFmtId="166" formatCode="dd/mm/yy;@"/>
  </numFmts>
  <fonts count="18" x14ac:knownFonts="1">
    <font>
      <sz val="11"/>
      <color theme="1"/>
      <name val="Aptos Narrow"/>
      <family val="2"/>
      <scheme val="minor"/>
    </font>
    <font>
      <sz val="10"/>
      <color theme="1"/>
      <name val="Titillium Web"/>
    </font>
    <font>
      <b/>
      <sz val="10"/>
      <color theme="1"/>
      <name val="Titillium Web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Titillium Web"/>
    </font>
    <font>
      <b/>
      <sz val="8"/>
      <color theme="1"/>
      <name val="Titillium Web"/>
    </font>
    <font>
      <b/>
      <sz val="11"/>
      <color theme="1"/>
      <name val="Aptos Narrow"/>
      <family val="2"/>
      <scheme val="minor"/>
    </font>
    <font>
      <sz val="9"/>
      <color theme="1"/>
      <name val="Titillium Web"/>
    </font>
    <font>
      <b/>
      <sz val="9"/>
      <color theme="1"/>
      <name val="Titillium Web"/>
    </font>
    <font>
      <sz val="9"/>
      <color theme="1"/>
      <name val="Titillium Web Black"/>
    </font>
    <font>
      <sz val="14"/>
      <color theme="1"/>
      <name val="Titillium Web"/>
    </font>
    <font>
      <sz val="14"/>
      <color theme="0" tint="-4.9989318521683403E-2"/>
      <name val="Titillium Web Black"/>
    </font>
    <font>
      <b/>
      <sz val="14"/>
      <color theme="1"/>
      <name val="Titillium Web"/>
    </font>
    <font>
      <sz val="8"/>
      <color theme="1"/>
      <name val="Titillium Web Black"/>
    </font>
    <font>
      <sz val="8"/>
      <color theme="1"/>
      <name val="Aptos Narrow"/>
      <family val="2"/>
      <scheme val="minor"/>
    </font>
    <font>
      <sz val="8"/>
      <color rgb="FF000000"/>
      <name val="Calibri"/>
      <family val="2"/>
    </font>
    <font>
      <sz val="8"/>
      <color rgb="FF242424"/>
      <name val="Titillium Web"/>
    </font>
  </fonts>
  <fills count="3">
    <fill>
      <patternFill patternType="none"/>
    </fill>
    <fill>
      <patternFill patternType="gray125"/>
    </fill>
    <fill>
      <gradientFill degree="90">
        <stop position="0">
          <color theme="1" tint="0.25098422193060094"/>
        </stop>
        <stop position="1">
          <color theme="1"/>
        </stop>
      </gradient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center" indent="1"/>
    </xf>
    <xf numFmtId="3" fontId="0" fillId="0" borderId="0" xfId="0" applyNumberFormat="1"/>
    <xf numFmtId="46" fontId="0" fillId="0" borderId="0" xfId="0" applyNumberFormat="1"/>
    <xf numFmtId="0" fontId="5" fillId="0" borderId="1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21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7" fillId="0" borderId="0" xfId="0" applyFont="1"/>
    <xf numFmtId="0" fontId="2" fillId="0" borderId="1" xfId="0" quotePrefix="1" applyFont="1" applyBorder="1" applyAlignment="1">
      <alignment horizontal="left" vertical="center" wrapText="1" indent="1"/>
    </xf>
    <xf numFmtId="20" fontId="0" fillId="0" borderId="0" xfId="0" applyNumberFormat="1"/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4" fontId="8" fillId="0" borderId="0" xfId="0" applyNumberFormat="1" applyFont="1" applyAlignment="1">
      <alignment horizontal="left" vertical="center" wrapText="1"/>
    </xf>
    <xf numFmtId="164" fontId="8" fillId="0" borderId="0" xfId="0" applyNumberFormat="1" applyFont="1" applyAlignment="1">
      <alignment horizontal="left" vertical="center" wrapText="1"/>
    </xf>
    <xf numFmtId="165" fontId="8" fillId="0" borderId="0" xfId="0" applyNumberFormat="1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14" fontId="8" fillId="0" borderId="1" xfId="0" applyNumberFormat="1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left" vertical="center"/>
    </xf>
    <xf numFmtId="164" fontId="8" fillId="0" borderId="3" xfId="0" applyNumberFormat="1" applyFont="1" applyBorder="1" applyAlignment="1">
      <alignment horizontal="left" vertical="center"/>
    </xf>
    <xf numFmtId="14" fontId="8" fillId="0" borderId="3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  <xf numFmtId="1" fontId="5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left" vertical="center" indent="1"/>
    </xf>
    <xf numFmtId="14" fontId="11" fillId="2" borderId="0" xfId="0" applyNumberFormat="1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left" vertical="center"/>
    </xf>
    <xf numFmtId="164" fontId="11" fillId="2" borderId="0" xfId="0" applyNumberFormat="1" applyFont="1" applyFill="1" applyAlignment="1">
      <alignment horizontal="left" vertical="center"/>
    </xf>
    <xf numFmtId="165" fontId="11" fillId="2" borderId="0" xfId="0" applyNumberFormat="1" applyFont="1" applyFill="1" applyAlignment="1">
      <alignment horizontal="left" vertical="center"/>
    </xf>
    <xf numFmtId="14" fontId="11" fillId="2" borderId="0" xfId="0" applyNumberFormat="1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4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left" vertical="center" wrapText="1"/>
    </xf>
    <xf numFmtId="164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14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indent="1"/>
    </xf>
    <xf numFmtId="165" fontId="5" fillId="0" borderId="0" xfId="0" applyNumberFormat="1" applyFont="1" applyAlignment="1">
      <alignment horizontal="left" vertical="center" indent="1"/>
    </xf>
    <xf numFmtId="3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center" vertical="center"/>
    </xf>
    <xf numFmtId="0" fontId="15" fillId="0" borderId="0" xfId="0" applyFont="1"/>
    <xf numFmtId="3" fontId="5" fillId="0" borderId="0" xfId="0" applyNumberFormat="1" applyFont="1" applyAlignment="1">
      <alignment horizontal="center" vertical="center"/>
    </xf>
    <xf numFmtId="0" fontId="5" fillId="0" borderId="0" xfId="0" quotePrefix="1" applyFont="1" applyAlignment="1">
      <alignment horizontal="left"/>
    </xf>
    <xf numFmtId="0" fontId="6" fillId="0" borderId="0" xfId="0" quotePrefix="1" applyFont="1" applyAlignment="1">
      <alignment horizontal="left" vertical="center" indent="1"/>
    </xf>
    <xf numFmtId="49" fontId="5" fillId="0" borderId="0" xfId="0" applyNumberFormat="1" applyFont="1" applyAlignment="1">
      <alignment horizontal="left"/>
    </xf>
    <xf numFmtId="49" fontId="5" fillId="0" borderId="0" xfId="0" quotePrefix="1" applyNumberFormat="1" applyFont="1" applyAlignment="1">
      <alignment horizontal="left"/>
    </xf>
    <xf numFmtId="49" fontId="5" fillId="0" borderId="0" xfId="0" applyNumberFormat="1" applyFont="1"/>
    <xf numFmtId="164" fontId="5" fillId="0" borderId="0" xfId="0" applyNumberFormat="1" applyFont="1" applyAlignment="1">
      <alignment horizontal="center" vertical="center"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/>
    </xf>
    <xf numFmtId="14" fontId="15" fillId="0" borderId="0" xfId="0" applyNumberFormat="1" applyFont="1" applyAlignment="1">
      <alignment horizontal="center"/>
    </xf>
    <xf numFmtId="0" fontId="3" fillId="0" borderId="0" xfId="2" applyAlignment="1">
      <alignment horizontal="left" vertical="center"/>
    </xf>
    <xf numFmtId="0" fontId="6" fillId="0" borderId="4" xfId="0" applyFont="1" applyBorder="1" applyAlignment="1">
      <alignment horizontal="left" vertical="center" indent="1"/>
    </xf>
    <xf numFmtId="0" fontId="17" fillId="0" borderId="0" xfId="0" applyFont="1" applyAlignment="1">
      <alignment horizontal="left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122">
    <dxf>
      <font>
        <b/>
        <i val="0"/>
        <color theme="6"/>
      </font>
    </dxf>
    <dxf>
      <font>
        <b/>
        <i val="0"/>
        <color theme="6"/>
      </font>
    </dxf>
    <dxf>
      <font>
        <b/>
        <i val="0"/>
      </font>
    </dxf>
    <dxf>
      <font>
        <b/>
        <i val="0"/>
        <color theme="6"/>
      </font>
    </dxf>
    <dxf>
      <font>
        <b/>
        <i val="0"/>
        <color theme="6"/>
      </font>
    </dxf>
    <dxf>
      <font>
        <b val="0"/>
        <i val="0"/>
        <color theme="0" tint="-0.499984740745262"/>
      </font>
    </dxf>
    <dxf>
      <font>
        <b val="0"/>
        <i val="0"/>
        <color theme="0" tint="-0.499984740745262"/>
      </font>
    </dxf>
    <dxf>
      <font>
        <b val="0"/>
        <i val="0"/>
        <color theme="0" tint="-0.499984740745262"/>
      </font>
    </dxf>
    <dxf>
      <font>
        <b val="0"/>
        <i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theme="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/>
      </font>
    </dxf>
    <dxf>
      <font>
        <color theme="6"/>
      </font>
    </dxf>
    <dxf>
      <font>
        <color theme="6"/>
      </font>
    </dxf>
    <dxf>
      <font>
        <color theme="6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theme="6"/>
      </font>
    </dxf>
    <dxf>
      <font>
        <color rgb="FF006100"/>
      </font>
      <fill>
        <patternFill>
          <bgColor rgb="FFF0FAEC"/>
        </patternFill>
      </fill>
    </dxf>
    <dxf>
      <font>
        <b/>
        <i val="0"/>
        <color theme="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numFmt numFmtId="164" formatCode="000000000000"/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164" formatCode="00000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164" formatCode="000000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164" formatCode="0000000000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164" formatCode="0000000000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itillium Web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itillium Web"/>
        <scheme val="none"/>
      </font>
      <numFmt numFmtId="19" formatCode="dd/mm/yyyy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0" formatCode="General"/>
      <alignment horizontal="left" vertical="center" textRotation="0" wrapText="0" indent="0" justifyLastLine="0" shrinkToFit="0" readingOrder="0"/>
    </dxf>
    <dxf>
      <border outline="0"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left" vertical="center" textRotation="0" wrapText="0" relativeIndent="-1" justifyLastLine="0" shrinkToFit="0" readingOrder="0"/>
    </dxf>
    <dxf>
      <border outline="0"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left" textRotation="0" relativeIndent="-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numFmt numFmtId="164" formatCode="0000000000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numFmt numFmtId="165" formatCode="[$-F400]h:mm:ss\ AM/PM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165" formatCode="[$-F400]h:mm:ss\ AM/PM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numFmt numFmtId="164" formatCode="000000000000"/>
      <alignment horizontal="left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164" formatCode="0000000000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numFmt numFmtId="164" formatCode="000000000000"/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164" formatCode="0000000000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fill>
        <patternFill patternType="none">
          <fgColor indexed="64"/>
          <bgColor auto="1"/>
        </patternFill>
      </fill>
      <alignment horizontal="left" vertical="center" textRotation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alignment horizontal="left" vertical="center" textRotation="0" wrapText="0" indent="2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tillium Web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tillium Web Black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</dxfs>
  <tableStyles count="0" defaultTableStyle="TableStyleMedium2" defaultPivotStyle="PivotStyleLight16"/>
  <colors>
    <mruColors>
      <color rgb="FFF0FAEC"/>
      <color rgb="FFD4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ienai Morgado Cesar" id="{98D45293-A0E5-4D14-AA09-4A8A13C87298}" userId="S::elienai.cesar@uniasselvi.com.br::3b085a41-b645-4375-af94-04ef2a1d6c9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28C5A2-28E2-42EE-B270-13B4CFDE0C6F}" name="Tabela2" displayName="Tabela2" ref="A2:S456" headerRowDxfId="121" dataDxfId="120" totalsRowDxfId="119">
  <autoFilter ref="A2:S456" xr:uid="{D928C5A2-28E2-42EE-B270-13B4CFDE0C6F}">
    <filterColumn colId="7">
      <filters>
        <filter val="Amanda Aparecida Campos Oliveira Nogueira"/>
      </filters>
    </filterColumn>
  </autoFilter>
  <tableColumns count="19">
    <tableColumn id="11" xr3:uid="{755A2098-6AE2-483F-9D78-99D4A560F6E8}" name="CHAVE" dataDxfId="118" totalsRowDxfId="117">
      <calculatedColumnFormula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calculatedColumnFormula>
    </tableColumn>
    <tableColumn id="14" xr3:uid="{BC313AB4-5CBC-4B64-ACCD-88DB037690D3}" name="CHAVE GERENCIAMENTO" dataDxfId="116" totalsRowDxfId="115">
      <calculatedColumnFormula>Tabela2[[#This Row],[CATEGORIA]]&amp;Tabela2[[#This Row],[CURSOS]]&amp;"LAP - "&amp;Tabela2[[#This Row],[POLO]]</calculatedColumnFormula>
    </tableColumn>
    <tableColumn id="16" xr3:uid="{C75E1162-B88D-4B3B-BB6E-D6FB1D35B9F9}" name="CHAVE LOTAÇÃO CLASSIFICAÇÃO DE CURSOS" dataDxfId="114" totalsRowDxfId="113">
      <calculatedColumnFormula>Tabela2[[#This Row],[CATEGORIA]]&amp;Tabela2[[#This Row],[CURSOS]]</calculatedColumnFormula>
    </tableColumn>
    <tableColumn id="17" xr3:uid="{CF814EBE-83AE-46BC-B81A-08F630093DC0}" name="CHAVE LOTAÇÃO" dataDxfId="112" totalsRowDxfId="111">
      <calculatedColumnFormula>IF(Tabela2[[#This Row],[SITUAÇÃO]]&lt;&gt;"Demitido",CONCATENATE(Tabela2[[#This Row],[POLO]],Tabela2[[#This Row],[CURSOS]]),"Substituição")</calculatedColumnFormula>
    </tableColumn>
    <tableColumn id="1" xr3:uid="{1E1EEBE8-741A-4C74-8458-9CBE761B6E3B}" name="CATEGORIA" dataDxfId="110" totalsRowDxfId="109"/>
    <tableColumn id="13" xr3:uid="{569D99FC-B0BC-4E64-8404-514E32DE4A7F}" name="CURSOS" dataDxfId="108" totalsRowDxfId="107"/>
    <tableColumn id="2" xr3:uid="{96B72A41-3345-47E3-8A47-89BE91FBD390}" name="POLO" dataDxfId="106" totalsRowDxfId="105"/>
    <tableColumn id="3" xr3:uid="{6665595D-94B9-4DB1-87CD-7DACA1BEA24D}" name="NOME DO TUTOR" totalsRowLabel="Viviane Yumi Nakahara Da Silva" dataDxfId="104" totalsRowDxfId="103"/>
    <tableColumn id="10" xr3:uid="{A7AF4589-AD5A-40D2-B61B-5DE33A6ABBF0}" name="SITUAÇÃO" totalsRowFunction="custom" dataDxfId="102" totalsRowDxfId="101">
      <calculatedColumnFormula>IFERROR(_xlfn.XLOOKUP(Tabela2[[#This Row],[CHAPA]],TUT.CONTROL!F:F,TUT.CONTROL!I:I),_xlfn.XLOOKUP(Tabela2[[#This Row],[CHAPA]],'REG.CONTROL'!F:F,'REG.CONTROL'!I:I))</calculatedColumnFormula>
      <totalsRowFormula>IFERROR(_xlfn.XLOOKUP(Tabela2[[#This Row],[CHAPA]],TUT.CONTROL!F:F,TUT.CONTROL!I:I),_xlfn.XLOOKUP(Tabela2[[#This Row],[CHAPA]],'REG.CONTROL'!F:F,'REG.CONTROL'!I:I))</totalsRowFormula>
    </tableColumn>
    <tableColumn id="4" xr3:uid="{692EFF41-AC91-4915-81B4-0F3C4BC8614D}" name="INÍCIO" dataDxfId="100" totalsRowDxfId="99"/>
    <tableColumn id="7" xr3:uid="{D962180B-273F-48EC-BB28-491BF527C31C}" name="WHATSAPP" dataDxfId="98" totalsRowDxfId="97"/>
    <tableColumn id="12" xr3:uid="{77967E23-FFF7-40A2-A392-BB059092BEF5}" name="CHAPA" dataDxfId="96" totalsRowDxfId="95">
      <calculatedColumnFormula>IFERROR(_xlfn.XLOOKUP(Tabela2[[#This Row],[NOME DO TUTOR]],TUT.CONTROL!C:C,TUT.CONTROL!F:F),"Demitido")</calculatedColumnFormula>
    </tableColumn>
    <tableColumn id="6" xr3:uid="{7A097649-BA32-4044-95A9-88F19E312006}" name="E-MAIL INSTITUCIONAL" dataDxfId="94" totalsRowDxfId="93"/>
    <tableColumn id="18" xr3:uid="{8D709270-BD1D-435B-A9A7-97BB53BA77FE}" name="CARGO RM" dataDxfId="92" totalsRowDxfId="91">
      <calculatedColumnFormula>IFERROR(_xlfn.XLOOKUP(Tabela2[[#This Row],[CHAPA]],TUT.CONTROL!F:F,TUT.CONTROL!H:H),_xlfn.XLOOKUP(Tabela2[[#This Row],[CHAPA]],'REG.CONTROL'!F:F,'REG.CONTROL'!H:H))</calculatedColumnFormula>
    </tableColumn>
    <tableColumn id="5" xr3:uid="{D7BCF019-37F9-48E0-B042-851893751923}" name="CH SEMANAL" dataDxfId="90" totalsRowDxfId="89"/>
    <tableColumn id="19" xr3:uid="{82E63571-01FC-4D6E-B955-64394068BCBA}" name="DESLIGAMENTO" dataDxfId="88" totalsRowDxfId="87"/>
    <tableColumn id="15" xr3:uid="{A1978055-13BE-45AD-8368-6C02007ECE25}" name="CONTRATO" dataDxfId="86" totalsRowDxfId="85"/>
    <tableColumn id="8" xr3:uid="{0A30ED2F-DE14-46C7-BC37-06F1904F8EC4}" name="REGISTRO PROFISSIONAL" dataDxfId="84" totalsRowDxfId="83"/>
    <tableColumn id="9" xr3:uid="{7D110C7E-39CA-4BCA-AE6C-377A401254A0}" name="Nº DE REGISTRO" dataDxfId="82" totalsRowDxfId="8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13EF1A-38E3-4249-9E59-8C83937F1A08}" name="Tabela5" displayName="Tabela5" ref="A1:V155" headerRowDxfId="80" dataDxfId="78" headerRowBorderDxfId="79" tableBorderDxfId="77">
  <autoFilter ref="A1:V155" xr:uid="{BE13EF1A-38E3-4249-9E59-8C83937F1A08}"/>
  <sortState xmlns:xlrd2="http://schemas.microsoft.com/office/spreadsheetml/2017/richdata2" ref="A2:V155">
    <sortCondition ref="D1:D155"/>
  </sortState>
  <tableColumns count="22">
    <tableColumn id="15" xr3:uid="{44EECAD9-6DBF-4901-A4DB-BCC36F955236}" name="CHAVE LOTAÇÃO CLASSIFICAÇÃO DE CURSOS" dataDxfId="76" totalsRowDxfId="75">
      <calculatedColumnFormula>CONCATENATE(Tabela5[[#This Row],[POLO]],Tabela5[[#This Row],[CURSOS]])</calculatedColumnFormula>
    </tableColumn>
    <tableColumn id="16" xr3:uid="{901D1206-9020-4502-96CD-C098C5FB96BD}" name="CHAVE LOTAÇÃO" dataDxfId="74" totalsRowDxfId="73">
      <calculatedColumnFormula>CONCATENATE(Tabela5[[#This Row],[POLO]],Tabela5[[#This Row],[CATEGORIA]],_xlfn.XLOOKUP(Tabela5[[#This Row],[CHAVE LOTAÇÃO CLASSIFICAÇÃO DE CURSOS]],CHAVE!A:A,CHAVE!D:D))</calculatedColumnFormula>
    </tableColumn>
    <tableColumn id="14" xr3:uid="{E2EC34C5-28C2-47AB-9EE2-652C704D5E3C}" name="DEMISSIONAL" dataDxfId="72" totalsRowDxfId="71"/>
    <tableColumn id="11" xr3:uid="{EBFB72B2-FD59-4274-AB1B-031866FF2B06}" name="DATA DESLIGAMENTO" dataDxfId="70" totalsRowDxfId="69">
      <calculatedColumnFormula>IFERROR(_xlfn.XLOOKUP(Tabela5[[#This Row],[NOME DO TUTOR]],TUT.CONTROL!C:C,TUT.CONTROL!V:V),_xlfn.XLOOKUP(Tabela5[[#This Row],[NOME DO TUTOR]],'REG.CONTROL'!C:C,'REG.CONTROL'!V:V))</calculatedColumnFormula>
    </tableColumn>
    <tableColumn id="12" xr3:uid="{007ADEDD-8FF8-4AF9-849B-FF8FBB30A00B}" name="AVISO" dataDxfId="68" totalsRowDxfId="67"/>
    <tableColumn id="20" xr3:uid="{1C37B394-057F-4152-B67A-CE2DDB73FE2F}" name="LOTAÇÃO" dataDxfId="66" totalsRowDxfId="65"/>
    <tableColumn id="1" xr3:uid="{740C198A-23FE-430E-8701-52599C7F9222}" name="CATEGORIA" dataDxfId="64" totalsRowDxfId="63"/>
    <tableColumn id="2" xr3:uid="{63F46325-AE96-4C68-A8FC-536A16E3B6F7}" name="CURSOS" dataDxfId="62" totalsRowDxfId="61"/>
    <tableColumn id="3" xr3:uid="{0ED6EC2E-88CB-410D-BB4D-FBDEF5D8985D}" name="POLO" dataDxfId="60" totalsRowDxfId="59"/>
    <tableColumn id="4" xr3:uid="{9AE7B29D-7A52-4740-97CB-981063706B03}" name="NOME DO TUTOR" dataDxfId="58" totalsRowDxfId="57"/>
    <tableColumn id="5" xr3:uid="{8DB9C499-6389-457A-8CA6-982C513C9ABF}" name="SITUAÇÃO" dataDxfId="56" totalsRowDxfId="55"/>
    <tableColumn id="6" xr3:uid="{6E2359F4-C7F1-4CC3-AD11-121B48B862F6}" name="INÍCIO" dataDxfId="54" totalsRowDxfId="53"/>
    <tableColumn id="7" xr3:uid="{C19B7783-7C18-4BA4-B4C5-A4397A45E1C1}" name="WHATSAPP" dataDxfId="52" totalsRowDxfId="51"/>
    <tableColumn id="8" xr3:uid="{3941EB6F-C913-41E2-8E7F-576837A108D9}" name="CHAPA" dataDxfId="50" totalsRowDxfId="49"/>
    <tableColumn id="9" xr3:uid="{D3132BEF-A635-4922-BCA3-FD94C0E00A4A}" name="E-MAIL INSTITUCIONAL" dataDxfId="48" totalsRowDxfId="47"/>
    <tableColumn id="21" xr3:uid="{977FDBD7-0EFB-4E77-9809-1EA930572EBA}" name="CARGO RM" dataDxfId="46" totalsRowDxfId="45"/>
    <tableColumn id="10" xr3:uid="{D540573D-94D2-4D3F-BF88-5F8923C22ABF}" name="CH SEMANAL" dataDxfId="44" totalsRowDxfId="43"/>
    <tableColumn id="19" xr3:uid="{653AA5DE-5512-4A34-B81E-5365B68B729B}" name="DESLIGAMENTO" dataDxfId="42" totalsRowDxfId="41">
      <calculatedColumnFormula>IF(Tabela5[[#This Row],[SITUAÇÃO]]="Demitido",_xlfn.XLOOKUP(Tabela5[[#This Row],[CHAPA]],'Base de Tutores'!L:L,'Base de Tutores'!P:P),"")</calculatedColumnFormula>
    </tableColumn>
    <tableColumn id="18" xr3:uid="{31544DB3-263C-432A-BCEB-BFC2BBA1308B}" name="CONTRATO" dataDxfId="40" totalsRowDxfId="39"/>
    <tableColumn id="17" xr3:uid="{7A707A31-D161-43F1-948A-8A3B55ADDF35}" name="REGISTRO PROFISSIONAL" dataDxfId="38" totalsRowDxfId="37"/>
    <tableColumn id="13" xr3:uid="{DF679F25-637D-49B0-B810-EE9ADA1231AD}" name="Nº DE REGISTRO" dataDxfId="36" totalsRowDxfId="35"/>
    <tableColumn id="22" xr3:uid="{1FFF3D3C-D9A9-474A-8173-1CE1728957A6}" name="PERMANENCIA (MÊS)" dataDxfId="34">
      <calculatedColumnFormula>AVERAGE(Tabela5[PERMANENCIA (MÊS)])/30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3D1DA-286F-45F9-941D-A7EDBC598687}" name="Tabela7" displayName="Tabela7" ref="A1:K3" totalsRowShown="0">
  <autoFilter ref="A1:K3" xr:uid="{4043D1DA-286F-45F9-941D-A7EDBC598687}"/>
  <tableColumns count="11">
    <tableColumn id="1" xr3:uid="{0A51C6C1-37EB-42CE-AA8C-F8E44B2E843B}" name="CATEGORIA" dataDxfId="33"/>
    <tableColumn id="2" xr3:uid="{1496B746-150D-487C-AD91-BD5F235340E4}" name="CURSOS" dataDxfId="32"/>
    <tableColumn id="3" xr3:uid="{EEB1392B-9B69-4411-8FAD-81BE8F259456}" name="POLO ORIGEM" dataDxfId="31"/>
    <tableColumn id="4" xr3:uid="{AFBAE729-D541-4B79-9C8D-7C72E9C977FC}" name="NOME DO TUTOR" dataDxfId="30"/>
    <tableColumn id="5" xr3:uid="{563551FC-BCF6-48FB-AFC8-3ECB02D88091}" name="SITUAÇÃO" dataDxfId="29"/>
    <tableColumn id="6" xr3:uid="{141C5270-6301-4A66-892E-7F0AB2238377}" name="INÍCIO" dataDxfId="28"/>
    <tableColumn id="7" xr3:uid="{3EC01E4E-166E-45AD-AC94-CE8BFD6E2F32}" name="WHATSAPP" dataDxfId="27"/>
    <tableColumn id="8" xr3:uid="{636B9B72-0CBD-41F4-A0B6-F92344D12BA1}" name="CHAPA" dataDxfId="26"/>
    <tableColumn id="9" xr3:uid="{8456E01C-3010-4A03-A046-2290155E9F7F}" name="POLO DESTINO" dataDxfId="25"/>
    <tableColumn id="16" xr3:uid="{08379A53-7C7E-488E-8FB0-CBC15F46CC26}" name="STATUS" dataDxfId="24"/>
    <tableColumn id="10" xr3:uid="{F9D4B3DE-C0E8-425E-A3AF-57B9FD9592CA}" name="MOTIV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91" dT="2025-08-05T21:58:25.51" personId="{98D45293-A0E5-4D14-AA09-4A8A13C87298}" id="{0DC05275-2D67-43C7-A7DA-4D192EC23B5F}">
    <text>Pediu desligamento</text>
  </threadedComment>
  <threadedComment ref="G219" dT="2026-02-06T16:24:15.12" personId="{98D45293-A0E5-4D14-AA09-4A8A13C87298}" id="{554AB3A3-14CE-433C-9A57-DA3D891984F5}">
    <text>Não substituir</text>
  </threadedComment>
  <threadedComment ref="G220" dT="2026-02-06T16:25:35.42" personId="{98D45293-A0E5-4D14-AA09-4A8A13C87298}" id="{660611B7-D2D2-4F36-B0EB-6ADF0F6E6018}">
    <text>Não substituir</text>
  </threadedComment>
  <threadedComment ref="G221" dT="2026-02-06T16:24:36.14" personId="{98D45293-A0E5-4D14-AA09-4A8A13C87298}" id="{FBC78BF7-7992-474F-88DB-C0DDC070688D}">
    <text>Não substituir</text>
  </threadedComment>
  <threadedComment ref="G222" dT="2026-02-06T16:27:45.98" personId="{98D45293-A0E5-4D14-AA09-4A8A13C87298}" id="{83BFB675-9FB3-49E4-A29A-7CA0A76FC1C1}">
    <text>Não substituir</text>
  </threadedComment>
  <threadedComment ref="G223" dT="2026-02-06T16:25:53.00" personId="{98D45293-A0E5-4D14-AA09-4A8A13C87298}" id="{2EC8E67E-F150-49FB-9B3B-A2EA63D9DBDC}">
    <text>Não substituir</text>
  </threadedComment>
  <threadedComment ref="G224" dT="2026-03-06T19:51:32.24" personId="{98D45293-A0E5-4D14-AA09-4A8A13C87298}" id="{182C236D-0DD1-4276-8403-823FD1B53550}">
    <text>Não substituir</text>
  </threadedComment>
  <threadedComment ref="G233" dT="2026-03-06T19:49:26.16" personId="{98D45293-A0E5-4D14-AA09-4A8A13C87298}" id="{BB520EF7-6A13-453E-8E2B-8BE9886CCE40}">
    <text>Não substituir</text>
  </threadedComment>
  <threadedComment ref="H254" dT="2025-09-05T17:38:49.39" personId="{98D45293-A0E5-4D14-AA09-4A8A13C87298}" id="{66266BD7-FE97-4B64-88E1-FE9BB39431D7}">
    <text>desligada</text>
  </threadedComment>
  <threadedComment ref="G256" dT="2026-02-06T16:25:44.50" personId="{98D45293-A0E5-4D14-AA09-4A8A13C87298}" id="{CCF20320-83A2-4B2F-854A-51089925308F}">
    <text>Não substituir</text>
  </threadedComment>
  <threadedComment ref="G257" dT="2026-02-06T16:27:28.86" personId="{98D45293-A0E5-4D14-AA09-4A8A13C87298}" id="{26A1492B-61CD-47FF-A353-832E0A133ACC}">
    <text>Não substituir</text>
  </threadedComment>
  <threadedComment ref="I266" dT="2026-03-20T16:26:17.09" personId="{98D45293-A0E5-4D14-AA09-4A8A13C87298}" id="{DE11AC05-B846-4FDD-978E-D8D5A7BFA598}">
    <text>Retorno em 02/09/2026</text>
  </threadedComment>
  <threadedComment ref="G275" dT="2026-02-06T16:25:24.43" personId="{98D45293-A0E5-4D14-AA09-4A8A13C87298}" id="{00AEBC24-0B03-43FB-9F11-37228EB1FE33}">
    <text>Não substituir</text>
  </threadedComment>
  <threadedComment ref="G293" dT="2026-03-06T19:52:17.46" personId="{98D45293-A0E5-4D14-AA09-4A8A13C87298}" id="{617ADF41-271D-4823-AC90-77FB6FEDE85B}">
    <text>Não substituir</text>
  </threadedComment>
  <threadedComment ref="G325" dT="2026-02-06T16:24:55.30" personId="{98D45293-A0E5-4D14-AA09-4A8A13C87298}" id="{0A109613-20CC-4EB4-AE1C-1D18B1AD0759}">
    <text>Não substituir</text>
  </threadedComment>
  <threadedComment ref="G355" dT="2026-03-06T19:50:17.89" personId="{98D45293-A0E5-4D14-AA09-4A8A13C87298}" id="{18A2EDF0-A186-47DE-AC13-38A0B7EA122B}">
    <text>Não substituir</text>
  </threadedComment>
  <threadedComment ref="G424" dT="2026-02-06T19:02:47.18" personId="{98D45293-A0E5-4D14-AA09-4A8A13C87298}" id="{E276FDA7-2243-4588-BD4B-AFC33107A6AC}">
    <text>Não substituir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orena.ribeiro@tutorpratica.uniasselvi.com.br" TargetMode="External"/><Relationship Id="rId13" Type="http://schemas.openxmlformats.org/officeDocument/2006/relationships/hyperlink" Target="mailto:mariana.jesus@regentedepolo.uniasselvi.com.br" TargetMode="External"/><Relationship Id="rId18" Type="http://schemas.openxmlformats.org/officeDocument/2006/relationships/comments" Target="../comments1.xml"/><Relationship Id="rId3" Type="http://schemas.openxmlformats.org/officeDocument/2006/relationships/hyperlink" Target="mailto:andre.oliveira@tutorpratica.uniasselvi.com.br" TargetMode="External"/><Relationship Id="rId7" Type="http://schemas.openxmlformats.org/officeDocument/2006/relationships/hyperlink" Target="mailto:cleoniria.pereira@tutorpratica.uniasselvi.com.br" TargetMode="External"/><Relationship Id="rId12" Type="http://schemas.openxmlformats.org/officeDocument/2006/relationships/hyperlink" Target="mailto:ariana.oliveira@tutorpratica.uniasselvi.com.br" TargetMode="External"/><Relationship Id="rId17" Type="http://schemas.openxmlformats.org/officeDocument/2006/relationships/table" Target="../tables/table1.xml"/><Relationship Id="rId2" Type="http://schemas.openxmlformats.org/officeDocument/2006/relationships/hyperlink" Target="mailto:cleya.cruz@tutorpratica.uniasselvi.com.br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mailto:priscila.alves@tutorpratica.uniasselvi.com.br" TargetMode="External"/><Relationship Id="rId6" Type="http://schemas.openxmlformats.org/officeDocument/2006/relationships/hyperlink" Target="mailto:viviane.silva@tutorpratica.uniasselvi.com.br" TargetMode="External"/><Relationship Id="rId11" Type="http://schemas.openxmlformats.org/officeDocument/2006/relationships/hyperlink" Target="mailto:matheus.oliveira@tutorpratica.uniasselvi.com.br" TargetMode="External"/><Relationship Id="rId5" Type="http://schemas.openxmlformats.org/officeDocument/2006/relationships/hyperlink" Target="mailto:adalci.dias@tutorpratica.uniasselvi.com.br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saulo.pinheiro@regentedepolo.uniasselvi.com.br" TargetMode="External"/><Relationship Id="rId19" Type="http://schemas.microsoft.com/office/2017/10/relationships/threadedComment" Target="../threadedComments/threadedComment1.xml"/><Relationship Id="rId4" Type="http://schemas.openxmlformats.org/officeDocument/2006/relationships/hyperlink" Target="mailto:ada.porto@regentedepolo.uniasselvi.com.br" TargetMode="External"/><Relationship Id="rId9" Type="http://schemas.openxmlformats.org/officeDocument/2006/relationships/hyperlink" Target="mailto:rosa.dias@regentedepolo.uniasselvi.com.br" TargetMode="External"/><Relationship Id="rId14" Type="http://schemas.openxmlformats.org/officeDocument/2006/relationships/hyperlink" Target="mailto:cristiano.feuser@tutorpratica.uniasselvi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642E-03B7-47D9-A27D-5373D1293BE5}">
  <dimension ref="A1:S456"/>
  <sheetViews>
    <sheetView showGridLines="0" topLeftCell="E1" zoomScaleNormal="100" workbookViewId="0">
      <selection activeCell="H197" sqref="H197"/>
    </sheetView>
  </sheetViews>
  <sheetFormatPr defaultColWidth="9.109375" defaultRowHeight="13.8" x14ac:dyDescent="0.25"/>
  <cols>
    <col min="1" max="1" width="116.44140625" style="70" hidden="1" customWidth="1"/>
    <col min="2" max="2" width="135.44140625" style="72" hidden="1" customWidth="1"/>
    <col min="3" max="3" width="81.44140625" style="66" hidden="1" customWidth="1"/>
    <col min="4" max="4" width="90.33203125" style="81" hidden="1" customWidth="1"/>
    <col min="5" max="5" width="18.77734375" style="8" customWidth="1"/>
    <col min="6" max="6" width="10.44140625" style="67" customWidth="1"/>
    <col min="7" max="7" width="22.5546875" style="67" customWidth="1"/>
    <col min="8" max="8" width="39.5546875" style="9" bestFit="1" customWidth="1"/>
    <col min="9" max="9" width="10.5546875" style="82" customWidth="1"/>
    <col min="10" max="10" width="11.5546875" style="10" customWidth="1"/>
    <col min="11" max="11" width="18.88671875" style="8" customWidth="1"/>
    <col min="12" max="12" width="14.5546875" style="11" customWidth="1"/>
    <col min="13" max="13" width="45.44140625" style="8" customWidth="1"/>
    <col min="14" max="14" width="34.109375" style="72" bestFit="1" customWidth="1"/>
    <col min="15" max="15" width="11" style="72" customWidth="1"/>
    <col min="16" max="16" width="14.6640625" style="83" customWidth="1"/>
    <col min="17" max="17" width="19.44140625" style="10" customWidth="1"/>
    <col min="18" max="18" width="25.5546875" style="72" bestFit="1" customWidth="1"/>
    <col min="19" max="19" width="18.109375" style="11" bestFit="1" customWidth="1"/>
    <col min="20" max="16384" width="9.109375" style="8"/>
  </cols>
  <sheetData>
    <row r="1" spans="1:19" s="58" customFormat="1" ht="23.4" x14ac:dyDescent="0.3">
      <c r="A1" s="49"/>
      <c r="B1" s="49"/>
      <c r="C1" s="49"/>
      <c r="D1" s="49"/>
      <c r="E1" s="50" t="s">
        <v>0</v>
      </c>
      <c r="F1" s="51"/>
      <c r="G1" s="51"/>
      <c r="H1" s="52" t="s">
        <v>1</v>
      </c>
      <c r="I1" s="53"/>
      <c r="J1" s="54"/>
      <c r="K1" s="49"/>
      <c r="L1" s="55"/>
      <c r="M1" s="49"/>
      <c r="N1" s="55"/>
      <c r="O1" s="56"/>
      <c r="P1" s="53"/>
      <c r="Q1" s="57"/>
      <c r="R1" s="49"/>
      <c r="S1" s="49"/>
    </row>
    <row r="2" spans="1:19" s="60" customFormat="1" x14ac:dyDescent="0.3">
      <c r="A2" s="59" t="s">
        <v>2</v>
      </c>
      <c r="B2" s="60" t="s">
        <v>3</v>
      </c>
      <c r="C2" s="60" t="s">
        <v>4</v>
      </c>
      <c r="D2" s="60" t="s">
        <v>5</v>
      </c>
      <c r="E2" s="6" t="s">
        <v>6</v>
      </c>
      <c r="F2" s="6" t="s">
        <v>7</v>
      </c>
      <c r="G2" s="6" t="s">
        <v>8</v>
      </c>
      <c r="H2" s="61" t="s">
        <v>9</v>
      </c>
      <c r="I2" s="62" t="s">
        <v>10</v>
      </c>
      <c r="J2" s="63" t="s">
        <v>11</v>
      </c>
      <c r="K2" s="6" t="s">
        <v>12</v>
      </c>
      <c r="L2" s="64" t="s">
        <v>13</v>
      </c>
      <c r="M2" s="61" t="s">
        <v>14</v>
      </c>
      <c r="N2" s="64" t="s">
        <v>15</v>
      </c>
      <c r="O2" s="65" t="s">
        <v>16</v>
      </c>
      <c r="P2" s="62" t="s">
        <v>17</v>
      </c>
      <c r="Q2" s="66" t="s">
        <v>18</v>
      </c>
      <c r="R2" s="6" t="s">
        <v>19</v>
      </c>
      <c r="S2" s="6" t="s">
        <v>20</v>
      </c>
    </row>
    <row r="3" spans="1:19" s="60" customFormat="1" ht="13.5" hidden="1" x14ac:dyDescent="0.3">
      <c r="A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Abaetetuba/PAEMF-ISNENF-INS (Multidisciplinar II)</v>
      </c>
      <c r="B3" s="6" t="str">
        <f>Tabela2[[#This Row],[CATEGORIA]]&amp;Tabela2[[#This Row],[CURSOS]]&amp;"LAP - "&amp;Tabela2[[#This Row],[POLO]]</f>
        <v>ENF-INS (Multidisciplinar II)EMF-ISNLAP - Abaetetuba/PA</v>
      </c>
      <c r="C3" s="6" t="str">
        <f>Tabela2[[#This Row],[CATEGORIA]]&amp;Tabela2[[#This Row],[CURSOS]]</f>
        <v>ENF-INS (Multidisciplinar II)EMF-ISN</v>
      </c>
      <c r="D3" s="6" t="str">
        <f>IF(Tabela2[[#This Row],[SITUAÇÃO]]&lt;&gt;"Demitido",CONCATENATE(Tabela2[[#This Row],[POLO]],Tabela2[[#This Row],[CURSOS]]),"Substituição")</f>
        <v>Abaetetuba/PAEMF-ISN</v>
      </c>
      <c r="E3" s="8" t="s">
        <v>21</v>
      </c>
      <c r="F3" s="67" t="s">
        <v>22</v>
      </c>
      <c r="G3" s="67" t="s">
        <v>23</v>
      </c>
      <c r="H3" s="9" t="s">
        <v>24</v>
      </c>
      <c r="I3" s="17" t="str">
        <f>IFERROR(_xlfn.XLOOKUP(Tabela2[[#This Row],[CHAPA]],TUT.CONTROL!F:F,TUT.CONTROL!I:I),_xlfn.XLOOKUP(Tabela2[[#This Row],[CHAPA]],'REG.CONTROL'!F:F,'REG.CONTROL'!I:I))</f>
        <v>Ativo</v>
      </c>
      <c r="J3" s="17">
        <f>IFERROR(_xlfn.XLOOKUP(Tabela2[[#This Row],[NOME DO TUTOR]],TUT.CONTROL!C:C,TUT.CONTROL!G:G),"Atualizar")</f>
        <v>45887</v>
      </c>
      <c r="K3" s="19">
        <v>91984011852</v>
      </c>
      <c r="L3" s="22">
        <f>IFERROR(_xlfn.XLOOKUP(Tabela2[[#This Row],[NOME DO TUTOR]],TUT.CONTROL!C:C,TUT.CONTROL!F:F),"Demitido")</f>
        <v>1158000897</v>
      </c>
      <c r="M3" s="8" t="s">
        <v>25</v>
      </c>
      <c r="N3" s="11" t="str">
        <f>IFERROR(_xlfn.XLOOKUP(Tabela2[[#This Row],[CHAPA]],TUT.CONTROL!F:F,TUT.CONTROL!H:H),_xlfn.XLOOKUP(Tabela2[[#This Row],[CHAPA]],'REG.CONTROL'!F:F,'REG.CONTROL'!H:H))</f>
        <v>TUTOR DE PRATICA (UC_1749)</v>
      </c>
      <c r="O3" s="68" t="str">
        <f>IFERROR(_xlfn.XLOOKUP(Tabela2[[#This Row],[NOME DO TUTOR]],TUT.CONTROL!C:C,TUT.CONTROL!K:K),"Demitido")</f>
        <v>004:00</v>
      </c>
      <c r="P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" s="66"/>
      <c r="R3" s="8" t="s">
        <v>26</v>
      </c>
      <c r="S3" s="8">
        <v>766981</v>
      </c>
    </row>
    <row r="4" spans="1:19" ht="13.5" hidden="1" x14ac:dyDescent="0.3">
      <c r="A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Acaraú/CEEMF-ISNENF-INS (Multidisciplinar II)</v>
      </c>
      <c r="B4" s="8" t="str">
        <f>Tabela2[[#This Row],[CATEGORIA]]&amp;Tabela2[[#This Row],[CURSOS]]&amp;"LAP - "&amp;Tabela2[[#This Row],[POLO]]</f>
        <v>ENF-INS (Multidisciplinar II)EMF-ISNLAP - Acaraú/CE</v>
      </c>
      <c r="C4" s="8" t="str">
        <f>Tabela2[[#This Row],[CATEGORIA]]&amp;Tabela2[[#This Row],[CURSOS]]</f>
        <v>ENF-INS (Multidisciplinar II)EMF-ISN</v>
      </c>
      <c r="D4" s="8" t="str">
        <f>IF(Tabela2[[#This Row],[SITUAÇÃO]]&lt;&gt;"Demitido",CONCATENATE(Tabela2[[#This Row],[POLO]],Tabela2[[#This Row],[CURSOS]]),"Substituição")</f>
        <v>Acaraú/CEEMF-ISN</v>
      </c>
      <c r="E4" s="8" t="s">
        <v>21</v>
      </c>
      <c r="F4" s="67" t="s">
        <v>22</v>
      </c>
      <c r="G4" s="67" t="s">
        <v>27</v>
      </c>
      <c r="H4" s="9" t="s">
        <v>28</v>
      </c>
      <c r="I4" s="17" t="str">
        <f>IFERROR(_xlfn.XLOOKUP(Tabela2[[#This Row],[CHAPA]],TUT.CONTROL!F:F,TUT.CONTROL!I:I),_xlfn.XLOOKUP(Tabela2[[#This Row],[CHAPA]],'REG.CONTROL'!F:F,'REG.CONTROL'!I:I))</f>
        <v>Ativo</v>
      </c>
      <c r="J4" s="17">
        <f>IFERROR(_xlfn.XLOOKUP(Tabela2[[#This Row],[NOME DO TUTOR]],'REG.CONTROL'!C:C,'REG.CONTROL'!G:G),"Demitido")</f>
        <v>44782</v>
      </c>
      <c r="K4" s="19">
        <v>88981943284</v>
      </c>
      <c r="L4" s="22">
        <f>IFERROR(_xlfn.XLOOKUP(Tabela2[[#This Row],[NOME DO TUTOR]],'REG.CONTROL'!C:C,'REG.CONTROL'!F:F),"Demitido")</f>
        <v>1004010429</v>
      </c>
      <c r="M4" s="8" t="s">
        <v>29</v>
      </c>
      <c r="N4" s="11" t="str">
        <f>IFERROR(_xlfn.XLOOKUP(Tabela2[[#This Row],[CHAPA]],TUT.CONTROL!F:F,TUT.CONTROL!H:H),_xlfn.XLOOKUP(Tabela2[[#This Row],[CHAPA]],'REG.CONTROL'!F:F,'REG.CONTROL'!H:H))</f>
        <v>PROFESSOR REGENTE DE POLO (UC_1744)</v>
      </c>
      <c r="O4" s="68" t="str">
        <f>IFERROR(_xlfn.XLOOKUP(Tabela2[[#This Row],[NOME DO TUTOR]],'REGENTE CH'!A:A,'REGENTE CH'!C:C),"Atualizar")</f>
        <v>008:00</v>
      </c>
      <c r="P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" s="66" t="s">
        <v>30</v>
      </c>
      <c r="R4" s="8" t="s">
        <v>31</v>
      </c>
      <c r="S4" s="8">
        <v>534.34400000000005</v>
      </c>
    </row>
    <row r="5" spans="1:19" ht="13.5" hidden="1" x14ac:dyDescent="0.3">
      <c r="A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Águas Belas/PEEMF-ISNENF-INS (Multidisciplinar II)</v>
      </c>
      <c r="B5" s="8" t="str">
        <f>Tabela2[[#This Row],[CATEGORIA]]&amp;Tabela2[[#This Row],[CURSOS]]&amp;"LAP - "&amp;Tabela2[[#This Row],[POLO]]</f>
        <v>ENF-INS (Multidisciplinar II)EMF-ISNLAP - Águas Belas/PE</v>
      </c>
      <c r="C5" s="8" t="str">
        <f>Tabela2[[#This Row],[CATEGORIA]]&amp;Tabela2[[#This Row],[CURSOS]]</f>
        <v>ENF-INS (Multidisciplinar II)EMF-ISN</v>
      </c>
      <c r="D5" s="8" t="str">
        <f>IF(Tabela2[[#This Row],[SITUAÇÃO]]&lt;&gt;"Demitido",CONCATENATE(Tabela2[[#This Row],[POLO]],Tabela2[[#This Row],[CURSOS]]),"Substituição")</f>
        <v>Águas Belas/PEEMF-ISN</v>
      </c>
      <c r="E5" s="8" t="s">
        <v>21</v>
      </c>
      <c r="F5" s="67" t="s">
        <v>22</v>
      </c>
      <c r="G5" s="67" t="s">
        <v>32</v>
      </c>
      <c r="H5" s="9" t="s">
        <v>33</v>
      </c>
      <c r="I5" s="17" t="str">
        <f>IFERROR(_xlfn.XLOOKUP(Tabela2[[#This Row],[CHAPA]],TUT.CONTROL!F:F,TUT.CONTROL!I:I),_xlfn.XLOOKUP(Tabela2[[#This Row],[CHAPA]],'REG.CONTROL'!F:F,'REG.CONTROL'!I:I))</f>
        <v>Ativo</v>
      </c>
      <c r="J5" s="17">
        <f>IFERROR(_xlfn.XLOOKUP(Tabela2[[#This Row],[NOME DO TUTOR]],TUT.CONTROL!C:C,TUT.CONTROL!G:G),"Demitido")</f>
        <v>45749</v>
      </c>
      <c r="K5" s="19">
        <v>87981132863</v>
      </c>
      <c r="L5" s="22">
        <f>IFERROR(_xlfn.XLOOKUP(Tabela2[[#This Row],[NOME DO TUTOR]],TUT.CONTROL!C:C,TUT.CONTROL!F:F),"Demitido")</f>
        <v>1158000663</v>
      </c>
      <c r="M5" s="8" t="s">
        <v>34</v>
      </c>
      <c r="N5" s="11" t="str">
        <f>IFERROR(_xlfn.XLOOKUP(Tabela2[[#This Row],[CHAPA]],TUT.CONTROL!F:F,TUT.CONTROL!H:H),_xlfn.XLOOKUP(Tabela2[[#This Row],[CHAPA]],'REG.CONTROL'!F:F,'REG.CONTROL'!H:H))</f>
        <v>TUTOR DE PRATICA (UC_1749)</v>
      </c>
      <c r="O5" s="68" t="str">
        <f>IFERROR(_xlfn.XLOOKUP(Tabela2[[#This Row],[NOME DO TUTOR]],TUT.CONTROL!C:C,TUT.CONTROL!K:K),"Demitido")</f>
        <v>004:00</v>
      </c>
      <c r="P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5" s="66" t="s">
        <v>30</v>
      </c>
      <c r="R5" s="8" t="s">
        <v>35</v>
      </c>
      <c r="S5" s="8">
        <v>373684</v>
      </c>
    </row>
    <row r="6" spans="1:19" ht="13.5" hidden="1" x14ac:dyDescent="0.3">
      <c r="A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Alenquer/PAEMF-ISNENF-INS (Multidisciplinar II)</v>
      </c>
      <c r="B6" s="8" t="str">
        <f>Tabela2[[#This Row],[CATEGORIA]]&amp;Tabela2[[#This Row],[CURSOS]]&amp;"LAP - "&amp;Tabela2[[#This Row],[POLO]]</f>
        <v>ENF-INS (Multidisciplinar II)EMF-ISNLAP - Alenquer/PA</v>
      </c>
      <c r="C6" s="8" t="str">
        <f>Tabela2[[#This Row],[CATEGORIA]]&amp;Tabela2[[#This Row],[CURSOS]]</f>
        <v>ENF-INS (Multidisciplinar II)EMF-ISN</v>
      </c>
      <c r="D6" s="8" t="str">
        <f>IF(Tabela2[[#This Row],[SITUAÇÃO]]&lt;&gt;"Demitido",CONCATENATE(Tabela2[[#This Row],[POLO]],Tabela2[[#This Row],[CURSOS]]),"Substituição")</f>
        <v>Alenquer/PAEMF-ISN</v>
      </c>
      <c r="E6" s="8" t="s">
        <v>21</v>
      </c>
      <c r="F6" s="67" t="s">
        <v>22</v>
      </c>
      <c r="G6" s="67" t="s">
        <v>36</v>
      </c>
      <c r="H6" s="9" t="s">
        <v>37</v>
      </c>
      <c r="I6" s="17" t="str">
        <f>IFERROR(_xlfn.XLOOKUP(Tabela2[[#This Row],[CHAPA]],TUT.CONTROL!F:F,TUT.CONTROL!I:I),_xlfn.XLOOKUP(Tabela2[[#This Row],[CHAPA]],'REG.CONTROL'!F:F,'REG.CONTROL'!I:I))</f>
        <v>Ativo</v>
      </c>
      <c r="J6" s="17">
        <f>IFERROR(_xlfn.XLOOKUP(Tabela2[[#This Row],[NOME DO TUTOR]],'REG.CONTROL'!C:C,'REG.CONTROL'!G:G),"Demitido")</f>
        <v>44986</v>
      </c>
      <c r="K6" s="19" t="s">
        <v>38</v>
      </c>
      <c r="L6" s="22">
        <f>IFERROR(_xlfn.XLOOKUP(Tabela2[[#This Row],[NOME DO TUTOR]],'REG.CONTROL'!C:C,'REG.CONTROL'!F:F),"Demitido")</f>
        <v>1004011468</v>
      </c>
      <c r="M6" s="8" t="s">
        <v>39</v>
      </c>
      <c r="N6" s="11" t="str">
        <f>IFERROR(_xlfn.XLOOKUP(Tabela2[[#This Row],[CHAPA]],TUT.CONTROL!F:F,TUT.CONTROL!H:H),_xlfn.XLOOKUP(Tabela2[[#This Row],[CHAPA]],'REG.CONTROL'!F:F,'REG.CONTROL'!H:H))</f>
        <v>PROFESSOR REGENTE DE POLO (UC_1744)</v>
      </c>
      <c r="O6" s="68" t="str">
        <f>IFERROR(_xlfn.XLOOKUP(Tabela2[[#This Row],[NOME DO TUTOR]],'REGENTE CH'!A:A,'REGENTE CH'!C:C),"Atualizar")</f>
        <v>004:00</v>
      </c>
      <c r="P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6" s="66" t="s">
        <v>30</v>
      </c>
      <c r="R6" s="8" t="s">
        <v>26</v>
      </c>
      <c r="S6" s="8">
        <v>617498</v>
      </c>
    </row>
    <row r="7" spans="1:19" ht="13.5" hidden="1" x14ac:dyDescent="0.3">
      <c r="A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7" s="8" t="str">
        <f>Tabela2[[#This Row],[CATEGORIA]]&amp;Tabela2[[#This Row],[CURSOS]]&amp;"LAP - "&amp;Tabela2[[#This Row],[POLO]]</f>
        <v>ENF-INS (Multidisciplinar II)EMF-ISNLAP - Alta Floresta/MT</v>
      </c>
      <c r="C7" s="8" t="str">
        <f>Tabela2[[#This Row],[CATEGORIA]]&amp;Tabela2[[#This Row],[CURSOS]]</f>
        <v>ENF-INS (Multidisciplinar II)EMF-ISN</v>
      </c>
      <c r="D7" s="8" t="str">
        <f>IF(Tabela2[[#This Row],[SITUAÇÃO]]&lt;&gt;"Demitido",CONCATENATE(Tabela2[[#This Row],[POLO]],Tabela2[[#This Row],[CURSOS]]),"Substituição")</f>
        <v>Substituição</v>
      </c>
      <c r="E7" s="8" t="s">
        <v>21</v>
      </c>
      <c r="F7" s="67" t="s">
        <v>22</v>
      </c>
      <c r="G7" s="67" t="s">
        <v>40</v>
      </c>
      <c r="H7" s="9" t="s">
        <v>41</v>
      </c>
      <c r="I7" s="71" t="str">
        <f>IFERROR(_xlfn.XLOOKUP(Tabela2[[#This Row],[CHAPA]],TUT.CONTROL!F:F,TUT.CONTROL!I:I),_xlfn.XLOOKUP(Tabela2[[#This Row],[CHAPA]],'REG.CONTROL'!F:F,'REG.CONTROL'!I:I))</f>
        <v>Demitido</v>
      </c>
      <c r="J7" s="17">
        <f>IFERROR(_xlfn.XLOOKUP(Tabela2[[#This Row],[NOME DO TUTOR]],TUT.CONTROL!C:C,TUT.CONTROL!G:G),"Demitido")</f>
        <v>45754</v>
      </c>
      <c r="K7" s="19">
        <v>66996263876</v>
      </c>
      <c r="L7" s="22">
        <f>IFERROR(_xlfn.XLOOKUP(Tabela2[[#This Row],[NOME DO TUTOR]],TUT.CONTROL!C:C,TUT.CONTROL!F:F),"Demitido")</f>
        <v>1158000694</v>
      </c>
      <c r="M7" s="8" t="s">
        <v>42</v>
      </c>
      <c r="N7" s="11" t="str">
        <f>IFERROR(_xlfn.XLOOKUP(Tabela2[[#This Row],[CHAPA]],TUT.CONTROL!F:F,TUT.CONTROL!H:H),_xlfn.XLOOKUP(Tabela2[[#This Row],[CHAPA]],'REG.CONTROL'!F:F,'REG.CONTROL'!H:H))</f>
        <v>TUTOR DE PRATICA (UC_1749)</v>
      </c>
      <c r="O7" s="68" t="str">
        <f>IFERROR(_xlfn.XLOOKUP(Tabela2[[#This Row],[NOME DO TUTOR]],TUT.CONTROL!C:C,TUT.CONTROL!K:K),"Demitido")</f>
        <v>004:00</v>
      </c>
      <c r="P7" s="17">
        <f>IF(Tabela2[[#This Row],[SITUAÇÃO]]="Demitido",IFERROR(_xlfn.XLOOKUP(Tabela2[[#This Row],[CHAPA]],TUT.CONTROL!F:F,TUT.CONTROL!V:V),_xlfn.XLOOKUP(Tabela2[[#This Row],[CHAPA]],'REG.CONTROL'!F:F,'REG.CONTROL'!V:V)),"-")</f>
        <v>46064</v>
      </c>
      <c r="Q7" s="66" t="s">
        <v>43</v>
      </c>
      <c r="R7" s="8" t="s">
        <v>44</v>
      </c>
      <c r="S7" s="69">
        <v>725262</v>
      </c>
    </row>
    <row r="8" spans="1:19" ht="13.5" hidden="1" customHeight="1" x14ac:dyDescent="0.3">
      <c r="A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Ananindeua/PA - Cidade NovaEMF-ISNENF-INS (Multidisciplinar II)</v>
      </c>
      <c r="B8" s="8" t="str">
        <f>Tabela2[[#This Row],[CATEGORIA]]&amp;Tabela2[[#This Row],[CURSOS]]&amp;"LAP - "&amp;Tabela2[[#This Row],[POLO]]</f>
        <v>ENF-INS (Multidisciplinar II)EMF-ISNLAP - Ananindeua/PA - Cidade Nova</v>
      </c>
      <c r="C8" s="8" t="str">
        <f>Tabela2[[#This Row],[CATEGORIA]]&amp;Tabela2[[#This Row],[CURSOS]]</f>
        <v>ENF-INS (Multidisciplinar II)EMF-ISN</v>
      </c>
      <c r="D8" s="8" t="str">
        <f>IF(Tabela2[[#This Row],[SITUAÇÃO]]&lt;&gt;"Demitido",CONCATENATE(Tabela2[[#This Row],[POLO]],Tabela2[[#This Row],[CURSOS]]),"Substituição")</f>
        <v>Ananindeua/PA - Cidade NovaEMF-ISN</v>
      </c>
      <c r="E8" s="8" t="s">
        <v>21</v>
      </c>
      <c r="F8" s="67" t="s">
        <v>22</v>
      </c>
      <c r="G8" s="67" t="s">
        <v>45</v>
      </c>
      <c r="H8" s="9" t="s">
        <v>46</v>
      </c>
      <c r="I8" s="17" t="str">
        <f>IFERROR(_xlfn.XLOOKUP(Tabela2[[#This Row],[CHAPA]],TUT.CONTROL!F:F,TUT.CONTROL!I:I),_xlfn.XLOOKUP(Tabela2[[#This Row],[CHAPA]],'REG.CONTROL'!F:F,'REG.CONTROL'!I:I))</f>
        <v>Ativo</v>
      </c>
      <c r="J8" s="17">
        <f>IFERROR(_xlfn.XLOOKUP(Tabela2[[#This Row],[NOME DO TUTOR]],'REG.CONTROL'!C:C,'REG.CONTROL'!G:G),"Demitido")</f>
        <v>44868</v>
      </c>
      <c r="K8" s="19">
        <v>91993395631</v>
      </c>
      <c r="L8" s="22">
        <f>IFERROR(_xlfn.XLOOKUP(Tabela2[[#This Row],[NOME DO TUTOR]],'REG.CONTROL'!C:C,'REG.CONTROL'!F:F),"Demitido")</f>
        <v>1004011044</v>
      </c>
      <c r="M8" s="8" t="s">
        <v>47</v>
      </c>
      <c r="N8" s="11" t="str">
        <f>IFERROR(_xlfn.XLOOKUP(Tabela2[[#This Row],[CHAPA]],TUT.CONTROL!F:F,TUT.CONTROL!H:H),_xlfn.XLOOKUP(Tabela2[[#This Row],[CHAPA]],'REG.CONTROL'!F:F,'REG.CONTROL'!H:H))</f>
        <v>PROFESSOR REGENTE DE POLO (UC_1744)</v>
      </c>
      <c r="O8" s="68" t="str">
        <f>IFERROR(_xlfn.XLOOKUP(Tabela2[[#This Row],[NOME DO TUTOR]],'REGENTE CH'!A:A,'REGENTE CH'!C:C),"Atualizar")</f>
        <v>012:00</v>
      </c>
      <c r="P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8" s="66" t="s">
        <v>30</v>
      </c>
      <c r="R8" s="8" t="s">
        <v>26</v>
      </c>
      <c r="S8" s="8">
        <v>748382</v>
      </c>
    </row>
    <row r="9" spans="1:19" ht="13.5" hidden="1" x14ac:dyDescent="0.3">
      <c r="A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9" s="8" t="str">
        <f>Tabela2[[#This Row],[CATEGORIA]]&amp;Tabela2[[#This Row],[CURSOS]]&amp;"LAP - "&amp;Tabela2[[#This Row],[POLO]]</f>
        <v>ENF-INS (Multidisciplinar II)EMF-ISNLAP - Ananindeua/PA - Cidade Nova</v>
      </c>
      <c r="C9" s="8" t="str">
        <f>Tabela2[[#This Row],[CATEGORIA]]&amp;Tabela2[[#This Row],[CURSOS]]</f>
        <v>ENF-INS (Multidisciplinar II)EMF-ISN</v>
      </c>
      <c r="D9" s="8" t="str">
        <f>IF(Tabela2[[#This Row],[SITUAÇÃO]]&lt;&gt;"Demitido",CONCATENATE(Tabela2[[#This Row],[POLO]],Tabela2[[#This Row],[CURSOS]]),"Substituição")</f>
        <v>Substituição</v>
      </c>
      <c r="E9" s="8" t="s">
        <v>21</v>
      </c>
      <c r="F9" s="67" t="s">
        <v>22</v>
      </c>
      <c r="G9" s="67" t="s">
        <v>45</v>
      </c>
      <c r="H9" s="9" t="s">
        <v>48</v>
      </c>
      <c r="I9" s="17" t="str">
        <f>IFERROR(_xlfn.XLOOKUP(Tabela2[[#This Row],[CHAPA]],TUT.CONTROL!F:F,TUT.CONTROL!I:I),_xlfn.XLOOKUP(Tabela2[[#This Row],[CHAPA]],'REG.CONTROL'!F:F,'REG.CONTROL'!I:I))</f>
        <v>Demitido</v>
      </c>
      <c r="J9" s="17">
        <f>IFERROR(_xlfn.XLOOKUP(Tabela2[[#This Row],[NOME DO TUTOR]],TUT.CONTROL!C:C,TUT.CONTROL!G:G),"Demitido")</f>
        <v>45887</v>
      </c>
      <c r="K9" s="19">
        <v>91992101489</v>
      </c>
      <c r="L9" s="22">
        <f>IFERROR(_xlfn.XLOOKUP(Tabela2[[#This Row],[NOME DO TUTOR]],TUT.CONTROL!C:C,TUT.CONTROL!F:F),"Demitido")</f>
        <v>1158000891</v>
      </c>
      <c r="M9" s="8" t="s">
        <v>49</v>
      </c>
      <c r="N9" s="11" t="str">
        <f>IFERROR(_xlfn.XLOOKUP(Tabela2[[#This Row],[CHAPA]],TUT.CONTROL!F:F,TUT.CONTROL!H:H),_xlfn.XLOOKUP(Tabela2[[#This Row],[CHAPA]],'REG.CONTROL'!F:F,'REG.CONTROL'!H:H))</f>
        <v>TUTOR DE PRATICA (UC_1749)</v>
      </c>
      <c r="O9" s="68" t="str">
        <f>IFERROR(_xlfn.XLOOKUP(Tabela2[[#This Row],[NOME DO TUTOR]],TUT.CONTROL!C:C,TUT.CONTROL!K:K),"Demitido")</f>
        <v>004:00</v>
      </c>
      <c r="P9" s="17">
        <f>IF(Tabela2[[#This Row],[SITUAÇÃO]]="Demitido",IFERROR(_xlfn.XLOOKUP(Tabela2[[#This Row],[CHAPA]],TUT.CONTROL!F:F,TUT.CONTROL!V:V),_xlfn.XLOOKUP(Tabela2[[#This Row],[CHAPA]],'REG.CONTROL'!F:F,'REG.CONTROL'!V:V)),"-")</f>
        <v>45931</v>
      </c>
      <c r="Q9" s="66" t="s">
        <v>43</v>
      </c>
      <c r="R9" s="8"/>
      <c r="S9" s="8"/>
    </row>
    <row r="10" spans="1:19" ht="13.5" hidden="1" x14ac:dyDescent="0.3">
      <c r="A1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Aquidauana/MSEMF-ISNENF-INS (Multidisciplinar II)</v>
      </c>
      <c r="B10" s="8" t="str">
        <f>Tabela2[[#This Row],[CATEGORIA]]&amp;Tabela2[[#This Row],[CURSOS]]&amp;"LAP - "&amp;Tabela2[[#This Row],[POLO]]</f>
        <v>ENF-INS (Multidisciplinar II)EMF-ISNLAP - Aquidauana/MS</v>
      </c>
      <c r="C10" s="8" t="str">
        <f>Tabela2[[#This Row],[CATEGORIA]]&amp;Tabela2[[#This Row],[CURSOS]]</f>
        <v>ENF-INS (Multidisciplinar II)EMF-ISN</v>
      </c>
      <c r="D10" s="8" t="str">
        <f>IF(Tabela2[[#This Row],[SITUAÇÃO]]&lt;&gt;"Demitido",CONCATENATE(Tabela2[[#This Row],[POLO]],Tabela2[[#This Row],[CURSOS]]),"Substituição")</f>
        <v>Aquidauana/MSEMF-ISN</v>
      </c>
      <c r="E10" s="8" t="s">
        <v>21</v>
      </c>
      <c r="F10" s="67" t="s">
        <v>22</v>
      </c>
      <c r="G10" s="67" t="s">
        <v>50</v>
      </c>
      <c r="H10" s="9" t="s">
        <v>51</v>
      </c>
      <c r="I10" s="17" t="str">
        <f>IFERROR(_xlfn.XLOOKUP(Tabela2[[#This Row],[CHAPA]],TUT.CONTROL!F:F,TUT.CONTROL!I:I),_xlfn.XLOOKUP(Tabela2[[#This Row],[CHAPA]],'REG.CONTROL'!F:F,'REG.CONTROL'!I:I))</f>
        <v>Ativo</v>
      </c>
      <c r="J10" s="17">
        <f>IFERROR(_xlfn.XLOOKUP(Tabela2[[#This Row],[NOME DO TUTOR]],'REG.CONTROL'!C:C,'REG.CONTROL'!G:G),"Demitido")</f>
        <v>44783</v>
      </c>
      <c r="K10" s="19">
        <v>67992728254</v>
      </c>
      <c r="L10" s="22">
        <f>IFERROR(_xlfn.XLOOKUP(Tabela2[[#This Row],[NOME DO TUTOR]],'REG.CONTROL'!C:C,'REG.CONTROL'!F:F),"Demitido")</f>
        <v>1004010463</v>
      </c>
      <c r="M10" s="8" t="s">
        <v>52</v>
      </c>
      <c r="N10" s="11" t="str">
        <f>IFERROR(_xlfn.XLOOKUP(Tabela2[[#This Row],[CHAPA]],TUT.CONTROL!F:F,TUT.CONTROL!H:H),_xlfn.XLOOKUP(Tabela2[[#This Row],[CHAPA]],'REG.CONTROL'!F:F,'REG.CONTROL'!H:H))</f>
        <v>PROFESSOR REGENTE DE POLO (UC_1744)</v>
      </c>
      <c r="O10" s="68" t="str">
        <f>IFERROR(_xlfn.XLOOKUP(Tabela2[[#This Row],[NOME DO TUTOR]],'REGENTE CH'!A:A,'REGENTE CH'!C:C),"Atualizar")</f>
        <v>004:00</v>
      </c>
      <c r="P1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0" s="66" t="s">
        <v>30</v>
      </c>
      <c r="R10" s="8" t="s">
        <v>53</v>
      </c>
      <c r="S10" s="8">
        <v>483441</v>
      </c>
    </row>
    <row r="11" spans="1:19" ht="13.5" hidden="1" x14ac:dyDescent="0.3">
      <c r="A1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Aracaju/SE - Ponto NovoEMF-ISNENF-INS (Multidisciplinar II)</v>
      </c>
      <c r="B11" s="8" t="str">
        <f>Tabela2[[#This Row],[CATEGORIA]]&amp;Tabela2[[#This Row],[CURSOS]]&amp;"LAP - "&amp;Tabela2[[#This Row],[POLO]]</f>
        <v>ENF-INS (Multidisciplinar II)EMF-ISNLAP - Aracaju/SE - Ponto Novo</v>
      </c>
      <c r="C11" s="8" t="str">
        <f>Tabela2[[#This Row],[CATEGORIA]]&amp;Tabela2[[#This Row],[CURSOS]]</f>
        <v>ENF-INS (Multidisciplinar II)EMF-ISN</v>
      </c>
      <c r="D11" s="8" t="str">
        <f>IF(Tabela2[[#This Row],[SITUAÇÃO]]&lt;&gt;"Demitido",CONCATENATE(Tabela2[[#This Row],[POLO]],Tabela2[[#This Row],[CURSOS]]),"Substituição")</f>
        <v>Aracaju/SE - Ponto NovoEMF-ISN</v>
      </c>
      <c r="E11" s="8" t="s">
        <v>21</v>
      </c>
      <c r="F11" s="67" t="s">
        <v>22</v>
      </c>
      <c r="G11" s="67" t="s">
        <v>54</v>
      </c>
      <c r="H11" s="9" t="s">
        <v>55</v>
      </c>
      <c r="I11" s="17" t="str">
        <f>IFERROR(_xlfn.XLOOKUP(Tabela2[[#This Row],[CHAPA]],TUT.CONTROL!F:F,TUT.CONTROL!I:I),_xlfn.XLOOKUP(Tabela2[[#This Row],[CHAPA]],'REG.CONTROL'!F:F,'REG.CONTROL'!I:I))</f>
        <v>Ativo</v>
      </c>
      <c r="J11" s="17">
        <f>IFERROR(_xlfn.XLOOKUP(Tabela2[[#This Row],[NOME DO TUTOR]],TUT.CONTROL!C:C,TUT.CONTROL!G:G),"Demitido")</f>
        <v>45728</v>
      </c>
      <c r="K11" s="19">
        <v>79998583631</v>
      </c>
      <c r="L11" s="22">
        <f>IFERROR(_xlfn.XLOOKUP(Tabela2[[#This Row],[NOME DO TUTOR]],TUT.CONTROL!C:C,TUT.CONTROL!F:F),"Demitido")</f>
        <v>1158000547</v>
      </c>
      <c r="M11" s="8" t="s">
        <v>56</v>
      </c>
      <c r="N11" s="11" t="str">
        <f>IFERROR(_xlfn.XLOOKUP(Tabela2[[#This Row],[CHAPA]],TUT.CONTROL!F:F,TUT.CONTROL!H:H),_xlfn.XLOOKUP(Tabela2[[#This Row],[CHAPA]],'REG.CONTROL'!F:F,'REG.CONTROL'!H:H))</f>
        <v>TUTOR DE PRATICA (UC_1749)</v>
      </c>
      <c r="O11" s="68" t="str">
        <f>IFERROR(_xlfn.XLOOKUP(Tabela2[[#This Row],[NOME DO TUTOR]],TUT.CONTROL!C:C,TUT.CONTROL!K:K),"Demitido")</f>
        <v>004:00</v>
      </c>
      <c r="P1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1" s="66" t="s">
        <v>30</v>
      </c>
      <c r="R11" s="8" t="s">
        <v>57</v>
      </c>
      <c r="S11" s="8">
        <v>770627</v>
      </c>
    </row>
    <row r="12" spans="1:19" ht="13.5" hidden="1" x14ac:dyDescent="0.3">
      <c r="A1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Aracati/CEEMF-ISNENF-INS (Multidisciplinar II)</v>
      </c>
      <c r="B12" s="8" t="str">
        <f>Tabela2[[#This Row],[CATEGORIA]]&amp;Tabela2[[#This Row],[CURSOS]]&amp;"LAP - "&amp;Tabela2[[#This Row],[POLO]]</f>
        <v>ENF-INS (Multidisciplinar II)EMF-ISNLAP - Aracati/CE</v>
      </c>
      <c r="C12" s="8" t="str">
        <f>Tabela2[[#This Row],[CATEGORIA]]&amp;Tabela2[[#This Row],[CURSOS]]</f>
        <v>ENF-INS (Multidisciplinar II)EMF-ISN</v>
      </c>
      <c r="D12" s="8" t="str">
        <f>IF(Tabela2[[#This Row],[SITUAÇÃO]]&lt;&gt;"Demitido",CONCATENATE(Tabela2[[#This Row],[POLO]],Tabela2[[#This Row],[CURSOS]]),"Substituição")</f>
        <v>Aracati/CEEMF-ISN</v>
      </c>
      <c r="E12" s="8" t="s">
        <v>21</v>
      </c>
      <c r="F12" s="67" t="s">
        <v>22</v>
      </c>
      <c r="G12" s="67" t="s">
        <v>58</v>
      </c>
      <c r="H12" s="9" t="s">
        <v>59</v>
      </c>
      <c r="I12" s="17" t="str">
        <f>IFERROR(_xlfn.XLOOKUP(Tabela2[[#This Row],[CHAPA]],TUT.CONTROL!F:F,TUT.CONTROL!I:I),_xlfn.XLOOKUP(Tabela2[[#This Row],[CHAPA]],'REG.CONTROL'!F:F,'REG.CONTROL'!I:I))</f>
        <v>Ativo</v>
      </c>
      <c r="J12" s="17">
        <f>IFERROR(_xlfn.XLOOKUP(Tabela2[[#This Row],[NOME DO TUTOR]],TUT.CONTROL!C:C,TUT.CONTROL!G:G),"Demitido")</f>
        <v>45721</v>
      </c>
      <c r="K12" s="19">
        <v>88997292003</v>
      </c>
      <c r="L12" s="22">
        <f>IFERROR(_xlfn.XLOOKUP(Tabela2[[#This Row],[NOME DO TUTOR]],TUT.CONTROL!C:C,TUT.CONTROL!F:F),"Demitido")</f>
        <v>1158000534</v>
      </c>
      <c r="M12" s="8" t="s">
        <v>60</v>
      </c>
      <c r="N12" s="11" t="str">
        <f>IFERROR(_xlfn.XLOOKUP(Tabela2[[#This Row],[CHAPA]],TUT.CONTROL!F:F,TUT.CONTROL!H:H),_xlfn.XLOOKUP(Tabela2[[#This Row],[CHAPA]],'REG.CONTROL'!F:F,'REG.CONTROL'!H:H))</f>
        <v>TUTOR DE PRATICA (UC_1749)</v>
      </c>
      <c r="O12" s="68" t="str">
        <f>IFERROR(_xlfn.XLOOKUP(Tabela2[[#This Row],[NOME DO TUTOR]],TUT.CONTROL!C:C,TUT.CONTROL!K:K),"Demitido")</f>
        <v>004:00</v>
      </c>
      <c r="P1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2" s="66" t="s">
        <v>30</v>
      </c>
      <c r="R12" s="8" t="s">
        <v>31</v>
      </c>
      <c r="S12" s="69">
        <v>580957</v>
      </c>
    </row>
    <row r="13" spans="1:19" ht="13.5" hidden="1" x14ac:dyDescent="0.3">
      <c r="A1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Araguaína/TOEMF-ISNENF-INS (Multidisciplinar II)</v>
      </c>
      <c r="B13" s="8" t="str">
        <f>Tabela2[[#This Row],[CATEGORIA]]&amp;Tabela2[[#This Row],[CURSOS]]&amp;"LAP - "&amp;Tabela2[[#This Row],[POLO]]</f>
        <v>ENF-INS (Multidisciplinar II)EMF-ISNLAP - Araguaína/TO</v>
      </c>
      <c r="C13" s="8" t="str">
        <f>Tabela2[[#This Row],[CATEGORIA]]&amp;Tabela2[[#This Row],[CURSOS]]</f>
        <v>ENF-INS (Multidisciplinar II)EMF-ISN</v>
      </c>
      <c r="D13" s="8" t="str">
        <f>IF(Tabela2[[#This Row],[SITUAÇÃO]]&lt;&gt;"Demitido",CONCATENATE(Tabela2[[#This Row],[POLO]],Tabela2[[#This Row],[CURSOS]]),"Substituição")</f>
        <v>Araguaína/TOEMF-ISN</v>
      </c>
      <c r="E13" s="8" t="s">
        <v>21</v>
      </c>
      <c r="F13" s="67" t="s">
        <v>22</v>
      </c>
      <c r="G13" s="67" t="s">
        <v>61</v>
      </c>
      <c r="H13" s="9" t="s">
        <v>62</v>
      </c>
      <c r="I13" s="17" t="str">
        <f>IFERROR(_xlfn.XLOOKUP(Tabela2[[#This Row],[CHAPA]],TUT.CONTROL!F:F,TUT.CONTROL!I:I),_xlfn.XLOOKUP(Tabela2[[#This Row],[CHAPA]],'REG.CONTROL'!F:F,'REG.CONTROL'!I:I))</f>
        <v>Ativo</v>
      </c>
      <c r="J13" s="17">
        <f>IFERROR(_xlfn.XLOOKUP(Tabela2[[#This Row],[NOME DO TUTOR]],TUT.CONTROL!C:C,TUT.CONTROL!G:G),"Demitido")</f>
        <v>45733</v>
      </c>
      <c r="K13" s="19">
        <v>63992070009</v>
      </c>
      <c r="L13" s="22">
        <f>IFERROR(_xlfn.XLOOKUP(Tabela2[[#This Row],[NOME DO TUTOR]],TUT.CONTROL!C:C,TUT.CONTROL!F:F),"Demitido")</f>
        <v>1158000556</v>
      </c>
      <c r="M13" s="8" t="s">
        <v>63</v>
      </c>
      <c r="N13" s="11" t="str">
        <f>IFERROR(_xlfn.XLOOKUP(Tabela2[[#This Row],[CHAPA]],TUT.CONTROL!F:F,TUT.CONTROL!H:H),_xlfn.XLOOKUP(Tabela2[[#This Row],[CHAPA]],'REG.CONTROL'!F:F,'REG.CONTROL'!H:H))</f>
        <v>TUTOR DE PRATICA (UC_1749)</v>
      </c>
      <c r="O13" s="68" t="str">
        <f>IFERROR(_xlfn.XLOOKUP(Tabela2[[#This Row],[NOME DO TUTOR]],TUT.CONTROL!C:C,TUT.CONTROL!K:K),"Demitido")</f>
        <v>004:00</v>
      </c>
      <c r="P1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3" s="66" t="s">
        <v>30</v>
      </c>
      <c r="R13" s="8" t="s">
        <v>64</v>
      </c>
      <c r="S13" s="8">
        <v>839296</v>
      </c>
    </row>
    <row r="14" spans="1:19" ht="13.5" hidden="1" x14ac:dyDescent="0.3">
      <c r="A1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Aripuanã/MTEMF-ISNENF-INS (Multidisciplinar II)</v>
      </c>
      <c r="B14" s="8" t="str">
        <f>Tabela2[[#This Row],[CATEGORIA]]&amp;Tabela2[[#This Row],[CURSOS]]&amp;"LAP - "&amp;Tabela2[[#This Row],[POLO]]</f>
        <v>ENF-INS (Multidisciplinar II)EMF-ISNLAP - Aripuanã/MT</v>
      </c>
      <c r="C14" s="8" t="str">
        <f>Tabela2[[#This Row],[CATEGORIA]]&amp;Tabela2[[#This Row],[CURSOS]]</f>
        <v>ENF-INS (Multidisciplinar II)EMF-ISN</v>
      </c>
      <c r="D14" s="8" t="str">
        <f>IF(Tabela2[[#This Row],[SITUAÇÃO]]&lt;&gt;"Demitido",CONCATENATE(Tabela2[[#This Row],[POLO]],Tabela2[[#This Row],[CURSOS]]),"Substituição")</f>
        <v>Aripuanã/MTEMF-ISN</v>
      </c>
      <c r="E14" s="8" t="s">
        <v>21</v>
      </c>
      <c r="F14" s="67" t="s">
        <v>22</v>
      </c>
      <c r="G14" s="67" t="s">
        <v>65</v>
      </c>
      <c r="H14" s="9" t="s">
        <v>66</v>
      </c>
      <c r="I14" s="17" t="str">
        <f>IFERROR(_xlfn.XLOOKUP(Tabela2[[#This Row],[CHAPA]],TUT.CONTROL!F:F,TUT.CONTROL!I:I),_xlfn.XLOOKUP(Tabela2[[#This Row],[CHAPA]],'REG.CONTROL'!F:F,'REG.CONTROL'!I:I))</f>
        <v>Ativo</v>
      </c>
      <c r="J14" s="17">
        <f>IFERROR(_xlfn.XLOOKUP(Tabela2[[#This Row],[NOME DO TUTOR]],TUT.CONTROL!C:C,TUT.CONTROL!G:G),"Demitido")</f>
        <v>45798</v>
      </c>
      <c r="K14" s="19">
        <v>69999789575</v>
      </c>
      <c r="L14" s="22">
        <f>IFERROR(_xlfn.XLOOKUP(Tabela2[[#This Row],[NOME DO TUTOR]],TUT.CONTROL!C:C,TUT.CONTROL!F:F),"Demitido")</f>
        <v>1158000708</v>
      </c>
      <c r="M14" s="8" t="s">
        <v>67</v>
      </c>
      <c r="N14" s="11" t="str">
        <f>IFERROR(_xlfn.XLOOKUP(Tabela2[[#This Row],[CHAPA]],TUT.CONTROL!F:F,TUT.CONTROL!H:H),_xlfn.XLOOKUP(Tabela2[[#This Row],[CHAPA]],'REG.CONTROL'!F:F,'REG.CONTROL'!H:H))</f>
        <v>TUTOR DE PRATICA (UC_1749)</v>
      </c>
      <c r="O14" s="68" t="str">
        <f>IFERROR(_xlfn.XLOOKUP(Tabela2[[#This Row],[NOME DO TUTOR]],TUT.CONTROL!C:C,TUT.CONTROL!K:K),"Demitido")</f>
        <v>004:00</v>
      </c>
      <c r="P1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4" s="66"/>
      <c r="R14" s="8"/>
      <c r="S14" s="8"/>
    </row>
    <row r="15" spans="1:19" ht="13.5" hidden="1" x14ac:dyDescent="0.3">
      <c r="A1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Assú/RNEMF-ISNENF-INS (Multidisciplinar II)</v>
      </c>
      <c r="B15" s="8" t="str">
        <f>Tabela2[[#This Row],[CATEGORIA]]&amp;Tabela2[[#This Row],[CURSOS]]&amp;"LAP - "&amp;Tabela2[[#This Row],[POLO]]</f>
        <v>ENF-INS (Multidisciplinar II)EMF-ISNLAP - Assú/RN</v>
      </c>
      <c r="C15" s="8" t="str">
        <f>Tabela2[[#This Row],[CATEGORIA]]&amp;Tabela2[[#This Row],[CURSOS]]</f>
        <v>ENF-INS (Multidisciplinar II)EMF-ISN</v>
      </c>
      <c r="D15" s="8" t="str">
        <f>IF(Tabela2[[#This Row],[SITUAÇÃO]]&lt;&gt;"Demitido",CONCATENATE(Tabela2[[#This Row],[POLO]],Tabela2[[#This Row],[CURSOS]]),"Substituição")</f>
        <v>Assú/RNEMF-ISN</v>
      </c>
      <c r="E15" s="8" t="s">
        <v>21</v>
      </c>
      <c r="F15" s="67" t="s">
        <v>22</v>
      </c>
      <c r="G15" s="67" t="s">
        <v>68</v>
      </c>
      <c r="H15" s="9" t="s">
        <v>69</v>
      </c>
      <c r="I15" s="17" t="str">
        <f>IFERROR(_xlfn.XLOOKUP(Tabela2[[#This Row],[CHAPA]],TUT.CONTROL!F:F,TUT.CONTROL!I:I),_xlfn.XLOOKUP(Tabela2[[#This Row],[CHAPA]],'REG.CONTROL'!F:F,'REG.CONTROL'!I:I))</f>
        <v>Ativo</v>
      </c>
      <c r="J15" s="17">
        <f>IFERROR(_xlfn.XLOOKUP(Tabela2[[#This Row],[NOME DO TUTOR]],TUT.CONTROL!C:C,TUT.CONTROL!G:G),"Demitido")</f>
        <v>45754</v>
      </c>
      <c r="K15" s="19">
        <v>84999929870</v>
      </c>
      <c r="L15" s="22">
        <f>IFERROR(_xlfn.XLOOKUP(Tabela2[[#This Row],[NOME DO TUTOR]],TUT.CONTROL!C:C,TUT.CONTROL!F:F),"Demitido")</f>
        <v>1158000688</v>
      </c>
      <c r="M15" s="8" t="s">
        <v>70</v>
      </c>
      <c r="N15" s="11" t="str">
        <f>IFERROR(_xlfn.XLOOKUP(Tabela2[[#This Row],[CHAPA]],TUT.CONTROL!F:F,TUT.CONTROL!H:H),_xlfn.XLOOKUP(Tabela2[[#This Row],[CHAPA]],'REG.CONTROL'!F:F,'REG.CONTROL'!H:H))</f>
        <v>TUTOR DE PRATICA (UC_1749)</v>
      </c>
      <c r="O15" s="68" t="str">
        <f>IFERROR(_xlfn.XLOOKUP(Tabela2[[#This Row],[NOME DO TUTOR]],TUT.CONTROL!C:C,TUT.CONTROL!K:K),"Demitido")</f>
        <v>004:00</v>
      </c>
      <c r="P1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5" s="66" t="s">
        <v>30</v>
      </c>
      <c r="R15" s="8" t="s">
        <v>71</v>
      </c>
      <c r="S15" s="69">
        <v>241411</v>
      </c>
    </row>
    <row r="16" spans="1:19" ht="13.5" hidden="1" x14ac:dyDescent="0.3">
      <c r="A1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Avaré/SPEMF-ISNENF-INS (Multidisciplinar II)</v>
      </c>
      <c r="B16" s="8" t="str">
        <f>Tabela2[[#This Row],[CATEGORIA]]&amp;Tabela2[[#This Row],[CURSOS]]&amp;"LAP - "&amp;Tabela2[[#This Row],[POLO]]</f>
        <v>ENF-INS (Multidisciplinar II)EMF-ISNLAP - Avaré/SP</v>
      </c>
      <c r="C16" s="8" t="str">
        <f>Tabela2[[#This Row],[CATEGORIA]]&amp;Tabela2[[#This Row],[CURSOS]]</f>
        <v>ENF-INS (Multidisciplinar II)EMF-ISN</v>
      </c>
      <c r="D16" s="8" t="str">
        <f>IF(Tabela2[[#This Row],[SITUAÇÃO]]&lt;&gt;"Demitido",CONCATENATE(Tabela2[[#This Row],[POLO]],Tabela2[[#This Row],[CURSOS]]),"Substituição")</f>
        <v>Avaré/SPEMF-ISN</v>
      </c>
      <c r="E16" s="8" t="s">
        <v>21</v>
      </c>
      <c r="F16" s="67" t="s">
        <v>22</v>
      </c>
      <c r="G16" s="67" t="s">
        <v>72</v>
      </c>
      <c r="H16" s="9" t="s">
        <v>73</v>
      </c>
      <c r="I16" s="17" t="str">
        <f>IFERROR(_xlfn.XLOOKUP(Tabela2[[#This Row],[CHAPA]],TUT.CONTROL!F:F,TUT.CONTROL!I:I),_xlfn.XLOOKUP(Tabela2[[#This Row],[CHAPA]],'REG.CONTROL'!F:F,'REG.CONTROL'!I:I))</f>
        <v>Ativo</v>
      </c>
      <c r="J16" s="17">
        <f>IFERROR(_xlfn.XLOOKUP(Tabela2[[#This Row],[NOME DO TUTOR]],TUT.CONTROL!C:C,TUT.CONTROL!G:G),"Demitido")</f>
        <v>45749</v>
      </c>
      <c r="K16" s="19">
        <v>14996292308</v>
      </c>
      <c r="L16" s="22">
        <f>IFERROR(_xlfn.XLOOKUP(Tabela2[[#This Row],[NOME DO TUTOR]],TUT.CONTROL!C:C,TUT.CONTROL!F:F),"Demitido")</f>
        <v>1158000671</v>
      </c>
      <c r="M16" s="8" t="s">
        <v>74</v>
      </c>
      <c r="N16" s="11" t="str">
        <f>IFERROR(_xlfn.XLOOKUP(Tabela2[[#This Row],[CHAPA]],TUT.CONTROL!F:F,TUT.CONTROL!H:H),_xlfn.XLOOKUP(Tabela2[[#This Row],[CHAPA]],'REG.CONTROL'!F:F,'REG.CONTROL'!H:H))</f>
        <v>TUTOR DE PRATICA (UC_1749)</v>
      </c>
      <c r="O16" s="68" t="str">
        <f>IFERROR(_xlfn.XLOOKUP(Tabela2[[#This Row],[NOME DO TUTOR]],TUT.CONTROL!C:C,TUT.CONTROL!K:K),"Demitido")</f>
        <v>004:00</v>
      </c>
      <c r="P1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6" s="66" t="s">
        <v>30</v>
      </c>
      <c r="R16" s="8" t="s">
        <v>75</v>
      </c>
      <c r="S16" s="69">
        <v>753858</v>
      </c>
    </row>
    <row r="17" spans="1:19" ht="13.5" hidden="1" x14ac:dyDescent="0.3">
      <c r="A1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Barcelos/AMEMF-ISNENF-INS (Multidisciplinar II)</v>
      </c>
      <c r="B17" s="8" t="str">
        <f>Tabela2[[#This Row],[CATEGORIA]]&amp;Tabela2[[#This Row],[CURSOS]]&amp;"LAP - "&amp;Tabela2[[#This Row],[POLO]]</f>
        <v>ENF-INS (Multidisciplinar II)EMF-ISNLAP - Barcelos/AM</v>
      </c>
      <c r="C17" s="8" t="str">
        <f>Tabela2[[#This Row],[CATEGORIA]]&amp;Tabela2[[#This Row],[CURSOS]]</f>
        <v>ENF-INS (Multidisciplinar II)EMF-ISN</v>
      </c>
      <c r="D17" s="8" t="str">
        <f>IF(Tabela2[[#This Row],[SITUAÇÃO]]&lt;&gt;"Demitido",CONCATENATE(Tabela2[[#This Row],[POLO]],Tabela2[[#This Row],[CURSOS]]),"Substituição")</f>
        <v>Barcelos/AMEMF-ISN</v>
      </c>
      <c r="E17" s="8" t="s">
        <v>21</v>
      </c>
      <c r="F17" s="67" t="s">
        <v>22</v>
      </c>
      <c r="G17" s="67" t="s">
        <v>76</v>
      </c>
      <c r="H17" s="9" t="s">
        <v>77</v>
      </c>
      <c r="I17" s="17" t="str">
        <f>IFERROR(_xlfn.XLOOKUP(Tabela2[[#This Row],[CHAPA]],TUT.CONTROL!F:F,TUT.CONTROL!I:I),_xlfn.XLOOKUP(Tabela2[[#This Row],[CHAPA]],'REG.CONTROL'!F:F,'REG.CONTROL'!I:I))</f>
        <v>Ativo</v>
      </c>
      <c r="J17" s="17">
        <f>IFERROR(_xlfn.XLOOKUP(Tabela2[[#This Row],[NOME DO TUTOR]],TUT.CONTROL!C:C,TUT.CONTROL!G:G),"Demitido")</f>
        <v>45971</v>
      </c>
      <c r="K17" s="19">
        <v>99988252370</v>
      </c>
      <c r="L17" s="22">
        <f>IFERROR(_xlfn.XLOOKUP(Tabela2[[#This Row],[NOME DO TUTOR]],TUT.CONTROL!C:C,TUT.CONTROL!F:F),"Demitido")</f>
        <v>1158001060</v>
      </c>
      <c r="M17" s="8" t="s">
        <v>78</v>
      </c>
      <c r="N17" s="11" t="str">
        <f>IFERROR(_xlfn.XLOOKUP(Tabela2[[#This Row],[CHAPA]],TUT.CONTROL!F:F,TUT.CONTROL!H:H),_xlfn.XLOOKUP(Tabela2[[#This Row],[CHAPA]],'REG.CONTROL'!F:F,'REG.CONTROL'!H:H))</f>
        <v>TUTOR DE PRATICA (UC_1749)</v>
      </c>
      <c r="O17" s="68" t="str">
        <f>IFERROR(_xlfn.XLOOKUP(Tabela2[[#This Row],[NOME DO TUTOR]],TUT.CONTROL!C:C,TUT.CONTROL!K:K),"Demitido")</f>
        <v>004:00</v>
      </c>
      <c r="P1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7" s="66" t="s">
        <v>30</v>
      </c>
      <c r="R17" s="8"/>
      <c r="S17" s="8"/>
    </row>
    <row r="18" spans="1:19" ht="13.5" hidden="1" x14ac:dyDescent="0.3">
      <c r="A1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Barra do Garças/MTEMF-ISNENF-INS (Multidisciplinar II)</v>
      </c>
      <c r="B18" s="8" t="str">
        <f>Tabela2[[#This Row],[CATEGORIA]]&amp;Tabela2[[#This Row],[CURSOS]]&amp;"LAP - "&amp;Tabela2[[#This Row],[POLO]]</f>
        <v>ENF-INS (Multidisciplinar II)EMF-ISNLAP - Barra do Garças/MT</v>
      </c>
      <c r="C18" s="8" t="str">
        <f>Tabela2[[#This Row],[CATEGORIA]]&amp;Tabela2[[#This Row],[CURSOS]]</f>
        <v>ENF-INS (Multidisciplinar II)EMF-ISN</v>
      </c>
      <c r="D18" s="8" t="str">
        <f>IF(Tabela2[[#This Row],[SITUAÇÃO]]&lt;&gt;"Demitido",CONCATENATE(Tabela2[[#This Row],[POLO]],Tabela2[[#This Row],[CURSOS]]),"Substituição")</f>
        <v>Barra do Garças/MTEMF-ISN</v>
      </c>
      <c r="E18" s="8" t="s">
        <v>21</v>
      </c>
      <c r="F18" s="67" t="s">
        <v>22</v>
      </c>
      <c r="G18" s="67" t="s">
        <v>79</v>
      </c>
      <c r="H18" s="9" t="s">
        <v>80</v>
      </c>
      <c r="I18" s="17" t="str">
        <f>IFERROR(_xlfn.XLOOKUP(Tabela2[[#This Row],[CHAPA]],TUT.CONTROL!F:F,TUT.CONTROL!I:I),_xlfn.XLOOKUP(Tabela2[[#This Row],[CHAPA]],'REG.CONTROL'!F:F,'REG.CONTROL'!I:I))</f>
        <v>Ativo</v>
      </c>
      <c r="J18" s="17">
        <f>IFERROR(_xlfn.XLOOKUP(Tabela2[[#This Row],[NOME DO TUTOR]],TUT.CONTROL!C:C,TUT.CONTROL!G:G),"Demitido")</f>
        <v>45735</v>
      </c>
      <c r="K18" s="19">
        <v>66992246865</v>
      </c>
      <c r="L18" s="22">
        <f>IFERROR(_xlfn.XLOOKUP(Tabela2[[#This Row],[NOME DO TUTOR]],TUT.CONTROL!C:C,TUT.CONTROL!F:F),"Demitido")</f>
        <v>1158000575</v>
      </c>
      <c r="M18" s="8" t="s">
        <v>81</v>
      </c>
      <c r="N18" s="11" t="str">
        <f>IFERROR(_xlfn.XLOOKUP(Tabela2[[#This Row],[CHAPA]],TUT.CONTROL!F:F,TUT.CONTROL!H:H),_xlfn.XLOOKUP(Tabela2[[#This Row],[CHAPA]],'REG.CONTROL'!F:F,'REG.CONTROL'!H:H))</f>
        <v>TUTOR DE PRATICA (UC_1749)</v>
      </c>
      <c r="O18" s="68" t="str">
        <f>IFERROR(_xlfn.XLOOKUP(Tabela2[[#This Row],[NOME DO TUTOR]],TUT.CONTROL!C:C,TUT.CONTROL!K:K),"Demitido")</f>
        <v>004:00</v>
      </c>
      <c r="P1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8" s="66" t="s">
        <v>30</v>
      </c>
      <c r="R18" s="8" t="s">
        <v>44</v>
      </c>
      <c r="S18" s="8" t="s">
        <v>82</v>
      </c>
    </row>
    <row r="19" spans="1:19" ht="13.5" hidden="1" x14ac:dyDescent="0.3">
      <c r="A1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Barreirinhas/MAEMF-ISNENF-INS (Multidisciplinar II)</v>
      </c>
      <c r="B19" s="8" t="str">
        <f>Tabela2[[#This Row],[CATEGORIA]]&amp;Tabela2[[#This Row],[CURSOS]]&amp;"LAP - "&amp;Tabela2[[#This Row],[POLO]]</f>
        <v>ENF-INS (Multidisciplinar II)EMF-ISNLAP - Barreirinhas/MA</v>
      </c>
      <c r="C19" s="8" t="str">
        <f>Tabela2[[#This Row],[CATEGORIA]]&amp;Tabela2[[#This Row],[CURSOS]]</f>
        <v>ENF-INS (Multidisciplinar II)EMF-ISN</v>
      </c>
      <c r="D19" s="8" t="str">
        <f>IF(Tabela2[[#This Row],[SITUAÇÃO]]&lt;&gt;"Demitido",CONCATENATE(Tabela2[[#This Row],[POLO]],Tabela2[[#This Row],[CURSOS]]),"Substituição")</f>
        <v>Barreirinhas/MAEMF-ISN</v>
      </c>
      <c r="E19" s="8" t="s">
        <v>21</v>
      </c>
      <c r="F19" s="67" t="s">
        <v>22</v>
      </c>
      <c r="G19" s="67" t="s">
        <v>83</v>
      </c>
      <c r="H19" s="9" t="s">
        <v>84</v>
      </c>
      <c r="I19" s="17" t="str">
        <f>IFERROR(_xlfn.XLOOKUP(Tabela2[[#This Row],[CHAPA]],TUT.CONTROL!F:F,TUT.CONTROL!I:I),_xlfn.XLOOKUP(Tabela2[[#This Row],[CHAPA]],'REG.CONTROL'!F:F,'REG.CONTROL'!I:I))</f>
        <v>Ativo</v>
      </c>
      <c r="J19" s="17">
        <f>IFERROR(_xlfn.XLOOKUP(Tabela2[[#This Row],[NOME DO TUTOR]],TUT.CONTROL!C:C,TUT.CONTROL!G:G),"Demitido")</f>
        <v>45733</v>
      </c>
      <c r="K19" s="19">
        <v>98988183281</v>
      </c>
      <c r="L19" s="22">
        <f>IFERROR(_xlfn.XLOOKUP(Tabela2[[#This Row],[NOME DO TUTOR]],TUT.CONTROL!C:C,TUT.CONTROL!F:F),"Demitido")</f>
        <v>1158000553</v>
      </c>
      <c r="M19" s="8" t="s">
        <v>85</v>
      </c>
      <c r="N19" s="11" t="str">
        <f>IFERROR(_xlfn.XLOOKUP(Tabela2[[#This Row],[CHAPA]],TUT.CONTROL!F:F,TUT.CONTROL!H:H),_xlfn.XLOOKUP(Tabela2[[#This Row],[CHAPA]],'REG.CONTROL'!F:F,'REG.CONTROL'!H:H))</f>
        <v>TUTOR DE PRATICA (UC_1749)</v>
      </c>
      <c r="O19" s="68" t="str">
        <f>IFERROR(_xlfn.XLOOKUP(Tabela2[[#This Row],[NOME DO TUTOR]],TUT.CONTROL!C:C,TUT.CONTROL!K:K),"Demitido")</f>
        <v>004:00</v>
      </c>
      <c r="P1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9" s="66" t="s">
        <v>30</v>
      </c>
      <c r="R19" s="8" t="s">
        <v>86</v>
      </c>
      <c r="S19" s="8">
        <v>330425</v>
      </c>
    </row>
    <row r="20" spans="1:19" ht="13.5" hidden="1" customHeight="1" x14ac:dyDescent="0.3">
      <c r="A2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Baturité/CEEMF-ISNENF-INS (Multidisciplinar II)</v>
      </c>
      <c r="B20" s="8" t="str">
        <f>Tabela2[[#This Row],[CATEGORIA]]&amp;Tabela2[[#This Row],[CURSOS]]&amp;"LAP - "&amp;Tabela2[[#This Row],[POLO]]</f>
        <v>ENF-INS (Multidisciplinar II)EMF-ISNLAP - Baturité/CE</v>
      </c>
      <c r="C20" s="8" t="str">
        <f>Tabela2[[#This Row],[CATEGORIA]]&amp;Tabela2[[#This Row],[CURSOS]]</f>
        <v>ENF-INS (Multidisciplinar II)EMF-ISN</v>
      </c>
      <c r="D20" s="8" t="str">
        <f>IF(Tabela2[[#This Row],[SITUAÇÃO]]&lt;&gt;"Demitido",CONCATENATE(Tabela2[[#This Row],[POLO]],Tabela2[[#This Row],[CURSOS]]),"Substituição")</f>
        <v>Baturité/CEEMF-ISN</v>
      </c>
      <c r="E20" s="8" t="s">
        <v>21</v>
      </c>
      <c r="F20" s="67" t="s">
        <v>22</v>
      </c>
      <c r="G20" s="67" t="s">
        <v>87</v>
      </c>
      <c r="H20" s="9" t="s">
        <v>88</v>
      </c>
      <c r="I20" s="17" t="str">
        <f>IFERROR(_xlfn.XLOOKUP(Tabela2[[#This Row],[CHAPA]],TUT.CONTROL!F:F,TUT.CONTROL!I:I),_xlfn.XLOOKUP(Tabela2[[#This Row],[CHAPA]],'REG.CONTROL'!F:F,'REG.CONTROL'!I:I))</f>
        <v>Ativo</v>
      </c>
      <c r="J20" s="17">
        <f>IFERROR(_xlfn.XLOOKUP(Tabela2[[#This Row],[NOME DO TUTOR]],TUT.CONTROL!C:C,TUT.CONTROL!G:G),"Atualizar")</f>
        <v>46118</v>
      </c>
      <c r="K20" s="19">
        <v>85996297339</v>
      </c>
      <c r="L20" s="22">
        <f>IFERROR(_xlfn.XLOOKUP(Tabela2[[#This Row],[NOME DO TUTOR]],TUT.CONTROL!C:C,TUT.CONTROL!F:F),"Atualizar")</f>
        <v>1158001198</v>
      </c>
      <c r="M20" s="8" t="s">
        <v>89</v>
      </c>
      <c r="N20" s="11" t="str">
        <f>IFERROR(_xlfn.XLOOKUP(Tabela2[[#This Row],[CHAPA]],TUT.CONTROL!F:F,TUT.CONTROL!H:H),_xlfn.XLOOKUP(Tabela2[[#This Row],[CHAPA]],'REG.CONTROL'!F:F,'REG.CONTROL'!H:H))</f>
        <v>TUTOR DE PRATICA (UC_1749)</v>
      </c>
      <c r="O20" s="70" t="str">
        <f>IFERROR(_xlfn.XLOOKUP(Tabela2[[#This Row],[NOME DO TUTOR]],TUT.CONTROL!C:C,TUT.CONTROL!K:K),"Atualizar")</f>
        <v>004:00</v>
      </c>
      <c r="P2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0" s="66"/>
      <c r="R20" s="8"/>
    </row>
    <row r="21" spans="1:19" ht="13.5" hidden="1" x14ac:dyDescent="0.3">
      <c r="A2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1" s="8" t="str">
        <f>Tabela2[[#This Row],[CATEGORIA]]&amp;Tabela2[[#This Row],[CURSOS]]&amp;"LAP - "&amp;Tabela2[[#This Row],[POLO]]</f>
        <v>ENF-INS (Multidisciplinar II)EMF-ISNLAP - Baturité/CE</v>
      </c>
      <c r="C21" s="8" t="str">
        <f>Tabela2[[#This Row],[CATEGORIA]]&amp;Tabela2[[#This Row],[CURSOS]]</f>
        <v>ENF-INS (Multidisciplinar II)EMF-ISN</v>
      </c>
      <c r="D21" s="8" t="str">
        <f>IF(Tabela2[[#This Row],[SITUAÇÃO]]&lt;&gt;"Demitido",CONCATENATE(Tabela2[[#This Row],[POLO]],Tabela2[[#This Row],[CURSOS]]),"Substituição")</f>
        <v>Substituição</v>
      </c>
      <c r="E21" s="8" t="s">
        <v>21</v>
      </c>
      <c r="F21" s="67" t="s">
        <v>22</v>
      </c>
      <c r="G21" s="67" t="s">
        <v>87</v>
      </c>
      <c r="H21" s="9" t="str">
        <f>PROPER("ALINE CAMURCA MESQUITA")</f>
        <v>Aline Camurca Mesquita</v>
      </c>
      <c r="I21" s="71" t="str">
        <f>IFERROR(_xlfn.XLOOKUP(Tabela2[[#This Row],[CHAPA]],TUT.CONTROL!F:F,TUT.CONTROL!I:I),_xlfn.XLOOKUP(Tabela2[[#This Row],[CHAPA]],'REG.CONTROL'!F:F,'REG.CONTROL'!I:I))</f>
        <v>Demitido</v>
      </c>
      <c r="J21" s="17">
        <f>IFERROR(_xlfn.XLOOKUP(Tabela2[[#This Row],[NOME DO TUTOR]],'REG.CONTROL'!C:C,'REG.CONTROL'!G:G),"Demitido")</f>
        <v>45048</v>
      </c>
      <c r="K21" s="19">
        <v>85996297339</v>
      </c>
      <c r="L21" s="22">
        <f>IFERROR(_xlfn.XLOOKUP(Tabela2[[#This Row],[NOME DO TUTOR]],'REG.CONTROL'!C:C,'REG.CONTROL'!F:F),"Demitido")</f>
        <v>1004011951</v>
      </c>
      <c r="M21" s="8" t="s">
        <v>90</v>
      </c>
      <c r="N21" s="11" t="str">
        <f>IFERROR(_xlfn.XLOOKUP(Tabela2[[#This Row],[CHAPA]],TUT.CONTROL!F:F,TUT.CONTROL!H:H),_xlfn.XLOOKUP(Tabela2[[#This Row],[CHAPA]],'REG.CONTROL'!F:F,'REG.CONTROL'!H:H))</f>
        <v>PROFESSOR REGENTE DE POLO (UC_1744)</v>
      </c>
      <c r="O21" s="68" t="str">
        <f>IFERROR(_xlfn.XLOOKUP(Tabela2[[#This Row],[NOME DO TUTOR]],TUT.CONTROL!C:C,TUT.CONTROL!K:K),"Demitido")</f>
        <v>004:00</v>
      </c>
      <c r="P21" s="17">
        <f>IF(Tabela2[[#This Row],[SITUAÇÃO]]="Demitido",IFERROR(_xlfn.XLOOKUP(Tabela2[[#This Row],[CHAPA]],TUT.CONTROL!F:F,TUT.CONTROL!V:V),_xlfn.XLOOKUP(Tabela2[[#This Row],[CHAPA]],'REG.CONTROL'!F:F,'REG.CONTROL'!V:V)),"-")</f>
        <v>45841</v>
      </c>
      <c r="Q21" s="66" t="s">
        <v>43</v>
      </c>
      <c r="R21" s="8"/>
    </row>
    <row r="22" spans="1:19" ht="13.5" hidden="1" x14ac:dyDescent="0.3">
      <c r="A2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2" s="8" t="str">
        <f>Tabela2[[#This Row],[CATEGORIA]]&amp;Tabela2[[#This Row],[CURSOS]]&amp;"LAP - "&amp;Tabela2[[#This Row],[POLO]]</f>
        <v>ENF-INS (Multidisciplinar II)EMF-ISNLAP - Baturité/CE</v>
      </c>
      <c r="C22" s="8" t="str">
        <f>Tabela2[[#This Row],[CATEGORIA]]&amp;Tabela2[[#This Row],[CURSOS]]</f>
        <v>ENF-INS (Multidisciplinar II)EMF-ISN</v>
      </c>
      <c r="D22" s="8" t="str">
        <f>IF(Tabela2[[#This Row],[SITUAÇÃO]]&lt;&gt;"Demitido",CONCATENATE(Tabela2[[#This Row],[POLO]],Tabela2[[#This Row],[CURSOS]]),"Substituição")</f>
        <v>Substituição</v>
      </c>
      <c r="E22" s="8" t="s">
        <v>21</v>
      </c>
      <c r="F22" s="67" t="s">
        <v>22</v>
      </c>
      <c r="G22" s="67" t="s">
        <v>87</v>
      </c>
      <c r="H22" s="9" t="s">
        <v>91</v>
      </c>
      <c r="I22" s="17" t="str">
        <f>IFERROR(_xlfn.XLOOKUP(Tabela2[[#This Row],[CHAPA]],TUT.CONTROL!F:F,TUT.CONTROL!I:I),_xlfn.XLOOKUP(Tabela2[[#This Row],[CHAPA]],'REG.CONTROL'!F:F,'REG.CONTROL'!I:I))</f>
        <v>Demitido</v>
      </c>
      <c r="J22" s="17">
        <f>IFERROR(_xlfn.XLOOKUP(Tabela2[[#This Row],[NOME DO TUTOR]],TUT.CONTROL!C:C,TUT.CONTROL!G:G),"Demitido")</f>
        <v>45901</v>
      </c>
      <c r="K22" s="19">
        <v>85997962465</v>
      </c>
      <c r="L22" s="22">
        <f>IFERROR(_xlfn.XLOOKUP(Tabela2[[#This Row],[NOME DO TUTOR]],TUT.CONTROL!C:C,TUT.CONTROL!F:F),"Demitido")</f>
        <v>1158000952</v>
      </c>
      <c r="M22" s="8" t="s">
        <v>92</v>
      </c>
      <c r="N22" s="11" t="str">
        <f>IFERROR(_xlfn.XLOOKUP(Tabela2[[#This Row],[CHAPA]],TUT.CONTROL!F:F,TUT.CONTROL!H:H),_xlfn.XLOOKUP(Tabela2[[#This Row],[CHAPA]],'REG.CONTROL'!F:F,'REG.CONTROL'!H:H))</f>
        <v>TUTOR DE PRATICA (UC_1749)</v>
      </c>
      <c r="O22" s="68" t="str">
        <f>IFERROR(_xlfn.XLOOKUP(Tabela2[[#This Row],[NOME DO TUTOR]],TUT.CONTROL!C:C,TUT.CONTROL!K:K),"Demitido")</f>
        <v>004:00</v>
      </c>
      <c r="P22" s="17">
        <f>IF(Tabela2[[#This Row],[SITUAÇÃO]]="Demitido",IFERROR(_xlfn.XLOOKUP(Tabela2[[#This Row],[CHAPA]],TUT.CONTROL!F:F,TUT.CONTROL!V:V),_xlfn.XLOOKUP(Tabela2[[#This Row],[CHAPA]],'REG.CONTROL'!F:F,'REG.CONTROL'!V:V)),"-")</f>
        <v>45931</v>
      </c>
      <c r="Q22" s="66" t="s">
        <v>43</v>
      </c>
      <c r="R22" s="8"/>
      <c r="S22" s="8"/>
    </row>
    <row r="23" spans="1:19" ht="13.5" hidden="1" x14ac:dyDescent="0.3">
      <c r="A2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Belém/PA - São BrásEMF-ISNENF-INS (Multidisciplinar II)</v>
      </c>
      <c r="B23" s="8" t="str">
        <f>Tabela2[[#This Row],[CATEGORIA]]&amp;Tabela2[[#This Row],[CURSOS]]&amp;"LAP - "&amp;Tabela2[[#This Row],[POLO]]</f>
        <v>ENF-INS (Multidisciplinar II)EMF-ISNLAP - Belém/PA - São Brás</v>
      </c>
      <c r="C23" s="8" t="str">
        <f>Tabela2[[#This Row],[CATEGORIA]]&amp;Tabela2[[#This Row],[CURSOS]]</f>
        <v>ENF-INS (Multidisciplinar II)EMF-ISN</v>
      </c>
      <c r="D23" s="8" t="str">
        <f>IF(Tabela2[[#This Row],[SITUAÇÃO]]&lt;&gt;"Demitido",CONCATENATE(Tabela2[[#This Row],[POLO]],Tabela2[[#This Row],[CURSOS]]),"Substituição")</f>
        <v>Belém/PA - São BrásEMF-ISN</v>
      </c>
      <c r="E23" s="8" t="s">
        <v>21</v>
      </c>
      <c r="F23" s="67" t="s">
        <v>22</v>
      </c>
      <c r="G23" s="67" t="s">
        <v>93</v>
      </c>
      <c r="H23" s="9" t="s">
        <v>94</v>
      </c>
      <c r="I23" s="17" t="str">
        <f>IFERROR(_xlfn.XLOOKUP(Tabela2[[#This Row],[CHAPA]],TUT.CONTROL!F:F,TUT.CONTROL!I:I),_xlfn.XLOOKUP(Tabela2[[#This Row],[CHAPA]],'REG.CONTROL'!F:F,'REG.CONTROL'!I:I))</f>
        <v>Ativo</v>
      </c>
      <c r="J23" s="17">
        <f>IFERROR(_xlfn.XLOOKUP(Tabela2[[#This Row],[NOME DO TUTOR]],TUT.CONTROL!C:C,TUT.CONTROL!G:G),"Demitido")</f>
        <v>45763</v>
      </c>
      <c r="K23" s="19" t="s">
        <v>95</v>
      </c>
      <c r="L23" s="22">
        <f>IFERROR(_xlfn.XLOOKUP(Tabela2[[#This Row],[NOME DO TUTOR]],TUT.CONTROL!C:C,TUT.CONTROL!F:F),"Demitido")</f>
        <v>1158000707</v>
      </c>
      <c r="M23" s="8" t="s">
        <v>96</v>
      </c>
      <c r="N23" s="11" t="str">
        <f>IFERROR(_xlfn.XLOOKUP(Tabela2[[#This Row],[CHAPA]],TUT.CONTROL!F:F,TUT.CONTROL!H:H),_xlfn.XLOOKUP(Tabela2[[#This Row],[CHAPA]],'REG.CONTROL'!F:F,'REG.CONTROL'!H:H))</f>
        <v>TUTOR DE PRATICA (UC_1749)</v>
      </c>
      <c r="O23" s="68" t="str">
        <f>IFERROR(_xlfn.XLOOKUP(Tabela2[[#This Row],[NOME DO TUTOR]],TUT.CONTROL!C:C,TUT.CONTROL!K:K),"Demitido")</f>
        <v>004:00</v>
      </c>
      <c r="P2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3" s="66" t="s">
        <v>30</v>
      </c>
      <c r="R23" s="8" t="s">
        <v>26</v>
      </c>
      <c r="S23" s="8">
        <v>52266</v>
      </c>
    </row>
    <row r="24" spans="1:19" ht="13.5" hidden="1" customHeight="1" x14ac:dyDescent="0.3">
      <c r="A2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Belo Horizonte/MG - BarreiroEMF-ISNENF-INS (Multidisciplinar II)</v>
      </c>
      <c r="B24" s="8" t="str">
        <f>Tabela2[[#This Row],[CATEGORIA]]&amp;Tabela2[[#This Row],[CURSOS]]&amp;"LAP - "&amp;Tabela2[[#This Row],[POLO]]</f>
        <v>ENF-INS (Multidisciplinar II)EMF-ISNLAP - Belo Horizonte/MG - Barreiro</v>
      </c>
      <c r="C24" s="8" t="str">
        <f>Tabela2[[#This Row],[CATEGORIA]]&amp;Tabela2[[#This Row],[CURSOS]]</f>
        <v>ENF-INS (Multidisciplinar II)EMF-ISN</v>
      </c>
      <c r="D24" s="8" t="str">
        <f>IF(Tabela2[[#This Row],[SITUAÇÃO]]&lt;&gt;"Demitido",CONCATENATE(Tabela2[[#This Row],[POLO]],Tabela2[[#This Row],[CURSOS]]),"Substituição")</f>
        <v>Belo Horizonte/MG - BarreiroEMF-ISN</v>
      </c>
      <c r="E24" s="8" t="s">
        <v>21</v>
      </c>
      <c r="F24" s="67" t="s">
        <v>22</v>
      </c>
      <c r="G24" s="67" t="s">
        <v>97</v>
      </c>
      <c r="H24" s="9" t="s">
        <v>98</v>
      </c>
      <c r="I24" s="17" t="str">
        <f>IFERROR(_xlfn.XLOOKUP(Tabela2[[#This Row],[CHAPA]],TUT.CONTROL!F:F,TUT.CONTROL!I:I),_xlfn.XLOOKUP(Tabela2[[#This Row],[CHAPA]],'REG.CONTROL'!F:F,'REG.CONTROL'!I:I))</f>
        <v>Ativo</v>
      </c>
      <c r="J24" s="17">
        <f>IFERROR(_xlfn.XLOOKUP(Tabela2[[#This Row],[NOME DO TUTOR]],TUT.CONTROL!C:C,TUT.CONTROL!G:G),"Demitido")</f>
        <v>45796</v>
      </c>
      <c r="K24" s="19">
        <v>31991693997</v>
      </c>
      <c r="L24" s="22">
        <f>IFERROR(_xlfn.XLOOKUP(Tabela2[[#This Row],[NOME DO TUTOR]],TUT.CONTROL!C:C,TUT.CONTROL!F:F),"Demitido")</f>
        <v>1158000641</v>
      </c>
      <c r="M24" s="8" t="s">
        <v>99</v>
      </c>
      <c r="N24" s="11" t="str">
        <f>IFERROR(_xlfn.XLOOKUP(Tabela2[[#This Row],[CHAPA]],TUT.CONTROL!F:F,TUT.CONTROL!H:H),_xlfn.XLOOKUP(Tabela2[[#This Row],[CHAPA]],'REG.CONTROL'!F:F,'REG.CONTROL'!H:H))</f>
        <v>TUTOR DE PRATICA (UC_1749)</v>
      </c>
      <c r="O24" s="68" t="str">
        <f>IFERROR(_xlfn.XLOOKUP(Tabela2[[#This Row],[NOME DO TUTOR]],TUT.CONTROL!C:C,TUT.CONTROL!K:K),"Demitido")</f>
        <v>004:00</v>
      </c>
      <c r="P2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4" s="66" t="s">
        <v>30</v>
      </c>
      <c r="R24" s="8" t="s">
        <v>100</v>
      </c>
      <c r="S24" s="8">
        <v>712824</v>
      </c>
    </row>
    <row r="25" spans="1:19" ht="13.5" hidden="1" x14ac:dyDescent="0.4">
      <c r="A2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5" s="8" t="str">
        <f>Tabela2[[#This Row],[CATEGORIA]]&amp;Tabela2[[#This Row],[CURSOS]]&amp;"LAP - "&amp;Tabela2[[#This Row],[POLO]]</f>
        <v>ENF-INS (Multidisciplinar II)EMF-ISNLAP - Belo Horizonte/MG - Shopping Estação BH</v>
      </c>
      <c r="C25" s="8" t="str">
        <f>Tabela2[[#This Row],[CATEGORIA]]&amp;Tabela2[[#This Row],[CURSOS]]</f>
        <v>ENF-INS (Multidisciplinar II)EMF-ISN</v>
      </c>
      <c r="D25" s="8" t="str">
        <f>IF(Tabela2[[#This Row],[SITUAÇÃO]]&lt;&gt;"Demitido",CONCATENATE(Tabela2[[#This Row],[POLO]],Tabela2[[#This Row],[CURSOS]]),"Substituição")</f>
        <v>Substituição</v>
      </c>
      <c r="E25" s="8" t="s">
        <v>21</v>
      </c>
      <c r="F25" s="67" t="s">
        <v>22</v>
      </c>
      <c r="G25" s="67" t="s">
        <v>101</v>
      </c>
      <c r="H25" s="9" t="s">
        <v>102</v>
      </c>
      <c r="I25" s="71" t="str">
        <f>IFERROR(_xlfn.XLOOKUP(Tabela2[[#This Row],[CHAPA]],TUT.CONTROL!F:F,TUT.CONTROL!I:I),_xlfn.XLOOKUP(Tabela2[[#This Row],[CHAPA]],'REG.CONTROL'!F:F,'REG.CONTROL'!I:I))</f>
        <v>Demitido</v>
      </c>
      <c r="J25" s="17">
        <f>IFERROR(_xlfn.XLOOKUP(Tabela2[[#This Row],[NOME DO TUTOR]],'REG.CONTROL'!C:C,'REG.CONTROL'!G:G),"Demitido")</f>
        <v>44840</v>
      </c>
      <c r="K25" s="19">
        <v>31987848509</v>
      </c>
      <c r="L25" s="22">
        <f>IFERROR(_xlfn.XLOOKUP(Tabela2[[#This Row],[NOME DO TUTOR]],'REG.CONTROL'!C:C,'REG.CONTROL'!F:F),"Demitido")</f>
        <v>1004010883</v>
      </c>
      <c r="M25" s="8" t="s">
        <v>103</v>
      </c>
      <c r="N25" s="11" t="str">
        <f>IFERROR(_xlfn.XLOOKUP(Tabela2[[#This Row],[CHAPA]],TUT.CONTROL!F:F,TUT.CONTROL!H:H),_xlfn.XLOOKUP(Tabela2[[#This Row],[CHAPA]],'REG.CONTROL'!F:F,'REG.CONTROL'!H:H))</f>
        <v>PROFESSOR REGENTE DE POLO (UC_1744)</v>
      </c>
      <c r="O25" s="68" t="str">
        <f>IFERROR(_xlfn.XLOOKUP(Tabela2[[#This Row],[NOME DO TUTOR]],'REGENTE CH'!A:A,'REGENTE CH'!C:C),"Atualizar")</f>
        <v>004:00</v>
      </c>
      <c r="P25" s="17">
        <f>IF(Tabela2[[#This Row],[SITUAÇÃO]]="Demitido",IFERROR(_xlfn.XLOOKUP(Tabela2[[#This Row],[CHAPA]],TUT.CONTROL!F:F,TUT.CONTROL!V:V),_xlfn.XLOOKUP(Tabela2[[#This Row],[CHAPA]],'REG.CONTROL'!F:F,'REG.CONTROL'!V:V)),"-")</f>
        <v>46083</v>
      </c>
      <c r="Q25" s="66" t="s">
        <v>43</v>
      </c>
      <c r="R25" s="12" t="s">
        <v>100</v>
      </c>
      <c r="S25" s="12">
        <v>293520</v>
      </c>
    </row>
    <row r="26" spans="1:19" ht="13.5" hidden="1" x14ac:dyDescent="0.4">
      <c r="A2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6" s="8" t="str">
        <f>Tabela2[[#This Row],[CATEGORIA]]&amp;Tabela2[[#This Row],[CURSOS]]&amp;"LAP - "&amp;Tabela2[[#This Row],[POLO]]</f>
        <v>ENF-INS (Multidisciplinar II)EMF-ISNLAP - Belo Horizonte/MG - Shopping Estação BH</v>
      </c>
      <c r="C26" s="8" t="str">
        <f>Tabela2[[#This Row],[CATEGORIA]]&amp;Tabela2[[#This Row],[CURSOS]]</f>
        <v>ENF-INS (Multidisciplinar II)EMF-ISN</v>
      </c>
      <c r="D26" s="8" t="str">
        <f>IF(Tabela2[[#This Row],[SITUAÇÃO]]&lt;&gt;"Demitido",CONCATENATE(Tabela2[[#This Row],[POLO]],Tabela2[[#This Row],[CURSOS]]),"Substituição")</f>
        <v>Substituição</v>
      </c>
      <c r="E26" s="8" t="s">
        <v>21</v>
      </c>
      <c r="F26" s="67" t="s">
        <v>22</v>
      </c>
      <c r="G26" s="67" t="s">
        <v>101</v>
      </c>
      <c r="H26" s="9" t="s">
        <v>104</v>
      </c>
      <c r="I26" s="71" t="str">
        <f>IFERROR(_xlfn.XLOOKUP(Tabela2[[#This Row],[CHAPA]],TUT.CONTROL!F:F,TUT.CONTROL!I:I),_xlfn.XLOOKUP(Tabela2[[#This Row],[CHAPA]],'REG.CONTROL'!F:F,'REG.CONTROL'!I:I))</f>
        <v>Demitido</v>
      </c>
      <c r="J26" s="17">
        <f>IFERROR(_xlfn.XLOOKUP(Tabela2[[#This Row],[NOME DO TUTOR]],TUT.CONTROL!C:C,TUT.CONTROL!G:G),"Demitido")</f>
        <v>45908</v>
      </c>
      <c r="K26" s="19">
        <v>31983580817</v>
      </c>
      <c r="L26" s="22">
        <f>IFERROR(_xlfn.XLOOKUP(Tabela2[[#This Row],[NOME DO TUTOR]],TUT.CONTROL!C:C,TUT.CONTROL!F:F),"Demitido")</f>
        <v>1158000962</v>
      </c>
      <c r="M26" s="8" t="s">
        <v>105</v>
      </c>
      <c r="N26" s="11" t="str">
        <f>IFERROR(_xlfn.XLOOKUP(Tabela2[[#This Row],[CHAPA]],TUT.CONTROL!F:F,TUT.CONTROL!H:H),_xlfn.XLOOKUP(Tabela2[[#This Row],[CHAPA]],'REG.CONTROL'!F:F,'REG.CONTROL'!H:H))</f>
        <v>TUTOR DE PRATICA (UC_1749)</v>
      </c>
      <c r="O26" s="68" t="str">
        <f>IFERROR(_xlfn.XLOOKUP(Tabela2[[#This Row],[NOME DO TUTOR]],TUT.CONTROL!C:C,TUT.CONTROL!K:K),"Demitido")</f>
        <v>004:00</v>
      </c>
      <c r="P26" s="17">
        <f>IF(Tabela2[[#This Row],[SITUAÇÃO]]="Demitido",IFERROR(_xlfn.XLOOKUP(Tabela2[[#This Row],[CHAPA]],TUT.CONTROL!F:F,TUT.CONTROL!V:V),_xlfn.XLOOKUP(Tabela2[[#This Row],[CHAPA]],'REG.CONTROL'!F:F,'REG.CONTROL'!V:V)),"-")</f>
        <v>45940</v>
      </c>
      <c r="Q26" s="66" t="s">
        <v>43</v>
      </c>
      <c r="R26" s="12" t="s">
        <v>100</v>
      </c>
      <c r="S26" s="12">
        <v>698.02599999999995</v>
      </c>
    </row>
    <row r="27" spans="1:19" ht="13.5" hidden="1" x14ac:dyDescent="0.3">
      <c r="A2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7" s="8" t="str">
        <f>Tabela2[[#This Row],[CATEGORIA]]&amp;Tabela2[[#This Row],[CURSOS]]&amp;"LAP - "&amp;Tabela2[[#This Row],[POLO]]</f>
        <v>ENF-INS (Multidisciplinar II)EMF-ISNLAP - Bento Gonçalves/RS</v>
      </c>
      <c r="C27" s="8" t="str">
        <f>Tabela2[[#This Row],[CATEGORIA]]&amp;Tabela2[[#This Row],[CURSOS]]</f>
        <v>ENF-INS (Multidisciplinar II)EMF-ISN</v>
      </c>
      <c r="D27" s="8" t="str">
        <f>IF(Tabela2[[#This Row],[SITUAÇÃO]]&lt;&gt;"Demitido",CONCATENATE(Tabela2[[#This Row],[POLO]],Tabela2[[#This Row],[CURSOS]]),"Substituição")</f>
        <v>Substituição</v>
      </c>
      <c r="E27" s="8" t="s">
        <v>21</v>
      </c>
      <c r="F27" s="67" t="s">
        <v>22</v>
      </c>
      <c r="G27" s="67" t="s">
        <v>106</v>
      </c>
      <c r="H27" s="9" t="s">
        <v>107</v>
      </c>
      <c r="I27" s="71" t="str">
        <f>IFERROR(_xlfn.XLOOKUP(Tabela2[[#This Row],[CHAPA]],TUT.CONTROL!F:F,TUT.CONTROL!I:I),_xlfn.XLOOKUP(Tabela2[[#This Row],[CHAPA]],'REG.CONTROL'!F:F,'REG.CONTROL'!I:I))</f>
        <v>Demitido</v>
      </c>
      <c r="J27" s="17">
        <f>IFERROR(_xlfn.XLOOKUP(Tabela2[[#This Row],[NOME DO TUTOR]],TUT.CONTROL!C:C,TUT.CONTROL!G:G),"Demitido")</f>
        <v>45735</v>
      </c>
      <c r="K27" s="19">
        <v>53981047737</v>
      </c>
      <c r="L27" s="22">
        <f>IFERROR(_xlfn.XLOOKUP(Tabela2[[#This Row],[NOME DO TUTOR]],TUT.CONTROL!C:C,TUT.CONTROL!F:F),"Demitido")</f>
        <v>1158000572</v>
      </c>
      <c r="M27" s="8" t="s">
        <v>108</v>
      </c>
      <c r="N27" s="11" t="str">
        <f>IFERROR(_xlfn.XLOOKUP(Tabela2[[#This Row],[CHAPA]],TUT.CONTROL!F:F,TUT.CONTROL!H:H),_xlfn.XLOOKUP(Tabela2[[#This Row],[CHAPA]],'REG.CONTROL'!F:F,'REG.CONTROL'!H:H))</f>
        <v>TUTOR DE PRATICA (UC_1749)</v>
      </c>
      <c r="O27" s="68" t="str">
        <f>IFERROR(_xlfn.XLOOKUP(Tabela2[[#This Row],[NOME DO TUTOR]],TUT.CONTROL!C:C,TUT.CONTROL!K:K),"Demitido")</f>
        <v>004:00</v>
      </c>
      <c r="P27" s="17">
        <f>IF(Tabela2[[#This Row],[SITUAÇÃO]]="Demitido",IFERROR(_xlfn.XLOOKUP(Tabela2[[#This Row],[CHAPA]],TUT.CONTROL!F:F,TUT.CONTROL!V:V),_xlfn.XLOOKUP(Tabela2[[#This Row],[CHAPA]],'REG.CONTROL'!F:F,'REG.CONTROL'!V:V)),"-")</f>
        <v>46072</v>
      </c>
      <c r="Q27" s="66" t="s">
        <v>43</v>
      </c>
      <c r="R27" s="8" t="s">
        <v>109</v>
      </c>
      <c r="S27" s="8">
        <v>655325</v>
      </c>
    </row>
    <row r="28" spans="1:19" ht="13.5" hidden="1" x14ac:dyDescent="0.3">
      <c r="A2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8" s="8" t="str">
        <f>Tabela2[[#This Row],[CATEGORIA]]&amp;Tabela2[[#This Row],[CURSOS]]&amp;"LAP - "&amp;Tabela2[[#This Row],[POLO]]</f>
        <v>ENF-INS (Multidisciplinar II)EMF-ISNLAP - Blumenau/SC - Salto Do Norte (Centro Universitário Dante)</v>
      </c>
      <c r="C28" s="8" t="str">
        <f>Tabela2[[#This Row],[CATEGORIA]]&amp;Tabela2[[#This Row],[CURSOS]]</f>
        <v>ENF-INS (Multidisciplinar II)EMF-ISN</v>
      </c>
      <c r="D28" s="8" t="str">
        <f>IF(Tabela2[[#This Row],[SITUAÇÃO]]&lt;&gt;"Demitido",CONCATENATE(Tabela2[[#This Row],[POLO]],Tabela2[[#This Row],[CURSOS]]),"Substituição")</f>
        <v>Substituição</v>
      </c>
      <c r="E28" s="8" t="s">
        <v>21</v>
      </c>
      <c r="F28" s="67" t="s">
        <v>22</v>
      </c>
      <c r="G28" s="67" t="s">
        <v>110</v>
      </c>
      <c r="H28" s="9" t="s">
        <v>111</v>
      </c>
      <c r="I28" s="17" t="str">
        <f>IFERROR(_xlfn.XLOOKUP(Tabela2[[#This Row],[CHAPA]],TUT.CONTROL!F:F,TUT.CONTROL!I:I),_xlfn.XLOOKUP(Tabela2[[#This Row],[CHAPA]],'REG.CONTROL'!F:F,'REG.CONTROL'!I:I))</f>
        <v>Demitido</v>
      </c>
      <c r="J28" s="17">
        <f>IFERROR(_xlfn.XLOOKUP(Tabela2[[#This Row],[NOME DO TUTOR]],TUT.CONTROL!C:C,TUT.CONTROL!G:G),"Demitido")</f>
        <v>45754</v>
      </c>
      <c r="K28" s="19" t="s">
        <v>112</v>
      </c>
      <c r="L28" s="22">
        <f>IFERROR(_xlfn.XLOOKUP(Tabela2[[#This Row],[NOME DO TUTOR]],TUT.CONTROL!C:C,TUT.CONTROL!F:F),"Demitido")</f>
        <v>1158000709</v>
      </c>
      <c r="M28" s="8" t="s">
        <v>113</v>
      </c>
      <c r="N28" s="11" t="str">
        <f>IFERROR(_xlfn.XLOOKUP(Tabela2[[#This Row],[CHAPA]],TUT.CONTROL!F:F,TUT.CONTROL!H:H),_xlfn.XLOOKUP(Tabela2[[#This Row],[CHAPA]],'REG.CONTROL'!F:F,'REG.CONTROL'!H:H))</f>
        <v>TUTOR DE PRATICA (UC_1749)</v>
      </c>
      <c r="O28" s="68" t="str">
        <f>IFERROR(_xlfn.XLOOKUP(Tabela2[[#This Row],[NOME DO TUTOR]],TUT.CONTROL!C:C,TUT.CONTROL!K:K),"Demitido")</f>
        <v>004:00</v>
      </c>
      <c r="P28" s="17">
        <f>IF(Tabela2[[#This Row],[SITUAÇÃO]]="Demitido",IFERROR(_xlfn.XLOOKUP(Tabela2[[#This Row],[CHAPA]],TUT.CONTROL!F:F,TUT.CONTROL!V:V),_xlfn.XLOOKUP(Tabela2[[#This Row],[CHAPA]],'REG.CONTROL'!F:F,'REG.CONTROL'!V:V)),"-")</f>
        <v>45888</v>
      </c>
      <c r="Q28" s="66" t="s">
        <v>43</v>
      </c>
      <c r="R28" s="8"/>
      <c r="S28" s="8"/>
    </row>
    <row r="29" spans="1:19" ht="13.5" hidden="1" x14ac:dyDescent="0.3">
      <c r="A2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Boa Viagem/CEEMF-ISNENF-INS (Multidisciplinar II)</v>
      </c>
      <c r="B29" s="8" t="str">
        <f>Tabela2[[#This Row],[CATEGORIA]]&amp;Tabela2[[#This Row],[CURSOS]]&amp;"LAP - "&amp;Tabela2[[#This Row],[POLO]]</f>
        <v>ENF-INS (Multidisciplinar II)EMF-ISNLAP - Boa Viagem/CE</v>
      </c>
      <c r="C29" s="8" t="str">
        <f>Tabela2[[#This Row],[CATEGORIA]]&amp;Tabela2[[#This Row],[CURSOS]]</f>
        <v>ENF-INS (Multidisciplinar II)EMF-ISN</v>
      </c>
      <c r="D29" s="8" t="str">
        <f>IF(Tabela2[[#This Row],[SITUAÇÃO]]&lt;&gt;"Demitido",CONCATENATE(Tabela2[[#This Row],[POLO]],Tabela2[[#This Row],[CURSOS]]),"Substituição")</f>
        <v>Boa Viagem/CEEMF-ISN</v>
      </c>
      <c r="E29" s="8" t="s">
        <v>21</v>
      </c>
      <c r="F29" s="67" t="s">
        <v>22</v>
      </c>
      <c r="G29" s="67" t="s">
        <v>114</v>
      </c>
      <c r="H29" s="9" t="s">
        <v>115</v>
      </c>
      <c r="I29" s="17" t="str">
        <f>IFERROR(_xlfn.XLOOKUP(Tabela2[[#This Row],[CHAPA]],TUT.CONTROL!F:F,TUT.CONTROL!I:I),_xlfn.XLOOKUP(Tabela2[[#This Row],[CHAPA]],'REG.CONTROL'!F:F,'REG.CONTROL'!I:I))</f>
        <v>Ativo</v>
      </c>
      <c r="J29" s="17">
        <f>IFERROR(_xlfn.XLOOKUP(Tabela2[[#This Row],[NOME DO TUTOR]],TUT.CONTROL!C:C,TUT.CONTROL!G:G),"Atualizar")</f>
        <v>46118</v>
      </c>
      <c r="K29" s="19">
        <v>88988029822</v>
      </c>
      <c r="L29" s="22">
        <f>IFERROR(_xlfn.XLOOKUP(Tabela2[[#This Row],[NOME DO TUTOR]],TUT.CONTROL!C:C,TUT.CONTROL!F:F),"Atualizar")</f>
        <v>1158001197</v>
      </c>
      <c r="M29" s="8" t="s">
        <v>116</v>
      </c>
      <c r="N29" s="11" t="str">
        <f>IFERROR(_xlfn.XLOOKUP(Tabela2[[#This Row],[CHAPA]],TUT.CONTROL!F:F,TUT.CONTROL!H:H),_xlfn.XLOOKUP(Tabela2[[#This Row],[CHAPA]],'REG.CONTROL'!F:F,'REG.CONTROL'!H:H))</f>
        <v>TUTOR DE PRATICA (UC_1749)</v>
      </c>
      <c r="O29" s="70" t="str">
        <f>IFERROR(_xlfn.XLOOKUP(Tabela2[[#This Row],[NOME DO TUTOR]],TUT.CONTROL!C:C,TUT.CONTROL!K:K),"Atualizar")</f>
        <v>004:00</v>
      </c>
      <c r="P2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9" s="66"/>
      <c r="R29" s="8"/>
    </row>
    <row r="30" spans="1:19" ht="13.5" hidden="1" x14ac:dyDescent="0.3">
      <c r="A3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0" s="8" t="str">
        <f>Tabela2[[#This Row],[CATEGORIA]]&amp;Tabela2[[#This Row],[CURSOS]]&amp;"LAP - "&amp;Tabela2[[#This Row],[POLO]]</f>
        <v>ENF-INS (Multidisciplinar II)EMF-ISNLAP - Boa Viagem/CE</v>
      </c>
      <c r="C30" s="8" t="str">
        <f>Tabela2[[#This Row],[CATEGORIA]]&amp;Tabela2[[#This Row],[CURSOS]]</f>
        <v>ENF-INS (Multidisciplinar II)EMF-ISN</v>
      </c>
      <c r="D30" s="8" t="str">
        <f>IF(Tabela2[[#This Row],[SITUAÇÃO]]&lt;&gt;"Demitido",CONCATENATE(Tabela2[[#This Row],[POLO]],Tabela2[[#This Row],[CURSOS]]),"Substituição")</f>
        <v>Substituição</v>
      </c>
      <c r="E30" s="8" t="s">
        <v>21</v>
      </c>
      <c r="F30" s="67" t="s">
        <v>22</v>
      </c>
      <c r="G30" s="67" t="s">
        <v>114</v>
      </c>
      <c r="H30" s="9" t="s">
        <v>117</v>
      </c>
      <c r="I30" s="17" t="str">
        <f>IFERROR(_xlfn.XLOOKUP(Tabela2[[#This Row],[CHAPA]],TUT.CONTROL!F:F,TUT.CONTROL!I:I),_xlfn.XLOOKUP(Tabela2[[#This Row],[CHAPA]],'REG.CONTROL'!F:F,'REG.CONTROL'!I:I))</f>
        <v>Demitido</v>
      </c>
      <c r="J30" s="17">
        <f>IFERROR(_xlfn.XLOOKUP(Tabela2[[#This Row],[NOME DO TUTOR]],TUT.CONTROL!C:C,TUT.CONTROL!G:G),"Demitido")</f>
        <v>45735</v>
      </c>
      <c r="K30" s="19">
        <v>85992009088</v>
      </c>
      <c r="L30" s="22">
        <f>IFERROR(_xlfn.XLOOKUP(Tabela2[[#This Row],[NOME DO TUTOR]],TUT.CONTROL!C:C,TUT.CONTROL!F:F),"Demitido")</f>
        <v>1158000576</v>
      </c>
      <c r="M30" s="8" t="s">
        <v>118</v>
      </c>
      <c r="N30" s="11" t="str">
        <f>IFERROR(_xlfn.XLOOKUP(Tabela2[[#This Row],[CHAPA]],TUT.CONTROL!F:F,TUT.CONTROL!H:H),_xlfn.XLOOKUP(Tabela2[[#This Row],[CHAPA]],'REG.CONTROL'!F:F,'REG.CONTROL'!H:H))</f>
        <v>TUTOR DE PRATICA (UC_1749)</v>
      </c>
      <c r="O30" s="68" t="str">
        <f>IFERROR(_xlfn.XLOOKUP(Tabela2[[#This Row],[NOME DO TUTOR]],TUT.CONTROL!C:C,TUT.CONTROL!K:K),"Demitido")</f>
        <v>004:00</v>
      </c>
      <c r="P30" s="17">
        <f>IF(Tabela2[[#This Row],[SITUAÇÃO]]="Demitido",IFERROR(_xlfn.XLOOKUP(Tabela2[[#This Row],[CHAPA]],TUT.CONTROL!F:F,TUT.CONTROL!V:V),_xlfn.XLOOKUP(Tabela2[[#This Row],[CHAPA]],'REG.CONTROL'!F:F,'REG.CONTROL'!V:V)),"-")</f>
        <v>45919</v>
      </c>
      <c r="Q30" s="66" t="s">
        <v>43</v>
      </c>
      <c r="R30" s="8" t="s">
        <v>31</v>
      </c>
      <c r="S30" s="8">
        <v>589632</v>
      </c>
    </row>
    <row r="31" spans="1:19" ht="13.5" hidden="1" x14ac:dyDescent="0.4">
      <c r="A3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Boa Vista/RR - CentroEMF-ISNENF-INS (Multidisciplinar II)</v>
      </c>
      <c r="B31" s="8" t="str">
        <f>Tabela2[[#This Row],[CATEGORIA]]&amp;Tabela2[[#This Row],[CURSOS]]&amp;"LAP - "&amp;Tabela2[[#This Row],[POLO]]</f>
        <v>ENF-INS (Multidisciplinar II)EMF-ISNLAP - Boa Vista/RR - Centro</v>
      </c>
      <c r="C31" s="8" t="str">
        <f>Tabela2[[#This Row],[CATEGORIA]]&amp;Tabela2[[#This Row],[CURSOS]]</f>
        <v>ENF-INS (Multidisciplinar II)EMF-ISN</v>
      </c>
      <c r="D31" s="8" t="str">
        <f>IF(Tabela2[[#This Row],[SITUAÇÃO]]&lt;&gt;"Demitido",CONCATENATE(Tabela2[[#This Row],[POLO]],Tabela2[[#This Row],[CURSOS]]),"Substituição")</f>
        <v>Boa Vista/RR - CentroEMF-ISN</v>
      </c>
      <c r="E31" s="8" t="s">
        <v>21</v>
      </c>
      <c r="F31" s="67" t="s">
        <v>22</v>
      </c>
      <c r="G31" s="67" t="s">
        <v>119</v>
      </c>
      <c r="H31" s="9" t="s">
        <v>120</v>
      </c>
      <c r="I31" s="17" t="str">
        <f>IFERROR(_xlfn.XLOOKUP(Tabela2[[#This Row],[CHAPA]],TUT.CONTROL!F:F,TUT.CONTROL!I:I),_xlfn.XLOOKUP(Tabela2[[#This Row],[CHAPA]],'REG.CONTROL'!F:F,'REG.CONTROL'!I:I))</f>
        <v>Ativo</v>
      </c>
      <c r="J31" s="17">
        <f>IFERROR(_xlfn.XLOOKUP(Tabela2[[#This Row],[NOME DO TUTOR]],TUT.CONTROL!C:C,TUT.CONTROL!G:G),"Atualizar")</f>
        <v>46118</v>
      </c>
      <c r="K31" s="19">
        <v>95991389750</v>
      </c>
      <c r="L31" s="22">
        <f>IFERROR(_xlfn.XLOOKUP(Tabela2[[#This Row],[NOME DO TUTOR]],TUT.CONTROL!C:C,TUT.CONTROL!F:F),"Atualizar")</f>
        <v>1158001184</v>
      </c>
      <c r="M31" s="8" t="s">
        <v>121</v>
      </c>
      <c r="N31" s="11" t="str">
        <f>IFERROR(_xlfn.XLOOKUP(Tabela2[[#This Row],[CHAPA]],TUT.CONTROL!F:F,TUT.CONTROL!H:H),_xlfn.XLOOKUP(Tabela2[[#This Row],[CHAPA]],'REG.CONTROL'!F:F,'REG.CONTROL'!H:H))</f>
        <v>TUTOR DE PRATICA (UC_1749)</v>
      </c>
      <c r="O31" s="70" t="str">
        <f>IFERROR(_xlfn.XLOOKUP(Tabela2[[#This Row],[NOME DO TUTOR]],TUT.CONTROL!C:C,TUT.CONTROL!K:K),"Atualizar")</f>
        <v>004:00</v>
      </c>
      <c r="P3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1" s="66"/>
      <c r="R31" s="8"/>
      <c r="S31" s="86">
        <v>113839</v>
      </c>
    </row>
    <row r="32" spans="1:19" ht="13.5" hidden="1" x14ac:dyDescent="0.3">
      <c r="A3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2" s="8" t="str">
        <f>Tabela2[[#This Row],[CATEGORIA]]&amp;Tabela2[[#This Row],[CURSOS]]&amp;"LAP - "&amp;Tabela2[[#This Row],[POLO]]</f>
        <v>ENF-INS (Multidisciplinar II)EMF-ISNLAP - Boa Vista/RR - Centro</v>
      </c>
      <c r="C32" s="8" t="str">
        <f>Tabela2[[#This Row],[CATEGORIA]]&amp;Tabela2[[#This Row],[CURSOS]]</f>
        <v>ENF-INS (Multidisciplinar II)EMF-ISN</v>
      </c>
      <c r="D32" s="8" t="str">
        <f>IF(Tabela2[[#This Row],[SITUAÇÃO]]&lt;&gt;"Demitido",CONCATENATE(Tabela2[[#This Row],[POLO]],Tabela2[[#This Row],[CURSOS]]),"Substituição")</f>
        <v>Substituição</v>
      </c>
      <c r="E32" s="8" t="s">
        <v>21</v>
      </c>
      <c r="F32" s="67" t="s">
        <v>22</v>
      </c>
      <c r="G32" s="67" t="s">
        <v>119</v>
      </c>
      <c r="H32" s="9" t="s">
        <v>122</v>
      </c>
      <c r="I32" s="17" t="str">
        <f>IFERROR(_xlfn.XLOOKUP(Tabela2[[#This Row],[CHAPA]],TUT.CONTROL!F:F,TUT.CONTROL!I:I),_xlfn.XLOOKUP(Tabela2[[#This Row],[CHAPA]],'REG.CONTROL'!F:F,'REG.CONTROL'!I:I))</f>
        <v>Demitido</v>
      </c>
      <c r="J32" s="17">
        <f>IFERROR(_xlfn.XLOOKUP(Tabela2[[#This Row],[NOME DO TUTOR]],TUT.CONTROL!C:C,TUT.CONTROL!G:G),"Demitido")</f>
        <v>45728</v>
      </c>
      <c r="K32" s="19">
        <v>95991589861</v>
      </c>
      <c r="L32" s="22">
        <f>IFERROR(_xlfn.XLOOKUP(Tabela2[[#This Row],[NOME DO TUTOR]],TUT.CONTROL!C:C,TUT.CONTROL!F:F),"Demitido")</f>
        <v>1158000543</v>
      </c>
      <c r="M32" s="8" t="s">
        <v>123</v>
      </c>
      <c r="N32" s="11" t="str">
        <f>IFERROR(_xlfn.XLOOKUP(Tabela2[[#This Row],[CHAPA]],TUT.CONTROL!F:F,TUT.CONTROL!H:H),_xlfn.XLOOKUP(Tabela2[[#This Row],[CHAPA]],'REG.CONTROL'!F:F,'REG.CONTROL'!H:H))</f>
        <v>TUTOR DE PRATICA (UC_1749)</v>
      </c>
      <c r="O32" s="68" t="str">
        <f>IFERROR(_xlfn.XLOOKUP(Tabela2[[#This Row],[NOME DO TUTOR]],TUT.CONTROL!C:C,TUT.CONTROL!K:K),"Demitido")</f>
        <v>004:00</v>
      </c>
      <c r="P32" s="17">
        <f>IF(Tabela2[[#This Row],[SITUAÇÃO]]="Demitido",IFERROR(_xlfn.XLOOKUP(Tabela2[[#This Row],[CHAPA]],TUT.CONTROL!F:F,TUT.CONTROL!V:V),_xlfn.XLOOKUP(Tabela2[[#This Row],[CHAPA]],'REG.CONTROL'!F:F,'REG.CONTROL'!V:V)),"-")</f>
        <v>45901</v>
      </c>
      <c r="Q32" s="66" t="s">
        <v>43</v>
      </c>
      <c r="R32" s="8" t="s">
        <v>124</v>
      </c>
      <c r="S32" s="8">
        <v>532138</v>
      </c>
    </row>
    <row r="33" spans="1:19" ht="13.5" hidden="1" x14ac:dyDescent="0.3">
      <c r="A3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São Raimundo Nonato/PIECE-ENM-ENS-ENG-EEA-GPI-CDE-OBR-SAN-TER-FSA-SLF-QUIENGMAKER+QUÍMICA E FÍSICA</v>
      </c>
      <c r="B33" s="8" t="str">
        <f>Tabela2[[#This Row],[CATEGORIA]]&amp;Tabela2[[#This Row],[CURSOS]]&amp;"LAP - "&amp;Tabela2[[#This Row],[POLO]]</f>
        <v>ENGMAKER+QUÍMICA E FÍSICAECE-ENM-ENS-ENG-EEA-GPI-CDE-OBR-SAN-TER-FSA-SLF-QUILAP - São Raimundo Nonato/PI</v>
      </c>
      <c r="C33" s="8" t="str">
        <f>Tabela2[[#This Row],[CATEGORIA]]&amp;Tabela2[[#This Row],[CURSOS]]</f>
        <v>ENGMAKER+QUÍMICA E FÍSICAECE-ENM-ENS-ENG-EEA-GPI-CDE-OBR-SAN-TER-FSA-SLF-QUI</v>
      </c>
      <c r="D33" s="8" t="str">
        <f>IF(Tabela2[[#This Row],[SITUAÇÃO]]&lt;&gt;"Demitido",CONCATENATE(Tabela2[[#This Row],[POLO]],Tabela2[[#This Row],[CURSOS]]),"Substituição")</f>
        <v>São Raimundo Nonato/PIECE-ENM-ENS-ENG-EEA-GPI-CDE-OBR-SAN-TER-FSA-SLF-QUI</v>
      </c>
      <c r="E33" s="8" t="s">
        <v>125</v>
      </c>
      <c r="F33" s="67" t="s">
        <v>126</v>
      </c>
      <c r="G33" s="67" t="s">
        <v>127</v>
      </c>
      <c r="H33" s="9" t="s">
        <v>128</v>
      </c>
      <c r="I33" s="17" t="str">
        <f>IFERROR(_xlfn.XLOOKUP(Tabela2[[#This Row],[CHAPA]],TUT.CONTROL!F:F,TUT.CONTROL!I:I),_xlfn.XLOOKUP(Tabela2[[#This Row],[CHAPA]],'REG.CONTROL'!F:F,'REG.CONTROL'!I:I))</f>
        <v>Ativo</v>
      </c>
      <c r="J33" s="17">
        <f>IFERROR(_xlfn.XLOOKUP(Tabela2[[#This Row],[NOME DO TUTOR]],'REG.CONTROL'!C:C,'REG.CONTROL'!G:G),"Demitido")</f>
        <v>45075</v>
      </c>
      <c r="K33" s="19" t="s">
        <v>129</v>
      </c>
      <c r="L33" s="22">
        <f>IFERROR(_xlfn.XLOOKUP(Tabela2[[#This Row],[NOME DO TUTOR]],'REG.CONTROL'!C:C,'REG.CONTROL'!F:F),"Demitido")</f>
        <v>1004012127</v>
      </c>
      <c r="M33" s="8" t="s">
        <v>130</v>
      </c>
      <c r="N33" s="11" t="str">
        <f>IFERROR(_xlfn.XLOOKUP(Tabela2[[#This Row],[CHAPA]],TUT.CONTROL!F:F,TUT.CONTROL!H:H),_xlfn.XLOOKUP(Tabela2[[#This Row],[CHAPA]],'REG.CONTROL'!F:F,'REG.CONTROL'!H:H))</f>
        <v>PROFESSOR REGENTE DE POLO (UC_1744)</v>
      </c>
      <c r="O33" s="68" t="str">
        <f>IFERROR(_xlfn.XLOOKUP(Tabela2[[#This Row],[NOME DO TUTOR]],'REGENTE CH'!A:A,'REGENTE CH'!C:C),"Atualizar")</f>
        <v>004:00</v>
      </c>
      <c r="P3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3" s="66" t="s">
        <v>30</v>
      </c>
      <c r="R33" s="8" t="s">
        <v>131</v>
      </c>
      <c r="S33" s="8">
        <v>38283</v>
      </c>
    </row>
    <row r="34" spans="1:19" ht="13.5" hidden="1" x14ac:dyDescent="0.3">
      <c r="A3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Bom Jesus das Selvas/MAEMF-ISNENF-INS (Multidisciplinar II)</v>
      </c>
      <c r="B34" s="8" t="str">
        <f>Tabela2[[#This Row],[CATEGORIA]]&amp;Tabela2[[#This Row],[CURSOS]]&amp;"LAP - "&amp;Tabela2[[#This Row],[POLO]]</f>
        <v>ENF-INS (Multidisciplinar II)EMF-ISNLAP - Bom Jesus das Selvas/MA</v>
      </c>
      <c r="C34" s="8" t="str">
        <f>Tabela2[[#This Row],[CATEGORIA]]&amp;Tabela2[[#This Row],[CURSOS]]</f>
        <v>ENF-INS (Multidisciplinar II)EMF-ISN</v>
      </c>
      <c r="D34" s="8" t="str">
        <f>IF(Tabela2[[#This Row],[SITUAÇÃO]]&lt;&gt;"Demitido",CONCATENATE(Tabela2[[#This Row],[POLO]],Tabela2[[#This Row],[CURSOS]]),"Substituição")</f>
        <v>Bom Jesus das Selvas/MAEMF-ISN</v>
      </c>
      <c r="E34" s="8" t="s">
        <v>21</v>
      </c>
      <c r="F34" s="67" t="s">
        <v>22</v>
      </c>
      <c r="G34" s="67" t="s">
        <v>132</v>
      </c>
      <c r="H34" s="9" t="s">
        <v>133</v>
      </c>
      <c r="I34" s="17" t="str">
        <f>IFERROR(_xlfn.XLOOKUP(Tabela2[[#This Row],[CHAPA]],TUT.CONTROL!F:F,TUT.CONTROL!I:I),_xlfn.XLOOKUP(Tabela2[[#This Row],[CHAPA]],'REG.CONTROL'!F:F,'REG.CONTROL'!I:I))</f>
        <v>Ativo</v>
      </c>
      <c r="J34" s="17">
        <f>IFERROR(_xlfn.XLOOKUP(Tabela2[[#This Row],[NOME DO TUTOR]],'REG.CONTROL'!C:C,'REG.CONTROL'!G:G),"Demitido")</f>
        <v>44718</v>
      </c>
      <c r="K34" s="19">
        <v>99984391865</v>
      </c>
      <c r="L34" s="22">
        <f>IFERROR(_xlfn.XLOOKUP(Tabela2[[#This Row],[NOME DO TUTOR]],'REG.CONTROL'!C:C,'REG.CONTROL'!F:F),"Demitido")</f>
        <v>1004010141</v>
      </c>
      <c r="M34" s="8" t="s">
        <v>134</v>
      </c>
      <c r="N34" s="11" t="str">
        <f>IFERROR(_xlfn.XLOOKUP(Tabela2[[#This Row],[CHAPA]],TUT.CONTROL!F:F,TUT.CONTROL!H:H),_xlfn.XLOOKUP(Tabela2[[#This Row],[CHAPA]],'REG.CONTROL'!F:F,'REG.CONTROL'!H:H))</f>
        <v>PROFESSOR REGENTE DE POLO (UC_1744)</v>
      </c>
      <c r="O34" s="68" t="str">
        <f>IFERROR(_xlfn.XLOOKUP(Tabela2[[#This Row],[NOME DO TUTOR]],'REGENTE CH'!A:A,'REGENTE CH'!C:C),"Atualizar")</f>
        <v>004:00</v>
      </c>
      <c r="P3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4" s="66" t="s">
        <v>30</v>
      </c>
      <c r="R34" s="8" t="s">
        <v>86</v>
      </c>
      <c r="S34" s="8">
        <v>167145</v>
      </c>
    </row>
    <row r="35" spans="1:19" ht="13.5" hidden="1" x14ac:dyDescent="0.3">
      <c r="A3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Brasília/DF - TaguatingaEMF-ISNENF-INS (Multidisciplinar II)</v>
      </c>
      <c r="B35" s="8" t="str">
        <f>Tabela2[[#This Row],[CATEGORIA]]&amp;Tabela2[[#This Row],[CURSOS]]&amp;"LAP - "&amp;Tabela2[[#This Row],[POLO]]</f>
        <v>ENF-INS (Multidisciplinar II)EMF-ISNLAP - Brasília/DF - Taguatinga</v>
      </c>
      <c r="C35" s="8" t="str">
        <f>Tabela2[[#This Row],[CATEGORIA]]&amp;Tabela2[[#This Row],[CURSOS]]</f>
        <v>ENF-INS (Multidisciplinar II)EMF-ISN</v>
      </c>
      <c r="D35" s="8" t="str">
        <f>IF(Tabela2[[#This Row],[SITUAÇÃO]]&lt;&gt;"Demitido",CONCATENATE(Tabela2[[#This Row],[POLO]],Tabela2[[#This Row],[CURSOS]]),"Substituição")</f>
        <v>Brasília/DF - TaguatingaEMF-ISN</v>
      </c>
      <c r="E35" s="8" t="s">
        <v>21</v>
      </c>
      <c r="F35" s="67" t="s">
        <v>22</v>
      </c>
      <c r="G35" s="67" t="s">
        <v>135</v>
      </c>
      <c r="H35" s="9" t="s">
        <v>136</v>
      </c>
      <c r="I35" s="17" t="str">
        <f>IFERROR(_xlfn.XLOOKUP(Tabela2[[#This Row],[CHAPA]],TUT.CONTROL!F:F,TUT.CONTROL!I:I),_xlfn.XLOOKUP(Tabela2[[#This Row],[CHAPA]],'REG.CONTROL'!F:F,'REG.CONTROL'!I:I))</f>
        <v>Ativo</v>
      </c>
      <c r="J35" s="17">
        <f>IFERROR(_xlfn.XLOOKUP(Tabela2[[#This Row],[NOME DO TUTOR]],TUT.CONTROL!C:C,TUT.CONTROL!G:G),"Demitido")</f>
        <v>45754</v>
      </c>
      <c r="K35" s="19">
        <v>61992733660</v>
      </c>
      <c r="L35" s="22">
        <f>IFERROR(_xlfn.XLOOKUP(Tabela2[[#This Row],[NOME DO TUTOR]],TUT.CONTROL!C:C,TUT.CONTROL!F:F),"Demitido")</f>
        <v>1158000678</v>
      </c>
      <c r="M35" s="8" t="s">
        <v>137</v>
      </c>
      <c r="N35" s="11" t="str">
        <f>IFERROR(_xlfn.XLOOKUP(Tabela2[[#This Row],[CHAPA]],TUT.CONTROL!F:F,TUT.CONTROL!H:H),_xlfn.XLOOKUP(Tabela2[[#This Row],[CHAPA]],'REG.CONTROL'!F:F,'REG.CONTROL'!H:H))</f>
        <v>TUTOR DE PRATICA (UC_1749)</v>
      </c>
      <c r="O35" s="68" t="str">
        <f>IFERROR(_xlfn.XLOOKUP(Tabela2[[#This Row],[NOME DO TUTOR]],TUT.CONTROL!C:C,TUT.CONTROL!K:K),"Demitido")</f>
        <v>012:00</v>
      </c>
      <c r="P3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5" s="66" t="s">
        <v>30</v>
      </c>
      <c r="R35" s="8" t="s">
        <v>138</v>
      </c>
      <c r="S35" s="8">
        <v>805944</v>
      </c>
    </row>
    <row r="36" spans="1:19" ht="13.5" hidden="1" x14ac:dyDescent="0.3">
      <c r="A3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6" s="8" t="str">
        <f>Tabela2[[#This Row],[CATEGORIA]]&amp;Tabela2[[#This Row],[CURSOS]]&amp;"LAP - "&amp;Tabela2[[#This Row],[POLO]]</f>
        <v>ENF-INS (Multidisciplinar II)EMF-ISNLAP - Brejo Santo/CE</v>
      </c>
      <c r="C36" s="8" t="str">
        <f>Tabela2[[#This Row],[CATEGORIA]]&amp;Tabela2[[#This Row],[CURSOS]]</f>
        <v>ENF-INS (Multidisciplinar II)EMF-ISN</v>
      </c>
      <c r="D36" s="8" t="str">
        <f>IF(Tabela2[[#This Row],[SITUAÇÃO]]&lt;&gt;"Demitido",CONCATENATE(Tabela2[[#This Row],[POLO]],Tabela2[[#This Row],[CURSOS]]),"Substituição")</f>
        <v>Substituição</v>
      </c>
      <c r="E36" s="8" t="s">
        <v>21</v>
      </c>
      <c r="F36" s="67" t="s">
        <v>22</v>
      </c>
      <c r="G36" s="67" t="s">
        <v>139</v>
      </c>
      <c r="H36" s="9" t="s">
        <v>140</v>
      </c>
      <c r="I36" s="71" t="str">
        <f>IFERROR(_xlfn.XLOOKUP(Tabela2[[#This Row],[CHAPA]],TUT.CONTROL!F:F,TUT.CONTROL!I:I),_xlfn.XLOOKUP(Tabela2[[#This Row],[CHAPA]],'REG.CONTROL'!F:F,'REG.CONTROL'!I:I))</f>
        <v>Demitido</v>
      </c>
      <c r="J36" s="17">
        <f>IFERROR(_xlfn.XLOOKUP(Tabela2[[#This Row],[NOME DO TUTOR]],'REG.CONTROL'!C:C,'REG.CONTROL'!G:G),"Demitido")</f>
        <v>44782</v>
      </c>
      <c r="K36" s="19">
        <v>88996000861</v>
      </c>
      <c r="L36" s="22">
        <f>IFERROR(_xlfn.XLOOKUP(Tabela2[[#This Row],[NOME DO TUTOR]],'REG.CONTROL'!C:C,'REG.CONTROL'!F:F),"Demitido")</f>
        <v>1004010498</v>
      </c>
      <c r="M36" s="8" t="s">
        <v>141</v>
      </c>
      <c r="N36" s="11" t="str">
        <f>IFERROR(_xlfn.XLOOKUP(Tabela2[[#This Row],[CHAPA]],TUT.CONTROL!F:F,TUT.CONTROL!H:H),_xlfn.XLOOKUP(Tabela2[[#This Row],[CHAPA]],'REG.CONTROL'!F:F,'REG.CONTROL'!H:H))</f>
        <v>PROFESSOR REGENTE DE POLO (UC_1744)</v>
      </c>
      <c r="O36" s="68" t="str">
        <f>IFERROR(_xlfn.XLOOKUP(Tabela2[[#This Row],[NOME DO TUTOR]],'REGENTE CH'!A:A,'REGENTE CH'!C:C),"Atualizar")</f>
        <v>004:00</v>
      </c>
      <c r="P36" s="17">
        <f>IF(Tabela2[[#This Row],[SITUAÇÃO]]="Demitido",IFERROR(_xlfn.XLOOKUP(Tabela2[[#This Row],[CHAPA]],TUT.CONTROL!F:F,TUT.CONTROL!V:V),_xlfn.XLOOKUP(Tabela2[[#This Row],[CHAPA]],'REG.CONTROL'!F:F,'REG.CONTROL'!V:V)),"-")</f>
        <v>46072</v>
      </c>
      <c r="Q36" s="66" t="s">
        <v>43</v>
      </c>
      <c r="R36" s="8" t="s">
        <v>31</v>
      </c>
      <c r="S36" s="8">
        <v>307964</v>
      </c>
    </row>
    <row r="37" spans="1:19" ht="13.5" hidden="1" x14ac:dyDescent="0.3">
      <c r="A3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Breu Branco/PAEMF-ISNENF-INS (Multidisciplinar II)</v>
      </c>
      <c r="B37" s="8" t="str">
        <f>Tabela2[[#This Row],[CATEGORIA]]&amp;Tabela2[[#This Row],[CURSOS]]&amp;"LAP - "&amp;Tabela2[[#This Row],[POLO]]</f>
        <v>ENF-INS (Multidisciplinar II)EMF-ISNLAP - Breu Branco/PA</v>
      </c>
      <c r="C37" s="8" t="str">
        <f>Tabela2[[#This Row],[CATEGORIA]]&amp;Tabela2[[#This Row],[CURSOS]]</f>
        <v>ENF-INS (Multidisciplinar II)EMF-ISN</v>
      </c>
      <c r="D37" s="8" t="str">
        <f>IF(Tabela2[[#This Row],[SITUAÇÃO]]&lt;&gt;"Demitido",CONCATENATE(Tabela2[[#This Row],[POLO]],Tabela2[[#This Row],[CURSOS]]),"Substituição")</f>
        <v>Breu Branco/PAEMF-ISN</v>
      </c>
      <c r="E37" s="8" t="s">
        <v>21</v>
      </c>
      <c r="F37" s="67" t="s">
        <v>22</v>
      </c>
      <c r="G37" s="67" t="s">
        <v>142</v>
      </c>
      <c r="H37" s="9" t="s">
        <v>143</v>
      </c>
      <c r="I37" s="17" t="str">
        <f>IFERROR(_xlfn.XLOOKUP(Tabela2[[#This Row],[CHAPA]],TUT.CONTROL!F:F,TUT.CONTROL!I:I),_xlfn.XLOOKUP(Tabela2[[#This Row],[CHAPA]],'REG.CONTROL'!F:F,'REG.CONTROL'!I:I))</f>
        <v>Ativo</v>
      </c>
      <c r="J37" s="17">
        <f>IFERROR(_xlfn.XLOOKUP(Tabela2[[#This Row],[NOME DO TUTOR]],TUT.CONTROL!C:C,TUT.CONTROL!G:G),"Demitido")</f>
        <v>45733</v>
      </c>
      <c r="K37" s="19">
        <v>9499553635</v>
      </c>
      <c r="L37" s="22">
        <f>IFERROR(_xlfn.XLOOKUP(Tabela2[[#This Row],[NOME DO TUTOR]],TUT.CONTROL!C:C,TUT.CONTROL!F:F),"Demitido")</f>
        <v>1158000554</v>
      </c>
      <c r="M37" s="8" t="s">
        <v>144</v>
      </c>
      <c r="N37" s="11" t="str">
        <f>IFERROR(_xlfn.XLOOKUP(Tabela2[[#This Row],[CHAPA]],TUT.CONTROL!F:F,TUT.CONTROL!H:H),_xlfn.XLOOKUP(Tabela2[[#This Row],[CHAPA]],'REG.CONTROL'!F:F,'REG.CONTROL'!H:H))</f>
        <v>TUTOR DE PRATICA (UC_1749)</v>
      </c>
      <c r="O37" s="68" t="str">
        <f>IFERROR(_xlfn.XLOOKUP(Tabela2[[#This Row],[NOME DO TUTOR]],TUT.CONTROL!C:C,TUT.CONTROL!K:K),"Demitido")</f>
        <v>004:00</v>
      </c>
      <c r="P3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7" s="66" t="s">
        <v>30</v>
      </c>
      <c r="R37" s="8" t="s">
        <v>26</v>
      </c>
      <c r="S37" s="8">
        <v>925823</v>
      </c>
    </row>
    <row r="38" spans="1:19" ht="13.5" hidden="1" customHeight="1" x14ac:dyDescent="0.3">
      <c r="A3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Brusque/SCEMF-ISNENF-INS (Multidisciplinar II)</v>
      </c>
      <c r="B38" s="8" t="str">
        <f>Tabela2[[#This Row],[CATEGORIA]]&amp;Tabela2[[#This Row],[CURSOS]]&amp;"LAP - "&amp;Tabela2[[#This Row],[POLO]]</f>
        <v>ENF-INS (Multidisciplinar II)EMF-ISNLAP - Brusque/SC</v>
      </c>
      <c r="C38" s="8" t="str">
        <f>Tabela2[[#This Row],[CATEGORIA]]&amp;Tabela2[[#This Row],[CURSOS]]</f>
        <v>ENF-INS (Multidisciplinar II)EMF-ISN</v>
      </c>
      <c r="D38" s="8" t="str">
        <f>IF(Tabela2[[#This Row],[SITUAÇÃO]]&lt;&gt;"Demitido",CONCATENATE(Tabela2[[#This Row],[POLO]],Tabela2[[#This Row],[CURSOS]]),"Substituição")</f>
        <v>Brusque/SCEMF-ISN</v>
      </c>
      <c r="E38" s="8" t="s">
        <v>21</v>
      </c>
      <c r="F38" s="67" t="s">
        <v>22</v>
      </c>
      <c r="G38" s="67" t="s">
        <v>145</v>
      </c>
      <c r="H38" s="9" t="s">
        <v>146</v>
      </c>
      <c r="I38" s="17" t="str">
        <f>IFERROR(_xlfn.XLOOKUP(Tabela2[[#This Row],[CHAPA]],TUT.CONTROL!F:F,TUT.CONTROL!I:I),_xlfn.XLOOKUP(Tabela2[[#This Row],[CHAPA]],'REG.CONTROL'!F:F,'REG.CONTROL'!I:I))</f>
        <v>Ativo</v>
      </c>
      <c r="J38" s="17">
        <f>IFERROR(_xlfn.XLOOKUP(Tabela2[[#This Row],[NOME DO TUTOR]],'REG.CONTROL'!C:C,'REG.CONTROL'!G:G),"Demitido")</f>
        <v>44809</v>
      </c>
      <c r="K38" s="19" t="s">
        <v>147</v>
      </c>
      <c r="L38" s="22">
        <f>IFERROR(_xlfn.XLOOKUP(Tabela2[[#This Row],[NOME DO TUTOR]],'REG.CONTROL'!C:C,'REG.CONTROL'!F:F),"Demitido")</f>
        <v>1004010691</v>
      </c>
      <c r="M38" s="8" t="s">
        <v>148</v>
      </c>
      <c r="N38" s="11" t="str">
        <f>IFERROR(_xlfn.XLOOKUP(Tabela2[[#This Row],[CHAPA]],TUT.CONTROL!F:F,TUT.CONTROL!H:H),_xlfn.XLOOKUP(Tabela2[[#This Row],[CHAPA]],'REG.CONTROL'!F:F,'REG.CONTROL'!H:H))</f>
        <v>PROFESSOR REGENTE DE POLO (UC_1744)</v>
      </c>
      <c r="O38" s="68" t="str">
        <f>IFERROR(_xlfn.XLOOKUP(Tabela2[[#This Row],[NOME DO TUTOR]],'REGENTE CH'!A:A,'REGENTE CH'!C:C),"Atualizar")</f>
        <v>004:00</v>
      </c>
      <c r="P3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8" s="66" t="s">
        <v>30</v>
      </c>
      <c r="R38" s="8" t="s">
        <v>149</v>
      </c>
      <c r="S38" s="69">
        <v>361521</v>
      </c>
    </row>
    <row r="39" spans="1:19" ht="13.5" hidden="1" x14ac:dyDescent="0.3">
      <c r="A3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Buriticupu/MAEMF-ISNENF-INS (Multidisciplinar II)</v>
      </c>
      <c r="B39" s="8" t="str">
        <f>Tabela2[[#This Row],[CATEGORIA]]&amp;Tabela2[[#This Row],[CURSOS]]&amp;"LAP - "&amp;Tabela2[[#This Row],[POLO]]</f>
        <v>ENF-INS (Multidisciplinar II)EMF-ISNLAP - Buriticupu/MA</v>
      </c>
      <c r="C39" s="8" t="str">
        <f>Tabela2[[#This Row],[CATEGORIA]]&amp;Tabela2[[#This Row],[CURSOS]]</f>
        <v>ENF-INS (Multidisciplinar II)EMF-ISN</v>
      </c>
      <c r="D39" s="8" t="str">
        <f>IF(Tabela2[[#This Row],[SITUAÇÃO]]&lt;&gt;"Demitido",CONCATENATE(Tabela2[[#This Row],[POLO]],Tabela2[[#This Row],[CURSOS]]),"Substituição")</f>
        <v>Buriticupu/MAEMF-ISN</v>
      </c>
      <c r="E39" s="8" t="s">
        <v>21</v>
      </c>
      <c r="F39" s="67" t="s">
        <v>22</v>
      </c>
      <c r="G39" s="67" t="s">
        <v>150</v>
      </c>
      <c r="H39" s="9" t="s">
        <v>151</v>
      </c>
      <c r="I39" s="17" t="str">
        <f>IFERROR(_xlfn.XLOOKUP(Tabela2[[#This Row],[CHAPA]],TUT.CONTROL!F:F,TUT.CONTROL!I:I),_xlfn.XLOOKUP(Tabela2[[#This Row],[CHAPA]],'REG.CONTROL'!F:F,'REG.CONTROL'!I:I))</f>
        <v>Ativo</v>
      </c>
      <c r="J39" s="17">
        <f>IFERROR(_xlfn.XLOOKUP(Tabela2[[#This Row],[NOME DO TUTOR]],'REG.CONTROL'!C:C,'REG.CONTROL'!G:G),"Demitido")</f>
        <v>45427</v>
      </c>
      <c r="K39" s="19" t="s">
        <v>152</v>
      </c>
      <c r="L39" s="22">
        <f>IFERROR(_xlfn.XLOOKUP(Tabela2[[#This Row],[NOME DO TUTOR]],'REG.CONTROL'!C:C,'REG.CONTROL'!F:F),"Demitido")</f>
        <v>1004014968</v>
      </c>
      <c r="M39" s="8" t="s">
        <v>153</v>
      </c>
      <c r="N39" s="11" t="str">
        <f>IFERROR(_xlfn.XLOOKUP(Tabela2[[#This Row],[CHAPA]],TUT.CONTROL!F:F,TUT.CONTROL!H:H),_xlfn.XLOOKUP(Tabela2[[#This Row],[CHAPA]],'REG.CONTROL'!F:F,'REG.CONTROL'!H:H))</f>
        <v>PROFESSOR REGENTE DE POLO (UC_1744)</v>
      </c>
      <c r="O39" s="68" t="str">
        <f>IFERROR(_xlfn.XLOOKUP(Tabela2[[#This Row],[NOME DO TUTOR]],'REGENTE CH'!A:A,'REGENTE CH'!C:C),"Atualizar")</f>
        <v>004:00</v>
      </c>
      <c r="P3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9" s="66" t="s">
        <v>30</v>
      </c>
      <c r="R39" s="8" t="s">
        <v>86</v>
      </c>
      <c r="S39" s="8">
        <v>649174</v>
      </c>
    </row>
    <row r="40" spans="1:19" ht="13.5" hidden="1" x14ac:dyDescent="0.3">
      <c r="A4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40" s="8" t="str">
        <f>Tabela2[[#This Row],[CATEGORIA]]&amp;Tabela2[[#This Row],[CURSOS]]&amp;"LAP - "&amp;Tabela2[[#This Row],[POLO]]</f>
        <v>ENF-INS (Multidisciplinar II)EMF-ISNLAP - Cabo Frio/RJ</v>
      </c>
      <c r="C40" s="8" t="str">
        <f>Tabela2[[#This Row],[CATEGORIA]]&amp;Tabela2[[#This Row],[CURSOS]]</f>
        <v>ENF-INS (Multidisciplinar II)EMF-ISN</v>
      </c>
      <c r="D40" s="8" t="str">
        <f>IF(Tabela2[[#This Row],[SITUAÇÃO]]&lt;&gt;"Demitido",CONCATENATE(Tabela2[[#This Row],[POLO]],Tabela2[[#This Row],[CURSOS]]),"Substituição")</f>
        <v>Substituição</v>
      </c>
      <c r="E40" s="8" t="s">
        <v>21</v>
      </c>
      <c r="F40" s="67" t="s">
        <v>22</v>
      </c>
      <c r="G40" s="67" t="s">
        <v>154</v>
      </c>
      <c r="H40" s="9" t="s">
        <v>155</v>
      </c>
      <c r="I40" s="71" t="str">
        <f>IFERROR(_xlfn.XLOOKUP(Tabela2[[#This Row],[CHAPA]],TUT.CONTROL!F:F,TUT.CONTROL!I:I),_xlfn.XLOOKUP(Tabela2[[#This Row],[CHAPA]],'REG.CONTROL'!F:F,'REG.CONTROL'!I:I))</f>
        <v>Demitido</v>
      </c>
      <c r="J40" s="17">
        <f>IFERROR(_xlfn.XLOOKUP(Tabela2[[#This Row],[NOME DO TUTOR]],'REG.CONTROL'!C:C,'REG.CONTROL'!G:G),"Demitido")</f>
        <v>44986</v>
      </c>
      <c r="K40" s="19">
        <v>21975063191</v>
      </c>
      <c r="L40" s="22">
        <f>IFERROR(_xlfn.XLOOKUP(Tabela2[[#This Row],[NOME DO TUTOR]],'REG.CONTROL'!C:C,'REG.CONTROL'!F:F),"Demitido")</f>
        <v>1004011474</v>
      </c>
      <c r="M40" s="8" t="s">
        <v>156</v>
      </c>
      <c r="N40" s="11" t="str">
        <f>IFERROR(_xlfn.XLOOKUP(Tabela2[[#This Row],[CHAPA]],TUT.CONTROL!F:F,TUT.CONTROL!H:H),_xlfn.XLOOKUP(Tabela2[[#This Row],[CHAPA]],'REG.CONTROL'!F:F,'REG.CONTROL'!H:H))</f>
        <v>PROFESSOR REGENTE DE POLO (UC_1744)</v>
      </c>
      <c r="O40" s="68" t="str">
        <f>IFERROR(_xlfn.XLOOKUP(Tabela2[[#This Row],[NOME DO TUTOR]],'REGENTE CH'!A:A,'REGENTE CH'!C:C),"Atualizar")</f>
        <v>008:00</v>
      </c>
      <c r="P40" s="17">
        <f>IF(Tabela2[[#This Row],[SITUAÇÃO]]="Demitido",IFERROR(_xlfn.XLOOKUP(Tabela2[[#This Row],[CHAPA]],TUT.CONTROL!F:F,TUT.CONTROL!V:V),_xlfn.XLOOKUP(Tabela2[[#This Row],[CHAPA]],'REG.CONTROL'!F:F,'REG.CONTROL'!V:V)),"-")</f>
        <v>46063</v>
      </c>
      <c r="Q40" s="66" t="s">
        <v>43</v>
      </c>
      <c r="R40" s="8" t="s">
        <v>157</v>
      </c>
      <c r="S40" s="8">
        <v>79395</v>
      </c>
    </row>
    <row r="41" spans="1:19" ht="13.5" hidden="1" x14ac:dyDescent="0.3">
      <c r="A4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Cáceres/MTEMF-ISNENF-INS (Multidisciplinar II)</v>
      </c>
      <c r="B41" s="8" t="str">
        <f>Tabela2[[#This Row],[CATEGORIA]]&amp;Tabela2[[#This Row],[CURSOS]]&amp;"LAP - "&amp;Tabela2[[#This Row],[POLO]]</f>
        <v>ENF-INS (Multidisciplinar II)EMF-ISNLAP - Cáceres/MT</v>
      </c>
      <c r="C41" s="8" t="str">
        <f>Tabela2[[#This Row],[CATEGORIA]]&amp;Tabela2[[#This Row],[CURSOS]]</f>
        <v>ENF-INS (Multidisciplinar II)EMF-ISN</v>
      </c>
      <c r="D41" s="8" t="str">
        <f>IF(Tabela2[[#This Row],[SITUAÇÃO]]&lt;&gt;"Demitido",CONCATENATE(Tabela2[[#This Row],[POLO]],Tabela2[[#This Row],[CURSOS]]),"Substituição")</f>
        <v>Cáceres/MTEMF-ISN</v>
      </c>
      <c r="E41" s="8" t="s">
        <v>21</v>
      </c>
      <c r="F41" s="67" t="s">
        <v>22</v>
      </c>
      <c r="G41" s="67" t="s">
        <v>158</v>
      </c>
      <c r="H41" s="9" t="s">
        <v>159</v>
      </c>
      <c r="I41" s="17" t="str">
        <f>IFERROR(_xlfn.XLOOKUP(Tabela2[[#This Row],[CHAPA]],TUT.CONTROL!F:F,TUT.CONTROL!I:I),_xlfn.XLOOKUP(Tabela2[[#This Row],[CHAPA]],'REG.CONTROL'!F:F,'REG.CONTROL'!I:I))</f>
        <v>Ativo</v>
      </c>
      <c r="J41" s="17">
        <f>IFERROR(_xlfn.XLOOKUP(Tabela2[[#This Row],[NOME DO TUTOR]],'REG.CONTROL'!C:C,'REG.CONTROL'!G:G),"Demitido")</f>
        <v>45027</v>
      </c>
      <c r="K41" s="19">
        <v>65996323821</v>
      </c>
      <c r="L41" s="22">
        <f>IFERROR(_xlfn.XLOOKUP(Tabela2[[#This Row],[NOME DO TUTOR]],'REG.CONTROL'!C:C,'REG.CONTROL'!F:F),"Demitido")</f>
        <v>1004011797</v>
      </c>
      <c r="M41" s="8" t="s">
        <v>160</v>
      </c>
      <c r="N41" s="11" t="str">
        <f>IFERROR(_xlfn.XLOOKUP(Tabela2[[#This Row],[CHAPA]],TUT.CONTROL!F:F,TUT.CONTROL!H:H),_xlfn.XLOOKUP(Tabela2[[#This Row],[CHAPA]],'REG.CONTROL'!F:F,'REG.CONTROL'!H:H))</f>
        <v>PROFESSOR REGENTE DE POLO (UC_1744)</v>
      </c>
      <c r="O41" s="68" t="str">
        <f>IFERROR(_xlfn.XLOOKUP(Tabela2[[#This Row],[NOME DO TUTOR]],'REGENTE CH'!A:A,'REGENTE CH'!C:C),"Atualizar")</f>
        <v>004:00</v>
      </c>
      <c r="P4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1" s="66" t="s">
        <v>30</v>
      </c>
      <c r="R41" s="8" t="s">
        <v>44</v>
      </c>
      <c r="S41" s="8">
        <v>437356</v>
      </c>
    </row>
    <row r="42" spans="1:19" ht="13.5" hidden="1" x14ac:dyDescent="0.3">
      <c r="A4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Camaquã/RSEMF-ISNENF-INS (Multidisciplinar II)</v>
      </c>
      <c r="B42" s="8" t="str">
        <f>Tabela2[[#This Row],[CATEGORIA]]&amp;Tabela2[[#This Row],[CURSOS]]&amp;"LAP - "&amp;Tabela2[[#This Row],[POLO]]</f>
        <v>ENF-INS (Multidisciplinar II)EMF-ISNLAP - Camaquã/RS</v>
      </c>
      <c r="C42" s="8" t="str">
        <f>Tabela2[[#This Row],[CATEGORIA]]&amp;Tabela2[[#This Row],[CURSOS]]</f>
        <v>ENF-INS (Multidisciplinar II)EMF-ISN</v>
      </c>
      <c r="D42" s="8" t="str">
        <f>IF(Tabela2[[#This Row],[SITUAÇÃO]]&lt;&gt;"Demitido",CONCATENATE(Tabela2[[#This Row],[POLO]],Tabela2[[#This Row],[CURSOS]]),"Substituição")</f>
        <v>Camaquã/RSEMF-ISN</v>
      </c>
      <c r="E42" s="8" t="s">
        <v>21</v>
      </c>
      <c r="F42" s="67" t="s">
        <v>22</v>
      </c>
      <c r="G42" s="67" t="s">
        <v>161</v>
      </c>
      <c r="H42" s="9" t="s">
        <v>162</v>
      </c>
      <c r="I42" s="17" t="str">
        <f>IFERROR(_xlfn.XLOOKUP(Tabela2[[#This Row],[CHAPA]],TUT.CONTROL!F:F,TUT.CONTROL!I:I),_xlfn.XLOOKUP(Tabela2[[#This Row],[CHAPA]],'REG.CONTROL'!F:F,'REG.CONTROL'!I:I))</f>
        <v>Ativo</v>
      </c>
      <c r="J42" s="17">
        <f>IFERROR(_xlfn.XLOOKUP(Tabela2[[#This Row],[NOME DO TUTOR]],'REG.CONTROL'!C:C,'REG.CONTROL'!G:G),"Demitido")</f>
        <v>45082</v>
      </c>
      <c r="K42" s="19">
        <v>51995335917</v>
      </c>
      <c r="L42" s="22">
        <f>IFERROR(_xlfn.XLOOKUP(Tabela2[[#This Row],[NOME DO TUTOR]],'REG.CONTROL'!C:C,'REG.CONTROL'!F:F),"Demitido")</f>
        <v>1004012240</v>
      </c>
      <c r="M42" s="8" t="s">
        <v>163</v>
      </c>
      <c r="N42" s="11" t="str">
        <f>IFERROR(_xlfn.XLOOKUP(Tabela2[[#This Row],[CHAPA]],TUT.CONTROL!F:F,TUT.CONTROL!H:H),_xlfn.XLOOKUP(Tabela2[[#This Row],[CHAPA]],'REG.CONTROL'!F:F,'REG.CONTROL'!H:H))</f>
        <v>PROFESSOR REGENTE DE POLO (UC_1744)</v>
      </c>
      <c r="O42" s="68" t="str">
        <f>IFERROR(_xlfn.XLOOKUP(Tabela2[[#This Row],[NOME DO TUTOR]],'REGENTE CH'!A:A,'REGENTE CH'!C:C),"Atualizar")</f>
        <v>004:00</v>
      </c>
      <c r="P4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2" s="66" t="s">
        <v>30</v>
      </c>
      <c r="R42" s="8" t="s">
        <v>109</v>
      </c>
      <c r="S42" s="8">
        <v>473525</v>
      </c>
    </row>
    <row r="43" spans="1:19" ht="13.5" hidden="1" x14ac:dyDescent="0.3">
      <c r="A4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Cametá/PAEMF-ISNENF-INS (Multidisciplinar II)</v>
      </c>
      <c r="B43" s="8" t="str">
        <f>Tabela2[[#This Row],[CATEGORIA]]&amp;Tabela2[[#This Row],[CURSOS]]&amp;"LAP - "&amp;Tabela2[[#This Row],[POLO]]</f>
        <v>ENF-INS (Multidisciplinar II)EMF-ISNLAP - Cametá/PA</v>
      </c>
      <c r="C43" s="8" t="str">
        <f>Tabela2[[#This Row],[CATEGORIA]]&amp;Tabela2[[#This Row],[CURSOS]]</f>
        <v>ENF-INS (Multidisciplinar II)EMF-ISN</v>
      </c>
      <c r="D43" s="8" t="str">
        <f>IF(Tabela2[[#This Row],[SITUAÇÃO]]&lt;&gt;"Demitido",CONCATENATE(Tabela2[[#This Row],[POLO]],Tabela2[[#This Row],[CURSOS]]),"Substituição")</f>
        <v>Cametá/PAEMF-ISN</v>
      </c>
      <c r="E43" s="8" t="s">
        <v>21</v>
      </c>
      <c r="F43" s="67" t="s">
        <v>22</v>
      </c>
      <c r="G43" s="67" t="s">
        <v>164</v>
      </c>
      <c r="H43" s="9" t="s">
        <v>165</v>
      </c>
      <c r="I43" s="17" t="str">
        <f>IFERROR(_xlfn.XLOOKUP(Tabela2[[#This Row],[CHAPA]],TUT.CONTROL!F:F,TUT.CONTROL!I:I),_xlfn.XLOOKUP(Tabela2[[#This Row],[CHAPA]],'REG.CONTROL'!F:F,'REG.CONTROL'!I:I))</f>
        <v>Ativo</v>
      </c>
      <c r="J43" s="17">
        <f>IFERROR(_xlfn.XLOOKUP(Tabela2[[#This Row],[NOME DO TUTOR]],'REG.CONTROL'!C:C,'REG.CONTROL'!G:G),"Demitido")</f>
        <v>45513</v>
      </c>
      <c r="K43" s="19" t="s">
        <v>166</v>
      </c>
      <c r="L43" s="22">
        <f>IFERROR(_xlfn.XLOOKUP(Tabela2[[#This Row],[NOME DO TUTOR]],'REG.CONTROL'!C:C,'REG.CONTROL'!F:F),"Demitido")</f>
        <v>1004015342</v>
      </c>
      <c r="M43" s="8" t="s">
        <v>167</v>
      </c>
      <c r="N43" s="11" t="str">
        <f>IFERROR(_xlfn.XLOOKUP(Tabela2[[#This Row],[CHAPA]],TUT.CONTROL!F:F,TUT.CONTROL!H:H),_xlfn.XLOOKUP(Tabela2[[#This Row],[CHAPA]],'REG.CONTROL'!F:F,'REG.CONTROL'!H:H))</f>
        <v>PROFESSOR REGENTE DE POLO (UC_1744)</v>
      </c>
      <c r="O43" s="68" t="str">
        <f>IFERROR(_xlfn.XLOOKUP(Tabela2[[#This Row],[NOME DO TUTOR]],'REGENTE CH'!A:A,'REGENTE CH'!C:C),"Atualizar")</f>
        <v>004:00</v>
      </c>
      <c r="P4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3" s="66" t="s">
        <v>30</v>
      </c>
      <c r="R43" s="8" t="s">
        <v>26</v>
      </c>
      <c r="S43" s="8">
        <v>415.9</v>
      </c>
    </row>
    <row r="44" spans="1:19" ht="13.5" hidden="1" x14ac:dyDescent="0.3">
      <c r="A4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Campina Grande/PBEMF-ISNENF-INS (Multidisciplinar II)</v>
      </c>
      <c r="B44" s="8" t="str">
        <f>Tabela2[[#This Row],[CATEGORIA]]&amp;Tabela2[[#This Row],[CURSOS]]&amp;"LAP - "&amp;Tabela2[[#This Row],[POLO]]</f>
        <v>ENF-INS (Multidisciplinar II)EMF-ISNLAP - Campina Grande/PB</v>
      </c>
      <c r="C44" s="8" t="str">
        <f>Tabela2[[#This Row],[CATEGORIA]]&amp;Tabela2[[#This Row],[CURSOS]]</f>
        <v>ENF-INS (Multidisciplinar II)EMF-ISN</v>
      </c>
      <c r="D44" s="8" t="str">
        <f>IF(Tabela2[[#This Row],[SITUAÇÃO]]&lt;&gt;"Demitido",CONCATENATE(Tabela2[[#This Row],[POLO]],Tabela2[[#This Row],[CURSOS]]),"Substituição")</f>
        <v>Campina Grande/PBEMF-ISN</v>
      </c>
      <c r="E44" s="8" t="s">
        <v>21</v>
      </c>
      <c r="F44" s="67" t="s">
        <v>22</v>
      </c>
      <c r="G44" s="67" t="s">
        <v>168</v>
      </c>
      <c r="H44" s="9" t="s">
        <v>169</v>
      </c>
      <c r="I44" s="17" t="str">
        <f>IFERROR(_xlfn.XLOOKUP(Tabela2[[#This Row],[CHAPA]],TUT.CONTROL!F:F,TUT.CONTROL!I:I),_xlfn.XLOOKUP(Tabela2[[#This Row],[CHAPA]],'REG.CONTROL'!F:F,'REG.CONTROL'!I:I))</f>
        <v>Ativo</v>
      </c>
      <c r="J44" s="17">
        <f>IFERROR(_xlfn.XLOOKUP(Tabela2[[#This Row],[NOME DO TUTOR]],TUT.CONTROL!C:C,TUT.CONTROL!G:G),"Demitido")</f>
        <v>45873</v>
      </c>
      <c r="K44" s="19">
        <v>83999857089</v>
      </c>
      <c r="L44" s="22">
        <f>IFERROR(_xlfn.XLOOKUP(Tabela2[[#This Row],[NOME DO TUTOR]],TUT.CONTROL!C:C,TUT.CONTROL!F:F),"Demitido")</f>
        <v>1158000825</v>
      </c>
      <c r="M44" s="8" t="s">
        <v>170</v>
      </c>
      <c r="N44" s="11" t="str">
        <f>IFERROR(_xlfn.XLOOKUP(Tabela2[[#This Row],[CHAPA]],TUT.CONTROL!F:F,TUT.CONTROL!H:H),_xlfn.XLOOKUP(Tabela2[[#This Row],[CHAPA]],'REG.CONTROL'!F:F,'REG.CONTROL'!H:H))</f>
        <v>TUTOR DE PRATICA (UC_1749)</v>
      </c>
      <c r="O44" s="68" t="str">
        <f>IFERROR(_xlfn.XLOOKUP(Tabela2[[#This Row],[NOME DO TUTOR]],TUT.CONTROL!C:C,TUT.CONTROL!K:K),"Demitido")</f>
        <v>004:00</v>
      </c>
      <c r="P4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4" s="66" t="s">
        <v>30</v>
      </c>
      <c r="R44" s="8" t="s">
        <v>171</v>
      </c>
      <c r="S44" s="8">
        <v>541379</v>
      </c>
    </row>
    <row r="45" spans="1:19" ht="13.5" hidden="1" customHeight="1" x14ac:dyDescent="0.3">
      <c r="A4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45" s="8" t="str">
        <f>Tabela2[[#This Row],[CATEGORIA]]&amp;Tabela2[[#This Row],[CURSOS]]&amp;"LAP - "&amp;Tabela2[[#This Row],[POLO]]</f>
        <v>ENF-INS (Multidisciplinar II)EMF-ISNLAP - Campinas/SP - Abolição</v>
      </c>
      <c r="C45" s="8" t="str">
        <f>Tabela2[[#This Row],[CATEGORIA]]&amp;Tabela2[[#This Row],[CURSOS]]</f>
        <v>ENF-INS (Multidisciplinar II)EMF-ISN</v>
      </c>
      <c r="D45" s="8" t="str">
        <f>IF(Tabela2[[#This Row],[SITUAÇÃO]]&lt;&gt;"Demitido",CONCATENATE(Tabela2[[#This Row],[POLO]],Tabela2[[#This Row],[CURSOS]]),"Substituição")</f>
        <v>Substituição</v>
      </c>
      <c r="E45" s="8" t="s">
        <v>21</v>
      </c>
      <c r="F45" s="67" t="s">
        <v>22</v>
      </c>
      <c r="G45" s="67" t="s">
        <v>172</v>
      </c>
      <c r="H45" s="9" t="s">
        <v>173</v>
      </c>
      <c r="I45" s="17" t="str">
        <f>IFERROR(_xlfn.XLOOKUP(Tabela2[[#This Row],[CHAPA]],TUT.CONTROL!F:F,TUT.CONTROL!I:I),_xlfn.XLOOKUP(Tabela2[[#This Row],[CHAPA]],'REG.CONTROL'!F:F,'REG.CONTROL'!I:I))</f>
        <v>Demitido</v>
      </c>
      <c r="J45" s="17">
        <f>IFERROR(_xlfn.XLOOKUP(Tabela2[[#This Row],[NOME DO TUTOR]],TUT.CONTROL!C:C,TUT.CONTROL!G:G),"Demitido")</f>
        <v>45817</v>
      </c>
      <c r="K45" s="19">
        <v>19993660409</v>
      </c>
      <c r="L45" s="22">
        <f>IFERROR(_xlfn.XLOOKUP(Tabela2[[#This Row],[NOME DO TUTOR]],TUT.CONTROL!C:C,TUT.CONTROL!F:F),"Demitido")</f>
        <v>1158000749</v>
      </c>
      <c r="M45" s="8" t="s">
        <v>174</v>
      </c>
      <c r="N45" s="11" t="str">
        <f>IFERROR(_xlfn.XLOOKUP(Tabela2[[#This Row],[CHAPA]],TUT.CONTROL!F:F,TUT.CONTROL!H:H),_xlfn.XLOOKUP(Tabela2[[#This Row],[CHAPA]],'REG.CONTROL'!F:F,'REG.CONTROL'!H:H))</f>
        <v>TUTOR DE PRATICA (UC_1749)</v>
      </c>
      <c r="O45" s="68" t="str">
        <f>IFERROR(_xlfn.XLOOKUP(Tabela2[[#This Row],[NOME DO TUTOR]],TUT.CONTROL!C:C,TUT.CONTROL!K:K),"Demitido")</f>
        <v>004:00</v>
      </c>
      <c r="P45" s="17">
        <f>IF(Tabela2[[#This Row],[SITUAÇÃO]]="Demitido",IFERROR(_xlfn.XLOOKUP(Tabela2[[#This Row],[CHAPA]],TUT.CONTROL!F:F,TUT.CONTROL!V:V),_xlfn.XLOOKUP(Tabela2[[#This Row],[CHAPA]],'REG.CONTROL'!F:F,'REG.CONTROL'!V:V)),"-")</f>
        <v>45974</v>
      </c>
      <c r="Q45" s="66" t="s">
        <v>43</v>
      </c>
      <c r="R45" s="8"/>
      <c r="S45" s="8"/>
    </row>
    <row r="46" spans="1:19" ht="13.5" hidden="1" x14ac:dyDescent="0.3">
      <c r="A4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46" s="8" t="str">
        <f>Tabela2[[#This Row],[CATEGORIA]]&amp;Tabela2[[#This Row],[CURSOS]]&amp;"LAP - "&amp;Tabela2[[#This Row],[POLO]]</f>
        <v>ENF-INS (Multidisciplinar II)EMF-ISNLAP - Campinas/SP - Abolição</v>
      </c>
      <c r="C46" s="8" t="str">
        <f>Tabela2[[#This Row],[CATEGORIA]]&amp;Tabela2[[#This Row],[CURSOS]]</f>
        <v>ENF-INS (Multidisciplinar II)EMF-ISN</v>
      </c>
      <c r="D46" s="8" t="str">
        <f>IF(Tabela2[[#This Row],[SITUAÇÃO]]&lt;&gt;"Demitido",CONCATENATE(Tabela2[[#This Row],[POLO]],Tabela2[[#This Row],[CURSOS]]),"Substituição")</f>
        <v>Substituição</v>
      </c>
      <c r="E46" s="8" t="s">
        <v>21</v>
      </c>
      <c r="F46" s="67" t="s">
        <v>22</v>
      </c>
      <c r="G46" s="67" t="s">
        <v>172</v>
      </c>
      <c r="H46" s="9" t="s">
        <v>175</v>
      </c>
      <c r="I46" s="17" t="str">
        <f>IFERROR(_xlfn.XLOOKUP(Tabela2[[#This Row],[CHAPA]],TUT.CONTROL!F:F,TUT.CONTROL!I:I),_xlfn.XLOOKUP(Tabela2[[#This Row],[CHAPA]],'REG.CONTROL'!F:F,'REG.CONTROL'!I:I))</f>
        <v>Demitido</v>
      </c>
      <c r="J46" s="17">
        <f>IFERROR(_xlfn.XLOOKUP(Tabela2[[#This Row],[NOME DO TUTOR]],TUT.CONTROL!C:C,TUT.CONTROL!G:G),"Demitido")</f>
        <v>45971</v>
      </c>
      <c r="K46" s="19">
        <v>19982105596</v>
      </c>
      <c r="L46" s="22">
        <f>IFERROR(_xlfn.XLOOKUP(Tabela2[[#This Row],[NOME DO TUTOR]],TUT.CONTROL!C:C,TUT.CONTROL!F:F),"Demitido")</f>
        <v>1158001057</v>
      </c>
      <c r="M46" s="8" t="s">
        <v>176</v>
      </c>
      <c r="N46" s="11" t="str">
        <f>IFERROR(_xlfn.XLOOKUP(Tabela2[[#This Row],[CHAPA]],TUT.CONTROL!F:F,TUT.CONTROL!H:H),_xlfn.XLOOKUP(Tabela2[[#This Row],[CHAPA]],'REG.CONTROL'!F:F,'REG.CONTROL'!H:H))</f>
        <v>TUTOR DE PRATICA (UC_1749)</v>
      </c>
      <c r="O46" s="68" t="str">
        <f>IFERROR(_xlfn.XLOOKUP(Tabela2[[#This Row],[NOME DO TUTOR]],TUT.CONTROL!C:C,TUT.CONTROL!K:K),"Demitido")</f>
        <v>004:00</v>
      </c>
      <c r="P46" s="17">
        <f>IF(Tabela2[[#This Row],[SITUAÇÃO]]="Demitido",IFERROR(_xlfn.XLOOKUP(Tabela2[[#This Row],[CHAPA]],TUT.CONTROL!F:F,TUT.CONTROL!V:V),_xlfn.XLOOKUP(Tabela2[[#This Row],[CHAPA]],'REG.CONTROL'!F:F,'REG.CONTROL'!V:V)),"-")</f>
        <v>46118</v>
      </c>
      <c r="Q46" s="66"/>
      <c r="R46" s="8" t="s">
        <v>177</v>
      </c>
      <c r="S46" s="8">
        <v>660894</v>
      </c>
    </row>
    <row r="47" spans="1:19" ht="13.5" hidden="1" x14ac:dyDescent="0.3">
      <c r="A4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47" s="8" t="str">
        <f>Tabela2[[#This Row],[CATEGORIA]]&amp;Tabela2[[#This Row],[CURSOS]]&amp;"LAP - "&amp;Tabela2[[#This Row],[POLO]]</f>
        <v>ENF-INS (Multidisciplinar II)EMF-ISNLAP - Campo Grande/MS - Terminal Morenão</v>
      </c>
      <c r="C47" s="8" t="str">
        <f>Tabela2[[#This Row],[CATEGORIA]]&amp;Tabela2[[#This Row],[CURSOS]]</f>
        <v>ENF-INS (Multidisciplinar II)EMF-ISN</v>
      </c>
      <c r="D47" s="8" t="str">
        <f>IF(Tabela2[[#This Row],[SITUAÇÃO]]&lt;&gt;"Demitido",CONCATENATE(Tabela2[[#This Row],[POLO]],Tabela2[[#This Row],[CURSOS]]),"Substituição")</f>
        <v>Substituição</v>
      </c>
      <c r="E47" s="8" t="s">
        <v>21</v>
      </c>
      <c r="F47" s="67" t="s">
        <v>22</v>
      </c>
      <c r="G47" s="67" t="s">
        <v>178</v>
      </c>
      <c r="H47" s="9" t="s">
        <v>179</v>
      </c>
      <c r="I47" s="71" t="str">
        <f>IFERROR(_xlfn.XLOOKUP(Tabela2[[#This Row],[CHAPA]],TUT.CONTROL!F:F,TUT.CONTROL!I:I),_xlfn.XLOOKUP(Tabela2[[#This Row],[CHAPA]],'REG.CONTROL'!F:F,'REG.CONTROL'!I:I))</f>
        <v>Demitido</v>
      </c>
      <c r="J47" s="17">
        <f>IFERROR(_xlfn.XLOOKUP(Tabela2[[#This Row],[NOME DO TUTOR]],TUT.CONTROL!C:C,TUT.CONTROL!G:G),"Demitido")</f>
        <v>45754</v>
      </c>
      <c r="K47" s="19" t="s">
        <v>180</v>
      </c>
      <c r="L47" s="22">
        <f>IFERROR(_xlfn.XLOOKUP(Tabela2[[#This Row],[NOME DO TUTOR]],TUT.CONTROL!C:C,TUT.CONTROL!F:F),"Demitido")</f>
        <v>1158000687</v>
      </c>
      <c r="M47" s="8" t="s">
        <v>181</v>
      </c>
      <c r="N47" s="11" t="str">
        <f>IFERROR(_xlfn.XLOOKUP(Tabela2[[#This Row],[CHAPA]],TUT.CONTROL!F:F,TUT.CONTROL!H:H),_xlfn.XLOOKUP(Tabela2[[#This Row],[CHAPA]],'REG.CONTROL'!F:F,'REG.CONTROL'!H:H))</f>
        <v>TUTOR DE PRATICA (UC_1749)</v>
      </c>
      <c r="O47" s="68" t="str">
        <f>IFERROR(_xlfn.XLOOKUP(Tabela2[[#This Row],[NOME DO TUTOR]],TUT.CONTROL!C:C,TUT.CONTROL!K:K),"Demitido")</f>
        <v>004:00</v>
      </c>
      <c r="P47" s="17">
        <f>IF(Tabela2[[#This Row],[SITUAÇÃO]]="Demitido",IFERROR(_xlfn.XLOOKUP(Tabela2[[#This Row],[CHAPA]],TUT.CONTROL!F:F,TUT.CONTROL!V:V),_xlfn.XLOOKUP(Tabela2[[#This Row],[CHAPA]],'REG.CONTROL'!F:F,'REG.CONTROL'!V:V)),"-")</f>
        <v>46082</v>
      </c>
      <c r="Q47" s="66" t="s">
        <v>43</v>
      </c>
      <c r="R47" s="8" t="s">
        <v>53</v>
      </c>
      <c r="S47" s="8">
        <v>729269</v>
      </c>
    </row>
    <row r="48" spans="1:19" ht="13.5" hidden="1" x14ac:dyDescent="0.3">
      <c r="A4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48" s="8" t="str">
        <f>Tabela2[[#This Row],[CATEGORIA]]&amp;Tabela2[[#This Row],[CURSOS]]&amp;"LAP - "&amp;Tabela2[[#This Row],[POLO]]</f>
        <v>ENF-INS (Multidisciplinar II)EMF-ISNLAP - Campos dos Goytacazes/RJ - Pelinca</v>
      </c>
      <c r="C48" s="8" t="str">
        <f>Tabela2[[#This Row],[CATEGORIA]]&amp;Tabela2[[#This Row],[CURSOS]]</f>
        <v>ENF-INS (Multidisciplinar II)EMF-ISN</v>
      </c>
      <c r="D48" s="8" t="str">
        <f>IF(Tabela2[[#This Row],[SITUAÇÃO]]&lt;&gt;"Demitido",CONCATENATE(Tabela2[[#This Row],[POLO]],Tabela2[[#This Row],[CURSOS]]),"Substituição")</f>
        <v>Substituição</v>
      </c>
      <c r="E48" s="8" t="s">
        <v>21</v>
      </c>
      <c r="F48" s="67" t="s">
        <v>22</v>
      </c>
      <c r="G48" s="67" t="s">
        <v>182</v>
      </c>
      <c r="H48" s="9" t="s">
        <v>183</v>
      </c>
      <c r="I48" s="71" t="str">
        <f>IFERROR(_xlfn.XLOOKUP(Tabela2[[#This Row],[CHAPA]],TUT.CONTROL!F:F,TUT.CONTROL!I:I),_xlfn.XLOOKUP(Tabela2[[#This Row],[CHAPA]],'REG.CONTROL'!F:F,'REG.CONTROL'!I:I))</f>
        <v>Demitido</v>
      </c>
      <c r="J48" s="17">
        <f>IFERROR(_xlfn.XLOOKUP(Tabela2[[#This Row],[NOME DO TUTOR]],TUT.CONTROL!C:C,TUT.CONTROL!G:G),"Atualizar")</f>
        <v>45782</v>
      </c>
      <c r="K48" s="19">
        <v>22997751428</v>
      </c>
      <c r="L48" s="22">
        <f>IFERROR(_xlfn.XLOOKUP(Tabela2[[#This Row],[NOME DO TUTOR]],TUT.CONTROL!C:C,TUT.CONTROL!F:F),"Demitido")</f>
        <v>1158000611</v>
      </c>
      <c r="M48" s="8" t="s">
        <v>184</v>
      </c>
      <c r="N48" s="11" t="str">
        <f>IFERROR(_xlfn.XLOOKUP(Tabela2[[#This Row],[CHAPA]],TUT.CONTROL!F:F,TUT.CONTROL!H:H),_xlfn.XLOOKUP(Tabela2[[#This Row],[CHAPA]],'REG.CONTROL'!F:F,'REG.CONTROL'!H:H))</f>
        <v>TUTOR DE PRATICA (UC_1749)</v>
      </c>
      <c r="O48" s="70" t="str">
        <f>IFERROR(_xlfn.XLOOKUP(Tabela2[[#This Row],[NOME DO TUTOR]],TUT.CONTROL!C:C,TUT.CONTROL!K:K),"Demitido")</f>
        <v>004:00</v>
      </c>
      <c r="P48" s="17">
        <f>IF(Tabela2[[#This Row],[SITUAÇÃO]]="Demitido",IFERROR(_xlfn.XLOOKUP(Tabela2[[#This Row],[CHAPA]],TUT.CONTROL!F:F,TUT.CONTROL!V:V),_xlfn.XLOOKUP(Tabela2[[#This Row],[CHAPA]],'REG.CONTROL'!F:F,'REG.CONTROL'!V:V)),"-")</f>
        <v>45874</v>
      </c>
      <c r="Q48" s="66" t="s">
        <v>43</v>
      </c>
      <c r="R48" s="8"/>
    </row>
    <row r="49" spans="1:19" ht="13.5" hidden="1" x14ac:dyDescent="0.3">
      <c r="A4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49" s="8" t="str">
        <f>Tabela2[[#This Row],[CATEGORIA]]&amp;Tabela2[[#This Row],[CURSOS]]&amp;"LAP - "&amp;Tabela2[[#This Row],[POLO]]</f>
        <v>ENF-INS (Multidisciplinar II)EMF-ISNLAP - Campos dos Goytacazes/RJ - Pelinca</v>
      </c>
      <c r="C49" s="8" t="str">
        <f>Tabela2[[#This Row],[CATEGORIA]]&amp;Tabela2[[#This Row],[CURSOS]]</f>
        <v>ENF-INS (Multidisciplinar II)EMF-ISN</v>
      </c>
      <c r="D49" s="8" t="str">
        <f>IF(Tabela2[[#This Row],[SITUAÇÃO]]&lt;&gt;"Demitido",CONCATENATE(Tabela2[[#This Row],[POLO]],Tabela2[[#This Row],[CURSOS]]),"Substituição")</f>
        <v>Substituição</v>
      </c>
      <c r="E49" s="8" t="s">
        <v>21</v>
      </c>
      <c r="F49" s="67" t="s">
        <v>22</v>
      </c>
      <c r="G49" s="67" t="s">
        <v>182</v>
      </c>
      <c r="H49" s="9" t="s">
        <v>185</v>
      </c>
      <c r="I49" s="17" t="str">
        <f>IFERROR(_xlfn.XLOOKUP(Tabela2[[#This Row],[CHAPA]],TUT.CONTROL!F:F,TUT.CONTROL!I:I),_xlfn.XLOOKUP(Tabela2[[#This Row],[CHAPA]],'REG.CONTROL'!F:F,'REG.CONTROL'!I:I))</f>
        <v>Demitido</v>
      </c>
      <c r="J49" s="17">
        <f>IFERROR(_xlfn.XLOOKUP(Tabela2[[#This Row],[NOME DO TUTOR]],TUT.CONTROL!C:C,TUT.CONTROL!G:G),"Demitido")</f>
        <v>45887</v>
      </c>
      <c r="K49" s="19">
        <v>27997096138</v>
      </c>
      <c r="L49" s="22">
        <f>IFERROR(_xlfn.XLOOKUP(Tabela2[[#This Row],[NOME DO TUTOR]],TUT.CONTROL!C:C,TUT.CONTROL!F:F),"Demitido")</f>
        <v>1158000885</v>
      </c>
      <c r="M49" s="8" t="s">
        <v>186</v>
      </c>
      <c r="N49" s="11" t="str">
        <f>IFERROR(_xlfn.XLOOKUP(Tabela2[[#This Row],[CHAPA]],TUT.CONTROL!F:F,TUT.CONTROL!H:H),_xlfn.XLOOKUP(Tabela2[[#This Row],[CHAPA]],'REG.CONTROL'!F:F,'REG.CONTROL'!H:H))</f>
        <v>TUTOR DE PRATICA (UC_1749)</v>
      </c>
      <c r="O49" s="68" t="str">
        <f>IFERROR(_xlfn.XLOOKUP(Tabela2[[#This Row],[NOME DO TUTOR]],TUT.CONTROL!C:C,TUT.CONTROL!K:K),"Demitido")</f>
        <v>004:00</v>
      </c>
      <c r="P49" s="17">
        <f>IF(Tabela2[[#This Row],[SITUAÇÃO]]="Demitido",IFERROR(_xlfn.XLOOKUP(Tabela2[[#This Row],[CHAPA]],TUT.CONTROL!F:F,TUT.CONTROL!V:V),_xlfn.XLOOKUP(Tabela2[[#This Row],[CHAPA]],'REG.CONTROL'!F:F,'REG.CONTROL'!V:V)),"-")</f>
        <v>46092</v>
      </c>
      <c r="Q49" s="66" t="s">
        <v>43</v>
      </c>
      <c r="R49" s="8" t="s">
        <v>157</v>
      </c>
      <c r="S49" s="8">
        <v>670008</v>
      </c>
    </row>
    <row r="50" spans="1:19" ht="13.5" hidden="1" x14ac:dyDescent="0.3">
      <c r="A5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Canindé/CEEMF-ISNENF-INS (Multidisciplinar II)</v>
      </c>
      <c r="B50" s="8" t="str">
        <f>Tabela2[[#This Row],[CATEGORIA]]&amp;Tabela2[[#This Row],[CURSOS]]&amp;"LAP - "&amp;Tabela2[[#This Row],[POLO]]</f>
        <v>ENF-INS (Multidisciplinar II)EMF-ISNLAP - Canindé/CE</v>
      </c>
      <c r="C50" s="8" t="str">
        <f>Tabela2[[#This Row],[CATEGORIA]]&amp;Tabela2[[#This Row],[CURSOS]]</f>
        <v>ENF-INS (Multidisciplinar II)EMF-ISN</v>
      </c>
      <c r="D50" s="8" t="str">
        <f>IF(Tabela2[[#This Row],[SITUAÇÃO]]&lt;&gt;"Demitido",CONCATENATE(Tabela2[[#This Row],[POLO]],Tabela2[[#This Row],[CURSOS]]),"Substituição")</f>
        <v>Canindé/CEEMF-ISN</v>
      </c>
      <c r="E50" s="8" t="s">
        <v>21</v>
      </c>
      <c r="F50" s="67" t="s">
        <v>22</v>
      </c>
      <c r="G50" s="67" t="s">
        <v>187</v>
      </c>
      <c r="H50" s="9" t="s">
        <v>188</v>
      </c>
      <c r="I50" s="17" t="str">
        <f>IFERROR(_xlfn.XLOOKUP(Tabela2[[#This Row],[CHAPA]],TUT.CONTROL!F:F,TUT.CONTROL!I:I),_xlfn.XLOOKUP(Tabela2[[#This Row],[CHAPA]],'REG.CONTROL'!F:F,'REG.CONTROL'!I:I))</f>
        <v>Ativo</v>
      </c>
      <c r="J50" s="17">
        <f>IFERROR(_xlfn.XLOOKUP(Tabela2[[#This Row],[NOME DO TUTOR]],TUT.CONTROL!C:C,TUT.CONTROL!G:G),"Demitido")</f>
        <v>45749</v>
      </c>
      <c r="K50" s="19" t="s">
        <v>189</v>
      </c>
      <c r="L50" s="22">
        <f>IFERROR(_xlfn.XLOOKUP(Tabela2[[#This Row],[NOME DO TUTOR]],TUT.CONTROL!C:C,TUT.CONTROL!F:F),"Demitido")</f>
        <v>1158000660</v>
      </c>
      <c r="M50" s="8" t="s">
        <v>190</v>
      </c>
      <c r="N50" s="11" t="str">
        <f>IFERROR(_xlfn.XLOOKUP(Tabela2[[#This Row],[CHAPA]],TUT.CONTROL!F:F,TUT.CONTROL!H:H),_xlfn.XLOOKUP(Tabela2[[#This Row],[CHAPA]],'REG.CONTROL'!F:F,'REG.CONTROL'!H:H))</f>
        <v>TUTOR DE PRATICA (UC_1749)</v>
      </c>
      <c r="O50" s="68" t="str">
        <f>IFERROR(_xlfn.XLOOKUP(Tabela2[[#This Row],[NOME DO TUTOR]],TUT.CONTROL!C:C,TUT.CONTROL!K:K),"Demitido")</f>
        <v>004:00</v>
      </c>
      <c r="P5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50" s="66"/>
      <c r="R50" s="8" t="s">
        <v>31</v>
      </c>
      <c r="S50" s="8">
        <v>648926</v>
      </c>
    </row>
    <row r="51" spans="1:19" ht="13.5" hidden="1" x14ac:dyDescent="0.3">
      <c r="A5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Canoas/RS - CentroEMF-ISNENF-INS (Multidisciplinar II)</v>
      </c>
      <c r="B51" s="8" t="str">
        <f>Tabela2[[#This Row],[CATEGORIA]]&amp;Tabela2[[#This Row],[CURSOS]]&amp;"LAP - "&amp;Tabela2[[#This Row],[POLO]]</f>
        <v>ENF-INS (Multidisciplinar II)EMF-ISNLAP - Canoas/RS - Centro</v>
      </c>
      <c r="C51" s="8" t="str">
        <f>Tabela2[[#This Row],[CATEGORIA]]&amp;Tabela2[[#This Row],[CURSOS]]</f>
        <v>ENF-INS (Multidisciplinar II)EMF-ISN</v>
      </c>
      <c r="D51" s="8" t="str">
        <f>IF(Tabela2[[#This Row],[SITUAÇÃO]]&lt;&gt;"Demitido",CONCATENATE(Tabela2[[#This Row],[POLO]],Tabela2[[#This Row],[CURSOS]]),"Substituição")</f>
        <v>Canoas/RS - CentroEMF-ISN</v>
      </c>
      <c r="E51" s="8" t="s">
        <v>21</v>
      </c>
      <c r="F51" s="67" t="s">
        <v>22</v>
      </c>
      <c r="G51" s="67" t="s">
        <v>191</v>
      </c>
      <c r="H51" s="9" t="s">
        <v>192</v>
      </c>
      <c r="I51" s="17" t="str">
        <f>IFERROR(_xlfn.XLOOKUP(Tabela2[[#This Row],[CHAPA]],TUT.CONTROL!F:F,TUT.CONTROL!I:I),_xlfn.XLOOKUP(Tabela2[[#This Row],[CHAPA]],'REG.CONTROL'!F:F,'REG.CONTROL'!I:I))</f>
        <v>Ativo</v>
      </c>
      <c r="J51" s="17">
        <f>IFERROR(_xlfn.XLOOKUP(Tabela2[[#This Row],[NOME DO TUTOR]],TUT.CONTROL!C:C,TUT.CONTROL!G:G),"Demitido")</f>
        <v>45817</v>
      </c>
      <c r="K51" s="19">
        <v>51993999626</v>
      </c>
      <c r="L51" s="22">
        <f>IFERROR(_xlfn.XLOOKUP(Tabela2[[#This Row],[NOME DO TUTOR]],TUT.CONTROL!C:C,TUT.CONTROL!F:F),"Demitido")</f>
        <v>1158000750</v>
      </c>
      <c r="M51" s="8" t="s">
        <v>193</v>
      </c>
      <c r="N51" s="11" t="str">
        <f>IFERROR(_xlfn.XLOOKUP(Tabela2[[#This Row],[CHAPA]],TUT.CONTROL!F:F,TUT.CONTROL!H:H),_xlfn.XLOOKUP(Tabela2[[#This Row],[CHAPA]],'REG.CONTROL'!F:F,'REG.CONTROL'!H:H))</f>
        <v>TUTOR DE PRATICA (UC_1749)</v>
      </c>
      <c r="O51" s="68" t="str">
        <f>IFERROR(_xlfn.XLOOKUP(Tabela2[[#This Row],[NOME DO TUTOR]],TUT.CONTROL!C:C,TUT.CONTROL!K:K),"Demitido")</f>
        <v>008:00</v>
      </c>
      <c r="P5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51" s="66" t="s">
        <v>30</v>
      </c>
      <c r="R51" s="8" t="s">
        <v>109</v>
      </c>
      <c r="S51" s="8">
        <v>738422</v>
      </c>
    </row>
    <row r="52" spans="1:19" ht="13.5" hidden="1" x14ac:dyDescent="0.3">
      <c r="A5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Canoinhas/SCEMF-ISNENF-INS (Multidisciplinar II)</v>
      </c>
      <c r="B52" s="8" t="str">
        <f>Tabela2[[#This Row],[CATEGORIA]]&amp;Tabela2[[#This Row],[CURSOS]]&amp;"LAP - "&amp;Tabela2[[#This Row],[POLO]]</f>
        <v>ENF-INS (Multidisciplinar II)EMF-ISNLAP - Canoinhas/SC</v>
      </c>
      <c r="C52" s="8" t="str">
        <f>Tabela2[[#This Row],[CATEGORIA]]&amp;Tabela2[[#This Row],[CURSOS]]</f>
        <v>ENF-INS (Multidisciplinar II)EMF-ISN</v>
      </c>
      <c r="D52" s="8" t="str">
        <f>IF(Tabela2[[#This Row],[SITUAÇÃO]]&lt;&gt;"Demitido",CONCATENATE(Tabela2[[#This Row],[POLO]],Tabela2[[#This Row],[CURSOS]]),"Substituição")</f>
        <v>Canoinhas/SCEMF-ISN</v>
      </c>
      <c r="E52" s="8" t="s">
        <v>21</v>
      </c>
      <c r="F52" s="67" t="s">
        <v>22</v>
      </c>
      <c r="G52" s="67" t="s">
        <v>194</v>
      </c>
      <c r="H52" s="9" t="s">
        <v>195</v>
      </c>
      <c r="I52" s="17" t="str">
        <f>IFERROR(_xlfn.XLOOKUP(Tabela2[[#This Row],[CHAPA]],TUT.CONTROL!F:F,TUT.CONTROL!I:I),_xlfn.XLOOKUP(Tabela2[[#This Row],[CHAPA]],'REG.CONTROL'!F:F,'REG.CONTROL'!I:I))</f>
        <v>Ativo</v>
      </c>
      <c r="J52" s="17">
        <f>IFERROR(_xlfn.XLOOKUP(Tabela2[[#This Row],[NOME DO TUTOR]],TUT.CONTROL!C:C,TUT.CONTROL!G:G),"Demitido")</f>
        <v>45782</v>
      </c>
      <c r="K52" s="19">
        <v>47997517370</v>
      </c>
      <c r="L52" s="22">
        <f>IFERROR(_xlfn.XLOOKUP(Tabela2[[#This Row],[NOME DO TUTOR]],TUT.CONTROL!C:C,TUT.CONTROL!F:F),"Demitido")</f>
        <v>1158000605</v>
      </c>
      <c r="M52" s="8" t="s">
        <v>196</v>
      </c>
      <c r="N52" s="11" t="str">
        <f>IFERROR(_xlfn.XLOOKUP(Tabela2[[#This Row],[CHAPA]],TUT.CONTROL!F:F,TUT.CONTROL!H:H),_xlfn.XLOOKUP(Tabela2[[#This Row],[CHAPA]],'REG.CONTROL'!F:F,'REG.CONTROL'!H:H))</f>
        <v>TUTOR DE PRATICA (UC_1749)</v>
      </c>
      <c r="O52" s="68" t="str">
        <f>IFERROR(_xlfn.XLOOKUP(Tabela2[[#This Row],[NOME DO TUTOR]],TUT.CONTROL!C:C,TUT.CONTROL!K:K),"Demitido")</f>
        <v>004:00</v>
      </c>
      <c r="P5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52" s="66" t="s">
        <v>30</v>
      </c>
      <c r="R52" s="8" t="s">
        <v>149</v>
      </c>
      <c r="S52" s="8">
        <v>634986</v>
      </c>
    </row>
    <row r="53" spans="1:19" ht="13.5" hidden="1" x14ac:dyDescent="0.3">
      <c r="A5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Capão Da Canoa/RSEMF-ISNENF-INS (Multidisciplinar II)</v>
      </c>
      <c r="B53" s="8" t="str">
        <f>Tabela2[[#This Row],[CATEGORIA]]&amp;Tabela2[[#This Row],[CURSOS]]&amp;"LAP - "&amp;Tabela2[[#This Row],[POLO]]</f>
        <v>ENF-INS (Multidisciplinar II)EMF-ISNLAP - Capão Da Canoa/RS</v>
      </c>
      <c r="C53" s="8" t="str">
        <f>Tabela2[[#This Row],[CATEGORIA]]&amp;Tabela2[[#This Row],[CURSOS]]</f>
        <v>ENF-INS (Multidisciplinar II)EMF-ISN</v>
      </c>
      <c r="D53" s="8" t="str">
        <f>IF(Tabela2[[#This Row],[SITUAÇÃO]]&lt;&gt;"Demitido",CONCATENATE(Tabela2[[#This Row],[POLO]],Tabela2[[#This Row],[CURSOS]]),"Substituição")</f>
        <v>Capão Da Canoa/RSEMF-ISN</v>
      </c>
      <c r="E53" s="8" t="s">
        <v>21</v>
      </c>
      <c r="F53" s="67" t="s">
        <v>22</v>
      </c>
      <c r="G53" s="67" t="s">
        <v>197</v>
      </c>
      <c r="H53" s="9" t="s">
        <v>198</v>
      </c>
      <c r="I53" s="17" t="str">
        <f>IFERROR(_xlfn.XLOOKUP(Tabela2[[#This Row],[CHAPA]],TUT.CONTROL!F:F,TUT.CONTROL!I:I),_xlfn.XLOOKUP(Tabela2[[#This Row],[CHAPA]],'REG.CONTROL'!F:F,'REG.CONTROL'!I:I))</f>
        <v>Ativo</v>
      </c>
      <c r="J53" s="17">
        <f>IFERROR(_xlfn.XLOOKUP(Tabela2[[#This Row],[NOME DO TUTOR]],TUT.CONTROL!C:C,TUT.CONTROL!G:G),"Demitido")</f>
        <v>45721</v>
      </c>
      <c r="K53" s="19">
        <v>55996487080</v>
      </c>
      <c r="L53" s="22">
        <f>IFERROR(_xlfn.XLOOKUP(Tabela2[[#This Row],[NOME DO TUTOR]],TUT.CONTROL!C:C,TUT.CONTROL!F:F),"Demitido")</f>
        <v>1158000533</v>
      </c>
      <c r="M53" s="8" t="s">
        <v>199</v>
      </c>
      <c r="N53" s="11" t="str">
        <f>IFERROR(_xlfn.XLOOKUP(Tabela2[[#This Row],[CHAPA]],TUT.CONTROL!F:F,TUT.CONTROL!H:H),_xlfn.XLOOKUP(Tabela2[[#This Row],[CHAPA]],'REG.CONTROL'!F:F,'REG.CONTROL'!H:H))</f>
        <v>TUTOR DE PRATICA (UC_1749)</v>
      </c>
      <c r="O53" s="68" t="str">
        <f>IFERROR(_xlfn.XLOOKUP(Tabela2[[#This Row],[NOME DO TUTOR]],TUT.CONTROL!C:C,TUT.CONTROL!K:K),"Demitido")</f>
        <v>008:00</v>
      </c>
      <c r="P5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53" s="66" t="s">
        <v>30</v>
      </c>
      <c r="R53" s="8" t="s">
        <v>109</v>
      </c>
      <c r="S53" s="8">
        <v>203854</v>
      </c>
    </row>
    <row r="54" spans="1:19" ht="13.5" hidden="1" x14ac:dyDescent="0.3">
      <c r="A5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Carapicuíba/SPEMF-ISNENF-INS (Multidisciplinar II)</v>
      </c>
      <c r="B54" s="8" t="str">
        <f>Tabela2[[#This Row],[CATEGORIA]]&amp;Tabela2[[#This Row],[CURSOS]]&amp;"LAP - "&amp;Tabela2[[#This Row],[POLO]]</f>
        <v>ENF-INS (Multidisciplinar II)EMF-ISNLAP - Carapicuíba/SP</v>
      </c>
      <c r="C54" s="8" t="str">
        <f>Tabela2[[#This Row],[CATEGORIA]]&amp;Tabela2[[#This Row],[CURSOS]]</f>
        <v>ENF-INS (Multidisciplinar II)EMF-ISN</v>
      </c>
      <c r="D54" s="8" t="str">
        <f>IF(Tabela2[[#This Row],[SITUAÇÃO]]&lt;&gt;"Demitido",CONCATENATE(Tabela2[[#This Row],[POLO]],Tabela2[[#This Row],[CURSOS]]),"Substituição")</f>
        <v>Carapicuíba/SPEMF-ISN</v>
      </c>
      <c r="E54" s="8" t="s">
        <v>21</v>
      </c>
      <c r="F54" s="67" t="s">
        <v>22</v>
      </c>
      <c r="G54" s="67" t="s">
        <v>200</v>
      </c>
      <c r="H54" s="9" t="s">
        <v>201</v>
      </c>
      <c r="I54" s="17" t="str">
        <f>IFERROR(_xlfn.XLOOKUP(Tabela2[[#This Row],[CHAPA]],TUT.CONTROL!F:F,TUT.CONTROL!I:I),_xlfn.XLOOKUP(Tabela2[[#This Row],[CHAPA]],'REG.CONTROL'!F:F,'REG.CONTROL'!I:I))</f>
        <v>Ativo</v>
      </c>
      <c r="J54" s="17">
        <f>IFERROR(_xlfn.XLOOKUP(Tabela2[[#This Row],[NOME DO TUTOR]],TUT.CONTROL!C:C,TUT.CONTROL!G:G),"Demitido")</f>
        <v>45798</v>
      </c>
      <c r="K54" s="19">
        <v>11999381896</v>
      </c>
      <c r="L54" s="22">
        <f>IFERROR(_xlfn.XLOOKUP(Tabela2[[#This Row],[NOME DO TUTOR]],TUT.CONTROL!C:C,TUT.CONTROL!F:F),"Demitido")</f>
        <v>1158000643</v>
      </c>
      <c r="M54" s="8" t="s">
        <v>202</v>
      </c>
      <c r="N54" s="11" t="str">
        <f>IFERROR(_xlfn.XLOOKUP(Tabela2[[#This Row],[CHAPA]],TUT.CONTROL!F:F,TUT.CONTROL!H:H),_xlfn.XLOOKUP(Tabela2[[#This Row],[CHAPA]],'REG.CONTROL'!F:F,'REG.CONTROL'!H:H))</f>
        <v>TUTOR DE PRATICA (UC_1749)</v>
      </c>
      <c r="O54" s="68" t="str">
        <f>IFERROR(_xlfn.XLOOKUP(Tabela2[[#This Row],[NOME DO TUTOR]],TUT.CONTROL!C:C,TUT.CONTROL!K:K),"Demitido")</f>
        <v>004:00</v>
      </c>
      <c r="P5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54" s="66" t="s">
        <v>30</v>
      </c>
      <c r="R54" s="8" t="s">
        <v>75</v>
      </c>
      <c r="S54" s="8">
        <v>171673</v>
      </c>
    </row>
    <row r="55" spans="1:19" ht="13.5" hidden="1" customHeight="1" x14ac:dyDescent="0.3">
      <c r="A5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Caratinga/MGEMF-ISNENF-INS (Multidisciplinar II)</v>
      </c>
      <c r="B55" s="8" t="str">
        <f>Tabela2[[#This Row],[CATEGORIA]]&amp;Tabela2[[#This Row],[CURSOS]]&amp;"LAP - "&amp;Tabela2[[#This Row],[POLO]]</f>
        <v>ENF-INS (Multidisciplinar II)EMF-ISNLAP - Caratinga/MG</v>
      </c>
      <c r="C55" s="8" t="str">
        <f>Tabela2[[#This Row],[CATEGORIA]]&amp;Tabela2[[#This Row],[CURSOS]]</f>
        <v>ENF-INS (Multidisciplinar II)EMF-ISN</v>
      </c>
      <c r="D55" s="8" t="str">
        <f>IF(Tabela2[[#This Row],[SITUAÇÃO]]&lt;&gt;"Demitido",CONCATENATE(Tabela2[[#This Row],[POLO]],Tabela2[[#This Row],[CURSOS]]),"Substituição")</f>
        <v>Caratinga/MGEMF-ISN</v>
      </c>
      <c r="E55" s="8" t="s">
        <v>21</v>
      </c>
      <c r="F55" s="67" t="s">
        <v>22</v>
      </c>
      <c r="G55" s="67" t="s">
        <v>203</v>
      </c>
      <c r="H55" s="9" t="s">
        <v>204</v>
      </c>
      <c r="I55" s="17" t="str">
        <f>IFERROR(_xlfn.XLOOKUP(Tabela2[[#This Row],[CHAPA]],TUT.CONTROL!F:F,TUT.CONTROL!I:I),_xlfn.XLOOKUP(Tabela2[[#This Row],[CHAPA]],'REG.CONTROL'!F:F,'REG.CONTROL'!I:I))</f>
        <v>Ativo</v>
      </c>
      <c r="J55" s="17">
        <f>IFERROR(_xlfn.XLOOKUP(Tabela2[[#This Row],[NOME DO TUTOR]],TUT.CONTROL!C:C,TUT.CONTROL!G:G),"Demitido")</f>
        <v>45910</v>
      </c>
      <c r="K55" s="19">
        <v>33999321356</v>
      </c>
      <c r="L55" s="22">
        <f>IFERROR(_xlfn.XLOOKUP(Tabela2[[#This Row],[NOME DO TUTOR]],TUT.CONTROL!C:C,TUT.CONTROL!F:F),"Demitido")</f>
        <v>1158000964</v>
      </c>
      <c r="M55" s="8" t="s">
        <v>205</v>
      </c>
      <c r="N55" s="11" t="str">
        <f>IFERROR(_xlfn.XLOOKUP(Tabela2[[#This Row],[CHAPA]],TUT.CONTROL!F:F,TUT.CONTROL!H:H),_xlfn.XLOOKUP(Tabela2[[#This Row],[CHAPA]],'REG.CONTROL'!F:F,'REG.CONTROL'!H:H))</f>
        <v>TUTOR DE PRATICA (UC_1749)</v>
      </c>
      <c r="O55" s="68" t="str">
        <f>IFERROR(_xlfn.XLOOKUP(Tabela2[[#This Row],[NOME DO TUTOR]],TUT.CONTROL!C:C,TUT.CONTROL!K:K),"Demitido")</f>
        <v>004:00</v>
      </c>
      <c r="P5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55" s="66" t="s">
        <v>30</v>
      </c>
      <c r="R55" s="8" t="s">
        <v>100</v>
      </c>
      <c r="S55" s="8">
        <v>308809</v>
      </c>
    </row>
    <row r="56" spans="1:19" ht="13.5" hidden="1" x14ac:dyDescent="0.3">
      <c r="A5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Cascavel/PREMF-ISNENF-INS (Multidisciplinar II)</v>
      </c>
      <c r="B56" s="8" t="str">
        <f>Tabela2[[#This Row],[CATEGORIA]]&amp;Tabela2[[#This Row],[CURSOS]]&amp;"LAP - "&amp;Tabela2[[#This Row],[POLO]]</f>
        <v>ENF-INS (Multidisciplinar II)EMF-ISNLAP - Cascavel/PR</v>
      </c>
      <c r="C56" s="8" t="str">
        <f>Tabela2[[#This Row],[CATEGORIA]]&amp;Tabela2[[#This Row],[CURSOS]]</f>
        <v>ENF-INS (Multidisciplinar II)EMF-ISN</v>
      </c>
      <c r="D56" s="8" t="str">
        <f>IF(Tabela2[[#This Row],[SITUAÇÃO]]&lt;&gt;"Demitido",CONCATENATE(Tabela2[[#This Row],[POLO]],Tabela2[[#This Row],[CURSOS]]),"Substituição")</f>
        <v>Cascavel/PREMF-ISN</v>
      </c>
      <c r="E56" s="8" t="s">
        <v>21</v>
      </c>
      <c r="F56" s="67" t="s">
        <v>22</v>
      </c>
      <c r="G56" s="67" t="s">
        <v>206</v>
      </c>
      <c r="H56" s="9" t="s">
        <v>207</v>
      </c>
      <c r="I56" s="17" t="str">
        <f>IFERROR(_xlfn.XLOOKUP(Tabela2[[#This Row],[CHAPA]],TUT.CONTROL!F:F,TUT.CONTROL!I:I),_xlfn.XLOOKUP(Tabela2[[#This Row],[CHAPA]],'REG.CONTROL'!F:F,'REG.CONTROL'!I:I))</f>
        <v>Ativo</v>
      </c>
      <c r="J56" s="17">
        <f>IFERROR(_xlfn.XLOOKUP(Tabela2[[#This Row],[NOME DO TUTOR]],'REG.CONTROL'!C:C,'REG.CONTROL'!G:G),"Demitido")</f>
        <v>45153</v>
      </c>
      <c r="K56" s="19">
        <v>45998619360</v>
      </c>
      <c r="L56" s="22">
        <f>IFERROR(_xlfn.XLOOKUP(Tabela2[[#This Row],[NOME DO TUTOR]],'REG.CONTROL'!C:C,'REG.CONTROL'!F:F),"Demitido")</f>
        <v>1004012611</v>
      </c>
      <c r="M56" s="8" t="s">
        <v>208</v>
      </c>
      <c r="N56" s="11" t="str">
        <f>IFERROR(_xlfn.XLOOKUP(Tabela2[[#This Row],[CHAPA]],TUT.CONTROL!F:F,TUT.CONTROL!H:H),_xlfn.XLOOKUP(Tabela2[[#This Row],[CHAPA]],'REG.CONTROL'!F:F,'REG.CONTROL'!H:H))</f>
        <v>PROFESSOR REGENTE DE POLO (UC_1744)</v>
      </c>
      <c r="O56" s="68" t="str">
        <f>IFERROR(_xlfn.XLOOKUP(Tabela2[[#This Row],[NOME DO TUTOR]],'REGENTE CH'!A:A,'REGENTE CH'!C:C),"Atualizar")</f>
        <v>004:00</v>
      </c>
      <c r="P5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56" s="66" t="s">
        <v>30</v>
      </c>
      <c r="R56" s="8" t="s">
        <v>209</v>
      </c>
      <c r="S56" s="8">
        <v>248014</v>
      </c>
    </row>
    <row r="57" spans="1:19" ht="13.5" hidden="1" customHeight="1" x14ac:dyDescent="0.3">
      <c r="A5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Catalão/GOEMF-ISNENF-INS (Multidisciplinar II)</v>
      </c>
      <c r="B57" s="8" t="str">
        <f>Tabela2[[#This Row],[CATEGORIA]]&amp;Tabela2[[#This Row],[CURSOS]]&amp;"LAP - "&amp;Tabela2[[#This Row],[POLO]]</f>
        <v>ENF-INS (Multidisciplinar II)EMF-ISNLAP - Catalão/GO</v>
      </c>
      <c r="C57" s="8" t="str">
        <f>Tabela2[[#This Row],[CATEGORIA]]&amp;Tabela2[[#This Row],[CURSOS]]</f>
        <v>ENF-INS (Multidisciplinar II)EMF-ISN</v>
      </c>
      <c r="D57" s="8" t="str">
        <f>IF(Tabela2[[#This Row],[SITUAÇÃO]]&lt;&gt;"Demitido",CONCATENATE(Tabela2[[#This Row],[POLO]],Tabela2[[#This Row],[CURSOS]]),"Substituição")</f>
        <v>Catalão/GOEMF-ISN</v>
      </c>
      <c r="E57" s="8" t="s">
        <v>21</v>
      </c>
      <c r="F57" s="67" t="s">
        <v>22</v>
      </c>
      <c r="G57" s="67" t="s">
        <v>210</v>
      </c>
      <c r="H57" s="9" t="s">
        <v>211</v>
      </c>
      <c r="I57" s="17" t="str">
        <f>IFERROR(_xlfn.XLOOKUP(Tabela2[[#This Row],[CHAPA]],TUT.CONTROL!F:F,TUT.CONTROL!I:I),_xlfn.XLOOKUP(Tabela2[[#This Row],[CHAPA]],'REG.CONTROL'!F:F,'REG.CONTROL'!I:I))</f>
        <v>Ativo</v>
      </c>
      <c r="J57" s="17">
        <f>IFERROR(_xlfn.XLOOKUP(Tabela2[[#This Row],[NOME DO TUTOR]],TUT.CONTROL!C:C,TUT.CONTROL!G:G),"Demitido")</f>
        <v>45798</v>
      </c>
      <c r="K57" s="19">
        <v>64999100477</v>
      </c>
      <c r="L57" s="22">
        <f>IFERROR(_xlfn.XLOOKUP(Tabela2[[#This Row],[NOME DO TUTOR]],TUT.CONTROL!C:C,TUT.CONTROL!F:F),"Demitido")</f>
        <v>1158000713</v>
      </c>
      <c r="M57" s="8" t="s">
        <v>212</v>
      </c>
      <c r="N57" s="11" t="str">
        <f>IFERROR(_xlfn.XLOOKUP(Tabela2[[#This Row],[CHAPA]],TUT.CONTROL!F:F,TUT.CONTROL!H:H),_xlfn.XLOOKUP(Tabela2[[#This Row],[CHAPA]],'REG.CONTROL'!F:F,'REG.CONTROL'!H:H))</f>
        <v>TUTOR DE PRATICA (UC_1749)</v>
      </c>
      <c r="O57" s="68" t="str">
        <f>IFERROR(_xlfn.XLOOKUP(Tabela2[[#This Row],[NOME DO TUTOR]],TUT.CONTROL!C:C,TUT.CONTROL!K:K),"Demitido")</f>
        <v>004:00</v>
      </c>
      <c r="P5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57" s="66" t="s">
        <v>30</v>
      </c>
      <c r="R57" s="8" t="s">
        <v>213</v>
      </c>
      <c r="S57" s="8">
        <v>684236</v>
      </c>
    </row>
    <row r="58" spans="1:19" ht="13.5" hidden="1" x14ac:dyDescent="0.3">
      <c r="A5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Cedro/CEEMF-ISNENF-INS (Multidisciplinar II)</v>
      </c>
      <c r="B58" s="8" t="str">
        <f>Tabela2[[#This Row],[CATEGORIA]]&amp;Tabela2[[#This Row],[CURSOS]]&amp;"LAP - "&amp;Tabela2[[#This Row],[POLO]]</f>
        <v>ENF-INS (Multidisciplinar II)EMF-ISNLAP - Cedro/CE</v>
      </c>
      <c r="C58" s="8" t="str">
        <f>Tabela2[[#This Row],[CATEGORIA]]&amp;Tabela2[[#This Row],[CURSOS]]</f>
        <v>ENF-INS (Multidisciplinar II)EMF-ISN</v>
      </c>
      <c r="D58" s="8" t="str">
        <f>IF(Tabela2[[#This Row],[SITUAÇÃO]]&lt;&gt;"Demitido",CONCATENATE(Tabela2[[#This Row],[POLO]],Tabela2[[#This Row],[CURSOS]]),"Substituição")</f>
        <v>Cedro/CEEMF-ISN</v>
      </c>
      <c r="E58" s="8" t="s">
        <v>21</v>
      </c>
      <c r="F58" s="67" t="s">
        <v>22</v>
      </c>
      <c r="G58" s="67" t="s">
        <v>214</v>
      </c>
      <c r="H58" s="9" t="s">
        <v>215</v>
      </c>
      <c r="I58" s="17" t="str">
        <f>IFERROR(_xlfn.XLOOKUP(Tabela2[[#This Row],[CHAPA]],TUT.CONTROL!F:F,TUT.CONTROL!I:I),_xlfn.XLOOKUP(Tabela2[[#This Row],[CHAPA]],'REG.CONTROL'!F:F,'REG.CONTROL'!I:I))</f>
        <v>Ativo</v>
      </c>
      <c r="J58" s="17">
        <f>IFERROR(_xlfn.XLOOKUP(Tabela2[[#This Row],[NOME DO TUTOR]],TUT.CONTROL!C:C,TUT.CONTROL!G:G),"Demitido")</f>
        <v>45733</v>
      </c>
      <c r="K58" s="19">
        <v>88998535642</v>
      </c>
      <c r="L58" s="22">
        <f>IFERROR(_xlfn.XLOOKUP(Tabela2[[#This Row],[NOME DO TUTOR]],TUT.CONTROL!C:C,TUT.CONTROL!F:F),"Demitido")</f>
        <v>1158000558</v>
      </c>
      <c r="M58" s="8" t="s">
        <v>216</v>
      </c>
      <c r="N58" s="11" t="str">
        <f>IFERROR(_xlfn.XLOOKUP(Tabela2[[#This Row],[CHAPA]],TUT.CONTROL!F:F,TUT.CONTROL!H:H),_xlfn.XLOOKUP(Tabela2[[#This Row],[CHAPA]],'REG.CONTROL'!F:F,'REG.CONTROL'!H:H))</f>
        <v>TUTOR DE PRATICA (UC_1749)</v>
      </c>
      <c r="O58" s="68" t="str">
        <f>IFERROR(_xlfn.XLOOKUP(Tabela2[[#This Row],[NOME DO TUTOR]],TUT.CONTROL!C:C,TUT.CONTROL!K:K),"Demitido")</f>
        <v>004:00</v>
      </c>
      <c r="P5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58" s="66" t="s">
        <v>30</v>
      </c>
      <c r="R58" s="8" t="s">
        <v>31</v>
      </c>
      <c r="S58" s="8">
        <v>562688</v>
      </c>
    </row>
    <row r="59" spans="1:19" ht="13.5" hidden="1" x14ac:dyDescent="0.4">
      <c r="A5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Chapadinha/MAEMF-ISNENF-INS (Multidisciplinar II)</v>
      </c>
      <c r="B59" s="8" t="str">
        <f>Tabela2[[#This Row],[CATEGORIA]]&amp;Tabela2[[#This Row],[CURSOS]]&amp;"LAP - "&amp;Tabela2[[#This Row],[POLO]]</f>
        <v>ENF-INS (Multidisciplinar II)EMF-ISNLAP - Chapadinha/MA</v>
      </c>
      <c r="C59" s="8" t="str">
        <f>Tabela2[[#This Row],[CATEGORIA]]&amp;Tabela2[[#This Row],[CURSOS]]</f>
        <v>ENF-INS (Multidisciplinar II)EMF-ISN</v>
      </c>
      <c r="D59" s="8" t="str">
        <f>IF(Tabela2[[#This Row],[SITUAÇÃO]]&lt;&gt;"Demitido",CONCATENATE(Tabela2[[#This Row],[POLO]],Tabela2[[#This Row],[CURSOS]]),"Substituição")</f>
        <v>Chapadinha/MAEMF-ISN</v>
      </c>
      <c r="E59" s="8" t="s">
        <v>21</v>
      </c>
      <c r="F59" s="67" t="s">
        <v>22</v>
      </c>
      <c r="G59" s="67" t="s">
        <v>217</v>
      </c>
      <c r="H59" s="9" t="s">
        <v>218</v>
      </c>
      <c r="I59" s="17" t="str">
        <f>IFERROR(_xlfn.XLOOKUP(Tabela2[[#This Row],[CHAPA]],TUT.CONTROL!F:F,TUT.CONTROL!I:I),_xlfn.XLOOKUP(Tabela2[[#This Row],[CHAPA]],'REG.CONTROL'!F:F,'REG.CONTROL'!I:I))</f>
        <v>Ativo</v>
      </c>
      <c r="J59" s="17">
        <f>IFERROR(_xlfn.XLOOKUP(Tabela2[[#This Row],[NOME DO TUTOR]],TUT.CONTROL!C:C,TUT.CONTROL!G:G),"Demitido")</f>
        <v>45791</v>
      </c>
      <c r="K59" s="19">
        <v>9899156802</v>
      </c>
      <c r="L59" s="22">
        <f>IFERROR(_xlfn.XLOOKUP(Tabela2[[#This Row],[NOME DO TUTOR]],TUT.CONTROL!C:C,TUT.CONTROL!F:F),"Demitido")</f>
        <v>1158000639</v>
      </c>
      <c r="M59" s="8" t="s">
        <v>219</v>
      </c>
      <c r="N59" s="11" t="str">
        <f>IFERROR(_xlfn.XLOOKUP(Tabela2[[#This Row],[CHAPA]],TUT.CONTROL!F:F,TUT.CONTROL!H:H),_xlfn.XLOOKUP(Tabela2[[#This Row],[CHAPA]],'REG.CONTROL'!F:F,'REG.CONTROL'!H:H))</f>
        <v>TUTOR DE PRATICA (UC_1749)</v>
      </c>
      <c r="O59" s="68" t="str">
        <f>IFERROR(_xlfn.XLOOKUP(Tabela2[[#This Row],[NOME DO TUTOR]],TUT.CONTROL!C:C,TUT.CONTROL!K:K),"Demitido")</f>
        <v>008:00</v>
      </c>
      <c r="P5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59" s="66" t="s">
        <v>30</v>
      </c>
      <c r="R59" s="12" t="s">
        <v>86</v>
      </c>
      <c r="S59" s="12">
        <v>678914</v>
      </c>
    </row>
    <row r="60" spans="1:19" ht="13.5" hidden="1" customHeight="1" x14ac:dyDescent="0.3">
      <c r="A6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Chapecó/SC - CentroEMF-ISNENF-INS (Multidisciplinar II)</v>
      </c>
      <c r="B60" s="8" t="str">
        <f>Tabela2[[#This Row],[CATEGORIA]]&amp;Tabela2[[#This Row],[CURSOS]]&amp;"LAP - "&amp;Tabela2[[#This Row],[POLO]]</f>
        <v>ENF-INS (Multidisciplinar II)EMF-ISNLAP - Chapecó/SC - Centro</v>
      </c>
      <c r="C60" s="8" t="str">
        <f>Tabela2[[#This Row],[CATEGORIA]]&amp;Tabela2[[#This Row],[CURSOS]]</f>
        <v>ENF-INS (Multidisciplinar II)EMF-ISN</v>
      </c>
      <c r="D60" s="8" t="str">
        <f>IF(Tabela2[[#This Row],[SITUAÇÃO]]&lt;&gt;"Demitido",CONCATENATE(Tabela2[[#This Row],[POLO]],Tabela2[[#This Row],[CURSOS]]),"Substituição")</f>
        <v>Chapecó/SC - CentroEMF-ISN</v>
      </c>
      <c r="E60" s="8" t="s">
        <v>21</v>
      </c>
      <c r="F60" s="67" t="s">
        <v>22</v>
      </c>
      <c r="G60" s="67" t="s">
        <v>220</v>
      </c>
      <c r="H60" s="9" t="s">
        <v>221</v>
      </c>
      <c r="I60" s="17" t="str">
        <f>IFERROR(_xlfn.XLOOKUP(Tabela2[[#This Row],[CHAPA]],TUT.CONTROL!F:F,TUT.CONTROL!I:I),_xlfn.XLOOKUP(Tabela2[[#This Row],[CHAPA]],'REG.CONTROL'!F:F,'REG.CONTROL'!I:I))</f>
        <v>Ativo</v>
      </c>
      <c r="J60" s="17">
        <f>IFERROR(_xlfn.XLOOKUP(Tabela2[[#This Row],[NOME DO TUTOR]],TUT.CONTROL!C:C,TUT.CONTROL!G:G),"Demitido")</f>
        <v>45901</v>
      </c>
      <c r="K60" s="19">
        <v>51981553415</v>
      </c>
      <c r="L60" s="22">
        <f>IFERROR(_xlfn.XLOOKUP(Tabela2[[#This Row],[NOME DO TUTOR]],TUT.CONTROL!C:C,TUT.CONTROL!F:F),"Demitido")</f>
        <v>1158000937</v>
      </c>
      <c r="M60" s="8" t="s">
        <v>222</v>
      </c>
      <c r="N60" s="11" t="str">
        <f>IFERROR(_xlfn.XLOOKUP(Tabela2[[#This Row],[CHAPA]],TUT.CONTROL!F:F,TUT.CONTROL!H:H),_xlfn.XLOOKUP(Tabela2[[#This Row],[CHAPA]],'REG.CONTROL'!F:F,'REG.CONTROL'!H:H))</f>
        <v>TUTOR DE PRATICA (UC_1749)</v>
      </c>
      <c r="O60" s="68" t="str">
        <f>IFERROR(_xlfn.XLOOKUP(Tabela2[[#This Row],[NOME DO TUTOR]],TUT.CONTROL!C:C,TUT.CONTROL!K:K),"Demitido")</f>
        <v>004:00</v>
      </c>
      <c r="P6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60" s="66"/>
      <c r="R60" s="8" t="s">
        <v>149</v>
      </c>
      <c r="S60" s="8">
        <v>751160</v>
      </c>
    </row>
    <row r="61" spans="1:19" ht="13.5" hidden="1" x14ac:dyDescent="0.3">
      <c r="A6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61" s="8" t="str">
        <f>Tabela2[[#This Row],[CATEGORIA]]&amp;Tabela2[[#This Row],[CURSOS]]&amp;"LAP - "&amp;Tabela2[[#This Row],[POLO]]</f>
        <v>ENF-INS (Multidisciplinar II)EMF-ISNLAP - Chapecó/SC - Centro</v>
      </c>
      <c r="C61" s="8" t="str">
        <f>Tabela2[[#This Row],[CATEGORIA]]&amp;Tabela2[[#This Row],[CURSOS]]</f>
        <v>ENF-INS (Multidisciplinar II)EMF-ISN</v>
      </c>
      <c r="D61" s="8" t="str">
        <f>IF(Tabela2[[#This Row],[SITUAÇÃO]]&lt;&gt;"Demitido",CONCATENATE(Tabela2[[#This Row],[POLO]],Tabela2[[#This Row],[CURSOS]]),"Substituição")</f>
        <v>Substituição</v>
      </c>
      <c r="E61" s="8" t="s">
        <v>21</v>
      </c>
      <c r="F61" s="67" t="s">
        <v>22</v>
      </c>
      <c r="G61" s="67" t="s">
        <v>220</v>
      </c>
      <c r="H61" s="9" t="s">
        <v>223</v>
      </c>
      <c r="I61" s="71" t="str">
        <f>IFERROR(_xlfn.XLOOKUP(Tabela2[[#This Row],[CHAPA]],TUT.CONTROL!F:F,TUT.CONTROL!I:I),_xlfn.XLOOKUP(Tabela2[[#This Row],[CHAPA]],'REG.CONTROL'!F:F,'REG.CONTROL'!I:I))</f>
        <v>Demitido</v>
      </c>
      <c r="J61" s="17">
        <f>IFERROR(_xlfn.XLOOKUP(Tabela2[[#This Row],[NOME DO TUTOR]],TUT.CONTROL!C:C,TUT.CONTROL!G:G),"Atualizar")</f>
        <v>45810</v>
      </c>
      <c r="K61" s="19">
        <v>49999714970</v>
      </c>
      <c r="L61" s="22">
        <f>IFERROR(_xlfn.XLOOKUP(Tabela2[[#This Row],[NOME DO TUTOR]],TUT.CONTROL!C:C,TUT.CONTROL!F:F),"Demitido")</f>
        <v>1158000724</v>
      </c>
      <c r="M61" s="8" t="s">
        <v>224</v>
      </c>
      <c r="N61" s="11" t="str">
        <f>IFERROR(_xlfn.XLOOKUP(Tabela2[[#This Row],[CHAPA]],TUT.CONTROL!F:F,TUT.CONTROL!H:H),_xlfn.XLOOKUP(Tabela2[[#This Row],[CHAPA]],'REG.CONTROL'!F:F,'REG.CONTROL'!H:H))</f>
        <v>TUTOR DE PRATICA (UC_1749)</v>
      </c>
      <c r="O61" s="70" t="str">
        <f>IFERROR(_xlfn.XLOOKUP(Tabela2[[#This Row],[NOME DO TUTOR]],TUT.CONTROL!C:C,TUT.CONTROL!K:K),"Demitido")</f>
        <v>004:00</v>
      </c>
      <c r="P61" s="17">
        <f>IF(Tabela2[[#This Row],[SITUAÇÃO]]="Demitido",IFERROR(_xlfn.XLOOKUP(Tabela2[[#This Row],[CHAPA]],TUT.CONTROL!F:F,TUT.CONTROL!V:V),_xlfn.XLOOKUP(Tabela2[[#This Row],[CHAPA]],'REG.CONTROL'!F:F,'REG.CONTROL'!V:V)),"-")</f>
        <v>45842</v>
      </c>
      <c r="Q61" s="66" t="s">
        <v>43</v>
      </c>
      <c r="R61" s="8"/>
    </row>
    <row r="62" spans="1:19" ht="13.5" hidden="1" x14ac:dyDescent="0.3">
      <c r="A6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62" s="8" t="str">
        <f>Tabela2[[#This Row],[CATEGORIA]]&amp;Tabela2[[#This Row],[CURSOS]]&amp;"LAP - "&amp;Tabela2[[#This Row],[POLO]]</f>
        <v>ENF-INS (Multidisciplinar II)EMF-ISNLAP - Cocos/BA</v>
      </c>
      <c r="C62" s="8" t="str">
        <f>Tabela2[[#This Row],[CATEGORIA]]&amp;Tabela2[[#This Row],[CURSOS]]</f>
        <v>ENF-INS (Multidisciplinar II)EMF-ISN</v>
      </c>
      <c r="D62" s="8" t="str">
        <f>IF(Tabela2[[#This Row],[SITUAÇÃO]]&lt;&gt;"Demitido",CONCATENATE(Tabela2[[#This Row],[POLO]],Tabela2[[#This Row],[CURSOS]]),"Substituição")</f>
        <v>Substituição</v>
      </c>
      <c r="E62" s="8" t="s">
        <v>21</v>
      </c>
      <c r="F62" s="67" t="s">
        <v>22</v>
      </c>
      <c r="G62" s="67" t="s">
        <v>225</v>
      </c>
      <c r="H62" s="9" t="s">
        <v>226</v>
      </c>
      <c r="I62" s="17" t="str">
        <f>IFERROR(_xlfn.XLOOKUP(Tabela2[[#This Row],[CHAPA]],TUT.CONTROL!F:F,TUT.CONTROL!I:I),_xlfn.XLOOKUP(Tabela2[[#This Row],[CHAPA]],'REG.CONTROL'!F:F,'REG.CONTROL'!I:I))</f>
        <v>Demitido</v>
      </c>
      <c r="J62" s="17">
        <f>IFERROR(_xlfn.XLOOKUP(Tabela2[[#This Row],[NOME DO TUTOR]],TUT.CONTROL!C:C,TUT.CONTROL!G:G),"Demitido")</f>
        <v>45749</v>
      </c>
      <c r="K62" s="19" t="s">
        <v>227</v>
      </c>
      <c r="L62" s="22">
        <f>IFERROR(_xlfn.XLOOKUP(Tabela2[[#This Row],[NOME DO TUTOR]],TUT.CONTROL!C:C,TUT.CONTROL!F:F),"Demitido")</f>
        <v>1158000669</v>
      </c>
      <c r="M62" s="8" t="s">
        <v>228</v>
      </c>
      <c r="N62" s="11" t="str">
        <f>IFERROR(_xlfn.XLOOKUP(Tabela2[[#This Row],[CHAPA]],TUT.CONTROL!F:F,TUT.CONTROL!H:H),_xlfn.XLOOKUP(Tabela2[[#This Row],[CHAPA]],'REG.CONTROL'!F:F,'REG.CONTROL'!H:H))</f>
        <v>TUTOR DE PRATICA (UC_1749)</v>
      </c>
      <c r="O62" s="68" t="str">
        <f>IFERROR(_xlfn.XLOOKUP(Tabela2[[#This Row],[NOME DO TUTOR]],TUT.CONTROL!C:C,TUT.CONTROL!K:K),"Demitido")</f>
        <v>004:00</v>
      </c>
      <c r="P62" s="17">
        <f>IF(Tabela2[[#This Row],[SITUAÇÃO]]="Demitido",IFERROR(_xlfn.XLOOKUP(Tabela2[[#This Row],[CHAPA]],TUT.CONTROL!F:F,TUT.CONTROL!V:V),_xlfn.XLOOKUP(Tabela2[[#This Row],[CHAPA]],'REG.CONTROL'!F:F,'REG.CONTROL'!V:V)),"-")</f>
        <v>45931</v>
      </c>
      <c r="Q62" s="66" t="s">
        <v>43</v>
      </c>
      <c r="R62" s="8" t="s">
        <v>213</v>
      </c>
      <c r="S62" s="8">
        <v>645507</v>
      </c>
    </row>
    <row r="63" spans="1:19" ht="13.5" hidden="1" x14ac:dyDescent="0.3">
      <c r="A6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Colíder/MTEMF-ISNENF-INS (Multidisciplinar II)</v>
      </c>
      <c r="B63" s="8" t="str">
        <f>Tabela2[[#This Row],[CATEGORIA]]&amp;Tabela2[[#This Row],[CURSOS]]&amp;"LAP - "&amp;Tabela2[[#This Row],[POLO]]</f>
        <v>ENF-INS (Multidisciplinar II)EMF-ISNLAP - Colíder/MT</v>
      </c>
      <c r="C63" s="8" t="str">
        <f>Tabela2[[#This Row],[CATEGORIA]]&amp;Tabela2[[#This Row],[CURSOS]]</f>
        <v>ENF-INS (Multidisciplinar II)EMF-ISN</v>
      </c>
      <c r="D63" s="8" t="str">
        <f>IF(Tabela2[[#This Row],[SITUAÇÃO]]&lt;&gt;"Demitido",CONCATENATE(Tabela2[[#This Row],[POLO]],Tabela2[[#This Row],[CURSOS]]),"Substituição")</f>
        <v>Colíder/MTEMF-ISN</v>
      </c>
      <c r="E63" s="8" t="s">
        <v>21</v>
      </c>
      <c r="F63" s="67" t="s">
        <v>22</v>
      </c>
      <c r="G63" s="67" t="s">
        <v>229</v>
      </c>
      <c r="H63" s="9" t="s">
        <v>230</v>
      </c>
      <c r="I63" s="17" t="str">
        <f>IFERROR(_xlfn.XLOOKUP(Tabela2[[#This Row],[CHAPA]],TUT.CONTROL!F:F,TUT.CONTROL!I:I),_xlfn.XLOOKUP(Tabela2[[#This Row],[CHAPA]],'REG.CONTROL'!F:F,'REG.CONTROL'!I:I))</f>
        <v>Ativo</v>
      </c>
      <c r="J63" s="17">
        <f>IFERROR(_xlfn.XLOOKUP(Tabela2[[#This Row],[NOME DO TUTOR]],'REG.CONTROL'!C:C,'REG.CONTROL'!G:G),"Demitido")</f>
        <v>45012</v>
      </c>
      <c r="K63" s="19">
        <v>6699979606</v>
      </c>
      <c r="L63" s="22">
        <f>IFERROR(_xlfn.XLOOKUP(Tabela2[[#This Row],[NOME DO TUTOR]],'REG.CONTROL'!C:C,'REG.CONTROL'!F:F),"Demitido")</f>
        <v>1004011650</v>
      </c>
      <c r="M63" s="8" t="s">
        <v>231</v>
      </c>
      <c r="N63" s="11" t="str">
        <f>IFERROR(_xlfn.XLOOKUP(Tabela2[[#This Row],[CHAPA]],TUT.CONTROL!F:F,TUT.CONTROL!H:H),_xlfn.XLOOKUP(Tabela2[[#This Row],[CHAPA]],'REG.CONTROL'!F:F,'REG.CONTROL'!H:H))</f>
        <v>PROFESSOR REGENTE DE POLO (UC_1744)</v>
      </c>
      <c r="O63" s="68" t="str">
        <f>IFERROR(_xlfn.XLOOKUP(Tabela2[[#This Row],[NOME DO TUTOR]],'REGENTE CH'!A:A,'REGENTE CH'!C:C),"Atualizar")</f>
        <v>004:00</v>
      </c>
      <c r="P6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63" s="66" t="s">
        <v>30</v>
      </c>
      <c r="R63" s="8" t="s">
        <v>44</v>
      </c>
      <c r="S63" s="8">
        <v>34810</v>
      </c>
    </row>
    <row r="64" spans="1:19" ht="13.5" hidden="1" x14ac:dyDescent="0.4">
      <c r="A6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Conselheiro Lafaiete/MGEMF-ISNENF-INS (Multidisciplinar II)</v>
      </c>
      <c r="B64" s="8" t="str">
        <f>Tabela2[[#This Row],[CATEGORIA]]&amp;Tabela2[[#This Row],[CURSOS]]&amp;"LAP - "&amp;Tabela2[[#This Row],[POLO]]</f>
        <v>ENF-INS (Multidisciplinar II)EMF-ISNLAP - Conselheiro Lafaiete/MG</v>
      </c>
      <c r="C64" s="8" t="str">
        <f>Tabela2[[#This Row],[CATEGORIA]]&amp;Tabela2[[#This Row],[CURSOS]]</f>
        <v>ENF-INS (Multidisciplinar II)EMF-ISN</v>
      </c>
      <c r="D64" s="8" t="str">
        <f>IF(Tabela2[[#This Row],[SITUAÇÃO]]&lt;&gt;"Demitido",CONCATENATE(Tabela2[[#This Row],[POLO]],Tabela2[[#This Row],[CURSOS]]),"Substituição")</f>
        <v>Conselheiro Lafaiete/MGEMF-ISN</v>
      </c>
      <c r="E64" s="8" t="s">
        <v>21</v>
      </c>
      <c r="F64" s="67" t="s">
        <v>22</v>
      </c>
      <c r="G64" s="67" t="s">
        <v>232</v>
      </c>
      <c r="H64" s="9" t="s">
        <v>233</v>
      </c>
      <c r="I64" s="17" t="str">
        <f>IFERROR(_xlfn.XLOOKUP(Tabela2[[#This Row],[CHAPA]],TUT.CONTROL!F:F,TUT.CONTROL!I:I),_xlfn.XLOOKUP(Tabela2[[#This Row],[CHAPA]],'REG.CONTROL'!F:F,'REG.CONTROL'!I:I))</f>
        <v>Ativo</v>
      </c>
      <c r="J64" s="17">
        <f>IFERROR(_xlfn.XLOOKUP(Tabela2[[#This Row],[NOME DO TUTOR]],TUT.CONTROL!C:C,TUT.CONTROL!G:G),"Demitido")</f>
        <v>45889</v>
      </c>
      <c r="K64" s="19">
        <v>31985177216</v>
      </c>
      <c r="L64" s="22">
        <f>IFERROR(_xlfn.XLOOKUP(Tabela2[[#This Row],[NOME DO TUTOR]],TUT.CONTROL!C:C,TUT.CONTROL!F:F),"Demitido")</f>
        <v>1158000909</v>
      </c>
      <c r="M64" s="8" t="s">
        <v>234</v>
      </c>
      <c r="N64" s="11" t="str">
        <f>IFERROR(_xlfn.XLOOKUP(Tabela2[[#This Row],[CHAPA]],TUT.CONTROL!F:F,TUT.CONTROL!H:H),_xlfn.XLOOKUP(Tabela2[[#This Row],[CHAPA]],'REG.CONTROL'!F:F,'REG.CONTROL'!H:H))</f>
        <v>TUTOR DE PRATICA (UC_1749)</v>
      </c>
      <c r="O64" s="68" t="str">
        <f>IFERROR(_xlfn.XLOOKUP(Tabela2[[#This Row],[NOME DO TUTOR]],TUT.CONTROL!C:C,TUT.CONTROL!K:K),"Demitido")</f>
        <v>004:00</v>
      </c>
      <c r="P6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64" s="66" t="s">
        <v>30</v>
      </c>
      <c r="R64" s="12" t="s">
        <v>100</v>
      </c>
      <c r="S64" s="12">
        <v>935532</v>
      </c>
    </row>
    <row r="65" spans="1:19" ht="13.5" hidden="1" x14ac:dyDescent="0.3">
      <c r="A6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Corumbá/MSEMF-ISNENF-INS (Multidisciplinar II)</v>
      </c>
      <c r="B65" s="8" t="str">
        <f>Tabela2[[#This Row],[CATEGORIA]]&amp;Tabela2[[#This Row],[CURSOS]]&amp;"LAP - "&amp;Tabela2[[#This Row],[POLO]]</f>
        <v>ENF-INS (Multidisciplinar II)EMF-ISNLAP - Corumbá/MS</v>
      </c>
      <c r="C65" s="8" t="str">
        <f>Tabela2[[#This Row],[CATEGORIA]]&amp;Tabela2[[#This Row],[CURSOS]]</f>
        <v>ENF-INS (Multidisciplinar II)EMF-ISN</v>
      </c>
      <c r="D65" s="8" t="str">
        <f>IF(Tabela2[[#This Row],[SITUAÇÃO]]&lt;&gt;"Demitido",CONCATENATE(Tabela2[[#This Row],[POLO]],Tabela2[[#This Row],[CURSOS]]),"Substituição")</f>
        <v>Corumbá/MSEMF-ISN</v>
      </c>
      <c r="E65" s="8" t="s">
        <v>21</v>
      </c>
      <c r="F65" s="67" t="s">
        <v>22</v>
      </c>
      <c r="G65" s="67" t="s">
        <v>235</v>
      </c>
      <c r="H65" s="9" t="s">
        <v>236</v>
      </c>
      <c r="I65" s="17" t="str">
        <f>IFERROR(_xlfn.XLOOKUP(Tabela2[[#This Row],[CHAPA]],TUT.CONTROL!F:F,TUT.CONTROL!I:I),_xlfn.XLOOKUP(Tabela2[[#This Row],[CHAPA]],'REG.CONTROL'!F:F,'REG.CONTROL'!I:I))</f>
        <v>Ativo</v>
      </c>
      <c r="J65" s="17">
        <f>IFERROR(_xlfn.XLOOKUP(Tabela2[[#This Row],[NOME DO TUTOR]],'REG.CONTROL'!C:C,'REG.CONTROL'!G:G),"Demitido")</f>
        <v>45355</v>
      </c>
      <c r="K65" s="19">
        <v>21998884941</v>
      </c>
      <c r="L65" s="22">
        <f>IFERROR(_xlfn.XLOOKUP(Tabela2[[#This Row],[NOME DO TUTOR]],'REG.CONTROL'!C:C,'REG.CONTROL'!F:F),"Demitido")</f>
        <v>1004013932</v>
      </c>
      <c r="M65" s="8" t="s">
        <v>237</v>
      </c>
      <c r="N65" s="11" t="str">
        <f>IFERROR(_xlfn.XLOOKUP(Tabela2[[#This Row],[CHAPA]],TUT.CONTROL!F:F,TUT.CONTROL!H:H),_xlfn.XLOOKUP(Tabela2[[#This Row],[CHAPA]],'REG.CONTROL'!F:F,'REG.CONTROL'!H:H))</f>
        <v>PROFESSOR REGENTE DE POLO (UC_1744)</v>
      </c>
      <c r="O65" s="68" t="str">
        <f>IFERROR(_xlfn.XLOOKUP(Tabela2[[#This Row],[NOME DO TUTOR]],'REGENTE CH'!A:A,'REGENTE CH'!C:C),"Atualizar")</f>
        <v>004:00</v>
      </c>
      <c r="P6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65" s="66" t="s">
        <v>30</v>
      </c>
      <c r="R65" s="8" t="s">
        <v>53</v>
      </c>
      <c r="S65" s="8">
        <v>336768</v>
      </c>
    </row>
    <row r="66" spans="1:19" ht="13.5" hidden="1" x14ac:dyDescent="0.3">
      <c r="A6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Cristalina/GOEMF-ISNENF-INS (Multidisciplinar II)</v>
      </c>
      <c r="B66" s="8" t="str">
        <f>Tabela2[[#This Row],[CATEGORIA]]&amp;Tabela2[[#This Row],[CURSOS]]&amp;"LAP - "&amp;Tabela2[[#This Row],[POLO]]</f>
        <v>ENF-INS (Multidisciplinar II)EMF-ISNLAP - Cristalina/GO</v>
      </c>
      <c r="C66" s="8" t="str">
        <f>Tabela2[[#This Row],[CATEGORIA]]&amp;Tabela2[[#This Row],[CURSOS]]</f>
        <v>ENF-INS (Multidisciplinar II)EMF-ISN</v>
      </c>
      <c r="D66" s="8" t="str">
        <f>IF(Tabela2[[#This Row],[SITUAÇÃO]]&lt;&gt;"Demitido",CONCATENATE(Tabela2[[#This Row],[POLO]],Tabela2[[#This Row],[CURSOS]]),"Substituição")</f>
        <v>Cristalina/GOEMF-ISN</v>
      </c>
      <c r="E66" s="8" t="s">
        <v>21</v>
      </c>
      <c r="F66" s="67" t="s">
        <v>22</v>
      </c>
      <c r="G66" s="67" t="s">
        <v>238</v>
      </c>
      <c r="H66" s="9" t="s">
        <v>239</v>
      </c>
      <c r="I66" s="17" t="str">
        <f>IFERROR(_xlfn.XLOOKUP(Tabela2[[#This Row],[CHAPA]],TUT.CONTROL!F:F,TUT.CONTROL!I:I),_xlfn.XLOOKUP(Tabela2[[#This Row],[CHAPA]],'REG.CONTROL'!F:F,'REG.CONTROL'!I:I))</f>
        <v>Ativo</v>
      </c>
      <c r="J66" s="17">
        <f>IFERROR(_xlfn.XLOOKUP(Tabela2[[#This Row],[NOME DO TUTOR]],TUT.CONTROL!C:C,TUT.CONTROL!G:G),"Demitido")</f>
        <v>45749</v>
      </c>
      <c r="K66" s="19" t="s">
        <v>240</v>
      </c>
      <c r="L66" s="22">
        <f>IFERROR(_xlfn.XLOOKUP(Tabela2[[#This Row],[NOME DO TUTOR]],TUT.CONTROL!C:C,TUT.CONTROL!F:F),"Demitido")</f>
        <v>1158000661</v>
      </c>
      <c r="M66" s="8" t="s">
        <v>241</v>
      </c>
      <c r="N66" s="11" t="str">
        <f>IFERROR(_xlfn.XLOOKUP(Tabela2[[#This Row],[CHAPA]],TUT.CONTROL!F:F,TUT.CONTROL!H:H),_xlfn.XLOOKUP(Tabela2[[#This Row],[CHAPA]],'REG.CONTROL'!F:F,'REG.CONTROL'!H:H))</f>
        <v>TUTOR DE PRATICA (UC_1749)</v>
      </c>
      <c r="O66" s="68" t="str">
        <f>IFERROR(_xlfn.XLOOKUP(Tabela2[[#This Row],[NOME DO TUTOR]],TUT.CONTROL!C:C,TUT.CONTROL!K:K),"Demitido")</f>
        <v>004:00</v>
      </c>
      <c r="P6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66" s="66" t="s">
        <v>30</v>
      </c>
      <c r="R66" s="8" t="s">
        <v>213</v>
      </c>
      <c r="S66" s="8">
        <v>337770</v>
      </c>
    </row>
    <row r="67" spans="1:19" ht="13.5" hidden="1" x14ac:dyDescent="0.3">
      <c r="A6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Cruz Alta/RSEMF-ISNENF-INS (Multidisciplinar II)</v>
      </c>
      <c r="B67" s="8" t="str">
        <f>Tabela2[[#This Row],[CATEGORIA]]&amp;Tabela2[[#This Row],[CURSOS]]&amp;"LAP - "&amp;Tabela2[[#This Row],[POLO]]</f>
        <v>ENF-INS (Multidisciplinar II)EMF-ISNLAP - Cruz Alta/RS</v>
      </c>
      <c r="C67" s="8" t="str">
        <f>Tabela2[[#This Row],[CATEGORIA]]&amp;Tabela2[[#This Row],[CURSOS]]</f>
        <v>ENF-INS (Multidisciplinar II)EMF-ISN</v>
      </c>
      <c r="D67" s="8" t="str">
        <f>IF(Tabela2[[#This Row],[SITUAÇÃO]]&lt;&gt;"Demitido",CONCATENATE(Tabela2[[#This Row],[POLO]],Tabela2[[#This Row],[CURSOS]]),"Substituição")</f>
        <v>Cruz Alta/RSEMF-ISN</v>
      </c>
      <c r="E67" s="8" t="s">
        <v>21</v>
      </c>
      <c r="F67" s="67" t="s">
        <v>22</v>
      </c>
      <c r="G67" s="67" t="s">
        <v>242</v>
      </c>
      <c r="H67" s="9" t="s">
        <v>243</v>
      </c>
      <c r="I67" s="17" t="str">
        <f>IFERROR(_xlfn.XLOOKUP(Tabela2[[#This Row],[CHAPA]],TUT.CONTROL!F:F,TUT.CONTROL!I:I),_xlfn.XLOOKUP(Tabela2[[#This Row],[CHAPA]],'REG.CONTROL'!F:F,'REG.CONTROL'!I:I))</f>
        <v>Ativo</v>
      </c>
      <c r="J67" s="17">
        <f>IFERROR(_xlfn.XLOOKUP(Tabela2[[#This Row],[NOME DO TUTOR]],TUT.CONTROL!C:C,TUT.CONTROL!G:G),"Demitido")</f>
        <v>45756</v>
      </c>
      <c r="K67" s="19" t="s">
        <v>244</v>
      </c>
      <c r="L67" s="22">
        <f>IFERROR(_xlfn.XLOOKUP(Tabela2[[#This Row],[NOME DO TUTOR]],TUT.CONTROL!C:C,TUT.CONTROL!F:F),"Demitido")</f>
        <v>1158000702</v>
      </c>
      <c r="M67" s="8" t="s">
        <v>245</v>
      </c>
      <c r="N67" s="11" t="str">
        <f>IFERROR(_xlfn.XLOOKUP(Tabela2[[#This Row],[CHAPA]],TUT.CONTROL!F:F,TUT.CONTROL!H:H),_xlfn.XLOOKUP(Tabela2[[#This Row],[CHAPA]],'REG.CONTROL'!F:F,'REG.CONTROL'!H:H))</f>
        <v>TUTOR DE PRATICA (UC_1749)</v>
      </c>
      <c r="O67" s="68" t="str">
        <f>IFERROR(_xlfn.XLOOKUP(Tabela2[[#This Row],[NOME DO TUTOR]],TUT.CONTROL!C:C,TUT.CONTROL!K:K),"Demitido")</f>
        <v>004:00</v>
      </c>
      <c r="P6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67" s="66" t="s">
        <v>30</v>
      </c>
      <c r="R67" s="8" t="s">
        <v>109</v>
      </c>
      <c r="S67" s="8">
        <v>920927</v>
      </c>
    </row>
    <row r="68" spans="1:19" ht="13.5" hidden="1" x14ac:dyDescent="0.3">
      <c r="A6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Cruzeiro Do Sul/ACEMF-ISNENF-INS (Multidisciplinar II)</v>
      </c>
      <c r="B68" s="8" t="str">
        <f>Tabela2[[#This Row],[CATEGORIA]]&amp;Tabela2[[#This Row],[CURSOS]]&amp;"LAP - "&amp;Tabela2[[#This Row],[POLO]]</f>
        <v>ENF-INS (Multidisciplinar II)EMF-ISNLAP - Cruzeiro Do Sul/AC</v>
      </c>
      <c r="C68" s="8" t="str">
        <f>Tabela2[[#This Row],[CATEGORIA]]&amp;Tabela2[[#This Row],[CURSOS]]</f>
        <v>ENF-INS (Multidisciplinar II)EMF-ISN</v>
      </c>
      <c r="D68" s="8" t="str">
        <f>IF(Tabela2[[#This Row],[SITUAÇÃO]]&lt;&gt;"Demitido",CONCATENATE(Tabela2[[#This Row],[POLO]],Tabela2[[#This Row],[CURSOS]]),"Substituição")</f>
        <v>Cruzeiro Do Sul/ACEMF-ISN</v>
      </c>
      <c r="E68" s="8" t="s">
        <v>21</v>
      </c>
      <c r="F68" s="67" t="s">
        <v>22</v>
      </c>
      <c r="G68" s="67" t="s">
        <v>246</v>
      </c>
      <c r="H68" s="9" t="s">
        <v>247</v>
      </c>
      <c r="I68" s="17" t="str">
        <f>IFERROR(_xlfn.XLOOKUP(Tabela2[[#This Row],[CHAPA]],TUT.CONTROL!F:F,TUT.CONTROL!I:I),_xlfn.XLOOKUP(Tabela2[[#This Row],[CHAPA]],'REG.CONTROL'!F:F,'REG.CONTROL'!I:I))</f>
        <v>Ativo</v>
      </c>
      <c r="J68" s="17">
        <f>IFERROR(_xlfn.XLOOKUP(Tabela2[[#This Row],[NOME DO TUTOR]],TUT.CONTROL!C:C,TUT.CONTROL!G:G),"Demitido")</f>
        <v>45761</v>
      </c>
      <c r="K68" s="19" t="s">
        <v>248</v>
      </c>
      <c r="L68" s="22">
        <f>IFERROR(_xlfn.XLOOKUP(Tabela2[[#This Row],[NOME DO TUTOR]],TUT.CONTROL!C:C,TUT.CONTROL!F:F),"Demitido")</f>
        <v>1158000706</v>
      </c>
      <c r="M68" s="8" t="s">
        <v>249</v>
      </c>
      <c r="N68" s="11" t="str">
        <f>IFERROR(_xlfn.XLOOKUP(Tabela2[[#This Row],[CHAPA]],TUT.CONTROL!F:F,TUT.CONTROL!H:H),_xlfn.XLOOKUP(Tabela2[[#This Row],[CHAPA]],'REG.CONTROL'!F:F,'REG.CONTROL'!H:H))</f>
        <v>TUTOR DE PRATICA (UC_1749)</v>
      </c>
      <c r="O68" s="68" t="str">
        <f>IFERROR(_xlfn.XLOOKUP(Tabela2[[#This Row],[NOME DO TUTOR]],TUT.CONTROL!C:C,TUT.CONTROL!K:K),"Demitido")</f>
        <v>004:00</v>
      </c>
      <c r="P6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68" s="66" t="s">
        <v>30</v>
      </c>
      <c r="R68" s="8" t="s">
        <v>250</v>
      </c>
      <c r="S68" s="8">
        <v>932825</v>
      </c>
    </row>
    <row r="69" spans="1:19" ht="13.5" hidden="1" x14ac:dyDescent="0.3">
      <c r="A6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69" s="8" t="str">
        <f>Tabela2[[#This Row],[CATEGORIA]]&amp;Tabela2[[#This Row],[CURSOS]]&amp;"LAP - "&amp;Tabela2[[#This Row],[POLO]]</f>
        <v>ENF-INS (Multidisciplinar II)EMF-ISNLAP - Cuiabá/MT - Poção</v>
      </c>
      <c r="C69" s="8" t="str">
        <f>Tabela2[[#This Row],[CATEGORIA]]&amp;Tabela2[[#This Row],[CURSOS]]</f>
        <v>ENF-INS (Multidisciplinar II)EMF-ISN</v>
      </c>
      <c r="D69" s="8" t="str">
        <f>IF(Tabela2[[#This Row],[SITUAÇÃO]]&lt;&gt;"Demitido",CONCATENATE(Tabela2[[#This Row],[POLO]],Tabela2[[#This Row],[CURSOS]]),"Substituição")</f>
        <v>Substituição</v>
      </c>
      <c r="E69" s="8" t="s">
        <v>21</v>
      </c>
      <c r="F69" s="67" t="s">
        <v>22</v>
      </c>
      <c r="G69" s="67" t="s">
        <v>251</v>
      </c>
      <c r="H69" s="9" t="s">
        <v>252</v>
      </c>
      <c r="I69" s="71" t="str">
        <f>IFERROR(_xlfn.XLOOKUP(Tabela2[[#This Row],[CHAPA]],TUT.CONTROL!F:F,TUT.CONTROL!I:I),_xlfn.XLOOKUP(Tabela2[[#This Row],[CHAPA]],'REG.CONTROL'!F:F,'REG.CONTROL'!I:I))</f>
        <v>Demitido</v>
      </c>
      <c r="J69" s="17">
        <f>IFERROR(_xlfn.XLOOKUP(Tabela2[[#This Row],[NOME DO TUTOR]],TUT.CONTROL!C:C,TUT.CONTROL!G:G),"Atualizar")</f>
        <v>45735</v>
      </c>
      <c r="K69" s="19">
        <v>66996342798</v>
      </c>
      <c r="L69" s="22">
        <f>IFERROR(_xlfn.XLOOKUP(Tabela2[[#This Row],[NOME DO TUTOR]],TUT.CONTROL!C:C,TUT.CONTROL!F:F),"Demitido")</f>
        <v>1158000587</v>
      </c>
      <c r="M69" s="8" t="s">
        <v>253</v>
      </c>
      <c r="N69" s="11" t="str">
        <f>IFERROR(_xlfn.XLOOKUP(Tabela2[[#This Row],[CHAPA]],TUT.CONTROL!F:F,TUT.CONTROL!H:H),_xlfn.XLOOKUP(Tabela2[[#This Row],[CHAPA]],'REG.CONTROL'!F:F,'REG.CONTROL'!H:H))</f>
        <v>TUTOR DE PRATICA (UC_1749)</v>
      </c>
      <c r="O69" s="70" t="str">
        <f>IFERROR(_xlfn.XLOOKUP(Tabela2[[#This Row],[NOME DO TUTOR]],TUT.CONTROL!C:C,TUT.CONTROL!K:K),"Demitido")</f>
        <v>008:00</v>
      </c>
      <c r="P69" s="17">
        <f>IF(Tabela2[[#This Row],[SITUAÇÃO]]="Demitido",IFERROR(_xlfn.XLOOKUP(Tabela2[[#This Row],[CHAPA]],TUT.CONTROL!F:F,TUT.CONTROL!V:V),_xlfn.XLOOKUP(Tabela2[[#This Row],[CHAPA]],'REG.CONTROL'!F:F,'REG.CONTROL'!V:V)),"-")</f>
        <v>45820</v>
      </c>
      <c r="Q69" s="66" t="s">
        <v>43</v>
      </c>
      <c r="R69" s="8"/>
    </row>
    <row r="70" spans="1:19" ht="13.5" hidden="1" x14ac:dyDescent="0.3">
      <c r="A7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70" s="8" t="str">
        <f>Tabela2[[#This Row],[CATEGORIA]]&amp;Tabela2[[#This Row],[CURSOS]]&amp;"LAP - "&amp;Tabela2[[#This Row],[POLO]]</f>
        <v>ENF-INS (Multidisciplinar II)EMF-ISNLAP - Cuiabá/MT - Poção</v>
      </c>
      <c r="C70" s="8" t="str">
        <f>Tabela2[[#This Row],[CATEGORIA]]&amp;Tabela2[[#This Row],[CURSOS]]</f>
        <v>ENF-INS (Multidisciplinar II)EMF-ISN</v>
      </c>
      <c r="D70" s="8" t="str">
        <f>IF(Tabela2[[#This Row],[SITUAÇÃO]]&lt;&gt;"Demitido",CONCATENATE(Tabela2[[#This Row],[POLO]],Tabela2[[#This Row],[CURSOS]]),"Substituição")</f>
        <v>Substituição</v>
      </c>
      <c r="E70" s="8" t="s">
        <v>21</v>
      </c>
      <c r="F70" s="67" t="s">
        <v>22</v>
      </c>
      <c r="G70" s="67" t="s">
        <v>251</v>
      </c>
      <c r="H70" s="9" t="s">
        <v>254</v>
      </c>
      <c r="I70" s="17" t="str">
        <f>IFERROR(_xlfn.XLOOKUP(Tabela2[[#This Row],[CHAPA]],TUT.CONTROL!F:F,TUT.CONTROL!I:I),_xlfn.XLOOKUP(Tabela2[[#This Row],[CHAPA]],'REG.CONTROL'!F:F,'REG.CONTROL'!I:I))</f>
        <v>Demitido</v>
      </c>
      <c r="J70" s="17">
        <f>IFERROR(_xlfn.XLOOKUP(Tabela2[[#This Row],[NOME DO TUTOR]],TUT.CONTROL!C:C,TUT.CONTROL!G:G),"Demitido")</f>
        <v>45880</v>
      </c>
      <c r="K70" s="19">
        <v>66984109939</v>
      </c>
      <c r="L70" s="22">
        <f>IFERROR(_xlfn.XLOOKUP(Tabela2[[#This Row],[NOME DO TUTOR]],TUT.CONTROL!C:C,TUT.CONTROL!F:F),"Demitido")</f>
        <v>1158000865</v>
      </c>
      <c r="M70" s="8" t="s">
        <v>255</v>
      </c>
      <c r="N70" s="11" t="str">
        <f>IFERROR(_xlfn.XLOOKUP(Tabela2[[#This Row],[CHAPA]],TUT.CONTROL!F:F,TUT.CONTROL!H:H),_xlfn.XLOOKUP(Tabela2[[#This Row],[CHAPA]],'REG.CONTROL'!F:F,'REG.CONTROL'!H:H))</f>
        <v>TUTOR DE PRATICA (UC_1749)</v>
      </c>
      <c r="O70" s="68" t="str">
        <f>IFERROR(_xlfn.XLOOKUP(Tabela2[[#This Row],[NOME DO TUTOR]],TUT.CONTROL!C:C,TUT.CONTROL!K:K),"Demitido")</f>
        <v>004:00</v>
      </c>
      <c r="P70" s="17">
        <f>IF(Tabela2[[#This Row],[SITUAÇÃO]]="Demitido",IFERROR(_xlfn.XLOOKUP(Tabela2[[#This Row],[CHAPA]],TUT.CONTROL!F:F,TUT.CONTROL!V:V),_xlfn.XLOOKUP(Tabela2[[#This Row],[CHAPA]],'REG.CONTROL'!F:F,'REG.CONTROL'!V:V)),"-")</f>
        <v>46041</v>
      </c>
      <c r="Q70" s="66" t="s">
        <v>43</v>
      </c>
      <c r="R70" s="8" t="s">
        <v>44</v>
      </c>
      <c r="S70" s="8">
        <v>595284</v>
      </c>
    </row>
    <row r="71" spans="1:19" ht="13.5" hidden="1" x14ac:dyDescent="0.3">
      <c r="A7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Curitiba/PR - BoqueirãoEMF-ISNENF-INS (Multidisciplinar II)</v>
      </c>
      <c r="B71" s="8" t="str">
        <f>Tabela2[[#This Row],[CATEGORIA]]&amp;Tabela2[[#This Row],[CURSOS]]&amp;"LAP - "&amp;Tabela2[[#This Row],[POLO]]</f>
        <v>ENF-INS (Multidisciplinar II)EMF-ISNLAP - Curitiba/PR - Boqueirão</v>
      </c>
      <c r="C71" s="8" t="str">
        <f>Tabela2[[#This Row],[CATEGORIA]]&amp;Tabela2[[#This Row],[CURSOS]]</f>
        <v>ENF-INS (Multidisciplinar II)EMF-ISN</v>
      </c>
      <c r="D71" s="8" t="str">
        <f>IF(Tabela2[[#This Row],[SITUAÇÃO]]&lt;&gt;"Demitido",CONCATENATE(Tabela2[[#This Row],[POLO]],Tabela2[[#This Row],[CURSOS]]),"Substituição")</f>
        <v>Curitiba/PR - BoqueirãoEMF-ISN</v>
      </c>
      <c r="E71" s="8" t="s">
        <v>21</v>
      </c>
      <c r="F71" s="67" t="s">
        <v>22</v>
      </c>
      <c r="G71" s="67" t="s">
        <v>256</v>
      </c>
      <c r="H71" s="9" t="s">
        <v>257</v>
      </c>
      <c r="I71" s="17" t="str">
        <f>IFERROR(_xlfn.XLOOKUP(Tabela2[[#This Row],[CHAPA]],TUT.CONTROL!F:F,TUT.CONTROL!I:I),_xlfn.XLOOKUP(Tabela2[[#This Row],[CHAPA]],'REG.CONTROL'!F:F,'REG.CONTROL'!I:I))</f>
        <v>Ativo</v>
      </c>
      <c r="J71" s="17">
        <f>IFERROR(_xlfn.XLOOKUP(Tabela2[[#This Row],[NOME DO TUTOR]],TUT.CONTROL!C:C,TUT.CONTROL!G:G),"Demitido")</f>
        <v>45726</v>
      </c>
      <c r="K71" s="19">
        <v>41988323688</v>
      </c>
      <c r="L71" s="22">
        <f>IFERROR(_xlfn.XLOOKUP(Tabela2[[#This Row],[NOME DO TUTOR]],TUT.CONTROL!C:C,TUT.CONTROL!F:F),"Demitido")</f>
        <v>1158000542</v>
      </c>
      <c r="M71" s="8" t="s">
        <v>258</v>
      </c>
      <c r="N71" s="11" t="str">
        <f>IFERROR(_xlfn.XLOOKUP(Tabela2[[#This Row],[CHAPA]],TUT.CONTROL!F:F,TUT.CONTROL!H:H),_xlfn.XLOOKUP(Tabela2[[#This Row],[CHAPA]],'REG.CONTROL'!F:F,'REG.CONTROL'!H:H))</f>
        <v>TUTOR DE PRATICA (UC_1749)</v>
      </c>
      <c r="O71" s="68" t="str">
        <f>IFERROR(_xlfn.XLOOKUP(Tabela2[[#This Row],[NOME DO TUTOR]],TUT.CONTROL!C:C,TUT.CONTROL!K:K),"Demitido")</f>
        <v>008:00</v>
      </c>
      <c r="P7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71" s="66" t="s">
        <v>30</v>
      </c>
      <c r="R71" s="8" t="s">
        <v>209</v>
      </c>
      <c r="S71" s="69">
        <v>431243</v>
      </c>
    </row>
    <row r="72" spans="1:19" ht="13.5" hidden="1" x14ac:dyDescent="0.3">
      <c r="A7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Curitiba/PR - CentroEMF-ISNENF-INS (Multidisciplinar II)</v>
      </c>
      <c r="B72" s="8" t="str">
        <f>Tabela2[[#This Row],[CATEGORIA]]&amp;Tabela2[[#This Row],[CURSOS]]&amp;"LAP - "&amp;Tabela2[[#This Row],[POLO]]</f>
        <v>ENF-INS (Multidisciplinar II)EMF-ISNLAP - Curitiba/PR - Centro</v>
      </c>
      <c r="C72" s="8" t="str">
        <f>Tabela2[[#This Row],[CATEGORIA]]&amp;Tabela2[[#This Row],[CURSOS]]</f>
        <v>ENF-INS (Multidisciplinar II)EMF-ISN</v>
      </c>
      <c r="D72" s="8" t="str">
        <f>IF(Tabela2[[#This Row],[SITUAÇÃO]]&lt;&gt;"Demitido",CONCATENATE(Tabela2[[#This Row],[POLO]],Tabela2[[#This Row],[CURSOS]]),"Substituição")</f>
        <v>Curitiba/PR - CentroEMF-ISN</v>
      </c>
      <c r="E72" s="8" t="s">
        <v>21</v>
      </c>
      <c r="F72" s="67" t="s">
        <v>22</v>
      </c>
      <c r="G72" s="67" t="s">
        <v>259</v>
      </c>
      <c r="H72" s="9" t="s">
        <v>260</v>
      </c>
      <c r="I72" s="17" t="str">
        <f>IFERROR(_xlfn.XLOOKUP(Tabela2[[#This Row],[CHAPA]],TUT.CONTROL!F:F,TUT.CONTROL!I:I),_xlfn.XLOOKUP(Tabela2[[#This Row],[CHAPA]],'REG.CONTROL'!F:F,'REG.CONTROL'!I:I))</f>
        <v>Ativo</v>
      </c>
      <c r="J72" s="17">
        <f>IFERROR(_xlfn.XLOOKUP(Tabela2[[#This Row],[NOME DO TUTOR]],TUT.CONTROL!C:C,TUT.CONTROL!G:G),"Demitido")</f>
        <v>45749</v>
      </c>
      <c r="K72" s="19">
        <v>41991466314</v>
      </c>
      <c r="L72" s="22">
        <f>IFERROR(_xlfn.XLOOKUP(Tabela2[[#This Row],[NOME DO TUTOR]],TUT.CONTROL!C:C,TUT.CONTROL!F:F),"Demitido")</f>
        <v>1158000655</v>
      </c>
      <c r="M72" s="8" t="s">
        <v>261</v>
      </c>
      <c r="N72" s="11" t="str">
        <f>IFERROR(_xlfn.XLOOKUP(Tabela2[[#This Row],[CHAPA]],TUT.CONTROL!F:F,TUT.CONTROL!H:H),_xlfn.XLOOKUP(Tabela2[[#This Row],[CHAPA]],'REG.CONTROL'!F:F,'REG.CONTROL'!H:H))</f>
        <v>TUTOR DE PRATICA (UC_1749)</v>
      </c>
      <c r="O72" s="68" t="str">
        <f>IFERROR(_xlfn.XLOOKUP(Tabela2[[#This Row],[NOME DO TUTOR]],TUT.CONTROL!C:C,TUT.CONTROL!K:K),"Demitido")</f>
        <v>008:00</v>
      </c>
      <c r="P7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72" s="66" t="s">
        <v>30</v>
      </c>
      <c r="R72" s="8" t="s">
        <v>209</v>
      </c>
      <c r="S72" s="8">
        <v>293702</v>
      </c>
    </row>
    <row r="73" spans="1:19" ht="13.5" hidden="1" x14ac:dyDescent="0.3">
      <c r="A7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Curitibanos/SCEMF-ISNENF-INS (Multidisciplinar II)</v>
      </c>
      <c r="B73" s="8" t="str">
        <f>Tabela2[[#This Row],[CATEGORIA]]&amp;Tabela2[[#This Row],[CURSOS]]&amp;"LAP - "&amp;Tabela2[[#This Row],[POLO]]</f>
        <v>ENF-INS (Multidisciplinar II)EMF-ISNLAP - Curitibanos/SC</v>
      </c>
      <c r="C73" s="8" t="str">
        <f>Tabela2[[#This Row],[CATEGORIA]]&amp;Tabela2[[#This Row],[CURSOS]]</f>
        <v>ENF-INS (Multidisciplinar II)EMF-ISN</v>
      </c>
      <c r="D73" s="8" t="str">
        <f>IF(Tabela2[[#This Row],[SITUAÇÃO]]&lt;&gt;"Demitido",CONCATENATE(Tabela2[[#This Row],[POLO]],Tabela2[[#This Row],[CURSOS]]),"Substituição")</f>
        <v>Curitibanos/SCEMF-ISN</v>
      </c>
      <c r="E73" s="8" t="s">
        <v>21</v>
      </c>
      <c r="F73" s="67" t="s">
        <v>22</v>
      </c>
      <c r="G73" s="67" t="s">
        <v>262</v>
      </c>
      <c r="H73" s="9" t="s">
        <v>263</v>
      </c>
      <c r="I73" s="17" t="str">
        <f>IFERROR(_xlfn.XLOOKUP(Tabela2[[#This Row],[CHAPA]],TUT.CONTROL!F:F,TUT.CONTROL!I:I),_xlfn.XLOOKUP(Tabela2[[#This Row],[CHAPA]],'REG.CONTROL'!F:F,'REG.CONTROL'!I:I))</f>
        <v>Ativo</v>
      </c>
      <c r="J73" s="17">
        <f>IFERROR(_xlfn.XLOOKUP(Tabela2[[#This Row],[NOME DO TUTOR]],'REG.CONTROL'!C:C,'REG.CONTROL'!G:G),"Demitido")</f>
        <v>45146</v>
      </c>
      <c r="K73" s="19">
        <v>49991829157</v>
      </c>
      <c r="L73" s="22">
        <f>IFERROR(_xlfn.XLOOKUP(Tabela2[[#This Row],[NOME DO TUTOR]],'REG.CONTROL'!C:C,'REG.CONTROL'!F:F),"Demitido")</f>
        <v>1004012569</v>
      </c>
      <c r="M73" s="8" t="s">
        <v>264</v>
      </c>
      <c r="N73" s="11" t="str">
        <f>IFERROR(_xlfn.XLOOKUP(Tabela2[[#This Row],[CHAPA]],TUT.CONTROL!F:F,TUT.CONTROL!H:H),_xlfn.XLOOKUP(Tabela2[[#This Row],[CHAPA]],'REG.CONTROL'!F:F,'REG.CONTROL'!H:H))</f>
        <v>PROFESSOR REGENTE DE POLO (UC_1744)</v>
      </c>
      <c r="O73" s="68" t="str">
        <f>IFERROR(_xlfn.XLOOKUP(Tabela2[[#This Row],[NOME DO TUTOR]],'REGENTE CH'!A:A,'REGENTE CH'!C:C),"Atualizar")</f>
        <v>004:00</v>
      </c>
      <c r="P7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73" s="66" t="s">
        <v>30</v>
      </c>
      <c r="R73" s="8" t="s">
        <v>149</v>
      </c>
      <c r="S73" s="8">
        <v>534860</v>
      </c>
    </row>
    <row r="74" spans="1:19" ht="13.5" hidden="1" x14ac:dyDescent="0.4">
      <c r="A7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Diamantina/MGEMF-ISNENF-INS (Multidisciplinar II)</v>
      </c>
      <c r="B74" s="8" t="str">
        <f>Tabela2[[#This Row],[CATEGORIA]]&amp;Tabela2[[#This Row],[CURSOS]]&amp;"LAP - "&amp;Tabela2[[#This Row],[POLO]]</f>
        <v>ENF-INS (Multidisciplinar II)EMF-ISNLAP - Diamantina/MG</v>
      </c>
      <c r="C74" s="8" t="str">
        <f>Tabela2[[#This Row],[CATEGORIA]]&amp;Tabela2[[#This Row],[CURSOS]]</f>
        <v>ENF-INS (Multidisciplinar II)EMF-ISN</v>
      </c>
      <c r="D74" s="8" t="str">
        <f>IF(Tabela2[[#This Row],[SITUAÇÃO]]&lt;&gt;"Demitido",CONCATENATE(Tabela2[[#This Row],[POLO]],Tabela2[[#This Row],[CURSOS]]),"Substituição")</f>
        <v>Diamantina/MGEMF-ISN</v>
      </c>
      <c r="E74" s="8" t="s">
        <v>21</v>
      </c>
      <c r="F74" s="67" t="s">
        <v>22</v>
      </c>
      <c r="G74" s="67" t="s">
        <v>265</v>
      </c>
      <c r="H74" s="9" t="s">
        <v>266</v>
      </c>
      <c r="I74" s="17" t="str">
        <f>IFERROR(_xlfn.XLOOKUP(Tabela2[[#This Row],[CHAPA]],TUT.CONTROL!F:F,TUT.CONTROL!I:I),_xlfn.XLOOKUP(Tabela2[[#This Row],[CHAPA]],'REG.CONTROL'!F:F,'REG.CONTROL'!I:I))</f>
        <v>Ativo</v>
      </c>
      <c r="J74" s="17">
        <f>IFERROR(_xlfn.XLOOKUP(Tabela2[[#This Row],[NOME DO TUTOR]],TUT.CONTROL!C:C,TUT.CONTROL!G:G),"Demitido")</f>
        <v>45880</v>
      </c>
      <c r="K74" s="19">
        <v>38999633259</v>
      </c>
      <c r="L74" s="22">
        <f>IFERROR(_xlfn.XLOOKUP(Tabela2[[#This Row],[NOME DO TUTOR]],TUT.CONTROL!C:C,TUT.CONTROL!F:F),"Demitido")</f>
        <v>1158000853</v>
      </c>
      <c r="M74" s="8" t="s">
        <v>267</v>
      </c>
      <c r="N74" s="11" t="str">
        <f>IFERROR(_xlfn.XLOOKUP(Tabela2[[#This Row],[CHAPA]],TUT.CONTROL!F:F,TUT.CONTROL!H:H),_xlfn.XLOOKUP(Tabela2[[#This Row],[CHAPA]],'REG.CONTROL'!F:F,'REG.CONTROL'!H:H))</f>
        <v>TUTOR DE PRATICA (UC_1749)</v>
      </c>
      <c r="O74" s="68" t="str">
        <f>IFERROR(_xlfn.XLOOKUP(Tabela2[[#This Row],[NOME DO TUTOR]],TUT.CONTROL!C:C,TUT.CONTROL!K:K),"Demitido")</f>
        <v>004:00</v>
      </c>
      <c r="P7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74" s="66" t="s">
        <v>30</v>
      </c>
      <c r="R74" s="12" t="s">
        <v>100</v>
      </c>
      <c r="S74" s="76"/>
    </row>
    <row r="75" spans="1:19" ht="13.5" hidden="1" x14ac:dyDescent="0.3">
      <c r="A7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Dourados/MSEMF-ISNENF-INS (Multidisciplinar II)</v>
      </c>
      <c r="B75" s="8" t="str">
        <f>Tabela2[[#This Row],[CATEGORIA]]&amp;Tabela2[[#This Row],[CURSOS]]&amp;"LAP - "&amp;Tabela2[[#This Row],[POLO]]</f>
        <v>ENF-INS (Multidisciplinar II)EMF-ISNLAP - Dourados/MS</v>
      </c>
      <c r="C75" s="8" t="str">
        <f>Tabela2[[#This Row],[CATEGORIA]]&amp;Tabela2[[#This Row],[CURSOS]]</f>
        <v>ENF-INS (Multidisciplinar II)EMF-ISN</v>
      </c>
      <c r="D75" s="8" t="str">
        <f>IF(Tabela2[[#This Row],[SITUAÇÃO]]&lt;&gt;"Demitido",CONCATENATE(Tabela2[[#This Row],[POLO]],Tabela2[[#This Row],[CURSOS]]),"Substituição")</f>
        <v>Dourados/MSEMF-ISN</v>
      </c>
      <c r="E75" s="8" t="s">
        <v>21</v>
      </c>
      <c r="F75" s="67" t="s">
        <v>22</v>
      </c>
      <c r="G75" s="67" t="s">
        <v>268</v>
      </c>
      <c r="H75" s="9" t="s">
        <v>269</v>
      </c>
      <c r="I75" s="17" t="str">
        <f>IFERROR(_xlfn.XLOOKUP(Tabela2[[#This Row],[CHAPA]],TUT.CONTROL!F:F,TUT.CONTROL!I:I),_xlfn.XLOOKUP(Tabela2[[#This Row],[CHAPA]],'REG.CONTROL'!F:F,'REG.CONTROL'!I:I))</f>
        <v>Ativo</v>
      </c>
      <c r="J75" s="17">
        <f>IFERROR(_xlfn.XLOOKUP(Tabela2[[#This Row],[NOME DO TUTOR]],TUT.CONTROL!C:C,TUT.CONTROL!G:G),"Demitido")</f>
        <v>45735</v>
      </c>
      <c r="K75" s="19">
        <v>67984453077</v>
      </c>
      <c r="L75" s="22">
        <f>IFERROR(_xlfn.XLOOKUP(Tabela2[[#This Row],[NOME DO TUTOR]],TUT.CONTROL!C:C,TUT.CONTROL!F:F),"Demitido")</f>
        <v>1158000582</v>
      </c>
      <c r="M75" s="8" t="s">
        <v>270</v>
      </c>
      <c r="N75" s="11" t="str">
        <f>IFERROR(_xlfn.XLOOKUP(Tabela2[[#This Row],[CHAPA]],TUT.CONTROL!F:F,TUT.CONTROL!H:H),_xlfn.XLOOKUP(Tabela2[[#This Row],[CHAPA]],'REG.CONTROL'!F:F,'REG.CONTROL'!H:H))</f>
        <v>TUTOR DE PRATICA (UC_1749)</v>
      </c>
      <c r="O75" s="68" t="str">
        <f>IFERROR(_xlfn.XLOOKUP(Tabela2[[#This Row],[NOME DO TUTOR]],TUT.CONTROL!C:C,TUT.CONTROL!K:K),"Demitido")</f>
        <v>004:00</v>
      </c>
      <c r="P7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75" s="66" t="s">
        <v>30</v>
      </c>
      <c r="R75" s="8" t="s">
        <v>53</v>
      </c>
      <c r="S75" s="69">
        <v>237177</v>
      </c>
    </row>
    <row r="76" spans="1:19" ht="13.5" hidden="1" x14ac:dyDescent="0.4">
      <c r="A7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Duque de Caxias/RJ - 25 de AgostoEMF-ISNENF-INS (Multidisciplinar II)</v>
      </c>
      <c r="B76" s="8" t="str">
        <f>Tabela2[[#This Row],[CATEGORIA]]&amp;Tabela2[[#This Row],[CURSOS]]&amp;"LAP - "&amp;Tabela2[[#This Row],[POLO]]</f>
        <v>ENF-INS (Multidisciplinar II)EMF-ISNLAP - Duque de Caxias/RJ - 25 de Agosto</v>
      </c>
      <c r="C76" s="8" t="str">
        <f>Tabela2[[#This Row],[CATEGORIA]]&amp;Tabela2[[#This Row],[CURSOS]]</f>
        <v>ENF-INS (Multidisciplinar II)EMF-ISN</v>
      </c>
      <c r="D76" s="8" t="str">
        <f>IF(Tabela2[[#This Row],[SITUAÇÃO]]&lt;&gt;"Demitido",CONCATENATE(Tabela2[[#This Row],[POLO]],Tabela2[[#This Row],[CURSOS]]),"Substituição")</f>
        <v>Duque de Caxias/RJ - 25 de AgostoEMF-ISN</v>
      </c>
      <c r="E76" s="8" t="s">
        <v>21</v>
      </c>
      <c r="F76" s="67" t="s">
        <v>22</v>
      </c>
      <c r="G76" s="67" t="s">
        <v>271</v>
      </c>
      <c r="H76" s="9" t="s">
        <v>272</v>
      </c>
      <c r="I76" s="17" t="str">
        <f>IFERROR(_xlfn.XLOOKUP(Tabela2[[#This Row],[CHAPA]],TUT.CONTROL!F:F,TUT.CONTROL!I:I),_xlfn.XLOOKUP(Tabela2[[#This Row],[CHAPA]],'REG.CONTROL'!F:F,'REG.CONTROL'!I:I))</f>
        <v>Ativo</v>
      </c>
      <c r="J76" s="17">
        <f>IFERROR(_xlfn.XLOOKUP(Tabela2[[#This Row],[NOME DO TUTOR]],TUT.CONTROL!C:C,TUT.CONTROL!G:G),"Demitido")</f>
        <v>45721</v>
      </c>
      <c r="K76" s="19" t="s">
        <v>273</v>
      </c>
      <c r="L76" s="22">
        <f>IFERROR(_xlfn.XLOOKUP(Tabela2[[#This Row],[NOME DO TUTOR]],TUT.CONTROL!C:C,TUT.CONTROL!F:F),"Demitido")</f>
        <v>1158000531</v>
      </c>
      <c r="M76" s="8" t="s">
        <v>274</v>
      </c>
      <c r="N76" s="11" t="str">
        <f>IFERROR(_xlfn.XLOOKUP(Tabela2[[#This Row],[CHAPA]],TUT.CONTROL!F:F,TUT.CONTROL!H:H),_xlfn.XLOOKUP(Tabela2[[#This Row],[CHAPA]],'REG.CONTROL'!F:F,'REG.CONTROL'!H:H))</f>
        <v>TUTOR DE PRATICA (UC_1749)</v>
      </c>
      <c r="O76" s="68" t="str">
        <f>IFERROR(_xlfn.XLOOKUP(Tabela2[[#This Row],[NOME DO TUTOR]],TUT.CONTROL!C:C,TUT.CONTROL!K:K),"Demitido")</f>
        <v>012:00</v>
      </c>
      <c r="P7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76" s="66" t="s">
        <v>30</v>
      </c>
      <c r="R76" s="76" t="s">
        <v>157</v>
      </c>
      <c r="S76" s="77" t="s">
        <v>275</v>
      </c>
    </row>
    <row r="77" spans="1:19" ht="13.5" hidden="1" x14ac:dyDescent="0.3">
      <c r="A7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Erval Seco/RSEMF-ISNENF-INS (Multidisciplinar II)</v>
      </c>
      <c r="B77" s="8" t="str">
        <f>Tabela2[[#This Row],[CATEGORIA]]&amp;Tabela2[[#This Row],[CURSOS]]&amp;"LAP - "&amp;Tabela2[[#This Row],[POLO]]</f>
        <v>ENF-INS (Multidisciplinar II)EMF-ISNLAP - Erval Seco/RS</v>
      </c>
      <c r="C77" s="8" t="str">
        <f>Tabela2[[#This Row],[CATEGORIA]]&amp;Tabela2[[#This Row],[CURSOS]]</f>
        <v>ENF-INS (Multidisciplinar II)EMF-ISN</v>
      </c>
      <c r="D77" s="8" t="str">
        <f>IF(Tabela2[[#This Row],[SITUAÇÃO]]&lt;&gt;"Demitido",CONCATENATE(Tabela2[[#This Row],[POLO]],Tabela2[[#This Row],[CURSOS]]),"Substituição")</f>
        <v>Erval Seco/RSEMF-ISN</v>
      </c>
      <c r="E77" s="8" t="s">
        <v>21</v>
      </c>
      <c r="F77" s="67" t="s">
        <v>22</v>
      </c>
      <c r="G77" s="67" t="s">
        <v>276</v>
      </c>
      <c r="H77" s="9" t="s">
        <v>277</v>
      </c>
      <c r="I77" s="17" t="str">
        <f>IFERROR(_xlfn.XLOOKUP(Tabela2[[#This Row],[CHAPA]],TUT.CONTROL!F:F,TUT.CONTROL!I:I),_xlfn.XLOOKUP(Tabela2[[#This Row],[CHAPA]],'REG.CONTROL'!F:F,'REG.CONTROL'!I:I))</f>
        <v>Ativo</v>
      </c>
      <c r="J77" s="17">
        <f>IFERROR(_xlfn.XLOOKUP(Tabela2[[#This Row],[NOME DO TUTOR]],TUT.CONTROL!C:C,TUT.CONTROL!G:G),"Atualizar")</f>
        <v>46118</v>
      </c>
      <c r="K77" s="19">
        <v>55999922878</v>
      </c>
      <c r="L77" s="22">
        <f>IFERROR(_xlfn.XLOOKUP(Tabela2[[#This Row],[NOME DO TUTOR]],TUT.CONTROL!C:C,TUT.CONTROL!F:F),"Atualizar")</f>
        <v>1158001204</v>
      </c>
      <c r="M77" s="8" t="s">
        <v>278</v>
      </c>
      <c r="N77" s="11" t="str">
        <f>IFERROR(_xlfn.XLOOKUP(Tabela2[[#This Row],[CHAPA]],TUT.CONTROL!F:F,TUT.CONTROL!H:H),_xlfn.XLOOKUP(Tabela2[[#This Row],[CHAPA]],'REG.CONTROL'!F:F,'REG.CONTROL'!H:H))</f>
        <v>TUTOR DE PRATICA (UC_1749)</v>
      </c>
      <c r="O77" s="70" t="str">
        <f>IFERROR(_xlfn.XLOOKUP(Tabela2[[#This Row],[NOME DO TUTOR]],TUT.CONTROL!C:C,TUT.CONTROL!K:K),"Atualizar")</f>
        <v>004:00</v>
      </c>
      <c r="P7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77" s="66" t="s">
        <v>30</v>
      </c>
      <c r="R77" s="8"/>
      <c r="S77" s="8">
        <v>815950</v>
      </c>
    </row>
    <row r="78" spans="1:19" ht="13.5" hidden="1" x14ac:dyDescent="0.3">
      <c r="A7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78" s="8" t="str">
        <f>Tabela2[[#This Row],[CATEGORIA]]&amp;Tabela2[[#This Row],[CURSOS]]&amp;"LAP - "&amp;Tabela2[[#This Row],[POLO]]</f>
        <v>ENF-INS (Multidisciplinar II)EMF-ISNLAP - Fazenda Rio Grande/PR</v>
      </c>
      <c r="C78" s="8" t="str">
        <f>Tabela2[[#This Row],[CATEGORIA]]&amp;Tabela2[[#This Row],[CURSOS]]</f>
        <v>ENF-INS (Multidisciplinar II)EMF-ISN</v>
      </c>
      <c r="D78" s="8" t="str">
        <f>IF(Tabela2[[#This Row],[SITUAÇÃO]]&lt;&gt;"Demitido",CONCATENATE(Tabela2[[#This Row],[POLO]],Tabela2[[#This Row],[CURSOS]]),"Substituição")</f>
        <v>Substituição</v>
      </c>
      <c r="E78" s="8" t="s">
        <v>21</v>
      </c>
      <c r="F78" s="67" t="s">
        <v>22</v>
      </c>
      <c r="G78" s="67" t="s">
        <v>279</v>
      </c>
      <c r="H78" s="9" t="s">
        <v>280</v>
      </c>
      <c r="I78" s="17" t="str">
        <f>IFERROR(_xlfn.XLOOKUP(Tabela2[[#This Row],[CHAPA]],TUT.CONTROL!F:F,TUT.CONTROL!I:I),_xlfn.XLOOKUP(Tabela2[[#This Row],[CHAPA]],'REG.CONTROL'!F:F,'REG.CONTROL'!I:I))</f>
        <v>Demitido</v>
      </c>
      <c r="J78" s="17">
        <f>IFERROR(_xlfn.XLOOKUP(Tabela2[[#This Row],[NOME DO TUTOR]],TUT.CONTROL!C:C,TUT.CONTROL!G:G),"Demitido")</f>
        <v>45812</v>
      </c>
      <c r="K78" s="19">
        <v>69993222184</v>
      </c>
      <c r="L78" s="22">
        <f>IFERROR(_xlfn.XLOOKUP(Tabela2[[#This Row],[NOME DO TUTOR]],TUT.CONTROL!C:C,TUT.CONTROL!F:F),"Demitido")</f>
        <v>1158000740</v>
      </c>
      <c r="M78" s="8" t="s">
        <v>281</v>
      </c>
      <c r="N78" s="11" t="str">
        <f>IFERROR(_xlfn.XLOOKUP(Tabela2[[#This Row],[CHAPA]],TUT.CONTROL!F:F,TUT.CONTROL!H:H),_xlfn.XLOOKUP(Tabela2[[#This Row],[CHAPA]],'REG.CONTROL'!F:F,'REG.CONTROL'!H:H))</f>
        <v>TUTOR DE PRATICA (UC_1749)</v>
      </c>
      <c r="O78" s="68" t="str">
        <f>IFERROR(_xlfn.XLOOKUP(Tabela2[[#This Row],[NOME DO TUTOR]],TUT.CONTROL!C:C,TUT.CONTROL!K:K),"Demitido")</f>
        <v>004:00</v>
      </c>
      <c r="P78" s="17">
        <f>IF(Tabela2[[#This Row],[SITUAÇÃO]]="Demitido",IFERROR(_xlfn.XLOOKUP(Tabela2[[#This Row],[CHAPA]],TUT.CONTROL!F:F,TUT.CONTROL!V:V),_xlfn.XLOOKUP(Tabela2[[#This Row],[CHAPA]],'REG.CONTROL'!F:F,'REG.CONTROL'!V:V)),"-")</f>
        <v>45931</v>
      </c>
      <c r="Q78" s="66" t="s">
        <v>43</v>
      </c>
      <c r="R78" s="8" t="s">
        <v>282</v>
      </c>
      <c r="S78" s="8">
        <v>250468</v>
      </c>
    </row>
    <row r="79" spans="1:19" ht="13.5" hidden="1" x14ac:dyDescent="0.3">
      <c r="A7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Feira De Santana/BA - CentroEMF-ISNENF-INS (Multidisciplinar II)</v>
      </c>
      <c r="B79" s="8" t="str">
        <f>Tabela2[[#This Row],[CATEGORIA]]&amp;Tabela2[[#This Row],[CURSOS]]&amp;"LAP - "&amp;Tabela2[[#This Row],[POLO]]</f>
        <v>ENF-INS (Multidisciplinar II)EMF-ISNLAP - Feira De Santana/BA - Centro</v>
      </c>
      <c r="C79" s="8" t="str">
        <f>Tabela2[[#This Row],[CATEGORIA]]&amp;Tabela2[[#This Row],[CURSOS]]</f>
        <v>ENF-INS (Multidisciplinar II)EMF-ISN</v>
      </c>
      <c r="D79" s="8" t="str">
        <f>IF(Tabela2[[#This Row],[SITUAÇÃO]]&lt;&gt;"Demitido",CONCATENATE(Tabela2[[#This Row],[POLO]],Tabela2[[#This Row],[CURSOS]]),"Substituição")</f>
        <v>Feira De Santana/BA - CentroEMF-ISN</v>
      </c>
      <c r="E79" s="8" t="s">
        <v>21</v>
      </c>
      <c r="F79" s="67" t="s">
        <v>22</v>
      </c>
      <c r="G79" s="67" t="s">
        <v>283</v>
      </c>
      <c r="H79" s="9" t="s">
        <v>284</v>
      </c>
      <c r="I79" s="17" t="str">
        <f>IFERROR(_xlfn.XLOOKUP(Tabela2[[#This Row],[CHAPA]],TUT.CONTROL!F:F,TUT.CONTROL!I:I),_xlfn.XLOOKUP(Tabela2[[#This Row],[CHAPA]],'REG.CONTROL'!F:F,'REG.CONTROL'!I:I))</f>
        <v>Ativo</v>
      </c>
      <c r="J79" s="17">
        <f>IFERROR(_xlfn.XLOOKUP(Tabela2[[#This Row],[NOME DO TUTOR]],TUT.CONTROL!C:C,TUT.CONTROL!G:G),"Demitido")</f>
        <v>45754</v>
      </c>
      <c r="K79" s="19">
        <v>75992843796</v>
      </c>
      <c r="L79" s="22">
        <f>IFERROR(_xlfn.XLOOKUP(Tabela2[[#This Row],[NOME DO TUTOR]],TUT.CONTROL!C:C,TUT.CONTROL!F:F),"Demitido")</f>
        <v>1158000692</v>
      </c>
      <c r="M79" s="8" t="s">
        <v>285</v>
      </c>
      <c r="N79" s="11" t="str">
        <f>IFERROR(_xlfn.XLOOKUP(Tabela2[[#This Row],[CHAPA]],TUT.CONTROL!F:F,TUT.CONTROL!H:H),_xlfn.XLOOKUP(Tabela2[[#This Row],[CHAPA]],'REG.CONTROL'!F:F,'REG.CONTROL'!H:H))</f>
        <v>TUTOR DE PRATICA (UC_1749)</v>
      </c>
      <c r="O79" s="68" t="str">
        <f>IFERROR(_xlfn.XLOOKUP(Tabela2[[#This Row],[NOME DO TUTOR]],TUT.CONTROL!C:C,TUT.CONTROL!K:K),"Demitido")</f>
        <v>008:00</v>
      </c>
      <c r="P7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79" s="66" t="s">
        <v>30</v>
      </c>
      <c r="R79" s="8" t="s">
        <v>286</v>
      </c>
      <c r="S79" s="8">
        <v>331131</v>
      </c>
    </row>
    <row r="80" spans="1:19" ht="13.5" hidden="1" x14ac:dyDescent="0.3">
      <c r="A8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Florianópolis/SC - CentroEMF-ISNENF-INS (Multidisciplinar II)</v>
      </c>
      <c r="B80" s="8" t="str">
        <f>Tabela2[[#This Row],[CATEGORIA]]&amp;Tabela2[[#This Row],[CURSOS]]&amp;"LAP - "&amp;Tabela2[[#This Row],[POLO]]</f>
        <v>ENF-INS (Multidisciplinar II)EMF-ISNLAP - Florianópolis/SC - Centro</v>
      </c>
      <c r="C80" s="8" t="str">
        <f>Tabela2[[#This Row],[CATEGORIA]]&amp;Tabela2[[#This Row],[CURSOS]]</f>
        <v>ENF-INS (Multidisciplinar II)EMF-ISN</v>
      </c>
      <c r="D80" s="8" t="str">
        <f>IF(Tabela2[[#This Row],[SITUAÇÃO]]&lt;&gt;"Demitido",CONCATENATE(Tabela2[[#This Row],[POLO]],Tabela2[[#This Row],[CURSOS]]),"Substituição")</f>
        <v>Florianópolis/SC - CentroEMF-ISN</v>
      </c>
      <c r="E80" s="8" t="s">
        <v>21</v>
      </c>
      <c r="F80" s="67" t="s">
        <v>22</v>
      </c>
      <c r="G80" s="67" t="s">
        <v>287</v>
      </c>
      <c r="H80" s="9" t="s">
        <v>288</v>
      </c>
      <c r="I80" s="17" t="str">
        <f>IFERROR(_xlfn.XLOOKUP(Tabela2[[#This Row],[CHAPA]],TUT.CONTROL!F:F,TUT.CONTROL!I:I),_xlfn.XLOOKUP(Tabela2[[#This Row],[CHAPA]],'REG.CONTROL'!F:F,'REG.CONTROL'!I:I))</f>
        <v>Ativo</v>
      </c>
      <c r="J80" s="17">
        <f>IFERROR(_xlfn.XLOOKUP(Tabela2[[#This Row],[NOME DO TUTOR]],'REG.CONTROL'!C:C,'REG.CONTROL'!G:G),"Demitido")</f>
        <v>45574</v>
      </c>
      <c r="K80" s="19">
        <v>3291978773</v>
      </c>
      <c r="L80" s="22">
        <f>IFERROR(_xlfn.XLOOKUP(Tabela2[[#This Row],[NOME DO TUTOR]],'REG.CONTROL'!C:C,'REG.CONTROL'!F:F),"Demitido")</f>
        <v>1004015994</v>
      </c>
      <c r="M80" s="8" t="s">
        <v>289</v>
      </c>
      <c r="N80" s="11" t="str">
        <f>IFERROR(_xlfn.XLOOKUP(Tabela2[[#This Row],[CHAPA]],TUT.CONTROL!F:F,TUT.CONTROL!H:H),_xlfn.XLOOKUP(Tabela2[[#This Row],[CHAPA]],'REG.CONTROL'!F:F,'REG.CONTROL'!H:H))</f>
        <v>PROFESSOR REGENTE DE POLO (UC_1744)</v>
      </c>
      <c r="O80" s="68" t="str">
        <f>IFERROR(_xlfn.XLOOKUP(Tabela2[[#This Row],[NOME DO TUTOR]],'REGENTE CH'!A:A,'REGENTE CH'!C:C),"Atualizar")</f>
        <v>012:00</v>
      </c>
      <c r="P8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80" s="66" t="s">
        <v>30</v>
      </c>
      <c r="R80" s="8" t="s">
        <v>149</v>
      </c>
      <c r="S80" s="8">
        <v>526723</v>
      </c>
    </row>
    <row r="81" spans="1:19" ht="13.5" hidden="1" x14ac:dyDescent="0.3">
      <c r="A8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81" s="8" t="str">
        <f>Tabela2[[#This Row],[CATEGORIA]]&amp;Tabela2[[#This Row],[CURSOS]]&amp;"LAP - "&amp;Tabela2[[#This Row],[POLO]]</f>
        <v>ENF-INS (Multidisciplinar II)EMF-ISNLAP - Formosa/GO</v>
      </c>
      <c r="C81" s="8" t="str">
        <f>Tabela2[[#This Row],[CATEGORIA]]&amp;Tabela2[[#This Row],[CURSOS]]</f>
        <v>ENF-INS (Multidisciplinar II)EMF-ISN</v>
      </c>
      <c r="D81" s="8" t="str">
        <f>IF(Tabela2[[#This Row],[SITUAÇÃO]]&lt;&gt;"Demitido",CONCATENATE(Tabela2[[#This Row],[POLO]],Tabela2[[#This Row],[CURSOS]]),"Substituição")</f>
        <v>Substituição</v>
      </c>
      <c r="E81" s="8" t="s">
        <v>21</v>
      </c>
      <c r="F81" s="67" t="s">
        <v>22</v>
      </c>
      <c r="G81" s="67" t="s">
        <v>290</v>
      </c>
      <c r="H81" s="9" t="s">
        <v>291</v>
      </c>
      <c r="I81" s="17" t="str">
        <f>IFERROR(_xlfn.XLOOKUP(Tabela2[[#This Row],[CHAPA]],TUT.CONTROL!F:F,TUT.CONTROL!I:I),_xlfn.XLOOKUP(Tabela2[[#This Row],[CHAPA]],'REG.CONTROL'!F:F,'REG.CONTROL'!I:I))</f>
        <v>Demitido</v>
      </c>
      <c r="J81" s="17">
        <f>IFERROR(_xlfn.XLOOKUP(Tabela2[[#This Row],[NOME DO TUTOR]],TUT.CONTROL!C:C,TUT.CONTROL!G:G),"Demitido")</f>
        <v>45810</v>
      </c>
      <c r="K81" s="19">
        <v>6192871621</v>
      </c>
      <c r="L81" s="22">
        <f>IFERROR(_xlfn.XLOOKUP(Tabela2[[#This Row],[NOME DO TUTOR]],TUT.CONTROL!C:C,TUT.CONTROL!F:F),"Demitido")</f>
        <v>1158000737</v>
      </c>
      <c r="M81" s="8" t="s">
        <v>292</v>
      </c>
      <c r="N81" s="11" t="str">
        <f>IFERROR(_xlfn.XLOOKUP(Tabela2[[#This Row],[CHAPA]],TUT.CONTROL!F:F,TUT.CONTROL!H:H),_xlfn.XLOOKUP(Tabela2[[#This Row],[CHAPA]],'REG.CONTROL'!F:F,'REG.CONTROL'!H:H))</f>
        <v>TUTOR DE PRATICA (UC_1749)</v>
      </c>
      <c r="O81" s="68" t="str">
        <f>IFERROR(_xlfn.XLOOKUP(Tabela2[[#This Row],[NOME DO TUTOR]],TUT.CONTROL!C:C,TUT.CONTROL!K:K),"Demitido")</f>
        <v>004:00</v>
      </c>
      <c r="P81" s="17">
        <f>IF(Tabela2[[#This Row],[SITUAÇÃO]]="Demitido",IFERROR(_xlfn.XLOOKUP(Tabela2[[#This Row],[CHAPA]],TUT.CONTROL!F:F,TUT.CONTROL!V:V),_xlfn.XLOOKUP(Tabela2[[#This Row],[CHAPA]],'REG.CONTROL'!F:F,'REG.CONTROL'!V:V)),"-")</f>
        <v>45964</v>
      </c>
      <c r="Q81" s="66" t="s">
        <v>43</v>
      </c>
      <c r="R81" s="8"/>
      <c r="S81" s="8"/>
    </row>
    <row r="82" spans="1:19" ht="13.5" hidden="1" x14ac:dyDescent="0.3">
      <c r="A8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82" s="8" t="str">
        <f>Tabela2[[#This Row],[CATEGORIA]]&amp;Tabela2[[#This Row],[CURSOS]]&amp;"LAP - "&amp;Tabela2[[#This Row],[POLO]]</f>
        <v>ENF-INS (Multidisciplinar II)EMF-ISNLAP - Formosa/GO</v>
      </c>
      <c r="C82" s="8" t="str">
        <f>Tabela2[[#This Row],[CATEGORIA]]&amp;Tabela2[[#This Row],[CURSOS]]</f>
        <v>ENF-INS (Multidisciplinar II)EMF-ISN</v>
      </c>
      <c r="D82" s="8" t="str">
        <f>IF(Tabela2[[#This Row],[SITUAÇÃO]]&lt;&gt;"Demitido",CONCATENATE(Tabela2[[#This Row],[POLO]],Tabela2[[#This Row],[CURSOS]]),"Substituição")</f>
        <v>Substituição</v>
      </c>
      <c r="E82" s="8" t="s">
        <v>21</v>
      </c>
      <c r="F82" s="67" t="s">
        <v>22</v>
      </c>
      <c r="G82" s="67" t="s">
        <v>290</v>
      </c>
      <c r="H82" s="9" t="s">
        <v>293</v>
      </c>
      <c r="I82" s="17" t="str">
        <f>IFERROR(_xlfn.XLOOKUP(Tabela2[[#This Row],[CHAPA]],TUT.CONTROL!F:F,TUT.CONTROL!I:I),_xlfn.XLOOKUP(Tabela2[[#This Row],[CHAPA]],'REG.CONTROL'!F:F,'REG.CONTROL'!I:I))</f>
        <v>Demitido</v>
      </c>
      <c r="J82" s="17">
        <f>IFERROR(_xlfn.XLOOKUP(Tabela2[[#This Row],[NOME DO TUTOR]],TUT.CONTROL!C:C,TUT.CONTROL!G:G),"Demitido")</f>
        <v>45901</v>
      </c>
      <c r="K82" s="19">
        <v>61991892755</v>
      </c>
      <c r="L82" s="22">
        <f>IFERROR(_xlfn.XLOOKUP(Tabela2[[#This Row],[NOME DO TUTOR]],TUT.CONTROL!C:C,TUT.CONTROL!F:F),"Demitido")</f>
        <v>1158000947</v>
      </c>
      <c r="M82" s="8" t="s">
        <v>294</v>
      </c>
      <c r="N82" s="11" t="str">
        <f>IFERROR(_xlfn.XLOOKUP(Tabela2[[#This Row],[CHAPA]],TUT.CONTROL!F:F,TUT.CONTROL!H:H),_xlfn.XLOOKUP(Tabela2[[#This Row],[CHAPA]],'REG.CONTROL'!F:F,'REG.CONTROL'!H:H))</f>
        <v>TUTOR DE PRATICA (UC_1749)</v>
      </c>
      <c r="O82" s="68" t="str">
        <f>IFERROR(_xlfn.XLOOKUP(Tabela2[[#This Row],[NOME DO TUTOR]],TUT.CONTROL!C:C,TUT.CONTROL!K:K),"Demitido")</f>
        <v>004:00</v>
      </c>
      <c r="P82" s="17">
        <f>IF(Tabela2[[#This Row],[SITUAÇÃO]]="Demitido",IFERROR(_xlfn.XLOOKUP(Tabela2[[#This Row],[CHAPA]],TUT.CONTROL!F:F,TUT.CONTROL!V:V),_xlfn.XLOOKUP(Tabela2[[#This Row],[CHAPA]],'REG.CONTROL'!F:F,'REG.CONTROL'!V:V)),"-")</f>
        <v>45952</v>
      </c>
      <c r="Q82" s="66" t="s">
        <v>43</v>
      </c>
      <c r="R82" s="8" t="s">
        <v>138</v>
      </c>
      <c r="S82" s="8">
        <v>721941</v>
      </c>
    </row>
    <row r="83" spans="1:19" ht="13.5" hidden="1" x14ac:dyDescent="0.3">
      <c r="A8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Fortaleza/CE - AguanambiEMF-ISNENF-INS (Multidisciplinar II)</v>
      </c>
      <c r="B83" s="8" t="str">
        <f>Tabela2[[#This Row],[CATEGORIA]]&amp;Tabela2[[#This Row],[CURSOS]]&amp;"LAP - "&amp;Tabela2[[#This Row],[POLO]]</f>
        <v>ENF-INS (Multidisciplinar II)EMF-ISNLAP - Fortaleza/CE - Aguanambi</v>
      </c>
      <c r="C83" s="8" t="str">
        <f>Tabela2[[#This Row],[CATEGORIA]]&amp;Tabela2[[#This Row],[CURSOS]]</f>
        <v>ENF-INS (Multidisciplinar II)EMF-ISN</v>
      </c>
      <c r="D83" s="8" t="str">
        <f>IF(Tabela2[[#This Row],[SITUAÇÃO]]&lt;&gt;"Demitido",CONCATENATE(Tabela2[[#This Row],[POLO]],Tabela2[[#This Row],[CURSOS]]),"Substituição")</f>
        <v>Fortaleza/CE - AguanambiEMF-ISN</v>
      </c>
      <c r="E83" s="8" t="s">
        <v>21</v>
      </c>
      <c r="F83" s="67" t="s">
        <v>22</v>
      </c>
      <c r="G83" s="67" t="s">
        <v>295</v>
      </c>
      <c r="H83" s="9" t="s">
        <v>296</v>
      </c>
      <c r="I83" s="17" t="str">
        <f>IFERROR(_xlfn.XLOOKUP(Tabela2[[#This Row],[CHAPA]],TUT.CONTROL!F:F,TUT.CONTROL!I:I),_xlfn.XLOOKUP(Tabela2[[#This Row],[CHAPA]],'REG.CONTROL'!F:F,'REG.CONTROL'!I:I))</f>
        <v>Ativo</v>
      </c>
      <c r="J83" s="17">
        <f>IFERROR(_xlfn.XLOOKUP(Tabela2[[#This Row],[NOME DO TUTOR]],TUT.CONTROL!C:C,TUT.CONTROL!G:G),"Demitido")</f>
        <v>45971</v>
      </c>
      <c r="K83" s="19">
        <v>85989430581</v>
      </c>
      <c r="L83" s="22">
        <f>IFERROR(_xlfn.XLOOKUP(Tabela2[[#This Row],[NOME DO TUTOR]],TUT.CONTROL!C:C,TUT.CONTROL!F:F),"Demitido")</f>
        <v>1158001058</v>
      </c>
      <c r="M83" s="8" t="s">
        <v>297</v>
      </c>
      <c r="N83" s="11" t="str">
        <f>IFERROR(_xlfn.XLOOKUP(Tabela2[[#This Row],[CHAPA]],TUT.CONTROL!F:F,TUT.CONTROL!H:H),_xlfn.XLOOKUP(Tabela2[[#This Row],[CHAPA]],'REG.CONTROL'!F:F,'REG.CONTROL'!H:H))</f>
        <v>TUTOR DE PRATICA (UC_1749)</v>
      </c>
      <c r="O83" s="68" t="str">
        <f>IFERROR(_xlfn.XLOOKUP(Tabela2[[#This Row],[NOME DO TUTOR]],TUT.CONTROL!C:C,TUT.CONTROL!K:K),"Demitido")</f>
        <v>020:00</v>
      </c>
      <c r="P8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83" s="66"/>
      <c r="R83" s="8" t="s">
        <v>298</v>
      </c>
      <c r="S83" s="8">
        <v>788331</v>
      </c>
    </row>
    <row r="84" spans="1:19" ht="13.5" hidden="1" x14ac:dyDescent="0.3">
      <c r="A8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84" s="8" t="str">
        <f>Tabela2[[#This Row],[CATEGORIA]]&amp;Tabela2[[#This Row],[CURSOS]]&amp;"LAP - "&amp;Tabela2[[#This Row],[POLO]]</f>
        <v>ENF-INS (Multidisciplinar II)EMF-ISNLAP - Fortaleza/CE - Aguanambi</v>
      </c>
      <c r="C84" s="8" t="str">
        <f>Tabela2[[#This Row],[CATEGORIA]]&amp;Tabela2[[#This Row],[CURSOS]]</f>
        <v>ENF-INS (Multidisciplinar II)EMF-ISN</v>
      </c>
      <c r="D84" s="8" t="str">
        <f>IF(Tabela2[[#This Row],[SITUAÇÃO]]&lt;&gt;"Demitido",CONCATENATE(Tabela2[[#This Row],[POLO]],Tabela2[[#This Row],[CURSOS]]),"Substituição")</f>
        <v>Substituição</v>
      </c>
      <c r="E84" s="8" t="s">
        <v>21</v>
      </c>
      <c r="F84" s="67" t="s">
        <v>22</v>
      </c>
      <c r="G84" s="67" t="s">
        <v>295</v>
      </c>
      <c r="H84" s="9" t="s">
        <v>299</v>
      </c>
      <c r="I84" s="17" t="str">
        <f>IFERROR(_xlfn.XLOOKUP(Tabela2[[#This Row],[CHAPA]],TUT.CONTROL!F:F,TUT.CONTROL!I:I),_xlfn.XLOOKUP(Tabela2[[#This Row],[CHAPA]],'REG.CONTROL'!F:F,'REG.CONTROL'!I:I))</f>
        <v>Demitido</v>
      </c>
      <c r="J84" s="17">
        <f>IFERROR(_xlfn.XLOOKUP(Tabela2[[#This Row],[NOME DO TUTOR]],TUT.CONTROL!C:C,TUT.CONTROL!G:G),"Demitido")</f>
        <v>45782</v>
      </c>
      <c r="K84" s="19" t="s">
        <v>300</v>
      </c>
      <c r="L84" s="22">
        <f>IFERROR(_xlfn.XLOOKUP(Tabela2[[#This Row],[NOME DO TUTOR]],TUT.CONTROL!C:C,TUT.CONTROL!F:F),"Demitido")</f>
        <v>1158000607</v>
      </c>
      <c r="M84" s="8" t="s">
        <v>301</v>
      </c>
      <c r="N84" s="11" t="str">
        <f>IFERROR(_xlfn.XLOOKUP(Tabela2[[#This Row],[CHAPA]],TUT.CONTROL!F:F,TUT.CONTROL!H:H),_xlfn.XLOOKUP(Tabela2[[#This Row],[CHAPA]],'REG.CONTROL'!F:F,'REG.CONTROL'!H:H))</f>
        <v>TUTOR DE PRATICA (UC_1749)</v>
      </c>
      <c r="O84" s="68" t="str">
        <f>IFERROR(_xlfn.XLOOKUP(Tabela2[[#This Row],[NOME DO TUTOR]],TUT.CONTROL!C:C,TUT.CONTROL!K:K),"Demitido")</f>
        <v>020:00</v>
      </c>
      <c r="P84" s="17">
        <f>IF(Tabela2[[#This Row],[SITUAÇÃO]]="Demitido",IFERROR(_xlfn.XLOOKUP(Tabela2[[#This Row],[CHAPA]],TUT.CONTROL!F:F,TUT.CONTROL!V:V),_xlfn.XLOOKUP(Tabela2[[#This Row],[CHAPA]],'REG.CONTROL'!F:F,'REG.CONTROL'!V:V)),"-")</f>
        <v>45901</v>
      </c>
      <c r="Q84" s="66" t="s">
        <v>43</v>
      </c>
      <c r="R84" s="8"/>
      <c r="S84" s="8"/>
    </row>
    <row r="85" spans="1:19" ht="13.5" hidden="1" x14ac:dyDescent="0.3">
      <c r="A8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Francisco Beltrão/PREMF-ISNENF-INS (Multidisciplinar II)</v>
      </c>
      <c r="B85" s="8" t="str">
        <f>Tabela2[[#This Row],[CATEGORIA]]&amp;Tabela2[[#This Row],[CURSOS]]&amp;"LAP - "&amp;Tabela2[[#This Row],[POLO]]</f>
        <v>ENF-INS (Multidisciplinar II)EMF-ISNLAP - Francisco Beltrão/PR</v>
      </c>
      <c r="C85" s="8" t="str">
        <f>Tabela2[[#This Row],[CATEGORIA]]&amp;Tabela2[[#This Row],[CURSOS]]</f>
        <v>ENF-INS (Multidisciplinar II)EMF-ISN</v>
      </c>
      <c r="D85" s="8" t="str">
        <f>IF(Tabela2[[#This Row],[SITUAÇÃO]]&lt;&gt;"Demitido",CONCATENATE(Tabela2[[#This Row],[POLO]],Tabela2[[#This Row],[CURSOS]]),"Substituição")</f>
        <v>Francisco Beltrão/PREMF-ISN</v>
      </c>
      <c r="E85" s="8" t="s">
        <v>21</v>
      </c>
      <c r="F85" s="67" t="s">
        <v>22</v>
      </c>
      <c r="G85" s="67" t="s">
        <v>302</v>
      </c>
      <c r="H85" s="9" t="s">
        <v>303</v>
      </c>
      <c r="I85" s="17" t="str">
        <f>IFERROR(_xlfn.XLOOKUP(Tabela2[[#This Row],[CHAPA]],TUT.CONTROL!F:F,TUT.CONTROL!I:I),_xlfn.XLOOKUP(Tabela2[[#This Row],[CHAPA]],'REG.CONTROL'!F:F,'REG.CONTROL'!I:I))</f>
        <v>Ativo</v>
      </c>
      <c r="J85" s="17">
        <f>IFERROR(_xlfn.XLOOKUP(Tabela2[[#This Row],[NOME DO TUTOR]],TUT.CONTROL!C:C,TUT.CONTROL!G:G),"Atualizar")</f>
        <v>46118</v>
      </c>
      <c r="K85" s="19">
        <v>46999405572</v>
      </c>
      <c r="L85" s="22">
        <f>IFERROR(_xlfn.XLOOKUP(Tabela2[[#This Row],[NOME DO TUTOR]],TUT.CONTROL!C:C,TUT.CONTROL!F:F),"Atualizar")</f>
        <v>1158001189</v>
      </c>
      <c r="M85" s="8" t="s">
        <v>304</v>
      </c>
      <c r="N85" s="11" t="str">
        <f>IFERROR(_xlfn.XLOOKUP(Tabela2[[#This Row],[CHAPA]],TUT.CONTROL!F:F,TUT.CONTROL!H:H),_xlfn.XLOOKUP(Tabela2[[#This Row],[CHAPA]],'REG.CONTROL'!F:F,'REG.CONTROL'!H:H))</f>
        <v>TUTOR DE PRATICA (UC_1749)</v>
      </c>
      <c r="O85" s="70" t="str">
        <f>IFERROR(_xlfn.XLOOKUP(Tabela2[[#This Row],[NOME DO TUTOR]],TUT.CONTROL!C:C,TUT.CONTROL!K:K),"Atualizar")</f>
        <v>004:00</v>
      </c>
      <c r="P8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85" s="66"/>
      <c r="R85" s="8"/>
    </row>
    <row r="86" spans="1:19" ht="13.5" hidden="1" x14ac:dyDescent="0.3">
      <c r="A8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86" s="8" t="str">
        <f>Tabela2[[#This Row],[CATEGORIA]]&amp;Tabela2[[#This Row],[CURSOS]]&amp;"LAP - "&amp;Tabela2[[#This Row],[POLO]]</f>
        <v>ENF-INS (Multidisciplinar II)EMF-ISNLAP - Francisco Beltrão/PR</v>
      </c>
      <c r="C86" s="8" t="str">
        <f>Tabela2[[#This Row],[CATEGORIA]]&amp;Tabela2[[#This Row],[CURSOS]]</f>
        <v>ENF-INS (Multidisciplinar II)EMF-ISN</v>
      </c>
      <c r="D86" s="8" t="str">
        <f>IF(Tabela2[[#This Row],[SITUAÇÃO]]&lt;&gt;"Demitido",CONCATENATE(Tabela2[[#This Row],[POLO]],Tabela2[[#This Row],[CURSOS]]),"Substituição")</f>
        <v>Substituição</v>
      </c>
      <c r="E86" s="8" t="s">
        <v>21</v>
      </c>
      <c r="F86" s="67" t="s">
        <v>22</v>
      </c>
      <c r="G86" s="67" t="s">
        <v>302</v>
      </c>
      <c r="H86" s="9" t="s">
        <v>305</v>
      </c>
      <c r="I86" s="17" t="str">
        <f>IFERROR(_xlfn.XLOOKUP(Tabela2[[#This Row],[CHAPA]],TUT.CONTROL!F:F,TUT.CONTROL!I:I),_xlfn.XLOOKUP(Tabela2[[#This Row],[CHAPA]],'REG.CONTROL'!F:F,'REG.CONTROL'!I:I))</f>
        <v>Demitido</v>
      </c>
      <c r="J86" s="17">
        <f>IFERROR(_xlfn.XLOOKUP(Tabela2[[#This Row],[NOME DO TUTOR]],TUT.CONTROL!C:C,TUT.CONTROL!G:G),"Demitido")</f>
        <v>45728</v>
      </c>
      <c r="K86" s="19">
        <v>92994488890</v>
      </c>
      <c r="L86" s="22">
        <f>IFERROR(_xlfn.XLOOKUP(Tabela2[[#This Row],[NOME DO TUTOR]],TUT.CONTROL!C:C,TUT.CONTROL!F:F),"Demitido")</f>
        <v>1158000546</v>
      </c>
      <c r="M86" s="8" t="s">
        <v>306</v>
      </c>
      <c r="N86" s="11" t="str">
        <f>IFERROR(_xlfn.XLOOKUP(Tabela2[[#This Row],[CHAPA]],TUT.CONTROL!F:F,TUT.CONTROL!H:H),_xlfn.XLOOKUP(Tabela2[[#This Row],[CHAPA]],'REG.CONTROL'!F:F,'REG.CONTROL'!H:H))</f>
        <v>TUTOR DE PRATICA (UC_1749)</v>
      </c>
      <c r="O86" s="68" t="str">
        <f>IFERROR(_xlfn.XLOOKUP(Tabela2[[#This Row],[NOME DO TUTOR]],TUT.CONTROL!C:C,TUT.CONTROL!K:K),"Demitido")</f>
        <v>004:00</v>
      </c>
      <c r="P86" s="17">
        <f>IF(Tabela2[[#This Row],[SITUAÇÃO]]="Demitido",IFERROR(_xlfn.XLOOKUP(Tabela2[[#This Row],[CHAPA]],TUT.CONTROL!F:F,TUT.CONTROL!V:V),_xlfn.XLOOKUP(Tabela2[[#This Row],[CHAPA]],'REG.CONTROL'!F:F,'REG.CONTROL'!V:V)),"-")</f>
        <v>45880</v>
      </c>
      <c r="Q86" s="66" t="s">
        <v>43</v>
      </c>
      <c r="R86" s="8" t="s">
        <v>209</v>
      </c>
      <c r="S86" s="69">
        <v>562877</v>
      </c>
    </row>
    <row r="87" spans="1:19" ht="13.5" hidden="1" x14ac:dyDescent="0.3">
      <c r="A8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Gandu/BAEMF-ISNENF-INS (Multidisciplinar II)</v>
      </c>
      <c r="B87" s="8" t="str">
        <f>Tabela2[[#This Row],[CATEGORIA]]&amp;Tabela2[[#This Row],[CURSOS]]&amp;"LAP - "&amp;Tabela2[[#This Row],[POLO]]</f>
        <v>ENF-INS (Multidisciplinar II)EMF-ISNLAP - Gandu/BA</v>
      </c>
      <c r="C87" s="8" t="str">
        <f>Tabela2[[#This Row],[CATEGORIA]]&amp;Tabela2[[#This Row],[CURSOS]]</f>
        <v>ENF-INS (Multidisciplinar II)EMF-ISN</v>
      </c>
      <c r="D87" s="8" t="str">
        <f>IF(Tabela2[[#This Row],[SITUAÇÃO]]&lt;&gt;"Demitido",CONCATENATE(Tabela2[[#This Row],[POLO]],Tabela2[[#This Row],[CURSOS]]),"Substituição")</f>
        <v>Gandu/BAEMF-ISN</v>
      </c>
      <c r="E87" s="8" t="s">
        <v>21</v>
      </c>
      <c r="F87" s="67" t="s">
        <v>22</v>
      </c>
      <c r="G87" s="67" t="s">
        <v>307</v>
      </c>
      <c r="H87" s="9" t="s">
        <v>308</v>
      </c>
      <c r="I87" s="17" t="str">
        <f>IFERROR(_xlfn.XLOOKUP(Tabela2[[#This Row],[CHAPA]],TUT.CONTROL!F:F,TUT.CONTROL!I:I),_xlfn.XLOOKUP(Tabela2[[#This Row],[CHAPA]],'REG.CONTROL'!F:F,'REG.CONTROL'!I:I))</f>
        <v>Ativo</v>
      </c>
      <c r="J87" s="17">
        <f>IFERROR(_xlfn.XLOOKUP(Tabela2[[#This Row],[NOME DO TUTOR]],TUT.CONTROL!C:C,TUT.CONTROL!G:G),"Demitido")</f>
        <v>45721</v>
      </c>
      <c r="K87" s="19">
        <v>73982330283</v>
      </c>
      <c r="L87" s="22">
        <f>IFERROR(_xlfn.XLOOKUP(Tabela2[[#This Row],[NOME DO TUTOR]],TUT.CONTROL!C:C,TUT.CONTROL!F:F),"Demitido")</f>
        <v>1158000536</v>
      </c>
      <c r="M87" s="8" t="s">
        <v>309</v>
      </c>
      <c r="N87" s="11" t="str">
        <f>IFERROR(_xlfn.XLOOKUP(Tabela2[[#This Row],[CHAPA]],TUT.CONTROL!F:F,TUT.CONTROL!H:H),_xlfn.XLOOKUP(Tabela2[[#This Row],[CHAPA]],'REG.CONTROL'!F:F,'REG.CONTROL'!H:H))</f>
        <v>TUTOR DE PRATICA (UC_1749)</v>
      </c>
      <c r="O87" s="68" t="str">
        <f>IFERROR(_xlfn.XLOOKUP(Tabela2[[#This Row],[NOME DO TUTOR]],TUT.CONTROL!C:C,TUT.CONTROL!K:K),"Demitido")</f>
        <v>004:00</v>
      </c>
      <c r="P8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87" s="66" t="s">
        <v>30</v>
      </c>
      <c r="R87" s="8" t="s">
        <v>286</v>
      </c>
      <c r="S87" s="8">
        <v>365545</v>
      </c>
    </row>
    <row r="88" spans="1:19" ht="13.5" hidden="1" x14ac:dyDescent="0.3">
      <c r="A8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Garanhuns/PEEMF-ISNENF-INS (Multidisciplinar II)</v>
      </c>
      <c r="B88" s="8" t="str">
        <f>Tabela2[[#This Row],[CATEGORIA]]&amp;Tabela2[[#This Row],[CURSOS]]&amp;"LAP - "&amp;Tabela2[[#This Row],[POLO]]</f>
        <v>ENF-INS (Multidisciplinar II)EMF-ISNLAP - Garanhuns/PE</v>
      </c>
      <c r="C88" s="8" t="str">
        <f>Tabela2[[#This Row],[CATEGORIA]]&amp;Tabela2[[#This Row],[CURSOS]]</f>
        <v>ENF-INS (Multidisciplinar II)EMF-ISN</v>
      </c>
      <c r="D88" s="8" t="str">
        <f>IF(Tabela2[[#This Row],[SITUAÇÃO]]&lt;&gt;"Demitido",CONCATENATE(Tabela2[[#This Row],[POLO]],Tabela2[[#This Row],[CURSOS]]),"Substituição")</f>
        <v>Garanhuns/PEEMF-ISN</v>
      </c>
      <c r="E88" s="8" t="s">
        <v>21</v>
      </c>
      <c r="F88" s="67" t="s">
        <v>22</v>
      </c>
      <c r="G88" s="67" t="s">
        <v>310</v>
      </c>
      <c r="H88" s="9" t="s">
        <v>311</v>
      </c>
      <c r="I88" s="17" t="str">
        <f>IFERROR(_xlfn.XLOOKUP(Tabela2[[#This Row],[CHAPA]],TUT.CONTROL!F:F,TUT.CONTROL!I:I),_xlfn.XLOOKUP(Tabela2[[#This Row],[CHAPA]],'REG.CONTROL'!F:F,'REG.CONTROL'!I:I))</f>
        <v>Ativo</v>
      </c>
      <c r="J88" s="17">
        <f>IFERROR(_xlfn.XLOOKUP(Tabela2[[#This Row],[NOME DO TUTOR]],'REG.CONTROL'!C:C,'REG.CONTROL'!G:G),"Demitido")</f>
        <v>45014</v>
      </c>
      <c r="K88" s="19" t="s">
        <v>312</v>
      </c>
      <c r="L88" s="22">
        <f>IFERROR(_xlfn.XLOOKUP(Tabela2[[#This Row],[NOME DO TUTOR]],'REG.CONTROL'!C:C,'REG.CONTROL'!F:F),"Demitido")</f>
        <v>1004011694</v>
      </c>
      <c r="M88" s="8" t="s">
        <v>313</v>
      </c>
      <c r="N88" s="11" t="str">
        <f>IFERROR(_xlfn.XLOOKUP(Tabela2[[#This Row],[CHAPA]],TUT.CONTROL!F:F,TUT.CONTROL!H:H),_xlfn.XLOOKUP(Tabela2[[#This Row],[CHAPA]],'REG.CONTROL'!F:F,'REG.CONTROL'!H:H))</f>
        <v>PROFESSOR REGENTE DE POLO (UC_1744)</v>
      </c>
      <c r="O88" s="68" t="str">
        <f>IFERROR(_xlfn.XLOOKUP(Tabela2[[#This Row],[NOME DO TUTOR]],'REGENTE CH'!A:A,'REGENTE CH'!C:C),"Atualizar")</f>
        <v>004:00</v>
      </c>
      <c r="P8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88" s="66" t="s">
        <v>30</v>
      </c>
      <c r="R88" s="8" t="s">
        <v>35</v>
      </c>
      <c r="S88" s="8">
        <v>406295</v>
      </c>
    </row>
    <row r="89" spans="1:19" ht="13.5" hidden="1" x14ac:dyDescent="0.3">
      <c r="A8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Goiânia/GO - CerradoEMF-ISNENF-INS (Multidisciplinar II)</v>
      </c>
      <c r="B89" s="8" t="str">
        <f>Tabela2[[#This Row],[CATEGORIA]]&amp;Tabela2[[#This Row],[CURSOS]]&amp;"LAP - "&amp;Tabela2[[#This Row],[POLO]]</f>
        <v>ENF-INS (Multidisciplinar II)EMF-ISNLAP - Goiânia/GO - Cerrado</v>
      </c>
      <c r="C89" s="8" t="str">
        <f>Tabela2[[#This Row],[CATEGORIA]]&amp;Tabela2[[#This Row],[CURSOS]]</f>
        <v>ENF-INS (Multidisciplinar II)EMF-ISN</v>
      </c>
      <c r="D89" s="8" t="str">
        <f>IF(Tabela2[[#This Row],[SITUAÇÃO]]&lt;&gt;"Demitido",CONCATENATE(Tabela2[[#This Row],[POLO]],Tabela2[[#This Row],[CURSOS]]),"Substituição")</f>
        <v>Goiânia/GO - CerradoEMF-ISN</v>
      </c>
      <c r="E89" s="8" t="s">
        <v>21</v>
      </c>
      <c r="F89" s="67" t="s">
        <v>22</v>
      </c>
      <c r="G89" s="67" t="s">
        <v>314</v>
      </c>
      <c r="H89" s="9" t="s">
        <v>315</v>
      </c>
      <c r="I89" s="17" t="str">
        <f>IFERROR(_xlfn.XLOOKUP(Tabela2[[#This Row],[CHAPA]],TUT.CONTROL!F:F,TUT.CONTROL!I:I),_xlfn.XLOOKUP(Tabela2[[#This Row],[CHAPA]],'REG.CONTROL'!F:F,'REG.CONTROL'!I:I))</f>
        <v>Ativo</v>
      </c>
      <c r="J89" s="17">
        <f>IFERROR(_xlfn.XLOOKUP(Tabela2[[#This Row],[NOME DO TUTOR]],TUT.CONTROL!C:C,TUT.CONTROL!G:G),"Demitido")</f>
        <v>45749</v>
      </c>
      <c r="K89" s="19">
        <v>62992552047</v>
      </c>
      <c r="L89" s="22">
        <f>IFERROR(_xlfn.XLOOKUP(Tabela2[[#This Row],[NOME DO TUTOR]],TUT.CONTROL!C:C,TUT.CONTROL!F:F),"Demitido")</f>
        <v>1158000670</v>
      </c>
      <c r="M89" s="8" t="s">
        <v>316</v>
      </c>
      <c r="N89" s="11" t="str">
        <f>IFERROR(_xlfn.XLOOKUP(Tabela2[[#This Row],[CHAPA]],TUT.CONTROL!F:F,TUT.CONTROL!H:H),_xlfn.XLOOKUP(Tabela2[[#This Row],[CHAPA]],'REG.CONTROL'!F:F,'REG.CONTROL'!H:H))</f>
        <v>TUTOR DE PRATICA (UC_1749)</v>
      </c>
      <c r="O89" s="68" t="str">
        <f>IFERROR(_xlfn.XLOOKUP(Tabela2[[#This Row],[NOME DO TUTOR]],TUT.CONTROL!C:C,TUT.CONTROL!K:K),"Demitido")</f>
        <v>012:00</v>
      </c>
      <c r="P8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89" s="66" t="s">
        <v>30</v>
      </c>
      <c r="R89" s="8" t="s">
        <v>213</v>
      </c>
      <c r="S89" s="8">
        <v>698893</v>
      </c>
    </row>
    <row r="90" spans="1:19" ht="13.5" hidden="1" x14ac:dyDescent="0.4">
      <c r="A9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Guaíba/RSEMF-ISNENF-INS (Multidisciplinar II)</v>
      </c>
      <c r="B90" s="8" t="str">
        <f>Tabela2[[#This Row],[CATEGORIA]]&amp;Tabela2[[#This Row],[CURSOS]]&amp;"LAP - "&amp;Tabela2[[#This Row],[POLO]]</f>
        <v>ENF-INS (Multidisciplinar II)EMF-ISNLAP - Guaíba/RS</v>
      </c>
      <c r="C90" s="8" t="str">
        <f>Tabela2[[#This Row],[CATEGORIA]]&amp;Tabela2[[#This Row],[CURSOS]]</f>
        <v>ENF-INS (Multidisciplinar II)EMF-ISN</v>
      </c>
      <c r="D90" s="8" t="str">
        <f>IF(Tabela2[[#This Row],[SITUAÇÃO]]&lt;&gt;"Demitido",CONCATENATE(Tabela2[[#This Row],[POLO]],Tabela2[[#This Row],[CURSOS]]),"Substituição")</f>
        <v>Guaíba/RSEMF-ISN</v>
      </c>
      <c r="E90" s="8" t="s">
        <v>21</v>
      </c>
      <c r="F90" s="67" t="s">
        <v>22</v>
      </c>
      <c r="G90" s="67" t="s">
        <v>317</v>
      </c>
      <c r="H90" s="9" t="s">
        <v>318</v>
      </c>
      <c r="I90" s="17" t="str">
        <f>IFERROR(_xlfn.XLOOKUP(Tabela2[[#This Row],[CHAPA]],TUT.CONTROL!F:F,TUT.CONTROL!I:I),_xlfn.XLOOKUP(Tabela2[[#This Row],[CHAPA]],'REG.CONTROL'!F:F,'REG.CONTROL'!I:I))</f>
        <v>Ativo</v>
      </c>
      <c r="J90" s="17">
        <f>IFERROR(_xlfn.XLOOKUP(Tabela2[[#This Row],[NOME DO TUTOR]],'REG.CONTROL'!C:C,'REG.CONTROL'!G:G),"Demitido")</f>
        <v>44706</v>
      </c>
      <c r="K90" s="19">
        <v>51996718319</v>
      </c>
      <c r="L90" s="22">
        <f>IFERROR(_xlfn.XLOOKUP(Tabela2[[#This Row],[NOME DO TUTOR]],'REG.CONTROL'!C:C,'REG.CONTROL'!F:F),"Demitido")</f>
        <v>1004010089</v>
      </c>
      <c r="M90" s="8" t="s">
        <v>319</v>
      </c>
      <c r="N90" s="11" t="str">
        <f>IFERROR(_xlfn.XLOOKUP(Tabela2[[#This Row],[CHAPA]],TUT.CONTROL!F:F,TUT.CONTROL!H:H),_xlfn.XLOOKUP(Tabela2[[#This Row],[CHAPA]],'REG.CONTROL'!F:F,'REG.CONTROL'!H:H))</f>
        <v>PROFESSOR REGENTE DE POLO (UC_1744)</v>
      </c>
      <c r="O90" s="68" t="str">
        <f>IFERROR(_xlfn.XLOOKUP(Tabela2[[#This Row],[NOME DO TUTOR]],'REGENTE CH'!A:A,'REGENTE CH'!C:C),"Atualizar")</f>
        <v>004:00</v>
      </c>
      <c r="P9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90" s="66" t="s">
        <v>30</v>
      </c>
      <c r="R90" s="78" t="s">
        <v>109</v>
      </c>
      <c r="S90" s="8">
        <v>655019</v>
      </c>
    </row>
    <row r="91" spans="1:19" ht="13.5" hidden="1" x14ac:dyDescent="0.3">
      <c r="A9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Guaramirim/SCEMF-ISNENF-INS (Multidisciplinar II)</v>
      </c>
      <c r="B91" s="8" t="str">
        <f>Tabela2[[#This Row],[CATEGORIA]]&amp;Tabela2[[#This Row],[CURSOS]]&amp;"LAP - "&amp;Tabela2[[#This Row],[POLO]]</f>
        <v>ENF-INS (Multidisciplinar II)EMF-ISNLAP - Guaramirim/SC</v>
      </c>
      <c r="C91" s="8" t="str">
        <f>Tabela2[[#This Row],[CATEGORIA]]&amp;Tabela2[[#This Row],[CURSOS]]</f>
        <v>ENF-INS (Multidisciplinar II)EMF-ISN</v>
      </c>
      <c r="D91" s="8" t="str">
        <f>IF(Tabela2[[#This Row],[SITUAÇÃO]]&lt;&gt;"Demitido",CONCATENATE(Tabela2[[#This Row],[POLO]],Tabela2[[#This Row],[CURSOS]]),"Substituição")</f>
        <v>Guaramirim/SCEMF-ISN</v>
      </c>
      <c r="E91" s="8" t="s">
        <v>21</v>
      </c>
      <c r="F91" s="67" t="s">
        <v>22</v>
      </c>
      <c r="G91" s="67" t="s">
        <v>320</v>
      </c>
      <c r="H91" s="9" t="s">
        <v>321</v>
      </c>
      <c r="I91" s="17" t="str">
        <f>IFERROR(_xlfn.XLOOKUP(Tabela2[[#This Row],[CHAPA]],TUT.CONTROL!F:F,TUT.CONTROL!I:I),_xlfn.XLOOKUP(Tabela2[[#This Row],[CHAPA]],'REG.CONTROL'!F:F,'REG.CONTROL'!I:I))</f>
        <v>Ativo</v>
      </c>
      <c r="J91" s="17">
        <f>IFERROR(_xlfn.XLOOKUP(Tabela2[[#This Row],[NOME DO TUTOR]],TUT.CONTROL!C:C,TUT.CONTROL!G:G),"Atualizar")</f>
        <v>46090</v>
      </c>
      <c r="K91" s="19">
        <v>92982387235</v>
      </c>
      <c r="L91" s="22">
        <f>IFERROR(_xlfn.XLOOKUP(Tabela2[[#This Row],[NOME DO TUTOR]],TUT.CONTROL!C:C,TUT.CONTROL!F:F),"Demitido")</f>
        <v>1158001158</v>
      </c>
      <c r="M91" s="8" t="s">
        <v>322</v>
      </c>
      <c r="N91" s="11" t="str">
        <f>IFERROR(_xlfn.XLOOKUP(Tabela2[[#This Row],[CHAPA]],TUT.CONTROL!F:F,TUT.CONTROL!H:H),_xlfn.XLOOKUP(Tabela2[[#This Row],[CHAPA]],'REG.CONTROL'!F:F,'REG.CONTROL'!H:H))</f>
        <v>TUTOR DE PRATICA (UC_1749)</v>
      </c>
      <c r="O91" s="70" t="str">
        <f>IFERROR(_xlfn.XLOOKUP(Tabela2[[#This Row],[NOME DO TUTOR]],TUT.CONTROL!C:C,TUT.CONTROL!K:K),"Demitido")</f>
        <v>004:00</v>
      </c>
      <c r="P9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91" s="66"/>
      <c r="R91" s="66"/>
      <c r="S91" s="8"/>
    </row>
    <row r="92" spans="1:19" ht="13.5" hidden="1" x14ac:dyDescent="0.3">
      <c r="A9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92" s="8" t="str">
        <f>Tabela2[[#This Row],[CATEGORIA]]&amp;Tabela2[[#This Row],[CURSOS]]&amp;"LAP - "&amp;Tabela2[[#This Row],[POLO]]</f>
        <v>ENF-INS (Multidisciplinar II)EMF-ISNLAP - Guaramirim/SC</v>
      </c>
      <c r="C92" s="8" t="str">
        <f>Tabela2[[#This Row],[CATEGORIA]]&amp;Tabela2[[#This Row],[CURSOS]]</f>
        <v>ENF-INS (Multidisciplinar II)EMF-ISN</v>
      </c>
      <c r="D92" s="8" t="str">
        <f>IF(Tabela2[[#This Row],[SITUAÇÃO]]&lt;&gt;"Demitido",CONCATENATE(Tabela2[[#This Row],[POLO]],Tabela2[[#This Row],[CURSOS]]),"Substituição")</f>
        <v>Substituição</v>
      </c>
      <c r="E92" s="8" t="s">
        <v>21</v>
      </c>
      <c r="F92" s="67" t="s">
        <v>22</v>
      </c>
      <c r="G92" s="67" t="s">
        <v>320</v>
      </c>
      <c r="H92" s="9" t="s">
        <v>323</v>
      </c>
      <c r="I92" s="17" t="str">
        <f>IFERROR(_xlfn.XLOOKUP(Tabela2[[#This Row],[CHAPA]],TUT.CONTROL!F:F,TUT.CONTROL!I:I),_xlfn.XLOOKUP(Tabela2[[#This Row],[CHAPA]],'REG.CONTROL'!F:F,'REG.CONTROL'!I:I))</f>
        <v>Demitido</v>
      </c>
      <c r="J92" s="17">
        <f>IFERROR(_xlfn.XLOOKUP(Tabela2[[#This Row],[NOME DO TUTOR]],TUT.CONTROL!C:C,TUT.CONTROL!G:G),"Demitido")</f>
        <v>45735</v>
      </c>
      <c r="K92" s="19">
        <v>47991162278</v>
      </c>
      <c r="L92" s="22">
        <f>IFERROR(_xlfn.XLOOKUP(Tabela2[[#This Row],[NOME DO TUTOR]],TUT.CONTROL!C:C,TUT.CONTROL!F:F),"Demitido")</f>
        <v>1158000568</v>
      </c>
      <c r="M92" s="8" t="s">
        <v>324</v>
      </c>
      <c r="N92" s="11" t="str">
        <f>IFERROR(_xlfn.XLOOKUP(Tabela2[[#This Row],[CHAPA]],TUT.CONTROL!F:F,TUT.CONTROL!H:H),_xlfn.XLOOKUP(Tabela2[[#This Row],[CHAPA]],'REG.CONTROL'!F:F,'REG.CONTROL'!H:H))</f>
        <v>TUTOR DE PRATICA (UC_1749)</v>
      </c>
      <c r="O92" s="68" t="str">
        <f>IFERROR(_xlfn.XLOOKUP(Tabela2[[#This Row],[NOME DO TUTOR]],TUT.CONTROL!C:C,TUT.CONTROL!K:K),"Demitido")</f>
        <v>004:00</v>
      </c>
      <c r="P92" s="17">
        <f>IF(Tabela2[[#This Row],[SITUAÇÃO]]="Demitido",IFERROR(_xlfn.XLOOKUP(Tabela2[[#This Row],[CHAPA]],TUT.CONTROL!F:F,TUT.CONTROL!V:V),_xlfn.XLOOKUP(Tabela2[[#This Row],[CHAPA]],'REG.CONTROL'!F:F,'REG.CONTROL'!V:V)),"-")</f>
        <v>45911</v>
      </c>
      <c r="Q92" s="66" t="s">
        <v>43</v>
      </c>
      <c r="R92" s="8"/>
      <c r="S92" s="8"/>
    </row>
    <row r="93" spans="1:19" ht="13.5" hidden="1" x14ac:dyDescent="0.3">
      <c r="A9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Guarujá/SPEMF-ISNENF-INS (Multidisciplinar II)</v>
      </c>
      <c r="B93" s="8" t="str">
        <f>Tabela2[[#This Row],[CATEGORIA]]&amp;Tabela2[[#This Row],[CURSOS]]&amp;"LAP - "&amp;Tabela2[[#This Row],[POLO]]</f>
        <v>ENF-INS (Multidisciplinar II)EMF-ISNLAP - Guarujá/SP</v>
      </c>
      <c r="C93" s="8" t="str">
        <f>Tabela2[[#This Row],[CATEGORIA]]&amp;Tabela2[[#This Row],[CURSOS]]</f>
        <v>ENF-INS (Multidisciplinar II)EMF-ISN</v>
      </c>
      <c r="D93" s="8" t="str">
        <f>IF(Tabela2[[#This Row],[SITUAÇÃO]]&lt;&gt;"Demitido",CONCATENATE(Tabela2[[#This Row],[POLO]],Tabela2[[#This Row],[CURSOS]]),"Substituição")</f>
        <v>Guarujá/SPEMF-ISN</v>
      </c>
      <c r="E93" s="8" t="s">
        <v>21</v>
      </c>
      <c r="F93" s="67" t="s">
        <v>22</v>
      </c>
      <c r="G93" s="67" t="s">
        <v>325</v>
      </c>
      <c r="H93" s="9" t="s">
        <v>326</v>
      </c>
      <c r="I93" s="17" t="str">
        <f>IFERROR(_xlfn.XLOOKUP(Tabela2[[#This Row],[CHAPA]],TUT.CONTROL!F:F,TUT.CONTROL!I:I),_xlfn.XLOOKUP(Tabela2[[#This Row],[CHAPA]],'REG.CONTROL'!F:F,'REG.CONTROL'!I:I))</f>
        <v>Ativo</v>
      </c>
      <c r="J93" s="17">
        <f>IFERROR(_xlfn.XLOOKUP(Tabela2[[#This Row],[NOME DO TUTOR]],TUT.CONTROL!C:C,TUT.CONTROL!G:G),"Demitido")</f>
        <v>45733</v>
      </c>
      <c r="K93" s="19">
        <v>13981653135</v>
      </c>
      <c r="L93" s="22">
        <f>IFERROR(_xlfn.XLOOKUP(Tabela2[[#This Row],[NOME DO TUTOR]],TUT.CONTROL!C:C,TUT.CONTROL!F:F),"Demitido")</f>
        <v>1158000551</v>
      </c>
      <c r="M93" s="8" t="s">
        <v>327</v>
      </c>
      <c r="N93" s="11" t="str">
        <f>IFERROR(_xlfn.XLOOKUP(Tabela2[[#This Row],[CHAPA]],TUT.CONTROL!F:F,TUT.CONTROL!H:H),_xlfn.XLOOKUP(Tabela2[[#This Row],[CHAPA]],'REG.CONTROL'!F:F,'REG.CONTROL'!H:H))</f>
        <v>TUTOR DE PRATICA (UC_1749)</v>
      </c>
      <c r="O93" s="68" t="str">
        <f>IFERROR(_xlfn.XLOOKUP(Tabela2[[#This Row],[NOME DO TUTOR]],TUT.CONTROL!C:C,TUT.CONTROL!K:K),"Demitido")</f>
        <v>004:00</v>
      </c>
      <c r="P9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93" s="66" t="s">
        <v>30</v>
      </c>
      <c r="R93" s="8" t="s">
        <v>75</v>
      </c>
      <c r="S93" s="8">
        <v>61892</v>
      </c>
    </row>
    <row r="94" spans="1:19" ht="13.5" hidden="1" x14ac:dyDescent="0.3">
      <c r="A9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Herval D'Oeste/SCEMF-ISNENF-INS (Multidisciplinar II)</v>
      </c>
      <c r="B94" s="8" t="str">
        <f>Tabela2[[#This Row],[CATEGORIA]]&amp;Tabela2[[#This Row],[CURSOS]]&amp;"LAP - "&amp;Tabela2[[#This Row],[POLO]]</f>
        <v>ENF-INS (Multidisciplinar II)EMF-ISNLAP - Herval D'Oeste/SC</v>
      </c>
      <c r="C94" s="8" t="str">
        <f>Tabela2[[#This Row],[CATEGORIA]]&amp;Tabela2[[#This Row],[CURSOS]]</f>
        <v>ENF-INS (Multidisciplinar II)EMF-ISN</v>
      </c>
      <c r="D94" s="8" t="str">
        <f>IF(Tabela2[[#This Row],[SITUAÇÃO]]&lt;&gt;"Demitido",CONCATENATE(Tabela2[[#This Row],[POLO]],Tabela2[[#This Row],[CURSOS]]),"Substituição")</f>
        <v>Herval D'Oeste/SCEMF-ISN</v>
      </c>
      <c r="E94" s="8" t="s">
        <v>21</v>
      </c>
      <c r="F94" s="67" t="s">
        <v>22</v>
      </c>
      <c r="G94" s="67" t="s">
        <v>328</v>
      </c>
      <c r="H94" s="9" t="s">
        <v>329</v>
      </c>
      <c r="I94" s="17" t="str">
        <f>IFERROR(_xlfn.XLOOKUP(Tabela2[[#This Row],[CHAPA]],TUT.CONTROL!F:F,TUT.CONTROL!I:I),_xlfn.XLOOKUP(Tabela2[[#This Row],[CHAPA]],'REG.CONTROL'!F:F,'REG.CONTROL'!I:I))</f>
        <v>Ativo</v>
      </c>
      <c r="J94" s="17">
        <f>IFERROR(_xlfn.XLOOKUP(Tabela2[[#This Row],[NOME DO TUTOR]],TUT.CONTROL!C:C,TUT.CONTROL!G:G),"Demitido")</f>
        <v>45756</v>
      </c>
      <c r="K94" s="19" t="s">
        <v>330</v>
      </c>
      <c r="L94" s="22">
        <f>IFERROR(_xlfn.XLOOKUP(Tabela2[[#This Row],[NOME DO TUTOR]],TUT.CONTROL!C:C,TUT.CONTROL!F:F),"Demitido")</f>
        <v>1158000698</v>
      </c>
      <c r="M94" s="8" t="s">
        <v>331</v>
      </c>
      <c r="N94" s="11" t="str">
        <f>IFERROR(_xlfn.XLOOKUP(Tabela2[[#This Row],[CHAPA]],TUT.CONTROL!F:F,TUT.CONTROL!H:H),_xlfn.XLOOKUP(Tabela2[[#This Row],[CHAPA]],'REG.CONTROL'!F:F,'REG.CONTROL'!H:H))</f>
        <v>TUTOR DE PRATICA (UC_1749)</v>
      </c>
      <c r="O94" s="68" t="str">
        <f>IFERROR(_xlfn.XLOOKUP(Tabela2[[#This Row],[NOME DO TUTOR]],TUT.CONTROL!C:C,TUT.CONTROL!K:K),"Demitido")</f>
        <v>004:00</v>
      </c>
      <c r="P9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94" s="66" t="s">
        <v>30</v>
      </c>
      <c r="R94" s="8" t="s">
        <v>149</v>
      </c>
      <c r="S94" s="8">
        <v>842225</v>
      </c>
    </row>
    <row r="95" spans="1:19" ht="13.5" hidden="1" x14ac:dyDescent="0.3">
      <c r="A9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Igarapé-Miri/PAEMF-ISNENF-INS (Multidisciplinar II)</v>
      </c>
      <c r="B95" s="8" t="str">
        <f>Tabela2[[#This Row],[CATEGORIA]]&amp;Tabela2[[#This Row],[CURSOS]]&amp;"LAP - "&amp;Tabela2[[#This Row],[POLO]]</f>
        <v>ENF-INS (Multidisciplinar II)EMF-ISNLAP - Igarapé-Miri/PA</v>
      </c>
      <c r="C95" s="8" t="str">
        <f>Tabela2[[#This Row],[CATEGORIA]]&amp;Tabela2[[#This Row],[CURSOS]]</f>
        <v>ENF-INS (Multidisciplinar II)EMF-ISN</v>
      </c>
      <c r="D95" s="8" t="str">
        <f>IF(Tabela2[[#This Row],[SITUAÇÃO]]&lt;&gt;"Demitido",CONCATENATE(Tabela2[[#This Row],[POLO]],Tabela2[[#This Row],[CURSOS]]),"Substituição")</f>
        <v>Igarapé-Miri/PAEMF-ISN</v>
      </c>
      <c r="E95" s="8" t="s">
        <v>21</v>
      </c>
      <c r="F95" s="67" t="s">
        <v>22</v>
      </c>
      <c r="G95" s="67" t="s">
        <v>332</v>
      </c>
      <c r="H95" s="9" t="s">
        <v>333</v>
      </c>
      <c r="I95" s="17" t="str">
        <f>IFERROR(_xlfn.XLOOKUP(Tabela2[[#This Row],[CHAPA]],TUT.CONTROL!F:F,TUT.CONTROL!I:I),_xlfn.XLOOKUP(Tabela2[[#This Row],[CHAPA]],'REG.CONTROL'!F:F,'REG.CONTROL'!I:I))</f>
        <v>Ativo</v>
      </c>
      <c r="J95" s="17">
        <f>IFERROR(_xlfn.XLOOKUP(Tabela2[[#This Row],[NOME DO TUTOR]],TUT.CONTROL!C:C,TUT.CONTROL!G:G),"Demitido")</f>
        <v>45931</v>
      </c>
      <c r="K95" s="19">
        <v>91984244833</v>
      </c>
      <c r="L95" s="22">
        <f>IFERROR(_xlfn.XLOOKUP(Tabela2[[#This Row],[NOME DO TUTOR]],TUT.CONTROL!C:C,TUT.CONTROL!F:F),"Demitido")</f>
        <v>1158000995</v>
      </c>
      <c r="M95" s="8" t="s">
        <v>334</v>
      </c>
      <c r="N95" s="11" t="str">
        <f>IFERROR(_xlfn.XLOOKUP(Tabela2[[#This Row],[CHAPA]],TUT.CONTROL!F:F,TUT.CONTROL!H:H),_xlfn.XLOOKUP(Tabela2[[#This Row],[CHAPA]],'REG.CONTROL'!F:F,'REG.CONTROL'!H:H))</f>
        <v>TUTOR DE PRATICA (UC_1749)</v>
      </c>
      <c r="O95" s="68" t="str">
        <f>IFERROR(_xlfn.XLOOKUP(Tabela2[[#This Row],[NOME DO TUTOR]],TUT.CONTROL!C:C,TUT.CONTROL!K:K),"Demitido")</f>
        <v>004:00</v>
      </c>
      <c r="P9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95" s="66" t="s">
        <v>30</v>
      </c>
      <c r="R95" s="8" t="s">
        <v>26</v>
      </c>
      <c r="S95" s="8">
        <v>923897</v>
      </c>
    </row>
    <row r="96" spans="1:19" ht="13.5" hidden="1" x14ac:dyDescent="0.3">
      <c r="A9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Ilhéus/BAEMF-ISNENF-INS (Multidisciplinar II)</v>
      </c>
      <c r="B96" s="8" t="str">
        <f>Tabela2[[#This Row],[CATEGORIA]]&amp;Tabela2[[#This Row],[CURSOS]]&amp;"LAP - "&amp;Tabela2[[#This Row],[POLO]]</f>
        <v>ENF-INS (Multidisciplinar II)EMF-ISNLAP - Ilhéus/BA</v>
      </c>
      <c r="C96" s="8" t="str">
        <f>Tabela2[[#This Row],[CATEGORIA]]&amp;Tabela2[[#This Row],[CURSOS]]</f>
        <v>ENF-INS (Multidisciplinar II)EMF-ISN</v>
      </c>
      <c r="D96" s="8" t="str">
        <f>IF(Tabela2[[#This Row],[SITUAÇÃO]]&lt;&gt;"Demitido",CONCATENATE(Tabela2[[#This Row],[POLO]],Tabela2[[#This Row],[CURSOS]]),"Substituição")</f>
        <v>Ilhéus/BAEMF-ISN</v>
      </c>
      <c r="E96" s="8" t="s">
        <v>21</v>
      </c>
      <c r="F96" s="67" t="s">
        <v>22</v>
      </c>
      <c r="G96" s="67" t="s">
        <v>335</v>
      </c>
      <c r="H96" s="9" t="s">
        <v>336</v>
      </c>
      <c r="I96" s="17" t="str">
        <f>IFERROR(_xlfn.XLOOKUP(Tabela2[[#This Row],[CHAPA]],TUT.CONTROL!F:F,TUT.CONTROL!I:I),_xlfn.XLOOKUP(Tabela2[[#This Row],[CHAPA]],'REG.CONTROL'!F:F,'REG.CONTROL'!I:I))</f>
        <v>Ativo</v>
      </c>
      <c r="J96" s="17">
        <f>IFERROR(_xlfn.XLOOKUP(Tabela2[[#This Row],[NOME DO TUTOR]],TUT.CONTROL!C:C,TUT.CONTROL!G:G),"Demitido")</f>
        <v>45735</v>
      </c>
      <c r="K96" s="19">
        <v>73988311285</v>
      </c>
      <c r="L96" s="22">
        <f>IFERROR(_xlfn.XLOOKUP(Tabela2[[#This Row],[NOME DO TUTOR]],TUT.CONTROL!C:C,TUT.CONTROL!F:F),"Demitido")</f>
        <v>1158000567</v>
      </c>
      <c r="M96" s="8" t="s">
        <v>337</v>
      </c>
      <c r="N96" s="11" t="str">
        <f>IFERROR(_xlfn.XLOOKUP(Tabela2[[#This Row],[CHAPA]],TUT.CONTROL!F:F,TUT.CONTROL!H:H),_xlfn.XLOOKUP(Tabela2[[#This Row],[CHAPA]],'REG.CONTROL'!F:F,'REG.CONTROL'!H:H))</f>
        <v>TUTOR DE PRATICA (UC_1749)</v>
      </c>
      <c r="O96" s="68" t="str">
        <f>IFERROR(_xlfn.XLOOKUP(Tabela2[[#This Row],[NOME DO TUTOR]],TUT.CONTROL!C:C,TUT.CONTROL!K:K),"Demitido")</f>
        <v>004:00</v>
      </c>
      <c r="P9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96" s="66" t="s">
        <v>30</v>
      </c>
      <c r="R96" s="8" t="s">
        <v>286</v>
      </c>
      <c r="S96" s="8">
        <v>709528</v>
      </c>
    </row>
    <row r="97" spans="1:19" ht="13.5" hidden="1" x14ac:dyDescent="0.3">
      <c r="A9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Imbituba/SCEMF-ISNENF-INS (Multidisciplinar II)</v>
      </c>
      <c r="B97" s="8" t="str">
        <f>Tabela2[[#This Row],[CATEGORIA]]&amp;Tabela2[[#This Row],[CURSOS]]&amp;"LAP - "&amp;Tabela2[[#This Row],[POLO]]</f>
        <v>ENF-INS (Multidisciplinar II)EMF-ISNLAP - Imbituba/SC</v>
      </c>
      <c r="C97" s="8" t="str">
        <f>Tabela2[[#This Row],[CATEGORIA]]&amp;Tabela2[[#This Row],[CURSOS]]</f>
        <v>ENF-INS (Multidisciplinar II)EMF-ISN</v>
      </c>
      <c r="D97" s="8" t="str">
        <f>IF(Tabela2[[#This Row],[SITUAÇÃO]]&lt;&gt;"Demitido",CONCATENATE(Tabela2[[#This Row],[POLO]],Tabela2[[#This Row],[CURSOS]]),"Substituição")</f>
        <v>Imbituba/SCEMF-ISN</v>
      </c>
      <c r="E97" s="8" t="s">
        <v>21</v>
      </c>
      <c r="F97" s="67" t="s">
        <v>22</v>
      </c>
      <c r="G97" s="67" t="s">
        <v>338</v>
      </c>
      <c r="H97" s="9" t="s">
        <v>339</v>
      </c>
      <c r="I97" s="17" t="str">
        <f>IFERROR(_xlfn.XLOOKUP(Tabela2[[#This Row],[CHAPA]],TUT.CONTROL!F:F,TUT.CONTROL!I:I),_xlfn.XLOOKUP(Tabela2[[#This Row],[CHAPA]],'REG.CONTROL'!F:F,'REG.CONTROL'!I:I))</f>
        <v>Ativo</v>
      </c>
      <c r="J97" s="17">
        <f>IFERROR(_xlfn.XLOOKUP(Tabela2[[#This Row],[NOME DO TUTOR]],'REG.CONTROL'!C:C,'REG.CONTROL'!G:G),"Demitido")</f>
        <v>45369</v>
      </c>
      <c r="K97" s="19">
        <v>48988335972</v>
      </c>
      <c r="L97" s="22">
        <f>IFERROR(_xlfn.XLOOKUP(Tabela2[[#This Row],[NOME DO TUTOR]],'REG.CONTROL'!C:C,'REG.CONTROL'!F:F),"Demitido")</f>
        <v>1004014172</v>
      </c>
      <c r="M97" s="8" t="s">
        <v>340</v>
      </c>
      <c r="N97" s="11" t="str">
        <f>IFERROR(_xlfn.XLOOKUP(Tabela2[[#This Row],[CHAPA]],TUT.CONTROL!F:F,TUT.CONTROL!H:H),_xlfn.XLOOKUP(Tabela2[[#This Row],[CHAPA]],'REG.CONTROL'!F:F,'REG.CONTROL'!H:H))</f>
        <v>PROFESSOR REGENTE DE POLO (UC_1744)</v>
      </c>
      <c r="O97" s="68" t="str">
        <f>IFERROR(_xlfn.XLOOKUP(Tabela2[[#This Row],[NOME DO TUTOR]],'REGENTE CH'!A:A,'REGENTE CH'!C:C),"Atualizar")</f>
        <v>004:00</v>
      </c>
      <c r="P9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97" s="66" t="s">
        <v>30</v>
      </c>
      <c r="R97" s="8" t="s">
        <v>149</v>
      </c>
      <c r="S97" s="8">
        <v>813651</v>
      </c>
    </row>
    <row r="98" spans="1:19" ht="13.5" hidden="1" x14ac:dyDescent="0.3">
      <c r="A9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Indaial/SC - Vitória Regia ( Centro Universitário Leonardo da Vinci)EMF-ISNENF-INS (Multidisciplinar II)</v>
      </c>
      <c r="B98" s="8" t="str">
        <f>Tabela2[[#This Row],[CATEGORIA]]&amp;Tabela2[[#This Row],[CURSOS]]&amp;"LAP - "&amp;Tabela2[[#This Row],[POLO]]</f>
        <v>ENF-INS (Multidisciplinar II)EMF-ISNLAP - Indaial/SC - Vitória Regia ( Centro Universitário Leonardo da Vinci)</v>
      </c>
      <c r="C98" s="8" t="str">
        <f>Tabela2[[#This Row],[CATEGORIA]]&amp;Tabela2[[#This Row],[CURSOS]]</f>
        <v>ENF-INS (Multidisciplinar II)EMF-ISN</v>
      </c>
      <c r="D98" s="8" t="str">
        <f>IF(Tabela2[[#This Row],[SITUAÇÃO]]&lt;&gt;"Demitido",CONCATENATE(Tabela2[[#This Row],[POLO]],Tabela2[[#This Row],[CURSOS]]),"Substituição")</f>
        <v>Indaial/SC - Vitória Regia ( Centro Universitário Leonardo da Vinci)EMF-ISN</v>
      </c>
      <c r="E98" s="8" t="s">
        <v>21</v>
      </c>
      <c r="F98" s="67" t="s">
        <v>22</v>
      </c>
      <c r="G98" s="67" t="s">
        <v>341</v>
      </c>
      <c r="H98" s="9" t="s">
        <v>342</v>
      </c>
      <c r="I98" s="17" t="str">
        <f>IFERROR(_xlfn.XLOOKUP(Tabela2[[#This Row],[CHAPA]],TUT.CONTROL!F:F,TUT.CONTROL!I:I),_xlfn.XLOOKUP(Tabela2[[#This Row],[CHAPA]],'REG.CONTROL'!F:F,'REG.CONTROL'!I:I))</f>
        <v>Ativo</v>
      </c>
      <c r="J98" s="17">
        <f>IFERROR(_xlfn.XLOOKUP(Tabela2[[#This Row],[NOME DO TUTOR]],'REG.CONTROL'!C:C,'REG.CONTROL'!G:G),"Demitido")</f>
        <v>45054</v>
      </c>
      <c r="K98" s="19">
        <v>47991959752</v>
      </c>
      <c r="L98" s="22">
        <f>IFERROR(_xlfn.XLOOKUP(Tabela2[[#This Row],[NOME DO TUTOR]],'REG.CONTROL'!C:C,'REG.CONTROL'!F:F),"Demitido")</f>
        <v>1004011995</v>
      </c>
      <c r="M98" s="8" t="s">
        <v>343</v>
      </c>
      <c r="N98" s="11" t="str">
        <f>IFERROR(_xlfn.XLOOKUP(Tabela2[[#This Row],[CHAPA]],TUT.CONTROL!F:F,TUT.CONTROL!H:H),_xlfn.XLOOKUP(Tabela2[[#This Row],[CHAPA]],'REG.CONTROL'!F:F,'REG.CONTROL'!H:H))</f>
        <v>PROFESSOR REGENTE DE POLO (UC_1744)</v>
      </c>
      <c r="O98" s="68" t="str">
        <f>IFERROR(_xlfn.XLOOKUP(Tabela2[[#This Row],[NOME DO TUTOR]],'REGENTE CH'!A:A,'REGENTE CH'!C:C),"Atualizar")</f>
        <v>004:00</v>
      </c>
      <c r="P9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98" s="66" t="s">
        <v>30</v>
      </c>
      <c r="R98" s="8" t="s">
        <v>149</v>
      </c>
      <c r="S98" s="8">
        <v>724337</v>
      </c>
    </row>
    <row r="99" spans="1:19" ht="13.5" hidden="1" x14ac:dyDescent="0.3">
      <c r="A99" s="59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99" s="8" t="str">
        <f>Tabela2[[#This Row],[CATEGORIA]]&amp;Tabela2[[#This Row],[CURSOS]]&amp;"LAP - "&amp;Tabela2[[#This Row],[POLO]]</f>
        <v>ENF-INS (Multidisciplinar II)EMF-ISNLAP - Ipatinga/MG</v>
      </c>
      <c r="C99" s="8" t="str">
        <f>Tabela2[[#This Row],[CATEGORIA]]&amp;Tabela2[[#This Row],[CURSOS]]</f>
        <v>ENF-INS (Multidisciplinar II)EMF-ISN</v>
      </c>
      <c r="D99" s="8" t="str">
        <f>IF(Tabela2[[#This Row],[SITUAÇÃO]]&lt;&gt;"Demitido",CONCATENATE(Tabela2[[#This Row],[POLO]],Tabela2[[#This Row],[CURSOS]]),"Substituição")</f>
        <v>Substituição</v>
      </c>
      <c r="E99" s="8" t="s">
        <v>21</v>
      </c>
      <c r="F99" s="67" t="s">
        <v>22</v>
      </c>
      <c r="G99" s="67" t="s">
        <v>344</v>
      </c>
      <c r="H99" s="9" t="s">
        <v>345</v>
      </c>
      <c r="I99" s="17" t="str">
        <f>IFERROR(_xlfn.XLOOKUP(Tabela2[[#This Row],[CHAPA]],TUT.CONTROL!F:F,TUT.CONTROL!I:I),_xlfn.XLOOKUP(Tabela2[[#This Row],[CHAPA]],'REG.CONTROL'!F:F,'REG.CONTROL'!I:I))</f>
        <v>Demitido</v>
      </c>
      <c r="J99" s="17">
        <v>45735</v>
      </c>
      <c r="K99" s="19">
        <v>31996003851</v>
      </c>
      <c r="L99" s="79">
        <f>IFERROR(_xlfn.XLOOKUP(Tabela2[[#This Row],[NOME DO TUTOR]],TUT.CONTROL!C:C,TUT.CONTROL!F:F),"Demitido")</f>
        <v>1158000580</v>
      </c>
      <c r="M99" s="8" t="s">
        <v>346</v>
      </c>
      <c r="N99" s="64" t="str">
        <f>IFERROR(_xlfn.XLOOKUP(Tabela2[[#This Row],[CHAPA]],TUT.CONTROL!F:F,TUT.CONTROL!H:H),_xlfn.XLOOKUP(Tabela2[[#This Row],[CHAPA]],'REG.CONTROL'!F:F,'REG.CONTROL'!H:H))</f>
        <v>TUTOR DE PRATICA (UC_1749)</v>
      </c>
      <c r="O99" s="65" t="str">
        <f>IFERROR(_xlfn.XLOOKUP(Tabela2[[#This Row],[NOME DO TUTOR]],TUT.CONTROL!C:C,TUT.CONTROL!K:K),"Demitido")</f>
        <v>004:00</v>
      </c>
      <c r="P99" s="62">
        <f>IF(Tabela2[[#This Row],[SITUAÇÃO]]="Demitido",IFERROR(_xlfn.XLOOKUP(Tabela2[[#This Row],[CHAPA]],TUT.CONTROL!F:F,TUT.CONTROL!V:V),_xlfn.XLOOKUP(Tabela2[[#This Row],[CHAPA]],'REG.CONTROL'!F:F,'REG.CONTROL'!V:V)),"-")</f>
        <v>45796</v>
      </c>
      <c r="Q99" s="66" t="s">
        <v>43</v>
      </c>
      <c r="R99" s="6"/>
      <c r="S99" s="6"/>
    </row>
    <row r="100" spans="1:19" ht="13.5" hidden="1" x14ac:dyDescent="0.3">
      <c r="A10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Ipueiras/CEEMF-ISNENF-INS (Multidisciplinar II)</v>
      </c>
      <c r="B100" s="8" t="str">
        <f>Tabela2[[#This Row],[CATEGORIA]]&amp;Tabela2[[#This Row],[CURSOS]]&amp;"LAP - "&amp;Tabela2[[#This Row],[POLO]]</f>
        <v>ENF-INS (Multidisciplinar II)EMF-ISNLAP - Ipueiras/CE</v>
      </c>
      <c r="C100" s="8" t="str">
        <f>Tabela2[[#This Row],[CATEGORIA]]&amp;Tabela2[[#This Row],[CURSOS]]</f>
        <v>ENF-INS (Multidisciplinar II)EMF-ISN</v>
      </c>
      <c r="D100" s="8" t="str">
        <f>IF(Tabela2[[#This Row],[SITUAÇÃO]]&lt;&gt;"Demitido",CONCATENATE(Tabela2[[#This Row],[POLO]],Tabela2[[#This Row],[CURSOS]]),"Substituição")</f>
        <v>Ipueiras/CEEMF-ISN</v>
      </c>
      <c r="E100" s="8" t="s">
        <v>21</v>
      </c>
      <c r="F100" s="67" t="s">
        <v>22</v>
      </c>
      <c r="G100" s="67" t="s">
        <v>347</v>
      </c>
      <c r="H100" s="9" t="s">
        <v>348</v>
      </c>
      <c r="I100" s="17" t="str">
        <f>IFERROR(_xlfn.XLOOKUP(Tabela2[[#This Row],[CHAPA]],TUT.CONTROL!F:F,TUT.CONTROL!I:I),_xlfn.XLOOKUP(Tabela2[[#This Row],[CHAPA]],'REG.CONTROL'!F:F,'REG.CONTROL'!I:I))</f>
        <v>Ativo</v>
      </c>
      <c r="J100" s="17">
        <f>IFERROR(_xlfn.XLOOKUP(Tabela2[[#This Row],[NOME DO TUTOR]],'REG.CONTROL'!C:C,'REG.CONTROL'!G:G),"Demitido")</f>
        <v>45152</v>
      </c>
      <c r="K100" s="19">
        <v>88981841940</v>
      </c>
      <c r="L100" s="22">
        <f>IFERROR(_xlfn.XLOOKUP(Tabela2[[#This Row],[NOME DO TUTOR]],'REG.CONTROL'!C:C,'REG.CONTROL'!F:F),"Demitido")</f>
        <v>1004012632</v>
      </c>
      <c r="M100" s="8" t="s">
        <v>349</v>
      </c>
      <c r="N100" s="11" t="str">
        <f>IFERROR(_xlfn.XLOOKUP(Tabela2[[#This Row],[CHAPA]],TUT.CONTROL!F:F,TUT.CONTROL!H:H),_xlfn.XLOOKUP(Tabela2[[#This Row],[CHAPA]],'REG.CONTROL'!F:F,'REG.CONTROL'!H:H))</f>
        <v>PROFESSOR REGENTE DE POLO (UC_1744)</v>
      </c>
      <c r="O100" s="68" t="str">
        <f>IFERROR(_xlfn.XLOOKUP(Tabela2[[#This Row],[NOME DO TUTOR]],'REGENTE CH'!A:A,'REGENTE CH'!C:C),"Atualizar")</f>
        <v>008:00</v>
      </c>
      <c r="P10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00" s="66" t="s">
        <v>30</v>
      </c>
      <c r="R100" s="8" t="s">
        <v>31</v>
      </c>
      <c r="S100" s="8">
        <v>562432</v>
      </c>
    </row>
    <row r="101" spans="1:19" ht="13.5" hidden="1" x14ac:dyDescent="0.3">
      <c r="A10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Irecê/BAEMF-ISNENF-INS (Multidisciplinar II)</v>
      </c>
      <c r="B101" s="8" t="str">
        <f>Tabela2[[#This Row],[CATEGORIA]]&amp;Tabela2[[#This Row],[CURSOS]]&amp;"LAP - "&amp;Tabela2[[#This Row],[POLO]]</f>
        <v>ENF-INS (Multidisciplinar II)EMF-ISNLAP - Irecê/BA</v>
      </c>
      <c r="C101" s="8" t="str">
        <f>Tabela2[[#This Row],[CATEGORIA]]&amp;Tabela2[[#This Row],[CURSOS]]</f>
        <v>ENF-INS (Multidisciplinar II)EMF-ISN</v>
      </c>
      <c r="D101" s="8" t="str">
        <f>IF(Tabela2[[#This Row],[SITUAÇÃO]]&lt;&gt;"Demitido",CONCATENATE(Tabela2[[#This Row],[POLO]],Tabela2[[#This Row],[CURSOS]]),"Substituição")</f>
        <v>Irecê/BAEMF-ISN</v>
      </c>
      <c r="E101" s="8" t="s">
        <v>21</v>
      </c>
      <c r="F101" s="67" t="s">
        <v>22</v>
      </c>
      <c r="G101" s="67" t="s">
        <v>350</v>
      </c>
      <c r="H101" s="9" t="s">
        <v>351</v>
      </c>
      <c r="I101" s="17" t="str">
        <f>IFERROR(_xlfn.XLOOKUP(Tabela2[[#This Row],[CHAPA]],TUT.CONTROL!F:F,TUT.CONTROL!I:I),_xlfn.XLOOKUP(Tabela2[[#This Row],[CHAPA]],'REG.CONTROL'!F:F,'REG.CONTROL'!I:I))</f>
        <v>Ativo</v>
      </c>
      <c r="J101" s="17">
        <f>IFERROR(_xlfn.XLOOKUP(Tabela2[[#This Row],[NOME DO TUTOR]],TUT.CONTROL!C:C,TUT.CONTROL!G:G),"Demitido")</f>
        <v>45754</v>
      </c>
      <c r="K101" s="19" t="s">
        <v>352</v>
      </c>
      <c r="L101" s="22">
        <f>IFERROR(_xlfn.XLOOKUP(Tabela2[[#This Row],[NOME DO TUTOR]],TUT.CONTROL!C:C,TUT.CONTROL!F:F),"Demitido")</f>
        <v>1158000680</v>
      </c>
      <c r="M101" s="8" t="s">
        <v>353</v>
      </c>
      <c r="N101" s="11" t="str">
        <f>IFERROR(_xlfn.XLOOKUP(Tabela2[[#This Row],[CHAPA]],TUT.CONTROL!F:F,TUT.CONTROL!H:H),_xlfn.XLOOKUP(Tabela2[[#This Row],[CHAPA]],'REG.CONTROL'!F:F,'REG.CONTROL'!H:H))</f>
        <v>TUTOR DE PRATICA (UC_1749)</v>
      </c>
      <c r="O101" s="68" t="str">
        <f>IFERROR(_xlfn.XLOOKUP(Tabela2[[#This Row],[NOME DO TUTOR]],TUT.CONTROL!C:C,TUT.CONTROL!K:K),"Demitido")</f>
        <v>004:00</v>
      </c>
      <c r="P10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01" s="66" t="s">
        <v>30</v>
      </c>
      <c r="R101" s="8" t="s">
        <v>286</v>
      </c>
      <c r="S101" s="8">
        <v>743292</v>
      </c>
    </row>
    <row r="102" spans="1:19" ht="13.5" hidden="1" customHeight="1" x14ac:dyDescent="0.3">
      <c r="A10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Itaboraí/RJEMF-ISNENF-INS (Multidisciplinar II)</v>
      </c>
      <c r="B102" s="8" t="str">
        <f>Tabela2[[#This Row],[CATEGORIA]]&amp;Tabela2[[#This Row],[CURSOS]]&amp;"LAP - "&amp;Tabela2[[#This Row],[POLO]]</f>
        <v>ENF-INS (Multidisciplinar II)EMF-ISNLAP - Itaboraí/RJ</v>
      </c>
      <c r="C102" s="8" t="str">
        <f>Tabela2[[#This Row],[CATEGORIA]]&amp;Tabela2[[#This Row],[CURSOS]]</f>
        <v>ENF-INS (Multidisciplinar II)EMF-ISN</v>
      </c>
      <c r="D102" s="8" t="str">
        <f>IF(Tabela2[[#This Row],[SITUAÇÃO]]&lt;&gt;"Demitido",CONCATENATE(Tabela2[[#This Row],[POLO]],Tabela2[[#This Row],[CURSOS]]),"Substituição")</f>
        <v>Itaboraí/RJEMF-ISN</v>
      </c>
      <c r="E102" s="8" t="s">
        <v>21</v>
      </c>
      <c r="F102" s="67" t="s">
        <v>22</v>
      </c>
      <c r="G102" s="67" t="s">
        <v>354</v>
      </c>
      <c r="H102" s="9" t="s">
        <v>355</v>
      </c>
      <c r="I102" s="17" t="str">
        <f>IFERROR(_xlfn.XLOOKUP(Tabela2[[#This Row],[CHAPA]],TUT.CONTROL!F:F,TUT.CONTROL!I:I),_xlfn.XLOOKUP(Tabela2[[#This Row],[CHAPA]],'REG.CONTROL'!F:F,'REG.CONTROL'!I:I))</f>
        <v>Ativo</v>
      </c>
      <c r="J102" s="17">
        <f>IFERROR(_xlfn.XLOOKUP(Tabela2[[#This Row],[NOME DO TUTOR]],TUT.CONTROL!C:C,TUT.CONTROL!G:G),"Demitido")</f>
        <v>45819</v>
      </c>
      <c r="K102" s="19" t="s">
        <v>356</v>
      </c>
      <c r="L102" s="22">
        <f>IFERROR(_xlfn.XLOOKUP(Tabela2[[#This Row],[NOME DO TUTOR]],TUT.CONTROL!C:C,TUT.CONTROL!F:F),"Demitido")</f>
        <v>1158000755</v>
      </c>
      <c r="M102" s="8" t="s">
        <v>357</v>
      </c>
      <c r="N102" s="11" t="str">
        <f>IFERROR(_xlfn.XLOOKUP(Tabela2[[#This Row],[CHAPA]],TUT.CONTROL!F:F,TUT.CONTROL!H:H),_xlfn.XLOOKUP(Tabela2[[#This Row],[CHAPA]],'REG.CONTROL'!F:F,'REG.CONTROL'!H:H))</f>
        <v>TUTOR DE PRATICA (UC_1749)</v>
      </c>
      <c r="O102" s="68" t="str">
        <f>IFERROR(_xlfn.XLOOKUP(Tabela2[[#This Row],[NOME DO TUTOR]],TUT.CONTROL!C:C,TUT.CONTROL!K:K),"Demitido")</f>
        <v>004:00</v>
      </c>
      <c r="P10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02" s="66" t="s">
        <v>30</v>
      </c>
      <c r="R102" s="8" t="s">
        <v>157</v>
      </c>
      <c r="S102" s="8">
        <v>289.959</v>
      </c>
    </row>
    <row r="103" spans="1:19" ht="13.5" hidden="1" x14ac:dyDescent="0.3">
      <c r="A10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Itabuna/BAEMF-ISNENF-INS (Multidisciplinar II)</v>
      </c>
      <c r="B103" s="8" t="str">
        <f>Tabela2[[#This Row],[CATEGORIA]]&amp;Tabela2[[#This Row],[CURSOS]]&amp;"LAP - "&amp;Tabela2[[#This Row],[POLO]]</f>
        <v>ENF-INS (Multidisciplinar II)EMF-ISNLAP - Itabuna/BA</v>
      </c>
      <c r="C103" s="8" t="str">
        <f>Tabela2[[#This Row],[CATEGORIA]]&amp;Tabela2[[#This Row],[CURSOS]]</f>
        <v>ENF-INS (Multidisciplinar II)EMF-ISN</v>
      </c>
      <c r="D103" s="8" t="str">
        <f>IF(Tabela2[[#This Row],[SITUAÇÃO]]&lt;&gt;"Demitido",CONCATENATE(Tabela2[[#This Row],[POLO]],Tabela2[[#This Row],[CURSOS]]),"Substituição")</f>
        <v>Itabuna/BAEMF-ISN</v>
      </c>
      <c r="E103" s="8" t="s">
        <v>21</v>
      </c>
      <c r="F103" s="67" t="s">
        <v>22</v>
      </c>
      <c r="G103" s="67" t="s">
        <v>358</v>
      </c>
      <c r="H103" s="9" t="s">
        <v>359</v>
      </c>
      <c r="I103" s="17" t="str">
        <f>IFERROR(_xlfn.XLOOKUP(Tabela2[[#This Row],[CHAPA]],TUT.CONTROL!F:F,TUT.CONTROL!I:I),_xlfn.XLOOKUP(Tabela2[[#This Row],[CHAPA]],'REG.CONTROL'!F:F,'REG.CONTROL'!I:I))</f>
        <v>Ativo</v>
      </c>
      <c r="J103" s="17">
        <f>IFERROR(_xlfn.XLOOKUP(Tabela2[[#This Row],[NOME DO TUTOR]],TUT.CONTROL!C:C,TUT.CONTROL!G:G),"Demitido")</f>
        <v>45754</v>
      </c>
      <c r="K103" s="19" t="s">
        <v>360</v>
      </c>
      <c r="L103" s="22">
        <f>IFERROR(_xlfn.XLOOKUP(Tabela2[[#This Row],[NOME DO TUTOR]],TUT.CONTROL!C:C,TUT.CONTROL!F:F),"Demitido")</f>
        <v>1158000691</v>
      </c>
      <c r="M103" s="8" t="s">
        <v>361</v>
      </c>
      <c r="N103" s="11" t="str">
        <f>IFERROR(_xlfn.XLOOKUP(Tabela2[[#This Row],[CHAPA]],TUT.CONTROL!F:F,TUT.CONTROL!H:H),_xlfn.XLOOKUP(Tabela2[[#This Row],[CHAPA]],'REG.CONTROL'!F:F,'REG.CONTROL'!H:H))</f>
        <v>TUTOR DE PRATICA (UC_1749)</v>
      </c>
      <c r="O103" s="68" t="str">
        <f>IFERROR(_xlfn.XLOOKUP(Tabela2[[#This Row],[NOME DO TUTOR]],TUT.CONTROL!C:C,TUT.CONTROL!K:K),"Demitido")</f>
        <v>004:00</v>
      </c>
      <c r="P10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03" s="66" t="s">
        <v>30</v>
      </c>
      <c r="R103" s="8" t="s">
        <v>286</v>
      </c>
      <c r="S103" s="8">
        <v>467075</v>
      </c>
    </row>
    <row r="104" spans="1:19" ht="13.5" hidden="1" x14ac:dyDescent="0.3">
      <c r="A10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Itacoatiara/AMEMF-ISNENF-INS (Multidisciplinar II)</v>
      </c>
      <c r="B104" s="8" t="str">
        <f>Tabela2[[#This Row],[CATEGORIA]]&amp;Tabela2[[#This Row],[CURSOS]]&amp;"LAP - "&amp;Tabela2[[#This Row],[POLO]]</f>
        <v>ENF-INS (Multidisciplinar II)EMF-ISNLAP - Itacoatiara/AM</v>
      </c>
      <c r="C104" s="8" t="str">
        <f>Tabela2[[#This Row],[CATEGORIA]]&amp;Tabela2[[#This Row],[CURSOS]]</f>
        <v>ENF-INS (Multidisciplinar II)EMF-ISN</v>
      </c>
      <c r="D104" s="8" t="str">
        <f>IF(Tabela2[[#This Row],[SITUAÇÃO]]&lt;&gt;"Demitido",CONCATENATE(Tabela2[[#This Row],[POLO]],Tabela2[[#This Row],[CURSOS]]),"Substituição")</f>
        <v>Itacoatiara/AMEMF-ISN</v>
      </c>
      <c r="E104" s="8" t="s">
        <v>21</v>
      </c>
      <c r="F104" s="67" t="s">
        <v>22</v>
      </c>
      <c r="G104" s="67" t="s">
        <v>362</v>
      </c>
      <c r="H104" s="9" t="s">
        <v>363</v>
      </c>
      <c r="I104" s="17" t="str">
        <f>IFERROR(_xlfn.XLOOKUP(Tabela2[[#This Row],[CHAPA]],TUT.CONTROL!F:F,TUT.CONTROL!I:I),_xlfn.XLOOKUP(Tabela2[[#This Row],[CHAPA]],'REG.CONTROL'!F:F,'REG.CONTROL'!I:I))</f>
        <v>Ativo</v>
      </c>
      <c r="J104" s="17">
        <f>IFERROR(_xlfn.XLOOKUP(Tabela2[[#This Row],[NOME DO TUTOR]],TUT.CONTROL!C:C,TUT.CONTROL!G:G),"Demitido")</f>
        <v>45733</v>
      </c>
      <c r="K104" s="19">
        <v>92991093455</v>
      </c>
      <c r="L104" s="22">
        <f>IFERROR(_xlfn.XLOOKUP(Tabela2[[#This Row],[NOME DO TUTOR]],TUT.CONTROL!C:C,TUT.CONTROL!F:F),"Demitido")</f>
        <v>1158000560</v>
      </c>
      <c r="M104" s="8" t="s">
        <v>364</v>
      </c>
      <c r="N104" s="11" t="str">
        <f>IFERROR(_xlfn.XLOOKUP(Tabela2[[#This Row],[CHAPA]],TUT.CONTROL!F:F,TUT.CONTROL!H:H),_xlfn.XLOOKUP(Tabela2[[#This Row],[CHAPA]],'REG.CONTROL'!F:F,'REG.CONTROL'!H:H))</f>
        <v>TUTOR DE PRATICA (UC_1749)</v>
      </c>
      <c r="O104" s="68" t="str">
        <f>IFERROR(_xlfn.XLOOKUP(Tabela2[[#This Row],[NOME DO TUTOR]],TUT.CONTROL!C:C,TUT.CONTROL!K:K),"Demitido")</f>
        <v>004:00</v>
      </c>
      <c r="P10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04" s="66" t="s">
        <v>30</v>
      </c>
      <c r="R104" s="8" t="s">
        <v>365</v>
      </c>
      <c r="S104" s="8">
        <v>754621</v>
      </c>
    </row>
    <row r="105" spans="1:19" ht="13.5" hidden="1" x14ac:dyDescent="0.3">
      <c r="A10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Itajaí/SC - São VicenteEMF-ISNENF-INS (Multidisciplinar II)</v>
      </c>
      <c r="B105" s="8" t="str">
        <f>Tabela2[[#This Row],[CATEGORIA]]&amp;Tabela2[[#This Row],[CURSOS]]&amp;"LAP - "&amp;Tabela2[[#This Row],[POLO]]</f>
        <v>ENF-INS (Multidisciplinar II)EMF-ISNLAP - Itajaí/SC - São Vicente</v>
      </c>
      <c r="C105" s="8" t="str">
        <f>Tabela2[[#This Row],[CATEGORIA]]&amp;Tabela2[[#This Row],[CURSOS]]</f>
        <v>ENF-INS (Multidisciplinar II)EMF-ISN</v>
      </c>
      <c r="D105" s="8" t="str">
        <f>IF(Tabela2[[#This Row],[SITUAÇÃO]]&lt;&gt;"Demitido",CONCATENATE(Tabela2[[#This Row],[POLO]],Tabela2[[#This Row],[CURSOS]]),"Substituição")</f>
        <v>Itajaí/SC - São VicenteEMF-ISN</v>
      </c>
      <c r="E105" s="8" t="s">
        <v>21</v>
      </c>
      <c r="F105" s="67" t="s">
        <v>22</v>
      </c>
      <c r="G105" s="67" t="s">
        <v>366</v>
      </c>
      <c r="H105" s="9" t="s">
        <v>367</v>
      </c>
      <c r="I105" s="17" t="str">
        <f>IFERROR(_xlfn.XLOOKUP(Tabela2[[#This Row],[CHAPA]],TUT.CONTROL!F:F,TUT.CONTROL!I:I),_xlfn.XLOOKUP(Tabela2[[#This Row],[CHAPA]],'REG.CONTROL'!F:F,'REG.CONTROL'!I:I))</f>
        <v>Ativo</v>
      </c>
      <c r="J105" s="17">
        <f>IFERROR(_xlfn.XLOOKUP(Tabela2[[#This Row],[NOME DO TUTOR]],TUT.CONTROL!C:C,TUT.CONTROL!G:G),"Demitido")</f>
        <v>45810</v>
      </c>
      <c r="K105" s="19" t="s">
        <v>368</v>
      </c>
      <c r="L105" s="22">
        <f>IFERROR(_xlfn.XLOOKUP(Tabela2[[#This Row],[NOME DO TUTOR]],TUT.CONTROL!C:C,TUT.CONTROL!F:F),"Demitido")</f>
        <v>1158000736</v>
      </c>
      <c r="M105" s="8" t="s">
        <v>369</v>
      </c>
      <c r="N105" s="11" t="str">
        <f>IFERROR(_xlfn.XLOOKUP(Tabela2[[#This Row],[CHAPA]],TUT.CONTROL!F:F,TUT.CONTROL!H:H),_xlfn.XLOOKUP(Tabela2[[#This Row],[CHAPA]],'REG.CONTROL'!F:F,'REG.CONTROL'!H:H))</f>
        <v>TUTOR DE PRATICA (UC_1749)</v>
      </c>
      <c r="O105" s="68" t="str">
        <f>IFERROR(_xlfn.XLOOKUP(Tabela2[[#This Row],[NOME DO TUTOR]],TUT.CONTROL!C:C,TUT.CONTROL!K:K),"Demitido")</f>
        <v>008:00</v>
      </c>
      <c r="P10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05" s="66" t="s">
        <v>30</v>
      </c>
      <c r="R105" s="8" t="s">
        <v>149</v>
      </c>
      <c r="S105" s="8">
        <v>821513</v>
      </c>
    </row>
    <row r="106" spans="1:19" ht="13.5" hidden="1" x14ac:dyDescent="0.3">
      <c r="A10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06" s="8" t="str">
        <f>Tabela2[[#This Row],[CATEGORIA]]&amp;Tabela2[[#This Row],[CURSOS]]&amp;"LAP - "&amp;Tabela2[[#This Row],[POLO]]</f>
        <v>ENF-INS (Multidisciplinar II)EMF-ISNLAP - Itapajé/CE</v>
      </c>
      <c r="C106" s="8" t="str">
        <f>Tabela2[[#This Row],[CATEGORIA]]&amp;Tabela2[[#This Row],[CURSOS]]</f>
        <v>ENF-INS (Multidisciplinar II)EMF-ISN</v>
      </c>
      <c r="D106" s="8" t="str">
        <f>IF(Tabela2[[#This Row],[SITUAÇÃO]]&lt;&gt;"Demitido",CONCATENATE(Tabela2[[#This Row],[POLO]],Tabela2[[#This Row],[CURSOS]]),"Substituição")</f>
        <v>Substituição</v>
      </c>
      <c r="E106" s="8" t="s">
        <v>21</v>
      </c>
      <c r="F106" s="67" t="s">
        <v>22</v>
      </c>
      <c r="G106" s="67" t="s">
        <v>370</v>
      </c>
      <c r="H106" s="9" t="s">
        <v>371</v>
      </c>
      <c r="I106" s="71" t="str">
        <f>IFERROR(_xlfn.XLOOKUP(Tabela2[[#This Row],[CHAPA]],TUT.CONTROL!F:F,TUT.CONTROL!I:I),_xlfn.XLOOKUP(Tabela2[[#This Row],[CHAPA]],'REG.CONTROL'!F:F,'REG.CONTROL'!I:I))</f>
        <v>Demitido</v>
      </c>
      <c r="J106" s="17">
        <f>IFERROR(_xlfn.XLOOKUP(Tabela2[[#This Row],[NOME DO TUTOR]],'REG.CONTROL'!C:C,'REG.CONTROL'!G:G),"Demitido")</f>
        <v>45402</v>
      </c>
      <c r="K106" s="19">
        <v>85999508498</v>
      </c>
      <c r="L106" s="22">
        <f>IFERROR(_xlfn.XLOOKUP(Tabela2[[#This Row],[NOME DO TUTOR]],'REG.CONTROL'!C:C,'REG.CONTROL'!F:F),"Demitido")</f>
        <v>1004014564</v>
      </c>
      <c r="M106" s="8" t="s">
        <v>372</v>
      </c>
      <c r="N106" s="11" t="str">
        <f>IFERROR(_xlfn.XLOOKUP(Tabela2[[#This Row],[CHAPA]],TUT.CONTROL!F:F,TUT.CONTROL!H:H),_xlfn.XLOOKUP(Tabela2[[#This Row],[CHAPA]],'REG.CONTROL'!F:F,'REG.CONTROL'!H:H))</f>
        <v>PROFESSOR REGENTE DE POLO (UC_1744)</v>
      </c>
      <c r="O106" s="68" t="str">
        <f>IFERROR(_xlfn.XLOOKUP(Tabela2[[#This Row],[NOME DO TUTOR]],'REGENTE CH'!A:A,'REGENTE CH'!C:C),"Atualizar")</f>
        <v>004:00</v>
      </c>
      <c r="P106" s="17">
        <f>IF(Tabela2[[#This Row],[SITUAÇÃO]]="Demitido",IFERROR(_xlfn.XLOOKUP(Tabela2[[#This Row],[CHAPA]],TUT.CONTROL!F:F,TUT.CONTROL!V:V),_xlfn.XLOOKUP(Tabela2[[#This Row],[CHAPA]],'REG.CONTROL'!F:F,'REG.CONTROL'!V:V)),"-")</f>
        <v>46084</v>
      </c>
      <c r="Q106" s="66" t="s">
        <v>43</v>
      </c>
      <c r="R106" s="8" t="s">
        <v>31</v>
      </c>
      <c r="S106" s="8">
        <v>468770</v>
      </c>
    </row>
    <row r="107" spans="1:19" ht="13.5" hidden="1" x14ac:dyDescent="0.3">
      <c r="A10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Itapecuru Mirim/MAEMF-ISNENF-INS (Multidisciplinar II)</v>
      </c>
      <c r="B107" s="8" t="str">
        <f>Tabela2[[#This Row],[CATEGORIA]]&amp;Tabela2[[#This Row],[CURSOS]]&amp;"LAP - "&amp;Tabela2[[#This Row],[POLO]]</f>
        <v>ENF-INS (Multidisciplinar II)EMF-ISNLAP - Itapecuru Mirim/MA</v>
      </c>
      <c r="C107" s="8" t="str">
        <f>Tabela2[[#This Row],[CATEGORIA]]&amp;Tabela2[[#This Row],[CURSOS]]</f>
        <v>ENF-INS (Multidisciplinar II)EMF-ISN</v>
      </c>
      <c r="D107" s="8" t="str">
        <f>IF(Tabela2[[#This Row],[SITUAÇÃO]]&lt;&gt;"Demitido",CONCATENATE(Tabela2[[#This Row],[POLO]],Tabela2[[#This Row],[CURSOS]]),"Substituição")</f>
        <v>Itapecuru Mirim/MAEMF-ISN</v>
      </c>
      <c r="E107" s="8" t="s">
        <v>21</v>
      </c>
      <c r="F107" s="67" t="s">
        <v>22</v>
      </c>
      <c r="G107" s="67" t="s">
        <v>373</v>
      </c>
      <c r="H107" s="9" t="s">
        <v>374</v>
      </c>
      <c r="I107" s="17" t="str">
        <f>IFERROR(_xlfn.XLOOKUP(Tabela2[[#This Row],[CHAPA]],TUT.CONTROL!F:F,TUT.CONTROL!I:I),_xlfn.XLOOKUP(Tabela2[[#This Row],[CHAPA]],'REG.CONTROL'!F:F,'REG.CONTROL'!I:I))</f>
        <v>Ativo</v>
      </c>
      <c r="J107" s="17">
        <f>IFERROR(_xlfn.XLOOKUP(Tabela2[[#This Row],[NOME DO TUTOR]],TUT.CONTROL!C:C,TUT.CONTROL!G:G),"Demitido")</f>
        <v>45726</v>
      </c>
      <c r="K107" s="19">
        <v>98984245115</v>
      </c>
      <c r="L107" s="22">
        <f>IFERROR(_xlfn.XLOOKUP(Tabela2[[#This Row],[NOME DO TUTOR]],TUT.CONTROL!C:C,TUT.CONTROL!F:F),"Demitido")</f>
        <v>1158000538</v>
      </c>
      <c r="M107" s="8" t="s">
        <v>375</v>
      </c>
      <c r="N107" s="11" t="str">
        <f>IFERROR(_xlfn.XLOOKUP(Tabela2[[#This Row],[CHAPA]],TUT.CONTROL!F:F,TUT.CONTROL!H:H),_xlfn.XLOOKUP(Tabela2[[#This Row],[CHAPA]],'REG.CONTROL'!F:F,'REG.CONTROL'!H:H))</f>
        <v>TUTOR DE PRATICA (UC_1749)</v>
      </c>
      <c r="O107" s="68" t="str">
        <f>IFERROR(_xlfn.XLOOKUP(Tabela2[[#This Row],[NOME DO TUTOR]],TUT.CONTROL!C:C,TUT.CONTROL!K:K),"Demitido")</f>
        <v>020:00</v>
      </c>
      <c r="P10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07" s="66" t="s">
        <v>30</v>
      </c>
      <c r="R107" s="8" t="s">
        <v>86</v>
      </c>
      <c r="S107" s="8">
        <v>78319</v>
      </c>
    </row>
    <row r="108" spans="1:19" ht="13.5" hidden="1" x14ac:dyDescent="0.3">
      <c r="A10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Itapipoca/CEEMF-ISNENF-INS (Multidisciplinar II)</v>
      </c>
      <c r="B108" s="8" t="str">
        <f>Tabela2[[#This Row],[CATEGORIA]]&amp;Tabela2[[#This Row],[CURSOS]]&amp;"LAP - "&amp;Tabela2[[#This Row],[POLO]]</f>
        <v>ENF-INS (Multidisciplinar II)EMF-ISNLAP - Itapipoca/CE</v>
      </c>
      <c r="C108" s="8" t="str">
        <f>Tabela2[[#This Row],[CATEGORIA]]&amp;Tabela2[[#This Row],[CURSOS]]</f>
        <v>ENF-INS (Multidisciplinar II)EMF-ISN</v>
      </c>
      <c r="D108" s="8" t="str">
        <f>IF(Tabela2[[#This Row],[SITUAÇÃO]]&lt;&gt;"Demitido",CONCATENATE(Tabela2[[#This Row],[POLO]],Tabela2[[#This Row],[CURSOS]]),"Substituição")</f>
        <v>Itapipoca/CEEMF-ISN</v>
      </c>
      <c r="E108" s="8" t="s">
        <v>21</v>
      </c>
      <c r="F108" s="67" t="s">
        <v>22</v>
      </c>
      <c r="G108" s="67" t="s">
        <v>376</v>
      </c>
      <c r="H108" s="9" t="s">
        <v>377</v>
      </c>
      <c r="I108" s="17" t="str">
        <f>IFERROR(_xlfn.XLOOKUP(Tabela2[[#This Row],[CHAPA]],TUT.CONTROL!F:F,TUT.CONTROL!I:I),_xlfn.XLOOKUP(Tabela2[[#This Row],[CHAPA]],'REG.CONTROL'!F:F,'REG.CONTROL'!I:I))</f>
        <v>Ativo</v>
      </c>
      <c r="J108" s="17">
        <f>IFERROR(_xlfn.XLOOKUP(Tabela2[[#This Row],[NOME DO TUTOR]],'REG.CONTROL'!C:C,'REG.CONTROL'!G:G),"Demitido")</f>
        <v>44985</v>
      </c>
      <c r="K108" s="19">
        <v>88999677356</v>
      </c>
      <c r="L108" s="22">
        <f>IFERROR(_xlfn.XLOOKUP(Tabela2[[#This Row],[NOME DO TUTOR]],'REG.CONTROL'!C:C,'REG.CONTROL'!F:F),"Demitido")</f>
        <v>1004011423</v>
      </c>
      <c r="M108" s="8" t="s">
        <v>378</v>
      </c>
      <c r="N108" s="11" t="str">
        <f>IFERROR(_xlfn.XLOOKUP(Tabela2[[#This Row],[CHAPA]],TUT.CONTROL!F:F,TUT.CONTROL!H:H),_xlfn.XLOOKUP(Tabela2[[#This Row],[CHAPA]],'REG.CONTROL'!F:F,'REG.CONTROL'!H:H))</f>
        <v>PROFESSOR REGENTE DE POLO (UC_1744)</v>
      </c>
      <c r="O108" s="68" t="str">
        <f>IFERROR(_xlfn.XLOOKUP(Tabela2[[#This Row],[NOME DO TUTOR]],'REGENTE CH'!A:A,'REGENTE CH'!C:C),"Atualizar")</f>
        <v>004:00</v>
      </c>
      <c r="P10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08" s="66" t="s">
        <v>30</v>
      </c>
      <c r="R108" s="8" t="s">
        <v>31</v>
      </c>
      <c r="S108" s="8">
        <v>586930</v>
      </c>
    </row>
    <row r="109" spans="1:19" ht="13.5" hidden="1" x14ac:dyDescent="0.3">
      <c r="A10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Ituiutaba/MGEMF-ISNENF-INS (Multidisciplinar II)</v>
      </c>
      <c r="B109" s="8" t="str">
        <f>Tabela2[[#This Row],[CATEGORIA]]&amp;Tabela2[[#This Row],[CURSOS]]&amp;"LAP - "&amp;Tabela2[[#This Row],[POLO]]</f>
        <v>ENF-INS (Multidisciplinar II)EMF-ISNLAP - Ituiutaba/MG</v>
      </c>
      <c r="C109" s="8" t="str">
        <f>Tabela2[[#This Row],[CATEGORIA]]&amp;Tabela2[[#This Row],[CURSOS]]</f>
        <v>ENF-INS (Multidisciplinar II)EMF-ISN</v>
      </c>
      <c r="D109" s="8" t="str">
        <f>IF(Tabela2[[#This Row],[SITUAÇÃO]]&lt;&gt;"Demitido",CONCATENATE(Tabela2[[#This Row],[POLO]],Tabela2[[#This Row],[CURSOS]]),"Substituição")</f>
        <v>Ituiutaba/MGEMF-ISN</v>
      </c>
      <c r="E109" s="8" t="s">
        <v>21</v>
      </c>
      <c r="F109" s="67" t="s">
        <v>22</v>
      </c>
      <c r="G109" s="67" t="s">
        <v>379</v>
      </c>
      <c r="H109" s="9" t="s">
        <v>380</v>
      </c>
      <c r="I109" s="17" t="str">
        <f>IFERROR(_xlfn.XLOOKUP(Tabela2[[#This Row],[CHAPA]],TUT.CONTROL!F:F,TUT.CONTROL!I:I),_xlfn.XLOOKUP(Tabela2[[#This Row],[CHAPA]],'REG.CONTROL'!F:F,'REG.CONTROL'!I:I))</f>
        <v>Ativo</v>
      </c>
      <c r="J109" s="17">
        <f>IFERROR(_xlfn.XLOOKUP(Tabela2[[#This Row],[NOME DO TUTOR]],TUT.CONTROL!C:C,TUT.CONTROL!G:G),"Demitido")</f>
        <v>45728</v>
      </c>
      <c r="K109" s="19">
        <v>34997931838</v>
      </c>
      <c r="L109" s="22">
        <f>IFERROR(_xlfn.XLOOKUP(Tabela2[[#This Row],[NOME DO TUTOR]],TUT.CONTROL!C:C,TUT.CONTROL!F:F),"Demitido")</f>
        <v>1158000549</v>
      </c>
      <c r="M109" s="8" t="s">
        <v>381</v>
      </c>
      <c r="N109" s="11" t="str">
        <f>IFERROR(_xlfn.XLOOKUP(Tabela2[[#This Row],[CHAPA]],TUT.CONTROL!F:F,TUT.CONTROL!H:H),_xlfn.XLOOKUP(Tabela2[[#This Row],[CHAPA]],'REG.CONTROL'!F:F,'REG.CONTROL'!H:H))</f>
        <v>TUTOR DE PRATICA (UC_1749)</v>
      </c>
      <c r="O109" s="68" t="str">
        <f>IFERROR(_xlfn.XLOOKUP(Tabela2[[#This Row],[NOME DO TUTOR]],TUT.CONTROL!C:C,TUT.CONTROL!K:K),"Demitido")</f>
        <v>004:00</v>
      </c>
      <c r="P10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09" s="66" t="s">
        <v>30</v>
      </c>
      <c r="R109" s="8" t="s">
        <v>100</v>
      </c>
      <c r="S109" s="8">
        <v>797152</v>
      </c>
    </row>
    <row r="110" spans="1:19" ht="13.5" hidden="1" x14ac:dyDescent="0.3">
      <c r="A11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Jacobina/BAEMF-ISNENF-INS (Multidisciplinar II)</v>
      </c>
      <c r="B110" s="8" t="str">
        <f>Tabela2[[#This Row],[CATEGORIA]]&amp;Tabela2[[#This Row],[CURSOS]]&amp;"LAP - "&amp;Tabela2[[#This Row],[POLO]]</f>
        <v>ENF-INS (Multidisciplinar II)EMF-ISNLAP - Jacobina/BA</v>
      </c>
      <c r="C110" s="8" t="str">
        <f>Tabela2[[#This Row],[CATEGORIA]]&amp;Tabela2[[#This Row],[CURSOS]]</f>
        <v>ENF-INS (Multidisciplinar II)EMF-ISN</v>
      </c>
      <c r="D110" s="8" t="str">
        <f>IF(Tabela2[[#This Row],[SITUAÇÃO]]&lt;&gt;"Demitido",CONCATENATE(Tabela2[[#This Row],[POLO]],Tabela2[[#This Row],[CURSOS]]),"Substituição")</f>
        <v>Jacobina/BAEMF-ISN</v>
      </c>
      <c r="E110" s="8" t="s">
        <v>21</v>
      </c>
      <c r="F110" s="67" t="s">
        <v>22</v>
      </c>
      <c r="G110" s="67" t="s">
        <v>382</v>
      </c>
      <c r="H110" s="9" t="s">
        <v>383</v>
      </c>
      <c r="I110" s="17" t="str">
        <f>IFERROR(_xlfn.XLOOKUP(Tabela2[[#This Row],[CHAPA]],TUT.CONTROL!F:F,TUT.CONTROL!I:I),_xlfn.XLOOKUP(Tabela2[[#This Row],[CHAPA]],'REG.CONTROL'!F:F,'REG.CONTROL'!I:I))</f>
        <v>Ativo</v>
      </c>
      <c r="J110" s="17">
        <f>IFERROR(_xlfn.XLOOKUP(Tabela2[[#This Row],[NOME DO TUTOR]],TUT.CONTROL!C:C,TUT.CONTROL!G:G),"Demitido")</f>
        <v>45756</v>
      </c>
      <c r="K110" s="19">
        <v>74991106754</v>
      </c>
      <c r="L110" s="22">
        <f>IFERROR(_xlfn.XLOOKUP(Tabela2[[#This Row],[NOME DO TUTOR]],TUT.CONTROL!C:C,TUT.CONTROL!F:F),"Demitido")</f>
        <v>1158000696</v>
      </c>
      <c r="M110" s="8" t="s">
        <v>384</v>
      </c>
      <c r="N110" s="11" t="str">
        <f>IFERROR(_xlfn.XLOOKUP(Tabela2[[#This Row],[CHAPA]],TUT.CONTROL!F:F,TUT.CONTROL!H:H),_xlfn.XLOOKUP(Tabela2[[#This Row],[CHAPA]],'REG.CONTROL'!F:F,'REG.CONTROL'!H:H))</f>
        <v>TUTOR DE PRATICA (UC_1749)</v>
      </c>
      <c r="O110" s="68" t="str">
        <f>IFERROR(_xlfn.XLOOKUP(Tabela2[[#This Row],[NOME DO TUTOR]],TUT.CONTROL!C:C,TUT.CONTROL!K:K),"Demitido")</f>
        <v>004:00</v>
      </c>
      <c r="P11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10" s="66" t="s">
        <v>30</v>
      </c>
      <c r="R110" s="8" t="s">
        <v>286</v>
      </c>
      <c r="S110" s="8">
        <v>694222</v>
      </c>
    </row>
    <row r="111" spans="1:19" ht="13.5" hidden="1" customHeight="1" x14ac:dyDescent="0.3">
      <c r="A11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11" s="8" t="str">
        <f>Tabela2[[#This Row],[CATEGORIA]]&amp;Tabela2[[#This Row],[CURSOS]]&amp;"LAP - "&amp;Tabela2[[#This Row],[POLO]]</f>
        <v>ENGMAKER+QUÍMICA E FÍSICAECE-ENM-ENS-ENG-EEA-GPI-CDE-OBR-SAN-TER-FSA-SLF-QUILAP - Maringá/PR - Zona 01</v>
      </c>
      <c r="C111" s="8" t="str">
        <f>Tabela2[[#This Row],[CATEGORIA]]&amp;Tabela2[[#This Row],[CURSOS]]</f>
        <v>ENGMAKER+QUÍMICA E FÍSICAECE-ENM-ENS-ENG-EEA-GPI-CDE-OBR-SAN-TER-FSA-SLF-QUI</v>
      </c>
      <c r="D111" s="8" t="str">
        <f>IF(Tabela2[[#This Row],[SITUAÇÃO]]&lt;&gt;"Demitido",CONCATENATE(Tabela2[[#This Row],[POLO]],Tabela2[[#This Row],[CURSOS]]),"Substituição")</f>
        <v>Substituição</v>
      </c>
      <c r="E111" s="8" t="s">
        <v>125</v>
      </c>
      <c r="F111" s="67" t="s">
        <v>126</v>
      </c>
      <c r="G111" s="67" t="s">
        <v>385</v>
      </c>
      <c r="H111" s="9" t="s">
        <v>386</v>
      </c>
      <c r="I111" s="17" t="str">
        <f>IFERROR(_xlfn.XLOOKUP(Tabela2[[#This Row],[CHAPA]],TUT.CONTROL!F:F,TUT.CONTROL!I:I),_xlfn.XLOOKUP(Tabela2[[#This Row],[CHAPA]],'REG.CONTROL'!F:F,'REG.CONTROL'!I:I))</f>
        <v>Demitido</v>
      </c>
      <c r="J111" s="17">
        <f>IFERROR(_xlfn.XLOOKUP(Tabela2[[#This Row],[NOME DO TUTOR]],TUT.CONTROL!C:C,TUT.CONTROL!G:G),"Demitido")</f>
        <v>45749</v>
      </c>
      <c r="K111" s="19" t="s">
        <v>387</v>
      </c>
      <c r="L111" s="22">
        <f>IFERROR(_xlfn.XLOOKUP(Tabela2[[#This Row],[NOME DO TUTOR]],TUT.CONTROL!C:C,TUT.CONTROL!F:F),"Demitido")</f>
        <v>1158000673</v>
      </c>
      <c r="M111" s="8" t="s">
        <v>388</v>
      </c>
      <c r="N111" s="11" t="str">
        <f>IFERROR(_xlfn.XLOOKUP(Tabela2[[#This Row],[CHAPA]],TUT.CONTROL!F:F,TUT.CONTROL!H:H),_xlfn.XLOOKUP(Tabela2[[#This Row],[CHAPA]],'REG.CONTROL'!F:F,'REG.CONTROL'!H:H))</f>
        <v>TUTOR DE PRATICA (UC_1749)</v>
      </c>
      <c r="O111" s="68" t="str">
        <f>IFERROR(_xlfn.XLOOKUP(Tabela2[[#This Row],[NOME DO TUTOR]],TUT.CONTROL!C:C,TUT.CONTROL!K:K),"Demitido")</f>
        <v>004:00</v>
      </c>
      <c r="P111" s="17">
        <f>IF(Tabela2[[#This Row],[SITUAÇÃO]]="Demitido",IFERROR(_xlfn.XLOOKUP(Tabela2[[#This Row],[CHAPA]],TUT.CONTROL!F:F,TUT.CONTROL!V:V),_xlfn.XLOOKUP(Tabela2[[#This Row],[CHAPA]],'REG.CONTROL'!F:F,'REG.CONTROL'!V:V)),"-")</f>
        <v>45901</v>
      </c>
      <c r="Q111" s="66" t="s">
        <v>43</v>
      </c>
      <c r="R111" s="66" t="s">
        <v>43</v>
      </c>
      <c r="S111" s="8"/>
    </row>
    <row r="112" spans="1:19" ht="13.5" hidden="1" x14ac:dyDescent="0.3">
      <c r="A11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Janaúba/MG- Padre EustáquioEMF-ISNENF-INS (Multidisciplinar II)</v>
      </c>
      <c r="B112" s="8" t="str">
        <f>Tabela2[[#This Row],[CATEGORIA]]&amp;Tabela2[[#This Row],[CURSOS]]&amp;"LAP - "&amp;Tabela2[[#This Row],[POLO]]</f>
        <v>ENF-INS (Multidisciplinar II)EMF-ISNLAP - Janaúba/MG- Padre Eustáquio</v>
      </c>
      <c r="C112" s="8" t="str">
        <f>Tabela2[[#This Row],[CATEGORIA]]&amp;Tabela2[[#This Row],[CURSOS]]</f>
        <v>ENF-INS (Multidisciplinar II)EMF-ISN</v>
      </c>
      <c r="D112" s="8" t="str">
        <f>IF(Tabela2[[#This Row],[SITUAÇÃO]]&lt;&gt;"Demitido",CONCATENATE(Tabela2[[#This Row],[POLO]],Tabela2[[#This Row],[CURSOS]]),"Substituição")</f>
        <v>Janaúba/MG- Padre EustáquioEMF-ISN</v>
      </c>
      <c r="E112" s="8" t="s">
        <v>21</v>
      </c>
      <c r="F112" s="67" t="s">
        <v>22</v>
      </c>
      <c r="G112" s="67" t="s">
        <v>389</v>
      </c>
      <c r="H112" s="9" t="s">
        <v>390</v>
      </c>
      <c r="I112" s="17" t="str">
        <f>IFERROR(_xlfn.XLOOKUP(Tabela2[[#This Row],[CHAPA]],TUT.CONTROL!F:F,TUT.CONTROL!I:I),_xlfn.XLOOKUP(Tabela2[[#This Row],[CHAPA]],'REG.CONTROL'!F:F,'REG.CONTROL'!I:I))</f>
        <v>Ativo</v>
      </c>
      <c r="J112" s="17">
        <f>IFERROR(_xlfn.XLOOKUP(Tabela2[[#This Row],[NOME DO TUTOR]],TUT.CONTROL!C:C,TUT.CONTROL!G:G),"Demitido")</f>
        <v>45733</v>
      </c>
      <c r="K112" s="19">
        <v>38991122591</v>
      </c>
      <c r="L112" s="22">
        <f>IFERROR(_xlfn.XLOOKUP(Tabela2[[#This Row],[NOME DO TUTOR]],TUT.CONTROL!C:C,TUT.CONTROL!F:F),"Demitido")</f>
        <v>1158000557</v>
      </c>
      <c r="M112" s="8" t="s">
        <v>391</v>
      </c>
      <c r="N112" s="11" t="str">
        <f>IFERROR(_xlfn.XLOOKUP(Tabela2[[#This Row],[CHAPA]],TUT.CONTROL!F:F,TUT.CONTROL!H:H),_xlfn.XLOOKUP(Tabela2[[#This Row],[CHAPA]],'REG.CONTROL'!F:F,'REG.CONTROL'!H:H))</f>
        <v>TUTOR DE PRATICA (UC_1749)</v>
      </c>
      <c r="O112" s="68" t="str">
        <f>IFERROR(_xlfn.XLOOKUP(Tabela2[[#This Row],[NOME DO TUTOR]],TUT.CONTROL!C:C,TUT.CONTROL!K:K),"Demitido")</f>
        <v>004:00</v>
      </c>
      <c r="P11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12" s="66" t="s">
        <v>30</v>
      </c>
      <c r="R112" s="8" t="s">
        <v>100</v>
      </c>
      <c r="S112" s="8">
        <v>246752</v>
      </c>
    </row>
    <row r="113" spans="1:19" ht="13.5" hidden="1" x14ac:dyDescent="0.3">
      <c r="A11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Jequié/BAEMF-ISNENF-INS (Multidisciplinar II)</v>
      </c>
      <c r="B113" s="8" t="str">
        <f>Tabela2[[#This Row],[CATEGORIA]]&amp;Tabela2[[#This Row],[CURSOS]]&amp;"LAP - "&amp;Tabela2[[#This Row],[POLO]]</f>
        <v>ENF-INS (Multidisciplinar II)EMF-ISNLAP - Jequié/BA</v>
      </c>
      <c r="C113" s="8" t="str">
        <f>Tabela2[[#This Row],[CATEGORIA]]&amp;Tabela2[[#This Row],[CURSOS]]</f>
        <v>ENF-INS (Multidisciplinar II)EMF-ISN</v>
      </c>
      <c r="D113" s="8" t="str">
        <f>IF(Tabela2[[#This Row],[SITUAÇÃO]]&lt;&gt;"Demitido",CONCATENATE(Tabela2[[#This Row],[POLO]],Tabela2[[#This Row],[CURSOS]]),"Substituição")</f>
        <v>Jequié/BAEMF-ISN</v>
      </c>
      <c r="E113" s="8" t="s">
        <v>21</v>
      </c>
      <c r="F113" s="67" t="s">
        <v>22</v>
      </c>
      <c r="G113" s="67" t="s">
        <v>392</v>
      </c>
      <c r="H113" s="9" t="s">
        <v>393</v>
      </c>
      <c r="I113" s="17" t="str">
        <f>IFERROR(_xlfn.XLOOKUP(Tabela2[[#This Row],[CHAPA]],TUT.CONTROL!F:F,TUT.CONTROL!I:I),_xlfn.XLOOKUP(Tabela2[[#This Row],[CHAPA]],'REG.CONTROL'!F:F,'REG.CONTROL'!I:I))</f>
        <v>Ativo</v>
      </c>
      <c r="J113" s="17">
        <f>IFERROR(_xlfn.XLOOKUP(Tabela2[[#This Row],[NOME DO TUTOR]],TUT.CONTROL!C:C,TUT.CONTROL!G:G),"Demitido")</f>
        <v>45749</v>
      </c>
      <c r="K113" s="19">
        <v>71987486255</v>
      </c>
      <c r="L113" s="22">
        <f>IFERROR(_xlfn.XLOOKUP(Tabela2[[#This Row],[NOME DO TUTOR]],TUT.CONTROL!C:C,TUT.CONTROL!F:F),"Demitido")</f>
        <v>1158000658</v>
      </c>
      <c r="M113" s="8" t="s">
        <v>394</v>
      </c>
      <c r="N113" s="11" t="str">
        <f>IFERROR(_xlfn.XLOOKUP(Tabela2[[#This Row],[CHAPA]],TUT.CONTROL!F:F,TUT.CONTROL!H:H),_xlfn.XLOOKUP(Tabela2[[#This Row],[CHAPA]],'REG.CONTROL'!F:F,'REG.CONTROL'!H:H))</f>
        <v>TUTOR DE PRATICA (UC_1749)</v>
      </c>
      <c r="O113" s="68" t="str">
        <f>IFERROR(_xlfn.XLOOKUP(Tabela2[[#This Row],[NOME DO TUTOR]],TUT.CONTROL!C:C,TUT.CONTROL!K:K),"Demitido")</f>
        <v>004:00</v>
      </c>
      <c r="P11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13" s="66" t="s">
        <v>30</v>
      </c>
      <c r="R113" s="8" t="s">
        <v>286</v>
      </c>
      <c r="S113" s="8">
        <v>395175</v>
      </c>
    </row>
    <row r="114" spans="1:19" ht="13.5" hidden="1" x14ac:dyDescent="0.3">
      <c r="A11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Capão Da Canoa/RSECE-ENM-ENS-ENG-EEA-GPI-CDE-OBR-SAN-TER-FSA-SLF-QUIENGMAKER+QUÍMICA E FÍSICA</v>
      </c>
      <c r="B114" s="8" t="str">
        <f>Tabela2[[#This Row],[CATEGORIA]]&amp;Tabela2[[#This Row],[CURSOS]]&amp;"LAP - "&amp;Tabela2[[#This Row],[POLO]]</f>
        <v>ENGMAKER+QUÍMICA E FÍSICAECE-ENM-ENS-ENG-EEA-GPI-CDE-OBR-SAN-TER-FSA-SLF-QUILAP - Capão Da Canoa/RS</v>
      </c>
      <c r="C114" s="8" t="str">
        <f>Tabela2[[#This Row],[CATEGORIA]]&amp;Tabela2[[#This Row],[CURSOS]]</f>
        <v>ENGMAKER+QUÍMICA E FÍSICAECE-ENM-ENS-ENG-EEA-GPI-CDE-OBR-SAN-TER-FSA-SLF-QUI</v>
      </c>
      <c r="D114" s="8" t="str">
        <f>IF(Tabela2[[#This Row],[SITUAÇÃO]]&lt;&gt;"Demitido",CONCATENATE(Tabela2[[#This Row],[POLO]],Tabela2[[#This Row],[CURSOS]]),"Substituição")</f>
        <v>Capão Da Canoa/RSECE-ENM-ENS-ENG-EEA-GPI-CDE-OBR-SAN-TER-FSA-SLF-QUI</v>
      </c>
      <c r="E114" s="8" t="s">
        <v>125</v>
      </c>
      <c r="F114" s="67" t="s">
        <v>126</v>
      </c>
      <c r="G114" s="67" t="s">
        <v>197</v>
      </c>
      <c r="H114" s="9" t="s">
        <v>395</v>
      </c>
      <c r="I114" s="17" t="str">
        <f>IFERROR(_xlfn.XLOOKUP(Tabela2[[#This Row],[CHAPA]],TUT.CONTROL!F:F,TUT.CONTROL!I:I),_xlfn.XLOOKUP(Tabela2[[#This Row],[CHAPA]],'REG.CONTROL'!F:F,'REG.CONTROL'!I:I))</f>
        <v>Ativo</v>
      </c>
      <c r="J114" s="17">
        <f>IFERROR(_xlfn.XLOOKUP(Tabela2[[#This Row],[NOME DO TUTOR]],TUT.CONTROL!C:C,TUT.CONTROL!G:G),"Demitido")</f>
        <v>45749</v>
      </c>
      <c r="K114" s="73">
        <v>51995145965</v>
      </c>
      <c r="L114" s="22">
        <f>IFERROR(_xlfn.XLOOKUP(Tabela2[[#This Row],[NOME DO TUTOR]],TUT.CONTROL!C:C,TUT.CONTROL!F:F),"Demitido")</f>
        <v>1158000657</v>
      </c>
      <c r="M114" s="8" t="s">
        <v>396</v>
      </c>
      <c r="N114" s="11" t="str">
        <f>IFERROR(_xlfn.XLOOKUP(Tabela2[[#This Row],[CHAPA]],TUT.CONTROL!F:F,TUT.CONTROL!H:H),_xlfn.XLOOKUP(Tabela2[[#This Row],[CHAPA]],'REG.CONTROL'!F:F,'REG.CONTROL'!H:H))</f>
        <v>TUTOR DE PRATICA (UC_1749)</v>
      </c>
      <c r="O114" s="68" t="str">
        <f>IFERROR(_xlfn.XLOOKUP(Tabela2[[#This Row],[NOME DO TUTOR]],TUT.CONTROL!C:C,TUT.CONTROL!K:K),"Demitido")</f>
        <v>004:00</v>
      </c>
      <c r="P11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14" s="66" t="s">
        <v>30</v>
      </c>
      <c r="R114" s="8" t="s">
        <v>397</v>
      </c>
      <c r="S114" s="8">
        <v>267541</v>
      </c>
    </row>
    <row r="115" spans="1:19" ht="13.5" hidden="1" x14ac:dyDescent="0.3">
      <c r="A11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Belo Horizonte/MG - Shopping Estação BHECE-ENM-ENS-ENG-EEA-GPI-CDE-OBR-SAN-TER-FSA-SLF-QUIENGMAKER+QUÍMICA E FÍSICA</v>
      </c>
      <c r="B115" s="8" t="str">
        <f>Tabela2[[#This Row],[CATEGORIA]]&amp;Tabela2[[#This Row],[CURSOS]]&amp;"LAP - "&amp;Tabela2[[#This Row],[POLO]]</f>
        <v>ENGMAKER+QUÍMICA E FÍSICAECE-ENM-ENS-ENG-EEA-GPI-CDE-OBR-SAN-TER-FSA-SLF-QUILAP - Belo Horizonte/MG - Shopping Estação BH</v>
      </c>
      <c r="C115" s="8" t="str">
        <f>Tabela2[[#This Row],[CATEGORIA]]&amp;Tabela2[[#This Row],[CURSOS]]</f>
        <v>ENGMAKER+QUÍMICA E FÍSICAECE-ENM-ENS-ENG-EEA-GPI-CDE-OBR-SAN-TER-FSA-SLF-QUI</v>
      </c>
      <c r="D115" s="8" t="str">
        <f>IF(Tabela2[[#This Row],[SITUAÇÃO]]&lt;&gt;"Demitido",CONCATENATE(Tabela2[[#This Row],[POLO]],Tabela2[[#This Row],[CURSOS]]),"Substituição")</f>
        <v>Belo Horizonte/MG - Shopping Estação BHECE-ENM-ENS-ENG-EEA-GPI-CDE-OBR-SAN-TER-FSA-SLF-QUI</v>
      </c>
      <c r="E115" s="8" t="s">
        <v>125</v>
      </c>
      <c r="F115" s="67" t="s">
        <v>126</v>
      </c>
      <c r="G115" s="67" t="s">
        <v>101</v>
      </c>
      <c r="H115" s="9" t="s">
        <v>398</v>
      </c>
      <c r="I115" s="17" t="str">
        <f>IFERROR(_xlfn.XLOOKUP(Tabela2[[#This Row],[CHAPA]],TUT.CONTROL!F:F,TUT.CONTROL!I:I),_xlfn.XLOOKUP(Tabela2[[#This Row],[CHAPA]],'REG.CONTROL'!F:F,'REG.CONTROL'!I:I))</f>
        <v>Ativo</v>
      </c>
      <c r="J115" s="17">
        <f>IFERROR(_xlfn.XLOOKUP(Tabela2[[#This Row],[NOME DO TUTOR]],TUT.CONTROL!C:C,TUT.CONTROL!G:G),"Demitido")</f>
        <v>45749</v>
      </c>
      <c r="K115" s="19" t="s">
        <v>399</v>
      </c>
      <c r="L115" s="22">
        <f>IFERROR(_xlfn.XLOOKUP(Tabela2[[#This Row],[NOME DO TUTOR]],TUT.CONTROL!C:C,TUT.CONTROL!F:F),"Demitido")</f>
        <v>1158000659</v>
      </c>
      <c r="M115" s="8" t="s">
        <v>400</v>
      </c>
      <c r="N115" s="11" t="str">
        <f>IFERROR(_xlfn.XLOOKUP(Tabela2[[#This Row],[CHAPA]],TUT.CONTROL!F:F,TUT.CONTROL!H:H),_xlfn.XLOOKUP(Tabela2[[#This Row],[CHAPA]],'REG.CONTROL'!F:F,'REG.CONTROL'!H:H))</f>
        <v>TUTOR DE PRATICA (UC_1749)</v>
      </c>
      <c r="O115" s="68" t="str">
        <f>IFERROR(_xlfn.XLOOKUP(Tabela2[[#This Row],[NOME DO TUTOR]],TUT.CONTROL!C:C,TUT.CONTROL!K:K),"Demitido")</f>
        <v>004:00</v>
      </c>
      <c r="P11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15" s="66" t="s">
        <v>30</v>
      </c>
      <c r="R115" s="8"/>
      <c r="S115" s="8"/>
    </row>
    <row r="116" spans="1:19" ht="13.5" hidden="1" x14ac:dyDescent="0.3">
      <c r="A11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Joinville/SC - SaguaçuEMF-ISNENF-INS (Multidisciplinar II)</v>
      </c>
      <c r="B116" s="8" t="str">
        <f>Tabela2[[#This Row],[CATEGORIA]]&amp;Tabela2[[#This Row],[CURSOS]]&amp;"LAP - "&amp;Tabela2[[#This Row],[POLO]]</f>
        <v>ENF-INS (Multidisciplinar II)EMF-ISNLAP - Joinville/SC - Saguaçu</v>
      </c>
      <c r="C116" s="8" t="str">
        <f>Tabela2[[#This Row],[CATEGORIA]]&amp;Tabela2[[#This Row],[CURSOS]]</f>
        <v>ENF-INS (Multidisciplinar II)EMF-ISN</v>
      </c>
      <c r="D116" s="8" t="str">
        <f>IF(Tabela2[[#This Row],[SITUAÇÃO]]&lt;&gt;"Demitido",CONCATENATE(Tabela2[[#This Row],[POLO]],Tabela2[[#This Row],[CURSOS]]),"Substituição")</f>
        <v>Joinville/SC - SaguaçuEMF-ISN</v>
      </c>
      <c r="E116" s="8" t="s">
        <v>21</v>
      </c>
      <c r="F116" s="67" t="s">
        <v>22</v>
      </c>
      <c r="G116" s="67" t="s">
        <v>401</v>
      </c>
      <c r="H116" s="9" t="s">
        <v>402</v>
      </c>
      <c r="I116" s="17" t="str">
        <f>IFERROR(_xlfn.XLOOKUP(Tabela2[[#This Row],[CHAPA]],TUT.CONTROL!F:F,TUT.CONTROL!I:I),_xlfn.XLOOKUP(Tabela2[[#This Row],[CHAPA]],'REG.CONTROL'!F:F,'REG.CONTROL'!I:I))</f>
        <v>Ativo</v>
      </c>
      <c r="J116" s="17">
        <f>IFERROR(_xlfn.XLOOKUP(Tabela2[[#This Row],[NOME DO TUTOR]],TUT.CONTROL!C:C,TUT.CONTROL!G:G),"Demitido")</f>
        <v>45754</v>
      </c>
      <c r="K116" s="19">
        <v>79998904528</v>
      </c>
      <c r="L116" s="22">
        <f>IFERROR(_xlfn.XLOOKUP(Tabela2[[#This Row],[NOME DO TUTOR]],TUT.CONTROL!C:C,TUT.CONTROL!F:F),"Demitido")</f>
        <v>1158000676</v>
      </c>
      <c r="M116" s="8" t="s">
        <v>403</v>
      </c>
      <c r="N116" s="11" t="str">
        <f>IFERROR(_xlfn.XLOOKUP(Tabela2[[#This Row],[CHAPA]],TUT.CONTROL!F:F,TUT.CONTROL!H:H),_xlfn.XLOOKUP(Tabela2[[#This Row],[CHAPA]],'REG.CONTROL'!F:F,'REG.CONTROL'!H:H))</f>
        <v>TUTOR DE PRATICA (UC_1749)</v>
      </c>
      <c r="O116" s="68" t="str">
        <f>IFERROR(_xlfn.XLOOKUP(Tabela2[[#This Row],[NOME DO TUTOR]],TUT.CONTROL!C:C,TUT.CONTROL!K:K),"Demitido")</f>
        <v>008:00</v>
      </c>
      <c r="P11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16" s="66" t="s">
        <v>30</v>
      </c>
      <c r="R116" s="8" t="s">
        <v>149</v>
      </c>
      <c r="S116" s="69">
        <v>416839</v>
      </c>
    </row>
    <row r="117" spans="1:19" ht="13.5" hidden="1" x14ac:dyDescent="0.3">
      <c r="A11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Juazeiro do Norte/CE - FranciscanosEMF-ISNENF-INS (Multidisciplinar II)</v>
      </c>
      <c r="B117" s="8" t="str">
        <f>Tabela2[[#This Row],[CATEGORIA]]&amp;Tabela2[[#This Row],[CURSOS]]&amp;"LAP - "&amp;Tabela2[[#This Row],[POLO]]</f>
        <v>ENF-INS (Multidisciplinar II)EMF-ISNLAP - Juazeiro do Norte/CE - Franciscanos</v>
      </c>
      <c r="C117" s="8" t="str">
        <f>Tabela2[[#This Row],[CATEGORIA]]&amp;Tabela2[[#This Row],[CURSOS]]</f>
        <v>ENF-INS (Multidisciplinar II)EMF-ISN</v>
      </c>
      <c r="D117" s="8" t="str">
        <f>IF(Tabela2[[#This Row],[SITUAÇÃO]]&lt;&gt;"Demitido",CONCATENATE(Tabela2[[#This Row],[POLO]],Tabela2[[#This Row],[CURSOS]]),"Substituição")</f>
        <v>Juazeiro do Norte/CE - FranciscanosEMF-ISN</v>
      </c>
      <c r="E117" s="8" t="s">
        <v>21</v>
      </c>
      <c r="F117" s="67" t="s">
        <v>22</v>
      </c>
      <c r="G117" s="67" t="s">
        <v>404</v>
      </c>
      <c r="H117" s="9" t="s">
        <v>405</v>
      </c>
      <c r="I117" s="17" t="str">
        <f>IFERROR(_xlfn.XLOOKUP(Tabela2[[#This Row],[CHAPA]],TUT.CONTROL!F:F,TUT.CONTROL!I:I),_xlfn.XLOOKUP(Tabela2[[#This Row],[CHAPA]],'REG.CONTROL'!F:F,'REG.CONTROL'!I:I))</f>
        <v>Ativo</v>
      </c>
      <c r="J117" s="17">
        <f>IFERROR(_xlfn.XLOOKUP(Tabela2[[#This Row],[NOME DO TUTOR]],TUT.CONTROL!C:C,TUT.CONTROL!G:G),"Demitido")</f>
        <v>45749</v>
      </c>
      <c r="K117" s="19" t="s">
        <v>406</v>
      </c>
      <c r="L117" s="22">
        <f>IFERROR(_xlfn.XLOOKUP(Tabela2[[#This Row],[NOME DO TUTOR]],TUT.CONTROL!C:C,TUT.CONTROL!F:F),"Demitido")</f>
        <v>1158000656</v>
      </c>
      <c r="M117" s="8" t="s">
        <v>407</v>
      </c>
      <c r="N117" s="11" t="str">
        <f>IFERROR(_xlfn.XLOOKUP(Tabela2[[#This Row],[CHAPA]],TUT.CONTROL!F:F,TUT.CONTROL!H:H),_xlfn.XLOOKUP(Tabela2[[#This Row],[CHAPA]],'REG.CONTROL'!F:F,'REG.CONTROL'!H:H))</f>
        <v>TUTOR DE PRATICA (UC_1749)</v>
      </c>
      <c r="O117" s="68" t="str">
        <f>IFERROR(_xlfn.XLOOKUP(Tabela2[[#This Row],[NOME DO TUTOR]],TUT.CONTROL!C:C,TUT.CONTROL!K:K),"Demitido")</f>
        <v>004:00</v>
      </c>
      <c r="P11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17" s="66" t="s">
        <v>30</v>
      </c>
      <c r="R117" s="8" t="s">
        <v>31</v>
      </c>
      <c r="S117" s="8">
        <v>452384</v>
      </c>
    </row>
    <row r="118" spans="1:19" ht="13.5" hidden="1" x14ac:dyDescent="0.3">
      <c r="A11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Juazeiro/BAEMF-ISNENF-INS (Multidisciplinar II)</v>
      </c>
      <c r="B118" s="8" t="str">
        <f>Tabela2[[#This Row],[CATEGORIA]]&amp;Tabela2[[#This Row],[CURSOS]]&amp;"LAP - "&amp;Tabela2[[#This Row],[POLO]]</f>
        <v>ENF-INS (Multidisciplinar II)EMF-ISNLAP - Juazeiro/BA</v>
      </c>
      <c r="C118" s="8" t="str">
        <f>Tabela2[[#This Row],[CATEGORIA]]&amp;Tabela2[[#This Row],[CURSOS]]</f>
        <v>ENF-INS (Multidisciplinar II)EMF-ISN</v>
      </c>
      <c r="D118" s="8" t="str">
        <f>IF(Tabela2[[#This Row],[SITUAÇÃO]]&lt;&gt;"Demitido",CONCATENATE(Tabela2[[#This Row],[POLO]],Tabela2[[#This Row],[CURSOS]]),"Substituição")</f>
        <v>Juazeiro/BAEMF-ISN</v>
      </c>
      <c r="E118" s="8" t="s">
        <v>21</v>
      </c>
      <c r="F118" s="67" t="s">
        <v>22</v>
      </c>
      <c r="G118" s="67" t="s">
        <v>408</v>
      </c>
      <c r="H118" s="9" t="s">
        <v>409</v>
      </c>
      <c r="I118" s="17" t="str">
        <f>IFERROR(_xlfn.XLOOKUP(Tabela2[[#This Row],[CHAPA]],TUT.CONTROL!F:F,TUT.CONTROL!I:I),_xlfn.XLOOKUP(Tabela2[[#This Row],[CHAPA]],'REG.CONTROL'!F:F,'REG.CONTROL'!I:I))</f>
        <v>Ativo</v>
      </c>
      <c r="J118" s="17">
        <f>IFERROR(_xlfn.XLOOKUP(Tabela2[[#This Row],[NOME DO TUTOR]],TUT.CONTROL!C:C,TUT.CONTROL!G:G),"Demitido")</f>
        <v>45735</v>
      </c>
      <c r="K118" s="19">
        <v>7491104877</v>
      </c>
      <c r="L118" s="22">
        <f>IFERROR(_xlfn.XLOOKUP(Tabela2[[#This Row],[NOME DO TUTOR]],TUT.CONTROL!C:C,TUT.CONTROL!F:F),"Demitido")</f>
        <v>1158000564</v>
      </c>
      <c r="M118" s="8" t="s">
        <v>410</v>
      </c>
      <c r="N118" s="11" t="str">
        <f>IFERROR(_xlfn.XLOOKUP(Tabela2[[#This Row],[CHAPA]],TUT.CONTROL!F:F,TUT.CONTROL!H:H),_xlfn.XLOOKUP(Tabela2[[#This Row],[CHAPA]],'REG.CONTROL'!F:F,'REG.CONTROL'!H:H))</f>
        <v>TUTOR DE PRATICA (UC_1749)</v>
      </c>
      <c r="O118" s="68" t="str">
        <f>IFERROR(_xlfn.XLOOKUP(Tabela2[[#This Row],[NOME DO TUTOR]],TUT.CONTROL!C:C,TUT.CONTROL!K:K),"Demitido")</f>
        <v>004:00</v>
      </c>
      <c r="P11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18" s="66" t="s">
        <v>30</v>
      </c>
      <c r="R118" s="8" t="s">
        <v>286</v>
      </c>
      <c r="S118" s="8">
        <v>500122</v>
      </c>
    </row>
    <row r="119" spans="1:19" ht="13.5" hidden="1" x14ac:dyDescent="0.3">
      <c r="A11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Juiz de Fora/MGEMF-ISNENF-INS (Multidisciplinar II)</v>
      </c>
      <c r="B119" s="8" t="str">
        <f>Tabela2[[#This Row],[CATEGORIA]]&amp;Tabela2[[#This Row],[CURSOS]]&amp;"LAP - "&amp;Tabela2[[#This Row],[POLO]]</f>
        <v>ENF-INS (Multidisciplinar II)EMF-ISNLAP - Juiz de Fora/MG</v>
      </c>
      <c r="C119" s="8" t="str">
        <f>Tabela2[[#This Row],[CATEGORIA]]&amp;Tabela2[[#This Row],[CURSOS]]</f>
        <v>ENF-INS (Multidisciplinar II)EMF-ISN</v>
      </c>
      <c r="D119" s="8" t="str">
        <f>IF(Tabela2[[#This Row],[SITUAÇÃO]]&lt;&gt;"Demitido",CONCATENATE(Tabela2[[#This Row],[POLO]],Tabela2[[#This Row],[CURSOS]]),"Substituição")</f>
        <v>Juiz de Fora/MGEMF-ISN</v>
      </c>
      <c r="E119" s="8" t="s">
        <v>21</v>
      </c>
      <c r="F119" s="67" t="s">
        <v>22</v>
      </c>
      <c r="G119" s="67" t="s">
        <v>411</v>
      </c>
      <c r="H119" s="9" t="s">
        <v>412</v>
      </c>
      <c r="I119" s="17" t="str">
        <f>IFERROR(_xlfn.XLOOKUP(Tabela2[[#This Row],[CHAPA]],TUT.CONTROL!F:F,TUT.CONTROL!I:I),_xlfn.XLOOKUP(Tabela2[[#This Row],[CHAPA]],'REG.CONTROL'!F:F,'REG.CONTROL'!I:I))</f>
        <v>Ativo</v>
      </c>
      <c r="J119" s="17">
        <f>IFERROR(_xlfn.XLOOKUP(Tabela2[[#This Row],[NOME DO TUTOR]],TUT.CONTROL!C:C,TUT.CONTROL!G:G),"Demitido")</f>
        <v>45733</v>
      </c>
      <c r="K119" s="19">
        <v>32991651756</v>
      </c>
      <c r="L119" s="22">
        <f>IFERROR(_xlfn.XLOOKUP(Tabela2[[#This Row],[NOME DO TUTOR]],TUT.CONTROL!C:C,TUT.CONTROL!F:F),"Demitido")</f>
        <v>1158000555</v>
      </c>
      <c r="M119" s="8" t="s">
        <v>413</v>
      </c>
      <c r="N119" s="11" t="str">
        <f>IFERROR(_xlfn.XLOOKUP(Tabela2[[#This Row],[CHAPA]],TUT.CONTROL!F:F,TUT.CONTROL!H:H),_xlfn.XLOOKUP(Tabela2[[#This Row],[CHAPA]],'REG.CONTROL'!F:F,'REG.CONTROL'!H:H))</f>
        <v>TUTOR DE PRATICA (UC_1749)</v>
      </c>
      <c r="O119" s="68" t="str">
        <f>IFERROR(_xlfn.XLOOKUP(Tabela2[[#This Row],[NOME DO TUTOR]],TUT.CONTROL!C:C,TUT.CONTROL!K:K),"Demitido")</f>
        <v>004:00</v>
      </c>
      <c r="P11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19" s="66" t="s">
        <v>30</v>
      </c>
      <c r="R119" s="8" t="s">
        <v>100</v>
      </c>
      <c r="S119" s="8">
        <v>815333</v>
      </c>
    </row>
    <row r="120" spans="1:19" ht="13.5" hidden="1" x14ac:dyDescent="0.3">
      <c r="A12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Juruá/AMEMF-ISNENF-INS (Multidisciplinar II)</v>
      </c>
      <c r="B120" s="8" t="str">
        <f>Tabela2[[#This Row],[CATEGORIA]]&amp;Tabela2[[#This Row],[CURSOS]]&amp;"LAP - "&amp;Tabela2[[#This Row],[POLO]]</f>
        <v>ENF-INS (Multidisciplinar II)EMF-ISNLAP - Juruá/AM</v>
      </c>
      <c r="C120" s="8" t="str">
        <f>Tabela2[[#This Row],[CATEGORIA]]&amp;Tabela2[[#This Row],[CURSOS]]</f>
        <v>ENF-INS (Multidisciplinar II)EMF-ISN</v>
      </c>
      <c r="D120" s="8" t="str">
        <f>IF(Tabela2[[#This Row],[SITUAÇÃO]]&lt;&gt;"Demitido",CONCATENATE(Tabela2[[#This Row],[POLO]],Tabela2[[#This Row],[CURSOS]]),"Substituição")</f>
        <v>Juruá/AMEMF-ISN</v>
      </c>
      <c r="E120" s="8" t="s">
        <v>21</v>
      </c>
      <c r="F120" s="67" t="s">
        <v>22</v>
      </c>
      <c r="G120" s="67" t="s">
        <v>414</v>
      </c>
      <c r="H120" s="9" t="s">
        <v>415</v>
      </c>
      <c r="I120" s="17" t="str">
        <f>IFERROR(_xlfn.XLOOKUP(Tabela2[[#This Row],[CHAPA]],TUT.CONTROL!F:F,TUT.CONTROL!I:I),_xlfn.XLOOKUP(Tabela2[[#This Row],[CHAPA]],'REG.CONTROL'!F:F,'REG.CONTROL'!I:I))</f>
        <v>Ativo</v>
      </c>
      <c r="J120" s="17">
        <f>IFERROR(_xlfn.XLOOKUP(Tabela2[[#This Row],[NOME DO TUTOR]],TUT.CONTROL!C:C,TUT.CONTROL!G:G),"Demitido")</f>
        <v>45810</v>
      </c>
      <c r="K120" s="19" t="s">
        <v>416</v>
      </c>
      <c r="L120" s="22">
        <f>IFERROR(_xlfn.XLOOKUP(Tabela2[[#This Row],[NOME DO TUTOR]],TUT.CONTROL!C:C,TUT.CONTROL!F:F),"Demitido")</f>
        <v>1158000735</v>
      </c>
      <c r="M120" s="8" t="s">
        <v>417</v>
      </c>
      <c r="N120" s="11" t="str">
        <f>IFERROR(_xlfn.XLOOKUP(Tabela2[[#This Row],[CHAPA]],TUT.CONTROL!F:F,TUT.CONTROL!H:H),_xlfn.XLOOKUP(Tabela2[[#This Row],[CHAPA]],'REG.CONTROL'!F:F,'REG.CONTROL'!H:H))</f>
        <v>TUTOR DE PRATICA (UC_1749)</v>
      </c>
      <c r="O120" s="68" t="str">
        <f>IFERROR(_xlfn.XLOOKUP(Tabela2[[#This Row],[NOME DO TUTOR]],TUT.CONTROL!C:C,TUT.CONTROL!K:K),"Demitido")</f>
        <v>004:00</v>
      </c>
      <c r="P12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20" s="66" t="s">
        <v>30</v>
      </c>
      <c r="R120" s="8"/>
      <c r="S120" s="8"/>
    </row>
    <row r="121" spans="1:19" ht="13.5" hidden="1" x14ac:dyDescent="0.3">
      <c r="A12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Lages/SC - CentroEMF-ISNENF-INS (Multidisciplinar II)</v>
      </c>
      <c r="B121" s="8" t="str">
        <f>Tabela2[[#This Row],[CATEGORIA]]&amp;Tabela2[[#This Row],[CURSOS]]&amp;"LAP - "&amp;Tabela2[[#This Row],[POLO]]</f>
        <v>ENF-INS (Multidisciplinar II)EMF-ISNLAP - Lages/SC - Centro</v>
      </c>
      <c r="C121" s="8" t="str">
        <f>Tabela2[[#This Row],[CATEGORIA]]&amp;Tabela2[[#This Row],[CURSOS]]</f>
        <v>ENF-INS (Multidisciplinar II)EMF-ISN</v>
      </c>
      <c r="D121" s="8" t="str">
        <f>IF(Tabela2[[#This Row],[SITUAÇÃO]]&lt;&gt;"Demitido",CONCATENATE(Tabela2[[#This Row],[POLO]],Tabela2[[#This Row],[CURSOS]]),"Substituição")</f>
        <v>Lages/SC - CentroEMF-ISN</v>
      </c>
      <c r="E121" s="8" t="s">
        <v>21</v>
      </c>
      <c r="F121" s="67" t="s">
        <v>22</v>
      </c>
      <c r="G121" s="67" t="s">
        <v>418</v>
      </c>
      <c r="H121" s="9" t="s">
        <v>419</v>
      </c>
      <c r="I121" s="17" t="str">
        <f>IFERROR(_xlfn.XLOOKUP(Tabela2[[#This Row],[CHAPA]],TUT.CONTROL!F:F,TUT.CONTROL!I:I),_xlfn.XLOOKUP(Tabela2[[#This Row],[CHAPA]],'REG.CONTROL'!F:F,'REG.CONTROL'!I:I))</f>
        <v>Ativo</v>
      </c>
      <c r="J121" s="17">
        <f>IFERROR(_xlfn.XLOOKUP(Tabela2[[#This Row],[NOME DO TUTOR]],TUT.CONTROL!C:C,TUT.CONTROL!G:G),"Demitido")</f>
        <v>45749</v>
      </c>
      <c r="K121" s="19" t="s">
        <v>420</v>
      </c>
      <c r="L121" s="22">
        <f>IFERROR(_xlfn.XLOOKUP(Tabela2[[#This Row],[NOME DO TUTOR]],TUT.CONTROL!C:C,TUT.CONTROL!F:F),"Demitido")</f>
        <v>1158000665</v>
      </c>
      <c r="M121" s="8" t="s">
        <v>421</v>
      </c>
      <c r="N121" s="11" t="str">
        <f>IFERROR(_xlfn.XLOOKUP(Tabela2[[#This Row],[CHAPA]],TUT.CONTROL!F:F,TUT.CONTROL!H:H),_xlfn.XLOOKUP(Tabela2[[#This Row],[CHAPA]],'REG.CONTROL'!F:F,'REG.CONTROL'!H:H))</f>
        <v>TUTOR DE PRATICA (UC_1749)</v>
      </c>
      <c r="O121" s="68" t="str">
        <f>IFERROR(_xlfn.XLOOKUP(Tabela2[[#This Row],[NOME DO TUTOR]],TUT.CONTROL!C:C,TUT.CONTROL!K:K),"Demitido")</f>
        <v>004:00</v>
      </c>
      <c r="P12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21" s="66" t="s">
        <v>30</v>
      </c>
      <c r="R121" s="8" t="s">
        <v>149</v>
      </c>
      <c r="S121" s="8">
        <v>150899</v>
      </c>
    </row>
    <row r="122" spans="1:19" ht="13.5" hidden="1" x14ac:dyDescent="0.3">
      <c r="A12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Laranjal do Jari/APEMF-ISNENF-INS (Multidisciplinar II)</v>
      </c>
      <c r="B122" s="8" t="str">
        <f>Tabela2[[#This Row],[CATEGORIA]]&amp;Tabela2[[#This Row],[CURSOS]]&amp;"LAP - "&amp;Tabela2[[#This Row],[POLO]]</f>
        <v>ENF-INS (Multidisciplinar II)EMF-ISNLAP - Laranjal do Jari/AP</v>
      </c>
      <c r="C122" s="8" t="str">
        <f>Tabela2[[#This Row],[CATEGORIA]]&amp;Tabela2[[#This Row],[CURSOS]]</f>
        <v>ENF-INS (Multidisciplinar II)EMF-ISN</v>
      </c>
      <c r="D122" s="8" t="str">
        <f>IF(Tabela2[[#This Row],[SITUAÇÃO]]&lt;&gt;"Demitido",CONCATENATE(Tabela2[[#This Row],[POLO]],Tabela2[[#This Row],[CURSOS]]),"Substituição")</f>
        <v>Laranjal do Jari/APEMF-ISN</v>
      </c>
      <c r="E122" s="8" t="s">
        <v>21</v>
      </c>
      <c r="F122" s="67" t="s">
        <v>22</v>
      </c>
      <c r="G122" s="67" t="s">
        <v>422</v>
      </c>
      <c r="H122" s="9" t="s">
        <v>423</v>
      </c>
      <c r="I122" s="17" t="str">
        <f>IFERROR(_xlfn.XLOOKUP(Tabela2[[#This Row],[CHAPA]],TUT.CONTROL!F:F,TUT.CONTROL!I:I),_xlfn.XLOOKUP(Tabela2[[#This Row],[CHAPA]],'REG.CONTROL'!F:F,'REG.CONTROL'!I:I))</f>
        <v>Ativo</v>
      </c>
      <c r="J122" s="17">
        <f>IFERROR(_xlfn.XLOOKUP(Tabela2[[#This Row],[NOME DO TUTOR]],'REG.CONTROL'!C:C,'REG.CONTROL'!G:G),"Demitido")</f>
        <v>45369</v>
      </c>
      <c r="K122" s="19">
        <v>92982081969</v>
      </c>
      <c r="L122" s="22">
        <f>IFERROR(_xlfn.XLOOKUP(Tabela2[[#This Row],[NOME DO TUTOR]],'REG.CONTROL'!C:C,'REG.CONTROL'!F:F),"Demitido")</f>
        <v>1004014255</v>
      </c>
      <c r="M122" s="8" t="s">
        <v>424</v>
      </c>
      <c r="N122" s="11" t="str">
        <f>IFERROR(_xlfn.XLOOKUP(Tabela2[[#This Row],[CHAPA]],TUT.CONTROL!F:F,TUT.CONTROL!H:H),_xlfn.XLOOKUP(Tabela2[[#This Row],[CHAPA]],'REG.CONTROL'!F:F,'REG.CONTROL'!H:H))</f>
        <v>PROFESSOR REGENTE DE POLO (UC_1744)</v>
      </c>
      <c r="O122" s="68" t="str">
        <f>IFERROR(_xlfn.XLOOKUP(Tabela2[[#This Row],[NOME DO TUTOR]],'REGENTE CH'!A:A,'REGENTE CH'!C:C),"Atualizar")</f>
        <v>012:00</v>
      </c>
      <c r="P12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22" s="66" t="s">
        <v>30</v>
      </c>
      <c r="R122" s="8" t="s">
        <v>425</v>
      </c>
      <c r="S122" s="8">
        <v>765332</v>
      </c>
    </row>
    <row r="123" spans="1:19" ht="13.5" hidden="1" x14ac:dyDescent="0.3">
      <c r="A12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Livramento de Nossa Senhora/BAEMF-ISNENF-INS (Multidisciplinar II)</v>
      </c>
      <c r="B123" s="8" t="str">
        <f>Tabela2[[#This Row],[CATEGORIA]]&amp;Tabela2[[#This Row],[CURSOS]]&amp;"LAP - "&amp;Tabela2[[#This Row],[POLO]]</f>
        <v>ENF-INS (Multidisciplinar II)EMF-ISNLAP - Livramento de Nossa Senhora/BA</v>
      </c>
      <c r="C123" s="8" t="str">
        <f>Tabela2[[#This Row],[CATEGORIA]]&amp;Tabela2[[#This Row],[CURSOS]]</f>
        <v>ENF-INS (Multidisciplinar II)EMF-ISN</v>
      </c>
      <c r="D123" s="8" t="str">
        <f>IF(Tabela2[[#This Row],[SITUAÇÃO]]&lt;&gt;"Demitido",CONCATENATE(Tabela2[[#This Row],[POLO]],Tabela2[[#This Row],[CURSOS]]),"Substituição")</f>
        <v>Livramento de Nossa Senhora/BAEMF-ISN</v>
      </c>
      <c r="E123" s="8" t="s">
        <v>21</v>
      </c>
      <c r="F123" s="67" t="s">
        <v>22</v>
      </c>
      <c r="G123" s="67" t="s">
        <v>426</v>
      </c>
      <c r="H123" s="9" t="s">
        <v>427</v>
      </c>
      <c r="I123" s="17" t="str">
        <f>IFERROR(_xlfn.XLOOKUP(Tabela2[[#This Row],[CHAPA]],TUT.CONTROL!F:F,TUT.CONTROL!I:I),_xlfn.XLOOKUP(Tabela2[[#This Row],[CHAPA]],'REG.CONTROL'!F:F,'REG.CONTROL'!I:I))</f>
        <v>Ativo</v>
      </c>
      <c r="J123" s="17">
        <f>IFERROR(_xlfn.XLOOKUP(Tabela2[[#This Row],[NOME DO TUTOR]],TUT.CONTROL!C:C,TUT.CONTROL!G:G),"Demitido")</f>
        <v>45789</v>
      </c>
      <c r="K123" s="19" t="s">
        <v>428</v>
      </c>
      <c r="L123" s="22">
        <f>IFERROR(_xlfn.XLOOKUP(Tabela2[[#This Row],[NOME DO TUTOR]],TUT.CONTROL!C:C,TUT.CONTROL!F:F),"Demitido")</f>
        <v>1158000619</v>
      </c>
      <c r="M123" s="8" t="s">
        <v>429</v>
      </c>
      <c r="N123" s="11" t="str">
        <f>IFERROR(_xlfn.XLOOKUP(Tabela2[[#This Row],[CHAPA]],TUT.CONTROL!F:F,TUT.CONTROL!H:H),_xlfn.XLOOKUP(Tabela2[[#This Row],[CHAPA]],'REG.CONTROL'!F:F,'REG.CONTROL'!H:H))</f>
        <v>TUTOR DE PRATICA (UC_1749)</v>
      </c>
      <c r="O123" s="68" t="str">
        <f>IFERROR(_xlfn.XLOOKUP(Tabela2[[#This Row],[NOME DO TUTOR]],TUT.CONTROL!C:C,TUT.CONTROL!K:K),"Demitido")</f>
        <v>004:00</v>
      </c>
      <c r="P12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23" s="66" t="s">
        <v>30</v>
      </c>
      <c r="R123" s="8" t="s">
        <v>286</v>
      </c>
      <c r="S123" s="8" t="s">
        <v>430</v>
      </c>
    </row>
    <row r="124" spans="1:19" ht="13.5" hidden="1" x14ac:dyDescent="0.3">
      <c r="A12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São Paulo/SP - TatuapéECE-ENM-ENS-ENG-EEA-GPI-CDE-OBR-SAN-TER-FSA-SLF-QUIENGMAKER+QUÍMICA E FÍSICA</v>
      </c>
      <c r="B124" s="8" t="str">
        <f>Tabela2[[#This Row],[CATEGORIA]]&amp;Tabela2[[#This Row],[CURSOS]]&amp;"LAP - "&amp;Tabela2[[#This Row],[POLO]]</f>
        <v>ENGMAKER+QUÍMICA E FÍSICAECE-ENM-ENS-ENG-EEA-GPI-CDE-OBR-SAN-TER-FSA-SLF-QUILAP - São Paulo/SP - Tatuapé</v>
      </c>
      <c r="C124" s="8" t="str">
        <f>Tabela2[[#This Row],[CATEGORIA]]&amp;Tabela2[[#This Row],[CURSOS]]</f>
        <v>ENGMAKER+QUÍMICA E FÍSICAECE-ENM-ENS-ENG-EEA-GPI-CDE-OBR-SAN-TER-FSA-SLF-QUI</v>
      </c>
      <c r="D124" s="8" t="str">
        <f>IF(Tabela2[[#This Row],[SITUAÇÃO]]&lt;&gt;"Demitido",CONCATENATE(Tabela2[[#This Row],[POLO]],Tabela2[[#This Row],[CURSOS]]),"Substituição")</f>
        <v>São Paulo/SP - TatuapéECE-ENM-ENS-ENG-EEA-GPI-CDE-OBR-SAN-TER-FSA-SLF-QUI</v>
      </c>
      <c r="E124" s="8" t="s">
        <v>125</v>
      </c>
      <c r="F124" s="67" t="s">
        <v>126</v>
      </c>
      <c r="G124" s="67" t="s">
        <v>431</v>
      </c>
      <c r="H124" s="9" t="s">
        <v>432</v>
      </c>
      <c r="I124" s="17" t="str">
        <f>IFERROR(_xlfn.XLOOKUP(Tabela2[[#This Row],[CHAPA]],TUT.CONTROL!F:F,TUT.CONTROL!I:I),_xlfn.XLOOKUP(Tabela2[[#This Row],[CHAPA]],'REG.CONTROL'!F:F,'REG.CONTROL'!I:I))</f>
        <v>Ativo</v>
      </c>
      <c r="J124" s="17">
        <f>IFERROR(_xlfn.XLOOKUP(Tabela2[[#This Row],[NOME DO TUTOR]],TUT.CONTROL!C:C,TUT.CONTROL!G:G),"Demitido")</f>
        <v>45749</v>
      </c>
      <c r="K124" s="19" t="s">
        <v>433</v>
      </c>
      <c r="L124" s="22">
        <f>IFERROR(_xlfn.XLOOKUP(Tabela2[[#This Row],[NOME DO TUTOR]],TUT.CONTROL!C:C,TUT.CONTROL!F:F),"Demitido")</f>
        <v>1158000674</v>
      </c>
      <c r="M124" s="8" t="s">
        <v>434</v>
      </c>
      <c r="N124" s="11" t="str">
        <f>IFERROR(_xlfn.XLOOKUP(Tabela2[[#This Row],[CHAPA]],TUT.CONTROL!F:F,TUT.CONTROL!H:H),_xlfn.XLOOKUP(Tabela2[[#This Row],[CHAPA]],'REG.CONTROL'!F:F,'REG.CONTROL'!H:H))</f>
        <v>TUTOR DE PRATICA (UC_1749)</v>
      </c>
      <c r="O124" s="68" t="str">
        <f>IFERROR(_xlfn.XLOOKUP(Tabela2[[#This Row],[NOME DO TUTOR]],TUT.CONTROL!C:C,TUT.CONTROL!K:K),"Demitido")</f>
        <v>004:00</v>
      </c>
      <c r="P12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24" s="66" t="s">
        <v>30</v>
      </c>
      <c r="R124" s="8"/>
      <c r="S124" s="8"/>
    </row>
    <row r="125" spans="1:19" ht="13.5" hidden="1" x14ac:dyDescent="0.3">
      <c r="A12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Luís Eduardo Magalhães/BAEMF-ISNENF-INS (Multidisciplinar II)</v>
      </c>
      <c r="B125" s="8" t="str">
        <f>Tabela2[[#This Row],[CATEGORIA]]&amp;Tabela2[[#This Row],[CURSOS]]&amp;"LAP - "&amp;Tabela2[[#This Row],[POLO]]</f>
        <v>ENF-INS (Multidisciplinar II)EMF-ISNLAP - Luís Eduardo Magalhães/BA</v>
      </c>
      <c r="C125" s="8" t="str">
        <f>Tabela2[[#This Row],[CATEGORIA]]&amp;Tabela2[[#This Row],[CURSOS]]</f>
        <v>ENF-INS (Multidisciplinar II)EMF-ISN</v>
      </c>
      <c r="D125" s="8" t="str">
        <f>IF(Tabela2[[#This Row],[SITUAÇÃO]]&lt;&gt;"Demitido",CONCATENATE(Tabela2[[#This Row],[POLO]],Tabela2[[#This Row],[CURSOS]]),"Substituição")</f>
        <v>Luís Eduardo Magalhães/BAEMF-ISN</v>
      </c>
      <c r="E125" s="8" t="s">
        <v>21</v>
      </c>
      <c r="F125" s="67" t="s">
        <v>22</v>
      </c>
      <c r="G125" s="67" t="s">
        <v>435</v>
      </c>
      <c r="H125" s="9" t="s">
        <v>436</v>
      </c>
      <c r="I125" s="17" t="str">
        <f>IFERROR(_xlfn.XLOOKUP(Tabela2[[#This Row],[CHAPA]],TUT.CONTROL!F:F,TUT.CONTROL!I:I),_xlfn.XLOOKUP(Tabela2[[#This Row],[CHAPA]],'REG.CONTROL'!F:F,'REG.CONTROL'!I:I))</f>
        <v>Ativo</v>
      </c>
      <c r="J125" s="17">
        <f>IFERROR(_xlfn.XLOOKUP(Tabela2[[#This Row],[NOME DO TUTOR]],TUT.CONTROL!C:C,TUT.CONTROL!G:G),"Demitido")</f>
        <v>45756</v>
      </c>
      <c r="K125" s="19" t="s">
        <v>437</v>
      </c>
      <c r="L125" s="22">
        <f>IFERROR(_xlfn.XLOOKUP(Tabela2[[#This Row],[NOME DO TUTOR]],TUT.CONTROL!C:C,TUT.CONTROL!F:F),"Demitido")</f>
        <v>1158000697</v>
      </c>
      <c r="M125" s="8" t="s">
        <v>438</v>
      </c>
      <c r="N125" s="11" t="str">
        <f>IFERROR(_xlfn.XLOOKUP(Tabela2[[#This Row],[CHAPA]],TUT.CONTROL!F:F,TUT.CONTROL!H:H),_xlfn.XLOOKUP(Tabela2[[#This Row],[CHAPA]],'REG.CONTROL'!F:F,'REG.CONTROL'!H:H))</f>
        <v>TUTOR DE PRATICA (UC_1749)</v>
      </c>
      <c r="O125" s="68" t="str">
        <f>IFERROR(_xlfn.XLOOKUP(Tabela2[[#This Row],[NOME DO TUTOR]],TUT.CONTROL!C:C,TUT.CONTROL!K:K),"Demitido")</f>
        <v>004:00</v>
      </c>
      <c r="P12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25" s="66" t="s">
        <v>30</v>
      </c>
      <c r="R125" s="8" t="s">
        <v>286</v>
      </c>
      <c r="S125" s="8">
        <v>735027</v>
      </c>
    </row>
    <row r="126" spans="1:19" ht="13.5" hidden="1" x14ac:dyDescent="0.3">
      <c r="A12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Macapá/APEMF-ISNENF-INS (Multidisciplinar II)</v>
      </c>
      <c r="B126" s="8" t="str">
        <f>Tabela2[[#This Row],[CATEGORIA]]&amp;Tabela2[[#This Row],[CURSOS]]&amp;"LAP - "&amp;Tabela2[[#This Row],[POLO]]</f>
        <v>ENF-INS (Multidisciplinar II)EMF-ISNLAP - Macapá/AP</v>
      </c>
      <c r="C126" s="8" t="str">
        <f>Tabela2[[#This Row],[CATEGORIA]]&amp;Tabela2[[#This Row],[CURSOS]]</f>
        <v>ENF-INS (Multidisciplinar II)EMF-ISN</v>
      </c>
      <c r="D126" s="8" t="str">
        <f>IF(Tabela2[[#This Row],[SITUAÇÃO]]&lt;&gt;"Demitido",CONCATENATE(Tabela2[[#This Row],[POLO]],Tabela2[[#This Row],[CURSOS]]),"Substituição")</f>
        <v>Macapá/APEMF-ISN</v>
      </c>
      <c r="E126" s="8" t="s">
        <v>21</v>
      </c>
      <c r="F126" s="67" t="s">
        <v>22</v>
      </c>
      <c r="G126" s="67" t="s">
        <v>439</v>
      </c>
      <c r="H126" s="9" t="s">
        <v>440</v>
      </c>
      <c r="I126" s="17" t="str">
        <f>IFERROR(_xlfn.XLOOKUP(Tabela2[[#This Row],[CHAPA]],TUT.CONTROL!F:F,TUT.CONTROL!I:I),_xlfn.XLOOKUP(Tabela2[[#This Row],[CHAPA]],'REG.CONTROL'!F:F,'REG.CONTROL'!I:I))</f>
        <v>Ativo</v>
      </c>
      <c r="J126" s="17">
        <f>IFERROR(_xlfn.XLOOKUP(Tabela2[[#This Row],[NOME DO TUTOR]],TUT.CONTROL!C:C,TUT.CONTROL!G:G),"Demitido")</f>
        <v>45789</v>
      </c>
      <c r="K126" s="19">
        <v>9691193450</v>
      </c>
      <c r="L126" s="22">
        <f>IFERROR(_xlfn.XLOOKUP(Tabela2[[#This Row],[NOME DO TUTOR]],TUT.CONTROL!C:C,TUT.CONTROL!F:F),"Demitido")</f>
        <v>1158000617</v>
      </c>
      <c r="M126" s="8" t="s">
        <v>441</v>
      </c>
      <c r="N126" s="11" t="str">
        <f>IFERROR(_xlfn.XLOOKUP(Tabela2[[#This Row],[CHAPA]],TUT.CONTROL!F:F,TUT.CONTROL!H:H),_xlfn.XLOOKUP(Tabela2[[#This Row],[CHAPA]],'REG.CONTROL'!F:F,'REG.CONTROL'!H:H))</f>
        <v>TUTOR DE PRATICA (UC_1749)</v>
      </c>
      <c r="O126" s="68" t="str">
        <f>IFERROR(_xlfn.XLOOKUP(Tabela2[[#This Row],[NOME DO TUTOR]],TUT.CONTROL!C:C,TUT.CONTROL!K:K),"Demitido")</f>
        <v>004:00</v>
      </c>
      <c r="P12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26" s="66" t="s">
        <v>30</v>
      </c>
      <c r="R126" s="8" t="s">
        <v>425</v>
      </c>
      <c r="S126" s="69">
        <v>913577</v>
      </c>
    </row>
    <row r="127" spans="1:19" ht="13.5" hidden="1" x14ac:dyDescent="0.3">
      <c r="A12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Maceió/AL - PitanguinhaEMF-ISNENF-INS (Multidisciplinar II)</v>
      </c>
      <c r="B127" s="8" t="str">
        <f>Tabela2[[#This Row],[CATEGORIA]]&amp;Tabela2[[#This Row],[CURSOS]]&amp;"LAP - "&amp;Tabela2[[#This Row],[POLO]]</f>
        <v>ENF-INS (Multidisciplinar II)EMF-ISNLAP - Maceió/AL - Pitanguinha</v>
      </c>
      <c r="C127" s="8" t="str">
        <f>Tabela2[[#This Row],[CATEGORIA]]&amp;Tabela2[[#This Row],[CURSOS]]</f>
        <v>ENF-INS (Multidisciplinar II)EMF-ISN</v>
      </c>
      <c r="D127" s="8" t="str">
        <f>IF(Tabela2[[#This Row],[SITUAÇÃO]]&lt;&gt;"Demitido",CONCATENATE(Tabela2[[#This Row],[POLO]],Tabela2[[#This Row],[CURSOS]]),"Substituição")</f>
        <v>Maceió/AL - PitanguinhaEMF-ISN</v>
      </c>
      <c r="E127" s="8" t="s">
        <v>21</v>
      </c>
      <c r="F127" s="67" t="s">
        <v>22</v>
      </c>
      <c r="G127" s="67" t="s">
        <v>442</v>
      </c>
      <c r="H127" s="9" t="s">
        <v>443</v>
      </c>
      <c r="I127" s="17" t="str">
        <f>IFERROR(_xlfn.XLOOKUP(Tabela2[[#This Row],[CHAPA]],TUT.CONTROL!F:F,TUT.CONTROL!I:I),_xlfn.XLOOKUP(Tabela2[[#This Row],[CHAPA]],'REG.CONTROL'!F:F,'REG.CONTROL'!I:I))</f>
        <v>Ativo</v>
      </c>
      <c r="J127" s="17">
        <f>IFERROR(_xlfn.XLOOKUP(Tabela2[[#This Row],[NOME DO TUTOR]],TUT.CONTROL!C:C,TUT.CONTROL!G:G),"Demitido")</f>
        <v>45735</v>
      </c>
      <c r="K127" s="19">
        <v>82998295404</v>
      </c>
      <c r="L127" s="22">
        <f>IFERROR(_xlfn.XLOOKUP(Tabela2[[#This Row],[NOME DO TUTOR]],TUT.CONTROL!C:C,TUT.CONTROL!F:F),"Demitido")</f>
        <v>1158000654</v>
      </c>
      <c r="M127" s="8" t="s">
        <v>444</v>
      </c>
      <c r="N127" s="11" t="str">
        <f>IFERROR(_xlfn.XLOOKUP(Tabela2[[#This Row],[CHAPA]],TUT.CONTROL!F:F,TUT.CONTROL!H:H),_xlfn.XLOOKUP(Tabela2[[#This Row],[CHAPA]],'REG.CONTROL'!F:F,'REG.CONTROL'!H:H))</f>
        <v>TUTOR DE PRATICA (UC_1749)</v>
      </c>
      <c r="O127" s="68" t="str">
        <f>IFERROR(_xlfn.XLOOKUP(Tabela2[[#This Row],[NOME DO TUTOR]],TUT.CONTROL!C:C,TUT.CONTROL!K:K),"Demitido")</f>
        <v>004:00</v>
      </c>
      <c r="P12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27" s="66" t="s">
        <v>30</v>
      </c>
      <c r="R127" s="8" t="s">
        <v>445</v>
      </c>
      <c r="S127" s="8">
        <v>665008</v>
      </c>
    </row>
    <row r="128" spans="1:19" ht="13.5" hidden="1" x14ac:dyDescent="0.3">
      <c r="A12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MÃE DO RIO/PAEMF-ISNENF-INS (Multidisciplinar II)</v>
      </c>
      <c r="B128" s="8" t="str">
        <f>Tabela2[[#This Row],[CATEGORIA]]&amp;Tabela2[[#This Row],[CURSOS]]&amp;"LAP - "&amp;Tabela2[[#This Row],[POLO]]</f>
        <v>ENF-INS (Multidisciplinar II)EMF-ISNLAP - MÃE DO RIO/PA</v>
      </c>
      <c r="C128" s="8" t="str">
        <f>Tabela2[[#This Row],[CATEGORIA]]&amp;Tabela2[[#This Row],[CURSOS]]</f>
        <v>ENF-INS (Multidisciplinar II)EMF-ISN</v>
      </c>
      <c r="D128" s="8" t="str">
        <f>IF(Tabela2[[#This Row],[SITUAÇÃO]]&lt;&gt;"Demitido",CONCATENATE(Tabela2[[#This Row],[POLO]],Tabela2[[#This Row],[CURSOS]]),"Substituição")</f>
        <v>MÃE DO RIO/PAEMF-ISN</v>
      </c>
      <c r="E128" s="8" t="s">
        <v>21</v>
      </c>
      <c r="F128" s="67" t="s">
        <v>22</v>
      </c>
      <c r="G128" s="67" t="s">
        <v>446</v>
      </c>
      <c r="H128" s="9" t="s">
        <v>447</v>
      </c>
      <c r="I128" s="17" t="str">
        <f>IFERROR(_xlfn.XLOOKUP(Tabela2[[#This Row],[CHAPA]],TUT.CONTROL!F:F,TUT.CONTROL!I:I),_xlfn.XLOOKUP(Tabela2[[#This Row],[CHAPA]],'REG.CONTROL'!F:F,'REG.CONTROL'!I:I))</f>
        <v>Ativo</v>
      </c>
      <c r="J128" s="17">
        <f>IFERROR(_xlfn.XLOOKUP(Tabela2[[#This Row],[NOME DO TUTOR]],TUT.CONTROL!C:C,TUT.CONTROL!G:G),"Demitido")</f>
        <v>45798</v>
      </c>
      <c r="K128" s="19">
        <v>91993081393</v>
      </c>
      <c r="L128" s="22">
        <f>IFERROR(_xlfn.XLOOKUP(Tabela2[[#This Row],[NOME DO TUTOR]],TUT.CONTROL!C:C,TUT.CONTROL!F:F),"Demitido")</f>
        <v>1158000646</v>
      </c>
      <c r="M128" s="8" t="s">
        <v>448</v>
      </c>
      <c r="N128" s="11" t="str">
        <f>IFERROR(_xlfn.XLOOKUP(Tabela2[[#This Row],[CHAPA]],TUT.CONTROL!F:F,TUT.CONTROL!H:H),_xlfn.XLOOKUP(Tabela2[[#This Row],[CHAPA]],'REG.CONTROL'!F:F,'REG.CONTROL'!H:H))</f>
        <v>TUTOR DE PRATICA (UC_1749)</v>
      </c>
      <c r="O128" s="68" t="str">
        <f>IFERROR(_xlfn.XLOOKUP(Tabela2[[#This Row],[NOME DO TUTOR]],TUT.CONTROL!C:C,TUT.CONTROL!K:K),"Demitido")</f>
        <v>004:00</v>
      </c>
      <c r="P12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28" s="66" t="s">
        <v>30</v>
      </c>
      <c r="R128" s="8" t="s">
        <v>26</v>
      </c>
      <c r="S128" s="8">
        <v>751017</v>
      </c>
    </row>
    <row r="129" spans="1:19" ht="13.5" hidden="1" customHeight="1" x14ac:dyDescent="0.3">
      <c r="A12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Mamanguape/PBEMF-ISNENF-INS (Multidisciplinar II)</v>
      </c>
      <c r="B129" s="8" t="str">
        <f>Tabela2[[#This Row],[CATEGORIA]]&amp;Tabela2[[#This Row],[CURSOS]]&amp;"LAP - "&amp;Tabela2[[#This Row],[POLO]]</f>
        <v>ENF-INS (Multidisciplinar II)EMF-ISNLAP - Mamanguape/PB</v>
      </c>
      <c r="C129" s="8" t="str">
        <f>Tabela2[[#This Row],[CATEGORIA]]&amp;Tabela2[[#This Row],[CURSOS]]</f>
        <v>ENF-INS (Multidisciplinar II)EMF-ISN</v>
      </c>
      <c r="D129" s="8" t="str">
        <f>IF(Tabela2[[#This Row],[SITUAÇÃO]]&lt;&gt;"Demitido",CONCATENATE(Tabela2[[#This Row],[POLO]],Tabela2[[#This Row],[CURSOS]]),"Substituição")</f>
        <v>Mamanguape/PBEMF-ISN</v>
      </c>
      <c r="E129" s="8" t="s">
        <v>21</v>
      </c>
      <c r="F129" s="67" t="s">
        <v>22</v>
      </c>
      <c r="G129" s="67" t="s">
        <v>449</v>
      </c>
      <c r="H129" s="9" t="s">
        <v>450</v>
      </c>
      <c r="I129" s="17" t="str">
        <f>IFERROR(_xlfn.XLOOKUP(Tabela2[[#This Row],[CHAPA]],TUT.CONTROL!F:F,TUT.CONTROL!I:I),_xlfn.XLOOKUP(Tabela2[[#This Row],[CHAPA]],'REG.CONTROL'!F:F,'REG.CONTROL'!I:I))</f>
        <v>Ativo</v>
      </c>
      <c r="J129" s="17">
        <f>IFERROR(_xlfn.XLOOKUP(Tabela2[[#This Row],[NOME DO TUTOR]],TUT.CONTROL!C:C,TUT.CONTROL!G:G),"Demitido")</f>
        <v>45735</v>
      </c>
      <c r="K129" s="19" t="s">
        <v>451</v>
      </c>
      <c r="L129" s="22">
        <f>IFERROR(_xlfn.XLOOKUP(Tabela2[[#This Row],[NOME DO TUTOR]],TUT.CONTROL!C:C,TUT.CONTROL!F:F),"Demitido")</f>
        <v>1158000570</v>
      </c>
      <c r="M129" s="8" t="s">
        <v>452</v>
      </c>
      <c r="N129" s="11" t="str">
        <f>IFERROR(_xlfn.XLOOKUP(Tabela2[[#This Row],[CHAPA]],TUT.CONTROL!F:F,TUT.CONTROL!H:H),_xlfn.XLOOKUP(Tabela2[[#This Row],[CHAPA]],'REG.CONTROL'!F:F,'REG.CONTROL'!H:H))</f>
        <v>TUTOR DE PRATICA (UC_1749)</v>
      </c>
      <c r="O129" s="68" t="str">
        <f>IFERROR(_xlfn.XLOOKUP(Tabela2[[#This Row],[NOME DO TUTOR]],TUT.CONTROL!C:C,TUT.CONTROL!K:K),"Demitido")</f>
        <v>008:00</v>
      </c>
      <c r="P12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29" s="66" t="s">
        <v>30</v>
      </c>
      <c r="R129" s="8" t="s">
        <v>171</v>
      </c>
      <c r="S129" s="8">
        <v>776690</v>
      </c>
    </row>
    <row r="130" spans="1:19" ht="13.5" hidden="1" x14ac:dyDescent="0.3">
      <c r="A13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30" s="8" t="str">
        <f>Tabela2[[#This Row],[CATEGORIA]]&amp;Tabela2[[#This Row],[CURSOS]]&amp;"LAP - "&amp;Tabela2[[#This Row],[POLO]]</f>
        <v>ENGMAKER+QUÍMICA E FÍSICAECE-ENM-ENS-ENG-EEA-GPI-CDE-OBR-SAN-TER-FSA-SLF-QUILAP - Blumenau/SC - Salto Do Norte (Centro Universitário Dante)</v>
      </c>
      <c r="C130" s="8" t="str">
        <f>Tabela2[[#This Row],[CATEGORIA]]&amp;Tabela2[[#This Row],[CURSOS]]</f>
        <v>ENGMAKER+QUÍMICA E FÍSICAECE-ENM-ENS-ENG-EEA-GPI-CDE-OBR-SAN-TER-FSA-SLF-QUI</v>
      </c>
      <c r="D130" s="8" t="str">
        <f>IF(Tabela2[[#This Row],[SITUAÇÃO]]&lt;&gt;"Demitido",CONCATENATE(Tabela2[[#This Row],[POLO]],Tabela2[[#This Row],[CURSOS]]),"Substituição")</f>
        <v>Substituição</v>
      </c>
      <c r="E130" s="8" t="s">
        <v>125</v>
      </c>
      <c r="F130" s="67" t="s">
        <v>126</v>
      </c>
      <c r="G130" s="67" t="s">
        <v>110</v>
      </c>
      <c r="H130" s="9" t="s">
        <v>453</v>
      </c>
      <c r="I130" s="17" t="str">
        <f>IFERROR(_xlfn.XLOOKUP(Tabela2[[#This Row],[CHAPA]],TUT.CONTROL!F:F,TUT.CONTROL!I:I),_xlfn.XLOOKUP(Tabela2[[#This Row],[CHAPA]],'REG.CONTROL'!F:F,'REG.CONTROL'!I:I))</f>
        <v>Demitido</v>
      </c>
      <c r="J130" s="17">
        <f>IFERROR(_xlfn.XLOOKUP(Tabela2[[#This Row],[NOME DO TUTOR]],TUT.CONTROL!C:C,TUT.CONTROL!G:G),"Demitido")</f>
        <v>45749</v>
      </c>
      <c r="K130" s="19" t="s">
        <v>454</v>
      </c>
      <c r="L130" s="22">
        <f>IFERROR(_xlfn.XLOOKUP(Tabela2[[#This Row],[NOME DO TUTOR]],TUT.CONTROL!C:C,TUT.CONTROL!F:F),"Demitido")</f>
        <v>1158000672</v>
      </c>
      <c r="M130" s="8" t="s">
        <v>455</v>
      </c>
      <c r="N130" s="11" t="str">
        <f>IFERROR(_xlfn.XLOOKUP(Tabela2[[#This Row],[CHAPA]],TUT.CONTROL!F:F,TUT.CONTROL!H:H),_xlfn.XLOOKUP(Tabela2[[#This Row],[CHAPA]],'REG.CONTROL'!F:F,'REG.CONTROL'!H:H))</f>
        <v>TUTOR DE PRATICA (UC_1749)</v>
      </c>
      <c r="O130" s="68" t="str">
        <f>IFERROR(_xlfn.XLOOKUP(Tabela2[[#This Row],[NOME DO TUTOR]],TUT.CONTROL!C:C,TUT.CONTROL!K:K),"Demitido")</f>
        <v>004:00</v>
      </c>
      <c r="P130" s="17">
        <f>IF(Tabela2[[#This Row],[SITUAÇÃO]]="Demitido",IFERROR(_xlfn.XLOOKUP(Tabela2[[#This Row],[CHAPA]],TUT.CONTROL!F:F,TUT.CONTROL!V:V),_xlfn.XLOOKUP(Tabela2[[#This Row],[CHAPA]],'REG.CONTROL'!F:F,'REG.CONTROL'!V:V)),"-")</f>
        <v>46028</v>
      </c>
      <c r="Q130" s="66" t="s">
        <v>43</v>
      </c>
      <c r="R130" s="66" t="s">
        <v>43</v>
      </c>
      <c r="S130" s="8"/>
    </row>
    <row r="131" spans="1:19" ht="13.5" hidden="1" x14ac:dyDescent="0.3">
      <c r="A13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Manacapuru/AM - Terra PretaEMF-ISNENF-INS (Multidisciplinar II)</v>
      </c>
      <c r="B131" s="8" t="str">
        <f>Tabela2[[#This Row],[CATEGORIA]]&amp;Tabela2[[#This Row],[CURSOS]]&amp;"LAP - "&amp;Tabela2[[#This Row],[POLO]]</f>
        <v>ENF-INS (Multidisciplinar II)EMF-ISNLAP - Manacapuru/AM - Terra Preta</v>
      </c>
      <c r="C131" s="8" t="str">
        <f>Tabela2[[#This Row],[CATEGORIA]]&amp;Tabela2[[#This Row],[CURSOS]]</f>
        <v>ENF-INS (Multidisciplinar II)EMF-ISN</v>
      </c>
      <c r="D131" s="8" t="str">
        <f>IF(Tabela2[[#This Row],[SITUAÇÃO]]&lt;&gt;"Demitido",CONCATENATE(Tabela2[[#This Row],[POLO]],Tabela2[[#This Row],[CURSOS]]),"Substituição")</f>
        <v>Manacapuru/AM - Terra PretaEMF-ISN</v>
      </c>
      <c r="E131" s="8" t="s">
        <v>21</v>
      </c>
      <c r="F131" s="67" t="s">
        <v>22</v>
      </c>
      <c r="G131" s="67" t="s">
        <v>456</v>
      </c>
      <c r="H131" s="9" t="s">
        <v>457</v>
      </c>
      <c r="I131" s="17" t="str">
        <f>IFERROR(_xlfn.XLOOKUP(Tabela2[[#This Row],[CHAPA]],TUT.CONTROL!F:F,TUT.CONTROL!I:I),_xlfn.XLOOKUP(Tabela2[[#This Row],[CHAPA]],'REG.CONTROL'!F:F,'REG.CONTROL'!I:I))</f>
        <v>Ativo</v>
      </c>
      <c r="J131" s="17">
        <f>IFERROR(_xlfn.XLOOKUP(Tabela2[[#This Row],[NOME DO TUTOR]],TUT.CONTROL!C:C,TUT.CONTROL!G:G),"Demitido")</f>
        <v>45733</v>
      </c>
      <c r="K131" s="19">
        <v>92984359036</v>
      </c>
      <c r="L131" s="22">
        <f>IFERROR(_xlfn.XLOOKUP(Tabela2[[#This Row],[NOME DO TUTOR]],TUT.CONTROL!C:C,TUT.CONTROL!F:F),"Demitido")</f>
        <v>1158000562</v>
      </c>
      <c r="M131" s="8" t="s">
        <v>458</v>
      </c>
      <c r="N131" s="11" t="str">
        <f>IFERROR(_xlfn.XLOOKUP(Tabela2[[#This Row],[CHAPA]],TUT.CONTROL!F:F,TUT.CONTROL!H:H),_xlfn.XLOOKUP(Tabela2[[#This Row],[CHAPA]],'REG.CONTROL'!F:F,'REG.CONTROL'!H:H))</f>
        <v>TUTOR DE PRATICA (UC_1749)</v>
      </c>
      <c r="O131" s="68" t="str">
        <f>IFERROR(_xlfn.XLOOKUP(Tabela2[[#This Row],[NOME DO TUTOR]],TUT.CONTROL!C:C,TUT.CONTROL!K:K),"Demitido")</f>
        <v>004:00</v>
      </c>
      <c r="P13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31" s="66" t="s">
        <v>30</v>
      </c>
      <c r="R131" s="8" t="s">
        <v>365</v>
      </c>
      <c r="S131" s="8">
        <v>934479</v>
      </c>
    </row>
    <row r="132" spans="1:19" ht="13.5" hidden="1" x14ac:dyDescent="0.3">
      <c r="A13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Manaus/AM - Cidade NovaEMF-ISNENF-INS (Multidisciplinar II)</v>
      </c>
      <c r="B132" s="8" t="str">
        <f>Tabela2[[#This Row],[CATEGORIA]]&amp;Tabela2[[#This Row],[CURSOS]]&amp;"LAP - "&amp;Tabela2[[#This Row],[POLO]]</f>
        <v>ENF-INS (Multidisciplinar II)EMF-ISNLAP - Manaus/AM - Cidade Nova</v>
      </c>
      <c r="C132" s="8" t="str">
        <f>Tabela2[[#This Row],[CATEGORIA]]&amp;Tabela2[[#This Row],[CURSOS]]</f>
        <v>ENF-INS (Multidisciplinar II)EMF-ISN</v>
      </c>
      <c r="D132" s="8" t="str">
        <f>IF(Tabela2[[#This Row],[SITUAÇÃO]]&lt;&gt;"Demitido",CONCATENATE(Tabela2[[#This Row],[POLO]],Tabela2[[#This Row],[CURSOS]]),"Substituição")</f>
        <v>Manaus/AM - Cidade NovaEMF-ISN</v>
      </c>
      <c r="E132" s="8" t="s">
        <v>21</v>
      </c>
      <c r="F132" s="67" t="s">
        <v>22</v>
      </c>
      <c r="G132" s="67" t="s">
        <v>459</v>
      </c>
      <c r="H132" s="9" t="s">
        <v>460</v>
      </c>
      <c r="I132" s="17" t="str">
        <f>IFERROR(_xlfn.XLOOKUP(Tabela2[[#This Row],[CHAPA]],TUT.CONTROL!F:F,TUT.CONTROL!I:I),_xlfn.XLOOKUP(Tabela2[[#This Row],[CHAPA]],'REG.CONTROL'!F:F,'REG.CONTROL'!I:I))</f>
        <v>Ativo</v>
      </c>
      <c r="J132" s="17">
        <f>IFERROR(_xlfn.XLOOKUP(Tabela2[[#This Row],[NOME DO TUTOR]],'REG.CONTROL'!C:C,'REG.CONTROL'!G:G),"Demitido")</f>
        <v>44791</v>
      </c>
      <c r="K132" s="19">
        <v>92994619601</v>
      </c>
      <c r="L132" s="22">
        <f>IFERROR(_xlfn.XLOOKUP(Tabela2[[#This Row],[NOME DO TUTOR]],'REG.CONTROL'!C:C,'REG.CONTROL'!F:F),"Demitido")</f>
        <v>1004010624</v>
      </c>
      <c r="M132" s="8" t="s">
        <v>461</v>
      </c>
      <c r="N132" s="11" t="str">
        <f>IFERROR(_xlfn.XLOOKUP(Tabela2[[#This Row],[CHAPA]],TUT.CONTROL!F:F,TUT.CONTROL!H:H),_xlfn.XLOOKUP(Tabela2[[#This Row],[CHAPA]],'REG.CONTROL'!F:F,'REG.CONTROL'!H:H))</f>
        <v>PROFESSOR REGENTE DE POLO (UC_1744)</v>
      </c>
      <c r="O132" s="68" t="str">
        <f>IFERROR(_xlfn.XLOOKUP(Tabela2[[#This Row],[NOME DO TUTOR]],'REGENTE CH'!A:A,'REGENTE CH'!C:C),"Atualizar")</f>
        <v>012:00</v>
      </c>
      <c r="P13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32" s="66" t="s">
        <v>30</v>
      </c>
      <c r="R132" s="8" t="s">
        <v>365</v>
      </c>
      <c r="S132" s="69">
        <v>663030</v>
      </c>
    </row>
    <row r="133" spans="1:19" ht="13.5" hidden="1" customHeight="1" x14ac:dyDescent="0.3">
      <c r="A13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33" s="8" t="str">
        <f>Tabela2[[#This Row],[CATEGORIA]]&amp;Tabela2[[#This Row],[CURSOS]]&amp;"LAP - "&amp;Tabela2[[#This Row],[POLO]]</f>
        <v>ENF-INS (Multidisciplinar II)EMF-ISNLAP - Marabá/PA - Cidade Nova</v>
      </c>
      <c r="C133" s="8" t="str">
        <f>Tabela2[[#This Row],[CATEGORIA]]&amp;Tabela2[[#This Row],[CURSOS]]</f>
        <v>ENF-INS (Multidisciplinar II)EMF-ISN</v>
      </c>
      <c r="D133" s="8" t="str">
        <f>IF(Tabela2[[#This Row],[SITUAÇÃO]]&lt;&gt;"Demitido",CONCATENATE(Tabela2[[#This Row],[POLO]],Tabela2[[#This Row],[CURSOS]]),"Substituição")</f>
        <v>Substituição</v>
      </c>
      <c r="E133" s="8" t="s">
        <v>21</v>
      </c>
      <c r="F133" s="67" t="s">
        <v>22</v>
      </c>
      <c r="G133" s="67" t="s">
        <v>462</v>
      </c>
      <c r="H133" s="9" t="s">
        <v>463</v>
      </c>
      <c r="I133" s="71" t="str">
        <f>IFERROR(_xlfn.XLOOKUP(Tabela2[[#This Row],[CHAPA]],TUT.CONTROL!F:F,TUT.CONTROL!I:I),_xlfn.XLOOKUP(Tabela2[[#This Row],[CHAPA]],'REG.CONTROL'!F:F,'REG.CONTROL'!I:I))</f>
        <v>Demitido</v>
      </c>
      <c r="J133" s="17">
        <f>IFERROR(_xlfn.XLOOKUP(Tabela2[[#This Row],[NOME DO TUTOR]],TUT.CONTROL!C:C,TUT.CONTROL!G:G),"Atualizar")</f>
        <v>45735</v>
      </c>
      <c r="K133" s="19">
        <v>94981299553</v>
      </c>
      <c r="L133" s="22">
        <f>IFERROR(_xlfn.XLOOKUP(Tabela2[[#This Row],[NOME DO TUTOR]],TUT.CONTROL!C:C,TUT.CONTROL!F:F),"Demitido")</f>
        <v>1158000584</v>
      </c>
      <c r="M133" s="8" t="s">
        <v>464</v>
      </c>
      <c r="N133" s="11" t="str">
        <f>IFERROR(_xlfn.XLOOKUP(Tabela2[[#This Row],[CHAPA]],TUT.CONTROL!F:F,TUT.CONTROL!H:H),_xlfn.XLOOKUP(Tabela2[[#This Row],[CHAPA]],'REG.CONTROL'!F:F,'REG.CONTROL'!H:H))</f>
        <v>TUTOR DE PRATICA (UC_1749)</v>
      </c>
      <c r="O133" s="70" t="str">
        <f>IFERROR(_xlfn.XLOOKUP(Tabela2[[#This Row],[NOME DO TUTOR]],TUT.CONTROL!C:C,TUT.CONTROL!K:K),"Demitido")</f>
        <v>004:00</v>
      </c>
      <c r="P133" s="17">
        <f>IF(Tabela2[[#This Row],[SITUAÇÃO]]="Demitido",IFERROR(_xlfn.XLOOKUP(Tabela2[[#This Row],[CHAPA]],TUT.CONTROL!F:F,TUT.CONTROL!V:V),_xlfn.XLOOKUP(Tabela2[[#This Row],[CHAPA]],'REG.CONTROL'!F:F,'REG.CONTROL'!V:V)),"-")</f>
        <v>45855</v>
      </c>
      <c r="Q133" s="66" t="s">
        <v>43</v>
      </c>
      <c r="R133" s="8"/>
    </row>
    <row r="134" spans="1:19" ht="13.5" hidden="1" x14ac:dyDescent="0.3">
      <c r="A13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Parauapebas/PAECE-ENM-ENS-ENG-EEA-GPI-CDE-OBR-SAN-TER-FSA-SLF-QUIENGMAKER+QUÍMICA E FÍSICA</v>
      </c>
      <c r="B134" s="8" t="str">
        <f>Tabela2[[#This Row],[CATEGORIA]]&amp;Tabela2[[#This Row],[CURSOS]]&amp;"LAP - "&amp;Tabela2[[#This Row],[POLO]]</f>
        <v>ENGMAKER+QUÍMICA E FÍSICAECE-ENM-ENS-ENG-EEA-GPI-CDE-OBR-SAN-TER-FSA-SLF-QUILAP - Parauapebas/PA</v>
      </c>
      <c r="C134" s="8" t="str">
        <f>Tabela2[[#This Row],[CATEGORIA]]&amp;Tabela2[[#This Row],[CURSOS]]</f>
        <v>ENGMAKER+QUÍMICA E FÍSICAECE-ENM-ENS-ENG-EEA-GPI-CDE-OBR-SAN-TER-FSA-SLF-QUI</v>
      </c>
      <c r="D134" s="8" t="str">
        <f>IF(Tabela2[[#This Row],[SITUAÇÃO]]&lt;&gt;"Demitido",CONCATENATE(Tabela2[[#This Row],[POLO]],Tabela2[[#This Row],[CURSOS]]),"Substituição")</f>
        <v>Parauapebas/PAECE-ENM-ENS-ENG-EEA-GPI-CDE-OBR-SAN-TER-FSA-SLF-QUI</v>
      </c>
      <c r="E134" s="8" t="s">
        <v>125</v>
      </c>
      <c r="F134" s="67" t="s">
        <v>126</v>
      </c>
      <c r="G134" s="67" t="s">
        <v>465</v>
      </c>
      <c r="H134" s="9" t="s">
        <v>466</v>
      </c>
      <c r="I134" s="17" t="str">
        <f>IFERROR(_xlfn.XLOOKUP(Tabela2[[#This Row],[CHAPA]],TUT.CONTROL!F:F,TUT.CONTROL!I:I),_xlfn.XLOOKUP(Tabela2[[#This Row],[CHAPA]],'REG.CONTROL'!F:F,'REG.CONTROL'!I:I))</f>
        <v>Ativo</v>
      </c>
      <c r="J134" s="17">
        <f>IFERROR(_xlfn.XLOOKUP(Tabela2[[#This Row],[NOME DO TUTOR]],TUT.CONTROL!C:C,TUT.CONTROL!G:G),"Demitido")</f>
        <v>45754</v>
      </c>
      <c r="K134" s="19" t="s">
        <v>467</v>
      </c>
      <c r="L134" s="22">
        <f>IFERROR(_xlfn.XLOOKUP(Tabela2[[#This Row],[NOME DO TUTOR]],TUT.CONTROL!C:C,TUT.CONTROL!F:F),"Demitido")</f>
        <v>1158000682</v>
      </c>
      <c r="M134" s="8" t="s">
        <v>468</v>
      </c>
      <c r="N134" s="11" t="str">
        <f>IFERROR(_xlfn.XLOOKUP(Tabela2[[#This Row],[CHAPA]],TUT.CONTROL!F:F,TUT.CONTROL!H:H),_xlfn.XLOOKUP(Tabela2[[#This Row],[CHAPA]],'REG.CONTROL'!F:F,'REG.CONTROL'!H:H))</f>
        <v>TUTOR DE PRATICA (UC_1749)</v>
      </c>
      <c r="O134" s="68" t="str">
        <f>IFERROR(_xlfn.XLOOKUP(Tabela2[[#This Row],[NOME DO TUTOR]],TUT.CONTROL!C:C,TUT.CONTROL!K:K),"Demitido")</f>
        <v>004:00</v>
      </c>
      <c r="P13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34" s="66" t="s">
        <v>30</v>
      </c>
      <c r="R134" s="8"/>
      <c r="S134" s="8"/>
    </row>
    <row r="135" spans="1:19" ht="13.5" hidden="1" x14ac:dyDescent="0.3">
      <c r="A13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Marabá/PA - Cidade NovaEMF-ISNENF-INS (Multidisciplinar II)</v>
      </c>
      <c r="B135" s="8" t="str">
        <f>Tabela2[[#This Row],[CATEGORIA]]&amp;Tabela2[[#This Row],[CURSOS]]&amp;"LAP - "&amp;Tabela2[[#This Row],[POLO]]</f>
        <v>ENF-INS (Multidisciplinar II)EMF-ISNLAP - Marabá/PA - Cidade Nova</v>
      </c>
      <c r="C135" s="8" t="str">
        <f>Tabela2[[#This Row],[CATEGORIA]]&amp;Tabela2[[#This Row],[CURSOS]]</f>
        <v>ENF-INS (Multidisciplinar II)EMF-ISN</v>
      </c>
      <c r="D135" s="8" t="str">
        <f>IF(Tabela2[[#This Row],[SITUAÇÃO]]&lt;&gt;"Demitido",CONCATENATE(Tabela2[[#This Row],[POLO]],Tabela2[[#This Row],[CURSOS]]),"Substituição")</f>
        <v>Marabá/PA - Cidade NovaEMF-ISN</v>
      </c>
      <c r="E135" s="8" t="s">
        <v>21</v>
      </c>
      <c r="F135" s="67" t="s">
        <v>22</v>
      </c>
      <c r="G135" s="67" t="s">
        <v>462</v>
      </c>
      <c r="H135" s="9" t="s">
        <v>469</v>
      </c>
      <c r="I135" s="17" t="str">
        <f>IFERROR(_xlfn.XLOOKUP(Tabela2[[#This Row],[CHAPA]],TUT.CONTROL!F:F,TUT.CONTROL!I:I),_xlfn.XLOOKUP(Tabela2[[#This Row],[CHAPA]],'REG.CONTROL'!F:F,'REG.CONTROL'!I:I))</f>
        <v>Ativo</v>
      </c>
      <c r="J135" s="17">
        <f>IFERROR(_xlfn.XLOOKUP(Tabela2[[#This Row],[NOME DO TUTOR]],'REG.CONTROL'!C:C,'REG.CONTROL'!G:G),"Demitido")</f>
        <v>45356</v>
      </c>
      <c r="K135" s="19" t="s">
        <v>470</v>
      </c>
      <c r="L135" s="22">
        <f>IFERROR(_xlfn.XLOOKUP(Tabela2[[#This Row],[NOME DO TUTOR]],'REG.CONTROL'!C:C,'REG.CONTROL'!F:F),"Demitido")</f>
        <v>1004014039</v>
      </c>
      <c r="M135" s="8" t="s">
        <v>471</v>
      </c>
      <c r="N135" s="11" t="str">
        <f>IFERROR(_xlfn.XLOOKUP(Tabela2[[#This Row],[CHAPA]],TUT.CONTROL!F:F,TUT.CONTROL!H:H),_xlfn.XLOOKUP(Tabela2[[#This Row],[CHAPA]],'REG.CONTROL'!F:F,'REG.CONTROL'!H:H))</f>
        <v>PROFESSOR REGENTE DE POLO (UC_1744)</v>
      </c>
      <c r="O135" s="68" t="str">
        <f>IFERROR(_xlfn.XLOOKUP(Tabela2[[#This Row],[NOME DO TUTOR]],'REGENTE CH'!A:A,'REGENTE CH'!C:C),"Atualizar")</f>
        <v>004:00</v>
      </c>
      <c r="P13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35" s="66" t="s">
        <v>30</v>
      </c>
      <c r="R135" s="8" t="s">
        <v>26</v>
      </c>
      <c r="S135" s="8">
        <v>508.89299999999997</v>
      </c>
    </row>
    <row r="136" spans="1:19" ht="13.5" hidden="1" x14ac:dyDescent="0.3">
      <c r="A13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Marcelândia/MTEMF-ISNENF-INS (Multidisciplinar II)</v>
      </c>
      <c r="B136" s="8" t="str">
        <f>Tabela2[[#This Row],[CATEGORIA]]&amp;Tabela2[[#This Row],[CURSOS]]&amp;"LAP - "&amp;Tabela2[[#This Row],[POLO]]</f>
        <v>ENF-INS (Multidisciplinar II)EMF-ISNLAP - Marcelândia/MT</v>
      </c>
      <c r="C136" s="8" t="str">
        <f>Tabela2[[#This Row],[CATEGORIA]]&amp;Tabela2[[#This Row],[CURSOS]]</f>
        <v>ENF-INS (Multidisciplinar II)EMF-ISN</v>
      </c>
      <c r="D136" s="8" t="str">
        <f>IF(Tabela2[[#This Row],[SITUAÇÃO]]&lt;&gt;"Demitido",CONCATENATE(Tabela2[[#This Row],[POLO]],Tabela2[[#This Row],[CURSOS]]),"Substituição")</f>
        <v>Marcelândia/MTEMF-ISN</v>
      </c>
      <c r="E136" s="8" t="s">
        <v>21</v>
      </c>
      <c r="F136" s="67" t="s">
        <v>22</v>
      </c>
      <c r="G136" s="67" t="s">
        <v>472</v>
      </c>
      <c r="H136" s="9" t="s">
        <v>473</v>
      </c>
      <c r="I136" s="17" t="str">
        <f>IFERROR(_xlfn.XLOOKUP(Tabela2[[#This Row],[CHAPA]],TUT.CONTROL!F:F,TUT.CONTROL!I:I),_xlfn.XLOOKUP(Tabela2[[#This Row],[CHAPA]],'REG.CONTROL'!F:F,'REG.CONTROL'!I:I))</f>
        <v>Ativo</v>
      </c>
      <c r="J136" s="17">
        <f>IFERROR(_xlfn.XLOOKUP(Tabela2[[#This Row],[NOME DO TUTOR]],'REG.CONTROL'!C:C,'REG.CONTROL'!G:G),"Demitido")</f>
        <v>45236</v>
      </c>
      <c r="K136" s="19">
        <v>66999130993</v>
      </c>
      <c r="L136" s="22">
        <f>IFERROR(_xlfn.XLOOKUP(Tabela2[[#This Row],[NOME DO TUTOR]],'REG.CONTROL'!C:C,'REG.CONTROL'!F:F),"Demitido")</f>
        <v>1004013453</v>
      </c>
      <c r="M136" s="8" t="s">
        <v>474</v>
      </c>
      <c r="N136" s="11" t="str">
        <f>IFERROR(_xlfn.XLOOKUP(Tabela2[[#This Row],[CHAPA]],TUT.CONTROL!F:F,TUT.CONTROL!H:H),_xlfn.XLOOKUP(Tabela2[[#This Row],[CHAPA]],'REG.CONTROL'!F:F,'REG.CONTROL'!H:H))</f>
        <v>PROFESSOR REGENTE DE POLO (UC_1744)</v>
      </c>
      <c r="O136" s="68" t="str">
        <f>IFERROR(_xlfn.XLOOKUP(Tabela2[[#This Row],[NOME DO TUTOR]],'REGENTE CH'!A:A,'REGENTE CH'!C:C),"Atualizar")</f>
        <v>004:00</v>
      </c>
      <c r="P13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36" s="66" t="s">
        <v>30</v>
      </c>
      <c r="R136" s="8"/>
      <c r="S136" s="8"/>
    </row>
    <row r="137" spans="1:19" ht="13.5" hidden="1" x14ac:dyDescent="0.3">
      <c r="A13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Imbituba/SCECE-ENM-ENS-ENG-EEA-GPI-CDE-OBR-SAN-TER-FSA-SLF-QUIENGMAKER+QUÍMICA E FÍSICA</v>
      </c>
      <c r="B137" s="8" t="str">
        <f>Tabela2[[#This Row],[CATEGORIA]]&amp;Tabela2[[#This Row],[CURSOS]]&amp;"LAP - "&amp;Tabela2[[#This Row],[POLO]]</f>
        <v>ENGMAKER+QUÍMICA E FÍSICAECE-ENM-ENS-ENG-EEA-GPI-CDE-OBR-SAN-TER-FSA-SLF-QUILAP - Imbituba/SC</v>
      </c>
      <c r="C137" s="8" t="str">
        <f>Tabela2[[#This Row],[CATEGORIA]]&amp;Tabela2[[#This Row],[CURSOS]]</f>
        <v>ENGMAKER+QUÍMICA E FÍSICAECE-ENM-ENS-ENG-EEA-GPI-CDE-OBR-SAN-TER-FSA-SLF-QUI</v>
      </c>
      <c r="D137" s="8" t="str">
        <f>IF(Tabela2[[#This Row],[SITUAÇÃO]]&lt;&gt;"Demitido",CONCATENATE(Tabela2[[#This Row],[POLO]],Tabela2[[#This Row],[CURSOS]]),"Substituição")</f>
        <v>Imbituba/SCECE-ENM-ENS-ENG-EEA-GPI-CDE-OBR-SAN-TER-FSA-SLF-QUI</v>
      </c>
      <c r="E137" s="8" t="s">
        <v>125</v>
      </c>
      <c r="F137" s="67" t="s">
        <v>126</v>
      </c>
      <c r="G137" s="67" t="s">
        <v>338</v>
      </c>
      <c r="H137" s="9" t="s">
        <v>475</v>
      </c>
      <c r="I137" s="17" t="str">
        <f>IFERROR(_xlfn.XLOOKUP(Tabela2[[#This Row],[CHAPA]],TUT.CONTROL!F:F,TUT.CONTROL!I:I),_xlfn.XLOOKUP(Tabela2[[#This Row],[CHAPA]],'REG.CONTROL'!F:F,'REG.CONTROL'!I:I))</f>
        <v>Ativo</v>
      </c>
      <c r="J137" s="17">
        <f>IFERROR(_xlfn.XLOOKUP(Tabela2[[#This Row],[NOME DO TUTOR]],TUT.CONTROL!C:C,TUT.CONTROL!G:G),"Demitido")</f>
        <v>45754</v>
      </c>
      <c r="K137" s="19" t="s">
        <v>476</v>
      </c>
      <c r="L137" s="22">
        <f>IFERROR(_xlfn.XLOOKUP(Tabela2[[#This Row],[NOME DO TUTOR]],TUT.CONTROL!C:C,TUT.CONTROL!F:F),"Demitido")</f>
        <v>1158000693</v>
      </c>
      <c r="M137" s="8" t="s">
        <v>477</v>
      </c>
      <c r="N137" s="11" t="str">
        <f>IFERROR(_xlfn.XLOOKUP(Tabela2[[#This Row],[CHAPA]],TUT.CONTROL!F:F,TUT.CONTROL!H:H),_xlfn.XLOOKUP(Tabela2[[#This Row],[CHAPA]],'REG.CONTROL'!F:F,'REG.CONTROL'!H:H))</f>
        <v>TUTOR DE PRATICA (UC_1749)</v>
      </c>
      <c r="O137" s="68" t="str">
        <f>IFERROR(_xlfn.XLOOKUP(Tabela2[[#This Row],[NOME DO TUTOR]],TUT.CONTROL!C:C,TUT.CONTROL!K:K),"Demitido")</f>
        <v>004:00</v>
      </c>
      <c r="P13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37" s="66" t="s">
        <v>30</v>
      </c>
      <c r="R137" s="8" t="s">
        <v>478</v>
      </c>
      <c r="S137" s="8" t="s">
        <v>479</v>
      </c>
    </row>
    <row r="138" spans="1:19" ht="13.5" hidden="1" x14ac:dyDescent="0.3">
      <c r="A13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38" s="8" t="str">
        <f>Tabela2[[#This Row],[CATEGORIA]]&amp;Tabela2[[#This Row],[CURSOS]]&amp;"LAP - "&amp;Tabela2[[#This Row],[POLO]]</f>
        <v>ENF-INS (Multidisciplinar II)EMF-ISNLAP - Maringá/PR - Centro</v>
      </c>
      <c r="C138" s="8" t="str">
        <f>Tabela2[[#This Row],[CATEGORIA]]&amp;Tabela2[[#This Row],[CURSOS]]</f>
        <v>ENF-INS (Multidisciplinar II)EMF-ISN</v>
      </c>
      <c r="D138" s="8" t="str">
        <f>IF(Tabela2[[#This Row],[SITUAÇÃO]]&lt;&gt;"Demitido",CONCATENATE(Tabela2[[#This Row],[POLO]],Tabela2[[#This Row],[CURSOS]]),"Substituição")</f>
        <v>Substituição</v>
      </c>
      <c r="E138" s="8" t="s">
        <v>21</v>
      </c>
      <c r="F138" s="67" t="s">
        <v>22</v>
      </c>
      <c r="G138" s="67" t="s">
        <v>480</v>
      </c>
      <c r="H138" s="9" t="s">
        <v>481</v>
      </c>
      <c r="I138" s="71" t="str">
        <f>IFERROR(_xlfn.XLOOKUP(Tabela2[[#This Row],[CHAPA]],TUT.CONTROL!F:F,TUT.CONTROL!I:I),_xlfn.XLOOKUP(Tabela2[[#This Row],[CHAPA]],'REG.CONTROL'!F:F,'REG.CONTROL'!I:I))</f>
        <v>Demitido</v>
      </c>
      <c r="J138" s="17">
        <f>IFERROR(_xlfn.XLOOKUP(Tabela2[[#This Row],[NOME DO TUTOR]],TUT.CONTROL!C:C,TUT.CONTROL!G:G),"Demitido")</f>
        <v>45735</v>
      </c>
      <c r="K138" s="19">
        <v>45999067952</v>
      </c>
      <c r="L138" s="22">
        <f>IFERROR(_xlfn.XLOOKUP(Tabela2[[#This Row],[NOME DO TUTOR]],TUT.CONTROL!C:C,TUT.CONTROL!F:F),"Demitido")</f>
        <v>1158000571</v>
      </c>
      <c r="M138" s="8" t="s">
        <v>482</v>
      </c>
      <c r="N138" s="11" t="str">
        <f>IFERROR(_xlfn.XLOOKUP(Tabela2[[#This Row],[CHAPA]],TUT.CONTROL!F:F,TUT.CONTROL!H:H),_xlfn.XLOOKUP(Tabela2[[#This Row],[CHAPA]],'REG.CONTROL'!F:F,'REG.CONTROL'!H:H))</f>
        <v>TUTOR DE PRATICA (UC_1749)</v>
      </c>
      <c r="O138" s="68" t="str">
        <f>IFERROR(_xlfn.XLOOKUP(Tabela2[[#This Row],[NOME DO TUTOR]],TUT.CONTROL!C:C,TUT.CONTROL!K:K),"Demitido")</f>
        <v>008:00</v>
      </c>
      <c r="P138" s="17">
        <f>IF(Tabela2[[#This Row],[SITUAÇÃO]]="Demitido",IFERROR(_xlfn.XLOOKUP(Tabela2[[#This Row],[CHAPA]],TUT.CONTROL!F:F,TUT.CONTROL!V:V),_xlfn.XLOOKUP(Tabela2[[#This Row],[CHAPA]],'REG.CONTROL'!F:F,'REG.CONTROL'!V:V)),"-")</f>
        <v>46063</v>
      </c>
      <c r="Q138" s="66" t="s">
        <v>43</v>
      </c>
      <c r="R138" s="8" t="s">
        <v>209</v>
      </c>
      <c r="S138" s="8">
        <v>438982</v>
      </c>
    </row>
    <row r="139" spans="1:19" ht="13.5" hidden="1" x14ac:dyDescent="0.3">
      <c r="A13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Maringá/PR - CentroEMF-ISNENF-INS (Multidisciplinar II)</v>
      </c>
      <c r="B139" s="8" t="str">
        <f>Tabela2[[#This Row],[CATEGORIA]]&amp;Tabela2[[#This Row],[CURSOS]]&amp;"LAP - "&amp;Tabela2[[#This Row],[POLO]]</f>
        <v>ENF-INS (Multidisciplinar II)EMF-ISNLAP - Maringá/PR - Centro</v>
      </c>
      <c r="C139" s="8" t="str">
        <f>Tabela2[[#This Row],[CATEGORIA]]&amp;Tabela2[[#This Row],[CURSOS]]</f>
        <v>ENF-INS (Multidisciplinar II)EMF-ISN</v>
      </c>
      <c r="D139" s="8" t="str">
        <f>IF(Tabela2[[#This Row],[SITUAÇÃO]]&lt;&gt;"Demitido",CONCATENATE(Tabela2[[#This Row],[POLO]],Tabela2[[#This Row],[CURSOS]]),"Substituição")</f>
        <v>Maringá/PR - CentroEMF-ISN</v>
      </c>
      <c r="E139" s="8" t="s">
        <v>21</v>
      </c>
      <c r="F139" s="67" t="s">
        <v>22</v>
      </c>
      <c r="G139" s="67" t="s">
        <v>480</v>
      </c>
      <c r="H139" s="9" t="s">
        <v>483</v>
      </c>
      <c r="I139" s="17" t="str">
        <f>IFERROR(_xlfn.XLOOKUP(Tabela2[[#This Row],[CHAPA]],TUT.CONTROL!F:F,TUT.CONTROL!I:I),_xlfn.XLOOKUP(Tabela2[[#This Row],[CHAPA]],'REG.CONTROL'!F:F,'REG.CONTROL'!I:I))</f>
        <v>Ativo</v>
      </c>
      <c r="J139" s="17">
        <f>IFERROR(_xlfn.XLOOKUP(Tabela2[[#This Row],[NOME DO TUTOR]],TUT.CONTROL!C:C,TUT.CONTROL!G:G),"Atualizar")</f>
        <v>46113</v>
      </c>
      <c r="K139" s="19">
        <v>44999507105</v>
      </c>
      <c r="L139" s="22">
        <f>IFERROR(_xlfn.XLOOKUP(Tabela2[[#This Row],[NOME DO TUTOR]],TUT.CONTROL!C:C,TUT.CONTROL!F:F),"Demitido")</f>
        <v>1158001190</v>
      </c>
      <c r="M139" s="8" t="s">
        <v>484</v>
      </c>
      <c r="N139" s="11" t="str">
        <f>IFERROR(_xlfn.XLOOKUP(Tabela2[[#This Row],[CHAPA]],TUT.CONTROL!F:F,TUT.CONTROL!H:H),_xlfn.XLOOKUP(Tabela2[[#This Row],[CHAPA]],'REG.CONTROL'!F:F,'REG.CONTROL'!H:H))</f>
        <v>TUTOR DE PRATICA (UC_1749)</v>
      </c>
      <c r="O139" s="70" t="str">
        <f>IFERROR(_xlfn.XLOOKUP(Tabela2[[#This Row],[NOME DO TUTOR]],TUT.CONTROL!C:C,TUT.CONTROL!K:K),"Demitido")</f>
        <v>008:00</v>
      </c>
      <c r="P13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39" s="66"/>
      <c r="R139" s="8"/>
    </row>
    <row r="140" spans="1:19" ht="13.5" hidden="1" x14ac:dyDescent="0.3">
      <c r="A14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Maués/AMEMF-ISNENF-INS (Multidisciplinar II)</v>
      </c>
      <c r="B140" s="8" t="str">
        <f>Tabela2[[#This Row],[CATEGORIA]]&amp;Tabela2[[#This Row],[CURSOS]]&amp;"LAP - "&amp;Tabela2[[#This Row],[POLO]]</f>
        <v>ENF-INS (Multidisciplinar II)EMF-ISNLAP - Maués/AM</v>
      </c>
      <c r="C140" s="8" t="str">
        <f>Tabela2[[#This Row],[CATEGORIA]]&amp;Tabela2[[#This Row],[CURSOS]]</f>
        <v>ENF-INS (Multidisciplinar II)EMF-ISN</v>
      </c>
      <c r="D140" s="8" t="str">
        <f>IF(Tabela2[[#This Row],[SITUAÇÃO]]&lt;&gt;"Demitido",CONCATENATE(Tabela2[[#This Row],[POLO]],Tabela2[[#This Row],[CURSOS]]),"Substituição")</f>
        <v>Maués/AMEMF-ISN</v>
      </c>
      <c r="E140" s="8" t="s">
        <v>21</v>
      </c>
      <c r="F140" s="67" t="s">
        <v>22</v>
      </c>
      <c r="G140" s="67" t="s">
        <v>485</v>
      </c>
      <c r="H140" s="9" t="s">
        <v>486</v>
      </c>
      <c r="I140" s="17" t="str">
        <f>IFERROR(_xlfn.XLOOKUP(Tabela2[[#This Row],[CHAPA]],TUT.CONTROL!F:F,TUT.CONTROL!I:I),_xlfn.XLOOKUP(Tabela2[[#This Row],[CHAPA]],'REG.CONTROL'!F:F,'REG.CONTROL'!I:I))</f>
        <v>Ativo</v>
      </c>
      <c r="J140" s="17">
        <f>IFERROR(_xlfn.XLOOKUP(Tabela2[[#This Row],[NOME DO TUTOR]],'REG.CONTROL'!C:C,'REG.CONTROL'!G:G),"Demitido")</f>
        <v>44984</v>
      </c>
      <c r="K140" s="19">
        <v>92991544511</v>
      </c>
      <c r="L140" s="22">
        <f>IFERROR(_xlfn.XLOOKUP(Tabela2[[#This Row],[NOME DO TUTOR]],'REG.CONTROL'!C:C,'REG.CONTROL'!F:F),"Demitido")</f>
        <v>1004011437</v>
      </c>
      <c r="M140" s="8" t="s">
        <v>487</v>
      </c>
      <c r="N140" s="11" t="str">
        <f>IFERROR(_xlfn.XLOOKUP(Tabela2[[#This Row],[CHAPA]],TUT.CONTROL!F:F,TUT.CONTROL!H:H),_xlfn.XLOOKUP(Tabela2[[#This Row],[CHAPA]],'REG.CONTROL'!F:F,'REG.CONTROL'!H:H))</f>
        <v>PROFESSOR REGENTE DE POLO (UC_1744)</v>
      </c>
      <c r="O140" s="68" t="str">
        <f>IFERROR(_xlfn.XLOOKUP(Tabela2[[#This Row],[NOME DO TUTOR]],'REGENTE CH'!A:A,'REGENTE CH'!C:C),"Atualizar")</f>
        <v>004:00</v>
      </c>
      <c r="P14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40" s="66" t="s">
        <v>30</v>
      </c>
      <c r="R140" s="8" t="s">
        <v>365</v>
      </c>
      <c r="S140" s="69">
        <v>167491</v>
      </c>
    </row>
    <row r="141" spans="1:19" ht="13.5" hidden="1" x14ac:dyDescent="0.4">
      <c r="A14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Montes Claros/MG - CentroEMF-ISNENF-INS (Multidisciplinar II)</v>
      </c>
      <c r="B141" s="8" t="str">
        <f>Tabela2[[#This Row],[CATEGORIA]]&amp;Tabela2[[#This Row],[CURSOS]]&amp;"LAP - "&amp;Tabela2[[#This Row],[POLO]]</f>
        <v>ENF-INS (Multidisciplinar II)EMF-ISNLAP - Montes Claros/MG - Centro</v>
      </c>
      <c r="C141" s="8" t="str">
        <f>Tabela2[[#This Row],[CATEGORIA]]&amp;Tabela2[[#This Row],[CURSOS]]</f>
        <v>ENF-INS (Multidisciplinar II)EMF-ISN</v>
      </c>
      <c r="D141" s="8" t="str">
        <f>IF(Tabela2[[#This Row],[SITUAÇÃO]]&lt;&gt;"Demitido",CONCATENATE(Tabela2[[#This Row],[POLO]],Tabela2[[#This Row],[CURSOS]]),"Substituição")</f>
        <v>Montes Claros/MG - CentroEMF-ISN</v>
      </c>
      <c r="E141" s="8" t="s">
        <v>21</v>
      </c>
      <c r="F141" s="67" t="s">
        <v>22</v>
      </c>
      <c r="G141" s="67" t="s">
        <v>488</v>
      </c>
      <c r="H141" s="9" t="s">
        <v>489</v>
      </c>
      <c r="I141" s="17" t="str">
        <f>IFERROR(_xlfn.XLOOKUP(Tabela2[[#This Row],[CHAPA]],TUT.CONTROL!F:F,TUT.CONTROL!I:I),_xlfn.XLOOKUP(Tabela2[[#This Row],[CHAPA]],'REG.CONTROL'!F:F,'REG.CONTROL'!I:I))</f>
        <v>Ativo</v>
      </c>
      <c r="J141" s="17">
        <f>IFERROR(_xlfn.XLOOKUP(Tabela2[[#This Row],[NOME DO TUTOR]],TUT.CONTROL!C:C,TUT.CONTROL!G:G),"Demitido")</f>
        <v>45782</v>
      </c>
      <c r="K141" s="19">
        <v>38999417829</v>
      </c>
      <c r="L141" s="22">
        <f>IFERROR(_xlfn.XLOOKUP(Tabela2[[#This Row],[NOME DO TUTOR]],TUT.CONTROL!C:C,TUT.CONTROL!F:F),"Demitido")</f>
        <v>1158000609</v>
      </c>
      <c r="M141" s="8" t="s">
        <v>490</v>
      </c>
      <c r="N141" s="11" t="str">
        <f>IFERROR(_xlfn.XLOOKUP(Tabela2[[#This Row],[CHAPA]],TUT.CONTROL!F:F,TUT.CONTROL!H:H),_xlfn.XLOOKUP(Tabela2[[#This Row],[CHAPA]],'REG.CONTROL'!F:F,'REG.CONTROL'!H:H))</f>
        <v>TUTOR DE PRATICA (UC_1749)</v>
      </c>
      <c r="O141" s="68" t="str">
        <f>IFERROR(_xlfn.XLOOKUP(Tabela2[[#This Row],[NOME DO TUTOR]],TUT.CONTROL!C:C,TUT.CONTROL!K:K),"Demitido")</f>
        <v>004:00</v>
      </c>
      <c r="P14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41" s="66" t="s">
        <v>30</v>
      </c>
      <c r="R141" s="76" t="s">
        <v>100</v>
      </c>
      <c r="S141" s="8">
        <v>405177</v>
      </c>
    </row>
    <row r="142" spans="1:19" ht="13.5" hidden="1" x14ac:dyDescent="0.3">
      <c r="A14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Natal/RN - Zona NorteEMF-ISNENF-INS (Multidisciplinar II)</v>
      </c>
      <c r="B142" s="8" t="str">
        <f>Tabela2[[#This Row],[CATEGORIA]]&amp;Tabela2[[#This Row],[CURSOS]]&amp;"LAP - "&amp;Tabela2[[#This Row],[POLO]]</f>
        <v>ENF-INS (Multidisciplinar II)EMF-ISNLAP - Natal/RN - Zona Norte</v>
      </c>
      <c r="C142" s="8" t="str">
        <f>Tabela2[[#This Row],[CATEGORIA]]&amp;Tabela2[[#This Row],[CURSOS]]</f>
        <v>ENF-INS (Multidisciplinar II)EMF-ISN</v>
      </c>
      <c r="D142" s="8" t="str">
        <f>IF(Tabela2[[#This Row],[SITUAÇÃO]]&lt;&gt;"Demitido",CONCATENATE(Tabela2[[#This Row],[POLO]],Tabela2[[#This Row],[CURSOS]]),"Substituição")</f>
        <v>Natal/RN - Zona NorteEMF-ISN</v>
      </c>
      <c r="E142" s="8" t="s">
        <v>21</v>
      </c>
      <c r="F142" s="67" t="s">
        <v>22</v>
      </c>
      <c r="G142" s="67" t="s">
        <v>491</v>
      </c>
      <c r="H142" s="9" t="s">
        <v>492</v>
      </c>
      <c r="I142" s="17" t="str">
        <f>IFERROR(_xlfn.XLOOKUP(Tabela2[[#This Row],[CHAPA]],TUT.CONTROL!F:F,TUT.CONTROL!I:I),_xlfn.XLOOKUP(Tabela2[[#This Row],[CHAPA]],'REG.CONTROL'!F:F,'REG.CONTROL'!I:I))</f>
        <v>Ativo</v>
      </c>
      <c r="J142" s="17">
        <f>IFERROR(_xlfn.XLOOKUP(Tabela2[[#This Row],[NOME DO TUTOR]],TUT.CONTROL!C:C,TUT.CONTROL!G:G),"Demitido")</f>
        <v>45810</v>
      </c>
      <c r="K142" s="19" t="s">
        <v>493</v>
      </c>
      <c r="L142" s="22">
        <f>IFERROR(_xlfn.XLOOKUP(Tabela2[[#This Row],[NOME DO TUTOR]],TUT.CONTROL!C:C,TUT.CONTROL!F:F),"Demitido")</f>
        <v>1158000729</v>
      </c>
      <c r="M142" s="8" t="s">
        <v>494</v>
      </c>
      <c r="N142" s="11" t="str">
        <f>IFERROR(_xlfn.XLOOKUP(Tabela2[[#This Row],[CHAPA]],TUT.CONTROL!F:F,TUT.CONTROL!H:H),_xlfn.XLOOKUP(Tabela2[[#This Row],[CHAPA]],'REG.CONTROL'!F:F,'REG.CONTROL'!H:H))</f>
        <v>TUTOR DE PRATICA (UC_1749)</v>
      </c>
      <c r="O142" s="68" t="str">
        <f>IFERROR(_xlfn.XLOOKUP(Tabela2[[#This Row],[NOME DO TUTOR]],TUT.CONTROL!C:C,TUT.CONTROL!K:K),"Demitido")</f>
        <v>004:00</v>
      </c>
      <c r="P14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42" s="66" t="s">
        <v>30</v>
      </c>
      <c r="R142" s="8" t="s">
        <v>71</v>
      </c>
      <c r="S142" s="8">
        <v>780104</v>
      </c>
    </row>
    <row r="143" spans="1:19" ht="13.5" hidden="1" x14ac:dyDescent="0.3">
      <c r="A14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Niterói/RJ - IngáEMF-ISNENF-INS (Multidisciplinar II)</v>
      </c>
      <c r="B143" s="8" t="str">
        <f>Tabela2[[#This Row],[CATEGORIA]]&amp;Tabela2[[#This Row],[CURSOS]]&amp;"LAP - "&amp;Tabela2[[#This Row],[POLO]]</f>
        <v>ENF-INS (Multidisciplinar II)EMF-ISNLAP - Niterói/RJ - Ingá</v>
      </c>
      <c r="C143" s="8" t="str">
        <f>Tabela2[[#This Row],[CATEGORIA]]&amp;Tabela2[[#This Row],[CURSOS]]</f>
        <v>ENF-INS (Multidisciplinar II)EMF-ISN</v>
      </c>
      <c r="D143" s="8" t="str">
        <f>IF(Tabela2[[#This Row],[SITUAÇÃO]]&lt;&gt;"Demitido",CONCATENATE(Tabela2[[#This Row],[POLO]],Tabela2[[#This Row],[CURSOS]]),"Substituição")</f>
        <v>Niterói/RJ - IngáEMF-ISN</v>
      </c>
      <c r="E143" s="8" t="s">
        <v>21</v>
      </c>
      <c r="F143" s="67" t="s">
        <v>22</v>
      </c>
      <c r="G143" s="67" t="s">
        <v>495</v>
      </c>
      <c r="H143" s="9" t="s">
        <v>496</v>
      </c>
      <c r="I143" s="17" t="str">
        <f>IFERROR(_xlfn.XLOOKUP(Tabela2[[#This Row],[CHAPA]],TUT.CONTROL!F:F,TUT.CONTROL!I:I),_xlfn.XLOOKUP(Tabela2[[#This Row],[CHAPA]],'REG.CONTROL'!F:F,'REG.CONTROL'!I:I))</f>
        <v>Ativo</v>
      </c>
      <c r="J143" s="17">
        <f>IFERROR(_xlfn.XLOOKUP(Tabela2[[#This Row],[NOME DO TUTOR]],TUT.CONTROL!C:C,TUT.CONTROL!G:G),"Demitido")</f>
        <v>45810</v>
      </c>
      <c r="K143" s="19" t="s">
        <v>497</v>
      </c>
      <c r="L143" s="22">
        <f>IFERROR(_xlfn.XLOOKUP(Tabela2[[#This Row],[NOME DO TUTOR]],TUT.CONTROL!C:C,TUT.CONTROL!F:F),"Demitido")</f>
        <v>1158000733</v>
      </c>
      <c r="M143" s="8" t="s">
        <v>498</v>
      </c>
      <c r="N143" s="11" t="str">
        <f>IFERROR(_xlfn.XLOOKUP(Tabela2[[#This Row],[CHAPA]],TUT.CONTROL!F:F,TUT.CONTROL!H:H),_xlfn.XLOOKUP(Tabela2[[#This Row],[CHAPA]],'REG.CONTROL'!F:F,'REG.CONTROL'!H:H))</f>
        <v>TUTOR DE PRATICA (UC_1749)</v>
      </c>
      <c r="O143" s="68" t="str">
        <f>IFERROR(_xlfn.XLOOKUP(Tabela2[[#This Row],[NOME DO TUTOR]],TUT.CONTROL!C:C,TUT.CONTROL!K:K),"Demitido")</f>
        <v>004:00</v>
      </c>
      <c r="P14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43" s="66" t="s">
        <v>30</v>
      </c>
      <c r="R143" s="8" t="s">
        <v>157</v>
      </c>
      <c r="S143" s="8">
        <v>561.29200000000003</v>
      </c>
    </row>
    <row r="144" spans="1:19" ht="13.5" hidden="1" x14ac:dyDescent="0.3">
      <c r="A14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Nossa Senhora da Glória/SEEMF-ISNENF-INS (Multidisciplinar II)</v>
      </c>
      <c r="B144" s="8" t="str">
        <f>Tabela2[[#This Row],[CATEGORIA]]&amp;Tabela2[[#This Row],[CURSOS]]&amp;"LAP - "&amp;Tabela2[[#This Row],[POLO]]</f>
        <v>ENF-INS (Multidisciplinar II)EMF-ISNLAP - Nossa Senhora da Glória/SE</v>
      </c>
      <c r="C144" s="8" t="str">
        <f>Tabela2[[#This Row],[CATEGORIA]]&amp;Tabela2[[#This Row],[CURSOS]]</f>
        <v>ENF-INS (Multidisciplinar II)EMF-ISN</v>
      </c>
      <c r="D144" s="8" t="str">
        <f>IF(Tabela2[[#This Row],[SITUAÇÃO]]&lt;&gt;"Demitido",CONCATENATE(Tabela2[[#This Row],[POLO]],Tabela2[[#This Row],[CURSOS]]),"Substituição")</f>
        <v>Nossa Senhora da Glória/SEEMF-ISN</v>
      </c>
      <c r="E144" s="8" t="s">
        <v>21</v>
      </c>
      <c r="F144" s="67" t="s">
        <v>22</v>
      </c>
      <c r="G144" s="67" t="s">
        <v>499</v>
      </c>
      <c r="H144" s="9" t="s">
        <v>500</v>
      </c>
      <c r="I144" s="17" t="str">
        <f>IFERROR(_xlfn.XLOOKUP(Tabela2[[#This Row],[CHAPA]],TUT.CONTROL!F:F,TUT.CONTROL!I:I),_xlfn.XLOOKUP(Tabela2[[#This Row],[CHAPA]],'REG.CONTROL'!F:F,'REG.CONTROL'!I:I))</f>
        <v>Ativo</v>
      </c>
      <c r="J144" s="17">
        <f>IFERROR(_xlfn.XLOOKUP(Tabela2[[#This Row],[NOME DO TUTOR]],TUT.CONTROL!C:C,TUT.CONTROL!G:G),"Demitido")</f>
        <v>45810</v>
      </c>
      <c r="K144" s="19" t="s">
        <v>501</v>
      </c>
      <c r="L144" s="22">
        <f>IFERROR(_xlfn.XLOOKUP(Tabela2[[#This Row],[NOME DO TUTOR]],TUT.CONTROL!C:C,TUT.CONTROL!F:F),"Demitido")</f>
        <v>1158000718</v>
      </c>
      <c r="M144" s="8" t="s">
        <v>502</v>
      </c>
      <c r="N144" s="11" t="str">
        <f>IFERROR(_xlfn.XLOOKUP(Tabela2[[#This Row],[CHAPA]],TUT.CONTROL!F:F,TUT.CONTROL!H:H),_xlfn.XLOOKUP(Tabela2[[#This Row],[CHAPA]],'REG.CONTROL'!F:F,'REG.CONTROL'!H:H))</f>
        <v>TUTOR DE PRATICA (UC_1749)</v>
      </c>
      <c r="O144" s="68" t="str">
        <f>IFERROR(_xlfn.XLOOKUP(Tabela2[[#This Row],[NOME DO TUTOR]],TUT.CONTROL!C:C,TUT.CONTROL!K:K),"Demitido")</f>
        <v>004:00</v>
      </c>
      <c r="P14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44" s="66" t="s">
        <v>30</v>
      </c>
      <c r="R144" s="8" t="s">
        <v>57</v>
      </c>
      <c r="S144" s="8">
        <v>535652</v>
      </c>
    </row>
    <row r="145" spans="1:19" ht="13.5" hidden="1" x14ac:dyDescent="0.3">
      <c r="A14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Lages/SC - Garden ShoppingECE-ENM-ENS-ENG-EEA-GPI-CDE-OBR-SAN-TER-FSA-SLF-QUIENGMAKER+QUÍMICA E FÍSICA</v>
      </c>
      <c r="B145" s="8" t="str">
        <f>Tabela2[[#This Row],[CATEGORIA]]&amp;Tabela2[[#This Row],[CURSOS]]&amp;"LAP - "&amp;Tabela2[[#This Row],[POLO]]</f>
        <v>ENGMAKER+QUÍMICA E FÍSICAECE-ENM-ENS-ENG-EEA-GPI-CDE-OBR-SAN-TER-FSA-SLF-QUILAP - Lages/SC - Garden Shopping</v>
      </c>
      <c r="C145" s="8" t="str">
        <f>Tabela2[[#This Row],[CATEGORIA]]&amp;Tabela2[[#This Row],[CURSOS]]</f>
        <v>ENGMAKER+QUÍMICA E FÍSICAECE-ENM-ENS-ENG-EEA-GPI-CDE-OBR-SAN-TER-FSA-SLF-QUI</v>
      </c>
      <c r="D145" s="8" t="str">
        <f>IF(Tabela2[[#This Row],[SITUAÇÃO]]&lt;&gt;"Demitido",CONCATENATE(Tabela2[[#This Row],[POLO]],Tabela2[[#This Row],[CURSOS]]),"Substituição")</f>
        <v>Lages/SC - Garden ShoppingECE-ENM-ENS-ENG-EEA-GPI-CDE-OBR-SAN-TER-FSA-SLF-QUI</v>
      </c>
      <c r="E145" s="8" t="s">
        <v>125</v>
      </c>
      <c r="F145" s="67" t="s">
        <v>126</v>
      </c>
      <c r="G145" s="67" t="s">
        <v>503</v>
      </c>
      <c r="H145" s="9" t="s">
        <v>504</v>
      </c>
      <c r="I145" s="17" t="str">
        <f>IFERROR(_xlfn.XLOOKUP(Tabela2[[#This Row],[CHAPA]],TUT.CONTROL!F:F,TUT.CONTROL!I:I),_xlfn.XLOOKUP(Tabela2[[#This Row],[CHAPA]],'REG.CONTROL'!F:F,'REG.CONTROL'!I:I))</f>
        <v>Ativo</v>
      </c>
      <c r="J145" s="17">
        <f>IFERROR(_xlfn.XLOOKUP(Tabela2[[#This Row],[NOME DO TUTOR]],TUT.CONTROL!C:C,TUT.CONTROL!G:G),"Demitido")</f>
        <v>45754</v>
      </c>
      <c r="K145" s="19" t="s">
        <v>505</v>
      </c>
      <c r="L145" s="22">
        <f>IFERROR(_xlfn.XLOOKUP(Tabela2[[#This Row],[NOME DO TUTOR]],TUT.CONTROL!C:C,TUT.CONTROL!F:F),"Demitido")</f>
        <v>1158000689</v>
      </c>
      <c r="M145" s="8" t="s">
        <v>506</v>
      </c>
      <c r="N145" s="11" t="str">
        <f>IFERROR(_xlfn.XLOOKUP(Tabela2[[#This Row],[CHAPA]],TUT.CONTROL!F:F,TUT.CONTROL!H:H),_xlfn.XLOOKUP(Tabela2[[#This Row],[CHAPA]],'REG.CONTROL'!F:F,'REG.CONTROL'!H:H))</f>
        <v>TUTOR DE PRATICA (UC_1749)</v>
      </c>
      <c r="O145" s="68" t="str">
        <f>IFERROR(_xlfn.XLOOKUP(Tabela2[[#This Row],[NOME DO TUTOR]],TUT.CONTROL!C:C,TUT.CONTROL!K:K),"Demitido")</f>
        <v>004:00</v>
      </c>
      <c r="P14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45" s="66" t="s">
        <v>30</v>
      </c>
      <c r="R145" s="8"/>
      <c r="S145" s="8"/>
    </row>
    <row r="146" spans="1:19" ht="13.5" hidden="1" x14ac:dyDescent="0.3">
      <c r="A14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Nova Iguaçu/RJEMF-ISNENF-INS (Multidisciplinar II)</v>
      </c>
      <c r="B146" s="8" t="str">
        <f>Tabela2[[#This Row],[CATEGORIA]]&amp;Tabela2[[#This Row],[CURSOS]]&amp;"LAP - "&amp;Tabela2[[#This Row],[POLO]]</f>
        <v>ENF-INS (Multidisciplinar II)EMF-ISNLAP - Nova Iguaçu/RJ</v>
      </c>
      <c r="C146" s="8" t="str">
        <f>Tabela2[[#This Row],[CATEGORIA]]&amp;Tabela2[[#This Row],[CURSOS]]</f>
        <v>ENF-INS (Multidisciplinar II)EMF-ISN</v>
      </c>
      <c r="D146" s="8" t="str">
        <f>IF(Tabela2[[#This Row],[SITUAÇÃO]]&lt;&gt;"Demitido",CONCATENATE(Tabela2[[#This Row],[POLO]],Tabela2[[#This Row],[CURSOS]]),"Substituição")</f>
        <v>Nova Iguaçu/RJEMF-ISN</v>
      </c>
      <c r="E146" s="8" t="s">
        <v>21</v>
      </c>
      <c r="F146" s="67" t="s">
        <v>22</v>
      </c>
      <c r="G146" s="67" t="s">
        <v>507</v>
      </c>
      <c r="H146" s="9" t="s">
        <v>508</v>
      </c>
      <c r="I146" s="17" t="str">
        <f>IFERROR(_xlfn.XLOOKUP(Tabela2[[#This Row],[CHAPA]],TUT.CONTROL!F:F,TUT.CONTROL!I:I),_xlfn.XLOOKUP(Tabela2[[#This Row],[CHAPA]],'REG.CONTROL'!F:F,'REG.CONTROL'!I:I))</f>
        <v>Ativo</v>
      </c>
      <c r="J146" s="17">
        <f>IFERROR(_xlfn.XLOOKUP(Tabela2[[#This Row],[NOME DO TUTOR]],TUT.CONTROL!C:C,TUT.CONTROL!G:G),"Demitido")</f>
        <v>45754</v>
      </c>
      <c r="K146" s="19">
        <v>21993750046</v>
      </c>
      <c r="L146" s="22">
        <f>IFERROR(_xlfn.XLOOKUP(Tabela2[[#This Row],[NOME DO TUTOR]],TUT.CONTROL!C:C,TUT.CONTROL!F:F),"Demitido")</f>
        <v>1158000675</v>
      </c>
      <c r="M146" s="8" t="s">
        <v>509</v>
      </c>
      <c r="N146" s="11" t="str">
        <f>IFERROR(_xlfn.XLOOKUP(Tabela2[[#This Row],[CHAPA]],TUT.CONTROL!F:F,TUT.CONTROL!H:H),_xlfn.XLOOKUP(Tabela2[[#This Row],[CHAPA]],'REG.CONTROL'!F:F,'REG.CONTROL'!H:H))</f>
        <v>TUTOR DE PRATICA (UC_1749)</v>
      </c>
      <c r="O146" s="68" t="str">
        <f>IFERROR(_xlfn.XLOOKUP(Tabela2[[#This Row],[NOME DO TUTOR]],TUT.CONTROL!C:C,TUT.CONTROL!K:K),"Demitido")</f>
        <v>004:00</v>
      </c>
      <c r="P14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46" s="66" t="s">
        <v>30</v>
      </c>
      <c r="R146" s="8" t="s">
        <v>157</v>
      </c>
      <c r="S146" s="8">
        <v>724495</v>
      </c>
    </row>
    <row r="147" spans="1:19" ht="13.5" hidden="1" customHeight="1" x14ac:dyDescent="0.3">
      <c r="A14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Nova Mutum/MTEMF-ISNENF-INS (Multidisciplinar II)</v>
      </c>
      <c r="B147" s="8" t="str">
        <f>Tabela2[[#This Row],[CATEGORIA]]&amp;Tabela2[[#This Row],[CURSOS]]&amp;"LAP - "&amp;Tabela2[[#This Row],[POLO]]</f>
        <v>ENF-INS (Multidisciplinar II)EMF-ISNLAP - Nova Mutum/MT</v>
      </c>
      <c r="C147" s="8" t="str">
        <f>Tabela2[[#This Row],[CATEGORIA]]&amp;Tabela2[[#This Row],[CURSOS]]</f>
        <v>ENF-INS (Multidisciplinar II)EMF-ISN</v>
      </c>
      <c r="D147" s="8" t="str">
        <f>IF(Tabela2[[#This Row],[SITUAÇÃO]]&lt;&gt;"Demitido",CONCATENATE(Tabela2[[#This Row],[POLO]],Tabela2[[#This Row],[CURSOS]]),"Substituição")</f>
        <v>Nova Mutum/MTEMF-ISN</v>
      </c>
      <c r="E147" s="8" t="s">
        <v>21</v>
      </c>
      <c r="F147" s="67" t="s">
        <v>22</v>
      </c>
      <c r="G147" s="67" t="s">
        <v>510</v>
      </c>
      <c r="H147" s="9" t="s">
        <v>511</v>
      </c>
      <c r="I147" s="17" t="str">
        <f>IFERROR(_xlfn.XLOOKUP(Tabela2[[#This Row],[CHAPA]],TUT.CONTROL!F:F,TUT.CONTROL!I:I),_xlfn.XLOOKUP(Tabela2[[#This Row],[CHAPA]],'REG.CONTROL'!F:F,'REG.CONTROL'!I:I))</f>
        <v>Ativo</v>
      </c>
      <c r="J147" s="17">
        <f>IFERROR(_xlfn.XLOOKUP(Tabela2[[#This Row],[NOME DO TUTOR]],'REG.CONTROL'!C:C,'REG.CONTROL'!G:G),"Demitido")</f>
        <v>44489</v>
      </c>
      <c r="K147" s="19">
        <v>65996398528</v>
      </c>
      <c r="L147" s="22">
        <f>IFERROR(_xlfn.XLOOKUP(Tabela2[[#This Row],[NOME DO TUTOR]],'REG.CONTROL'!C:C,'REG.CONTROL'!F:F),"Demitido")</f>
        <v>1004008901</v>
      </c>
      <c r="M147" s="8" t="s">
        <v>512</v>
      </c>
      <c r="N147" s="11" t="str">
        <f>IFERROR(_xlfn.XLOOKUP(Tabela2[[#This Row],[CHAPA]],TUT.CONTROL!F:F,TUT.CONTROL!H:H),_xlfn.XLOOKUP(Tabela2[[#This Row],[CHAPA]],'REG.CONTROL'!F:F,'REG.CONTROL'!H:H))</f>
        <v>PROFESSOR REGENTE DE POLO (UC_1744)</v>
      </c>
      <c r="O147" s="68" t="str">
        <f>IFERROR(_xlfn.XLOOKUP(Tabela2[[#This Row],[NOME DO TUTOR]],'REGENTE CH'!A:A,'REGENTE CH'!C:C),"Atualizar")</f>
        <v>004:00</v>
      </c>
      <c r="P14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47" s="66" t="s">
        <v>30</v>
      </c>
      <c r="R147" s="8" t="s">
        <v>44</v>
      </c>
      <c r="S147" s="8">
        <v>536049</v>
      </c>
    </row>
    <row r="148" spans="1:19" ht="13.5" hidden="1" x14ac:dyDescent="0.3">
      <c r="A14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48" s="8" t="str">
        <f>Tabela2[[#This Row],[CATEGORIA]]&amp;Tabela2[[#This Row],[CURSOS]]&amp;"LAP - "&amp;Tabela2[[#This Row],[POLO]]</f>
        <v>ENF-INS (Multidisciplinar II)EMF-ISNLAP - Nova Olinda do Norte/AM</v>
      </c>
      <c r="C148" s="8" t="str">
        <f>Tabela2[[#This Row],[CATEGORIA]]&amp;Tabela2[[#This Row],[CURSOS]]</f>
        <v>ENF-INS (Multidisciplinar II)EMF-ISN</v>
      </c>
      <c r="D148" s="8" t="str">
        <f>IF(Tabela2[[#This Row],[SITUAÇÃO]]&lt;&gt;"Demitido",CONCATENATE(Tabela2[[#This Row],[POLO]],Tabela2[[#This Row],[CURSOS]]),"Substituição")</f>
        <v>Substituição</v>
      </c>
      <c r="E148" s="8" t="s">
        <v>21</v>
      </c>
      <c r="F148" s="67" t="s">
        <v>22</v>
      </c>
      <c r="G148" s="67" t="s">
        <v>513</v>
      </c>
      <c r="H148" s="9" t="s">
        <v>514</v>
      </c>
      <c r="I148" s="17" t="str">
        <f>IFERROR(_xlfn.XLOOKUP(Tabela2[[#This Row],[CHAPA]],TUT.CONTROL!F:F,TUT.CONTROL!I:I),_xlfn.XLOOKUP(Tabela2[[#This Row],[CHAPA]],'REG.CONTROL'!F:F,'REG.CONTROL'!I:I))</f>
        <v>Demitido</v>
      </c>
      <c r="J148" s="17">
        <f>IFERROR(_xlfn.XLOOKUP(Tabela2[[#This Row],[NOME DO TUTOR]],TUT.CONTROL!C:C,TUT.CONTROL!G:G),"Demitido")</f>
        <v>45789</v>
      </c>
      <c r="K148" s="19">
        <v>92984454503</v>
      </c>
      <c r="L148" s="22">
        <f>IFERROR(_xlfn.XLOOKUP(Tabela2[[#This Row],[NOME DO TUTOR]],TUT.CONTROL!C:C,TUT.CONTROL!F:F),"Demitido")</f>
        <v>1158000633</v>
      </c>
      <c r="M148" s="8" t="s">
        <v>515</v>
      </c>
      <c r="N148" s="11" t="str">
        <f>IFERROR(_xlfn.XLOOKUP(Tabela2[[#This Row],[CHAPA]],TUT.CONTROL!F:F,TUT.CONTROL!H:H),_xlfn.XLOOKUP(Tabela2[[#This Row],[CHAPA]],'REG.CONTROL'!F:F,'REG.CONTROL'!H:H))</f>
        <v>TUTOR DE PRATICA (UC_1749)</v>
      </c>
      <c r="O148" s="68" t="str">
        <f>IFERROR(_xlfn.XLOOKUP(Tabela2[[#This Row],[NOME DO TUTOR]],TUT.CONTROL!C:C,TUT.CONTROL!K:K),"Demitido")</f>
        <v>004:00</v>
      </c>
      <c r="P148" s="17">
        <f>IF(Tabela2[[#This Row],[SITUAÇÃO]]="Demitido",IFERROR(_xlfn.XLOOKUP(Tabela2[[#This Row],[CHAPA]],TUT.CONTROL!F:F,TUT.CONTROL!V:V),_xlfn.XLOOKUP(Tabela2[[#This Row],[CHAPA]],'REG.CONTROL'!F:F,'REG.CONTROL'!V:V)),"-")</f>
        <v>46055</v>
      </c>
      <c r="Q148" s="66" t="s">
        <v>43</v>
      </c>
      <c r="R148" s="8"/>
      <c r="S148" s="8"/>
    </row>
    <row r="149" spans="1:19" ht="13.5" hidden="1" x14ac:dyDescent="0.3">
      <c r="A14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49" s="8" t="str">
        <f>Tabela2[[#This Row],[CATEGORIA]]&amp;Tabela2[[#This Row],[CURSOS]]&amp;"LAP - "&amp;Tabela2[[#This Row],[POLO]]</f>
        <v>ENGMAKER+QUÍMICA E FÍSICAECE-ENM-ENS-ENG-EEA-GPI-CDE-OBR-SAN-TER-FSA-SLF-QUILAP - Manaus/AM - Cidade Nova</v>
      </c>
      <c r="C149" s="8" t="str">
        <f>Tabela2[[#This Row],[CATEGORIA]]&amp;Tabela2[[#This Row],[CURSOS]]</f>
        <v>ENGMAKER+QUÍMICA E FÍSICAECE-ENM-ENS-ENG-EEA-GPI-CDE-OBR-SAN-TER-FSA-SLF-QUI</v>
      </c>
      <c r="D149" s="8" t="str">
        <f>IF(Tabela2[[#This Row],[SITUAÇÃO]]&lt;&gt;"Demitido",CONCATENATE(Tabela2[[#This Row],[POLO]],Tabela2[[#This Row],[CURSOS]]),"Substituição")</f>
        <v>Substituição</v>
      </c>
      <c r="E149" s="8" t="s">
        <v>125</v>
      </c>
      <c r="F149" s="67" t="s">
        <v>126</v>
      </c>
      <c r="G149" s="67" t="s">
        <v>459</v>
      </c>
      <c r="H149" s="9" t="s">
        <v>516</v>
      </c>
      <c r="I149" s="17" t="str">
        <f>IFERROR(_xlfn.XLOOKUP(Tabela2[[#This Row],[CHAPA]],TUT.CONTROL!F:F,TUT.CONTROL!I:I),_xlfn.XLOOKUP(Tabela2[[#This Row],[CHAPA]],'REG.CONTROL'!F:F,'REG.CONTROL'!I:I))</f>
        <v>Demitido</v>
      </c>
      <c r="J149" s="17">
        <f>IFERROR(_xlfn.XLOOKUP(Tabela2[[#This Row],[NOME DO TUTOR]],TUT.CONTROL!C:C,TUT.CONTROL!G:G),"Demitido")</f>
        <v>45754</v>
      </c>
      <c r="K149" s="19" t="s">
        <v>517</v>
      </c>
      <c r="L149" s="22">
        <f>IFERROR(_xlfn.XLOOKUP(Tabela2[[#This Row],[NOME DO TUTOR]],TUT.CONTROL!C:C,TUT.CONTROL!F:F),"Demitido")</f>
        <v>1158000684</v>
      </c>
      <c r="M149" s="8" t="s">
        <v>518</v>
      </c>
      <c r="N149" s="11" t="str">
        <f>IFERROR(_xlfn.XLOOKUP(Tabela2[[#This Row],[CHAPA]],TUT.CONTROL!F:F,TUT.CONTROL!H:H),_xlfn.XLOOKUP(Tabela2[[#This Row],[CHAPA]],'REG.CONTROL'!F:F,'REG.CONTROL'!H:H))</f>
        <v>TUTOR DE PRATICA (UC_1749)</v>
      </c>
      <c r="O149" s="68" t="str">
        <f>IFERROR(_xlfn.XLOOKUP(Tabela2[[#This Row],[NOME DO TUTOR]],TUT.CONTROL!C:C,TUT.CONTROL!K:K),"Demitido")</f>
        <v>004:00</v>
      </c>
      <c r="P149" s="17">
        <f>IF(Tabela2[[#This Row],[SITUAÇÃO]]="Demitido",IFERROR(_xlfn.XLOOKUP(Tabela2[[#This Row],[CHAPA]],TUT.CONTROL!F:F,TUT.CONTROL!V:V),_xlfn.XLOOKUP(Tabela2[[#This Row],[CHAPA]],'REG.CONTROL'!F:F,'REG.CONTROL'!V:V)),"-")</f>
        <v>46041</v>
      </c>
      <c r="Q149" s="66" t="s">
        <v>43</v>
      </c>
      <c r="R149" s="8" t="s">
        <v>519</v>
      </c>
      <c r="S149" s="8">
        <v>444555441</v>
      </c>
    </row>
    <row r="150" spans="1:19" ht="13.5" hidden="1" x14ac:dyDescent="0.3">
      <c r="A15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Novo Hamburgo/RS - CentroEMF-ISNENF-INS (Multidisciplinar II)</v>
      </c>
      <c r="B150" s="8" t="str">
        <f>Tabela2[[#This Row],[CATEGORIA]]&amp;Tabela2[[#This Row],[CURSOS]]&amp;"LAP - "&amp;Tabela2[[#This Row],[POLO]]</f>
        <v>ENF-INS (Multidisciplinar II)EMF-ISNLAP - Novo Hamburgo/RS - Centro</v>
      </c>
      <c r="C150" s="8" t="str">
        <f>Tabela2[[#This Row],[CATEGORIA]]&amp;Tabela2[[#This Row],[CURSOS]]</f>
        <v>ENF-INS (Multidisciplinar II)EMF-ISN</v>
      </c>
      <c r="D150" s="8" t="str">
        <f>IF(Tabela2[[#This Row],[SITUAÇÃO]]&lt;&gt;"Demitido",CONCATENATE(Tabela2[[#This Row],[POLO]],Tabela2[[#This Row],[CURSOS]]),"Substituição")</f>
        <v>Novo Hamburgo/RS - CentroEMF-ISN</v>
      </c>
      <c r="E150" s="8" t="s">
        <v>21</v>
      </c>
      <c r="F150" s="67" t="s">
        <v>22</v>
      </c>
      <c r="G150" s="67" t="s">
        <v>520</v>
      </c>
      <c r="H150" s="9" t="s">
        <v>521</v>
      </c>
      <c r="I150" s="17" t="str">
        <f>IFERROR(_xlfn.XLOOKUP(Tabela2[[#This Row],[CHAPA]],TUT.CONTROL!F:F,TUT.CONTROL!I:I),_xlfn.XLOOKUP(Tabela2[[#This Row],[CHAPA]],'REG.CONTROL'!F:F,'REG.CONTROL'!I:I))</f>
        <v>Ativo</v>
      </c>
      <c r="J150" s="17">
        <f>IFERROR(_xlfn.XLOOKUP(Tabela2[[#This Row],[NOME DO TUTOR]],TUT.CONTROL!C:C,TUT.CONTROL!G:G),"Demitido")</f>
        <v>45735</v>
      </c>
      <c r="K150" s="19">
        <v>51998971400</v>
      </c>
      <c r="L150" s="22">
        <f>IFERROR(_xlfn.XLOOKUP(Tabela2[[#This Row],[NOME DO TUTOR]],TUT.CONTROL!C:C,TUT.CONTROL!F:F),"Demitido")</f>
        <v>1158000573</v>
      </c>
      <c r="M150" s="8" t="s">
        <v>522</v>
      </c>
      <c r="N150" s="11" t="str">
        <f>IFERROR(_xlfn.XLOOKUP(Tabela2[[#This Row],[CHAPA]],TUT.CONTROL!F:F,TUT.CONTROL!H:H),_xlfn.XLOOKUP(Tabela2[[#This Row],[CHAPA]],'REG.CONTROL'!F:F,'REG.CONTROL'!H:H))</f>
        <v>TUTOR DE PRATICA (UC_1749)</v>
      </c>
      <c r="O150" s="68" t="str">
        <f>IFERROR(_xlfn.XLOOKUP(Tabela2[[#This Row],[NOME DO TUTOR]],TUT.CONTROL!C:C,TUT.CONTROL!K:K),"Demitido")</f>
        <v>008:00</v>
      </c>
      <c r="P15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50" s="66" t="s">
        <v>30</v>
      </c>
      <c r="R150" s="8" t="s">
        <v>109</v>
      </c>
      <c r="S150" s="8">
        <v>510670</v>
      </c>
    </row>
    <row r="151" spans="1:19" ht="13.5" hidden="1" customHeight="1" x14ac:dyDescent="0.3">
      <c r="A15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51" s="8" t="str">
        <f>Tabela2[[#This Row],[CATEGORIA]]&amp;Tabela2[[#This Row],[CURSOS]]&amp;"LAP - "&amp;Tabela2[[#This Row],[POLO]]</f>
        <v>ENF-INS (Multidisciplinar II)EMF-ISNLAP - Novo Hamburgo/RS - Centro</v>
      </c>
      <c r="C151" s="8" t="str">
        <f>Tabela2[[#This Row],[CATEGORIA]]&amp;Tabela2[[#This Row],[CURSOS]]</f>
        <v>ENF-INS (Multidisciplinar II)EMF-ISN</v>
      </c>
      <c r="D151" s="8" t="str">
        <f>IF(Tabela2[[#This Row],[SITUAÇÃO]]&lt;&gt;"Demitido",CONCATENATE(Tabela2[[#This Row],[POLO]],Tabela2[[#This Row],[CURSOS]]),"Substituição")</f>
        <v>Substituição</v>
      </c>
      <c r="E151" s="8" t="s">
        <v>21</v>
      </c>
      <c r="F151" s="67" t="s">
        <v>22</v>
      </c>
      <c r="G151" s="67" t="s">
        <v>520</v>
      </c>
      <c r="H151" s="9" t="s">
        <v>523</v>
      </c>
      <c r="I151" s="17" t="str">
        <f>IFERROR(_xlfn.XLOOKUP(Tabela2[[#This Row],[CHAPA]],TUT.CONTROL!F:F,TUT.CONTROL!I:I),_xlfn.XLOOKUP(Tabela2[[#This Row],[CHAPA]],'REG.CONTROL'!F:F,'REG.CONTROL'!I:I))</f>
        <v>Demitido</v>
      </c>
      <c r="J151" s="17">
        <f>IFERROR(_xlfn.XLOOKUP(Tabela2[[#This Row],[NOME DO TUTOR]],TUT.CONTROL!C:C,TUT.CONTROL!G:G),"Demitido")</f>
        <v>45931</v>
      </c>
      <c r="K151" s="19">
        <v>51983145446</v>
      </c>
      <c r="L151" s="22">
        <f>IFERROR(_xlfn.XLOOKUP(Tabela2[[#This Row],[NOME DO TUTOR]],TUT.CONTROL!C:C,TUT.CONTROL!F:F),"Demitido")</f>
        <v>1158001000</v>
      </c>
      <c r="M151" s="8" t="s">
        <v>524</v>
      </c>
      <c r="N151" s="11" t="str">
        <f>IFERROR(_xlfn.XLOOKUP(Tabela2[[#This Row],[CHAPA]],TUT.CONTROL!F:F,TUT.CONTROL!H:H),_xlfn.XLOOKUP(Tabela2[[#This Row],[CHAPA]],'REG.CONTROL'!F:F,'REG.CONTROL'!H:H))</f>
        <v>TUTOR DE PRATICA (UC_1749)</v>
      </c>
      <c r="O151" s="68" t="str">
        <f>IFERROR(_xlfn.XLOOKUP(Tabela2[[#This Row],[NOME DO TUTOR]],TUT.CONTROL!C:C,TUT.CONTROL!K:K),"Demitido")</f>
        <v>004:00</v>
      </c>
      <c r="P151" s="17">
        <f>IF(Tabela2[[#This Row],[SITUAÇÃO]]="Demitido",IFERROR(_xlfn.XLOOKUP(Tabela2[[#This Row],[CHAPA]],TUT.CONTROL!F:F,TUT.CONTROL!V:V),_xlfn.XLOOKUP(Tabela2[[#This Row],[CHAPA]],'REG.CONTROL'!F:F,'REG.CONTROL'!V:V)),"-")</f>
        <v>46059</v>
      </c>
      <c r="Q151" s="66" t="s">
        <v>43</v>
      </c>
      <c r="R151" s="8" t="s">
        <v>109</v>
      </c>
      <c r="S151" s="8">
        <v>716994</v>
      </c>
    </row>
    <row r="152" spans="1:19" ht="13.5" hidden="1" x14ac:dyDescent="0.3">
      <c r="A15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Novo Progresso/PAEMF-ISNENF-INS (Multidisciplinar II)</v>
      </c>
      <c r="B152" s="8" t="str">
        <f>Tabela2[[#This Row],[CATEGORIA]]&amp;Tabela2[[#This Row],[CURSOS]]&amp;"LAP - "&amp;Tabela2[[#This Row],[POLO]]</f>
        <v>ENF-INS (Multidisciplinar II)EMF-ISNLAP - Novo Progresso/PA</v>
      </c>
      <c r="C152" s="8" t="str">
        <f>Tabela2[[#This Row],[CATEGORIA]]&amp;Tabela2[[#This Row],[CURSOS]]</f>
        <v>ENF-INS (Multidisciplinar II)EMF-ISN</v>
      </c>
      <c r="D152" s="8" t="str">
        <f>IF(Tabela2[[#This Row],[SITUAÇÃO]]&lt;&gt;"Demitido",CONCATENATE(Tabela2[[#This Row],[POLO]],Tabela2[[#This Row],[CURSOS]]),"Substituição")</f>
        <v>Novo Progresso/PAEMF-ISN</v>
      </c>
      <c r="E152" s="8" t="s">
        <v>21</v>
      </c>
      <c r="F152" s="67" t="s">
        <v>22</v>
      </c>
      <c r="G152" s="67" t="s">
        <v>525</v>
      </c>
      <c r="H152" s="9" t="s">
        <v>526</v>
      </c>
      <c r="I152" s="17" t="str">
        <f>IFERROR(_xlfn.XLOOKUP(Tabela2[[#This Row],[CHAPA]],TUT.CONTROL!F:F,TUT.CONTROL!I:I),_xlfn.XLOOKUP(Tabela2[[#This Row],[CHAPA]],'REG.CONTROL'!F:F,'REG.CONTROL'!I:I))</f>
        <v>Ativo</v>
      </c>
      <c r="J152" s="17">
        <f>IFERROR(_xlfn.XLOOKUP(Tabela2[[#This Row],[NOME DO TUTOR]],TUT.CONTROL!C:C,TUT.CONTROL!G:G),"Demitido")</f>
        <v>45756</v>
      </c>
      <c r="K152" s="19">
        <v>93984091226</v>
      </c>
      <c r="L152" s="22">
        <f>IFERROR(_xlfn.XLOOKUP(Tabela2[[#This Row],[NOME DO TUTOR]],TUT.CONTROL!C:C,TUT.CONTROL!F:F),"Demitido")</f>
        <v>1158000700</v>
      </c>
      <c r="M152" s="8" t="s">
        <v>527</v>
      </c>
      <c r="N152" s="11" t="str">
        <f>IFERROR(_xlfn.XLOOKUP(Tabela2[[#This Row],[CHAPA]],TUT.CONTROL!F:F,TUT.CONTROL!H:H),_xlfn.XLOOKUP(Tabela2[[#This Row],[CHAPA]],'REG.CONTROL'!F:F,'REG.CONTROL'!H:H))</f>
        <v>TUTOR DE PRATICA (UC_1749)</v>
      </c>
      <c r="O152" s="68" t="str">
        <f>IFERROR(_xlfn.XLOOKUP(Tabela2[[#This Row],[NOME DO TUTOR]],TUT.CONTROL!C:C,TUT.CONTROL!K:K),"Demitido")</f>
        <v>004:00</v>
      </c>
      <c r="P15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52" s="66" t="s">
        <v>30</v>
      </c>
      <c r="R152" s="8" t="s">
        <v>26</v>
      </c>
      <c r="S152" s="8">
        <v>385924</v>
      </c>
    </row>
    <row r="153" spans="1:19" ht="13.5" hidden="1" x14ac:dyDescent="0.3">
      <c r="A15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53" s="8" t="str">
        <f>Tabela2[[#This Row],[CATEGORIA]]&amp;Tabela2[[#This Row],[CURSOS]]&amp;"LAP - "&amp;Tabela2[[#This Row],[POLO]]</f>
        <v>ENGMAKER+QUÍMICA E FÍSICAECE-ENM-ENS-ENG-EEA-GPI-CDE-OBR-SAN-TER-FSA-SLF-QUILAP - Novo Hamburgo/RS - Centro</v>
      </c>
      <c r="C153" s="8" t="str">
        <f>Tabela2[[#This Row],[CATEGORIA]]&amp;Tabela2[[#This Row],[CURSOS]]</f>
        <v>ENGMAKER+QUÍMICA E FÍSICAECE-ENM-ENS-ENG-EEA-GPI-CDE-OBR-SAN-TER-FSA-SLF-QUI</v>
      </c>
      <c r="D153" s="8" t="str">
        <f>IF(Tabela2[[#This Row],[SITUAÇÃO]]&lt;&gt;"Demitido",CONCATENATE(Tabela2[[#This Row],[POLO]],Tabela2[[#This Row],[CURSOS]]),"Substituição")</f>
        <v>Substituição</v>
      </c>
      <c r="E153" s="8" t="s">
        <v>125</v>
      </c>
      <c r="F153" s="67" t="s">
        <v>126</v>
      </c>
      <c r="G153" s="67" t="s">
        <v>520</v>
      </c>
      <c r="H153" s="9" t="s">
        <v>528</v>
      </c>
      <c r="I153" s="17" t="str">
        <f>IFERROR(_xlfn.XLOOKUP(Tabela2[[#This Row],[CHAPA]],TUT.CONTROL!F:F,TUT.CONTROL!I:I),_xlfn.XLOOKUP(Tabela2[[#This Row],[CHAPA]],'REG.CONTROL'!F:F,'REG.CONTROL'!I:I))</f>
        <v>Demitido</v>
      </c>
      <c r="J153" s="17">
        <f>IFERROR(_xlfn.XLOOKUP(Tabela2[[#This Row],[NOME DO TUTOR]],TUT.CONTROL!C:C,TUT.CONTROL!G:G),"Demitido")</f>
        <v>45756</v>
      </c>
      <c r="K153" s="19" t="s">
        <v>529</v>
      </c>
      <c r="L153" s="22">
        <f>IFERROR(_xlfn.XLOOKUP(Tabela2[[#This Row],[NOME DO TUTOR]],TUT.CONTROL!C:C,TUT.CONTROL!F:F),"Demitido")</f>
        <v>1158000704</v>
      </c>
      <c r="M153" s="8" t="s">
        <v>530</v>
      </c>
      <c r="N153" s="11" t="str">
        <f>IFERROR(_xlfn.XLOOKUP(Tabela2[[#This Row],[CHAPA]],TUT.CONTROL!F:F,TUT.CONTROL!H:H),_xlfn.XLOOKUP(Tabela2[[#This Row],[CHAPA]],'REG.CONTROL'!F:F,'REG.CONTROL'!H:H))</f>
        <v>TUTOR DE PRATICA (UC_1749)</v>
      </c>
      <c r="O153" s="68" t="str">
        <f>IFERROR(_xlfn.XLOOKUP(Tabela2[[#This Row],[NOME DO TUTOR]],TUT.CONTROL!C:C,TUT.CONTROL!K:K),"Demitido")</f>
        <v>004:00</v>
      </c>
      <c r="P153" s="17">
        <f>IF(Tabela2[[#This Row],[SITUAÇÃO]]="Demitido",IFERROR(_xlfn.XLOOKUP(Tabela2[[#This Row],[CHAPA]],TUT.CONTROL!F:F,TUT.CONTROL!V:V),_xlfn.XLOOKUP(Tabela2[[#This Row],[CHAPA]],'REG.CONTROL'!F:F,'REG.CONTROL'!V:V)),"-")</f>
        <v>45826</v>
      </c>
      <c r="Q153" s="66" t="s">
        <v>43</v>
      </c>
      <c r="R153" s="66" t="s">
        <v>43</v>
      </c>
      <c r="S153" s="8"/>
    </row>
    <row r="154" spans="1:19" ht="13.5" hidden="1" x14ac:dyDescent="0.3">
      <c r="A15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54" s="8" t="str">
        <f>Tabela2[[#This Row],[CATEGORIA]]&amp;Tabela2[[#This Row],[CURSOS]]&amp;"LAP - "&amp;Tabela2[[#This Row],[POLO]]</f>
        <v>ENGMAKER+QUÍMICA E FÍSICAECE-ENM-ENS-ENG-EEA-GPI-CDE-OBR-SAN-TER-FSA-SLF-QUILAP - Porto Alegre/RS - Phenix</v>
      </c>
      <c r="C154" s="8" t="str">
        <f>Tabela2[[#This Row],[CATEGORIA]]&amp;Tabela2[[#This Row],[CURSOS]]</f>
        <v>ENGMAKER+QUÍMICA E FÍSICAECE-ENM-ENS-ENG-EEA-GPI-CDE-OBR-SAN-TER-FSA-SLF-QUI</v>
      </c>
      <c r="D154" s="8" t="str">
        <f>IF(Tabela2[[#This Row],[SITUAÇÃO]]&lt;&gt;"Demitido",CONCATENATE(Tabela2[[#This Row],[POLO]],Tabela2[[#This Row],[CURSOS]]),"Substituição")</f>
        <v>Substituição</v>
      </c>
      <c r="E154" s="8" t="s">
        <v>125</v>
      </c>
      <c r="F154" s="67" t="s">
        <v>126</v>
      </c>
      <c r="G154" s="67" t="s">
        <v>531</v>
      </c>
      <c r="H154" s="9" t="s">
        <v>532</v>
      </c>
      <c r="I154" s="17" t="str">
        <f>IFERROR(_xlfn.XLOOKUP(Tabela2[[#This Row],[CHAPA]],TUT.CONTROL!F:F,TUT.CONTROL!I:I),_xlfn.XLOOKUP(Tabela2[[#This Row],[CHAPA]],'REG.CONTROL'!F:F,'REG.CONTROL'!I:I))</f>
        <v>Demitido</v>
      </c>
      <c r="J154" s="17">
        <f>IFERROR(_xlfn.XLOOKUP(Tabela2[[#This Row],[NOME DO TUTOR]],TUT.CONTROL!C:C,TUT.CONTROL!G:G),"Demitido")</f>
        <v>45756</v>
      </c>
      <c r="K154" s="19" t="s">
        <v>533</v>
      </c>
      <c r="L154" s="22">
        <f>IFERROR(_xlfn.XLOOKUP(Tabela2[[#This Row],[NOME DO TUTOR]],TUT.CONTROL!C:C,TUT.CONTROL!F:F),"Demitido")</f>
        <v>1158000701</v>
      </c>
      <c r="M154" s="8" t="s">
        <v>534</v>
      </c>
      <c r="N154" s="11" t="str">
        <f>IFERROR(_xlfn.XLOOKUP(Tabela2[[#This Row],[CHAPA]],TUT.CONTROL!F:F,TUT.CONTROL!H:H),_xlfn.XLOOKUP(Tabela2[[#This Row],[CHAPA]],'REG.CONTROL'!F:F,'REG.CONTROL'!H:H))</f>
        <v>TUTOR DE PRATICA (UC_1749)</v>
      </c>
      <c r="O154" s="68" t="str">
        <f>IFERROR(_xlfn.XLOOKUP(Tabela2[[#This Row],[NOME DO TUTOR]],TUT.CONTROL!C:C,TUT.CONTROL!K:K),"Demitido")</f>
        <v>008:00</v>
      </c>
      <c r="P154" s="17">
        <f>IF(Tabela2[[#This Row],[SITUAÇÃO]]="Demitido",IFERROR(_xlfn.XLOOKUP(Tabela2[[#This Row],[CHAPA]],TUT.CONTROL!F:F,TUT.CONTROL!V:V),_xlfn.XLOOKUP(Tabela2[[#This Row],[CHAPA]],'REG.CONTROL'!F:F,'REG.CONTROL'!V:V)),"-")</f>
        <v>45845</v>
      </c>
      <c r="Q154" s="66" t="s">
        <v>43</v>
      </c>
      <c r="R154" s="66" t="s">
        <v>43</v>
      </c>
      <c r="S154" s="8"/>
    </row>
    <row r="155" spans="1:19" ht="13.5" hidden="1" x14ac:dyDescent="0.3">
      <c r="A15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55" s="8" t="str">
        <f>Tabela2[[#This Row],[CATEGORIA]]&amp;Tabela2[[#This Row],[CURSOS]]&amp;"LAP - "&amp;Tabela2[[#This Row],[POLO]]</f>
        <v>ENF-INS (Multidisciplinar II)EMF-ISNLAP - Oliveira/MG</v>
      </c>
      <c r="C155" s="8" t="str">
        <f>Tabela2[[#This Row],[CATEGORIA]]&amp;Tabela2[[#This Row],[CURSOS]]</f>
        <v>ENF-INS (Multidisciplinar II)EMF-ISN</v>
      </c>
      <c r="D155" s="8" t="str">
        <f>IF(Tabela2[[#This Row],[SITUAÇÃO]]&lt;&gt;"Demitido",CONCATENATE(Tabela2[[#This Row],[POLO]],Tabela2[[#This Row],[CURSOS]]),"Substituição")</f>
        <v>Substituição</v>
      </c>
      <c r="E155" s="8" t="s">
        <v>21</v>
      </c>
      <c r="F155" s="67" t="s">
        <v>22</v>
      </c>
      <c r="G155" s="67" t="s">
        <v>535</v>
      </c>
      <c r="H155" s="9" t="s">
        <v>536</v>
      </c>
      <c r="I155" s="71" t="str">
        <f>IFERROR(_xlfn.XLOOKUP(Tabela2[[#This Row],[CHAPA]],TUT.CONTROL!F:F,TUT.CONTROL!I:I),_xlfn.XLOOKUP(Tabela2[[#This Row],[CHAPA]],'REG.CONTROL'!F:F,'REG.CONTROL'!I:I))</f>
        <v>Demitido</v>
      </c>
      <c r="J155" s="17">
        <f>IFERROR(_xlfn.XLOOKUP(Tabela2[[#This Row],[NOME DO TUTOR]],TUT.CONTROL!C:C,TUT.CONTROL!G:G),"Demitido")</f>
        <v>45915</v>
      </c>
      <c r="K155" s="19">
        <v>37998688491</v>
      </c>
      <c r="L155" s="22">
        <f>IFERROR(_xlfn.XLOOKUP(Tabela2[[#This Row],[NOME DO TUTOR]],TUT.CONTROL!C:C,TUT.CONTROL!F:F),"Demitido")</f>
        <v>1158000979</v>
      </c>
      <c r="M155" s="8" t="s">
        <v>537</v>
      </c>
      <c r="N155" s="11" t="str">
        <f>IFERROR(_xlfn.XLOOKUP(Tabela2[[#This Row],[CHAPA]],TUT.CONTROL!F:F,TUT.CONTROL!H:H),_xlfn.XLOOKUP(Tabela2[[#This Row],[CHAPA]],'REG.CONTROL'!F:F,'REG.CONTROL'!H:H))</f>
        <v>TUTOR DE PRATICA (UC_1749)</v>
      </c>
      <c r="O155" s="68" t="str">
        <f>IFERROR(_xlfn.XLOOKUP(Tabela2[[#This Row],[NOME DO TUTOR]],TUT.CONTROL!C:C,TUT.CONTROL!K:K),"Demitido")</f>
        <v>004:00</v>
      </c>
      <c r="P155" s="17">
        <f>IF(Tabela2[[#This Row],[SITUAÇÃO]]="Demitido",IFERROR(_xlfn.XLOOKUP(Tabela2[[#This Row],[CHAPA]],TUT.CONTROL!F:F,TUT.CONTROL!V:V),_xlfn.XLOOKUP(Tabela2[[#This Row],[CHAPA]],'REG.CONTROL'!F:F,'REG.CONTROL'!V:V)),"-")</f>
        <v>46064</v>
      </c>
      <c r="Q155" s="66" t="s">
        <v>43</v>
      </c>
      <c r="R155" s="8" t="s">
        <v>100</v>
      </c>
      <c r="S155" s="8">
        <v>820002</v>
      </c>
    </row>
    <row r="156" spans="1:19" ht="13.5" hidden="1" x14ac:dyDescent="0.3">
      <c r="A15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56" s="8" t="str">
        <f>Tabela2[[#This Row],[CATEGORIA]]&amp;Tabela2[[#This Row],[CURSOS]]&amp;"LAP - "&amp;Tabela2[[#This Row],[POLO]]</f>
        <v>ENF-INS (Multidisciplinar II)EMF-ISNLAP - Palhoça/SC</v>
      </c>
      <c r="C156" s="8" t="str">
        <f>Tabela2[[#This Row],[CATEGORIA]]&amp;Tabela2[[#This Row],[CURSOS]]</f>
        <v>ENF-INS (Multidisciplinar II)EMF-ISN</v>
      </c>
      <c r="D156" s="8" t="str">
        <f>IF(Tabela2[[#This Row],[SITUAÇÃO]]&lt;&gt;"Demitido",CONCATENATE(Tabela2[[#This Row],[POLO]],Tabela2[[#This Row],[CURSOS]]),"Substituição")</f>
        <v>Substituição</v>
      </c>
      <c r="E156" s="8" t="s">
        <v>21</v>
      </c>
      <c r="F156" s="67" t="s">
        <v>22</v>
      </c>
      <c r="G156" s="67" t="s">
        <v>538</v>
      </c>
      <c r="H156" s="9" t="s">
        <v>539</v>
      </c>
      <c r="I156" s="17" t="str">
        <f>IFERROR(_xlfn.XLOOKUP(Tabela2[[#This Row],[CHAPA]],TUT.CONTROL!F:F,TUT.CONTROL!I:I),_xlfn.XLOOKUP(Tabela2[[#This Row],[CHAPA]],'REG.CONTROL'!F:F,'REG.CONTROL'!I:I))</f>
        <v>Demitido</v>
      </c>
      <c r="J156" s="17">
        <f>IFERROR(_xlfn.XLOOKUP(Tabela2[[#This Row],[NOME DO TUTOR]],TUT.CONTROL!C:C,TUT.CONTROL!G:G),"Demitido")</f>
        <v>45749</v>
      </c>
      <c r="K156" s="19" t="s">
        <v>540</v>
      </c>
      <c r="L156" s="22">
        <f>IFERROR(_xlfn.XLOOKUP(Tabela2[[#This Row],[NOME DO TUTOR]],TUT.CONTROL!C:C,TUT.CONTROL!F:F),"Demitido")</f>
        <v>1158000666</v>
      </c>
      <c r="M156" s="8" t="s">
        <v>541</v>
      </c>
      <c r="N156" s="11" t="str">
        <f>IFERROR(_xlfn.XLOOKUP(Tabela2[[#This Row],[CHAPA]],TUT.CONTROL!F:F,TUT.CONTROL!H:H),_xlfn.XLOOKUP(Tabela2[[#This Row],[CHAPA]],'REG.CONTROL'!F:F,'REG.CONTROL'!H:H))</f>
        <v>TUTOR DE PRATICA (UC_1749)</v>
      </c>
      <c r="O156" s="68" t="str">
        <f>IFERROR(_xlfn.XLOOKUP(Tabela2[[#This Row],[NOME DO TUTOR]],TUT.CONTROL!C:C,TUT.CONTROL!K:K),"Demitido")</f>
        <v>008:00</v>
      </c>
      <c r="P156" s="17">
        <f>IF(Tabela2[[#This Row],[SITUAÇÃO]]="Demitido",IFERROR(_xlfn.XLOOKUP(Tabela2[[#This Row],[CHAPA]],TUT.CONTROL!F:F,TUT.CONTROL!V:V),_xlfn.XLOOKUP(Tabela2[[#This Row],[CHAPA]],'REG.CONTROL'!F:F,'REG.CONTROL'!V:V)),"-")</f>
        <v>45971</v>
      </c>
      <c r="Q156" s="66" t="s">
        <v>43</v>
      </c>
      <c r="R156" s="8" t="s">
        <v>149</v>
      </c>
      <c r="S156" s="8">
        <v>481022</v>
      </c>
    </row>
    <row r="157" spans="1:19" ht="13.5" hidden="1" x14ac:dyDescent="0.3">
      <c r="A15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Palhoça/SCEMF-ISNENF-INS (Multidisciplinar II)</v>
      </c>
      <c r="B157" s="8" t="str">
        <f>Tabela2[[#This Row],[CATEGORIA]]&amp;Tabela2[[#This Row],[CURSOS]]&amp;"LAP - "&amp;Tabela2[[#This Row],[POLO]]</f>
        <v>ENF-INS (Multidisciplinar II)EMF-ISNLAP - Palhoça/SC</v>
      </c>
      <c r="C157" s="8" t="str">
        <f>Tabela2[[#This Row],[CATEGORIA]]&amp;Tabela2[[#This Row],[CURSOS]]</f>
        <v>ENF-INS (Multidisciplinar II)EMF-ISN</v>
      </c>
      <c r="D157" s="8" t="str">
        <f>IF(Tabela2[[#This Row],[SITUAÇÃO]]&lt;&gt;"Demitido",CONCATENATE(Tabela2[[#This Row],[POLO]],Tabela2[[#This Row],[CURSOS]]),"Substituição")</f>
        <v>Palhoça/SCEMF-ISN</v>
      </c>
      <c r="E157" s="8" t="s">
        <v>21</v>
      </c>
      <c r="F157" s="67" t="s">
        <v>22</v>
      </c>
      <c r="G157" s="67" t="s">
        <v>538</v>
      </c>
      <c r="H157" s="9" t="s">
        <v>542</v>
      </c>
      <c r="I157" s="17" t="str">
        <f>IFERROR(_xlfn.XLOOKUP(Tabela2[[#This Row],[CHAPA]],TUT.CONTROL!F:F,TUT.CONTROL!I:I),_xlfn.XLOOKUP(Tabela2[[#This Row],[CHAPA]],'REG.CONTROL'!F:F,'REG.CONTROL'!I:I))</f>
        <v>Ativo</v>
      </c>
      <c r="J157" s="17">
        <f>IFERROR(_xlfn.XLOOKUP(Tabela2[[#This Row],[NOME DO TUTOR]],TUT.CONTROL!C:C,TUT.CONTROL!G:G),"Atualizar")</f>
        <v>46104</v>
      </c>
      <c r="K157" s="19">
        <v>48988241522</v>
      </c>
      <c r="L157" s="22">
        <f>IFERROR(_xlfn.XLOOKUP(Tabela2[[#This Row],[NOME DO TUTOR]],TUT.CONTROL!C:C,TUT.CONTROL!F:F),"Demitido")</f>
        <v>1158001183</v>
      </c>
      <c r="M157" s="8" t="s">
        <v>543</v>
      </c>
      <c r="N157" s="11" t="str">
        <f>IFERROR(_xlfn.XLOOKUP(Tabela2[[#This Row],[CHAPA]],TUT.CONTROL!F:F,TUT.CONTROL!H:H),_xlfn.XLOOKUP(Tabela2[[#This Row],[CHAPA]],'REG.CONTROL'!F:F,'REG.CONTROL'!H:H))</f>
        <v>TUTOR DE PRATICA (UC_1749)</v>
      </c>
      <c r="O157" s="70" t="str">
        <f>IFERROR(_xlfn.XLOOKUP(Tabela2[[#This Row],[NOME DO TUTOR]],TUT.CONTROL!C:C,TUT.CONTROL!K:K),"Demitido")</f>
        <v>008:00</v>
      </c>
      <c r="P15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57" s="66"/>
      <c r="R157" s="8" t="s">
        <v>149</v>
      </c>
      <c r="S157" s="11">
        <v>840731</v>
      </c>
    </row>
    <row r="158" spans="1:19" ht="13.5" hidden="1" x14ac:dyDescent="0.3">
      <c r="A15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Palmas/TO - Plano Diretor SulEMF-ISNENF-INS (Multidisciplinar II)</v>
      </c>
      <c r="B158" s="8" t="str">
        <f>Tabela2[[#This Row],[CATEGORIA]]&amp;Tabela2[[#This Row],[CURSOS]]&amp;"LAP - "&amp;Tabela2[[#This Row],[POLO]]</f>
        <v>ENF-INS (Multidisciplinar II)EMF-ISNLAP - Palmas/TO - Plano Diretor Sul</v>
      </c>
      <c r="C158" s="8" t="str">
        <f>Tabela2[[#This Row],[CATEGORIA]]&amp;Tabela2[[#This Row],[CURSOS]]</f>
        <v>ENF-INS (Multidisciplinar II)EMF-ISN</v>
      </c>
      <c r="D158" s="8" t="str">
        <f>IF(Tabela2[[#This Row],[SITUAÇÃO]]&lt;&gt;"Demitido",CONCATENATE(Tabela2[[#This Row],[POLO]],Tabela2[[#This Row],[CURSOS]]),"Substituição")</f>
        <v>Palmas/TO - Plano Diretor SulEMF-ISN</v>
      </c>
      <c r="E158" s="8" t="s">
        <v>21</v>
      </c>
      <c r="F158" s="67" t="s">
        <v>22</v>
      </c>
      <c r="G158" s="67" t="s">
        <v>544</v>
      </c>
      <c r="H158" s="9" t="s">
        <v>545</v>
      </c>
      <c r="I158" s="17" t="str">
        <f>IFERROR(_xlfn.XLOOKUP(Tabela2[[#This Row],[CHAPA]],TUT.CONTROL!F:F,TUT.CONTROL!I:I),_xlfn.XLOOKUP(Tabela2[[#This Row],[CHAPA]],'REG.CONTROL'!F:F,'REG.CONTROL'!I:I))</f>
        <v>Ativo</v>
      </c>
      <c r="J158" s="17">
        <f>IFERROR(_xlfn.XLOOKUP(Tabela2[[#This Row],[NOME DO TUTOR]],TUT.CONTROL!C:C,TUT.CONTROL!G:G),"Demitido")</f>
        <v>45733</v>
      </c>
      <c r="K158" s="19">
        <v>91993056701</v>
      </c>
      <c r="L158" s="22">
        <f>IFERROR(_xlfn.XLOOKUP(Tabela2[[#This Row],[NOME DO TUTOR]],TUT.CONTROL!C:C,TUT.CONTROL!F:F),"Demitido")</f>
        <v>1158000550</v>
      </c>
      <c r="M158" s="8" t="s">
        <v>546</v>
      </c>
      <c r="N158" s="11" t="str">
        <f>IFERROR(_xlfn.XLOOKUP(Tabela2[[#This Row],[CHAPA]],TUT.CONTROL!F:F,TUT.CONTROL!H:H),_xlfn.XLOOKUP(Tabela2[[#This Row],[CHAPA]],'REG.CONTROL'!F:F,'REG.CONTROL'!H:H))</f>
        <v>TUTOR DE PRATICA (UC_1749)</v>
      </c>
      <c r="O158" s="68" t="str">
        <f>IFERROR(_xlfn.XLOOKUP(Tabela2[[#This Row],[NOME DO TUTOR]],TUT.CONTROL!C:C,TUT.CONTROL!K:K),"Demitido")</f>
        <v>004:00</v>
      </c>
      <c r="P15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58" s="66" t="s">
        <v>30</v>
      </c>
      <c r="R158" s="8" t="s">
        <v>64</v>
      </c>
      <c r="S158" s="8">
        <v>654753</v>
      </c>
    </row>
    <row r="159" spans="1:19" ht="13.5" hidden="1" x14ac:dyDescent="0.3">
      <c r="A15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Formosa/GOECE-ENM-ENS-ENG-EEA-GPI-CDE-OBR-SAN-TER-FSA-SLF-QUIENGMAKER+QUÍMICA E FÍSICA</v>
      </c>
      <c r="B159" s="8" t="str">
        <f>Tabela2[[#This Row],[CATEGORIA]]&amp;Tabela2[[#This Row],[CURSOS]]&amp;"LAP - "&amp;Tabela2[[#This Row],[POLO]]</f>
        <v>ENGMAKER+QUÍMICA E FÍSICAECE-ENM-ENS-ENG-EEA-GPI-CDE-OBR-SAN-TER-FSA-SLF-QUILAP - Formosa/GO</v>
      </c>
      <c r="C159" s="8" t="str">
        <f>Tabela2[[#This Row],[CATEGORIA]]&amp;Tabela2[[#This Row],[CURSOS]]</f>
        <v>ENGMAKER+QUÍMICA E FÍSICAECE-ENM-ENS-ENG-EEA-GPI-CDE-OBR-SAN-TER-FSA-SLF-QUI</v>
      </c>
      <c r="D159" s="8" t="str">
        <f>IF(Tabela2[[#This Row],[SITUAÇÃO]]&lt;&gt;"Demitido",CONCATENATE(Tabela2[[#This Row],[POLO]],Tabela2[[#This Row],[CURSOS]]),"Substituição")</f>
        <v>Formosa/GOECE-ENM-ENS-ENG-EEA-GPI-CDE-OBR-SAN-TER-FSA-SLF-QUI</v>
      </c>
      <c r="E159" s="8" t="s">
        <v>125</v>
      </c>
      <c r="F159" s="67" t="s">
        <v>126</v>
      </c>
      <c r="G159" s="67" t="s">
        <v>290</v>
      </c>
      <c r="H159" s="9" t="s">
        <v>547</v>
      </c>
      <c r="I159" s="17" t="str">
        <f>IFERROR(_xlfn.XLOOKUP(Tabela2[[#This Row],[CHAPA]],TUT.CONTROL!F:F,TUT.CONTROL!I:I),_xlfn.XLOOKUP(Tabela2[[#This Row],[CHAPA]],'REG.CONTROL'!F:F,'REG.CONTROL'!I:I))</f>
        <v>Ativo</v>
      </c>
      <c r="J159" s="17">
        <f>IFERROR(_xlfn.XLOOKUP(Tabela2[[#This Row],[NOME DO TUTOR]],TUT.CONTROL!C:C,TUT.CONTROL!G:G),"Demitido")</f>
        <v>45756</v>
      </c>
      <c r="K159" s="19">
        <v>61998563205</v>
      </c>
      <c r="L159" s="22">
        <f>IFERROR(_xlfn.XLOOKUP(Tabela2[[#This Row],[NOME DO TUTOR]],TUT.CONTROL!C:C,TUT.CONTROL!F:F),"Demitido")</f>
        <v>1158000699</v>
      </c>
      <c r="M159" s="8" t="s">
        <v>548</v>
      </c>
      <c r="N159" s="11" t="str">
        <f>IFERROR(_xlfn.XLOOKUP(Tabela2[[#This Row],[CHAPA]],TUT.CONTROL!F:F,TUT.CONTROL!H:H),_xlfn.XLOOKUP(Tabela2[[#This Row],[CHAPA]],'REG.CONTROL'!F:F,'REG.CONTROL'!H:H))</f>
        <v>TUTOR DE PRATICA (UC_1749)</v>
      </c>
      <c r="O159" s="68" t="str">
        <f>IFERROR(_xlfn.XLOOKUP(Tabela2[[#This Row],[NOME DO TUTOR]],TUT.CONTROL!C:C,TUT.CONTROL!K:K),"Demitido")</f>
        <v>004:00</v>
      </c>
      <c r="P15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59" s="66" t="s">
        <v>30</v>
      </c>
      <c r="R159" s="8" t="s">
        <v>549</v>
      </c>
      <c r="S159" s="8" t="s">
        <v>550</v>
      </c>
    </row>
    <row r="160" spans="1:19" ht="13.5" hidden="1" x14ac:dyDescent="0.3">
      <c r="A16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60" s="8" t="str">
        <f>Tabela2[[#This Row],[CATEGORIA]]&amp;Tabela2[[#This Row],[CURSOS]]&amp;"LAP - "&amp;Tabela2[[#This Row],[POLO]]</f>
        <v>ENF-INS (Multidisciplinar II)EMF-ISNLAP - Parauapebas/PA</v>
      </c>
      <c r="C160" s="8" t="str">
        <f>Tabela2[[#This Row],[CATEGORIA]]&amp;Tabela2[[#This Row],[CURSOS]]</f>
        <v>ENF-INS (Multidisciplinar II)EMF-ISN</v>
      </c>
      <c r="D160" s="8" t="str">
        <f>IF(Tabela2[[#This Row],[SITUAÇÃO]]&lt;&gt;"Demitido",CONCATENATE(Tabela2[[#This Row],[POLO]],Tabela2[[#This Row],[CURSOS]]),"Substituição")</f>
        <v>Substituição</v>
      </c>
      <c r="E160" s="8" t="s">
        <v>21</v>
      </c>
      <c r="F160" s="67" t="s">
        <v>22</v>
      </c>
      <c r="G160" s="67" t="s">
        <v>465</v>
      </c>
      <c r="H160" s="9" t="s">
        <v>551</v>
      </c>
      <c r="I160" s="17" t="str">
        <f>IFERROR(_xlfn.XLOOKUP(Tabela2[[#This Row],[CHAPA]],TUT.CONTROL!F:F,TUT.CONTROL!I:I),_xlfn.XLOOKUP(Tabela2[[#This Row],[CHAPA]],'REG.CONTROL'!F:F,'REG.CONTROL'!I:I))</f>
        <v>Demitido</v>
      </c>
      <c r="J160" s="17">
        <f>IFERROR(_xlfn.XLOOKUP(Tabela2[[#This Row],[NOME DO TUTOR]],TUT.CONTROL!C:C,TUT.CONTROL!G:G),"Demitido")</f>
        <v>45728</v>
      </c>
      <c r="K160" s="19">
        <v>94981715600</v>
      </c>
      <c r="L160" s="22">
        <f>IFERROR(_xlfn.XLOOKUP(Tabela2[[#This Row],[NOME DO TUTOR]],TUT.CONTROL!C:C,TUT.CONTROL!F:F),"Demitido")</f>
        <v>1158000544</v>
      </c>
      <c r="M160" s="8" t="s">
        <v>552</v>
      </c>
      <c r="N160" s="11" t="str">
        <f>IFERROR(_xlfn.XLOOKUP(Tabela2[[#This Row],[CHAPA]],TUT.CONTROL!F:F,TUT.CONTROL!H:H),_xlfn.XLOOKUP(Tabela2[[#This Row],[CHAPA]],'REG.CONTROL'!F:F,'REG.CONTROL'!H:H))</f>
        <v>TUTOR DE PRATICA (UC_1749)</v>
      </c>
      <c r="O160" s="68" t="str">
        <f>IFERROR(_xlfn.XLOOKUP(Tabela2[[#This Row],[NOME DO TUTOR]],TUT.CONTROL!C:C,TUT.CONTROL!K:K),"Demitido")</f>
        <v>004:00</v>
      </c>
      <c r="P160" s="17">
        <f>IF(Tabela2[[#This Row],[SITUAÇÃO]]="Demitido",IFERROR(_xlfn.XLOOKUP(Tabela2[[#This Row],[CHAPA]],TUT.CONTROL!F:F,TUT.CONTROL!V:V),_xlfn.XLOOKUP(Tabela2[[#This Row],[CHAPA]],'REG.CONTROL'!F:F,'REG.CONTROL'!V:V)),"-")</f>
        <v>46107</v>
      </c>
      <c r="Q160" s="66" t="s">
        <v>43</v>
      </c>
      <c r="R160" s="8" t="s">
        <v>26</v>
      </c>
      <c r="S160" s="8">
        <v>418700</v>
      </c>
    </row>
    <row r="161" spans="1:19" ht="13.5" hidden="1" x14ac:dyDescent="0.3">
      <c r="A16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Belém/PA - NazaréECE-ENM-ENS-ENG-EEA-GPI-CDE-OBR-SAN-TER-FSA-SLF-QUIENGMAKER+QUÍMICA E FÍSICA</v>
      </c>
      <c r="B161" s="8" t="str">
        <f>Tabela2[[#This Row],[CATEGORIA]]&amp;Tabela2[[#This Row],[CURSOS]]&amp;"LAP - "&amp;Tabela2[[#This Row],[POLO]]</f>
        <v>ENGMAKER+QUÍMICA E FÍSICAECE-ENM-ENS-ENG-EEA-GPI-CDE-OBR-SAN-TER-FSA-SLF-QUILAP - Belém/PA - Nazaré</v>
      </c>
      <c r="C161" s="8" t="str">
        <f>Tabela2[[#This Row],[CATEGORIA]]&amp;Tabela2[[#This Row],[CURSOS]]</f>
        <v>ENGMAKER+QUÍMICA E FÍSICAECE-ENM-ENS-ENG-EEA-GPI-CDE-OBR-SAN-TER-FSA-SLF-QUI</v>
      </c>
      <c r="D161" s="8" t="str">
        <f>IF(Tabela2[[#This Row],[SITUAÇÃO]]&lt;&gt;"Demitido",CONCATENATE(Tabela2[[#This Row],[POLO]],Tabela2[[#This Row],[CURSOS]]),"Substituição")</f>
        <v>Belém/PA - NazaréECE-ENM-ENS-ENG-EEA-GPI-CDE-OBR-SAN-TER-FSA-SLF-QUI</v>
      </c>
      <c r="E161" s="8" t="s">
        <v>125</v>
      </c>
      <c r="F161" s="67" t="s">
        <v>126</v>
      </c>
      <c r="G161" s="67" t="s">
        <v>553</v>
      </c>
      <c r="H161" s="9" t="s">
        <v>554</v>
      </c>
      <c r="I161" s="17" t="str">
        <f>IFERROR(_xlfn.XLOOKUP(Tabela2[[#This Row],[CHAPA]],TUT.CONTROL!F:F,TUT.CONTROL!I:I),_xlfn.XLOOKUP(Tabela2[[#This Row],[CHAPA]],'REG.CONTROL'!F:F,'REG.CONTROL'!I:I))</f>
        <v>Ativo</v>
      </c>
      <c r="J161" s="17">
        <f>IFERROR(_xlfn.XLOOKUP(Tabela2[[#This Row],[NOME DO TUTOR]],TUT.CONTROL!C:C,TUT.CONTROL!G:G),"Demitido")</f>
        <v>45756</v>
      </c>
      <c r="K161" s="19" t="s">
        <v>555</v>
      </c>
      <c r="L161" s="22">
        <f>IFERROR(_xlfn.XLOOKUP(Tabela2[[#This Row],[NOME DO TUTOR]],TUT.CONTROL!C:C,TUT.CONTROL!F:F),"Demitido")</f>
        <v>1158000703</v>
      </c>
      <c r="M161" s="8" t="s">
        <v>556</v>
      </c>
      <c r="N161" s="11" t="str">
        <f>IFERROR(_xlfn.XLOOKUP(Tabela2[[#This Row],[CHAPA]],TUT.CONTROL!F:F,TUT.CONTROL!H:H),_xlfn.XLOOKUP(Tabela2[[#This Row],[CHAPA]],'REG.CONTROL'!F:F,'REG.CONTROL'!H:H))</f>
        <v>TUTOR DE PRATICA (UC_1749)</v>
      </c>
      <c r="O161" s="68" t="str">
        <f>IFERROR(_xlfn.XLOOKUP(Tabela2[[#This Row],[NOME DO TUTOR]],TUT.CONTROL!C:C,TUT.CONTROL!K:K),"Demitido")</f>
        <v>004:00</v>
      </c>
      <c r="P16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61" s="66" t="s">
        <v>30</v>
      </c>
      <c r="R161" s="8"/>
      <c r="S161" s="8"/>
    </row>
    <row r="162" spans="1:19" ht="13.5" hidden="1" x14ac:dyDescent="0.3">
      <c r="A16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Parnaíba/PIEMF-ISNENF-INS (Multidisciplinar II)</v>
      </c>
      <c r="B162" s="8" t="str">
        <f>Tabela2[[#This Row],[CATEGORIA]]&amp;Tabela2[[#This Row],[CURSOS]]&amp;"LAP - "&amp;Tabela2[[#This Row],[POLO]]</f>
        <v>ENF-INS (Multidisciplinar II)EMF-ISNLAP - Parnaíba/PI</v>
      </c>
      <c r="C162" s="8" t="str">
        <f>Tabela2[[#This Row],[CATEGORIA]]&amp;Tabela2[[#This Row],[CURSOS]]</f>
        <v>ENF-INS (Multidisciplinar II)EMF-ISN</v>
      </c>
      <c r="D162" s="8" t="str">
        <f>IF(Tabela2[[#This Row],[SITUAÇÃO]]&lt;&gt;"Demitido",CONCATENATE(Tabela2[[#This Row],[POLO]],Tabela2[[#This Row],[CURSOS]]),"Substituição")</f>
        <v>Parnaíba/PIEMF-ISN</v>
      </c>
      <c r="E162" s="8" t="s">
        <v>21</v>
      </c>
      <c r="F162" s="67" t="s">
        <v>22</v>
      </c>
      <c r="G162" s="67" t="s">
        <v>557</v>
      </c>
      <c r="H162" s="9" t="s">
        <v>558</v>
      </c>
      <c r="I162" s="17" t="str">
        <f>IFERROR(_xlfn.XLOOKUP(Tabela2[[#This Row],[CHAPA]],TUT.CONTROL!F:F,TUT.CONTROL!I:I),_xlfn.XLOOKUP(Tabela2[[#This Row],[CHAPA]],'REG.CONTROL'!F:F,'REG.CONTROL'!I:I))</f>
        <v>Ativo</v>
      </c>
      <c r="J162" s="17">
        <f>IFERROR(_xlfn.XLOOKUP(Tabela2[[#This Row],[NOME DO TUTOR]],TUT.CONTROL!C:C,TUT.CONTROL!G:G),"Demitido")</f>
        <v>45749</v>
      </c>
      <c r="K162" s="19">
        <v>86995408755</v>
      </c>
      <c r="L162" s="22">
        <f>IFERROR(_xlfn.XLOOKUP(Tabela2[[#This Row],[NOME DO TUTOR]],TUT.CONTROL!C:C,TUT.CONTROL!F:F),"Demitido")</f>
        <v>1158000664</v>
      </c>
      <c r="M162" s="8" t="s">
        <v>559</v>
      </c>
      <c r="N162" s="11" t="str">
        <f>IFERROR(_xlfn.XLOOKUP(Tabela2[[#This Row],[CHAPA]],TUT.CONTROL!F:F,TUT.CONTROL!H:H),_xlfn.XLOOKUP(Tabela2[[#This Row],[CHAPA]],'REG.CONTROL'!F:F,'REG.CONTROL'!H:H))</f>
        <v>TUTOR DE PRATICA (UC_1749)</v>
      </c>
      <c r="O162" s="68" t="str">
        <f>IFERROR(_xlfn.XLOOKUP(Tabela2[[#This Row],[NOME DO TUTOR]],TUT.CONTROL!C:C,TUT.CONTROL!K:K),"Demitido")</f>
        <v>012:00</v>
      </c>
      <c r="P16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62" s="66" t="s">
        <v>30</v>
      </c>
      <c r="R162" s="8" t="s">
        <v>560</v>
      </c>
      <c r="S162" s="8">
        <v>366870</v>
      </c>
    </row>
    <row r="163" spans="1:19" ht="13.5" hidden="1" x14ac:dyDescent="0.3">
      <c r="A16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Herval D'Oeste/SCECE-ENM-ENS-ENG-EEA-GPI-CDE-OBR-SAN-TER-FSA-SLF-QUIENGMAKER+QUÍMICA E FÍSICA</v>
      </c>
      <c r="B163" s="8" t="str">
        <f>Tabela2[[#This Row],[CATEGORIA]]&amp;Tabela2[[#This Row],[CURSOS]]&amp;"LAP - "&amp;Tabela2[[#This Row],[POLO]]</f>
        <v>ENGMAKER+QUÍMICA E FÍSICAECE-ENM-ENS-ENG-EEA-GPI-CDE-OBR-SAN-TER-FSA-SLF-QUILAP - Herval D'Oeste/SC</v>
      </c>
      <c r="C163" s="8" t="str">
        <f>Tabela2[[#This Row],[CATEGORIA]]&amp;Tabela2[[#This Row],[CURSOS]]</f>
        <v>ENGMAKER+QUÍMICA E FÍSICAECE-ENM-ENS-ENG-EEA-GPI-CDE-OBR-SAN-TER-FSA-SLF-QUI</v>
      </c>
      <c r="D163" s="8" t="str">
        <f>IF(Tabela2[[#This Row],[SITUAÇÃO]]&lt;&gt;"Demitido",CONCATENATE(Tabela2[[#This Row],[POLO]],Tabela2[[#This Row],[CURSOS]]),"Substituição")</f>
        <v>Herval D'Oeste/SCECE-ENM-ENS-ENG-EEA-GPI-CDE-OBR-SAN-TER-FSA-SLF-QUI</v>
      </c>
      <c r="E163" s="8" t="s">
        <v>125</v>
      </c>
      <c r="F163" s="67" t="s">
        <v>126</v>
      </c>
      <c r="G163" s="67" t="s">
        <v>328</v>
      </c>
      <c r="H163" s="9" t="s">
        <v>561</v>
      </c>
      <c r="I163" s="17" t="str">
        <f>IFERROR(_xlfn.XLOOKUP(Tabela2[[#This Row],[CHAPA]],TUT.CONTROL!F:F,TUT.CONTROL!I:I),_xlfn.XLOOKUP(Tabela2[[#This Row],[CHAPA]],'REG.CONTROL'!F:F,'REG.CONTROL'!I:I))</f>
        <v>Ativo</v>
      </c>
      <c r="J163" s="17">
        <f>IFERROR(_xlfn.XLOOKUP(Tabela2[[#This Row],[NOME DO TUTOR]],TUT.CONTROL!C:C,TUT.CONTROL!G:G),"Demitido")</f>
        <v>45761</v>
      </c>
      <c r="K163" s="19">
        <v>49988411761</v>
      </c>
      <c r="L163" s="22">
        <f>IFERROR(_xlfn.XLOOKUP(Tabela2[[#This Row],[NOME DO TUTOR]],TUT.CONTROL!C:C,TUT.CONTROL!F:F),"Demitido")</f>
        <v>1158000705</v>
      </c>
      <c r="M163" s="8" t="s">
        <v>562</v>
      </c>
      <c r="N163" s="11" t="str">
        <f>IFERROR(_xlfn.XLOOKUP(Tabela2[[#This Row],[CHAPA]],TUT.CONTROL!F:F,TUT.CONTROL!H:H),_xlfn.XLOOKUP(Tabela2[[#This Row],[CHAPA]],'REG.CONTROL'!F:F,'REG.CONTROL'!H:H))</f>
        <v>TUTOR DE PRATICA (UC_1749)</v>
      </c>
      <c r="O163" s="68" t="str">
        <f>IFERROR(_xlfn.XLOOKUP(Tabela2[[#This Row],[NOME DO TUTOR]],TUT.CONTROL!C:C,TUT.CONTROL!K:K),"Demitido")</f>
        <v>004:00</v>
      </c>
      <c r="P16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63" s="66" t="s">
        <v>30</v>
      </c>
      <c r="R163" s="8" t="s">
        <v>563</v>
      </c>
      <c r="S163" s="8" t="s">
        <v>564</v>
      </c>
    </row>
    <row r="164" spans="1:19" ht="13.5" hidden="1" x14ac:dyDescent="0.3">
      <c r="A16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64" s="8" t="str">
        <f>Tabela2[[#This Row],[CATEGORIA]]&amp;Tabela2[[#This Row],[CURSOS]]&amp;"LAP - "&amp;Tabela2[[#This Row],[POLO]]</f>
        <v>ENGMAKER+QUÍMICA E FÍSICAECE-ENM-ENS-ENG-EEA-GPI-CDE-OBR-SAN-TER-FSA-SLF-QUILAP - Curitiba/PR - Boqueirão</v>
      </c>
      <c r="C164" s="8" t="str">
        <f>Tabela2[[#This Row],[CATEGORIA]]&amp;Tabela2[[#This Row],[CURSOS]]</f>
        <v>ENGMAKER+QUÍMICA E FÍSICAECE-ENM-ENS-ENG-EEA-GPI-CDE-OBR-SAN-TER-FSA-SLF-QUI</v>
      </c>
      <c r="D164" s="8" t="str">
        <f>IF(Tabela2[[#This Row],[SITUAÇÃO]]&lt;&gt;"Demitido",CONCATENATE(Tabela2[[#This Row],[POLO]],Tabela2[[#This Row],[CURSOS]]),"Substituição")</f>
        <v>Substituição</v>
      </c>
      <c r="E164" s="8" t="s">
        <v>125</v>
      </c>
      <c r="F164" s="67" t="s">
        <v>126</v>
      </c>
      <c r="G164" s="67" t="s">
        <v>256</v>
      </c>
      <c r="H164" s="9" t="s">
        <v>565</v>
      </c>
      <c r="I164" s="17" t="str">
        <f>IFERROR(_xlfn.XLOOKUP(Tabela2[[#This Row],[CHAPA]],TUT.CONTROL!F:F,TUT.CONTROL!I:I),_xlfn.XLOOKUP(Tabela2[[#This Row],[CHAPA]],'REG.CONTROL'!F:F,'REG.CONTROL'!I:I))</f>
        <v>Demitido</v>
      </c>
      <c r="J164" s="17">
        <f>IFERROR(_xlfn.XLOOKUP(Tabela2[[#This Row],[NOME DO TUTOR]],TUT.CONTROL!C:C,TUT.CONTROL!G:G),"Demitido")</f>
        <v>45763</v>
      </c>
      <c r="K164" s="19" t="s">
        <v>566</v>
      </c>
      <c r="L164" s="22">
        <f>IFERROR(_xlfn.XLOOKUP(Tabela2[[#This Row],[NOME DO TUTOR]],TUT.CONTROL!C:C,TUT.CONTROL!F:F),"Demitido")</f>
        <v>1158000593</v>
      </c>
      <c r="M164" s="8" t="s">
        <v>567</v>
      </c>
      <c r="N164" s="11" t="str">
        <f>IFERROR(_xlfn.XLOOKUP(Tabela2[[#This Row],[CHAPA]],TUT.CONTROL!F:F,TUT.CONTROL!H:H),_xlfn.XLOOKUP(Tabela2[[#This Row],[CHAPA]],'REG.CONTROL'!F:F,'REG.CONTROL'!H:H))</f>
        <v>TUTOR DE PRATICA (UC_1749)</v>
      </c>
      <c r="O164" s="68" t="str">
        <f>IFERROR(_xlfn.XLOOKUP(Tabela2[[#This Row],[NOME DO TUTOR]],TUT.CONTROL!C:C,TUT.CONTROL!K:K),"Demitido")</f>
        <v>004:00</v>
      </c>
      <c r="P164" s="17">
        <f>IF(Tabela2[[#This Row],[SITUAÇÃO]]="Demitido",IFERROR(_xlfn.XLOOKUP(Tabela2[[#This Row],[CHAPA]],TUT.CONTROL!F:F,TUT.CONTROL!V:V),_xlfn.XLOOKUP(Tabela2[[#This Row],[CHAPA]],'REG.CONTROL'!F:F,'REG.CONTROL'!V:V)),"-")</f>
        <v>45818</v>
      </c>
      <c r="Q164" s="66" t="s">
        <v>43</v>
      </c>
      <c r="R164" s="66" t="s">
        <v>43</v>
      </c>
      <c r="S164" s="8"/>
    </row>
    <row r="165" spans="1:19" ht="13.5" hidden="1" x14ac:dyDescent="0.4">
      <c r="A16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Passo Fundo/RSEMF-ISNENF-INS (Multidisciplinar II)</v>
      </c>
      <c r="B165" s="8" t="str">
        <f>Tabela2[[#This Row],[CATEGORIA]]&amp;Tabela2[[#This Row],[CURSOS]]&amp;"LAP - "&amp;Tabela2[[#This Row],[POLO]]</f>
        <v>ENF-INS (Multidisciplinar II)EMF-ISNLAP - Passo Fundo/RS</v>
      </c>
      <c r="C165" s="8" t="str">
        <f>Tabela2[[#This Row],[CATEGORIA]]&amp;Tabela2[[#This Row],[CURSOS]]</f>
        <v>ENF-INS (Multidisciplinar II)EMF-ISN</v>
      </c>
      <c r="D165" s="8" t="str">
        <f>IF(Tabela2[[#This Row],[SITUAÇÃO]]&lt;&gt;"Demitido",CONCATENATE(Tabela2[[#This Row],[POLO]],Tabela2[[#This Row],[CURSOS]]),"Substituição")</f>
        <v>Passo Fundo/RSEMF-ISN</v>
      </c>
      <c r="E165" s="8" t="s">
        <v>21</v>
      </c>
      <c r="F165" s="67" t="s">
        <v>22</v>
      </c>
      <c r="G165" s="67" t="s">
        <v>568</v>
      </c>
      <c r="H165" s="9" t="s">
        <v>569</v>
      </c>
      <c r="I165" s="17" t="str">
        <f>IFERROR(_xlfn.XLOOKUP(Tabela2[[#This Row],[CHAPA]],TUT.CONTROL!F:F,TUT.CONTROL!I:I),_xlfn.XLOOKUP(Tabela2[[#This Row],[CHAPA]],'REG.CONTROL'!F:F,'REG.CONTROL'!I:I))</f>
        <v>Ativo</v>
      </c>
      <c r="J165" s="17">
        <f>IFERROR(_xlfn.XLOOKUP(Tabela2[[#This Row],[NOME DO TUTOR]],TUT.CONTROL!C:C,TUT.CONTROL!G:G),"Demitido")</f>
        <v>45873</v>
      </c>
      <c r="K165" s="19">
        <v>5496906505</v>
      </c>
      <c r="L165" s="22">
        <f>IFERROR(_xlfn.XLOOKUP(Tabela2[[#This Row],[NOME DO TUTOR]],TUT.CONTROL!C:C,TUT.CONTROL!F:F),"Demitido")</f>
        <v>1158000789</v>
      </c>
      <c r="M165" s="8" t="s">
        <v>570</v>
      </c>
      <c r="N165" s="11" t="str">
        <f>IFERROR(_xlfn.XLOOKUP(Tabela2[[#This Row],[CHAPA]],TUT.CONTROL!F:F,TUT.CONTROL!H:H),_xlfn.XLOOKUP(Tabela2[[#This Row],[CHAPA]],'REG.CONTROL'!F:F,'REG.CONTROL'!H:H))</f>
        <v>TUTOR DE PRATICA (UC_1749)</v>
      </c>
      <c r="O165" s="68" t="str">
        <f>IFERROR(_xlfn.XLOOKUP(Tabela2[[#This Row],[NOME DO TUTOR]],TUT.CONTROL!C:C,TUT.CONTROL!K:K),"Demitido")</f>
        <v>004:00</v>
      </c>
      <c r="P16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65" s="66" t="s">
        <v>30</v>
      </c>
      <c r="R165" s="8" t="s">
        <v>109</v>
      </c>
      <c r="S165" s="74" t="s">
        <v>571</v>
      </c>
    </row>
    <row r="166" spans="1:19" ht="13.5" hidden="1" x14ac:dyDescent="0.3">
      <c r="A16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Quixeramobim/CEECE-ENM-ENS-ENG-EEA-GPI-CDE-OBR-SAN-TER-FSA-SLF-QUIENGMAKER+QUÍMICA E FÍSICA</v>
      </c>
      <c r="B166" s="8" t="str">
        <f>Tabela2[[#This Row],[CATEGORIA]]&amp;Tabela2[[#This Row],[CURSOS]]&amp;"LAP - "&amp;Tabela2[[#This Row],[POLO]]</f>
        <v>ENGMAKER+QUÍMICA E FÍSICAECE-ENM-ENS-ENG-EEA-GPI-CDE-OBR-SAN-TER-FSA-SLF-QUILAP - Quixeramobim/CE</v>
      </c>
      <c r="C166" s="8" t="str">
        <f>Tabela2[[#This Row],[CATEGORIA]]&amp;Tabela2[[#This Row],[CURSOS]]</f>
        <v>ENGMAKER+QUÍMICA E FÍSICAECE-ENM-ENS-ENG-EEA-GPI-CDE-OBR-SAN-TER-FSA-SLF-QUI</v>
      </c>
      <c r="D166" s="8" t="str">
        <f>IF(Tabela2[[#This Row],[SITUAÇÃO]]&lt;&gt;"Demitido",CONCATENATE(Tabela2[[#This Row],[POLO]],Tabela2[[#This Row],[CURSOS]]),"Substituição")</f>
        <v>Quixeramobim/CEECE-ENM-ENS-ENG-EEA-GPI-CDE-OBR-SAN-TER-FSA-SLF-QUI</v>
      </c>
      <c r="E166" s="8" t="s">
        <v>125</v>
      </c>
      <c r="F166" s="67" t="s">
        <v>126</v>
      </c>
      <c r="G166" s="67" t="s">
        <v>572</v>
      </c>
      <c r="H166" s="9" t="s">
        <v>573</v>
      </c>
      <c r="I166" s="17" t="str">
        <f>IFERROR(_xlfn.XLOOKUP(Tabela2[[#This Row],[CHAPA]],TUT.CONTROL!F:F,TUT.CONTROL!I:I),_xlfn.XLOOKUP(Tabela2[[#This Row],[CHAPA]],'REG.CONTROL'!F:F,'REG.CONTROL'!I:I))</f>
        <v>Ativo</v>
      </c>
      <c r="J166" s="17">
        <f>IFERROR(_xlfn.XLOOKUP(Tabela2[[#This Row],[NOME DO TUTOR]],TUT.CONTROL!C:C,TUT.CONTROL!G:G),"Demitido")</f>
        <v>45763</v>
      </c>
      <c r="K166" s="19" t="s">
        <v>574</v>
      </c>
      <c r="L166" s="22">
        <f>IFERROR(_xlfn.XLOOKUP(Tabela2[[#This Row],[NOME DO TUTOR]],TUT.CONTROL!C:C,TUT.CONTROL!F:F),"Demitido")</f>
        <v>1158000592</v>
      </c>
      <c r="M166" s="8" t="s">
        <v>575</v>
      </c>
      <c r="N166" s="11" t="str">
        <f>IFERROR(_xlfn.XLOOKUP(Tabela2[[#This Row],[CHAPA]],TUT.CONTROL!F:F,TUT.CONTROL!H:H),_xlfn.XLOOKUP(Tabela2[[#This Row],[CHAPA]],'REG.CONTROL'!F:F,'REG.CONTROL'!H:H))</f>
        <v>TUTOR DE PRATICA (UC_1749)</v>
      </c>
      <c r="O166" s="68" t="str">
        <f>IFERROR(_xlfn.XLOOKUP(Tabela2[[#This Row],[NOME DO TUTOR]],TUT.CONTROL!C:C,TUT.CONTROL!K:K),"Demitido")</f>
        <v>004:00</v>
      </c>
      <c r="P16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66" s="66" t="s">
        <v>30</v>
      </c>
      <c r="R166" s="8" t="s">
        <v>576</v>
      </c>
      <c r="S166" s="8" t="s">
        <v>577</v>
      </c>
    </row>
    <row r="167" spans="1:19" ht="13.5" hidden="1" x14ac:dyDescent="0.3">
      <c r="A16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67" s="8" t="str">
        <f>Tabela2[[#This Row],[CATEGORIA]]&amp;Tabela2[[#This Row],[CURSOS]]&amp;"LAP - "&amp;Tabela2[[#This Row],[POLO]]</f>
        <v>ENGMAKER+QUÍMICA E FÍSICAECE-ENM-ENS-ENG-EEA-GPI-CDE-OBR-SAN-TER-FSA-SLF-QUILAP - Goiânia/GO - Centro</v>
      </c>
      <c r="C167" s="8" t="str">
        <f>Tabela2[[#This Row],[CATEGORIA]]&amp;Tabela2[[#This Row],[CURSOS]]</f>
        <v>ENGMAKER+QUÍMICA E FÍSICAECE-ENM-ENS-ENG-EEA-GPI-CDE-OBR-SAN-TER-FSA-SLF-QUI</v>
      </c>
      <c r="D167" s="8" t="str">
        <f>IF(Tabela2[[#This Row],[SITUAÇÃO]]&lt;&gt;"Demitido",CONCATENATE(Tabela2[[#This Row],[POLO]],Tabela2[[#This Row],[CURSOS]]),"Substituição")</f>
        <v>Substituição</v>
      </c>
      <c r="E167" s="8" t="s">
        <v>125</v>
      </c>
      <c r="F167" s="67" t="s">
        <v>126</v>
      </c>
      <c r="G167" s="67" t="s">
        <v>578</v>
      </c>
      <c r="H167" s="9" t="s">
        <v>579</v>
      </c>
      <c r="I167" s="17" t="str">
        <f>IFERROR(_xlfn.XLOOKUP(Tabela2[[#This Row],[CHAPA]],TUT.CONTROL!F:F,TUT.CONTROL!I:I),_xlfn.XLOOKUP(Tabela2[[#This Row],[CHAPA]],'REG.CONTROL'!F:F,'REG.CONTROL'!I:I))</f>
        <v>Demitido</v>
      </c>
      <c r="J167" s="17">
        <f>IFERROR(_xlfn.XLOOKUP(Tabela2[[#This Row],[NOME DO TUTOR]],TUT.CONTROL!C:C,TUT.CONTROL!G:G),"Demitido")</f>
        <v>45763</v>
      </c>
      <c r="K167" s="19" t="s">
        <v>580</v>
      </c>
      <c r="L167" s="22">
        <f>IFERROR(_xlfn.XLOOKUP(Tabela2[[#This Row],[NOME DO TUTOR]],TUT.CONTROL!C:C,TUT.CONTROL!F:F),"Demitido")</f>
        <v>1158000596</v>
      </c>
      <c r="M167" s="8" t="s">
        <v>581</v>
      </c>
      <c r="N167" s="11" t="str">
        <f>IFERROR(_xlfn.XLOOKUP(Tabela2[[#This Row],[CHAPA]],TUT.CONTROL!F:F,TUT.CONTROL!H:H),_xlfn.XLOOKUP(Tabela2[[#This Row],[CHAPA]],'REG.CONTROL'!F:F,'REG.CONTROL'!H:H))</f>
        <v>TUTOR DE PRATICA (UC_1749)</v>
      </c>
      <c r="O167" s="68" t="str">
        <f>IFERROR(_xlfn.XLOOKUP(Tabela2[[#This Row],[NOME DO TUTOR]],TUT.CONTROL!C:C,TUT.CONTROL!K:K),"Demitido")</f>
        <v>004:00</v>
      </c>
      <c r="P167" s="17">
        <f>IF(Tabela2[[#This Row],[SITUAÇÃO]]="Demitido",IFERROR(_xlfn.XLOOKUP(Tabela2[[#This Row],[CHAPA]],TUT.CONTROL!F:F,TUT.CONTROL!V:V),_xlfn.XLOOKUP(Tabela2[[#This Row],[CHAPA]],'REG.CONTROL'!F:F,'REG.CONTROL'!V:V)),"-")</f>
        <v>46055</v>
      </c>
      <c r="Q167" s="66" t="s">
        <v>43</v>
      </c>
      <c r="R167" s="66" t="s">
        <v>43</v>
      </c>
      <c r="S167" s="8"/>
    </row>
    <row r="168" spans="1:19" ht="13.5" hidden="1" x14ac:dyDescent="0.4">
      <c r="A16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Passo Fundo/RSEMF-ISN2ENF-INS (Multidisciplinar II)</v>
      </c>
      <c r="B168" s="8" t="str">
        <f>Tabela2[[#This Row],[CATEGORIA]]&amp;Tabela2[[#This Row],[CURSOS]]&amp;"LAP - "&amp;Tabela2[[#This Row],[POLO]]</f>
        <v>ENF-INS (Multidisciplinar II)EMF-ISN2LAP - Passo Fundo/RS</v>
      </c>
      <c r="C168" s="8" t="str">
        <f>Tabela2[[#This Row],[CATEGORIA]]&amp;Tabela2[[#This Row],[CURSOS]]</f>
        <v>ENF-INS (Multidisciplinar II)EMF-ISN2</v>
      </c>
      <c r="D168" s="8" t="str">
        <f>IF(Tabela2[[#This Row],[SITUAÇÃO]]&lt;&gt;"Demitido",CONCATENATE(Tabela2[[#This Row],[POLO]],Tabela2[[#This Row],[CURSOS]]),"Substituição")</f>
        <v>Passo Fundo/RSEMF-ISN2</v>
      </c>
      <c r="E168" s="8" t="s">
        <v>21</v>
      </c>
      <c r="F168" s="67" t="s">
        <v>582</v>
      </c>
      <c r="G168" s="67" t="s">
        <v>568</v>
      </c>
      <c r="H168" s="9" t="s">
        <v>583</v>
      </c>
      <c r="I168" s="17" t="str">
        <f>IFERROR(_xlfn.XLOOKUP(Tabela2[[#This Row],[CHAPA]],TUT.CONTROL!F:F,TUT.CONTROL!I:I),_xlfn.XLOOKUP(Tabela2[[#This Row],[CHAPA]],'REG.CONTROL'!F:F,'REG.CONTROL'!I:I))</f>
        <v>Ativo</v>
      </c>
      <c r="J168" s="17">
        <f>IFERROR(_xlfn.XLOOKUP(Tabela2[[#This Row],[NOME DO TUTOR]],TUT.CONTROL!C:C,TUT.CONTROL!G:G),"Demitido")</f>
        <v>45889</v>
      </c>
      <c r="K168" s="19">
        <v>54996600381</v>
      </c>
      <c r="L168" s="22">
        <f>IFERROR(_xlfn.XLOOKUP(Tabela2[[#This Row],[NOME DO TUTOR]],TUT.CONTROL!C:C,TUT.CONTROL!F:F),"Demitido")</f>
        <v>1158000906</v>
      </c>
      <c r="M168" s="8" t="s">
        <v>584</v>
      </c>
      <c r="N168" s="11" t="str">
        <f>IFERROR(_xlfn.XLOOKUP(Tabela2[[#This Row],[CHAPA]],TUT.CONTROL!F:F,TUT.CONTROL!H:H),_xlfn.XLOOKUP(Tabela2[[#This Row],[CHAPA]],'REG.CONTROL'!F:F,'REG.CONTROL'!H:H))</f>
        <v>TUTOR DE PRATICA (UC_1749)</v>
      </c>
      <c r="O168" s="68" t="str">
        <f>IFERROR(_xlfn.XLOOKUP(Tabela2[[#This Row],[NOME DO TUTOR]],TUT.CONTROL!C:C,TUT.CONTROL!K:K),"Demitido")</f>
        <v>004:00</v>
      </c>
      <c r="P16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68" s="66" t="s">
        <v>30</v>
      </c>
      <c r="R168" s="12" t="s">
        <v>109</v>
      </c>
      <c r="S168" s="12">
        <v>741200</v>
      </c>
    </row>
    <row r="169" spans="1:19" ht="13.5" hidden="1" x14ac:dyDescent="0.3">
      <c r="A16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69" s="8" t="str">
        <f>Tabela2[[#This Row],[CATEGORIA]]&amp;Tabela2[[#This Row],[CURSOS]]&amp;"LAP - "&amp;Tabela2[[#This Row],[POLO]]</f>
        <v>ENF-INS (Multidisciplinar II)EMF-ISNLAP - Patos de Minas/MG</v>
      </c>
      <c r="C169" s="8" t="str">
        <f>Tabela2[[#This Row],[CATEGORIA]]&amp;Tabela2[[#This Row],[CURSOS]]</f>
        <v>ENF-INS (Multidisciplinar II)EMF-ISN</v>
      </c>
      <c r="D169" s="8" t="str">
        <f>IF(Tabela2[[#This Row],[SITUAÇÃO]]&lt;&gt;"Demitido",CONCATENATE(Tabela2[[#This Row],[POLO]],Tabela2[[#This Row],[CURSOS]]),"Substituição")</f>
        <v>Substituição</v>
      </c>
      <c r="E169" s="8" t="s">
        <v>21</v>
      </c>
      <c r="F169" s="67" t="s">
        <v>22</v>
      </c>
      <c r="G169" s="67" t="s">
        <v>585</v>
      </c>
      <c r="H169" s="9" t="s">
        <v>586</v>
      </c>
      <c r="I169" s="17" t="str">
        <f>IFERROR(_xlfn.XLOOKUP(Tabela2[[#This Row],[CHAPA]],TUT.CONTROL!F:F,TUT.CONTROL!I:I),_xlfn.XLOOKUP(Tabela2[[#This Row],[CHAPA]],'REG.CONTROL'!F:F,'REG.CONTROL'!I:I))</f>
        <v>Demitido</v>
      </c>
      <c r="J169" s="17">
        <f>IFERROR(_xlfn.XLOOKUP(Tabela2[[#This Row],[NOME DO TUTOR]],TUT.CONTROL!C:C,TUT.CONTROL!G:G),"Demitido")</f>
        <v>45770</v>
      </c>
      <c r="K169" s="19" t="s">
        <v>587</v>
      </c>
      <c r="L169" s="22">
        <f>IFERROR(_xlfn.XLOOKUP(Tabela2[[#This Row],[NOME DO TUTOR]],TUT.CONTROL!C:C,TUT.CONTROL!F:F),"Demitido")</f>
        <v>1158000597</v>
      </c>
      <c r="M169" s="8" t="s">
        <v>588</v>
      </c>
      <c r="N169" s="11" t="str">
        <f>IFERROR(_xlfn.XLOOKUP(Tabela2[[#This Row],[CHAPA]],TUT.CONTROL!F:F,TUT.CONTROL!H:H),_xlfn.XLOOKUP(Tabela2[[#This Row],[CHAPA]],'REG.CONTROL'!F:F,'REG.CONTROL'!H:H))</f>
        <v>TUTOR DE PRATICA (UC_1749)</v>
      </c>
      <c r="O169" s="68" t="str">
        <f>IFERROR(_xlfn.XLOOKUP(Tabela2[[#This Row],[NOME DO TUTOR]],TUT.CONTROL!C:C,TUT.CONTROL!K:K),"Demitido")</f>
        <v>004:00</v>
      </c>
      <c r="P169" s="17">
        <f>IF(Tabela2[[#This Row],[SITUAÇÃO]]="Demitido",IFERROR(_xlfn.XLOOKUP(Tabela2[[#This Row],[CHAPA]],TUT.CONTROL!F:F,TUT.CONTROL!V:V),_xlfn.XLOOKUP(Tabela2[[#This Row],[CHAPA]],'REG.CONTROL'!F:F,'REG.CONTROL'!V:V)),"-")</f>
        <v>45860</v>
      </c>
      <c r="Q169" s="66" t="s">
        <v>43</v>
      </c>
      <c r="R169" s="8" t="s">
        <v>100</v>
      </c>
      <c r="S169" s="8">
        <v>760093</v>
      </c>
    </row>
    <row r="170" spans="1:19" ht="13.5" hidden="1" customHeight="1" x14ac:dyDescent="0.3">
      <c r="A17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70" s="8" t="str">
        <f>Tabela2[[#This Row],[CATEGORIA]]&amp;Tabela2[[#This Row],[CURSOS]]&amp;"LAP - "&amp;Tabela2[[#This Row],[POLO]]</f>
        <v>ENF-INS (Multidisciplinar II)EMF-ISNLAP - Paulo Afonso/BA - Tancredo Neves II</v>
      </c>
      <c r="C170" s="8" t="str">
        <f>Tabela2[[#This Row],[CATEGORIA]]&amp;Tabela2[[#This Row],[CURSOS]]</f>
        <v>ENF-INS (Multidisciplinar II)EMF-ISN</v>
      </c>
      <c r="D170" s="8" t="str">
        <f>IF(Tabela2[[#This Row],[SITUAÇÃO]]&lt;&gt;"Demitido",CONCATENATE(Tabela2[[#This Row],[POLO]],Tabela2[[#This Row],[CURSOS]]),"Substituição")</f>
        <v>Substituição</v>
      </c>
      <c r="E170" s="8" t="s">
        <v>21</v>
      </c>
      <c r="F170" s="67" t="s">
        <v>22</v>
      </c>
      <c r="G170" s="67" t="s">
        <v>589</v>
      </c>
      <c r="H170" s="9" t="s">
        <v>590</v>
      </c>
      <c r="I170" s="17" t="str">
        <f>IFERROR(_xlfn.XLOOKUP(Tabela2[[#This Row],[CHAPA]],TUT.CONTROL!F:F,TUT.CONTROL!I:I),_xlfn.XLOOKUP(Tabela2[[#This Row],[CHAPA]],'REG.CONTROL'!F:F,'REG.CONTROL'!I:I))</f>
        <v>Demitido</v>
      </c>
      <c r="J170" s="17">
        <f>IFERROR(_xlfn.XLOOKUP(Tabela2[[#This Row],[NOME DO TUTOR]],TUT.CONTROL!C:C,TUT.CONTROL!G:G),"Demitido")</f>
        <v>45735</v>
      </c>
      <c r="K170" s="19">
        <v>75992234344</v>
      </c>
      <c r="L170" s="22">
        <f>IFERROR(_xlfn.XLOOKUP(Tabela2[[#This Row],[NOME DO TUTOR]],TUT.CONTROL!C:C,TUT.CONTROL!F:F),"Demitido")</f>
        <v>1158000585</v>
      </c>
      <c r="M170" s="8" t="s">
        <v>591</v>
      </c>
      <c r="N170" s="11" t="str">
        <f>IFERROR(_xlfn.XLOOKUP(Tabela2[[#This Row],[CHAPA]],TUT.CONTROL!F:F,TUT.CONTROL!H:H),_xlfn.XLOOKUP(Tabela2[[#This Row],[CHAPA]],'REG.CONTROL'!F:F,'REG.CONTROL'!H:H))</f>
        <v>TUTOR DE PRATICA (UC_1749)</v>
      </c>
      <c r="O170" s="68" t="str">
        <f>IFERROR(_xlfn.XLOOKUP(Tabela2[[#This Row],[NOME DO TUTOR]],TUT.CONTROL!C:C,TUT.CONTROL!K:K),"Demitido")</f>
        <v>004:00</v>
      </c>
      <c r="P170" s="17">
        <f>IF(Tabela2[[#This Row],[SITUAÇÃO]]="Demitido",IFERROR(_xlfn.XLOOKUP(Tabela2[[#This Row],[CHAPA]],TUT.CONTROL!F:F,TUT.CONTROL!V:V),_xlfn.XLOOKUP(Tabela2[[#This Row],[CHAPA]],'REG.CONTROL'!F:F,'REG.CONTROL'!V:V)),"-")</f>
        <v>46057</v>
      </c>
      <c r="Q170" s="66" t="s">
        <v>43</v>
      </c>
      <c r="R170" s="8" t="s">
        <v>286</v>
      </c>
      <c r="S170" s="8">
        <v>420508</v>
      </c>
    </row>
    <row r="171" spans="1:19" ht="13.5" hidden="1" x14ac:dyDescent="0.3">
      <c r="A17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71" s="8" t="str">
        <f>Tabela2[[#This Row],[CATEGORIA]]&amp;Tabela2[[#This Row],[CURSOS]]&amp;"LAP - "&amp;Tabela2[[#This Row],[POLO]]</f>
        <v>ENF-INS (Multidisciplinar II)EMF-ISNLAP - Pelotas/RS - Centro</v>
      </c>
      <c r="C171" s="8" t="str">
        <f>Tabela2[[#This Row],[CATEGORIA]]&amp;Tabela2[[#This Row],[CURSOS]]</f>
        <v>ENF-INS (Multidisciplinar II)EMF-ISN</v>
      </c>
      <c r="D171" s="8" t="str">
        <f>IF(Tabela2[[#This Row],[SITUAÇÃO]]&lt;&gt;"Demitido",CONCATENATE(Tabela2[[#This Row],[POLO]],Tabela2[[#This Row],[CURSOS]]),"Substituição")</f>
        <v>Substituição</v>
      </c>
      <c r="E171" s="8" t="s">
        <v>21</v>
      </c>
      <c r="F171" s="67" t="s">
        <v>22</v>
      </c>
      <c r="G171" s="67" t="s">
        <v>592</v>
      </c>
      <c r="H171" s="9" t="s">
        <v>593</v>
      </c>
      <c r="I171" s="17" t="str">
        <f>IFERROR(_xlfn.XLOOKUP(Tabela2[[#This Row],[CHAPA]],TUT.CONTROL!F:F,TUT.CONTROL!I:I),_xlfn.XLOOKUP(Tabela2[[#This Row],[CHAPA]],'REG.CONTROL'!F:F,'REG.CONTROL'!I:I))</f>
        <v>Demitido</v>
      </c>
      <c r="J171" s="17">
        <f>IFERROR(_xlfn.XLOOKUP(Tabela2[[#This Row],[NOME DO TUTOR]],TUT.CONTROL!C:C,TUT.CONTROL!G:G),"Demitido")</f>
        <v>45735</v>
      </c>
      <c r="K171" s="19">
        <v>53981363243</v>
      </c>
      <c r="L171" s="22">
        <f>IFERROR(_xlfn.XLOOKUP(Tabela2[[#This Row],[NOME DO TUTOR]],TUT.CONTROL!C:C,TUT.CONTROL!F:F),"Demitido")</f>
        <v>1158000574</v>
      </c>
      <c r="M171" s="8" t="s">
        <v>594</v>
      </c>
      <c r="N171" s="11" t="str">
        <f>IFERROR(_xlfn.XLOOKUP(Tabela2[[#This Row],[CHAPA]],TUT.CONTROL!F:F,TUT.CONTROL!H:H),_xlfn.XLOOKUP(Tabela2[[#This Row],[CHAPA]],'REG.CONTROL'!F:F,'REG.CONTROL'!H:H))</f>
        <v>TUTOR DE PRATICA (UC_1749)</v>
      </c>
      <c r="O171" s="68" t="str">
        <f>IFERROR(_xlfn.XLOOKUP(Tabela2[[#This Row],[NOME DO TUTOR]],TUT.CONTROL!C:C,TUT.CONTROL!K:K),"Demitido")</f>
        <v>004:00</v>
      </c>
      <c r="P171" s="17">
        <f>IF(Tabela2[[#This Row],[SITUAÇÃO]]="Demitido",IFERROR(_xlfn.XLOOKUP(Tabela2[[#This Row],[CHAPA]],TUT.CONTROL!F:F,TUT.CONTROL!V:V),_xlfn.XLOOKUP(Tabela2[[#This Row],[CHAPA]],'REG.CONTROL'!F:F,'REG.CONTROL'!V:V)),"-")</f>
        <v>46126</v>
      </c>
      <c r="Q171" s="66" t="s">
        <v>30</v>
      </c>
      <c r="R171" s="8" t="s">
        <v>109</v>
      </c>
      <c r="S171" s="8">
        <v>368477</v>
      </c>
    </row>
    <row r="172" spans="1:19" ht="13.5" hidden="1" x14ac:dyDescent="0.3">
      <c r="A17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Petrópolis/RJEMF-ISNENF-INS (Multidisciplinar II)</v>
      </c>
      <c r="B172" s="8" t="str">
        <f>Tabela2[[#This Row],[CATEGORIA]]&amp;Tabela2[[#This Row],[CURSOS]]&amp;"LAP - "&amp;Tabela2[[#This Row],[POLO]]</f>
        <v>ENF-INS (Multidisciplinar II)EMF-ISNLAP - Petrópolis/RJ</v>
      </c>
      <c r="C172" s="8" t="str">
        <f>Tabela2[[#This Row],[CATEGORIA]]&amp;Tabela2[[#This Row],[CURSOS]]</f>
        <v>ENF-INS (Multidisciplinar II)EMF-ISN</v>
      </c>
      <c r="D172" s="8" t="str">
        <f>IF(Tabela2[[#This Row],[SITUAÇÃO]]&lt;&gt;"Demitido",CONCATENATE(Tabela2[[#This Row],[POLO]],Tabela2[[#This Row],[CURSOS]]),"Substituição")</f>
        <v>Petrópolis/RJEMF-ISN</v>
      </c>
      <c r="E172" s="8" t="s">
        <v>21</v>
      </c>
      <c r="F172" s="67" t="s">
        <v>22</v>
      </c>
      <c r="G172" s="67" t="s">
        <v>595</v>
      </c>
      <c r="H172" s="9" t="s">
        <v>596</v>
      </c>
      <c r="I172" s="17" t="str">
        <f>IFERROR(_xlfn.XLOOKUP(Tabela2[[#This Row],[CHAPA]],TUT.CONTROL!F:F,TUT.CONTROL!I:I),_xlfn.XLOOKUP(Tabela2[[#This Row],[CHAPA]],'REG.CONTROL'!F:F,'REG.CONTROL'!I:I))</f>
        <v>Ativo</v>
      </c>
      <c r="J172" s="17">
        <f>IFERROR(_xlfn.XLOOKUP(Tabela2[[#This Row],[NOME DO TUTOR]],TUT.CONTROL!C:C,TUT.CONTROL!G:G),"Demitido")</f>
        <v>45754</v>
      </c>
      <c r="K172" s="19">
        <v>24993059252</v>
      </c>
      <c r="L172" s="22">
        <f>IFERROR(_xlfn.XLOOKUP(Tabela2[[#This Row],[NOME DO TUTOR]],TUT.CONTROL!C:C,TUT.CONTROL!F:F),"Demitido")</f>
        <v>1158000683</v>
      </c>
      <c r="M172" s="8" t="s">
        <v>597</v>
      </c>
      <c r="N172" s="11" t="str">
        <f>IFERROR(_xlfn.XLOOKUP(Tabela2[[#This Row],[CHAPA]],TUT.CONTROL!F:F,TUT.CONTROL!H:H),_xlfn.XLOOKUP(Tabela2[[#This Row],[CHAPA]],'REG.CONTROL'!F:F,'REG.CONTROL'!H:H))</f>
        <v>TUTOR DE PRATICA (UC_1749)</v>
      </c>
      <c r="O172" s="68" t="str">
        <f>IFERROR(_xlfn.XLOOKUP(Tabela2[[#This Row],[NOME DO TUTOR]],TUT.CONTROL!C:C,TUT.CONTROL!K:K),"Demitido")</f>
        <v>004:00</v>
      </c>
      <c r="P17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72" s="66" t="s">
        <v>30</v>
      </c>
      <c r="R172" s="8" t="s">
        <v>157</v>
      </c>
      <c r="S172" s="8">
        <v>336876</v>
      </c>
    </row>
    <row r="173" spans="1:19" ht="13.5" hidden="1" x14ac:dyDescent="0.3">
      <c r="A17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Picos/PIEMF-ISNENF-INS (Multidisciplinar II)</v>
      </c>
      <c r="B173" s="8" t="str">
        <f>Tabela2[[#This Row],[CATEGORIA]]&amp;Tabela2[[#This Row],[CURSOS]]&amp;"LAP - "&amp;Tabela2[[#This Row],[POLO]]</f>
        <v>ENF-INS (Multidisciplinar II)EMF-ISNLAP - Picos/PI</v>
      </c>
      <c r="C173" s="8" t="str">
        <f>Tabela2[[#This Row],[CATEGORIA]]&amp;Tabela2[[#This Row],[CURSOS]]</f>
        <v>ENF-INS (Multidisciplinar II)EMF-ISN</v>
      </c>
      <c r="D173" s="8" t="str">
        <f>IF(Tabela2[[#This Row],[SITUAÇÃO]]&lt;&gt;"Demitido",CONCATENATE(Tabela2[[#This Row],[POLO]],Tabela2[[#This Row],[CURSOS]]),"Substituição")</f>
        <v>Picos/PIEMF-ISN</v>
      </c>
      <c r="E173" s="8" t="s">
        <v>21</v>
      </c>
      <c r="F173" s="67" t="s">
        <v>22</v>
      </c>
      <c r="G173" s="67" t="s">
        <v>598</v>
      </c>
      <c r="H173" s="9" t="s">
        <v>599</v>
      </c>
      <c r="I173" s="17" t="str">
        <f>IFERROR(_xlfn.XLOOKUP(Tabela2[[#This Row],[CHAPA]],TUT.CONTROL!F:F,TUT.CONTROL!I:I),_xlfn.XLOOKUP(Tabela2[[#This Row],[CHAPA]],'REG.CONTROL'!F:F,'REG.CONTROL'!I:I))</f>
        <v>Ativo</v>
      </c>
      <c r="J173" s="17">
        <f>IFERROR(_xlfn.XLOOKUP(Tabela2[[#This Row],[NOME DO TUTOR]],TUT.CONTROL!C:C,TUT.CONTROL!G:G),"Demitido")</f>
        <v>45789</v>
      </c>
      <c r="K173" s="19">
        <v>89994045040</v>
      </c>
      <c r="L173" s="22">
        <f>IFERROR(_xlfn.XLOOKUP(Tabela2[[#This Row],[NOME DO TUTOR]],TUT.CONTROL!C:C,TUT.CONTROL!F:F),"Demitido")</f>
        <v>1158000618</v>
      </c>
      <c r="M173" s="8" t="s">
        <v>600</v>
      </c>
      <c r="N173" s="11" t="str">
        <f>IFERROR(_xlfn.XLOOKUP(Tabela2[[#This Row],[CHAPA]],TUT.CONTROL!F:F,TUT.CONTROL!H:H),_xlfn.XLOOKUP(Tabela2[[#This Row],[CHAPA]],'REG.CONTROL'!F:F,'REG.CONTROL'!H:H))</f>
        <v>TUTOR DE PRATICA (UC_1749)</v>
      </c>
      <c r="O173" s="68" t="str">
        <f>IFERROR(_xlfn.XLOOKUP(Tabela2[[#This Row],[NOME DO TUTOR]],TUT.CONTROL!C:C,TUT.CONTROL!K:K),"Demitido")</f>
        <v>008:00</v>
      </c>
      <c r="P17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73" s="66" t="s">
        <v>30</v>
      </c>
      <c r="R173" s="8" t="s">
        <v>560</v>
      </c>
      <c r="S173" s="8">
        <v>479836</v>
      </c>
    </row>
    <row r="174" spans="1:19" ht="13.5" hidden="1" x14ac:dyDescent="0.3">
      <c r="A17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Cuiabá/MT - PoçãoECE-ENM-ENS-ENG-EEA-GPI-CDE-OBR-SAN-TER-FSA-SLF-QUIENGMAKER+QUÍMICA E FÍSICA</v>
      </c>
      <c r="B174" s="8" t="str">
        <f>Tabela2[[#This Row],[CATEGORIA]]&amp;Tabela2[[#This Row],[CURSOS]]&amp;"LAP - "&amp;Tabela2[[#This Row],[POLO]]</f>
        <v>ENGMAKER+QUÍMICA E FÍSICAECE-ENM-ENS-ENG-EEA-GPI-CDE-OBR-SAN-TER-FSA-SLF-QUILAP - Cuiabá/MT - Poção</v>
      </c>
      <c r="C174" s="8" t="str">
        <f>Tabela2[[#This Row],[CATEGORIA]]&amp;Tabela2[[#This Row],[CURSOS]]</f>
        <v>ENGMAKER+QUÍMICA E FÍSICAECE-ENM-ENS-ENG-EEA-GPI-CDE-OBR-SAN-TER-FSA-SLF-QUI</v>
      </c>
      <c r="D174" s="8" t="str">
        <f>IF(Tabela2[[#This Row],[SITUAÇÃO]]&lt;&gt;"Demitido",CONCATENATE(Tabela2[[#This Row],[POLO]],Tabela2[[#This Row],[CURSOS]]),"Substituição")</f>
        <v>Cuiabá/MT - PoçãoECE-ENM-ENS-ENG-EEA-GPI-CDE-OBR-SAN-TER-FSA-SLF-QUI</v>
      </c>
      <c r="E174" s="8" t="s">
        <v>125</v>
      </c>
      <c r="F174" s="67" t="s">
        <v>126</v>
      </c>
      <c r="G174" s="67" t="s">
        <v>251</v>
      </c>
      <c r="H174" s="9" t="s">
        <v>601</v>
      </c>
      <c r="I174" s="17" t="str">
        <f>IFERROR(_xlfn.XLOOKUP(Tabela2[[#This Row],[CHAPA]],TUT.CONTROL!F:F,TUT.CONTROL!I:I),_xlfn.XLOOKUP(Tabela2[[#This Row],[CHAPA]],'REG.CONTROL'!F:F,'REG.CONTROL'!I:I))</f>
        <v>Ativo</v>
      </c>
      <c r="J174" s="17">
        <f>IFERROR(_xlfn.XLOOKUP(Tabela2[[#This Row],[NOME DO TUTOR]],TUT.CONTROL!C:C,TUT.CONTROL!G:G),"Demitido")</f>
        <v>45782</v>
      </c>
      <c r="K174" s="19" t="s">
        <v>602</v>
      </c>
      <c r="L174" s="22">
        <f>IFERROR(_xlfn.XLOOKUP(Tabela2[[#This Row],[NOME DO TUTOR]],TUT.CONTROL!C:C,TUT.CONTROL!F:F),"Demitido")</f>
        <v>1158000615</v>
      </c>
      <c r="M174" s="8" t="s">
        <v>603</v>
      </c>
      <c r="N174" s="11" t="str">
        <f>IFERROR(_xlfn.XLOOKUP(Tabela2[[#This Row],[CHAPA]],TUT.CONTROL!F:F,TUT.CONTROL!H:H),_xlfn.XLOOKUP(Tabela2[[#This Row],[CHAPA]],'REG.CONTROL'!F:F,'REG.CONTROL'!H:H))</f>
        <v>TUTOR DE PRATICA (UC_1749)</v>
      </c>
      <c r="O174" s="68" t="str">
        <f>IFERROR(_xlfn.XLOOKUP(Tabela2[[#This Row],[NOME DO TUTOR]],TUT.CONTROL!C:C,TUT.CONTROL!K:K),"Demitido")</f>
        <v>004:00</v>
      </c>
      <c r="P17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74" s="66" t="s">
        <v>30</v>
      </c>
      <c r="R174" s="8"/>
      <c r="S174" s="8"/>
    </row>
    <row r="175" spans="1:19" ht="13.5" hidden="1" customHeight="1" x14ac:dyDescent="0.3">
      <c r="A17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75" s="8" t="str">
        <f>Tabela2[[#This Row],[CATEGORIA]]&amp;Tabela2[[#This Row],[CURSOS]]&amp;"LAP - "&amp;Tabela2[[#This Row],[POLO]]</f>
        <v>ENF-INS (Multidisciplinar II)EMF-ISNLAP - Pirapora/MG</v>
      </c>
      <c r="C175" s="8" t="str">
        <f>Tabela2[[#This Row],[CATEGORIA]]&amp;Tabela2[[#This Row],[CURSOS]]</f>
        <v>ENF-INS (Multidisciplinar II)EMF-ISN</v>
      </c>
      <c r="D175" s="8" t="str">
        <f>IF(Tabela2[[#This Row],[SITUAÇÃO]]&lt;&gt;"Demitido",CONCATENATE(Tabela2[[#This Row],[POLO]],Tabela2[[#This Row],[CURSOS]]),"Substituição")</f>
        <v>Substituição</v>
      </c>
      <c r="E175" s="8" t="s">
        <v>21</v>
      </c>
      <c r="F175" s="67" t="s">
        <v>22</v>
      </c>
      <c r="G175" s="67" t="s">
        <v>604</v>
      </c>
      <c r="H175" s="9" t="s">
        <v>605</v>
      </c>
      <c r="I175" s="71" t="str">
        <f>IFERROR(_xlfn.XLOOKUP(Tabela2[[#This Row],[CHAPA]],TUT.CONTROL!F:F,TUT.CONTROL!I:I),_xlfn.XLOOKUP(Tabela2[[#This Row],[CHAPA]],'REG.CONTROL'!F:F,'REG.CONTROL'!I:I))</f>
        <v>Demitido</v>
      </c>
      <c r="J175" s="17">
        <f>IFERROR(_xlfn.XLOOKUP(Tabela2[[#This Row],[NOME DO TUTOR]],TUT.CONTROL!C:C,TUT.CONTROL!G:G),"Demitido")</f>
        <v>45754</v>
      </c>
      <c r="K175" s="19" t="s">
        <v>606</v>
      </c>
      <c r="L175" s="22">
        <f>IFERROR(_xlfn.XLOOKUP(Tabela2[[#This Row],[NOME DO TUTOR]],TUT.CONTROL!C:C,TUT.CONTROL!F:F),"Demitido")</f>
        <v>1158000681</v>
      </c>
      <c r="M175" s="8" t="s">
        <v>607</v>
      </c>
      <c r="N175" s="11" t="str">
        <f>IFERROR(_xlfn.XLOOKUP(Tabela2[[#This Row],[CHAPA]],TUT.CONTROL!F:F,TUT.CONTROL!H:H),_xlfn.XLOOKUP(Tabela2[[#This Row],[CHAPA]],'REG.CONTROL'!F:F,'REG.CONTROL'!H:H))</f>
        <v>TUTOR DE PRATICA (UC_1749)</v>
      </c>
      <c r="O175" s="68" t="str">
        <f>IFERROR(_xlfn.XLOOKUP(Tabela2[[#This Row],[NOME DO TUTOR]],TUT.CONTROL!C:C,TUT.CONTROL!K:K),"Demitido")</f>
        <v>004:00</v>
      </c>
      <c r="P175" s="17">
        <f>IF(Tabela2[[#This Row],[SITUAÇÃO]]="Demitido",IFERROR(_xlfn.XLOOKUP(Tabela2[[#This Row],[CHAPA]],TUT.CONTROL!F:F,TUT.CONTROL!V:V),_xlfn.XLOOKUP(Tabela2[[#This Row],[CHAPA]],'REG.CONTROL'!F:F,'REG.CONTROL'!V:V)),"-")</f>
        <v>46071</v>
      </c>
      <c r="Q175" s="66" t="s">
        <v>43</v>
      </c>
      <c r="R175" s="8" t="s">
        <v>100</v>
      </c>
      <c r="S175" s="8">
        <v>663617</v>
      </c>
    </row>
    <row r="176" spans="1:19" ht="13.5" hidden="1" customHeight="1" x14ac:dyDescent="0.3">
      <c r="A17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Planaltina/GOEMF-ISNENF-INS (Multidisciplinar II)</v>
      </c>
      <c r="B176" s="8" t="str">
        <f>Tabela2[[#This Row],[CATEGORIA]]&amp;Tabela2[[#This Row],[CURSOS]]&amp;"LAP - "&amp;Tabela2[[#This Row],[POLO]]</f>
        <v>ENF-INS (Multidisciplinar II)EMF-ISNLAP - Planaltina/GO</v>
      </c>
      <c r="C176" s="8" t="str">
        <f>Tabela2[[#This Row],[CATEGORIA]]&amp;Tabela2[[#This Row],[CURSOS]]</f>
        <v>ENF-INS (Multidisciplinar II)EMF-ISN</v>
      </c>
      <c r="D176" s="8" t="str">
        <f>IF(Tabela2[[#This Row],[SITUAÇÃO]]&lt;&gt;"Demitido",CONCATENATE(Tabela2[[#This Row],[POLO]],Tabela2[[#This Row],[CURSOS]]),"Substituição")</f>
        <v>Planaltina/GOEMF-ISN</v>
      </c>
      <c r="E176" s="8" t="s">
        <v>21</v>
      </c>
      <c r="F176" s="67" t="s">
        <v>22</v>
      </c>
      <c r="G176" s="67" t="s">
        <v>608</v>
      </c>
      <c r="H176" s="9" t="s">
        <v>609</v>
      </c>
      <c r="I176" s="17" t="str">
        <f>IFERROR(_xlfn.XLOOKUP(Tabela2[[#This Row],[CHAPA]],TUT.CONTROL!F:F,TUT.CONTROL!I:I),_xlfn.XLOOKUP(Tabela2[[#This Row],[CHAPA]],'REG.CONTROL'!F:F,'REG.CONTROL'!I:I))</f>
        <v>Ativo</v>
      </c>
      <c r="J176" s="17">
        <f>IFERROR(_xlfn.XLOOKUP(Tabela2[[#This Row],[NOME DO TUTOR]],'REG.CONTROL'!C:C,'REG.CONTROL'!G:G),"Demitido")</f>
        <v>44784</v>
      </c>
      <c r="K176" s="19">
        <v>61996727694</v>
      </c>
      <c r="L176" s="22">
        <f>IFERROR(_xlfn.XLOOKUP(Tabela2[[#This Row],[NOME DO TUTOR]],'REG.CONTROL'!C:C,'REG.CONTROL'!F:F),"Demitido")</f>
        <v>1004010435</v>
      </c>
      <c r="M176" s="8" t="s">
        <v>610</v>
      </c>
      <c r="N176" s="11" t="str">
        <f>IFERROR(_xlfn.XLOOKUP(Tabela2[[#This Row],[CHAPA]],TUT.CONTROL!F:F,TUT.CONTROL!H:H),_xlfn.XLOOKUP(Tabela2[[#This Row],[CHAPA]],'REG.CONTROL'!F:F,'REG.CONTROL'!H:H))</f>
        <v>PROFESSOR REGENTE DE POLO (UC_1744)</v>
      </c>
      <c r="O176" s="68" t="str">
        <f>IFERROR(_xlfn.XLOOKUP(Tabela2[[#This Row],[NOME DO TUTOR]],'REGENTE CH'!A:A,'REGENTE CH'!C:C),"Atualizar")</f>
        <v>008:00</v>
      </c>
      <c r="P17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76" s="66" t="s">
        <v>30</v>
      </c>
      <c r="R176" s="8" t="s">
        <v>138</v>
      </c>
      <c r="S176" s="8">
        <v>475629</v>
      </c>
    </row>
    <row r="177" spans="1:19" ht="13.5" hidden="1" x14ac:dyDescent="0.3">
      <c r="A17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77" s="8" t="str">
        <f>Tabela2[[#This Row],[CATEGORIA]]&amp;Tabela2[[#This Row],[CURSOS]]&amp;"LAP - "&amp;Tabela2[[#This Row],[POLO]]</f>
        <v>ENF-INS (Multidisciplinar II)EMF-ISNLAP - Ponta Grossa/PR - Centro</v>
      </c>
      <c r="C177" s="8" t="str">
        <f>Tabela2[[#This Row],[CATEGORIA]]&amp;Tabela2[[#This Row],[CURSOS]]</f>
        <v>ENF-INS (Multidisciplinar II)EMF-ISN</v>
      </c>
      <c r="D177" s="8" t="str">
        <f>IF(Tabela2[[#This Row],[SITUAÇÃO]]&lt;&gt;"Demitido",CONCATENATE(Tabela2[[#This Row],[POLO]],Tabela2[[#This Row],[CURSOS]]),"Substituição")</f>
        <v>Substituição</v>
      </c>
      <c r="E177" s="8" t="s">
        <v>21</v>
      </c>
      <c r="F177" s="67" t="s">
        <v>22</v>
      </c>
      <c r="G177" s="67" t="s">
        <v>611</v>
      </c>
      <c r="H177" s="9" t="s">
        <v>612</v>
      </c>
      <c r="I177" s="17" t="str">
        <f>IFERROR(_xlfn.XLOOKUP(Tabela2[[#This Row],[CHAPA]],TUT.CONTROL!F:F,TUT.CONTROL!I:I),_xlfn.XLOOKUP(Tabela2[[#This Row],[CHAPA]],'REG.CONTROL'!F:F,'REG.CONTROL'!I:I))</f>
        <v>Demitido</v>
      </c>
      <c r="J177" s="17">
        <f>IFERROR(_xlfn.XLOOKUP(Tabela2[[#This Row],[NOME DO TUTOR]],TUT.CONTROL!C:C,TUT.CONTROL!G:G),"Demitido")</f>
        <v>45873</v>
      </c>
      <c r="K177" s="19">
        <v>42999305910</v>
      </c>
      <c r="L177" s="22">
        <f>IFERROR(_xlfn.XLOOKUP(Tabela2[[#This Row],[NOME DO TUTOR]],TUT.CONTROL!C:C,TUT.CONTROL!F:F),"Demitido")</f>
        <v>1158000802</v>
      </c>
      <c r="M177" s="8" t="s">
        <v>613</v>
      </c>
      <c r="N177" s="11" t="str">
        <f>IFERROR(_xlfn.XLOOKUP(Tabela2[[#This Row],[CHAPA]],TUT.CONTROL!F:F,TUT.CONTROL!H:H),_xlfn.XLOOKUP(Tabela2[[#This Row],[CHAPA]],'REG.CONTROL'!F:F,'REG.CONTROL'!H:H))</f>
        <v>TUTOR DE PRATICA (UC_1749)</v>
      </c>
      <c r="O177" s="68" t="str">
        <f>IFERROR(_xlfn.XLOOKUP(Tabela2[[#This Row],[NOME DO TUTOR]],TUT.CONTROL!C:C,TUT.CONTROL!K:K),"Demitido")</f>
        <v>004:00</v>
      </c>
      <c r="P177" s="17">
        <f>IF(Tabela2[[#This Row],[SITUAÇÃO]]="Demitido",IFERROR(_xlfn.XLOOKUP(Tabela2[[#This Row],[CHAPA]],TUT.CONTROL!F:F,TUT.CONTROL!V:V),_xlfn.XLOOKUP(Tabela2[[#This Row],[CHAPA]],'REG.CONTROL'!F:F,'REG.CONTROL'!V:V)),"-")</f>
        <v>45917</v>
      </c>
      <c r="Q177" s="66" t="s">
        <v>43</v>
      </c>
      <c r="R177" s="8"/>
      <c r="S177" s="8"/>
    </row>
    <row r="178" spans="1:19" ht="13.5" hidden="1" x14ac:dyDescent="0.3">
      <c r="A17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78" s="8" t="str">
        <f>Tabela2[[#This Row],[CATEGORIA]]&amp;Tabela2[[#This Row],[CURSOS]]&amp;"LAP - "&amp;Tabela2[[#This Row],[POLO]]</f>
        <v>ENF-INS (Multidisciplinar II)EMF-ISNLAP - Ponta Grossa/PR - Centro</v>
      </c>
      <c r="C178" s="8" t="str">
        <f>Tabela2[[#This Row],[CATEGORIA]]&amp;Tabela2[[#This Row],[CURSOS]]</f>
        <v>ENF-INS (Multidisciplinar II)EMF-ISN</v>
      </c>
      <c r="D178" s="8" t="str">
        <f>IF(Tabela2[[#This Row],[SITUAÇÃO]]&lt;&gt;"Demitido",CONCATENATE(Tabela2[[#This Row],[POLO]],Tabela2[[#This Row],[CURSOS]]),"Substituição")</f>
        <v>Substituição</v>
      </c>
      <c r="E178" s="8" t="s">
        <v>21</v>
      </c>
      <c r="F178" s="67" t="s">
        <v>22</v>
      </c>
      <c r="G178" s="67" t="s">
        <v>611</v>
      </c>
      <c r="H178" s="9" t="s">
        <v>614</v>
      </c>
      <c r="I178" s="17" t="str">
        <f>IFERROR(_xlfn.XLOOKUP(Tabela2[[#This Row],[CHAPA]],TUT.CONTROL!F:F,TUT.CONTROL!I:I),_xlfn.XLOOKUP(Tabela2[[#This Row],[CHAPA]],'REG.CONTROL'!F:F,'REG.CONTROL'!I:I))</f>
        <v>Demitido</v>
      </c>
      <c r="J178" s="17">
        <f>IFERROR(_xlfn.XLOOKUP(Tabela2[[#This Row],[NOME DO TUTOR]],TUT.CONTROL!C:C,TUT.CONTROL!G:G),"Demitido")</f>
        <v>46097</v>
      </c>
      <c r="K178" s="19">
        <v>42998192641</v>
      </c>
      <c r="L178" s="22">
        <f>IFERROR(_xlfn.XLOOKUP(Tabela2[[#This Row],[NOME DO TUTOR]],TUT.CONTROL!C:C,TUT.CONTROL!F:F),"Demitido")</f>
        <v>1158001172</v>
      </c>
      <c r="M178" s="8" t="s">
        <v>615</v>
      </c>
      <c r="N178" s="11" t="str">
        <f>IFERROR(_xlfn.XLOOKUP(Tabela2[[#This Row],[CHAPA]],TUT.CONTROL!F:F,TUT.CONTROL!H:H),_xlfn.XLOOKUP(Tabela2[[#This Row],[CHAPA]],'REG.CONTROL'!F:F,'REG.CONTROL'!H:H))</f>
        <v>TUTOR DE PRATICA (UC_1749)</v>
      </c>
      <c r="O178" s="68" t="str">
        <f>IFERROR(_xlfn.XLOOKUP(Tabela2[[#This Row],[NOME DO TUTOR]],TUT.CONTROL!C:C,TUT.CONTROL!K:K),"Demitido")</f>
        <v>004:00</v>
      </c>
      <c r="P178" s="17">
        <f>IF(Tabela2[[#This Row],[SITUAÇÃO]]="Demitido",IFERROR(_xlfn.XLOOKUP(Tabela2[[#This Row],[CHAPA]],TUT.CONTROL!F:F,TUT.CONTROL!V:V),_xlfn.XLOOKUP(Tabela2[[#This Row],[CHAPA]],'REG.CONTROL'!F:F,'REG.CONTROL'!V:V)),"-")</f>
        <v>46134</v>
      </c>
      <c r="Q178" s="66" t="s">
        <v>616</v>
      </c>
      <c r="R178" s="8"/>
    </row>
    <row r="179" spans="1:19" ht="13.5" hidden="1" x14ac:dyDescent="0.3">
      <c r="A17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Ponta Porã/MSEMF-ISNENF-INS (Multidisciplinar II)</v>
      </c>
      <c r="B179" s="8" t="str">
        <f>Tabela2[[#This Row],[CATEGORIA]]&amp;Tabela2[[#This Row],[CURSOS]]&amp;"LAP - "&amp;Tabela2[[#This Row],[POLO]]</f>
        <v>ENF-INS (Multidisciplinar II)EMF-ISNLAP - Ponta Porã/MS</v>
      </c>
      <c r="C179" s="8" t="str">
        <f>Tabela2[[#This Row],[CATEGORIA]]&amp;Tabela2[[#This Row],[CURSOS]]</f>
        <v>ENF-INS (Multidisciplinar II)EMF-ISN</v>
      </c>
      <c r="D179" s="8" t="str">
        <f>IF(Tabela2[[#This Row],[SITUAÇÃO]]&lt;&gt;"Demitido",CONCATENATE(Tabela2[[#This Row],[POLO]],Tabela2[[#This Row],[CURSOS]]),"Substituição")</f>
        <v>Ponta Porã/MSEMF-ISN</v>
      </c>
      <c r="E179" s="8" t="s">
        <v>21</v>
      </c>
      <c r="F179" s="67" t="s">
        <v>22</v>
      </c>
      <c r="G179" s="67" t="s">
        <v>617</v>
      </c>
      <c r="H179" s="9" t="s">
        <v>618</v>
      </c>
      <c r="I179" s="17" t="str">
        <f>IFERROR(_xlfn.XLOOKUP(Tabela2[[#This Row],[CHAPA]],TUT.CONTROL!F:F,TUT.CONTROL!I:I),_xlfn.XLOOKUP(Tabela2[[#This Row],[CHAPA]],'REG.CONTROL'!F:F,'REG.CONTROL'!I:I))</f>
        <v>Ativo</v>
      </c>
      <c r="J179" s="17">
        <f>IFERROR(_xlfn.XLOOKUP(Tabela2[[#This Row],[NOME DO TUTOR]],TUT.CONTROL!C:C,TUT.CONTROL!G:G),"Demitido")</f>
        <v>45735</v>
      </c>
      <c r="K179" s="19">
        <v>62992723062</v>
      </c>
      <c r="L179" s="22">
        <f>IFERROR(_xlfn.XLOOKUP(Tabela2[[#This Row],[NOME DO TUTOR]],TUT.CONTROL!C:C,TUT.CONTROL!F:F),"Demitido")</f>
        <v>1158000583</v>
      </c>
      <c r="M179" s="8" t="s">
        <v>619</v>
      </c>
      <c r="N179" s="11" t="str">
        <f>IFERROR(_xlfn.XLOOKUP(Tabela2[[#This Row],[CHAPA]],TUT.CONTROL!F:F,TUT.CONTROL!H:H),_xlfn.XLOOKUP(Tabela2[[#This Row],[CHAPA]],'REG.CONTROL'!F:F,'REG.CONTROL'!H:H))</f>
        <v>TUTOR DE PRATICA (UC_1749)</v>
      </c>
      <c r="O179" s="68" t="str">
        <f>IFERROR(_xlfn.XLOOKUP(Tabela2[[#This Row],[NOME DO TUTOR]],TUT.CONTROL!C:C,TUT.CONTROL!K:K),"Demitido")</f>
        <v>004:00</v>
      </c>
      <c r="P17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79" s="66" t="s">
        <v>30</v>
      </c>
      <c r="R179" s="8" t="s">
        <v>53</v>
      </c>
      <c r="S179" s="8">
        <v>148921</v>
      </c>
    </row>
    <row r="180" spans="1:19" ht="13.5" hidden="1" x14ac:dyDescent="0.3">
      <c r="A18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Pontes e Lacerda/MTEMF-ISNENF-INS (Multidisciplinar II)</v>
      </c>
      <c r="B180" s="8" t="str">
        <f>Tabela2[[#This Row],[CATEGORIA]]&amp;Tabela2[[#This Row],[CURSOS]]&amp;"LAP - "&amp;Tabela2[[#This Row],[POLO]]</f>
        <v>ENF-INS (Multidisciplinar II)EMF-ISNLAP - Pontes e Lacerda/MT</v>
      </c>
      <c r="C180" s="8" t="str">
        <f>Tabela2[[#This Row],[CATEGORIA]]&amp;Tabela2[[#This Row],[CURSOS]]</f>
        <v>ENF-INS (Multidisciplinar II)EMF-ISN</v>
      </c>
      <c r="D180" s="8" t="str">
        <f>IF(Tabela2[[#This Row],[SITUAÇÃO]]&lt;&gt;"Demitido",CONCATENATE(Tabela2[[#This Row],[POLO]],Tabela2[[#This Row],[CURSOS]]),"Substituição")</f>
        <v>Pontes e Lacerda/MTEMF-ISN</v>
      </c>
      <c r="E180" s="8" t="s">
        <v>21</v>
      </c>
      <c r="F180" s="67" t="s">
        <v>22</v>
      </c>
      <c r="G180" s="67" t="s">
        <v>620</v>
      </c>
      <c r="H180" s="9" t="s">
        <v>621</v>
      </c>
      <c r="I180" s="17" t="str">
        <f>IFERROR(_xlfn.XLOOKUP(Tabela2[[#This Row],[CHAPA]],TUT.CONTROL!F:F,TUT.CONTROL!I:I),_xlfn.XLOOKUP(Tabela2[[#This Row],[CHAPA]],'REG.CONTROL'!F:F,'REG.CONTROL'!I:I))</f>
        <v>Ativo</v>
      </c>
      <c r="J180" s="17">
        <f>IFERROR(_xlfn.XLOOKUP(Tabela2[[#This Row],[NOME DO TUTOR]],'REG.CONTROL'!C:C,'REG.CONTROL'!G:G),"Demitido")</f>
        <v>45518</v>
      </c>
      <c r="K180" s="19" t="s">
        <v>622</v>
      </c>
      <c r="L180" s="22">
        <f>IFERROR(_xlfn.XLOOKUP(Tabela2[[#This Row],[NOME DO TUTOR]],'REG.CONTROL'!C:C,'REG.CONTROL'!F:F),"Demitido")</f>
        <v>1004015457</v>
      </c>
      <c r="M180" s="8" t="s">
        <v>623</v>
      </c>
      <c r="N180" s="11" t="str">
        <f>IFERROR(_xlfn.XLOOKUP(Tabela2[[#This Row],[CHAPA]],TUT.CONTROL!F:F,TUT.CONTROL!H:H),_xlfn.XLOOKUP(Tabela2[[#This Row],[CHAPA]],'REG.CONTROL'!F:F,'REG.CONTROL'!H:H))</f>
        <v>PROFESSOR REGENTE DE POLO (UC_1744)</v>
      </c>
      <c r="O180" s="68" t="str">
        <f>IFERROR(_xlfn.XLOOKUP(Tabela2[[#This Row],[NOME DO TUTOR]],'REGENTE CH'!A:A,'REGENTE CH'!C:C),"Atualizar")</f>
        <v>004:00</v>
      </c>
      <c r="P18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80" s="66" t="s">
        <v>30</v>
      </c>
      <c r="R180" s="8" t="s">
        <v>44</v>
      </c>
      <c r="S180" s="8">
        <v>471685</v>
      </c>
    </row>
    <row r="181" spans="1:19" ht="13.5" hidden="1" x14ac:dyDescent="0.3">
      <c r="A18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Portel/PAEMF-ISNENF-INS (Multidisciplinar II)</v>
      </c>
      <c r="B181" s="8" t="str">
        <f>Tabela2[[#This Row],[CATEGORIA]]&amp;Tabela2[[#This Row],[CURSOS]]&amp;"LAP - "&amp;Tabela2[[#This Row],[POLO]]</f>
        <v>ENF-INS (Multidisciplinar II)EMF-ISNLAP - Portel/PA</v>
      </c>
      <c r="C181" s="8" t="str">
        <f>Tabela2[[#This Row],[CATEGORIA]]&amp;Tabela2[[#This Row],[CURSOS]]</f>
        <v>ENF-INS (Multidisciplinar II)EMF-ISN</v>
      </c>
      <c r="D181" s="8" t="str">
        <f>IF(Tabela2[[#This Row],[SITUAÇÃO]]&lt;&gt;"Demitido",CONCATENATE(Tabela2[[#This Row],[POLO]],Tabela2[[#This Row],[CURSOS]]),"Substituição")</f>
        <v>Portel/PAEMF-ISN</v>
      </c>
      <c r="E181" s="8" t="s">
        <v>21</v>
      </c>
      <c r="F181" s="67" t="s">
        <v>22</v>
      </c>
      <c r="G181" s="67" t="s">
        <v>624</v>
      </c>
      <c r="H181" s="9" t="s">
        <v>625</v>
      </c>
      <c r="I181" s="17" t="str">
        <f>IFERROR(_xlfn.XLOOKUP(Tabela2[[#This Row],[CHAPA]],TUT.CONTROL!F:F,TUT.CONTROL!I:I),_xlfn.XLOOKUP(Tabela2[[#This Row],[CHAPA]],'REG.CONTROL'!F:F,'REG.CONTROL'!I:I))</f>
        <v>Ativo</v>
      </c>
      <c r="J181" s="17">
        <f>IFERROR(_xlfn.XLOOKUP(Tabela2[[#This Row],[NOME DO TUTOR]],TUT.CONTROL!C:C,TUT.CONTROL!G:G),"Demitido")</f>
        <v>45754</v>
      </c>
      <c r="K181" s="19" t="s">
        <v>626</v>
      </c>
      <c r="L181" s="22">
        <f>IFERROR(_xlfn.XLOOKUP(Tabela2[[#This Row],[NOME DO TUTOR]],TUT.CONTROL!C:C,TUT.CONTROL!F:F),"Demitido")</f>
        <v>1158000677</v>
      </c>
      <c r="M181" s="8" t="s">
        <v>627</v>
      </c>
      <c r="N181" s="11" t="str">
        <f>IFERROR(_xlfn.XLOOKUP(Tabela2[[#This Row],[CHAPA]],TUT.CONTROL!F:F,TUT.CONTROL!H:H),_xlfn.XLOOKUP(Tabela2[[#This Row],[CHAPA]],'REG.CONTROL'!F:F,'REG.CONTROL'!H:H))</f>
        <v>TUTOR DE PRATICA (UC_1749)</v>
      </c>
      <c r="O181" s="68" t="str">
        <f>IFERROR(_xlfn.XLOOKUP(Tabela2[[#This Row],[NOME DO TUTOR]],TUT.CONTROL!C:C,TUT.CONTROL!K:K),"Demitido")</f>
        <v>008:00</v>
      </c>
      <c r="P18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81" s="10" t="s">
        <v>628</v>
      </c>
      <c r="R181" s="8" t="s">
        <v>286</v>
      </c>
      <c r="S181" s="8">
        <v>467075</v>
      </c>
    </row>
    <row r="182" spans="1:19" ht="13.5" hidden="1" x14ac:dyDescent="0.3">
      <c r="A18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Pouso Alegre/MGECE-ENM-ENS-ENG-EEA-GPI-CDE-OBR-SAN-TER-FSA-SLF-QUIENGMAKER+QUÍMICA E FÍSICA</v>
      </c>
      <c r="B182" s="8" t="str">
        <f>Tabela2[[#This Row],[CATEGORIA]]&amp;Tabela2[[#This Row],[CURSOS]]&amp;"LAP - "&amp;Tabela2[[#This Row],[POLO]]</f>
        <v>ENGMAKER+QUÍMICA E FÍSICAECE-ENM-ENS-ENG-EEA-GPI-CDE-OBR-SAN-TER-FSA-SLF-QUILAP - Pouso Alegre/MG</v>
      </c>
      <c r="C182" s="8" t="str">
        <f>Tabela2[[#This Row],[CATEGORIA]]&amp;Tabela2[[#This Row],[CURSOS]]</f>
        <v>ENGMAKER+QUÍMICA E FÍSICAECE-ENM-ENS-ENG-EEA-GPI-CDE-OBR-SAN-TER-FSA-SLF-QUI</v>
      </c>
      <c r="D182" s="8" t="str">
        <f>IF(Tabela2[[#This Row],[SITUAÇÃO]]&lt;&gt;"Demitido",CONCATENATE(Tabela2[[#This Row],[POLO]],Tabela2[[#This Row],[CURSOS]]),"Substituição")</f>
        <v>Pouso Alegre/MGECE-ENM-ENS-ENG-EEA-GPI-CDE-OBR-SAN-TER-FSA-SLF-QUI</v>
      </c>
      <c r="E182" s="8" t="s">
        <v>125</v>
      </c>
      <c r="F182" s="67" t="s">
        <v>126</v>
      </c>
      <c r="G182" s="67" t="s">
        <v>629</v>
      </c>
      <c r="H182" s="9" t="s">
        <v>630</v>
      </c>
      <c r="I182" s="17" t="str">
        <f>IFERROR(_xlfn.XLOOKUP(Tabela2[[#This Row],[CHAPA]],TUT.CONTROL!F:F,TUT.CONTROL!I:I),_xlfn.XLOOKUP(Tabela2[[#This Row],[CHAPA]],'REG.CONTROL'!F:F,'REG.CONTROL'!I:I))</f>
        <v>Ativo</v>
      </c>
      <c r="J182" s="17">
        <f>IFERROR(_xlfn.XLOOKUP(Tabela2[[#This Row],[NOME DO TUTOR]],TUT.CONTROL!C:C,TUT.CONTROL!G:G),"Demitido")</f>
        <v>45789</v>
      </c>
      <c r="K182" s="19">
        <v>35999168725</v>
      </c>
      <c r="L182" s="22">
        <f>IFERROR(_xlfn.XLOOKUP(Tabela2[[#This Row],[NOME DO TUTOR]],TUT.CONTROL!C:C,TUT.CONTROL!F:F),"Demitido")</f>
        <v>1158000629</v>
      </c>
      <c r="M182" s="8" t="s">
        <v>631</v>
      </c>
      <c r="N182" s="11" t="str">
        <f>IFERROR(_xlfn.XLOOKUP(Tabela2[[#This Row],[CHAPA]],TUT.CONTROL!F:F,TUT.CONTROL!H:H),_xlfn.XLOOKUP(Tabela2[[#This Row],[CHAPA]],'REG.CONTROL'!F:F,'REG.CONTROL'!H:H))</f>
        <v>TUTOR DE PRATICA (UC_1749)</v>
      </c>
      <c r="O182" s="68" t="str">
        <f>IFERROR(_xlfn.XLOOKUP(Tabela2[[#This Row],[NOME DO TUTOR]],TUT.CONTROL!C:C,TUT.CONTROL!K:K),"Demitido")</f>
        <v>004:00</v>
      </c>
      <c r="P18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82" s="66" t="s">
        <v>30</v>
      </c>
      <c r="R182" s="8" t="s">
        <v>425</v>
      </c>
      <c r="S182" s="8">
        <v>555508</v>
      </c>
    </row>
    <row r="183" spans="1:19" ht="13.5" hidden="1" x14ac:dyDescent="0.3">
      <c r="A18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83" s="8" t="str">
        <f>Tabela2[[#This Row],[CATEGORIA]]&amp;Tabela2[[#This Row],[CURSOS]]&amp;"LAP - "&amp;Tabela2[[#This Row],[POLO]]</f>
        <v>ENF-INS (Multidisciplinar II)EMF-ISNLAP - Porto Alegre/RS - Centro Histórico</v>
      </c>
      <c r="C183" s="8" t="str">
        <f>Tabela2[[#This Row],[CATEGORIA]]&amp;Tabela2[[#This Row],[CURSOS]]</f>
        <v>ENF-INS (Multidisciplinar II)EMF-ISN</v>
      </c>
      <c r="D183" s="8" t="str">
        <f>IF(Tabela2[[#This Row],[SITUAÇÃO]]&lt;&gt;"Demitido",CONCATENATE(Tabela2[[#This Row],[POLO]],Tabela2[[#This Row],[CURSOS]]),"Substituição")</f>
        <v>Substituição</v>
      </c>
      <c r="E183" s="8" t="s">
        <v>21</v>
      </c>
      <c r="F183" s="67" t="s">
        <v>22</v>
      </c>
      <c r="G183" s="67" t="s">
        <v>632</v>
      </c>
      <c r="H183" s="9" t="s">
        <v>633</v>
      </c>
      <c r="I183" s="71" t="str">
        <f>IFERROR(_xlfn.XLOOKUP(Tabela2[[#This Row],[CHAPA]],TUT.CONTROL!F:F,TUT.CONTROL!I:I),_xlfn.XLOOKUP(Tabela2[[#This Row],[CHAPA]],'REG.CONTROL'!F:F,'REG.CONTROL'!I:I))</f>
        <v>Demitido</v>
      </c>
      <c r="J183" s="17">
        <f>IFERROR(_xlfn.XLOOKUP(Tabela2[[#This Row],[NOME DO TUTOR]],TUT.CONTROL!C:C,TUT.CONTROL!G:G),"Atualizar")</f>
        <v>45721</v>
      </c>
      <c r="K183" s="19">
        <v>51996556926</v>
      </c>
      <c r="L183" s="22">
        <f>IFERROR(_xlfn.XLOOKUP(Tabela2[[#This Row],[NOME DO TUTOR]],TUT.CONTROL!C:C,TUT.CONTROL!F:F),"Demitido")</f>
        <v>1158000530</v>
      </c>
      <c r="M183" s="8" t="s">
        <v>634</v>
      </c>
      <c r="N183" s="11" t="str">
        <f>IFERROR(_xlfn.XLOOKUP(Tabela2[[#This Row],[CHAPA]],TUT.CONTROL!F:F,TUT.CONTROL!H:H),_xlfn.XLOOKUP(Tabela2[[#This Row],[CHAPA]],'REG.CONTROL'!F:F,'REG.CONTROL'!H:H))</f>
        <v>TUTOR DE PRATICA (UC_1749)</v>
      </c>
      <c r="O183" s="70" t="str">
        <f>IFERROR(_xlfn.XLOOKUP(Tabela2[[#This Row],[NOME DO TUTOR]],TUT.CONTROL!C:C,TUT.CONTROL!K:K),"Demitido")</f>
        <v>018:00</v>
      </c>
      <c r="P183" s="17">
        <f>IF(Tabela2[[#This Row],[SITUAÇÃO]]="Demitido",IFERROR(_xlfn.XLOOKUP(Tabela2[[#This Row],[CHAPA]],TUT.CONTROL!F:F,TUT.CONTROL!V:V),_xlfn.XLOOKUP(Tabela2[[#This Row],[CHAPA]],'REG.CONTROL'!F:F,'REG.CONTROL'!V:V)),"-")</f>
        <v>45754</v>
      </c>
      <c r="Q183" s="66" t="s">
        <v>43</v>
      </c>
      <c r="R183" s="8"/>
    </row>
    <row r="184" spans="1:19" ht="13.5" hidden="1" x14ac:dyDescent="0.3">
      <c r="A18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Porto Alegre/RS - Centro HistóricoEMF-ISNENF-INS (Multidisciplinar II)</v>
      </c>
      <c r="B184" s="8" t="str">
        <f>Tabela2[[#This Row],[CATEGORIA]]&amp;Tabela2[[#This Row],[CURSOS]]&amp;"LAP - "&amp;Tabela2[[#This Row],[POLO]]</f>
        <v>ENF-INS (Multidisciplinar II)EMF-ISNLAP - Porto Alegre/RS - Centro Histórico</v>
      </c>
      <c r="C184" s="8" t="str">
        <f>Tabela2[[#This Row],[CATEGORIA]]&amp;Tabela2[[#This Row],[CURSOS]]</f>
        <v>ENF-INS (Multidisciplinar II)EMF-ISN</v>
      </c>
      <c r="D184" s="8" t="str">
        <f>IF(Tabela2[[#This Row],[SITUAÇÃO]]&lt;&gt;"Demitido",CONCATENATE(Tabela2[[#This Row],[POLO]],Tabela2[[#This Row],[CURSOS]]),"Substituição")</f>
        <v>Porto Alegre/RS - Centro HistóricoEMF-ISN</v>
      </c>
      <c r="E184" s="8" t="s">
        <v>21</v>
      </c>
      <c r="F184" s="67" t="s">
        <v>22</v>
      </c>
      <c r="G184" s="67" t="s">
        <v>632</v>
      </c>
      <c r="H184" s="9" t="s">
        <v>635</v>
      </c>
      <c r="I184" s="17" t="str">
        <f>IFERROR(_xlfn.XLOOKUP(Tabela2[[#This Row],[CHAPA]],TUT.CONTROL!F:F,TUT.CONTROL!I:I),_xlfn.XLOOKUP(Tabela2[[#This Row],[CHAPA]],'REG.CONTROL'!F:F,'REG.CONTROL'!I:I))</f>
        <v>Ativo</v>
      </c>
      <c r="J184" s="17">
        <f>IFERROR(_xlfn.XLOOKUP(Tabela2[[#This Row],[NOME DO TUTOR]],TUT.CONTROL!C:C,TUT.CONTROL!G:G),"Demitido")</f>
        <v>45810</v>
      </c>
      <c r="K184" s="19" t="s">
        <v>636</v>
      </c>
      <c r="L184" s="22">
        <f>IFERROR(_xlfn.XLOOKUP(Tabela2[[#This Row],[NOME DO TUTOR]],TUT.CONTROL!C:C,TUT.CONTROL!F:F),"Demitido")</f>
        <v>1158000734</v>
      </c>
      <c r="M184" s="8" t="s">
        <v>637</v>
      </c>
      <c r="N184" s="11" t="str">
        <f>IFERROR(_xlfn.XLOOKUP(Tabela2[[#This Row],[CHAPA]],TUT.CONTROL!F:F,TUT.CONTROL!H:H),_xlfn.XLOOKUP(Tabela2[[#This Row],[CHAPA]],'REG.CONTROL'!F:F,'REG.CONTROL'!H:H))</f>
        <v>TUTOR DE PRATICA (UC_1749)</v>
      </c>
      <c r="O184" s="68" t="str">
        <f>IFERROR(_xlfn.XLOOKUP(Tabela2[[#This Row],[NOME DO TUTOR]],TUT.CONTROL!C:C,TUT.CONTROL!K:K),"Demitido")</f>
        <v>008:00</v>
      </c>
      <c r="P18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84" s="66" t="s">
        <v>30</v>
      </c>
      <c r="R184" s="8" t="s">
        <v>109</v>
      </c>
      <c r="S184" s="8">
        <v>638078</v>
      </c>
    </row>
    <row r="185" spans="1:19" ht="13.5" hidden="1" x14ac:dyDescent="0.3">
      <c r="A18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Porto Alegre/RS - Centro HistóricoEMF-ISN2ENF-INS (Multidisciplinar II)</v>
      </c>
      <c r="B185" s="8" t="str">
        <f>Tabela2[[#This Row],[CATEGORIA]]&amp;Tabela2[[#This Row],[CURSOS]]&amp;"LAP - "&amp;Tabela2[[#This Row],[POLO]]</f>
        <v>ENF-INS (Multidisciplinar II)EMF-ISN2LAP - Porto Alegre/RS - Centro Histórico</v>
      </c>
      <c r="C185" s="8" t="str">
        <f>Tabela2[[#This Row],[CATEGORIA]]&amp;Tabela2[[#This Row],[CURSOS]]</f>
        <v>ENF-INS (Multidisciplinar II)EMF-ISN2</v>
      </c>
      <c r="D185" s="8" t="str">
        <f>IF(Tabela2[[#This Row],[SITUAÇÃO]]&lt;&gt;"Demitido",CONCATENATE(Tabela2[[#This Row],[POLO]],Tabela2[[#This Row],[CURSOS]]),"Substituição")</f>
        <v>Porto Alegre/RS - Centro HistóricoEMF-ISN2</v>
      </c>
      <c r="E185" s="8" t="s">
        <v>21</v>
      </c>
      <c r="F185" s="67" t="s">
        <v>582</v>
      </c>
      <c r="G185" s="67" t="s">
        <v>632</v>
      </c>
      <c r="H185" s="9" t="s">
        <v>638</v>
      </c>
      <c r="I185" s="17" t="str">
        <f>IFERROR(_xlfn.XLOOKUP(Tabela2[[#This Row],[CHAPA]],TUT.CONTROL!F:F,TUT.CONTROL!I:I),_xlfn.XLOOKUP(Tabela2[[#This Row],[CHAPA]],'REG.CONTROL'!F:F,'REG.CONTROL'!I:I))</f>
        <v>Ativo</v>
      </c>
      <c r="J185" s="17">
        <f>IFERROR(_xlfn.XLOOKUP(Tabela2[[#This Row],[NOME DO TUTOR]],TUT.CONTROL!C:C,TUT.CONTROL!G:G),"Demitido")</f>
        <v>45915</v>
      </c>
      <c r="K185" s="19">
        <v>51984310908</v>
      </c>
      <c r="L185" s="22">
        <f>IFERROR(_xlfn.XLOOKUP(Tabela2[[#This Row],[NOME DO TUTOR]],TUT.CONTROL!C:C,TUT.CONTROL!F:F),"Demitido")</f>
        <v>1158000974</v>
      </c>
      <c r="M185" s="8" t="s">
        <v>639</v>
      </c>
      <c r="N185" s="11" t="str">
        <f>IFERROR(_xlfn.XLOOKUP(Tabela2[[#This Row],[CHAPA]],TUT.CONTROL!F:F,TUT.CONTROL!H:H),_xlfn.XLOOKUP(Tabela2[[#This Row],[CHAPA]],'REG.CONTROL'!F:F,'REG.CONTROL'!H:H))</f>
        <v>TUTOR DE PRATICA (UC_1749)</v>
      </c>
      <c r="O185" s="68" t="str">
        <f>IFERROR(_xlfn.XLOOKUP(Tabela2[[#This Row],[NOME DO TUTOR]],TUT.CONTROL!C:C,TUT.CONTROL!K:K),"Demitido")</f>
        <v>012:00</v>
      </c>
      <c r="P18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85" s="66" t="s">
        <v>30</v>
      </c>
      <c r="R185" s="8" t="s">
        <v>109</v>
      </c>
      <c r="S185" s="8">
        <v>64489</v>
      </c>
    </row>
    <row r="186" spans="1:19" ht="13.5" hidden="1" customHeight="1" x14ac:dyDescent="0.3">
      <c r="A18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86" s="8" t="str">
        <f>Tabela2[[#This Row],[CATEGORIA]]&amp;Tabela2[[#This Row],[CURSOS]]&amp;"LAP - "&amp;Tabela2[[#This Row],[POLO]]</f>
        <v>ENF-INS (Multidisciplinar II)EMF-ISNLAP - Porto Alegre/RS - Zona Norte</v>
      </c>
      <c r="C186" s="8" t="str">
        <f>Tabela2[[#This Row],[CATEGORIA]]&amp;Tabela2[[#This Row],[CURSOS]]</f>
        <v>ENF-INS (Multidisciplinar II)EMF-ISN</v>
      </c>
      <c r="D186" s="8" t="str">
        <f>IF(Tabela2[[#This Row],[SITUAÇÃO]]&lt;&gt;"Demitido",CONCATENATE(Tabela2[[#This Row],[POLO]],Tabela2[[#This Row],[CURSOS]]),"Substituição")</f>
        <v>Substituição</v>
      </c>
      <c r="E186" s="8" t="s">
        <v>21</v>
      </c>
      <c r="F186" s="67" t="s">
        <v>22</v>
      </c>
      <c r="G186" s="67" t="s">
        <v>640</v>
      </c>
      <c r="H186" s="9" t="s">
        <v>641</v>
      </c>
      <c r="I186" s="71" t="str">
        <f>IFERROR(_xlfn.XLOOKUP(Tabela2[[#This Row],[CHAPA]],TUT.CONTROL!F:F,TUT.CONTROL!I:I),_xlfn.XLOOKUP(Tabela2[[#This Row],[CHAPA]],'REG.CONTROL'!F:F,'REG.CONTROL'!I:I))</f>
        <v>Demitido</v>
      </c>
      <c r="J186" s="17">
        <f>IFERROR(_xlfn.XLOOKUP(Tabela2[[#This Row],[NOME DO TUTOR]],TUT.CONTROL!C:C,TUT.CONTROL!G:G),"Atualizar")</f>
        <v>45721</v>
      </c>
      <c r="K186" s="19">
        <v>51999173394</v>
      </c>
      <c r="L186" s="22">
        <f>IFERROR(_xlfn.XLOOKUP(Tabela2[[#This Row],[NOME DO TUTOR]],TUT.CONTROL!C:C,TUT.CONTROL!F:F),"Demitido")</f>
        <v>1158000537</v>
      </c>
      <c r="M186" s="8" t="s">
        <v>642</v>
      </c>
      <c r="N186" s="11" t="str">
        <f>IFERROR(_xlfn.XLOOKUP(Tabela2[[#This Row],[CHAPA]],TUT.CONTROL!F:F,TUT.CONTROL!H:H),_xlfn.XLOOKUP(Tabela2[[#This Row],[CHAPA]],'REG.CONTROL'!F:F,'REG.CONTROL'!H:H))</f>
        <v>TUTOR DE PRATICA (UC_1749)</v>
      </c>
      <c r="O186" s="70" t="str">
        <f>IFERROR(_xlfn.XLOOKUP(Tabela2[[#This Row],[NOME DO TUTOR]],TUT.CONTROL!C:C,TUT.CONTROL!K:K),"Demitido")</f>
        <v>018:00</v>
      </c>
      <c r="P186" s="17">
        <f>IF(Tabela2[[#This Row],[SITUAÇÃO]]="Demitido",IFERROR(_xlfn.XLOOKUP(Tabela2[[#This Row],[CHAPA]],TUT.CONTROL!F:F,TUT.CONTROL!V:V),_xlfn.XLOOKUP(Tabela2[[#This Row],[CHAPA]],'REG.CONTROL'!F:F,'REG.CONTROL'!V:V)),"-")</f>
        <v>45754</v>
      </c>
      <c r="Q186" s="66" t="s">
        <v>43</v>
      </c>
      <c r="R186" s="8"/>
    </row>
    <row r="187" spans="1:19" ht="13.5" hidden="1" x14ac:dyDescent="0.3">
      <c r="A18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Porto Alegre/RS - Zona NorteEMF-ISNENF-INS (Multidisciplinar II)</v>
      </c>
      <c r="B187" s="8" t="str">
        <f>Tabela2[[#This Row],[CATEGORIA]]&amp;Tabela2[[#This Row],[CURSOS]]&amp;"LAP - "&amp;Tabela2[[#This Row],[POLO]]</f>
        <v>ENF-INS (Multidisciplinar II)EMF-ISNLAP - Porto Alegre/RS - Zona Norte</v>
      </c>
      <c r="C187" s="8" t="str">
        <f>Tabela2[[#This Row],[CATEGORIA]]&amp;Tabela2[[#This Row],[CURSOS]]</f>
        <v>ENF-INS (Multidisciplinar II)EMF-ISN</v>
      </c>
      <c r="D187" s="8" t="str">
        <f>IF(Tabela2[[#This Row],[SITUAÇÃO]]&lt;&gt;"Demitido",CONCATENATE(Tabela2[[#This Row],[POLO]],Tabela2[[#This Row],[CURSOS]]),"Substituição")</f>
        <v>Porto Alegre/RS - Zona NorteEMF-ISN</v>
      </c>
      <c r="E187" s="8" t="s">
        <v>21</v>
      </c>
      <c r="F187" s="67" t="s">
        <v>22</v>
      </c>
      <c r="G187" s="67" t="s">
        <v>640</v>
      </c>
      <c r="H187" s="9" t="s">
        <v>643</v>
      </c>
      <c r="I187" s="17" t="str">
        <f>IFERROR(_xlfn.XLOOKUP(Tabela2[[#This Row],[CHAPA]],TUT.CONTROL!F:F,TUT.CONTROL!I:I),_xlfn.XLOOKUP(Tabela2[[#This Row],[CHAPA]],'REG.CONTROL'!F:F,'REG.CONTROL'!I:I))</f>
        <v>Ativo</v>
      </c>
      <c r="J187" s="17">
        <f>IFERROR(_xlfn.XLOOKUP(Tabela2[[#This Row],[NOME DO TUTOR]],TUT.CONTROL!C:C,TUT.CONTROL!G:G),"Demitido")</f>
        <v>45721</v>
      </c>
      <c r="K187" s="19" t="s">
        <v>644</v>
      </c>
      <c r="L187" s="22">
        <f>IFERROR(_xlfn.XLOOKUP(Tabela2[[#This Row],[NOME DO TUTOR]],TUT.CONTROL!C:C,TUT.CONTROL!F:F),"Demitido")</f>
        <v>1158000532</v>
      </c>
      <c r="M187" s="8" t="s">
        <v>645</v>
      </c>
      <c r="N187" s="11" t="str">
        <f>IFERROR(_xlfn.XLOOKUP(Tabela2[[#This Row],[CHAPA]],TUT.CONTROL!F:F,TUT.CONTROL!H:H),_xlfn.XLOOKUP(Tabela2[[#This Row],[CHAPA]],'REG.CONTROL'!F:F,'REG.CONTROL'!H:H))</f>
        <v>TUTOR DE PRATICA (UC_1749)</v>
      </c>
      <c r="O187" s="68" t="str">
        <f>IFERROR(_xlfn.XLOOKUP(Tabela2[[#This Row],[NOME DO TUTOR]],TUT.CONTROL!C:C,TUT.CONTROL!K:K),"Demitido")</f>
        <v>008:00</v>
      </c>
      <c r="P18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87" s="66" t="s">
        <v>30</v>
      </c>
      <c r="R187" s="8" t="s">
        <v>109</v>
      </c>
      <c r="S187" s="8">
        <v>90205</v>
      </c>
    </row>
    <row r="188" spans="1:19" ht="13.5" hidden="1" x14ac:dyDescent="0.3">
      <c r="A18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Porto Alegre/RS - Zona NorteEMF-ISN2ENF-INS (Multidisciplinar II)</v>
      </c>
      <c r="B188" s="8" t="str">
        <f>Tabela2[[#This Row],[CATEGORIA]]&amp;Tabela2[[#This Row],[CURSOS]]&amp;"LAP - "&amp;Tabela2[[#This Row],[POLO]]</f>
        <v>ENF-INS (Multidisciplinar II)EMF-ISN2LAP - Porto Alegre/RS - Zona Norte</v>
      </c>
      <c r="C188" s="8" t="str">
        <f>Tabela2[[#This Row],[CATEGORIA]]&amp;Tabela2[[#This Row],[CURSOS]]</f>
        <v>ENF-INS (Multidisciplinar II)EMF-ISN2</v>
      </c>
      <c r="D188" s="8" t="str">
        <f>IF(Tabela2[[#This Row],[SITUAÇÃO]]&lt;&gt;"Demitido",CONCATENATE(Tabela2[[#This Row],[POLO]],Tabela2[[#This Row],[CURSOS]]),"Substituição")</f>
        <v>Porto Alegre/RS - Zona NorteEMF-ISN2</v>
      </c>
      <c r="E188" s="8" t="s">
        <v>21</v>
      </c>
      <c r="F188" s="67" t="s">
        <v>582</v>
      </c>
      <c r="G188" s="67" t="s">
        <v>640</v>
      </c>
      <c r="H188" s="9" t="s">
        <v>646</v>
      </c>
      <c r="I188" s="17" t="str">
        <f>IFERROR(_xlfn.XLOOKUP(Tabela2[[#This Row],[CHAPA]],TUT.CONTROL!F:F,TUT.CONTROL!I:I),_xlfn.XLOOKUP(Tabela2[[#This Row],[CHAPA]],'REG.CONTROL'!F:F,'REG.CONTROL'!I:I))</f>
        <v>Ativo</v>
      </c>
      <c r="J188" s="17">
        <f>IFERROR(_xlfn.XLOOKUP(Tabela2[[#This Row],[NOME DO TUTOR]],TUT.CONTROL!C:C,TUT.CONTROL!G:G),"Demitido")</f>
        <v>45810</v>
      </c>
      <c r="K188" s="19" t="s">
        <v>647</v>
      </c>
      <c r="L188" s="22">
        <f>IFERROR(_xlfn.XLOOKUP(Tabela2[[#This Row],[NOME DO TUTOR]],TUT.CONTROL!C:C,TUT.CONTROL!F:F),"Demitido")</f>
        <v>1158000722</v>
      </c>
      <c r="M188" s="8" t="s">
        <v>648</v>
      </c>
      <c r="N188" s="11" t="str">
        <f>IFERROR(_xlfn.XLOOKUP(Tabela2[[#This Row],[CHAPA]],TUT.CONTROL!F:F,TUT.CONTROL!H:H),_xlfn.XLOOKUP(Tabela2[[#This Row],[CHAPA]],'REG.CONTROL'!F:F,'REG.CONTROL'!H:H))</f>
        <v>TUTOR DE PRATICA (UC_1749)</v>
      </c>
      <c r="O188" s="68" t="str">
        <f>IFERROR(_xlfn.XLOOKUP(Tabela2[[#This Row],[NOME DO TUTOR]],TUT.CONTROL!C:C,TUT.CONTROL!K:K),"Demitido")</f>
        <v>012:00</v>
      </c>
      <c r="P18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88" s="66" t="s">
        <v>30</v>
      </c>
      <c r="R188" s="8" t="s">
        <v>109</v>
      </c>
      <c r="S188" s="8">
        <v>528178</v>
      </c>
    </row>
    <row r="189" spans="1:19" ht="13.5" hidden="1" x14ac:dyDescent="0.4">
      <c r="A18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Porto Velho/RO - Distrito de ExtremaEMF-ISNENF-INS (Multidisciplinar II)</v>
      </c>
      <c r="B189" s="8" t="str">
        <f>Tabela2[[#This Row],[CATEGORIA]]&amp;Tabela2[[#This Row],[CURSOS]]&amp;"LAP - "&amp;Tabela2[[#This Row],[POLO]]</f>
        <v>ENF-INS (Multidisciplinar II)EMF-ISNLAP - Porto Velho/RO - Distrito de Extrema</v>
      </c>
      <c r="C189" s="8" t="str">
        <f>Tabela2[[#This Row],[CATEGORIA]]&amp;Tabela2[[#This Row],[CURSOS]]</f>
        <v>ENF-INS (Multidisciplinar II)EMF-ISN</v>
      </c>
      <c r="D189" s="8" t="str">
        <f>IF(Tabela2[[#This Row],[SITUAÇÃO]]&lt;&gt;"Demitido",CONCATENATE(Tabela2[[#This Row],[POLO]],Tabela2[[#This Row],[CURSOS]]),"Substituição")</f>
        <v>Porto Velho/RO - Distrito de ExtremaEMF-ISN</v>
      </c>
      <c r="E189" s="8" t="s">
        <v>21</v>
      </c>
      <c r="F189" s="67" t="s">
        <v>22</v>
      </c>
      <c r="G189" s="67" t="s">
        <v>649</v>
      </c>
      <c r="H189" s="9" t="s">
        <v>650</v>
      </c>
      <c r="I189" s="17" t="str">
        <f>IFERROR(_xlfn.XLOOKUP(Tabela2[[#This Row],[CHAPA]],TUT.CONTROL!F:F,TUT.CONTROL!I:I),_xlfn.XLOOKUP(Tabela2[[#This Row],[CHAPA]],'REG.CONTROL'!F:F,'REG.CONTROL'!I:I))</f>
        <v>Ativo</v>
      </c>
      <c r="J189" s="17">
        <f>IFERROR(_xlfn.XLOOKUP(Tabela2[[#This Row],[NOME DO TUTOR]],'REG.CONTROL'!C:C,'REG.CONTROL'!G:G),"Demitido")</f>
        <v>45810</v>
      </c>
      <c r="K189" s="19" t="s">
        <v>651</v>
      </c>
      <c r="L189" s="22">
        <f>IFERROR(_xlfn.XLOOKUP(Tabela2[[#This Row],[NOME DO TUTOR]],'REG.CONTROL'!C:C,'REG.CONTROL'!F:F),"Demitido")</f>
        <v>1004018234</v>
      </c>
      <c r="M189" s="8" t="s">
        <v>652</v>
      </c>
      <c r="N189" s="11" t="str">
        <f>IFERROR(_xlfn.XLOOKUP(Tabela2[[#This Row],[CHAPA]],TUT.CONTROL!F:F,TUT.CONTROL!H:H),_xlfn.XLOOKUP(Tabela2[[#This Row],[CHAPA]],'REG.CONTROL'!F:F,'REG.CONTROL'!H:H))</f>
        <v>PROFESSOR REGENTE DE POLO (UC_1744)</v>
      </c>
      <c r="O189" s="68" t="str">
        <f>IFERROR(_xlfn.XLOOKUP(Tabela2[[#This Row],[NOME DO TUTOR]],'REGENTE CH'!A:A,'REGENTE CH'!C:C),"Atualizar")</f>
        <v>004:00</v>
      </c>
      <c r="P18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89" s="66" t="s">
        <v>30</v>
      </c>
      <c r="R189" s="12" t="s">
        <v>282</v>
      </c>
      <c r="S189" s="12">
        <v>823553</v>
      </c>
    </row>
    <row r="190" spans="1:19" ht="13.5" hidden="1" x14ac:dyDescent="0.3">
      <c r="A19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Posse/GOEMF-ISNENF-INS (Multidisciplinar II)</v>
      </c>
      <c r="B190" s="8" t="str">
        <f>Tabela2[[#This Row],[CATEGORIA]]&amp;Tabela2[[#This Row],[CURSOS]]&amp;"LAP - "&amp;Tabela2[[#This Row],[POLO]]</f>
        <v>ENF-INS (Multidisciplinar II)EMF-ISNLAP - Posse/GO</v>
      </c>
      <c r="C190" s="8" t="str">
        <f>Tabela2[[#This Row],[CATEGORIA]]&amp;Tabela2[[#This Row],[CURSOS]]</f>
        <v>ENF-INS (Multidisciplinar II)EMF-ISN</v>
      </c>
      <c r="D190" s="8" t="str">
        <f>IF(Tabela2[[#This Row],[SITUAÇÃO]]&lt;&gt;"Demitido",CONCATENATE(Tabela2[[#This Row],[POLO]],Tabela2[[#This Row],[CURSOS]]),"Substituição")</f>
        <v>Posse/GOEMF-ISN</v>
      </c>
      <c r="E190" s="8" t="s">
        <v>21</v>
      </c>
      <c r="F190" s="67" t="s">
        <v>22</v>
      </c>
      <c r="G190" s="67" t="s">
        <v>653</v>
      </c>
      <c r="H190" s="9" t="s">
        <v>654</v>
      </c>
      <c r="I190" s="17" t="str">
        <f>IFERROR(_xlfn.XLOOKUP(Tabela2[[#This Row],[CHAPA]],TUT.CONTROL!F:F,TUT.CONTROL!I:I),_xlfn.XLOOKUP(Tabela2[[#This Row],[CHAPA]],'REG.CONTROL'!F:F,'REG.CONTROL'!I:I))</f>
        <v>Ativo</v>
      </c>
      <c r="J190" s="17">
        <f>IFERROR(_xlfn.XLOOKUP(Tabela2[[#This Row],[NOME DO TUTOR]],TUT.CONTROL!C:C,TUT.CONTROL!G:G),"Demitido")</f>
        <v>45791</v>
      </c>
      <c r="K190" s="19">
        <v>62991929023</v>
      </c>
      <c r="L190" s="22">
        <f>IFERROR(_xlfn.XLOOKUP(Tabela2[[#This Row],[NOME DO TUTOR]],TUT.CONTROL!C:C,TUT.CONTROL!F:F),"Demitido")</f>
        <v>1158000631</v>
      </c>
      <c r="M190" s="8" t="s">
        <v>655</v>
      </c>
      <c r="N190" s="11" t="str">
        <f>IFERROR(_xlfn.XLOOKUP(Tabela2[[#This Row],[CHAPA]],TUT.CONTROL!F:F,TUT.CONTROL!H:H),_xlfn.XLOOKUP(Tabela2[[#This Row],[CHAPA]],'REG.CONTROL'!F:F,'REG.CONTROL'!H:H))</f>
        <v>TUTOR DE PRATICA (UC_1749)</v>
      </c>
      <c r="O190" s="68" t="str">
        <f>IFERROR(_xlfn.XLOOKUP(Tabela2[[#This Row],[NOME DO TUTOR]],TUT.CONTROL!C:C,TUT.CONTROL!K:K),"Demitido")</f>
        <v>004:00</v>
      </c>
      <c r="P19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90" s="66" t="s">
        <v>30</v>
      </c>
      <c r="R190" s="8"/>
      <c r="S190" s="8"/>
    </row>
    <row r="191" spans="1:19" ht="13.5" hidden="1" x14ac:dyDescent="0.3">
      <c r="A19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91" s="8" t="str">
        <f>Tabela2[[#This Row],[CATEGORIA]]&amp;Tabela2[[#This Row],[CURSOS]]&amp;"LAP - "&amp;Tabela2[[#This Row],[POLO]]</f>
        <v>ENF-INS (Multidisciplinar II)EMF-ISNLAP - Pouso Alegre/MG</v>
      </c>
      <c r="C191" s="8" t="str">
        <f>Tabela2[[#This Row],[CATEGORIA]]&amp;Tabela2[[#This Row],[CURSOS]]</f>
        <v>ENF-INS (Multidisciplinar II)EMF-ISN</v>
      </c>
      <c r="D191" s="8" t="str">
        <f>IF(Tabela2[[#This Row],[SITUAÇÃO]]&lt;&gt;"Demitido",CONCATENATE(Tabela2[[#This Row],[POLO]],Tabela2[[#This Row],[CURSOS]]),"Substituição")</f>
        <v>Substituição</v>
      </c>
      <c r="E191" s="8" t="s">
        <v>21</v>
      </c>
      <c r="F191" s="67" t="s">
        <v>22</v>
      </c>
      <c r="G191" s="67" t="s">
        <v>629</v>
      </c>
      <c r="H191" s="9" t="s">
        <v>656</v>
      </c>
      <c r="I191" s="17" t="str">
        <f>IFERROR(_xlfn.XLOOKUP(Tabela2[[#This Row],[CHAPA]],TUT.CONTROL!F:F,TUT.CONTROL!I:I),_xlfn.XLOOKUP(Tabela2[[#This Row],[CHAPA]],'REG.CONTROL'!F:F,'REG.CONTROL'!I:I))</f>
        <v>Demitido</v>
      </c>
      <c r="J191" s="17">
        <f>IFERROR(_xlfn.XLOOKUP(Tabela2[[#This Row],[NOME DO TUTOR]],TUT.CONTROL!C:C,TUT.CONTROL!G:G),"Demitido")</f>
        <v>45754</v>
      </c>
      <c r="K191" s="19" t="s">
        <v>657</v>
      </c>
      <c r="L191" s="22">
        <f>IFERROR(_xlfn.XLOOKUP(Tabela2[[#This Row],[NOME DO TUTOR]],TUT.CONTROL!C:C,TUT.CONTROL!F:F),"Demitido")</f>
        <v>1158000679</v>
      </c>
      <c r="M191" s="8" t="s">
        <v>658</v>
      </c>
      <c r="N191" s="11" t="str">
        <f>IFERROR(_xlfn.XLOOKUP(Tabela2[[#This Row],[CHAPA]],TUT.CONTROL!F:F,TUT.CONTROL!H:H),_xlfn.XLOOKUP(Tabela2[[#This Row],[CHAPA]],'REG.CONTROL'!F:F,'REG.CONTROL'!H:H))</f>
        <v>TUTOR DE PRATICA (UC_1749)</v>
      </c>
      <c r="O191" s="68" t="str">
        <f>IFERROR(_xlfn.XLOOKUP(Tabela2[[#This Row],[NOME DO TUTOR]],TUT.CONTROL!C:C,TUT.CONTROL!K:K),"Demitido")</f>
        <v>004:00</v>
      </c>
      <c r="P191" s="17">
        <f>IF(Tabela2[[#This Row],[SITUAÇÃO]]="Demitido",IFERROR(_xlfn.XLOOKUP(Tabela2[[#This Row],[CHAPA]],TUT.CONTROL!F:F,TUT.CONTROL!V:V),_xlfn.XLOOKUP(Tabela2[[#This Row],[CHAPA]],'REG.CONTROL'!F:F,'REG.CONTROL'!V:V)),"-")</f>
        <v>45911</v>
      </c>
      <c r="Q191" s="66" t="s">
        <v>43</v>
      </c>
      <c r="R191" s="8" t="s">
        <v>100</v>
      </c>
      <c r="S191" s="8">
        <v>425451</v>
      </c>
    </row>
    <row r="192" spans="1:19" ht="13.5" hidden="1" x14ac:dyDescent="0.3">
      <c r="A19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Pouso Alegre/MGEMF-ISNENF-INS (Multidisciplinar II)</v>
      </c>
      <c r="B192" s="8" t="str">
        <f>Tabela2[[#This Row],[CATEGORIA]]&amp;Tabela2[[#This Row],[CURSOS]]&amp;"LAP - "&amp;Tabela2[[#This Row],[POLO]]</f>
        <v>ENF-INS (Multidisciplinar II)EMF-ISNLAP - Pouso Alegre/MG</v>
      </c>
      <c r="C192" s="8" t="str">
        <f>Tabela2[[#This Row],[CATEGORIA]]&amp;Tabela2[[#This Row],[CURSOS]]</f>
        <v>ENF-INS (Multidisciplinar II)EMF-ISN</v>
      </c>
      <c r="D192" s="8" t="str">
        <f>IF(Tabela2[[#This Row],[SITUAÇÃO]]&lt;&gt;"Demitido",CONCATENATE(Tabela2[[#This Row],[POLO]],Tabela2[[#This Row],[CURSOS]]),"Substituição")</f>
        <v>Pouso Alegre/MGEMF-ISN</v>
      </c>
      <c r="E192" s="8" t="s">
        <v>21</v>
      </c>
      <c r="F192" s="67" t="s">
        <v>22</v>
      </c>
      <c r="G192" s="67" t="s">
        <v>629</v>
      </c>
      <c r="H192" s="9" t="s">
        <v>659</v>
      </c>
      <c r="I192" s="17" t="str">
        <f>IFERROR(_xlfn.XLOOKUP(Tabela2[[#This Row],[CHAPA]],TUT.CONTROL!F:F,TUT.CONTROL!I:I),_xlfn.XLOOKUP(Tabela2[[#This Row],[CHAPA]],'REG.CONTROL'!F:F,'REG.CONTROL'!I:I))</f>
        <v>Ativo</v>
      </c>
      <c r="J192" s="17">
        <f>IFERROR(_xlfn.XLOOKUP(Tabela2[[#This Row],[NOME DO TUTOR]],TUT.CONTROL!C:C,TUT.CONTROL!G:G),"Atualizar")</f>
        <v>46090</v>
      </c>
      <c r="K192" s="19">
        <v>35992385696</v>
      </c>
      <c r="L192" s="22">
        <f>IFERROR(_xlfn.XLOOKUP(Tabela2[[#This Row],[NOME DO TUTOR]],TUT.CONTROL!C:C,TUT.CONTROL!F:F),"Demitido")</f>
        <v>1158001160</v>
      </c>
      <c r="M192" s="8" t="s">
        <v>660</v>
      </c>
      <c r="N192" s="11" t="str">
        <f>IFERROR(_xlfn.XLOOKUP(Tabela2[[#This Row],[CHAPA]],TUT.CONTROL!F:F,TUT.CONTROL!H:H),_xlfn.XLOOKUP(Tabela2[[#This Row],[CHAPA]],'REG.CONTROL'!F:F,'REG.CONTROL'!H:H))</f>
        <v>TUTOR DE PRATICA (UC_1749)</v>
      </c>
      <c r="O192" s="70" t="str">
        <f>IFERROR(_xlfn.XLOOKUP(Tabela2[[#This Row],[NOME DO TUTOR]],TUT.CONTROL!C:C,TUT.CONTROL!K:K),"Demitido")</f>
        <v>004:00</v>
      </c>
      <c r="P19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92" s="66" t="s">
        <v>30</v>
      </c>
      <c r="R192" s="8" t="s">
        <v>100</v>
      </c>
      <c r="S192" s="8">
        <v>750426</v>
      </c>
    </row>
    <row r="193" spans="1:19" ht="13.5" hidden="1" x14ac:dyDescent="0.3">
      <c r="A19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Praia Grande/SPEMF-ISNENF-INS (Multidisciplinar II)</v>
      </c>
      <c r="B193" s="8" t="str">
        <f>Tabela2[[#This Row],[CATEGORIA]]&amp;Tabela2[[#This Row],[CURSOS]]&amp;"LAP - "&amp;Tabela2[[#This Row],[POLO]]</f>
        <v>ENF-INS (Multidisciplinar II)EMF-ISNLAP - Praia Grande/SP</v>
      </c>
      <c r="C193" s="8" t="str">
        <f>Tabela2[[#This Row],[CATEGORIA]]&amp;Tabela2[[#This Row],[CURSOS]]</f>
        <v>ENF-INS (Multidisciplinar II)EMF-ISN</v>
      </c>
      <c r="D193" s="8" t="str">
        <f>IF(Tabela2[[#This Row],[SITUAÇÃO]]&lt;&gt;"Demitido",CONCATENATE(Tabela2[[#This Row],[POLO]],Tabela2[[#This Row],[CURSOS]]),"Substituição")</f>
        <v>Praia Grande/SPEMF-ISN</v>
      </c>
      <c r="E193" s="8" t="s">
        <v>21</v>
      </c>
      <c r="F193" s="67" t="s">
        <v>22</v>
      </c>
      <c r="G193" s="67" t="s">
        <v>661</v>
      </c>
      <c r="H193" s="9" t="s">
        <v>662</v>
      </c>
      <c r="I193" s="17" t="str">
        <f>IFERROR(_xlfn.XLOOKUP(Tabela2[[#This Row],[CHAPA]],TUT.CONTROL!F:F,TUT.CONTROL!I:I),_xlfn.XLOOKUP(Tabela2[[#This Row],[CHAPA]],'REG.CONTROL'!F:F,'REG.CONTROL'!I:I))</f>
        <v>Ativo</v>
      </c>
      <c r="J193" s="17">
        <f>IFERROR(_xlfn.XLOOKUP(Tabela2[[#This Row],[NOME DO TUTOR]],'REG.CONTROL'!C:C,'REG.CONTROL'!G:G),"Demitido")</f>
        <v>45518</v>
      </c>
      <c r="K193" s="19">
        <v>13981537494</v>
      </c>
      <c r="L193" s="22">
        <f>IFERROR(_xlfn.XLOOKUP(Tabela2[[#This Row],[NOME DO TUTOR]],'REG.CONTROL'!C:C,'REG.CONTROL'!F:F),"Demitido")</f>
        <v>1004015461</v>
      </c>
      <c r="M193" s="8" t="s">
        <v>663</v>
      </c>
      <c r="N193" s="11" t="str">
        <f>IFERROR(_xlfn.XLOOKUP(Tabela2[[#This Row],[CHAPA]],TUT.CONTROL!F:F,TUT.CONTROL!H:H),_xlfn.XLOOKUP(Tabela2[[#This Row],[CHAPA]],'REG.CONTROL'!F:F,'REG.CONTROL'!H:H))</f>
        <v>PROFESSOR REGENTE DE POLO (UC_1744)</v>
      </c>
      <c r="O193" s="68" t="str">
        <f>IFERROR(_xlfn.XLOOKUP(Tabela2[[#This Row],[NOME DO TUTOR]],'REGENTE CH'!A:A,'REGENTE CH'!C:C),"Atualizar")</f>
        <v>004:00</v>
      </c>
      <c r="P19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93" s="66" t="s">
        <v>30</v>
      </c>
      <c r="R193" s="8" t="s">
        <v>75</v>
      </c>
      <c r="S193" s="69">
        <v>284790</v>
      </c>
    </row>
    <row r="194" spans="1:19" ht="13.5" hidden="1" x14ac:dyDescent="0.3">
      <c r="A19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Presidente Dutra/MAEMF-ISNENF-INS (Multidisciplinar II)</v>
      </c>
      <c r="B194" s="8" t="str">
        <f>Tabela2[[#This Row],[CATEGORIA]]&amp;Tabela2[[#This Row],[CURSOS]]&amp;"LAP - "&amp;Tabela2[[#This Row],[POLO]]</f>
        <v>ENF-INS (Multidisciplinar II)EMF-ISNLAP - Presidente Dutra/MA</v>
      </c>
      <c r="C194" s="8" t="str">
        <f>Tabela2[[#This Row],[CATEGORIA]]&amp;Tabela2[[#This Row],[CURSOS]]</f>
        <v>ENF-INS (Multidisciplinar II)EMF-ISN</v>
      </c>
      <c r="D194" s="8" t="str">
        <f>IF(Tabela2[[#This Row],[SITUAÇÃO]]&lt;&gt;"Demitido",CONCATENATE(Tabela2[[#This Row],[POLO]],Tabela2[[#This Row],[CURSOS]]),"Substituição")</f>
        <v>Presidente Dutra/MAEMF-ISN</v>
      </c>
      <c r="E194" s="8" t="s">
        <v>21</v>
      </c>
      <c r="F194" s="67" t="s">
        <v>22</v>
      </c>
      <c r="G194" s="67" t="s">
        <v>664</v>
      </c>
      <c r="H194" s="9" t="s">
        <v>665</v>
      </c>
      <c r="I194" s="17" t="str">
        <f>IFERROR(_xlfn.XLOOKUP(Tabela2[[#This Row],[CHAPA]],TUT.CONTROL!F:F,TUT.CONTROL!I:I),_xlfn.XLOOKUP(Tabela2[[#This Row],[CHAPA]],'REG.CONTROL'!F:F,'REG.CONTROL'!I:I))</f>
        <v>Ativo</v>
      </c>
      <c r="J194" s="17">
        <f>IFERROR(_xlfn.XLOOKUP(Tabela2[[#This Row],[NOME DO TUTOR]],TUT.CONTROL!C:C,TUT.CONTROL!G:G),"Demitido")</f>
        <v>45735</v>
      </c>
      <c r="K194" s="19">
        <v>86984684764</v>
      </c>
      <c r="L194" s="22">
        <f>IFERROR(_xlfn.XLOOKUP(Tabela2[[#This Row],[NOME DO TUTOR]],TUT.CONTROL!C:C,TUT.CONTROL!F:F),"Demitido")</f>
        <v>1158000578</v>
      </c>
      <c r="M194" s="8" t="s">
        <v>666</v>
      </c>
      <c r="N194" s="11" t="str">
        <f>IFERROR(_xlfn.XLOOKUP(Tabela2[[#This Row],[CHAPA]],TUT.CONTROL!F:F,TUT.CONTROL!H:H),_xlfn.XLOOKUP(Tabela2[[#This Row],[CHAPA]],'REG.CONTROL'!F:F,'REG.CONTROL'!H:H))</f>
        <v>TUTOR DE PRATICA (UC_1749)</v>
      </c>
      <c r="O194" s="68" t="str">
        <f>IFERROR(_xlfn.XLOOKUP(Tabela2[[#This Row],[NOME DO TUTOR]],TUT.CONTROL!C:C,TUT.CONTROL!K:K),"Demitido")</f>
        <v>004:00</v>
      </c>
      <c r="P19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94" s="66" t="s">
        <v>30</v>
      </c>
      <c r="R194" s="8" t="s">
        <v>86</v>
      </c>
      <c r="S194" s="8">
        <v>539118</v>
      </c>
    </row>
    <row r="195" spans="1:19" ht="13.5" hidden="1" x14ac:dyDescent="0.3">
      <c r="A19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195" s="8" t="str">
        <f>Tabela2[[#This Row],[CATEGORIA]]&amp;Tabela2[[#This Row],[CURSOS]]&amp;"LAP - "&amp;Tabela2[[#This Row],[POLO]]</f>
        <v>ENGMAKER+QUÍMICA E FÍSICAECE-ENM-ENS-ENG-EEA-GPI-CDE-OBR-SAN-TER-FSA-SLF-QUILAP - Porto Alegre/RS - Phenix</v>
      </c>
      <c r="C195" s="8" t="str">
        <f>Tabela2[[#This Row],[CATEGORIA]]&amp;Tabela2[[#This Row],[CURSOS]]</f>
        <v>ENGMAKER+QUÍMICA E FÍSICAECE-ENM-ENS-ENG-EEA-GPI-CDE-OBR-SAN-TER-FSA-SLF-QUI</v>
      </c>
      <c r="D195" s="8" t="str">
        <f>IF(Tabela2[[#This Row],[SITUAÇÃO]]&lt;&gt;"Demitido",CONCATENATE(Tabela2[[#This Row],[POLO]],Tabela2[[#This Row],[CURSOS]]),"Substituição")</f>
        <v>Substituição</v>
      </c>
      <c r="E195" s="8" t="s">
        <v>125</v>
      </c>
      <c r="F195" s="67" t="s">
        <v>126</v>
      </c>
      <c r="G195" s="67" t="s">
        <v>531</v>
      </c>
      <c r="H195" s="9" t="s">
        <v>667</v>
      </c>
      <c r="I195" s="71" t="str">
        <f>IFERROR(_xlfn.XLOOKUP(Tabela2[[#This Row],[CHAPA]],TUT.CONTROL!F:F,TUT.CONTROL!I:I),_xlfn.XLOOKUP(Tabela2[[#This Row],[CHAPA]],'REG.CONTROL'!F:F,'REG.CONTROL'!I:I))</f>
        <v>Demitido</v>
      </c>
      <c r="J195" s="17">
        <f>IFERROR(_xlfn.XLOOKUP(Tabela2[[#This Row],[NOME DO TUTOR]],TUT.CONTROL!C:C,TUT.CONTROL!G:G),"Atualizar")</f>
        <v>45810</v>
      </c>
      <c r="K195" s="19">
        <v>51981460996</v>
      </c>
      <c r="L195" s="22">
        <f>IFERROR(_xlfn.XLOOKUP(Tabela2[[#This Row],[NOME DO TUTOR]],TUT.CONTROL!C:C,TUT.CONTROL!F:F),"Demitido")</f>
        <v>1158000730</v>
      </c>
      <c r="M195" s="8" t="s">
        <v>668</v>
      </c>
      <c r="N195" s="11" t="str">
        <f>IFERROR(_xlfn.XLOOKUP(Tabela2[[#This Row],[CHAPA]],TUT.CONTROL!F:F,TUT.CONTROL!H:H),_xlfn.XLOOKUP(Tabela2[[#This Row],[CHAPA]],'REG.CONTROL'!F:F,'REG.CONTROL'!H:H))</f>
        <v>TUTOR DE PRATICA (UC_1749)</v>
      </c>
      <c r="O195" s="70" t="str">
        <f>IFERROR(_xlfn.XLOOKUP(Tabela2[[#This Row],[NOME DO TUTOR]],TUT.CONTROL!C:C,TUT.CONTROL!K:K),"Demitido")</f>
        <v>012:00</v>
      </c>
      <c r="P195" s="17">
        <f>IF(Tabela2[[#This Row],[SITUAÇÃO]]="Demitido",IFERROR(_xlfn.XLOOKUP(Tabela2[[#This Row],[CHAPA]],TUT.CONTROL!F:F,TUT.CONTROL!V:V),_xlfn.XLOOKUP(Tabela2[[#This Row],[CHAPA]],'REG.CONTROL'!F:F,'REG.CONTROL'!V:V)),"-")</f>
        <v>45854</v>
      </c>
      <c r="Q195" s="66" t="s">
        <v>43</v>
      </c>
      <c r="R195" s="66" t="s">
        <v>43</v>
      </c>
    </row>
    <row r="196" spans="1:19" ht="13.5" hidden="1" x14ac:dyDescent="0.3">
      <c r="A19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Presidente Prudente/SP - Jardim GuanabaraEMF-ISNENF-INS (Multidisciplinar II)</v>
      </c>
      <c r="B196" s="8" t="str">
        <f>Tabela2[[#This Row],[CATEGORIA]]&amp;Tabela2[[#This Row],[CURSOS]]&amp;"LAP - "&amp;Tabela2[[#This Row],[POLO]]</f>
        <v>ENF-INS (Multidisciplinar II)EMF-ISNLAP - Presidente Prudente/SP - Jardim Guanabara</v>
      </c>
      <c r="C196" s="8" t="str">
        <f>Tabela2[[#This Row],[CATEGORIA]]&amp;Tabela2[[#This Row],[CURSOS]]</f>
        <v>ENF-INS (Multidisciplinar II)EMF-ISN</v>
      </c>
      <c r="D196" s="8" t="str">
        <f>IF(Tabela2[[#This Row],[SITUAÇÃO]]&lt;&gt;"Demitido",CONCATENATE(Tabela2[[#This Row],[POLO]],Tabela2[[#This Row],[CURSOS]]),"Substituição")</f>
        <v>Presidente Prudente/SP - Jardim GuanabaraEMF-ISN</v>
      </c>
      <c r="E196" s="8" t="s">
        <v>21</v>
      </c>
      <c r="F196" s="67" t="s">
        <v>22</v>
      </c>
      <c r="G196" s="67" t="s">
        <v>669</v>
      </c>
      <c r="H196" s="9" t="s">
        <v>670</v>
      </c>
      <c r="I196" s="17" t="str">
        <f>IFERROR(_xlfn.XLOOKUP(Tabela2[[#This Row],[CHAPA]],TUT.CONTROL!F:F,TUT.CONTROL!I:I),_xlfn.XLOOKUP(Tabela2[[#This Row],[CHAPA]],'REG.CONTROL'!F:F,'REG.CONTROL'!I:I))</f>
        <v>Ativo</v>
      </c>
      <c r="J196" s="17">
        <f>IFERROR(_xlfn.XLOOKUP(Tabela2[[#This Row],[NOME DO TUTOR]],TUT.CONTROL!C:C,TUT.CONTROL!G:G),"Demitido")</f>
        <v>45782</v>
      </c>
      <c r="K196" s="19" t="s">
        <v>671</v>
      </c>
      <c r="L196" s="22">
        <f>IFERROR(_xlfn.XLOOKUP(Tabela2[[#This Row],[NOME DO TUTOR]],TUT.CONTROL!C:C,TUT.CONTROL!F:F),"Demitido")</f>
        <v>1158000598</v>
      </c>
      <c r="M196" s="8" t="s">
        <v>672</v>
      </c>
      <c r="N196" s="11" t="str">
        <f>IFERROR(_xlfn.XLOOKUP(Tabela2[[#This Row],[CHAPA]],TUT.CONTROL!F:F,TUT.CONTROL!H:H),_xlfn.XLOOKUP(Tabela2[[#This Row],[CHAPA]],'REG.CONTROL'!F:F,'REG.CONTROL'!H:H))</f>
        <v>TUTOR DE PRATICA (UC_1749)</v>
      </c>
      <c r="O196" s="68" t="str">
        <f>IFERROR(_xlfn.XLOOKUP(Tabela2[[#This Row],[NOME DO TUTOR]],TUT.CONTROL!C:C,TUT.CONTROL!K:K),"Demitido")</f>
        <v>004:00</v>
      </c>
      <c r="P19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96" s="66" t="s">
        <v>30</v>
      </c>
      <c r="R196" s="8" t="s">
        <v>75</v>
      </c>
      <c r="S196" s="8" t="s">
        <v>673</v>
      </c>
    </row>
    <row r="197" spans="1:19" ht="13.5" hidden="1" x14ac:dyDescent="0.3">
      <c r="A19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Recife/PE - ImbiribeiraEMF-ISNENF-INS (Multidisciplinar II)</v>
      </c>
      <c r="B197" s="8" t="str">
        <f>Tabela2[[#This Row],[CATEGORIA]]&amp;Tabela2[[#This Row],[CURSOS]]&amp;"LAP - "&amp;Tabela2[[#This Row],[POLO]]</f>
        <v>ENF-INS (Multidisciplinar II)EMF-ISNLAP - Recife/PE - Imbiribeira</v>
      </c>
      <c r="C197" s="8" t="str">
        <f>Tabela2[[#This Row],[CATEGORIA]]&amp;Tabela2[[#This Row],[CURSOS]]</f>
        <v>ENF-INS (Multidisciplinar II)EMF-ISN</v>
      </c>
      <c r="D197" s="8" t="str">
        <f>IF(Tabela2[[#This Row],[SITUAÇÃO]]&lt;&gt;"Demitido",CONCATENATE(Tabela2[[#This Row],[POLO]],Tabela2[[#This Row],[CURSOS]]),"Substituição")</f>
        <v>Recife/PE - ImbiribeiraEMF-ISN</v>
      </c>
      <c r="E197" s="8" t="s">
        <v>21</v>
      </c>
      <c r="F197" s="67" t="s">
        <v>22</v>
      </c>
      <c r="G197" s="67" t="s">
        <v>674</v>
      </c>
      <c r="H197" s="9" t="s">
        <v>675</v>
      </c>
      <c r="I197" s="17" t="str">
        <f>IFERROR(_xlfn.XLOOKUP(Tabela2[[#This Row],[CHAPA]],TUT.CONTROL!F:F,TUT.CONTROL!I:I),_xlfn.XLOOKUP(Tabela2[[#This Row],[CHAPA]],'REG.CONTROL'!F:F,'REG.CONTROL'!I:I))</f>
        <v>Ativo</v>
      </c>
      <c r="J197" s="17">
        <f>IFERROR(_xlfn.XLOOKUP(Tabela2[[#This Row],[NOME DO TUTOR]],TUT.CONTROL!C:C,TUT.CONTROL!G:G),"Demitido")</f>
        <v>45770</v>
      </c>
      <c r="K197" s="19">
        <v>8199660911</v>
      </c>
      <c r="L197" s="22">
        <f>IFERROR(_xlfn.XLOOKUP(Tabela2[[#This Row],[NOME DO TUTOR]],TUT.CONTROL!C:C,TUT.CONTROL!F:F),"Demitido")</f>
        <v>1158000599</v>
      </c>
      <c r="M197" s="8" t="s">
        <v>676</v>
      </c>
      <c r="N197" s="11" t="str">
        <f>IFERROR(_xlfn.XLOOKUP(Tabela2[[#This Row],[CHAPA]],TUT.CONTROL!F:F,TUT.CONTROL!H:H),_xlfn.XLOOKUP(Tabela2[[#This Row],[CHAPA]],'REG.CONTROL'!F:F,'REG.CONTROL'!H:H))</f>
        <v>TUTOR DE PRATICA (UC_1749)</v>
      </c>
      <c r="O197" s="68" t="str">
        <f>IFERROR(_xlfn.XLOOKUP(Tabela2[[#This Row],[NOME DO TUTOR]],TUT.CONTROL!C:C,TUT.CONTROL!K:K),"Demitido")</f>
        <v>004:00</v>
      </c>
      <c r="P19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97" s="66" t="s">
        <v>30</v>
      </c>
      <c r="R197" s="8" t="s">
        <v>35</v>
      </c>
      <c r="S197" s="8">
        <v>652582</v>
      </c>
    </row>
    <row r="198" spans="1:19" ht="13.5" hidden="1" x14ac:dyDescent="0.3">
      <c r="A19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Registro/SPEMF-ISNENF-INS (Multidisciplinar II)</v>
      </c>
      <c r="B198" s="8" t="str">
        <f>Tabela2[[#This Row],[CATEGORIA]]&amp;Tabela2[[#This Row],[CURSOS]]&amp;"LAP - "&amp;Tabela2[[#This Row],[POLO]]</f>
        <v>ENF-INS (Multidisciplinar II)EMF-ISNLAP - Registro/SP</v>
      </c>
      <c r="C198" s="8" t="str">
        <f>Tabela2[[#This Row],[CATEGORIA]]&amp;Tabela2[[#This Row],[CURSOS]]</f>
        <v>ENF-INS (Multidisciplinar II)EMF-ISN</v>
      </c>
      <c r="D198" s="8" t="str">
        <f>IF(Tabela2[[#This Row],[SITUAÇÃO]]&lt;&gt;"Demitido",CONCATENATE(Tabela2[[#This Row],[POLO]],Tabela2[[#This Row],[CURSOS]]),"Substituição")</f>
        <v>Registro/SPEMF-ISN</v>
      </c>
      <c r="E198" s="8" t="s">
        <v>21</v>
      </c>
      <c r="F198" s="67" t="s">
        <v>22</v>
      </c>
      <c r="G198" s="67" t="s">
        <v>677</v>
      </c>
      <c r="H198" s="9" t="s">
        <v>678</v>
      </c>
      <c r="I198" s="17" t="str">
        <f>IFERROR(_xlfn.XLOOKUP(Tabela2[[#This Row],[CHAPA]],TUT.CONTROL!F:F,TUT.CONTROL!I:I),_xlfn.XLOOKUP(Tabela2[[#This Row],[CHAPA]],'REG.CONTROL'!F:F,'REG.CONTROL'!I:I))</f>
        <v>Ativo</v>
      </c>
      <c r="J198" s="17">
        <f>IFERROR(_xlfn.XLOOKUP(Tabela2[[#This Row],[NOME DO TUTOR]],'REG.CONTROL'!C:C,'REG.CONTROL'!G:G),"Demitido")</f>
        <v>44781</v>
      </c>
      <c r="K198" s="19">
        <v>13996208050</v>
      </c>
      <c r="L198" s="22">
        <f>IFERROR(_xlfn.XLOOKUP(Tabela2[[#This Row],[NOME DO TUTOR]],'REG.CONTROL'!C:C,'REG.CONTROL'!F:F),"Demitido")</f>
        <v>1004010495</v>
      </c>
      <c r="M198" s="8" t="s">
        <v>679</v>
      </c>
      <c r="N198" s="11" t="str">
        <f>IFERROR(_xlfn.XLOOKUP(Tabela2[[#This Row],[CHAPA]],TUT.CONTROL!F:F,TUT.CONTROL!H:H),_xlfn.XLOOKUP(Tabela2[[#This Row],[CHAPA]],'REG.CONTROL'!F:F,'REG.CONTROL'!H:H))</f>
        <v>PROFESSOR REGENTE DE POLO (UC_1744)</v>
      </c>
      <c r="O198" s="68" t="str">
        <f>IFERROR(_xlfn.XLOOKUP(Tabela2[[#This Row],[NOME DO TUTOR]],'REGENTE CH'!A:A,'REGENTE CH'!C:C),"Atualizar")</f>
        <v>004:00</v>
      </c>
      <c r="P19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98" s="66" t="s">
        <v>30</v>
      </c>
      <c r="R198" s="8" t="s">
        <v>75</v>
      </c>
      <c r="S198" s="8">
        <v>361191</v>
      </c>
    </row>
    <row r="199" spans="1:19" ht="13.5" hidden="1" x14ac:dyDescent="0.4">
      <c r="A19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Ribeirão Preto/SPEMF-ISNENF-INS (Multidisciplinar II)</v>
      </c>
      <c r="B199" s="8" t="str">
        <f>Tabela2[[#This Row],[CATEGORIA]]&amp;Tabela2[[#This Row],[CURSOS]]&amp;"LAP - "&amp;Tabela2[[#This Row],[POLO]]</f>
        <v>ENF-INS (Multidisciplinar II)EMF-ISNLAP - Ribeirão Preto/SP</v>
      </c>
      <c r="C199" s="8" t="str">
        <f>Tabela2[[#This Row],[CATEGORIA]]&amp;Tabela2[[#This Row],[CURSOS]]</f>
        <v>ENF-INS (Multidisciplinar II)EMF-ISN</v>
      </c>
      <c r="D199" s="8" t="str">
        <f>IF(Tabela2[[#This Row],[SITUAÇÃO]]&lt;&gt;"Demitido",CONCATENATE(Tabela2[[#This Row],[POLO]],Tabela2[[#This Row],[CURSOS]]),"Substituição")</f>
        <v>Ribeirão Preto/SPEMF-ISN</v>
      </c>
      <c r="E199" s="8" t="s">
        <v>21</v>
      </c>
      <c r="F199" s="67" t="s">
        <v>22</v>
      </c>
      <c r="G199" s="67" t="s">
        <v>680</v>
      </c>
      <c r="H199" s="9" t="s">
        <v>681</v>
      </c>
      <c r="I199" s="17" t="str">
        <f>IFERROR(_xlfn.XLOOKUP(Tabela2[[#This Row],[CHAPA]],TUT.CONTROL!F:F,TUT.CONTROL!I:I),_xlfn.XLOOKUP(Tabela2[[#This Row],[CHAPA]],'REG.CONTROL'!F:F,'REG.CONTROL'!I:I))</f>
        <v>Ativo</v>
      </c>
      <c r="J199" s="17">
        <f>IFERROR(_xlfn.XLOOKUP(Tabela2[[#This Row],[NOME DO TUTOR]],TUT.CONTROL!C:C,TUT.CONTROL!G:G),"Demitido")</f>
        <v>45817</v>
      </c>
      <c r="K199" s="19" t="s">
        <v>682</v>
      </c>
      <c r="L199" s="22">
        <f>IFERROR(_xlfn.XLOOKUP(Tabela2[[#This Row],[NOME DO TUTOR]],TUT.CONTROL!C:C,TUT.CONTROL!F:F),"Demitido")</f>
        <v>1158000752</v>
      </c>
      <c r="M199" s="8" t="s">
        <v>683</v>
      </c>
      <c r="N199" s="11" t="str">
        <f>IFERROR(_xlfn.XLOOKUP(Tabela2[[#This Row],[CHAPA]],TUT.CONTROL!F:F,TUT.CONTROL!H:H),_xlfn.XLOOKUP(Tabela2[[#This Row],[CHAPA]],'REG.CONTROL'!F:F,'REG.CONTROL'!H:H))</f>
        <v>TUTOR DE PRATICA (UC_1749)</v>
      </c>
      <c r="O199" s="68" t="str">
        <f>IFERROR(_xlfn.XLOOKUP(Tabela2[[#This Row],[NOME DO TUTOR]],TUT.CONTROL!C:C,TUT.CONTROL!K:K),"Demitido")</f>
        <v>004:00</v>
      </c>
      <c r="P19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199" s="66" t="s">
        <v>30</v>
      </c>
      <c r="R199" s="12"/>
      <c r="S199" s="8"/>
    </row>
    <row r="200" spans="1:19" ht="13.5" hidden="1" x14ac:dyDescent="0.3">
      <c r="A20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Rio Branco/AC - TangaráEMF-ISNENF-INS (Multidisciplinar II)</v>
      </c>
      <c r="B200" s="8" t="str">
        <f>Tabela2[[#This Row],[CATEGORIA]]&amp;Tabela2[[#This Row],[CURSOS]]&amp;"LAP - "&amp;Tabela2[[#This Row],[POLO]]</f>
        <v>ENF-INS (Multidisciplinar II)EMF-ISNLAP - Rio Branco/AC - Tangará</v>
      </c>
      <c r="C200" s="8" t="str">
        <f>Tabela2[[#This Row],[CATEGORIA]]&amp;Tabela2[[#This Row],[CURSOS]]</f>
        <v>ENF-INS (Multidisciplinar II)EMF-ISN</v>
      </c>
      <c r="D200" s="8" t="str">
        <f>IF(Tabela2[[#This Row],[SITUAÇÃO]]&lt;&gt;"Demitido",CONCATENATE(Tabela2[[#This Row],[POLO]],Tabela2[[#This Row],[CURSOS]]),"Substituição")</f>
        <v>Rio Branco/AC - TangaráEMF-ISN</v>
      </c>
      <c r="E200" s="8" t="s">
        <v>21</v>
      </c>
      <c r="F200" s="67" t="s">
        <v>22</v>
      </c>
      <c r="G200" s="67" t="s">
        <v>684</v>
      </c>
      <c r="H200" s="9" t="s">
        <v>685</v>
      </c>
      <c r="I200" s="17" t="str">
        <f>IFERROR(_xlfn.XLOOKUP(Tabela2[[#This Row],[CHAPA]],TUT.CONTROL!F:F,TUT.CONTROL!I:I),_xlfn.XLOOKUP(Tabela2[[#This Row],[CHAPA]],'REG.CONTROL'!F:F,'REG.CONTROL'!I:I))</f>
        <v>Ativo</v>
      </c>
      <c r="J200" s="17">
        <f>IFERROR(_xlfn.XLOOKUP(Tabela2[[#This Row],[NOME DO TUTOR]],'REG.CONTROL'!C:C,'REG.CONTROL'!G:G),"Demitido")</f>
        <v>44823</v>
      </c>
      <c r="K200" s="19" t="s">
        <v>686</v>
      </c>
      <c r="L200" s="22">
        <f>IFERROR(_xlfn.XLOOKUP(Tabela2[[#This Row],[NOME DO TUTOR]],'REG.CONTROL'!C:C,'REG.CONTROL'!F:F),"Demitido")</f>
        <v>1004010822</v>
      </c>
      <c r="M200" s="8" t="s">
        <v>687</v>
      </c>
      <c r="N200" s="11" t="str">
        <f>IFERROR(_xlfn.XLOOKUP(Tabela2[[#This Row],[CHAPA]],TUT.CONTROL!F:F,TUT.CONTROL!H:H),_xlfn.XLOOKUP(Tabela2[[#This Row],[CHAPA]],'REG.CONTROL'!F:F,'REG.CONTROL'!H:H))</f>
        <v>PROFESSOR REGENTE DE POLO (UC_1744)</v>
      </c>
      <c r="O200" s="68" t="str">
        <f>IFERROR(_xlfn.XLOOKUP(Tabela2[[#This Row],[NOME DO TUTOR]],'REGENTE CH'!A:A,'REGENTE CH'!C:C),"Atualizar")</f>
        <v>004:00</v>
      </c>
      <c r="P20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00" s="66" t="s">
        <v>30</v>
      </c>
      <c r="R200" s="8" t="s">
        <v>250</v>
      </c>
      <c r="S200" s="8">
        <v>725234</v>
      </c>
    </row>
    <row r="201" spans="1:19" ht="13.5" hidden="1" x14ac:dyDescent="0.3">
      <c r="A20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Rio de Janeiro/RJ - Barra da TijucaEMF-ISNENF-INS (Multidisciplinar II)</v>
      </c>
      <c r="B201" s="8" t="str">
        <f>Tabela2[[#This Row],[CATEGORIA]]&amp;Tabela2[[#This Row],[CURSOS]]&amp;"LAP - "&amp;Tabela2[[#This Row],[POLO]]</f>
        <v>ENF-INS (Multidisciplinar II)EMF-ISNLAP - Rio de Janeiro/RJ - Barra da Tijuca</v>
      </c>
      <c r="C201" s="8" t="str">
        <f>Tabela2[[#This Row],[CATEGORIA]]&amp;Tabela2[[#This Row],[CURSOS]]</f>
        <v>ENF-INS (Multidisciplinar II)EMF-ISN</v>
      </c>
      <c r="D201" s="8" t="str">
        <f>IF(Tabela2[[#This Row],[SITUAÇÃO]]&lt;&gt;"Demitido",CONCATENATE(Tabela2[[#This Row],[POLO]],Tabela2[[#This Row],[CURSOS]]),"Substituição")</f>
        <v>Rio de Janeiro/RJ - Barra da TijucaEMF-ISN</v>
      </c>
      <c r="E201" s="8" t="s">
        <v>21</v>
      </c>
      <c r="F201" s="67" t="s">
        <v>22</v>
      </c>
      <c r="G201" s="67" t="s">
        <v>688</v>
      </c>
      <c r="H201" s="9" t="s">
        <v>689</v>
      </c>
      <c r="I201" s="17" t="str">
        <f>IFERROR(_xlfn.XLOOKUP(Tabela2[[#This Row],[CHAPA]],TUT.CONTROL!F:F,TUT.CONTROL!I:I),_xlfn.XLOOKUP(Tabela2[[#This Row],[CHAPA]],'REG.CONTROL'!F:F,'REG.CONTROL'!I:I))</f>
        <v>Ativo</v>
      </c>
      <c r="J201" s="17">
        <f>IFERROR(_xlfn.XLOOKUP(Tabela2[[#This Row],[NOME DO TUTOR]],'REG.CONTROL'!C:C,'REG.CONTROL'!G:G),"Demitido")</f>
        <v>44816</v>
      </c>
      <c r="K201" s="19">
        <v>21999950528</v>
      </c>
      <c r="L201" s="22">
        <f>IFERROR(_xlfn.XLOOKUP(Tabela2[[#This Row],[NOME DO TUTOR]],'REG.CONTROL'!C:C,'REG.CONTROL'!F:F),"Demitido")</f>
        <v>1004010786</v>
      </c>
      <c r="M201" s="8" t="s">
        <v>690</v>
      </c>
      <c r="N201" s="11" t="str">
        <f>IFERROR(_xlfn.XLOOKUP(Tabela2[[#This Row],[CHAPA]],TUT.CONTROL!F:F,TUT.CONTROL!H:H),_xlfn.XLOOKUP(Tabela2[[#This Row],[CHAPA]],'REG.CONTROL'!F:F,'REG.CONTROL'!H:H))</f>
        <v>PROFESSOR REGENTE DE POLO (UC_1744)</v>
      </c>
      <c r="O201" s="68" t="str">
        <f>IFERROR(_xlfn.XLOOKUP(Tabela2[[#This Row],[NOME DO TUTOR]],'REGENTE CH'!A:A,'REGENTE CH'!C:C),"Atualizar")</f>
        <v>008:00</v>
      </c>
      <c r="P20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01" s="66" t="s">
        <v>30</v>
      </c>
      <c r="R201" s="8" t="s">
        <v>157</v>
      </c>
      <c r="S201" s="8">
        <v>303067</v>
      </c>
    </row>
    <row r="202" spans="1:19" ht="13.5" hidden="1" x14ac:dyDescent="0.4">
      <c r="A20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Rio de Janeiro/RJ - Ilha do GovernadorEMF-ISNENF-INS (Multidisciplinar II)</v>
      </c>
      <c r="B202" s="8" t="str">
        <f>Tabela2[[#This Row],[CATEGORIA]]&amp;Tabela2[[#This Row],[CURSOS]]&amp;"LAP - "&amp;Tabela2[[#This Row],[POLO]]</f>
        <v>ENF-INS (Multidisciplinar II)EMF-ISNLAP - Rio de Janeiro/RJ - Ilha do Governador</v>
      </c>
      <c r="C202" s="8" t="str">
        <f>Tabela2[[#This Row],[CATEGORIA]]&amp;Tabela2[[#This Row],[CURSOS]]</f>
        <v>ENF-INS (Multidisciplinar II)EMF-ISN</v>
      </c>
      <c r="D202" s="8" t="str">
        <f>IF(Tabela2[[#This Row],[SITUAÇÃO]]&lt;&gt;"Demitido",CONCATENATE(Tabela2[[#This Row],[POLO]],Tabela2[[#This Row],[CURSOS]]),"Substituição")</f>
        <v>Rio de Janeiro/RJ - Ilha do GovernadorEMF-ISN</v>
      </c>
      <c r="E202" s="8" t="s">
        <v>21</v>
      </c>
      <c r="F202" s="67" t="s">
        <v>22</v>
      </c>
      <c r="G202" s="67" t="s">
        <v>691</v>
      </c>
      <c r="H202" s="9" t="s">
        <v>272</v>
      </c>
      <c r="I202" s="17" t="str">
        <f>IFERROR(_xlfn.XLOOKUP(Tabela2[[#This Row],[CHAPA]],TUT.CONTROL!F:F,TUT.CONTROL!I:I),_xlfn.XLOOKUP(Tabela2[[#This Row],[CHAPA]],'REG.CONTROL'!F:F,'REG.CONTROL'!I:I))</f>
        <v>Ativo</v>
      </c>
      <c r="J202" s="17">
        <f>IFERROR(_xlfn.XLOOKUP(Tabela2[[#This Row],[NOME DO TUTOR]],TUT.CONTROL!C:C,TUT.CONTROL!G:G),"Demitido")</f>
        <v>45721</v>
      </c>
      <c r="K202" s="19">
        <v>21964407572</v>
      </c>
      <c r="L202" s="22">
        <f>IFERROR(_xlfn.XLOOKUP(Tabela2[[#This Row],[NOME DO TUTOR]],TUT.CONTROL!C:C,TUT.CONTROL!F:F),"Demitido")</f>
        <v>1158000531</v>
      </c>
      <c r="M202" s="8" t="s">
        <v>274</v>
      </c>
      <c r="N202" s="11" t="str">
        <f>IFERROR(_xlfn.XLOOKUP(Tabela2[[#This Row],[CHAPA]],TUT.CONTROL!F:F,TUT.CONTROL!H:H),_xlfn.XLOOKUP(Tabela2[[#This Row],[CHAPA]],'REG.CONTROL'!F:F,'REG.CONTROL'!H:H))</f>
        <v>TUTOR DE PRATICA (UC_1749)</v>
      </c>
      <c r="O202" s="68" t="str">
        <f>IFERROR(_xlfn.XLOOKUP(Tabela2[[#This Row],[NOME DO TUTOR]],TUT.CONTROL!C:C,TUT.CONTROL!K:K),"Demitido")</f>
        <v>012:00</v>
      </c>
      <c r="P20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02" s="66" t="s">
        <v>30</v>
      </c>
      <c r="R202" s="76" t="s">
        <v>157</v>
      </c>
      <c r="S202" s="77" t="s">
        <v>275</v>
      </c>
    </row>
    <row r="203" spans="1:19" ht="13.5" hidden="1" customHeight="1" x14ac:dyDescent="0.3">
      <c r="A20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Rio de Janeiro/RJ - Santa CruzEMF-ISNENF-INS (Multidisciplinar II)</v>
      </c>
      <c r="B203" s="8" t="str">
        <f>Tabela2[[#This Row],[CATEGORIA]]&amp;Tabela2[[#This Row],[CURSOS]]&amp;"LAP - "&amp;Tabela2[[#This Row],[POLO]]</f>
        <v>ENF-INS (Multidisciplinar II)EMF-ISNLAP - Rio de Janeiro/RJ - Santa Cruz</v>
      </c>
      <c r="C203" s="8" t="str">
        <f>Tabela2[[#This Row],[CATEGORIA]]&amp;Tabela2[[#This Row],[CURSOS]]</f>
        <v>ENF-INS (Multidisciplinar II)EMF-ISN</v>
      </c>
      <c r="D203" s="8" t="str">
        <f>IF(Tabela2[[#This Row],[SITUAÇÃO]]&lt;&gt;"Demitido",CONCATENATE(Tabela2[[#This Row],[POLO]],Tabela2[[#This Row],[CURSOS]]),"Substituição")</f>
        <v>Rio de Janeiro/RJ - Santa CruzEMF-ISN</v>
      </c>
      <c r="E203" s="8" t="s">
        <v>21</v>
      </c>
      <c r="F203" s="67" t="s">
        <v>22</v>
      </c>
      <c r="G203" s="67" t="s">
        <v>692</v>
      </c>
      <c r="H203" s="9" t="s">
        <v>693</v>
      </c>
      <c r="I203" s="17" t="str">
        <f>IFERROR(_xlfn.XLOOKUP(Tabela2[[#This Row],[CHAPA]],TUT.CONTROL!F:F,TUT.CONTROL!I:I),_xlfn.XLOOKUP(Tabela2[[#This Row],[CHAPA]],'REG.CONTROL'!F:F,'REG.CONTROL'!I:I))</f>
        <v>Ativo</v>
      </c>
      <c r="J203" s="17">
        <f>IFERROR(_xlfn.XLOOKUP(Tabela2[[#This Row],[NOME DO TUTOR]],TUT.CONTROL!C:C,TUT.CONTROL!G:G),"Demitido")</f>
        <v>45749</v>
      </c>
      <c r="K203" s="19" t="s">
        <v>694</v>
      </c>
      <c r="L203" s="22">
        <f>IFERROR(_xlfn.XLOOKUP(Tabela2[[#This Row],[NOME DO TUTOR]],TUT.CONTROL!C:C,TUT.CONTROL!F:F),"Demitido")</f>
        <v>1158000668</v>
      </c>
      <c r="M203" s="8" t="s">
        <v>695</v>
      </c>
      <c r="N203" s="11" t="str">
        <f>IFERROR(_xlfn.XLOOKUP(Tabela2[[#This Row],[CHAPA]],TUT.CONTROL!F:F,TUT.CONTROL!H:H),_xlfn.XLOOKUP(Tabela2[[#This Row],[CHAPA]],'REG.CONTROL'!F:F,'REG.CONTROL'!H:H))</f>
        <v>TUTOR DE PRATICA (UC_1749)</v>
      </c>
      <c r="O203" s="68" t="str">
        <f>IFERROR(_xlfn.XLOOKUP(Tabela2[[#This Row],[NOME DO TUTOR]],TUT.CONTROL!C:C,TUT.CONTROL!K:K),"Demitido")</f>
        <v>020:00</v>
      </c>
      <c r="P20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03" s="66" t="s">
        <v>30</v>
      </c>
      <c r="R203" s="8" t="s">
        <v>157</v>
      </c>
      <c r="S203" s="8">
        <v>735700</v>
      </c>
    </row>
    <row r="204" spans="1:19" ht="13.5" hidden="1" x14ac:dyDescent="0.3">
      <c r="A20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Itaguaí/RJ - Edifício ManancialECE-ENM-ENS-ENG-EEA-GPI-CDE-OBR-SAN-TER-FSA-SLF-QUIENGMAKER+QUÍMICA E FÍSICA</v>
      </c>
      <c r="B204" s="8" t="str">
        <f>Tabela2[[#This Row],[CATEGORIA]]&amp;Tabela2[[#This Row],[CURSOS]]&amp;"LAP - "&amp;Tabela2[[#This Row],[POLO]]</f>
        <v>ENGMAKER+QUÍMICA E FÍSICAECE-ENM-ENS-ENG-EEA-GPI-CDE-OBR-SAN-TER-FSA-SLF-QUILAP - Itaguaí/RJ - Edifício Manancial</v>
      </c>
      <c r="C204" s="8" t="str">
        <f>Tabela2[[#This Row],[CATEGORIA]]&amp;Tabela2[[#This Row],[CURSOS]]</f>
        <v>ENGMAKER+QUÍMICA E FÍSICAECE-ENM-ENS-ENG-EEA-GPI-CDE-OBR-SAN-TER-FSA-SLF-QUI</v>
      </c>
      <c r="D204" s="8" t="str">
        <f>IF(Tabela2[[#This Row],[SITUAÇÃO]]&lt;&gt;"Demitido",CONCATENATE(Tabela2[[#This Row],[POLO]],Tabela2[[#This Row],[CURSOS]]),"Substituição")</f>
        <v>Itaguaí/RJ - Edifício ManancialECE-ENM-ENS-ENG-EEA-GPI-CDE-OBR-SAN-TER-FSA-SLF-QUI</v>
      </c>
      <c r="E204" s="8" t="s">
        <v>125</v>
      </c>
      <c r="F204" s="67" t="s">
        <v>126</v>
      </c>
      <c r="G204" s="67" t="s">
        <v>696</v>
      </c>
      <c r="H204" s="9" t="s">
        <v>697</v>
      </c>
      <c r="I204" s="17" t="str">
        <f>IFERROR(_xlfn.XLOOKUP(Tabela2[[#This Row],[CHAPA]],TUT.CONTROL!F:F,TUT.CONTROL!I:I),_xlfn.XLOOKUP(Tabela2[[#This Row],[CHAPA]],'REG.CONTROL'!F:F,'REG.CONTROL'!I:I))</f>
        <v>Ativo</v>
      </c>
      <c r="J204" s="17">
        <f>IFERROR(_xlfn.XLOOKUP(Tabela2[[#This Row],[NOME DO TUTOR]],TUT.CONTROL!C:C,TUT.CONTROL!G:G),"Demitido")</f>
        <v>45810</v>
      </c>
      <c r="K204" s="19" t="s">
        <v>698</v>
      </c>
      <c r="L204" s="22">
        <f>IFERROR(_xlfn.XLOOKUP(Tabela2[[#This Row],[NOME DO TUTOR]],TUT.CONTROL!C:C,TUT.CONTROL!F:F),"Demitido")</f>
        <v>1158000723</v>
      </c>
      <c r="M204" s="8" t="s">
        <v>699</v>
      </c>
      <c r="N204" s="11" t="str">
        <f>IFERROR(_xlfn.XLOOKUP(Tabela2[[#This Row],[CHAPA]],TUT.CONTROL!F:F,TUT.CONTROL!H:H),_xlfn.XLOOKUP(Tabela2[[#This Row],[CHAPA]],'REG.CONTROL'!F:F,'REG.CONTROL'!H:H))</f>
        <v>TUTOR DE PRATICA (UC_1749)</v>
      </c>
      <c r="O204" s="68" t="str">
        <f>IFERROR(_xlfn.XLOOKUP(Tabela2[[#This Row],[NOME DO TUTOR]],TUT.CONTROL!C:C,TUT.CONTROL!K:K),"Demitido")</f>
        <v>008:00</v>
      </c>
      <c r="P20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04" s="66" t="s">
        <v>30</v>
      </c>
      <c r="R204" s="8"/>
      <c r="S204" s="8"/>
    </row>
    <row r="205" spans="1:19" ht="13.5" hidden="1" customHeight="1" x14ac:dyDescent="0.3">
      <c r="A20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05" s="8" t="str">
        <f>Tabela2[[#This Row],[CATEGORIA]]&amp;Tabela2[[#This Row],[CURSOS]]&amp;"LAP - "&amp;Tabela2[[#This Row],[POLO]]</f>
        <v>ENGMAKER+QUÍMICA E FÍSICAECE-ENM-ENS-ENG-EEA-GPI-CDE-OBR-SAN-TER-FSA-SLF-QUILAP - Florianópolis/SC - Centro</v>
      </c>
      <c r="C205" s="8" t="str">
        <f>Tabela2[[#This Row],[CATEGORIA]]&amp;Tabela2[[#This Row],[CURSOS]]</f>
        <v>ENGMAKER+QUÍMICA E FÍSICAECE-ENM-ENS-ENG-EEA-GPI-CDE-OBR-SAN-TER-FSA-SLF-QUI</v>
      </c>
      <c r="D205" s="8" t="str">
        <f>IF(Tabela2[[#This Row],[SITUAÇÃO]]&lt;&gt;"Demitido",CONCATENATE(Tabela2[[#This Row],[POLO]],Tabela2[[#This Row],[CURSOS]]),"Substituição")</f>
        <v>Substituição</v>
      </c>
      <c r="E205" s="8" t="s">
        <v>125</v>
      </c>
      <c r="F205" s="67" t="s">
        <v>126</v>
      </c>
      <c r="G205" s="67" t="s">
        <v>287</v>
      </c>
      <c r="H205" s="9" t="s">
        <v>700</v>
      </c>
      <c r="I205" s="17" t="str">
        <f>IFERROR(_xlfn.XLOOKUP(Tabela2[[#This Row],[CHAPA]],TUT.CONTROL!F:F,TUT.CONTROL!I:I),_xlfn.XLOOKUP(Tabela2[[#This Row],[CHAPA]],'REG.CONTROL'!F:F,'REG.CONTROL'!I:I))</f>
        <v>Demitido</v>
      </c>
      <c r="J205" s="17">
        <f>IFERROR(_xlfn.XLOOKUP(Tabela2[[#This Row],[NOME DO TUTOR]],TUT.CONTROL!C:C,TUT.CONTROL!G:G),"Demitido")</f>
        <v>45810</v>
      </c>
      <c r="K205" s="19" t="s">
        <v>701</v>
      </c>
      <c r="L205" s="22">
        <f>IFERROR(_xlfn.XLOOKUP(Tabela2[[#This Row],[NOME DO TUTOR]],TUT.CONTROL!C:C,TUT.CONTROL!F:F),"Demitido")</f>
        <v>1158000731</v>
      </c>
      <c r="M205" s="8" t="s">
        <v>702</v>
      </c>
      <c r="N205" s="11" t="str">
        <f>IFERROR(_xlfn.XLOOKUP(Tabela2[[#This Row],[CHAPA]],TUT.CONTROL!F:F,TUT.CONTROL!H:H),_xlfn.XLOOKUP(Tabela2[[#This Row],[CHAPA]],'REG.CONTROL'!F:F,'REG.CONTROL'!H:H))</f>
        <v>TUTOR DE PRATICA (UC_1749)</v>
      </c>
      <c r="O205" s="68" t="str">
        <f>IFERROR(_xlfn.XLOOKUP(Tabela2[[#This Row],[NOME DO TUTOR]],TUT.CONTROL!C:C,TUT.CONTROL!K:K),"Demitido")</f>
        <v>004:00</v>
      </c>
      <c r="P205" s="17">
        <f>IF(Tabela2[[#This Row],[SITUAÇÃO]]="Demitido",IFERROR(_xlfn.XLOOKUP(Tabela2[[#This Row],[CHAPA]],TUT.CONTROL!F:F,TUT.CONTROL!V:V),_xlfn.XLOOKUP(Tabela2[[#This Row],[CHAPA]],'REG.CONTROL'!F:F,'REG.CONTROL'!V:V)),"-")</f>
        <v>45944</v>
      </c>
      <c r="Q205" s="66" t="s">
        <v>43</v>
      </c>
      <c r="R205" s="66" t="s">
        <v>43</v>
      </c>
      <c r="S205" s="8"/>
    </row>
    <row r="206" spans="1:19" ht="13.5" hidden="1" x14ac:dyDescent="0.3">
      <c r="A20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Rio de Janeiro/RJ - TijucaEMF-ISNENF-INS (Multidisciplinar II)</v>
      </c>
      <c r="B206" s="8" t="str">
        <f>Tabela2[[#This Row],[CATEGORIA]]&amp;Tabela2[[#This Row],[CURSOS]]&amp;"LAP - "&amp;Tabela2[[#This Row],[POLO]]</f>
        <v>ENF-INS (Multidisciplinar II)EMF-ISNLAP - Rio de Janeiro/RJ - Tijuca</v>
      </c>
      <c r="C206" s="8" t="str">
        <f>Tabela2[[#This Row],[CATEGORIA]]&amp;Tabela2[[#This Row],[CURSOS]]</f>
        <v>ENF-INS (Multidisciplinar II)EMF-ISN</v>
      </c>
      <c r="D206" s="8" t="str">
        <f>IF(Tabela2[[#This Row],[SITUAÇÃO]]&lt;&gt;"Demitido",CONCATENATE(Tabela2[[#This Row],[POLO]],Tabela2[[#This Row],[CURSOS]]),"Substituição")</f>
        <v>Rio de Janeiro/RJ - TijucaEMF-ISN</v>
      </c>
      <c r="E206" s="8" t="s">
        <v>21</v>
      </c>
      <c r="F206" s="67" t="s">
        <v>22</v>
      </c>
      <c r="G206" s="67" t="s">
        <v>703</v>
      </c>
      <c r="H206" s="9" t="s">
        <v>704</v>
      </c>
      <c r="I206" s="17" t="str">
        <f>IFERROR(_xlfn.XLOOKUP(Tabela2[[#This Row],[CHAPA]],TUT.CONTROL!F:F,TUT.CONTROL!I:I),_xlfn.XLOOKUP(Tabela2[[#This Row],[CHAPA]],'REG.CONTROL'!F:F,'REG.CONTROL'!I:I))</f>
        <v>Ativo</v>
      </c>
      <c r="J206" s="17">
        <f>IFERROR(_xlfn.XLOOKUP(Tabela2[[#This Row],[NOME DO TUTOR]],'REG.CONTROL'!C:C,'REG.CONTROL'!G:G),"Demitido")</f>
        <v>44456</v>
      </c>
      <c r="K206" s="19">
        <v>45991066063</v>
      </c>
      <c r="L206" s="22">
        <f>IFERROR(_xlfn.XLOOKUP(Tabela2[[#This Row],[NOME DO TUTOR]],'REG.CONTROL'!C:C,'REG.CONTROL'!F:F),"Demitido")</f>
        <v>1004008616</v>
      </c>
      <c r="M206" s="8" t="s">
        <v>705</v>
      </c>
      <c r="N206" s="11" t="str">
        <f>IFERROR(_xlfn.XLOOKUP(Tabela2[[#This Row],[CHAPA]],TUT.CONTROL!F:F,TUT.CONTROL!H:H),_xlfn.XLOOKUP(Tabela2[[#This Row],[CHAPA]],'REG.CONTROL'!F:F,'REG.CONTROL'!H:H))</f>
        <v>PROFESSOR REGENTE DE POLO (UC_1744)</v>
      </c>
      <c r="O206" s="68" t="str">
        <f>IFERROR(_xlfn.XLOOKUP(Tabela2[[#This Row],[NOME DO TUTOR]],'REGENTE CH'!A:A,'REGENTE CH'!C:C),"Atualizar")</f>
        <v>004:00</v>
      </c>
      <c r="P20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06" s="66" t="s">
        <v>30</v>
      </c>
      <c r="R206" s="8" t="s">
        <v>157</v>
      </c>
      <c r="S206" s="8">
        <v>717234</v>
      </c>
    </row>
    <row r="207" spans="1:19" ht="13.5" hidden="1" x14ac:dyDescent="0.3">
      <c r="A20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07" s="8" t="str">
        <f>Tabela2[[#This Row],[CATEGORIA]]&amp;Tabela2[[#This Row],[CURSOS]]&amp;"LAP - "&amp;Tabela2[[#This Row],[POLO]]</f>
        <v>ENGMAKER+QUÍMICA E FÍSICAECE-ENM-ENS-ENG-EEA-GPI-CDE-OBR-SAN-TER-FSA-SLF-QUILAP - Camboriú/SC</v>
      </c>
      <c r="C207" s="8" t="str">
        <f>Tabela2[[#This Row],[CATEGORIA]]&amp;Tabela2[[#This Row],[CURSOS]]</f>
        <v>ENGMAKER+QUÍMICA E FÍSICAECE-ENM-ENS-ENG-EEA-GPI-CDE-OBR-SAN-TER-FSA-SLF-QUI</v>
      </c>
      <c r="D207" s="8" t="str">
        <f>IF(Tabela2[[#This Row],[SITUAÇÃO]]&lt;&gt;"Demitido",CONCATENATE(Tabela2[[#This Row],[POLO]],Tabela2[[#This Row],[CURSOS]]),"Substituição")</f>
        <v>Substituição</v>
      </c>
      <c r="E207" s="8" t="s">
        <v>125</v>
      </c>
      <c r="F207" s="67" t="s">
        <v>126</v>
      </c>
      <c r="G207" s="67" t="s">
        <v>706</v>
      </c>
      <c r="H207" s="9" t="s">
        <v>707</v>
      </c>
      <c r="I207" s="17" t="str">
        <f>IFERROR(_xlfn.XLOOKUP(Tabela2[[#This Row],[CHAPA]],TUT.CONTROL!F:F,TUT.CONTROL!I:I),_xlfn.XLOOKUP(Tabela2[[#This Row],[CHAPA]],'REG.CONTROL'!F:F,'REG.CONTROL'!I:I))</f>
        <v>Demitido</v>
      </c>
      <c r="J207" s="17">
        <f>IFERROR(_xlfn.XLOOKUP(Tabela2[[#This Row],[NOME DO TUTOR]],TUT.CONTROL!C:C,TUT.CONTROL!G:G),"Demitido")</f>
        <v>45810</v>
      </c>
      <c r="K207" s="19" t="s">
        <v>708</v>
      </c>
      <c r="L207" s="22">
        <f>IFERROR(_xlfn.XLOOKUP(Tabela2[[#This Row],[NOME DO TUTOR]],TUT.CONTROL!C:C,TUT.CONTROL!F:F),"Demitido")</f>
        <v>1158000720</v>
      </c>
      <c r="M207" s="8" t="s">
        <v>709</v>
      </c>
      <c r="N207" s="11" t="str">
        <f>IFERROR(_xlfn.XLOOKUP(Tabela2[[#This Row],[CHAPA]],TUT.CONTROL!F:F,TUT.CONTROL!H:H),_xlfn.XLOOKUP(Tabela2[[#This Row],[CHAPA]],'REG.CONTROL'!F:F,'REG.CONTROL'!H:H))</f>
        <v>TUTOR DE PRATICA (UC_1749)</v>
      </c>
      <c r="O207" s="68" t="str">
        <f>IFERROR(_xlfn.XLOOKUP(Tabela2[[#This Row],[NOME DO TUTOR]],TUT.CONTROL!C:C,TUT.CONTROL!K:K),"Demitido")</f>
        <v>004:00</v>
      </c>
      <c r="P207" s="17">
        <f>IF(Tabela2[[#This Row],[SITUAÇÃO]]="Demitido",IFERROR(_xlfn.XLOOKUP(Tabela2[[#This Row],[CHAPA]],TUT.CONTROL!F:F,TUT.CONTROL!V:V),_xlfn.XLOOKUP(Tabela2[[#This Row],[CHAPA]],'REG.CONTROL'!F:F,'REG.CONTROL'!V:V)),"-")</f>
        <v>46055</v>
      </c>
      <c r="Q207" s="66" t="s">
        <v>43</v>
      </c>
      <c r="R207" s="66" t="s">
        <v>43</v>
      </c>
      <c r="S207" s="8"/>
    </row>
    <row r="208" spans="1:19" ht="13.5" hidden="1" x14ac:dyDescent="0.3">
      <c r="A20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08" s="8" t="str">
        <f>Tabela2[[#This Row],[CATEGORIA]]&amp;Tabela2[[#This Row],[CURSOS]]&amp;"LAP - "&amp;Tabela2[[#This Row],[POLO]]</f>
        <v>ENF-INS (Multidisciplinar II)EMF-ISNLAP - Rio do Sul/SC</v>
      </c>
      <c r="C208" s="8" t="str">
        <f>Tabela2[[#This Row],[CATEGORIA]]&amp;Tabela2[[#This Row],[CURSOS]]</f>
        <v>ENF-INS (Multidisciplinar II)EMF-ISN</v>
      </c>
      <c r="D208" s="8" t="str">
        <f>IF(Tabela2[[#This Row],[SITUAÇÃO]]&lt;&gt;"Demitido",CONCATENATE(Tabela2[[#This Row],[POLO]],Tabela2[[#This Row],[CURSOS]]),"Substituição")</f>
        <v>Substituição</v>
      </c>
      <c r="E208" s="8" t="s">
        <v>21</v>
      </c>
      <c r="F208" s="67" t="s">
        <v>22</v>
      </c>
      <c r="G208" s="67" t="s">
        <v>710</v>
      </c>
      <c r="H208" s="9" t="s">
        <v>711</v>
      </c>
      <c r="I208" s="71" t="str">
        <f>IFERROR(_xlfn.XLOOKUP(Tabela2[[#This Row],[CHAPA]],TUT.CONTROL!F:F,TUT.CONTROL!I:I),_xlfn.XLOOKUP(Tabela2[[#This Row],[CHAPA]],'REG.CONTROL'!F:F,'REG.CONTROL'!I:I))</f>
        <v>Demitido</v>
      </c>
      <c r="J208" s="17">
        <f>IFERROR(_xlfn.XLOOKUP(Tabela2[[#This Row],[NOME DO TUTOR]],TUT.CONTROL!C:C,TUT.CONTROL!G:G),"Atualizar")</f>
        <v>45728</v>
      </c>
      <c r="K208" s="19">
        <v>47988709318</v>
      </c>
      <c r="L208" s="22">
        <f>IFERROR(_xlfn.XLOOKUP(Tabela2[[#This Row],[NOME DO TUTOR]],TUT.CONTROL!C:C,TUT.CONTROL!F:F),"Demitido")</f>
        <v>1158000548</v>
      </c>
      <c r="M208" s="8" t="s">
        <v>712</v>
      </c>
      <c r="N208" s="11" t="str">
        <f>IFERROR(_xlfn.XLOOKUP(Tabela2[[#This Row],[CHAPA]],TUT.CONTROL!F:F,TUT.CONTROL!H:H),_xlfn.XLOOKUP(Tabela2[[#This Row],[CHAPA]],'REG.CONTROL'!F:F,'REG.CONTROL'!H:H))</f>
        <v>TUTOR DE PRATICA (UC_1749)</v>
      </c>
      <c r="O208" s="70" t="str">
        <f>IFERROR(_xlfn.XLOOKUP(Tabela2[[#This Row],[NOME DO TUTOR]],TUT.CONTROL!C:C,TUT.CONTROL!K:K),"Demitido")</f>
        <v>004:00</v>
      </c>
      <c r="P208" s="17">
        <f>IF(Tabela2[[#This Row],[SITUAÇÃO]]="Demitido",IFERROR(_xlfn.XLOOKUP(Tabela2[[#This Row],[CHAPA]],TUT.CONTROL!F:F,TUT.CONTROL!V:V),_xlfn.XLOOKUP(Tabela2[[#This Row],[CHAPA]],'REG.CONTROL'!F:F,'REG.CONTROL'!V:V)),"-")</f>
        <v>45849</v>
      </c>
      <c r="Q208" s="66" t="s">
        <v>43</v>
      </c>
      <c r="R208" s="8"/>
    </row>
    <row r="209" spans="1:19" ht="13.5" hidden="1" x14ac:dyDescent="0.3">
      <c r="A20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Campinas/SP - AboliçãoECE-ENM-ENS-ENG-EEA-GPI-CDE-OBR-SAN-TER-FSA-SLF-QUIENGMAKER+QUÍMICA E FÍSICA</v>
      </c>
      <c r="B209" s="8" t="str">
        <f>Tabela2[[#This Row],[CATEGORIA]]&amp;Tabela2[[#This Row],[CURSOS]]&amp;"LAP - "&amp;Tabela2[[#This Row],[POLO]]</f>
        <v>ENGMAKER+QUÍMICA E FÍSICAECE-ENM-ENS-ENG-EEA-GPI-CDE-OBR-SAN-TER-FSA-SLF-QUILAP - Campinas/SP - Abolição</v>
      </c>
      <c r="C209" s="8" t="str">
        <f>Tabela2[[#This Row],[CATEGORIA]]&amp;Tabela2[[#This Row],[CURSOS]]</f>
        <v>ENGMAKER+QUÍMICA E FÍSICAECE-ENM-ENS-ENG-EEA-GPI-CDE-OBR-SAN-TER-FSA-SLF-QUI</v>
      </c>
      <c r="D209" s="8" t="str">
        <f>IF(Tabela2[[#This Row],[SITUAÇÃO]]&lt;&gt;"Demitido",CONCATENATE(Tabela2[[#This Row],[POLO]],Tabela2[[#This Row],[CURSOS]]),"Substituição")</f>
        <v>Campinas/SP - AboliçãoECE-ENM-ENS-ENG-EEA-GPI-CDE-OBR-SAN-TER-FSA-SLF-QUI</v>
      </c>
      <c r="E209" s="8" t="s">
        <v>125</v>
      </c>
      <c r="F209" s="67" t="s">
        <v>126</v>
      </c>
      <c r="G209" s="67" t="s">
        <v>172</v>
      </c>
      <c r="H209" s="9" t="s">
        <v>713</v>
      </c>
      <c r="I209" s="17" t="str">
        <f>IFERROR(_xlfn.XLOOKUP(Tabela2[[#This Row],[CHAPA]],TUT.CONTROL!F:F,TUT.CONTROL!I:I),_xlfn.XLOOKUP(Tabela2[[#This Row],[CHAPA]],'REG.CONTROL'!F:F,'REG.CONTROL'!I:I))</f>
        <v>Ativo</v>
      </c>
      <c r="J209" s="17">
        <f>IFERROR(_xlfn.XLOOKUP(Tabela2[[#This Row],[NOME DO TUTOR]],TUT.CONTROL!C:C,TUT.CONTROL!G:G),"Demitido")</f>
        <v>45812</v>
      </c>
      <c r="K209" s="19">
        <v>19953334715</v>
      </c>
      <c r="L209" s="22">
        <f>IFERROR(_xlfn.XLOOKUP(Tabela2[[#This Row],[NOME DO TUTOR]],TUT.CONTROL!C:C,TUT.CONTROL!F:F),"Demitido")</f>
        <v>1158000738</v>
      </c>
      <c r="M209" s="8" t="s">
        <v>714</v>
      </c>
      <c r="N209" s="11" t="str">
        <f>IFERROR(_xlfn.XLOOKUP(Tabela2[[#This Row],[CHAPA]],TUT.CONTROL!F:F,TUT.CONTROL!H:H),_xlfn.XLOOKUP(Tabela2[[#This Row],[CHAPA]],'REG.CONTROL'!F:F,'REG.CONTROL'!H:H))</f>
        <v>TUTOR DE PRATICA (UC_1749)</v>
      </c>
      <c r="O209" s="68" t="str">
        <f>IFERROR(_xlfn.XLOOKUP(Tabela2[[#This Row],[NOME DO TUTOR]],TUT.CONTROL!C:C,TUT.CONTROL!K:K),"Demitido")</f>
        <v>004:00</v>
      </c>
      <c r="P20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09" s="66" t="s">
        <v>30</v>
      </c>
      <c r="R209" s="8" t="s">
        <v>715</v>
      </c>
      <c r="S209" s="8">
        <v>5071618857</v>
      </c>
    </row>
    <row r="210" spans="1:19" ht="13.5" hidden="1" x14ac:dyDescent="0.4">
      <c r="A21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10" s="8" t="str">
        <f>Tabela2[[#This Row],[CATEGORIA]]&amp;Tabela2[[#This Row],[CURSOS]]&amp;"LAP - "&amp;Tabela2[[#This Row],[POLO]]</f>
        <v>ENF-INS (Multidisciplinar II)EMF-ISNLAP - Rio do Sul/SC</v>
      </c>
      <c r="C210" s="8" t="str">
        <f>Tabela2[[#This Row],[CATEGORIA]]&amp;Tabela2[[#This Row],[CURSOS]]</f>
        <v>ENF-INS (Multidisciplinar II)EMF-ISN</v>
      </c>
      <c r="D210" s="8" t="str">
        <f>IF(Tabela2[[#This Row],[SITUAÇÃO]]&lt;&gt;"Demitido",CONCATENATE(Tabela2[[#This Row],[POLO]],Tabela2[[#This Row],[CURSOS]]),"Substituição")</f>
        <v>Substituição</v>
      </c>
      <c r="E210" s="8" t="s">
        <v>21</v>
      </c>
      <c r="F210" s="67" t="s">
        <v>22</v>
      </c>
      <c r="G210" s="67" t="s">
        <v>710</v>
      </c>
      <c r="H210" s="9" t="s">
        <v>716</v>
      </c>
      <c r="I210" s="17" t="str">
        <f>IFERROR(_xlfn.XLOOKUP(Tabela2[[#This Row],[CHAPA]],TUT.CONTROL!F:F,TUT.CONTROL!I:I),_xlfn.XLOOKUP(Tabela2[[#This Row],[CHAPA]],'REG.CONTROL'!F:F,'REG.CONTROL'!I:I))</f>
        <v>Demitido</v>
      </c>
      <c r="J210" s="17">
        <f>IFERROR(_xlfn.XLOOKUP(Tabela2[[#This Row],[NOME DO TUTOR]],TUT.CONTROL!C:C,TUT.CONTROL!G:G),"Demitido")</f>
        <v>45882</v>
      </c>
      <c r="K210" s="19">
        <v>47988406369</v>
      </c>
      <c r="L210" s="22">
        <f>IFERROR(_xlfn.XLOOKUP(Tabela2[[#This Row],[NOME DO TUTOR]],TUT.CONTROL!C:C,TUT.CONTROL!F:F),"Demitido")</f>
        <v>1158000867</v>
      </c>
      <c r="M210" s="8" t="s">
        <v>717</v>
      </c>
      <c r="N210" s="11" t="str">
        <f>IFERROR(_xlfn.XLOOKUP(Tabela2[[#This Row],[CHAPA]],TUT.CONTROL!F:F,TUT.CONTROL!H:H),_xlfn.XLOOKUP(Tabela2[[#This Row],[CHAPA]],'REG.CONTROL'!F:F,'REG.CONTROL'!H:H))</f>
        <v>TUTOR DE PRATICA (UC_1749)</v>
      </c>
      <c r="O210" s="68" t="str">
        <f>IFERROR(_xlfn.XLOOKUP(Tabela2[[#This Row],[NOME DO TUTOR]],TUT.CONTROL!C:C,TUT.CONTROL!K:K),"Demitido")</f>
        <v>004:00</v>
      </c>
      <c r="P210" s="17">
        <f>IF(Tabela2[[#This Row],[SITUAÇÃO]]="Demitido",IFERROR(_xlfn.XLOOKUP(Tabela2[[#This Row],[CHAPA]],TUT.CONTROL!F:F,TUT.CONTROL!V:V),_xlfn.XLOOKUP(Tabela2[[#This Row],[CHAPA]],'REG.CONTROL'!F:F,'REG.CONTROL'!V:V)),"-")</f>
        <v>45965</v>
      </c>
      <c r="Q210" s="66" t="s">
        <v>43</v>
      </c>
      <c r="R210" s="12" t="s">
        <v>149</v>
      </c>
      <c r="S210" s="12">
        <v>709014</v>
      </c>
    </row>
    <row r="211" spans="1:19" ht="13.5" hidden="1" x14ac:dyDescent="0.3">
      <c r="A21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11" s="8" t="str">
        <f>Tabela2[[#This Row],[CATEGORIA]]&amp;Tabela2[[#This Row],[CURSOS]]&amp;"LAP - "&amp;Tabela2[[#This Row],[POLO]]</f>
        <v>ENF-INS (Multidisciplinar II)EMF-ISNLAP - Rio do Sul/SC</v>
      </c>
      <c r="C211" s="8" t="str">
        <f>Tabela2[[#This Row],[CATEGORIA]]&amp;Tabela2[[#This Row],[CURSOS]]</f>
        <v>ENF-INS (Multidisciplinar II)EMF-ISN</v>
      </c>
      <c r="D211" s="8" t="str">
        <f>IF(Tabela2[[#This Row],[SITUAÇÃO]]&lt;&gt;"Demitido",CONCATENATE(Tabela2[[#This Row],[POLO]],Tabela2[[#This Row],[CURSOS]]),"Substituição")</f>
        <v>Substituição</v>
      </c>
      <c r="E211" s="8" t="s">
        <v>21</v>
      </c>
      <c r="F211" s="67" t="s">
        <v>22</v>
      </c>
      <c r="G211" s="67" t="s">
        <v>710</v>
      </c>
      <c r="H211" s="9" t="s">
        <v>718</v>
      </c>
      <c r="I211" s="71" t="str">
        <f>IFERROR(_xlfn.XLOOKUP(Tabela2[[#This Row],[CHAPA]],TUT.CONTROL!F:F,TUT.CONTROL!I:I),_xlfn.XLOOKUP(Tabela2[[#This Row],[CHAPA]],'REG.CONTROL'!F:F,'REG.CONTROL'!I:I))</f>
        <v>Demitido</v>
      </c>
      <c r="J211" s="17">
        <f>IFERROR(_xlfn.XLOOKUP(Tabela2[[#This Row],[NOME DO TUTOR]],TUT.CONTROL!C:C,TUT.CONTROL!G:G),"Demitido")</f>
        <v>45901</v>
      </c>
      <c r="K211" s="19">
        <v>47996997686</v>
      </c>
      <c r="L211" s="22">
        <f>IFERROR(_xlfn.XLOOKUP(Tabela2[[#This Row],[NOME DO TUTOR]],TUT.CONTROL!C:C,TUT.CONTROL!F:F),"Demitido")</f>
        <v>1158000949</v>
      </c>
      <c r="M211" s="8" t="s">
        <v>719</v>
      </c>
      <c r="N211" s="11" t="str">
        <f>IFERROR(_xlfn.XLOOKUP(Tabela2[[#This Row],[CHAPA]],TUT.CONTROL!F:F,TUT.CONTROL!H:H),_xlfn.XLOOKUP(Tabela2[[#This Row],[CHAPA]],'REG.CONTROL'!F:F,'REG.CONTROL'!H:H))</f>
        <v>TUTOR DE PRATICA (UC_1749)</v>
      </c>
      <c r="O211" s="68" t="str">
        <f>IFERROR(_xlfn.XLOOKUP(Tabela2[[#This Row],[NOME DO TUTOR]],TUT.CONTROL!C:C,TUT.CONTROL!K:K),"Demitido")</f>
        <v>004:00</v>
      </c>
      <c r="P211" s="17">
        <f>IF(Tabela2[[#This Row],[SITUAÇÃO]]="Demitido",IFERROR(_xlfn.XLOOKUP(Tabela2[[#This Row],[CHAPA]],TUT.CONTROL!F:F,TUT.CONTROL!V:V),_xlfn.XLOOKUP(Tabela2[[#This Row],[CHAPA]],'REG.CONTROL'!F:F,'REG.CONTROL'!V:V)),"-")</f>
        <v>46087</v>
      </c>
      <c r="Q211" s="66" t="s">
        <v>43</v>
      </c>
      <c r="R211" s="8" t="s">
        <v>149</v>
      </c>
      <c r="S211" s="8">
        <v>712244</v>
      </c>
    </row>
    <row r="212" spans="1:19" ht="13.5" hidden="1" x14ac:dyDescent="0.3">
      <c r="A21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Rio Verde/GOEMF-ISNENF-INS (Multidisciplinar II)</v>
      </c>
      <c r="B212" s="8" t="str">
        <f>Tabela2[[#This Row],[CATEGORIA]]&amp;Tabela2[[#This Row],[CURSOS]]&amp;"LAP - "&amp;Tabela2[[#This Row],[POLO]]</f>
        <v>ENF-INS (Multidisciplinar II)EMF-ISNLAP - Rio Verde/GO</v>
      </c>
      <c r="C212" s="8" t="str">
        <f>Tabela2[[#This Row],[CATEGORIA]]&amp;Tabela2[[#This Row],[CURSOS]]</f>
        <v>ENF-INS (Multidisciplinar II)EMF-ISN</v>
      </c>
      <c r="D212" s="8" t="str">
        <f>IF(Tabela2[[#This Row],[SITUAÇÃO]]&lt;&gt;"Demitido",CONCATENATE(Tabela2[[#This Row],[POLO]],Tabela2[[#This Row],[CURSOS]]),"Substituição")</f>
        <v>Rio Verde/GOEMF-ISN</v>
      </c>
      <c r="E212" s="8" t="s">
        <v>21</v>
      </c>
      <c r="F212" s="67" t="s">
        <v>22</v>
      </c>
      <c r="G212" s="67" t="s">
        <v>720</v>
      </c>
      <c r="H212" s="9" t="s">
        <v>721</v>
      </c>
      <c r="I212" s="17" t="str">
        <f>IFERROR(_xlfn.XLOOKUP(Tabela2[[#This Row],[CHAPA]],TUT.CONTROL!F:F,TUT.CONTROL!I:I),_xlfn.XLOOKUP(Tabela2[[#This Row],[CHAPA]],'REG.CONTROL'!F:F,'REG.CONTROL'!I:I))</f>
        <v>Ativo</v>
      </c>
      <c r="J212" s="17">
        <f>IFERROR(_xlfn.XLOOKUP(Tabela2[[#This Row],[NOME DO TUTOR]],TUT.CONTROL!C:C,TUT.CONTROL!G:G),"Demitido")</f>
        <v>45817</v>
      </c>
      <c r="K212" s="19">
        <v>6493225353</v>
      </c>
      <c r="L212" s="22">
        <f>IFERROR(_xlfn.XLOOKUP(Tabela2[[#This Row],[NOME DO TUTOR]],TUT.CONTROL!C:C,TUT.CONTROL!F:F),"Demitido")</f>
        <v>1158000746</v>
      </c>
      <c r="M212" s="8" t="s">
        <v>722</v>
      </c>
      <c r="N212" s="11" t="str">
        <f>IFERROR(_xlfn.XLOOKUP(Tabela2[[#This Row],[CHAPA]],TUT.CONTROL!F:F,TUT.CONTROL!H:H),_xlfn.XLOOKUP(Tabela2[[#This Row],[CHAPA]],'REG.CONTROL'!F:F,'REG.CONTROL'!H:H))</f>
        <v>TUTOR DE PRATICA (UC_1749)</v>
      </c>
      <c r="O212" s="68" t="str">
        <f>IFERROR(_xlfn.XLOOKUP(Tabela2[[#This Row],[NOME DO TUTOR]],TUT.CONTROL!C:C,TUT.CONTROL!K:K),"Demitido")</f>
        <v>004:00</v>
      </c>
      <c r="P21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12" s="66" t="s">
        <v>30</v>
      </c>
      <c r="R212" s="8" t="s">
        <v>213</v>
      </c>
      <c r="S212" s="8">
        <v>661573</v>
      </c>
    </row>
    <row r="213" spans="1:19" ht="13.5" hidden="1" x14ac:dyDescent="0.3">
      <c r="A21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Rolim de Moura/ROEMF-ISNENF-INS (Multidisciplinar II)</v>
      </c>
      <c r="B213" s="8" t="str">
        <f>Tabela2[[#This Row],[CATEGORIA]]&amp;Tabela2[[#This Row],[CURSOS]]&amp;"LAP - "&amp;Tabela2[[#This Row],[POLO]]</f>
        <v>ENF-INS (Multidisciplinar II)EMF-ISNLAP - Rolim de Moura/RO</v>
      </c>
      <c r="C213" s="8" t="str">
        <f>Tabela2[[#This Row],[CATEGORIA]]&amp;Tabela2[[#This Row],[CURSOS]]</f>
        <v>ENF-INS (Multidisciplinar II)EMF-ISN</v>
      </c>
      <c r="D213" s="8" t="str">
        <f>IF(Tabela2[[#This Row],[SITUAÇÃO]]&lt;&gt;"Demitido",CONCATENATE(Tabela2[[#This Row],[POLO]],Tabela2[[#This Row],[CURSOS]]),"Substituição")</f>
        <v>Rolim de Moura/ROEMF-ISN</v>
      </c>
      <c r="E213" s="8" t="s">
        <v>21</v>
      </c>
      <c r="F213" s="67" t="s">
        <v>22</v>
      </c>
      <c r="G213" s="67" t="s">
        <v>723</v>
      </c>
      <c r="H213" s="9" t="s">
        <v>724</v>
      </c>
      <c r="I213" s="17" t="str">
        <f>IFERROR(_xlfn.XLOOKUP(Tabela2[[#This Row],[CHAPA]],TUT.CONTROL!F:F,TUT.CONTROL!I:I),_xlfn.XLOOKUP(Tabela2[[#This Row],[CHAPA]],'REG.CONTROL'!F:F,'REG.CONTROL'!I:I))</f>
        <v>Ativo</v>
      </c>
      <c r="J213" s="17">
        <f>IFERROR(_xlfn.XLOOKUP(Tabela2[[#This Row],[NOME DO TUTOR]],'REG.CONTROL'!C:C,'REG.CONTROL'!G:G),"Demitido")</f>
        <v>45170</v>
      </c>
      <c r="K213" s="19" t="s">
        <v>725</v>
      </c>
      <c r="L213" s="22">
        <f>IFERROR(_xlfn.XLOOKUP(Tabela2[[#This Row],[NOME DO TUTOR]],'REG.CONTROL'!C:C,'REG.CONTROL'!F:F),"Demitido")</f>
        <v>1004012796</v>
      </c>
      <c r="M213" s="8" t="s">
        <v>726</v>
      </c>
      <c r="N213" s="11" t="str">
        <f>IFERROR(_xlfn.XLOOKUP(Tabela2[[#This Row],[CHAPA]],TUT.CONTROL!F:F,TUT.CONTROL!H:H),_xlfn.XLOOKUP(Tabela2[[#This Row],[CHAPA]],'REG.CONTROL'!F:F,'REG.CONTROL'!H:H))</f>
        <v>PROFESSOR REGENTE DE POLO (UC_1744)</v>
      </c>
      <c r="O213" s="68" t="str">
        <f>IFERROR(_xlfn.XLOOKUP(Tabela2[[#This Row],[NOME DO TUTOR]],'REGENTE CH'!A:A,'REGENTE CH'!C:C),"Atualizar")</f>
        <v>004:00</v>
      </c>
      <c r="P21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13" s="66" t="s">
        <v>30</v>
      </c>
      <c r="R213" s="8" t="s">
        <v>282</v>
      </c>
      <c r="S213" s="8">
        <v>250468</v>
      </c>
    </row>
    <row r="214" spans="1:19" ht="13.5" hidden="1" x14ac:dyDescent="0.3">
      <c r="A21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14" s="8" t="str">
        <f>Tabela2[[#This Row],[CATEGORIA]]&amp;Tabela2[[#This Row],[CURSOS]]&amp;"LAP - "&amp;Tabela2[[#This Row],[POLO]]</f>
        <v>ENF-INS (Multidisciplinar II)EMF-ISNLAP - Rondonópolis/MT</v>
      </c>
      <c r="C214" s="8" t="str">
        <f>Tabela2[[#This Row],[CATEGORIA]]&amp;Tabela2[[#This Row],[CURSOS]]</f>
        <v>ENF-INS (Multidisciplinar II)EMF-ISN</v>
      </c>
      <c r="D214" s="8" t="str">
        <f>IF(Tabela2[[#This Row],[SITUAÇÃO]]&lt;&gt;"Demitido",CONCATENATE(Tabela2[[#This Row],[POLO]],Tabela2[[#This Row],[CURSOS]]),"Substituição")</f>
        <v>Substituição</v>
      </c>
      <c r="E214" s="8" t="s">
        <v>21</v>
      </c>
      <c r="F214" s="67" t="s">
        <v>22</v>
      </c>
      <c r="G214" s="67" t="s">
        <v>727</v>
      </c>
      <c r="H214" s="85" t="s">
        <v>728</v>
      </c>
      <c r="I214" s="17" t="str">
        <f>IFERROR(_xlfn.XLOOKUP(Tabela2[[#This Row],[CHAPA]],TUT.CONTROL!F:F,TUT.CONTROL!I:I),_xlfn.XLOOKUP(Tabela2[[#This Row],[CHAPA]],'REG.CONTROL'!F:F,'REG.CONTROL'!I:I))</f>
        <v>Demitido</v>
      </c>
      <c r="J214" s="17">
        <f>IFERROR(_xlfn.XLOOKUP(Tabela2[[#This Row],[NOME DO TUTOR]],TUT.CONTROL!C:C,TUT.CONTROL!G:G),"Demitido")</f>
        <v>45726</v>
      </c>
      <c r="K214" s="19">
        <v>66999578274</v>
      </c>
      <c r="L214" s="22">
        <f>IFERROR(_xlfn.XLOOKUP(Tabela2[[#This Row],[NOME DO TUTOR]],TUT.CONTROL!C:C,TUT.CONTROL!F:F),"Demitido")</f>
        <v>1158000539</v>
      </c>
      <c r="M214" s="8" t="s">
        <v>729</v>
      </c>
      <c r="N214" s="11" t="str">
        <f>IFERROR(_xlfn.XLOOKUP(Tabela2[[#This Row],[CHAPA]],TUT.CONTROL!F:F,TUT.CONTROL!H:H),_xlfn.XLOOKUP(Tabela2[[#This Row],[CHAPA]],'REG.CONTROL'!F:F,'REG.CONTROL'!H:H))</f>
        <v>TUTOR DE PRATICA (UC_1749)</v>
      </c>
      <c r="O214" s="68" t="str">
        <f>IFERROR(_xlfn.XLOOKUP(Tabela2[[#This Row],[NOME DO TUTOR]],TUT.CONTROL!C:C,TUT.CONTROL!K:K),"Demitido")</f>
        <v>004:00</v>
      </c>
      <c r="P214" s="17">
        <f>IF(Tabela2[[#This Row],[SITUAÇÃO]]="Demitido",IFERROR(_xlfn.XLOOKUP(Tabela2[[#This Row],[CHAPA]],TUT.CONTROL!F:F,TUT.CONTROL!V:V),_xlfn.XLOOKUP(Tabela2[[#This Row],[CHAPA]],'REG.CONTROL'!F:F,'REG.CONTROL'!V:V)),"-")</f>
        <v>46062</v>
      </c>
      <c r="Q214" s="66" t="s">
        <v>43</v>
      </c>
      <c r="R214" s="8" t="s">
        <v>44</v>
      </c>
      <c r="S214" s="69">
        <v>731608</v>
      </c>
    </row>
    <row r="215" spans="1:19" ht="13.5" hidden="1" x14ac:dyDescent="0.3">
      <c r="A21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15" s="8" t="str">
        <f>Tabela2[[#This Row],[CATEGORIA]]&amp;Tabela2[[#This Row],[CURSOS]]&amp;"LAP - "&amp;Tabela2[[#This Row],[POLO]]</f>
        <v>NUTRI (Multidisciplinar IV)NTRLAP - Blumenau/SC - Salto Do Norte (Centro Universitário Dante)</v>
      </c>
      <c r="C215" s="8" t="str">
        <f>Tabela2[[#This Row],[CATEGORIA]]&amp;Tabela2[[#This Row],[CURSOS]]</f>
        <v>NUTRI (Multidisciplinar IV)NTR</v>
      </c>
      <c r="D215" s="8" t="str">
        <f>IF(Tabela2[[#This Row],[SITUAÇÃO]]&lt;&gt;"Demitido",CONCATENATE(Tabela2[[#This Row],[POLO]],Tabela2[[#This Row],[CURSOS]]),"Substituição")</f>
        <v>Substituição</v>
      </c>
      <c r="E215" s="8" t="s">
        <v>730</v>
      </c>
      <c r="F215" s="67" t="s">
        <v>731</v>
      </c>
      <c r="G215" s="67" t="s">
        <v>110</v>
      </c>
      <c r="H215" s="9" t="s">
        <v>732</v>
      </c>
      <c r="I215" s="17" t="str">
        <f>IFERROR(_xlfn.XLOOKUP(Tabela2[[#This Row],[CHAPA]],TUT.CONTROL!F:F,TUT.CONTROL!I:I),_xlfn.XLOOKUP(Tabela2[[#This Row],[CHAPA]],'REG.CONTROL'!F:F,'REG.CONTROL'!I:I))</f>
        <v>Demitido</v>
      </c>
      <c r="J215" s="17">
        <f>IFERROR(_xlfn.XLOOKUP(Tabela2[[#This Row],[NOME DO TUTOR]],TUT.CONTROL!C:C,TUT.CONTROL!G:G),"Demitido")</f>
        <v>45873</v>
      </c>
      <c r="K215" s="19">
        <v>47991726021</v>
      </c>
      <c r="L215" s="22">
        <f>IFERROR(_xlfn.XLOOKUP(Tabela2[[#This Row],[NOME DO TUTOR]],TUT.CONTROL!C:C,TUT.CONTROL!F:F),"Demitido")</f>
        <v>1158000803</v>
      </c>
      <c r="M215" s="8" t="s">
        <v>733</v>
      </c>
      <c r="N215" s="11" t="str">
        <f>IFERROR(_xlfn.XLOOKUP(Tabela2[[#This Row],[CHAPA]],TUT.CONTROL!F:F,TUT.CONTROL!H:H),_xlfn.XLOOKUP(Tabela2[[#This Row],[CHAPA]],'REG.CONTROL'!F:F,'REG.CONTROL'!H:H))</f>
        <v>TUTOR DE PRATICA (UC_1749)</v>
      </c>
      <c r="O215" s="68" t="str">
        <f>IFERROR(_xlfn.XLOOKUP(Tabela2[[#This Row],[NOME DO TUTOR]],TUT.CONTROL!C:C,TUT.CONTROL!K:K),"Demitido")</f>
        <v>004:00</v>
      </c>
      <c r="P215" s="17">
        <f>IF(Tabela2[[#This Row],[SITUAÇÃO]]="Demitido",IFERROR(_xlfn.XLOOKUP(Tabela2[[#This Row],[CHAPA]],TUT.CONTROL!F:F,TUT.CONTROL!V:V),_xlfn.XLOOKUP(Tabela2[[#This Row],[CHAPA]],'REG.CONTROL'!F:F,'REG.CONTROL'!V:V)),"-")</f>
        <v>45901</v>
      </c>
      <c r="Q215" s="66" t="s">
        <v>43</v>
      </c>
      <c r="R215" s="8"/>
      <c r="S215" s="8"/>
    </row>
    <row r="216" spans="1:19" ht="13.5" hidden="1" x14ac:dyDescent="0.3">
      <c r="A21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16" s="8" t="str">
        <f>Tabela2[[#This Row],[CATEGORIA]]&amp;Tabela2[[#This Row],[CURSOS]]&amp;"LAP - "&amp;Tabela2[[#This Row],[POLO]]</f>
        <v>QUÍMICA E FÍSICAAGMLAP - Cuiabá/MT - Poção</v>
      </c>
      <c r="C216" s="8" t="str">
        <f>Tabela2[[#This Row],[CATEGORIA]]&amp;Tabela2[[#This Row],[CURSOS]]</f>
        <v>QUÍMICA E FÍSICAAGM</v>
      </c>
      <c r="D216" s="8" t="str">
        <f>IF(Tabela2[[#This Row],[SITUAÇÃO]]&lt;&gt;"Demitido",CONCATENATE(Tabela2[[#This Row],[POLO]],Tabela2[[#This Row],[CURSOS]]),"Substituição")</f>
        <v>Substituição</v>
      </c>
      <c r="E216" s="8" t="s">
        <v>734</v>
      </c>
      <c r="F216" s="67" t="s">
        <v>735</v>
      </c>
      <c r="G216" s="67" t="s">
        <v>251</v>
      </c>
      <c r="H216" s="9" t="s">
        <v>736</v>
      </c>
      <c r="I216" s="17" t="str">
        <f>IFERROR(_xlfn.XLOOKUP(Tabela2[[#This Row],[CHAPA]],TUT.CONTROL!F:F,TUT.CONTROL!I:I),_xlfn.XLOOKUP(Tabela2[[#This Row],[CHAPA]],'REG.CONTROL'!F:F,'REG.CONTROL'!I:I))</f>
        <v>Demitido</v>
      </c>
      <c r="J216" s="17">
        <f>IFERROR(_xlfn.XLOOKUP(Tabela2[[#This Row],[NOME DO TUTOR]],TUT.CONTROL!C:C,TUT.CONTROL!G:G),"Demitido")</f>
        <v>45873</v>
      </c>
      <c r="K216" s="19">
        <v>65996304471</v>
      </c>
      <c r="L216" s="22">
        <f>IFERROR(_xlfn.XLOOKUP(Tabela2[[#This Row],[NOME DO TUTOR]],TUT.CONTROL!C:C,TUT.CONTROL!F:F),"Demitido")</f>
        <v>1158000798</v>
      </c>
      <c r="M216" s="8" t="s">
        <v>737</v>
      </c>
      <c r="N216" s="11" t="str">
        <f>IFERROR(_xlfn.XLOOKUP(Tabela2[[#This Row],[CHAPA]],TUT.CONTROL!F:F,TUT.CONTROL!H:H),_xlfn.XLOOKUP(Tabela2[[#This Row],[CHAPA]],'REG.CONTROL'!F:F,'REG.CONTROL'!H:H))</f>
        <v>TUTOR DE PRATICA (UC_1749)</v>
      </c>
      <c r="O216" s="68" t="str">
        <f>IFERROR(_xlfn.XLOOKUP(Tabela2[[#This Row],[NOME DO TUTOR]],TUT.CONTROL!C:C,TUT.CONTROL!K:K),"Demitido")</f>
        <v>004:00</v>
      </c>
      <c r="P216" s="17">
        <f>IF(Tabela2[[#This Row],[SITUAÇÃO]]="Demitido",IFERROR(_xlfn.XLOOKUP(Tabela2[[#This Row],[CHAPA]],TUT.CONTROL!F:F,TUT.CONTROL!V:V),_xlfn.XLOOKUP(Tabela2[[#This Row],[CHAPA]],'REG.CONTROL'!F:F,'REG.CONTROL'!V:V)),"-")</f>
        <v>45901</v>
      </c>
      <c r="Q216" s="66" t="s">
        <v>43</v>
      </c>
      <c r="R216" s="66" t="s">
        <v>43</v>
      </c>
      <c r="S216" s="8"/>
    </row>
    <row r="217" spans="1:19" ht="13.5" hidden="1" x14ac:dyDescent="0.3">
      <c r="A21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Rorainópolis/RREMF-ISNENF-INS (Multidisciplinar II)</v>
      </c>
      <c r="B217" s="8" t="str">
        <f>Tabela2[[#This Row],[CATEGORIA]]&amp;Tabela2[[#This Row],[CURSOS]]&amp;"LAP - "&amp;Tabela2[[#This Row],[POLO]]</f>
        <v>ENF-INS (Multidisciplinar II)EMF-ISNLAP - Rorainópolis/RR</v>
      </c>
      <c r="C217" s="8" t="str">
        <f>Tabela2[[#This Row],[CATEGORIA]]&amp;Tabela2[[#This Row],[CURSOS]]</f>
        <v>ENF-INS (Multidisciplinar II)EMF-ISN</v>
      </c>
      <c r="D217" s="8" t="str">
        <f>IF(Tabela2[[#This Row],[SITUAÇÃO]]&lt;&gt;"Demitido",CONCATENATE(Tabela2[[#This Row],[POLO]],Tabela2[[#This Row],[CURSOS]]),"Substituição")</f>
        <v>Rorainópolis/RREMF-ISN</v>
      </c>
      <c r="E217" s="8" t="s">
        <v>21</v>
      </c>
      <c r="F217" s="67" t="s">
        <v>22</v>
      </c>
      <c r="G217" s="67" t="s">
        <v>738</v>
      </c>
      <c r="H217" s="9" t="s">
        <v>739</v>
      </c>
      <c r="I217" s="17" t="str">
        <f>IFERROR(_xlfn.XLOOKUP(Tabela2[[#This Row],[CHAPA]],TUT.CONTROL!F:F,TUT.CONTROL!I:I),_xlfn.XLOOKUP(Tabela2[[#This Row],[CHAPA]],'REG.CONTROL'!F:F,'REG.CONTROL'!I:I))</f>
        <v>Ativo</v>
      </c>
      <c r="J217" s="17">
        <f>IFERROR(_xlfn.XLOOKUP(Tabela2[[#This Row],[NOME DO TUTOR]],'REG.CONTROL'!C:C,'REG.CONTROL'!G:G),"Demitido")</f>
        <v>44664</v>
      </c>
      <c r="K217" s="19">
        <v>95991457523</v>
      </c>
      <c r="L217" s="22">
        <f>IFERROR(_xlfn.XLOOKUP(Tabela2[[#This Row],[NOME DO TUTOR]],'REG.CONTROL'!C:C,'REG.CONTROL'!F:F),"Demitido")</f>
        <v>1004009705</v>
      </c>
      <c r="M217" s="8" t="s">
        <v>740</v>
      </c>
      <c r="N217" s="11" t="str">
        <f>IFERROR(_xlfn.XLOOKUP(Tabela2[[#This Row],[CHAPA]],TUT.CONTROL!F:F,TUT.CONTROL!H:H),_xlfn.XLOOKUP(Tabela2[[#This Row],[CHAPA]],'REG.CONTROL'!F:F,'REG.CONTROL'!H:H))</f>
        <v>PROFESSOR REGENTE DE POLO (UC_1744)</v>
      </c>
      <c r="O217" s="68" t="str">
        <f>IFERROR(_xlfn.XLOOKUP(Tabela2[[#This Row],[NOME DO TUTOR]],'REGENTE CH'!A:A,'REGENTE CH'!C:C),"Atualizar")</f>
        <v>008:00</v>
      </c>
      <c r="P21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17" s="66" t="s">
        <v>30</v>
      </c>
      <c r="R217" s="8" t="s">
        <v>124</v>
      </c>
      <c r="S217" s="69">
        <v>712285</v>
      </c>
    </row>
    <row r="218" spans="1:19" ht="13.5" hidden="1" x14ac:dyDescent="0.3">
      <c r="A21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18" s="8" t="str">
        <f>Tabela2[[#This Row],[CATEGORIA]]&amp;Tabela2[[#This Row],[CURSOS]]&amp;"LAP - "&amp;Tabela2[[#This Row],[POLO]]</f>
        <v>NUTRI (Multidisciplinar IV)NTRLAP - São Paulo/SP - Tatuapé</v>
      </c>
      <c r="C218" s="8" t="str">
        <f>Tabela2[[#This Row],[CATEGORIA]]&amp;Tabela2[[#This Row],[CURSOS]]</f>
        <v>NUTRI (Multidisciplinar IV)NTR</v>
      </c>
      <c r="D218" s="8" t="str">
        <f>IF(Tabela2[[#This Row],[SITUAÇÃO]]&lt;&gt;"Demitido",CONCATENATE(Tabela2[[#This Row],[POLO]],Tabela2[[#This Row],[CURSOS]]),"Substituição")</f>
        <v>Substituição</v>
      </c>
      <c r="E218" s="8" t="s">
        <v>730</v>
      </c>
      <c r="F218" s="67" t="s">
        <v>731</v>
      </c>
      <c r="G218" s="67" t="s">
        <v>431</v>
      </c>
      <c r="H218" s="9" t="s">
        <v>741</v>
      </c>
      <c r="I218" s="17" t="str">
        <f>IFERROR(_xlfn.XLOOKUP(Tabela2[[#This Row],[CHAPA]],TUT.CONTROL!F:F,TUT.CONTROL!I:I),_xlfn.XLOOKUP(Tabela2[[#This Row],[CHAPA]],'REG.CONTROL'!F:F,'REG.CONTROL'!I:I))</f>
        <v>Demitido</v>
      </c>
      <c r="J218" s="17">
        <f>IFERROR(_xlfn.XLOOKUP(Tabela2[[#This Row],[NOME DO TUTOR]],TUT.CONTROL!C:C,TUT.CONTROL!G:G),"Demitido")</f>
        <v>45873</v>
      </c>
      <c r="K218" s="19">
        <v>11981774992</v>
      </c>
      <c r="L218" s="22">
        <f>IFERROR(_xlfn.XLOOKUP(Tabela2[[#This Row],[NOME DO TUTOR]],TUT.CONTROL!C:C,TUT.CONTROL!F:F),"Demitido")</f>
        <v>1158000824</v>
      </c>
      <c r="M218" s="8" t="s">
        <v>742</v>
      </c>
      <c r="N218" s="11" t="str">
        <f>IFERROR(_xlfn.XLOOKUP(Tabela2[[#This Row],[CHAPA]],TUT.CONTROL!F:F,TUT.CONTROL!H:H),_xlfn.XLOOKUP(Tabela2[[#This Row],[CHAPA]],'REG.CONTROL'!F:F,'REG.CONTROL'!H:H))</f>
        <v>TUTOR DE PRATICA (UC_1749)</v>
      </c>
      <c r="O218" s="68" t="str">
        <f>IFERROR(_xlfn.XLOOKUP(Tabela2[[#This Row],[NOME DO TUTOR]],TUT.CONTROL!C:C,TUT.CONTROL!K:K),"Demitido")</f>
        <v>004:00</v>
      </c>
      <c r="P218" s="17">
        <f>IF(Tabela2[[#This Row],[SITUAÇÃO]]="Demitido",IFERROR(_xlfn.XLOOKUP(Tabela2[[#This Row],[CHAPA]],TUT.CONTROL!F:F,TUT.CONTROL!V:V),_xlfn.XLOOKUP(Tabela2[[#This Row],[CHAPA]],'REG.CONTROL'!F:F,'REG.CONTROL'!V:V)),"-")</f>
        <v>45922</v>
      </c>
      <c r="Q218" s="66" t="s">
        <v>43</v>
      </c>
      <c r="R218" s="8"/>
      <c r="S218" s="8"/>
    </row>
    <row r="219" spans="1:19" ht="13.5" hidden="1" x14ac:dyDescent="0.3">
      <c r="A21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19" s="8" t="str">
        <f>Tabela2[[#This Row],[CATEGORIA]]&amp;Tabela2[[#This Row],[CURSOS]]&amp;"LAP - "&amp;Tabela2[[#This Row],[POLO]]</f>
        <v>QUÍMICA E FÍSICAAGMLAP - Bento Gonçalves/RS</v>
      </c>
      <c r="C219" s="8" t="str">
        <f>Tabela2[[#This Row],[CATEGORIA]]&amp;Tabela2[[#This Row],[CURSOS]]</f>
        <v>QUÍMICA E FÍSICAAGM</v>
      </c>
      <c r="D219" s="8" t="str">
        <f>IF(Tabela2[[#This Row],[SITUAÇÃO]]&lt;&gt;"Demitido",CONCATENATE(Tabela2[[#This Row],[POLO]],Tabela2[[#This Row],[CURSOS]]),"Substituição")</f>
        <v>Substituição</v>
      </c>
      <c r="E219" s="8" t="s">
        <v>734</v>
      </c>
      <c r="F219" s="67" t="s">
        <v>735</v>
      </c>
      <c r="G219" s="67" t="s">
        <v>106</v>
      </c>
      <c r="H219" s="9" t="s">
        <v>743</v>
      </c>
      <c r="I219" s="17" t="str">
        <f>IFERROR(_xlfn.XLOOKUP(Tabela2[[#This Row],[CHAPA]],TUT.CONTROL!F:F,TUT.CONTROL!I:I),_xlfn.XLOOKUP(Tabela2[[#This Row],[CHAPA]],'REG.CONTROL'!F:F,'REG.CONTROL'!I:I))</f>
        <v>Demitido</v>
      </c>
      <c r="J219" s="17">
        <f>IFERROR(_xlfn.XLOOKUP(Tabela2[[#This Row],[NOME DO TUTOR]],TUT.CONTROL!C:C,TUT.CONTROL!G:G),"Demitido")</f>
        <v>45873</v>
      </c>
      <c r="K219" s="19">
        <v>55996478933</v>
      </c>
      <c r="L219" s="22">
        <f>IFERROR(_xlfn.XLOOKUP(Tabela2[[#This Row],[NOME DO TUTOR]],TUT.CONTROL!C:C,TUT.CONTROL!F:F),"Demitido")</f>
        <v>1158000819</v>
      </c>
      <c r="M219" s="8" t="s">
        <v>744</v>
      </c>
      <c r="N219" s="11" t="str">
        <f>IFERROR(_xlfn.XLOOKUP(Tabela2[[#This Row],[CHAPA]],TUT.CONTROL!F:F,TUT.CONTROL!H:H),_xlfn.XLOOKUP(Tabela2[[#This Row],[CHAPA]],'REG.CONTROL'!F:F,'REG.CONTROL'!H:H))</f>
        <v>TUTOR DE PRATICA (UC_1749)</v>
      </c>
      <c r="O219" s="68" t="str">
        <f>IFERROR(_xlfn.XLOOKUP(Tabela2[[#This Row],[NOME DO TUTOR]],TUT.CONTROL!C:C,TUT.CONTROL!K:K),"Demitido")</f>
        <v>004:00</v>
      </c>
      <c r="P219" s="17">
        <f>IF(Tabela2[[#This Row],[SITUAÇÃO]]="Demitido",IFERROR(_xlfn.XLOOKUP(Tabela2[[#This Row],[CHAPA]],TUT.CONTROL!F:F,TUT.CONTROL!V:V),_xlfn.XLOOKUP(Tabela2[[#This Row],[CHAPA]],'REG.CONTROL'!F:F,'REG.CONTROL'!V:V)),"-")</f>
        <v>45931</v>
      </c>
      <c r="Q219" s="66" t="s">
        <v>43</v>
      </c>
      <c r="R219" s="66" t="s">
        <v>43</v>
      </c>
      <c r="S219" s="8"/>
    </row>
    <row r="220" spans="1:19" ht="13.5" hidden="1" x14ac:dyDescent="0.3">
      <c r="A22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20" s="8" t="str">
        <f>Tabela2[[#This Row],[CATEGORIA]]&amp;Tabela2[[#This Row],[CURSOS]]&amp;"LAP - "&amp;Tabela2[[#This Row],[POLO]]</f>
        <v>QUÍMICA E FÍSICAAGMLAP - Joinville/SC - Saguaçu</v>
      </c>
      <c r="C220" s="8" t="str">
        <f>Tabela2[[#This Row],[CATEGORIA]]&amp;Tabela2[[#This Row],[CURSOS]]</f>
        <v>QUÍMICA E FÍSICAAGM</v>
      </c>
      <c r="D220" s="8" t="str">
        <f>IF(Tabela2[[#This Row],[SITUAÇÃO]]&lt;&gt;"Demitido",CONCATENATE(Tabela2[[#This Row],[POLO]],Tabela2[[#This Row],[CURSOS]]),"Substituição")</f>
        <v>Substituição</v>
      </c>
      <c r="E220" s="8" t="s">
        <v>734</v>
      </c>
      <c r="F220" s="67" t="s">
        <v>735</v>
      </c>
      <c r="G220" s="67" t="s">
        <v>401</v>
      </c>
      <c r="H220" s="9" t="s">
        <v>745</v>
      </c>
      <c r="I220" s="17" t="str">
        <f>IFERROR(_xlfn.XLOOKUP(Tabela2[[#This Row],[CHAPA]],TUT.CONTROL!F:F,TUT.CONTROL!I:I),_xlfn.XLOOKUP(Tabela2[[#This Row],[CHAPA]],'REG.CONTROL'!F:F,'REG.CONTROL'!I:I))</f>
        <v>Demitido</v>
      </c>
      <c r="J220" s="17">
        <f>IFERROR(_xlfn.XLOOKUP(Tabela2[[#This Row],[NOME DO TUTOR]],TUT.CONTROL!C:C,TUT.CONTROL!G:G),"Demitido")</f>
        <v>45873</v>
      </c>
      <c r="K220" s="19">
        <v>47997468365</v>
      </c>
      <c r="L220" s="22">
        <f>IFERROR(_xlfn.XLOOKUP(Tabela2[[#This Row],[NOME DO TUTOR]],TUT.CONTROL!C:C,TUT.CONTROL!F:F),"Demitido")</f>
        <v>1158000804</v>
      </c>
      <c r="M220" s="8" t="s">
        <v>746</v>
      </c>
      <c r="N220" s="11" t="str">
        <f>IFERROR(_xlfn.XLOOKUP(Tabela2[[#This Row],[CHAPA]],TUT.CONTROL!F:F,TUT.CONTROL!H:H),_xlfn.XLOOKUP(Tabela2[[#This Row],[CHAPA]],'REG.CONTROL'!F:F,'REG.CONTROL'!H:H))</f>
        <v>TUTOR DE PRATICA (UC_1749)</v>
      </c>
      <c r="O220" s="68" t="str">
        <f>IFERROR(_xlfn.XLOOKUP(Tabela2[[#This Row],[NOME DO TUTOR]],TUT.CONTROL!C:C,TUT.CONTROL!K:K),"Demitido")</f>
        <v>004:00</v>
      </c>
      <c r="P220" s="17">
        <f>IF(Tabela2[[#This Row],[SITUAÇÃO]]="Demitido",IFERROR(_xlfn.XLOOKUP(Tabela2[[#This Row],[CHAPA]],TUT.CONTROL!F:F,TUT.CONTROL!V:V),_xlfn.XLOOKUP(Tabela2[[#This Row],[CHAPA]],'REG.CONTROL'!F:F,'REG.CONTROL'!V:V)),"-")</f>
        <v>45931</v>
      </c>
      <c r="Q220" s="66" t="s">
        <v>43</v>
      </c>
      <c r="R220" s="66" t="s">
        <v>43</v>
      </c>
      <c r="S220" s="8"/>
    </row>
    <row r="221" spans="1:19" ht="13.5" hidden="1" x14ac:dyDescent="0.3">
      <c r="A22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21" s="8" t="str">
        <f>Tabela2[[#This Row],[CATEGORIA]]&amp;Tabela2[[#This Row],[CURSOS]]&amp;"LAP - "&amp;Tabela2[[#This Row],[POLO]]</f>
        <v>QUÍMICA E FÍSICAAGMLAP - Camboriú/SC</v>
      </c>
      <c r="C221" s="8" t="str">
        <f>Tabela2[[#This Row],[CATEGORIA]]&amp;Tabela2[[#This Row],[CURSOS]]</f>
        <v>QUÍMICA E FÍSICAAGM</v>
      </c>
      <c r="D221" s="8" t="str">
        <f>IF(Tabela2[[#This Row],[SITUAÇÃO]]&lt;&gt;"Demitido",CONCATENATE(Tabela2[[#This Row],[POLO]],Tabela2[[#This Row],[CURSOS]]),"Substituição")</f>
        <v>Substituição</v>
      </c>
      <c r="E221" s="8" t="s">
        <v>734</v>
      </c>
      <c r="F221" s="67" t="s">
        <v>735</v>
      </c>
      <c r="G221" s="67" t="s">
        <v>706</v>
      </c>
      <c r="H221" s="9" t="s">
        <v>747</v>
      </c>
      <c r="I221" s="17" t="str">
        <f>IFERROR(_xlfn.XLOOKUP(Tabela2[[#This Row],[CHAPA]],TUT.CONTROL!F:F,TUT.CONTROL!I:I),_xlfn.XLOOKUP(Tabela2[[#This Row],[CHAPA]],'REG.CONTROL'!F:F,'REG.CONTROL'!I:I))</f>
        <v>Demitido</v>
      </c>
      <c r="J221" s="17">
        <f>IFERROR(_xlfn.XLOOKUP(Tabela2[[#This Row],[NOME DO TUTOR]],TUT.CONTROL!C:C,TUT.CONTROL!G:G),"Demitido")</f>
        <v>45873</v>
      </c>
      <c r="K221" s="19">
        <v>31994442343</v>
      </c>
      <c r="L221" s="22">
        <f>IFERROR(_xlfn.XLOOKUP(Tabela2[[#This Row],[NOME DO TUTOR]],TUT.CONTROL!C:C,TUT.CONTROL!F:F),"Demitido")</f>
        <v>1158000839</v>
      </c>
      <c r="M221" s="8" t="s">
        <v>748</v>
      </c>
      <c r="N221" s="11" t="str">
        <f>IFERROR(_xlfn.XLOOKUP(Tabela2[[#This Row],[CHAPA]],TUT.CONTROL!F:F,TUT.CONTROL!H:H),_xlfn.XLOOKUP(Tabela2[[#This Row],[CHAPA]],'REG.CONTROL'!F:F,'REG.CONTROL'!H:H))</f>
        <v>TUTOR DE PRATICA (UC_1749)</v>
      </c>
      <c r="O221" s="68" t="str">
        <f>IFERROR(_xlfn.XLOOKUP(Tabela2[[#This Row],[NOME DO TUTOR]],TUT.CONTROL!C:C,TUT.CONTROL!K:K),"Demitido")</f>
        <v>004:00</v>
      </c>
      <c r="P221" s="17">
        <f>IF(Tabela2[[#This Row],[SITUAÇÃO]]="Demitido",IFERROR(_xlfn.XLOOKUP(Tabela2[[#This Row],[CHAPA]],TUT.CONTROL!F:F,TUT.CONTROL!V:V),_xlfn.XLOOKUP(Tabela2[[#This Row],[CHAPA]],'REG.CONTROL'!F:F,'REG.CONTROL'!V:V)),"-")</f>
        <v>45931</v>
      </c>
      <c r="Q221" s="66" t="s">
        <v>43</v>
      </c>
      <c r="R221" s="66" t="s">
        <v>43</v>
      </c>
      <c r="S221" s="8"/>
    </row>
    <row r="222" spans="1:19" ht="13.5" hidden="1" x14ac:dyDescent="0.3">
      <c r="A22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22" s="8" t="str">
        <f>Tabela2[[#This Row],[CATEGORIA]]&amp;Tabela2[[#This Row],[CURSOS]]&amp;"LAP - "&amp;Tabela2[[#This Row],[POLO]]</f>
        <v>QUÍMICA E FÍSICAAGMLAP - Vila Velha/ES</v>
      </c>
      <c r="C222" s="8" t="str">
        <f>Tabela2[[#This Row],[CATEGORIA]]&amp;Tabela2[[#This Row],[CURSOS]]</f>
        <v>QUÍMICA E FÍSICAAGM</v>
      </c>
      <c r="D222" s="8" t="str">
        <f>IF(Tabela2[[#This Row],[SITUAÇÃO]]&lt;&gt;"Demitido",CONCATENATE(Tabela2[[#This Row],[POLO]],Tabela2[[#This Row],[CURSOS]]),"Substituição")</f>
        <v>Substituição</v>
      </c>
      <c r="E222" s="8" t="s">
        <v>734</v>
      </c>
      <c r="F222" s="67" t="s">
        <v>735</v>
      </c>
      <c r="G222" s="67" t="s">
        <v>749</v>
      </c>
      <c r="H222" s="9" t="s">
        <v>750</v>
      </c>
      <c r="I222" s="17" t="str">
        <f>IFERROR(_xlfn.XLOOKUP(Tabela2[[#This Row],[CHAPA]],TUT.CONTROL!F:F,TUT.CONTROL!I:I),_xlfn.XLOOKUP(Tabela2[[#This Row],[CHAPA]],'REG.CONTROL'!F:F,'REG.CONTROL'!I:I))</f>
        <v>Demitido</v>
      </c>
      <c r="J222" s="17">
        <f>IFERROR(_xlfn.XLOOKUP(Tabela2[[#This Row],[NOME DO TUTOR]],TUT.CONTROL!C:C,TUT.CONTROL!G:G),"Demitido")</f>
        <v>45873</v>
      </c>
      <c r="K222" s="19">
        <v>27998899432</v>
      </c>
      <c r="L222" s="22">
        <f>IFERROR(_xlfn.XLOOKUP(Tabela2[[#This Row],[NOME DO TUTOR]],TUT.CONTROL!C:C,TUT.CONTROL!F:F),"Demitido")</f>
        <v>1158000810</v>
      </c>
      <c r="M222" s="8" t="s">
        <v>751</v>
      </c>
      <c r="N222" s="11" t="str">
        <f>IFERROR(_xlfn.XLOOKUP(Tabela2[[#This Row],[CHAPA]],TUT.CONTROL!F:F,TUT.CONTROL!H:H),_xlfn.XLOOKUP(Tabela2[[#This Row],[CHAPA]],'REG.CONTROL'!F:F,'REG.CONTROL'!H:H))</f>
        <v>TUTOR DE PRATICA (UC_1749)</v>
      </c>
      <c r="O222" s="68" t="str">
        <f>IFERROR(_xlfn.XLOOKUP(Tabela2[[#This Row],[NOME DO TUTOR]],TUT.CONTROL!C:C,TUT.CONTROL!K:K),"Demitido")</f>
        <v>004:00</v>
      </c>
      <c r="P222" s="17">
        <f>IF(Tabela2[[#This Row],[SITUAÇÃO]]="Demitido",IFERROR(_xlfn.XLOOKUP(Tabela2[[#This Row],[CHAPA]],TUT.CONTROL!F:F,TUT.CONTROL!V:V),_xlfn.XLOOKUP(Tabela2[[#This Row],[CHAPA]],'REG.CONTROL'!F:F,'REG.CONTROL'!V:V)),"-")</f>
        <v>45931</v>
      </c>
      <c r="Q222" s="66" t="s">
        <v>43</v>
      </c>
      <c r="R222" s="66" t="s">
        <v>43</v>
      </c>
      <c r="S222" s="8"/>
    </row>
    <row r="223" spans="1:19" ht="13.5" hidden="1" x14ac:dyDescent="0.3">
      <c r="A22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23" s="8" t="str">
        <f>Tabela2[[#This Row],[CATEGORIA]]&amp;Tabela2[[#This Row],[CURSOS]]&amp;"LAP - "&amp;Tabela2[[#This Row],[POLO]]</f>
        <v>QUÍMICA E FÍSICAAGMLAP - Pato Branco/PR</v>
      </c>
      <c r="C223" s="8" t="str">
        <f>Tabela2[[#This Row],[CATEGORIA]]&amp;Tabela2[[#This Row],[CURSOS]]</f>
        <v>QUÍMICA E FÍSICAAGM</v>
      </c>
      <c r="D223" s="8" t="str">
        <f>IF(Tabela2[[#This Row],[SITUAÇÃO]]&lt;&gt;"Demitido",CONCATENATE(Tabela2[[#This Row],[POLO]],Tabela2[[#This Row],[CURSOS]]),"Substituição")</f>
        <v>Substituição</v>
      </c>
      <c r="E223" s="8" t="s">
        <v>734</v>
      </c>
      <c r="F223" s="67" t="s">
        <v>735</v>
      </c>
      <c r="G223" s="67" t="s">
        <v>752</v>
      </c>
      <c r="H223" s="9" t="s">
        <v>753</v>
      </c>
      <c r="I223" s="17" t="str">
        <f>IFERROR(_xlfn.XLOOKUP(Tabela2[[#This Row],[CHAPA]],TUT.CONTROL!F:F,TUT.CONTROL!I:I),_xlfn.XLOOKUP(Tabela2[[#This Row],[CHAPA]],'REG.CONTROL'!F:F,'REG.CONTROL'!I:I))</f>
        <v>Demitido</v>
      </c>
      <c r="J223" s="17">
        <f>IFERROR(_xlfn.XLOOKUP(Tabela2[[#This Row],[NOME DO TUTOR]],TUT.CONTROL!C:C,TUT.CONTROL!G:G),"Demitido")</f>
        <v>45873</v>
      </c>
      <c r="K223" s="19">
        <v>46999247350</v>
      </c>
      <c r="L223" s="22">
        <f>IFERROR(_xlfn.XLOOKUP(Tabela2[[#This Row],[NOME DO TUTOR]],TUT.CONTROL!C:C,TUT.CONTROL!F:F),"Demitido")</f>
        <v>1158000838</v>
      </c>
      <c r="M223" s="8" t="s">
        <v>754</v>
      </c>
      <c r="N223" s="11" t="str">
        <f>IFERROR(_xlfn.XLOOKUP(Tabela2[[#This Row],[CHAPA]],TUT.CONTROL!F:F,TUT.CONTROL!H:H),_xlfn.XLOOKUP(Tabela2[[#This Row],[CHAPA]],'REG.CONTROL'!F:F,'REG.CONTROL'!H:H))</f>
        <v>TUTOR DE PRATICA (UC_1749)</v>
      </c>
      <c r="O223" s="68" t="str">
        <f>IFERROR(_xlfn.XLOOKUP(Tabela2[[#This Row],[NOME DO TUTOR]],TUT.CONTROL!C:C,TUT.CONTROL!K:K),"Demitido")</f>
        <v>004:00</v>
      </c>
      <c r="P223" s="17">
        <f>IF(Tabela2[[#This Row],[SITUAÇÃO]]="Demitido",IFERROR(_xlfn.XLOOKUP(Tabela2[[#This Row],[CHAPA]],TUT.CONTROL!F:F,TUT.CONTROL!V:V),_xlfn.XLOOKUP(Tabela2[[#This Row],[CHAPA]],'REG.CONTROL'!F:F,'REG.CONTROL'!V:V)),"-")</f>
        <v>45933</v>
      </c>
      <c r="Q223" s="66" t="s">
        <v>43</v>
      </c>
      <c r="R223" s="66" t="s">
        <v>43</v>
      </c>
      <c r="S223" s="8"/>
    </row>
    <row r="224" spans="1:19" ht="13.5" hidden="1" x14ac:dyDescent="0.3">
      <c r="A22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24" s="8" t="str">
        <f>Tabela2[[#This Row],[CATEGORIA]]&amp;Tabela2[[#This Row],[CURSOS]]&amp;"LAP - "&amp;Tabela2[[#This Row],[POLO]]</f>
        <v>QUÍMICA E FÍSICAAGMLAP - Chapecó/SC - Centro</v>
      </c>
      <c r="C224" s="8" t="str">
        <f>Tabela2[[#This Row],[CATEGORIA]]&amp;Tabela2[[#This Row],[CURSOS]]</f>
        <v>QUÍMICA E FÍSICAAGM</v>
      </c>
      <c r="D224" s="8" t="str">
        <f>IF(Tabela2[[#This Row],[SITUAÇÃO]]&lt;&gt;"Demitido",CONCATENATE(Tabela2[[#This Row],[POLO]],Tabela2[[#This Row],[CURSOS]]),"Substituição")</f>
        <v>Substituição</v>
      </c>
      <c r="E224" s="8" t="s">
        <v>734</v>
      </c>
      <c r="F224" s="67" t="s">
        <v>735</v>
      </c>
      <c r="G224" s="67" t="s">
        <v>220</v>
      </c>
      <c r="H224" s="9" t="s">
        <v>755</v>
      </c>
      <c r="I224" s="17" t="str">
        <f>IFERROR(_xlfn.XLOOKUP(Tabela2[[#This Row],[CHAPA]],TUT.CONTROL!F:F,TUT.CONTROL!I:I),_xlfn.XLOOKUP(Tabela2[[#This Row],[CHAPA]],'REG.CONTROL'!F:F,'REG.CONTROL'!I:I))</f>
        <v>Demitido</v>
      </c>
      <c r="J224" s="17">
        <f>IFERROR(_xlfn.XLOOKUP(Tabela2[[#This Row],[NOME DO TUTOR]],TUT.CONTROL!C:C,TUT.CONTROL!G:G),"Demitido")</f>
        <v>45873</v>
      </c>
      <c r="K224" s="19">
        <v>49998181163</v>
      </c>
      <c r="L224" s="22">
        <f>IFERROR(_xlfn.XLOOKUP(Tabela2[[#This Row],[NOME DO TUTOR]],TUT.CONTROL!C:C,TUT.CONTROL!F:F),"Demitido")</f>
        <v>1158000816</v>
      </c>
      <c r="M224" s="8" t="s">
        <v>756</v>
      </c>
      <c r="N224" s="11" t="str">
        <f>IFERROR(_xlfn.XLOOKUP(Tabela2[[#This Row],[CHAPA]],TUT.CONTROL!F:F,TUT.CONTROL!H:H),_xlfn.XLOOKUP(Tabela2[[#This Row],[CHAPA]],'REG.CONTROL'!F:F,'REG.CONTROL'!H:H))</f>
        <v>TUTOR DE PRATICA (UC_1749)</v>
      </c>
      <c r="O224" s="68" t="str">
        <f>IFERROR(_xlfn.XLOOKUP(Tabela2[[#This Row],[NOME DO TUTOR]],TUT.CONTROL!C:C,TUT.CONTROL!K:K),"Demitido")</f>
        <v>004:00</v>
      </c>
      <c r="P224" s="17">
        <f>IF(Tabela2[[#This Row],[SITUAÇÃO]]="Demitido",IFERROR(_xlfn.XLOOKUP(Tabela2[[#This Row],[CHAPA]],TUT.CONTROL!F:F,TUT.CONTROL!V:V),_xlfn.XLOOKUP(Tabela2[[#This Row],[CHAPA]],'REG.CONTROL'!F:F,'REG.CONTROL'!V:V)),"-")</f>
        <v>45938</v>
      </c>
      <c r="Q224" s="66" t="s">
        <v>43</v>
      </c>
      <c r="R224" s="66" t="s">
        <v>43</v>
      </c>
      <c r="S224" s="8"/>
    </row>
    <row r="225" spans="1:19" ht="13.5" hidden="1" x14ac:dyDescent="0.3">
      <c r="A22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Brasília/DF - Cruzeiro NovoBFIBIO-FISIO-EST-TO (Multidisciplinar III)</v>
      </c>
      <c r="B225" s="8" t="str">
        <f>Tabela2[[#This Row],[CATEGORIA]]&amp;Tabela2[[#This Row],[CURSOS]]&amp;"LAP - "&amp;Tabela2[[#This Row],[POLO]]</f>
        <v>BIO-FISIO-EST-TO (Multidisciplinar III)BFILAP - Brasília/DF - Cruzeiro Novo</v>
      </c>
      <c r="C225" s="8" t="str">
        <f>Tabela2[[#This Row],[CATEGORIA]]&amp;Tabela2[[#This Row],[CURSOS]]</f>
        <v>BIO-FISIO-EST-TO (Multidisciplinar III)BFI</v>
      </c>
      <c r="D225" s="8" t="str">
        <f>IF(Tabela2[[#This Row],[SITUAÇÃO]]&lt;&gt;"Demitido",CONCATENATE(Tabela2[[#This Row],[POLO]],Tabela2[[#This Row],[CURSOS]]),"Substituição")</f>
        <v>Brasília/DF - Cruzeiro NovoBFI</v>
      </c>
      <c r="E225" s="8" t="s">
        <v>757</v>
      </c>
      <c r="F225" s="67" t="s">
        <v>758</v>
      </c>
      <c r="G225" s="67" t="s">
        <v>759</v>
      </c>
      <c r="H225" s="9" t="s">
        <v>760</v>
      </c>
      <c r="I225" s="17" t="str">
        <f>IFERROR(_xlfn.XLOOKUP(Tabela2[[#This Row],[CHAPA]],TUT.CONTROL!F:F,TUT.CONTROL!I:I),_xlfn.XLOOKUP(Tabela2[[#This Row],[CHAPA]],'REG.CONTROL'!F:F,'REG.CONTROL'!I:I))</f>
        <v>Ativo</v>
      </c>
      <c r="J225" s="17">
        <f>IFERROR(_xlfn.XLOOKUP(Tabela2[[#This Row],[NOME DO TUTOR]],TUT.CONTROL!C:C,TUT.CONTROL!G:G),"Demitido")</f>
        <v>45873</v>
      </c>
      <c r="K225" s="19">
        <v>61983537255</v>
      </c>
      <c r="L225" s="22">
        <f>IFERROR(_xlfn.XLOOKUP(Tabela2[[#This Row],[NOME DO TUTOR]],TUT.CONTROL!C:C,TUT.CONTROL!F:F),"Demitido")</f>
        <v>1158000822</v>
      </c>
      <c r="M225" s="8" t="s">
        <v>761</v>
      </c>
      <c r="N225" s="11" t="str">
        <f>IFERROR(_xlfn.XLOOKUP(Tabela2[[#This Row],[CHAPA]],TUT.CONTROL!F:F,TUT.CONTROL!H:H),_xlfn.XLOOKUP(Tabela2[[#This Row],[CHAPA]],'REG.CONTROL'!F:F,'REG.CONTROL'!H:H))</f>
        <v>TUTOR DE PRATICA (UC_1749)</v>
      </c>
      <c r="O225" s="68" t="str">
        <f>IFERROR(_xlfn.XLOOKUP(Tabela2[[#This Row],[NOME DO TUTOR]],TUT.CONTROL!C:C,TUT.CONTROL!K:K),"Demitido")</f>
        <v>004:00</v>
      </c>
      <c r="P22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25" s="66" t="s">
        <v>30</v>
      </c>
      <c r="R225" s="8"/>
      <c r="S225" s="8"/>
    </row>
    <row r="226" spans="1:19" ht="13.5" hidden="1" x14ac:dyDescent="0.3">
      <c r="A22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Canindé/CEBFIBIO-FISIO-EST-TO (Multidisciplinar III)</v>
      </c>
      <c r="B226" s="8" t="str">
        <f>Tabela2[[#This Row],[CATEGORIA]]&amp;Tabela2[[#This Row],[CURSOS]]&amp;"LAP - "&amp;Tabela2[[#This Row],[POLO]]</f>
        <v>BIO-FISIO-EST-TO (Multidisciplinar III)BFILAP - Canindé/CE</v>
      </c>
      <c r="C226" s="8" t="str">
        <f>Tabela2[[#This Row],[CATEGORIA]]&amp;Tabela2[[#This Row],[CURSOS]]</f>
        <v>BIO-FISIO-EST-TO (Multidisciplinar III)BFI</v>
      </c>
      <c r="D226" s="8" t="str">
        <f>IF(Tabela2[[#This Row],[SITUAÇÃO]]&lt;&gt;"Demitido",CONCATENATE(Tabela2[[#This Row],[POLO]],Tabela2[[#This Row],[CURSOS]]),"Substituição")</f>
        <v>Canindé/CEBFI</v>
      </c>
      <c r="E226" s="8" t="s">
        <v>757</v>
      </c>
      <c r="F226" s="67" t="s">
        <v>758</v>
      </c>
      <c r="G226" s="67" t="s">
        <v>187</v>
      </c>
      <c r="H226" s="9" t="s">
        <v>762</v>
      </c>
      <c r="I226" s="17" t="str">
        <f>IFERROR(_xlfn.XLOOKUP(Tabela2[[#This Row],[CHAPA]],TUT.CONTROL!F:F,TUT.CONTROL!I:I),_xlfn.XLOOKUP(Tabela2[[#This Row],[CHAPA]],'REG.CONTROL'!F:F,'REG.CONTROL'!I:I))</f>
        <v>Ativo</v>
      </c>
      <c r="J226" s="17">
        <f>IFERROR(_xlfn.XLOOKUP(Tabela2[[#This Row],[NOME DO TUTOR]],TUT.CONTROL!C:C,TUT.CONTROL!G:G),"Demitido")</f>
        <v>45873</v>
      </c>
      <c r="K226" s="19">
        <v>85985632837</v>
      </c>
      <c r="L226" s="22">
        <f>IFERROR(_xlfn.XLOOKUP(Tabela2[[#This Row],[NOME DO TUTOR]],TUT.CONTROL!C:C,TUT.CONTROL!F:F),"Demitido")</f>
        <v>1158000833</v>
      </c>
      <c r="M226" s="8" t="s">
        <v>763</v>
      </c>
      <c r="N226" s="11" t="str">
        <f>IFERROR(_xlfn.XLOOKUP(Tabela2[[#This Row],[CHAPA]],TUT.CONTROL!F:F,TUT.CONTROL!H:H),_xlfn.XLOOKUP(Tabela2[[#This Row],[CHAPA]],'REG.CONTROL'!F:F,'REG.CONTROL'!H:H))</f>
        <v>TUTOR DE PRATICA (UC_1749)</v>
      </c>
      <c r="O226" s="68" t="str">
        <f>IFERROR(_xlfn.XLOOKUP(Tabela2[[#This Row],[NOME DO TUTOR]],TUT.CONTROL!C:C,TUT.CONTROL!K:K),"Demitido")</f>
        <v>004:00</v>
      </c>
      <c r="P22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26" s="66" t="s">
        <v>30</v>
      </c>
      <c r="R226" s="8"/>
      <c r="S226" s="8"/>
    </row>
    <row r="227" spans="1:19" ht="13.5" hidden="1" x14ac:dyDescent="0.3">
      <c r="A22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São Paulo/SP - TatuapéAGMQUÍMICA E FÍSICA</v>
      </c>
      <c r="B227" s="8" t="str">
        <f>Tabela2[[#This Row],[CATEGORIA]]&amp;Tabela2[[#This Row],[CURSOS]]&amp;"LAP - "&amp;Tabela2[[#This Row],[POLO]]</f>
        <v>QUÍMICA E FÍSICAAGMLAP - São Paulo/SP - Tatuapé</v>
      </c>
      <c r="C227" s="8" t="str">
        <f>Tabela2[[#This Row],[CATEGORIA]]&amp;Tabela2[[#This Row],[CURSOS]]</f>
        <v>QUÍMICA E FÍSICAAGM</v>
      </c>
      <c r="D227" s="8" t="str">
        <f>IF(Tabela2[[#This Row],[SITUAÇÃO]]&lt;&gt;"Demitido",CONCATENATE(Tabela2[[#This Row],[POLO]],Tabela2[[#This Row],[CURSOS]]),"Substituição")</f>
        <v>São Paulo/SP - TatuapéAGM</v>
      </c>
      <c r="E227" s="8" t="s">
        <v>734</v>
      </c>
      <c r="F227" s="67" t="s">
        <v>735</v>
      </c>
      <c r="G227" s="67" t="s">
        <v>431</v>
      </c>
      <c r="H227" s="9" t="s">
        <v>764</v>
      </c>
      <c r="I227" s="17" t="str">
        <f>IFERROR(_xlfn.XLOOKUP(Tabela2[[#This Row],[CHAPA]],TUT.CONTROL!F:F,TUT.CONTROL!I:I),_xlfn.XLOOKUP(Tabela2[[#This Row],[CHAPA]],'REG.CONTROL'!F:F,'REG.CONTROL'!I:I))</f>
        <v>Ativo</v>
      </c>
      <c r="J227" s="17">
        <f>IFERROR(_xlfn.XLOOKUP(Tabela2[[#This Row],[NOME DO TUTOR]],TUT.CONTROL!C:C,TUT.CONTROL!G:G),"Demitido")</f>
        <v>45873</v>
      </c>
      <c r="K227" s="19">
        <v>11973288100</v>
      </c>
      <c r="L227" s="22">
        <f>IFERROR(_xlfn.XLOOKUP(Tabela2[[#This Row],[NOME DO TUTOR]],TUT.CONTROL!C:C,TUT.CONTROL!F:F),"Demitido")</f>
        <v>1158000828</v>
      </c>
      <c r="M227" s="8" t="s">
        <v>765</v>
      </c>
      <c r="N227" s="11" t="str">
        <f>IFERROR(_xlfn.XLOOKUP(Tabela2[[#This Row],[CHAPA]],TUT.CONTROL!F:F,TUT.CONTROL!H:H),_xlfn.XLOOKUP(Tabela2[[#This Row],[CHAPA]],'REG.CONTROL'!F:F,'REG.CONTROL'!H:H))</f>
        <v>TUTOR DE PRATICA (UC_1749)</v>
      </c>
      <c r="O227" s="68" t="str">
        <f>IFERROR(_xlfn.XLOOKUP(Tabela2[[#This Row],[NOME DO TUTOR]],TUT.CONTROL!C:C,TUT.CONTROL!K:K),"Demitido")</f>
        <v>004:00</v>
      </c>
      <c r="P22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27" s="66" t="s">
        <v>30</v>
      </c>
      <c r="R227" s="8"/>
      <c r="S227" s="8"/>
    </row>
    <row r="228" spans="1:19" ht="13.5" hidden="1" customHeight="1" x14ac:dyDescent="0.3">
      <c r="A22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Indaial/SC - Vitória Regia ( Centro Universitário Leonardo da Vinci)NTRNUTRI (Multidisciplinar IV)</v>
      </c>
      <c r="B228" s="8" t="str">
        <f>Tabela2[[#This Row],[CATEGORIA]]&amp;Tabela2[[#This Row],[CURSOS]]&amp;"LAP - "&amp;Tabela2[[#This Row],[POLO]]</f>
        <v>NUTRI (Multidisciplinar IV)NTRLAP - Indaial/SC - Vitória Regia ( Centro Universitário Leonardo da Vinci)</v>
      </c>
      <c r="C228" s="8" t="str">
        <f>Tabela2[[#This Row],[CATEGORIA]]&amp;Tabela2[[#This Row],[CURSOS]]</f>
        <v>NUTRI (Multidisciplinar IV)NTR</v>
      </c>
      <c r="D228" s="8" t="str">
        <f>IF(Tabela2[[#This Row],[SITUAÇÃO]]&lt;&gt;"Demitido",CONCATENATE(Tabela2[[#This Row],[POLO]],Tabela2[[#This Row],[CURSOS]]),"Substituição")</f>
        <v>Indaial/SC - Vitória Regia ( Centro Universitário Leonardo da Vinci)NTR</v>
      </c>
      <c r="E228" s="8" t="s">
        <v>730</v>
      </c>
      <c r="F228" s="67" t="s">
        <v>731</v>
      </c>
      <c r="G228" s="67" t="s">
        <v>341</v>
      </c>
      <c r="H228" s="9" t="s">
        <v>766</v>
      </c>
      <c r="I228" s="17" t="str">
        <f>IFERROR(_xlfn.XLOOKUP(Tabela2[[#This Row],[CHAPA]],TUT.CONTROL!F:F,TUT.CONTROL!I:I),_xlfn.XLOOKUP(Tabela2[[#This Row],[CHAPA]],'REG.CONTROL'!F:F,'REG.CONTROL'!I:I))</f>
        <v>Ativo</v>
      </c>
      <c r="J228" s="17">
        <f>IFERROR(_xlfn.XLOOKUP(Tabela2[[#This Row],[NOME DO TUTOR]],TUT.CONTROL!C:C,TUT.CONTROL!G:G),"Demitido")</f>
        <v>45873</v>
      </c>
      <c r="K228" s="19">
        <v>47920002453</v>
      </c>
      <c r="L228" s="22">
        <f>IFERROR(_xlfn.XLOOKUP(Tabela2[[#This Row],[NOME DO TUTOR]],TUT.CONTROL!C:C,TUT.CONTROL!F:F),"Demitido")</f>
        <v>1158000793</v>
      </c>
      <c r="M228" s="8" t="s">
        <v>767</v>
      </c>
      <c r="N228" s="11" t="str">
        <f>IFERROR(_xlfn.XLOOKUP(Tabela2[[#This Row],[CHAPA]],TUT.CONTROL!F:F,TUT.CONTROL!H:H),_xlfn.XLOOKUP(Tabela2[[#This Row],[CHAPA]],'REG.CONTROL'!F:F,'REG.CONTROL'!H:H))</f>
        <v>TUTOR DE PRATICA (UC_1749)</v>
      </c>
      <c r="O228" s="68" t="str">
        <f>IFERROR(_xlfn.XLOOKUP(Tabela2[[#This Row],[NOME DO TUTOR]],TUT.CONTROL!C:C,TUT.CONTROL!K:K),"Demitido")</f>
        <v>004:00</v>
      </c>
      <c r="P22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28" s="66" t="s">
        <v>30</v>
      </c>
      <c r="R228" s="8"/>
      <c r="S228" s="8"/>
    </row>
    <row r="229" spans="1:19" ht="13.5" hidden="1" x14ac:dyDescent="0.3">
      <c r="A22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Salinas/MGEMF-ISNENF-INS (Multidisciplinar II)</v>
      </c>
      <c r="B229" s="8" t="str">
        <f>Tabela2[[#This Row],[CATEGORIA]]&amp;Tabela2[[#This Row],[CURSOS]]&amp;"LAP - "&amp;Tabela2[[#This Row],[POLO]]</f>
        <v>ENF-INS (Multidisciplinar II)EMF-ISNLAP - Salinas/MG</v>
      </c>
      <c r="C229" s="8" t="str">
        <f>Tabela2[[#This Row],[CATEGORIA]]&amp;Tabela2[[#This Row],[CURSOS]]</f>
        <v>ENF-INS (Multidisciplinar II)EMF-ISN</v>
      </c>
      <c r="D229" s="8" t="str">
        <f>IF(Tabela2[[#This Row],[SITUAÇÃO]]&lt;&gt;"Demitido",CONCATENATE(Tabela2[[#This Row],[POLO]],Tabela2[[#This Row],[CURSOS]]),"Substituição")</f>
        <v>Salinas/MGEMF-ISN</v>
      </c>
      <c r="E229" s="8" t="s">
        <v>21</v>
      </c>
      <c r="F229" s="67" t="s">
        <v>22</v>
      </c>
      <c r="G229" s="67" t="s">
        <v>768</v>
      </c>
      <c r="H229" s="9" t="s">
        <v>769</v>
      </c>
      <c r="I229" s="17" t="str">
        <f>IFERROR(_xlfn.XLOOKUP(Tabela2[[#This Row],[CHAPA]],TUT.CONTROL!F:F,TUT.CONTROL!I:I),_xlfn.XLOOKUP(Tabela2[[#This Row],[CHAPA]],'REG.CONTROL'!F:F,'REG.CONTROL'!I:I))</f>
        <v>Ativo</v>
      </c>
      <c r="J229" s="17">
        <f>IFERROR(_xlfn.XLOOKUP(Tabela2[[#This Row],[NOME DO TUTOR]],TUT.CONTROL!C:C,TUT.CONTROL!G:G),"Demitido")</f>
        <v>45735</v>
      </c>
      <c r="K229" s="19">
        <v>3891724795</v>
      </c>
      <c r="L229" s="22">
        <f>IFERROR(_xlfn.XLOOKUP(Tabela2[[#This Row],[NOME DO TUTOR]],TUT.CONTROL!C:C,TUT.CONTROL!F:F),"Demitido")</f>
        <v>1158000569</v>
      </c>
      <c r="M229" s="8" t="s">
        <v>770</v>
      </c>
      <c r="N229" s="11" t="str">
        <f>IFERROR(_xlfn.XLOOKUP(Tabela2[[#This Row],[CHAPA]],TUT.CONTROL!F:F,TUT.CONTROL!H:H),_xlfn.XLOOKUP(Tabela2[[#This Row],[CHAPA]],'REG.CONTROL'!F:F,'REG.CONTROL'!H:H))</f>
        <v>TUTOR DE PRATICA (UC_1749)</v>
      </c>
      <c r="O229" s="68" t="str">
        <f>IFERROR(_xlfn.XLOOKUP(Tabela2[[#This Row],[NOME DO TUTOR]],TUT.CONTROL!C:C,TUT.CONTROL!K:K),"Demitido")</f>
        <v>004:00</v>
      </c>
      <c r="P22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29" s="66" t="s">
        <v>30</v>
      </c>
      <c r="R229" s="8" t="s">
        <v>100</v>
      </c>
      <c r="S229" s="8">
        <v>118558</v>
      </c>
    </row>
    <row r="230" spans="1:19" ht="13.5" hidden="1" x14ac:dyDescent="0.3">
      <c r="A23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Santa Inês/MABFRBIO-FAR (Multidisciplinar I)</v>
      </c>
      <c r="B230" s="8" t="str">
        <f>Tabela2[[#This Row],[CATEGORIA]]&amp;Tabela2[[#This Row],[CURSOS]]&amp;"LAP - "&amp;Tabela2[[#This Row],[POLO]]</f>
        <v>BIO-FAR (Multidisciplinar I)BFRLAP - Santa Inês/MA</v>
      </c>
      <c r="C230" s="8" t="str">
        <f>Tabela2[[#This Row],[CATEGORIA]]&amp;Tabela2[[#This Row],[CURSOS]]</f>
        <v>BIO-FAR (Multidisciplinar I)BFR</v>
      </c>
      <c r="D230" s="8" t="str">
        <f>IF(Tabela2[[#This Row],[SITUAÇÃO]]&lt;&gt;"Demitido",CONCATENATE(Tabela2[[#This Row],[POLO]],Tabela2[[#This Row],[CURSOS]]),"Substituição")</f>
        <v>Santa Inês/MABFR</v>
      </c>
      <c r="E230" s="8" t="s">
        <v>771</v>
      </c>
      <c r="F230" s="67" t="s">
        <v>772</v>
      </c>
      <c r="G230" s="67" t="s">
        <v>773</v>
      </c>
      <c r="H230" s="9" t="s">
        <v>774</v>
      </c>
      <c r="I230" s="17" t="str">
        <f>IFERROR(_xlfn.XLOOKUP(Tabela2[[#This Row],[CHAPA]],TUT.CONTROL!F:F,TUT.CONTROL!I:I),_xlfn.XLOOKUP(Tabela2[[#This Row],[CHAPA]],'REG.CONTROL'!F:F,'REG.CONTROL'!I:I))</f>
        <v>Ativo</v>
      </c>
      <c r="J230" s="17">
        <f>IFERROR(_xlfn.XLOOKUP(Tabela2[[#This Row],[NOME DO TUTOR]],TUT.CONTROL!C:C,TUT.CONTROL!G:G),"Demitido")</f>
        <v>45873</v>
      </c>
      <c r="K230" s="19">
        <v>98987283857</v>
      </c>
      <c r="L230" s="22">
        <f>IFERROR(_xlfn.XLOOKUP(Tabela2[[#This Row],[NOME DO TUTOR]],TUT.CONTROL!C:C,TUT.CONTROL!F:F),"Demitido")</f>
        <v>1158000823</v>
      </c>
      <c r="M230" s="8" t="s">
        <v>775</v>
      </c>
      <c r="N230" s="11" t="str">
        <f>IFERROR(_xlfn.XLOOKUP(Tabela2[[#This Row],[CHAPA]],TUT.CONTROL!F:F,TUT.CONTROL!H:H),_xlfn.XLOOKUP(Tabela2[[#This Row],[CHAPA]],'REG.CONTROL'!F:F,'REG.CONTROL'!H:H))</f>
        <v>TUTOR DE PRATICA (UC_1749)</v>
      </c>
      <c r="O230" s="68" t="str">
        <f>IFERROR(_xlfn.XLOOKUP(Tabela2[[#This Row],[NOME DO TUTOR]],TUT.CONTROL!C:C,TUT.CONTROL!K:K),"Demitido")</f>
        <v>004:00</v>
      </c>
      <c r="P23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30" s="66" t="s">
        <v>30</v>
      </c>
      <c r="R230" s="8"/>
      <c r="S230" s="8"/>
    </row>
    <row r="231" spans="1:19" ht="15" hidden="1" x14ac:dyDescent="0.3">
      <c r="A23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Joinville/SC - SaguaçuECE-ENM-ENS-ENG-EEA-GPI-CDE-OBR-SAN-TER-FSA-SLF-QUIENGMAKER+QUÍMICA E FÍSICA</v>
      </c>
      <c r="B231" s="8" t="str">
        <f>Tabela2[[#This Row],[CATEGORIA]]&amp;Tabela2[[#This Row],[CURSOS]]&amp;"LAP - "&amp;Tabela2[[#This Row],[POLO]]</f>
        <v>ENGMAKER+QUÍMICA E FÍSICAECE-ENM-ENS-ENG-EEA-GPI-CDE-OBR-SAN-TER-FSA-SLF-QUILAP - Joinville/SC - Saguaçu</v>
      </c>
      <c r="C231" s="8" t="str">
        <f>Tabela2[[#This Row],[CATEGORIA]]&amp;Tabela2[[#This Row],[CURSOS]]</f>
        <v>ENGMAKER+QUÍMICA E FÍSICAECE-ENM-ENS-ENG-EEA-GPI-CDE-OBR-SAN-TER-FSA-SLF-QUI</v>
      </c>
      <c r="D231" s="8" t="str">
        <f>IF(Tabela2[[#This Row],[SITUAÇÃO]]&lt;&gt;"Demitido",CONCATENATE(Tabela2[[#This Row],[POLO]],Tabela2[[#This Row],[CURSOS]]),"Substituição")</f>
        <v>Joinville/SC - SaguaçuECE-ENM-ENS-ENG-EEA-GPI-CDE-OBR-SAN-TER-FSA-SLF-QUI</v>
      </c>
      <c r="E231" s="8" t="s">
        <v>125</v>
      </c>
      <c r="F231" s="67" t="s">
        <v>126</v>
      </c>
      <c r="G231" s="67" t="s">
        <v>401</v>
      </c>
      <c r="H231" s="9" t="s">
        <v>776</v>
      </c>
      <c r="I231" s="17" t="str">
        <f>IFERROR(_xlfn.XLOOKUP(Tabela2[[#This Row],[CHAPA]],TUT.CONTROL!F:F,TUT.CONTROL!I:I),_xlfn.XLOOKUP(Tabela2[[#This Row],[CHAPA]],'REG.CONTROL'!F:F,'REG.CONTROL'!I:I))</f>
        <v>Ativo</v>
      </c>
      <c r="J231" s="17">
        <f>IFERROR(_xlfn.XLOOKUP(Tabela2[[#This Row],[NOME DO TUTOR]],TUT.CONTROL!C:C,TUT.CONTROL!G:G),"Demitido")</f>
        <v>45873</v>
      </c>
      <c r="K231" s="19">
        <v>47996387043</v>
      </c>
      <c r="L231" s="22">
        <f>IFERROR(_xlfn.XLOOKUP(Tabela2[[#This Row],[NOME DO TUTOR]],TUT.CONTROL!C:C,TUT.CONTROL!F:F),"Demitido")</f>
        <v>1158000809</v>
      </c>
      <c r="M231" s="84" t="s">
        <v>777</v>
      </c>
      <c r="N231" s="11" t="str">
        <f>IFERROR(_xlfn.XLOOKUP(Tabela2[[#This Row],[CHAPA]],TUT.CONTROL!F:F,TUT.CONTROL!H:H),_xlfn.XLOOKUP(Tabela2[[#This Row],[CHAPA]],'REG.CONTROL'!F:F,'REG.CONTROL'!H:H))</f>
        <v>TUTOR DE PRATICA (UC_1749)</v>
      </c>
      <c r="O231" s="68" t="str">
        <f>IFERROR(_xlfn.XLOOKUP(Tabela2[[#This Row],[NOME DO TUTOR]],TUT.CONTROL!C:C,TUT.CONTROL!K:K),"Demitido")</f>
        <v>004:00</v>
      </c>
      <c r="P23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31" s="66"/>
      <c r="R231" s="8" t="s">
        <v>478</v>
      </c>
      <c r="S231" s="8">
        <v>2122580</v>
      </c>
    </row>
    <row r="232" spans="1:19" ht="13.5" hidden="1" x14ac:dyDescent="0.3">
      <c r="A23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32" s="8" t="str">
        <f>Tabela2[[#This Row],[CATEGORIA]]&amp;Tabela2[[#This Row],[CURSOS]]&amp;"LAP - "&amp;Tabela2[[#This Row],[POLO]]</f>
        <v>NUTRI (Multidisciplinar IV)NTRLAP - Belo Horizonte/MG - Shopping Estação BH</v>
      </c>
      <c r="C232" s="8" t="str">
        <f>Tabela2[[#This Row],[CATEGORIA]]&amp;Tabela2[[#This Row],[CURSOS]]</f>
        <v>NUTRI (Multidisciplinar IV)NTR</v>
      </c>
      <c r="D232" s="8" t="str">
        <f>IF(Tabela2[[#This Row],[SITUAÇÃO]]&lt;&gt;"Demitido",CONCATENATE(Tabela2[[#This Row],[POLO]],Tabela2[[#This Row],[CURSOS]]),"Substituição")</f>
        <v>Substituição</v>
      </c>
      <c r="E232" s="8" t="s">
        <v>730</v>
      </c>
      <c r="F232" s="67" t="s">
        <v>731</v>
      </c>
      <c r="G232" s="67" t="s">
        <v>101</v>
      </c>
      <c r="H232" s="9" t="s">
        <v>778</v>
      </c>
      <c r="I232" s="17" t="str">
        <f>IFERROR(_xlfn.XLOOKUP(Tabela2[[#This Row],[CHAPA]],TUT.CONTROL!F:F,TUT.CONTROL!I:I),_xlfn.XLOOKUP(Tabela2[[#This Row],[CHAPA]],'REG.CONTROL'!F:F,'REG.CONTROL'!I:I))</f>
        <v>Demitido</v>
      </c>
      <c r="J232" s="17">
        <f>IFERROR(_xlfn.XLOOKUP(Tabela2[[#This Row],[NOME DO TUTOR]],TUT.CONTROL!C:C,TUT.CONTROL!G:G),"Demitido")</f>
        <v>45873</v>
      </c>
      <c r="K232" s="19">
        <v>31999073104</v>
      </c>
      <c r="L232" s="22">
        <f>IFERROR(_xlfn.XLOOKUP(Tabela2[[#This Row],[NOME DO TUTOR]],TUT.CONTROL!C:C,TUT.CONTROL!F:F),"Demitido")</f>
        <v>1158000820</v>
      </c>
      <c r="M232" s="8" t="s">
        <v>779</v>
      </c>
      <c r="N232" s="11" t="str">
        <f>IFERROR(_xlfn.XLOOKUP(Tabela2[[#This Row],[CHAPA]],TUT.CONTROL!F:F,TUT.CONTROL!H:H),_xlfn.XLOOKUP(Tabela2[[#This Row],[CHAPA]],'REG.CONTROL'!F:F,'REG.CONTROL'!H:H))</f>
        <v>TUTOR DE PRATICA (UC_1749)</v>
      </c>
      <c r="O232" s="68" t="str">
        <f>IFERROR(_xlfn.XLOOKUP(Tabela2[[#This Row],[NOME DO TUTOR]],TUT.CONTROL!C:C,TUT.CONTROL!K:K),"Demitido")</f>
        <v>004:00</v>
      </c>
      <c r="P232" s="17">
        <f>IF(Tabela2[[#This Row],[SITUAÇÃO]]="Demitido",IFERROR(_xlfn.XLOOKUP(Tabela2[[#This Row],[CHAPA]],TUT.CONTROL!F:F,TUT.CONTROL!V:V),_xlfn.XLOOKUP(Tabela2[[#This Row],[CHAPA]],'REG.CONTROL'!F:F,'REG.CONTROL'!V:V)),"-")</f>
        <v>45939</v>
      </c>
      <c r="Q232" s="66" t="s">
        <v>43</v>
      </c>
      <c r="R232" s="8"/>
      <c r="S232" s="8"/>
    </row>
    <row r="233" spans="1:19" ht="13.5" hidden="1" x14ac:dyDescent="0.3">
      <c r="A23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33" s="8" t="str">
        <f>Tabela2[[#This Row],[CATEGORIA]]&amp;Tabela2[[#This Row],[CURSOS]]&amp;"LAP - "&amp;Tabela2[[#This Row],[POLO]]</f>
        <v>QUÍMICA E FÍSICAAGMLAP - Pouso Alegre/MG</v>
      </c>
      <c r="C233" s="8" t="str">
        <f>Tabela2[[#This Row],[CATEGORIA]]&amp;Tabela2[[#This Row],[CURSOS]]</f>
        <v>QUÍMICA E FÍSICAAGM</v>
      </c>
      <c r="D233" s="8" t="str">
        <f>IF(Tabela2[[#This Row],[SITUAÇÃO]]&lt;&gt;"Demitido",CONCATENATE(Tabela2[[#This Row],[POLO]],Tabela2[[#This Row],[CURSOS]]),"Substituição")</f>
        <v>Substituição</v>
      </c>
      <c r="E233" s="8" t="s">
        <v>734</v>
      </c>
      <c r="F233" s="67" t="s">
        <v>735</v>
      </c>
      <c r="G233" s="67" t="s">
        <v>629</v>
      </c>
      <c r="H233" s="9" t="s">
        <v>780</v>
      </c>
      <c r="I233" s="17" t="str">
        <f>IFERROR(_xlfn.XLOOKUP(Tabela2[[#This Row],[CHAPA]],TUT.CONTROL!F:F,TUT.CONTROL!I:I),_xlfn.XLOOKUP(Tabela2[[#This Row],[CHAPA]],'REG.CONTROL'!F:F,'REG.CONTROL'!I:I))</f>
        <v>Demitido</v>
      </c>
      <c r="J233" s="17">
        <f>IFERROR(_xlfn.XLOOKUP(Tabela2[[#This Row],[NOME DO TUTOR]],TUT.CONTROL!C:C,TUT.CONTROL!G:G),"Demitido")</f>
        <v>45873</v>
      </c>
      <c r="K233" s="19">
        <v>35991555629</v>
      </c>
      <c r="L233" s="22">
        <f>IFERROR(_xlfn.XLOOKUP(Tabela2[[#This Row],[NOME DO TUTOR]],TUT.CONTROL!C:C,TUT.CONTROL!F:F),"Demitido")</f>
        <v>1158000811</v>
      </c>
      <c r="M233" s="8" t="s">
        <v>781</v>
      </c>
      <c r="N233" s="11" t="str">
        <f>IFERROR(_xlfn.XLOOKUP(Tabela2[[#This Row],[CHAPA]],TUT.CONTROL!F:F,TUT.CONTROL!H:H),_xlfn.XLOOKUP(Tabela2[[#This Row],[CHAPA]],'REG.CONTROL'!F:F,'REG.CONTROL'!H:H))</f>
        <v>TUTOR DE PRATICA (UC_1749)</v>
      </c>
      <c r="O233" s="68" t="str">
        <f>IFERROR(_xlfn.XLOOKUP(Tabela2[[#This Row],[NOME DO TUTOR]],TUT.CONTROL!C:C,TUT.CONTROL!K:K),"Demitido")</f>
        <v>004:00</v>
      </c>
      <c r="P233" s="17">
        <f>IF(Tabela2[[#This Row],[SITUAÇÃO]]="Demitido",IFERROR(_xlfn.XLOOKUP(Tabela2[[#This Row],[CHAPA]],TUT.CONTROL!F:F,TUT.CONTROL!V:V),_xlfn.XLOOKUP(Tabela2[[#This Row],[CHAPA]],'REG.CONTROL'!F:F,'REG.CONTROL'!V:V)),"-")</f>
        <v>45939</v>
      </c>
      <c r="Q233" s="66" t="s">
        <v>43</v>
      </c>
      <c r="R233" s="66" t="s">
        <v>43</v>
      </c>
      <c r="S233" s="8"/>
    </row>
    <row r="234" spans="1:19" ht="13.5" hidden="1" x14ac:dyDescent="0.3">
      <c r="A23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34" s="8" t="str">
        <f>Tabela2[[#This Row],[CATEGORIA]]&amp;Tabela2[[#This Row],[CURSOS]]&amp;"LAP - "&amp;Tabela2[[#This Row],[POLO]]</f>
        <v>BIO-FAR (Multidisciplinar I)BFRLAP - Planaltina/GO</v>
      </c>
      <c r="C234" s="8" t="str">
        <f>Tabela2[[#This Row],[CATEGORIA]]&amp;Tabela2[[#This Row],[CURSOS]]</f>
        <v>BIO-FAR (Multidisciplinar I)BFR</v>
      </c>
      <c r="D234" s="8" t="str">
        <f>IF(Tabela2[[#This Row],[SITUAÇÃO]]&lt;&gt;"Demitido",CONCATENATE(Tabela2[[#This Row],[POLO]],Tabela2[[#This Row],[CURSOS]]),"Substituição")</f>
        <v>Substituição</v>
      </c>
      <c r="E234" s="8" t="s">
        <v>771</v>
      </c>
      <c r="F234" s="67" t="s">
        <v>772</v>
      </c>
      <c r="G234" s="67" t="s">
        <v>608</v>
      </c>
      <c r="H234" s="9" t="s">
        <v>782</v>
      </c>
      <c r="I234" s="17" t="str">
        <f>IFERROR(_xlfn.XLOOKUP(Tabela2[[#This Row],[CHAPA]],TUT.CONTROL!F:F,TUT.CONTROL!I:I),_xlfn.XLOOKUP(Tabela2[[#This Row],[CHAPA]],'REG.CONTROL'!F:F,'REG.CONTROL'!I:I))</f>
        <v>Demitido</v>
      </c>
      <c r="J234" s="17">
        <f>IFERROR(_xlfn.XLOOKUP(Tabela2[[#This Row],[NOME DO TUTOR]],TUT.CONTROL!C:C,TUT.CONTROL!G:G),"Demitido")</f>
        <v>45873</v>
      </c>
      <c r="K234" s="19">
        <v>61995568642</v>
      </c>
      <c r="L234" s="22">
        <f>IFERROR(_xlfn.XLOOKUP(Tabela2[[#This Row],[NOME DO TUTOR]],TUT.CONTROL!C:C,TUT.CONTROL!F:F),"Demitido")</f>
        <v>1158000813</v>
      </c>
      <c r="M234" s="8" t="s">
        <v>783</v>
      </c>
      <c r="N234" s="11" t="str">
        <f>IFERROR(_xlfn.XLOOKUP(Tabela2[[#This Row],[CHAPA]],TUT.CONTROL!F:F,TUT.CONTROL!H:H),_xlfn.XLOOKUP(Tabela2[[#This Row],[CHAPA]],'REG.CONTROL'!F:F,'REG.CONTROL'!H:H))</f>
        <v>TUTOR DE PRATICA (UC_1749)</v>
      </c>
      <c r="O234" s="68" t="str">
        <f>IFERROR(_xlfn.XLOOKUP(Tabela2[[#This Row],[NOME DO TUTOR]],TUT.CONTROL!C:C,TUT.CONTROL!K:K),"Demitido")</f>
        <v>004:00</v>
      </c>
      <c r="P234" s="17">
        <f>IF(Tabela2[[#This Row],[SITUAÇÃO]]="Demitido",IFERROR(_xlfn.XLOOKUP(Tabela2[[#This Row],[CHAPA]],TUT.CONTROL!F:F,TUT.CONTROL!V:V),_xlfn.XLOOKUP(Tabela2[[#This Row],[CHAPA]],'REG.CONTROL'!F:F,'REG.CONTROL'!V:V)),"-")</f>
        <v>45943</v>
      </c>
      <c r="Q234" s="66" t="s">
        <v>43</v>
      </c>
      <c r="R234" s="8"/>
      <c r="S234" s="8"/>
    </row>
    <row r="235" spans="1:19" ht="13.5" hidden="1" x14ac:dyDescent="0.3">
      <c r="A23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Porto Alegre/RS - Zona NorteBFIBIO-FISIO-EST-TO (Multidisciplinar III)</v>
      </c>
      <c r="B235" s="8" t="str">
        <f>Tabela2[[#This Row],[CATEGORIA]]&amp;Tabela2[[#This Row],[CURSOS]]&amp;"LAP - "&amp;Tabela2[[#This Row],[POLO]]</f>
        <v>BIO-FISIO-EST-TO (Multidisciplinar III)BFILAP - Porto Alegre/RS - Zona Norte</v>
      </c>
      <c r="C235" s="8" t="str">
        <f>Tabela2[[#This Row],[CATEGORIA]]&amp;Tabela2[[#This Row],[CURSOS]]</f>
        <v>BIO-FISIO-EST-TO (Multidisciplinar III)BFI</v>
      </c>
      <c r="D235" s="8" t="str">
        <f>IF(Tabela2[[#This Row],[SITUAÇÃO]]&lt;&gt;"Demitido",CONCATENATE(Tabela2[[#This Row],[POLO]],Tabela2[[#This Row],[CURSOS]]),"Substituição")</f>
        <v>Porto Alegre/RS - Zona NorteBFI</v>
      </c>
      <c r="E235" s="8" t="s">
        <v>757</v>
      </c>
      <c r="F235" s="67" t="s">
        <v>758</v>
      </c>
      <c r="G235" s="67" t="s">
        <v>640</v>
      </c>
      <c r="H235" s="9" t="s">
        <v>784</v>
      </c>
      <c r="I235" s="17" t="str">
        <f>IFERROR(_xlfn.XLOOKUP(Tabela2[[#This Row],[CHAPA]],TUT.CONTROL!F:F,TUT.CONTROL!I:I),_xlfn.XLOOKUP(Tabela2[[#This Row],[CHAPA]],'REG.CONTROL'!F:F,'REG.CONTROL'!I:I))</f>
        <v>Ativo</v>
      </c>
      <c r="J235" s="17">
        <f>IFERROR(_xlfn.XLOOKUP(Tabela2[[#This Row],[NOME DO TUTOR]],TUT.CONTROL!C:C,TUT.CONTROL!G:G),"Demitido")</f>
        <v>45873</v>
      </c>
      <c r="K235" s="19">
        <v>51991146769</v>
      </c>
      <c r="L235" s="22">
        <f>IFERROR(_xlfn.XLOOKUP(Tabela2[[#This Row],[NOME DO TUTOR]],TUT.CONTROL!C:C,TUT.CONTROL!F:F),"Demitido")</f>
        <v>1158000807</v>
      </c>
      <c r="M235" s="8" t="s">
        <v>785</v>
      </c>
      <c r="N235" s="11" t="str">
        <f>IFERROR(_xlfn.XLOOKUP(Tabela2[[#This Row],[CHAPA]],TUT.CONTROL!F:F,TUT.CONTROL!H:H),_xlfn.XLOOKUP(Tabela2[[#This Row],[CHAPA]],'REG.CONTROL'!F:F,'REG.CONTROL'!H:H))</f>
        <v>TUTOR DE PRATICA (UC_1749)</v>
      </c>
      <c r="O235" s="68" t="str">
        <f>IFERROR(_xlfn.XLOOKUP(Tabela2[[#This Row],[NOME DO TUTOR]],TUT.CONTROL!C:C,TUT.CONTROL!K:K),"Demitido")</f>
        <v>004:00</v>
      </c>
      <c r="P23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35" s="66"/>
      <c r="R235" s="8" t="s">
        <v>786</v>
      </c>
      <c r="S235" s="8" t="s">
        <v>787</v>
      </c>
    </row>
    <row r="236" spans="1:19" ht="13.5" hidden="1" x14ac:dyDescent="0.3">
      <c r="A23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36" s="8" t="str">
        <f>Tabela2[[#This Row],[CATEGORIA]]&amp;Tabela2[[#This Row],[CURSOS]]&amp;"LAP - "&amp;Tabela2[[#This Row],[POLO]]</f>
        <v>QUÍMICA E FÍSICAAGMLAP - Maringá/PR - Zona 01</v>
      </c>
      <c r="C236" s="8" t="str">
        <f>Tabela2[[#This Row],[CATEGORIA]]&amp;Tabela2[[#This Row],[CURSOS]]</f>
        <v>QUÍMICA E FÍSICAAGM</v>
      </c>
      <c r="D236" s="8" t="str">
        <f>IF(Tabela2[[#This Row],[SITUAÇÃO]]&lt;&gt;"Demitido",CONCATENATE(Tabela2[[#This Row],[POLO]],Tabela2[[#This Row],[CURSOS]]),"Substituição")</f>
        <v>Substituição</v>
      </c>
      <c r="E236" s="8" t="s">
        <v>734</v>
      </c>
      <c r="F236" s="67" t="s">
        <v>735</v>
      </c>
      <c r="G236" s="67" t="s">
        <v>385</v>
      </c>
      <c r="H236" s="9" t="s">
        <v>788</v>
      </c>
      <c r="I236" s="17" t="str">
        <f>IFERROR(_xlfn.XLOOKUP(Tabela2[[#This Row],[CHAPA]],TUT.CONTROL!F:F,TUT.CONTROL!I:I),_xlfn.XLOOKUP(Tabela2[[#This Row],[CHAPA]],'REG.CONTROL'!F:F,'REG.CONTROL'!I:I))</f>
        <v>Demitido</v>
      </c>
      <c r="J236" s="17">
        <f>IFERROR(_xlfn.XLOOKUP(Tabela2[[#This Row],[NOME DO TUTOR]],TUT.CONTROL!C:C,TUT.CONTROL!G:G),"Demitido")</f>
        <v>45873</v>
      </c>
      <c r="K236" s="19">
        <v>44999572197</v>
      </c>
      <c r="L236" s="22">
        <f>IFERROR(_xlfn.XLOOKUP(Tabela2[[#This Row],[NOME DO TUTOR]],TUT.CONTROL!C:C,TUT.CONTROL!F:F),"Demitido")</f>
        <v>1158000829</v>
      </c>
      <c r="M236" s="8" t="s">
        <v>789</v>
      </c>
      <c r="N236" s="11" t="str">
        <f>IFERROR(_xlfn.XLOOKUP(Tabela2[[#This Row],[CHAPA]],TUT.CONTROL!F:F,TUT.CONTROL!H:H),_xlfn.XLOOKUP(Tabela2[[#This Row],[CHAPA]],'REG.CONTROL'!F:F,'REG.CONTROL'!H:H))</f>
        <v>TUTOR DE PRATICA (UC_1749)</v>
      </c>
      <c r="O236" s="68" t="str">
        <f>IFERROR(_xlfn.XLOOKUP(Tabela2[[#This Row],[NOME DO TUTOR]],TUT.CONTROL!C:C,TUT.CONTROL!K:K),"Demitido")</f>
        <v>004:00</v>
      </c>
      <c r="P236" s="17">
        <f>IF(Tabela2[[#This Row],[SITUAÇÃO]]="Demitido",IFERROR(_xlfn.XLOOKUP(Tabela2[[#This Row],[CHAPA]],TUT.CONTROL!F:F,TUT.CONTROL!V:V),_xlfn.XLOOKUP(Tabela2[[#This Row],[CHAPA]],'REG.CONTROL'!F:F,'REG.CONTROL'!V:V)),"-")</f>
        <v>45944</v>
      </c>
      <c r="Q236" s="66" t="s">
        <v>43</v>
      </c>
      <c r="R236" s="66" t="s">
        <v>43</v>
      </c>
      <c r="S236" s="8"/>
    </row>
    <row r="237" spans="1:19" ht="13.5" hidden="1" x14ac:dyDescent="0.3">
      <c r="A23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37" s="8" t="str">
        <f>Tabela2[[#This Row],[CATEGORIA]]&amp;Tabela2[[#This Row],[CURSOS]]&amp;"LAP - "&amp;Tabela2[[#This Row],[POLO]]</f>
        <v>BIO-FAR (Multidisciplinar I)BFRLAP - Pouso Alegre/MG</v>
      </c>
      <c r="C237" s="8" t="str">
        <f>Tabela2[[#This Row],[CATEGORIA]]&amp;Tabela2[[#This Row],[CURSOS]]</f>
        <v>BIO-FAR (Multidisciplinar I)BFR</v>
      </c>
      <c r="D237" s="8" t="str">
        <f>IF(Tabela2[[#This Row],[SITUAÇÃO]]&lt;&gt;"Demitido",CONCATENATE(Tabela2[[#This Row],[POLO]],Tabela2[[#This Row],[CURSOS]]),"Substituição")</f>
        <v>Substituição</v>
      </c>
      <c r="E237" s="8" t="s">
        <v>771</v>
      </c>
      <c r="F237" s="67" t="s">
        <v>772</v>
      </c>
      <c r="G237" s="67" t="s">
        <v>629</v>
      </c>
      <c r="H237" s="9" t="s">
        <v>790</v>
      </c>
      <c r="I237" s="17" t="str">
        <f>IFERROR(_xlfn.XLOOKUP(Tabela2[[#This Row],[CHAPA]],TUT.CONTROL!F:F,TUT.CONTROL!I:I),_xlfn.XLOOKUP(Tabela2[[#This Row],[CHAPA]],'REG.CONTROL'!F:F,'REG.CONTROL'!I:I))</f>
        <v>Demitido</v>
      </c>
      <c r="J237" s="17">
        <f>IFERROR(_xlfn.XLOOKUP(Tabela2[[#This Row],[NOME DO TUTOR]],TUT.CONTROL!C:C,TUT.CONTROL!G:G),"Demitido")</f>
        <v>45873</v>
      </c>
      <c r="K237" s="19">
        <v>35998205008</v>
      </c>
      <c r="L237" s="22">
        <f>IFERROR(_xlfn.XLOOKUP(Tabela2[[#This Row],[NOME DO TUTOR]],TUT.CONTROL!C:C,TUT.CONTROL!F:F),"Demitido")</f>
        <v>1158000812</v>
      </c>
      <c r="M237" s="8" t="s">
        <v>791</v>
      </c>
      <c r="N237" s="11" t="str">
        <f>IFERROR(_xlfn.XLOOKUP(Tabela2[[#This Row],[CHAPA]],TUT.CONTROL!F:F,TUT.CONTROL!H:H),_xlfn.XLOOKUP(Tabela2[[#This Row],[CHAPA]],'REG.CONTROL'!F:F,'REG.CONTROL'!H:H))</f>
        <v>TUTOR DE PRATICA (UC_1749)</v>
      </c>
      <c r="O237" s="68" t="str">
        <f>IFERROR(_xlfn.XLOOKUP(Tabela2[[#This Row],[NOME DO TUTOR]],TUT.CONTROL!C:C,TUT.CONTROL!K:K),"Demitido")</f>
        <v>004:00</v>
      </c>
      <c r="P237" s="17">
        <f>IF(Tabela2[[#This Row],[SITUAÇÃO]]="Demitido",IFERROR(_xlfn.XLOOKUP(Tabela2[[#This Row],[CHAPA]],TUT.CONTROL!F:F,TUT.CONTROL!V:V),_xlfn.XLOOKUP(Tabela2[[#This Row],[CHAPA]],'REG.CONTROL'!F:F,'REG.CONTROL'!V:V)),"-")</f>
        <v>45954</v>
      </c>
      <c r="Q237" s="66" t="s">
        <v>43</v>
      </c>
      <c r="R237" s="8"/>
      <c r="S237" s="8"/>
    </row>
    <row r="238" spans="1:19" ht="13.5" hidden="1" x14ac:dyDescent="0.3">
      <c r="A23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Salinópolis/PAEMF-ISNENF-INS (Multidisciplinar II)</v>
      </c>
      <c r="B238" s="8" t="str">
        <f>Tabela2[[#This Row],[CATEGORIA]]&amp;Tabela2[[#This Row],[CURSOS]]&amp;"LAP - "&amp;Tabela2[[#This Row],[POLO]]</f>
        <v>ENF-INS (Multidisciplinar II)EMF-ISNLAP - Salinópolis/PA</v>
      </c>
      <c r="C238" s="8" t="str">
        <f>Tabela2[[#This Row],[CATEGORIA]]&amp;Tabela2[[#This Row],[CURSOS]]</f>
        <v>ENF-INS (Multidisciplinar II)EMF-ISN</v>
      </c>
      <c r="D238" s="8" t="str">
        <f>IF(Tabela2[[#This Row],[SITUAÇÃO]]&lt;&gt;"Demitido",CONCATENATE(Tabela2[[#This Row],[POLO]],Tabela2[[#This Row],[CURSOS]]),"Substituição")</f>
        <v>Salinópolis/PAEMF-ISN</v>
      </c>
      <c r="E238" s="8" t="s">
        <v>21</v>
      </c>
      <c r="F238" s="67" t="s">
        <v>22</v>
      </c>
      <c r="G238" s="67" t="s">
        <v>792</v>
      </c>
      <c r="H238" s="9" t="s">
        <v>793</v>
      </c>
      <c r="I238" s="17" t="str">
        <f>IFERROR(_xlfn.XLOOKUP(Tabela2[[#This Row],[CHAPA]],TUT.CONTROL!F:F,TUT.CONTROL!I:I),_xlfn.XLOOKUP(Tabela2[[#This Row],[CHAPA]],'REG.CONTROL'!F:F,'REG.CONTROL'!I:I))</f>
        <v>Ativo</v>
      </c>
      <c r="J238" s="17">
        <f>IFERROR(_xlfn.XLOOKUP(Tabela2[[#This Row],[NOME DO TUTOR]],TUT.CONTROL!C:C,TUT.CONTROL!G:G),"Demitido")</f>
        <v>45735</v>
      </c>
      <c r="K238" s="19">
        <v>91986258227</v>
      </c>
      <c r="L238" s="22">
        <f>IFERROR(_xlfn.XLOOKUP(Tabela2[[#This Row],[NOME DO TUTOR]],TUT.CONTROL!C:C,TUT.CONTROL!F:F),"Demitido")</f>
        <v>1158000565</v>
      </c>
      <c r="M238" s="8" t="s">
        <v>794</v>
      </c>
      <c r="N238" s="11" t="str">
        <f>IFERROR(_xlfn.XLOOKUP(Tabela2[[#This Row],[CHAPA]],TUT.CONTROL!F:F,TUT.CONTROL!H:H),_xlfn.XLOOKUP(Tabela2[[#This Row],[CHAPA]],'REG.CONTROL'!F:F,'REG.CONTROL'!H:H))</f>
        <v>TUTOR DE PRATICA (UC_1749)</v>
      </c>
      <c r="O238" s="68" t="str">
        <f>IFERROR(_xlfn.XLOOKUP(Tabela2[[#This Row],[NOME DO TUTOR]],TUT.CONTROL!C:C,TUT.CONTROL!K:K),"Demitido")</f>
        <v>004:00</v>
      </c>
      <c r="P23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38" s="66" t="s">
        <v>30</v>
      </c>
      <c r="R238" s="8" t="s">
        <v>26</v>
      </c>
      <c r="S238" s="8">
        <v>761245</v>
      </c>
    </row>
    <row r="239" spans="1:19" ht="13.5" hidden="1" x14ac:dyDescent="0.3">
      <c r="A23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Criciúma/SCNTRNUTRI (Multidisciplinar IV)</v>
      </c>
      <c r="B239" s="8" t="str">
        <f>Tabela2[[#This Row],[CATEGORIA]]&amp;Tabela2[[#This Row],[CURSOS]]&amp;"LAP - "&amp;Tabela2[[#This Row],[POLO]]</f>
        <v>NUTRI (Multidisciplinar IV)NTRLAP - Criciúma/SC</v>
      </c>
      <c r="C239" s="8" t="str">
        <f>Tabela2[[#This Row],[CATEGORIA]]&amp;Tabela2[[#This Row],[CURSOS]]</f>
        <v>NUTRI (Multidisciplinar IV)NTR</v>
      </c>
      <c r="D239" s="8" t="str">
        <f>IF(Tabela2[[#This Row],[SITUAÇÃO]]&lt;&gt;"Demitido",CONCATENATE(Tabela2[[#This Row],[POLO]],Tabela2[[#This Row],[CURSOS]]),"Substituição")</f>
        <v>Criciúma/SCNTR</v>
      </c>
      <c r="E239" s="8" t="s">
        <v>730</v>
      </c>
      <c r="F239" s="67" t="s">
        <v>731</v>
      </c>
      <c r="G239" s="67" t="s">
        <v>795</v>
      </c>
      <c r="H239" s="9" t="s">
        <v>796</v>
      </c>
      <c r="I239" s="17" t="str">
        <f>IFERROR(_xlfn.XLOOKUP(Tabela2[[#This Row],[CHAPA]],TUT.CONTROL!F:F,TUT.CONTROL!I:I),_xlfn.XLOOKUP(Tabela2[[#This Row],[CHAPA]],'REG.CONTROL'!F:F,'REG.CONTROL'!I:I))</f>
        <v>Ativo</v>
      </c>
      <c r="J239" s="17">
        <f>IFERROR(_xlfn.XLOOKUP(Tabela2[[#This Row],[NOME DO TUTOR]],TUT.CONTROL!C:C,TUT.CONTROL!G:G),"Demitido")</f>
        <v>45873</v>
      </c>
      <c r="K239" s="19">
        <v>48996186341</v>
      </c>
      <c r="L239" s="22">
        <f>IFERROR(_xlfn.XLOOKUP(Tabela2[[#This Row],[NOME DO TUTOR]],TUT.CONTROL!C:C,TUT.CONTROL!F:F),"Demitido")</f>
        <v>1158000800</v>
      </c>
      <c r="M239" s="8" t="s">
        <v>797</v>
      </c>
      <c r="N239" s="11" t="str">
        <f>IFERROR(_xlfn.XLOOKUP(Tabela2[[#This Row],[CHAPA]],TUT.CONTROL!F:F,TUT.CONTROL!H:H),_xlfn.XLOOKUP(Tabela2[[#This Row],[CHAPA]],'REG.CONTROL'!F:F,'REG.CONTROL'!H:H))</f>
        <v>TUTOR DE PRATICA (UC_1749)</v>
      </c>
      <c r="O239" s="68" t="str">
        <f>IFERROR(_xlfn.XLOOKUP(Tabela2[[#This Row],[NOME DO TUTOR]],TUT.CONTROL!C:C,TUT.CONTROL!K:K),"Demitido")</f>
        <v>004:00</v>
      </c>
      <c r="P23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39" s="66"/>
      <c r="R239" s="8" t="s">
        <v>798</v>
      </c>
      <c r="S239" s="8">
        <v>5773</v>
      </c>
    </row>
    <row r="240" spans="1:19" ht="13.5" hidden="1" x14ac:dyDescent="0.3">
      <c r="A24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Porto Alegre/RS - Zona NorteNTRNUTRI (Multidisciplinar IV)</v>
      </c>
      <c r="B240" s="8" t="str">
        <f>Tabela2[[#This Row],[CATEGORIA]]&amp;Tabela2[[#This Row],[CURSOS]]&amp;"LAP - "&amp;Tabela2[[#This Row],[POLO]]</f>
        <v>NUTRI (Multidisciplinar IV)NTRLAP - Porto Alegre/RS - Zona Norte</v>
      </c>
      <c r="C240" s="8" t="str">
        <f>Tabela2[[#This Row],[CATEGORIA]]&amp;Tabela2[[#This Row],[CURSOS]]</f>
        <v>NUTRI (Multidisciplinar IV)NTR</v>
      </c>
      <c r="D240" s="8" t="str">
        <f>IF(Tabela2[[#This Row],[SITUAÇÃO]]&lt;&gt;"Demitido",CONCATENATE(Tabela2[[#This Row],[POLO]],Tabela2[[#This Row],[CURSOS]]),"Substituição")</f>
        <v>Porto Alegre/RS - Zona NorteNTR</v>
      </c>
      <c r="E240" s="8" t="s">
        <v>730</v>
      </c>
      <c r="F240" s="67" t="s">
        <v>731</v>
      </c>
      <c r="G240" s="67" t="s">
        <v>640</v>
      </c>
      <c r="H240" s="9" t="s">
        <v>799</v>
      </c>
      <c r="I240" s="17" t="str">
        <f>IFERROR(_xlfn.XLOOKUP(Tabela2[[#This Row],[CHAPA]],TUT.CONTROL!F:F,TUT.CONTROL!I:I),_xlfn.XLOOKUP(Tabela2[[#This Row],[CHAPA]],'REG.CONTROL'!F:F,'REG.CONTROL'!I:I))</f>
        <v>Ativo</v>
      </c>
      <c r="J240" s="17">
        <f>IFERROR(_xlfn.XLOOKUP(Tabela2[[#This Row],[NOME DO TUTOR]],TUT.CONTROL!C:C,TUT.CONTROL!G:G),"Demitido")</f>
        <v>45873</v>
      </c>
      <c r="K240" s="19">
        <v>5186364959</v>
      </c>
      <c r="L240" s="22">
        <f>IFERROR(_xlfn.XLOOKUP(Tabela2[[#This Row],[NOME DO TUTOR]],TUT.CONTROL!C:C,TUT.CONTROL!F:F),"Demitido")</f>
        <v>1158000794</v>
      </c>
      <c r="M240" s="8" t="s">
        <v>800</v>
      </c>
      <c r="N240" s="11" t="str">
        <f>IFERROR(_xlfn.XLOOKUP(Tabela2[[#This Row],[CHAPA]],TUT.CONTROL!F:F,TUT.CONTROL!H:H),_xlfn.XLOOKUP(Tabela2[[#This Row],[CHAPA]],'REG.CONTROL'!F:F,'REG.CONTROL'!H:H))</f>
        <v>TUTOR DE PRATICA (UC_1749)</v>
      </c>
      <c r="O240" s="68" t="str">
        <f>IFERROR(_xlfn.XLOOKUP(Tabela2[[#This Row],[NOME DO TUTOR]],TUT.CONTROL!C:C,TUT.CONTROL!K:K),"Demitido")</f>
        <v>004:00</v>
      </c>
      <c r="P24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40" s="66" t="s">
        <v>30</v>
      </c>
      <c r="R240" s="8" t="s">
        <v>801</v>
      </c>
      <c r="S240" s="8" t="s">
        <v>802</v>
      </c>
    </row>
    <row r="241" spans="1:19" ht="13.5" hidden="1" x14ac:dyDescent="0.3">
      <c r="A24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Novo Hamburgo/RS - CentroNTRNUTRI (Multidisciplinar IV)</v>
      </c>
      <c r="B241" s="8" t="str">
        <f>Tabela2[[#This Row],[CATEGORIA]]&amp;Tabela2[[#This Row],[CURSOS]]&amp;"LAP - "&amp;Tabela2[[#This Row],[POLO]]</f>
        <v>NUTRI (Multidisciplinar IV)NTRLAP - Novo Hamburgo/RS - Centro</v>
      </c>
      <c r="C241" s="8" t="str">
        <f>Tabela2[[#This Row],[CATEGORIA]]&amp;Tabela2[[#This Row],[CURSOS]]</f>
        <v>NUTRI (Multidisciplinar IV)NTR</v>
      </c>
      <c r="D241" s="8" t="str">
        <f>IF(Tabela2[[#This Row],[SITUAÇÃO]]&lt;&gt;"Demitido",CONCATENATE(Tabela2[[#This Row],[POLO]],Tabela2[[#This Row],[CURSOS]]),"Substituição")</f>
        <v>Novo Hamburgo/RS - CentroNTR</v>
      </c>
      <c r="E241" s="8" t="s">
        <v>730</v>
      </c>
      <c r="F241" s="67" t="s">
        <v>731</v>
      </c>
      <c r="G241" s="67" t="s">
        <v>520</v>
      </c>
      <c r="H241" s="9" t="s">
        <v>803</v>
      </c>
      <c r="I241" s="17" t="str">
        <f>IFERROR(_xlfn.XLOOKUP(Tabela2[[#This Row],[CHAPA]],TUT.CONTROL!F:F,TUT.CONTROL!I:I),_xlfn.XLOOKUP(Tabela2[[#This Row],[CHAPA]],'REG.CONTROL'!F:F,'REG.CONTROL'!I:I))</f>
        <v>Ativo</v>
      </c>
      <c r="J241" s="17">
        <f>IFERROR(_xlfn.XLOOKUP(Tabela2[[#This Row],[NOME DO TUTOR]],TUT.CONTROL!C:C,TUT.CONTROL!G:G),"Demitido")</f>
        <v>45873</v>
      </c>
      <c r="K241" s="19">
        <v>51998323454</v>
      </c>
      <c r="L241" s="22">
        <f>IFERROR(_xlfn.XLOOKUP(Tabela2[[#This Row],[NOME DO TUTOR]],TUT.CONTROL!C:C,TUT.CONTROL!F:F),"Demitido")</f>
        <v>1158000790</v>
      </c>
      <c r="M241" s="8" t="s">
        <v>804</v>
      </c>
      <c r="N241" s="11" t="str">
        <f>IFERROR(_xlfn.XLOOKUP(Tabela2[[#This Row],[CHAPA]],TUT.CONTROL!F:F,TUT.CONTROL!H:H),_xlfn.XLOOKUP(Tabela2[[#This Row],[CHAPA]],'REG.CONTROL'!F:F,'REG.CONTROL'!H:H))</f>
        <v>TUTOR DE PRATICA (UC_1749)</v>
      </c>
      <c r="O241" s="68" t="str">
        <f>IFERROR(_xlfn.XLOOKUP(Tabela2[[#This Row],[NOME DO TUTOR]],TUT.CONTROL!C:C,TUT.CONTROL!K:K),"Demitido")</f>
        <v>004:00</v>
      </c>
      <c r="P24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41" s="66"/>
      <c r="R241" s="8" t="s">
        <v>801</v>
      </c>
      <c r="S241" s="8" t="s">
        <v>805</v>
      </c>
    </row>
    <row r="242" spans="1:19" ht="13.5" hidden="1" x14ac:dyDescent="0.3">
      <c r="A24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Florianópolis/SC - CentroNTRNUTRI (Multidisciplinar IV)</v>
      </c>
      <c r="B242" s="8" t="str">
        <f>Tabela2[[#This Row],[CATEGORIA]]&amp;Tabela2[[#This Row],[CURSOS]]&amp;"LAP - "&amp;Tabela2[[#This Row],[POLO]]</f>
        <v>NUTRI (Multidisciplinar IV)NTRLAP - Florianópolis/SC - Centro</v>
      </c>
      <c r="C242" s="8" t="str">
        <f>Tabela2[[#This Row],[CATEGORIA]]&amp;Tabela2[[#This Row],[CURSOS]]</f>
        <v>NUTRI (Multidisciplinar IV)NTR</v>
      </c>
      <c r="D242" s="8" t="str">
        <f>IF(Tabela2[[#This Row],[SITUAÇÃO]]&lt;&gt;"Demitido",CONCATENATE(Tabela2[[#This Row],[POLO]],Tabela2[[#This Row],[CURSOS]]),"Substituição")</f>
        <v>Florianópolis/SC - CentroNTR</v>
      </c>
      <c r="E242" s="8" t="s">
        <v>730</v>
      </c>
      <c r="F242" s="67" t="s">
        <v>731</v>
      </c>
      <c r="G242" s="67" t="s">
        <v>287</v>
      </c>
      <c r="H242" s="9" t="s">
        <v>806</v>
      </c>
      <c r="I242" s="17" t="str">
        <f>IFERROR(_xlfn.XLOOKUP(Tabela2[[#This Row],[CHAPA]],TUT.CONTROL!F:F,TUT.CONTROL!I:I),_xlfn.XLOOKUP(Tabela2[[#This Row],[CHAPA]],'REG.CONTROL'!F:F,'REG.CONTROL'!I:I))</f>
        <v>Ativo</v>
      </c>
      <c r="J242" s="17">
        <f>IFERROR(_xlfn.XLOOKUP(Tabela2[[#This Row],[NOME DO TUTOR]],TUT.CONTROL!C:C,TUT.CONTROL!G:G),"Demitido")</f>
        <v>45873</v>
      </c>
      <c r="K242" s="19">
        <v>48999108908</v>
      </c>
      <c r="L242" s="22">
        <f>IFERROR(_xlfn.XLOOKUP(Tabela2[[#This Row],[NOME DO TUTOR]],TUT.CONTROL!C:C,TUT.CONTROL!F:F),"Demitido")</f>
        <v>1158000837</v>
      </c>
      <c r="M242" s="8" t="s">
        <v>807</v>
      </c>
      <c r="N242" s="11" t="str">
        <f>IFERROR(_xlfn.XLOOKUP(Tabela2[[#This Row],[CHAPA]],TUT.CONTROL!F:F,TUT.CONTROL!H:H),_xlfn.XLOOKUP(Tabela2[[#This Row],[CHAPA]],'REG.CONTROL'!F:F,'REG.CONTROL'!H:H))</f>
        <v>TUTOR DE PRATICA (UC_1749)</v>
      </c>
      <c r="O242" s="68" t="str">
        <f>IFERROR(_xlfn.XLOOKUP(Tabela2[[#This Row],[NOME DO TUTOR]],TUT.CONTROL!C:C,TUT.CONTROL!K:K),"Demitido")</f>
        <v>004:00</v>
      </c>
      <c r="P24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42" s="66"/>
      <c r="R242" s="8" t="s">
        <v>798</v>
      </c>
      <c r="S242" s="8">
        <v>10091</v>
      </c>
    </row>
    <row r="243" spans="1:19" ht="13.5" hidden="1" customHeight="1" x14ac:dyDescent="0.3">
      <c r="A24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Itajaí/SC - São VicenteNTRNUTRI (Multidisciplinar IV)</v>
      </c>
      <c r="B243" s="8" t="str">
        <f>Tabela2[[#This Row],[CATEGORIA]]&amp;Tabela2[[#This Row],[CURSOS]]&amp;"LAP - "&amp;Tabela2[[#This Row],[POLO]]</f>
        <v>NUTRI (Multidisciplinar IV)NTRLAP - Itajaí/SC - São Vicente</v>
      </c>
      <c r="C243" s="8" t="str">
        <f>Tabela2[[#This Row],[CATEGORIA]]&amp;Tabela2[[#This Row],[CURSOS]]</f>
        <v>NUTRI (Multidisciplinar IV)NTR</v>
      </c>
      <c r="D243" s="8" t="str">
        <f>IF(Tabela2[[#This Row],[SITUAÇÃO]]&lt;&gt;"Demitido",CONCATENATE(Tabela2[[#This Row],[POLO]],Tabela2[[#This Row],[CURSOS]]),"Substituição")</f>
        <v>Itajaí/SC - São VicenteNTR</v>
      </c>
      <c r="E243" s="8" t="s">
        <v>730</v>
      </c>
      <c r="F243" s="67" t="s">
        <v>731</v>
      </c>
      <c r="G243" s="67" t="s">
        <v>366</v>
      </c>
      <c r="H243" s="9" t="s">
        <v>808</v>
      </c>
      <c r="I243" s="17" t="str">
        <f>IFERROR(_xlfn.XLOOKUP(Tabela2[[#This Row],[CHAPA]],TUT.CONTROL!F:F,TUT.CONTROL!I:I),_xlfn.XLOOKUP(Tabela2[[#This Row],[CHAPA]],'REG.CONTROL'!F:F,'REG.CONTROL'!I:I))</f>
        <v>Ativo</v>
      </c>
      <c r="J243" s="17">
        <f>IFERROR(_xlfn.XLOOKUP(Tabela2[[#This Row],[NOME DO TUTOR]],TUT.CONTROL!C:C,TUT.CONTROL!G:G),"Demitido")</f>
        <v>45873</v>
      </c>
      <c r="K243" s="19">
        <v>47997427441</v>
      </c>
      <c r="L243" s="22">
        <f>IFERROR(_xlfn.XLOOKUP(Tabela2[[#This Row],[NOME DO TUTOR]],TUT.CONTROL!C:C,TUT.CONTROL!F:F),"Demitido")</f>
        <v>1158000795</v>
      </c>
      <c r="M243" s="8" t="s">
        <v>809</v>
      </c>
      <c r="N243" s="11" t="str">
        <f>IFERROR(_xlfn.XLOOKUP(Tabela2[[#This Row],[CHAPA]],TUT.CONTROL!F:F,TUT.CONTROL!H:H),_xlfn.XLOOKUP(Tabela2[[#This Row],[CHAPA]],'REG.CONTROL'!F:F,'REG.CONTROL'!H:H))</f>
        <v>TUTOR DE PRATICA (UC_1749)</v>
      </c>
      <c r="O243" s="68" t="str">
        <f>IFERROR(_xlfn.XLOOKUP(Tabela2[[#This Row],[NOME DO TUTOR]],TUT.CONTROL!C:C,TUT.CONTROL!K:K),"Demitido")</f>
        <v>004:00</v>
      </c>
      <c r="P24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43" s="66"/>
      <c r="R243" s="8"/>
      <c r="S243" s="8"/>
    </row>
    <row r="244" spans="1:19" ht="13.5" hidden="1" customHeight="1" x14ac:dyDescent="0.3">
      <c r="A24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Salvador/BA - Caminho das ÁrvoresEMF-ISNENF-INS (Multidisciplinar II)</v>
      </c>
      <c r="B244" s="8" t="str">
        <f>Tabela2[[#This Row],[CATEGORIA]]&amp;Tabela2[[#This Row],[CURSOS]]&amp;"LAP - "&amp;Tabela2[[#This Row],[POLO]]</f>
        <v>ENF-INS (Multidisciplinar II)EMF-ISNLAP - Salvador/BA - Caminho das Árvores</v>
      </c>
      <c r="C244" s="8" t="str">
        <f>Tabela2[[#This Row],[CATEGORIA]]&amp;Tabela2[[#This Row],[CURSOS]]</f>
        <v>ENF-INS (Multidisciplinar II)EMF-ISN</v>
      </c>
      <c r="D244" s="8" t="str">
        <f>IF(Tabela2[[#This Row],[SITUAÇÃO]]&lt;&gt;"Demitido",CONCATENATE(Tabela2[[#This Row],[POLO]],Tabela2[[#This Row],[CURSOS]]),"Substituição")</f>
        <v>Salvador/BA - Caminho das ÁrvoresEMF-ISN</v>
      </c>
      <c r="E244" s="8" t="s">
        <v>21</v>
      </c>
      <c r="F244" s="67" t="s">
        <v>22</v>
      </c>
      <c r="G244" s="67" t="s">
        <v>810</v>
      </c>
      <c r="H244" s="9" t="s">
        <v>811</v>
      </c>
      <c r="I244" s="17" t="str">
        <f>IFERROR(_xlfn.XLOOKUP(Tabela2[[#This Row],[CHAPA]],TUT.CONTROL!F:F,TUT.CONTROL!I:I),_xlfn.XLOOKUP(Tabela2[[#This Row],[CHAPA]],'REG.CONTROL'!F:F,'REG.CONTROL'!I:I))</f>
        <v>Ativo</v>
      </c>
      <c r="J244" s="17">
        <f>IFERROR(_xlfn.XLOOKUP(Tabela2[[#This Row],[NOME DO TUTOR]],TUT.CONTROL!C:C,TUT.CONTROL!G:G),"Demitido")</f>
        <v>45721</v>
      </c>
      <c r="K244" s="19">
        <v>71988963564</v>
      </c>
      <c r="L244" s="22">
        <f>IFERROR(_xlfn.XLOOKUP(Tabela2[[#This Row],[NOME DO TUTOR]],TUT.CONTROL!C:C,TUT.CONTROL!F:F),"Demitido")</f>
        <v>1158000535</v>
      </c>
      <c r="M244" s="8" t="s">
        <v>812</v>
      </c>
      <c r="N244" s="11" t="str">
        <f>IFERROR(_xlfn.XLOOKUP(Tabela2[[#This Row],[CHAPA]],TUT.CONTROL!F:F,TUT.CONTROL!H:H),_xlfn.XLOOKUP(Tabela2[[#This Row],[CHAPA]],'REG.CONTROL'!F:F,'REG.CONTROL'!H:H))</f>
        <v>TUTOR DE PRATICA (UC_1749)</v>
      </c>
      <c r="O244" s="68" t="str">
        <f>IFERROR(_xlfn.XLOOKUP(Tabela2[[#This Row],[NOME DO TUTOR]],TUT.CONTROL!C:C,TUT.CONTROL!K:K),"Demitido")</f>
        <v>008:00</v>
      </c>
      <c r="P24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44" s="66" t="s">
        <v>30</v>
      </c>
      <c r="R244" s="8" t="s">
        <v>286</v>
      </c>
      <c r="S244" s="8">
        <v>347777</v>
      </c>
    </row>
    <row r="245" spans="1:19" ht="13.5" hidden="1" customHeight="1" x14ac:dyDescent="0.3">
      <c r="A24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Rondonópolis/MTNTRNUTRI (Multidisciplinar IV)</v>
      </c>
      <c r="B245" s="8" t="str">
        <f>Tabela2[[#This Row],[CATEGORIA]]&amp;Tabela2[[#This Row],[CURSOS]]&amp;"LAP - "&amp;Tabela2[[#This Row],[POLO]]</f>
        <v>NUTRI (Multidisciplinar IV)NTRLAP - Rondonópolis/MT</v>
      </c>
      <c r="C245" s="8" t="str">
        <f>Tabela2[[#This Row],[CATEGORIA]]&amp;Tabela2[[#This Row],[CURSOS]]</f>
        <v>NUTRI (Multidisciplinar IV)NTR</v>
      </c>
      <c r="D245" s="8" t="str">
        <f>IF(Tabela2[[#This Row],[SITUAÇÃO]]&lt;&gt;"Demitido",CONCATENATE(Tabela2[[#This Row],[POLO]],Tabela2[[#This Row],[CURSOS]]),"Substituição")</f>
        <v>Rondonópolis/MTNTR</v>
      </c>
      <c r="E245" s="8" t="s">
        <v>730</v>
      </c>
      <c r="F245" s="67" t="s">
        <v>731</v>
      </c>
      <c r="G245" s="67" t="s">
        <v>727</v>
      </c>
      <c r="H245" s="9" t="s">
        <v>813</v>
      </c>
      <c r="I245" s="17" t="str">
        <f>IFERROR(_xlfn.XLOOKUP(Tabela2[[#This Row],[CHAPA]],TUT.CONTROL!F:F,TUT.CONTROL!I:I),_xlfn.XLOOKUP(Tabela2[[#This Row],[CHAPA]],'REG.CONTROL'!F:F,'REG.CONTROL'!I:I))</f>
        <v>Ativo</v>
      </c>
      <c r="J245" s="17">
        <f>IFERROR(_xlfn.XLOOKUP(Tabela2[[#This Row],[NOME DO TUTOR]],TUT.CONTROL!C:C,TUT.CONTROL!G:G),"Demitido")</f>
        <v>45873</v>
      </c>
      <c r="K245" s="19">
        <v>66996508800</v>
      </c>
      <c r="L245" s="22">
        <f>IFERROR(_xlfn.XLOOKUP(Tabela2[[#This Row],[NOME DO TUTOR]],TUT.CONTROL!C:C,TUT.CONTROL!F:F),"Demitido")</f>
        <v>1158000815</v>
      </c>
      <c r="M245" s="8" t="s">
        <v>814</v>
      </c>
      <c r="N245" s="11" t="str">
        <f>IFERROR(_xlfn.XLOOKUP(Tabela2[[#This Row],[CHAPA]],TUT.CONTROL!F:F,TUT.CONTROL!H:H),_xlfn.XLOOKUP(Tabela2[[#This Row],[CHAPA]],'REG.CONTROL'!F:F,'REG.CONTROL'!H:H))</f>
        <v>TUTOR DE PRATICA (UC_1749)</v>
      </c>
      <c r="O245" s="68" t="str">
        <f>IFERROR(_xlfn.XLOOKUP(Tabela2[[#This Row],[NOME DO TUTOR]],TUT.CONTROL!C:C,TUT.CONTROL!K:K),"Demitido")</f>
        <v>004:00</v>
      </c>
      <c r="P24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45" s="66"/>
      <c r="R245" s="8"/>
      <c r="S245" s="8"/>
    </row>
    <row r="246" spans="1:19" ht="13.5" hidden="1" x14ac:dyDescent="0.3">
      <c r="A24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Alagoinhas/BABFIBIO-FISIO-EST-TO (Multidisciplinar III)</v>
      </c>
      <c r="B246" s="8" t="str">
        <f>Tabela2[[#This Row],[CATEGORIA]]&amp;Tabela2[[#This Row],[CURSOS]]&amp;"LAP - "&amp;Tabela2[[#This Row],[POLO]]</f>
        <v>BIO-FISIO-EST-TO (Multidisciplinar III)BFILAP - Alagoinhas/BA</v>
      </c>
      <c r="C246" s="8" t="str">
        <f>Tabela2[[#This Row],[CATEGORIA]]&amp;Tabela2[[#This Row],[CURSOS]]</f>
        <v>BIO-FISIO-EST-TO (Multidisciplinar III)BFI</v>
      </c>
      <c r="D246" s="8" t="str">
        <f>IF(Tabela2[[#This Row],[SITUAÇÃO]]&lt;&gt;"Demitido",CONCATENATE(Tabela2[[#This Row],[POLO]],Tabela2[[#This Row],[CURSOS]]),"Substituição")</f>
        <v>Alagoinhas/BABFI</v>
      </c>
      <c r="E246" s="8" t="s">
        <v>757</v>
      </c>
      <c r="F246" s="67" t="s">
        <v>758</v>
      </c>
      <c r="G246" s="67" t="s">
        <v>815</v>
      </c>
      <c r="H246" s="9" t="s">
        <v>816</v>
      </c>
      <c r="I246" s="17" t="str">
        <f>IFERROR(_xlfn.XLOOKUP(Tabela2[[#This Row],[CHAPA]],TUT.CONTROL!F:F,TUT.CONTROL!I:I),_xlfn.XLOOKUP(Tabela2[[#This Row],[CHAPA]],'REG.CONTROL'!F:F,'REG.CONTROL'!I:I))</f>
        <v>Ativo</v>
      </c>
      <c r="J246" s="17">
        <f>IFERROR(_xlfn.XLOOKUP(Tabela2[[#This Row],[NOME DO TUTOR]],TUT.CONTROL!C:C,TUT.CONTROL!G:G),"Demitido")</f>
        <v>45873</v>
      </c>
      <c r="K246" s="19">
        <v>71992352909</v>
      </c>
      <c r="L246" s="22">
        <f>IFERROR(_xlfn.XLOOKUP(Tabela2[[#This Row],[NOME DO TUTOR]],TUT.CONTROL!C:C,TUT.CONTROL!F:F),"Demitido")</f>
        <v>1158000826</v>
      </c>
      <c r="M246" s="8" t="s">
        <v>817</v>
      </c>
      <c r="N246" s="11" t="str">
        <f>IFERROR(_xlfn.XLOOKUP(Tabela2[[#This Row],[CHAPA]],TUT.CONTROL!F:F,TUT.CONTROL!H:H),_xlfn.XLOOKUP(Tabela2[[#This Row],[CHAPA]],'REG.CONTROL'!F:F,'REG.CONTROL'!H:H))</f>
        <v>TUTOR DE PRATICA (UC_1749)</v>
      </c>
      <c r="O246" s="68" t="str">
        <f>IFERROR(_xlfn.XLOOKUP(Tabela2[[#This Row],[NOME DO TUTOR]],TUT.CONTROL!C:C,TUT.CONTROL!K:K),"Demitido")</f>
        <v>004:00</v>
      </c>
      <c r="P24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46" s="66"/>
      <c r="R246" s="8"/>
      <c r="S246" s="8"/>
    </row>
    <row r="247" spans="1:19" ht="13.5" hidden="1" x14ac:dyDescent="0.3">
      <c r="A24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Manaus/AM - Cidade NovaBFIBIO-FISIO-EST-TO (Multidisciplinar III)</v>
      </c>
      <c r="B247" s="8" t="str">
        <f>Tabela2[[#This Row],[CATEGORIA]]&amp;Tabela2[[#This Row],[CURSOS]]&amp;"LAP - "&amp;Tabela2[[#This Row],[POLO]]</f>
        <v>BIO-FISIO-EST-TO (Multidisciplinar III)BFILAP - Manaus/AM - Cidade Nova</v>
      </c>
      <c r="C247" s="8" t="str">
        <f>Tabela2[[#This Row],[CATEGORIA]]&amp;Tabela2[[#This Row],[CURSOS]]</f>
        <v>BIO-FISIO-EST-TO (Multidisciplinar III)BFI</v>
      </c>
      <c r="D247" s="8" t="str">
        <f>IF(Tabela2[[#This Row],[SITUAÇÃO]]&lt;&gt;"Demitido",CONCATENATE(Tabela2[[#This Row],[POLO]],Tabela2[[#This Row],[CURSOS]]),"Substituição")</f>
        <v>Manaus/AM - Cidade NovaBFI</v>
      </c>
      <c r="E247" s="8" t="s">
        <v>757</v>
      </c>
      <c r="F247" s="67" t="s">
        <v>758</v>
      </c>
      <c r="G247" s="67" t="s">
        <v>459</v>
      </c>
      <c r="H247" s="9" t="s">
        <v>818</v>
      </c>
      <c r="I247" s="17" t="str">
        <f>IFERROR(_xlfn.XLOOKUP(Tabela2[[#This Row],[CHAPA]],TUT.CONTROL!F:F,TUT.CONTROL!I:I),_xlfn.XLOOKUP(Tabela2[[#This Row],[CHAPA]],'REG.CONTROL'!F:F,'REG.CONTROL'!I:I))</f>
        <v>Ativo</v>
      </c>
      <c r="J247" s="17">
        <f>IFERROR(_xlfn.XLOOKUP(Tabela2[[#This Row],[NOME DO TUTOR]],TUT.CONTROL!C:C,TUT.CONTROL!G:G),"Demitido")</f>
        <v>45873</v>
      </c>
      <c r="K247" s="19">
        <v>92984526048</v>
      </c>
      <c r="L247" s="22">
        <f>IFERROR(_xlfn.XLOOKUP(Tabela2[[#This Row],[NOME DO TUTOR]],TUT.CONTROL!C:C,TUT.CONTROL!F:F),"Demitido")</f>
        <v>1158000821</v>
      </c>
      <c r="M247" s="8" t="s">
        <v>819</v>
      </c>
      <c r="N247" s="11" t="str">
        <f>IFERROR(_xlfn.XLOOKUP(Tabela2[[#This Row],[CHAPA]],TUT.CONTROL!F:F,TUT.CONTROL!H:H),_xlfn.XLOOKUP(Tabela2[[#This Row],[CHAPA]],'REG.CONTROL'!F:F,'REG.CONTROL'!H:H))</f>
        <v>TUTOR DE PRATICA (UC_1749)</v>
      </c>
      <c r="O247" s="68" t="str">
        <f>IFERROR(_xlfn.XLOOKUP(Tabela2[[#This Row],[NOME DO TUTOR]],TUT.CONTROL!C:C,TUT.CONTROL!K:K),"Demitido")</f>
        <v>004:00</v>
      </c>
      <c r="P24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47" s="66"/>
      <c r="R247" s="8"/>
      <c r="S247" s="8"/>
    </row>
    <row r="248" spans="1:19" ht="13.5" hidden="1" x14ac:dyDescent="0.3">
      <c r="A24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Porto Alegre/RS - Centro HistóricoECE-ENM-ENS-ENG-EEA-GPI-CDE-OBR-SAN-TER-FSA-SLF-QUIENGMAKER+QUÍMICA E FÍSICA</v>
      </c>
      <c r="B248" s="8" t="str">
        <f>Tabela2[[#This Row],[CATEGORIA]]&amp;Tabela2[[#This Row],[CURSOS]]&amp;"LAP - "&amp;Tabela2[[#This Row],[POLO]]</f>
        <v>ENGMAKER+QUÍMICA E FÍSICAECE-ENM-ENS-ENG-EEA-GPI-CDE-OBR-SAN-TER-FSA-SLF-QUILAP - Porto Alegre/RS - Centro Histórico</v>
      </c>
      <c r="C248" s="8" t="str">
        <f>Tabela2[[#This Row],[CATEGORIA]]&amp;Tabela2[[#This Row],[CURSOS]]</f>
        <v>ENGMAKER+QUÍMICA E FÍSICAECE-ENM-ENS-ENG-EEA-GPI-CDE-OBR-SAN-TER-FSA-SLF-QUI</v>
      </c>
      <c r="D248" s="8" t="str">
        <f>IF(Tabela2[[#This Row],[SITUAÇÃO]]&lt;&gt;"Demitido",CONCATENATE(Tabela2[[#This Row],[POLO]],Tabela2[[#This Row],[CURSOS]]),"Substituição")</f>
        <v>Porto Alegre/RS - Centro HistóricoECE-ENM-ENS-ENG-EEA-GPI-CDE-OBR-SAN-TER-FSA-SLF-QUI</v>
      </c>
      <c r="E248" s="8" t="s">
        <v>125</v>
      </c>
      <c r="F248" s="67" t="s">
        <v>126</v>
      </c>
      <c r="G248" s="67" t="s">
        <v>632</v>
      </c>
      <c r="H248" s="9" t="s">
        <v>820</v>
      </c>
      <c r="I248" s="17" t="str">
        <f>IFERROR(_xlfn.XLOOKUP(Tabela2[[#This Row],[CHAPA]],TUT.CONTROL!F:F,TUT.CONTROL!I:I),_xlfn.XLOOKUP(Tabela2[[#This Row],[CHAPA]],'REG.CONTROL'!F:F,'REG.CONTROL'!I:I))</f>
        <v>Ativo</v>
      </c>
      <c r="J248" s="17">
        <f>IFERROR(_xlfn.XLOOKUP(Tabela2[[#This Row],[NOME DO TUTOR]],TUT.CONTROL!C:C,TUT.CONTROL!G:G),"Demitido")</f>
        <v>45873</v>
      </c>
      <c r="K248" s="19">
        <v>51996967825</v>
      </c>
      <c r="L248" s="22">
        <f>IFERROR(_xlfn.XLOOKUP(Tabela2[[#This Row],[NOME DO TUTOR]],TUT.CONTROL!C:C,TUT.CONTROL!F:F),"Demitido")</f>
        <v>1158000787</v>
      </c>
      <c r="M248" s="8" t="s">
        <v>821</v>
      </c>
      <c r="N248" s="11" t="str">
        <f>IFERROR(_xlfn.XLOOKUP(Tabela2[[#This Row],[CHAPA]],TUT.CONTROL!F:F,TUT.CONTROL!H:H),_xlfn.XLOOKUP(Tabela2[[#This Row],[CHAPA]],'REG.CONTROL'!F:F,'REG.CONTROL'!H:H))</f>
        <v>TUTOR DE PRATICA (UC_1749)</v>
      </c>
      <c r="O248" s="68" t="str">
        <f>IFERROR(_xlfn.XLOOKUP(Tabela2[[#This Row],[NOME DO TUTOR]],TUT.CONTROL!C:C,TUT.CONTROL!K:K),"Demitido")</f>
        <v>008:00</v>
      </c>
      <c r="P24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48" s="66" t="s">
        <v>30</v>
      </c>
      <c r="R248" s="8" t="s">
        <v>397</v>
      </c>
      <c r="S248" s="8">
        <v>176624</v>
      </c>
    </row>
    <row r="249" spans="1:19" ht="13.5" hidden="1" x14ac:dyDescent="0.3">
      <c r="A24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São Caetano do Sul/SPBFRBIO-FAR (Multidisciplinar I)</v>
      </c>
      <c r="B249" s="8" t="str">
        <f>Tabela2[[#This Row],[CATEGORIA]]&amp;Tabela2[[#This Row],[CURSOS]]&amp;"LAP - "&amp;Tabela2[[#This Row],[POLO]]</f>
        <v>BIO-FAR (Multidisciplinar I)BFRLAP - São Caetano do Sul/SP</v>
      </c>
      <c r="C249" s="8" t="str">
        <f>Tabela2[[#This Row],[CATEGORIA]]&amp;Tabela2[[#This Row],[CURSOS]]</f>
        <v>BIO-FAR (Multidisciplinar I)BFR</v>
      </c>
      <c r="D249" s="8" t="str">
        <f>IF(Tabela2[[#This Row],[SITUAÇÃO]]&lt;&gt;"Demitido",CONCATENATE(Tabela2[[#This Row],[POLO]],Tabela2[[#This Row],[CURSOS]]),"Substituição")</f>
        <v>São Caetano do Sul/SPBFR</v>
      </c>
      <c r="E249" s="8" t="s">
        <v>771</v>
      </c>
      <c r="F249" s="67" t="s">
        <v>772</v>
      </c>
      <c r="G249" s="67" t="s">
        <v>822</v>
      </c>
      <c r="H249" s="9" t="s">
        <v>823</v>
      </c>
      <c r="I249" s="17" t="str">
        <f>IFERROR(_xlfn.XLOOKUP(Tabela2[[#This Row],[CHAPA]],TUT.CONTROL!F:F,TUT.CONTROL!I:I),_xlfn.XLOOKUP(Tabela2[[#This Row],[CHAPA]],'REG.CONTROL'!F:F,'REG.CONTROL'!I:I))</f>
        <v>Ativo</v>
      </c>
      <c r="J249" s="17">
        <f>IFERROR(_xlfn.XLOOKUP(Tabela2[[#This Row],[NOME DO TUTOR]],TUT.CONTROL!C:C,TUT.CONTROL!G:G),"Demitido")</f>
        <v>45873</v>
      </c>
      <c r="K249" s="19">
        <v>11918797770</v>
      </c>
      <c r="L249" s="22">
        <f>IFERROR(_xlfn.XLOOKUP(Tabela2[[#This Row],[NOME DO TUTOR]],TUT.CONTROL!C:C,TUT.CONTROL!F:F),"Demitido")</f>
        <v>1158000834</v>
      </c>
      <c r="M249" s="8" t="s">
        <v>824</v>
      </c>
      <c r="N249" s="11" t="str">
        <f>IFERROR(_xlfn.XLOOKUP(Tabela2[[#This Row],[CHAPA]],TUT.CONTROL!F:F,TUT.CONTROL!H:H),_xlfn.XLOOKUP(Tabela2[[#This Row],[CHAPA]],'REG.CONTROL'!F:F,'REG.CONTROL'!H:H))</f>
        <v>TUTOR DE PRATICA (UC_1749)</v>
      </c>
      <c r="O249" s="68" t="str">
        <f>IFERROR(_xlfn.XLOOKUP(Tabela2[[#This Row],[NOME DO TUTOR]],TUT.CONTROL!C:C,TUT.CONTROL!K:K),"Demitido")</f>
        <v>004:00</v>
      </c>
      <c r="P24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49" s="66"/>
      <c r="R249" s="8" t="s">
        <v>825</v>
      </c>
      <c r="S249" s="8">
        <v>90870</v>
      </c>
    </row>
    <row r="250" spans="1:19" ht="13.5" hidden="1" x14ac:dyDescent="0.3">
      <c r="A25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Formosa/GOAGMQUÍMICA E FÍSICA</v>
      </c>
      <c r="B250" s="8" t="str">
        <f>Tabela2[[#This Row],[CATEGORIA]]&amp;Tabela2[[#This Row],[CURSOS]]&amp;"LAP - "&amp;Tabela2[[#This Row],[POLO]]</f>
        <v>QUÍMICA E FÍSICAAGMLAP - Formosa/GO</v>
      </c>
      <c r="C250" s="8" t="str">
        <f>Tabela2[[#This Row],[CATEGORIA]]&amp;Tabela2[[#This Row],[CURSOS]]</f>
        <v>QUÍMICA E FÍSICAAGM</v>
      </c>
      <c r="D250" s="8" t="str">
        <f>IF(Tabela2[[#This Row],[SITUAÇÃO]]&lt;&gt;"Demitido",CONCATENATE(Tabela2[[#This Row],[POLO]],Tabela2[[#This Row],[CURSOS]]),"Substituição")</f>
        <v>Formosa/GOAGM</v>
      </c>
      <c r="E250" s="8" t="s">
        <v>734</v>
      </c>
      <c r="F250" s="67" t="s">
        <v>735</v>
      </c>
      <c r="G250" s="67" t="s">
        <v>290</v>
      </c>
      <c r="H250" s="9" t="s">
        <v>826</v>
      </c>
      <c r="I250" s="17" t="str">
        <f>IFERROR(_xlfn.XLOOKUP(Tabela2[[#This Row],[CHAPA]],TUT.CONTROL!F:F,TUT.CONTROL!I:I),_xlfn.XLOOKUP(Tabela2[[#This Row],[CHAPA]],'REG.CONTROL'!F:F,'REG.CONTROL'!I:I))</f>
        <v>Ativo</v>
      </c>
      <c r="J250" s="17">
        <f>IFERROR(_xlfn.XLOOKUP(Tabela2[[#This Row],[NOME DO TUTOR]],TUT.CONTROL!C:C,TUT.CONTROL!G:G),"Demitido")</f>
        <v>45873</v>
      </c>
      <c r="K250" s="19">
        <v>61999266431</v>
      </c>
      <c r="L250" s="22">
        <f>IFERROR(_xlfn.XLOOKUP(Tabela2[[#This Row],[NOME DO TUTOR]],TUT.CONTROL!C:C,TUT.CONTROL!F:F),"Demitido")</f>
        <v>1158000830</v>
      </c>
      <c r="M250" s="8" t="s">
        <v>827</v>
      </c>
      <c r="N250" s="11" t="str">
        <f>IFERROR(_xlfn.XLOOKUP(Tabela2[[#This Row],[CHAPA]],TUT.CONTROL!F:F,TUT.CONTROL!H:H),_xlfn.XLOOKUP(Tabela2[[#This Row],[CHAPA]],'REG.CONTROL'!F:F,'REG.CONTROL'!H:H))</f>
        <v>TUTOR DE PRATICA (UC_1749)</v>
      </c>
      <c r="O250" s="68" t="str">
        <f>IFERROR(_xlfn.XLOOKUP(Tabela2[[#This Row],[NOME DO TUTOR]],TUT.CONTROL!C:C,TUT.CONTROL!K:K),"Demitido")</f>
        <v>004:00</v>
      </c>
      <c r="P25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50" s="66" t="s">
        <v>30</v>
      </c>
      <c r="R250" s="8" t="s">
        <v>828</v>
      </c>
      <c r="S250" s="8">
        <v>27144</v>
      </c>
    </row>
    <row r="251" spans="1:19" ht="13.5" hidden="1" x14ac:dyDescent="0.3">
      <c r="A25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51" s="8" t="str">
        <f>Tabela2[[#This Row],[CATEGORIA]]&amp;Tabela2[[#This Row],[CURSOS]]&amp;"LAP - "&amp;Tabela2[[#This Row],[POLO]]</f>
        <v>BIO-FISIO-EST-TO (Multidisciplinar III)BFILAP - Florianópolis/SC - Centro</v>
      </c>
      <c r="C251" s="8" t="str">
        <f>Tabela2[[#This Row],[CATEGORIA]]&amp;Tabela2[[#This Row],[CURSOS]]</f>
        <v>BIO-FISIO-EST-TO (Multidisciplinar III)BFI</v>
      </c>
      <c r="D251" s="8" t="str">
        <f>IF(Tabela2[[#This Row],[SITUAÇÃO]]&lt;&gt;"Demitido",CONCATENATE(Tabela2[[#This Row],[POLO]],Tabela2[[#This Row],[CURSOS]]),"Substituição")</f>
        <v>Substituição</v>
      </c>
      <c r="E251" s="8" t="s">
        <v>757</v>
      </c>
      <c r="F251" s="67" t="s">
        <v>758</v>
      </c>
      <c r="G251" s="67" t="s">
        <v>287</v>
      </c>
      <c r="H251" s="9" t="s">
        <v>829</v>
      </c>
      <c r="I251" s="17" t="str">
        <f>IFERROR(_xlfn.XLOOKUP(Tabela2[[#This Row],[CHAPA]],TUT.CONTROL!F:F,TUT.CONTROL!I:I),_xlfn.XLOOKUP(Tabela2[[#This Row],[CHAPA]],'REG.CONTROL'!F:F,'REG.CONTROL'!I:I))</f>
        <v>Demitido</v>
      </c>
      <c r="J251" s="17">
        <f>IFERROR(_xlfn.XLOOKUP(Tabela2[[#This Row],[NOME DO TUTOR]],TUT.CONTROL!C:C,TUT.CONTROL!G:G),"Demitido")</f>
        <v>45873</v>
      </c>
      <c r="K251" s="19">
        <v>48984801112</v>
      </c>
      <c r="L251" s="22">
        <f>IFERROR(_xlfn.XLOOKUP(Tabela2[[#This Row],[NOME DO TUTOR]],TUT.CONTROL!C:C,TUT.CONTROL!F:F),"Demitido")</f>
        <v>1158000836</v>
      </c>
      <c r="M251" s="8" t="s">
        <v>830</v>
      </c>
      <c r="N251" s="11" t="str">
        <f>IFERROR(_xlfn.XLOOKUP(Tabela2[[#This Row],[CHAPA]],TUT.CONTROL!F:F,TUT.CONTROL!H:H),_xlfn.XLOOKUP(Tabela2[[#This Row],[CHAPA]],'REG.CONTROL'!F:F,'REG.CONTROL'!H:H))</f>
        <v>TUTOR DE PRATICA (UC_1749)</v>
      </c>
      <c r="O251" s="68" t="str">
        <f>IFERROR(_xlfn.XLOOKUP(Tabela2[[#This Row],[NOME DO TUTOR]],TUT.CONTROL!C:C,TUT.CONTROL!K:K),"Demitido")</f>
        <v>004:00</v>
      </c>
      <c r="P251" s="17">
        <f>IF(Tabela2[[#This Row],[SITUAÇÃO]]="Demitido",IFERROR(_xlfn.XLOOKUP(Tabela2[[#This Row],[CHAPA]],TUT.CONTROL!F:F,TUT.CONTROL!V:V),_xlfn.XLOOKUP(Tabela2[[#This Row],[CHAPA]],'REG.CONTROL'!F:F,'REG.CONTROL'!V:V)),"-")</f>
        <v>45992</v>
      </c>
      <c r="Q251" s="66" t="s">
        <v>43</v>
      </c>
      <c r="R251" s="8"/>
      <c r="S251" s="8"/>
    </row>
    <row r="252" spans="1:19" ht="13.5" hidden="1" x14ac:dyDescent="0.3">
      <c r="A25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52" s="8" t="str">
        <f>Tabela2[[#This Row],[CATEGORIA]]&amp;Tabela2[[#This Row],[CURSOS]]&amp;"LAP - "&amp;Tabela2[[#This Row],[POLO]]</f>
        <v>ENGMAKER+QUÍMICA E FÍSICAECE-ENM-ENS-ENG-EEA-GPI-CDE-OBR-SAN-TER-FSA-SLF-QUILAP - Porto Alegre/RS - Centro Histórico</v>
      </c>
      <c r="C252" s="8" t="str">
        <f>Tabela2[[#This Row],[CATEGORIA]]&amp;Tabela2[[#This Row],[CURSOS]]</f>
        <v>ENGMAKER+QUÍMICA E FÍSICAECE-ENM-ENS-ENG-EEA-GPI-CDE-OBR-SAN-TER-FSA-SLF-QUI</v>
      </c>
      <c r="D252" s="8" t="str">
        <f>IF(Tabela2[[#This Row],[SITUAÇÃO]]&lt;&gt;"Demitido",CONCATENATE(Tabela2[[#This Row],[POLO]],Tabela2[[#This Row],[CURSOS]]),"Substituição")</f>
        <v>Substituição</v>
      </c>
      <c r="E252" s="8" t="s">
        <v>125</v>
      </c>
      <c r="F252" s="67" t="s">
        <v>126</v>
      </c>
      <c r="G252" s="67" t="s">
        <v>632</v>
      </c>
      <c r="H252" s="9" t="s">
        <v>831</v>
      </c>
      <c r="I252" s="17" t="str">
        <f>IFERROR(_xlfn.XLOOKUP(Tabela2[[#This Row],[CHAPA]],TUT.CONTROL!F:F,TUT.CONTROL!I:I),_xlfn.XLOOKUP(Tabela2[[#This Row],[CHAPA]],'REG.CONTROL'!F:F,'REG.CONTROL'!I:I))</f>
        <v>Demitido</v>
      </c>
      <c r="J252" s="17">
        <f>IFERROR(_xlfn.XLOOKUP(Tabela2[[#This Row],[NOME DO TUTOR]],TUT.CONTROL!C:C,TUT.CONTROL!G:G),"Demitido")</f>
        <v>45873</v>
      </c>
      <c r="K252" s="19">
        <v>51980209658</v>
      </c>
      <c r="L252" s="22">
        <f>IFERROR(_xlfn.XLOOKUP(Tabela2[[#This Row],[NOME DO TUTOR]],TUT.CONTROL!C:C,TUT.CONTROL!F:F),"Demitido")</f>
        <v>1158000799</v>
      </c>
      <c r="M252" s="8" t="s">
        <v>832</v>
      </c>
      <c r="N252" s="11" t="str">
        <f>IFERROR(_xlfn.XLOOKUP(Tabela2[[#This Row],[CHAPA]],TUT.CONTROL!F:F,TUT.CONTROL!H:H),_xlfn.XLOOKUP(Tabela2[[#This Row],[CHAPA]],'REG.CONTROL'!F:F,'REG.CONTROL'!H:H))</f>
        <v>TUTOR DE PRATICA (UC_1749)</v>
      </c>
      <c r="O252" s="68" t="str">
        <f>IFERROR(_xlfn.XLOOKUP(Tabela2[[#This Row],[NOME DO TUTOR]],TUT.CONTROL!C:C,TUT.CONTROL!K:K),"Demitido")</f>
        <v>004:00</v>
      </c>
      <c r="P252" s="17">
        <f>IF(Tabela2[[#This Row],[SITUAÇÃO]]="Demitido",IFERROR(_xlfn.XLOOKUP(Tabela2[[#This Row],[CHAPA]],TUT.CONTROL!F:F,TUT.CONTROL!V:V),_xlfn.XLOOKUP(Tabela2[[#This Row],[CHAPA]],'REG.CONTROL'!F:F,'REG.CONTROL'!V:V)),"-")</f>
        <v>46029</v>
      </c>
      <c r="Q252" s="66" t="s">
        <v>43</v>
      </c>
      <c r="R252" s="66" t="s">
        <v>43</v>
      </c>
      <c r="S252" s="8"/>
    </row>
    <row r="253" spans="1:19" ht="13.5" hidden="1" x14ac:dyDescent="0.3">
      <c r="A25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53" s="8" t="str">
        <f>Tabela2[[#This Row],[CATEGORIA]]&amp;Tabela2[[#This Row],[CURSOS]]&amp;"LAP - "&amp;Tabela2[[#This Row],[POLO]]</f>
        <v>BIO-FAR (Multidisciplinar I)BFRLAP - Rio de Janeiro/RJ - Campo Grande</v>
      </c>
      <c r="C253" s="8" t="str">
        <f>Tabela2[[#This Row],[CATEGORIA]]&amp;Tabela2[[#This Row],[CURSOS]]</f>
        <v>BIO-FAR (Multidisciplinar I)BFR</v>
      </c>
      <c r="D253" s="8" t="str">
        <f>IF(Tabela2[[#This Row],[SITUAÇÃO]]&lt;&gt;"Demitido",CONCATENATE(Tabela2[[#This Row],[POLO]],Tabela2[[#This Row],[CURSOS]]),"Substituição")</f>
        <v>Substituição</v>
      </c>
      <c r="E253" s="8" t="s">
        <v>771</v>
      </c>
      <c r="F253" s="67" t="s">
        <v>772</v>
      </c>
      <c r="G253" s="67" t="s">
        <v>833</v>
      </c>
      <c r="H253" s="9" t="s">
        <v>834</v>
      </c>
      <c r="I253" s="17" t="str">
        <f>IFERROR(_xlfn.XLOOKUP(Tabela2[[#This Row],[CHAPA]],TUT.CONTROL!F:F,TUT.CONTROL!I:I),_xlfn.XLOOKUP(Tabela2[[#This Row],[CHAPA]],'REG.CONTROL'!F:F,'REG.CONTROL'!I:I))</f>
        <v>Demitido</v>
      </c>
      <c r="J253" s="17">
        <f>IFERROR(_xlfn.XLOOKUP(Tabela2[[#This Row],[NOME DO TUTOR]],TUT.CONTROL!C:C,TUT.CONTROL!G:G),"Demitido")</f>
        <v>45873</v>
      </c>
      <c r="K253" s="19">
        <v>21976815532</v>
      </c>
      <c r="L253" s="22">
        <f>IFERROR(_xlfn.XLOOKUP(Tabela2[[#This Row],[NOME DO TUTOR]],TUT.CONTROL!C:C,TUT.CONTROL!F:F),"Demitido")</f>
        <v>1158000797</v>
      </c>
      <c r="M253" s="8" t="s">
        <v>835</v>
      </c>
      <c r="N253" s="11" t="str">
        <f>IFERROR(_xlfn.XLOOKUP(Tabela2[[#This Row],[CHAPA]],TUT.CONTROL!F:F,TUT.CONTROL!H:H),_xlfn.XLOOKUP(Tabela2[[#This Row],[CHAPA]],'REG.CONTROL'!F:F,'REG.CONTROL'!H:H))</f>
        <v>TUTOR DE PRATICA (UC_1749)</v>
      </c>
      <c r="O253" s="68" t="str">
        <f>IFERROR(_xlfn.XLOOKUP(Tabela2[[#This Row],[NOME DO TUTOR]],TUT.CONTROL!C:C,TUT.CONTROL!K:K),"Demitido")</f>
        <v>004:00</v>
      </c>
      <c r="P253" s="17">
        <f>IF(Tabela2[[#This Row],[SITUAÇÃO]]="Demitido",IFERROR(_xlfn.XLOOKUP(Tabela2[[#This Row],[CHAPA]],TUT.CONTROL!F:F,TUT.CONTROL!V:V),_xlfn.XLOOKUP(Tabela2[[#This Row],[CHAPA]],'REG.CONTROL'!F:F,'REG.CONTROL'!V:V)),"-")</f>
        <v>46042</v>
      </c>
      <c r="Q253" s="66" t="s">
        <v>43</v>
      </c>
      <c r="R253" s="8" t="s">
        <v>836</v>
      </c>
      <c r="S253" s="8">
        <v>23978</v>
      </c>
    </row>
    <row r="254" spans="1:19" ht="13.5" hidden="1" x14ac:dyDescent="0.3">
      <c r="A25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54" s="8" t="str">
        <f>Tabela2[[#This Row],[CATEGORIA]]&amp;Tabela2[[#This Row],[CURSOS]]&amp;"LAP - "&amp;Tabela2[[#This Row],[POLO]]</f>
        <v>BIO-FISIO-EST-TO (Multidisciplinar III)BFILAP - Salvador/BA - Caminho das Árvores</v>
      </c>
      <c r="C254" s="8" t="str">
        <f>Tabela2[[#This Row],[CATEGORIA]]&amp;Tabela2[[#This Row],[CURSOS]]</f>
        <v>BIO-FISIO-EST-TO (Multidisciplinar III)BFI</v>
      </c>
      <c r="D254" s="8" t="str">
        <f>IF(Tabela2[[#This Row],[SITUAÇÃO]]&lt;&gt;"Demitido",CONCATENATE(Tabela2[[#This Row],[POLO]],Tabela2[[#This Row],[CURSOS]]),"Substituição")</f>
        <v>Substituição</v>
      </c>
      <c r="E254" s="8" t="s">
        <v>757</v>
      </c>
      <c r="F254" s="67" t="s">
        <v>758</v>
      </c>
      <c r="G254" s="67" t="s">
        <v>810</v>
      </c>
      <c r="H254" s="9" t="s">
        <v>837</v>
      </c>
      <c r="I254" s="17" t="str">
        <f>IFERROR(_xlfn.XLOOKUP(Tabela2[[#This Row],[CHAPA]],TUT.CONTROL!F:F,TUT.CONTROL!I:I),_xlfn.XLOOKUP(Tabela2[[#This Row],[CHAPA]],'REG.CONTROL'!F:F,'REG.CONTROL'!I:I))</f>
        <v>Demitido</v>
      </c>
      <c r="J254" s="17">
        <f>IFERROR(_xlfn.XLOOKUP(Tabela2[[#This Row],[NOME DO TUTOR]],TUT.CONTROL!C:C,TUT.CONTROL!G:G),"Demitido")</f>
        <v>45873</v>
      </c>
      <c r="K254" s="19">
        <v>75992635965</v>
      </c>
      <c r="L254" s="22">
        <f>IFERROR(_xlfn.XLOOKUP(Tabela2[[#This Row],[NOME DO TUTOR]],TUT.CONTROL!C:C,TUT.CONTROL!F:F),"Demitido")</f>
        <v>1158000806</v>
      </c>
      <c r="M254" s="8" t="s">
        <v>838</v>
      </c>
      <c r="N254" s="11" t="str">
        <f>IFERROR(_xlfn.XLOOKUP(Tabela2[[#This Row],[CHAPA]],TUT.CONTROL!F:F,TUT.CONTROL!H:H),_xlfn.XLOOKUP(Tabela2[[#This Row],[CHAPA]],'REG.CONTROL'!F:F,'REG.CONTROL'!H:H))</f>
        <v>TUTOR DE PRATICA (UC_1749)</v>
      </c>
      <c r="O254" s="68" t="str">
        <f>IFERROR(_xlfn.XLOOKUP(Tabela2[[#This Row],[NOME DO TUTOR]],TUT.CONTROL!C:C,TUT.CONTROL!K:K),"Demitido")</f>
        <v>004:00</v>
      </c>
      <c r="P254" s="17">
        <f>IF(Tabela2[[#This Row],[SITUAÇÃO]]="Demitido",IFERROR(_xlfn.XLOOKUP(Tabela2[[#This Row],[CHAPA]],TUT.CONTROL!F:F,TUT.CONTROL!V:V),_xlfn.XLOOKUP(Tabela2[[#This Row],[CHAPA]],'REG.CONTROL'!F:F,'REG.CONTROL'!V:V)),"-")</f>
        <v>46055</v>
      </c>
      <c r="Q254" s="66" t="s">
        <v>43</v>
      </c>
      <c r="R254" s="8"/>
      <c r="S254" s="8"/>
    </row>
    <row r="255" spans="1:19" ht="13.5" hidden="1" x14ac:dyDescent="0.3">
      <c r="A25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55" s="8" t="str">
        <f>Tabela2[[#This Row],[CATEGORIA]]&amp;Tabela2[[#This Row],[CURSOS]]&amp;"LAP - "&amp;Tabela2[[#This Row],[POLO]]</f>
        <v>NUTRI (Multidisciplinar IV)NTRLAP - Aracaju/SE - Ponto Novo</v>
      </c>
      <c r="C255" s="8" t="str">
        <f>Tabela2[[#This Row],[CATEGORIA]]&amp;Tabela2[[#This Row],[CURSOS]]</f>
        <v>NUTRI (Multidisciplinar IV)NTR</v>
      </c>
      <c r="D255" s="8" t="str">
        <f>IF(Tabela2[[#This Row],[SITUAÇÃO]]&lt;&gt;"Demitido",CONCATENATE(Tabela2[[#This Row],[POLO]],Tabela2[[#This Row],[CURSOS]]),"Substituição")</f>
        <v>Substituição</v>
      </c>
      <c r="E255" s="8" t="s">
        <v>730</v>
      </c>
      <c r="F255" s="67" t="s">
        <v>731</v>
      </c>
      <c r="G255" s="67" t="s">
        <v>54</v>
      </c>
      <c r="H255" s="9" t="s">
        <v>839</v>
      </c>
      <c r="I255" s="17" t="str">
        <f>IFERROR(_xlfn.XLOOKUP(Tabela2[[#This Row],[CHAPA]],TUT.CONTROL!F:F,TUT.CONTROL!I:I),_xlfn.XLOOKUP(Tabela2[[#This Row],[CHAPA]],'REG.CONTROL'!F:F,'REG.CONTROL'!I:I))</f>
        <v>Demitido</v>
      </c>
      <c r="J255" s="17">
        <f>IFERROR(_xlfn.XLOOKUP(Tabela2[[#This Row],[NOME DO TUTOR]],TUT.CONTROL!C:C,TUT.CONTROL!G:G),"Demitido")</f>
        <v>45873</v>
      </c>
      <c r="K255" s="19">
        <v>79999690732</v>
      </c>
      <c r="L255" s="22">
        <f>IFERROR(_xlfn.XLOOKUP(Tabela2[[#This Row],[NOME DO TUTOR]],TUT.CONTROL!C:C,TUT.CONTROL!F:F),"Demitido")</f>
        <v>1158000783</v>
      </c>
      <c r="M255" s="8" t="s">
        <v>840</v>
      </c>
      <c r="N255" s="11" t="str">
        <f>IFERROR(_xlfn.XLOOKUP(Tabela2[[#This Row],[CHAPA]],TUT.CONTROL!F:F,TUT.CONTROL!H:H),_xlfn.XLOOKUP(Tabela2[[#This Row],[CHAPA]],'REG.CONTROL'!F:F,'REG.CONTROL'!H:H))</f>
        <v>TUTOR DE PRATICA (UC_1749)</v>
      </c>
      <c r="O255" s="68" t="str">
        <f>IFERROR(_xlfn.XLOOKUP(Tabela2[[#This Row],[NOME DO TUTOR]],TUT.CONTROL!C:C,TUT.CONTROL!K:K),"Demitido")</f>
        <v>004:00</v>
      </c>
      <c r="P255" s="17">
        <f>IF(Tabela2[[#This Row],[SITUAÇÃO]]="Demitido",IFERROR(_xlfn.XLOOKUP(Tabela2[[#This Row],[CHAPA]],TUT.CONTROL!F:F,TUT.CONTROL!V:V),_xlfn.XLOOKUP(Tabela2[[#This Row],[CHAPA]],'REG.CONTROL'!F:F,'REG.CONTROL'!V:V)),"-")</f>
        <v>46113</v>
      </c>
      <c r="Q255" s="66"/>
      <c r="R255" s="8"/>
      <c r="S255" s="8"/>
    </row>
    <row r="256" spans="1:19" ht="13.5" hidden="1" x14ac:dyDescent="0.3">
      <c r="A25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56" s="8" t="str">
        <f>Tabela2[[#This Row],[CATEGORIA]]&amp;Tabela2[[#This Row],[CURSOS]]&amp;"LAP - "&amp;Tabela2[[#This Row],[POLO]]</f>
        <v>QUÍMICA E FÍSICAAGMLAP - Lages/SC - Garden Shopping</v>
      </c>
      <c r="C256" s="8" t="str">
        <f>Tabela2[[#This Row],[CATEGORIA]]&amp;Tabela2[[#This Row],[CURSOS]]</f>
        <v>QUÍMICA E FÍSICAAGM</v>
      </c>
      <c r="D256" s="8" t="str">
        <f>IF(Tabela2[[#This Row],[SITUAÇÃO]]&lt;&gt;"Demitido",CONCATENATE(Tabela2[[#This Row],[POLO]],Tabela2[[#This Row],[CURSOS]]),"Substituição")</f>
        <v>Substituição</v>
      </c>
      <c r="E256" s="8" t="s">
        <v>734</v>
      </c>
      <c r="F256" s="67" t="s">
        <v>735</v>
      </c>
      <c r="G256" s="67" t="s">
        <v>503</v>
      </c>
      <c r="H256" s="9" t="s">
        <v>841</v>
      </c>
      <c r="I256" s="17" t="str">
        <f>IFERROR(_xlfn.XLOOKUP(Tabela2[[#This Row],[CHAPA]],TUT.CONTROL!F:F,TUT.CONTROL!I:I),_xlfn.XLOOKUP(Tabela2[[#This Row],[CHAPA]],'REG.CONTROL'!F:F,'REG.CONTROL'!I:I))</f>
        <v>Demitido</v>
      </c>
      <c r="J256" s="17">
        <f>IFERROR(_xlfn.XLOOKUP(Tabela2[[#This Row],[NOME DO TUTOR]],TUT.CONTROL!C:C,TUT.CONTROL!G:G),"Demitido")</f>
        <v>45875</v>
      </c>
      <c r="K256" s="19">
        <v>49999273160</v>
      </c>
      <c r="L256" s="22">
        <f>IFERROR(_xlfn.XLOOKUP(Tabela2[[#This Row],[NOME DO TUTOR]],TUT.CONTROL!C:C,TUT.CONTROL!F:F),"Demitido")</f>
        <v>1158000849</v>
      </c>
      <c r="M256" s="8" t="s">
        <v>842</v>
      </c>
      <c r="N256" s="11" t="str">
        <f>IFERROR(_xlfn.XLOOKUP(Tabela2[[#This Row],[CHAPA]],TUT.CONTROL!F:F,TUT.CONTROL!H:H),_xlfn.XLOOKUP(Tabela2[[#This Row],[CHAPA]],'REG.CONTROL'!F:F,'REG.CONTROL'!H:H))</f>
        <v>TUTOR DE PRATICA (UC_1749)</v>
      </c>
      <c r="O256" s="68" t="str">
        <f>IFERROR(_xlfn.XLOOKUP(Tabela2[[#This Row],[NOME DO TUTOR]],TUT.CONTROL!C:C,TUT.CONTROL!K:K),"Demitido")</f>
        <v>004:00</v>
      </c>
      <c r="P256" s="17">
        <f>IF(Tabela2[[#This Row],[SITUAÇÃO]]="Demitido",IFERROR(_xlfn.XLOOKUP(Tabela2[[#This Row],[CHAPA]],TUT.CONTROL!F:F,TUT.CONTROL!V:V),_xlfn.XLOOKUP(Tabela2[[#This Row],[CHAPA]],'REG.CONTROL'!F:F,'REG.CONTROL'!V:V)),"-")</f>
        <v>45908</v>
      </c>
      <c r="Q256" s="66" t="s">
        <v>43</v>
      </c>
      <c r="R256" s="66" t="s">
        <v>43</v>
      </c>
      <c r="S256" s="8"/>
    </row>
    <row r="257" spans="1:19" ht="13.5" hidden="1" x14ac:dyDescent="0.3">
      <c r="A25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57" s="8" t="str">
        <f>Tabela2[[#This Row],[CATEGORIA]]&amp;Tabela2[[#This Row],[CURSOS]]&amp;"LAP - "&amp;Tabela2[[#This Row],[POLO]]</f>
        <v>QUÍMICA E FÍSICAAGMLAP - Três Lagoas/MS</v>
      </c>
      <c r="C257" s="8" t="str">
        <f>Tabela2[[#This Row],[CATEGORIA]]&amp;Tabela2[[#This Row],[CURSOS]]</f>
        <v>QUÍMICA E FÍSICAAGM</v>
      </c>
      <c r="D257" s="8" t="str">
        <f>IF(Tabela2[[#This Row],[SITUAÇÃO]]&lt;&gt;"Demitido",CONCATENATE(Tabela2[[#This Row],[POLO]],Tabela2[[#This Row],[CURSOS]]),"Substituição")</f>
        <v>Substituição</v>
      </c>
      <c r="E257" s="8" t="s">
        <v>734</v>
      </c>
      <c r="F257" s="67" t="s">
        <v>735</v>
      </c>
      <c r="G257" s="67" t="s">
        <v>843</v>
      </c>
      <c r="H257" s="9" t="s">
        <v>844</v>
      </c>
      <c r="I257" s="17" t="str">
        <f>IFERROR(_xlfn.XLOOKUP(Tabela2[[#This Row],[CHAPA]],TUT.CONTROL!F:F,TUT.CONTROL!I:I),_xlfn.XLOOKUP(Tabela2[[#This Row],[CHAPA]],'REG.CONTROL'!F:F,'REG.CONTROL'!I:I))</f>
        <v>Demitido</v>
      </c>
      <c r="J257" s="17">
        <f>IFERROR(_xlfn.XLOOKUP(Tabela2[[#This Row],[NOME DO TUTOR]],TUT.CONTROL!C:C,TUT.CONTROL!G:G),"Demitido")</f>
        <v>45875</v>
      </c>
      <c r="K257" s="19">
        <v>67991025133</v>
      </c>
      <c r="L257" s="22">
        <f>IFERROR(_xlfn.XLOOKUP(Tabela2[[#This Row],[NOME DO TUTOR]],TUT.CONTROL!C:C,TUT.CONTROL!F:F),"Demitido")</f>
        <v>1158000850</v>
      </c>
      <c r="M257" s="8" t="s">
        <v>845</v>
      </c>
      <c r="N257" s="11" t="str">
        <f>IFERROR(_xlfn.XLOOKUP(Tabela2[[#This Row],[CHAPA]],TUT.CONTROL!F:F,TUT.CONTROL!H:H),_xlfn.XLOOKUP(Tabela2[[#This Row],[CHAPA]],'REG.CONTROL'!F:F,'REG.CONTROL'!H:H))</f>
        <v>TUTOR DE PRATICA (UC_1749)</v>
      </c>
      <c r="O257" s="68" t="str">
        <f>IFERROR(_xlfn.XLOOKUP(Tabela2[[#This Row],[NOME DO TUTOR]],TUT.CONTROL!C:C,TUT.CONTROL!K:K),"Demitido")</f>
        <v>004:00</v>
      </c>
      <c r="P257" s="17">
        <f>IF(Tabela2[[#This Row],[SITUAÇÃO]]="Demitido",IFERROR(_xlfn.XLOOKUP(Tabela2[[#This Row],[CHAPA]],TUT.CONTROL!F:F,TUT.CONTROL!V:V),_xlfn.XLOOKUP(Tabela2[[#This Row],[CHAPA]],'REG.CONTROL'!F:F,'REG.CONTROL'!V:V)),"-")</f>
        <v>45931</v>
      </c>
      <c r="Q257" s="66" t="s">
        <v>43</v>
      </c>
      <c r="R257" s="66" t="s">
        <v>43</v>
      </c>
      <c r="S257" s="8"/>
    </row>
    <row r="258" spans="1:19" ht="13.5" hidden="1" x14ac:dyDescent="0.3">
      <c r="A25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58" s="8" t="str">
        <f>Tabela2[[#This Row],[CATEGORIA]]&amp;Tabela2[[#This Row],[CURSOS]]&amp;"LAP - "&amp;Tabela2[[#This Row],[POLO]]</f>
        <v>QUÍMICA E FÍSICAAGMLAP - Goiânia/GO - Centro</v>
      </c>
      <c r="C258" s="8" t="str">
        <f>Tabela2[[#This Row],[CATEGORIA]]&amp;Tabela2[[#This Row],[CURSOS]]</f>
        <v>QUÍMICA E FÍSICAAGM</v>
      </c>
      <c r="D258" s="8" t="str">
        <f>IF(Tabela2[[#This Row],[SITUAÇÃO]]&lt;&gt;"Demitido",CONCATENATE(Tabela2[[#This Row],[POLO]],Tabela2[[#This Row],[CURSOS]]),"Substituição")</f>
        <v>Substituição</v>
      </c>
      <c r="E258" s="8" t="s">
        <v>734</v>
      </c>
      <c r="F258" s="67" t="s">
        <v>735</v>
      </c>
      <c r="G258" s="67" t="s">
        <v>578</v>
      </c>
      <c r="H258" s="9" t="s">
        <v>846</v>
      </c>
      <c r="I258" s="17" t="str">
        <f>IFERROR(_xlfn.XLOOKUP(Tabela2[[#This Row],[CHAPA]],TUT.CONTROL!F:F,TUT.CONTROL!I:I),_xlfn.XLOOKUP(Tabela2[[#This Row],[CHAPA]],'REG.CONTROL'!F:F,'REG.CONTROL'!I:I))</f>
        <v>Demitido</v>
      </c>
      <c r="J258" s="17">
        <f>IFERROR(_xlfn.XLOOKUP(Tabela2[[#This Row],[NOME DO TUTOR]],TUT.CONTROL!C:C,TUT.CONTROL!G:G),"Demitido")</f>
        <v>45875</v>
      </c>
      <c r="K258" s="19">
        <v>62993870196</v>
      </c>
      <c r="L258" s="22">
        <f>IFERROR(_xlfn.XLOOKUP(Tabela2[[#This Row],[NOME DO TUTOR]],TUT.CONTROL!C:C,TUT.CONTROL!F:F),"Demitido")</f>
        <v>1158000840</v>
      </c>
      <c r="M258" s="8" t="s">
        <v>847</v>
      </c>
      <c r="N258" s="11" t="str">
        <f>IFERROR(_xlfn.XLOOKUP(Tabela2[[#This Row],[CHAPA]],TUT.CONTROL!F:F,TUT.CONTROL!H:H),_xlfn.XLOOKUP(Tabela2[[#This Row],[CHAPA]],'REG.CONTROL'!F:F,'REG.CONTROL'!H:H))</f>
        <v>TUTOR DE PRATICA (UC_1749)</v>
      </c>
      <c r="O258" s="68" t="str">
        <f>IFERROR(_xlfn.XLOOKUP(Tabela2[[#This Row],[NOME DO TUTOR]],TUT.CONTROL!C:C,TUT.CONTROL!K:K),"Demitido")</f>
        <v>004:00</v>
      </c>
      <c r="P258" s="17">
        <f>IF(Tabela2[[#This Row],[SITUAÇÃO]]="Demitido",IFERROR(_xlfn.XLOOKUP(Tabela2[[#This Row],[CHAPA]],TUT.CONTROL!F:F,TUT.CONTROL!V:V),_xlfn.XLOOKUP(Tabela2[[#This Row],[CHAPA]],'REG.CONTROL'!F:F,'REG.CONTROL'!V:V)),"-")</f>
        <v>45967</v>
      </c>
      <c r="Q258" s="66" t="s">
        <v>43</v>
      </c>
      <c r="R258" s="66" t="s">
        <v>43</v>
      </c>
      <c r="S258" s="8"/>
    </row>
    <row r="259" spans="1:19" ht="13.5" hidden="1" customHeight="1" x14ac:dyDescent="0.3">
      <c r="A25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Maceió/AL - PitanguinhaBFRBIO-FAR (Multidisciplinar I)</v>
      </c>
      <c r="B259" s="8" t="str">
        <f>Tabela2[[#This Row],[CATEGORIA]]&amp;Tabela2[[#This Row],[CURSOS]]&amp;"LAP - "&amp;Tabela2[[#This Row],[POLO]]</f>
        <v>BIO-FAR (Multidisciplinar I)BFRLAP - Maceió/AL - Pitanguinha</v>
      </c>
      <c r="C259" s="8" t="str">
        <f>Tabela2[[#This Row],[CATEGORIA]]&amp;Tabela2[[#This Row],[CURSOS]]</f>
        <v>BIO-FAR (Multidisciplinar I)BFR</v>
      </c>
      <c r="D259" s="8" t="str">
        <f>IF(Tabela2[[#This Row],[SITUAÇÃO]]&lt;&gt;"Demitido",CONCATENATE(Tabela2[[#This Row],[POLO]],Tabela2[[#This Row],[CURSOS]]),"Substituição")</f>
        <v>Maceió/AL - PitanguinhaBFR</v>
      </c>
      <c r="E259" s="8" t="s">
        <v>771</v>
      </c>
      <c r="F259" s="67" t="s">
        <v>772</v>
      </c>
      <c r="G259" s="67" t="s">
        <v>442</v>
      </c>
      <c r="H259" s="9" t="s">
        <v>848</v>
      </c>
      <c r="I259" s="17" t="str">
        <f>IFERROR(_xlfn.XLOOKUP(Tabela2[[#This Row],[CHAPA]],TUT.CONTROL!F:F,TUT.CONTROL!I:I),_xlfn.XLOOKUP(Tabela2[[#This Row],[CHAPA]],'REG.CONTROL'!F:F,'REG.CONTROL'!I:I))</f>
        <v>Ativo</v>
      </c>
      <c r="J259" s="17">
        <f>IFERROR(_xlfn.XLOOKUP(Tabela2[[#This Row],[NOME DO TUTOR]],TUT.CONTROL!C:C,TUT.CONTROL!G:G),"Demitido")</f>
        <v>45875</v>
      </c>
      <c r="K259" s="19">
        <v>82993214239</v>
      </c>
      <c r="L259" s="22">
        <f>IFERROR(_xlfn.XLOOKUP(Tabela2[[#This Row],[NOME DO TUTOR]],TUT.CONTROL!C:C,TUT.CONTROL!F:F),"Demitido")</f>
        <v>1158000848</v>
      </c>
      <c r="M259" s="8" t="s">
        <v>849</v>
      </c>
      <c r="N259" s="11" t="str">
        <f>IFERROR(_xlfn.XLOOKUP(Tabela2[[#This Row],[CHAPA]],TUT.CONTROL!F:F,TUT.CONTROL!H:H),_xlfn.XLOOKUP(Tabela2[[#This Row],[CHAPA]],'REG.CONTROL'!F:F,'REG.CONTROL'!H:H))</f>
        <v>TUTOR DE PRATICA (UC_1749)</v>
      </c>
      <c r="O259" s="68" t="str">
        <f>IFERROR(_xlfn.XLOOKUP(Tabela2[[#This Row],[NOME DO TUTOR]],TUT.CONTROL!C:C,TUT.CONTROL!K:K),"Demitido")</f>
        <v>004:00</v>
      </c>
      <c r="P25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59" s="66"/>
      <c r="R259" s="8"/>
      <c r="S259" s="8"/>
    </row>
    <row r="260" spans="1:19" ht="13.5" hidden="1" x14ac:dyDescent="0.3">
      <c r="A26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Guarujá/SPBFIBIO-FISIO-EST-TO (Multidisciplinar III)</v>
      </c>
      <c r="B260" s="8" t="str">
        <f>Tabela2[[#This Row],[CATEGORIA]]&amp;Tabela2[[#This Row],[CURSOS]]&amp;"LAP - "&amp;Tabela2[[#This Row],[POLO]]</f>
        <v>BIO-FISIO-EST-TO (Multidisciplinar III)BFILAP - Guarujá/SP</v>
      </c>
      <c r="C260" s="8" t="str">
        <f>Tabela2[[#This Row],[CATEGORIA]]&amp;Tabela2[[#This Row],[CURSOS]]</f>
        <v>BIO-FISIO-EST-TO (Multidisciplinar III)BFI</v>
      </c>
      <c r="D260" s="8" t="str">
        <f>IF(Tabela2[[#This Row],[SITUAÇÃO]]&lt;&gt;"Demitido",CONCATENATE(Tabela2[[#This Row],[POLO]],Tabela2[[#This Row],[CURSOS]]),"Substituição")</f>
        <v>Guarujá/SPBFI</v>
      </c>
      <c r="E260" s="8" t="s">
        <v>757</v>
      </c>
      <c r="F260" s="67" t="s">
        <v>758</v>
      </c>
      <c r="G260" s="67" t="s">
        <v>325</v>
      </c>
      <c r="H260" s="9" t="s">
        <v>850</v>
      </c>
      <c r="I260" s="17" t="str">
        <f>IFERROR(_xlfn.XLOOKUP(Tabela2[[#This Row],[CHAPA]],TUT.CONTROL!F:F,TUT.CONTROL!I:I),_xlfn.XLOOKUP(Tabela2[[#This Row],[CHAPA]],'REG.CONTROL'!F:F,'REG.CONTROL'!I:I))</f>
        <v>Ativo</v>
      </c>
      <c r="J260" s="17">
        <f>IFERROR(_xlfn.XLOOKUP(Tabela2[[#This Row],[NOME DO TUTOR]],TUT.CONTROL!C:C,TUT.CONTROL!G:G),"Demitido")</f>
        <v>45875</v>
      </c>
      <c r="K260" s="19">
        <v>13996792976</v>
      </c>
      <c r="L260" s="22">
        <f>IFERROR(_xlfn.XLOOKUP(Tabela2[[#This Row],[NOME DO TUTOR]],TUT.CONTROL!C:C,TUT.CONTROL!F:F),"Demitido")</f>
        <v>1158000847</v>
      </c>
      <c r="M260" s="8" t="s">
        <v>851</v>
      </c>
      <c r="N260" s="11" t="str">
        <f>IFERROR(_xlfn.XLOOKUP(Tabela2[[#This Row],[CHAPA]],TUT.CONTROL!F:F,TUT.CONTROL!H:H),_xlfn.XLOOKUP(Tabela2[[#This Row],[CHAPA]],'REG.CONTROL'!F:F,'REG.CONTROL'!H:H))</f>
        <v>TUTOR DE PRATICA (UC_1749)</v>
      </c>
      <c r="O260" s="68" t="str">
        <f>IFERROR(_xlfn.XLOOKUP(Tabela2[[#This Row],[NOME DO TUTOR]],TUT.CONTROL!C:C,TUT.CONTROL!K:K),"Demitido")</f>
        <v>004:00</v>
      </c>
      <c r="P26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60" s="66"/>
      <c r="R260" s="8" t="s">
        <v>852</v>
      </c>
      <c r="S260" s="8">
        <v>343934</v>
      </c>
    </row>
    <row r="261" spans="1:19" ht="13.5" hidden="1" x14ac:dyDescent="0.3">
      <c r="A26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61" s="8" t="str">
        <f>Tabela2[[#This Row],[CATEGORIA]]&amp;Tabela2[[#This Row],[CURSOS]]&amp;"LAP - "&amp;Tabela2[[#This Row],[POLO]]</f>
        <v>BIO-FAR (Multidisciplinar I)BFRLAP - Niterói/RJ - Ingá</v>
      </c>
      <c r="C261" s="8" t="str">
        <f>Tabela2[[#This Row],[CATEGORIA]]&amp;Tabela2[[#This Row],[CURSOS]]</f>
        <v>BIO-FAR (Multidisciplinar I)BFR</v>
      </c>
      <c r="D261" s="8" t="str">
        <f>IF(Tabela2[[#This Row],[SITUAÇÃO]]&lt;&gt;"Demitido",CONCATENATE(Tabela2[[#This Row],[POLO]],Tabela2[[#This Row],[CURSOS]]),"Substituição")</f>
        <v>Substituição</v>
      </c>
      <c r="E261" s="8" t="s">
        <v>771</v>
      </c>
      <c r="F261" s="67" t="s">
        <v>772</v>
      </c>
      <c r="G261" s="67" t="s">
        <v>495</v>
      </c>
      <c r="H261" s="9" t="s">
        <v>853</v>
      </c>
      <c r="I261" s="17" t="str">
        <f>IFERROR(_xlfn.XLOOKUP(Tabela2[[#This Row],[CHAPA]],TUT.CONTROL!F:F,TUT.CONTROL!I:I),_xlfn.XLOOKUP(Tabela2[[#This Row],[CHAPA]],'REG.CONTROL'!F:F,'REG.CONTROL'!I:I))</f>
        <v>Demitido</v>
      </c>
      <c r="J261" s="17">
        <f>IFERROR(_xlfn.XLOOKUP(Tabela2[[#This Row],[NOME DO TUTOR]],TUT.CONTROL!C:C,TUT.CONTROL!G:G),"Demitido")</f>
        <v>45875</v>
      </c>
      <c r="K261" s="19">
        <v>21991181209</v>
      </c>
      <c r="L261" s="22">
        <f>IFERROR(_xlfn.XLOOKUP(Tabela2[[#This Row],[NOME DO TUTOR]],TUT.CONTROL!C:C,TUT.CONTROL!F:F),"Demitido")</f>
        <v>1158000841</v>
      </c>
      <c r="M261" s="8" t="s">
        <v>854</v>
      </c>
      <c r="N261" s="11" t="str">
        <f>IFERROR(_xlfn.XLOOKUP(Tabela2[[#This Row],[CHAPA]],TUT.CONTROL!F:F,TUT.CONTROL!H:H),_xlfn.XLOOKUP(Tabela2[[#This Row],[CHAPA]],'REG.CONTROL'!F:F,'REG.CONTROL'!H:H))</f>
        <v>TUTOR DE PRATICA (UC_1749)</v>
      </c>
      <c r="O261" s="68" t="str">
        <f>IFERROR(_xlfn.XLOOKUP(Tabela2[[#This Row],[NOME DO TUTOR]],TUT.CONTROL!C:C,TUT.CONTROL!K:K),"Demitido")</f>
        <v>004:00</v>
      </c>
      <c r="P261" s="17">
        <f>IF(Tabela2[[#This Row],[SITUAÇÃO]]="Demitido",IFERROR(_xlfn.XLOOKUP(Tabela2[[#This Row],[CHAPA]],TUT.CONTROL!F:F,TUT.CONTROL!V:V),_xlfn.XLOOKUP(Tabela2[[#This Row],[CHAPA]],'REG.CONTROL'!F:F,'REG.CONTROL'!V:V)),"-")</f>
        <v>46026</v>
      </c>
      <c r="Q261" s="66" t="s">
        <v>43</v>
      </c>
      <c r="R261" s="8"/>
      <c r="S261" s="8"/>
    </row>
    <row r="262" spans="1:19" ht="13.5" hidden="1" x14ac:dyDescent="0.3">
      <c r="A26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62" s="8" t="str">
        <f>Tabela2[[#This Row],[CATEGORIA]]&amp;Tabela2[[#This Row],[CURSOS]]&amp;"LAP - "&amp;Tabela2[[#This Row],[POLO]]</f>
        <v>QUÍMICA E FÍSICAAGMLAP - Posse/GO</v>
      </c>
      <c r="C262" s="8" t="str">
        <f>Tabela2[[#This Row],[CATEGORIA]]&amp;Tabela2[[#This Row],[CURSOS]]</f>
        <v>QUÍMICA E FÍSICAAGM</v>
      </c>
      <c r="D262" s="8" t="str">
        <f>IF(Tabela2[[#This Row],[SITUAÇÃO]]&lt;&gt;"Demitido",CONCATENATE(Tabela2[[#This Row],[POLO]],Tabela2[[#This Row],[CURSOS]]),"Substituição")</f>
        <v>Substituição</v>
      </c>
      <c r="E262" s="8" t="s">
        <v>734</v>
      </c>
      <c r="F262" s="67" t="s">
        <v>735</v>
      </c>
      <c r="G262" s="67" t="s">
        <v>653</v>
      </c>
      <c r="H262" s="9" t="s">
        <v>855</v>
      </c>
      <c r="I262" s="17" t="str">
        <f>IFERROR(_xlfn.XLOOKUP(Tabela2[[#This Row],[CHAPA]],TUT.CONTROL!F:F,TUT.CONTROL!I:I),_xlfn.XLOOKUP(Tabela2[[#This Row],[CHAPA]],'REG.CONTROL'!F:F,'REG.CONTROL'!I:I))</f>
        <v>Demitido</v>
      </c>
      <c r="J262" s="17">
        <f>IFERROR(_xlfn.XLOOKUP(Tabela2[[#This Row],[NOME DO TUTOR]],TUT.CONTROL!C:C,TUT.CONTROL!G:G),"Demitido")</f>
        <v>45880</v>
      </c>
      <c r="K262" s="19">
        <v>62996487317</v>
      </c>
      <c r="L262" s="22">
        <f>IFERROR(_xlfn.XLOOKUP(Tabela2[[#This Row],[NOME DO TUTOR]],TUT.CONTROL!C:C,TUT.CONTROL!F:F),"Demitido")</f>
        <v>1158000851</v>
      </c>
      <c r="M262" s="8" t="s">
        <v>856</v>
      </c>
      <c r="N262" s="11" t="str">
        <f>IFERROR(_xlfn.XLOOKUP(Tabela2[[#This Row],[CHAPA]],TUT.CONTROL!F:F,TUT.CONTROL!H:H),_xlfn.XLOOKUP(Tabela2[[#This Row],[CHAPA]],'REG.CONTROL'!F:F,'REG.CONTROL'!H:H))</f>
        <v>TUTOR DE PRATICA (UC_1749)</v>
      </c>
      <c r="O262" s="68" t="str">
        <f>IFERROR(_xlfn.XLOOKUP(Tabela2[[#This Row],[NOME DO TUTOR]],TUT.CONTROL!C:C,TUT.CONTROL!K:K),"Demitido")</f>
        <v>004:00</v>
      </c>
      <c r="P262" s="17">
        <f>IF(Tabela2[[#This Row],[SITUAÇÃO]]="Demitido",IFERROR(_xlfn.XLOOKUP(Tabela2[[#This Row],[CHAPA]],TUT.CONTROL!F:F,TUT.CONTROL!V:V),_xlfn.XLOOKUP(Tabela2[[#This Row],[CHAPA]],'REG.CONTROL'!F:F,'REG.CONTROL'!V:V)),"-")</f>
        <v>45916</v>
      </c>
      <c r="Q262" s="66" t="s">
        <v>43</v>
      </c>
      <c r="R262" s="66" t="s">
        <v>43</v>
      </c>
      <c r="S262" s="8"/>
    </row>
    <row r="263" spans="1:19" ht="13.5" hidden="1" x14ac:dyDescent="0.3">
      <c r="A26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63" s="8" t="str">
        <f>Tabela2[[#This Row],[CATEGORIA]]&amp;Tabela2[[#This Row],[CURSOS]]&amp;"LAP - "&amp;Tabela2[[#This Row],[POLO]]</f>
        <v>BIO-FAR (Multidisciplinar I)BFRLAP - Dourados/MS</v>
      </c>
      <c r="C263" s="8" t="str">
        <f>Tabela2[[#This Row],[CATEGORIA]]&amp;Tabela2[[#This Row],[CURSOS]]</f>
        <v>BIO-FAR (Multidisciplinar I)BFR</v>
      </c>
      <c r="D263" s="8" t="str">
        <f>IF(Tabela2[[#This Row],[SITUAÇÃO]]&lt;&gt;"Demitido",CONCATENATE(Tabela2[[#This Row],[POLO]],Tabela2[[#This Row],[CURSOS]]),"Substituição")</f>
        <v>Substituição</v>
      </c>
      <c r="E263" s="8" t="s">
        <v>771</v>
      </c>
      <c r="F263" s="67" t="s">
        <v>772</v>
      </c>
      <c r="G263" s="67" t="s">
        <v>268</v>
      </c>
      <c r="H263" s="9" t="s">
        <v>857</v>
      </c>
      <c r="I263" s="17" t="str">
        <f>IFERROR(_xlfn.XLOOKUP(Tabela2[[#This Row],[CHAPA]],TUT.CONTROL!F:F,TUT.CONTROL!I:I),_xlfn.XLOOKUP(Tabela2[[#This Row],[CHAPA]],'REG.CONTROL'!F:F,'REG.CONTROL'!I:I))</f>
        <v>Demitido</v>
      </c>
      <c r="J263" s="17">
        <f>IFERROR(_xlfn.XLOOKUP(Tabela2[[#This Row],[NOME DO TUTOR]],TUT.CONTROL!C:C,TUT.CONTROL!G:G),"Demitido")</f>
        <v>45880</v>
      </c>
      <c r="K263" s="19">
        <v>67993088118</v>
      </c>
      <c r="L263" s="22">
        <f>IFERROR(_xlfn.XLOOKUP(Tabela2[[#This Row],[NOME DO TUTOR]],TUT.CONTROL!C:C,TUT.CONTROL!F:F),"Demitido")</f>
        <v>1158000860</v>
      </c>
      <c r="M263" s="8" t="s">
        <v>858</v>
      </c>
      <c r="N263" s="11" t="str">
        <f>IFERROR(_xlfn.XLOOKUP(Tabela2[[#This Row],[CHAPA]],TUT.CONTROL!F:F,TUT.CONTROL!H:H),_xlfn.XLOOKUP(Tabela2[[#This Row],[CHAPA]],'REG.CONTROL'!F:F,'REG.CONTROL'!H:H))</f>
        <v>TUTOR DE PRATICA (UC_1749)</v>
      </c>
      <c r="O263" s="68" t="str">
        <f>IFERROR(_xlfn.XLOOKUP(Tabela2[[#This Row],[NOME DO TUTOR]],TUT.CONTROL!C:C,TUT.CONTROL!K:K),"Demitido")</f>
        <v>004:00</v>
      </c>
      <c r="P263" s="17">
        <f>IF(Tabela2[[#This Row],[SITUAÇÃO]]="Demitido",IFERROR(_xlfn.XLOOKUP(Tabela2[[#This Row],[CHAPA]],TUT.CONTROL!F:F,TUT.CONTROL!V:V),_xlfn.XLOOKUP(Tabela2[[#This Row],[CHAPA]],'REG.CONTROL'!F:F,'REG.CONTROL'!V:V)),"-")</f>
        <v>45936</v>
      </c>
      <c r="Q263" s="66" t="s">
        <v>43</v>
      </c>
      <c r="R263" s="8"/>
      <c r="S263" s="8"/>
    </row>
    <row r="264" spans="1:19" ht="13.5" hidden="1" x14ac:dyDescent="0.3">
      <c r="A26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64" s="8" t="str">
        <f>Tabela2[[#This Row],[CATEGORIA]]&amp;Tabela2[[#This Row],[CURSOS]]&amp;"LAP - "&amp;Tabela2[[#This Row],[POLO]]</f>
        <v>QUÍMICA E FÍSICAAGMLAP - Nova Mutum/MT</v>
      </c>
      <c r="C264" s="8" t="str">
        <f>Tabela2[[#This Row],[CATEGORIA]]&amp;Tabela2[[#This Row],[CURSOS]]</f>
        <v>QUÍMICA E FÍSICAAGM</v>
      </c>
      <c r="D264" s="8" t="str">
        <f>IF(Tabela2[[#This Row],[SITUAÇÃO]]&lt;&gt;"Demitido",CONCATENATE(Tabela2[[#This Row],[POLO]],Tabela2[[#This Row],[CURSOS]]),"Substituição")</f>
        <v>Substituição</v>
      </c>
      <c r="E264" s="8" t="s">
        <v>734</v>
      </c>
      <c r="F264" s="67" t="s">
        <v>735</v>
      </c>
      <c r="G264" s="67" t="s">
        <v>510</v>
      </c>
      <c r="H264" s="9" t="s">
        <v>859</v>
      </c>
      <c r="I264" s="17" t="str">
        <f>IFERROR(_xlfn.XLOOKUP(Tabela2[[#This Row],[CHAPA]],TUT.CONTROL!F:F,TUT.CONTROL!I:I),_xlfn.XLOOKUP(Tabela2[[#This Row],[CHAPA]],'REG.CONTROL'!F:F,'REG.CONTROL'!I:I))</f>
        <v>Demitido</v>
      </c>
      <c r="J264" s="17">
        <f>IFERROR(_xlfn.XLOOKUP(Tabela2[[#This Row],[NOME DO TUTOR]],TUT.CONTROL!C:C,TUT.CONTROL!G:G),"Demitido")</f>
        <v>45880</v>
      </c>
      <c r="K264" s="19">
        <v>65996614127</v>
      </c>
      <c r="L264" s="22">
        <f>IFERROR(_xlfn.XLOOKUP(Tabela2[[#This Row],[NOME DO TUTOR]],TUT.CONTROL!C:C,TUT.CONTROL!F:F),"Demitido")</f>
        <v>1158000852</v>
      </c>
      <c r="M264" s="8" t="s">
        <v>860</v>
      </c>
      <c r="N264" s="11" t="str">
        <f>IFERROR(_xlfn.XLOOKUP(Tabela2[[#This Row],[CHAPA]],TUT.CONTROL!F:F,TUT.CONTROL!H:H),_xlfn.XLOOKUP(Tabela2[[#This Row],[CHAPA]],'REG.CONTROL'!F:F,'REG.CONTROL'!H:H))</f>
        <v>TUTOR DE PRATICA (UC_1749)</v>
      </c>
      <c r="O264" s="68" t="str">
        <f>IFERROR(_xlfn.XLOOKUP(Tabela2[[#This Row],[NOME DO TUTOR]],TUT.CONTROL!C:C,TUT.CONTROL!K:K),"Demitido")</f>
        <v>004:00</v>
      </c>
      <c r="P264" s="17">
        <f>IF(Tabela2[[#This Row],[SITUAÇÃO]]="Demitido",IFERROR(_xlfn.XLOOKUP(Tabela2[[#This Row],[CHAPA]],TUT.CONTROL!F:F,TUT.CONTROL!V:V),_xlfn.XLOOKUP(Tabela2[[#This Row],[CHAPA]],'REG.CONTROL'!F:F,'REG.CONTROL'!V:V)),"-")</f>
        <v>45962</v>
      </c>
      <c r="Q264" s="66" t="s">
        <v>43</v>
      </c>
      <c r="R264" s="66" t="s">
        <v>43</v>
      </c>
      <c r="S264" s="8"/>
    </row>
    <row r="265" spans="1:19" ht="13.5" hidden="1" x14ac:dyDescent="0.3">
      <c r="A26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Belo Horizonte/MG - Shopping Estação BHAGMQUÍMICA E FÍSICA</v>
      </c>
      <c r="B265" s="8" t="str">
        <f>Tabela2[[#This Row],[CATEGORIA]]&amp;Tabela2[[#This Row],[CURSOS]]&amp;"LAP - "&amp;Tabela2[[#This Row],[POLO]]</f>
        <v>QUÍMICA E FÍSICAAGMLAP - Belo Horizonte/MG - Shopping Estação BH</v>
      </c>
      <c r="C265" s="8" t="str">
        <f>Tabela2[[#This Row],[CATEGORIA]]&amp;Tabela2[[#This Row],[CURSOS]]</f>
        <v>QUÍMICA E FÍSICAAGM</v>
      </c>
      <c r="D265" s="8" t="str">
        <f>IF(Tabela2[[#This Row],[SITUAÇÃO]]&lt;&gt;"Demitido",CONCATENATE(Tabela2[[#This Row],[POLO]],Tabela2[[#This Row],[CURSOS]]),"Substituição")</f>
        <v>Belo Horizonte/MG - Shopping Estação BHAGM</v>
      </c>
      <c r="E265" s="8" t="s">
        <v>734</v>
      </c>
      <c r="F265" s="67" t="s">
        <v>735</v>
      </c>
      <c r="G265" s="67" t="s">
        <v>101</v>
      </c>
      <c r="H265" s="9" t="s">
        <v>861</v>
      </c>
      <c r="I265" s="17" t="str">
        <f>IFERROR(_xlfn.XLOOKUP(Tabela2[[#This Row],[CHAPA]],TUT.CONTROL!F:F,TUT.CONTROL!I:I),_xlfn.XLOOKUP(Tabela2[[#This Row],[CHAPA]],'REG.CONTROL'!F:F,'REG.CONTROL'!I:I))</f>
        <v>Ativo</v>
      </c>
      <c r="J265" s="17">
        <f>IFERROR(_xlfn.XLOOKUP(Tabela2[[#This Row],[NOME DO TUTOR]],TUT.CONTROL!C:C,TUT.CONTROL!G:G),"Demitido")</f>
        <v>45880</v>
      </c>
      <c r="K265" s="19">
        <v>31998149591</v>
      </c>
      <c r="L265" s="22">
        <f>IFERROR(_xlfn.XLOOKUP(Tabela2[[#This Row],[NOME DO TUTOR]],TUT.CONTROL!C:C,TUT.CONTROL!F:F),"Demitido")</f>
        <v>1158000857</v>
      </c>
      <c r="M265" s="8" t="s">
        <v>862</v>
      </c>
      <c r="N265" s="11" t="str">
        <f>IFERROR(_xlfn.XLOOKUP(Tabela2[[#This Row],[CHAPA]],TUT.CONTROL!F:F,TUT.CONTROL!H:H),_xlfn.XLOOKUP(Tabela2[[#This Row],[CHAPA]],'REG.CONTROL'!F:F,'REG.CONTROL'!H:H))</f>
        <v>TUTOR DE PRATICA (UC_1749)</v>
      </c>
      <c r="O265" s="68" t="str">
        <f>IFERROR(_xlfn.XLOOKUP(Tabela2[[#This Row],[NOME DO TUTOR]],TUT.CONTROL!C:C,TUT.CONTROL!K:K),"Demitido")</f>
        <v>004:00</v>
      </c>
      <c r="P26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65" s="66" t="s">
        <v>30</v>
      </c>
      <c r="R265" s="8" t="s">
        <v>863</v>
      </c>
      <c r="S265" s="8" t="s">
        <v>864</v>
      </c>
    </row>
    <row r="266" spans="1:19" ht="13.5" hidden="1" x14ac:dyDescent="0.3">
      <c r="A26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66" s="8" t="str">
        <f>Tabela2[[#This Row],[CATEGORIA]]&amp;Tabela2[[#This Row],[CURSOS]]&amp;"LAP - "&amp;Tabela2[[#This Row],[POLO]]</f>
        <v>BIO-FISIO-EST-TO (Multidisciplinar III)BFILAP - Indaial/SC - Vitória Regia ( Centro Universitário Leonardo da Vinci)</v>
      </c>
      <c r="C266" s="8" t="str">
        <f>Tabela2[[#This Row],[CATEGORIA]]&amp;Tabela2[[#This Row],[CURSOS]]</f>
        <v>BIO-FISIO-EST-TO (Multidisciplinar III)BFI</v>
      </c>
      <c r="D266" s="8" t="str">
        <f>IF(Tabela2[[#This Row],[SITUAÇÃO]]&lt;&gt;"Demitido",CONCATENATE(Tabela2[[#This Row],[POLO]],Tabela2[[#This Row],[CURSOS]]),"Substituição")</f>
        <v>Indaial/SC - Vitória Regia ( Centro Universitário Leonardo da Vinci)BFI</v>
      </c>
      <c r="E266" s="8" t="s">
        <v>757</v>
      </c>
      <c r="F266" s="67" t="s">
        <v>758</v>
      </c>
      <c r="G266" s="67" t="s">
        <v>341</v>
      </c>
      <c r="H266" s="9" t="s">
        <v>865</v>
      </c>
      <c r="I266" s="17" t="str">
        <f>IFERROR(_xlfn.XLOOKUP(Tabela2[[#This Row],[CHAPA]],TUT.CONTROL!F:F,TUT.CONTROL!I:I),_xlfn.XLOOKUP(Tabela2[[#This Row],[CHAPA]],'REG.CONTROL'!F:F,'REG.CONTROL'!I:I))</f>
        <v>Licença Maternidade</v>
      </c>
      <c r="J266" s="17">
        <f>IFERROR(_xlfn.XLOOKUP(Tabela2[[#This Row],[NOME DO TUTOR]],TUT.CONTROL!C:C,TUT.CONTROL!G:G),"Demitido")</f>
        <v>45880</v>
      </c>
      <c r="K266" s="19">
        <v>47984316960</v>
      </c>
      <c r="L266" s="22">
        <f>IFERROR(_xlfn.XLOOKUP(Tabela2[[#This Row],[NOME DO TUTOR]],TUT.CONTROL!C:C,TUT.CONTROL!F:F),"Demitido")</f>
        <v>1158000862</v>
      </c>
      <c r="M266" s="8" t="s">
        <v>866</v>
      </c>
      <c r="N266" s="11" t="str">
        <f>IFERROR(_xlfn.XLOOKUP(Tabela2[[#This Row],[CHAPA]],TUT.CONTROL!F:F,TUT.CONTROL!H:H),_xlfn.XLOOKUP(Tabela2[[#This Row],[CHAPA]],'REG.CONTROL'!F:F,'REG.CONTROL'!H:H))</f>
        <v>TUTOR DE PRATICA (UC_1749)</v>
      </c>
      <c r="O266" s="68" t="str">
        <f>IFERROR(_xlfn.XLOOKUP(Tabela2[[#This Row],[NOME DO TUTOR]],TUT.CONTROL!C:C,TUT.CONTROL!K:K),"Demitido")</f>
        <v>004:00</v>
      </c>
      <c r="P26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66" s="66"/>
      <c r="R266" s="8" t="s">
        <v>867</v>
      </c>
      <c r="S266" s="8" t="s">
        <v>868</v>
      </c>
    </row>
    <row r="267" spans="1:19" ht="13.5" hidden="1" customHeight="1" x14ac:dyDescent="0.3">
      <c r="A26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Feira De Santana/BA - CentroNTRNUTRI (Multidisciplinar IV)</v>
      </c>
      <c r="B267" s="8" t="str">
        <f>Tabela2[[#This Row],[CATEGORIA]]&amp;Tabela2[[#This Row],[CURSOS]]&amp;"LAP - "&amp;Tabela2[[#This Row],[POLO]]</f>
        <v>NUTRI (Multidisciplinar IV)NTRLAP - Feira De Santana/BA - Centro</v>
      </c>
      <c r="C267" s="8" t="str">
        <f>Tabela2[[#This Row],[CATEGORIA]]&amp;Tabela2[[#This Row],[CURSOS]]</f>
        <v>NUTRI (Multidisciplinar IV)NTR</v>
      </c>
      <c r="D267" s="8" t="str">
        <f>IF(Tabela2[[#This Row],[SITUAÇÃO]]&lt;&gt;"Demitido",CONCATENATE(Tabela2[[#This Row],[POLO]],Tabela2[[#This Row],[CURSOS]]),"Substituição")</f>
        <v>Feira De Santana/BA - CentroNTR</v>
      </c>
      <c r="E267" s="8" t="s">
        <v>730</v>
      </c>
      <c r="F267" s="67" t="s">
        <v>731</v>
      </c>
      <c r="G267" s="67" t="s">
        <v>283</v>
      </c>
      <c r="H267" s="9" t="s">
        <v>869</v>
      </c>
      <c r="I267" s="17" t="str">
        <f>IFERROR(_xlfn.XLOOKUP(Tabela2[[#This Row],[CHAPA]],TUT.CONTROL!F:F,TUT.CONTROL!I:I),_xlfn.XLOOKUP(Tabela2[[#This Row],[CHAPA]],'REG.CONTROL'!F:F,'REG.CONTROL'!I:I))</f>
        <v>Ativo</v>
      </c>
      <c r="J267" s="17">
        <f>IFERROR(_xlfn.XLOOKUP(Tabela2[[#This Row],[NOME DO TUTOR]],TUT.CONTROL!C:C,TUT.CONTROL!G:G),"Demitido")</f>
        <v>45880</v>
      </c>
      <c r="K267" s="19">
        <v>75992315329</v>
      </c>
      <c r="L267" s="22">
        <f>IFERROR(_xlfn.XLOOKUP(Tabela2[[#This Row],[NOME DO TUTOR]],TUT.CONTROL!C:C,TUT.CONTROL!F:F),"Demitido")</f>
        <v>1158000855</v>
      </c>
      <c r="M267" s="8" t="s">
        <v>870</v>
      </c>
      <c r="N267" s="11" t="str">
        <f>IFERROR(_xlfn.XLOOKUP(Tabela2[[#This Row],[CHAPA]],TUT.CONTROL!F:F,TUT.CONTROL!H:H),_xlfn.XLOOKUP(Tabela2[[#This Row],[CHAPA]],'REG.CONTROL'!F:F,'REG.CONTROL'!H:H))</f>
        <v>TUTOR DE PRATICA (UC_1749)</v>
      </c>
      <c r="O267" s="68" t="str">
        <f>IFERROR(_xlfn.XLOOKUP(Tabela2[[#This Row],[NOME DO TUTOR]],TUT.CONTROL!C:C,TUT.CONTROL!K:K),"Demitido")</f>
        <v>004:00</v>
      </c>
      <c r="P26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67" s="66"/>
      <c r="R267" s="8" t="s">
        <v>786</v>
      </c>
      <c r="S267" s="8" t="s">
        <v>787</v>
      </c>
    </row>
    <row r="268" spans="1:19" ht="13.5" hidden="1" customHeight="1" x14ac:dyDescent="0.3">
      <c r="A26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68" s="8" t="str">
        <f>Tabela2[[#This Row],[CATEGORIA]]&amp;Tabela2[[#This Row],[CURSOS]]&amp;"LAP - "&amp;Tabela2[[#This Row],[POLO]]</f>
        <v>ENF-INS (Multidisciplinar II)EMF-ISNLAP - Santa Cruz do Sul/RS</v>
      </c>
      <c r="C268" s="8" t="str">
        <f>Tabela2[[#This Row],[CATEGORIA]]&amp;Tabela2[[#This Row],[CURSOS]]</f>
        <v>ENF-INS (Multidisciplinar II)EMF-ISN</v>
      </c>
      <c r="D268" s="8" t="str">
        <f>IF(Tabela2[[#This Row],[SITUAÇÃO]]&lt;&gt;"Demitido",CONCATENATE(Tabela2[[#This Row],[POLO]],Tabela2[[#This Row],[CURSOS]]),"Substituição")</f>
        <v>Substituição</v>
      </c>
      <c r="E268" s="8" t="s">
        <v>21</v>
      </c>
      <c r="F268" s="67" t="s">
        <v>22</v>
      </c>
      <c r="G268" s="67" t="s">
        <v>871</v>
      </c>
      <c r="H268" s="9" t="s">
        <v>872</v>
      </c>
      <c r="I268" s="71" t="str">
        <f>IFERROR(_xlfn.XLOOKUP(Tabela2[[#This Row],[CHAPA]],TUT.CONTROL!F:F,TUT.CONTROL!I:I),_xlfn.XLOOKUP(Tabela2[[#This Row],[CHAPA]],'REG.CONTROL'!F:F,'REG.CONTROL'!I:I))</f>
        <v>Demitido</v>
      </c>
      <c r="J268" s="17">
        <f>IFERROR(_xlfn.XLOOKUP(Tabela2[[#This Row],[NOME DO TUTOR]],TUT.CONTROL!C:C,TUT.CONTROL!G:G),"Atualizar")</f>
        <v>45782</v>
      </c>
      <c r="K268" s="19">
        <v>5198661006</v>
      </c>
      <c r="L268" s="22">
        <f>IFERROR(_xlfn.XLOOKUP(Tabela2[[#This Row],[NOME DO TUTOR]],TUT.CONTROL!C:C,TUT.CONTROL!F:F),"Demitido")</f>
        <v>1158000610</v>
      </c>
      <c r="M268" s="8" t="s">
        <v>873</v>
      </c>
      <c r="N268" s="11" t="str">
        <f>IFERROR(_xlfn.XLOOKUP(Tabela2[[#This Row],[CHAPA]],TUT.CONTROL!F:F,TUT.CONTROL!H:H),_xlfn.XLOOKUP(Tabela2[[#This Row],[CHAPA]],'REG.CONTROL'!F:F,'REG.CONTROL'!H:H))</f>
        <v>TUTOR DE PRATICA (UC_1749)</v>
      </c>
      <c r="O268" s="70" t="str">
        <f>IFERROR(_xlfn.XLOOKUP(Tabela2[[#This Row],[NOME DO TUTOR]],TUT.CONTROL!C:C,TUT.CONTROL!K:K),"Demitido")</f>
        <v>003:00</v>
      </c>
      <c r="P268" s="17">
        <f>IF(Tabela2[[#This Row],[SITUAÇÃO]]="Demitido",IFERROR(_xlfn.XLOOKUP(Tabela2[[#This Row],[CHAPA]],TUT.CONTROL!F:F,TUT.CONTROL!V:V),_xlfn.XLOOKUP(Tabela2[[#This Row],[CHAPA]],'REG.CONTROL'!F:F,'REG.CONTROL'!V:V)),"-")</f>
        <v>45841</v>
      </c>
      <c r="Q268" s="66" t="s">
        <v>43</v>
      </c>
      <c r="R268" s="8"/>
    </row>
    <row r="269" spans="1:19" ht="13.5" hidden="1" x14ac:dyDescent="0.3">
      <c r="A26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São Pedro da Aldeia/RJNTRNUTRI (Multidisciplinar IV)</v>
      </c>
      <c r="B269" s="8" t="str">
        <f>Tabela2[[#This Row],[CATEGORIA]]&amp;Tabela2[[#This Row],[CURSOS]]&amp;"LAP - "&amp;Tabela2[[#This Row],[POLO]]</f>
        <v>NUTRI (Multidisciplinar IV)NTRLAP - São Pedro da Aldeia/RJ</v>
      </c>
      <c r="C269" s="8" t="str">
        <f>Tabela2[[#This Row],[CATEGORIA]]&amp;Tabela2[[#This Row],[CURSOS]]</f>
        <v>NUTRI (Multidisciplinar IV)NTR</v>
      </c>
      <c r="D269" s="8" t="str">
        <f>IF(Tabela2[[#This Row],[SITUAÇÃO]]&lt;&gt;"Demitido",CONCATENATE(Tabela2[[#This Row],[POLO]],Tabela2[[#This Row],[CURSOS]]),"Substituição")</f>
        <v>São Pedro da Aldeia/RJNTR</v>
      </c>
      <c r="E269" s="8" t="s">
        <v>730</v>
      </c>
      <c r="F269" s="67" t="s">
        <v>731</v>
      </c>
      <c r="G269" s="67" t="s">
        <v>874</v>
      </c>
      <c r="H269" s="9" t="s">
        <v>875</v>
      </c>
      <c r="I269" s="17" t="str">
        <f>IFERROR(_xlfn.XLOOKUP(Tabela2[[#This Row],[CHAPA]],TUT.CONTROL!F:F,TUT.CONTROL!I:I),_xlfn.XLOOKUP(Tabela2[[#This Row],[CHAPA]],'REG.CONTROL'!F:F,'REG.CONTROL'!I:I))</f>
        <v>Ativo</v>
      </c>
      <c r="J269" s="17">
        <f>IFERROR(_xlfn.XLOOKUP(Tabela2[[#This Row],[NOME DO TUTOR]],TUT.CONTROL!C:C,TUT.CONTROL!G:G),"Demitido")</f>
        <v>45880</v>
      </c>
      <c r="K269" s="19">
        <v>22998371252</v>
      </c>
      <c r="L269" s="22">
        <f>IFERROR(_xlfn.XLOOKUP(Tabela2[[#This Row],[NOME DO TUTOR]],TUT.CONTROL!C:C,TUT.CONTROL!F:F),"Demitido")</f>
        <v>1158000863</v>
      </c>
      <c r="M269" s="8" t="s">
        <v>876</v>
      </c>
      <c r="N269" s="11" t="str">
        <f>IFERROR(_xlfn.XLOOKUP(Tabela2[[#This Row],[CHAPA]],TUT.CONTROL!F:F,TUT.CONTROL!H:H),_xlfn.XLOOKUP(Tabela2[[#This Row],[CHAPA]],'REG.CONTROL'!F:F,'REG.CONTROL'!H:H))</f>
        <v>TUTOR DE PRATICA (UC_1749)</v>
      </c>
      <c r="O269" s="68" t="str">
        <f>IFERROR(_xlfn.XLOOKUP(Tabela2[[#This Row],[NOME DO TUTOR]],TUT.CONTROL!C:C,TUT.CONTROL!K:K),"Demitido")</f>
        <v>004:00</v>
      </c>
      <c r="P26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69" s="66"/>
      <c r="R269" s="8" t="s">
        <v>877</v>
      </c>
      <c r="S269" s="8">
        <v>16100564</v>
      </c>
    </row>
    <row r="270" spans="1:19" ht="13.5" hidden="1" x14ac:dyDescent="0.3">
      <c r="A27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Novo Hamburgo/RS - CentroBFIBIO-FISIO-EST-TO (Multidisciplinar III)</v>
      </c>
      <c r="B270" s="8" t="str">
        <f>Tabela2[[#This Row],[CATEGORIA]]&amp;Tabela2[[#This Row],[CURSOS]]&amp;"LAP - "&amp;Tabela2[[#This Row],[POLO]]</f>
        <v>BIO-FISIO-EST-TO (Multidisciplinar III)BFILAP - Novo Hamburgo/RS - Centro</v>
      </c>
      <c r="C270" s="8" t="str">
        <f>Tabela2[[#This Row],[CATEGORIA]]&amp;Tabela2[[#This Row],[CURSOS]]</f>
        <v>BIO-FISIO-EST-TO (Multidisciplinar III)BFI</v>
      </c>
      <c r="D270" s="8" t="str">
        <f>IF(Tabela2[[#This Row],[SITUAÇÃO]]&lt;&gt;"Demitido",CONCATENATE(Tabela2[[#This Row],[POLO]],Tabela2[[#This Row],[CURSOS]]),"Substituição")</f>
        <v>Novo Hamburgo/RS - CentroBFI</v>
      </c>
      <c r="E270" s="8" t="s">
        <v>757</v>
      </c>
      <c r="F270" s="67" t="s">
        <v>758</v>
      </c>
      <c r="G270" s="67" t="s">
        <v>520</v>
      </c>
      <c r="H270" s="9" t="s">
        <v>878</v>
      </c>
      <c r="I270" s="17" t="str">
        <f>IFERROR(_xlfn.XLOOKUP(Tabela2[[#This Row],[CHAPA]],TUT.CONTROL!F:F,TUT.CONTROL!I:I),_xlfn.XLOOKUP(Tabela2[[#This Row],[CHAPA]],'REG.CONTROL'!F:F,'REG.CONTROL'!I:I))</f>
        <v>Ativo</v>
      </c>
      <c r="J270" s="17">
        <f>IFERROR(_xlfn.XLOOKUP(Tabela2[[#This Row],[NOME DO TUTOR]],TUT.CONTROL!C:C,TUT.CONTROL!G:G),"Demitido")</f>
        <v>45880</v>
      </c>
      <c r="K270" s="19">
        <v>5182627000</v>
      </c>
      <c r="L270" s="22">
        <f>IFERROR(_xlfn.XLOOKUP(Tabela2[[#This Row],[NOME DO TUTOR]],TUT.CONTROL!C:C,TUT.CONTROL!F:F),"Demitido")</f>
        <v>1158000861</v>
      </c>
      <c r="M270" s="8" t="s">
        <v>879</v>
      </c>
      <c r="N270" s="11" t="str">
        <f>IFERROR(_xlfn.XLOOKUP(Tabela2[[#This Row],[CHAPA]],TUT.CONTROL!F:F,TUT.CONTROL!H:H),_xlfn.XLOOKUP(Tabela2[[#This Row],[CHAPA]],'REG.CONTROL'!F:F,'REG.CONTROL'!H:H))</f>
        <v>TUTOR DE PRATICA (UC_1749)</v>
      </c>
      <c r="O270" s="68" t="str">
        <f>IFERROR(_xlfn.XLOOKUP(Tabela2[[#This Row],[NOME DO TUTOR]],TUT.CONTROL!C:C,TUT.CONTROL!K:K),"Demitido")</f>
        <v>004:00</v>
      </c>
      <c r="P27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70" s="66"/>
      <c r="R270" s="8"/>
      <c r="S270" s="8"/>
    </row>
    <row r="271" spans="1:19" ht="13.5" hidden="1" x14ac:dyDescent="0.3">
      <c r="A27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Itajaí/SC - São VicenteBFIBIO-FISIO-EST-TO (Multidisciplinar III)</v>
      </c>
      <c r="B271" s="8" t="str">
        <f>Tabela2[[#This Row],[CATEGORIA]]&amp;Tabela2[[#This Row],[CURSOS]]&amp;"LAP - "&amp;Tabela2[[#This Row],[POLO]]</f>
        <v>BIO-FISIO-EST-TO (Multidisciplinar III)BFILAP - Itajaí/SC - São Vicente</v>
      </c>
      <c r="C271" s="8" t="str">
        <f>Tabela2[[#This Row],[CATEGORIA]]&amp;Tabela2[[#This Row],[CURSOS]]</f>
        <v>BIO-FISIO-EST-TO (Multidisciplinar III)BFI</v>
      </c>
      <c r="D271" s="8" t="str">
        <f>IF(Tabela2[[#This Row],[SITUAÇÃO]]&lt;&gt;"Demitido",CONCATENATE(Tabela2[[#This Row],[POLO]],Tabela2[[#This Row],[CURSOS]]),"Substituição")</f>
        <v>Itajaí/SC - São VicenteBFI</v>
      </c>
      <c r="E271" s="8" t="s">
        <v>757</v>
      </c>
      <c r="F271" s="67" t="s">
        <v>758</v>
      </c>
      <c r="G271" s="67" t="s">
        <v>366</v>
      </c>
      <c r="H271" s="9" t="s">
        <v>880</v>
      </c>
      <c r="I271" s="17" t="str">
        <f>IFERROR(_xlfn.XLOOKUP(Tabela2[[#This Row],[CHAPA]],TUT.CONTROL!F:F,TUT.CONTROL!I:I),_xlfn.XLOOKUP(Tabela2[[#This Row],[CHAPA]],'REG.CONTROL'!F:F,'REG.CONTROL'!I:I))</f>
        <v>Ativo</v>
      </c>
      <c r="J271" s="17">
        <f>IFERROR(_xlfn.XLOOKUP(Tabela2[[#This Row],[NOME DO TUTOR]],TUT.CONTROL!C:C,TUT.CONTROL!G:G),"Demitido")</f>
        <v>45880</v>
      </c>
      <c r="K271" s="19">
        <v>54991592379</v>
      </c>
      <c r="L271" s="22">
        <f>IFERROR(_xlfn.XLOOKUP(Tabela2[[#This Row],[NOME DO TUTOR]],TUT.CONTROL!C:C,TUT.CONTROL!F:F),"Demitido")</f>
        <v>1158000864</v>
      </c>
      <c r="M271" s="8" t="s">
        <v>881</v>
      </c>
      <c r="N271" s="11" t="str">
        <f>IFERROR(_xlfn.XLOOKUP(Tabela2[[#This Row],[CHAPA]],TUT.CONTROL!F:F,TUT.CONTROL!H:H),_xlfn.XLOOKUP(Tabela2[[#This Row],[CHAPA]],'REG.CONTROL'!F:F,'REG.CONTROL'!H:H))</f>
        <v>TUTOR DE PRATICA (UC_1749)</v>
      </c>
      <c r="O271" s="68" t="str">
        <f>IFERROR(_xlfn.XLOOKUP(Tabela2[[#This Row],[NOME DO TUTOR]],TUT.CONTROL!C:C,TUT.CONTROL!K:K),"Demitido")</f>
        <v>004:00</v>
      </c>
      <c r="P27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71" s="66"/>
      <c r="R271" s="8" t="s">
        <v>882</v>
      </c>
      <c r="S271" s="8" t="s">
        <v>883</v>
      </c>
    </row>
    <row r="272" spans="1:19" ht="13.5" hidden="1" x14ac:dyDescent="0.3">
      <c r="A27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72" s="8" t="str">
        <f>Tabela2[[#This Row],[CATEGORIA]]&amp;Tabela2[[#This Row],[CURSOS]]&amp;"LAP - "&amp;Tabela2[[#This Row],[POLO]]</f>
        <v>ENGMAKER+QUÍMICA E FÍSICAECE-ENM-ENS-ENG-EEA-GPI-CDE-OBR-SAN-TER-FSA-SLF-QUILAP - Alagoinhas/BA</v>
      </c>
      <c r="C272" s="8" t="str">
        <f>Tabela2[[#This Row],[CATEGORIA]]&amp;Tabela2[[#This Row],[CURSOS]]</f>
        <v>ENGMAKER+QUÍMICA E FÍSICAECE-ENM-ENS-ENG-EEA-GPI-CDE-OBR-SAN-TER-FSA-SLF-QUI</v>
      </c>
      <c r="D272" s="8" t="str">
        <f>IF(Tabela2[[#This Row],[SITUAÇÃO]]&lt;&gt;"Demitido",CONCATENATE(Tabela2[[#This Row],[POLO]],Tabela2[[#This Row],[CURSOS]]),"Substituição")</f>
        <v>Substituição</v>
      </c>
      <c r="E272" s="8" t="s">
        <v>125</v>
      </c>
      <c r="F272" s="67" t="s">
        <v>126</v>
      </c>
      <c r="G272" s="67" t="s">
        <v>815</v>
      </c>
      <c r="H272" s="9" t="s">
        <v>884</v>
      </c>
      <c r="I272" s="17" t="str">
        <f>IFERROR(_xlfn.XLOOKUP(Tabela2[[#This Row],[CHAPA]],TUT.CONTROL!F:F,TUT.CONTROL!I:I),_xlfn.XLOOKUP(Tabela2[[#This Row],[CHAPA]],'REG.CONTROL'!F:F,'REG.CONTROL'!I:I))</f>
        <v>Demitido</v>
      </c>
      <c r="J272" s="17">
        <f>IFERROR(_xlfn.XLOOKUP(Tabela2[[#This Row],[NOME DO TUTOR]],TUT.CONTROL!C:C,TUT.CONTROL!G:G),"Demitido")</f>
        <v>45880</v>
      </c>
      <c r="K272" s="19">
        <v>75983285185</v>
      </c>
      <c r="L272" s="22">
        <f>IFERROR(_xlfn.XLOOKUP(Tabela2[[#This Row],[NOME DO TUTOR]],TUT.CONTROL!C:C,TUT.CONTROL!F:F),"Demitido")</f>
        <v>1158000856</v>
      </c>
      <c r="M272" s="8" t="s">
        <v>885</v>
      </c>
      <c r="N272" s="11" t="str">
        <f>IFERROR(_xlfn.XLOOKUP(Tabela2[[#This Row],[CHAPA]],TUT.CONTROL!F:F,TUT.CONTROL!H:H),_xlfn.XLOOKUP(Tabela2[[#This Row],[CHAPA]],'REG.CONTROL'!F:F,'REG.CONTROL'!H:H))</f>
        <v>TUTOR DE PRATICA (UC_1749)</v>
      </c>
      <c r="O272" s="68" t="str">
        <f>IFERROR(_xlfn.XLOOKUP(Tabela2[[#This Row],[NOME DO TUTOR]],TUT.CONTROL!C:C,TUT.CONTROL!K:K),"Demitido")</f>
        <v>004:00</v>
      </c>
      <c r="P272" s="17">
        <f>IF(Tabela2[[#This Row],[SITUAÇÃO]]="Demitido",IFERROR(_xlfn.XLOOKUP(Tabela2[[#This Row],[CHAPA]],TUT.CONTROL!F:F,TUT.CONTROL!V:V),_xlfn.XLOOKUP(Tabela2[[#This Row],[CHAPA]],'REG.CONTROL'!F:F,'REG.CONTROL'!V:V)),"-")</f>
        <v>46030</v>
      </c>
      <c r="Q272" s="66" t="s">
        <v>43</v>
      </c>
      <c r="R272" s="66" t="s">
        <v>43</v>
      </c>
      <c r="S272" s="8"/>
    </row>
    <row r="273" spans="1:19" ht="13.5" hidden="1" x14ac:dyDescent="0.3">
      <c r="A27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73" s="8" t="str">
        <f>Tabela2[[#This Row],[CATEGORIA]]&amp;Tabela2[[#This Row],[CURSOS]]&amp;"LAP - "&amp;Tabela2[[#This Row],[POLO]]</f>
        <v>ENF-INS (Multidisciplinar II)EMF-ISNLAP - Santa Cruz do Sul/RS</v>
      </c>
      <c r="C273" s="8" t="str">
        <f>Tabela2[[#This Row],[CATEGORIA]]&amp;Tabela2[[#This Row],[CURSOS]]</f>
        <v>ENF-INS (Multidisciplinar II)EMF-ISN</v>
      </c>
      <c r="D273" s="8" t="str">
        <f>IF(Tabela2[[#This Row],[SITUAÇÃO]]&lt;&gt;"Demitido",CONCATENATE(Tabela2[[#This Row],[POLO]],Tabela2[[#This Row],[CURSOS]]),"Substituição")</f>
        <v>Substituição</v>
      </c>
      <c r="E273" s="8" t="s">
        <v>21</v>
      </c>
      <c r="F273" s="67" t="s">
        <v>22</v>
      </c>
      <c r="G273" s="67" t="s">
        <v>871</v>
      </c>
      <c r="H273" s="9" t="s">
        <v>886</v>
      </c>
      <c r="I273" s="17" t="str">
        <f>IFERROR(_xlfn.XLOOKUP(Tabela2[[#This Row],[CHAPA]],TUT.CONTROL!F:F,TUT.CONTROL!I:I),_xlfn.XLOOKUP(Tabela2[[#This Row],[CHAPA]],'REG.CONTROL'!F:F,'REG.CONTROL'!I:I))</f>
        <v>Demitido</v>
      </c>
      <c r="J273" s="17">
        <f>IFERROR(_xlfn.XLOOKUP(Tabela2[[#This Row],[NOME DO TUTOR]],TUT.CONTROL!C:C,TUT.CONTROL!G:G),"Demitido")</f>
        <v>45887</v>
      </c>
      <c r="K273" s="19">
        <v>51999029104</v>
      </c>
      <c r="L273" s="22">
        <f>IFERROR(_xlfn.XLOOKUP(Tabela2[[#This Row],[NOME DO TUTOR]],TUT.CONTROL!C:C,TUT.CONTROL!F:F),"Demitido")</f>
        <v>1158000904</v>
      </c>
      <c r="M273" s="8" t="s">
        <v>887</v>
      </c>
      <c r="N273" s="11" t="str">
        <f>IFERROR(_xlfn.XLOOKUP(Tabela2[[#This Row],[CHAPA]],TUT.CONTROL!F:F,TUT.CONTROL!H:H),_xlfn.XLOOKUP(Tabela2[[#This Row],[CHAPA]],'REG.CONTROL'!F:F,'REG.CONTROL'!H:H))</f>
        <v>TUTOR DE PRATICA (UC_1749)</v>
      </c>
      <c r="O273" s="68" t="str">
        <f>IFERROR(_xlfn.XLOOKUP(Tabela2[[#This Row],[NOME DO TUTOR]],TUT.CONTROL!C:C,TUT.CONTROL!K:K),"Demitido")</f>
        <v>004:00</v>
      </c>
      <c r="P273" s="17">
        <f>IF(Tabela2[[#This Row],[SITUAÇÃO]]="Demitido",IFERROR(_xlfn.XLOOKUP(Tabela2[[#This Row],[CHAPA]],TUT.CONTROL!F:F,TUT.CONTROL!V:V),_xlfn.XLOOKUP(Tabela2[[#This Row],[CHAPA]],'REG.CONTROL'!F:F,'REG.CONTROL'!V:V)),"-")</f>
        <v>45937</v>
      </c>
      <c r="Q273" s="66" t="s">
        <v>43</v>
      </c>
      <c r="R273" s="8" t="s">
        <v>109</v>
      </c>
      <c r="S273" s="8">
        <v>715101</v>
      </c>
    </row>
    <row r="274" spans="1:19" ht="13.5" hidden="1" x14ac:dyDescent="0.3">
      <c r="A27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74" s="8" t="str">
        <f>Tabela2[[#This Row],[CATEGORIA]]&amp;Tabela2[[#This Row],[CURSOS]]&amp;"LAP - "&amp;Tabela2[[#This Row],[POLO]]</f>
        <v>BIO-FAR (Multidisciplinar I)BFRLAP - Ponta Porã/MS</v>
      </c>
      <c r="C274" s="8" t="str">
        <f>Tabela2[[#This Row],[CATEGORIA]]&amp;Tabela2[[#This Row],[CURSOS]]</f>
        <v>BIO-FAR (Multidisciplinar I)BFR</v>
      </c>
      <c r="D274" s="8" t="str">
        <f>IF(Tabela2[[#This Row],[SITUAÇÃO]]&lt;&gt;"Demitido",CONCATENATE(Tabela2[[#This Row],[POLO]],Tabela2[[#This Row],[CURSOS]]),"Substituição")</f>
        <v>Substituição</v>
      </c>
      <c r="E274" s="8" t="s">
        <v>771</v>
      </c>
      <c r="F274" s="67" t="s">
        <v>772</v>
      </c>
      <c r="G274" s="67" t="s">
        <v>617</v>
      </c>
      <c r="H274" s="9" t="s">
        <v>888</v>
      </c>
      <c r="I274" s="17" t="str">
        <f>IFERROR(_xlfn.XLOOKUP(Tabela2[[#This Row],[CHAPA]],TUT.CONTROL!F:F,TUT.CONTROL!I:I),_xlfn.XLOOKUP(Tabela2[[#This Row],[CHAPA]],'REG.CONTROL'!F:F,'REG.CONTROL'!I:I))</f>
        <v>Demitido</v>
      </c>
      <c r="J274" s="17">
        <f>IFERROR(_xlfn.XLOOKUP(Tabela2[[#This Row],[NOME DO TUTOR]],TUT.CONTROL!C:C,TUT.CONTROL!G:G),"Demitido")</f>
        <v>45880</v>
      </c>
      <c r="K274" s="19">
        <v>89988060988</v>
      </c>
      <c r="L274" s="22">
        <f>IFERROR(_xlfn.XLOOKUP(Tabela2[[#This Row],[NOME DO TUTOR]],TUT.CONTROL!C:C,TUT.CONTROL!F:F),"Demitido")</f>
        <v>1158000854</v>
      </c>
      <c r="M274" s="8" t="s">
        <v>889</v>
      </c>
      <c r="N274" s="11" t="str">
        <f>IFERROR(_xlfn.XLOOKUP(Tabela2[[#This Row],[CHAPA]],TUT.CONTROL!F:F,TUT.CONTROL!H:H),_xlfn.XLOOKUP(Tabela2[[#This Row],[CHAPA]],'REG.CONTROL'!F:F,'REG.CONTROL'!H:H))</f>
        <v>TUTOR DE PRATICA (UC_1749)</v>
      </c>
      <c r="O274" s="68" t="str">
        <f>IFERROR(_xlfn.XLOOKUP(Tabela2[[#This Row],[NOME DO TUTOR]],TUT.CONTROL!C:C,TUT.CONTROL!K:K),"Demitido")</f>
        <v>004:00</v>
      </c>
      <c r="P274" s="17">
        <f>IF(Tabela2[[#This Row],[SITUAÇÃO]]="Demitido",IFERROR(_xlfn.XLOOKUP(Tabela2[[#This Row],[CHAPA]],TUT.CONTROL!F:F,TUT.CONTROL!V:V),_xlfn.XLOOKUP(Tabela2[[#This Row],[CHAPA]],'REG.CONTROL'!F:F,'REG.CONTROL'!V:V)),"-")</f>
        <v>46042</v>
      </c>
      <c r="Q274" s="66" t="s">
        <v>43</v>
      </c>
      <c r="R274" s="8" t="s">
        <v>890</v>
      </c>
      <c r="S274" s="8">
        <v>7292</v>
      </c>
    </row>
    <row r="275" spans="1:19" ht="13.5" hidden="1" x14ac:dyDescent="0.3">
      <c r="A27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75" s="8" t="str">
        <f>Tabela2[[#This Row],[CATEGORIA]]&amp;Tabela2[[#This Row],[CURSOS]]&amp;"LAP - "&amp;Tabela2[[#This Row],[POLO]]</f>
        <v>QUÍMICA E FÍSICAAGMLAP - Jacobina/BA</v>
      </c>
      <c r="C275" s="8" t="str">
        <f>Tabela2[[#This Row],[CATEGORIA]]&amp;Tabela2[[#This Row],[CURSOS]]</f>
        <v>QUÍMICA E FÍSICAAGM</v>
      </c>
      <c r="D275" s="8" t="str">
        <f>IF(Tabela2[[#This Row],[SITUAÇÃO]]&lt;&gt;"Demitido",CONCATENATE(Tabela2[[#This Row],[POLO]],Tabela2[[#This Row],[CURSOS]]),"Substituição")</f>
        <v>Substituição</v>
      </c>
      <c r="E275" s="8" t="s">
        <v>734</v>
      </c>
      <c r="F275" s="67" t="s">
        <v>735</v>
      </c>
      <c r="G275" s="67" t="s">
        <v>382</v>
      </c>
      <c r="H275" s="9" t="s">
        <v>891</v>
      </c>
      <c r="I275" s="17" t="str">
        <f>IFERROR(_xlfn.XLOOKUP(Tabela2[[#This Row],[CHAPA]],TUT.CONTROL!F:F,TUT.CONTROL!I:I),_xlfn.XLOOKUP(Tabela2[[#This Row],[CHAPA]],'REG.CONTROL'!F:F,'REG.CONTROL'!I:I))</f>
        <v>Demitido</v>
      </c>
      <c r="J275" s="17">
        <f>IFERROR(_xlfn.XLOOKUP(Tabela2[[#This Row],[NOME DO TUTOR]],TUT.CONTROL!C:C,TUT.CONTROL!G:G),"Demitido")</f>
        <v>45882</v>
      </c>
      <c r="K275" s="19">
        <v>74999346507</v>
      </c>
      <c r="L275" s="22">
        <f>IFERROR(_xlfn.XLOOKUP(Tabela2[[#This Row],[NOME DO TUTOR]],TUT.CONTROL!C:C,TUT.CONTROL!F:F),"Demitido")</f>
        <v>1158000872</v>
      </c>
      <c r="M275" s="8" t="s">
        <v>892</v>
      </c>
      <c r="N275" s="11" t="str">
        <f>IFERROR(_xlfn.XLOOKUP(Tabela2[[#This Row],[CHAPA]],TUT.CONTROL!F:F,TUT.CONTROL!H:H),_xlfn.XLOOKUP(Tabela2[[#This Row],[CHAPA]],'REG.CONTROL'!F:F,'REG.CONTROL'!H:H))</f>
        <v>TUTOR DE PRATICA (UC_1749)</v>
      </c>
      <c r="O275" s="68" t="str">
        <f>IFERROR(_xlfn.XLOOKUP(Tabela2[[#This Row],[NOME DO TUTOR]],TUT.CONTROL!C:C,TUT.CONTROL!K:K),"Demitido")</f>
        <v>004:00</v>
      </c>
      <c r="P275" s="17">
        <f>IF(Tabela2[[#This Row],[SITUAÇÃO]]="Demitido",IFERROR(_xlfn.XLOOKUP(Tabela2[[#This Row],[CHAPA]],TUT.CONTROL!F:F,TUT.CONTROL!V:V),_xlfn.XLOOKUP(Tabela2[[#This Row],[CHAPA]],'REG.CONTROL'!F:F,'REG.CONTROL'!V:V)),"-")</f>
        <v>45938</v>
      </c>
      <c r="Q275" s="66" t="s">
        <v>43</v>
      </c>
      <c r="R275" s="66" t="s">
        <v>43</v>
      </c>
      <c r="S275" s="8"/>
    </row>
    <row r="276" spans="1:19" ht="13.5" hidden="1" customHeight="1" x14ac:dyDescent="0.3">
      <c r="A27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76" s="8" t="str">
        <f>Tabela2[[#This Row],[CATEGORIA]]&amp;Tabela2[[#This Row],[CURSOS]]&amp;"LAP - "&amp;Tabela2[[#This Row],[POLO]]</f>
        <v>ENF-INS (Multidisciplinar II)EMF-ISNLAP - Santa Cruz do Sul/RS</v>
      </c>
      <c r="C276" s="8" t="str">
        <f>Tabela2[[#This Row],[CATEGORIA]]&amp;Tabela2[[#This Row],[CURSOS]]</f>
        <v>ENF-INS (Multidisciplinar II)EMF-ISN</v>
      </c>
      <c r="D276" s="8" t="str">
        <f>IF(Tabela2[[#This Row],[SITUAÇÃO]]&lt;&gt;"Demitido",CONCATENATE(Tabela2[[#This Row],[POLO]],Tabela2[[#This Row],[CURSOS]]),"Substituição")</f>
        <v>Substituição</v>
      </c>
      <c r="E276" s="8" t="s">
        <v>21</v>
      </c>
      <c r="F276" s="67" t="s">
        <v>22</v>
      </c>
      <c r="G276" s="67" t="s">
        <v>871</v>
      </c>
      <c r="H276" s="9" t="s">
        <v>893</v>
      </c>
      <c r="I276" s="17" t="str">
        <f>IFERROR(_xlfn.XLOOKUP(Tabela2[[#This Row],[CHAPA]],TUT.CONTROL!F:F,TUT.CONTROL!I:I),_xlfn.XLOOKUP(Tabela2[[#This Row],[CHAPA]],'REG.CONTROL'!F:F,'REG.CONTROL'!I:I))</f>
        <v>Demitido</v>
      </c>
      <c r="J276" s="17">
        <f>IFERROR(_xlfn.XLOOKUP(Tabela2[[#This Row],[NOME DO TUTOR]],TUT.CONTROL!C:C,TUT.CONTROL!G:G),"Demitido")</f>
        <v>45931</v>
      </c>
      <c r="K276" s="19">
        <v>51999786833</v>
      </c>
      <c r="L276" s="22">
        <f>IFERROR(_xlfn.XLOOKUP(Tabela2[[#This Row],[NOME DO TUTOR]],TUT.CONTROL!C:C,TUT.CONTROL!F:F),"Demitido")</f>
        <v>1158001001</v>
      </c>
      <c r="M276" s="8" t="s">
        <v>894</v>
      </c>
      <c r="N276" s="11" t="str">
        <f>IFERROR(_xlfn.XLOOKUP(Tabela2[[#This Row],[CHAPA]],TUT.CONTROL!F:F,TUT.CONTROL!H:H),_xlfn.XLOOKUP(Tabela2[[#This Row],[CHAPA]],'REG.CONTROL'!F:F,'REG.CONTROL'!H:H))</f>
        <v>TUTOR DE PRATICA (UC_1749)</v>
      </c>
      <c r="O276" s="68" t="str">
        <f>IFERROR(_xlfn.XLOOKUP(Tabela2[[#This Row],[NOME DO TUTOR]],TUT.CONTROL!C:C,TUT.CONTROL!K:K),"Demitido")</f>
        <v>004:00</v>
      </c>
      <c r="P276" s="17">
        <f>IF(Tabela2[[#This Row],[SITUAÇÃO]]="Demitido",IFERROR(_xlfn.XLOOKUP(Tabela2[[#This Row],[CHAPA]],TUT.CONTROL!F:F,TUT.CONTROL!V:V),_xlfn.XLOOKUP(Tabela2[[#This Row],[CHAPA]],'REG.CONTROL'!F:F,'REG.CONTROL'!V:V)),"-")</f>
        <v>46057</v>
      </c>
      <c r="Q276" s="66" t="s">
        <v>43</v>
      </c>
      <c r="R276" s="8" t="s">
        <v>109</v>
      </c>
      <c r="S276" s="8">
        <v>151569</v>
      </c>
    </row>
    <row r="277" spans="1:19" ht="13.5" hidden="1" x14ac:dyDescent="0.3">
      <c r="A27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Porto Alegre/RS - Centro HistóricoAGMQUÍMICA E FÍSICA</v>
      </c>
      <c r="B277" s="8" t="str">
        <f>Tabela2[[#This Row],[CATEGORIA]]&amp;Tabela2[[#This Row],[CURSOS]]&amp;"LAP - "&amp;Tabela2[[#This Row],[POLO]]</f>
        <v>QUÍMICA E FÍSICAAGMLAP - Porto Alegre/RS - Centro Histórico</v>
      </c>
      <c r="C277" s="8" t="str">
        <f>Tabela2[[#This Row],[CATEGORIA]]&amp;Tabela2[[#This Row],[CURSOS]]</f>
        <v>QUÍMICA E FÍSICAAGM</v>
      </c>
      <c r="D277" s="8" t="str">
        <f>IF(Tabela2[[#This Row],[SITUAÇÃO]]&lt;&gt;"Demitido",CONCATENATE(Tabela2[[#This Row],[POLO]],Tabela2[[#This Row],[CURSOS]]),"Substituição")</f>
        <v>Porto Alegre/RS - Centro HistóricoAGM</v>
      </c>
      <c r="E277" s="8" t="s">
        <v>734</v>
      </c>
      <c r="F277" s="67" t="s">
        <v>735</v>
      </c>
      <c r="G277" s="67" t="s">
        <v>632</v>
      </c>
      <c r="H277" s="9" t="s">
        <v>895</v>
      </c>
      <c r="I277" s="17" t="str">
        <f>IFERROR(_xlfn.XLOOKUP(Tabela2[[#This Row],[CHAPA]],TUT.CONTROL!F:F,TUT.CONTROL!I:I),_xlfn.XLOOKUP(Tabela2[[#This Row],[CHAPA]],'REG.CONTROL'!F:F,'REG.CONTROL'!I:I))</f>
        <v>Ativo</v>
      </c>
      <c r="J277" s="17">
        <f>IFERROR(_xlfn.XLOOKUP(Tabela2[[#This Row],[NOME DO TUTOR]],TUT.CONTROL!C:C,TUT.CONTROL!G:G),"Demitido")</f>
        <v>45882</v>
      </c>
      <c r="K277" s="19">
        <v>51986124108</v>
      </c>
      <c r="L277" s="22">
        <f>IFERROR(_xlfn.XLOOKUP(Tabela2[[#This Row],[NOME DO TUTOR]],TUT.CONTROL!C:C,TUT.CONTROL!F:F),"Demitido")</f>
        <v>1158000868</v>
      </c>
      <c r="M277" s="8" t="s">
        <v>896</v>
      </c>
      <c r="N277" s="11" t="str">
        <f>IFERROR(_xlfn.XLOOKUP(Tabela2[[#This Row],[CHAPA]],TUT.CONTROL!F:F,TUT.CONTROL!H:H),_xlfn.XLOOKUP(Tabela2[[#This Row],[CHAPA]],'REG.CONTROL'!F:F,'REG.CONTROL'!H:H))</f>
        <v>TUTOR DE PRATICA (UC_1749)</v>
      </c>
      <c r="O277" s="68" t="str">
        <f>IFERROR(_xlfn.XLOOKUP(Tabela2[[#This Row],[NOME DO TUTOR]],TUT.CONTROL!C:C,TUT.CONTROL!K:K),"Demitido")</f>
        <v>004:00</v>
      </c>
      <c r="P27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77" s="66"/>
      <c r="R277" s="8"/>
      <c r="S277" s="8"/>
    </row>
    <row r="278" spans="1:19" ht="13.5" hidden="1" x14ac:dyDescent="0.3">
      <c r="A27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Campo Grande/MS - Santo AntonioBFRBIO-FAR (Multidisciplinar I)</v>
      </c>
      <c r="B278" s="8" t="str">
        <f>Tabela2[[#This Row],[CATEGORIA]]&amp;Tabela2[[#This Row],[CURSOS]]&amp;"LAP - "&amp;Tabela2[[#This Row],[POLO]]</f>
        <v>BIO-FAR (Multidisciplinar I)BFRLAP - Campo Grande/MS - Santo Antonio</v>
      </c>
      <c r="C278" s="8" t="str">
        <f>Tabela2[[#This Row],[CATEGORIA]]&amp;Tabela2[[#This Row],[CURSOS]]</f>
        <v>BIO-FAR (Multidisciplinar I)BFR</v>
      </c>
      <c r="D278" s="8" t="str">
        <f>IF(Tabela2[[#This Row],[SITUAÇÃO]]&lt;&gt;"Demitido",CONCATENATE(Tabela2[[#This Row],[POLO]],Tabela2[[#This Row],[CURSOS]]),"Substituição")</f>
        <v>Campo Grande/MS - Santo AntonioBFR</v>
      </c>
      <c r="E278" s="8" t="s">
        <v>771</v>
      </c>
      <c r="F278" s="67" t="s">
        <v>772</v>
      </c>
      <c r="G278" s="67" t="s">
        <v>897</v>
      </c>
      <c r="H278" s="9" t="s">
        <v>898</v>
      </c>
      <c r="I278" s="17" t="str">
        <f>IFERROR(_xlfn.XLOOKUP(Tabela2[[#This Row],[CHAPA]],TUT.CONTROL!F:F,TUT.CONTROL!I:I),_xlfn.XLOOKUP(Tabela2[[#This Row],[CHAPA]],'REG.CONTROL'!F:F,'REG.CONTROL'!I:I))</f>
        <v>Ativo</v>
      </c>
      <c r="J278" s="17">
        <f>IFERROR(_xlfn.XLOOKUP(Tabela2[[#This Row],[NOME DO TUTOR]],TUT.CONTROL!C:C,TUT.CONTROL!G:G),"Demitido")</f>
        <v>45882</v>
      </c>
      <c r="K278" s="19">
        <v>67992112621</v>
      </c>
      <c r="L278" s="22">
        <f>IFERROR(_xlfn.XLOOKUP(Tabela2[[#This Row],[NOME DO TUTOR]],TUT.CONTROL!C:C,TUT.CONTROL!F:F),"Demitido")</f>
        <v>1158000870</v>
      </c>
      <c r="M278" s="8" t="s">
        <v>899</v>
      </c>
      <c r="N278" s="11" t="str">
        <f>IFERROR(_xlfn.XLOOKUP(Tabela2[[#This Row],[CHAPA]],TUT.CONTROL!F:F,TUT.CONTROL!H:H),_xlfn.XLOOKUP(Tabela2[[#This Row],[CHAPA]],'REG.CONTROL'!F:F,'REG.CONTROL'!H:H))</f>
        <v>TUTOR DE PRATICA (UC_1749)</v>
      </c>
      <c r="O278" s="68" t="str">
        <f>IFERROR(_xlfn.XLOOKUP(Tabela2[[#This Row],[NOME DO TUTOR]],TUT.CONTROL!C:C,TUT.CONTROL!K:K),"Demitido")</f>
        <v>004:00</v>
      </c>
      <c r="P27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78" s="66" t="s">
        <v>30</v>
      </c>
      <c r="R278" s="8"/>
      <c r="S278" s="8"/>
    </row>
    <row r="279" spans="1:19" ht="13.5" hidden="1" x14ac:dyDescent="0.3">
      <c r="A27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Salvador/BA - Caminho das ÁrvoresCOS-TIPBIO-FISIO-EST-TO (Multidisciplinar III)</v>
      </c>
      <c r="B279" s="8" t="str">
        <f>Tabela2[[#This Row],[CATEGORIA]]&amp;Tabela2[[#This Row],[CURSOS]]&amp;"LAP - "&amp;Tabela2[[#This Row],[POLO]]</f>
        <v>BIO-FISIO-EST-TO (Multidisciplinar III)COS-TIPLAP - Salvador/BA - Caminho das Árvores</v>
      </c>
      <c r="C279" s="8" t="str">
        <f>Tabela2[[#This Row],[CATEGORIA]]&amp;Tabela2[[#This Row],[CURSOS]]</f>
        <v>BIO-FISIO-EST-TO (Multidisciplinar III)COS-TIP</v>
      </c>
      <c r="D279" s="8" t="str">
        <f>IF(Tabela2[[#This Row],[SITUAÇÃO]]&lt;&gt;"Demitido",CONCATENATE(Tabela2[[#This Row],[POLO]],Tabela2[[#This Row],[CURSOS]]),"Substituição")</f>
        <v>Salvador/BA - Caminho das ÁrvoresCOS-TIP</v>
      </c>
      <c r="E279" s="8" t="s">
        <v>757</v>
      </c>
      <c r="F279" s="67" t="s">
        <v>900</v>
      </c>
      <c r="G279" s="67" t="s">
        <v>810</v>
      </c>
      <c r="H279" s="9" t="s">
        <v>901</v>
      </c>
      <c r="I279" s="17" t="str">
        <f>IFERROR(_xlfn.XLOOKUP(Tabela2[[#This Row],[CHAPA]],TUT.CONTROL!F:F,TUT.CONTROL!I:I),_xlfn.XLOOKUP(Tabela2[[#This Row],[CHAPA]],'REG.CONTROL'!F:F,'REG.CONTROL'!I:I))</f>
        <v>Ativo</v>
      </c>
      <c r="J279" s="17">
        <f>IFERROR(_xlfn.XLOOKUP(Tabela2[[#This Row],[NOME DO TUTOR]],TUT.CONTROL!C:C,TUT.CONTROL!G:G),"Demitido")</f>
        <v>45882</v>
      </c>
      <c r="K279" s="19">
        <v>71993204015</v>
      </c>
      <c r="L279" s="22">
        <f>IFERROR(_xlfn.XLOOKUP(Tabela2[[#This Row],[NOME DO TUTOR]],TUT.CONTROL!C:C,TUT.CONTROL!F:F),"Demitido")</f>
        <v>1158000876</v>
      </c>
      <c r="M279" s="8" t="s">
        <v>902</v>
      </c>
      <c r="N279" s="11" t="str">
        <f>IFERROR(_xlfn.XLOOKUP(Tabela2[[#This Row],[CHAPA]],TUT.CONTROL!F:F,TUT.CONTROL!H:H),_xlfn.XLOOKUP(Tabela2[[#This Row],[CHAPA]],'REG.CONTROL'!F:F,'REG.CONTROL'!H:H))</f>
        <v>TUTOR DE PRATICA (UC_1749)</v>
      </c>
      <c r="O279" s="68" t="str">
        <f>IFERROR(_xlfn.XLOOKUP(Tabela2[[#This Row],[NOME DO TUTOR]],TUT.CONTROL!C:C,TUT.CONTROL!K:K),"Demitido")</f>
        <v>004:00</v>
      </c>
      <c r="P27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79" s="66"/>
      <c r="R279" s="8"/>
      <c r="S279" s="8"/>
    </row>
    <row r="280" spans="1:19" ht="13.5" hidden="1" x14ac:dyDescent="0.3">
      <c r="A28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Florianópolis/SC - CentroAGMQUÍMICA E FÍSICA</v>
      </c>
      <c r="B280" s="8" t="str">
        <f>Tabela2[[#This Row],[CATEGORIA]]&amp;Tabela2[[#This Row],[CURSOS]]&amp;"LAP - "&amp;Tabela2[[#This Row],[POLO]]</f>
        <v>QUÍMICA E FÍSICAAGMLAP - Florianópolis/SC - Centro</v>
      </c>
      <c r="C280" s="8" t="str">
        <f>Tabela2[[#This Row],[CATEGORIA]]&amp;Tabela2[[#This Row],[CURSOS]]</f>
        <v>QUÍMICA E FÍSICAAGM</v>
      </c>
      <c r="D280" s="8" t="str">
        <f>IF(Tabela2[[#This Row],[SITUAÇÃO]]&lt;&gt;"Demitido",CONCATENATE(Tabela2[[#This Row],[POLO]],Tabela2[[#This Row],[CURSOS]]),"Substituição")</f>
        <v>Florianópolis/SC - CentroAGM</v>
      </c>
      <c r="E280" s="8" t="s">
        <v>734</v>
      </c>
      <c r="F280" s="67" t="s">
        <v>735</v>
      </c>
      <c r="G280" s="67" t="s">
        <v>287</v>
      </c>
      <c r="H280" s="9" t="s">
        <v>903</v>
      </c>
      <c r="I280" s="17" t="str">
        <f>IFERROR(_xlfn.XLOOKUP(Tabela2[[#This Row],[CHAPA]],TUT.CONTROL!F:F,TUT.CONTROL!I:I),_xlfn.XLOOKUP(Tabela2[[#This Row],[CHAPA]],'REG.CONTROL'!F:F,'REG.CONTROL'!I:I))</f>
        <v>Ativo</v>
      </c>
      <c r="J280" s="17">
        <f>IFERROR(_xlfn.XLOOKUP(Tabela2[[#This Row],[NOME DO TUTOR]],TUT.CONTROL!C:C,TUT.CONTROL!G:G),"Demitido")</f>
        <v>45882</v>
      </c>
      <c r="K280" s="19">
        <v>48998170223</v>
      </c>
      <c r="L280" s="22">
        <f>IFERROR(_xlfn.XLOOKUP(Tabela2[[#This Row],[NOME DO TUTOR]],TUT.CONTROL!C:C,TUT.CONTROL!F:F),"Demitido")</f>
        <v>1158000866</v>
      </c>
      <c r="M280" s="8" t="s">
        <v>904</v>
      </c>
      <c r="N280" s="11" t="str">
        <f>IFERROR(_xlfn.XLOOKUP(Tabela2[[#This Row],[CHAPA]],TUT.CONTROL!F:F,TUT.CONTROL!H:H),_xlfn.XLOOKUP(Tabela2[[#This Row],[CHAPA]],'REG.CONTROL'!F:F,'REG.CONTROL'!H:H))</f>
        <v>TUTOR DE PRATICA (UC_1749)</v>
      </c>
      <c r="O280" s="68" t="str">
        <f>IFERROR(_xlfn.XLOOKUP(Tabela2[[#This Row],[NOME DO TUTOR]],TUT.CONTROL!C:C,TUT.CONTROL!K:K),"Demitido")</f>
        <v>004:00</v>
      </c>
      <c r="P28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80" s="66" t="s">
        <v>30</v>
      </c>
      <c r="R280" s="8"/>
      <c r="S280" s="8"/>
    </row>
    <row r="281" spans="1:19" ht="13.5" hidden="1" x14ac:dyDescent="0.3">
      <c r="A28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Curitiba/PR - BoqueirãoAGMQUÍMICA E FÍSICA</v>
      </c>
      <c r="B281" s="8" t="str">
        <f>Tabela2[[#This Row],[CATEGORIA]]&amp;Tabela2[[#This Row],[CURSOS]]&amp;"LAP - "&amp;Tabela2[[#This Row],[POLO]]</f>
        <v>QUÍMICA E FÍSICAAGMLAP - Curitiba/PR - Boqueirão</v>
      </c>
      <c r="C281" s="8" t="str">
        <f>Tabela2[[#This Row],[CATEGORIA]]&amp;Tabela2[[#This Row],[CURSOS]]</f>
        <v>QUÍMICA E FÍSICAAGM</v>
      </c>
      <c r="D281" s="8" t="str">
        <f>IF(Tabela2[[#This Row],[SITUAÇÃO]]&lt;&gt;"Demitido",CONCATENATE(Tabela2[[#This Row],[POLO]],Tabela2[[#This Row],[CURSOS]]),"Substituição")</f>
        <v>Curitiba/PR - BoqueirãoAGM</v>
      </c>
      <c r="E281" s="8" t="s">
        <v>734</v>
      </c>
      <c r="F281" s="67" t="s">
        <v>735</v>
      </c>
      <c r="G281" s="67" t="s">
        <v>256</v>
      </c>
      <c r="H281" s="9" t="s">
        <v>905</v>
      </c>
      <c r="I281" s="17" t="str">
        <f>IFERROR(_xlfn.XLOOKUP(Tabela2[[#This Row],[CHAPA]],TUT.CONTROL!F:F,TUT.CONTROL!I:I),_xlfn.XLOOKUP(Tabela2[[#This Row],[CHAPA]],'REG.CONTROL'!F:F,'REG.CONTROL'!I:I))</f>
        <v>Ativo</v>
      </c>
      <c r="J281" s="17">
        <f>IFERROR(_xlfn.XLOOKUP(Tabela2[[#This Row],[NOME DO TUTOR]],TUT.CONTROL!C:C,TUT.CONTROL!G:G),"Demitido")</f>
        <v>45882</v>
      </c>
      <c r="K281" s="19">
        <v>41984563906</v>
      </c>
      <c r="L281" s="22">
        <f>IFERROR(_xlfn.XLOOKUP(Tabela2[[#This Row],[NOME DO TUTOR]],TUT.CONTROL!C:C,TUT.CONTROL!F:F),"Demitido")</f>
        <v>1158000879</v>
      </c>
      <c r="M281" s="8" t="s">
        <v>906</v>
      </c>
      <c r="N281" s="11" t="str">
        <f>IFERROR(_xlfn.XLOOKUP(Tabela2[[#This Row],[CHAPA]],TUT.CONTROL!F:F,TUT.CONTROL!H:H),_xlfn.XLOOKUP(Tabela2[[#This Row],[CHAPA]],'REG.CONTROL'!F:F,'REG.CONTROL'!H:H))</f>
        <v>TUTOR DE PRATICA (UC_1749)</v>
      </c>
      <c r="O281" s="68" t="str">
        <f>IFERROR(_xlfn.XLOOKUP(Tabela2[[#This Row],[NOME DO TUTOR]],TUT.CONTROL!C:C,TUT.CONTROL!K:K),"Demitido")</f>
        <v>004:00</v>
      </c>
      <c r="P28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81" s="66"/>
      <c r="R281" s="8"/>
      <c r="S281" s="8"/>
    </row>
    <row r="282" spans="1:19" ht="13.5" hidden="1" x14ac:dyDescent="0.3">
      <c r="A28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82" s="8" t="str">
        <f>Tabela2[[#This Row],[CATEGORIA]]&amp;Tabela2[[#This Row],[CURSOS]]&amp;"LAP - "&amp;Tabela2[[#This Row],[POLO]]</f>
        <v>BIO-FAR (Multidisciplinar I)BFRLAP - São Luís/MA - Região Central</v>
      </c>
      <c r="C282" s="8" t="str">
        <f>Tabela2[[#This Row],[CATEGORIA]]&amp;Tabela2[[#This Row],[CURSOS]]</f>
        <v>BIO-FAR (Multidisciplinar I)BFR</v>
      </c>
      <c r="D282" s="8" t="str">
        <f>IF(Tabela2[[#This Row],[SITUAÇÃO]]&lt;&gt;"Demitido",CONCATENATE(Tabela2[[#This Row],[POLO]],Tabela2[[#This Row],[CURSOS]]),"Substituição")</f>
        <v>Substituição</v>
      </c>
      <c r="E282" s="8" t="s">
        <v>771</v>
      </c>
      <c r="F282" s="67" t="s">
        <v>772</v>
      </c>
      <c r="G282" s="67" t="s">
        <v>907</v>
      </c>
      <c r="H282" s="9" t="s">
        <v>908</v>
      </c>
      <c r="I282" s="17" t="str">
        <f>IFERROR(_xlfn.XLOOKUP(Tabela2[[#This Row],[CHAPA]],TUT.CONTROL!F:F,TUT.CONTROL!I:I),_xlfn.XLOOKUP(Tabela2[[#This Row],[CHAPA]],'REG.CONTROL'!F:F,'REG.CONTROL'!I:I))</f>
        <v>Demitido</v>
      </c>
      <c r="J282" s="17">
        <f>IFERROR(_xlfn.XLOOKUP(Tabela2[[#This Row],[NOME DO TUTOR]],TUT.CONTROL!C:C,TUT.CONTROL!G:G),"Demitido")</f>
        <v>45882</v>
      </c>
      <c r="K282" s="19">
        <v>98991417815</v>
      </c>
      <c r="L282" s="22">
        <f>IFERROR(_xlfn.XLOOKUP(Tabela2[[#This Row],[NOME DO TUTOR]],TUT.CONTROL!C:C,TUT.CONTROL!F:F),"Demitido")</f>
        <v>1158000877</v>
      </c>
      <c r="M282" s="8" t="s">
        <v>909</v>
      </c>
      <c r="N282" s="11" t="str">
        <f>IFERROR(_xlfn.XLOOKUP(Tabela2[[#This Row],[CHAPA]],TUT.CONTROL!F:F,TUT.CONTROL!H:H),_xlfn.XLOOKUP(Tabela2[[#This Row],[CHAPA]],'REG.CONTROL'!F:F,'REG.CONTROL'!H:H))</f>
        <v>TUTOR DE PRATICA (UC_1749)</v>
      </c>
      <c r="O282" s="68" t="str">
        <f>IFERROR(_xlfn.XLOOKUP(Tabela2[[#This Row],[NOME DO TUTOR]],TUT.CONTROL!C:C,TUT.CONTROL!K:K),"Demitido")</f>
        <v>004:00</v>
      </c>
      <c r="P282" s="17">
        <f>IF(Tabela2[[#This Row],[SITUAÇÃO]]="Demitido",IFERROR(_xlfn.XLOOKUP(Tabela2[[#This Row],[CHAPA]],TUT.CONTROL!F:F,TUT.CONTROL!V:V),_xlfn.XLOOKUP(Tabela2[[#This Row],[CHAPA]],'REG.CONTROL'!F:F,'REG.CONTROL'!V:V)),"-")</f>
        <v>46042</v>
      </c>
      <c r="Q282" s="66" t="s">
        <v>43</v>
      </c>
      <c r="R282" s="8" t="s">
        <v>910</v>
      </c>
      <c r="S282" s="8">
        <v>9470</v>
      </c>
    </row>
    <row r="283" spans="1:19" ht="13.5" hidden="1" x14ac:dyDescent="0.3">
      <c r="A28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83" s="8" t="str">
        <f>Tabela2[[#This Row],[CATEGORIA]]&amp;Tabela2[[#This Row],[CURSOS]]&amp;"LAP - "&amp;Tabela2[[#This Row],[POLO]]</f>
        <v>BIO-FAR (Multidisciplinar I)BFRLAP - Macaé/RJ</v>
      </c>
      <c r="C283" s="8" t="str">
        <f>Tabela2[[#This Row],[CATEGORIA]]&amp;Tabela2[[#This Row],[CURSOS]]</f>
        <v>BIO-FAR (Multidisciplinar I)BFR</v>
      </c>
      <c r="D283" s="8" t="str">
        <f>IF(Tabela2[[#This Row],[SITUAÇÃO]]&lt;&gt;"Demitido",CONCATENATE(Tabela2[[#This Row],[POLO]],Tabela2[[#This Row],[CURSOS]]),"Substituição")</f>
        <v>Substituição</v>
      </c>
      <c r="E283" s="8" t="s">
        <v>771</v>
      </c>
      <c r="F283" s="67" t="s">
        <v>772</v>
      </c>
      <c r="G283" s="67" t="s">
        <v>911</v>
      </c>
      <c r="H283" s="9" t="s">
        <v>912</v>
      </c>
      <c r="I283" s="17" t="str">
        <f>IFERROR(_xlfn.XLOOKUP(Tabela2[[#This Row],[CHAPA]],TUT.CONTROL!F:F,TUT.CONTROL!I:I),_xlfn.XLOOKUP(Tabela2[[#This Row],[CHAPA]],'REG.CONTROL'!F:F,'REG.CONTROL'!I:I))</f>
        <v>Demitido</v>
      </c>
      <c r="J283" s="17">
        <f>IFERROR(_xlfn.XLOOKUP(Tabela2[[#This Row],[NOME DO TUTOR]],TUT.CONTROL!C:C,TUT.CONTROL!G:G),"Demitido")</f>
        <v>45882</v>
      </c>
      <c r="K283" s="19">
        <v>22997820324</v>
      </c>
      <c r="L283" s="22">
        <f>IFERROR(_xlfn.XLOOKUP(Tabela2[[#This Row],[NOME DO TUTOR]],TUT.CONTROL!C:C,TUT.CONTROL!F:F),"Demitido")</f>
        <v>1158000874</v>
      </c>
      <c r="M283" s="8" t="s">
        <v>913</v>
      </c>
      <c r="N283" s="11" t="str">
        <f>IFERROR(_xlfn.XLOOKUP(Tabela2[[#This Row],[CHAPA]],TUT.CONTROL!F:F,TUT.CONTROL!H:H),_xlfn.XLOOKUP(Tabela2[[#This Row],[CHAPA]],'REG.CONTROL'!F:F,'REG.CONTROL'!H:H))</f>
        <v>TUTOR DE PRATICA (UC_1749)</v>
      </c>
      <c r="O283" s="68" t="str">
        <f>IFERROR(_xlfn.XLOOKUP(Tabela2[[#This Row],[NOME DO TUTOR]],TUT.CONTROL!C:C,TUT.CONTROL!K:K),"Demitido")</f>
        <v>004:00</v>
      </c>
      <c r="P283" s="17">
        <f>IF(Tabela2[[#This Row],[SITUAÇÃO]]="Demitido",IFERROR(_xlfn.XLOOKUP(Tabela2[[#This Row],[CHAPA]],TUT.CONTROL!F:F,TUT.CONTROL!V:V),_xlfn.XLOOKUP(Tabela2[[#This Row],[CHAPA]],'REG.CONTROL'!F:F,'REG.CONTROL'!V:V)),"-")</f>
        <v>46043</v>
      </c>
      <c r="Q283" s="66" t="s">
        <v>43</v>
      </c>
      <c r="R283" s="8" t="s">
        <v>836</v>
      </c>
      <c r="S283" s="8">
        <v>29806</v>
      </c>
    </row>
    <row r="284" spans="1:19" ht="13.5" hidden="1" customHeight="1" x14ac:dyDescent="0.3">
      <c r="A28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84" s="8" t="str">
        <f>Tabela2[[#This Row],[CATEGORIA]]&amp;Tabela2[[#This Row],[CURSOS]]&amp;"LAP - "&amp;Tabela2[[#This Row],[POLO]]</f>
        <v>BIO-FISIO-EST-TO (Multidisciplinar III)COS-TIPLAP - Itajaí/SC - São Vicente</v>
      </c>
      <c r="C284" s="8" t="str">
        <f>Tabela2[[#This Row],[CATEGORIA]]&amp;Tabela2[[#This Row],[CURSOS]]</f>
        <v>BIO-FISIO-EST-TO (Multidisciplinar III)COS-TIP</v>
      </c>
      <c r="D284" s="8" t="str">
        <f>IF(Tabela2[[#This Row],[SITUAÇÃO]]&lt;&gt;"Demitido",CONCATENATE(Tabela2[[#This Row],[POLO]],Tabela2[[#This Row],[CURSOS]]),"Substituição")</f>
        <v>Substituição</v>
      </c>
      <c r="E284" s="8" t="s">
        <v>757</v>
      </c>
      <c r="F284" s="67" t="s">
        <v>900</v>
      </c>
      <c r="G284" s="67" t="s">
        <v>366</v>
      </c>
      <c r="H284" s="9" t="s">
        <v>914</v>
      </c>
      <c r="I284" s="17" t="str">
        <f>IFERROR(_xlfn.XLOOKUP(Tabela2[[#This Row],[CHAPA]],TUT.CONTROL!F:F,TUT.CONTROL!I:I),_xlfn.XLOOKUP(Tabela2[[#This Row],[CHAPA]],'REG.CONTROL'!F:F,'REG.CONTROL'!I:I))</f>
        <v>Demitido</v>
      </c>
      <c r="J284" s="17">
        <f>IFERROR(_xlfn.XLOOKUP(Tabela2[[#This Row],[NOME DO TUTOR]],TUT.CONTROL!C:C,TUT.CONTROL!G:G),"Demitido")</f>
        <v>45882</v>
      </c>
      <c r="K284" s="19">
        <v>54984340005</v>
      </c>
      <c r="L284" s="22">
        <f>IFERROR(_xlfn.XLOOKUP(Tabela2[[#This Row],[NOME DO TUTOR]],TUT.CONTROL!C:C,TUT.CONTROL!F:F),"Demitido")</f>
        <v>1158000875</v>
      </c>
      <c r="M284" s="8" t="s">
        <v>915</v>
      </c>
      <c r="N284" s="11" t="str">
        <f>IFERROR(_xlfn.XLOOKUP(Tabela2[[#This Row],[CHAPA]],TUT.CONTROL!F:F,TUT.CONTROL!H:H),_xlfn.XLOOKUP(Tabela2[[#This Row],[CHAPA]],'REG.CONTROL'!F:F,'REG.CONTROL'!H:H))</f>
        <v>TUTOR DE PRATICA (UC_1749)</v>
      </c>
      <c r="O284" s="68" t="str">
        <f>IFERROR(_xlfn.XLOOKUP(Tabela2[[#This Row],[NOME DO TUTOR]],TUT.CONTROL!C:C,TUT.CONTROL!K:K),"Demitido")</f>
        <v>004:00</v>
      </c>
      <c r="P284" s="17">
        <f>IF(Tabela2[[#This Row],[SITUAÇÃO]]="Demitido",IFERROR(_xlfn.XLOOKUP(Tabela2[[#This Row],[CHAPA]],TUT.CONTROL!F:F,TUT.CONTROL!V:V),_xlfn.XLOOKUP(Tabela2[[#This Row],[CHAPA]],'REG.CONTROL'!F:F,'REG.CONTROL'!V:V)),"-")</f>
        <v>46054</v>
      </c>
      <c r="Q284" s="66" t="s">
        <v>43</v>
      </c>
      <c r="R284" s="8"/>
      <c r="S284" s="8"/>
    </row>
    <row r="285" spans="1:19" ht="13.5" hidden="1" x14ac:dyDescent="0.3">
      <c r="A28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85" s="8" t="str">
        <f>Tabela2[[#This Row],[CATEGORIA]]&amp;Tabela2[[#This Row],[CURSOS]]&amp;"LAP - "&amp;Tabela2[[#This Row],[POLO]]</f>
        <v>BIO-FAR (Multidisciplinar I)BFRLAP - Corumbá/MS</v>
      </c>
      <c r="C285" s="8" t="str">
        <f>Tabela2[[#This Row],[CATEGORIA]]&amp;Tabela2[[#This Row],[CURSOS]]</f>
        <v>BIO-FAR (Multidisciplinar I)BFR</v>
      </c>
      <c r="D285" s="8" t="str">
        <f>IF(Tabela2[[#This Row],[SITUAÇÃO]]&lt;&gt;"Demitido",CONCATENATE(Tabela2[[#This Row],[POLO]],Tabela2[[#This Row],[CURSOS]]),"Substituição")</f>
        <v>Substituição</v>
      </c>
      <c r="E285" s="8" t="s">
        <v>771</v>
      </c>
      <c r="F285" s="67" t="s">
        <v>772</v>
      </c>
      <c r="G285" s="67" t="s">
        <v>235</v>
      </c>
      <c r="H285" s="9" t="s">
        <v>916</v>
      </c>
      <c r="I285" s="17" t="str">
        <f>IFERROR(_xlfn.XLOOKUP(Tabela2[[#This Row],[CHAPA]],TUT.CONTROL!F:F,TUT.CONTROL!I:I),_xlfn.XLOOKUP(Tabela2[[#This Row],[CHAPA]],'REG.CONTROL'!F:F,'REG.CONTROL'!I:I))</f>
        <v>Demitido</v>
      </c>
      <c r="J285" s="17">
        <f>IFERROR(_xlfn.XLOOKUP(Tabela2[[#This Row],[NOME DO TUTOR]],TUT.CONTROL!C:C,TUT.CONTROL!G:G),"Demitido")</f>
        <v>45882</v>
      </c>
      <c r="K285" s="19">
        <v>21967070057</v>
      </c>
      <c r="L285" s="22">
        <f>IFERROR(_xlfn.XLOOKUP(Tabela2[[#This Row],[NOME DO TUTOR]],TUT.CONTROL!C:C,TUT.CONTROL!F:F),"Demitido")</f>
        <v>1158000873</v>
      </c>
      <c r="M285" s="8" t="s">
        <v>917</v>
      </c>
      <c r="N285" s="11" t="str">
        <f>IFERROR(_xlfn.XLOOKUP(Tabela2[[#This Row],[CHAPA]],TUT.CONTROL!F:F,TUT.CONTROL!H:H),_xlfn.XLOOKUP(Tabela2[[#This Row],[CHAPA]],'REG.CONTROL'!F:F,'REG.CONTROL'!H:H))</f>
        <v>TUTOR DE PRATICA (UC_1749)</v>
      </c>
      <c r="O285" s="68" t="str">
        <f>IFERROR(_xlfn.XLOOKUP(Tabela2[[#This Row],[NOME DO TUTOR]],TUT.CONTROL!C:C,TUT.CONTROL!K:K),"Demitido")</f>
        <v>004:00</v>
      </c>
      <c r="P285" s="17">
        <f>IF(Tabela2[[#This Row],[SITUAÇÃO]]="Demitido",IFERROR(_xlfn.XLOOKUP(Tabela2[[#This Row],[CHAPA]],TUT.CONTROL!F:F,TUT.CONTROL!V:V),_xlfn.XLOOKUP(Tabela2[[#This Row],[CHAPA]],'REG.CONTROL'!F:F,'REG.CONTROL'!V:V)),"-")</f>
        <v>46055</v>
      </c>
      <c r="Q285" s="66" t="s">
        <v>43</v>
      </c>
      <c r="R285" s="8"/>
      <c r="S285" s="8"/>
    </row>
    <row r="286" spans="1:19" ht="13.5" hidden="1" x14ac:dyDescent="0.3">
      <c r="A28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86" s="8" t="str">
        <f>Tabela2[[#This Row],[CATEGORIA]]&amp;Tabela2[[#This Row],[CURSOS]]&amp;"LAP - "&amp;Tabela2[[#This Row],[POLO]]</f>
        <v>BIO-FISIO-EST-TO (Multidisciplinar III)BFILAP - São Paulo/SP - Tatuapé</v>
      </c>
      <c r="C286" s="8" t="str">
        <f>Tabela2[[#This Row],[CATEGORIA]]&amp;Tabela2[[#This Row],[CURSOS]]</f>
        <v>BIO-FISIO-EST-TO (Multidisciplinar III)BFI</v>
      </c>
      <c r="D286" s="8" t="str">
        <f>IF(Tabela2[[#This Row],[SITUAÇÃO]]&lt;&gt;"Demitido",CONCATENATE(Tabela2[[#This Row],[POLO]],Tabela2[[#This Row],[CURSOS]]),"Substituição")</f>
        <v>Substituição</v>
      </c>
      <c r="E286" s="8" t="s">
        <v>757</v>
      </c>
      <c r="F286" s="67" t="s">
        <v>758</v>
      </c>
      <c r="G286" s="67" t="s">
        <v>431</v>
      </c>
      <c r="H286" s="9" t="s">
        <v>918</v>
      </c>
      <c r="I286" s="17" t="str">
        <f>IFERROR(_xlfn.XLOOKUP(Tabela2[[#This Row],[CHAPA]],TUT.CONTROL!F:F,TUT.CONTROL!I:I),_xlfn.XLOOKUP(Tabela2[[#This Row],[CHAPA]],'REG.CONTROL'!F:F,'REG.CONTROL'!I:I))</f>
        <v>Demitido</v>
      </c>
      <c r="J286" s="17">
        <f>IFERROR(_xlfn.XLOOKUP(Tabela2[[#This Row],[NOME DO TUTOR]],TUT.CONTROL!C:C,TUT.CONTROL!G:G),"Demitido")</f>
        <v>45882</v>
      </c>
      <c r="K286" s="19">
        <v>11972881949</v>
      </c>
      <c r="L286" s="22">
        <f>IFERROR(_xlfn.XLOOKUP(Tabela2[[#This Row],[NOME DO TUTOR]],TUT.CONTROL!C:C,TUT.CONTROL!F:F),"Demitido")</f>
        <v>1158000871</v>
      </c>
      <c r="M286" s="8" t="s">
        <v>919</v>
      </c>
      <c r="N286" s="11" t="str">
        <f>IFERROR(_xlfn.XLOOKUP(Tabela2[[#This Row],[CHAPA]],TUT.CONTROL!F:F,TUT.CONTROL!H:H),_xlfn.XLOOKUP(Tabela2[[#This Row],[CHAPA]],'REG.CONTROL'!F:F,'REG.CONTROL'!H:H))</f>
        <v>TUTOR DE PRATICA (UC_1749)</v>
      </c>
      <c r="O286" s="68" t="str">
        <f>IFERROR(_xlfn.XLOOKUP(Tabela2[[#This Row],[NOME DO TUTOR]],TUT.CONTROL!C:C,TUT.CONTROL!K:K),"Demitido")</f>
        <v>004:00</v>
      </c>
      <c r="P286" s="17">
        <f>IF(Tabela2[[#This Row],[SITUAÇÃO]]="Demitido",IFERROR(_xlfn.XLOOKUP(Tabela2[[#This Row],[CHAPA]],TUT.CONTROL!F:F,TUT.CONTROL!V:V),_xlfn.XLOOKUP(Tabela2[[#This Row],[CHAPA]],'REG.CONTROL'!F:F,'REG.CONTROL'!V:V)),"-")</f>
        <v>46062</v>
      </c>
      <c r="Q286" s="66" t="s">
        <v>43</v>
      </c>
      <c r="R286" s="8"/>
      <c r="S286" s="8"/>
    </row>
    <row r="287" spans="1:19" ht="13.5" hidden="1" x14ac:dyDescent="0.3">
      <c r="A28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87" s="8" t="str">
        <f>Tabela2[[#This Row],[CATEGORIA]]&amp;Tabela2[[#This Row],[CURSOS]]&amp;"LAP - "&amp;Tabela2[[#This Row],[POLO]]</f>
        <v>BIO-FAR (Multidisciplinar I)BFRLAP - Blumenau/SC - Salto Do Norte (Centro Universitário Dante)</v>
      </c>
      <c r="C287" s="8" t="str">
        <f>Tabela2[[#This Row],[CATEGORIA]]&amp;Tabela2[[#This Row],[CURSOS]]</f>
        <v>BIO-FAR (Multidisciplinar I)BFR</v>
      </c>
      <c r="D287" s="8" t="str">
        <f>IF(Tabela2[[#This Row],[SITUAÇÃO]]&lt;&gt;"Demitido",CONCATENATE(Tabela2[[#This Row],[POLO]],Tabela2[[#This Row],[CURSOS]]),"Substituição")</f>
        <v>Substituição</v>
      </c>
      <c r="E287" s="8" t="s">
        <v>771</v>
      </c>
      <c r="F287" s="67" t="s">
        <v>772</v>
      </c>
      <c r="G287" s="67" t="s">
        <v>110</v>
      </c>
      <c r="H287" s="9" t="s">
        <v>920</v>
      </c>
      <c r="I287" s="17" t="str">
        <f>IFERROR(_xlfn.XLOOKUP(Tabela2[[#This Row],[CHAPA]],TUT.CONTROL!F:F,TUT.CONTROL!I:I),_xlfn.XLOOKUP(Tabela2[[#This Row],[CHAPA]],'REG.CONTROL'!F:F,'REG.CONTROL'!I:I))</f>
        <v>Demitido</v>
      </c>
      <c r="J287" s="17">
        <f>IFERROR(_xlfn.XLOOKUP(Tabela2[[#This Row],[NOME DO TUTOR]],TUT.CONTROL!C:C,TUT.CONTROL!G:G),"Demitido")</f>
        <v>45882</v>
      </c>
      <c r="K287" s="19">
        <v>47991428458</v>
      </c>
      <c r="L287" s="22">
        <f>IFERROR(_xlfn.XLOOKUP(Tabela2[[#This Row],[NOME DO TUTOR]],TUT.CONTROL!C:C,TUT.CONTROL!F:F),"Demitido")</f>
        <v>1158000878</v>
      </c>
      <c r="M287" s="8" t="s">
        <v>921</v>
      </c>
      <c r="N287" s="11" t="str">
        <f>IFERROR(_xlfn.XLOOKUP(Tabela2[[#This Row],[CHAPA]],TUT.CONTROL!F:F,TUT.CONTROL!H:H),_xlfn.XLOOKUP(Tabela2[[#This Row],[CHAPA]],'REG.CONTROL'!F:F,'REG.CONTROL'!H:H))</f>
        <v>TUTOR DE PRATICA (UC_1749)</v>
      </c>
      <c r="O287" s="68" t="str">
        <f>IFERROR(_xlfn.XLOOKUP(Tabela2[[#This Row],[NOME DO TUTOR]],TUT.CONTROL!C:C,TUT.CONTROL!K:K),"Demitido")</f>
        <v>004:00</v>
      </c>
      <c r="P287" s="17">
        <f>IF(Tabela2[[#This Row],[SITUAÇÃO]]="Demitido",IFERROR(_xlfn.XLOOKUP(Tabela2[[#This Row],[CHAPA]],TUT.CONTROL!F:F,TUT.CONTROL!V:V),_xlfn.XLOOKUP(Tabela2[[#This Row],[CHAPA]],'REG.CONTROL'!F:F,'REG.CONTROL'!V:V)),"-")</f>
        <v>46119</v>
      </c>
      <c r="Q287" s="66"/>
      <c r="R287" s="8"/>
      <c r="S287" s="8"/>
    </row>
    <row r="288" spans="1:19" ht="13.5" hidden="1" x14ac:dyDescent="0.3">
      <c r="A28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88" s="8" t="str">
        <f>Tabela2[[#This Row],[CATEGORIA]]&amp;Tabela2[[#This Row],[CURSOS]]&amp;"LAP - "&amp;Tabela2[[#This Row],[POLO]]</f>
        <v>BIO-FISIO-EST-TO (Multidisciplinar III)BFILAP - Cariacica/ES - Shopping Moxuara</v>
      </c>
      <c r="C288" s="8" t="str">
        <f>Tabela2[[#This Row],[CATEGORIA]]&amp;Tabela2[[#This Row],[CURSOS]]</f>
        <v>BIO-FISIO-EST-TO (Multidisciplinar III)BFI</v>
      </c>
      <c r="D288" s="8" t="str">
        <f>IF(Tabela2[[#This Row],[SITUAÇÃO]]&lt;&gt;"Demitido",CONCATENATE(Tabela2[[#This Row],[POLO]],Tabela2[[#This Row],[CURSOS]]),"Substituição")</f>
        <v>Substituição</v>
      </c>
      <c r="E288" s="8" t="s">
        <v>757</v>
      </c>
      <c r="F288" s="67" t="s">
        <v>758</v>
      </c>
      <c r="G288" s="67" t="s">
        <v>922</v>
      </c>
      <c r="H288" s="9" t="s">
        <v>923</v>
      </c>
      <c r="I288" s="17" t="str">
        <f>IFERROR(_xlfn.XLOOKUP(Tabela2[[#This Row],[CHAPA]],TUT.CONTROL!F:F,TUT.CONTROL!I:I),_xlfn.XLOOKUP(Tabela2[[#This Row],[CHAPA]],'REG.CONTROL'!F:F,'REG.CONTROL'!I:I))</f>
        <v>Demitido</v>
      </c>
      <c r="J288" s="17">
        <f>IFERROR(_xlfn.XLOOKUP(Tabela2[[#This Row],[NOME DO TUTOR]],TUT.CONTROL!C:C,TUT.CONTROL!G:G),"Demitido")</f>
        <v>45887</v>
      </c>
      <c r="K288" s="19">
        <v>27999338387</v>
      </c>
      <c r="L288" s="22">
        <f>IFERROR(_xlfn.XLOOKUP(Tabela2[[#This Row],[NOME DO TUTOR]],TUT.CONTROL!C:C,TUT.CONTROL!F:F),"Demitido")</f>
        <v>1158000896</v>
      </c>
      <c r="M288" s="8" t="s">
        <v>924</v>
      </c>
      <c r="N288" s="11" t="str">
        <f>IFERROR(_xlfn.XLOOKUP(Tabela2[[#This Row],[CHAPA]],TUT.CONTROL!F:F,TUT.CONTROL!H:H),_xlfn.XLOOKUP(Tabela2[[#This Row],[CHAPA]],'REG.CONTROL'!F:F,'REG.CONTROL'!H:H))</f>
        <v>TUTOR DE PRATICA (UC_1749)</v>
      </c>
      <c r="O288" s="68" t="str">
        <f>IFERROR(_xlfn.XLOOKUP(Tabela2[[#This Row],[NOME DO TUTOR]],TUT.CONTROL!C:C,TUT.CONTROL!K:K),"Demitido")</f>
        <v>004:00</v>
      </c>
      <c r="P288" s="17">
        <f>IF(Tabela2[[#This Row],[SITUAÇÃO]]="Demitido",IFERROR(_xlfn.XLOOKUP(Tabela2[[#This Row],[CHAPA]],TUT.CONTROL!F:F,TUT.CONTROL!V:V),_xlfn.XLOOKUP(Tabela2[[#This Row],[CHAPA]],'REG.CONTROL'!F:F,'REG.CONTROL'!V:V)),"-")</f>
        <v>45903</v>
      </c>
      <c r="Q288" s="66" t="s">
        <v>43</v>
      </c>
      <c r="R288" s="8"/>
      <c r="S288" s="8"/>
    </row>
    <row r="289" spans="1:19" ht="13.5" hidden="1" x14ac:dyDescent="0.3">
      <c r="A28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Santa Fé do Sul/SPEMF-ISNENF-INS (Multidisciplinar II)</v>
      </c>
      <c r="B289" s="8" t="str">
        <f>Tabela2[[#This Row],[CATEGORIA]]&amp;Tabela2[[#This Row],[CURSOS]]&amp;"LAP - "&amp;Tabela2[[#This Row],[POLO]]</f>
        <v>ENF-INS (Multidisciplinar II)EMF-ISNLAP - Santa Fé do Sul/SP</v>
      </c>
      <c r="C289" s="8" t="str">
        <f>Tabela2[[#This Row],[CATEGORIA]]&amp;Tabela2[[#This Row],[CURSOS]]</f>
        <v>ENF-INS (Multidisciplinar II)EMF-ISN</v>
      </c>
      <c r="D289" s="8" t="str">
        <f>IF(Tabela2[[#This Row],[SITUAÇÃO]]&lt;&gt;"Demitido",CONCATENATE(Tabela2[[#This Row],[POLO]],Tabela2[[#This Row],[CURSOS]]),"Substituição")</f>
        <v>Santa Fé do Sul/SPEMF-ISN</v>
      </c>
      <c r="E289" s="8" t="s">
        <v>21</v>
      </c>
      <c r="F289" s="67" t="s">
        <v>22</v>
      </c>
      <c r="G289" s="67" t="s">
        <v>925</v>
      </c>
      <c r="H289" s="9" t="s">
        <v>926</v>
      </c>
      <c r="I289" s="17" t="str">
        <f>IFERROR(_xlfn.XLOOKUP(Tabela2[[#This Row],[CHAPA]],TUT.CONTROL!F:F,TUT.CONTROL!I:I),_xlfn.XLOOKUP(Tabela2[[#This Row],[CHAPA]],'REG.CONTROL'!F:F,'REG.CONTROL'!I:I))</f>
        <v>Ativo</v>
      </c>
      <c r="J289" s="17">
        <f>IFERROR(_xlfn.XLOOKUP(Tabela2[[#This Row],[NOME DO TUTOR]],'REG.CONTROL'!C:C,'REG.CONTROL'!G:G),"Demitido")</f>
        <v>44781</v>
      </c>
      <c r="K289" s="19">
        <v>17997818127</v>
      </c>
      <c r="L289" s="22">
        <f>IFERROR(_xlfn.XLOOKUP(Tabela2[[#This Row],[NOME DO TUTOR]],'REG.CONTROL'!C:C,'REG.CONTROL'!F:F),"Demitido")</f>
        <v>1004010449</v>
      </c>
      <c r="M289" s="8" t="s">
        <v>927</v>
      </c>
      <c r="N289" s="11" t="str">
        <f>IFERROR(_xlfn.XLOOKUP(Tabela2[[#This Row],[CHAPA]],TUT.CONTROL!F:F,TUT.CONTROL!H:H),_xlfn.XLOOKUP(Tabela2[[#This Row],[CHAPA]],'REG.CONTROL'!F:F,'REG.CONTROL'!H:H))</f>
        <v>PROFESSOR REGENTE DE POLO (UC_1744)</v>
      </c>
      <c r="O289" s="68" t="str">
        <f>IFERROR(_xlfn.XLOOKUP(Tabela2[[#This Row],[NOME DO TUTOR]],'REGENTE CH'!A:A,'REGENTE CH'!C:C),"Atualizar")</f>
        <v>004:00</v>
      </c>
      <c r="P28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89" s="66" t="s">
        <v>30</v>
      </c>
      <c r="R289" s="8" t="s">
        <v>75</v>
      </c>
      <c r="S289" s="8">
        <v>231488</v>
      </c>
    </row>
    <row r="290" spans="1:19" ht="13.5" hidden="1" customHeight="1" x14ac:dyDescent="0.3">
      <c r="A29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90" s="8" t="str">
        <f>Tabela2[[#This Row],[CATEGORIA]]&amp;Tabela2[[#This Row],[CURSOS]]&amp;"LAP - "&amp;Tabela2[[#This Row],[POLO]]</f>
        <v>BIO-FAR (Multidisciplinar I)BFRLAP - Novo Hamburgo/RS - Centro</v>
      </c>
      <c r="C290" s="8" t="str">
        <f>Tabela2[[#This Row],[CATEGORIA]]&amp;Tabela2[[#This Row],[CURSOS]]</f>
        <v>BIO-FAR (Multidisciplinar I)BFR</v>
      </c>
      <c r="D290" s="8" t="str">
        <f>IF(Tabela2[[#This Row],[SITUAÇÃO]]&lt;&gt;"Demitido",CONCATENATE(Tabela2[[#This Row],[POLO]],Tabela2[[#This Row],[CURSOS]]),"Substituição")</f>
        <v>Substituição</v>
      </c>
      <c r="E290" s="8" t="s">
        <v>771</v>
      </c>
      <c r="F290" s="67" t="s">
        <v>772</v>
      </c>
      <c r="G290" s="67" t="s">
        <v>520</v>
      </c>
      <c r="H290" s="9" t="s">
        <v>928</v>
      </c>
      <c r="I290" s="17" t="str">
        <f>IFERROR(_xlfn.XLOOKUP(Tabela2[[#This Row],[CHAPA]],TUT.CONTROL!F:F,TUT.CONTROL!I:I),_xlfn.XLOOKUP(Tabela2[[#This Row],[CHAPA]],'REG.CONTROL'!F:F,'REG.CONTROL'!I:I))</f>
        <v>Demitido</v>
      </c>
      <c r="J290" s="17">
        <f>IFERROR(_xlfn.XLOOKUP(Tabela2[[#This Row],[NOME DO TUTOR]],TUT.CONTROL!C:C,TUT.CONTROL!G:G),"Demitido")</f>
        <v>45887</v>
      </c>
      <c r="K290" s="19">
        <v>54996681067</v>
      </c>
      <c r="L290" s="22">
        <f>IFERROR(_xlfn.XLOOKUP(Tabela2[[#This Row],[NOME DO TUTOR]],TUT.CONTROL!C:C,TUT.CONTROL!F:F),"Demitido")</f>
        <v>1158000880</v>
      </c>
      <c r="M290" s="8" t="s">
        <v>929</v>
      </c>
      <c r="N290" s="11" t="str">
        <f>IFERROR(_xlfn.XLOOKUP(Tabela2[[#This Row],[CHAPA]],TUT.CONTROL!F:F,TUT.CONTROL!H:H),_xlfn.XLOOKUP(Tabela2[[#This Row],[CHAPA]],'REG.CONTROL'!F:F,'REG.CONTROL'!H:H))</f>
        <v>TUTOR DE PRATICA (UC_1749)</v>
      </c>
      <c r="O290" s="68" t="str">
        <f>IFERROR(_xlfn.XLOOKUP(Tabela2[[#This Row],[NOME DO TUTOR]],TUT.CONTROL!C:C,TUT.CONTROL!K:K),"Demitido")</f>
        <v>004:00</v>
      </c>
      <c r="P290" s="17">
        <f>IF(Tabela2[[#This Row],[SITUAÇÃO]]="Demitido",IFERROR(_xlfn.XLOOKUP(Tabela2[[#This Row],[CHAPA]],TUT.CONTROL!F:F,TUT.CONTROL!V:V),_xlfn.XLOOKUP(Tabela2[[#This Row],[CHAPA]],'REG.CONTROL'!F:F,'REG.CONTROL'!V:V)),"-")</f>
        <v>45933</v>
      </c>
      <c r="Q290" s="66" t="s">
        <v>43</v>
      </c>
      <c r="R290" s="8"/>
      <c r="S290" s="8"/>
    </row>
    <row r="291" spans="1:19" ht="13.5" hidden="1" x14ac:dyDescent="0.3">
      <c r="A29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91" s="8" t="str">
        <f>Tabela2[[#This Row],[CATEGORIA]]&amp;Tabela2[[#This Row],[CURSOS]]&amp;"LAP - "&amp;Tabela2[[#This Row],[POLO]]</f>
        <v>QUÍMICA E FÍSICAAGMLAP - Rolim de Moura/RO</v>
      </c>
      <c r="C291" s="8" t="str">
        <f>Tabela2[[#This Row],[CATEGORIA]]&amp;Tabela2[[#This Row],[CURSOS]]</f>
        <v>QUÍMICA E FÍSICAAGM</v>
      </c>
      <c r="D291" s="8" t="str">
        <f>IF(Tabela2[[#This Row],[SITUAÇÃO]]&lt;&gt;"Demitido",CONCATENATE(Tabela2[[#This Row],[POLO]],Tabela2[[#This Row],[CURSOS]]),"Substituição")</f>
        <v>Substituição</v>
      </c>
      <c r="E291" s="8" t="s">
        <v>734</v>
      </c>
      <c r="F291" s="67" t="s">
        <v>735</v>
      </c>
      <c r="G291" s="67" t="s">
        <v>723</v>
      </c>
      <c r="H291" s="9" t="s">
        <v>930</v>
      </c>
      <c r="I291" s="17" t="str">
        <f>IFERROR(_xlfn.XLOOKUP(Tabela2[[#This Row],[CHAPA]],TUT.CONTROL!F:F,TUT.CONTROL!I:I),_xlfn.XLOOKUP(Tabela2[[#This Row],[CHAPA]],'REG.CONTROL'!F:F,'REG.CONTROL'!I:I))</f>
        <v>Demitido</v>
      </c>
      <c r="J291" s="17">
        <f>IFERROR(_xlfn.XLOOKUP(Tabela2[[#This Row],[NOME DO TUTOR]],TUT.CONTROL!C:C,TUT.CONTROL!G:G),"Demitido")</f>
        <v>45887</v>
      </c>
      <c r="K291" s="19">
        <v>69984480528</v>
      </c>
      <c r="L291" s="22">
        <f>IFERROR(_xlfn.XLOOKUP(Tabela2[[#This Row],[NOME DO TUTOR]],TUT.CONTROL!C:C,TUT.CONTROL!F:F),"Demitido")</f>
        <v>1158000893</v>
      </c>
      <c r="M291" s="8" t="s">
        <v>931</v>
      </c>
      <c r="N291" s="11" t="str">
        <f>IFERROR(_xlfn.XLOOKUP(Tabela2[[#This Row],[CHAPA]],TUT.CONTROL!F:F,TUT.CONTROL!H:H),_xlfn.XLOOKUP(Tabela2[[#This Row],[CHAPA]],'REG.CONTROL'!F:F,'REG.CONTROL'!H:H))</f>
        <v>TUTOR DE PRATICA (UC_1749)</v>
      </c>
      <c r="O291" s="68" t="str">
        <f>IFERROR(_xlfn.XLOOKUP(Tabela2[[#This Row],[NOME DO TUTOR]],TUT.CONTROL!C:C,TUT.CONTROL!K:K),"Demitido")</f>
        <v>004:00</v>
      </c>
      <c r="P291" s="17">
        <f>IF(Tabela2[[#This Row],[SITUAÇÃO]]="Demitido",IFERROR(_xlfn.XLOOKUP(Tabela2[[#This Row],[CHAPA]],TUT.CONTROL!F:F,TUT.CONTROL!V:V),_xlfn.XLOOKUP(Tabela2[[#This Row],[CHAPA]],'REG.CONTROL'!F:F,'REG.CONTROL'!V:V)),"-")</f>
        <v>45933</v>
      </c>
      <c r="Q291" s="66" t="s">
        <v>43</v>
      </c>
      <c r="R291" s="66" t="s">
        <v>43</v>
      </c>
      <c r="S291" s="8"/>
    </row>
    <row r="292" spans="1:19" ht="13.5" hidden="1" x14ac:dyDescent="0.3">
      <c r="A29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Santa Inês/MAEMF-ISNENF-INS (Multidisciplinar II)</v>
      </c>
      <c r="B292" s="8" t="str">
        <f>Tabela2[[#This Row],[CATEGORIA]]&amp;Tabela2[[#This Row],[CURSOS]]&amp;"LAP - "&amp;Tabela2[[#This Row],[POLO]]</f>
        <v>ENF-INS (Multidisciplinar II)EMF-ISNLAP - Santa Inês/MA</v>
      </c>
      <c r="C292" s="8" t="str">
        <f>Tabela2[[#This Row],[CATEGORIA]]&amp;Tabela2[[#This Row],[CURSOS]]</f>
        <v>ENF-INS (Multidisciplinar II)EMF-ISN</v>
      </c>
      <c r="D292" s="8" t="str">
        <f>IF(Tabela2[[#This Row],[SITUAÇÃO]]&lt;&gt;"Demitido",CONCATENATE(Tabela2[[#This Row],[POLO]],Tabela2[[#This Row],[CURSOS]]),"Substituição")</f>
        <v>Santa Inês/MAEMF-ISN</v>
      </c>
      <c r="E292" s="8" t="s">
        <v>21</v>
      </c>
      <c r="F292" s="67" t="s">
        <v>22</v>
      </c>
      <c r="G292" s="67" t="s">
        <v>773</v>
      </c>
      <c r="H292" s="9" t="s">
        <v>932</v>
      </c>
      <c r="I292" s="17" t="str">
        <f>IFERROR(_xlfn.XLOOKUP(Tabela2[[#This Row],[CHAPA]],TUT.CONTROL!F:F,TUT.CONTROL!I:I),_xlfn.XLOOKUP(Tabela2[[#This Row],[CHAPA]],'REG.CONTROL'!F:F,'REG.CONTROL'!I:I))</f>
        <v>Ativo</v>
      </c>
      <c r="J292" s="17">
        <f>IFERROR(_xlfn.XLOOKUP(Tabela2[[#This Row],[NOME DO TUTOR]],'REG.CONTROL'!C:C,'REG.CONTROL'!G:G),"Demitido")</f>
        <v>45369</v>
      </c>
      <c r="K292" s="19" t="s">
        <v>933</v>
      </c>
      <c r="L292" s="22">
        <f>IFERROR(_xlfn.XLOOKUP(Tabela2[[#This Row],[NOME DO TUTOR]],'REG.CONTROL'!C:C,'REG.CONTROL'!F:F),"Demitido")</f>
        <v>1004014224</v>
      </c>
      <c r="M292" s="8" t="s">
        <v>934</v>
      </c>
      <c r="N292" s="11" t="str">
        <f>IFERROR(_xlfn.XLOOKUP(Tabela2[[#This Row],[CHAPA]],TUT.CONTROL!F:F,TUT.CONTROL!H:H),_xlfn.XLOOKUP(Tabela2[[#This Row],[CHAPA]],'REG.CONTROL'!F:F,'REG.CONTROL'!H:H))</f>
        <v>PROFESSOR REGENTE DE POLO (UC_1744)</v>
      </c>
      <c r="O292" s="68" t="str">
        <f>IFERROR(_xlfn.XLOOKUP(Tabela2[[#This Row],[NOME DO TUTOR]],'REGENTE CH'!A:A,'REGENTE CH'!C:C),"Atualizar")</f>
        <v>020:00</v>
      </c>
      <c r="P29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92" s="66" t="s">
        <v>30</v>
      </c>
      <c r="R292" s="8" t="s">
        <v>86</v>
      </c>
      <c r="S292" s="8">
        <v>806052</v>
      </c>
    </row>
    <row r="293" spans="1:19" ht="13.5" hidden="1" x14ac:dyDescent="0.3">
      <c r="A29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93" s="8" t="str">
        <f>Tabela2[[#This Row],[CATEGORIA]]&amp;Tabela2[[#This Row],[CURSOS]]&amp;"LAP - "&amp;Tabela2[[#This Row],[POLO]]</f>
        <v>QUÍMICA E FÍSICAAGMLAP - Belém/PA - Nazaré</v>
      </c>
      <c r="C293" s="8" t="str">
        <f>Tabela2[[#This Row],[CATEGORIA]]&amp;Tabela2[[#This Row],[CURSOS]]</f>
        <v>QUÍMICA E FÍSICAAGM</v>
      </c>
      <c r="D293" s="8" t="str">
        <f>IF(Tabela2[[#This Row],[SITUAÇÃO]]&lt;&gt;"Demitido",CONCATENATE(Tabela2[[#This Row],[POLO]],Tabela2[[#This Row],[CURSOS]]),"Substituição")</f>
        <v>Substituição</v>
      </c>
      <c r="E293" s="8" t="s">
        <v>734</v>
      </c>
      <c r="F293" s="67" t="s">
        <v>735</v>
      </c>
      <c r="G293" s="67" t="s">
        <v>553</v>
      </c>
      <c r="H293" s="9" t="s">
        <v>935</v>
      </c>
      <c r="I293" s="17" t="str">
        <f>IFERROR(_xlfn.XLOOKUP(Tabela2[[#This Row],[CHAPA]],TUT.CONTROL!F:F,TUT.CONTROL!I:I),_xlfn.XLOOKUP(Tabela2[[#This Row],[CHAPA]],'REG.CONTROL'!F:F,'REG.CONTROL'!I:I))</f>
        <v>Demitido</v>
      </c>
      <c r="J293" s="17">
        <f>IFERROR(_xlfn.XLOOKUP(Tabela2[[#This Row],[NOME DO TUTOR]],TUT.CONTROL!C:C,TUT.CONTROL!G:G),"Demitido")</f>
        <v>45887</v>
      </c>
      <c r="K293" s="19">
        <v>91981011445</v>
      </c>
      <c r="L293" s="22">
        <f>IFERROR(_xlfn.XLOOKUP(Tabela2[[#This Row],[NOME DO TUTOR]],TUT.CONTROL!C:C,TUT.CONTROL!F:F),"Demitido")</f>
        <v>1158000894</v>
      </c>
      <c r="M293" s="8" t="s">
        <v>936</v>
      </c>
      <c r="N293" s="11" t="str">
        <f>IFERROR(_xlfn.XLOOKUP(Tabela2[[#This Row],[CHAPA]],TUT.CONTROL!F:F,TUT.CONTROL!H:H),_xlfn.XLOOKUP(Tabela2[[#This Row],[CHAPA]],'REG.CONTROL'!F:F,'REG.CONTROL'!H:H))</f>
        <v>TUTOR DE PRATICA (UC_1749)</v>
      </c>
      <c r="O293" s="68" t="str">
        <f>IFERROR(_xlfn.XLOOKUP(Tabela2[[#This Row],[NOME DO TUTOR]],TUT.CONTROL!C:C,TUT.CONTROL!K:K),"Demitido")</f>
        <v>004:00</v>
      </c>
      <c r="P293" s="17">
        <f>IF(Tabela2[[#This Row],[SITUAÇÃO]]="Demitido",IFERROR(_xlfn.XLOOKUP(Tabela2[[#This Row],[CHAPA]],TUT.CONTROL!F:F,TUT.CONTROL!V:V),_xlfn.XLOOKUP(Tabela2[[#This Row],[CHAPA]],'REG.CONTROL'!F:F,'REG.CONTROL'!V:V)),"-")</f>
        <v>45938</v>
      </c>
      <c r="Q293" s="66" t="s">
        <v>43</v>
      </c>
      <c r="R293" s="66" t="s">
        <v>43</v>
      </c>
      <c r="S293" s="8"/>
    </row>
    <row r="294" spans="1:19" ht="13.5" hidden="1" x14ac:dyDescent="0.3">
      <c r="A29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94" s="8" t="str">
        <f>Tabela2[[#This Row],[CATEGORIA]]&amp;Tabela2[[#This Row],[CURSOS]]&amp;"LAP - "&amp;Tabela2[[#This Row],[POLO]]</f>
        <v>BIO-FAR (Multidisciplinar I)BFRLAP - Paulo Afonso/BA</v>
      </c>
      <c r="C294" s="8" t="str">
        <f>Tabela2[[#This Row],[CATEGORIA]]&amp;Tabela2[[#This Row],[CURSOS]]</f>
        <v>BIO-FAR (Multidisciplinar I)BFR</v>
      </c>
      <c r="D294" s="8" t="str">
        <f>IF(Tabela2[[#This Row],[SITUAÇÃO]]&lt;&gt;"Demitido",CONCATENATE(Tabela2[[#This Row],[POLO]],Tabela2[[#This Row],[CURSOS]]),"Substituição")</f>
        <v>Substituição</v>
      </c>
      <c r="E294" s="8" t="s">
        <v>771</v>
      </c>
      <c r="F294" s="67" t="s">
        <v>772</v>
      </c>
      <c r="G294" s="67" t="s">
        <v>937</v>
      </c>
      <c r="H294" s="9" t="s">
        <v>938</v>
      </c>
      <c r="I294" s="17" t="str">
        <f>IFERROR(_xlfn.XLOOKUP(Tabela2[[#This Row],[CHAPA]],TUT.CONTROL!F:F,TUT.CONTROL!I:I),_xlfn.XLOOKUP(Tabela2[[#This Row],[CHAPA]],'REG.CONTROL'!F:F,'REG.CONTROL'!I:I))</f>
        <v>Demitido</v>
      </c>
      <c r="J294" s="17">
        <f>IFERROR(_xlfn.XLOOKUP(Tabela2[[#This Row],[NOME DO TUTOR]],TUT.CONTROL!C:C,TUT.CONTROL!G:G),"Demitido")</f>
        <v>45887</v>
      </c>
      <c r="K294" s="19">
        <v>81997502500</v>
      </c>
      <c r="L294" s="22">
        <f>IFERROR(_xlfn.XLOOKUP(Tabela2[[#This Row],[NOME DO TUTOR]],TUT.CONTROL!C:C,TUT.CONTROL!F:F),"Demitido")</f>
        <v>1158000884</v>
      </c>
      <c r="M294" s="8" t="s">
        <v>939</v>
      </c>
      <c r="N294" s="11" t="str">
        <f>IFERROR(_xlfn.XLOOKUP(Tabela2[[#This Row],[CHAPA]],TUT.CONTROL!F:F,TUT.CONTROL!H:H),_xlfn.XLOOKUP(Tabela2[[#This Row],[CHAPA]],'REG.CONTROL'!F:F,'REG.CONTROL'!H:H))</f>
        <v>TUTOR DE PRATICA (UC_1749)</v>
      </c>
      <c r="O294" s="68" t="str">
        <f>IFERROR(_xlfn.XLOOKUP(Tabela2[[#This Row],[NOME DO TUTOR]],TUT.CONTROL!C:C,TUT.CONTROL!K:K),"Demitido")</f>
        <v>004:00</v>
      </c>
      <c r="P294" s="17">
        <f>IF(Tabela2[[#This Row],[SITUAÇÃO]]="Demitido",IFERROR(_xlfn.XLOOKUP(Tabela2[[#This Row],[CHAPA]],TUT.CONTROL!F:F,TUT.CONTROL!V:V),_xlfn.XLOOKUP(Tabela2[[#This Row],[CHAPA]],'REG.CONTROL'!F:F,'REG.CONTROL'!V:V)),"-")</f>
        <v>45965</v>
      </c>
      <c r="Q294" s="66" t="s">
        <v>43</v>
      </c>
      <c r="R294" s="8"/>
      <c r="S294" s="8"/>
    </row>
    <row r="295" spans="1:19" ht="13.5" hidden="1" x14ac:dyDescent="0.3">
      <c r="A29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Santa Maria/RS - MedianeiraEMF-ISNENF-INS (Multidisciplinar II)</v>
      </c>
      <c r="B295" s="8" t="str">
        <f>Tabela2[[#This Row],[CATEGORIA]]&amp;Tabela2[[#This Row],[CURSOS]]&amp;"LAP - "&amp;Tabela2[[#This Row],[POLO]]</f>
        <v>ENF-INS (Multidisciplinar II)EMF-ISNLAP - Santa Maria/RS - Medianeira</v>
      </c>
      <c r="C295" s="8" t="str">
        <f>Tabela2[[#This Row],[CATEGORIA]]&amp;Tabela2[[#This Row],[CURSOS]]</f>
        <v>ENF-INS (Multidisciplinar II)EMF-ISN</v>
      </c>
      <c r="D295" s="8" t="str">
        <f>IF(Tabela2[[#This Row],[SITUAÇÃO]]&lt;&gt;"Demitido",CONCATENATE(Tabela2[[#This Row],[POLO]],Tabela2[[#This Row],[CURSOS]]),"Substituição")</f>
        <v>Santa Maria/RS - MedianeiraEMF-ISN</v>
      </c>
      <c r="E295" s="8" t="s">
        <v>21</v>
      </c>
      <c r="F295" s="67" t="s">
        <v>22</v>
      </c>
      <c r="G295" s="67" t="s">
        <v>940</v>
      </c>
      <c r="H295" s="9" t="s">
        <v>941</v>
      </c>
      <c r="I295" s="17" t="str">
        <f>IFERROR(_xlfn.XLOOKUP(Tabela2[[#This Row],[CHAPA]],TUT.CONTROL!F:F,TUT.CONTROL!I:I),_xlfn.XLOOKUP(Tabela2[[#This Row],[CHAPA]],'REG.CONTROL'!F:F,'REG.CONTROL'!I:I))</f>
        <v>Ativo</v>
      </c>
      <c r="J295" s="17">
        <f>IFERROR(_xlfn.XLOOKUP(Tabela2[[#This Row],[NOME DO TUTOR]],TUT.CONTROL!C:C,TUT.CONTROL!G:G),"Demitido")</f>
        <v>45789</v>
      </c>
      <c r="K295" s="19">
        <v>55999474949</v>
      </c>
      <c r="L295" s="22">
        <f>IFERROR(_xlfn.XLOOKUP(Tabela2[[#This Row],[NOME DO TUTOR]],TUT.CONTROL!C:C,TUT.CONTROL!F:F),"Demitido")</f>
        <v>1158000620</v>
      </c>
      <c r="M295" s="8" t="s">
        <v>942</v>
      </c>
      <c r="N295" s="11" t="str">
        <f>IFERROR(_xlfn.XLOOKUP(Tabela2[[#This Row],[CHAPA]],TUT.CONTROL!F:F,TUT.CONTROL!H:H),_xlfn.XLOOKUP(Tabela2[[#This Row],[CHAPA]],'REG.CONTROL'!F:F,'REG.CONTROL'!H:H))</f>
        <v>TUTOR DE PRATICA (UC_1749)</v>
      </c>
      <c r="O295" s="68" t="str">
        <f>IFERROR(_xlfn.XLOOKUP(Tabela2[[#This Row],[NOME DO TUTOR]],TUT.CONTROL!C:C,TUT.CONTROL!K:K),"Demitido")</f>
        <v>004:00</v>
      </c>
      <c r="P29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95" s="66" t="s">
        <v>30</v>
      </c>
      <c r="R295" s="8" t="s">
        <v>109</v>
      </c>
      <c r="S295" s="8">
        <v>605507</v>
      </c>
    </row>
    <row r="296" spans="1:19" ht="13.5" hidden="1" x14ac:dyDescent="0.3">
      <c r="A29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Blumenau/SC - Salto Do Norte (Centro Universitário Dante)AGMQUÍMICA E FÍSICA</v>
      </c>
      <c r="B296" s="8" t="str">
        <f>Tabela2[[#This Row],[CATEGORIA]]&amp;Tabela2[[#This Row],[CURSOS]]&amp;"LAP - "&amp;Tabela2[[#This Row],[POLO]]</f>
        <v>QUÍMICA E FÍSICAAGMLAP - Blumenau/SC - Salto Do Norte (Centro Universitário Dante)</v>
      </c>
      <c r="C296" s="8" t="str">
        <f>Tabela2[[#This Row],[CATEGORIA]]&amp;Tabela2[[#This Row],[CURSOS]]</f>
        <v>QUÍMICA E FÍSICAAGM</v>
      </c>
      <c r="D296" s="8" t="str">
        <f>IF(Tabela2[[#This Row],[SITUAÇÃO]]&lt;&gt;"Demitido",CONCATENATE(Tabela2[[#This Row],[POLO]],Tabela2[[#This Row],[CURSOS]]),"Substituição")</f>
        <v>Blumenau/SC - Salto Do Norte (Centro Universitário Dante)AGM</v>
      </c>
      <c r="E296" s="8" t="s">
        <v>734</v>
      </c>
      <c r="F296" s="67" t="s">
        <v>735</v>
      </c>
      <c r="G296" s="67" t="s">
        <v>110</v>
      </c>
      <c r="H296" s="9" t="s">
        <v>943</v>
      </c>
      <c r="I296" s="17" t="str">
        <f>IFERROR(_xlfn.XLOOKUP(Tabela2[[#This Row],[CHAPA]],TUT.CONTROL!F:F,TUT.CONTROL!I:I),_xlfn.XLOOKUP(Tabela2[[#This Row],[CHAPA]],'REG.CONTROL'!F:F,'REG.CONTROL'!I:I))</f>
        <v>Ativo</v>
      </c>
      <c r="J296" s="17">
        <f>IFERROR(_xlfn.XLOOKUP(Tabela2[[#This Row],[NOME DO TUTOR]],TUT.CONTROL!C:C,TUT.CONTROL!G:G),"Demitido")</f>
        <v>45887</v>
      </c>
      <c r="K296" s="19">
        <v>49999959651</v>
      </c>
      <c r="L296" s="22">
        <f>IFERROR(_xlfn.XLOOKUP(Tabela2[[#This Row],[NOME DO TUTOR]],TUT.CONTROL!C:C,TUT.CONTROL!F:F),"Demitido")</f>
        <v>1158000882</v>
      </c>
      <c r="M296" s="8" t="s">
        <v>944</v>
      </c>
      <c r="N296" s="11" t="str">
        <f>IFERROR(_xlfn.XLOOKUP(Tabela2[[#This Row],[CHAPA]],TUT.CONTROL!F:F,TUT.CONTROL!H:H),_xlfn.XLOOKUP(Tabela2[[#This Row],[CHAPA]],'REG.CONTROL'!F:F,'REG.CONTROL'!H:H))</f>
        <v>TUTOR DE PRATICA (UC_1749)</v>
      </c>
      <c r="O296" s="68" t="str">
        <f>IFERROR(_xlfn.XLOOKUP(Tabela2[[#This Row],[NOME DO TUTOR]],TUT.CONTROL!C:C,TUT.CONTROL!K:K),"Demitido")</f>
        <v>004:00</v>
      </c>
      <c r="P29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96" s="66"/>
      <c r="R296" s="8"/>
      <c r="S296" s="8"/>
    </row>
    <row r="297" spans="1:19" ht="13.5" hidden="1" x14ac:dyDescent="0.3">
      <c r="A29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Blumenau/SC - Salto Do Norte (Centro Universitário Dante)COS-TIPBIO-FISIO-EST-TO (Multidisciplinar III)</v>
      </c>
      <c r="B297" s="8" t="str">
        <f>Tabela2[[#This Row],[CATEGORIA]]&amp;Tabela2[[#This Row],[CURSOS]]&amp;"LAP - "&amp;Tabela2[[#This Row],[POLO]]</f>
        <v>BIO-FISIO-EST-TO (Multidisciplinar III)COS-TIPLAP - Blumenau/SC - Salto Do Norte (Centro Universitário Dante)</v>
      </c>
      <c r="C297" s="8" t="str">
        <f>Tabela2[[#This Row],[CATEGORIA]]&amp;Tabela2[[#This Row],[CURSOS]]</f>
        <v>BIO-FISIO-EST-TO (Multidisciplinar III)COS-TIP</v>
      </c>
      <c r="D297" s="8" t="str">
        <f>IF(Tabela2[[#This Row],[SITUAÇÃO]]&lt;&gt;"Demitido",CONCATENATE(Tabela2[[#This Row],[POLO]],Tabela2[[#This Row],[CURSOS]]),"Substituição")</f>
        <v>Blumenau/SC - Salto Do Norte (Centro Universitário Dante)COS-TIP</v>
      </c>
      <c r="E297" s="8" t="s">
        <v>757</v>
      </c>
      <c r="F297" s="67" t="s">
        <v>900</v>
      </c>
      <c r="G297" s="67" t="s">
        <v>110</v>
      </c>
      <c r="H297" s="9" t="s">
        <v>945</v>
      </c>
      <c r="I297" s="17" t="str">
        <f>IFERROR(_xlfn.XLOOKUP(Tabela2[[#This Row],[CHAPA]],TUT.CONTROL!F:F,TUT.CONTROL!I:I),_xlfn.XLOOKUP(Tabela2[[#This Row],[CHAPA]],'REG.CONTROL'!F:F,'REG.CONTROL'!I:I))</f>
        <v>Ativo</v>
      </c>
      <c r="J297" s="17">
        <f>IFERROR(_xlfn.XLOOKUP(Tabela2[[#This Row],[NOME DO TUTOR]],TUT.CONTROL!C:C,TUT.CONTROL!G:G),"Demitido")</f>
        <v>45887</v>
      </c>
      <c r="K297" s="19">
        <v>4792112275</v>
      </c>
      <c r="L297" s="22">
        <f>IFERROR(_xlfn.XLOOKUP(Tabela2[[#This Row],[NOME DO TUTOR]],TUT.CONTROL!C:C,TUT.CONTROL!F:F),"Demitido")</f>
        <v>1158000905</v>
      </c>
      <c r="M297" s="8" t="s">
        <v>946</v>
      </c>
      <c r="N297" s="11" t="str">
        <f>IFERROR(_xlfn.XLOOKUP(Tabela2[[#This Row],[CHAPA]],TUT.CONTROL!F:F,TUT.CONTROL!H:H),_xlfn.XLOOKUP(Tabela2[[#This Row],[CHAPA]],'REG.CONTROL'!F:F,'REG.CONTROL'!H:H))</f>
        <v>TUTOR DE PRATICA (UC_1749)</v>
      </c>
      <c r="O297" s="68" t="str">
        <f>IFERROR(_xlfn.XLOOKUP(Tabela2[[#This Row],[NOME DO TUTOR]],TUT.CONTROL!C:C,TUT.CONTROL!K:K),"Demitido")</f>
        <v>004:00</v>
      </c>
      <c r="P29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97" s="66"/>
      <c r="R297" s="8"/>
      <c r="S297" s="8"/>
    </row>
    <row r="298" spans="1:19" ht="13.5" hidden="1" x14ac:dyDescent="0.3">
      <c r="A29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Brasília/DF - Cruzeiro NovoCOS-TIPBIO-FISIO-EST-TO (Multidisciplinar III)</v>
      </c>
      <c r="B298" s="8" t="str">
        <f>Tabela2[[#This Row],[CATEGORIA]]&amp;Tabela2[[#This Row],[CURSOS]]&amp;"LAP - "&amp;Tabela2[[#This Row],[POLO]]</f>
        <v>BIO-FISIO-EST-TO (Multidisciplinar III)COS-TIPLAP - Brasília/DF - Cruzeiro Novo</v>
      </c>
      <c r="C298" s="8" t="str">
        <f>Tabela2[[#This Row],[CATEGORIA]]&amp;Tabela2[[#This Row],[CURSOS]]</f>
        <v>BIO-FISIO-EST-TO (Multidisciplinar III)COS-TIP</v>
      </c>
      <c r="D298" s="8" t="str">
        <f>IF(Tabela2[[#This Row],[SITUAÇÃO]]&lt;&gt;"Demitido",CONCATENATE(Tabela2[[#This Row],[POLO]],Tabela2[[#This Row],[CURSOS]]),"Substituição")</f>
        <v>Brasília/DF - Cruzeiro NovoCOS-TIP</v>
      </c>
      <c r="E298" s="8" t="s">
        <v>757</v>
      </c>
      <c r="F298" s="67" t="s">
        <v>900</v>
      </c>
      <c r="G298" s="67" t="s">
        <v>759</v>
      </c>
      <c r="H298" s="9" t="s">
        <v>947</v>
      </c>
      <c r="I298" s="17" t="str">
        <f>IFERROR(_xlfn.XLOOKUP(Tabela2[[#This Row],[CHAPA]],TUT.CONTROL!F:F,TUT.CONTROL!I:I),_xlfn.XLOOKUP(Tabela2[[#This Row],[CHAPA]],'REG.CONTROL'!F:F,'REG.CONTROL'!I:I))</f>
        <v>Ativo</v>
      </c>
      <c r="J298" s="17">
        <f>IFERROR(_xlfn.XLOOKUP(Tabela2[[#This Row],[NOME DO TUTOR]],TUT.CONTROL!C:C,TUT.CONTROL!G:G),"Demitido")</f>
        <v>45887</v>
      </c>
      <c r="K298" s="19" t="s">
        <v>948</v>
      </c>
      <c r="L298" s="22">
        <f>IFERROR(_xlfn.XLOOKUP(Tabela2[[#This Row],[NOME DO TUTOR]],TUT.CONTROL!C:C,TUT.CONTROL!F:F),"Demitido")</f>
        <v>1158000903</v>
      </c>
      <c r="M298" s="8" t="s">
        <v>949</v>
      </c>
      <c r="N298" s="11" t="str">
        <f>IFERROR(_xlfn.XLOOKUP(Tabela2[[#This Row],[CHAPA]],TUT.CONTROL!F:F,TUT.CONTROL!H:H),_xlfn.XLOOKUP(Tabela2[[#This Row],[CHAPA]],'REG.CONTROL'!F:F,'REG.CONTROL'!H:H))</f>
        <v>TUTOR DE PRATICA (UC_1749)</v>
      </c>
      <c r="O298" s="68" t="str">
        <f>IFERROR(_xlfn.XLOOKUP(Tabela2[[#This Row],[NOME DO TUTOR]],TUT.CONTROL!C:C,TUT.CONTROL!K:K),"Demitido")</f>
        <v>004:00</v>
      </c>
      <c r="P29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298" s="66"/>
      <c r="R298" s="8"/>
      <c r="S298" s="8"/>
    </row>
    <row r="299" spans="1:19" ht="13.5" hidden="1" customHeight="1" x14ac:dyDescent="0.3">
      <c r="A29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299" s="8" t="str">
        <f>Tabela2[[#This Row],[CATEGORIA]]&amp;Tabela2[[#This Row],[CURSOS]]&amp;"LAP - "&amp;Tabela2[[#This Row],[POLO]]</f>
        <v>BIO-FAR (Multidisciplinar I)BFRLAP - Feira De Santana/BA - Centro</v>
      </c>
      <c r="C299" s="8" t="str">
        <f>Tabela2[[#This Row],[CATEGORIA]]&amp;Tabela2[[#This Row],[CURSOS]]</f>
        <v>BIO-FAR (Multidisciplinar I)BFR</v>
      </c>
      <c r="D299" s="8" t="str">
        <f>IF(Tabela2[[#This Row],[SITUAÇÃO]]&lt;&gt;"Demitido",CONCATENATE(Tabela2[[#This Row],[POLO]],Tabela2[[#This Row],[CURSOS]]),"Substituição")</f>
        <v>Substituição</v>
      </c>
      <c r="E299" s="8" t="s">
        <v>771</v>
      </c>
      <c r="F299" s="67" t="s">
        <v>772</v>
      </c>
      <c r="G299" s="67" t="s">
        <v>283</v>
      </c>
      <c r="H299" s="9" t="s">
        <v>950</v>
      </c>
      <c r="I299" s="17" t="str">
        <f>IFERROR(_xlfn.XLOOKUP(Tabela2[[#This Row],[CHAPA]],TUT.CONTROL!F:F,TUT.CONTROL!I:I),_xlfn.XLOOKUP(Tabela2[[#This Row],[CHAPA]],'REG.CONTROL'!F:F,'REG.CONTROL'!I:I))</f>
        <v>Demitido</v>
      </c>
      <c r="J299" s="17">
        <f>IFERROR(_xlfn.XLOOKUP(Tabela2[[#This Row],[NOME DO TUTOR]],TUT.CONTROL!C:C,TUT.CONTROL!G:G),"Demitido")</f>
        <v>45887</v>
      </c>
      <c r="K299" s="19">
        <v>75981714250</v>
      </c>
      <c r="L299" s="22">
        <f>IFERROR(_xlfn.XLOOKUP(Tabela2[[#This Row],[NOME DO TUTOR]],TUT.CONTROL!C:C,TUT.CONTROL!F:F),"Demitido")</f>
        <v>1158000890</v>
      </c>
      <c r="M299" s="8" t="s">
        <v>951</v>
      </c>
      <c r="N299" s="11" t="str">
        <f>IFERROR(_xlfn.XLOOKUP(Tabela2[[#This Row],[CHAPA]],TUT.CONTROL!F:F,TUT.CONTROL!H:H),_xlfn.XLOOKUP(Tabela2[[#This Row],[CHAPA]],'REG.CONTROL'!F:F,'REG.CONTROL'!H:H))</f>
        <v>TUTOR DE PRATICA (UC_1749)</v>
      </c>
      <c r="O299" s="68" t="str">
        <f>IFERROR(_xlfn.XLOOKUP(Tabela2[[#This Row],[NOME DO TUTOR]],TUT.CONTROL!C:C,TUT.CONTROL!K:K),"Demitido")</f>
        <v>004:00</v>
      </c>
      <c r="P299" s="17">
        <f>IF(Tabela2[[#This Row],[SITUAÇÃO]]="Demitido",IFERROR(_xlfn.XLOOKUP(Tabela2[[#This Row],[CHAPA]],TUT.CONTROL!F:F,TUT.CONTROL!V:V),_xlfn.XLOOKUP(Tabela2[[#This Row],[CHAPA]],'REG.CONTROL'!F:F,'REG.CONTROL'!V:V)),"-")</f>
        <v>46042</v>
      </c>
      <c r="Q299" s="66" t="s">
        <v>43</v>
      </c>
      <c r="R299" s="8" t="s">
        <v>952</v>
      </c>
      <c r="S299" s="8">
        <v>14437</v>
      </c>
    </row>
    <row r="300" spans="1:19" ht="13.5" hidden="1" x14ac:dyDescent="0.3">
      <c r="A30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Feira De Santana/BA - CentroBFIBIO-FISIO-EST-TO (Multidisciplinar III)</v>
      </c>
      <c r="B300" s="8" t="str">
        <f>Tabela2[[#This Row],[CATEGORIA]]&amp;Tabela2[[#This Row],[CURSOS]]&amp;"LAP - "&amp;Tabela2[[#This Row],[POLO]]</f>
        <v>BIO-FISIO-EST-TO (Multidisciplinar III)BFILAP - Feira De Santana/BA - Centro</v>
      </c>
      <c r="C300" s="8" t="str">
        <f>Tabela2[[#This Row],[CATEGORIA]]&amp;Tabela2[[#This Row],[CURSOS]]</f>
        <v>BIO-FISIO-EST-TO (Multidisciplinar III)BFI</v>
      </c>
      <c r="D300" s="8" t="str">
        <f>IF(Tabela2[[#This Row],[SITUAÇÃO]]&lt;&gt;"Demitido",CONCATENATE(Tabela2[[#This Row],[POLO]],Tabela2[[#This Row],[CURSOS]]),"Substituição")</f>
        <v>Feira De Santana/BA - CentroBFI</v>
      </c>
      <c r="E300" s="8" t="s">
        <v>757</v>
      </c>
      <c r="F300" s="67" t="s">
        <v>758</v>
      </c>
      <c r="G300" s="67" t="s">
        <v>283</v>
      </c>
      <c r="H300" s="9" t="s">
        <v>953</v>
      </c>
      <c r="I300" s="17" t="str">
        <f>IFERROR(_xlfn.XLOOKUP(Tabela2[[#This Row],[CHAPA]],TUT.CONTROL!F:F,TUT.CONTROL!I:I),_xlfn.XLOOKUP(Tabela2[[#This Row],[CHAPA]],'REG.CONTROL'!F:F,'REG.CONTROL'!I:I))</f>
        <v>Ativo</v>
      </c>
      <c r="J300" s="17">
        <f>IFERROR(_xlfn.XLOOKUP(Tabela2[[#This Row],[NOME DO TUTOR]],TUT.CONTROL!C:C,TUT.CONTROL!G:G),"Demitido")</f>
        <v>45887</v>
      </c>
      <c r="K300" s="19">
        <v>75981703123</v>
      </c>
      <c r="L300" s="22">
        <f>IFERROR(_xlfn.XLOOKUP(Tabela2[[#This Row],[NOME DO TUTOR]],TUT.CONTROL!C:C,TUT.CONTROL!F:F),"Demitido")</f>
        <v>1158000883</v>
      </c>
      <c r="M300" s="8" t="s">
        <v>954</v>
      </c>
      <c r="N300" s="11" t="str">
        <f>IFERROR(_xlfn.XLOOKUP(Tabela2[[#This Row],[CHAPA]],TUT.CONTROL!F:F,TUT.CONTROL!H:H),_xlfn.XLOOKUP(Tabela2[[#This Row],[CHAPA]],'REG.CONTROL'!F:F,'REG.CONTROL'!H:H))</f>
        <v>TUTOR DE PRATICA (UC_1749)</v>
      </c>
      <c r="O300" s="68" t="str">
        <f>IFERROR(_xlfn.XLOOKUP(Tabela2[[#This Row],[NOME DO TUTOR]],TUT.CONTROL!C:C,TUT.CONTROL!K:K),"Demitido")</f>
        <v>004:00</v>
      </c>
      <c r="P30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00" s="66"/>
      <c r="R300" s="8"/>
      <c r="S300" s="8"/>
    </row>
    <row r="301" spans="1:19" ht="13.5" hidden="1" x14ac:dyDescent="0.3">
      <c r="A30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Belém/PA - São BrásECE-ENM-ENS-ENG-EEA-GPI-CDE-OBR-SAN-TER-FSA-SLF-QUIENGMAKER+QUÍMICA E FÍSICA</v>
      </c>
      <c r="B301" s="8" t="str">
        <f>Tabela2[[#This Row],[CATEGORIA]]&amp;Tabela2[[#This Row],[CURSOS]]&amp;"LAP - "&amp;Tabela2[[#This Row],[POLO]]</f>
        <v>ENGMAKER+QUÍMICA E FÍSICAECE-ENM-ENS-ENG-EEA-GPI-CDE-OBR-SAN-TER-FSA-SLF-QUILAP - Belém/PA - São Brás</v>
      </c>
      <c r="C301" s="8" t="str">
        <f>Tabela2[[#This Row],[CATEGORIA]]&amp;Tabela2[[#This Row],[CURSOS]]</f>
        <v>ENGMAKER+QUÍMICA E FÍSICAECE-ENM-ENS-ENG-EEA-GPI-CDE-OBR-SAN-TER-FSA-SLF-QUI</v>
      </c>
      <c r="D301" s="8" t="str">
        <f>IF(Tabela2[[#This Row],[SITUAÇÃO]]&lt;&gt;"Demitido",CONCATENATE(Tabela2[[#This Row],[POLO]],Tabela2[[#This Row],[CURSOS]]),"Substituição")</f>
        <v>Belém/PA - São BrásECE-ENM-ENS-ENG-EEA-GPI-CDE-OBR-SAN-TER-FSA-SLF-QUI</v>
      </c>
      <c r="E301" s="8" t="s">
        <v>125</v>
      </c>
      <c r="F301" s="67" t="s">
        <v>126</v>
      </c>
      <c r="G301" s="67" t="s">
        <v>93</v>
      </c>
      <c r="H301" s="9" t="s">
        <v>955</v>
      </c>
      <c r="I301" s="17" t="str">
        <f>IFERROR(_xlfn.XLOOKUP(Tabela2[[#This Row],[CHAPA]],TUT.CONTROL!F:F,TUT.CONTROL!I:I),_xlfn.XLOOKUP(Tabela2[[#This Row],[CHAPA]],'REG.CONTROL'!F:F,'REG.CONTROL'!I:I))</f>
        <v>Ativo</v>
      </c>
      <c r="J301" s="17">
        <f>IFERROR(_xlfn.XLOOKUP(Tabela2[[#This Row],[NOME DO TUTOR]],TUT.CONTROL!C:C,TUT.CONTROL!G:G),"Demitido")</f>
        <v>45887</v>
      </c>
      <c r="K301" s="19">
        <v>91981610395</v>
      </c>
      <c r="L301" s="22">
        <f>IFERROR(_xlfn.XLOOKUP(Tabela2[[#This Row],[NOME DO TUTOR]],TUT.CONTROL!C:C,TUT.CONTROL!F:F),"Demitido")</f>
        <v>1158000887</v>
      </c>
      <c r="M301" s="8" t="s">
        <v>956</v>
      </c>
      <c r="N301" s="11" t="str">
        <f>IFERROR(_xlfn.XLOOKUP(Tabela2[[#This Row],[CHAPA]],TUT.CONTROL!F:F,TUT.CONTROL!H:H),_xlfn.XLOOKUP(Tabela2[[#This Row],[CHAPA]],'REG.CONTROL'!F:F,'REG.CONTROL'!H:H))</f>
        <v>TUTOR DE PRATICA (UC_1749)</v>
      </c>
      <c r="O301" s="68" t="str">
        <f>IFERROR(_xlfn.XLOOKUP(Tabela2[[#This Row],[NOME DO TUTOR]],TUT.CONTROL!C:C,TUT.CONTROL!K:K),"Demitido")</f>
        <v>004:00</v>
      </c>
      <c r="P30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01" s="66"/>
      <c r="R301" s="8"/>
      <c r="S301" s="8"/>
    </row>
    <row r="302" spans="1:19" ht="13.5" hidden="1" x14ac:dyDescent="0.3">
      <c r="A30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Chapecó/SC - CentroECE-ENM-ENS-ENG-EEA-GPI-CDE-OBR-SAN-TER-FSA-SLF-QUIENGMAKER+QUÍMICA E FÍSICA</v>
      </c>
      <c r="B302" s="8" t="str">
        <f>Tabela2[[#This Row],[CATEGORIA]]&amp;Tabela2[[#This Row],[CURSOS]]&amp;"LAP - "&amp;Tabela2[[#This Row],[POLO]]</f>
        <v>ENGMAKER+QUÍMICA E FÍSICAECE-ENM-ENS-ENG-EEA-GPI-CDE-OBR-SAN-TER-FSA-SLF-QUILAP - Chapecó/SC - Centro</v>
      </c>
      <c r="C302" s="8" t="str">
        <f>Tabela2[[#This Row],[CATEGORIA]]&amp;Tabela2[[#This Row],[CURSOS]]</f>
        <v>ENGMAKER+QUÍMICA E FÍSICAECE-ENM-ENS-ENG-EEA-GPI-CDE-OBR-SAN-TER-FSA-SLF-QUI</v>
      </c>
      <c r="D302" s="8" t="str">
        <f>IF(Tabela2[[#This Row],[SITUAÇÃO]]&lt;&gt;"Demitido",CONCATENATE(Tabela2[[#This Row],[POLO]],Tabela2[[#This Row],[CURSOS]]),"Substituição")</f>
        <v>Chapecó/SC - CentroECE-ENM-ENS-ENG-EEA-GPI-CDE-OBR-SAN-TER-FSA-SLF-QUI</v>
      </c>
      <c r="E302" s="8" t="s">
        <v>125</v>
      </c>
      <c r="F302" s="67" t="s">
        <v>126</v>
      </c>
      <c r="G302" s="67" t="s">
        <v>220</v>
      </c>
      <c r="H302" s="9" t="s">
        <v>957</v>
      </c>
      <c r="I302" s="17" t="str">
        <f>IFERROR(_xlfn.XLOOKUP(Tabela2[[#This Row],[CHAPA]],TUT.CONTROL!F:F,TUT.CONTROL!I:I),_xlfn.XLOOKUP(Tabela2[[#This Row],[CHAPA]],'REG.CONTROL'!F:F,'REG.CONTROL'!I:I))</f>
        <v>Ativo</v>
      </c>
      <c r="J302" s="17">
        <f>IFERROR(_xlfn.XLOOKUP(Tabela2[[#This Row],[NOME DO TUTOR]],TUT.CONTROL!C:C,TUT.CONTROL!G:G),"Demitido")</f>
        <v>45887</v>
      </c>
      <c r="K302" s="19">
        <v>55992125687</v>
      </c>
      <c r="L302" s="22">
        <f>IFERROR(_xlfn.XLOOKUP(Tabela2[[#This Row],[NOME DO TUTOR]],TUT.CONTROL!C:C,TUT.CONTROL!F:F),"Demitido")</f>
        <v>1158000886</v>
      </c>
      <c r="M302" s="8" t="s">
        <v>958</v>
      </c>
      <c r="N302" s="11" t="str">
        <f>IFERROR(_xlfn.XLOOKUP(Tabela2[[#This Row],[CHAPA]],TUT.CONTROL!F:F,TUT.CONTROL!H:H),_xlfn.XLOOKUP(Tabela2[[#This Row],[CHAPA]],'REG.CONTROL'!F:F,'REG.CONTROL'!H:H))</f>
        <v>TUTOR DE PRATICA (UC_1749)</v>
      </c>
      <c r="O302" s="68" t="str">
        <f>IFERROR(_xlfn.XLOOKUP(Tabela2[[#This Row],[NOME DO TUTOR]],TUT.CONTROL!C:C,TUT.CONTROL!K:K),"Demitido")</f>
        <v>004:00</v>
      </c>
      <c r="P30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02" s="66"/>
      <c r="R302" s="8" t="s">
        <v>478</v>
      </c>
      <c r="S302" s="8" t="s">
        <v>959</v>
      </c>
    </row>
    <row r="303" spans="1:19" ht="13.5" hidden="1" x14ac:dyDescent="0.3">
      <c r="A30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Guarujá/SPCOS-TIPBIO-FISIO-EST-TO (Multidisciplinar III)</v>
      </c>
      <c r="B303" s="8" t="str">
        <f>Tabela2[[#This Row],[CATEGORIA]]&amp;Tabela2[[#This Row],[CURSOS]]&amp;"LAP - "&amp;Tabela2[[#This Row],[POLO]]</f>
        <v>BIO-FISIO-EST-TO (Multidisciplinar III)COS-TIPLAP - Guarujá/SP</v>
      </c>
      <c r="C303" s="8" t="str">
        <f>Tabela2[[#This Row],[CATEGORIA]]&amp;Tabela2[[#This Row],[CURSOS]]</f>
        <v>BIO-FISIO-EST-TO (Multidisciplinar III)COS-TIP</v>
      </c>
      <c r="D303" s="8" t="str">
        <f>IF(Tabela2[[#This Row],[SITUAÇÃO]]&lt;&gt;"Demitido",CONCATENATE(Tabela2[[#This Row],[POLO]],Tabela2[[#This Row],[CURSOS]]),"Substituição")</f>
        <v>Guarujá/SPCOS-TIP</v>
      </c>
      <c r="E303" s="8" t="s">
        <v>757</v>
      </c>
      <c r="F303" s="67" t="s">
        <v>900</v>
      </c>
      <c r="G303" s="67" t="s">
        <v>325</v>
      </c>
      <c r="H303" s="9" t="s">
        <v>960</v>
      </c>
      <c r="I303" s="17" t="str">
        <f>IFERROR(_xlfn.XLOOKUP(Tabela2[[#This Row],[CHAPA]],TUT.CONTROL!F:F,TUT.CONTROL!I:I),_xlfn.XLOOKUP(Tabela2[[#This Row],[CHAPA]],'REG.CONTROL'!F:F,'REG.CONTROL'!I:I))</f>
        <v>Ativo</v>
      </c>
      <c r="J303" s="17">
        <f>IFERROR(_xlfn.XLOOKUP(Tabela2[[#This Row],[NOME DO TUTOR]],TUT.CONTROL!C:C,TUT.CONTROL!G:G),"Demitido")</f>
        <v>45887</v>
      </c>
      <c r="K303" s="19">
        <v>13996256054</v>
      </c>
      <c r="L303" s="22">
        <f>IFERROR(_xlfn.XLOOKUP(Tabela2[[#This Row],[NOME DO TUTOR]],TUT.CONTROL!C:C,TUT.CONTROL!F:F),"Demitido")</f>
        <v>1158000900</v>
      </c>
      <c r="M303" s="8" t="s">
        <v>961</v>
      </c>
      <c r="N303" s="11" t="str">
        <f>IFERROR(_xlfn.XLOOKUP(Tabela2[[#This Row],[CHAPA]],TUT.CONTROL!F:F,TUT.CONTROL!H:H),_xlfn.XLOOKUP(Tabela2[[#This Row],[CHAPA]],'REG.CONTROL'!F:F,'REG.CONTROL'!H:H))</f>
        <v>TUTOR DE PRATICA (UC_1749)</v>
      </c>
      <c r="O303" s="68" t="str">
        <f>IFERROR(_xlfn.XLOOKUP(Tabela2[[#This Row],[NOME DO TUTOR]],TUT.CONTROL!C:C,TUT.CONTROL!K:K),"Demitido")</f>
        <v>004:00</v>
      </c>
      <c r="P30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03" s="66"/>
      <c r="R303" s="8"/>
      <c r="S303" s="8"/>
    </row>
    <row r="304" spans="1:19" ht="13.5" hidden="1" x14ac:dyDescent="0.3">
      <c r="A30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Belo Horizonte/MG - BarreiroBFRBIO-FAR (Multidisciplinar I)</v>
      </c>
      <c r="B304" s="8" t="str">
        <f>Tabela2[[#This Row],[CATEGORIA]]&amp;Tabela2[[#This Row],[CURSOS]]&amp;"LAP - "&amp;Tabela2[[#This Row],[POLO]]</f>
        <v>BIO-FAR (Multidisciplinar I)BFRLAP - Belo Horizonte/MG - Barreiro</v>
      </c>
      <c r="C304" s="8" t="str">
        <f>Tabela2[[#This Row],[CATEGORIA]]&amp;Tabela2[[#This Row],[CURSOS]]</f>
        <v>BIO-FAR (Multidisciplinar I)BFR</v>
      </c>
      <c r="D304" s="8" t="str">
        <f>IF(Tabela2[[#This Row],[SITUAÇÃO]]&lt;&gt;"Demitido",CONCATENATE(Tabela2[[#This Row],[POLO]],Tabela2[[#This Row],[CURSOS]]),"Substituição")</f>
        <v>Belo Horizonte/MG - BarreiroBFR</v>
      </c>
      <c r="E304" s="8" t="s">
        <v>771</v>
      </c>
      <c r="F304" s="67" t="s">
        <v>772</v>
      </c>
      <c r="G304" s="67" t="s">
        <v>97</v>
      </c>
      <c r="H304" s="9" t="s">
        <v>962</v>
      </c>
      <c r="I304" s="17" t="str">
        <f>IFERROR(_xlfn.XLOOKUP(Tabela2[[#This Row],[CHAPA]],TUT.CONTROL!F:F,TUT.CONTROL!I:I),_xlfn.XLOOKUP(Tabela2[[#This Row],[CHAPA]],'REG.CONTROL'!F:F,'REG.CONTROL'!I:I))</f>
        <v>Ativo</v>
      </c>
      <c r="J304" s="17">
        <f>IFERROR(_xlfn.XLOOKUP(Tabela2[[#This Row],[NOME DO TUTOR]],TUT.CONTROL!C:C,TUT.CONTROL!G:G),"Demitido")</f>
        <v>45887</v>
      </c>
      <c r="K304" s="19">
        <v>31993585802</v>
      </c>
      <c r="L304" s="22">
        <f>IFERROR(_xlfn.XLOOKUP(Tabela2[[#This Row],[NOME DO TUTOR]],TUT.CONTROL!C:C,TUT.CONTROL!F:F),"Demitido")</f>
        <v>1158000899</v>
      </c>
      <c r="M304" s="8" t="s">
        <v>963</v>
      </c>
      <c r="N304" s="11" t="str">
        <f>IFERROR(_xlfn.XLOOKUP(Tabela2[[#This Row],[CHAPA]],TUT.CONTROL!F:F,TUT.CONTROL!H:H),_xlfn.XLOOKUP(Tabela2[[#This Row],[CHAPA]],'REG.CONTROL'!F:F,'REG.CONTROL'!H:H))</f>
        <v>TUTOR DE PRATICA (UC_1749)</v>
      </c>
      <c r="O304" s="68" t="str">
        <f>IFERROR(_xlfn.XLOOKUP(Tabela2[[#This Row],[NOME DO TUTOR]],TUT.CONTROL!C:C,TUT.CONTROL!K:K),"Demitido")</f>
        <v>004:00</v>
      </c>
      <c r="P30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04" s="66"/>
      <c r="R304" s="8"/>
      <c r="S304" s="8"/>
    </row>
    <row r="305" spans="1:19" ht="13.5" hidden="1" x14ac:dyDescent="0.3">
      <c r="A30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Campinas/SP - AboliçãoAGMQUÍMICA E FÍSICA</v>
      </c>
      <c r="B305" s="8" t="str">
        <f>Tabela2[[#This Row],[CATEGORIA]]&amp;Tabela2[[#This Row],[CURSOS]]&amp;"LAP - "&amp;Tabela2[[#This Row],[POLO]]</f>
        <v>QUÍMICA E FÍSICAAGMLAP - Campinas/SP - Abolição</v>
      </c>
      <c r="C305" s="8" t="str">
        <f>Tabela2[[#This Row],[CATEGORIA]]&amp;Tabela2[[#This Row],[CURSOS]]</f>
        <v>QUÍMICA E FÍSICAAGM</v>
      </c>
      <c r="D305" s="8" t="str">
        <f>IF(Tabela2[[#This Row],[SITUAÇÃO]]&lt;&gt;"Demitido",CONCATENATE(Tabela2[[#This Row],[POLO]],Tabela2[[#This Row],[CURSOS]]),"Substituição")</f>
        <v>Campinas/SP - AboliçãoAGM</v>
      </c>
      <c r="E305" s="8" t="s">
        <v>734</v>
      </c>
      <c r="F305" s="67" t="s">
        <v>735</v>
      </c>
      <c r="G305" s="67" t="s">
        <v>172</v>
      </c>
      <c r="H305" s="9" t="s">
        <v>964</v>
      </c>
      <c r="I305" s="17" t="str">
        <f>IFERROR(_xlfn.XLOOKUP(Tabela2[[#This Row],[CHAPA]],TUT.CONTROL!F:F,TUT.CONTROL!I:I),_xlfn.XLOOKUP(Tabela2[[#This Row],[CHAPA]],'REG.CONTROL'!F:F,'REG.CONTROL'!I:I))</f>
        <v>Ativo</v>
      </c>
      <c r="J305" s="17">
        <f>IFERROR(_xlfn.XLOOKUP(Tabela2[[#This Row],[NOME DO TUTOR]],TUT.CONTROL!C:C,TUT.CONTROL!G:G),"Demitido")</f>
        <v>45887</v>
      </c>
      <c r="K305" s="19">
        <v>19992363152</v>
      </c>
      <c r="L305" s="22">
        <f>IFERROR(_xlfn.XLOOKUP(Tabela2[[#This Row],[NOME DO TUTOR]],TUT.CONTROL!C:C,TUT.CONTROL!F:F),"Demitido")</f>
        <v>1158000901</v>
      </c>
      <c r="M305" s="8" t="s">
        <v>965</v>
      </c>
      <c r="N305" s="11" t="str">
        <f>IFERROR(_xlfn.XLOOKUP(Tabela2[[#This Row],[CHAPA]],TUT.CONTROL!F:F,TUT.CONTROL!H:H),_xlfn.XLOOKUP(Tabela2[[#This Row],[CHAPA]],'REG.CONTROL'!F:F,'REG.CONTROL'!H:H))</f>
        <v>TUTOR DE PRATICA (UC_1749)</v>
      </c>
      <c r="O305" s="68" t="str">
        <f>IFERROR(_xlfn.XLOOKUP(Tabela2[[#This Row],[NOME DO TUTOR]],TUT.CONTROL!C:C,TUT.CONTROL!K:K),"Demitido")</f>
        <v>004:00</v>
      </c>
      <c r="P30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05" s="66" t="s">
        <v>30</v>
      </c>
      <c r="R305" s="8" t="s">
        <v>966</v>
      </c>
      <c r="S305" s="8">
        <v>5070361925</v>
      </c>
    </row>
    <row r="306" spans="1:19" ht="13.5" hidden="1" x14ac:dyDescent="0.3">
      <c r="A30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Sinop/MTAGMQUÍMICA E FÍSICA</v>
      </c>
      <c r="B306" s="8" t="str">
        <f>Tabela2[[#This Row],[CATEGORIA]]&amp;Tabela2[[#This Row],[CURSOS]]&amp;"LAP - "&amp;Tabela2[[#This Row],[POLO]]</f>
        <v>QUÍMICA E FÍSICAAGMLAP - Sinop/MT</v>
      </c>
      <c r="C306" s="8" t="str">
        <f>Tabela2[[#This Row],[CATEGORIA]]&amp;Tabela2[[#This Row],[CURSOS]]</f>
        <v>QUÍMICA E FÍSICAAGM</v>
      </c>
      <c r="D306" s="8" t="str">
        <f>IF(Tabela2[[#This Row],[SITUAÇÃO]]&lt;&gt;"Demitido",CONCATENATE(Tabela2[[#This Row],[POLO]],Tabela2[[#This Row],[CURSOS]]),"Substituição")</f>
        <v>Sinop/MTAGM</v>
      </c>
      <c r="E306" s="8" t="s">
        <v>734</v>
      </c>
      <c r="F306" s="67" t="s">
        <v>735</v>
      </c>
      <c r="G306" s="67" t="s">
        <v>967</v>
      </c>
      <c r="H306" s="9" t="s">
        <v>968</v>
      </c>
      <c r="I306" s="17" t="str">
        <f>IFERROR(_xlfn.XLOOKUP(Tabela2[[#This Row],[CHAPA]],TUT.CONTROL!F:F,TUT.CONTROL!I:I),_xlfn.XLOOKUP(Tabela2[[#This Row],[CHAPA]],'REG.CONTROL'!F:F,'REG.CONTROL'!I:I))</f>
        <v>Ativo</v>
      </c>
      <c r="J306" s="17">
        <f>IFERROR(_xlfn.XLOOKUP(Tabela2[[#This Row],[NOME DO TUTOR]],TUT.CONTROL!C:C,TUT.CONTROL!G:G),"Demitido")</f>
        <v>45887</v>
      </c>
      <c r="K306" s="19">
        <v>66996838682</v>
      </c>
      <c r="L306" s="22">
        <f>IFERROR(_xlfn.XLOOKUP(Tabela2[[#This Row],[NOME DO TUTOR]],TUT.CONTROL!C:C,TUT.CONTROL!F:F),"Demitido")</f>
        <v>1158000895</v>
      </c>
      <c r="M306" s="8" t="s">
        <v>969</v>
      </c>
      <c r="N306" s="11" t="str">
        <f>IFERROR(_xlfn.XLOOKUP(Tabela2[[#This Row],[CHAPA]],TUT.CONTROL!F:F,TUT.CONTROL!H:H),_xlfn.XLOOKUP(Tabela2[[#This Row],[CHAPA]],'REG.CONTROL'!F:F,'REG.CONTROL'!H:H))</f>
        <v>TUTOR DE PRATICA (UC_1749)</v>
      </c>
      <c r="O306" s="68" t="str">
        <f>IFERROR(_xlfn.XLOOKUP(Tabela2[[#This Row],[NOME DO TUTOR]],TUT.CONTROL!C:C,TUT.CONTROL!K:K),"Demitido")</f>
        <v>004:00</v>
      </c>
      <c r="P30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06" s="66"/>
      <c r="R306" s="8"/>
      <c r="S306" s="8"/>
    </row>
    <row r="307" spans="1:19" ht="13.5" hidden="1" x14ac:dyDescent="0.3">
      <c r="A30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Novo Hamburgo/RS - CentroCOS-TIPBIO-FISIO-EST-TO (Multidisciplinar III)</v>
      </c>
      <c r="B307" s="8" t="str">
        <f>Tabela2[[#This Row],[CATEGORIA]]&amp;Tabela2[[#This Row],[CURSOS]]&amp;"LAP - "&amp;Tabela2[[#This Row],[POLO]]</f>
        <v>BIO-FISIO-EST-TO (Multidisciplinar III)COS-TIPLAP - Novo Hamburgo/RS - Centro</v>
      </c>
      <c r="C307" s="8" t="str">
        <f>Tabela2[[#This Row],[CATEGORIA]]&amp;Tabela2[[#This Row],[CURSOS]]</f>
        <v>BIO-FISIO-EST-TO (Multidisciplinar III)COS-TIP</v>
      </c>
      <c r="D307" s="8" t="str">
        <f>IF(Tabela2[[#This Row],[SITUAÇÃO]]&lt;&gt;"Demitido",CONCATENATE(Tabela2[[#This Row],[POLO]],Tabela2[[#This Row],[CURSOS]]),"Substituição")</f>
        <v>Novo Hamburgo/RS - CentroCOS-TIP</v>
      </c>
      <c r="E307" s="8" t="s">
        <v>757</v>
      </c>
      <c r="F307" s="67" t="s">
        <v>900</v>
      </c>
      <c r="G307" s="67" t="s">
        <v>520</v>
      </c>
      <c r="H307" s="9" t="s">
        <v>970</v>
      </c>
      <c r="I307" s="17" t="str">
        <f>IFERROR(_xlfn.XLOOKUP(Tabela2[[#This Row],[CHAPA]],TUT.CONTROL!F:F,TUT.CONTROL!I:I),_xlfn.XLOOKUP(Tabela2[[#This Row],[CHAPA]],'REG.CONTROL'!F:F,'REG.CONTROL'!I:I))</f>
        <v>Ativo</v>
      </c>
      <c r="J307" s="17">
        <f>IFERROR(_xlfn.XLOOKUP(Tabela2[[#This Row],[NOME DO TUTOR]],TUT.CONTROL!C:C,TUT.CONTROL!G:G),"Demitido")</f>
        <v>45887</v>
      </c>
      <c r="K307" s="19">
        <v>51984340191</v>
      </c>
      <c r="L307" s="22">
        <f>IFERROR(_xlfn.XLOOKUP(Tabela2[[#This Row],[NOME DO TUTOR]],TUT.CONTROL!C:C,TUT.CONTROL!F:F),"Demitido")</f>
        <v>1158000898</v>
      </c>
      <c r="M307" s="8" t="s">
        <v>971</v>
      </c>
      <c r="N307" s="11" t="str">
        <f>IFERROR(_xlfn.XLOOKUP(Tabela2[[#This Row],[CHAPA]],TUT.CONTROL!F:F,TUT.CONTROL!H:H),_xlfn.XLOOKUP(Tabela2[[#This Row],[CHAPA]],'REG.CONTROL'!F:F,'REG.CONTROL'!H:H))</f>
        <v>TUTOR DE PRATICA (UC_1749)</v>
      </c>
      <c r="O307" s="68" t="str">
        <f>IFERROR(_xlfn.XLOOKUP(Tabela2[[#This Row],[NOME DO TUTOR]],TUT.CONTROL!C:C,TUT.CONTROL!K:K),"Demitido")</f>
        <v>004:00</v>
      </c>
      <c r="P30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07" s="66" t="s">
        <v>30</v>
      </c>
      <c r="R307" s="8"/>
      <c r="S307" s="8"/>
    </row>
    <row r="308" spans="1:19" ht="13.5" hidden="1" x14ac:dyDescent="0.3">
      <c r="A30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Alagoinhas/BAAGMQUÍMICA E FÍSICA</v>
      </c>
      <c r="B308" s="8" t="str">
        <f>Tabela2[[#This Row],[CATEGORIA]]&amp;Tabela2[[#This Row],[CURSOS]]&amp;"LAP - "&amp;Tabela2[[#This Row],[POLO]]</f>
        <v>QUÍMICA E FÍSICAAGMLAP - Alagoinhas/BA</v>
      </c>
      <c r="C308" s="8" t="str">
        <f>Tabela2[[#This Row],[CATEGORIA]]&amp;Tabela2[[#This Row],[CURSOS]]</f>
        <v>QUÍMICA E FÍSICAAGM</v>
      </c>
      <c r="D308" s="8" t="str">
        <f>IF(Tabela2[[#This Row],[SITUAÇÃO]]&lt;&gt;"Demitido",CONCATENATE(Tabela2[[#This Row],[POLO]],Tabela2[[#This Row],[CURSOS]]),"Substituição")</f>
        <v>Alagoinhas/BAAGM</v>
      </c>
      <c r="E308" s="8" t="s">
        <v>734</v>
      </c>
      <c r="F308" s="67" t="s">
        <v>735</v>
      </c>
      <c r="G308" s="67" t="s">
        <v>815</v>
      </c>
      <c r="H308" s="9" t="s">
        <v>972</v>
      </c>
      <c r="I308" s="17" t="str">
        <f>IFERROR(_xlfn.XLOOKUP(Tabela2[[#This Row],[CHAPA]],TUT.CONTROL!F:F,TUT.CONTROL!I:I),_xlfn.XLOOKUP(Tabela2[[#This Row],[CHAPA]],'REG.CONTROL'!F:F,'REG.CONTROL'!I:I))</f>
        <v>Ativo</v>
      </c>
      <c r="J308" s="17">
        <f>IFERROR(_xlfn.XLOOKUP(Tabela2[[#This Row],[NOME DO TUTOR]],TUT.CONTROL!C:C,TUT.CONTROL!G:G),"Demitido")</f>
        <v>45887</v>
      </c>
      <c r="K308" s="19">
        <v>71992105331</v>
      </c>
      <c r="L308" s="22">
        <f>IFERROR(_xlfn.XLOOKUP(Tabela2[[#This Row],[NOME DO TUTOR]],TUT.CONTROL!C:C,TUT.CONTROL!F:F),"Demitido")</f>
        <v>1158000902</v>
      </c>
      <c r="M308" s="8" t="s">
        <v>973</v>
      </c>
      <c r="N308" s="11" t="str">
        <f>IFERROR(_xlfn.XLOOKUP(Tabela2[[#This Row],[CHAPA]],TUT.CONTROL!F:F,TUT.CONTROL!H:H),_xlfn.XLOOKUP(Tabela2[[#This Row],[CHAPA]],'REG.CONTROL'!F:F,'REG.CONTROL'!H:H))</f>
        <v>TUTOR DE PRATICA (UC_1749)</v>
      </c>
      <c r="O308" s="68" t="str">
        <f>IFERROR(_xlfn.XLOOKUP(Tabela2[[#This Row],[NOME DO TUTOR]],TUT.CONTROL!C:C,TUT.CONTROL!K:K),"Demitido")</f>
        <v>004:00</v>
      </c>
      <c r="P30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08" s="66"/>
      <c r="R308" s="8" t="s">
        <v>974</v>
      </c>
      <c r="S308" s="8">
        <v>521865450</v>
      </c>
    </row>
    <row r="309" spans="1:19" ht="13.5" hidden="1" x14ac:dyDescent="0.3">
      <c r="A30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Santarém/PAEMF-ISNENF-INS (Multidisciplinar II)</v>
      </c>
      <c r="B309" s="8" t="str">
        <f>Tabela2[[#This Row],[CATEGORIA]]&amp;Tabela2[[#This Row],[CURSOS]]&amp;"LAP - "&amp;Tabela2[[#This Row],[POLO]]</f>
        <v>ENF-INS (Multidisciplinar II)EMF-ISNLAP - Santarém/PA</v>
      </c>
      <c r="C309" s="8" t="str">
        <f>Tabela2[[#This Row],[CATEGORIA]]&amp;Tabela2[[#This Row],[CURSOS]]</f>
        <v>ENF-INS (Multidisciplinar II)EMF-ISN</v>
      </c>
      <c r="D309" s="8" t="str">
        <f>IF(Tabela2[[#This Row],[SITUAÇÃO]]&lt;&gt;"Demitido",CONCATENATE(Tabela2[[#This Row],[POLO]],Tabela2[[#This Row],[CURSOS]]),"Substituição")</f>
        <v>Santarém/PAEMF-ISN</v>
      </c>
      <c r="E309" s="8" t="s">
        <v>21</v>
      </c>
      <c r="F309" s="67" t="s">
        <v>22</v>
      </c>
      <c r="G309" s="67" t="s">
        <v>975</v>
      </c>
      <c r="H309" s="9" t="s">
        <v>976</v>
      </c>
      <c r="I309" s="17" t="str">
        <f>IFERROR(_xlfn.XLOOKUP(Tabela2[[#This Row],[CHAPA]],TUT.CONTROL!F:F,TUT.CONTROL!I:I),_xlfn.XLOOKUP(Tabela2[[#This Row],[CHAPA]],'REG.CONTROL'!F:F,'REG.CONTROL'!I:I))</f>
        <v>Ativo</v>
      </c>
      <c r="J309" s="17">
        <f>IFERROR(_xlfn.XLOOKUP(Tabela2[[#This Row],[NOME DO TUTOR]],TUT.CONTROL!C:C,TUT.CONTROL!G:G),"Demitido")</f>
        <v>45754</v>
      </c>
      <c r="K309" s="19" t="s">
        <v>977</v>
      </c>
      <c r="L309" s="22">
        <f>IFERROR(_xlfn.XLOOKUP(Tabela2[[#This Row],[NOME DO TUTOR]],TUT.CONTROL!C:C,TUT.CONTROL!F:F),"Demitido")</f>
        <v>1158000690</v>
      </c>
      <c r="M309" s="8" t="s">
        <v>978</v>
      </c>
      <c r="N309" s="11" t="str">
        <f>IFERROR(_xlfn.XLOOKUP(Tabela2[[#This Row],[CHAPA]],TUT.CONTROL!F:F,TUT.CONTROL!H:H),_xlfn.XLOOKUP(Tabela2[[#This Row],[CHAPA]],'REG.CONTROL'!F:F,'REG.CONTROL'!H:H))</f>
        <v>TUTOR DE PRATICA (UC_1749)</v>
      </c>
      <c r="O309" s="68" t="str">
        <f>IFERROR(_xlfn.XLOOKUP(Tabela2[[#This Row],[NOME DO TUTOR]],TUT.CONTROL!C:C,TUT.CONTROL!K:K),"Demitido")</f>
        <v>004:00</v>
      </c>
      <c r="P30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09" s="66" t="s">
        <v>30</v>
      </c>
      <c r="R309" s="8" t="s">
        <v>26</v>
      </c>
      <c r="S309" s="8">
        <v>133299</v>
      </c>
    </row>
    <row r="310" spans="1:19" ht="13.5" hidden="1" x14ac:dyDescent="0.3">
      <c r="A31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10" s="8" t="str">
        <f>Tabela2[[#This Row],[CATEGORIA]]&amp;Tabela2[[#This Row],[CURSOS]]&amp;"LAP - "&amp;Tabela2[[#This Row],[POLO]]</f>
        <v>BIO-FAR (Multidisciplinar I)BFRLAP - Macapá/AP</v>
      </c>
      <c r="C310" s="8" t="str">
        <f>Tabela2[[#This Row],[CATEGORIA]]&amp;Tabela2[[#This Row],[CURSOS]]</f>
        <v>BIO-FAR (Multidisciplinar I)BFR</v>
      </c>
      <c r="D310" s="8" t="str">
        <f>IF(Tabela2[[#This Row],[SITUAÇÃO]]&lt;&gt;"Demitido",CONCATENATE(Tabela2[[#This Row],[POLO]],Tabela2[[#This Row],[CURSOS]]),"Substituição")</f>
        <v>Substituição</v>
      </c>
      <c r="E310" s="8" t="s">
        <v>771</v>
      </c>
      <c r="F310" s="67" t="s">
        <v>772</v>
      </c>
      <c r="G310" s="67" t="s">
        <v>439</v>
      </c>
      <c r="H310" s="9" t="s">
        <v>979</v>
      </c>
      <c r="I310" s="17" t="str">
        <f>IFERROR(_xlfn.XLOOKUP(Tabela2[[#This Row],[CHAPA]],TUT.CONTROL!F:F,TUT.CONTROL!I:I),_xlfn.XLOOKUP(Tabela2[[#This Row],[CHAPA]],'REG.CONTROL'!F:F,'REG.CONTROL'!I:I))</f>
        <v>Demitido</v>
      </c>
      <c r="J310" s="17">
        <f>IFERROR(_xlfn.XLOOKUP(Tabela2[[#This Row],[NOME DO TUTOR]],TUT.CONTROL!C:C,TUT.CONTROL!G:G),"Demitido")</f>
        <v>45887</v>
      </c>
      <c r="K310" s="19">
        <v>91984898600</v>
      </c>
      <c r="L310" s="22">
        <f>IFERROR(_xlfn.XLOOKUP(Tabela2[[#This Row],[NOME DO TUTOR]],TUT.CONTROL!C:C,TUT.CONTROL!F:F),"Demitido")</f>
        <v>1158000889</v>
      </c>
      <c r="M310" s="8" t="s">
        <v>980</v>
      </c>
      <c r="N310" s="11" t="str">
        <f>IFERROR(_xlfn.XLOOKUP(Tabela2[[#This Row],[CHAPA]],TUT.CONTROL!F:F,TUT.CONTROL!H:H),_xlfn.XLOOKUP(Tabela2[[#This Row],[CHAPA]],'REG.CONTROL'!F:F,'REG.CONTROL'!H:H))</f>
        <v>TUTOR DE PRATICA (UC_1749)</v>
      </c>
      <c r="O310" s="68" t="str">
        <f>IFERROR(_xlfn.XLOOKUP(Tabela2[[#This Row],[NOME DO TUTOR]],TUT.CONTROL!C:C,TUT.CONTROL!K:K),"Demitido")</f>
        <v>004:00</v>
      </c>
      <c r="P310" s="17">
        <f>IF(Tabela2[[#This Row],[SITUAÇÃO]]="Demitido",IFERROR(_xlfn.XLOOKUP(Tabela2[[#This Row],[CHAPA]],TUT.CONTROL!F:F,TUT.CONTROL!V:V),_xlfn.XLOOKUP(Tabela2[[#This Row],[CHAPA]],'REG.CONTROL'!F:F,'REG.CONTROL'!V:V)),"-")</f>
        <v>46098</v>
      </c>
      <c r="Q310" s="66" t="s">
        <v>43</v>
      </c>
      <c r="R310" s="8"/>
      <c r="S310" s="8"/>
    </row>
    <row r="311" spans="1:19" ht="13.5" hidden="1" x14ac:dyDescent="0.3">
      <c r="A31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11" s="8" t="str">
        <f>Tabela2[[#This Row],[CATEGORIA]]&amp;Tabela2[[#This Row],[CURSOS]]&amp;"LAP - "&amp;Tabela2[[#This Row],[POLO]]</f>
        <v>BIO-FAR (Multidisciplinar I)BFRLAP - Curitiba/PR - Centro</v>
      </c>
      <c r="C311" s="8" t="str">
        <f>Tabela2[[#This Row],[CATEGORIA]]&amp;Tabela2[[#This Row],[CURSOS]]</f>
        <v>BIO-FAR (Multidisciplinar I)BFR</v>
      </c>
      <c r="D311" s="8" t="str">
        <f>IF(Tabela2[[#This Row],[SITUAÇÃO]]&lt;&gt;"Demitido",CONCATENATE(Tabela2[[#This Row],[POLO]],Tabela2[[#This Row],[CURSOS]]),"Substituição")</f>
        <v>Substituição</v>
      </c>
      <c r="E311" s="8" t="s">
        <v>771</v>
      </c>
      <c r="F311" s="67" t="s">
        <v>772</v>
      </c>
      <c r="G311" s="67" t="s">
        <v>259</v>
      </c>
      <c r="H311" s="9" t="s">
        <v>981</v>
      </c>
      <c r="I311" s="17" t="str">
        <f>IFERROR(_xlfn.XLOOKUP(Tabela2[[#This Row],[CHAPA]],TUT.CONTROL!F:F,TUT.CONTROL!I:I),_xlfn.XLOOKUP(Tabela2[[#This Row],[CHAPA]],'REG.CONTROL'!F:F,'REG.CONTROL'!I:I))</f>
        <v>Demitido</v>
      </c>
      <c r="J311" s="17">
        <f>IFERROR(_xlfn.XLOOKUP(Tabela2[[#This Row],[NOME DO TUTOR]],TUT.CONTROL!C:C,TUT.CONTROL!G:G),"Demitido")</f>
        <v>45889</v>
      </c>
      <c r="K311" s="19">
        <v>41999194841</v>
      </c>
      <c r="L311" s="22">
        <f>IFERROR(_xlfn.XLOOKUP(Tabela2[[#This Row],[NOME DO TUTOR]],TUT.CONTROL!C:C,TUT.CONTROL!F:F),"Demitido")</f>
        <v>1158000924</v>
      </c>
      <c r="M311" s="8" t="s">
        <v>982</v>
      </c>
      <c r="N311" s="11" t="str">
        <f>IFERROR(_xlfn.XLOOKUP(Tabela2[[#This Row],[CHAPA]],TUT.CONTROL!F:F,TUT.CONTROL!H:H),_xlfn.XLOOKUP(Tabela2[[#This Row],[CHAPA]],'REG.CONTROL'!F:F,'REG.CONTROL'!H:H))</f>
        <v>TUTOR DE PRATICA (UC_1749)</v>
      </c>
      <c r="O311" s="68" t="str">
        <f>IFERROR(_xlfn.XLOOKUP(Tabela2[[#This Row],[NOME DO TUTOR]],TUT.CONTROL!C:C,TUT.CONTROL!K:K),"Demitido")</f>
        <v>004:00</v>
      </c>
      <c r="P311" s="17">
        <f>IF(Tabela2[[#This Row],[SITUAÇÃO]]="Demitido",IFERROR(_xlfn.XLOOKUP(Tabela2[[#This Row],[CHAPA]],TUT.CONTROL!F:F,TUT.CONTROL!V:V),_xlfn.XLOOKUP(Tabela2[[#This Row],[CHAPA]],'REG.CONTROL'!F:F,'REG.CONTROL'!V:V)),"-")</f>
        <v>45938</v>
      </c>
      <c r="Q311" s="66" t="s">
        <v>43</v>
      </c>
      <c r="R311" s="8"/>
      <c r="S311" s="8"/>
    </row>
    <row r="312" spans="1:19" ht="13.5" hidden="1" x14ac:dyDescent="0.3">
      <c r="A31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Curitiba/PR - BoqueirãoBFRBIO-FAR (Multidisciplinar I)</v>
      </c>
      <c r="B312" s="8" t="str">
        <f>Tabela2[[#This Row],[CATEGORIA]]&amp;Tabela2[[#This Row],[CURSOS]]&amp;"LAP - "&amp;Tabela2[[#This Row],[POLO]]</f>
        <v>BIO-FAR (Multidisciplinar I)BFRLAP - Curitiba/PR - Boqueirão</v>
      </c>
      <c r="C312" s="8" t="str">
        <f>Tabela2[[#This Row],[CATEGORIA]]&amp;Tabela2[[#This Row],[CURSOS]]</f>
        <v>BIO-FAR (Multidisciplinar I)BFR</v>
      </c>
      <c r="D312" s="8" t="str">
        <f>IF(Tabela2[[#This Row],[SITUAÇÃO]]&lt;&gt;"Demitido",CONCATENATE(Tabela2[[#This Row],[POLO]],Tabela2[[#This Row],[CURSOS]]),"Substituição")</f>
        <v>Curitiba/PR - BoqueirãoBFR</v>
      </c>
      <c r="E312" s="8" t="s">
        <v>771</v>
      </c>
      <c r="F312" s="67" t="s">
        <v>772</v>
      </c>
      <c r="G312" s="67" t="s">
        <v>256</v>
      </c>
      <c r="H312" s="9" t="s">
        <v>983</v>
      </c>
      <c r="I312" s="17" t="str">
        <f>IFERROR(_xlfn.XLOOKUP(Tabela2[[#This Row],[CHAPA]],TUT.CONTROL!F:F,TUT.CONTROL!I:I),_xlfn.XLOOKUP(Tabela2[[#This Row],[CHAPA]],'REG.CONTROL'!F:F,'REG.CONTROL'!I:I))</f>
        <v>Ativo</v>
      </c>
      <c r="J312" s="17">
        <f>IFERROR(_xlfn.XLOOKUP(Tabela2[[#This Row],[NOME DO TUTOR]],TUT.CONTROL!C:C,TUT.CONTROL!G:G),"Demitido")</f>
        <v>45889</v>
      </c>
      <c r="K312" s="19">
        <v>41998085415</v>
      </c>
      <c r="L312" s="22">
        <f>IFERROR(_xlfn.XLOOKUP(Tabela2[[#This Row],[NOME DO TUTOR]],TUT.CONTROL!C:C,TUT.CONTROL!F:F),"Demitido")</f>
        <v>1158000923</v>
      </c>
      <c r="M312" s="8" t="s">
        <v>984</v>
      </c>
      <c r="N312" s="11" t="str">
        <f>IFERROR(_xlfn.XLOOKUP(Tabela2[[#This Row],[CHAPA]],TUT.CONTROL!F:F,TUT.CONTROL!H:H),_xlfn.XLOOKUP(Tabela2[[#This Row],[CHAPA]],'REG.CONTROL'!F:F,'REG.CONTROL'!H:H))</f>
        <v>TUTOR DE PRATICA (UC_1749)</v>
      </c>
      <c r="O312" s="68" t="str">
        <f>IFERROR(_xlfn.XLOOKUP(Tabela2[[#This Row],[NOME DO TUTOR]],TUT.CONTROL!C:C,TUT.CONTROL!K:K),"Demitido")</f>
        <v>004:00</v>
      </c>
      <c r="P31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12" s="66" t="s">
        <v>30</v>
      </c>
      <c r="R312" s="8"/>
      <c r="S312" s="8"/>
    </row>
    <row r="313" spans="1:19" ht="13.5" hidden="1" x14ac:dyDescent="0.3">
      <c r="A31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Porto Alegre/RS - Centro HistóricoBFRBIO-FAR (Multidisciplinar I)</v>
      </c>
      <c r="B313" s="8" t="str">
        <f>Tabela2[[#This Row],[CATEGORIA]]&amp;Tabela2[[#This Row],[CURSOS]]&amp;"LAP - "&amp;Tabela2[[#This Row],[POLO]]</f>
        <v>BIO-FAR (Multidisciplinar I)BFRLAP - Porto Alegre/RS - Centro Histórico</v>
      </c>
      <c r="C313" s="8" t="str">
        <f>Tabela2[[#This Row],[CATEGORIA]]&amp;Tabela2[[#This Row],[CURSOS]]</f>
        <v>BIO-FAR (Multidisciplinar I)BFR</v>
      </c>
      <c r="D313" s="8" t="str">
        <f>IF(Tabela2[[#This Row],[SITUAÇÃO]]&lt;&gt;"Demitido",CONCATENATE(Tabela2[[#This Row],[POLO]],Tabela2[[#This Row],[CURSOS]]),"Substituição")</f>
        <v>Porto Alegre/RS - Centro HistóricoBFR</v>
      </c>
      <c r="E313" s="8" t="s">
        <v>771</v>
      </c>
      <c r="F313" s="67" t="s">
        <v>772</v>
      </c>
      <c r="G313" s="67" t="s">
        <v>632</v>
      </c>
      <c r="H313" s="9" t="s">
        <v>985</v>
      </c>
      <c r="I313" s="17" t="str">
        <f>IFERROR(_xlfn.XLOOKUP(Tabela2[[#This Row],[CHAPA]],TUT.CONTROL!F:F,TUT.CONTROL!I:I),_xlfn.XLOOKUP(Tabela2[[#This Row],[CHAPA]],'REG.CONTROL'!F:F,'REG.CONTROL'!I:I))</f>
        <v>Ativo</v>
      </c>
      <c r="J313" s="17">
        <f>IFERROR(_xlfn.XLOOKUP(Tabela2[[#This Row],[NOME DO TUTOR]],TUT.CONTROL!C:C,TUT.CONTROL!G:G),"Demitido")</f>
        <v>45889</v>
      </c>
      <c r="K313" s="19">
        <v>51982253680</v>
      </c>
      <c r="L313" s="22">
        <f>IFERROR(_xlfn.XLOOKUP(Tabela2[[#This Row],[NOME DO TUTOR]],TUT.CONTROL!C:C,TUT.CONTROL!F:F),"Demitido")</f>
        <v>1158000922</v>
      </c>
      <c r="M313" s="8" t="s">
        <v>986</v>
      </c>
      <c r="N313" s="11" t="str">
        <f>IFERROR(_xlfn.XLOOKUP(Tabela2[[#This Row],[CHAPA]],TUT.CONTROL!F:F,TUT.CONTROL!H:H),_xlfn.XLOOKUP(Tabela2[[#This Row],[CHAPA]],'REG.CONTROL'!F:F,'REG.CONTROL'!H:H))</f>
        <v>TUTOR DE PRATICA (UC_1749)</v>
      </c>
      <c r="O313" s="68" t="str">
        <f>IFERROR(_xlfn.XLOOKUP(Tabela2[[#This Row],[NOME DO TUTOR]],TUT.CONTROL!C:C,TUT.CONTROL!K:K),"Demitido")</f>
        <v>004:00</v>
      </c>
      <c r="P31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13" s="66" t="s">
        <v>43</v>
      </c>
      <c r="R313" s="8"/>
      <c r="S313" s="8"/>
    </row>
    <row r="314" spans="1:19" ht="13.5" hidden="1" x14ac:dyDescent="0.3">
      <c r="A31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Salvador/BA - Caminho das ÁrvoresBTOBIO-FISIO-EST-TO (Multidisciplinar III)</v>
      </c>
      <c r="B314" s="8" t="str">
        <f>Tabela2[[#This Row],[CATEGORIA]]&amp;Tabela2[[#This Row],[CURSOS]]&amp;"LAP - "&amp;Tabela2[[#This Row],[POLO]]</f>
        <v>BIO-FISIO-EST-TO (Multidisciplinar III)BTOLAP - Salvador/BA - Caminho das Árvores</v>
      </c>
      <c r="C314" s="8" t="str">
        <f>Tabela2[[#This Row],[CATEGORIA]]&amp;Tabela2[[#This Row],[CURSOS]]</f>
        <v>BIO-FISIO-EST-TO (Multidisciplinar III)BTO</v>
      </c>
      <c r="D314" s="8" t="str">
        <f>IF(Tabela2[[#This Row],[SITUAÇÃO]]&lt;&gt;"Demitido",CONCATENATE(Tabela2[[#This Row],[POLO]],Tabela2[[#This Row],[CURSOS]]),"Substituição")</f>
        <v>Salvador/BA - Caminho das ÁrvoresBTO</v>
      </c>
      <c r="E314" s="8" t="s">
        <v>757</v>
      </c>
      <c r="F314" s="67" t="s">
        <v>987</v>
      </c>
      <c r="G314" s="67" t="s">
        <v>810</v>
      </c>
      <c r="H314" s="9" t="s">
        <v>988</v>
      </c>
      <c r="I314" s="17" t="str">
        <f>IFERROR(_xlfn.XLOOKUP(Tabela2[[#This Row],[CHAPA]],TUT.CONTROL!F:F,TUT.CONTROL!I:I),_xlfn.XLOOKUP(Tabela2[[#This Row],[CHAPA]],'REG.CONTROL'!F:F,'REG.CONTROL'!I:I))</f>
        <v>Ativo</v>
      </c>
      <c r="J314" s="17">
        <f>IFERROR(_xlfn.XLOOKUP(Tabela2[[#This Row],[NOME DO TUTOR]],TUT.CONTROL!C:C,TUT.CONTROL!G:G),"Demitido")</f>
        <v>45889</v>
      </c>
      <c r="K314" s="19">
        <v>71981519494</v>
      </c>
      <c r="L314" s="22">
        <f>IFERROR(_xlfn.XLOOKUP(Tabela2[[#This Row],[NOME DO TUTOR]],TUT.CONTROL!C:C,TUT.CONTROL!F:F),"Demitido")</f>
        <v>1158000913</v>
      </c>
      <c r="M314" s="8" t="s">
        <v>989</v>
      </c>
      <c r="N314" s="11" t="str">
        <f>IFERROR(_xlfn.XLOOKUP(Tabela2[[#This Row],[CHAPA]],TUT.CONTROL!F:F,TUT.CONTROL!H:H),_xlfn.XLOOKUP(Tabela2[[#This Row],[CHAPA]],'REG.CONTROL'!F:F,'REG.CONTROL'!H:H))</f>
        <v>TUTOR DE PRATICA (UC_1749)</v>
      </c>
      <c r="O314" s="68" t="str">
        <f>IFERROR(_xlfn.XLOOKUP(Tabela2[[#This Row],[NOME DO TUTOR]],TUT.CONTROL!C:C,TUT.CONTROL!K:K),"Demitido")</f>
        <v>004:00</v>
      </c>
      <c r="P31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14" s="66"/>
      <c r="R314" s="8"/>
      <c r="S314" s="8"/>
    </row>
    <row r="315" spans="1:19" ht="13.5" hidden="1" customHeight="1" x14ac:dyDescent="0.3">
      <c r="A31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São Gonçalo/RJ - Partage ShoppingBFRBIO-FAR (Multidisciplinar I)</v>
      </c>
      <c r="B315" s="8" t="str">
        <f>Tabela2[[#This Row],[CATEGORIA]]&amp;Tabela2[[#This Row],[CURSOS]]&amp;"LAP - "&amp;Tabela2[[#This Row],[POLO]]</f>
        <v>BIO-FAR (Multidisciplinar I)BFRLAP - São Gonçalo/RJ - Partage Shopping</v>
      </c>
      <c r="C315" s="8" t="str">
        <f>Tabela2[[#This Row],[CATEGORIA]]&amp;Tabela2[[#This Row],[CURSOS]]</f>
        <v>BIO-FAR (Multidisciplinar I)BFR</v>
      </c>
      <c r="D315" s="8" t="str">
        <f>IF(Tabela2[[#This Row],[SITUAÇÃO]]&lt;&gt;"Demitido",CONCATENATE(Tabela2[[#This Row],[POLO]],Tabela2[[#This Row],[CURSOS]]),"Substituição")</f>
        <v>São Gonçalo/RJ - Partage ShoppingBFR</v>
      </c>
      <c r="E315" s="8" t="s">
        <v>771</v>
      </c>
      <c r="F315" s="67" t="s">
        <v>772</v>
      </c>
      <c r="G315" s="67" t="s">
        <v>990</v>
      </c>
      <c r="H315" s="9" t="s">
        <v>991</v>
      </c>
      <c r="I315" s="17" t="str">
        <f>IFERROR(_xlfn.XLOOKUP(Tabela2[[#This Row],[CHAPA]],TUT.CONTROL!F:F,TUT.CONTROL!I:I),_xlfn.XLOOKUP(Tabela2[[#This Row],[CHAPA]],'REG.CONTROL'!F:F,'REG.CONTROL'!I:I))</f>
        <v>Ativo</v>
      </c>
      <c r="J315" s="17">
        <f>IFERROR(_xlfn.XLOOKUP(Tabela2[[#This Row],[NOME DO TUTOR]],TUT.CONTROL!C:C,TUT.CONTROL!G:G),"Demitido")</f>
        <v>45889</v>
      </c>
      <c r="K315" s="19">
        <v>21987989143</v>
      </c>
      <c r="L315" s="22">
        <f>IFERROR(_xlfn.XLOOKUP(Tabela2[[#This Row],[NOME DO TUTOR]],TUT.CONTROL!C:C,TUT.CONTROL!F:F),"Demitido")</f>
        <v>1158000925</v>
      </c>
      <c r="M315" s="8" t="s">
        <v>992</v>
      </c>
      <c r="N315" s="11" t="str">
        <f>IFERROR(_xlfn.XLOOKUP(Tabela2[[#This Row],[CHAPA]],TUT.CONTROL!F:F,TUT.CONTROL!H:H),_xlfn.XLOOKUP(Tabela2[[#This Row],[CHAPA]],'REG.CONTROL'!F:F,'REG.CONTROL'!H:H))</f>
        <v>TUTOR DE PRATICA (UC_1749)</v>
      </c>
      <c r="O315" s="68" t="str">
        <f>IFERROR(_xlfn.XLOOKUP(Tabela2[[#This Row],[NOME DO TUTOR]],TUT.CONTROL!C:C,TUT.CONTROL!K:K),"Demitido")</f>
        <v>004:00</v>
      </c>
      <c r="P31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15" s="66" t="s">
        <v>30</v>
      </c>
      <c r="R315" s="8"/>
      <c r="S315" s="8"/>
    </row>
    <row r="316" spans="1:19" ht="13.5" hidden="1" customHeight="1" x14ac:dyDescent="0.3">
      <c r="A31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Santo André/SPEMF-ISNENF-INS (Multidisciplinar II)</v>
      </c>
      <c r="B316" s="8" t="str">
        <f>Tabela2[[#This Row],[CATEGORIA]]&amp;Tabela2[[#This Row],[CURSOS]]&amp;"LAP - "&amp;Tabela2[[#This Row],[POLO]]</f>
        <v>ENF-INS (Multidisciplinar II)EMF-ISNLAP - Santo André/SP</v>
      </c>
      <c r="C316" s="8" t="str">
        <f>Tabela2[[#This Row],[CATEGORIA]]&amp;Tabela2[[#This Row],[CURSOS]]</f>
        <v>ENF-INS (Multidisciplinar II)EMF-ISN</v>
      </c>
      <c r="D316" s="8" t="str">
        <f>IF(Tabela2[[#This Row],[SITUAÇÃO]]&lt;&gt;"Demitido",CONCATENATE(Tabela2[[#This Row],[POLO]],Tabela2[[#This Row],[CURSOS]]),"Substituição")</f>
        <v>Santo André/SPEMF-ISN</v>
      </c>
      <c r="E316" s="8" t="s">
        <v>21</v>
      </c>
      <c r="F316" s="67" t="s">
        <v>22</v>
      </c>
      <c r="G316" s="67" t="s">
        <v>993</v>
      </c>
      <c r="H316" s="9" t="s">
        <v>994</v>
      </c>
      <c r="I316" s="17" t="str">
        <f>IFERROR(_xlfn.XLOOKUP(Tabela2[[#This Row],[CHAPA]],TUT.CONTROL!F:F,TUT.CONTROL!I:I),_xlfn.XLOOKUP(Tabela2[[#This Row],[CHAPA]],'REG.CONTROL'!F:F,'REG.CONTROL'!I:I))</f>
        <v>Ativo</v>
      </c>
      <c r="J316" s="17">
        <f>IFERROR(_xlfn.XLOOKUP(Tabela2[[#This Row],[NOME DO TUTOR]],TUT.CONTROL!C:C,TUT.CONTROL!G:G),"Demitido")</f>
        <v>45728</v>
      </c>
      <c r="K316" s="19">
        <v>9292910592</v>
      </c>
      <c r="L316" s="22">
        <f>IFERROR(_xlfn.XLOOKUP(Tabela2[[#This Row],[NOME DO TUTOR]],TUT.CONTROL!C:C,TUT.CONTROL!F:F),"Demitido")</f>
        <v>1158000545</v>
      </c>
      <c r="M316" s="8" t="s">
        <v>995</v>
      </c>
      <c r="N316" s="11" t="str">
        <f>IFERROR(_xlfn.XLOOKUP(Tabela2[[#This Row],[CHAPA]],TUT.CONTROL!F:F,TUT.CONTROL!H:H),_xlfn.XLOOKUP(Tabela2[[#This Row],[CHAPA]],'REG.CONTROL'!F:F,'REG.CONTROL'!H:H))</f>
        <v>TUTOR DE PRATICA (UC_1749)</v>
      </c>
      <c r="O316" s="68" t="str">
        <f>IFERROR(_xlfn.XLOOKUP(Tabela2[[#This Row],[NOME DO TUTOR]],TUT.CONTROL!C:C,TUT.CONTROL!K:K),"Demitido")</f>
        <v>004:00</v>
      </c>
      <c r="P31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16" s="66" t="s">
        <v>30</v>
      </c>
      <c r="R316" s="8" t="s">
        <v>75</v>
      </c>
      <c r="S316" s="8">
        <v>468920</v>
      </c>
    </row>
    <row r="317" spans="1:19" ht="13.5" hidden="1" x14ac:dyDescent="0.3">
      <c r="A31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Nova Iguaçu/RJ - CentroBFRBIO-FAR (Multidisciplinar I)</v>
      </c>
      <c r="B317" s="8" t="str">
        <f>Tabela2[[#This Row],[CATEGORIA]]&amp;Tabela2[[#This Row],[CURSOS]]&amp;"LAP - "&amp;Tabela2[[#This Row],[POLO]]</f>
        <v>BIO-FAR (Multidisciplinar I)BFRLAP - Nova Iguaçu/RJ - Centro</v>
      </c>
      <c r="C317" s="8" t="str">
        <f>Tabela2[[#This Row],[CATEGORIA]]&amp;Tabela2[[#This Row],[CURSOS]]</f>
        <v>BIO-FAR (Multidisciplinar I)BFR</v>
      </c>
      <c r="D317" s="8" t="str">
        <f>IF(Tabela2[[#This Row],[SITUAÇÃO]]&lt;&gt;"Demitido",CONCATENATE(Tabela2[[#This Row],[POLO]],Tabela2[[#This Row],[CURSOS]]),"Substituição")</f>
        <v>Nova Iguaçu/RJ - CentroBFR</v>
      </c>
      <c r="E317" s="8" t="s">
        <v>771</v>
      </c>
      <c r="F317" s="67" t="s">
        <v>772</v>
      </c>
      <c r="G317" s="67" t="s">
        <v>996</v>
      </c>
      <c r="H317" s="9" t="s">
        <v>997</v>
      </c>
      <c r="I317" s="17" t="str">
        <f>IFERROR(_xlfn.XLOOKUP(Tabela2[[#This Row],[CHAPA]],TUT.CONTROL!F:F,TUT.CONTROL!I:I),_xlfn.XLOOKUP(Tabela2[[#This Row],[CHAPA]],'REG.CONTROL'!F:F,'REG.CONTROL'!I:I))</f>
        <v>Ativo</v>
      </c>
      <c r="J317" s="17">
        <f>IFERROR(_xlfn.XLOOKUP(Tabela2[[#This Row],[NOME DO TUTOR]],TUT.CONTROL!C:C,TUT.CONTROL!G:G),"Demitido")</f>
        <v>45889</v>
      </c>
      <c r="K317" s="19">
        <v>21994420395</v>
      </c>
      <c r="L317" s="22">
        <f>IFERROR(_xlfn.XLOOKUP(Tabela2[[#This Row],[NOME DO TUTOR]],TUT.CONTROL!C:C,TUT.CONTROL!F:F),"Demitido")</f>
        <v>1158000912</v>
      </c>
      <c r="M317" s="8" t="s">
        <v>998</v>
      </c>
      <c r="N317" s="11" t="str">
        <f>IFERROR(_xlfn.XLOOKUP(Tabela2[[#This Row],[CHAPA]],TUT.CONTROL!F:F,TUT.CONTROL!H:H),_xlfn.XLOOKUP(Tabela2[[#This Row],[CHAPA]],'REG.CONTROL'!F:F,'REG.CONTROL'!H:H))</f>
        <v>TUTOR DE PRATICA (UC_1749)</v>
      </c>
      <c r="O317" s="68" t="str">
        <f>IFERROR(_xlfn.XLOOKUP(Tabela2[[#This Row],[NOME DO TUTOR]],TUT.CONTROL!C:C,TUT.CONTROL!K:K),"Demitido")</f>
        <v>004:00</v>
      </c>
      <c r="P31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17" s="66"/>
      <c r="R317" s="8" t="s">
        <v>836</v>
      </c>
      <c r="S317" s="8">
        <v>26321</v>
      </c>
    </row>
    <row r="318" spans="1:19" ht="13.5" hidden="1" x14ac:dyDescent="0.3">
      <c r="A31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Goiânia/GO - Jardim EuropaNTRNUTRI (Multidisciplinar IV)</v>
      </c>
      <c r="B318" s="8" t="str">
        <f>Tabela2[[#This Row],[CATEGORIA]]&amp;Tabela2[[#This Row],[CURSOS]]&amp;"LAP - "&amp;Tabela2[[#This Row],[POLO]]</f>
        <v>NUTRI (Multidisciplinar IV)NTRLAP - Goiânia/GO - Jardim Europa</v>
      </c>
      <c r="C318" s="8" t="str">
        <f>Tabela2[[#This Row],[CATEGORIA]]&amp;Tabela2[[#This Row],[CURSOS]]</f>
        <v>NUTRI (Multidisciplinar IV)NTR</v>
      </c>
      <c r="D318" s="8" t="str">
        <f>IF(Tabela2[[#This Row],[SITUAÇÃO]]&lt;&gt;"Demitido",CONCATENATE(Tabela2[[#This Row],[POLO]],Tabela2[[#This Row],[CURSOS]]),"Substituição")</f>
        <v>Goiânia/GO - Jardim EuropaNTR</v>
      </c>
      <c r="E318" s="8" t="s">
        <v>730</v>
      </c>
      <c r="F318" s="67" t="s">
        <v>731</v>
      </c>
      <c r="G318" s="67" t="s">
        <v>999</v>
      </c>
      <c r="H318" s="9" t="s">
        <v>1000</v>
      </c>
      <c r="I318" s="17" t="str">
        <f>IFERROR(_xlfn.XLOOKUP(Tabela2[[#This Row],[CHAPA]],TUT.CONTROL!F:F,TUT.CONTROL!I:I),_xlfn.XLOOKUP(Tabela2[[#This Row],[CHAPA]],'REG.CONTROL'!F:F,'REG.CONTROL'!I:I))</f>
        <v>Ativo</v>
      </c>
      <c r="J318" s="17">
        <f>IFERROR(_xlfn.XLOOKUP(Tabela2[[#This Row],[NOME DO TUTOR]],TUT.CONTROL!C:C,TUT.CONTROL!G:G),"Demitido")</f>
        <v>45889</v>
      </c>
      <c r="K318" s="19">
        <v>62991315608</v>
      </c>
      <c r="L318" s="22">
        <f>IFERROR(_xlfn.XLOOKUP(Tabela2[[#This Row],[NOME DO TUTOR]],TUT.CONTROL!C:C,TUT.CONTROL!F:F),"Demitido")</f>
        <v>1158000916</v>
      </c>
      <c r="M318" s="8" t="s">
        <v>1001</v>
      </c>
      <c r="N318" s="11" t="str">
        <f>IFERROR(_xlfn.XLOOKUP(Tabela2[[#This Row],[CHAPA]],TUT.CONTROL!F:F,TUT.CONTROL!H:H),_xlfn.XLOOKUP(Tabela2[[#This Row],[CHAPA]],'REG.CONTROL'!F:F,'REG.CONTROL'!H:H))</f>
        <v>TUTOR DE PRATICA (UC_1749)</v>
      </c>
      <c r="O318" s="68" t="str">
        <f>IFERROR(_xlfn.XLOOKUP(Tabela2[[#This Row],[NOME DO TUTOR]],TUT.CONTROL!C:C,TUT.CONTROL!K:K),"Demitido")</f>
        <v>004:00</v>
      </c>
      <c r="P31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18" s="66" t="s">
        <v>30</v>
      </c>
      <c r="R318" s="8" t="s">
        <v>1002</v>
      </c>
      <c r="S318" s="8">
        <v>20814</v>
      </c>
    </row>
    <row r="319" spans="1:19" ht="13.5" hidden="1" customHeight="1" x14ac:dyDescent="0.3">
      <c r="A31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19" s="8" t="str">
        <f>Tabela2[[#This Row],[CATEGORIA]]&amp;Tabela2[[#This Row],[CURSOS]]&amp;"LAP - "&amp;Tabela2[[#This Row],[POLO]]</f>
        <v>ENF-INS (Multidisciplinar II)EMF-ISNLAP - Santo Antônio de Jesus/BA</v>
      </c>
      <c r="C319" s="8" t="str">
        <f>Tabela2[[#This Row],[CATEGORIA]]&amp;Tabela2[[#This Row],[CURSOS]]</f>
        <v>ENF-INS (Multidisciplinar II)EMF-ISN</v>
      </c>
      <c r="D319" s="8" t="str">
        <f>IF(Tabela2[[#This Row],[SITUAÇÃO]]&lt;&gt;"Demitido",CONCATENATE(Tabela2[[#This Row],[POLO]],Tabela2[[#This Row],[CURSOS]]),"Substituição")</f>
        <v>Substituição</v>
      </c>
      <c r="E319" s="8" t="s">
        <v>21</v>
      </c>
      <c r="F319" s="67" t="s">
        <v>22</v>
      </c>
      <c r="G319" s="67" t="s">
        <v>1003</v>
      </c>
      <c r="H319" s="9" t="s">
        <v>1004</v>
      </c>
      <c r="I319" s="17" t="str">
        <f>IFERROR(_xlfn.XLOOKUP(Tabela2[[#This Row],[CHAPA]],TUT.CONTROL!F:F,TUT.CONTROL!I:I),_xlfn.XLOOKUP(Tabela2[[#This Row],[CHAPA]],'REG.CONTROL'!F:F,'REG.CONTROL'!I:I))</f>
        <v>Demitido</v>
      </c>
      <c r="J319" s="17">
        <f>IFERROR(_xlfn.XLOOKUP(Tabela2[[#This Row],[NOME DO TUTOR]],TUT.CONTROL!C:C,TUT.CONTROL!G:G),"Demitido")</f>
        <v>45733</v>
      </c>
      <c r="K319" s="19">
        <v>77988130406</v>
      </c>
      <c r="L319" s="22">
        <f>IFERROR(_xlfn.XLOOKUP(Tabela2[[#This Row],[NOME DO TUTOR]],TUT.CONTROL!C:C,TUT.CONTROL!F:F),"Demitido")</f>
        <v>1158000552</v>
      </c>
      <c r="M319" s="8" t="s">
        <v>1005</v>
      </c>
      <c r="N319" s="11" t="str">
        <f>IFERROR(_xlfn.XLOOKUP(Tabela2[[#This Row],[CHAPA]],TUT.CONTROL!F:F,TUT.CONTROL!H:H),_xlfn.XLOOKUP(Tabela2[[#This Row],[CHAPA]],'REG.CONTROL'!F:F,'REG.CONTROL'!H:H))</f>
        <v>TUTOR DE PRATICA (UC_1749)</v>
      </c>
      <c r="O319" s="68" t="str">
        <f>IFERROR(_xlfn.XLOOKUP(Tabela2[[#This Row],[NOME DO TUTOR]],TUT.CONTROL!C:C,TUT.CONTROL!K:K),"Demitido")</f>
        <v>004:00</v>
      </c>
      <c r="P319" s="17">
        <f>IF(Tabela2[[#This Row],[SITUAÇÃO]]="Demitido",IFERROR(_xlfn.XLOOKUP(Tabela2[[#This Row],[CHAPA]],TUT.CONTROL!F:F,TUT.CONTROL!V:V),_xlfn.XLOOKUP(Tabela2[[#This Row],[CHAPA]],'REG.CONTROL'!F:F,'REG.CONTROL'!V:V)),"-")</f>
        <v>46113</v>
      </c>
      <c r="Q319" s="66" t="s">
        <v>30</v>
      </c>
      <c r="R319" s="8" t="s">
        <v>286</v>
      </c>
      <c r="S319" s="8">
        <v>665362</v>
      </c>
    </row>
    <row r="320" spans="1:19" ht="13.5" hidden="1" x14ac:dyDescent="0.3">
      <c r="A32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Campinas/SP - AboliçãoNTRNUTRI (Multidisciplinar IV)</v>
      </c>
      <c r="B320" s="8" t="str">
        <f>Tabela2[[#This Row],[CATEGORIA]]&amp;Tabela2[[#This Row],[CURSOS]]&amp;"LAP - "&amp;Tabela2[[#This Row],[POLO]]</f>
        <v>NUTRI (Multidisciplinar IV)NTRLAP - Campinas/SP - Abolição</v>
      </c>
      <c r="C320" s="8" t="str">
        <f>Tabela2[[#This Row],[CATEGORIA]]&amp;Tabela2[[#This Row],[CURSOS]]</f>
        <v>NUTRI (Multidisciplinar IV)NTR</v>
      </c>
      <c r="D320" s="8" t="str">
        <f>IF(Tabela2[[#This Row],[SITUAÇÃO]]&lt;&gt;"Demitido",CONCATENATE(Tabela2[[#This Row],[POLO]],Tabela2[[#This Row],[CURSOS]]),"Substituição")</f>
        <v>Campinas/SP - AboliçãoNTR</v>
      </c>
      <c r="E320" s="8" t="s">
        <v>730</v>
      </c>
      <c r="F320" s="67" t="s">
        <v>731</v>
      </c>
      <c r="G320" s="67" t="s">
        <v>172</v>
      </c>
      <c r="H320" s="9" t="s">
        <v>1006</v>
      </c>
      <c r="I320" s="17" t="str">
        <f>IFERROR(_xlfn.XLOOKUP(Tabela2[[#This Row],[CHAPA]],TUT.CONTROL!F:F,TUT.CONTROL!I:I),_xlfn.XLOOKUP(Tabela2[[#This Row],[CHAPA]],'REG.CONTROL'!F:F,'REG.CONTROL'!I:I))</f>
        <v>Ativo</v>
      </c>
      <c r="J320" s="17">
        <f>IFERROR(_xlfn.XLOOKUP(Tabela2[[#This Row],[NOME DO TUTOR]],TUT.CONTROL!C:C,TUT.CONTROL!G:G),"Demitido")</f>
        <v>45889</v>
      </c>
      <c r="K320" s="19">
        <v>19997480560</v>
      </c>
      <c r="L320" s="22">
        <f>IFERROR(_xlfn.XLOOKUP(Tabela2[[#This Row],[NOME DO TUTOR]],TUT.CONTROL!C:C,TUT.CONTROL!F:F),"Demitido")</f>
        <v>1158000914</v>
      </c>
      <c r="M320" s="8" t="s">
        <v>1007</v>
      </c>
      <c r="N320" s="11" t="str">
        <f>IFERROR(_xlfn.XLOOKUP(Tabela2[[#This Row],[CHAPA]],TUT.CONTROL!F:F,TUT.CONTROL!H:H),_xlfn.XLOOKUP(Tabela2[[#This Row],[CHAPA]],'REG.CONTROL'!F:F,'REG.CONTROL'!H:H))</f>
        <v>TUTOR DE PRATICA (UC_1749)</v>
      </c>
      <c r="O320" s="68" t="str">
        <f>IFERROR(_xlfn.XLOOKUP(Tabela2[[#This Row],[NOME DO TUTOR]],TUT.CONTROL!C:C,TUT.CONTROL!K:K),"Demitido")</f>
        <v>004:00</v>
      </c>
      <c r="P32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20" s="66"/>
      <c r="R320" s="8"/>
      <c r="S320" s="8"/>
    </row>
    <row r="321" spans="1:19" ht="13.5" hidden="1" x14ac:dyDescent="0.3">
      <c r="A32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Palhoça/SCBFRBIO-FAR (Multidisciplinar I)</v>
      </c>
      <c r="B321" s="8" t="str">
        <f>Tabela2[[#This Row],[CATEGORIA]]&amp;Tabela2[[#This Row],[CURSOS]]&amp;"LAP - "&amp;Tabela2[[#This Row],[POLO]]</f>
        <v>BIO-FAR (Multidisciplinar I)BFRLAP - Palhoça/SC</v>
      </c>
      <c r="C321" s="8" t="str">
        <f>Tabela2[[#This Row],[CATEGORIA]]&amp;Tabela2[[#This Row],[CURSOS]]</f>
        <v>BIO-FAR (Multidisciplinar I)BFR</v>
      </c>
      <c r="D321" s="8" t="str">
        <f>IF(Tabela2[[#This Row],[SITUAÇÃO]]&lt;&gt;"Demitido",CONCATENATE(Tabela2[[#This Row],[POLO]],Tabela2[[#This Row],[CURSOS]]),"Substituição")</f>
        <v>Palhoça/SCBFR</v>
      </c>
      <c r="E321" s="8" t="s">
        <v>771</v>
      </c>
      <c r="F321" s="67" t="s">
        <v>772</v>
      </c>
      <c r="G321" s="67" t="s">
        <v>538</v>
      </c>
      <c r="H321" s="9" t="s">
        <v>1008</v>
      </c>
      <c r="I321" s="17" t="str">
        <f>IFERROR(_xlfn.XLOOKUP(Tabela2[[#This Row],[CHAPA]],TUT.CONTROL!F:F,TUT.CONTROL!I:I),_xlfn.XLOOKUP(Tabela2[[#This Row],[CHAPA]],'REG.CONTROL'!F:F,'REG.CONTROL'!I:I))</f>
        <v>Ativo</v>
      </c>
      <c r="J321" s="17">
        <f>IFERROR(_xlfn.XLOOKUP(Tabela2[[#This Row],[NOME DO TUTOR]],TUT.CONTROL!C:C,TUT.CONTROL!G:G),"Demitido")</f>
        <v>45889</v>
      </c>
      <c r="K321" s="19">
        <v>48988405589</v>
      </c>
      <c r="L321" s="22">
        <f>IFERROR(_xlfn.XLOOKUP(Tabela2[[#This Row],[NOME DO TUTOR]],TUT.CONTROL!C:C,TUT.CONTROL!F:F),"Demitido")</f>
        <v>1158000915</v>
      </c>
      <c r="M321" s="8" t="s">
        <v>1009</v>
      </c>
      <c r="N321" s="11" t="str">
        <f>IFERROR(_xlfn.XLOOKUP(Tabela2[[#This Row],[CHAPA]],TUT.CONTROL!F:F,TUT.CONTROL!H:H),_xlfn.XLOOKUP(Tabela2[[#This Row],[CHAPA]],'REG.CONTROL'!F:F,'REG.CONTROL'!H:H))</f>
        <v>TUTOR DE PRATICA (UC_1749)</v>
      </c>
      <c r="O321" s="68" t="str">
        <f>IFERROR(_xlfn.XLOOKUP(Tabela2[[#This Row],[NOME DO TUTOR]],TUT.CONTROL!C:C,TUT.CONTROL!K:K),"Demitido")</f>
        <v>004:00</v>
      </c>
      <c r="P32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21" s="66" t="s">
        <v>30</v>
      </c>
      <c r="R321" s="8" t="s">
        <v>1010</v>
      </c>
      <c r="S321" s="8">
        <v>15931</v>
      </c>
    </row>
    <row r="322" spans="1:19" ht="13.5" hidden="1" x14ac:dyDescent="0.3">
      <c r="A32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22" s="8" t="str">
        <f>Tabela2[[#This Row],[CATEGORIA]]&amp;Tabela2[[#This Row],[CURSOS]]&amp;"LAP - "&amp;Tabela2[[#This Row],[POLO]]</f>
        <v>BIO-FISIO-EST-TO (Multidisciplinar III)BFILAP - Cabo Frio/RJ</v>
      </c>
      <c r="C322" s="8" t="str">
        <f>Tabela2[[#This Row],[CATEGORIA]]&amp;Tabela2[[#This Row],[CURSOS]]</f>
        <v>BIO-FISIO-EST-TO (Multidisciplinar III)BFI</v>
      </c>
      <c r="D322" s="8" t="str">
        <f>IF(Tabela2[[#This Row],[SITUAÇÃO]]&lt;&gt;"Demitido",CONCATENATE(Tabela2[[#This Row],[POLO]],Tabela2[[#This Row],[CURSOS]]),"Substituição")</f>
        <v>Substituição</v>
      </c>
      <c r="E322" s="8" t="s">
        <v>757</v>
      </c>
      <c r="F322" s="67" t="s">
        <v>758</v>
      </c>
      <c r="G322" s="67" t="s">
        <v>154</v>
      </c>
      <c r="H322" s="9" t="s">
        <v>1011</v>
      </c>
      <c r="I322" s="17" t="str">
        <f>IFERROR(_xlfn.XLOOKUP(Tabela2[[#This Row],[CHAPA]],TUT.CONTROL!F:F,TUT.CONTROL!I:I),_xlfn.XLOOKUP(Tabela2[[#This Row],[CHAPA]],'REG.CONTROL'!F:F,'REG.CONTROL'!I:I))</f>
        <v>Demitido</v>
      </c>
      <c r="J322" s="17">
        <f>IFERROR(_xlfn.XLOOKUP(Tabela2[[#This Row],[NOME DO TUTOR]],TUT.CONTROL!C:C,TUT.CONTROL!G:G),"Demitido")</f>
        <v>45901</v>
      </c>
      <c r="K322" s="19">
        <v>22998164591</v>
      </c>
      <c r="L322" s="22">
        <f>IFERROR(_xlfn.XLOOKUP(Tabela2[[#This Row],[NOME DO TUTOR]],TUT.CONTROL!C:C,TUT.CONTROL!F:F),"Demitido")</f>
        <v>1158000951</v>
      </c>
      <c r="M322" s="8" t="s">
        <v>1012</v>
      </c>
      <c r="N322" s="11" t="str">
        <f>IFERROR(_xlfn.XLOOKUP(Tabela2[[#This Row],[CHAPA]],TUT.CONTROL!F:F,TUT.CONTROL!H:H),_xlfn.XLOOKUP(Tabela2[[#This Row],[CHAPA]],'REG.CONTROL'!F:F,'REG.CONTROL'!H:H))</f>
        <v>TUTOR DE PRATICA (UC_1749)</v>
      </c>
      <c r="O322" s="68" t="str">
        <f>IFERROR(_xlfn.XLOOKUP(Tabela2[[#This Row],[NOME DO TUTOR]],TUT.CONTROL!C:C,TUT.CONTROL!K:K),"Demitido")</f>
        <v>004:00</v>
      </c>
      <c r="P322" s="17">
        <f>IF(Tabela2[[#This Row],[SITUAÇÃO]]="Demitido",IFERROR(_xlfn.XLOOKUP(Tabela2[[#This Row],[CHAPA]],TUT.CONTROL!F:F,TUT.CONTROL!V:V),_xlfn.XLOOKUP(Tabela2[[#This Row],[CHAPA]],'REG.CONTROL'!F:F,'REG.CONTROL'!V:V)),"-")</f>
        <v>45924</v>
      </c>
      <c r="Q322" s="66" t="s">
        <v>43</v>
      </c>
      <c r="R322" s="8"/>
      <c r="S322" s="8"/>
    </row>
    <row r="323" spans="1:19" ht="13.5" hidden="1" x14ac:dyDescent="0.3">
      <c r="A32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São Bento/MAEMF-ISNENF-INS (Multidisciplinar II)</v>
      </c>
      <c r="B323" s="8" t="str">
        <f>Tabela2[[#This Row],[CATEGORIA]]&amp;Tabela2[[#This Row],[CURSOS]]&amp;"LAP - "&amp;Tabela2[[#This Row],[POLO]]</f>
        <v>ENF-INS (Multidisciplinar II)EMF-ISNLAP - São Bento/MA</v>
      </c>
      <c r="C323" s="8" t="str">
        <f>Tabela2[[#This Row],[CATEGORIA]]&amp;Tabela2[[#This Row],[CURSOS]]</f>
        <v>ENF-INS (Multidisciplinar II)EMF-ISN</v>
      </c>
      <c r="D323" s="8" t="str">
        <f>IF(Tabela2[[#This Row],[SITUAÇÃO]]&lt;&gt;"Demitido",CONCATENATE(Tabela2[[#This Row],[POLO]],Tabela2[[#This Row],[CURSOS]]),"Substituição")</f>
        <v>São Bento/MAEMF-ISN</v>
      </c>
      <c r="E323" s="8" t="s">
        <v>21</v>
      </c>
      <c r="F323" s="67" t="s">
        <v>22</v>
      </c>
      <c r="G323" s="67" t="s">
        <v>1013</v>
      </c>
      <c r="H323" s="9" t="s">
        <v>1014</v>
      </c>
      <c r="I323" s="17" t="str">
        <f>IFERROR(_xlfn.XLOOKUP(Tabela2[[#This Row],[CHAPA]],TUT.CONTROL!F:F,TUT.CONTROL!I:I),_xlfn.XLOOKUP(Tabela2[[#This Row],[CHAPA]],'REG.CONTROL'!F:F,'REG.CONTROL'!I:I))</f>
        <v>Ativo</v>
      </c>
      <c r="J323" s="17">
        <f>IFERROR(_xlfn.XLOOKUP(Tabela2[[#This Row],[NOME DO TUTOR]],TUT.CONTROL!C:C,TUT.CONTROL!G:G),"Demitido")</f>
        <v>45791</v>
      </c>
      <c r="K323" s="19">
        <v>98984598476</v>
      </c>
      <c r="L323" s="22">
        <f>IFERROR(_xlfn.XLOOKUP(Tabela2[[#This Row],[NOME DO TUTOR]],TUT.CONTROL!C:C,TUT.CONTROL!F:F),"Demitido")</f>
        <v>1158000636</v>
      </c>
      <c r="M323" s="8" t="s">
        <v>1015</v>
      </c>
      <c r="N323" s="11" t="str">
        <f>IFERROR(_xlfn.XLOOKUP(Tabela2[[#This Row],[CHAPA]],TUT.CONTROL!F:F,TUT.CONTROL!H:H),_xlfn.XLOOKUP(Tabela2[[#This Row],[CHAPA]],'REG.CONTROL'!F:F,'REG.CONTROL'!H:H))</f>
        <v>TUTOR DE PRATICA (UC_1749)</v>
      </c>
      <c r="O323" s="68" t="str">
        <f>IFERROR(_xlfn.XLOOKUP(Tabela2[[#This Row],[NOME DO TUTOR]],TUT.CONTROL!C:C,TUT.CONTROL!K:K),"Demitido")</f>
        <v>004:00</v>
      </c>
      <c r="P32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23" s="66" t="s">
        <v>30</v>
      </c>
      <c r="R323" s="8" t="s">
        <v>86</v>
      </c>
      <c r="S323" s="8">
        <v>774004</v>
      </c>
    </row>
    <row r="324" spans="1:19" ht="13.5" hidden="1" x14ac:dyDescent="0.3">
      <c r="A32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24" s="8" t="str">
        <f>Tabela2[[#This Row],[CATEGORIA]]&amp;Tabela2[[#This Row],[CURSOS]]&amp;"LAP - "&amp;Tabela2[[#This Row],[POLO]]</f>
        <v>BIO-FISIO-EST-TO (Multidisciplinar III)BTOLAP - Curitiba/PR - Centro</v>
      </c>
      <c r="C324" s="8" t="str">
        <f>Tabela2[[#This Row],[CATEGORIA]]&amp;Tabela2[[#This Row],[CURSOS]]</f>
        <v>BIO-FISIO-EST-TO (Multidisciplinar III)BTO</v>
      </c>
      <c r="D324" s="8" t="str">
        <f>IF(Tabela2[[#This Row],[SITUAÇÃO]]&lt;&gt;"Demitido",CONCATENATE(Tabela2[[#This Row],[POLO]],Tabela2[[#This Row],[CURSOS]]),"Substituição")</f>
        <v>Substituição</v>
      </c>
      <c r="E324" s="8" t="s">
        <v>757</v>
      </c>
      <c r="F324" s="67" t="s">
        <v>987</v>
      </c>
      <c r="G324" s="67" t="s">
        <v>259</v>
      </c>
      <c r="H324" s="9" t="s">
        <v>1016</v>
      </c>
      <c r="I324" s="17" t="str">
        <f>IFERROR(_xlfn.XLOOKUP(Tabela2[[#This Row],[CHAPA]],TUT.CONTROL!F:F,TUT.CONTROL!I:I),_xlfn.XLOOKUP(Tabela2[[#This Row],[CHAPA]],'REG.CONTROL'!F:F,'REG.CONTROL'!I:I))</f>
        <v>Demitido</v>
      </c>
      <c r="J324" s="17">
        <f>IFERROR(_xlfn.XLOOKUP(Tabela2[[#This Row],[NOME DO TUTOR]],TUT.CONTROL!C:C,TUT.CONTROL!G:G),"Demitido")</f>
        <v>45901</v>
      </c>
      <c r="K324" s="19">
        <v>41996366079</v>
      </c>
      <c r="L324" s="22">
        <f>IFERROR(_xlfn.XLOOKUP(Tabela2[[#This Row],[NOME DO TUTOR]],TUT.CONTROL!C:C,TUT.CONTROL!F:F),"Demitido")</f>
        <v>1158000933</v>
      </c>
      <c r="M324" s="8" t="s">
        <v>1017</v>
      </c>
      <c r="N324" s="11" t="str">
        <f>IFERROR(_xlfn.XLOOKUP(Tabela2[[#This Row],[CHAPA]],TUT.CONTROL!F:F,TUT.CONTROL!H:H),_xlfn.XLOOKUP(Tabela2[[#This Row],[CHAPA]],'REG.CONTROL'!F:F,'REG.CONTROL'!H:H))</f>
        <v>TUTOR DE PRATICA (UC_1749)</v>
      </c>
      <c r="O324" s="68" t="str">
        <f>IFERROR(_xlfn.XLOOKUP(Tabela2[[#This Row],[NOME DO TUTOR]],TUT.CONTROL!C:C,TUT.CONTROL!K:K),"Demitido")</f>
        <v>004:00</v>
      </c>
      <c r="P324" s="17">
        <f>IF(Tabela2[[#This Row],[SITUAÇÃO]]="Demitido",IFERROR(_xlfn.XLOOKUP(Tabela2[[#This Row],[CHAPA]],TUT.CONTROL!F:F,TUT.CONTROL!V:V),_xlfn.XLOOKUP(Tabela2[[#This Row],[CHAPA]],'REG.CONTROL'!F:F,'REG.CONTROL'!V:V)),"-")</f>
        <v>45931</v>
      </c>
      <c r="Q324" s="66" t="s">
        <v>43</v>
      </c>
      <c r="R324" s="8"/>
      <c r="S324" s="8"/>
    </row>
    <row r="325" spans="1:19" ht="13.5" hidden="1" x14ac:dyDescent="0.3">
      <c r="A32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25" s="8" t="str">
        <f>Tabela2[[#This Row],[CATEGORIA]]&amp;Tabela2[[#This Row],[CURSOS]]&amp;"LAP - "&amp;Tabela2[[#This Row],[POLO]]</f>
        <v>QUÍMICA E FÍSICAAGMLAP - Garanhuns/PE</v>
      </c>
      <c r="C325" s="8" t="str">
        <f>Tabela2[[#This Row],[CATEGORIA]]&amp;Tabela2[[#This Row],[CURSOS]]</f>
        <v>QUÍMICA E FÍSICAAGM</v>
      </c>
      <c r="D325" s="8" t="str">
        <f>IF(Tabela2[[#This Row],[SITUAÇÃO]]&lt;&gt;"Demitido",CONCATENATE(Tabela2[[#This Row],[POLO]],Tabela2[[#This Row],[CURSOS]]),"Substituição")</f>
        <v>Substituição</v>
      </c>
      <c r="E325" s="8" t="s">
        <v>734</v>
      </c>
      <c r="F325" s="67" t="s">
        <v>735</v>
      </c>
      <c r="G325" s="67" t="s">
        <v>310</v>
      </c>
      <c r="H325" s="9" t="s">
        <v>1018</v>
      </c>
      <c r="I325" s="17" t="str">
        <f>IFERROR(_xlfn.XLOOKUP(Tabela2[[#This Row],[CHAPA]],TUT.CONTROL!F:F,TUT.CONTROL!I:I),_xlfn.XLOOKUP(Tabela2[[#This Row],[CHAPA]],'REG.CONTROL'!F:F,'REG.CONTROL'!I:I))</f>
        <v>Demitido</v>
      </c>
      <c r="J325" s="17">
        <f>IFERROR(_xlfn.XLOOKUP(Tabela2[[#This Row],[NOME DO TUTOR]],TUT.CONTROL!C:C,TUT.CONTROL!G:G),"Demitido")</f>
        <v>45901</v>
      </c>
      <c r="K325" s="19">
        <v>21983908068</v>
      </c>
      <c r="L325" s="22">
        <f>IFERROR(_xlfn.XLOOKUP(Tabela2[[#This Row],[NOME DO TUTOR]],TUT.CONTROL!C:C,TUT.CONTROL!F:F),"Demitido")</f>
        <v>1158000944</v>
      </c>
      <c r="M325" s="8" t="s">
        <v>1019</v>
      </c>
      <c r="N325" s="11" t="str">
        <f>IFERROR(_xlfn.XLOOKUP(Tabela2[[#This Row],[CHAPA]],TUT.CONTROL!F:F,TUT.CONTROL!H:H),_xlfn.XLOOKUP(Tabela2[[#This Row],[CHAPA]],'REG.CONTROL'!F:F,'REG.CONTROL'!H:H))</f>
        <v>TUTOR DE PRATICA (UC_1749)</v>
      </c>
      <c r="O325" s="68" t="str">
        <f>IFERROR(_xlfn.XLOOKUP(Tabela2[[#This Row],[NOME DO TUTOR]],TUT.CONTROL!C:C,TUT.CONTROL!K:K),"Demitido")</f>
        <v>004:00</v>
      </c>
      <c r="P325" s="17">
        <f>IF(Tabela2[[#This Row],[SITUAÇÃO]]="Demitido",IFERROR(_xlfn.XLOOKUP(Tabela2[[#This Row],[CHAPA]],TUT.CONTROL!F:F,TUT.CONTROL!V:V),_xlfn.XLOOKUP(Tabela2[[#This Row],[CHAPA]],'REG.CONTROL'!F:F,'REG.CONTROL'!V:V)),"-")</f>
        <v>45931</v>
      </c>
      <c r="Q325" s="66" t="s">
        <v>43</v>
      </c>
      <c r="R325" s="66" t="s">
        <v>43</v>
      </c>
      <c r="S325" s="8"/>
    </row>
    <row r="326" spans="1:19" ht="13.5" hidden="1" x14ac:dyDescent="0.3">
      <c r="A32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26" s="8" t="str">
        <f>Tabela2[[#This Row],[CATEGORIA]]&amp;Tabela2[[#This Row],[CURSOS]]&amp;"LAP - "&amp;Tabela2[[#This Row],[POLO]]</f>
        <v>BIO-FAR (Multidisciplinar I)BFRLAP - Maringá/PR - Zona 01</v>
      </c>
      <c r="C326" s="8" t="str">
        <f>Tabela2[[#This Row],[CATEGORIA]]&amp;Tabela2[[#This Row],[CURSOS]]</f>
        <v>BIO-FAR (Multidisciplinar I)BFR</v>
      </c>
      <c r="D326" s="8" t="str">
        <f>IF(Tabela2[[#This Row],[SITUAÇÃO]]&lt;&gt;"Demitido",CONCATENATE(Tabela2[[#This Row],[POLO]],Tabela2[[#This Row],[CURSOS]]),"Substituição")</f>
        <v>Substituição</v>
      </c>
      <c r="E326" s="8" t="s">
        <v>771</v>
      </c>
      <c r="F326" s="67" t="s">
        <v>772</v>
      </c>
      <c r="G326" s="67" t="s">
        <v>385</v>
      </c>
      <c r="H326" s="9" t="s">
        <v>1020</v>
      </c>
      <c r="I326" s="17" t="str">
        <f>IFERROR(_xlfn.XLOOKUP(Tabela2[[#This Row],[CHAPA]],TUT.CONTROL!F:F,TUT.CONTROL!I:I),_xlfn.XLOOKUP(Tabela2[[#This Row],[CHAPA]],'REG.CONTROL'!F:F,'REG.CONTROL'!I:I))</f>
        <v>Demitido</v>
      </c>
      <c r="J326" s="17">
        <f>IFERROR(_xlfn.XLOOKUP(Tabela2[[#This Row],[NOME DO TUTOR]],TUT.CONTROL!C:C,TUT.CONTROL!G:G),"Demitido")</f>
        <v>45901</v>
      </c>
      <c r="K326" s="19">
        <v>44999857685</v>
      </c>
      <c r="L326" s="22">
        <f>IFERROR(_xlfn.XLOOKUP(Tabela2[[#This Row],[NOME DO TUTOR]],TUT.CONTROL!C:C,TUT.CONTROL!F:F),"Demitido")</f>
        <v>1158000956</v>
      </c>
      <c r="M326" s="8" t="s">
        <v>1021</v>
      </c>
      <c r="N326" s="11" t="str">
        <f>IFERROR(_xlfn.XLOOKUP(Tabela2[[#This Row],[CHAPA]],TUT.CONTROL!F:F,TUT.CONTROL!H:H),_xlfn.XLOOKUP(Tabela2[[#This Row],[CHAPA]],'REG.CONTROL'!F:F,'REG.CONTROL'!H:H))</f>
        <v>TUTOR DE PRATICA (UC_1749)</v>
      </c>
      <c r="O326" s="68" t="str">
        <f>IFERROR(_xlfn.XLOOKUP(Tabela2[[#This Row],[NOME DO TUTOR]],TUT.CONTROL!C:C,TUT.CONTROL!K:K),"Demitido")</f>
        <v>004:00</v>
      </c>
      <c r="P326" s="17">
        <f>IF(Tabela2[[#This Row],[SITUAÇÃO]]="Demitido",IFERROR(_xlfn.XLOOKUP(Tabela2[[#This Row],[CHAPA]],TUT.CONTROL!F:F,TUT.CONTROL!V:V),_xlfn.XLOOKUP(Tabela2[[#This Row],[CHAPA]],'REG.CONTROL'!F:F,'REG.CONTROL'!V:V)),"-")</f>
        <v>45937</v>
      </c>
      <c r="Q326" s="66" t="s">
        <v>43</v>
      </c>
      <c r="R326" s="8"/>
      <c r="S326" s="8"/>
    </row>
    <row r="327" spans="1:19" ht="13.5" hidden="1" x14ac:dyDescent="0.3">
      <c r="A32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São Félix do Xingu/PAEMF-ISNENF-INS (Multidisciplinar II)</v>
      </c>
      <c r="B327" s="8" t="str">
        <f>Tabela2[[#This Row],[CATEGORIA]]&amp;Tabela2[[#This Row],[CURSOS]]&amp;"LAP - "&amp;Tabela2[[#This Row],[POLO]]</f>
        <v>ENF-INS (Multidisciplinar II)EMF-ISNLAP - São Félix do Xingu/PA</v>
      </c>
      <c r="C327" s="8" t="str">
        <f>Tabela2[[#This Row],[CATEGORIA]]&amp;Tabela2[[#This Row],[CURSOS]]</f>
        <v>ENF-INS (Multidisciplinar II)EMF-ISN</v>
      </c>
      <c r="D327" s="8" t="str">
        <f>IF(Tabela2[[#This Row],[SITUAÇÃO]]&lt;&gt;"Demitido",CONCATENATE(Tabela2[[#This Row],[POLO]],Tabela2[[#This Row],[CURSOS]]),"Substituição")</f>
        <v>São Félix do Xingu/PAEMF-ISN</v>
      </c>
      <c r="E327" s="8" t="s">
        <v>21</v>
      </c>
      <c r="F327" s="67" t="s">
        <v>22</v>
      </c>
      <c r="G327" s="67" t="s">
        <v>1022</v>
      </c>
      <c r="H327" s="9" t="s">
        <v>1023</v>
      </c>
      <c r="I327" s="17" t="str">
        <f>IFERROR(_xlfn.XLOOKUP(Tabela2[[#This Row],[CHAPA]],TUT.CONTROL!F:F,TUT.CONTROL!I:I),_xlfn.XLOOKUP(Tabela2[[#This Row],[CHAPA]],'REG.CONTROL'!F:F,'REG.CONTROL'!I:I))</f>
        <v>Ativo</v>
      </c>
      <c r="J327" s="17">
        <f>IFERROR(_xlfn.XLOOKUP(Tabela2[[#This Row],[NOME DO TUTOR]],TUT.CONTROL!C:C,TUT.CONTROL!G:G),"Demitido")</f>
        <v>45735</v>
      </c>
      <c r="K327" s="19">
        <v>94981181844</v>
      </c>
      <c r="L327" s="22">
        <f>IFERROR(_xlfn.XLOOKUP(Tabela2[[#This Row],[NOME DO TUTOR]],TUT.CONTROL!C:C,TUT.CONTROL!F:F),"Demitido")</f>
        <v>1158000579</v>
      </c>
      <c r="M327" s="8" t="s">
        <v>1024</v>
      </c>
      <c r="N327" s="11" t="str">
        <f>IFERROR(_xlfn.XLOOKUP(Tabela2[[#This Row],[CHAPA]],TUT.CONTROL!F:F,TUT.CONTROL!H:H),_xlfn.XLOOKUP(Tabela2[[#This Row],[CHAPA]],'REG.CONTROL'!F:F,'REG.CONTROL'!H:H))</f>
        <v>TUTOR DE PRATICA (UC_1749)</v>
      </c>
      <c r="O327" s="68" t="str">
        <f>IFERROR(_xlfn.XLOOKUP(Tabela2[[#This Row],[NOME DO TUTOR]],TUT.CONTROL!C:C,TUT.CONTROL!K:K),"Demitido")</f>
        <v>004:00</v>
      </c>
      <c r="P32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27" s="66" t="s">
        <v>30</v>
      </c>
      <c r="R327" s="8" t="s">
        <v>26</v>
      </c>
      <c r="S327" s="8">
        <v>575000</v>
      </c>
    </row>
    <row r="328" spans="1:19" ht="13.5" hidden="1" x14ac:dyDescent="0.3">
      <c r="A32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28" s="8" t="str">
        <f>Tabela2[[#This Row],[CATEGORIA]]&amp;Tabela2[[#This Row],[CURSOS]]&amp;"LAP - "&amp;Tabela2[[#This Row],[POLO]]</f>
        <v>BIO-FAR (Multidisciplinar I)BFRLAP - Manaus/AM - Cidade Nova</v>
      </c>
      <c r="C328" s="8" t="str">
        <f>Tabela2[[#This Row],[CATEGORIA]]&amp;Tabela2[[#This Row],[CURSOS]]</f>
        <v>BIO-FAR (Multidisciplinar I)BFR</v>
      </c>
      <c r="D328" s="8" t="str">
        <f>IF(Tabela2[[#This Row],[SITUAÇÃO]]&lt;&gt;"Demitido",CONCATENATE(Tabela2[[#This Row],[POLO]],Tabela2[[#This Row],[CURSOS]]),"Substituição")</f>
        <v>Substituição</v>
      </c>
      <c r="E328" s="8" t="s">
        <v>771</v>
      </c>
      <c r="F328" s="67" t="s">
        <v>772</v>
      </c>
      <c r="G328" s="67" t="s">
        <v>459</v>
      </c>
      <c r="H328" s="9" t="s">
        <v>1025</v>
      </c>
      <c r="I328" s="17" t="str">
        <f>IFERROR(_xlfn.XLOOKUP(Tabela2[[#This Row],[CHAPA]],TUT.CONTROL!F:F,TUT.CONTROL!I:I),_xlfn.XLOOKUP(Tabela2[[#This Row],[CHAPA]],'REG.CONTROL'!F:F,'REG.CONTROL'!I:I))</f>
        <v>Demitido</v>
      </c>
      <c r="J328" s="17">
        <f>IFERROR(_xlfn.XLOOKUP(Tabela2[[#This Row],[NOME DO TUTOR]],TUT.CONTROL!C:C,TUT.CONTROL!G:G),"Demitido")</f>
        <v>45901</v>
      </c>
      <c r="K328" s="19">
        <v>92992778212</v>
      </c>
      <c r="L328" s="22">
        <f>IFERROR(_xlfn.XLOOKUP(Tabela2[[#This Row],[NOME DO TUTOR]],TUT.CONTROL!C:C,TUT.CONTROL!F:F),"Demitido")</f>
        <v>1158000958</v>
      </c>
      <c r="M328" s="8" t="s">
        <v>1026</v>
      </c>
      <c r="N328" s="11" t="str">
        <f>IFERROR(_xlfn.XLOOKUP(Tabela2[[#This Row],[CHAPA]],TUT.CONTROL!F:F,TUT.CONTROL!H:H),_xlfn.XLOOKUP(Tabela2[[#This Row],[CHAPA]],'REG.CONTROL'!F:F,'REG.CONTROL'!H:H))</f>
        <v>TUTOR DE PRATICA (UC_1749)</v>
      </c>
      <c r="O328" s="68" t="str">
        <f>IFERROR(_xlfn.XLOOKUP(Tabela2[[#This Row],[NOME DO TUTOR]],TUT.CONTROL!C:C,TUT.CONTROL!K:K),"Demitido")</f>
        <v>004:00</v>
      </c>
      <c r="P328" s="17">
        <f>IF(Tabela2[[#This Row],[SITUAÇÃO]]="Demitido",IFERROR(_xlfn.XLOOKUP(Tabela2[[#This Row],[CHAPA]],TUT.CONTROL!F:F,TUT.CONTROL!V:V),_xlfn.XLOOKUP(Tabela2[[#This Row],[CHAPA]],'REG.CONTROL'!F:F,'REG.CONTROL'!V:V)),"-")</f>
        <v>45971</v>
      </c>
      <c r="Q328" s="66" t="s">
        <v>43</v>
      </c>
      <c r="R328" s="8"/>
      <c r="S328" s="8"/>
    </row>
    <row r="329" spans="1:19" ht="13.5" hidden="1" x14ac:dyDescent="0.3">
      <c r="A32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29" s="8" t="str">
        <f>Tabela2[[#This Row],[CATEGORIA]]&amp;Tabela2[[#This Row],[CURSOS]]&amp;"LAP - "&amp;Tabela2[[#This Row],[POLO]]</f>
        <v>BIO-FAR (Multidisciplinar I)BFRLAP - Belo Horizonte/MG - Shopping Estação BH</v>
      </c>
      <c r="C329" s="8" t="str">
        <f>Tabela2[[#This Row],[CATEGORIA]]&amp;Tabela2[[#This Row],[CURSOS]]</f>
        <v>BIO-FAR (Multidisciplinar I)BFR</v>
      </c>
      <c r="D329" s="8" t="str">
        <f>IF(Tabela2[[#This Row],[SITUAÇÃO]]&lt;&gt;"Demitido",CONCATENATE(Tabela2[[#This Row],[POLO]],Tabela2[[#This Row],[CURSOS]]),"Substituição")</f>
        <v>Substituição</v>
      </c>
      <c r="E329" s="8" t="s">
        <v>771</v>
      </c>
      <c r="F329" s="67" t="s">
        <v>772</v>
      </c>
      <c r="G329" s="67" t="s">
        <v>101</v>
      </c>
      <c r="H329" s="9" t="s">
        <v>1027</v>
      </c>
      <c r="I329" s="17" t="str">
        <f>IFERROR(_xlfn.XLOOKUP(Tabela2[[#This Row],[CHAPA]],TUT.CONTROL!F:F,TUT.CONTROL!I:I),_xlfn.XLOOKUP(Tabela2[[#This Row],[CHAPA]],'REG.CONTROL'!F:F,'REG.CONTROL'!I:I))</f>
        <v>Demitido</v>
      </c>
      <c r="J329" s="17">
        <f>IFERROR(_xlfn.XLOOKUP(Tabela2[[#This Row],[NOME DO TUTOR]],TUT.CONTROL!C:C,TUT.CONTROL!G:G),"Demitido")</f>
        <v>45901</v>
      </c>
      <c r="K329" s="19">
        <v>28999386158</v>
      </c>
      <c r="L329" s="22">
        <f>IFERROR(_xlfn.XLOOKUP(Tabela2[[#This Row],[NOME DO TUTOR]],TUT.CONTROL!C:C,TUT.CONTROL!F:F),"Demitido")</f>
        <v>1158000946</v>
      </c>
      <c r="M329" s="8" t="s">
        <v>1028</v>
      </c>
      <c r="N329" s="11" t="str">
        <f>IFERROR(_xlfn.XLOOKUP(Tabela2[[#This Row],[CHAPA]],TUT.CONTROL!F:F,TUT.CONTROL!H:H),_xlfn.XLOOKUP(Tabela2[[#This Row],[CHAPA]],'REG.CONTROL'!F:F,'REG.CONTROL'!H:H))</f>
        <v>TUTOR DE PRATICA (UC_1749)</v>
      </c>
      <c r="O329" s="68" t="str">
        <f>IFERROR(_xlfn.XLOOKUP(Tabela2[[#This Row],[NOME DO TUTOR]],TUT.CONTROL!C:C,TUT.CONTROL!K:K),"Demitido")</f>
        <v>004:00</v>
      </c>
      <c r="P329" s="17">
        <f>IF(Tabela2[[#This Row],[SITUAÇÃO]]="Demitido",IFERROR(_xlfn.XLOOKUP(Tabela2[[#This Row],[CHAPA]],TUT.CONTROL!F:F,TUT.CONTROL!V:V),_xlfn.XLOOKUP(Tabela2[[#This Row],[CHAPA]],'REG.CONTROL'!F:F,'REG.CONTROL'!V:V)),"-")</f>
        <v>45992</v>
      </c>
      <c r="Q329" s="66" t="s">
        <v>43</v>
      </c>
      <c r="R329" s="8"/>
      <c r="S329" s="8"/>
    </row>
    <row r="330" spans="1:19" ht="13.5" hidden="1" x14ac:dyDescent="0.3">
      <c r="A33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30" s="8" t="str">
        <f>Tabela2[[#This Row],[CATEGORIA]]&amp;Tabela2[[#This Row],[CURSOS]]&amp;"LAP - "&amp;Tabela2[[#This Row],[POLO]]</f>
        <v>BIO-FAR (Multidisciplinar I)BFRLAP - Cabo Frio/RJ</v>
      </c>
      <c r="C330" s="8" t="str">
        <f>Tabela2[[#This Row],[CATEGORIA]]&amp;Tabela2[[#This Row],[CURSOS]]</f>
        <v>BIO-FAR (Multidisciplinar I)BFR</v>
      </c>
      <c r="D330" s="8" t="str">
        <f>IF(Tabela2[[#This Row],[SITUAÇÃO]]&lt;&gt;"Demitido",CONCATENATE(Tabela2[[#This Row],[POLO]],Tabela2[[#This Row],[CURSOS]]),"Substituição")</f>
        <v>Substituição</v>
      </c>
      <c r="E330" s="8" t="s">
        <v>771</v>
      </c>
      <c r="F330" s="67" t="s">
        <v>772</v>
      </c>
      <c r="G330" s="67" t="s">
        <v>154</v>
      </c>
      <c r="H330" s="9" t="s">
        <v>1029</v>
      </c>
      <c r="I330" s="17" t="str">
        <f>IFERROR(_xlfn.XLOOKUP(Tabela2[[#This Row],[CHAPA]],TUT.CONTROL!F:F,TUT.CONTROL!I:I),_xlfn.XLOOKUP(Tabela2[[#This Row],[CHAPA]],'REG.CONTROL'!F:F,'REG.CONTROL'!I:I))</f>
        <v>Demitido</v>
      </c>
      <c r="J330" s="17">
        <f>IFERROR(_xlfn.XLOOKUP(Tabela2[[#This Row],[NOME DO TUTOR]],TUT.CONTROL!C:C,TUT.CONTROL!G:G),"Demitido")</f>
        <v>45901</v>
      </c>
      <c r="K330" s="19">
        <v>22992212951</v>
      </c>
      <c r="L330" s="22">
        <f>IFERROR(_xlfn.XLOOKUP(Tabela2[[#This Row],[NOME DO TUTOR]],TUT.CONTROL!C:C,TUT.CONTROL!F:F),"Demitido")</f>
        <v>1158000942</v>
      </c>
      <c r="M330" s="8" t="s">
        <v>1030</v>
      </c>
      <c r="N330" s="11" t="str">
        <f>IFERROR(_xlfn.XLOOKUP(Tabela2[[#This Row],[CHAPA]],TUT.CONTROL!F:F,TUT.CONTROL!H:H),_xlfn.XLOOKUP(Tabela2[[#This Row],[CHAPA]],'REG.CONTROL'!F:F,'REG.CONTROL'!H:H))</f>
        <v>TUTOR DE PRATICA (UC_1749)</v>
      </c>
      <c r="O330" s="68" t="str">
        <f>IFERROR(_xlfn.XLOOKUP(Tabela2[[#This Row],[NOME DO TUTOR]],TUT.CONTROL!C:C,TUT.CONTROL!K:K),"Demitido")</f>
        <v>004:00</v>
      </c>
      <c r="P330" s="17">
        <f>IF(Tabela2[[#This Row],[SITUAÇÃO]]="Demitido",IFERROR(_xlfn.XLOOKUP(Tabela2[[#This Row],[CHAPA]],TUT.CONTROL!F:F,TUT.CONTROL!V:V),_xlfn.XLOOKUP(Tabela2[[#This Row],[CHAPA]],'REG.CONTROL'!F:F,'REG.CONTROL'!V:V)),"-")</f>
        <v>46042</v>
      </c>
      <c r="Q330" s="66" t="s">
        <v>43</v>
      </c>
      <c r="R330" s="8" t="s">
        <v>836</v>
      </c>
      <c r="S330" s="8">
        <v>19441</v>
      </c>
    </row>
    <row r="331" spans="1:19" ht="13.5" hidden="1" x14ac:dyDescent="0.3">
      <c r="A33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31" s="8" t="str">
        <f>Tabela2[[#This Row],[CATEGORIA]]&amp;Tabela2[[#This Row],[CURSOS]]&amp;"LAP - "&amp;Tabela2[[#This Row],[POLO]]</f>
        <v>BIO-FAR (Multidisciplinar I)BFRLAP - Pontes e Lacerda/MT</v>
      </c>
      <c r="C331" s="8" t="str">
        <f>Tabela2[[#This Row],[CATEGORIA]]&amp;Tabela2[[#This Row],[CURSOS]]</f>
        <v>BIO-FAR (Multidisciplinar I)BFR</v>
      </c>
      <c r="D331" s="8" t="str">
        <f>IF(Tabela2[[#This Row],[SITUAÇÃO]]&lt;&gt;"Demitido",CONCATENATE(Tabela2[[#This Row],[POLO]],Tabela2[[#This Row],[CURSOS]]),"Substituição")</f>
        <v>Substituição</v>
      </c>
      <c r="E331" s="8" t="s">
        <v>771</v>
      </c>
      <c r="F331" s="67" t="s">
        <v>772</v>
      </c>
      <c r="G331" s="67" t="s">
        <v>620</v>
      </c>
      <c r="H331" s="9" t="s">
        <v>1031</v>
      </c>
      <c r="I331" s="17" t="str">
        <f>IFERROR(_xlfn.XLOOKUP(Tabela2[[#This Row],[CHAPA]],TUT.CONTROL!F:F,TUT.CONTROL!I:I),_xlfn.XLOOKUP(Tabela2[[#This Row],[CHAPA]],'REG.CONTROL'!F:F,'REG.CONTROL'!I:I))</f>
        <v>Demitido</v>
      </c>
      <c r="J331" s="17">
        <f>IFERROR(_xlfn.XLOOKUP(Tabela2[[#This Row],[NOME DO TUTOR]],TUT.CONTROL!C:C,TUT.CONTROL!G:G),"Demitido")</f>
        <v>45901</v>
      </c>
      <c r="K331" s="19">
        <v>69999997327</v>
      </c>
      <c r="L331" s="22">
        <f>IFERROR(_xlfn.XLOOKUP(Tabela2[[#This Row],[NOME DO TUTOR]],TUT.CONTROL!C:C,TUT.CONTROL!F:F),"Demitido")</f>
        <v>1158000953</v>
      </c>
      <c r="M331" s="8" t="s">
        <v>1032</v>
      </c>
      <c r="N331" s="11" t="str">
        <f>IFERROR(_xlfn.XLOOKUP(Tabela2[[#This Row],[CHAPA]],TUT.CONTROL!F:F,TUT.CONTROL!H:H),_xlfn.XLOOKUP(Tabela2[[#This Row],[CHAPA]],'REG.CONTROL'!F:F,'REG.CONTROL'!H:H))</f>
        <v>TUTOR DE PRATICA (UC_1749)</v>
      </c>
      <c r="O331" s="68" t="str">
        <f>IFERROR(_xlfn.XLOOKUP(Tabela2[[#This Row],[NOME DO TUTOR]],TUT.CONTROL!C:C,TUT.CONTROL!K:K),"Demitido")</f>
        <v>004:00</v>
      </c>
      <c r="P331" s="17">
        <f>IF(Tabela2[[#This Row],[SITUAÇÃO]]="Demitido",IFERROR(_xlfn.XLOOKUP(Tabela2[[#This Row],[CHAPA]],TUT.CONTROL!F:F,TUT.CONTROL!V:V),_xlfn.XLOOKUP(Tabela2[[#This Row],[CHAPA]],'REG.CONTROL'!F:F,'REG.CONTROL'!V:V)),"-")</f>
        <v>46042</v>
      </c>
      <c r="Q331" s="66" t="s">
        <v>43</v>
      </c>
      <c r="R331" s="8" t="s">
        <v>1033</v>
      </c>
      <c r="S331" s="8">
        <v>3032</v>
      </c>
    </row>
    <row r="332" spans="1:19" ht="13.5" hidden="1" x14ac:dyDescent="0.3">
      <c r="A33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32" s="8" t="str">
        <f>Tabela2[[#This Row],[CATEGORIA]]&amp;Tabela2[[#This Row],[CURSOS]]&amp;"LAP - "&amp;Tabela2[[#This Row],[POLO]]</f>
        <v>ENF-INS (Multidisciplinar II)EMF-ISNLAP - São Gabriel da Cachoeira/AM</v>
      </c>
      <c r="C332" s="8" t="str">
        <f>Tabela2[[#This Row],[CATEGORIA]]&amp;Tabela2[[#This Row],[CURSOS]]</f>
        <v>ENF-INS (Multidisciplinar II)EMF-ISN</v>
      </c>
      <c r="D332" s="8" t="str">
        <f>IF(Tabela2[[#This Row],[SITUAÇÃO]]&lt;&gt;"Demitido",CONCATENATE(Tabela2[[#This Row],[POLO]],Tabela2[[#This Row],[CURSOS]]),"Substituição")</f>
        <v>São Gabriel da Cachoeira/AMEMF-ISN</v>
      </c>
      <c r="E332" s="8" t="s">
        <v>21</v>
      </c>
      <c r="F332" s="67" t="s">
        <v>22</v>
      </c>
      <c r="G332" s="67" t="s">
        <v>1034</v>
      </c>
      <c r="H332" s="9" t="s">
        <v>1035</v>
      </c>
      <c r="I332" s="17" t="str">
        <f>IFERROR(_xlfn.XLOOKUP(Tabela2[[#This Row],[CHAPA]],TUT.CONTROL!F:F,TUT.CONTROL!I:I),_xlfn.XLOOKUP(Tabela2[[#This Row],[CHAPA]],'REG.CONTROL'!F:F,'REG.CONTROL'!I:I))</f>
        <v>Licença Maternidade</v>
      </c>
      <c r="J332" s="17">
        <f>IFERROR(_xlfn.XLOOKUP(Tabela2[[#This Row],[NOME DO TUTOR]],TUT.CONTROL!C:C,TUT.CONTROL!G:G),"Demitido")</f>
        <v>45749</v>
      </c>
      <c r="K332" s="19" t="s">
        <v>1036</v>
      </c>
      <c r="L332" s="22">
        <f>IFERROR(_xlfn.XLOOKUP(Tabela2[[#This Row],[NOME DO TUTOR]],TUT.CONTROL!C:C,TUT.CONTROL!F:F),"Demitido")</f>
        <v>1158000667</v>
      </c>
      <c r="M332" s="8" t="s">
        <v>1037</v>
      </c>
      <c r="N332" s="11" t="str">
        <f>IFERROR(_xlfn.XLOOKUP(Tabela2[[#This Row],[CHAPA]],TUT.CONTROL!F:F,TUT.CONTROL!H:H),_xlfn.XLOOKUP(Tabela2[[#This Row],[CHAPA]],'REG.CONTROL'!F:F,'REG.CONTROL'!H:H))</f>
        <v>TUTOR DE PRATICA (UC_1749)</v>
      </c>
      <c r="O332" s="68" t="str">
        <f>IFERROR(_xlfn.XLOOKUP(Tabela2[[#This Row],[NOME DO TUTOR]],TUT.CONTROL!C:C,TUT.CONTROL!K:K),"Demitido")</f>
        <v>008:00</v>
      </c>
      <c r="P33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32" s="66" t="s">
        <v>30</v>
      </c>
      <c r="R332" s="8" t="s">
        <v>365</v>
      </c>
      <c r="S332" s="8">
        <v>581836</v>
      </c>
    </row>
    <row r="333" spans="1:19" ht="13.5" hidden="1" x14ac:dyDescent="0.3">
      <c r="A33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Luís Eduardo Magalhães/BAAGMQUÍMICA E FÍSICA</v>
      </c>
      <c r="B333" s="8" t="str">
        <f>Tabela2[[#This Row],[CATEGORIA]]&amp;Tabela2[[#This Row],[CURSOS]]&amp;"LAP - "&amp;Tabela2[[#This Row],[POLO]]</f>
        <v>QUÍMICA E FÍSICAAGMLAP - Luís Eduardo Magalhães/BA</v>
      </c>
      <c r="C333" s="8" t="str">
        <f>Tabela2[[#This Row],[CATEGORIA]]&amp;Tabela2[[#This Row],[CURSOS]]</f>
        <v>QUÍMICA E FÍSICAAGM</v>
      </c>
      <c r="D333" s="8" t="str">
        <f>IF(Tabela2[[#This Row],[SITUAÇÃO]]&lt;&gt;"Demitido",CONCATENATE(Tabela2[[#This Row],[POLO]],Tabela2[[#This Row],[CURSOS]]),"Substituição")</f>
        <v>Luís Eduardo Magalhães/BAAGM</v>
      </c>
      <c r="E333" s="8" t="s">
        <v>734</v>
      </c>
      <c r="F333" s="67" t="s">
        <v>735</v>
      </c>
      <c r="G333" s="67" t="s">
        <v>435</v>
      </c>
      <c r="H333" s="9" t="s">
        <v>1038</v>
      </c>
      <c r="I333" s="17" t="str">
        <f>IFERROR(_xlfn.XLOOKUP(Tabela2[[#This Row],[CHAPA]],TUT.CONTROL!F:F,TUT.CONTROL!I:I),_xlfn.XLOOKUP(Tabela2[[#This Row],[CHAPA]],'REG.CONTROL'!F:F,'REG.CONTROL'!I:I))</f>
        <v>Ativo</v>
      </c>
      <c r="J333" s="17">
        <f>IFERROR(_xlfn.XLOOKUP(Tabela2[[#This Row],[NOME DO TUTOR]],TUT.CONTROL!C:C,TUT.CONTROL!G:G),"Demitido")</f>
        <v>45901</v>
      </c>
      <c r="K333" s="19">
        <v>77991329541</v>
      </c>
      <c r="L333" s="22">
        <f>IFERROR(_xlfn.XLOOKUP(Tabela2[[#This Row],[NOME DO TUTOR]],TUT.CONTROL!C:C,TUT.CONTROL!F:F),"Demitido")</f>
        <v>1158000934</v>
      </c>
      <c r="M333" s="8" t="s">
        <v>1039</v>
      </c>
      <c r="N333" s="11" t="str">
        <f>IFERROR(_xlfn.XLOOKUP(Tabela2[[#This Row],[CHAPA]],TUT.CONTROL!F:F,TUT.CONTROL!H:H),_xlfn.XLOOKUP(Tabela2[[#This Row],[CHAPA]],'REG.CONTROL'!F:F,'REG.CONTROL'!H:H))</f>
        <v>TUTOR DE PRATICA (UC_1749)</v>
      </c>
      <c r="O333" s="68" t="str">
        <f>IFERROR(_xlfn.XLOOKUP(Tabela2[[#This Row],[NOME DO TUTOR]],TUT.CONTROL!C:C,TUT.CONTROL!K:K),"Demitido")</f>
        <v>004:00</v>
      </c>
      <c r="P33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33" s="66" t="s">
        <v>30</v>
      </c>
      <c r="R333" s="8"/>
      <c r="S333" s="8"/>
    </row>
    <row r="334" spans="1:19" ht="13.5" hidden="1" customHeight="1" x14ac:dyDescent="0.3">
      <c r="A33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Macaé/RJECE-ENM-ENS-ENG-EEA-GPI-CDE-OBR-SAN-TER-FSA-SLF-QUIENGMAKER+QUÍMICA E FÍSICA</v>
      </c>
      <c r="B334" s="8" t="str">
        <f>Tabela2[[#This Row],[CATEGORIA]]&amp;Tabela2[[#This Row],[CURSOS]]&amp;"LAP - "&amp;Tabela2[[#This Row],[POLO]]</f>
        <v>ENGMAKER+QUÍMICA E FÍSICAECE-ENM-ENS-ENG-EEA-GPI-CDE-OBR-SAN-TER-FSA-SLF-QUILAP - Macaé/RJ</v>
      </c>
      <c r="C334" s="8" t="str">
        <f>Tabela2[[#This Row],[CATEGORIA]]&amp;Tabela2[[#This Row],[CURSOS]]</f>
        <v>ENGMAKER+QUÍMICA E FÍSICAECE-ENM-ENS-ENG-EEA-GPI-CDE-OBR-SAN-TER-FSA-SLF-QUI</v>
      </c>
      <c r="D334" s="8" t="str">
        <f>IF(Tabela2[[#This Row],[SITUAÇÃO]]&lt;&gt;"Demitido",CONCATENATE(Tabela2[[#This Row],[POLO]],Tabela2[[#This Row],[CURSOS]]),"Substituição")</f>
        <v>Macaé/RJECE-ENM-ENS-ENG-EEA-GPI-CDE-OBR-SAN-TER-FSA-SLF-QUI</v>
      </c>
      <c r="E334" s="8" t="s">
        <v>125</v>
      </c>
      <c r="F334" s="67" t="s">
        <v>126</v>
      </c>
      <c r="G334" s="67" t="s">
        <v>911</v>
      </c>
      <c r="H334" s="9" t="s">
        <v>1040</v>
      </c>
      <c r="I334" s="17" t="str">
        <f>IFERROR(_xlfn.XLOOKUP(Tabela2[[#This Row],[CHAPA]],TUT.CONTROL!F:F,TUT.CONTROL!I:I),_xlfn.XLOOKUP(Tabela2[[#This Row],[CHAPA]],'REG.CONTROL'!F:F,'REG.CONTROL'!I:I))</f>
        <v>Ativo</v>
      </c>
      <c r="J334" s="17">
        <f>IFERROR(_xlfn.XLOOKUP(Tabela2[[#This Row],[NOME DO TUTOR]],TUT.CONTROL!C:C,TUT.CONTROL!G:G),"Demitido")</f>
        <v>45901</v>
      </c>
      <c r="K334" s="19">
        <v>22998810893</v>
      </c>
      <c r="L334" s="22">
        <f>IFERROR(_xlfn.XLOOKUP(Tabela2[[#This Row],[NOME DO TUTOR]],TUT.CONTROL!C:C,TUT.CONTROL!F:F),"Demitido")</f>
        <v>1158000959</v>
      </c>
      <c r="M334" s="8" t="s">
        <v>1041</v>
      </c>
      <c r="N334" s="11" t="str">
        <f>IFERROR(_xlfn.XLOOKUP(Tabela2[[#This Row],[CHAPA]],TUT.CONTROL!F:F,TUT.CONTROL!H:H),_xlfn.XLOOKUP(Tabela2[[#This Row],[CHAPA]],'REG.CONTROL'!F:F,'REG.CONTROL'!H:H))</f>
        <v>TUTOR DE PRATICA (UC_1749)</v>
      </c>
      <c r="O334" s="68" t="str">
        <f>IFERROR(_xlfn.XLOOKUP(Tabela2[[#This Row],[NOME DO TUTOR]],TUT.CONTROL!C:C,TUT.CONTROL!K:K),"Demitido")</f>
        <v>004:00</v>
      </c>
      <c r="P33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34" s="66"/>
      <c r="R334" s="8"/>
      <c r="S334" s="8"/>
    </row>
    <row r="335" spans="1:19" ht="13.5" hidden="1" x14ac:dyDescent="0.3">
      <c r="A33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Goiânia/GO - Jardim EuropaBFIBIO-FISIO-EST-TO (Multidisciplinar III)</v>
      </c>
      <c r="B335" s="8" t="str">
        <f>Tabela2[[#This Row],[CATEGORIA]]&amp;Tabela2[[#This Row],[CURSOS]]&amp;"LAP - "&amp;Tabela2[[#This Row],[POLO]]</f>
        <v>BIO-FISIO-EST-TO (Multidisciplinar III)BFILAP - Goiânia/GO - Jardim Europa</v>
      </c>
      <c r="C335" s="8" t="str">
        <f>Tabela2[[#This Row],[CATEGORIA]]&amp;Tabela2[[#This Row],[CURSOS]]</f>
        <v>BIO-FISIO-EST-TO (Multidisciplinar III)BFI</v>
      </c>
      <c r="D335" s="8" t="str">
        <f>IF(Tabela2[[#This Row],[SITUAÇÃO]]&lt;&gt;"Demitido",CONCATENATE(Tabela2[[#This Row],[POLO]],Tabela2[[#This Row],[CURSOS]]),"Substituição")</f>
        <v>Goiânia/GO - Jardim EuropaBFI</v>
      </c>
      <c r="E335" s="8" t="s">
        <v>757</v>
      </c>
      <c r="F335" s="67" t="s">
        <v>758</v>
      </c>
      <c r="G335" s="67" t="s">
        <v>999</v>
      </c>
      <c r="H335" s="9" t="s">
        <v>1042</v>
      </c>
      <c r="I335" s="17" t="str">
        <f>IFERROR(_xlfn.XLOOKUP(Tabela2[[#This Row],[CHAPA]],TUT.CONTROL!F:F,TUT.CONTROL!I:I),_xlfn.XLOOKUP(Tabela2[[#This Row],[CHAPA]],'REG.CONTROL'!F:F,'REG.CONTROL'!I:I))</f>
        <v>Ativo</v>
      </c>
      <c r="J335" s="17">
        <f>IFERROR(_xlfn.XLOOKUP(Tabela2[[#This Row],[NOME DO TUTOR]],TUT.CONTROL!C:C,TUT.CONTROL!G:G),"Demitido")</f>
        <v>45901</v>
      </c>
      <c r="K335" s="19">
        <v>62999221601</v>
      </c>
      <c r="L335" s="22">
        <f>IFERROR(_xlfn.XLOOKUP(Tabela2[[#This Row],[NOME DO TUTOR]],TUT.CONTROL!C:C,TUT.CONTROL!F:F),"Demitido")</f>
        <v>1158000931</v>
      </c>
      <c r="M335" s="8" t="s">
        <v>1043</v>
      </c>
      <c r="N335" s="11" t="str">
        <f>IFERROR(_xlfn.XLOOKUP(Tabela2[[#This Row],[CHAPA]],TUT.CONTROL!F:F,TUT.CONTROL!H:H),_xlfn.XLOOKUP(Tabela2[[#This Row],[CHAPA]],'REG.CONTROL'!F:F,'REG.CONTROL'!H:H))</f>
        <v>TUTOR DE PRATICA (UC_1749)</v>
      </c>
      <c r="O335" s="68" t="str">
        <f>IFERROR(_xlfn.XLOOKUP(Tabela2[[#This Row],[NOME DO TUTOR]],TUT.CONTROL!C:C,TUT.CONTROL!K:K),"Demitido")</f>
        <v>004:00</v>
      </c>
      <c r="P33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35" s="66" t="s">
        <v>30</v>
      </c>
      <c r="R335" s="8"/>
      <c r="S335" s="8"/>
    </row>
    <row r="336" spans="1:19" ht="13.5" hidden="1" x14ac:dyDescent="0.3">
      <c r="A33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Catalão/GOAGMQUÍMICA E FÍSICA</v>
      </c>
      <c r="B336" s="8" t="str">
        <f>Tabela2[[#This Row],[CATEGORIA]]&amp;Tabela2[[#This Row],[CURSOS]]&amp;"LAP - "&amp;Tabela2[[#This Row],[POLO]]</f>
        <v>QUÍMICA E FÍSICAAGMLAP - Catalão/GO</v>
      </c>
      <c r="C336" s="8" t="str">
        <f>Tabela2[[#This Row],[CATEGORIA]]&amp;Tabela2[[#This Row],[CURSOS]]</f>
        <v>QUÍMICA E FÍSICAAGM</v>
      </c>
      <c r="D336" s="8" t="str">
        <f>IF(Tabela2[[#This Row],[SITUAÇÃO]]&lt;&gt;"Demitido",CONCATENATE(Tabela2[[#This Row],[POLO]],Tabela2[[#This Row],[CURSOS]]),"Substituição")</f>
        <v>Catalão/GOAGM</v>
      </c>
      <c r="E336" s="8" t="s">
        <v>734</v>
      </c>
      <c r="F336" s="67" t="s">
        <v>735</v>
      </c>
      <c r="G336" s="67" t="s">
        <v>210</v>
      </c>
      <c r="H336" s="9" t="s">
        <v>1044</v>
      </c>
      <c r="I336" s="17" t="str">
        <f>IFERROR(_xlfn.XLOOKUP(Tabela2[[#This Row],[CHAPA]],TUT.CONTROL!F:F,TUT.CONTROL!I:I),_xlfn.XLOOKUP(Tabela2[[#This Row],[CHAPA]],'REG.CONTROL'!F:F,'REG.CONTROL'!I:I))</f>
        <v>Ativo</v>
      </c>
      <c r="J336" s="17">
        <f>IFERROR(_xlfn.XLOOKUP(Tabela2[[#This Row],[NOME DO TUTOR]],TUT.CONTROL!C:C,TUT.CONTROL!G:G),"Demitido")</f>
        <v>45901</v>
      </c>
      <c r="K336" s="19">
        <v>64993103135</v>
      </c>
      <c r="L336" s="22">
        <f>IFERROR(_xlfn.XLOOKUP(Tabela2[[#This Row],[NOME DO TUTOR]],TUT.CONTROL!C:C,TUT.CONTROL!F:F),"Demitido")</f>
        <v>1158000955</v>
      </c>
      <c r="M336" s="8" t="s">
        <v>1045</v>
      </c>
      <c r="N336" s="11" t="str">
        <f>IFERROR(_xlfn.XLOOKUP(Tabela2[[#This Row],[CHAPA]],TUT.CONTROL!F:F,TUT.CONTROL!H:H),_xlfn.XLOOKUP(Tabela2[[#This Row],[CHAPA]],'REG.CONTROL'!F:F,'REG.CONTROL'!H:H))</f>
        <v>TUTOR DE PRATICA (UC_1749)</v>
      </c>
      <c r="O336" s="68" t="str">
        <f>IFERROR(_xlfn.XLOOKUP(Tabela2[[#This Row],[NOME DO TUTOR]],TUT.CONTROL!C:C,TUT.CONTROL!K:K),"Demitido")</f>
        <v>004:00</v>
      </c>
      <c r="P33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36" s="66"/>
      <c r="R336" s="8"/>
      <c r="S336" s="8"/>
    </row>
    <row r="337" spans="1:19" ht="13.5" hidden="1" x14ac:dyDescent="0.3">
      <c r="A33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Jaraguá do Sul/SCBFRBIO-FAR (Multidisciplinar I)</v>
      </c>
      <c r="B337" s="8" t="str">
        <f>Tabela2[[#This Row],[CATEGORIA]]&amp;Tabela2[[#This Row],[CURSOS]]&amp;"LAP - "&amp;Tabela2[[#This Row],[POLO]]</f>
        <v>BIO-FAR (Multidisciplinar I)BFRLAP - Jaraguá do Sul/SC</v>
      </c>
      <c r="C337" s="8" t="str">
        <f>Tabela2[[#This Row],[CATEGORIA]]&amp;Tabela2[[#This Row],[CURSOS]]</f>
        <v>BIO-FAR (Multidisciplinar I)BFR</v>
      </c>
      <c r="D337" s="8" t="str">
        <f>IF(Tabela2[[#This Row],[SITUAÇÃO]]&lt;&gt;"Demitido",CONCATENATE(Tabela2[[#This Row],[POLO]],Tabela2[[#This Row],[CURSOS]]),"Substituição")</f>
        <v>Jaraguá do Sul/SCBFR</v>
      </c>
      <c r="E337" s="8" t="s">
        <v>771</v>
      </c>
      <c r="F337" s="67" t="s">
        <v>772</v>
      </c>
      <c r="G337" s="67" t="s">
        <v>1046</v>
      </c>
      <c r="H337" s="9" t="s">
        <v>1047</v>
      </c>
      <c r="I337" s="17" t="str">
        <f>IFERROR(_xlfn.XLOOKUP(Tabela2[[#This Row],[CHAPA]],TUT.CONTROL!F:F,TUT.CONTROL!I:I),_xlfn.XLOOKUP(Tabela2[[#This Row],[CHAPA]],'REG.CONTROL'!F:F,'REG.CONTROL'!I:I))</f>
        <v>Ativo</v>
      </c>
      <c r="J337" s="17">
        <f>IFERROR(_xlfn.XLOOKUP(Tabela2[[#This Row],[NOME DO TUTOR]],TUT.CONTROL!C:C,TUT.CONTROL!G:G),"Demitido")</f>
        <v>45901</v>
      </c>
      <c r="K337" s="19">
        <v>47999026548</v>
      </c>
      <c r="L337" s="22">
        <f>IFERROR(_xlfn.XLOOKUP(Tabela2[[#This Row],[NOME DO TUTOR]],TUT.CONTROL!C:C,TUT.CONTROL!F:F),"Demitido")</f>
        <v>1158000929</v>
      </c>
      <c r="M337" s="8" t="s">
        <v>1048</v>
      </c>
      <c r="N337" s="11" t="str">
        <f>IFERROR(_xlfn.XLOOKUP(Tabela2[[#This Row],[CHAPA]],TUT.CONTROL!F:F,TUT.CONTROL!H:H),_xlfn.XLOOKUP(Tabela2[[#This Row],[CHAPA]],'REG.CONTROL'!F:F,'REG.CONTROL'!H:H))</f>
        <v>TUTOR DE PRATICA (UC_1749)</v>
      </c>
      <c r="O337" s="68" t="str">
        <f>IFERROR(_xlfn.XLOOKUP(Tabela2[[#This Row],[NOME DO TUTOR]],TUT.CONTROL!C:C,TUT.CONTROL!K:K),"Demitido")</f>
        <v>004:00</v>
      </c>
      <c r="P33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37" s="66"/>
      <c r="R337" s="8"/>
      <c r="S337" s="8"/>
    </row>
    <row r="338" spans="1:19" ht="13.5" hidden="1" x14ac:dyDescent="0.3">
      <c r="A33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38" s="8" t="str">
        <f>Tabela2[[#This Row],[CATEGORIA]]&amp;Tabela2[[#This Row],[CURSOS]]&amp;"LAP - "&amp;Tabela2[[#This Row],[POLO]]</f>
        <v>BIO-FAR (Multidisciplinar I)BFRLAP - Salvador/BA - Caminho das Árvores</v>
      </c>
      <c r="C338" s="8" t="str">
        <f>Tabela2[[#This Row],[CATEGORIA]]&amp;Tabela2[[#This Row],[CURSOS]]</f>
        <v>BIO-FAR (Multidisciplinar I)BFR</v>
      </c>
      <c r="D338" s="8" t="str">
        <f>IF(Tabela2[[#This Row],[SITUAÇÃO]]&lt;&gt;"Demitido",CONCATENATE(Tabela2[[#This Row],[POLO]],Tabela2[[#This Row],[CURSOS]]),"Substituição")</f>
        <v>Substituição</v>
      </c>
      <c r="E338" s="8" t="s">
        <v>771</v>
      </c>
      <c r="F338" s="67" t="s">
        <v>772</v>
      </c>
      <c r="G338" s="67" t="s">
        <v>810</v>
      </c>
      <c r="H338" s="9" t="s">
        <v>1049</v>
      </c>
      <c r="I338" s="17" t="str">
        <f>IFERROR(_xlfn.XLOOKUP(Tabela2[[#This Row],[CHAPA]],TUT.CONTROL!F:F,TUT.CONTROL!I:I),_xlfn.XLOOKUP(Tabela2[[#This Row],[CHAPA]],'REG.CONTROL'!F:F,'REG.CONTROL'!I:I))</f>
        <v>Demitido</v>
      </c>
      <c r="J338" s="17">
        <f>IFERROR(_xlfn.XLOOKUP(Tabela2[[#This Row],[NOME DO TUTOR]],TUT.CONTROL!C:C,TUT.CONTROL!G:G),"Demitido")</f>
        <v>45901</v>
      </c>
      <c r="K338" s="19">
        <v>71992400205</v>
      </c>
      <c r="L338" s="22">
        <f>IFERROR(_xlfn.XLOOKUP(Tabela2[[#This Row],[NOME DO TUTOR]],TUT.CONTROL!C:C,TUT.CONTROL!F:F),"Demitido")</f>
        <v>1158000943</v>
      </c>
      <c r="M338" s="8" t="s">
        <v>1050</v>
      </c>
      <c r="N338" s="11" t="str">
        <f>IFERROR(_xlfn.XLOOKUP(Tabela2[[#This Row],[CHAPA]],TUT.CONTROL!F:F,TUT.CONTROL!H:H),_xlfn.XLOOKUP(Tabela2[[#This Row],[CHAPA]],'REG.CONTROL'!F:F,'REG.CONTROL'!H:H))</f>
        <v>TUTOR DE PRATICA (UC_1749)</v>
      </c>
      <c r="O338" s="68" t="str">
        <f>IFERROR(_xlfn.XLOOKUP(Tabela2[[#This Row],[NOME DO TUTOR]],TUT.CONTROL!C:C,TUT.CONTROL!K:K),"Demitido")</f>
        <v>004:00</v>
      </c>
      <c r="P338" s="17">
        <f>IF(Tabela2[[#This Row],[SITUAÇÃO]]="Demitido",IFERROR(_xlfn.XLOOKUP(Tabela2[[#This Row],[CHAPA]],TUT.CONTROL!F:F,TUT.CONTROL!V:V),_xlfn.XLOOKUP(Tabela2[[#This Row],[CHAPA]],'REG.CONTROL'!F:F,'REG.CONTROL'!V:V)),"-")</f>
        <v>46055</v>
      </c>
      <c r="Q338" s="66" t="s">
        <v>43</v>
      </c>
      <c r="R338" s="8"/>
      <c r="S338" s="8"/>
    </row>
    <row r="339" spans="1:19" ht="13.5" hidden="1" x14ac:dyDescent="0.3">
      <c r="A33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39" s="8" t="str">
        <f>Tabela2[[#This Row],[CATEGORIA]]&amp;Tabela2[[#This Row],[CURSOS]]&amp;"LAP - "&amp;Tabela2[[#This Row],[POLO]]</f>
        <v>BIO-FISIO-EST-TO (Multidisciplinar III)BFILAP - Macapá/AP</v>
      </c>
      <c r="C339" s="8" t="str">
        <f>Tabela2[[#This Row],[CATEGORIA]]&amp;Tabela2[[#This Row],[CURSOS]]</f>
        <v>BIO-FISIO-EST-TO (Multidisciplinar III)BFI</v>
      </c>
      <c r="D339" s="8" t="str">
        <f>IF(Tabela2[[#This Row],[SITUAÇÃO]]&lt;&gt;"Demitido",CONCATENATE(Tabela2[[#This Row],[POLO]],Tabela2[[#This Row],[CURSOS]]),"Substituição")</f>
        <v>Substituição</v>
      </c>
      <c r="E339" s="8" t="s">
        <v>757</v>
      </c>
      <c r="F339" s="67" t="s">
        <v>758</v>
      </c>
      <c r="G339" s="67" t="s">
        <v>439</v>
      </c>
      <c r="H339" s="9" t="s">
        <v>1051</v>
      </c>
      <c r="I339" s="17" t="str">
        <f>IFERROR(_xlfn.XLOOKUP(Tabela2[[#This Row],[CHAPA]],TUT.CONTROL!F:F,TUT.CONTROL!I:I),_xlfn.XLOOKUP(Tabela2[[#This Row],[CHAPA]],'REG.CONTROL'!F:F,'REG.CONTROL'!I:I))</f>
        <v>Demitido</v>
      </c>
      <c r="J339" s="17">
        <f>IFERROR(_xlfn.XLOOKUP(Tabela2[[#This Row],[NOME DO TUTOR]],TUT.CONTROL!C:C,TUT.CONTROL!G:G),"Demitido")</f>
        <v>45901</v>
      </c>
      <c r="K339" s="19">
        <v>96991809566</v>
      </c>
      <c r="L339" s="22">
        <f>IFERROR(_xlfn.XLOOKUP(Tabela2[[#This Row],[NOME DO TUTOR]],TUT.CONTROL!C:C,TUT.CONTROL!F:F),"Demitido")</f>
        <v>1158000954</v>
      </c>
      <c r="M339" s="8" t="s">
        <v>1052</v>
      </c>
      <c r="N339" s="11" t="str">
        <f>IFERROR(_xlfn.XLOOKUP(Tabela2[[#This Row],[CHAPA]],TUT.CONTROL!F:F,TUT.CONTROL!H:H),_xlfn.XLOOKUP(Tabela2[[#This Row],[CHAPA]],'REG.CONTROL'!F:F,'REG.CONTROL'!H:H))</f>
        <v>TUTOR DE PRATICA (UC_1749)</v>
      </c>
      <c r="O339" s="68" t="str">
        <f>IFERROR(_xlfn.XLOOKUP(Tabela2[[#This Row],[NOME DO TUTOR]],TUT.CONTROL!C:C,TUT.CONTROL!K:K),"Demitido")</f>
        <v>004:00</v>
      </c>
      <c r="P339" s="17">
        <f>IF(Tabela2[[#This Row],[SITUAÇÃO]]="Demitido",IFERROR(_xlfn.XLOOKUP(Tabela2[[#This Row],[CHAPA]],TUT.CONTROL!F:F,TUT.CONTROL!V:V),_xlfn.XLOOKUP(Tabela2[[#This Row],[CHAPA]],'REG.CONTROL'!F:F,'REG.CONTROL'!V:V)),"-")</f>
        <v>46055</v>
      </c>
      <c r="Q339" s="66" t="s">
        <v>43</v>
      </c>
      <c r="R339" s="8"/>
      <c r="S339" s="8"/>
    </row>
    <row r="340" spans="1:19" ht="13.5" hidden="1" x14ac:dyDescent="0.3">
      <c r="A34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40" s="8" t="str">
        <f>Tabela2[[#This Row],[CATEGORIA]]&amp;Tabela2[[#This Row],[CURSOS]]&amp;"LAP - "&amp;Tabela2[[#This Row],[POLO]]</f>
        <v>NUTRI (Multidisciplinar IV)NTRLAP - Duque de Caxias/RJ - 25 de Agosto</v>
      </c>
      <c r="C340" s="8" t="str">
        <f>Tabela2[[#This Row],[CATEGORIA]]&amp;Tabela2[[#This Row],[CURSOS]]</f>
        <v>NUTRI (Multidisciplinar IV)NTR</v>
      </c>
      <c r="D340" s="8" t="str">
        <f>IF(Tabela2[[#This Row],[SITUAÇÃO]]&lt;&gt;"Demitido",CONCATENATE(Tabela2[[#This Row],[POLO]],Tabela2[[#This Row],[CURSOS]]),"Substituição")</f>
        <v>Substituição</v>
      </c>
      <c r="E340" s="8" t="s">
        <v>730</v>
      </c>
      <c r="F340" s="67" t="s">
        <v>731</v>
      </c>
      <c r="G340" s="67" t="s">
        <v>271</v>
      </c>
      <c r="H340" s="9" t="s">
        <v>1053</v>
      </c>
      <c r="I340" s="17" t="str">
        <f>IFERROR(_xlfn.XLOOKUP(Tabela2[[#This Row],[CHAPA]],TUT.CONTROL!F:F,TUT.CONTROL!I:I),_xlfn.XLOOKUP(Tabela2[[#This Row],[CHAPA]],'REG.CONTROL'!F:F,'REG.CONTROL'!I:I))</f>
        <v>Demitido</v>
      </c>
      <c r="J340" s="17">
        <f>IFERROR(_xlfn.XLOOKUP(Tabela2[[#This Row],[NOME DO TUTOR]],TUT.CONTROL!C:C,TUT.CONTROL!G:G),"Demitido")</f>
        <v>45901</v>
      </c>
      <c r="K340" s="19">
        <v>21999810546</v>
      </c>
      <c r="L340" s="22">
        <f>IFERROR(_xlfn.XLOOKUP(Tabela2[[#This Row],[NOME DO TUTOR]],TUT.CONTROL!C:C,TUT.CONTROL!F:F),"Demitido")</f>
        <v>1158000938</v>
      </c>
      <c r="M340" s="8" t="s">
        <v>1054</v>
      </c>
      <c r="N340" s="11" t="str">
        <f>IFERROR(_xlfn.XLOOKUP(Tabela2[[#This Row],[CHAPA]],TUT.CONTROL!F:F,TUT.CONTROL!H:H),_xlfn.XLOOKUP(Tabela2[[#This Row],[CHAPA]],'REG.CONTROL'!F:F,'REG.CONTROL'!H:H))</f>
        <v>TUTOR DE PRATICA (UC_1749)</v>
      </c>
      <c r="O340" s="68" t="str">
        <f>IFERROR(_xlfn.XLOOKUP(Tabela2[[#This Row],[NOME DO TUTOR]],TUT.CONTROL!C:C,TUT.CONTROL!K:K),"Demitido")</f>
        <v>008:00</v>
      </c>
      <c r="P340" s="17">
        <f>IF(Tabela2[[#This Row],[SITUAÇÃO]]="Demitido",IFERROR(_xlfn.XLOOKUP(Tabela2[[#This Row],[CHAPA]],TUT.CONTROL!F:F,TUT.CONTROL!V:V),_xlfn.XLOOKUP(Tabela2[[#This Row],[CHAPA]],'REG.CONTROL'!F:F,'REG.CONTROL'!V:V)),"-")</f>
        <v>46055</v>
      </c>
      <c r="Q340" s="66" t="s">
        <v>43</v>
      </c>
      <c r="R340" s="8" t="s">
        <v>877</v>
      </c>
      <c r="S340" s="8">
        <v>23102573</v>
      </c>
    </row>
    <row r="341" spans="1:19" ht="13.5" hidden="1" x14ac:dyDescent="0.3">
      <c r="A34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41" s="8" t="str">
        <f>Tabela2[[#This Row],[CATEGORIA]]&amp;Tabela2[[#This Row],[CURSOS]]&amp;"LAP - "&amp;Tabela2[[#This Row],[POLO]]</f>
        <v>NUTRI (Multidisciplinar IV)NTRLAP - Rio de Janeiro/RJ - Ilha do Governador</v>
      </c>
      <c r="C341" s="8" t="str">
        <f>Tabela2[[#This Row],[CATEGORIA]]&amp;Tabela2[[#This Row],[CURSOS]]</f>
        <v>NUTRI (Multidisciplinar IV)NTR</v>
      </c>
      <c r="D341" s="8" t="str">
        <f>IF(Tabela2[[#This Row],[SITUAÇÃO]]&lt;&gt;"Demitido",CONCATENATE(Tabela2[[#This Row],[POLO]],Tabela2[[#This Row],[CURSOS]]),"Substituição")</f>
        <v>Substituição</v>
      </c>
      <c r="E341" s="8" t="s">
        <v>730</v>
      </c>
      <c r="F341" s="67" t="s">
        <v>731</v>
      </c>
      <c r="G341" s="67" t="s">
        <v>691</v>
      </c>
      <c r="H341" s="9" t="s">
        <v>1053</v>
      </c>
      <c r="I341" s="17" t="str">
        <f>IFERROR(_xlfn.XLOOKUP(Tabela2[[#This Row],[CHAPA]],TUT.CONTROL!F:F,TUT.CONTROL!I:I),_xlfn.XLOOKUP(Tabela2[[#This Row],[CHAPA]],'REG.CONTROL'!F:F,'REG.CONTROL'!I:I))</f>
        <v>Demitido</v>
      </c>
      <c r="J341" s="17">
        <f>IFERROR(_xlfn.XLOOKUP(Tabela2[[#This Row],[NOME DO TUTOR]],TUT.CONTROL!C:C,TUT.CONTROL!G:G),"Demitido")</f>
        <v>45901</v>
      </c>
      <c r="K341" s="19">
        <v>21999810546</v>
      </c>
      <c r="L341" s="22">
        <f>IFERROR(_xlfn.XLOOKUP(Tabela2[[#This Row],[NOME DO TUTOR]],TUT.CONTROL!C:C,TUT.CONTROL!F:F),"Demitido")</f>
        <v>1158000938</v>
      </c>
      <c r="M341" s="8" t="s">
        <v>1054</v>
      </c>
      <c r="N341" s="11" t="str">
        <f>IFERROR(_xlfn.XLOOKUP(Tabela2[[#This Row],[CHAPA]],TUT.CONTROL!F:F,TUT.CONTROL!H:H),_xlfn.XLOOKUP(Tabela2[[#This Row],[CHAPA]],'REG.CONTROL'!F:F,'REG.CONTROL'!H:H))</f>
        <v>TUTOR DE PRATICA (UC_1749)</v>
      </c>
      <c r="O341" s="68" t="str">
        <f>IFERROR(_xlfn.XLOOKUP(Tabela2[[#This Row],[NOME DO TUTOR]],TUT.CONTROL!C:C,TUT.CONTROL!K:K),"Demitido")</f>
        <v>008:00</v>
      </c>
      <c r="P341" s="17">
        <f>IF(Tabela2[[#This Row],[SITUAÇÃO]]="Demitido",IFERROR(_xlfn.XLOOKUP(Tabela2[[#This Row],[CHAPA]],TUT.CONTROL!F:F,TUT.CONTROL!V:V),_xlfn.XLOOKUP(Tabela2[[#This Row],[CHAPA]],'REG.CONTROL'!F:F,'REG.CONTROL'!V:V)),"-")</f>
        <v>46055</v>
      </c>
      <c r="Q341" s="66" t="s">
        <v>43</v>
      </c>
      <c r="R341" s="8" t="s">
        <v>877</v>
      </c>
      <c r="S341" s="8">
        <v>23102573</v>
      </c>
    </row>
    <row r="342" spans="1:19" ht="13.5" hidden="1" x14ac:dyDescent="0.3">
      <c r="A34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Guaramirim/SCNTRNUTRI (Multidisciplinar IV)</v>
      </c>
      <c r="B342" s="8" t="str">
        <f>Tabela2[[#This Row],[CATEGORIA]]&amp;Tabela2[[#This Row],[CURSOS]]&amp;"LAP - "&amp;Tabela2[[#This Row],[POLO]]</f>
        <v>NUTRI (Multidisciplinar IV)NTRLAP - Guaramirim/SC</v>
      </c>
      <c r="C342" s="8" t="str">
        <f>Tabela2[[#This Row],[CATEGORIA]]&amp;Tabela2[[#This Row],[CURSOS]]</f>
        <v>NUTRI (Multidisciplinar IV)NTR</v>
      </c>
      <c r="D342" s="8" t="str">
        <f>IF(Tabela2[[#This Row],[SITUAÇÃO]]&lt;&gt;"Demitido",CONCATENATE(Tabela2[[#This Row],[POLO]],Tabela2[[#This Row],[CURSOS]]),"Substituição")</f>
        <v>Guaramirim/SCNTR</v>
      </c>
      <c r="E342" s="8" t="s">
        <v>730</v>
      </c>
      <c r="F342" s="67" t="s">
        <v>731</v>
      </c>
      <c r="G342" s="67" t="s">
        <v>320</v>
      </c>
      <c r="H342" s="9" t="s">
        <v>1055</v>
      </c>
      <c r="I342" s="17" t="str">
        <f>IFERROR(_xlfn.XLOOKUP(Tabela2[[#This Row],[CHAPA]],TUT.CONTROL!F:F,TUT.CONTROL!I:I),_xlfn.XLOOKUP(Tabela2[[#This Row],[CHAPA]],'REG.CONTROL'!F:F,'REG.CONTROL'!I:I))</f>
        <v>Ativo</v>
      </c>
      <c r="J342" s="17">
        <f>IFERROR(_xlfn.XLOOKUP(Tabela2[[#This Row],[NOME DO TUTOR]],TUT.CONTROL!C:C,TUT.CONTROL!G:G),"Demitido")</f>
        <v>45901</v>
      </c>
      <c r="K342" s="19">
        <v>4799561805</v>
      </c>
      <c r="L342" s="22">
        <f>IFERROR(_xlfn.XLOOKUP(Tabela2[[#This Row],[NOME DO TUTOR]],TUT.CONTROL!C:C,TUT.CONTROL!F:F),"Demitido")</f>
        <v>1158000940</v>
      </c>
      <c r="M342" s="8" t="s">
        <v>1056</v>
      </c>
      <c r="N342" s="11" t="str">
        <f>IFERROR(_xlfn.XLOOKUP(Tabela2[[#This Row],[CHAPA]],TUT.CONTROL!F:F,TUT.CONTROL!H:H),_xlfn.XLOOKUP(Tabela2[[#This Row],[CHAPA]],'REG.CONTROL'!F:F,'REG.CONTROL'!H:H))</f>
        <v>TUTOR DE PRATICA (UC_1749)</v>
      </c>
      <c r="O342" s="68" t="str">
        <f>IFERROR(_xlfn.XLOOKUP(Tabela2[[#This Row],[NOME DO TUTOR]],TUT.CONTROL!C:C,TUT.CONTROL!K:K),"Demitido")</f>
        <v>004:00</v>
      </c>
      <c r="P34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42" s="66"/>
      <c r="R342" s="8" t="s">
        <v>801</v>
      </c>
      <c r="S342" s="8" t="s">
        <v>805</v>
      </c>
    </row>
    <row r="343" spans="1:19" ht="13.5" hidden="1" x14ac:dyDescent="0.3">
      <c r="A34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Rio de Janeiro/RJ - Campo GrandeCOS-TIPBIO-FISIO-EST-TO (Multidisciplinar III)</v>
      </c>
      <c r="B343" s="8" t="str">
        <f>Tabela2[[#This Row],[CATEGORIA]]&amp;Tabela2[[#This Row],[CURSOS]]&amp;"LAP - "&amp;Tabela2[[#This Row],[POLO]]</f>
        <v>BIO-FISIO-EST-TO (Multidisciplinar III)COS-TIPLAP - Rio de Janeiro/RJ - Campo Grande</v>
      </c>
      <c r="C343" s="8" t="str">
        <f>Tabela2[[#This Row],[CATEGORIA]]&amp;Tabela2[[#This Row],[CURSOS]]</f>
        <v>BIO-FISIO-EST-TO (Multidisciplinar III)COS-TIP</v>
      </c>
      <c r="D343" s="8" t="str">
        <f>IF(Tabela2[[#This Row],[SITUAÇÃO]]&lt;&gt;"Demitido",CONCATENATE(Tabela2[[#This Row],[POLO]],Tabela2[[#This Row],[CURSOS]]),"Substituição")</f>
        <v>Rio de Janeiro/RJ - Campo GrandeCOS-TIP</v>
      </c>
      <c r="E343" s="8" t="s">
        <v>757</v>
      </c>
      <c r="F343" s="67" t="s">
        <v>900</v>
      </c>
      <c r="G343" s="67" t="s">
        <v>833</v>
      </c>
      <c r="H343" s="9" t="s">
        <v>1057</v>
      </c>
      <c r="I343" s="17" t="str">
        <f>IFERROR(_xlfn.XLOOKUP(Tabela2[[#This Row],[CHAPA]],TUT.CONTROL!F:F,TUT.CONTROL!I:I),_xlfn.XLOOKUP(Tabela2[[#This Row],[CHAPA]],'REG.CONTROL'!F:F,'REG.CONTROL'!I:I))</f>
        <v>Ativo</v>
      </c>
      <c r="J343" s="17">
        <f>IFERROR(_xlfn.XLOOKUP(Tabela2[[#This Row],[NOME DO TUTOR]],TUT.CONTROL!C:C,TUT.CONTROL!G:G),"Demitido")</f>
        <v>45901</v>
      </c>
      <c r="K343" s="19">
        <v>21998957606</v>
      </c>
      <c r="L343" s="22">
        <f>IFERROR(_xlfn.XLOOKUP(Tabela2[[#This Row],[NOME DO TUTOR]],TUT.CONTROL!C:C,TUT.CONTROL!F:F),"Demitido")</f>
        <v>1158000957</v>
      </c>
      <c r="M343" s="8" t="s">
        <v>1058</v>
      </c>
      <c r="N343" s="11" t="str">
        <f>IFERROR(_xlfn.XLOOKUP(Tabela2[[#This Row],[CHAPA]],TUT.CONTROL!F:F,TUT.CONTROL!H:H),_xlfn.XLOOKUP(Tabela2[[#This Row],[CHAPA]],'REG.CONTROL'!F:F,'REG.CONTROL'!H:H))</f>
        <v>TUTOR DE PRATICA (UC_1749)</v>
      </c>
      <c r="O343" s="68" t="str">
        <f>IFERROR(_xlfn.XLOOKUP(Tabela2[[#This Row],[NOME DO TUTOR]],TUT.CONTROL!C:C,TUT.CONTROL!K:K),"Demitido")</f>
        <v>004:00</v>
      </c>
      <c r="P34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43" s="66"/>
      <c r="R343" s="8"/>
      <c r="S343" s="8"/>
    </row>
    <row r="344" spans="1:19" ht="13.5" hidden="1" x14ac:dyDescent="0.3">
      <c r="A34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44" s="8" t="str">
        <f>Tabela2[[#This Row],[CATEGORIA]]&amp;Tabela2[[#This Row],[CURSOS]]&amp;"LAP - "&amp;Tabela2[[#This Row],[POLO]]</f>
        <v>BIO-FAR (Multidisciplinar I)BFRLAP - Sinop/MT</v>
      </c>
      <c r="C344" s="8" t="str">
        <f>Tabela2[[#This Row],[CATEGORIA]]&amp;Tabela2[[#This Row],[CURSOS]]</f>
        <v>BIO-FAR (Multidisciplinar I)BFR</v>
      </c>
      <c r="D344" s="8" t="str">
        <f>IF(Tabela2[[#This Row],[SITUAÇÃO]]&lt;&gt;"Demitido",CONCATENATE(Tabela2[[#This Row],[POLO]],Tabela2[[#This Row],[CURSOS]]),"Substituição")</f>
        <v>Substituição</v>
      </c>
      <c r="E344" s="8" t="s">
        <v>771</v>
      </c>
      <c r="F344" s="67" t="s">
        <v>772</v>
      </c>
      <c r="G344" s="67" t="s">
        <v>967</v>
      </c>
      <c r="H344" s="9" t="s">
        <v>1059</v>
      </c>
      <c r="I344" s="17" t="str">
        <f>IFERROR(_xlfn.XLOOKUP(Tabela2[[#This Row],[CHAPA]],TUT.CONTROL!F:F,TUT.CONTROL!I:I),_xlfn.XLOOKUP(Tabela2[[#This Row],[CHAPA]],'REG.CONTROL'!F:F,'REG.CONTROL'!I:I))</f>
        <v>Demitido</v>
      </c>
      <c r="J344" s="17">
        <f>IFERROR(_xlfn.XLOOKUP(Tabela2[[#This Row],[NOME DO TUTOR]],TUT.CONTROL!C:C,TUT.CONTROL!G:G),"Demitido")</f>
        <v>45901</v>
      </c>
      <c r="K344" s="19">
        <v>65999961784</v>
      </c>
      <c r="L344" s="22">
        <f>IFERROR(_xlfn.XLOOKUP(Tabela2[[#This Row],[NOME DO TUTOR]],TUT.CONTROL!C:C,TUT.CONTROL!F:F),"Demitido")</f>
        <v>1158000939</v>
      </c>
      <c r="M344" s="8" t="s">
        <v>1060</v>
      </c>
      <c r="N344" s="11" t="str">
        <f>IFERROR(_xlfn.XLOOKUP(Tabela2[[#This Row],[CHAPA]],TUT.CONTROL!F:F,TUT.CONTROL!H:H),_xlfn.XLOOKUP(Tabela2[[#This Row],[CHAPA]],'REG.CONTROL'!F:F,'REG.CONTROL'!H:H))</f>
        <v>TUTOR DE PRATICA (UC_1749)</v>
      </c>
      <c r="O344" s="68" t="str">
        <f>IFERROR(_xlfn.XLOOKUP(Tabela2[[#This Row],[NOME DO TUTOR]],TUT.CONTROL!C:C,TUT.CONTROL!K:K),"Demitido")</f>
        <v>004:00</v>
      </c>
      <c r="P344" s="17">
        <f>IF(Tabela2[[#This Row],[SITUAÇÃO]]="Demitido",IFERROR(_xlfn.XLOOKUP(Tabela2[[#This Row],[CHAPA]],TUT.CONTROL!F:F,TUT.CONTROL!V:V),_xlfn.XLOOKUP(Tabela2[[#This Row],[CHAPA]],'REG.CONTROL'!F:F,'REG.CONTROL'!V:V)),"-")</f>
        <v>46056</v>
      </c>
      <c r="Q344" s="66" t="s">
        <v>43</v>
      </c>
      <c r="R344" s="8" t="s">
        <v>1061</v>
      </c>
      <c r="S344" s="8">
        <v>585949</v>
      </c>
    </row>
    <row r="345" spans="1:19" ht="13.5" hidden="1" x14ac:dyDescent="0.3">
      <c r="A34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São Gonçalo/RJ - Partage ShoppingEMF-ISNENF-INS (Multidisciplinar II)</v>
      </c>
      <c r="B345" s="8" t="str">
        <f>Tabela2[[#This Row],[CATEGORIA]]&amp;Tabela2[[#This Row],[CURSOS]]&amp;"LAP - "&amp;Tabela2[[#This Row],[POLO]]</f>
        <v>ENF-INS (Multidisciplinar II)EMF-ISNLAP - São Gonçalo/RJ - Partage Shopping</v>
      </c>
      <c r="C345" s="8" t="str">
        <f>Tabela2[[#This Row],[CATEGORIA]]&amp;Tabela2[[#This Row],[CURSOS]]</f>
        <v>ENF-INS (Multidisciplinar II)EMF-ISN</v>
      </c>
      <c r="D345" s="8" t="str">
        <f>IF(Tabela2[[#This Row],[SITUAÇÃO]]&lt;&gt;"Demitido",CONCATENATE(Tabela2[[#This Row],[POLO]],Tabela2[[#This Row],[CURSOS]]),"Substituição")</f>
        <v>São Gonçalo/RJ - Partage ShoppingEMF-ISN</v>
      </c>
      <c r="E345" s="8" t="s">
        <v>21</v>
      </c>
      <c r="F345" s="67" t="s">
        <v>22</v>
      </c>
      <c r="G345" s="67" t="s">
        <v>990</v>
      </c>
      <c r="H345" s="9" t="s">
        <v>1062</v>
      </c>
      <c r="I345" s="17" t="str">
        <f>IFERROR(_xlfn.XLOOKUP(Tabela2[[#This Row],[CHAPA]],TUT.CONTROL!F:F,TUT.CONTROL!I:I),_xlfn.XLOOKUP(Tabela2[[#This Row],[CHAPA]],'REG.CONTROL'!F:F,'REG.CONTROL'!I:I))</f>
        <v>Ativo</v>
      </c>
      <c r="J345" s="17">
        <f>IFERROR(_xlfn.XLOOKUP(Tabela2[[#This Row],[NOME DO TUTOR]],'REG.CONTROL'!C:C,'REG.CONTROL'!G:G),"Demitido")</f>
        <v>44620</v>
      </c>
      <c r="K345" s="19">
        <v>21996750870</v>
      </c>
      <c r="L345" s="22">
        <f>IFERROR(_xlfn.XLOOKUP(Tabela2[[#This Row],[NOME DO TUTOR]],'REG.CONTROL'!C:C,'REG.CONTROL'!F:F),"Demitido")</f>
        <v>1004009346</v>
      </c>
      <c r="M345" s="8" t="s">
        <v>1063</v>
      </c>
      <c r="N345" s="11" t="str">
        <f>IFERROR(_xlfn.XLOOKUP(Tabela2[[#This Row],[CHAPA]],TUT.CONTROL!F:F,TUT.CONTROL!H:H),_xlfn.XLOOKUP(Tabela2[[#This Row],[CHAPA]],'REG.CONTROL'!F:F,'REG.CONTROL'!H:H))</f>
        <v>PROFESSOR REGENTE DE POLO (UC_1744)</v>
      </c>
      <c r="O345" s="68" t="str">
        <f>IFERROR(_xlfn.XLOOKUP(Tabela2[[#This Row],[NOME DO TUTOR]],'REGENTE CH'!A:A,'REGENTE CH'!C:C),"Atualizar")</f>
        <v>008:00</v>
      </c>
      <c r="P34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45" s="66" t="s">
        <v>30</v>
      </c>
      <c r="R345" s="8" t="s">
        <v>157</v>
      </c>
      <c r="S345" s="8">
        <v>65165</v>
      </c>
    </row>
    <row r="346" spans="1:19" ht="13.5" hidden="1" x14ac:dyDescent="0.3">
      <c r="A34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46" s="8" t="str">
        <f>Tabela2[[#This Row],[CATEGORIA]]&amp;Tabela2[[#This Row],[CURSOS]]&amp;"LAP - "&amp;Tabela2[[#This Row],[POLO]]</f>
        <v>ENF-INS (Multidisciplinar II)EMF-ISNLAP - São José do Rio Preto/SP - Centro</v>
      </c>
      <c r="C346" s="8" t="str">
        <f>Tabela2[[#This Row],[CATEGORIA]]&amp;Tabela2[[#This Row],[CURSOS]]</f>
        <v>ENF-INS (Multidisciplinar II)EMF-ISN</v>
      </c>
      <c r="D346" s="8" t="str">
        <f>IF(Tabela2[[#This Row],[SITUAÇÃO]]&lt;&gt;"Demitido",CONCATENATE(Tabela2[[#This Row],[POLO]],Tabela2[[#This Row],[CURSOS]]),"Substituição")</f>
        <v>Substituição</v>
      </c>
      <c r="E346" s="8" t="s">
        <v>21</v>
      </c>
      <c r="F346" s="67" t="s">
        <v>22</v>
      </c>
      <c r="G346" s="67" t="s">
        <v>1064</v>
      </c>
      <c r="H346" s="9" t="s">
        <v>1065</v>
      </c>
      <c r="I346" s="17" t="str">
        <f>IFERROR(_xlfn.XLOOKUP(Tabela2[[#This Row],[CHAPA]],TUT.CONTROL!F:F,TUT.CONTROL!I:I),_xlfn.XLOOKUP(Tabela2[[#This Row],[CHAPA]],'REG.CONTROL'!F:F,'REG.CONTROL'!I:I))</f>
        <v>Demitido</v>
      </c>
      <c r="J346" s="17">
        <f>IFERROR(_xlfn.XLOOKUP(Tabela2[[#This Row],[NOME DO TUTOR]],TUT.CONTROL!C:C,TUT.CONTROL!G:G),"Demitido")</f>
        <v>45873</v>
      </c>
      <c r="K346" s="19">
        <v>17981310700</v>
      </c>
      <c r="L346" s="22">
        <f>IFERROR(_xlfn.XLOOKUP(Tabela2[[#This Row],[NOME DO TUTOR]],TUT.CONTROL!C:C,TUT.CONTROL!F:F),"Demitido")</f>
        <v>1158000814</v>
      </c>
      <c r="M346" s="8" t="s">
        <v>1066</v>
      </c>
      <c r="N346" s="11" t="str">
        <f>IFERROR(_xlfn.XLOOKUP(Tabela2[[#This Row],[CHAPA]],TUT.CONTROL!F:F,TUT.CONTROL!H:H),_xlfn.XLOOKUP(Tabela2[[#This Row],[CHAPA]],'REG.CONTROL'!F:F,'REG.CONTROL'!H:H))</f>
        <v>TUTOR DE PRATICA (UC_1749)</v>
      </c>
      <c r="O346" s="68" t="str">
        <f>IFERROR(_xlfn.XLOOKUP(Tabela2[[#This Row],[NOME DO TUTOR]],TUT.CONTROL!C:C,TUT.CONTROL!K:K),"Demitido")</f>
        <v>004:00</v>
      </c>
      <c r="P346" s="17">
        <f>IF(Tabela2[[#This Row],[SITUAÇÃO]]="Demitido",IFERROR(_xlfn.XLOOKUP(Tabela2[[#This Row],[CHAPA]],TUT.CONTROL!F:F,TUT.CONTROL!V:V),_xlfn.XLOOKUP(Tabela2[[#This Row],[CHAPA]],'REG.CONTROL'!F:F,'REG.CONTROL'!V:V)),"-")</f>
        <v>45962</v>
      </c>
      <c r="Q346" s="66" t="s">
        <v>43</v>
      </c>
      <c r="R346" s="8" t="s">
        <v>75</v>
      </c>
      <c r="S346" s="8">
        <v>567071</v>
      </c>
    </row>
    <row r="347" spans="1:19" ht="13.5" hidden="1" x14ac:dyDescent="0.3">
      <c r="A34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47" s="8" t="str">
        <f>Tabela2[[#This Row],[CATEGORIA]]&amp;Tabela2[[#This Row],[CURSOS]]&amp;"LAP - "&amp;Tabela2[[#This Row],[POLO]]</f>
        <v>BIO-FISIO-EST-TO (Multidisciplinar III)BFILAP - Campinas/SP - Abolição</v>
      </c>
      <c r="C347" s="8" t="str">
        <f>Tabela2[[#This Row],[CATEGORIA]]&amp;Tabela2[[#This Row],[CURSOS]]</f>
        <v>BIO-FISIO-EST-TO (Multidisciplinar III)BFI</v>
      </c>
      <c r="D347" s="8" t="str">
        <f>IF(Tabela2[[#This Row],[SITUAÇÃO]]&lt;&gt;"Demitido",CONCATENATE(Tabela2[[#This Row],[POLO]],Tabela2[[#This Row],[CURSOS]]),"Substituição")</f>
        <v>Substituição</v>
      </c>
      <c r="E347" s="8" t="s">
        <v>757</v>
      </c>
      <c r="F347" s="67" t="s">
        <v>758</v>
      </c>
      <c r="G347" s="67" t="s">
        <v>172</v>
      </c>
      <c r="H347" s="9" t="s">
        <v>1067</v>
      </c>
      <c r="I347" s="17" t="str">
        <f>IFERROR(_xlfn.XLOOKUP(Tabela2[[#This Row],[CHAPA]],TUT.CONTROL!F:F,TUT.CONTROL!I:I),_xlfn.XLOOKUP(Tabela2[[#This Row],[CHAPA]],'REG.CONTROL'!F:F,'REG.CONTROL'!I:I))</f>
        <v>Demitido</v>
      </c>
      <c r="J347" s="17">
        <f>IFERROR(_xlfn.XLOOKUP(Tabela2[[#This Row],[NOME DO TUTOR]],TUT.CONTROL!C:C,TUT.CONTROL!G:G),"Demitido")</f>
        <v>45901</v>
      </c>
      <c r="K347" s="19">
        <v>19996071185</v>
      </c>
      <c r="L347" s="22">
        <f>IFERROR(_xlfn.XLOOKUP(Tabela2[[#This Row],[NOME DO TUTOR]],TUT.CONTROL!C:C,TUT.CONTROL!F:F),"Demitido")</f>
        <v>1158000945</v>
      </c>
      <c r="M347" s="8" t="s">
        <v>1068</v>
      </c>
      <c r="N347" s="11" t="str">
        <f>IFERROR(_xlfn.XLOOKUP(Tabela2[[#This Row],[CHAPA]],TUT.CONTROL!F:F,TUT.CONTROL!H:H),_xlfn.XLOOKUP(Tabela2[[#This Row],[CHAPA]],'REG.CONTROL'!F:F,'REG.CONTROL'!H:H))</f>
        <v>TUTOR DE PRATICA (UC_1749)</v>
      </c>
      <c r="O347" s="68" t="str">
        <f>IFERROR(_xlfn.XLOOKUP(Tabela2[[#This Row],[NOME DO TUTOR]],TUT.CONTROL!C:C,TUT.CONTROL!K:K),"Demitido")</f>
        <v>004:00</v>
      </c>
      <c r="P347" s="17">
        <f>IF(Tabela2[[#This Row],[SITUAÇÃO]]="Demitido",IFERROR(_xlfn.XLOOKUP(Tabela2[[#This Row],[CHAPA]],TUT.CONTROL!F:F,TUT.CONTROL!V:V),_xlfn.XLOOKUP(Tabela2[[#This Row],[CHAPA]],'REG.CONTROL'!F:F,'REG.CONTROL'!V:V)),"-")</f>
        <v>46092</v>
      </c>
      <c r="Q347" s="66" t="s">
        <v>43</v>
      </c>
      <c r="R347" s="8" t="s">
        <v>852</v>
      </c>
      <c r="S347" s="8" t="s">
        <v>1069</v>
      </c>
    </row>
    <row r="348" spans="1:19" ht="13.5" hidden="1" customHeight="1" x14ac:dyDescent="0.3">
      <c r="A34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São José dos Campos/SPEMF-ISNENF-INS (Multidisciplinar II)</v>
      </c>
      <c r="B348" s="8" t="str">
        <f>Tabela2[[#This Row],[CATEGORIA]]&amp;Tabela2[[#This Row],[CURSOS]]&amp;"LAP - "&amp;Tabela2[[#This Row],[POLO]]</f>
        <v>ENF-INS (Multidisciplinar II)EMF-ISNLAP - São José dos Campos/SP</v>
      </c>
      <c r="C348" s="8" t="str">
        <f>Tabela2[[#This Row],[CATEGORIA]]&amp;Tabela2[[#This Row],[CURSOS]]</f>
        <v>ENF-INS (Multidisciplinar II)EMF-ISN</v>
      </c>
      <c r="D348" s="8" t="str">
        <f>IF(Tabela2[[#This Row],[SITUAÇÃO]]&lt;&gt;"Demitido",CONCATENATE(Tabela2[[#This Row],[POLO]],Tabela2[[#This Row],[CURSOS]]),"Substituição")</f>
        <v>São José dos Campos/SPEMF-ISN</v>
      </c>
      <c r="E348" s="8" t="s">
        <v>21</v>
      </c>
      <c r="F348" s="67" t="s">
        <v>22</v>
      </c>
      <c r="G348" s="67" t="s">
        <v>1070</v>
      </c>
      <c r="H348" s="9" t="s">
        <v>1071</v>
      </c>
      <c r="I348" s="17" t="str">
        <f>IFERROR(_xlfn.XLOOKUP(Tabela2[[#This Row],[CHAPA]],TUT.CONTROL!F:F,TUT.CONTROL!I:I),_xlfn.XLOOKUP(Tabela2[[#This Row],[CHAPA]],'REG.CONTROL'!F:F,'REG.CONTROL'!I:I))</f>
        <v>Ativo</v>
      </c>
      <c r="J348" s="17">
        <f>IFERROR(_xlfn.XLOOKUP(Tabela2[[#This Row],[NOME DO TUTOR]],TUT.CONTROL!C:C,TUT.CONTROL!G:G),"Demitido")</f>
        <v>45782</v>
      </c>
      <c r="K348" s="19" t="s">
        <v>1072</v>
      </c>
      <c r="L348" s="22">
        <f>IFERROR(_xlfn.XLOOKUP(Tabela2[[#This Row],[NOME DO TUTOR]],TUT.CONTROL!C:C,TUT.CONTROL!F:F),"Demitido")</f>
        <v>1158000608</v>
      </c>
      <c r="M348" s="8" t="s">
        <v>1073</v>
      </c>
      <c r="N348" s="11" t="str">
        <f>IFERROR(_xlfn.XLOOKUP(Tabela2[[#This Row],[CHAPA]],TUT.CONTROL!F:F,TUT.CONTROL!H:H),_xlfn.XLOOKUP(Tabela2[[#This Row],[CHAPA]],'REG.CONTROL'!F:F,'REG.CONTROL'!H:H))</f>
        <v>TUTOR DE PRATICA (UC_1749)</v>
      </c>
      <c r="O348" s="68" t="str">
        <f>IFERROR(_xlfn.XLOOKUP(Tabela2[[#This Row],[NOME DO TUTOR]],TUT.CONTROL!C:C,TUT.CONTROL!K:K),"Demitido")</f>
        <v>004:00</v>
      </c>
      <c r="P34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48" s="66" t="s">
        <v>30</v>
      </c>
      <c r="R348" s="8" t="s">
        <v>75</v>
      </c>
      <c r="S348" s="8">
        <v>514569</v>
      </c>
    </row>
    <row r="349" spans="1:19" ht="13.5" hidden="1" x14ac:dyDescent="0.3">
      <c r="A34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São Paulo/SP - TatuapéCOS-TIPBIO-FISIO-EST-TO (Multidisciplinar III)</v>
      </c>
      <c r="B349" s="8" t="str">
        <f>Tabela2[[#This Row],[CATEGORIA]]&amp;Tabela2[[#This Row],[CURSOS]]&amp;"LAP - "&amp;Tabela2[[#This Row],[POLO]]</f>
        <v>BIO-FISIO-EST-TO (Multidisciplinar III)COS-TIPLAP - São Paulo/SP - Tatuapé</v>
      </c>
      <c r="C349" s="8" t="str">
        <f>Tabela2[[#This Row],[CATEGORIA]]&amp;Tabela2[[#This Row],[CURSOS]]</f>
        <v>BIO-FISIO-EST-TO (Multidisciplinar III)COS-TIP</v>
      </c>
      <c r="D349" s="8" t="str">
        <f>IF(Tabela2[[#This Row],[SITUAÇÃO]]&lt;&gt;"Demitido",CONCATENATE(Tabela2[[#This Row],[POLO]],Tabela2[[#This Row],[CURSOS]]),"Substituição")</f>
        <v>São Paulo/SP - TatuapéCOS-TIP</v>
      </c>
      <c r="E349" s="8" t="s">
        <v>757</v>
      </c>
      <c r="F349" s="67" t="s">
        <v>900</v>
      </c>
      <c r="G349" s="67" t="s">
        <v>431</v>
      </c>
      <c r="H349" s="9" t="s">
        <v>1074</v>
      </c>
      <c r="I349" s="17" t="str">
        <f>IFERROR(_xlfn.XLOOKUP(Tabela2[[#This Row],[CHAPA]],TUT.CONTROL!F:F,TUT.CONTROL!I:I),_xlfn.XLOOKUP(Tabela2[[#This Row],[CHAPA]],'REG.CONTROL'!F:F,'REG.CONTROL'!I:I))</f>
        <v>Ativo</v>
      </c>
      <c r="J349" s="17">
        <f>IFERROR(_xlfn.XLOOKUP(Tabela2[[#This Row],[NOME DO TUTOR]],TUT.CONTROL!C:C,TUT.CONTROL!G:G),"Demitido")</f>
        <v>45908</v>
      </c>
      <c r="K349" s="19">
        <v>13991566285</v>
      </c>
      <c r="L349" s="22">
        <f>IFERROR(_xlfn.XLOOKUP(Tabela2[[#This Row],[NOME DO TUTOR]],TUT.CONTROL!C:C,TUT.CONTROL!F:F),"Demitido")</f>
        <v>1158000961</v>
      </c>
      <c r="M349" s="8" t="s">
        <v>1075</v>
      </c>
      <c r="N349" s="11" t="str">
        <f>IFERROR(_xlfn.XLOOKUP(Tabela2[[#This Row],[CHAPA]],TUT.CONTROL!F:F,TUT.CONTROL!H:H),_xlfn.XLOOKUP(Tabela2[[#This Row],[CHAPA]],'REG.CONTROL'!F:F,'REG.CONTROL'!H:H))</f>
        <v>TUTOR DE PRATICA (UC_1749)</v>
      </c>
      <c r="O349" s="68" t="str">
        <f>IFERROR(_xlfn.XLOOKUP(Tabela2[[#This Row],[NOME DO TUTOR]],TUT.CONTROL!C:C,TUT.CONTROL!K:K),"Demitido")</f>
        <v>004:00</v>
      </c>
      <c r="P34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49" s="66"/>
      <c r="R349" s="8"/>
      <c r="S349" s="8"/>
    </row>
    <row r="350" spans="1:19" ht="13.5" hidden="1" customHeight="1" x14ac:dyDescent="0.2">
      <c r="A35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Unaí/MGAGMQUÍMICA E FÍSICA</v>
      </c>
      <c r="B350" s="8" t="str">
        <f>Tabela2[[#This Row],[CATEGORIA]]&amp;Tabela2[[#This Row],[CURSOS]]&amp;"LAP - "&amp;Tabela2[[#This Row],[POLO]]</f>
        <v>QUÍMICA E FÍSICAAGMLAP - Unaí/MG</v>
      </c>
      <c r="C350" s="8" t="str">
        <f>Tabela2[[#This Row],[CATEGORIA]]&amp;Tabela2[[#This Row],[CURSOS]]</f>
        <v>QUÍMICA E FÍSICAAGM</v>
      </c>
      <c r="D350" s="8" t="str">
        <f>IF(Tabela2[[#This Row],[SITUAÇÃO]]&lt;&gt;"Demitido",CONCATENATE(Tabela2[[#This Row],[POLO]],Tabela2[[#This Row],[CURSOS]]),"Substituição")</f>
        <v>Unaí/MGAGM</v>
      </c>
      <c r="E350" s="8" t="s">
        <v>734</v>
      </c>
      <c r="F350" s="67" t="s">
        <v>735</v>
      </c>
      <c r="G350" s="67" t="s">
        <v>1076</v>
      </c>
      <c r="H350" s="9" t="s">
        <v>1077</v>
      </c>
      <c r="I350" s="17" t="str">
        <f>IFERROR(_xlfn.XLOOKUP(Tabela2[[#This Row],[CHAPA]],TUT.CONTROL!F:F,TUT.CONTROL!I:I),_xlfn.XLOOKUP(Tabela2[[#This Row],[CHAPA]],'REG.CONTROL'!F:F,'REG.CONTROL'!I:I))</f>
        <v>Ativo</v>
      </c>
      <c r="J350" s="17">
        <f>IFERROR(_xlfn.XLOOKUP(Tabela2[[#This Row],[NOME DO TUTOR]],TUT.CONTROL!C:C,TUT.CONTROL!G:G),"Demitido")</f>
        <v>45908</v>
      </c>
      <c r="K350" s="19">
        <v>38999705293</v>
      </c>
      <c r="L350" s="22">
        <f>IFERROR(_xlfn.XLOOKUP(Tabela2[[#This Row],[NOME DO TUTOR]],TUT.CONTROL!C:C,TUT.CONTROL!F:F),"Demitido")</f>
        <v>1158000963</v>
      </c>
      <c r="M350" s="8" t="s">
        <v>1078</v>
      </c>
      <c r="N350" s="11" t="str">
        <f>IFERROR(_xlfn.XLOOKUP(Tabela2[[#This Row],[CHAPA]],TUT.CONTROL!F:F,TUT.CONTROL!H:H),_xlfn.XLOOKUP(Tabela2[[#This Row],[CHAPA]],'REG.CONTROL'!F:F,'REG.CONTROL'!H:H))</f>
        <v>TUTOR DE PRATICA (UC_1749)</v>
      </c>
      <c r="O350" s="68" t="str">
        <f>IFERROR(_xlfn.XLOOKUP(Tabela2[[#This Row],[NOME DO TUTOR]],TUT.CONTROL!C:C,TUT.CONTROL!K:K),"Demitido")</f>
        <v>004:00</v>
      </c>
      <c r="P35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50" s="66" t="s">
        <v>30</v>
      </c>
      <c r="R350" s="80" t="s">
        <v>1079</v>
      </c>
      <c r="S350" s="80" t="s">
        <v>1080</v>
      </c>
    </row>
    <row r="351" spans="1:19" ht="13.5" hidden="1" x14ac:dyDescent="0.3">
      <c r="A35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São Luís/MA - Cidade OperáriaEMF-ISNENF-INS (Multidisciplinar II)</v>
      </c>
      <c r="B351" s="8" t="str">
        <f>Tabela2[[#This Row],[CATEGORIA]]&amp;Tabela2[[#This Row],[CURSOS]]&amp;"LAP - "&amp;Tabela2[[#This Row],[POLO]]</f>
        <v>ENF-INS (Multidisciplinar II)EMF-ISNLAP - São Luís/MA - Cidade Operária</v>
      </c>
      <c r="C351" s="8" t="str">
        <f>Tabela2[[#This Row],[CATEGORIA]]&amp;Tabela2[[#This Row],[CURSOS]]</f>
        <v>ENF-INS (Multidisciplinar II)EMF-ISN</v>
      </c>
      <c r="D351" s="8" t="str">
        <f>IF(Tabela2[[#This Row],[SITUAÇÃO]]&lt;&gt;"Demitido",CONCATENATE(Tabela2[[#This Row],[POLO]],Tabela2[[#This Row],[CURSOS]]),"Substituição")</f>
        <v>São Luís/MA - Cidade OperáriaEMF-ISN</v>
      </c>
      <c r="E351" s="8" t="s">
        <v>21</v>
      </c>
      <c r="F351" s="67" t="s">
        <v>22</v>
      </c>
      <c r="G351" s="67" t="s">
        <v>1081</v>
      </c>
      <c r="H351" s="9" t="s">
        <v>1082</v>
      </c>
      <c r="I351" s="17" t="str">
        <f>IFERROR(_xlfn.XLOOKUP(Tabela2[[#This Row],[CHAPA]],TUT.CONTROL!F:F,TUT.CONTROL!I:I),_xlfn.XLOOKUP(Tabela2[[#This Row],[CHAPA]],'REG.CONTROL'!F:F,'REG.CONTROL'!I:I))</f>
        <v>Ativo</v>
      </c>
      <c r="J351" s="17">
        <f>IFERROR(_xlfn.XLOOKUP(Tabela2[[#This Row],[NOME DO TUTOR]],TUT.CONTROL!C:C,TUT.CONTROL!G:G),"Demitido")</f>
        <v>45733</v>
      </c>
      <c r="K351" s="19">
        <v>98988064782</v>
      </c>
      <c r="L351" s="22">
        <f>IFERROR(_xlfn.XLOOKUP(Tabela2[[#This Row],[NOME DO TUTOR]],TUT.CONTROL!C:C,TUT.CONTROL!F:F),"Demitido")</f>
        <v>1158000559</v>
      </c>
      <c r="M351" s="8" t="s">
        <v>1083</v>
      </c>
      <c r="N351" s="11" t="str">
        <f>IFERROR(_xlfn.XLOOKUP(Tabela2[[#This Row],[CHAPA]],TUT.CONTROL!F:F,TUT.CONTROL!H:H),_xlfn.XLOOKUP(Tabela2[[#This Row],[CHAPA]],'REG.CONTROL'!F:F,'REG.CONTROL'!H:H))</f>
        <v>TUTOR DE PRATICA (UC_1749)</v>
      </c>
      <c r="O351" s="68" t="str">
        <f>IFERROR(_xlfn.XLOOKUP(Tabela2[[#This Row],[NOME DO TUTOR]],TUT.CONTROL!C:C,TUT.CONTROL!K:K),"Demitido")</f>
        <v>004:00</v>
      </c>
      <c r="P35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51" s="66" t="s">
        <v>30</v>
      </c>
      <c r="R351" s="8" t="s">
        <v>86</v>
      </c>
      <c r="S351" s="8">
        <v>742748</v>
      </c>
    </row>
    <row r="352" spans="1:19" ht="13.5" hidden="1" x14ac:dyDescent="0.3">
      <c r="A35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São Luís/MA - Região CentralEMF-ISNENF-INS (Multidisciplinar II)</v>
      </c>
      <c r="B352" s="8" t="str">
        <f>Tabela2[[#This Row],[CATEGORIA]]&amp;Tabela2[[#This Row],[CURSOS]]&amp;"LAP - "&amp;Tabela2[[#This Row],[POLO]]</f>
        <v>ENF-INS (Multidisciplinar II)EMF-ISNLAP - São Luís/MA - Região Central</v>
      </c>
      <c r="C352" s="8" t="str">
        <f>Tabela2[[#This Row],[CATEGORIA]]&amp;Tabela2[[#This Row],[CURSOS]]</f>
        <v>ENF-INS (Multidisciplinar II)EMF-ISN</v>
      </c>
      <c r="D352" s="8" t="str">
        <f>IF(Tabela2[[#This Row],[SITUAÇÃO]]&lt;&gt;"Demitido",CONCATENATE(Tabela2[[#This Row],[POLO]],Tabela2[[#This Row],[CURSOS]]),"Substituição")</f>
        <v>São Luís/MA - Região CentralEMF-ISN</v>
      </c>
      <c r="E352" s="8" t="s">
        <v>21</v>
      </c>
      <c r="F352" s="67" t="s">
        <v>22</v>
      </c>
      <c r="G352" s="67" t="s">
        <v>907</v>
      </c>
      <c r="H352" s="9" t="s">
        <v>1084</v>
      </c>
      <c r="I352" s="17" t="str">
        <f>IFERROR(_xlfn.XLOOKUP(Tabela2[[#This Row],[CHAPA]],TUT.CONTROL!F:F,TUT.CONTROL!I:I),_xlfn.XLOOKUP(Tabela2[[#This Row],[CHAPA]],'REG.CONTROL'!F:F,'REG.CONTROL'!I:I))</f>
        <v>Ativo</v>
      </c>
      <c r="J352" s="17">
        <f>IFERROR(_xlfn.XLOOKUP(Tabela2[[#This Row],[NOME DO TUTOR]],TUT.CONTROL!C:C,TUT.CONTROL!G:G),"Demitido")</f>
        <v>45749</v>
      </c>
      <c r="K352" s="19">
        <v>98981743973</v>
      </c>
      <c r="L352" s="22">
        <f>IFERROR(_xlfn.XLOOKUP(Tabela2[[#This Row],[NOME DO TUTOR]],TUT.CONTROL!C:C,TUT.CONTROL!F:F),"Demitido")</f>
        <v>1158000662</v>
      </c>
      <c r="M352" s="8" t="s">
        <v>1085</v>
      </c>
      <c r="N352" s="11" t="str">
        <f>IFERROR(_xlfn.XLOOKUP(Tabela2[[#This Row],[CHAPA]],TUT.CONTROL!F:F,TUT.CONTROL!H:H),_xlfn.XLOOKUP(Tabela2[[#This Row],[CHAPA]],'REG.CONTROL'!F:F,'REG.CONTROL'!H:H))</f>
        <v>TUTOR DE PRATICA (UC_1749)</v>
      </c>
      <c r="O352" s="68" t="str">
        <f>IFERROR(_xlfn.XLOOKUP(Tabela2[[#This Row],[NOME DO TUTOR]],TUT.CONTROL!C:C,TUT.CONTROL!K:K),"Demitido")</f>
        <v>004:00</v>
      </c>
      <c r="P35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52" s="66" t="s">
        <v>30</v>
      </c>
      <c r="R352" s="8" t="s">
        <v>86</v>
      </c>
      <c r="S352" s="8">
        <v>266798</v>
      </c>
    </row>
    <row r="353" spans="1:19" ht="13.5" hidden="1" x14ac:dyDescent="0.3">
      <c r="A35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Palmas/TO - Plano Diretor SulBFRBIO-FAR (Multidisciplinar I)</v>
      </c>
      <c r="B353" s="8" t="str">
        <f>Tabela2[[#This Row],[CATEGORIA]]&amp;Tabela2[[#This Row],[CURSOS]]&amp;"LAP - "&amp;Tabela2[[#This Row],[POLO]]</f>
        <v>BIO-FAR (Multidisciplinar I)BFRLAP - Palmas/TO - Plano Diretor Sul</v>
      </c>
      <c r="C353" s="8" t="str">
        <f>Tabela2[[#This Row],[CATEGORIA]]&amp;Tabela2[[#This Row],[CURSOS]]</f>
        <v>BIO-FAR (Multidisciplinar I)BFR</v>
      </c>
      <c r="D353" s="8" t="str">
        <f>IF(Tabela2[[#This Row],[SITUAÇÃO]]&lt;&gt;"Demitido",CONCATENATE(Tabela2[[#This Row],[POLO]],Tabela2[[#This Row],[CURSOS]]),"Substituição")</f>
        <v>Palmas/TO - Plano Diretor SulBFR</v>
      </c>
      <c r="E353" s="8" t="s">
        <v>771</v>
      </c>
      <c r="F353" s="67" t="s">
        <v>772</v>
      </c>
      <c r="G353" s="67" t="s">
        <v>544</v>
      </c>
      <c r="H353" s="9" t="s">
        <v>1086</v>
      </c>
      <c r="I353" s="17" t="str">
        <f>IFERROR(_xlfn.XLOOKUP(Tabela2[[#This Row],[CHAPA]],TUT.CONTROL!F:F,TUT.CONTROL!I:I),_xlfn.XLOOKUP(Tabela2[[#This Row],[CHAPA]],'REG.CONTROL'!F:F,'REG.CONTROL'!I:I))</f>
        <v>Ativo</v>
      </c>
      <c r="J353" s="17">
        <f>IFERROR(_xlfn.XLOOKUP(Tabela2[[#This Row],[NOME DO TUTOR]],TUT.CONTROL!C:C,TUT.CONTROL!G:G),"Demitido")</f>
        <v>45910</v>
      </c>
      <c r="K353" s="19">
        <v>63991258121</v>
      </c>
      <c r="L353" s="22">
        <f>IFERROR(_xlfn.XLOOKUP(Tabela2[[#This Row],[NOME DO TUTOR]],TUT.CONTROL!C:C,TUT.CONTROL!F:F),"Demitido")</f>
        <v>1158000968</v>
      </c>
      <c r="M353" s="8" t="s">
        <v>1087</v>
      </c>
      <c r="N353" s="11" t="str">
        <f>IFERROR(_xlfn.XLOOKUP(Tabela2[[#This Row],[CHAPA]],TUT.CONTROL!F:F,TUT.CONTROL!H:H),_xlfn.XLOOKUP(Tabela2[[#This Row],[CHAPA]],'REG.CONTROL'!F:F,'REG.CONTROL'!H:H))</f>
        <v>TUTOR DE PRATICA (UC_1749)</v>
      </c>
      <c r="O353" s="68" t="str">
        <f>IFERROR(_xlfn.XLOOKUP(Tabela2[[#This Row],[NOME DO TUTOR]],TUT.CONTROL!C:C,TUT.CONTROL!K:K),"Demitido")</f>
        <v>004:00</v>
      </c>
      <c r="P35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53" s="66"/>
      <c r="R353" s="8"/>
      <c r="S353" s="8"/>
    </row>
    <row r="354" spans="1:19" ht="13.5" hidden="1" x14ac:dyDescent="0.3">
      <c r="A35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54" s="8" t="str">
        <f>Tabela2[[#This Row],[CATEGORIA]]&amp;Tabela2[[#This Row],[CURSOS]]&amp;"LAP - "&amp;Tabela2[[#This Row],[POLO]]</f>
        <v>QUÍMICA E FÍSICAAGMLAP - Camaquã/RS</v>
      </c>
      <c r="C354" s="8" t="str">
        <f>Tabela2[[#This Row],[CATEGORIA]]&amp;Tabela2[[#This Row],[CURSOS]]</f>
        <v>QUÍMICA E FÍSICAAGM</v>
      </c>
      <c r="D354" s="8" t="str">
        <f>IF(Tabela2[[#This Row],[SITUAÇÃO]]&lt;&gt;"Demitido",CONCATENATE(Tabela2[[#This Row],[POLO]],Tabela2[[#This Row],[CURSOS]]),"Substituição")</f>
        <v>Substituição</v>
      </c>
      <c r="E354" s="8" t="s">
        <v>734</v>
      </c>
      <c r="F354" s="67" t="s">
        <v>735</v>
      </c>
      <c r="G354" s="67" t="s">
        <v>161</v>
      </c>
      <c r="H354" s="9" t="s">
        <v>1088</v>
      </c>
      <c r="I354" s="71" t="str">
        <f>IFERROR(_xlfn.XLOOKUP(Tabela2[[#This Row],[CHAPA]],TUT.CONTROL!F:F,TUT.CONTROL!I:I),_xlfn.XLOOKUP(Tabela2[[#This Row],[CHAPA]],'REG.CONTROL'!F:F,'REG.CONTROL'!I:I))</f>
        <v>Demitido</v>
      </c>
      <c r="J354" s="17">
        <f>IFERROR(_xlfn.XLOOKUP(Tabela2[[#This Row],[NOME DO TUTOR]],TUT.CONTROL!C:C,TUT.CONTROL!G:G),"Demitido")</f>
        <v>45910</v>
      </c>
      <c r="K354" s="19">
        <v>53999475362</v>
      </c>
      <c r="L354" s="22">
        <f>IFERROR(_xlfn.XLOOKUP(Tabela2[[#This Row],[NOME DO TUTOR]],TUT.CONTROL!C:C,TUT.CONTROL!F:F),"Demitido")</f>
        <v>1158000966</v>
      </c>
      <c r="M354" s="8" t="s">
        <v>1089</v>
      </c>
      <c r="N354" s="11" t="str">
        <f>IFERROR(_xlfn.XLOOKUP(Tabela2[[#This Row],[CHAPA]],TUT.CONTROL!F:F,TUT.CONTROL!H:H),_xlfn.XLOOKUP(Tabela2[[#This Row],[CHAPA]],'REG.CONTROL'!F:F,'REG.CONTROL'!H:H))</f>
        <v>TUTOR DE PRATICA (UC_1749)</v>
      </c>
      <c r="O354" s="68" t="str">
        <f>IFERROR(_xlfn.XLOOKUP(Tabela2[[#This Row],[NOME DO TUTOR]],TUT.CONTROL!C:C,TUT.CONTROL!K:K),"Demitido")</f>
        <v>004:00</v>
      </c>
      <c r="P354" s="17">
        <f>IF(Tabela2[[#This Row],[SITUAÇÃO]]="Demitido",IFERROR(_xlfn.XLOOKUP(Tabela2[[#This Row],[CHAPA]],TUT.CONTROL!F:F,TUT.CONTROL!V:V),_xlfn.XLOOKUP(Tabela2[[#This Row],[CHAPA]],'REG.CONTROL'!F:F,'REG.CONTROL'!V:V)),"-")</f>
        <v>46066</v>
      </c>
      <c r="Q354" s="66" t="s">
        <v>43</v>
      </c>
      <c r="R354" s="66" t="s">
        <v>43</v>
      </c>
      <c r="S354" s="8"/>
    </row>
    <row r="355" spans="1:19" ht="13.5" hidden="1" x14ac:dyDescent="0.3">
      <c r="A35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55" s="8" t="str">
        <f>Tabela2[[#This Row],[CATEGORIA]]&amp;Tabela2[[#This Row],[CURSOS]]&amp;"LAP - "&amp;Tabela2[[#This Row],[POLO]]</f>
        <v>QUÍMICA E FÍSICAAGMLAP - Herval D'Oeste/SC</v>
      </c>
      <c r="C355" s="8" t="str">
        <f>Tabela2[[#This Row],[CATEGORIA]]&amp;Tabela2[[#This Row],[CURSOS]]</f>
        <v>QUÍMICA E FÍSICAAGM</v>
      </c>
      <c r="D355" s="8" t="str">
        <f>IF(Tabela2[[#This Row],[SITUAÇÃO]]&lt;&gt;"Demitido",CONCATENATE(Tabela2[[#This Row],[POLO]],Tabela2[[#This Row],[CURSOS]]),"Substituição")</f>
        <v>Substituição</v>
      </c>
      <c r="E355" s="8" t="s">
        <v>734</v>
      </c>
      <c r="F355" s="67" t="s">
        <v>735</v>
      </c>
      <c r="G355" s="67" t="s">
        <v>328</v>
      </c>
      <c r="H355" s="9" t="s">
        <v>1090</v>
      </c>
      <c r="I355" s="17" t="str">
        <f>IFERROR(_xlfn.XLOOKUP(Tabela2[[#This Row],[CHAPA]],TUT.CONTROL!F:F,TUT.CONTROL!I:I),_xlfn.XLOOKUP(Tabela2[[#This Row],[CHAPA]],'REG.CONTROL'!F:F,'REG.CONTROL'!I:I))</f>
        <v>Demitido</v>
      </c>
      <c r="J355" s="17">
        <f>IFERROR(_xlfn.XLOOKUP(Tabela2[[#This Row],[NOME DO TUTOR]],TUT.CONTROL!C:C,TUT.CONTROL!G:G),"Demitido")</f>
        <v>45915</v>
      </c>
      <c r="K355" s="19">
        <v>49999060432</v>
      </c>
      <c r="L355" s="22">
        <f>IFERROR(_xlfn.XLOOKUP(Tabela2[[#This Row],[NOME DO TUTOR]],TUT.CONTROL!C:C,TUT.CONTROL!F:F),"Demitido")</f>
        <v>1158000970</v>
      </c>
      <c r="M355" s="8" t="s">
        <v>1091</v>
      </c>
      <c r="N355" s="11" t="str">
        <f>IFERROR(_xlfn.XLOOKUP(Tabela2[[#This Row],[CHAPA]],TUT.CONTROL!F:F,TUT.CONTROL!H:H),_xlfn.XLOOKUP(Tabela2[[#This Row],[CHAPA]],'REG.CONTROL'!F:F,'REG.CONTROL'!H:H))</f>
        <v>TUTOR DE PRATICA (UC_1749)</v>
      </c>
      <c r="O355" s="68" t="str">
        <f>IFERROR(_xlfn.XLOOKUP(Tabela2[[#This Row],[NOME DO TUTOR]],TUT.CONTROL!C:C,TUT.CONTROL!K:K),"Demitido")</f>
        <v>004:00</v>
      </c>
      <c r="P355" s="17">
        <f>IF(Tabela2[[#This Row],[SITUAÇÃO]]="Demitido",IFERROR(_xlfn.XLOOKUP(Tabela2[[#This Row],[CHAPA]],TUT.CONTROL!F:F,TUT.CONTROL!V:V),_xlfn.XLOOKUP(Tabela2[[#This Row],[CHAPA]],'REG.CONTROL'!F:F,'REG.CONTROL'!V:V)),"-")</f>
        <v>45938</v>
      </c>
      <c r="Q355" s="66" t="s">
        <v>43</v>
      </c>
      <c r="R355" s="66" t="s">
        <v>43</v>
      </c>
      <c r="S355" s="8"/>
    </row>
    <row r="356" spans="1:19" ht="13.5" hidden="1" x14ac:dyDescent="0.3">
      <c r="A35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56" s="8" t="str">
        <f>Tabela2[[#This Row],[CATEGORIA]]&amp;Tabela2[[#This Row],[CURSOS]]&amp;"LAP - "&amp;Tabela2[[#This Row],[POLO]]</f>
        <v>BIO-FAR (Multidisciplinar I)BFRLAP - Ji-Paraná/RO</v>
      </c>
      <c r="C356" s="8" t="str">
        <f>Tabela2[[#This Row],[CATEGORIA]]&amp;Tabela2[[#This Row],[CURSOS]]</f>
        <v>BIO-FAR (Multidisciplinar I)BFR</v>
      </c>
      <c r="D356" s="8" t="str">
        <f>IF(Tabela2[[#This Row],[SITUAÇÃO]]&lt;&gt;"Demitido",CONCATENATE(Tabela2[[#This Row],[POLO]],Tabela2[[#This Row],[CURSOS]]),"Substituição")</f>
        <v>Substituição</v>
      </c>
      <c r="E356" s="8" t="s">
        <v>771</v>
      </c>
      <c r="F356" s="67" t="s">
        <v>772</v>
      </c>
      <c r="G356" s="67" t="s">
        <v>1092</v>
      </c>
      <c r="H356" s="9" t="s">
        <v>1093</v>
      </c>
      <c r="I356" s="17" t="str">
        <f>IFERROR(_xlfn.XLOOKUP(Tabela2[[#This Row],[CHAPA]],TUT.CONTROL!F:F,TUT.CONTROL!I:I),_xlfn.XLOOKUP(Tabela2[[#This Row],[CHAPA]],'REG.CONTROL'!F:F,'REG.CONTROL'!I:I))</f>
        <v>Demitido</v>
      </c>
      <c r="J356" s="17">
        <f>IFERROR(_xlfn.XLOOKUP(Tabela2[[#This Row],[NOME DO TUTOR]],TUT.CONTROL!C:C,TUT.CONTROL!G:G),"Demitido")</f>
        <v>45915</v>
      </c>
      <c r="K356" s="19">
        <v>69981244693</v>
      </c>
      <c r="L356" s="22">
        <f>IFERROR(_xlfn.XLOOKUP(Tabela2[[#This Row],[NOME DO TUTOR]],TUT.CONTROL!C:C,TUT.CONTROL!F:F),"Demitido")</f>
        <v>1158000982</v>
      </c>
      <c r="M356" s="8" t="s">
        <v>1094</v>
      </c>
      <c r="N356" s="11" t="str">
        <f>IFERROR(_xlfn.XLOOKUP(Tabela2[[#This Row],[CHAPA]],TUT.CONTROL!F:F,TUT.CONTROL!H:H),_xlfn.XLOOKUP(Tabela2[[#This Row],[CHAPA]],'REG.CONTROL'!F:F,'REG.CONTROL'!H:H))</f>
        <v>TUTOR DE PRATICA (UC_1749)</v>
      </c>
      <c r="O356" s="68" t="str">
        <f>IFERROR(_xlfn.XLOOKUP(Tabela2[[#This Row],[NOME DO TUTOR]],TUT.CONTROL!C:C,TUT.CONTROL!K:K),"Demitido")</f>
        <v>004:00</v>
      </c>
      <c r="P356" s="17">
        <f>IF(Tabela2[[#This Row],[SITUAÇÃO]]="Demitido",IFERROR(_xlfn.XLOOKUP(Tabela2[[#This Row],[CHAPA]],TUT.CONTROL!F:F,TUT.CONTROL!V:V),_xlfn.XLOOKUP(Tabela2[[#This Row],[CHAPA]],'REG.CONTROL'!F:F,'REG.CONTROL'!V:V)),"-")</f>
        <v>45999</v>
      </c>
      <c r="Q356" s="66" t="s">
        <v>43</v>
      </c>
      <c r="R356" s="8" t="s">
        <v>1033</v>
      </c>
      <c r="S356" s="8">
        <v>4847</v>
      </c>
    </row>
    <row r="357" spans="1:19" ht="13.5" hidden="1" x14ac:dyDescent="0.3">
      <c r="A35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57" s="8" t="str">
        <f>Tabela2[[#This Row],[CATEGORIA]]&amp;Tabela2[[#This Row],[CURSOS]]&amp;"LAP - "&amp;Tabela2[[#This Row],[POLO]]</f>
        <v>BIO-FAR (Multidisciplinar I)BFRLAP - Duque de Caxias/RJ - 25 de Agosto</v>
      </c>
      <c r="C357" s="8" t="str">
        <f>Tabela2[[#This Row],[CATEGORIA]]&amp;Tabela2[[#This Row],[CURSOS]]</f>
        <v>BIO-FAR (Multidisciplinar I)BFR</v>
      </c>
      <c r="D357" s="8" t="str">
        <f>IF(Tabela2[[#This Row],[SITUAÇÃO]]&lt;&gt;"Demitido",CONCATENATE(Tabela2[[#This Row],[POLO]],Tabela2[[#This Row],[CURSOS]]),"Substituição")</f>
        <v>Substituição</v>
      </c>
      <c r="E357" s="8" t="s">
        <v>771</v>
      </c>
      <c r="F357" s="67" t="s">
        <v>772</v>
      </c>
      <c r="G357" s="67" t="s">
        <v>271</v>
      </c>
      <c r="H357" s="9" t="s">
        <v>1095</v>
      </c>
      <c r="I357" s="17" t="str">
        <f>IFERROR(_xlfn.XLOOKUP(Tabela2[[#This Row],[CHAPA]],TUT.CONTROL!F:F,TUT.CONTROL!I:I),_xlfn.XLOOKUP(Tabela2[[#This Row],[CHAPA]],'REG.CONTROL'!F:F,'REG.CONTROL'!I:I))</f>
        <v>Demitido</v>
      </c>
      <c r="J357" s="17">
        <f>IFERROR(_xlfn.XLOOKUP(Tabela2[[#This Row],[NOME DO TUTOR]],TUT.CONTROL!C:C,TUT.CONTROL!G:G),"Demitido")</f>
        <v>45915</v>
      </c>
      <c r="K357" s="19">
        <v>21994093161</v>
      </c>
      <c r="L357" s="22">
        <f>IFERROR(_xlfn.XLOOKUP(Tabela2[[#This Row],[NOME DO TUTOR]],TUT.CONTROL!C:C,TUT.CONTROL!F:F),"Demitido")</f>
        <v>1158000971</v>
      </c>
      <c r="M357" s="8" t="s">
        <v>1096</v>
      </c>
      <c r="N357" s="11" t="str">
        <f>IFERROR(_xlfn.XLOOKUP(Tabela2[[#This Row],[CHAPA]],TUT.CONTROL!F:F,TUT.CONTROL!H:H),_xlfn.XLOOKUP(Tabela2[[#This Row],[CHAPA]],'REG.CONTROL'!F:F,'REG.CONTROL'!H:H))</f>
        <v>TUTOR DE PRATICA (UC_1749)</v>
      </c>
      <c r="O357" s="68" t="str">
        <f>IFERROR(_xlfn.XLOOKUP(Tabela2[[#This Row],[NOME DO TUTOR]],TUT.CONTROL!C:C,TUT.CONTROL!K:K),"Demitido")</f>
        <v>004:00</v>
      </c>
      <c r="P357" s="17">
        <f>IF(Tabela2[[#This Row],[SITUAÇÃO]]="Demitido",IFERROR(_xlfn.XLOOKUP(Tabela2[[#This Row],[CHAPA]],TUT.CONTROL!F:F,TUT.CONTROL!V:V),_xlfn.XLOOKUP(Tabela2[[#This Row],[CHAPA]],'REG.CONTROL'!F:F,'REG.CONTROL'!V:V)),"-")</f>
        <v>46042</v>
      </c>
      <c r="Q357" s="66" t="s">
        <v>43</v>
      </c>
      <c r="R357" s="8" t="s">
        <v>836</v>
      </c>
      <c r="S357" s="8">
        <v>16839</v>
      </c>
    </row>
    <row r="358" spans="1:19" ht="13.5" hidden="1" x14ac:dyDescent="0.3">
      <c r="A35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Porto Alegre/RS - Zona NorteBTOBIO-FISIO-EST-TO (Multidisciplinar III)</v>
      </c>
      <c r="B358" s="8" t="str">
        <f>Tabela2[[#This Row],[CATEGORIA]]&amp;Tabela2[[#This Row],[CURSOS]]&amp;"LAP - "&amp;Tabela2[[#This Row],[POLO]]</f>
        <v>BIO-FISIO-EST-TO (Multidisciplinar III)BTOLAP - Porto Alegre/RS - Zona Norte</v>
      </c>
      <c r="C358" s="8" t="str">
        <f>Tabela2[[#This Row],[CATEGORIA]]&amp;Tabela2[[#This Row],[CURSOS]]</f>
        <v>BIO-FISIO-EST-TO (Multidisciplinar III)BTO</v>
      </c>
      <c r="D358" s="8" t="str">
        <f>IF(Tabela2[[#This Row],[SITUAÇÃO]]&lt;&gt;"Demitido",CONCATENATE(Tabela2[[#This Row],[POLO]],Tabela2[[#This Row],[CURSOS]]),"Substituição")</f>
        <v>Porto Alegre/RS - Zona NorteBTO</v>
      </c>
      <c r="E358" s="8" t="s">
        <v>757</v>
      </c>
      <c r="F358" s="67" t="s">
        <v>987</v>
      </c>
      <c r="G358" s="67" t="s">
        <v>640</v>
      </c>
      <c r="H358" s="9" t="s">
        <v>1097</v>
      </c>
      <c r="I358" s="17" t="str">
        <f>IFERROR(_xlfn.XLOOKUP(Tabela2[[#This Row],[CHAPA]],TUT.CONTROL!F:F,TUT.CONTROL!I:I),_xlfn.XLOOKUP(Tabela2[[#This Row],[CHAPA]],'REG.CONTROL'!F:F,'REG.CONTROL'!I:I))</f>
        <v>Ativo</v>
      </c>
      <c r="J358" s="17">
        <f>IFERROR(_xlfn.XLOOKUP(Tabela2[[#This Row],[NOME DO TUTOR]],TUT.CONTROL!C:C,TUT.CONTROL!G:G),"Demitido")</f>
        <v>45915</v>
      </c>
      <c r="K358" s="19">
        <v>51991342468</v>
      </c>
      <c r="L358" s="22">
        <f>IFERROR(_xlfn.XLOOKUP(Tabela2[[#This Row],[NOME DO TUTOR]],TUT.CONTROL!C:C,TUT.CONTROL!F:F),"Demitido")</f>
        <v>1158000980</v>
      </c>
      <c r="M358" s="8" t="s">
        <v>1098</v>
      </c>
      <c r="N358" s="11" t="str">
        <f>IFERROR(_xlfn.XLOOKUP(Tabela2[[#This Row],[CHAPA]],TUT.CONTROL!F:F,TUT.CONTROL!H:H),_xlfn.XLOOKUP(Tabela2[[#This Row],[CHAPA]],'REG.CONTROL'!F:F,'REG.CONTROL'!H:H))</f>
        <v>TUTOR DE PRATICA (UC_1749)</v>
      </c>
      <c r="O358" s="68" t="str">
        <f>IFERROR(_xlfn.XLOOKUP(Tabela2[[#This Row],[NOME DO TUTOR]],TUT.CONTROL!C:C,TUT.CONTROL!K:K),"Demitido")</f>
        <v>004:00</v>
      </c>
      <c r="P35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58" s="66"/>
      <c r="R358" s="8" t="s">
        <v>786</v>
      </c>
      <c r="S358" s="8">
        <v>20.626000000000001</v>
      </c>
    </row>
    <row r="359" spans="1:19" ht="13.5" hidden="1" x14ac:dyDescent="0.3">
      <c r="A35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Manaus/AM - Cidade NovaAGMQUÍMICA E FÍSICA</v>
      </c>
      <c r="B359" s="8" t="str">
        <f>Tabela2[[#This Row],[CATEGORIA]]&amp;Tabela2[[#This Row],[CURSOS]]&amp;"LAP - "&amp;Tabela2[[#This Row],[POLO]]</f>
        <v>QUÍMICA E FÍSICAAGMLAP - Manaus/AM - Cidade Nova</v>
      </c>
      <c r="C359" s="8" t="str">
        <f>Tabela2[[#This Row],[CATEGORIA]]&amp;Tabela2[[#This Row],[CURSOS]]</f>
        <v>QUÍMICA E FÍSICAAGM</v>
      </c>
      <c r="D359" s="8" t="str">
        <f>IF(Tabela2[[#This Row],[SITUAÇÃO]]&lt;&gt;"Demitido",CONCATENATE(Tabela2[[#This Row],[POLO]],Tabela2[[#This Row],[CURSOS]]),"Substituição")</f>
        <v>Manaus/AM - Cidade NovaAGM</v>
      </c>
      <c r="E359" s="8" t="s">
        <v>734</v>
      </c>
      <c r="F359" s="67" t="s">
        <v>735</v>
      </c>
      <c r="G359" s="67" t="s">
        <v>459</v>
      </c>
      <c r="H359" s="9" t="s">
        <v>1099</v>
      </c>
      <c r="I359" s="17" t="str">
        <f>IFERROR(_xlfn.XLOOKUP(Tabela2[[#This Row],[CHAPA]],TUT.CONTROL!F:F,TUT.CONTROL!I:I),_xlfn.XLOOKUP(Tabela2[[#This Row],[CHAPA]],'REG.CONTROL'!F:F,'REG.CONTROL'!I:I))</f>
        <v>Ativo</v>
      </c>
      <c r="J359" s="17">
        <f>IFERROR(_xlfn.XLOOKUP(Tabela2[[#This Row],[NOME DO TUTOR]],TUT.CONTROL!C:C,TUT.CONTROL!G:G),"Demitido")</f>
        <v>45915</v>
      </c>
      <c r="K359" s="19">
        <v>92996034005</v>
      </c>
      <c r="L359" s="22">
        <f>IFERROR(_xlfn.XLOOKUP(Tabela2[[#This Row],[NOME DO TUTOR]],TUT.CONTROL!C:C,TUT.CONTROL!F:F),"Demitido")</f>
        <v>1158000985</v>
      </c>
      <c r="M359" s="8" t="s">
        <v>1100</v>
      </c>
      <c r="N359" s="11" t="str">
        <f>IFERROR(_xlfn.XLOOKUP(Tabela2[[#This Row],[CHAPA]],TUT.CONTROL!F:F,TUT.CONTROL!H:H),_xlfn.XLOOKUP(Tabela2[[#This Row],[CHAPA]],'REG.CONTROL'!F:F,'REG.CONTROL'!H:H))</f>
        <v>TUTOR DE PRATICA (UC_1749)</v>
      </c>
      <c r="O359" s="68" t="str">
        <f>IFERROR(_xlfn.XLOOKUP(Tabela2[[#This Row],[NOME DO TUTOR]],TUT.CONTROL!C:C,TUT.CONTROL!K:K),"Demitido")</f>
        <v>004:00</v>
      </c>
      <c r="P35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59" s="66" t="s">
        <v>30</v>
      </c>
      <c r="R359" s="8"/>
      <c r="S359" s="8"/>
    </row>
    <row r="360" spans="1:19" ht="13.5" hidden="1" x14ac:dyDescent="0.3">
      <c r="A36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Itajaí/SC - São VicenteBTOBIO-FISIO-EST-TO (Multidisciplinar III)</v>
      </c>
      <c r="B360" s="8" t="str">
        <f>Tabela2[[#This Row],[CATEGORIA]]&amp;Tabela2[[#This Row],[CURSOS]]&amp;"LAP - "&amp;Tabela2[[#This Row],[POLO]]</f>
        <v>BIO-FISIO-EST-TO (Multidisciplinar III)BTOLAP - Itajaí/SC - São Vicente</v>
      </c>
      <c r="C360" s="8" t="str">
        <f>Tabela2[[#This Row],[CATEGORIA]]&amp;Tabela2[[#This Row],[CURSOS]]</f>
        <v>BIO-FISIO-EST-TO (Multidisciplinar III)BTO</v>
      </c>
      <c r="D360" s="8" t="str">
        <f>IF(Tabela2[[#This Row],[SITUAÇÃO]]&lt;&gt;"Demitido",CONCATENATE(Tabela2[[#This Row],[POLO]],Tabela2[[#This Row],[CURSOS]]),"Substituição")</f>
        <v>Itajaí/SC - São VicenteBTO</v>
      </c>
      <c r="E360" s="8" t="s">
        <v>757</v>
      </c>
      <c r="F360" s="67" t="s">
        <v>987</v>
      </c>
      <c r="G360" s="67" t="s">
        <v>366</v>
      </c>
      <c r="H360" s="9" t="s">
        <v>1101</v>
      </c>
      <c r="I360" s="17" t="str">
        <f>IFERROR(_xlfn.XLOOKUP(Tabela2[[#This Row],[CHAPA]],TUT.CONTROL!F:F,TUT.CONTROL!I:I),_xlfn.XLOOKUP(Tabela2[[#This Row],[CHAPA]],'REG.CONTROL'!F:F,'REG.CONTROL'!I:I))</f>
        <v>Ativo</v>
      </c>
      <c r="J360" s="17">
        <f>IFERROR(_xlfn.XLOOKUP(Tabela2[[#This Row],[NOME DO TUTOR]],TUT.CONTROL!C:C,TUT.CONTROL!G:G),"Demitido")</f>
        <v>45915</v>
      </c>
      <c r="K360" s="19">
        <v>91982086563</v>
      </c>
      <c r="L360" s="22">
        <f>IFERROR(_xlfn.XLOOKUP(Tabela2[[#This Row],[NOME DO TUTOR]],TUT.CONTROL!C:C,TUT.CONTROL!F:F),"Demitido")</f>
        <v>1158000976</v>
      </c>
      <c r="M360" s="8" t="s">
        <v>1102</v>
      </c>
      <c r="N360" s="11" t="str">
        <f>IFERROR(_xlfn.XLOOKUP(Tabela2[[#This Row],[CHAPA]],TUT.CONTROL!F:F,TUT.CONTROL!H:H),_xlfn.XLOOKUP(Tabela2[[#This Row],[CHAPA]],'REG.CONTROL'!F:F,'REG.CONTROL'!H:H))</f>
        <v>TUTOR DE PRATICA (UC_1749)</v>
      </c>
      <c r="O360" s="68" t="str">
        <f>IFERROR(_xlfn.XLOOKUP(Tabela2[[#This Row],[NOME DO TUTOR]],TUT.CONTROL!C:C,TUT.CONTROL!K:K),"Demitido")</f>
        <v>004:00</v>
      </c>
      <c r="P36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60" s="66"/>
      <c r="R360" s="8"/>
      <c r="S360" s="8"/>
    </row>
    <row r="361" spans="1:19" ht="13.5" hidden="1" x14ac:dyDescent="0.3">
      <c r="A36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Campinas/SP - AboliçãoBFRBIO-FAR (Multidisciplinar I)</v>
      </c>
      <c r="B361" s="8" t="str">
        <f>Tabela2[[#This Row],[CATEGORIA]]&amp;Tabela2[[#This Row],[CURSOS]]&amp;"LAP - "&amp;Tabela2[[#This Row],[POLO]]</f>
        <v>BIO-FAR (Multidisciplinar I)BFRLAP - Campinas/SP - Abolição</v>
      </c>
      <c r="C361" s="8" t="str">
        <f>Tabela2[[#This Row],[CATEGORIA]]&amp;Tabela2[[#This Row],[CURSOS]]</f>
        <v>BIO-FAR (Multidisciplinar I)BFR</v>
      </c>
      <c r="D361" s="8" t="str">
        <f>IF(Tabela2[[#This Row],[SITUAÇÃO]]&lt;&gt;"Demitido",CONCATENATE(Tabela2[[#This Row],[POLO]],Tabela2[[#This Row],[CURSOS]]),"Substituição")</f>
        <v>Campinas/SP - AboliçãoBFR</v>
      </c>
      <c r="E361" s="8" t="s">
        <v>771</v>
      </c>
      <c r="F361" s="67" t="s">
        <v>772</v>
      </c>
      <c r="G361" s="67" t="s">
        <v>172</v>
      </c>
      <c r="H361" s="9" t="s">
        <v>1103</v>
      </c>
      <c r="I361" s="17" t="str">
        <f>IFERROR(_xlfn.XLOOKUP(Tabela2[[#This Row],[CHAPA]],TUT.CONTROL!F:F,TUT.CONTROL!I:I),_xlfn.XLOOKUP(Tabela2[[#This Row],[CHAPA]],'REG.CONTROL'!F:F,'REG.CONTROL'!I:I))</f>
        <v>Ativo</v>
      </c>
      <c r="J361" s="17">
        <f>IFERROR(_xlfn.XLOOKUP(Tabela2[[#This Row],[NOME DO TUTOR]],TUT.CONTROL!C:C,TUT.CONTROL!G:G),"Demitido")</f>
        <v>45915</v>
      </c>
      <c r="K361" s="19">
        <v>21998577159</v>
      </c>
      <c r="L361" s="22">
        <f>IFERROR(_xlfn.XLOOKUP(Tabela2[[#This Row],[NOME DO TUTOR]],TUT.CONTROL!C:C,TUT.CONTROL!F:F),"Demitido")</f>
        <v>1158000973</v>
      </c>
      <c r="M361" s="8" t="s">
        <v>1104</v>
      </c>
      <c r="N361" s="11" t="str">
        <f>IFERROR(_xlfn.XLOOKUP(Tabela2[[#This Row],[CHAPA]],TUT.CONTROL!F:F,TUT.CONTROL!H:H),_xlfn.XLOOKUP(Tabela2[[#This Row],[CHAPA]],'REG.CONTROL'!F:F,'REG.CONTROL'!H:H))</f>
        <v>TUTOR DE PRATICA (UC_1749)</v>
      </c>
      <c r="O361" s="68" t="str">
        <f>IFERROR(_xlfn.XLOOKUP(Tabela2[[#This Row],[NOME DO TUTOR]],TUT.CONTROL!C:C,TUT.CONTROL!K:K),"Demitido")</f>
        <v>004:00</v>
      </c>
      <c r="P36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61" s="66"/>
      <c r="R361" s="8"/>
      <c r="S361" s="8"/>
    </row>
    <row r="362" spans="1:19" ht="13.5" hidden="1" x14ac:dyDescent="0.3">
      <c r="A36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62" s="8" t="str">
        <f>Tabela2[[#This Row],[CATEGORIA]]&amp;Tabela2[[#This Row],[CURSOS]]&amp;"LAP - "&amp;Tabela2[[#This Row],[POLO]]</f>
        <v>ENF-INS (Multidisciplinar II)EMF-ISNLAP - São Paulo/SP - Saúde</v>
      </c>
      <c r="C362" s="8" t="str">
        <f>Tabela2[[#This Row],[CATEGORIA]]&amp;Tabela2[[#This Row],[CURSOS]]</f>
        <v>ENF-INS (Multidisciplinar II)EMF-ISN</v>
      </c>
      <c r="D362" s="8" t="str">
        <f>IF(Tabela2[[#This Row],[SITUAÇÃO]]&lt;&gt;"Demitido",CONCATENATE(Tabela2[[#This Row],[POLO]],Tabela2[[#This Row],[CURSOS]]),"Substituição")</f>
        <v>Substituição</v>
      </c>
      <c r="E362" s="8" t="s">
        <v>21</v>
      </c>
      <c r="F362" s="67" t="s">
        <v>22</v>
      </c>
      <c r="G362" s="67" t="s">
        <v>1105</v>
      </c>
      <c r="H362" s="9" t="s">
        <v>1106</v>
      </c>
      <c r="I362" s="17" t="str">
        <f>IFERROR(_xlfn.XLOOKUP(Tabela2[[#This Row],[CHAPA]],TUT.CONTROL!F:F,TUT.CONTROL!I:I),_xlfn.XLOOKUP(Tabela2[[#This Row],[CHAPA]],'REG.CONTROL'!F:F,'REG.CONTROL'!I:I))</f>
        <v>Demitido</v>
      </c>
      <c r="J362" s="17">
        <f>IFERROR(_xlfn.XLOOKUP(Tabela2[[#This Row],[NOME DO TUTOR]],TUT.CONTROL!C:C,TUT.CONTROL!G:G),"Demitido")</f>
        <v>45966</v>
      </c>
      <c r="K362" s="19">
        <v>11958876119</v>
      </c>
      <c r="L362" s="22">
        <f>IFERROR(_xlfn.XLOOKUP(Tabela2[[#This Row],[NOME DO TUTOR]],TUT.CONTROL!C:C,TUT.CONTROL!F:F),"Demitido")</f>
        <v>1158001056</v>
      </c>
      <c r="M362" s="8" t="s">
        <v>1107</v>
      </c>
      <c r="N362" s="11" t="str">
        <f>IFERROR(_xlfn.XLOOKUP(Tabela2[[#This Row],[CHAPA]],TUT.CONTROL!F:F,TUT.CONTROL!H:H),_xlfn.XLOOKUP(Tabela2[[#This Row],[CHAPA]],'REG.CONTROL'!F:F,'REG.CONTROL'!H:H))</f>
        <v>TUTOR DE PRATICA (UC_1749)</v>
      </c>
      <c r="O362" s="68" t="str">
        <f>IFERROR(_xlfn.XLOOKUP(Tabela2[[#This Row],[NOME DO TUTOR]],TUT.CONTROL!C:C,TUT.CONTROL!K:K),"Demitido")</f>
        <v>004:00</v>
      </c>
      <c r="P362" s="17">
        <f>IF(Tabela2[[#This Row],[SITUAÇÃO]]="Demitido",IFERROR(_xlfn.XLOOKUP(Tabela2[[#This Row],[CHAPA]],TUT.CONTROL!F:F,TUT.CONTROL!V:V),_xlfn.XLOOKUP(Tabela2[[#This Row],[CHAPA]],'REG.CONTROL'!F:F,'REG.CONTROL'!V:V)),"-")</f>
        <v>46087</v>
      </c>
      <c r="Q362" s="66" t="s">
        <v>43</v>
      </c>
      <c r="R362" s="8" t="s">
        <v>75</v>
      </c>
      <c r="S362" s="8">
        <v>836026</v>
      </c>
    </row>
    <row r="363" spans="1:19" ht="13.5" hidden="1" x14ac:dyDescent="0.3">
      <c r="A36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Aracaju/SE - Ponto NovoBFRBIO-FAR (Multidisciplinar I)</v>
      </c>
      <c r="B363" s="8" t="str">
        <f>Tabela2[[#This Row],[CATEGORIA]]&amp;Tabela2[[#This Row],[CURSOS]]&amp;"LAP - "&amp;Tabela2[[#This Row],[POLO]]</f>
        <v>BIO-FAR (Multidisciplinar I)BFRLAP - Aracaju/SE - Ponto Novo</v>
      </c>
      <c r="C363" s="8" t="str">
        <f>Tabela2[[#This Row],[CATEGORIA]]&amp;Tabela2[[#This Row],[CURSOS]]</f>
        <v>BIO-FAR (Multidisciplinar I)BFR</v>
      </c>
      <c r="D363" s="8" t="str">
        <f>IF(Tabela2[[#This Row],[SITUAÇÃO]]&lt;&gt;"Demitido",CONCATENATE(Tabela2[[#This Row],[POLO]],Tabela2[[#This Row],[CURSOS]]),"Substituição")</f>
        <v>Aracaju/SE - Ponto NovoBFR</v>
      </c>
      <c r="E363" s="8" t="s">
        <v>771</v>
      </c>
      <c r="F363" s="67" t="s">
        <v>772</v>
      </c>
      <c r="G363" s="67" t="s">
        <v>54</v>
      </c>
      <c r="H363" s="9" t="s">
        <v>1108</v>
      </c>
      <c r="I363" s="17" t="str">
        <f>IFERROR(_xlfn.XLOOKUP(Tabela2[[#This Row],[CHAPA]],TUT.CONTROL!F:F,TUT.CONTROL!I:I),_xlfn.XLOOKUP(Tabela2[[#This Row],[CHAPA]],'REG.CONTROL'!F:F,'REG.CONTROL'!I:I))</f>
        <v>Ativo</v>
      </c>
      <c r="J363" s="17">
        <f>IFERROR(_xlfn.XLOOKUP(Tabela2[[#This Row],[NOME DO TUTOR]],TUT.CONTROL!C:C,TUT.CONTROL!G:G),"Demitido")</f>
        <v>45915</v>
      </c>
      <c r="K363" s="19">
        <v>79996073129</v>
      </c>
      <c r="L363" s="22">
        <f>IFERROR(_xlfn.XLOOKUP(Tabela2[[#This Row],[NOME DO TUTOR]],TUT.CONTROL!C:C,TUT.CONTROL!F:F),"Demitido")</f>
        <v>1158000981</v>
      </c>
      <c r="M363" s="8" t="s">
        <v>1109</v>
      </c>
      <c r="N363" s="11" t="str">
        <f>IFERROR(_xlfn.XLOOKUP(Tabela2[[#This Row],[CHAPA]],TUT.CONTROL!F:F,TUT.CONTROL!H:H),_xlfn.XLOOKUP(Tabela2[[#This Row],[CHAPA]],'REG.CONTROL'!F:F,'REG.CONTROL'!H:H))</f>
        <v>TUTOR DE PRATICA (UC_1749)</v>
      </c>
      <c r="O363" s="68" t="str">
        <f>IFERROR(_xlfn.XLOOKUP(Tabela2[[#This Row],[NOME DO TUTOR]],TUT.CONTROL!C:C,TUT.CONTROL!K:K),"Demitido")</f>
        <v>004:00</v>
      </c>
      <c r="P36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63" s="66"/>
      <c r="R363" s="8"/>
      <c r="S363" s="8"/>
    </row>
    <row r="364" spans="1:19" ht="13.5" hidden="1" customHeight="1" x14ac:dyDescent="0.3">
      <c r="A36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Porto Alegre/RS - Zona NorteCOS-TIPBIO-FISIO-EST-TO (Multidisciplinar III)</v>
      </c>
      <c r="B364" s="8" t="str">
        <f>Tabela2[[#This Row],[CATEGORIA]]&amp;Tabela2[[#This Row],[CURSOS]]&amp;"LAP - "&amp;Tabela2[[#This Row],[POLO]]</f>
        <v>BIO-FISIO-EST-TO (Multidisciplinar III)COS-TIPLAP - Porto Alegre/RS - Zona Norte</v>
      </c>
      <c r="C364" s="8" t="str">
        <f>Tabela2[[#This Row],[CATEGORIA]]&amp;Tabela2[[#This Row],[CURSOS]]</f>
        <v>BIO-FISIO-EST-TO (Multidisciplinar III)COS-TIP</v>
      </c>
      <c r="D364" s="8" t="str">
        <f>IF(Tabela2[[#This Row],[SITUAÇÃO]]&lt;&gt;"Demitido",CONCATENATE(Tabela2[[#This Row],[POLO]],Tabela2[[#This Row],[CURSOS]]),"Substituição")</f>
        <v>Porto Alegre/RS - Zona NorteCOS-TIP</v>
      </c>
      <c r="E364" s="8" t="s">
        <v>757</v>
      </c>
      <c r="F364" s="67" t="s">
        <v>900</v>
      </c>
      <c r="G364" s="67" t="s">
        <v>640</v>
      </c>
      <c r="H364" s="9" t="s">
        <v>1110</v>
      </c>
      <c r="I364" s="17" t="str">
        <f>IFERROR(_xlfn.XLOOKUP(Tabela2[[#This Row],[CHAPA]],TUT.CONTROL!F:F,TUT.CONTROL!I:I),_xlfn.XLOOKUP(Tabela2[[#This Row],[CHAPA]],'REG.CONTROL'!F:F,'REG.CONTROL'!I:I))</f>
        <v>Ativo</v>
      </c>
      <c r="J364" s="17">
        <f>IFERROR(_xlfn.XLOOKUP(Tabela2[[#This Row],[NOME DO TUTOR]],TUT.CONTROL!C:C,TUT.CONTROL!G:G),"Demitido")</f>
        <v>45915</v>
      </c>
      <c r="K364" s="19">
        <v>51996502984</v>
      </c>
      <c r="L364" s="22">
        <f>IFERROR(_xlfn.XLOOKUP(Tabela2[[#This Row],[NOME DO TUTOR]],TUT.CONTROL!C:C,TUT.CONTROL!F:F),"Demitido")</f>
        <v>1158000978</v>
      </c>
      <c r="M364" s="8" t="s">
        <v>1111</v>
      </c>
      <c r="N364" s="11" t="str">
        <f>IFERROR(_xlfn.XLOOKUP(Tabela2[[#This Row],[CHAPA]],TUT.CONTROL!F:F,TUT.CONTROL!H:H),_xlfn.XLOOKUP(Tabela2[[#This Row],[CHAPA]],'REG.CONTROL'!F:F,'REG.CONTROL'!H:H))</f>
        <v>TUTOR DE PRATICA (UC_1749)</v>
      </c>
      <c r="O364" s="68" t="str">
        <f>IFERROR(_xlfn.XLOOKUP(Tabela2[[#This Row],[NOME DO TUTOR]],TUT.CONTROL!C:C,TUT.CONTROL!K:K),"Demitido")</f>
        <v>004:00</v>
      </c>
      <c r="P36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64" s="66"/>
      <c r="R364" s="8"/>
      <c r="S364" s="8"/>
    </row>
    <row r="365" spans="1:19" ht="13.5" hidden="1" x14ac:dyDescent="0.3">
      <c r="A36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São Paulo/SP - TatuapéEMF-ISNENF-INS (Multidisciplinar II)</v>
      </c>
      <c r="B365" s="8" t="str">
        <f>Tabela2[[#This Row],[CATEGORIA]]&amp;Tabela2[[#This Row],[CURSOS]]&amp;"LAP - "&amp;Tabela2[[#This Row],[POLO]]</f>
        <v>ENF-INS (Multidisciplinar II)EMF-ISNLAP - São Paulo/SP - Tatuapé</v>
      </c>
      <c r="C365" s="8" t="str">
        <f>Tabela2[[#This Row],[CATEGORIA]]&amp;Tabela2[[#This Row],[CURSOS]]</f>
        <v>ENF-INS (Multidisciplinar II)EMF-ISN</v>
      </c>
      <c r="D365" s="8" t="str">
        <f>IF(Tabela2[[#This Row],[SITUAÇÃO]]&lt;&gt;"Demitido",CONCATENATE(Tabela2[[#This Row],[POLO]],Tabela2[[#This Row],[CURSOS]]),"Substituição")</f>
        <v>São Paulo/SP - TatuapéEMF-ISN</v>
      </c>
      <c r="E365" s="8" t="s">
        <v>21</v>
      </c>
      <c r="F365" s="67" t="s">
        <v>22</v>
      </c>
      <c r="G365" s="67" t="s">
        <v>431</v>
      </c>
      <c r="H365" s="9" t="s">
        <v>1112</v>
      </c>
      <c r="I365" s="17" t="str">
        <f>IFERROR(_xlfn.XLOOKUP(Tabela2[[#This Row],[CHAPA]],TUT.CONTROL!F:F,TUT.CONTROL!I:I),_xlfn.XLOOKUP(Tabela2[[#This Row],[CHAPA]],'REG.CONTROL'!F:F,'REG.CONTROL'!I:I))</f>
        <v>Ativo</v>
      </c>
      <c r="J365" s="17">
        <f>IFERROR(_xlfn.XLOOKUP(Tabela2[[#This Row],[NOME DO TUTOR]],'REG.CONTROL'!C:C,'REG.CONTROL'!G:G),"Demitido")</f>
        <v>44984</v>
      </c>
      <c r="K365" s="19">
        <v>11996655603</v>
      </c>
      <c r="L365" s="22">
        <f>IFERROR(_xlfn.XLOOKUP(Tabela2[[#This Row],[NOME DO TUTOR]],'REG.CONTROL'!C:C,'REG.CONTROL'!F:F),"Demitido")</f>
        <v>1004011314</v>
      </c>
      <c r="M365" s="8" t="s">
        <v>1113</v>
      </c>
      <c r="N365" s="11" t="str">
        <f>IFERROR(_xlfn.XLOOKUP(Tabela2[[#This Row],[CHAPA]],TUT.CONTROL!F:F,TUT.CONTROL!H:H),_xlfn.XLOOKUP(Tabela2[[#This Row],[CHAPA]],'REG.CONTROL'!F:F,'REG.CONTROL'!H:H))</f>
        <v>PROFESSOR REGENTE DE POLO (UC_1744)</v>
      </c>
      <c r="O365" s="68" t="str">
        <f>IFERROR(_xlfn.XLOOKUP(Tabela2[[#This Row],[NOME DO TUTOR]],'REGENTE CH'!A:A,'REGENTE CH'!C:C),"Atualizar")</f>
        <v>004:00</v>
      </c>
      <c r="P36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65" s="66" t="s">
        <v>30</v>
      </c>
      <c r="R365" s="8" t="s">
        <v>75</v>
      </c>
      <c r="S365" s="8">
        <v>211312</v>
      </c>
    </row>
    <row r="366" spans="1:19" ht="13.5" hidden="1" x14ac:dyDescent="0.3">
      <c r="A36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66" s="8" t="str">
        <f>Tabela2[[#This Row],[CATEGORIA]]&amp;Tabela2[[#This Row],[CURSOS]]&amp;"LAP - "&amp;Tabela2[[#This Row],[POLO]]</f>
        <v>BIO-FAR (Multidisciplinar I)BFRLAP - Recife/PE - Madalena</v>
      </c>
      <c r="C366" s="8" t="str">
        <f>Tabela2[[#This Row],[CATEGORIA]]&amp;Tabela2[[#This Row],[CURSOS]]</f>
        <v>BIO-FAR (Multidisciplinar I)BFR</v>
      </c>
      <c r="D366" s="8" t="str">
        <f>IF(Tabela2[[#This Row],[SITUAÇÃO]]&lt;&gt;"Demitido",CONCATENATE(Tabela2[[#This Row],[POLO]],Tabela2[[#This Row],[CURSOS]]),"Substituição")</f>
        <v>Substituição</v>
      </c>
      <c r="E366" s="8" t="s">
        <v>771</v>
      </c>
      <c r="F366" s="67" t="s">
        <v>772</v>
      </c>
      <c r="G366" s="67" t="s">
        <v>1114</v>
      </c>
      <c r="H366" s="9" t="s">
        <v>1115</v>
      </c>
      <c r="I366" s="17" t="str">
        <f>IFERROR(_xlfn.XLOOKUP(Tabela2[[#This Row],[CHAPA]],TUT.CONTROL!F:F,TUT.CONTROL!I:I),_xlfn.XLOOKUP(Tabela2[[#This Row],[CHAPA]],'REG.CONTROL'!F:F,'REG.CONTROL'!I:I))</f>
        <v>Demitido</v>
      </c>
      <c r="J366" s="17">
        <f>IFERROR(_xlfn.XLOOKUP(Tabela2[[#This Row],[NOME DO TUTOR]],TUT.CONTROL!C:C,TUT.CONTROL!G:G),"Demitido")</f>
        <v>45917</v>
      </c>
      <c r="K366" s="19">
        <v>81995575856</v>
      </c>
      <c r="L366" s="22">
        <f>IFERROR(_xlfn.XLOOKUP(Tabela2[[#This Row],[NOME DO TUTOR]],TUT.CONTROL!C:C,TUT.CONTROL!F:F),"Demitido")</f>
        <v>1158000993</v>
      </c>
      <c r="M366" s="8" t="s">
        <v>1116</v>
      </c>
      <c r="N366" s="11" t="str">
        <f>IFERROR(_xlfn.XLOOKUP(Tabela2[[#This Row],[CHAPA]],TUT.CONTROL!F:F,TUT.CONTROL!H:H),_xlfn.XLOOKUP(Tabela2[[#This Row],[CHAPA]],'REG.CONTROL'!F:F,'REG.CONTROL'!H:H))</f>
        <v>TUTOR DE PRATICA (UC_1749)</v>
      </c>
      <c r="O366" s="68" t="str">
        <f>IFERROR(_xlfn.XLOOKUP(Tabela2[[#This Row],[NOME DO TUTOR]],TUT.CONTROL!C:C,TUT.CONTROL!K:K),"Demitido")</f>
        <v>004:00</v>
      </c>
      <c r="P366" s="17">
        <f>IF(Tabela2[[#This Row],[SITUAÇÃO]]="Demitido",IFERROR(_xlfn.XLOOKUP(Tabela2[[#This Row],[CHAPA]],TUT.CONTROL!F:F,TUT.CONTROL!V:V),_xlfn.XLOOKUP(Tabela2[[#This Row],[CHAPA]],'REG.CONTROL'!F:F,'REG.CONTROL'!V:V)),"-")</f>
        <v>46121</v>
      </c>
      <c r="Q366" s="66"/>
      <c r="R366" s="8"/>
      <c r="S366" s="8"/>
    </row>
    <row r="367" spans="1:19" ht="13.5" hidden="1" x14ac:dyDescent="0.3">
      <c r="A36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67" s="8" t="str">
        <f>Tabela2[[#This Row],[CATEGORIA]]&amp;Tabela2[[#This Row],[CURSOS]]&amp;"LAP - "&amp;Tabela2[[#This Row],[POLO]]</f>
        <v>BIO-FAR (Multidisciplinar I)BFRLAP - Cariacica/ES - Shopping Moxuara</v>
      </c>
      <c r="C367" s="8" t="str">
        <f>Tabela2[[#This Row],[CATEGORIA]]&amp;Tabela2[[#This Row],[CURSOS]]</f>
        <v>BIO-FAR (Multidisciplinar I)BFR</v>
      </c>
      <c r="D367" s="8" t="str">
        <f>IF(Tabela2[[#This Row],[SITUAÇÃO]]&lt;&gt;"Demitido",CONCATENATE(Tabela2[[#This Row],[POLO]],Tabela2[[#This Row],[CURSOS]]),"Substituição")</f>
        <v>Substituição</v>
      </c>
      <c r="E367" s="8" t="s">
        <v>771</v>
      </c>
      <c r="F367" s="67" t="s">
        <v>772</v>
      </c>
      <c r="G367" s="67" t="s">
        <v>922</v>
      </c>
      <c r="H367" s="9" t="s">
        <v>1117</v>
      </c>
      <c r="I367" s="17" t="str">
        <f>IFERROR(_xlfn.XLOOKUP(Tabela2[[#This Row],[CHAPA]],TUT.CONTROL!F:F,TUT.CONTROL!I:I),_xlfn.XLOOKUP(Tabela2[[#This Row],[CHAPA]],'REG.CONTROL'!F:F,'REG.CONTROL'!I:I))</f>
        <v>Demitido</v>
      </c>
      <c r="J367" s="17">
        <f>IFERROR(_xlfn.XLOOKUP(Tabela2[[#This Row],[NOME DO TUTOR]],TUT.CONTROL!C:C,TUT.CONTROL!G:G),"Demitido")</f>
        <v>45931</v>
      </c>
      <c r="K367" s="19">
        <v>27998303547</v>
      </c>
      <c r="L367" s="22">
        <f>IFERROR(_xlfn.XLOOKUP(Tabela2[[#This Row],[NOME DO TUTOR]],TUT.CONTROL!C:C,TUT.CONTROL!F:F),"Demitido")</f>
        <v>1158000999</v>
      </c>
      <c r="M367" s="8" t="s">
        <v>1118</v>
      </c>
      <c r="N367" s="11" t="str">
        <f>IFERROR(_xlfn.XLOOKUP(Tabela2[[#This Row],[CHAPA]],TUT.CONTROL!F:F,TUT.CONTROL!H:H),_xlfn.XLOOKUP(Tabela2[[#This Row],[CHAPA]],'REG.CONTROL'!F:F,'REG.CONTROL'!H:H))</f>
        <v>TUTOR DE PRATICA (UC_1749)</v>
      </c>
      <c r="O367" s="68" t="str">
        <f>IFERROR(_xlfn.XLOOKUP(Tabela2[[#This Row],[NOME DO TUTOR]],TUT.CONTROL!C:C,TUT.CONTROL!K:K),"Demitido")</f>
        <v>004:00</v>
      </c>
      <c r="P367" s="17">
        <f>IF(Tabela2[[#This Row],[SITUAÇÃO]]="Demitido",IFERROR(_xlfn.XLOOKUP(Tabela2[[#This Row],[CHAPA]],TUT.CONTROL!F:F,TUT.CONTROL!V:V),_xlfn.XLOOKUP(Tabela2[[#This Row],[CHAPA]],'REG.CONTROL'!F:F,'REG.CONTROL'!V:V)),"-")</f>
        <v>45972</v>
      </c>
      <c r="Q367" s="66" t="s">
        <v>43</v>
      </c>
      <c r="R367" s="8"/>
      <c r="S367" s="8"/>
    </row>
    <row r="368" spans="1:19" ht="13.5" hidden="1" customHeight="1" x14ac:dyDescent="0.3">
      <c r="A36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68" s="8" t="str">
        <f>Tabela2[[#This Row],[CATEGORIA]]&amp;Tabela2[[#This Row],[CURSOS]]&amp;"LAP - "&amp;Tabela2[[#This Row],[POLO]]</f>
        <v>BIO-FAR (Multidisciplinar I)BFRLAP - Criciúma/SC</v>
      </c>
      <c r="C368" s="8" t="str">
        <f>Tabela2[[#This Row],[CATEGORIA]]&amp;Tabela2[[#This Row],[CURSOS]]</f>
        <v>BIO-FAR (Multidisciplinar I)BFR</v>
      </c>
      <c r="D368" s="8" t="str">
        <f>IF(Tabela2[[#This Row],[SITUAÇÃO]]&lt;&gt;"Demitido",CONCATENATE(Tabela2[[#This Row],[POLO]],Tabela2[[#This Row],[CURSOS]]),"Substituição")</f>
        <v>Substituição</v>
      </c>
      <c r="E368" s="8" t="s">
        <v>771</v>
      </c>
      <c r="F368" s="67" t="s">
        <v>772</v>
      </c>
      <c r="G368" s="67" t="s">
        <v>795</v>
      </c>
      <c r="H368" s="9" t="s">
        <v>1119</v>
      </c>
      <c r="I368" s="17" t="str">
        <f>IFERROR(_xlfn.XLOOKUP(Tabela2[[#This Row],[CHAPA]],TUT.CONTROL!F:F,TUT.CONTROL!I:I),_xlfn.XLOOKUP(Tabela2[[#This Row],[CHAPA]],'REG.CONTROL'!F:F,'REG.CONTROL'!I:I))</f>
        <v>Demitido</v>
      </c>
      <c r="J368" s="17">
        <f>IFERROR(_xlfn.XLOOKUP(Tabela2[[#This Row],[NOME DO TUTOR]],TUT.CONTROL!C:C,TUT.CONTROL!G:G),"Demitido")</f>
        <v>45931</v>
      </c>
      <c r="K368" s="19">
        <v>48996065046</v>
      </c>
      <c r="L368" s="22">
        <f>IFERROR(_xlfn.XLOOKUP(Tabela2[[#This Row],[NOME DO TUTOR]],TUT.CONTROL!C:C,TUT.CONTROL!F:F),"Demitido")</f>
        <v>1158001011</v>
      </c>
      <c r="M368" s="8" t="s">
        <v>1120</v>
      </c>
      <c r="N368" s="11" t="str">
        <f>IFERROR(_xlfn.XLOOKUP(Tabela2[[#This Row],[CHAPA]],TUT.CONTROL!F:F,TUT.CONTROL!H:H),_xlfn.XLOOKUP(Tabela2[[#This Row],[CHAPA]],'REG.CONTROL'!F:F,'REG.CONTROL'!H:H))</f>
        <v>TUTOR DE PRATICA (UC_1749)</v>
      </c>
      <c r="O368" s="68" t="str">
        <f>IFERROR(_xlfn.XLOOKUP(Tabela2[[#This Row],[NOME DO TUTOR]],TUT.CONTROL!C:C,TUT.CONTROL!K:K),"Demitido")</f>
        <v>008:00</v>
      </c>
      <c r="P368" s="17">
        <f>IF(Tabela2[[#This Row],[SITUAÇÃO]]="Demitido",IFERROR(_xlfn.XLOOKUP(Tabela2[[#This Row],[CHAPA]],TUT.CONTROL!F:F,TUT.CONTROL!V:V),_xlfn.XLOOKUP(Tabela2[[#This Row],[CHAPA]],'REG.CONTROL'!F:F,'REG.CONTROL'!V:V)),"-")</f>
        <v>45990</v>
      </c>
      <c r="Q368" s="66" t="s">
        <v>43</v>
      </c>
      <c r="R368" s="8"/>
      <c r="S368" s="8"/>
    </row>
    <row r="369" spans="1:19" ht="13.5" hidden="1" customHeight="1" x14ac:dyDescent="0.3">
      <c r="A36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69" s="8" t="str">
        <f>Tabela2[[#This Row],[CATEGORIA]]&amp;Tabela2[[#This Row],[CURSOS]]&amp;"LAP - "&amp;Tabela2[[#This Row],[POLO]]</f>
        <v>BIO-FISIO-EST-TO (Multidisciplinar III)COS-TIPLAP - Criciúma/SC</v>
      </c>
      <c r="C369" s="8" t="str">
        <f>Tabela2[[#This Row],[CATEGORIA]]&amp;Tabela2[[#This Row],[CURSOS]]</f>
        <v>BIO-FISIO-EST-TO (Multidisciplinar III)COS-TIP</v>
      </c>
      <c r="D369" s="8" t="str">
        <f>IF(Tabela2[[#This Row],[SITUAÇÃO]]&lt;&gt;"Demitido",CONCATENATE(Tabela2[[#This Row],[POLO]],Tabela2[[#This Row],[CURSOS]]),"Substituição")</f>
        <v>Substituição</v>
      </c>
      <c r="E369" s="8" t="s">
        <v>757</v>
      </c>
      <c r="F369" s="67" t="s">
        <v>900</v>
      </c>
      <c r="G369" s="67" t="s">
        <v>795</v>
      </c>
      <c r="H369" s="9" t="s">
        <v>1119</v>
      </c>
      <c r="I369" s="17" t="str">
        <f>IFERROR(_xlfn.XLOOKUP(Tabela2[[#This Row],[CHAPA]],TUT.CONTROL!F:F,TUT.CONTROL!I:I),_xlfn.XLOOKUP(Tabela2[[#This Row],[CHAPA]],'REG.CONTROL'!F:F,'REG.CONTROL'!I:I))</f>
        <v>Demitido</v>
      </c>
      <c r="J369" s="17">
        <f>IFERROR(_xlfn.XLOOKUP(Tabela2[[#This Row],[NOME DO TUTOR]],TUT.CONTROL!C:C,TUT.CONTROL!G:G),"Demitido")</f>
        <v>45931</v>
      </c>
      <c r="K369" s="19">
        <v>48996065046</v>
      </c>
      <c r="L369" s="22">
        <f>IFERROR(_xlfn.XLOOKUP(Tabela2[[#This Row],[NOME DO TUTOR]],TUT.CONTROL!C:C,TUT.CONTROL!F:F),"Demitido")</f>
        <v>1158001011</v>
      </c>
      <c r="M369" s="8" t="s">
        <v>1120</v>
      </c>
      <c r="N369" s="11" t="str">
        <f>IFERROR(_xlfn.XLOOKUP(Tabela2[[#This Row],[CHAPA]],TUT.CONTROL!F:F,TUT.CONTROL!H:H),_xlfn.XLOOKUP(Tabela2[[#This Row],[CHAPA]],'REG.CONTROL'!F:F,'REG.CONTROL'!H:H))</f>
        <v>TUTOR DE PRATICA (UC_1749)</v>
      </c>
      <c r="O369" s="68" t="str">
        <f>IFERROR(_xlfn.XLOOKUP(Tabela2[[#This Row],[NOME DO TUTOR]],TUT.CONTROL!C:C,TUT.CONTROL!K:K),"Demitido")</f>
        <v>008:00</v>
      </c>
      <c r="P369" s="17">
        <f>IF(Tabela2[[#This Row],[SITUAÇÃO]]="Demitido",IFERROR(_xlfn.XLOOKUP(Tabela2[[#This Row],[CHAPA]],TUT.CONTROL!F:F,TUT.CONTROL!V:V),_xlfn.XLOOKUP(Tabela2[[#This Row],[CHAPA]],'REG.CONTROL'!F:F,'REG.CONTROL'!V:V)),"-")</f>
        <v>45990</v>
      </c>
      <c r="Q369" s="66" t="s">
        <v>43</v>
      </c>
      <c r="R369" s="8"/>
      <c r="S369" s="8"/>
    </row>
    <row r="370" spans="1:19" ht="13.5" hidden="1" x14ac:dyDescent="0.3">
      <c r="A37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70" s="8" t="str">
        <f>Tabela2[[#This Row],[CATEGORIA]]&amp;Tabela2[[#This Row],[CURSOS]]&amp;"LAP - "&amp;Tabela2[[#This Row],[POLO]]</f>
        <v>BIO-FAR (Multidisciplinar I)BFRLAP - Belém/PA - Nazaré</v>
      </c>
      <c r="C370" s="8" t="str">
        <f>Tabela2[[#This Row],[CATEGORIA]]&amp;Tabela2[[#This Row],[CURSOS]]</f>
        <v>BIO-FAR (Multidisciplinar I)BFR</v>
      </c>
      <c r="D370" s="8" t="str">
        <f>IF(Tabela2[[#This Row],[SITUAÇÃO]]&lt;&gt;"Demitido",CONCATENATE(Tabela2[[#This Row],[POLO]],Tabela2[[#This Row],[CURSOS]]),"Substituição")</f>
        <v>Substituição</v>
      </c>
      <c r="E370" s="8" t="s">
        <v>771</v>
      </c>
      <c r="F370" s="67" t="s">
        <v>772</v>
      </c>
      <c r="G370" s="67" t="s">
        <v>553</v>
      </c>
      <c r="H370" s="9" t="s">
        <v>1121</v>
      </c>
      <c r="I370" s="17" t="str">
        <f>IFERROR(_xlfn.XLOOKUP(Tabela2[[#This Row],[CHAPA]],TUT.CONTROL!F:F,TUT.CONTROL!I:I),_xlfn.XLOOKUP(Tabela2[[#This Row],[CHAPA]],'REG.CONTROL'!F:F,'REG.CONTROL'!I:I))</f>
        <v>Demitido</v>
      </c>
      <c r="J370" s="17">
        <f>IFERROR(_xlfn.XLOOKUP(Tabela2[[#This Row],[NOME DO TUTOR]],TUT.CONTROL!C:C,TUT.CONTROL!G:G),"Demitido")</f>
        <v>45931</v>
      </c>
      <c r="K370" s="19">
        <v>91982538250</v>
      </c>
      <c r="L370" s="22">
        <f>IFERROR(_xlfn.XLOOKUP(Tabela2[[#This Row],[NOME DO TUTOR]],TUT.CONTROL!C:C,TUT.CONTROL!F:F),"Demitido")</f>
        <v>1158001012</v>
      </c>
      <c r="M370" s="8" t="s">
        <v>1122</v>
      </c>
      <c r="N370" s="11" t="str">
        <f>IFERROR(_xlfn.XLOOKUP(Tabela2[[#This Row],[CHAPA]],TUT.CONTROL!F:F,TUT.CONTROL!H:H),_xlfn.XLOOKUP(Tabela2[[#This Row],[CHAPA]],'REG.CONTROL'!F:F,'REG.CONTROL'!H:H))</f>
        <v>TUTOR DE PRATICA (UC_1749)</v>
      </c>
      <c r="O370" s="68" t="str">
        <f>IFERROR(_xlfn.XLOOKUP(Tabela2[[#This Row],[NOME DO TUTOR]],TUT.CONTROL!C:C,TUT.CONTROL!K:K),"Demitido")</f>
        <v>004:00</v>
      </c>
      <c r="P370" s="17">
        <f>IF(Tabela2[[#This Row],[SITUAÇÃO]]="Demitido",IFERROR(_xlfn.XLOOKUP(Tabela2[[#This Row],[CHAPA]],TUT.CONTROL!F:F,TUT.CONTROL!V:V),_xlfn.XLOOKUP(Tabela2[[#This Row],[CHAPA]],'REG.CONTROL'!F:F,'REG.CONTROL'!V:V)),"-")</f>
        <v>46038</v>
      </c>
      <c r="Q370" s="66" t="s">
        <v>43</v>
      </c>
      <c r="R370" s="8"/>
      <c r="S370" s="8"/>
    </row>
    <row r="371" spans="1:19" ht="13.5" hidden="1" x14ac:dyDescent="0.3">
      <c r="A37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71" s="8" t="str">
        <f>Tabela2[[#This Row],[CATEGORIA]]&amp;Tabela2[[#This Row],[CURSOS]]&amp;"LAP - "&amp;Tabela2[[#This Row],[POLO]]</f>
        <v>BIO-FAR (Multidisciplinar I)BFRLAP - Campina Grande/PB</v>
      </c>
      <c r="C371" s="8" t="str">
        <f>Tabela2[[#This Row],[CATEGORIA]]&amp;Tabela2[[#This Row],[CURSOS]]</f>
        <v>BIO-FAR (Multidisciplinar I)BFR</v>
      </c>
      <c r="D371" s="8" t="str">
        <f>IF(Tabela2[[#This Row],[SITUAÇÃO]]&lt;&gt;"Demitido",CONCATENATE(Tabela2[[#This Row],[POLO]],Tabela2[[#This Row],[CURSOS]]),"Substituição")</f>
        <v>Substituição</v>
      </c>
      <c r="E371" s="8" t="s">
        <v>771</v>
      </c>
      <c r="F371" s="67" t="s">
        <v>772</v>
      </c>
      <c r="G371" s="67" t="s">
        <v>168</v>
      </c>
      <c r="H371" s="9" t="s">
        <v>1123</v>
      </c>
      <c r="I371" s="17" t="str">
        <f>IFERROR(_xlfn.XLOOKUP(Tabela2[[#This Row],[CHAPA]],TUT.CONTROL!F:F,TUT.CONTROL!I:I),_xlfn.XLOOKUP(Tabela2[[#This Row],[CHAPA]],'REG.CONTROL'!F:F,'REG.CONTROL'!I:I))</f>
        <v>Demitido</v>
      </c>
      <c r="J371" s="17">
        <f>IFERROR(_xlfn.XLOOKUP(Tabela2[[#This Row],[NOME DO TUTOR]],TUT.CONTROL!C:C,TUT.CONTROL!G:G),"Demitido")</f>
        <v>45931</v>
      </c>
      <c r="K371" s="19">
        <v>83999368393</v>
      </c>
      <c r="L371" s="22">
        <f>IFERROR(_xlfn.XLOOKUP(Tabela2[[#This Row],[NOME DO TUTOR]],TUT.CONTROL!C:C,TUT.CONTROL!F:F),"Demitido")</f>
        <v>1158000998</v>
      </c>
      <c r="M371" s="8" t="s">
        <v>1124</v>
      </c>
      <c r="N371" s="11" t="str">
        <f>IFERROR(_xlfn.XLOOKUP(Tabela2[[#This Row],[CHAPA]],TUT.CONTROL!F:F,TUT.CONTROL!H:H),_xlfn.XLOOKUP(Tabela2[[#This Row],[CHAPA]],'REG.CONTROL'!F:F,'REG.CONTROL'!H:H))</f>
        <v>TUTOR DE PRATICA (UC_1749)</v>
      </c>
      <c r="O371" s="68" t="str">
        <f>IFERROR(_xlfn.XLOOKUP(Tabela2[[#This Row],[NOME DO TUTOR]],TUT.CONTROL!C:C,TUT.CONTROL!K:K),"Demitido")</f>
        <v>004:00</v>
      </c>
      <c r="P371" s="17">
        <f>IF(Tabela2[[#This Row],[SITUAÇÃO]]="Demitido",IFERROR(_xlfn.XLOOKUP(Tabela2[[#This Row],[CHAPA]],TUT.CONTROL!F:F,TUT.CONTROL!V:V),_xlfn.XLOOKUP(Tabela2[[#This Row],[CHAPA]],'REG.CONTROL'!F:F,'REG.CONTROL'!V:V)),"-")</f>
        <v>46042</v>
      </c>
      <c r="Q371" s="66" t="s">
        <v>43</v>
      </c>
      <c r="R371" s="8" t="s">
        <v>1125</v>
      </c>
      <c r="S371" s="8">
        <v>8663</v>
      </c>
    </row>
    <row r="372" spans="1:19" ht="13.5" hidden="1" x14ac:dyDescent="0.3">
      <c r="A37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72" s="8" t="str">
        <f>Tabela2[[#This Row],[CATEGORIA]]&amp;Tabela2[[#This Row],[CURSOS]]&amp;"LAP - "&amp;Tabela2[[#This Row],[POLO]]</f>
        <v>BIO-FAR (Multidisciplinar I)BFRLAP - Caxias Do Sul/RS - Shopping Villagio</v>
      </c>
      <c r="C372" s="8" t="str">
        <f>Tabela2[[#This Row],[CATEGORIA]]&amp;Tabela2[[#This Row],[CURSOS]]</f>
        <v>BIO-FAR (Multidisciplinar I)BFR</v>
      </c>
      <c r="D372" s="8" t="str">
        <f>IF(Tabela2[[#This Row],[SITUAÇÃO]]&lt;&gt;"Demitido",CONCATENATE(Tabela2[[#This Row],[POLO]],Tabela2[[#This Row],[CURSOS]]),"Substituição")</f>
        <v>Substituição</v>
      </c>
      <c r="E372" s="8" t="s">
        <v>771</v>
      </c>
      <c r="F372" s="67" t="s">
        <v>772</v>
      </c>
      <c r="G372" s="67" t="s">
        <v>1126</v>
      </c>
      <c r="H372" s="9" t="s">
        <v>1127</v>
      </c>
      <c r="I372" s="17" t="str">
        <f>IFERROR(_xlfn.XLOOKUP(Tabela2[[#This Row],[CHAPA]],TUT.CONTROL!F:F,TUT.CONTROL!I:I),_xlfn.XLOOKUP(Tabela2[[#This Row],[CHAPA]],'REG.CONTROL'!F:F,'REG.CONTROL'!I:I))</f>
        <v>Demitido</v>
      </c>
      <c r="J372" s="17">
        <f>IFERROR(_xlfn.XLOOKUP(Tabela2[[#This Row],[NOME DO TUTOR]],TUT.CONTROL!C:C,TUT.CONTROL!G:G),"Demitido")</f>
        <v>45931</v>
      </c>
      <c r="K372" s="19">
        <v>54981494237</v>
      </c>
      <c r="L372" s="22">
        <f>IFERROR(_xlfn.XLOOKUP(Tabela2[[#This Row],[NOME DO TUTOR]],TUT.CONTROL!C:C,TUT.CONTROL!F:F),"Demitido")</f>
        <v>1158000997</v>
      </c>
      <c r="M372" s="8" t="s">
        <v>1128</v>
      </c>
      <c r="N372" s="11" t="str">
        <f>IFERROR(_xlfn.XLOOKUP(Tabela2[[#This Row],[CHAPA]],TUT.CONTROL!F:F,TUT.CONTROL!H:H),_xlfn.XLOOKUP(Tabela2[[#This Row],[CHAPA]],'REG.CONTROL'!F:F,'REG.CONTROL'!H:H))</f>
        <v>TUTOR DE PRATICA (UC_1749)</v>
      </c>
      <c r="O372" s="68" t="str">
        <f>IFERROR(_xlfn.XLOOKUP(Tabela2[[#This Row],[NOME DO TUTOR]],TUT.CONTROL!C:C,TUT.CONTROL!K:K),"Demitido")</f>
        <v>004:00</v>
      </c>
      <c r="P372" s="17">
        <f>IF(Tabela2[[#This Row],[SITUAÇÃO]]="Demitido",IFERROR(_xlfn.XLOOKUP(Tabela2[[#This Row],[CHAPA]],TUT.CONTROL!F:F,TUT.CONTROL!V:V),_xlfn.XLOOKUP(Tabela2[[#This Row],[CHAPA]],'REG.CONTROL'!F:F,'REG.CONTROL'!V:V)),"-")</f>
        <v>46043</v>
      </c>
      <c r="Q372" s="66" t="s">
        <v>43</v>
      </c>
      <c r="R372" s="8" t="s">
        <v>1129</v>
      </c>
      <c r="S372" s="8">
        <v>548271</v>
      </c>
    </row>
    <row r="373" spans="1:19" ht="13.5" hidden="1" x14ac:dyDescent="0.3">
      <c r="A37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São Raimundo Nonato/PIEMF-ISNENF-INS (Multidisciplinar II)</v>
      </c>
      <c r="B373" s="8" t="str">
        <f>Tabela2[[#This Row],[CATEGORIA]]&amp;Tabela2[[#This Row],[CURSOS]]&amp;"LAP - "&amp;Tabela2[[#This Row],[POLO]]</f>
        <v>ENF-INS (Multidisciplinar II)EMF-ISNLAP - São Raimundo Nonato/PI</v>
      </c>
      <c r="C373" s="8" t="str">
        <f>Tabela2[[#This Row],[CATEGORIA]]&amp;Tabela2[[#This Row],[CURSOS]]</f>
        <v>ENF-INS (Multidisciplinar II)EMF-ISN</v>
      </c>
      <c r="D373" s="8" t="str">
        <f>IF(Tabela2[[#This Row],[SITUAÇÃO]]&lt;&gt;"Demitido",CONCATENATE(Tabela2[[#This Row],[POLO]],Tabela2[[#This Row],[CURSOS]]),"Substituição")</f>
        <v>São Raimundo Nonato/PIEMF-ISN</v>
      </c>
      <c r="E373" s="8" t="s">
        <v>21</v>
      </c>
      <c r="F373" s="67" t="s">
        <v>22</v>
      </c>
      <c r="G373" s="67" t="s">
        <v>127</v>
      </c>
      <c r="H373" s="9" t="s">
        <v>1130</v>
      </c>
      <c r="I373" s="17" t="str">
        <f>IFERROR(_xlfn.XLOOKUP(Tabela2[[#This Row],[CHAPA]],TUT.CONTROL!F:F,TUT.CONTROL!I:I),_xlfn.XLOOKUP(Tabela2[[#This Row],[CHAPA]],'REG.CONTROL'!F:F,'REG.CONTROL'!I:I))</f>
        <v>Ativo</v>
      </c>
      <c r="J373" s="17">
        <f>IFERROR(_xlfn.XLOOKUP(Tabela2[[#This Row],[NOME DO TUTOR]],'REG.CONTROL'!C:C,'REG.CONTROL'!G:G),"Demitido")</f>
        <v>44669</v>
      </c>
      <c r="K373" s="19">
        <v>89999710240</v>
      </c>
      <c r="L373" s="22">
        <f>IFERROR(_xlfn.XLOOKUP(Tabela2[[#This Row],[NOME DO TUTOR]],'REG.CONTROL'!C:C,'REG.CONTROL'!F:F),"Demitido")</f>
        <v>1004009726</v>
      </c>
      <c r="M373" s="8" t="s">
        <v>1131</v>
      </c>
      <c r="N373" s="11" t="str">
        <f>IFERROR(_xlfn.XLOOKUP(Tabela2[[#This Row],[CHAPA]],TUT.CONTROL!F:F,TUT.CONTROL!H:H),_xlfn.XLOOKUP(Tabela2[[#This Row],[CHAPA]],'REG.CONTROL'!F:F,'REG.CONTROL'!H:H))</f>
        <v>PROFESSOR REGENTE DE POLO (UC_1744)</v>
      </c>
      <c r="O373" s="68" t="str">
        <f>IFERROR(_xlfn.XLOOKUP(Tabela2[[#This Row],[NOME DO TUTOR]],'REGENTE CH'!A:A,'REGENTE CH'!C:C),"Atualizar")</f>
        <v>004:00</v>
      </c>
      <c r="P37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73" s="66" t="s">
        <v>30</v>
      </c>
      <c r="R373" s="8" t="s">
        <v>560</v>
      </c>
      <c r="S373" s="8">
        <v>495952</v>
      </c>
    </row>
    <row r="374" spans="1:19" ht="13.5" hidden="1" x14ac:dyDescent="0.3">
      <c r="A37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Sapé/PBEMF-ISNENF-INS (Multidisciplinar II)</v>
      </c>
      <c r="B374" s="8" t="str">
        <f>Tabela2[[#This Row],[CATEGORIA]]&amp;Tabela2[[#This Row],[CURSOS]]&amp;"LAP - "&amp;Tabela2[[#This Row],[POLO]]</f>
        <v>ENF-INS (Multidisciplinar II)EMF-ISNLAP - Sapé/PB</v>
      </c>
      <c r="C374" s="8" t="str">
        <f>Tabela2[[#This Row],[CATEGORIA]]&amp;Tabela2[[#This Row],[CURSOS]]</f>
        <v>ENF-INS (Multidisciplinar II)EMF-ISN</v>
      </c>
      <c r="D374" s="8" t="str">
        <f>IF(Tabela2[[#This Row],[SITUAÇÃO]]&lt;&gt;"Demitido",CONCATENATE(Tabela2[[#This Row],[POLO]],Tabela2[[#This Row],[CURSOS]]),"Substituição")</f>
        <v>Sapé/PBEMF-ISN</v>
      </c>
      <c r="E374" s="8" t="s">
        <v>21</v>
      </c>
      <c r="F374" s="67" t="s">
        <v>22</v>
      </c>
      <c r="G374" s="67" t="s">
        <v>1132</v>
      </c>
      <c r="H374" s="9" t="s">
        <v>450</v>
      </c>
      <c r="I374" s="17" t="str">
        <f>IFERROR(_xlfn.XLOOKUP(Tabela2[[#This Row],[CHAPA]],TUT.CONTROL!F:F,TUT.CONTROL!I:I),_xlfn.XLOOKUP(Tabela2[[#This Row],[CHAPA]],'REG.CONTROL'!F:F,'REG.CONTROL'!I:I))</f>
        <v>Ativo</v>
      </c>
      <c r="J374" s="17">
        <f>IFERROR(_xlfn.XLOOKUP(Tabela2[[#This Row],[NOME DO TUTOR]],TUT.CONTROL!C:C,TUT.CONTROL!G:G),"Demitido")</f>
        <v>45735</v>
      </c>
      <c r="K374" s="19" t="s">
        <v>451</v>
      </c>
      <c r="L374" s="22">
        <f>IFERROR(_xlfn.XLOOKUP(Tabela2[[#This Row],[NOME DO TUTOR]],TUT.CONTROL!C:C,TUT.CONTROL!F:F),"Demitido")</f>
        <v>1158000570</v>
      </c>
      <c r="M374" s="8" t="s">
        <v>452</v>
      </c>
      <c r="N374" s="11" t="str">
        <f>IFERROR(_xlfn.XLOOKUP(Tabela2[[#This Row],[CHAPA]],TUT.CONTROL!F:F,TUT.CONTROL!H:H),_xlfn.XLOOKUP(Tabela2[[#This Row],[CHAPA]],'REG.CONTROL'!F:F,'REG.CONTROL'!H:H))</f>
        <v>TUTOR DE PRATICA (UC_1749)</v>
      </c>
      <c r="O374" s="68" t="str">
        <f>IFERROR(_xlfn.XLOOKUP(Tabela2[[#This Row],[NOME DO TUTOR]],TUT.CONTROL!C:C,TUT.CONTROL!K:K),"Demitido")</f>
        <v>008:00</v>
      </c>
      <c r="P37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74" s="66" t="s">
        <v>30</v>
      </c>
      <c r="R374" s="8" t="s">
        <v>171</v>
      </c>
      <c r="S374" s="8">
        <v>776690</v>
      </c>
    </row>
    <row r="375" spans="1:19" ht="13.5" hidden="1" x14ac:dyDescent="0.3">
      <c r="A37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75" s="8" t="str">
        <f>Tabela2[[#This Row],[CATEGORIA]]&amp;Tabela2[[#This Row],[CURSOS]]&amp;"LAP - "&amp;Tabela2[[#This Row],[POLO]]</f>
        <v>ENF-INS (Multidisciplinar II)EMF-ISNLAP - Sena Madureira/AC</v>
      </c>
      <c r="C375" s="8" t="str">
        <f>Tabela2[[#This Row],[CATEGORIA]]&amp;Tabela2[[#This Row],[CURSOS]]</f>
        <v>ENF-INS (Multidisciplinar II)EMF-ISN</v>
      </c>
      <c r="D375" s="8" t="str">
        <f>IF(Tabela2[[#This Row],[SITUAÇÃO]]&lt;&gt;"Demitido",CONCATENATE(Tabela2[[#This Row],[POLO]],Tabela2[[#This Row],[CURSOS]]),"Substituição")</f>
        <v>Substituição</v>
      </c>
      <c r="E375" s="8" t="s">
        <v>21</v>
      </c>
      <c r="F375" s="67" t="s">
        <v>22</v>
      </c>
      <c r="G375" s="67" t="s">
        <v>1133</v>
      </c>
      <c r="H375" s="9" t="s">
        <v>1134</v>
      </c>
      <c r="I375" s="71" t="str">
        <f>IFERROR(_xlfn.XLOOKUP(Tabela2[[#This Row],[CHAPA]],TUT.CONTROL!F:F,TUT.CONTROL!I:I),_xlfn.XLOOKUP(Tabela2[[#This Row],[CHAPA]],'REG.CONTROL'!F:F,'REG.CONTROL'!I:I))</f>
        <v>Demitido</v>
      </c>
      <c r="J375" s="17">
        <f>IFERROR(_xlfn.XLOOKUP(Tabela2[[#This Row],[NOME DO TUTOR]],TUT.CONTROL!C:C,TUT.CONTROL!G:G),"Demitido")</f>
        <v>45754</v>
      </c>
      <c r="K375" s="19">
        <v>68992273623</v>
      </c>
      <c r="L375" s="22">
        <f>IFERROR(_xlfn.XLOOKUP(Tabela2[[#This Row],[NOME DO TUTOR]],TUT.CONTROL!C:C,TUT.CONTROL!F:F),"Demitido")</f>
        <v>1158000685</v>
      </c>
      <c r="M375" s="8" t="s">
        <v>1135</v>
      </c>
      <c r="N375" s="11" t="str">
        <f>IFERROR(_xlfn.XLOOKUP(Tabela2[[#This Row],[CHAPA]],TUT.CONTROL!F:F,TUT.CONTROL!H:H),_xlfn.XLOOKUP(Tabela2[[#This Row],[CHAPA]],'REG.CONTROL'!F:F,'REG.CONTROL'!H:H))</f>
        <v>TUTOR DE PRATICA (UC_1749)</v>
      </c>
      <c r="O375" s="68" t="str">
        <f>IFERROR(_xlfn.XLOOKUP(Tabela2[[#This Row],[NOME DO TUTOR]],TUT.CONTROL!C:C,TUT.CONTROL!K:K),"Demitido")</f>
        <v>012:00</v>
      </c>
      <c r="P375" s="17">
        <f>IF(Tabela2[[#This Row],[SITUAÇÃO]]="Demitido",IFERROR(_xlfn.XLOOKUP(Tabela2[[#This Row],[CHAPA]],TUT.CONTROL!F:F,TUT.CONTROL!V:V),_xlfn.XLOOKUP(Tabela2[[#This Row],[CHAPA]],'REG.CONTROL'!F:F,'REG.CONTROL'!V:V)),"-")</f>
        <v>45806</v>
      </c>
      <c r="Q375" s="66" t="s">
        <v>43</v>
      </c>
      <c r="R375" s="8"/>
      <c r="S375" s="8"/>
    </row>
    <row r="376" spans="1:19" ht="13.5" hidden="1" x14ac:dyDescent="0.3">
      <c r="A37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Rio de Janeiro/RJ - Campo GrandeBTOBIO-FISIO-EST-TO (Multidisciplinar III)</v>
      </c>
      <c r="B376" s="8" t="str">
        <f>Tabela2[[#This Row],[CATEGORIA]]&amp;Tabela2[[#This Row],[CURSOS]]&amp;"LAP - "&amp;Tabela2[[#This Row],[POLO]]</f>
        <v>BIO-FISIO-EST-TO (Multidisciplinar III)BTOLAP - Rio de Janeiro/RJ - Campo Grande</v>
      </c>
      <c r="C376" s="8" t="str">
        <f>Tabela2[[#This Row],[CATEGORIA]]&amp;Tabela2[[#This Row],[CURSOS]]</f>
        <v>BIO-FISIO-EST-TO (Multidisciplinar III)BTO</v>
      </c>
      <c r="D376" s="8" t="str">
        <f>IF(Tabela2[[#This Row],[SITUAÇÃO]]&lt;&gt;"Demitido",CONCATENATE(Tabela2[[#This Row],[POLO]],Tabela2[[#This Row],[CURSOS]]),"Substituição")</f>
        <v>Rio de Janeiro/RJ - Campo GrandeBTO</v>
      </c>
      <c r="E376" s="8" t="s">
        <v>757</v>
      </c>
      <c r="F376" s="67" t="s">
        <v>987</v>
      </c>
      <c r="G376" s="67" t="s">
        <v>833</v>
      </c>
      <c r="H376" s="85" t="s">
        <v>1136</v>
      </c>
      <c r="I376" s="17" t="str">
        <f>IFERROR(_xlfn.XLOOKUP(Tabela2[[#This Row],[CHAPA]],TUT.CONTROL!F:F,TUT.CONTROL!I:I),_xlfn.XLOOKUP(Tabela2[[#This Row],[CHAPA]],'REG.CONTROL'!F:F,'REG.CONTROL'!I:I))</f>
        <v>Ativo</v>
      </c>
      <c r="J376" s="17">
        <f>IFERROR(_xlfn.XLOOKUP(Tabela2[[#This Row],[NOME DO TUTOR]],TUT.CONTROL!C:C,TUT.CONTROL!G:G),"Demitido")</f>
        <v>45931</v>
      </c>
      <c r="K376" s="19">
        <v>21983714550</v>
      </c>
      <c r="L376" s="22">
        <f>IFERROR(_xlfn.XLOOKUP(Tabela2[[#This Row],[NOME DO TUTOR]],TUT.CONTROL!C:C,TUT.CONTROL!F:F),"Demitido")</f>
        <v>1158001010</v>
      </c>
      <c r="M376" s="8" t="s">
        <v>1137</v>
      </c>
      <c r="N376" s="11" t="str">
        <f>IFERROR(_xlfn.XLOOKUP(Tabela2[[#This Row],[CHAPA]],TUT.CONTROL!F:F,TUT.CONTROL!H:H),_xlfn.XLOOKUP(Tabela2[[#This Row],[CHAPA]],'REG.CONTROL'!F:F,'REG.CONTROL'!H:H))</f>
        <v>TUTOR DE PRATICA (UC_1749)</v>
      </c>
      <c r="O376" s="68" t="str">
        <f>IFERROR(_xlfn.XLOOKUP(Tabela2[[#This Row],[NOME DO TUTOR]],TUT.CONTROL!C:C,TUT.CONTROL!K:K),"Demitido")</f>
        <v>004:00</v>
      </c>
      <c r="P37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76" s="66"/>
      <c r="R376" s="8"/>
      <c r="S376" s="8"/>
    </row>
    <row r="377" spans="1:19" ht="13.5" hidden="1" x14ac:dyDescent="0.3">
      <c r="A37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77" s="8" t="str">
        <f>Tabela2[[#This Row],[CATEGORIA]]&amp;Tabela2[[#This Row],[CURSOS]]&amp;"LAP - "&amp;Tabela2[[#This Row],[POLO]]</f>
        <v>ENF-INS (Multidisciplinar II)EMF-ISNLAP - Serrinha/BA</v>
      </c>
      <c r="C377" s="8" t="str">
        <f>Tabela2[[#This Row],[CATEGORIA]]&amp;Tabela2[[#This Row],[CURSOS]]</f>
        <v>ENF-INS (Multidisciplinar II)EMF-ISN</v>
      </c>
      <c r="D377" s="8" t="str">
        <f>IF(Tabela2[[#This Row],[SITUAÇÃO]]&lt;&gt;"Demitido",CONCATENATE(Tabela2[[#This Row],[POLO]],Tabela2[[#This Row],[CURSOS]]),"Substituição")</f>
        <v>Substituição</v>
      </c>
      <c r="E377" s="8" t="s">
        <v>21</v>
      </c>
      <c r="F377" s="67" t="s">
        <v>22</v>
      </c>
      <c r="G377" s="67" t="s">
        <v>1138</v>
      </c>
      <c r="H377" s="9" t="s">
        <v>1139</v>
      </c>
      <c r="I377" s="17" t="str">
        <f>IFERROR(_xlfn.XLOOKUP(Tabela2[[#This Row],[CHAPA]],TUT.CONTROL!F:F,TUT.CONTROL!I:I),_xlfn.XLOOKUP(Tabela2[[#This Row],[CHAPA]],'REG.CONTROL'!F:F,'REG.CONTROL'!I:I))</f>
        <v>Demitido</v>
      </c>
      <c r="J377" s="17">
        <f>IFERROR(_xlfn.XLOOKUP(Tabela2[[#This Row],[NOME DO TUTOR]],TUT.CONTROL!C:C,TUT.CONTROL!G:G),"Demitido")</f>
        <v>45733</v>
      </c>
      <c r="K377" s="19">
        <v>75991156420</v>
      </c>
      <c r="L377" s="22">
        <f>IFERROR(_xlfn.XLOOKUP(Tabela2[[#This Row],[NOME DO TUTOR]],TUT.CONTROL!C:C,TUT.CONTROL!F:F),"Demitido")</f>
        <v>1158000563</v>
      </c>
      <c r="M377" s="8" t="s">
        <v>1140</v>
      </c>
      <c r="N377" s="11" t="str">
        <f>IFERROR(_xlfn.XLOOKUP(Tabela2[[#This Row],[CHAPA]],TUT.CONTROL!F:F,TUT.CONTROL!H:H),_xlfn.XLOOKUP(Tabela2[[#This Row],[CHAPA]],'REG.CONTROL'!F:F,'REG.CONTROL'!H:H))</f>
        <v>TUTOR DE PRATICA (UC_1749)</v>
      </c>
      <c r="O377" s="68" t="str">
        <f>IFERROR(_xlfn.XLOOKUP(Tabela2[[#This Row],[NOME DO TUTOR]],TUT.CONTROL!C:C,TUT.CONTROL!K:K),"Demitido")</f>
        <v>004:00</v>
      </c>
      <c r="P377" s="17">
        <f>IF(Tabela2[[#This Row],[SITUAÇÃO]]="Demitido",IFERROR(_xlfn.XLOOKUP(Tabela2[[#This Row],[CHAPA]],TUT.CONTROL!F:F,TUT.CONTROL!V:V),_xlfn.XLOOKUP(Tabela2[[#This Row],[CHAPA]],'REG.CONTROL'!F:F,'REG.CONTROL'!V:V)),"-")</f>
        <v>45909</v>
      </c>
      <c r="Q377" s="66" t="s">
        <v>43</v>
      </c>
      <c r="R377" s="8" t="s">
        <v>286</v>
      </c>
      <c r="S377" s="8">
        <v>640949</v>
      </c>
    </row>
    <row r="378" spans="1:19" ht="13.5" hidden="1" x14ac:dyDescent="0.3">
      <c r="A37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São Paulo/SP - TatuapéBFRBIO-FAR (Multidisciplinar I)</v>
      </c>
      <c r="B378" s="8" t="str">
        <f>Tabela2[[#This Row],[CATEGORIA]]&amp;Tabela2[[#This Row],[CURSOS]]&amp;"LAP - "&amp;Tabela2[[#This Row],[POLO]]</f>
        <v>BIO-FAR (Multidisciplinar I)BFRLAP - São Paulo/SP - Tatuapé</v>
      </c>
      <c r="C378" s="8" t="str">
        <f>Tabela2[[#This Row],[CATEGORIA]]&amp;Tabela2[[#This Row],[CURSOS]]</f>
        <v>BIO-FAR (Multidisciplinar I)BFR</v>
      </c>
      <c r="D378" s="8" t="str">
        <f>IF(Tabela2[[#This Row],[SITUAÇÃO]]&lt;&gt;"Demitido",CONCATENATE(Tabela2[[#This Row],[POLO]],Tabela2[[#This Row],[CURSOS]]),"Substituição")</f>
        <v>São Paulo/SP - TatuapéBFR</v>
      </c>
      <c r="E378" s="8" t="s">
        <v>771</v>
      </c>
      <c r="F378" s="67" t="s">
        <v>772</v>
      </c>
      <c r="G378" s="67" t="s">
        <v>431</v>
      </c>
      <c r="H378" s="9" t="s">
        <v>1141</v>
      </c>
      <c r="I378" s="17" t="str">
        <f>IFERROR(_xlfn.XLOOKUP(Tabela2[[#This Row],[CHAPA]],TUT.CONTROL!F:F,TUT.CONTROL!I:I),_xlfn.XLOOKUP(Tabela2[[#This Row],[CHAPA]],'REG.CONTROL'!F:F,'REG.CONTROL'!I:I))</f>
        <v>Ativo</v>
      </c>
      <c r="J378" s="17">
        <f>IFERROR(_xlfn.XLOOKUP(Tabela2[[#This Row],[NOME DO TUTOR]],TUT.CONTROL!C:C,TUT.CONTROL!G:G),"Demitido")</f>
        <v>45931</v>
      </c>
      <c r="K378" s="19">
        <v>11948024029</v>
      </c>
      <c r="L378" s="22">
        <f>IFERROR(_xlfn.XLOOKUP(Tabela2[[#This Row],[NOME DO TUTOR]],TUT.CONTROL!C:C,TUT.CONTROL!F:F),"Demitido")</f>
        <v>1158000994</v>
      </c>
      <c r="M378" s="8" t="s">
        <v>1142</v>
      </c>
      <c r="N378" s="11" t="str">
        <f>IFERROR(_xlfn.XLOOKUP(Tabela2[[#This Row],[CHAPA]],TUT.CONTROL!F:F,TUT.CONTROL!H:H),_xlfn.XLOOKUP(Tabela2[[#This Row],[CHAPA]],'REG.CONTROL'!F:F,'REG.CONTROL'!H:H))</f>
        <v>TUTOR DE PRATICA (UC_1749)</v>
      </c>
      <c r="O378" s="68" t="str">
        <f>IFERROR(_xlfn.XLOOKUP(Tabela2[[#This Row],[NOME DO TUTOR]],TUT.CONTROL!C:C,TUT.CONTROL!K:K),"Demitido")</f>
        <v>004:00</v>
      </c>
      <c r="P37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78" s="66"/>
      <c r="R378" s="8"/>
      <c r="S378" s="8"/>
    </row>
    <row r="379" spans="1:19" ht="13.5" hidden="1" x14ac:dyDescent="0.3">
      <c r="A37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Itaguaí/RJ - Edifício ManancialAGMQUÍMICA E FÍSICA</v>
      </c>
      <c r="B379" s="8" t="str">
        <f>Tabela2[[#This Row],[CATEGORIA]]&amp;Tabela2[[#This Row],[CURSOS]]&amp;"LAP - "&amp;Tabela2[[#This Row],[POLO]]</f>
        <v>QUÍMICA E FÍSICAAGMLAP - Itaguaí/RJ - Edifício Manancial</v>
      </c>
      <c r="C379" s="8" t="str">
        <f>Tabela2[[#This Row],[CATEGORIA]]&amp;Tabela2[[#This Row],[CURSOS]]</f>
        <v>QUÍMICA E FÍSICAAGM</v>
      </c>
      <c r="D379" s="8" t="str">
        <f>IF(Tabela2[[#This Row],[SITUAÇÃO]]&lt;&gt;"Demitido",CONCATENATE(Tabela2[[#This Row],[POLO]],Tabela2[[#This Row],[CURSOS]]),"Substituição")</f>
        <v>Itaguaí/RJ - Edifício ManancialAGM</v>
      </c>
      <c r="E379" s="8" t="s">
        <v>734</v>
      </c>
      <c r="F379" s="67" t="s">
        <v>735</v>
      </c>
      <c r="G379" s="67" t="s">
        <v>696</v>
      </c>
      <c r="H379" s="9" t="s">
        <v>1143</v>
      </c>
      <c r="I379" s="17" t="str">
        <f>IFERROR(_xlfn.XLOOKUP(Tabela2[[#This Row],[CHAPA]],TUT.CONTROL!F:F,TUT.CONTROL!I:I),_xlfn.XLOOKUP(Tabela2[[#This Row],[CHAPA]],'REG.CONTROL'!F:F,'REG.CONTROL'!I:I))</f>
        <v>Ativo</v>
      </c>
      <c r="J379" s="17">
        <f>IFERROR(_xlfn.XLOOKUP(Tabela2[[#This Row],[NOME DO TUTOR]],TUT.CONTROL!C:C,TUT.CONTROL!G:G),"Demitido")</f>
        <v>45931</v>
      </c>
      <c r="K379" s="19">
        <v>21976312814</v>
      </c>
      <c r="L379" s="22">
        <f>IFERROR(_xlfn.XLOOKUP(Tabela2[[#This Row],[NOME DO TUTOR]],TUT.CONTROL!C:C,TUT.CONTROL!F:F),"Demitido")</f>
        <v>1158001006</v>
      </c>
      <c r="M379" s="8" t="s">
        <v>1144</v>
      </c>
      <c r="N379" s="11" t="str">
        <f>IFERROR(_xlfn.XLOOKUP(Tabela2[[#This Row],[CHAPA]],TUT.CONTROL!F:F,TUT.CONTROL!H:H),_xlfn.XLOOKUP(Tabela2[[#This Row],[CHAPA]],'REG.CONTROL'!F:F,'REG.CONTROL'!H:H))</f>
        <v>TUTOR DE PRATICA (UC_1749)</v>
      </c>
      <c r="O379" s="68" t="str">
        <f>IFERROR(_xlfn.XLOOKUP(Tabela2[[#This Row],[NOME DO TUTOR]],TUT.CONTROL!C:C,TUT.CONTROL!K:K),"Demitido")</f>
        <v>004:00</v>
      </c>
      <c r="P37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79" s="66"/>
      <c r="R379" s="8" t="s">
        <v>1145</v>
      </c>
      <c r="S379" s="8">
        <v>2025106743</v>
      </c>
    </row>
    <row r="380" spans="1:19" ht="13.5" hidden="1" x14ac:dyDescent="0.3">
      <c r="A38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Serrinha/BAEMF-ISNENF-INS (Multidisciplinar II)</v>
      </c>
      <c r="B380" s="8" t="str">
        <f>Tabela2[[#This Row],[CATEGORIA]]&amp;Tabela2[[#This Row],[CURSOS]]&amp;"LAP - "&amp;Tabela2[[#This Row],[POLO]]</f>
        <v>ENF-INS (Multidisciplinar II)EMF-ISNLAP - Serrinha/BA</v>
      </c>
      <c r="C380" s="8" t="str">
        <f>Tabela2[[#This Row],[CATEGORIA]]&amp;Tabela2[[#This Row],[CURSOS]]</f>
        <v>ENF-INS (Multidisciplinar II)EMF-ISN</v>
      </c>
      <c r="D380" s="8" t="str">
        <f>IF(Tabela2[[#This Row],[SITUAÇÃO]]&lt;&gt;"Demitido",CONCATENATE(Tabela2[[#This Row],[POLO]],Tabela2[[#This Row],[CURSOS]]),"Substituição")</f>
        <v>Serrinha/BAEMF-ISN</v>
      </c>
      <c r="E380" s="8" t="s">
        <v>21</v>
      </c>
      <c r="F380" s="67" t="s">
        <v>22</v>
      </c>
      <c r="G380" s="67" t="s">
        <v>1138</v>
      </c>
      <c r="H380" s="9" t="s">
        <v>1146</v>
      </c>
      <c r="I380" s="17" t="str">
        <f>IFERROR(_xlfn.XLOOKUP(Tabela2[[#This Row],[CHAPA]],TUT.CONTROL!F:F,TUT.CONTROL!I:I),_xlfn.XLOOKUP(Tabela2[[#This Row],[CHAPA]],'REG.CONTROL'!F:F,'REG.CONTROL'!I:I))</f>
        <v>Ativo</v>
      </c>
      <c r="J380" s="17">
        <f>IFERROR(_xlfn.XLOOKUP(Tabela2[[#This Row],[NOME DO TUTOR]],TUT.CONTROL!C:C,TUT.CONTROL!G:G),"Atualizar")</f>
        <v>46118</v>
      </c>
      <c r="K380" s="19">
        <v>75991736238</v>
      </c>
      <c r="L380" s="22">
        <f>IFERROR(_xlfn.XLOOKUP(Tabela2[[#This Row],[NOME DO TUTOR]],TUT.CONTROL!C:C,TUT.CONTROL!F:F),"Atualizar")</f>
        <v>1158001199</v>
      </c>
      <c r="M380" s="8" t="s">
        <v>1147</v>
      </c>
      <c r="N380" s="11" t="str">
        <f>IFERROR(_xlfn.XLOOKUP(Tabela2[[#This Row],[CHAPA]],TUT.CONTROL!F:F,TUT.CONTROL!H:H),_xlfn.XLOOKUP(Tabela2[[#This Row],[CHAPA]],'REG.CONTROL'!F:F,'REG.CONTROL'!H:H))</f>
        <v>TUTOR DE PRATICA (UC_1749)</v>
      </c>
      <c r="O380" s="70" t="str">
        <f>IFERROR(_xlfn.XLOOKUP(Tabela2[[#This Row],[NOME DO TUTOR]],TUT.CONTROL!C:C,TUT.CONTROL!K:K),"Atualizar")</f>
        <v>004:00</v>
      </c>
      <c r="P38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80" s="66"/>
      <c r="R380" s="8" t="s">
        <v>286</v>
      </c>
      <c r="S380" s="8">
        <v>923218</v>
      </c>
    </row>
    <row r="381" spans="1:19" ht="13.5" hidden="1" x14ac:dyDescent="0.3">
      <c r="A38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81" s="8" t="str">
        <f>Tabela2[[#This Row],[CATEGORIA]]&amp;Tabela2[[#This Row],[CURSOS]]&amp;"LAP - "&amp;Tabela2[[#This Row],[POLO]]</f>
        <v>BIO-FAR (Multidisciplinar I)BFRLAP - Campos dos Goytacazes/RJ - Pelinca</v>
      </c>
      <c r="C381" s="8" t="str">
        <f>Tabela2[[#This Row],[CATEGORIA]]&amp;Tabela2[[#This Row],[CURSOS]]</f>
        <v>BIO-FAR (Multidisciplinar I)BFR</v>
      </c>
      <c r="D381" s="8" t="str">
        <f>IF(Tabela2[[#This Row],[SITUAÇÃO]]&lt;&gt;"Demitido",CONCATENATE(Tabela2[[#This Row],[POLO]],Tabela2[[#This Row],[CURSOS]]),"Substituição")</f>
        <v>Substituição</v>
      </c>
      <c r="E381" s="8" t="s">
        <v>771</v>
      </c>
      <c r="F381" s="67" t="s">
        <v>772</v>
      </c>
      <c r="G381" s="67" t="s">
        <v>182</v>
      </c>
      <c r="H381" s="9" t="s">
        <v>1148</v>
      </c>
      <c r="I381" s="17" t="str">
        <f>IFERROR(_xlfn.XLOOKUP(Tabela2[[#This Row],[CHAPA]],TUT.CONTROL!F:F,TUT.CONTROL!I:I),_xlfn.XLOOKUP(Tabela2[[#This Row],[CHAPA]],'REG.CONTROL'!F:F,'REG.CONTROL'!I:I))</f>
        <v>Demitido</v>
      </c>
      <c r="J381" s="17">
        <f>IFERROR(_xlfn.XLOOKUP(Tabela2[[#This Row],[NOME DO TUTOR]],TUT.CONTROL!C:C,TUT.CONTROL!G:G),"Demitido")</f>
        <v>45936</v>
      </c>
      <c r="K381" s="19">
        <v>22999876630</v>
      </c>
      <c r="L381" s="22">
        <f>IFERROR(_xlfn.XLOOKUP(Tabela2[[#This Row],[NOME DO TUTOR]],TUT.CONTROL!C:C,TUT.CONTROL!F:F),"Demitido")</f>
        <v>1158001015</v>
      </c>
      <c r="M381" s="8" t="s">
        <v>1149</v>
      </c>
      <c r="N381" s="11" t="str">
        <f>IFERROR(_xlfn.XLOOKUP(Tabela2[[#This Row],[CHAPA]],TUT.CONTROL!F:F,TUT.CONTROL!H:H),_xlfn.XLOOKUP(Tabela2[[#This Row],[CHAPA]],'REG.CONTROL'!F:F,'REG.CONTROL'!H:H))</f>
        <v>TUTOR DE PRATICA (UC_1749)</v>
      </c>
      <c r="O381" s="68" t="str">
        <f>IFERROR(_xlfn.XLOOKUP(Tabela2[[#This Row],[NOME DO TUTOR]],TUT.CONTROL!C:C,TUT.CONTROL!K:K),"Demitido")</f>
        <v>004:00</v>
      </c>
      <c r="P381" s="17">
        <f>IF(Tabela2[[#This Row],[SITUAÇÃO]]="Demitido",IFERROR(_xlfn.XLOOKUP(Tabela2[[#This Row],[CHAPA]],TUT.CONTROL!F:F,TUT.CONTROL!V:V),_xlfn.XLOOKUP(Tabela2[[#This Row],[CHAPA]],'REG.CONTROL'!F:F,'REG.CONTROL'!V:V)),"-")</f>
        <v>46041</v>
      </c>
      <c r="Q381" s="66" t="s">
        <v>43</v>
      </c>
      <c r="R381" s="8" t="s">
        <v>836</v>
      </c>
      <c r="S381" s="8">
        <v>13587</v>
      </c>
    </row>
    <row r="382" spans="1:19" ht="13.5" hidden="1" x14ac:dyDescent="0.3">
      <c r="A38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82" s="8" t="str">
        <f>Tabela2[[#This Row],[CATEGORIA]]&amp;Tabela2[[#This Row],[CURSOS]]&amp;"LAP - "&amp;Tabela2[[#This Row],[POLO]]</f>
        <v>BIO-FAR (Multidisciplinar I)BFRLAP - Itajaí/SC - São Vicente</v>
      </c>
      <c r="C382" s="8" t="str">
        <f>Tabela2[[#This Row],[CATEGORIA]]&amp;Tabela2[[#This Row],[CURSOS]]</f>
        <v>BIO-FAR (Multidisciplinar I)BFR</v>
      </c>
      <c r="D382" s="8" t="str">
        <f>IF(Tabela2[[#This Row],[SITUAÇÃO]]&lt;&gt;"Demitido",CONCATENATE(Tabela2[[#This Row],[POLO]],Tabela2[[#This Row],[CURSOS]]),"Substituição")</f>
        <v>Substituição</v>
      </c>
      <c r="E382" s="8" t="s">
        <v>771</v>
      </c>
      <c r="F382" s="67" t="s">
        <v>772</v>
      </c>
      <c r="G382" s="67" t="s">
        <v>366</v>
      </c>
      <c r="H382" s="9" t="s">
        <v>1150</v>
      </c>
      <c r="I382" s="71" t="str">
        <f>IFERROR(_xlfn.XLOOKUP(Tabela2[[#This Row],[CHAPA]],TUT.CONTROL!F:F,TUT.CONTROL!I:I),_xlfn.XLOOKUP(Tabela2[[#This Row],[CHAPA]],'REG.CONTROL'!F:F,'REG.CONTROL'!I:I))</f>
        <v>Demitido</v>
      </c>
      <c r="J382" s="17">
        <f>IFERROR(_xlfn.XLOOKUP(Tabela2[[#This Row],[NOME DO TUTOR]],TUT.CONTROL!C:C,TUT.CONTROL!G:G),"Demitido")</f>
        <v>45936</v>
      </c>
      <c r="K382" s="19">
        <v>47988480501</v>
      </c>
      <c r="L382" s="22">
        <f>IFERROR(_xlfn.XLOOKUP(Tabela2[[#This Row],[NOME DO TUTOR]],TUT.CONTROL!C:C,TUT.CONTROL!F:F),"Demitido")</f>
        <v>1158001023</v>
      </c>
      <c r="M382" s="8" t="s">
        <v>1151</v>
      </c>
      <c r="N382" s="11" t="str">
        <f>IFERROR(_xlfn.XLOOKUP(Tabela2[[#This Row],[CHAPA]],TUT.CONTROL!F:F,TUT.CONTROL!H:H),_xlfn.XLOOKUP(Tabela2[[#This Row],[CHAPA]],'REG.CONTROL'!F:F,'REG.CONTROL'!H:H))</f>
        <v>TUTOR DE PRATICA (UC_1749)</v>
      </c>
      <c r="O382" s="68" t="str">
        <f>IFERROR(_xlfn.XLOOKUP(Tabela2[[#This Row],[NOME DO TUTOR]],TUT.CONTROL!C:C,TUT.CONTROL!K:K),"Demitido")</f>
        <v>004:00</v>
      </c>
      <c r="P382" s="17">
        <f>IF(Tabela2[[#This Row],[SITUAÇÃO]]="Demitido",IFERROR(_xlfn.XLOOKUP(Tabela2[[#This Row],[CHAPA]],TUT.CONTROL!F:F,TUT.CONTROL!V:V),_xlfn.XLOOKUP(Tabela2[[#This Row],[CHAPA]],'REG.CONTROL'!F:F,'REG.CONTROL'!V:V)),"-")</f>
        <v>46042</v>
      </c>
      <c r="Q382" s="66" t="s">
        <v>43</v>
      </c>
      <c r="R382" s="8" t="s">
        <v>1010</v>
      </c>
      <c r="S382" s="8">
        <v>20704</v>
      </c>
    </row>
    <row r="383" spans="1:19" ht="13.5" hidden="1" x14ac:dyDescent="0.3">
      <c r="A38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83" s="8" t="str">
        <f>Tabela2[[#This Row],[CATEGORIA]]&amp;Tabela2[[#This Row],[CURSOS]]&amp;"LAP - "&amp;Tabela2[[#This Row],[POLO]]</f>
        <v>BIO-FAR (Multidisciplinar I)BFRLAP - Capão Da Canoa/RS</v>
      </c>
      <c r="C383" s="8" t="str">
        <f>Tabela2[[#This Row],[CATEGORIA]]&amp;Tabela2[[#This Row],[CURSOS]]</f>
        <v>BIO-FAR (Multidisciplinar I)BFR</v>
      </c>
      <c r="D383" s="8" t="str">
        <f>IF(Tabela2[[#This Row],[SITUAÇÃO]]&lt;&gt;"Demitido",CONCATENATE(Tabela2[[#This Row],[POLO]],Tabela2[[#This Row],[CURSOS]]),"Substituição")</f>
        <v>Substituição</v>
      </c>
      <c r="E383" s="8" t="s">
        <v>771</v>
      </c>
      <c r="F383" s="67" t="s">
        <v>772</v>
      </c>
      <c r="G383" s="67" t="s">
        <v>197</v>
      </c>
      <c r="H383" s="9" t="s">
        <v>1152</v>
      </c>
      <c r="I383" s="17" t="str">
        <f>IFERROR(_xlfn.XLOOKUP(Tabela2[[#This Row],[CHAPA]],TUT.CONTROL!F:F,TUT.CONTROL!I:I),_xlfn.XLOOKUP(Tabela2[[#This Row],[CHAPA]],'REG.CONTROL'!F:F,'REG.CONTROL'!I:I))</f>
        <v>Demitido</v>
      </c>
      <c r="J383" s="17">
        <f>IFERROR(_xlfn.XLOOKUP(Tabela2[[#This Row],[NOME DO TUTOR]],TUT.CONTROL!C:C,TUT.CONTROL!G:G),"Demitido")</f>
        <v>45936</v>
      </c>
      <c r="K383" s="19">
        <v>51981023005</v>
      </c>
      <c r="L383" s="22">
        <f>IFERROR(_xlfn.XLOOKUP(Tabela2[[#This Row],[NOME DO TUTOR]],TUT.CONTROL!C:C,TUT.CONTROL!F:F),"Demitido")</f>
        <v>1158001022</v>
      </c>
      <c r="M383" s="8" t="s">
        <v>1153</v>
      </c>
      <c r="N383" s="11" t="str">
        <f>IFERROR(_xlfn.XLOOKUP(Tabela2[[#This Row],[CHAPA]],TUT.CONTROL!F:F,TUT.CONTROL!H:H),_xlfn.XLOOKUP(Tabela2[[#This Row],[CHAPA]],'REG.CONTROL'!F:F,'REG.CONTROL'!H:H))</f>
        <v>TUTOR DE PRATICA (UC_1749)</v>
      </c>
      <c r="O383" s="68" t="str">
        <f>IFERROR(_xlfn.XLOOKUP(Tabela2[[#This Row],[NOME DO TUTOR]],TUT.CONTROL!C:C,TUT.CONTROL!K:K),"Demitido")</f>
        <v>004:00</v>
      </c>
      <c r="P383" s="17">
        <f>IF(Tabela2[[#This Row],[SITUAÇÃO]]="Demitido",IFERROR(_xlfn.XLOOKUP(Tabela2[[#This Row],[CHAPA]],TUT.CONTROL!F:F,TUT.CONTROL!V:V),_xlfn.XLOOKUP(Tabela2[[#This Row],[CHAPA]],'REG.CONTROL'!F:F,'REG.CONTROL'!V:V)),"-")</f>
        <v>46042</v>
      </c>
      <c r="Q383" s="66" t="s">
        <v>43</v>
      </c>
      <c r="R383" s="8" t="s">
        <v>1129</v>
      </c>
      <c r="S383" s="8">
        <v>549953</v>
      </c>
    </row>
    <row r="384" spans="1:19" ht="13.5" hidden="1" x14ac:dyDescent="0.3">
      <c r="A38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Boa Viagem/CEBFIBIO-FISIO-EST-TO (Multidisciplinar III)</v>
      </c>
      <c r="B384" s="8" t="str">
        <f>Tabela2[[#This Row],[CATEGORIA]]&amp;Tabela2[[#This Row],[CURSOS]]&amp;"LAP - "&amp;Tabela2[[#This Row],[POLO]]</f>
        <v>BIO-FISIO-EST-TO (Multidisciplinar III)BFILAP - Boa Viagem/CE</v>
      </c>
      <c r="C384" s="8" t="str">
        <f>Tabela2[[#This Row],[CATEGORIA]]&amp;Tabela2[[#This Row],[CURSOS]]</f>
        <v>BIO-FISIO-EST-TO (Multidisciplinar III)BFI</v>
      </c>
      <c r="D384" s="8" t="str">
        <f>IF(Tabela2[[#This Row],[SITUAÇÃO]]&lt;&gt;"Demitido",CONCATENATE(Tabela2[[#This Row],[POLO]],Tabela2[[#This Row],[CURSOS]]),"Substituição")</f>
        <v>Boa Viagem/CEBFI</v>
      </c>
      <c r="E384" s="8" t="s">
        <v>757</v>
      </c>
      <c r="F384" s="67" t="s">
        <v>758</v>
      </c>
      <c r="G384" s="67" t="s">
        <v>114</v>
      </c>
      <c r="H384" s="9" t="s">
        <v>1154</v>
      </c>
      <c r="I384" s="17" t="str">
        <f>IFERROR(_xlfn.XLOOKUP(Tabela2[[#This Row],[CHAPA]],TUT.CONTROL!F:F,TUT.CONTROL!I:I),_xlfn.XLOOKUP(Tabela2[[#This Row],[CHAPA]],'REG.CONTROL'!F:F,'REG.CONTROL'!I:I))</f>
        <v>Ativo</v>
      </c>
      <c r="J384" s="17">
        <f>IFERROR(_xlfn.XLOOKUP(Tabela2[[#This Row],[NOME DO TUTOR]],TUT.CONTROL!C:C,TUT.CONTROL!G:G),"Demitido")</f>
        <v>45936</v>
      </c>
      <c r="K384" s="19">
        <v>88997636001</v>
      </c>
      <c r="L384" s="22">
        <f>IFERROR(_xlfn.XLOOKUP(Tabela2[[#This Row],[NOME DO TUTOR]],TUT.CONTROL!C:C,TUT.CONTROL!F:F),"Demitido")</f>
        <v>1158001014</v>
      </c>
      <c r="M384" s="8" t="s">
        <v>1155</v>
      </c>
      <c r="N384" s="11" t="str">
        <f>IFERROR(_xlfn.XLOOKUP(Tabela2[[#This Row],[CHAPA]],TUT.CONTROL!F:F,TUT.CONTROL!H:H),_xlfn.XLOOKUP(Tabela2[[#This Row],[CHAPA]],'REG.CONTROL'!F:F,'REG.CONTROL'!H:H))</f>
        <v>TUTOR DE PRATICA (UC_1749)</v>
      </c>
      <c r="O384" s="68" t="str">
        <f>IFERROR(_xlfn.XLOOKUP(Tabela2[[#This Row],[NOME DO TUTOR]],TUT.CONTROL!C:C,TUT.CONTROL!K:K),"Demitido")</f>
        <v>004:00</v>
      </c>
      <c r="P38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84" s="66" t="s">
        <v>30</v>
      </c>
      <c r="R384" s="8" t="s">
        <v>1156</v>
      </c>
      <c r="S384" s="8" t="s">
        <v>1157</v>
      </c>
    </row>
    <row r="385" spans="1:19" ht="13.5" hidden="1" customHeight="1" x14ac:dyDescent="0.3">
      <c r="A38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Santa Inês/MABTOBIO-FISIO-EST-TO (Multidisciplinar III)</v>
      </c>
      <c r="B385" s="8" t="str">
        <f>Tabela2[[#This Row],[CATEGORIA]]&amp;Tabela2[[#This Row],[CURSOS]]&amp;"LAP - "&amp;Tabela2[[#This Row],[POLO]]</f>
        <v>BIO-FISIO-EST-TO (Multidisciplinar III)BTOLAP - Santa Inês/MA</v>
      </c>
      <c r="C385" s="8" t="str">
        <f>Tabela2[[#This Row],[CATEGORIA]]&amp;Tabela2[[#This Row],[CURSOS]]</f>
        <v>BIO-FISIO-EST-TO (Multidisciplinar III)BTO</v>
      </c>
      <c r="D385" s="8" t="str">
        <f>IF(Tabela2[[#This Row],[SITUAÇÃO]]&lt;&gt;"Demitido",CONCATENATE(Tabela2[[#This Row],[POLO]],Tabela2[[#This Row],[CURSOS]]),"Substituição")</f>
        <v>Santa Inês/MABTO</v>
      </c>
      <c r="E385" s="8" t="s">
        <v>757</v>
      </c>
      <c r="F385" s="67" t="s">
        <v>987</v>
      </c>
      <c r="G385" s="67" t="s">
        <v>773</v>
      </c>
      <c r="H385" s="9" t="s">
        <v>1158</v>
      </c>
      <c r="I385" s="17" t="str">
        <f>IFERROR(_xlfn.XLOOKUP(Tabela2[[#This Row],[CHAPA]],TUT.CONTROL!F:F,TUT.CONTROL!I:I),_xlfn.XLOOKUP(Tabela2[[#This Row],[CHAPA]],'REG.CONTROL'!F:F,'REG.CONTROL'!I:I))</f>
        <v>Ativo</v>
      </c>
      <c r="J385" s="17">
        <f>IFERROR(_xlfn.XLOOKUP(Tabela2[[#This Row],[NOME DO TUTOR]],TUT.CONTROL!C:C,TUT.CONTROL!G:G),"Demitido")</f>
        <v>45936</v>
      </c>
      <c r="K385" s="19">
        <v>98982035777</v>
      </c>
      <c r="L385" s="22">
        <f>IFERROR(_xlfn.XLOOKUP(Tabela2[[#This Row],[NOME DO TUTOR]],TUT.CONTROL!C:C,TUT.CONTROL!F:F),"Demitido")</f>
        <v>1158001016</v>
      </c>
      <c r="M385" s="8" t="s">
        <v>1159</v>
      </c>
      <c r="N385" s="11" t="str">
        <f>IFERROR(_xlfn.XLOOKUP(Tabela2[[#This Row],[CHAPA]],TUT.CONTROL!F:F,TUT.CONTROL!H:H),_xlfn.XLOOKUP(Tabela2[[#This Row],[CHAPA]],'REG.CONTROL'!F:F,'REG.CONTROL'!H:H))</f>
        <v>TUTOR DE PRATICA (UC_1749)</v>
      </c>
      <c r="O385" s="68" t="str">
        <f>IFERROR(_xlfn.XLOOKUP(Tabela2[[#This Row],[NOME DO TUTOR]],TUT.CONTROL!C:C,TUT.CONTROL!K:K),"Demitido")</f>
        <v>004:00</v>
      </c>
      <c r="P38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85" s="66" t="s">
        <v>30</v>
      </c>
      <c r="R385" s="8"/>
      <c r="S385" s="8"/>
    </row>
    <row r="386" spans="1:19" ht="13.5" hidden="1" x14ac:dyDescent="0.3">
      <c r="A38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Belém/PA - São BrásBAUENGMAKER</v>
      </c>
      <c r="B386" s="8" t="str">
        <f>Tabela2[[#This Row],[CATEGORIA]]&amp;Tabela2[[#This Row],[CURSOS]]&amp;"LAP - "&amp;Tabela2[[#This Row],[POLO]]</f>
        <v>ENGMAKERBAULAP - Belém/PA - São Brás</v>
      </c>
      <c r="C386" s="8" t="str">
        <f>Tabela2[[#This Row],[CATEGORIA]]&amp;Tabela2[[#This Row],[CURSOS]]</f>
        <v>ENGMAKERBAU</v>
      </c>
      <c r="D386" s="8" t="str">
        <f>IF(Tabela2[[#This Row],[SITUAÇÃO]]&lt;&gt;"Demitido",CONCATENATE(Tabela2[[#This Row],[POLO]],Tabela2[[#This Row],[CURSOS]]),"Substituição")</f>
        <v>Belém/PA - São BrásBAU</v>
      </c>
      <c r="E386" s="8" t="s">
        <v>1160</v>
      </c>
      <c r="F386" s="67" t="s">
        <v>1161</v>
      </c>
      <c r="G386" s="67" t="s">
        <v>93</v>
      </c>
      <c r="H386" s="9" t="s">
        <v>1162</v>
      </c>
      <c r="I386" s="17" t="str">
        <f>IFERROR(_xlfn.XLOOKUP(Tabela2[[#This Row],[CHAPA]],TUT.CONTROL!F:F,TUT.CONTROL!I:I),_xlfn.XLOOKUP(Tabela2[[#This Row],[CHAPA]],'REG.CONTROL'!F:F,'REG.CONTROL'!I:I))</f>
        <v>Ativo</v>
      </c>
      <c r="J386" s="17">
        <f>IFERROR(_xlfn.XLOOKUP(Tabela2[[#This Row],[NOME DO TUTOR]],TUT.CONTROL!C:C,TUT.CONTROL!G:G),"Demitido")</f>
        <v>45936</v>
      </c>
      <c r="K386" s="19">
        <v>91987027596</v>
      </c>
      <c r="L386" s="22">
        <f>IFERROR(_xlfn.XLOOKUP(Tabela2[[#This Row],[NOME DO TUTOR]],TUT.CONTROL!C:C,TUT.CONTROL!F:F),"Demitido")</f>
        <v>1158001024</v>
      </c>
      <c r="M386" s="8" t="s">
        <v>1163</v>
      </c>
      <c r="N386" s="11" t="str">
        <f>IFERROR(_xlfn.XLOOKUP(Tabela2[[#This Row],[CHAPA]],TUT.CONTROL!F:F,TUT.CONTROL!H:H),_xlfn.XLOOKUP(Tabela2[[#This Row],[CHAPA]],'REG.CONTROL'!F:F,'REG.CONTROL'!H:H))</f>
        <v>TUTOR DE PRATICA (UC_1749)</v>
      </c>
      <c r="O386" s="68" t="str">
        <f>IFERROR(_xlfn.XLOOKUP(Tabela2[[#This Row],[NOME DO TUTOR]],TUT.CONTROL!C:C,TUT.CONTROL!K:K),"Demitido")</f>
        <v>004:00</v>
      </c>
      <c r="P38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86" s="66" t="s">
        <v>30</v>
      </c>
      <c r="R386" s="8" t="s">
        <v>1164</v>
      </c>
      <c r="S386" s="8" t="s">
        <v>1165</v>
      </c>
    </row>
    <row r="387" spans="1:19" ht="13.5" hidden="1" x14ac:dyDescent="0.3">
      <c r="A38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Arapiraca/ALAGMQUÍMICA E FÍSICA</v>
      </c>
      <c r="B387" s="8" t="str">
        <f>Tabela2[[#This Row],[CATEGORIA]]&amp;Tabela2[[#This Row],[CURSOS]]&amp;"LAP - "&amp;Tabela2[[#This Row],[POLO]]</f>
        <v>QUÍMICA E FÍSICAAGMLAP - Arapiraca/AL</v>
      </c>
      <c r="C387" s="8" t="str">
        <f>Tabela2[[#This Row],[CATEGORIA]]&amp;Tabela2[[#This Row],[CURSOS]]</f>
        <v>QUÍMICA E FÍSICAAGM</v>
      </c>
      <c r="D387" s="8" t="str">
        <f>IF(Tabela2[[#This Row],[SITUAÇÃO]]&lt;&gt;"Demitido",CONCATENATE(Tabela2[[#This Row],[POLO]],Tabela2[[#This Row],[CURSOS]]),"Substituição")</f>
        <v>Arapiraca/ALAGM</v>
      </c>
      <c r="E387" s="8" t="s">
        <v>734</v>
      </c>
      <c r="F387" s="67" t="s">
        <v>735</v>
      </c>
      <c r="G387" s="67" t="s">
        <v>1166</v>
      </c>
      <c r="H387" s="9" t="s">
        <v>1167</v>
      </c>
      <c r="I387" s="17" t="str">
        <f>IFERROR(_xlfn.XLOOKUP(Tabela2[[#This Row],[CHAPA]],TUT.CONTROL!F:F,TUT.CONTROL!I:I),_xlfn.XLOOKUP(Tabela2[[#This Row],[CHAPA]],'REG.CONTROL'!F:F,'REG.CONTROL'!I:I))</f>
        <v>Ativo</v>
      </c>
      <c r="J387" s="17">
        <f>IFERROR(_xlfn.XLOOKUP(Tabela2[[#This Row],[NOME DO TUTOR]],TUT.CONTROL!C:C,TUT.CONTROL!G:G),"Demitido")</f>
        <v>45936</v>
      </c>
      <c r="K387" s="19">
        <v>82987356541</v>
      </c>
      <c r="L387" s="22">
        <f>IFERROR(_xlfn.XLOOKUP(Tabela2[[#This Row],[NOME DO TUTOR]],TUT.CONTROL!C:C,TUT.CONTROL!F:F),"Demitido")</f>
        <v>1158001017</v>
      </c>
      <c r="M387" s="8" t="s">
        <v>1168</v>
      </c>
      <c r="N387" s="11" t="str">
        <f>IFERROR(_xlfn.XLOOKUP(Tabela2[[#This Row],[CHAPA]],TUT.CONTROL!F:F,TUT.CONTROL!H:H),_xlfn.XLOOKUP(Tabela2[[#This Row],[CHAPA]],'REG.CONTROL'!F:F,'REG.CONTROL'!H:H))</f>
        <v>TUTOR DE PRATICA (UC_1749)</v>
      </c>
      <c r="O387" s="68" t="str">
        <f>IFERROR(_xlfn.XLOOKUP(Tabela2[[#This Row],[NOME DO TUTOR]],TUT.CONTROL!C:C,TUT.CONTROL!K:K),"Demitido")</f>
        <v>004:00</v>
      </c>
      <c r="P38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87" s="66" t="s">
        <v>30</v>
      </c>
      <c r="R387" s="8" t="s">
        <v>1169</v>
      </c>
      <c r="S387" s="8" t="s">
        <v>1170</v>
      </c>
    </row>
    <row r="388" spans="1:19" ht="13.5" hidden="1" x14ac:dyDescent="0.3">
      <c r="A38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Rio de Janeiro/RJ - Campo GrandeBFIBIO-FISIO-EST-TO (Multidisciplinar III)</v>
      </c>
      <c r="B388" s="8" t="str">
        <f>Tabela2[[#This Row],[CATEGORIA]]&amp;Tabela2[[#This Row],[CURSOS]]&amp;"LAP - "&amp;Tabela2[[#This Row],[POLO]]</f>
        <v>BIO-FISIO-EST-TO (Multidisciplinar III)BFILAP - Rio de Janeiro/RJ - Campo Grande</v>
      </c>
      <c r="C388" s="8" t="str">
        <f>Tabela2[[#This Row],[CATEGORIA]]&amp;Tabela2[[#This Row],[CURSOS]]</f>
        <v>BIO-FISIO-EST-TO (Multidisciplinar III)BFI</v>
      </c>
      <c r="D388" s="8" t="str">
        <f>IF(Tabela2[[#This Row],[SITUAÇÃO]]&lt;&gt;"Demitido",CONCATENATE(Tabela2[[#This Row],[POLO]],Tabela2[[#This Row],[CURSOS]]),"Substituição")</f>
        <v>Rio de Janeiro/RJ - Campo GrandeBFI</v>
      </c>
      <c r="E388" s="8" t="s">
        <v>757</v>
      </c>
      <c r="F388" s="67" t="s">
        <v>758</v>
      </c>
      <c r="G388" s="67" t="s">
        <v>833</v>
      </c>
      <c r="H388" s="9" t="s">
        <v>1171</v>
      </c>
      <c r="I388" s="17" t="str">
        <f>IFERROR(_xlfn.XLOOKUP(Tabela2[[#This Row],[CHAPA]],TUT.CONTROL!F:F,TUT.CONTROL!I:I),_xlfn.XLOOKUP(Tabela2[[#This Row],[CHAPA]],'REG.CONTROL'!F:F,'REG.CONTROL'!I:I))</f>
        <v>Ativo</v>
      </c>
      <c r="J388" s="17">
        <f>IFERROR(_xlfn.XLOOKUP(Tabela2[[#This Row],[NOME DO TUTOR]],TUT.CONTROL!C:C,TUT.CONTROL!G:G),"Demitido")</f>
        <v>45936</v>
      </c>
      <c r="K388" s="19">
        <v>21989095637</v>
      </c>
      <c r="L388" s="22">
        <f>IFERROR(_xlfn.XLOOKUP(Tabela2[[#This Row],[NOME DO TUTOR]],TUT.CONTROL!C:C,TUT.CONTROL!F:F),"Demitido")</f>
        <v>1158001021</v>
      </c>
      <c r="M388" s="8" t="s">
        <v>1172</v>
      </c>
      <c r="N388" s="11" t="str">
        <f>IFERROR(_xlfn.XLOOKUP(Tabela2[[#This Row],[CHAPA]],TUT.CONTROL!F:F,TUT.CONTROL!H:H),_xlfn.XLOOKUP(Tabela2[[#This Row],[CHAPA]],'REG.CONTROL'!F:F,'REG.CONTROL'!H:H))</f>
        <v>TUTOR DE PRATICA (UC_1749)</v>
      </c>
      <c r="O388" s="68" t="str">
        <f>IFERROR(_xlfn.XLOOKUP(Tabela2[[#This Row],[NOME DO TUTOR]],TUT.CONTROL!C:C,TUT.CONTROL!K:K),"Demitido")</f>
        <v>004:00</v>
      </c>
      <c r="P38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88" s="66" t="s">
        <v>30</v>
      </c>
      <c r="R388" s="8"/>
      <c r="S388" s="8"/>
    </row>
    <row r="389" spans="1:19" ht="13.5" hidden="1" x14ac:dyDescent="0.3">
      <c r="A38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89" s="8" t="str">
        <f>Tabela2[[#This Row],[CATEGORIA]]&amp;Tabela2[[#This Row],[CURSOS]]&amp;"LAP - "&amp;Tabela2[[#This Row],[POLO]]</f>
        <v>BIO-FAR (Multidisciplinar I)BFRLAP - Camaquã/RS</v>
      </c>
      <c r="C389" s="8" t="str">
        <f>Tabela2[[#This Row],[CATEGORIA]]&amp;Tabela2[[#This Row],[CURSOS]]</f>
        <v>BIO-FAR (Multidisciplinar I)BFR</v>
      </c>
      <c r="D389" s="8" t="str">
        <f>IF(Tabela2[[#This Row],[SITUAÇÃO]]&lt;&gt;"Demitido",CONCATENATE(Tabela2[[#This Row],[POLO]],Tabela2[[#This Row],[CURSOS]]),"Substituição")</f>
        <v>Substituição</v>
      </c>
      <c r="E389" s="8" t="s">
        <v>771</v>
      </c>
      <c r="F389" s="67" t="s">
        <v>772</v>
      </c>
      <c r="G389" s="67" t="s">
        <v>161</v>
      </c>
      <c r="H389" s="9" t="s">
        <v>1173</v>
      </c>
      <c r="I389" s="17" t="str">
        <f>IFERROR(_xlfn.XLOOKUP(Tabela2[[#This Row],[CHAPA]],TUT.CONTROL!F:F,TUT.CONTROL!I:I),_xlfn.XLOOKUP(Tabela2[[#This Row],[CHAPA]],'REG.CONTROL'!F:F,'REG.CONTROL'!I:I))</f>
        <v>Demitido</v>
      </c>
      <c r="J389" s="17">
        <f>IFERROR(_xlfn.XLOOKUP(Tabela2[[#This Row],[NOME DO TUTOR]],TUT.CONTROL!C:C,TUT.CONTROL!G:G),"Demitido")</f>
        <v>45936</v>
      </c>
      <c r="K389" s="19">
        <v>53999287786</v>
      </c>
      <c r="L389" s="22">
        <f>IFERROR(_xlfn.XLOOKUP(Tabela2[[#This Row],[NOME DO TUTOR]],TUT.CONTROL!C:C,TUT.CONTROL!F:F),"Demitido")</f>
        <v>1158001019</v>
      </c>
      <c r="M389" s="8" t="s">
        <v>1174</v>
      </c>
      <c r="N389" s="11" t="str">
        <f>IFERROR(_xlfn.XLOOKUP(Tabela2[[#This Row],[CHAPA]],TUT.CONTROL!F:F,TUT.CONTROL!H:H),_xlfn.XLOOKUP(Tabela2[[#This Row],[CHAPA]],'REG.CONTROL'!F:F,'REG.CONTROL'!H:H))</f>
        <v>TUTOR DE PRATICA (UC_1749)</v>
      </c>
      <c r="O389" s="68" t="str">
        <f>IFERROR(_xlfn.XLOOKUP(Tabela2[[#This Row],[NOME DO TUTOR]],TUT.CONTROL!C:C,TUT.CONTROL!K:K),"Demitido")</f>
        <v>004:00</v>
      </c>
      <c r="P389" s="17">
        <f>IF(Tabela2[[#This Row],[SITUAÇÃO]]="Demitido",IFERROR(_xlfn.XLOOKUP(Tabela2[[#This Row],[CHAPA]],TUT.CONTROL!F:F,TUT.CONTROL!V:V),_xlfn.XLOOKUP(Tabela2[[#This Row],[CHAPA]],'REG.CONTROL'!F:F,'REG.CONTROL'!V:V)),"-")</f>
        <v>46098</v>
      </c>
      <c r="Q389" s="66" t="s">
        <v>43</v>
      </c>
      <c r="R389" s="8"/>
      <c r="S389" s="8"/>
    </row>
    <row r="390" spans="1:19" ht="13.5" hidden="1" x14ac:dyDescent="0.3">
      <c r="A39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90" s="8" t="str">
        <f>Tabela2[[#This Row],[CATEGORIA]]&amp;Tabela2[[#This Row],[CURSOS]]&amp;"LAP - "&amp;Tabela2[[#This Row],[POLO]]</f>
        <v>QUÍMICA E FÍSICAAGMLAP - Tangará da Serra/MT</v>
      </c>
      <c r="C390" s="8" t="str">
        <f>Tabela2[[#This Row],[CATEGORIA]]&amp;Tabela2[[#This Row],[CURSOS]]</f>
        <v>QUÍMICA E FÍSICAAGM</v>
      </c>
      <c r="D390" s="8" t="str">
        <f>IF(Tabela2[[#This Row],[SITUAÇÃO]]&lt;&gt;"Demitido",CONCATENATE(Tabela2[[#This Row],[POLO]],Tabela2[[#This Row],[CURSOS]]),"Substituição")</f>
        <v>Substituição</v>
      </c>
      <c r="E390" s="8" t="s">
        <v>734</v>
      </c>
      <c r="F390" s="67" t="s">
        <v>735</v>
      </c>
      <c r="G390" s="67" t="s">
        <v>1175</v>
      </c>
      <c r="H390" s="9" t="s">
        <v>1176</v>
      </c>
      <c r="I390" s="17" t="str">
        <f>IFERROR(_xlfn.XLOOKUP(Tabela2[[#This Row],[CHAPA]],TUT.CONTROL!F:F,TUT.CONTROL!I:I),_xlfn.XLOOKUP(Tabela2[[#This Row],[CHAPA]],'REG.CONTROL'!F:F,'REG.CONTROL'!I:I))</f>
        <v>Demitido</v>
      </c>
      <c r="J390" s="17">
        <f>IFERROR(_xlfn.XLOOKUP(Tabela2[[#This Row],[NOME DO TUTOR]],TUT.CONTROL!C:C,TUT.CONTROL!G:G),"Demitido")</f>
        <v>45938</v>
      </c>
      <c r="K390" s="19">
        <v>65999252354</v>
      </c>
      <c r="L390" s="22">
        <f>IFERROR(_xlfn.XLOOKUP(Tabela2[[#This Row],[NOME DO TUTOR]],TUT.CONTROL!C:C,TUT.CONTROL!F:F),"Demitido")</f>
        <v>1158001032</v>
      </c>
      <c r="M390" s="8" t="s">
        <v>1177</v>
      </c>
      <c r="N390" s="11" t="str">
        <f>IFERROR(_xlfn.XLOOKUP(Tabela2[[#This Row],[CHAPA]],TUT.CONTROL!F:F,TUT.CONTROL!H:H),_xlfn.XLOOKUP(Tabela2[[#This Row],[CHAPA]],'REG.CONTROL'!F:F,'REG.CONTROL'!H:H))</f>
        <v>TUTOR DE PRATICA (UC_1749)</v>
      </c>
      <c r="O390" s="68" t="str">
        <f>IFERROR(_xlfn.XLOOKUP(Tabela2[[#This Row],[NOME DO TUTOR]],TUT.CONTROL!C:C,TUT.CONTROL!K:K),"Demitido")</f>
        <v>004:00</v>
      </c>
      <c r="P390" s="17">
        <f>IF(Tabela2[[#This Row],[SITUAÇÃO]]="Demitido",IFERROR(_xlfn.XLOOKUP(Tabela2[[#This Row],[CHAPA]],TUT.CONTROL!F:F,TUT.CONTROL!V:V),_xlfn.XLOOKUP(Tabela2[[#This Row],[CHAPA]],'REG.CONTROL'!F:F,'REG.CONTROL'!V:V)),"-")</f>
        <v>45979</v>
      </c>
      <c r="Q390" s="66" t="s">
        <v>43</v>
      </c>
      <c r="R390" s="66" t="s">
        <v>43</v>
      </c>
      <c r="S390" s="8"/>
    </row>
    <row r="391" spans="1:19" ht="13.5" hidden="1" x14ac:dyDescent="0.3">
      <c r="A39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Guaramirim/SCBAUENGMAKER</v>
      </c>
      <c r="B391" s="8" t="str">
        <f>Tabela2[[#This Row],[CATEGORIA]]&amp;Tabela2[[#This Row],[CURSOS]]&amp;"LAP - "&amp;Tabela2[[#This Row],[POLO]]</f>
        <v>ENGMAKERBAULAP - Guaramirim/SC</v>
      </c>
      <c r="C391" s="8" t="str">
        <f>Tabela2[[#This Row],[CATEGORIA]]&amp;Tabela2[[#This Row],[CURSOS]]</f>
        <v>ENGMAKERBAU</v>
      </c>
      <c r="D391" s="8" t="str">
        <f>IF(Tabela2[[#This Row],[SITUAÇÃO]]&lt;&gt;"Demitido",CONCATENATE(Tabela2[[#This Row],[POLO]],Tabela2[[#This Row],[CURSOS]]),"Substituição")</f>
        <v>Guaramirim/SCBAU</v>
      </c>
      <c r="E391" s="8" t="s">
        <v>1160</v>
      </c>
      <c r="F391" s="67" t="s">
        <v>1161</v>
      </c>
      <c r="G391" s="67" t="s">
        <v>320</v>
      </c>
      <c r="H391" s="9" t="s">
        <v>1178</v>
      </c>
      <c r="I391" s="17" t="str">
        <f>IFERROR(_xlfn.XLOOKUP(Tabela2[[#This Row],[CHAPA]],TUT.CONTROL!F:F,TUT.CONTROL!I:I),_xlfn.XLOOKUP(Tabela2[[#This Row],[CHAPA]],'REG.CONTROL'!F:F,'REG.CONTROL'!I:I))</f>
        <v>Ativo</v>
      </c>
      <c r="J391" s="17">
        <f>IFERROR(_xlfn.XLOOKUP(Tabela2[[#This Row],[NOME DO TUTOR]],TUT.CONTROL!C:C,TUT.CONTROL!G:G),"Demitido")</f>
        <v>45938</v>
      </c>
      <c r="K391" s="19">
        <v>47984422318</v>
      </c>
      <c r="L391" s="22">
        <f>IFERROR(_xlfn.XLOOKUP(Tabela2[[#This Row],[NOME DO TUTOR]],TUT.CONTROL!C:C,TUT.CONTROL!F:F),"Demitido")</f>
        <v>1158001031</v>
      </c>
      <c r="M391" s="8" t="s">
        <v>1179</v>
      </c>
      <c r="N391" s="11" t="str">
        <f>IFERROR(_xlfn.XLOOKUP(Tabela2[[#This Row],[CHAPA]],TUT.CONTROL!F:F,TUT.CONTROL!H:H),_xlfn.XLOOKUP(Tabela2[[#This Row],[CHAPA]],'REG.CONTROL'!F:F,'REG.CONTROL'!H:H))</f>
        <v>TUTOR DE PRATICA (UC_1749)</v>
      </c>
      <c r="O391" s="68" t="str">
        <f>IFERROR(_xlfn.XLOOKUP(Tabela2[[#This Row],[NOME DO TUTOR]],TUT.CONTROL!C:C,TUT.CONTROL!K:K),"Demitido")</f>
        <v>004:00</v>
      </c>
      <c r="P39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91" s="66" t="s">
        <v>30</v>
      </c>
      <c r="R391" s="8"/>
      <c r="S391" s="8"/>
    </row>
    <row r="392" spans="1:19" ht="13.5" hidden="1" x14ac:dyDescent="0.3">
      <c r="A39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Goiânia/GO - Jardim EuropaBTOBIO-FISIO-EST-TO (Multidisciplinar III)</v>
      </c>
      <c r="B392" s="8" t="str">
        <f>Tabela2[[#This Row],[CATEGORIA]]&amp;Tabela2[[#This Row],[CURSOS]]&amp;"LAP - "&amp;Tabela2[[#This Row],[POLO]]</f>
        <v>BIO-FISIO-EST-TO (Multidisciplinar III)BTOLAP - Goiânia/GO - Jardim Europa</v>
      </c>
      <c r="C392" s="8" t="str">
        <f>Tabela2[[#This Row],[CATEGORIA]]&amp;Tabela2[[#This Row],[CURSOS]]</f>
        <v>BIO-FISIO-EST-TO (Multidisciplinar III)BTO</v>
      </c>
      <c r="D392" s="8" t="str">
        <f>IF(Tabela2[[#This Row],[SITUAÇÃO]]&lt;&gt;"Demitido",CONCATENATE(Tabela2[[#This Row],[POLO]],Tabela2[[#This Row],[CURSOS]]),"Substituição")</f>
        <v>Goiânia/GO - Jardim EuropaBTO</v>
      </c>
      <c r="E392" s="8" t="s">
        <v>757</v>
      </c>
      <c r="F392" s="67" t="s">
        <v>987</v>
      </c>
      <c r="G392" s="67" t="s">
        <v>999</v>
      </c>
      <c r="H392" s="9" t="s">
        <v>1180</v>
      </c>
      <c r="I392" s="17" t="str">
        <f>IFERROR(_xlfn.XLOOKUP(Tabela2[[#This Row],[CHAPA]],TUT.CONTROL!F:F,TUT.CONTROL!I:I),_xlfn.XLOOKUP(Tabela2[[#This Row],[CHAPA]],'REG.CONTROL'!F:F,'REG.CONTROL'!I:I))</f>
        <v>Ativo</v>
      </c>
      <c r="J392" s="17">
        <f>IFERROR(_xlfn.XLOOKUP(Tabela2[[#This Row],[NOME DO TUTOR]],TUT.CONTROL!C:C,TUT.CONTROL!G:G),"Demitido")</f>
        <v>45938</v>
      </c>
      <c r="K392" s="19">
        <v>62994359048</v>
      </c>
      <c r="L392" s="22">
        <f>IFERROR(_xlfn.XLOOKUP(Tabela2[[#This Row],[NOME DO TUTOR]],TUT.CONTROL!C:C,TUT.CONTROL!F:F),"Demitido")</f>
        <v>1158001034</v>
      </c>
      <c r="M392" s="8" t="s">
        <v>1181</v>
      </c>
      <c r="N392" s="11" t="str">
        <f>IFERROR(_xlfn.XLOOKUP(Tabela2[[#This Row],[CHAPA]],TUT.CONTROL!F:F,TUT.CONTROL!H:H),_xlfn.XLOOKUP(Tabela2[[#This Row],[CHAPA]],'REG.CONTROL'!F:F,'REG.CONTROL'!H:H))</f>
        <v>TUTOR DE PRATICA (UC_1749)</v>
      </c>
      <c r="O392" s="68" t="str">
        <f>IFERROR(_xlfn.XLOOKUP(Tabela2[[#This Row],[NOME DO TUTOR]],TUT.CONTROL!C:C,TUT.CONTROL!K:K),"Demitido")</f>
        <v>004:00</v>
      </c>
      <c r="P39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92" s="66" t="s">
        <v>30</v>
      </c>
      <c r="R392" s="8"/>
      <c r="S392" s="8"/>
    </row>
    <row r="393" spans="1:19" ht="13.5" hidden="1" x14ac:dyDescent="0.3">
      <c r="A39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Camboriú/SCBAUENGMAKER</v>
      </c>
      <c r="B393" s="8" t="str">
        <f>Tabela2[[#This Row],[CATEGORIA]]&amp;Tabela2[[#This Row],[CURSOS]]&amp;"LAP - "&amp;Tabela2[[#This Row],[POLO]]</f>
        <v>ENGMAKERBAULAP - Camboriú/SC</v>
      </c>
      <c r="C393" s="8" t="str">
        <f>Tabela2[[#This Row],[CATEGORIA]]&amp;Tabela2[[#This Row],[CURSOS]]</f>
        <v>ENGMAKERBAU</v>
      </c>
      <c r="D393" s="8" t="str">
        <f>IF(Tabela2[[#This Row],[SITUAÇÃO]]&lt;&gt;"Demitido",CONCATENATE(Tabela2[[#This Row],[POLO]],Tabela2[[#This Row],[CURSOS]]),"Substituição")</f>
        <v>Camboriú/SCBAU</v>
      </c>
      <c r="E393" s="8" t="s">
        <v>1160</v>
      </c>
      <c r="F393" s="67" t="s">
        <v>1161</v>
      </c>
      <c r="G393" s="67" t="s">
        <v>706</v>
      </c>
      <c r="H393" s="9" t="s">
        <v>1182</v>
      </c>
      <c r="I393" s="17" t="str">
        <f>IFERROR(_xlfn.XLOOKUP(Tabela2[[#This Row],[CHAPA]],TUT.CONTROL!F:F,TUT.CONTROL!I:I),_xlfn.XLOOKUP(Tabela2[[#This Row],[CHAPA]],'REG.CONTROL'!F:F,'REG.CONTROL'!I:I))</f>
        <v>Ativo</v>
      </c>
      <c r="J393" s="17">
        <f>IFERROR(_xlfn.XLOOKUP(Tabela2[[#This Row],[NOME DO TUTOR]],TUT.CONTROL!C:C,TUT.CONTROL!G:G),"Demitido")</f>
        <v>45938</v>
      </c>
      <c r="K393" s="19">
        <v>47999238014</v>
      </c>
      <c r="L393" s="22">
        <f>IFERROR(_xlfn.XLOOKUP(Tabela2[[#This Row],[NOME DO TUTOR]],TUT.CONTROL!C:C,TUT.CONTROL!F:F),"Demitido")</f>
        <v>1158001033</v>
      </c>
      <c r="M393" s="8" t="s">
        <v>1183</v>
      </c>
      <c r="N393" s="11" t="str">
        <f>IFERROR(_xlfn.XLOOKUP(Tabela2[[#This Row],[CHAPA]],TUT.CONTROL!F:F,TUT.CONTROL!H:H),_xlfn.XLOOKUP(Tabela2[[#This Row],[CHAPA]],'REG.CONTROL'!F:F,'REG.CONTROL'!H:H))</f>
        <v>TUTOR DE PRATICA (UC_1749)</v>
      </c>
      <c r="O393" s="68" t="str">
        <f>IFERROR(_xlfn.XLOOKUP(Tabela2[[#This Row],[NOME DO TUTOR]],TUT.CONTROL!C:C,TUT.CONTROL!K:K),"Demitido")</f>
        <v>004:00</v>
      </c>
      <c r="P39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93" s="66" t="s">
        <v>30</v>
      </c>
      <c r="R393" s="8" t="s">
        <v>1184</v>
      </c>
      <c r="S393" s="8" t="s">
        <v>1185</v>
      </c>
    </row>
    <row r="394" spans="1:19" ht="13.5" hidden="1" x14ac:dyDescent="0.3">
      <c r="A39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94" s="8" t="str">
        <f>Tabela2[[#This Row],[CATEGORIA]]&amp;Tabela2[[#This Row],[CURSOS]]&amp;"LAP - "&amp;Tabela2[[#This Row],[POLO]]</f>
        <v>BIO-FAR (Multidisciplinar I)BFRLAP - Foz do Iguaçu/PR</v>
      </c>
      <c r="C394" s="8" t="str">
        <f>Tabela2[[#This Row],[CATEGORIA]]&amp;Tabela2[[#This Row],[CURSOS]]</f>
        <v>BIO-FAR (Multidisciplinar I)BFR</v>
      </c>
      <c r="D394" s="8" t="str">
        <f>IF(Tabela2[[#This Row],[SITUAÇÃO]]&lt;&gt;"Demitido",CONCATENATE(Tabela2[[#This Row],[POLO]],Tabela2[[#This Row],[CURSOS]]),"Substituição")</f>
        <v>Substituição</v>
      </c>
      <c r="E394" s="8" t="s">
        <v>771</v>
      </c>
      <c r="F394" s="67" t="s">
        <v>772</v>
      </c>
      <c r="G394" s="67" t="s">
        <v>1186</v>
      </c>
      <c r="H394" s="75" t="s">
        <v>1187</v>
      </c>
      <c r="I394" s="17" t="str">
        <f>IFERROR(_xlfn.XLOOKUP(Tabela2[[#This Row],[CHAPA]],TUT.CONTROL!F:F,TUT.CONTROL!I:I),_xlfn.XLOOKUP(Tabela2[[#This Row],[CHAPA]],'REG.CONTROL'!F:F,'REG.CONTROL'!I:I))</f>
        <v>Demitido</v>
      </c>
      <c r="J394" s="17">
        <f>IFERROR(_xlfn.XLOOKUP(Tabela2[[#This Row],[NOME DO TUTOR]],TUT.CONTROL!C:C,TUT.CONTROL!G:G),"Demitido")</f>
        <v>45938</v>
      </c>
      <c r="K394" s="19">
        <v>45999305881</v>
      </c>
      <c r="L394" s="22">
        <f>IFERROR(_xlfn.XLOOKUP(Tabela2[[#This Row],[NOME DO TUTOR]],TUT.CONTROL!C:C,TUT.CONTROL!F:F),"Demitido")</f>
        <v>1158001035</v>
      </c>
      <c r="M394" s="8" t="s">
        <v>1188</v>
      </c>
      <c r="N394" s="11" t="str">
        <f>IFERROR(_xlfn.XLOOKUP(Tabela2[[#This Row],[CHAPA]],TUT.CONTROL!F:F,TUT.CONTROL!H:H),_xlfn.XLOOKUP(Tabela2[[#This Row],[CHAPA]],'REG.CONTROL'!F:F,'REG.CONTROL'!H:H))</f>
        <v>TUTOR DE PRATICA (UC_1749)</v>
      </c>
      <c r="O394" s="68" t="str">
        <f>IFERROR(_xlfn.XLOOKUP(Tabela2[[#This Row],[NOME DO TUTOR]],TUT.CONTROL!C:C,TUT.CONTROL!K:K),"Demitido")</f>
        <v>004:00</v>
      </c>
      <c r="P394" s="17">
        <f>IF(Tabela2[[#This Row],[SITUAÇÃO]]="Demitido",IFERROR(_xlfn.XLOOKUP(Tabela2[[#This Row],[CHAPA]],TUT.CONTROL!F:F,TUT.CONTROL!V:V),_xlfn.XLOOKUP(Tabela2[[#This Row],[CHAPA]],'REG.CONTROL'!F:F,'REG.CONTROL'!V:V)),"-")</f>
        <v>46113</v>
      </c>
      <c r="Q394" s="66"/>
      <c r="R394" s="8"/>
      <c r="S394" s="8"/>
    </row>
    <row r="395" spans="1:19" ht="13.5" hidden="1" x14ac:dyDescent="0.3">
      <c r="A39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95" s="8" t="str">
        <f>Tabela2[[#This Row],[CATEGORIA]]&amp;Tabela2[[#This Row],[CURSOS]]&amp;"LAP - "&amp;Tabela2[[#This Row],[POLO]]</f>
        <v>ENGMAKERBAULAP - Novo Hamburgo/RS - Centro</v>
      </c>
      <c r="C395" s="8" t="str">
        <f>Tabela2[[#This Row],[CATEGORIA]]&amp;Tabela2[[#This Row],[CURSOS]]</f>
        <v>ENGMAKERBAU</v>
      </c>
      <c r="D395" s="8" t="str">
        <f>IF(Tabela2[[#This Row],[SITUAÇÃO]]&lt;&gt;"Demitido",CONCATENATE(Tabela2[[#This Row],[POLO]],Tabela2[[#This Row],[CURSOS]]),"Substituição")</f>
        <v>Substituição</v>
      </c>
      <c r="E395" s="8" t="s">
        <v>1160</v>
      </c>
      <c r="F395" s="67" t="s">
        <v>1161</v>
      </c>
      <c r="G395" s="67" t="s">
        <v>520</v>
      </c>
      <c r="H395" s="9" t="s">
        <v>1189</v>
      </c>
      <c r="I395" s="17" t="str">
        <f>IFERROR(_xlfn.XLOOKUP(Tabela2[[#This Row],[CHAPA]],TUT.CONTROL!F:F,TUT.CONTROL!I:I),_xlfn.XLOOKUP(Tabela2[[#This Row],[CHAPA]],'REG.CONTROL'!F:F,'REG.CONTROL'!I:I))</f>
        <v>Demitido</v>
      </c>
      <c r="J395" s="17">
        <f>IFERROR(_xlfn.XLOOKUP(Tabela2[[#This Row],[NOME DO TUTOR]],TUT.CONTROL!C:C,TUT.CONTROL!G:G),"Demitido")</f>
        <v>45938</v>
      </c>
      <c r="K395" s="19">
        <v>49991863771</v>
      </c>
      <c r="L395" s="22">
        <f>IFERROR(_xlfn.XLOOKUP(Tabela2[[#This Row],[NOME DO TUTOR]],TUT.CONTROL!C:C,TUT.CONTROL!F:F),"Demitido")</f>
        <v>1158001030</v>
      </c>
      <c r="M395" s="8" t="s">
        <v>1190</v>
      </c>
      <c r="N395" s="11" t="str">
        <f>IFERROR(_xlfn.XLOOKUP(Tabela2[[#This Row],[CHAPA]],TUT.CONTROL!F:F,TUT.CONTROL!H:H),_xlfn.XLOOKUP(Tabela2[[#This Row],[CHAPA]],'REG.CONTROL'!F:F,'REG.CONTROL'!H:H))</f>
        <v>TUTOR DE PRATICA (UC_1749)</v>
      </c>
      <c r="O395" s="68" t="str">
        <f>IFERROR(_xlfn.XLOOKUP(Tabela2[[#This Row],[NOME DO TUTOR]],TUT.CONTROL!C:C,TUT.CONTROL!K:K),"Demitido")</f>
        <v>004:00</v>
      </c>
      <c r="P395" s="17">
        <f>IF(Tabela2[[#This Row],[SITUAÇÃO]]="Demitido",IFERROR(_xlfn.XLOOKUP(Tabela2[[#This Row],[CHAPA]],TUT.CONTROL!F:F,TUT.CONTROL!V:V),_xlfn.XLOOKUP(Tabela2[[#This Row],[CHAPA]],'REG.CONTROL'!F:F,'REG.CONTROL'!V:V)),"-")</f>
        <v>46113</v>
      </c>
      <c r="Q395" s="66" t="s">
        <v>30</v>
      </c>
      <c r="R395" s="8" t="s">
        <v>1191</v>
      </c>
      <c r="S395" s="8" t="s">
        <v>1192</v>
      </c>
    </row>
    <row r="396" spans="1:19" ht="13.5" hidden="1" x14ac:dyDescent="0.3">
      <c r="A39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396" s="8" t="str">
        <f>Tabela2[[#This Row],[CATEGORIA]]&amp;Tabela2[[#This Row],[CURSOS]]&amp;"LAP - "&amp;Tabela2[[#This Row],[POLO]]</f>
        <v>BIO-FAR (Multidisciplinar I)BFRLAP - Rio de Janeiro/RJ - Ilha do Governador</v>
      </c>
      <c r="C396" s="8" t="str">
        <f>Tabela2[[#This Row],[CATEGORIA]]&amp;Tabela2[[#This Row],[CURSOS]]</f>
        <v>BIO-FAR (Multidisciplinar I)BFR</v>
      </c>
      <c r="D396" s="8" t="str">
        <f>IF(Tabela2[[#This Row],[SITUAÇÃO]]&lt;&gt;"Demitido",CONCATENATE(Tabela2[[#This Row],[POLO]],Tabela2[[#This Row],[CURSOS]]),"Substituição")</f>
        <v>Substituição</v>
      </c>
      <c r="E396" s="8" t="s">
        <v>771</v>
      </c>
      <c r="F396" s="67" t="s">
        <v>772</v>
      </c>
      <c r="G396" s="67" t="s">
        <v>691</v>
      </c>
      <c r="H396" s="9" t="s">
        <v>1193</v>
      </c>
      <c r="I396" s="17" t="str">
        <f>IFERROR(_xlfn.XLOOKUP(Tabela2[[#This Row],[CHAPA]],TUT.CONTROL!F:F,TUT.CONTROL!I:I),_xlfn.XLOOKUP(Tabela2[[#This Row],[CHAPA]],'REG.CONTROL'!F:F,'REG.CONTROL'!I:I))</f>
        <v>Demitido</v>
      </c>
      <c r="J396" s="17">
        <f>IFERROR(_xlfn.XLOOKUP(Tabela2[[#This Row],[NOME DO TUTOR]],TUT.CONTROL!C:C,TUT.CONTROL!G:G),"Demitido")</f>
        <v>45943</v>
      </c>
      <c r="K396" s="19">
        <v>21964147653</v>
      </c>
      <c r="L396" s="22">
        <f>IFERROR(_xlfn.XLOOKUP(Tabela2[[#This Row],[NOME DO TUTOR]],TUT.CONTROL!C:C,TUT.CONTROL!F:F),"Demitido")</f>
        <v>1158001036</v>
      </c>
      <c r="M396" s="8" t="s">
        <v>1194</v>
      </c>
      <c r="N396" s="11" t="str">
        <f>IFERROR(_xlfn.XLOOKUP(Tabela2[[#This Row],[CHAPA]],TUT.CONTROL!F:F,TUT.CONTROL!H:H),_xlfn.XLOOKUP(Tabela2[[#This Row],[CHAPA]],'REG.CONTROL'!F:F,'REG.CONTROL'!H:H))</f>
        <v>TUTOR DE PRATICA (UC_1749)</v>
      </c>
      <c r="O396" s="68" t="str">
        <f>IFERROR(_xlfn.XLOOKUP(Tabela2[[#This Row],[NOME DO TUTOR]],TUT.CONTROL!C:C,TUT.CONTROL!K:K),"Demitido")</f>
        <v>004:00</v>
      </c>
      <c r="P396" s="17">
        <f>IF(Tabela2[[#This Row],[SITUAÇÃO]]="Demitido",IFERROR(_xlfn.XLOOKUP(Tabela2[[#This Row],[CHAPA]],TUT.CONTROL!F:F,TUT.CONTROL!V:V),_xlfn.XLOOKUP(Tabela2[[#This Row],[CHAPA]],'REG.CONTROL'!F:F,'REG.CONTROL'!V:V)),"-")</f>
        <v>46042</v>
      </c>
      <c r="Q396" s="66" t="s">
        <v>43</v>
      </c>
      <c r="R396" s="8" t="s">
        <v>836</v>
      </c>
      <c r="S396" s="8">
        <v>8857</v>
      </c>
    </row>
    <row r="397" spans="1:19" ht="13.5" hidden="1" x14ac:dyDescent="0.3">
      <c r="A39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Itaguaí/RJ - Edifício ManancialBAUENGMAKER</v>
      </c>
      <c r="B397" s="8" t="str">
        <f>Tabela2[[#This Row],[CATEGORIA]]&amp;Tabela2[[#This Row],[CURSOS]]&amp;"LAP - "&amp;Tabela2[[#This Row],[POLO]]</f>
        <v>ENGMAKERBAULAP - Itaguaí/RJ - Edifício Manancial</v>
      </c>
      <c r="C397" s="8" t="str">
        <f>Tabela2[[#This Row],[CATEGORIA]]&amp;Tabela2[[#This Row],[CURSOS]]</f>
        <v>ENGMAKERBAU</v>
      </c>
      <c r="D397" s="8" t="str">
        <f>IF(Tabela2[[#This Row],[SITUAÇÃO]]&lt;&gt;"Demitido",CONCATENATE(Tabela2[[#This Row],[POLO]],Tabela2[[#This Row],[CURSOS]]),"Substituição")</f>
        <v>Itaguaí/RJ - Edifício ManancialBAU</v>
      </c>
      <c r="E397" s="8" t="s">
        <v>1160</v>
      </c>
      <c r="F397" s="67" t="s">
        <v>1161</v>
      </c>
      <c r="G397" s="67" t="s">
        <v>696</v>
      </c>
      <c r="H397" s="9" t="s">
        <v>1195</v>
      </c>
      <c r="I397" s="17" t="str">
        <f>IFERROR(_xlfn.XLOOKUP(Tabela2[[#This Row],[CHAPA]],TUT.CONTROL!F:F,TUT.CONTROL!I:I),_xlfn.XLOOKUP(Tabela2[[#This Row],[CHAPA]],'REG.CONTROL'!F:F,'REG.CONTROL'!I:I))</f>
        <v>Ativo</v>
      </c>
      <c r="J397" s="17">
        <f>IFERROR(_xlfn.XLOOKUP(Tabela2[[#This Row],[NOME DO TUTOR]],TUT.CONTROL!C:C,TUT.CONTROL!G:G),"Demitido")</f>
        <v>45945</v>
      </c>
      <c r="K397" s="19">
        <v>21999112934</v>
      </c>
      <c r="L397" s="22">
        <f>IFERROR(_xlfn.XLOOKUP(Tabela2[[#This Row],[NOME DO TUTOR]],TUT.CONTROL!C:C,TUT.CONTROL!F:F),"Demitido")</f>
        <v>1158001037</v>
      </c>
      <c r="M397" s="8" t="s">
        <v>1196</v>
      </c>
      <c r="N397" s="11" t="str">
        <f>IFERROR(_xlfn.XLOOKUP(Tabela2[[#This Row],[CHAPA]],TUT.CONTROL!F:F,TUT.CONTROL!H:H),_xlfn.XLOOKUP(Tabela2[[#This Row],[CHAPA]],'REG.CONTROL'!F:F,'REG.CONTROL'!H:H))</f>
        <v>TUTOR DE PRATICA (UC_1749)</v>
      </c>
      <c r="O397" s="68" t="str">
        <f>IFERROR(_xlfn.XLOOKUP(Tabela2[[#This Row],[NOME DO TUTOR]],TUT.CONTROL!C:C,TUT.CONTROL!K:K),"Demitido")</f>
        <v>004:00</v>
      </c>
      <c r="P39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97" s="66" t="s">
        <v>30</v>
      </c>
      <c r="R397" s="8" t="s">
        <v>1197</v>
      </c>
      <c r="S397" s="8" t="s">
        <v>1198</v>
      </c>
    </row>
    <row r="398" spans="1:19" ht="13.5" hidden="1" x14ac:dyDescent="0.3">
      <c r="A39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Porto Alegre/RS - Centro HistóricoBAUENGMAKER</v>
      </c>
      <c r="B398" s="8" t="str">
        <f>Tabela2[[#This Row],[CATEGORIA]]&amp;Tabela2[[#This Row],[CURSOS]]&amp;"LAP - "&amp;Tabela2[[#This Row],[POLO]]</f>
        <v>ENGMAKERBAULAP - Porto Alegre/RS - Centro Histórico</v>
      </c>
      <c r="C398" s="8" t="str">
        <f>Tabela2[[#This Row],[CATEGORIA]]&amp;Tabela2[[#This Row],[CURSOS]]</f>
        <v>ENGMAKERBAU</v>
      </c>
      <c r="D398" s="8" t="str">
        <f>IF(Tabela2[[#This Row],[SITUAÇÃO]]&lt;&gt;"Demitido",CONCATENATE(Tabela2[[#This Row],[POLO]],Tabela2[[#This Row],[CURSOS]]),"Substituição")</f>
        <v>Porto Alegre/RS - Centro HistóricoBAU</v>
      </c>
      <c r="E398" s="8" t="s">
        <v>1160</v>
      </c>
      <c r="F398" s="67" t="s">
        <v>1161</v>
      </c>
      <c r="G398" s="67" t="s">
        <v>632</v>
      </c>
      <c r="H398" s="9" t="s">
        <v>1199</v>
      </c>
      <c r="I398" s="17" t="str">
        <f>IFERROR(_xlfn.XLOOKUP(Tabela2[[#This Row],[CHAPA]],TUT.CONTROL!F:F,TUT.CONTROL!I:I),_xlfn.XLOOKUP(Tabela2[[#This Row],[CHAPA]],'REG.CONTROL'!F:F,'REG.CONTROL'!I:I))</f>
        <v>Ativo</v>
      </c>
      <c r="J398" s="17">
        <f>IFERROR(_xlfn.XLOOKUP(Tabela2[[#This Row],[NOME DO TUTOR]],TUT.CONTROL!C:C,TUT.CONTROL!G:G),"Demitido")</f>
        <v>45945</v>
      </c>
      <c r="K398" s="19">
        <v>51998081420</v>
      </c>
      <c r="L398" s="22">
        <f>IFERROR(_xlfn.XLOOKUP(Tabela2[[#This Row],[NOME DO TUTOR]],TUT.CONTROL!C:C,TUT.CONTROL!F:F),"Demitido")</f>
        <v>1158001039</v>
      </c>
      <c r="M398" s="8" t="s">
        <v>1200</v>
      </c>
      <c r="N398" s="11" t="str">
        <f>IFERROR(_xlfn.XLOOKUP(Tabela2[[#This Row],[CHAPA]],TUT.CONTROL!F:F,TUT.CONTROL!H:H),_xlfn.XLOOKUP(Tabela2[[#This Row],[CHAPA]],'REG.CONTROL'!F:F,'REG.CONTROL'!H:H))</f>
        <v>TUTOR DE PRATICA (UC_1749)</v>
      </c>
      <c r="O398" s="68" t="str">
        <f>IFERROR(_xlfn.XLOOKUP(Tabela2[[#This Row],[NOME DO TUTOR]],TUT.CONTROL!C:C,TUT.CONTROL!K:K),"Demitido")</f>
        <v>004:00</v>
      </c>
      <c r="P39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98" s="66" t="s">
        <v>30</v>
      </c>
      <c r="R398" s="8" t="s">
        <v>1191</v>
      </c>
      <c r="S398" s="8" t="s">
        <v>1201</v>
      </c>
    </row>
    <row r="399" spans="1:19" ht="13.5" hidden="1" x14ac:dyDescent="0.3">
      <c r="A39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Florianópolis/SC - CentroBAUENGMAKER</v>
      </c>
      <c r="B399" s="8" t="str">
        <f>Tabela2[[#This Row],[CATEGORIA]]&amp;Tabela2[[#This Row],[CURSOS]]&amp;"LAP - "&amp;Tabela2[[#This Row],[POLO]]</f>
        <v>ENGMAKERBAULAP - Florianópolis/SC - Centro</v>
      </c>
      <c r="C399" s="8" t="str">
        <f>Tabela2[[#This Row],[CATEGORIA]]&amp;Tabela2[[#This Row],[CURSOS]]</f>
        <v>ENGMAKERBAU</v>
      </c>
      <c r="D399" s="8" t="str">
        <f>IF(Tabela2[[#This Row],[SITUAÇÃO]]&lt;&gt;"Demitido",CONCATENATE(Tabela2[[#This Row],[POLO]],Tabela2[[#This Row],[CURSOS]]),"Substituição")</f>
        <v>Florianópolis/SC - CentroBAU</v>
      </c>
      <c r="E399" s="8" t="s">
        <v>1160</v>
      </c>
      <c r="F399" s="67" t="s">
        <v>1161</v>
      </c>
      <c r="G399" s="67" t="s">
        <v>287</v>
      </c>
      <c r="H399" s="9" t="s">
        <v>1202</v>
      </c>
      <c r="I399" s="17" t="str">
        <f>IFERROR(_xlfn.XLOOKUP(Tabela2[[#This Row],[CHAPA]],TUT.CONTROL!F:F,TUT.CONTROL!I:I),_xlfn.XLOOKUP(Tabela2[[#This Row],[CHAPA]],'REG.CONTROL'!F:F,'REG.CONTROL'!I:I))</f>
        <v>Ativo</v>
      </c>
      <c r="J399" s="17">
        <f>IFERROR(_xlfn.XLOOKUP(Tabela2[[#This Row],[NOME DO TUTOR]],TUT.CONTROL!C:C,TUT.CONTROL!G:G),"Demitido")</f>
        <v>45946</v>
      </c>
      <c r="K399" s="19">
        <v>49991949900</v>
      </c>
      <c r="L399" s="22">
        <f>IFERROR(_xlfn.XLOOKUP(Tabela2[[#This Row],[NOME DO TUTOR]],TUT.CONTROL!C:C,TUT.CONTROL!F:F),"Demitido")</f>
        <v>1158001045</v>
      </c>
      <c r="M399" s="8" t="s">
        <v>1203</v>
      </c>
      <c r="N399" s="11" t="str">
        <f>IFERROR(_xlfn.XLOOKUP(Tabela2[[#This Row],[CHAPA]],TUT.CONTROL!F:F,TUT.CONTROL!H:H),_xlfn.XLOOKUP(Tabela2[[#This Row],[CHAPA]],'REG.CONTROL'!F:F,'REG.CONTROL'!H:H))</f>
        <v>TUTOR DE PRATICA (UC_1749)</v>
      </c>
      <c r="O399" s="68" t="str">
        <f>IFERROR(_xlfn.XLOOKUP(Tabela2[[#This Row],[NOME DO TUTOR]],TUT.CONTROL!C:C,TUT.CONTROL!K:K),"Demitido")</f>
        <v>004:00</v>
      </c>
      <c r="P39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399" s="66" t="s">
        <v>30</v>
      </c>
      <c r="R399" s="8" t="s">
        <v>1204</v>
      </c>
      <c r="S399" s="8" t="s">
        <v>1205</v>
      </c>
    </row>
    <row r="400" spans="1:19" ht="13.5" hidden="1" x14ac:dyDescent="0.3">
      <c r="A40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400" s="8" t="str">
        <f>Tabela2[[#This Row],[CATEGORIA]]&amp;Tabela2[[#This Row],[CURSOS]]&amp;"LAP - "&amp;Tabela2[[#This Row],[POLO]]</f>
        <v>BIO-FAR (Multidisciplinar I)BFRLAP - Itaboraí/RJ</v>
      </c>
      <c r="C400" s="8" t="str">
        <f>Tabela2[[#This Row],[CATEGORIA]]&amp;Tabela2[[#This Row],[CURSOS]]</f>
        <v>BIO-FAR (Multidisciplinar I)BFR</v>
      </c>
      <c r="D400" s="8" t="str">
        <f>IF(Tabela2[[#This Row],[SITUAÇÃO]]&lt;&gt;"Demitido",CONCATENATE(Tabela2[[#This Row],[POLO]],Tabela2[[#This Row],[CURSOS]]),"Substituição")</f>
        <v>Substituição</v>
      </c>
      <c r="E400" s="8" t="s">
        <v>771</v>
      </c>
      <c r="F400" s="67" t="s">
        <v>772</v>
      </c>
      <c r="G400" s="67" t="s">
        <v>354</v>
      </c>
      <c r="H400" s="9" t="s">
        <v>1206</v>
      </c>
      <c r="I400" s="17" t="str">
        <f>IFERROR(_xlfn.XLOOKUP(Tabela2[[#This Row],[CHAPA]],TUT.CONTROL!F:F,TUT.CONTROL!I:I),_xlfn.XLOOKUP(Tabela2[[#This Row],[CHAPA]],'REG.CONTROL'!F:F,'REG.CONTROL'!I:I))</f>
        <v>Demitido</v>
      </c>
      <c r="J400" s="17">
        <f>IFERROR(_xlfn.XLOOKUP(Tabela2[[#This Row],[NOME DO TUTOR]],TUT.CONTROL!C:C,TUT.CONTROL!G:G),"Demitido")</f>
        <v>45950</v>
      </c>
      <c r="K400" s="19">
        <v>21984834024</v>
      </c>
      <c r="L400" s="22">
        <f>IFERROR(_xlfn.XLOOKUP(Tabela2[[#This Row],[NOME DO TUTOR]],TUT.CONTROL!C:C,TUT.CONTROL!F:F),"Demitido")</f>
        <v>1158001043</v>
      </c>
      <c r="M400" s="8" t="s">
        <v>1207</v>
      </c>
      <c r="N400" s="11" t="str">
        <f>IFERROR(_xlfn.XLOOKUP(Tabela2[[#This Row],[CHAPA]],TUT.CONTROL!F:F,TUT.CONTROL!H:H),_xlfn.XLOOKUP(Tabela2[[#This Row],[CHAPA]],'REG.CONTROL'!F:F,'REG.CONTROL'!H:H))</f>
        <v>TUTOR DE PRATICA (UC_1749)</v>
      </c>
      <c r="O400" s="68" t="str">
        <f>IFERROR(_xlfn.XLOOKUP(Tabela2[[#This Row],[NOME DO TUTOR]],TUT.CONTROL!C:C,TUT.CONTROL!K:K),"Demitido")</f>
        <v>004:00</v>
      </c>
      <c r="P400" s="17">
        <f>IF(Tabela2[[#This Row],[SITUAÇÃO]]="Demitido",IFERROR(_xlfn.XLOOKUP(Tabela2[[#This Row],[CHAPA]],TUT.CONTROL!F:F,TUT.CONTROL!V:V),_xlfn.XLOOKUP(Tabela2[[#This Row],[CHAPA]],'REG.CONTROL'!F:F,'REG.CONTROL'!V:V)),"-")</f>
        <v>46042</v>
      </c>
      <c r="Q400" s="66" t="s">
        <v>43</v>
      </c>
      <c r="R400" s="8" t="s">
        <v>836</v>
      </c>
      <c r="S400" s="8">
        <v>28821</v>
      </c>
    </row>
    <row r="401" spans="1:19" ht="13.5" hidden="1" x14ac:dyDescent="0.3">
      <c r="A40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401" s="8" t="str">
        <f>Tabela2[[#This Row],[CATEGORIA]]&amp;Tabela2[[#This Row],[CURSOS]]&amp;"LAP - "&amp;Tabela2[[#This Row],[POLO]]</f>
        <v>BIO-FAR (Multidisciplinar I)BFRLAP - Rio do Sul/SC</v>
      </c>
      <c r="C401" s="8" t="str">
        <f>Tabela2[[#This Row],[CATEGORIA]]&amp;Tabela2[[#This Row],[CURSOS]]</f>
        <v>BIO-FAR (Multidisciplinar I)BFR</v>
      </c>
      <c r="D401" s="8" t="str">
        <f>IF(Tabela2[[#This Row],[SITUAÇÃO]]&lt;&gt;"Demitido",CONCATENATE(Tabela2[[#This Row],[POLO]],Tabela2[[#This Row],[CURSOS]]),"Substituição")</f>
        <v>Substituição</v>
      </c>
      <c r="E401" s="8" t="s">
        <v>771</v>
      </c>
      <c r="F401" s="67" t="s">
        <v>772</v>
      </c>
      <c r="G401" s="67" t="s">
        <v>710</v>
      </c>
      <c r="H401" s="9" t="s">
        <v>1208</v>
      </c>
      <c r="I401" s="17" t="str">
        <f>IFERROR(_xlfn.XLOOKUP(Tabela2[[#This Row],[CHAPA]],TUT.CONTROL!F:F,TUT.CONTROL!I:I),_xlfn.XLOOKUP(Tabela2[[#This Row],[CHAPA]],'REG.CONTROL'!F:F,'REG.CONTROL'!I:I))</f>
        <v>Demitido</v>
      </c>
      <c r="J401" s="17">
        <f>IFERROR(_xlfn.XLOOKUP(Tabela2[[#This Row],[NOME DO TUTOR]],TUT.CONTROL!C:C,TUT.CONTROL!G:G),"Demitido")</f>
        <v>45950</v>
      </c>
      <c r="K401" s="19">
        <v>49989081134</v>
      </c>
      <c r="L401" s="22">
        <f>IFERROR(_xlfn.XLOOKUP(Tabela2[[#This Row],[NOME DO TUTOR]],TUT.CONTROL!C:C,TUT.CONTROL!F:F),"Demitido")</f>
        <v>1158001046</v>
      </c>
      <c r="M401" s="8" t="s">
        <v>1209</v>
      </c>
      <c r="N401" s="11" t="str">
        <f>IFERROR(_xlfn.XLOOKUP(Tabela2[[#This Row],[CHAPA]],TUT.CONTROL!F:F,TUT.CONTROL!H:H),_xlfn.XLOOKUP(Tabela2[[#This Row],[CHAPA]],'REG.CONTROL'!F:F,'REG.CONTROL'!H:H))</f>
        <v>TUTOR DE PRATICA (UC_1749)</v>
      </c>
      <c r="O401" s="68" t="str">
        <f>IFERROR(_xlfn.XLOOKUP(Tabela2[[#This Row],[NOME DO TUTOR]],TUT.CONTROL!C:C,TUT.CONTROL!K:K),"Demitido")</f>
        <v>004:00</v>
      </c>
      <c r="P401" s="17">
        <f>IF(Tabela2[[#This Row],[SITUAÇÃO]]="Demitido",IFERROR(_xlfn.XLOOKUP(Tabela2[[#This Row],[CHAPA]],TUT.CONTROL!F:F,TUT.CONTROL!V:V),_xlfn.XLOOKUP(Tabela2[[#This Row],[CHAPA]],'REG.CONTROL'!F:F,'REG.CONTROL'!V:V)),"-")</f>
        <v>46057</v>
      </c>
      <c r="Q401" s="66" t="s">
        <v>43</v>
      </c>
      <c r="R401" s="8"/>
      <c r="S401" s="8"/>
    </row>
    <row r="402" spans="1:19" ht="13.5" hidden="1" x14ac:dyDescent="0.3">
      <c r="A40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Sidrolândia/MSEMF-ISNENF-INS (Multidisciplinar II)</v>
      </c>
      <c r="B402" s="8" t="str">
        <f>Tabela2[[#This Row],[CATEGORIA]]&amp;Tabela2[[#This Row],[CURSOS]]&amp;"LAP - "&amp;Tabela2[[#This Row],[POLO]]</f>
        <v>ENF-INS (Multidisciplinar II)EMF-ISNLAP - Sidrolândia/MS</v>
      </c>
      <c r="C402" s="8" t="str">
        <f>Tabela2[[#This Row],[CATEGORIA]]&amp;Tabela2[[#This Row],[CURSOS]]</f>
        <v>ENF-INS (Multidisciplinar II)EMF-ISN</v>
      </c>
      <c r="D402" s="8" t="str">
        <f>IF(Tabela2[[#This Row],[SITUAÇÃO]]&lt;&gt;"Demitido",CONCATENATE(Tabela2[[#This Row],[POLO]],Tabela2[[#This Row],[CURSOS]]),"Substituição")</f>
        <v>Sidrolândia/MSEMF-ISN</v>
      </c>
      <c r="E402" s="8" t="s">
        <v>21</v>
      </c>
      <c r="F402" s="67" t="s">
        <v>22</v>
      </c>
      <c r="G402" s="67" t="s">
        <v>1210</v>
      </c>
      <c r="H402" s="9" t="s">
        <v>1211</v>
      </c>
      <c r="I402" s="17" t="str">
        <f>IFERROR(_xlfn.XLOOKUP(Tabela2[[#This Row],[CHAPA]],TUT.CONTROL!F:F,TUT.CONTROL!I:I),_xlfn.XLOOKUP(Tabela2[[#This Row],[CHAPA]],'REG.CONTROL'!F:F,'REG.CONTROL'!I:I))</f>
        <v>Ativo</v>
      </c>
      <c r="J402" s="17">
        <f>IFERROR(_xlfn.XLOOKUP(Tabela2[[#This Row],[NOME DO TUTOR]],'REG.CONTROL'!C:C,'REG.CONTROL'!G:G),"Demitido")</f>
        <v>45509</v>
      </c>
      <c r="K402" s="19">
        <v>67998506492</v>
      </c>
      <c r="L402" s="22">
        <f>IFERROR(_xlfn.XLOOKUP(Tabela2[[#This Row],[NOME DO TUTOR]],'REG.CONTROL'!C:C,'REG.CONTROL'!F:F),"Demitido")</f>
        <v>1004015307</v>
      </c>
      <c r="M402" s="8" t="s">
        <v>1212</v>
      </c>
      <c r="N402" s="11" t="str">
        <f>IFERROR(_xlfn.XLOOKUP(Tabela2[[#This Row],[CHAPA]],TUT.CONTROL!F:F,TUT.CONTROL!H:H),_xlfn.XLOOKUP(Tabela2[[#This Row],[CHAPA]],'REG.CONTROL'!F:F,'REG.CONTROL'!H:H))</f>
        <v>PROFESSOR REGENTE DE POLO (UC_1744)</v>
      </c>
      <c r="O402" s="68" t="str">
        <f>IFERROR(_xlfn.XLOOKUP(Tabela2[[#This Row],[NOME DO TUTOR]],'REGENTE CH'!A:A,'REGENTE CH'!C:C),"Atualizar")</f>
        <v>004:00</v>
      </c>
      <c r="P40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02" s="66" t="s">
        <v>30</v>
      </c>
      <c r="R402" s="8" t="s">
        <v>53</v>
      </c>
      <c r="S402" s="8">
        <v>110306</v>
      </c>
    </row>
    <row r="403" spans="1:19" ht="13.5" hidden="1" x14ac:dyDescent="0.3">
      <c r="A40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403" s="8" t="str">
        <f>Tabela2[[#This Row],[CATEGORIA]]&amp;Tabela2[[#This Row],[CURSOS]]&amp;"LAP - "&amp;Tabela2[[#This Row],[POLO]]</f>
        <v>BIO-FAR (Multidisciplinar I)BFRLAP - Guarujá/SP</v>
      </c>
      <c r="C403" s="8" t="str">
        <f>Tabela2[[#This Row],[CATEGORIA]]&amp;Tabela2[[#This Row],[CURSOS]]</f>
        <v>BIO-FAR (Multidisciplinar I)BFR</v>
      </c>
      <c r="D403" s="8" t="str">
        <f>IF(Tabela2[[#This Row],[SITUAÇÃO]]&lt;&gt;"Demitido",CONCATENATE(Tabela2[[#This Row],[POLO]],Tabela2[[#This Row],[CURSOS]]),"Substituição")</f>
        <v>Substituição</v>
      </c>
      <c r="E403" s="8" t="s">
        <v>771</v>
      </c>
      <c r="F403" s="67" t="s">
        <v>772</v>
      </c>
      <c r="G403" s="67" t="s">
        <v>325</v>
      </c>
      <c r="H403" s="9" t="s">
        <v>1213</v>
      </c>
      <c r="I403" s="17" t="str">
        <f>IFERROR(_xlfn.XLOOKUP(Tabela2[[#This Row],[CHAPA]],TUT.CONTROL!F:F,TUT.CONTROL!I:I),_xlfn.XLOOKUP(Tabela2[[#This Row],[CHAPA]],'REG.CONTROL'!F:F,'REG.CONTROL'!I:I))</f>
        <v>Demitido</v>
      </c>
      <c r="J403" s="17">
        <f>IFERROR(_xlfn.XLOOKUP(Tabela2[[#This Row],[NOME DO TUTOR]],TUT.CONTROL!C:C,TUT.CONTROL!G:G),"Demitido")</f>
        <v>45964</v>
      </c>
      <c r="K403" s="19">
        <v>13981460473</v>
      </c>
      <c r="L403" s="22">
        <f>IFERROR(_xlfn.XLOOKUP(Tabela2[[#This Row],[NOME DO TUTOR]],TUT.CONTROL!C:C,TUT.CONTROL!F:F),"Demitido")</f>
        <v>1158001048</v>
      </c>
      <c r="M403" s="8" t="s">
        <v>1214</v>
      </c>
      <c r="N403" s="11" t="str">
        <f>IFERROR(_xlfn.XLOOKUP(Tabela2[[#This Row],[CHAPA]],TUT.CONTROL!F:F,TUT.CONTROL!H:H),_xlfn.XLOOKUP(Tabela2[[#This Row],[CHAPA]],'REG.CONTROL'!F:F,'REG.CONTROL'!H:H))</f>
        <v>TUTOR DE PRATICA (UC_1749)</v>
      </c>
      <c r="O403" s="68" t="str">
        <f>IFERROR(_xlfn.XLOOKUP(Tabela2[[#This Row],[NOME DO TUTOR]],TUT.CONTROL!C:C,TUT.CONTROL!K:K),"Demitido")</f>
        <v>004:00</v>
      </c>
      <c r="P403" s="17">
        <f>IF(Tabela2[[#This Row],[SITUAÇÃO]]="Demitido",IFERROR(_xlfn.XLOOKUP(Tabela2[[#This Row],[CHAPA]],TUT.CONTROL!F:F,TUT.CONTROL!V:V),_xlfn.XLOOKUP(Tabela2[[#This Row],[CHAPA]],'REG.CONTROL'!F:F,'REG.CONTROL'!V:V)),"-")</f>
        <v>46042</v>
      </c>
      <c r="Q403" s="66" t="s">
        <v>43</v>
      </c>
      <c r="R403" s="8" t="s">
        <v>825</v>
      </c>
      <c r="S403" s="8">
        <v>59113</v>
      </c>
    </row>
    <row r="404" spans="1:19" ht="13.5" hidden="1" x14ac:dyDescent="0.3">
      <c r="A40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404" s="8" t="str">
        <f>Tabela2[[#This Row],[CATEGORIA]]&amp;Tabela2[[#This Row],[CURSOS]]&amp;"LAP - "&amp;Tabela2[[#This Row],[POLO]]</f>
        <v>BIO-FAR (Multidisciplinar I)BFRLAP - Chapecó/SC - Centro</v>
      </c>
      <c r="C404" s="8" t="str">
        <f>Tabela2[[#This Row],[CATEGORIA]]&amp;Tabela2[[#This Row],[CURSOS]]</f>
        <v>BIO-FAR (Multidisciplinar I)BFR</v>
      </c>
      <c r="D404" s="8" t="str">
        <f>IF(Tabela2[[#This Row],[SITUAÇÃO]]&lt;&gt;"Demitido",CONCATENATE(Tabela2[[#This Row],[POLO]],Tabela2[[#This Row],[CURSOS]]),"Substituição")</f>
        <v>Substituição</v>
      </c>
      <c r="E404" s="8" t="s">
        <v>771</v>
      </c>
      <c r="F404" s="67" t="s">
        <v>772</v>
      </c>
      <c r="G404" s="67" t="s">
        <v>220</v>
      </c>
      <c r="H404" s="9" t="s">
        <v>1215</v>
      </c>
      <c r="I404" s="17" t="str">
        <f>IFERROR(_xlfn.XLOOKUP(Tabela2[[#This Row],[CHAPA]],TUT.CONTROL!F:F,TUT.CONTROL!I:I),_xlfn.XLOOKUP(Tabela2[[#This Row],[CHAPA]],'REG.CONTROL'!F:F,'REG.CONTROL'!I:I))</f>
        <v>Demitido</v>
      </c>
      <c r="J404" s="17">
        <f>IFERROR(_xlfn.XLOOKUP(Tabela2[[#This Row],[NOME DO TUTOR]],TUT.CONTROL!C:C,TUT.CONTROL!G:G),"Demitido")</f>
        <v>45964</v>
      </c>
      <c r="K404" s="19">
        <v>69992158229</v>
      </c>
      <c r="L404" s="22">
        <f>IFERROR(_xlfn.XLOOKUP(Tabela2[[#This Row],[NOME DO TUTOR]],TUT.CONTROL!C:C,TUT.CONTROL!F:F),"Demitido")</f>
        <v>1158001055</v>
      </c>
      <c r="M404" s="8" t="s">
        <v>1216</v>
      </c>
      <c r="N404" s="11" t="str">
        <f>IFERROR(_xlfn.XLOOKUP(Tabela2[[#This Row],[CHAPA]],TUT.CONTROL!F:F,TUT.CONTROL!H:H),_xlfn.XLOOKUP(Tabela2[[#This Row],[CHAPA]],'REG.CONTROL'!F:F,'REG.CONTROL'!H:H))</f>
        <v>TUTOR DE PRATICA (UC_1749)</v>
      </c>
      <c r="O404" s="68" t="str">
        <f>IFERROR(_xlfn.XLOOKUP(Tabela2[[#This Row],[NOME DO TUTOR]],TUT.CONTROL!C:C,TUT.CONTROL!K:K),"Demitido")</f>
        <v>004:00</v>
      </c>
      <c r="P404" s="17">
        <f>IF(Tabela2[[#This Row],[SITUAÇÃO]]="Demitido",IFERROR(_xlfn.XLOOKUP(Tabela2[[#This Row],[CHAPA]],TUT.CONTROL!F:F,TUT.CONTROL!V:V),_xlfn.XLOOKUP(Tabela2[[#This Row],[CHAPA]],'REG.CONTROL'!F:F,'REG.CONTROL'!V:V)),"-")</f>
        <v>46042</v>
      </c>
      <c r="Q404" s="66" t="s">
        <v>43</v>
      </c>
      <c r="R404" s="8" t="s">
        <v>1010</v>
      </c>
      <c r="S404" s="8">
        <v>24496</v>
      </c>
    </row>
    <row r="405" spans="1:19" ht="13.5" hidden="1" x14ac:dyDescent="0.3">
      <c r="A40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405" s="8" t="str">
        <f>Tabela2[[#This Row],[CATEGORIA]]&amp;Tabela2[[#This Row],[CURSOS]]&amp;"LAP - "&amp;Tabela2[[#This Row],[POLO]]</f>
        <v>BIO-FISIO-EST-TO (Multidisciplinar III)BFILAP - Cuiabá/MT - CPA</v>
      </c>
      <c r="C405" s="8" t="str">
        <f>Tabela2[[#This Row],[CATEGORIA]]&amp;Tabela2[[#This Row],[CURSOS]]</f>
        <v>BIO-FISIO-EST-TO (Multidisciplinar III)BFI</v>
      </c>
      <c r="D405" s="8" t="str">
        <f>IF(Tabela2[[#This Row],[SITUAÇÃO]]&lt;&gt;"Demitido",CONCATENATE(Tabela2[[#This Row],[POLO]],Tabela2[[#This Row],[CURSOS]]),"Substituição")</f>
        <v>Substituição</v>
      </c>
      <c r="E405" s="8" t="s">
        <v>757</v>
      </c>
      <c r="F405" s="67" t="s">
        <v>758</v>
      </c>
      <c r="G405" s="67" t="s">
        <v>1217</v>
      </c>
      <c r="H405" s="9" t="s">
        <v>1218</v>
      </c>
      <c r="I405" s="71" t="str">
        <f>IFERROR(_xlfn.XLOOKUP(Tabela2[[#This Row],[CHAPA]],TUT.CONTROL!F:F,TUT.CONTROL!I:I),_xlfn.XLOOKUP(Tabela2[[#This Row],[CHAPA]],'REG.CONTROL'!F:F,'REG.CONTROL'!I:I))</f>
        <v>Demitido</v>
      </c>
      <c r="J405" s="17">
        <f>IFERROR(_xlfn.XLOOKUP(Tabela2[[#This Row],[NOME DO TUTOR]],TUT.CONTROL!C:C,TUT.CONTROL!G:G),"Demitido")</f>
        <v>45964</v>
      </c>
      <c r="K405" s="19">
        <v>65999153002</v>
      </c>
      <c r="L405" s="22">
        <f>IFERROR(_xlfn.XLOOKUP(Tabela2[[#This Row],[NOME DO TUTOR]],TUT.CONTROL!C:C,TUT.CONTROL!F:F),"Demitido")</f>
        <v>1158001051</v>
      </c>
      <c r="M405" s="8" t="s">
        <v>1219</v>
      </c>
      <c r="N405" s="11" t="str">
        <f>IFERROR(_xlfn.XLOOKUP(Tabela2[[#This Row],[CHAPA]],TUT.CONTROL!F:F,TUT.CONTROL!H:H),_xlfn.XLOOKUP(Tabela2[[#This Row],[CHAPA]],'REG.CONTROL'!F:F,'REG.CONTROL'!H:H))</f>
        <v>TUTOR DE PRATICA (UC_1749)</v>
      </c>
      <c r="O405" s="68" t="str">
        <f>IFERROR(_xlfn.XLOOKUP(Tabela2[[#This Row],[NOME DO TUTOR]],TUT.CONTROL!C:C,TUT.CONTROL!K:K),"Demitido")</f>
        <v>004:00</v>
      </c>
      <c r="P405" s="17">
        <f>IF(Tabela2[[#This Row],[SITUAÇÃO]]="Demitido",IFERROR(_xlfn.XLOOKUP(Tabela2[[#This Row],[CHAPA]],TUT.CONTROL!F:F,TUT.CONTROL!V:V),_xlfn.XLOOKUP(Tabela2[[#This Row],[CHAPA]],'REG.CONTROL'!F:F,'REG.CONTROL'!V:V)),"-")</f>
        <v>46065</v>
      </c>
      <c r="Q405" s="66" t="s">
        <v>43</v>
      </c>
      <c r="R405" s="8"/>
      <c r="S405" s="8"/>
    </row>
    <row r="406" spans="1:19" ht="13.5" hidden="1" x14ac:dyDescent="0.3">
      <c r="A40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Florianópolis/SC - CentroBTOBIO-FISIO-EST-TO (Multidisciplinar III)</v>
      </c>
      <c r="B406" s="8" t="str">
        <f>Tabela2[[#This Row],[CATEGORIA]]&amp;Tabela2[[#This Row],[CURSOS]]&amp;"LAP - "&amp;Tabela2[[#This Row],[POLO]]</f>
        <v>BIO-FISIO-EST-TO (Multidisciplinar III)BTOLAP - Florianópolis/SC - Centro</v>
      </c>
      <c r="C406" s="8" t="str">
        <f>Tabela2[[#This Row],[CATEGORIA]]&amp;Tabela2[[#This Row],[CURSOS]]</f>
        <v>BIO-FISIO-EST-TO (Multidisciplinar III)BTO</v>
      </c>
      <c r="D406" s="8" t="str">
        <f>IF(Tabela2[[#This Row],[SITUAÇÃO]]&lt;&gt;"Demitido",CONCATENATE(Tabela2[[#This Row],[POLO]],Tabela2[[#This Row],[CURSOS]]),"Substituição")</f>
        <v>Florianópolis/SC - CentroBTO</v>
      </c>
      <c r="E406" s="8" t="s">
        <v>757</v>
      </c>
      <c r="F406" s="67" t="s">
        <v>987</v>
      </c>
      <c r="G406" s="67" t="s">
        <v>287</v>
      </c>
      <c r="H406" s="9" t="s">
        <v>1220</v>
      </c>
      <c r="I406" s="17" t="str">
        <f>IFERROR(_xlfn.XLOOKUP(Tabela2[[#This Row],[CHAPA]],TUT.CONTROL!F:F,TUT.CONTROL!I:I),_xlfn.XLOOKUP(Tabela2[[#This Row],[CHAPA]],'REG.CONTROL'!F:F,'REG.CONTROL'!I:I))</f>
        <v>Ativo</v>
      </c>
      <c r="J406" s="17">
        <f>IFERROR(_xlfn.XLOOKUP(Tabela2[[#This Row],[NOME DO TUTOR]],TUT.CONTROL!C:C,TUT.CONTROL!G:G),"Demitido")</f>
        <v>45964</v>
      </c>
      <c r="K406" s="19">
        <v>41996135279</v>
      </c>
      <c r="L406" s="22">
        <f>IFERROR(_xlfn.XLOOKUP(Tabela2[[#This Row],[NOME DO TUTOR]],TUT.CONTROL!C:C,TUT.CONTROL!F:F),"Demitido")</f>
        <v>1158001053</v>
      </c>
      <c r="M406" s="8" t="s">
        <v>1221</v>
      </c>
      <c r="N406" s="11" t="str">
        <f>IFERROR(_xlfn.XLOOKUP(Tabela2[[#This Row],[CHAPA]],TUT.CONTROL!F:F,TUT.CONTROL!H:H),_xlfn.XLOOKUP(Tabela2[[#This Row],[CHAPA]],'REG.CONTROL'!F:F,'REG.CONTROL'!H:H))</f>
        <v>TUTOR DE PRATICA (UC_1749)</v>
      </c>
      <c r="O406" s="68" t="str">
        <f>IFERROR(_xlfn.XLOOKUP(Tabela2[[#This Row],[NOME DO TUTOR]],TUT.CONTROL!C:C,TUT.CONTROL!K:K),"Demitido")</f>
        <v>004:00</v>
      </c>
      <c r="P40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06" s="66"/>
      <c r="R406" s="8" t="s">
        <v>882</v>
      </c>
      <c r="S406" s="8" t="s">
        <v>1222</v>
      </c>
    </row>
    <row r="407" spans="1:19" ht="13.5" hidden="1" x14ac:dyDescent="0.3">
      <c r="A40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Novo Hamburgo/RS - CentroBTOBIO-FISIO-EST-TO (Multidisciplinar III)</v>
      </c>
      <c r="B407" s="8" t="str">
        <f>Tabela2[[#This Row],[CATEGORIA]]&amp;Tabela2[[#This Row],[CURSOS]]&amp;"LAP - "&amp;Tabela2[[#This Row],[POLO]]</f>
        <v>BIO-FISIO-EST-TO (Multidisciplinar III)BTOLAP - Novo Hamburgo/RS - Centro</v>
      </c>
      <c r="C407" s="8" t="str">
        <f>Tabela2[[#This Row],[CATEGORIA]]&amp;Tabela2[[#This Row],[CURSOS]]</f>
        <v>BIO-FISIO-EST-TO (Multidisciplinar III)BTO</v>
      </c>
      <c r="D407" s="8" t="str">
        <f>IF(Tabela2[[#This Row],[SITUAÇÃO]]&lt;&gt;"Demitido",CONCATENATE(Tabela2[[#This Row],[POLO]],Tabela2[[#This Row],[CURSOS]]),"Substituição")</f>
        <v>Novo Hamburgo/RS - CentroBTO</v>
      </c>
      <c r="E407" s="8" t="s">
        <v>757</v>
      </c>
      <c r="F407" s="67" t="s">
        <v>987</v>
      </c>
      <c r="G407" s="67" t="s">
        <v>520</v>
      </c>
      <c r="H407" s="9" t="s">
        <v>1223</v>
      </c>
      <c r="I407" s="17" t="str">
        <f>IFERROR(_xlfn.XLOOKUP(Tabela2[[#This Row],[CHAPA]],TUT.CONTROL!F:F,TUT.CONTROL!I:I),_xlfn.XLOOKUP(Tabela2[[#This Row],[CHAPA]],'REG.CONTROL'!F:F,'REG.CONTROL'!I:I))</f>
        <v>Ativo</v>
      </c>
      <c r="J407" s="17">
        <f>IFERROR(_xlfn.XLOOKUP(Tabela2[[#This Row],[NOME DO TUTOR]],TUT.CONTROL!C:C,TUT.CONTROL!G:G),"Demitido")</f>
        <v>45964</v>
      </c>
      <c r="K407" s="19">
        <v>51995803707</v>
      </c>
      <c r="L407" s="22">
        <f>IFERROR(_xlfn.XLOOKUP(Tabela2[[#This Row],[NOME DO TUTOR]],TUT.CONTROL!C:C,TUT.CONTROL!F:F),"Demitido")</f>
        <v>1158001050</v>
      </c>
      <c r="M407" s="8" t="s">
        <v>1224</v>
      </c>
      <c r="N407" s="11" t="str">
        <f>IFERROR(_xlfn.XLOOKUP(Tabela2[[#This Row],[CHAPA]],TUT.CONTROL!F:F,TUT.CONTROL!H:H),_xlfn.XLOOKUP(Tabela2[[#This Row],[CHAPA]],'REG.CONTROL'!F:F,'REG.CONTROL'!H:H))</f>
        <v>TUTOR DE PRATICA (UC_1749)</v>
      </c>
      <c r="O407" s="68" t="str">
        <f>IFERROR(_xlfn.XLOOKUP(Tabela2[[#This Row],[NOME DO TUTOR]],TUT.CONTROL!C:C,TUT.CONTROL!K:K),"Demitido")</f>
        <v>004:00</v>
      </c>
      <c r="P40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07" s="66"/>
      <c r="R407" s="8"/>
      <c r="S407" s="8"/>
    </row>
    <row r="408" spans="1:19" ht="13.5" hidden="1" x14ac:dyDescent="0.3">
      <c r="A40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Itapajé/CEECE-ENM-ENS-ENG-EEA-GPI-CDE-OBR-SAN-TER-FSA-SLF-QUIENGMAKER+QUÍMICA E FÍSICA</v>
      </c>
      <c r="B408" s="8" t="str">
        <f>Tabela2[[#This Row],[CATEGORIA]]&amp;Tabela2[[#This Row],[CURSOS]]&amp;"LAP - "&amp;Tabela2[[#This Row],[POLO]]</f>
        <v>ENGMAKER+QUÍMICA E FÍSICAECE-ENM-ENS-ENG-EEA-GPI-CDE-OBR-SAN-TER-FSA-SLF-QUILAP - Itapajé/CE</v>
      </c>
      <c r="C408" s="8" t="str">
        <f>Tabela2[[#This Row],[CATEGORIA]]&amp;Tabela2[[#This Row],[CURSOS]]</f>
        <v>ENGMAKER+QUÍMICA E FÍSICAECE-ENM-ENS-ENG-EEA-GPI-CDE-OBR-SAN-TER-FSA-SLF-QUI</v>
      </c>
      <c r="D408" s="8" t="str">
        <f>IF(Tabela2[[#This Row],[SITUAÇÃO]]&lt;&gt;"Demitido",CONCATENATE(Tabela2[[#This Row],[POLO]],Tabela2[[#This Row],[CURSOS]]),"Substituição")</f>
        <v>Itapajé/CEECE-ENM-ENS-ENG-EEA-GPI-CDE-OBR-SAN-TER-FSA-SLF-QUI</v>
      </c>
      <c r="E408" s="8" t="s">
        <v>125</v>
      </c>
      <c r="F408" s="67" t="s">
        <v>126</v>
      </c>
      <c r="G408" s="67" t="s">
        <v>370</v>
      </c>
      <c r="H408" s="9" t="s">
        <v>1225</v>
      </c>
      <c r="I408" s="17" t="str">
        <f>IFERROR(_xlfn.XLOOKUP(Tabela2[[#This Row],[CHAPA]],TUT.CONTROL!F:F,TUT.CONTROL!I:I),_xlfn.XLOOKUP(Tabela2[[#This Row],[CHAPA]],'REG.CONTROL'!F:F,'REG.CONTROL'!I:I))</f>
        <v>Ativo</v>
      </c>
      <c r="J408" s="17">
        <f>IFERROR(_xlfn.XLOOKUP(Tabela2[[#This Row],[NOME DO TUTOR]],TUT.CONTROL!C:C,TUT.CONTROL!G:G),"Demitido")</f>
        <v>45964</v>
      </c>
      <c r="K408" s="19">
        <v>85992718094</v>
      </c>
      <c r="L408" s="22">
        <f>IFERROR(_xlfn.XLOOKUP(Tabela2[[#This Row],[NOME DO TUTOR]],TUT.CONTROL!C:C,TUT.CONTROL!F:F),"Demitido")</f>
        <v>1158001049</v>
      </c>
      <c r="M408" s="8" t="s">
        <v>1226</v>
      </c>
      <c r="N408" s="11" t="str">
        <f>IFERROR(_xlfn.XLOOKUP(Tabela2[[#This Row],[CHAPA]],TUT.CONTROL!F:F,TUT.CONTROL!H:H),_xlfn.XLOOKUP(Tabela2[[#This Row],[CHAPA]],'REG.CONTROL'!F:F,'REG.CONTROL'!H:H))</f>
        <v>TUTOR DE PRATICA (UC_1749)</v>
      </c>
      <c r="O408" s="68" t="str">
        <f>IFERROR(_xlfn.XLOOKUP(Tabela2[[#This Row],[NOME DO TUTOR]],TUT.CONTROL!C:C,TUT.CONTROL!K:K),"Demitido")</f>
        <v>004:00</v>
      </c>
      <c r="P40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08" s="66" t="s">
        <v>30</v>
      </c>
      <c r="R408" s="8" t="s">
        <v>1227</v>
      </c>
      <c r="S408" s="8" t="s">
        <v>1228</v>
      </c>
    </row>
    <row r="409" spans="1:19" ht="13.5" hidden="1" x14ac:dyDescent="0.3">
      <c r="A40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Florianópolis/SC - CentroBFRBIO-FAR (Multidisciplinar I)</v>
      </c>
      <c r="B409" s="8" t="str">
        <f>Tabela2[[#This Row],[CATEGORIA]]&amp;Tabela2[[#This Row],[CURSOS]]&amp;"LAP - "&amp;Tabela2[[#This Row],[POLO]]</f>
        <v>BIO-FAR (Multidisciplinar I)BFRLAP - Florianópolis/SC - Centro</v>
      </c>
      <c r="C409" s="8" t="str">
        <f>Tabela2[[#This Row],[CATEGORIA]]&amp;Tabela2[[#This Row],[CURSOS]]</f>
        <v>BIO-FAR (Multidisciplinar I)BFR</v>
      </c>
      <c r="D409" s="8" t="str">
        <f>IF(Tabela2[[#This Row],[SITUAÇÃO]]&lt;&gt;"Demitido",CONCATENATE(Tabela2[[#This Row],[POLO]],Tabela2[[#This Row],[CURSOS]]),"Substituição")</f>
        <v>Florianópolis/SC - CentroBFR</v>
      </c>
      <c r="E409" s="8" t="s">
        <v>771</v>
      </c>
      <c r="F409" s="67" t="s">
        <v>772</v>
      </c>
      <c r="G409" s="67" t="s">
        <v>287</v>
      </c>
      <c r="H409" s="9" t="s">
        <v>1229</v>
      </c>
      <c r="I409" s="17" t="str">
        <f>IFERROR(_xlfn.XLOOKUP(Tabela2[[#This Row],[CHAPA]],TUT.CONTROL!F:F,TUT.CONTROL!I:I),_xlfn.XLOOKUP(Tabela2[[#This Row],[CHAPA]],'REG.CONTROL'!F:F,'REG.CONTROL'!I:I))</f>
        <v>Ativo</v>
      </c>
      <c r="J409" s="17">
        <f>IFERROR(_xlfn.XLOOKUP(Tabela2[[#This Row],[NOME DO TUTOR]],TUT.CONTROL!C:C,TUT.CONTROL!G:G),"Demitido")</f>
        <v>45964</v>
      </c>
      <c r="K409" s="19">
        <v>91985420758</v>
      </c>
      <c r="L409" s="22">
        <f>IFERROR(_xlfn.XLOOKUP(Tabela2[[#This Row],[NOME DO TUTOR]],TUT.CONTROL!C:C,TUT.CONTROL!F:F),"Demitido")</f>
        <v>1158001052</v>
      </c>
      <c r="M409" s="8" t="s">
        <v>1230</v>
      </c>
      <c r="N409" s="11" t="str">
        <f>IFERROR(_xlfn.XLOOKUP(Tabela2[[#This Row],[CHAPA]],TUT.CONTROL!F:F,TUT.CONTROL!H:H),_xlfn.XLOOKUP(Tabela2[[#This Row],[CHAPA]],'REG.CONTROL'!F:F,'REG.CONTROL'!H:H))</f>
        <v>TUTOR DE PRATICA (UC_1749)</v>
      </c>
      <c r="O409" s="68" t="str">
        <f>IFERROR(_xlfn.XLOOKUP(Tabela2[[#This Row],[NOME DO TUTOR]],TUT.CONTROL!C:C,TUT.CONTROL!K:K),"Demitido")</f>
        <v>004:00</v>
      </c>
      <c r="P40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09" s="66"/>
      <c r="R409" s="8"/>
      <c r="S409" s="8"/>
    </row>
    <row r="410" spans="1:19" ht="13.5" hidden="1" x14ac:dyDescent="0.3">
      <c r="A41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Sinop/MTEMF-ISNENF-INS (Multidisciplinar II)</v>
      </c>
      <c r="B410" s="8" t="str">
        <f>Tabela2[[#This Row],[CATEGORIA]]&amp;Tabela2[[#This Row],[CURSOS]]&amp;"LAP - "&amp;Tabela2[[#This Row],[POLO]]</f>
        <v>ENF-INS (Multidisciplinar II)EMF-ISNLAP - Sinop/MT</v>
      </c>
      <c r="C410" s="8" t="str">
        <f>Tabela2[[#This Row],[CATEGORIA]]&amp;Tabela2[[#This Row],[CURSOS]]</f>
        <v>ENF-INS (Multidisciplinar II)EMF-ISN</v>
      </c>
      <c r="D410" s="8" t="str">
        <f>IF(Tabela2[[#This Row],[SITUAÇÃO]]&lt;&gt;"Demitido",CONCATENATE(Tabela2[[#This Row],[POLO]],Tabela2[[#This Row],[CURSOS]]),"Substituição")</f>
        <v>Sinop/MTEMF-ISN</v>
      </c>
      <c r="E410" s="8" t="s">
        <v>21</v>
      </c>
      <c r="F410" s="67" t="s">
        <v>22</v>
      </c>
      <c r="G410" s="67" t="s">
        <v>967</v>
      </c>
      <c r="H410" s="9" t="s">
        <v>1231</v>
      </c>
      <c r="I410" s="17" t="str">
        <f>IFERROR(_xlfn.XLOOKUP(Tabela2[[#This Row],[CHAPA]],TUT.CONTROL!F:F,TUT.CONTROL!I:I),_xlfn.XLOOKUP(Tabela2[[#This Row],[CHAPA]],'REG.CONTROL'!F:F,'REG.CONTROL'!I:I))</f>
        <v>Ativo</v>
      </c>
      <c r="J410" s="17">
        <f>IFERROR(_xlfn.XLOOKUP(Tabela2[[#This Row],[NOME DO TUTOR]],TUT.CONTROL!C:C,TUT.CONTROL!G:G),"Demitido")</f>
        <v>45950</v>
      </c>
      <c r="K410" s="19">
        <v>47991364484</v>
      </c>
      <c r="L410" s="22">
        <f>IFERROR(_xlfn.XLOOKUP(Tabela2[[#This Row],[NOME DO TUTOR]],TUT.CONTROL!C:C,TUT.CONTROL!F:F),"Demitido")</f>
        <v>1158001044</v>
      </c>
      <c r="M410" s="8" t="s">
        <v>1232</v>
      </c>
      <c r="N410" s="11" t="str">
        <f>IFERROR(_xlfn.XLOOKUP(Tabela2[[#This Row],[CHAPA]],TUT.CONTROL!F:F,TUT.CONTROL!H:H),_xlfn.XLOOKUP(Tabela2[[#This Row],[CHAPA]],'REG.CONTROL'!F:F,'REG.CONTROL'!H:H))</f>
        <v>TUTOR DE PRATICA (UC_1749)</v>
      </c>
      <c r="O410" s="68" t="str">
        <f>IFERROR(_xlfn.XLOOKUP(Tabela2[[#This Row],[NOME DO TUTOR]],TUT.CONTROL!C:C,TUT.CONTROL!K:K),"Demitido")</f>
        <v>004:00</v>
      </c>
      <c r="P41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10" s="66" t="s">
        <v>30</v>
      </c>
      <c r="R410" s="8" t="s">
        <v>44</v>
      </c>
      <c r="S410" s="8">
        <v>312588</v>
      </c>
    </row>
    <row r="411" spans="1:19" ht="13.5" hidden="1" x14ac:dyDescent="0.3">
      <c r="A41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Sobral/CEEMF-ISNENF-INS (Multidisciplinar II)</v>
      </c>
      <c r="B411" s="8" t="str">
        <f>Tabela2[[#This Row],[CATEGORIA]]&amp;Tabela2[[#This Row],[CURSOS]]&amp;"LAP - "&amp;Tabela2[[#This Row],[POLO]]</f>
        <v>ENF-INS (Multidisciplinar II)EMF-ISNLAP - Sobral/CE</v>
      </c>
      <c r="C411" s="8" t="str">
        <f>Tabela2[[#This Row],[CATEGORIA]]&amp;Tabela2[[#This Row],[CURSOS]]</f>
        <v>ENF-INS (Multidisciplinar II)EMF-ISN</v>
      </c>
      <c r="D411" s="8" t="str">
        <f>IF(Tabela2[[#This Row],[SITUAÇÃO]]&lt;&gt;"Demitido",CONCATENATE(Tabela2[[#This Row],[POLO]],Tabela2[[#This Row],[CURSOS]]),"Substituição")</f>
        <v>Sobral/CEEMF-ISN</v>
      </c>
      <c r="E411" s="8" t="s">
        <v>21</v>
      </c>
      <c r="F411" s="67" t="s">
        <v>22</v>
      </c>
      <c r="G411" s="67" t="s">
        <v>1233</v>
      </c>
      <c r="H411" s="9" t="s">
        <v>1234</v>
      </c>
      <c r="I411" s="17" t="str">
        <f>IFERROR(_xlfn.XLOOKUP(Tabela2[[#This Row],[CHAPA]],TUT.CONTROL!F:F,TUT.CONTROL!I:I),_xlfn.XLOOKUP(Tabela2[[#This Row],[CHAPA]],'REG.CONTROL'!F:F,'REG.CONTROL'!I:I))</f>
        <v>Ativo</v>
      </c>
      <c r="J411" s="17">
        <f>IFERROR(_xlfn.XLOOKUP(Tabela2[[#This Row],[NOME DO TUTOR]],TUT.CONTROL!C:C,TUT.CONTROL!G:G),"Demitido")</f>
        <v>45901</v>
      </c>
      <c r="K411" s="19">
        <v>88997126508</v>
      </c>
      <c r="L411" s="22">
        <f>IFERROR(_xlfn.XLOOKUP(Tabela2[[#This Row],[NOME DO TUTOR]],TUT.CONTROL!C:C,TUT.CONTROL!F:F),"Demitido")</f>
        <v>1158000950</v>
      </c>
      <c r="M411" s="8" t="s">
        <v>1235</v>
      </c>
      <c r="N411" s="11" t="str">
        <f>IFERROR(_xlfn.XLOOKUP(Tabela2[[#This Row],[CHAPA]],TUT.CONTROL!F:F,TUT.CONTROL!H:H),_xlfn.XLOOKUP(Tabela2[[#This Row],[CHAPA]],'REG.CONTROL'!F:F,'REG.CONTROL'!H:H))</f>
        <v>TUTOR DE PRATICA (UC_1749)</v>
      </c>
      <c r="O411" s="68" t="str">
        <f>IFERROR(_xlfn.XLOOKUP(Tabela2[[#This Row],[NOME DO TUTOR]],TUT.CONTROL!C:C,TUT.CONTROL!K:K),"Demitido")</f>
        <v>004:00</v>
      </c>
      <c r="P41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11" s="66" t="s">
        <v>30</v>
      </c>
      <c r="R411" s="8" t="s">
        <v>31</v>
      </c>
      <c r="S411" s="8">
        <v>614472</v>
      </c>
    </row>
    <row r="412" spans="1:19" ht="13.5" hidden="1" x14ac:dyDescent="0.3">
      <c r="A41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412" s="8" t="str">
        <f>Tabela2[[#This Row],[CATEGORIA]]&amp;Tabela2[[#This Row],[CURSOS]]&amp;"LAP - "&amp;Tabela2[[#This Row],[POLO]]</f>
        <v>ENF-INS (Multidisciplinar II)EMF-ISNLAP - Tangará da Serra/MT</v>
      </c>
      <c r="C412" s="8" t="str">
        <f>Tabela2[[#This Row],[CATEGORIA]]&amp;Tabela2[[#This Row],[CURSOS]]</f>
        <v>ENF-INS (Multidisciplinar II)EMF-ISN</v>
      </c>
      <c r="D412" s="8" t="str">
        <f>IF(Tabela2[[#This Row],[SITUAÇÃO]]&lt;&gt;"Demitido",CONCATENATE(Tabela2[[#This Row],[POLO]],Tabela2[[#This Row],[CURSOS]]),"Substituição")</f>
        <v>Substituição</v>
      </c>
      <c r="E412" s="8" t="s">
        <v>21</v>
      </c>
      <c r="F412" s="67" t="s">
        <v>22</v>
      </c>
      <c r="G412" s="67" t="s">
        <v>1175</v>
      </c>
      <c r="H412" s="9" t="s">
        <v>1236</v>
      </c>
      <c r="I412" s="17" t="str">
        <f>IFERROR(_xlfn.XLOOKUP(Tabela2[[#This Row],[CHAPA]],TUT.CONTROL!F:F,TUT.CONTROL!I:I),_xlfn.XLOOKUP(Tabela2[[#This Row],[CHAPA]],'REG.CONTROL'!F:F,'REG.CONTROL'!I:I))</f>
        <v>Demitido</v>
      </c>
      <c r="J412" s="17">
        <f>IFERROR(_xlfn.XLOOKUP(Tabela2[[#This Row],[NOME DO TUTOR]],TUT.CONTROL!C:C,TUT.CONTROL!G:G),"Demitido")</f>
        <v>45726</v>
      </c>
      <c r="K412" s="19">
        <v>65999548587</v>
      </c>
      <c r="L412" s="22">
        <f>IFERROR(_xlfn.XLOOKUP(Tabela2[[#This Row],[NOME DO TUTOR]],TUT.CONTROL!C:C,TUT.CONTROL!F:F),"Demitido")</f>
        <v>1158000540</v>
      </c>
      <c r="M412" s="8" t="s">
        <v>1237</v>
      </c>
      <c r="N412" s="11" t="str">
        <f>IFERROR(_xlfn.XLOOKUP(Tabela2[[#This Row],[CHAPA]],TUT.CONTROL!F:F,TUT.CONTROL!H:H),_xlfn.XLOOKUP(Tabela2[[#This Row],[CHAPA]],'REG.CONTROL'!F:F,'REG.CONTROL'!H:H))</f>
        <v>TUTOR DE PRATICA (UC_1749)</v>
      </c>
      <c r="O412" s="68" t="str">
        <f>IFERROR(_xlfn.XLOOKUP(Tabela2[[#This Row],[NOME DO TUTOR]],TUT.CONTROL!C:C,TUT.CONTROL!K:K),"Demitido")</f>
        <v>004:00</v>
      </c>
      <c r="P412" s="17">
        <f>IF(Tabela2[[#This Row],[SITUAÇÃO]]="Demitido",IFERROR(_xlfn.XLOOKUP(Tabela2[[#This Row],[CHAPA]],TUT.CONTROL!F:F,TUT.CONTROL!V:V),_xlfn.XLOOKUP(Tabela2[[#This Row],[CHAPA]],'REG.CONTROL'!F:F,'REG.CONTROL'!V:V)),"-")</f>
        <v>46027</v>
      </c>
      <c r="Q412" s="66" t="s">
        <v>43</v>
      </c>
      <c r="R412" s="8" t="s">
        <v>44</v>
      </c>
      <c r="S412" s="69">
        <v>931018</v>
      </c>
    </row>
    <row r="413" spans="1:19" ht="13.5" hidden="1" x14ac:dyDescent="0.3">
      <c r="A41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Tapauá/AMEMF-ISNENF-INS (Multidisciplinar II)</v>
      </c>
      <c r="B413" s="8" t="str">
        <f>Tabela2[[#This Row],[CATEGORIA]]&amp;Tabela2[[#This Row],[CURSOS]]&amp;"LAP - "&amp;Tabela2[[#This Row],[POLO]]</f>
        <v>ENF-INS (Multidisciplinar II)EMF-ISNLAP - Tapauá/AM</v>
      </c>
      <c r="C413" s="8" t="str">
        <f>Tabela2[[#This Row],[CATEGORIA]]&amp;Tabela2[[#This Row],[CURSOS]]</f>
        <v>ENF-INS (Multidisciplinar II)EMF-ISN</v>
      </c>
      <c r="D413" s="8" t="str">
        <f>IF(Tabela2[[#This Row],[SITUAÇÃO]]&lt;&gt;"Demitido",CONCATENATE(Tabela2[[#This Row],[POLO]],Tabela2[[#This Row],[CURSOS]]),"Substituição")</f>
        <v>Tapauá/AMEMF-ISN</v>
      </c>
      <c r="E413" s="8" t="s">
        <v>21</v>
      </c>
      <c r="F413" s="67" t="s">
        <v>22</v>
      </c>
      <c r="G413" s="67" t="s">
        <v>1238</v>
      </c>
      <c r="H413" s="9" t="s">
        <v>1239</v>
      </c>
      <c r="I413" s="17" t="str">
        <f>IFERROR(_xlfn.XLOOKUP(Tabela2[[#This Row],[CHAPA]],TUT.CONTROL!F:F,TUT.CONTROL!I:I),_xlfn.XLOOKUP(Tabela2[[#This Row],[CHAPA]],'REG.CONTROL'!F:F,'REG.CONTROL'!I:I))</f>
        <v>Ativo</v>
      </c>
      <c r="J413" s="17">
        <f>IFERROR(_xlfn.XLOOKUP(Tabela2[[#This Row],[NOME DO TUTOR]],TUT.CONTROL!C:C,TUT.CONTROL!G:G),"Demitido")</f>
        <v>46029</v>
      </c>
      <c r="K413" s="19">
        <v>92992211776</v>
      </c>
      <c r="L413" s="22">
        <f>IFERROR(_xlfn.XLOOKUP(Tabela2[[#This Row],[NOME DO TUTOR]],TUT.CONTROL!C:C,TUT.CONTROL!F:F),"Demitido")</f>
        <v>1158001081</v>
      </c>
      <c r="M413" s="8" t="s">
        <v>1240</v>
      </c>
      <c r="N413" s="11" t="str">
        <f>IFERROR(_xlfn.XLOOKUP(Tabela2[[#This Row],[CHAPA]],TUT.CONTROL!F:F,TUT.CONTROL!H:H),_xlfn.XLOOKUP(Tabela2[[#This Row],[CHAPA]],'REG.CONTROL'!F:F,'REG.CONTROL'!H:H))</f>
        <v>TUTOR DE PRATICA (UC_1749)</v>
      </c>
      <c r="O413" s="68" t="str">
        <f>IFERROR(_xlfn.XLOOKUP(Tabela2[[#This Row],[NOME DO TUTOR]],TUT.CONTROL!C:C,TUT.CONTROL!K:K),"Demitido")</f>
        <v>004:00</v>
      </c>
      <c r="P41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13" s="66"/>
      <c r="R413" s="66"/>
      <c r="S413" s="8"/>
    </row>
    <row r="414" spans="1:19" ht="13.5" hidden="1" x14ac:dyDescent="0.3">
      <c r="A41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Rondonópolis/MTBFRBIO-FAR (Multidisciplinar I)</v>
      </c>
      <c r="B414" s="8" t="str">
        <f>Tabela2[[#This Row],[CATEGORIA]]&amp;Tabela2[[#This Row],[CURSOS]]&amp;"LAP - "&amp;Tabela2[[#This Row],[POLO]]</f>
        <v>BIO-FAR (Multidisciplinar I)BFRLAP - Rondonópolis/MT</v>
      </c>
      <c r="C414" s="8" t="str">
        <f>Tabela2[[#This Row],[CATEGORIA]]&amp;Tabela2[[#This Row],[CURSOS]]</f>
        <v>BIO-FAR (Multidisciplinar I)BFR</v>
      </c>
      <c r="D414" s="8" t="str">
        <f>IF(Tabela2[[#This Row],[SITUAÇÃO]]&lt;&gt;"Demitido",CONCATENATE(Tabela2[[#This Row],[POLO]],Tabela2[[#This Row],[CURSOS]]),"Substituição")</f>
        <v>Rondonópolis/MTBFR</v>
      </c>
      <c r="E414" s="8" t="s">
        <v>771</v>
      </c>
      <c r="F414" s="67" t="s">
        <v>772</v>
      </c>
      <c r="G414" s="67" t="s">
        <v>727</v>
      </c>
      <c r="H414" s="9" t="s">
        <v>1241</v>
      </c>
      <c r="I414" s="17" t="str">
        <f>IFERROR(_xlfn.XLOOKUP(Tabela2[[#This Row],[CHAPA]],TUT.CONTROL!F:F,TUT.CONTROL!I:I),_xlfn.XLOOKUP(Tabela2[[#This Row],[CHAPA]],'REG.CONTROL'!F:F,'REG.CONTROL'!I:I))</f>
        <v>Ativo</v>
      </c>
      <c r="J414" s="17">
        <f>IFERROR(_xlfn.XLOOKUP(Tabela2[[#This Row],[NOME DO TUTOR]],TUT.CONTROL!C:C,TUT.CONTROL!G:G),"Demitido")</f>
        <v>45973</v>
      </c>
      <c r="K414" s="19">
        <v>66996442011</v>
      </c>
      <c r="L414" s="22">
        <f>IFERROR(_xlfn.XLOOKUP(Tabela2[[#This Row],[NOME DO TUTOR]],TUT.CONTROL!C:C,TUT.CONTROL!F:F),"Demitido")</f>
        <v>1158001064</v>
      </c>
      <c r="M414" s="8" t="s">
        <v>1242</v>
      </c>
      <c r="N414" s="11" t="str">
        <f>IFERROR(_xlfn.XLOOKUP(Tabela2[[#This Row],[CHAPA]],TUT.CONTROL!F:F,TUT.CONTROL!H:H),_xlfn.XLOOKUP(Tabela2[[#This Row],[CHAPA]],'REG.CONTROL'!F:F,'REG.CONTROL'!H:H))</f>
        <v>TUTOR DE PRATICA (UC_1749)</v>
      </c>
      <c r="O414" s="68" t="str">
        <f>IFERROR(_xlfn.XLOOKUP(Tabela2[[#This Row],[NOME DO TUTOR]],TUT.CONTROL!C:C,TUT.CONTROL!K:K),"Demitido")</f>
        <v>004:00</v>
      </c>
      <c r="P41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14" s="66" t="s">
        <v>30</v>
      </c>
      <c r="R414" s="66"/>
      <c r="S414" s="8"/>
    </row>
    <row r="415" spans="1:19" ht="13.5" hidden="1" customHeight="1" x14ac:dyDescent="0.3">
      <c r="A41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415" s="8" t="str">
        <f>Tabela2[[#This Row],[CATEGORIA]]&amp;Tabela2[[#This Row],[CURSOS]]&amp;"LAP - "&amp;Tabela2[[#This Row],[POLO]]</f>
        <v>BIO-FISIO-EST-TO (Multidisciplinar III)BFILAP - Curitiba/PR - Centro</v>
      </c>
      <c r="C415" s="8" t="str">
        <f>Tabela2[[#This Row],[CATEGORIA]]&amp;Tabela2[[#This Row],[CURSOS]]</f>
        <v>BIO-FISIO-EST-TO (Multidisciplinar III)BFI</v>
      </c>
      <c r="D415" s="8" t="str">
        <f>IF(Tabela2[[#This Row],[SITUAÇÃO]]&lt;&gt;"Demitido",CONCATENATE(Tabela2[[#This Row],[POLO]],Tabela2[[#This Row],[CURSOS]]),"Substituição")</f>
        <v>Substituição</v>
      </c>
      <c r="E415" s="8" t="s">
        <v>757</v>
      </c>
      <c r="F415" s="67" t="s">
        <v>758</v>
      </c>
      <c r="G415" s="67" t="s">
        <v>259</v>
      </c>
      <c r="H415" s="9" t="s">
        <v>1243</v>
      </c>
      <c r="I415" s="17" t="str">
        <f>IFERROR(_xlfn.XLOOKUP(Tabela2[[#This Row],[CHAPA]],TUT.CONTROL!F:F,TUT.CONTROL!I:I),_xlfn.XLOOKUP(Tabela2[[#This Row],[CHAPA]],'REG.CONTROL'!F:F,'REG.CONTROL'!I:I))</f>
        <v>Demitido</v>
      </c>
      <c r="J415" s="17">
        <f>IFERROR(_xlfn.XLOOKUP(Tabela2[[#This Row],[NOME DO TUTOR]],TUT.CONTROL!C:C,TUT.CONTROL!G:G),"Demitido")</f>
        <v>45978</v>
      </c>
      <c r="K415" s="19">
        <v>41996075671</v>
      </c>
      <c r="L415" s="22">
        <f>IFERROR(_xlfn.XLOOKUP(Tabela2[[#This Row],[NOME DO TUTOR]],TUT.CONTROL!C:C,TUT.CONTROL!F:F),"Demitido")</f>
        <v>1158001069</v>
      </c>
      <c r="M415" s="8" t="s">
        <v>1244</v>
      </c>
      <c r="N415" s="11" t="str">
        <f>IFERROR(_xlfn.XLOOKUP(Tabela2[[#This Row],[CHAPA]],TUT.CONTROL!F:F,TUT.CONTROL!H:H),_xlfn.XLOOKUP(Tabela2[[#This Row],[CHAPA]],'REG.CONTROL'!F:F,'REG.CONTROL'!H:H))</f>
        <v>TUTOR DE PRATICA (UC_1749)</v>
      </c>
      <c r="O415" s="68" t="str">
        <f>IFERROR(_xlfn.XLOOKUP(Tabela2[[#This Row],[NOME DO TUTOR]],TUT.CONTROL!C:C,TUT.CONTROL!K:K),"Demitido")</f>
        <v>004:00</v>
      </c>
      <c r="P415" s="17">
        <f>IF(Tabela2[[#This Row],[SITUAÇÃO]]="Demitido",IFERROR(_xlfn.XLOOKUP(Tabela2[[#This Row],[CHAPA]],TUT.CONTROL!F:F,TUT.CONTROL!V:V),_xlfn.XLOOKUP(Tabela2[[#This Row],[CHAPA]],'REG.CONTROL'!F:F,'REG.CONTROL'!V:V)),"-")</f>
        <v>46055</v>
      </c>
      <c r="Q415" s="66" t="s">
        <v>43</v>
      </c>
      <c r="R415" s="66"/>
      <c r="S415" s="8"/>
    </row>
    <row r="416" spans="1:19" ht="13.5" hidden="1" x14ac:dyDescent="0.3">
      <c r="A41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416" s="8" t="str">
        <f>Tabela2[[#This Row],[CATEGORIA]]&amp;Tabela2[[#This Row],[CURSOS]]&amp;"LAP - "&amp;Tabela2[[#This Row],[POLO]]</f>
        <v>BIO-FISIO-EST-TO (Multidisciplinar III)BFILAP - Criciúma/SC</v>
      </c>
      <c r="C416" s="8" t="str">
        <f>Tabela2[[#This Row],[CATEGORIA]]&amp;Tabela2[[#This Row],[CURSOS]]</f>
        <v>BIO-FISIO-EST-TO (Multidisciplinar III)BFI</v>
      </c>
      <c r="D416" s="8" t="str">
        <f>IF(Tabela2[[#This Row],[SITUAÇÃO]]&lt;&gt;"Demitido",CONCATENATE(Tabela2[[#This Row],[POLO]],Tabela2[[#This Row],[CURSOS]]),"Substituição")</f>
        <v>Substituição</v>
      </c>
      <c r="E416" s="8" t="s">
        <v>757</v>
      </c>
      <c r="F416" s="67" t="s">
        <v>758</v>
      </c>
      <c r="G416" s="67" t="s">
        <v>795</v>
      </c>
      <c r="H416" s="9" t="s">
        <v>1245</v>
      </c>
      <c r="I416" s="17" t="str">
        <f>IFERROR(_xlfn.XLOOKUP(Tabela2[[#This Row],[CHAPA]],TUT.CONTROL!F:F,TUT.CONTROL!I:I),_xlfn.XLOOKUP(Tabela2[[#This Row],[CHAPA]],'REG.CONTROL'!F:F,'REG.CONTROL'!I:I))</f>
        <v>Demitido</v>
      </c>
      <c r="J416" s="17">
        <f>IFERROR(_xlfn.XLOOKUP(Tabela2[[#This Row],[NOME DO TUTOR]],TUT.CONTROL!C:C,TUT.CONTROL!G:G),"Demitido")</f>
        <v>45978</v>
      </c>
      <c r="K416" s="19">
        <v>48996086794</v>
      </c>
      <c r="L416" s="22">
        <f>IFERROR(_xlfn.XLOOKUP(Tabela2[[#This Row],[NOME DO TUTOR]],TUT.CONTROL!C:C,TUT.CONTROL!F:F),"Demitido")</f>
        <v>1158001066</v>
      </c>
      <c r="M416" s="8" t="s">
        <v>1246</v>
      </c>
      <c r="N416" s="11" t="str">
        <f>IFERROR(_xlfn.XLOOKUP(Tabela2[[#This Row],[CHAPA]],TUT.CONTROL!F:F,TUT.CONTROL!H:H),_xlfn.XLOOKUP(Tabela2[[#This Row],[CHAPA]],'REG.CONTROL'!F:F,'REG.CONTROL'!H:H))</f>
        <v>TUTOR DE PRATICA (UC_1749)</v>
      </c>
      <c r="O416" s="68" t="str">
        <f>IFERROR(_xlfn.XLOOKUP(Tabela2[[#This Row],[NOME DO TUTOR]],TUT.CONTROL!C:C,TUT.CONTROL!K:K),"Demitido")</f>
        <v>004:00</v>
      </c>
      <c r="P416" s="17">
        <f>IF(Tabela2[[#This Row],[SITUAÇÃO]]="Demitido",IFERROR(_xlfn.XLOOKUP(Tabela2[[#This Row],[CHAPA]],TUT.CONTROL!F:F,TUT.CONTROL!V:V),_xlfn.XLOOKUP(Tabela2[[#This Row],[CHAPA]],'REG.CONTROL'!F:F,'REG.CONTROL'!V:V)),"-")</f>
        <v>46055</v>
      </c>
      <c r="Q416" s="66" t="s">
        <v>43</v>
      </c>
      <c r="R416" s="66" t="s">
        <v>882</v>
      </c>
      <c r="S416" s="8">
        <v>264030</v>
      </c>
    </row>
    <row r="417" spans="1:19" ht="13.5" hidden="1" x14ac:dyDescent="0.3">
      <c r="A41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417" s="8" t="str">
        <f>Tabela2[[#This Row],[CATEGORIA]]&amp;Tabela2[[#This Row],[CURSOS]]&amp;"LAP - "&amp;Tabela2[[#This Row],[POLO]]</f>
        <v>ENGMAKER+QUÍMICA E FÍSICAECE-ENM-ENS-ENG-EEA-GPI-CDE-OBR-SAN-TER-FSA-SLF-QUILAP - Porto Alegre/RS - Centro Histórico</v>
      </c>
      <c r="C417" s="8" t="str">
        <f>Tabela2[[#This Row],[CATEGORIA]]&amp;Tabela2[[#This Row],[CURSOS]]</f>
        <v>ENGMAKER+QUÍMICA E FÍSICAECE-ENM-ENS-ENG-EEA-GPI-CDE-OBR-SAN-TER-FSA-SLF-QUI</v>
      </c>
      <c r="D417" s="8" t="str">
        <f>IF(Tabela2[[#This Row],[SITUAÇÃO]]&lt;&gt;"Demitido",CONCATENATE(Tabela2[[#This Row],[POLO]],Tabela2[[#This Row],[CURSOS]]),"Substituição")</f>
        <v>Substituição</v>
      </c>
      <c r="E417" s="8" t="s">
        <v>125</v>
      </c>
      <c r="F417" s="67" t="s">
        <v>126</v>
      </c>
      <c r="G417" s="67" t="s">
        <v>632</v>
      </c>
      <c r="H417" s="9" t="s">
        <v>1247</v>
      </c>
      <c r="I417" s="71" t="str">
        <f>IFERROR(_xlfn.XLOOKUP(Tabela2[[#This Row],[CHAPA]],TUT.CONTROL!F:F,TUT.CONTROL!I:I),_xlfn.XLOOKUP(Tabela2[[#This Row],[CHAPA]],'REG.CONTROL'!F:F,'REG.CONTROL'!I:I))</f>
        <v>Demitido</v>
      </c>
      <c r="J417" s="17">
        <f>IFERROR(_xlfn.XLOOKUP(Tabela2[[#This Row],[NOME DO TUTOR]],TUT.CONTROL!C:C,TUT.CONTROL!G:G),"Demitido")</f>
        <v>45978</v>
      </c>
      <c r="K417" s="19">
        <v>51983149432</v>
      </c>
      <c r="L417" s="22">
        <f>IFERROR(_xlfn.XLOOKUP(Tabela2[[#This Row],[NOME DO TUTOR]],TUT.CONTROL!C:C,TUT.CONTROL!F:F),"Demitido")</f>
        <v>1158001073</v>
      </c>
      <c r="M417" s="8" t="s">
        <v>1248</v>
      </c>
      <c r="N417" s="11" t="str">
        <f>IFERROR(_xlfn.XLOOKUP(Tabela2[[#This Row],[CHAPA]],TUT.CONTROL!F:F,TUT.CONTROL!H:H),_xlfn.XLOOKUP(Tabela2[[#This Row],[CHAPA]],'REG.CONTROL'!F:F,'REG.CONTROL'!H:H))</f>
        <v>TUTOR DE PRATICA (UC_1749)</v>
      </c>
      <c r="O417" s="68" t="str">
        <f>IFERROR(_xlfn.XLOOKUP(Tabela2[[#This Row],[NOME DO TUTOR]],TUT.CONTROL!C:C,TUT.CONTROL!K:K),"Demitido")</f>
        <v>008:00</v>
      </c>
      <c r="P417" s="17">
        <f>IF(Tabela2[[#This Row],[SITUAÇÃO]]="Demitido",IFERROR(_xlfn.XLOOKUP(Tabela2[[#This Row],[CHAPA]],TUT.CONTROL!F:F,TUT.CONTROL!V:V),_xlfn.XLOOKUP(Tabela2[[#This Row],[CHAPA]],'REG.CONTROL'!F:F,'REG.CONTROL'!V:V)),"-")</f>
        <v>46083</v>
      </c>
      <c r="Q417" s="66" t="s">
        <v>43</v>
      </c>
      <c r="R417" s="66" t="s">
        <v>397</v>
      </c>
      <c r="S417" s="8">
        <v>2219235696</v>
      </c>
    </row>
    <row r="418" spans="1:19" ht="13.5" customHeight="1" x14ac:dyDescent="0.25">
      <c r="A41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Santa Inês/MANTRNUTRI (Multidisciplinar IV)</v>
      </c>
      <c r="B418" s="8" t="str">
        <f>Tabela2[[#This Row],[CATEGORIA]]&amp;Tabela2[[#This Row],[CURSOS]]&amp;"LAP - "&amp;Tabela2[[#This Row],[POLO]]</f>
        <v>NUTRI (Multidisciplinar IV)NTRLAP - Santa Inês/MA</v>
      </c>
      <c r="C418" s="8" t="str">
        <f>Tabela2[[#This Row],[CATEGORIA]]&amp;Tabela2[[#This Row],[CURSOS]]</f>
        <v>NUTRI (Multidisciplinar IV)NTR</v>
      </c>
      <c r="D418" s="8" t="str">
        <f>IF(Tabela2[[#This Row],[SITUAÇÃO]]&lt;&gt;"Demitido",CONCATENATE(Tabela2[[#This Row],[POLO]],Tabela2[[#This Row],[CURSOS]]),"Substituição")</f>
        <v>Santa Inês/MANTR</v>
      </c>
      <c r="E418" s="8" t="s">
        <v>730</v>
      </c>
      <c r="F418" s="67" t="s">
        <v>731</v>
      </c>
      <c r="G418" s="67" t="s">
        <v>773</v>
      </c>
      <c r="H418" s="9" t="s">
        <v>1249</v>
      </c>
      <c r="I418" s="17" t="str">
        <f>IFERROR(_xlfn.XLOOKUP(Tabela2[[#This Row],[CHAPA]],TUT.CONTROL!F:F,TUT.CONTROL!I:I),_xlfn.XLOOKUP(Tabela2[[#This Row],[CHAPA]],'REG.CONTROL'!F:F,'REG.CONTROL'!I:I))</f>
        <v>Ativo</v>
      </c>
      <c r="J418" s="17">
        <f>IFERROR(_xlfn.XLOOKUP(Tabela2[[#This Row],[NOME DO TUTOR]],TUT.CONTROL!C:C,TUT.CONTROL!G:G),"Demitido")</f>
        <v>45978</v>
      </c>
      <c r="K418" s="19">
        <v>98991544227</v>
      </c>
      <c r="L418" s="22">
        <f>IFERROR(_xlfn.XLOOKUP(Tabela2[[#This Row],[NOME DO TUTOR]],TUT.CONTROL!C:C,TUT.CONTROL!F:F),"Demitido")</f>
        <v>1158001068</v>
      </c>
      <c r="M418" s="8" t="s">
        <v>1250</v>
      </c>
      <c r="N418" s="11" t="str">
        <f>IFERROR(_xlfn.XLOOKUP(Tabela2[[#This Row],[CHAPA]],TUT.CONTROL!F:F,TUT.CONTROL!H:H),_xlfn.XLOOKUP(Tabela2[[#This Row],[CHAPA]],'REG.CONTROL'!F:F,'REG.CONTROL'!H:H))</f>
        <v>TUTOR DE PRATICA (UC_1749)</v>
      </c>
      <c r="O418" s="68" t="str">
        <f>IFERROR(_xlfn.XLOOKUP(Tabela2[[#This Row],[NOME DO TUTOR]],TUT.CONTROL!C:C,TUT.CONTROL!K:K),"Demitido")</f>
        <v>004:00</v>
      </c>
      <c r="P41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18" s="66"/>
      <c r="R418" s="72" t="s">
        <v>1251</v>
      </c>
      <c r="S418" s="8">
        <v>13229</v>
      </c>
    </row>
    <row r="419" spans="1:19" ht="13.5" hidden="1" x14ac:dyDescent="0.3">
      <c r="A41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Salvador/BA - Caminho das ÁrvoresBFIBIO-FISIO-EST-TO (Multidisciplinar III)</v>
      </c>
      <c r="B419" s="8" t="str">
        <f>Tabela2[[#This Row],[CATEGORIA]]&amp;Tabela2[[#This Row],[CURSOS]]&amp;"LAP - "&amp;Tabela2[[#This Row],[POLO]]</f>
        <v>BIO-FISIO-EST-TO (Multidisciplinar III)BFILAP - Salvador/BA - Caminho das Árvores</v>
      </c>
      <c r="C419" s="8" t="str">
        <f>Tabela2[[#This Row],[CATEGORIA]]&amp;Tabela2[[#This Row],[CURSOS]]</f>
        <v>BIO-FISIO-EST-TO (Multidisciplinar III)BFI</v>
      </c>
      <c r="D419" s="8" t="str">
        <f>IF(Tabela2[[#This Row],[SITUAÇÃO]]&lt;&gt;"Demitido",CONCATENATE(Tabela2[[#This Row],[POLO]],Tabela2[[#This Row],[CURSOS]]),"Substituição")</f>
        <v>Salvador/BA - Caminho das ÁrvoresBFI</v>
      </c>
      <c r="E419" s="8" t="s">
        <v>757</v>
      </c>
      <c r="F419" s="67" t="s">
        <v>758</v>
      </c>
      <c r="G419" s="67" t="s">
        <v>810</v>
      </c>
      <c r="H419" s="9" t="s">
        <v>1252</v>
      </c>
      <c r="I419" s="17" t="str">
        <f>IFERROR(_xlfn.XLOOKUP(Tabela2[[#This Row],[CHAPA]],TUT.CONTROL!F:F,TUT.CONTROL!I:I),_xlfn.XLOOKUP(Tabela2[[#This Row],[CHAPA]],'REG.CONTROL'!F:F,'REG.CONTROL'!I:I))</f>
        <v>Ativo</v>
      </c>
      <c r="J419" s="17">
        <f>IFERROR(_xlfn.XLOOKUP(Tabela2[[#This Row],[NOME DO TUTOR]],TUT.CONTROL!C:C,TUT.CONTROL!G:G),"Demitido")</f>
        <v>45978</v>
      </c>
      <c r="K419" s="19">
        <v>71982108461</v>
      </c>
      <c r="L419" s="22">
        <f>IFERROR(_xlfn.XLOOKUP(Tabela2[[#This Row],[NOME DO TUTOR]],TUT.CONTROL!C:C,TUT.CONTROL!F:F),"Demitido")</f>
        <v>1158001071</v>
      </c>
      <c r="M419" s="8" t="s">
        <v>1253</v>
      </c>
      <c r="N419" s="11" t="str">
        <f>IFERROR(_xlfn.XLOOKUP(Tabela2[[#This Row],[CHAPA]],TUT.CONTROL!F:F,TUT.CONTROL!H:H),_xlfn.XLOOKUP(Tabela2[[#This Row],[CHAPA]],'REG.CONTROL'!F:F,'REG.CONTROL'!H:H))</f>
        <v>TUTOR DE PRATICA (UC_1749)</v>
      </c>
      <c r="O419" s="68" t="str">
        <f>IFERROR(_xlfn.XLOOKUP(Tabela2[[#This Row],[NOME DO TUTOR]],TUT.CONTROL!C:C,TUT.CONTROL!K:K),"Demitido")</f>
        <v>004:00</v>
      </c>
      <c r="P41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19" s="66"/>
      <c r="R419" s="66"/>
      <c r="S419" s="8"/>
    </row>
    <row r="420" spans="1:19" ht="13.5" hidden="1" x14ac:dyDescent="0.3">
      <c r="A42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Paulo Afonso/BA - Tancredo Neves IIBFIBIO-FISIO-EST-TO (Multidisciplinar III)</v>
      </c>
      <c r="B420" s="8" t="str">
        <f>Tabela2[[#This Row],[CATEGORIA]]&amp;Tabela2[[#This Row],[CURSOS]]&amp;"LAP - "&amp;Tabela2[[#This Row],[POLO]]</f>
        <v>BIO-FISIO-EST-TO (Multidisciplinar III)BFILAP - Paulo Afonso/BA - Tancredo Neves II</v>
      </c>
      <c r="C420" s="8" t="str">
        <f>Tabela2[[#This Row],[CATEGORIA]]&amp;Tabela2[[#This Row],[CURSOS]]</f>
        <v>BIO-FISIO-EST-TO (Multidisciplinar III)BFI</v>
      </c>
      <c r="D420" s="8" t="str">
        <f>IF(Tabela2[[#This Row],[SITUAÇÃO]]&lt;&gt;"Demitido",CONCATENATE(Tabela2[[#This Row],[POLO]],Tabela2[[#This Row],[CURSOS]]),"Substituição")</f>
        <v>Paulo Afonso/BA - Tancredo Neves IIBFI</v>
      </c>
      <c r="E420" s="8" t="s">
        <v>757</v>
      </c>
      <c r="F420" s="67" t="s">
        <v>758</v>
      </c>
      <c r="G420" s="67" t="s">
        <v>589</v>
      </c>
      <c r="H420" s="9" t="s">
        <v>1254</v>
      </c>
      <c r="I420" s="17" t="str">
        <f>IFERROR(_xlfn.XLOOKUP(Tabela2[[#This Row],[CHAPA]],TUT.CONTROL!F:F,TUT.CONTROL!I:I),_xlfn.XLOOKUP(Tabela2[[#This Row],[CHAPA]],'REG.CONTROL'!F:F,'REG.CONTROL'!I:I))</f>
        <v>Ativo</v>
      </c>
      <c r="J420" s="17">
        <f>IFERROR(_xlfn.XLOOKUP(Tabela2[[#This Row],[NOME DO TUTOR]],TUT.CONTROL!C:C,TUT.CONTROL!G:G),"Demitido")</f>
        <v>45978</v>
      </c>
      <c r="K420" s="19">
        <v>75988989756</v>
      </c>
      <c r="L420" s="22">
        <f>IFERROR(_xlfn.XLOOKUP(Tabela2[[#This Row],[NOME DO TUTOR]],TUT.CONTROL!C:C,TUT.CONTROL!F:F),"Demitido")</f>
        <v>1158001065</v>
      </c>
      <c r="M420" s="8" t="s">
        <v>1255</v>
      </c>
      <c r="N420" s="11" t="str">
        <f>IFERROR(_xlfn.XLOOKUP(Tabela2[[#This Row],[CHAPA]],TUT.CONTROL!F:F,TUT.CONTROL!H:H),_xlfn.XLOOKUP(Tabela2[[#This Row],[CHAPA]],'REG.CONTROL'!F:F,'REG.CONTROL'!H:H))</f>
        <v>TUTOR DE PRATICA (UC_1749)</v>
      </c>
      <c r="O420" s="68" t="str">
        <f>IFERROR(_xlfn.XLOOKUP(Tabela2[[#This Row],[NOME DO TUTOR]],TUT.CONTROL!C:C,TUT.CONTROL!K:K),"Demitido")</f>
        <v>004:00</v>
      </c>
      <c r="P42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20" s="66"/>
      <c r="R420" s="66" t="s">
        <v>867</v>
      </c>
      <c r="S420" s="8" t="s">
        <v>1256</v>
      </c>
    </row>
    <row r="421" spans="1:19" ht="13.5" hidden="1" x14ac:dyDescent="0.3">
      <c r="A42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Capão Da Canoa/RSNTRNUTRI (Multidisciplinar IV)</v>
      </c>
      <c r="B421" s="8" t="str">
        <f>Tabela2[[#This Row],[CATEGORIA]]&amp;Tabela2[[#This Row],[CURSOS]]&amp;"LAP - "&amp;Tabela2[[#This Row],[POLO]]</f>
        <v>NUTRI (Multidisciplinar IV)NTRLAP - Capão Da Canoa/RS</v>
      </c>
      <c r="C421" s="8" t="str">
        <f>Tabela2[[#This Row],[CATEGORIA]]&amp;Tabela2[[#This Row],[CURSOS]]</f>
        <v>NUTRI (Multidisciplinar IV)NTR</v>
      </c>
      <c r="D421" s="8" t="str">
        <f>IF(Tabela2[[#This Row],[SITUAÇÃO]]&lt;&gt;"Demitido",CONCATENATE(Tabela2[[#This Row],[POLO]],Tabela2[[#This Row],[CURSOS]]),"Substituição")</f>
        <v>Capão Da Canoa/RSNTR</v>
      </c>
      <c r="E421" s="8" t="s">
        <v>730</v>
      </c>
      <c r="F421" s="67" t="s">
        <v>731</v>
      </c>
      <c r="G421" s="67" t="s">
        <v>197</v>
      </c>
      <c r="H421" s="9" t="s">
        <v>1257</v>
      </c>
      <c r="I421" s="17" t="str">
        <f>IFERROR(_xlfn.XLOOKUP(Tabela2[[#This Row],[CHAPA]],TUT.CONTROL!F:F,TUT.CONTROL!I:I),_xlfn.XLOOKUP(Tabela2[[#This Row],[CHAPA]],'REG.CONTROL'!F:F,'REG.CONTROL'!I:I))</f>
        <v>Ativo</v>
      </c>
      <c r="J421" s="17">
        <f>IFERROR(_xlfn.XLOOKUP(Tabela2[[#This Row],[NOME DO TUTOR]],TUT.CONTROL!C:C,TUT.CONTROL!G:G),"Demitido")</f>
        <v>46029</v>
      </c>
      <c r="K421" s="19">
        <v>51982061023</v>
      </c>
      <c r="L421" s="22">
        <f>IFERROR(_xlfn.XLOOKUP(Tabela2[[#This Row],[NOME DO TUTOR]],TUT.CONTROL!C:C,TUT.CONTROL!F:F),"Demitido")</f>
        <v>1158001083</v>
      </c>
      <c r="M421" s="8" t="s">
        <v>1258</v>
      </c>
      <c r="N421" s="11" t="str">
        <f>IFERROR(_xlfn.XLOOKUP(Tabela2[[#This Row],[CHAPA]],TUT.CONTROL!F:F,TUT.CONTROL!H:H),_xlfn.XLOOKUP(Tabela2[[#This Row],[CHAPA]],'REG.CONTROL'!F:F,'REG.CONTROL'!H:H))</f>
        <v>TUTOR DE PRATICA (UC_1749)</v>
      </c>
      <c r="O421" s="68" t="str">
        <f>IFERROR(_xlfn.XLOOKUP(Tabela2[[#This Row],[NOME DO TUTOR]],TUT.CONTROL!C:C,TUT.CONTROL!K:K),"Demitido")</f>
        <v>004:00</v>
      </c>
      <c r="P42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21" s="66"/>
      <c r="R421" s="66" t="s">
        <v>801</v>
      </c>
      <c r="S421" s="8" t="s">
        <v>1259</v>
      </c>
    </row>
    <row r="422" spans="1:19" ht="13.5" hidden="1" x14ac:dyDescent="0.3">
      <c r="A42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Itapipoca/CEBFRBIO-FAR (Multidisciplinar I)</v>
      </c>
      <c r="B422" s="8" t="str">
        <f>Tabela2[[#This Row],[CATEGORIA]]&amp;Tabela2[[#This Row],[CURSOS]]&amp;"LAP - "&amp;Tabela2[[#This Row],[POLO]]</f>
        <v>BIO-FAR (Multidisciplinar I)BFRLAP - Itapipoca/CE</v>
      </c>
      <c r="C422" s="8" t="str">
        <f>Tabela2[[#This Row],[CATEGORIA]]&amp;Tabela2[[#This Row],[CURSOS]]</f>
        <v>BIO-FAR (Multidisciplinar I)BFR</v>
      </c>
      <c r="D422" s="8" t="str">
        <f>IF(Tabela2[[#This Row],[SITUAÇÃO]]&lt;&gt;"Demitido",CONCATENATE(Tabela2[[#This Row],[POLO]],Tabela2[[#This Row],[CURSOS]]),"Substituição")</f>
        <v>Itapipoca/CEBFR</v>
      </c>
      <c r="E422" s="8" t="s">
        <v>771</v>
      </c>
      <c r="F422" s="67" t="s">
        <v>772</v>
      </c>
      <c r="G422" s="67" t="s">
        <v>376</v>
      </c>
      <c r="H422" s="9" t="s">
        <v>1260</v>
      </c>
      <c r="I422" s="17" t="str">
        <f>IFERROR(_xlfn.XLOOKUP(Tabela2[[#This Row],[CHAPA]],TUT.CONTROL!F:F,TUT.CONTROL!I:I),_xlfn.XLOOKUP(Tabela2[[#This Row],[CHAPA]],'REG.CONTROL'!F:F,'REG.CONTROL'!I:I))</f>
        <v>Ativo</v>
      </c>
      <c r="J422" s="17">
        <f>IFERROR(_xlfn.XLOOKUP(Tabela2[[#This Row],[NOME DO TUTOR]],TUT.CONTROL!C:C,TUT.CONTROL!G:G),"Demitido")</f>
        <v>46029</v>
      </c>
      <c r="K422" s="19">
        <v>85989650032</v>
      </c>
      <c r="L422" s="22">
        <f>IFERROR(_xlfn.XLOOKUP(Tabela2[[#This Row],[NOME DO TUTOR]],TUT.CONTROL!C:C,TUT.CONTROL!F:F),"Demitido")</f>
        <v>1158001076</v>
      </c>
      <c r="M422" s="8" t="s">
        <v>1261</v>
      </c>
      <c r="N422" s="11" t="str">
        <f>IFERROR(_xlfn.XLOOKUP(Tabela2[[#This Row],[CHAPA]],TUT.CONTROL!F:F,TUT.CONTROL!H:H),_xlfn.XLOOKUP(Tabela2[[#This Row],[CHAPA]],'REG.CONTROL'!F:F,'REG.CONTROL'!H:H))</f>
        <v>TUTOR DE PRATICA (UC_1749)</v>
      </c>
      <c r="O422" s="68" t="str">
        <f>IFERROR(_xlfn.XLOOKUP(Tabela2[[#This Row],[NOME DO TUTOR]],TUT.CONTROL!C:C,TUT.CONTROL!K:K),"Demitido")</f>
        <v>004:00</v>
      </c>
      <c r="P42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22" s="66"/>
      <c r="R422" s="66"/>
      <c r="S422" s="8"/>
    </row>
    <row r="423" spans="1:19" ht="13.5" hidden="1" x14ac:dyDescent="0.3">
      <c r="A42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Macapá/APBTOBIO-FISIO-EST-TO (Multidisciplinar III)</v>
      </c>
      <c r="B423" s="8" t="str">
        <f>Tabela2[[#This Row],[CATEGORIA]]&amp;Tabela2[[#This Row],[CURSOS]]&amp;"LAP - "&amp;Tabela2[[#This Row],[POLO]]</f>
        <v>BIO-FISIO-EST-TO (Multidisciplinar III)BTOLAP - Macapá/AP</v>
      </c>
      <c r="C423" s="8" t="str">
        <f>Tabela2[[#This Row],[CATEGORIA]]&amp;Tabela2[[#This Row],[CURSOS]]</f>
        <v>BIO-FISIO-EST-TO (Multidisciplinar III)BTO</v>
      </c>
      <c r="D423" s="8" t="str">
        <f>IF(Tabela2[[#This Row],[SITUAÇÃO]]&lt;&gt;"Demitido",CONCATENATE(Tabela2[[#This Row],[POLO]],Tabela2[[#This Row],[CURSOS]]),"Substituição")</f>
        <v>Macapá/APBTO</v>
      </c>
      <c r="E423" s="8" t="s">
        <v>757</v>
      </c>
      <c r="F423" s="67" t="s">
        <v>987</v>
      </c>
      <c r="G423" s="67" t="s">
        <v>439</v>
      </c>
      <c r="H423" s="9" t="s">
        <v>1262</v>
      </c>
      <c r="I423" s="17" t="str">
        <f>IFERROR(_xlfn.XLOOKUP(Tabela2[[#This Row],[CHAPA]],TUT.CONTROL!F:F,TUT.CONTROL!I:I),_xlfn.XLOOKUP(Tabela2[[#This Row],[CHAPA]],'REG.CONTROL'!F:F,'REG.CONTROL'!I:I))</f>
        <v>Ativo</v>
      </c>
      <c r="J423" s="17">
        <f>IFERROR(_xlfn.XLOOKUP(Tabela2[[#This Row],[NOME DO TUTOR]],TUT.CONTROL!C:C,TUT.CONTROL!G:G),"Demitido")</f>
        <v>46029</v>
      </c>
      <c r="K423" s="19">
        <v>91985620816</v>
      </c>
      <c r="L423" s="22">
        <f>IFERROR(_xlfn.XLOOKUP(Tabela2[[#This Row],[NOME DO TUTOR]],TUT.CONTROL!C:C,TUT.CONTROL!F:F),"Demitido")</f>
        <v>1158001082</v>
      </c>
      <c r="M423" s="8" t="s">
        <v>1263</v>
      </c>
      <c r="N423" s="11" t="str">
        <f>IFERROR(_xlfn.XLOOKUP(Tabela2[[#This Row],[CHAPA]],TUT.CONTROL!F:F,TUT.CONTROL!H:H),_xlfn.XLOOKUP(Tabela2[[#This Row],[CHAPA]],'REG.CONTROL'!F:F,'REG.CONTROL'!H:H))</f>
        <v>TUTOR DE PRATICA (UC_1749)</v>
      </c>
      <c r="O423" s="68" t="str">
        <f>IFERROR(_xlfn.XLOOKUP(Tabela2[[#This Row],[NOME DO TUTOR]],TUT.CONTROL!C:C,TUT.CONTROL!K:K),"Demitido")</f>
        <v>004:00</v>
      </c>
      <c r="P42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23" s="66"/>
      <c r="R423" s="66"/>
      <c r="S423" s="8"/>
    </row>
    <row r="424" spans="1:19" ht="13.5" hidden="1" x14ac:dyDescent="0.3">
      <c r="A42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424" s="8" t="str">
        <f>Tabela2[[#This Row],[CATEGORIA]]&amp;Tabela2[[#This Row],[CURSOS]]&amp;"LAP - "&amp;Tabela2[[#This Row],[POLO]]</f>
        <v>ENF-INS (Multidisciplinar II)EMF-ISNLAP - Teixeira de Freitas/BA</v>
      </c>
      <c r="C424" s="8" t="str">
        <f>Tabela2[[#This Row],[CATEGORIA]]&amp;Tabela2[[#This Row],[CURSOS]]</f>
        <v>ENF-INS (Multidisciplinar II)EMF-ISN</v>
      </c>
      <c r="D424" s="8" t="str">
        <f>IF(Tabela2[[#This Row],[SITUAÇÃO]]&lt;&gt;"Demitido",CONCATENATE(Tabela2[[#This Row],[POLO]],Tabela2[[#This Row],[CURSOS]]),"Substituição")</f>
        <v>Substituição</v>
      </c>
      <c r="E424" s="8" t="s">
        <v>21</v>
      </c>
      <c r="F424" s="67" t="s">
        <v>22</v>
      </c>
      <c r="G424" s="67" t="s">
        <v>1264</v>
      </c>
      <c r="H424" s="9" t="s">
        <v>1265</v>
      </c>
      <c r="I424" s="71" t="str">
        <f>IFERROR(_xlfn.XLOOKUP(Tabela2[[#This Row],[CHAPA]],TUT.CONTROL!F:F,TUT.CONTROL!I:I),_xlfn.XLOOKUP(Tabela2[[#This Row],[CHAPA]],'REG.CONTROL'!F:F,'REG.CONTROL'!I:I))</f>
        <v>Demitido</v>
      </c>
      <c r="J424" s="17">
        <f>IFERROR(_xlfn.XLOOKUP(Tabela2[[#This Row],[NOME DO TUTOR]],TUT.CONTROL!C:C,TUT.CONTROL!G:G),"Demitido")</f>
        <v>45931</v>
      </c>
      <c r="K424" s="19">
        <v>73998288790</v>
      </c>
      <c r="L424" s="22">
        <f>IFERROR(_xlfn.XLOOKUP(Tabela2[[#This Row],[NOME DO TUTOR]],TUT.CONTROL!C:C,TUT.CONTROL!F:F),"Demitido")</f>
        <v>1158001003</v>
      </c>
      <c r="M424" s="8" t="s">
        <v>1266</v>
      </c>
      <c r="N424" s="11" t="str">
        <f>IFERROR(_xlfn.XLOOKUP(Tabela2[[#This Row],[CHAPA]],TUT.CONTROL!F:F,TUT.CONTROL!H:H),_xlfn.XLOOKUP(Tabela2[[#This Row],[CHAPA]],'REG.CONTROL'!F:F,'REG.CONTROL'!H:H))</f>
        <v>TUTOR DE PRATICA (UC_1749)</v>
      </c>
      <c r="O424" s="68" t="str">
        <f>IFERROR(_xlfn.XLOOKUP(Tabela2[[#This Row],[NOME DO TUTOR]],TUT.CONTROL!C:C,TUT.CONTROL!K:K),"Demitido")</f>
        <v>004:00</v>
      </c>
      <c r="P424" s="17">
        <f>IF(Tabela2[[#This Row],[SITUAÇÃO]]="Demitido",IFERROR(_xlfn.XLOOKUP(Tabela2[[#This Row],[CHAPA]],TUT.CONTROL!F:F,TUT.CONTROL!V:V),_xlfn.XLOOKUP(Tabela2[[#This Row],[CHAPA]],'REG.CONTROL'!F:F,'REG.CONTROL'!V:V)),"-")</f>
        <v>46062</v>
      </c>
      <c r="Q424" s="66" t="s">
        <v>43</v>
      </c>
      <c r="R424" s="8" t="s">
        <v>286</v>
      </c>
      <c r="S424" s="8">
        <v>455651</v>
      </c>
    </row>
    <row r="425" spans="1:19" ht="13.5" hidden="1" x14ac:dyDescent="0.3">
      <c r="A42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Rio Verde/GOAGMQUÍMICA E FÍSICA</v>
      </c>
      <c r="B425" s="8" t="str">
        <f>Tabela2[[#This Row],[CATEGORIA]]&amp;Tabela2[[#This Row],[CURSOS]]&amp;"LAP - "&amp;Tabela2[[#This Row],[POLO]]</f>
        <v>QUÍMICA E FÍSICAAGMLAP - Rio Verde/GO</v>
      </c>
      <c r="C425" s="8" t="str">
        <f>Tabela2[[#This Row],[CATEGORIA]]&amp;Tabela2[[#This Row],[CURSOS]]</f>
        <v>QUÍMICA E FÍSICAAGM</v>
      </c>
      <c r="D425" s="8" t="str">
        <f>IF(Tabela2[[#This Row],[SITUAÇÃO]]&lt;&gt;"Demitido",CONCATENATE(Tabela2[[#This Row],[POLO]],Tabela2[[#This Row],[CURSOS]]),"Substituição")</f>
        <v>Rio Verde/GOAGM</v>
      </c>
      <c r="E425" s="8" t="s">
        <v>734</v>
      </c>
      <c r="F425" s="67" t="s">
        <v>735</v>
      </c>
      <c r="G425" s="67" t="s">
        <v>720</v>
      </c>
      <c r="H425" s="9" t="s">
        <v>1267</v>
      </c>
      <c r="I425" s="17" t="str">
        <f>IFERROR(_xlfn.XLOOKUP(Tabela2[[#This Row],[CHAPA]],TUT.CONTROL!F:F,TUT.CONTROL!I:I),_xlfn.XLOOKUP(Tabela2[[#This Row],[CHAPA]],'REG.CONTROL'!F:F,'REG.CONTROL'!I:I))</f>
        <v>Ativo</v>
      </c>
      <c r="J425" s="17">
        <f>IFERROR(_xlfn.XLOOKUP(Tabela2[[#This Row],[NOME DO TUTOR]],TUT.CONTROL!C:C,TUT.CONTROL!G:G),"Demitido")</f>
        <v>46034</v>
      </c>
      <c r="K425" s="19">
        <v>64992035207</v>
      </c>
      <c r="L425" s="22">
        <f>IFERROR(_xlfn.XLOOKUP(Tabela2[[#This Row],[NOME DO TUTOR]],TUT.CONTROL!C:C,TUT.CONTROL!F:F),"Demitido")</f>
        <v>1158001084</v>
      </c>
      <c r="M425" s="8" t="s">
        <v>1268</v>
      </c>
      <c r="N425" s="11" t="str">
        <f>IFERROR(_xlfn.XLOOKUP(Tabela2[[#This Row],[CHAPA]],TUT.CONTROL!F:F,TUT.CONTROL!H:H),_xlfn.XLOOKUP(Tabela2[[#This Row],[CHAPA]],'REG.CONTROL'!F:F,'REG.CONTROL'!H:H))</f>
        <v>TUTOR DE PRATICA (UC_1749)</v>
      </c>
      <c r="O425" s="68" t="str">
        <f>IFERROR(_xlfn.XLOOKUP(Tabela2[[#This Row],[NOME DO TUTOR]],TUT.CONTROL!C:C,TUT.CONTROL!K:K),"Demitido")</f>
        <v>004:00</v>
      </c>
      <c r="P42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25" s="66"/>
      <c r="R425" s="66"/>
      <c r="S425" s="8"/>
    </row>
    <row r="426" spans="1:19" ht="13.5" hidden="1" x14ac:dyDescent="0.3">
      <c r="A42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Campina Grande/PBBFRBIO-FAR (Multidisciplinar I)</v>
      </c>
      <c r="B426" s="8" t="str">
        <f>Tabela2[[#This Row],[CATEGORIA]]&amp;Tabela2[[#This Row],[CURSOS]]&amp;"LAP - "&amp;Tabela2[[#This Row],[POLO]]</f>
        <v>BIO-FAR (Multidisciplinar I)BFRLAP - Campina Grande/PB</v>
      </c>
      <c r="C426" s="8" t="str">
        <f>Tabela2[[#This Row],[CATEGORIA]]&amp;Tabela2[[#This Row],[CURSOS]]</f>
        <v>BIO-FAR (Multidisciplinar I)BFR</v>
      </c>
      <c r="D426" s="8" t="str">
        <f>IF(Tabela2[[#This Row],[SITUAÇÃO]]&lt;&gt;"Demitido",CONCATENATE(Tabela2[[#This Row],[POLO]],Tabela2[[#This Row],[CURSOS]]),"Substituição")</f>
        <v>Campina Grande/PBBFR</v>
      </c>
      <c r="E426" s="8" t="s">
        <v>771</v>
      </c>
      <c r="F426" s="67" t="s">
        <v>772</v>
      </c>
      <c r="G426" s="67" t="s">
        <v>168</v>
      </c>
      <c r="H426" s="9" t="s">
        <v>1269</v>
      </c>
      <c r="I426" s="17" t="str">
        <f>IFERROR(_xlfn.XLOOKUP(Tabela2[[#This Row],[CHAPA]],TUT.CONTROL!F:F,TUT.CONTROL!I:I),_xlfn.XLOOKUP(Tabela2[[#This Row],[CHAPA]],'REG.CONTROL'!F:F,'REG.CONTROL'!I:I))</f>
        <v>Ativo</v>
      </c>
      <c r="J426" s="17">
        <f>IFERROR(_xlfn.XLOOKUP(Tabela2[[#This Row],[NOME DO TUTOR]],TUT.CONTROL!C:C,TUT.CONTROL!G:G),"Demitido")</f>
        <v>46071</v>
      </c>
      <c r="K426" s="19">
        <v>83981859211</v>
      </c>
      <c r="L426" s="22">
        <f>IFERROR(_xlfn.XLOOKUP(Tabela2[[#This Row],[NOME DO TUTOR]],TUT.CONTROL!C:C,TUT.CONTROL!F:F),"Demitido")</f>
        <v>1158001122</v>
      </c>
      <c r="M426" s="8" t="s">
        <v>1270</v>
      </c>
      <c r="N426" s="11" t="str">
        <f>IFERROR(_xlfn.XLOOKUP(Tabela2[[#This Row],[CHAPA]],TUT.CONTROL!F:F,TUT.CONTROL!H:H),_xlfn.XLOOKUP(Tabela2[[#This Row],[CHAPA]],'REG.CONTROL'!F:F,'REG.CONTROL'!H:H))</f>
        <v>TUTOR DE PRATICA (UC_1749)</v>
      </c>
      <c r="O426" s="68" t="str">
        <f>IFERROR(_xlfn.XLOOKUP(Tabela2[[#This Row],[NOME DO TUTOR]],TUT.CONTROL!C:C,TUT.CONTROL!K:K),"Demitido")</f>
        <v>004:00</v>
      </c>
      <c r="P42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26" s="66"/>
      <c r="R426" s="66"/>
      <c r="S426" s="8"/>
    </row>
    <row r="427" spans="1:19" ht="13.5" hidden="1" x14ac:dyDescent="0.3">
      <c r="A42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Guarujá/SPBFRBIO-FAR (Multidisciplinar I)</v>
      </c>
      <c r="B427" s="8" t="str">
        <f>Tabela2[[#This Row],[CATEGORIA]]&amp;Tabela2[[#This Row],[CURSOS]]&amp;"LAP - "&amp;Tabela2[[#This Row],[POLO]]</f>
        <v>BIO-FAR (Multidisciplinar I)BFRLAP - Guarujá/SP</v>
      </c>
      <c r="C427" s="8" t="str">
        <f>Tabela2[[#This Row],[CATEGORIA]]&amp;Tabela2[[#This Row],[CURSOS]]</f>
        <v>BIO-FAR (Multidisciplinar I)BFR</v>
      </c>
      <c r="D427" s="8" t="str">
        <f>IF(Tabela2[[#This Row],[SITUAÇÃO]]&lt;&gt;"Demitido",CONCATENATE(Tabela2[[#This Row],[POLO]],Tabela2[[#This Row],[CURSOS]]),"Substituição")</f>
        <v>Guarujá/SPBFR</v>
      </c>
      <c r="E427" s="8" t="s">
        <v>771</v>
      </c>
      <c r="F427" s="67" t="s">
        <v>772</v>
      </c>
      <c r="G427" s="67" t="s">
        <v>325</v>
      </c>
      <c r="H427" s="9" t="s">
        <v>1271</v>
      </c>
      <c r="I427" s="17" t="str">
        <f>IFERROR(_xlfn.XLOOKUP(Tabela2[[#This Row],[CHAPA]],TUT.CONTROL!F:F,TUT.CONTROL!I:I),_xlfn.XLOOKUP(Tabela2[[#This Row],[CHAPA]],'REG.CONTROL'!F:F,'REG.CONTROL'!I:I))</f>
        <v>Ativo</v>
      </c>
      <c r="J427" s="17">
        <f>IFERROR(_xlfn.XLOOKUP(Tabela2[[#This Row],[NOME DO TUTOR]],TUT.CONTROL!C:C,TUT.CONTROL!G:G),"Atualizar")</f>
        <v>46076</v>
      </c>
      <c r="K427" s="19">
        <v>21975649494</v>
      </c>
      <c r="L427" s="22">
        <f>IFERROR(_xlfn.XLOOKUP(Tabela2[[#This Row],[NOME DO TUTOR]],TUT.CONTROL!C:C,TUT.CONTROL!F:F),"Atualizar")</f>
        <v>1158001124</v>
      </c>
      <c r="M427" s="8" t="s">
        <v>1272</v>
      </c>
      <c r="N427" s="11" t="str">
        <f>IFERROR(_xlfn.XLOOKUP(Tabela2[[#This Row],[CHAPA]],TUT.CONTROL!F:F,TUT.CONTROL!H:H),_xlfn.XLOOKUP(Tabela2[[#This Row],[CHAPA]],'REG.CONTROL'!F:F,'REG.CONTROL'!H:H))</f>
        <v>TUTOR DE PRATICA (UC_1749)</v>
      </c>
      <c r="O427" s="68" t="str">
        <f>IFERROR(_xlfn.XLOOKUP(Tabela2[[#This Row],[NOME DO TUTOR]],TUT.CONTROL!C:C,TUT.CONTROL!K:K),"Atualizar")</f>
        <v>004:00</v>
      </c>
      <c r="P42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27" s="66"/>
      <c r="R427" s="66"/>
      <c r="S427" s="8"/>
    </row>
    <row r="428" spans="1:19" ht="13.5" hidden="1" x14ac:dyDescent="0.3">
      <c r="A42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Capão Da Canoa/RSBFRBIO-FAR (Multidisciplinar I)</v>
      </c>
      <c r="B428" s="8" t="str">
        <f>Tabela2[[#This Row],[CATEGORIA]]&amp;Tabela2[[#This Row],[CURSOS]]&amp;"LAP - "&amp;Tabela2[[#This Row],[POLO]]</f>
        <v>BIO-FAR (Multidisciplinar I)BFRLAP - Capão Da Canoa/RS</v>
      </c>
      <c r="C428" s="8" t="str">
        <f>Tabela2[[#This Row],[CATEGORIA]]&amp;Tabela2[[#This Row],[CURSOS]]</f>
        <v>BIO-FAR (Multidisciplinar I)BFR</v>
      </c>
      <c r="D428" s="8" t="str">
        <f>IF(Tabela2[[#This Row],[SITUAÇÃO]]&lt;&gt;"Demitido",CONCATENATE(Tabela2[[#This Row],[POLO]],Tabela2[[#This Row],[CURSOS]]),"Substituição")</f>
        <v>Capão Da Canoa/RSBFR</v>
      </c>
      <c r="E428" s="8" t="s">
        <v>771</v>
      </c>
      <c r="F428" s="67" t="s">
        <v>772</v>
      </c>
      <c r="G428" s="67" t="s">
        <v>197</v>
      </c>
      <c r="H428" s="9" t="s">
        <v>1273</v>
      </c>
      <c r="I428" s="17" t="str">
        <f>IFERROR(_xlfn.XLOOKUP(Tabela2[[#This Row],[CHAPA]],TUT.CONTROL!F:F,TUT.CONTROL!I:I),_xlfn.XLOOKUP(Tabela2[[#This Row],[CHAPA]],'REG.CONTROL'!F:F,'REG.CONTROL'!I:I))</f>
        <v>Ativo</v>
      </c>
      <c r="J428" s="17">
        <f>IFERROR(_xlfn.XLOOKUP(Tabela2[[#This Row],[NOME DO TUTOR]],TUT.CONTROL!C:C,TUT.CONTROL!G:G),"Atualizar")</f>
        <v>46083</v>
      </c>
      <c r="K428" s="19">
        <v>51999639981</v>
      </c>
      <c r="L428" s="22">
        <f>IFERROR(_xlfn.XLOOKUP(Tabela2[[#This Row],[NOME DO TUTOR]],TUT.CONTROL!C:C,TUT.CONTROL!F:F),"Atualizar")</f>
        <v>1158001137</v>
      </c>
      <c r="M428" s="8" t="s">
        <v>1274</v>
      </c>
      <c r="N428" s="11" t="str">
        <f>IFERROR(_xlfn.XLOOKUP(Tabela2[[#This Row],[CHAPA]],TUT.CONTROL!F:F,TUT.CONTROL!H:H),_xlfn.XLOOKUP(Tabela2[[#This Row],[CHAPA]],'REG.CONTROL'!F:F,'REG.CONTROL'!H:H))</f>
        <v>TUTOR DE PRATICA (UC_1749)</v>
      </c>
      <c r="O428" s="68" t="str">
        <f>IFERROR(_xlfn.XLOOKUP(Tabela2[[#This Row],[NOME DO TUTOR]],TUT.CONTROL!C:C,TUT.CONTROL!K:K),"Atualizar")</f>
        <v>004:00</v>
      </c>
      <c r="P42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28" s="66"/>
      <c r="R428" s="66"/>
      <c r="S428" s="8"/>
    </row>
    <row r="429" spans="1:19" ht="13.5" hidden="1" x14ac:dyDescent="0.3">
      <c r="A42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Caxias Do Sul/RS - Shopping VillagioBFRBIO-FAR (Multidisciplinar I)</v>
      </c>
      <c r="B429" s="8" t="str">
        <f>Tabela2[[#This Row],[CATEGORIA]]&amp;Tabela2[[#This Row],[CURSOS]]&amp;"LAP - "&amp;Tabela2[[#This Row],[POLO]]</f>
        <v>BIO-FAR (Multidisciplinar I)BFRLAP - Caxias Do Sul/RS - Shopping Villagio</v>
      </c>
      <c r="C429" s="8" t="str">
        <f>Tabela2[[#This Row],[CATEGORIA]]&amp;Tabela2[[#This Row],[CURSOS]]</f>
        <v>BIO-FAR (Multidisciplinar I)BFR</v>
      </c>
      <c r="D429" s="8" t="str">
        <f>IF(Tabela2[[#This Row],[SITUAÇÃO]]&lt;&gt;"Demitido",CONCATENATE(Tabela2[[#This Row],[POLO]],Tabela2[[#This Row],[CURSOS]]),"Substituição")</f>
        <v>Caxias Do Sul/RS - Shopping VillagioBFR</v>
      </c>
      <c r="E429" s="8" t="s">
        <v>771</v>
      </c>
      <c r="F429" s="67" t="s">
        <v>772</v>
      </c>
      <c r="G429" s="67" t="s">
        <v>1126</v>
      </c>
      <c r="H429" s="9" t="s">
        <v>1275</v>
      </c>
      <c r="I429" s="17" t="str">
        <f>IFERROR(_xlfn.XLOOKUP(Tabela2[[#This Row],[CHAPA]],TUT.CONTROL!F:F,TUT.CONTROL!I:I),_xlfn.XLOOKUP(Tabela2[[#This Row],[CHAPA]],'REG.CONTROL'!F:F,'REG.CONTROL'!I:I))</f>
        <v>Ativo</v>
      </c>
      <c r="J429" s="17">
        <f>IFERROR(_xlfn.XLOOKUP(Tabela2[[#This Row],[NOME DO TUTOR]],TUT.CONTROL!C:C,TUT.CONTROL!G:G),"Atualizar")</f>
        <v>46083</v>
      </c>
      <c r="K429" s="19">
        <v>62996257719</v>
      </c>
      <c r="L429" s="22">
        <f>IFERROR(_xlfn.XLOOKUP(Tabela2[[#This Row],[NOME DO TUTOR]],TUT.CONTROL!C:C,TUT.CONTROL!F:F),"Demitido")</f>
        <v>1158001132</v>
      </c>
      <c r="M429" s="8" t="s">
        <v>1276</v>
      </c>
      <c r="N429" s="11" t="str">
        <f>IFERROR(_xlfn.XLOOKUP(Tabela2[[#This Row],[CHAPA]],TUT.CONTROL!F:F,TUT.CONTROL!H:H),_xlfn.XLOOKUP(Tabela2[[#This Row],[CHAPA]],'REG.CONTROL'!F:F,'REG.CONTROL'!H:H))</f>
        <v>TUTOR DE PRATICA (UC_1749)</v>
      </c>
      <c r="O429" s="68" t="str">
        <f>IFERROR(_xlfn.XLOOKUP(Tabela2[[#This Row],[NOME DO TUTOR]],TUT.CONTROL!C:C,TUT.CONTROL!K:K),"Demitido")</f>
        <v>004:00</v>
      </c>
      <c r="P42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29" s="66"/>
      <c r="R429" s="66"/>
      <c r="S429" s="8"/>
    </row>
    <row r="430" spans="1:19" ht="13.5" hidden="1" x14ac:dyDescent="0.3">
      <c r="A43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Itajaí/SC - São VicenteBFRBIO-FAR (Multidisciplinar I)</v>
      </c>
      <c r="B430" s="8" t="str">
        <f>Tabela2[[#This Row],[CATEGORIA]]&amp;Tabela2[[#This Row],[CURSOS]]&amp;"LAP - "&amp;Tabela2[[#This Row],[POLO]]</f>
        <v>BIO-FAR (Multidisciplinar I)BFRLAP - Itajaí/SC - São Vicente</v>
      </c>
      <c r="C430" s="8" t="str">
        <f>Tabela2[[#This Row],[CATEGORIA]]&amp;Tabela2[[#This Row],[CURSOS]]</f>
        <v>BIO-FAR (Multidisciplinar I)BFR</v>
      </c>
      <c r="D430" s="8" t="str">
        <f>IF(Tabela2[[#This Row],[SITUAÇÃO]]&lt;&gt;"Demitido",CONCATENATE(Tabela2[[#This Row],[POLO]],Tabela2[[#This Row],[CURSOS]]),"Substituição")</f>
        <v>Itajaí/SC - São VicenteBFR</v>
      </c>
      <c r="E430" s="8" t="s">
        <v>771</v>
      </c>
      <c r="F430" s="67" t="s">
        <v>772</v>
      </c>
      <c r="G430" s="67" t="s">
        <v>366</v>
      </c>
      <c r="H430" s="9" t="s">
        <v>1277</v>
      </c>
      <c r="I430" s="17" t="str">
        <f>IFERROR(_xlfn.XLOOKUP(Tabela2[[#This Row],[CHAPA]],TUT.CONTROL!F:F,TUT.CONTROL!I:I),_xlfn.XLOOKUP(Tabela2[[#This Row],[CHAPA]],'REG.CONTROL'!F:F,'REG.CONTROL'!I:I))</f>
        <v>Ativo</v>
      </c>
      <c r="J430" s="17">
        <f>IFERROR(_xlfn.XLOOKUP(Tabela2[[#This Row],[NOME DO TUTOR]],TUT.CONTROL!C:C,TUT.CONTROL!G:G),"Atualizar")</f>
        <v>46084</v>
      </c>
      <c r="K430" s="19">
        <v>47996535961</v>
      </c>
      <c r="L430" s="22">
        <f>IFERROR(_xlfn.XLOOKUP(Tabela2[[#This Row],[NOME DO TUTOR]],TUT.CONTROL!C:C,TUT.CONTROL!F:F),"Demitido")</f>
        <v>1158001138</v>
      </c>
      <c r="M430" s="8" t="s">
        <v>1278</v>
      </c>
      <c r="N430" s="11" t="str">
        <f>IFERROR(_xlfn.XLOOKUP(Tabela2[[#This Row],[CHAPA]],TUT.CONTROL!F:F,TUT.CONTROL!H:H),_xlfn.XLOOKUP(Tabela2[[#This Row],[CHAPA]],'REG.CONTROL'!F:F,'REG.CONTROL'!H:H))</f>
        <v>TUTOR DE PRATICA (UC_1749)</v>
      </c>
      <c r="O430" s="68" t="str">
        <f>IFERROR(_xlfn.XLOOKUP(Tabela2[[#This Row],[NOME DO TUTOR]],TUT.CONTROL!C:C,TUT.CONTROL!K:K),"Demitido")</f>
        <v>004:00</v>
      </c>
      <c r="P43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30" s="66"/>
      <c r="R430" s="66"/>
      <c r="S430" s="8"/>
    </row>
    <row r="431" spans="1:19" ht="13.5" hidden="1" x14ac:dyDescent="0.3">
      <c r="A43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Rio de Janeiro/RJ - Campo GrandeBFRBIO-FAR (Multidisciplinar I)</v>
      </c>
      <c r="B431" s="8" t="str">
        <f>Tabela2[[#This Row],[CATEGORIA]]&amp;Tabela2[[#This Row],[CURSOS]]&amp;"LAP - "&amp;Tabela2[[#This Row],[POLO]]</f>
        <v>BIO-FAR (Multidisciplinar I)BFRLAP - Rio de Janeiro/RJ - Campo Grande</v>
      </c>
      <c r="C431" s="8" t="str">
        <f>Tabela2[[#This Row],[CATEGORIA]]&amp;Tabela2[[#This Row],[CURSOS]]</f>
        <v>BIO-FAR (Multidisciplinar I)BFR</v>
      </c>
      <c r="D431" s="8" t="str">
        <f>IF(Tabela2[[#This Row],[SITUAÇÃO]]&lt;&gt;"Demitido",CONCATENATE(Tabela2[[#This Row],[POLO]],Tabela2[[#This Row],[CURSOS]]),"Substituição")</f>
        <v>Rio de Janeiro/RJ - Campo GrandeBFR</v>
      </c>
      <c r="E431" s="8" t="s">
        <v>771</v>
      </c>
      <c r="F431" s="67" t="s">
        <v>772</v>
      </c>
      <c r="G431" s="67" t="s">
        <v>833</v>
      </c>
      <c r="H431" s="9" t="s">
        <v>1279</v>
      </c>
      <c r="I431" s="17" t="str">
        <f>IFERROR(_xlfn.XLOOKUP(Tabela2[[#This Row],[CHAPA]],TUT.CONTROL!F:F,TUT.CONTROL!I:I),_xlfn.XLOOKUP(Tabela2[[#This Row],[CHAPA]],'REG.CONTROL'!F:F,'REG.CONTROL'!I:I))</f>
        <v>Ativo</v>
      </c>
      <c r="J431" s="17">
        <f>IFERROR(_xlfn.XLOOKUP(Tabela2[[#This Row],[NOME DO TUTOR]],TUT.CONTROL!C:C,TUT.CONTROL!G:G),"Atualizar")</f>
        <v>46084</v>
      </c>
      <c r="K431" s="19">
        <v>21964249000</v>
      </c>
      <c r="L431" s="22">
        <f>IFERROR(_xlfn.XLOOKUP(Tabela2[[#This Row],[NOME DO TUTOR]],TUT.CONTROL!C:C,TUT.CONTROL!F:F),"Demitido")</f>
        <v>1158001141</v>
      </c>
      <c r="M431" s="8" t="s">
        <v>1280</v>
      </c>
      <c r="N431" s="11" t="str">
        <f>IFERROR(_xlfn.XLOOKUP(Tabela2[[#This Row],[CHAPA]],TUT.CONTROL!F:F,TUT.CONTROL!H:H),_xlfn.XLOOKUP(Tabela2[[#This Row],[CHAPA]],'REG.CONTROL'!F:F,'REG.CONTROL'!H:H))</f>
        <v>TUTOR DE PRATICA (UC_1749)</v>
      </c>
      <c r="O431" s="68" t="str">
        <f>IFERROR(_xlfn.XLOOKUP(Tabela2[[#This Row],[NOME DO TUTOR]],TUT.CONTROL!C:C,TUT.CONTROL!K:K),"Demitido")</f>
        <v>004:00</v>
      </c>
      <c r="P43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31" s="66"/>
      <c r="R431" s="66"/>
      <c r="S431" s="8"/>
    </row>
    <row r="432" spans="1:19" ht="13.5" hidden="1" x14ac:dyDescent="0.3">
      <c r="A43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Brasília/DF - Cruzeiro NovoBFRBIO-FAR (Multidisciplinar I)</v>
      </c>
      <c r="B432" s="8" t="str">
        <f>Tabela2[[#This Row],[CATEGORIA]]&amp;Tabela2[[#This Row],[CURSOS]]&amp;"LAP - "&amp;Tabela2[[#This Row],[POLO]]</f>
        <v>BIO-FAR (Multidisciplinar I)BFRLAP - Brasília/DF - Cruzeiro Novo</v>
      </c>
      <c r="C432" s="8" t="str">
        <f>Tabela2[[#This Row],[CATEGORIA]]&amp;Tabela2[[#This Row],[CURSOS]]</f>
        <v>BIO-FAR (Multidisciplinar I)BFR</v>
      </c>
      <c r="D432" s="8" t="str">
        <f>IF(Tabela2[[#This Row],[SITUAÇÃO]]&lt;&gt;"Demitido",CONCATENATE(Tabela2[[#This Row],[POLO]],Tabela2[[#This Row],[CURSOS]]),"Substituição")</f>
        <v>Brasília/DF - Cruzeiro NovoBFR</v>
      </c>
      <c r="E432" s="8" t="s">
        <v>771</v>
      </c>
      <c r="F432" s="67" t="s">
        <v>772</v>
      </c>
      <c r="G432" s="67" t="s">
        <v>759</v>
      </c>
      <c r="H432" s="9" t="s">
        <v>1281</v>
      </c>
      <c r="I432" s="17" t="str">
        <f>IFERROR(_xlfn.XLOOKUP(Tabela2[[#This Row],[CHAPA]],TUT.CONTROL!F:F,TUT.CONTROL!I:I),_xlfn.XLOOKUP(Tabela2[[#This Row],[CHAPA]],'REG.CONTROL'!F:F,'REG.CONTROL'!I:I))</f>
        <v>Ativo</v>
      </c>
      <c r="J432" s="17">
        <f>IFERROR(_xlfn.XLOOKUP(Tabela2[[#This Row],[NOME DO TUTOR]],TUT.CONTROL!C:C,TUT.CONTROL!G:G),"Atualizar")</f>
        <v>46090</v>
      </c>
      <c r="K432" s="19">
        <v>61993638099</v>
      </c>
      <c r="L432" s="22">
        <f>IFERROR(_xlfn.XLOOKUP(Tabela2[[#This Row],[NOME DO TUTOR]],TUT.CONTROL!C:C,TUT.CONTROL!F:F),"Atualizar")</f>
        <v>1158001166</v>
      </c>
      <c r="M432" s="8" t="s">
        <v>1282</v>
      </c>
      <c r="N432" s="11" t="str">
        <f>IFERROR(_xlfn.XLOOKUP(Tabela2[[#This Row],[CHAPA]],TUT.CONTROL!F:F,TUT.CONTROL!H:H),_xlfn.XLOOKUP(Tabela2[[#This Row],[CHAPA]],'REG.CONTROL'!F:F,'REG.CONTROL'!H:H))</f>
        <v>TUTOR DE PRATICA (UC_1749)</v>
      </c>
      <c r="O432" s="70" t="str">
        <f>IFERROR(_xlfn.XLOOKUP(Tabela2[[#This Row],[NOME DO TUTOR]],TUT.CONTROL!C:C,TUT.CONTROL!K:K),"Demitido")</f>
        <v>004:00</v>
      </c>
      <c r="P43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32" s="66"/>
      <c r="R432" s="8"/>
    </row>
    <row r="433" spans="1:19" ht="13.5" hidden="1" x14ac:dyDescent="0.3">
      <c r="A43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Teresina/PI - Frei SerafimEMF-ISNENF-INS (Multidisciplinar II)</v>
      </c>
      <c r="B433" s="8" t="str">
        <f>Tabela2[[#This Row],[CATEGORIA]]&amp;Tabela2[[#This Row],[CURSOS]]&amp;"LAP - "&amp;Tabela2[[#This Row],[POLO]]</f>
        <v>ENF-INS (Multidisciplinar II)EMF-ISNLAP - Teresina/PI - Frei Serafim</v>
      </c>
      <c r="C433" s="8" t="str">
        <f>Tabela2[[#This Row],[CATEGORIA]]&amp;Tabela2[[#This Row],[CURSOS]]</f>
        <v>ENF-INS (Multidisciplinar II)EMF-ISN</v>
      </c>
      <c r="D433" s="8" t="str">
        <f>IF(Tabela2[[#This Row],[SITUAÇÃO]]&lt;&gt;"Demitido",CONCATENATE(Tabela2[[#This Row],[POLO]],Tabela2[[#This Row],[CURSOS]]),"Substituição")</f>
        <v>Teresina/PI - Frei SerafimEMF-ISN</v>
      </c>
      <c r="E433" s="8" t="s">
        <v>21</v>
      </c>
      <c r="F433" s="67" t="s">
        <v>22</v>
      </c>
      <c r="G433" s="67" t="s">
        <v>1283</v>
      </c>
      <c r="H433" s="9" t="s">
        <v>1284</v>
      </c>
      <c r="I433" s="17" t="str">
        <f>IFERROR(_xlfn.XLOOKUP(Tabela2[[#This Row],[CHAPA]],TUT.CONTROL!F:F,TUT.CONTROL!I:I),_xlfn.XLOOKUP(Tabela2[[#This Row],[CHAPA]],'REG.CONTROL'!F:F,'REG.CONTROL'!I:I))</f>
        <v>Ativo</v>
      </c>
      <c r="J433" s="17">
        <f>IFERROR(_xlfn.XLOOKUP(Tabela2[[#This Row],[NOME DO TUTOR]],TUT.CONTROL!C:C,TUT.CONTROL!G:G),"Demitido")</f>
        <v>45726</v>
      </c>
      <c r="K433" s="19">
        <v>86999792242</v>
      </c>
      <c r="L433" s="22">
        <f>IFERROR(_xlfn.XLOOKUP(Tabela2[[#This Row],[NOME DO TUTOR]],TUT.CONTROL!C:C,TUT.CONTROL!F:F),"Demitido")</f>
        <v>1158000541</v>
      </c>
      <c r="M433" s="8" t="s">
        <v>1285</v>
      </c>
      <c r="N433" s="11" t="str">
        <f>IFERROR(_xlfn.XLOOKUP(Tabela2[[#This Row],[CHAPA]],TUT.CONTROL!F:F,TUT.CONTROL!H:H),_xlfn.XLOOKUP(Tabela2[[#This Row],[CHAPA]],'REG.CONTROL'!F:F,'REG.CONTROL'!H:H))</f>
        <v>TUTOR DE PRATICA (UC_1749)</v>
      </c>
      <c r="O433" s="68" t="str">
        <f>IFERROR(_xlfn.XLOOKUP(Tabela2[[#This Row],[NOME DO TUTOR]],TUT.CONTROL!C:C,TUT.CONTROL!K:K),"Demitido")</f>
        <v>004:00</v>
      </c>
      <c r="P43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33" s="66" t="s">
        <v>30</v>
      </c>
      <c r="R433" s="8" t="s">
        <v>560</v>
      </c>
      <c r="S433" s="8">
        <v>533004</v>
      </c>
    </row>
    <row r="434" spans="1:19" ht="13.5" hidden="1" x14ac:dyDescent="0.4">
      <c r="A43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Três Lagoas/MSEMF-ISNENF-INS (Multidisciplinar II)</v>
      </c>
      <c r="B434" s="8" t="str">
        <f>Tabela2[[#This Row],[CATEGORIA]]&amp;Tabela2[[#This Row],[CURSOS]]&amp;"LAP - "&amp;Tabela2[[#This Row],[POLO]]</f>
        <v>ENF-INS (Multidisciplinar II)EMF-ISNLAP - Três Lagoas/MS</v>
      </c>
      <c r="C434" s="8" t="str">
        <f>Tabela2[[#This Row],[CATEGORIA]]&amp;Tabela2[[#This Row],[CURSOS]]</f>
        <v>ENF-INS (Multidisciplinar II)EMF-ISN</v>
      </c>
      <c r="D434" s="8" t="str">
        <f>IF(Tabela2[[#This Row],[SITUAÇÃO]]&lt;&gt;"Demitido",CONCATENATE(Tabela2[[#This Row],[POLO]],Tabela2[[#This Row],[CURSOS]]),"Substituição")</f>
        <v>Três Lagoas/MSEMF-ISN</v>
      </c>
      <c r="E434" s="8" t="s">
        <v>21</v>
      </c>
      <c r="F434" s="67" t="s">
        <v>22</v>
      </c>
      <c r="G434" s="67" t="s">
        <v>843</v>
      </c>
      <c r="H434" s="9" t="s">
        <v>1286</v>
      </c>
      <c r="I434" s="17" t="str">
        <f>IFERROR(_xlfn.XLOOKUP(Tabela2[[#This Row],[CHAPA]],TUT.CONTROL!F:F,TUT.CONTROL!I:I),_xlfn.XLOOKUP(Tabela2[[#This Row],[CHAPA]],'REG.CONTROL'!F:F,'REG.CONTROL'!I:I))</f>
        <v>Ativo</v>
      </c>
      <c r="J434" s="17">
        <f>IFERROR(_xlfn.XLOOKUP(Tabela2[[#This Row],[NOME DO TUTOR]],TUT.CONTROL!C:C,TUT.CONTROL!G:G),"Demitido")</f>
        <v>45754</v>
      </c>
      <c r="K434" s="19">
        <v>67981193531</v>
      </c>
      <c r="L434" s="22">
        <f>IFERROR(_xlfn.XLOOKUP(Tabela2[[#This Row],[NOME DO TUTOR]],TUT.CONTROL!C:C,TUT.CONTROL!F:F),"Demitido")</f>
        <v>1158000695</v>
      </c>
      <c r="M434" s="8" t="s">
        <v>1287</v>
      </c>
      <c r="N434" s="11" t="str">
        <f>IFERROR(_xlfn.XLOOKUP(Tabela2[[#This Row],[CHAPA]],TUT.CONTROL!F:F,TUT.CONTROL!H:H),_xlfn.XLOOKUP(Tabela2[[#This Row],[CHAPA]],'REG.CONTROL'!F:F,'REG.CONTROL'!H:H))</f>
        <v>TUTOR DE PRATICA (UC_1749)</v>
      </c>
      <c r="O434" s="68" t="str">
        <f>IFERROR(_xlfn.XLOOKUP(Tabela2[[#This Row],[NOME DO TUTOR]],TUT.CONTROL!C:C,TUT.CONTROL!K:K),"Demitido")</f>
        <v>004:00</v>
      </c>
      <c r="P43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34" s="66" t="s">
        <v>30</v>
      </c>
      <c r="R434" s="12" t="s">
        <v>53</v>
      </c>
      <c r="S434" s="74" t="s">
        <v>1288</v>
      </c>
    </row>
    <row r="435" spans="1:19" ht="13.5" hidden="1" x14ac:dyDescent="0.3">
      <c r="A43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São Luís/MA - Região CentralBFRBIO-FAR (Multidisciplinar I)</v>
      </c>
      <c r="B435" s="8" t="str">
        <f>Tabela2[[#This Row],[CATEGORIA]]&amp;Tabela2[[#This Row],[CURSOS]]&amp;"LAP - "&amp;Tabela2[[#This Row],[POLO]]</f>
        <v>BIO-FAR (Multidisciplinar I)BFRLAP - São Luís/MA - Região Central</v>
      </c>
      <c r="C435" s="8" t="str">
        <f>Tabela2[[#This Row],[CATEGORIA]]&amp;Tabela2[[#This Row],[CURSOS]]</f>
        <v>BIO-FAR (Multidisciplinar I)BFR</v>
      </c>
      <c r="D435" s="8" t="str">
        <f>IF(Tabela2[[#This Row],[SITUAÇÃO]]&lt;&gt;"Demitido",CONCATENATE(Tabela2[[#This Row],[POLO]],Tabela2[[#This Row],[CURSOS]]),"Substituição")</f>
        <v>São Luís/MA - Região CentralBFR</v>
      </c>
      <c r="E435" s="8" t="s">
        <v>771</v>
      </c>
      <c r="F435" s="67" t="s">
        <v>772</v>
      </c>
      <c r="G435" s="67" t="s">
        <v>907</v>
      </c>
      <c r="H435" s="9" t="str">
        <f>PROPER("ANDREA COELHO PEREIRA")</f>
        <v>Andrea Coelho Pereira</v>
      </c>
      <c r="I435" s="17" t="str">
        <f>IFERROR(_xlfn.XLOOKUP(Tabela2[[#This Row],[CHAPA]],TUT.CONTROL!F:F,TUT.CONTROL!I:I),_xlfn.XLOOKUP(Tabela2[[#This Row],[CHAPA]],'REG.CONTROL'!F:F,'REG.CONTROL'!I:I))</f>
        <v>Ativo</v>
      </c>
      <c r="J435" s="17">
        <f>IFERROR(_xlfn.XLOOKUP(Tabela2[[#This Row],[NOME DO TUTOR]],TUT.CONTROL!C:C,TUT.CONTROL!G:G),"Atualizar")</f>
        <v>46092</v>
      </c>
      <c r="K435" s="19">
        <v>98989119410</v>
      </c>
      <c r="L435" s="22">
        <f>IFERROR(_xlfn.XLOOKUP(Tabela2[[#This Row],[NOME DO TUTOR]],TUT.CONTROL!C:C,TUT.CONTROL!F:F),"Demitido")</f>
        <v>1158001167</v>
      </c>
      <c r="M435" s="8" t="s">
        <v>1289</v>
      </c>
      <c r="N435" s="11" t="str">
        <f>IFERROR(_xlfn.XLOOKUP(Tabela2[[#This Row],[CHAPA]],TUT.CONTROL!F:F,TUT.CONTROL!H:H),_xlfn.XLOOKUP(Tabela2[[#This Row],[CHAPA]],'REG.CONTROL'!F:F,'REG.CONTROL'!H:H))</f>
        <v>TUTOR DE PRATICA (UC_1749)</v>
      </c>
      <c r="O435" s="68" t="str">
        <f>IFERROR(_xlfn.XLOOKUP(Tabela2[[#This Row],[NOME DO TUTOR]],TUT.CONTROL!C:C,TUT.CONTROL!K:K),"Demitido")</f>
        <v>004:00</v>
      </c>
      <c r="P43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35" s="66"/>
      <c r="R435" s="8"/>
    </row>
    <row r="436" spans="1:19" ht="13.5" hidden="1" x14ac:dyDescent="0.3">
      <c r="A43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Uberlândia/MGEMF-ISNENF-INS (Multidisciplinar II)</v>
      </c>
      <c r="B436" s="8" t="str">
        <f>Tabela2[[#This Row],[CATEGORIA]]&amp;Tabela2[[#This Row],[CURSOS]]&amp;"LAP - "&amp;Tabela2[[#This Row],[POLO]]</f>
        <v>ENF-INS (Multidisciplinar II)EMF-ISNLAP - Uberlândia/MG</v>
      </c>
      <c r="C436" s="8" t="str">
        <f>Tabela2[[#This Row],[CATEGORIA]]&amp;Tabela2[[#This Row],[CURSOS]]</f>
        <v>ENF-INS (Multidisciplinar II)EMF-ISN</v>
      </c>
      <c r="D436" s="8" t="str">
        <f>IF(Tabela2[[#This Row],[SITUAÇÃO]]&lt;&gt;"Demitido",CONCATENATE(Tabela2[[#This Row],[POLO]],Tabela2[[#This Row],[CURSOS]]),"Substituição")</f>
        <v>Uberlândia/MGEMF-ISN</v>
      </c>
      <c r="E436" s="8" t="s">
        <v>21</v>
      </c>
      <c r="F436" s="67" t="s">
        <v>22</v>
      </c>
      <c r="G436" s="67" t="s">
        <v>1290</v>
      </c>
      <c r="H436" s="9" t="s">
        <v>1291</v>
      </c>
      <c r="I436" s="17" t="str">
        <f>IFERROR(_xlfn.XLOOKUP(Tabela2[[#This Row],[CHAPA]],TUT.CONTROL!F:F,TUT.CONTROL!I:I),_xlfn.XLOOKUP(Tabela2[[#This Row],[CHAPA]],'REG.CONTROL'!F:F,'REG.CONTROL'!I:I))</f>
        <v>Ativo</v>
      </c>
      <c r="J436" s="17">
        <f>IFERROR(_xlfn.XLOOKUP(Tabela2[[#This Row],[NOME DO TUTOR]],TUT.CONTROL!C:C,TUT.CONTROL!G:G),"Demitido")</f>
        <v>45733</v>
      </c>
      <c r="K436" s="19">
        <v>34984141581</v>
      </c>
      <c r="L436" s="22">
        <f>IFERROR(_xlfn.XLOOKUP(Tabela2[[#This Row],[NOME DO TUTOR]],TUT.CONTROL!C:C,TUT.CONTROL!F:F),"Demitido")</f>
        <v>1158000561</v>
      </c>
      <c r="M436" s="8" t="s">
        <v>1292</v>
      </c>
      <c r="N436" s="11" t="str">
        <f>IFERROR(_xlfn.XLOOKUP(Tabela2[[#This Row],[CHAPA]],TUT.CONTROL!F:F,TUT.CONTROL!H:H),_xlfn.XLOOKUP(Tabela2[[#This Row],[CHAPA]],'REG.CONTROL'!F:F,'REG.CONTROL'!H:H))</f>
        <v>TUTOR DE PRATICA (UC_1749)</v>
      </c>
      <c r="O436" s="68" t="str">
        <f>IFERROR(_xlfn.XLOOKUP(Tabela2[[#This Row],[NOME DO TUTOR]],TUT.CONTROL!C:C,TUT.CONTROL!K:K),"Demitido")</f>
        <v>004:00</v>
      </c>
      <c r="P43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36" s="66" t="s">
        <v>30</v>
      </c>
      <c r="R436" s="8" t="s">
        <v>100</v>
      </c>
      <c r="S436" s="8">
        <v>243697</v>
      </c>
    </row>
    <row r="437" spans="1:19" ht="13.5" hidden="1" x14ac:dyDescent="0.3">
      <c r="A43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Belo Horizonte/MG - Shopping Estação BHNTRNUTRI (Multidisciplinar IV)</v>
      </c>
      <c r="B437" s="8" t="str">
        <f>Tabela2[[#This Row],[CATEGORIA]]&amp;Tabela2[[#This Row],[CURSOS]]&amp;"LAP - "&amp;Tabela2[[#This Row],[POLO]]</f>
        <v>NUTRI (Multidisciplinar IV)NTRLAP - Belo Horizonte/MG - Shopping Estação BH</v>
      </c>
      <c r="C437" s="8" t="str">
        <f>Tabela2[[#This Row],[CATEGORIA]]&amp;Tabela2[[#This Row],[CURSOS]]</f>
        <v>NUTRI (Multidisciplinar IV)NTR</v>
      </c>
      <c r="D437" s="8" t="str">
        <f>IF(Tabela2[[#This Row],[SITUAÇÃO]]&lt;&gt;"Demitido",CONCATENATE(Tabela2[[#This Row],[POLO]],Tabela2[[#This Row],[CURSOS]]),"Substituição")</f>
        <v>Belo Horizonte/MG - Shopping Estação BHNTR</v>
      </c>
      <c r="E437" s="8" t="s">
        <v>730</v>
      </c>
      <c r="F437" s="67" t="s">
        <v>731</v>
      </c>
      <c r="G437" s="67" t="s">
        <v>101</v>
      </c>
      <c r="H437" s="9" t="s">
        <v>1293</v>
      </c>
      <c r="I437" s="17" t="str">
        <f>IFERROR(_xlfn.XLOOKUP(Tabela2[[#This Row],[CHAPA]],TUT.CONTROL!F:F,TUT.CONTROL!I:I),_xlfn.XLOOKUP(Tabela2[[#This Row],[CHAPA]],'REG.CONTROL'!F:F,'REG.CONTROL'!I:I))</f>
        <v>Ativo</v>
      </c>
      <c r="J437" s="17">
        <f>IFERROR(_xlfn.XLOOKUP(Tabela2[[#This Row],[NOME DO TUTOR]],TUT.CONTROL!C:C,TUT.CONTROL!G:G),"Demitido")</f>
        <v>46097</v>
      </c>
      <c r="K437" s="19">
        <v>37998237059</v>
      </c>
      <c r="L437" s="22">
        <f>IFERROR(_xlfn.XLOOKUP(Tabela2[[#This Row],[NOME DO TUTOR]],TUT.CONTROL!C:C,TUT.CONTROL!F:F),"Demitido")</f>
        <v>1158001169</v>
      </c>
      <c r="M437" s="8" t="s">
        <v>1294</v>
      </c>
      <c r="N437" s="11" t="str">
        <f>IFERROR(_xlfn.XLOOKUP(Tabela2[[#This Row],[CHAPA]],TUT.CONTROL!F:F,TUT.CONTROL!H:H),_xlfn.XLOOKUP(Tabela2[[#This Row],[CHAPA]],'REG.CONTROL'!F:F,'REG.CONTROL'!H:H))</f>
        <v>TUTOR DE PRATICA (UC_1749)</v>
      </c>
      <c r="O437" s="68" t="str">
        <f>IFERROR(_xlfn.XLOOKUP(Tabela2[[#This Row],[NOME DO TUTOR]],TUT.CONTROL!C:C,TUT.CONTROL!K:K),"Demitido")</f>
        <v>004:00</v>
      </c>
      <c r="P43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37" s="66"/>
      <c r="R437" s="8"/>
    </row>
    <row r="438" spans="1:19" ht="13.5" hidden="1" x14ac:dyDescent="0.3">
      <c r="A43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Rio de Janeiro/RJ - Ilha do GovernadorBFRBIO-FAR (Multidisciplinar I)</v>
      </c>
      <c r="B438" s="8" t="str">
        <f>Tabela2[[#This Row],[CATEGORIA]]&amp;Tabela2[[#This Row],[CURSOS]]&amp;"LAP - "&amp;Tabela2[[#This Row],[POLO]]</f>
        <v>BIO-FAR (Multidisciplinar I)BFRLAP - Rio de Janeiro/RJ - Ilha do Governador</v>
      </c>
      <c r="C438" s="8" t="str">
        <f>Tabela2[[#This Row],[CATEGORIA]]&amp;Tabela2[[#This Row],[CURSOS]]</f>
        <v>BIO-FAR (Multidisciplinar I)BFR</v>
      </c>
      <c r="D438" s="8" t="str">
        <f>IF(Tabela2[[#This Row],[SITUAÇÃO]]&lt;&gt;"Demitido",CONCATENATE(Tabela2[[#This Row],[POLO]],Tabela2[[#This Row],[CURSOS]]),"Substituição")</f>
        <v>Rio de Janeiro/RJ - Ilha do GovernadorBFR</v>
      </c>
      <c r="E438" s="8" t="s">
        <v>771</v>
      </c>
      <c r="F438" s="67" t="s">
        <v>772</v>
      </c>
      <c r="G438" s="67" t="s">
        <v>691</v>
      </c>
      <c r="H438" s="9" t="s">
        <v>1295</v>
      </c>
      <c r="I438" s="17" t="str">
        <f>IFERROR(_xlfn.XLOOKUP(Tabela2[[#This Row],[CHAPA]],TUT.CONTROL!F:F,TUT.CONTROL!I:I),_xlfn.XLOOKUP(Tabela2[[#This Row],[CHAPA]],'REG.CONTROL'!F:F,'REG.CONTROL'!I:I))</f>
        <v>Ativo</v>
      </c>
      <c r="J438" s="17">
        <f>IFERROR(_xlfn.XLOOKUP(Tabela2[[#This Row],[NOME DO TUTOR]],TUT.CONTROL!C:C,TUT.CONTROL!G:G),"Atualizar")</f>
        <v>46099</v>
      </c>
      <c r="K438" s="19">
        <v>21996207274</v>
      </c>
      <c r="L438" s="22">
        <f>IFERROR(_xlfn.XLOOKUP(Tabela2[[#This Row],[NOME DO TUTOR]],TUT.CONTROL!C:C,TUT.CONTROL!F:F),"Atualizar")</f>
        <v>1158001177</v>
      </c>
      <c r="M438" s="8" t="s">
        <v>1296</v>
      </c>
      <c r="N438" s="11" t="str">
        <f>IFERROR(_xlfn.XLOOKUP(Tabela2[[#This Row],[CHAPA]],TUT.CONTROL!F:F,TUT.CONTROL!H:H),_xlfn.XLOOKUP(Tabela2[[#This Row],[CHAPA]],'REG.CONTROL'!F:F,'REG.CONTROL'!H:H))</f>
        <v>TUTOR DE PRATICA (UC_1749)</v>
      </c>
      <c r="O438" s="70" t="str">
        <f>IFERROR(_xlfn.XLOOKUP(Tabela2[[#This Row],[NOME DO TUTOR]],TUT.CONTROL!C:C,TUT.CONTROL!K:K),"Demitido")</f>
        <v>004:00</v>
      </c>
      <c r="P43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38" s="66"/>
      <c r="R438" s="8"/>
    </row>
    <row r="439" spans="1:19" ht="13.5" hidden="1" x14ac:dyDescent="0.3">
      <c r="A43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Goiânia/GO - Jardim EuropaBFRBIO-FAR (Multidisciplinar I)</v>
      </c>
      <c r="B439" s="8" t="str">
        <f>Tabela2[[#This Row],[CATEGORIA]]&amp;Tabela2[[#This Row],[CURSOS]]&amp;"LAP - "&amp;Tabela2[[#This Row],[POLO]]</f>
        <v>BIO-FAR (Multidisciplinar I)BFRLAP - Goiânia/GO - Jardim Europa</v>
      </c>
      <c r="C439" s="8" t="str">
        <f>Tabela2[[#This Row],[CATEGORIA]]&amp;Tabela2[[#This Row],[CURSOS]]</f>
        <v>BIO-FAR (Multidisciplinar I)BFR</v>
      </c>
      <c r="D439" s="8" t="str">
        <f>IF(Tabela2[[#This Row],[SITUAÇÃO]]&lt;&gt;"Demitido",CONCATENATE(Tabela2[[#This Row],[POLO]],Tabela2[[#This Row],[CURSOS]]),"Substituição")</f>
        <v>Goiânia/GO - Jardim EuropaBFR</v>
      </c>
      <c r="E439" s="8" t="s">
        <v>771</v>
      </c>
      <c r="F439" s="67" t="s">
        <v>772</v>
      </c>
      <c r="G439" s="67" t="s">
        <v>999</v>
      </c>
      <c r="H439" s="9" t="s">
        <v>1297</v>
      </c>
      <c r="I439" s="17" t="str">
        <f>IFERROR(_xlfn.XLOOKUP(Tabela2[[#This Row],[CHAPA]],TUT.CONTROL!F:F,TUT.CONTROL!I:I),_xlfn.XLOOKUP(Tabela2[[#This Row],[CHAPA]],'REG.CONTROL'!F:F,'REG.CONTROL'!I:I))</f>
        <v>Ativo</v>
      </c>
      <c r="J439" s="17">
        <f>IFERROR(_xlfn.XLOOKUP(Tabela2[[#This Row],[NOME DO TUTOR]],TUT.CONTROL!C:C,TUT.CONTROL!G:G),"Atualizar")</f>
        <v>46104</v>
      </c>
      <c r="K439" s="19">
        <v>62992545192</v>
      </c>
      <c r="L439" s="22">
        <f>IFERROR(_xlfn.XLOOKUP(Tabela2[[#This Row],[NOME DO TUTOR]],TUT.CONTROL!C:C,TUT.CONTROL!F:F),"Demitido")</f>
        <v>1158001185</v>
      </c>
      <c r="M439" s="8" t="s">
        <v>1298</v>
      </c>
      <c r="N439" s="11" t="str">
        <f>IFERROR(_xlfn.XLOOKUP(Tabela2[[#This Row],[CHAPA]],TUT.CONTROL!F:F,TUT.CONTROL!H:H),_xlfn.XLOOKUP(Tabela2[[#This Row],[CHAPA]],'REG.CONTROL'!F:F,'REG.CONTROL'!H:H))</f>
        <v>TUTOR DE PRATICA (UC_1749)</v>
      </c>
      <c r="O439" s="70" t="str">
        <f>IFERROR(_xlfn.XLOOKUP(Tabela2[[#This Row],[NOME DO TUTOR]],TUT.CONTROL!C:C,TUT.CONTROL!K:K),"Demitido")</f>
        <v>004:00</v>
      </c>
      <c r="P43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39" s="66"/>
      <c r="R439" s="8"/>
    </row>
    <row r="440" spans="1:19" ht="13.5" hidden="1" customHeight="1" x14ac:dyDescent="0.3">
      <c r="A44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São Paulo/SP - TatuapéNTRNUTRI (Multidisciplinar IV)</v>
      </c>
      <c r="B440" s="8" t="str">
        <f>Tabela2[[#This Row],[CATEGORIA]]&amp;Tabela2[[#This Row],[CURSOS]]&amp;"LAP - "&amp;Tabela2[[#This Row],[POLO]]</f>
        <v>NUTRI (Multidisciplinar IV)NTRLAP - São Paulo/SP - Tatuapé</v>
      </c>
      <c r="C440" s="8" t="str">
        <f>Tabela2[[#This Row],[CATEGORIA]]&amp;Tabela2[[#This Row],[CURSOS]]</f>
        <v>NUTRI (Multidisciplinar IV)NTR</v>
      </c>
      <c r="D440" s="8" t="str">
        <f>IF(Tabela2[[#This Row],[SITUAÇÃO]]&lt;&gt;"Demitido",CONCATENATE(Tabela2[[#This Row],[POLO]],Tabela2[[#This Row],[CURSOS]]),"Substituição")</f>
        <v>São Paulo/SP - TatuapéNTR</v>
      </c>
      <c r="E440" s="8" t="s">
        <v>730</v>
      </c>
      <c r="F440" s="67" t="s">
        <v>731</v>
      </c>
      <c r="G440" s="67" t="s">
        <v>431</v>
      </c>
      <c r="H440" s="9" t="s">
        <v>1299</v>
      </c>
      <c r="I440" s="17" t="str">
        <f>IFERROR(_xlfn.XLOOKUP(Tabela2[[#This Row],[CHAPA]],TUT.CONTROL!F:F,TUT.CONTROL!I:I),_xlfn.XLOOKUP(Tabela2[[#This Row],[CHAPA]],'REG.CONTROL'!F:F,'REG.CONTROL'!I:I))</f>
        <v>Ativo</v>
      </c>
      <c r="J440" s="17">
        <f>IFERROR(_xlfn.XLOOKUP(Tabela2[[#This Row],[NOME DO TUTOR]],TUT.CONTROL!C:C,TUT.CONTROL!G:G),"Atualizar")</f>
        <v>46104</v>
      </c>
      <c r="K440" s="19">
        <v>11982871180</v>
      </c>
      <c r="L440" s="22">
        <f>IFERROR(_xlfn.XLOOKUP(Tabela2[[#This Row],[NOME DO TUTOR]],TUT.CONTROL!C:C,TUT.CONTROL!F:F),"Demitido")</f>
        <v>1158001178</v>
      </c>
      <c r="M440" s="8" t="s">
        <v>1300</v>
      </c>
      <c r="N440" s="11" t="str">
        <f>IFERROR(_xlfn.XLOOKUP(Tabela2[[#This Row],[CHAPA]],TUT.CONTROL!F:F,TUT.CONTROL!H:H),_xlfn.XLOOKUP(Tabela2[[#This Row],[CHAPA]],'REG.CONTROL'!F:F,'REG.CONTROL'!H:H))</f>
        <v>TUTOR DE PRATICA (UC_1749)</v>
      </c>
      <c r="O440" s="70" t="str">
        <f>IFERROR(_xlfn.XLOOKUP(Tabela2[[#This Row],[NOME DO TUTOR]],TUT.CONTROL!C:C,TUT.CONTROL!K:K),"Demitido")</f>
        <v>004:00</v>
      </c>
      <c r="P44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40" s="66"/>
      <c r="R440" s="8"/>
    </row>
    <row r="441" spans="1:19" ht="13.5" hidden="1" x14ac:dyDescent="0.3">
      <c r="A44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desligado</v>
      </c>
      <c r="B441" s="8" t="str">
        <f>Tabela2[[#This Row],[CATEGORIA]]&amp;Tabela2[[#This Row],[CURSOS]]&amp;"LAP - "&amp;Tabela2[[#This Row],[POLO]]</f>
        <v>ENF-INS (Multidisciplinar II)EMF-ISNLAP - Umuarama/PR</v>
      </c>
      <c r="C441" s="8" t="str">
        <f>Tabela2[[#This Row],[CATEGORIA]]&amp;Tabela2[[#This Row],[CURSOS]]</f>
        <v>ENF-INS (Multidisciplinar II)EMF-ISN</v>
      </c>
      <c r="D441" s="8" t="str">
        <f>IF(Tabela2[[#This Row],[SITUAÇÃO]]&lt;&gt;"Demitido",CONCATENATE(Tabela2[[#This Row],[POLO]],Tabela2[[#This Row],[CURSOS]]),"Substituição")</f>
        <v>Substituição</v>
      </c>
      <c r="E441" s="8" t="s">
        <v>21</v>
      </c>
      <c r="F441" s="67" t="s">
        <v>22</v>
      </c>
      <c r="G441" s="67" t="s">
        <v>1301</v>
      </c>
      <c r="H441" s="9" t="s">
        <v>1302</v>
      </c>
      <c r="I441" s="17" t="str">
        <f>IFERROR(_xlfn.XLOOKUP(Tabela2[[#This Row],[CHAPA]],TUT.CONTROL!F:F,TUT.CONTROL!I:I),_xlfn.XLOOKUP(Tabela2[[#This Row],[CHAPA]],'REG.CONTROL'!F:F,'REG.CONTROL'!I:I))</f>
        <v>Demitido</v>
      </c>
      <c r="J441" s="17">
        <f>IFERROR(_xlfn.XLOOKUP(Tabela2[[#This Row],[NOME DO TUTOR]],TUT.CONTROL!C:C,TUT.CONTROL!G:G),"Demitido")</f>
        <v>45910</v>
      </c>
      <c r="K441" s="19">
        <v>44998719609</v>
      </c>
      <c r="L441" s="22">
        <f>IFERROR(_xlfn.XLOOKUP(Tabela2[[#This Row],[NOME DO TUTOR]],TUT.CONTROL!C:C,TUT.CONTROL!F:F),"Demitido")</f>
        <v>1158000965</v>
      </c>
      <c r="M441" s="8" t="s">
        <v>1303</v>
      </c>
      <c r="N441" s="11" t="str">
        <f>IFERROR(_xlfn.XLOOKUP(Tabela2[[#This Row],[CHAPA]],TUT.CONTROL!F:F,TUT.CONTROL!H:H),_xlfn.XLOOKUP(Tabela2[[#This Row],[CHAPA]],'REG.CONTROL'!F:F,'REG.CONTROL'!H:H))</f>
        <v>TUTOR DE PRATICA (UC_1749)</v>
      </c>
      <c r="O441" s="68" t="str">
        <f>IFERROR(_xlfn.XLOOKUP(Tabela2[[#This Row],[NOME DO TUTOR]],TUT.CONTROL!C:C,TUT.CONTROL!K:K),"Demitido")</f>
        <v>004:00</v>
      </c>
      <c r="P441" s="17">
        <f>IF(Tabela2[[#This Row],[SITUAÇÃO]]="Demitido",IFERROR(_xlfn.XLOOKUP(Tabela2[[#This Row],[CHAPA]],TUT.CONTROL!F:F,TUT.CONTROL!V:V),_xlfn.XLOOKUP(Tabela2[[#This Row],[CHAPA]],'REG.CONTROL'!F:F,'REG.CONTROL'!V:V)),"-")</f>
        <v>45962</v>
      </c>
      <c r="Q441" s="66" t="s">
        <v>43</v>
      </c>
      <c r="R441" s="8"/>
      <c r="S441" s="8"/>
    </row>
    <row r="442" spans="1:19" ht="13.5" hidden="1" x14ac:dyDescent="0.3">
      <c r="A44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Curitiba/PR - CentroBFRBIO-FAR (Multidisciplinar I)</v>
      </c>
      <c r="B442" s="8" t="str">
        <f>Tabela2[[#This Row],[CATEGORIA]]&amp;Tabela2[[#This Row],[CURSOS]]&amp;"LAP - "&amp;Tabela2[[#This Row],[POLO]]</f>
        <v>BIO-FAR (Multidisciplinar I)BFRLAP - Curitiba/PR - Centro</v>
      </c>
      <c r="C442" s="8" t="str">
        <f>Tabela2[[#This Row],[CATEGORIA]]&amp;Tabela2[[#This Row],[CURSOS]]</f>
        <v>BIO-FAR (Multidisciplinar I)BFR</v>
      </c>
      <c r="D442" s="8" t="str">
        <f>IF(Tabela2[[#This Row],[SITUAÇÃO]]&lt;&gt;"Demitido",CONCATENATE(Tabela2[[#This Row],[POLO]],Tabela2[[#This Row],[CURSOS]]),"Substituição")</f>
        <v>Curitiba/PR - CentroBFR</v>
      </c>
      <c r="E442" s="8" t="s">
        <v>771</v>
      </c>
      <c r="F442" s="67" t="s">
        <v>772</v>
      </c>
      <c r="G442" s="67" t="s">
        <v>259</v>
      </c>
      <c r="H442" s="9" t="s">
        <v>1304</v>
      </c>
      <c r="I442" s="17" t="str">
        <f>IFERROR(_xlfn.XLOOKUP(Tabela2[[#This Row],[CHAPA]],TUT.CONTROL!F:F,TUT.CONTROL!I:I),_xlfn.XLOOKUP(Tabela2[[#This Row],[CHAPA]],'REG.CONTROL'!F:F,'REG.CONTROL'!I:I))</f>
        <v>Ativo</v>
      </c>
      <c r="J442" s="17">
        <f>IFERROR(_xlfn.XLOOKUP(Tabela2[[#This Row],[NOME DO TUTOR]],TUT.CONTROL!C:C,TUT.CONTROL!G:G),"Atualizar")</f>
        <v>46104</v>
      </c>
      <c r="K442" s="19">
        <v>41991978891</v>
      </c>
      <c r="L442" s="22">
        <f>IFERROR(_xlfn.XLOOKUP(Tabela2[[#This Row],[NOME DO TUTOR]],TUT.CONTROL!C:C,TUT.CONTROL!F:F),"Demitido")</f>
        <v>1158001182</v>
      </c>
      <c r="M442" s="8" t="s">
        <v>1305</v>
      </c>
      <c r="N442" s="11" t="str">
        <f>IFERROR(_xlfn.XLOOKUP(Tabela2[[#This Row],[CHAPA]],TUT.CONTROL!F:F,TUT.CONTROL!H:H),_xlfn.XLOOKUP(Tabela2[[#This Row],[CHAPA]],'REG.CONTROL'!F:F,'REG.CONTROL'!H:H))</f>
        <v>TUTOR DE PRATICA (UC_1749)</v>
      </c>
      <c r="O442" s="70" t="str">
        <f>IFERROR(_xlfn.XLOOKUP(Tabela2[[#This Row],[NOME DO TUTOR]],TUT.CONTROL!C:C,TUT.CONTROL!K:K),"Demitido")</f>
        <v>004:00</v>
      </c>
      <c r="P44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42" s="66"/>
      <c r="R442" s="8"/>
    </row>
    <row r="443" spans="1:19" ht="13.5" hidden="1" x14ac:dyDescent="0.3">
      <c r="A44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Várzea da Palma/MGEMF-ISNENF-INS (Multidisciplinar II)</v>
      </c>
      <c r="B443" s="8" t="str">
        <f>Tabela2[[#This Row],[CATEGORIA]]&amp;Tabela2[[#This Row],[CURSOS]]&amp;"LAP - "&amp;Tabela2[[#This Row],[POLO]]</f>
        <v>ENF-INS (Multidisciplinar II)EMF-ISNLAP - Várzea da Palma/MG</v>
      </c>
      <c r="C443" s="8" t="str">
        <f>Tabela2[[#This Row],[CATEGORIA]]&amp;Tabela2[[#This Row],[CURSOS]]</f>
        <v>ENF-INS (Multidisciplinar II)EMF-ISN</v>
      </c>
      <c r="D443" s="8" t="str">
        <f>IF(Tabela2[[#This Row],[SITUAÇÃO]]&lt;&gt;"Demitido",CONCATENATE(Tabela2[[#This Row],[POLO]],Tabela2[[#This Row],[CURSOS]]),"Substituição")</f>
        <v>Várzea da Palma/MGEMF-ISN</v>
      </c>
      <c r="E443" s="8" t="s">
        <v>21</v>
      </c>
      <c r="F443" s="67" t="s">
        <v>22</v>
      </c>
      <c r="G443" s="67" t="s">
        <v>1306</v>
      </c>
      <c r="H443" s="9" t="s">
        <v>1307</v>
      </c>
      <c r="I443" s="17" t="str">
        <f>IFERROR(_xlfn.XLOOKUP(Tabela2[[#This Row],[CHAPA]],TUT.CONTROL!F:F,TUT.CONTROL!I:I),_xlfn.XLOOKUP(Tabela2[[#This Row],[CHAPA]],'REG.CONTROL'!F:F,'REG.CONTROL'!I:I))</f>
        <v>Ativo</v>
      </c>
      <c r="J443" s="17">
        <f>IFERROR(_xlfn.XLOOKUP(Tabela2[[#This Row],[NOME DO TUTOR]],TUT.CONTROL!C:C,TUT.CONTROL!G:G),"Demitido")</f>
        <v>45789</v>
      </c>
      <c r="K443" s="19">
        <v>38991892275</v>
      </c>
      <c r="L443" s="22">
        <f>IFERROR(_xlfn.XLOOKUP(Tabela2[[#This Row],[NOME DO TUTOR]],TUT.CONTROL!C:C,TUT.CONTROL!F:F),"Demitido")</f>
        <v>1158000621</v>
      </c>
      <c r="M443" s="8" t="s">
        <v>1308</v>
      </c>
      <c r="N443" s="11" t="str">
        <f>IFERROR(_xlfn.XLOOKUP(Tabela2[[#This Row],[CHAPA]],TUT.CONTROL!F:F,TUT.CONTROL!H:H),_xlfn.XLOOKUP(Tabela2[[#This Row],[CHAPA]],'REG.CONTROL'!F:F,'REG.CONTROL'!H:H))</f>
        <v>TUTOR DE PRATICA (UC_1749)</v>
      </c>
      <c r="O443" s="68" t="str">
        <f>IFERROR(_xlfn.XLOOKUP(Tabela2[[#This Row],[NOME DO TUTOR]],TUT.CONTROL!C:C,TUT.CONTROL!K:K),"Demitido")</f>
        <v>004:00</v>
      </c>
      <c r="P44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43" s="66" t="s">
        <v>30</v>
      </c>
      <c r="R443" s="8" t="s">
        <v>100</v>
      </c>
      <c r="S443" s="8">
        <v>263.88799999999998</v>
      </c>
    </row>
    <row r="444" spans="1:19" ht="13.5" hidden="1" x14ac:dyDescent="0.3">
      <c r="A44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Viçosa/MGEMF-ISNENF-INS (Multidisciplinar II)</v>
      </c>
      <c r="B444" s="8" t="str">
        <f>Tabela2[[#This Row],[CATEGORIA]]&amp;Tabela2[[#This Row],[CURSOS]]&amp;"LAP - "&amp;Tabela2[[#This Row],[POLO]]</f>
        <v>ENF-INS (Multidisciplinar II)EMF-ISNLAP - Viçosa/MG</v>
      </c>
      <c r="C444" s="8" t="str">
        <f>Tabela2[[#This Row],[CATEGORIA]]&amp;Tabela2[[#This Row],[CURSOS]]</f>
        <v>ENF-INS (Multidisciplinar II)EMF-ISN</v>
      </c>
      <c r="D444" s="8" t="str">
        <f>IF(Tabela2[[#This Row],[SITUAÇÃO]]&lt;&gt;"Demitido",CONCATENATE(Tabela2[[#This Row],[POLO]],Tabela2[[#This Row],[CURSOS]]),"Substituição")</f>
        <v>Viçosa/MGEMF-ISN</v>
      </c>
      <c r="E444" s="8" t="s">
        <v>21</v>
      </c>
      <c r="F444" s="67" t="s">
        <v>22</v>
      </c>
      <c r="G444" s="67" t="s">
        <v>1309</v>
      </c>
      <c r="H444" s="9" t="s">
        <v>1310</v>
      </c>
      <c r="I444" s="17" t="str">
        <f>IFERROR(_xlfn.XLOOKUP(Tabela2[[#This Row],[CHAPA]],TUT.CONTROL!F:F,TUT.CONTROL!I:I),_xlfn.XLOOKUP(Tabela2[[#This Row],[CHAPA]],'REG.CONTROL'!F:F,'REG.CONTROL'!I:I))</f>
        <v>Ativo</v>
      </c>
      <c r="J444" s="17">
        <f>IFERROR(_xlfn.XLOOKUP(Tabela2[[#This Row],[NOME DO TUTOR]],TUT.CONTROL!C:C,TUT.CONTROL!G:G),"Demitido")</f>
        <v>45735</v>
      </c>
      <c r="K444" s="19">
        <v>32988597193</v>
      </c>
      <c r="L444" s="22">
        <f>IFERROR(_xlfn.XLOOKUP(Tabela2[[#This Row],[NOME DO TUTOR]],TUT.CONTROL!C:C,TUT.CONTROL!F:F),"Demitido")</f>
        <v>1158000577</v>
      </c>
      <c r="M444" s="8" t="s">
        <v>1311</v>
      </c>
      <c r="N444" s="11" t="str">
        <f>IFERROR(_xlfn.XLOOKUP(Tabela2[[#This Row],[CHAPA]],TUT.CONTROL!F:F,TUT.CONTROL!H:H),_xlfn.XLOOKUP(Tabela2[[#This Row],[CHAPA]],'REG.CONTROL'!F:F,'REG.CONTROL'!H:H))</f>
        <v>TUTOR DE PRATICA (UC_1749)</v>
      </c>
      <c r="O444" s="68" t="str">
        <f>IFERROR(_xlfn.XLOOKUP(Tabela2[[#This Row],[NOME DO TUTOR]],TUT.CONTROL!C:C,TUT.CONTROL!K:K),"Demitido")</f>
        <v>004:00</v>
      </c>
      <c r="P44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44" s="66" t="s">
        <v>30</v>
      </c>
      <c r="R444" s="8" t="s">
        <v>100</v>
      </c>
      <c r="S444" s="8">
        <v>221881</v>
      </c>
    </row>
    <row r="445" spans="1:19" ht="13.5" hidden="1" x14ac:dyDescent="0.3">
      <c r="A44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Videira/SCEMF-ISNENF-INS (Multidisciplinar II)</v>
      </c>
      <c r="B445" s="8" t="str">
        <f>Tabela2[[#This Row],[CATEGORIA]]&amp;Tabela2[[#This Row],[CURSOS]]&amp;"LAP - "&amp;Tabela2[[#This Row],[POLO]]</f>
        <v>ENF-INS (Multidisciplinar II)EMF-ISNLAP - Videira/SC</v>
      </c>
      <c r="C445" s="8" t="str">
        <f>Tabela2[[#This Row],[CATEGORIA]]&amp;Tabela2[[#This Row],[CURSOS]]</f>
        <v>ENF-INS (Multidisciplinar II)EMF-ISN</v>
      </c>
      <c r="D445" s="8" t="str">
        <f>IF(Tabela2[[#This Row],[SITUAÇÃO]]&lt;&gt;"Demitido",CONCATENATE(Tabela2[[#This Row],[POLO]],Tabela2[[#This Row],[CURSOS]]),"Substituição")</f>
        <v>Videira/SCEMF-ISN</v>
      </c>
      <c r="E445" s="8" t="s">
        <v>21</v>
      </c>
      <c r="F445" s="67" t="s">
        <v>22</v>
      </c>
      <c r="G445" s="67" t="s">
        <v>1312</v>
      </c>
      <c r="H445" s="9" t="s">
        <v>1313</v>
      </c>
      <c r="I445" s="17" t="str">
        <f>IFERROR(_xlfn.XLOOKUP(Tabela2[[#This Row],[CHAPA]],TUT.CONTROL!F:F,TUT.CONTROL!I:I),_xlfn.XLOOKUP(Tabela2[[#This Row],[CHAPA]],'REG.CONTROL'!F:F,'REG.CONTROL'!I:I))</f>
        <v>Ativo</v>
      </c>
      <c r="J445" s="17">
        <f>IFERROR(_xlfn.XLOOKUP(Tabela2[[#This Row],[NOME DO TUTOR]],TUT.CONTROL!C:C,TUT.CONTROL!G:G),"Demitido")</f>
        <v>45770</v>
      </c>
      <c r="K445" s="19">
        <v>49992058845</v>
      </c>
      <c r="L445" s="22">
        <f>IFERROR(_xlfn.XLOOKUP(Tabela2[[#This Row],[NOME DO TUTOR]],TUT.CONTROL!C:C,TUT.CONTROL!F:F),"Demitido")</f>
        <v>1158000595</v>
      </c>
      <c r="M445" s="8" t="s">
        <v>1314</v>
      </c>
      <c r="N445" s="11" t="str">
        <f>IFERROR(_xlfn.XLOOKUP(Tabela2[[#This Row],[CHAPA]],TUT.CONTROL!F:F,TUT.CONTROL!H:H),_xlfn.XLOOKUP(Tabela2[[#This Row],[CHAPA]],'REG.CONTROL'!F:F,'REG.CONTROL'!H:H))</f>
        <v>TUTOR DE PRATICA (UC_1749)</v>
      </c>
      <c r="O445" s="68" t="str">
        <f>IFERROR(_xlfn.XLOOKUP(Tabela2[[#This Row],[NOME DO TUTOR]],TUT.CONTROL!C:C,TUT.CONTROL!K:K),"Demitido")</f>
        <v>004:00</v>
      </c>
      <c r="P44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45" s="66"/>
      <c r="R445" s="8" t="s">
        <v>149</v>
      </c>
      <c r="S445" s="8">
        <v>722680</v>
      </c>
    </row>
    <row r="446" spans="1:19" ht="13.5" hidden="1" x14ac:dyDescent="0.3">
      <c r="A44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Vigia/PAEMF-ISNENF-INS (Multidisciplinar II)</v>
      </c>
      <c r="B446" s="8" t="str">
        <f>Tabela2[[#This Row],[CATEGORIA]]&amp;Tabela2[[#This Row],[CURSOS]]&amp;"LAP - "&amp;Tabela2[[#This Row],[POLO]]</f>
        <v>ENF-INS (Multidisciplinar II)EMF-ISNLAP - Vigia/PA</v>
      </c>
      <c r="C446" s="8" t="str">
        <f>Tabela2[[#This Row],[CATEGORIA]]&amp;Tabela2[[#This Row],[CURSOS]]</f>
        <v>ENF-INS (Multidisciplinar II)EMF-ISN</v>
      </c>
      <c r="D446" s="8" t="str">
        <f>IF(Tabela2[[#This Row],[SITUAÇÃO]]&lt;&gt;"Demitido",CONCATENATE(Tabela2[[#This Row],[POLO]],Tabela2[[#This Row],[CURSOS]]),"Substituição")</f>
        <v>Vigia/PAEMF-ISN</v>
      </c>
      <c r="E446" s="8" t="s">
        <v>21</v>
      </c>
      <c r="F446" s="67" t="s">
        <v>22</v>
      </c>
      <c r="G446" s="67" t="s">
        <v>1315</v>
      </c>
      <c r="H446" s="9" t="s">
        <v>1316</v>
      </c>
      <c r="I446" s="17" t="str">
        <f>IFERROR(_xlfn.XLOOKUP(Tabela2[[#This Row],[CHAPA]],TUT.CONTROL!F:F,TUT.CONTROL!I:I),_xlfn.XLOOKUP(Tabela2[[#This Row],[CHAPA]],'REG.CONTROL'!F:F,'REG.CONTROL'!I:I))</f>
        <v>Ativo</v>
      </c>
      <c r="J446" s="17">
        <f>IFERROR(_xlfn.XLOOKUP(Tabela2[[#This Row],[NOME DO TUTOR]],TUT.CONTROL!C:C,TUT.CONTROL!G:G),"Demitido")</f>
        <v>45931</v>
      </c>
      <c r="K446" s="19">
        <v>91988343299</v>
      </c>
      <c r="L446" s="22">
        <f>IFERROR(_xlfn.XLOOKUP(Tabela2[[#This Row],[NOME DO TUTOR]],TUT.CONTROL!C:C,TUT.CONTROL!F:F),"Demitido")</f>
        <v>1158001002</v>
      </c>
      <c r="M446" s="8" t="s">
        <v>1317</v>
      </c>
      <c r="N446" s="11" t="str">
        <f>IFERROR(_xlfn.XLOOKUP(Tabela2[[#This Row],[CHAPA]],TUT.CONTROL!F:F,TUT.CONTROL!H:H),_xlfn.XLOOKUP(Tabela2[[#This Row],[CHAPA]],'REG.CONTROL'!F:F,'REG.CONTROL'!H:H))</f>
        <v>TUTOR DE PRATICA (UC_1749)</v>
      </c>
      <c r="O446" s="68" t="str">
        <f>IFERROR(_xlfn.XLOOKUP(Tabela2[[#This Row],[NOME DO TUTOR]],TUT.CONTROL!C:C,TUT.CONTROL!K:K),"Demitido")</f>
        <v>004:00</v>
      </c>
      <c r="P44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46" s="66" t="s">
        <v>30</v>
      </c>
      <c r="R446" s="8" t="s">
        <v>26</v>
      </c>
      <c r="S446" s="8">
        <v>929919</v>
      </c>
    </row>
    <row r="447" spans="1:19" ht="13.5" hidden="1" x14ac:dyDescent="0.3">
      <c r="A447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Vila Velha/ESEMF-ISNENF-INS (Multidisciplinar II)</v>
      </c>
      <c r="B447" s="8" t="str">
        <f>Tabela2[[#This Row],[CATEGORIA]]&amp;Tabela2[[#This Row],[CURSOS]]&amp;"LAP - "&amp;Tabela2[[#This Row],[POLO]]</f>
        <v>ENF-INS (Multidisciplinar II)EMF-ISNLAP - Vila Velha/ES</v>
      </c>
      <c r="C447" s="8" t="str">
        <f>Tabela2[[#This Row],[CATEGORIA]]&amp;Tabela2[[#This Row],[CURSOS]]</f>
        <v>ENF-INS (Multidisciplinar II)EMF-ISN</v>
      </c>
      <c r="D447" s="8" t="str">
        <f>IF(Tabela2[[#This Row],[SITUAÇÃO]]&lt;&gt;"Demitido",CONCATENATE(Tabela2[[#This Row],[POLO]],Tabela2[[#This Row],[CURSOS]]),"Substituição")</f>
        <v>Vila Velha/ESEMF-ISN</v>
      </c>
      <c r="E447" s="8" t="s">
        <v>21</v>
      </c>
      <c r="F447" s="67" t="s">
        <v>22</v>
      </c>
      <c r="G447" s="67" t="s">
        <v>749</v>
      </c>
      <c r="H447" s="9" t="s">
        <v>1318</v>
      </c>
      <c r="I447" s="17" t="str">
        <f>IFERROR(_xlfn.XLOOKUP(Tabela2[[#This Row],[CHAPA]],TUT.CONTROL!F:F,TUT.CONTROL!I:I),_xlfn.XLOOKUP(Tabela2[[#This Row],[CHAPA]],'REG.CONTROL'!F:F,'REG.CONTROL'!I:I))</f>
        <v>Ativo</v>
      </c>
      <c r="J447" s="17">
        <f>IFERROR(_xlfn.XLOOKUP(Tabela2[[#This Row],[NOME DO TUTOR]],TUT.CONTROL!C:C,TUT.CONTROL!G:G),"Demitido")</f>
        <v>45754</v>
      </c>
      <c r="K447" s="19">
        <v>27981426299</v>
      </c>
      <c r="L447" s="22">
        <f>IFERROR(_xlfn.XLOOKUP(Tabela2[[#This Row],[NOME DO TUTOR]],TUT.CONTROL!C:C,TUT.CONTROL!F:F),"Demitido")</f>
        <v>1158000686</v>
      </c>
      <c r="M447" s="8" t="s">
        <v>1319</v>
      </c>
      <c r="N447" s="11" t="str">
        <f>IFERROR(_xlfn.XLOOKUP(Tabela2[[#This Row],[CHAPA]],TUT.CONTROL!F:F,TUT.CONTROL!H:H),_xlfn.XLOOKUP(Tabela2[[#This Row],[CHAPA]],'REG.CONTROL'!F:F,'REG.CONTROL'!H:H))</f>
        <v>TUTOR DE PRATICA (UC_1749)</v>
      </c>
      <c r="O447" s="68" t="str">
        <f>IFERROR(_xlfn.XLOOKUP(Tabela2[[#This Row],[NOME DO TUTOR]],TUT.CONTROL!C:C,TUT.CONTROL!K:K),"Demitido")</f>
        <v>004:00</v>
      </c>
      <c r="P447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47" s="66" t="s">
        <v>30</v>
      </c>
      <c r="R447" s="8" t="s">
        <v>1320</v>
      </c>
      <c r="S447" s="8">
        <v>265354</v>
      </c>
    </row>
    <row r="448" spans="1:19" ht="13.5" hidden="1" x14ac:dyDescent="0.3">
      <c r="A448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Viseu/PAEMF-ISNENF-INS (Multidisciplinar II)</v>
      </c>
      <c r="B448" s="8" t="str">
        <f>Tabela2[[#This Row],[CATEGORIA]]&amp;Tabela2[[#This Row],[CURSOS]]&amp;"LAP - "&amp;Tabela2[[#This Row],[POLO]]</f>
        <v>ENF-INS (Multidisciplinar II)EMF-ISNLAP - Viseu/PA</v>
      </c>
      <c r="C448" s="8" t="str">
        <f>Tabela2[[#This Row],[CATEGORIA]]&amp;Tabela2[[#This Row],[CURSOS]]</f>
        <v>ENF-INS (Multidisciplinar II)EMF-ISN</v>
      </c>
      <c r="D448" s="8" t="str">
        <f>IF(Tabela2[[#This Row],[SITUAÇÃO]]&lt;&gt;"Demitido",CONCATENATE(Tabela2[[#This Row],[POLO]],Tabela2[[#This Row],[CURSOS]]),"Substituição")</f>
        <v>Viseu/PAEMF-ISN</v>
      </c>
      <c r="E448" s="8" t="s">
        <v>21</v>
      </c>
      <c r="F448" s="67" t="s">
        <v>22</v>
      </c>
      <c r="G448" s="67" t="s">
        <v>1321</v>
      </c>
      <c r="H448" s="9" t="s">
        <v>1322</v>
      </c>
      <c r="I448" s="17" t="str">
        <f>IFERROR(_xlfn.XLOOKUP(Tabela2[[#This Row],[CHAPA]],TUT.CONTROL!F:F,TUT.CONTROL!I:I),_xlfn.XLOOKUP(Tabela2[[#This Row],[CHAPA]],'REG.CONTROL'!F:F,'REG.CONTROL'!I:I))</f>
        <v>Ativo</v>
      </c>
      <c r="J448" s="17">
        <f>IFERROR(_xlfn.XLOOKUP(Tabela2[[#This Row],[NOME DO TUTOR]],'REG.CONTROL'!C:C,'REG.CONTROL'!G:G),"Demitido")</f>
        <v>45566</v>
      </c>
      <c r="K448" s="19">
        <v>91989835454</v>
      </c>
      <c r="L448" s="22">
        <f>IFERROR(_xlfn.XLOOKUP(Tabela2[[#This Row],[NOME DO TUTOR]],'REG.CONTROL'!C:C,'REG.CONTROL'!F:F),"Demitido")</f>
        <v>1004015934</v>
      </c>
      <c r="M448" s="8" t="s">
        <v>1323</v>
      </c>
      <c r="N448" s="11" t="str">
        <f>IFERROR(_xlfn.XLOOKUP(Tabela2[[#This Row],[CHAPA]],TUT.CONTROL!F:F,TUT.CONTROL!H:H),_xlfn.XLOOKUP(Tabela2[[#This Row],[CHAPA]],'REG.CONTROL'!F:F,'REG.CONTROL'!H:H))</f>
        <v>PROFESSOR REGENTE DE POLO (UC_1744)</v>
      </c>
      <c r="O448" s="68" t="str">
        <f>IFERROR(_xlfn.XLOOKUP(Tabela2[[#This Row],[NOME DO TUTOR]],'REGENTE CH'!A:A,'REGENTE CH'!C:C),"Atualizar")</f>
        <v>004:00</v>
      </c>
      <c r="P448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48" s="66" t="s">
        <v>30</v>
      </c>
      <c r="R448" s="8" t="s">
        <v>26</v>
      </c>
      <c r="S448" s="8">
        <v>618964</v>
      </c>
    </row>
    <row r="449" spans="1:19" ht="13.5" hidden="1" x14ac:dyDescent="0.3">
      <c r="A449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Manaus/AM - Cidade NovaECE-ENM-ENS-ENG-EEA-GPI-CDE-OBR-SAN-TER-FSA-SLF-QUIENGMAKER+QUÍMICA E FÍSICA</v>
      </c>
      <c r="B449" s="8" t="str">
        <f>Tabela2[[#This Row],[CATEGORIA]]&amp;Tabela2[[#This Row],[CURSOS]]&amp;"LAP - "&amp;Tabela2[[#This Row],[POLO]]</f>
        <v>ENGMAKER+QUÍMICA E FÍSICAECE-ENM-ENS-ENG-EEA-GPI-CDE-OBR-SAN-TER-FSA-SLF-QUILAP - Manaus/AM - Cidade Nova</v>
      </c>
      <c r="C449" s="8" t="str">
        <f>Tabela2[[#This Row],[CATEGORIA]]&amp;Tabela2[[#This Row],[CURSOS]]</f>
        <v>ENGMAKER+QUÍMICA E FÍSICAECE-ENM-ENS-ENG-EEA-GPI-CDE-OBR-SAN-TER-FSA-SLF-QUI</v>
      </c>
      <c r="D449" s="8" t="str">
        <f>IF(Tabela2[[#This Row],[SITUAÇÃO]]&lt;&gt;"Demitido",CONCATENATE(Tabela2[[#This Row],[POLO]],Tabela2[[#This Row],[CURSOS]]),"Substituição")</f>
        <v>Manaus/AM - Cidade NovaECE-ENM-ENS-ENG-EEA-GPI-CDE-OBR-SAN-TER-FSA-SLF-QUI</v>
      </c>
      <c r="E449" s="8" t="s">
        <v>125</v>
      </c>
      <c r="F449" s="67" t="s">
        <v>126</v>
      </c>
      <c r="G449" s="67" t="s">
        <v>459</v>
      </c>
      <c r="H449" s="9" t="s">
        <v>1324</v>
      </c>
      <c r="I449" s="17" t="str">
        <f>IFERROR(_xlfn.XLOOKUP(Tabela2[[#This Row],[CHAPA]],TUT.CONTROL!F:F,TUT.CONTROL!I:I),_xlfn.XLOOKUP(Tabela2[[#This Row],[CHAPA]],'REG.CONTROL'!F:F,'REG.CONTROL'!I:I))</f>
        <v>Ativo</v>
      </c>
      <c r="J449" s="17">
        <f>IFERROR(_xlfn.XLOOKUP(Tabela2[[#This Row],[NOME DO TUTOR]],TUT.CONTROL!C:C,TUT.CONTROL!G:G),"Atualizar")</f>
        <v>46118</v>
      </c>
      <c r="K449" s="19">
        <v>92984509821</v>
      </c>
      <c r="L449" s="22">
        <f>IFERROR(_xlfn.XLOOKUP(Tabela2[[#This Row],[NOME DO TUTOR]],TUT.CONTROL!C:C,TUT.CONTROL!F:F),"Atualizar")</f>
        <v>1158001194</v>
      </c>
      <c r="M449" s="8" t="s">
        <v>1325</v>
      </c>
      <c r="N449" s="11" t="str">
        <f>IFERROR(_xlfn.XLOOKUP(Tabela2[[#This Row],[CHAPA]],TUT.CONTROL!F:F,TUT.CONTROL!H:H),_xlfn.XLOOKUP(Tabela2[[#This Row],[CHAPA]],'REG.CONTROL'!F:F,'REG.CONTROL'!H:H))</f>
        <v>TUTOR DE PRATICA (UC_1749)</v>
      </c>
      <c r="O449" s="70" t="str">
        <f>IFERROR(_xlfn.XLOOKUP(Tabela2[[#This Row],[NOME DO TUTOR]],TUT.CONTROL!C:C,TUT.CONTROL!K:K),"Atualizar")</f>
        <v>004:00</v>
      </c>
      <c r="P449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49" s="66"/>
      <c r="R449" s="8"/>
    </row>
    <row r="450" spans="1:19" ht="13.5" hidden="1" x14ac:dyDescent="0.3">
      <c r="A450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Rio de Janeiro/RJ - Ilha do GovernadorNTRNUTRI (Multidisciplinar IV)</v>
      </c>
      <c r="B450" s="8" t="str">
        <f>Tabela2[[#This Row],[CATEGORIA]]&amp;Tabela2[[#This Row],[CURSOS]]&amp;"LAP - "&amp;Tabela2[[#This Row],[POLO]]</f>
        <v>NUTRI (Multidisciplinar IV)NTRLAP - Rio de Janeiro/RJ - Ilha do Governador</v>
      </c>
      <c r="C450" s="8" t="str">
        <f>Tabela2[[#This Row],[CATEGORIA]]&amp;Tabela2[[#This Row],[CURSOS]]</f>
        <v>NUTRI (Multidisciplinar IV)NTR</v>
      </c>
      <c r="D450" s="8" t="str">
        <f>IF(Tabela2[[#This Row],[SITUAÇÃO]]&lt;&gt;"Demitido",CONCATENATE(Tabela2[[#This Row],[POLO]],Tabela2[[#This Row],[CURSOS]]),"Substituição")</f>
        <v>Rio de Janeiro/RJ - Ilha do GovernadorNTR</v>
      </c>
      <c r="E450" s="8" t="s">
        <v>730</v>
      </c>
      <c r="F450" s="67" t="s">
        <v>731</v>
      </c>
      <c r="G450" s="67" t="s">
        <v>691</v>
      </c>
      <c r="H450" s="9" t="s">
        <v>1326</v>
      </c>
      <c r="I450" s="17" t="str">
        <f>IFERROR(_xlfn.XLOOKUP(Tabela2[[#This Row],[CHAPA]],TUT.CONTROL!F:F,TUT.CONTROL!I:I),_xlfn.XLOOKUP(Tabela2[[#This Row],[CHAPA]],'REG.CONTROL'!F:F,'REG.CONTROL'!I:I))</f>
        <v>Ativo</v>
      </c>
      <c r="J450" s="17">
        <f>IFERROR(_xlfn.XLOOKUP(Tabela2[[#This Row],[NOME DO TUTOR]],TUT.CONTROL!C:C,TUT.CONTROL!G:G),"Atualizar")</f>
        <v>46118</v>
      </c>
      <c r="K450" s="19">
        <v>21977138786</v>
      </c>
      <c r="L450" s="22">
        <f>IFERROR(_xlfn.XLOOKUP(Tabela2[[#This Row],[NOME DO TUTOR]],TUT.CONTROL!C:C,TUT.CONTROL!F:F),"Atualizar")</f>
        <v>1158001188</v>
      </c>
      <c r="M450" s="8" t="s">
        <v>1327</v>
      </c>
      <c r="N450" s="11" t="str">
        <f>IFERROR(_xlfn.XLOOKUP(Tabela2[[#This Row],[CHAPA]],TUT.CONTROL!F:F,TUT.CONTROL!H:H),_xlfn.XLOOKUP(Tabela2[[#This Row],[CHAPA]],'REG.CONTROL'!F:F,'REG.CONTROL'!H:H))</f>
        <v>TUTOR DE PRATICA (UC_1749)</v>
      </c>
      <c r="O450" s="70" t="str">
        <f>IFERROR(_xlfn.XLOOKUP(Tabela2[[#This Row],[NOME DO TUTOR]],TUT.CONTROL!C:C,TUT.CONTROL!K:K),"Atualizar")</f>
        <v>008:00</v>
      </c>
      <c r="P450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50" s="66"/>
      <c r="R450" s="8"/>
    </row>
    <row r="451" spans="1:19" ht="13.5" hidden="1" x14ac:dyDescent="0.3">
      <c r="A451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Volta Redonda/RJEMF-ISNENF-INS (Multidisciplinar II)</v>
      </c>
      <c r="B451" s="8" t="str">
        <f>Tabela2[[#This Row],[CATEGORIA]]&amp;Tabela2[[#This Row],[CURSOS]]&amp;"LAP - "&amp;Tabela2[[#This Row],[POLO]]</f>
        <v>ENF-INS (Multidisciplinar II)EMF-ISNLAP - Volta Redonda/RJ</v>
      </c>
      <c r="C451" s="8" t="str">
        <f>Tabela2[[#This Row],[CATEGORIA]]&amp;Tabela2[[#This Row],[CURSOS]]</f>
        <v>ENF-INS (Multidisciplinar II)EMF-ISN</v>
      </c>
      <c r="D451" s="8" t="str">
        <f>IF(Tabela2[[#This Row],[SITUAÇÃO]]&lt;&gt;"Demitido",CONCATENATE(Tabela2[[#This Row],[POLO]],Tabela2[[#This Row],[CURSOS]]),"Substituição")</f>
        <v>Volta Redonda/RJEMF-ISN</v>
      </c>
      <c r="E451" s="8" t="s">
        <v>21</v>
      </c>
      <c r="F451" s="67" t="s">
        <v>22</v>
      </c>
      <c r="G451" s="67" t="s">
        <v>1328</v>
      </c>
      <c r="H451" s="9" t="s">
        <v>1329</v>
      </c>
      <c r="I451" s="17" t="str">
        <f>IFERROR(_xlfn.XLOOKUP(Tabela2[[#This Row],[CHAPA]],TUT.CONTROL!F:F,TUT.CONTROL!I:I),_xlfn.XLOOKUP(Tabela2[[#This Row],[CHAPA]],'REG.CONTROL'!F:F,'REG.CONTROL'!I:I))</f>
        <v>Ativo</v>
      </c>
      <c r="J451" s="17">
        <f>IFERROR(_xlfn.XLOOKUP(Tabela2[[#This Row],[NOME DO TUTOR]],'REG.CONTROL'!C:C,'REG.CONTROL'!G:G),"Demitido")</f>
        <v>44875</v>
      </c>
      <c r="K451" s="19">
        <v>24999330742</v>
      </c>
      <c r="L451" s="22">
        <f>IFERROR(_xlfn.XLOOKUP(Tabela2[[#This Row],[NOME DO TUTOR]],'REG.CONTROL'!C:C,'REG.CONTROL'!F:F),"Demitido")</f>
        <v>1004011067</v>
      </c>
      <c r="M451" s="8" t="s">
        <v>1330</v>
      </c>
      <c r="N451" s="11" t="str">
        <f>IFERROR(_xlfn.XLOOKUP(Tabela2[[#This Row],[CHAPA]],TUT.CONTROL!F:F,TUT.CONTROL!H:H),_xlfn.XLOOKUP(Tabela2[[#This Row],[CHAPA]],'REG.CONTROL'!F:F,'REG.CONTROL'!H:H))</f>
        <v>PROFESSOR REGENTE DE POLO (UC_1744)</v>
      </c>
      <c r="O451" s="68" t="str">
        <f>IFERROR(_xlfn.XLOOKUP(Tabela2[[#This Row],[NOME DO TUTOR]],'REGENTE CH'!A:A,'REGENTE CH'!C:C),"Atualizar")</f>
        <v>004:00</v>
      </c>
      <c r="P451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51" s="66" t="s">
        <v>30</v>
      </c>
      <c r="R451" s="8" t="s">
        <v>157</v>
      </c>
      <c r="S451" s="8">
        <v>211367</v>
      </c>
    </row>
    <row r="452" spans="1:19" ht="13.5" hidden="1" x14ac:dyDescent="0.3">
      <c r="A452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Ponta Porã/MSBFRBIO-FAR (Multidisciplinar I)</v>
      </c>
      <c r="B452" s="8" t="str">
        <f>Tabela2[[#This Row],[CATEGORIA]]&amp;Tabela2[[#This Row],[CURSOS]]&amp;"LAP - "&amp;Tabela2[[#This Row],[POLO]]</f>
        <v>BIO-FAR (Multidisciplinar I)BFRLAP - Ponta Porã/MS</v>
      </c>
      <c r="C452" s="8" t="str">
        <f>Tabela2[[#This Row],[CATEGORIA]]&amp;Tabela2[[#This Row],[CURSOS]]</f>
        <v>BIO-FAR (Multidisciplinar I)BFR</v>
      </c>
      <c r="D452" s="8" t="str">
        <f>IF(Tabela2[[#This Row],[SITUAÇÃO]]&lt;&gt;"Demitido",CONCATENATE(Tabela2[[#This Row],[POLO]],Tabela2[[#This Row],[CURSOS]]),"Substituição")</f>
        <v>Ponta Porã/MSBFR</v>
      </c>
      <c r="E452" s="8" t="s">
        <v>771</v>
      </c>
      <c r="F452" s="67" t="s">
        <v>772</v>
      </c>
      <c r="G452" s="67" t="s">
        <v>617</v>
      </c>
      <c r="H452" s="9" t="s">
        <v>1331</v>
      </c>
      <c r="I452" s="17" t="str">
        <f>IFERROR(_xlfn.XLOOKUP(Tabela2[[#This Row],[CHAPA]],TUT.CONTROL!F:F,TUT.CONTROL!I:I),_xlfn.XLOOKUP(Tabela2[[#This Row],[CHAPA]],'REG.CONTROL'!F:F,'REG.CONTROL'!I:I))</f>
        <v>Ativo</v>
      </c>
      <c r="J452" s="17">
        <f>IFERROR(_xlfn.XLOOKUP(Tabela2[[#This Row],[NOME DO TUTOR]],TUT.CONTROL!C:C,TUT.CONTROL!G:G),"Atualizar")</f>
        <v>46125</v>
      </c>
      <c r="K452" s="19">
        <v>11996640045</v>
      </c>
      <c r="L452" s="22">
        <f>IFERROR(_xlfn.XLOOKUP(Tabela2[[#This Row],[NOME DO TUTOR]],TUT.CONTROL!C:C,TUT.CONTROL!F:F),"Demitido")</f>
        <v>1158001220</v>
      </c>
      <c r="M452" s="8" t="s">
        <v>1332</v>
      </c>
      <c r="N452" s="11" t="str">
        <f>IFERROR(_xlfn.XLOOKUP(Tabela2[[#This Row],[CHAPA]],TUT.CONTROL!F:F,TUT.CONTROL!H:H),_xlfn.XLOOKUP(Tabela2[[#This Row],[CHAPA]],'REG.CONTROL'!F:F,'REG.CONTROL'!H:H))</f>
        <v>TUTOR DE PRATICA (UC_1749)</v>
      </c>
      <c r="O452" s="70" t="str">
        <f>IFERROR(_xlfn.XLOOKUP(Tabela2[[#This Row],[NOME DO TUTOR]],TUT.CONTROL!C:C,TUT.CONTROL!K:K),"Atualizar")</f>
        <v>004:00</v>
      </c>
      <c r="P452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52" s="66"/>
      <c r="R452" s="8"/>
    </row>
    <row r="453" spans="1:19" ht="13.5" hidden="1" x14ac:dyDescent="0.3">
      <c r="A453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Dourados/MSBFRBIO-FAR (Multidisciplinar I)</v>
      </c>
      <c r="B453" s="8" t="str">
        <f>Tabela2[[#This Row],[CATEGORIA]]&amp;Tabela2[[#This Row],[CURSOS]]&amp;"LAP - "&amp;Tabela2[[#This Row],[POLO]]</f>
        <v>BIO-FAR (Multidisciplinar I)BFRLAP - Dourados/MS</v>
      </c>
      <c r="C453" s="8" t="str">
        <f>Tabela2[[#This Row],[CATEGORIA]]&amp;Tabela2[[#This Row],[CURSOS]]</f>
        <v>BIO-FAR (Multidisciplinar I)BFR</v>
      </c>
      <c r="D453" s="8" t="str">
        <f>IF(Tabela2[[#This Row],[SITUAÇÃO]]&lt;&gt;"Demitido",CONCATENATE(Tabela2[[#This Row],[POLO]],Tabela2[[#This Row],[CURSOS]]),"Substituição")</f>
        <v>Dourados/MSBFR</v>
      </c>
      <c r="E453" s="8" t="s">
        <v>771</v>
      </c>
      <c r="F453" s="67" t="s">
        <v>772</v>
      </c>
      <c r="G453" s="67" t="s">
        <v>268</v>
      </c>
      <c r="H453" s="85" t="s">
        <v>1333</v>
      </c>
      <c r="I453" s="17" t="str">
        <f>IFERROR(_xlfn.XLOOKUP(Tabela2[[#This Row],[CHAPA]],TUT.CONTROL!F:F,TUT.CONTROL!I:I),_xlfn.XLOOKUP(Tabela2[[#This Row],[CHAPA]],'REG.CONTROL'!F:F,'REG.CONTROL'!I:I))</f>
        <v>Ativo</v>
      </c>
      <c r="J453" s="17">
        <f>IFERROR(_xlfn.XLOOKUP(Tabela2[[#This Row],[NOME DO TUTOR]],TUT.CONTROL!C:C,TUT.CONTROL!G:G),"Atualizar")</f>
        <v>46125</v>
      </c>
      <c r="K453" s="19">
        <v>67996016652</v>
      </c>
      <c r="L453" s="22">
        <f>IFERROR(_xlfn.XLOOKUP(Tabela2[[#This Row],[NOME DO TUTOR]],TUT.CONTROL!C:C,TUT.CONTROL!F:F),"Demitido")</f>
        <v>1158001219</v>
      </c>
      <c r="M453" s="8" t="s">
        <v>1334</v>
      </c>
      <c r="N453" s="11" t="str">
        <f>IFERROR(_xlfn.XLOOKUP(Tabela2[[#This Row],[CHAPA]],TUT.CONTROL!F:F,TUT.CONTROL!H:H),_xlfn.XLOOKUP(Tabela2[[#This Row],[CHAPA]],'REG.CONTROL'!F:F,'REG.CONTROL'!H:H))</f>
        <v>TUTOR DE PRATICA (UC_1749)</v>
      </c>
      <c r="O453" s="70" t="str">
        <f>IFERROR(_xlfn.XLOOKUP(Tabela2[[#This Row],[NOME DO TUTOR]],TUT.CONTROL!C:C,TUT.CONTROL!K:K),"Atualizar")</f>
        <v>004:00</v>
      </c>
      <c r="P453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53" s="66"/>
      <c r="R453" s="8"/>
    </row>
    <row r="454" spans="1:19" ht="13.5" hidden="1" x14ac:dyDescent="0.3">
      <c r="A454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Porto Alegre/RS - Zona NorteBFRBIO-FAR (Multidisciplinar I)</v>
      </c>
      <c r="B454" s="8" t="str">
        <f>Tabela2[[#This Row],[CATEGORIA]]&amp;Tabela2[[#This Row],[CURSOS]]&amp;"LAP - "&amp;Tabela2[[#This Row],[POLO]]</f>
        <v>BIO-FAR (Multidisciplinar I)BFRLAP - Porto Alegre/RS - Zona Norte</v>
      </c>
      <c r="C454" s="8" t="str">
        <f>Tabela2[[#This Row],[CATEGORIA]]&amp;Tabela2[[#This Row],[CURSOS]]</f>
        <v>BIO-FAR (Multidisciplinar I)BFR</v>
      </c>
      <c r="D454" s="8" t="str">
        <f>IF(Tabela2[[#This Row],[SITUAÇÃO]]&lt;&gt;"Demitido",CONCATENATE(Tabela2[[#This Row],[POLO]],Tabela2[[#This Row],[CURSOS]]),"Substituição")</f>
        <v>Porto Alegre/RS - Zona NorteBFR</v>
      </c>
      <c r="E454" s="8" t="s">
        <v>771</v>
      </c>
      <c r="F454" s="67" t="s">
        <v>772</v>
      </c>
      <c r="G454" s="67" t="s">
        <v>640</v>
      </c>
      <c r="H454" s="9" t="s">
        <v>1335</v>
      </c>
      <c r="I454" s="17" t="str">
        <f>IFERROR(_xlfn.XLOOKUP(Tabela2[[#This Row],[CHAPA]],TUT.CONTROL!F:F,TUT.CONTROL!I:I),_xlfn.XLOOKUP(Tabela2[[#This Row],[CHAPA]],'REG.CONTROL'!F:F,'REG.CONTROL'!I:I))</f>
        <v>Ativo</v>
      </c>
      <c r="J454" s="17">
        <f>IFERROR(_xlfn.XLOOKUP(Tabela2[[#This Row],[NOME DO TUTOR]],TUT.CONTROL!C:C,TUT.CONTROL!G:G),"Atualizar")</f>
        <v>46125</v>
      </c>
      <c r="K454" s="19">
        <v>51993226529</v>
      </c>
      <c r="L454" s="22">
        <f>IFERROR(_xlfn.XLOOKUP(Tabela2[[#This Row],[NOME DO TUTOR]],TUT.CONTROL!C:C,TUT.CONTROL!F:F),"Demitido")</f>
        <v>1158001221</v>
      </c>
      <c r="M454" s="8" t="s">
        <v>1336</v>
      </c>
      <c r="N454" s="11" t="str">
        <f>IFERROR(_xlfn.XLOOKUP(Tabela2[[#This Row],[CHAPA]],TUT.CONTROL!F:F,TUT.CONTROL!H:H),_xlfn.XLOOKUP(Tabela2[[#This Row],[CHAPA]],'REG.CONTROL'!F:F,'REG.CONTROL'!H:H))</f>
        <v>TUTOR DE PRATICA (UC_1749)</v>
      </c>
      <c r="O454" s="70" t="str">
        <f>IFERROR(_xlfn.XLOOKUP(Tabela2[[#This Row],[NOME DO TUTOR]],TUT.CONTROL!C:C,TUT.CONTROL!K:K),"Atualizar")</f>
        <v>004:00</v>
      </c>
      <c r="P454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54" s="66"/>
      <c r="R454" s="8"/>
    </row>
    <row r="455" spans="1:19" ht="13.5" hidden="1" x14ac:dyDescent="0.3">
      <c r="A455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Campos dos Goytacazes/RJ - PelincaBFRBIO-FAR (Multidisciplinar I)</v>
      </c>
      <c r="B455" s="8" t="str">
        <f>Tabela2[[#This Row],[CATEGORIA]]&amp;Tabela2[[#This Row],[CURSOS]]&amp;"LAP - "&amp;Tabela2[[#This Row],[POLO]]</f>
        <v>BIO-FAR (Multidisciplinar I)BFRLAP - Campos dos Goytacazes/RJ - Pelinca</v>
      </c>
      <c r="C455" s="8" t="str">
        <f>Tabela2[[#This Row],[CATEGORIA]]&amp;Tabela2[[#This Row],[CURSOS]]</f>
        <v>BIO-FAR (Multidisciplinar I)BFR</v>
      </c>
      <c r="D455" s="8" t="str">
        <f>IF(Tabela2[[#This Row],[SITUAÇÃO]]&lt;&gt;"Demitido",CONCATENATE(Tabela2[[#This Row],[POLO]],Tabela2[[#This Row],[CURSOS]]),"Substituição")</f>
        <v>Campos dos Goytacazes/RJ - PelincaBFR</v>
      </c>
      <c r="E455" s="8" t="s">
        <v>771</v>
      </c>
      <c r="F455" s="67" t="s">
        <v>772</v>
      </c>
      <c r="G455" s="67" t="s">
        <v>182</v>
      </c>
      <c r="H455" s="9" t="s">
        <v>1337</v>
      </c>
      <c r="I455" s="17" t="str">
        <f>IFERROR(_xlfn.XLOOKUP(Tabela2[[#This Row],[CHAPA]],TUT.CONTROL!F:F,TUT.CONTROL!I:I),_xlfn.XLOOKUP(Tabela2[[#This Row],[CHAPA]],'REG.CONTROL'!F:F,'REG.CONTROL'!I:I))</f>
        <v>Ativo</v>
      </c>
      <c r="J455" s="17">
        <f>IFERROR(_xlfn.XLOOKUP(Tabela2[[#This Row],[NOME DO TUTOR]],TUT.CONTROL!C:C,TUT.CONTROL!G:G),"Atualizar")</f>
        <v>46125</v>
      </c>
      <c r="K455" s="19">
        <v>22998214684</v>
      </c>
      <c r="L455" s="22">
        <f>IFERROR(_xlfn.XLOOKUP(Tabela2[[#This Row],[NOME DO TUTOR]],TUT.CONTROL!C:C,TUT.CONTROL!F:F),"Demitido")</f>
        <v>1158001218</v>
      </c>
      <c r="M455" s="8" t="s">
        <v>1338</v>
      </c>
      <c r="N455" s="11" t="str">
        <f>IFERROR(_xlfn.XLOOKUP(Tabela2[[#This Row],[CHAPA]],TUT.CONTROL!F:F,TUT.CONTROL!H:H),_xlfn.XLOOKUP(Tabela2[[#This Row],[CHAPA]],'REG.CONTROL'!F:F,'REG.CONTROL'!H:H))</f>
        <v>TUTOR DE PRATICA (UC_1749)</v>
      </c>
      <c r="O455" s="70" t="str">
        <f>IFERROR(_xlfn.XLOOKUP(Tabela2[[#This Row],[NOME DO TUTOR]],TUT.CONTROL!C:C,TUT.CONTROL!K:K),"Atualizar")</f>
        <v>004:00</v>
      </c>
      <c r="P455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55" s="66"/>
      <c r="R455" s="8"/>
    </row>
    <row r="456" spans="1:19" ht="13.5" hidden="1" x14ac:dyDescent="0.3">
      <c r="A456" s="8" t="str">
        <f>IF(Tabela2[[#This Row],[SITUAÇÃO]]="Férias",CONCATENATE(Tabela2[[#This Row],[POLO]],Tabela2[[#This Row],[CURSOS]],Tabela2[[#This Row],[CATEGORIA]]),IF(Tabela2[[#This Row],[SITUAÇÃO]]="Ativo",CONCATENATE(Tabela2[[#This Row],[POLO]],Tabela2[[#This Row],[CURSOS]],Tabela2[[#This Row],[CATEGORIA]]),"desligado"))</f>
        <v>Salvador/BA - Caminho das ÁrvoresBBIBIO-FAR (Multidisciplinar I)</v>
      </c>
      <c r="B456" s="8" t="str">
        <f>Tabela2[[#This Row],[CATEGORIA]]&amp;Tabela2[[#This Row],[CURSOS]]&amp;"LAP - "&amp;Tabela2[[#This Row],[POLO]]</f>
        <v>BIO-FAR (Multidisciplinar I)BBILAP - Salvador/BA - Caminho das Árvores</v>
      </c>
      <c r="C456" s="8" t="str">
        <f>Tabela2[[#This Row],[CATEGORIA]]&amp;Tabela2[[#This Row],[CURSOS]]</f>
        <v>BIO-FAR (Multidisciplinar I)BBI</v>
      </c>
      <c r="D456" s="8" t="str">
        <f>IF(Tabela2[[#This Row],[SITUAÇÃO]]&lt;&gt;"Demitido",CONCATENATE(Tabela2[[#This Row],[POLO]],Tabela2[[#This Row],[CURSOS]]),"Substituição")</f>
        <v>Salvador/BA - Caminho das ÁrvoresBBI</v>
      </c>
      <c r="E456" s="8" t="s">
        <v>771</v>
      </c>
      <c r="F456" s="67" t="s">
        <v>1339</v>
      </c>
      <c r="G456" s="67" t="s">
        <v>810</v>
      </c>
      <c r="H456" s="9" t="s">
        <v>1340</v>
      </c>
      <c r="I456" s="17" t="str">
        <f>IFERROR(_xlfn.XLOOKUP(Tabela2[[#This Row],[CHAPA]],TUT.CONTROL!F:F,TUT.CONTROL!I:I),_xlfn.XLOOKUP(Tabela2[[#This Row],[CHAPA]],'REG.CONTROL'!F:F,'REG.CONTROL'!I:I))</f>
        <v>Ativo</v>
      </c>
      <c r="J456" s="17">
        <f>IFERROR(_xlfn.XLOOKUP(Tabela2[[#This Row],[NOME DO TUTOR]],TUT.CONTROL!C:C,TUT.CONTROL!G:G),"Demitido")</f>
        <v>46127</v>
      </c>
      <c r="K456" s="19">
        <v>71992070897</v>
      </c>
      <c r="L456" s="22">
        <f>IFERROR(_xlfn.XLOOKUP(Tabela2[[#This Row],[NOME DO TUTOR]],TUT.CONTROL!C:C,TUT.CONTROL!F:F),"Demitido")</f>
        <v>1158001224</v>
      </c>
      <c r="M456" s="8" t="s">
        <v>1341</v>
      </c>
      <c r="N456" s="11" t="str">
        <f>IFERROR(_xlfn.XLOOKUP(Tabela2[[#This Row],[CHAPA]],TUT.CONTROL!F:F,TUT.CONTROL!H:H),_xlfn.XLOOKUP(Tabela2[[#This Row],[CHAPA]],'REG.CONTROL'!F:F,'REG.CONTROL'!H:H))</f>
        <v>TUTOR DE PRATICA (UC_1749)</v>
      </c>
      <c r="O456" s="68" t="str">
        <f>IFERROR(_xlfn.XLOOKUP(Tabela2[[#This Row],[NOME DO TUTOR]],TUT.CONTROL!C:C,TUT.CONTROL!K:K),"Demitido")</f>
        <v>004:00</v>
      </c>
      <c r="P456" s="17" t="str">
        <f>IF(Tabela2[[#This Row],[SITUAÇÃO]]="Demitido",IFERROR(_xlfn.XLOOKUP(Tabela2[[#This Row],[CHAPA]],TUT.CONTROL!F:F,TUT.CONTROL!V:V),_xlfn.XLOOKUP(Tabela2[[#This Row],[CHAPA]],'REG.CONTROL'!F:F,'REG.CONTROL'!V:V)),"-")</f>
        <v>-</v>
      </c>
      <c r="Q456" s="66"/>
      <c r="R456" s="8"/>
      <c r="S456" s="8"/>
    </row>
  </sheetData>
  <sortState xmlns:xlrd2="http://schemas.microsoft.com/office/spreadsheetml/2017/richdata2" ref="E4:S170">
    <sortCondition ref="H2:H170"/>
  </sortState>
  <phoneticPr fontId="4" type="noConversion"/>
  <conditionalFormatting sqref="G3:G456">
    <cfRule type="duplicateValues" dxfId="23" priority="826"/>
  </conditionalFormatting>
  <conditionalFormatting sqref="H3:H456">
    <cfRule type="duplicateValues" dxfId="22" priority="828"/>
    <cfRule type="duplicateValues" dxfId="21" priority="829"/>
  </conditionalFormatting>
  <conditionalFormatting sqref="I1:I366 M93 Q368 Q371:Q372 Q377 Q379:Q382 I383:I456 Q442:Q1048576">
    <cfRule type="cellIs" dxfId="20" priority="5" operator="equal">
      <formula>"Demitido"</formula>
    </cfRule>
  </conditionalFormatting>
  <conditionalFormatting sqref="I368:I369">
    <cfRule type="cellIs" dxfId="19" priority="4" operator="equal">
      <formula>"Demitido"</formula>
    </cfRule>
  </conditionalFormatting>
  <conditionalFormatting sqref="I371">
    <cfRule type="cellIs" dxfId="18" priority="2" operator="equal">
      <formula>"Demitido"</formula>
    </cfRule>
  </conditionalFormatting>
  <conditionalFormatting sqref="M414">
    <cfRule type="cellIs" dxfId="17" priority="1" operator="equal">
      <formula>"Demitido"</formula>
    </cfRule>
  </conditionalFormatting>
  <hyperlinks>
    <hyperlink ref="M246" r:id="rId1" xr:uid="{5F95BFF8-9CDA-4C9E-BE09-7819F60AEEA1}"/>
    <hyperlink ref="M74" r:id="rId2" xr:uid="{1F60913F-24D9-4DA0-BF13-DEB1FB9B5662}"/>
    <hyperlink ref="M426" r:id="rId3" xr:uid="{6BB32878-2CA0-4B71-967E-60E5AE611677}"/>
    <hyperlink ref="M65" r:id="rId4" xr:uid="{E6266905-A09B-4EFF-8BEA-C606C06A8A86}"/>
    <hyperlink ref="M112" r:id="rId5" xr:uid="{BDCACFA1-C56C-4BEE-B707-D87CD0B2A552}"/>
    <hyperlink ref="M139" r:id="rId6" xr:uid="{BA3730C0-D865-47DE-BE27-FD8D4A95BFB5}"/>
    <hyperlink ref="M77" r:id="rId7" xr:uid="{E89B04D9-11BC-4358-89E6-4F5E3A5C24E2}"/>
    <hyperlink ref="M109" r:id="rId8" xr:uid="{221CB760-C172-4FEB-A98C-92B092396AFA}"/>
    <hyperlink ref="M198" r:id="rId9" xr:uid="{D71B8261-3EF6-41D6-89CE-791799A0EC41}"/>
    <hyperlink ref="M106" r:id="rId10" xr:uid="{2AAD8C8C-DD8D-4CC3-8A3E-B346CA4EA17E}"/>
    <hyperlink ref="M28" r:id="rId11" xr:uid="{79EDD3E9-C93B-4200-8518-4997F6D34398}"/>
    <hyperlink ref="M113" r:id="rId12" xr:uid="{DA375617-FDBB-460A-AF86-90C560A5EEBA}"/>
    <hyperlink ref="M135" r:id="rId13" xr:uid="{CAD43E9F-1DF5-43FA-BC10-9BB1F8724173}"/>
    <hyperlink ref="M231" r:id="rId14" xr:uid="{E69BC7B5-34F1-49A2-806F-3308CA245105}"/>
  </hyperlinks>
  <pageMargins left="0.511811024" right="0.511811024" top="0.78740157499999996" bottom="0.78740157499999996" header="0.31496062000000002" footer="0.31496062000000002"/>
  <pageSetup paperSize="9" fitToWidth="0" fitToHeight="0" orientation="landscape" r:id="rId15"/>
  <legacyDrawing r:id="rId16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780F-DCE1-4694-B96E-D7D10822CF75}">
  <dimension ref="A1:W155"/>
  <sheetViews>
    <sheetView showGridLines="0" topLeftCell="A146" zoomScaleNormal="100" workbookViewId="0">
      <selection activeCell="A151" sqref="A151:XFD151"/>
    </sheetView>
  </sheetViews>
  <sheetFormatPr defaultColWidth="9.109375" defaultRowHeight="15.75" customHeight="1" x14ac:dyDescent="0.4"/>
  <cols>
    <col min="1" max="1" width="21.33203125" style="12" customWidth="1"/>
    <col min="2" max="2" width="37.33203125" style="12" hidden="1" customWidth="1"/>
    <col min="3" max="3" width="21.6640625" style="18" bestFit="1" customWidth="1"/>
    <col min="4" max="4" width="17.33203125" style="18" bestFit="1" customWidth="1"/>
    <col min="5" max="5" width="11.44140625" style="18" bestFit="1" customWidth="1"/>
    <col min="6" max="6" width="11.44140625" style="18" customWidth="1"/>
    <col min="7" max="7" width="27" style="12" bestFit="1" customWidth="1"/>
    <col min="8" max="8" width="8.5546875" style="12" customWidth="1"/>
    <col min="9" max="9" width="28.33203125" style="12" bestFit="1" customWidth="1"/>
    <col min="10" max="10" width="33.44140625" style="13" bestFit="1" customWidth="1"/>
    <col min="11" max="11" width="10.5546875" style="14" bestFit="1" customWidth="1"/>
    <col min="12" max="12" width="9.33203125" style="18" bestFit="1" customWidth="1"/>
    <col min="13" max="13" width="12.33203125" style="18" bestFit="1" customWidth="1"/>
    <col min="14" max="14" width="12.6640625" style="12" bestFit="1" customWidth="1"/>
    <col min="15" max="15" width="19.5546875" style="23" customWidth="1"/>
    <col min="16" max="16" width="29.5546875" style="18" bestFit="1" customWidth="1"/>
    <col min="17" max="19" width="12.33203125" style="18" customWidth="1"/>
    <col min="20" max="20" width="19.33203125" style="12" customWidth="1"/>
    <col min="21" max="21" width="23.88671875" style="12" customWidth="1"/>
    <col min="24" max="16384" width="9.109375" style="12"/>
  </cols>
  <sheetData>
    <row r="1" spans="1:23" s="6" customFormat="1" ht="27.6" x14ac:dyDescent="0.3">
      <c r="A1" s="7" t="s">
        <v>4</v>
      </c>
      <c r="B1" s="7" t="s">
        <v>5</v>
      </c>
      <c r="C1" s="15" t="s">
        <v>1342</v>
      </c>
      <c r="D1" s="15" t="s">
        <v>1343</v>
      </c>
      <c r="E1" s="15" t="s">
        <v>1344</v>
      </c>
      <c r="F1" s="15" t="s">
        <v>1345</v>
      </c>
      <c r="G1" s="29" t="s">
        <v>6</v>
      </c>
      <c r="H1" s="29" t="s">
        <v>7</v>
      </c>
      <c r="I1" s="29" t="s">
        <v>8</v>
      </c>
      <c r="J1" s="30" t="s">
        <v>9</v>
      </c>
      <c r="K1" s="31" t="s">
        <v>10</v>
      </c>
      <c r="L1" s="31" t="s">
        <v>11</v>
      </c>
      <c r="M1" s="29" t="s">
        <v>12</v>
      </c>
      <c r="N1" s="32" t="s">
        <v>13</v>
      </c>
      <c r="O1" s="30" t="s">
        <v>14</v>
      </c>
      <c r="P1" s="32" t="s">
        <v>15</v>
      </c>
      <c r="Q1" s="33" t="s">
        <v>16</v>
      </c>
      <c r="R1" s="31" t="s">
        <v>17</v>
      </c>
      <c r="S1" s="31" t="s">
        <v>18</v>
      </c>
      <c r="T1" s="29" t="s">
        <v>19</v>
      </c>
      <c r="U1" s="29" t="s">
        <v>20</v>
      </c>
      <c r="V1" s="7" t="s">
        <v>1346</v>
      </c>
    </row>
    <row r="2" spans="1:23" s="8" customFormat="1" ht="15.75" customHeight="1" x14ac:dyDescent="0.4">
      <c r="A2" s="8" t="str">
        <f>CONCATENATE(Tabela5[[#This Row],[POLO]],Tabela5[[#This Row],[CURSOS]])</f>
        <v>Porto Alegre/RS - Centro HistóricoEMF-ISN</v>
      </c>
      <c r="B2" s="8" t="e">
        <f>CONCATENATE(Tabela5[[#This Row],[POLO]],Tabela5[[#This Row],[CATEGORIA]],_xlfn.XLOOKUP(Tabela5[[#This Row],[CHAVE LOTAÇÃO CLASSIFICAÇÃO DE CURSOS]],CHAVE!A:A,CHAVE!D:D))</f>
        <v>#N/A</v>
      </c>
      <c r="C2" s="19"/>
      <c r="D2" s="16">
        <f>IFERROR(_xlfn.XLOOKUP(Tabela5[[#This Row],[NOME DO TUTOR]],TUT.CONTROL!C:C,TUT.CONTROL!V:V),_xlfn.XLOOKUP(Tabela5[[#This Row],[NOME DO TUTOR]],'REG.CONTROL'!C:C,'REG.CONTROL'!V:V))</f>
        <v>45754</v>
      </c>
      <c r="E2" s="17" t="s">
        <v>1347</v>
      </c>
      <c r="F2" s="18" t="s">
        <v>1348</v>
      </c>
      <c r="G2" s="8" t="s">
        <v>21</v>
      </c>
      <c r="H2" s="8" t="s">
        <v>22</v>
      </c>
      <c r="I2" s="8" t="s">
        <v>632</v>
      </c>
      <c r="J2" s="9" t="s">
        <v>633</v>
      </c>
      <c r="K2" s="10" t="s">
        <v>1349</v>
      </c>
      <c r="L2" s="17">
        <v>45721</v>
      </c>
      <c r="M2" s="19">
        <v>51996556926</v>
      </c>
      <c r="N2" s="11">
        <v>1158000530</v>
      </c>
      <c r="O2" s="11" t="s">
        <v>634</v>
      </c>
      <c r="P2" s="22" t="s">
        <v>1350</v>
      </c>
      <c r="Q2" s="19" t="s">
        <v>1351</v>
      </c>
      <c r="R2" s="10">
        <v>45754</v>
      </c>
      <c r="S2" s="19" t="s">
        <v>43</v>
      </c>
      <c r="T2" s="19"/>
      <c r="V2" s="8">
        <f ca="1">AVERAGE(Tabela5[PERMANENCIA (MÊS)])/30</f>
        <v>0</v>
      </c>
    </row>
    <row r="3" spans="1:23" ht="15.75" customHeight="1" x14ac:dyDescent="0.4">
      <c r="A3" s="8" t="str">
        <f>CONCATENATE(Tabela5[[#This Row],[POLO]],Tabela5[[#This Row],[CURSOS]])</f>
        <v>Porto Alegre/RS - Zona NorteEMF-ISN</v>
      </c>
      <c r="B3" s="8" t="e">
        <f>CONCATENATE(Tabela5[[#This Row],[POLO]],Tabela5[[#This Row],[CATEGORIA]],_xlfn.XLOOKUP(Tabela5[[#This Row],[CHAVE LOTAÇÃO CLASSIFICAÇÃO DE CURSOS]],CHAVE!A:A,CHAVE!D:D))</f>
        <v>#N/A</v>
      </c>
      <c r="C3" s="19"/>
      <c r="D3" s="16">
        <f>IFERROR(_xlfn.XLOOKUP(Tabela5[[#This Row],[NOME DO TUTOR]],TUT.CONTROL!C:C,TUT.CONTROL!V:V),_xlfn.XLOOKUP(Tabela5[[#This Row],[NOME DO TUTOR]],'REG.CONTROL'!C:C,'REG.CONTROL'!V:V))</f>
        <v>45754</v>
      </c>
      <c r="E3" s="17" t="s">
        <v>1347</v>
      </c>
      <c r="F3" s="18" t="s">
        <v>1348</v>
      </c>
      <c r="G3" s="8" t="s">
        <v>21</v>
      </c>
      <c r="H3" s="8" t="s">
        <v>22</v>
      </c>
      <c r="I3" s="8" t="s">
        <v>640</v>
      </c>
      <c r="J3" s="9" t="s">
        <v>641</v>
      </c>
      <c r="K3" s="10" t="s">
        <v>1349</v>
      </c>
      <c r="L3" s="17">
        <v>45721</v>
      </c>
      <c r="M3" s="19">
        <v>51999173394</v>
      </c>
      <c r="N3" s="11">
        <v>1158000537</v>
      </c>
      <c r="O3" s="11" t="s">
        <v>642</v>
      </c>
      <c r="P3" s="22" t="s">
        <v>1350</v>
      </c>
      <c r="Q3" s="19" t="s">
        <v>1351</v>
      </c>
      <c r="R3" s="10">
        <v>45754</v>
      </c>
      <c r="S3" s="19" t="s">
        <v>43</v>
      </c>
      <c r="T3" s="19"/>
      <c r="U3" s="8"/>
      <c r="V3" s="8">
        <f ca="1">AVERAGE(Tabela5[PERMANENCIA (MÊS)])/30</f>
        <v>0</v>
      </c>
      <c r="W3" s="12"/>
    </row>
    <row r="4" spans="1:23" ht="15.75" customHeight="1" x14ac:dyDescent="0.4">
      <c r="A4" s="8" t="str">
        <f>CONCATENATE(Tabela5[[#This Row],[POLO]],Tabela5[[#This Row],[CURSOS]])</f>
        <v>Ipatinga/MGEMF-ISN</v>
      </c>
      <c r="B4" s="8" t="e">
        <f>CONCATENATE(Tabela5[[#This Row],[POLO]],Tabela5[[#This Row],[CATEGORIA]],_xlfn.XLOOKUP(Tabela5[[#This Row],[CHAVE LOTAÇÃO CLASSIFICAÇÃO DE CURSOS]],CHAVE!A:A,CHAVE!D:D))</f>
        <v>#N/A</v>
      </c>
      <c r="C4" s="19" t="s">
        <v>1352</v>
      </c>
      <c r="D4" s="16">
        <f>IFERROR(_xlfn.XLOOKUP(Tabela5[[#This Row],[NOME DO TUTOR]],TUT.CONTROL!C:C,TUT.CONTROL!V:V),_xlfn.XLOOKUP(Tabela5[[#This Row],[NOME DO TUTOR]],'REG.CONTROL'!C:C,'REG.CONTROL'!V:V))</f>
        <v>45796</v>
      </c>
      <c r="E4" s="17" t="s">
        <v>1347</v>
      </c>
      <c r="F4" s="18" t="s">
        <v>1348</v>
      </c>
      <c r="G4" s="8" t="s">
        <v>21</v>
      </c>
      <c r="H4" s="8" t="s">
        <v>22</v>
      </c>
      <c r="I4" s="8" t="s">
        <v>344</v>
      </c>
      <c r="J4" s="9" t="s">
        <v>345</v>
      </c>
      <c r="K4" s="10" t="s">
        <v>1349</v>
      </c>
      <c r="L4" s="17">
        <v>45735</v>
      </c>
      <c r="M4" s="19">
        <v>31996003851</v>
      </c>
      <c r="N4" s="22">
        <v>1158000580</v>
      </c>
      <c r="O4" s="10" t="s">
        <v>346</v>
      </c>
      <c r="P4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4" s="19" t="s">
        <v>1353</v>
      </c>
      <c r="R4" s="10">
        <f>IF(Tabela5[[#This Row],[SITUAÇÃO]]="Demitido",_xlfn.XLOOKUP(Tabela5[[#This Row],[CHAPA]],'Base de Tutores'!L:L,'Base de Tutores'!P:P),"")</f>
        <v>45796</v>
      </c>
      <c r="S4" s="19"/>
      <c r="T4" s="19"/>
      <c r="U4" s="8"/>
      <c r="V4" s="45">
        <f ca="1">AVERAGE(Tabela5[PERMANENCIA (MÊS)])/30</f>
        <v>0</v>
      </c>
      <c r="W4" s="12"/>
    </row>
    <row r="5" spans="1:23" ht="15.75" customHeight="1" x14ac:dyDescent="0.4">
      <c r="A5" s="8" t="str">
        <f>CONCATENATE(Tabela5[[#This Row],[POLO]],Tabela5[[#This Row],[CURSOS]])</f>
        <v>Sena Madureira/ACEMF-ISN</v>
      </c>
      <c r="B5" s="8" t="e">
        <f>CONCATENATE(Tabela5[[#This Row],[POLO]],Tabela5[[#This Row],[CATEGORIA]],_xlfn.XLOOKUP(Tabela5[[#This Row],[CHAVE LOTAÇÃO CLASSIFICAÇÃO DE CURSOS]],CHAVE!A:A,CHAVE!D:D))</f>
        <v>#N/A</v>
      </c>
      <c r="C5" s="19" t="s">
        <v>1352</v>
      </c>
      <c r="D5" s="16">
        <f>IFERROR(_xlfn.XLOOKUP(Tabela5[[#This Row],[NOME DO TUTOR]],TUT.CONTROL!C:C,TUT.CONTROL!V:V),_xlfn.XLOOKUP(Tabela5[[#This Row],[NOME DO TUTOR]],'REG.CONTROL'!C:C,'REG.CONTROL'!V:V))</f>
        <v>45806</v>
      </c>
      <c r="E5" s="17" t="s">
        <v>1347</v>
      </c>
      <c r="F5" s="18" t="s">
        <v>1348</v>
      </c>
      <c r="G5" s="8" t="s">
        <v>21</v>
      </c>
      <c r="H5" s="8" t="s">
        <v>22</v>
      </c>
      <c r="I5" s="8" t="s">
        <v>1133</v>
      </c>
      <c r="J5" s="9" t="s">
        <v>1134</v>
      </c>
      <c r="K5" s="10" t="s">
        <v>1349</v>
      </c>
      <c r="L5" s="17">
        <v>45754</v>
      </c>
      <c r="M5" s="19">
        <v>68992273623</v>
      </c>
      <c r="N5" s="22">
        <v>1158000685</v>
      </c>
      <c r="O5" s="10" t="s">
        <v>1135</v>
      </c>
      <c r="P5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5" s="19" t="s">
        <v>1354</v>
      </c>
      <c r="R5" s="10">
        <f>IF(Tabela5[[#This Row],[SITUAÇÃO]]="Demitido",_xlfn.XLOOKUP(Tabela5[[#This Row],[CHAPA]],'Base de Tutores'!L:L,'Base de Tutores'!P:P),"")</f>
        <v>45806</v>
      </c>
      <c r="S5" s="19"/>
      <c r="T5" s="19"/>
      <c r="U5" s="8"/>
      <c r="V5" s="45">
        <f ca="1">AVERAGE(Tabela5[PERMANENCIA (MÊS)])/30</f>
        <v>0</v>
      </c>
      <c r="W5" s="12"/>
    </row>
    <row r="6" spans="1:23" ht="15.75" customHeight="1" x14ac:dyDescent="0.4">
      <c r="A6" s="8" t="str">
        <f>CONCATENATE(Tabela5[[#This Row],[POLO]],Tabela5[[#This Row],[CURSOS]])</f>
        <v>Curitiba/PR - BoqueirãoECE-ENM-ENS-ENG-EEA-GPI-CDE-OBR-SAN-TER-FSA-SLF-QUI</v>
      </c>
      <c r="B6" s="8" t="e">
        <f>CONCATENATE(Tabela5[[#This Row],[POLO]],Tabela5[[#This Row],[CATEGORIA]],_xlfn.XLOOKUP(Tabela5[[#This Row],[CHAVE LOTAÇÃO CLASSIFICAÇÃO DE CURSOS]],CHAVE!A:A,CHAVE!D:D))</f>
        <v>#N/A</v>
      </c>
      <c r="C6" s="19" t="s">
        <v>1352</v>
      </c>
      <c r="D6" s="16">
        <f>IFERROR(_xlfn.XLOOKUP(Tabela5[[#This Row],[NOME DO TUTOR]],TUT.CONTROL!C:C,TUT.CONTROL!V:V),_xlfn.XLOOKUP(Tabela5[[#This Row],[NOME DO TUTOR]],'REG.CONTROL'!C:C,'REG.CONTROL'!V:V))</f>
        <v>45818</v>
      </c>
      <c r="E6" s="17" t="s">
        <v>1347</v>
      </c>
      <c r="F6" s="18" t="s">
        <v>1348</v>
      </c>
      <c r="G6" s="8" t="s">
        <v>125</v>
      </c>
      <c r="H6" s="8" t="s">
        <v>126</v>
      </c>
      <c r="I6" s="8" t="s">
        <v>256</v>
      </c>
      <c r="J6" s="9" t="s">
        <v>565</v>
      </c>
      <c r="K6" s="10" t="s">
        <v>1349</v>
      </c>
      <c r="L6" s="17">
        <v>45763</v>
      </c>
      <c r="M6" s="19" t="s">
        <v>1355</v>
      </c>
      <c r="N6" s="22">
        <v>1158000593</v>
      </c>
      <c r="O6" s="10" t="s">
        <v>567</v>
      </c>
      <c r="P6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6" s="19" t="s">
        <v>1353</v>
      </c>
      <c r="R6" s="10">
        <f>IF(Tabela5[[#This Row],[SITUAÇÃO]]="Demitido",_xlfn.XLOOKUP(Tabela5[[#This Row],[CHAPA]],'Base de Tutores'!L:L,'Base de Tutores'!P:P),"")</f>
        <v>45818</v>
      </c>
      <c r="S6" s="19"/>
      <c r="T6" s="19"/>
      <c r="U6" s="8"/>
      <c r="V6" s="45">
        <f ca="1">AVERAGE(Tabela5[PERMANENCIA (MÊS)])/30</f>
        <v>0</v>
      </c>
      <c r="W6" s="12"/>
    </row>
    <row r="7" spans="1:23" ht="15.75" customHeight="1" x14ac:dyDescent="0.4">
      <c r="A7" s="8" t="str">
        <f>CONCATENATE(Tabela5[[#This Row],[POLO]],Tabela5[[#This Row],[CURSOS]])</f>
        <v>Cuiabá/MT - PoçãoEMF-ISN</v>
      </c>
      <c r="B7" s="8" t="e">
        <f>CONCATENATE(Tabela5[[#This Row],[POLO]],Tabela5[[#This Row],[CATEGORIA]],_xlfn.XLOOKUP(Tabela5[[#This Row],[CHAVE LOTAÇÃO CLASSIFICAÇÃO DE CURSOS]],CHAVE!A:A,CHAVE!D:D))</f>
        <v>#N/A</v>
      </c>
      <c r="C7" s="19"/>
      <c r="D7" s="16">
        <f>IFERROR(_xlfn.XLOOKUP(Tabela5[[#This Row],[NOME DO TUTOR]],TUT.CONTROL!C:C,TUT.CONTROL!V:V),_xlfn.XLOOKUP(Tabela5[[#This Row],[NOME DO TUTOR]],'REG.CONTROL'!C:C,'REG.CONTROL'!V:V))</f>
        <v>45820</v>
      </c>
      <c r="E7" s="17" t="s">
        <v>1347</v>
      </c>
      <c r="F7" s="18" t="s">
        <v>1348</v>
      </c>
      <c r="G7" s="8" t="s">
        <v>21</v>
      </c>
      <c r="H7" s="8" t="s">
        <v>22</v>
      </c>
      <c r="I7" s="8" t="s">
        <v>251</v>
      </c>
      <c r="J7" s="9" t="s">
        <v>252</v>
      </c>
      <c r="K7" s="10" t="s">
        <v>1349</v>
      </c>
      <c r="L7" s="17">
        <v>45735</v>
      </c>
      <c r="M7" s="19">
        <v>66996342798</v>
      </c>
      <c r="N7" s="11">
        <v>1158000587</v>
      </c>
      <c r="O7" s="11" t="s">
        <v>253</v>
      </c>
      <c r="P7" s="22" t="s">
        <v>1350</v>
      </c>
      <c r="Q7" s="19" t="s">
        <v>1356</v>
      </c>
      <c r="R7" s="10">
        <v>45820</v>
      </c>
      <c r="S7" s="19" t="s">
        <v>43</v>
      </c>
      <c r="T7" s="19"/>
      <c r="U7" s="8"/>
      <c r="V7" s="8">
        <f ca="1">AVERAGE(Tabela5[PERMANENCIA (MÊS)])/30</f>
        <v>0</v>
      </c>
      <c r="W7" s="12"/>
    </row>
    <row r="8" spans="1:23" ht="15.75" customHeight="1" x14ac:dyDescent="0.4">
      <c r="A8" s="8" t="str">
        <f>CONCATENATE(Tabela5[[#This Row],[POLO]],Tabela5[[#This Row],[CURSOS]])</f>
        <v>Novo Hamburgo/RS - CentroECE-ENM-ENS-ENG-EEA-GPI-CDE-OBR-SAN-TER-FSA-SLF-QUI</v>
      </c>
      <c r="B8" s="8" t="e">
        <f>CONCATENATE(Tabela5[[#This Row],[POLO]],Tabela5[[#This Row],[CATEGORIA]],_xlfn.XLOOKUP(Tabela5[[#This Row],[CHAVE LOTAÇÃO CLASSIFICAÇÃO DE CURSOS]],CHAVE!A:A,CHAVE!D:D))</f>
        <v>#N/A</v>
      </c>
      <c r="C8" s="19" t="s">
        <v>1357</v>
      </c>
      <c r="D8" s="16">
        <f>IFERROR(_xlfn.XLOOKUP(Tabela5[[#This Row],[NOME DO TUTOR]],TUT.CONTROL!C:C,TUT.CONTROL!V:V),_xlfn.XLOOKUP(Tabela5[[#This Row],[NOME DO TUTOR]],'REG.CONTROL'!C:C,'REG.CONTROL'!V:V))</f>
        <v>45826</v>
      </c>
      <c r="E8" s="17" t="s">
        <v>1347</v>
      </c>
      <c r="F8" s="18" t="s">
        <v>1348</v>
      </c>
      <c r="G8" s="8" t="s">
        <v>125</v>
      </c>
      <c r="H8" s="8" t="s">
        <v>126</v>
      </c>
      <c r="I8" s="8" t="s">
        <v>520</v>
      </c>
      <c r="J8" s="9" t="s">
        <v>528</v>
      </c>
      <c r="K8" s="10" t="s">
        <v>1349</v>
      </c>
      <c r="L8" s="17">
        <v>45756</v>
      </c>
      <c r="M8" s="19" t="s">
        <v>1358</v>
      </c>
      <c r="N8" s="22">
        <v>1158000704</v>
      </c>
      <c r="O8" s="10" t="s">
        <v>530</v>
      </c>
      <c r="P8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8" s="19" t="s">
        <v>1353</v>
      </c>
      <c r="R8" s="10">
        <f>IF(Tabela5[[#This Row],[SITUAÇÃO]]="Demitido",_xlfn.XLOOKUP(Tabela5[[#This Row],[CHAPA]],'Base de Tutores'!L:L,'Base de Tutores'!P:P),"")</f>
        <v>45826</v>
      </c>
      <c r="S8" s="19"/>
      <c r="T8" s="19"/>
      <c r="U8" s="8"/>
      <c r="V8" s="45">
        <f ca="1">AVERAGE(Tabela5[PERMANENCIA (MÊS)])/30</f>
        <v>0</v>
      </c>
      <c r="W8" s="12"/>
    </row>
    <row r="9" spans="1:23" ht="15.75" customHeight="1" x14ac:dyDescent="0.4">
      <c r="A9" s="8" t="str">
        <f>CONCATENATE(Tabela5[[#This Row],[POLO]],Tabela5[[#This Row],[CURSOS]])</f>
        <v>Baturité/CEEMF-ISN</v>
      </c>
      <c r="B9" s="8" t="e">
        <f>CONCATENATE(Tabela5[[#This Row],[POLO]],Tabela5[[#This Row],[CATEGORIA]],_xlfn.XLOOKUP(Tabela5[[#This Row],[CHAVE LOTAÇÃO CLASSIFICAÇÃO DE CURSOS]],CHAVE!A:A,CHAVE!D:D))</f>
        <v>#N/A</v>
      </c>
      <c r="C9" s="19" t="s">
        <v>1359</v>
      </c>
      <c r="D9" s="16">
        <v>45841</v>
      </c>
      <c r="E9" s="17" t="s">
        <v>1347</v>
      </c>
      <c r="F9" s="18" t="s">
        <v>1348</v>
      </c>
      <c r="G9" s="8" t="s">
        <v>21</v>
      </c>
      <c r="H9" s="8" t="s">
        <v>22</v>
      </c>
      <c r="I9" s="8" t="s">
        <v>87</v>
      </c>
      <c r="J9" s="9" t="s">
        <v>88</v>
      </c>
      <c r="K9" s="10" t="s">
        <v>1349</v>
      </c>
      <c r="L9" s="17">
        <v>45048</v>
      </c>
      <c r="M9" s="19">
        <v>85996297339</v>
      </c>
      <c r="N9" s="11">
        <v>1004011951</v>
      </c>
      <c r="O9" s="11" t="s">
        <v>90</v>
      </c>
      <c r="P9" s="22" t="s">
        <v>1360</v>
      </c>
      <c r="Q9" s="19" t="s">
        <v>1349</v>
      </c>
      <c r="R9" s="10">
        <v>45841</v>
      </c>
      <c r="S9" s="19"/>
      <c r="T9" s="19"/>
      <c r="U9" s="8"/>
      <c r="V9" s="45">
        <f ca="1">AVERAGE(Tabela5[PERMANENCIA (MÊS)])/30</f>
        <v>0</v>
      </c>
      <c r="W9" s="12"/>
    </row>
    <row r="10" spans="1:23" ht="15.75" customHeight="1" x14ac:dyDescent="0.4">
      <c r="A10" s="8" t="str">
        <f>CONCATENATE(Tabela5[[#This Row],[POLO]],Tabela5[[#This Row],[CURSOS]])</f>
        <v>Santa Cruz do Sul/RSEMF-ISN</v>
      </c>
      <c r="B10" s="8" t="e">
        <f>CONCATENATE(Tabela5[[#This Row],[POLO]],Tabela5[[#This Row],[CATEGORIA]],_xlfn.XLOOKUP(Tabela5[[#This Row],[CHAVE LOTAÇÃO CLASSIFICAÇÃO DE CURSOS]],CHAVE!A:A,CHAVE!D:D))</f>
        <v>#N/A</v>
      </c>
      <c r="C10" s="19"/>
      <c r="D10" s="16">
        <f>IFERROR(_xlfn.XLOOKUP(Tabela5[[#This Row],[NOME DO TUTOR]],TUT.CONTROL!C:C,TUT.CONTROL!V:V),_xlfn.XLOOKUP(Tabela5[[#This Row],[NOME DO TUTOR]],'REG.CONTROL'!C:C,'REG.CONTROL'!V:V))</f>
        <v>45841</v>
      </c>
      <c r="E10" s="17" t="s">
        <v>1347</v>
      </c>
      <c r="F10" s="18" t="s">
        <v>1348</v>
      </c>
      <c r="G10" s="8" t="s">
        <v>21</v>
      </c>
      <c r="H10" s="8" t="s">
        <v>22</v>
      </c>
      <c r="I10" s="8" t="s">
        <v>871</v>
      </c>
      <c r="J10" s="9" t="s">
        <v>872</v>
      </c>
      <c r="K10" s="10" t="s">
        <v>1349</v>
      </c>
      <c r="L10" s="17">
        <v>45782</v>
      </c>
      <c r="M10" s="19">
        <v>5198661006</v>
      </c>
      <c r="N10" s="11">
        <v>1158000610</v>
      </c>
      <c r="O10" s="11" t="s">
        <v>873</v>
      </c>
      <c r="P10" s="22" t="s">
        <v>1350</v>
      </c>
      <c r="Q10" s="19" t="s">
        <v>1361</v>
      </c>
      <c r="R10" s="10">
        <v>45841</v>
      </c>
      <c r="S10" s="19" t="s">
        <v>43</v>
      </c>
      <c r="T10" s="19"/>
      <c r="U10" s="8"/>
      <c r="V10" s="8">
        <f ca="1">AVERAGE(Tabela5[PERMANENCIA (MÊS)])/30</f>
        <v>0</v>
      </c>
      <c r="W10" s="12"/>
    </row>
    <row r="11" spans="1:23" ht="15.75" customHeight="1" x14ac:dyDescent="0.4">
      <c r="A11" s="8" t="str">
        <f>CONCATENATE(Tabela5[[#This Row],[POLO]],Tabela5[[#This Row],[CURSOS]])</f>
        <v>Chapecó/SC - CentroEMF-ISN</v>
      </c>
      <c r="B11" s="8" t="e">
        <f>CONCATENATE(Tabela5[[#This Row],[POLO]],Tabela5[[#This Row],[CATEGORIA]],_xlfn.XLOOKUP(Tabela5[[#This Row],[CHAVE LOTAÇÃO CLASSIFICAÇÃO DE CURSOS]],CHAVE!A:A,CHAVE!D:D))</f>
        <v>#N/A</v>
      </c>
      <c r="C11" s="19"/>
      <c r="D11" s="16">
        <f>IFERROR(_xlfn.XLOOKUP(Tabela5[[#This Row],[NOME DO TUTOR]],TUT.CONTROL!C:C,TUT.CONTROL!V:V),_xlfn.XLOOKUP(Tabela5[[#This Row],[NOME DO TUTOR]],'REG.CONTROL'!C:C,'REG.CONTROL'!V:V))</f>
        <v>45842</v>
      </c>
      <c r="E11" s="17" t="s">
        <v>1347</v>
      </c>
      <c r="F11" s="18" t="s">
        <v>1348</v>
      </c>
      <c r="G11" s="8" t="s">
        <v>21</v>
      </c>
      <c r="H11" s="8" t="s">
        <v>22</v>
      </c>
      <c r="I11" s="8" t="s">
        <v>220</v>
      </c>
      <c r="J11" s="9" t="s">
        <v>223</v>
      </c>
      <c r="K11" s="10" t="s">
        <v>1349</v>
      </c>
      <c r="L11" s="17">
        <v>45810</v>
      </c>
      <c r="M11" s="19">
        <v>49999714970</v>
      </c>
      <c r="N11" s="11">
        <v>1158000724</v>
      </c>
      <c r="O11" s="11" t="s">
        <v>224</v>
      </c>
      <c r="P11" s="22" t="s">
        <v>1350</v>
      </c>
      <c r="Q11" s="19" t="s">
        <v>1353</v>
      </c>
      <c r="R11" s="10">
        <v>45842</v>
      </c>
      <c r="S11" s="19" t="s">
        <v>43</v>
      </c>
      <c r="T11" s="19"/>
      <c r="U11" s="8"/>
      <c r="V11" s="8">
        <f ca="1">AVERAGE(Tabela5[PERMANENCIA (MÊS)])/30</f>
        <v>0</v>
      </c>
      <c r="W11" s="12"/>
    </row>
    <row r="12" spans="1:23" ht="15.75" customHeight="1" x14ac:dyDescent="0.4">
      <c r="A12" s="8" t="str">
        <f>CONCATENATE(Tabela5[[#This Row],[POLO]],Tabela5[[#This Row],[CURSOS]])</f>
        <v>Porto Alegre/RS - PhenixECE-ENM-ENS-ENG-EEA-GPI-CDE-OBR-SAN-TER-FSA-SLF-QUI</v>
      </c>
      <c r="B12" s="8" t="e">
        <f>CONCATENATE(Tabela5[[#This Row],[POLO]],Tabela5[[#This Row],[CATEGORIA]],_xlfn.XLOOKUP(Tabela5[[#This Row],[CHAVE LOTAÇÃO CLASSIFICAÇÃO DE CURSOS]],CHAVE!A:A,CHAVE!D:D))</f>
        <v>#N/A</v>
      </c>
      <c r="C12" s="19" t="s">
        <v>1357</v>
      </c>
      <c r="D12" s="16">
        <f>IFERROR(_xlfn.XLOOKUP(Tabela5[[#This Row],[NOME DO TUTOR]],TUT.CONTROL!C:C,TUT.CONTROL!V:V),_xlfn.XLOOKUP(Tabela5[[#This Row],[NOME DO TUTOR]],'REG.CONTROL'!C:C,'REG.CONTROL'!V:V))</f>
        <v>45845</v>
      </c>
      <c r="E12" s="17" t="s">
        <v>1347</v>
      </c>
      <c r="F12" s="18" t="s">
        <v>1348</v>
      </c>
      <c r="G12" s="8" t="s">
        <v>125</v>
      </c>
      <c r="H12" s="8" t="s">
        <v>126</v>
      </c>
      <c r="I12" s="8" t="s">
        <v>531</v>
      </c>
      <c r="J12" s="9" t="s">
        <v>532</v>
      </c>
      <c r="K12" s="10" t="s">
        <v>1349</v>
      </c>
      <c r="L12" s="17">
        <v>45756</v>
      </c>
      <c r="M12" s="19" t="s">
        <v>533</v>
      </c>
      <c r="N12" s="22">
        <v>1158000701</v>
      </c>
      <c r="O12" s="10" t="s">
        <v>534</v>
      </c>
      <c r="P12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2" s="19" t="s">
        <v>1356</v>
      </c>
      <c r="R12" s="10">
        <f>IF(Tabela5[[#This Row],[SITUAÇÃO]]="Demitido",_xlfn.XLOOKUP(Tabela5[[#This Row],[CHAPA]],'Base de Tutores'!L:L,'Base de Tutores'!P:P),"")</f>
        <v>45845</v>
      </c>
      <c r="S12" s="19"/>
      <c r="T12" s="19"/>
      <c r="U12" s="8"/>
      <c r="V12" s="45">
        <f ca="1">AVERAGE(Tabela5[PERMANENCIA (MÊS)])/30</f>
        <v>0</v>
      </c>
      <c r="W12" s="12"/>
    </row>
    <row r="13" spans="1:23" ht="15.75" customHeight="1" x14ac:dyDescent="0.4">
      <c r="A13" s="8" t="str">
        <f>CONCATENATE(Tabela5[[#This Row],[POLO]],Tabela5[[#This Row],[CURSOS]])</f>
        <v>Rio do Sul/SCEMF-ISN</v>
      </c>
      <c r="B13" s="8" t="e">
        <f>CONCATENATE(Tabela5[[#This Row],[POLO]],Tabela5[[#This Row],[CATEGORIA]],_xlfn.XLOOKUP(Tabela5[[#This Row],[CHAVE LOTAÇÃO CLASSIFICAÇÃO DE CURSOS]],CHAVE!A:A,CHAVE!D:D))</f>
        <v>#N/A</v>
      </c>
      <c r="C13" s="19"/>
      <c r="D13" s="16">
        <f>IFERROR(_xlfn.XLOOKUP(Tabela5[[#This Row],[NOME DO TUTOR]],TUT.CONTROL!C:C,TUT.CONTROL!V:V),_xlfn.XLOOKUP(Tabela5[[#This Row],[NOME DO TUTOR]],'REG.CONTROL'!C:C,'REG.CONTROL'!V:V))</f>
        <v>45849</v>
      </c>
      <c r="E13" s="17" t="s">
        <v>1347</v>
      </c>
      <c r="F13" s="18" t="s">
        <v>1348</v>
      </c>
      <c r="G13" s="8" t="s">
        <v>21</v>
      </c>
      <c r="H13" s="8" t="s">
        <v>22</v>
      </c>
      <c r="I13" s="8" t="s">
        <v>710</v>
      </c>
      <c r="J13" s="9" t="s">
        <v>711</v>
      </c>
      <c r="K13" s="10" t="s">
        <v>1349</v>
      </c>
      <c r="L13" s="17">
        <v>45728</v>
      </c>
      <c r="M13" s="19">
        <v>47988709318</v>
      </c>
      <c r="N13" s="11">
        <v>1158000548</v>
      </c>
      <c r="O13" s="11" t="s">
        <v>712</v>
      </c>
      <c r="P13" s="22" t="s">
        <v>1350</v>
      </c>
      <c r="Q13" s="19" t="s">
        <v>1353</v>
      </c>
      <c r="R13" s="10">
        <v>45849</v>
      </c>
      <c r="S13" s="19" t="s">
        <v>43</v>
      </c>
      <c r="T13" s="19"/>
      <c r="U13" s="8"/>
      <c r="V13" s="8">
        <f ca="1">AVERAGE(Tabela5[PERMANENCIA (MÊS)])/30</f>
        <v>0</v>
      </c>
      <c r="W13" s="12"/>
    </row>
    <row r="14" spans="1:23" ht="15.75" customHeight="1" x14ac:dyDescent="0.4">
      <c r="A14" s="8" t="str">
        <f>CONCATENATE(Tabela5[[#This Row],[POLO]],Tabela5[[#This Row],[CURSOS]])</f>
        <v>Porto Alegre/RS - PhenixECE-ENM-ENS-ENG-EEA-GPI-CDE-OBR-SAN-TER-FSA-SLF-QUI</v>
      </c>
      <c r="B14" s="8" t="e">
        <f>CONCATENATE(Tabela5[[#This Row],[POLO]],Tabela5[[#This Row],[CATEGORIA]],_xlfn.XLOOKUP(Tabela5[[#This Row],[CHAVE LOTAÇÃO CLASSIFICAÇÃO DE CURSOS]],CHAVE!A:A,CHAVE!D:D))</f>
        <v>#N/A</v>
      </c>
      <c r="C14" s="19"/>
      <c r="D14" s="16">
        <f>IFERROR(_xlfn.XLOOKUP(Tabela5[[#This Row],[NOME DO TUTOR]],TUT.CONTROL!C:C,TUT.CONTROL!V:V),_xlfn.XLOOKUP(Tabela5[[#This Row],[NOME DO TUTOR]],'REG.CONTROL'!C:C,'REG.CONTROL'!V:V))</f>
        <v>45854</v>
      </c>
      <c r="E14" s="17" t="s">
        <v>1347</v>
      </c>
      <c r="F14" s="18" t="s">
        <v>1348</v>
      </c>
      <c r="G14" s="8" t="s">
        <v>125</v>
      </c>
      <c r="H14" s="8" t="s">
        <v>126</v>
      </c>
      <c r="I14" s="8" t="s">
        <v>531</v>
      </c>
      <c r="J14" s="9" t="s">
        <v>667</v>
      </c>
      <c r="K14" s="10" t="s">
        <v>1349</v>
      </c>
      <c r="L14" s="17">
        <v>45810</v>
      </c>
      <c r="M14" s="19">
        <v>51981460996</v>
      </c>
      <c r="N14" s="11">
        <v>1158000730</v>
      </c>
      <c r="O14" s="11" t="s">
        <v>668</v>
      </c>
      <c r="P14" s="22" t="s">
        <v>1350</v>
      </c>
      <c r="Q14" s="19" t="s">
        <v>1354</v>
      </c>
      <c r="R14" s="10">
        <v>45854</v>
      </c>
      <c r="S14" s="19" t="s">
        <v>43</v>
      </c>
      <c r="T14" s="19" t="s">
        <v>43</v>
      </c>
      <c r="U14" s="8"/>
      <c r="V14" s="8">
        <f ca="1">AVERAGE(Tabela5[PERMANENCIA (MÊS)])/30</f>
        <v>0</v>
      </c>
      <c r="W14" s="12"/>
    </row>
    <row r="15" spans="1:23" ht="15.75" customHeight="1" x14ac:dyDescent="0.4">
      <c r="A15" s="8" t="str">
        <f>CONCATENATE(Tabela5[[#This Row],[POLO]],Tabela5[[#This Row],[CURSOS]])</f>
        <v>Marabá/PA - Cidade NovaEMF-ISN</v>
      </c>
      <c r="B15" s="8" t="e">
        <f>CONCATENATE(Tabela5[[#This Row],[POLO]],Tabela5[[#This Row],[CATEGORIA]],_xlfn.XLOOKUP(Tabela5[[#This Row],[CHAVE LOTAÇÃO CLASSIFICAÇÃO DE CURSOS]],CHAVE!A:A,CHAVE!D:D))</f>
        <v>#N/A</v>
      </c>
      <c r="C15" s="19"/>
      <c r="D15" s="16">
        <f>IFERROR(_xlfn.XLOOKUP(Tabela5[[#This Row],[NOME DO TUTOR]],TUT.CONTROL!C:C,TUT.CONTROL!V:V),_xlfn.XLOOKUP(Tabela5[[#This Row],[NOME DO TUTOR]],'REG.CONTROL'!C:C,'REG.CONTROL'!V:V))</f>
        <v>45855</v>
      </c>
      <c r="E15" s="17" t="s">
        <v>1347</v>
      </c>
      <c r="F15" s="18" t="s">
        <v>1348</v>
      </c>
      <c r="G15" s="8" t="s">
        <v>21</v>
      </c>
      <c r="H15" s="8" t="s">
        <v>22</v>
      </c>
      <c r="I15" s="8" t="s">
        <v>462</v>
      </c>
      <c r="J15" s="9" t="s">
        <v>463</v>
      </c>
      <c r="K15" s="10" t="s">
        <v>1349</v>
      </c>
      <c r="L15" s="17">
        <v>45735</v>
      </c>
      <c r="M15" s="19">
        <v>94981299553</v>
      </c>
      <c r="N15" s="11">
        <v>1158000584</v>
      </c>
      <c r="O15" s="11" t="s">
        <v>464</v>
      </c>
      <c r="P15" s="22" t="s">
        <v>1350</v>
      </c>
      <c r="Q15" s="19" t="s">
        <v>1353</v>
      </c>
      <c r="R15" s="10">
        <v>45855</v>
      </c>
      <c r="S15" s="19" t="s">
        <v>43</v>
      </c>
      <c r="T15" s="19"/>
      <c r="U15" s="8"/>
      <c r="V15" s="8">
        <f ca="1">AVERAGE(Tabela5[PERMANENCIA (MÊS)])/30</f>
        <v>0</v>
      </c>
      <c r="W15" s="12"/>
    </row>
    <row r="16" spans="1:23" ht="15.75" customHeight="1" x14ac:dyDescent="0.4">
      <c r="A16" s="8" t="str">
        <f>CONCATENATE(Tabela5[[#This Row],[POLO]],Tabela5[[#This Row],[CURSOS]])</f>
        <v>Patos de Minas/MGEMF-ISN</v>
      </c>
      <c r="B16" s="8" t="e">
        <f>CONCATENATE(Tabela5[[#This Row],[POLO]],Tabela5[[#This Row],[CATEGORIA]],_xlfn.XLOOKUP(Tabela5[[#This Row],[CHAVE LOTAÇÃO CLASSIFICAÇÃO DE CURSOS]],CHAVE!A:A,CHAVE!D:D))</f>
        <v>#N/A</v>
      </c>
      <c r="C16" s="19" t="s">
        <v>1352</v>
      </c>
      <c r="D16" s="16">
        <f>IFERROR(_xlfn.XLOOKUP(Tabela5[[#This Row],[NOME DO TUTOR]],TUT.CONTROL!C:C,TUT.CONTROL!V:V),_xlfn.XLOOKUP(Tabela5[[#This Row],[NOME DO TUTOR]],'REG.CONTROL'!C:C,'REG.CONTROL'!V:V))</f>
        <v>45860</v>
      </c>
      <c r="E16" s="17" t="s">
        <v>1347</v>
      </c>
      <c r="F16" s="18" t="s">
        <v>1348</v>
      </c>
      <c r="G16" s="8" t="s">
        <v>21</v>
      </c>
      <c r="H16" s="8" t="s">
        <v>22</v>
      </c>
      <c r="I16" s="8" t="s">
        <v>585</v>
      </c>
      <c r="J16" s="9" t="s">
        <v>586</v>
      </c>
      <c r="K16" s="10" t="s">
        <v>1349</v>
      </c>
      <c r="L16" s="17">
        <v>45770</v>
      </c>
      <c r="M16" s="19" t="s">
        <v>587</v>
      </c>
      <c r="N16" s="22">
        <v>1158000597</v>
      </c>
      <c r="O16" s="10" t="s">
        <v>588</v>
      </c>
      <c r="P16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6" s="19" t="s">
        <v>1353</v>
      </c>
      <c r="R16" s="10">
        <f>IF(Tabela5[[#This Row],[SITUAÇÃO]]="Demitido",_xlfn.XLOOKUP(Tabela5[[#This Row],[CHAPA]],'Base de Tutores'!L:L,'Base de Tutores'!P:P),"")</f>
        <v>45860</v>
      </c>
      <c r="S16" s="19"/>
      <c r="T16" s="19"/>
      <c r="U16" s="8"/>
      <c r="V16" s="45">
        <f ca="1">AVERAGE(Tabela5[PERMANENCIA (MÊS)])/30</f>
        <v>0</v>
      </c>
      <c r="W16" s="12"/>
    </row>
    <row r="17" spans="1:23" ht="15.75" customHeight="1" x14ac:dyDescent="0.4">
      <c r="A17" s="8" t="str">
        <f>CONCATENATE(Tabela5[[#This Row],[POLO]],Tabela5[[#This Row],[CURSOS]])</f>
        <v>Campos dos Goytacazes/RJ - PelincaEMF-ISN</v>
      </c>
      <c r="B17" s="8" t="e">
        <f>CONCATENATE(Tabela5[[#This Row],[POLO]],Tabela5[[#This Row],[CATEGORIA]],_xlfn.XLOOKUP(Tabela5[[#This Row],[CHAVE LOTAÇÃO CLASSIFICAÇÃO DE CURSOS]],CHAVE!A:A,CHAVE!D:D))</f>
        <v>#N/A</v>
      </c>
      <c r="C17" s="19"/>
      <c r="D17" s="16">
        <f>IFERROR(_xlfn.XLOOKUP(Tabela5[[#This Row],[NOME DO TUTOR]],TUT.CONTROL!C:C,TUT.CONTROL!V:V),_xlfn.XLOOKUP(Tabela5[[#This Row],[NOME DO TUTOR]],'REG.CONTROL'!C:C,'REG.CONTROL'!V:V))</f>
        <v>45874</v>
      </c>
      <c r="E17" s="17" t="s">
        <v>1347</v>
      </c>
      <c r="F17" s="18" t="s">
        <v>1348</v>
      </c>
      <c r="G17" s="8" t="s">
        <v>21</v>
      </c>
      <c r="H17" s="8" t="s">
        <v>22</v>
      </c>
      <c r="I17" s="8" t="s">
        <v>182</v>
      </c>
      <c r="J17" s="9" t="s">
        <v>183</v>
      </c>
      <c r="K17" s="10" t="s">
        <v>1349</v>
      </c>
      <c r="L17" s="17">
        <v>45782</v>
      </c>
      <c r="M17" s="19">
        <v>22997751428</v>
      </c>
      <c r="N17" s="11">
        <v>1158000611</v>
      </c>
      <c r="O17" s="11" t="s">
        <v>184</v>
      </c>
      <c r="P17" s="22" t="s">
        <v>1350</v>
      </c>
      <c r="Q17" s="19" t="s">
        <v>1353</v>
      </c>
      <c r="R17" s="10">
        <v>45874</v>
      </c>
      <c r="S17" s="19" t="s">
        <v>43</v>
      </c>
      <c r="T17" s="19"/>
      <c r="U17" s="8"/>
      <c r="V17" s="8">
        <f ca="1">AVERAGE(Tabela5[PERMANENCIA (MÊS)])/30</f>
        <v>0</v>
      </c>
      <c r="W17" s="12"/>
    </row>
    <row r="18" spans="1:23" ht="15.75" customHeight="1" x14ac:dyDescent="0.4">
      <c r="A18" s="8" t="str">
        <f>CONCATENATE(Tabela5[[#This Row],[POLO]],Tabela5[[#This Row],[CURSOS]])</f>
        <v>Francisco Beltrão/PREMF-ISN</v>
      </c>
      <c r="B18" s="8" t="e">
        <f>CONCATENATE(Tabela5[[#This Row],[POLO]],Tabela5[[#This Row],[CATEGORIA]],_xlfn.XLOOKUP(Tabela5[[#This Row],[CHAVE LOTAÇÃO CLASSIFICAÇÃO DE CURSOS]],CHAVE!A:A,CHAVE!D:D))</f>
        <v>#N/A</v>
      </c>
      <c r="C18" s="19" t="s">
        <v>1352</v>
      </c>
      <c r="D18" s="16">
        <f>IFERROR(_xlfn.XLOOKUP(Tabela5[[#This Row],[NOME DO TUTOR]],TUT.CONTROL!C:C,TUT.CONTROL!V:V),_xlfn.XLOOKUP(Tabela5[[#This Row],[NOME DO TUTOR]],'REG.CONTROL'!C:C,'REG.CONTROL'!V:V))</f>
        <v>45880</v>
      </c>
      <c r="E18" s="17" t="s">
        <v>1347</v>
      </c>
      <c r="F18" s="18" t="s">
        <v>1348</v>
      </c>
      <c r="G18" s="8" t="s">
        <v>21</v>
      </c>
      <c r="H18" s="8" t="s">
        <v>22</v>
      </c>
      <c r="I18" s="8" t="s">
        <v>302</v>
      </c>
      <c r="J18" s="9" t="s">
        <v>305</v>
      </c>
      <c r="K18" s="10" t="s">
        <v>1349</v>
      </c>
      <c r="L18" s="17">
        <v>45728</v>
      </c>
      <c r="M18" s="19">
        <v>92994488890</v>
      </c>
      <c r="N18" s="22">
        <v>1158000546</v>
      </c>
      <c r="O18" s="10" t="s">
        <v>306</v>
      </c>
      <c r="P18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8" s="19" t="s">
        <v>1353</v>
      </c>
      <c r="R18" s="10">
        <f>IF(Tabela5[[#This Row],[SITUAÇÃO]]="Demitido",_xlfn.XLOOKUP(Tabela5[[#This Row],[CHAPA]],'Base de Tutores'!L:L,'Base de Tutores'!P:P),"")</f>
        <v>45880</v>
      </c>
      <c r="S18" s="19"/>
      <c r="T18" s="19"/>
      <c r="U18" s="8"/>
      <c r="V18" s="45">
        <f ca="1">AVERAGE(Tabela5[PERMANENCIA (MÊS)])/30</f>
        <v>0</v>
      </c>
      <c r="W18" s="12"/>
    </row>
    <row r="19" spans="1:23" ht="15.75" customHeight="1" x14ac:dyDescent="0.4">
      <c r="A19" s="8" t="str">
        <f>CONCATENATE(Tabela5[[#This Row],[POLO]],Tabela5[[#This Row],[CURSOS]])</f>
        <v>Blumenau/SC - Salto Do Norte (Centro Universitário Dante)EMF-ISN</v>
      </c>
      <c r="B19" s="8" t="e">
        <f>CONCATENATE(Tabela5[[#This Row],[POLO]],Tabela5[[#This Row],[CATEGORIA]],_xlfn.XLOOKUP(Tabela5[[#This Row],[CHAVE LOTAÇÃO CLASSIFICAÇÃO DE CURSOS]],CHAVE!A:A,CHAVE!D:D))</f>
        <v>#N/A</v>
      </c>
      <c r="C19" s="19" t="s">
        <v>1352</v>
      </c>
      <c r="D19" s="16">
        <f>IFERROR(_xlfn.XLOOKUP(Tabela5[[#This Row],[NOME DO TUTOR]],TUT.CONTROL!C:C,TUT.CONTROL!V:V),_xlfn.XLOOKUP(Tabela5[[#This Row],[NOME DO TUTOR]],'REG.CONTROL'!C:C,'REG.CONTROL'!V:V))</f>
        <v>45888</v>
      </c>
      <c r="E19" s="17" t="s">
        <v>1347</v>
      </c>
      <c r="F19" s="18" t="s">
        <v>1348</v>
      </c>
      <c r="G19" s="8" t="s">
        <v>21</v>
      </c>
      <c r="H19" s="8" t="s">
        <v>22</v>
      </c>
      <c r="I19" s="8" t="s">
        <v>110</v>
      </c>
      <c r="J19" s="9" t="s">
        <v>111</v>
      </c>
      <c r="K19" s="10" t="s">
        <v>1349</v>
      </c>
      <c r="L19" s="17">
        <v>45754</v>
      </c>
      <c r="M19" s="19" t="s">
        <v>112</v>
      </c>
      <c r="N19" s="22">
        <v>1158000709</v>
      </c>
      <c r="O19" s="10" t="s">
        <v>113</v>
      </c>
      <c r="P19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9" s="19" t="s">
        <v>1353</v>
      </c>
      <c r="R19" s="10">
        <f>IF(Tabela5[[#This Row],[SITUAÇÃO]]="Demitido",_xlfn.XLOOKUP(Tabela5[[#This Row],[CHAPA]],'Base de Tutores'!L:L,'Base de Tutores'!P:P),"")</f>
        <v>45888</v>
      </c>
      <c r="S19" s="19"/>
      <c r="T19" s="19"/>
      <c r="U19" s="8"/>
      <c r="V19" s="45">
        <f ca="1">AVERAGE(Tabela5[PERMANENCIA (MÊS)])/30</f>
        <v>0</v>
      </c>
      <c r="W19" s="12"/>
    </row>
    <row r="20" spans="1:23" ht="15.75" customHeight="1" x14ac:dyDescent="0.4">
      <c r="A20" s="8" t="str">
        <f>CONCATENATE(Tabela5[[#This Row],[POLO]],Tabela5[[#This Row],[CURSOS]])</f>
        <v>Boa Vista/RR - CentroEMF-ISN</v>
      </c>
      <c r="B20" s="8" t="e">
        <f>CONCATENATE(Tabela5[[#This Row],[POLO]],Tabela5[[#This Row],[CATEGORIA]],_xlfn.XLOOKUP(Tabela5[[#This Row],[CHAVE LOTAÇÃO CLASSIFICAÇÃO DE CURSOS]],CHAVE!A:A,CHAVE!D:D))</f>
        <v>#N/A</v>
      </c>
      <c r="C20" s="19" t="s">
        <v>1352</v>
      </c>
      <c r="D20" s="16">
        <f>IFERROR(_xlfn.XLOOKUP(Tabela5[[#This Row],[NOME DO TUTOR]],TUT.CONTROL!C:C,TUT.CONTROL!V:V),_xlfn.XLOOKUP(Tabela5[[#This Row],[NOME DO TUTOR]],'REG.CONTROL'!C:C,'REG.CONTROL'!V:V))</f>
        <v>45901</v>
      </c>
      <c r="E20" s="17" t="s">
        <v>1347</v>
      </c>
      <c r="F20" s="18" t="s">
        <v>1348</v>
      </c>
      <c r="G20" s="8" t="s">
        <v>21</v>
      </c>
      <c r="H20" s="8" t="s">
        <v>22</v>
      </c>
      <c r="I20" s="8" t="s">
        <v>119</v>
      </c>
      <c r="J20" s="9" t="s">
        <v>122</v>
      </c>
      <c r="K20" s="10" t="s">
        <v>1349</v>
      </c>
      <c r="L20" s="17">
        <v>45728</v>
      </c>
      <c r="M20" s="19">
        <v>95991589861</v>
      </c>
      <c r="N20" s="22">
        <v>1158000543</v>
      </c>
      <c r="O20" s="10" t="s">
        <v>123</v>
      </c>
      <c r="P20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20" s="19" t="s">
        <v>1353</v>
      </c>
      <c r="R20" s="10">
        <f>IF(Tabela5[[#This Row],[SITUAÇÃO]]="Demitido",_xlfn.XLOOKUP(Tabela5[[#This Row],[CHAPA]],'Base de Tutores'!L:L,'Base de Tutores'!P:P),"")</f>
        <v>45901</v>
      </c>
      <c r="S20" s="19"/>
      <c r="T20" s="19"/>
      <c r="U20" s="8"/>
      <c r="V20" s="45">
        <f ca="1">AVERAGE(Tabela5[PERMANENCIA (MÊS)])/30</f>
        <v>0</v>
      </c>
      <c r="W20" s="12"/>
    </row>
    <row r="21" spans="1:23" ht="15.75" customHeight="1" x14ac:dyDescent="0.4">
      <c r="A21" s="8" t="str">
        <f>CONCATENATE(Tabela5[[#This Row],[POLO]],Tabela5[[#This Row],[CURSOS]])</f>
        <v>Blumenau/SC - Salto Do Norte (Centro Universitário Dante)NTR</v>
      </c>
      <c r="B21" s="8" t="e">
        <f>CONCATENATE(Tabela5[[#This Row],[POLO]],Tabela5[[#This Row],[CATEGORIA]],_xlfn.XLOOKUP(Tabela5[[#This Row],[CHAVE LOTAÇÃO CLASSIFICAÇÃO DE CURSOS]],CHAVE!A:A,CHAVE!D:D))</f>
        <v>#N/A</v>
      </c>
      <c r="C21" s="19" t="s">
        <v>1352</v>
      </c>
      <c r="D21" s="16">
        <f>IFERROR(_xlfn.XLOOKUP(Tabela5[[#This Row],[NOME DO TUTOR]],TUT.CONTROL!C:C,TUT.CONTROL!V:V),_xlfn.XLOOKUP(Tabela5[[#This Row],[NOME DO TUTOR]],'REG.CONTROL'!C:C,'REG.CONTROL'!V:V))</f>
        <v>45901</v>
      </c>
      <c r="E21" s="17" t="s">
        <v>1347</v>
      </c>
      <c r="F21" s="18" t="s">
        <v>1348</v>
      </c>
      <c r="G21" s="8" t="s">
        <v>730</v>
      </c>
      <c r="H21" s="8" t="s">
        <v>731</v>
      </c>
      <c r="I21" s="8" t="s">
        <v>110</v>
      </c>
      <c r="J21" s="9" t="s">
        <v>732</v>
      </c>
      <c r="K21" s="10" t="s">
        <v>1349</v>
      </c>
      <c r="L21" s="17">
        <v>45873</v>
      </c>
      <c r="M21" s="19">
        <v>47991726021</v>
      </c>
      <c r="N21" s="22">
        <v>1158000803</v>
      </c>
      <c r="O21" s="10" t="s">
        <v>733</v>
      </c>
      <c r="P21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21" s="19" t="s">
        <v>1353</v>
      </c>
      <c r="R21" s="10">
        <f>IF(Tabela5[[#This Row],[SITUAÇÃO]]="Demitido",_xlfn.XLOOKUP(Tabela5[[#This Row],[CHAPA]],'Base de Tutores'!L:L,'Base de Tutores'!P:P),"")</f>
        <v>45901</v>
      </c>
      <c r="S21" s="19"/>
      <c r="T21" s="19"/>
      <c r="U21" s="8"/>
      <c r="V21" s="45">
        <f ca="1">AVERAGE(Tabela5[PERMANENCIA (MÊS)])/30</f>
        <v>0</v>
      </c>
      <c r="W21" s="12"/>
    </row>
    <row r="22" spans="1:23" ht="15.75" customHeight="1" x14ac:dyDescent="0.4">
      <c r="A22" s="8" t="str">
        <f>CONCATENATE(Tabela5[[#This Row],[POLO]],Tabela5[[#This Row],[CURSOS]])</f>
        <v>Cuiabá/MT - PoçãoAGM</v>
      </c>
      <c r="B22" s="8" t="e">
        <f>CONCATENATE(Tabela5[[#This Row],[POLO]],Tabela5[[#This Row],[CATEGORIA]],_xlfn.XLOOKUP(Tabela5[[#This Row],[CHAVE LOTAÇÃO CLASSIFICAÇÃO DE CURSOS]],CHAVE!A:A,CHAVE!D:D))</f>
        <v>#N/A</v>
      </c>
      <c r="C22" s="19" t="s">
        <v>1352</v>
      </c>
      <c r="D22" s="16">
        <f>IFERROR(_xlfn.XLOOKUP(Tabela5[[#This Row],[NOME DO TUTOR]],TUT.CONTROL!C:C,TUT.CONTROL!V:V),_xlfn.XLOOKUP(Tabela5[[#This Row],[NOME DO TUTOR]],'REG.CONTROL'!C:C,'REG.CONTROL'!V:V))</f>
        <v>45901</v>
      </c>
      <c r="E22" s="17" t="s">
        <v>1347</v>
      </c>
      <c r="F22" s="18" t="s">
        <v>1348</v>
      </c>
      <c r="G22" s="8" t="s">
        <v>734</v>
      </c>
      <c r="H22" s="8" t="s">
        <v>735</v>
      </c>
      <c r="I22" s="8" t="s">
        <v>251</v>
      </c>
      <c r="J22" s="9" t="s">
        <v>736</v>
      </c>
      <c r="K22" s="10" t="s">
        <v>1349</v>
      </c>
      <c r="L22" s="17">
        <v>45873</v>
      </c>
      <c r="M22" s="19">
        <v>65996304471</v>
      </c>
      <c r="N22" s="22">
        <v>1158000798</v>
      </c>
      <c r="O22" s="10" t="s">
        <v>737</v>
      </c>
      <c r="P22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22" s="19" t="s">
        <v>1353</v>
      </c>
      <c r="R22" s="10">
        <f>IF(Tabela5[[#This Row],[SITUAÇÃO]]="Demitido",_xlfn.XLOOKUP(Tabela5[[#This Row],[CHAPA]],'Base de Tutores'!L:L,'Base de Tutores'!P:P),"")</f>
        <v>45901</v>
      </c>
      <c r="S22" s="19"/>
      <c r="T22" s="19"/>
      <c r="U22" s="8"/>
      <c r="V22" s="45">
        <f ca="1">AVERAGE(Tabela5[PERMANENCIA (MÊS)])/30</f>
        <v>0</v>
      </c>
      <c r="W22" s="12"/>
    </row>
    <row r="23" spans="1:23" ht="15.75" customHeight="1" x14ac:dyDescent="0.4">
      <c r="A23" s="8" t="str">
        <f>CONCATENATE(Tabela5[[#This Row],[POLO]],Tabela5[[#This Row],[CURSOS]])</f>
        <v>Maringá/PR - Zona 01ECE-ENM-ENS-ENG-EEA-GPI-CDE-OBR-SAN-TER-FSA-SLF-QUI</v>
      </c>
      <c r="B23" s="8" t="e">
        <f>CONCATENATE(Tabela5[[#This Row],[POLO]],Tabela5[[#This Row],[CATEGORIA]],_xlfn.XLOOKUP(Tabela5[[#This Row],[CHAVE LOTAÇÃO CLASSIFICAÇÃO DE CURSOS]],CHAVE!A:A,CHAVE!D:D))</f>
        <v>#N/A</v>
      </c>
      <c r="C23" s="19" t="s">
        <v>1352</v>
      </c>
      <c r="D23" s="16">
        <f>IFERROR(_xlfn.XLOOKUP(Tabela5[[#This Row],[NOME DO TUTOR]],TUT.CONTROL!C:C,TUT.CONTROL!V:V),_xlfn.XLOOKUP(Tabela5[[#This Row],[NOME DO TUTOR]],'REG.CONTROL'!C:C,'REG.CONTROL'!V:V))</f>
        <v>45901</v>
      </c>
      <c r="E23" s="17" t="s">
        <v>1347</v>
      </c>
      <c r="F23" s="18" t="s">
        <v>1348</v>
      </c>
      <c r="G23" s="8" t="s">
        <v>125</v>
      </c>
      <c r="H23" s="8" t="s">
        <v>126</v>
      </c>
      <c r="I23" s="8" t="s">
        <v>385</v>
      </c>
      <c r="J23" s="9" t="s">
        <v>386</v>
      </c>
      <c r="K23" s="10" t="s">
        <v>1349</v>
      </c>
      <c r="L23" s="17">
        <v>45749</v>
      </c>
      <c r="M23" s="19" t="s">
        <v>1362</v>
      </c>
      <c r="N23" s="22">
        <v>1158000673</v>
      </c>
      <c r="O23" s="10" t="s">
        <v>388</v>
      </c>
      <c r="P23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23" s="19" t="s">
        <v>1353</v>
      </c>
      <c r="R23" s="10">
        <f>IF(Tabela5[[#This Row],[SITUAÇÃO]]="Demitido",_xlfn.XLOOKUP(Tabela5[[#This Row],[CHAPA]],'Base de Tutores'!L:L,'Base de Tutores'!P:P),"")</f>
        <v>45901</v>
      </c>
      <c r="S23" s="19"/>
      <c r="T23" s="19"/>
      <c r="U23" s="8"/>
      <c r="V23" s="45">
        <f ca="1">AVERAGE(Tabela5[PERMANENCIA (MÊS)])/30</f>
        <v>0</v>
      </c>
      <c r="W23" s="12"/>
    </row>
    <row r="24" spans="1:23" ht="15.75" customHeight="1" x14ac:dyDescent="0.4">
      <c r="A24" s="8" t="str">
        <f>CONCATENATE(Tabela5[[#This Row],[POLO]],Tabela5[[#This Row],[CURSOS]])</f>
        <v>Fortaleza/CE - AguanambiEMF-ISN</v>
      </c>
      <c r="B24" s="8" t="e">
        <f>CONCATENATE(Tabela5[[#This Row],[POLO]],Tabela5[[#This Row],[CATEGORIA]],_xlfn.XLOOKUP(Tabela5[[#This Row],[CHAVE LOTAÇÃO CLASSIFICAÇÃO DE CURSOS]],CHAVE!A:A,CHAVE!D:D))</f>
        <v>#N/A</v>
      </c>
      <c r="C24" s="19" t="s">
        <v>1352</v>
      </c>
      <c r="D24" s="16">
        <f>IFERROR(_xlfn.XLOOKUP(Tabela5[[#This Row],[NOME DO TUTOR]],TUT.CONTROL!C:C,TUT.CONTROL!V:V),_xlfn.XLOOKUP(Tabela5[[#This Row],[NOME DO TUTOR]],'REG.CONTROL'!C:C,'REG.CONTROL'!V:V))</f>
        <v>45901</v>
      </c>
      <c r="E24" s="17" t="s">
        <v>1347</v>
      </c>
      <c r="F24" s="18" t="s">
        <v>1348</v>
      </c>
      <c r="G24" s="8" t="s">
        <v>21</v>
      </c>
      <c r="H24" s="8" t="s">
        <v>22</v>
      </c>
      <c r="I24" s="8" t="s">
        <v>295</v>
      </c>
      <c r="J24" s="9" t="s">
        <v>299</v>
      </c>
      <c r="K24" s="10" t="s">
        <v>1349</v>
      </c>
      <c r="L24" s="17">
        <v>45782</v>
      </c>
      <c r="M24" s="19" t="s">
        <v>300</v>
      </c>
      <c r="N24" s="22">
        <v>1158000607</v>
      </c>
      <c r="O24" s="10" t="s">
        <v>301</v>
      </c>
      <c r="P24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24" s="19" t="s">
        <v>1363</v>
      </c>
      <c r="R24" s="10">
        <f>IF(Tabela5[[#This Row],[SITUAÇÃO]]="Demitido",_xlfn.XLOOKUP(Tabela5[[#This Row],[CHAPA]],'Base de Tutores'!L:L,'Base de Tutores'!P:P),"")</f>
        <v>45901</v>
      </c>
      <c r="S24" s="19"/>
      <c r="T24" s="19"/>
      <c r="U24" s="8"/>
      <c r="V24" s="45">
        <f ca="1">AVERAGE(Tabela5[PERMANENCIA (MÊS)])/30</f>
        <v>0</v>
      </c>
      <c r="W24" s="12"/>
    </row>
    <row r="25" spans="1:23" ht="15.75" customHeight="1" x14ac:dyDescent="0.4">
      <c r="A25" s="8" t="str">
        <f>CONCATENATE(Tabela5[[#This Row],[POLO]],Tabela5[[#This Row],[CURSOS]])</f>
        <v>Cariacica/ES - Shopping MoxuaraBFI</v>
      </c>
      <c r="B25" s="8" t="e">
        <f>CONCATENATE(Tabela5[[#This Row],[POLO]],Tabela5[[#This Row],[CATEGORIA]],_xlfn.XLOOKUP(Tabela5[[#This Row],[CHAVE LOTAÇÃO CLASSIFICAÇÃO DE CURSOS]],CHAVE!A:A,CHAVE!D:D))</f>
        <v>#N/A</v>
      </c>
      <c r="C25" s="19" t="s">
        <v>1352</v>
      </c>
      <c r="D25" s="16">
        <f>IFERROR(_xlfn.XLOOKUP(Tabela5[[#This Row],[NOME DO TUTOR]],TUT.CONTROL!C:C,TUT.CONTROL!V:V),_xlfn.XLOOKUP(Tabela5[[#This Row],[NOME DO TUTOR]],'REG.CONTROL'!C:C,'REG.CONTROL'!V:V))</f>
        <v>45903</v>
      </c>
      <c r="E25" s="17" t="s">
        <v>1347</v>
      </c>
      <c r="F25" s="18" t="s">
        <v>1348</v>
      </c>
      <c r="G25" s="8" t="s">
        <v>757</v>
      </c>
      <c r="H25" s="8" t="s">
        <v>758</v>
      </c>
      <c r="I25" s="8" t="s">
        <v>922</v>
      </c>
      <c r="J25" s="9" t="s">
        <v>923</v>
      </c>
      <c r="K25" s="10" t="s">
        <v>1349</v>
      </c>
      <c r="L25" s="17">
        <v>45887</v>
      </c>
      <c r="M25" s="19">
        <v>27999338387</v>
      </c>
      <c r="N25" s="22">
        <v>1158000896</v>
      </c>
      <c r="O25" s="10" t="s">
        <v>924</v>
      </c>
      <c r="P25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25" s="19" t="s">
        <v>1353</v>
      </c>
      <c r="R25" s="10">
        <f>IF(Tabela5[[#This Row],[SITUAÇÃO]]="Demitido",_xlfn.XLOOKUP(Tabela5[[#This Row],[CHAPA]],'Base de Tutores'!L:L,'Base de Tutores'!P:P),"")</f>
        <v>45903</v>
      </c>
      <c r="S25" s="19"/>
      <c r="T25" s="19"/>
      <c r="U25" s="8"/>
      <c r="V25" s="45">
        <f ca="1">AVERAGE(Tabela5[PERMANENCIA (MÊS)])/30</f>
        <v>0</v>
      </c>
      <c r="W25" s="12"/>
    </row>
    <row r="26" spans="1:23" ht="15.75" customHeight="1" x14ac:dyDescent="0.4">
      <c r="A26" s="8" t="str">
        <f>CONCATENATE(Tabela5[[#This Row],[POLO]],Tabela5[[#This Row],[CURSOS]])</f>
        <v>Lages/SC - Garden ShoppingAGM</v>
      </c>
      <c r="B26" s="8" t="e">
        <f>CONCATENATE(Tabela5[[#This Row],[POLO]],Tabela5[[#This Row],[CATEGORIA]],_xlfn.XLOOKUP(Tabela5[[#This Row],[CHAVE LOTAÇÃO CLASSIFICAÇÃO DE CURSOS]],CHAVE!A:A,CHAVE!D:D))</f>
        <v>#N/A</v>
      </c>
      <c r="C26" s="19" t="s">
        <v>1352</v>
      </c>
      <c r="D26" s="16">
        <f>IFERROR(_xlfn.XLOOKUP(Tabela5[[#This Row],[NOME DO TUTOR]],TUT.CONTROL!C:C,TUT.CONTROL!V:V),_xlfn.XLOOKUP(Tabela5[[#This Row],[NOME DO TUTOR]],'REG.CONTROL'!C:C,'REG.CONTROL'!V:V))</f>
        <v>45908</v>
      </c>
      <c r="E26" s="17" t="s">
        <v>1347</v>
      </c>
      <c r="F26" s="18" t="s">
        <v>1348</v>
      </c>
      <c r="G26" s="8" t="s">
        <v>734</v>
      </c>
      <c r="H26" s="8" t="s">
        <v>735</v>
      </c>
      <c r="I26" s="8" t="s">
        <v>503</v>
      </c>
      <c r="J26" s="9" t="s">
        <v>841</v>
      </c>
      <c r="K26" s="10" t="s">
        <v>1349</v>
      </c>
      <c r="L26" s="17">
        <v>45875</v>
      </c>
      <c r="M26" s="19">
        <v>49999273160</v>
      </c>
      <c r="N26" s="22">
        <v>1158000849</v>
      </c>
      <c r="O26" s="10" t="s">
        <v>842</v>
      </c>
      <c r="P26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26" s="19" t="s">
        <v>1353</v>
      </c>
      <c r="R26" s="10">
        <f>IF(Tabela5[[#This Row],[SITUAÇÃO]]="Demitido",_xlfn.XLOOKUP(Tabela5[[#This Row],[CHAPA]],'Base de Tutores'!L:L,'Base de Tutores'!P:P),"")</f>
        <v>45908</v>
      </c>
      <c r="S26" s="19"/>
      <c r="T26" s="19"/>
      <c r="U26" s="8"/>
      <c r="V26" s="45">
        <f ca="1">AVERAGE(Tabela5[PERMANENCIA (MÊS)])/30</f>
        <v>0</v>
      </c>
      <c r="W26" s="12"/>
    </row>
    <row r="27" spans="1:23" ht="15.75" customHeight="1" x14ac:dyDescent="0.4">
      <c r="A27" s="8" t="str">
        <f>CONCATENATE(Tabela5[[#This Row],[POLO]],Tabela5[[#This Row],[CURSOS]])</f>
        <v>Serrinha/BAEMF-ISN</v>
      </c>
      <c r="B27" s="8" t="e">
        <f>CONCATENATE(Tabela5[[#This Row],[POLO]],Tabela5[[#This Row],[CATEGORIA]],_xlfn.XLOOKUP(Tabela5[[#This Row],[CHAVE LOTAÇÃO CLASSIFICAÇÃO DE CURSOS]],CHAVE!A:A,CHAVE!D:D))</f>
        <v>#N/A</v>
      </c>
      <c r="C27" s="19" t="s">
        <v>1352</v>
      </c>
      <c r="D27" s="16">
        <f>IFERROR(_xlfn.XLOOKUP(Tabela5[[#This Row],[NOME DO TUTOR]],TUT.CONTROL!C:C,TUT.CONTROL!V:V),_xlfn.XLOOKUP(Tabela5[[#This Row],[NOME DO TUTOR]],'REG.CONTROL'!C:C,'REG.CONTROL'!V:V))</f>
        <v>45909</v>
      </c>
      <c r="E27" s="17" t="s">
        <v>1347</v>
      </c>
      <c r="F27" s="18" t="s">
        <v>1348</v>
      </c>
      <c r="G27" s="8" t="s">
        <v>21</v>
      </c>
      <c r="H27" s="8" t="s">
        <v>22</v>
      </c>
      <c r="I27" s="8" t="s">
        <v>1138</v>
      </c>
      <c r="J27" s="9" t="s">
        <v>1139</v>
      </c>
      <c r="K27" s="10" t="s">
        <v>1349</v>
      </c>
      <c r="L27" s="17">
        <v>45733</v>
      </c>
      <c r="M27" s="19">
        <v>75991156420</v>
      </c>
      <c r="N27" s="22">
        <v>1158000563</v>
      </c>
      <c r="O27" s="10" t="s">
        <v>1140</v>
      </c>
      <c r="P27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27" s="19" t="s">
        <v>1353</v>
      </c>
      <c r="R27" s="10">
        <f>IF(Tabela5[[#This Row],[SITUAÇÃO]]="Demitido",_xlfn.XLOOKUP(Tabela5[[#This Row],[CHAPA]],'Base de Tutores'!L:L,'Base de Tutores'!P:P),"")</f>
        <v>45909</v>
      </c>
      <c r="S27" s="19"/>
      <c r="T27" s="19"/>
      <c r="U27" s="8"/>
      <c r="V27" s="45">
        <f ca="1">AVERAGE(Tabela5[PERMANENCIA (MÊS)])/30</f>
        <v>0</v>
      </c>
      <c r="W27" s="12"/>
    </row>
    <row r="28" spans="1:23" ht="15.75" customHeight="1" x14ac:dyDescent="0.4">
      <c r="A28" s="8" t="str">
        <f>CONCATENATE(Tabela5[[#This Row],[POLO]],Tabela5[[#This Row],[CURSOS]])</f>
        <v>Guaramirim/SCEMF-ISN</v>
      </c>
      <c r="B28" s="8" t="e">
        <f>CONCATENATE(Tabela5[[#This Row],[POLO]],Tabela5[[#This Row],[CATEGORIA]],_xlfn.XLOOKUP(Tabela5[[#This Row],[CHAVE LOTAÇÃO CLASSIFICAÇÃO DE CURSOS]],CHAVE!A:A,CHAVE!D:D))</f>
        <v>#N/A</v>
      </c>
      <c r="C28" s="19" t="s">
        <v>1352</v>
      </c>
      <c r="D28" s="16">
        <f>IFERROR(_xlfn.XLOOKUP(Tabela5[[#This Row],[NOME DO TUTOR]],TUT.CONTROL!C:C,TUT.CONTROL!V:V),_xlfn.XLOOKUP(Tabela5[[#This Row],[NOME DO TUTOR]],'REG.CONTROL'!C:C,'REG.CONTROL'!V:V))</f>
        <v>45911</v>
      </c>
      <c r="E28" s="17" t="s">
        <v>1347</v>
      </c>
      <c r="F28" s="18" t="s">
        <v>1348</v>
      </c>
      <c r="G28" s="8" t="s">
        <v>21</v>
      </c>
      <c r="H28" s="8" t="s">
        <v>22</v>
      </c>
      <c r="I28" s="8" t="s">
        <v>320</v>
      </c>
      <c r="J28" s="9" t="s">
        <v>323</v>
      </c>
      <c r="K28" s="10" t="s">
        <v>1349</v>
      </c>
      <c r="L28" s="17">
        <v>45735</v>
      </c>
      <c r="M28" s="19">
        <v>47991162278</v>
      </c>
      <c r="N28" s="22">
        <v>1158000568</v>
      </c>
      <c r="O28" s="10" t="s">
        <v>324</v>
      </c>
      <c r="P28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28" s="19" t="s">
        <v>1353</v>
      </c>
      <c r="R28" s="10">
        <f>IF(Tabela5[[#This Row],[SITUAÇÃO]]="Demitido",_xlfn.XLOOKUP(Tabela5[[#This Row],[CHAPA]],'Base de Tutores'!L:L,'Base de Tutores'!P:P),"")</f>
        <v>45911</v>
      </c>
      <c r="S28" s="19"/>
      <c r="T28" s="19"/>
      <c r="U28" s="8"/>
      <c r="V28" s="45">
        <f ca="1">AVERAGE(Tabela5[PERMANENCIA (MÊS)])/30</f>
        <v>0</v>
      </c>
      <c r="W28" s="12"/>
    </row>
    <row r="29" spans="1:23" ht="15.75" customHeight="1" x14ac:dyDescent="0.4">
      <c r="A29" s="8" t="str">
        <f>CONCATENATE(Tabela5[[#This Row],[POLO]],Tabela5[[#This Row],[CURSOS]])</f>
        <v>Pouso Alegre/MGEMF-ISN</v>
      </c>
      <c r="B29" s="8" t="e">
        <f>CONCATENATE(Tabela5[[#This Row],[POLO]],Tabela5[[#This Row],[CATEGORIA]],_xlfn.XLOOKUP(Tabela5[[#This Row],[CHAVE LOTAÇÃO CLASSIFICAÇÃO DE CURSOS]],CHAVE!A:A,CHAVE!D:D))</f>
        <v>#N/A</v>
      </c>
      <c r="C29" s="19" t="s">
        <v>1352</v>
      </c>
      <c r="D29" s="16">
        <f>IFERROR(_xlfn.XLOOKUP(Tabela5[[#This Row],[NOME DO TUTOR]],TUT.CONTROL!C:C,TUT.CONTROL!V:V),_xlfn.XLOOKUP(Tabela5[[#This Row],[NOME DO TUTOR]],'REG.CONTROL'!C:C,'REG.CONTROL'!V:V))</f>
        <v>45911</v>
      </c>
      <c r="E29" s="17" t="s">
        <v>1347</v>
      </c>
      <c r="F29" s="18" t="s">
        <v>1348</v>
      </c>
      <c r="G29" s="8" t="s">
        <v>21</v>
      </c>
      <c r="H29" s="8" t="s">
        <v>22</v>
      </c>
      <c r="I29" s="8" t="s">
        <v>629</v>
      </c>
      <c r="J29" s="9" t="s">
        <v>656</v>
      </c>
      <c r="K29" s="10" t="s">
        <v>1349</v>
      </c>
      <c r="L29" s="17">
        <v>45754</v>
      </c>
      <c r="M29" s="19" t="s">
        <v>657</v>
      </c>
      <c r="N29" s="22">
        <v>1158000679</v>
      </c>
      <c r="O29" s="10" t="s">
        <v>658</v>
      </c>
      <c r="P29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29" s="19" t="s">
        <v>1353</v>
      </c>
      <c r="R29" s="10">
        <f>IF(Tabela5[[#This Row],[SITUAÇÃO]]="Demitido",_xlfn.XLOOKUP(Tabela5[[#This Row],[CHAPA]],'Base de Tutores'!L:L,'Base de Tutores'!P:P),"")</f>
        <v>45911</v>
      </c>
      <c r="S29" s="19"/>
      <c r="T29" s="19"/>
      <c r="U29" s="8"/>
      <c r="V29" s="45">
        <f ca="1">AVERAGE(Tabela5[PERMANENCIA (MÊS)])/30</f>
        <v>0</v>
      </c>
      <c r="W29" s="12"/>
    </row>
    <row r="30" spans="1:23" ht="15.75" customHeight="1" x14ac:dyDescent="0.4">
      <c r="A30" s="8" t="str">
        <f>CONCATENATE(Tabela5[[#This Row],[POLO]],Tabela5[[#This Row],[CURSOS]])</f>
        <v>Posse/GOAGM</v>
      </c>
      <c r="B30" s="8" t="e">
        <f>CONCATENATE(Tabela5[[#This Row],[POLO]],Tabela5[[#This Row],[CATEGORIA]],_xlfn.XLOOKUP(Tabela5[[#This Row],[CHAVE LOTAÇÃO CLASSIFICAÇÃO DE CURSOS]],CHAVE!A:A,CHAVE!D:D))</f>
        <v>#N/A</v>
      </c>
      <c r="C30" s="19" t="s">
        <v>1352</v>
      </c>
      <c r="D30" s="16">
        <f>IFERROR(_xlfn.XLOOKUP(Tabela5[[#This Row],[NOME DO TUTOR]],TUT.CONTROL!C:C,TUT.CONTROL!V:V),_xlfn.XLOOKUP(Tabela5[[#This Row],[NOME DO TUTOR]],'REG.CONTROL'!C:C,'REG.CONTROL'!V:V))</f>
        <v>45916</v>
      </c>
      <c r="E30" s="17" t="s">
        <v>1347</v>
      </c>
      <c r="F30" s="18" t="s">
        <v>1348</v>
      </c>
      <c r="G30" s="8" t="s">
        <v>734</v>
      </c>
      <c r="H30" s="8" t="s">
        <v>735</v>
      </c>
      <c r="I30" s="8" t="s">
        <v>653</v>
      </c>
      <c r="J30" s="9" t="s">
        <v>855</v>
      </c>
      <c r="K30" s="10" t="s">
        <v>1349</v>
      </c>
      <c r="L30" s="17">
        <v>45880</v>
      </c>
      <c r="M30" s="19">
        <v>62996487317</v>
      </c>
      <c r="N30" s="22">
        <v>1158000851</v>
      </c>
      <c r="O30" s="10" t="s">
        <v>856</v>
      </c>
      <c r="P30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30" s="19" t="s">
        <v>1353</v>
      </c>
      <c r="R30" s="10">
        <f>IF(Tabela5[[#This Row],[SITUAÇÃO]]="Demitido",_xlfn.XLOOKUP(Tabela5[[#This Row],[CHAPA]],'Base de Tutores'!L:L,'Base de Tutores'!P:P),"")</f>
        <v>45916</v>
      </c>
      <c r="S30" s="19"/>
      <c r="T30" s="19"/>
      <c r="U30" s="8"/>
      <c r="V30" s="45">
        <f ca="1">AVERAGE(Tabela5[PERMANENCIA (MÊS)])/30</f>
        <v>0</v>
      </c>
      <c r="W30" s="12"/>
    </row>
    <row r="31" spans="1:23" ht="15.75" customHeight="1" x14ac:dyDescent="0.4">
      <c r="A31" s="8" t="str">
        <f>CONCATENATE(Tabela5[[#This Row],[POLO]],Tabela5[[#This Row],[CURSOS]])</f>
        <v>Ponta Grossa/PR - CentroEMF-ISN</v>
      </c>
      <c r="B31" s="8" t="e">
        <f>CONCATENATE(Tabela5[[#This Row],[POLO]],Tabela5[[#This Row],[CATEGORIA]],_xlfn.XLOOKUP(Tabela5[[#This Row],[CHAVE LOTAÇÃO CLASSIFICAÇÃO DE CURSOS]],CHAVE!A:A,CHAVE!D:D))</f>
        <v>#N/A</v>
      </c>
      <c r="C31" s="19" t="s">
        <v>1357</v>
      </c>
      <c r="D31" s="16">
        <f>IFERROR(_xlfn.XLOOKUP(Tabela5[[#This Row],[NOME DO TUTOR]],TUT.CONTROL!C:C,TUT.CONTROL!V:V),_xlfn.XLOOKUP(Tabela5[[#This Row],[NOME DO TUTOR]],'REG.CONTROL'!C:C,'REG.CONTROL'!V:V))</f>
        <v>45917</v>
      </c>
      <c r="E31" s="17" t="s">
        <v>1347</v>
      </c>
      <c r="F31" s="18" t="s">
        <v>1348</v>
      </c>
      <c r="G31" s="8" t="s">
        <v>21</v>
      </c>
      <c r="H31" s="8" t="s">
        <v>22</v>
      </c>
      <c r="I31" s="8" t="s">
        <v>611</v>
      </c>
      <c r="J31" s="9" t="s">
        <v>612</v>
      </c>
      <c r="K31" s="10" t="s">
        <v>1349</v>
      </c>
      <c r="L31" s="17">
        <v>45873</v>
      </c>
      <c r="M31" s="19">
        <v>42999305910</v>
      </c>
      <c r="N31" s="22">
        <v>1158000802</v>
      </c>
      <c r="O31" s="10" t="s">
        <v>613</v>
      </c>
      <c r="P31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31" s="19" t="s">
        <v>1353</v>
      </c>
      <c r="R31" s="10">
        <f>IF(Tabela5[[#This Row],[SITUAÇÃO]]="Demitido",_xlfn.XLOOKUP(Tabela5[[#This Row],[CHAPA]],'Base de Tutores'!L:L,'Base de Tutores'!P:P),"")</f>
        <v>45917</v>
      </c>
      <c r="S31" s="19"/>
      <c r="T31" s="19"/>
      <c r="U31" s="8"/>
      <c r="V31" s="45">
        <f ca="1">AVERAGE(Tabela5[PERMANENCIA (MÊS)])/30</f>
        <v>0</v>
      </c>
      <c r="W31" s="12"/>
    </row>
    <row r="32" spans="1:23" ht="15.75" customHeight="1" x14ac:dyDescent="0.4">
      <c r="A32" s="8" t="str">
        <f>CONCATENATE(Tabela5[[#This Row],[POLO]],Tabela5[[#This Row],[CURSOS]])</f>
        <v>Boa Viagem/CEEMF-ISN</v>
      </c>
      <c r="B32" s="8" t="e">
        <f>CONCATENATE(Tabela5[[#This Row],[POLO]],Tabela5[[#This Row],[CATEGORIA]],_xlfn.XLOOKUP(Tabela5[[#This Row],[CHAVE LOTAÇÃO CLASSIFICAÇÃO DE CURSOS]],CHAVE!A:A,CHAVE!D:D))</f>
        <v>#N/A</v>
      </c>
      <c r="C32" s="19" t="s">
        <v>1352</v>
      </c>
      <c r="D32" s="16">
        <f>IFERROR(_xlfn.XLOOKUP(Tabela5[[#This Row],[NOME DO TUTOR]],TUT.CONTROL!C:C,TUT.CONTROL!V:V),_xlfn.XLOOKUP(Tabela5[[#This Row],[NOME DO TUTOR]],'REG.CONTROL'!C:C,'REG.CONTROL'!V:V))</f>
        <v>45919</v>
      </c>
      <c r="E32" s="17" t="s">
        <v>1347</v>
      </c>
      <c r="F32" s="18" t="s">
        <v>1348</v>
      </c>
      <c r="G32" s="8" t="s">
        <v>21</v>
      </c>
      <c r="H32" s="8" t="s">
        <v>22</v>
      </c>
      <c r="I32" s="8" t="s">
        <v>114</v>
      </c>
      <c r="J32" s="9" t="s">
        <v>117</v>
      </c>
      <c r="K32" s="10" t="s">
        <v>1349</v>
      </c>
      <c r="L32" s="17">
        <v>45735</v>
      </c>
      <c r="M32" s="19">
        <v>85992009088</v>
      </c>
      <c r="N32" s="22">
        <v>1158000576</v>
      </c>
      <c r="O32" s="10" t="s">
        <v>118</v>
      </c>
      <c r="P32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32" s="19" t="s">
        <v>1353</v>
      </c>
      <c r="R32" s="10">
        <f>IF(Tabela5[[#This Row],[SITUAÇÃO]]="Demitido",_xlfn.XLOOKUP(Tabela5[[#This Row],[CHAPA]],'Base de Tutores'!L:L,'Base de Tutores'!P:P),"")</f>
        <v>45919</v>
      </c>
      <c r="S32" s="19"/>
      <c r="T32" s="19"/>
      <c r="U32" s="8"/>
      <c r="V32" s="45">
        <f ca="1">AVERAGE(Tabela5[PERMANENCIA (MÊS)])/30</f>
        <v>0</v>
      </c>
      <c r="W32" s="12"/>
    </row>
    <row r="33" spans="1:23" ht="15.75" customHeight="1" x14ac:dyDescent="0.4">
      <c r="A33" s="8" t="str">
        <f>CONCATENATE(Tabela5[[#This Row],[POLO]],Tabela5[[#This Row],[CURSOS]])</f>
        <v>São Paulo/SP - TatuapéNTR</v>
      </c>
      <c r="B33" s="8" t="e">
        <f>CONCATENATE(Tabela5[[#This Row],[POLO]],Tabela5[[#This Row],[CATEGORIA]],_xlfn.XLOOKUP(Tabela5[[#This Row],[CHAVE LOTAÇÃO CLASSIFICAÇÃO DE CURSOS]],CHAVE!A:A,CHAVE!D:D))</f>
        <v>#N/A</v>
      </c>
      <c r="C33" s="19" t="s">
        <v>1352</v>
      </c>
      <c r="D33" s="16">
        <f>IFERROR(_xlfn.XLOOKUP(Tabela5[[#This Row],[NOME DO TUTOR]],TUT.CONTROL!C:C,TUT.CONTROL!V:V),_xlfn.XLOOKUP(Tabela5[[#This Row],[NOME DO TUTOR]],'REG.CONTROL'!C:C,'REG.CONTROL'!V:V))</f>
        <v>45922</v>
      </c>
      <c r="E33" s="17" t="s">
        <v>1347</v>
      </c>
      <c r="F33" s="18" t="s">
        <v>1348</v>
      </c>
      <c r="G33" s="8" t="s">
        <v>730</v>
      </c>
      <c r="H33" s="8" t="s">
        <v>731</v>
      </c>
      <c r="I33" s="8" t="s">
        <v>431</v>
      </c>
      <c r="J33" s="9" t="s">
        <v>741</v>
      </c>
      <c r="K33" s="10" t="s">
        <v>1349</v>
      </c>
      <c r="L33" s="17">
        <v>45873</v>
      </c>
      <c r="M33" s="19">
        <v>11981774992</v>
      </c>
      <c r="N33" s="22">
        <v>1158000824</v>
      </c>
      <c r="O33" s="10" t="s">
        <v>742</v>
      </c>
      <c r="P33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33" s="19" t="s">
        <v>1353</v>
      </c>
      <c r="R33" s="10">
        <f>IF(Tabela5[[#This Row],[SITUAÇÃO]]="Demitido",_xlfn.XLOOKUP(Tabela5[[#This Row],[CHAPA]],'Base de Tutores'!L:L,'Base de Tutores'!P:P),"")</f>
        <v>45922</v>
      </c>
      <c r="S33" s="19"/>
      <c r="T33" s="19"/>
      <c r="U33" s="8"/>
      <c r="V33" s="45">
        <f ca="1">AVERAGE(Tabela5[PERMANENCIA (MÊS)])/30</f>
        <v>0</v>
      </c>
      <c r="W33" s="12"/>
    </row>
    <row r="34" spans="1:23" ht="15.75" customHeight="1" x14ac:dyDescent="0.4">
      <c r="A34" s="8" t="str">
        <f>CONCATENATE(Tabela5[[#This Row],[POLO]],Tabela5[[#This Row],[CURSOS]])</f>
        <v>Cabo Frio/RJBFI</v>
      </c>
      <c r="B34" s="8" t="e">
        <f>CONCATENATE(Tabela5[[#This Row],[POLO]],Tabela5[[#This Row],[CATEGORIA]],_xlfn.XLOOKUP(Tabela5[[#This Row],[CHAVE LOTAÇÃO CLASSIFICAÇÃO DE CURSOS]],CHAVE!A:A,CHAVE!D:D))</f>
        <v>#N/A</v>
      </c>
      <c r="C34" s="19" t="s">
        <v>1352</v>
      </c>
      <c r="D34" s="16">
        <f>IFERROR(_xlfn.XLOOKUP(Tabela5[[#This Row],[NOME DO TUTOR]],TUT.CONTROL!C:C,TUT.CONTROL!V:V),_xlfn.XLOOKUP(Tabela5[[#This Row],[NOME DO TUTOR]],'REG.CONTROL'!C:C,'REG.CONTROL'!V:V))</f>
        <v>45924</v>
      </c>
      <c r="E34" s="17" t="s">
        <v>1347</v>
      </c>
      <c r="F34" s="18" t="s">
        <v>1348</v>
      </c>
      <c r="G34" s="8" t="s">
        <v>757</v>
      </c>
      <c r="H34" s="8" t="s">
        <v>758</v>
      </c>
      <c r="I34" s="8" t="s">
        <v>154</v>
      </c>
      <c r="J34" s="9" t="s">
        <v>1011</v>
      </c>
      <c r="K34" s="10" t="s">
        <v>1349</v>
      </c>
      <c r="L34" s="17">
        <v>45901</v>
      </c>
      <c r="M34" s="19">
        <v>22998164591</v>
      </c>
      <c r="N34" s="22">
        <v>1158000951</v>
      </c>
      <c r="O34" s="10" t="s">
        <v>1012</v>
      </c>
      <c r="P34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34" s="19" t="s">
        <v>1353</v>
      </c>
      <c r="R34" s="10">
        <f>IF(Tabela5[[#This Row],[SITUAÇÃO]]="Demitido",_xlfn.XLOOKUP(Tabela5[[#This Row],[CHAPA]],'Base de Tutores'!L:L,'Base de Tutores'!P:P),"")</f>
        <v>45924</v>
      </c>
      <c r="S34" s="19"/>
      <c r="T34" s="19"/>
      <c r="U34" s="8"/>
      <c r="V34" s="45">
        <f ca="1">AVERAGE(Tabela5[PERMANENCIA (MÊS)])/30</f>
        <v>0</v>
      </c>
      <c r="W34" s="12"/>
    </row>
    <row r="35" spans="1:23" ht="15.75" customHeight="1" x14ac:dyDescent="0.4">
      <c r="A35" s="8" t="str">
        <f>CONCATENATE(Tabela5[[#This Row],[POLO]],Tabela5[[#This Row],[CURSOS]])</f>
        <v>Bento Gonçalves/RSAGM</v>
      </c>
      <c r="B35" s="8" t="e">
        <f>CONCATENATE(Tabela5[[#This Row],[POLO]],Tabela5[[#This Row],[CATEGORIA]],_xlfn.XLOOKUP(Tabela5[[#This Row],[CHAVE LOTAÇÃO CLASSIFICAÇÃO DE CURSOS]],CHAVE!A:A,CHAVE!D:D))</f>
        <v>#N/A</v>
      </c>
      <c r="C35" s="19" t="s">
        <v>1357</v>
      </c>
      <c r="D35" s="16">
        <f>IFERROR(_xlfn.XLOOKUP(Tabela5[[#This Row],[NOME DO TUTOR]],TUT.CONTROL!C:C,TUT.CONTROL!V:V),_xlfn.XLOOKUP(Tabela5[[#This Row],[NOME DO TUTOR]],'REG.CONTROL'!C:C,'REG.CONTROL'!V:V))</f>
        <v>45931</v>
      </c>
      <c r="E35" s="17" t="s">
        <v>1347</v>
      </c>
      <c r="F35" s="18" t="s">
        <v>1348</v>
      </c>
      <c r="G35" s="8" t="s">
        <v>734</v>
      </c>
      <c r="H35" s="8" t="s">
        <v>735</v>
      </c>
      <c r="I35" s="8" t="s">
        <v>106</v>
      </c>
      <c r="J35" s="9" t="s">
        <v>743</v>
      </c>
      <c r="K35" s="10" t="s">
        <v>1349</v>
      </c>
      <c r="L35" s="17">
        <v>45873</v>
      </c>
      <c r="M35" s="19">
        <v>55996478933</v>
      </c>
      <c r="N35" s="22">
        <v>1158000819</v>
      </c>
      <c r="O35" s="10" t="s">
        <v>744</v>
      </c>
      <c r="P35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35" s="19" t="s">
        <v>1353</v>
      </c>
      <c r="R35" s="10">
        <f>IF(Tabela5[[#This Row],[SITUAÇÃO]]="Demitido",_xlfn.XLOOKUP(Tabela5[[#This Row],[CHAPA]],'Base de Tutores'!L:L,'Base de Tutores'!P:P),"")</f>
        <v>45931</v>
      </c>
      <c r="S35" s="19"/>
      <c r="T35" s="19"/>
      <c r="U35" s="8"/>
      <c r="V35" s="45">
        <f ca="1">AVERAGE(Tabela5[PERMANENCIA (MÊS)])/30</f>
        <v>0</v>
      </c>
      <c r="W35" s="12"/>
    </row>
    <row r="36" spans="1:23" ht="15.75" customHeight="1" x14ac:dyDescent="0.4">
      <c r="A36" s="8" t="str">
        <f>CONCATENATE(Tabela5[[#This Row],[POLO]],Tabela5[[#This Row],[CURSOS]])</f>
        <v>Joinville/SC - SaguaçuAGM</v>
      </c>
      <c r="B36" s="8" t="e">
        <f>CONCATENATE(Tabela5[[#This Row],[POLO]],Tabela5[[#This Row],[CATEGORIA]],_xlfn.XLOOKUP(Tabela5[[#This Row],[CHAVE LOTAÇÃO CLASSIFICAÇÃO DE CURSOS]],CHAVE!A:A,CHAVE!D:D))</f>
        <v>#N/A</v>
      </c>
      <c r="C36" s="19" t="s">
        <v>1357</v>
      </c>
      <c r="D36" s="16">
        <f>IFERROR(_xlfn.XLOOKUP(Tabela5[[#This Row],[NOME DO TUTOR]],TUT.CONTROL!C:C,TUT.CONTROL!V:V),_xlfn.XLOOKUP(Tabela5[[#This Row],[NOME DO TUTOR]],'REG.CONTROL'!C:C,'REG.CONTROL'!V:V))</f>
        <v>45931</v>
      </c>
      <c r="E36" s="17" t="s">
        <v>1347</v>
      </c>
      <c r="F36" s="18" t="s">
        <v>1348</v>
      </c>
      <c r="G36" s="8" t="s">
        <v>734</v>
      </c>
      <c r="H36" s="8" t="s">
        <v>735</v>
      </c>
      <c r="I36" s="8" t="s">
        <v>401</v>
      </c>
      <c r="J36" s="9" t="s">
        <v>745</v>
      </c>
      <c r="K36" s="10" t="s">
        <v>1349</v>
      </c>
      <c r="L36" s="17">
        <v>45873</v>
      </c>
      <c r="M36" s="19">
        <v>47997468365</v>
      </c>
      <c r="N36" s="22">
        <v>1158000804</v>
      </c>
      <c r="O36" s="10" t="s">
        <v>746</v>
      </c>
      <c r="P36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36" s="19" t="s">
        <v>1353</v>
      </c>
      <c r="R36" s="10">
        <f>IF(Tabela5[[#This Row],[SITUAÇÃO]]="Demitido",_xlfn.XLOOKUP(Tabela5[[#This Row],[CHAPA]],'Base de Tutores'!L:L,'Base de Tutores'!P:P),"")</f>
        <v>45931</v>
      </c>
      <c r="S36" s="19"/>
      <c r="T36" s="19"/>
      <c r="U36" s="8"/>
      <c r="V36" s="45">
        <f ca="1">AVERAGE(Tabela5[PERMANENCIA (MÊS)])/30</f>
        <v>0</v>
      </c>
      <c r="W36" s="12"/>
    </row>
    <row r="37" spans="1:23" ht="15.75" customHeight="1" x14ac:dyDescent="0.4">
      <c r="A37" s="8" t="str">
        <f>CONCATENATE(Tabela5[[#This Row],[POLO]],Tabela5[[#This Row],[CURSOS]])</f>
        <v>Camboriú/SCAGM</v>
      </c>
      <c r="B37" s="8" t="e">
        <f>CONCATENATE(Tabela5[[#This Row],[POLO]],Tabela5[[#This Row],[CATEGORIA]],_xlfn.XLOOKUP(Tabela5[[#This Row],[CHAVE LOTAÇÃO CLASSIFICAÇÃO DE CURSOS]],CHAVE!A:A,CHAVE!D:D))</f>
        <v>#N/A</v>
      </c>
      <c r="C37" s="19" t="s">
        <v>1357</v>
      </c>
      <c r="D37" s="16">
        <f>IFERROR(_xlfn.XLOOKUP(Tabela5[[#This Row],[NOME DO TUTOR]],TUT.CONTROL!C:C,TUT.CONTROL!V:V),_xlfn.XLOOKUP(Tabela5[[#This Row],[NOME DO TUTOR]],'REG.CONTROL'!C:C,'REG.CONTROL'!V:V))</f>
        <v>45931</v>
      </c>
      <c r="E37" s="17" t="s">
        <v>1347</v>
      </c>
      <c r="F37" s="18" t="s">
        <v>1348</v>
      </c>
      <c r="G37" s="8" t="s">
        <v>734</v>
      </c>
      <c r="H37" s="8" t="s">
        <v>735</v>
      </c>
      <c r="I37" s="8" t="s">
        <v>706</v>
      </c>
      <c r="J37" s="9" t="s">
        <v>747</v>
      </c>
      <c r="K37" s="10" t="s">
        <v>1349</v>
      </c>
      <c r="L37" s="17">
        <v>45873</v>
      </c>
      <c r="M37" s="19">
        <v>31994442343</v>
      </c>
      <c r="N37" s="22">
        <v>1158000839</v>
      </c>
      <c r="O37" s="10" t="s">
        <v>748</v>
      </c>
      <c r="P37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37" s="19" t="s">
        <v>1353</v>
      </c>
      <c r="R37" s="10">
        <f>IF(Tabela5[[#This Row],[SITUAÇÃO]]="Demitido",_xlfn.XLOOKUP(Tabela5[[#This Row],[CHAPA]],'Base de Tutores'!L:L,'Base de Tutores'!P:P),"")</f>
        <v>45931</v>
      </c>
      <c r="S37" s="19"/>
      <c r="T37" s="19"/>
      <c r="U37" s="8"/>
      <c r="V37" s="45">
        <f ca="1">AVERAGE(Tabela5[PERMANENCIA (MÊS)])/30</f>
        <v>0</v>
      </c>
      <c r="W37" s="12"/>
    </row>
    <row r="38" spans="1:23" ht="15.75" customHeight="1" x14ac:dyDescent="0.4">
      <c r="A38" s="8" t="str">
        <f>CONCATENATE(Tabela5[[#This Row],[POLO]],Tabela5[[#This Row],[CURSOS]])</f>
        <v>Curitiba/PR - CentroBTO</v>
      </c>
      <c r="B38" s="8" t="e">
        <f>CONCATENATE(Tabela5[[#This Row],[POLO]],Tabela5[[#This Row],[CATEGORIA]],_xlfn.XLOOKUP(Tabela5[[#This Row],[CHAVE LOTAÇÃO CLASSIFICAÇÃO DE CURSOS]],CHAVE!A:A,CHAVE!D:D))</f>
        <v>#N/A</v>
      </c>
      <c r="C38" s="19" t="s">
        <v>1352</v>
      </c>
      <c r="D38" s="16">
        <f>IFERROR(_xlfn.XLOOKUP(Tabela5[[#This Row],[NOME DO TUTOR]],TUT.CONTROL!C:C,TUT.CONTROL!V:V),_xlfn.XLOOKUP(Tabela5[[#This Row],[NOME DO TUTOR]],'REG.CONTROL'!C:C,'REG.CONTROL'!V:V))</f>
        <v>45931</v>
      </c>
      <c r="E38" s="17" t="s">
        <v>1347</v>
      </c>
      <c r="F38" s="18" t="s">
        <v>1348</v>
      </c>
      <c r="G38" s="8" t="s">
        <v>757</v>
      </c>
      <c r="H38" s="8" t="s">
        <v>987</v>
      </c>
      <c r="I38" s="8" t="s">
        <v>259</v>
      </c>
      <c r="J38" s="9" t="s">
        <v>1016</v>
      </c>
      <c r="K38" s="10" t="s">
        <v>1349</v>
      </c>
      <c r="L38" s="17">
        <v>45901</v>
      </c>
      <c r="M38" s="19">
        <v>41996366079</v>
      </c>
      <c r="N38" s="22">
        <v>1158000933</v>
      </c>
      <c r="O38" s="10" t="s">
        <v>1017</v>
      </c>
      <c r="P38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38" s="19" t="s">
        <v>1353</v>
      </c>
      <c r="R38" s="10">
        <f>IF(Tabela5[[#This Row],[SITUAÇÃO]]="Demitido",_xlfn.XLOOKUP(Tabela5[[#This Row],[CHAPA]],'Base de Tutores'!L:L,'Base de Tutores'!P:P),"")</f>
        <v>45931</v>
      </c>
      <c r="S38" s="19"/>
      <c r="T38" s="19"/>
      <c r="U38" s="8"/>
      <c r="V38" s="45">
        <f ca="1">AVERAGE(Tabela5[PERMANENCIA (MÊS)])/30</f>
        <v>0</v>
      </c>
      <c r="W38" s="12"/>
    </row>
    <row r="39" spans="1:23" ht="15.75" customHeight="1" x14ac:dyDescent="0.4">
      <c r="A39" s="8" t="str">
        <f>CONCATENATE(Tabela5[[#This Row],[POLO]],Tabela5[[#This Row],[CURSOS]])</f>
        <v>Ananindeua/PA - Cidade NovaEMF-ISN</v>
      </c>
      <c r="B39" s="8" t="e">
        <f>CONCATENATE(Tabela5[[#This Row],[POLO]],Tabela5[[#This Row],[CATEGORIA]],_xlfn.XLOOKUP(Tabela5[[#This Row],[CHAVE LOTAÇÃO CLASSIFICAÇÃO DE CURSOS]],CHAVE!A:A,CHAVE!D:D))</f>
        <v>#N/A</v>
      </c>
      <c r="C39" s="19" t="s">
        <v>1357</v>
      </c>
      <c r="D39" s="16">
        <f>IFERROR(_xlfn.XLOOKUP(Tabela5[[#This Row],[NOME DO TUTOR]],TUT.CONTROL!C:C,TUT.CONTROL!V:V),_xlfn.XLOOKUP(Tabela5[[#This Row],[NOME DO TUTOR]],'REG.CONTROL'!C:C,'REG.CONTROL'!V:V))</f>
        <v>45931</v>
      </c>
      <c r="E39" s="17" t="s">
        <v>1347</v>
      </c>
      <c r="F39" s="18" t="s">
        <v>1348</v>
      </c>
      <c r="G39" s="8" t="s">
        <v>21</v>
      </c>
      <c r="H39" s="8" t="s">
        <v>22</v>
      </c>
      <c r="I39" s="8" t="s">
        <v>45</v>
      </c>
      <c r="J39" s="9" t="s">
        <v>48</v>
      </c>
      <c r="K39" s="10" t="s">
        <v>1349</v>
      </c>
      <c r="L39" s="17">
        <v>45887</v>
      </c>
      <c r="M39" s="19">
        <v>91992101489</v>
      </c>
      <c r="N39" s="22">
        <v>1158000891</v>
      </c>
      <c r="O39" s="10" t="s">
        <v>49</v>
      </c>
      <c r="P39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39" s="19" t="s">
        <v>1353</v>
      </c>
      <c r="R39" s="10">
        <f>IF(Tabela5[[#This Row],[SITUAÇÃO]]="Demitido",_xlfn.XLOOKUP(Tabela5[[#This Row],[CHAPA]],'Base de Tutores'!L:L,'Base de Tutores'!P:P),"")</f>
        <v>45931</v>
      </c>
      <c r="S39" s="19"/>
      <c r="T39" s="19"/>
      <c r="U39" s="8"/>
      <c r="V39" s="45">
        <f ca="1">AVERAGE(Tabela5[PERMANENCIA (MÊS)])/30</f>
        <v>0</v>
      </c>
      <c r="W39" s="12"/>
    </row>
    <row r="40" spans="1:23" ht="15.75" customHeight="1" x14ac:dyDescent="0.4">
      <c r="A40" s="8" t="str">
        <f>CONCATENATE(Tabela5[[#This Row],[POLO]],Tabela5[[#This Row],[CURSOS]])</f>
        <v>Vila Velha/ESAGM</v>
      </c>
      <c r="B40" s="8" t="e">
        <f>CONCATENATE(Tabela5[[#This Row],[POLO]],Tabela5[[#This Row],[CATEGORIA]],_xlfn.XLOOKUP(Tabela5[[#This Row],[CHAVE LOTAÇÃO CLASSIFICAÇÃO DE CURSOS]],CHAVE!A:A,CHAVE!D:D))</f>
        <v>#N/A</v>
      </c>
      <c r="C40" s="19" t="s">
        <v>1357</v>
      </c>
      <c r="D40" s="16">
        <f>IFERROR(_xlfn.XLOOKUP(Tabela5[[#This Row],[NOME DO TUTOR]],TUT.CONTROL!C:C,TUT.CONTROL!V:V),_xlfn.XLOOKUP(Tabela5[[#This Row],[NOME DO TUTOR]],'REG.CONTROL'!C:C,'REG.CONTROL'!V:V))</f>
        <v>45931</v>
      </c>
      <c r="E40" s="17" t="s">
        <v>1347</v>
      </c>
      <c r="F40" s="18" t="s">
        <v>1348</v>
      </c>
      <c r="G40" s="8" t="s">
        <v>734</v>
      </c>
      <c r="H40" s="8" t="s">
        <v>735</v>
      </c>
      <c r="I40" s="8" t="s">
        <v>749</v>
      </c>
      <c r="J40" s="9" t="s">
        <v>750</v>
      </c>
      <c r="K40" s="10" t="s">
        <v>1349</v>
      </c>
      <c r="L40" s="17">
        <v>45873</v>
      </c>
      <c r="M40" s="19">
        <v>27998899432</v>
      </c>
      <c r="N40" s="22">
        <v>1158000810</v>
      </c>
      <c r="O40" s="10" t="s">
        <v>751</v>
      </c>
      <c r="P40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40" s="19" t="s">
        <v>1353</v>
      </c>
      <c r="R40" s="10">
        <f>IF(Tabela5[[#This Row],[SITUAÇÃO]]="Demitido",_xlfn.XLOOKUP(Tabela5[[#This Row],[CHAPA]],'Base de Tutores'!L:L,'Base de Tutores'!P:P),"")</f>
        <v>45931</v>
      </c>
      <c r="S40" s="19"/>
      <c r="T40" s="19"/>
      <c r="U40" s="8"/>
      <c r="V40" s="45">
        <f ca="1">AVERAGE(Tabela5[PERMANENCIA (MÊS)])/30</f>
        <v>0</v>
      </c>
      <c r="W40" s="12"/>
    </row>
    <row r="41" spans="1:23" ht="15.75" customHeight="1" x14ac:dyDescent="0.4">
      <c r="A41" s="8" t="str">
        <f>CONCATENATE(Tabela5[[#This Row],[POLO]],Tabela5[[#This Row],[CURSOS]])</f>
        <v>Baturité/CEEMF-ISN</v>
      </c>
      <c r="B41" s="8" t="e">
        <f>CONCATENATE(Tabela5[[#This Row],[POLO]],Tabela5[[#This Row],[CATEGORIA]],_xlfn.XLOOKUP(Tabela5[[#This Row],[CHAVE LOTAÇÃO CLASSIFICAÇÃO DE CURSOS]],CHAVE!A:A,CHAVE!D:D))</f>
        <v>#N/A</v>
      </c>
      <c r="C41" s="19" t="s">
        <v>1352</v>
      </c>
      <c r="D41" s="16">
        <f>IFERROR(_xlfn.XLOOKUP(Tabela5[[#This Row],[NOME DO TUTOR]],TUT.CONTROL!C:C,TUT.CONTROL!V:V),_xlfn.XLOOKUP(Tabela5[[#This Row],[NOME DO TUTOR]],'REG.CONTROL'!C:C,'REG.CONTROL'!V:V))</f>
        <v>45931</v>
      </c>
      <c r="E41" s="17" t="s">
        <v>1347</v>
      </c>
      <c r="F41" s="18" t="s">
        <v>1348</v>
      </c>
      <c r="G41" s="8" t="s">
        <v>21</v>
      </c>
      <c r="H41" s="8" t="s">
        <v>22</v>
      </c>
      <c r="I41" s="8" t="s">
        <v>87</v>
      </c>
      <c r="J41" s="9" t="s">
        <v>91</v>
      </c>
      <c r="K41" s="10" t="s">
        <v>1349</v>
      </c>
      <c r="L41" s="17">
        <v>45901</v>
      </c>
      <c r="M41" s="19">
        <v>85997962465</v>
      </c>
      <c r="N41" s="22">
        <v>1158000952</v>
      </c>
      <c r="O41" s="10" t="s">
        <v>92</v>
      </c>
      <c r="P41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41" s="19" t="s">
        <v>1353</v>
      </c>
      <c r="R41" s="10">
        <f>IF(Tabela5[[#This Row],[SITUAÇÃO]]="Demitido",_xlfn.XLOOKUP(Tabela5[[#This Row],[CHAPA]],'Base de Tutores'!L:L,'Base de Tutores'!P:P),"")</f>
        <v>45931</v>
      </c>
      <c r="S41" s="19"/>
      <c r="T41" s="19"/>
      <c r="U41" s="8"/>
      <c r="V41" s="45">
        <f ca="1">AVERAGE(Tabela5[PERMANENCIA (MÊS)])/30</f>
        <v>0</v>
      </c>
      <c r="W41" s="12"/>
    </row>
    <row r="42" spans="1:23" ht="15.75" customHeight="1" x14ac:dyDescent="0.4">
      <c r="A42" s="8" t="str">
        <f>CONCATENATE(Tabela5[[#This Row],[POLO]],Tabela5[[#This Row],[CURSOS]])</f>
        <v>Cocos/BAEMF-ISN</v>
      </c>
      <c r="B42" s="8" t="e">
        <f>CONCATENATE(Tabela5[[#This Row],[POLO]],Tabela5[[#This Row],[CATEGORIA]],_xlfn.XLOOKUP(Tabela5[[#This Row],[CHAVE LOTAÇÃO CLASSIFICAÇÃO DE CURSOS]],CHAVE!A:A,CHAVE!D:D))</f>
        <v>#N/A</v>
      </c>
      <c r="C42" s="19" t="s">
        <v>1352</v>
      </c>
      <c r="D42" s="16">
        <f>IFERROR(_xlfn.XLOOKUP(Tabela5[[#This Row],[NOME DO TUTOR]],TUT.CONTROL!C:C,TUT.CONTROL!V:V),_xlfn.XLOOKUP(Tabela5[[#This Row],[NOME DO TUTOR]],'REG.CONTROL'!C:C,'REG.CONTROL'!V:V))</f>
        <v>45931</v>
      </c>
      <c r="E42" s="17" t="s">
        <v>1347</v>
      </c>
      <c r="F42" s="18" t="s">
        <v>1348</v>
      </c>
      <c r="G42" s="8" t="s">
        <v>21</v>
      </c>
      <c r="H42" s="8" t="s">
        <v>22</v>
      </c>
      <c r="I42" s="8" t="s">
        <v>225</v>
      </c>
      <c r="J42" s="9" t="s">
        <v>226</v>
      </c>
      <c r="K42" s="10" t="s">
        <v>1349</v>
      </c>
      <c r="L42" s="17">
        <v>45749</v>
      </c>
      <c r="M42" s="19" t="s">
        <v>227</v>
      </c>
      <c r="N42" s="22">
        <v>1158000669</v>
      </c>
      <c r="O42" s="10" t="s">
        <v>228</v>
      </c>
      <c r="P42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42" s="19" t="s">
        <v>1353</v>
      </c>
      <c r="R42" s="10">
        <f>IF(Tabela5[[#This Row],[SITUAÇÃO]]="Demitido",_xlfn.XLOOKUP(Tabela5[[#This Row],[CHAPA]],'Base de Tutores'!L:L,'Base de Tutores'!P:P),"")</f>
        <v>45931</v>
      </c>
      <c r="S42" s="19"/>
      <c r="T42" s="19"/>
      <c r="U42" s="8"/>
      <c r="V42" s="45">
        <f ca="1">AVERAGE(Tabela5[PERMANENCIA (MÊS)])/30</f>
        <v>0</v>
      </c>
      <c r="W42" s="12"/>
    </row>
    <row r="43" spans="1:23" ht="15.75" customHeight="1" x14ac:dyDescent="0.4">
      <c r="A43" s="8" t="str">
        <f>CONCATENATE(Tabela5[[#This Row],[POLO]],Tabela5[[#This Row],[CURSOS]])</f>
        <v>Garanhuns/PEAGM</v>
      </c>
      <c r="B43" s="8" t="e">
        <f>CONCATENATE(Tabela5[[#This Row],[POLO]],Tabela5[[#This Row],[CATEGORIA]],_xlfn.XLOOKUP(Tabela5[[#This Row],[CHAVE LOTAÇÃO CLASSIFICAÇÃO DE CURSOS]],CHAVE!A:A,CHAVE!D:D))</f>
        <v>#N/A</v>
      </c>
      <c r="C43" s="19" t="s">
        <v>1357</v>
      </c>
      <c r="D43" s="16">
        <f>IFERROR(_xlfn.XLOOKUP(Tabela5[[#This Row],[NOME DO TUTOR]],TUT.CONTROL!C:C,TUT.CONTROL!V:V),_xlfn.XLOOKUP(Tabela5[[#This Row],[NOME DO TUTOR]],'REG.CONTROL'!C:C,'REG.CONTROL'!V:V))</f>
        <v>45931</v>
      </c>
      <c r="E43" s="17" t="s">
        <v>1347</v>
      </c>
      <c r="F43" s="18" t="s">
        <v>1348</v>
      </c>
      <c r="G43" s="8" t="s">
        <v>734</v>
      </c>
      <c r="H43" s="8" t="s">
        <v>735</v>
      </c>
      <c r="I43" s="8" t="s">
        <v>310</v>
      </c>
      <c r="J43" s="9" t="s">
        <v>1018</v>
      </c>
      <c r="K43" s="10" t="s">
        <v>1349</v>
      </c>
      <c r="L43" s="17">
        <v>45901</v>
      </c>
      <c r="M43" s="19">
        <v>21983908068</v>
      </c>
      <c r="N43" s="22">
        <v>1158000944</v>
      </c>
      <c r="O43" s="10" t="s">
        <v>1019</v>
      </c>
      <c r="P43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43" s="19" t="s">
        <v>1353</v>
      </c>
      <c r="R43" s="10">
        <f>IF(Tabela5[[#This Row],[SITUAÇÃO]]="Demitido",_xlfn.XLOOKUP(Tabela5[[#This Row],[CHAPA]],'Base de Tutores'!L:L,'Base de Tutores'!P:P),"")</f>
        <v>45931</v>
      </c>
      <c r="S43" s="19"/>
      <c r="T43" s="19"/>
      <c r="U43" s="8"/>
      <c r="V43" s="45">
        <f ca="1">AVERAGE(Tabela5[PERMANENCIA (MÊS)])/30</f>
        <v>0</v>
      </c>
      <c r="W43" s="12"/>
    </row>
    <row r="44" spans="1:23" ht="15.75" customHeight="1" x14ac:dyDescent="0.4">
      <c r="A44" s="8" t="str">
        <f>CONCATENATE(Tabela5[[#This Row],[POLO]],Tabela5[[#This Row],[CURSOS]])</f>
        <v>Fazenda Rio Grande/PREMF-ISN</v>
      </c>
      <c r="B44" s="8" t="e">
        <f>CONCATENATE(Tabela5[[#This Row],[POLO]],Tabela5[[#This Row],[CATEGORIA]],_xlfn.XLOOKUP(Tabela5[[#This Row],[CHAVE LOTAÇÃO CLASSIFICAÇÃO DE CURSOS]],CHAVE!A:A,CHAVE!D:D))</f>
        <v>#N/A</v>
      </c>
      <c r="C44" s="19" t="s">
        <v>1352</v>
      </c>
      <c r="D44" s="16">
        <f>IFERROR(_xlfn.XLOOKUP(Tabela5[[#This Row],[NOME DO TUTOR]],TUT.CONTROL!C:C,TUT.CONTROL!V:V),_xlfn.XLOOKUP(Tabela5[[#This Row],[NOME DO TUTOR]],'REG.CONTROL'!C:C,'REG.CONTROL'!V:V))</f>
        <v>45931</v>
      </c>
      <c r="E44" s="17" t="s">
        <v>1347</v>
      </c>
      <c r="F44" s="18" t="s">
        <v>1348</v>
      </c>
      <c r="G44" s="8" t="s">
        <v>21</v>
      </c>
      <c r="H44" s="8" t="s">
        <v>22</v>
      </c>
      <c r="I44" s="8" t="s">
        <v>279</v>
      </c>
      <c r="J44" s="9" t="s">
        <v>280</v>
      </c>
      <c r="K44" s="10" t="s">
        <v>1349</v>
      </c>
      <c r="L44" s="17">
        <v>45812</v>
      </c>
      <c r="M44" s="19">
        <v>69993222184</v>
      </c>
      <c r="N44" s="22">
        <v>1158000740</v>
      </c>
      <c r="O44" s="10" t="s">
        <v>281</v>
      </c>
      <c r="P44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44" s="19" t="s">
        <v>1353</v>
      </c>
      <c r="R44" s="10">
        <f>IF(Tabela5[[#This Row],[SITUAÇÃO]]="Demitido",_xlfn.XLOOKUP(Tabela5[[#This Row],[CHAPA]],'Base de Tutores'!L:L,'Base de Tutores'!P:P),"")</f>
        <v>45931</v>
      </c>
      <c r="S44" s="19"/>
      <c r="T44" s="19"/>
      <c r="U44" s="8"/>
      <c r="V44" s="45">
        <f ca="1">AVERAGE(Tabela5[PERMANENCIA (MÊS)])/30</f>
        <v>0</v>
      </c>
    </row>
    <row r="45" spans="1:23" ht="15.75" customHeight="1" x14ac:dyDescent="0.4">
      <c r="A45" s="8" t="str">
        <f>CONCATENATE(Tabela5[[#This Row],[POLO]],Tabela5[[#This Row],[CURSOS]])</f>
        <v>Três Lagoas/MSAGM</v>
      </c>
      <c r="B45" s="8" t="e">
        <f>CONCATENATE(Tabela5[[#This Row],[POLO]],Tabela5[[#This Row],[CATEGORIA]],_xlfn.XLOOKUP(Tabela5[[#This Row],[CHAVE LOTAÇÃO CLASSIFICAÇÃO DE CURSOS]],CHAVE!A:A,CHAVE!D:D))</f>
        <v>#N/A</v>
      </c>
      <c r="C45" s="19" t="s">
        <v>1357</v>
      </c>
      <c r="D45" s="16">
        <f>IFERROR(_xlfn.XLOOKUP(Tabela5[[#This Row],[NOME DO TUTOR]],TUT.CONTROL!C:C,TUT.CONTROL!V:V),_xlfn.XLOOKUP(Tabela5[[#This Row],[NOME DO TUTOR]],'REG.CONTROL'!C:C,'REG.CONTROL'!V:V))</f>
        <v>45931</v>
      </c>
      <c r="E45" s="17" t="s">
        <v>1347</v>
      </c>
      <c r="F45" s="18" t="s">
        <v>1348</v>
      </c>
      <c r="G45" s="8" t="s">
        <v>734</v>
      </c>
      <c r="H45" s="8" t="s">
        <v>735</v>
      </c>
      <c r="I45" s="8" t="s">
        <v>843</v>
      </c>
      <c r="J45" s="9" t="s">
        <v>844</v>
      </c>
      <c r="K45" s="10" t="s">
        <v>1349</v>
      </c>
      <c r="L45" s="17">
        <v>45875</v>
      </c>
      <c r="M45" s="19">
        <v>67991025133</v>
      </c>
      <c r="N45" s="22">
        <v>1158000850</v>
      </c>
      <c r="O45" s="10" t="s">
        <v>845</v>
      </c>
      <c r="P45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45" s="19" t="s">
        <v>1353</v>
      </c>
      <c r="R45" s="10">
        <f>IF(Tabela5[[#This Row],[SITUAÇÃO]]="Demitido",_xlfn.XLOOKUP(Tabela5[[#This Row],[CHAPA]],'Base de Tutores'!L:L,'Base de Tutores'!P:P),"")</f>
        <v>45931</v>
      </c>
      <c r="S45" s="19"/>
      <c r="T45" s="19"/>
      <c r="U45" s="8"/>
      <c r="V45" s="45">
        <f ca="1">AVERAGE(Tabela5[PERMANENCIA (MÊS)])/30</f>
        <v>0</v>
      </c>
    </row>
    <row r="46" spans="1:23" ht="15.75" customHeight="1" x14ac:dyDescent="0.4">
      <c r="A46" s="8" t="str">
        <f>CONCATENATE(Tabela5[[#This Row],[POLO]],Tabela5[[#This Row],[CURSOS]])</f>
        <v>Novo Hamburgo/RS - CentroBFR</v>
      </c>
      <c r="B46" s="8" t="e">
        <f>CONCATENATE(Tabela5[[#This Row],[POLO]],Tabela5[[#This Row],[CATEGORIA]],_xlfn.XLOOKUP(Tabela5[[#This Row],[CHAVE LOTAÇÃO CLASSIFICAÇÃO DE CURSOS]],CHAVE!A:A,CHAVE!D:D))</f>
        <v>#N/A</v>
      </c>
      <c r="C46" s="19" t="s">
        <v>1352</v>
      </c>
      <c r="D46" s="16">
        <f>IFERROR(_xlfn.XLOOKUP(Tabela5[[#This Row],[NOME DO TUTOR]],TUT.CONTROL!C:C,TUT.CONTROL!V:V),_xlfn.XLOOKUP(Tabela5[[#This Row],[NOME DO TUTOR]],'REG.CONTROL'!C:C,'REG.CONTROL'!V:V))</f>
        <v>45933</v>
      </c>
      <c r="E46" s="17" t="s">
        <v>1347</v>
      </c>
      <c r="F46" s="18" t="s">
        <v>1348</v>
      </c>
      <c r="G46" s="8" t="s">
        <v>771</v>
      </c>
      <c r="H46" s="8" t="s">
        <v>772</v>
      </c>
      <c r="I46" s="8" t="s">
        <v>520</v>
      </c>
      <c r="J46" s="9" t="s">
        <v>928</v>
      </c>
      <c r="K46" s="10" t="s">
        <v>1349</v>
      </c>
      <c r="L46" s="17">
        <v>45887</v>
      </c>
      <c r="M46" s="19">
        <v>54996681067</v>
      </c>
      <c r="N46" s="22">
        <v>1158000880</v>
      </c>
      <c r="O46" s="10" t="s">
        <v>929</v>
      </c>
      <c r="P46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46" s="19" t="s">
        <v>1353</v>
      </c>
      <c r="R46" s="10">
        <f>IF(Tabela5[[#This Row],[SITUAÇÃO]]="Demitido",_xlfn.XLOOKUP(Tabela5[[#This Row],[CHAPA]],'Base de Tutores'!L:L,'Base de Tutores'!P:P),"")</f>
        <v>45933</v>
      </c>
      <c r="S46" s="19"/>
      <c r="T46" s="19"/>
      <c r="U46" s="8"/>
      <c r="V46" s="8">
        <f ca="1">AVERAGE(Tabela5[PERMANENCIA (MÊS)])/30</f>
        <v>0</v>
      </c>
    </row>
    <row r="47" spans="1:23" ht="15.75" customHeight="1" x14ac:dyDescent="0.4">
      <c r="A47" s="8" t="str">
        <f>CONCATENATE(Tabela5[[#This Row],[POLO]],Tabela5[[#This Row],[CURSOS]])</f>
        <v>Rolim de Moura/ROAGM</v>
      </c>
      <c r="B47" s="8" t="e">
        <f>CONCATENATE(Tabela5[[#This Row],[POLO]],Tabela5[[#This Row],[CATEGORIA]],_xlfn.XLOOKUP(Tabela5[[#This Row],[CHAVE LOTAÇÃO CLASSIFICAÇÃO DE CURSOS]],CHAVE!A:A,CHAVE!D:D))</f>
        <v>#N/A</v>
      </c>
      <c r="C47" s="19" t="s">
        <v>1352</v>
      </c>
      <c r="D47" s="16">
        <f>IFERROR(_xlfn.XLOOKUP(Tabela5[[#This Row],[NOME DO TUTOR]],TUT.CONTROL!C:C,TUT.CONTROL!V:V),_xlfn.XLOOKUP(Tabela5[[#This Row],[NOME DO TUTOR]],'REG.CONTROL'!C:C,'REG.CONTROL'!V:V))</f>
        <v>45933</v>
      </c>
      <c r="E47" s="17" t="s">
        <v>1347</v>
      </c>
      <c r="F47" s="18" t="s">
        <v>1348</v>
      </c>
      <c r="G47" s="8" t="s">
        <v>734</v>
      </c>
      <c r="H47" s="8" t="s">
        <v>735</v>
      </c>
      <c r="I47" s="8" t="s">
        <v>723</v>
      </c>
      <c r="J47" s="9" t="s">
        <v>930</v>
      </c>
      <c r="K47" s="10" t="s">
        <v>1349</v>
      </c>
      <c r="L47" s="17">
        <v>45887</v>
      </c>
      <c r="M47" s="19">
        <v>69984480528</v>
      </c>
      <c r="N47" s="22">
        <v>1158000893</v>
      </c>
      <c r="O47" s="10" t="s">
        <v>931</v>
      </c>
      <c r="P47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47" s="19" t="s">
        <v>1353</v>
      </c>
      <c r="R47" s="10">
        <f>IF(Tabela5[[#This Row],[SITUAÇÃO]]="Demitido",_xlfn.XLOOKUP(Tabela5[[#This Row],[CHAPA]],'Base de Tutores'!L:L,'Base de Tutores'!P:P),"")</f>
        <v>45933</v>
      </c>
      <c r="S47" s="19"/>
      <c r="T47" s="19"/>
      <c r="U47" s="8"/>
      <c r="V47" s="45">
        <f ca="1">AVERAGE(Tabela5[PERMANENCIA (MÊS)])/30</f>
        <v>0</v>
      </c>
    </row>
    <row r="48" spans="1:23" ht="15.75" customHeight="1" x14ac:dyDescent="0.4">
      <c r="A48" s="8" t="str">
        <f>CONCATENATE(Tabela5[[#This Row],[POLO]],Tabela5[[#This Row],[CURSOS]])</f>
        <v>Pato Branco/PRAGM</v>
      </c>
      <c r="B48" s="8" t="e">
        <f>CONCATENATE(Tabela5[[#This Row],[POLO]],Tabela5[[#This Row],[CATEGORIA]],_xlfn.XLOOKUP(Tabela5[[#This Row],[CHAVE LOTAÇÃO CLASSIFICAÇÃO DE CURSOS]],CHAVE!A:A,CHAVE!D:D))</f>
        <v>#N/A</v>
      </c>
      <c r="C48" s="19" t="s">
        <v>1357</v>
      </c>
      <c r="D48" s="16">
        <f>IFERROR(_xlfn.XLOOKUP(Tabela5[[#This Row],[NOME DO TUTOR]],TUT.CONTROL!C:C,TUT.CONTROL!V:V),_xlfn.XLOOKUP(Tabela5[[#This Row],[NOME DO TUTOR]],'REG.CONTROL'!C:C,'REG.CONTROL'!V:V))</f>
        <v>45933</v>
      </c>
      <c r="E48" s="17" t="s">
        <v>1347</v>
      </c>
      <c r="F48" s="18" t="s">
        <v>1348</v>
      </c>
      <c r="G48" s="8" t="s">
        <v>734</v>
      </c>
      <c r="H48" s="8" t="s">
        <v>735</v>
      </c>
      <c r="I48" s="8" t="s">
        <v>752</v>
      </c>
      <c r="J48" s="9" t="s">
        <v>753</v>
      </c>
      <c r="K48" s="10" t="s">
        <v>1349</v>
      </c>
      <c r="L48" s="17">
        <v>45873</v>
      </c>
      <c r="M48" s="19">
        <v>46999247350</v>
      </c>
      <c r="N48" s="22">
        <v>1158000838</v>
      </c>
      <c r="O48" s="10" t="s">
        <v>754</v>
      </c>
      <c r="P48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48" s="19" t="s">
        <v>1353</v>
      </c>
      <c r="R48" s="10">
        <f>IF(Tabela5[[#This Row],[SITUAÇÃO]]="Demitido",_xlfn.XLOOKUP(Tabela5[[#This Row],[CHAPA]],'Base de Tutores'!L:L,'Base de Tutores'!P:P),"")</f>
        <v>45933</v>
      </c>
      <c r="S48" s="19"/>
      <c r="T48" s="19"/>
      <c r="U48" s="8"/>
      <c r="V48" s="45">
        <f ca="1">AVERAGE(Tabela5[PERMANENCIA (MÊS)])/30</f>
        <v>0</v>
      </c>
    </row>
    <row r="49" spans="1:22" ht="15.75" customHeight="1" x14ac:dyDescent="0.4">
      <c r="A49" s="8" t="str">
        <f>CONCATENATE(Tabela5[[#This Row],[POLO]],Tabela5[[#This Row],[CURSOS]])</f>
        <v>Dourados/MSBFR</v>
      </c>
      <c r="B49" s="8" t="e">
        <f>CONCATENATE(Tabela5[[#This Row],[POLO]],Tabela5[[#This Row],[CATEGORIA]],_xlfn.XLOOKUP(Tabela5[[#This Row],[CHAVE LOTAÇÃO CLASSIFICAÇÃO DE CURSOS]],CHAVE!A:A,CHAVE!D:D))</f>
        <v>#N/A</v>
      </c>
      <c r="C49" s="19" t="s">
        <v>1352</v>
      </c>
      <c r="D49" s="16">
        <f>IFERROR(_xlfn.XLOOKUP(Tabela5[[#This Row],[NOME DO TUTOR]],TUT.CONTROL!C:C,TUT.CONTROL!V:V),_xlfn.XLOOKUP(Tabela5[[#This Row],[NOME DO TUTOR]],'REG.CONTROL'!C:C,'REG.CONTROL'!V:V))</f>
        <v>45936</v>
      </c>
      <c r="E49" s="17" t="s">
        <v>1347</v>
      </c>
      <c r="F49" s="18" t="s">
        <v>1348</v>
      </c>
      <c r="G49" s="8" t="s">
        <v>771</v>
      </c>
      <c r="H49" s="8" t="s">
        <v>772</v>
      </c>
      <c r="I49" s="8" t="s">
        <v>268</v>
      </c>
      <c r="J49" s="9" t="s">
        <v>857</v>
      </c>
      <c r="K49" s="10" t="s">
        <v>1349</v>
      </c>
      <c r="L49" s="17">
        <v>45880</v>
      </c>
      <c r="M49" s="19">
        <v>67993088118</v>
      </c>
      <c r="N49" s="22">
        <v>1158000860</v>
      </c>
      <c r="O49" s="10" t="s">
        <v>858</v>
      </c>
      <c r="P49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49" s="19" t="s">
        <v>1353</v>
      </c>
      <c r="R49" s="10">
        <f>IF(Tabela5[[#This Row],[SITUAÇÃO]]="Demitido",_xlfn.XLOOKUP(Tabela5[[#This Row],[CHAPA]],'Base de Tutores'!L:L,'Base de Tutores'!P:P),"")</f>
        <v>45936</v>
      </c>
      <c r="S49" s="19"/>
      <c r="T49" s="19"/>
      <c r="U49" s="8"/>
      <c r="V49" s="8">
        <f ca="1">AVERAGE(Tabela5[PERMANENCIA (MÊS)])/30</f>
        <v>0</v>
      </c>
    </row>
    <row r="50" spans="1:22" ht="15.75" customHeight="1" x14ac:dyDescent="0.4">
      <c r="A50" s="8" t="str">
        <f>CONCATENATE(Tabela5[[#This Row],[POLO]],Tabela5[[#This Row],[CURSOS]])</f>
        <v>Santa Cruz do Sul/RSEMF-ISN</v>
      </c>
      <c r="B50" s="8" t="e">
        <f>CONCATENATE(Tabela5[[#This Row],[POLO]],Tabela5[[#This Row],[CATEGORIA]],_xlfn.XLOOKUP(Tabela5[[#This Row],[CHAVE LOTAÇÃO CLASSIFICAÇÃO DE CURSOS]],CHAVE!A:A,CHAVE!D:D))</f>
        <v>#N/A</v>
      </c>
      <c r="C50" s="19" t="s">
        <v>1352</v>
      </c>
      <c r="D50" s="16">
        <f>IFERROR(_xlfn.XLOOKUP(Tabela5[[#This Row],[NOME DO TUTOR]],TUT.CONTROL!C:C,TUT.CONTROL!V:V),_xlfn.XLOOKUP(Tabela5[[#This Row],[NOME DO TUTOR]],'REG.CONTROL'!C:C,'REG.CONTROL'!V:V))</f>
        <v>45937</v>
      </c>
      <c r="E50" s="17" t="s">
        <v>1347</v>
      </c>
      <c r="F50" s="18" t="s">
        <v>1348</v>
      </c>
      <c r="G50" s="8" t="s">
        <v>21</v>
      </c>
      <c r="H50" s="8" t="s">
        <v>22</v>
      </c>
      <c r="I50" s="8" t="s">
        <v>871</v>
      </c>
      <c r="J50" s="9" t="s">
        <v>886</v>
      </c>
      <c r="K50" s="10" t="s">
        <v>1349</v>
      </c>
      <c r="L50" s="17">
        <v>45887</v>
      </c>
      <c r="M50" s="19">
        <v>51999029104</v>
      </c>
      <c r="N50" s="22">
        <v>1158000904</v>
      </c>
      <c r="O50" s="10" t="s">
        <v>887</v>
      </c>
      <c r="P50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50" s="19" t="s">
        <v>1353</v>
      </c>
      <c r="R50" s="10">
        <f>IF(Tabela5[[#This Row],[SITUAÇÃO]]="Demitido",_xlfn.XLOOKUP(Tabela5[[#This Row],[CHAPA]],'Base de Tutores'!L:L,'Base de Tutores'!P:P),"")</f>
        <v>45937</v>
      </c>
      <c r="S50" s="19"/>
      <c r="T50" s="19"/>
      <c r="U50" s="8"/>
      <c r="V50" s="45">
        <f ca="1">AVERAGE(Tabela5[PERMANENCIA (MÊS)])/30</f>
        <v>0</v>
      </c>
    </row>
    <row r="51" spans="1:22" ht="15.75" customHeight="1" x14ac:dyDescent="0.4">
      <c r="A51" s="8" t="str">
        <f>CONCATENATE(Tabela5[[#This Row],[POLO]],Tabela5[[#This Row],[CURSOS]])</f>
        <v>Maringá/PR - Zona 01BFR</v>
      </c>
      <c r="B51" s="8" t="e">
        <f>CONCATENATE(Tabela5[[#This Row],[POLO]],Tabela5[[#This Row],[CATEGORIA]],_xlfn.XLOOKUP(Tabela5[[#This Row],[CHAVE LOTAÇÃO CLASSIFICAÇÃO DE CURSOS]],CHAVE!A:A,CHAVE!D:D))</f>
        <v>#N/A</v>
      </c>
      <c r="C51" s="19"/>
      <c r="D51" s="16">
        <f>IFERROR(_xlfn.XLOOKUP(Tabela5[[#This Row],[NOME DO TUTOR]],TUT.CONTROL!C:C,TUT.CONTROL!V:V),_xlfn.XLOOKUP(Tabela5[[#This Row],[NOME DO TUTOR]],'REG.CONTROL'!C:C,'REG.CONTROL'!V:V))</f>
        <v>45937</v>
      </c>
      <c r="E51" s="17" t="s">
        <v>1347</v>
      </c>
      <c r="F51" s="18" t="s">
        <v>1348</v>
      </c>
      <c r="G51" s="8" t="s">
        <v>771</v>
      </c>
      <c r="H51" s="8" t="s">
        <v>772</v>
      </c>
      <c r="I51" s="8" t="s">
        <v>385</v>
      </c>
      <c r="J51" s="9" t="s">
        <v>1020</v>
      </c>
      <c r="K51" s="10" t="s">
        <v>1349</v>
      </c>
      <c r="L51" s="17">
        <v>45901</v>
      </c>
      <c r="M51" s="19">
        <v>44999857685</v>
      </c>
      <c r="N51" s="22">
        <v>1158000956</v>
      </c>
      <c r="O51" s="10" t="s">
        <v>1021</v>
      </c>
      <c r="P51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51" s="19" t="s">
        <v>1353</v>
      </c>
      <c r="R51" s="10">
        <f>IF(Tabela5[[#This Row],[SITUAÇÃO]]="Demitido",_xlfn.XLOOKUP(Tabela5[[#This Row],[CHAPA]],'Base de Tutores'!L:L,'Base de Tutores'!P:P),"")</f>
        <v>45937</v>
      </c>
      <c r="S51" s="19"/>
      <c r="T51" s="19"/>
      <c r="U51" s="8"/>
      <c r="V51" s="8">
        <f ca="1">AVERAGE(Tabela5[PERMANENCIA (MÊS)])/30</f>
        <v>0</v>
      </c>
    </row>
    <row r="52" spans="1:22" ht="15.75" customHeight="1" x14ac:dyDescent="0.4">
      <c r="A52" s="8" t="str">
        <f>CONCATENATE(Tabela5[[#This Row],[POLO]],Tabela5[[#This Row],[CURSOS]])</f>
        <v>Chapecó/SC - CentroAGM</v>
      </c>
      <c r="B52" s="8" t="e">
        <f>CONCATENATE(Tabela5[[#This Row],[POLO]],Tabela5[[#This Row],[CATEGORIA]],_xlfn.XLOOKUP(Tabela5[[#This Row],[CHAVE LOTAÇÃO CLASSIFICAÇÃO DE CURSOS]],CHAVE!A:A,CHAVE!D:D))</f>
        <v>#N/A</v>
      </c>
      <c r="C52" s="19" t="s">
        <v>1357</v>
      </c>
      <c r="D52" s="16">
        <f>IFERROR(_xlfn.XLOOKUP(Tabela5[[#This Row],[NOME DO TUTOR]],TUT.CONTROL!C:C,TUT.CONTROL!V:V),_xlfn.XLOOKUP(Tabela5[[#This Row],[NOME DO TUTOR]],'REG.CONTROL'!C:C,'REG.CONTROL'!V:V))</f>
        <v>45938</v>
      </c>
      <c r="E52" s="17" t="s">
        <v>1347</v>
      </c>
      <c r="F52" s="18" t="s">
        <v>1348</v>
      </c>
      <c r="G52" s="8" t="s">
        <v>734</v>
      </c>
      <c r="H52" s="8" t="s">
        <v>735</v>
      </c>
      <c r="I52" s="8" t="s">
        <v>220</v>
      </c>
      <c r="J52" s="9" t="s">
        <v>755</v>
      </c>
      <c r="K52" s="10" t="s">
        <v>1349</v>
      </c>
      <c r="L52" s="17">
        <v>45873</v>
      </c>
      <c r="M52" s="19">
        <v>49998181163</v>
      </c>
      <c r="N52" s="22">
        <v>1158000816</v>
      </c>
      <c r="O52" s="10" t="s">
        <v>756</v>
      </c>
      <c r="P52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52" s="19" t="s">
        <v>1353</v>
      </c>
      <c r="R52" s="10">
        <f>IF(Tabela5[[#This Row],[SITUAÇÃO]]="Demitido",_xlfn.XLOOKUP(Tabela5[[#This Row],[CHAPA]],'Base de Tutores'!L:L,'Base de Tutores'!P:P),"")</f>
        <v>45938</v>
      </c>
      <c r="S52" s="19"/>
      <c r="T52" s="19"/>
      <c r="U52" s="8"/>
      <c r="V52" s="45">
        <f ca="1">AVERAGE(Tabela5[PERMANENCIA (MÊS)])/30</f>
        <v>0</v>
      </c>
    </row>
    <row r="53" spans="1:22" ht="15.75" customHeight="1" x14ac:dyDescent="0.4">
      <c r="A53" s="8" t="str">
        <f>CONCATENATE(Tabela5[[#This Row],[POLO]],Tabela5[[#This Row],[CURSOS]])</f>
        <v>Jacobina/BAAGM</v>
      </c>
      <c r="B53" s="8" t="e">
        <f>CONCATENATE(Tabela5[[#This Row],[POLO]],Tabela5[[#This Row],[CATEGORIA]],_xlfn.XLOOKUP(Tabela5[[#This Row],[CHAVE LOTAÇÃO CLASSIFICAÇÃO DE CURSOS]],CHAVE!A:A,CHAVE!D:D))</f>
        <v>#N/A</v>
      </c>
      <c r="C53" s="19" t="s">
        <v>1357</v>
      </c>
      <c r="D53" s="16">
        <f>IFERROR(_xlfn.XLOOKUP(Tabela5[[#This Row],[NOME DO TUTOR]],TUT.CONTROL!C:C,TUT.CONTROL!V:V),_xlfn.XLOOKUP(Tabela5[[#This Row],[NOME DO TUTOR]],'REG.CONTROL'!C:C,'REG.CONTROL'!V:V))</f>
        <v>45938</v>
      </c>
      <c r="E53" s="17" t="s">
        <v>1347</v>
      </c>
      <c r="F53" s="18" t="s">
        <v>1348</v>
      </c>
      <c r="G53" s="8" t="s">
        <v>734</v>
      </c>
      <c r="H53" s="8" t="s">
        <v>735</v>
      </c>
      <c r="I53" s="8" t="s">
        <v>382</v>
      </c>
      <c r="J53" s="9" t="s">
        <v>891</v>
      </c>
      <c r="K53" s="10" t="s">
        <v>1349</v>
      </c>
      <c r="L53" s="17">
        <v>45882</v>
      </c>
      <c r="M53" s="19">
        <v>74999346507</v>
      </c>
      <c r="N53" s="22">
        <v>1158000872</v>
      </c>
      <c r="O53" s="10" t="s">
        <v>892</v>
      </c>
      <c r="P53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53" s="19" t="s">
        <v>1353</v>
      </c>
      <c r="R53" s="10">
        <f>IF(Tabela5[[#This Row],[SITUAÇÃO]]="Demitido",_xlfn.XLOOKUP(Tabela5[[#This Row],[CHAPA]],'Base de Tutores'!L:L,'Base de Tutores'!P:P),"")</f>
        <v>45938</v>
      </c>
      <c r="S53" s="19"/>
      <c r="T53" s="19"/>
      <c r="U53" s="8"/>
      <c r="V53" s="45">
        <f ca="1">AVERAGE(Tabela5[PERMANENCIA (MÊS)])/30</f>
        <v>0</v>
      </c>
    </row>
    <row r="54" spans="1:22" ht="15.75" customHeight="1" x14ac:dyDescent="0.4">
      <c r="A54" s="8" t="str">
        <f>CONCATENATE(Tabela5[[#This Row],[POLO]],Tabela5[[#This Row],[CURSOS]])</f>
        <v>Herval D'Oeste/SCAGM</v>
      </c>
      <c r="B54" s="8" t="e">
        <f>CONCATENATE(Tabela5[[#This Row],[POLO]],Tabela5[[#This Row],[CATEGORIA]],_xlfn.XLOOKUP(Tabela5[[#This Row],[CHAVE LOTAÇÃO CLASSIFICAÇÃO DE CURSOS]],CHAVE!A:A,CHAVE!D:D))</f>
        <v>#N/A</v>
      </c>
      <c r="C54" s="19" t="s">
        <v>1357</v>
      </c>
      <c r="D54" s="16">
        <f>IFERROR(_xlfn.XLOOKUP(Tabela5[[#This Row],[NOME DO TUTOR]],TUT.CONTROL!C:C,TUT.CONTROL!V:V),_xlfn.XLOOKUP(Tabela5[[#This Row],[NOME DO TUTOR]],'REG.CONTROL'!C:C,'REG.CONTROL'!V:V))</f>
        <v>45938</v>
      </c>
      <c r="E54" s="17" t="s">
        <v>1347</v>
      </c>
      <c r="F54" s="18" t="s">
        <v>1348</v>
      </c>
      <c r="G54" s="8" t="s">
        <v>734</v>
      </c>
      <c r="H54" s="8" t="s">
        <v>735</v>
      </c>
      <c r="I54" s="8" t="s">
        <v>328</v>
      </c>
      <c r="J54" s="9" t="s">
        <v>1090</v>
      </c>
      <c r="K54" s="10" t="s">
        <v>1349</v>
      </c>
      <c r="L54" s="17">
        <v>45915</v>
      </c>
      <c r="M54" s="19">
        <v>49999060432</v>
      </c>
      <c r="N54" s="22">
        <v>1158000970</v>
      </c>
      <c r="O54" s="10" t="s">
        <v>1091</v>
      </c>
      <c r="P54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54" s="19" t="s">
        <v>1353</v>
      </c>
      <c r="R54" s="10">
        <f>IF(Tabela5[[#This Row],[SITUAÇÃO]]="Demitido",_xlfn.XLOOKUP(Tabela5[[#This Row],[CHAPA]],'Base de Tutores'!L:L,'Base de Tutores'!P:P),"")</f>
        <v>45938</v>
      </c>
      <c r="S54" s="19"/>
      <c r="T54" s="19"/>
      <c r="U54" s="8"/>
      <c r="V54" s="45">
        <f ca="1">AVERAGE(Tabela5[PERMANENCIA (MÊS)])/30</f>
        <v>0</v>
      </c>
    </row>
    <row r="55" spans="1:22" ht="15.75" customHeight="1" x14ac:dyDescent="0.4">
      <c r="A55" s="8" t="str">
        <f>CONCATENATE(Tabela5[[#This Row],[POLO]],Tabela5[[#This Row],[CURSOS]])</f>
        <v>Curitiba/PR - CentroBFR</v>
      </c>
      <c r="B55" s="8" t="e">
        <f>CONCATENATE(Tabela5[[#This Row],[POLO]],Tabela5[[#This Row],[CATEGORIA]],_xlfn.XLOOKUP(Tabela5[[#This Row],[CHAVE LOTAÇÃO CLASSIFICAÇÃO DE CURSOS]],CHAVE!A:A,CHAVE!D:D))</f>
        <v>#N/A</v>
      </c>
      <c r="C55" s="19" t="s">
        <v>1352</v>
      </c>
      <c r="D55" s="16">
        <f>IFERROR(_xlfn.XLOOKUP(Tabela5[[#This Row],[NOME DO TUTOR]],TUT.CONTROL!C:C,TUT.CONTROL!V:V),_xlfn.XLOOKUP(Tabela5[[#This Row],[NOME DO TUTOR]],'REG.CONTROL'!C:C,'REG.CONTROL'!V:V))</f>
        <v>45938</v>
      </c>
      <c r="E55" s="17" t="s">
        <v>1347</v>
      </c>
      <c r="F55" s="18" t="s">
        <v>1348</v>
      </c>
      <c r="G55" s="8" t="s">
        <v>771</v>
      </c>
      <c r="H55" s="8" t="s">
        <v>772</v>
      </c>
      <c r="I55" s="8" t="s">
        <v>259</v>
      </c>
      <c r="J55" s="9" t="s">
        <v>981</v>
      </c>
      <c r="K55" s="10" t="s">
        <v>1349</v>
      </c>
      <c r="L55" s="17">
        <v>45889</v>
      </c>
      <c r="M55" s="19">
        <v>41999194841</v>
      </c>
      <c r="N55" s="22">
        <v>1158000924</v>
      </c>
      <c r="O55" s="10" t="s">
        <v>982</v>
      </c>
      <c r="P55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55" s="19" t="s">
        <v>1353</v>
      </c>
      <c r="R55" s="10">
        <f>IF(Tabela5[[#This Row],[SITUAÇÃO]]="Demitido",_xlfn.XLOOKUP(Tabela5[[#This Row],[CHAPA]],'Base de Tutores'!L:L,'Base de Tutores'!P:P),"")</f>
        <v>45938</v>
      </c>
      <c r="S55" s="19"/>
      <c r="T55" s="19"/>
      <c r="U55" s="8"/>
      <c r="V55" s="8">
        <f ca="1">AVERAGE(Tabela5[PERMANENCIA (MÊS)])/30</f>
        <v>0</v>
      </c>
    </row>
    <row r="56" spans="1:22" ht="15.75" customHeight="1" x14ac:dyDescent="0.4">
      <c r="A56" s="8" t="str">
        <f>CONCATENATE(Tabela5[[#This Row],[POLO]],Tabela5[[#This Row],[CURSOS]])</f>
        <v>Belém/PA - NazaréAGM</v>
      </c>
      <c r="B56" s="8" t="e">
        <f>CONCATENATE(Tabela5[[#This Row],[POLO]],Tabela5[[#This Row],[CATEGORIA]],_xlfn.XLOOKUP(Tabela5[[#This Row],[CHAVE LOTAÇÃO CLASSIFICAÇÃO DE CURSOS]],CHAVE!A:A,CHAVE!D:D))</f>
        <v>#N/A</v>
      </c>
      <c r="C56" s="19" t="s">
        <v>1357</v>
      </c>
      <c r="D56" s="16">
        <f>IFERROR(_xlfn.XLOOKUP(Tabela5[[#This Row],[NOME DO TUTOR]],TUT.CONTROL!C:C,TUT.CONTROL!V:V),_xlfn.XLOOKUP(Tabela5[[#This Row],[NOME DO TUTOR]],'REG.CONTROL'!C:C,'REG.CONTROL'!V:V))</f>
        <v>45938</v>
      </c>
      <c r="E56" s="17" t="s">
        <v>1347</v>
      </c>
      <c r="F56" s="18" t="s">
        <v>1348</v>
      </c>
      <c r="G56" s="8" t="s">
        <v>734</v>
      </c>
      <c r="H56" s="8" t="s">
        <v>735</v>
      </c>
      <c r="I56" s="8" t="s">
        <v>553</v>
      </c>
      <c r="J56" s="9" t="s">
        <v>935</v>
      </c>
      <c r="K56" s="10" t="s">
        <v>1349</v>
      </c>
      <c r="L56" s="17">
        <v>45887</v>
      </c>
      <c r="M56" s="19">
        <v>91981011445</v>
      </c>
      <c r="N56" s="22">
        <v>1158000894</v>
      </c>
      <c r="O56" s="10" t="s">
        <v>936</v>
      </c>
      <c r="P56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56" s="19" t="s">
        <v>1353</v>
      </c>
      <c r="R56" s="10">
        <f>IF(Tabela5[[#This Row],[SITUAÇÃO]]="Demitido",_xlfn.XLOOKUP(Tabela5[[#This Row],[CHAPA]],'Base de Tutores'!L:L,'Base de Tutores'!P:P),"")</f>
        <v>45938</v>
      </c>
      <c r="S56" s="19"/>
      <c r="T56" s="19"/>
      <c r="U56" s="8"/>
      <c r="V56" s="45">
        <f ca="1">AVERAGE(Tabela5[PERMANENCIA (MÊS)])/30</f>
        <v>0</v>
      </c>
    </row>
    <row r="57" spans="1:22" ht="15.75" customHeight="1" x14ac:dyDescent="0.4">
      <c r="A57" s="8" t="str">
        <f>CONCATENATE(Tabela5[[#This Row],[POLO]],Tabela5[[#This Row],[CURSOS]])</f>
        <v>Belo Horizonte/MG - Shopping Estação BHNTR</v>
      </c>
      <c r="B57" s="8" t="e">
        <f>CONCATENATE(Tabela5[[#This Row],[POLO]],Tabela5[[#This Row],[CATEGORIA]],_xlfn.XLOOKUP(Tabela5[[#This Row],[CHAVE LOTAÇÃO CLASSIFICAÇÃO DE CURSOS]],CHAVE!A:A,CHAVE!D:D))</f>
        <v>#N/A</v>
      </c>
      <c r="C57" s="19" t="s">
        <v>1352</v>
      </c>
      <c r="D57" s="16">
        <f>IFERROR(_xlfn.XLOOKUP(Tabela5[[#This Row],[NOME DO TUTOR]],TUT.CONTROL!C:C,TUT.CONTROL!V:V),_xlfn.XLOOKUP(Tabela5[[#This Row],[NOME DO TUTOR]],'REG.CONTROL'!C:C,'REG.CONTROL'!V:V))</f>
        <v>45939</v>
      </c>
      <c r="E57" s="17" t="s">
        <v>1347</v>
      </c>
      <c r="F57" s="18" t="s">
        <v>1348</v>
      </c>
      <c r="G57" s="8" t="s">
        <v>730</v>
      </c>
      <c r="H57" s="8" t="s">
        <v>731</v>
      </c>
      <c r="I57" s="8" t="s">
        <v>101</v>
      </c>
      <c r="J57" s="9" t="s">
        <v>778</v>
      </c>
      <c r="K57" s="10" t="s">
        <v>1349</v>
      </c>
      <c r="L57" s="17">
        <v>45873</v>
      </c>
      <c r="M57" s="19">
        <v>31999073104</v>
      </c>
      <c r="N57" s="22">
        <v>1158000820</v>
      </c>
      <c r="O57" s="10" t="s">
        <v>779</v>
      </c>
      <c r="P57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57" s="19" t="s">
        <v>1353</v>
      </c>
      <c r="R57" s="10">
        <f>IF(Tabela5[[#This Row],[SITUAÇÃO]]="Demitido",_xlfn.XLOOKUP(Tabela5[[#This Row],[CHAPA]],'Base de Tutores'!L:L,'Base de Tutores'!P:P),"")</f>
        <v>45939</v>
      </c>
      <c r="S57" s="19"/>
      <c r="T57" s="19"/>
      <c r="U57" s="8"/>
      <c r="V57" s="45">
        <f ca="1">AVERAGE(Tabela5[PERMANENCIA (MÊS)])/30</f>
        <v>0</v>
      </c>
    </row>
    <row r="58" spans="1:22" ht="15.75" customHeight="1" x14ac:dyDescent="0.4">
      <c r="A58" s="8" t="str">
        <f>CONCATENATE(Tabela5[[#This Row],[POLO]],Tabela5[[#This Row],[CURSOS]])</f>
        <v>Pouso Alegre/MGAGM</v>
      </c>
      <c r="B58" s="8" t="e">
        <f>CONCATENATE(Tabela5[[#This Row],[POLO]],Tabela5[[#This Row],[CATEGORIA]],_xlfn.XLOOKUP(Tabela5[[#This Row],[CHAVE LOTAÇÃO CLASSIFICAÇÃO DE CURSOS]],CHAVE!A:A,CHAVE!D:D))</f>
        <v>#N/A</v>
      </c>
      <c r="C58" s="19" t="s">
        <v>1357</v>
      </c>
      <c r="D58" s="16">
        <f>IFERROR(_xlfn.XLOOKUP(Tabela5[[#This Row],[NOME DO TUTOR]],TUT.CONTROL!C:C,TUT.CONTROL!V:V),_xlfn.XLOOKUP(Tabela5[[#This Row],[NOME DO TUTOR]],'REG.CONTROL'!C:C,'REG.CONTROL'!V:V))</f>
        <v>45939</v>
      </c>
      <c r="E58" s="17" t="s">
        <v>1347</v>
      </c>
      <c r="F58" s="18" t="s">
        <v>1348</v>
      </c>
      <c r="G58" s="8" t="s">
        <v>734</v>
      </c>
      <c r="H58" s="8" t="s">
        <v>735</v>
      </c>
      <c r="I58" s="8" t="s">
        <v>629</v>
      </c>
      <c r="J58" s="9" t="s">
        <v>780</v>
      </c>
      <c r="K58" s="10" t="s">
        <v>1349</v>
      </c>
      <c r="L58" s="17">
        <v>45873</v>
      </c>
      <c r="M58" s="19">
        <v>35991555629</v>
      </c>
      <c r="N58" s="22">
        <v>1158000811</v>
      </c>
      <c r="O58" s="10" t="s">
        <v>781</v>
      </c>
      <c r="P58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58" s="19" t="s">
        <v>1353</v>
      </c>
      <c r="R58" s="10">
        <f>IF(Tabela5[[#This Row],[SITUAÇÃO]]="Demitido",_xlfn.XLOOKUP(Tabela5[[#This Row],[CHAPA]],'Base de Tutores'!L:L,'Base de Tutores'!P:P),"")</f>
        <v>45939</v>
      </c>
      <c r="S58" s="19"/>
      <c r="T58" s="19"/>
      <c r="U58" s="8"/>
      <c r="V58" s="45">
        <f ca="1">AVERAGE(Tabela5[PERMANENCIA (MÊS)])/30</f>
        <v>0</v>
      </c>
    </row>
    <row r="59" spans="1:22" ht="15.75" customHeight="1" x14ac:dyDescent="0.4">
      <c r="A59" s="8" t="str">
        <f>CONCATENATE(Tabela5[[#This Row],[POLO]],Tabela5[[#This Row],[CURSOS]])</f>
        <v>Belo Horizonte/MG - Shopping Estação BHEMF-ISN</v>
      </c>
      <c r="B59" s="8" t="e">
        <f>CONCATENATE(Tabela5[[#This Row],[POLO]],Tabela5[[#This Row],[CATEGORIA]],_xlfn.XLOOKUP(Tabela5[[#This Row],[CHAVE LOTAÇÃO CLASSIFICAÇÃO DE CURSOS]],CHAVE!A:A,CHAVE!D:D))</f>
        <v>#N/A</v>
      </c>
      <c r="C59" s="19" t="s">
        <v>1352</v>
      </c>
      <c r="D59" s="16">
        <f>IFERROR(_xlfn.XLOOKUP(Tabela5[[#This Row],[NOME DO TUTOR]],TUT.CONTROL!C:C,TUT.CONTROL!V:V),_xlfn.XLOOKUP(Tabela5[[#This Row],[NOME DO TUTOR]],'REG.CONTROL'!C:C,'REG.CONTROL'!V:V))</f>
        <v>45940</v>
      </c>
      <c r="E59" s="17" t="s">
        <v>1347</v>
      </c>
      <c r="F59" s="18" t="s">
        <v>1348</v>
      </c>
      <c r="G59" s="8" t="s">
        <v>21</v>
      </c>
      <c r="H59" s="8" t="s">
        <v>22</v>
      </c>
      <c r="I59" s="8" t="s">
        <v>101</v>
      </c>
      <c r="J59" s="9" t="s">
        <v>104</v>
      </c>
      <c r="K59" s="10" t="s">
        <v>1349</v>
      </c>
      <c r="L59" s="17">
        <v>45908</v>
      </c>
      <c r="M59" s="19">
        <v>31983580817</v>
      </c>
      <c r="N59" s="22">
        <v>1158000962</v>
      </c>
      <c r="O59" s="10" t="s">
        <v>105</v>
      </c>
      <c r="P59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59" s="19" t="s">
        <v>1353</v>
      </c>
      <c r="R59" s="10">
        <f>IF(Tabela5[[#This Row],[SITUAÇÃO]]="Demitido",_xlfn.XLOOKUP(Tabela5[[#This Row],[CHAPA]],'Base de Tutores'!L:L,'Base de Tutores'!P:P),"")</f>
        <v>45940</v>
      </c>
      <c r="S59" s="19"/>
      <c r="T59" s="19"/>
      <c r="U59" s="8"/>
      <c r="V59" s="45">
        <f ca="1">AVERAGE(Tabela5[PERMANENCIA (MÊS)])/30</f>
        <v>0</v>
      </c>
    </row>
    <row r="60" spans="1:22" ht="15.75" customHeight="1" x14ac:dyDescent="0.4">
      <c r="A60" s="8" t="str">
        <f>CONCATENATE(Tabela5[[#This Row],[POLO]],Tabela5[[#This Row],[CURSOS]])</f>
        <v>Planaltina/GOBFR</v>
      </c>
      <c r="B60" s="8" t="e">
        <f>CONCATENATE(Tabela5[[#This Row],[POLO]],Tabela5[[#This Row],[CATEGORIA]],_xlfn.XLOOKUP(Tabela5[[#This Row],[CHAVE LOTAÇÃO CLASSIFICAÇÃO DE CURSOS]],CHAVE!A:A,CHAVE!D:D))</f>
        <v>#N/A</v>
      </c>
      <c r="C60" s="19"/>
      <c r="D60" s="16">
        <f>IFERROR(_xlfn.XLOOKUP(Tabela5[[#This Row],[NOME DO TUTOR]],TUT.CONTROL!C:C,TUT.CONTROL!V:V),_xlfn.XLOOKUP(Tabela5[[#This Row],[NOME DO TUTOR]],'REG.CONTROL'!C:C,'REG.CONTROL'!V:V))</f>
        <v>45943</v>
      </c>
      <c r="E60" s="17" t="s">
        <v>1347</v>
      </c>
      <c r="F60" s="18" t="s">
        <v>1348</v>
      </c>
      <c r="G60" s="8" t="s">
        <v>771</v>
      </c>
      <c r="H60" s="8" t="s">
        <v>772</v>
      </c>
      <c r="I60" s="8" t="s">
        <v>608</v>
      </c>
      <c r="J60" s="9" t="s">
        <v>782</v>
      </c>
      <c r="K60" s="10" t="s">
        <v>1349</v>
      </c>
      <c r="L60" s="17">
        <v>45873</v>
      </c>
      <c r="M60" s="19">
        <v>61995568642</v>
      </c>
      <c r="N60" s="22">
        <v>1158000813</v>
      </c>
      <c r="O60" s="10" t="s">
        <v>783</v>
      </c>
      <c r="P60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60" s="19" t="s">
        <v>1353</v>
      </c>
      <c r="R60" s="10">
        <f>IF(Tabela5[[#This Row],[SITUAÇÃO]]="Demitido",_xlfn.XLOOKUP(Tabela5[[#This Row],[CHAPA]],'Base de Tutores'!L:L,'Base de Tutores'!P:P),"")</f>
        <v>45943</v>
      </c>
      <c r="S60" s="19"/>
      <c r="T60" s="19"/>
      <c r="U60" s="8"/>
      <c r="V60" s="8">
        <f ca="1">AVERAGE(Tabela5[PERMANENCIA (MÊS)])/30</f>
        <v>0</v>
      </c>
    </row>
    <row r="61" spans="1:22" ht="15.75" customHeight="1" x14ac:dyDescent="0.4">
      <c r="A61" s="8" t="str">
        <f>CONCATENATE(Tabela5[[#This Row],[POLO]],Tabela5[[#This Row],[CURSOS]])</f>
        <v>Florianópolis/SC - CentroECE-ENM-ENS-ENG-EEA-GPI-CDE-OBR-SAN-TER-FSA-SLF-QUI</v>
      </c>
      <c r="B61" s="8" t="e">
        <f>CONCATENATE(Tabela5[[#This Row],[POLO]],Tabela5[[#This Row],[CATEGORIA]],_xlfn.XLOOKUP(Tabela5[[#This Row],[CHAVE LOTAÇÃO CLASSIFICAÇÃO DE CURSOS]],CHAVE!A:A,CHAVE!D:D))</f>
        <v>#N/A</v>
      </c>
      <c r="C61" s="19" t="s">
        <v>1352</v>
      </c>
      <c r="D61" s="16">
        <f>IFERROR(_xlfn.XLOOKUP(Tabela5[[#This Row],[NOME DO TUTOR]],TUT.CONTROL!C:C,TUT.CONTROL!V:V),_xlfn.XLOOKUP(Tabela5[[#This Row],[NOME DO TUTOR]],'REG.CONTROL'!C:C,'REG.CONTROL'!V:V))</f>
        <v>45944</v>
      </c>
      <c r="E61" s="17" t="s">
        <v>1347</v>
      </c>
      <c r="F61" s="18" t="s">
        <v>1348</v>
      </c>
      <c r="G61" s="8" t="s">
        <v>125</v>
      </c>
      <c r="H61" s="8" t="s">
        <v>126</v>
      </c>
      <c r="I61" s="8" t="s">
        <v>287</v>
      </c>
      <c r="J61" s="9" t="s">
        <v>700</v>
      </c>
      <c r="K61" s="10" t="s">
        <v>1349</v>
      </c>
      <c r="L61" s="17">
        <v>45810</v>
      </c>
      <c r="M61" s="19" t="s">
        <v>701</v>
      </c>
      <c r="N61" s="22">
        <v>1158000731</v>
      </c>
      <c r="O61" s="10" t="s">
        <v>702</v>
      </c>
      <c r="P61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61" s="19" t="s">
        <v>1353</v>
      </c>
      <c r="R61" s="10">
        <f>IF(Tabela5[[#This Row],[SITUAÇÃO]]="Demitido",_xlfn.XLOOKUP(Tabela5[[#This Row],[CHAPA]],'Base de Tutores'!L:L,'Base de Tutores'!P:P),"")</f>
        <v>45944</v>
      </c>
      <c r="S61" s="19"/>
      <c r="T61" s="19"/>
      <c r="U61" s="8"/>
      <c r="V61" s="45">
        <f ca="1">AVERAGE(Tabela5[PERMANENCIA (MÊS)])/30</f>
        <v>0</v>
      </c>
    </row>
    <row r="62" spans="1:22" ht="15.75" customHeight="1" x14ac:dyDescent="0.4">
      <c r="A62" s="8" t="str">
        <f>CONCATENATE(Tabela5[[#This Row],[POLO]],Tabela5[[#This Row],[CURSOS]])</f>
        <v>Maringá/PR - Zona 01AGM</v>
      </c>
      <c r="B62" s="8" t="e">
        <f>CONCATENATE(Tabela5[[#This Row],[POLO]],Tabela5[[#This Row],[CATEGORIA]],_xlfn.XLOOKUP(Tabela5[[#This Row],[CHAVE LOTAÇÃO CLASSIFICAÇÃO DE CURSOS]],CHAVE!A:A,CHAVE!D:D))</f>
        <v>#N/A</v>
      </c>
      <c r="C62" s="19" t="s">
        <v>1357</v>
      </c>
      <c r="D62" s="16">
        <f>IFERROR(_xlfn.XLOOKUP(Tabela5[[#This Row],[NOME DO TUTOR]],TUT.CONTROL!C:C,TUT.CONTROL!V:V),_xlfn.XLOOKUP(Tabela5[[#This Row],[NOME DO TUTOR]],'REG.CONTROL'!C:C,'REG.CONTROL'!V:V))</f>
        <v>45944</v>
      </c>
      <c r="E62" s="17" t="s">
        <v>1347</v>
      </c>
      <c r="F62" s="18" t="s">
        <v>1348</v>
      </c>
      <c r="G62" s="8" t="s">
        <v>734</v>
      </c>
      <c r="H62" s="8" t="s">
        <v>735</v>
      </c>
      <c r="I62" s="8" t="s">
        <v>385</v>
      </c>
      <c r="J62" s="9" t="s">
        <v>788</v>
      </c>
      <c r="K62" s="10" t="s">
        <v>1349</v>
      </c>
      <c r="L62" s="17">
        <v>45873</v>
      </c>
      <c r="M62" s="19">
        <v>44999572197</v>
      </c>
      <c r="N62" s="22">
        <v>1158000829</v>
      </c>
      <c r="O62" s="10" t="s">
        <v>789</v>
      </c>
      <c r="P62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62" s="19" t="s">
        <v>1353</v>
      </c>
      <c r="R62" s="10">
        <f>IF(Tabela5[[#This Row],[SITUAÇÃO]]="Demitido",_xlfn.XLOOKUP(Tabela5[[#This Row],[CHAPA]],'Base de Tutores'!L:L,'Base de Tutores'!P:P),"")</f>
        <v>45944</v>
      </c>
      <c r="S62" s="19"/>
      <c r="T62" s="19"/>
      <c r="U62" s="8"/>
      <c r="V62" s="45">
        <f ca="1">AVERAGE(Tabela5[PERMANENCIA (MÊS)])/30</f>
        <v>0</v>
      </c>
    </row>
    <row r="63" spans="1:22" ht="15.75" customHeight="1" x14ac:dyDescent="0.4">
      <c r="A63" s="8" t="str">
        <f>CONCATENATE(Tabela5[[#This Row],[POLO]],Tabela5[[#This Row],[CURSOS]])</f>
        <v>Formosa/GOEMF-ISN</v>
      </c>
      <c r="B63" s="8" t="e">
        <f>CONCATENATE(Tabela5[[#This Row],[POLO]],Tabela5[[#This Row],[CATEGORIA]],_xlfn.XLOOKUP(Tabela5[[#This Row],[CHAVE LOTAÇÃO CLASSIFICAÇÃO DE CURSOS]],CHAVE!A:A,CHAVE!D:D))</f>
        <v>#N/A</v>
      </c>
      <c r="C63" s="19" t="s">
        <v>1357</v>
      </c>
      <c r="D63" s="16">
        <f>IFERROR(_xlfn.XLOOKUP(Tabela5[[#This Row],[NOME DO TUTOR]],TUT.CONTROL!C:C,TUT.CONTROL!V:V),_xlfn.XLOOKUP(Tabela5[[#This Row],[NOME DO TUTOR]],'REG.CONTROL'!C:C,'REG.CONTROL'!V:V))</f>
        <v>45952</v>
      </c>
      <c r="E63" s="17" t="s">
        <v>1347</v>
      </c>
      <c r="F63" s="18" t="s">
        <v>1348</v>
      </c>
      <c r="G63" s="8" t="s">
        <v>21</v>
      </c>
      <c r="H63" s="8" t="s">
        <v>22</v>
      </c>
      <c r="I63" s="8" t="s">
        <v>290</v>
      </c>
      <c r="J63" s="9" t="s">
        <v>293</v>
      </c>
      <c r="K63" s="10" t="s">
        <v>1349</v>
      </c>
      <c r="L63" s="17">
        <v>45901</v>
      </c>
      <c r="M63" s="19">
        <v>61991892755</v>
      </c>
      <c r="N63" s="22">
        <v>1158000947</v>
      </c>
      <c r="O63" s="10" t="s">
        <v>294</v>
      </c>
      <c r="P63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63" s="19" t="s">
        <v>1353</v>
      </c>
      <c r="R63" s="10">
        <f>IF(Tabela5[[#This Row],[SITUAÇÃO]]="Demitido",_xlfn.XLOOKUP(Tabela5[[#This Row],[CHAPA]],'Base de Tutores'!L:L,'Base de Tutores'!P:P),"")</f>
        <v>45952</v>
      </c>
      <c r="S63" s="19"/>
      <c r="T63" s="19"/>
      <c r="U63" s="8"/>
      <c r="V63" s="45">
        <f ca="1">AVERAGE(Tabela5[PERMANENCIA (MÊS)])/30</f>
        <v>0</v>
      </c>
    </row>
    <row r="64" spans="1:22" ht="15.75" customHeight="1" x14ac:dyDescent="0.4">
      <c r="A64" s="8" t="str">
        <f>CONCATENATE(Tabela5[[#This Row],[POLO]],Tabela5[[#This Row],[CURSOS]])</f>
        <v>Pouso Alegre/MGBFR</v>
      </c>
      <c r="B64" s="8" t="e">
        <f>CONCATENATE(Tabela5[[#This Row],[POLO]],Tabela5[[#This Row],[CATEGORIA]],_xlfn.XLOOKUP(Tabela5[[#This Row],[CHAVE LOTAÇÃO CLASSIFICAÇÃO DE CURSOS]],CHAVE!A:A,CHAVE!D:D))</f>
        <v>#N/A</v>
      </c>
      <c r="C64" s="19" t="s">
        <v>1357</v>
      </c>
      <c r="D64" s="16">
        <f>IFERROR(_xlfn.XLOOKUP(Tabela5[[#This Row],[NOME DO TUTOR]],TUT.CONTROL!C:C,TUT.CONTROL!V:V),_xlfn.XLOOKUP(Tabela5[[#This Row],[NOME DO TUTOR]],'REG.CONTROL'!C:C,'REG.CONTROL'!V:V))</f>
        <v>45954</v>
      </c>
      <c r="E64" s="17" t="s">
        <v>1347</v>
      </c>
      <c r="F64" s="18" t="s">
        <v>1348</v>
      </c>
      <c r="G64" s="8" t="s">
        <v>771</v>
      </c>
      <c r="H64" s="8" t="s">
        <v>772</v>
      </c>
      <c r="I64" s="8" t="s">
        <v>629</v>
      </c>
      <c r="J64" s="9" t="s">
        <v>790</v>
      </c>
      <c r="K64" s="10" t="s">
        <v>1349</v>
      </c>
      <c r="L64" s="17">
        <v>45873</v>
      </c>
      <c r="M64" s="19">
        <v>35998205008</v>
      </c>
      <c r="N64" s="22">
        <v>1158000812</v>
      </c>
      <c r="O64" s="10" t="s">
        <v>791</v>
      </c>
      <c r="P64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64" s="19" t="s">
        <v>1353</v>
      </c>
      <c r="R64" s="10">
        <f>IF(Tabela5[[#This Row],[SITUAÇÃO]]="Demitido",_xlfn.XLOOKUP(Tabela5[[#This Row],[CHAPA]],'Base de Tutores'!L:L,'Base de Tutores'!P:P),"")</f>
        <v>45954</v>
      </c>
      <c r="S64" s="19"/>
      <c r="T64" s="19"/>
      <c r="U64" s="8"/>
      <c r="V64" s="8">
        <f ca="1">AVERAGE(Tabela5[PERMANENCIA (MÊS)])/30</f>
        <v>0</v>
      </c>
    </row>
    <row r="65" spans="1:22" ht="15.75" customHeight="1" x14ac:dyDescent="0.4">
      <c r="A65" s="8" t="str">
        <f>CONCATENATE(Tabela5[[#This Row],[POLO]],Tabela5[[#This Row],[CURSOS]])</f>
        <v>São José do Rio Preto/SP - CentroEMF-ISN</v>
      </c>
      <c r="B65" s="8" t="e">
        <f>CONCATENATE(Tabela5[[#This Row],[POLO]],Tabela5[[#This Row],[CATEGORIA]],_xlfn.XLOOKUP(Tabela5[[#This Row],[CHAVE LOTAÇÃO CLASSIFICAÇÃO DE CURSOS]],CHAVE!A:A,CHAVE!D:D))</f>
        <v>#N/A</v>
      </c>
      <c r="C65" s="19" t="s">
        <v>1357</v>
      </c>
      <c r="D65" s="16">
        <f>IFERROR(_xlfn.XLOOKUP(Tabela5[[#This Row],[NOME DO TUTOR]],TUT.CONTROL!C:C,TUT.CONTROL!V:V),_xlfn.XLOOKUP(Tabela5[[#This Row],[NOME DO TUTOR]],'REG.CONTROL'!C:C,'REG.CONTROL'!V:V))</f>
        <v>45962</v>
      </c>
      <c r="E65" s="17" t="s">
        <v>1347</v>
      </c>
      <c r="F65" s="18" t="s">
        <v>1348</v>
      </c>
      <c r="G65" s="8" t="s">
        <v>21</v>
      </c>
      <c r="H65" s="8" t="s">
        <v>22</v>
      </c>
      <c r="I65" s="8" t="s">
        <v>1064</v>
      </c>
      <c r="J65" s="9" t="s">
        <v>1065</v>
      </c>
      <c r="K65" s="10" t="s">
        <v>1349</v>
      </c>
      <c r="L65" s="17">
        <v>45873</v>
      </c>
      <c r="M65" s="19">
        <v>17981310700</v>
      </c>
      <c r="N65" s="22">
        <v>1158000814</v>
      </c>
      <c r="O65" s="10" t="s">
        <v>1066</v>
      </c>
      <c r="P65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65" s="19" t="s">
        <v>1353</v>
      </c>
      <c r="R65" s="10">
        <f>IF(Tabela5[[#This Row],[SITUAÇÃO]]="Demitido",_xlfn.XLOOKUP(Tabela5[[#This Row],[CHAPA]],'Base de Tutores'!L:L,'Base de Tutores'!P:P),"")</f>
        <v>45962</v>
      </c>
      <c r="S65" s="19"/>
      <c r="T65" s="19"/>
      <c r="U65" s="8"/>
      <c r="V65" s="45">
        <f ca="1">AVERAGE(Tabela5[PERMANENCIA (MÊS)])/30</f>
        <v>0</v>
      </c>
    </row>
    <row r="66" spans="1:22" ht="15.75" customHeight="1" x14ac:dyDescent="0.4">
      <c r="A66" s="8" t="str">
        <f>CONCATENATE(Tabela5[[#This Row],[POLO]],Tabela5[[#This Row],[CURSOS]])</f>
        <v>Nova Mutum/MTAGM</v>
      </c>
      <c r="B66" s="8" t="e">
        <f>CONCATENATE(Tabela5[[#This Row],[POLO]],Tabela5[[#This Row],[CATEGORIA]],_xlfn.XLOOKUP(Tabela5[[#This Row],[CHAVE LOTAÇÃO CLASSIFICAÇÃO DE CURSOS]],CHAVE!A:A,CHAVE!D:D))</f>
        <v>#N/A</v>
      </c>
      <c r="C66" s="19" t="s">
        <v>1352</v>
      </c>
      <c r="D66" s="16">
        <f>IFERROR(_xlfn.XLOOKUP(Tabela5[[#This Row],[NOME DO TUTOR]],TUT.CONTROL!C:C,TUT.CONTROL!V:V),_xlfn.XLOOKUP(Tabela5[[#This Row],[NOME DO TUTOR]],'REG.CONTROL'!C:C,'REG.CONTROL'!V:V))</f>
        <v>45962</v>
      </c>
      <c r="E66" s="17" t="s">
        <v>1347</v>
      </c>
      <c r="F66" s="18" t="s">
        <v>1348</v>
      </c>
      <c r="G66" s="8" t="s">
        <v>734</v>
      </c>
      <c r="H66" s="8" t="s">
        <v>735</v>
      </c>
      <c r="I66" s="8" t="s">
        <v>510</v>
      </c>
      <c r="J66" s="9" t="s">
        <v>859</v>
      </c>
      <c r="K66" s="10" t="s">
        <v>1349</v>
      </c>
      <c r="L66" s="17">
        <v>45880</v>
      </c>
      <c r="M66" s="19">
        <v>65996614127</v>
      </c>
      <c r="N66" s="22">
        <v>1158000852</v>
      </c>
      <c r="O66" s="10" t="s">
        <v>860</v>
      </c>
      <c r="P66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66" s="19" t="s">
        <v>1353</v>
      </c>
      <c r="R66" s="10">
        <f>IF(Tabela5[[#This Row],[SITUAÇÃO]]="Demitido",_xlfn.XLOOKUP(Tabela5[[#This Row],[CHAPA]],'Base de Tutores'!L:L,'Base de Tutores'!P:P),"")</f>
        <v>45962</v>
      </c>
      <c r="S66" s="19"/>
      <c r="T66" s="19"/>
      <c r="U66" s="8"/>
      <c r="V66" s="45">
        <f ca="1">AVERAGE(Tabela5[PERMANENCIA (MÊS)])/30</f>
        <v>0</v>
      </c>
    </row>
    <row r="67" spans="1:22" ht="15.75" customHeight="1" x14ac:dyDescent="0.4">
      <c r="A67" s="8" t="str">
        <f>CONCATENATE(Tabela5[[#This Row],[POLO]],Tabela5[[#This Row],[CURSOS]])</f>
        <v>Umuarama/PREMF-ISN</v>
      </c>
      <c r="B67" s="8" t="e">
        <f>CONCATENATE(Tabela5[[#This Row],[POLO]],Tabela5[[#This Row],[CATEGORIA]],_xlfn.XLOOKUP(Tabela5[[#This Row],[CHAVE LOTAÇÃO CLASSIFICAÇÃO DE CURSOS]],CHAVE!A:A,CHAVE!D:D))</f>
        <v>#N/A</v>
      </c>
      <c r="C67" s="19" t="s">
        <v>1352</v>
      </c>
      <c r="D67" s="16">
        <f>IFERROR(_xlfn.XLOOKUP(Tabela5[[#This Row],[NOME DO TUTOR]],TUT.CONTROL!C:C,TUT.CONTROL!V:V),_xlfn.XLOOKUP(Tabela5[[#This Row],[NOME DO TUTOR]],'REG.CONTROL'!C:C,'REG.CONTROL'!V:V))</f>
        <v>45962</v>
      </c>
      <c r="E67" s="17" t="s">
        <v>1347</v>
      </c>
      <c r="F67" s="18" t="s">
        <v>1348</v>
      </c>
      <c r="G67" s="8" t="s">
        <v>21</v>
      </c>
      <c r="H67" s="8" t="s">
        <v>22</v>
      </c>
      <c r="I67" s="8" t="s">
        <v>1301</v>
      </c>
      <c r="J67" s="9" t="s">
        <v>1302</v>
      </c>
      <c r="K67" s="10" t="s">
        <v>1349</v>
      </c>
      <c r="L67" s="17">
        <v>45910</v>
      </c>
      <c r="M67" s="19">
        <v>44998719609</v>
      </c>
      <c r="N67" s="22">
        <v>1158000965</v>
      </c>
      <c r="O67" s="10" t="s">
        <v>1303</v>
      </c>
      <c r="P67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67" s="19" t="s">
        <v>1353</v>
      </c>
      <c r="R67" s="10">
        <f>IF(Tabela5[[#This Row],[SITUAÇÃO]]="Demitido",_xlfn.XLOOKUP(Tabela5[[#This Row],[CHAPA]],'Base de Tutores'!L:L,'Base de Tutores'!P:P),"")</f>
        <v>45962</v>
      </c>
      <c r="S67" s="19"/>
      <c r="T67" s="19"/>
      <c r="U67" s="8"/>
      <c r="V67" s="45">
        <f ca="1">AVERAGE(Tabela5[PERMANENCIA (MÊS)])/30</f>
        <v>0</v>
      </c>
    </row>
    <row r="68" spans="1:22" ht="15.75" customHeight="1" x14ac:dyDescent="0.4">
      <c r="A68" s="8" t="str">
        <f>CONCATENATE(Tabela5[[#This Row],[POLO]],Tabela5[[#This Row],[CURSOS]])</f>
        <v>Formosa/GOEMF-ISN</v>
      </c>
      <c r="B68" s="8" t="e">
        <f>CONCATENATE(Tabela5[[#This Row],[POLO]],Tabela5[[#This Row],[CATEGORIA]],_xlfn.XLOOKUP(Tabela5[[#This Row],[CHAVE LOTAÇÃO CLASSIFICAÇÃO DE CURSOS]],CHAVE!A:A,CHAVE!D:D))</f>
        <v>#N/A</v>
      </c>
      <c r="C68" s="19" t="s">
        <v>1352</v>
      </c>
      <c r="D68" s="16">
        <f>IFERROR(_xlfn.XLOOKUP(Tabela5[[#This Row],[NOME DO TUTOR]],TUT.CONTROL!C:C,TUT.CONTROL!V:V),_xlfn.XLOOKUP(Tabela5[[#This Row],[NOME DO TUTOR]],'REG.CONTROL'!C:C,'REG.CONTROL'!V:V))</f>
        <v>45964</v>
      </c>
      <c r="E68" s="17" t="s">
        <v>1347</v>
      </c>
      <c r="F68" s="18" t="s">
        <v>1348</v>
      </c>
      <c r="G68" s="8" t="s">
        <v>21</v>
      </c>
      <c r="H68" s="8" t="s">
        <v>22</v>
      </c>
      <c r="I68" s="8" t="s">
        <v>290</v>
      </c>
      <c r="J68" s="42" t="s">
        <v>291</v>
      </c>
      <c r="K68" s="10" t="s">
        <v>1349</v>
      </c>
      <c r="L68" s="17">
        <v>45810</v>
      </c>
      <c r="M68" s="19">
        <v>6192871621</v>
      </c>
      <c r="N68" s="22">
        <v>1158000737</v>
      </c>
      <c r="O68" s="10" t="s">
        <v>292</v>
      </c>
      <c r="P68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68" s="19" t="s">
        <v>1353</v>
      </c>
      <c r="R68" s="10">
        <f>IF(Tabela5[[#This Row],[SITUAÇÃO]]="Demitido",_xlfn.XLOOKUP(Tabela5[[#This Row],[CHAPA]],'Base de Tutores'!L:L,'Base de Tutores'!P:P),"")</f>
        <v>45964</v>
      </c>
      <c r="S68" s="19"/>
      <c r="T68" s="19"/>
      <c r="U68" s="8"/>
      <c r="V68" s="45">
        <f ca="1">AVERAGE(Tabela5[PERMANENCIA (MÊS)])/30</f>
        <v>0</v>
      </c>
    </row>
    <row r="69" spans="1:22" ht="15.75" customHeight="1" x14ac:dyDescent="0.4">
      <c r="A69" s="8" t="str">
        <f>CONCATENATE(Tabela5[[#This Row],[POLO]],Tabela5[[#This Row],[CURSOS]])</f>
        <v>Rio do Sul/SCEMF-ISN</v>
      </c>
      <c r="B69" s="8" t="e">
        <f>CONCATENATE(Tabela5[[#This Row],[POLO]],Tabela5[[#This Row],[CATEGORIA]],_xlfn.XLOOKUP(Tabela5[[#This Row],[CHAVE LOTAÇÃO CLASSIFICAÇÃO DE CURSOS]],CHAVE!A:A,CHAVE!D:D))</f>
        <v>#N/A</v>
      </c>
      <c r="C69" s="19" t="s">
        <v>1352</v>
      </c>
      <c r="D69" s="16">
        <f>IFERROR(_xlfn.XLOOKUP(Tabela5[[#This Row],[NOME DO TUTOR]],TUT.CONTROL!C:C,TUT.CONTROL!V:V),_xlfn.XLOOKUP(Tabela5[[#This Row],[NOME DO TUTOR]],'REG.CONTROL'!C:C,'REG.CONTROL'!V:V))</f>
        <v>45965</v>
      </c>
      <c r="E69" s="17" t="s">
        <v>1347</v>
      </c>
      <c r="F69" s="18" t="s">
        <v>1348</v>
      </c>
      <c r="G69" s="8" t="s">
        <v>21</v>
      </c>
      <c r="H69" s="8" t="s">
        <v>22</v>
      </c>
      <c r="I69" s="8" t="s">
        <v>710</v>
      </c>
      <c r="J69" s="42" t="s">
        <v>716</v>
      </c>
      <c r="K69" s="10" t="s">
        <v>1349</v>
      </c>
      <c r="L69" s="17">
        <v>45882</v>
      </c>
      <c r="M69" s="19">
        <v>47988406369</v>
      </c>
      <c r="N69" s="22">
        <v>1158000867</v>
      </c>
      <c r="O69" s="10" t="s">
        <v>717</v>
      </c>
      <c r="P69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69" s="19" t="s">
        <v>1353</v>
      </c>
      <c r="R69" s="10">
        <f>IF(Tabela5[[#This Row],[SITUAÇÃO]]="Demitido",_xlfn.XLOOKUP(Tabela5[[#This Row],[CHAPA]],'Base de Tutores'!L:L,'Base de Tutores'!P:P),"")</f>
        <v>45965</v>
      </c>
      <c r="S69" s="19"/>
      <c r="T69" s="19"/>
      <c r="U69" s="8"/>
      <c r="V69" s="45">
        <f ca="1">AVERAGE(Tabela5[PERMANENCIA (MÊS)])/30</f>
        <v>0</v>
      </c>
    </row>
    <row r="70" spans="1:22" ht="15.75" customHeight="1" x14ac:dyDescent="0.4">
      <c r="A70" s="8" t="str">
        <f>CONCATENATE(Tabela5[[#This Row],[POLO]],Tabela5[[#This Row],[CURSOS]])</f>
        <v>Paulo Afonso/BABFR</v>
      </c>
      <c r="B70" s="8" t="e">
        <f>CONCATENATE(Tabela5[[#This Row],[POLO]],Tabela5[[#This Row],[CATEGORIA]],_xlfn.XLOOKUP(Tabela5[[#This Row],[CHAVE LOTAÇÃO CLASSIFICAÇÃO DE CURSOS]],CHAVE!A:A,CHAVE!D:D))</f>
        <v>#N/A</v>
      </c>
      <c r="C70" s="19"/>
      <c r="D70" s="16">
        <f>IFERROR(_xlfn.XLOOKUP(Tabela5[[#This Row],[NOME DO TUTOR]],TUT.CONTROL!C:C,TUT.CONTROL!V:V),_xlfn.XLOOKUP(Tabela5[[#This Row],[NOME DO TUTOR]],'REG.CONTROL'!C:C,'REG.CONTROL'!V:V))</f>
        <v>45965</v>
      </c>
      <c r="E70" s="17" t="s">
        <v>1347</v>
      </c>
      <c r="F70" s="18" t="s">
        <v>1348</v>
      </c>
      <c r="G70" s="8" t="s">
        <v>771</v>
      </c>
      <c r="H70" s="8" t="s">
        <v>772</v>
      </c>
      <c r="I70" s="8" t="s">
        <v>937</v>
      </c>
      <c r="J70" s="9" t="s">
        <v>938</v>
      </c>
      <c r="K70" s="10" t="s">
        <v>1349</v>
      </c>
      <c r="L70" s="17">
        <v>45887</v>
      </c>
      <c r="M70" s="19">
        <v>81997502500</v>
      </c>
      <c r="N70" s="22">
        <v>1158000884</v>
      </c>
      <c r="O70" s="10" t="s">
        <v>939</v>
      </c>
      <c r="P70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70" s="19" t="s">
        <v>1353</v>
      </c>
      <c r="R70" s="10">
        <f>IF(Tabela5[[#This Row],[SITUAÇÃO]]="Demitido",_xlfn.XLOOKUP(Tabela5[[#This Row],[CHAPA]],'Base de Tutores'!L:L,'Base de Tutores'!P:P),"")</f>
        <v>45965</v>
      </c>
      <c r="S70" s="19"/>
      <c r="T70" s="19"/>
      <c r="U70" s="8"/>
      <c r="V70" s="8">
        <f ca="1">AVERAGE(Tabela5[PERMANENCIA (MÊS)])/30</f>
        <v>0</v>
      </c>
    </row>
    <row r="71" spans="1:22" ht="15.75" customHeight="1" x14ac:dyDescent="0.4">
      <c r="A71" s="8" t="str">
        <f>CONCATENATE(Tabela5[[#This Row],[POLO]],Tabela5[[#This Row],[CURSOS]])</f>
        <v>Goiânia/GO - CentroAGM</v>
      </c>
      <c r="B71" s="8" t="e">
        <f>CONCATENATE(Tabela5[[#This Row],[POLO]],Tabela5[[#This Row],[CATEGORIA]],_xlfn.XLOOKUP(Tabela5[[#This Row],[CHAVE LOTAÇÃO CLASSIFICAÇÃO DE CURSOS]],CHAVE!A:A,CHAVE!D:D))</f>
        <v>#N/A</v>
      </c>
      <c r="C71" s="19" t="s">
        <v>1352</v>
      </c>
      <c r="D71" s="16">
        <f>IFERROR(_xlfn.XLOOKUP(Tabela5[[#This Row],[NOME DO TUTOR]],TUT.CONTROL!C:C,TUT.CONTROL!V:V),_xlfn.XLOOKUP(Tabela5[[#This Row],[NOME DO TUTOR]],'REG.CONTROL'!C:C,'REG.CONTROL'!V:V))</f>
        <v>45967</v>
      </c>
      <c r="E71" s="17" t="s">
        <v>1347</v>
      </c>
      <c r="F71" s="18" t="s">
        <v>1348</v>
      </c>
      <c r="G71" s="8" t="s">
        <v>734</v>
      </c>
      <c r="H71" s="8" t="s">
        <v>735</v>
      </c>
      <c r="I71" s="8" t="s">
        <v>578</v>
      </c>
      <c r="J71" s="9" t="s">
        <v>846</v>
      </c>
      <c r="K71" s="10" t="s">
        <v>1349</v>
      </c>
      <c r="L71" s="17">
        <v>45875</v>
      </c>
      <c r="M71" s="19">
        <v>62993870196</v>
      </c>
      <c r="N71" s="22">
        <v>1158000840</v>
      </c>
      <c r="O71" s="10" t="s">
        <v>847</v>
      </c>
      <c r="P71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71" s="19" t="s">
        <v>1353</v>
      </c>
      <c r="R71" s="10">
        <f>IF(Tabela5[[#This Row],[SITUAÇÃO]]="Demitido",_xlfn.XLOOKUP(Tabela5[[#This Row],[CHAPA]],'Base de Tutores'!L:L,'Base de Tutores'!P:P),"")</f>
        <v>45967</v>
      </c>
      <c r="S71" s="19"/>
      <c r="T71" s="19"/>
      <c r="U71" s="8"/>
      <c r="V71" s="45">
        <f ca="1">AVERAGE(Tabela5[PERMANENCIA (MÊS)])/30</f>
        <v>0</v>
      </c>
    </row>
    <row r="72" spans="1:22" ht="15.75" customHeight="1" x14ac:dyDescent="0.4">
      <c r="A72" s="8" t="str">
        <f>CONCATENATE(Tabela5[[#This Row],[POLO]],Tabela5[[#This Row],[CURSOS]])</f>
        <v>Manaus/AM - Cidade NovaBFR</v>
      </c>
      <c r="B72" s="8" t="e">
        <f>CONCATENATE(Tabela5[[#This Row],[POLO]],Tabela5[[#This Row],[CATEGORIA]],_xlfn.XLOOKUP(Tabela5[[#This Row],[CHAVE LOTAÇÃO CLASSIFICAÇÃO DE CURSOS]],CHAVE!A:A,CHAVE!D:D))</f>
        <v>#N/A</v>
      </c>
      <c r="C72" s="19" t="s">
        <v>1357</v>
      </c>
      <c r="D72" s="16">
        <f>IFERROR(_xlfn.XLOOKUP(Tabela5[[#This Row],[NOME DO TUTOR]],TUT.CONTROL!C:C,TUT.CONTROL!V:V),_xlfn.XLOOKUP(Tabela5[[#This Row],[NOME DO TUTOR]],'REG.CONTROL'!C:C,'REG.CONTROL'!V:V))</f>
        <v>45971</v>
      </c>
      <c r="E72" s="17" t="s">
        <v>1347</v>
      </c>
      <c r="F72" s="18" t="s">
        <v>1348</v>
      </c>
      <c r="G72" s="8" t="s">
        <v>771</v>
      </c>
      <c r="H72" s="8" t="s">
        <v>772</v>
      </c>
      <c r="I72" s="8" t="s">
        <v>459</v>
      </c>
      <c r="J72" s="9" t="s">
        <v>1025</v>
      </c>
      <c r="K72" s="10" t="s">
        <v>1349</v>
      </c>
      <c r="L72" s="17">
        <v>45901</v>
      </c>
      <c r="M72" s="19">
        <v>92992778212</v>
      </c>
      <c r="N72" s="22">
        <v>1158000958</v>
      </c>
      <c r="O72" s="10" t="s">
        <v>1026</v>
      </c>
      <c r="P72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72" s="19" t="s">
        <v>1353</v>
      </c>
      <c r="R72" s="10">
        <f>IF(Tabela5[[#This Row],[SITUAÇÃO]]="Demitido",_xlfn.XLOOKUP(Tabela5[[#This Row],[CHAPA]],'Base de Tutores'!L:L,'Base de Tutores'!P:P),"")</f>
        <v>45971</v>
      </c>
      <c r="S72" s="19"/>
      <c r="T72" s="19"/>
      <c r="U72" s="8"/>
      <c r="V72" s="8">
        <f ca="1">AVERAGE(Tabela5[PERMANENCIA (MÊS)])/30</f>
        <v>0</v>
      </c>
    </row>
    <row r="73" spans="1:22" ht="15.75" customHeight="1" x14ac:dyDescent="0.4">
      <c r="A73" s="8" t="str">
        <f>CONCATENATE(Tabela5[[#This Row],[POLO]],Tabela5[[#This Row],[CURSOS]])</f>
        <v>Palhoça/SCEMF-ISN</v>
      </c>
      <c r="B73" s="8" t="e">
        <f>CONCATENATE(Tabela5[[#This Row],[POLO]],Tabela5[[#This Row],[CATEGORIA]],_xlfn.XLOOKUP(Tabela5[[#This Row],[CHAVE LOTAÇÃO CLASSIFICAÇÃO DE CURSOS]],CHAVE!A:A,CHAVE!D:D))</f>
        <v>#N/A</v>
      </c>
      <c r="C73" s="19" t="s">
        <v>1352</v>
      </c>
      <c r="D73" s="16">
        <f>IFERROR(_xlfn.XLOOKUP(Tabela5[[#This Row],[NOME DO TUTOR]],TUT.CONTROL!C:C,TUT.CONTROL!V:V),_xlfn.XLOOKUP(Tabela5[[#This Row],[NOME DO TUTOR]],'REG.CONTROL'!C:C,'REG.CONTROL'!V:V))</f>
        <v>45971</v>
      </c>
      <c r="E73" s="17" t="s">
        <v>1347</v>
      </c>
      <c r="F73" s="18" t="s">
        <v>1348</v>
      </c>
      <c r="G73" s="8" t="s">
        <v>21</v>
      </c>
      <c r="H73" s="8" t="s">
        <v>22</v>
      </c>
      <c r="I73" s="8" t="s">
        <v>538</v>
      </c>
      <c r="J73" s="9" t="s">
        <v>539</v>
      </c>
      <c r="K73" s="10" t="s">
        <v>1349</v>
      </c>
      <c r="L73" s="17">
        <v>45749</v>
      </c>
      <c r="M73" s="19" t="s">
        <v>540</v>
      </c>
      <c r="N73" s="22">
        <v>1158000666</v>
      </c>
      <c r="O73" s="10" t="s">
        <v>541</v>
      </c>
      <c r="P73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73" s="19" t="s">
        <v>1356</v>
      </c>
      <c r="R73" s="10">
        <f>IF(Tabela5[[#This Row],[SITUAÇÃO]]="Demitido",_xlfn.XLOOKUP(Tabela5[[#This Row],[CHAPA]],'Base de Tutores'!L:L,'Base de Tutores'!P:P),"")</f>
        <v>45971</v>
      </c>
      <c r="S73" s="19"/>
      <c r="T73" s="19"/>
      <c r="U73" s="8"/>
      <c r="V73" s="45">
        <f ca="1">AVERAGE(Tabela5[PERMANENCIA (MÊS)])/30</f>
        <v>0</v>
      </c>
    </row>
    <row r="74" spans="1:22" ht="15.75" customHeight="1" x14ac:dyDescent="0.4">
      <c r="A74" s="8" t="str">
        <f>CONCATENATE(Tabela5[[#This Row],[POLO]],Tabela5[[#This Row],[CURSOS]])</f>
        <v>Cariacica/ES - Shopping MoxuaraBFR</v>
      </c>
      <c r="B74" s="8" t="e">
        <f>CONCATENATE(Tabela5[[#This Row],[POLO]],Tabela5[[#This Row],[CATEGORIA]],_xlfn.XLOOKUP(Tabela5[[#This Row],[CHAVE LOTAÇÃO CLASSIFICAÇÃO DE CURSOS]],CHAVE!A:A,CHAVE!D:D))</f>
        <v>#N/A</v>
      </c>
      <c r="C74" s="19" t="s">
        <v>1352</v>
      </c>
      <c r="D74" s="16">
        <f>IFERROR(_xlfn.XLOOKUP(Tabela5[[#This Row],[NOME DO TUTOR]],TUT.CONTROL!C:C,TUT.CONTROL!V:V),_xlfn.XLOOKUP(Tabela5[[#This Row],[NOME DO TUTOR]],'REG.CONTROL'!C:C,'REG.CONTROL'!V:V))</f>
        <v>45972</v>
      </c>
      <c r="E74" s="17" t="s">
        <v>1347</v>
      </c>
      <c r="F74" s="18" t="s">
        <v>1348</v>
      </c>
      <c r="G74" s="8" t="s">
        <v>771</v>
      </c>
      <c r="H74" s="8" t="s">
        <v>772</v>
      </c>
      <c r="I74" s="8" t="s">
        <v>922</v>
      </c>
      <c r="J74" s="9" t="s">
        <v>1117</v>
      </c>
      <c r="K74" s="10" t="s">
        <v>1349</v>
      </c>
      <c r="L74" s="17">
        <v>45931</v>
      </c>
      <c r="M74" s="19">
        <v>27998303547</v>
      </c>
      <c r="N74" s="22">
        <v>1158000999</v>
      </c>
      <c r="O74" s="10" t="s">
        <v>1118</v>
      </c>
      <c r="P74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74" s="19" t="s">
        <v>1353</v>
      </c>
      <c r="R74" s="10">
        <f>IF(Tabela5[[#This Row],[SITUAÇÃO]]="Demitido",_xlfn.XLOOKUP(Tabela5[[#This Row],[CHAPA]],'Base de Tutores'!L:L,'Base de Tutores'!P:P),"")</f>
        <v>45972</v>
      </c>
      <c r="S74" s="19"/>
      <c r="T74" s="19"/>
      <c r="U74" s="8"/>
      <c r="V74" s="8">
        <f ca="1">AVERAGE(Tabela5[PERMANENCIA (MÊS)])/30</f>
        <v>0</v>
      </c>
    </row>
    <row r="75" spans="1:22" ht="15.75" customHeight="1" x14ac:dyDescent="0.4">
      <c r="A75" s="8" t="str">
        <f>CONCATENATE(Tabela5[[#This Row],[POLO]],Tabela5[[#This Row],[CURSOS]])</f>
        <v>Campinas/SP - AboliçãoEMF-ISN</v>
      </c>
      <c r="B75" s="8" t="e">
        <f>CONCATENATE(Tabela5[[#This Row],[POLO]],Tabela5[[#This Row],[CATEGORIA]],_xlfn.XLOOKUP(Tabela5[[#This Row],[CHAVE LOTAÇÃO CLASSIFICAÇÃO DE CURSOS]],CHAVE!A:A,CHAVE!D:D))</f>
        <v>#N/A</v>
      </c>
      <c r="C75" s="19" t="s">
        <v>1352</v>
      </c>
      <c r="D75" s="16">
        <f>IFERROR(_xlfn.XLOOKUP(Tabela5[[#This Row],[NOME DO TUTOR]],TUT.CONTROL!C:C,TUT.CONTROL!V:V),_xlfn.XLOOKUP(Tabela5[[#This Row],[NOME DO TUTOR]],'REG.CONTROL'!C:C,'REG.CONTROL'!V:V))</f>
        <v>45974</v>
      </c>
      <c r="E75" s="17" t="s">
        <v>1347</v>
      </c>
      <c r="F75" s="18" t="s">
        <v>1348</v>
      </c>
      <c r="G75" s="8" t="s">
        <v>21</v>
      </c>
      <c r="H75" s="8" t="s">
        <v>22</v>
      </c>
      <c r="I75" s="8" t="s">
        <v>172</v>
      </c>
      <c r="J75" s="9" t="s">
        <v>173</v>
      </c>
      <c r="K75" s="10" t="s">
        <v>1349</v>
      </c>
      <c r="L75" s="17">
        <v>45817</v>
      </c>
      <c r="M75" s="19">
        <v>19993660409</v>
      </c>
      <c r="N75" s="22">
        <v>1158000749</v>
      </c>
      <c r="O75" s="10" t="s">
        <v>174</v>
      </c>
      <c r="P75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75" s="19" t="s">
        <v>1353</v>
      </c>
      <c r="R75" s="10">
        <f>IF(Tabela5[[#This Row],[SITUAÇÃO]]="Demitido",_xlfn.XLOOKUP(Tabela5[[#This Row],[CHAPA]],'Base de Tutores'!L:L,'Base de Tutores'!P:P),"")</f>
        <v>45974</v>
      </c>
      <c r="S75" s="19"/>
      <c r="T75" s="19"/>
      <c r="U75" s="8"/>
      <c r="V75" s="45">
        <f ca="1">AVERAGE(Tabela5[PERMANENCIA (MÊS)])/30</f>
        <v>0</v>
      </c>
    </row>
    <row r="76" spans="1:22" ht="15.75" customHeight="1" x14ac:dyDescent="0.4">
      <c r="A76" s="8" t="str">
        <f>CONCATENATE(Tabela5[[#This Row],[POLO]],Tabela5[[#This Row],[CURSOS]])</f>
        <v>Tangará da Serra/MTAGM</v>
      </c>
      <c r="B76" s="8" t="e">
        <f>CONCATENATE(Tabela5[[#This Row],[POLO]],Tabela5[[#This Row],[CATEGORIA]],_xlfn.XLOOKUP(Tabela5[[#This Row],[CHAVE LOTAÇÃO CLASSIFICAÇÃO DE CURSOS]],CHAVE!A:A,CHAVE!D:D))</f>
        <v>#N/A</v>
      </c>
      <c r="C76" s="19" t="s">
        <v>1352</v>
      </c>
      <c r="D76" s="16">
        <f>IFERROR(_xlfn.XLOOKUP(Tabela5[[#This Row],[NOME DO TUTOR]],TUT.CONTROL!C:C,TUT.CONTROL!V:V),_xlfn.XLOOKUP(Tabela5[[#This Row],[NOME DO TUTOR]],'REG.CONTROL'!C:C,'REG.CONTROL'!V:V))</f>
        <v>45979</v>
      </c>
      <c r="E76" s="17" t="s">
        <v>1347</v>
      </c>
      <c r="F76" s="18" t="s">
        <v>1348</v>
      </c>
      <c r="G76" s="8" t="s">
        <v>734</v>
      </c>
      <c r="H76" s="8" t="s">
        <v>735</v>
      </c>
      <c r="I76" s="8" t="s">
        <v>1175</v>
      </c>
      <c r="J76" s="9" t="s">
        <v>1176</v>
      </c>
      <c r="K76" s="10" t="s">
        <v>1349</v>
      </c>
      <c r="L76" s="17">
        <v>45938</v>
      </c>
      <c r="M76" s="19">
        <v>65999252354</v>
      </c>
      <c r="N76" s="22">
        <v>1158001032</v>
      </c>
      <c r="O76" s="10" t="s">
        <v>1177</v>
      </c>
      <c r="P76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76" s="19" t="s">
        <v>1353</v>
      </c>
      <c r="R76" s="10">
        <f>IF(Tabela5[[#This Row],[SITUAÇÃO]]="Demitido",_xlfn.XLOOKUP(Tabela5[[#This Row],[CHAPA]],'Base de Tutores'!L:L,'Base de Tutores'!P:P),"")</f>
        <v>45979</v>
      </c>
      <c r="S76" s="19"/>
      <c r="T76" s="19"/>
      <c r="U76" s="8"/>
      <c r="V76" s="45">
        <f ca="1">AVERAGE(Tabela5[PERMANENCIA (MÊS)])/30</f>
        <v>0</v>
      </c>
    </row>
    <row r="77" spans="1:22" ht="15.75" customHeight="1" x14ac:dyDescent="0.4">
      <c r="A77" s="8" t="str">
        <f>CONCATENATE(Tabela5[[#This Row],[POLO]],Tabela5[[#This Row],[CURSOS]])</f>
        <v>Criciúma/SCBFR</v>
      </c>
      <c r="B77" s="8" t="e">
        <f>CONCATENATE(Tabela5[[#This Row],[POLO]],Tabela5[[#This Row],[CATEGORIA]],_xlfn.XLOOKUP(Tabela5[[#This Row],[CHAVE LOTAÇÃO CLASSIFICAÇÃO DE CURSOS]],CHAVE!A:A,CHAVE!D:D))</f>
        <v>#N/A</v>
      </c>
      <c r="C77" s="19" t="s">
        <v>1364</v>
      </c>
      <c r="D77" s="16">
        <f>IFERROR(_xlfn.XLOOKUP(Tabela5[[#This Row],[NOME DO TUTOR]],TUT.CONTROL!C:C,TUT.CONTROL!V:V),_xlfn.XLOOKUP(Tabela5[[#This Row],[NOME DO TUTOR]],'REG.CONTROL'!C:C,'REG.CONTROL'!V:V))</f>
        <v>45990</v>
      </c>
      <c r="E77" s="17" t="s">
        <v>1347</v>
      </c>
      <c r="F77" s="18" t="s">
        <v>1348</v>
      </c>
      <c r="G77" s="8" t="s">
        <v>771</v>
      </c>
      <c r="H77" s="8" t="s">
        <v>772</v>
      </c>
      <c r="I77" s="8" t="s">
        <v>795</v>
      </c>
      <c r="J77" s="9" t="s">
        <v>1119</v>
      </c>
      <c r="K77" s="10" t="s">
        <v>1349</v>
      </c>
      <c r="L77" s="17">
        <v>45931</v>
      </c>
      <c r="M77" s="19">
        <v>48996065046</v>
      </c>
      <c r="N77" s="11">
        <v>1158001011</v>
      </c>
      <c r="O77" s="11" t="s">
        <v>1120</v>
      </c>
      <c r="P77" s="22" t="s">
        <v>1350</v>
      </c>
      <c r="Q77" s="19" t="s">
        <v>1356</v>
      </c>
      <c r="R77" s="10">
        <f>IF(Tabela5[[#This Row],[SITUAÇÃO]]="Demitido",_xlfn.XLOOKUP(Tabela5[[#This Row],[CHAPA]],'Base de Tutores'!L:L,'Base de Tutores'!P:P),"")</f>
        <v>45990</v>
      </c>
      <c r="S77" s="19" t="s">
        <v>43</v>
      </c>
      <c r="T77" s="19"/>
      <c r="U77" s="8"/>
      <c r="V77" s="8">
        <f ca="1">AVERAGE(Tabela5[PERMANENCIA (MÊS)])/30</f>
        <v>0</v>
      </c>
    </row>
    <row r="78" spans="1:22" ht="15.75" customHeight="1" x14ac:dyDescent="0.4">
      <c r="A78" s="8" t="str">
        <f>CONCATENATE(Tabela5[[#This Row],[POLO]],Tabela5[[#This Row],[CURSOS]])</f>
        <v>Criciúma/SCCOS-TIP</v>
      </c>
      <c r="B78" s="8" t="e">
        <f>CONCATENATE(Tabela5[[#This Row],[POLO]],Tabela5[[#This Row],[CATEGORIA]],_xlfn.XLOOKUP(Tabela5[[#This Row],[CHAVE LOTAÇÃO CLASSIFICAÇÃO DE CURSOS]],CHAVE!A:A,CHAVE!D:D))</f>
        <v>#N/A</v>
      </c>
      <c r="C78" s="19" t="s">
        <v>1364</v>
      </c>
      <c r="D78" s="16">
        <f>IFERROR(_xlfn.XLOOKUP(Tabela5[[#This Row],[NOME DO TUTOR]],TUT.CONTROL!C:C,TUT.CONTROL!V:V),_xlfn.XLOOKUP(Tabela5[[#This Row],[NOME DO TUTOR]],'REG.CONTROL'!C:C,'REG.CONTROL'!V:V))</f>
        <v>45990</v>
      </c>
      <c r="E78" s="17" t="s">
        <v>1347</v>
      </c>
      <c r="F78" s="18" t="s">
        <v>1348</v>
      </c>
      <c r="G78" s="8" t="s">
        <v>757</v>
      </c>
      <c r="H78" s="8" t="s">
        <v>900</v>
      </c>
      <c r="I78" s="8" t="s">
        <v>795</v>
      </c>
      <c r="J78" s="9" t="s">
        <v>1119</v>
      </c>
      <c r="K78" s="10" t="s">
        <v>1349</v>
      </c>
      <c r="L78" s="17">
        <v>45931</v>
      </c>
      <c r="M78" s="19">
        <v>48996065046</v>
      </c>
      <c r="N78" s="11">
        <v>1158001011</v>
      </c>
      <c r="O78" s="11" t="s">
        <v>1120</v>
      </c>
      <c r="P78" s="22" t="s">
        <v>1350</v>
      </c>
      <c r="Q78" s="19" t="s">
        <v>1356</v>
      </c>
      <c r="R78" s="10">
        <f>IF(Tabela5[[#This Row],[SITUAÇÃO]]="Demitido",_xlfn.XLOOKUP(Tabela5[[#This Row],[CHAPA]],'Base de Tutores'!L:L,'Base de Tutores'!P:P),"")</f>
        <v>45990</v>
      </c>
      <c r="S78" s="19" t="s">
        <v>43</v>
      </c>
      <c r="T78" s="19"/>
      <c r="U78" s="8"/>
      <c r="V78" s="45">
        <f ca="1">AVERAGE(Tabela5[PERMANENCIA (MÊS)])/30</f>
        <v>0</v>
      </c>
    </row>
    <row r="79" spans="1:22" ht="15.75" customHeight="1" x14ac:dyDescent="0.4">
      <c r="A79" s="8" t="str">
        <f>CONCATENATE(Tabela5[[#This Row],[POLO]],Tabela5[[#This Row],[CURSOS]])</f>
        <v>Belo Horizonte/MG - Shopping Estação BHBFR</v>
      </c>
      <c r="B79" s="8" t="e">
        <f>CONCATENATE(Tabela5[[#This Row],[POLO]],Tabela5[[#This Row],[CATEGORIA]],_xlfn.XLOOKUP(Tabela5[[#This Row],[CHAVE LOTAÇÃO CLASSIFICAÇÃO DE CURSOS]],CHAVE!A:A,CHAVE!D:D))</f>
        <v>#N/A</v>
      </c>
      <c r="C79" s="19"/>
      <c r="D79" s="16">
        <f>IFERROR(_xlfn.XLOOKUP(Tabela5[[#This Row],[NOME DO TUTOR]],TUT.CONTROL!C:C,TUT.CONTROL!V:V),_xlfn.XLOOKUP(Tabela5[[#This Row],[NOME DO TUTOR]],'REG.CONTROL'!C:C,'REG.CONTROL'!V:V))</f>
        <v>45992</v>
      </c>
      <c r="E79" s="17" t="s">
        <v>1347</v>
      </c>
      <c r="F79" s="18" t="s">
        <v>1348</v>
      </c>
      <c r="G79" s="8" t="s">
        <v>771</v>
      </c>
      <c r="H79" s="8" t="s">
        <v>772</v>
      </c>
      <c r="I79" s="8" t="s">
        <v>101</v>
      </c>
      <c r="J79" s="9" t="s">
        <v>1027</v>
      </c>
      <c r="K79" s="10" t="s">
        <v>1349</v>
      </c>
      <c r="L79" s="17">
        <v>45901</v>
      </c>
      <c r="M79" s="19">
        <v>28999386158</v>
      </c>
      <c r="N79" s="11">
        <v>1158000946</v>
      </c>
      <c r="O79" s="11" t="s">
        <v>1028</v>
      </c>
      <c r="P79" s="22" t="s">
        <v>1350</v>
      </c>
      <c r="Q79" s="19" t="s">
        <v>1353</v>
      </c>
      <c r="R79" s="10">
        <v>45992</v>
      </c>
      <c r="S79" s="19" t="s">
        <v>43</v>
      </c>
      <c r="T79" s="19"/>
      <c r="U79" s="8"/>
      <c r="V79" s="8">
        <f ca="1">AVERAGE(Tabela5[PERMANENCIA (MÊS)])/30</f>
        <v>0</v>
      </c>
    </row>
    <row r="80" spans="1:22" ht="15.75" customHeight="1" x14ac:dyDescent="0.4">
      <c r="A80" s="8" t="str">
        <f>CONCATENATE(Tabela5[[#This Row],[POLO]],Tabela5[[#This Row],[CURSOS]])</f>
        <v>Florianópolis/SC - CentroBFI</v>
      </c>
      <c r="B80" s="8" t="e">
        <f>CONCATENATE(Tabela5[[#This Row],[POLO]],Tabela5[[#This Row],[CATEGORIA]],_xlfn.XLOOKUP(Tabela5[[#This Row],[CHAVE LOTAÇÃO CLASSIFICAÇÃO DE CURSOS]],CHAVE!A:A,CHAVE!D:D))</f>
        <v>#N/A</v>
      </c>
      <c r="C80" s="19" t="s">
        <v>1352</v>
      </c>
      <c r="D80" s="16">
        <f>IFERROR(_xlfn.XLOOKUP(Tabela5[[#This Row],[NOME DO TUTOR]],TUT.CONTROL!C:C,TUT.CONTROL!V:V),_xlfn.XLOOKUP(Tabela5[[#This Row],[NOME DO TUTOR]],'REG.CONTROL'!C:C,'REG.CONTROL'!V:V))</f>
        <v>45992</v>
      </c>
      <c r="E80" s="17" t="s">
        <v>1347</v>
      </c>
      <c r="F80" s="18" t="s">
        <v>1348</v>
      </c>
      <c r="G80" s="8" t="s">
        <v>757</v>
      </c>
      <c r="H80" s="8" t="s">
        <v>758</v>
      </c>
      <c r="I80" s="8" t="s">
        <v>287</v>
      </c>
      <c r="J80" s="9" t="s">
        <v>829</v>
      </c>
      <c r="K80" s="10" t="s">
        <v>1349</v>
      </c>
      <c r="L80" s="17">
        <v>45873</v>
      </c>
      <c r="M80" s="19">
        <v>48984801112</v>
      </c>
      <c r="N80" s="22">
        <v>1158000836</v>
      </c>
      <c r="O80" s="10" t="s">
        <v>830</v>
      </c>
      <c r="P80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80" s="19" t="s">
        <v>1353</v>
      </c>
      <c r="R80" s="10">
        <f>IF(Tabela5[[#This Row],[SITUAÇÃO]]="Demitido",_xlfn.XLOOKUP(Tabela5[[#This Row],[CHAPA]],'Base de Tutores'!L:L,'Base de Tutores'!P:P),"")</f>
        <v>45992</v>
      </c>
      <c r="S80" s="19"/>
      <c r="T80" s="19"/>
      <c r="U80" s="8"/>
      <c r="V80" s="45">
        <f ca="1">AVERAGE(Tabela5[PERMANENCIA (MÊS)])/30</f>
        <v>0</v>
      </c>
    </row>
    <row r="81" spans="1:22" ht="15.75" customHeight="1" x14ac:dyDescent="0.4">
      <c r="A81" s="8" t="str">
        <f>CONCATENATE(Tabela5[[#This Row],[POLO]],Tabela5[[#This Row],[CURSOS]])</f>
        <v>Ji-Paraná/ROBFR</v>
      </c>
      <c r="B81" s="8" t="e">
        <f>CONCATENATE(Tabela5[[#This Row],[POLO]],Tabela5[[#This Row],[CATEGORIA]],_xlfn.XLOOKUP(Tabela5[[#This Row],[CHAVE LOTAÇÃO CLASSIFICAÇÃO DE CURSOS]],CHAVE!A:A,CHAVE!D:D))</f>
        <v>#N/A</v>
      </c>
      <c r="C81" s="19"/>
      <c r="D81" s="16">
        <f>IFERROR(_xlfn.XLOOKUP(Tabela5[[#This Row],[NOME DO TUTOR]],TUT.CONTROL!C:C,TUT.CONTROL!V:V),_xlfn.XLOOKUP(Tabela5[[#This Row],[NOME DO TUTOR]],'REG.CONTROL'!C:C,'REG.CONTROL'!V:V))</f>
        <v>45999</v>
      </c>
      <c r="E81" s="17" t="s">
        <v>1347</v>
      </c>
      <c r="F81" s="18" t="s">
        <v>1348</v>
      </c>
      <c r="G81" s="8" t="s">
        <v>771</v>
      </c>
      <c r="H81" s="8" t="s">
        <v>772</v>
      </c>
      <c r="I81" s="8" t="s">
        <v>1092</v>
      </c>
      <c r="J81" s="9" t="s">
        <v>1093</v>
      </c>
      <c r="K81" s="10" t="s">
        <v>1349</v>
      </c>
      <c r="L81" s="17">
        <v>45915</v>
      </c>
      <c r="M81" s="19">
        <v>69981244693</v>
      </c>
      <c r="N81" s="22">
        <v>1158000982</v>
      </c>
      <c r="O81" s="10" t="s">
        <v>1094</v>
      </c>
      <c r="P81" s="19" t="s">
        <v>1350</v>
      </c>
      <c r="Q81" s="19" t="s">
        <v>1353</v>
      </c>
      <c r="R81" s="10">
        <f>IF(Tabela5[[#This Row],[SITUAÇÃO]]="Demitido",_xlfn.XLOOKUP(Tabela5[[#This Row],[CHAPA]],'Base de Tutores'!L:L,'Base de Tutores'!P:P),"")</f>
        <v>45999</v>
      </c>
      <c r="S81" s="19"/>
      <c r="T81" s="19" t="s">
        <v>1033</v>
      </c>
      <c r="U81" s="8">
        <v>4847</v>
      </c>
      <c r="V81" s="8">
        <f ca="1">AVERAGE(Tabela5[PERMANENCIA (MÊS)])/30</f>
        <v>0</v>
      </c>
    </row>
    <row r="82" spans="1:22" ht="15.75" customHeight="1" x14ac:dyDescent="0.4">
      <c r="A82" s="8" t="str">
        <f>CONCATENATE(Tabela5[[#This Row],[POLO]],Tabela5[[#This Row],[CURSOS]])</f>
        <v>Niterói/RJ - IngáBFR</v>
      </c>
      <c r="B82" s="8" t="e">
        <f>CONCATENATE(Tabela5[[#This Row],[POLO]],Tabela5[[#This Row],[CATEGORIA]],_xlfn.XLOOKUP(Tabela5[[#This Row],[CHAVE LOTAÇÃO CLASSIFICAÇÃO DE CURSOS]],CHAVE!A:A,CHAVE!D:D))</f>
        <v>#N/A</v>
      </c>
      <c r="C82" s="19"/>
      <c r="D82" s="16">
        <f>IFERROR(_xlfn.XLOOKUP(Tabela5[[#This Row],[NOME DO TUTOR]],TUT.CONTROL!C:C,TUT.CONTROL!V:V),_xlfn.XLOOKUP(Tabela5[[#This Row],[NOME DO TUTOR]],'REG.CONTROL'!C:C,'REG.CONTROL'!V:V))</f>
        <v>46026</v>
      </c>
      <c r="E82" s="17" t="s">
        <v>1347</v>
      </c>
      <c r="F82" s="18" t="s">
        <v>1348</v>
      </c>
      <c r="G82" s="8" t="s">
        <v>771</v>
      </c>
      <c r="H82" s="8" t="s">
        <v>772</v>
      </c>
      <c r="I82" s="8" t="s">
        <v>495</v>
      </c>
      <c r="J82" s="9" t="s">
        <v>853</v>
      </c>
      <c r="K82" s="10" t="s">
        <v>1349</v>
      </c>
      <c r="L82" s="17">
        <v>45875</v>
      </c>
      <c r="M82" s="19">
        <v>21991181209</v>
      </c>
      <c r="N82" s="11">
        <v>1158000841</v>
      </c>
      <c r="O82" s="11" t="s">
        <v>854</v>
      </c>
      <c r="P82" s="22" t="s">
        <v>1350</v>
      </c>
      <c r="Q82" s="19" t="s">
        <v>1353</v>
      </c>
      <c r="R82" s="10">
        <v>46026</v>
      </c>
      <c r="S82" s="19" t="s">
        <v>43</v>
      </c>
      <c r="T82" s="19"/>
      <c r="U82" s="8"/>
      <c r="V82" s="8">
        <f ca="1">AVERAGE(Tabela5[PERMANENCIA (MÊS)])/30</f>
        <v>0</v>
      </c>
    </row>
    <row r="83" spans="1:22" ht="15.75" customHeight="1" x14ac:dyDescent="0.4">
      <c r="A83" s="8" t="str">
        <f>CONCATENATE(Tabela5[[#This Row],[POLO]],Tabela5[[#This Row],[CURSOS]])</f>
        <v>Tangará da Serra/MTEMF-ISN</v>
      </c>
      <c r="B83" s="8" t="e">
        <f>CONCATENATE(Tabela5[[#This Row],[POLO]],Tabela5[[#This Row],[CATEGORIA]],_xlfn.XLOOKUP(Tabela5[[#This Row],[CHAVE LOTAÇÃO CLASSIFICAÇÃO DE CURSOS]],CHAVE!A:A,CHAVE!D:D))</f>
        <v>#N/A</v>
      </c>
      <c r="C83" s="19" t="s">
        <v>1364</v>
      </c>
      <c r="D83" s="16">
        <f>IFERROR(_xlfn.XLOOKUP(Tabela5[[#This Row],[NOME DO TUTOR]],TUT.CONTROL!C:C,TUT.CONTROL!V:V),_xlfn.XLOOKUP(Tabela5[[#This Row],[NOME DO TUTOR]],'REG.CONTROL'!C:C,'REG.CONTROL'!V:V))</f>
        <v>46027</v>
      </c>
      <c r="E83" s="17" t="s">
        <v>1347</v>
      </c>
      <c r="F83" s="18" t="s">
        <v>1348</v>
      </c>
      <c r="G83" s="8" t="s">
        <v>21</v>
      </c>
      <c r="H83" s="8" t="s">
        <v>22</v>
      </c>
      <c r="I83" s="8" t="s">
        <v>1175</v>
      </c>
      <c r="J83" s="9" t="s">
        <v>1236</v>
      </c>
      <c r="K83" s="10" t="s">
        <v>1349</v>
      </c>
      <c r="L83" s="17">
        <v>45726</v>
      </c>
      <c r="M83" s="19">
        <v>65999548587</v>
      </c>
      <c r="N83" s="22">
        <v>1158000540</v>
      </c>
      <c r="O83" s="10" t="s">
        <v>1237</v>
      </c>
      <c r="P83" s="19" t="s">
        <v>1350</v>
      </c>
      <c r="Q83" s="19" t="s">
        <v>1353</v>
      </c>
      <c r="R83" s="10">
        <f>IF(Tabela5[[#This Row],[SITUAÇÃO]]="Demitido",_xlfn.XLOOKUP(Tabela5[[#This Row],[CHAPA]],'Base de Tutores'!L:L,'Base de Tutores'!P:P),"")</f>
        <v>46027</v>
      </c>
      <c r="S83" s="19"/>
      <c r="T83" s="19" t="s">
        <v>44</v>
      </c>
      <c r="U83" s="8">
        <v>931018</v>
      </c>
      <c r="V83" s="45">
        <f ca="1">AVERAGE(Tabela5[PERMANENCIA (MÊS)])/30</f>
        <v>0</v>
      </c>
    </row>
    <row r="84" spans="1:22" ht="15.75" customHeight="1" x14ac:dyDescent="0.4">
      <c r="A84" s="8" t="str">
        <f>CONCATENATE(Tabela5[[#This Row],[POLO]],Tabela5[[#This Row],[CURSOS]])</f>
        <v>Blumenau/SC - Salto Do Norte (Centro Universitário Dante)ECE-ENM-ENS-ENG-EEA-GPI-CDE-OBR-SAN-TER-FSA-SLF-QUI</v>
      </c>
      <c r="B84" s="8" t="e">
        <f>CONCATENATE(Tabela5[[#This Row],[POLO]],Tabela5[[#This Row],[CATEGORIA]],_xlfn.XLOOKUP(Tabela5[[#This Row],[CHAVE LOTAÇÃO CLASSIFICAÇÃO DE CURSOS]],CHAVE!A:A,CHAVE!D:D))</f>
        <v>#N/A</v>
      </c>
      <c r="C84" s="19" t="s">
        <v>1364</v>
      </c>
      <c r="D84" s="16">
        <f>IFERROR(_xlfn.XLOOKUP(Tabela5[[#This Row],[NOME DO TUTOR]],TUT.CONTROL!C:C,TUT.CONTROL!V:V),_xlfn.XLOOKUP(Tabela5[[#This Row],[NOME DO TUTOR]],'REG.CONTROL'!C:C,'REG.CONTROL'!V:V))</f>
        <v>46028</v>
      </c>
      <c r="E84" s="17" t="s">
        <v>1347</v>
      </c>
      <c r="F84" s="18" t="s">
        <v>1348</v>
      </c>
      <c r="G84" s="8" t="s">
        <v>125</v>
      </c>
      <c r="H84" s="8" t="s">
        <v>126</v>
      </c>
      <c r="I84" s="8" t="s">
        <v>110</v>
      </c>
      <c r="J84" s="9" t="s">
        <v>453</v>
      </c>
      <c r="K84" s="10" t="s">
        <v>1349</v>
      </c>
      <c r="L84" s="17">
        <v>45749</v>
      </c>
      <c r="M84" s="19" t="s">
        <v>454</v>
      </c>
      <c r="N84" s="22">
        <v>1158000672</v>
      </c>
      <c r="O84" s="10" t="s">
        <v>455</v>
      </c>
      <c r="P84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84" s="19" t="s">
        <v>1353</v>
      </c>
      <c r="R84" s="10">
        <f>IF(Tabela5[[#This Row],[SITUAÇÃO]]="Demitido",_xlfn.XLOOKUP(Tabela5[[#This Row],[CHAPA]],'Base de Tutores'!L:L,'Base de Tutores'!P:P),"")</f>
        <v>46028</v>
      </c>
      <c r="S84" s="19"/>
      <c r="T84" s="19"/>
      <c r="U84" s="8"/>
      <c r="V84" s="45">
        <f ca="1">AVERAGE(Tabela5[PERMANENCIA (MÊS)])/30</f>
        <v>0</v>
      </c>
    </row>
    <row r="85" spans="1:22" ht="15.75" customHeight="1" x14ac:dyDescent="0.4">
      <c r="A85" s="8" t="str">
        <f>CONCATENATE(Tabela5[[#This Row],[POLO]],Tabela5[[#This Row],[CURSOS]])</f>
        <v>Porto Alegre/RS - Centro HistóricoECE-ENM-ENS-ENG-EEA-GPI-CDE-OBR-SAN-TER-FSA-SLF-QUI</v>
      </c>
      <c r="B85" s="8" t="e">
        <f>CONCATENATE(Tabela5[[#This Row],[POLO]],Tabela5[[#This Row],[CATEGORIA]],_xlfn.XLOOKUP(Tabela5[[#This Row],[CHAVE LOTAÇÃO CLASSIFICAÇÃO DE CURSOS]],CHAVE!A:A,CHAVE!D:D))</f>
        <v>#N/A</v>
      </c>
      <c r="C85" s="19" t="s">
        <v>1364</v>
      </c>
      <c r="D85" s="16">
        <f>IFERROR(_xlfn.XLOOKUP(Tabela5[[#This Row],[NOME DO TUTOR]],TUT.CONTROL!C:C,TUT.CONTROL!V:V),_xlfn.XLOOKUP(Tabela5[[#This Row],[NOME DO TUTOR]],'REG.CONTROL'!C:C,'REG.CONTROL'!V:V))</f>
        <v>46029</v>
      </c>
      <c r="E85" s="17" t="s">
        <v>1347</v>
      </c>
      <c r="F85" s="18" t="s">
        <v>1348</v>
      </c>
      <c r="G85" s="8" t="s">
        <v>125</v>
      </c>
      <c r="H85" s="8" t="s">
        <v>126</v>
      </c>
      <c r="I85" s="8" t="s">
        <v>632</v>
      </c>
      <c r="J85" s="9" t="s">
        <v>831</v>
      </c>
      <c r="K85" s="10" t="s">
        <v>1349</v>
      </c>
      <c r="L85" s="17">
        <v>45873</v>
      </c>
      <c r="M85" s="19">
        <v>51980209658</v>
      </c>
      <c r="N85" s="22">
        <v>1158000799</v>
      </c>
      <c r="O85" s="10" t="s">
        <v>832</v>
      </c>
      <c r="P85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85" s="19" t="s">
        <v>1353</v>
      </c>
      <c r="R85" s="10">
        <f>IF(Tabela5[[#This Row],[SITUAÇÃO]]="Demitido",_xlfn.XLOOKUP(Tabela5[[#This Row],[CHAPA]],'Base de Tutores'!L:L,'Base de Tutores'!P:P),"")</f>
        <v>46029</v>
      </c>
      <c r="S85" s="19"/>
      <c r="T85" s="19"/>
      <c r="U85" s="8"/>
      <c r="V85" s="45">
        <f ca="1">AVERAGE(Tabela5[PERMANENCIA (MÊS)])/30</f>
        <v>0</v>
      </c>
    </row>
    <row r="86" spans="1:22" ht="15.75" customHeight="1" x14ac:dyDescent="0.4">
      <c r="A86" s="8" t="str">
        <f>CONCATENATE(Tabela5[[#This Row],[POLO]],Tabela5[[#This Row],[CURSOS]])</f>
        <v>Alagoinhas/BAECE-ENM-ENS-ENG-EEA-GPI-CDE-OBR-SAN-TER-FSA-SLF-QUI</v>
      </c>
      <c r="B86" s="8" t="e">
        <f>CONCATENATE(Tabela5[[#This Row],[POLO]],Tabela5[[#This Row],[CATEGORIA]],_xlfn.XLOOKUP(Tabela5[[#This Row],[CHAVE LOTAÇÃO CLASSIFICAÇÃO DE CURSOS]],CHAVE!A:A,CHAVE!D:D))</f>
        <v>#N/A</v>
      </c>
      <c r="C86" s="19" t="s">
        <v>1364</v>
      </c>
      <c r="D86" s="16">
        <f>IFERROR(_xlfn.XLOOKUP(Tabela5[[#This Row],[NOME DO TUTOR]],TUT.CONTROL!C:C,TUT.CONTROL!V:V),_xlfn.XLOOKUP(Tabela5[[#This Row],[NOME DO TUTOR]],'REG.CONTROL'!C:C,'REG.CONTROL'!V:V))</f>
        <v>46030</v>
      </c>
      <c r="E86" s="17" t="s">
        <v>1347</v>
      </c>
      <c r="F86" s="18" t="s">
        <v>1348</v>
      </c>
      <c r="G86" s="8" t="s">
        <v>125</v>
      </c>
      <c r="H86" s="8" t="s">
        <v>126</v>
      </c>
      <c r="I86" s="8" t="s">
        <v>815</v>
      </c>
      <c r="J86" s="9" t="s">
        <v>884</v>
      </c>
      <c r="K86" s="10" t="s">
        <v>1349</v>
      </c>
      <c r="L86" s="17">
        <v>45880</v>
      </c>
      <c r="M86" s="19">
        <v>75983285185</v>
      </c>
      <c r="N86" s="22">
        <v>1158000856</v>
      </c>
      <c r="O86" s="10" t="s">
        <v>885</v>
      </c>
      <c r="P86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86" s="19" t="s">
        <v>1353</v>
      </c>
      <c r="R86" s="10">
        <f>IF(Tabela5[[#This Row],[SITUAÇÃO]]="Demitido",_xlfn.XLOOKUP(Tabela5[[#This Row],[CHAPA]],'Base de Tutores'!L:L,'Base de Tutores'!P:P),"")</f>
        <v>46030</v>
      </c>
      <c r="S86" s="19"/>
      <c r="T86" s="19"/>
      <c r="U86" s="8"/>
      <c r="V86" s="45">
        <f ca="1">AVERAGE(Tabela5[PERMANENCIA (MÊS)])/30</f>
        <v>0</v>
      </c>
    </row>
    <row r="87" spans="1:22" ht="15.75" customHeight="1" x14ac:dyDescent="0.4">
      <c r="A87" s="8" t="str">
        <f>CONCATENATE(Tabela5[[#This Row],[POLO]],Tabela5[[#This Row],[CURSOS]])</f>
        <v>Belém/PA - NazaréBFR</v>
      </c>
      <c r="B87" s="8" t="e">
        <f>CONCATENATE(Tabela5[[#This Row],[POLO]],Tabela5[[#This Row],[CATEGORIA]],_xlfn.XLOOKUP(Tabela5[[#This Row],[CHAVE LOTAÇÃO CLASSIFICAÇÃO DE CURSOS]],CHAVE!A:A,CHAVE!D:D))</f>
        <v>#N/A</v>
      </c>
      <c r="C87" s="19" t="s">
        <v>1364</v>
      </c>
      <c r="D87" s="16">
        <f>IFERROR(_xlfn.XLOOKUP(Tabela5[[#This Row],[NOME DO TUTOR]],TUT.CONTROL!C:C,TUT.CONTROL!V:V),_xlfn.XLOOKUP(Tabela5[[#This Row],[NOME DO TUTOR]],'REG.CONTROL'!C:C,'REG.CONTROL'!V:V))</f>
        <v>46038</v>
      </c>
      <c r="E87" s="17" t="s">
        <v>1347</v>
      </c>
      <c r="F87" s="18" t="s">
        <v>1348</v>
      </c>
      <c r="G87" s="8" t="s">
        <v>771</v>
      </c>
      <c r="H87" s="8" t="s">
        <v>772</v>
      </c>
      <c r="I87" s="8" t="s">
        <v>553</v>
      </c>
      <c r="J87" s="9" t="s">
        <v>1121</v>
      </c>
      <c r="K87" s="10" t="s">
        <v>1349</v>
      </c>
      <c r="L87" s="17">
        <v>45931</v>
      </c>
      <c r="M87" s="19">
        <v>91982538250</v>
      </c>
      <c r="N87" s="22">
        <v>1158001012</v>
      </c>
      <c r="O87" s="10" t="s">
        <v>1122</v>
      </c>
      <c r="P87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87" s="19" t="s">
        <v>1353</v>
      </c>
      <c r="R87" s="10">
        <f>IF(Tabela5[[#This Row],[SITUAÇÃO]]="Demitido",_xlfn.XLOOKUP(Tabela5[[#This Row],[CHAPA]],'Base de Tutores'!L:L,'Base de Tutores'!P:P),"")</f>
        <v>46038</v>
      </c>
      <c r="S87" s="19"/>
      <c r="T87" s="19"/>
      <c r="U87" s="8"/>
      <c r="V87" s="8">
        <f ca="1">AVERAGE(Tabela5[PERMANENCIA (MÊS)])/30</f>
        <v>0</v>
      </c>
    </row>
    <row r="88" spans="1:22" ht="15.75" customHeight="1" x14ac:dyDescent="0.4">
      <c r="A88" s="8" t="str">
        <f>CONCATENATE(Tabela5[[#This Row],[POLO]],Tabela5[[#This Row],[CURSOS]])</f>
        <v>Cuiabá/MT - PoçãoEMF-ISN</v>
      </c>
      <c r="B88" s="8" t="e">
        <f>CONCATENATE(Tabela5[[#This Row],[POLO]],Tabela5[[#This Row],[CATEGORIA]],_xlfn.XLOOKUP(Tabela5[[#This Row],[CHAVE LOTAÇÃO CLASSIFICAÇÃO DE CURSOS]],CHAVE!A:A,CHAVE!D:D))</f>
        <v>#N/A</v>
      </c>
      <c r="C88" s="19" t="s">
        <v>1365</v>
      </c>
      <c r="D88" s="16">
        <f>IFERROR(_xlfn.XLOOKUP(Tabela5[[#This Row],[NOME DO TUTOR]],TUT.CONTROL!C:C,TUT.CONTROL!V:V),_xlfn.XLOOKUP(Tabela5[[#This Row],[NOME DO TUTOR]],'REG.CONTROL'!C:C,'REG.CONTROL'!V:V))</f>
        <v>46041</v>
      </c>
      <c r="E88" s="17" t="s">
        <v>1347</v>
      </c>
      <c r="F88" s="18" t="s">
        <v>1348</v>
      </c>
      <c r="G88" s="8" t="s">
        <v>21</v>
      </c>
      <c r="H88" s="8" t="s">
        <v>22</v>
      </c>
      <c r="I88" s="8" t="s">
        <v>251</v>
      </c>
      <c r="J88" s="9" t="s">
        <v>254</v>
      </c>
      <c r="K88" s="10" t="s">
        <v>1349</v>
      </c>
      <c r="L88" s="17">
        <v>45880</v>
      </c>
      <c r="M88" s="19">
        <v>66984109939</v>
      </c>
      <c r="N88" s="22">
        <v>1158000865</v>
      </c>
      <c r="O88" s="10" t="s">
        <v>255</v>
      </c>
      <c r="P88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88" s="19" t="s">
        <v>1353</v>
      </c>
      <c r="R88" s="10">
        <f>IF(Tabela5[[#This Row],[SITUAÇÃO]]="Demitido",_xlfn.XLOOKUP(Tabela5[[#This Row],[CHAPA]],'Base de Tutores'!L:L,'Base de Tutores'!P:P),"")</f>
        <v>46041</v>
      </c>
      <c r="S88" s="19"/>
      <c r="T88" s="19"/>
      <c r="U88" s="8"/>
      <c r="V88" s="45">
        <f ca="1">AVERAGE(Tabela5[PERMANENCIA (MÊS)])/30</f>
        <v>0</v>
      </c>
    </row>
    <row r="89" spans="1:22" ht="15.75" customHeight="1" x14ac:dyDescent="0.4">
      <c r="A89" s="8" t="str">
        <f>CONCATENATE(Tabela5[[#This Row],[POLO]],Tabela5[[#This Row],[CURSOS]])</f>
        <v>Manaus/AM - Cidade NovaECE-ENM-ENS-ENG-EEA-GPI-CDE-OBR-SAN-TER-FSA-SLF-QUI</v>
      </c>
      <c r="B89" s="8" t="e">
        <f>CONCATENATE(Tabela5[[#This Row],[POLO]],Tabela5[[#This Row],[CATEGORIA]],_xlfn.XLOOKUP(Tabela5[[#This Row],[CHAVE LOTAÇÃO CLASSIFICAÇÃO DE CURSOS]],CHAVE!A:A,CHAVE!D:D))</f>
        <v>#N/A</v>
      </c>
      <c r="C89" s="19" t="s">
        <v>1365</v>
      </c>
      <c r="D89" s="16">
        <f>IFERROR(_xlfn.XLOOKUP(Tabela5[[#This Row],[NOME DO TUTOR]],TUT.CONTROL!C:C,TUT.CONTROL!V:V),_xlfn.XLOOKUP(Tabela5[[#This Row],[NOME DO TUTOR]],'REG.CONTROL'!C:C,'REG.CONTROL'!V:V))</f>
        <v>46041</v>
      </c>
      <c r="E89" s="17" t="s">
        <v>1347</v>
      </c>
      <c r="F89" s="18" t="s">
        <v>1348</v>
      </c>
      <c r="G89" s="8" t="s">
        <v>125</v>
      </c>
      <c r="H89" s="8" t="s">
        <v>126</v>
      </c>
      <c r="I89" s="8" t="s">
        <v>459</v>
      </c>
      <c r="J89" s="9" t="s">
        <v>516</v>
      </c>
      <c r="K89" s="10" t="s">
        <v>1349</v>
      </c>
      <c r="L89" s="17">
        <v>45754</v>
      </c>
      <c r="M89" s="19" t="s">
        <v>1366</v>
      </c>
      <c r="N89" s="22">
        <v>1158000684</v>
      </c>
      <c r="O89" s="10" t="s">
        <v>518</v>
      </c>
      <c r="P89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89" s="19" t="s">
        <v>1353</v>
      </c>
      <c r="R89" s="10">
        <f>IF(Tabela5[[#This Row],[SITUAÇÃO]]="Demitido",_xlfn.XLOOKUP(Tabela5[[#This Row],[CHAPA]],'Base de Tutores'!L:L,'Base de Tutores'!P:P),"")</f>
        <v>46041</v>
      </c>
      <c r="S89" s="19"/>
      <c r="T89" s="19"/>
      <c r="U89" s="8"/>
      <c r="V89" s="45">
        <f ca="1">AVERAGE(Tabela5[PERMANENCIA (MÊS)])/30</f>
        <v>0</v>
      </c>
    </row>
    <row r="90" spans="1:22" ht="15.75" customHeight="1" x14ac:dyDescent="0.4">
      <c r="A90" s="8" t="str">
        <f>CONCATENATE(Tabela5[[#This Row],[POLO]],Tabela5[[#This Row],[CURSOS]])</f>
        <v>Campos dos Goytacazes/RJBFR</v>
      </c>
      <c r="B90" s="8" t="e">
        <f>CONCATENATE(Tabela5[[#This Row],[POLO]],Tabela5[[#This Row],[CATEGORIA]],_xlfn.XLOOKUP(Tabela5[[#This Row],[CHAVE LOTAÇÃO CLASSIFICAÇÃO DE CURSOS]],CHAVE!A:A,CHAVE!D:D))</f>
        <v>#N/A</v>
      </c>
      <c r="C90" s="19" t="s">
        <v>1352</v>
      </c>
      <c r="D90" s="16">
        <f>IFERROR(_xlfn.XLOOKUP(Tabela5[[#This Row],[NOME DO TUTOR]],TUT.CONTROL!C:C,TUT.CONTROL!V:V),_xlfn.XLOOKUP(Tabela5[[#This Row],[NOME DO TUTOR]],'REG.CONTROL'!C:C,'REG.CONTROL'!V:V))</f>
        <v>46041</v>
      </c>
      <c r="E90" s="17" t="s">
        <v>1347</v>
      </c>
      <c r="F90" s="18" t="s">
        <v>1348</v>
      </c>
      <c r="G90" s="8" t="s">
        <v>771</v>
      </c>
      <c r="H90" s="8" t="s">
        <v>772</v>
      </c>
      <c r="I90" s="8" t="s">
        <v>1367</v>
      </c>
      <c r="J90" s="9" t="s">
        <v>1148</v>
      </c>
      <c r="K90" s="10" t="s">
        <v>1349</v>
      </c>
      <c r="L90" s="17">
        <v>45936</v>
      </c>
      <c r="M90" s="19">
        <v>22999876630</v>
      </c>
      <c r="N90" s="22">
        <v>1158001015</v>
      </c>
      <c r="O90" s="10" t="s">
        <v>1149</v>
      </c>
      <c r="P90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90" s="19" t="s">
        <v>1353</v>
      </c>
      <c r="R90" s="10">
        <f>IF(Tabela5[[#This Row],[SITUAÇÃO]]="Demitido",_xlfn.XLOOKUP(Tabela5[[#This Row],[CHAPA]],'Base de Tutores'!L:L,'Base de Tutores'!P:P),"")</f>
        <v>46041</v>
      </c>
      <c r="S90" s="19"/>
      <c r="T90" s="19"/>
      <c r="U90" s="8"/>
      <c r="V90" s="8">
        <f ca="1">AVERAGE(Tabela5[PERMANENCIA (MÊS)])/30</f>
        <v>0</v>
      </c>
    </row>
    <row r="91" spans="1:22" ht="15.75" customHeight="1" x14ac:dyDescent="0.4">
      <c r="A91" s="8" t="str">
        <f>CONCATENATE(Tabela5[[#This Row],[POLO]],Tabela5[[#This Row],[CURSOS]])</f>
        <v>Guarujá/SPBFR</v>
      </c>
      <c r="B91" s="8" t="e">
        <f>CONCATENATE(Tabela5[[#This Row],[POLO]],Tabela5[[#This Row],[CATEGORIA]],_xlfn.XLOOKUP(Tabela5[[#This Row],[CHAVE LOTAÇÃO CLASSIFICAÇÃO DE CURSOS]],CHAVE!A:A,CHAVE!D:D))</f>
        <v>#N/A</v>
      </c>
      <c r="C91" s="19" t="s">
        <v>1365</v>
      </c>
      <c r="D91" s="16">
        <f>IFERROR(_xlfn.XLOOKUP(Tabela5[[#This Row],[NOME DO TUTOR]],TUT.CONTROL!C:C,TUT.CONTROL!V:V),_xlfn.XLOOKUP(Tabela5[[#This Row],[NOME DO TUTOR]],'REG.CONTROL'!C:C,'REG.CONTROL'!V:V))</f>
        <v>46042</v>
      </c>
      <c r="E91" s="17" t="s">
        <v>1347</v>
      </c>
      <c r="F91" s="18" t="s">
        <v>1348</v>
      </c>
      <c r="G91" s="8" t="s">
        <v>771</v>
      </c>
      <c r="H91" s="8" t="s">
        <v>772</v>
      </c>
      <c r="I91" s="8" t="s">
        <v>325</v>
      </c>
      <c r="J91" s="9" t="s">
        <v>1213</v>
      </c>
      <c r="K91" s="10" t="s">
        <v>1349</v>
      </c>
      <c r="L91" s="17">
        <v>45964</v>
      </c>
      <c r="M91" s="19">
        <v>13981460473</v>
      </c>
      <c r="N91" s="22">
        <v>1158001048</v>
      </c>
      <c r="O91" s="10" t="s">
        <v>1214</v>
      </c>
      <c r="P91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91" s="19" t="s">
        <v>1353</v>
      </c>
      <c r="R91" s="10">
        <f>IF(Tabela5[[#This Row],[SITUAÇÃO]]="Demitido",_xlfn.XLOOKUP(Tabela5[[#This Row],[CHAPA]],'Base de Tutores'!L:L,'Base de Tutores'!P:P),"")</f>
        <v>46042</v>
      </c>
      <c r="S91" s="19"/>
      <c r="T91" s="19"/>
      <c r="U91" s="8"/>
      <c r="V91" s="8">
        <f ca="1">AVERAGE(Tabela5[PERMANENCIA (MÊS)])/30</f>
        <v>0</v>
      </c>
    </row>
    <row r="92" spans="1:22" ht="15.75" customHeight="1" x14ac:dyDescent="0.4">
      <c r="A92" s="8" t="str">
        <f>CONCATENATE(Tabela5[[#This Row],[POLO]],Tabela5[[#This Row],[CURSOS]])</f>
        <v>Itaboraí/RJBFR</v>
      </c>
      <c r="B92" s="8" t="e">
        <f>CONCATENATE(Tabela5[[#This Row],[POLO]],Tabela5[[#This Row],[CATEGORIA]],_xlfn.XLOOKUP(Tabela5[[#This Row],[CHAVE LOTAÇÃO CLASSIFICAÇÃO DE CURSOS]],CHAVE!A:A,CHAVE!D:D))</f>
        <v>#N/A</v>
      </c>
      <c r="C92" s="19" t="s">
        <v>1365</v>
      </c>
      <c r="D92" s="16">
        <f>IFERROR(_xlfn.XLOOKUP(Tabela5[[#This Row],[NOME DO TUTOR]],TUT.CONTROL!C:C,TUT.CONTROL!V:V),_xlfn.XLOOKUP(Tabela5[[#This Row],[NOME DO TUTOR]],'REG.CONTROL'!C:C,'REG.CONTROL'!V:V))</f>
        <v>46042</v>
      </c>
      <c r="E92" s="17" t="s">
        <v>1347</v>
      </c>
      <c r="F92" s="18" t="s">
        <v>1348</v>
      </c>
      <c r="G92" s="8" t="s">
        <v>771</v>
      </c>
      <c r="H92" s="8" t="s">
        <v>772</v>
      </c>
      <c r="I92" s="8" t="s">
        <v>354</v>
      </c>
      <c r="J92" s="9" t="s">
        <v>1206</v>
      </c>
      <c r="K92" s="10" t="s">
        <v>1349</v>
      </c>
      <c r="L92" s="17">
        <v>45950</v>
      </c>
      <c r="M92" s="19">
        <v>21984834024</v>
      </c>
      <c r="N92" s="22">
        <v>1158001043</v>
      </c>
      <c r="O92" s="10" t="s">
        <v>1207</v>
      </c>
      <c r="P92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92" s="19" t="s">
        <v>1353</v>
      </c>
      <c r="R92" s="10">
        <f>IF(Tabela5[[#This Row],[SITUAÇÃO]]="Demitido",_xlfn.XLOOKUP(Tabela5[[#This Row],[CHAPA]],'Base de Tutores'!L:L,'Base de Tutores'!P:P),"")</f>
        <v>46042</v>
      </c>
      <c r="S92" s="19"/>
      <c r="T92" s="19"/>
      <c r="U92" s="8"/>
      <c r="V92" s="8">
        <f ca="1">AVERAGE(Tabela5[PERMANENCIA (MÊS)])/30</f>
        <v>0</v>
      </c>
    </row>
    <row r="93" spans="1:22" ht="15.75" customHeight="1" x14ac:dyDescent="0.4">
      <c r="A93" s="8" t="str">
        <f>CONCATENATE(Tabela5[[#This Row],[POLO]],Tabela5[[#This Row],[CURSOS]])</f>
        <v>Ponta Porã/MSBFR</v>
      </c>
      <c r="B93" s="8" t="e">
        <f>CONCATENATE(Tabela5[[#This Row],[POLO]],Tabela5[[#This Row],[CATEGORIA]],_xlfn.XLOOKUP(Tabela5[[#This Row],[CHAVE LOTAÇÃO CLASSIFICAÇÃO DE CURSOS]],CHAVE!A:A,CHAVE!D:D))</f>
        <v>#N/A</v>
      </c>
      <c r="C93" s="19" t="s">
        <v>1365</v>
      </c>
      <c r="D93" s="16">
        <f>IFERROR(_xlfn.XLOOKUP(Tabela5[[#This Row],[NOME DO TUTOR]],TUT.CONTROL!C:C,TUT.CONTROL!V:V),_xlfn.XLOOKUP(Tabela5[[#This Row],[NOME DO TUTOR]],'REG.CONTROL'!C:C,'REG.CONTROL'!V:V))</f>
        <v>46042</v>
      </c>
      <c r="E93" s="17" t="s">
        <v>1347</v>
      </c>
      <c r="F93" s="18" t="s">
        <v>1348</v>
      </c>
      <c r="G93" s="8" t="s">
        <v>771</v>
      </c>
      <c r="H93" s="8" t="s">
        <v>772</v>
      </c>
      <c r="I93" s="8" t="s">
        <v>617</v>
      </c>
      <c r="J93" s="9" t="s">
        <v>888</v>
      </c>
      <c r="K93" s="10" t="s">
        <v>1349</v>
      </c>
      <c r="L93" s="17">
        <v>45880</v>
      </c>
      <c r="M93" s="19">
        <v>89988060988</v>
      </c>
      <c r="N93" s="22">
        <v>1158000854</v>
      </c>
      <c r="O93" s="10" t="s">
        <v>889</v>
      </c>
      <c r="P93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93" s="19" t="s">
        <v>1353</v>
      </c>
      <c r="R93" s="10">
        <f>IF(Tabela5[[#This Row],[SITUAÇÃO]]="Demitido",_xlfn.XLOOKUP(Tabela5[[#This Row],[CHAPA]],'Base de Tutores'!L:L,'Base de Tutores'!P:P),"")</f>
        <v>46042</v>
      </c>
      <c r="S93" s="19"/>
      <c r="T93" s="19"/>
      <c r="U93" s="8"/>
      <c r="V93" s="8">
        <f ca="1">AVERAGE(Tabela5[PERMANENCIA (MÊS)])/30</f>
        <v>0</v>
      </c>
    </row>
    <row r="94" spans="1:22" ht="15.75" customHeight="1" x14ac:dyDescent="0.4">
      <c r="A94" s="8" t="str">
        <f>CONCATENATE(Tabela5[[#This Row],[POLO]],Tabela5[[#This Row],[CURSOS]])</f>
        <v>Itajaí/SC - São VicenteBFR</v>
      </c>
      <c r="B94" s="8" t="e">
        <f>CONCATENATE(Tabela5[[#This Row],[POLO]],Tabela5[[#This Row],[CATEGORIA]],_xlfn.XLOOKUP(Tabela5[[#This Row],[CHAVE LOTAÇÃO CLASSIFICAÇÃO DE CURSOS]],CHAVE!A:A,CHAVE!D:D))</f>
        <v>#N/A</v>
      </c>
      <c r="C94" s="19" t="s">
        <v>1365</v>
      </c>
      <c r="D94" s="16">
        <f>IFERROR(_xlfn.XLOOKUP(Tabela5[[#This Row],[NOME DO TUTOR]],TUT.CONTROL!C:C,TUT.CONTROL!V:V),_xlfn.XLOOKUP(Tabela5[[#This Row],[NOME DO TUTOR]],'REG.CONTROL'!C:C,'REG.CONTROL'!V:V))</f>
        <v>46042</v>
      </c>
      <c r="E94" s="17" t="s">
        <v>1347</v>
      </c>
      <c r="F94" s="18" t="s">
        <v>1348</v>
      </c>
      <c r="G94" s="8" t="s">
        <v>771</v>
      </c>
      <c r="H94" s="8" t="s">
        <v>772</v>
      </c>
      <c r="I94" s="8" t="s">
        <v>366</v>
      </c>
      <c r="J94" s="9" t="s">
        <v>1150</v>
      </c>
      <c r="K94" s="10" t="s">
        <v>1349</v>
      </c>
      <c r="L94" s="17">
        <v>45936</v>
      </c>
      <c r="M94" s="19">
        <v>47988480501</v>
      </c>
      <c r="N94" s="22">
        <v>1158001023</v>
      </c>
      <c r="O94" s="10" t="s">
        <v>1151</v>
      </c>
      <c r="P94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94" s="19" t="s">
        <v>1353</v>
      </c>
      <c r="R94" s="10">
        <f>IF(Tabela5[[#This Row],[SITUAÇÃO]]="Demitido",_xlfn.XLOOKUP(Tabela5[[#This Row],[CHAPA]],'Base de Tutores'!L:L,'Base de Tutores'!P:P),"")</f>
        <v>46042</v>
      </c>
      <c r="S94" s="19"/>
      <c r="T94" s="19"/>
      <c r="U94" s="8"/>
      <c r="V94" s="8">
        <f ca="1">AVERAGE(Tabela5[PERMANENCIA (MÊS)])/30</f>
        <v>0</v>
      </c>
    </row>
    <row r="95" spans="1:22" ht="15.75" customHeight="1" x14ac:dyDescent="0.4">
      <c r="A95" s="8" t="str">
        <f>CONCATENATE(Tabela5[[#This Row],[POLO]],Tabela5[[#This Row],[CURSOS]])</f>
        <v>Cabo Frio/RJBFR</v>
      </c>
      <c r="B95" s="8" t="e">
        <f>CONCATENATE(Tabela5[[#This Row],[POLO]],Tabela5[[#This Row],[CATEGORIA]],_xlfn.XLOOKUP(Tabela5[[#This Row],[CHAVE LOTAÇÃO CLASSIFICAÇÃO DE CURSOS]],CHAVE!A:A,CHAVE!D:D))</f>
        <v>#N/A</v>
      </c>
      <c r="C95" s="19"/>
      <c r="D95" s="16">
        <f>IFERROR(_xlfn.XLOOKUP(Tabela5[[#This Row],[NOME DO TUTOR]],TUT.CONTROL!C:C,TUT.CONTROL!V:V),_xlfn.XLOOKUP(Tabela5[[#This Row],[NOME DO TUTOR]],'REG.CONTROL'!C:C,'REG.CONTROL'!V:V))</f>
        <v>46042</v>
      </c>
      <c r="E95" s="17" t="s">
        <v>1347</v>
      </c>
      <c r="F95" s="18" t="s">
        <v>1348</v>
      </c>
      <c r="G95" s="8" t="s">
        <v>771</v>
      </c>
      <c r="H95" s="8" t="s">
        <v>772</v>
      </c>
      <c r="I95" s="8" t="s">
        <v>154</v>
      </c>
      <c r="J95" s="9" t="s">
        <v>1029</v>
      </c>
      <c r="K95" s="10" t="s">
        <v>1349</v>
      </c>
      <c r="L95" s="17">
        <v>45901</v>
      </c>
      <c r="M95" s="19">
        <v>22992212951</v>
      </c>
      <c r="N95" s="22">
        <v>1158000942</v>
      </c>
      <c r="O95" s="10" t="s">
        <v>1030</v>
      </c>
      <c r="P95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95" s="19" t="s">
        <v>1353</v>
      </c>
      <c r="R95" s="10">
        <f>IF(Tabela5[[#This Row],[SITUAÇÃO]]="Demitido",_xlfn.XLOOKUP(Tabela5[[#This Row],[CHAPA]],'Base de Tutores'!L:L,'Base de Tutores'!P:P),"")</f>
        <v>46042</v>
      </c>
      <c r="S95" s="19"/>
      <c r="T95" s="19"/>
      <c r="U95" s="8"/>
      <c r="V95" s="8">
        <f ca="1">AVERAGE(Tabela5[PERMANENCIA (MÊS)])/30</f>
        <v>0</v>
      </c>
    </row>
    <row r="96" spans="1:22" ht="15.75" customHeight="1" x14ac:dyDescent="0.4">
      <c r="A96" s="8" t="str">
        <f>CONCATENATE(Tabela5[[#This Row],[POLO]],Tabela5[[#This Row],[CURSOS]])</f>
        <v>Rio de Janeiro/RJ - Campo GrandeBFR</v>
      </c>
      <c r="B96" s="8" t="e">
        <f>CONCATENATE(Tabela5[[#This Row],[POLO]],Tabela5[[#This Row],[CATEGORIA]],_xlfn.XLOOKUP(Tabela5[[#This Row],[CHAVE LOTAÇÃO CLASSIFICAÇÃO DE CURSOS]],CHAVE!A:A,CHAVE!D:D))</f>
        <v>#N/A</v>
      </c>
      <c r="C96" s="19"/>
      <c r="D96" s="16">
        <f>IFERROR(_xlfn.XLOOKUP(Tabela5[[#This Row],[NOME DO TUTOR]],TUT.CONTROL!C:C,TUT.CONTROL!V:V),_xlfn.XLOOKUP(Tabela5[[#This Row],[NOME DO TUTOR]],'REG.CONTROL'!C:C,'REG.CONTROL'!V:V))</f>
        <v>46042</v>
      </c>
      <c r="E96" s="17" t="s">
        <v>1347</v>
      </c>
      <c r="F96" s="18" t="s">
        <v>1348</v>
      </c>
      <c r="G96" s="8" t="s">
        <v>771</v>
      </c>
      <c r="H96" s="8" t="s">
        <v>772</v>
      </c>
      <c r="I96" s="8" t="s">
        <v>833</v>
      </c>
      <c r="J96" s="9" t="s">
        <v>834</v>
      </c>
      <c r="K96" s="10" t="s">
        <v>1349</v>
      </c>
      <c r="L96" s="17">
        <v>45873</v>
      </c>
      <c r="M96" s="19">
        <v>21976815532</v>
      </c>
      <c r="N96" s="22">
        <v>1158000797</v>
      </c>
      <c r="O96" s="10" t="s">
        <v>835</v>
      </c>
      <c r="P96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96" s="19" t="s">
        <v>1353</v>
      </c>
      <c r="R96" s="10">
        <f>IF(Tabela5[[#This Row],[SITUAÇÃO]]="Demitido",_xlfn.XLOOKUP(Tabela5[[#This Row],[CHAPA]],'Base de Tutores'!L:L,'Base de Tutores'!P:P),"")</f>
        <v>46042</v>
      </c>
      <c r="S96" s="19"/>
      <c r="T96" s="19"/>
      <c r="U96" s="8"/>
      <c r="V96" s="8">
        <f ca="1">AVERAGE(Tabela5[PERMANENCIA (MÊS)])/30</f>
        <v>0</v>
      </c>
    </row>
    <row r="97" spans="1:22" ht="15.75" customHeight="1" x14ac:dyDescent="0.4">
      <c r="A97" s="8" t="str">
        <f>CONCATENATE(Tabela5[[#This Row],[POLO]],Tabela5[[#This Row],[CURSOS]])</f>
        <v>Capão Da Canoa/RSBFR</v>
      </c>
      <c r="B97" s="8" t="e">
        <f>CONCATENATE(Tabela5[[#This Row],[POLO]],Tabela5[[#This Row],[CATEGORIA]],_xlfn.XLOOKUP(Tabela5[[#This Row],[CHAVE LOTAÇÃO CLASSIFICAÇÃO DE CURSOS]],CHAVE!A:A,CHAVE!D:D))</f>
        <v>#N/A</v>
      </c>
      <c r="C97" s="19"/>
      <c r="D97" s="16">
        <f>IFERROR(_xlfn.XLOOKUP(Tabela5[[#This Row],[NOME DO TUTOR]],TUT.CONTROL!C:C,TUT.CONTROL!V:V),_xlfn.XLOOKUP(Tabela5[[#This Row],[NOME DO TUTOR]],'REG.CONTROL'!C:C,'REG.CONTROL'!V:V))</f>
        <v>46042</v>
      </c>
      <c r="E97" s="17" t="s">
        <v>1347</v>
      </c>
      <c r="F97" s="18" t="s">
        <v>1348</v>
      </c>
      <c r="G97" s="8" t="s">
        <v>771</v>
      </c>
      <c r="H97" s="8" t="s">
        <v>772</v>
      </c>
      <c r="I97" s="8" t="s">
        <v>197</v>
      </c>
      <c r="J97" s="9" t="s">
        <v>1152</v>
      </c>
      <c r="K97" s="10" t="s">
        <v>1349</v>
      </c>
      <c r="L97" s="17">
        <v>45936</v>
      </c>
      <c r="M97" s="19">
        <v>51981023005</v>
      </c>
      <c r="N97" s="22">
        <v>1158001022</v>
      </c>
      <c r="O97" s="10" t="s">
        <v>1153</v>
      </c>
      <c r="P97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97" s="19" t="s">
        <v>1353</v>
      </c>
      <c r="R97" s="10">
        <f>IF(Tabela5[[#This Row],[SITUAÇÃO]]="Demitido",_xlfn.XLOOKUP(Tabela5[[#This Row],[CHAPA]],'Base de Tutores'!L:L,'Base de Tutores'!P:P),"")</f>
        <v>46042</v>
      </c>
      <c r="S97" s="19"/>
      <c r="T97" s="19"/>
      <c r="U97" s="8"/>
      <c r="V97" s="8">
        <f ca="1">AVERAGE(Tabela5[PERMANENCIA (MÊS)])/30</f>
        <v>0</v>
      </c>
    </row>
    <row r="98" spans="1:22" ht="15.75" customHeight="1" x14ac:dyDescent="0.4">
      <c r="A98" s="8" t="str">
        <f>CONCATENATE(Tabela5[[#This Row],[POLO]],Tabela5[[#This Row],[CURSOS]])</f>
        <v>Rio de Janeiro/RJ - Ilha do GovernadorBFR</v>
      </c>
      <c r="B98" s="8" t="e">
        <f>CONCATENATE(Tabela5[[#This Row],[POLO]],Tabela5[[#This Row],[CATEGORIA]],_xlfn.XLOOKUP(Tabela5[[#This Row],[CHAVE LOTAÇÃO CLASSIFICAÇÃO DE CURSOS]],CHAVE!A:A,CHAVE!D:D))</f>
        <v>#N/A</v>
      </c>
      <c r="C98" s="19"/>
      <c r="D98" s="16">
        <f>IFERROR(_xlfn.XLOOKUP(Tabela5[[#This Row],[NOME DO TUTOR]],TUT.CONTROL!C:C,TUT.CONTROL!V:V),_xlfn.XLOOKUP(Tabela5[[#This Row],[NOME DO TUTOR]],'REG.CONTROL'!C:C,'REG.CONTROL'!V:V))</f>
        <v>46042</v>
      </c>
      <c r="E98" s="17" t="s">
        <v>1347</v>
      </c>
      <c r="F98" s="18" t="s">
        <v>1348</v>
      </c>
      <c r="G98" s="8" t="s">
        <v>771</v>
      </c>
      <c r="H98" s="8" t="s">
        <v>772</v>
      </c>
      <c r="I98" s="8" t="s">
        <v>691</v>
      </c>
      <c r="J98" s="9" t="s">
        <v>1193</v>
      </c>
      <c r="K98" s="10" t="s">
        <v>1349</v>
      </c>
      <c r="L98" s="17">
        <v>45943</v>
      </c>
      <c r="M98" s="19">
        <v>21964147653</v>
      </c>
      <c r="N98" s="11">
        <v>1158001036</v>
      </c>
      <c r="O98" s="11" t="s">
        <v>1194</v>
      </c>
      <c r="P98" s="22" t="s">
        <v>1350</v>
      </c>
      <c r="Q98" s="19" t="s">
        <v>1353</v>
      </c>
      <c r="R98" s="10">
        <v>46042</v>
      </c>
      <c r="S98" s="19" t="s">
        <v>43</v>
      </c>
      <c r="T98" s="19" t="s">
        <v>836</v>
      </c>
      <c r="U98" s="8">
        <v>8857</v>
      </c>
      <c r="V98" s="8">
        <f ca="1">AVERAGE(Tabela5[PERMANENCIA (MÊS)])/30</f>
        <v>0</v>
      </c>
    </row>
    <row r="99" spans="1:22" ht="15.75" customHeight="1" x14ac:dyDescent="0.4">
      <c r="A99" s="8" t="str">
        <f>CONCATENATE(Tabela5[[#This Row],[POLO]],Tabela5[[#This Row],[CURSOS]])</f>
        <v>Campina Grande/PBBFR</v>
      </c>
      <c r="B99" s="8" t="e">
        <f>CONCATENATE(Tabela5[[#This Row],[POLO]],Tabela5[[#This Row],[CATEGORIA]],_xlfn.XLOOKUP(Tabela5[[#This Row],[CHAVE LOTAÇÃO CLASSIFICAÇÃO DE CURSOS]],CHAVE!A:A,CHAVE!D:D))</f>
        <v>#N/A</v>
      </c>
      <c r="C99" s="19"/>
      <c r="D99" s="16">
        <f>IFERROR(_xlfn.XLOOKUP(Tabela5[[#This Row],[NOME DO TUTOR]],TUT.CONTROL!C:C,TUT.CONTROL!V:V),_xlfn.XLOOKUP(Tabela5[[#This Row],[NOME DO TUTOR]],'REG.CONTROL'!C:C,'REG.CONTROL'!V:V))</f>
        <v>46042</v>
      </c>
      <c r="E99" s="17" t="s">
        <v>1347</v>
      </c>
      <c r="F99" s="18" t="s">
        <v>1348</v>
      </c>
      <c r="G99" s="8" t="s">
        <v>771</v>
      </c>
      <c r="H99" s="8" t="s">
        <v>772</v>
      </c>
      <c r="I99" s="8" t="s">
        <v>168</v>
      </c>
      <c r="J99" s="9" t="s">
        <v>1123</v>
      </c>
      <c r="K99" s="10" t="s">
        <v>1349</v>
      </c>
      <c r="L99" s="17">
        <v>45931</v>
      </c>
      <c r="M99" s="19">
        <v>83999368393</v>
      </c>
      <c r="N99" s="22">
        <v>1158000998</v>
      </c>
      <c r="O99" s="10" t="s">
        <v>1124</v>
      </c>
      <c r="P99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99" s="19" t="s">
        <v>1353</v>
      </c>
      <c r="R99" s="10">
        <f>IF(Tabela5[[#This Row],[SITUAÇÃO]]="Demitido",_xlfn.XLOOKUP(Tabela5[[#This Row],[CHAPA]],'Base de Tutores'!L:L,'Base de Tutores'!P:P),"")</f>
        <v>46042</v>
      </c>
      <c r="S99" s="19"/>
      <c r="T99" s="19"/>
      <c r="U99" s="8"/>
      <c r="V99" s="8">
        <f ca="1">AVERAGE(Tabela5[PERMANENCIA (MÊS)])/30</f>
        <v>0</v>
      </c>
    </row>
    <row r="100" spans="1:22" ht="15.75" customHeight="1" x14ac:dyDescent="0.4">
      <c r="A100" s="8" t="str">
        <f>CONCATENATE(Tabela5[[#This Row],[POLO]],Tabela5[[#This Row],[CURSOS]])</f>
        <v>São Luís/MA - Região CentralBFR</v>
      </c>
      <c r="B100" s="8" t="e">
        <f>CONCATENATE(Tabela5[[#This Row],[POLO]],Tabela5[[#This Row],[CATEGORIA]],_xlfn.XLOOKUP(Tabela5[[#This Row],[CHAVE LOTAÇÃO CLASSIFICAÇÃO DE CURSOS]],CHAVE!A:A,CHAVE!D:D))</f>
        <v>#N/A</v>
      </c>
      <c r="C100" s="19"/>
      <c r="D100" s="16">
        <f>IFERROR(_xlfn.XLOOKUP(Tabela5[[#This Row],[NOME DO TUTOR]],TUT.CONTROL!C:C,TUT.CONTROL!V:V),_xlfn.XLOOKUP(Tabela5[[#This Row],[NOME DO TUTOR]],'REG.CONTROL'!C:C,'REG.CONTROL'!V:V))</f>
        <v>46042</v>
      </c>
      <c r="E100" s="17" t="s">
        <v>1347</v>
      </c>
      <c r="F100" s="18" t="s">
        <v>1348</v>
      </c>
      <c r="G100" s="8" t="s">
        <v>771</v>
      </c>
      <c r="H100" s="8" t="s">
        <v>772</v>
      </c>
      <c r="I100" s="8" t="s">
        <v>907</v>
      </c>
      <c r="J100" s="9" t="s">
        <v>908</v>
      </c>
      <c r="K100" s="10" t="s">
        <v>1349</v>
      </c>
      <c r="L100" s="17">
        <v>45882</v>
      </c>
      <c r="M100" s="19">
        <v>98991417815</v>
      </c>
      <c r="N100" s="22">
        <v>1158000877</v>
      </c>
      <c r="O100" s="10" t="s">
        <v>909</v>
      </c>
      <c r="P100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00" s="19" t="s">
        <v>1353</v>
      </c>
      <c r="R100" s="10">
        <f>IF(Tabela5[[#This Row],[SITUAÇÃO]]="Demitido",_xlfn.XLOOKUP(Tabela5[[#This Row],[CHAPA]],'Base de Tutores'!L:L,'Base de Tutores'!P:P),"")</f>
        <v>46042</v>
      </c>
      <c r="S100" s="19"/>
      <c r="T100" s="19"/>
      <c r="U100" s="8"/>
      <c r="V100" s="8">
        <f ca="1">AVERAGE(Tabela5[PERMANENCIA (MÊS)])/30</f>
        <v>0</v>
      </c>
    </row>
    <row r="101" spans="1:22" ht="15.75" customHeight="1" x14ac:dyDescent="0.4">
      <c r="A101" s="8" t="str">
        <f>CONCATENATE(Tabela5[[#This Row],[POLO]],Tabela5[[#This Row],[CURSOS]])</f>
        <v>Feira De Santana/BA - CentroBFR</v>
      </c>
      <c r="B101" s="8" t="e">
        <f>CONCATENATE(Tabela5[[#This Row],[POLO]],Tabela5[[#This Row],[CATEGORIA]],_xlfn.XLOOKUP(Tabela5[[#This Row],[CHAVE LOTAÇÃO CLASSIFICAÇÃO DE CURSOS]],CHAVE!A:A,CHAVE!D:D))</f>
        <v>#N/A</v>
      </c>
      <c r="C101" s="19"/>
      <c r="D101" s="16">
        <f>IFERROR(_xlfn.XLOOKUP(Tabela5[[#This Row],[NOME DO TUTOR]],TUT.CONTROL!C:C,TUT.CONTROL!V:V),_xlfn.XLOOKUP(Tabela5[[#This Row],[NOME DO TUTOR]],'REG.CONTROL'!C:C,'REG.CONTROL'!V:V))</f>
        <v>46042</v>
      </c>
      <c r="E101" s="17" t="s">
        <v>1347</v>
      </c>
      <c r="F101" s="18" t="s">
        <v>1348</v>
      </c>
      <c r="G101" s="8" t="s">
        <v>771</v>
      </c>
      <c r="H101" s="8" t="s">
        <v>772</v>
      </c>
      <c r="I101" s="8" t="s">
        <v>283</v>
      </c>
      <c r="J101" s="9" t="s">
        <v>950</v>
      </c>
      <c r="K101" s="10" t="s">
        <v>1349</v>
      </c>
      <c r="L101" s="17">
        <v>45887</v>
      </c>
      <c r="M101" s="19">
        <v>75981714250</v>
      </c>
      <c r="N101" s="22">
        <v>1158000890</v>
      </c>
      <c r="O101" s="10" t="s">
        <v>951</v>
      </c>
      <c r="P101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01" s="19" t="s">
        <v>1353</v>
      </c>
      <c r="R101" s="10">
        <f>IF(Tabela5[[#This Row],[SITUAÇÃO]]="Demitido",_xlfn.XLOOKUP(Tabela5[[#This Row],[CHAPA]],'Base de Tutores'!L:L,'Base de Tutores'!P:P),"")</f>
        <v>46042</v>
      </c>
      <c r="S101" s="19"/>
      <c r="T101" s="19"/>
      <c r="U101" s="8"/>
      <c r="V101" s="8">
        <f ca="1">AVERAGE(Tabela5[PERMANENCIA (MÊS)])/30</f>
        <v>0</v>
      </c>
    </row>
    <row r="102" spans="1:22" ht="15.75" customHeight="1" x14ac:dyDescent="0.4">
      <c r="A102" s="8" t="str">
        <f>CONCATENATE(Tabela5[[#This Row],[POLO]],Tabela5[[#This Row],[CURSOS]])</f>
        <v>Pontes e Lacerda/MTBFR</v>
      </c>
      <c r="B102" s="8" t="e">
        <f>CONCATENATE(Tabela5[[#This Row],[POLO]],Tabela5[[#This Row],[CATEGORIA]],_xlfn.XLOOKUP(Tabela5[[#This Row],[CHAVE LOTAÇÃO CLASSIFICAÇÃO DE CURSOS]],CHAVE!A:A,CHAVE!D:D))</f>
        <v>#N/A</v>
      </c>
      <c r="C102" s="19" t="s">
        <v>1364</v>
      </c>
      <c r="D102" s="16">
        <f>IFERROR(_xlfn.XLOOKUP(Tabela5[[#This Row],[NOME DO TUTOR]],TUT.CONTROL!C:C,TUT.CONTROL!V:V),_xlfn.XLOOKUP(Tabela5[[#This Row],[NOME DO TUTOR]],'REG.CONTROL'!C:C,'REG.CONTROL'!V:V))</f>
        <v>46042</v>
      </c>
      <c r="E102" s="17" t="s">
        <v>1347</v>
      </c>
      <c r="F102" s="18" t="s">
        <v>1348</v>
      </c>
      <c r="G102" s="8" t="s">
        <v>771</v>
      </c>
      <c r="H102" s="8" t="s">
        <v>772</v>
      </c>
      <c r="I102" s="8" t="s">
        <v>620</v>
      </c>
      <c r="J102" s="9" t="s">
        <v>1031</v>
      </c>
      <c r="K102" s="10" t="s">
        <v>1349</v>
      </c>
      <c r="L102" s="17">
        <v>45901</v>
      </c>
      <c r="M102" s="19">
        <v>69999997327</v>
      </c>
      <c r="N102" s="22">
        <v>1158000953</v>
      </c>
      <c r="O102" s="10" t="s">
        <v>1032</v>
      </c>
      <c r="P102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02" s="19" t="s">
        <v>1353</v>
      </c>
      <c r="R102" s="10">
        <f>IF(Tabela5[[#This Row],[SITUAÇÃO]]="Demitido",_xlfn.XLOOKUP(Tabela5[[#This Row],[CHAPA]],'Base de Tutores'!L:L,'Base de Tutores'!P:P),"")</f>
        <v>46042</v>
      </c>
      <c r="S102" s="19"/>
      <c r="T102" s="19"/>
      <c r="U102" s="8"/>
      <c r="V102" s="8">
        <f ca="1">AVERAGE(Tabela5[PERMANENCIA (MÊS)])/30</f>
        <v>0</v>
      </c>
    </row>
    <row r="103" spans="1:22" ht="15.75" customHeight="1" x14ac:dyDescent="0.4">
      <c r="A103" s="8" t="str">
        <f>CONCATENATE(Tabela5[[#This Row],[POLO]],Tabela5[[#This Row],[CURSOS]])</f>
        <v>Duque de Caxias/RJ - 25 de AgostoBFR</v>
      </c>
      <c r="B103" s="8" t="e">
        <f>CONCATENATE(Tabela5[[#This Row],[POLO]],Tabela5[[#This Row],[CATEGORIA]],_xlfn.XLOOKUP(Tabela5[[#This Row],[CHAVE LOTAÇÃO CLASSIFICAÇÃO DE CURSOS]],CHAVE!A:A,CHAVE!D:D))</f>
        <v>#N/A</v>
      </c>
      <c r="C103" s="19" t="s">
        <v>1352</v>
      </c>
      <c r="D103" s="16">
        <f>IFERROR(_xlfn.XLOOKUP(Tabela5[[#This Row],[NOME DO TUTOR]],TUT.CONTROL!C:C,TUT.CONTROL!V:V),_xlfn.XLOOKUP(Tabela5[[#This Row],[NOME DO TUTOR]],'REG.CONTROL'!C:C,'REG.CONTROL'!V:V))</f>
        <v>46042</v>
      </c>
      <c r="E103" s="17" t="s">
        <v>1347</v>
      </c>
      <c r="F103" s="18" t="s">
        <v>1348</v>
      </c>
      <c r="G103" s="8" t="s">
        <v>771</v>
      </c>
      <c r="H103" s="8" t="s">
        <v>772</v>
      </c>
      <c r="I103" s="8" t="s">
        <v>271</v>
      </c>
      <c r="J103" s="9" t="s">
        <v>1095</v>
      </c>
      <c r="K103" s="10" t="s">
        <v>1349</v>
      </c>
      <c r="L103" s="17">
        <v>45915</v>
      </c>
      <c r="M103" s="19">
        <v>21994093161</v>
      </c>
      <c r="N103" s="22">
        <v>1158000971</v>
      </c>
      <c r="O103" s="10" t="s">
        <v>1096</v>
      </c>
      <c r="P103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03" s="19" t="s">
        <v>1353</v>
      </c>
      <c r="R103" s="10">
        <f>IF(Tabela5[[#This Row],[SITUAÇÃO]]="Demitido",_xlfn.XLOOKUP(Tabela5[[#This Row],[CHAPA]],'Base de Tutores'!L:L,'Base de Tutores'!P:P),"")</f>
        <v>46042</v>
      </c>
      <c r="S103" s="19"/>
      <c r="T103" s="19"/>
      <c r="U103" s="8"/>
      <c r="V103" s="8">
        <f ca="1">AVERAGE(Tabela5[PERMANENCIA (MÊS)])/30</f>
        <v>0</v>
      </c>
    </row>
    <row r="104" spans="1:22" ht="15.75" customHeight="1" x14ac:dyDescent="0.4">
      <c r="A104" s="8" t="str">
        <f>CONCATENATE(Tabela5[[#This Row],[POLO]],Tabela5[[#This Row],[CURSOS]])</f>
        <v>Chapecó/SC - CentroBFR</v>
      </c>
      <c r="B104" s="8" t="e">
        <f>CONCATENATE(Tabela5[[#This Row],[POLO]],Tabela5[[#This Row],[CATEGORIA]],_xlfn.XLOOKUP(Tabela5[[#This Row],[CHAVE LOTAÇÃO CLASSIFICAÇÃO DE CURSOS]],CHAVE!A:A,CHAVE!D:D))</f>
        <v>#N/A</v>
      </c>
      <c r="C104" s="19" t="s">
        <v>1352</v>
      </c>
      <c r="D104" s="16">
        <f>IFERROR(_xlfn.XLOOKUP(Tabela5[[#This Row],[NOME DO TUTOR]],TUT.CONTROL!C:C,TUT.CONTROL!V:V),_xlfn.XLOOKUP(Tabela5[[#This Row],[NOME DO TUTOR]],'REG.CONTROL'!C:C,'REG.CONTROL'!V:V))</f>
        <v>46042</v>
      </c>
      <c r="E104" s="17" t="s">
        <v>1347</v>
      </c>
      <c r="F104" s="18" t="s">
        <v>1348</v>
      </c>
      <c r="G104" s="8" t="s">
        <v>771</v>
      </c>
      <c r="H104" s="8" t="s">
        <v>772</v>
      </c>
      <c r="I104" s="8" t="s">
        <v>220</v>
      </c>
      <c r="J104" s="9" t="s">
        <v>1215</v>
      </c>
      <c r="K104" s="10" t="s">
        <v>1349</v>
      </c>
      <c r="L104" s="17">
        <v>45964</v>
      </c>
      <c r="M104" s="19">
        <v>69992158229</v>
      </c>
      <c r="N104" s="22">
        <v>1158001055</v>
      </c>
      <c r="O104" s="10" t="s">
        <v>1216</v>
      </c>
      <c r="P104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04" s="19" t="s">
        <v>1353</v>
      </c>
      <c r="R104" s="10">
        <f>IF(Tabela5[[#This Row],[SITUAÇÃO]]="Demitido",_xlfn.XLOOKUP(Tabela5[[#This Row],[CHAPA]],'Base de Tutores'!L:L,'Base de Tutores'!P:P),"")</f>
        <v>46042</v>
      </c>
      <c r="S104" s="19"/>
      <c r="T104" s="19"/>
      <c r="U104" s="8"/>
      <c r="V104" s="8">
        <f ca="1">AVERAGE(Tabela5[PERMANENCIA (MÊS)])/30</f>
        <v>0</v>
      </c>
    </row>
    <row r="105" spans="1:22" ht="15.75" customHeight="1" x14ac:dyDescent="0.4">
      <c r="A105" s="8" t="str">
        <f>CONCATENATE(Tabela5[[#This Row],[POLO]],Tabela5[[#This Row],[CURSOS]])</f>
        <v>Macaé/RJBFR</v>
      </c>
      <c r="B105" s="8" t="e">
        <f>CONCATENATE(Tabela5[[#This Row],[POLO]],Tabela5[[#This Row],[CATEGORIA]],_xlfn.XLOOKUP(Tabela5[[#This Row],[CHAVE LOTAÇÃO CLASSIFICAÇÃO DE CURSOS]],CHAVE!A:A,CHAVE!D:D))</f>
        <v>#N/A</v>
      </c>
      <c r="C105" s="19" t="s">
        <v>1365</v>
      </c>
      <c r="D105" s="16">
        <f>IFERROR(_xlfn.XLOOKUP(Tabela5[[#This Row],[NOME DO TUTOR]],TUT.CONTROL!C:C,TUT.CONTROL!V:V),_xlfn.XLOOKUP(Tabela5[[#This Row],[NOME DO TUTOR]],'REG.CONTROL'!C:C,'REG.CONTROL'!V:V))</f>
        <v>46043</v>
      </c>
      <c r="E105" s="17" t="s">
        <v>1347</v>
      </c>
      <c r="F105" s="18" t="s">
        <v>1348</v>
      </c>
      <c r="G105" s="8" t="s">
        <v>771</v>
      </c>
      <c r="H105" s="8" t="s">
        <v>772</v>
      </c>
      <c r="I105" s="8" t="s">
        <v>911</v>
      </c>
      <c r="J105" s="9" t="s">
        <v>912</v>
      </c>
      <c r="K105" s="10" t="s">
        <v>1349</v>
      </c>
      <c r="L105" s="17">
        <v>45882</v>
      </c>
      <c r="M105" s="19">
        <v>22997820324</v>
      </c>
      <c r="N105" s="22">
        <v>1158000874</v>
      </c>
      <c r="O105" s="10" t="s">
        <v>913</v>
      </c>
      <c r="P105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05" s="19" t="s">
        <v>1353</v>
      </c>
      <c r="R105" s="10">
        <f>IF(Tabela5[[#This Row],[SITUAÇÃO]]="Demitido",_xlfn.XLOOKUP(Tabela5[[#This Row],[CHAPA]],'Base de Tutores'!L:L,'Base de Tutores'!P:P),"")</f>
        <v>46043</v>
      </c>
      <c r="S105" s="19"/>
      <c r="T105" s="19"/>
      <c r="U105" s="8"/>
      <c r="V105" s="8">
        <f ca="1">AVERAGE(Tabela5[PERMANENCIA (MÊS)])/30</f>
        <v>0</v>
      </c>
    </row>
    <row r="106" spans="1:22" ht="15.75" customHeight="1" x14ac:dyDescent="0.4">
      <c r="A106" s="8" t="str">
        <f>CONCATENATE(Tabela5[[#This Row],[POLO]],Tabela5[[#This Row],[CURSOS]])</f>
        <v>Caxias Do Sul/RS - Shopping VillagioBFR</v>
      </c>
      <c r="B106" s="8" t="e">
        <f>CONCATENATE(Tabela5[[#This Row],[POLO]],Tabela5[[#This Row],[CATEGORIA]],_xlfn.XLOOKUP(Tabela5[[#This Row],[CHAVE LOTAÇÃO CLASSIFICAÇÃO DE CURSOS]],CHAVE!A:A,CHAVE!D:D))</f>
        <v>#N/A</v>
      </c>
      <c r="C106" s="19" t="s">
        <v>1352</v>
      </c>
      <c r="D106" s="16">
        <f>IFERROR(_xlfn.XLOOKUP(Tabela5[[#This Row],[NOME DO TUTOR]],TUT.CONTROL!C:C,TUT.CONTROL!V:V),_xlfn.XLOOKUP(Tabela5[[#This Row],[NOME DO TUTOR]],'REG.CONTROL'!C:C,'REG.CONTROL'!V:V))</f>
        <v>46043</v>
      </c>
      <c r="E106" s="17" t="s">
        <v>1347</v>
      </c>
      <c r="F106" s="18" t="s">
        <v>1348</v>
      </c>
      <c r="G106" s="8" t="s">
        <v>771</v>
      </c>
      <c r="H106" s="8" t="s">
        <v>772</v>
      </c>
      <c r="I106" s="8" t="s">
        <v>1126</v>
      </c>
      <c r="J106" s="9" t="s">
        <v>1127</v>
      </c>
      <c r="K106" s="10" t="s">
        <v>1349</v>
      </c>
      <c r="L106" s="17">
        <v>45931</v>
      </c>
      <c r="M106" s="19">
        <v>54981494237</v>
      </c>
      <c r="N106" s="22">
        <v>1158000997</v>
      </c>
      <c r="O106" s="10" t="s">
        <v>1128</v>
      </c>
      <c r="P106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06" s="19" t="s">
        <v>1353</v>
      </c>
      <c r="R106" s="10">
        <f>IF(Tabela5[[#This Row],[SITUAÇÃO]]="Demitido",_xlfn.XLOOKUP(Tabela5[[#This Row],[CHAPA]],'Base de Tutores'!L:L,'Base de Tutores'!P:P),"")</f>
        <v>46043</v>
      </c>
      <c r="S106" s="19"/>
      <c r="T106" s="19"/>
      <c r="U106" s="8"/>
      <c r="V106" s="8">
        <f ca="1">AVERAGE(Tabela5[PERMANENCIA (MÊS)])/30</f>
        <v>0</v>
      </c>
    </row>
    <row r="107" spans="1:22" ht="15.75" customHeight="1" x14ac:dyDescent="0.4">
      <c r="A107" s="8" t="str">
        <f>CONCATENATE(Tabela5[[#This Row],[POLO]],Tabela5[[#This Row],[CURSOS]])</f>
        <v>Itajaí/SC - São VicenteCOS-TIP</v>
      </c>
      <c r="B107" s="8" t="e">
        <f>CONCATENATE(Tabela5[[#This Row],[POLO]],Tabela5[[#This Row],[CATEGORIA]],_xlfn.XLOOKUP(Tabela5[[#This Row],[CHAVE LOTAÇÃO CLASSIFICAÇÃO DE CURSOS]],CHAVE!A:A,CHAVE!D:D))</f>
        <v>#N/A</v>
      </c>
      <c r="C107" s="19" t="s">
        <v>1365</v>
      </c>
      <c r="D107" s="16">
        <f>IFERROR(_xlfn.XLOOKUP(Tabela5[[#This Row],[NOME DO TUTOR]],TUT.CONTROL!C:C,TUT.CONTROL!V:V),_xlfn.XLOOKUP(Tabela5[[#This Row],[NOME DO TUTOR]],'REG.CONTROL'!C:C,'REG.CONTROL'!V:V))</f>
        <v>46054</v>
      </c>
      <c r="E107" s="17" t="s">
        <v>1347</v>
      </c>
      <c r="F107" s="18" t="s">
        <v>1348</v>
      </c>
      <c r="G107" s="8" t="s">
        <v>757</v>
      </c>
      <c r="H107" s="8" t="s">
        <v>900</v>
      </c>
      <c r="I107" s="8" t="s">
        <v>366</v>
      </c>
      <c r="J107" s="9" t="s">
        <v>914</v>
      </c>
      <c r="K107" s="10" t="s">
        <v>1349</v>
      </c>
      <c r="L107" s="17">
        <v>45882</v>
      </c>
      <c r="M107" s="19">
        <v>54984340005</v>
      </c>
      <c r="N107" s="22">
        <v>1158000875</v>
      </c>
      <c r="O107" s="10" t="s">
        <v>915</v>
      </c>
      <c r="P107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07" s="19" t="s">
        <v>1353</v>
      </c>
      <c r="R107" s="10">
        <f>IF(Tabela5[[#This Row],[SITUAÇÃO]]="Demitido",_xlfn.XLOOKUP(Tabela5[[#This Row],[CHAPA]],'Base de Tutores'!L:L,'Base de Tutores'!P:P),"")</f>
        <v>46054</v>
      </c>
      <c r="S107" s="19"/>
      <c r="T107" s="19"/>
      <c r="U107" s="8"/>
      <c r="V107" s="45">
        <f ca="1">AVERAGE(Tabela5[PERMANENCIA (MÊS)])/30</f>
        <v>0</v>
      </c>
    </row>
    <row r="108" spans="1:22" ht="15.75" customHeight="1" x14ac:dyDescent="0.4">
      <c r="A108" s="8" t="str">
        <f>CONCATENATE(Tabela5[[#This Row],[POLO]],Tabela5[[#This Row],[CURSOS]])</f>
        <v>Curitiba/PR - CentroBFI</v>
      </c>
      <c r="B108" s="8" t="e">
        <f>CONCATENATE(Tabela5[[#This Row],[POLO]],Tabela5[[#This Row],[CATEGORIA]],_xlfn.XLOOKUP(Tabela5[[#This Row],[CHAVE LOTAÇÃO CLASSIFICAÇÃO DE CURSOS]],CHAVE!A:A,CHAVE!D:D))</f>
        <v>#N/A</v>
      </c>
      <c r="C108" s="19" t="s">
        <v>1365</v>
      </c>
      <c r="D108" s="16">
        <f>IFERROR(_xlfn.XLOOKUP(Tabela5[[#This Row],[NOME DO TUTOR]],TUT.CONTROL!C:C,TUT.CONTROL!V:V),_xlfn.XLOOKUP(Tabela5[[#This Row],[NOME DO TUTOR]],'REG.CONTROL'!C:C,'REG.CONTROL'!V:V))</f>
        <v>46055</v>
      </c>
      <c r="E108" s="17" t="s">
        <v>1347</v>
      </c>
      <c r="F108" s="18" t="s">
        <v>1348</v>
      </c>
      <c r="G108" s="8" t="s">
        <v>757</v>
      </c>
      <c r="H108" s="8" t="s">
        <v>758</v>
      </c>
      <c r="I108" s="8" t="s">
        <v>259</v>
      </c>
      <c r="J108" s="9" t="s">
        <v>1243</v>
      </c>
      <c r="K108" s="10" t="s">
        <v>1349</v>
      </c>
      <c r="L108" s="17">
        <v>45978</v>
      </c>
      <c r="M108" s="19">
        <v>41996075671</v>
      </c>
      <c r="N108" s="22">
        <v>1158001069</v>
      </c>
      <c r="O108" s="10" t="s">
        <v>1244</v>
      </c>
      <c r="P108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08" s="19" t="s">
        <v>1353</v>
      </c>
      <c r="R108" s="10">
        <f>IF(Tabela5[[#This Row],[SITUAÇÃO]]="Demitido",_xlfn.XLOOKUP(Tabela5[[#This Row],[CHAPA]],'Base de Tutores'!L:L,'Base de Tutores'!P:P),"")</f>
        <v>46055</v>
      </c>
      <c r="S108" s="19"/>
      <c r="T108" s="19"/>
      <c r="U108" s="8"/>
      <c r="V108" s="45">
        <f ca="1">AVERAGE(Tabela5[PERMANENCIA (MÊS)])/30</f>
        <v>0</v>
      </c>
    </row>
    <row r="109" spans="1:22" ht="15.75" customHeight="1" x14ac:dyDescent="0.4">
      <c r="A109" s="8" t="str">
        <f>CONCATENATE(Tabela5[[#This Row],[POLO]],Tabela5[[#This Row],[CURSOS]])</f>
        <v>Duque de Caxias/RJ - 25 de AgostoNTR</v>
      </c>
      <c r="B109" s="8" t="e">
        <f>CONCATENATE(Tabela5[[#This Row],[POLO]],Tabela5[[#This Row],[CATEGORIA]],_xlfn.XLOOKUP(Tabela5[[#This Row],[CHAVE LOTAÇÃO CLASSIFICAÇÃO DE CURSOS]],CHAVE!A:A,CHAVE!D:D))</f>
        <v>#N/A</v>
      </c>
      <c r="C109" s="19" t="s">
        <v>1364</v>
      </c>
      <c r="D109" s="17">
        <f>IFERROR(_xlfn.XLOOKUP(Tabela5[[#This Row],[NOME DO TUTOR]],TUT.CONTROL!C:C,TUT.CONTROL!V:V),_xlfn.XLOOKUP(Tabela5[[#This Row],[NOME DO TUTOR]],'REG.CONTROL'!C:C,'REG.CONTROL'!V:V))</f>
        <v>46055</v>
      </c>
      <c r="E109" s="17" t="s">
        <v>1347</v>
      </c>
      <c r="F109" s="18" t="s">
        <v>1348</v>
      </c>
      <c r="G109" s="8" t="s">
        <v>730</v>
      </c>
      <c r="H109" s="8" t="s">
        <v>731</v>
      </c>
      <c r="I109" s="8" t="s">
        <v>271</v>
      </c>
      <c r="J109" s="9" t="s">
        <v>1053</v>
      </c>
      <c r="K109" s="10" t="s">
        <v>1349</v>
      </c>
      <c r="L109" s="17">
        <v>45901</v>
      </c>
      <c r="M109" s="19">
        <v>21999810546</v>
      </c>
      <c r="N109" s="22">
        <v>1158000938</v>
      </c>
      <c r="O109" s="8" t="s">
        <v>1054</v>
      </c>
      <c r="P109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09" s="21" t="s">
        <v>1356</v>
      </c>
      <c r="R109" s="10">
        <f>IF(Tabela5[[#This Row],[SITUAÇÃO]]="Demitido",_xlfn.XLOOKUP(Tabela5[[#This Row],[CHAPA]],'Base de Tutores'!L:L,'Base de Tutores'!P:P),"")</f>
        <v>46055</v>
      </c>
      <c r="S109" s="21"/>
      <c r="T109" s="21"/>
      <c r="U109" s="8"/>
      <c r="V109" s="45">
        <f ca="1">AVERAGE(Tabela5[PERMANENCIA (MÊS)])/30</f>
        <v>0</v>
      </c>
    </row>
    <row r="110" spans="1:22" ht="15.75" customHeight="1" x14ac:dyDescent="0.4">
      <c r="A110" s="8" t="str">
        <f>CONCATENATE(Tabela5[[#This Row],[POLO]],Tabela5[[#This Row],[CURSOS]])</f>
        <v>Rio de Janeiro/RJ - Ilha do GovernadorNTR</v>
      </c>
      <c r="B110" s="8" t="e">
        <f>CONCATENATE(Tabela5[[#This Row],[POLO]],Tabela5[[#This Row],[CATEGORIA]],_xlfn.XLOOKUP(Tabela5[[#This Row],[CHAVE LOTAÇÃO CLASSIFICAÇÃO DE CURSOS]],CHAVE!A:A,CHAVE!D:D))</f>
        <v>#N/A</v>
      </c>
      <c r="C110" s="19" t="s">
        <v>1364</v>
      </c>
      <c r="D110" s="17">
        <f>IFERROR(_xlfn.XLOOKUP(Tabela5[[#This Row],[NOME DO TUTOR]],TUT.CONTROL!C:C,TUT.CONTROL!V:V),_xlfn.XLOOKUP(Tabela5[[#This Row],[NOME DO TUTOR]],'REG.CONTROL'!C:C,'REG.CONTROL'!V:V))</f>
        <v>46055</v>
      </c>
      <c r="E110" s="17" t="s">
        <v>1347</v>
      </c>
      <c r="F110" s="18" t="s">
        <v>1348</v>
      </c>
      <c r="G110" s="8" t="s">
        <v>730</v>
      </c>
      <c r="H110" s="8" t="s">
        <v>731</v>
      </c>
      <c r="I110" s="8" t="s">
        <v>691</v>
      </c>
      <c r="J110" s="9" t="s">
        <v>1053</v>
      </c>
      <c r="K110" s="10" t="s">
        <v>1349</v>
      </c>
      <c r="L110" s="17">
        <v>45901</v>
      </c>
      <c r="M110" s="19">
        <v>21999810546</v>
      </c>
      <c r="N110" s="22">
        <v>1158000938</v>
      </c>
      <c r="O110" s="10" t="s">
        <v>1054</v>
      </c>
      <c r="P110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10" s="21" t="s">
        <v>1356</v>
      </c>
      <c r="R110" s="10">
        <f>IF(Tabela5[[#This Row],[SITUAÇÃO]]="Demitido",_xlfn.XLOOKUP(Tabela5[[#This Row],[CHAPA]],'Base de Tutores'!L:L,'Base de Tutores'!P:P),"")</f>
        <v>46055</v>
      </c>
      <c r="S110" s="21"/>
      <c r="T110" s="21"/>
      <c r="U110" s="8"/>
      <c r="V110" s="45">
        <f ca="1">AVERAGE(Tabela5[PERMANENCIA (MÊS)])/30</f>
        <v>0</v>
      </c>
    </row>
    <row r="111" spans="1:22" ht="15.75" customHeight="1" x14ac:dyDescent="0.4">
      <c r="A111" s="8" t="str">
        <f>CONCATENATE(Tabela5[[#This Row],[POLO]],Tabela5[[#This Row],[CURSOS]])</f>
        <v>Goiânia/GO - CentroECE-ENM-ENS-ENG-EEA-GPI-CDE-OBR-SAN-TER-FSA-SLF-QUI</v>
      </c>
      <c r="B111" s="8" t="e">
        <f>CONCATENATE(Tabela5[[#This Row],[POLO]],Tabela5[[#This Row],[CATEGORIA]],_xlfn.XLOOKUP(Tabela5[[#This Row],[CHAVE LOTAÇÃO CLASSIFICAÇÃO DE CURSOS]],CHAVE!A:A,CHAVE!D:D))</f>
        <v>#N/A</v>
      </c>
      <c r="C111" s="19" t="s">
        <v>1359</v>
      </c>
      <c r="D111" s="17">
        <f>IFERROR(_xlfn.XLOOKUP(Tabela5[[#This Row],[NOME DO TUTOR]],TUT.CONTROL!C:C,TUT.CONTROL!V:V),_xlfn.XLOOKUP(Tabela5[[#This Row],[NOME DO TUTOR]],'REG.CONTROL'!C:C,'REG.CONTROL'!V:V))</f>
        <v>46055</v>
      </c>
      <c r="E111" s="17" t="s">
        <v>1347</v>
      </c>
      <c r="F111" s="18" t="s">
        <v>1348</v>
      </c>
      <c r="G111" s="8" t="s">
        <v>125</v>
      </c>
      <c r="H111" s="8" t="s">
        <v>126</v>
      </c>
      <c r="I111" s="8" t="s">
        <v>578</v>
      </c>
      <c r="J111" s="9" t="s">
        <v>579</v>
      </c>
      <c r="K111" s="10" t="s">
        <v>1349</v>
      </c>
      <c r="L111" s="17">
        <v>45763</v>
      </c>
      <c r="M111" s="19" t="s">
        <v>580</v>
      </c>
      <c r="N111" s="22">
        <v>1158000596</v>
      </c>
      <c r="O111" s="10" t="s">
        <v>581</v>
      </c>
      <c r="P111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11" s="19" t="s">
        <v>1353</v>
      </c>
      <c r="R111" s="10">
        <f>IF(Tabela5[[#This Row],[SITUAÇÃO]]="Demitido",_xlfn.XLOOKUP(Tabela5[[#This Row],[CHAPA]],'Base de Tutores'!L:L,'Base de Tutores'!P:P),"")</f>
        <v>46055</v>
      </c>
      <c r="S111" s="19"/>
      <c r="T111" s="19"/>
      <c r="U111" s="8"/>
      <c r="V111" s="45">
        <f ca="1">AVERAGE(Tabela5[PERMANENCIA (MÊS)])/30</f>
        <v>0</v>
      </c>
    </row>
    <row r="112" spans="1:22" ht="15.75" customHeight="1" x14ac:dyDescent="0.4">
      <c r="A112" s="8" t="str">
        <f>CONCATENATE(Tabela5[[#This Row],[POLO]],Tabela5[[#This Row],[CURSOS]])</f>
        <v>Salvador/BA - Caminho das ÁrvoresBFR</v>
      </c>
      <c r="B112" s="8" t="e">
        <f>CONCATENATE(Tabela5[[#This Row],[POLO]],Tabela5[[#This Row],[CATEGORIA]],_xlfn.XLOOKUP(Tabela5[[#This Row],[CHAVE LOTAÇÃO CLASSIFICAÇÃO DE CURSOS]],CHAVE!A:A,CHAVE!D:D))</f>
        <v>#N/A</v>
      </c>
      <c r="C112" s="19" t="s">
        <v>1365</v>
      </c>
      <c r="D112" s="16">
        <f>IFERROR(_xlfn.XLOOKUP(Tabela5[[#This Row],[NOME DO TUTOR]],TUT.CONTROL!C:C,TUT.CONTROL!V:V),_xlfn.XLOOKUP(Tabela5[[#This Row],[NOME DO TUTOR]],'REG.CONTROL'!C:C,'REG.CONTROL'!V:V))</f>
        <v>46055</v>
      </c>
      <c r="E112" s="17" t="s">
        <v>1347</v>
      </c>
      <c r="F112" s="18" t="s">
        <v>1348</v>
      </c>
      <c r="G112" s="8" t="s">
        <v>771</v>
      </c>
      <c r="H112" s="8" t="s">
        <v>772</v>
      </c>
      <c r="I112" s="8" t="s">
        <v>810</v>
      </c>
      <c r="J112" s="9" t="s">
        <v>1049</v>
      </c>
      <c r="K112" s="10" t="s">
        <v>1349</v>
      </c>
      <c r="L112" s="17">
        <v>45901</v>
      </c>
      <c r="M112" s="19">
        <v>71992400205</v>
      </c>
      <c r="N112" s="22">
        <v>1158000943</v>
      </c>
      <c r="O112" s="10" t="s">
        <v>1050</v>
      </c>
      <c r="P112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12" s="19" t="s">
        <v>1353</v>
      </c>
      <c r="R112" s="10">
        <f>IF(Tabela5[[#This Row],[SITUAÇÃO]]="Demitido",_xlfn.XLOOKUP(Tabela5[[#This Row],[CHAPA]],'Base de Tutores'!L:L,'Base de Tutores'!P:P),"")</f>
        <v>46055</v>
      </c>
      <c r="S112" s="19"/>
      <c r="T112" s="19"/>
      <c r="U112" s="8"/>
      <c r="V112" s="8">
        <f ca="1">AVERAGE(Tabela5[PERMANENCIA (MÊS)])/30</f>
        <v>0</v>
      </c>
    </row>
    <row r="113" spans="1:22" ht="15.75" customHeight="1" x14ac:dyDescent="0.4">
      <c r="A113" s="8" t="str">
        <f>CONCATENATE(Tabela5[[#This Row],[POLO]],Tabela5[[#This Row],[CURSOS]])</f>
        <v>Criciúma/SCBFI</v>
      </c>
      <c r="B113" s="8" t="e">
        <f>CONCATENATE(Tabela5[[#This Row],[POLO]],Tabela5[[#This Row],[CATEGORIA]],_xlfn.XLOOKUP(Tabela5[[#This Row],[CHAVE LOTAÇÃO CLASSIFICAÇÃO DE CURSOS]],CHAVE!A:A,CHAVE!D:D))</f>
        <v>#N/A</v>
      </c>
      <c r="C113" s="19" t="s">
        <v>1364</v>
      </c>
      <c r="D113" s="17">
        <f>IFERROR(_xlfn.XLOOKUP(Tabela5[[#This Row],[NOME DO TUTOR]],TUT.CONTROL!C:C,TUT.CONTROL!V:V),_xlfn.XLOOKUP(Tabela5[[#This Row],[NOME DO TUTOR]],'REG.CONTROL'!C:C,'REG.CONTROL'!V:V))</f>
        <v>46055</v>
      </c>
      <c r="E113" s="17" t="s">
        <v>1347</v>
      </c>
      <c r="F113" s="18" t="s">
        <v>1348</v>
      </c>
      <c r="G113" s="8" t="s">
        <v>757</v>
      </c>
      <c r="H113" s="8" t="s">
        <v>758</v>
      </c>
      <c r="I113" s="8" t="s">
        <v>795</v>
      </c>
      <c r="J113" s="9" t="s">
        <v>1245</v>
      </c>
      <c r="K113" s="10" t="s">
        <v>1349</v>
      </c>
      <c r="L113" s="17">
        <v>45978</v>
      </c>
      <c r="M113" s="19">
        <v>48996086794</v>
      </c>
      <c r="N113" s="22">
        <v>1158001066</v>
      </c>
      <c r="O113" s="8" t="s">
        <v>1246</v>
      </c>
      <c r="P113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13" s="21" t="s">
        <v>1353</v>
      </c>
      <c r="R113" s="10">
        <f>IF(Tabela5[[#This Row],[SITUAÇÃO]]="Demitido",_xlfn.XLOOKUP(Tabela5[[#This Row],[CHAPA]],'Base de Tutores'!L:L,'Base de Tutores'!P:P),"")</f>
        <v>46055</v>
      </c>
      <c r="S113" s="21"/>
      <c r="T113" s="21"/>
      <c r="U113" s="8"/>
      <c r="V113" s="45">
        <f ca="1">AVERAGE(Tabela5[PERMANENCIA (MÊS)])/30</f>
        <v>0</v>
      </c>
    </row>
    <row r="114" spans="1:22" ht="15.75" customHeight="1" x14ac:dyDescent="0.4">
      <c r="A114" s="8" t="str">
        <f>CONCATENATE(Tabela5[[#This Row],[POLO]],Tabela5[[#This Row],[CURSOS]])</f>
        <v>Salvador/BA - Caminho das ÁrvoresBFI</v>
      </c>
      <c r="B114" s="8" t="e">
        <f>CONCATENATE(Tabela5[[#This Row],[POLO]],Tabela5[[#This Row],[CATEGORIA]],_xlfn.XLOOKUP(Tabela5[[#This Row],[CHAVE LOTAÇÃO CLASSIFICAÇÃO DE CURSOS]],CHAVE!A:A,CHAVE!D:D))</f>
        <v>#N/A</v>
      </c>
      <c r="C114" s="19" t="s">
        <v>1359</v>
      </c>
      <c r="D114" s="17">
        <f>IFERROR(_xlfn.XLOOKUP(Tabela5[[#This Row],[NOME DO TUTOR]],TUT.CONTROL!C:C,TUT.CONTROL!V:V),_xlfn.XLOOKUP(Tabela5[[#This Row],[NOME DO TUTOR]],'REG.CONTROL'!C:C,'REG.CONTROL'!V:V))</f>
        <v>46055</v>
      </c>
      <c r="E114" s="17" t="s">
        <v>1347</v>
      </c>
      <c r="F114" s="18" t="s">
        <v>1348</v>
      </c>
      <c r="G114" s="8" t="s">
        <v>757</v>
      </c>
      <c r="H114" s="8" t="s">
        <v>758</v>
      </c>
      <c r="I114" s="8" t="s">
        <v>810</v>
      </c>
      <c r="J114" s="9" t="s">
        <v>837</v>
      </c>
      <c r="K114" s="10" t="s">
        <v>1349</v>
      </c>
      <c r="L114" s="17">
        <v>45873</v>
      </c>
      <c r="M114" s="19">
        <v>75992635965</v>
      </c>
      <c r="N114" s="22">
        <v>1158000806</v>
      </c>
      <c r="O114" s="10" t="s">
        <v>838</v>
      </c>
      <c r="P114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14" s="19" t="s">
        <v>1353</v>
      </c>
      <c r="R114" s="10">
        <f>IF(Tabela5[[#This Row],[SITUAÇÃO]]="Demitido",_xlfn.XLOOKUP(Tabela5[[#This Row],[CHAPA]],'Base de Tutores'!L:L,'Base de Tutores'!P:P),"")</f>
        <v>46055</v>
      </c>
      <c r="S114" s="19"/>
      <c r="T114" s="19"/>
      <c r="U114" s="8"/>
      <c r="V114" s="45">
        <f ca="1">AVERAGE(Tabela5[PERMANENCIA (MÊS)])/30</f>
        <v>0</v>
      </c>
    </row>
    <row r="115" spans="1:22" ht="15.75" customHeight="1" x14ac:dyDescent="0.4">
      <c r="A115" s="8" t="str">
        <f>CONCATENATE(Tabela5[[#This Row],[POLO]],Tabela5[[#This Row],[CURSOS]])</f>
        <v>Camboriú/SCECE-ENM-ENS-ENG-EEA-GPI-CDE-OBR-SAN-TER-FSA-SLF-QUI</v>
      </c>
      <c r="B115" s="8" t="e">
        <f>CONCATENATE(Tabela5[[#This Row],[POLO]],Tabela5[[#This Row],[CATEGORIA]],_xlfn.XLOOKUP(Tabela5[[#This Row],[CHAVE LOTAÇÃO CLASSIFICAÇÃO DE CURSOS]],CHAVE!A:A,CHAVE!D:D))</f>
        <v>#N/A</v>
      </c>
      <c r="C115" s="19" t="s">
        <v>1365</v>
      </c>
      <c r="D115" s="16">
        <f>IFERROR(_xlfn.XLOOKUP(Tabela5[[#This Row],[NOME DO TUTOR]],TUT.CONTROL!C:C,TUT.CONTROL!V:V),_xlfn.XLOOKUP(Tabela5[[#This Row],[NOME DO TUTOR]],'REG.CONTROL'!C:C,'REG.CONTROL'!V:V))</f>
        <v>46055</v>
      </c>
      <c r="E115" s="17" t="s">
        <v>1347</v>
      </c>
      <c r="F115" s="18" t="s">
        <v>1348</v>
      </c>
      <c r="G115" s="8" t="s">
        <v>125</v>
      </c>
      <c r="H115" s="8" t="s">
        <v>126</v>
      </c>
      <c r="I115" s="8" t="s">
        <v>706</v>
      </c>
      <c r="J115" s="9" t="s">
        <v>707</v>
      </c>
      <c r="K115" s="10" t="s">
        <v>1349</v>
      </c>
      <c r="L115" s="17">
        <v>45810</v>
      </c>
      <c r="M115" s="19" t="s">
        <v>708</v>
      </c>
      <c r="N115" s="22">
        <v>1158000720</v>
      </c>
      <c r="O115" s="10" t="s">
        <v>709</v>
      </c>
      <c r="P115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15" s="19" t="s">
        <v>1353</v>
      </c>
      <c r="R115" s="10">
        <f>IF(Tabela5[[#This Row],[SITUAÇÃO]]="Demitido",_xlfn.XLOOKUP(Tabela5[[#This Row],[CHAPA]],'Base de Tutores'!L:L,'Base de Tutores'!P:P),"")</f>
        <v>46055</v>
      </c>
      <c r="S115" s="19"/>
      <c r="T115" s="19"/>
      <c r="U115" s="8"/>
      <c r="V115" s="45">
        <f ca="1">AVERAGE(Tabela5[PERMANENCIA (MÊS)])/30</f>
        <v>0</v>
      </c>
    </row>
    <row r="116" spans="1:22" ht="15.75" customHeight="1" x14ac:dyDescent="0.4">
      <c r="A116" s="8" t="str">
        <f>CONCATENATE(Tabela5[[#This Row],[POLO]],Tabela5[[#This Row],[CURSOS]])</f>
        <v>Macapá/APBFI</v>
      </c>
      <c r="B116" s="8" t="e">
        <f>CONCATENATE(Tabela5[[#This Row],[POLO]],Tabela5[[#This Row],[CATEGORIA]],_xlfn.XLOOKUP(Tabela5[[#This Row],[CHAVE LOTAÇÃO CLASSIFICAÇÃO DE CURSOS]],CHAVE!A:A,CHAVE!D:D))</f>
        <v>#N/A</v>
      </c>
      <c r="C116" s="19" t="s">
        <v>1364</v>
      </c>
      <c r="D116" s="17">
        <f>IFERROR(_xlfn.XLOOKUP(Tabela5[[#This Row],[NOME DO TUTOR]],TUT.CONTROL!C:C,TUT.CONTROL!V:V),_xlfn.XLOOKUP(Tabela5[[#This Row],[NOME DO TUTOR]],'REG.CONTROL'!C:C,'REG.CONTROL'!V:V))</f>
        <v>46055</v>
      </c>
      <c r="E116" s="17" t="s">
        <v>1347</v>
      </c>
      <c r="F116" s="18" t="s">
        <v>1348</v>
      </c>
      <c r="G116" s="8" t="s">
        <v>757</v>
      </c>
      <c r="H116" s="8" t="s">
        <v>758</v>
      </c>
      <c r="I116" s="8" t="s">
        <v>439</v>
      </c>
      <c r="J116" s="9" t="s">
        <v>1051</v>
      </c>
      <c r="K116" s="10" t="s">
        <v>1349</v>
      </c>
      <c r="L116" s="17">
        <v>45901</v>
      </c>
      <c r="M116" s="19">
        <v>96991809566</v>
      </c>
      <c r="N116" s="22">
        <v>1158000954</v>
      </c>
      <c r="O116" s="10" t="s">
        <v>1052</v>
      </c>
      <c r="P116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16" s="20" t="s">
        <v>1353</v>
      </c>
      <c r="R116" s="10">
        <f>IF(Tabela5[[#This Row],[SITUAÇÃO]]="Demitido",_xlfn.XLOOKUP(Tabela5[[#This Row],[CHAPA]],'Base de Tutores'!L:L,'Base de Tutores'!P:P),"")</f>
        <v>46055</v>
      </c>
      <c r="S116" s="20"/>
      <c r="T116" s="20"/>
      <c r="U116" s="8"/>
      <c r="V116" s="45">
        <f ca="1">AVERAGE(Tabela5[PERMANENCIA (MÊS)])/30</f>
        <v>0</v>
      </c>
    </row>
    <row r="117" spans="1:22" ht="15.75" customHeight="1" x14ac:dyDescent="0.4">
      <c r="A117" s="8" t="str">
        <f>CONCATENATE(Tabela5[[#This Row],[POLO]],Tabela5[[#This Row],[CURSOS]])</f>
        <v>Nova Olinda do Norte/AMEMF-ISN</v>
      </c>
      <c r="B117" s="8" t="e">
        <f>CONCATENATE(Tabela5[[#This Row],[POLO]],Tabela5[[#This Row],[CATEGORIA]],_xlfn.XLOOKUP(Tabela5[[#This Row],[CHAVE LOTAÇÃO CLASSIFICAÇÃO DE CURSOS]],CHAVE!A:A,CHAVE!D:D))</f>
        <v>#N/A</v>
      </c>
      <c r="C117" s="19" t="s">
        <v>1365</v>
      </c>
      <c r="D117" s="16">
        <f>IFERROR(_xlfn.XLOOKUP(Tabela5[[#This Row],[NOME DO TUTOR]],TUT.CONTROL!C:C,TUT.CONTROL!V:V),_xlfn.XLOOKUP(Tabela5[[#This Row],[NOME DO TUTOR]],'REG.CONTROL'!C:C,'REG.CONTROL'!V:V))</f>
        <v>46055</v>
      </c>
      <c r="E117" s="17" t="s">
        <v>1347</v>
      </c>
      <c r="F117" s="18" t="s">
        <v>1348</v>
      </c>
      <c r="G117" s="8" t="s">
        <v>21</v>
      </c>
      <c r="H117" s="8" t="s">
        <v>22</v>
      </c>
      <c r="I117" s="8" t="s">
        <v>513</v>
      </c>
      <c r="J117" s="9" t="s">
        <v>514</v>
      </c>
      <c r="K117" s="10" t="s">
        <v>1349</v>
      </c>
      <c r="L117" s="17">
        <v>45789</v>
      </c>
      <c r="M117" s="19">
        <v>92984454503</v>
      </c>
      <c r="N117" s="22">
        <v>1158000633</v>
      </c>
      <c r="O117" s="10" t="s">
        <v>515</v>
      </c>
      <c r="P117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17" s="19" t="s">
        <v>1353</v>
      </c>
      <c r="R117" s="10">
        <f>IF(Tabela5[[#This Row],[SITUAÇÃO]]="Demitido",_xlfn.XLOOKUP(Tabela5[[#This Row],[CHAPA]],'Base de Tutores'!L:L,'Base de Tutores'!P:P),"")</f>
        <v>46055</v>
      </c>
      <c r="S117" s="19"/>
      <c r="T117" s="19"/>
      <c r="U117" s="8"/>
      <c r="V117" s="45">
        <f ca="1">AVERAGE(Tabela5[PERMANENCIA (MÊS)])/30</f>
        <v>0</v>
      </c>
    </row>
    <row r="118" spans="1:22" ht="15.75" customHeight="1" x14ac:dyDescent="0.4">
      <c r="A118" s="8" t="str">
        <f>CONCATENATE(Tabela5[[#This Row],[POLO]],Tabela5[[#This Row],[CURSOS]])</f>
        <v>Corumbá/MSBFR</v>
      </c>
      <c r="B118" s="8" t="e">
        <f>CONCATENATE(Tabela5[[#This Row],[POLO]],Tabela5[[#This Row],[CATEGORIA]],_xlfn.XLOOKUP(Tabela5[[#This Row],[CHAVE LOTAÇÃO CLASSIFICAÇÃO DE CURSOS]],CHAVE!A:A,CHAVE!D:D))</f>
        <v>#N/A</v>
      </c>
      <c r="C118" s="19"/>
      <c r="D118" s="16">
        <f>IFERROR(_xlfn.XLOOKUP(Tabela5[[#This Row],[NOME DO TUTOR]],TUT.CONTROL!C:C,TUT.CONTROL!V:V),_xlfn.XLOOKUP(Tabela5[[#This Row],[NOME DO TUTOR]],'REG.CONTROL'!C:C,'REG.CONTROL'!V:V))</f>
        <v>46055</v>
      </c>
      <c r="E118" s="17" t="s">
        <v>1347</v>
      </c>
      <c r="F118" s="18" t="s">
        <v>1348</v>
      </c>
      <c r="G118" s="8" t="s">
        <v>771</v>
      </c>
      <c r="H118" s="8" t="s">
        <v>772</v>
      </c>
      <c r="I118" s="8" t="s">
        <v>235</v>
      </c>
      <c r="J118" s="9" t="s">
        <v>916</v>
      </c>
      <c r="K118" s="10" t="s">
        <v>1349</v>
      </c>
      <c r="L118" s="17">
        <v>45882</v>
      </c>
      <c r="M118" s="19">
        <v>21967070057</v>
      </c>
      <c r="N118" s="22">
        <v>1158000873</v>
      </c>
      <c r="O118" s="10" t="s">
        <v>917</v>
      </c>
      <c r="P118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18" s="19" t="s">
        <v>1353</v>
      </c>
      <c r="R118" s="10">
        <f>IF(Tabela5[[#This Row],[SITUAÇÃO]]="Demitido",_xlfn.XLOOKUP(Tabela5[[#This Row],[CHAPA]],'Base de Tutores'!L:L,'Base de Tutores'!P:P),"")</f>
        <v>46055</v>
      </c>
      <c r="S118" s="19"/>
      <c r="T118" s="19"/>
      <c r="U118" s="8"/>
      <c r="V118" s="8">
        <f ca="1">AVERAGE(Tabela5[PERMANENCIA (MÊS)])/30</f>
        <v>0</v>
      </c>
    </row>
    <row r="119" spans="1:22" ht="15.75" customHeight="1" x14ac:dyDescent="0.4">
      <c r="A119" s="8" t="str">
        <f>CONCATENATE(Tabela5[[#This Row],[POLO]],Tabela5[[#This Row],[CURSOS]])</f>
        <v>Sinop/MTBFR</v>
      </c>
      <c r="B119" s="8" t="e">
        <f>CONCATENATE(Tabela5[[#This Row],[POLO]],Tabela5[[#This Row],[CATEGORIA]],_xlfn.XLOOKUP(Tabela5[[#This Row],[CHAVE LOTAÇÃO CLASSIFICAÇÃO DE CURSOS]],CHAVE!A:A,CHAVE!D:D))</f>
        <v>#N/A</v>
      </c>
      <c r="C119" s="19" t="s">
        <v>1364</v>
      </c>
      <c r="D119" s="16">
        <f>IFERROR(_xlfn.XLOOKUP(Tabela5[[#This Row],[NOME DO TUTOR]],TUT.CONTROL!C:C,TUT.CONTROL!V:V),_xlfn.XLOOKUP(Tabela5[[#This Row],[NOME DO TUTOR]],'REG.CONTROL'!C:C,'REG.CONTROL'!V:V))</f>
        <v>46056</v>
      </c>
      <c r="E119" s="17" t="s">
        <v>1347</v>
      </c>
      <c r="F119" s="18" t="s">
        <v>1348</v>
      </c>
      <c r="G119" s="8" t="s">
        <v>771</v>
      </c>
      <c r="H119" s="8" t="s">
        <v>772</v>
      </c>
      <c r="I119" s="8" t="s">
        <v>967</v>
      </c>
      <c r="J119" s="9" t="s">
        <v>1059</v>
      </c>
      <c r="K119" s="10" t="s">
        <v>1349</v>
      </c>
      <c r="L119" s="17">
        <v>45901</v>
      </c>
      <c r="M119" s="19">
        <v>65999961784</v>
      </c>
      <c r="N119" s="22">
        <v>1158000939</v>
      </c>
      <c r="O119" s="10" t="s">
        <v>1060</v>
      </c>
      <c r="P119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19" s="20" t="s">
        <v>1353</v>
      </c>
      <c r="R119" s="10">
        <f>IF(Tabela5[[#This Row],[SITUAÇÃO]]="Demitido",_xlfn.XLOOKUP(Tabela5[[#This Row],[CHAPA]],'Base de Tutores'!L:L,'Base de Tutores'!P:P),"")</f>
        <v>46056</v>
      </c>
      <c r="S119" s="20"/>
      <c r="T119" s="20"/>
      <c r="U119" s="8"/>
      <c r="V119" s="8">
        <f ca="1">AVERAGE(Tabela5[PERMANENCIA (MÊS)])/30</f>
        <v>0</v>
      </c>
    </row>
    <row r="120" spans="1:22" ht="15.75" customHeight="1" x14ac:dyDescent="0.4">
      <c r="A120" s="8" t="str">
        <f>CONCATENATE(Tabela5[[#This Row],[POLO]],Tabela5[[#This Row],[CURSOS]])</f>
        <v>Paulo Afonso/BA - Tancredo Neves IIEMF-ISN</v>
      </c>
      <c r="B120" s="8" t="e">
        <f>CONCATENATE(Tabela5[[#This Row],[POLO]],Tabela5[[#This Row],[CATEGORIA]],_xlfn.XLOOKUP(Tabela5[[#This Row],[CHAVE LOTAÇÃO CLASSIFICAÇÃO DE CURSOS]],CHAVE!A:A,CHAVE!D:D))</f>
        <v>#N/A</v>
      </c>
      <c r="C120" s="19" t="s">
        <v>1365</v>
      </c>
      <c r="D120" s="16">
        <f>IFERROR(_xlfn.XLOOKUP(Tabela5[[#This Row],[NOME DO TUTOR]],TUT.CONTROL!C:C,TUT.CONTROL!V:V),_xlfn.XLOOKUP(Tabela5[[#This Row],[NOME DO TUTOR]],'REG.CONTROL'!C:C,'REG.CONTROL'!V:V))</f>
        <v>46057</v>
      </c>
      <c r="E120" s="17" t="s">
        <v>1347</v>
      </c>
      <c r="F120" s="18" t="s">
        <v>1348</v>
      </c>
      <c r="G120" s="8" t="s">
        <v>21</v>
      </c>
      <c r="H120" s="8" t="s">
        <v>22</v>
      </c>
      <c r="I120" s="8" t="s">
        <v>589</v>
      </c>
      <c r="J120" s="9" t="s">
        <v>590</v>
      </c>
      <c r="K120" s="10" t="s">
        <v>1349</v>
      </c>
      <c r="L120" s="17">
        <v>45735</v>
      </c>
      <c r="M120" s="19">
        <v>75992234344</v>
      </c>
      <c r="N120" s="22">
        <v>1158000585</v>
      </c>
      <c r="O120" s="10" t="s">
        <v>591</v>
      </c>
      <c r="P120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20" s="19" t="s">
        <v>1353</v>
      </c>
      <c r="R120" s="10">
        <f>IF(Tabela5[[#This Row],[SITUAÇÃO]]="Demitido",_xlfn.XLOOKUP(Tabela5[[#This Row],[CHAPA]],'Base de Tutores'!L:L,'Base de Tutores'!P:P),"")</f>
        <v>46057</v>
      </c>
      <c r="S120" s="19"/>
      <c r="T120" s="19"/>
      <c r="U120" s="8"/>
      <c r="V120" s="45">
        <f ca="1">AVERAGE(Tabela5[PERMANENCIA (MÊS)])/30</f>
        <v>0</v>
      </c>
    </row>
    <row r="121" spans="1:22" ht="15.75" customHeight="1" x14ac:dyDescent="0.4">
      <c r="A121" s="8" t="str">
        <f>CONCATENATE(Tabela5[[#This Row],[POLO]],Tabela5[[#This Row],[CURSOS]])</f>
        <v>Rio do Sul/SCBFR</v>
      </c>
      <c r="B121" s="8" t="e">
        <f>CONCATENATE(Tabela5[[#This Row],[POLO]],Tabela5[[#This Row],[CATEGORIA]],_xlfn.XLOOKUP(Tabela5[[#This Row],[CHAVE LOTAÇÃO CLASSIFICAÇÃO DE CURSOS]],CHAVE!A:A,CHAVE!D:D))</f>
        <v>#N/A</v>
      </c>
      <c r="C121" s="19" t="s">
        <v>1359</v>
      </c>
      <c r="D121" s="16">
        <f>IFERROR(_xlfn.XLOOKUP(Tabela5[[#This Row],[NOME DO TUTOR]],TUT.CONTROL!C:C,TUT.CONTROL!V:V),_xlfn.XLOOKUP(Tabela5[[#This Row],[NOME DO TUTOR]],'REG.CONTROL'!C:C,'REG.CONTROL'!V:V))</f>
        <v>46057</v>
      </c>
      <c r="E121" s="17" t="s">
        <v>1347</v>
      </c>
      <c r="F121" s="18" t="s">
        <v>1348</v>
      </c>
      <c r="G121" s="8" t="s">
        <v>771</v>
      </c>
      <c r="H121" s="8" t="s">
        <v>772</v>
      </c>
      <c r="I121" s="8" t="s">
        <v>710</v>
      </c>
      <c r="J121" s="9" t="s">
        <v>1208</v>
      </c>
      <c r="K121" s="10" t="s">
        <v>1349</v>
      </c>
      <c r="L121" s="17">
        <v>45950</v>
      </c>
      <c r="M121" s="19">
        <v>49989081134</v>
      </c>
      <c r="N121" s="22">
        <v>1158001046</v>
      </c>
      <c r="O121" s="10" t="s">
        <v>1209</v>
      </c>
      <c r="P121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21" s="21" t="s">
        <v>1353</v>
      </c>
      <c r="R121" s="10">
        <f>IF(Tabela5[[#This Row],[SITUAÇÃO]]="Demitido",_xlfn.XLOOKUP(Tabela5[[#This Row],[CHAPA]],'Base de Tutores'!L:L,'Base de Tutores'!P:P),"")</f>
        <v>46057</v>
      </c>
      <c r="S121" s="21"/>
      <c r="T121" s="21"/>
      <c r="U121" s="8"/>
      <c r="V121" s="8">
        <f ca="1">AVERAGE(Tabela5[PERMANENCIA (MÊS)])/30</f>
        <v>0</v>
      </c>
    </row>
    <row r="122" spans="1:22" ht="15.75" customHeight="1" x14ac:dyDescent="0.4">
      <c r="A122" s="8" t="str">
        <f>CONCATENATE(Tabela5[[#This Row],[POLO]],Tabela5[[#This Row],[CURSOS]])</f>
        <v>Santa Cruz do Sul/RSEMF-ISN</v>
      </c>
      <c r="B122" s="8" t="e">
        <f>CONCATENATE(Tabela5[[#This Row],[POLO]],Tabela5[[#This Row],[CATEGORIA]],_xlfn.XLOOKUP(Tabela5[[#This Row],[CHAVE LOTAÇÃO CLASSIFICAÇÃO DE CURSOS]],CHAVE!A:A,CHAVE!D:D))</f>
        <v>#N/A</v>
      </c>
      <c r="C122" s="19" t="s">
        <v>1364</v>
      </c>
      <c r="D122" s="17">
        <f>IFERROR(_xlfn.XLOOKUP(Tabela5[[#This Row],[NOME DO TUTOR]],TUT.CONTROL!C:C,TUT.CONTROL!V:V),_xlfn.XLOOKUP(Tabela5[[#This Row],[NOME DO TUTOR]],'REG.CONTROL'!C:C,'REG.CONTROL'!V:V))</f>
        <v>46057</v>
      </c>
      <c r="E122" s="17" t="s">
        <v>1347</v>
      </c>
      <c r="F122" s="18" t="s">
        <v>1348</v>
      </c>
      <c r="G122" s="8" t="s">
        <v>21</v>
      </c>
      <c r="H122" s="8" t="s">
        <v>22</v>
      </c>
      <c r="I122" s="8" t="s">
        <v>871</v>
      </c>
      <c r="J122" s="9" t="s">
        <v>893</v>
      </c>
      <c r="K122" s="10" t="s">
        <v>1349</v>
      </c>
      <c r="L122" s="17">
        <v>45931</v>
      </c>
      <c r="M122" s="19">
        <v>51999786833</v>
      </c>
      <c r="N122" s="22">
        <v>1158001001</v>
      </c>
      <c r="O122" s="10" t="s">
        <v>894</v>
      </c>
      <c r="P122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22" s="20" t="s">
        <v>1353</v>
      </c>
      <c r="R122" s="10">
        <f>IF(Tabela5[[#This Row],[SITUAÇÃO]]="Demitido",_xlfn.XLOOKUP(Tabela5[[#This Row],[CHAPA]],'Base de Tutores'!L:L,'Base de Tutores'!P:P),"")</f>
        <v>46057</v>
      </c>
      <c r="S122" s="20"/>
      <c r="T122" s="20"/>
      <c r="U122" s="8"/>
      <c r="V122" s="45">
        <f ca="1">AVERAGE(Tabela5[PERMANENCIA (MÊS)])/30</f>
        <v>0</v>
      </c>
    </row>
    <row r="123" spans="1:22" ht="15.75" customHeight="1" x14ac:dyDescent="0.4">
      <c r="A123" s="8" t="str">
        <f>CONCATENATE(Tabela5[[#This Row],[POLO]],Tabela5[[#This Row],[CURSOS]])</f>
        <v>Novo Hamburgo/RS - CentroEMF-ISN</v>
      </c>
      <c r="B123" s="8" t="e">
        <f>CONCATENATE(Tabela5[[#This Row],[POLO]],Tabela5[[#This Row],[CATEGORIA]],_xlfn.XLOOKUP(Tabela5[[#This Row],[CHAVE LOTAÇÃO CLASSIFICAÇÃO DE CURSOS]],CHAVE!A:A,CHAVE!D:D))</f>
        <v>#N/A</v>
      </c>
      <c r="C123" s="19" t="s">
        <v>1359</v>
      </c>
      <c r="D123" s="17">
        <f>IFERROR(_xlfn.XLOOKUP(Tabela5[[#This Row],[NOME DO TUTOR]],TUT.CONTROL!C:C,TUT.CONTROL!V:V),_xlfn.XLOOKUP(Tabela5[[#This Row],[NOME DO TUTOR]],'REG.CONTROL'!C:C,'REG.CONTROL'!V:V))</f>
        <v>46059</v>
      </c>
      <c r="E123" s="17" t="s">
        <v>1347</v>
      </c>
      <c r="F123" s="18" t="s">
        <v>1348</v>
      </c>
      <c r="G123" s="8" t="s">
        <v>21</v>
      </c>
      <c r="H123" s="8" t="s">
        <v>22</v>
      </c>
      <c r="I123" s="8" t="s">
        <v>520</v>
      </c>
      <c r="J123" s="9" t="s">
        <v>523</v>
      </c>
      <c r="K123" s="10" t="s">
        <v>1349</v>
      </c>
      <c r="L123" s="17">
        <v>45931</v>
      </c>
      <c r="M123" s="19">
        <v>51983145446</v>
      </c>
      <c r="N123" s="22">
        <v>1158001000</v>
      </c>
      <c r="O123" s="10" t="s">
        <v>524</v>
      </c>
      <c r="P123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23" s="19" t="s">
        <v>1353</v>
      </c>
      <c r="R123" s="10">
        <f>IF(Tabela5[[#This Row],[SITUAÇÃO]]="Demitido",_xlfn.XLOOKUP(Tabela5[[#This Row],[CHAPA]],'Base de Tutores'!L:L,'Base de Tutores'!P:P),"")</f>
        <v>46059</v>
      </c>
      <c r="S123" s="19"/>
      <c r="T123" s="19"/>
      <c r="U123" s="8"/>
      <c r="V123" s="45">
        <f ca="1">AVERAGE(Tabela5[PERMANENCIA (MÊS)])/30</f>
        <v>0</v>
      </c>
    </row>
    <row r="124" spans="1:22" ht="15.75" customHeight="1" x14ac:dyDescent="0.4">
      <c r="A124" s="8" t="str">
        <f>CONCATENATE(Tabela5[[#This Row],[POLO]],Tabela5[[#This Row],[CURSOS]])</f>
        <v>Rondonópolis/MTEMF-ISN</v>
      </c>
      <c r="B124" s="8" t="e">
        <f>CONCATENATE(Tabela5[[#This Row],[POLO]],Tabela5[[#This Row],[CATEGORIA]],_xlfn.XLOOKUP(Tabela5[[#This Row],[CHAVE LOTAÇÃO CLASSIFICAÇÃO DE CURSOS]],CHAVE!A:A,CHAVE!D:D))</f>
        <v>#N/A</v>
      </c>
      <c r="C124" s="19" t="s">
        <v>1364</v>
      </c>
      <c r="D124" s="16">
        <f>IFERROR(_xlfn.XLOOKUP(Tabela5[[#This Row],[NOME DO TUTOR]],TUT.CONTROL!C:C,TUT.CONTROL!V:V),_xlfn.XLOOKUP(Tabela5[[#This Row],[NOME DO TUTOR]],'REG.CONTROL'!C:C,'REG.CONTROL'!V:V))</f>
        <v>46062</v>
      </c>
      <c r="E124" s="17" t="s">
        <v>1347</v>
      </c>
      <c r="F124" s="18" t="s">
        <v>1348</v>
      </c>
      <c r="G124" s="8" t="s">
        <v>21</v>
      </c>
      <c r="H124" s="8" t="s">
        <v>22</v>
      </c>
      <c r="I124" s="8" t="s">
        <v>727</v>
      </c>
      <c r="J124" s="9" t="s">
        <v>728</v>
      </c>
      <c r="K124" s="10" t="s">
        <v>1349</v>
      </c>
      <c r="L124" s="17">
        <v>45726</v>
      </c>
      <c r="M124" s="19">
        <v>66999578274</v>
      </c>
      <c r="N124" s="22">
        <v>1158000539</v>
      </c>
      <c r="O124" s="10" t="s">
        <v>729</v>
      </c>
      <c r="P124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24" s="19" t="s">
        <v>1353</v>
      </c>
      <c r="R124" s="10">
        <f>IF(Tabela5[[#This Row],[SITUAÇÃO]]="Demitido",_xlfn.XLOOKUP(Tabela5[[#This Row],[CHAPA]],'Base de Tutores'!L:L,'Base de Tutores'!P:P),"")</f>
        <v>46062</v>
      </c>
      <c r="S124" s="19"/>
      <c r="T124" s="19"/>
      <c r="U124" s="8"/>
      <c r="V124" s="45">
        <f ca="1">AVERAGE(Tabela5[PERMANENCIA (MÊS)])/30</f>
        <v>0</v>
      </c>
    </row>
    <row r="125" spans="1:22" ht="15.75" customHeight="1" x14ac:dyDescent="0.4">
      <c r="A125" s="8" t="str">
        <f>CONCATENATE(Tabela5[[#This Row],[POLO]],Tabela5[[#This Row],[CURSOS]])</f>
        <v>Teixeira de Freitas/BAEMF-ISN</v>
      </c>
      <c r="B125" s="8" t="e">
        <f>CONCATENATE(Tabela5[[#This Row],[POLO]],Tabela5[[#This Row],[CATEGORIA]],_xlfn.XLOOKUP(Tabela5[[#This Row],[CHAVE LOTAÇÃO CLASSIFICAÇÃO DE CURSOS]],CHAVE!A:A,CHAVE!D:D))</f>
        <v>#N/A</v>
      </c>
      <c r="C125" s="19" t="s">
        <v>1359</v>
      </c>
      <c r="D125" s="17">
        <f>IFERROR(_xlfn.XLOOKUP(Tabela5[[#This Row],[NOME DO TUTOR]],TUT.CONTROL!C:C,TUT.CONTROL!V:V),_xlfn.XLOOKUP(Tabela5[[#This Row],[NOME DO TUTOR]],'REG.CONTROL'!C:C,'REG.CONTROL'!V:V))</f>
        <v>46062</v>
      </c>
      <c r="E125" s="17" t="s">
        <v>1347</v>
      </c>
      <c r="F125" s="18" t="s">
        <v>1348</v>
      </c>
      <c r="G125" s="8" t="s">
        <v>21</v>
      </c>
      <c r="H125" s="8" t="s">
        <v>22</v>
      </c>
      <c r="I125" s="8" t="s">
        <v>1264</v>
      </c>
      <c r="J125" s="9" t="s">
        <v>1265</v>
      </c>
      <c r="K125" s="10" t="s">
        <v>1349</v>
      </c>
      <c r="L125" s="17">
        <v>45931</v>
      </c>
      <c r="M125" s="19">
        <v>73998288790</v>
      </c>
      <c r="N125" s="22">
        <v>1158001003</v>
      </c>
      <c r="O125" s="10" t="s">
        <v>1266</v>
      </c>
      <c r="P125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25" s="19" t="s">
        <v>1353</v>
      </c>
      <c r="R125" s="10">
        <f>IF(Tabela5[[#This Row],[SITUAÇÃO]]="Demitido",_xlfn.XLOOKUP(Tabela5[[#This Row],[CHAPA]],'Base de Tutores'!L:L,'Base de Tutores'!P:P),"")</f>
        <v>46062</v>
      </c>
      <c r="S125" s="19"/>
      <c r="T125" s="19"/>
      <c r="U125" s="8"/>
      <c r="V125" s="45">
        <f ca="1">AVERAGE(Tabela5[PERMANENCIA (MÊS)])/30</f>
        <v>0</v>
      </c>
    </row>
    <row r="126" spans="1:22" ht="15.75" customHeight="1" x14ac:dyDescent="0.4">
      <c r="A126" s="8" t="str">
        <f>CONCATENATE(Tabela5[[#This Row],[POLO]],Tabela5[[#This Row],[CURSOS]])</f>
        <v>São Paulo/SP - TatuapéBFI</v>
      </c>
      <c r="B126" s="8" t="e">
        <f>CONCATENATE(Tabela5[[#This Row],[POLO]],Tabela5[[#This Row],[CATEGORIA]],_xlfn.XLOOKUP(Tabela5[[#This Row],[CHAVE LOTAÇÃO CLASSIFICAÇÃO DE CURSOS]],CHAVE!A:A,CHAVE!D:D))</f>
        <v>#N/A</v>
      </c>
      <c r="C126" s="19" t="s">
        <v>1364</v>
      </c>
      <c r="D126" s="17">
        <f>IFERROR(_xlfn.XLOOKUP(Tabela5[[#This Row],[NOME DO TUTOR]],TUT.CONTROL!C:C,TUT.CONTROL!V:V),_xlfn.XLOOKUP(Tabela5[[#This Row],[NOME DO TUTOR]],'REG.CONTROL'!C:C,'REG.CONTROL'!V:V))</f>
        <v>46062</v>
      </c>
      <c r="E126" s="17" t="s">
        <v>1347</v>
      </c>
      <c r="F126" s="18" t="s">
        <v>1348</v>
      </c>
      <c r="G126" s="8" t="s">
        <v>757</v>
      </c>
      <c r="H126" s="8" t="s">
        <v>758</v>
      </c>
      <c r="I126" s="8" t="s">
        <v>431</v>
      </c>
      <c r="J126" s="9" t="s">
        <v>918</v>
      </c>
      <c r="K126" s="10" t="s">
        <v>1349</v>
      </c>
      <c r="L126" s="17">
        <v>45882</v>
      </c>
      <c r="M126" s="19">
        <v>11972881949</v>
      </c>
      <c r="N126" s="22">
        <v>1158000871</v>
      </c>
      <c r="O126" s="10" t="s">
        <v>919</v>
      </c>
      <c r="P126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26" s="21" t="s">
        <v>1353</v>
      </c>
      <c r="R126" s="10">
        <f>IF(Tabela5[[#This Row],[SITUAÇÃO]]="Demitido",_xlfn.XLOOKUP(Tabela5[[#This Row],[CHAPA]],'Base de Tutores'!L:L,'Base de Tutores'!P:P),"")</f>
        <v>46062</v>
      </c>
      <c r="S126" s="21"/>
      <c r="T126" s="21"/>
      <c r="U126" s="8"/>
      <c r="V126" s="45">
        <f ca="1">AVERAGE(Tabela5[PERMANENCIA (MÊS)])/30</f>
        <v>0</v>
      </c>
    </row>
    <row r="127" spans="1:22" ht="15.75" customHeight="1" x14ac:dyDescent="0.4">
      <c r="A127" s="8" t="str">
        <f>CONCATENATE(Tabela5[[#This Row],[POLO]],Tabela5[[#This Row],[CURSOS]])</f>
        <v>Cabo Frio/RJEMF-ISN</v>
      </c>
      <c r="B127" s="8" t="e">
        <f>CONCATENATE(Tabela5[[#This Row],[POLO]],Tabela5[[#This Row],[CATEGORIA]],_xlfn.XLOOKUP(Tabela5[[#This Row],[CHAVE LOTAÇÃO CLASSIFICAÇÃO DE CURSOS]],CHAVE!A:A,CHAVE!D:D))</f>
        <v>#N/A</v>
      </c>
      <c r="C127" s="19" t="s">
        <v>1364</v>
      </c>
      <c r="D127" s="16">
        <f>IFERROR(_xlfn.XLOOKUP(Tabela5[[#This Row],[NOME DO TUTOR]],TUT.CONTROL!C:C,TUT.CONTROL!V:V),_xlfn.XLOOKUP(Tabela5[[#This Row],[NOME DO TUTOR]],'REG.CONTROL'!C:C,'REG.CONTROL'!V:V))</f>
        <v>46063</v>
      </c>
      <c r="E127" s="17" t="s">
        <v>1347</v>
      </c>
      <c r="F127" s="18" t="s">
        <v>1348</v>
      </c>
      <c r="G127" s="8" t="s">
        <v>21</v>
      </c>
      <c r="H127" s="8" t="s">
        <v>22</v>
      </c>
      <c r="I127" s="8" t="s">
        <v>154</v>
      </c>
      <c r="J127" s="9" t="s">
        <v>155</v>
      </c>
      <c r="K127" s="10" t="s">
        <v>1349</v>
      </c>
      <c r="L127" s="17">
        <v>44986</v>
      </c>
      <c r="M127" s="19">
        <v>21975063191</v>
      </c>
      <c r="N127" s="22">
        <v>1004011474</v>
      </c>
      <c r="O127" s="10" t="s">
        <v>156</v>
      </c>
      <c r="P127" s="22" t="str">
        <f>IFERROR(_xlfn.XLOOKUP(Tabela5[[#This Row],[NOME DO TUTOR]],TUT.CONTROL!C:C,TUT.CONTROL!H:H),_xlfn.XLOOKUP(Tabela5[[#This Row],[NOME DO TUTOR]],'REG.CONTROL'!C:C,'REG.CONTROL'!H:H))</f>
        <v>PROFESSOR REGENTE DE POLO (UC_1744)</v>
      </c>
      <c r="Q127" s="19">
        <v>0.33333333333333331</v>
      </c>
      <c r="R127" s="10">
        <f>IF(Tabela5[[#This Row],[SITUAÇÃO]]="Demitido",_xlfn.XLOOKUP(Tabela5[[#This Row],[CHAPA]],'Base de Tutores'!L:L,'Base de Tutores'!P:P),"")</f>
        <v>46063</v>
      </c>
      <c r="S127" s="19"/>
      <c r="T127" s="19"/>
      <c r="U127" s="8"/>
      <c r="V127" s="45">
        <f ca="1">AVERAGE(Tabela5[PERMANENCIA (MÊS)])/30</f>
        <v>0</v>
      </c>
    </row>
    <row r="128" spans="1:22" ht="15.75" customHeight="1" x14ac:dyDescent="0.4">
      <c r="A128" s="8" t="str">
        <f>CONCATENATE(Tabela5[[#This Row],[POLO]],Tabela5[[#This Row],[CURSOS]])</f>
        <v>Maringá/PR - CentroEMF-ISN</v>
      </c>
      <c r="B128" s="8" t="e">
        <f>CONCATENATE(Tabela5[[#This Row],[POLO]],Tabela5[[#This Row],[CATEGORIA]],_xlfn.XLOOKUP(Tabela5[[#This Row],[CHAVE LOTAÇÃO CLASSIFICAÇÃO DE CURSOS]],CHAVE!A:A,CHAVE!D:D))</f>
        <v>#N/A</v>
      </c>
      <c r="C128" s="19" t="s">
        <v>1365</v>
      </c>
      <c r="D128" s="16">
        <f>IFERROR(_xlfn.XLOOKUP(Tabela5[[#This Row],[NOME DO TUTOR]],TUT.CONTROL!C:C,TUT.CONTROL!V:V),_xlfn.XLOOKUP(Tabela5[[#This Row],[NOME DO TUTOR]],'REG.CONTROL'!C:C,'REG.CONTROL'!V:V))</f>
        <v>46063</v>
      </c>
      <c r="E128" s="17" t="s">
        <v>1347</v>
      </c>
      <c r="F128" s="18" t="s">
        <v>1348</v>
      </c>
      <c r="G128" s="8" t="s">
        <v>21</v>
      </c>
      <c r="H128" s="8" t="s">
        <v>22</v>
      </c>
      <c r="I128" s="8" t="s">
        <v>480</v>
      </c>
      <c r="J128" s="9" t="s">
        <v>481</v>
      </c>
      <c r="K128" s="10" t="s">
        <v>1349</v>
      </c>
      <c r="L128" s="17">
        <v>45735</v>
      </c>
      <c r="M128" s="19">
        <v>45999067952</v>
      </c>
      <c r="N128" s="22">
        <v>1158000571</v>
      </c>
      <c r="O128" s="10" t="s">
        <v>482</v>
      </c>
      <c r="P128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28" s="19" t="s">
        <v>1356</v>
      </c>
      <c r="R128" s="10">
        <f>IF(Tabela5[[#This Row],[SITUAÇÃO]]="Demitido",_xlfn.XLOOKUP(Tabela5[[#This Row],[CHAPA]],'Base de Tutores'!L:L,'Base de Tutores'!P:P),"")</f>
        <v>46063</v>
      </c>
      <c r="S128" s="19"/>
      <c r="T128" s="19"/>
      <c r="U128" s="8"/>
      <c r="V128" s="45">
        <f ca="1">AVERAGE(Tabela5[PERMANENCIA (MÊS)])/30</f>
        <v>0</v>
      </c>
    </row>
    <row r="129" spans="1:22" ht="15.75" customHeight="1" x14ac:dyDescent="0.4">
      <c r="A129" s="8" t="str">
        <f>CONCATENATE(Tabela5[[#This Row],[POLO]],Tabela5[[#This Row],[CURSOS]])</f>
        <v>Alta Floresta/MTEMF-ISN</v>
      </c>
      <c r="B129" s="8" t="e">
        <f>CONCATENATE(Tabela5[[#This Row],[POLO]],Tabela5[[#This Row],[CATEGORIA]],_xlfn.XLOOKUP(Tabela5[[#This Row],[CHAVE LOTAÇÃO CLASSIFICAÇÃO DE CURSOS]],CHAVE!A:A,CHAVE!D:D))</f>
        <v>#N/A</v>
      </c>
      <c r="C129" s="19" t="s">
        <v>1359</v>
      </c>
      <c r="D129" s="17">
        <f>IFERROR(_xlfn.XLOOKUP(Tabela5[[#This Row],[NOME DO TUTOR]],TUT.CONTROL!C:C,TUT.CONTROL!V:V),_xlfn.XLOOKUP(Tabela5[[#This Row],[NOME DO TUTOR]],'REG.CONTROL'!C:C,'REG.CONTROL'!V:V))</f>
        <v>46064</v>
      </c>
      <c r="E129" s="17" t="s">
        <v>1347</v>
      </c>
      <c r="F129" s="18" t="s">
        <v>1348</v>
      </c>
      <c r="G129" s="8" t="s">
        <v>21</v>
      </c>
      <c r="H129" s="8" t="s">
        <v>22</v>
      </c>
      <c r="I129" s="8" t="s">
        <v>40</v>
      </c>
      <c r="J129" s="9" t="s">
        <v>41</v>
      </c>
      <c r="K129" s="10" t="s">
        <v>1349</v>
      </c>
      <c r="L129" s="17">
        <v>45754</v>
      </c>
      <c r="M129" s="19">
        <v>66996263876</v>
      </c>
      <c r="N129" s="22">
        <v>1158000694</v>
      </c>
      <c r="O129" s="10" t="s">
        <v>42</v>
      </c>
      <c r="P129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29" s="19" t="s">
        <v>1353</v>
      </c>
      <c r="R129" s="10">
        <f>IF(Tabela5[[#This Row],[SITUAÇÃO]]="Demitido",_xlfn.XLOOKUP(Tabela5[[#This Row],[CHAPA]],'Base de Tutores'!L:L,'Base de Tutores'!P:P),"")</f>
        <v>46064</v>
      </c>
      <c r="S129" s="19"/>
      <c r="T129" s="19"/>
      <c r="U129" s="8"/>
      <c r="V129" s="45">
        <f ca="1">AVERAGE(Tabela5[PERMANENCIA (MÊS)])/30</f>
        <v>0</v>
      </c>
    </row>
    <row r="130" spans="1:22" ht="15.75" customHeight="1" x14ac:dyDescent="0.4">
      <c r="A130" s="8" t="str">
        <f>CONCATENATE(Tabela5[[#This Row],[POLO]],Tabela5[[#This Row],[CURSOS]])</f>
        <v>Oliveira/MGEMF-ISN</v>
      </c>
      <c r="B130" s="8" t="e">
        <f>CONCATENATE(Tabela5[[#This Row],[POLO]],Tabela5[[#This Row],[CATEGORIA]],_xlfn.XLOOKUP(Tabela5[[#This Row],[CHAVE LOTAÇÃO CLASSIFICAÇÃO DE CURSOS]],CHAVE!A:A,CHAVE!D:D))</f>
        <v>#N/A</v>
      </c>
      <c r="C130" s="19" t="s">
        <v>1359</v>
      </c>
      <c r="D130" s="17">
        <f>IFERROR(_xlfn.XLOOKUP(Tabela5[[#This Row],[NOME DO TUTOR]],TUT.CONTROL!C:C,TUT.CONTROL!V:V),_xlfn.XLOOKUP(Tabela5[[#This Row],[NOME DO TUTOR]],'REG.CONTROL'!C:C,'REG.CONTROL'!V:V))</f>
        <v>46064</v>
      </c>
      <c r="E130" s="17" t="s">
        <v>1347</v>
      </c>
      <c r="F130" s="18" t="s">
        <v>1348</v>
      </c>
      <c r="G130" s="8" t="s">
        <v>21</v>
      </c>
      <c r="H130" s="8" t="s">
        <v>22</v>
      </c>
      <c r="I130" s="8" t="s">
        <v>535</v>
      </c>
      <c r="J130" s="9" t="s">
        <v>536</v>
      </c>
      <c r="K130" s="10" t="s">
        <v>1349</v>
      </c>
      <c r="L130" s="17">
        <v>45915</v>
      </c>
      <c r="M130" s="19">
        <v>37998688491</v>
      </c>
      <c r="N130" s="22">
        <v>1158000979</v>
      </c>
      <c r="O130" s="10" t="s">
        <v>537</v>
      </c>
      <c r="P130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30" s="19" t="s">
        <v>1353</v>
      </c>
      <c r="R130" s="10">
        <f>IF(Tabela5[[#This Row],[SITUAÇÃO]]="Demitido",_xlfn.XLOOKUP(Tabela5[[#This Row],[CHAPA]],'Base de Tutores'!L:L,'Base de Tutores'!P:P),"")</f>
        <v>46064</v>
      </c>
      <c r="S130" s="19"/>
      <c r="T130" s="19"/>
      <c r="U130" s="8"/>
      <c r="V130" s="45">
        <f ca="1">AVERAGE(Tabela5[PERMANENCIA (MÊS)])/30</f>
        <v>0</v>
      </c>
    </row>
    <row r="131" spans="1:22" ht="15.75" customHeight="1" x14ac:dyDescent="0.4">
      <c r="A131" s="8" t="str">
        <f>CONCATENATE(Tabela5[[#This Row],[POLO]],Tabela5[[#This Row],[CURSOS]])</f>
        <v>Cuiabá/MT - CPABFI</v>
      </c>
      <c r="B131" s="8" t="e">
        <f>CONCATENATE(Tabela5[[#This Row],[POLO]],Tabela5[[#This Row],[CATEGORIA]],_xlfn.XLOOKUP(Tabela5[[#This Row],[CHAVE LOTAÇÃO CLASSIFICAÇÃO DE CURSOS]],CHAVE!A:A,CHAVE!D:D))</f>
        <v>#N/A</v>
      </c>
      <c r="C131" s="19" t="s">
        <v>1364</v>
      </c>
      <c r="D131" s="16">
        <f>IFERROR(_xlfn.XLOOKUP(Tabela5[[#This Row],[NOME DO TUTOR]],TUT.CONTROL!C:C,TUT.CONTROL!V:V),_xlfn.XLOOKUP(Tabela5[[#This Row],[NOME DO TUTOR]],'REG.CONTROL'!C:C,'REG.CONTROL'!V:V))</f>
        <v>46065</v>
      </c>
      <c r="E131" s="17" t="s">
        <v>1347</v>
      </c>
      <c r="F131" s="18" t="s">
        <v>1348</v>
      </c>
      <c r="G131" s="8" t="s">
        <v>757</v>
      </c>
      <c r="H131" s="8" t="s">
        <v>758</v>
      </c>
      <c r="I131" s="8" t="s">
        <v>1217</v>
      </c>
      <c r="J131" s="9" t="s">
        <v>1218</v>
      </c>
      <c r="K131" s="10" t="s">
        <v>1349</v>
      </c>
      <c r="L131" s="17">
        <v>45964</v>
      </c>
      <c r="M131" s="19">
        <v>65999153002</v>
      </c>
      <c r="N131" s="22">
        <v>1158001051</v>
      </c>
      <c r="O131" s="10" t="s">
        <v>1219</v>
      </c>
      <c r="P131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31" s="19" t="s">
        <v>1353</v>
      </c>
      <c r="R131" s="10">
        <f>IF(Tabela5[[#This Row],[SITUAÇÃO]]="Demitido",_xlfn.XLOOKUP(Tabela5[[#This Row],[CHAPA]],'Base de Tutores'!L:L,'Base de Tutores'!P:P),"")</f>
        <v>46065</v>
      </c>
      <c r="S131" s="19"/>
      <c r="T131" s="19"/>
      <c r="U131" s="8"/>
      <c r="V131" s="45">
        <f ca="1">AVERAGE(Tabela5[PERMANENCIA (MÊS)])/30</f>
        <v>0</v>
      </c>
    </row>
    <row r="132" spans="1:22" ht="15.75" customHeight="1" x14ac:dyDescent="0.4">
      <c r="A132" s="8" t="str">
        <f>CONCATENATE(Tabela5[[#This Row],[POLO]],Tabela5[[#This Row],[CURSOS]])</f>
        <v>Camaquã/RSAGM</v>
      </c>
      <c r="B132" s="8" t="e">
        <f>CONCATENATE(Tabela5[[#This Row],[POLO]],Tabela5[[#This Row],[CATEGORIA]],_xlfn.XLOOKUP(Tabela5[[#This Row],[CHAVE LOTAÇÃO CLASSIFICAÇÃO DE CURSOS]],CHAVE!A:A,CHAVE!D:D))</f>
        <v>#N/A</v>
      </c>
      <c r="C132" s="19" t="s">
        <v>1364</v>
      </c>
      <c r="D132" s="16">
        <f>IFERROR(_xlfn.XLOOKUP(Tabela5[[#This Row],[NOME DO TUTOR]],TUT.CONTROL!C:C,TUT.CONTROL!V:V),_xlfn.XLOOKUP(Tabela5[[#This Row],[NOME DO TUTOR]],'REG.CONTROL'!C:C,'REG.CONTROL'!V:V))</f>
        <v>46066</v>
      </c>
      <c r="E132" s="17" t="s">
        <v>1347</v>
      </c>
      <c r="F132" s="18" t="s">
        <v>1348</v>
      </c>
      <c r="G132" s="8" t="s">
        <v>734</v>
      </c>
      <c r="H132" s="8" t="s">
        <v>735</v>
      </c>
      <c r="I132" s="8" t="s">
        <v>161</v>
      </c>
      <c r="J132" s="9" t="s">
        <v>1088</v>
      </c>
      <c r="K132" s="10" t="s">
        <v>1349</v>
      </c>
      <c r="L132" s="17">
        <v>45910</v>
      </c>
      <c r="M132" s="19">
        <v>53999475362</v>
      </c>
      <c r="N132" s="22">
        <v>1158000966</v>
      </c>
      <c r="O132" s="10" t="s">
        <v>1089</v>
      </c>
      <c r="P132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32" s="19" t="s">
        <v>1353</v>
      </c>
      <c r="R132" s="10">
        <f>IF(Tabela5[[#This Row],[SITUAÇÃO]]="Demitido",_xlfn.XLOOKUP(Tabela5[[#This Row],[CHAPA]],'Base de Tutores'!L:L,'Base de Tutores'!P:P),"")</f>
        <v>46066</v>
      </c>
      <c r="S132" s="19"/>
      <c r="T132" s="19"/>
      <c r="U132" s="8"/>
      <c r="V132" s="45">
        <f ca="1">AVERAGE(Tabela5[PERMANENCIA (MÊS)])/30</f>
        <v>0</v>
      </c>
    </row>
    <row r="133" spans="1:22" ht="15.75" customHeight="1" x14ac:dyDescent="0.4">
      <c r="A133" s="8" t="str">
        <f>CONCATENATE(Tabela5[[#This Row],[POLO]],Tabela5[[#This Row],[CURSOS]])</f>
        <v>Pirapora/MGEMF-ISN</v>
      </c>
      <c r="B133" s="8" t="e">
        <f>CONCATENATE(Tabela5[[#This Row],[POLO]],Tabela5[[#This Row],[CATEGORIA]],_xlfn.XLOOKUP(Tabela5[[#This Row],[CHAVE LOTAÇÃO CLASSIFICAÇÃO DE CURSOS]],CHAVE!A:A,CHAVE!D:D))</f>
        <v>#N/A</v>
      </c>
      <c r="C133" s="19" t="s">
        <v>1359</v>
      </c>
      <c r="D133" s="16">
        <f>IFERROR(_xlfn.XLOOKUP(Tabela5[[#This Row],[NOME DO TUTOR]],TUT.CONTROL!C:C,TUT.CONTROL!V:V),_xlfn.XLOOKUP(Tabela5[[#This Row],[NOME DO TUTOR]],'REG.CONTROL'!C:C,'REG.CONTROL'!V:V))</f>
        <v>46071</v>
      </c>
      <c r="E133" s="17" t="s">
        <v>1347</v>
      </c>
      <c r="F133" s="18" t="s">
        <v>1348</v>
      </c>
      <c r="G133" s="8" t="s">
        <v>21</v>
      </c>
      <c r="H133" s="8" t="s">
        <v>22</v>
      </c>
      <c r="I133" s="8" t="s">
        <v>604</v>
      </c>
      <c r="J133" s="9" t="s">
        <v>605</v>
      </c>
      <c r="K133" s="10" t="s">
        <v>1349</v>
      </c>
      <c r="L133" s="17">
        <v>45754</v>
      </c>
      <c r="M133" s="19" t="s">
        <v>606</v>
      </c>
      <c r="N133" s="22">
        <v>1158000681</v>
      </c>
      <c r="O133" s="10" t="s">
        <v>607</v>
      </c>
      <c r="P133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33" s="19" t="s">
        <v>1353</v>
      </c>
      <c r="R133" s="10">
        <f>IF(Tabela5[[#This Row],[SITUAÇÃO]]="Demitido",_xlfn.XLOOKUP(Tabela5[[#This Row],[CHAPA]],'Base de Tutores'!L:L,'Base de Tutores'!P:P),"")</f>
        <v>46071</v>
      </c>
      <c r="S133" s="19"/>
      <c r="T133" s="19"/>
      <c r="U133" s="8"/>
      <c r="V133" s="45">
        <f ca="1">AVERAGE(Tabela5[PERMANENCIA (MÊS)])/30</f>
        <v>0</v>
      </c>
    </row>
    <row r="134" spans="1:22" ht="15.75" customHeight="1" x14ac:dyDescent="0.4">
      <c r="A134" s="8" t="str">
        <f>CONCATENATE(Tabela5[[#This Row],[POLO]],Tabela5[[#This Row],[CURSOS]])</f>
        <v>Bento Gonçalves/RSEMF-ISN</v>
      </c>
      <c r="B134" s="8" t="e">
        <f>CONCATENATE(Tabela5[[#This Row],[POLO]],Tabela5[[#This Row],[CATEGORIA]],_xlfn.XLOOKUP(Tabela5[[#This Row],[CHAVE LOTAÇÃO CLASSIFICAÇÃO DE CURSOS]],CHAVE!A:A,CHAVE!D:D))</f>
        <v>#N/A</v>
      </c>
      <c r="C134" s="19" t="s">
        <v>1364</v>
      </c>
      <c r="D134" s="16">
        <f>IFERROR(_xlfn.XLOOKUP(Tabela5[[#This Row],[NOME DO TUTOR]],TUT.CONTROL!C:C,TUT.CONTROL!V:V),_xlfn.XLOOKUP(Tabela5[[#This Row],[NOME DO TUTOR]],'REG.CONTROL'!C:C,'REG.CONTROL'!V:V))</f>
        <v>46072</v>
      </c>
      <c r="E134" s="17" t="s">
        <v>1347</v>
      </c>
      <c r="F134" s="18" t="s">
        <v>1348</v>
      </c>
      <c r="G134" s="8" t="s">
        <v>21</v>
      </c>
      <c r="H134" s="10" t="s">
        <v>22</v>
      </c>
      <c r="I134" s="8" t="s">
        <v>106</v>
      </c>
      <c r="J134" s="9" t="s">
        <v>107</v>
      </c>
      <c r="K134" s="10" t="s">
        <v>1349</v>
      </c>
      <c r="L134" s="17">
        <v>45735</v>
      </c>
      <c r="M134" s="19">
        <v>53981047737</v>
      </c>
      <c r="N134" s="11">
        <v>1158000572</v>
      </c>
      <c r="O134" s="11" t="s">
        <v>108</v>
      </c>
      <c r="P134" s="22" t="s">
        <v>1350</v>
      </c>
      <c r="Q134" s="19" t="s">
        <v>1353</v>
      </c>
      <c r="R134" s="10">
        <f>IF(Tabela5[[#This Row],[SITUAÇÃO]]="Demitido",_xlfn.XLOOKUP(Tabela5[[#This Row],[CHAPA]],'Base de Tutores'!L:L,'Base de Tutores'!P:P),"")</f>
        <v>46072</v>
      </c>
      <c r="S134" s="22" t="s">
        <v>43</v>
      </c>
      <c r="T134" s="22" t="s">
        <v>109</v>
      </c>
      <c r="U134" s="19">
        <v>655325</v>
      </c>
      <c r="V134" s="45">
        <f ca="1">AVERAGE(Tabela5[PERMANENCIA (MÊS)])/30</f>
        <v>0</v>
      </c>
    </row>
    <row r="135" spans="1:22" ht="15.75" customHeight="1" x14ac:dyDescent="0.4">
      <c r="A135" s="8" t="str">
        <f>CONCATENATE(Tabela5[[#This Row],[POLO]],Tabela5[[#This Row],[CURSOS]])</f>
        <v>Brejo Santo/CEEMF-ISN</v>
      </c>
      <c r="B135" s="8" t="e">
        <f>CONCATENATE(Tabela5[[#This Row],[POLO]],Tabela5[[#This Row],[CATEGORIA]],_xlfn.XLOOKUP(Tabela5[[#This Row],[CHAVE LOTAÇÃO CLASSIFICAÇÃO DE CURSOS]],CHAVE!A:A,CHAVE!D:D))</f>
        <v>#N/A</v>
      </c>
      <c r="C135" s="19" t="s">
        <v>1364</v>
      </c>
      <c r="D135" s="16">
        <f>IFERROR(_xlfn.XLOOKUP(Tabela5[[#This Row],[NOME DO TUTOR]],TUT.CONTROL!C:C,TUT.CONTROL!V:V),_xlfn.XLOOKUP(Tabela5[[#This Row],[NOME DO TUTOR]],'REG.CONTROL'!C:C,'REG.CONTROL'!V:V))</f>
        <v>46072</v>
      </c>
      <c r="E135" s="17" t="s">
        <v>1347</v>
      </c>
      <c r="F135" s="18" t="s">
        <v>1348</v>
      </c>
      <c r="G135" s="8" t="s">
        <v>21</v>
      </c>
      <c r="H135" s="10" t="s">
        <v>22</v>
      </c>
      <c r="I135" s="8" t="s">
        <v>139</v>
      </c>
      <c r="J135" s="9" t="s">
        <v>140</v>
      </c>
      <c r="K135" s="10" t="s">
        <v>1349</v>
      </c>
      <c r="L135" s="17">
        <v>44782</v>
      </c>
      <c r="M135" s="19">
        <v>88996000861</v>
      </c>
      <c r="N135" s="11">
        <v>1004010498</v>
      </c>
      <c r="O135" s="11" t="s">
        <v>141</v>
      </c>
      <c r="P135" s="22" t="s">
        <v>1360</v>
      </c>
      <c r="Q135" s="19">
        <v>0.16666666666666666</v>
      </c>
      <c r="R135" s="10">
        <f>IF(Tabela5[[#This Row],[SITUAÇÃO]]="Demitido",_xlfn.XLOOKUP(Tabela5[[#This Row],[CHAPA]],'Base de Tutores'!L:L,'Base de Tutores'!P:P),"")</f>
        <v>46072</v>
      </c>
      <c r="S135" s="22" t="s">
        <v>43</v>
      </c>
      <c r="T135" s="22" t="s">
        <v>31</v>
      </c>
      <c r="U135" s="19">
        <v>307964</v>
      </c>
      <c r="V135" s="45">
        <f ca="1">AVERAGE(Tabela5[PERMANENCIA (MÊS)])/30</f>
        <v>0</v>
      </c>
    </row>
    <row r="136" spans="1:22" ht="15.75" customHeight="1" x14ac:dyDescent="0.4">
      <c r="A136" s="8" t="str">
        <f>CONCATENATE(Tabela5[[#This Row],[POLO]],Tabela5[[#This Row],[CURSOS]])</f>
        <v>Campo Grande/MS - Terminal MorenãoEMF-ISN</v>
      </c>
      <c r="B136" s="8" t="e">
        <f>CONCATENATE(Tabela5[[#This Row],[POLO]],Tabela5[[#This Row],[CATEGORIA]],_xlfn.XLOOKUP(Tabela5[[#This Row],[CHAVE LOTAÇÃO CLASSIFICAÇÃO DE CURSOS]],CHAVE!A:A,CHAVE!D:D))</f>
        <v>#N/A</v>
      </c>
      <c r="C136" s="19" t="s">
        <v>1364</v>
      </c>
      <c r="D136" s="16">
        <f>IFERROR(_xlfn.XLOOKUP(Tabela5[[#This Row],[NOME DO TUTOR]],TUT.CONTROL!C:C,TUT.CONTROL!V:V),_xlfn.XLOOKUP(Tabela5[[#This Row],[NOME DO TUTOR]],'REG.CONTROL'!C:C,'REG.CONTROL'!V:V))</f>
        <v>46082</v>
      </c>
      <c r="E136" s="17" t="s">
        <v>1347</v>
      </c>
      <c r="F136" s="18" t="s">
        <v>1348</v>
      </c>
      <c r="G136" s="8" t="s">
        <v>21</v>
      </c>
      <c r="H136" s="10" t="s">
        <v>22</v>
      </c>
      <c r="I136" s="8" t="s">
        <v>178</v>
      </c>
      <c r="J136" s="9" t="s">
        <v>179</v>
      </c>
      <c r="K136" s="10" t="s">
        <v>1349</v>
      </c>
      <c r="L136" s="17">
        <v>45754</v>
      </c>
      <c r="M136" s="19" t="s">
        <v>180</v>
      </c>
      <c r="N136" s="11">
        <v>1158000687</v>
      </c>
      <c r="O136" s="11" t="s">
        <v>181</v>
      </c>
      <c r="P136" s="22" t="s">
        <v>1350</v>
      </c>
      <c r="Q136" s="19" t="s">
        <v>1353</v>
      </c>
      <c r="R136" s="10">
        <f>IF(Tabela5[[#This Row],[SITUAÇÃO]]="Demitido",_xlfn.XLOOKUP(Tabela5[[#This Row],[CHAPA]],'Base de Tutores'!L:L,'Base de Tutores'!P:P),"")</f>
        <v>46082</v>
      </c>
      <c r="S136" s="22" t="s">
        <v>43</v>
      </c>
      <c r="T136" s="22" t="s">
        <v>53</v>
      </c>
      <c r="U136" s="19">
        <v>729269</v>
      </c>
      <c r="V136" s="45">
        <f ca="1">AVERAGE(Tabela5[PERMANENCIA (MÊS)])/30</f>
        <v>0</v>
      </c>
    </row>
    <row r="137" spans="1:22" ht="15.75" customHeight="1" x14ac:dyDescent="0.4">
      <c r="A137" s="8" t="str">
        <f>CONCATENATE(Tabela5[[#This Row],[POLO]],Tabela5[[#This Row],[CURSOS]])</f>
        <v>Porto Alegre/RS - Centro HistóricoECE-ENM-ENS-ENG-EEA-GPI-CDE-OBR-SAN-TER-FSA-SLF-QUI</v>
      </c>
      <c r="B137" s="8" t="e">
        <f>CONCATENATE(Tabela5[[#This Row],[POLO]],Tabela5[[#This Row],[CATEGORIA]],_xlfn.XLOOKUP(Tabela5[[#This Row],[CHAVE LOTAÇÃO CLASSIFICAÇÃO DE CURSOS]],CHAVE!A:A,CHAVE!D:D))</f>
        <v>#N/A</v>
      </c>
      <c r="C137" s="19" t="s">
        <v>1364</v>
      </c>
      <c r="D137" s="16">
        <f>IFERROR(_xlfn.XLOOKUP(Tabela5[[#This Row],[NOME DO TUTOR]],TUT.CONTROL!C:C,TUT.CONTROL!V:V),_xlfn.XLOOKUP(Tabela5[[#This Row],[NOME DO TUTOR]],'REG.CONTROL'!C:C,'REG.CONTROL'!V:V))</f>
        <v>46083</v>
      </c>
      <c r="E137" s="17" t="s">
        <v>1347</v>
      </c>
      <c r="F137" s="18" t="s">
        <v>1348</v>
      </c>
      <c r="G137" s="8" t="s">
        <v>125</v>
      </c>
      <c r="H137" s="10" t="s">
        <v>126</v>
      </c>
      <c r="I137" s="8" t="s">
        <v>632</v>
      </c>
      <c r="J137" s="9" t="s">
        <v>1247</v>
      </c>
      <c r="K137" s="10" t="s">
        <v>1349</v>
      </c>
      <c r="L137" s="17">
        <v>45978</v>
      </c>
      <c r="M137" s="19">
        <v>51983149432</v>
      </c>
      <c r="N137" s="11">
        <v>1158001073</v>
      </c>
      <c r="O137" s="11" t="s">
        <v>1248</v>
      </c>
      <c r="P137" s="22" t="s">
        <v>1350</v>
      </c>
      <c r="Q137" s="19" t="s">
        <v>1356</v>
      </c>
      <c r="R137" s="10">
        <f>IF(Tabela5[[#This Row],[SITUAÇÃO]]="Demitido",_xlfn.XLOOKUP(Tabela5[[#This Row],[CHAPA]],'Base de Tutores'!L:L,'Base de Tutores'!P:P),"")</f>
        <v>46083</v>
      </c>
      <c r="S137" s="22" t="s">
        <v>43</v>
      </c>
      <c r="T137" s="22" t="s">
        <v>397</v>
      </c>
      <c r="U137" s="19">
        <v>2219235696</v>
      </c>
      <c r="V137" s="45">
        <f ca="1">AVERAGE(Tabela5[PERMANENCIA (MÊS)])/30</f>
        <v>0</v>
      </c>
    </row>
    <row r="138" spans="1:22" ht="15.75" customHeight="1" x14ac:dyDescent="0.4">
      <c r="A138" s="8" t="str">
        <f>CONCATENATE(Tabela5[[#This Row],[POLO]],Tabela5[[#This Row],[CURSOS]])</f>
        <v>Belo Horizonte/MG - Shopping Estação BHEMF-ISN</v>
      </c>
      <c r="B138" s="8" t="e">
        <f>CONCATENATE(Tabela5[[#This Row],[POLO]],Tabela5[[#This Row],[CATEGORIA]],_xlfn.XLOOKUP(Tabela5[[#This Row],[CHAVE LOTAÇÃO CLASSIFICAÇÃO DE CURSOS]],CHAVE!A:A,CHAVE!D:D))</f>
        <v>#N/A</v>
      </c>
      <c r="C138" s="19" t="s">
        <v>1364</v>
      </c>
      <c r="D138" s="16">
        <f>IFERROR(_xlfn.XLOOKUP(Tabela5[[#This Row],[NOME DO TUTOR]],TUT.CONTROL!C:C,TUT.CONTROL!V:V),_xlfn.XLOOKUP(Tabela5[[#This Row],[NOME DO TUTOR]],'REG.CONTROL'!C:C,'REG.CONTROL'!V:V))</f>
        <v>46083</v>
      </c>
      <c r="E138" s="17" t="s">
        <v>1347</v>
      </c>
      <c r="F138" s="18" t="s">
        <v>1348</v>
      </c>
      <c r="G138" s="8" t="s">
        <v>21</v>
      </c>
      <c r="H138" s="10" t="s">
        <v>22</v>
      </c>
      <c r="I138" s="8" t="s">
        <v>101</v>
      </c>
      <c r="J138" s="9" t="s">
        <v>102</v>
      </c>
      <c r="K138" s="10" t="s">
        <v>1349</v>
      </c>
      <c r="L138" s="17">
        <v>44840</v>
      </c>
      <c r="M138" s="19">
        <v>31987848509</v>
      </c>
      <c r="N138" s="11">
        <v>1004010883</v>
      </c>
      <c r="O138" s="11" t="s">
        <v>103</v>
      </c>
      <c r="P138" s="22" t="s">
        <v>1360</v>
      </c>
      <c r="Q138" s="19">
        <v>0.16666666666666666</v>
      </c>
      <c r="R138" s="10">
        <f>IF(Tabela5[[#This Row],[SITUAÇÃO]]="Demitido",_xlfn.XLOOKUP(Tabela5[[#This Row],[CHAPA]],'Base de Tutores'!L:L,'Base de Tutores'!P:P),"")</f>
        <v>46083</v>
      </c>
      <c r="S138" s="22" t="s">
        <v>1368</v>
      </c>
      <c r="T138" s="22" t="s">
        <v>100</v>
      </c>
      <c r="U138" s="19">
        <v>293520</v>
      </c>
      <c r="V138" s="45">
        <f ca="1">AVERAGE(Tabela5[PERMANENCIA (MÊS)])/30</f>
        <v>0</v>
      </c>
    </row>
    <row r="139" spans="1:22" ht="15.75" customHeight="1" x14ac:dyDescent="0.4">
      <c r="A139" s="8" t="str">
        <f>CONCATENATE(Tabela5[[#This Row],[POLO]],Tabela5[[#This Row],[CURSOS]])</f>
        <v>Itapajé/CEEMF-ISN</v>
      </c>
      <c r="B139" s="8" t="e">
        <f>CONCATENATE(Tabela5[[#This Row],[POLO]],Tabela5[[#This Row],[CATEGORIA]],_xlfn.XLOOKUP(Tabela5[[#This Row],[CHAVE LOTAÇÃO CLASSIFICAÇÃO DE CURSOS]],CHAVE!A:A,CHAVE!D:D))</f>
        <v>#N/A</v>
      </c>
      <c r="C139" s="19" t="s">
        <v>1364</v>
      </c>
      <c r="D139" s="16">
        <f>IFERROR(_xlfn.XLOOKUP(Tabela5[[#This Row],[NOME DO TUTOR]],TUT.CONTROL!C:C,TUT.CONTROL!V:V),_xlfn.XLOOKUP(Tabela5[[#This Row],[NOME DO TUTOR]],'REG.CONTROL'!C:C,'REG.CONTROL'!V:V))</f>
        <v>46084</v>
      </c>
      <c r="E139" s="17" t="s">
        <v>1347</v>
      </c>
      <c r="F139" s="18" t="s">
        <v>1348</v>
      </c>
      <c r="G139" s="8" t="s">
        <v>21</v>
      </c>
      <c r="H139" s="10" t="s">
        <v>22</v>
      </c>
      <c r="I139" s="8" t="s">
        <v>370</v>
      </c>
      <c r="J139" s="9" t="s">
        <v>371</v>
      </c>
      <c r="K139" s="10" t="s">
        <v>1349</v>
      </c>
      <c r="L139" s="17">
        <v>45402</v>
      </c>
      <c r="M139" s="19">
        <v>85999508498</v>
      </c>
      <c r="N139" s="11">
        <v>1004014564</v>
      </c>
      <c r="O139" s="11" t="s">
        <v>372</v>
      </c>
      <c r="P139" s="22" t="s">
        <v>1360</v>
      </c>
      <c r="Q139" s="19">
        <v>0.16666666666666666</v>
      </c>
      <c r="R139" s="10">
        <f>IF(Tabela5[[#This Row],[SITUAÇÃO]]="Demitido",_xlfn.XLOOKUP(Tabela5[[#This Row],[CHAPA]],'Base de Tutores'!L:L,'Base de Tutores'!P:P),"")</f>
        <v>46084</v>
      </c>
      <c r="S139" s="22" t="s">
        <v>30</v>
      </c>
      <c r="T139" s="22" t="s">
        <v>31</v>
      </c>
      <c r="U139" s="19">
        <v>468770</v>
      </c>
      <c r="V139" s="45">
        <f ca="1">AVERAGE(Tabela5[PERMANENCIA (MÊS)])/30</f>
        <v>0</v>
      </c>
    </row>
    <row r="140" spans="1:22" ht="15.75" customHeight="1" x14ac:dyDescent="0.4">
      <c r="A140" s="8" t="str">
        <f>CONCATENATE(Tabela5[[#This Row],[POLO]],Tabela5[[#This Row],[CURSOS]])</f>
        <v>Rio do Sul/SCEMF-ISN</v>
      </c>
      <c r="B140" s="8" t="e">
        <f>CONCATENATE(Tabela5[[#This Row],[POLO]],Tabela5[[#This Row],[CATEGORIA]],_xlfn.XLOOKUP(Tabela5[[#This Row],[CHAVE LOTAÇÃO CLASSIFICAÇÃO DE CURSOS]],CHAVE!A:A,CHAVE!D:D))</f>
        <v>#N/A</v>
      </c>
      <c r="C140" s="19" t="s">
        <v>1364</v>
      </c>
      <c r="D140" s="16">
        <f>IFERROR(_xlfn.XLOOKUP(Tabela5[[#This Row],[NOME DO TUTOR]],TUT.CONTROL!C:C,TUT.CONTROL!V:V),_xlfn.XLOOKUP(Tabela5[[#This Row],[NOME DO TUTOR]],'REG.CONTROL'!C:C,'REG.CONTROL'!V:V))</f>
        <v>46087</v>
      </c>
      <c r="E140" s="17" t="s">
        <v>1347</v>
      </c>
      <c r="F140" s="18" t="s">
        <v>1348</v>
      </c>
      <c r="G140" s="8" t="s">
        <v>21</v>
      </c>
      <c r="H140" s="10" t="s">
        <v>22</v>
      </c>
      <c r="I140" s="8" t="s">
        <v>710</v>
      </c>
      <c r="J140" s="9" t="s">
        <v>718</v>
      </c>
      <c r="K140" s="10" t="s">
        <v>1349</v>
      </c>
      <c r="L140" s="17">
        <v>45901</v>
      </c>
      <c r="M140" s="19">
        <v>47996997686</v>
      </c>
      <c r="N140" s="11">
        <v>1158000949</v>
      </c>
      <c r="O140" s="11" t="s">
        <v>719</v>
      </c>
      <c r="P140" s="22" t="s">
        <v>1350</v>
      </c>
      <c r="Q140" s="19" t="s">
        <v>1353</v>
      </c>
      <c r="R140" s="10">
        <f>IF(Tabela5[[#This Row],[SITUAÇÃO]]="Demitido",_xlfn.XLOOKUP(Tabela5[[#This Row],[CHAPA]],'Base de Tutores'!L:L,'Base de Tutores'!P:P),"")</f>
        <v>46087</v>
      </c>
      <c r="S140" s="22"/>
      <c r="T140" s="22" t="s">
        <v>149</v>
      </c>
      <c r="U140" s="19">
        <v>712244</v>
      </c>
      <c r="V140" s="45">
        <f ca="1">AVERAGE(Tabela5[PERMANENCIA (MÊS)])/30</f>
        <v>0</v>
      </c>
    </row>
    <row r="141" spans="1:22" ht="15.75" customHeight="1" x14ac:dyDescent="0.4">
      <c r="A141" s="8" t="str">
        <f>CONCATENATE(Tabela5[[#This Row],[POLO]],Tabela5[[#This Row],[CURSOS]])</f>
        <v>São Paulo/SP - SaúdeEMF-ISN</v>
      </c>
      <c r="B141" s="8" t="e">
        <f>CONCATENATE(Tabela5[[#This Row],[POLO]],Tabela5[[#This Row],[CATEGORIA]],_xlfn.XLOOKUP(Tabela5[[#This Row],[CHAVE LOTAÇÃO CLASSIFICAÇÃO DE CURSOS]],CHAVE!A:A,CHAVE!D:D))</f>
        <v>#N/A</v>
      </c>
      <c r="C141" s="19" t="s">
        <v>1364</v>
      </c>
      <c r="D141" s="16">
        <f>IFERROR(_xlfn.XLOOKUP(Tabela5[[#This Row],[NOME DO TUTOR]],TUT.CONTROL!C:C,TUT.CONTROL!V:V),_xlfn.XLOOKUP(Tabela5[[#This Row],[NOME DO TUTOR]],'REG.CONTROL'!C:C,'REG.CONTROL'!V:V))</f>
        <v>46087</v>
      </c>
      <c r="E141" s="17" t="s">
        <v>1347</v>
      </c>
      <c r="F141" s="18" t="s">
        <v>1348</v>
      </c>
      <c r="G141" s="8" t="s">
        <v>21</v>
      </c>
      <c r="H141" s="10" t="s">
        <v>22</v>
      </c>
      <c r="I141" s="8" t="s">
        <v>1105</v>
      </c>
      <c r="J141" s="9" t="s">
        <v>1106</v>
      </c>
      <c r="K141" s="10" t="s">
        <v>1349</v>
      </c>
      <c r="L141" s="17">
        <v>45966</v>
      </c>
      <c r="M141" s="19">
        <v>11958876119</v>
      </c>
      <c r="N141" s="11">
        <v>1158001056</v>
      </c>
      <c r="O141" s="11" t="s">
        <v>1107</v>
      </c>
      <c r="P141" s="22" t="s">
        <v>1350</v>
      </c>
      <c r="Q141" s="19" t="s">
        <v>1353</v>
      </c>
      <c r="R141" s="10">
        <f>IF(Tabela5[[#This Row],[SITUAÇÃO]]="Demitido",_xlfn.XLOOKUP(Tabela5[[#This Row],[CHAPA]],'Base de Tutores'!L:L,'Base de Tutores'!P:P),"")</f>
        <v>46087</v>
      </c>
      <c r="S141" s="22"/>
      <c r="T141" s="22" t="s">
        <v>75</v>
      </c>
      <c r="U141" s="19">
        <v>836026</v>
      </c>
      <c r="V141" s="45">
        <f ca="1">AVERAGE(Tabela5[PERMANENCIA (MÊS)])/30</f>
        <v>0</v>
      </c>
    </row>
    <row r="142" spans="1:22" ht="15.75" customHeight="1" x14ac:dyDescent="0.4">
      <c r="A142" s="8" t="str">
        <f>CONCATENATE(Tabela5[[#This Row],[POLO]],Tabela5[[#This Row],[CURSOS]])</f>
        <v>Campinas/SP - AboliçãoBFI</v>
      </c>
      <c r="B142" s="8" t="e">
        <f>CONCATENATE(Tabela5[[#This Row],[POLO]],Tabela5[[#This Row],[CATEGORIA]],_xlfn.XLOOKUP(Tabela5[[#This Row],[CHAVE LOTAÇÃO CLASSIFICAÇÃO DE CURSOS]],CHAVE!A:A,CHAVE!D:D))</f>
        <v>#N/A</v>
      </c>
      <c r="C142" s="19"/>
      <c r="D142" s="16">
        <f>IFERROR(_xlfn.XLOOKUP(Tabela5[[#This Row],[NOME DO TUTOR]],TUT.CONTROL!C:C,TUT.CONTROL!V:V),_xlfn.XLOOKUP(Tabela5[[#This Row],[NOME DO TUTOR]],'REG.CONTROL'!C:C,'REG.CONTROL'!V:V))</f>
        <v>46092</v>
      </c>
      <c r="E142" s="17" t="s">
        <v>1347</v>
      </c>
      <c r="F142" s="18" t="s">
        <v>1348</v>
      </c>
      <c r="G142" s="8" t="s">
        <v>757</v>
      </c>
      <c r="H142" s="8" t="s">
        <v>758</v>
      </c>
      <c r="I142" s="8" t="s">
        <v>172</v>
      </c>
      <c r="J142" s="9" t="s">
        <v>1067</v>
      </c>
      <c r="K142" s="10" t="s">
        <v>1349</v>
      </c>
      <c r="L142" s="17">
        <v>45901</v>
      </c>
      <c r="M142" s="19">
        <v>19996071185</v>
      </c>
      <c r="N142" s="11">
        <v>1158000945</v>
      </c>
      <c r="O142" s="11" t="s">
        <v>1068</v>
      </c>
      <c r="P142" s="22" t="s">
        <v>1350</v>
      </c>
      <c r="Q142" s="19" t="s">
        <v>1353</v>
      </c>
      <c r="R142" s="10">
        <v>46092</v>
      </c>
      <c r="S142" s="19" t="s">
        <v>43</v>
      </c>
      <c r="T142" s="19" t="s">
        <v>852</v>
      </c>
      <c r="U142" s="8" t="s">
        <v>1369</v>
      </c>
      <c r="V142" s="8">
        <f ca="1">AVERAGE(Tabela5[PERMANENCIA (MÊS)])/30</f>
        <v>0</v>
      </c>
    </row>
    <row r="143" spans="1:22" ht="15.75" customHeight="1" x14ac:dyDescent="0.4">
      <c r="A143" s="8" t="str">
        <f>CONCATENATE(Tabela5[[#This Row],[POLO]],Tabela5[[#This Row],[CURSOS]])</f>
        <v>Campos dos Goytacazes/RJ - PelincaEMF-ISN</v>
      </c>
      <c r="B143" s="8" t="e">
        <f>CONCATENATE(Tabela5[[#This Row],[POLO]],Tabela5[[#This Row],[CATEGORIA]],_xlfn.XLOOKUP(Tabela5[[#This Row],[CHAVE LOTAÇÃO CLASSIFICAÇÃO DE CURSOS]],CHAVE!A:A,CHAVE!D:D))</f>
        <v>#N/A</v>
      </c>
      <c r="C143" s="19" t="s">
        <v>1364</v>
      </c>
      <c r="D143" s="16">
        <f>IFERROR(_xlfn.XLOOKUP(Tabela5[[#This Row],[NOME DO TUTOR]],TUT.CONTROL!C:C,TUT.CONTROL!V:V),_xlfn.XLOOKUP(Tabela5[[#This Row],[NOME DO TUTOR]],'REG.CONTROL'!C:C,'REG.CONTROL'!V:V))</f>
        <v>46092</v>
      </c>
      <c r="E143" s="17" t="s">
        <v>1347</v>
      </c>
      <c r="F143" s="18" t="s">
        <v>1348</v>
      </c>
      <c r="G143" s="8" t="s">
        <v>21</v>
      </c>
      <c r="H143" s="8" t="s">
        <v>22</v>
      </c>
      <c r="I143" s="8" t="s">
        <v>182</v>
      </c>
      <c r="J143" s="9" t="s">
        <v>185</v>
      </c>
      <c r="K143" s="10" t="s">
        <v>1349</v>
      </c>
      <c r="L143" s="17">
        <v>45887</v>
      </c>
      <c r="M143" s="19">
        <v>27997096138</v>
      </c>
      <c r="N143" s="11">
        <v>1158000885</v>
      </c>
      <c r="O143" s="11" t="s">
        <v>186</v>
      </c>
      <c r="P143" s="22" t="s">
        <v>1350</v>
      </c>
      <c r="Q143" s="19" t="s">
        <v>1353</v>
      </c>
      <c r="R143" s="10">
        <v>46092</v>
      </c>
      <c r="S143" s="19" t="s">
        <v>43</v>
      </c>
      <c r="T143" s="19" t="s">
        <v>157</v>
      </c>
      <c r="U143" s="8">
        <v>670008</v>
      </c>
      <c r="V143" s="8">
        <f ca="1">AVERAGE(Tabela5[PERMANENCIA (MÊS)])/30</f>
        <v>0</v>
      </c>
    </row>
    <row r="144" spans="1:22" ht="15.75" customHeight="1" x14ac:dyDescent="0.4">
      <c r="A144" s="8" t="str">
        <f>CONCATENATE(Tabela5[[#This Row],[POLO]],Tabela5[[#This Row],[CURSOS]])</f>
        <v>Macapá/APBFR</v>
      </c>
      <c r="B144" s="8" t="e">
        <f>CONCATENATE(Tabela5[[#This Row],[POLO]],Tabela5[[#This Row],[CATEGORIA]],_xlfn.XLOOKUP(Tabela5[[#This Row],[CHAVE LOTAÇÃO CLASSIFICAÇÃO DE CURSOS]],CHAVE!A:A,CHAVE!D:D))</f>
        <v>#N/A</v>
      </c>
      <c r="C144" s="19" t="s">
        <v>1364</v>
      </c>
      <c r="D144" s="16">
        <f>IFERROR(_xlfn.XLOOKUP(Tabela5[[#This Row],[NOME DO TUTOR]],TUT.CONTROL!C:C,TUT.CONTROL!V:V),_xlfn.XLOOKUP(Tabela5[[#This Row],[NOME DO TUTOR]],'REG.CONTROL'!C:C,'REG.CONTROL'!V:V))</f>
        <v>46098</v>
      </c>
      <c r="E144" s="17" t="s">
        <v>1347</v>
      </c>
      <c r="F144" s="18" t="s">
        <v>1348</v>
      </c>
      <c r="G144" s="8" t="s">
        <v>771</v>
      </c>
      <c r="H144" s="8" t="s">
        <v>772</v>
      </c>
      <c r="I144" s="8" t="s">
        <v>439</v>
      </c>
      <c r="J144" s="9" t="s">
        <v>979</v>
      </c>
      <c r="K144" s="10" t="s">
        <v>1349</v>
      </c>
      <c r="L144" s="17">
        <v>45887</v>
      </c>
      <c r="M144" s="19">
        <v>91984898600</v>
      </c>
      <c r="N144" s="11">
        <v>1158000889</v>
      </c>
      <c r="O144" s="11" t="s">
        <v>980</v>
      </c>
      <c r="P144" s="22" t="s">
        <v>1350</v>
      </c>
      <c r="Q144" s="19" t="s">
        <v>1353</v>
      </c>
      <c r="R144" s="10">
        <f>IF(Tabela5[[#This Row],[SITUAÇÃO]]="Demitido",_xlfn.XLOOKUP(Tabela5[[#This Row],[CHAPA]],'Base de Tutores'!L:L,'Base de Tutores'!P:P),"")</f>
        <v>46098</v>
      </c>
      <c r="S144" s="19"/>
      <c r="T144" s="19"/>
      <c r="U144" s="8"/>
      <c r="V144" s="8">
        <f ca="1">AVERAGE(Tabela5[PERMANENCIA (MÊS)])/30</f>
        <v>0</v>
      </c>
    </row>
    <row r="145" spans="1:22" ht="15.75" customHeight="1" x14ac:dyDescent="0.4">
      <c r="A145" s="8" t="str">
        <f>CONCATENATE(Tabela5[[#This Row],[POLO]],Tabela5[[#This Row],[CURSOS]])</f>
        <v>Camaquã/RSBFR</v>
      </c>
      <c r="B145" s="8" t="e">
        <f>CONCATENATE(Tabela5[[#This Row],[POLO]],Tabela5[[#This Row],[CATEGORIA]],_xlfn.XLOOKUP(Tabela5[[#This Row],[CHAVE LOTAÇÃO CLASSIFICAÇÃO DE CURSOS]],CHAVE!A:A,CHAVE!D:D))</f>
        <v>#N/A</v>
      </c>
      <c r="C145" s="19" t="s">
        <v>1357</v>
      </c>
      <c r="D145" s="16">
        <f>IFERROR(_xlfn.XLOOKUP(Tabela5[[#This Row],[NOME DO TUTOR]],TUT.CONTROL!C:C,TUT.CONTROL!V:V),_xlfn.XLOOKUP(Tabela5[[#This Row],[NOME DO TUTOR]],'REG.CONTROL'!C:C,'REG.CONTROL'!V:V))</f>
        <v>46098</v>
      </c>
      <c r="E145" s="17" t="s">
        <v>1347</v>
      </c>
      <c r="F145" s="18" t="s">
        <v>1348</v>
      </c>
      <c r="G145" s="8" t="s">
        <v>771</v>
      </c>
      <c r="H145" s="8" t="s">
        <v>772</v>
      </c>
      <c r="I145" s="8" t="s">
        <v>161</v>
      </c>
      <c r="J145" s="9" t="s">
        <v>1173</v>
      </c>
      <c r="K145" s="10" t="s">
        <v>1349</v>
      </c>
      <c r="L145" s="17">
        <v>45936</v>
      </c>
      <c r="M145" s="19">
        <v>53999287786</v>
      </c>
      <c r="N145" s="22">
        <v>1158001019</v>
      </c>
      <c r="O145" s="10" t="s">
        <v>1174</v>
      </c>
      <c r="P145" s="22" t="str">
        <f>IFERROR(_xlfn.XLOOKUP(Tabela5[[#This Row],[NOME DO TUTOR]],TUT.CONTROL!C:C,TUT.CONTROL!H:H),_xlfn.XLOOKUP(Tabela5[[#This Row],[NOME DO TUTOR]],'REG.CONTROL'!C:C,'REG.CONTROL'!H:H))</f>
        <v>TUTOR DE PRATICA (UC_1749)</v>
      </c>
      <c r="Q145" s="19" t="s">
        <v>1353</v>
      </c>
      <c r="R145" s="10">
        <f>IF(Tabela5[[#This Row],[SITUAÇÃO]]="Demitido",_xlfn.XLOOKUP(Tabela5[[#This Row],[CHAPA]],'Base de Tutores'!L:L,'Base de Tutores'!P:P),"")</f>
        <v>46098</v>
      </c>
      <c r="S145" s="19"/>
      <c r="T145" s="19"/>
      <c r="U145" s="8"/>
      <c r="V145" s="8">
        <f ca="1">AVERAGE(Tabela5[PERMANENCIA (MÊS)])/30</f>
        <v>0</v>
      </c>
    </row>
    <row r="146" spans="1:22" ht="15.75" customHeight="1" x14ac:dyDescent="0.4">
      <c r="A146" s="8" t="str">
        <f>CONCATENATE(Tabela5[[#This Row],[POLO]],Tabela5[[#This Row],[CURSOS]])</f>
        <v>Parauapebas/PAEMF-ISN</v>
      </c>
      <c r="B146" s="8" t="e">
        <f>CONCATENATE(Tabela5[[#This Row],[POLO]],Tabela5[[#This Row],[CATEGORIA]],_xlfn.XLOOKUP(Tabela5[[#This Row],[CHAVE LOTAÇÃO CLASSIFICAÇÃO DE CURSOS]],CHAVE!A:A,CHAVE!D:D))</f>
        <v>#N/A</v>
      </c>
      <c r="C146" s="19" t="s">
        <v>1364</v>
      </c>
      <c r="D146" s="16">
        <f>IFERROR(_xlfn.XLOOKUP(Tabela5[[#This Row],[NOME DO TUTOR]],TUT.CONTROL!C:C,TUT.CONTROL!V:V),_xlfn.XLOOKUP(Tabela5[[#This Row],[NOME DO TUTOR]],'REG.CONTROL'!C:C,'REG.CONTROL'!V:V))</f>
        <v>46107</v>
      </c>
      <c r="E146" s="17" t="s">
        <v>1347</v>
      </c>
      <c r="F146" s="18" t="s">
        <v>1348</v>
      </c>
      <c r="G146" s="8" t="s">
        <v>21</v>
      </c>
      <c r="H146" s="8" t="s">
        <v>22</v>
      </c>
      <c r="I146" s="8" t="s">
        <v>465</v>
      </c>
      <c r="J146" s="9" t="s">
        <v>551</v>
      </c>
      <c r="K146" s="10" t="s">
        <v>1349</v>
      </c>
      <c r="L146" s="17">
        <v>45728</v>
      </c>
      <c r="M146" s="19">
        <v>94981715600</v>
      </c>
      <c r="N146" s="11">
        <v>1158000544</v>
      </c>
      <c r="O146" s="11" t="s">
        <v>552</v>
      </c>
      <c r="P146" s="22" t="s">
        <v>1350</v>
      </c>
      <c r="Q146" s="19" t="s">
        <v>1353</v>
      </c>
      <c r="R146" s="10">
        <f>IF(Tabela5[[#This Row],[SITUAÇÃO]]="Demitido",_xlfn.XLOOKUP(Tabela5[[#This Row],[CHAPA]],'Base de Tutores'!L:L,'Base de Tutores'!P:P),"")</f>
        <v>46107</v>
      </c>
      <c r="S146" s="19" t="s">
        <v>30</v>
      </c>
      <c r="T146" s="19" t="s">
        <v>26</v>
      </c>
      <c r="U146" s="8">
        <v>418700</v>
      </c>
      <c r="V146" s="8">
        <f ca="1">AVERAGE(Tabela5[PERMANENCIA (MÊS)])/30</f>
        <v>0</v>
      </c>
    </row>
    <row r="147" spans="1:22" ht="15.75" customHeight="1" x14ac:dyDescent="0.4">
      <c r="A147" s="8" t="str">
        <f>CONCATENATE(Tabela5[[#This Row],[POLO]],Tabela5[[#This Row],[CURSOS]])</f>
        <v>Santo Antônio de Jesus/BAEMF-ISN</v>
      </c>
      <c r="B147" s="8" t="e">
        <f>CONCATENATE(Tabela5[[#This Row],[POLO]],Tabela5[[#This Row],[CATEGORIA]],_xlfn.XLOOKUP(Tabela5[[#This Row],[CHAVE LOTAÇÃO CLASSIFICAÇÃO DE CURSOS]],CHAVE!A:A,CHAVE!D:D))</f>
        <v>#N/A</v>
      </c>
      <c r="C147" s="19" t="s">
        <v>1364</v>
      </c>
      <c r="D147" s="16">
        <f>IFERROR(_xlfn.XLOOKUP(Tabela5[[#This Row],[NOME DO TUTOR]],TUT.CONTROL!C:C,TUT.CONTROL!V:V),_xlfn.XLOOKUP(Tabela5[[#This Row],[NOME DO TUTOR]],'REG.CONTROL'!C:C,'REG.CONTROL'!V:V))</f>
        <v>46113</v>
      </c>
      <c r="E147" s="17" t="s">
        <v>1347</v>
      </c>
      <c r="F147" s="18" t="s">
        <v>1348</v>
      </c>
      <c r="G147" s="8" t="s">
        <v>21</v>
      </c>
      <c r="H147" s="8" t="s">
        <v>22</v>
      </c>
      <c r="I147" s="8" t="s">
        <v>1003</v>
      </c>
      <c r="J147" s="9" t="s">
        <v>1004</v>
      </c>
      <c r="K147" s="10" t="s">
        <v>1349</v>
      </c>
      <c r="L147" s="17">
        <v>45733</v>
      </c>
      <c r="M147" s="19">
        <v>77988130406</v>
      </c>
      <c r="N147" s="11">
        <v>1158000552</v>
      </c>
      <c r="O147" s="11" t="s">
        <v>1005</v>
      </c>
      <c r="P147" s="22" t="s">
        <v>1350</v>
      </c>
      <c r="Q147" s="19" t="s">
        <v>1353</v>
      </c>
      <c r="R147" s="10">
        <v>46113</v>
      </c>
      <c r="S147" s="19" t="s">
        <v>30</v>
      </c>
      <c r="T147" s="19" t="s">
        <v>286</v>
      </c>
      <c r="U147" s="8">
        <v>665362</v>
      </c>
      <c r="V147" s="8">
        <f ca="1">AVERAGE(Tabela5[PERMANENCIA (MÊS)])/30</f>
        <v>0</v>
      </c>
    </row>
    <row r="148" spans="1:22" ht="15.75" customHeight="1" x14ac:dyDescent="0.4">
      <c r="A148" s="8" t="str">
        <f>CONCATENATE(Tabela5[[#This Row],[POLO]],Tabela5[[#This Row],[CURSOS]])</f>
        <v>Aracaju/SE - Ponto NovoNTR</v>
      </c>
      <c r="B148" s="8" t="e">
        <f>CONCATENATE(Tabela5[[#This Row],[POLO]],Tabela5[[#This Row],[CATEGORIA]],_xlfn.XLOOKUP(Tabela5[[#This Row],[CHAVE LOTAÇÃO CLASSIFICAÇÃO DE CURSOS]],CHAVE!A:A,CHAVE!D:D))</f>
        <v>#N/A</v>
      </c>
      <c r="C148" s="19"/>
      <c r="D148" s="16">
        <f>IFERROR(_xlfn.XLOOKUP(Tabela5[[#This Row],[NOME DO TUTOR]],TUT.CONTROL!C:C,TUT.CONTROL!V:V),_xlfn.XLOOKUP(Tabela5[[#This Row],[NOME DO TUTOR]],'REG.CONTROL'!C:C,'REG.CONTROL'!V:V))</f>
        <v>46113</v>
      </c>
      <c r="E148" s="17" t="s">
        <v>1347</v>
      </c>
      <c r="F148" s="18" t="s">
        <v>1348</v>
      </c>
      <c r="G148" s="8" t="s">
        <v>730</v>
      </c>
      <c r="H148" s="8" t="s">
        <v>731</v>
      </c>
      <c r="I148" s="8" t="s">
        <v>54</v>
      </c>
      <c r="J148" s="9" t="s">
        <v>839</v>
      </c>
      <c r="K148" s="10" t="s">
        <v>1349</v>
      </c>
      <c r="L148" s="17">
        <v>45873</v>
      </c>
      <c r="M148" s="19">
        <v>79999690732</v>
      </c>
      <c r="N148" s="11">
        <v>1158000783</v>
      </c>
      <c r="O148" s="11" t="s">
        <v>840</v>
      </c>
      <c r="P148" s="22" t="s">
        <v>1350</v>
      </c>
      <c r="Q148" s="19" t="s">
        <v>1353</v>
      </c>
      <c r="R148" s="10">
        <v>46113</v>
      </c>
      <c r="S148" s="19"/>
      <c r="T148" s="19"/>
      <c r="U148" s="8"/>
      <c r="V148" s="8">
        <f ca="1">AVERAGE(Tabela5[PERMANENCIA (MÊS)])/30</f>
        <v>0</v>
      </c>
    </row>
    <row r="149" spans="1:22" ht="15.75" customHeight="1" x14ac:dyDescent="0.4">
      <c r="A149" s="8" t="str">
        <f>CONCATENATE(Tabela5[[#This Row],[POLO]],Tabela5[[#This Row],[CURSOS]])</f>
        <v>Foz do Iguaçu/PRBFR</v>
      </c>
      <c r="B149" s="8" t="e">
        <f>CONCATENATE(Tabela5[[#This Row],[POLO]],Tabela5[[#This Row],[CATEGORIA]],_xlfn.XLOOKUP(Tabela5[[#This Row],[CHAVE LOTAÇÃO CLASSIFICAÇÃO DE CURSOS]],CHAVE!A:A,CHAVE!D:D))</f>
        <v>#N/A</v>
      </c>
      <c r="C149" s="19"/>
      <c r="D149" s="16">
        <f>IFERROR(_xlfn.XLOOKUP(Tabela5[[#This Row],[NOME DO TUTOR]],TUT.CONTROL!C:C,TUT.CONTROL!V:V),_xlfn.XLOOKUP(Tabela5[[#This Row],[NOME DO TUTOR]],'REG.CONTROL'!C:C,'REG.CONTROL'!V:V))</f>
        <v>46113</v>
      </c>
      <c r="E149" s="17" t="s">
        <v>1347</v>
      </c>
      <c r="F149" s="18" t="s">
        <v>1348</v>
      </c>
      <c r="G149" s="8" t="s">
        <v>771</v>
      </c>
      <c r="H149" s="8" t="s">
        <v>772</v>
      </c>
      <c r="I149" s="8" t="s">
        <v>1186</v>
      </c>
      <c r="J149" s="9" t="s">
        <v>1187</v>
      </c>
      <c r="K149" s="10" t="s">
        <v>1349</v>
      </c>
      <c r="L149" s="17">
        <v>45938</v>
      </c>
      <c r="M149" s="19">
        <v>45999305881</v>
      </c>
      <c r="N149" s="11">
        <v>1158001035</v>
      </c>
      <c r="O149" s="11" t="s">
        <v>1188</v>
      </c>
      <c r="P149" s="22" t="s">
        <v>1350</v>
      </c>
      <c r="Q149" s="19" t="s">
        <v>1353</v>
      </c>
      <c r="R149" s="10">
        <v>46113</v>
      </c>
      <c r="S149" s="19"/>
      <c r="T149" s="19"/>
      <c r="U149" s="8"/>
      <c r="V149" s="8">
        <f ca="1">AVERAGE(Tabela5[PERMANENCIA (MÊS)])/30</f>
        <v>0</v>
      </c>
    </row>
    <row r="150" spans="1:22" ht="15.75" customHeight="1" x14ac:dyDescent="0.4">
      <c r="A150" s="8" t="str">
        <f>CONCATENATE(Tabela5[[#This Row],[POLO]],Tabela5[[#This Row],[CURSOS]])</f>
        <v>Novo Hamburgo/RS - CentroBAU</v>
      </c>
      <c r="B150" s="8" t="e">
        <f>CONCATENATE(Tabela5[[#This Row],[POLO]],Tabela5[[#This Row],[CATEGORIA]],_xlfn.XLOOKUP(Tabela5[[#This Row],[CHAVE LOTAÇÃO CLASSIFICAÇÃO DE CURSOS]],CHAVE!A:A,CHAVE!D:D))</f>
        <v>#N/A</v>
      </c>
      <c r="C150" s="19"/>
      <c r="D150" s="16">
        <f>IFERROR(_xlfn.XLOOKUP(Tabela5[[#This Row],[NOME DO TUTOR]],TUT.CONTROL!C:C,TUT.CONTROL!V:V),_xlfn.XLOOKUP(Tabela5[[#This Row],[NOME DO TUTOR]],'REG.CONTROL'!C:C,'REG.CONTROL'!V:V))</f>
        <v>46113</v>
      </c>
      <c r="E150" s="17" t="s">
        <v>1347</v>
      </c>
      <c r="F150" s="18" t="s">
        <v>1348</v>
      </c>
      <c r="G150" s="8" t="s">
        <v>1160</v>
      </c>
      <c r="H150" s="8" t="s">
        <v>1161</v>
      </c>
      <c r="I150" s="8" t="s">
        <v>520</v>
      </c>
      <c r="J150" s="9" t="s">
        <v>1189</v>
      </c>
      <c r="K150" s="10" t="s">
        <v>1349</v>
      </c>
      <c r="L150" s="17">
        <v>45938</v>
      </c>
      <c r="M150" s="19">
        <v>49991863771</v>
      </c>
      <c r="N150" s="11">
        <v>1158001030</v>
      </c>
      <c r="O150" s="11" t="s">
        <v>1190</v>
      </c>
      <c r="P150" s="22" t="s">
        <v>1350</v>
      </c>
      <c r="Q150" s="19" t="s">
        <v>1353</v>
      </c>
      <c r="R150" s="10">
        <v>46113</v>
      </c>
      <c r="S150" s="19" t="s">
        <v>30</v>
      </c>
      <c r="T150" s="19" t="s">
        <v>1191</v>
      </c>
      <c r="U150" s="8" t="s">
        <v>1192</v>
      </c>
      <c r="V150" s="8">
        <f ca="1">AVERAGE(Tabela5[PERMANENCIA (MÊS)])/30</f>
        <v>0</v>
      </c>
    </row>
    <row r="151" spans="1:22" ht="15.75" customHeight="1" x14ac:dyDescent="0.4">
      <c r="A151" s="8" t="str">
        <f>CONCATENATE(Tabela5[[#This Row],[POLO]],Tabela5[[#This Row],[CURSOS]])</f>
        <v>Campinas/SP - AboliçãoEMF-ISN</v>
      </c>
      <c r="B151" s="8" t="e">
        <f>CONCATENATE(Tabela5[[#This Row],[POLO]],Tabela5[[#This Row],[CATEGORIA]],_xlfn.XLOOKUP(Tabela5[[#This Row],[CHAVE LOTAÇÃO CLASSIFICAÇÃO DE CURSOS]],CHAVE!A:A,CHAVE!D:D))</f>
        <v>#N/A</v>
      </c>
      <c r="C151" s="19" t="s">
        <v>1364</v>
      </c>
      <c r="D151" s="16">
        <f>IFERROR(_xlfn.XLOOKUP(Tabela5[[#This Row],[NOME DO TUTOR]],TUT.CONTROL!C:C,TUT.CONTROL!V:V),_xlfn.XLOOKUP(Tabela5[[#This Row],[NOME DO TUTOR]],'REG.CONTROL'!C:C,'REG.CONTROL'!V:V))</f>
        <v>46118</v>
      </c>
      <c r="E151" s="17" t="s">
        <v>1347</v>
      </c>
      <c r="F151" s="18" t="s">
        <v>1348</v>
      </c>
      <c r="G151" s="8" t="s">
        <v>21</v>
      </c>
      <c r="H151" s="8" t="s">
        <v>22</v>
      </c>
      <c r="I151" s="8" t="s">
        <v>172</v>
      </c>
      <c r="J151" s="9" t="s">
        <v>175</v>
      </c>
      <c r="K151" s="10" t="s">
        <v>1349</v>
      </c>
      <c r="L151" s="17">
        <v>45971</v>
      </c>
      <c r="M151" s="19">
        <v>19982105596</v>
      </c>
      <c r="N151" s="11">
        <v>1158001057</v>
      </c>
      <c r="O151" s="11" t="s">
        <v>176</v>
      </c>
      <c r="P151" s="22" t="s">
        <v>1350</v>
      </c>
      <c r="Q151" s="19" t="s">
        <v>1353</v>
      </c>
      <c r="R151" s="10">
        <v>46118</v>
      </c>
      <c r="S151" s="19"/>
      <c r="T151" s="19" t="s">
        <v>177</v>
      </c>
      <c r="U151" s="8">
        <v>660894</v>
      </c>
      <c r="V151" s="8">
        <f ca="1">AVERAGE(Tabela5[PERMANENCIA (MÊS)])/30</f>
        <v>0</v>
      </c>
    </row>
    <row r="152" spans="1:22" ht="15.75" customHeight="1" x14ac:dyDescent="0.4">
      <c r="A152" s="8" t="str">
        <f>CONCATENATE(Tabela5[[#This Row],[POLO]],Tabela5[[#This Row],[CURSOS]])</f>
        <v>Blumenau/SC - Salto Do Norte (Centro Universitário Dante)BFR</v>
      </c>
      <c r="B152" s="8" t="e">
        <f>CONCATENATE(Tabela5[[#This Row],[POLO]],Tabela5[[#This Row],[CATEGORIA]],_xlfn.XLOOKUP(Tabela5[[#This Row],[CHAVE LOTAÇÃO CLASSIFICAÇÃO DE CURSOS]],CHAVE!A:A,CHAVE!D:D))</f>
        <v>#N/A</v>
      </c>
      <c r="C152" s="19"/>
      <c r="D152" s="16">
        <f>IFERROR(_xlfn.XLOOKUP(Tabela5[[#This Row],[NOME DO TUTOR]],TUT.CONTROL!C:C,TUT.CONTROL!V:V),_xlfn.XLOOKUP(Tabela5[[#This Row],[NOME DO TUTOR]],'REG.CONTROL'!C:C,'REG.CONTROL'!V:V))</f>
        <v>46119</v>
      </c>
      <c r="E152" s="17" t="s">
        <v>1347</v>
      </c>
      <c r="F152" s="18" t="s">
        <v>1348</v>
      </c>
      <c r="G152" s="8" t="s">
        <v>771</v>
      </c>
      <c r="H152" s="8" t="s">
        <v>772</v>
      </c>
      <c r="I152" s="8" t="s">
        <v>110</v>
      </c>
      <c r="J152" s="9" t="s">
        <v>920</v>
      </c>
      <c r="K152" s="10" t="s">
        <v>1349</v>
      </c>
      <c r="L152" s="17">
        <v>45882</v>
      </c>
      <c r="M152" s="19">
        <v>47991428458</v>
      </c>
      <c r="N152" s="11">
        <v>1158000878</v>
      </c>
      <c r="O152" s="11" t="s">
        <v>921</v>
      </c>
      <c r="P152" s="22" t="s">
        <v>1350</v>
      </c>
      <c r="Q152" s="19" t="s">
        <v>1353</v>
      </c>
      <c r="R152" s="10">
        <v>46119</v>
      </c>
      <c r="S152" s="19"/>
      <c r="T152" s="19"/>
      <c r="U152" s="8"/>
      <c r="V152" s="8">
        <f ca="1">AVERAGE(Tabela5[PERMANENCIA (MÊS)])/30</f>
        <v>0</v>
      </c>
    </row>
    <row r="153" spans="1:22" ht="15.75" customHeight="1" x14ac:dyDescent="0.4">
      <c r="A153" s="8" t="str">
        <f>CONCATENATE(Tabela5[[#This Row],[POLO]],Tabela5[[#This Row],[CURSOS]])</f>
        <v>Recife/PE - MadalenaBFR</v>
      </c>
      <c r="B153" s="8" t="e">
        <f>CONCATENATE(Tabela5[[#This Row],[POLO]],Tabela5[[#This Row],[CATEGORIA]],_xlfn.XLOOKUP(Tabela5[[#This Row],[CHAVE LOTAÇÃO CLASSIFICAÇÃO DE CURSOS]],CHAVE!A:A,CHAVE!D:D))</f>
        <v>#N/A</v>
      </c>
      <c r="C153" s="19"/>
      <c r="D153" s="16">
        <f>IFERROR(_xlfn.XLOOKUP(Tabela5[[#This Row],[NOME DO TUTOR]],TUT.CONTROL!C:C,TUT.CONTROL!V:V),_xlfn.XLOOKUP(Tabela5[[#This Row],[NOME DO TUTOR]],'REG.CONTROL'!C:C,'REG.CONTROL'!V:V))</f>
        <v>46121</v>
      </c>
      <c r="E153" s="17" t="s">
        <v>1347</v>
      </c>
      <c r="F153" s="18" t="s">
        <v>1348</v>
      </c>
      <c r="G153" s="8" t="s">
        <v>771</v>
      </c>
      <c r="H153" s="8" t="s">
        <v>772</v>
      </c>
      <c r="I153" s="8" t="s">
        <v>1114</v>
      </c>
      <c r="J153" s="9" t="s">
        <v>1115</v>
      </c>
      <c r="K153" s="10" t="s">
        <v>1349</v>
      </c>
      <c r="L153" s="17">
        <v>45917</v>
      </c>
      <c r="M153" s="19">
        <v>81995575856</v>
      </c>
      <c r="N153" s="11">
        <v>1158000993</v>
      </c>
      <c r="O153" s="11" t="s">
        <v>1116</v>
      </c>
      <c r="P153" s="22" t="s">
        <v>1350</v>
      </c>
      <c r="Q153" s="19" t="s">
        <v>1353</v>
      </c>
      <c r="R153" s="10">
        <v>46121</v>
      </c>
      <c r="S153" s="19"/>
      <c r="T153" s="19"/>
      <c r="U153" s="8"/>
      <c r="V153" s="8">
        <f ca="1">AVERAGE(Tabela5[PERMANENCIA (MÊS)])/30</f>
        <v>0</v>
      </c>
    </row>
    <row r="154" spans="1:22" ht="15.75" customHeight="1" x14ac:dyDescent="0.4">
      <c r="A154" s="8" t="str">
        <f>CONCATENATE(Tabela5[[#This Row],[POLO]],Tabela5[[#This Row],[CURSOS]])</f>
        <v>Pelotas/RS - CentroEMF-ISN</v>
      </c>
      <c r="B154" s="8" t="e">
        <f>CONCATENATE(Tabela5[[#This Row],[POLO]],Tabela5[[#This Row],[CATEGORIA]],_xlfn.XLOOKUP(Tabela5[[#This Row],[CHAVE LOTAÇÃO CLASSIFICAÇÃO DE CURSOS]],CHAVE!A:A,CHAVE!D:D))</f>
        <v>#N/A</v>
      </c>
      <c r="C154" s="19" t="s">
        <v>1359</v>
      </c>
      <c r="D154" s="16">
        <f>IFERROR(_xlfn.XLOOKUP(Tabela5[[#This Row],[NOME DO TUTOR]],TUT.CONTROL!C:C,TUT.CONTROL!V:V),_xlfn.XLOOKUP(Tabela5[[#This Row],[NOME DO TUTOR]],'REG.CONTROL'!C:C,'REG.CONTROL'!V:V))</f>
        <v>46126</v>
      </c>
      <c r="E154" s="17" t="s">
        <v>1347</v>
      </c>
      <c r="F154" s="18" t="s">
        <v>1348</v>
      </c>
      <c r="G154" s="8" t="s">
        <v>21</v>
      </c>
      <c r="H154" s="8" t="s">
        <v>22</v>
      </c>
      <c r="I154" s="8" t="s">
        <v>592</v>
      </c>
      <c r="J154" s="9" t="s">
        <v>593</v>
      </c>
      <c r="K154" s="10" t="s">
        <v>1349</v>
      </c>
      <c r="L154" s="17">
        <v>45735</v>
      </c>
      <c r="M154" s="19">
        <v>53981363243</v>
      </c>
      <c r="N154" s="11">
        <v>1158000574</v>
      </c>
      <c r="O154" s="11" t="s">
        <v>594</v>
      </c>
      <c r="P154" s="22" t="s">
        <v>1350</v>
      </c>
      <c r="Q154" s="19" t="s">
        <v>1353</v>
      </c>
      <c r="R154" s="10">
        <v>46126</v>
      </c>
      <c r="S154" s="19" t="s">
        <v>30</v>
      </c>
      <c r="T154" s="19" t="s">
        <v>109</v>
      </c>
      <c r="U154" s="8">
        <v>368477</v>
      </c>
      <c r="V154" s="8">
        <f ca="1">AVERAGE(Tabela5[PERMANENCIA (MÊS)])/30</f>
        <v>0</v>
      </c>
    </row>
    <row r="155" spans="1:22" ht="15.75" customHeight="1" x14ac:dyDescent="0.4">
      <c r="A155" s="8" t="str">
        <f>CONCATENATE(Tabela5[[#This Row],[POLO]],Tabela5[[#This Row],[CURSOS]])</f>
        <v>Ponta Grossa/PR - CentroEMF-ISN</v>
      </c>
      <c r="B155" s="8" t="e">
        <f>CONCATENATE(Tabela5[[#This Row],[POLO]],Tabela5[[#This Row],[CATEGORIA]],_xlfn.XLOOKUP(Tabela5[[#This Row],[CHAVE LOTAÇÃO CLASSIFICAÇÃO DE CURSOS]],CHAVE!A:A,CHAVE!D:D))</f>
        <v>#N/A</v>
      </c>
      <c r="C155" s="19" t="s">
        <v>1359</v>
      </c>
      <c r="D155" s="16">
        <f>IFERROR(_xlfn.XLOOKUP(Tabela5[[#This Row],[NOME DO TUTOR]],TUT.CONTROL!C:C,TUT.CONTROL!V:V),_xlfn.XLOOKUP(Tabela5[[#This Row],[NOME DO TUTOR]],'REG.CONTROL'!C:C,'REG.CONTROL'!V:V))</f>
        <v>46134</v>
      </c>
      <c r="E155" s="17" t="s">
        <v>1347</v>
      </c>
      <c r="F155" s="18" t="s">
        <v>1348</v>
      </c>
      <c r="G155" s="8" t="s">
        <v>21</v>
      </c>
      <c r="H155" s="8" t="s">
        <v>22</v>
      </c>
      <c r="I155" s="8" t="s">
        <v>611</v>
      </c>
      <c r="J155" s="9" t="s">
        <v>614</v>
      </c>
      <c r="K155" s="10" t="s">
        <v>1349</v>
      </c>
      <c r="L155" s="17">
        <v>46097</v>
      </c>
      <c r="M155" s="19">
        <v>42998192641</v>
      </c>
      <c r="N155" s="11">
        <v>1158001172</v>
      </c>
      <c r="O155" s="11" t="s">
        <v>615</v>
      </c>
      <c r="P155" s="22" t="s">
        <v>1350</v>
      </c>
      <c r="Q155" s="20" t="s">
        <v>1353</v>
      </c>
      <c r="R155" s="10">
        <v>46134</v>
      </c>
      <c r="S155" s="17"/>
      <c r="T155" s="19"/>
      <c r="U155" s="11"/>
      <c r="V155" s="8">
        <f ca="1">AVERAGE(Tabela5[PERMANENCIA (MÊS)])/30</f>
        <v>0</v>
      </c>
    </row>
  </sheetData>
  <phoneticPr fontId="4" type="noConversion"/>
  <conditionalFormatting sqref="D3">
    <cfRule type="duplicateValues" dxfId="16" priority="398"/>
  </conditionalFormatting>
  <conditionalFormatting sqref="D5">
    <cfRule type="duplicateValues" dxfId="15" priority="399"/>
  </conditionalFormatting>
  <conditionalFormatting sqref="I75:I108">
    <cfRule type="duplicateValues" dxfId="14" priority="395"/>
  </conditionalFormatting>
  <conditionalFormatting sqref="J68:J69">
    <cfRule type="duplicateValues" dxfId="13" priority="386"/>
  </conditionalFormatting>
  <conditionalFormatting sqref="J70:J71 J2:J43 J73:J1048576">
    <cfRule type="duplicateValues" dxfId="12" priority="397"/>
  </conditionalFormatting>
  <conditionalFormatting sqref="J75:J108 J2:J73">
    <cfRule type="duplicateValues" dxfId="11" priority="396"/>
  </conditionalFormatting>
  <conditionalFormatting sqref="M44:M67 I2:I43">
    <cfRule type="duplicateValues" dxfId="10" priority="367"/>
  </conditionalFormatting>
  <conditionalFormatting sqref="N60:N69">
    <cfRule type="duplicateValues" dxfId="9" priority="9"/>
  </conditionalFormatting>
  <conditionalFormatting sqref="O2:O43 R2:R43 K2:K155 N44:N59">
    <cfRule type="cellIs" dxfId="8" priority="10" operator="equal">
      <formula>"regentedepolo"</formula>
    </cfRule>
  </conditionalFormatting>
  <conditionalFormatting sqref="O60:O69">
    <cfRule type="cellIs" dxfId="7" priority="7" operator="equal">
      <formula>"regentedepolo"</formula>
    </cfRule>
  </conditionalFormatting>
  <conditionalFormatting sqref="O75:O108 R75:R108">
    <cfRule type="cellIs" dxfId="6" priority="5" operator="equal">
      <formula>"regentedepolo"</formula>
    </cfRule>
  </conditionalFormatting>
  <conditionalFormatting sqref="R60:R69">
    <cfRule type="cellIs" dxfId="5" priority="11" operator="equal">
      <formula>"regentedepolo"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C133-D36A-4D49-B200-189659205AB2}">
  <dimension ref="A1:XES3"/>
  <sheetViews>
    <sheetView showGridLines="0" workbookViewId="0">
      <selection activeCell="C3" sqref="C3"/>
    </sheetView>
  </sheetViews>
  <sheetFormatPr defaultRowHeight="14.4" x14ac:dyDescent="0.3"/>
  <cols>
    <col min="1" max="1" width="29" bestFit="1" customWidth="1"/>
    <col min="2" max="2" width="9.5546875" bestFit="1" customWidth="1"/>
    <col min="3" max="3" width="18.88671875" bestFit="1" customWidth="1"/>
    <col min="4" max="4" width="23.6640625" bestFit="1" customWidth="1"/>
    <col min="5" max="5" width="10.88671875" bestFit="1" customWidth="1"/>
    <col min="6" max="6" width="10.44140625" bestFit="1" customWidth="1"/>
    <col min="7" max="7" width="12" bestFit="1" customWidth="1"/>
    <col min="8" max="8" width="13.109375" bestFit="1" customWidth="1"/>
    <col min="9" max="9" width="20.6640625" bestFit="1" customWidth="1"/>
    <col min="10" max="10" width="15" style="48" customWidth="1"/>
    <col min="11" max="11" width="17.88671875" bestFit="1" customWidth="1"/>
  </cols>
  <sheetData>
    <row r="1" spans="1:16373" ht="15.6" x14ac:dyDescent="0.3">
      <c r="A1" s="29" t="s">
        <v>6</v>
      </c>
      <c r="B1" s="29" t="s">
        <v>7</v>
      </c>
      <c r="C1" s="29" t="s">
        <v>1370</v>
      </c>
      <c r="D1" s="30" t="s">
        <v>9</v>
      </c>
      <c r="E1" s="31" t="s">
        <v>10</v>
      </c>
      <c r="F1" s="31" t="s">
        <v>11</v>
      </c>
      <c r="G1" s="29" t="s">
        <v>12</v>
      </c>
      <c r="H1" s="32" t="s">
        <v>13</v>
      </c>
      <c r="I1" s="30" t="s">
        <v>1371</v>
      </c>
      <c r="J1" s="46" t="s">
        <v>1372</v>
      </c>
      <c r="K1" s="28" t="s">
        <v>1373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28"/>
      <c r="GJ1" s="28"/>
      <c r="GK1" s="28"/>
      <c r="GL1" s="28"/>
      <c r="GM1" s="28"/>
      <c r="GN1" s="28"/>
      <c r="GO1" s="28"/>
      <c r="GP1" s="28"/>
      <c r="GQ1" s="28"/>
      <c r="GR1" s="28"/>
      <c r="GS1" s="28"/>
      <c r="GT1" s="28"/>
      <c r="GU1" s="28"/>
      <c r="GV1" s="28"/>
      <c r="GW1" s="28"/>
      <c r="GX1" s="28"/>
      <c r="GY1" s="28"/>
      <c r="GZ1" s="28"/>
      <c r="HA1" s="28"/>
      <c r="HB1" s="28"/>
      <c r="HC1" s="28"/>
      <c r="HD1" s="28"/>
      <c r="HE1" s="28"/>
      <c r="HF1" s="28"/>
      <c r="HG1" s="28"/>
      <c r="HH1" s="28"/>
      <c r="HI1" s="28"/>
      <c r="HJ1" s="28"/>
      <c r="HK1" s="28"/>
      <c r="HL1" s="28"/>
      <c r="HM1" s="28"/>
      <c r="HN1" s="28"/>
      <c r="HO1" s="28"/>
      <c r="HP1" s="28"/>
      <c r="HQ1" s="28"/>
      <c r="HR1" s="28"/>
      <c r="HS1" s="28"/>
      <c r="HT1" s="28"/>
      <c r="HU1" s="28"/>
      <c r="HV1" s="28"/>
      <c r="HW1" s="28"/>
      <c r="HX1" s="28"/>
      <c r="HY1" s="28"/>
      <c r="HZ1" s="28"/>
      <c r="IA1" s="28"/>
      <c r="IB1" s="28"/>
      <c r="IC1" s="28"/>
      <c r="ID1" s="28"/>
      <c r="IE1" s="28"/>
      <c r="IF1" s="28"/>
      <c r="IG1" s="28"/>
      <c r="IH1" s="28"/>
      <c r="II1" s="28"/>
      <c r="IJ1" s="28"/>
      <c r="IK1" s="28"/>
      <c r="IL1" s="28"/>
      <c r="IM1" s="28"/>
      <c r="IN1" s="28"/>
      <c r="IO1" s="28"/>
      <c r="IP1" s="28"/>
      <c r="IQ1" s="28"/>
      <c r="IR1" s="28"/>
      <c r="IS1" s="28"/>
      <c r="IT1" s="28"/>
      <c r="IU1" s="28"/>
      <c r="IV1" s="28"/>
      <c r="IW1" s="28"/>
      <c r="IX1" s="28"/>
      <c r="IY1" s="28"/>
      <c r="IZ1" s="28"/>
      <c r="JA1" s="28"/>
      <c r="JB1" s="28"/>
      <c r="JC1" s="28"/>
      <c r="JD1" s="28"/>
      <c r="JE1" s="28"/>
      <c r="JF1" s="28"/>
      <c r="JG1" s="28"/>
      <c r="JH1" s="28"/>
      <c r="JI1" s="28"/>
      <c r="JJ1" s="28"/>
      <c r="JK1" s="28"/>
      <c r="JL1" s="28"/>
      <c r="JM1" s="28"/>
      <c r="JN1" s="28"/>
      <c r="JO1" s="28"/>
      <c r="JP1" s="28"/>
      <c r="JQ1" s="28"/>
      <c r="JR1" s="28"/>
      <c r="JS1" s="28"/>
      <c r="JT1" s="28"/>
      <c r="JU1" s="28"/>
      <c r="JV1" s="28"/>
      <c r="JW1" s="28"/>
      <c r="JX1" s="28"/>
      <c r="JY1" s="28"/>
      <c r="JZ1" s="28"/>
      <c r="KA1" s="28"/>
      <c r="KB1" s="28"/>
      <c r="KC1" s="28"/>
      <c r="KD1" s="28"/>
      <c r="KE1" s="28"/>
      <c r="KF1" s="28"/>
      <c r="KG1" s="28"/>
      <c r="KH1" s="28"/>
      <c r="KI1" s="28"/>
      <c r="KJ1" s="28"/>
      <c r="KK1" s="28"/>
      <c r="KL1" s="28"/>
      <c r="KM1" s="28"/>
      <c r="KN1" s="28"/>
      <c r="KO1" s="28"/>
      <c r="KP1" s="28"/>
      <c r="KQ1" s="28"/>
      <c r="KR1" s="28"/>
      <c r="KS1" s="28"/>
      <c r="KT1" s="28"/>
      <c r="KU1" s="28"/>
      <c r="KV1" s="28"/>
      <c r="KW1" s="28"/>
      <c r="KX1" s="28"/>
      <c r="KY1" s="28"/>
      <c r="KZ1" s="28"/>
      <c r="LA1" s="28"/>
      <c r="LB1" s="28"/>
      <c r="LC1" s="28"/>
      <c r="LD1" s="28"/>
      <c r="LE1" s="28"/>
      <c r="LF1" s="28"/>
      <c r="LG1" s="28"/>
      <c r="LH1" s="28"/>
      <c r="LI1" s="28"/>
      <c r="LJ1" s="28"/>
      <c r="LK1" s="28"/>
      <c r="LL1" s="28"/>
      <c r="LM1" s="28"/>
      <c r="LN1" s="28"/>
      <c r="LO1" s="28"/>
      <c r="LP1" s="28"/>
      <c r="LQ1" s="28"/>
      <c r="LR1" s="28"/>
      <c r="LS1" s="28"/>
      <c r="LT1" s="28"/>
      <c r="LU1" s="28"/>
      <c r="LV1" s="28"/>
      <c r="LW1" s="28"/>
      <c r="LX1" s="28"/>
      <c r="LY1" s="28"/>
      <c r="LZ1" s="28"/>
      <c r="MA1" s="28"/>
      <c r="MB1" s="28"/>
      <c r="MC1" s="28"/>
      <c r="MD1" s="28"/>
      <c r="ME1" s="28"/>
      <c r="MF1" s="28"/>
      <c r="MG1" s="28"/>
      <c r="MH1" s="28"/>
      <c r="MI1" s="28"/>
      <c r="MJ1" s="28"/>
      <c r="MK1" s="28"/>
      <c r="ML1" s="28"/>
      <c r="MM1" s="28"/>
      <c r="MN1" s="28"/>
      <c r="MO1" s="28"/>
      <c r="MP1" s="28"/>
      <c r="MQ1" s="28"/>
      <c r="MR1" s="28"/>
      <c r="MS1" s="28"/>
      <c r="MT1" s="28"/>
      <c r="MU1" s="28"/>
      <c r="MV1" s="28"/>
      <c r="MW1" s="28"/>
      <c r="MX1" s="28"/>
      <c r="MY1" s="28"/>
      <c r="MZ1" s="28"/>
      <c r="NA1" s="28"/>
      <c r="NB1" s="28"/>
      <c r="NC1" s="28"/>
      <c r="ND1" s="28"/>
      <c r="NE1" s="28"/>
      <c r="NF1" s="28"/>
      <c r="NG1" s="28"/>
      <c r="NH1" s="28"/>
      <c r="NI1" s="28"/>
      <c r="NJ1" s="28"/>
      <c r="NK1" s="28"/>
      <c r="NL1" s="28"/>
      <c r="NM1" s="28"/>
      <c r="NN1" s="28"/>
      <c r="NO1" s="28"/>
      <c r="NP1" s="28"/>
      <c r="NQ1" s="28"/>
      <c r="NR1" s="28"/>
      <c r="NS1" s="28"/>
      <c r="NT1" s="28"/>
      <c r="NU1" s="28"/>
      <c r="NV1" s="28"/>
      <c r="NW1" s="28"/>
      <c r="NX1" s="28"/>
      <c r="NY1" s="28"/>
      <c r="NZ1" s="28"/>
      <c r="OA1" s="28"/>
      <c r="OB1" s="28"/>
      <c r="OC1" s="28"/>
      <c r="OD1" s="28"/>
      <c r="OE1" s="28"/>
      <c r="OF1" s="28"/>
      <c r="OG1" s="28"/>
      <c r="OH1" s="28"/>
      <c r="OI1" s="28"/>
      <c r="OJ1" s="28"/>
      <c r="OK1" s="28"/>
      <c r="OL1" s="28"/>
      <c r="OM1" s="28"/>
      <c r="ON1" s="28"/>
      <c r="OO1" s="28"/>
      <c r="OP1" s="28"/>
      <c r="OQ1" s="28"/>
      <c r="OR1" s="28"/>
      <c r="OS1" s="28"/>
      <c r="OT1" s="28"/>
      <c r="OU1" s="28"/>
      <c r="OV1" s="28"/>
      <c r="OW1" s="28"/>
      <c r="OX1" s="28"/>
      <c r="OY1" s="28"/>
      <c r="OZ1" s="28"/>
      <c r="PA1" s="28"/>
      <c r="PB1" s="28"/>
      <c r="PC1" s="28"/>
      <c r="PD1" s="28"/>
      <c r="PE1" s="28"/>
      <c r="PF1" s="28"/>
      <c r="PG1" s="28"/>
      <c r="PH1" s="28"/>
      <c r="PI1" s="28"/>
      <c r="PJ1" s="28"/>
      <c r="PK1" s="28"/>
      <c r="PL1" s="28"/>
      <c r="PM1" s="28"/>
      <c r="PN1" s="28"/>
      <c r="PO1" s="28"/>
      <c r="PP1" s="28"/>
      <c r="PQ1" s="28"/>
      <c r="PR1" s="28"/>
      <c r="PS1" s="28"/>
      <c r="PT1" s="28"/>
      <c r="PU1" s="28"/>
      <c r="PV1" s="28"/>
      <c r="PW1" s="28"/>
      <c r="PX1" s="28"/>
      <c r="PY1" s="28"/>
      <c r="PZ1" s="28"/>
      <c r="QA1" s="28"/>
      <c r="QB1" s="28"/>
      <c r="QC1" s="28"/>
      <c r="QD1" s="28"/>
      <c r="QE1" s="28"/>
      <c r="QF1" s="28"/>
      <c r="QG1" s="28"/>
      <c r="QH1" s="28"/>
      <c r="QI1" s="28"/>
      <c r="QJ1" s="28"/>
      <c r="QK1" s="28"/>
      <c r="QL1" s="28"/>
      <c r="QM1" s="28"/>
      <c r="QN1" s="28"/>
      <c r="QO1" s="28"/>
      <c r="QP1" s="28"/>
      <c r="QQ1" s="28"/>
      <c r="QR1" s="28"/>
      <c r="QS1" s="28"/>
      <c r="QT1" s="28"/>
      <c r="QU1" s="28"/>
      <c r="QV1" s="28"/>
      <c r="QW1" s="28"/>
      <c r="QX1" s="28"/>
      <c r="QY1" s="28"/>
      <c r="QZ1" s="28"/>
      <c r="RA1" s="28"/>
      <c r="RB1" s="28"/>
      <c r="RC1" s="28"/>
      <c r="RD1" s="28"/>
      <c r="RE1" s="28"/>
      <c r="RF1" s="28"/>
      <c r="RG1" s="28"/>
      <c r="RH1" s="28"/>
      <c r="RI1" s="28"/>
      <c r="RJ1" s="28"/>
      <c r="RK1" s="28"/>
      <c r="RL1" s="28"/>
      <c r="RM1" s="28"/>
      <c r="RN1" s="28"/>
      <c r="RO1" s="28"/>
      <c r="RP1" s="28"/>
      <c r="RQ1" s="28"/>
      <c r="RR1" s="28"/>
      <c r="RS1" s="28"/>
      <c r="RT1" s="28"/>
      <c r="RU1" s="28"/>
      <c r="RV1" s="28"/>
      <c r="RW1" s="28"/>
      <c r="RX1" s="28"/>
      <c r="RY1" s="28"/>
      <c r="RZ1" s="28"/>
      <c r="SA1" s="28"/>
      <c r="SB1" s="28"/>
      <c r="SC1" s="28"/>
      <c r="SD1" s="28"/>
      <c r="SE1" s="28"/>
      <c r="SF1" s="28"/>
      <c r="SG1" s="28"/>
      <c r="SH1" s="28"/>
      <c r="SI1" s="28"/>
      <c r="SJ1" s="28"/>
      <c r="SK1" s="28"/>
      <c r="SL1" s="28"/>
      <c r="SM1" s="28"/>
      <c r="SN1" s="28"/>
      <c r="SO1" s="28"/>
      <c r="SP1" s="28"/>
      <c r="SQ1" s="28"/>
      <c r="SR1" s="28"/>
      <c r="SS1" s="28"/>
      <c r="ST1" s="28"/>
      <c r="SU1" s="28"/>
      <c r="SV1" s="28"/>
      <c r="SW1" s="28"/>
      <c r="SX1" s="28"/>
      <c r="SY1" s="28"/>
      <c r="SZ1" s="28"/>
      <c r="TA1" s="28"/>
      <c r="TB1" s="28"/>
      <c r="TC1" s="28"/>
      <c r="TD1" s="28"/>
      <c r="TE1" s="28"/>
      <c r="TF1" s="28"/>
      <c r="TG1" s="28"/>
      <c r="TH1" s="28"/>
      <c r="TI1" s="28"/>
      <c r="TJ1" s="28"/>
      <c r="TK1" s="28"/>
      <c r="TL1" s="28"/>
      <c r="TM1" s="28"/>
      <c r="TN1" s="28"/>
      <c r="TO1" s="28"/>
      <c r="TP1" s="28"/>
      <c r="TQ1" s="28"/>
      <c r="TR1" s="28"/>
      <c r="TS1" s="28"/>
      <c r="TT1" s="28"/>
      <c r="TU1" s="28"/>
      <c r="TV1" s="28"/>
      <c r="TW1" s="28"/>
      <c r="TX1" s="28"/>
      <c r="TY1" s="28"/>
      <c r="TZ1" s="28"/>
      <c r="UA1" s="28"/>
      <c r="UB1" s="28"/>
      <c r="UC1" s="28"/>
      <c r="UD1" s="28"/>
      <c r="UE1" s="28"/>
      <c r="UF1" s="28"/>
      <c r="UG1" s="28"/>
      <c r="UH1" s="28"/>
      <c r="UI1" s="28"/>
      <c r="UJ1" s="28"/>
      <c r="UK1" s="28"/>
      <c r="UL1" s="28"/>
      <c r="UM1" s="28"/>
      <c r="UN1" s="28"/>
      <c r="UO1" s="28"/>
      <c r="UP1" s="28"/>
      <c r="UQ1" s="28"/>
      <c r="UR1" s="28"/>
      <c r="US1" s="28"/>
      <c r="UT1" s="28"/>
      <c r="UU1" s="28"/>
      <c r="UV1" s="28"/>
      <c r="UW1" s="28"/>
      <c r="UX1" s="28"/>
      <c r="UY1" s="28"/>
      <c r="UZ1" s="28"/>
      <c r="VA1" s="28"/>
      <c r="VB1" s="28"/>
      <c r="VC1" s="28"/>
      <c r="VD1" s="28"/>
      <c r="VE1" s="28"/>
      <c r="VF1" s="28"/>
      <c r="VG1" s="28"/>
      <c r="VH1" s="28"/>
      <c r="VI1" s="28"/>
      <c r="VJ1" s="28"/>
      <c r="VK1" s="28"/>
      <c r="VL1" s="28"/>
      <c r="VM1" s="28"/>
      <c r="VN1" s="28"/>
      <c r="VO1" s="28"/>
      <c r="VP1" s="28"/>
      <c r="VQ1" s="28"/>
      <c r="VR1" s="28"/>
      <c r="VS1" s="28"/>
      <c r="VT1" s="28"/>
      <c r="VU1" s="28"/>
      <c r="VV1" s="28"/>
      <c r="VW1" s="28"/>
      <c r="VX1" s="28"/>
      <c r="VY1" s="28"/>
      <c r="VZ1" s="28"/>
      <c r="WA1" s="28"/>
      <c r="WB1" s="28"/>
      <c r="WC1" s="28"/>
      <c r="WD1" s="28"/>
      <c r="WE1" s="28"/>
      <c r="WF1" s="28"/>
      <c r="WG1" s="28"/>
      <c r="WH1" s="28"/>
      <c r="WI1" s="28"/>
      <c r="WJ1" s="28"/>
      <c r="WK1" s="28"/>
      <c r="WL1" s="28"/>
      <c r="WM1" s="28"/>
      <c r="WN1" s="28"/>
      <c r="WO1" s="28"/>
      <c r="WP1" s="28"/>
      <c r="WQ1" s="28"/>
      <c r="WR1" s="28"/>
      <c r="WS1" s="28"/>
      <c r="WT1" s="28"/>
      <c r="WU1" s="28"/>
      <c r="WV1" s="28"/>
      <c r="WW1" s="28"/>
      <c r="WX1" s="28"/>
      <c r="WY1" s="28"/>
      <c r="WZ1" s="28"/>
      <c r="XA1" s="28"/>
      <c r="XB1" s="28"/>
      <c r="XC1" s="28"/>
      <c r="XD1" s="28"/>
      <c r="XE1" s="28"/>
      <c r="XF1" s="28"/>
      <c r="XG1" s="28"/>
      <c r="XH1" s="28"/>
      <c r="XI1" s="28"/>
      <c r="XJ1" s="28"/>
      <c r="XK1" s="28"/>
      <c r="XL1" s="28"/>
      <c r="XM1" s="28"/>
      <c r="XN1" s="28"/>
      <c r="XO1" s="28"/>
      <c r="XP1" s="28"/>
      <c r="XQ1" s="28"/>
      <c r="XR1" s="28"/>
      <c r="XS1" s="28"/>
      <c r="XT1" s="28"/>
      <c r="XU1" s="28"/>
      <c r="XV1" s="28"/>
      <c r="XW1" s="28"/>
      <c r="XX1" s="28"/>
      <c r="XY1" s="28"/>
      <c r="XZ1" s="28"/>
      <c r="YA1" s="28"/>
      <c r="YB1" s="28"/>
      <c r="YC1" s="28"/>
      <c r="YD1" s="28"/>
      <c r="YE1" s="28"/>
      <c r="YF1" s="28"/>
      <c r="YG1" s="28"/>
      <c r="YH1" s="28"/>
      <c r="YI1" s="28"/>
      <c r="YJ1" s="28"/>
      <c r="YK1" s="28"/>
      <c r="YL1" s="28"/>
      <c r="YM1" s="28"/>
      <c r="YN1" s="28"/>
      <c r="YO1" s="28"/>
      <c r="YP1" s="28"/>
      <c r="YQ1" s="28"/>
      <c r="YR1" s="28"/>
      <c r="YS1" s="28"/>
      <c r="YT1" s="28"/>
      <c r="YU1" s="28"/>
      <c r="YV1" s="28"/>
      <c r="YW1" s="28"/>
      <c r="YX1" s="28"/>
      <c r="YY1" s="28"/>
      <c r="YZ1" s="28"/>
      <c r="ZA1" s="28"/>
      <c r="ZB1" s="28"/>
      <c r="ZC1" s="28"/>
      <c r="ZD1" s="28"/>
      <c r="ZE1" s="28"/>
      <c r="ZF1" s="28"/>
      <c r="ZG1" s="28"/>
      <c r="ZH1" s="28"/>
      <c r="ZI1" s="28"/>
      <c r="ZJ1" s="28"/>
      <c r="ZK1" s="28"/>
      <c r="ZL1" s="28"/>
      <c r="ZM1" s="28"/>
      <c r="ZN1" s="28"/>
      <c r="ZO1" s="28"/>
      <c r="ZP1" s="28"/>
      <c r="ZQ1" s="28"/>
      <c r="ZR1" s="28"/>
      <c r="ZS1" s="28"/>
      <c r="ZT1" s="28"/>
      <c r="ZU1" s="28"/>
      <c r="ZV1" s="28"/>
      <c r="ZW1" s="28"/>
      <c r="ZX1" s="28"/>
      <c r="ZY1" s="28"/>
      <c r="ZZ1" s="28"/>
      <c r="AAA1" s="28"/>
      <c r="AAB1" s="28"/>
      <c r="AAC1" s="28"/>
      <c r="AAD1" s="28"/>
      <c r="AAE1" s="28"/>
      <c r="AAF1" s="28"/>
      <c r="AAG1" s="28"/>
      <c r="AAH1" s="28"/>
      <c r="AAI1" s="28"/>
      <c r="AAJ1" s="28"/>
      <c r="AAK1" s="28"/>
      <c r="AAL1" s="28"/>
      <c r="AAM1" s="28"/>
      <c r="AAN1" s="28"/>
      <c r="AAO1" s="28"/>
      <c r="AAP1" s="28"/>
      <c r="AAQ1" s="28"/>
      <c r="AAR1" s="28"/>
      <c r="AAS1" s="28"/>
      <c r="AAT1" s="28"/>
      <c r="AAU1" s="28"/>
      <c r="AAV1" s="28"/>
      <c r="AAW1" s="28"/>
      <c r="AAX1" s="28"/>
      <c r="AAY1" s="28"/>
      <c r="AAZ1" s="28"/>
      <c r="ABA1" s="28"/>
      <c r="ABB1" s="28"/>
      <c r="ABC1" s="28"/>
      <c r="ABD1" s="28"/>
      <c r="ABE1" s="28"/>
      <c r="ABF1" s="28"/>
      <c r="ABG1" s="28"/>
      <c r="ABH1" s="28"/>
      <c r="ABI1" s="28"/>
      <c r="ABJ1" s="28"/>
      <c r="ABK1" s="28"/>
      <c r="ABL1" s="28"/>
      <c r="ABM1" s="28"/>
      <c r="ABN1" s="28"/>
      <c r="ABO1" s="28"/>
      <c r="ABP1" s="28"/>
      <c r="ABQ1" s="28"/>
      <c r="ABR1" s="28"/>
      <c r="ABS1" s="28"/>
      <c r="ABT1" s="28"/>
      <c r="ABU1" s="28"/>
      <c r="ABV1" s="28"/>
      <c r="ABW1" s="28"/>
      <c r="ABX1" s="28"/>
      <c r="ABY1" s="28"/>
      <c r="ABZ1" s="28"/>
      <c r="ACA1" s="28"/>
      <c r="ACB1" s="28"/>
      <c r="ACC1" s="28"/>
      <c r="ACD1" s="28"/>
      <c r="ACE1" s="28"/>
      <c r="ACF1" s="28"/>
      <c r="ACG1" s="28"/>
      <c r="ACH1" s="28"/>
      <c r="ACI1" s="28"/>
      <c r="ACJ1" s="28"/>
      <c r="ACK1" s="28"/>
      <c r="ACL1" s="28"/>
      <c r="ACM1" s="28"/>
      <c r="ACN1" s="28"/>
      <c r="ACO1" s="28"/>
      <c r="ACP1" s="28"/>
      <c r="ACQ1" s="28"/>
      <c r="ACR1" s="28"/>
      <c r="ACS1" s="28"/>
      <c r="ACT1" s="28"/>
      <c r="ACU1" s="28"/>
      <c r="ACV1" s="28"/>
      <c r="ACW1" s="28"/>
      <c r="ACX1" s="28"/>
      <c r="ACY1" s="28"/>
      <c r="ACZ1" s="28"/>
      <c r="ADA1" s="28"/>
      <c r="ADB1" s="28"/>
      <c r="ADC1" s="28"/>
      <c r="ADD1" s="28"/>
      <c r="ADE1" s="28"/>
      <c r="ADF1" s="28"/>
      <c r="ADG1" s="28"/>
      <c r="ADH1" s="28"/>
      <c r="ADI1" s="28"/>
      <c r="ADJ1" s="28"/>
      <c r="ADK1" s="28"/>
      <c r="ADL1" s="28"/>
      <c r="ADM1" s="28"/>
      <c r="ADN1" s="28"/>
      <c r="ADO1" s="28"/>
      <c r="ADP1" s="28"/>
      <c r="ADQ1" s="28"/>
      <c r="ADR1" s="28"/>
      <c r="ADS1" s="28"/>
      <c r="ADT1" s="28"/>
      <c r="ADU1" s="28"/>
      <c r="ADV1" s="28"/>
      <c r="ADW1" s="28"/>
      <c r="ADX1" s="28"/>
      <c r="ADY1" s="28"/>
      <c r="ADZ1" s="28"/>
      <c r="AEA1" s="28"/>
      <c r="AEB1" s="28"/>
      <c r="AEC1" s="28"/>
      <c r="AED1" s="28"/>
      <c r="AEE1" s="28"/>
      <c r="AEF1" s="28"/>
      <c r="AEG1" s="28"/>
      <c r="AEH1" s="28"/>
      <c r="AEI1" s="28"/>
      <c r="AEJ1" s="28"/>
      <c r="AEK1" s="28"/>
      <c r="AEL1" s="28"/>
      <c r="AEM1" s="28"/>
      <c r="AEN1" s="28"/>
      <c r="AEO1" s="28"/>
      <c r="AEP1" s="28"/>
      <c r="AEQ1" s="28"/>
      <c r="AER1" s="28"/>
      <c r="AES1" s="28"/>
      <c r="AET1" s="28"/>
      <c r="AEU1" s="28"/>
      <c r="AEV1" s="28"/>
      <c r="AEW1" s="28"/>
      <c r="AEX1" s="28"/>
      <c r="AEY1" s="28"/>
      <c r="AEZ1" s="28"/>
      <c r="AFA1" s="28"/>
      <c r="AFB1" s="28"/>
      <c r="AFC1" s="28"/>
      <c r="AFD1" s="28"/>
      <c r="AFE1" s="28"/>
      <c r="AFF1" s="28"/>
      <c r="AFG1" s="28"/>
      <c r="AFH1" s="28"/>
      <c r="AFI1" s="28"/>
      <c r="AFJ1" s="28"/>
      <c r="AFK1" s="28"/>
      <c r="AFL1" s="28"/>
      <c r="AFM1" s="28"/>
      <c r="AFN1" s="28"/>
      <c r="AFO1" s="28"/>
      <c r="AFP1" s="28"/>
      <c r="AFQ1" s="28"/>
      <c r="AFR1" s="28"/>
      <c r="AFS1" s="28"/>
      <c r="AFT1" s="28"/>
      <c r="AFU1" s="28"/>
      <c r="AFV1" s="28"/>
      <c r="AFW1" s="28"/>
      <c r="AFX1" s="28"/>
      <c r="AFY1" s="28"/>
      <c r="AFZ1" s="28"/>
      <c r="AGA1" s="28"/>
      <c r="AGB1" s="28"/>
      <c r="AGC1" s="28"/>
      <c r="AGD1" s="28"/>
      <c r="AGE1" s="28"/>
      <c r="AGF1" s="28"/>
      <c r="AGG1" s="28"/>
      <c r="AGH1" s="28"/>
      <c r="AGI1" s="28"/>
      <c r="AGJ1" s="28"/>
      <c r="AGK1" s="28"/>
      <c r="AGL1" s="28"/>
      <c r="AGM1" s="28"/>
      <c r="AGN1" s="28"/>
      <c r="AGO1" s="28"/>
      <c r="AGP1" s="28"/>
      <c r="AGQ1" s="28"/>
      <c r="AGR1" s="28"/>
      <c r="AGS1" s="28"/>
      <c r="AGT1" s="28"/>
      <c r="AGU1" s="28"/>
      <c r="AGV1" s="28"/>
      <c r="AGW1" s="28"/>
      <c r="AGX1" s="28"/>
      <c r="AGY1" s="28"/>
      <c r="AGZ1" s="28"/>
      <c r="AHA1" s="28"/>
      <c r="AHB1" s="28"/>
      <c r="AHC1" s="28"/>
      <c r="AHD1" s="28"/>
      <c r="AHE1" s="28"/>
      <c r="AHF1" s="28"/>
      <c r="AHG1" s="28"/>
      <c r="AHH1" s="28"/>
      <c r="AHI1" s="28"/>
      <c r="AHJ1" s="28"/>
      <c r="AHK1" s="28"/>
      <c r="AHL1" s="28"/>
      <c r="AHM1" s="28"/>
      <c r="AHN1" s="28"/>
      <c r="AHO1" s="28"/>
      <c r="AHP1" s="28"/>
      <c r="AHQ1" s="28"/>
      <c r="AHR1" s="28"/>
      <c r="AHS1" s="28"/>
      <c r="AHT1" s="28"/>
      <c r="AHU1" s="28"/>
      <c r="AHV1" s="28"/>
      <c r="AHW1" s="28"/>
      <c r="AHX1" s="28"/>
      <c r="AHY1" s="28"/>
      <c r="AHZ1" s="28"/>
      <c r="AIA1" s="28"/>
      <c r="AIB1" s="28"/>
      <c r="AIC1" s="28"/>
      <c r="AID1" s="28"/>
      <c r="AIE1" s="28"/>
      <c r="AIF1" s="28"/>
      <c r="AIG1" s="28"/>
      <c r="AIH1" s="28"/>
      <c r="AII1" s="28"/>
      <c r="AIJ1" s="28"/>
      <c r="AIK1" s="28"/>
      <c r="AIL1" s="28"/>
      <c r="AIM1" s="28"/>
      <c r="AIN1" s="28"/>
      <c r="AIO1" s="28"/>
      <c r="AIP1" s="28"/>
      <c r="AIQ1" s="28"/>
      <c r="AIR1" s="28"/>
      <c r="AIS1" s="28"/>
      <c r="AIT1" s="28"/>
      <c r="AIU1" s="28"/>
      <c r="AIV1" s="28"/>
      <c r="AIW1" s="28"/>
      <c r="AIX1" s="28"/>
      <c r="AIY1" s="28"/>
      <c r="AIZ1" s="28"/>
      <c r="AJA1" s="28"/>
      <c r="AJB1" s="28"/>
      <c r="AJC1" s="28"/>
      <c r="AJD1" s="28"/>
      <c r="AJE1" s="28"/>
      <c r="AJF1" s="28"/>
      <c r="AJG1" s="28"/>
      <c r="AJH1" s="28"/>
      <c r="AJI1" s="28"/>
      <c r="AJJ1" s="28"/>
      <c r="AJK1" s="28"/>
      <c r="AJL1" s="28"/>
      <c r="AJM1" s="28"/>
      <c r="AJN1" s="28"/>
      <c r="AJO1" s="28"/>
      <c r="AJP1" s="28"/>
      <c r="AJQ1" s="28"/>
      <c r="AJR1" s="28"/>
      <c r="AJS1" s="28"/>
      <c r="AJT1" s="28"/>
      <c r="AJU1" s="28"/>
      <c r="AJV1" s="28"/>
      <c r="AJW1" s="28"/>
      <c r="AJX1" s="28"/>
      <c r="AJY1" s="28"/>
      <c r="AJZ1" s="28"/>
      <c r="AKA1" s="28"/>
      <c r="AKB1" s="28"/>
      <c r="AKC1" s="28"/>
      <c r="AKD1" s="28"/>
      <c r="AKE1" s="28"/>
      <c r="AKF1" s="28"/>
      <c r="AKG1" s="28"/>
      <c r="AKH1" s="28"/>
      <c r="AKI1" s="28"/>
      <c r="AKJ1" s="28"/>
      <c r="AKK1" s="28"/>
      <c r="AKL1" s="28"/>
      <c r="AKM1" s="28"/>
      <c r="AKN1" s="28"/>
      <c r="AKO1" s="28"/>
      <c r="AKP1" s="28"/>
      <c r="AKQ1" s="28"/>
      <c r="AKR1" s="28"/>
      <c r="AKS1" s="28"/>
      <c r="AKT1" s="28"/>
      <c r="AKU1" s="28"/>
      <c r="AKV1" s="28"/>
      <c r="AKW1" s="28"/>
      <c r="AKX1" s="28"/>
      <c r="AKY1" s="28"/>
      <c r="AKZ1" s="28"/>
      <c r="ALA1" s="28"/>
      <c r="ALB1" s="28"/>
      <c r="ALC1" s="28"/>
      <c r="ALD1" s="28"/>
      <c r="ALE1" s="28"/>
      <c r="ALF1" s="28"/>
      <c r="ALG1" s="28"/>
      <c r="ALH1" s="28"/>
      <c r="ALI1" s="28"/>
      <c r="ALJ1" s="28"/>
      <c r="ALK1" s="28"/>
      <c r="ALL1" s="28"/>
      <c r="ALM1" s="28"/>
      <c r="ALN1" s="28"/>
      <c r="ALO1" s="28"/>
      <c r="ALP1" s="28"/>
      <c r="ALQ1" s="28"/>
      <c r="ALR1" s="28"/>
      <c r="ALS1" s="28"/>
      <c r="ALT1" s="28"/>
      <c r="ALU1" s="28"/>
      <c r="ALV1" s="28"/>
      <c r="ALW1" s="28"/>
      <c r="ALX1" s="28"/>
      <c r="ALY1" s="28"/>
      <c r="ALZ1" s="28"/>
      <c r="AMA1" s="28"/>
      <c r="AMB1" s="28"/>
      <c r="AMC1" s="28"/>
      <c r="AMD1" s="28"/>
      <c r="AME1" s="28"/>
      <c r="AMF1" s="28"/>
      <c r="AMG1" s="28"/>
      <c r="AMH1" s="28"/>
      <c r="AMI1" s="28"/>
      <c r="AMJ1" s="28"/>
      <c r="AMK1" s="28"/>
      <c r="AML1" s="28"/>
      <c r="AMM1" s="28"/>
      <c r="AMN1" s="28"/>
      <c r="AMO1" s="28"/>
      <c r="AMP1" s="28"/>
      <c r="AMQ1" s="28"/>
      <c r="AMR1" s="28"/>
      <c r="AMS1" s="28"/>
      <c r="AMT1" s="28"/>
      <c r="AMU1" s="28"/>
      <c r="AMV1" s="28"/>
      <c r="AMW1" s="28"/>
      <c r="AMX1" s="28"/>
      <c r="AMY1" s="28"/>
      <c r="AMZ1" s="28"/>
      <c r="ANA1" s="28"/>
      <c r="ANB1" s="28"/>
      <c r="ANC1" s="28"/>
      <c r="AND1" s="28"/>
      <c r="ANE1" s="28"/>
      <c r="ANF1" s="28"/>
      <c r="ANG1" s="28"/>
      <c r="ANH1" s="28"/>
      <c r="ANI1" s="28"/>
      <c r="ANJ1" s="28"/>
      <c r="ANK1" s="28"/>
      <c r="ANL1" s="28"/>
      <c r="ANM1" s="28"/>
      <c r="ANN1" s="28"/>
      <c r="ANO1" s="28"/>
      <c r="ANP1" s="28"/>
      <c r="ANQ1" s="28"/>
      <c r="ANR1" s="28"/>
      <c r="ANS1" s="28"/>
      <c r="ANT1" s="28"/>
      <c r="ANU1" s="28"/>
      <c r="ANV1" s="28"/>
      <c r="ANW1" s="28"/>
      <c r="ANX1" s="28"/>
      <c r="ANY1" s="28"/>
      <c r="ANZ1" s="28"/>
      <c r="AOA1" s="28"/>
      <c r="AOB1" s="28"/>
      <c r="AOC1" s="28"/>
      <c r="AOD1" s="28"/>
      <c r="AOE1" s="28"/>
      <c r="AOF1" s="28"/>
      <c r="AOG1" s="28"/>
      <c r="AOH1" s="28"/>
      <c r="AOI1" s="28"/>
      <c r="AOJ1" s="28"/>
      <c r="AOK1" s="28"/>
      <c r="AOL1" s="28"/>
      <c r="AOM1" s="28"/>
      <c r="AON1" s="28"/>
      <c r="AOO1" s="28"/>
      <c r="AOP1" s="28"/>
      <c r="AOQ1" s="28"/>
      <c r="AOR1" s="28"/>
      <c r="AOS1" s="28"/>
      <c r="AOT1" s="28"/>
      <c r="AOU1" s="28"/>
      <c r="AOV1" s="28"/>
      <c r="AOW1" s="28"/>
      <c r="AOX1" s="28"/>
      <c r="AOY1" s="28"/>
      <c r="AOZ1" s="28"/>
      <c r="APA1" s="28"/>
      <c r="APB1" s="28"/>
      <c r="APC1" s="28"/>
      <c r="APD1" s="28"/>
      <c r="APE1" s="28"/>
      <c r="APF1" s="28"/>
      <c r="APG1" s="28"/>
      <c r="APH1" s="28"/>
      <c r="API1" s="28"/>
      <c r="APJ1" s="28"/>
      <c r="APK1" s="28"/>
      <c r="APL1" s="28"/>
      <c r="APM1" s="28"/>
      <c r="APN1" s="28"/>
      <c r="APO1" s="28"/>
      <c r="APP1" s="28"/>
      <c r="APQ1" s="28"/>
      <c r="APR1" s="28"/>
      <c r="APS1" s="28"/>
      <c r="APT1" s="28"/>
      <c r="APU1" s="28"/>
      <c r="APV1" s="28"/>
      <c r="APW1" s="28"/>
      <c r="APX1" s="28"/>
      <c r="APY1" s="28"/>
      <c r="APZ1" s="28"/>
      <c r="AQA1" s="28"/>
      <c r="AQB1" s="28"/>
      <c r="AQC1" s="28"/>
      <c r="AQD1" s="28"/>
      <c r="AQE1" s="28"/>
      <c r="AQF1" s="28"/>
      <c r="AQG1" s="28"/>
      <c r="AQH1" s="28"/>
      <c r="AQI1" s="28"/>
      <c r="AQJ1" s="28"/>
      <c r="AQK1" s="28"/>
      <c r="AQL1" s="28"/>
      <c r="AQM1" s="28"/>
      <c r="AQN1" s="28"/>
      <c r="AQO1" s="28"/>
      <c r="AQP1" s="28"/>
      <c r="AQQ1" s="28"/>
      <c r="AQR1" s="28"/>
      <c r="AQS1" s="28"/>
      <c r="AQT1" s="28"/>
      <c r="AQU1" s="28"/>
      <c r="AQV1" s="28"/>
      <c r="AQW1" s="28"/>
      <c r="AQX1" s="28"/>
      <c r="AQY1" s="28"/>
      <c r="AQZ1" s="28"/>
      <c r="ARA1" s="28"/>
      <c r="ARB1" s="28"/>
      <c r="ARC1" s="28"/>
      <c r="ARD1" s="28"/>
      <c r="ARE1" s="28"/>
      <c r="ARF1" s="28"/>
      <c r="ARG1" s="28"/>
      <c r="ARH1" s="28"/>
      <c r="ARI1" s="28"/>
      <c r="ARJ1" s="28"/>
      <c r="ARK1" s="28"/>
      <c r="ARL1" s="28"/>
      <c r="ARM1" s="28"/>
      <c r="ARN1" s="28"/>
      <c r="ARO1" s="28"/>
      <c r="ARP1" s="28"/>
      <c r="ARQ1" s="28"/>
      <c r="ARR1" s="28"/>
      <c r="ARS1" s="28"/>
      <c r="ART1" s="28"/>
      <c r="ARU1" s="28"/>
      <c r="ARV1" s="28"/>
      <c r="ARW1" s="28"/>
      <c r="ARX1" s="28"/>
      <c r="ARY1" s="28"/>
      <c r="ARZ1" s="28"/>
      <c r="ASA1" s="28"/>
      <c r="ASB1" s="28"/>
      <c r="ASC1" s="28"/>
      <c r="ASD1" s="28"/>
      <c r="ASE1" s="28"/>
      <c r="ASF1" s="28"/>
      <c r="ASG1" s="28"/>
      <c r="ASH1" s="28"/>
      <c r="ASI1" s="28"/>
      <c r="ASJ1" s="28"/>
      <c r="ASK1" s="28"/>
      <c r="ASL1" s="28"/>
      <c r="ASM1" s="28"/>
      <c r="ASN1" s="28"/>
      <c r="ASO1" s="28"/>
      <c r="ASP1" s="28"/>
      <c r="ASQ1" s="28"/>
      <c r="ASR1" s="28"/>
      <c r="ASS1" s="28"/>
      <c r="AST1" s="28"/>
      <c r="ASU1" s="28"/>
      <c r="ASV1" s="28"/>
      <c r="ASW1" s="28"/>
      <c r="ASX1" s="28"/>
      <c r="ASY1" s="28"/>
      <c r="ASZ1" s="28"/>
      <c r="ATA1" s="28"/>
      <c r="ATB1" s="28"/>
      <c r="ATC1" s="28"/>
      <c r="ATD1" s="28"/>
      <c r="ATE1" s="28"/>
      <c r="ATF1" s="28"/>
      <c r="ATG1" s="28"/>
      <c r="ATH1" s="28"/>
      <c r="ATI1" s="28"/>
      <c r="ATJ1" s="28"/>
      <c r="ATK1" s="28"/>
      <c r="ATL1" s="28"/>
      <c r="ATM1" s="28"/>
      <c r="ATN1" s="28"/>
      <c r="ATO1" s="28"/>
      <c r="ATP1" s="28"/>
      <c r="ATQ1" s="28"/>
      <c r="ATR1" s="28"/>
      <c r="ATS1" s="28"/>
      <c r="ATT1" s="28"/>
      <c r="ATU1" s="28"/>
      <c r="ATV1" s="28"/>
      <c r="ATW1" s="28"/>
      <c r="ATX1" s="28"/>
      <c r="ATY1" s="28"/>
      <c r="ATZ1" s="28"/>
      <c r="AUA1" s="28"/>
      <c r="AUB1" s="28"/>
      <c r="AUC1" s="28"/>
      <c r="AUD1" s="28"/>
      <c r="AUE1" s="28"/>
      <c r="AUF1" s="28"/>
      <c r="AUG1" s="28"/>
      <c r="AUH1" s="28"/>
      <c r="AUI1" s="28"/>
      <c r="AUJ1" s="28"/>
      <c r="AUK1" s="28"/>
      <c r="AUL1" s="28"/>
      <c r="AUM1" s="28"/>
      <c r="AUN1" s="28"/>
      <c r="AUO1" s="28"/>
      <c r="AUP1" s="28"/>
      <c r="AUQ1" s="28"/>
      <c r="AUR1" s="28"/>
      <c r="AUS1" s="28"/>
      <c r="AUT1" s="28"/>
      <c r="AUU1" s="28"/>
      <c r="AUV1" s="28"/>
      <c r="AUW1" s="28"/>
      <c r="AUX1" s="28"/>
      <c r="AUY1" s="28"/>
      <c r="AUZ1" s="28"/>
      <c r="AVA1" s="28"/>
      <c r="AVB1" s="28"/>
      <c r="AVC1" s="28"/>
      <c r="AVD1" s="28"/>
      <c r="AVE1" s="28"/>
      <c r="AVF1" s="28"/>
      <c r="AVG1" s="28"/>
      <c r="AVH1" s="28"/>
      <c r="AVI1" s="28"/>
      <c r="AVJ1" s="28"/>
      <c r="AVK1" s="28"/>
      <c r="AVL1" s="28"/>
      <c r="AVM1" s="28"/>
      <c r="AVN1" s="28"/>
      <c r="AVO1" s="28"/>
      <c r="AVP1" s="28"/>
      <c r="AVQ1" s="28"/>
      <c r="AVR1" s="28"/>
      <c r="AVS1" s="28"/>
      <c r="AVT1" s="28"/>
      <c r="AVU1" s="28"/>
      <c r="AVV1" s="28"/>
      <c r="AVW1" s="28"/>
      <c r="AVX1" s="28"/>
      <c r="AVY1" s="28"/>
      <c r="AVZ1" s="28"/>
      <c r="AWA1" s="28"/>
      <c r="AWB1" s="28"/>
      <c r="AWC1" s="28"/>
      <c r="AWD1" s="28"/>
      <c r="AWE1" s="28"/>
      <c r="AWF1" s="28"/>
      <c r="AWG1" s="28"/>
      <c r="AWH1" s="28"/>
      <c r="AWI1" s="28"/>
      <c r="AWJ1" s="28"/>
      <c r="AWK1" s="28"/>
      <c r="AWL1" s="28"/>
      <c r="AWM1" s="28"/>
      <c r="AWN1" s="28"/>
      <c r="AWO1" s="28"/>
      <c r="AWP1" s="28"/>
      <c r="AWQ1" s="28"/>
      <c r="AWR1" s="28"/>
      <c r="AWS1" s="28"/>
      <c r="AWT1" s="28"/>
      <c r="AWU1" s="28"/>
      <c r="AWV1" s="28"/>
      <c r="AWW1" s="28"/>
      <c r="AWX1" s="28"/>
      <c r="AWY1" s="28"/>
      <c r="AWZ1" s="28"/>
      <c r="AXA1" s="28"/>
      <c r="AXB1" s="28"/>
      <c r="AXC1" s="28"/>
      <c r="AXD1" s="28"/>
      <c r="AXE1" s="28"/>
      <c r="AXF1" s="28"/>
      <c r="AXG1" s="28"/>
      <c r="AXH1" s="28"/>
      <c r="AXI1" s="28"/>
      <c r="AXJ1" s="28"/>
      <c r="AXK1" s="28"/>
      <c r="AXL1" s="28"/>
      <c r="AXM1" s="28"/>
      <c r="AXN1" s="28"/>
      <c r="AXO1" s="28"/>
      <c r="AXP1" s="28"/>
      <c r="AXQ1" s="28"/>
      <c r="AXR1" s="28"/>
      <c r="AXS1" s="28"/>
      <c r="AXT1" s="28"/>
      <c r="AXU1" s="28"/>
      <c r="AXV1" s="28"/>
      <c r="AXW1" s="28"/>
      <c r="AXX1" s="28"/>
      <c r="AXY1" s="28"/>
      <c r="AXZ1" s="28"/>
      <c r="AYA1" s="28"/>
      <c r="AYB1" s="28"/>
      <c r="AYC1" s="28"/>
      <c r="AYD1" s="28"/>
      <c r="AYE1" s="28"/>
      <c r="AYF1" s="28"/>
      <c r="AYG1" s="28"/>
      <c r="AYH1" s="28"/>
      <c r="AYI1" s="28"/>
      <c r="AYJ1" s="28"/>
      <c r="AYK1" s="28"/>
      <c r="AYL1" s="28"/>
      <c r="AYM1" s="28"/>
      <c r="AYN1" s="28"/>
      <c r="AYO1" s="28"/>
      <c r="AYP1" s="28"/>
      <c r="AYQ1" s="28"/>
      <c r="AYR1" s="28"/>
      <c r="AYS1" s="28"/>
      <c r="AYT1" s="28"/>
      <c r="AYU1" s="28"/>
      <c r="AYV1" s="28"/>
      <c r="AYW1" s="28"/>
      <c r="AYX1" s="28"/>
      <c r="AYY1" s="28"/>
      <c r="AYZ1" s="28"/>
      <c r="AZA1" s="28"/>
      <c r="AZB1" s="28"/>
      <c r="AZC1" s="28"/>
      <c r="AZD1" s="28"/>
      <c r="AZE1" s="28"/>
      <c r="AZF1" s="28"/>
      <c r="AZG1" s="28"/>
      <c r="AZH1" s="28"/>
      <c r="AZI1" s="28"/>
      <c r="AZJ1" s="28"/>
      <c r="AZK1" s="28"/>
      <c r="AZL1" s="28"/>
      <c r="AZM1" s="28"/>
      <c r="AZN1" s="28"/>
      <c r="AZO1" s="28"/>
      <c r="AZP1" s="28"/>
      <c r="AZQ1" s="28"/>
      <c r="AZR1" s="28"/>
      <c r="AZS1" s="28"/>
      <c r="AZT1" s="28"/>
      <c r="AZU1" s="28"/>
      <c r="AZV1" s="28"/>
      <c r="AZW1" s="28"/>
      <c r="AZX1" s="28"/>
      <c r="AZY1" s="28"/>
      <c r="AZZ1" s="28"/>
      <c r="BAA1" s="28"/>
      <c r="BAB1" s="28"/>
      <c r="BAC1" s="28"/>
      <c r="BAD1" s="28"/>
      <c r="BAE1" s="28"/>
      <c r="BAF1" s="28"/>
      <c r="BAG1" s="28"/>
      <c r="BAH1" s="28"/>
      <c r="BAI1" s="28"/>
      <c r="BAJ1" s="28"/>
      <c r="BAK1" s="28"/>
      <c r="BAL1" s="28"/>
      <c r="BAM1" s="28"/>
      <c r="BAN1" s="28"/>
      <c r="BAO1" s="28"/>
      <c r="BAP1" s="28"/>
      <c r="BAQ1" s="28"/>
      <c r="BAR1" s="28"/>
      <c r="BAS1" s="28"/>
      <c r="BAT1" s="28"/>
      <c r="BAU1" s="28"/>
      <c r="BAV1" s="28"/>
      <c r="BAW1" s="28"/>
      <c r="BAX1" s="28"/>
      <c r="BAY1" s="28"/>
      <c r="BAZ1" s="28"/>
      <c r="BBA1" s="28"/>
      <c r="BBB1" s="28"/>
      <c r="BBC1" s="28"/>
      <c r="BBD1" s="28"/>
      <c r="BBE1" s="28"/>
      <c r="BBF1" s="28"/>
      <c r="BBG1" s="28"/>
      <c r="BBH1" s="28"/>
      <c r="BBI1" s="28"/>
      <c r="BBJ1" s="28"/>
      <c r="BBK1" s="28"/>
      <c r="BBL1" s="28"/>
      <c r="BBM1" s="28"/>
      <c r="BBN1" s="28"/>
      <c r="BBO1" s="28"/>
      <c r="BBP1" s="28"/>
      <c r="BBQ1" s="28"/>
      <c r="BBR1" s="28"/>
      <c r="BBS1" s="28"/>
      <c r="BBT1" s="28"/>
      <c r="BBU1" s="28"/>
      <c r="BBV1" s="28"/>
      <c r="BBW1" s="28"/>
      <c r="BBX1" s="28"/>
      <c r="BBY1" s="28"/>
      <c r="BBZ1" s="28"/>
      <c r="BCA1" s="28"/>
      <c r="BCB1" s="28"/>
      <c r="BCC1" s="28"/>
      <c r="BCD1" s="28"/>
      <c r="BCE1" s="28"/>
      <c r="BCF1" s="28"/>
      <c r="BCG1" s="28"/>
      <c r="BCH1" s="28"/>
      <c r="BCI1" s="28"/>
      <c r="BCJ1" s="28"/>
      <c r="BCK1" s="28"/>
      <c r="BCL1" s="28"/>
      <c r="BCM1" s="28"/>
      <c r="BCN1" s="28"/>
      <c r="BCO1" s="28"/>
      <c r="BCP1" s="28"/>
      <c r="BCQ1" s="28"/>
      <c r="BCR1" s="28"/>
      <c r="BCS1" s="28"/>
      <c r="BCT1" s="28"/>
      <c r="BCU1" s="28"/>
      <c r="BCV1" s="28"/>
      <c r="BCW1" s="28"/>
      <c r="BCX1" s="28"/>
      <c r="BCY1" s="28"/>
      <c r="BCZ1" s="28"/>
      <c r="BDA1" s="28"/>
      <c r="BDB1" s="28"/>
      <c r="BDC1" s="28"/>
      <c r="BDD1" s="28"/>
      <c r="BDE1" s="28"/>
      <c r="BDF1" s="28"/>
      <c r="BDG1" s="28"/>
      <c r="BDH1" s="28"/>
      <c r="BDI1" s="28"/>
      <c r="BDJ1" s="28"/>
      <c r="BDK1" s="28"/>
      <c r="BDL1" s="28"/>
      <c r="BDM1" s="28"/>
      <c r="BDN1" s="28"/>
      <c r="BDO1" s="28"/>
      <c r="BDP1" s="28"/>
      <c r="BDQ1" s="28"/>
      <c r="BDR1" s="28"/>
      <c r="BDS1" s="28"/>
      <c r="BDT1" s="28"/>
      <c r="BDU1" s="28"/>
      <c r="BDV1" s="28"/>
      <c r="BDW1" s="28"/>
      <c r="BDX1" s="28"/>
      <c r="BDY1" s="28"/>
      <c r="BDZ1" s="28"/>
      <c r="BEA1" s="28"/>
      <c r="BEB1" s="28"/>
      <c r="BEC1" s="28"/>
      <c r="BED1" s="28"/>
      <c r="BEE1" s="28"/>
      <c r="BEF1" s="28"/>
      <c r="BEG1" s="28"/>
      <c r="BEH1" s="28"/>
      <c r="BEI1" s="28"/>
      <c r="BEJ1" s="28"/>
      <c r="BEK1" s="28"/>
      <c r="BEL1" s="28"/>
      <c r="BEM1" s="28"/>
      <c r="BEN1" s="28"/>
      <c r="BEO1" s="28"/>
      <c r="BEP1" s="28"/>
      <c r="BEQ1" s="28"/>
      <c r="BER1" s="28"/>
      <c r="BES1" s="28"/>
      <c r="BET1" s="28"/>
      <c r="BEU1" s="28"/>
      <c r="BEV1" s="28"/>
      <c r="BEW1" s="28"/>
      <c r="BEX1" s="28"/>
      <c r="BEY1" s="28"/>
      <c r="BEZ1" s="28"/>
      <c r="BFA1" s="28"/>
      <c r="BFB1" s="28"/>
      <c r="BFC1" s="28"/>
      <c r="BFD1" s="28"/>
      <c r="BFE1" s="28"/>
      <c r="BFF1" s="28"/>
      <c r="BFG1" s="28"/>
      <c r="BFH1" s="28"/>
      <c r="BFI1" s="28"/>
      <c r="BFJ1" s="28"/>
      <c r="BFK1" s="28"/>
      <c r="BFL1" s="28"/>
      <c r="BFM1" s="28"/>
      <c r="BFN1" s="28"/>
      <c r="BFO1" s="28"/>
      <c r="BFP1" s="28"/>
      <c r="BFQ1" s="28"/>
      <c r="BFR1" s="28"/>
      <c r="BFS1" s="28"/>
      <c r="BFT1" s="28"/>
      <c r="BFU1" s="28"/>
      <c r="BFV1" s="28"/>
      <c r="BFW1" s="28"/>
      <c r="BFX1" s="28"/>
      <c r="BFY1" s="28"/>
      <c r="BFZ1" s="28"/>
      <c r="BGA1" s="28"/>
      <c r="BGB1" s="28"/>
      <c r="BGC1" s="28"/>
      <c r="BGD1" s="28"/>
      <c r="BGE1" s="28"/>
      <c r="BGF1" s="28"/>
      <c r="BGG1" s="28"/>
      <c r="BGH1" s="28"/>
      <c r="BGI1" s="28"/>
      <c r="BGJ1" s="28"/>
      <c r="BGK1" s="28"/>
      <c r="BGL1" s="28"/>
      <c r="BGM1" s="28"/>
      <c r="BGN1" s="28"/>
      <c r="BGO1" s="28"/>
      <c r="BGP1" s="28"/>
      <c r="BGQ1" s="28"/>
      <c r="BGR1" s="28"/>
      <c r="BGS1" s="28"/>
      <c r="BGT1" s="28"/>
      <c r="BGU1" s="28"/>
      <c r="BGV1" s="28"/>
      <c r="BGW1" s="28"/>
      <c r="BGX1" s="28"/>
      <c r="BGY1" s="28"/>
      <c r="BGZ1" s="28"/>
      <c r="BHA1" s="28"/>
      <c r="BHB1" s="28"/>
      <c r="BHC1" s="28"/>
      <c r="BHD1" s="28"/>
      <c r="BHE1" s="28"/>
      <c r="BHF1" s="28"/>
      <c r="BHG1" s="28"/>
      <c r="BHH1" s="28"/>
      <c r="BHI1" s="28"/>
      <c r="BHJ1" s="28"/>
      <c r="BHK1" s="28"/>
      <c r="BHL1" s="28"/>
      <c r="BHM1" s="28"/>
      <c r="BHN1" s="28"/>
      <c r="BHO1" s="28"/>
      <c r="BHP1" s="28"/>
      <c r="BHQ1" s="28"/>
      <c r="BHR1" s="28"/>
      <c r="BHS1" s="28"/>
      <c r="BHT1" s="28"/>
      <c r="BHU1" s="28"/>
      <c r="BHV1" s="28"/>
      <c r="BHW1" s="28"/>
      <c r="BHX1" s="28"/>
      <c r="BHY1" s="28"/>
      <c r="BHZ1" s="28"/>
      <c r="BIA1" s="28"/>
      <c r="BIB1" s="28"/>
      <c r="BIC1" s="28"/>
      <c r="BID1" s="28"/>
      <c r="BIE1" s="28"/>
      <c r="BIF1" s="28"/>
      <c r="BIG1" s="28"/>
      <c r="BIH1" s="28"/>
      <c r="BII1" s="28"/>
      <c r="BIJ1" s="28"/>
      <c r="BIK1" s="28"/>
      <c r="BIL1" s="28"/>
      <c r="BIM1" s="28"/>
      <c r="BIN1" s="28"/>
      <c r="BIO1" s="28"/>
      <c r="BIP1" s="28"/>
      <c r="BIQ1" s="28"/>
      <c r="BIR1" s="28"/>
      <c r="BIS1" s="28"/>
      <c r="BIT1" s="28"/>
      <c r="BIU1" s="28"/>
      <c r="BIV1" s="28"/>
      <c r="BIW1" s="28"/>
      <c r="BIX1" s="28"/>
      <c r="BIY1" s="28"/>
      <c r="BIZ1" s="28"/>
      <c r="BJA1" s="28"/>
      <c r="BJB1" s="28"/>
      <c r="BJC1" s="28"/>
      <c r="BJD1" s="28"/>
      <c r="BJE1" s="28"/>
      <c r="BJF1" s="28"/>
      <c r="BJG1" s="28"/>
      <c r="BJH1" s="28"/>
      <c r="BJI1" s="28"/>
      <c r="BJJ1" s="28"/>
      <c r="BJK1" s="28"/>
      <c r="BJL1" s="28"/>
      <c r="BJM1" s="28"/>
      <c r="BJN1" s="28"/>
      <c r="BJO1" s="28"/>
      <c r="BJP1" s="28"/>
      <c r="BJQ1" s="28"/>
      <c r="BJR1" s="28"/>
      <c r="BJS1" s="28"/>
      <c r="BJT1" s="28"/>
      <c r="BJU1" s="28"/>
      <c r="BJV1" s="28"/>
      <c r="BJW1" s="28"/>
      <c r="BJX1" s="28"/>
      <c r="BJY1" s="28"/>
      <c r="BJZ1" s="28"/>
      <c r="BKA1" s="28"/>
      <c r="BKB1" s="28"/>
      <c r="BKC1" s="28"/>
      <c r="BKD1" s="28"/>
      <c r="BKE1" s="28"/>
      <c r="BKF1" s="28"/>
      <c r="BKG1" s="28"/>
      <c r="BKH1" s="28"/>
      <c r="BKI1" s="28"/>
      <c r="BKJ1" s="28"/>
      <c r="BKK1" s="28"/>
      <c r="BKL1" s="28"/>
      <c r="BKM1" s="28"/>
      <c r="BKN1" s="28"/>
      <c r="BKO1" s="28"/>
      <c r="BKP1" s="28"/>
      <c r="BKQ1" s="28"/>
      <c r="BKR1" s="28"/>
      <c r="BKS1" s="28"/>
      <c r="BKT1" s="28"/>
      <c r="BKU1" s="28"/>
      <c r="BKV1" s="28"/>
      <c r="BKW1" s="28"/>
      <c r="BKX1" s="28"/>
      <c r="BKY1" s="28"/>
      <c r="BKZ1" s="28"/>
      <c r="BLA1" s="28"/>
      <c r="BLB1" s="28"/>
      <c r="BLC1" s="28"/>
      <c r="BLD1" s="28"/>
      <c r="BLE1" s="28"/>
      <c r="BLF1" s="28"/>
      <c r="BLG1" s="28"/>
      <c r="BLH1" s="28"/>
      <c r="BLI1" s="28"/>
      <c r="BLJ1" s="28"/>
      <c r="BLK1" s="28"/>
      <c r="BLL1" s="28"/>
      <c r="BLM1" s="28"/>
      <c r="BLN1" s="28"/>
      <c r="BLO1" s="28"/>
      <c r="BLP1" s="28"/>
      <c r="BLQ1" s="28"/>
      <c r="BLR1" s="28"/>
      <c r="BLS1" s="28"/>
      <c r="BLT1" s="28"/>
      <c r="BLU1" s="28"/>
      <c r="BLV1" s="28"/>
      <c r="BLW1" s="28"/>
      <c r="BLX1" s="28"/>
      <c r="BLY1" s="28"/>
      <c r="BLZ1" s="28"/>
      <c r="BMA1" s="28"/>
      <c r="BMB1" s="28"/>
      <c r="BMC1" s="28"/>
      <c r="BMD1" s="28"/>
      <c r="BME1" s="28"/>
      <c r="BMF1" s="28"/>
      <c r="BMG1" s="28"/>
      <c r="BMH1" s="28"/>
      <c r="BMI1" s="28"/>
      <c r="BMJ1" s="28"/>
      <c r="BMK1" s="28"/>
      <c r="BML1" s="28"/>
      <c r="BMM1" s="28"/>
      <c r="BMN1" s="28"/>
      <c r="BMO1" s="28"/>
      <c r="BMP1" s="28"/>
      <c r="BMQ1" s="28"/>
      <c r="BMR1" s="28"/>
      <c r="BMS1" s="28"/>
      <c r="BMT1" s="28"/>
      <c r="BMU1" s="28"/>
      <c r="BMV1" s="28"/>
      <c r="BMW1" s="28"/>
      <c r="BMX1" s="28"/>
      <c r="BMY1" s="28"/>
      <c r="BMZ1" s="28"/>
      <c r="BNA1" s="28"/>
      <c r="BNB1" s="28"/>
      <c r="BNC1" s="28"/>
      <c r="BND1" s="28"/>
      <c r="BNE1" s="28"/>
      <c r="BNF1" s="28"/>
      <c r="BNG1" s="28"/>
      <c r="BNH1" s="28"/>
      <c r="BNI1" s="28"/>
      <c r="BNJ1" s="28"/>
      <c r="BNK1" s="28"/>
      <c r="BNL1" s="28"/>
      <c r="BNM1" s="28"/>
      <c r="BNN1" s="28"/>
      <c r="BNO1" s="28"/>
      <c r="BNP1" s="28"/>
      <c r="BNQ1" s="28"/>
      <c r="BNR1" s="28"/>
      <c r="BNS1" s="28"/>
      <c r="BNT1" s="28"/>
      <c r="BNU1" s="28"/>
      <c r="BNV1" s="28"/>
      <c r="BNW1" s="28"/>
      <c r="BNX1" s="28"/>
      <c r="BNY1" s="28"/>
      <c r="BNZ1" s="28"/>
      <c r="BOA1" s="28"/>
      <c r="BOB1" s="28"/>
      <c r="BOC1" s="28"/>
      <c r="BOD1" s="28"/>
      <c r="BOE1" s="28"/>
      <c r="BOF1" s="28"/>
      <c r="BOG1" s="28"/>
      <c r="BOH1" s="28"/>
      <c r="BOI1" s="28"/>
      <c r="BOJ1" s="28"/>
      <c r="BOK1" s="28"/>
      <c r="BOL1" s="28"/>
      <c r="BOM1" s="28"/>
      <c r="BON1" s="28"/>
      <c r="BOO1" s="28"/>
      <c r="BOP1" s="28"/>
      <c r="BOQ1" s="28"/>
      <c r="BOR1" s="28"/>
      <c r="BOS1" s="28"/>
      <c r="BOT1" s="28"/>
      <c r="BOU1" s="28"/>
      <c r="BOV1" s="28"/>
      <c r="BOW1" s="28"/>
      <c r="BOX1" s="28"/>
      <c r="BOY1" s="28"/>
      <c r="BOZ1" s="28"/>
      <c r="BPA1" s="28"/>
      <c r="BPB1" s="28"/>
      <c r="BPC1" s="28"/>
      <c r="BPD1" s="28"/>
      <c r="BPE1" s="28"/>
      <c r="BPF1" s="28"/>
      <c r="BPG1" s="28"/>
      <c r="BPH1" s="28"/>
      <c r="BPI1" s="28"/>
      <c r="BPJ1" s="28"/>
      <c r="BPK1" s="28"/>
      <c r="BPL1" s="28"/>
      <c r="BPM1" s="28"/>
      <c r="BPN1" s="28"/>
      <c r="BPO1" s="28"/>
      <c r="BPP1" s="28"/>
      <c r="BPQ1" s="28"/>
      <c r="BPR1" s="28"/>
      <c r="BPS1" s="28"/>
      <c r="BPT1" s="28"/>
      <c r="BPU1" s="28"/>
      <c r="BPV1" s="28"/>
      <c r="BPW1" s="28"/>
      <c r="BPX1" s="28"/>
      <c r="BPY1" s="28"/>
      <c r="BPZ1" s="28"/>
      <c r="BQA1" s="28"/>
      <c r="BQB1" s="28"/>
      <c r="BQC1" s="28"/>
      <c r="BQD1" s="28"/>
      <c r="BQE1" s="28"/>
      <c r="BQF1" s="28"/>
      <c r="BQG1" s="28"/>
      <c r="BQH1" s="28"/>
      <c r="BQI1" s="28"/>
      <c r="BQJ1" s="28"/>
      <c r="BQK1" s="28"/>
      <c r="BQL1" s="28"/>
      <c r="BQM1" s="28"/>
      <c r="BQN1" s="28"/>
      <c r="BQO1" s="28"/>
      <c r="BQP1" s="28"/>
      <c r="BQQ1" s="28"/>
      <c r="BQR1" s="28"/>
      <c r="BQS1" s="28"/>
      <c r="BQT1" s="28"/>
      <c r="BQU1" s="28"/>
      <c r="BQV1" s="28"/>
      <c r="BQW1" s="28"/>
      <c r="BQX1" s="28"/>
      <c r="BQY1" s="28"/>
      <c r="BQZ1" s="28"/>
      <c r="BRA1" s="28"/>
      <c r="BRB1" s="28"/>
      <c r="BRC1" s="28"/>
      <c r="BRD1" s="28"/>
      <c r="BRE1" s="28"/>
      <c r="BRF1" s="28"/>
      <c r="BRG1" s="28"/>
      <c r="BRH1" s="28"/>
      <c r="BRI1" s="28"/>
      <c r="BRJ1" s="28"/>
      <c r="BRK1" s="28"/>
      <c r="BRL1" s="28"/>
      <c r="BRM1" s="28"/>
      <c r="BRN1" s="28"/>
      <c r="BRO1" s="28"/>
      <c r="BRP1" s="28"/>
      <c r="BRQ1" s="28"/>
      <c r="BRR1" s="28"/>
      <c r="BRS1" s="28"/>
      <c r="BRT1" s="28"/>
      <c r="BRU1" s="28"/>
      <c r="BRV1" s="28"/>
      <c r="BRW1" s="28"/>
      <c r="BRX1" s="28"/>
      <c r="BRY1" s="28"/>
      <c r="BRZ1" s="28"/>
      <c r="BSA1" s="28"/>
      <c r="BSB1" s="28"/>
      <c r="BSC1" s="28"/>
      <c r="BSD1" s="28"/>
      <c r="BSE1" s="28"/>
      <c r="BSF1" s="28"/>
      <c r="BSG1" s="28"/>
      <c r="BSH1" s="28"/>
      <c r="BSI1" s="28"/>
      <c r="BSJ1" s="28"/>
      <c r="BSK1" s="28"/>
      <c r="BSL1" s="28"/>
      <c r="BSM1" s="28"/>
      <c r="BSN1" s="28"/>
      <c r="BSO1" s="28"/>
      <c r="BSP1" s="28"/>
      <c r="BSQ1" s="28"/>
      <c r="BSR1" s="28"/>
      <c r="BSS1" s="28"/>
      <c r="BST1" s="28"/>
      <c r="BSU1" s="28"/>
      <c r="BSV1" s="28"/>
      <c r="BSW1" s="28"/>
      <c r="BSX1" s="28"/>
      <c r="BSY1" s="28"/>
      <c r="BSZ1" s="28"/>
      <c r="BTA1" s="28"/>
      <c r="BTB1" s="28"/>
      <c r="BTC1" s="28"/>
      <c r="BTD1" s="28"/>
      <c r="BTE1" s="28"/>
      <c r="BTF1" s="28"/>
      <c r="BTG1" s="28"/>
      <c r="BTH1" s="28"/>
      <c r="BTI1" s="28"/>
      <c r="BTJ1" s="28"/>
      <c r="BTK1" s="28"/>
      <c r="BTL1" s="28"/>
      <c r="BTM1" s="28"/>
      <c r="BTN1" s="28"/>
      <c r="BTO1" s="28"/>
      <c r="BTP1" s="28"/>
      <c r="BTQ1" s="28"/>
      <c r="BTR1" s="28"/>
      <c r="BTS1" s="28"/>
      <c r="BTT1" s="28"/>
      <c r="BTU1" s="28"/>
      <c r="BTV1" s="28"/>
      <c r="BTW1" s="28"/>
      <c r="BTX1" s="28"/>
      <c r="BTY1" s="28"/>
      <c r="BTZ1" s="28"/>
      <c r="BUA1" s="28"/>
      <c r="BUB1" s="28"/>
      <c r="BUC1" s="28"/>
      <c r="BUD1" s="28"/>
      <c r="BUE1" s="28"/>
      <c r="BUF1" s="28"/>
      <c r="BUG1" s="28"/>
      <c r="BUH1" s="28"/>
      <c r="BUI1" s="28"/>
      <c r="BUJ1" s="28"/>
      <c r="BUK1" s="28"/>
      <c r="BUL1" s="28"/>
      <c r="BUM1" s="28"/>
      <c r="BUN1" s="28"/>
      <c r="BUO1" s="28"/>
      <c r="BUP1" s="28"/>
      <c r="BUQ1" s="28"/>
      <c r="BUR1" s="28"/>
      <c r="BUS1" s="28"/>
      <c r="BUT1" s="28"/>
      <c r="BUU1" s="28"/>
      <c r="BUV1" s="28"/>
      <c r="BUW1" s="28"/>
      <c r="BUX1" s="28"/>
      <c r="BUY1" s="28"/>
      <c r="BUZ1" s="28"/>
      <c r="BVA1" s="28"/>
      <c r="BVB1" s="28"/>
      <c r="BVC1" s="28"/>
      <c r="BVD1" s="28"/>
      <c r="BVE1" s="28"/>
      <c r="BVF1" s="28"/>
      <c r="BVG1" s="28"/>
      <c r="BVH1" s="28"/>
      <c r="BVI1" s="28"/>
      <c r="BVJ1" s="28"/>
      <c r="BVK1" s="28"/>
      <c r="BVL1" s="28"/>
      <c r="BVM1" s="28"/>
      <c r="BVN1" s="28"/>
      <c r="BVO1" s="28"/>
      <c r="BVP1" s="28"/>
      <c r="BVQ1" s="28"/>
      <c r="BVR1" s="28"/>
      <c r="BVS1" s="28"/>
      <c r="BVT1" s="28"/>
      <c r="BVU1" s="28"/>
      <c r="BVV1" s="28"/>
      <c r="BVW1" s="28"/>
      <c r="BVX1" s="28"/>
      <c r="BVY1" s="28"/>
      <c r="BVZ1" s="28"/>
      <c r="BWA1" s="28"/>
      <c r="BWB1" s="28"/>
      <c r="BWC1" s="28"/>
      <c r="BWD1" s="28"/>
      <c r="BWE1" s="28"/>
      <c r="BWF1" s="28"/>
      <c r="BWG1" s="28"/>
      <c r="BWH1" s="28"/>
      <c r="BWI1" s="28"/>
      <c r="BWJ1" s="28"/>
      <c r="BWK1" s="28"/>
      <c r="BWL1" s="28"/>
      <c r="BWM1" s="28"/>
      <c r="BWN1" s="28"/>
      <c r="BWO1" s="28"/>
      <c r="BWP1" s="28"/>
      <c r="BWQ1" s="28"/>
      <c r="BWR1" s="28"/>
      <c r="BWS1" s="28"/>
      <c r="BWT1" s="28"/>
      <c r="BWU1" s="28"/>
      <c r="BWV1" s="28"/>
      <c r="BWW1" s="28"/>
      <c r="BWX1" s="28"/>
      <c r="BWY1" s="28"/>
      <c r="BWZ1" s="28"/>
      <c r="BXA1" s="28"/>
      <c r="BXB1" s="28"/>
      <c r="BXC1" s="28"/>
      <c r="BXD1" s="28"/>
      <c r="BXE1" s="28"/>
      <c r="BXF1" s="28"/>
      <c r="BXG1" s="28"/>
      <c r="BXH1" s="28"/>
      <c r="BXI1" s="28"/>
      <c r="BXJ1" s="28"/>
      <c r="BXK1" s="28"/>
      <c r="BXL1" s="28"/>
      <c r="BXM1" s="28"/>
      <c r="BXN1" s="28"/>
      <c r="BXO1" s="28"/>
      <c r="BXP1" s="28"/>
      <c r="BXQ1" s="28"/>
      <c r="BXR1" s="28"/>
      <c r="BXS1" s="28"/>
      <c r="BXT1" s="28"/>
      <c r="BXU1" s="28"/>
      <c r="BXV1" s="28"/>
      <c r="BXW1" s="28"/>
      <c r="BXX1" s="28"/>
      <c r="BXY1" s="28"/>
      <c r="BXZ1" s="28"/>
      <c r="BYA1" s="28"/>
      <c r="BYB1" s="28"/>
      <c r="BYC1" s="28"/>
      <c r="BYD1" s="28"/>
      <c r="BYE1" s="28"/>
      <c r="BYF1" s="28"/>
      <c r="BYG1" s="28"/>
      <c r="BYH1" s="28"/>
      <c r="BYI1" s="28"/>
      <c r="BYJ1" s="28"/>
      <c r="BYK1" s="28"/>
      <c r="BYL1" s="28"/>
      <c r="BYM1" s="28"/>
      <c r="BYN1" s="28"/>
      <c r="BYO1" s="28"/>
      <c r="BYP1" s="28"/>
      <c r="BYQ1" s="28"/>
      <c r="BYR1" s="28"/>
      <c r="BYS1" s="28"/>
      <c r="BYT1" s="28"/>
      <c r="BYU1" s="28"/>
      <c r="BYV1" s="28"/>
      <c r="BYW1" s="28"/>
      <c r="BYX1" s="28"/>
      <c r="BYY1" s="28"/>
      <c r="BYZ1" s="28"/>
      <c r="BZA1" s="28"/>
      <c r="BZB1" s="28"/>
      <c r="BZC1" s="28"/>
      <c r="BZD1" s="28"/>
      <c r="BZE1" s="28"/>
      <c r="BZF1" s="28"/>
      <c r="BZG1" s="28"/>
      <c r="BZH1" s="28"/>
      <c r="BZI1" s="28"/>
      <c r="BZJ1" s="28"/>
      <c r="BZK1" s="28"/>
      <c r="BZL1" s="28"/>
      <c r="BZM1" s="28"/>
      <c r="BZN1" s="28"/>
      <c r="BZO1" s="28"/>
      <c r="BZP1" s="28"/>
      <c r="BZQ1" s="28"/>
      <c r="BZR1" s="28"/>
      <c r="BZS1" s="28"/>
      <c r="BZT1" s="28"/>
      <c r="BZU1" s="28"/>
      <c r="BZV1" s="28"/>
      <c r="BZW1" s="28"/>
      <c r="BZX1" s="28"/>
      <c r="BZY1" s="28"/>
      <c r="BZZ1" s="28"/>
      <c r="CAA1" s="28"/>
      <c r="CAB1" s="28"/>
      <c r="CAC1" s="28"/>
      <c r="CAD1" s="28"/>
      <c r="CAE1" s="28"/>
      <c r="CAF1" s="28"/>
      <c r="CAG1" s="28"/>
      <c r="CAH1" s="28"/>
      <c r="CAI1" s="28"/>
      <c r="CAJ1" s="28"/>
      <c r="CAK1" s="28"/>
      <c r="CAL1" s="28"/>
      <c r="CAM1" s="28"/>
      <c r="CAN1" s="28"/>
      <c r="CAO1" s="28"/>
      <c r="CAP1" s="28"/>
      <c r="CAQ1" s="28"/>
      <c r="CAR1" s="28"/>
      <c r="CAS1" s="28"/>
      <c r="CAT1" s="28"/>
      <c r="CAU1" s="28"/>
      <c r="CAV1" s="28"/>
      <c r="CAW1" s="28"/>
      <c r="CAX1" s="28"/>
      <c r="CAY1" s="28"/>
      <c r="CAZ1" s="28"/>
      <c r="CBA1" s="28"/>
      <c r="CBB1" s="28"/>
      <c r="CBC1" s="28"/>
      <c r="CBD1" s="28"/>
      <c r="CBE1" s="28"/>
      <c r="CBF1" s="28"/>
      <c r="CBG1" s="28"/>
      <c r="CBH1" s="28"/>
      <c r="CBI1" s="28"/>
      <c r="CBJ1" s="28"/>
      <c r="CBK1" s="28"/>
      <c r="CBL1" s="28"/>
      <c r="CBM1" s="28"/>
      <c r="CBN1" s="28"/>
      <c r="CBO1" s="28"/>
      <c r="CBP1" s="28"/>
      <c r="CBQ1" s="28"/>
      <c r="CBR1" s="28"/>
      <c r="CBS1" s="28"/>
      <c r="CBT1" s="28"/>
      <c r="CBU1" s="28"/>
      <c r="CBV1" s="28"/>
      <c r="CBW1" s="28"/>
      <c r="CBX1" s="28"/>
      <c r="CBY1" s="28"/>
      <c r="CBZ1" s="28"/>
      <c r="CCA1" s="28"/>
      <c r="CCB1" s="28"/>
      <c r="CCC1" s="28"/>
      <c r="CCD1" s="28"/>
      <c r="CCE1" s="28"/>
      <c r="CCF1" s="28"/>
      <c r="CCG1" s="28"/>
      <c r="CCH1" s="28"/>
      <c r="CCI1" s="28"/>
      <c r="CCJ1" s="28"/>
      <c r="CCK1" s="28"/>
      <c r="CCL1" s="28"/>
      <c r="CCM1" s="28"/>
      <c r="CCN1" s="28"/>
      <c r="CCO1" s="28"/>
      <c r="CCP1" s="28"/>
      <c r="CCQ1" s="28"/>
      <c r="CCR1" s="28"/>
      <c r="CCS1" s="28"/>
      <c r="CCT1" s="28"/>
      <c r="CCU1" s="28"/>
      <c r="CCV1" s="28"/>
      <c r="CCW1" s="28"/>
      <c r="CCX1" s="28"/>
      <c r="CCY1" s="28"/>
      <c r="CCZ1" s="28"/>
      <c r="CDA1" s="28"/>
      <c r="CDB1" s="28"/>
      <c r="CDC1" s="28"/>
      <c r="CDD1" s="28"/>
      <c r="CDE1" s="28"/>
      <c r="CDF1" s="28"/>
      <c r="CDG1" s="28"/>
      <c r="CDH1" s="28"/>
      <c r="CDI1" s="28"/>
      <c r="CDJ1" s="28"/>
      <c r="CDK1" s="28"/>
      <c r="CDL1" s="28"/>
      <c r="CDM1" s="28"/>
      <c r="CDN1" s="28"/>
      <c r="CDO1" s="28"/>
      <c r="CDP1" s="28"/>
      <c r="CDQ1" s="28"/>
      <c r="CDR1" s="28"/>
      <c r="CDS1" s="28"/>
      <c r="CDT1" s="28"/>
      <c r="CDU1" s="28"/>
      <c r="CDV1" s="28"/>
      <c r="CDW1" s="28"/>
      <c r="CDX1" s="28"/>
      <c r="CDY1" s="28"/>
      <c r="CDZ1" s="28"/>
      <c r="CEA1" s="28"/>
      <c r="CEB1" s="28"/>
      <c r="CEC1" s="28"/>
      <c r="CED1" s="28"/>
      <c r="CEE1" s="28"/>
      <c r="CEF1" s="28"/>
      <c r="CEG1" s="28"/>
      <c r="CEH1" s="28"/>
      <c r="CEI1" s="28"/>
      <c r="CEJ1" s="28"/>
      <c r="CEK1" s="28"/>
      <c r="CEL1" s="28"/>
      <c r="CEM1" s="28"/>
      <c r="CEN1" s="28"/>
      <c r="CEO1" s="28"/>
      <c r="CEP1" s="28"/>
      <c r="CEQ1" s="28"/>
      <c r="CER1" s="28"/>
      <c r="CES1" s="28"/>
      <c r="CET1" s="28"/>
      <c r="CEU1" s="28"/>
      <c r="CEV1" s="28"/>
      <c r="CEW1" s="28"/>
      <c r="CEX1" s="28"/>
      <c r="CEY1" s="28"/>
      <c r="CEZ1" s="28"/>
      <c r="CFA1" s="28"/>
      <c r="CFB1" s="28"/>
      <c r="CFC1" s="28"/>
      <c r="CFD1" s="28"/>
      <c r="CFE1" s="28"/>
      <c r="CFF1" s="28"/>
      <c r="CFG1" s="28"/>
      <c r="CFH1" s="28"/>
      <c r="CFI1" s="28"/>
      <c r="CFJ1" s="28"/>
      <c r="CFK1" s="28"/>
      <c r="CFL1" s="28"/>
      <c r="CFM1" s="28"/>
      <c r="CFN1" s="28"/>
      <c r="CFO1" s="28"/>
      <c r="CFP1" s="28"/>
      <c r="CFQ1" s="28"/>
      <c r="CFR1" s="28"/>
      <c r="CFS1" s="28"/>
      <c r="CFT1" s="28"/>
      <c r="CFU1" s="28"/>
      <c r="CFV1" s="28"/>
      <c r="CFW1" s="28"/>
      <c r="CFX1" s="28"/>
      <c r="CFY1" s="28"/>
      <c r="CFZ1" s="28"/>
      <c r="CGA1" s="28"/>
      <c r="CGB1" s="28"/>
      <c r="CGC1" s="28"/>
      <c r="CGD1" s="28"/>
      <c r="CGE1" s="28"/>
      <c r="CGF1" s="28"/>
      <c r="CGG1" s="28"/>
      <c r="CGH1" s="28"/>
      <c r="CGI1" s="28"/>
      <c r="CGJ1" s="28"/>
      <c r="CGK1" s="28"/>
      <c r="CGL1" s="28"/>
      <c r="CGM1" s="28"/>
      <c r="CGN1" s="28"/>
      <c r="CGO1" s="28"/>
      <c r="CGP1" s="28"/>
      <c r="CGQ1" s="28"/>
      <c r="CGR1" s="28"/>
      <c r="CGS1" s="28"/>
      <c r="CGT1" s="28"/>
      <c r="CGU1" s="28"/>
      <c r="CGV1" s="28"/>
      <c r="CGW1" s="28"/>
      <c r="CGX1" s="28"/>
      <c r="CGY1" s="28"/>
      <c r="CGZ1" s="28"/>
      <c r="CHA1" s="28"/>
      <c r="CHB1" s="28"/>
      <c r="CHC1" s="28"/>
      <c r="CHD1" s="28"/>
      <c r="CHE1" s="28"/>
      <c r="CHF1" s="28"/>
      <c r="CHG1" s="28"/>
      <c r="CHH1" s="28"/>
      <c r="CHI1" s="28"/>
      <c r="CHJ1" s="28"/>
      <c r="CHK1" s="28"/>
      <c r="CHL1" s="28"/>
      <c r="CHM1" s="28"/>
      <c r="CHN1" s="28"/>
      <c r="CHO1" s="28"/>
      <c r="CHP1" s="28"/>
      <c r="CHQ1" s="28"/>
      <c r="CHR1" s="28"/>
      <c r="CHS1" s="28"/>
      <c r="CHT1" s="28"/>
      <c r="CHU1" s="28"/>
      <c r="CHV1" s="28"/>
      <c r="CHW1" s="28"/>
      <c r="CHX1" s="28"/>
      <c r="CHY1" s="28"/>
      <c r="CHZ1" s="28"/>
      <c r="CIA1" s="28"/>
      <c r="CIB1" s="28"/>
      <c r="CIC1" s="28"/>
      <c r="CID1" s="28"/>
      <c r="CIE1" s="28"/>
      <c r="CIF1" s="28"/>
      <c r="CIG1" s="28"/>
      <c r="CIH1" s="28"/>
      <c r="CII1" s="28"/>
      <c r="CIJ1" s="28"/>
      <c r="CIK1" s="28"/>
      <c r="CIL1" s="28"/>
      <c r="CIM1" s="28"/>
      <c r="CIN1" s="28"/>
      <c r="CIO1" s="28"/>
      <c r="CIP1" s="28"/>
      <c r="CIQ1" s="28"/>
      <c r="CIR1" s="28"/>
      <c r="CIS1" s="28"/>
      <c r="CIT1" s="28"/>
      <c r="CIU1" s="28"/>
      <c r="CIV1" s="28"/>
      <c r="CIW1" s="28"/>
      <c r="CIX1" s="28"/>
      <c r="CIY1" s="28"/>
      <c r="CIZ1" s="28"/>
      <c r="CJA1" s="28"/>
      <c r="CJB1" s="28"/>
      <c r="CJC1" s="28"/>
      <c r="CJD1" s="28"/>
      <c r="CJE1" s="28"/>
      <c r="CJF1" s="28"/>
      <c r="CJG1" s="28"/>
      <c r="CJH1" s="28"/>
      <c r="CJI1" s="28"/>
      <c r="CJJ1" s="28"/>
      <c r="CJK1" s="28"/>
      <c r="CJL1" s="28"/>
      <c r="CJM1" s="28"/>
      <c r="CJN1" s="28"/>
      <c r="CJO1" s="28"/>
      <c r="CJP1" s="28"/>
      <c r="CJQ1" s="28"/>
      <c r="CJR1" s="28"/>
      <c r="CJS1" s="28"/>
      <c r="CJT1" s="28"/>
      <c r="CJU1" s="28"/>
      <c r="CJV1" s="28"/>
      <c r="CJW1" s="28"/>
      <c r="CJX1" s="28"/>
      <c r="CJY1" s="28"/>
      <c r="CJZ1" s="28"/>
      <c r="CKA1" s="28"/>
      <c r="CKB1" s="28"/>
      <c r="CKC1" s="28"/>
      <c r="CKD1" s="28"/>
      <c r="CKE1" s="28"/>
      <c r="CKF1" s="28"/>
      <c r="CKG1" s="28"/>
      <c r="CKH1" s="28"/>
      <c r="CKI1" s="28"/>
      <c r="CKJ1" s="28"/>
      <c r="CKK1" s="28"/>
      <c r="CKL1" s="28"/>
      <c r="CKM1" s="28"/>
      <c r="CKN1" s="28"/>
      <c r="CKO1" s="28"/>
      <c r="CKP1" s="28"/>
      <c r="CKQ1" s="28"/>
      <c r="CKR1" s="28"/>
      <c r="CKS1" s="28"/>
      <c r="CKT1" s="28"/>
      <c r="CKU1" s="28"/>
      <c r="CKV1" s="28"/>
      <c r="CKW1" s="28"/>
      <c r="CKX1" s="28"/>
      <c r="CKY1" s="28"/>
      <c r="CKZ1" s="28"/>
      <c r="CLA1" s="28"/>
      <c r="CLB1" s="28"/>
      <c r="CLC1" s="28"/>
      <c r="CLD1" s="28"/>
      <c r="CLE1" s="28"/>
      <c r="CLF1" s="28"/>
      <c r="CLG1" s="28"/>
      <c r="CLH1" s="28"/>
      <c r="CLI1" s="28"/>
      <c r="CLJ1" s="28"/>
      <c r="CLK1" s="28"/>
      <c r="CLL1" s="28"/>
      <c r="CLM1" s="28"/>
      <c r="CLN1" s="28"/>
      <c r="CLO1" s="28"/>
      <c r="CLP1" s="28"/>
      <c r="CLQ1" s="28"/>
      <c r="CLR1" s="28"/>
      <c r="CLS1" s="28"/>
      <c r="CLT1" s="28"/>
      <c r="CLU1" s="28"/>
      <c r="CLV1" s="28"/>
      <c r="CLW1" s="28"/>
      <c r="CLX1" s="28"/>
      <c r="CLY1" s="28"/>
      <c r="CLZ1" s="28"/>
      <c r="CMA1" s="28"/>
      <c r="CMB1" s="28"/>
      <c r="CMC1" s="28"/>
      <c r="CMD1" s="28"/>
      <c r="CME1" s="28"/>
      <c r="CMF1" s="28"/>
      <c r="CMG1" s="28"/>
      <c r="CMH1" s="28"/>
      <c r="CMI1" s="28"/>
      <c r="CMJ1" s="28"/>
      <c r="CMK1" s="28"/>
      <c r="CML1" s="28"/>
      <c r="CMM1" s="28"/>
      <c r="CMN1" s="28"/>
      <c r="CMO1" s="28"/>
      <c r="CMP1" s="28"/>
      <c r="CMQ1" s="28"/>
      <c r="CMR1" s="28"/>
      <c r="CMS1" s="28"/>
      <c r="CMT1" s="28"/>
      <c r="CMU1" s="28"/>
      <c r="CMV1" s="28"/>
      <c r="CMW1" s="28"/>
      <c r="CMX1" s="28"/>
      <c r="CMY1" s="28"/>
      <c r="CMZ1" s="28"/>
      <c r="CNA1" s="28"/>
      <c r="CNB1" s="28"/>
      <c r="CNC1" s="28"/>
      <c r="CND1" s="28"/>
      <c r="CNE1" s="28"/>
      <c r="CNF1" s="28"/>
      <c r="CNG1" s="28"/>
      <c r="CNH1" s="28"/>
      <c r="CNI1" s="28"/>
      <c r="CNJ1" s="28"/>
      <c r="CNK1" s="28"/>
      <c r="CNL1" s="28"/>
      <c r="CNM1" s="28"/>
      <c r="CNN1" s="28"/>
      <c r="CNO1" s="28"/>
      <c r="CNP1" s="28"/>
      <c r="CNQ1" s="28"/>
      <c r="CNR1" s="28"/>
      <c r="CNS1" s="28"/>
      <c r="CNT1" s="28"/>
      <c r="CNU1" s="28"/>
      <c r="CNV1" s="28"/>
      <c r="CNW1" s="28"/>
      <c r="CNX1" s="28"/>
      <c r="CNY1" s="28"/>
      <c r="CNZ1" s="28"/>
      <c r="COA1" s="28"/>
      <c r="COB1" s="28"/>
      <c r="COC1" s="28"/>
      <c r="COD1" s="28"/>
      <c r="COE1" s="28"/>
      <c r="COF1" s="28"/>
      <c r="COG1" s="28"/>
      <c r="COH1" s="28"/>
      <c r="COI1" s="28"/>
      <c r="COJ1" s="28"/>
      <c r="COK1" s="28"/>
      <c r="COL1" s="28"/>
      <c r="COM1" s="28"/>
      <c r="CON1" s="28"/>
      <c r="COO1" s="28"/>
      <c r="COP1" s="28"/>
      <c r="COQ1" s="28"/>
      <c r="COR1" s="28"/>
      <c r="COS1" s="28"/>
      <c r="COT1" s="28"/>
      <c r="COU1" s="28"/>
      <c r="COV1" s="28"/>
      <c r="COW1" s="28"/>
      <c r="COX1" s="28"/>
      <c r="COY1" s="28"/>
      <c r="COZ1" s="28"/>
      <c r="CPA1" s="28"/>
      <c r="CPB1" s="28"/>
      <c r="CPC1" s="28"/>
      <c r="CPD1" s="28"/>
      <c r="CPE1" s="28"/>
      <c r="CPF1" s="28"/>
      <c r="CPG1" s="28"/>
      <c r="CPH1" s="28"/>
      <c r="CPI1" s="28"/>
      <c r="CPJ1" s="28"/>
      <c r="CPK1" s="28"/>
      <c r="CPL1" s="28"/>
      <c r="CPM1" s="28"/>
      <c r="CPN1" s="28"/>
      <c r="CPO1" s="28"/>
      <c r="CPP1" s="28"/>
      <c r="CPQ1" s="28"/>
      <c r="CPR1" s="28"/>
      <c r="CPS1" s="28"/>
      <c r="CPT1" s="28"/>
      <c r="CPU1" s="28"/>
      <c r="CPV1" s="28"/>
      <c r="CPW1" s="28"/>
      <c r="CPX1" s="28"/>
      <c r="CPY1" s="28"/>
      <c r="CPZ1" s="28"/>
      <c r="CQA1" s="28"/>
      <c r="CQB1" s="28"/>
      <c r="CQC1" s="28"/>
      <c r="CQD1" s="28"/>
      <c r="CQE1" s="28"/>
      <c r="CQF1" s="28"/>
      <c r="CQG1" s="28"/>
      <c r="CQH1" s="28"/>
      <c r="CQI1" s="28"/>
      <c r="CQJ1" s="28"/>
      <c r="CQK1" s="28"/>
      <c r="CQL1" s="28"/>
      <c r="CQM1" s="28"/>
      <c r="CQN1" s="28"/>
      <c r="CQO1" s="28"/>
      <c r="CQP1" s="28"/>
      <c r="CQQ1" s="28"/>
      <c r="CQR1" s="28"/>
      <c r="CQS1" s="28"/>
      <c r="CQT1" s="28"/>
      <c r="CQU1" s="28"/>
      <c r="CQV1" s="28"/>
      <c r="CQW1" s="28"/>
      <c r="CQX1" s="28"/>
      <c r="CQY1" s="28"/>
      <c r="CQZ1" s="28"/>
      <c r="CRA1" s="28"/>
      <c r="CRB1" s="28"/>
      <c r="CRC1" s="28"/>
      <c r="CRD1" s="28"/>
      <c r="CRE1" s="28"/>
      <c r="CRF1" s="28"/>
      <c r="CRG1" s="28"/>
      <c r="CRH1" s="28"/>
      <c r="CRI1" s="28"/>
      <c r="CRJ1" s="28"/>
      <c r="CRK1" s="28"/>
      <c r="CRL1" s="28"/>
      <c r="CRM1" s="28"/>
      <c r="CRN1" s="28"/>
      <c r="CRO1" s="28"/>
      <c r="CRP1" s="28"/>
      <c r="CRQ1" s="28"/>
      <c r="CRR1" s="28"/>
      <c r="CRS1" s="28"/>
      <c r="CRT1" s="28"/>
      <c r="CRU1" s="28"/>
      <c r="CRV1" s="28"/>
      <c r="CRW1" s="28"/>
      <c r="CRX1" s="28"/>
      <c r="CRY1" s="28"/>
      <c r="CRZ1" s="28"/>
      <c r="CSA1" s="28"/>
      <c r="CSB1" s="28"/>
      <c r="CSC1" s="28"/>
      <c r="CSD1" s="28"/>
      <c r="CSE1" s="28"/>
      <c r="CSF1" s="28"/>
      <c r="CSG1" s="28"/>
      <c r="CSH1" s="28"/>
      <c r="CSI1" s="28"/>
      <c r="CSJ1" s="28"/>
      <c r="CSK1" s="28"/>
      <c r="CSL1" s="28"/>
      <c r="CSM1" s="28"/>
      <c r="CSN1" s="28"/>
      <c r="CSO1" s="28"/>
      <c r="CSP1" s="28"/>
      <c r="CSQ1" s="28"/>
      <c r="CSR1" s="28"/>
      <c r="CSS1" s="28"/>
      <c r="CST1" s="28"/>
      <c r="CSU1" s="28"/>
      <c r="CSV1" s="28"/>
      <c r="CSW1" s="28"/>
      <c r="CSX1" s="28"/>
      <c r="CSY1" s="28"/>
      <c r="CSZ1" s="28"/>
      <c r="CTA1" s="28"/>
      <c r="CTB1" s="28"/>
      <c r="CTC1" s="28"/>
      <c r="CTD1" s="28"/>
      <c r="CTE1" s="28"/>
      <c r="CTF1" s="28"/>
      <c r="CTG1" s="28"/>
      <c r="CTH1" s="28"/>
      <c r="CTI1" s="28"/>
      <c r="CTJ1" s="28"/>
      <c r="CTK1" s="28"/>
      <c r="CTL1" s="28"/>
      <c r="CTM1" s="28"/>
      <c r="CTN1" s="28"/>
      <c r="CTO1" s="28"/>
      <c r="CTP1" s="28"/>
      <c r="CTQ1" s="28"/>
      <c r="CTR1" s="28"/>
      <c r="CTS1" s="28"/>
      <c r="CTT1" s="28"/>
      <c r="CTU1" s="28"/>
      <c r="CTV1" s="28"/>
      <c r="CTW1" s="28"/>
      <c r="CTX1" s="28"/>
      <c r="CTY1" s="28"/>
      <c r="CTZ1" s="28"/>
      <c r="CUA1" s="28"/>
      <c r="CUB1" s="28"/>
      <c r="CUC1" s="28"/>
      <c r="CUD1" s="28"/>
      <c r="CUE1" s="28"/>
      <c r="CUF1" s="28"/>
      <c r="CUG1" s="28"/>
      <c r="CUH1" s="28"/>
      <c r="CUI1" s="28"/>
      <c r="CUJ1" s="28"/>
      <c r="CUK1" s="28"/>
      <c r="CUL1" s="28"/>
      <c r="CUM1" s="28"/>
      <c r="CUN1" s="28"/>
      <c r="CUO1" s="28"/>
      <c r="CUP1" s="28"/>
      <c r="CUQ1" s="28"/>
      <c r="CUR1" s="28"/>
      <c r="CUS1" s="28"/>
      <c r="CUT1" s="28"/>
      <c r="CUU1" s="28"/>
      <c r="CUV1" s="28"/>
      <c r="CUW1" s="28"/>
      <c r="CUX1" s="28"/>
      <c r="CUY1" s="28"/>
      <c r="CUZ1" s="28"/>
      <c r="CVA1" s="28"/>
      <c r="CVB1" s="28"/>
      <c r="CVC1" s="28"/>
      <c r="CVD1" s="28"/>
      <c r="CVE1" s="28"/>
      <c r="CVF1" s="28"/>
      <c r="CVG1" s="28"/>
      <c r="CVH1" s="28"/>
      <c r="CVI1" s="28"/>
      <c r="CVJ1" s="28"/>
      <c r="CVK1" s="28"/>
      <c r="CVL1" s="28"/>
      <c r="CVM1" s="28"/>
      <c r="CVN1" s="28"/>
      <c r="CVO1" s="28"/>
      <c r="CVP1" s="28"/>
      <c r="CVQ1" s="28"/>
      <c r="CVR1" s="28"/>
      <c r="CVS1" s="28"/>
      <c r="CVT1" s="28"/>
      <c r="CVU1" s="28"/>
      <c r="CVV1" s="28"/>
      <c r="CVW1" s="28"/>
      <c r="CVX1" s="28"/>
      <c r="CVY1" s="28"/>
      <c r="CVZ1" s="28"/>
      <c r="CWA1" s="28"/>
      <c r="CWB1" s="28"/>
      <c r="CWC1" s="28"/>
      <c r="CWD1" s="28"/>
      <c r="CWE1" s="28"/>
      <c r="CWF1" s="28"/>
      <c r="CWG1" s="28"/>
      <c r="CWH1" s="28"/>
      <c r="CWI1" s="28"/>
      <c r="CWJ1" s="28"/>
      <c r="CWK1" s="28"/>
      <c r="CWL1" s="28"/>
      <c r="CWM1" s="28"/>
      <c r="CWN1" s="28"/>
      <c r="CWO1" s="28"/>
      <c r="CWP1" s="28"/>
      <c r="CWQ1" s="28"/>
      <c r="CWR1" s="28"/>
      <c r="CWS1" s="28"/>
      <c r="CWT1" s="28"/>
      <c r="CWU1" s="28"/>
      <c r="CWV1" s="28"/>
      <c r="CWW1" s="28"/>
      <c r="CWX1" s="28"/>
      <c r="CWY1" s="28"/>
      <c r="CWZ1" s="28"/>
      <c r="CXA1" s="28"/>
      <c r="CXB1" s="28"/>
      <c r="CXC1" s="28"/>
      <c r="CXD1" s="28"/>
      <c r="CXE1" s="28"/>
      <c r="CXF1" s="28"/>
      <c r="CXG1" s="28"/>
      <c r="CXH1" s="28"/>
      <c r="CXI1" s="28"/>
      <c r="CXJ1" s="28"/>
      <c r="CXK1" s="28"/>
      <c r="CXL1" s="28"/>
      <c r="CXM1" s="28"/>
      <c r="CXN1" s="28"/>
      <c r="CXO1" s="28"/>
      <c r="CXP1" s="28"/>
      <c r="CXQ1" s="28"/>
      <c r="CXR1" s="28"/>
      <c r="CXS1" s="28"/>
      <c r="CXT1" s="28"/>
      <c r="CXU1" s="28"/>
      <c r="CXV1" s="28"/>
      <c r="CXW1" s="28"/>
      <c r="CXX1" s="28"/>
      <c r="CXY1" s="28"/>
      <c r="CXZ1" s="28"/>
      <c r="CYA1" s="28"/>
      <c r="CYB1" s="28"/>
      <c r="CYC1" s="28"/>
      <c r="CYD1" s="28"/>
      <c r="CYE1" s="28"/>
      <c r="CYF1" s="28"/>
      <c r="CYG1" s="28"/>
      <c r="CYH1" s="28"/>
      <c r="CYI1" s="28"/>
      <c r="CYJ1" s="28"/>
      <c r="CYK1" s="28"/>
      <c r="CYL1" s="28"/>
      <c r="CYM1" s="28"/>
      <c r="CYN1" s="28"/>
      <c r="CYO1" s="28"/>
      <c r="CYP1" s="28"/>
      <c r="CYQ1" s="28"/>
      <c r="CYR1" s="28"/>
      <c r="CYS1" s="28"/>
      <c r="CYT1" s="28"/>
      <c r="CYU1" s="28"/>
      <c r="CYV1" s="28"/>
      <c r="CYW1" s="28"/>
      <c r="CYX1" s="28"/>
      <c r="CYY1" s="28"/>
      <c r="CYZ1" s="28"/>
      <c r="CZA1" s="28"/>
      <c r="CZB1" s="28"/>
      <c r="CZC1" s="28"/>
      <c r="CZD1" s="28"/>
      <c r="CZE1" s="28"/>
      <c r="CZF1" s="28"/>
      <c r="CZG1" s="28"/>
      <c r="CZH1" s="28"/>
      <c r="CZI1" s="28"/>
      <c r="CZJ1" s="28"/>
      <c r="CZK1" s="28"/>
      <c r="CZL1" s="28"/>
      <c r="CZM1" s="28"/>
      <c r="CZN1" s="28"/>
      <c r="CZO1" s="28"/>
      <c r="CZP1" s="28"/>
      <c r="CZQ1" s="28"/>
      <c r="CZR1" s="28"/>
      <c r="CZS1" s="28"/>
      <c r="CZT1" s="28"/>
      <c r="CZU1" s="28"/>
      <c r="CZV1" s="28"/>
      <c r="CZW1" s="28"/>
      <c r="CZX1" s="28"/>
      <c r="CZY1" s="28"/>
      <c r="CZZ1" s="28"/>
      <c r="DAA1" s="28"/>
      <c r="DAB1" s="28"/>
      <c r="DAC1" s="28"/>
      <c r="DAD1" s="28"/>
      <c r="DAE1" s="28"/>
      <c r="DAF1" s="28"/>
      <c r="DAG1" s="28"/>
      <c r="DAH1" s="28"/>
      <c r="DAI1" s="28"/>
      <c r="DAJ1" s="28"/>
      <c r="DAK1" s="28"/>
      <c r="DAL1" s="28"/>
      <c r="DAM1" s="28"/>
      <c r="DAN1" s="28"/>
      <c r="DAO1" s="28"/>
      <c r="DAP1" s="28"/>
      <c r="DAQ1" s="28"/>
      <c r="DAR1" s="28"/>
      <c r="DAS1" s="28"/>
      <c r="DAT1" s="28"/>
      <c r="DAU1" s="28"/>
      <c r="DAV1" s="28"/>
      <c r="DAW1" s="28"/>
      <c r="DAX1" s="28"/>
      <c r="DAY1" s="28"/>
      <c r="DAZ1" s="28"/>
      <c r="DBA1" s="28"/>
      <c r="DBB1" s="28"/>
      <c r="DBC1" s="28"/>
      <c r="DBD1" s="28"/>
      <c r="DBE1" s="28"/>
      <c r="DBF1" s="28"/>
      <c r="DBG1" s="28"/>
      <c r="DBH1" s="28"/>
      <c r="DBI1" s="28"/>
      <c r="DBJ1" s="28"/>
      <c r="DBK1" s="28"/>
      <c r="DBL1" s="28"/>
      <c r="DBM1" s="28"/>
      <c r="DBN1" s="28"/>
      <c r="DBO1" s="28"/>
      <c r="DBP1" s="28"/>
      <c r="DBQ1" s="28"/>
      <c r="DBR1" s="28"/>
      <c r="DBS1" s="28"/>
      <c r="DBT1" s="28"/>
      <c r="DBU1" s="28"/>
      <c r="DBV1" s="28"/>
      <c r="DBW1" s="28"/>
      <c r="DBX1" s="28"/>
      <c r="DBY1" s="28"/>
      <c r="DBZ1" s="28"/>
      <c r="DCA1" s="28"/>
      <c r="DCB1" s="28"/>
      <c r="DCC1" s="28"/>
      <c r="DCD1" s="28"/>
      <c r="DCE1" s="28"/>
      <c r="DCF1" s="28"/>
      <c r="DCG1" s="28"/>
      <c r="DCH1" s="28"/>
      <c r="DCI1" s="28"/>
      <c r="DCJ1" s="28"/>
      <c r="DCK1" s="28"/>
      <c r="DCL1" s="28"/>
      <c r="DCM1" s="28"/>
      <c r="DCN1" s="28"/>
      <c r="DCO1" s="28"/>
      <c r="DCP1" s="28"/>
      <c r="DCQ1" s="28"/>
      <c r="DCR1" s="28"/>
      <c r="DCS1" s="28"/>
      <c r="DCT1" s="28"/>
      <c r="DCU1" s="28"/>
      <c r="DCV1" s="28"/>
      <c r="DCW1" s="28"/>
      <c r="DCX1" s="28"/>
      <c r="DCY1" s="28"/>
      <c r="DCZ1" s="28"/>
      <c r="DDA1" s="28"/>
      <c r="DDB1" s="28"/>
      <c r="DDC1" s="28"/>
      <c r="DDD1" s="28"/>
      <c r="DDE1" s="28"/>
      <c r="DDF1" s="28"/>
      <c r="DDG1" s="28"/>
      <c r="DDH1" s="28"/>
      <c r="DDI1" s="28"/>
      <c r="DDJ1" s="28"/>
      <c r="DDK1" s="28"/>
      <c r="DDL1" s="28"/>
      <c r="DDM1" s="28"/>
      <c r="DDN1" s="28"/>
      <c r="DDO1" s="28"/>
      <c r="DDP1" s="28"/>
      <c r="DDQ1" s="28"/>
      <c r="DDR1" s="28"/>
      <c r="DDS1" s="28"/>
      <c r="DDT1" s="28"/>
      <c r="DDU1" s="28"/>
      <c r="DDV1" s="28"/>
      <c r="DDW1" s="28"/>
      <c r="DDX1" s="28"/>
      <c r="DDY1" s="28"/>
      <c r="DDZ1" s="28"/>
      <c r="DEA1" s="28"/>
      <c r="DEB1" s="28"/>
      <c r="DEC1" s="28"/>
      <c r="DED1" s="28"/>
      <c r="DEE1" s="28"/>
      <c r="DEF1" s="28"/>
      <c r="DEG1" s="28"/>
      <c r="DEH1" s="28"/>
      <c r="DEI1" s="28"/>
      <c r="DEJ1" s="28"/>
      <c r="DEK1" s="28"/>
      <c r="DEL1" s="28"/>
      <c r="DEM1" s="28"/>
      <c r="DEN1" s="28"/>
      <c r="DEO1" s="28"/>
      <c r="DEP1" s="28"/>
      <c r="DEQ1" s="28"/>
      <c r="DER1" s="28"/>
      <c r="DES1" s="28"/>
      <c r="DET1" s="28"/>
      <c r="DEU1" s="28"/>
      <c r="DEV1" s="28"/>
      <c r="DEW1" s="28"/>
      <c r="DEX1" s="28"/>
      <c r="DEY1" s="28"/>
      <c r="DEZ1" s="28"/>
      <c r="DFA1" s="28"/>
      <c r="DFB1" s="28"/>
      <c r="DFC1" s="28"/>
      <c r="DFD1" s="28"/>
      <c r="DFE1" s="28"/>
      <c r="DFF1" s="28"/>
      <c r="DFG1" s="28"/>
      <c r="DFH1" s="28"/>
      <c r="DFI1" s="28"/>
      <c r="DFJ1" s="28"/>
      <c r="DFK1" s="28"/>
      <c r="DFL1" s="28"/>
      <c r="DFM1" s="28"/>
      <c r="DFN1" s="28"/>
      <c r="DFO1" s="28"/>
      <c r="DFP1" s="28"/>
      <c r="DFQ1" s="28"/>
      <c r="DFR1" s="28"/>
      <c r="DFS1" s="28"/>
      <c r="DFT1" s="28"/>
      <c r="DFU1" s="28"/>
      <c r="DFV1" s="28"/>
      <c r="DFW1" s="28"/>
      <c r="DFX1" s="28"/>
      <c r="DFY1" s="28"/>
      <c r="DFZ1" s="28"/>
      <c r="DGA1" s="28"/>
      <c r="DGB1" s="28"/>
      <c r="DGC1" s="28"/>
      <c r="DGD1" s="28"/>
      <c r="DGE1" s="28"/>
      <c r="DGF1" s="28"/>
      <c r="DGG1" s="28"/>
      <c r="DGH1" s="28"/>
      <c r="DGI1" s="28"/>
      <c r="DGJ1" s="28"/>
      <c r="DGK1" s="28"/>
      <c r="DGL1" s="28"/>
      <c r="DGM1" s="28"/>
      <c r="DGN1" s="28"/>
      <c r="DGO1" s="28"/>
      <c r="DGP1" s="28"/>
      <c r="DGQ1" s="28"/>
      <c r="DGR1" s="28"/>
      <c r="DGS1" s="28"/>
      <c r="DGT1" s="28"/>
      <c r="DGU1" s="28"/>
      <c r="DGV1" s="28"/>
      <c r="DGW1" s="28"/>
      <c r="DGX1" s="28"/>
      <c r="DGY1" s="28"/>
      <c r="DGZ1" s="28"/>
      <c r="DHA1" s="28"/>
      <c r="DHB1" s="28"/>
      <c r="DHC1" s="28"/>
      <c r="DHD1" s="28"/>
      <c r="DHE1" s="28"/>
      <c r="DHF1" s="28"/>
      <c r="DHG1" s="28"/>
      <c r="DHH1" s="28"/>
      <c r="DHI1" s="28"/>
      <c r="DHJ1" s="28"/>
      <c r="DHK1" s="28"/>
      <c r="DHL1" s="28"/>
      <c r="DHM1" s="28"/>
      <c r="DHN1" s="28"/>
      <c r="DHO1" s="28"/>
      <c r="DHP1" s="28"/>
      <c r="DHQ1" s="28"/>
      <c r="DHR1" s="28"/>
      <c r="DHS1" s="28"/>
      <c r="DHT1" s="28"/>
      <c r="DHU1" s="28"/>
      <c r="DHV1" s="28"/>
      <c r="DHW1" s="28"/>
      <c r="DHX1" s="28"/>
      <c r="DHY1" s="28"/>
      <c r="DHZ1" s="28"/>
      <c r="DIA1" s="28"/>
      <c r="DIB1" s="28"/>
      <c r="DIC1" s="28"/>
      <c r="DID1" s="28"/>
      <c r="DIE1" s="28"/>
      <c r="DIF1" s="28"/>
      <c r="DIG1" s="28"/>
      <c r="DIH1" s="28"/>
      <c r="DII1" s="28"/>
      <c r="DIJ1" s="28"/>
      <c r="DIK1" s="28"/>
      <c r="DIL1" s="28"/>
      <c r="DIM1" s="28"/>
      <c r="DIN1" s="28"/>
      <c r="DIO1" s="28"/>
      <c r="DIP1" s="28"/>
      <c r="DIQ1" s="28"/>
      <c r="DIR1" s="28"/>
      <c r="DIS1" s="28"/>
      <c r="DIT1" s="28"/>
      <c r="DIU1" s="28"/>
      <c r="DIV1" s="28"/>
      <c r="DIW1" s="28"/>
      <c r="DIX1" s="28"/>
      <c r="DIY1" s="28"/>
      <c r="DIZ1" s="28"/>
      <c r="DJA1" s="28"/>
      <c r="DJB1" s="28"/>
      <c r="DJC1" s="28"/>
      <c r="DJD1" s="28"/>
      <c r="DJE1" s="28"/>
      <c r="DJF1" s="28"/>
      <c r="DJG1" s="28"/>
      <c r="DJH1" s="28"/>
      <c r="DJI1" s="28"/>
      <c r="DJJ1" s="28"/>
      <c r="DJK1" s="28"/>
      <c r="DJL1" s="28"/>
      <c r="DJM1" s="28"/>
      <c r="DJN1" s="28"/>
      <c r="DJO1" s="28"/>
      <c r="DJP1" s="28"/>
      <c r="DJQ1" s="28"/>
      <c r="DJR1" s="28"/>
      <c r="DJS1" s="28"/>
      <c r="DJT1" s="28"/>
      <c r="DJU1" s="28"/>
      <c r="DJV1" s="28"/>
      <c r="DJW1" s="28"/>
      <c r="DJX1" s="28"/>
      <c r="DJY1" s="28"/>
      <c r="DJZ1" s="28"/>
      <c r="DKA1" s="28"/>
      <c r="DKB1" s="28"/>
      <c r="DKC1" s="28"/>
      <c r="DKD1" s="28"/>
      <c r="DKE1" s="28"/>
      <c r="DKF1" s="28"/>
      <c r="DKG1" s="28"/>
      <c r="DKH1" s="28"/>
      <c r="DKI1" s="28"/>
      <c r="DKJ1" s="28"/>
      <c r="DKK1" s="28"/>
      <c r="DKL1" s="28"/>
      <c r="DKM1" s="28"/>
      <c r="DKN1" s="28"/>
      <c r="DKO1" s="28"/>
      <c r="DKP1" s="28"/>
      <c r="DKQ1" s="28"/>
      <c r="DKR1" s="28"/>
      <c r="DKS1" s="28"/>
      <c r="DKT1" s="28"/>
      <c r="DKU1" s="28"/>
      <c r="DKV1" s="28"/>
      <c r="DKW1" s="28"/>
      <c r="DKX1" s="28"/>
      <c r="DKY1" s="28"/>
      <c r="DKZ1" s="28"/>
      <c r="DLA1" s="28"/>
      <c r="DLB1" s="28"/>
      <c r="DLC1" s="28"/>
      <c r="DLD1" s="28"/>
      <c r="DLE1" s="28"/>
      <c r="DLF1" s="28"/>
      <c r="DLG1" s="28"/>
      <c r="DLH1" s="28"/>
      <c r="DLI1" s="28"/>
      <c r="DLJ1" s="28"/>
      <c r="DLK1" s="28"/>
      <c r="DLL1" s="28"/>
      <c r="DLM1" s="28"/>
      <c r="DLN1" s="28"/>
      <c r="DLO1" s="28"/>
      <c r="DLP1" s="28"/>
      <c r="DLQ1" s="28"/>
      <c r="DLR1" s="28"/>
      <c r="DLS1" s="28"/>
      <c r="DLT1" s="28"/>
      <c r="DLU1" s="28"/>
      <c r="DLV1" s="28"/>
      <c r="DLW1" s="28"/>
      <c r="DLX1" s="28"/>
      <c r="DLY1" s="28"/>
      <c r="DLZ1" s="28"/>
      <c r="DMA1" s="28"/>
      <c r="DMB1" s="28"/>
      <c r="DMC1" s="28"/>
      <c r="DMD1" s="28"/>
      <c r="DME1" s="28"/>
      <c r="DMF1" s="28"/>
      <c r="DMG1" s="28"/>
      <c r="DMH1" s="28"/>
      <c r="DMI1" s="28"/>
      <c r="DMJ1" s="28"/>
      <c r="DMK1" s="28"/>
      <c r="DML1" s="28"/>
      <c r="DMM1" s="28"/>
      <c r="DMN1" s="28"/>
      <c r="DMO1" s="28"/>
      <c r="DMP1" s="28"/>
      <c r="DMQ1" s="28"/>
      <c r="DMR1" s="28"/>
      <c r="DMS1" s="28"/>
      <c r="DMT1" s="28"/>
      <c r="DMU1" s="28"/>
      <c r="DMV1" s="28"/>
      <c r="DMW1" s="28"/>
      <c r="DMX1" s="28"/>
      <c r="DMY1" s="28"/>
      <c r="DMZ1" s="28"/>
      <c r="DNA1" s="28"/>
      <c r="DNB1" s="28"/>
      <c r="DNC1" s="28"/>
      <c r="DND1" s="28"/>
      <c r="DNE1" s="28"/>
      <c r="DNF1" s="28"/>
      <c r="DNG1" s="28"/>
      <c r="DNH1" s="28"/>
      <c r="DNI1" s="28"/>
      <c r="DNJ1" s="28"/>
      <c r="DNK1" s="28"/>
      <c r="DNL1" s="28"/>
      <c r="DNM1" s="28"/>
      <c r="DNN1" s="28"/>
      <c r="DNO1" s="28"/>
      <c r="DNP1" s="28"/>
      <c r="DNQ1" s="28"/>
      <c r="DNR1" s="28"/>
      <c r="DNS1" s="28"/>
      <c r="DNT1" s="28"/>
      <c r="DNU1" s="28"/>
      <c r="DNV1" s="28"/>
      <c r="DNW1" s="28"/>
      <c r="DNX1" s="28"/>
      <c r="DNY1" s="28"/>
      <c r="DNZ1" s="28"/>
      <c r="DOA1" s="28"/>
      <c r="DOB1" s="28"/>
      <c r="DOC1" s="28"/>
      <c r="DOD1" s="28"/>
      <c r="DOE1" s="28"/>
      <c r="DOF1" s="28"/>
      <c r="DOG1" s="28"/>
      <c r="DOH1" s="28"/>
      <c r="DOI1" s="28"/>
      <c r="DOJ1" s="28"/>
      <c r="DOK1" s="28"/>
      <c r="DOL1" s="28"/>
      <c r="DOM1" s="28"/>
      <c r="DON1" s="28"/>
      <c r="DOO1" s="28"/>
      <c r="DOP1" s="28"/>
      <c r="DOQ1" s="28"/>
      <c r="DOR1" s="28"/>
      <c r="DOS1" s="28"/>
      <c r="DOT1" s="28"/>
      <c r="DOU1" s="28"/>
      <c r="DOV1" s="28"/>
      <c r="DOW1" s="28"/>
      <c r="DOX1" s="28"/>
      <c r="DOY1" s="28"/>
      <c r="DOZ1" s="28"/>
      <c r="DPA1" s="28"/>
      <c r="DPB1" s="28"/>
      <c r="DPC1" s="28"/>
      <c r="DPD1" s="28"/>
      <c r="DPE1" s="28"/>
      <c r="DPF1" s="28"/>
      <c r="DPG1" s="28"/>
      <c r="DPH1" s="28"/>
      <c r="DPI1" s="28"/>
      <c r="DPJ1" s="28"/>
      <c r="DPK1" s="28"/>
      <c r="DPL1" s="28"/>
      <c r="DPM1" s="28"/>
      <c r="DPN1" s="28"/>
      <c r="DPO1" s="28"/>
      <c r="DPP1" s="28"/>
      <c r="DPQ1" s="28"/>
      <c r="DPR1" s="28"/>
      <c r="DPS1" s="28"/>
      <c r="DPT1" s="28"/>
      <c r="DPU1" s="28"/>
      <c r="DPV1" s="28"/>
      <c r="DPW1" s="28"/>
      <c r="DPX1" s="28"/>
      <c r="DPY1" s="28"/>
      <c r="DPZ1" s="28"/>
      <c r="DQA1" s="28"/>
      <c r="DQB1" s="28"/>
      <c r="DQC1" s="28"/>
      <c r="DQD1" s="28"/>
      <c r="DQE1" s="28"/>
      <c r="DQF1" s="28"/>
      <c r="DQG1" s="28"/>
      <c r="DQH1" s="28"/>
      <c r="DQI1" s="28"/>
      <c r="DQJ1" s="28"/>
      <c r="DQK1" s="28"/>
      <c r="DQL1" s="28"/>
      <c r="DQM1" s="28"/>
      <c r="DQN1" s="28"/>
      <c r="DQO1" s="28"/>
      <c r="DQP1" s="28"/>
      <c r="DQQ1" s="28"/>
      <c r="DQR1" s="28"/>
      <c r="DQS1" s="28"/>
      <c r="DQT1" s="28"/>
      <c r="DQU1" s="28"/>
      <c r="DQV1" s="28"/>
      <c r="DQW1" s="28"/>
      <c r="DQX1" s="28"/>
      <c r="DQY1" s="28"/>
      <c r="DQZ1" s="28"/>
      <c r="DRA1" s="28"/>
      <c r="DRB1" s="28"/>
      <c r="DRC1" s="28"/>
      <c r="DRD1" s="28"/>
      <c r="DRE1" s="28"/>
      <c r="DRF1" s="28"/>
      <c r="DRG1" s="28"/>
      <c r="DRH1" s="28"/>
      <c r="DRI1" s="28"/>
      <c r="DRJ1" s="28"/>
      <c r="DRK1" s="28"/>
      <c r="DRL1" s="28"/>
      <c r="DRM1" s="28"/>
      <c r="DRN1" s="28"/>
      <c r="DRO1" s="28"/>
      <c r="DRP1" s="28"/>
      <c r="DRQ1" s="28"/>
      <c r="DRR1" s="28"/>
      <c r="DRS1" s="28"/>
      <c r="DRT1" s="28"/>
      <c r="DRU1" s="28"/>
      <c r="DRV1" s="28"/>
      <c r="DRW1" s="28"/>
      <c r="DRX1" s="28"/>
      <c r="DRY1" s="28"/>
      <c r="DRZ1" s="28"/>
      <c r="DSA1" s="28"/>
      <c r="DSB1" s="28"/>
      <c r="DSC1" s="28"/>
      <c r="DSD1" s="28"/>
      <c r="DSE1" s="28"/>
      <c r="DSF1" s="28"/>
      <c r="DSG1" s="28"/>
      <c r="DSH1" s="28"/>
      <c r="DSI1" s="28"/>
      <c r="DSJ1" s="28"/>
      <c r="DSK1" s="28"/>
      <c r="DSL1" s="28"/>
      <c r="DSM1" s="28"/>
      <c r="DSN1" s="28"/>
      <c r="DSO1" s="28"/>
      <c r="DSP1" s="28"/>
      <c r="DSQ1" s="28"/>
      <c r="DSR1" s="28"/>
      <c r="DSS1" s="28"/>
      <c r="DST1" s="28"/>
      <c r="DSU1" s="28"/>
      <c r="DSV1" s="28"/>
      <c r="DSW1" s="28"/>
      <c r="DSX1" s="28"/>
      <c r="DSY1" s="28"/>
      <c r="DSZ1" s="28"/>
      <c r="DTA1" s="28"/>
      <c r="DTB1" s="28"/>
      <c r="DTC1" s="28"/>
      <c r="DTD1" s="28"/>
      <c r="DTE1" s="28"/>
      <c r="DTF1" s="28"/>
      <c r="DTG1" s="28"/>
      <c r="DTH1" s="28"/>
      <c r="DTI1" s="28"/>
      <c r="DTJ1" s="28"/>
      <c r="DTK1" s="28"/>
      <c r="DTL1" s="28"/>
      <c r="DTM1" s="28"/>
      <c r="DTN1" s="28"/>
      <c r="DTO1" s="28"/>
      <c r="DTP1" s="28"/>
      <c r="DTQ1" s="28"/>
      <c r="DTR1" s="28"/>
      <c r="DTS1" s="28"/>
      <c r="DTT1" s="28"/>
      <c r="DTU1" s="28"/>
      <c r="DTV1" s="28"/>
      <c r="DTW1" s="28"/>
      <c r="DTX1" s="28"/>
      <c r="DTY1" s="28"/>
      <c r="DTZ1" s="28"/>
      <c r="DUA1" s="28"/>
      <c r="DUB1" s="28"/>
      <c r="DUC1" s="28"/>
      <c r="DUD1" s="28"/>
      <c r="DUE1" s="28"/>
      <c r="DUF1" s="28"/>
      <c r="DUG1" s="28"/>
      <c r="DUH1" s="28"/>
      <c r="DUI1" s="28"/>
      <c r="DUJ1" s="28"/>
      <c r="DUK1" s="28"/>
      <c r="DUL1" s="28"/>
      <c r="DUM1" s="28"/>
      <c r="DUN1" s="28"/>
      <c r="DUO1" s="28"/>
      <c r="DUP1" s="28"/>
      <c r="DUQ1" s="28"/>
      <c r="DUR1" s="28"/>
      <c r="DUS1" s="28"/>
      <c r="DUT1" s="28"/>
      <c r="DUU1" s="28"/>
      <c r="DUV1" s="28"/>
      <c r="DUW1" s="28"/>
      <c r="DUX1" s="28"/>
      <c r="DUY1" s="28"/>
      <c r="DUZ1" s="28"/>
      <c r="DVA1" s="28"/>
      <c r="DVB1" s="28"/>
      <c r="DVC1" s="28"/>
      <c r="DVD1" s="28"/>
      <c r="DVE1" s="28"/>
      <c r="DVF1" s="28"/>
      <c r="DVG1" s="28"/>
      <c r="DVH1" s="28"/>
      <c r="DVI1" s="28"/>
      <c r="DVJ1" s="28"/>
      <c r="DVK1" s="28"/>
      <c r="DVL1" s="28"/>
      <c r="DVM1" s="28"/>
      <c r="DVN1" s="28"/>
      <c r="DVO1" s="28"/>
      <c r="DVP1" s="28"/>
      <c r="DVQ1" s="28"/>
      <c r="DVR1" s="28"/>
      <c r="DVS1" s="28"/>
      <c r="DVT1" s="28"/>
      <c r="DVU1" s="28"/>
      <c r="DVV1" s="28"/>
      <c r="DVW1" s="28"/>
      <c r="DVX1" s="28"/>
      <c r="DVY1" s="28"/>
      <c r="DVZ1" s="28"/>
      <c r="DWA1" s="28"/>
      <c r="DWB1" s="28"/>
      <c r="DWC1" s="28"/>
      <c r="DWD1" s="28"/>
      <c r="DWE1" s="28"/>
      <c r="DWF1" s="28"/>
      <c r="DWG1" s="28"/>
      <c r="DWH1" s="28"/>
      <c r="DWI1" s="28"/>
      <c r="DWJ1" s="28"/>
      <c r="DWK1" s="28"/>
      <c r="DWL1" s="28"/>
      <c r="DWM1" s="28"/>
      <c r="DWN1" s="28"/>
      <c r="DWO1" s="28"/>
      <c r="DWP1" s="28"/>
      <c r="DWQ1" s="28"/>
      <c r="DWR1" s="28"/>
      <c r="DWS1" s="28"/>
      <c r="DWT1" s="28"/>
      <c r="DWU1" s="28"/>
      <c r="DWV1" s="28"/>
      <c r="DWW1" s="28"/>
      <c r="DWX1" s="28"/>
      <c r="DWY1" s="28"/>
      <c r="DWZ1" s="28"/>
      <c r="DXA1" s="28"/>
      <c r="DXB1" s="28"/>
      <c r="DXC1" s="28"/>
      <c r="DXD1" s="28"/>
      <c r="DXE1" s="28"/>
      <c r="DXF1" s="28"/>
      <c r="DXG1" s="28"/>
      <c r="DXH1" s="28"/>
      <c r="DXI1" s="28"/>
      <c r="DXJ1" s="28"/>
      <c r="DXK1" s="28"/>
      <c r="DXL1" s="28"/>
      <c r="DXM1" s="28"/>
      <c r="DXN1" s="28"/>
      <c r="DXO1" s="28"/>
      <c r="DXP1" s="28"/>
      <c r="DXQ1" s="28"/>
      <c r="DXR1" s="28"/>
      <c r="DXS1" s="28"/>
      <c r="DXT1" s="28"/>
      <c r="DXU1" s="28"/>
      <c r="DXV1" s="28"/>
      <c r="DXW1" s="28"/>
      <c r="DXX1" s="28"/>
      <c r="DXY1" s="28"/>
      <c r="DXZ1" s="28"/>
      <c r="DYA1" s="28"/>
      <c r="DYB1" s="28"/>
      <c r="DYC1" s="28"/>
      <c r="DYD1" s="28"/>
      <c r="DYE1" s="28"/>
      <c r="DYF1" s="28"/>
      <c r="DYG1" s="28"/>
      <c r="DYH1" s="28"/>
      <c r="DYI1" s="28"/>
      <c r="DYJ1" s="28"/>
      <c r="DYK1" s="28"/>
      <c r="DYL1" s="28"/>
      <c r="DYM1" s="28"/>
      <c r="DYN1" s="28"/>
      <c r="DYO1" s="28"/>
      <c r="DYP1" s="28"/>
      <c r="DYQ1" s="28"/>
      <c r="DYR1" s="28"/>
      <c r="DYS1" s="28"/>
      <c r="DYT1" s="28"/>
      <c r="DYU1" s="28"/>
      <c r="DYV1" s="28"/>
      <c r="DYW1" s="28"/>
      <c r="DYX1" s="28"/>
      <c r="DYY1" s="28"/>
      <c r="DYZ1" s="28"/>
      <c r="DZA1" s="28"/>
      <c r="DZB1" s="28"/>
      <c r="DZC1" s="28"/>
      <c r="DZD1" s="28"/>
      <c r="DZE1" s="28"/>
      <c r="DZF1" s="28"/>
      <c r="DZG1" s="28"/>
      <c r="DZH1" s="28"/>
      <c r="DZI1" s="28"/>
      <c r="DZJ1" s="28"/>
      <c r="DZK1" s="28"/>
      <c r="DZL1" s="28"/>
      <c r="DZM1" s="28"/>
      <c r="DZN1" s="28"/>
      <c r="DZO1" s="28"/>
      <c r="DZP1" s="28"/>
      <c r="DZQ1" s="28"/>
      <c r="DZR1" s="28"/>
      <c r="DZS1" s="28"/>
      <c r="DZT1" s="28"/>
      <c r="DZU1" s="28"/>
      <c r="DZV1" s="28"/>
      <c r="DZW1" s="28"/>
      <c r="DZX1" s="28"/>
      <c r="DZY1" s="28"/>
      <c r="DZZ1" s="28"/>
      <c r="EAA1" s="28"/>
      <c r="EAB1" s="28"/>
      <c r="EAC1" s="28"/>
      <c r="EAD1" s="28"/>
      <c r="EAE1" s="28"/>
      <c r="EAF1" s="28"/>
      <c r="EAG1" s="28"/>
      <c r="EAH1" s="28"/>
      <c r="EAI1" s="28"/>
      <c r="EAJ1" s="28"/>
      <c r="EAK1" s="28"/>
      <c r="EAL1" s="28"/>
      <c r="EAM1" s="28"/>
      <c r="EAN1" s="28"/>
      <c r="EAO1" s="28"/>
      <c r="EAP1" s="28"/>
      <c r="EAQ1" s="28"/>
      <c r="EAR1" s="28"/>
      <c r="EAS1" s="28"/>
      <c r="EAT1" s="28"/>
      <c r="EAU1" s="28"/>
      <c r="EAV1" s="28"/>
      <c r="EAW1" s="28"/>
      <c r="EAX1" s="28"/>
      <c r="EAY1" s="28"/>
      <c r="EAZ1" s="28"/>
      <c r="EBA1" s="28"/>
      <c r="EBB1" s="28"/>
      <c r="EBC1" s="28"/>
      <c r="EBD1" s="28"/>
      <c r="EBE1" s="28"/>
      <c r="EBF1" s="28"/>
      <c r="EBG1" s="28"/>
      <c r="EBH1" s="28"/>
      <c r="EBI1" s="28"/>
      <c r="EBJ1" s="28"/>
      <c r="EBK1" s="28"/>
      <c r="EBL1" s="28"/>
      <c r="EBM1" s="28"/>
      <c r="EBN1" s="28"/>
      <c r="EBO1" s="28"/>
      <c r="EBP1" s="28"/>
      <c r="EBQ1" s="28"/>
      <c r="EBR1" s="28"/>
      <c r="EBS1" s="28"/>
      <c r="EBT1" s="28"/>
      <c r="EBU1" s="28"/>
      <c r="EBV1" s="28"/>
      <c r="EBW1" s="28"/>
      <c r="EBX1" s="28"/>
      <c r="EBY1" s="28"/>
      <c r="EBZ1" s="28"/>
      <c r="ECA1" s="28"/>
      <c r="ECB1" s="28"/>
      <c r="ECC1" s="28"/>
      <c r="ECD1" s="28"/>
      <c r="ECE1" s="28"/>
      <c r="ECF1" s="28"/>
      <c r="ECG1" s="28"/>
      <c r="ECH1" s="28"/>
      <c r="ECI1" s="28"/>
      <c r="ECJ1" s="28"/>
      <c r="ECK1" s="28"/>
      <c r="ECL1" s="28"/>
      <c r="ECM1" s="28"/>
      <c r="ECN1" s="28"/>
      <c r="ECO1" s="28"/>
      <c r="ECP1" s="28"/>
      <c r="ECQ1" s="28"/>
      <c r="ECR1" s="28"/>
      <c r="ECS1" s="28"/>
      <c r="ECT1" s="28"/>
      <c r="ECU1" s="28"/>
      <c r="ECV1" s="28"/>
      <c r="ECW1" s="28"/>
      <c r="ECX1" s="28"/>
      <c r="ECY1" s="28"/>
      <c r="ECZ1" s="28"/>
      <c r="EDA1" s="28"/>
      <c r="EDB1" s="28"/>
      <c r="EDC1" s="28"/>
      <c r="EDD1" s="28"/>
      <c r="EDE1" s="28"/>
      <c r="EDF1" s="28"/>
      <c r="EDG1" s="28"/>
      <c r="EDH1" s="28"/>
      <c r="EDI1" s="28"/>
      <c r="EDJ1" s="28"/>
      <c r="EDK1" s="28"/>
      <c r="EDL1" s="28"/>
      <c r="EDM1" s="28"/>
      <c r="EDN1" s="28"/>
      <c r="EDO1" s="28"/>
      <c r="EDP1" s="28"/>
      <c r="EDQ1" s="28"/>
      <c r="EDR1" s="28"/>
      <c r="EDS1" s="28"/>
      <c r="EDT1" s="28"/>
      <c r="EDU1" s="28"/>
      <c r="EDV1" s="28"/>
      <c r="EDW1" s="28"/>
      <c r="EDX1" s="28"/>
      <c r="EDY1" s="28"/>
      <c r="EDZ1" s="28"/>
      <c r="EEA1" s="28"/>
      <c r="EEB1" s="28"/>
      <c r="EEC1" s="28"/>
      <c r="EED1" s="28"/>
      <c r="EEE1" s="28"/>
      <c r="EEF1" s="28"/>
      <c r="EEG1" s="28"/>
      <c r="EEH1" s="28"/>
      <c r="EEI1" s="28"/>
      <c r="EEJ1" s="28"/>
      <c r="EEK1" s="28"/>
      <c r="EEL1" s="28"/>
      <c r="EEM1" s="28"/>
      <c r="EEN1" s="28"/>
      <c r="EEO1" s="28"/>
      <c r="EEP1" s="28"/>
      <c r="EEQ1" s="28"/>
      <c r="EER1" s="28"/>
      <c r="EES1" s="28"/>
      <c r="EET1" s="28"/>
      <c r="EEU1" s="28"/>
      <c r="EEV1" s="28"/>
      <c r="EEW1" s="28"/>
      <c r="EEX1" s="28"/>
      <c r="EEY1" s="28"/>
      <c r="EEZ1" s="28"/>
      <c r="EFA1" s="28"/>
      <c r="EFB1" s="28"/>
      <c r="EFC1" s="28"/>
      <c r="EFD1" s="28"/>
      <c r="EFE1" s="28"/>
      <c r="EFF1" s="28"/>
      <c r="EFG1" s="28"/>
      <c r="EFH1" s="28"/>
      <c r="EFI1" s="28"/>
      <c r="EFJ1" s="28"/>
      <c r="EFK1" s="28"/>
      <c r="EFL1" s="28"/>
      <c r="EFM1" s="28"/>
      <c r="EFN1" s="28"/>
      <c r="EFO1" s="28"/>
      <c r="EFP1" s="28"/>
      <c r="EFQ1" s="28"/>
      <c r="EFR1" s="28"/>
      <c r="EFS1" s="28"/>
      <c r="EFT1" s="28"/>
      <c r="EFU1" s="28"/>
      <c r="EFV1" s="28"/>
      <c r="EFW1" s="28"/>
      <c r="EFX1" s="28"/>
      <c r="EFY1" s="28"/>
      <c r="EFZ1" s="28"/>
      <c r="EGA1" s="28"/>
      <c r="EGB1" s="28"/>
      <c r="EGC1" s="28"/>
      <c r="EGD1" s="28"/>
      <c r="EGE1" s="28"/>
      <c r="EGF1" s="28"/>
      <c r="EGG1" s="28"/>
      <c r="EGH1" s="28"/>
      <c r="EGI1" s="28"/>
      <c r="EGJ1" s="28"/>
      <c r="EGK1" s="28"/>
      <c r="EGL1" s="28"/>
      <c r="EGM1" s="28"/>
      <c r="EGN1" s="28"/>
      <c r="EGO1" s="28"/>
      <c r="EGP1" s="28"/>
      <c r="EGQ1" s="28"/>
      <c r="EGR1" s="28"/>
      <c r="EGS1" s="28"/>
      <c r="EGT1" s="28"/>
      <c r="EGU1" s="28"/>
      <c r="EGV1" s="28"/>
      <c r="EGW1" s="28"/>
      <c r="EGX1" s="28"/>
      <c r="EGY1" s="28"/>
      <c r="EGZ1" s="28"/>
      <c r="EHA1" s="28"/>
      <c r="EHB1" s="28"/>
      <c r="EHC1" s="28"/>
      <c r="EHD1" s="28"/>
      <c r="EHE1" s="28"/>
      <c r="EHF1" s="28"/>
      <c r="EHG1" s="28"/>
      <c r="EHH1" s="28"/>
      <c r="EHI1" s="28"/>
      <c r="EHJ1" s="28"/>
      <c r="EHK1" s="28"/>
      <c r="EHL1" s="28"/>
      <c r="EHM1" s="28"/>
      <c r="EHN1" s="28"/>
      <c r="EHO1" s="28"/>
      <c r="EHP1" s="28"/>
      <c r="EHQ1" s="28"/>
      <c r="EHR1" s="28"/>
      <c r="EHS1" s="28"/>
      <c r="EHT1" s="28"/>
      <c r="EHU1" s="28"/>
      <c r="EHV1" s="28"/>
      <c r="EHW1" s="28"/>
      <c r="EHX1" s="28"/>
      <c r="EHY1" s="28"/>
      <c r="EHZ1" s="28"/>
      <c r="EIA1" s="28"/>
      <c r="EIB1" s="28"/>
      <c r="EIC1" s="28"/>
      <c r="EID1" s="28"/>
      <c r="EIE1" s="28"/>
      <c r="EIF1" s="28"/>
      <c r="EIG1" s="28"/>
      <c r="EIH1" s="28"/>
      <c r="EII1" s="28"/>
      <c r="EIJ1" s="28"/>
      <c r="EIK1" s="28"/>
      <c r="EIL1" s="28"/>
      <c r="EIM1" s="28"/>
      <c r="EIN1" s="28"/>
      <c r="EIO1" s="28"/>
      <c r="EIP1" s="28"/>
      <c r="EIQ1" s="28"/>
      <c r="EIR1" s="28"/>
      <c r="EIS1" s="28"/>
      <c r="EIT1" s="28"/>
      <c r="EIU1" s="28"/>
      <c r="EIV1" s="28"/>
      <c r="EIW1" s="28"/>
      <c r="EIX1" s="28"/>
      <c r="EIY1" s="28"/>
      <c r="EIZ1" s="28"/>
      <c r="EJA1" s="28"/>
      <c r="EJB1" s="28"/>
      <c r="EJC1" s="28"/>
      <c r="EJD1" s="28"/>
      <c r="EJE1" s="28"/>
      <c r="EJF1" s="28"/>
      <c r="EJG1" s="28"/>
      <c r="EJH1" s="28"/>
      <c r="EJI1" s="28"/>
      <c r="EJJ1" s="28"/>
      <c r="EJK1" s="28"/>
      <c r="EJL1" s="28"/>
      <c r="EJM1" s="28"/>
      <c r="EJN1" s="28"/>
      <c r="EJO1" s="28"/>
      <c r="EJP1" s="28"/>
      <c r="EJQ1" s="28"/>
      <c r="EJR1" s="28"/>
      <c r="EJS1" s="28"/>
      <c r="EJT1" s="28"/>
      <c r="EJU1" s="28"/>
      <c r="EJV1" s="28"/>
      <c r="EJW1" s="28"/>
      <c r="EJX1" s="28"/>
      <c r="EJY1" s="28"/>
      <c r="EJZ1" s="28"/>
      <c r="EKA1" s="28"/>
      <c r="EKB1" s="28"/>
      <c r="EKC1" s="28"/>
      <c r="EKD1" s="28"/>
      <c r="EKE1" s="28"/>
      <c r="EKF1" s="28"/>
      <c r="EKG1" s="28"/>
      <c r="EKH1" s="28"/>
      <c r="EKI1" s="28"/>
      <c r="EKJ1" s="28"/>
      <c r="EKK1" s="28"/>
      <c r="EKL1" s="28"/>
      <c r="EKM1" s="28"/>
      <c r="EKN1" s="28"/>
      <c r="EKO1" s="28"/>
      <c r="EKP1" s="28"/>
      <c r="EKQ1" s="28"/>
      <c r="EKR1" s="28"/>
      <c r="EKS1" s="28"/>
      <c r="EKT1" s="28"/>
      <c r="EKU1" s="28"/>
      <c r="EKV1" s="28"/>
      <c r="EKW1" s="28"/>
      <c r="EKX1" s="28"/>
      <c r="EKY1" s="28"/>
      <c r="EKZ1" s="28"/>
      <c r="ELA1" s="28"/>
      <c r="ELB1" s="28"/>
      <c r="ELC1" s="28"/>
      <c r="ELD1" s="28"/>
      <c r="ELE1" s="28"/>
      <c r="ELF1" s="28"/>
      <c r="ELG1" s="28"/>
      <c r="ELH1" s="28"/>
      <c r="ELI1" s="28"/>
      <c r="ELJ1" s="28"/>
      <c r="ELK1" s="28"/>
      <c r="ELL1" s="28"/>
      <c r="ELM1" s="28"/>
      <c r="ELN1" s="28"/>
      <c r="ELO1" s="28"/>
      <c r="ELP1" s="28"/>
      <c r="ELQ1" s="28"/>
      <c r="ELR1" s="28"/>
      <c r="ELS1" s="28"/>
      <c r="ELT1" s="28"/>
      <c r="ELU1" s="28"/>
      <c r="ELV1" s="28"/>
      <c r="ELW1" s="28"/>
      <c r="ELX1" s="28"/>
      <c r="ELY1" s="28"/>
      <c r="ELZ1" s="28"/>
      <c r="EMA1" s="28"/>
      <c r="EMB1" s="28"/>
      <c r="EMC1" s="28"/>
      <c r="EMD1" s="28"/>
      <c r="EME1" s="28"/>
      <c r="EMF1" s="28"/>
      <c r="EMG1" s="28"/>
      <c r="EMH1" s="28"/>
      <c r="EMI1" s="28"/>
      <c r="EMJ1" s="28"/>
      <c r="EMK1" s="28"/>
      <c r="EML1" s="28"/>
      <c r="EMM1" s="28"/>
      <c r="EMN1" s="28"/>
      <c r="EMO1" s="28"/>
      <c r="EMP1" s="28"/>
      <c r="EMQ1" s="28"/>
      <c r="EMR1" s="28"/>
      <c r="EMS1" s="28"/>
      <c r="EMT1" s="28"/>
      <c r="EMU1" s="28"/>
      <c r="EMV1" s="28"/>
      <c r="EMW1" s="28"/>
      <c r="EMX1" s="28"/>
      <c r="EMY1" s="28"/>
      <c r="EMZ1" s="28"/>
      <c r="ENA1" s="28"/>
      <c r="ENB1" s="28"/>
      <c r="ENC1" s="28"/>
      <c r="END1" s="28"/>
      <c r="ENE1" s="28"/>
      <c r="ENF1" s="28"/>
      <c r="ENG1" s="28"/>
      <c r="ENH1" s="28"/>
      <c r="ENI1" s="28"/>
      <c r="ENJ1" s="28"/>
      <c r="ENK1" s="28"/>
      <c r="ENL1" s="28"/>
      <c r="ENM1" s="28"/>
      <c r="ENN1" s="28"/>
      <c r="ENO1" s="28"/>
      <c r="ENP1" s="28"/>
      <c r="ENQ1" s="28"/>
      <c r="ENR1" s="28"/>
      <c r="ENS1" s="28"/>
      <c r="ENT1" s="28"/>
      <c r="ENU1" s="28"/>
      <c r="ENV1" s="28"/>
      <c r="ENW1" s="28"/>
      <c r="ENX1" s="28"/>
      <c r="ENY1" s="28"/>
      <c r="ENZ1" s="28"/>
      <c r="EOA1" s="28"/>
      <c r="EOB1" s="28"/>
      <c r="EOC1" s="28"/>
      <c r="EOD1" s="28"/>
      <c r="EOE1" s="28"/>
      <c r="EOF1" s="28"/>
      <c r="EOG1" s="28"/>
      <c r="EOH1" s="28"/>
      <c r="EOI1" s="28"/>
      <c r="EOJ1" s="28"/>
      <c r="EOK1" s="28"/>
      <c r="EOL1" s="28"/>
      <c r="EOM1" s="28"/>
      <c r="EON1" s="28"/>
      <c r="EOO1" s="28"/>
      <c r="EOP1" s="28"/>
      <c r="EOQ1" s="28"/>
      <c r="EOR1" s="28"/>
      <c r="EOS1" s="28"/>
      <c r="EOT1" s="28"/>
      <c r="EOU1" s="28"/>
      <c r="EOV1" s="28"/>
      <c r="EOW1" s="28"/>
      <c r="EOX1" s="28"/>
      <c r="EOY1" s="28"/>
      <c r="EOZ1" s="28"/>
      <c r="EPA1" s="28"/>
      <c r="EPB1" s="28"/>
      <c r="EPC1" s="28"/>
      <c r="EPD1" s="28"/>
      <c r="EPE1" s="28"/>
      <c r="EPF1" s="28"/>
      <c r="EPG1" s="28"/>
      <c r="EPH1" s="28"/>
      <c r="EPI1" s="28"/>
      <c r="EPJ1" s="28"/>
      <c r="EPK1" s="28"/>
      <c r="EPL1" s="28"/>
      <c r="EPM1" s="28"/>
      <c r="EPN1" s="28"/>
      <c r="EPO1" s="28"/>
      <c r="EPP1" s="28"/>
      <c r="EPQ1" s="28"/>
      <c r="EPR1" s="28"/>
      <c r="EPS1" s="28"/>
      <c r="EPT1" s="28"/>
      <c r="EPU1" s="28"/>
      <c r="EPV1" s="28"/>
      <c r="EPW1" s="28"/>
      <c r="EPX1" s="28"/>
      <c r="EPY1" s="28"/>
      <c r="EPZ1" s="28"/>
      <c r="EQA1" s="28"/>
      <c r="EQB1" s="28"/>
      <c r="EQC1" s="28"/>
      <c r="EQD1" s="28"/>
      <c r="EQE1" s="28"/>
      <c r="EQF1" s="28"/>
      <c r="EQG1" s="28"/>
      <c r="EQH1" s="28"/>
      <c r="EQI1" s="28"/>
      <c r="EQJ1" s="28"/>
      <c r="EQK1" s="28"/>
      <c r="EQL1" s="28"/>
      <c r="EQM1" s="28"/>
      <c r="EQN1" s="28"/>
      <c r="EQO1" s="28"/>
      <c r="EQP1" s="28"/>
      <c r="EQQ1" s="28"/>
      <c r="EQR1" s="28"/>
      <c r="EQS1" s="28"/>
      <c r="EQT1" s="28"/>
      <c r="EQU1" s="28"/>
      <c r="EQV1" s="28"/>
      <c r="EQW1" s="28"/>
      <c r="EQX1" s="28"/>
      <c r="EQY1" s="28"/>
      <c r="EQZ1" s="28"/>
      <c r="ERA1" s="28"/>
      <c r="ERB1" s="28"/>
      <c r="ERC1" s="28"/>
      <c r="ERD1" s="28"/>
      <c r="ERE1" s="28"/>
      <c r="ERF1" s="28"/>
      <c r="ERG1" s="28"/>
      <c r="ERH1" s="28"/>
      <c r="ERI1" s="28"/>
      <c r="ERJ1" s="28"/>
      <c r="ERK1" s="28"/>
      <c r="ERL1" s="28"/>
      <c r="ERM1" s="28"/>
      <c r="ERN1" s="28"/>
      <c r="ERO1" s="28"/>
      <c r="ERP1" s="28"/>
      <c r="ERQ1" s="28"/>
      <c r="ERR1" s="28"/>
      <c r="ERS1" s="28"/>
      <c r="ERT1" s="28"/>
      <c r="ERU1" s="28"/>
      <c r="ERV1" s="28"/>
      <c r="ERW1" s="28"/>
      <c r="ERX1" s="28"/>
      <c r="ERY1" s="28"/>
      <c r="ERZ1" s="28"/>
      <c r="ESA1" s="28"/>
      <c r="ESB1" s="28"/>
      <c r="ESC1" s="28"/>
      <c r="ESD1" s="28"/>
      <c r="ESE1" s="28"/>
      <c r="ESF1" s="28"/>
      <c r="ESG1" s="28"/>
      <c r="ESH1" s="28"/>
      <c r="ESI1" s="28"/>
      <c r="ESJ1" s="28"/>
      <c r="ESK1" s="28"/>
      <c r="ESL1" s="28"/>
      <c r="ESM1" s="28"/>
      <c r="ESN1" s="28"/>
      <c r="ESO1" s="28"/>
      <c r="ESP1" s="28"/>
      <c r="ESQ1" s="28"/>
      <c r="ESR1" s="28"/>
      <c r="ESS1" s="28"/>
      <c r="EST1" s="28"/>
      <c r="ESU1" s="28"/>
      <c r="ESV1" s="28"/>
      <c r="ESW1" s="28"/>
      <c r="ESX1" s="28"/>
      <c r="ESY1" s="28"/>
      <c r="ESZ1" s="28"/>
      <c r="ETA1" s="28"/>
      <c r="ETB1" s="28"/>
      <c r="ETC1" s="28"/>
      <c r="ETD1" s="28"/>
      <c r="ETE1" s="28"/>
      <c r="ETF1" s="28"/>
      <c r="ETG1" s="28"/>
      <c r="ETH1" s="28"/>
      <c r="ETI1" s="28"/>
      <c r="ETJ1" s="28"/>
      <c r="ETK1" s="28"/>
      <c r="ETL1" s="28"/>
      <c r="ETM1" s="28"/>
      <c r="ETN1" s="28"/>
      <c r="ETO1" s="28"/>
      <c r="ETP1" s="28"/>
      <c r="ETQ1" s="28"/>
      <c r="ETR1" s="28"/>
      <c r="ETS1" s="28"/>
      <c r="ETT1" s="28"/>
      <c r="ETU1" s="28"/>
      <c r="ETV1" s="28"/>
      <c r="ETW1" s="28"/>
      <c r="ETX1" s="28"/>
      <c r="ETY1" s="28"/>
      <c r="ETZ1" s="28"/>
      <c r="EUA1" s="28"/>
      <c r="EUB1" s="28"/>
      <c r="EUC1" s="28"/>
      <c r="EUD1" s="28"/>
      <c r="EUE1" s="28"/>
      <c r="EUF1" s="28"/>
      <c r="EUG1" s="28"/>
      <c r="EUH1" s="28"/>
      <c r="EUI1" s="28"/>
      <c r="EUJ1" s="28"/>
      <c r="EUK1" s="28"/>
      <c r="EUL1" s="28"/>
      <c r="EUM1" s="28"/>
      <c r="EUN1" s="28"/>
      <c r="EUO1" s="28"/>
      <c r="EUP1" s="28"/>
      <c r="EUQ1" s="28"/>
      <c r="EUR1" s="28"/>
      <c r="EUS1" s="28"/>
      <c r="EUT1" s="28"/>
      <c r="EUU1" s="28"/>
      <c r="EUV1" s="28"/>
      <c r="EUW1" s="28"/>
      <c r="EUX1" s="28"/>
      <c r="EUY1" s="28"/>
      <c r="EUZ1" s="28"/>
      <c r="EVA1" s="28"/>
      <c r="EVB1" s="28"/>
      <c r="EVC1" s="28"/>
      <c r="EVD1" s="28"/>
      <c r="EVE1" s="28"/>
      <c r="EVF1" s="28"/>
      <c r="EVG1" s="28"/>
      <c r="EVH1" s="28"/>
      <c r="EVI1" s="28"/>
      <c r="EVJ1" s="28"/>
      <c r="EVK1" s="28"/>
      <c r="EVL1" s="28"/>
      <c r="EVM1" s="28"/>
      <c r="EVN1" s="28"/>
      <c r="EVO1" s="28"/>
      <c r="EVP1" s="28"/>
      <c r="EVQ1" s="28"/>
      <c r="EVR1" s="28"/>
      <c r="EVS1" s="28"/>
      <c r="EVT1" s="28"/>
      <c r="EVU1" s="28"/>
      <c r="EVV1" s="28"/>
      <c r="EVW1" s="28"/>
      <c r="EVX1" s="28"/>
      <c r="EVY1" s="28"/>
      <c r="EVZ1" s="28"/>
      <c r="EWA1" s="28"/>
      <c r="EWB1" s="28"/>
      <c r="EWC1" s="28"/>
      <c r="EWD1" s="28"/>
      <c r="EWE1" s="28"/>
      <c r="EWF1" s="28"/>
      <c r="EWG1" s="28"/>
      <c r="EWH1" s="28"/>
      <c r="EWI1" s="28"/>
      <c r="EWJ1" s="28"/>
      <c r="EWK1" s="28"/>
      <c r="EWL1" s="28"/>
      <c r="EWM1" s="28"/>
      <c r="EWN1" s="28"/>
      <c r="EWO1" s="28"/>
      <c r="EWP1" s="28"/>
      <c r="EWQ1" s="28"/>
      <c r="EWR1" s="28"/>
      <c r="EWS1" s="28"/>
      <c r="EWT1" s="28"/>
      <c r="EWU1" s="28"/>
      <c r="EWV1" s="28"/>
      <c r="EWW1" s="28"/>
      <c r="EWX1" s="28"/>
      <c r="EWY1" s="28"/>
      <c r="EWZ1" s="28"/>
      <c r="EXA1" s="28"/>
      <c r="EXB1" s="28"/>
      <c r="EXC1" s="28"/>
      <c r="EXD1" s="28"/>
      <c r="EXE1" s="28"/>
      <c r="EXF1" s="28"/>
      <c r="EXG1" s="28"/>
      <c r="EXH1" s="28"/>
      <c r="EXI1" s="28"/>
      <c r="EXJ1" s="28"/>
      <c r="EXK1" s="28"/>
      <c r="EXL1" s="28"/>
      <c r="EXM1" s="28"/>
      <c r="EXN1" s="28"/>
      <c r="EXO1" s="28"/>
      <c r="EXP1" s="28"/>
      <c r="EXQ1" s="28"/>
      <c r="EXR1" s="28"/>
      <c r="EXS1" s="28"/>
      <c r="EXT1" s="28"/>
      <c r="EXU1" s="28"/>
      <c r="EXV1" s="28"/>
      <c r="EXW1" s="28"/>
      <c r="EXX1" s="28"/>
      <c r="EXY1" s="28"/>
      <c r="EXZ1" s="28"/>
      <c r="EYA1" s="28"/>
      <c r="EYB1" s="28"/>
      <c r="EYC1" s="28"/>
      <c r="EYD1" s="28"/>
      <c r="EYE1" s="28"/>
      <c r="EYF1" s="28"/>
      <c r="EYG1" s="28"/>
      <c r="EYH1" s="28"/>
      <c r="EYI1" s="28"/>
      <c r="EYJ1" s="28"/>
      <c r="EYK1" s="28"/>
      <c r="EYL1" s="28"/>
      <c r="EYM1" s="28"/>
      <c r="EYN1" s="28"/>
      <c r="EYO1" s="28"/>
      <c r="EYP1" s="28"/>
      <c r="EYQ1" s="28"/>
      <c r="EYR1" s="28"/>
      <c r="EYS1" s="28"/>
      <c r="EYT1" s="28"/>
      <c r="EYU1" s="28"/>
      <c r="EYV1" s="28"/>
      <c r="EYW1" s="28"/>
      <c r="EYX1" s="28"/>
      <c r="EYY1" s="28"/>
      <c r="EYZ1" s="28"/>
      <c r="EZA1" s="28"/>
      <c r="EZB1" s="28"/>
      <c r="EZC1" s="28"/>
      <c r="EZD1" s="28"/>
      <c r="EZE1" s="28"/>
      <c r="EZF1" s="28"/>
      <c r="EZG1" s="28"/>
      <c r="EZH1" s="28"/>
      <c r="EZI1" s="28"/>
      <c r="EZJ1" s="28"/>
      <c r="EZK1" s="28"/>
      <c r="EZL1" s="28"/>
      <c r="EZM1" s="28"/>
      <c r="EZN1" s="28"/>
      <c r="EZO1" s="28"/>
      <c r="EZP1" s="28"/>
      <c r="EZQ1" s="28"/>
      <c r="EZR1" s="28"/>
      <c r="EZS1" s="28"/>
      <c r="EZT1" s="28"/>
      <c r="EZU1" s="28"/>
      <c r="EZV1" s="28"/>
      <c r="EZW1" s="28"/>
      <c r="EZX1" s="28"/>
      <c r="EZY1" s="28"/>
      <c r="EZZ1" s="28"/>
      <c r="FAA1" s="28"/>
      <c r="FAB1" s="28"/>
      <c r="FAC1" s="28"/>
      <c r="FAD1" s="28"/>
      <c r="FAE1" s="28"/>
      <c r="FAF1" s="28"/>
      <c r="FAG1" s="28"/>
      <c r="FAH1" s="28"/>
      <c r="FAI1" s="28"/>
      <c r="FAJ1" s="28"/>
      <c r="FAK1" s="28"/>
      <c r="FAL1" s="28"/>
      <c r="FAM1" s="28"/>
      <c r="FAN1" s="28"/>
      <c r="FAO1" s="28"/>
      <c r="FAP1" s="28"/>
      <c r="FAQ1" s="28"/>
      <c r="FAR1" s="28"/>
      <c r="FAS1" s="28"/>
      <c r="FAT1" s="28"/>
      <c r="FAU1" s="28"/>
      <c r="FAV1" s="28"/>
      <c r="FAW1" s="28"/>
      <c r="FAX1" s="28"/>
      <c r="FAY1" s="28"/>
      <c r="FAZ1" s="28"/>
      <c r="FBA1" s="28"/>
      <c r="FBB1" s="28"/>
      <c r="FBC1" s="28"/>
      <c r="FBD1" s="28"/>
      <c r="FBE1" s="28"/>
      <c r="FBF1" s="28"/>
      <c r="FBG1" s="28"/>
      <c r="FBH1" s="28"/>
      <c r="FBI1" s="28"/>
      <c r="FBJ1" s="28"/>
      <c r="FBK1" s="28"/>
      <c r="FBL1" s="28"/>
      <c r="FBM1" s="28"/>
      <c r="FBN1" s="28"/>
      <c r="FBO1" s="28"/>
      <c r="FBP1" s="28"/>
      <c r="FBQ1" s="28"/>
      <c r="FBR1" s="28"/>
      <c r="FBS1" s="28"/>
      <c r="FBT1" s="28"/>
      <c r="FBU1" s="28"/>
      <c r="FBV1" s="28"/>
      <c r="FBW1" s="28"/>
      <c r="FBX1" s="28"/>
      <c r="FBY1" s="28"/>
      <c r="FBZ1" s="28"/>
      <c r="FCA1" s="28"/>
      <c r="FCB1" s="28"/>
      <c r="FCC1" s="28"/>
      <c r="FCD1" s="28"/>
      <c r="FCE1" s="28"/>
      <c r="FCF1" s="28"/>
      <c r="FCG1" s="28"/>
      <c r="FCH1" s="28"/>
      <c r="FCI1" s="28"/>
      <c r="FCJ1" s="28"/>
      <c r="FCK1" s="28"/>
      <c r="FCL1" s="28"/>
      <c r="FCM1" s="28"/>
      <c r="FCN1" s="28"/>
      <c r="FCO1" s="28"/>
      <c r="FCP1" s="28"/>
      <c r="FCQ1" s="28"/>
      <c r="FCR1" s="28"/>
      <c r="FCS1" s="28"/>
      <c r="FCT1" s="28"/>
      <c r="FCU1" s="28"/>
      <c r="FCV1" s="28"/>
      <c r="FCW1" s="28"/>
      <c r="FCX1" s="28"/>
      <c r="FCY1" s="28"/>
      <c r="FCZ1" s="28"/>
      <c r="FDA1" s="28"/>
      <c r="FDB1" s="28"/>
      <c r="FDC1" s="28"/>
      <c r="FDD1" s="28"/>
      <c r="FDE1" s="28"/>
      <c r="FDF1" s="28"/>
      <c r="FDG1" s="28"/>
      <c r="FDH1" s="28"/>
      <c r="FDI1" s="28"/>
      <c r="FDJ1" s="28"/>
      <c r="FDK1" s="28"/>
      <c r="FDL1" s="28"/>
      <c r="FDM1" s="28"/>
      <c r="FDN1" s="28"/>
      <c r="FDO1" s="28"/>
      <c r="FDP1" s="28"/>
      <c r="FDQ1" s="28"/>
      <c r="FDR1" s="28"/>
      <c r="FDS1" s="28"/>
      <c r="FDT1" s="28"/>
      <c r="FDU1" s="28"/>
      <c r="FDV1" s="28"/>
      <c r="FDW1" s="28"/>
      <c r="FDX1" s="28"/>
      <c r="FDY1" s="28"/>
      <c r="FDZ1" s="28"/>
      <c r="FEA1" s="28"/>
      <c r="FEB1" s="28"/>
      <c r="FEC1" s="28"/>
      <c r="FED1" s="28"/>
      <c r="FEE1" s="28"/>
      <c r="FEF1" s="28"/>
      <c r="FEG1" s="28"/>
      <c r="FEH1" s="28"/>
      <c r="FEI1" s="28"/>
      <c r="FEJ1" s="28"/>
      <c r="FEK1" s="28"/>
      <c r="FEL1" s="28"/>
      <c r="FEM1" s="28"/>
      <c r="FEN1" s="28"/>
      <c r="FEO1" s="28"/>
      <c r="FEP1" s="28"/>
      <c r="FEQ1" s="28"/>
      <c r="FER1" s="28"/>
      <c r="FES1" s="28"/>
      <c r="FET1" s="28"/>
      <c r="FEU1" s="28"/>
      <c r="FEV1" s="28"/>
      <c r="FEW1" s="28"/>
      <c r="FEX1" s="28"/>
      <c r="FEY1" s="28"/>
      <c r="FEZ1" s="28"/>
      <c r="FFA1" s="28"/>
      <c r="FFB1" s="28"/>
      <c r="FFC1" s="28"/>
      <c r="FFD1" s="28"/>
      <c r="FFE1" s="28"/>
      <c r="FFF1" s="28"/>
      <c r="FFG1" s="28"/>
      <c r="FFH1" s="28"/>
      <c r="FFI1" s="28"/>
      <c r="FFJ1" s="28"/>
      <c r="FFK1" s="28"/>
      <c r="FFL1" s="28"/>
      <c r="FFM1" s="28"/>
      <c r="FFN1" s="28"/>
      <c r="FFO1" s="28"/>
      <c r="FFP1" s="28"/>
      <c r="FFQ1" s="28"/>
      <c r="FFR1" s="28"/>
      <c r="FFS1" s="28"/>
      <c r="FFT1" s="28"/>
      <c r="FFU1" s="28"/>
      <c r="FFV1" s="28"/>
      <c r="FFW1" s="28"/>
      <c r="FFX1" s="28"/>
      <c r="FFY1" s="28"/>
      <c r="FFZ1" s="28"/>
      <c r="FGA1" s="28"/>
      <c r="FGB1" s="28"/>
      <c r="FGC1" s="28"/>
      <c r="FGD1" s="28"/>
      <c r="FGE1" s="28"/>
      <c r="FGF1" s="28"/>
      <c r="FGG1" s="28"/>
      <c r="FGH1" s="28"/>
      <c r="FGI1" s="28"/>
      <c r="FGJ1" s="28"/>
      <c r="FGK1" s="28"/>
      <c r="FGL1" s="28"/>
      <c r="FGM1" s="28"/>
      <c r="FGN1" s="28"/>
      <c r="FGO1" s="28"/>
      <c r="FGP1" s="28"/>
      <c r="FGQ1" s="28"/>
      <c r="FGR1" s="28"/>
      <c r="FGS1" s="28"/>
      <c r="FGT1" s="28"/>
      <c r="FGU1" s="28"/>
      <c r="FGV1" s="28"/>
      <c r="FGW1" s="28"/>
      <c r="FGX1" s="28"/>
      <c r="FGY1" s="28"/>
      <c r="FGZ1" s="28"/>
      <c r="FHA1" s="28"/>
      <c r="FHB1" s="28"/>
      <c r="FHC1" s="28"/>
      <c r="FHD1" s="28"/>
      <c r="FHE1" s="28"/>
      <c r="FHF1" s="28"/>
      <c r="FHG1" s="28"/>
      <c r="FHH1" s="28"/>
      <c r="FHI1" s="28"/>
      <c r="FHJ1" s="28"/>
      <c r="FHK1" s="28"/>
      <c r="FHL1" s="28"/>
      <c r="FHM1" s="28"/>
      <c r="FHN1" s="28"/>
      <c r="FHO1" s="28"/>
      <c r="FHP1" s="28"/>
      <c r="FHQ1" s="28"/>
      <c r="FHR1" s="28"/>
      <c r="FHS1" s="28"/>
      <c r="FHT1" s="28"/>
      <c r="FHU1" s="28"/>
      <c r="FHV1" s="28"/>
      <c r="FHW1" s="28"/>
      <c r="FHX1" s="28"/>
      <c r="FHY1" s="28"/>
      <c r="FHZ1" s="28"/>
      <c r="FIA1" s="28"/>
      <c r="FIB1" s="28"/>
      <c r="FIC1" s="28"/>
      <c r="FID1" s="28"/>
      <c r="FIE1" s="28"/>
      <c r="FIF1" s="28"/>
      <c r="FIG1" s="28"/>
      <c r="FIH1" s="28"/>
      <c r="FII1" s="28"/>
      <c r="FIJ1" s="28"/>
      <c r="FIK1" s="28"/>
      <c r="FIL1" s="28"/>
      <c r="FIM1" s="28"/>
      <c r="FIN1" s="28"/>
      <c r="FIO1" s="28"/>
      <c r="FIP1" s="28"/>
      <c r="FIQ1" s="28"/>
      <c r="FIR1" s="28"/>
      <c r="FIS1" s="28"/>
      <c r="FIT1" s="28"/>
      <c r="FIU1" s="28"/>
      <c r="FIV1" s="28"/>
      <c r="FIW1" s="28"/>
      <c r="FIX1" s="28"/>
      <c r="FIY1" s="28"/>
      <c r="FIZ1" s="28"/>
      <c r="FJA1" s="28"/>
      <c r="FJB1" s="28"/>
      <c r="FJC1" s="28"/>
      <c r="FJD1" s="28"/>
      <c r="FJE1" s="28"/>
      <c r="FJF1" s="28"/>
      <c r="FJG1" s="28"/>
      <c r="FJH1" s="28"/>
      <c r="FJI1" s="28"/>
      <c r="FJJ1" s="28"/>
      <c r="FJK1" s="28"/>
      <c r="FJL1" s="28"/>
      <c r="FJM1" s="28"/>
      <c r="FJN1" s="28"/>
      <c r="FJO1" s="28"/>
      <c r="FJP1" s="28"/>
      <c r="FJQ1" s="28"/>
      <c r="FJR1" s="28"/>
      <c r="FJS1" s="28"/>
      <c r="FJT1" s="28"/>
      <c r="FJU1" s="28"/>
      <c r="FJV1" s="28"/>
      <c r="FJW1" s="28"/>
      <c r="FJX1" s="28"/>
      <c r="FJY1" s="28"/>
      <c r="FJZ1" s="28"/>
      <c r="FKA1" s="28"/>
      <c r="FKB1" s="28"/>
      <c r="FKC1" s="28"/>
      <c r="FKD1" s="28"/>
      <c r="FKE1" s="28"/>
      <c r="FKF1" s="28"/>
      <c r="FKG1" s="28"/>
      <c r="FKH1" s="28"/>
      <c r="FKI1" s="28"/>
      <c r="FKJ1" s="28"/>
      <c r="FKK1" s="28"/>
      <c r="FKL1" s="28"/>
      <c r="FKM1" s="28"/>
      <c r="FKN1" s="28"/>
      <c r="FKO1" s="28"/>
      <c r="FKP1" s="28"/>
      <c r="FKQ1" s="28"/>
      <c r="FKR1" s="28"/>
      <c r="FKS1" s="28"/>
      <c r="FKT1" s="28"/>
      <c r="FKU1" s="28"/>
      <c r="FKV1" s="28"/>
      <c r="FKW1" s="28"/>
      <c r="FKX1" s="28"/>
      <c r="FKY1" s="28"/>
      <c r="FKZ1" s="28"/>
      <c r="FLA1" s="28"/>
      <c r="FLB1" s="28"/>
      <c r="FLC1" s="28"/>
      <c r="FLD1" s="28"/>
      <c r="FLE1" s="28"/>
      <c r="FLF1" s="28"/>
      <c r="FLG1" s="28"/>
      <c r="FLH1" s="28"/>
      <c r="FLI1" s="28"/>
      <c r="FLJ1" s="28"/>
      <c r="FLK1" s="28"/>
      <c r="FLL1" s="28"/>
      <c r="FLM1" s="28"/>
      <c r="FLN1" s="28"/>
      <c r="FLO1" s="28"/>
      <c r="FLP1" s="28"/>
      <c r="FLQ1" s="28"/>
      <c r="FLR1" s="28"/>
      <c r="FLS1" s="28"/>
      <c r="FLT1" s="28"/>
      <c r="FLU1" s="28"/>
      <c r="FLV1" s="28"/>
      <c r="FLW1" s="28"/>
      <c r="FLX1" s="28"/>
      <c r="FLY1" s="28"/>
      <c r="FLZ1" s="28"/>
      <c r="FMA1" s="28"/>
      <c r="FMB1" s="28"/>
      <c r="FMC1" s="28"/>
      <c r="FMD1" s="28"/>
      <c r="FME1" s="28"/>
      <c r="FMF1" s="28"/>
      <c r="FMG1" s="28"/>
      <c r="FMH1" s="28"/>
      <c r="FMI1" s="28"/>
      <c r="FMJ1" s="28"/>
      <c r="FMK1" s="28"/>
      <c r="FML1" s="28"/>
      <c r="FMM1" s="28"/>
      <c r="FMN1" s="28"/>
      <c r="FMO1" s="28"/>
      <c r="FMP1" s="28"/>
      <c r="FMQ1" s="28"/>
      <c r="FMR1" s="28"/>
      <c r="FMS1" s="28"/>
      <c r="FMT1" s="28"/>
      <c r="FMU1" s="28"/>
      <c r="FMV1" s="28"/>
      <c r="FMW1" s="28"/>
      <c r="FMX1" s="28"/>
      <c r="FMY1" s="28"/>
      <c r="FMZ1" s="28"/>
      <c r="FNA1" s="28"/>
      <c r="FNB1" s="28"/>
      <c r="FNC1" s="28"/>
      <c r="FND1" s="28"/>
      <c r="FNE1" s="28"/>
      <c r="FNF1" s="28"/>
      <c r="FNG1" s="28"/>
      <c r="FNH1" s="28"/>
      <c r="FNI1" s="28"/>
      <c r="FNJ1" s="28"/>
      <c r="FNK1" s="28"/>
      <c r="FNL1" s="28"/>
      <c r="FNM1" s="28"/>
      <c r="FNN1" s="28"/>
      <c r="FNO1" s="28"/>
      <c r="FNP1" s="28"/>
      <c r="FNQ1" s="28"/>
      <c r="FNR1" s="28"/>
      <c r="FNS1" s="28"/>
      <c r="FNT1" s="28"/>
      <c r="FNU1" s="28"/>
      <c r="FNV1" s="28"/>
      <c r="FNW1" s="28"/>
      <c r="FNX1" s="28"/>
      <c r="FNY1" s="28"/>
      <c r="FNZ1" s="28"/>
      <c r="FOA1" s="28"/>
      <c r="FOB1" s="28"/>
      <c r="FOC1" s="28"/>
      <c r="FOD1" s="28"/>
      <c r="FOE1" s="28"/>
      <c r="FOF1" s="28"/>
      <c r="FOG1" s="28"/>
      <c r="FOH1" s="28"/>
      <c r="FOI1" s="28"/>
      <c r="FOJ1" s="28"/>
      <c r="FOK1" s="28"/>
      <c r="FOL1" s="28"/>
      <c r="FOM1" s="28"/>
      <c r="FON1" s="28"/>
      <c r="FOO1" s="28"/>
      <c r="FOP1" s="28"/>
      <c r="FOQ1" s="28"/>
      <c r="FOR1" s="28"/>
      <c r="FOS1" s="28"/>
      <c r="FOT1" s="28"/>
      <c r="FOU1" s="28"/>
      <c r="FOV1" s="28"/>
      <c r="FOW1" s="28"/>
      <c r="FOX1" s="28"/>
      <c r="FOY1" s="28"/>
      <c r="FOZ1" s="28"/>
      <c r="FPA1" s="28"/>
      <c r="FPB1" s="28"/>
      <c r="FPC1" s="28"/>
      <c r="FPD1" s="28"/>
      <c r="FPE1" s="28"/>
      <c r="FPF1" s="28"/>
      <c r="FPG1" s="28"/>
      <c r="FPH1" s="28"/>
      <c r="FPI1" s="28"/>
      <c r="FPJ1" s="28"/>
      <c r="FPK1" s="28"/>
      <c r="FPL1" s="28"/>
      <c r="FPM1" s="28"/>
      <c r="FPN1" s="28"/>
      <c r="FPO1" s="28"/>
      <c r="FPP1" s="28"/>
      <c r="FPQ1" s="28"/>
      <c r="FPR1" s="28"/>
      <c r="FPS1" s="28"/>
      <c r="FPT1" s="28"/>
      <c r="FPU1" s="28"/>
      <c r="FPV1" s="28"/>
      <c r="FPW1" s="28"/>
      <c r="FPX1" s="28"/>
      <c r="FPY1" s="28"/>
      <c r="FPZ1" s="28"/>
      <c r="FQA1" s="28"/>
      <c r="FQB1" s="28"/>
      <c r="FQC1" s="28"/>
      <c r="FQD1" s="28"/>
      <c r="FQE1" s="28"/>
      <c r="FQF1" s="28"/>
      <c r="FQG1" s="28"/>
      <c r="FQH1" s="28"/>
      <c r="FQI1" s="28"/>
      <c r="FQJ1" s="28"/>
      <c r="FQK1" s="28"/>
      <c r="FQL1" s="28"/>
      <c r="FQM1" s="28"/>
      <c r="FQN1" s="28"/>
      <c r="FQO1" s="28"/>
      <c r="FQP1" s="28"/>
      <c r="FQQ1" s="28"/>
      <c r="FQR1" s="28"/>
      <c r="FQS1" s="28"/>
      <c r="FQT1" s="28"/>
      <c r="FQU1" s="28"/>
      <c r="FQV1" s="28"/>
      <c r="FQW1" s="28"/>
      <c r="FQX1" s="28"/>
      <c r="FQY1" s="28"/>
      <c r="FQZ1" s="28"/>
      <c r="FRA1" s="28"/>
      <c r="FRB1" s="28"/>
      <c r="FRC1" s="28"/>
      <c r="FRD1" s="28"/>
      <c r="FRE1" s="28"/>
      <c r="FRF1" s="28"/>
      <c r="FRG1" s="28"/>
      <c r="FRH1" s="28"/>
      <c r="FRI1" s="28"/>
      <c r="FRJ1" s="28"/>
      <c r="FRK1" s="28"/>
      <c r="FRL1" s="28"/>
      <c r="FRM1" s="28"/>
      <c r="FRN1" s="28"/>
      <c r="FRO1" s="28"/>
      <c r="FRP1" s="28"/>
      <c r="FRQ1" s="28"/>
      <c r="FRR1" s="28"/>
      <c r="FRS1" s="28"/>
      <c r="FRT1" s="28"/>
      <c r="FRU1" s="28"/>
      <c r="FRV1" s="28"/>
      <c r="FRW1" s="28"/>
      <c r="FRX1" s="28"/>
      <c r="FRY1" s="28"/>
      <c r="FRZ1" s="28"/>
      <c r="FSA1" s="28"/>
      <c r="FSB1" s="28"/>
      <c r="FSC1" s="28"/>
      <c r="FSD1" s="28"/>
      <c r="FSE1" s="28"/>
      <c r="FSF1" s="28"/>
      <c r="FSG1" s="28"/>
      <c r="FSH1" s="28"/>
      <c r="FSI1" s="28"/>
      <c r="FSJ1" s="28"/>
      <c r="FSK1" s="28"/>
      <c r="FSL1" s="28"/>
      <c r="FSM1" s="28"/>
      <c r="FSN1" s="28"/>
      <c r="FSO1" s="28"/>
      <c r="FSP1" s="28"/>
      <c r="FSQ1" s="28"/>
      <c r="FSR1" s="28"/>
      <c r="FSS1" s="28"/>
      <c r="FST1" s="28"/>
      <c r="FSU1" s="28"/>
      <c r="FSV1" s="28"/>
      <c r="FSW1" s="28"/>
      <c r="FSX1" s="28"/>
      <c r="FSY1" s="28"/>
      <c r="FSZ1" s="28"/>
      <c r="FTA1" s="28"/>
      <c r="FTB1" s="28"/>
      <c r="FTC1" s="28"/>
      <c r="FTD1" s="28"/>
      <c r="FTE1" s="28"/>
      <c r="FTF1" s="28"/>
      <c r="FTG1" s="28"/>
      <c r="FTH1" s="28"/>
      <c r="FTI1" s="28"/>
      <c r="FTJ1" s="28"/>
      <c r="FTK1" s="28"/>
      <c r="FTL1" s="28"/>
      <c r="FTM1" s="28"/>
      <c r="FTN1" s="28"/>
      <c r="FTO1" s="28"/>
      <c r="FTP1" s="28"/>
      <c r="FTQ1" s="28"/>
      <c r="FTR1" s="28"/>
      <c r="FTS1" s="28"/>
      <c r="FTT1" s="28"/>
      <c r="FTU1" s="28"/>
      <c r="FTV1" s="28"/>
      <c r="FTW1" s="28"/>
      <c r="FTX1" s="28"/>
      <c r="FTY1" s="28"/>
      <c r="FTZ1" s="28"/>
      <c r="FUA1" s="28"/>
      <c r="FUB1" s="28"/>
      <c r="FUC1" s="28"/>
      <c r="FUD1" s="28"/>
      <c r="FUE1" s="28"/>
      <c r="FUF1" s="28"/>
      <c r="FUG1" s="28"/>
      <c r="FUH1" s="28"/>
      <c r="FUI1" s="28"/>
      <c r="FUJ1" s="28"/>
      <c r="FUK1" s="28"/>
      <c r="FUL1" s="28"/>
      <c r="FUM1" s="28"/>
      <c r="FUN1" s="28"/>
      <c r="FUO1" s="28"/>
      <c r="FUP1" s="28"/>
      <c r="FUQ1" s="28"/>
      <c r="FUR1" s="28"/>
      <c r="FUS1" s="28"/>
      <c r="FUT1" s="28"/>
      <c r="FUU1" s="28"/>
      <c r="FUV1" s="28"/>
      <c r="FUW1" s="28"/>
      <c r="FUX1" s="28"/>
      <c r="FUY1" s="28"/>
      <c r="FUZ1" s="28"/>
      <c r="FVA1" s="28"/>
      <c r="FVB1" s="28"/>
      <c r="FVC1" s="28"/>
      <c r="FVD1" s="28"/>
      <c r="FVE1" s="28"/>
      <c r="FVF1" s="28"/>
      <c r="FVG1" s="28"/>
      <c r="FVH1" s="28"/>
      <c r="FVI1" s="28"/>
      <c r="FVJ1" s="28"/>
      <c r="FVK1" s="28"/>
      <c r="FVL1" s="28"/>
      <c r="FVM1" s="28"/>
      <c r="FVN1" s="28"/>
      <c r="FVO1" s="28"/>
      <c r="FVP1" s="28"/>
      <c r="FVQ1" s="28"/>
      <c r="FVR1" s="28"/>
      <c r="FVS1" s="28"/>
      <c r="FVT1" s="28"/>
      <c r="FVU1" s="28"/>
      <c r="FVV1" s="28"/>
      <c r="FVW1" s="28"/>
      <c r="FVX1" s="28"/>
      <c r="FVY1" s="28"/>
      <c r="FVZ1" s="28"/>
      <c r="FWA1" s="28"/>
      <c r="FWB1" s="28"/>
      <c r="FWC1" s="28"/>
      <c r="FWD1" s="28"/>
      <c r="FWE1" s="28"/>
      <c r="FWF1" s="28"/>
      <c r="FWG1" s="28"/>
      <c r="FWH1" s="28"/>
      <c r="FWI1" s="28"/>
      <c r="FWJ1" s="28"/>
      <c r="FWK1" s="28"/>
      <c r="FWL1" s="28"/>
      <c r="FWM1" s="28"/>
      <c r="FWN1" s="28"/>
      <c r="FWO1" s="28"/>
      <c r="FWP1" s="28"/>
      <c r="FWQ1" s="28"/>
      <c r="FWR1" s="28"/>
      <c r="FWS1" s="28"/>
      <c r="FWT1" s="28"/>
      <c r="FWU1" s="28"/>
      <c r="FWV1" s="28"/>
      <c r="FWW1" s="28"/>
      <c r="FWX1" s="28"/>
      <c r="FWY1" s="28"/>
      <c r="FWZ1" s="28"/>
      <c r="FXA1" s="28"/>
      <c r="FXB1" s="28"/>
      <c r="FXC1" s="28"/>
      <c r="FXD1" s="28"/>
      <c r="FXE1" s="28"/>
      <c r="FXF1" s="28"/>
      <c r="FXG1" s="28"/>
      <c r="FXH1" s="28"/>
      <c r="FXI1" s="28"/>
      <c r="FXJ1" s="28"/>
      <c r="FXK1" s="28"/>
      <c r="FXL1" s="28"/>
      <c r="FXM1" s="28"/>
      <c r="FXN1" s="28"/>
      <c r="FXO1" s="28"/>
      <c r="FXP1" s="28"/>
      <c r="FXQ1" s="28"/>
      <c r="FXR1" s="28"/>
      <c r="FXS1" s="28"/>
      <c r="FXT1" s="28"/>
      <c r="FXU1" s="28"/>
      <c r="FXV1" s="28"/>
      <c r="FXW1" s="28"/>
      <c r="FXX1" s="28"/>
      <c r="FXY1" s="28"/>
      <c r="FXZ1" s="28"/>
      <c r="FYA1" s="28"/>
      <c r="FYB1" s="28"/>
      <c r="FYC1" s="28"/>
      <c r="FYD1" s="28"/>
      <c r="FYE1" s="28"/>
      <c r="FYF1" s="28"/>
      <c r="FYG1" s="28"/>
      <c r="FYH1" s="28"/>
      <c r="FYI1" s="28"/>
      <c r="FYJ1" s="28"/>
      <c r="FYK1" s="28"/>
      <c r="FYL1" s="28"/>
      <c r="FYM1" s="28"/>
      <c r="FYN1" s="28"/>
      <c r="FYO1" s="28"/>
      <c r="FYP1" s="28"/>
      <c r="FYQ1" s="28"/>
      <c r="FYR1" s="28"/>
      <c r="FYS1" s="28"/>
      <c r="FYT1" s="28"/>
      <c r="FYU1" s="28"/>
      <c r="FYV1" s="28"/>
      <c r="FYW1" s="28"/>
      <c r="FYX1" s="28"/>
      <c r="FYY1" s="28"/>
      <c r="FYZ1" s="28"/>
      <c r="FZA1" s="28"/>
      <c r="FZB1" s="28"/>
      <c r="FZC1" s="28"/>
      <c r="FZD1" s="28"/>
      <c r="FZE1" s="28"/>
      <c r="FZF1" s="28"/>
      <c r="FZG1" s="28"/>
      <c r="FZH1" s="28"/>
      <c r="FZI1" s="28"/>
      <c r="FZJ1" s="28"/>
      <c r="FZK1" s="28"/>
      <c r="FZL1" s="28"/>
      <c r="FZM1" s="28"/>
      <c r="FZN1" s="28"/>
      <c r="FZO1" s="28"/>
      <c r="FZP1" s="28"/>
      <c r="FZQ1" s="28"/>
      <c r="FZR1" s="28"/>
      <c r="FZS1" s="28"/>
      <c r="FZT1" s="28"/>
      <c r="FZU1" s="28"/>
      <c r="FZV1" s="28"/>
      <c r="FZW1" s="28"/>
      <c r="FZX1" s="28"/>
      <c r="FZY1" s="28"/>
      <c r="FZZ1" s="28"/>
      <c r="GAA1" s="28"/>
      <c r="GAB1" s="28"/>
      <c r="GAC1" s="28"/>
      <c r="GAD1" s="28"/>
      <c r="GAE1" s="28"/>
      <c r="GAF1" s="28"/>
      <c r="GAG1" s="28"/>
      <c r="GAH1" s="28"/>
      <c r="GAI1" s="28"/>
      <c r="GAJ1" s="28"/>
      <c r="GAK1" s="28"/>
      <c r="GAL1" s="28"/>
      <c r="GAM1" s="28"/>
      <c r="GAN1" s="28"/>
      <c r="GAO1" s="28"/>
      <c r="GAP1" s="28"/>
      <c r="GAQ1" s="28"/>
      <c r="GAR1" s="28"/>
      <c r="GAS1" s="28"/>
      <c r="GAT1" s="28"/>
      <c r="GAU1" s="28"/>
      <c r="GAV1" s="28"/>
      <c r="GAW1" s="28"/>
      <c r="GAX1" s="28"/>
      <c r="GAY1" s="28"/>
      <c r="GAZ1" s="28"/>
      <c r="GBA1" s="28"/>
      <c r="GBB1" s="28"/>
      <c r="GBC1" s="28"/>
      <c r="GBD1" s="28"/>
      <c r="GBE1" s="28"/>
      <c r="GBF1" s="28"/>
      <c r="GBG1" s="28"/>
      <c r="GBH1" s="28"/>
      <c r="GBI1" s="28"/>
      <c r="GBJ1" s="28"/>
      <c r="GBK1" s="28"/>
      <c r="GBL1" s="28"/>
      <c r="GBM1" s="28"/>
      <c r="GBN1" s="28"/>
      <c r="GBO1" s="28"/>
      <c r="GBP1" s="28"/>
      <c r="GBQ1" s="28"/>
      <c r="GBR1" s="28"/>
      <c r="GBS1" s="28"/>
      <c r="GBT1" s="28"/>
      <c r="GBU1" s="28"/>
      <c r="GBV1" s="28"/>
      <c r="GBW1" s="28"/>
      <c r="GBX1" s="28"/>
      <c r="GBY1" s="28"/>
      <c r="GBZ1" s="28"/>
      <c r="GCA1" s="28"/>
      <c r="GCB1" s="28"/>
      <c r="GCC1" s="28"/>
      <c r="GCD1" s="28"/>
      <c r="GCE1" s="28"/>
      <c r="GCF1" s="28"/>
      <c r="GCG1" s="28"/>
      <c r="GCH1" s="28"/>
      <c r="GCI1" s="28"/>
      <c r="GCJ1" s="28"/>
      <c r="GCK1" s="28"/>
      <c r="GCL1" s="28"/>
      <c r="GCM1" s="28"/>
      <c r="GCN1" s="28"/>
      <c r="GCO1" s="28"/>
      <c r="GCP1" s="28"/>
      <c r="GCQ1" s="28"/>
      <c r="GCR1" s="28"/>
      <c r="GCS1" s="28"/>
      <c r="GCT1" s="28"/>
      <c r="GCU1" s="28"/>
      <c r="GCV1" s="28"/>
      <c r="GCW1" s="28"/>
      <c r="GCX1" s="28"/>
      <c r="GCY1" s="28"/>
      <c r="GCZ1" s="28"/>
      <c r="GDA1" s="28"/>
      <c r="GDB1" s="28"/>
      <c r="GDC1" s="28"/>
      <c r="GDD1" s="28"/>
      <c r="GDE1" s="28"/>
      <c r="GDF1" s="28"/>
      <c r="GDG1" s="28"/>
      <c r="GDH1" s="28"/>
      <c r="GDI1" s="28"/>
      <c r="GDJ1" s="28"/>
      <c r="GDK1" s="28"/>
      <c r="GDL1" s="28"/>
      <c r="GDM1" s="28"/>
      <c r="GDN1" s="28"/>
      <c r="GDO1" s="28"/>
      <c r="GDP1" s="28"/>
      <c r="GDQ1" s="28"/>
      <c r="GDR1" s="28"/>
      <c r="GDS1" s="28"/>
      <c r="GDT1" s="28"/>
      <c r="GDU1" s="28"/>
      <c r="GDV1" s="28"/>
      <c r="GDW1" s="28"/>
      <c r="GDX1" s="28"/>
      <c r="GDY1" s="28"/>
      <c r="GDZ1" s="28"/>
      <c r="GEA1" s="28"/>
      <c r="GEB1" s="28"/>
      <c r="GEC1" s="28"/>
      <c r="GED1" s="28"/>
      <c r="GEE1" s="28"/>
      <c r="GEF1" s="28"/>
      <c r="GEG1" s="28"/>
      <c r="GEH1" s="28"/>
      <c r="GEI1" s="28"/>
      <c r="GEJ1" s="28"/>
      <c r="GEK1" s="28"/>
      <c r="GEL1" s="28"/>
      <c r="GEM1" s="28"/>
      <c r="GEN1" s="28"/>
      <c r="GEO1" s="28"/>
      <c r="GEP1" s="28"/>
      <c r="GEQ1" s="28"/>
      <c r="GER1" s="28"/>
      <c r="GES1" s="28"/>
      <c r="GET1" s="28"/>
      <c r="GEU1" s="28"/>
      <c r="GEV1" s="28"/>
      <c r="GEW1" s="28"/>
      <c r="GEX1" s="28"/>
      <c r="GEY1" s="28"/>
      <c r="GEZ1" s="28"/>
      <c r="GFA1" s="28"/>
      <c r="GFB1" s="28"/>
      <c r="GFC1" s="28"/>
      <c r="GFD1" s="28"/>
      <c r="GFE1" s="28"/>
      <c r="GFF1" s="28"/>
      <c r="GFG1" s="28"/>
      <c r="GFH1" s="28"/>
      <c r="GFI1" s="28"/>
      <c r="GFJ1" s="28"/>
      <c r="GFK1" s="28"/>
      <c r="GFL1" s="28"/>
      <c r="GFM1" s="28"/>
      <c r="GFN1" s="28"/>
      <c r="GFO1" s="28"/>
      <c r="GFP1" s="28"/>
      <c r="GFQ1" s="28"/>
      <c r="GFR1" s="28"/>
      <c r="GFS1" s="28"/>
      <c r="GFT1" s="28"/>
      <c r="GFU1" s="28"/>
      <c r="GFV1" s="28"/>
      <c r="GFW1" s="28"/>
      <c r="GFX1" s="28"/>
      <c r="GFY1" s="28"/>
      <c r="GFZ1" s="28"/>
      <c r="GGA1" s="28"/>
      <c r="GGB1" s="28"/>
      <c r="GGC1" s="28"/>
      <c r="GGD1" s="28"/>
      <c r="GGE1" s="28"/>
      <c r="GGF1" s="28"/>
      <c r="GGG1" s="28"/>
      <c r="GGH1" s="28"/>
      <c r="GGI1" s="28"/>
      <c r="GGJ1" s="28"/>
      <c r="GGK1" s="28"/>
      <c r="GGL1" s="28"/>
      <c r="GGM1" s="28"/>
      <c r="GGN1" s="28"/>
      <c r="GGO1" s="28"/>
      <c r="GGP1" s="28"/>
      <c r="GGQ1" s="28"/>
      <c r="GGR1" s="28"/>
      <c r="GGS1" s="28"/>
      <c r="GGT1" s="28"/>
      <c r="GGU1" s="28"/>
      <c r="GGV1" s="28"/>
      <c r="GGW1" s="28"/>
      <c r="GGX1" s="28"/>
      <c r="GGY1" s="28"/>
      <c r="GGZ1" s="28"/>
      <c r="GHA1" s="28"/>
      <c r="GHB1" s="28"/>
      <c r="GHC1" s="28"/>
      <c r="GHD1" s="28"/>
      <c r="GHE1" s="28"/>
      <c r="GHF1" s="28"/>
      <c r="GHG1" s="28"/>
      <c r="GHH1" s="28"/>
      <c r="GHI1" s="28"/>
      <c r="GHJ1" s="28"/>
      <c r="GHK1" s="28"/>
      <c r="GHL1" s="28"/>
      <c r="GHM1" s="28"/>
      <c r="GHN1" s="28"/>
      <c r="GHO1" s="28"/>
      <c r="GHP1" s="28"/>
      <c r="GHQ1" s="28"/>
      <c r="GHR1" s="28"/>
      <c r="GHS1" s="28"/>
      <c r="GHT1" s="28"/>
      <c r="GHU1" s="28"/>
      <c r="GHV1" s="28"/>
      <c r="GHW1" s="28"/>
      <c r="GHX1" s="28"/>
      <c r="GHY1" s="28"/>
      <c r="GHZ1" s="28"/>
      <c r="GIA1" s="28"/>
      <c r="GIB1" s="28"/>
      <c r="GIC1" s="28"/>
      <c r="GID1" s="28"/>
      <c r="GIE1" s="28"/>
      <c r="GIF1" s="28"/>
      <c r="GIG1" s="28"/>
      <c r="GIH1" s="28"/>
      <c r="GII1" s="28"/>
      <c r="GIJ1" s="28"/>
      <c r="GIK1" s="28"/>
      <c r="GIL1" s="28"/>
      <c r="GIM1" s="28"/>
      <c r="GIN1" s="28"/>
      <c r="GIO1" s="28"/>
      <c r="GIP1" s="28"/>
      <c r="GIQ1" s="28"/>
      <c r="GIR1" s="28"/>
      <c r="GIS1" s="28"/>
      <c r="GIT1" s="28"/>
      <c r="GIU1" s="28"/>
      <c r="GIV1" s="28"/>
      <c r="GIW1" s="28"/>
      <c r="GIX1" s="28"/>
      <c r="GIY1" s="28"/>
      <c r="GIZ1" s="28"/>
      <c r="GJA1" s="28"/>
      <c r="GJB1" s="28"/>
      <c r="GJC1" s="28"/>
      <c r="GJD1" s="28"/>
      <c r="GJE1" s="28"/>
      <c r="GJF1" s="28"/>
      <c r="GJG1" s="28"/>
      <c r="GJH1" s="28"/>
      <c r="GJI1" s="28"/>
      <c r="GJJ1" s="28"/>
      <c r="GJK1" s="28"/>
      <c r="GJL1" s="28"/>
      <c r="GJM1" s="28"/>
      <c r="GJN1" s="28"/>
      <c r="GJO1" s="28"/>
      <c r="GJP1" s="28"/>
      <c r="GJQ1" s="28"/>
      <c r="GJR1" s="28"/>
      <c r="GJS1" s="28"/>
      <c r="GJT1" s="28"/>
      <c r="GJU1" s="28"/>
      <c r="GJV1" s="28"/>
      <c r="GJW1" s="28"/>
      <c r="GJX1" s="28"/>
      <c r="GJY1" s="28"/>
      <c r="GJZ1" s="28"/>
      <c r="GKA1" s="28"/>
      <c r="GKB1" s="28"/>
      <c r="GKC1" s="28"/>
      <c r="GKD1" s="28"/>
      <c r="GKE1" s="28"/>
      <c r="GKF1" s="28"/>
      <c r="GKG1" s="28"/>
      <c r="GKH1" s="28"/>
      <c r="GKI1" s="28"/>
      <c r="GKJ1" s="28"/>
      <c r="GKK1" s="28"/>
      <c r="GKL1" s="28"/>
      <c r="GKM1" s="28"/>
      <c r="GKN1" s="28"/>
      <c r="GKO1" s="28"/>
      <c r="GKP1" s="28"/>
      <c r="GKQ1" s="28"/>
      <c r="GKR1" s="28"/>
      <c r="GKS1" s="28"/>
      <c r="GKT1" s="28"/>
      <c r="GKU1" s="28"/>
      <c r="GKV1" s="28"/>
      <c r="GKW1" s="28"/>
      <c r="GKX1" s="28"/>
      <c r="GKY1" s="28"/>
      <c r="GKZ1" s="28"/>
      <c r="GLA1" s="28"/>
      <c r="GLB1" s="28"/>
      <c r="GLC1" s="28"/>
      <c r="GLD1" s="28"/>
      <c r="GLE1" s="28"/>
      <c r="GLF1" s="28"/>
      <c r="GLG1" s="28"/>
      <c r="GLH1" s="28"/>
      <c r="GLI1" s="28"/>
      <c r="GLJ1" s="28"/>
      <c r="GLK1" s="28"/>
      <c r="GLL1" s="28"/>
      <c r="GLM1" s="28"/>
      <c r="GLN1" s="28"/>
      <c r="GLO1" s="28"/>
      <c r="GLP1" s="28"/>
      <c r="GLQ1" s="28"/>
      <c r="GLR1" s="28"/>
      <c r="GLS1" s="28"/>
      <c r="GLT1" s="28"/>
      <c r="GLU1" s="28"/>
      <c r="GLV1" s="28"/>
      <c r="GLW1" s="28"/>
      <c r="GLX1" s="28"/>
      <c r="GLY1" s="28"/>
      <c r="GLZ1" s="28"/>
      <c r="GMA1" s="28"/>
      <c r="GMB1" s="28"/>
      <c r="GMC1" s="28"/>
      <c r="GMD1" s="28"/>
      <c r="GME1" s="28"/>
      <c r="GMF1" s="28"/>
      <c r="GMG1" s="28"/>
      <c r="GMH1" s="28"/>
      <c r="GMI1" s="28"/>
      <c r="GMJ1" s="28"/>
      <c r="GMK1" s="28"/>
      <c r="GML1" s="28"/>
      <c r="GMM1" s="28"/>
      <c r="GMN1" s="28"/>
      <c r="GMO1" s="28"/>
      <c r="GMP1" s="28"/>
      <c r="GMQ1" s="28"/>
      <c r="GMR1" s="28"/>
      <c r="GMS1" s="28"/>
      <c r="GMT1" s="28"/>
      <c r="GMU1" s="28"/>
      <c r="GMV1" s="28"/>
      <c r="GMW1" s="28"/>
      <c r="GMX1" s="28"/>
      <c r="GMY1" s="28"/>
      <c r="GMZ1" s="28"/>
      <c r="GNA1" s="28"/>
      <c r="GNB1" s="28"/>
      <c r="GNC1" s="28"/>
      <c r="GND1" s="28"/>
      <c r="GNE1" s="28"/>
      <c r="GNF1" s="28"/>
      <c r="GNG1" s="28"/>
      <c r="GNH1" s="28"/>
      <c r="GNI1" s="28"/>
      <c r="GNJ1" s="28"/>
      <c r="GNK1" s="28"/>
      <c r="GNL1" s="28"/>
      <c r="GNM1" s="28"/>
      <c r="GNN1" s="28"/>
      <c r="GNO1" s="28"/>
      <c r="GNP1" s="28"/>
      <c r="GNQ1" s="28"/>
      <c r="GNR1" s="28"/>
      <c r="GNS1" s="28"/>
      <c r="GNT1" s="28"/>
      <c r="GNU1" s="28"/>
      <c r="GNV1" s="28"/>
      <c r="GNW1" s="28"/>
      <c r="GNX1" s="28"/>
      <c r="GNY1" s="28"/>
      <c r="GNZ1" s="28"/>
      <c r="GOA1" s="28"/>
      <c r="GOB1" s="28"/>
      <c r="GOC1" s="28"/>
      <c r="GOD1" s="28"/>
      <c r="GOE1" s="28"/>
      <c r="GOF1" s="28"/>
      <c r="GOG1" s="28"/>
      <c r="GOH1" s="28"/>
      <c r="GOI1" s="28"/>
      <c r="GOJ1" s="28"/>
      <c r="GOK1" s="28"/>
      <c r="GOL1" s="28"/>
      <c r="GOM1" s="28"/>
      <c r="GON1" s="28"/>
      <c r="GOO1" s="28"/>
      <c r="GOP1" s="28"/>
      <c r="GOQ1" s="28"/>
      <c r="GOR1" s="28"/>
      <c r="GOS1" s="28"/>
      <c r="GOT1" s="28"/>
      <c r="GOU1" s="28"/>
      <c r="GOV1" s="28"/>
      <c r="GOW1" s="28"/>
      <c r="GOX1" s="28"/>
      <c r="GOY1" s="28"/>
      <c r="GOZ1" s="28"/>
      <c r="GPA1" s="28"/>
      <c r="GPB1" s="28"/>
      <c r="GPC1" s="28"/>
      <c r="GPD1" s="28"/>
      <c r="GPE1" s="28"/>
      <c r="GPF1" s="28"/>
      <c r="GPG1" s="28"/>
      <c r="GPH1" s="28"/>
      <c r="GPI1" s="28"/>
      <c r="GPJ1" s="28"/>
      <c r="GPK1" s="28"/>
      <c r="GPL1" s="28"/>
      <c r="GPM1" s="28"/>
      <c r="GPN1" s="28"/>
      <c r="GPO1" s="28"/>
      <c r="GPP1" s="28"/>
      <c r="GPQ1" s="28"/>
      <c r="GPR1" s="28"/>
      <c r="GPS1" s="28"/>
      <c r="GPT1" s="28"/>
      <c r="GPU1" s="28"/>
      <c r="GPV1" s="28"/>
      <c r="GPW1" s="28"/>
      <c r="GPX1" s="28"/>
      <c r="GPY1" s="28"/>
      <c r="GPZ1" s="28"/>
      <c r="GQA1" s="28"/>
      <c r="GQB1" s="28"/>
      <c r="GQC1" s="28"/>
      <c r="GQD1" s="28"/>
      <c r="GQE1" s="28"/>
      <c r="GQF1" s="28"/>
      <c r="GQG1" s="28"/>
      <c r="GQH1" s="28"/>
      <c r="GQI1" s="28"/>
      <c r="GQJ1" s="28"/>
      <c r="GQK1" s="28"/>
      <c r="GQL1" s="28"/>
      <c r="GQM1" s="28"/>
      <c r="GQN1" s="28"/>
      <c r="GQO1" s="28"/>
      <c r="GQP1" s="28"/>
      <c r="GQQ1" s="28"/>
      <c r="GQR1" s="28"/>
      <c r="GQS1" s="28"/>
      <c r="GQT1" s="28"/>
      <c r="GQU1" s="28"/>
      <c r="GQV1" s="28"/>
      <c r="GQW1" s="28"/>
      <c r="GQX1" s="28"/>
      <c r="GQY1" s="28"/>
      <c r="GQZ1" s="28"/>
      <c r="GRA1" s="28"/>
      <c r="GRB1" s="28"/>
      <c r="GRC1" s="28"/>
      <c r="GRD1" s="28"/>
      <c r="GRE1" s="28"/>
      <c r="GRF1" s="28"/>
      <c r="GRG1" s="28"/>
      <c r="GRH1" s="28"/>
      <c r="GRI1" s="28"/>
      <c r="GRJ1" s="28"/>
      <c r="GRK1" s="28"/>
      <c r="GRL1" s="28"/>
      <c r="GRM1" s="28"/>
      <c r="GRN1" s="28"/>
      <c r="GRO1" s="28"/>
      <c r="GRP1" s="28"/>
      <c r="GRQ1" s="28"/>
      <c r="GRR1" s="28"/>
      <c r="GRS1" s="28"/>
      <c r="GRT1" s="28"/>
      <c r="GRU1" s="28"/>
      <c r="GRV1" s="28"/>
      <c r="GRW1" s="28"/>
      <c r="GRX1" s="28"/>
      <c r="GRY1" s="28"/>
      <c r="GRZ1" s="28"/>
      <c r="GSA1" s="28"/>
      <c r="GSB1" s="28"/>
      <c r="GSC1" s="28"/>
      <c r="GSD1" s="28"/>
      <c r="GSE1" s="28"/>
      <c r="GSF1" s="28"/>
      <c r="GSG1" s="28"/>
      <c r="GSH1" s="28"/>
      <c r="GSI1" s="28"/>
      <c r="GSJ1" s="28"/>
      <c r="GSK1" s="28"/>
      <c r="GSL1" s="28"/>
      <c r="GSM1" s="28"/>
      <c r="GSN1" s="28"/>
      <c r="GSO1" s="28"/>
      <c r="GSP1" s="28"/>
      <c r="GSQ1" s="28"/>
      <c r="GSR1" s="28"/>
      <c r="GSS1" s="28"/>
      <c r="GST1" s="28"/>
      <c r="GSU1" s="28"/>
      <c r="GSV1" s="28"/>
      <c r="GSW1" s="28"/>
      <c r="GSX1" s="28"/>
      <c r="GSY1" s="28"/>
      <c r="GSZ1" s="28"/>
      <c r="GTA1" s="28"/>
      <c r="GTB1" s="28"/>
      <c r="GTC1" s="28"/>
      <c r="GTD1" s="28"/>
      <c r="GTE1" s="28"/>
      <c r="GTF1" s="28"/>
      <c r="GTG1" s="28"/>
      <c r="GTH1" s="28"/>
      <c r="GTI1" s="28"/>
      <c r="GTJ1" s="28"/>
      <c r="GTK1" s="28"/>
      <c r="GTL1" s="28"/>
      <c r="GTM1" s="28"/>
      <c r="GTN1" s="28"/>
      <c r="GTO1" s="28"/>
      <c r="GTP1" s="28"/>
      <c r="GTQ1" s="28"/>
      <c r="GTR1" s="28"/>
      <c r="GTS1" s="28"/>
      <c r="GTT1" s="28"/>
      <c r="GTU1" s="28"/>
      <c r="GTV1" s="28"/>
      <c r="GTW1" s="28"/>
      <c r="GTX1" s="28"/>
      <c r="GTY1" s="28"/>
      <c r="GTZ1" s="28"/>
      <c r="GUA1" s="28"/>
      <c r="GUB1" s="28"/>
      <c r="GUC1" s="28"/>
      <c r="GUD1" s="28"/>
      <c r="GUE1" s="28"/>
      <c r="GUF1" s="28"/>
      <c r="GUG1" s="28"/>
      <c r="GUH1" s="28"/>
      <c r="GUI1" s="28"/>
      <c r="GUJ1" s="28"/>
      <c r="GUK1" s="28"/>
      <c r="GUL1" s="28"/>
      <c r="GUM1" s="28"/>
      <c r="GUN1" s="28"/>
      <c r="GUO1" s="28"/>
      <c r="GUP1" s="28"/>
      <c r="GUQ1" s="28"/>
      <c r="GUR1" s="28"/>
      <c r="GUS1" s="28"/>
      <c r="GUT1" s="28"/>
      <c r="GUU1" s="28"/>
      <c r="GUV1" s="28"/>
      <c r="GUW1" s="28"/>
      <c r="GUX1" s="28"/>
      <c r="GUY1" s="28"/>
      <c r="GUZ1" s="28"/>
      <c r="GVA1" s="28"/>
      <c r="GVB1" s="28"/>
      <c r="GVC1" s="28"/>
      <c r="GVD1" s="28"/>
      <c r="GVE1" s="28"/>
      <c r="GVF1" s="28"/>
      <c r="GVG1" s="28"/>
      <c r="GVH1" s="28"/>
      <c r="GVI1" s="28"/>
      <c r="GVJ1" s="28"/>
      <c r="GVK1" s="28"/>
      <c r="GVL1" s="28"/>
      <c r="GVM1" s="28"/>
      <c r="GVN1" s="28"/>
      <c r="GVO1" s="28"/>
      <c r="GVP1" s="28"/>
      <c r="GVQ1" s="28"/>
      <c r="GVR1" s="28"/>
      <c r="GVS1" s="28"/>
      <c r="GVT1" s="28"/>
      <c r="GVU1" s="28"/>
      <c r="GVV1" s="28"/>
      <c r="GVW1" s="28"/>
      <c r="GVX1" s="28"/>
      <c r="GVY1" s="28"/>
      <c r="GVZ1" s="28"/>
      <c r="GWA1" s="28"/>
      <c r="GWB1" s="28"/>
      <c r="GWC1" s="28"/>
      <c r="GWD1" s="28"/>
      <c r="GWE1" s="28"/>
      <c r="GWF1" s="28"/>
      <c r="GWG1" s="28"/>
      <c r="GWH1" s="28"/>
      <c r="GWI1" s="28"/>
      <c r="GWJ1" s="28"/>
      <c r="GWK1" s="28"/>
      <c r="GWL1" s="28"/>
      <c r="GWM1" s="28"/>
      <c r="GWN1" s="28"/>
      <c r="GWO1" s="28"/>
      <c r="GWP1" s="28"/>
      <c r="GWQ1" s="28"/>
      <c r="GWR1" s="28"/>
      <c r="GWS1" s="28"/>
      <c r="GWT1" s="28"/>
      <c r="GWU1" s="28"/>
      <c r="GWV1" s="28"/>
      <c r="GWW1" s="28"/>
      <c r="GWX1" s="28"/>
      <c r="GWY1" s="28"/>
      <c r="GWZ1" s="28"/>
      <c r="GXA1" s="28"/>
      <c r="GXB1" s="28"/>
      <c r="GXC1" s="28"/>
      <c r="GXD1" s="28"/>
      <c r="GXE1" s="28"/>
      <c r="GXF1" s="28"/>
      <c r="GXG1" s="28"/>
      <c r="GXH1" s="28"/>
      <c r="GXI1" s="28"/>
      <c r="GXJ1" s="28"/>
      <c r="GXK1" s="28"/>
      <c r="GXL1" s="28"/>
      <c r="GXM1" s="28"/>
      <c r="GXN1" s="28"/>
      <c r="GXO1" s="28"/>
      <c r="GXP1" s="28"/>
      <c r="GXQ1" s="28"/>
      <c r="GXR1" s="28"/>
      <c r="GXS1" s="28"/>
      <c r="GXT1" s="28"/>
      <c r="GXU1" s="28"/>
      <c r="GXV1" s="28"/>
      <c r="GXW1" s="28"/>
      <c r="GXX1" s="28"/>
      <c r="GXY1" s="28"/>
      <c r="GXZ1" s="28"/>
      <c r="GYA1" s="28"/>
      <c r="GYB1" s="28"/>
      <c r="GYC1" s="28"/>
      <c r="GYD1" s="28"/>
      <c r="GYE1" s="28"/>
      <c r="GYF1" s="28"/>
      <c r="GYG1" s="28"/>
      <c r="GYH1" s="28"/>
      <c r="GYI1" s="28"/>
      <c r="GYJ1" s="28"/>
      <c r="GYK1" s="28"/>
      <c r="GYL1" s="28"/>
      <c r="GYM1" s="28"/>
      <c r="GYN1" s="28"/>
      <c r="GYO1" s="28"/>
      <c r="GYP1" s="28"/>
      <c r="GYQ1" s="28"/>
      <c r="GYR1" s="28"/>
      <c r="GYS1" s="28"/>
      <c r="GYT1" s="28"/>
      <c r="GYU1" s="28"/>
      <c r="GYV1" s="28"/>
      <c r="GYW1" s="28"/>
      <c r="GYX1" s="28"/>
      <c r="GYY1" s="28"/>
      <c r="GYZ1" s="28"/>
      <c r="GZA1" s="28"/>
      <c r="GZB1" s="28"/>
      <c r="GZC1" s="28"/>
      <c r="GZD1" s="28"/>
      <c r="GZE1" s="28"/>
      <c r="GZF1" s="28"/>
      <c r="GZG1" s="28"/>
      <c r="GZH1" s="28"/>
      <c r="GZI1" s="28"/>
      <c r="GZJ1" s="28"/>
      <c r="GZK1" s="28"/>
      <c r="GZL1" s="28"/>
      <c r="GZM1" s="28"/>
      <c r="GZN1" s="28"/>
      <c r="GZO1" s="28"/>
      <c r="GZP1" s="28"/>
      <c r="GZQ1" s="28"/>
      <c r="GZR1" s="28"/>
      <c r="GZS1" s="28"/>
      <c r="GZT1" s="28"/>
      <c r="GZU1" s="28"/>
      <c r="GZV1" s="28"/>
      <c r="GZW1" s="28"/>
      <c r="GZX1" s="28"/>
      <c r="GZY1" s="28"/>
      <c r="GZZ1" s="28"/>
      <c r="HAA1" s="28"/>
      <c r="HAB1" s="28"/>
      <c r="HAC1" s="28"/>
      <c r="HAD1" s="28"/>
      <c r="HAE1" s="28"/>
      <c r="HAF1" s="28"/>
      <c r="HAG1" s="28"/>
      <c r="HAH1" s="28"/>
      <c r="HAI1" s="28"/>
      <c r="HAJ1" s="28"/>
      <c r="HAK1" s="28"/>
      <c r="HAL1" s="28"/>
      <c r="HAM1" s="28"/>
      <c r="HAN1" s="28"/>
      <c r="HAO1" s="28"/>
      <c r="HAP1" s="28"/>
      <c r="HAQ1" s="28"/>
      <c r="HAR1" s="28"/>
      <c r="HAS1" s="28"/>
      <c r="HAT1" s="28"/>
      <c r="HAU1" s="28"/>
      <c r="HAV1" s="28"/>
      <c r="HAW1" s="28"/>
      <c r="HAX1" s="28"/>
      <c r="HAY1" s="28"/>
      <c r="HAZ1" s="28"/>
      <c r="HBA1" s="28"/>
      <c r="HBB1" s="28"/>
      <c r="HBC1" s="28"/>
      <c r="HBD1" s="28"/>
      <c r="HBE1" s="28"/>
      <c r="HBF1" s="28"/>
      <c r="HBG1" s="28"/>
      <c r="HBH1" s="28"/>
      <c r="HBI1" s="28"/>
      <c r="HBJ1" s="28"/>
      <c r="HBK1" s="28"/>
      <c r="HBL1" s="28"/>
      <c r="HBM1" s="28"/>
      <c r="HBN1" s="28"/>
      <c r="HBO1" s="28"/>
      <c r="HBP1" s="28"/>
      <c r="HBQ1" s="28"/>
      <c r="HBR1" s="28"/>
      <c r="HBS1" s="28"/>
      <c r="HBT1" s="28"/>
      <c r="HBU1" s="28"/>
      <c r="HBV1" s="28"/>
      <c r="HBW1" s="28"/>
      <c r="HBX1" s="28"/>
      <c r="HBY1" s="28"/>
      <c r="HBZ1" s="28"/>
      <c r="HCA1" s="28"/>
      <c r="HCB1" s="28"/>
      <c r="HCC1" s="28"/>
      <c r="HCD1" s="28"/>
      <c r="HCE1" s="28"/>
      <c r="HCF1" s="28"/>
      <c r="HCG1" s="28"/>
      <c r="HCH1" s="28"/>
      <c r="HCI1" s="28"/>
      <c r="HCJ1" s="28"/>
      <c r="HCK1" s="28"/>
      <c r="HCL1" s="28"/>
      <c r="HCM1" s="28"/>
      <c r="HCN1" s="28"/>
      <c r="HCO1" s="28"/>
      <c r="HCP1" s="28"/>
      <c r="HCQ1" s="28"/>
      <c r="HCR1" s="28"/>
      <c r="HCS1" s="28"/>
      <c r="HCT1" s="28"/>
      <c r="HCU1" s="28"/>
      <c r="HCV1" s="28"/>
      <c r="HCW1" s="28"/>
      <c r="HCX1" s="28"/>
      <c r="HCY1" s="28"/>
      <c r="HCZ1" s="28"/>
      <c r="HDA1" s="28"/>
      <c r="HDB1" s="28"/>
      <c r="HDC1" s="28"/>
      <c r="HDD1" s="28"/>
      <c r="HDE1" s="28"/>
      <c r="HDF1" s="28"/>
      <c r="HDG1" s="28"/>
      <c r="HDH1" s="28"/>
      <c r="HDI1" s="28"/>
      <c r="HDJ1" s="28"/>
      <c r="HDK1" s="28"/>
      <c r="HDL1" s="28"/>
      <c r="HDM1" s="28"/>
      <c r="HDN1" s="28"/>
      <c r="HDO1" s="28"/>
      <c r="HDP1" s="28"/>
      <c r="HDQ1" s="28"/>
      <c r="HDR1" s="28"/>
      <c r="HDS1" s="28"/>
      <c r="HDT1" s="28"/>
      <c r="HDU1" s="28"/>
      <c r="HDV1" s="28"/>
      <c r="HDW1" s="28"/>
      <c r="HDX1" s="28"/>
      <c r="HDY1" s="28"/>
      <c r="HDZ1" s="28"/>
      <c r="HEA1" s="28"/>
      <c r="HEB1" s="28"/>
      <c r="HEC1" s="28"/>
      <c r="HED1" s="28"/>
      <c r="HEE1" s="28"/>
      <c r="HEF1" s="28"/>
      <c r="HEG1" s="28"/>
      <c r="HEH1" s="28"/>
      <c r="HEI1" s="28"/>
      <c r="HEJ1" s="28"/>
      <c r="HEK1" s="28"/>
      <c r="HEL1" s="28"/>
      <c r="HEM1" s="28"/>
      <c r="HEN1" s="28"/>
      <c r="HEO1" s="28"/>
      <c r="HEP1" s="28"/>
      <c r="HEQ1" s="28"/>
      <c r="HER1" s="28"/>
      <c r="HES1" s="28"/>
      <c r="HET1" s="28"/>
      <c r="HEU1" s="28"/>
      <c r="HEV1" s="28"/>
      <c r="HEW1" s="28"/>
      <c r="HEX1" s="28"/>
      <c r="HEY1" s="28"/>
      <c r="HEZ1" s="28"/>
      <c r="HFA1" s="28"/>
      <c r="HFB1" s="28"/>
      <c r="HFC1" s="28"/>
      <c r="HFD1" s="28"/>
      <c r="HFE1" s="28"/>
      <c r="HFF1" s="28"/>
      <c r="HFG1" s="28"/>
      <c r="HFH1" s="28"/>
      <c r="HFI1" s="28"/>
      <c r="HFJ1" s="28"/>
      <c r="HFK1" s="28"/>
      <c r="HFL1" s="28"/>
      <c r="HFM1" s="28"/>
      <c r="HFN1" s="28"/>
      <c r="HFO1" s="28"/>
      <c r="HFP1" s="28"/>
      <c r="HFQ1" s="28"/>
      <c r="HFR1" s="28"/>
      <c r="HFS1" s="28"/>
      <c r="HFT1" s="28"/>
      <c r="HFU1" s="28"/>
      <c r="HFV1" s="28"/>
      <c r="HFW1" s="28"/>
      <c r="HFX1" s="28"/>
      <c r="HFY1" s="28"/>
      <c r="HFZ1" s="28"/>
      <c r="HGA1" s="28"/>
      <c r="HGB1" s="28"/>
      <c r="HGC1" s="28"/>
      <c r="HGD1" s="28"/>
      <c r="HGE1" s="28"/>
      <c r="HGF1" s="28"/>
      <c r="HGG1" s="28"/>
      <c r="HGH1" s="28"/>
      <c r="HGI1" s="28"/>
      <c r="HGJ1" s="28"/>
      <c r="HGK1" s="28"/>
      <c r="HGL1" s="28"/>
      <c r="HGM1" s="28"/>
      <c r="HGN1" s="28"/>
      <c r="HGO1" s="28"/>
      <c r="HGP1" s="28"/>
      <c r="HGQ1" s="28"/>
      <c r="HGR1" s="28"/>
      <c r="HGS1" s="28"/>
      <c r="HGT1" s="28"/>
      <c r="HGU1" s="28"/>
      <c r="HGV1" s="28"/>
      <c r="HGW1" s="28"/>
      <c r="HGX1" s="28"/>
      <c r="HGY1" s="28"/>
      <c r="HGZ1" s="28"/>
      <c r="HHA1" s="28"/>
      <c r="HHB1" s="28"/>
      <c r="HHC1" s="28"/>
      <c r="HHD1" s="28"/>
      <c r="HHE1" s="28"/>
      <c r="HHF1" s="28"/>
      <c r="HHG1" s="28"/>
      <c r="HHH1" s="28"/>
      <c r="HHI1" s="28"/>
      <c r="HHJ1" s="28"/>
      <c r="HHK1" s="28"/>
      <c r="HHL1" s="28"/>
      <c r="HHM1" s="28"/>
      <c r="HHN1" s="28"/>
      <c r="HHO1" s="28"/>
      <c r="HHP1" s="28"/>
      <c r="HHQ1" s="28"/>
      <c r="HHR1" s="28"/>
      <c r="HHS1" s="28"/>
      <c r="HHT1" s="28"/>
      <c r="HHU1" s="28"/>
      <c r="HHV1" s="28"/>
      <c r="HHW1" s="28"/>
      <c r="HHX1" s="28"/>
      <c r="HHY1" s="28"/>
      <c r="HHZ1" s="28"/>
      <c r="HIA1" s="28"/>
      <c r="HIB1" s="28"/>
      <c r="HIC1" s="28"/>
      <c r="HID1" s="28"/>
      <c r="HIE1" s="28"/>
      <c r="HIF1" s="28"/>
      <c r="HIG1" s="28"/>
      <c r="HIH1" s="28"/>
      <c r="HII1" s="28"/>
      <c r="HIJ1" s="28"/>
      <c r="HIK1" s="28"/>
      <c r="HIL1" s="28"/>
      <c r="HIM1" s="28"/>
      <c r="HIN1" s="28"/>
      <c r="HIO1" s="28"/>
      <c r="HIP1" s="28"/>
      <c r="HIQ1" s="28"/>
      <c r="HIR1" s="28"/>
      <c r="HIS1" s="28"/>
      <c r="HIT1" s="28"/>
      <c r="HIU1" s="28"/>
      <c r="HIV1" s="28"/>
      <c r="HIW1" s="28"/>
      <c r="HIX1" s="28"/>
      <c r="HIY1" s="28"/>
      <c r="HIZ1" s="28"/>
      <c r="HJA1" s="28"/>
      <c r="HJB1" s="28"/>
      <c r="HJC1" s="28"/>
      <c r="HJD1" s="28"/>
      <c r="HJE1" s="28"/>
      <c r="HJF1" s="28"/>
      <c r="HJG1" s="28"/>
      <c r="HJH1" s="28"/>
      <c r="HJI1" s="28"/>
      <c r="HJJ1" s="28"/>
      <c r="HJK1" s="28"/>
      <c r="HJL1" s="28"/>
      <c r="HJM1" s="28"/>
      <c r="HJN1" s="28"/>
      <c r="HJO1" s="28"/>
      <c r="HJP1" s="28"/>
      <c r="HJQ1" s="28"/>
      <c r="HJR1" s="28"/>
      <c r="HJS1" s="28"/>
      <c r="HJT1" s="28"/>
      <c r="HJU1" s="28"/>
      <c r="HJV1" s="28"/>
      <c r="HJW1" s="28"/>
      <c r="HJX1" s="28"/>
      <c r="HJY1" s="28"/>
      <c r="HJZ1" s="28"/>
      <c r="HKA1" s="28"/>
      <c r="HKB1" s="28"/>
      <c r="HKC1" s="28"/>
      <c r="HKD1" s="28"/>
      <c r="HKE1" s="28"/>
      <c r="HKF1" s="28"/>
      <c r="HKG1" s="28"/>
      <c r="HKH1" s="28"/>
      <c r="HKI1" s="28"/>
      <c r="HKJ1" s="28"/>
      <c r="HKK1" s="28"/>
      <c r="HKL1" s="28"/>
      <c r="HKM1" s="28"/>
      <c r="HKN1" s="28"/>
      <c r="HKO1" s="28"/>
      <c r="HKP1" s="28"/>
      <c r="HKQ1" s="28"/>
      <c r="HKR1" s="28"/>
      <c r="HKS1" s="28"/>
      <c r="HKT1" s="28"/>
      <c r="HKU1" s="28"/>
      <c r="HKV1" s="28"/>
      <c r="HKW1" s="28"/>
      <c r="HKX1" s="28"/>
      <c r="HKY1" s="28"/>
      <c r="HKZ1" s="28"/>
      <c r="HLA1" s="28"/>
      <c r="HLB1" s="28"/>
      <c r="HLC1" s="28"/>
      <c r="HLD1" s="28"/>
      <c r="HLE1" s="28"/>
      <c r="HLF1" s="28"/>
      <c r="HLG1" s="28"/>
      <c r="HLH1" s="28"/>
      <c r="HLI1" s="28"/>
      <c r="HLJ1" s="28"/>
      <c r="HLK1" s="28"/>
      <c r="HLL1" s="28"/>
      <c r="HLM1" s="28"/>
      <c r="HLN1" s="28"/>
      <c r="HLO1" s="28"/>
      <c r="HLP1" s="28"/>
      <c r="HLQ1" s="28"/>
      <c r="HLR1" s="28"/>
      <c r="HLS1" s="28"/>
      <c r="HLT1" s="28"/>
      <c r="HLU1" s="28"/>
      <c r="HLV1" s="28"/>
      <c r="HLW1" s="28"/>
      <c r="HLX1" s="28"/>
      <c r="HLY1" s="28"/>
      <c r="HLZ1" s="28"/>
      <c r="HMA1" s="28"/>
      <c r="HMB1" s="28"/>
      <c r="HMC1" s="28"/>
      <c r="HMD1" s="28"/>
      <c r="HME1" s="28"/>
      <c r="HMF1" s="28"/>
      <c r="HMG1" s="28"/>
      <c r="HMH1" s="28"/>
      <c r="HMI1" s="28"/>
      <c r="HMJ1" s="28"/>
      <c r="HMK1" s="28"/>
      <c r="HML1" s="28"/>
      <c r="HMM1" s="28"/>
      <c r="HMN1" s="28"/>
      <c r="HMO1" s="28"/>
      <c r="HMP1" s="28"/>
      <c r="HMQ1" s="28"/>
      <c r="HMR1" s="28"/>
      <c r="HMS1" s="28"/>
      <c r="HMT1" s="28"/>
      <c r="HMU1" s="28"/>
      <c r="HMV1" s="28"/>
      <c r="HMW1" s="28"/>
      <c r="HMX1" s="28"/>
      <c r="HMY1" s="28"/>
      <c r="HMZ1" s="28"/>
      <c r="HNA1" s="28"/>
      <c r="HNB1" s="28"/>
      <c r="HNC1" s="28"/>
      <c r="HND1" s="28"/>
      <c r="HNE1" s="28"/>
      <c r="HNF1" s="28"/>
      <c r="HNG1" s="28"/>
      <c r="HNH1" s="28"/>
      <c r="HNI1" s="28"/>
      <c r="HNJ1" s="28"/>
      <c r="HNK1" s="28"/>
      <c r="HNL1" s="28"/>
      <c r="HNM1" s="28"/>
      <c r="HNN1" s="28"/>
      <c r="HNO1" s="28"/>
      <c r="HNP1" s="28"/>
      <c r="HNQ1" s="28"/>
      <c r="HNR1" s="28"/>
      <c r="HNS1" s="28"/>
      <c r="HNT1" s="28"/>
      <c r="HNU1" s="28"/>
      <c r="HNV1" s="28"/>
      <c r="HNW1" s="28"/>
      <c r="HNX1" s="28"/>
      <c r="HNY1" s="28"/>
      <c r="HNZ1" s="28"/>
      <c r="HOA1" s="28"/>
      <c r="HOB1" s="28"/>
      <c r="HOC1" s="28"/>
      <c r="HOD1" s="28"/>
      <c r="HOE1" s="28"/>
      <c r="HOF1" s="28"/>
      <c r="HOG1" s="28"/>
      <c r="HOH1" s="28"/>
      <c r="HOI1" s="28"/>
      <c r="HOJ1" s="28"/>
      <c r="HOK1" s="28"/>
      <c r="HOL1" s="28"/>
      <c r="HOM1" s="28"/>
      <c r="HON1" s="28"/>
      <c r="HOO1" s="28"/>
      <c r="HOP1" s="28"/>
      <c r="HOQ1" s="28"/>
      <c r="HOR1" s="28"/>
      <c r="HOS1" s="28"/>
      <c r="HOT1" s="28"/>
      <c r="HOU1" s="28"/>
      <c r="HOV1" s="28"/>
      <c r="HOW1" s="28"/>
      <c r="HOX1" s="28"/>
      <c r="HOY1" s="28"/>
      <c r="HOZ1" s="28"/>
      <c r="HPA1" s="28"/>
      <c r="HPB1" s="28"/>
      <c r="HPC1" s="28"/>
      <c r="HPD1" s="28"/>
      <c r="HPE1" s="28"/>
      <c r="HPF1" s="28"/>
      <c r="HPG1" s="28"/>
      <c r="HPH1" s="28"/>
      <c r="HPI1" s="28"/>
      <c r="HPJ1" s="28"/>
      <c r="HPK1" s="28"/>
      <c r="HPL1" s="28"/>
      <c r="HPM1" s="28"/>
      <c r="HPN1" s="28"/>
      <c r="HPO1" s="28"/>
      <c r="HPP1" s="28"/>
      <c r="HPQ1" s="28"/>
      <c r="HPR1" s="28"/>
      <c r="HPS1" s="28"/>
      <c r="HPT1" s="28"/>
      <c r="HPU1" s="28"/>
      <c r="HPV1" s="28"/>
      <c r="HPW1" s="28"/>
      <c r="HPX1" s="28"/>
      <c r="HPY1" s="28"/>
      <c r="HPZ1" s="28"/>
      <c r="HQA1" s="28"/>
      <c r="HQB1" s="28"/>
      <c r="HQC1" s="28"/>
      <c r="HQD1" s="28"/>
      <c r="HQE1" s="28"/>
      <c r="HQF1" s="28"/>
      <c r="HQG1" s="28"/>
      <c r="HQH1" s="28"/>
      <c r="HQI1" s="28"/>
      <c r="HQJ1" s="28"/>
      <c r="HQK1" s="28"/>
      <c r="HQL1" s="28"/>
      <c r="HQM1" s="28"/>
      <c r="HQN1" s="28"/>
      <c r="HQO1" s="28"/>
      <c r="HQP1" s="28"/>
      <c r="HQQ1" s="28"/>
      <c r="HQR1" s="28"/>
      <c r="HQS1" s="28"/>
      <c r="HQT1" s="28"/>
      <c r="HQU1" s="28"/>
      <c r="HQV1" s="28"/>
      <c r="HQW1" s="28"/>
      <c r="HQX1" s="28"/>
      <c r="HQY1" s="28"/>
      <c r="HQZ1" s="28"/>
      <c r="HRA1" s="28"/>
      <c r="HRB1" s="28"/>
      <c r="HRC1" s="28"/>
      <c r="HRD1" s="28"/>
      <c r="HRE1" s="28"/>
      <c r="HRF1" s="28"/>
      <c r="HRG1" s="28"/>
      <c r="HRH1" s="28"/>
      <c r="HRI1" s="28"/>
      <c r="HRJ1" s="28"/>
      <c r="HRK1" s="28"/>
      <c r="HRL1" s="28"/>
      <c r="HRM1" s="28"/>
      <c r="HRN1" s="28"/>
      <c r="HRO1" s="28"/>
      <c r="HRP1" s="28"/>
      <c r="HRQ1" s="28"/>
      <c r="HRR1" s="28"/>
      <c r="HRS1" s="28"/>
      <c r="HRT1" s="28"/>
      <c r="HRU1" s="28"/>
      <c r="HRV1" s="28"/>
      <c r="HRW1" s="28"/>
      <c r="HRX1" s="28"/>
      <c r="HRY1" s="28"/>
      <c r="HRZ1" s="28"/>
      <c r="HSA1" s="28"/>
      <c r="HSB1" s="28"/>
      <c r="HSC1" s="28"/>
      <c r="HSD1" s="28"/>
      <c r="HSE1" s="28"/>
      <c r="HSF1" s="28"/>
      <c r="HSG1" s="28"/>
      <c r="HSH1" s="28"/>
      <c r="HSI1" s="28"/>
      <c r="HSJ1" s="28"/>
      <c r="HSK1" s="28"/>
      <c r="HSL1" s="28"/>
      <c r="HSM1" s="28"/>
      <c r="HSN1" s="28"/>
      <c r="HSO1" s="28"/>
      <c r="HSP1" s="28"/>
      <c r="HSQ1" s="28"/>
      <c r="HSR1" s="28"/>
      <c r="HSS1" s="28"/>
      <c r="HST1" s="28"/>
      <c r="HSU1" s="28"/>
      <c r="HSV1" s="28"/>
      <c r="HSW1" s="28"/>
      <c r="HSX1" s="28"/>
      <c r="HSY1" s="28"/>
      <c r="HSZ1" s="28"/>
      <c r="HTA1" s="28"/>
      <c r="HTB1" s="28"/>
      <c r="HTC1" s="28"/>
      <c r="HTD1" s="28"/>
      <c r="HTE1" s="28"/>
      <c r="HTF1" s="28"/>
      <c r="HTG1" s="28"/>
      <c r="HTH1" s="28"/>
      <c r="HTI1" s="28"/>
      <c r="HTJ1" s="28"/>
      <c r="HTK1" s="28"/>
      <c r="HTL1" s="28"/>
      <c r="HTM1" s="28"/>
      <c r="HTN1" s="28"/>
      <c r="HTO1" s="28"/>
      <c r="HTP1" s="28"/>
      <c r="HTQ1" s="28"/>
      <c r="HTR1" s="28"/>
      <c r="HTS1" s="28"/>
      <c r="HTT1" s="28"/>
      <c r="HTU1" s="28"/>
      <c r="HTV1" s="28"/>
      <c r="HTW1" s="28"/>
      <c r="HTX1" s="28"/>
      <c r="HTY1" s="28"/>
      <c r="HTZ1" s="28"/>
      <c r="HUA1" s="28"/>
      <c r="HUB1" s="28"/>
      <c r="HUC1" s="28"/>
      <c r="HUD1" s="28"/>
      <c r="HUE1" s="28"/>
      <c r="HUF1" s="28"/>
      <c r="HUG1" s="28"/>
      <c r="HUH1" s="28"/>
      <c r="HUI1" s="28"/>
      <c r="HUJ1" s="28"/>
      <c r="HUK1" s="28"/>
      <c r="HUL1" s="28"/>
      <c r="HUM1" s="28"/>
      <c r="HUN1" s="28"/>
      <c r="HUO1" s="28"/>
      <c r="HUP1" s="28"/>
      <c r="HUQ1" s="28"/>
      <c r="HUR1" s="28"/>
      <c r="HUS1" s="28"/>
      <c r="HUT1" s="28"/>
      <c r="HUU1" s="28"/>
      <c r="HUV1" s="28"/>
      <c r="HUW1" s="28"/>
      <c r="HUX1" s="28"/>
      <c r="HUY1" s="28"/>
      <c r="HUZ1" s="28"/>
      <c r="HVA1" s="28"/>
      <c r="HVB1" s="28"/>
      <c r="HVC1" s="28"/>
      <c r="HVD1" s="28"/>
      <c r="HVE1" s="28"/>
      <c r="HVF1" s="28"/>
      <c r="HVG1" s="28"/>
      <c r="HVH1" s="28"/>
      <c r="HVI1" s="28"/>
      <c r="HVJ1" s="28"/>
      <c r="HVK1" s="28"/>
      <c r="HVL1" s="28"/>
      <c r="HVM1" s="28"/>
      <c r="HVN1" s="28"/>
      <c r="HVO1" s="28"/>
      <c r="HVP1" s="28"/>
      <c r="HVQ1" s="28"/>
      <c r="HVR1" s="28"/>
      <c r="HVS1" s="28"/>
      <c r="HVT1" s="28"/>
      <c r="HVU1" s="28"/>
      <c r="HVV1" s="28"/>
      <c r="HVW1" s="28"/>
      <c r="HVX1" s="28"/>
      <c r="HVY1" s="28"/>
      <c r="HVZ1" s="28"/>
      <c r="HWA1" s="28"/>
      <c r="HWB1" s="28"/>
      <c r="HWC1" s="28"/>
      <c r="HWD1" s="28"/>
      <c r="HWE1" s="28"/>
      <c r="HWF1" s="28"/>
      <c r="HWG1" s="28"/>
      <c r="HWH1" s="28"/>
      <c r="HWI1" s="28"/>
      <c r="HWJ1" s="28"/>
      <c r="HWK1" s="28"/>
      <c r="HWL1" s="28"/>
      <c r="HWM1" s="28"/>
      <c r="HWN1" s="28"/>
      <c r="HWO1" s="28"/>
      <c r="HWP1" s="28"/>
      <c r="HWQ1" s="28"/>
      <c r="HWR1" s="28"/>
      <c r="HWS1" s="28"/>
      <c r="HWT1" s="28"/>
      <c r="HWU1" s="28"/>
      <c r="HWV1" s="28"/>
      <c r="HWW1" s="28"/>
      <c r="HWX1" s="28"/>
      <c r="HWY1" s="28"/>
      <c r="HWZ1" s="28"/>
      <c r="HXA1" s="28"/>
      <c r="HXB1" s="28"/>
      <c r="HXC1" s="28"/>
      <c r="HXD1" s="28"/>
      <c r="HXE1" s="28"/>
      <c r="HXF1" s="28"/>
      <c r="HXG1" s="28"/>
      <c r="HXH1" s="28"/>
      <c r="HXI1" s="28"/>
      <c r="HXJ1" s="28"/>
      <c r="HXK1" s="28"/>
      <c r="HXL1" s="28"/>
      <c r="HXM1" s="28"/>
      <c r="HXN1" s="28"/>
      <c r="HXO1" s="28"/>
      <c r="HXP1" s="28"/>
      <c r="HXQ1" s="28"/>
      <c r="HXR1" s="28"/>
      <c r="HXS1" s="28"/>
      <c r="HXT1" s="28"/>
      <c r="HXU1" s="28"/>
      <c r="HXV1" s="28"/>
      <c r="HXW1" s="28"/>
      <c r="HXX1" s="28"/>
      <c r="HXY1" s="28"/>
      <c r="HXZ1" s="28"/>
      <c r="HYA1" s="28"/>
      <c r="HYB1" s="28"/>
      <c r="HYC1" s="28"/>
      <c r="HYD1" s="28"/>
      <c r="HYE1" s="28"/>
      <c r="HYF1" s="28"/>
      <c r="HYG1" s="28"/>
      <c r="HYH1" s="28"/>
      <c r="HYI1" s="28"/>
      <c r="HYJ1" s="28"/>
      <c r="HYK1" s="28"/>
      <c r="HYL1" s="28"/>
      <c r="HYM1" s="28"/>
      <c r="HYN1" s="28"/>
      <c r="HYO1" s="28"/>
      <c r="HYP1" s="28"/>
      <c r="HYQ1" s="28"/>
      <c r="HYR1" s="28"/>
      <c r="HYS1" s="28"/>
      <c r="HYT1" s="28"/>
      <c r="HYU1" s="28"/>
      <c r="HYV1" s="28"/>
      <c r="HYW1" s="28"/>
      <c r="HYX1" s="28"/>
      <c r="HYY1" s="28"/>
      <c r="HYZ1" s="28"/>
      <c r="HZA1" s="28"/>
      <c r="HZB1" s="28"/>
      <c r="HZC1" s="28"/>
      <c r="HZD1" s="28"/>
      <c r="HZE1" s="28"/>
      <c r="HZF1" s="28"/>
      <c r="HZG1" s="28"/>
      <c r="HZH1" s="28"/>
      <c r="HZI1" s="28"/>
      <c r="HZJ1" s="28"/>
      <c r="HZK1" s="28"/>
      <c r="HZL1" s="28"/>
      <c r="HZM1" s="28"/>
      <c r="HZN1" s="28"/>
      <c r="HZO1" s="28"/>
      <c r="HZP1" s="28"/>
      <c r="HZQ1" s="28"/>
      <c r="HZR1" s="28"/>
      <c r="HZS1" s="28"/>
      <c r="HZT1" s="28"/>
      <c r="HZU1" s="28"/>
      <c r="HZV1" s="28"/>
      <c r="HZW1" s="28"/>
      <c r="HZX1" s="28"/>
      <c r="HZY1" s="28"/>
      <c r="HZZ1" s="28"/>
      <c r="IAA1" s="28"/>
      <c r="IAB1" s="28"/>
      <c r="IAC1" s="28"/>
      <c r="IAD1" s="28"/>
      <c r="IAE1" s="28"/>
      <c r="IAF1" s="28"/>
      <c r="IAG1" s="28"/>
      <c r="IAH1" s="28"/>
      <c r="IAI1" s="28"/>
      <c r="IAJ1" s="28"/>
      <c r="IAK1" s="28"/>
      <c r="IAL1" s="28"/>
      <c r="IAM1" s="28"/>
      <c r="IAN1" s="28"/>
      <c r="IAO1" s="28"/>
      <c r="IAP1" s="28"/>
      <c r="IAQ1" s="28"/>
      <c r="IAR1" s="28"/>
      <c r="IAS1" s="28"/>
      <c r="IAT1" s="28"/>
      <c r="IAU1" s="28"/>
      <c r="IAV1" s="28"/>
      <c r="IAW1" s="28"/>
      <c r="IAX1" s="28"/>
      <c r="IAY1" s="28"/>
      <c r="IAZ1" s="28"/>
      <c r="IBA1" s="28"/>
      <c r="IBB1" s="28"/>
      <c r="IBC1" s="28"/>
      <c r="IBD1" s="28"/>
      <c r="IBE1" s="28"/>
      <c r="IBF1" s="28"/>
      <c r="IBG1" s="28"/>
      <c r="IBH1" s="28"/>
      <c r="IBI1" s="28"/>
      <c r="IBJ1" s="28"/>
      <c r="IBK1" s="28"/>
      <c r="IBL1" s="28"/>
      <c r="IBM1" s="28"/>
      <c r="IBN1" s="28"/>
      <c r="IBO1" s="28"/>
      <c r="IBP1" s="28"/>
      <c r="IBQ1" s="28"/>
      <c r="IBR1" s="28"/>
      <c r="IBS1" s="28"/>
      <c r="IBT1" s="28"/>
      <c r="IBU1" s="28"/>
      <c r="IBV1" s="28"/>
      <c r="IBW1" s="28"/>
      <c r="IBX1" s="28"/>
      <c r="IBY1" s="28"/>
      <c r="IBZ1" s="28"/>
      <c r="ICA1" s="28"/>
      <c r="ICB1" s="28"/>
      <c r="ICC1" s="28"/>
      <c r="ICD1" s="28"/>
      <c r="ICE1" s="28"/>
      <c r="ICF1" s="28"/>
      <c r="ICG1" s="28"/>
      <c r="ICH1" s="28"/>
      <c r="ICI1" s="28"/>
      <c r="ICJ1" s="28"/>
      <c r="ICK1" s="28"/>
      <c r="ICL1" s="28"/>
      <c r="ICM1" s="28"/>
      <c r="ICN1" s="28"/>
      <c r="ICO1" s="28"/>
      <c r="ICP1" s="28"/>
      <c r="ICQ1" s="28"/>
      <c r="ICR1" s="28"/>
      <c r="ICS1" s="28"/>
      <c r="ICT1" s="28"/>
      <c r="ICU1" s="28"/>
      <c r="ICV1" s="28"/>
      <c r="ICW1" s="28"/>
      <c r="ICX1" s="28"/>
      <c r="ICY1" s="28"/>
      <c r="ICZ1" s="28"/>
      <c r="IDA1" s="28"/>
      <c r="IDB1" s="28"/>
      <c r="IDC1" s="28"/>
      <c r="IDD1" s="28"/>
      <c r="IDE1" s="28"/>
      <c r="IDF1" s="28"/>
      <c r="IDG1" s="28"/>
      <c r="IDH1" s="28"/>
      <c r="IDI1" s="28"/>
      <c r="IDJ1" s="28"/>
      <c r="IDK1" s="28"/>
      <c r="IDL1" s="28"/>
      <c r="IDM1" s="28"/>
      <c r="IDN1" s="28"/>
      <c r="IDO1" s="28"/>
      <c r="IDP1" s="28"/>
      <c r="IDQ1" s="28"/>
      <c r="IDR1" s="28"/>
      <c r="IDS1" s="28"/>
      <c r="IDT1" s="28"/>
      <c r="IDU1" s="28"/>
      <c r="IDV1" s="28"/>
      <c r="IDW1" s="28"/>
      <c r="IDX1" s="28"/>
      <c r="IDY1" s="28"/>
      <c r="IDZ1" s="28"/>
      <c r="IEA1" s="28"/>
      <c r="IEB1" s="28"/>
      <c r="IEC1" s="28"/>
      <c r="IED1" s="28"/>
      <c r="IEE1" s="28"/>
      <c r="IEF1" s="28"/>
      <c r="IEG1" s="28"/>
      <c r="IEH1" s="28"/>
      <c r="IEI1" s="28"/>
      <c r="IEJ1" s="28"/>
      <c r="IEK1" s="28"/>
      <c r="IEL1" s="28"/>
      <c r="IEM1" s="28"/>
      <c r="IEN1" s="28"/>
      <c r="IEO1" s="28"/>
      <c r="IEP1" s="28"/>
      <c r="IEQ1" s="28"/>
      <c r="IER1" s="28"/>
      <c r="IES1" s="28"/>
      <c r="IET1" s="28"/>
      <c r="IEU1" s="28"/>
      <c r="IEV1" s="28"/>
      <c r="IEW1" s="28"/>
      <c r="IEX1" s="28"/>
      <c r="IEY1" s="28"/>
      <c r="IEZ1" s="28"/>
      <c r="IFA1" s="28"/>
      <c r="IFB1" s="28"/>
      <c r="IFC1" s="28"/>
      <c r="IFD1" s="28"/>
      <c r="IFE1" s="28"/>
      <c r="IFF1" s="28"/>
      <c r="IFG1" s="28"/>
      <c r="IFH1" s="28"/>
      <c r="IFI1" s="28"/>
      <c r="IFJ1" s="28"/>
      <c r="IFK1" s="28"/>
      <c r="IFL1" s="28"/>
      <c r="IFM1" s="28"/>
      <c r="IFN1" s="28"/>
      <c r="IFO1" s="28"/>
      <c r="IFP1" s="28"/>
      <c r="IFQ1" s="28"/>
      <c r="IFR1" s="28"/>
      <c r="IFS1" s="28"/>
      <c r="IFT1" s="28"/>
      <c r="IFU1" s="28"/>
      <c r="IFV1" s="28"/>
      <c r="IFW1" s="28"/>
      <c r="IFX1" s="28"/>
      <c r="IFY1" s="28"/>
      <c r="IFZ1" s="28"/>
      <c r="IGA1" s="28"/>
      <c r="IGB1" s="28"/>
      <c r="IGC1" s="28"/>
      <c r="IGD1" s="28"/>
      <c r="IGE1" s="28"/>
      <c r="IGF1" s="28"/>
      <c r="IGG1" s="28"/>
      <c r="IGH1" s="28"/>
      <c r="IGI1" s="28"/>
      <c r="IGJ1" s="28"/>
      <c r="IGK1" s="28"/>
      <c r="IGL1" s="28"/>
      <c r="IGM1" s="28"/>
      <c r="IGN1" s="28"/>
      <c r="IGO1" s="28"/>
      <c r="IGP1" s="28"/>
      <c r="IGQ1" s="28"/>
      <c r="IGR1" s="28"/>
      <c r="IGS1" s="28"/>
      <c r="IGT1" s="28"/>
      <c r="IGU1" s="28"/>
      <c r="IGV1" s="28"/>
      <c r="IGW1" s="28"/>
      <c r="IGX1" s="28"/>
      <c r="IGY1" s="28"/>
      <c r="IGZ1" s="28"/>
      <c r="IHA1" s="28"/>
      <c r="IHB1" s="28"/>
      <c r="IHC1" s="28"/>
      <c r="IHD1" s="28"/>
      <c r="IHE1" s="28"/>
      <c r="IHF1" s="28"/>
      <c r="IHG1" s="28"/>
      <c r="IHH1" s="28"/>
      <c r="IHI1" s="28"/>
      <c r="IHJ1" s="28"/>
      <c r="IHK1" s="28"/>
      <c r="IHL1" s="28"/>
      <c r="IHM1" s="28"/>
      <c r="IHN1" s="28"/>
      <c r="IHO1" s="28"/>
      <c r="IHP1" s="28"/>
      <c r="IHQ1" s="28"/>
      <c r="IHR1" s="28"/>
      <c r="IHS1" s="28"/>
      <c r="IHT1" s="28"/>
      <c r="IHU1" s="28"/>
      <c r="IHV1" s="28"/>
      <c r="IHW1" s="28"/>
      <c r="IHX1" s="28"/>
      <c r="IHY1" s="28"/>
      <c r="IHZ1" s="28"/>
      <c r="IIA1" s="28"/>
      <c r="IIB1" s="28"/>
      <c r="IIC1" s="28"/>
      <c r="IID1" s="28"/>
      <c r="IIE1" s="28"/>
      <c r="IIF1" s="28"/>
      <c r="IIG1" s="28"/>
      <c r="IIH1" s="28"/>
      <c r="III1" s="28"/>
      <c r="IIJ1" s="28"/>
      <c r="IIK1" s="28"/>
      <c r="IIL1" s="28"/>
      <c r="IIM1" s="28"/>
      <c r="IIN1" s="28"/>
      <c r="IIO1" s="28"/>
      <c r="IIP1" s="28"/>
      <c r="IIQ1" s="28"/>
      <c r="IIR1" s="28"/>
      <c r="IIS1" s="28"/>
      <c r="IIT1" s="28"/>
      <c r="IIU1" s="28"/>
      <c r="IIV1" s="28"/>
      <c r="IIW1" s="28"/>
      <c r="IIX1" s="28"/>
      <c r="IIY1" s="28"/>
      <c r="IIZ1" s="28"/>
      <c r="IJA1" s="28"/>
      <c r="IJB1" s="28"/>
      <c r="IJC1" s="28"/>
      <c r="IJD1" s="28"/>
      <c r="IJE1" s="28"/>
      <c r="IJF1" s="28"/>
      <c r="IJG1" s="28"/>
      <c r="IJH1" s="28"/>
      <c r="IJI1" s="28"/>
      <c r="IJJ1" s="28"/>
      <c r="IJK1" s="28"/>
      <c r="IJL1" s="28"/>
      <c r="IJM1" s="28"/>
      <c r="IJN1" s="28"/>
      <c r="IJO1" s="28"/>
      <c r="IJP1" s="28"/>
      <c r="IJQ1" s="28"/>
      <c r="IJR1" s="28"/>
      <c r="IJS1" s="28"/>
      <c r="IJT1" s="28"/>
      <c r="IJU1" s="28"/>
      <c r="IJV1" s="28"/>
      <c r="IJW1" s="28"/>
      <c r="IJX1" s="28"/>
      <c r="IJY1" s="28"/>
      <c r="IJZ1" s="28"/>
      <c r="IKA1" s="28"/>
      <c r="IKB1" s="28"/>
      <c r="IKC1" s="28"/>
      <c r="IKD1" s="28"/>
      <c r="IKE1" s="28"/>
      <c r="IKF1" s="28"/>
      <c r="IKG1" s="28"/>
      <c r="IKH1" s="28"/>
      <c r="IKI1" s="28"/>
      <c r="IKJ1" s="28"/>
      <c r="IKK1" s="28"/>
      <c r="IKL1" s="28"/>
      <c r="IKM1" s="28"/>
      <c r="IKN1" s="28"/>
      <c r="IKO1" s="28"/>
      <c r="IKP1" s="28"/>
      <c r="IKQ1" s="28"/>
      <c r="IKR1" s="28"/>
      <c r="IKS1" s="28"/>
      <c r="IKT1" s="28"/>
      <c r="IKU1" s="28"/>
      <c r="IKV1" s="28"/>
      <c r="IKW1" s="28"/>
      <c r="IKX1" s="28"/>
      <c r="IKY1" s="28"/>
      <c r="IKZ1" s="28"/>
      <c r="ILA1" s="28"/>
      <c r="ILB1" s="28"/>
      <c r="ILC1" s="28"/>
      <c r="ILD1" s="28"/>
      <c r="ILE1" s="28"/>
      <c r="ILF1" s="28"/>
      <c r="ILG1" s="28"/>
      <c r="ILH1" s="28"/>
      <c r="ILI1" s="28"/>
      <c r="ILJ1" s="28"/>
      <c r="ILK1" s="28"/>
      <c r="ILL1" s="28"/>
      <c r="ILM1" s="28"/>
      <c r="ILN1" s="28"/>
      <c r="ILO1" s="28"/>
      <c r="ILP1" s="28"/>
      <c r="ILQ1" s="28"/>
      <c r="ILR1" s="28"/>
      <c r="ILS1" s="28"/>
      <c r="ILT1" s="28"/>
      <c r="ILU1" s="28"/>
      <c r="ILV1" s="28"/>
      <c r="ILW1" s="28"/>
      <c r="ILX1" s="28"/>
      <c r="ILY1" s="28"/>
      <c r="ILZ1" s="28"/>
      <c r="IMA1" s="28"/>
      <c r="IMB1" s="28"/>
      <c r="IMC1" s="28"/>
      <c r="IMD1" s="28"/>
      <c r="IME1" s="28"/>
      <c r="IMF1" s="28"/>
      <c r="IMG1" s="28"/>
      <c r="IMH1" s="28"/>
      <c r="IMI1" s="28"/>
      <c r="IMJ1" s="28"/>
      <c r="IMK1" s="28"/>
      <c r="IML1" s="28"/>
      <c r="IMM1" s="28"/>
      <c r="IMN1" s="28"/>
      <c r="IMO1" s="28"/>
      <c r="IMP1" s="28"/>
      <c r="IMQ1" s="28"/>
      <c r="IMR1" s="28"/>
      <c r="IMS1" s="28"/>
      <c r="IMT1" s="28"/>
      <c r="IMU1" s="28"/>
      <c r="IMV1" s="28"/>
      <c r="IMW1" s="28"/>
      <c r="IMX1" s="28"/>
      <c r="IMY1" s="28"/>
      <c r="IMZ1" s="28"/>
      <c r="INA1" s="28"/>
      <c r="INB1" s="28"/>
      <c r="INC1" s="28"/>
      <c r="IND1" s="28"/>
      <c r="INE1" s="28"/>
      <c r="INF1" s="28"/>
      <c r="ING1" s="28"/>
      <c r="INH1" s="28"/>
      <c r="INI1" s="28"/>
      <c r="INJ1" s="28"/>
      <c r="INK1" s="28"/>
      <c r="INL1" s="28"/>
      <c r="INM1" s="28"/>
      <c r="INN1" s="28"/>
      <c r="INO1" s="28"/>
      <c r="INP1" s="28"/>
      <c r="INQ1" s="28"/>
      <c r="INR1" s="28"/>
      <c r="INS1" s="28"/>
      <c r="INT1" s="28"/>
      <c r="INU1" s="28"/>
      <c r="INV1" s="28"/>
      <c r="INW1" s="28"/>
      <c r="INX1" s="28"/>
      <c r="INY1" s="28"/>
      <c r="INZ1" s="28"/>
      <c r="IOA1" s="28"/>
      <c r="IOB1" s="28"/>
      <c r="IOC1" s="28"/>
      <c r="IOD1" s="28"/>
      <c r="IOE1" s="28"/>
      <c r="IOF1" s="28"/>
      <c r="IOG1" s="28"/>
      <c r="IOH1" s="28"/>
      <c r="IOI1" s="28"/>
      <c r="IOJ1" s="28"/>
      <c r="IOK1" s="28"/>
      <c r="IOL1" s="28"/>
      <c r="IOM1" s="28"/>
      <c r="ION1" s="28"/>
      <c r="IOO1" s="28"/>
      <c r="IOP1" s="28"/>
      <c r="IOQ1" s="28"/>
      <c r="IOR1" s="28"/>
      <c r="IOS1" s="28"/>
      <c r="IOT1" s="28"/>
      <c r="IOU1" s="28"/>
      <c r="IOV1" s="28"/>
      <c r="IOW1" s="28"/>
      <c r="IOX1" s="28"/>
      <c r="IOY1" s="28"/>
      <c r="IOZ1" s="28"/>
      <c r="IPA1" s="28"/>
      <c r="IPB1" s="28"/>
      <c r="IPC1" s="28"/>
      <c r="IPD1" s="28"/>
      <c r="IPE1" s="28"/>
      <c r="IPF1" s="28"/>
      <c r="IPG1" s="28"/>
      <c r="IPH1" s="28"/>
      <c r="IPI1" s="28"/>
      <c r="IPJ1" s="28"/>
      <c r="IPK1" s="28"/>
      <c r="IPL1" s="28"/>
      <c r="IPM1" s="28"/>
      <c r="IPN1" s="28"/>
      <c r="IPO1" s="28"/>
      <c r="IPP1" s="28"/>
      <c r="IPQ1" s="28"/>
      <c r="IPR1" s="28"/>
      <c r="IPS1" s="28"/>
      <c r="IPT1" s="28"/>
      <c r="IPU1" s="28"/>
      <c r="IPV1" s="28"/>
      <c r="IPW1" s="28"/>
      <c r="IPX1" s="28"/>
      <c r="IPY1" s="28"/>
      <c r="IPZ1" s="28"/>
      <c r="IQA1" s="28"/>
      <c r="IQB1" s="28"/>
      <c r="IQC1" s="28"/>
      <c r="IQD1" s="28"/>
      <c r="IQE1" s="28"/>
      <c r="IQF1" s="28"/>
      <c r="IQG1" s="28"/>
      <c r="IQH1" s="28"/>
      <c r="IQI1" s="28"/>
      <c r="IQJ1" s="28"/>
      <c r="IQK1" s="28"/>
      <c r="IQL1" s="28"/>
      <c r="IQM1" s="28"/>
      <c r="IQN1" s="28"/>
      <c r="IQO1" s="28"/>
      <c r="IQP1" s="28"/>
      <c r="IQQ1" s="28"/>
      <c r="IQR1" s="28"/>
      <c r="IQS1" s="28"/>
      <c r="IQT1" s="28"/>
      <c r="IQU1" s="28"/>
      <c r="IQV1" s="28"/>
      <c r="IQW1" s="28"/>
      <c r="IQX1" s="28"/>
      <c r="IQY1" s="28"/>
      <c r="IQZ1" s="28"/>
      <c r="IRA1" s="28"/>
      <c r="IRB1" s="28"/>
      <c r="IRC1" s="28"/>
      <c r="IRD1" s="28"/>
      <c r="IRE1" s="28"/>
      <c r="IRF1" s="28"/>
      <c r="IRG1" s="28"/>
      <c r="IRH1" s="28"/>
      <c r="IRI1" s="28"/>
      <c r="IRJ1" s="28"/>
      <c r="IRK1" s="28"/>
      <c r="IRL1" s="28"/>
      <c r="IRM1" s="28"/>
      <c r="IRN1" s="28"/>
      <c r="IRO1" s="28"/>
      <c r="IRP1" s="28"/>
      <c r="IRQ1" s="28"/>
      <c r="IRR1" s="28"/>
      <c r="IRS1" s="28"/>
      <c r="IRT1" s="28"/>
      <c r="IRU1" s="28"/>
      <c r="IRV1" s="28"/>
      <c r="IRW1" s="28"/>
      <c r="IRX1" s="28"/>
      <c r="IRY1" s="28"/>
      <c r="IRZ1" s="28"/>
      <c r="ISA1" s="28"/>
      <c r="ISB1" s="28"/>
      <c r="ISC1" s="28"/>
      <c r="ISD1" s="28"/>
      <c r="ISE1" s="28"/>
      <c r="ISF1" s="28"/>
      <c r="ISG1" s="28"/>
      <c r="ISH1" s="28"/>
      <c r="ISI1" s="28"/>
      <c r="ISJ1" s="28"/>
      <c r="ISK1" s="28"/>
      <c r="ISL1" s="28"/>
      <c r="ISM1" s="28"/>
      <c r="ISN1" s="28"/>
      <c r="ISO1" s="28"/>
      <c r="ISP1" s="28"/>
      <c r="ISQ1" s="28"/>
      <c r="ISR1" s="28"/>
      <c r="ISS1" s="28"/>
      <c r="IST1" s="28"/>
      <c r="ISU1" s="28"/>
      <c r="ISV1" s="28"/>
      <c r="ISW1" s="28"/>
      <c r="ISX1" s="28"/>
      <c r="ISY1" s="28"/>
      <c r="ISZ1" s="28"/>
      <c r="ITA1" s="28"/>
      <c r="ITB1" s="28"/>
      <c r="ITC1" s="28"/>
      <c r="ITD1" s="28"/>
      <c r="ITE1" s="28"/>
      <c r="ITF1" s="28"/>
      <c r="ITG1" s="28"/>
      <c r="ITH1" s="28"/>
      <c r="ITI1" s="28"/>
      <c r="ITJ1" s="28"/>
      <c r="ITK1" s="28"/>
      <c r="ITL1" s="28"/>
      <c r="ITM1" s="28"/>
      <c r="ITN1" s="28"/>
      <c r="ITO1" s="28"/>
      <c r="ITP1" s="28"/>
      <c r="ITQ1" s="28"/>
      <c r="ITR1" s="28"/>
      <c r="ITS1" s="28"/>
      <c r="ITT1" s="28"/>
      <c r="ITU1" s="28"/>
      <c r="ITV1" s="28"/>
      <c r="ITW1" s="28"/>
      <c r="ITX1" s="28"/>
      <c r="ITY1" s="28"/>
      <c r="ITZ1" s="28"/>
      <c r="IUA1" s="28"/>
      <c r="IUB1" s="28"/>
      <c r="IUC1" s="28"/>
      <c r="IUD1" s="28"/>
      <c r="IUE1" s="28"/>
      <c r="IUF1" s="28"/>
      <c r="IUG1" s="28"/>
      <c r="IUH1" s="28"/>
      <c r="IUI1" s="28"/>
      <c r="IUJ1" s="28"/>
      <c r="IUK1" s="28"/>
      <c r="IUL1" s="28"/>
      <c r="IUM1" s="28"/>
      <c r="IUN1" s="28"/>
      <c r="IUO1" s="28"/>
      <c r="IUP1" s="28"/>
      <c r="IUQ1" s="28"/>
      <c r="IUR1" s="28"/>
      <c r="IUS1" s="28"/>
      <c r="IUT1" s="28"/>
      <c r="IUU1" s="28"/>
      <c r="IUV1" s="28"/>
      <c r="IUW1" s="28"/>
      <c r="IUX1" s="28"/>
      <c r="IUY1" s="28"/>
      <c r="IUZ1" s="28"/>
      <c r="IVA1" s="28"/>
      <c r="IVB1" s="28"/>
      <c r="IVC1" s="28"/>
      <c r="IVD1" s="28"/>
      <c r="IVE1" s="28"/>
      <c r="IVF1" s="28"/>
      <c r="IVG1" s="28"/>
      <c r="IVH1" s="28"/>
      <c r="IVI1" s="28"/>
      <c r="IVJ1" s="28"/>
      <c r="IVK1" s="28"/>
      <c r="IVL1" s="28"/>
      <c r="IVM1" s="28"/>
      <c r="IVN1" s="28"/>
      <c r="IVO1" s="28"/>
      <c r="IVP1" s="28"/>
      <c r="IVQ1" s="28"/>
      <c r="IVR1" s="28"/>
      <c r="IVS1" s="28"/>
      <c r="IVT1" s="28"/>
      <c r="IVU1" s="28"/>
      <c r="IVV1" s="28"/>
      <c r="IVW1" s="28"/>
      <c r="IVX1" s="28"/>
      <c r="IVY1" s="28"/>
      <c r="IVZ1" s="28"/>
      <c r="IWA1" s="28"/>
      <c r="IWB1" s="28"/>
      <c r="IWC1" s="28"/>
      <c r="IWD1" s="28"/>
      <c r="IWE1" s="28"/>
      <c r="IWF1" s="28"/>
      <c r="IWG1" s="28"/>
      <c r="IWH1" s="28"/>
      <c r="IWI1" s="28"/>
      <c r="IWJ1" s="28"/>
      <c r="IWK1" s="28"/>
      <c r="IWL1" s="28"/>
      <c r="IWM1" s="28"/>
      <c r="IWN1" s="28"/>
      <c r="IWO1" s="28"/>
      <c r="IWP1" s="28"/>
      <c r="IWQ1" s="28"/>
      <c r="IWR1" s="28"/>
      <c r="IWS1" s="28"/>
      <c r="IWT1" s="28"/>
      <c r="IWU1" s="28"/>
      <c r="IWV1" s="28"/>
      <c r="IWW1" s="28"/>
      <c r="IWX1" s="28"/>
      <c r="IWY1" s="28"/>
      <c r="IWZ1" s="28"/>
      <c r="IXA1" s="28"/>
      <c r="IXB1" s="28"/>
      <c r="IXC1" s="28"/>
      <c r="IXD1" s="28"/>
      <c r="IXE1" s="28"/>
      <c r="IXF1" s="28"/>
      <c r="IXG1" s="28"/>
      <c r="IXH1" s="28"/>
      <c r="IXI1" s="28"/>
      <c r="IXJ1" s="28"/>
      <c r="IXK1" s="28"/>
      <c r="IXL1" s="28"/>
      <c r="IXM1" s="28"/>
      <c r="IXN1" s="28"/>
      <c r="IXO1" s="28"/>
      <c r="IXP1" s="28"/>
      <c r="IXQ1" s="28"/>
      <c r="IXR1" s="28"/>
      <c r="IXS1" s="28"/>
      <c r="IXT1" s="28"/>
      <c r="IXU1" s="28"/>
      <c r="IXV1" s="28"/>
      <c r="IXW1" s="28"/>
      <c r="IXX1" s="28"/>
      <c r="IXY1" s="28"/>
      <c r="IXZ1" s="28"/>
      <c r="IYA1" s="28"/>
      <c r="IYB1" s="28"/>
      <c r="IYC1" s="28"/>
      <c r="IYD1" s="28"/>
      <c r="IYE1" s="28"/>
      <c r="IYF1" s="28"/>
      <c r="IYG1" s="28"/>
      <c r="IYH1" s="28"/>
      <c r="IYI1" s="28"/>
      <c r="IYJ1" s="28"/>
      <c r="IYK1" s="28"/>
      <c r="IYL1" s="28"/>
      <c r="IYM1" s="28"/>
      <c r="IYN1" s="28"/>
      <c r="IYO1" s="28"/>
      <c r="IYP1" s="28"/>
      <c r="IYQ1" s="28"/>
      <c r="IYR1" s="28"/>
      <c r="IYS1" s="28"/>
      <c r="IYT1" s="28"/>
      <c r="IYU1" s="28"/>
      <c r="IYV1" s="28"/>
      <c r="IYW1" s="28"/>
      <c r="IYX1" s="28"/>
      <c r="IYY1" s="28"/>
      <c r="IYZ1" s="28"/>
      <c r="IZA1" s="28"/>
      <c r="IZB1" s="28"/>
      <c r="IZC1" s="28"/>
      <c r="IZD1" s="28"/>
      <c r="IZE1" s="28"/>
      <c r="IZF1" s="28"/>
      <c r="IZG1" s="28"/>
      <c r="IZH1" s="28"/>
      <c r="IZI1" s="28"/>
      <c r="IZJ1" s="28"/>
      <c r="IZK1" s="28"/>
      <c r="IZL1" s="28"/>
      <c r="IZM1" s="28"/>
      <c r="IZN1" s="28"/>
      <c r="IZO1" s="28"/>
      <c r="IZP1" s="28"/>
      <c r="IZQ1" s="28"/>
      <c r="IZR1" s="28"/>
      <c r="IZS1" s="28"/>
      <c r="IZT1" s="28"/>
      <c r="IZU1" s="28"/>
      <c r="IZV1" s="28"/>
      <c r="IZW1" s="28"/>
      <c r="IZX1" s="28"/>
      <c r="IZY1" s="28"/>
      <c r="IZZ1" s="28"/>
      <c r="JAA1" s="28"/>
      <c r="JAB1" s="28"/>
      <c r="JAC1" s="28"/>
      <c r="JAD1" s="28"/>
      <c r="JAE1" s="28"/>
      <c r="JAF1" s="28"/>
      <c r="JAG1" s="28"/>
      <c r="JAH1" s="28"/>
      <c r="JAI1" s="28"/>
      <c r="JAJ1" s="28"/>
      <c r="JAK1" s="28"/>
      <c r="JAL1" s="28"/>
      <c r="JAM1" s="28"/>
      <c r="JAN1" s="28"/>
      <c r="JAO1" s="28"/>
      <c r="JAP1" s="28"/>
      <c r="JAQ1" s="28"/>
      <c r="JAR1" s="28"/>
      <c r="JAS1" s="28"/>
      <c r="JAT1" s="28"/>
      <c r="JAU1" s="28"/>
      <c r="JAV1" s="28"/>
      <c r="JAW1" s="28"/>
      <c r="JAX1" s="28"/>
      <c r="JAY1" s="28"/>
      <c r="JAZ1" s="28"/>
      <c r="JBA1" s="28"/>
      <c r="JBB1" s="28"/>
      <c r="JBC1" s="28"/>
      <c r="JBD1" s="28"/>
      <c r="JBE1" s="28"/>
      <c r="JBF1" s="28"/>
      <c r="JBG1" s="28"/>
      <c r="JBH1" s="28"/>
      <c r="JBI1" s="28"/>
      <c r="JBJ1" s="28"/>
      <c r="JBK1" s="28"/>
      <c r="JBL1" s="28"/>
      <c r="JBM1" s="28"/>
      <c r="JBN1" s="28"/>
      <c r="JBO1" s="28"/>
      <c r="JBP1" s="28"/>
      <c r="JBQ1" s="28"/>
      <c r="JBR1" s="28"/>
      <c r="JBS1" s="28"/>
      <c r="JBT1" s="28"/>
      <c r="JBU1" s="28"/>
      <c r="JBV1" s="28"/>
      <c r="JBW1" s="28"/>
      <c r="JBX1" s="28"/>
      <c r="JBY1" s="28"/>
      <c r="JBZ1" s="28"/>
      <c r="JCA1" s="28"/>
      <c r="JCB1" s="28"/>
      <c r="JCC1" s="28"/>
      <c r="JCD1" s="28"/>
      <c r="JCE1" s="28"/>
      <c r="JCF1" s="28"/>
      <c r="JCG1" s="28"/>
      <c r="JCH1" s="28"/>
      <c r="JCI1" s="28"/>
      <c r="JCJ1" s="28"/>
      <c r="JCK1" s="28"/>
      <c r="JCL1" s="28"/>
      <c r="JCM1" s="28"/>
      <c r="JCN1" s="28"/>
      <c r="JCO1" s="28"/>
      <c r="JCP1" s="28"/>
      <c r="JCQ1" s="28"/>
      <c r="JCR1" s="28"/>
      <c r="JCS1" s="28"/>
      <c r="JCT1" s="28"/>
      <c r="JCU1" s="28"/>
      <c r="JCV1" s="28"/>
      <c r="JCW1" s="28"/>
      <c r="JCX1" s="28"/>
      <c r="JCY1" s="28"/>
      <c r="JCZ1" s="28"/>
      <c r="JDA1" s="28"/>
      <c r="JDB1" s="28"/>
      <c r="JDC1" s="28"/>
      <c r="JDD1" s="28"/>
      <c r="JDE1" s="28"/>
      <c r="JDF1" s="28"/>
      <c r="JDG1" s="28"/>
      <c r="JDH1" s="28"/>
      <c r="JDI1" s="28"/>
      <c r="JDJ1" s="28"/>
      <c r="JDK1" s="28"/>
      <c r="JDL1" s="28"/>
      <c r="JDM1" s="28"/>
      <c r="JDN1" s="28"/>
      <c r="JDO1" s="28"/>
      <c r="JDP1" s="28"/>
      <c r="JDQ1" s="28"/>
      <c r="JDR1" s="28"/>
      <c r="JDS1" s="28"/>
      <c r="JDT1" s="28"/>
      <c r="JDU1" s="28"/>
      <c r="JDV1" s="28"/>
      <c r="JDW1" s="28"/>
      <c r="JDX1" s="28"/>
      <c r="JDY1" s="28"/>
      <c r="JDZ1" s="28"/>
      <c r="JEA1" s="28"/>
      <c r="JEB1" s="28"/>
      <c r="JEC1" s="28"/>
      <c r="JED1" s="28"/>
      <c r="JEE1" s="28"/>
      <c r="JEF1" s="28"/>
      <c r="JEG1" s="28"/>
      <c r="JEH1" s="28"/>
      <c r="JEI1" s="28"/>
      <c r="JEJ1" s="28"/>
      <c r="JEK1" s="28"/>
      <c r="JEL1" s="28"/>
      <c r="JEM1" s="28"/>
      <c r="JEN1" s="28"/>
      <c r="JEO1" s="28"/>
      <c r="JEP1" s="28"/>
      <c r="JEQ1" s="28"/>
      <c r="JER1" s="28"/>
      <c r="JES1" s="28"/>
      <c r="JET1" s="28"/>
      <c r="JEU1" s="28"/>
      <c r="JEV1" s="28"/>
      <c r="JEW1" s="28"/>
      <c r="JEX1" s="28"/>
      <c r="JEY1" s="28"/>
      <c r="JEZ1" s="28"/>
      <c r="JFA1" s="28"/>
      <c r="JFB1" s="28"/>
      <c r="JFC1" s="28"/>
      <c r="JFD1" s="28"/>
      <c r="JFE1" s="28"/>
      <c r="JFF1" s="28"/>
      <c r="JFG1" s="28"/>
      <c r="JFH1" s="28"/>
      <c r="JFI1" s="28"/>
      <c r="JFJ1" s="28"/>
      <c r="JFK1" s="28"/>
      <c r="JFL1" s="28"/>
      <c r="JFM1" s="28"/>
      <c r="JFN1" s="28"/>
      <c r="JFO1" s="28"/>
      <c r="JFP1" s="28"/>
      <c r="JFQ1" s="28"/>
      <c r="JFR1" s="28"/>
      <c r="JFS1" s="28"/>
      <c r="JFT1" s="28"/>
      <c r="JFU1" s="28"/>
      <c r="JFV1" s="28"/>
      <c r="JFW1" s="28"/>
      <c r="JFX1" s="28"/>
      <c r="JFY1" s="28"/>
      <c r="JFZ1" s="28"/>
      <c r="JGA1" s="28"/>
      <c r="JGB1" s="28"/>
      <c r="JGC1" s="28"/>
      <c r="JGD1" s="28"/>
      <c r="JGE1" s="28"/>
      <c r="JGF1" s="28"/>
      <c r="JGG1" s="28"/>
      <c r="JGH1" s="28"/>
      <c r="JGI1" s="28"/>
      <c r="JGJ1" s="28"/>
      <c r="JGK1" s="28"/>
      <c r="JGL1" s="28"/>
      <c r="JGM1" s="28"/>
      <c r="JGN1" s="28"/>
      <c r="JGO1" s="28"/>
      <c r="JGP1" s="28"/>
      <c r="JGQ1" s="28"/>
      <c r="JGR1" s="28"/>
      <c r="JGS1" s="28"/>
      <c r="JGT1" s="28"/>
      <c r="JGU1" s="28"/>
      <c r="JGV1" s="28"/>
      <c r="JGW1" s="28"/>
      <c r="JGX1" s="28"/>
      <c r="JGY1" s="28"/>
      <c r="JGZ1" s="28"/>
      <c r="JHA1" s="28"/>
      <c r="JHB1" s="28"/>
      <c r="JHC1" s="28"/>
      <c r="JHD1" s="28"/>
      <c r="JHE1" s="28"/>
      <c r="JHF1" s="28"/>
      <c r="JHG1" s="28"/>
      <c r="JHH1" s="28"/>
      <c r="JHI1" s="28"/>
      <c r="JHJ1" s="28"/>
      <c r="JHK1" s="28"/>
      <c r="JHL1" s="28"/>
      <c r="JHM1" s="28"/>
      <c r="JHN1" s="28"/>
      <c r="JHO1" s="28"/>
      <c r="JHP1" s="28"/>
      <c r="JHQ1" s="28"/>
      <c r="JHR1" s="28"/>
      <c r="JHS1" s="28"/>
      <c r="JHT1" s="28"/>
      <c r="JHU1" s="28"/>
      <c r="JHV1" s="28"/>
      <c r="JHW1" s="28"/>
      <c r="JHX1" s="28"/>
      <c r="JHY1" s="28"/>
      <c r="JHZ1" s="28"/>
      <c r="JIA1" s="28"/>
      <c r="JIB1" s="28"/>
      <c r="JIC1" s="28"/>
      <c r="JID1" s="28"/>
      <c r="JIE1" s="28"/>
      <c r="JIF1" s="28"/>
      <c r="JIG1" s="28"/>
      <c r="JIH1" s="28"/>
      <c r="JII1" s="28"/>
      <c r="JIJ1" s="28"/>
      <c r="JIK1" s="28"/>
      <c r="JIL1" s="28"/>
      <c r="JIM1" s="28"/>
      <c r="JIN1" s="28"/>
      <c r="JIO1" s="28"/>
      <c r="JIP1" s="28"/>
      <c r="JIQ1" s="28"/>
      <c r="JIR1" s="28"/>
      <c r="JIS1" s="28"/>
      <c r="JIT1" s="28"/>
      <c r="JIU1" s="28"/>
      <c r="JIV1" s="28"/>
      <c r="JIW1" s="28"/>
      <c r="JIX1" s="28"/>
      <c r="JIY1" s="28"/>
      <c r="JIZ1" s="28"/>
      <c r="JJA1" s="28"/>
      <c r="JJB1" s="28"/>
      <c r="JJC1" s="28"/>
      <c r="JJD1" s="28"/>
      <c r="JJE1" s="28"/>
      <c r="JJF1" s="28"/>
      <c r="JJG1" s="28"/>
      <c r="JJH1" s="28"/>
      <c r="JJI1" s="28"/>
      <c r="JJJ1" s="28"/>
      <c r="JJK1" s="28"/>
      <c r="JJL1" s="28"/>
      <c r="JJM1" s="28"/>
      <c r="JJN1" s="28"/>
      <c r="JJO1" s="28"/>
      <c r="JJP1" s="28"/>
      <c r="JJQ1" s="28"/>
      <c r="JJR1" s="28"/>
      <c r="JJS1" s="28"/>
      <c r="JJT1" s="28"/>
      <c r="JJU1" s="28"/>
      <c r="JJV1" s="28"/>
      <c r="JJW1" s="28"/>
      <c r="JJX1" s="28"/>
      <c r="JJY1" s="28"/>
      <c r="JJZ1" s="28"/>
      <c r="JKA1" s="28"/>
      <c r="JKB1" s="28"/>
      <c r="JKC1" s="28"/>
      <c r="JKD1" s="28"/>
      <c r="JKE1" s="28"/>
      <c r="JKF1" s="28"/>
      <c r="JKG1" s="28"/>
      <c r="JKH1" s="28"/>
      <c r="JKI1" s="28"/>
      <c r="JKJ1" s="28"/>
      <c r="JKK1" s="28"/>
      <c r="JKL1" s="28"/>
      <c r="JKM1" s="28"/>
      <c r="JKN1" s="28"/>
      <c r="JKO1" s="28"/>
      <c r="JKP1" s="28"/>
      <c r="JKQ1" s="28"/>
      <c r="JKR1" s="28"/>
      <c r="JKS1" s="28"/>
      <c r="JKT1" s="28"/>
      <c r="JKU1" s="28"/>
      <c r="JKV1" s="28"/>
      <c r="JKW1" s="28"/>
      <c r="JKX1" s="28"/>
      <c r="JKY1" s="28"/>
      <c r="JKZ1" s="28"/>
      <c r="JLA1" s="28"/>
      <c r="JLB1" s="28"/>
      <c r="JLC1" s="28"/>
      <c r="JLD1" s="28"/>
      <c r="JLE1" s="28"/>
      <c r="JLF1" s="28"/>
      <c r="JLG1" s="28"/>
      <c r="JLH1" s="28"/>
      <c r="JLI1" s="28"/>
      <c r="JLJ1" s="28"/>
      <c r="JLK1" s="28"/>
      <c r="JLL1" s="28"/>
      <c r="JLM1" s="28"/>
      <c r="JLN1" s="28"/>
      <c r="JLO1" s="28"/>
      <c r="JLP1" s="28"/>
      <c r="JLQ1" s="28"/>
      <c r="JLR1" s="28"/>
      <c r="JLS1" s="28"/>
      <c r="JLT1" s="28"/>
      <c r="JLU1" s="28"/>
      <c r="JLV1" s="28"/>
      <c r="JLW1" s="28"/>
      <c r="JLX1" s="28"/>
      <c r="JLY1" s="28"/>
      <c r="JLZ1" s="28"/>
      <c r="JMA1" s="28"/>
      <c r="JMB1" s="28"/>
      <c r="JMC1" s="28"/>
      <c r="JMD1" s="28"/>
      <c r="JME1" s="28"/>
      <c r="JMF1" s="28"/>
      <c r="JMG1" s="28"/>
      <c r="JMH1" s="28"/>
      <c r="JMI1" s="28"/>
      <c r="JMJ1" s="28"/>
      <c r="JMK1" s="28"/>
      <c r="JML1" s="28"/>
      <c r="JMM1" s="28"/>
      <c r="JMN1" s="28"/>
      <c r="JMO1" s="28"/>
      <c r="JMP1" s="28"/>
      <c r="JMQ1" s="28"/>
      <c r="JMR1" s="28"/>
      <c r="JMS1" s="28"/>
      <c r="JMT1" s="28"/>
      <c r="JMU1" s="28"/>
      <c r="JMV1" s="28"/>
      <c r="JMW1" s="28"/>
      <c r="JMX1" s="28"/>
      <c r="JMY1" s="28"/>
      <c r="JMZ1" s="28"/>
      <c r="JNA1" s="28"/>
      <c r="JNB1" s="28"/>
      <c r="JNC1" s="28"/>
      <c r="JND1" s="28"/>
      <c r="JNE1" s="28"/>
      <c r="JNF1" s="28"/>
      <c r="JNG1" s="28"/>
      <c r="JNH1" s="28"/>
      <c r="JNI1" s="28"/>
      <c r="JNJ1" s="28"/>
      <c r="JNK1" s="28"/>
      <c r="JNL1" s="28"/>
      <c r="JNM1" s="28"/>
      <c r="JNN1" s="28"/>
      <c r="JNO1" s="28"/>
      <c r="JNP1" s="28"/>
      <c r="JNQ1" s="28"/>
      <c r="JNR1" s="28"/>
      <c r="JNS1" s="28"/>
      <c r="JNT1" s="28"/>
      <c r="JNU1" s="28"/>
      <c r="JNV1" s="28"/>
      <c r="JNW1" s="28"/>
      <c r="JNX1" s="28"/>
      <c r="JNY1" s="28"/>
      <c r="JNZ1" s="28"/>
      <c r="JOA1" s="28"/>
      <c r="JOB1" s="28"/>
      <c r="JOC1" s="28"/>
      <c r="JOD1" s="28"/>
      <c r="JOE1" s="28"/>
      <c r="JOF1" s="28"/>
      <c r="JOG1" s="28"/>
      <c r="JOH1" s="28"/>
      <c r="JOI1" s="28"/>
      <c r="JOJ1" s="28"/>
      <c r="JOK1" s="28"/>
      <c r="JOL1" s="28"/>
      <c r="JOM1" s="28"/>
      <c r="JON1" s="28"/>
      <c r="JOO1" s="28"/>
      <c r="JOP1" s="28"/>
      <c r="JOQ1" s="28"/>
      <c r="JOR1" s="28"/>
      <c r="JOS1" s="28"/>
      <c r="JOT1" s="28"/>
      <c r="JOU1" s="28"/>
      <c r="JOV1" s="28"/>
      <c r="JOW1" s="28"/>
      <c r="JOX1" s="28"/>
      <c r="JOY1" s="28"/>
      <c r="JOZ1" s="28"/>
      <c r="JPA1" s="28"/>
      <c r="JPB1" s="28"/>
      <c r="JPC1" s="28"/>
      <c r="JPD1" s="28"/>
      <c r="JPE1" s="28"/>
      <c r="JPF1" s="28"/>
      <c r="JPG1" s="28"/>
      <c r="JPH1" s="28"/>
      <c r="JPI1" s="28"/>
      <c r="JPJ1" s="28"/>
      <c r="JPK1" s="28"/>
      <c r="JPL1" s="28"/>
      <c r="JPM1" s="28"/>
      <c r="JPN1" s="28"/>
      <c r="JPO1" s="28"/>
      <c r="JPP1" s="28"/>
      <c r="JPQ1" s="28"/>
      <c r="JPR1" s="28"/>
      <c r="JPS1" s="28"/>
      <c r="JPT1" s="28"/>
      <c r="JPU1" s="28"/>
      <c r="JPV1" s="28"/>
      <c r="JPW1" s="28"/>
      <c r="JPX1" s="28"/>
      <c r="JPY1" s="28"/>
      <c r="JPZ1" s="28"/>
      <c r="JQA1" s="28"/>
      <c r="JQB1" s="28"/>
      <c r="JQC1" s="28"/>
      <c r="JQD1" s="28"/>
      <c r="JQE1" s="28"/>
      <c r="JQF1" s="28"/>
      <c r="JQG1" s="28"/>
      <c r="JQH1" s="28"/>
      <c r="JQI1" s="28"/>
      <c r="JQJ1" s="28"/>
      <c r="JQK1" s="28"/>
      <c r="JQL1" s="28"/>
      <c r="JQM1" s="28"/>
      <c r="JQN1" s="28"/>
      <c r="JQO1" s="28"/>
      <c r="JQP1" s="28"/>
      <c r="JQQ1" s="28"/>
      <c r="JQR1" s="28"/>
      <c r="JQS1" s="28"/>
      <c r="JQT1" s="28"/>
      <c r="JQU1" s="28"/>
      <c r="JQV1" s="28"/>
      <c r="JQW1" s="28"/>
      <c r="JQX1" s="28"/>
      <c r="JQY1" s="28"/>
      <c r="JQZ1" s="28"/>
      <c r="JRA1" s="28"/>
      <c r="JRB1" s="28"/>
      <c r="JRC1" s="28"/>
      <c r="JRD1" s="28"/>
      <c r="JRE1" s="28"/>
      <c r="JRF1" s="28"/>
      <c r="JRG1" s="28"/>
      <c r="JRH1" s="28"/>
      <c r="JRI1" s="28"/>
      <c r="JRJ1" s="28"/>
      <c r="JRK1" s="28"/>
      <c r="JRL1" s="28"/>
      <c r="JRM1" s="28"/>
      <c r="JRN1" s="28"/>
      <c r="JRO1" s="28"/>
      <c r="JRP1" s="28"/>
      <c r="JRQ1" s="28"/>
      <c r="JRR1" s="28"/>
      <c r="JRS1" s="28"/>
      <c r="JRT1" s="28"/>
      <c r="JRU1" s="28"/>
      <c r="JRV1" s="28"/>
      <c r="JRW1" s="28"/>
      <c r="JRX1" s="28"/>
      <c r="JRY1" s="28"/>
      <c r="JRZ1" s="28"/>
      <c r="JSA1" s="28"/>
      <c r="JSB1" s="28"/>
      <c r="JSC1" s="28"/>
      <c r="JSD1" s="28"/>
      <c r="JSE1" s="28"/>
      <c r="JSF1" s="28"/>
      <c r="JSG1" s="28"/>
      <c r="JSH1" s="28"/>
      <c r="JSI1" s="28"/>
      <c r="JSJ1" s="28"/>
      <c r="JSK1" s="28"/>
      <c r="JSL1" s="28"/>
      <c r="JSM1" s="28"/>
      <c r="JSN1" s="28"/>
      <c r="JSO1" s="28"/>
      <c r="JSP1" s="28"/>
      <c r="JSQ1" s="28"/>
      <c r="JSR1" s="28"/>
      <c r="JSS1" s="28"/>
      <c r="JST1" s="28"/>
      <c r="JSU1" s="28"/>
      <c r="JSV1" s="28"/>
      <c r="JSW1" s="28"/>
      <c r="JSX1" s="28"/>
      <c r="JSY1" s="28"/>
      <c r="JSZ1" s="28"/>
      <c r="JTA1" s="28"/>
      <c r="JTB1" s="28"/>
      <c r="JTC1" s="28"/>
      <c r="JTD1" s="28"/>
      <c r="JTE1" s="28"/>
      <c r="JTF1" s="28"/>
      <c r="JTG1" s="28"/>
      <c r="JTH1" s="28"/>
      <c r="JTI1" s="28"/>
      <c r="JTJ1" s="28"/>
      <c r="JTK1" s="28"/>
      <c r="JTL1" s="28"/>
      <c r="JTM1" s="28"/>
      <c r="JTN1" s="28"/>
      <c r="JTO1" s="28"/>
      <c r="JTP1" s="28"/>
      <c r="JTQ1" s="28"/>
      <c r="JTR1" s="28"/>
      <c r="JTS1" s="28"/>
      <c r="JTT1" s="28"/>
      <c r="JTU1" s="28"/>
      <c r="JTV1" s="28"/>
      <c r="JTW1" s="28"/>
      <c r="JTX1" s="28"/>
      <c r="JTY1" s="28"/>
      <c r="JTZ1" s="28"/>
      <c r="JUA1" s="28"/>
      <c r="JUB1" s="28"/>
      <c r="JUC1" s="28"/>
      <c r="JUD1" s="28"/>
      <c r="JUE1" s="28"/>
      <c r="JUF1" s="28"/>
      <c r="JUG1" s="28"/>
      <c r="JUH1" s="28"/>
      <c r="JUI1" s="28"/>
      <c r="JUJ1" s="28"/>
      <c r="JUK1" s="28"/>
      <c r="JUL1" s="28"/>
      <c r="JUM1" s="28"/>
      <c r="JUN1" s="28"/>
      <c r="JUO1" s="28"/>
      <c r="JUP1" s="28"/>
      <c r="JUQ1" s="28"/>
      <c r="JUR1" s="28"/>
      <c r="JUS1" s="28"/>
      <c r="JUT1" s="28"/>
      <c r="JUU1" s="28"/>
      <c r="JUV1" s="28"/>
      <c r="JUW1" s="28"/>
      <c r="JUX1" s="28"/>
      <c r="JUY1" s="28"/>
      <c r="JUZ1" s="28"/>
      <c r="JVA1" s="28"/>
      <c r="JVB1" s="28"/>
      <c r="JVC1" s="28"/>
      <c r="JVD1" s="28"/>
      <c r="JVE1" s="28"/>
      <c r="JVF1" s="28"/>
      <c r="JVG1" s="28"/>
      <c r="JVH1" s="28"/>
      <c r="JVI1" s="28"/>
      <c r="JVJ1" s="28"/>
      <c r="JVK1" s="28"/>
      <c r="JVL1" s="28"/>
      <c r="JVM1" s="28"/>
      <c r="JVN1" s="28"/>
      <c r="JVO1" s="28"/>
      <c r="JVP1" s="28"/>
      <c r="JVQ1" s="28"/>
      <c r="JVR1" s="28"/>
      <c r="JVS1" s="28"/>
      <c r="JVT1" s="28"/>
      <c r="JVU1" s="28"/>
      <c r="JVV1" s="28"/>
      <c r="JVW1" s="28"/>
      <c r="JVX1" s="28"/>
      <c r="JVY1" s="28"/>
      <c r="JVZ1" s="28"/>
      <c r="JWA1" s="28"/>
      <c r="JWB1" s="28"/>
      <c r="JWC1" s="28"/>
      <c r="JWD1" s="28"/>
      <c r="JWE1" s="28"/>
      <c r="JWF1" s="28"/>
      <c r="JWG1" s="28"/>
      <c r="JWH1" s="28"/>
      <c r="JWI1" s="28"/>
      <c r="JWJ1" s="28"/>
      <c r="JWK1" s="28"/>
      <c r="JWL1" s="28"/>
      <c r="JWM1" s="28"/>
      <c r="JWN1" s="28"/>
      <c r="JWO1" s="28"/>
      <c r="JWP1" s="28"/>
      <c r="JWQ1" s="28"/>
      <c r="JWR1" s="28"/>
      <c r="JWS1" s="28"/>
      <c r="JWT1" s="28"/>
      <c r="JWU1" s="28"/>
      <c r="JWV1" s="28"/>
      <c r="JWW1" s="28"/>
      <c r="JWX1" s="28"/>
      <c r="JWY1" s="28"/>
      <c r="JWZ1" s="28"/>
      <c r="JXA1" s="28"/>
      <c r="JXB1" s="28"/>
      <c r="JXC1" s="28"/>
      <c r="JXD1" s="28"/>
      <c r="JXE1" s="28"/>
      <c r="JXF1" s="28"/>
      <c r="JXG1" s="28"/>
      <c r="JXH1" s="28"/>
      <c r="JXI1" s="28"/>
      <c r="JXJ1" s="28"/>
      <c r="JXK1" s="28"/>
      <c r="JXL1" s="28"/>
      <c r="JXM1" s="28"/>
      <c r="JXN1" s="28"/>
      <c r="JXO1" s="28"/>
      <c r="JXP1" s="28"/>
      <c r="JXQ1" s="28"/>
      <c r="JXR1" s="28"/>
      <c r="JXS1" s="28"/>
      <c r="JXT1" s="28"/>
      <c r="JXU1" s="28"/>
      <c r="JXV1" s="28"/>
      <c r="JXW1" s="28"/>
      <c r="JXX1" s="28"/>
      <c r="JXY1" s="28"/>
      <c r="JXZ1" s="28"/>
      <c r="JYA1" s="28"/>
      <c r="JYB1" s="28"/>
      <c r="JYC1" s="28"/>
      <c r="JYD1" s="28"/>
      <c r="JYE1" s="28"/>
      <c r="JYF1" s="28"/>
      <c r="JYG1" s="28"/>
      <c r="JYH1" s="28"/>
      <c r="JYI1" s="28"/>
      <c r="JYJ1" s="28"/>
      <c r="JYK1" s="28"/>
      <c r="JYL1" s="28"/>
      <c r="JYM1" s="28"/>
      <c r="JYN1" s="28"/>
      <c r="JYO1" s="28"/>
      <c r="JYP1" s="28"/>
      <c r="JYQ1" s="28"/>
      <c r="JYR1" s="28"/>
      <c r="JYS1" s="28"/>
      <c r="JYT1" s="28"/>
      <c r="JYU1" s="28"/>
      <c r="JYV1" s="28"/>
      <c r="JYW1" s="28"/>
      <c r="JYX1" s="28"/>
      <c r="JYY1" s="28"/>
      <c r="JYZ1" s="28"/>
      <c r="JZA1" s="28"/>
      <c r="JZB1" s="28"/>
      <c r="JZC1" s="28"/>
      <c r="JZD1" s="28"/>
      <c r="JZE1" s="28"/>
      <c r="JZF1" s="28"/>
      <c r="JZG1" s="28"/>
      <c r="JZH1" s="28"/>
      <c r="JZI1" s="28"/>
      <c r="JZJ1" s="28"/>
      <c r="JZK1" s="28"/>
      <c r="JZL1" s="28"/>
      <c r="JZM1" s="28"/>
      <c r="JZN1" s="28"/>
      <c r="JZO1" s="28"/>
      <c r="JZP1" s="28"/>
      <c r="JZQ1" s="28"/>
      <c r="JZR1" s="28"/>
      <c r="JZS1" s="28"/>
      <c r="JZT1" s="28"/>
      <c r="JZU1" s="28"/>
      <c r="JZV1" s="28"/>
      <c r="JZW1" s="28"/>
      <c r="JZX1" s="28"/>
      <c r="JZY1" s="28"/>
      <c r="JZZ1" s="28"/>
      <c r="KAA1" s="28"/>
      <c r="KAB1" s="28"/>
      <c r="KAC1" s="28"/>
      <c r="KAD1" s="28"/>
      <c r="KAE1" s="28"/>
      <c r="KAF1" s="28"/>
      <c r="KAG1" s="28"/>
      <c r="KAH1" s="28"/>
      <c r="KAI1" s="28"/>
      <c r="KAJ1" s="28"/>
      <c r="KAK1" s="28"/>
      <c r="KAL1" s="28"/>
      <c r="KAM1" s="28"/>
      <c r="KAN1" s="28"/>
      <c r="KAO1" s="28"/>
      <c r="KAP1" s="28"/>
      <c r="KAQ1" s="28"/>
      <c r="KAR1" s="28"/>
      <c r="KAS1" s="28"/>
      <c r="KAT1" s="28"/>
      <c r="KAU1" s="28"/>
      <c r="KAV1" s="28"/>
      <c r="KAW1" s="28"/>
      <c r="KAX1" s="28"/>
      <c r="KAY1" s="28"/>
      <c r="KAZ1" s="28"/>
      <c r="KBA1" s="28"/>
      <c r="KBB1" s="28"/>
      <c r="KBC1" s="28"/>
      <c r="KBD1" s="28"/>
      <c r="KBE1" s="28"/>
      <c r="KBF1" s="28"/>
      <c r="KBG1" s="28"/>
      <c r="KBH1" s="28"/>
      <c r="KBI1" s="28"/>
      <c r="KBJ1" s="28"/>
      <c r="KBK1" s="28"/>
      <c r="KBL1" s="28"/>
      <c r="KBM1" s="28"/>
      <c r="KBN1" s="28"/>
      <c r="KBO1" s="28"/>
      <c r="KBP1" s="28"/>
      <c r="KBQ1" s="28"/>
      <c r="KBR1" s="28"/>
      <c r="KBS1" s="28"/>
      <c r="KBT1" s="28"/>
      <c r="KBU1" s="28"/>
      <c r="KBV1" s="28"/>
      <c r="KBW1" s="28"/>
      <c r="KBX1" s="28"/>
      <c r="KBY1" s="28"/>
      <c r="KBZ1" s="28"/>
      <c r="KCA1" s="28"/>
      <c r="KCB1" s="28"/>
      <c r="KCC1" s="28"/>
      <c r="KCD1" s="28"/>
      <c r="KCE1" s="28"/>
      <c r="KCF1" s="28"/>
      <c r="KCG1" s="28"/>
      <c r="KCH1" s="28"/>
      <c r="KCI1" s="28"/>
      <c r="KCJ1" s="28"/>
      <c r="KCK1" s="28"/>
      <c r="KCL1" s="28"/>
      <c r="KCM1" s="28"/>
      <c r="KCN1" s="28"/>
      <c r="KCO1" s="28"/>
      <c r="KCP1" s="28"/>
      <c r="KCQ1" s="28"/>
      <c r="KCR1" s="28"/>
      <c r="KCS1" s="28"/>
      <c r="KCT1" s="28"/>
      <c r="KCU1" s="28"/>
      <c r="KCV1" s="28"/>
      <c r="KCW1" s="28"/>
      <c r="KCX1" s="28"/>
      <c r="KCY1" s="28"/>
      <c r="KCZ1" s="28"/>
      <c r="KDA1" s="28"/>
      <c r="KDB1" s="28"/>
      <c r="KDC1" s="28"/>
      <c r="KDD1" s="28"/>
      <c r="KDE1" s="28"/>
      <c r="KDF1" s="28"/>
      <c r="KDG1" s="28"/>
      <c r="KDH1" s="28"/>
      <c r="KDI1" s="28"/>
      <c r="KDJ1" s="28"/>
      <c r="KDK1" s="28"/>
      <c r="KDL1" s="28"/>
      <c r="KDM1" s="28"/>
      <c r="KDN1" s="28"/>
      <c r="KDO1" s="28"/>
      <c r="KDP1" s="28"/>
      <c r="KDQ1" s="28"/>
      <c r="KDR1" s="28"/>
      <c r="KDS1" s="28"/>
      <c r="KDT1" s="28"/>
      <c r="KDU1" s="28"/>
      <c r="KDV1" s="28"/>
      <c r="KDW1" s="28"/>
      <c r="KDX1" s="28"/>
      <c r="KDY1" s="28"/>
      <c r="KDZ1" s="28"/>
      <c r="KEA1" s="28"/>
      <c r="KEB1" s="28"/>
      <c r="KEC1" s="28"/>
      <c r="KED1" s="28"/>
      <c r="KEE1" s="28"/>
      <c r="KEF1" s="28"/>
      <c r="KEG1" s="28"/>
      <c r="KEH1" s="28"/>
      <c r="KEI1" s="28"/>
      <c r="KEJ1" s="28"/>
      <c r="KEK1" s="28"/>
      <c r="KEL1" s="28"/>
      <c r="KEM1" s="28"/>
      <c r="KEN1" s="28"/>
      <c r="KEO1" s="28"/>
      <c r="KEP1" s="28"/>
      <c r="KEQ1" s="28"/>
      <c r="KER1" s="28"/>
      <c r="KES1" s="28"/>
      <c r="KET1" s="28"/>
      <c r="KEU1" s="28"/>
      <c r="KEV1" s="28"/>
      <c r="KEW1" s="28"/>
      <c r="KEX1" s="28"/>
      <c r="KEY1" s="28"/>
      <c r="KEZ1" s="28"/>
      <c r="KFA1" s="28"/>
      <c r="KFB1" s="28"/>
      <c r="KFC1" s="28"/>
      <c r="KFD1" s="28"/>
      <c r="KFE1" s="28"/>
      <c r="KFF1" s="28"/>
      <c r="KFG1" s="28"/>
      <c r="KFH1" s="28"/>
      <c r="KFI1" s="28"/>
      <c r="KFJ1" s="28"/>
      <c r="KFK1" s="28"/>
      <c r="KFL1" s="28"/>
      <c r="KFM1" s="28"/>
      <c r="KFN1" s="28"/>
      <c r="KFO1" s="28"/>
      <c r="KFP1" s="28"/>
      <c r="KFQ1" s="28"/>
      <c r="KFR1" s="28"/>
      <c r="KFS1" s="28"/>
      <c r="KFT1" s="28"/>
      <c r="KFU1" s="28"/>
      <c r="KFV1" s="28"/>
      <c r="KFW1" s="28"/>
      <c r="KFX1" s="28"/>
      <c r="KFY1" s="28"/>
      <c r="KFZ1" s="28"/>
      <c r="KGA1" s="28"/>
      <c r="KGB1" s="28"/>
      <c r="KGC1" s="28"/>
      <c r="KGD1" s="28"/>
      <c r="KGE1" s="28"/>
      <c r="KGF1" s="28"/>
      <c r="KGG1" s="28"/>
      <c r="KGH1" s="28"/>
      <c r="KGI1" s="28"/>
      <c r="KGJ1" s="28"/>
      <c r="KGK1" s="28"/>
      <c r="KGL1" s="28"/>
      <c r="KGM1" s="28"/>
      <c r="KGN1" s="28"/>
      <c r="KGO1" s="28"/>
      <c r="KGP1" s="28"/>
      <c r="KGQ1" s="28"/>
      <c r="KGR1" s="28"/>
      <c r="KGS1" s="28"/>
      <c r="KGT1" s="28"/>
      <c r="KGU1" s="28"/>
      <c r="KGV1" s="28"/>
      <c r="KGW1" s="28"/>
      <c r="KGX1" s="28"/>
      <c r="KGY1" s="28"/>
      <c r="KGZ1" s="28"/>
      <c r="KHA1" s="28"/>
      <c r="KHB1" s="28"/>
      <c r="KHC1" s="28"/>
      <c r="KHD1" s="28"/>
      <c r="KHE1" s="28"/>
      <c r="KHF1" s="28"/>
      <c r="KHG1" s="28"/>
      <c r="KHH1" s="28"/>
      <c r="KHI1" s="28"/>
      <c r="KHJ1" s="28"/>
      <c r="KHK1" s="28"/>
      <c r="KHL1" s="28"/>
      <c r="KHM1" s="28"/>
      <c r="KHN1" s="28"/>
      <c r="KHO1" s="28"/>
      <c r="KHP1" s="28"/>
      <c r="KHQ1" s="28"/>
      <c r="KHR1" s="28"/>
      <c r="KHS1" s="28"/>
      <c r="KHT1" s="28"/>
      <c r="KHU1" s="28"/>
      <c r="KHV1" s="28"/>
      <c r="KHW1" s="28"/>
      <c r="KHX1" s="28"/>
      <c r="KHY1" s="28"/>
      <c r="KHZ1" s="28"/>
      <c r="KIA1" s="28"/>
      <c r="KIB1" s="28"/>
      <c r="KIC1" s="28"/>
      <c r="KID1" s="28"/>
      <c r="KIE1" s="28"/>
      <c r="KIF1" s="28"/>
      <c r="KIG1" s="28"/>
      <c r="KIH1" s="28"/>
      <c r="KII1" s="28"/>
      <c r="KIJ1" s="28"/>
      <c r="KIK1" s="28"/>
      <c r="KIL1" s="28"/>
      <c r="KIM1" s="28"/>
      <c r="KIN1" s="28"/>
      <c r="KIO1" s="28"/>
      <c r="KIP1" s="28"/>
      <c r="KIQ1" s="28"/>
      <c r="KIR1" s="28"/>
      <c r="KIS1" s="28"/>
      <c r="KIT1" s="28"/>
      <c r="KIU1" s="28"/>
      <c r="KIV1" s="28"/>
      <c r="KIW1" s="28"/>
      <c r="KIX1" s="28"/>
      <c r="KIY1" s="28"/>
      <c r="KIZ1" s="28"/>
      <c r="KJA1" s="28"/>
      <c r="KJB1" s="28"/>
      <c r="KJC1" s="28"/>
      <c r="KJD1" s="28"/>
      <c r="KJE1" s="28"/>
      <c r="KJF1" s="28"/>
      <c r="KJG1" s="28"/>
      <c r="KJH1" s="28"/>
      <c r="KJI1" s="28"/>
      <c r="KJJ1" s="28"/>
      <c r="KJK1" s="28"/>
      <c r="KJL1" s="28"/>
      <c r="KJM1" s="28"/>
      <c r="KJN1" s="28"/>
      <c r="KJO1" s="28"/>
      <c r="KJP1" s="28"/>
      <c r="KJQ1" s="28"/>
      <c r="KJR1" s="28"/>
      <c r="KJS1" s="28"/>
      <c r="KJT1" s="28"/>
      <c r="KJU1" s="28"/>
      <c r="KJV1" s="28"/>
      <c r="KJW1" s="28"/>
      <c r="KJX1" s="28"/>
      <c r="KJY1" s="28"/>
      <c r="KJZ1" s="28"/>
      <c r="KKA1" s="28"/>
      <c r="KKB1" s="28"/>
      <c r="KKC1" s="28"/>
      <c r="KKD1" s="28"/>
      <c r="KKE1" s="28"/>
      <c r="KKF1" s="28"/>
      <c r="KKG1" s="28"/>
      <c r="KKH1" s="28"/>
      <c r="KKI1" s="28"/>
      <c r="KKJ1" s="28"/>
      <c r="KKK1" s="28"/>
      <c r="KKL1" s="28"/>
      <c r="KKM1" s="28"/>
      <c r="KKN1" s="28"/>
      <c r="KKO1" s="28"/>
      <c r="KKP1" s="28"/>
      <c r="KKQ1" s="28"/>
      <c r="KKR1" s="28"/>
      <c r="KKS1" s="28"/>
      <c r="KKT1" s="28"/>
      <c r="KKU1" s="28"/>
      <c r="KKV1" s="28"/>
      <c r="KKW1" s="28"/>
      <c r="KKX1" s="28"/>
      <c r="KKY1" s="28"/>
      <c r="KKZ1" s="28"/>
      <c r="KLA1" s="28"/>
      <c r="KLB1" s="28"/>
      <c r="KLC1" s="28"/>
      <c r="KLD1" s="28"/>
      <c r="KLE1" s="28"/>
      <c r="KLF1" s="28"/>
      <c r="KLG1" s="28"/>
      <c r="KLH1" s="28"/>
      <c r="KLI1" s="28"/>
      <c r="KLJ1" s="28"/>
      <c r="KLK1" s="28"/>
      <c r="KLL1" s="28"/>
      <c r="KLM1" s="28"/>
      <c r="KLN1" s="28"/>
      <c r="KLO1" s="28"/>
      <c r="KLP1" s="28"/>
      <c r="KLQ1" s="28"/>
      <c r="KLR1" s="28"/>
      <c r="KLS1" s="28"/>
      <c r="KLT1" s="28"/>
      <c r="KLU1" s="28"/>
      <c r="KLV1" s="28"/>
      <c r="KLW1" s="28"/>
      <c r="KLX1" s="28"/>
      <c r="KLY1" s="28"/>
      <c r="KLZ1" s="28"/>
      <c r="KMA1" s="28"/>
      <c r="KMB1" s="28"/>
      <c r="KMC1" s="28"/>
      <c r="KMD1" s="28"/>
      <c r="KME1" s="28"/>
      <c r="KMF1" s="28"/>
      <c r="KMG1" s="28"/>
      <c r="KMH1" s="28"/>
      <c r="KMI1" s="28"/>
      <c r="KMJ1" s="28"/>
      <c r="KMK1" s="28"/>
      <c r="KML1" s="28"/>
      <c r="KMM1" s="28"/>
      <c r="KMN1" s="28"/>
      <c r="KMO1" s="28"/>
      <c r="KMP1" s="28"/>
      <c r="KMQ1" s="28"/>
      <c r="KMR1" s="28"/>
      <c r="KMS1" s="28"/>
      <c r="KMT1" s="28"/>
      <c r="KMU1" s="28"/>
      <c r="KMV1" s="28"/>
      <c r="KMW1" s="28"/>
      <c r="KMX1" s="28"/>
      <c r="KMY1" s="28"/>
      <c r="KMZ1" s="28"/>
      <c r="KNA1" s="28"/>
      <c r="KNB1" s="28"/>
      <c r="KNC1" s="28"/>
      <c r="KND1" s="28"/>
      <c r="KNE1" s="28"/>
      <c r="KNF1" s="28"/>
      <c r="KNG1" s="28"/>
      <c r="KNH1" s="28"/>
      <c r="KNI1" s="28"/>
      <c r="KNJ1" s="28"/>
      <c r="KNK1" s="28"/>
      <c r="KNL1" s="28"/>
      <c r="KNM1" s="28"/>
      <c r="KNN1" s="28"/>
      <c r="KNO1" s="28"/>
      <c r="KNP1" s="28"/>
      <c r="KNQ1" s="28"/>
      <c r="KNR1" s="28"/>
      <c r="KNS1" s="28"/>
      <c r="KNT1" s="28"/>
      <c r="KNU1" s="28"/>
      <c r="KNV1" s="28"/>
      <c r="KNW1" s="28"/>
      <c r="KNX1" s="28"/>
      <c r="KNY1" s="28"/>
      <c r="KNZ1" s="28"/>
      <c r="KOA1" s="28"/>
      <c r="KOB1" s="28"/>
      <c r="KOC1" s="28"/>
      <c r="KOD1" s="28"/>
      <c r="KOE1" s="28"/>
      <c r="KOF1" s="28"/>
      <c r="KOG1" s="28"/>
      <c r="KOH1" s="28"/>
      <c r="KOI1" s="28"/>
      <c r="KOJ1" s="28"/>
      <c r="KOK1" s="28"/>
      <c r="KOL1" s="28"/>
      <c r="KOM1" s="28"/>
      <c r="KON1" s="28"/>
      <c r="KOO1" s="28"/>
      <c r="KOP1" s="28"/>
      <c r="KOQ1" s="28"/>
      <c r="KOR1" s="28"/>
      <c r="KOS1" s="28"/>
      <c r="KOT1" s="28"/>
      <c r="KOU1" s="28"/>
      <c r="KOV1" s="28"/>
      <c r="KOW1" s="28"/>
      <c r="KOX1" s="28"/>
      <c r="KOY1" s="28"/>
      <c r="KOZ1" s="28"/>
      <c r="KPA1" s="28"/>
      <c r="KPB1" s="28"/>
      <c r="KPC1" s="28"/>
      <c r="KPD1" s="28"/>
      <c r="KPE1" s="28"/>
      <c r="KPF1" s="28"/>
      <c r="KPG1" s="28"/>
      <c r="KPH1" s="28"/>
      <c r="KPI1" s="28"/>
      <c r="KPJ1" s="28"/>
      <c r="KPK1" s="28"/>
      <c r="KPL1" s="28"/>
      <c r="KPM1" s="28"/>
      <c r="KPN1" s="28"/>
      <c r="KPO1" s="28"/>
      <c r="KPP1" s="28"/>
      <c r="KPQ1" s="28"/>
      <c r="KPR1" s="28"/>
      <c r="KPS1" s="28"/>
      <c r="KPT1" s="28"/>
      <c r="KPU1" s="28"/>
      <c r="KPV1" s="28"/>
      <c r="KPW1" s="28"/>
      <c r="KPX1" s="28"/>
      <c r="KPY1" s="28"/>
      <c r="KPZ1" s="28"/>
      <c r="KQA1" s="28"/>
      <c r="KQB1" s="28"/>
      <c r="KQC1" s="28"/>
      <c r="KQD1" s="28"/>
      <c r="KQE1" s="28"/>
      <c r="KQF1" s="28"/>
      <c r="KQG1" s="28"/>
      <c r="KQH1" s="28"/>
      <c r="KQI1" s="28"/>
      <c r="KQJ1" s="28"/>
      <c r="KQK1" s="28"/>
      <c r="KQL1" s="28"/>
      <c r="KQM1" s="28"/>
      <c r="KQN1" s="28"/>
      <c r="KQO1" s="28"/>
      <c r="KQP1" s="28"/>
      <c r="KQQ1" s="28"/>
      <c r="KQR1" s="28"/>
      <c r="KQS1" s="28"/>
      <c r="KQT1" s="28"/>
      <c r="KQU1" s="28"/>
      <c r="KQV1" s="28"/>
      <c r="KQW1" s="28"/>
      <c r="KQX1" s="28"/>
      <c r="KQY1" s="28"/>
      <c r="KQZ1" s="28"/>
      <c r="KRA1" s="28"/>
      <c r="KRB1" s="28"/>
      <c r="KRC1" s="28"/>
      <c r="KRD1" s="28"/>
      <c r="KRE1" s="28"/>
      <c r="KRF1" s="28"/>
      <c r="KRG1" s="28"/>
      <c r="KRH1" s="28"/>
      <c r="KRI1" s="28"/>
      <c r="KRJ1" s="28"/>
      <c r="KRK1" s="28"/>
      <c r="KRL1" s="28"/>
      <c r="KRM1" s="28"/>
      <c r="KRN1" s="28"/>
      <c r="KRO1" s="28"/>
      <c r="KRP1" s="28"/>
      <c r="KRQ1" s="28"/>
      <c r="KRR1" s="28"/>
      <c r="KRS1" s="28"/>
      <c r="KRT1" s="28"/>
      <c r="KRU1" s="28"/>
      <c r="KRV1" s="28"/>
      <c r="KRW1" s="28"/>
      <c r="KRX1" s="28"/>
      <c r="KRY1" s="28"/>
      <c r="KRZ1" s="28"/>
      <c r="KSA1" s="28"/>
      <c r="KSB1" s="28"/>
      <c r="KSC1" s="28"/>
      <c r="KSD1" s="28"/>
      <c r="KSE1" s="28"/>
      <c r="KSF1" s="28"/>
      <c r="KSG1" s="28"/>
      <c r="KSH1" s="28"/>
      <c r="KSI1" s="28"/>
      <c r="KSJ1" s="28"/>
      <c r="KSK1" s="28"/>
      <c r="KSL1" s="28"/>
      <c r="KSM1" s="28"/>
      <c r="KSN1" s="28"/>
      <c r="KSO1" s="28"/>
      <c r="KSP1" s="28"/>
      <c r="KSQ1" s="28"/>
      <c r="KSR1" s="28"/>
      <c r="KSS1" s="28"/>
      <c r="KST1" s="28"/>
      <c r="KSU1" s="28"/>
      <c r="KSV1" s="28"/>
      <c r="KSW1" s="28"/>
      <c r="KSX1" s="28"/>
      <c r="KSY1" s="28"/>
      <c r="KSZ1" s="28"/>
      <c r="KTA1" s="28"/>
      <c r="KTB1" s="28"/>
      <c r="KTC1" s="28"/>
      <c r="KTD1" s="28"/>
      <c r="KTE1" s="28"/>
      <c r="KTF1" s="28"/>
      <c r="KTG1" s="28"/>
      <c r="KTH1" s="28"/>
      <c r="KTI1" s="28"/>
      <c r="KTJ1" s="28"/>
      <c r="KTK1" s="28"/>
      <c r="KTL1" s="28"/>
      <c r="KTM1" s="28"/>
      <c r="KTN1" s="28"/>
      <c r="KTO1" s="28"/>
      <c r="KTP1" s="28"/>
      <c r="KTQ1" s="28"/>
      <c r="KTR1" s="28"/>
      <c r="KTS1" s="28"/>
      <c r="KTT1" s="28"/>
      <c r="KTU1" s="28"/>
      <c r="KTV1" s="28"/>
      <c r="KTW1" s="28"/>
      <c r="KTX1" s="28"/>
      <c r="KTY1" s="28"/>
      <c r="KTZ1" s="28"/>
      <c r="KUA1" s="28"/>
      <c r="KUB1" s="28"/>
      <c r="KUC1" s="28"/>
      <c r="KUD1" s="28"/>
      <c r="KUE1" s="28"/>
      <c r="KUF1" s="28"/>
      <c r="KUG1" s="28"/>
      <c r="KUH1" s="28"/>
      <c r="KUI1" s="28"/>
      <c r="KUJ1" s="28"/>
      <c r="KUK1" s="28"/>
      <c r="KUL1" s="28"/>
      <c r="KUM1" s="28"/>
      <c r="KUN1" s="28"/>
      <c r="KUO1" s="28"/>
      <c r="KUP1" s="28"/>
      <c r="KUQ1" s="28"/>
      <c r="KUR1" s="28"/>
      <c r="KUS1" s="28"/>
      <c r="KUT1" s="28"/>
      <c r="KUU1" s="28"/>
      <c r="KUV1" s="28"/>
      <c r="KUW1" s="28"/>
      <c r="KUX1" s="28"/>
      <c r="KUY1" s="28"/>
      <c r="KUZ1" s="28"/>
      <c r="KVA1" s="28"/>
      <c r="KVB1" s="28"/>
      <c r="KVC1" s="28"/>
      <c r="KVD1" s="28"/>
      <c r="KVE1" s="28"/>
      <c r="KVF1" s="28"/>
      <c r="KVG1" s="28"/>
      <c r="KVH1" s="28"/>
      <c r="KVI1" s="28"/>
      <c r="KVJ1" s="28"/>
      <c r="KVK1" s="28"/>
      <c r="KVL1" s="28"/>
      <c r="KVM1" s="28"/>
      <c r="KVN1" s="28"/>
      <c r="KVO1" s="28"/>
      <c r="KVP1" s="28"/>
      <c r="KVQ1" s="28"/>
      <c r="KVR1" s="28"/>
      <c r="KVS1" s="28"/>
      <c r="KVT1" s="28"/>
      <c r="KVU1" s="28"/>
      <c r="KVV1" s="28"/>
      <c r="KVW1" s="28"/>
      <c r="KVX1" s="28"/>
      <c r="KVY1" s="28"/>
      <c r="KVZ1" s="28"/>
      <c r="KWA1" s="28"/>
      <c r="KWB1" s="28"/>
      <c r="KWC1" s="28"/>
      <c r="KWD1" s="28"/>
      <c r="KWE1" s="28"/>
      <c r="KWF1" s="28"/>
      <c r="KWG1" s="28"/>
      <c r="KWH1" s="28"/>
      <c r="KWI1" s="28"/>
      <c r="KWJ1" s="28"/>
      <c r="KWK1" s="28"/>
      <c r="KWL1" s="28"/>
      <c r="KWM1" s="28"/>
      <c r="KWN1" s="28"/>
      <c r="KWO1" s="28"/>
      <c r="KWP1" s="28"/>
      <c r="KWQ1" s="28"/>
      <c r="KWR1" s="28"/>
      <c r="KWS1" s="28"/>
      <c r="KWT1" s="28"/>
      <c r="KWU1" s="28"/>
      <c r="KWV1" s="28"/>
      <c r="KWW1" s="28"/>
      <c r="KWX1" s="28"/>
      <c r="KWY1" s="28"/>
      <c r="KWZ1" s="28"/>
      <c r="KXA1" s="28"/>
      <c r="KXB1" s="28"/>
      <c r="KXC1" s="28"/>
      <c r="KXD1" s="28"/>
      <c r="KXE1" s="28"/>
      <c r="KXF1" s="28"/>
      <c r="KXG1" s="28"/>
      <c r="KXH1" s="28"/>
      <c r="KXI1" s="28"/>
      <c r="KXJ1" s="28"/>
      <c r="KXK1" s="28"/>
      <c r="KXL1" s="28"/>
      <c r="KXM1" s="28"/>
      <c r="KXN1" s="28"/>
      <c r="KXO1" s="28"/>
      <c r="KXP1" s="28"/>
      <c r="KXQ1" s="28"/>
      <c r="KXR1" s="28"/>
      <c r="KXS1" s="28"/>
      <c r="KXT1" s="28"/>
      <c r="KXU1" s="28"/>
      <c r="KXV1" s="28"/>
      <c r="KXW1" s="28"/>
      <c r="KXX1" s="28"/>
      <c r="KXY1" s="28"/>
      <c r="KXZ1" s="28"/>
      <c r="KYA1" s="28"/>
      <c r="KYB1" s="28"/>
      <c r="KYC1" s="28"/>
      <c r="KYD1" s="28"/>
      <c r="KYE1" s="28"/>
      <c r="KYF1" s="28"/>
      <c r="KYG1" s="28"/>
      <c r="KYH1" s="28"/>
      <c r="KYI1" s="28"/>
      <c r="KYJ1" s="28"/>
      <c r="KYK1" s="28"/>
      <c r="KYL1" s="28"/>
      <c r="KYM1" s="28"/>
      <c r="KYN1" s="28"/>
      <c r="KYO1" s="28"/>
      <c r="KYP1" s="28"/>
      <c r="KYQ1" s="28"/>
      <c r="KYR1" s="28"/>
      <c r="KYS1" s="28"/>
      <c r="KYT1" s="28"/>
      <c r="KYU1" s="28"/>
      <c r="KYV1" s="28"/>
      <c r="KYW1" s="28"/>
      <c r="KYX1" s="28"/>
      <c r="KYY1" s="28"/>
      <c r="KYZ1" s="28"/>
      <c r="KZA1" s="28"/>
      <c r="KZB1" s="28"/>
      <c r="KZC1" s="28"/>
      <c r="KZD1" s="28"/>
      <c r="KZE1" s="28"/>
      <c r="KZF1" s="28"/>
      <c r="KZG1" s="28"/>
      <c r="KZH1" s="28"/>
      <c r="KZI1" s="28"/>
      <c r="KZJ1" s="28"/>
      <c r="KZK1" s="28"/>
      <c r="KZL1" s="28"/>
      <c r="KZM1" s="28"/>
      <c r="KZN1" s="28"/>
      <c r="KZO1" s="28"/>
      <c r="KZP1" s="28"/>
      <c r="KZQ1" s="28"/>
      <c r="KZR1" s="28"/>
      <c r="KZS1" s="28"/>
      <c r="KZT1" s="28"/>
      <c r="KZU1" s="28"/>
      <c r="KZV1" s="28"/>
      <c r="KZW1" s="28"/>
      <c r="KZX1" s="28"/>
      <c r="KZY1" s="28"/>
      <c r="KZZ1" s="28"/>
      <c r="LAA1" s="28"/>
      <c r="LAB1" s="28"/>
      <c r="LAC1" s="28"/>
      <c r="LAD1" s="28"/>
      <c r="LAE1" s="28"/>
      <c r="LAF1" s="28"/>
      <c r="LAG1" s="28"/>
      <c r="LAH1" s="28"/>
      <c r="LAI1" s="28"/>
      <c r="LAJ1" s="28"/>
      <c r="LAK1" s="28"/>
      <c r="LAL1" s="28"/>
      <c r="LAM1" s="28"/>
      <c r="LAN1" s="28"/>
      <c r="LAO1" s="28"/>
      <c r="LAP1" s="28"/>
      <c r="LAQ1" s="28"/>
      <c r="LAR1" s="28"/>
      <c r="LAS1" s="28"/>
      <c r="LAT1" s="28"/>
      <c r="LAU1" s="28"/>
      <c r="LAV1" s="28"/>
      <c r="LAW1" s="28"/>
      <c r="LAX1" s="28"/>
      <c r="LAY1" s="28"/>
      <c r="LAZ1" s="28"/>
      <c r="LBA1" s="28"/>
      <c r="LBB1" s="28"/>
      <c r="LBC1" s="28"/>
      <c r="LBD1" s="28"/>
      <c r="LBE1" s="28"/>
      <c r="LBF1" s="28"/>
      <c r="LBG1" s="28"/>
      <c r="LBH1" s="28"/>
      <c r="LBI1" s="28"/>
      <c r="LBJ1" s="28"/>
      <c r="LBK1" s="28"/>
      <c r="LBL1" s="28"/>
      <c r="LBM1" s="28"/>
      <c r="LBN1" s="28"/>
      <c r="LBO1" s="28"/>
      <c r="LBP1" s="28"/>
      <c r="LBQ1" s="28"/>
      <c r="LBR1" s="28"/>
      <c r="LBS1" s="28"/>
      <c r="LBT1" s="28"/>
      <c r="LBU1" s="28"/>
      <c r="LBV1" s="28"/>
      <c r="LBW1" s="28"/>
      <c r="LBX1" s="28"/>
      <c r="LBY1" s="28"/>
      <c r="LBZ1" s="28"/>
      <c r="LCA1" s="28"/>
      <c r="LCB1" s="28"/>
      <c r="LCC1" s="28"/>
      <c r="LCD1" s="28"/>
      <c r="LCE1" s="28"/>
      <c r="LCF1" s="28"/>
      <c r="LCG1" s="28"/>
      <c r="LCH1" s="28"/>
      <c r="LCI1" s="28"/>
      <c r="LCJ1" s="28"/>
      <c r="LCK1" s="28"/>
      <c r="LCL1" s="28"/>
      <c r="LCM1" s="28"/>
      <c r="LCN1" s="28"/>
      <c r="LCO1" s="28"/>
      <c r="LCP1" s="28"/>
      <c r="LCQ1" s="28"/>
      <c r="LCR1" s="28"/>
      <c r="LCS1" s="28"/>
      <c r="LCT1" s="28"/>
      <c r="LCU1" s="28"/>
      <c r="LCV1" s="28"/>
      <c r="LCW1" s="28"/>
      <c r="LCX1" s="28"/>
      <c r="LCY1" s="28"/>
      <c r="LCZ1" s="28"/>
      <c r="LDA1" s="28"/>
      <c r="LDB1" s="28"/>
      <c r="LDC1" s="28"/>
      <c r="LDD1" s="28"/>
      <c r="LDE1" s="28"/>
      <c r="LDF1" s="28"/>
      <c r="LDG1" s="28"/>
      <c r="LDH1" s="28"/>
      <c r="LDI1" s="28"/>
      <c r="LDJ1" s="28"/>
      <c r="LDK1" s="28"/>
      <c r="LDL1" s="28"/>
      <c r="LDM1" s="28"/>
      <c r="LDN1" s="28"/>
      <c r="LDO1" s="28"/>
      <c r="LDP1" s="28"/>
      <c r="LDQ1" s="28"/>
      <c r="LDR1" s="28"/>
      <c r="LDS1" s="28"/>
      <c r="LDT1" s="28"/>
      <c r="LDU1" s="28"/>
      <c r="LDV1" s="28"/>
      <c r="LDW1" s="28"/>
      <c r="LDX1" s="28"/>
      <c r="LDY1" s="28"/>
      <c r="LDZ1" s="28"/>
      <c r="LEA1" s="28"/>
      <c r="LEB1" s="28"/>
      <c r="LEC1" s="28"/>
      <c r="LED1" s="28"/>
      <c r="LEE1" s="28"/>
      <c r="LEF1" s="28"/>
      <c r="LEG1" s="28"/>
      <c r="LEH1" s="28"/>
      <c r="LEI1" s="28"/>
      <c r="LEJ1" s="28"/>
      <c r="LEK1" s="28"/>
      <c r="LEL1" s="28"/>
      <c r="LEM1" s="28"/>
      <c r="LEN1" s="28"/>
      <c r="LEO1" s="28"/>
      <c r="LEP1" s="28"/>
      <c r="LEQ1" s="28"/>
      <c r="LER1" s="28"/>
      <c r="LES1" s="28"/>
      <c r="LET1" s="28"/>
      <c r="LEU1" s="28"/>
      <c r="LEV1" s="28"/>
      <c r="LEW1" s="28"/>
      <c r="LEX1" s="28"/>
      <c r="LEY1" s="28"/>
      <c r="LEZ1" s="28"/>
      <c r="LFA1" s="28"/>
      <c r="LFB1" s="28"/>
      <c r="LFC1" s="28"/>
      <c r="LFD1" s="28"/>
      <c r="LFE1" s="28"/>
      <c r="LFF1" s="28"/>
      <c r="LFG1" s="28"/>
      <c r="LFH1" s="28"/>
      <c r="LFI1" s="28"/>
      <c r="LFJ1" s="28"/>
      <c r="LFK1" s="28"/>
      <c r="LFL1" s="28"/>
      <c r="LFM1" s="28"/>
      <c r="LFN1" s="28"/>
      <c r="LFO1" s="28"/>
      <c r="LFP1" s="28"/>
      <c r="LFQ1" s="28"/>
      <c r="LFR1" s="28"/>
      <c r="LFS1" s="28"/>
      <c r="LFT1" s="28"/>
      <c r="LFU1" s="28"/>
      <c r="LFV1" s="28"/>
      <c r="LFW1" s="28"/>
      <c r="LFX1" s="28"/>
      <c r="LFY1" s="28"/>
      <c r="LFZ1" s="28"/>
      <c r="LGA1" s="28"/>
      <c r="LGB1" s="28"/>
      <c r="LGC1" s="28"/>
      <c r="LGD1" s="28"/>
      <c r="LGE1" s="28"/>
      <c r="LGF1" s="28"/>
      <c r="LGG1" s="28"/>
      <c r="LGH1" s="28"/>
      <c r="LGI1" s="28"/>
      <c r="LGJ1" s="28"/>
      <c r="LGK1" s="28"/>
      <c r="LGL1" s="28"/>
      <c r="LGM1" s="28"/>
      <c r="LGN1" s="28"/>
      <c r="LGO1" s="28"/>
      <c r="LGP1" s="28"/>
      <c r="LGQ1" s="28"/>
      <c r="LGR1" s="28"/>
      <c r="LGS1" s="28"/>
      <c r="LGT1" s="28"/>
      <c r="LGU1" s="28"/>
      <c r="LGV1" s="28"/>
      <c r="LGW1" s="28"/>
      <c r="LGX1" s="28"/>
      <c r="LGY1" s="28"/>
      <c r="LGZ1" s="28"/>
      <c r="LHA1" s="28"/>
      <c r="LHB1" s="28"/>
      <c r="LHC1" s="28"/>
      <c r="LHD1" s="28"/>
      <c r="LHE1" s="28"/>
      <c r="LHF1" s="28"/>
      <c r="LHG1" s="28"/>
      <c r="LHH1" s="28"/>
      <c r="LHI1" s="28"/>
      <c r="LHJ1" s="28"/>
      <c r="LHK1" s="28"/>
      <c r="LHL1" s="28"/>
      <c r="LHM1" s="28"/>
      <c r="LHN1" s="28"/>
      <c r="LHO1" s="28"/>
      <c r="LHP1" s="28"/>
      <c r="LHQ1" s="28"/>
      <c r="LHR1" s="28"/>
      <c r="LHS1" s="28"/>
      <c r="LHT1" s="28"/>
      <c r="LHU1" s="28"/>
      <c r="LHV1" s="28"/>
      <c r="LHW1" s="28"/>
      <c r="LHX1" s="28"/>
      <c r="LHY1" s="28"/>
      <c r="LHZ1" s="28"/>
      <c r="LIA1" s="28"/>
      <c r="LIB1" s="28"/>
      <c r="LIC1" s="28"/>
      <c r="LID1" s="28"/>
      <c r="LIE1" s="28"/>
      <c r="LIF1" s="28"/>
      <c r="LIG1" s="28"/>
      <c r="LIH1" s="28"/>
      <c r="LII1" s="28"/>
      <c r="LIJ1" s="28"/>
      <c r="LIK1" s="28"/>
      <c r="LIL1" s="28"/>
      <c r="LIM1" s="28"/>
      <c r="LIN1" s="28"/>
      <c r="LIO1" s="28"/>
      <c r="LIP1" s="28"/>
      <c r="LIQ1" s="28"/>
      <c r="LIR1" s="28"/>
      <c r="LIS1" s="28"/>
      <c r="LIT1" s="28"/>
      <c r="LIU1" s="28"/>
      <c r="LIV1" s="28"/>
      <c r="LIW1" s="28"/>
      <c r="LIX1" s="28"/>
      <c r="LIY1" s="28"/>
      <c r="LIZ1" s="28"/>
      <c r="LJA1" s="28"/>
      <c r="LJB1" s="28"/>
      <c r="LJC1" s="28"/>
      <c r="LJD1" s="28"/>
      <c r="LJE1" s="28"/>
      <c r="LJF1" s="28"/>
      <c r="LJG1" s="28"/>
      <c r="LJH1" s="28"/>
      <c r="LJI1" s="28"/>
      <c r="LJJ1" s="28"/>
      <c r="LJK1" s="28"/>
      <c r="LJL1" s="28"/>
      <c r="LJM1" s="28"/>
      <c r="LJN1" s="28"/>
      <c r="LJO1" s="28"/>
      <c r="LJP1" s="28"/>
      <c r="LJQ1" s="28"/>
      <c r="LJR1" s="28"/>
      <c r="LJS1" s="28"/>
      <c r="LJT1" s="28"/>
      <c r="LJU1" s="28"/>
      <c r="LJV1" s="28"/>
      <c r="LJW1" s="28"/>
      <c r="LJX1" s="28"/>
      <c r="LJY1" s="28"/>
      <c r="LJZ1" s="28"/>
      <c r="LKA1" s="28"/>
      <c r="LKB1" s="28"/>
      <c r="LKC1" s="28"/>
      <c r="LKD1" s="28"/>
      <c r="LKE1" s="28"/>
      <c r="LKF1" s="28"/>
      <c r="LKG1" s="28"/>
      <c r="LKH1" s="28"/>
      <c r="LKI1" s="28"/>
      <c r="LKJ1" s="28"/>
      <c r="LKK1" s="28"/>
      <c r="LKL1" s="28"/>
      <c r="LKM1" s="28"/>
      <c r="LKN1" s="28"/>
      <c r="LKO1" s="28"/>
      <c r="LKP1" s="28"/>
      <c r="LKQ1" s="28"/>
      <c r="LKR1" s="28"/>
      <c r="LKS1" s="28"/>
      <c r="LKT1" s="28"/>
      <c r="LKU1" s="28"/>
      <c r="LKV1" s="28"/>
      <c r="LKW1" s="28"/>
      <c r="LKX1" s="28"/>
      <c r="LKY1" s="28"/>
      <c r="LKZ1" s="28"/>
      <c r="LLA1" s="28"/>
      <c r="LLB1" s="28"/>
      <c r="LLC1" s="28"/>
      <c r="LLD1" s="28"/>
      <c r="LLE1" s="28"/>
      <c r="LLF1" s="28"/>
      <c r="LLG1" s="28"/>
      <c r="LLH1" s="28"/>
      <c r="LLI1" s="28"/>
      <c r="LLJ1" s="28"/>
      <c r="LLK1" s="28"/>
      <c r="LLL1" s="28"/>
      <c r="LLM1" s="28"/>
      <c r="LLN1" s="28"/>
      <c r="LLO1" s="28"/>
      <c r="LLP1" s="28"/>
      <c r="LLQ1" s="28"/>
      <c r="LLR1" s="28"/>
      <c r="LLS1" s="28"/>
      <c r="LLT1" s="28"/>
      <c r="LLU1" s="28"/>
      <c r="LLV1" s="28"/>
      <c r="LLW1" s="28"/>
      <c r="LLX1" s="28"/>
      <c r="LLY1" s="28"/>
      <c r="LLZ1" s="28"/>
      <c r="LMA1" s="28"/>
      <c r="LMB1" s="28"/>
      <c r="LMC1" s="28"/>
      <c r="LMD1" s="28"/>
      <c r="LME1" s="28"/>
      <c r="LMF1" s="28"/>
      <c r="LMG1" s="28"/>
      <c r="LMH1" s="28"/>
      <c r="LMI1" s="28"/>
      <c r="LMJ1" s="28"/>
      <c r="LMK1" s="28"/>
      <c r="LML1" s="28"/>
      <c r="LMM1" s="28"/>
      <c r="LMN1" s="28"/>
      <c r="LMO1" s="28"/>
      <c r="LMP1" s="28"/>
      <c r="LMQ1" s="28"/>
      <c r="LMR1" s="28"/>
      <c r="LMS1" s="28"/>
      <c r="LMT1" s="28"/>
      <c r="LMU1" s="28"/>
      <c r="LMV1" s="28"/>
      <c r="LMW1" s="28"/>
      <c r="LMX1" s="28"/>
      <c r="LMY1" s="28"/>
      <c r="LMZ1" s="28"/>
      <c r="LNA1" s="28"/>
      <c r="LNB1" s="28"/>
      <c r="LNC1" s="28"/>
      <c r="LND1" s="28"/>
      <c r="LNE1" s="28"/>
      <c r="LNF1" s="28"/>
      <c r="LNG1" s="28"/>
      <c r="LNH1" s="28"/>
      <c r="LNI1" s="28"/>
      <c r="LNJ1" s="28"/>
      <c r="LNK1" s="28"/>
      <c r="LNL1" s="28"/>
      <c r="LNM1" s="28"/>
      <c r="LNN1" s="28"/>
      <c r="LNO1" s="28"/>
      <c r="LNP1" s="28"/>
      <c r="LNQ1" s="28"/>
      <c r="LNR1" s="28"/>
      <c r="LNS1" s="28"/>
      <c r="LNT1" s="28"/>
      <c r="LNU1" s="28"/>
      <c r="LNV1" s="28"/>
      <c r="LNW1" s="28"/>
      <c r="LNX1" s="28"/>
      <c r="LNY1" s="28"/>
      <c r="LNZ1" s="28"/>
      <c r="LOA1" s="28"/>
      <c r="LOB1" s="28"/>
      <c r="LOC1" s="28"/>
      <c r="LOD1" s="28"/>
      <c r="LOE1" s="28"/>
      <c r="LOF1" s="28"/>
      <c r="LOG1" s="28"/>
      <c r="LOH1" s="28"/>
      <c r="LOI1" s="28"/>
      <c r="LOJ1" s="28"/>
      <c r="LOK1" s="28"/>
      <c r="LOL1" s="28"/>
      <c r="LOM1" s="28"/>
      <c r="LON1" s="28"/>
      <c r="LOO1" s="28"/>
      <c r="LOP1" s="28"/>
      <c r="LOQ1" s="28"/>
      <c r="LOR1" s="28"/>
      <c r="LOS1" s="28"/>
      <c r="LOT1" s="28"/>
      <c r="LOU1" s="28"/>
      <c r="LOV1" s="28"/>
      <c r="LOW1" s="28"/>
      <c r="LOX1" s="28"/>
      <c r="LOY1" s="28"/>
      <c r="LOZ1" s="28"/>
      <c r="LPA1" s="28"/>
      <c r="LPB1" s="28"/>
      <c r="LPC1" s="28"/>
      <c r="LPD1" s="28"/>
      <c r="LPE1" s="28"/>
      <c r="LPF1" s="28"/>
      <c r="LPG1" s="28"/>
      <c r="LPH1" s="28"/>
      <c r="LPI1" s="28"/>
      <c r="LPJ1" s="28"/>
      <c r="LPK1" s="28"/>
      <c r="LPL1" s="28"/>
      <c r="LPM1" s="28"/>
      <c r="LPN1" s="28"/>
      <c r="LPO1" s="28"/>
      <c r="LPP1" s="28"/>
      <c r="LPQ1" s="28"/>
      <c r="LPR1" s="28"/>
      <c r="LPS1" s="28"/>
      <c r="LPT1" s="28"/>
      <c r="LPU1" s="28"/>
      <c r="LPV1" s="28"/>
      <c r="LPW1" s="28"/>
      <c r="LPX1" s="28"/>
      <c r="LPY1" s="28"/>
      <c r="LPZ1" s="28"/>
      <c r="LQA1" s="28"/>
      <c r="LQB1" s="28"/>
      <c r="LQC1" s="28"/>
      <c r="LQD1" s="28"/>
      <c r="LQE1" s="28"/>
      <c r="LQF1" s="28"/>
      <c r="LQG1" s="28"/>
      <c r="LQH1" s="28"/>
      <c r="LQI1" s="28"/>
      <c r="LQJ1" s="28"/>
      <c r="LQK1" s="28"/>
      <c r="LQL1" s="28"/>
      <c r="LQM1" s="28"/>
      <c r="LQN1" s="28"/>
      <c r="LQO1" s="28"/>
      <c r="LQP1" s="28"/>
      <c r="LQQ1" s="28"/>
      <c r="LQR1" s="28"/>
      <c r="LQS1" s="28"/>
      <c r="LQT1" s="28"/>
      <c r="LQU1" s="28"/>
      <c r="LQV1" s="28"/>
      <c r="LQW1" s="28"/>
      <c r="LQX1" s="28"/>
      <c r="LQY1" s="28"/>
      <c r="LQZ1" s="28"/>
      <c r="LRA1" s="28"/>
      <c r="LRB1" s="28"/>
      <c r="LRC1" s="28"/>
      <c r="LRD1" s="28"/>
      <c r="LRE1" s="28"/>
      <c r="LRF1" s="28"/>
      <c r="LRG1" s="28"/>
      <c r="LRH1" s="28"/>
      <c r="LRI1" s="28"/>
      <c r="LRJ1" s="28"/>
      <c r="LRK1" s="28"/>
      <c r="LRL1" s="28"/>
      <c r="LRM1" s="28"/>
      <c r="LRN1" s="28"/>
      <c r="LRO1" s="28"/>
      <c r="LRP1" s="28"/>
      <c r="LRQ1" s="28"/>
      <c r="LRR1" s="28"/>
      <c r="LRS1" s="28"/>
      <c r="LRT1" s="28"/>
      <c r="LRU1" s="28"/>
      <c r="LRV1" s="28"/>
      <c r="LRW1" s="28"/>
      <c r="LRX1" s="28"/>
      <c r="LRY1" s="28"/>
      <c r="LRZ1" s="28"/>
      <c r="LSA1" s="28"/>
      <c r="LSB1" s="28"/>
      <c r="LSC1" s="28"/>
      <c r="LSD1" s="28"/>
      <c r="LSE1" s="28"/>
      <c r="LSF1" s="28"/>
      <c r="LSG1" s="28"/>
      <c r="LSH1" s="28"/>
      <c r="LSI1" s="28"/>
      <c r="LSJ1" s="28"/>
      <c r="LSK1" s="28"/>
      <c r="LSL1" s="28"/>
      <c r="LSM1" s="28"/>
      <c r="LSN1" s="28"/>
      <c r="LSO1" s="28"/>
      <c r="LSP1" s="28"/>
      <c r="LSQ1" s="28"/>
      <c r="LSR1" s="28"/>
      <c r="LSS1" s="28"/>
      <c r="LST1" s="28"/>
      <c r="LSU1" s="28"/>
      <c r="LSV1" s="28"/>
      <c r="LSW1" s="28"/>
      <c r="LSX1" s="28"/>
      <c r="LSY1" s="28"/>
      <c r="LSZ1" s="28"/>
      <c r="LTA1" s="28"/>
      <c r="LTB1" s="28"/>
      <c r="LTC1" s="28"/>
      <c r="LTD1" s="28"/>
      <c r="LTE1" s="28"/>
      <c r="LTF1" s="28"/>
      <c r="LTG1" s="28"/>
      <c r="LTH1" s="28"/>
      <c r="LTI1" s="28"/>
      <c r="LTJ1" s="28"/>
      <c r="LTK1" s="28"/>
      <c r="LTL1" s="28"/>
      <c r="LTM1" s="28"/>
      <c r="LTN1" s="28"/>
      <c r="LTO1" s="28"/>
      <c r="LTP1" s="28"/>
      <c r="LTQ1" s="28"/>
      <c r="LTR1" s="28"/>
      <c r="LTS1" s="28"/>
      <c r="LTT1" s="28"/>
      <c r="LTU1" s="28"/>
      <c r="LTV1" s="28"/>
      <c r="LTW1" s="28"/>
      <c r="LTX1" s="28"/>
      <c r="LTY1" s="28"/>
      <c r="LTZ1" s="28"/>
      <c r="LUA1" s="28"/>
      <c r="LUB1" s="28"/>
      <c r="LUC1" s="28"/>
      <c r="LUD1" s="28"/>
      <c r="LUE1" s="28"/>
      <c r="LUF1" s="28"/>
      <c r="LUG1" s="28"/>
      <c r="LUH1" s="28"/>
      <c r="LUI1" s="28"/>
      <c r="LUJ1" s="28"/>
      <c r="LUK1" s="28"/>
      <c r="LUL1" s="28"/>
      <c r="LUM1" s="28"/>
      <c r="LUN1" s="28"/>
      <c r="LUO1" s="28"/>
      <c r="LUP1" s="28"/>
      <c r="LUQ1" s="28"/>
      <c r="LUR1" s="28"/>
      <c r="LUS1" s="28"/>
      <c r="LUT1" s="28"/>
      <c r="LUU1" s="28"/>
      <c r="LUV1" s="28"/>
      <c r="LUW1" s="28"/>
      <c r="LUX1" s="28"/>
      <c r="LUY1" s="28"/>
      <c r="LUZ1" s="28"/>
      <c r="LVA1" s="28"/>
      <c r="LVB1" s="28"/>
      <c r="LVC1" s="28"/>
      <c r="LVD1" s="28"/>
      <c r="LVE1" s="28"/>
      <c r="LVF1" s="28"/>
      <c r="LVG1" s="28"/>
      <c r="LVH1" s="28"/>
      <c r="LVI1" s="28"/>
      <c r="LVJ1" s="28"/>
      <c r="LVK1" s="28"/>
      <c r="LVL1" s="28"/>
      <c r="LVM1" s="28"/>
      <c r="LVN1" s="28"/>
      <c r="LVO1" s="28"/>
      <c r="LVP1" s="28"/>
      <c r="LVQ1" s="28"/>
      <c r="LVR1" s="28"/>
      <c r="LVS1" s="28"/>
      <c r="LVT1" s="28"/>
      <c r="LVU1" s="28"/>
      <c r="LVV1" s="28"/>
      <c r="LVW1" s="28"/>
      <c r="LVX1" s="28"/>
      <c r="LVY1" s="28"/>
      <c r="LVZ1" s="28"/>
      <c r="LWA1" s="28"/>
      <c r="LWB1" s="28"/>
      <c r="LWC1" s="28"/>
      <c r="LWD1" s="28"/>
      <c r="LWE1" s="28"/>
      <c r="LWF1" s="28"/>
      <c r="LWG1" s="28"/>
      <c r="LWH1" s="28"/>
      <c r="LWI1" s="28"/>
      <c r="LWJ1" s="28"/>
      <c r="LWK1" s="28"/>
      <c r="LWL1" s="28"/>
      <c r="LWM1" s="28"/>
      <c r="LWN1" s="28"/>
      <c r="LWO1" s="28"/>
      <c r="LWP1" s="28"/>
      <c r="LWQ1" s="28"/>
      <c r="LWR1" s="28"/>
      <c r="LWS1" s="28"/>
      <c r="LWT1" s="28"/>
      <c r="LWU1" s="28"/>
      <c r="LWV1" s="28"/>
      <c r="LWW1" s="28"/>
      <c r="LWX1" s="28"/>
      <c r="LWY1" s="28"/>
      <c r="LWZ1" s="28"/>
      <c r="LXA1" s="28"/>
      <c r="LXB1" s="28"/>
      <c r="LXC1" s="28"/>
      <c r="LXD1" s="28"/>
      <c r="LXE1" s="28"/>
      <c r="LXF1" s="28"/>
      <c r="LXG1" s="28"/>
      <c r="LXH1" s="28"/>
      <c r="LXI1" s="28"/>
      <c r="LXJ1" s="28"/>
      <c r="LXK1" s="28"/>
      <c r="LXL1" s="28"/>
      <c r="LXM1" s="28"/>
      <c r="LXN1" s="28"/>
      <c r="LXO1" s="28"/>
      <c r="LXP1" s="28"/>
      <c r="LXQ1" s="28"/>
      <c r="LXR1" s="28"/>
      <c r="LXS1" s="28"/>
      <c r="LXT1" s="28"/>
      <c r="LXU1" s="28"/>
      <c r="LXV1" s="28"/>
      <c r="LXW1" s="28"/>
      <c r="LXX1" s="28"/>
      <c r="LXY1" s="28"/>
      <c r="LXZ1" s="28"/>
      <c r="LYA1" s="28"/>
      <c r="LYB1" s="28"/>
      <c r="LYC1" s="28"/>
      <c r="LYD1" s="28"/>
      <c r="LYE1" s="28"/>
      <c r="LYF1" s="28"/>
      <c r="LYG1" s="28"/>
      <c r="LYH1" s="28"/>
      <c r="LYI1" s="28"/>
      <c r="LYJ1" s="28"/>
      <c r="LYK1" s="28"/>
      <c r="LYL1" s="28"/>
      <c r="LYM1" s="28"/>
      <c r="LYN1" s="28"/>
      <c r="LYO1" s="28"/>
      <c r="LYP1" s="28"/>
      <c r="LYQ1" s="28"/>
      <c r="LYR1" s="28"/>
      <c r="LYS1" s="28"/>
      <c r="LYT1" s="28"/>
      <c r="LYU1" s="28"/>
      <c r="LYV1" s="28"/>
      <c r="LYW1" s="28"/>
      <c r="LYX1" s="28"/>
      <c r="LYY1" s="28"/>
      <c r="LYZ1" s="28"/>
      <c r="LZA1" s="28"/>
      <c r="LZB1" s="28"/>
      <c r="LZC1" s="28"/>
      <c r="LZD1" s="28"/>
      <c r="LZE1" s="28"/>
      <c r="LZF1" s="28"/>
      <c r="LZG1" s="28"/>
      <c r="LZH1" s="28"/>
      <c r="LZI1" s="28"/>
      <c r="LZJ1" s="28"/>
      <c r="LZK1" s="28"/>
      <c r="LZL1" s="28"/>
      <c r="LZM1" s="28"/>
      <c r="LZN1" s="28"/>
      <c r="LZO1" s="28"/>
      <c r="LZP1" s="28"/>
      <c r="LZQ1" s="28"/>
      <c r="LZR1" s="28"/>
      <c r="LZS1" s="28"/>
      <c r="LZT1" s="28"/>
      <c r="LZU1" s="28"/>
      <c r="LZV1" s="28"/>
      <c r="LZW1" s="28"/>
      <c r="LZX1" s="28"/>
      <c r="LZY1" s="28"/>
      <c r="LZZ1" s="28"/>
      <c r="MAA1" s="28"/>
      <c r="MAB1" s="28"/>
      <c r="MAC1" s="28"/>
      <c r="MAD1" s="28"/>
      <c r="MAE1" s="28"/>
      <c r="MAF1" s="28"/>
      <c r="MAG1" s="28"/>
      <c r="MAH1" s="28"/>
      <c r="MAI1" s="28"/>
      <c r="MAJ1" s="28"/>
      <c r="MAK1" s="28"/>
      <c r="MAL1" s="28"/>
      <c r="MAM1" s="28"/>
      <c r="MAN1" s="28"/>
      <c r="MAO1" s="28"/>
      <c r="MAP1" s="28"/>
      <c r="MAQ1" s="28"/>
      <c r="MAR1" s="28"/>
      <c r="MAS1" s="28"/>
      <c r="MAT1" s="28"/>
      <c r="MAU1" s="28"/>
      <c r="MAV1" s="28"/>
      <c r="MAW1" s="28"/>
      <c r="MAX1" s="28"/>
      <c r="MAY1" s="28"/>
      <c r="MAZ1" s="28"/>
      <c r="MBA1" s="28"/>
      <c r="MBB1" s="28"/>
      <c r="MBC1" s="28"/>
      <c r="MBD1" s="28"/>
      <c r="MBE1" s="28"/>
      <c r="MBF1" s="28"/>
      <c r="MBG1" s="28"/>
      <c r="MBH1" s="28"/>
      <c r="MBI1" s="28"/>
      <c r="MBJ1" s="28"/>
      <c r="MBK1" s="28"/>
      <c r="MBL1" s="28"/>
      <c r="MBM1" s="28"/>
      <c r="MBN1" s="28"/>
      <c r="MBO1" s="28"/>
      <c r="MBP1" s="28"/>
      <c r="MBQ1" s="28"/>
      <c r="MBR1" s="28"/>
      <c r="MBS1" s="28"/>
      <c r="MBT1" s="28"/>
      <c r="MBU1" s="28"/>
      <c r="MBV1" s="28"/>
      <c r="MBW1" s="28"/>
      <c r="MBX1" s="28"/>
      <c r="MBY1" s="28"/>
      <c r="MBZ1" s="28"/>
      <c r="MCA1" s="28"/>
      <c r="MCB1" s="28"/>
      <c r="MCC1" s="28"/>
      <c r="MCD1" s="28"/>
      <c r="MCE1" s="28"/>
      <c r="MCF1" s="28"/>
      <c r="MCG1" s="28"/>
      <c r="MCH1" s="28"/>
      <c r="MCI1" s="28"/>
      <c r="MCJ1" s="28"/>
      <c r="MCK1" s="28"/>
      <c r="MCL1" s="28"/>
      <c r="MCM1" s="28"/>
      <c r="MCN1" s="28"/>
      <c r="MCO1" s="28"/>
      <c r="MCP1" s="28"/>
      <c r="MCQ1" s="28"/>
      <c r="MCR1" s="28"/>
      <c r="MCS1" s="28"/>
      <c r="MCT1" s="28"/>
      <c r="MCU1" s="28"/>
      <c r="MCV1" s="28"/>
      <c r="MCW1" s="28"/>
      <c r="MCX1" s="28"/>
      <c r="MCY1" s="28"/>
      <c r="MCZ1" s="28"/>
      <c r="MDA1" s="28"/>
      <c r="MDB1" s="28"/>
      <c r="MDC1" s="28"/>
      <c r="MDD1" s="28"/>
      <c r="MDE1" s="28"/>
      <c r="MDF1" s="28"/>
      <c r="MDG1" s="28"/>
      <c r="MDH1" s="28"/>
      <c r="MDI1" s="28"/>
      <c r="MDJ1" s="28"/>
      <c r="MDK1" s="28"/>
      <c r="MDL1" s="28"/>
      <c r="MDM1" s="28"/>
      <c r="MDN1" s="28"/>
      <c r="MDO1" s="28"/>
      <c r="MDP1" s="28"/>
      <c r="MDQ1" s="28"/>
      <c r="MDR1" s="28"/>
      <c r="MDS1" s="28"/>
      <c r="MDT1" s="28"/>
      <c r="MDU1" s="28"/>
      <c r="MDV1" s="28"/>
      <c r="MDW1" s="28"/>
      <c r="MDX1" s="28"/>
      <c r="MDY1" s="28"/>
      <c r="MDZ1" s="28"/>
      <c r="MEA1" s="28"/>
      <c r="MEB1" s="28"/>
      <c r="MEC1" s="28"/>
      <c r="MED1" s="28"/>
      <c r="MEE1" s="28"/>
      <c r="MEF1" s="28"/>
      <c r="MEG1" s="28"/>
      <c r="MEH1" s="28"/>
      <c r="MEI1" s="28"/>
      <c r="MEJ1" s="28"/>
      <c r="MEK1" s="28"/>
      <c r="MEL1" s="28"/>
      <c r="MEM1" s="28"/>
      <c r="MEN1" s="28"/>
      <c r="MEO1" s="28"/>
      <c r="MEP1" s="28"/>
      <c r="MEQ1" s="28"/>
      <c r="MER1" s="28"/>
      <c r="MES1" s="28"/>
      <c r="MET1" s="28"/>
      <c r="MEU1" s="28"/>
      <c r="MEV1" s="28"/>
      <c r="MEW1" s="28"/>
      <c r="MEX1" s="28"/>
      <c r="MEY1" s="28"/>
      <c r="MEZ1" s="28"/>
      <c r="MFA1" s="28"/>
      <c r="MFB1" s="28"/>
      <c r="MFC1" s="28"/>
      <c r="MFD1" s="28"/>
      <c r="MFE1" s="28"/>
      <c r="MFF1" s="28"/>
      <c r="MFG1" s="28"/>
      <c r="MFH1" s="28"/>
      <c r="MFI1" s="28"/>
      <c r="MFJ1" s="28"/>
      <c r="MFK1" s="28"/>
      <c r="MFL1" s="28"/>
      <c r="MFM1" s="28"/>
      <c r="MFN1" s="28"/>
      <c r="MFO1" s="28"/>
      <c r="MFP1" s="28"/>
      <c r="MFQ1" s="28"/>
      <c r="MFR1" s="28"/>
      <c r="MFS1" s="28"/>
      <c r="MFT1" s="28"/>
      <c r="MFU1" s="28"/>
      <c r="MFV1" s="28"/>
      <c r="MFW1" s="28"/>
      <c r="MFX1" s="28"/>
      <c r="MFY1" s="28"/>
      <c r="MFZ1" s="28"/>
      <c r="MGA1" s="28"/>
      <c r="MGB1" s="28"/>
      <c r="MGC1" s="28"/>
      <c r="MGD1" s="28"/>
      <c r="MGE1" s="28"/>
      <c r="MGF1" s="28"/>
      <c r="MGG1" s="28"/>
      <c r="MGH1" s="28"/>
      <c r="MGI1" s="28"/>
      <c r="MGJ1" s="28"/>
      <c r="MGK1" s="28"/>
      <c r="MGL1" s="28"/>
      <c r="MGM1" s="28"/>
      <c r="MGN1" s="28"/>
      <c r="MGO1" s="28"/>
      <c r="MGP1" s="28"/>
      <c r="MGQ1" s="28"/>
      <c r="MGR1" s="28"/>
      <c r="MGS1" s="28"/>
      <c r="MGT1" s="28"/>
      <c r="MGU1" s="28"/>
      <c r="MGV1" s="28"/>
      <c r="MGW1" s="28"/>
      <c r="MGX1" s="28"/>
      <c r="MGY1" s="28"/>
      <c r="MGZ1" s="28"/>
      <c r="MHA1" s="28"/>
      <c r="MHB1" s="28"/>
      <c r="MHC1" s="28"/>
      <c r="MHD1" s="28"/>
      <c r="MHE1" s="28"/>
      <c r="MHF1" s="28"/>
      <c r="MHG1" s="28"/>
      <c r="MHH1" s="28"/>
      <c r="MHI1" s="28"/>
      <c r="MHJ1" s="28"/>
      <c r="MHK1" s="28"/>
      <c r="MHL1" s="28"/>
      <c r="MHM1" s="28"/>
      <c r="MHN1" s="28"/>
      <c r="MHO1" s="28"/>
      <c r="MHP1" s="28"/>
      <c r="MHQ1" s="28"/>
      <c r="MHR1" s="28"/>
      <c r="MHS1" s="28"/>
      <c r="MHT1" s="28"/>
      <c r="MHU1" s="28"/>
      <c r="MHV1" s="28"/>
      <c r="MHW1" s="28"/>
      <c r="MHX1" s="28"/>
      <c r="MHY1" s="28"/>
      <c r="MHZ1" s="28"/>
      <c r="MIA1" s="28"/>
      <c r="MIB1" s="28"/>
      <c r="MIC1" s="28"/>
      <c r="MID1" s="28"/>
      <c r="MIE1" s="28"/>
      <c r="MIF1" s="28"/>
      <c r="MIG1" s="28"/>
      <c r="MIH1" s="28"/>
      <c r="MII1" s="28"/>
      <c r="MIJ1" s="28"/>
      <c r="MIK1" s="28"/>
      <c r="MIL1" s="28"/>
      <c r="MIM1" s="28"/>
      <c r="MIN1" s="28"/>
      <c r="MIO1" s="28"/>
      <c r="MIP1" s="28"/>
      <c r="MIQ1" s="28"/>
      <c r="MIR1" s="28"/>
      <c r="MIS1" s="28"/>
      <c r="MIT1" s="28"/>
      <c r="MIU1" s="28"/>
      <c r="MIV1" s="28"/>
      <c r="MIW1" s="28"/>
      <c r="MIX1" s="28"/>
      <c r="MIY1" s="28"/>
      <c r="MIZ1" s="28"/>
      <c r="MJA1" s="28"/>
      <c r="MJB1" s="28"/>
      <c r="MJC1" s="28"/>
      <c r="MJD1" s="28"/>
      <c r="MJE1" s="28"/>
      <c r="MJF1" s="28"/>
      <c r="MJG1" s="28"/>
      <c r="MJH1" s="28"/>
      <c r="MJI1" s="28"/>
      <c r="MJJ1" s="28"/>
      <c r="MJK1" s="28"/>
      <c r="MJL1" s="28"/>
      <c r="MJM1" s="28"/>
      <c r="MJN1" s="28"/>
      <c r="MJO1" s="28"/>
      <c r="MJP1" s="28"/>
      <c r="MJQ1" s="28"/>
      <c r="MJR1" s="28"/>
      <c r="MJS1" s="28"/>
      <c r="MJT1" s="28"/>
      <c r="MJU1" s="28"/>
      <c r="MJV1" s="28"/>
      <c r="MJW1" s="28"/>
      <c r="MJX1" s="28"/>
      <c r="MJY1" s="28"/>
      <c r="MJZ1" s="28"/>
      <c r="MKA1" s="28"/>
      <c r="MKB1" s="28"/>
      <c r="MKC1" s="28"/>
      <c r="MKD1" s="28"/>
      <c r="MKE1" s="28"/>
      <c r="MKF1" s="28"/>
      <c r="MKG1" s="28"/>
      <c r="MKH1" s="28"/>
      <c r="MKI1" s="28"/>
      <c r="MKJ1" s="28"/>
      <c r="MKK1" s="28"/>
      <c r="MKL1" s="28"/>
      <c r="MKM1" s="28"/>
      <c r="MKN1" s="28"/>
      <c r="MKO1" s="28"/>
      <c r="MKP1" s="28"/>
      <c r="MKQ1" s="28"/>
      <c r="MKR1" s="28"/>
      <c r="MKS1" s="28"/>
      <c r="MKT1" s="28"/>
      <c r="MKU1" s="28"/>
      <c r="MKV1" s="28"/>
      <c r="MKW1" s="28"/>
      <c r="MKX1" s="28"/>
      <c r="MKY1" s="28"/>
      <c r="MKZ1" s="28"/>
      <c r="MLA1" s="28"/>
      <c r="MLB1" s="28"/>
      <c r="MLC1" s="28"/>
      <c r="MLD1" s="28"/>
      <c r="MLE1" s="28"/>
      <c r="MLF1" s="28"/>
      <c r="MLG1" s="28"/>
      <c r="MLH1" s="28"/>
      <c r="MLI1" s="28"/>
      <c r="MLJ1" s="28"/>
      <c r="MLK1" s="28"/>
      <c r="MLL1" s="28"/>
      <c r="MLM1" s="28"/>
      <c r="MLN1" s="28"/>
      <c r="MLO1" s="28"/>
      <c r="MLP1" s="28"/>
      <c r="MLQ1" s="28"/>
      <c r="MLR1" s="28"/>
      <c r="MLS1" s="28"/>
      <c r="MLT1" s="28"/>
      <c r="MLU1" s="28"/>
      <c r="MLV1" s="28"/>
      <c r="MLW1" s="28"/>
      <c r="MLX1" s="28"/>
      <c r="MLY1" s="28"/>
      <c r="MLZ1" s="28"/>
      <c r="MMA1" s="28"/>
      <c r="MMB1" s="28"/>
      <c r="MMC1" s="28"/>
      <c r="MMD1" s="28"/>
      <c r="MME1" s="28"/>
      <c r="MMF1" s="28"/>
      <c r="MMG1" s="28"/>
      <c r="MMH1" s="28"/>
      <c r="MMI1" s="28"/>
      <c r="MMJ1" s="28"/>
      <c r="MMK1" s="28"/>
      <c r="MML1" s="28"/>
      <c r="MMM1" s="28"/>
      <c r="MMN1" s="28"/>
      <c r="MMO1" s="28"/>
      <c r="MMP1" s="28"/>
      <c r="MMQ1" s="28"/>
      <c r="MMR1" s="28"/>
      <c r="MMS1" s="28"/>
      <c r="MMT1" s="28"/>
      <c r="MMU1" s="28"/>
      <c r="MMV1" s="28"/>
      <c r="MMW1" s="28"/>
      <c r="MMX1" s="28"/>
      <c r="MMY1" s="28"/>
      <c r="MMZ1" s="28"/>
      <c r="MNA1" s="28"/>
      <c r="MNB1" s="28"/>
      <c r="MNC1" s="28"/>
      <c r="MND1" s="28"/>
      <c r="MNE1" s="28"/>
      <c r="MNF1" s="28"/>
      <c r="MNG1" s="28"/>
      <c r="MNH1" s="28"/>
      <c r="MNI1" s="28"/>
      <c r="MNJ1" s="28"/>
      <c r="MNK1" s="28"/>
      <c r="MNL1" s="28"/>
      <c r="MNM1" s="28"/>
      <c r="MNN1" s="28"/>
      <c r="MNO1" s="28"/>
      <c r="MNP1" s="28"/>
      <c r="MNQ1" s="28"/>
      <c r="MNR1" s="28"/>
      <c r="MNS1" s="28"/>
      <c r="MNT1" s="28"/>
      <c r="MNU1" s="28"/>
      <c r="MNV1" s="28"/>
      <c r="MNW1" s="28"/>
      <c r="MNX1" s="28"/>
      <c r="MNY1" s="28"/>
      <c r="MNZ1" s="28"/>
      <c r="MOA1" s="28"/>
      <c r="MOB1" s="28"/>
      <c r="MOC1" s="28"/>
      <c r="MOD1" s="28"/>
      <c r="MOE1" s="28"/>
      <c r="MOF1" s="28"/>
      <c r="MOG1" s="28"/>
      <c r="MOH1" s="28"/>
      <c r="MOI1" s="28"/>
      <c r="MOJ1" s="28"/>
      <c r="MOK1" s="28"/>
      <c r="MOL1" s="28"/>
      <c r="MOM1" s="28"/>
      <c r="MON1" s="28"/>
      <c r="MOO1" s="28"/>
      <c r="MOP1" s="28"/>
      <c r="MOQ1" s="28"/>
      <c r="MOR1" s="28"/>
      <c r="MOS1" s="28"/>
      <c r="MOT1" s="28"/>
      <c r="MOU1" s="28"/>
      <c r="MOV1" s="28"/>
      <c r="MOW1" s="28"/>
      <c r="MOX1" s="28"/>
      <c r="MOY1" s="28"/>
      <c r="MOZ1" s="28"/>
      <c r="MPA1" s="28"/>
      <c r="MPB1" s="28"/>
      <c r="MPC1" s="28"/>
      <c r="MPD1" s="28"/>
      <c r="MPE1" s="28"/>
      <c r="MPF1" s="28"/>
      <c r="MPG1" s="28"/>
      <c r="MPH1" s="28"/>
      <c r="MPI1" s="28"/>
      <c r="MPJ1" s="28"/>
      <c r="MPK1" s="28"/>
      <c r="MPL1" s="28"/>
      <c r="MPM1" s="28"/>
      <c r="MPN1" s="28"/>
      <c r="MPO1" s="28"/>
      <c r="MPP1" s="28"/>
      <c r="MPQ1" s="28"/>
      <c r="MPR1" s="28"/>
      <c r="MPS1" s="28"/>
      <c r="MPT1" s="28"/>
      <c r="MPU1" s="28"/>
      <c r="MPV1" s="28"/>
      <c r="MPW1" s="28"/>
      <c r="MPX1" s="28"/>
      <c r="MPY1" s="28"/>
      <c r="MPZ1" s="28"/>
      <c r="MQA1" s="28"/>
      <c r="MQB1" s="28"/>
      <c r="MQC1" s="28"/>
      <c r="MQD1" s="28"/>
      <c r="MQE1" s="28"/>
      <c r="MQF1" s="28"/>
      <c r="MQG1" s="28"/>
      <c r="MQH1" s="28"/>
      <c r="MQI1" s="28"/>
      <c r="MQJ1" s="28"/>
      <c r="MQK1" s="28"/>
      <c r="MQL1" s="28"/>
      <c r="MQM1" s="28"/>
      <c r="MQN1" s="28"/>
      <c r="MQO1" s="28"/>
      <c r="MQP1" s="28"/>
      <c r="MQQ1" s="28"/>
      <c r="MQR1" s="28"/>
      <c r="MQS1" s="28"/>
      <c r="MQT1" s="28"/>
      <c r="MQU1" s="28"/>
      <c r="MQV1" s="28"/>
      <c r="MQW1" s="28"/>
      <c r="MQX1" s="28"/>
      <c r="MQY1" s="28"/>
      <c r="MQZ1" s="28"/>
      <c r="MRA1" s="28"/>
      <c r="MRB1" s="28"/>
      <c r="MRC1" s="28"/>
      <c r="MRD1" s="28"/>
      <c r="MRE1" s="28"/>
      <c r="MRF1" s="28"/>
      <c r="MRG1" s="28"/>
      <c r="MRH1" s="28"/>
      <c r="MRI1" s="28"/>
      <c r="MRJ1" s="28"/>
      <c r="MRK1" s="28"/>
      <c r="MRL1" s="28"/>
      <c r="MRM1" s="28"/>
      <c r="MRN1" s="28"/>
      <c r="MRO1" s="28"/>
      <c r="MRP1" s="28"/>
      <c r="MRQ1" s="28"/>
      <c r="MRR1" s="28"/>
      <c r="MRS1" s="28"/>
      <c r="MRT1" s="28"/>
      <c r="MRU1" s="28"/>
      <c r="MRV1" s="28"/>
      <c r="MRW1" s="28"/>
      <c r="MRX1" s="28"/>
      <c r="MRY1" s="28"/>
      <c r="MRZ1" s="28"/>
      <c r="MSA1" s="28"/>
      <c r="MSB1" s="28"/>
      <c r="MSC1" s="28"/>
      <c r="MSD1" s="28"/>
      <c r="MSE1" s="28"/>
      <c r="MSF1" s="28"/>
      <c r="MSG1" s="28"/>
      <c r="MSH1" s="28"/>
      <c r="MSI1" s="28"/>
      <c r="MSJ1" s="28"/>
      <c r="MSK1" s="28"/>
      <c r="MSL1" s="28"/>
      <c r="MSM1" s="28"/>
      <c r="MSN1" s="28"/>
      <c r="MSO1" s="28"/>
      <c r="MSP1" s="28"/>
      <c r="MSQ1" s="28"/>
      <c r="MSR1" s="28"/>
      <c r="MSS1" s="28"/>
      <c r="MST1" s="28"/>
      <c r="MSU1" s="28"/>
      <c r="MSV1" s="28"/>
      <c r="MSW1" s="28"/>
      <c r="MSX1" s="28"/>
      <c r="MSY1" s="28"/>
      <c r="MSZ1" s="28"/>
      <c r="MTA1" s="28"/>
      <c r="MTB1" s="28"/>
      <c r="MTC1" s="28"/>
      <c r="MTD1" s="28"/>
      <c r="MTE1" s="28"/>
      <c r="MTF1" s="28"/>
      <c r="MTG1" s="28"/>
      <c r="MTH1" s="28"/>
      <c r="MTI1" s="28"/>
      <c r="MTJ1" s="28"/>
      <c r="MTK1" s="28"/>
      <c r="MTL1" s="28"/>
      <c r="MTM1" s="28"/>
      <c r="MTN1" s="28"/>
      <c r="MTO1" s="28"/>
      <c r="MTP1" s="28"/>
      <c r="MTQ1" s="28"/>
      <c r="MTR1" s="28"/>
      <c r="MTS1" s="28"/>
      <c r="MTT1" s="28"/>
      <c r="MTU1" s="28"/>
      <c r="MTV1" s="28"/>
      <c r="MTW1" s="28"/>
      <c r="MTX1" s="28"/>
      <c r="MTY1" s="28"/>
      <c r="MTZ1" s="28"/>
      <c r="MUA1" s="28"/>
      <c r="MUB1" s="28"/>
      <c r="MUC1" s="28"/>
      <c r="MUD1" s="28"/>
      <c r="MUE1" s="28"/>
      <c r="MUF1" s="28"/>
      <c r="MUG1" s="28"/>
      <c r="MUH1" s="28"/>
      <c r="MUI1" s="28"/>
      <c r="MUJ1" s="28"/>
      <c r="MUK1" s="28"/>
      <c r="MUL1" s="28"/>
      <c r="MUM1" s="28"/>
      <c r="MUN1" s="28"/>
      <c r="MUO1" s="28"/>
      <c r="MUP1" s="28"/>
      <c r="MUQ1" s="28"/>
      <c r="MUR1" s="28"/>
      <c r="MUS1" s="28"/>
      <c r="MUT1" s="28"/>
      <c r="MUU1" s="28"/>
      <c r="MUV1" s="28"/>
      <c r="MUW1" s="28"/>
      <c r="MUX1" s="28"/>
      <c r="MUY1" s="28"/>
      <c r="MUZ1" s="28"/>
      <c r="MVA1" s="28"/>
      <c r="MVB1" s="28"/>
      <c r="MVC1" s="28"/>
      <c r="MVD1" s="28"/>
      <c r="MVE1" s="28"/>
      <c r="MVF1" s="28"/>
      <c r="MVG1" s="28"/>
      <c r="MVH1" s="28"/>
      <c r="MVI1" s="28"/>
      <c r="MVJ1" s="28"/>
      <c r="MVK1" s="28"/>
      <c r="MVL1" s="28"/>
      <c r="MVM1" s="28"/>
      <c r="MVN1" s="28"/>
      <c r="MVO1" s="28"/>
      <c r="MVP1" s="28"/>
      <c r="MVQ1" s="28"/>
      <c r="MVR1" s="28"/>
      <c r="MVS1" s="28"/>
      <c r="MVT1" s="28"/>
      <c r="MVU1" s="28"/>
      <c r="MVV1" s="28"/>
      <c r="MVW1" s="28"/>
      <c r="MVX1" s="28"/>
      <c r="MVY1" s="28"/>
      <c r="MVZ1" s="28"/>
      <c r="MWA1" s="28"/>
      <c r="MWB1" s="28"/>
      <c r="MWC1" s="28"/>
      <c r="MWD1" s="28"/>
      <c r="MWE1" s="28"/>
      <c r="MWF1" s="28"/>
      <c r="MWG1" s="28"/>
      <c r="MWH1" s="28"/>
      <c r="MWI1" s="28"/>
      <c r="MWJ1" s="28"/>
      <c r="MWK1" s="28"/>
      <c r="MWL1" s="28"/>
      <c r="MWM1" s="28"/>
      <c r="MWN1" s="28"/>
      <c r="MWO1" s="28"/>
      <c r="MWP1" s="28"/>
      <c r="MWQ1" s="28"/>
      <c r="MWR1" s="28"/>
      <c r="MWS1" s="28"/>
      <c r="MWT1" s="28"/>
      <c r="MWU1" s="28"/>
      <c r="MWV1" s="28"/>
      <c r="MWW1" s="28"/>
      <c r="MWX1" s="28"/>
      <c r="MWY1" s="28"/>
      <c r="MWZ1" s="28"/>
      <c r="MXA1" s="28"/>
      <c r="MXB1" s="28"/>
      <c r="MXC1" s="28"/>
      <c r="MXD1" s="28"/>
      <c r="MXE1" s="28"/>
      <c r="MXF1" s="28"/>
      <c r="MXG1" s="28"/>
      <c r="MXH1" s="28"/>
      <c r="MXI1" s="28"/>
      <c r="MXJ1" s="28"/>
      <c r="MXK1" s="28"/>
      <c r="MXL1" s="28"/>
      <c r="MXM1" s="28"/>
      <c r="MXN1" s="28"/>
      <c r="MXO1" s="28"/>
      <c r="MXP1" s="28"/>
      <c r="MXQ1" s="28"/>
      <c r="MXR1" s="28"/>
      <c r="MXS1" s="28"/>
      <c r="MXT1" s="28"/>
      <c r="MXU1" s="28"/>
      <c r="MXV1" s="28"/>
      <c r="MXW1" s="28"/>
      <c r="MXX1" s="28"/>
      <c r="MXY1" s="28"/>
      <c r="MXZ1" s="28"/>
      <c r="MYA1" s="28"/>
      <c r="MYB1" s="28"/>
      <c r="MYC1" s="28"/>
      <c r="MYD1" s="28"/>
      <c r="MYE1" s="28"/>
      <c r="MYF1" s="28"/>
      <c r="MYG1" s="28"/>
      <c r="MYH1" s="28"/>
      <c r="MYI1" s="28"/>
      <c r="MYJ1" s="28"/>
      <c r="MYK1" s="28"/>
      <c r="MYL1" s="28"/>
      <c r="MYM1" s="28"/>
      <c r="MYN1" s="28"/>
      <c r="MYO1" s="28"/>
      <c r="MYP1" s="28"/>
      <c r="MYQ1" s="28"/>
      <c r="MYR1" s="28"/>
      <c r="MYS1" s="28"/>
      <c r="MYT1" s="28"/>
      <c r="MYU1" s="28"/>
      <c r="MYV1" s="28"/>
      <c r="MYW1" s="28"/>
      <c r="MYX1" s="28"/>
      <c r="MYY1" s="28"/>
      <c r="MYZ1" s="28"/>
      <c r="MZA1" s="28"/>
      <c r="MZB1" s="28"/>
      <c r="MZC1" s="28"/>
      <c r="MZD1" s="28"/>
      <c r="MZE1" s="28"/>
      <c r="MZF1" s="28"/>
      <c r="MZG1" s="28"/>
      <c r="MZH1" s="28"/>
      <c r="MZI1" s="28"/>
      <c r="MZJ1" s="28"/>
      <c r="MZK1" s="28"/>
      <c r="MZL1" s="28"/>
      <c r="MZM1" s="28"/>
      <c r="MZN1" s="28"/>
      <c r="MZO1" s="28"/>
      <c r="MZP1" s="28"/>
      <c r="MZQ1" s="28"/>
      <c r="MZR1" s="28"/>
      <c r="MZS1" s="28"/>
      <c r="MZT1" s="28"/>
      <c r="MZU1" s="28"/>
      <c r="MZV1" s="28"/>
      <c r="MZW1" s="28"/>
      <c r="MZX1" s="28"/>
      <c r="MZY1" s="28"/>
      <c r="MZZ1" s="28"/>
      <c r="NAA1" s="28"/>
      <c r="NAB1" s="28"/>
      <c r="NAC1" s="28"/>
      <c r="NAD1" s="28"/>
      <c r="NAE1" s="28"/>
      <c r="NAF1" s="28"/>
      <c r="NAG1" s="28"/>
      <c r="NAH1" s="28"/>
      <c r="NAI1" s="28"/>
      <c r="NAJ1" s="28"/>
      <c r="NAK1" s="28"/>
      <c r="NAL1" s="28"/>
      <c r="NAM1" s="28"/>
      <c r="NAN1" s="28"/>
      <c r="NAO1" s="28"/>
      <c r="NAP1" s="28"/>
      <c r="NAQ1" s="28"/>
      <c r="NAR1" s="28"/>
      <c r="NAS1" s="28"/>
      <c r="NAT1" s="28"/>
      <c r="NAU1" s="28"/>
      <c r="NAV1" s="28"/>
      <c r="NAW1" s="28"/>
      <c r="NAX1" s="28"/>
      <c r="NAY1" s="28"/>
      <c r="NAZ1" s="28"/>
      <c r="NBA1" s="28"/>
      <c r="NBB1" s="28"/>
      <c r="NBC1" s="28"/>
      <c r="NBD1" s="28"/>
      <c r="NBE1" s="28"/>
      <c r="NBF1" s="28"/>
      <c r="NBG1" s="28"/>
      <c r="NBH1" s="28"/>
      <c r="NBI1" s="28"/>
      <c r="NBJ1" s="28"/>
      <c r="NBK1" s="28"/>
      <c r="NBL1" s="28"/>
      <c r="NBM1" s="28"/>
      <c r="NBN1" s="28"/>
      <c r="NBO1" s="28"/>
      <c r="NBP1" s="28"/>
      <c r="NBQ1" s="28"/>
      <c r="NBR1" s="28"/>
      <c r="NBS1" s="28"/>
      <c r="NBT1" s="28"/>
      <c r="NBU1" s="28"/>
      <c r="NBV1" s="28"/>
      <c r="NBW1" s="28"/>
      <c r="NBX1" s="28"/>
      <c r="NBY1" s="28"/>
      <c r="NBZ1" s="28"/>
      <c r="NCA1" s="28"/>
      <c r="NCB1" s="28"/>
      <c r="NCC1" s="28"/>
      <c r="NCD1" s="28"/>
      <c r="NCE1" s="28"/>
      <c r="NCF1" s="28"/>
      <c r="NCG1" s="28"/>
      <c r="NCH1" s="28"/>
      <c r="NCI1" s="28"/>
      <c r="NCJ1" s="28"/>
      <c r="NCK1" s="28"/>
      <c r="NCL1" s="28"/>
      <c r="NCM1" s="28"/>
      <c r="NCN1" s="28"/>
      <c r="NCO1" s="28"/>
      <c r="NCP1" s="28"/>
      <c r="NCQ1" s="28"/>
      <c r="NCR1" s="28"/>
      <c r="NCS1" s="28"/>
      <c r="NCT1" s="28"/>
      <c r="NCU1" s="28"/>
      <c r="NCV1" s="28"/>
      <c r="NCW1" s="28"/>
      <c r="NCX1" s="28"/>
      <c r="NCY1" s="28"/>
      <c r="NCZ1" s="28"/>
      <c r="NDA1" s="28"/>
      <c r="NDB1" s="28"/>
      <c r="NDC1" s="28"/>
      <c r="NDD1" s="28"/>
      <c r="NDE1" s="28"/>
      <c r="NDF1" s="28"/>
      <c r="NDG1" s="28"/>
      <c r="NDH1" s="28"/>
      <c r="NDI1" s="28"/>
      <c r="NDJ1" s="28"/>
      <c r="NDK1" s="28"/>
      <c r="NDL1" s="28"/>
      <c r="NDM1" s="28"/>
      <c r="NDN1" s="28"/>
      <c r="NDO1" s="28"/>
      <c r="NDP1" s="28"/>
      <c r="NDQ1" s="28"/>
      <c r="NDR1" s="28"/>
      <c r="NDS1" s="28"/>
      <c r="NDT1" s="28"/>
      <c r="NDU1" s="28"/>
      <c r="NDV1" s="28"/>
      <c r="NDW1" s="28"/>
      <c r="NDX1" s="28"/>
      <c r="NDY1" s="28"/>
      <c r="NDZ1" s="28"/>
      <c r="NEA1" s="28"/>
      <c r="NEB1" s="28"/>
      <c r="NEC1" s="28"/>
      <c r="NED1" s="28"/>
      <c r="NEE1" s="28"/>
      <c r="NEF1" s="28"/>
      <c r="NEG1" s="28"/>
      <c r="NEH1" s="28"/>
      <c r="NEI1" s="28"/>
      <c r="NEJ1" s="28"/>
      <c r="NEK1" s="28"/>
      <c r="NEL1" s="28"/>
      <c r="NEM1" s="28"/>
      <c r="NEN1" s="28"/>
      <c r="NEO1" s="28"/>
      <c r="NEP1" s="28"/>
      <c r="NEQ1" s="28"/>
      <c r="NER1" s="28"/>
      <c r="NES1" s="28"/>
      <c r="NET1" s="28"/>
      <c r="NEU1" s="28"/>
      <c r="NEV1" s="28"/>
      <c r="NEW1" s="28"/>
      <c r="NEX1" s="28"/>
      <c r="NEY1" s="28"/>
      <c r="NEZ1" s="28"/>
      <c r="NFA1" s="28"/>
      <c r="NFB1" s="28"/>
      <c r="NFC1" s="28"/>
      <c r="NFD1" s="28"/>
      <c r="NFE1" s="28"/>
      <c r="NFF1" s="28"/>
      <c r="NFG1" s="28"/>
      <c r="NFH1" s="28"/>
      <c r="NFI1" s="28"/>
      <c r="NFJ1" s="28"/>
      <c r="NFK1" s="28"/>
      <c r="NFL1" s="28"/>
      <c r="NFM1" s="28"/>
      <c r="NFN1" s="28"/>
      <c r="NFO1" s="28"/>
      <c r="NFP1" s="28"/>
      <c r="NFQ1" s="28"/>
      <c r="NFR1" s="28"/>
      <c r="NFS1" s="28"/>
      <c r="NFT1" s="28"/>
      <c r="NFU1" s="28"/>
      <c r="NFV1" s="28"/>
      <c r="NFW1" s="28"/>
      <c r="NFX1" s="28"/>
      <c r="NFY1" s="28"/>
      <c r="NFZ1" s="28"/>
      <c r="NGA1" s="28"/>
      <c r="NGB1" s="28"/>
      <c r="NGC1" s="28"/>
      <c r="NGD1" s="28"/>
      <c r="NGE1" s="28"/>
      <c r="NGF1" s="28"/>
      <c r="NGG1" s="28"/>
      <c r="NGH1" s="28"/>
      <c r="NGI1" s="28"/>
      <c r="NGJ1" s="28"/>
      <c r="NGK1" s="28"/>
      <c r="NGL1" s="28"/>
      <c r="NGM1" s="28"/>
      <c r="NGN1" s="28"/>
      <c r="NGO1" s="28"/>
      <c r="NGP1" s="28"/>
      <c r="NGQ1" s="28"/>
      <c r="NGR1" s="28"/>
      <c r="NGS1" s="28"/>
      <c r="NGT1" s="28"/>
      <c r="NGU1" s="28"/>
      <c r="NGV1" s="28"/>
      <c r="NGW1" s="28"/>
      <c r="NGX1" s="28"/>
      <c r="NGY1" s="28"/>
      <c r="NGZ1" s="28"/>
      <c r="NHA1" s="28"/>
      <c r="NHB1" s="28"/>
      <c r="NHC1" s="28"/>
      <c r="NHD1" s="28"/>
      <c r="NHE1" s="28"/>
      <c r="NHF1" s="28"/>
      <c r="NHG1" s="28"/>
      <c r="NHH1" s="28"/>
      <c r="NHI1" s="28"/>
      <c r="NHJ1" s="28"/>
      <c r="NHK1" s="28"/>
      <c r="NHL1" s="28"/>
      <c r="NHM1" s="28"/>
      <c r="NHN1" s="28"/>
      <c r="NHO1" s="28"/>
      <c r="NHP1" s="28"/>
      <c r="NHQ1" s="28"/>
      <c r="NHR1" s="28"/>
      <c r="NHS1" s="28"/>
      <c r="NHT1" s="28"/>
      <c r="NHU1" s="28"/>
      <c r="NHV1" s="28"/>
      <c r="NHW1" s="28"/>
      <c r="NHX1" s="28"/>
      <c r="NHY1" s="28"/>
      <c r="NHZ1" s="28"/>
      <c r="NIA1" s="28"/>
      <c r="NIB1" s="28"/>
      <c r="NIC1" s="28"/>
      <c r="NID1" s="28"/>
      <c r="NIE1" s="28"/>
      <c r="NIF1" s="28"/>
      <c r="NIG1" s="28"/>
      <c r="NIH1" s="28"/>
      <c r="NII1" s="28"/>
      <c r="NIJ1" s="28"/>
      <c r="NIK1" s="28"/>
      <c r="NIL1" s="28"/>
      <c r="NIM1" s="28"/>
      <c r="NIN1" s="28"/>
      <c r="NIO1" s="28"/>
      <c r="NIP1" s="28"/>
      <c r="NIQ1" s="28"/>
      <c r="NIR1" s="28"/>
      <c r="NIS1" s="28"/>
      <c r="NIT1" s="28"/>
      <c r="NIU1" s="28"/>
      <c r="NIV1" s="28"/>
      <c r="NIW1" s="28"/>
      <c r="NIX1" s="28"/>
      <c r="NIY1" s="28"/>
      <c r="NIZ1" s="28"/>
      <c r="NJA1" s="28"/>
      <c r="NJB1" s="28"/>
      <c r="NJC1" s="28"/>
      <c r="NJD1" s="28"/>
      <c r="NJE1" s="28"/>
      <c r="NJF1" s="28"/>
      <c r="NJG1" s="28"/>
      <c r="NJH1" s="28"/>
      <c r="NJI1" s="28"/>
      <c r="NJJ1" s="28"/>
      <c r="NJK1" s="28"/>
      <c r="NJL1" s="28"/>
      <c r="NJM1" s="28"/>
      <c r="NJN1" s="28"/>
      <c r="NJO1" s="28"/>
      <c r="NJP1" s="28"/>
      <c r="NJQ1" s="28"/>
      <c r="NJR1" s="28"/>
      <c r="NJS1" s="28"/>
      <c r="NJT1" s="28"/>
      <c r="NJU1" s="28"/>
      <c r="NJV1" s="28"/>
      <c r="NJW1" s="28"/>
      <c r="NJX1" s="28"/>
      <c r="NJY1" s="28"/>
      <c r="NJZ1" s="28"/>
      <c r="NKA1" s="28"/>
      <c r="NKB1" s="28"/>
      <c r="NKC1" s="28"/>
      <c r="NKD1" s="28"/>
      <c r="NKE1" s="28"/>
      <c r="NKF1" s="28"/>
      <c r="NKG1" s="28"/>
      <c r="NKH1" s="28"/>
      <c r="NKI1" s="28"/>
      <c r="NKJ1" s="28"/>
      <c r="NKK1" s="28"/>
      <c r="NKL1" s="28"/>
      <c r="NKM1" s="28"/>
      <c r="NKN1" s="28"/>
      <c r="NKO1" s="28"/>
      <c r="NKP1" s="28"/>
      <c r="NKQ1" s="28"/>
      <c r="NKR1" s="28"/>
      <c r="NKS1" s="28"/>
      <c r="NKT1" s="28"/>
      <c r="NKU1" s="28"/>
      <c r="NKV1" s="28"/>
      <c r="NKW1" s="28"/>
      <c r="NKX1" s="28"/>
      <c r="NKY1" s="28"/>
      <c r="NKZ1" s="28"/>
      <c r="NLA1" s="28"/>
      <c r="NLB1" s="28"/>
      <c r="NLC1" s="28"/>
      <c r="NLD1" s="28"/>
      <c r="NLE1" s="28"/>
      <c r="NLF1" s="28"/>
      <c r="NLG1" s="28"/>
      <c r="NLH1" s="28"/>
      <c r="NLI1" s="28"/>
      <c r="NLJ1" s="28"/>
      <c r="NLK1" s="28"/>
      <c r="NLL1" s="28"/>
      <c r="NLM1" s="28"/>
      <c r="NLN1" s="28"/>
      <c r="NLO1" s="28"/>
      <c r="NLP1" s="28"/>
      <c r="NLQ1" s="28"/>
      <c r="NLR1" s="28"/>
      <c r="NLS1" s="28"/>
      <c r="NLT1" s="28"/>
      <c r="NLU1" s="28"/>
      <c r="NLV1" s="28"/>
      <c r="NLW1" s="28"/>
      <c r="NLX1" s="28"/>
      <c r="NLY1" s="28"/>
      <c r="NLZ1" s="28"/>
      <c r="NMA1" s="28"/>
      <c r="NMB1" s="28"/>
      <c r="NMC1" s="28"/>
      <c r="NMD1" s="28"/>
      <c r="NME1" s="28"/>
      <c r="NMF1" s="28"/>
      <c r="NMG1" s="28"/>
      <c r="NMH1" s="28"/>
      <c r="NMI1" s="28"/>
      <c r="NMJ1" s="28"/>
      <c r="NMK1" s="28"/>
      <c r="NML1" s="28"/>
      <c r="NMM1" s="28"/>
      <c r="NMN1" s="28"/>
      <c r="NMO1" s="28"/>
      <c r="NMP1" s="28"/>
      <c r="NMQ1" s="28"/>
      <c r="NMR1" s="28"/>
      <c r="NMS1" s="28"/>
      <c r="NMT1" s="28"/>
      <c r="NMU1" s="28"/>
      <c r="NMV1" s="28"/>
      <c r="NMW1" s="28"/>
      <c r="NMX1" s="28"/>
      <c r="NMY1" s="28"/>
      <c r="NMZ1" s="28"/>
      <c r="NNA1" s="28"/>
      <c r="NNB1" s="28"/>
      <c r="NNC1" s="28"/>
      <c r="NND1" s="28"/>
      <c r="NNE1" s="28"/>
      <c r="NNF1" s="28"/>
      <c r="NNG1" s="28"/>
      <c r="NNH1" s="28"/>
      <c r="NNI1" s="28"/>
      <c r="NNJ1" s="28"/>
      <c r="NNK1" s="28"/>
      <c r="NNL1" s="28"/>
      <c r="NNM1" s="28"/>
      <c r="NNN1" s="28"/>
      <c r="NNO1" s="28"/>
      <c r="NNP1" s="28"/>
      <c r="NNQ1" s="28"/>
      <c r="NNR1" s="28"/>
      <c r="NNS1" s="28"/>
      <c r="NNT1" s="28"/>
      <c r="NNU1" s="28"/>
      <c r="NNV1" s="28"/>
      <c r="NNW1" s="28"/>
      <c r="NNX1" s="28"/>
      <c r="NNY1" s="28"/>
      <c r="NNZ1" s="28"/>
      <c r="NOA1" s="28"/>
      <c r="NOB1" s="28"/>
      <c r="NOC1" s="28"/>
      <c r="NOD1" s="28"/>
      <c r="NOE1" s="28"/>
      <c r="NOF1" s="28"/>
      <c r="NOG1" s="28"/>
      <c r="NOH1" s="28"/>
      <c r="NOI1" s="28"/>
      <c r="NOJ1" s="28"/>
      <c r="NOK1" s="28"/>
      <c r="NOL1" s="28"/>
      <c r="NOM1" s="28"/>
      <c r="NON1" s="28"/>
      <c r="NOO1" s="28"/>
      <c r="NOP1" s="28"/>
      <c r="NOQ1" s="28"/>
      <c r="NOR1" s="28"/>
      <c r="NOS1" s="28"/>
      <c r="NOT1" s="28"/>
      <c r="NOU1" s="28"/>
      <c r="NOV1" s="28"/>
      <c r="NOW1" s="28"/>
      <c r="NOX1" s="28"/>
      <c r="NOY1" s="28"/>
      <c r="NOZ1" s="28"/>
      <c r="NPA1" s="28"/>
      <c r="NPB1" s="28"/>
      <c r="NPC1" s="28"/>
      <c r="NPD1" s="28"/>
      <c r="NPE1" s="28"/>
      <c r="NPF1" s="28"/>
      <c r="NPG1" s="28"/>
      <c r="NPH1" s="28"/>
      <c r="NPI1" s="28"/>
      <c r="NPJ1" s="28"/>
      <c r="NPK1" s="28"/>
      <c r="NPL1" s="28"/>
      <c r="NPM1" s="28"/>
      <c r="NPN1" s="28"/>
      <c r="NPO1" s="28"/>
      <c r="NPP1" s="28"/>
      <c r="NPQ1" s="28"/>
      <c r="NPR1" s="28"/>
      <c r="NPS1" s="28"/>
      <c r="NPT1" s="28"/>
      <c r="NPU1" s="28"/>
      <c r="NPV1" s="28"/>
      <c r="NPW1" s="28"/>
      <c r="NPX1" s="28"/>
      <c r="NPY1" s="28"/>
      <c r="NPZ1" s="28"/>
      <c r="NQA1" s="28"/>
      <c r="NQB1" s="28"/>
      <c r="NQC1" s="28"/>
      <c r="NQD1" s="28"/>
      <c r="NQE1" s="28"/>
      <c r="NQF1" s="28"/>
      <c r="NQG1" s="28"/>
      <c r="NQH1" s="28"/>
      <c r="NQI1" s="28"/>
      <c r="NQJ1" s="28"/>
      <c r="NQK1" s="28"/>
      <c r="NQL1" s="28"/>
      <c r="NQM1" s="28"/>
      <c r="NQN1" s="28"/>
      <c r="NQO1" s="28"/>
      <c r="NQP1" s="28"/>
      <c r="NQQ1" s="28"/>
      <c r="NQR1" s="28"/>
      <c r="NQS1" s="28"/>
      <c r="NQT1" s="28"/>
      <c r="NQU1" s="28"/>
      <c r="NQV1" s="28"/>
      <c r="NQW1" s="28"/>
      <c r="NQX1" s="28"/>
      <c r="NQY1" s="28"/>
      <c r="NQZ1" s="28"/>
      <c r="NRA1" s="28"/>
      <c r="NRB1" s="28"/>
      <c r="NRC1" s="28"/>
      <c r="NRD1" s="28"/>
      <c r="NRE1" s="28"/>
      <c r="NRF1" s="28"/>
      <c r="NRG1" s="28"/>
      <c r="NRH1" s="28"/>
      <c r="NRI1" s="28"/>
      <c r="NRJ1" s="28"/>
      <c r="NRK1" s="28"/>
      <c r="NRL1" s="28"/>
      <c r="NRM1" s="28"/>
      <c r="NRN1" s="28"/>
      <c r="NRO1" s="28"/>
      <c r="NRP1" s="28"/>
      <c r="NRQ1" s="28"/>
      <c r="NRR1" s="28"/>
      <c r="NRS1" s="28"/>
      <c r="NRT1" s="28"/>
      <c r="NRU1" s="28"/>
      <c r="NRV1" s="28"/>
      <c r="NRW1" s="28"/>
      <c r="NRX1" s="28"/>
      <c r="NRY1" s="28"/>
      <c r="NRZ1" s="28"/>
      <c r="NSA1" s="28"/>
      <c r="NSB1" s="28"/>
      <c r="NSC1" s="28"/>
      <c r="NSD1" s="28"/>
      <c r="NSE1" s="28"/>
      <c r="NSF1" s="28"/>
      <c r="NSG1" s="28"/>
      <c r="NSH1" s="28"/>
      <c r="NSI1" s="28"/>
      <c r="NSJ1" s="28"/>
      <c r="NSK1" s="28"/>
      <c r="NSL1" s="28"/>
      <c r="NSM1" s="28"/>
      <c r="NSN1" s="28"/>
      <c r="NSO1" s="28"/>
      <c r="NSP1" s="28"/>
      <c r="NSQ1" s="28"/>
      <c r="NSR1" s="28"/>
      <c r="NSS1" s="28"/>
      <c r="NST1" s="28"/>
      <c r="NSU1" s="28"/>
      <c r="NSV1" s="28"/>
      <c r="NSW1" s="28"/>
      <c r="NSX1" s="28"/>
      <c r="NSY1" s="28"/>
      <c r="NSZ1" s="28"/>
      <c r="NTA1" s="28"/>
      <c r="NTB1" s="28"/>
      <c r="NTC1" s="28"/>
      <c r="NTD1" s="28"/>
      <c r="NTE1" s="28"/>
      <c r="NTF1" s="28"/>
      <c r="NTG1" s="28"/>
      <c r="NTH1" s="28"/>
      <c r="NTI1" s="28"/>
      <c r="NTJ1" s="28"/>
      <c r="NTK1" s="28"/>
      <c r="NTL1" s="28"/>
      <c r="NTM1" s="28"/>
      <c r="NTN1" s="28"/>
      <c r="NTO1" s="28"/>
      <c r="NTP1" s="28"/>
      <c r="NTQ1" s="28"/>
      <c r="NTR1" s="28"/>
      <c r="NTS1" s="28"/>
      <c r="NTT1" s="28"/>
      <c r="NTU1" s="28"/>
      <c r="NTV1" s="28"/>
      <c r="NTW1" s="28"/>
      <c r="NTX1" s="28"/>
      <c r="NTY1" s="28"/>
      <c r="NTZ1" s="28"/>
      <c r="NUA1" s="28"/>
      <c r="NUB1" s="28"/>
      <c r="NUC1" s="28"/>
      <c r="NUD1" s="28"/>
      <c r="NUE1" s="28"/>
      <c r="NUF1" s="28"/>
      <c r="NUG1" s="28"/>
      <c r="NUH1" s="28"/>
      <c r="NUI1" s="28"/>
      <c r="NUJ1" s="28"/>
      <c r="NUK1" s="28"/>
      <c r="NUL1" s="28"/>
      <c r="NUM1" s="28"/>
      <c r="NUN1" s="28"/>
      <c r="NUO1" s="28"/>
      <c r="NUP1" s="28"/>
      <c r="NUQ1" s="28"/>
      <c r="NUR1" s="28"/>
      <c r="NUS1" s="28"/>
      <c r="NUT1" s="28"/>
      <c r="NUU1" s="28"/>
      <c r="NUV1" s="28"/>
      <c r="NUW1" s="28"/>
      <c r="NUX1" s="28"/>
      <c r="NUY1" s="28"/>
      <c r="NUZ1" s="28"/>
      <c r="NVA1" s="28"/>
      <c r="NVB1" s="28"/>
      <c r="NVC1" s="28"/>
      <c r="NVD1" s="28"/>
      <c r="NVE1" s="28"/>
      <c r="NVF1" s="28"/>
      <c r="NVG1" s="28"/>
      <c r="NVH1" s="28"/>
      <c r="NVI1" s="28"/>
      <c r="NVJ1" s="28"/>
      <c r="NVK1" s="28"/>
      <c r="NVL1" s="28"/>
      <c r="NVM1" s="28"/>
      <c r="NVN1" s="28"/>
      <c r="NVO1" s="28"/>
      <c r="NVP1" s="28"/>
      <c r="NVQ1" s="28"/>
      <c r="NVR1" s="28"/>
      <c r="NVS1" s="28"/>
      <c r="NVT1" s="28"/>
      <c r="NVU1" s="28"/>
      <c r="NVV1" s="28"/>
      <c r="NVW1" s="28"/>
      <c r="NVX1" s="28"/>
      <c r="NVY1" s="28"/>
      <c r="NVZ1" s="28"/>
      <c r="NWA1" s="28"/>
      <c r="NWB1" s="28"/>
      <c r="NWC1" s="28"/>
      <c r="NWD1" s="28"/>
      <c r="NWE1" s="28"/>
      <c r="NWF1" s="28"/>
      <c r="NWG1" s="28"/>
      <c r="NWH1" s="28"/>
      <c r="NWI1" s="28"/>
      <c r="NWJ1" s="28"/>
      <c r="NWK1" s="28"/>
      <c r="NWL1" s="28"/>
      <c r="NWM1" s="28"/>
      <c r="NWN1" s="28"/>
      <c r="NWO1" s="28"/>
      <c r="NWP1" s="28"/>
      <c r="NWQ1" s="28"/>
      <c r="NWR1" s="28"/>
      <c r="NWS1" s="28"/>
      <c r="NWT1" s="28"/>
      <c r="NWU1" s="28"/>
      <c r="NWV1" s="28"/>
      <c r="NWW1" s="28"/>
      <c r="NWX1" s="28"/>
      <c r="NWY1" s="28"/>
      <c r="NWZ1" s="28"/>
      <c r="NXA1" s="28"/>
      <c r="NXB1" s="28"/>
      <c r="NXC1" s="28"/>
      <c r="NXD1" s="28"/>
      <c r="NXE1" s="28"/>
      <c r="NXF1" s="28"/>
      <c r="NXG1" s="28"/>
      <c r="NXH1" s="28"/>
      <c r="NXI1" s="28"/>
      <c r="NXJ1" s="28"/>
      <c r="NXK1" s="28"/>
      <c r="NXL1" s="28"/>
      <c r="NXM1" s="28"/>
      <c r="NXN1" s="28"/>
      <c r="NXO1" s="28"/>
      <c r="NXP1" s="28"/>
      <c r="NXQ1" s="28"/>
      <c r="NXR1" s="28"/>
      <c r="NXS1" s="28"/>
      <c r="NXT1" s="28"/>
      <c r="NXU1" s="28"/>
      <c r="NXV1" s="28"/>
      <c r="NXW1" s="28"/>
      <c r="NXX1" s="28"/>
      <c r="NXY1" s="28"/>
      <c r="NXZ1" s="28"/>
      <c r="NYA1" s="28"/>
      <c r="NYB1" s="28"/>
      <c r="NYC1" s="28"/>
      <c r="NYD1" s="28"/>
      <c r="NYE1" s="28"/>
      <c r="NYF1" s="28"/>
      <c r="NYG1" s="28"/>
      <c r="NYH1" s="28"/>
      <c r="NYI1" s="28"/>
      <c r="NYJ1" s="28"/>
      <c r="NYK1" s="28"/>
      <c r="NYL1" s="28"/>
      <c r="NYM1" s="28"/>
      <c r="NYN1" s="28"/>
      <c r="NYO1" s="28"/>
      <c r="NYP1" s="28"/>
      <c r="NYQ1" s="28"/>
      <c r="NYR1" s="28"/>
      <c r="NYS1" s="28"/>
      <c r="NYT1" s="28"/>
      <c r="NYU1" s="28"/>
      <c r="NYV1" s="28"/>
      <c r="NYW1" s="28"/>
      <c r="NYX1" s="28"/>
      <c r="NYY1" s="28"/>
      <c r="NYZ1" s="28"/>
      <c r="NZA1" s="28"/>
      <c r="NZB1" s="28"/>
      <c r="NZC1" s="28"/>
      <c r="NZD1" s="28"/>
      <c r="NZE1" s="28"/>
      <c r="NZF1" s="28"/>
      <c r="NZG1" s="28"/>
      <c r="NZH1" s="28"/>
      <c r="NZI1" s="28"/>
      <c r="NZJ1" s="28"/>
      <c r="NZK1" s="28"/>
      <c r="NZL1" s="28"/>
      <c r="NZM1" s="28"/>
      <c r="NZN1" s="28"/>
      <c r="NZO1" s="28"/>
      <c r="NZP1" s="28"/>
      <c r="NZQ1" s="28"/>
      <c r="NZR1" s="28"/>
      <c r="NZS1" s="28"/>
      <c r="NZT1" s="28"/>
      <c r="NZU1" s="28"/>
      <c r="NZV1" s="28"/>
      <c r="NZW1" s="28"/>
      <c r="NZX1" s="28"/>
      <c r="NZY1" s="28"/>
      <c r="NZZ1" s="28"/>
      <c r="OAA1" s="28"/>
      <c r="OAB1" s="28"/>
      <c r="OAC1" s="28"/>
      <c r="OAD1" s="28"/>
      <c r="OAE1" s="28"/>
      <c r="OAF1" s="28"/>
      <c r="OAG1" s="28"/>
      <c r="OAH1" s="28"/>
      <c r="OAI1" s="28"/>
      <c r="OAJ1" s="28"/>
      <c r="OAK1" s="28"/>
      <c r="OAL1" s="28"/>
      <c r="OAM1" s="28"/>
      <c r="OAN1" s="28"/>
      <c r="OAO1" s="28"/>
      <c r="OAP1" s="28"/>
      <c r="OAQ1" s="28"/>
      <c r="OAR1" s="28"/>
      <c r="OAS1" s="28"/>
      <c r="OAT1" s="28"/>
      <c r="OAU1" s="28"/>
      <c r="OAV1" s="28"/>
      <c r="OAW1" s="28"/>
      <c r="OAX1" s="28"/>
      <c r="OAY1" s="28"/>
      <c r="OAZ1" s="28"/>
      <c r="OBA1" s="28"/>
      <c r="OBB1" s="28"/>
      <c r="OBC1" s="28"/>
      <c r="OBD1" s="28"/>
      <c r="OBE1" s="28"/>
      <c r="OBF1" s="28"/>
      <c r="OBG1" s="28"/>
      <c r="OBH1" s="28"/>
      <c r="OBI1" s="28"/>
      <c r="OBJ1" s="28"/>
      <c r="OBK1" s="28"/>
      <c r="OBL1" s="28"/>
      <c r="OBM1" s="28"/>
      <c r="OBN1" s="28"/>
      <c r="OBO1" s="28"/>
      <c r="OBP1" s="28"/>
      <c r="OBQ1" s="28"/>
      <c r="OBR1" s="28"/>
      <c r="OBS1" s="28"/>
      <c r="OBT1" s="28"/>
      <c r="OBU1" s="28"/>
      <c r="OBV1" s="28"/>
      <c r="OBW1" s="28"/>
      <c r="OBX1" s="28"/>
      <c r="OBY1" s="28"/>
      <c r="OBZ1" s="28"/>
      <c r="OCA1" s="28"/>
      <c r="OCB1" s="28"/>
      <c r="OCC1" s="28"/>
      <c r="OCD1" s="28"/>
      <c r="OCE1" s="28"/>
      <c r="OCF1" s="28"/>
      <c r="OCG1" s="28"/>
      <c r="OCH1" s="28"/>
      <c r="OCI1" s="28"/>
      <c r="OCJ1" s="28"/>
      <c r="OCK1" s="28"/>
      <c r="OCL1" s="28"/>
      <c r="OCM1" s="28"/>
      <c r="OCN1" s="28"/>
      <c r="OCO1" s="28"/>
      <c r="OCP1" s="28"/>
      <c r="OCQ1" s="28"/>
      <c r="OCR1" s="28"/>
      <c r="OCS1" s="28"/>
      <c r="OCT1" s="28"/>
      <c r="OCU1" s="28"/>
      <c r="OCV1" s="28"/>
      <c r="OCW1" s="28"/>
      <c r="OCX1" s="28"/>
      <c r="OCY1" s="28"/>
      <c r="OCZ1" s="28"/>
      <c r="ODA1" s="28"/>
      <c r="ODB1" s="28"/>
      <c r="ODC1" s="28"/>
      <c r="ODD1" s="28"/>
      <c r="ODE1" s="28"/>
      <c r="ODF1" s="28"/>
      <c r="ODG1" s="28"/>
      <c r="ODH1" s="28"/>
      <c r="ODI1" s="28"/>
      <c r="ODJ1" s="28"/>
      <c r="ODK1" s="28"/>
      <c r="ODL1" s="28"/>
      <c r="ODM1" s="28"/>
      <c r="ODN1" s="28"/>
      <c r="ODO1" s="28"/>
      <c r="ODP1" s="28"/>
      <c r="ODQ1" s="28"/>
      <c r="ODR1" s="28"/>
      <c r="ODS1" s="28"/>
      <c r="ODT1" s="28"/>
      <c r="ODU1" s="28"/>
      <c r="ODV1" s="28"/>
      <c r="ODW1" s="28"/>
      <c r="ODX1" s="28"/>
      <c r="ODY1" s="28"/>
      <c r="ODZ1" s="28"/>
      <c r="OEA1" s="28"/>
      <c r="OEB1" s="28"/>
      <c r="OEC1" s="28"/>
      <c r="OED1" s="28"/>
      <c r="OEE1" s="28"/>
      <c r="OEF1" s="28"/>
      <c r="OEG1" s="28"/>
      <c r="OEH1" s="28"/>
      <c r="OEI1" s="28"/>
      <c r="OEJ1" s="28"/>
      <c r="OEK1" s="28"/>
      <c r="OEL1" s="28"/>
      <c r="OEM1" s="28"/>
      <c r="OEN1" s="28"/>
      <c r="OEO1" s="28"/>
      <c r="OEP1" s="28"/>
      <c r="OEQ1" s="28"/>
      <c r="OER1" s="28"/>
      <c r="OES1" s="28"/>
      <c r="OET1" s="28"/>
      <c r="OEU1" s="28"/>
      <c r="OEV1" s="28"/>
      <c r="OEW1" s="28"/>
      <c r="OEX1" s="28"/>
      <c r="OEY1" s="28"/>
      <c r="OEZ1" s="28"/>
      <c r="OFA1" s="28"/>
      <c r="OFB1" s="28"/>
      <c r="OFC1" s="28"/>
      <c r="OFD1" s="28"/>
      <c r="OFE1" s="28"/>
      <c r="OFF1" s="28"/>
      <c r="OFG1" s="28"/>
      <c r="OFH1" s="28"/>
      <c r="OFI1" s="28"/>
      <c r="OFJ1" s="28"/>
      <c r="OFK1" s="28"/>
      <c r="OFL1" s="28"/>
      <c r="OFM1" s="28"/>
      <c r="OFN1" s="28"/>
      <c r="OFO1" s="28"/>
      <c r="OFP1" s="28"/>
      <c r="OFQ1" s="28"/>
      <c r="OFR1" s="28"/>
      <c r="OFS1" s="28"/>
      <c r="OFT1" s="28"/>
      <c r="OFU1" s="28"/>
      <c r="OFV1" s="28"/>
      <c r="OFW1" s="28"/>
      <c r="OFX1" s="28"/>
      <c r="OFY1" s="28"/>
      <c r="OFZ1" s="28"/>
      <c r="OGA1" s="28"/>
      <c r="OGB1" s="28"/>
      <c r="OGC1" s="28"/>
      <c r="OGD1" s="28"/>
      <c r="OGE1" s="28"/>
      <c r="OGF1" s="28"/>
      <c r="OGG1" s="28"/>
      <c r="OGH1" s="28"/>
      <c r="OGI1" s="28"/>
      <c r="OGJ1" s="28"/>
      <c r="OGK1" s="28"/>
      <c r="OGL1" s="28"/>
      <c r="OGM1" s="28"/>
      <c r="OGN1" s="28"/>
      <c r="OGO1" s="28"/>
      <c r="OGP1" s="28"/>
      <c r="OGQ1" s="28"/>
      <c r="OGR1" s="28"/>
      <c r="OGS1" s="28"/>
      <c r="OGT1" s="28"/>
      <c r="OGU1" s="28"/>
      <c r="OGV1" s="28"/>
      <c r="OGW1" s="28"/>
      <c r="OGX1" s="28"/>
      <c r="OGY1" s="28"/>
      <c r="OGZ1" s="28"/>
      <c r="OHA1" s="28"/>
      <c r="OHB1" s="28"/>
      <c r="OHC1" s="28"/>
      <c r="OHD1" s="28"/>
      <c r="OHE1" s="28"/>
      <c r="OHF1" s="28"/>
      <c r="OHG1" s="28"/>
      <c r="OHH1" s="28"/>
      <c r="OHI1" s="28"/>
      <c r="OHJ1" s="28"/>
      <c r="OHK1" s="28"/>
      <c r="OHL1" s="28"/>
      <c r="OHM1" s="28"/>
      <c r="OHN1" s="28"/>
      <c r="OHO1" s="28"/>
      <c r="OHP1" s="28"/>
      <c r="OHQ1" s="28"/>
      <c r="OHR1" s="28"/>
      <c r="OHS1" s="28"/>
      <c r="OHT1" s="28"/>
      <c r="OHU1" s="28"/>
      <c r="OHV1" s="28"/>
      <c r="OHW1" s="28"/>
      <c r="OHX1" s="28"/>
      <c r="OHY1" s="28"/>
      <c r="OHZ1" s="28"/>
      <c r="OIA1" s="28"/>
      <c r="OIB1" s="28"/>
      <c r="OIC1" s="28"/>
      <c r="OID1" s="28"/>
      <c r="OIE1" s="28"/>
      <c r="OIF1" s="28"/>
      <c r="OIG1" s="28"/>
      <c r="OIH1" s="28"/>
      <c r="OII1" s="28"/>
      <c r="OIJ1" s="28"/>
      <c r="OIK1" s="28"/>
      <c r="OIL1" s="28"/>
      <c r="OIM1" s="28"/>
      <c r="OIN1" s="28"/>
      <c r="OIO1" s="28"/>
      <c r="OIP1" s="28"/>
      <c r="OIQ1" s="28"/>
      <c r="OIR1" s="28"/>
      <c r="OIS1" s="28"/>
      <c r="OIT1" s="28"/>
      <c r="OIU1" s="28"/>
      <c r="OIV1" s="28"/>
      <c r="OIW1" s="28"/>
      <c r="OIX1" s="28"/>
      <c r="OIY1" s="28"/>
      <c r="OIZ1" s="28"/>
      <c r="OJA1" s="28"/>
      <c r="OJB1" s="28"/>
      <c r="OJC1" s="28"/>
      <c r="OJD1" s="28"/>
      <c r="OJE1" s="28"/>
      <c r="OJF1" s="28"/>
      <c r="OJG1" s="28"/>
      <c r="OJH1" s="28"/>
      <c r="OJI1" s="28"/>
      <c r="OJJ1" s="28"/>
      <c r="OJK1" s="28"/>
      <c r="OJL1" s="28"/>
      <c r="OJM1" s="28"/>
      <c r="OJN1" s="28"/>
      <c r="OJO1" s="28"/>
      <c r="OJP1" s="28"/>
      <c r="OJQ1" s="28"/>
      <c r="OJR1" s="28"/>
      <c r="OJS1" s="28"/>
      <c r="OJT1" s="28"/>
      <c r="OJU1" s="28"/>
      <c r="OJV1" s="28"/>
      <c r="OJW1" s="28"/>
      <c r="OJX1" s="28"/>
      <c r="OJY1" s="28"/>
      <c r="OJZ1" s="28"/>
      <c r="OKA1" s="28"/>
      <c r="OKB1" s="28"/>
      <c r="OKC1" s="28"/>
      <c r="OKD1" s="28"/>
      <c r="OKE1" s="28"/>
      <c r="OKF1" s="28"/>
      <c r="OKG1" s="28"/>
      <c r="OKH1" s="28"/>
      <c r="OKI1" s="28"/>
      <c r="OKJ1" s="28"/>
      <c r="OKK1" s="28"/>
      <c r="OKL1" s="28"/>
      <c r="OKM1" s="28"/>
      <c r="OKN1" s="28"/>
      <c r="OKO1" s="28"/>
      <c r="OKP1" s="28"/>
      <c r="OKQ1" s="28"/>
      <c r="OKR1" s="28"/>
      <c r="OKS1" s="28"/>
      <c r="OKT1" s="28"/>
      <c r="OKU1" s="28"/>
      <c r="OKV1" s="28"/>
      <c r="OKW1" s="28"/>
      <c r="OKX1" s="28"/>
      <c r="OKY1" s="28"/>
      <c r="OKZ1" s="28"/>
      <c r="OLA1" s="28"/>
      <c r="OLB1" s="28"/>
      <c r="OLC1" s="28"/>
      <c r="OLD1" s="28"/>
      <c r="OLE1" s="28"/>
      <c r="OLF1" s="28"/>
      <c r="OLG1" s="28"/>
      <c r="OLH1" s="28"/>
      <c r="OLI1" s="28"/>
      <c r="OLJ1" s="28"/>
      <c r="OLK1" s="28"/>
      <c r="OLL1" s="28"/>
      <c r="OLM1" s="28"/>
      <c r="OLN1" s="28"/>
      <c r="OLO1" s="28"/>
      <c r="OLP1" s="28"/>
      <c r="OLQ1" s="28"/>
      <c r="OLR1" s="28"/>
      <c r="OLS1" s="28"/>
      <c r="OLT1" s="28"/>
      <c r="OLU1" s="28"/>
      <c r="OLV1" s="28"/>
      <c r="OLW1" s="28"/>
      <c r="OLX1" s="28"/>
      <c r="OLY1" s="28"/>
      <c r="OLZ1" s="28"/>
      <c r="OMA1" s="28"/>
      <c r="OMB1" s="28"/>
      <c r="OMC1" s="28"/>
      <c r="OMD1" s="28"/>
      <c r="OME1" s="28"/>
      <c r="OMF1" s="28"/>
      <c r="OMG1" s="28"/>
      <c r="OMH1" s="28"/>
      <c r="OMI1" s="28"/>
      <c r="OMJ1" s="28"/>
      <c r="OMK1" s="28"/>
      <c r="OML1" s="28"/>
      <c r="OMM1" s="28"/>
      <c r="OMN1" s="28"/>
      <c r="OMO1" s="28"/>
      <c r="OMP1" s="28"/>
      <c r="OMQ1" s="28"/>
      <c r="OMR1" s="28"/>
      <c r="OMS1" s="28"/>
      <c r="OMT1" s="28"/>
      <c r="OMU1" s="28"/>
      <c r="OMV1" s="28"/>
      <c r="OMW1" s="28"/>
      <c r="OMX1" s="28"/>
      <c r="OMY1" s="28"/>
      <c r="OMZ1" s="28"/>
      <c r="ONA1" s="28"/>
      <c r="ONB1" s="28"/>
      <c r="ONC1" s="28"/>
      <c r="OND1" s="28"/>
      <c r="ONE1" s="28"/>
      <c r="ONF1" s="28"/>
      <c r="ONG1" s="28"/>
      <c r="ONH1" s="28"/>
      <c r="ONI1" s="28"/>
      <c r="ONJ1" s="28"/>
      <c r="ONK1" s="28"/>
      <c r="ONL1" s="28"/>
      <c r="ONM1" s="28"/>
      <c r="ONN1" s="28"/>
      <c r="ONO1" s="28"/>
      <c r="ONP1" s="28"/>
      <c r="ONQ1" s="28"/>
      <c r="ONR1" s="28"/>
      <c r="ONS1" s="28"/>
      <c r="ONT1" s="28"/>
      <c r="ONU1" s="28"/>
      <c r="ONV1" s="28"/>
      <c r="ONW1" s="28"/>
      <c r="ONX1" s="28"/>
      <c r="ONY1" s="28"/>
      <c r="ONZ1" s="28"/>
      <c r="OOA1" s="28"/>
      <c r="OOB1" s="28"/>
      <c r="OOC1" s="28"/>
      <c r="OOD1" s="28"/>
      <c r="OOE1" s="28"/>
      <c r="OOF1" s="28"/>
      <c r="OOG1" s="28"/>
      <c r="OOH1" s="28"/>
      <c r="OOI1" s="28"/>
      <c r="OOJ1" s="28"/>
      <c r="OOK1" s="28"/>
      <c r="OOL1" s="28"/>
      <c r="OOM1" s="28"/>
      <c r="OON1" s="28"/>
      <c r="OOO1" s="28"/>
      <c r="OOP1" s="28"/>
      <c r="OOQ1" s="28"/>
      <c r="OOR1" s="28"/>
      <c r="OOS1" s="28"/>
      <c r="OOT1" s="28"/>
      <c r="OOU1" s="28"/>
      <c r="OOV1" s="28"/>
      <c r="OOW1" s="28"/>
      <c r="OOX1" s="28"/>
      <c r="OOY1" s="28"/>
      <c r="OOZ1" s="28"/>
      <c r="OPA1" s="28"/>
      <c r="OPB1" s="28"/>
      <c r="OPC1" s="28"/>
      <c r="OPD1" s="28"/>
      <c r="OPE1" s="28"/>
      <c r="OPF1" s="28"/>
      <c r="OPG1" s="28"/>
      <c r="OPH1" s="28"/>
      <c r="OPI1" s="28"/>
      <c r="OPJ1" s="28"/>
      <c r="OPK1" s="28"/>
      <c r="OPL1" s="28"/>
      <c r="OPM1" s="28"/>
      <c r="OPN1" s="28"/>
      <c r="OPO1" s="28"/>
      <c r="OPP1" s="28"/>
      <c r="OPQ1" s="28"/>
      <c r="OPR1" s="28"/>
      <c r="OPS1" s="28"/>
      <c r="OPT1" s="28"/>
      <c r="OPU1" s="28"/>
      <c r="OPV1" s="28"/>
      <c r="OPW1" s="28"/>
      <c r="OPX1" s="28"/>
      <c r="OPY1" s="28"/>
      <c r="OPZ1" s="28"/>
      <c r="OQA1" s="28"/>
      <c r="OQB1" s="28"/>
      <c r="OQC1" s="28"/>
      <c r="OQD1" s="28"/>
      <c r="OQE1" s="28"/>
      <c r="OQF1" s="28"/>
      <c r="OQG1" s="28"/>
      <c r="OQH1" s="28"/>
      <c r="OQI1" s="28"/>
      <c r="OQJ1" s="28"/>
      <c r="OQK1" s="28"/>
      <c r="OQL1" s="28"/>
      <c r="OQM1" s="28"/>
      <c r="OQN1" s="28"/>
      <c r="OQO1" s="28"/>
      <c r="OQP1" s="28"/>
      <c r="OQQ1" s="28"/>
      <c r="OQR1" s="28"/>
      <c r="OQS1" s="28"/>
      <c r="OQT1" s="28"/>
      <c r="OQU1" s="28"/>
      <c r="OQV1" s="28"/>
      <c r="OQW1" s="28"/>
      <c r="OQX1" s="28"/>
      <c r="OQY1" s="28"/>
      <c r="OQZ1" s="28"/>
      <c r="ORA1" s="28"/>
      <c r="ORB1" s="28"/>
      <c r="ORC1" s="28"/>
      <c r="ORD1" s="28"/>
      <c r="ORE1" s="28"/>
      <c r="ORF1" s="28"/>
      <c r="ORG1" s="28"/>
      <c r="ORH1" s="28"/>
      <c r="ORI1" s="28"/>
      <c r="ORJ1" s="28"/>
      <c r="ORK1" s="28"/>
      <c r="ORL1" s="28"/>
      <c r="ORM1" s="28"/>
      <c r="ORN1" s="28"/>
      <c r="ORO1" s="28"/>
      <c r="ORP1" s="28"/>
      <c r="ORQ1" s="28"/>
      <c r="ORR1" s="28"/>
      <c r="ORS1" s="28"/>
      <c r="ORT1" s="28"/>
      <c r="ORU1" s="28"/>
      <c r="ORV1" s="28"/>
      <c r="ORW1" s="28"/>
      <c r="ORX1" s="28"/>
      <c r="ORY1" s="28"/>
      <c r="ORZ1" s="28"/>
      <c r="OSA1" s="28"/>
      <c r="OSB1" s="28"/>
      <c r="OSC1" s="28"/>
      <c r="OSD1" s="28"/>
      <c r="OSE1" s="28"/>
      <c r="OSF1" s="28"/>
      <c r="OSG1" s="28"/>
      <c r="OSH1" s="28"/>
      <c r="OSI1" s="28"/>
      <c r="OSJ1" s="28"/>
      <c r="OSK1" s="28"/>
      <c r="OSL1" s="28"/>
      <c r="OSM1" s="28"/>
      <c r="OSN1" s="28"/>
      <c r="OSO1" s="28"/>
      <c r="OSP1" s="28"/>
      <c r="OSQ1" s="28"/>
      <c r="OSR1" s="28"/>
      <c r="OSS1" s="28"/>
      <c r="OST1" s="28"/>
      <c r="OSU1" s="28"/>
      <c r="OSV1" s="28"/>
      <c r="OSW1" s="28"/>
      <c r="OSX1" s="28"/>
      <c r="OSY1" s="28"/>
      <c r="OSZ1" s="28"/>
      <c r="OTA1" s="28"/>
      <c r="OTB1" s="28"/>
      <c r="OTC1" s="28"/>
      <c r="OTD1" s="28"/>
      <c r="OTE1" s="28"/>
      <c r="OTF1" s="28"/>
      <c r="OTG1" s="28"/>
      <c r="OTH1" s="28"/>
      <c r="OTI1" s="28"/>
      <c r="OTJ1" s="28"/>
      <c r="OTK1" s="28"/>
      <c r="OTL1" s="28"/>
      <c r="OTM1" s="28"/>
      <c r="OTN1" s="28"/>
      <c r="OTO1" s="28"/>
      <c r="OTP1" s="28"/>
      <c r="OTQ1" s="28"/>
      <c r="OTR1" s="28"/>
      <c r="OTS1" s="28"/>
      <c r="OTT1" s="28"/>
      <c r="OTU1" s="28"/>
      <c r="OTV1" s="28"/>
      <c r="OTW1" s="28"/>
      <c r="OTX1" s="28"/>
      <c r="OTY1" s="28"/>
      <c r="OTZ1" s="28"/>
      <c r="OUA1" s="28"/>
      <c r="OUB1" s="28"/>
      <c r="OUC1" s="28"/>
      <c r="OUD1" s="28"/>
      <c r="OUE1" s="28"/>
      <c r="OUF1" s="28"/>
      <c r="OUG1" s="28"/>
      <c r="OUH1" s="28"/>
      <c r="OUI1" s="28"/>
      <c r="OUJ1" s="28"/>
      <c r="OUK1" s="28"/>
      <c r="OUL1" s="28"/>
      <c r="OUM1" s="28"/>
      <c r="OUN1" s="28"/>
      <c r="OUO1" s="28"/>
      <c r="OUP1" s="28"/>
      <c r="OUQ1" s="28"/>
      <c r="OUR1" s="28"/>
      <c r="OUS1" s="28"/>
      <c r="OUT1" s="28"/>
      <c r="OUU1" s="28"/>
      <c r="OUV1" s="28"/>
      <c r="OUW1" s="28"/>
      <c r="OUX1" s="28"/>
      <c r="OUY1" s="28"/>
      <c r="OUZ1" s="28"/>
      <c r="OVA1" s="28"/>
      <c r="OVB1" s="28"/>
      <c r="OVC1" s="28"/>
      <c r="OVD1" s="28"/>
      <c r="OVE1" s="28"/>
      <c r="OVF1" s="28"/>
      <c r="OVG1" s="28"/>
      <c r="OVH1" s="28"/>
      <c r="OVI1" s="28"/>
      <c r="OVJ1" s="28"/>
      <c r="OVK1" s="28"/>
      <c r="OVL1" s="28"/>
      <c r="OVM1" s="28"/>
      <c r="OVN1" s="28"/>
      <c r="OVO1" s="28"/>
      <c r="OVP1" s="28"/>
      <c r="OVQ1" s="28"/>
      <c r="OVR1" s="28"/>
      <c r="OVS1" s="28"/>
      <c r="OVT1" s="28"/>
      <c r="OVU1" s="28"/>
      <c r="OVV1" s="28"/>
      <c r="OVW1" s="28"/>
      <c r="OVX1" s="28"/>
      <c r="OVY1" s="28"/>
      <c r="OVZ1" s="28"/>
      <c r="OWA1" s="28"/>
      <c r="OWB1" s="28"/>
      <c r="OWC1" s="28"/>
      <c r="OWD1" s="28"/>
      <c r="OWE1" s="28"/>
      <c r="OWF1" s="28"/>
      <c r="OWG1" s="28"/>
      <c r="OWH1" s="28"/>
      <c r="OWI1" s="28"/>
      <c r="OWJ1" s="28"/>
      <c r="OWK1" s="28"/>
      <c r="OWL1" s="28"/>
      <c r="OWM1" s="28"/>
      <c r="OWN1" s="28"/>
      <c r="OWO1" s="28"/>
      <c r="OWP1" s="28"/>
      <c r="OWQ1" s="28"/>
      <c r="OWR1" s="28"/>
      <c r="OWS1" s="28"/>
      <c r="OWT1" s="28"/>
      <c r="OWU1" s="28"/>
      <c r="OWV1" s="28"/>
      <c r="OWW1" s="28"/>
      <c r="OWX1" s="28"/>
      <c r="OWY1" s="28"/>
      <c r="OWZ1" s="28"/>
      <c r="OXA1" s="28"/>
      <c r="OXB1" s="28"/>
      <c r="OXC1" s="28"/>
      <c r="OXD1" s="28"/>
      <c r="OXE1" s="28"/>
      <c r="OXF1" s="28"/>
      <c r="OXG1" s="28"/>
      <c r="OXH1" s="28"/>
      <c r="OXI1" s="28"/>
      <c r="OXJ1" s="28"/>
      <c r="OXK1" s="28"/>
      <c r="OXL1" s="28"/>
      <c r="OXM1" s="28"/>
      <c r="OXN1" s="28"/>
      <c r="OXO1" s="28"/>
      <c r="OXP1" s="28"/>
      <c r="OXQ1" s="28"/>
      <c r="OXR1" s="28"/>
      <c r="OXS1" s="28"/>
      <c r="OXT1" s="28"/>
      <c r="OXU1" s="28"/>
      <c r="OXV1" s="28"/>
      <c r="OXW1" s="28"/>
      <c r="OXX1" s="28"/>
      <c r="OXY1" s="28"/>
      <c r="OXZ1" s="28"/>
      <c r="OYA1" s="28"/>
      <c r="OYB1" s="28"/>
      <c r="OYC1" s="28"/>
      <c r="OYD1" s="28"/>
      <c r="OYE1" s="28"/>
      <c r="OYF1" s="28"/>
      <c r="OYG1" s="28"/>
      <c r="OYH1" s="28"/>
      <c r="OYI1" s="28"/>
      <c r="OYJ1" s="28"/>
      <c r="OYK1" s="28"/>
      <c r="OYL1" s="28"/>
      <c r="OYM1" s="28"/>
      <c r="OYN1" s="28"/>
      <c r="OYO1" s="28"/>
      <c r="OYP1" s="28"/>
      <c r="OYQ1" s="28"/>
      <c r="OYR1" s="28"/>
      <c r="OYS1" s="28"/>
      <c r="OYT1" s="28"/>
      <c r="OYU1" s="28"/>
      <c r="OYV1" s="28"/>
      <c r="OYW1" s="28"/>
      <c r="OYX1" s="28"/>
      <c r="OYY1" s="28"/>
      <c r="OYZ1" s="28"/>
      <c r="OZA1" s="28"/>
      <c r="OZB1" s="28"/>
      <c r="OZC1" s="28"/>
      <c r="OZD1" s="28"/>
      <c r="OZE1" s="28"/>
      <c r="OZF1" s="28"/>
      <c r="OZG1" s="28"/>
      <c r="OZH1" s="28"/>
      <c r="OZI1" s="28"/>
      <c r="OZJ1" s="28"/>
      <c r="OZK1" s="28"/>
      <c r="OZL1" s="28"/>
      <c r="OZM1" s="28"/>
      <c r="OZN1" s="28"/>
      <c r="OZO1" s="28"/>
      <c r="OZP1" s="28"/>
      <c r="OZQ1" s="28"/>
      <c r="OZR1" s="28"/>
      <c r="OZS1" s="28"/>
      <c r="OZT1" s="28"/>
      <c r="OZU1" s="28"/>
      <c r="OZV1" s="28"/>
      <c r="OZW1" s="28"/>
      <c r="OZX1" s="28"/>
      <c r="OZY1" s="28"/>
      <c r="OZZ1" s="28"/>
      <c r="PAA1" s="28"/>
      <c r="PAB1" s="28"/>
      <c r="PAC1" s="28"/>
      <c r="PAD1" s="28"/>
      <c r="PAE1" s="28"/>
      <c r="PAF1" s="28"/>
      <c r="PAG1" s="28"/>
      <c r="PAH1" s="28"/>
      <c r="PAI1" s="28"/>
      <c r="PAJ1" s="28"/>
      <c r="PAK1" s="28"/>
      <c r="PAL1" s="28"/>
      <c r="PAM1" s="28"/>
      <c r="PAN1" s="28"/>
      <c r="PAO1" s="28"/>
      <c r="PAP1" s="28"/>
      <c r="PAQ1" s="28"/>
      <c r="PAR1" s="28"/>
      <c r="PAS1" s="28"/>
      <c r="PAT1" s="28"/>
      <c r="PAU1" s="28"/>
      <c r="PAV1" s="28"/>
      <c r="PAW1" s="28"/>
      <c r="PAX1" s="28"/>
      <c r="PAY1" s="28"/>
      <c r="PAZ1" s="28"/>
      <c r="PBA1" s="28"/>
      <c r="PBB1" s="28"/>
      <c r="PBC1" s="28"/>
      <c r="PBD1" s="28"/>
      <c r="PBE1" s="28"/>
      <c r="PBF1" s="28"/>
      <c r="PBG1" s="28"/>
      <c r="PBH1" s="28"/>
      <c r="PBI1" s="28"/>
      <c r="PBJ1" s="28"/>
      <c r="PBK1" s="28"/>
      <c r="PBL1" s="28"/>
      <c r="PBM1" s="28"/>
      <c r="PBN1" s="28"/>
      <c r="PBO1" s="28"/>
      <c r="PBP1" s="28"/>
      <c r="PBQ1" s="28"/>
      <c r="PBR1" s="28"/>
      <c r="PBS1" s="28"/>
      <c r="PBT1" s="28"/>
      <c r="PBU1" s="28"/>
      <c r="PBV1" s="28"/>
      <c r="PBW1" s="28"/>
      <c r="PBX1" s="28"/>
      <c r="PBY1" s="28"/>
      <c r="PBZ1" s="28"/>
      <c r="PCA1" s="28"/>
      <c r="PCB1" s="28"/>
      <c r="PCC1" s="28"/>
      <c r="PCD1" s="28"/>
      <c r="PCE1" s="28"/>
      <c r="PCF1" s="28"/>
      <c r="PCG1" s="28"/>
      <c r="PCH1" s="28"/>
      <c r="PCI1" s="28"/>
      <c r="PCJ1" s="28"/>
      <c r="PCK1" s="28"/>
      <c r="PCL1" s="28"/>
      <c r="PCM1" s="28"/>
      <c r="PCN1" s="28"/>
      <c r="PCO1" s="28"/>
      <c r="PCP1" s="28"/>
      <c r="PCQ1" s="28"/>
      <c r="PCR1" s="28"/>
      <c r="PCS1" s="28"/>
      <c r="PCT1" s="28"/>
      <c r="PCU1" s="28"/>
      <c r="PCV1" s="28"/>
      <c r="PCW1" s="28"/>
      <c r="PCX1" s="28"/>
      <c r="PCY1" s="28"/>
      <c r="PCZ1" s="28"/>
      <c r="PDA1" s="28"/>
      <c r="PDB1" s="28"/>
      <c r="PDC1" s="28"/>
      <c r="PDD1" s="28"/>
      <c r="PDE1" s="28"/>
      <c r="PDF1" s="28"/>
      <c r="PDG1" s="28"/>
      <c r="PDH1" s="28"/>
      <c r="PDI1" s="28"/>
      <c r="PDJ1" s="28"/>
      <c r="PDK1" s="28"/>
      <c r="PDL1" s="28"/>
      <c r="PDM1" s="28"/>
      <c r="PDN1" s="28"/>
      <c r="PDO1" s="28"/>
      <c r="PDP1" s="28"/>
      <c r="PDQ1" s="28"/>
      <c r="PDR1" s="28"/>
      <c r="PDS1" s="28"/>
      <c r="PDT1" s="28"/>
      <c r="PDU1" s="28"/>
      <c r="PDV1" s="28"/>
      <c r="PDW1" s="28"/>
      <c r="PDX1" s="28"/>
      <c r="PDY1" s="28"/>
      <c r="PDZ1" s="28"/>
      <c r="PEA1" s="28"/>
      <c r="PEB1" s="28"/>
      <c r="PEC1" s="28"/>
      <c r="PED1" s="28"/>
      <c r="PEE1" s="28"/>
      <c r="PEF1" s="28"/>
      <c r="PEG1" s="28"/>
      <c r="PEH1" s="28"/>
      <c r="PEI1" s="28"/>
      <c r="PEJ1" s="28"/>
      <c r="PEK1" s="28"/>
      <c r="PEL1" s="28"/>
      <c r="PEM1" s="28"/>
      <c r="PEN1" s="28"/>
      <c r="PEO1" s="28"/>
      <c r="PEP1" s="28"/>
      <c r="PEQ1" s="28"/>
      <c r="PER1" s="28"/>
      <c r="PES1" s="28"/>
      <c r="PET1" s="28"/>
      <c r="PEU1" s="28"/>
      <c r="PEV1" s="28"/>
      <c r="PEW1" s="28"/>
      <c r="PEX1" s="28"/>
      <c r="PEY1" s="28"/>
      <c r="PEZ1" s="28"/>
      <c r="PFA1" s="28"/>
      <c r="PFB1" s="28"/>
      <c r="PFC1" s="28"/>
      <c r="PFD1" s="28"/>
      <c r="PFE1" s="28"/>
      <c r="PFF1" s="28"/>
      <c r="PFG1" s="28"/>
      <c r="PFH1" s="28"/>
      <c r="PFI1" s="28"/>
      <c r="PFJ1" s="28"/>
      <c r="PFK1" s="28"/>
      <c r="PFL1" s="28"/>
      <c r="PFM1" s="28"/>
      <c r="PFN1" s="28"/>
      <c r="PFO1" s="28"/>
      <c r="PFP1" s="28"/>
      <c r="PFQ1" s="28"/>
      <c r="PFR1" s="28"/>
      <c r="PFS1" s="28"/>
      <c r="PFT1" s="28"/>
      <c r="PFU1" s="28"/>
      <c r="PFV1" s="28"/>
      <c r="PFW1" s="28"/>
      <c r="PFX1" s="28"/>
      <c r="PFY1" s="28"/>
      <c r="PFZ1" s="28"/>
      <c r="PGA1" s="28"/>
      <c r="PGB1" s="28"/>
      <c r="PGC1" s="28"/>
      <c r="PGD1" s="28"/>
      <c r="PGE1" s="28"/>
      <c r="PGF1" s="28"/>
      <c r="PGG1" s="28"/>
      <c r="PGH1" s="28"/>
      <c r="PGI1" s="28"/>
      <c r="PGJ1" s="28"/>
      <c r="PGK1" s="28"/>
      <c r="PGL1" s="28"/>
      <c r="PGM1" s="28"/>
      <c r="PGN1" s="28"/>
      <c r="PGO1" s="28"/>
      <c r="PGP1" s="28"/>
      <c r="PGQ1" s="28"/>
      <c r="PGR1" s="28"/>
      <c r="PGS1" s="28"/>
      <c r="PGT1" s="28"/>
      <c r="PGU1" s="28"/>
      <c r="PGV1" s="28"/>
      <c r="PGW1" s="28"/>
      <c r="PGX1" s="28"/>
      <c r="PGY1" s="28"/>
      <c r="PGZ1" s="28"/>
      <c r="PHA1" s="28"/>
      <c r="PHB1" s="28"/>
      <c r="PHC1" s="28"/>
      <c r="PHD1" s="28"/>
      <c r="PHE1" s="28"/>
      <c r="PHF1" s="28"/>
      <c r="PHG1" s="28"/>
      <c r="PHH1" s="28"/>
      <c r="PHI1" s="28"/>
      <c r="PHJ1" s="28"/>
      <c r="PHK1" s="28"/>
      <c r="PHL1" s="28"/>
      <c r="PHM1" s="28"/>
      <c r="PHN1" s="28"/>
      <c r="PHO1" s="28"/>
      <c r="PHP1" s="28"/>
      <c r="PHQ1" s="28"/>
      <c r="PHR1" s="28"/>
      <c r="PHS1" s="28"/>
      <c r="PHT1" s="28"/>
      <c r="PHU1" s="28"/>
      <c r="PHV1" s="28"/>
      <c r="PHW1" s="28"/>
      <c r="PHX1" s="28"/>
      <c r="PHY1" s="28"/>
      <c r="PHZ1" s="28"/>
      <c r="PIA1" s="28"/>
      <c r="PIB1" s="28"/>
      <c r="PIC1" s="28"/>
      <c r="PID1" s="28"/>
      <c r="PIE1" s="28"/>
      <c r="PIF1" s="28"/>
      <c r="PIG1" s="28"/>
      <c r="PIH1" s="28"/>
      <c r="PII1" s="28"/>
      <c r="PIJ1" s="28"/>
      <c r="PIK1" s="28"/>
      <c r="PIL1" s="28"/>
      <c r="PIM1" s="28"/>
      <c r="PIN1" s="28"/>
      <c r="PIO1" s="28"/>
      <c r="PIP1" s="28"/>
      <c r="PIQ1" s="28"/>
      <c r="PIR1" s="28"/>
      <c r="PIS1" s="28"/>
      <c r="PIT1" s="28"/>
      <c r="PIU1" s="28"/>
      <c r="PIV1" s="28"/>
      <c r="PIW1" s="28"/>
      <c r="PIX1" s="28"/>
      <c r="PIY1" s="28"/>
      <c r="PIZ1" s="28"/>
      <c r="PJA1" s="28"/>
      <c r="PJB1" s="28"/>
      <c r="PJC1" s="28"/>
      <c r="PJD1" s="28"/>
      <c r="PJE1" s="28"/>
      <c r="PJF1" s="28"/>
      <c r="PJG1" s="28"/>
      <c r="PJH1" s="28"/>
      <c r="PJI1" s="28"/>
      <c r="PJJ1" s="28"/>
      <c r="PJK1" s="28"/>
      <c r="PJL1" s="28"/>
      <c r="PJM1" s="28"/>
      <c r="PJN1" s="28"/>
      <c r="PJO1" s="28"/>
      <c r="PJP1" s="28"/>
      <c r="PJQ1" s="28"/>
      <c r="PJR1" s="28"/>
      <c r="PJS1" s="28"/>
      <c r="PJT1" s="28"/>
      <c r="PJU1" s="28"/>
      <c r="PJV1" s="28"/>
      <c r="PJW1" s="28"/>
      <c r="PJX1" s="28"/>
      <c r="PJY1" s="28"/>
      <c r="PJZ1" s="28"/>
      <c r="PKA1" s="28"/>
      <c r="PKB1" s="28"/>
      <c r="PKC1" s="28"/>
      <c r="PKD1" s="28"/>
      <c r="PKE1" s="28"/>
      <c r="PKF1" s="28"/>
      <c r="PKG1" s="28"/>
      <c r="PKH1" s="28"/>
      <c r="PKI1" s="28"/>
      <c r="PKJ1" s="28"/>
      <c r="PKK1" s="28"/>
      <c r="PKL1" s="28"/>
      <c r="PKM1" s="28"/>
      <c r="PKN1" s="28"/>
      <c r="PKO1" s="28"/>
      <c r="PKP1" s="28"/>
      <c r="PKQ1" s="28"/>
      <c r="PKR1" s="28"/>
      <c r="PKS1" s="28"/>
      <c r="PKT1" s="28"/>
      <c r="PKU1" s="28"/>
      <c r="PKV1" s="28"/>
      <c r="PKW1" s="28"/>
      <c r="PKX1" s="28"/>
      <c r="PKY1" s="28"/>
      <c r="PKZ1" s="28"/>
      <c r="PLA1" s="28"/>
      <c r="PLB1" s="28"/>
      <c r="PLC1" s="28"/>
      <c r="PLD1" s="28"/>
      <c r="PLE1" s="28"/>
      <c r="PLF1" s="28"/>
      <c r="PLG1" s="28"/>
      <c r="PLH1" s="28"/>
      <c r="PLI1" s="28"/>
      <c r="PLJ1" s="28"/>
      <c r="PLK1" s="28"/>
      <c r="PLL1" s="28"/>
      <c r="PLM1" s="28"/>
      <c r="PLN1" s="28"/>
      <c r="PLO1" s="28"/>
      <c r="PLP1" s="28"/>
      <c r="PLQ1" s="28"/>
      <c r="PLR1" s="28"/>
      <c r="PLS1" s="28"/>
      <c r="PLT1" s="28"/>
      <c r="PLU1" s="28"/>
      <c r="PLV1" s="28"/>
      <c r="PLW1" s="28"/>
      <c r="PLX1" s="28"/>
      <c r="PLY1" s="28"/>
      <c r="PLZ1" s="28"/>
      <c r="PMA1" s="28"/>
      <c r="PMB1" s="28"/>
      <c r="PMC1" s="28"/>
      <c r="PMD1" s="28"/>
      <c r="PME1" s="28"/>
      <c r="PMF1" s="28"/>
      <c r="PMG1" s="28"/>
      <c r="PMH1" s="28"/>
      <c r="PMI1" s="28"/>
      <c r="PMJ1" s="28"/>
      <c r="PMK1" s="28"/>
      <c r="PML1" s="28"/>
      <c r="PMM1" s="28"/>
      <c r="PMN1" s="28"/>
      <c r="PMO1" s="28"/>
      <c r="PMP1" s="28"/>
      <c r="PMQ1" s="28"/>
      <c r="PMR1" s="28"/>
      <c r="PMS1" s="28"/>
      <c r="PMT1" s="28"/>
      <c r="PMU1" s="28"/>
      <c r="PMV1" s="28"/>
      <c r="PMW1" s="28"/>
      <c r="PMX1" s="28"/>
      <c r="PMY1" s="28"/>
      <c r="PMZ1" s="28"/>
      <c r="PNA1" s="28"/>
      <c r="PNB1" s="28"/>
      <c r="PNC1" s="28"/>
      <c r="PND1" s="28"/>
      <c r="PNE1" s="28"/>
      <c r="PNF1" s="28"/>
      <c r="PNG1" s="28"/>
      <c r="PNH1" s="28"/>
      <c r="PNI1" s="28"/>
      <c r="PNJ1" s="28"/>
      <c r="PNK1" s="28"/>
      <c r="PNL1" s="28"/>
      <c r="PNM1" s="28"/>
      <c r="PNN1" s="28"/>
      <c r="PNO1" s="28"/>
      <c r="PNP1" s="28"/>
      <c r="PNQ1" s="28"/>
      <c r="PNR1" s="28"/>
      <c r="PNS1" s="28"/>
      <c r="PNT1" s="28"/>
      <c r="PNU1" s="28"/>
      <c r="PNV1" s="28"/>
      <c r="PNW1" s="28"/>
      <c r="PNX1" s="28"/>
      <c r="PNY1" s="28"/>
      <c r="PNZ1" s="28"/>
      <c r="POA1" s="28"/>
      <c r="POB1" s="28"/>
      <c r="POC1" s="28"/>
      <c r="POD1" s="28"/>
      <c r="POE1" s="28"/>
      <c r="POF1" s="28"/>
      <c r="POG1" s="28"/>
      <c r="POH1" s="28"/>
      <c r="POI1" s="28"/>
      <c r="POJ1" s="28"/>
      <c r="POK1" s="28"/>
      <c r="POL1" s="28"/>
      <c r="POM1" s="28"/>
      <c r="PON1" s="28"/>
      <c r="POO1" s="28"/>
      <c r="POP1" s="28"/>
      <c r="POQ1" s="28"/>
      <c r="POR1" s="28"/>
      <c r="POS1" s="28"/>
      <c r="POT1" s="28"/>
      <c r="POU1" s="28"/>
      <c r="POV1" s="28"/>
      <c r="POW1" s="28"/>
      <c r="POX1" s="28"/>
      <c r="POY1" s="28"/>
      <c r="POZ1" s="28"/>
      <c r="PPA1" s="28"/>
      <c r="PPB1" s="28"/>
      <c r="PPC1" s="28"/>
      <c r="PPD1" s="28"/>
      <c r="PPE1" s="28"/>
      <c r="PPF1" s="28"/>
      <c r="PPG1" s="28"/>
      <c r="PPH1" s="28"/>
      <c r="PPI1" s="28"/>
      <c r="PPJ1" s="28"/>
      <c r="PPK1" s="28"/>
      <c r="PPL1" s="28"/>
      <c r="PPM1" s="28"/>
      <c r="PPN1" s="28"/>
      <c r="PPO1" s="28"/>
      <c r="PPP1" s="28"/>
      <c r="PPQ1" s="28"/>
      <c r="PPR1" s="28"/>
      <c r="PPS1" s="28"/>
      <c r="PPT1" s="28"/>
      <c r="PPU1" s="28"/>
      <c r="PPV1" s="28"/>
      <c r="PPW1" s="28"/>
      <c r="PPX1" s="28"/>
      <c r="PPY1" s="28"/>
      <c r="PPZ1" s="28"/>
      <c r="PQA1" s="28"/>
      <c r="PQB1" s="28"/>
      <c r="PQC1" s="28"/>
      <c r="PQD1" s="28"/>
      <c r="PQE1" s="28"/>
      <c r="PQF1" s="28"/>
      <c r="PQG1" s="28"/>
      <c r="PQH1" s="28"/>
      <c r="PQI1" s="28"/>
      <c r="PQJ1" s="28"/>
      <c r="PQK1" s="28"/>
      <c r="PQL1" s="28"/>
      <c r="PQM1" s="28"/>
      <c r="PQN1" s="28"/>
      <c r="PQO1" s="28"/>
      <c r="PQP1" s="28"/>
      <c r="PQQ1" s="28"/>
      <c r="PQR1" s="28"/>
      <c r="PQS1" s="28"/>
      <c r="PQT1" s="28"/>
      <c r="PQU1" s="28"/>
      <c r="PQV1" s="28"/>
      <c r="PQW1" s="28"/>
      <c r="PQX1" s="28"/>
      <c r="PQY1" s="28"/>
      <c r="PQZ1" s="28"/>
      <c r="PRA1" s="28"/>
      <c r="PRB1" s="28"/>
      <c r="PRC1" s="28"/>
      <c r="PRD1" s="28"/>
      <c r="PRE1" s="28"/>
      <c r="PRF1" s="28"/>
      <c r="PRG1" s="28"/>
      <c r="PRH1" s="28"/>
      <c r="PRI1" s="28"/>
      <c r="PRJ1" s="28"/>
      <c r="PRK1" s="28"/>
      <c r="PRL1" s="28"/>
      <c r="PRM1" s="28"/>
      <c r="PRN1" s="28"/>
      <c r="PRO1" s="28"/>
      <c r="PRP1" s="28"/>
      <c r="PRQ1" s="28"/>
      <c r="PRR1" s="28"/>
      <c r="PRS1" s="28"/>
      <c r="PRT1" s="28"/>
      <c r="PRU1" s="28"/>
      <c r="PRV1" s="28"/>
      <c r="PRW1" s="28"/>
      <c r="PRX1" s="28"/>
      <c r="PRY1" s="28"/>
      <c r="PRZ1" s="28"/>
      <c r="PSA1" s="28"/>
      <c r="PSB1" s="28"/>
      <c r="PSC1" s="28"/>
      <c r="PSD1" s="28"/>
      <c r="PSE1" s="28"/>
      <c r="PSF1" s="28"/>
      <c r="PSG1" s="28"/>
      <c r="PSH1" s="28"/>
      <c r="PSI1" s="28"/>
      <c r="PSJ1" s="28"/>
      <c r="PSK1" s="28"/>
      <c r="PSL1" s="28"/>
      <c r="PSM1" s="28"/>
      <c r="PSN1" s="28"/>
      <c r="PSO1" s="28"/>
      <c r="PSP1" s="28"/>
      <c r="PSQ1" s="28"/>
      <c r="PSR1" s="28"/>
      <c r="PSS1" s="28"/>
      <c r="PST1" s="28"/>
      <c r="PSU1" s="28"/>
      <c r="PSV1" s="28"/>
      <c r="PSW1" s="28"/>
      <c r="PSX1" s="28"/>
      <c r="PSY1" s="28"/>
      <c r="PSZ1" s="28"/>
      <c r="PTA1" s="28"/>
      <c r="PTB1" s="28"/>
      <c r="PTC1" s="28"/>
      <c r="PTD1" s="28"/>
      <c r="PTE1" s="28"/>
      <c r="PTF1" s="28"/>
      <c r="PTG1" s="28"/>
      <c r="PTH1" s="28"/>
      <c r="PTI1" s="28"/>
      <c r="PTJ1" s="28"/>
      <c r="PTK1" s="28"/>
      <c r="PTL1" s="28"/>
      <c r="PTM1" s="28"/>
      <c r="PTN1" s="28"/>
      <c r="PTO1" s="28"/>
      <c r="PTP1" s="28"/>
      <c r="PTQ1" s="28"/>
      <c r="PTR1" s="28"/>
      <c r="PTS1" s="28"/>
      <c r="PTT1" s="28"/>
      <c r="PTU1" s="28"/>
      <c r="PTV1" s="28"/>
      <c r="PTW1" s="28"/>
      <c r="PTX1" s="28"/>
      <c r="PTY1" s="28"/>
      <c r="PTZ1" s="28"/>
      <c r="PUA1" s="28"/>
      <c r="PUB1" s="28"/>
      <c r="PUC1" s="28"/>
      <c r="PUD1" s="28"/>
      <c r="PUE1" s="28"/>
      <c r="PUF1" s="28"/>
      <c r="PUG1" s="28"/>
      <c r="PUH1" s="28"/>
      <c r="PUI1" s="28"/>
      <c r="PUJ1" s="28"/>
      <c r="PUK1" s="28"/>
      <c r="PUL1" s="28"/>
      <c r="PUM1" s="28"/>
      <c r="PUN1" s="28"/>
      <c r="PUO1" s="28"/>
      <c r="PUP1" s="28"/>
      <c r="PUQ1" s="28"/>
      <c r="PUR1" s="28"/>
      <c r="PUS1" s="28"/>
      <c r="PUT1" s="28"/>
      <c r="PUU1" s="28"/>
      <c r="PUV1" s="28"/>
      <c r="PUW1" s="28"/>
      <c r="PUX1" s="28"/>
      <c r="PUY1" s="28"/>
      <c r="PUZ1" s="28"/>
      <c r="PVA1" s="28"/>
      <c r="PVB1" s="28"/>
      <c r="PVC1" s="28"/>
      <c r="PVD1" s="28"/>
      <c r="PVE1" s="28"/>
      <c r="PVF1" s="28"/>
      <c r="PVG1" s="28"/>
      <c r="PVH1" s="28"/>
      <c r="PVI1" s="28"/>
      <c r="PVJ1" s="28"/>
      <c r="PVK1" s="28"/>
      <c r="PVL1" s="28"/>
      <c r="PVM1" s="28"/>
      <c r="PVN1" s="28"/>
      <c r="PVO1" s="28"/>
      <c r="PVP1" s="28"/>
      <c r="PVQ1" s="28"/>
      <c r="PVR1" s="28"/>
      <c r="PVS1" s="28"/>
      <c r="PVT1" s="28"/>
      <c r="PVU1" s="28"/>
      <c r="PVV1" s="28"/>
      <c r="PVW1" s="28"/>
      <c r="PVX1" s="28"/>
      <c r="PVY1" s="28"/>
      <c r="PVZ1" s="28"/>
      <c r="PWA1" s="28"/>
      <c r="PWB1" s="28"/>
      <c r="PWC1" s="28"/>
      <c r="PWD1" s="28"/>
      <c r="PWE1" s="28"/>
      <c r="PWF1" s="28"/>
      <c r="PWG1" s="28"/>
      <c r="PWH1" s="28"/>
      <c r="PWI1" s="28"/>
      <c r="PWJ1" s="28"/>
      <c r="PWK1" s="28"/>
      <c r="PWL1" s="28"/>
      <c r="PWM1" s="28"/>
      <c r="PWN1" s="28"/>
      <c r="PWO1" s="28"/>
      <c r="PWP1" s="28"/>
      <c r="PWQ1" s="28"/>
      <c r="PWR1" s="28"/>
      <c r="PWS1" s="28"/>
      <c r="PWT1" s="28"/>
      <c r="PWU1" s="28"/>
      <c r="PWV1" s="28"/>
      <c r="PWW1" s="28"/>
      <c r="PWX1" s="28"/>
      <c r="PWY1" s="28"/>
      <c r="PWZ1" s="28"/>
      <c r="PXA1" s="28"/>
      <c r="PXB1" s="28"/>
      <c r="PXC1" s="28"/>
      <c r="PXD1" s="28"/>
      <c r="PXE1" s="28"/>
      <c r="PXF1" s="28"/>
      <c r="PXG1" s="28"/>
      <c r="PXH1" s="28"/>
      <c r="PXI1" s="28"/>
      <c r="PXJ1" s="28"/>
      <c r="PXK1" s="28"/>
      <c r="PXL1" s="28"/>
      <c r="PXM1" s="28"/>
      <c r="PXN1" s="28"/>
      <c r="PXO1" s="28"/>
      <c r="PXP1" s="28"/>
      <c r="PXQ1" s="28"/>
      <c r="PXR1" s="28"/>
      <c r="PXS1" s="28"/>
      <c r="PXT1" s="28"/>
      <c r="PXU1" s="28"/>
      <c r="PXV1" s="28"/>
      <c r="PXW1" s="28"/>
      <c r="PXX1" s="28"/>
      <c r="PXY1" s="28"/>
      <c r="PXZ1" s="28"/>
      <c r="PYA1" s="28"/>
      <c r="PYB1" s="28"/>
      <c r="PYC1" s="28"/>
      <c r="PYD1" s="28"/>
      <c r="PYE1" s="28"/>
      <c r="PYF1" s="28"/>
      <c r="PYG1" s="28"/>
      <c r="PYH1" s="28"/>
      <c r="PYI1" s="28"/>
      <c r="PYJ1" s="28"/>
      <c r="PYK1" s="28"/>
      <c r="PYL1" s="28"/>
      <c r="PYM1" s="28"/>
      <c r="PYN1" s="28"/>
      <c r="PYO1" s="28"/>
      <c r="PYP1" s="28"/>
      <c r="PYQ1" s="28"/>
      <c r="PYR1" s="28"/>
      <c r="PYS1" s="28"/>
      <c r="PYT1" s="28"/>
      <c r="PYU1" s="28"/>
      <c r="PYV1" s="28"/>
      <c r="PYW1" s="28"/>
      <c r="PYX1" s="28"/>
      <c r="PYY1" s="28"/>
      <c r="PYZ1" s="28"/>
      <c r="PZA1" s="28"/>
      <c r="PZB1" s="28"/>
      <c r="PZC1" s="28"/>
      <c r="PZD1" s="28"/>
      <c r="PZE1" s="28"/>
      <c r="PZF1" s="28"/>
      <c r="PZG1" s="28"/>
      <c r="PZH1" s="28"/>
      <c r="PZI1" s="28"/>
      <c r="PZJ1" s="28"/>
      <c r="PZK1" s="28"/>
      <c r="PZL1" s="28"/>
      <c r="PZM1" s="28"/>
      <c r="PZN1" s="28"/>
      <c r="PZO1" s="28"/>
      <c r="PZP1" s="28"/>
      <c r="PZQ1" s="28"/>
      <c r="PZR1" s="28"/>
      <c r="PZS1" s="28"/>
      <c r="PZT1" s="28"/>
      <c r="PZU1" s="28"/>
      <c r="PZV1" s="28"/>
      <c r="PZW1" s="28"/>
      <c r="PZX1" s="28"/>
      <c r="PZY1" s="28"/>
      <c r="PZZ1" s="28"/>
      <c r="QAA1" s="28"/>
      <c r="QAB1" s="28"/>
      <c r="QAC1" s="28"/>
      <c r="QAD1" s="28"/>
      <c r="QAE1" s="28"/>
      <c r="QAF1" s="28"/>
      <c r="QAG1" s="28"/>
      <c r="QAH1" s="28"/>
      <c r="QAI1" s="28"/>
      <c r="QAJ1" s="28"/>
      <c r="QAK1" s="28"/>
      <c r="QAL1" s="28"/>
      <c r="QAM1" s="28"/>
      <c r="QAN1" s="28"/>
      <c r="QAO1" s="28"/>
      <c r="QAP1" s="28"/>
      <c r="QAQ1" s="28"/>
      <c r="QAR1" s="28"/>
      <c r="QAS1" s="28"/>
      <c r="QAT1" s="28"/>
      <c r="QAU1" s="28"/>
      <c r="QAV1" s="28"/>
      <c r="QAW1" s="28"/>
      <c r="QAX1" s="28"/>
      <c r="QAY1" s="28"/>
      <c r="QAZ1" s="28"/>
      <c r="QBA1" s="28"/>
      <c r="QBB1" s="28"/>
      <c r="QBC1" s="28"/>
      <c r="QBD1" s="28"/>
      <c r="QBE1" s="28"/>
      <c r="QBF1" s="28"/>
      <c r="QBG1" s="28"/>
      <c r="QBH1" s="28"/>
      <c r="QBI1" s="28"/>
      <c r="QBJ1" s="28"/>
      <c r="QBK1" s="28"/>
      <c r="QBL1" s="28"/>
      <c r="QBM1" s="28"/>
      <c r="QBN1" s="28"/>
      <c r="QBO1" s="28"/>
      <c r="QBP1" s="28"/>
      <c r="QBQ1" s="28"/>
      <c r="QBR1" s="28"/>
      <c r="QBS1" s="28"/>
      <c r="QBT1" s="28"/>
      <c r="QBU1" s="28"/>
      <c r="QBV1" s="28"/>
      <c r="QBW1" s="28"/>
      <c r="QBX1" s="28"/>
      <c r="QBY1" s="28"/>
      <c r="QBZ1" s="28"/>
      <c r="QCA1" s="28"/>
      <c r="QCB1" s="28"/>
      <c r="QCC1" s="28"/>
      <c r="QCD1" s="28"/>
      <c r="QCE1" s="28"/>
      <c r="QCF1" s="28"/>
      <c r="QCG1" s="28"/>
      <c r="QCH1" s="28"/>
      <c r="QCI1" s="28"/>
      <c r="QCJ1" s="28"/>
      <c r="QCK1" s="28"/>
      <c r="QCL1" s="28"/>
      <c r="QCM1" s="28"/>
      <c r="QCN1" s="28"/>
      <c r="QCO1" s="28"/>
      <c r="QCP1" s="28"/>
      <c r="QCQ1" s="28"/>
      <c r="QCR1" s="28"/>
      <c r="QCS1" s="28"/>
      <c r="QCT1" s="28"/>
      <c r="QCU1" s="28"/>
      <c r="QCV1" s="28"/>
      <c r="QCW1" s="28"/>
      <c r="QCX1" s="28"/>
      <c r="QCY1" s="28"/>
      <c r="QCZ1" s="28"/>
      <c r="QDA1" s="28"/>
      <c r="QDB1" s="28"/>
      <c r="QDC1" s="28"/>
      <c r="QDD1" s="28"/>
      <c r="QDE1" s="28"/>
      <c r="QDF1" s="28"/>
      <c r="QDG1" s="28"/>
      <c r="QDH1" s="28"/>
      <c r="QDI1" s="28"/>
      <c r="QDJ1" s="28"/>
      <c r="QDK1" s="28"/>
      <c r="QDL1" s="28"/>
      <c r="QDM1" s="28"/>
      <c r="QDN1" s="28"/>
      <c r="QDO1" s="28"/>
      <c r="QDP1" s="28"/>
      <c r="QDQ1" s="28"/>
      <c r="QDR1" s="28"/>
      <c r="QDS1" s="28"/>
      <c r="QDT1" s="28"/>
      <c r="QDU1" s="28"/>
      <c r="QDV1" s="28"/>
      <c r="QDW1" s="28"/>
      <c r="QDX1" s="28"/>
      <c r="QDY1" s="28"/>
      <c r="QDZ1" s="28"/>
      <c r="QEA1" s="28"/>
      <c r="QEB1" s="28"/>
      <c r="QEC1" s="28"/>
      <c r="QED1" s="28"/>
      <c r="QEE1" s="28"/>
      <c r="QEF1" s="28"/>
      <c r="QEG1" s="28"/>
      <c r="QEH1" s="28"/>
      <c r="QEI1" s="28"/>
      <c r="QEJ1" s="28"/>
      <c r="QEK1" s="28"/>
      <c r="QEL1" s="28"/>
      <c r="QEM1" s="28"/>
      <c r="QEN1" s="28"/>
      <c r="QEO1" s="28"/>
      <c r="QEP1" s="28"/>
      <c r="QEQ1" s="28"/>
      <c r="QER1" s="28"/>
      <c r="QES1" s="28"/>
      <c r="QET1" s="28"/>
      <c r="QEU1" s="28"/>
      <c r="QEV1" s="28"/>
      <c r="QEW1" s="28"/>
      <c r="QEX1" s="28"/>
      <c r="QEY1" s="28"/>
      <c r="QEZ1" s="28"/>
      <c r="QFA1" s="28"/>
      <c r="QFB1" s="28"/>
      <c r="QFC1" s="28"/>
      <c r="QFD1" s="28"/>
      <c r="QFE1" s="28"/>
      <c r="QFF1" s="28"/>
      <c r="QFG1" s="28"/>
      <c r="QFH1" s="28"/>
      <c r="QFI1" s="28"/>
      <c r="QFJ1" s="28"/>
      <c r="QFK1" s="28"/>
      <c r="QFL1" s="28"/>
      <c r="QFM1" s="28"/>
      <c r="QFN1" s="28"/>
      <c r="QFO1" s="28"/>
      <c r="QFP1" s="28"/>
      <c r="QFQ1" s="28"/>
      <c r="QFR1" s="28"/>
      <c r="QFS1" s="28"/>
      <c r="QFT1" s="28"/>
      <c r="QFU1" s="28"/>
      <c r="QFV1" s="28"/>
      <c r="QFW1" s="28"/>
      <c r="QFX1" s="28"/>
      <c r="QFY1" s="28"/>
      <c r="QFZ1" s="28"/>
      <c r="QGA1" s="28"/>
      <c r="QGB1" s="28"/>
      <c r="QGC1" s="28"/>
      <c r="QGD1" s="28"/>
      <c r="QGE1" s="28"/>
      <c r="QGF1" s="28"/>
      <c r="QGG1" s="28"/>
      <c r="QGH1" s="28"/>
      <c r="QGI1" s="28"/>
      <c r="QGJ1" s="28"/>
      <c r="QGK1" s="28"/>
      <c r="QGL1" s="28"/>
      <c r="QGM1" s="28"/>
      <c r="QGN1" s="28"/>
      <c r="QGO1" s="28"/>
      <c r="QGP1" s="28"/>
      <c r="QGQ1" s="28"/>
      <c r="QGR1" s="28"/>
      <c r="QGS1" s="28"/>
      <c r="QGT1" s="28"/>
      <c r="QGU1" s="28"/>
      <c r="QGV1" s="28"/>
      <c r="QGW1" s="28"/>
      <c r="QGX1" s="28"/>
      <c r="QGY1" s="28"/>
      <c r="QGZ1" s="28"/>
      <c r="QHA1" s="28"/>
      <c r="QHB1" s="28"/>
      <c r="QHC1" s="28"/>
      <c r="QHD1" s="28"/>
      <c r="QHE1" s="28"/>
      <c r="QHF1" s="28"/>
      <c r="QHG1" s="28"/>
      <c r="QHH1" s="28"/>
      <c r="QHI1" s="28"/>
      <c r="QHJ1" s="28"/>
      <c r="QHK1" s="28"/>
      <c r="QHL1" s="28"/>
      <c r="QHM1" s="28"/>
      <c r="QHN1" s="28"/>
      <c r="QHO1" s="28"/>
      <c r="QHP1" s="28"/>
      <c r="QHQ1" s="28"/>
      <c r="QHR1" s="28"/>
      <c r="QHS1" s="28"/>
      <c r="QHT1" s="28"/>
      <c r="QHU1" s="28"/>
      <c r="QHV1" s="28"/>
      <c r="QHW1" s="28"/>
      <c r="QHX1" s="28"/>
      <c r="QHY1" s="28"/>
      <c r="QHZ1" s="28"/>
      <c r="QIA1" s="28"/>
      <c r="QIB1" s="28"/>
      <c r="QIC1" s="28"/>
      <c r="QID1" s="28"/>
      <c r="QIE1" s="28"/>
      <c r="QIF1" s="28"/>
      <c r="QIG1" s="28"/>
      <c r="QIH1" s="28"/>
      <c r="QII1" s="28"/>
      <c r="QIJ1" s="28"/>
      <c r="QIK1" s="28"/>
      <c r="QIL1" s="28"/>
      <c r="QIM1" s="28"/>
      <c r="QIN1" s="28"/>
      <c r="QIO1" s="28"/>
      <c r="QIP1" s="28"/>
      <c r="QIQ1" s="28"/>
      <c r="QIR1" s="28"/>
      <c r="QIS1" s="28"/>
      <c r="QIT1" s="28"/>
      <c r="QIU1" s="28"/>
      <c r="QIV1" s="28"/>
      <c r="QIW1" s="28"/>
      <c r="QIX1" s="28"/>
      <c r="QIY1" s="28"/>
      <c r="QIZ1" s="28"/>
      <c r="QJA1" s="28"/>
      <c r="QJB1" s="28"/>
      <c r="QJC1" s="28"/>
      <c r="QJD1" s="28"/>
      <c r="QJE1" s="28"/>
      <c r="QJF1" s="28"/>
      <c r="QJG1" s="28"/>
      <c r="QJH1" s="28"/>
      <c r="QJI1" s="28"/>
      <c r="QJJ1" s="28"/>
      <c r="QJK1" s="28"/>
      <c r="QJL1" s="28"/>
      <c r="QJM1" s="28"/>
      <c r="QJN1" s="28"/>
      <c r="QJO1" s="28"/>
      <c r="QJP1" s="28"/>
      <c r="QJQ1" s="28"/>
      <c r="QJR1" s="28"/>
      <c r="QJS1" s="28"/>
      <c r="QJT1" s="28"/>
      <c r="QJU1" s="28"/>
      <c r="QJV1" s="28"/>
      <c r="QJW1" s="28"/>
      <c r="QJX1" s="28"/>
      <c r="QJY1" s="28"/>
      <c r="QJZ1" s="28"/>
      <c r="QKA1" s="28"/>
      <c r="QKB1" s="28"/>
      <c r="QKC1" s="28"/>
      <c r="QKD1" s="28"/>
      <c r="QKE1" s="28"/>
      <c r="QKF1" s="28"/>
      <c r="QKG1" s="28"/>
      <c r="QKH1" s="28"/>
      <c r="QKI1" s="28"/>
      <c r="QKJ1" s="28"/>
      <c r="QKK1" s="28"/>
      <c r="QKL1" s="28"/>
      <c r="QKM1" s="28"/>
      <c r="QKN1" s="28"/>
      <c r="QKO1" s="28"/>
      <c r="QKP1" s="28"/>
      <c r="QKQ1" s="28"/>
      <c r="QKR1" s="28"/>
      <c r="QKS1" s="28"/>
      <c r="QKT1" s="28"/>
      <c r="QKU1" s="28"/>
      <c r="QKV1" s="28"/>
      <c r="QKW1" s="28"/>
      <c r="QKX1" s="28"/>
      <c r="QKY1" s="28"/>
      <c r="QKZ1" s="28"/>
      <c r="QLA1" s="28"/>
      <c r="QLB1" s="28"/>
      <c r="QLC1" s="28"/>
      <c r="QLD1" s="28"/>
      <c r="QLE1" s="28"/>
      <c r="QLF1" s="28"/>
      <c r="QLG1" s="28"/>
      <c r="QLH1" s="28"/>
      <c r="QLI1" s="28"/>
      <c r="QLJ1" s="28"/>
      <c r="QLK1" s="28"/>
      <c r="QLL1" s="28"/>
      <c r="QLM1" s="28"/>
      <c r="QLN1" s="28"/>
      <c r="QLO1" s="28"/>
      <c r="QLP1" s="28"/>
      <c r="QLQ1" s="28"/>
      <c r="QLR1" s="28"/>
      <c r="QLS1" s="28"/>
      <c r="QLT1" s="28"/>
      <c r="QLU1" s="28"/>
      <c r="QLV1" s="28"/>
      <c r="QLW1" s="28"/>
      <c r="QLX1" s="28"/>
      <c r="QLY1" s="28"/>
      <c r="QLZ1" s="28"/>
      <c r="QMA1" s="28"/>
      <c r="QMB1" s="28"/>
      <c r="QMC1" s="28"/>
      <c r="QMD1" s="28"/>
      <c r="QME1" s="28"/>
      <c r="QMF1" s="28"/>
      <c r="QMG1" s="28"/>
      <c r="QMH1" s="28"/>
      <c r="QMI1" s="28"/>
      <c r="QMJ1" s="28"/>
      <c r="QMK1" s="28"/>
      <c r="QML1" s="28"/>
      <c r="QMM1" s="28"/>
      <c r="QMN1" s="28"/>
      <c r="QMO1" s="28"/>
      <c r="QMP1" s="28"/>
      <c r="QMQ1" s="28"/>
      <c r="QMR1" s="28"/>
      <c r="QMS1" s="28"/>
      <c r="QMT1" s="28"/>
      <c r="QMU1" s="28"/>
      <c r="QMV1" s="28"/>
      <c r="QMW1" s="28"/>
      <c r="QMX1" s="28"/>
      <c r="QMY1" s="28"/>
      <c r="QMZ1" s="28"/>
      <c r="QNA1" s="28"/>
      <c r="QNB1" s="28"/>
      <c r="QNC1" s="28"/>
      <c r="QND1" s="28"/>
      <c r="QNE1" s="28"/>
      <c r="QNF1" s="28"/>
      <c r="QNG1" s="28"/>
      <c r="QNH1" s="28"/>
      <c r="QNI1" s="28"/>
      <c r="QNJ1" s="28"/>
      <c r="QNK1" s="28"/>
      <c r="QNL1" s="28"/>
      <c r="QNM1" s="28"/>
      <c r="QNN1" s="28"/>
      <c r="QNO1" s="28"/>
      <c r="QNP1" s="28"/>
      <c r="QNQ1" s="28"/>
      <c r="QNR1" s="28"/>
      <c r="QNS1" s="28"/>
      <c r="QNT1" s="28"/>
      <c r="QNU1" s="28"/>
      <c r="QNV1" s="28"/>
      <c r="QNW1" s="28"/>
      <c r="QNX1" s="28"/>
      <c r="QNY1" s="28"/>
      <c r="QNZ1" s="28"/>
      <c r="QOA1" s="28"/>
      <c r="QOB1" s="28"/>
      <c r="QOC1" s="28"/>
      <c r="QOD1" s="28"/>
      <c r="QOE1" s="28"/>
      <c r="QOF1" s="28"/>
      <c r="QOG1" s="28"/>
      <c r="QOH1" s="28"/>
      <c r="QOI1" s="28"/>
      <c r="QOJ1" s="28"/>
      <c r="QOK1" s="28"/>
      <c r="QOL1" s="28"/>
      <c r="QOM1" s="28"/>
      <c r="QON1" s="28"/>
      <c r="QOO1" s="28"/>
      <c r="QOP1" s="28"/>
      <c r="QOQ1" s="28"/>
      <c r="QOR1" s="28"/>
      <c r="QOS1" s="28"/>
      <c r="QOT1" s="28"/>
      <c r="QOU1" s="28"/>
      <c r="QOV1" s="28"/>
      <c r="QOW1" s="28"/>
      <c r="QOX1" s="28"/>
      <c r="QOY1" s="28"/>
      <c r="QOZ1" s="28"/>
      <c r="QPA1" s="28"/>
      <c r="QPB1" s="28"/>
      <c r="QPC1" s="28"/>
      <c r="QPD1" s="28"/>
      <c r="QPE1" s="28"/>
      <c r="QPF1" s="28"/>
      <c r="QPG1" s="28"/>
      <c r="QPH1" s="28"/>
      <c r="QPI1" s="28"/>
      <c r="QPJ1" s="28"/>
      <c r="QPK1" s="28"/>
      <c r="QPL1" s="28"/>
      <c r="QPM1" s="28"/>
      <c r="QPN1" s="28"/>
      <c r="QPO1" s="28"/>
      <c r="QPP1" s="28"/>
      <c r="QPQ1" s="28"/>
      <c r="QPR1" s="28"/>
      <c r="QPS1" s="28"/>
      <c r="QPT1" s="28"/>
      <c r="QPU1" s="28"/>
      <c r="QPV1" s="28"/>
      <c r="QPW1" s="28"/>
      <c r="QPX1" s="28"/>
      <c r="QPY1" s="28"/>
      <c r="QPZ1" s="28"/>
      <c r="QQA1" s="28"/>
      <c r="QQB1" s="28"/>
      <c r="QQC1" s="28"/>
      <c r="QQD1" s="28"/>
      <c r="QQE1" s="28"/>
      <c r="QQF1" s="28"/>
      <c r="QQG1" s="28"/>
      <c r="QQH1" s="28"/>
      <c r="QQI1" s="28"/>
      <c r="QQJ1" s="28"/>
      <c r="QQK1" s="28"/>
      <c r="QQL1" s="28"/>
      <c r="QQM1" s="28"/>
      <c r="QQN1" s="28"/>
      <c r="QQO1" s="28"/>
      <c r="QQP1" s="28"/>
      <c r="QQQ1" s="28"/>
      <c r="QQR1" s="28"/>
      <c r="QQS1" s="28"/>
      <c r="QQT1" s="28"/>
      <c r="QQU1" s="28"/>
      <c r="QQV1" s="28"/>
      <c r="QQW1" s="28"/>
      <c r="QQX1" s="28"/>
      <c r="QQY1" s="28"/>
      <c r="QQZ1" s="28"/>
      <c r="QRA1" s="28"/>
      <c r="QRB1" s="28"/>
      <c r="QRC1" s="28"/>
      <c r="QRD1" s="28"/>
      <c r="QRE1" s="28"/>
      <c r="QRF1" s="28"/>
      <c r="QRG1" s="28"/>
      <c r="QRH1" s="28"/>
      <c r="QRI1" s="28"/>
      <c r="QRJ1" s="28"/>
      <c r="QRK1" s="28"/>
      <c r="QRL1" s="28"/>
      <c r="QRM1" s="28"/>
      <c r="QRN1" s="28"/>
      <c r="QRO1" s="28"/>
      <c r="QRP1" s="28"/>
      <c r="QRQ1" s="28"/>
      <c r="QRR1" s="28"/>
      <c r="QRS1" s="28"/>
      <c r="QRT1" s="28"/>
      <c r="QRU1" s="28"/>
      <c r="QRV1" s="28"/>
      <c r="QRW1" s="28"/>
      <c r="QRX1" s="28"/>
      <c r="QRY1" s="28"/>
      <c r="QRZ1" s="28"/>
      <c r="QSA1" s="28"/>
      <c r="QSB1" s="28"/>
      <c r="QSC1" s="28"/>
      <c r="QSD1" s="28"/>
      <c r="QSE1" s="28"/>
      <c r="QSF1" s="28"/>
      <c r="QSG1" s="28"/>
      <c r="QSH1" s="28"/>
      <c r="QSI1" s="28"/>
      <c r="QSJ1" s="28"/>
      <c r="QSK1" s="28"/>
      <c r="QSL1" s="28"/>
      <c r="QSM1" s="28"/>
      <c r="QSN1" s="28"/>
      <c r="QSO1" s="28"/>
      <c r="QSP1" s="28"/>
      <c r="QSQ1" s="28"/>
      <c r="QSR1" s="28"/>
      <c r="QSS1" s="28"/>
      <c r="QST1" s="28"/>
      <c r="QSU1" s="28"/>
      <c r="QSV1" s="28"/>
      <c r="QSW1" s="28"/>
      <c r="QSX1" s="28"/>
      <c r="QSY1" s="28"/>
      <c r="QSZ1" s="28"/>
      <c r="QTA1" s="28"/>
      <c r="QTB1" s="28"/>
      <c r="QTC1" s="28"/>
      <c r="QTD1" s="28"/>
      <c r="QTE1" s="28"/>
      <c r="QTF1" s="28"/>
      <c r="QTG1" s="28"/>
      <c r="QTH1" s="28"/>
      <c r="QTI1" s="28"/>
      <c r="QTJ1" s="28"/>
      <c r="QTK1" s="28"/>
      <c r="QTL1" s="28"/>
      <c r="QTM1" s="28"/>
      <c r="QTN1" s="28"/>
      <c r="QTO1" s="28"/>
      <c r="QTP1" s="28"/>
      <c r="QTQ1" s="28"/>
      <c r="QTR1" s="28"/>
      <c r="QTS1" s="28"/>
      <c r="QTT1" s="28"/>
      <c r="QTU1" s="28"/>
      <c r="QTV1" s="28"/>
      <c r="QTW1" s="28"/>
      <c r="QTX1" s="28"/>
      <c r="QTY1" s="28"/>
      <c r="QTZ1" s="28"/>
      <c r="QUA1" s="28"/>
      <c r="QUB1" s="28"/>
      <c r="QUC1" s="28"/>
      <c r="QUD1" s="28"/>
      <c r="QUE1" s="28"/>
      <c r="QUF1" s="28"/>
      <c r="QUG1" s="28"/>
      <c r="QUH1" s="28"/>
      <c r="QUI1" s="28"/>
      <c r="QUJ1" s="28"/>
      <c r="QUK1" s="28"/>
      <c r="QUL1" s="28"/>
      <c r="QUM1" s="28"/>
      <c r="QUN1" s="28"/>
      <c r="QUO1" s="28"/>
      <c r="QUP1" s="28"/>
      <c r="QUQ1" s="28"/>
      <c r="QUR1" s="28"/>
      <c r="QUS1" s="28"/>
      <c r="QUT1" s="28"/>
      <c r="QUU1" s="28"/>
      <c r="QUV1" s="28"/>
      <c r="QUW1" s="28"/>
      <c r="QUX1" s="28"/>
      <c r="QUY1" s="28"/>
      <c r="QUZ1" s="28"/>
      <c r="QVA1" s="28"/>
      <c r="QVB1" s="28"/>
      <c r="QVC1" s="28"/>
      <c r="QVD1" s="28"/>
      <c r="QVE1" s="28"/>
      <c r="QVF1" s="28"/>
      <c r="QVG1" s="28"/>
      <c r="QVH1" s="28"/>
      <c r="QVI1" s="28"/>
      <c r="QVJ1" s="28"/>
      <c r="QVK1" s="28"/>
      <c r="QVL1" s="28"/>
      <c r="QVM1" s="28"/>
      <c r="QVN1" s="28"/>
      <c r="QVO1" s="28"/>
      <c r="QVP1" s="28"/>
      <c r="QVQ1" s="28"/>
      <c r="QVR1" s="28"/>
      <c r="QVS1" s="28"/>
      <c r="QVT1" s="28"/>
      <c r="QVU1" s="28"/>
      <c r="QVV1" s="28"/>
      <c r="QVW1" s="28"/>
      <c r="QVX1" s="28"/>
      <c r="QVY1" s="28"/>
      <c r="QVZ1" s="28"/>
      <c r="QWA1" s="28"/>
      <c r="QWB1" s="28"/>
      <c r="QWC1" s="28"/>
      <c r="QWD1" s="28"/>
      <c r="QWE1" s="28"/>
      <c r="QWF1" s="28"/>
      <c r="QWG1" s="28"/>
      <c r="QWH1" s="28"/>
      <c r="QWI1" s="28"/>
      <c r="QWJ1" s="28"/>
      <c r="QWK1" s="28"/>
      <c r="QWL1" s="28"/>
      <c r="QWM1" s="28"/>
      <c r="QWN1" s="28"/>
      <c r="QWO1" s="28"/>
      <c r="QWP1" s="28"/>
      <c r="QWQ1" s="28"/>
      <c r="QWR1" s="28"/>
      <c r="QWS1" s="28"/>
      <c r="QWT1" s="28"/>
      <c r="QWU1" s="28"/>
      <c r="QWV1" s="28"/>
      <c r="QWW1" s="28"/>
      <c r="QWX1" s="28"/>
      <c r="QWY1" s="28"/>
      <c r="QWZ1" s="28"/>
      <c r="QXA1" s="28"/>
      <c r="QXB1" s="28"/>
      <c r="QXC1" s="28"/>
      <c r="QXD1" s="28"/>
      <c r="QXE1" s="28"/>
      <c r="QXF1" s="28"/>
      <c r="QXG1" s="28"/>
      <c r="QXH1" s="28"/>
      <c r="QXI1" s="28"/>
      <c r="QXJ1" s="28"/>
      <c r="QXK1" s="28"/>
      <c r="QXL1" s="28"/>
      <c r="QXM1" s="28"/>
      <c r="QXN1" s="28"/>
      <c r="QXO1" s="28"/>
      <c r="QXP1" s="28"/>
      <c r="QXQ1" s="28"/>
      <c r="QXR1" s="28"/>
      <c r="QXS1" s="28"/>
      <c r="QXT1" s="28"/>
      <c r="QXU1" s="28"/>
      <c r="QXV1" s="28"/>
      <c r="QXW1" s="28"/>
      <c r="QXX1" s="28"/>
      <c r="QXY1" s="28"/>
      <c r="QXZ1" s="28"/>
      <c r="QYA1" s="28"/>
      <c r="QYB1" s="28"/>
      <c r="QYC1" s="28"/>
      <c r="QYD1" s="28"/>
      <c r="QYE1" s="28"/>
      <c r="QYF1" s="28"/>
      <c r="QYG1" s="28"/>
      <c r="QYH1" s="28"/>
      <c r="QYI1" s="28"/>
      <c r="QYJ1" s="28"/>
      <c r="QYK1" s="28"/>
      <c r="QYL1" s="28"/>
      <c r="QYM1" s="28"/>
      <c r="QYN1" s="28"/>
      <c r="QYO1" s="28"/>
      <c r="QYP1" s="28"/>
      <c r="QYQ1" s="28"/>
      <c r="QYR1" s="28"/>
      <c r="QYS1" s="28"/>
      <c r="QYT1" s="28"/>
      <c r="QYU1" s="28"/>
      <c r="QYV1" s="28"/>
      <c r="QYW1" s="28"/>
      <c r="QYX1" s="28"/>
      <c r="QYY1" s="28"/>
      <c r="QYZ1" s="28"/>
      <c r="QZA1" s="28"/>
      <c r="QZB1" s="28"/>
      <c r="QZC1" s="28"/>
      <c r="QZD1" s="28"/>
      <c r="QZE1" s="28"/>
      <c r="QZF1" s="28"/>
      <c r="QZG1" s="28"/>
      <c r="QZH1" s="28"/>
      <c r="QZI1" s="28"/>
      <c r="QZJ1" s="28"/>
      <c r="QZK1" s="28"/>
      <c r="QZL1" s="28"/>
      <c r="QZM1" s="28"/>
      <c r="QZN1" s="28"/>
      <c r="QZO1" s="28"/>
      <c r="QZP1" s="28"/>
      <c r="QZQ1" s="28"/>
      <c r="QZR1" s="28"/>
      <c r="QZS1" s="28"/>
      <c r="QZT1" s="28"/>
      <c r="QZU1" s="28"/>
      <c r="QZV1" s="28"/>
      <c r="QZW1" s="28"/>
      <c r="QZX1" s="28"/>
      <c r="QZY1" s="28"/>
      <c r="QZZ1" s="28"/>
      <c r="RAA1" s="28"/>
      <c r="RAB1" s="28"/>
      <c r="RAC1" s="28"/>
      <c r="RAD1" s="28"/>
      <c r="RAE1" s="28"/>
      <c r="RAF1" s="28"/>
      <c r="RAG1" s="28"/>
      <c r="RAH1" s="28"/>
      <c r="RAI1" s="28"/>
      <c r="RAJ1" s="28"/>
      <c r="RAK1" s="28"/>
      <c r="RAL1" s="28"/>
      <c r="RAM1" s="28"/>
      <c r="RAN1" s="28"/>
      <c r="RAO1" s="28"/>
      <c r="RAP1" s="28"/>
      <c r="RAQ1" s="28"/>
      <c r="RAR1" s="28"/>
      <c r="RAS1" s="28"/>
      <c r="RAT1" s="28"/>
      <c r="RAU1" s="28"/>
      <c r="RAV1" s="28"/>
      <c r="RAW1" s="28"/>
      <c r="RAX1" s="28"/>
      <c r="RAY1" s="28"/>
      <c r="RAZ1" s="28"/>
      <c r="RBA1" s="28"/>
      <c r="RBB1" s="28"/>
      <c r="RBC1" s="28"/>
      <c r="RBD1" s="28"/>
      <c r="RBE1" s="28"/>
      <c r="RBF1" s="28"/>
      <c r="RBG1" s="28"/>
      <c r="RBH1" s="28"/>
      <c r="RBI1" s="28"/>
      <c r="RBJ1" s="28"/>
      <c r="RBK1" s="28"/>
      <c r="RBL1" s="28"/>
      <c r="RBM1" s="28"/>
      <c r="RBN1" s="28"/>
      <c r="RBO1" s="28"/>
      <c r="RBP1" s="28"/>
      <c r="RBQ1" s="28"/>
      <c r="RBR1" s="28"/>
      <c r="RBS1" s="28"/>
      <c r="RBT1" s="28"/>
      <c r="RBU1" s="28"/>
      <c r="RBV1" s="28"/>
      <c r="RBW1" s="28"/>
      <c r="RBX1" s="28"/>
      <c r="RBY1" s="28"/>
      <c r="RBZ1" s="28"/>
      <c r="RCA1" s="28"/>
      <c r="RCB1" s="28"/>
      <c r="RCC1" s="28"/>
      <c r="RCD1" s="28"/>
      <c r="RCE1" s="28"/>
      <c r="RCF1" s="28"/>
      <c r="RCG1" s="28"/>
      <c r="RCH1" s="28"/>
      <c r="RCI1" s="28"/>
      <c r="RCJ1" s="28"/>
      <c r="RCK1" s="28"/>
      <c r="RCL1" s="28"/>
      <c r="RCM1" s="28"/>
      <c r="RCN1" s="28"/>
      <c r="RCO1" s="28"/>
      <c r="RCP1" s="28"/>
      <c r="RCQ1" s="28"/>
      <c r="RCR1" s="28"/>
      <c r="RCS1" s="28"/>
      <c r="RCT1" s="28"/>
      <c r="RCU1" s="28"/>
      <c r="RCV1" s="28"/>
      <c r="RCW1" s="28"/>
      <c r="RCX1" s="28"/>
      <c r="RCY1" s="28"/>
      <c r="RCZ1" s="28"/>
      <c r="RDA1" s="28"/>
      <c r="RDB1" s="28"/>
      <c r="RDC1" s="28"/>
      <c r="RDD1" s="28"/>
      <c r="RDE1" s="28"/>
      <c r="RDF1" s="28"/>
      <c r="RDG1" s="28"/>
      <c r="RDH1" s="28"/>
      <c r="RDI1" s="28"/>
      <c r="RDJ1" s="28"/>
      <c r="RDK1" s="28"/>
      <c r="RDL1" s="28"/>
      <c r="RDM1" s="28"/>
      <c r="RDN1" s="28"/>
      <c r="RDO1" s="28"/>
      <c r="RDP1" s="28"/>
      <c r="RDQ1" s="28"/>
      <c r="RDR1" s="28"/>
      <c r="RDS1" s="28"/>
      <c r="RDT1" s="28"/>
      <c r="RDU1" s="28"/>
      <c r="RDV1" s="28"/>
      <c r="RDW1" s="28"/>
      <c r="RDX1" s="28"/>
      <c r="RDY1" s="28"/>
      <c r="RDZ1" s="28"/>
      <c r="REA1" s="28"/>
      <c r="REB1" s="28"/>
      <c r="REC1" s="28"/>
      <c r="RED1" s="28"/>
      <c r="REE1" s="28"/>
      <c r="REF1" s="28"/>
      <c r="REG1" s="28"/>
      <c r="REH1" s="28"/>
      <c r="REI1" s="28"/>
      <c r="REJ1" s="28"/>
      <c r="REK1" s="28"/>
      <c r="REL1" s="28"/>
      <c r="REM1" s="28"/>
      <c r="REN1" s="28"/>
      <c r="REO1" s="28"/>
      <c r="REP1" s="28"/>
      <c r="REQ1" s="28"/>
      <c r="RER1" s="28"/>
      <c r="RES1" s="28"/>
      <c r="RET1" s="28"/>
      <c r="REU1" s="28"/>
      <c r="REV1" s="28"/>
      <c r="REW1" s="28"/>
      <c r="REX1" s="28"/>
      <c r="REY1" s="28"/>
      <c r="REZ1" s="28"/>
      <c r="RFA1" s="28"/>
      <c r="RFB1" s="28"/>
      <c r="RFC1" s="28"/>
      <c r="RFD1" s="28"/>
      <c r="RFE1" s="28"/>
      <c r="RFF1" s="28"/>
      <c r="RFG1" s="28"/>
      <c r="RFH1" s="28"/>
      <c r="RFI1" s="28"/>
      <c r="RFJ1" s="28"/>
      <c r="RFK1" s="28"/>
      <c r="RFL1" s="28"/>
      <c r="RFM1" s="28"/>
      <c r="RFN1" s="28"/>
      <c r="RFO1" s="28"/>
      <c r="RFP1" s="28"/>
      <c r="RFQ1" s="28"/>
      <c r="RFR1" s="28"/>
      <c r="RFS1" s="28"/>
      <c r="RFT1" s="28"/>
      <c r="RFU1" s="28"/>
      <c r="RFV1" s="28"/>
      <c r="RFW1" s="28"/>
      <c r="RFX1" s="28"/>
      <c r="RFY1" s="28"/>
      <c r="RFZ1" s="28"/>
      <c r="RGA1" s="28"/>
      <c r="RGB1" s="28"/>
      <c r="RGC1" s="28"/>
      <c r="RGD1" s="28"/>
      <c r="RGE1" s="28"/>
      <c r="RGF1" s="28"/>
      <c r="RGG1" s="28"/>
      <c r="RGH1" s="28"/>
      <c r="RGI1" s="28"/>
      <c r="RGJ1" s="28"/>
      <c r="RGK1" s="28"/>
      <c r="RGL1" s="28"/>
      <c r="RGM1" s="28"/>
      <c r="RGN1" s="28"/>
      <c r="RGO1" s="28"/>
      <c r="RGP1" s="28"/>
      <c r="RGQ1" s="28"/>
      <c r="RGR1" s="28"/>
      <c r="RGS1" s="28"/>
      <c r="RGT1" s="28"/>
      <c r="RGU1" s="28"/>
      <c r="RGV1" s="28"/>
      <c r="RGW1" s="28"/>
      <c r="RGX1" s="28"/>
      <c r="RGY1" s="28"/>
      <c r="RGZ1" s="28"/>
      <c r="RHA1" s="28"/>
      <c r="RHB1" s="28"/>
      <c r="RHC1" s="28"/>
      <c r="RHD1" s="28"/>
      <c r="RHE1" s="28"/>
      <c r="RHF1" s="28"/>
      <c r="RHG1" s="28"/>
      <c r="RHH1" s="28"/>
      <c r="RHI1" s="28"/>
      <c r="RHJ1" s="28"/>
      <c r="RHK1" s="28"/>
      <c r="RHL1" s="28"/>
      <c r="RHM1" s="28"/>
      <c r="RHN1" s="28"/>
      <c r="RHO1" s="28"/>
      <c r="RHP1" s="28"/>
      <c r="RHQ1" s="28"/>
      <c r="RHR1" s="28"/>
      <c r="RHS1" s="28"/>
      <c r="RHT1" s="28"/>
      <c r="RHU1" s="28"/>
      <c r="RHV1" s="28"/>
      <c r="RHW1" s="28"/>
      <c r="RHX1" s="28"/>
      <c r="RHY1" s="28"/>
      <c r="RHZ1" s="28"/>
      <c r="RIA1" s="28"/>
      <c r="RIB1" s="28"/>
      <c r="RIC1" s="28"/>
      <c r="RID1" s="28"/>
      <c r="RIE1" s="28"/>
      <c r="RIF1" s="28"/>
      <c r="RIG1" s="28"/>
      <c r="RIH1" s="28"/>
      <c r="RII1" s="28"/>
      <c r="RIJ1" s="28"/>
      <c r="RIK1" s="28"/>
      <c r="RIL1" s="28"/>
      <c r="RIM1" s="28"/>
      <c r="RIN1" s="28"/>
      <c r="RIO1" s="28"/>
      <c r="RIP1" s="28"/>
      <c r="RIQ1" s="28"/>
      <c r="RIR1" s="28"/>
      <c r="RIS1" s="28"/>
      <c r="RIT1" s="28"/>
      <c r="RIU1" s="28"/>
      <c r="RIV1" s="28"/>
      <c r="RIW1" s="28"/>
      <c r="RIX1" s="28"/>
      <c r="RIY1" s="28"/>
      <c r="RIZ1" s="28"/>
      <c r="RJA1" s="28"/>
      <c r="RJB1" s="28"/>
      <c r="RJC1" s="28"/>
      <c r="RJD1" s="28"/>
      <c r="RJE1" s="28"/>
      <c r="RJF1" s="28"/>
      <c r="RJG1" s="28"/>
      <c r="RJH1" s="28"/>
      <c r="RJI1" s="28"/>
      <c r="RJJ1" s="28"/>
      <c r="RJK1" s="28"/>
      <c r="RJL1" s="28"/>
      <c r="RJM1" s="28"/>
      <c r="RJN1" s="28"/>
      <c r="RJO1" s="28"/>
      <c r="RJP1" s="28"/>
      <c r="RJQ1" s="28"/>
      <c r="RJR1" s="28"/>
      <c r="RJS1" s="28"/>
      <c r="RJT1" s="28"/>
      <c r="RJU1" s="28"/>
      <c r="RJV1" s="28"/>
      <c r="RJW1" s="28"/>
      <c r="RJX1" s="28"/>
      <c r="RJY1" s="28"/>
      <c r="RJZ1" s="28"/>
      <c r="RKA1" s="28"/>
      <c r="RKB1" s="28"/>
      <c r="RKC1" s="28"/>
      <c r="RKD1" s="28"/>
      <c r="RKE1" s="28"/>
      <c r="RKF1" s="28"/>
      <c r="RKG1" s="28"/>
      <c r="RKH1" s="28"/>
      <c r="RKI1" s="28"/>
      <c r="RKJ1" s="28"/>
      <c r="RKK1" s="28"/>
      <c r="RKL1" s="28"/>
      <c r="RKM1" s="28"/>
      <c r="RKN1" s="28"/>
      <c r="RKO1" s="28"/>
      <c r="RKP1" s="28"/>
      <c r="RKQ1" s="28"/>
      <c r="RKR1" s="28"/>
      <c r="RKS1" s="28"/>
      <c r="RKT1" s="28"/>
      <c r="RKU1" s="28"/>
      <c r="RKV1" s="28"/>
      <c r="RKW1" s="28"/>
      <c r="RKX1" s="28"/>
      <c r="RKY1" s="28"/>
      <c r="RKZ1" s="28"/>
      <c r="RLA1" s="28"/>
      <c r="RLB1" s="28"/>
      <c r="RLC1" s="28"/>
      <c r="RLD1" s="28"/>
      <c r="RLE1" s="28"/>
      <c r="RLF1" s="28"/>
      <c r="RLG1" s="28"/>
      <c r="RLH1" s="28"/>
      <c r="RLI1" s="28"/>
      <c r="RLJ1" s="28"/>
      <c r="RLK1" s="28"/>
      <c r="RLL1" s="28"/>
      <c r="RLM1" s="28"/>
      <c r="RLN1" s="28"/>
      <c r="RLO1" s="28"/>
      <c r="RLP1" s="28"/>
      <c r="RLQ1" s="28"/>
      <c r="RLR1" s="28"/>
      <c r="RLS1" s="28"/>
      <c r="RLT1" s="28"/>
      <c r="RLU1" s="28"/>
      <c r="RLV1" s="28"/>
      <c r="RLW1" s="28"/>
      <c r="RLX1" s="28"/>
      <c r="RLY1" s="28"/>
      <c r="RLZ1" s="28"/>
      <c r="RMA1" s="28"/>
      <c r="RMB1" s="28"/>
      <c r="RMC1" s="28"/>
      <c r="RMD1" s="28"/>
      <c r="RME1" s="28"/>
      <c r="RMF1" s="28"/>
      <c r="RMG1" s="28"/>
      <c r="RMH1" s="28"/>
      <c r="RMI1" s="28"/>
      <c r="RMJ1" s="28"/>
      <c r="RMK1" s="28"/>
      <c r="RML1" s="28"/>
      <c r="RMM1" s="28"/>
      <c r="RMN1" s="28"/>
      <c r="RMO1" s="28"/>
      <c r="RMP1" s="28"/>
      <c r="RMQ1" s="28"/>
      <c r="RMR1" s="28"/>
      <c r="RMS1" s="28"/>
      <c r="RMT1" s="28"/>
      <c r="RMU1" s="28"/>
      <c r="RMV1" s="28"/>
      <c r="RMW1" s="28"/>
      <c r="RMX1" s="28"/>
      <c r="RMY1" s="28"/>
      <c r="RMZ1" s="28"/>
      <c r="RNA1" s="28"/>
      <c r="RNB1" s="28"/>
      <c r="RNC1" s="28"/>
      <c r="RND1" s="28"/>
      <c r="RNE1" s="28"/>
      <c r="RNF1" s="28"/>
      <c r="RNG1" s="28"/>
      <c r="RNH1" s="28"/>
      <c r="RNI1" s="28"/>
      <c r="RNJ1" s="28"/>
      <c r="RNK1" s="28"/>
      <c r="RNL1" s="28"/>
      <c r="RNM1" s="28"/>
      <c r="RNN1" s="28"/>
      <c r="RNO1" s="28"/>
      <c r="RNP1" s="28"/>
      <c r="RNQ1" s="28"/>
      <c r="RNR1" s="28"/>
      <c r="RNS1" s="28"/>
      <c r="RNT1" s="28"/>
      <c r="RNU1" s="28"/>
      <c r="RNV1" s="28"/>
      <c r="RNW1" s="28"/>
      <c r="RNX1" s="28"/>
      <c r="RNY1" s="28"/>
      <c r="RNZ1" s="28"/>
      <c r="ROA1" s="28"/>
      <c r="ROB1" s="28"/>
      <c r="ROC1" s="28"/>
      <c r="ROD1" s="28"/>
      <c r="ROE1" s="28"/>
      <c r="ROF1" s="28"/>
      <c r="ROG1" s="28"/>
      <c r="ROH1" s="28"/>
      <c r="ROI1" s="28"/>
      <c r="ROJ1" s="28"/>
      <c r="ROK1" s="28"/>
      <c r="ROL1" s="28"/>
      <c r="ROM1" s="28"/>
      <c r="RON1" s="28"/>
      <c r="ROO1" s="28"/>
      <c r="ROP1" s="28"/>
      <c r="ROQ1" s="28"/>
      <c r="ROR1" s="28"/>
      <c r="ROS1" s="28"/>
      <c r="ROT1" s="28"/>
      <c r="ROU1" s="28"/>
      <c r="ROV1" s="28"/>
      <c r="ROW1" s="28"/>
      <c r="ROX1" s="28"/>
      <c r="ROY1" s="28"/>
      <c r="ROZ1" s="28"/>
      <c r="RPA1" s="28"/>
      <c r="RPB1" s="28"/>
      <c r="RPC1" s="28"/>
      <c r="RPD1" s="28"/>
      <c r="RPE1" s="28"/>
      <c r="RPF1" s="28"/>
      <c r="RPG1" s="28"/>
      <c r="RPH1" s="28"/>
      <c r="RPI1" s="28"/>
      <c r="RPJ1" s="28"/>
      <c r="RPK1" s="28"/>
      <c r="RPL1" s="28"/>
      <c r="RPM1" s="28"/>
      <c r="RPN1" s="28"/>
      <c r="RPO1" s="28"/>
      <c r="RPP1" s="28"/>
      <c r="RPQ1" s="28"/>
      <c r="RPR1" s="28"/>
      <c r="RPS1" s="28"/>
      <c r="RPT1" s="28"/>
      <c r="RPU1" s="28"/>
      <c r="RPV1" s="28"/>
      <c r="RPW1" s="28"/>
      <c r="RPX1" s="28"/>
      <c r="RPY1" s="28"/>
      <c r="RPZ1" s="28"/>
      <c r="RQA1" s="28"/>
      <c r="RQB1" s="28"/>
      <c r="RQC1" s="28"/>
      <c r="RQD1" s="28"/>
      <c r="RQE1" s="28"/>
      <c r="RQF1" s="28"/>
      <c r="RQG1" s="28"/>
      <c r="RQH1" s="28"/>
      <c r="RQI1" s="28"/>
      <c r="RQJ1" s="28"/>
      <c r="RQK1" s="28"/>
      <c r="RQL1" s="28"/>
      <c r="RQM1" s="28"/>
      <c r="RQN1" s="28"/>
      <c r="RQO1" s="28"/>
      <c r="RQP1" s="28"/>
      <c r="RQQ1" s="28"/>
      <c r="RQR1" s="28"/>
      <c r="RQS1" s="28"/>
      <c r="RQT1" s="28"/>
      <c r="RQU1" s="28"/>
      <c r="RQV1" s="28"/>
      <c r="RQW1" s="28"/>
      <c r="RQX1" s="28"/>
      <c r="RQY1" s="28"/>
      <c r="RQZ1" s="28"/>
      <c r="RRA1" s="28"/>
      <c r="RRB1" s="28"/>
      <c r="RRC1" s="28"/>
      <c r="RRD1" s="28"/>
      <c r="RRE1" s="28"/>
      <c r="RRF1" s="28"/>
      <c r="RRG1" s="28"/>
      <c r="RRH1" s="28"/>
      <c r="RRI1" s="28"/>
      <c r="RRJ1" s="28"/>
      <c r="RRK1" s="28"/>
      <c r="RRL1" s="28"/>
      <c r="RRM1" s="28"/>
      <c r="RRN1" s="28"/>
      <c r="RRO1" s="28"/>
      <c r="RRP1" s="28"/>
      <c r="RRQ1" s="28"/>
      <c r="RRR1" s="28"/>
      <c r="RRS1" s="28"/>
      <c r="RRT1" s="28"/>
      <c r="RRU1" s="28"/>
      <c r="RRV1" s="28"/>
      <c r="RRW1" s="28"/>
      <c r="RRX1" s="28"/>
      <c r="RRY1" s="28"/>
      <c r="RRZ1" s="28"/>
      <c r="RSA1" s="28"/>
      <c r="RSB1" s="28"/>
      <c r="RSC1" s="28"/>
      <c r="RSD1" s="28"/>
      <c r="RSE1" s="28"/>
      <c r="RSF1" s="28"/>
      <c r="RSG1" s="28"/>
      <c r="RSH1" s="28"/>
      <c r="RSI1" s="28"/>
      <c r="RSJ1" s="28"/>
      <c r="RSK1" s="28"/>
      <c r="RSL1" s="28"/>
      <c r="RSM1" s="28"/>
      <c r="RSN1" s="28"/>
      <c r="RSO1" s="28"/>
      <c r="RSP1" s="28"/>
      <c r="RSQ1" s="28"/>
      <c r="RSR1" s="28"/>
      <c r="RSS1" s="28"/>
      <c r="RST1" s="28"/>
      <c r="RSU1" s="28"/>
      <c r="RSV1" s="28"/>
      <c r="RSW1" s="28"/>
      <c r="RSX1" s="28"/>
      <c r="RSY1" s="28"/>
      <c r="RSZ1" s="28"/>
      <c r="RTA1" s="28"/>
      <c r="RTB1" s="28"/>
      <c r="RTC1" s="28"/>
      <c r="RTD1" s="28"/>
      <c r="RTE1" s="28"/>
      <c r="RTF1" s="28"/>
      <c r="RTG1" s="28"/>
      <c r="RTH1" s="28"/>
      <c r="RTI1" s="28"/>
      <c r="RTJ1" s="28"/>
      <c r="RTK1" s="28"/>
      <c r="RTL1" s="28"/>
      <c r="RTM1" s="28"/>
      <c r="RTN1" s="28"/>
      <c r="RTO1" s="28"/>
      <c r="RTP1" s="28"/>
      <c r="RTQ1" s="28"/>
      <c r="RTR1" s="28"/>
      <c r="RTS1" s="28"/>
      <c r="RTT1" s="28"/>
      <c r="RTU1" s="28"/>
      <c r="RTV1" s="28"/>
      <c r="RTW1" s="28"/>
      <c r="RTX1" s="28"/>
      <c r="RTY1" s="28"/>
      <c r="RTZ1" s="28"/>
      <c r="RUA1" s="28"/>
      <c r="RUB1" s="28"/>
      <c r="RUC1" s="28"/>
      <c r="RUD1" s="28"/>
      <c r="RUE1" s="28"/>
      <c r="RUF1" s="28"/>
      <c r="RUG1" s="28"/>
      <c r="RUH1" s="28"/>
      <c r="RUI1" s="28"/>
      <c r="RUJ1" s="28"/>
      <c r="RUK1" s="28"/>
      <c r="RUL1" s="28"/>
      <c r="RUM1" s="28"/>
      <c r="RUN1" s="28"/>
      <c r="RUO1" s="28"/>
      <c r="RUP1" s="28"/>
      <c r="RUQ1" s="28"/>
      <c r="RUR1" s="28"/>
      <c r="RUS1" s="28"/>
      <c r="RUT1" s="28"/>
      <c r="RUU1" s="28"/>
      <c r="RUV1" s="28"/>
      <c r="RUW1" s="28"/>
      <c r="RUX1" s="28"/>
      <c r="RUY1" s="28"/>
      <c r="RUZ1" s="28"/>
      <c r="RVA1" s="28"/>
      <c r="RVB1" s="28"/>
      <c r="RVC1" s="28"/>
      <c r="RVD1" s="28"/>
      <c r="RVE1" s="28"/>
      <c r="RVF1" s="28"/>
      <c r="RVG1" s="28"/>
      <c r="RVH1" s="28"/>
      <c r="RVI1" s="28"/>
      <c r="RVJ1" s="28"/>
      <c r="RVK1" s="28"/>
      <c r="RVL1" s="28"/>
      <c r="RVM1" s="28"/>
      <c r="RVN1" s="28"/>
      <c r="RVO1" s="28"/>
      <c r="RVP1" s="28"/>
      <c r="RVQ1" s="28"/>
      <c r="RVR1" s="28"/>
      <c r="RVS1" s="28"/>
      <c r="RVT1" s="28"/>
      <c r="RVU1" s="28"/>
      <c r="RVV1" s="28"/>
      <c r="RVW1" s="28"/>
      <c r="RVX1" s="28"/>
      <c r="RVY1" s="28"/>
      <c r="RVZ1" s="28"/>
      <c r="RWA1" s="28"/>
      <c r="RWB1" s="28"/>
      <c r="RWC1" s="28"/>
      <c r="RWD1" s="28"/>
      <c r="RWE1" s="28"/>
      <c r="RWF1" s="28"/>
      <c r="RWG1" s="28"/>
      <c r="RWH1" s="28"/>
      <c r="RWI1" s="28"/>
      <c r="RWJ1" s="28"/>
      <c r="RWK1" s="28"/>
      <c r="RWL1" s="28"/>
      <c r="RWM1" s="28"/>
      <c r="RWN1" s="28"/>
      <c r="RWO1" s="28"/>
      <c r="RWP1" s="28"/>
      <c r="RWQ1" s="28"/>
      <c r="RWR1" s="28"/>
      <c r="RWS1" s="28"/>
      <c r="RWT1" s="28"/>
      <c r="RWU1" s="28"/>
      <c r="RWV1" s="28"/>
      <c r="RWW1" s="28"/>
      <c r="RWX1" s="28"/>
      <c r="RWY1" s="28"/>
      <c r="RWZ1" s="28"/>
      <c r="RXA1" s="28"/>
      <c r="RXB1" s="28"/>
      <c r="RXC1" s="28"/>
      <c r="RXD1" s="28"/>
      <c r="RXE1" s="28"/>
      <c r="RXF1" s="28"/>
      <c r="RXG1" s="28"/>
      <c r="RXH1" s="28"/>
      <c r="RXI1" s="28"/>
      <c r="RXJ1" s="28"/>
      <c r="RXK1" s="28"/>
      <c r="RXL1" s="28"/>
      <c r="RXM1" s="28"/>
      <c r="RXN1" s="28"/>
      <c r="RXO1" s="28"/>
      <c r="RXP1" s="28"/>
      <c r="RXQ1" s="28"/>
      <c r="RXR1" s="28"/>
      <c r="RXS1" s="28"/>
      <c r="RXT1" s="28"/>
      <c r="RXU1" s="28"/>
      <c r="RXV1" s="28"/>
      <c r="RXW1" s="28"/>
      <c r="RXX1" s="28"/>
      <c r="RXY1" s="28"/>
      <c r="RXZ1" s="28"/>
      <c r="RYA1" s="28"/>
      <c r="RYB1" s="28"/>
      <c r="RYC1" s="28"/>
      <c r="RYD1" s="28"/>
      <c r="RYE1" s="28"/>
      <c r="RYF1" s="28"/>
      <c r="RYG1" s="28"/>
      <c r="RYH1" s="28"/>
      <c r="RYI1" s="28"/>
      <c r="RYJ1" s="28"/>
      <c r="RYK1" s="28"/>
      <c r="RYL1" s="28"/>
      <c r="RYM1" s="28"/>
      <c r="RYN1" s="28"/>
      <c r="RYO1" s="28"/>
      <c r="RYP1" s="28"/>
      <c r="RYQ1" s="28"/>
      <c r="RYR1" s="28"/>
      <c r="RYS1" s="28"/>
      <c r="RYT1" s="28"/>
      <c r="RYU1" s="28"/>
      <c r="RYV1" s="28"/>
      <c r="RYW1" s="28"/>
      <c r="RYX1" s="28"/>
      <c r="RYY1" s="28"/>
      <c r="RYZ1" s="28"/>
      <c r="RZA1" s="28"/>
      <c r="RZB1" s="28"/>
      <c r="RZC1" s="28"/>
      <c r="RZD1" s="28"/>
      <c r="RZE1" s="28"/>
      <c r="RZF1" s="28"/>
      <c r="RZG1" s="28"/>
      <c r="RZH1" s="28"/>
      <c r="RZI1" s="28"/>
      <c r="RZJ1" s="28"/>
      <c r="RZK1" s="28"/>
      <c r="RZL1" s="28"/>
      <c r="RZM1" s="28"/>
      <c r="RZN1" s="28"/>
      <c r="RZO1" s="28"/>
      <c r="RZP1" s="28"/>
      <c r="RZQ1" s="28"/>
      <c r="RZR1" s="28"/>
      <c r="RZS1" s="28"/>
      <c r="RZT1" s="28"/>
      <c r="RZU1" s="28"/>
      <c r="RZV1" s="28"/>
      <c r="RZW1" s="28"/>
      <c r="RZX1" s="28"/>
      <c r="RZY1" s="28"/>
      <c r="RZZ1" s="28"/>
      <c r="SAA1" s="28"/>
      <c r="SAB1" s="28"/>
      <c r="SAC1" s="28"/>
      <c r="SAD1" s="28"/>
      <c r="SAE1" s="28"/>
      <c r="SAF1" s="28"/>
      <c r="SAG1" s="28"/>
      <c r="SAH1" s="28"/>
      <c r="SAI1" s="28"/>
      <c r="SAJ1" s="28"/>
      <c r="SAK1" s="28"/>
      <c r="SAL1" s="28"/>
      <c r="SAM1" s="28"/>
      <c r="SAN1" s="28"/>
      <c r="SAO1" s="28"/>
      <c r="SAP1" s="28"/>
      <c r="SAQ1" s="28"/>
      <c r="SAR1" s="28"/>
      <c r="SAS1" s="28"/>
      <c r="SAT1" s="28"/>
      <c r="SAU1" s="28"/>
      <c r="SAV1" s="28"/>
      <c r="SAW1" s="28"/>
      <c r="SAX1" s="28"/>
      <c r="SAY1" s="28"/>
      <c r="SAZ1" s="28"/>
      <c r="SBA1" s="28"/>
      <c r="SBB1" s="28"/>
      <c r="SBC1" s="28"/>
      <c r="SBD1" s="28"/>
      <c r="SBE1" s="28"/>
      <c r="SBF1" s="28"/>
      <c r="SBG1" s="28"/>
      <c r="SBH1" s="28"/>
      <c r="SBI1" s="28"/>
      <c r="SBJ1" s="28"/>
      <c r="SBK1" s="28"/>
      <c r="SBL1" s="28"/>
      <c r="SBM1" s="28"/>
      <c r="SBN1" s="28"/>
      <c r="SBO1" s="28"/>
      <c r="SBP1" s="28"/>
      <c r="SBQ1" s="28"/>
      <c r="SBR1" s="28"/>
      <c r="SBS1" s="28"/>
      <c r="SBT1" s="28"/>
      <c r="SBU1" s="28"/>
      <c r="SBV1" s="28"/>
      <c r="SBW1" s="28"/>
      <c r="SBX1" s="28"/>
      <c r="SBY1" s="28"/>
      <c r="SBZ1" s="28"/>
      <c r="SCA1" s="28"/>
      <c r="SCB1" s="28"/>
      <c r="SCC1" s="28"/>
      <c r="SCD1" s="28"/>
      <c r="SCE1" s="28"/>
      <c r="SCF1" s="28"/>
      <c r="SCG1" s="28"/>
      <c r="SCH1" s="28"/>
      <c r="SCI1" s="28"/>
      <c r="SCJ1" s="28"/>
      <c r="SCK1" s="28"/>
      <c r="SCL1" s="28"/>
      <c r="SCM1" s="28"/>
      <c r="SCN1" s="28"/>
      <c r="SCO1" s="28"/>
      <c r="SCP1" s="28"/>
      <c r="SCQ1" s="28"/>
      <c r="SCR1" s="28"/>
      <c r="SCS1" s="28"/>
      <c r="SCT1" s="28"/>
      <c r="SCU1" s="28"/>
      <c r="SCV1" s="28"/>
      <c r="SCW1" s="28"/>
      <c r="SCX1" s="28"/>
      <c r="SCY1" s="28"/>
      <c r="SCZ1" s="28"/>
      <c r="SDA1" s="28"/>
      <c r="SDB1" s="28"/>
      <c r="SDC1" s="28"/>
      <c r="SDD1" s="28"/>
      <c r="SDE1" s="28"/>
      <c r="SDF1" s="28"/>
      <c r="SDG1" s="28"/>
      <c r="SDH1" s="28"/>
      <c r="SDI1" s="28"/>
      <c r="SDJ1" s="28"/>
      <c r="SDK1" s="28"/>
      <c r="SDL1" s="28"/>
      <c r="SDM1" s="28"/>
      <c r="SDN1" s="28"/>
      <c r="SDO1" s="28"/>
      <c r="SDP1" s="28"/>
      <c r="SDQ1" s="28"/>
      <c r="SDR1" s="28"/>
      <c r="SDS1" s="28"/>
      <c r="SDT1" s="28"/>
      <c r="SDU1" s="28"/>
      <c r="SDV1" s="28"/>
      <c r="SDW1" s="28"/>
      <c r="SDX1" s="28"/>
      <c r="SDY1" s="28"/>
      <c r="SDZ1" s="28"/>
      <c r="SEA1" s="28"/>
      <c r="SEB1" s="28"/>
      <c r="SEC1" s="28"/>
      <c r="SED1" s="28"/>
      <c r="SEE1" s="28"/>
      <c r="SEF1" s="28"/>
      <c r="SEG1" s="28"/>
      <c r="SEH1" s="28"/>
      <c r="SEI1" s="28"/>
      <c r="SEJ1" s="28"/>
      <c r="SEK1" s="28"/>
      <c r="SEL1" s="28"/>
      <c r="SEM1" s="28"/>
      <c r="SEN1" s="28"/>
      <c r="SEO1" s="28"/>
      <c r="SEP1" s="28"/>
      <c r="SEQ1" s="28"/>
      <c r="SER1" s="28"/>
      <c r="SES1" s="28"/>
      <c r="SET1" s="28"/>
      <c r="SEU1" s="28"/>
      <c r="SEV1" s="28"/>
      <c r="SEW1" s="28"/>
      <c r="SEX1" s="28"/>
      <c r="SEY1" s="28"/>
      <c r="SEZ1" s="28"/>
      <c r="SFA1" s="28"/>
      <c r="SFB1" s="28"/>
      <c r="SFC1" s="28"/>
      <c r="SFD1" s="28"/>
      <c r="SFE1" s="28"/>
      <c r="SFF1" s="28"/>
      <c r="SFG1" s="28"/>
      <c r="SFH1" s="28"/>
      <c r="SFI1" s="28"/>
      <c r="SFJ1" s="28"/>
      <c r="SFK1" s="28"/>
      <c r="SFL1" s="28"/>
      <c r="SFM1" s="28"/>
      <c r="SFN1" s="28"/>
      <c r="SFO1" s="28"/>
      <c r="SFP1" s="28"/>
      <c r="SFQ1" s="28"/>
      <c r="SFR1" s="28"/>
      <c r="SFS1" s="28"/>
      <c r="SFT1" s="28"/>
      <c r="SFU1" s="28"/>
      <c r="SFV1" s="28"/>
      <c r="SFW1" s="28"/>
      <c r="SFX1" s="28"/>
      <c r="SFY1" s="28"/>
      <c r="SFZ1" s="28"/>
      <c r="SGA1" s="28"/>
      <c r="SGB1" s="28"/>
      <c r="SGC1" s="28"/>
      <c r="SGD1" s="28"/>
      <c r="SGE1" s="28"/>
      <c r="SGF1" s="28"/>
      <c r="SGG1" s="28"/>
      <c r="SGH1" s="28"/>
      <c r="SGI1" s="28"/>
      <c r="SGJ1" s="28"/>
      <c r="SGK1" s="28"/>
      <c r="SGL1" s="28"/>
      <c r="SGM1" s="28"/>
      <c r="SGN1" s="28"/>
      <c r="SGO1" s="28"/>
      <c r="SGP1" s="28"/>
      <c r="SGQ1" s="28"/>
      <c r="SGR1" s="28"/>
      <c r="SGS1" s="28"/>
      <c r="SGT1" s="28"/>
      <c r="SGU1" s="28"/>
      <c r="SGV1" s="28"/>
      <c r="SGW1" s="28"/>
      <c r="SGX1" s="28"/>
      <c r="SGY1" s="28"/>
      <c r="SGZ1" s="28"/>
      <c r="SHA1" s="28"/>
      <c r="SHB1" s="28"/>
      <c r="SHC1" s="28"/>
      <c r="SHD1" s="28"/>
      <c r="SHE1" s="28"/>
      <c r="SHF1" s="28"/>
      <c r="SHG1" s="28"/>
      <c r="SHH1" s="28"/>
      <c r="SHI1" s="28"/>
      <c r="SHJ1" s="28"/>
      <c r="SHK1" s="28"/>
      <c r="SHL1" s="28"/>
      <c r="SHM1" s="28"/>
      <c r="SHN1" s="28"/>
      <c r="SHO1" s="28"/>
      <c r="SHP1" s="28"/>
      <c r="SHQ1" s="28"/>
      <c r="SHR1" s="28"/>
      <c r="SHS1" s="28"/>
      <c r="SHT1" s="28"/>
      <c r="SHU1" s="28"/>
      <c r="SHV1" s="28"/>
      <c r="SHW1" s="28"/>
      <c r="SHX1" s="28"/>
      <c r="SHY1" s="28"/>
      <c r="SHZ1" s="28"/>
      <c r="SIA1" s="28"/>
      <c r="SIB1" s="28"/>
      <c r="SIC1" s="28"/>
      <c r="SID1" s="28"/>
      <c r="SIE1" s="28"/>
      <c r="SIF1" s="28"/>
      <c r="SIG1" s="28"/>
      <c r="SIH1" s="28"/>
      <c r="SII1" s="28"/>
      <c r="SIJ1" s="28"/>
      <c r="SIK1" s="28"/>
      <c r="SIL1" s="28"/>
      <c r="SIM1" s="28"/>
      <c r="SIN1" s="28"/>
      <c r="SIO1" s="28"/>
      <c r="SIP1" s="28"/>
      <c r="SIQ1" s="28"/>
      <c r="SIR1" s="28"/>
      <c r="SIS1" s="28"/>
      <c r="SIT1" s="28"/>
      <c r="SIU1" s="28"/>
      <c r="SIV1" s="28"/>
      <c r="SIW1" s="28"/>
      <c r="SIX1" s="28"/>
      <c r="SIY1" s="28"/>
      <c r="SIZ1" s="28"/>
      <c r="SJA1" s="28"/>
      <c r="SJB1" s="28"/>
      <c r="SJC1" s="28"/>
      <c r="SJD1" s="28"/>
      <c r="SJE1" s="28"/>
      <c r="SJF1" s="28"/>
      <c r="SJG1" s="28"/>
      <c r="SJH1" s="28"/>
      <c r="SJI1" s="28"/>
      <c r="SJJ1" s="28"/>
      <c r="SJK1" s="28"/>
      <c r="SJL1" s="28"/>
      <c r="SJM1" s="28"/>
      <c r="SJN1" s="28"/>
      <c r="SJO1" s="28"/>
      <c r="SJP1" s="28"/>
      <c r="SJQ1" s="28"/>
      <c r="SJR1" s="28"/>
      <c r="SJS1" s="28"/>
      <c r="SJT1" s="28"/>
      <c r="SJU1" s="28"/>
      <c r="SJV1" s="28"/>
      <c r="SJW1" s="28"/>
      <c r="SJX1" s="28"/>
      <c r="SJY1" s="28"/>
      <c r="SJZ1" s="28"/>
      <c r="SKA1" s="28"/>
      <c r="SKB1" s="28"/>
      <c r="SKC1" s="28"/>
      <c r="SKD1" s="28"/>
      <c r="SKE1" s="28"/>
      <c r="SKF1" s="28"/>
      <c r="SKG1" s="28"/>
      <c r="SKH1" s="28"/>
      <c r="SKI1" s="28"/>
      <c r="SKJ1" s="28"/>
      <c r="SKK1" s="28"/>
      <c r="SKL1" s="28"/>
      <c r="SKM1" s="28"/>
      <c r="SKN1" s="28"/>
      <c r="SKO1" s="28"/>
      <c r="SKP1" s="28"/>
      <c r="SKQ1" s="28"/>
      <c r="SKR1" s="28"/>
      <c r="SKS1" s="28"/>
      <c r="SKT1" s="28"/>
      <c r="SKU1" s="28"/>
      <c r="SKV1" s="28"/>
      <c r="SKW1" s="28"/>
      <c r="SKX1" s="28"/>
      <c r="SKY1" s="28"/>
      <c r="SKZ1" s="28"/>
      <c r="SLA1" s="28"/>
      <c r="SLB1" s="28"/>
      <c r="SLC1" s="28"/>
      <c r="SLD1" s="28"/>
      <c r="SLE1" s="28"/>
      <c r="SLF1" s="28"/>
      <c r="SLG1" s="28"/>
      <c r="SLH1" s="28"/>
      <c r="SLI1" s="28"/>
      <c r="SLJ1" s="28"/>
      <c r="SLK1" s="28"/>
      <c r="SLL1" s="28"/>
      <c r="SLM1" s="28"/>
      <c r="SLN1" s="28"/>
      <c r="SLO1" s="28"/>
      <c r="SLP1" s="28"/>
      <c r="SLQ1" s="28"/>
      <c r="SLR1" s="28"/>
      <c r="SLS1" s="28"/>
      <c r="SLT1" s="28"/>
      <c r="SLU1" s="28"/>
      <c r="SLV1" s="28"/>
      <c r="SLW1" s="28"/>
      <c r="SLX1" s="28"/>
      <c r="SLY1" s="28"/>
      <c r="SLZ1" s="28"/>
      <c r="SMA1" s="28"/>
      <c r="SMB1" s="28"/>
      <c r="SMC1" s="28"/>
      <c r="SMD1" s="28"/>
      <c r="SME1" s="28"/>
      <c r="SMF1" s="28"/>
      <c r="SMG1" s="28"/>
      <c r="SMH1" s="28"/>
      <c r="SMI1" s="28"/>
      <c r="SMJ1" s="28"/>
      <c r="SMK1" s="28"/>
      <c r="SML1" s="28"/>
      <c r="SMM1" s="28"/>
      <c r="SMN1" s="28"/>
      <c r="SMO1" s="28"/>
      <c r="SMP1" s="28"/>
      <c r="SMQ1" s="28"/>
      <c r="SMR1" s="28"/>
      <c r="SMS1" s="28"/>
      <c r="SMT1" s="28"/>
      <c r="SMU1" s="28"/>
      <c r="SMV1" s="28"/>
      <c r="SMW1" s="28"/>
      <c r="SMX1" s="28"/>
      <c r="SMY1" s="28"/>
      <c r="SMZ1" s="28"/>
      <c r="SNA1" s="28"/>
      <c r="SNB1" s="28"/>
      <c r="SNC1" s="28"/>
      <c r="SND1" s="28"/>
      <c r="SNE1" s="28"/>
      <c r="SNF1" s="28"/>
      <c r="SNG1" s="28"/>
      <c r="SNH1" s="28"/>
      <c r="SNI1" s="28"/>
      <c r="SNJ1" s="28"/>
      <c r="SNK1" s="28"/>
      <c r="SNL1" s="28"/>
      <c r="SNM1" s="28"/>
      <c r="SNN1" s="28"/>
      <c r="SNO1" s="28"/>
      <c r="SNP1" s="28"/>
      <c r="SNQ1" s="28"/>
      <c r="SNR1" s="28"/>
      <c r="SNS1" s="28"/>
      <c r="SNT1" s="28"/>
      <c r="SNU1" s="28"/>
      <c r="SNV1" s="28"/>
      <c r="SNW1" s="28"/>
      <c r="SNX1" s="28"/>
      <c r="SNY1" s="28"/>
      <c r="SNZ1" s="28"/>
      <c r="SOA1" s="28"/>
      <c r="SOB1" s="28"/>
      <c r="SOC1" s="28"/>
      <c r="SOD1" s="28"/>
      <c r="SOE1" s="28"/>
      <c r="SOF1" s="28"/>
      <c r="SOG1" s="28"/>
      <c r="SOH1" s="28"/>
      <c r="SOI1" s="28"/>
      <c r="SOJ1" s="28"/>
      <c r="SOK1" s="28"/>
      <c r="SOL1" s="28"/>
      <c r="SOM1" s="28"/>
      <c r="SON1" s="28"/>
      <c r="SOO1" s="28"/>
      <c r="SOP1" s="28"/>
      <c r="SOQ1" s="28"/>
      <c r="SOR1" s="28"/>
      <c r="SOS1" s="28"/>
      <c r="SOT1" s="28"/>
      <c r="SOU1" s="28"/>
      <c r="SOV1" s="28"/>
      <c r="SOW1" s="28"/>
      <c r="SOX1" s="28"/>
      <c r="SOY1" s="28"/>
      <c r="SOZ1" s="28"/>
      <c r="SPA1" s="28"/>
      <c r="SPB1" s="28"/>
      <c r="SPC1" s="28"/>
      <c r="SPD1" s="28"/>
      <c r="SPE1" s="28"/>
      <c r="SPF1" s="28"/>
      <c r="SPG1" s="28"/>
      <c r="SPH1" s="28"/>
      <c r="SPI1" s="28"/>
      <c r="SPJ1" s="28"/>
      <c r="SPK1" s="28"/>
      <c r="SPL1" s="28"/>
      <c r="SPM1" s="28"/>
      <c r="SPN1" s="28"/>
      <c r="SPO1" s="28"/>
      <c r="SPP1" s="28"/>
      <c r="SPQ1" s="28"/>
      <c r="SPR1" s="28"/>
      <c r="SPS1" s="28"/>
      <c r="SPT1" s="28"/>
      <c r="SPU1" s="28"/>
      <c r="SPV1" s="28"/>
      <c r="SPW1" s="28"/>
      <c r="SPX1" s="28"/>
      <c r="SPY1" s="28"/>
      <c r="SPZ1" s="28"/>
      <c r="SQA1" s="28"/>
      <c r="SQB1" s="28"/>
      <c r="SQC1" s="28"/>
      <c r="SQD1" s="28"/>
      <c r="SQE1" s="28"/>
      <c r="SQF1" s="28"/>
      <c r="SQG1" s="28"/>
      <c r="SQH1" s="28"/>
      <c r="SQI1" s="28"/>
      <c r="SQJ1" s="28"/>
      <c r="SQK1" s="28"/>
      <c r="SQL1" s="28"/>
      <c r="SQM1" s="28"/>
      <c r="SQN1" s="28"/>
      <c r="SQO1" s="28"/>
      <c r="SQP1" s="28"/>
      <c r="SQQ1" s="28"/>
      <c r="SQR1" s="28"/>
      <c r="SQS1" s="28"/>
      <c r="SQT1" s="28"/>
      <c r="SQU1" s="28"/>
      <c r="SQV1" s="28"/>
      <c r="SQW1" s="28"/>
      <c r="SQX1" s="28"/>
      <c r="SQY1" s="28"/>
      <c r="SQZ1" s="28"/>
      <c r="SRA1" s="28"/>
      <c r="SRB1" s="28"/>
      <c r="SRC1" s="28"/>
      <c r="SRD1" s="28"/>
      <c r="SRE1" s="28"/>
      <c r="SRF1" s="28"/>
      <c r="SRG1" s="28"/>
      <c r="SRH1" s="28"/>
      <c r="SRI1" s="28"/>
      <c r="SRJ1" s="28"/>
      <c r="SRK1" s="28"/>
      <c r="SRL1" s="28"/>
      <c r="SRM1" s="28"/>
      <c r="SRN1" s="28"/>
      <c r="SRO1" s="28"/>
      <c r="SRP1" s="28"/>
      <c r="SRQ1" s="28"/>
      <c r="SRR1" s="28"/>
      <c r="SRS1" s="28"/>
      <c r="SRT1" s="28"/>
      <c r="SRU1" s="28"/>
      <c r="SRV1" s="28"/>
      <c r="SRW1" s="28"/>
      <c r="SRX1" s="28"/>
      <c r="SRY1" s="28"/>
      <c r="SRZ1" s="28"/>
      <c r="SSA1" s="28"/>
      <c r="SSB1" s="28"/>
      <c r="SSC1" s="28"/>
      <c r="SSD1" s="28"/>
      <c r="SSE1" s="28"/>
      <c r="SSF1" s="28"/>
      <c r="SSG1" s="28"/>
      <c r="SSH1" s="28"/>
      <c r="SSI1" s="28"/>
      <c r="SSJ1" s="28"/>
      <c r="SSK1" s="28"/>
      <c r="SSL1" s="28"/>
      <c r="SSM1" s="28"/>
      <c r="SSN1" s="28"/>
      <c r="SSO1" s="28"/>
      <c r="SSP1" s="28"/>
      <c r="SSQ1" s="28"/>
      <c r="SSR1" s="28"/>
      <c r="SSS1" s="28"/>
      <c r="SST1" s="28"/>
      <c r="SSU1" s="28"/>
      <c r="SSV1" s="28"/>
      <c r="SSW1" s="28"/>
      <c r="SSX1" s="28"/>
      <c r="SSY1" s="28"/>
      <c r="SSZ1" s="28"/>
      <c r="STA1" s="28"/>
      <c r="STB1" s="28"/>
      <c r="STC1" s="28"/>
      <c r="STD1" s="28"/>
      <c r="STE1" s="28"/>
      <c r="STF1" s="28"/>
      <c r="STG1" s="28"/>
      <c r="STH1" s="28"/>
      <c r="STI1" s="28"/>
      <c r="STJ1" s="28"/>
      <c r="STK1" s="28"/>
      <c r="STL1" s="28"/>
      <c r="STM1" s="28"/>
      <c r="STN1" s="28"/>
      <c r="STO1" s="28"/>
      <c r="STP1" s="28"/>
      <c r="STQ1" s="28"/>
      <c r="STR1" s="28"/>
      <c r="STS1" s="28"/>
      <c r="STT1" s="28"/>
      <c r="STU1" s="28"/>
      <c r="STV1" s="28"/>
      <c r="STW1" s="28"/>
      <c r="STX1" s="28"/>
      <c r="STY1" s="28"/>
      <c r="STZ1" s="28"/>
      <c r="SUA1" s="28"/>
      <c r="SUB1" s="28"/>
      <c r="SUC1" s="28"/>
      <c r="SUD1" s="28"/>
      <c r="SUE1" s="28"/>
      <c r="SUF1" s="28"/>
      <c r="SUG1" s="28"/>
      <c r="SUH1" s="28"/>
      <c r="SUI1" s="28"/>
      <c r="SUJ1" s="28"/>
      <c r="SUK1" s="28"/>
      <c r="SUL1" s="28"/>
      <c r="SUM1" s="28"/>
      <c r="SUN1" s="28"/>
      <c r="SUO1" s="28"/>
      <c r="SUP1" s="28"/>
      <c r="SUQ1" s="28"/>
      <c r="SUR1" s="28"/>
      <c r="SUS1" s="28"/>
      <c r="SUT1" s="28"/>
      <c r="SUU1" s="28"/>
      <c r="SUV1" s="28"/>
      <c r="SUW1" s="28"/>
      <c r="SUX1" s="28"/>
      <c r="SUY1" s="28"/>
      <c r="SUZ1" s="28"/>
      <c r="SVA1" s="28"/>
      <c r="SVB1" s="28"/>
      <c r="SVC1" s="28"/>
      <c r="SVD1" s="28"/>
      <c r="SVE1" s="28"/>
      <c r="SVF1" s="28"/>
      <c r="SVG1" s="28"/>
      <c r="SVH1" s="28"/>
      <c r="SVI1" s="28"/>
      <c r="SVJ1" s="28"/>
      <c r="SVK1" s="28"/>
      <c r="SVL1" s="28"/>
      <c r="SVM1" s="28"/>
      <c r="SVN1" s="28"/>
      <c r="SVO1" s="28"/>
      <c r="SVP1" s="28"/>
      <c r="SVQ1" s="28"/>
      <c r="SVR1" s="28"/>
      <c r="SVS1" s="28"/>
      <c r="SVT1" s="28"/>
      <c r="SVU1" s="28"/>
      <c r="SVV1" s="28"/>
      <c r="SVW1" s="28"/>
      <c r="SVX1" s="28"/>
      <c r="SVY1" s="28"/>
      <c r="SVZ1" s="28"/>
      <c r="SWA1" s="28"/>
      <c r="SWB1" s="28"/>
      <c r="SWC1" s="28"/>
      <c r="SWD1" s="28"/>
      <c r="SWE1" s="28"/>
      <c r="SWF1" s="28"/>
      <c r="SWG1" s="28"/>
      <c r="SWH1" s="28"/>
      <c r="SWI1" s="28"/>
      <c r="SWJ1" s="28"/>
      <c r="SWK1" s="28"/>
      <c r="SWL1" s="28"/>
      <c r="SWM1" s="28"/>
      <c r="SWN1" s="28"/>
      <c r="SWO1" s="28"/>
      <c r="SWP1" s="28"/>
      <c r="SWQ1" s="28"/>
      <c r="SWR1" s="28"/>
      <c r="SWS1" s="28"/>
      <c r="SWT1" s="28"/>
      <c r="SWU1" s="28"/>
      <c r="SWV1" s="28"/>
      <c r="SWW1" s="28"/>
      <c r="SWX1" s="28"/>
      <c r="SWY1" s="28"/>
      <c r="SWZ1" s="28"/>
      <c r="SXA1" s="28"/>
      <c r="SXB1" s="28"/>
      <c r="SXC1" s="28"/>
      <c r="SXD1" s="28"/>
      <c r="SXE1" s="28"/>
      <c r="SXF1" s="28"/>
      <c r="SXG1" s="28"/>
      <c r="SXH1" s="28"/>
      <c r="SXI1" s="28"/>
      <c r="SXJ1" s="28"/>
      <c r="SXK1" s="28"/>
      <c r="SXL1" s="28"/>
      <c r="SXM1" s="28"/>
      <c r="SXN1" s="28"/>
      <c r="SXO1" s="28"/>
      <c r="SXP1" s="28"/>
      <c r="SXQ1" s="28"/>
      <c r="SXR1" s="28"/>
      <c r="SXS1" s="28"/>
      <c r="SXT1" s="28"/>
      <c r="SXU1" s="28"/>
      <c r="SXV1" s="28"/>
      <c r="SXW1" s="28"/>
      <c r="SXX1" s="28"/>
      <c r="SXY1" s="28"/>
      <c r="SXZ1" s="28"/>
      <c r="SYA1" s="28"/>
      <c r="SYB1" s="28"/>
      <c r="SYC1" s="28"/>
      <c r="SYD1" s="28"/>
      <c r="SYE1" s="28"/>
      <c r="SYF1" s="28"/>
      <c r="SYG1" s="28"/>
      <c r="SYH1" s="28"/>
      <c r="SYI1" s="28"/>
      <c r="SYJ1" s="28"/>
      <c r="SYK1" s="28"/>
      <c r="SYL1" s="28"/>
      <c r="SYM1" s="28"/>
      <c r="SYN1" s="28"/>
      <c r="SYO1" s="28"/>
      <c r="SYP1" s="28"/>
      <c r="SYQ1" s="28"/>
      <c r="SYR1" s="28"/>
      <c r="SYS1" s="28"/>
      <c r="SYT1" s="28"/>
      <c r="SYU1" s="28"/>
      <c r="SYV1" s="28"/>
      <c r="SYW1" s="28"/>
      <c r="SYX1" s="28"/>
      <c r="SYY1" s="28"/>
      <c r="SYZ1" s="28"/>
      <c r="SZA1" s="28"/>
      <c r="SZB1" s="28"/>
      <c r="SZC1" s="28"/>
      <c r="SZD1" s="28"/>
      <c r="SZE1" s="28"/>
      <c r="SZF1" s="28"/>
      <c r="SZG1" s="28"/>
      <c r="SZH1" s="28"/>
      <c r="SZI1" s="28"/>
      <c r="SZJ1" s="28"/>
      <c r="SZK1" s="28"/>
      <c r="SZL1" s="28"/>
      <c r="SZM1" s="28"/>
      <c r="SZN1" s="28"/>
      <c r="SZO1" s="28"/>
      <c r="SZP1" s="28"/>
      <c r="SZQ1" s="28"/>
      <c r="SZR1" s="28"/>
      <c r="SZS1" s="28"/>
      <c r="SZT1" s="28"/>
      <c r="SZU1" s="28"/>
      <c r="SZV1" s="28"/>
      <c r="SZW1" s="28"/>
      <c r="SZX1" s="28"/>
      <c r="SZY1" s="28"/>
      <c r="SZZ1" s="28"/>
      <c r="TAA1" s="28"/>
      <c r="TAB1" s="28"/>
      <c r="TAC1" s="28"/>
      <c r="TAD1" s="28"/>
      <c r="TAE1" s="28"/>
      <c r="TAF1" s="28"/>
      <c r="TAG1" s="28"/>
      <c r="TAH1" s="28"/>
      <c r="TAI1" s="28"/>
      <c r="TAJ1" s="28"/>
      <c r="TAK1" s="28"/>
      <c r="TAL1" s="28"/>
      <c r="TAM1" s="28"/>
      <c r="TAN1" s="28"/>
      <c r="TAO1" s="28"/>
      <c r="TAP1" s="28"/>
      <c r="TAQ1" s="28"/>
      <c r="TAR1" s="28"/>
      <c r="TAS1" s="28"/>
      <c r="TAT1" s="28"/>
      <c r="TAU1" s="28"/>
      <c r="TAV1" s="28"/>
      <c r="TAW1" s="28"/>
      <c r="TAX1" s="28"/>
      <c r="TAY1" s="28"/>
      <c r="TAZ1" s="28"/>
      <c r="TBA1" s="28"/>
      <c r="TBB1" s="28"/>
      <c r="TBC1" s="28"/>
      <c r="TBD1" s="28"/>
      <c r="TBE1" s="28"/>
      <c r="TBF1" s="28"/>
      <c r="TBG1" s="28"/>
      <c r="TBH1" s="28"/>
      <c r="TBI1" s="28"/>
      <c r="TBJ1" s="28"/>
      <c r="TBK1" s="28"/>
      <c r="TBL1" s="28"/>
      <c r="TBM1" s="28"/>
      <c r="TBN1" s="28"/>
      <c r="TBO1" s="28"/>
      <c r="TBP1" s="28"/>
      <c r="TBQ1" s="28"/>
      <c r="TBR1" s="28"/>
      <c r="TBS1" s="28"/>
      <c r="TBT1" s="28"/>
      <c r="TBU1" s="28"/>
      <c r="TBV1" s="28"/>
      <c r="TBW1" s="28"/>
      <c r="TBX1" s="28"/>
      <c r="TBY1" s="28"/>
      <c r="TBZ1" s="28"/>
      <c r="TCA1" s="28"/>
      <c r="TCB1" s="28"/>
      <c r="TCC1" s="28"/>
      <c r="TCD1" s="28"/>
      <c r="TCE1" s="28"/>
      <c r="TCF1" s="28"/>
      <c r="TCG1" s="28"/>
      <c r="TCH1" s="28"/>
      <c r="TCI1" s="28"/>
      <c r="TCJ1" s="28"/>
      <c r="TCK1" s="28"/>
      <c r="TCL1" s="28"/>
      <c r="TCM1" s="28"/>
      <c r="TCN1" s="28"/>
      <c r="TCO1" s="28"/>
      <c r="TCP1" s="28"/>
      <c r="TCQ1" s="28"/>
      <c r="TCR1" s="28"/>
      <c r="TCS1" s="28"/>
      <c r="TCT1" s="28"/>
      <c r="TCU1" s="28"/>
      <c r="TCV1" s="28"/>
      <c r="TCW1" s="28"/>
      <c r="TCX1" s="28"/>
      <c r="TCY1" s="28"/>
      <c r="TCZ1" s="28"/>
      <c r="TDA1" s="28"/>
      <c r="TDB1" s="28"/>
      <c r="TDC1" s="28"/>
      <c r="TDD1" s="28"/>
      <c r="TDE1" s="28"/>
      <c r="TDF1" s="28"/>
      <c r="TDG1" s="28"/>
      <c r="TDH1" s="28"/>
      <c r="TDI1" s="28"/>
      <c r="TDJ1" s="28"/>
      <c r="TDK1" s="28"/>
      <c r="TDL1" s="28"/>
      <c r="TDM1" s="28"/>
      <c r="TDN1" s="28"/>
      <c r="TDO1" s="28"/>
      <c r="TDP1" s="28"/>
      <c r="TDQ1" s="28"/>
      <c r="TDR1" s="28"/>
      <c r="TDS1" s="28"/>
      <c r="TDT1" s="28"/>
      <c r="TDU1" s="28"/>
      <c r="TDV1" s="28"/>
      <c r="TDW1" s="28"/>
      <c r="TDX1" s="28"/>
      <c r="TDY1" s="28"/>
      <c r="TDZ1" s="28"/>
      <c r="TEA1" s="28"/>
      <c r="TEB1" s="28"/>
      <c r="TEC1" s="28"/>
      <c r="TED1" s="28"/>
      <c r="TEE1" s="28"/>
      <c r="TEF1" s="28"/>
      <c r="TEG1" s="28"/>
      <c r="TEH1" s="28"/>
      <c r="TEI1" s="28"/>
      <c r="TEJ1" s="28"/>
      <c r="TEK1" s="28"/>
      <c r="TEL1" s="28"/>
      <c r="TEM1" s="28"/>
      <c r="TEN1" s="28"/>
      <c r="TEO1" s="28"/>
      <c r="TEP1" s="28"/>
      <c r="TEQ1" s="28"/>
      <c r="TER1" s="28"/>
      <c r="TES1" s="28"/>
      <c r="TET1" s="28"/>
      <c r="TEU1" s="28"/>
      <c r="TEV1" s="28"/>
      <c r="TEW1" s="28"/>
      <c r="TEX1" s="28"/>
      <c r="TEY1" s="28"/>
      <c r="TEZ1" s="28"/>
      <c r="TFA1" s="28"/>
      <c r="TFB1" s="28"/>
      <c r="TFC1" s="28"/>
      <c r="TFD1" s="28"/>
      <c r="TFE1" s="28"/>
      <c r="TFF1" s="28"/>
      <c r="TFG1" s="28"/>
      <c r="TFH1" s="28"/>
      <c r="TFI1" s="28"/>
      <c r="TFJ1" s="28"/>
      <c r="TFK1" s="28"/>
      <c r="TFL1" s="28"/>
      <c r="TFM1" s="28"/>
      <c r="TFN1" s="28"/>
      <c r="TFO1" s="28"/>
      <c r="TFP1" s="28"/>
      <c r="TFQ1" s="28"/>
      <c r="TFR1" s="28"/>
      <c r="TFS1" s="28"/>
      <c r="TFT1" s="28"/>
      <c r="TFU1" s="28"/>
      <c r="TFV1" s="28"/>
      <c r="TFW1" s="28"/>
      <c r="TFX1" s="28"/>
      <c r="TFY1" s="28"/>
      <c r="TFZ1" s="28"/>
      <c r="TGA1" s="28"/>
      <c r="TGB1" s="28"/>
      <c r="TGC1" s="28"/>
      <c r="TGD1" s="28"/>
      <c r="TGE1" s="28"/>
      <c r="TGF1" s="28"/>
      <c r="TGG1" s="28"/>
      <c r="TGH1" s="28"/>
      <c r="TGI1" s="28"/>
      <c r="TGJ1" s="28"/>
      <c r="TGK1" s="28"/>
      <c r="TGL1" s="28"/>
      <c r="TGM1" s="28"/>
      <c r="TGN1" s="28"/>
      <c r="TGO1" s="28"/>
      <c r="TGP1" s="28"/>
      <c r="TGQ1" s="28"/>
      <c r="TGR1" s="28"/>
      <c r="TGS1" s="28"/>
      <c r="TGT1" s="28"/>
      <c r="TGU1" s="28"/>
      <c r="TGV1" s="28"/>
      <c r="TGW1" s="28"/>
      <c r="TGX1" s="28"/>
      <c r="TGY1" s="28"/>
      <c r="TGZ1" s="28"/>
      <c r="THA1" s="28"/>
      <c r="THB1" s="28"/>
      <c r="THC1" s="28"/>
      <c r="THD1" s="28"/>
      <c r="THE1" s="28"/>
      <c r="THF1" s="28"/>
      <c r="THG1" s="28"/>
      <c r="THH1" s="28"/>
      <c r="THI1" s="28"/>
      <c r="THJ1" s="28"/>
      <c r="THK1" s="28"/>
      <c r="THL1" s="28"/>
      <c r="THM1" s="28"/>
      <c r="THN1" s="28"/>
      <c r="THO1" s="28"/>
      <c r="THP1" s="28"/>
      <c r="THQ1" s="28"/>
      <c r="THR1" s="28"/>
      <c r="THS1" s="28"/>
      <c r="THT1" s="28"/>
      <c r="THU1" s="28"/>
      <c r="THV1" s="28"/>
      <c r="THW1" s="28"/>
      <c r="THX1" s="28"/>
      <c r="THY1" s="28"/>
      <c r="THZ1" s="28"/>
      <c r="TIA1" s="28"/>
      <c r="TIB1" s="28"/>
      <c r="TIC1" s="28"/>
      <c r="TID1" s="28"/>
      <c r="TIE1" s="28"/>
      <c r="TIF1" s="28"/>
      <c r="TIG1" s="28"/>
      <c r="TIH1" s="28"/>
      <c r="TII1" s="28"/>
      <c r="TIJ1" s="28"/>
      <c r="TIK1" s="28"/>
      <c r="TIL1" s="28"/>
      <c r="TIM1" s="28"/>
      <c r="TIN1" s="28"/>
      <c r="TIO1" s="28"/>
      <c r="TIP1" s="28"/>
      <c r="TIQ1" s="28"/>
      <c r="TIR1" s="28"/>
      <c r="TIS1" s="28"/>
      <c r="TIT1" s="28"/>
      <c r="TIU1" s="28"/>
      <c r="TIV1" s="28"/>
      <c r="TIW1" s="28"/>
      <c r="TIX1" s="28"/>
      <c r="TIY1" s="28"/>
      <c r="TIZ1" s="28"/>
      <c r="TJA1" s="28"/>
      <c r="TJB1" s="28"/>
      <c r="TJC1" s="28"/>
      <c r="TJD1" s="28"/>
      <c r="TJE1" s="28"/>
      <c r="TJF1" s="28"/>
      <c r="TJG1" s="28"/>
      <c r="TJH1" s="28"/>
      <c r="TJI1" s="28"/>
      <c r="TJJ1" s="28"/>
      <c r="TJK1" s="28"/>
      <c r="TJL1" s="28"/>
      <c r="TJM1" s="28"/>
      <c r="TJN1" s="28"/>
      <c r="TJO1" s="28"/>
      <c r="TJP1" s="28"/>
      <c r="TJQ1" s="28"/>
      <c r="TJR1" s="28"/>
      <c r="TJS1" s="28"/>
      <c r="TJT1" s="28"/>
      <c r="TJU1" s="28"/>
      <c r="TJV1" s="28"/>
      <c r="TJW1" s="28"/>
      <c r="TJX1" s="28"/>
      <c r="TJY1" s="28"/>
      <c r="TJZ1" s="28"/>
      <c r="TKA1" s="28"/>
      <c r="TKB1" s="28"/>
      <c r="TKC1" s="28"/>
      <c r="TKD1" s="28"/>
      <c r="TKE1" s="28"/>
      <c r="TKF1" s="28"/>
      <c r="TKG1" s="28"/>
      <c r="TKH1" s="28"/>
      <c r="TKI1" s="28"/>
      <c r="TKJ1" s="28"/>
      <c r="TKK1" s="28"/>
      <c r="TKL1" s="28"/>
      <c r="TKM1" s="28"/>
      <c r="TKN1" s="28"/>
      <c r="TKO1" s="28"/>
      <c r="TKP1" s="28"/>
      <c r="TKQ1" s="28"/>
      <c r="TKR1" s="28"/>
      <c r="TKS1" s="28"/>
      <c r="TKT1" s="28"/>
      <c r="TKU1" s="28"/>
      <c r="TKV1" s="28"/>
      <c r="TKW1" s="28"/>
      <c r="TKX1" s="28"/>
      <c r="TKY1" s="28"/>
      <c r="TKZ1" s="28"/>
      <c r="TLA1" s="28"/>
      <c r="TLB1" s="28"/>
      <c r="TLC1" s="28"/>
      <c r="TLD1" s="28"/>
      <c r="TLE1" s="28"/>
      <c r="TLF1" s="28"/>
      <c r="TLG1" s="28"/>
      <c r="TLH1" s="28"/>
      <c r="TLI1" s="28"/>
      <c r="TLJ1" s="28"/>
      <c r="TLK1" s="28"/>
      <c r="TLL1" s="28"/>
      <c r="TLM1" s="28"/>
      <c r="TLN1" s="28"/>
      <c r="TLO1" s="28"/>
      <c r="TLP1" s="28"/>
      <c r="TLQ1" s="28"/>
      <c r="TLR1" s="28"/>
      <c r="TLS1" s="28"/>
      <c r="TLT1" s="28"/>
      <c r="TLU1" s="28"/>
      <c r="TLV1" s="28"/>
      <c r="TLW1" s="28"/>
      <c r="TLX1" s="28"/>
      <c r="TLY1" s="28"/>
      <c r="TLZ1" s="28"/>
      <c r="TMA1" s="28"/>
      <c r="TMB1" s="28"/>
      <c r="TMC1" s="28"/>
      <c r="TMD1" s="28"/>
      <c r="TME1" s="28"/>
      <c r="TMF1" s="28"/>
      <c r="TMG1" s="28"/>
      <c r="TMH1" s="28"/>
      <c r="TMI1" s="28"/>
      <c r="TMJ1" s="28"/>
      <c r="TMK1" s="28"/>
      <c r="TML1" s="28"/>
      <c r="TMM1" s="28"/>
      <c r="TMN1" s="28"/>
      <c r="TMO1" s="28"/>
      <c r="TMP1" s="28"/>
      <c r="TMQ1" s="28"/>
      <c r="TMR1" s="28"/>
      <c r="TMS1" s="28"/>
      <c r="TMT1" s="28"/>
      <c r="TMU1" s="28"/>
      <c r="TMV1" s="28"/>
      <c r="TMW1" s="28"/>
      <c r="TMX1" s="28"/>
      <c r="TMY1" s="28"/>
      <c r="TMZ1" s="28"/>
      <c r="TNA1" s="28"/>
      <c r="TNB1" s="28"/>
      <c r="TNC1" s="28"/>
      <c r="TND1" s="28"/>
      <c r="TNE1" s="28"/>
      <c r="TNF1" s="28"/>
      <c r="TNG1" s="28"/>
      <c r="TNH1" s="28"/>
      <c r="TNI1" s="28"/>
      <c r="TNJ1" s="28"/>
      <c r="TNK1" s="28"/>
      <c r="TNL1" s="28"/>
      <c r="TNM1" s="28"/>
      <c r="TNN1" s="28"/>
      <c r="TNO1" s="28"/>
      <c r="TNP1" s="28"/>
      <c r="TNQ1" s="28"/>
      <c r="TNR1" s="28"/>
      <c r="TNS1" s="28"/>
      <c r="TNT1" s="28"/>
      <c r="TNU1" s="28"/>
      <c r="TNV1" s="28"/>
      <c r="TNW1" s="28"/>
      <c r="TNX1" s="28"/>
      <c r="TNY1" s="28"/>
      <c r="TNZ1" s="28"/>
      <c r="TOA1" s="28"/>
      <c r="TOB1" s="28"/>
      <c r="TOC1" s="28"/>
      <c r="TOD1" s="28"/>
      <c r="TOE1" s="28"/>
      <c r="TOF1" s="28"/>
      <c r="TOG1" s="28"/>
      <c r="TOH1" s="28"/>
      <c r="TOI1" s="28"/>
      <c r="TOJ1" s="28"/>
      <c r="TOK1" s="28"/>
      <c r="TOL1" s="28"/>
      <c r="TOM1" s="28"/>
      <c r="TON1" s="28"/>
      <c r="TOO1" s="28"/>
      <c r="TOP1" s="28"/>
      <c r="TOQ1" s="28"/>
      <c r="TOR1" s="28"/>
      <c r="TOS1" s="28"/>
      <c r="TOT1" s="28"/>
      <c r="TOU1" s="28"/>
      <c r="TOV1" s="28"/>
      <c r="TOW1" s="28"/>
      <c r="TOX1" s="28"/>
      <c r="TOY1" s="28"/>
      <c r="TOZ1" s="28"/>
      <c r="TPA1" s="28"/>
      <c r="TPB1" s="28"/>
      <c r="TPC1" s="28"/>
      <c r="TPD1" s="28"/>
      <c r="TPE1" s="28"/>
      <c r="TPF1" s="28"/>
      <c r="TPG1" s="28"/>
      <c r="TPH1" s="28"/>
      <c r="TPI1" s="28"/>
      <c r="TPJ1" s="28"/>
      <c r="TPK1" s="28"/>
      <c r="TPL1" s="28"/>
      <c r="TPM1" s="28"/>
      <c r="TPN1" s="28"/>
      <c r="TPO1" s="28"/>
      <c r="TPP1" s="28"/>
      <c r="TPQ1" s="28"/>
      <c r="TPR1" s="28"/>
      <c r="TPS1" s="28"/>
      <c r="TPT1" s="28"/>
      <c r="TPU1" s="28"/>
      <c r="TPV1" s="28"/>
      <c r="TPW1" s="28"/>
      <c r="TPX1" s="28"/>
      <c r="TPY1" s="28"/>
      <c r="TPZ1" s="28"/>
      <c r="TQA1" s="28"/>
      <c r="TQB1" s="28"/>
      <c r="TQC1" s="28"/>
      <c r="TQD1" s="28"/>
      <c r="TQE1" s="28"/>
      <c r="TQF1" s="28"/>
      <c r="TQG1" s="28"/>
      <c r="TQH1" s="28"/>
      <c r="TQI1" s="28"/>
      <c r="TQJ1" s="28"/>
      <c r="TQK1" s="28"/>
      <c r="TQL1" s="28"/>
      <c r="TQM1" s="28"/>
      <c r="TQN1" s="28"/>
      <c r="TQO1" s="28"/>
      <c r="TQP1" s="28"/>
      <c r="TQQ1" s="28"/>
      <c r="TQR1" s="28"/>
      <c r="TQS1" s="28"/>
      <c r="TQT1" s="28"/>
      <c r="TQU1" s="28"/>
      <c r="TQV1" s="28"/>
      <c r="TQW1" s="28"/>
      <c r="TQX1" s="28"/>
      <c r="TQY1" s="28"/>
      <c r="TQZ1" s="28"/>
      <c r="TRA1" s="28"/>
      <c r="TRB1" s="28"/>
      <c r="TRC1" s="28"/>
      <c r="TRD1" s="28"/>
      <c r="TRE1" s="28"/>
      <c r="TRF1" s="28"/>
      <c r="TRG1" s="28"/>
      <c r="TRH1" s="28"/>
      <c r="TRI1" s="28"/>
      <c r="TRJ1" s="28"/>
      <c r="TRK1" s="28"/>
      <c r="TRL1" s="28"/>
      <c r="TRM1" s="28"/>
      <c r="TRN1" s="28"/>
      <c r="TRO1" s="28"/>
      <c r="TRP1" s="28"/>
      <c r="TRQ1" s="28"/>
      <c r="TRR1" s="28"/>
      <c r="TRS1" s="28"/>
      <c r="TRT1" s="28"/>
      <c r="TRU1" s="28"/>
      <c r="TRV1" s="28"/>
      <c r="TRW1" s="28"/>
      <c r="TRX1" s="28"/>
      <c r="TRY1" s="28"/>
      <c r="TRZ1" s="28"/>
      <c r="TSA1" s="28"/>
      <c r="TSB1" s="28"/>
      <c r="TSC1" s="28"/>
      <c r="TSD1" s="28"/>
      <c r="TSE1" s="28"/>
      <c r="TSF1" s="28"/>
      <c r="TSG1" s="28"/>
      <c r="TSH1" s="28"/>
      <c r="TSI1" s="28"/>
      <c r="TSJ1" s="28"/>
      <c r="TSK1" s="28"/>
      <c r="TSL1" s="28"/>
      <c r="TSM1" s="28"/>
      <c r="TSN1" s="28"/>
      <c r="TSO1" s="28"/>
      <c r="TSP1" s="28"/>
      <c r="TSQ1" s="28"/>
      <c r="TSR1" s="28"/>
      <c r="TSS1" s="28"/>
      <c r="TST1" s="28"/>
      <c r="TSU1" s="28"/>
      <c r="TSV1" s="28"/>
      <c r="TSW1" s="28"/>
      <c r="TSX1" s="28"/>
      <c r="TSY1" s="28"/>
      <c r="TSZ1" s="28"/>
      <c r="TTA1" s="28"/>
      <c r="TTB1" s="28"/>
      <c r="TTC1" s="28"/>
      <c r="TTD1" s="28"/>
      <c r="TTE1" s="28"/>
      <c r="TTF1" s="28"/>
      <c r="TTG1" s="28"/>
      <c r="TTH1" s="28"/>
      <c r="TTI1" s="28"/>
      <c r="TTJ1" s="28"/>
      <c r="TTK1" s="28"/>
      <c r="TTL1" s="28"/>
      <c r="TTM1" s="28"/>
      <c r="TTN1" s="28"/>
      <c r="TTO1" s="28"/>
      <c r="TTP1" s="28"/>
      <c r="TTQ1" s="28"/>
      <c r="TTR1" s="28"/>
      <c r="TTS1" s="28"/>
      <c r="TTT1" s="28"/>
      <c r="TTU1" s="28"/>
      <c r="TTV1" s="28"/>
      <c r="TTW1" s="28"/>
      <c r="TTX1" s="28"/>
      <c r="TTY1" s="28"/>
      <c r="TTZ1" s="28"/>
      <c r="TUA1" s="28"/>
      <c r="TUB1" s="28"/>
      <c r="TUC1" s="28"/>
      <c r="TUD1" s="28"/>
      <c r="TUE1" s="28"/>
      <c r="TUF1" s="28"/>
      <c r="TUG1" s="28"/>
      <c r="TUH1" s="28"/>
      <c r="TUI1" s="28"/>
      <c r="TUJ1" s="28"/>
      <c r="TUK1" s="28"/>
      <c r="TUL1" s="28"/>
      <c r="TUM1" s="28"/>
      <c r="TUN1" s="28"/>
      <c r="TUO1" s="28"/>
      <c r="TUP1" s="28"/>
      <c r="TUQ1" s="28"/>
      <c r="TUR1" s="28"/>
      <c r="TUS1" s="28"/>
      <c r="TUT1" s="28"/>
      <c r="TUU1" s="28"/>
      <c r="TUV1" s="28"/>
      <c r="TUW1" s="28"/>
      <c r="TUX1" s="28"/>
      <c r="TUY1" s="28"/>
      <c r="TUZ1" s="28"/>
      <c r="TVA1" s="28"/>
      <c r="TVB1" s="28"/>
      <c r="TVC1" s="28"/>
      <c r="TVD1" s="28"/>
      <c r="TVE1" s="28"/>
      <c r="TVF1" s="28"/>
      <c r="TVG1" s="28"/>
      <c r="TVH1" s="28"/>
      <c r="TVI1" s="28"/>
      <c r="TVJ1" s="28"/>
      <c r="TVK1" s="28"/>
      <c r="TVL1" s="28"/>
      <c r="TVM1" s="28"/>
      <c r="TVN1" s="28"/>
      <c r="TVO1" s="28"/>
      <c r="TVP1" s="28"/>
      <c r="TVQ1" s="28"/>
      <c r="TVR1" s="28"/>
      <c r="TVS1" s="28"/>
      <c r="TVT1" s="28"/>
      <c r="TVU1" s="28"/>
      <c r="TVV1" s="28"/>
      <c r="TVW1" s="28"/>
      <c r="TVX1" s="28"/>
      <c r="TVY1" s="28"/>
      <c r="TVZ1" s="28"/>
      <c r="TWA1" s="28"/>
      <c r="TWB1" s="28"/>
      <c r="TWC1" s="28"/>
      <c r="TWD1" s="28"/>
      <c r="TWE1" s="28"/>
      <c r="TWF1" s="28"/>
      <c r="TWG1" s="28"/>
      <c r="TWH1" s="28"/>
      <c r="TWI1" s="28"/>
      <c r="TWJ1" s="28"/>
      <c r="TWK1" s="28"/>
      <c r="TWL1" s="28"/>
      <c r="TWM1" s="28"/>
      <c r="TWN1" s="28"/>
      <c r="TWO1" s="28"/>
      <c r="TWP1" s="28"/>
      <c r="TWQ1" s="28"/>
      <c r="TWR1" s="28"/>
      <c r="TWS1" s="28"/>
      <c r="TWT1" s="28"/>
      <c r="TWU1" s="28"/>
      <c r="TWV1" s="28"/>
      <c r="TWW1" s="28"/>
      <c r="TWX1" s="28"/>
      <c r="TWY1" s="28"/>
      <c r="TWZ1" s="28"/>
      <c r="TXA1" s="28"/>
      <c r="TXB1" s="28"/>
      <c r="TXC1" s="28"/>
      <c r="TXD1" s="28"/>
      <c r="TXE1" s="28"/>
      <c r="TXF1" s="28"/>
      <c r="TXG1" s="28"/>
      <c r="TXH1" s="28"/>
      <c r="TXI1" s="28"/>
      <c r="TXJ1" s="28"/>
      <c r="TXK1" s="28"/>
      <c r="TXL1" s="28"/>
      <c r="TXM1" s="28"/>
      <c r="TXN1" s="28"/>
      <c r="TXO1" s="28"/>
      <c r="TXP1" s="28"/>
      <c r="TXQ1" s="28"/>
      <c r="TXR1" s="28"/>
      <c r="TXS1" s="28"/>
      <c r="TXT1" s="28"/>
      <c r="TXU1" s="28"/>
      <c r="TXV1" s="28"/>
      <c r="TXW1" s="28"/>
      <c r="TXX1" s="28"/>
      <c r="TXY1" s="28"/>
      <c r="TXZ1" s="28"/>
      <c r="TYA1" s="28"/>
      <c r="TYB1" s="28"/>
      <c r="TYC1" s="28"/>
      <c r="TYD1" s="28"/>
      <c r="TYE1" s="28"/>
      <c r="TYF1" s="28"/>
      <c r="TYG1" s="28"/>
      <c r="TYH1" s="28"/>
      <c r="TYI1" s="28"/>
      <c r="TYJ1" s="28"/>
      <c r="TYK1" s="28"/>
      <c r="TYL1" s="28"/>
      <c r="TYM1" s="28"/>
      <c r="TYN1" s="28"/>
      <c r="TYO1" s="28"/>
      <c r="TYP1" s="28"/>
      <c r="TYQ1" s="28"/>
      <c r="TYR1" s="28"/>
      <c r="TYS1" s="28"/>
      <c r="TYT1" s="28"/>
      <c r="TYU1" s="28"/>
      <c r="TYV1" s="28"/>
      <c r="TYW1" s="28"/>
      <c r="TYX1" s="28"/>
      <c r="TYY1" s="28"/>
      <c r="TYZ1" s="28"/>
      <c r="TZA1" s="28"/>
      <c r="TZB1" s="28"/>
      <c r="TZC1" s="28"/>
      <c r="TZD1" s="28"/>
      <c r="TZE1" s="28"/>
      <c r="TZF1" s="28"/>
      <c r="TZG1" s="28"/>
      <c r="TZH1" s="28"/>
      <c r="TZI1" s="28"/>
      <c r="TZJ1" s="28"/>
      <c r="TZK1" s="28"/>
      <c r="TZL1" s="28"/>
      <c r="TZM1" s="28"/>
      <c r="TZN1" s="28"/>
      <c r="TZO1" s="28"/>
      <c r="TZP1" s="28"/>
      <c r="TZQ1" s="28"/>
      <c r="TZR1" s="28"/>
      <c r="TZS1" s="28"/>
      <c r="TZT1" s="28"/>
      <c r="TZU1" s="28"/>
      <c r="TZV1" s="28"/>
      <c r="TZW1" s="28"/>
      <c r="TZX1" s="28"/>
      <c r="TZY1" s="28"/>
      <c r="TZZ1" s="28"/>
      <c r="UAA1" s="28"/>
      <c r="UAB1" s="28"/>
      <c r="UAC1" s="28"/>
      <c r="UAD1" s="28"/>
      <c r="UAE1" s="28"/>
      <c r="UAF1" s="28"/>
      <c r="UAG1" s="28"/>
      <c r="UAH1" s="28"/>
      <c r="UAI1" s="28"/>
      <c r="UAJ1" s="28"/>
      <c r="UAK1" s="28"/>
      <c r="UAL1" s="28"/>
      <c r="UAM1" s="28"/>
      <c r="UAN1" s="28"/>
      <c r="UAO1" s="28"/>
      <c r="UAP1" s="28"/>
      <c r="UAQ1" s="28"/>
      <c r="UAR1" s="28"/>
      <c r="UAS1" s="28"/>
      <c r="UAT1" s="28"/>
      <c r="UAU1" s="28"/>
      <c r="UAV1" s="28"/>
      <c r="UAW1" s="28"/>
      <c r="UAX1" s="28"/>
      <c r="UAY1" s="28"/>
      <c r="UAZ1" s="28"/>
      <c r="UBA1" s="28"/>
      <c r="UBB1" s="28"/>
      <c r="UBC1" s="28"/>
      <c r="UBD1" s="28"/>
      <c r="UBE1" s="28"/>
      <c r="UBF1" s="28"/>
      <c r="UBG1" s="28"/>
      <c r="UBH1" s="28"/>
      <c r="UBI1" s="28"/>
      <c r="UBJ1" s="28"/>
      <c r="UBK1" s="28"/>
      <c r="UBL1" s="28"/>
      <c r="UBM1" s="28"/>
      <c r="UBN1" s="28"/>
      <c r="UBO1" s="28"/>
      <c r="UBP1" s="28"/>
      <c r="UBQ1" s="28"/>
      <c r="UBR1" s="28"/>
      <c r="UBS1" s="28"/>
      <c r="UBT1" s="28"/>
      <c r="UBU1" s="28"/>
      <c r="UBV1" s="28"/>
      <c r="UBW1" s="28"/>
      <c r="UBX1" s="28"/>
      <c r="UBY1" s="28"/>
      <c r="UBZ1" s="28"/>
      <c r="UCA1" s="28"/>
      <c r="UCB1" s="28"/>
      <c r="UCC1" s="28"/>
      <c r="UCD1" s="28"/>
      <c r="UCE1" s="28"/>
      <c r="UCF1" s="28"/>
      <c r="UCG1" s="28"/>
      <c r="UCH1" s="28"/>
      <c r="UCI1" s="28"/>
      <c r="UCJ1" s="28"/>
      <c r="UCK1" s="28"/>
      <c r="UCL1" s="28"/>
      <c r="UCM1" s="28"/>
      <c r="UCN1" s="28"/>
      <c r="UCO1" s="28"/>
      <c r="UCP1" s="28"/>
      <c r="UCQ1" s="28"/>
      <c r="UCR1" s="28"/>
      <c r="UCS1" s="28"/>
      <c r="UCT1" s="28"/>
      <c r="UCU1" s="28"/>
      <c r="UCV1" s="28"/>
      <c r="UCW1" s="28"/>
      <c r="UCX1" s="28"/>
      <c r="UCY1" s="28"/>
      <c r="UCZ1" s="28"/>
      <c r="UDA1" s="28"/>
      <c r="UDB1" s="28"/>
      <c r="UDC1" s="28"/>
      <c r="UDD1" s="28"/>
      <c r="UDE1" s="28"/>
      <c r="UDF1" s="28"/>
      <c r="UDG1" s="28"/>
      <c r="UDH1" s="28"/>
      <c r="UDI1" s="28"/>
      <c r="UDJ1" s="28"/>
      <c r="UDK1" s="28"/>
      <c r="UDL1" s="28"/>
      <c r="UDM1" s="28"/>
      <c r="UDN1" s="28"/>
      <c r="UDO1" s="28"/>
      <c r="UDP1" s="28"/>
      <c r="UDQ1" s="28"/>
      <c r="UDR1" s="28"/>
      <c r="UDS1" s="28"/>
      <c r="UDT1" s="28"/>
      <c r="UDU1" s="28"/>
      <c r="UDV1" s="28"/>
      <c r="UDW1" s="28"/>
      <c r="UDX1" s="28"/>
      <c r="UDY1" s="28"/>
      <c r="UDZ1" s="28"/>
      <c r="UEA1" s="28"/>
      <c r="UEB1" s="28"/>
      <c r="UEC1" s="28"/>
      <c r="UED1" s="28"/>
      <c r="UEE1" s="28"/>
      <c r="UEF1" s="28"/>
      <c r="UEG1" s="28"/>
      <c r="UEH1" s="28"/>
      <c r="UEI1" s="28"/>
      <c r="UEJ1" s="28"/>
      <c r="UEK1" s="28"/>
      <c r="UEL1" s="28"/>
      <c r="UEM1" s="28"/>
      <c r="UEN1" s="28"/>
      <c r="UEO1" s="28"/>
      <c r="UEP1" s="28"/>
      <c r="UEQ1" s="28"/>
      <c r="UER1" s="28"/>
      <c r="UES1" s="28"/>
      <c r="UET1" s="28"/>
      <c r="UEU1" s="28"/>
      <c r="UEV1" s="28"/>
      <c r="UEW1" s="28"/>
      <c r="UEX1" s="28"/>
      <c r="UEY1" s="28"/>
      <c r="UEZ1" s="28"/>
      <c r="UFA1" s="28"/>
      <c r="UFB1" s="28"/>
      <c r="UFC1" s="28"/>
      <c r="UFD1" s="28"/>
      <c r="UFE1" s="28"/>
      <c r="UFF1" s="28"/>
      <c r="UFG1" s="28"/>
      <c r="UFH1" s="28"/>
      <c r="UFI1" s="28"/>
      <c r="UFJ1" s="28"/>
      <c r="UFK1" s="28"/>
      <c r="UFL1" s="28"/>
      <c r="UFM1" s="28"/>
      <c r="UFN1" s="28"/>
      <c r="UFO1" s="28"/>
      <c r="UFP1" s="28"/>
      <c r="UFQ1" s="28"/>
      <c r="UFR1" s="28"/>
      <c r="UFS1" s="28"/>
      <c r="UFT1" s="28"/>
      <c r="UFU1" s="28"/>
      <c r="UFV1" s="28"/>
      <c r="UFW1" s="28"/>
      <c r="UFX1" s="28"/>
      <c r="UFY1" s="28"/>
      <c r="UFZ1" s="28"/>
      <c r="UGA1" s="28"/>
      <c r="UGB1" s="28"/>
      <c r="UGC1" s="28"/>
      <c r="UGD1" s="28"/>
      <c r="UGE1" s="28"/>
      <c r="UGF1" s="28"/>
      <c r="UGG1" s="28"/>
      <c r="UGH1" s="28"/>
      <c r="UGI1" s="28"/>
      <c r="UGJ1" s="28"/>
      <c r="UGK1" s="28"/>
      <c r="UGL1" s="28"/>
      <c r="UGM1" s="28"/>
      <c r="UGN1" s="28"/>
      <c r="UGO1" s="28"/>
      <c r="UGP1" s="28"/>
      <c r="UGQ1" s="28"/>
      <c r="UGR1" s="28"/>
      <c r="UGS1" s="28"/>
      <c r="UGT1" s="28"/>
      <c r="UGU1" s="28"/>
      <c r="UGV1" s="28"/>
      <c r="UGW1" s="28"/>
      <c r="UGX1" s="28"/>
      <c r="UGY1" s="28"/>
      <c r="UGZ1" s="28"/>
      <c r="UHA1" s="28"/>
      <c r="UHB1" s="28"/>
      <c r="UHC1" s="28"/>
      <c r="UHD1" s="28"/>
      <c r="UHE1" s="28"/>
      <c r="UHF1" s="28"/>
      <c r="UHG1" s="28"/>
      <c r="UHH1" s="28"/>
      <c r="UHI1" s="28"/>
      <c r="UHJ1" s="28"/>
      <c r="UHK1" s="28"/>
      <c r="UHL1" s="28"/>
      <c r="UHM1" s="28"/>
      <c r="UHN1" s="28"/>
      <c r="UHO1" s="28"/>
      <c r="UHP1" s="28"/>
      <c r="UHQ1" s="28"/>
      <c r="UHR1" s="28"/>
      <c r="UHS1" s="28"/>
      <c r="UHT1" s="28"/>
      <c r="UHU1" s="28"/>
      <c r="UHV1" s="28"/>
      <c r="UHW1" s="28"/>
      <c r="UHX1" s="28"/>
      <c r="UHY1" s="28"/>
      <c r="UHZ1" s="28"/>
      <c r="UIA1" s="28"/>
      <c r="UIB1" s="28"/>
      <c r="UIC1" s="28"/>
      <c r="UID1" s="28"/>
      <c r="UIE1" s="28"/>
      <c r="UIF1" s="28"/>
      <c r="UIG1" s="28"/>
      <c r="UIH1" s="28"/>
      <c r="UII1" s="28"/>
      <c r="UIJ1" s="28"/>
      <c r="UIK1" s="28"/>
      <c r="UIL1" s="28"/>
      <c r="UIM1" s="28"/>
      <c r="UIN1" s="28"/>
      <c r="UIO1" s="28"/>
      <c r="UIP1" s="28"/>
      <c r="UIQ1" s="28"/>
      <c r="UIR1" s="28"/>
      <c r="UIS1" s="28"/>
      <c r="UIT1" s="28"/>
      <c r="UIU1" s="28"/>
      <c r="UIV1" s="28"/>
      <c r="UIW1" s="28"/>
      <c r="UIX1" s="28"/>
      <c r="UIY1" s="28"/>
      <c r="UIZ1" s="28"/>
      <c r="UJA1" s="28"/>
      <c r="UJB1" s="28"/>
      <c r="UJC1" s="28"/>
      <c r="UJD1" s="28"/>
      <c r="UJE1" s="28"/>
      <c r="UJF1" s="28"/>
      <c r="UJG1" s="28"/>
      <c r="UJH1" s="28"/>
      <c r="UJI1" s="28"/>
      <c r="UJJ1" s="28"/>
      <c r="UJK1" s="28"/>
      <c r="UJL1" s="28"/>
      <c r="UJM1" s="28"/>
      <c r="UJN1" s="28"/>
      <c r="UJO1" s="28"/>
      <c r="UJP1" s="28"/>
      <c r="UJQ1" s="28"/>
      <c r="UJR1" s="28"/>
      <c r="UJS1" s="28"/>
      <c r="UJT1" s="28"/>
      <c r="UJU1" s="28"/>
      <c r="UJV1" s="28"/>
      <c r="UJW1" s="28"/>
      <c r="UJX1" s="28"/>
      <c r="UJY1" s="28"/>
      <c r="UJZ1" s="28"/>
      <c r="UKA1" s="28"/>
      <c r="UKB1" s="28"/>
      <c r="UKC1" s="28"/>
      <c r="UKD1" s="28"/>
      <c r="UKE1" s="28"/>
      <c r="UKF1" s="28"/>
      <c r="UKG1" s="28"/>
      <c r="UKH1" s="28"/>
      <c r="UKI1" s="28"/>
      <c r="UKJ1" s="28"/>
      <c r="UKK1" s="28"/>
      <c r="UKL1" s="28"/>
      <c r="UKM1" s="28"/>
      <c r="UKN1" s="28"/>
      <c r="UKO1" s="28"/>
      <c r="UKP1" s="28"/>
      <c r="UKQ1" s="28"/>
      <c r="UKR1" s="28"/>
      <c r="UKS1" s="28"/>
      <c r="UKT1" s="28"/>
      <c r="UKU1" s="28"/>
      <c r="UKV1" s="28"/>
      <c r="UKW1" s="28"/>
      <c r="UKX1" s="28"/>
      <c r="UKY1" s="28"/>
      <c r="UKZ1" s="28"/>
      <c r="ULA1" s="28"/>
      <c r="ULB1" s="28"/>
      <c r="ULC1" s="28"/>
      <c r="ULD1" s="28"/>
      <c r="ULE1" s="28"/>
      <c r="ULF1" s="28"/>
      <c r="ULG1" s="28"/>
      <c r="ULH1" s="28"/>
      <c r="ULI1" s="28"/>
      <c r="ULJ1" s="28"/>
      <c r="ULK1" s="28"/>
      <c r="ULL1" s="28"/>
      <c r="ULM1" s="28"/>
      <c r="ULN1" s="28"/>
      <c r="ULO1" s="28"/>
      <c r="ULP1" s="28"/>
      <c r="ULQ1" s="28"/>
      <c r="ULR1" s="28"/>
      <c r="ULS1" s="28"/>
      <c r="ULT1" s="28"/>
      <c r="ULU1" s="28"/>
      <c r="ULV1" s="28"/>
      <c r="ULW1" s="28"/>
      <c r="ULX1" s="28"/>
      <c r="ULY1" s="28"/>
      <c r="ULZ1" s="28"/>
      <c r="UMA1" s="28"/>
      <c r="UMB1" s="28"/>
      <c r="UMC1" s="28"/>
      <c r="UMD1" s="28"/>
      <c r="UME1" s="28"/>
      <c r="UMF1" s="28"/>
      <c r="UMG1" s="28"/>
      <c r="UMH1" s="28"/>
      <c r="UMI1" s="28"/>
      <c r="UMJ1" s="28"/>
      <c r="UMK1" s="28"/>
      <c r="UML1" s="28"/>
      <c r="UMM1" s="28"/>
      <c r="UMN1" s="28"/>
      <c r="UMO1" s="28"/>
      <c r="UMP1" s="28"/>
      <c r="UMQ1" s="28"/>
      <c r="UMR1" s="28"/>
      <c r="UMS1" s="28"/>
      <c r="UMT1" s="28"/>
      <c r="UMU1" s="28"/>
      <c r="UMV1" s="28"/>
      <c r="UMW1" s="28"/>
      <c r="UMX1" s="28"/>
      <c r="UMY1" s="28"/>
      <c r="UMZ1" s="28"/>
      <c r="UNA1" s="28"/>
      <c r="UNB1" s="28"/>
      <c r="UNC1" s="28"/>
      <c r="UND1" s="28"/>
      <c r="UNE1" s="28"/>
      <c r="UNF1" s="28"/>
      <c r="UNG1" s="28"/>
      <c r="UNH1" s="28"/>
      <c r="UNI1" s="28"/>
      <c r="UNJ1" s="28"/>
      <c r="UNK1" s="28"/>
      <c r="UNL1" s="28"/>
      <c r="UNM1" s="28"/>
      <c r="UNN1" s="28"/>
      <c r="UNO1" s="28"/>
      <c r="UNP1" s="28"/>
      <c r="UNQ1" s="28"/>
      <c r="UNR1" s="28"/>
      <c r="UNS1" s="28"/>
      <c r="UNT1" s="28"/>
      <c r="UNU1" s="28"/>
      <c r="UNV1" s="28"/>
      <c r="UNW1" s="28"/>
      <c r="UNX1" s="28"/>
      <c r="UNY1" s="28"/>
      <c r="UNZ1" s="28"/>
      <c r="UOA1" s="28"/>
      <c r="UOB1" s="28"/>
      <c r="UOC1" s="28"/>
      <c r="UOD1" s="28"/>
      <c r="UOE1" s="28"/>
      <c r="UOF1" s="28"/>
      <c r="UOG1" s="28"/>
      <c r="UOH1" s="28"/>
      <c r="UOI1" s="28"/>
      <c r="UOJ1" s="28"/>
      <c r="UOK1" s="28"/>
      <c r="UOL1" s="28"/>
      <c r="UOM1" s="28"/>
      <c r="UON1" s="28"/>
      <c r="UOO1" s="28"/>
      <c r="UOP1" s="28"/>
      <c r="UOQ1" s="28"/>
      <c r="UOR1" s="28"/>
      <c r="UOS1" s="28"/>
      <c r="UOT1" s="28"/>
      <c r="UOU1" s="28"/>
      <c r="UOV1" s="28"/>
      <c r="UOW1" s="28"/>
      <c r="UOX1" s="28"/>
      <c r="UOY1" s="28"/>
      <c r="UOZ1" s="28"/>
      <c r="UPA1" s="28"/>
      <c r="UPB1" s="28"/>
      <c r="UPC1" s="28"/>
      <c r="UPD1" s="28"/>
      <c r="UPE1" s="28"/>
      <c r="UPF1" s="28"/>
      <c r="UPG1" s="28"/>
      <c r="UPH1" s="28"/>
      <c r="UPI1" s="28"/>
      <c r="UPJ1" s="28"/>
      <c r="UPK1" s="28"/>
      <c r="UPL1" s="28"/>
      <c r="UPM1" s="28"/>
      <c r="UPN1" s="28"/>
      <c r="UPO1" s="28"/>
      <c r="UPP1" s="28"/>
      <c r="UPQ1" s="28"/>
      <c r="UPR1" s="28"/>
      <c r="UPS1" s="28"/>
      <c r="UPT1" s="28"/>
      <c r="UPU1" s="28"/>
      <c r="UPV1" s="28"/>
      <c r="UPW1" s="28"/>
      <c r="UPX1" s="28"/>
      <c r="UPY1" s="28"/>
      <c r="UPZ1" s="28"/>
      <c r="UQA1" s="28"/>
      <c r="UQB1" s="28"/>
      <c r="UQC1" s="28"/>
      <c r="UQD1" s="28"/>
      <c r="UQE1" s="28"/>
      <c r="UQF1" s="28"/>
      <c r="UQG1" s="28"/>
      <c r="UQH1" s="28"/>
      <c r="UQI1" s="28"/>
      <c r="UQJ1" s="28"/>
      <c r="UQK1" s="28"/>
      <c r="UQL1" s="28"/>
      <c r="UQM1" s="28"/>
      <c r="UQN1" s="28"/>
      <c r="UQO1" s="28"/>
      <c r="UQP1" s="28"/>
      <c r="UQQ1" s="28"/>
      <c r="UQR1" s="28"/>
      <c r="UQS1" s="28"/>
      <c r="UQT1" s="28"/>
      <c r="UQU1" s="28"/>
      <c r="UQV1" s="28"/>
      <c r="UQW1" s="28"/>
      <c r="UQX1" s="28"/>
      <c r="UQY1" s="28"/>
      <c r="UQZ1" s="28"/>
      <c r="URA1" s="28"/>
      <c r="URB1" s="28"/>
      <c r="URC1" s="28"/>
      <c r="URD1" s="28"/>
      <c r="URE1" s="28"/>
      <c r="URF1" s="28"/>
      <c r="URG1" s="28"/>
      <c r="URH1" s="28"/>
      <c r="URI1" s="28"/>
      <c r="URJ1" s="28"/>
      <c r="URK1" s="28"/>
      <c r="URL1" s="28"/>
      <c r="URM1" s="28"/>
      <c r="URN1" s="28"/>
      <c r="URO1" s="28"/>
      <c r="URP1" s="28"/>
      <c r="URQ1" s="28"/>
      <c r="URR1" s="28"/>
      <c r="URS1" s="28"/>
      <c r="URT1" s="28"/>
      <c r="URU1" s="28"/>
      <c r="URV1" s="28"/>
      <c r="URW1" s="28"/>
      <c r="URX1" s="28"/>
      <c r="URY1" s="28"/>
      <c r="URZ1" s="28"/>
      <c r="USA1" s="28"/>
      <c r="USB1" s="28"/>
      <c r="USC1" s="28"/>
      <c r="USD1" s="28"/>
      <c r="USE1" s="28"/>
      <c r="USF1" s="28"/>
      <c r="USG1" s="28"/>
      <c r="USH1" s="28"/>
      <c r="USI1" s="28"/>
      <c r="USJ1" s="28"/>
      <c r="USK1" s="28"/>
      <c r="USL1" s="28"/>
      <c r="USM1" s="28"/>
      <c r="USN1" s="28"/>
      <c r="USO1" s="28"/>
      <c r="USP1" s="28"/>
      <c r="USQ1" s="28"/>
      <c r="USR1" s="28"/>
      <c r="USS1" s="28"/>
      <c r="UST1" s="28"/>
      <c r="USU1" s="28"/>
      <c r="USV1" s="28"/>
      <c r="USW1" s="28"/>
      <c r="USX1" s="28"/>
      <c r="USY1" s="28"/>
      <c r="USZ1" s="28"/>
      <c r="UTA1" s="28"/>
      <c r="UTB1" s="28"/>
      <c r="UTC1" s="28"/>
      <c r="UTD1" s="28"/>
      <c r="UTE1" s="28"/>
      <c r="UTF1" s="28"/>
      <c r="UTG1" s="28"/>
      <c r="UTH1" s="28"/>
      <c r="UTI1" s="28"/>
      <c r="UTJ1" s="28"/>
      <c r="UTK1" s="28"/>
      <c r="UTL1" s="28"/>
      <c r="UTM1" s="28"/>
      <c r="UTN1" s="28"/>
      <c r="UTO1" s="28"/>
      <c r="UTP1" s="28"/>
      <c r="UTQ1" s="28"/>
      <c r="UTR1" s="28"/>
      <c r="UTS1" s="28"/>
      <c r="UTT1" s="28"/>
      <c r="UTU1" s="28"/>
      <c r="UTV1" s="28"/>
      <c r="UTW1" s="28"/>
      <c r="UTX1" s="28"/>
      <c r="UTY1" s="28"/>
      <c r="UTZ1" s="28"/>
      <c r="UUA1" s="28"/>
      <c r="UUB1" s="28"/>
      <c r="UUC1" s="28"/>
      <c r="UUD1" s="28"/>
      <c r="UUE1" s="28"/>
      <c r="UUF1" s="28"/>
      <c r="UUG1" s="28"/>
      <c r="UUH1" s="28"/>
      <c r="UUI1" s="28"/>
      <c r="UUJ1" s="28"/>
      <c r="UUK1" s="28"/>
      <c r="UUL1" s="28"/>
      <c r="UUM1" s="28"/>
      <c r="UUN1" s="28"/>
      <c r="UUO1" s="28"/>
      <c r="UUP1" s="28"/>
      <c r="UUQ1" s="28"/>
      <c r="UUR1" s="28"/>
      <c r="UUS1" s="28"/>
      <c r="UUT1" s="28"/>
      <c r="UUU1" s="28"/>
      <c r="UUV1" s="28"/>
      <c r="UUW1" s="28"/>
      <c r="UUX1" s="28"/>
      <c r="UUY1" s="28"/>
      <c r="UUZ1" s="28"/>
      <c r="UVA1" s="28"/>
      <c r="UVB1" s="28"/>
      <c r="UVC1" s="28"/>
      <c r="UVD1" s="28"/>
      <c r="UVE1" s="28"/>
      <c r="UVF1" s="28"/>
      <c r="UVG1" s="28"/>
      <c r="UVH1" s="28"/>
      <c r="UVI1" s="28"/>
      <c r="UVJ1" s="28"/>
      <c r="UVK1" s="28"/>
      <c r="UVL1" s="28"/>
      <c r="UVM1" s="28"/>
      <c r="UVN1" s="28"/>
      <c r="UVO1" s="28"/>
      <c r="UVP1" s="28"/>
      <c r="UVQ1" s="28"/>
      <c r="UVR1" s="28"/>
      <c r="UVS1" s="28"/>
      <c r="UVT1" s="28"/>
      <c r="UVU1" s="28"/>
      <c r="UVV1" s="28"/>
      <c r="UVW1" s="28"/>
      <c r="UVX1" s="28"/>
      <c r="UVY1" s="28"/>
      <c r="UVZ1" s="28"/>
      <c r="UWA1" s="28"/>
      <c r="UWB1" s="28"/>
      <c r="UWC1" s="28"/>
      <c r="UWD1" s="28"/>
      <c r="UWE1" s="28"/>
      <c r="UWF1" s="28"/>
      <c r="UWG1" s="28"/>
      <c r="UWH1" s="28"/>
      <c r="UWI1" s="28"/>
      <c r="UWJ1" s="28"/>
      <c r="UWK1" s="28"/>
      <c r="UWL1" s="28"/>
      <c r="UWM1" s="28"/>
      <c r="UWN1" s="28"/>
      <c r="UWO1" s="28"/>
      <c r="UWP1" s="28"/>
      <c r="UWQ1" s="28"/>
      <c r="UWR1" s="28"/>
      <c r="UWS1" s="28"/>
      <c r="UWT1" s="28"/>
      <c r="UWU1" s="28"/>
      <c r="UWV1" s="28"/>
      <c r="UWW1" s="28"/>
      <c r="UWX1" s="28"/>
      <c r="UWY1" s="28"/>
      <c r="UWZ1" s="28"/>
      <c r="UXA1" s="28"/>
      <c r="UXB1" s="28"/>
      <c r="UXC1" s="28"/>
      <c r="UXD1" s="28"/>
      <c r="UXE1" s="28"/>
      <c r="UXF1" s="28"/>
      <c r="UXG1" s="28"/>
      <c r="UXH1" s="28"/>
      <c r="UXI1" s="28"/>
      <c r="UXJ1" s="28"/>
      <c r="UXK1" s="28"/>
      <c r="UXL1" s="28"/>
      <c r="UXM1" s="28"/>
      <c r="UXN1" s="28"/>
      <c r="UXO1" s="28"/>
      <c r="UXP1" s="28"/>
      <c r="UXQ1" s="28"/>
      <c r="UXR1" s="28"/>
      <c r="UXS1" s="28"/>
      <c r="UXT1" s="28"/>
      <c r="UXU1" s="28"/>
      <c r="UXV1" s="28"/>
      <c r="UXW1" s="28"/>
      <c r="UXX1" s="28"/>
      <c r="UXY1" s="28"/>
      <c r="UXZ1" s="28"/>
      <c r="UYA1" s="28"/>
      <c r="UYB1" s="28"/>
      <c r="UYC1" s="28"/>
      <c r="UYD1" s="28"/>
      <c r="UYE1" s="28"/>
      <c r="UYF1" s="28"/>
      <c r="UYG1" s="28"/>
      <c r="UYH1" s="28"/>
      <c r="UYI1" s="28"/>
      <c r="UYJ1" s="28"/>
      <c r="UYK1" s="28"/>
      <c r="UYL1" s="28"/>
      <c r="UYM1" s="28"/>
      <c r="UYN1" s="28"/>
      <c r="UYO1" s="28"/>
      <c r="UYP1" s="28"/>
      <c r="UYQ1" s="28"/>
      <c r="UYR1" s="28"/>
      <c r="UYS1" s="28"/>
      <c r="UYT1" s="28"/>
      <c r="UYU1" s="28"/>
      <c r="UYV1" s="28"/>
      <c r="UYW1" s="28"/>
      <c r="UYX1" s="28"/>
      <c r="UYY1" s="28"/>
      <c r="UYZ1" s="28"/>
      <c r="UZA1" s="28"/>
      <c r="UZB1" s="28"/>
      <c r="UZC1" s="28"/>
      <c r="UZD1" s="28"/>
      <c r="UZE1" s="28"/>
      <c r="UZF1" s="28"/>
      <c r="UZG1" s="28"/>
      <c r="UZH1" s="28"/>
      <c r="UZI1" s="28"/>
      <c r="UZJ1" s="28"/>
      <c r="UZK1" s="28"/>
      <c r="UZL1" s="28"/>
      <c r="UZM1" s="28"/>
      <c r="UZN1" s="28"/>
      <c r="UZO1" s="28"/>
      <c r="UZP1" s="28"/>
      <c r="UZQ1" s="28"/>
      <c r="UZR1" s="28"/>
      <c r="UZS1" s="28"/>
      <c r="UZT1" s="28"/>
      <c r="UZU1" s="28"/>
      <c r="UZV1" s="28"/>
      <c r="UZW1" s="28"/>
      <c r="UZX1" s="28"/>
      <c r="UZY1" s="28"/>
      <c r="UZZ1" s="28"/>
      <c r="VAA1" s="28"/>
      <c r="VAB1" s="28"/>
      <c r="VAC1" s="28"/>
      <c r="VAD1" s="28"/>
      <c r="VAE1" s="28"/>
      <c r="VAF1" s="28"/>
      <c r="VAG1" s="28"/>
      <c r="VAH1" s="28"/>
      <c r="VAI1" s="28"/>
      <c r="VAJ1" s="28"/>
      <c r="VAK1" s="28"/>
      <c r="VAL1" s="28"/>
      <c r="VAM1" s="28"/>
      <c r="VAN1" s="28"/>
      <c r="VAO1" s="28"/>
      <c r="VAP1" s="28"/>
      <c r="VAQ1" s="28"/>
      <c r="VAR1" s="28"/>
      <c r="VAS1" s="28"/>
      <c r="VAT1" s="28"/>
      <c r="VAU1" s="28"/>
      <c r="VAV1" s="28"/>
      <c r="VAW1" s="28"/>
      <c r="VAX1" s="28"/>
      <c r="VAY1" s="28"/>
      <c r="VAZ1" s="28"/>
      <c r="VBA1" s="28"/>
      <c r="VBB1" s="28"/>
      <c r="VBC1" s="28"/>
      <c r="VBD1" s="28"/>
      <c r="VBE1" s="28"/>
      <c r="VBF1" s="28"/>
      <c r="VBG1" s="28"/>
      <c r="VBH1" s="28"/>
      <c r="VBI1" s="28"/>
      <c r="VBJ1" s="28"/>
      <c r="VBK1" s="28"/>
      <c r="VBL1" s="28"/>
      <c r="VBM1" s="28"/>
      <c r="VBN1" s="28"/>
      <c r="VBO1" s="28"/>
      <c r="VBP1" s="28"/>
      <c r="VBQ1" s="28"/>
      <c r="VBR1" s="28"/>
      <c r="VBS1" s="28"/>
      <c r="VBT1" s="28"/>
      <c r="VBU1" s="28"/>
      <c r="VBV1" s="28"/>
      <c r="VBW1" s="28"/>
      <c r="VBX1" s="28"/>
      <c r="VBY1" s="28"/>
      <c r="VBZ1" s="28"/>
      <c r="VCA1" s="28"/>
      <c r="VCB1" s="28"/>
      <c r="VCC1" s="28"/>
      <c r="VCD1" s="28"/>
      <c r="VCE1" s="28"/>
      <c r="VCF1" s="28"/>
      <c r="VCG1" s="28"/>
      <c r="VCH1" s="28"/>
      <c r="VCI1" s="28"/>
      <c r="VCJ1" s="28"/>
      <c r="VCK1" s="28"/>
      <c r="VCL1" s="28"/>
      <c r="VCM1" s="28"/>
      <c r="VCN1" s="28"/>
      <c r="VCO1" s="28"/>
      <c r="VCP1" s="28"/>
      <c r="VCQ1" s="28"/>
      <c r="VCR1" s="28"/>
      <c r="VCS1" s="28"/>
      <c r="VCT1" s="28"/>
      <c r="VCU1" s="28"/>
      <c r="VCV1" s="28"/>
      <c r="VCW1" s="28"/>
      <c r="VCX1" s="28"/>
      <c r="VCY1" s="28"/>
      <c r="VCZ1" s="28"/>
      <c r="VDA1" s="28"/>
      <c r="VDB1" s="28"/>
      <c r="VDC1" s="28"/>
      <c r="VDD1" s="28"/>
      <c r="VDE1" s="28"/>
      <c r="VDF1" s="28"/>
      <c r="VDG1" s="28"/>
      <c r="VDH1" s="28"/>
      <c r="VDI1" s="28"/>
      <c r="VDJ1" s="28"/>
      <c r="VDK1" s="28"/>
      <c r="VDL1" s="28"/>
      <c r="VDM1" s="28"/>
      <c r="VDN1" s="28"/>
      <c r="VDO1" s="28"/>
      <c r="VDP1" s="28"/>
      <c r="VDQ1" s="28"/>
      <c r="VDR1" s="28"/>
      <c r="VDS1" s="28"/>
      <c r="VDT1" s="28"/>
      <c r="VDU1" s="28"/>
      <c r="VDV1" s="28"/>
      <c r="VDW1" s="28"/>
      <c r="VDX1" s="28"/>
      <c r="VDY1" s="28"/>
      <c r="VDZ1" s="28"/>
      <c r="VEA1" s="28"/>
      <c r="VEB1" s="28"/>
      <c r="VEC1" s="28"/>
      <c r="VED1" s="28"/>
      <c r="VEE1" s="28"/>
      <c r="VEF1" s="28"/>
      <c r="VEG1" s="28"/>
      <c r="VEH1" s="28"/>
      <c r="VEI1" s="28"/>
      <c r="VEJ1" s="28"/>
      <c r="VEK1" s="28"/>
      <c r="VEL1" s="28"/>
      <c r="VEM1" s="28"/>
      <c r="VEN1" s="28"/>
      <c r="VEO1" s="28"/>
      <c r="VEP1" s="28"/>
      <c r="VEQ1" s="28"/>
      <c r="VER1" s="28"/>
      <c r="VES1" s="28"/>
      <c r="VET1" s="28"/>
      <c r="VEU1" s="28"/>
      <c r="VEV1" s="28"/>
      <c r="VEW1" s="28"/>
      <c r="VEX1" s="28"/>
      <c r="VEY1" s="28"/>
      <c r="VEZ1" s="28"/>
      <c r="VFA1" s="28"/>
      <c r="VFB1" s="28"/>
      <c r="VFC1" s="28"/>
      <c r="VFD1" s="28"/>
      <c r="VFE1" s="28"/>
      <c r="VFF1" s="28"/>
      <c r="VFG1" s="28"/>
      <c r="VFH1" s="28"/>
      <c r="VFI1" s="28"/>
      <c r="VFJ1" s="28"/>
      <c r="VFK1" s="28"/>
      <c r="VFL1" s="28"/>
      <c r="VFM1" s="28"/>
      <c r="VFN1" s="28"/>
      <c r="VFO1" s="28"/>
      <c r="VFP1" s="28"/>
      <c r="VFQ1" s="28"/>
      <c r="VFR1" s="28"/>
      <c r="VFS1" s="28"/>
      <c r="VFT1" s="28"/>
      <c r="VFU1" s="28"/>
      <c r="VFV1" s="28"/>
      <c r="VFW1" s="28"/>
      <c r="VFX1" s="28"/>
      <c r="VFY1" s="28"/>
      <c r="VFZ1" s="28"/>
      <c r="VGA1" s="28"/>
      <c r="VGB1" s="28"/>
      <c r="VGC1" s="28"/>
      <c r="VGD1" s="28"/>
      <c r="VGE1" s="28"/>
      <c r="VGF1" s="28"/>
      <c r="VGG1" s="28"/>
      <c r="VGH1" s="28"/>
      <c r="VGI1" s="28"/>
      <c r="VGJ1" s="28"/>
      <c r="VGK1" s="28"/>
      <c r="VGL1" s="28"/>
      <c r="VGM1" s="28"/>
      <c r="VGN1" s="28"/>
      <c r="VGO1" s="28"/>
      <c r="VGP1" s="28"/>
      <c r="VGQ1" s="28"/>
      <c r="VGR1" s="28"/>
      <c r="VGS1" s="28"/>
      <c r="VGT1" s="28"/>
      <c r="VGU1" s="28"/>
      <c r="VGV1" s="28"/>
      <c r="VGW1" s="28"/>
      <c r="VGX1" s="28"/>
      <c r="VGY1" s="28"/>
      <c r="VGZ1" s="28"/>
      <c r="VHA1" s="28"/>
      <c r="VHB1" s="28"/>
      <c r="VHC1" s="28"/>
      <c r="VHD1" s="28"/>
      <c r="VHE1" s="28"/>
      <c r="VHF1" s="28"/>
      <c r="VHG1" s="28"/>
      <c r="VHH1" s="28"/>
      <c r="VHI1" s="28"/>
      <c r="VHJ1" s="28"/>
      <c r="VHK1" s="28"/>
      <c r="VHL1" s="28"/>
      <c r="VHM1" s="28"/>
      <c r="VHN1" s="28"/>
      <c r="VHO1" s="28"/>
      <c r="VHP1" s="28"/>
      <c r="VHQ1" s="28"/>
      <c r="VHR1" s="28"/>
      <c r="VHS1" s="28"/>
      <c r="VHT1" s="28"/>
      <c r="VHU1" s="28"/>
      <c r="VHV1" s="28"/>
      <c r="VHW1" s="28"/>
      <c r="VHX1" s="28"/>
      <c r="VHY1" s="28"/>
      <c r="VHZ1" s="28"/>
      <c r="VIA1" s="28"/>
      <c r="VIB1" s="28"/>
      <c r="VIC1" s="28"/>
      <c r="VID1" s="28"/>
      <c r="VIE1" s="28"/>
      <c r="VIF1" s="28"/>
      <c r="VIG1" s="28"/>
      <c r="VIH1" s="28"/>
      <c r="VII1" s="28"/>
      <c r="VIJ1" s="28"/>
      <c r="VIK1" s="28"/>
      <c r="VIL1" s="28"/>
      <c r="VIM1" s="28"/>
      <c r="VIN1" s="28"/>
      <c r="VIO1" s="28"/>
      <c r="VIP1" s="28"/>
      <c r="VIQ1" s="28"/>
      <c r="VIR1" s="28"/>
      <c r="VIS1" s="28"/>
      <c r="VIT1" s="28"/>
      <c r="VIU1" s="28"/>
      <c r="VIV1" s="28"/>
      <c r="VIW1" s="28"/>
      <c r="VIX1" s="28"/>
      <c r="VIY1" s="28"/>
      <c r="VIZ1" s="28"/>
      <c r="VJA1" s="28"/>
      <c r="VJB1" s="28"/>
      <c r="VJC1" s="28"/>
      <c r="VJD1" s="28"/>
      <c r="VJE1" s="28"/>
      <c r="VJF1" s="28"/>
      <c r="VJG1" s="28"/>
      <c r="VJH1" s="28"/>
      <c r="VJI1" s="28"/>
      <c r="VJJ1" s="28"/>
      <c r="VJK1" s="28"/>
      <c r="VJL1" s="28"/>
      <c r="VJM1" s="28"/>
      <c r="VJN1" s="28"/>
      <c r="VJO1" s="28"/>
      <c r="VJP1" s="28"/>
      <c r="VJQ1" s="28"/>
      <c r="VJR1" s="28"/>
      <c r="VJS1" s="28"/>
      <c r="VJT1" s="28"/>
      <c r="VJU1" s="28"/>
      <c r="VJV1" s="28"/>
      <c r="VJW1" s="28"/>
      <c r="VJX1" s="28"/>
      <c r="VJY1" s="28"/>
      <c r="VJZ1" s="28"/>
      <c r="VKA1" s="28"/>
      <c r="VKB1" s="28"/>
      <c r="VKC1" s="28"/>
      <c r="VKD1" s="28"/>
      <c r="VKE1" s="28"/>
      <c r="VKF1" s="28"/>
      <c r="VKG1" s="28"/>
      <c r="VKH1" s="28"/>
      <c r="VKI1" s="28"/>
      <c r="VKJ1" s="28"/>
      <c r="VKK1" s="28"/>
      <c r="VKL1" s="28"/>
      <c r="VKM1" s="28"/>
      <c r="VKN1" s="28"/>
      <c r="VKO1" s="28"/>
      <c r="VKP1" s="28"/>
      <c r="VKQ1" s="28"/>
      <c r="VKR1" s="28"/>
      <c r="VKS1" s="28"/>
      <c r="VKT1" s="28"/>
      <c r="VKU1" s="28"/>
      <c r="VKV1" s="28"/>
      <c r="VKW1" s="28"/>
      <c r="VKX1" s="28"/>
      <c r="VKY1" s="28"/>
      <c r="VKZ1" s="28"/>
      <c r="VLA1" s="28"/>
      <c r="VLB1" s="28"/>
      <c r="VLC1" s="28"/>
      <c r="VLD1" s="28"/>
      <c r="VLE1" s="28"/>
      <c r="VLF1" s="28"/>
      <c r="VLG1" s="28"/>
      <c r="VLH1" s="28"/>
      <c r="VLI1" s="28"/>
      <c r="VLJ1" s="28"/>
      <c r="VLK1" s="28"/>
      <c r="VLL1" s="28"/>
      <c r="VLM1" s="28"/>
      <c r="VLN1" s="28"/>
      <c r="VLO1" s="28"/>
      <c r="VLP1" s="28"/>
      <c r="VLQ1" s="28"/>
      <c r="VLR1" s="28"/>
      <c r="VLS1" s="28"/>
      <c r="VLT1" s="28"/>
      <c r="VLU1" s="28"/>
      <c r="VLV1" s="28"/>
      <c r="VLW1" s="28"/>
      <c r="VLX1" s="28"/>
      <c r="VLY1" s="28"/>
      <c r="VLZ1" s="28"/>
      <c r="VMA1" s="28"/>
      <c r="VMB1" s="28"/>
      <c r="VMC1" s="28"/>
      <c r="VMD1" s="28"/>
      <c r="VME1" s="28"/>
      <c r="VMF1" s="28"/>
      <c r="VMG1" s="28"/>
      <c r="VMH1" s="28"/>
      <c r="VMI1" s="28"/>
      <c r="VMJ1" s="28"/>
      <c r="VMK1" s="28"/>
      <c r="VML1" s="28"/>
      <c r="VMM1" s="28"/>
      <c r="VMN1" s="28"/>
      <c r="VMO1" s="28"/>
      <c r="VMP1" s="28"/>
      <c r="VMQ1" s="28"/>
      <c r="VMR1" s="28"/>
      <c r="VMS1" s="28"/>
      <c r="VMT1" s="28"/>
      <c r="VMU1" s="28"/>
      <c r="VMV1" s="28"/>
      <c r="VMW1" s="28"/>
      <c r="VMX1" s="28"/>
      <c r="VMY1" s="28"/>
      <c r="VMZ1" s="28"/>
      <c r="VNA1" s="28"/>
      <c r="VNB1" s="28"/>
      <c r="VNC1" s="28"/>
      <c r="VND1" s="28"/>
      <c r="VNE1" s="28"/>
      <c r="VNF1" s="28"/>
      <c r="VNG1" s="28"/>
      <c r="VNH1" s="28"/>
      <c r="VNI1" s="28"/>
      <c r="VNJ1" s="28"/>
      <c r="VNK1" s="28"/>
      <c r="VNL1" s="28"/>
      <c r="VNM1" s="28"/>
      <c r="VNN1" s="28"/>
      <c r="VNO1" s="28"/>
      <c r="VNP1" s="28"/>
      <c r="VNQ1" s="28"/>
      <c r="VNR1" s="28"/>
      <c r="VNS1" s="28"/>
      <c r="VNT1" s="28"/>
      <c r="VNU1" s="28"/>
      <c r="VNV1" s="28"/>
      <c r="VNW1" s="28"/>
      <c r="VNX1" s="28"/>
      <c r="VNY1" s="28"/>
      <c r="VNZ1" s="28"/>
      <c r="VOA1" s="28"/>
      <c r="VOB1" s="28"/>
      <c r="VOC1" s="28"/>
      <c r="VOD1" s="28"/>
      <c r="VOE1" s="28"/>
      <c r="VOF1" s="28"/>
      <c r="VOG1" s="28"/>
      <c r="VOH1" s="28"/>
      <c r="VOI1" s="28"/>
      <c r="VOJ1" s="28"/>
      <c r="VOK1" s="28"/>
      <c r="VOL1" s="28"/>
      <c r="VOM1" s="28"/>
      <c r="VON1" s="28"/>
      <c r="VOO1" s="28"/>
      <c r="VOP1" s="28"/>
      <c r="VOQ1" s="28"/>
      <c r="VOR1" s="28"/>
      <c r="VOS1" s="28"/>
      <c r="VOT1" s="28"/>
      <c r="VOU1" s="28"/>
      <c r="VOV1" s="28"/>
      <c r="VOW1" s="28"/>
      <c r="VOX1" s="28"/>
      <c r="VOY1" s="28"/>
      <c r="VOZ1" s="28"/>
      <c r="VPA1" s="28"/>
      <c r="VPB1" s="28"/>
      <c r="VPC1" s="28"/>
      <c r="VPD1" s="28"/>
      <c r="VPE1" s="28"/>
      <c r="VPF1" s="28"/>
      <c r="VPG1" s="28"/>
      <c r="VPH1" s="28"/>
      <c r="VPI1" s="28"/>
      <c r="VPJ1" s="28"/>
      <c r="VPK1" s="28"/>
      <c r="VPL1" s="28"/>
      <c r="VPM1" s="28"/>
      <c r="VPN1" s="28"/>
      <c r="VPO1" s="28"/>
      <c r="VPP1" s="28"/>
      <c r="VPQ1" s="28"/>
      <c r="VPR1" s="28"/>
      <c r="VPS1" s="28"/>
      <c r="VPT1" s="28"/>
      <c r="VPU1" s="28"/>
      <c r="VPV1" s="28"/>
      <c r="VPW1" s="28"/>
      <c r="VPX1" s="28"/>
      <c r="VPY1" s="28"/>
      <c r="VPZ1" s="28"/>
      <c r="VQA1" s="28"/>
      <c r="VQB1" s="28"/>
      <c r="VQC1" s="28"/>
      <c r="VQD1" s="28"/>
      <c r="VQE1" s="28"/>
      <c r="VQF1" s="28"/>
      <c r="VQG1" s="28"/>
      <c r="VQH1" s="28"/>
      <c r="VQI1" s="28"/>
      <c r="VQJ1" s="28"/>
      <c r="VQK1" s="28"/>
      <c r="VQL1" s="28"/>
      <c r="VQM1" s="28"/>
      <c r="VQN1" s="28"/>
      <c r="VQO1" s="28"/>
      <c r="VQP1" s="28"/>
      <c r="VQQ1" s="28"/>
      <c r="VQR1" s="28"/>
      <c r="VQS1" s="28"/>
      <c r="VQT1" s="28"/>
      <c r="VQU1" s="28"/>
      <c r="VQV1" s="28"/>
      <c r="VQW1" s="28"/>
      <c r="VQX1" s="28"/>
      <c r="VQY1" s="28"/>
      <c r="VQZ1" s="28"/>
      <c r="VRA1" s="28"/>
      <c r="VRB1" s="28"/>
      <c r="VRC1" s="28"/>
      <c r="VRD1" s="28"/>
      <c r="VRE1" s="28"/>
      <c r="VRF1" s="28"/>
      <c r="VRG1" s="28"/>
      <c r="VRH1" s="28"/>
      <c r="VRI1" s="28"/>
      <c r="VRJ1" s="28"/>
      <c r="VRK1" s="28"/>
      <c r="VRL1" s="28"/>
      <c r="VRM1" s="28"/>
      <c r="VRN1" s="28"/>
      <c r="VRO1" s="28"/>
      <c r="VRP1" s="28"/>
      <c r="VRQ1" s="28"/>
      <c r="VRR1" s="28"/>
      <c r="VRS1" s="28"/>
      <c r="VRT1" s="28"/>
      <c r="VRU1" s="28"/>
      <c r="VRV1" s="28"/>
      <c r="VRW1" s="28"/>
      <c r="VRX1" s="28"/>
      <c r="VRY1" s="28"/>
      <c r="VRZ1" s="28"/>
      <c r="VSA1" s="28"/>
      <c r="VSB1" s="28"/>
      <c r="VSC1" s="28"/>
      <c r="VSD1" s="28"/>
      <c r="VSE1" s="28"/>
      <c r="VSF1" s="28"/>
      <c r="VSG1" s="28"/>
      <c r="VSH1" s="28"/>
      <c r="VSI1" s="28"/>
      <c r="VSJ1" s="28"/>
      <c r="VSK1" s="28"/>
      <c r="VSL1" s="28"/>
      <c r="VSM1" s="28"/>
      <c r="VSN1" s="28"/>
      <c r="VSO1" s="28"/>
      <c r="VSP1" s="28"/>
      <c r="VSQ1" s="28"/>
      <c r="VSR1" s="28"/>
      <c r="VSS1" s="28"/>
      <c r="VST1" s="28"/>
      <c r="VSU1" s="28"/>
      <c r="VSV1" s="28"/>
      <c r="VSW1" s="28"/>
      <c r="VSX1" s="28"/>
      <c r="VSY1" s="28"/>
      <c r="VSZ1" s="28"/>
      <c r="VTA1" s="28"/>
      <c r="VTB1" s="28"/>
      <c r="VTC1" s="28"/>
      <c r="VTD1" s="28"/>
      <c r="VTE1" s="28"/>
      <c r="VTF1" s="28"/>
      <c r="VTG1" s="28"/>
      <c r="VTH1" s="28"/>
      <c r="VTI1" s="28"/>
      <c r="VTJ1" s="28"/>
      <c r="VTK1" s="28"/>
      <c r="VTL1" s="28"/>
      <c r="VTM1" s="28"/>
      <c r="VTN1" s="28"/>
      <c r="VTO1" s="28"/>
      <c r="VTP1" s="28"/>
      <c r="VTQ1" s="28"/>
      <c r="VTR1" s="28"/>
      <c r="VTS1" s="28"/>
      <c r="VTT1" s="28"/>
      <c r="VTU1" s="28"/>
      <c r="VTV1" s="28"/>
      <c r="VTW1" s="28"/>
      <c r="VTX1" s="28"/>
      <c r="VTY1" s="28"/>
      <c r="VTZ1" s="28"/>
      <c r="VUA1" s="28"/>
      <c r="VUB1" s="28"/>
      <c r="VUC1" s="28"/>
      <c r="VUD1" s="28"/>
      <c r="VUE1" s="28"/>
      <c r="VUF1" s="28"/>
      <c r="VUG1" s="28"/>
      <c r="VUH1" s="28"/>
      <c r="VUI1" s="28"/>
      <c r="VUJ1" s="28"/>
      <c r="VUK1" s="28"/>
      <c r="VUL1" s="28"/>
      <c r="VUM1" s="28"/>
      <c r="VUN1" s="28"/>
      <c r="VUO1" s="28"/>
      <c r="VUP1" s="28"/>
      <c r="VUQ1" s="28"/>
      <c r="VUR1" s="28"/>
      <c r="VUS1" s="28"/>
      <c r="VUT1" s="28"/>
      <c r="VUU1" s="28"/>
      <c r="VUV1" s="28"/>
      <c r="VUW1" s="28"/>
      <c r="VUX1" s="28"/>
      <c r="VUY1" s="28"/>
      <c r="VUZ1" s="28"/>
      <c r="VVA1" s="28"/>
      <c r="VVB1" s="28"/>
      <c r="VVC1" s="28"/>
      <c r="VVD1" s="28"/>
      <c r="VVE1" s="28"/>
      <c r="VVF1" s="28"/>
      <c r="VVG1" s="28"/>
      <c r="VVH1" s="28"/>
      <c r="VVI1" s="28"/>
      <c r="VVJ1" s="28"/>
      <c r="VVK1" s="28"/>
      <c r="VVL1" s="28"/>
      <c r="VVM1" s="28"/>
      <c r="VVN1" s="28"/>
      <c r="VVO1" s="28"/>
      <c r="VVP1" s="28"/>
      <c r="VVQ1" s="28"/>
      <c r="VVR1" s="28"/>
      <c r="VVS1" s="28"/>
      <c r="VVT1" s="28"/>
      <c r="VVU1" s="28"/>
      <c r="VVV1" s="28"/>
      <c r="VVW1" s="28"/>
      <c r="VVX1" s="28"/>
      <c r="VVY1" s="28"/>
      <c r="VVZ1" s="28"/>
      <c r="VWA1" s="28"/>
      <c r="VWB1" s="28"/>
      <c r="VWC1" s="28"/>
      <c r="VWD1" s="28"/>
      <c r="VWE1" s="28"/>
      <c r="VWF1" s="28"/>
      <c r="VWG1" s="28"/>
      <c r="VWH1" s="28"/>
      <c r="VWI1" s="28"/>
      <c r="VWJ1" s="28"/>
      <c r="VWK1" s="28"/>
      <c r="VWL1" s="28"/>
      <c r="VWM1" s="28"/>
      <c r="VWN1" s="28"/>
      <c r="VWO1" s="28"/>
      <c r="VWP1" s="28"/>
      <c r="VWQ1" s="28"/>
      <c r="VWR1" s="28"/>
      <c r="VWS1" s="28"/>
      <c r="VWT1" s="28"/>
      <c r="VWU1" s="28"/>
      <c r="VWV1" s="28"/>
      <c r="VWW1" s="28"/>
      <c r="VWX1" s="28"/>
      <c r="VWY1" s="28"/>
      <c r="VWZ1" s="28"/>
      <c r="VXA1" s="28"/>
      <c r="VXB1" s="28"/>
      <c r="VXC1" s="28"/>
      <c r="VXD1" s="28"/>
      <c r="VXE1" s="28"/>
      <c r="VXF1" s="28"/>
      <c r="VXG1" s="28"/>
      <c r="VXH1" s="28"/>
      <c r="VXI1" s="28"/>
      <c r="VXJ1" s="28"/>
      <c r="VXK1" s="28"/>
      <c r="VXL1" s="28"/>
      <c r="VXM1" s="28"/>
      <c r="VXN1" s="28"/>
      <c r="VXO1" s="28"/>
      <c r="VXP1" s="28"/>
      <c r="VXQ1" s="28"/>
      <c r="VXR1" s="28"/>
      <c r="VXS1" s="28"/>
      <c r="VXT1" s="28"/>
      <c r="VXU1" s="28"/>
      <c r="VXV1" s="28"/>
      <c r="VXW1" s="28"/>
      <c r="VXX1" s="28"/>
      <c r="VXY1" s="28"/>
      <c r="VXZ1" s="28"/>
      <c r="VYA1" s="28"/>
      <c r="VYB1" s="28"/>
      <c r="VYC1" s="28"/>
      <c r="VYD1" s="28"/>
      <c r="VYE1" s="28"/>
      <c r="VYF1" s="28"/>
      <c r="VYG1" s="28"/>
      <c r="VYH1" s="28"/>
      <c r="VYI1" s="28"/>
      <c r="VYJ1" s="28"/>
      <c r="VYK1" s="28"/>
      <c r="VYL1" s="28"/>
      <c r="VYM1" s="28"/>
      <c r="VYN1" s="28"/>
      <c r="VYO1" s="28"/>
      <c r="VYP1" s="28"/>
      <c r="VYQ1" s="28"/>
      <c r="VYR1" s="28"/>
      <c r="VYS1" s="28"/>
      <c r="VYT1" s="28"/>
      <c r="VYU1" s="28"/>
      <c r="VYV1" s="28"/>
      <c r="VYW1" s="28"/>
      <c r="VYX1" s="28"/>
      <c r="VYY1" s="28"/>
      <c r="VYZ1" s="28"/>
      <c r="VZA1" s="28"/>
      <c r="VZB1" s="28"/>
      <c r="VZC1" s="28"/>
      <c r="VZD1" s="28"/>
      <c r="VZE1" s="28"/>
      <c r="VZF1" s="28"/>
      <c r="VZG1" s="28"/>
      <c r="VZH1" s="28"/>
      <c r="VZI1" s="28"/>
      <c r="VZJ1" s="28"/>
      <c r="VZK1" s="28"/>
      <c r="VZL1" s="28"/>
      <c r="VZM1" s="28"/>
      <c r="VZN1" s="28"/>
      <c r="VZO1" s="28"/>
      <c r="VZP1" s="28"/>
      <c r="VZQ1" s="28"/>
      <c r="VZR1" s="28"/>
      <c r="VZS1" s="28"/>
      <c r="VZT1" s="28"/>
      <c r="VZU1" s="28"/>
      <c r="VZV1" s="28"/>
      <c r="VZW1" s="28"/>
      <c r="VZX1" s="28"/>
      <c r="VZY1" s="28"/>
      <c r="VZZ1" s="28"/>
      <c r="WAA1" s="28"/>
      <c r="WAB1" s="28"/>
      <c r="WAC1" s="28"/>
      <c r="WAD1" s="28"/>
      <c r="WAE1" s="28"/>
      <c r="WAF1" s="28"/>
      <c r="WAG1" s="28"/>
      <c r="WAH1" s="28"/>
      <c r="WAI1" s="28"/>
      <c r="WAJ1" s="28"/>
      <c r="WAK1" s="28"/>
      <c r="WAL1" s="28"/>
      <c r="WAM1" s="28"/>
      <c r="WAN1" s="28"/>
      <c r="WAO1" s="28"/>
      <c r="WAP1" s="28"/>
      <c r="WAQ1" s="28"/>
      <c r="WAR1" s="28"/>
      <c r="WAS1" s="28"/>
      <c r="WAT1" s="28"/>
      <c r="WAU1" s="28"/>
      <c r="WAV1" s="28"/>
      <c r="WAW1" s="28"/>
      <c r="WAX1" s="28"/>
      <c r="WAY1" s="28"/>
      <c r="WAZ1" s="28"/>
      <c r="WBA1" s="28"/>
      <c r="WBB1" s="28"/>
      <c r="WBC1" s="28"/>
      <c r="WBD1" s="28"/>
      <c r="WBE1" s="28"/>
      <c r="WBF1" s="28"/>
      <c r="WBG1" s="28"/>
      <c r="WBH1" s="28"/>
      <c r="WBI1" s="28"/>
      <c r="WBJ1" s="28"/>
      <c r="WBK1" s="28"/>
      <c r="WBL1" s="28"/>
      <c r="WBM1" s="28"/>
      <c r="WBN1" s="28"/>
      <c r="WBO1" s="28"/>
      <c r="WBP1" s="28"/>
      <c r="WBQ1" s="28"/>
      <c r="WBR1" s="28"/>
      <c r="WBS1" s="28"/>
      <c r="WBT1" s="28"/>
      <c r="WBU1" s="28"/>
      <c r="WBV1" s="28"/>
      <c r="WBW1" s="28"/>
      <c r="WBX1" s="28"/>
      <c r="WBY1" s="28"/>
      <c r="WBZ1" s="28"/>
      <c r="WCA1" s="28"/>
      <c r="WCB1" s="28"/>
      <c r="WCC1" s="28"/>
      <c r="WCD1" s="28"/>
      <c r="WCE1" s="28"/>
      <c r="WCF1" s="28"/>
      <c r="WCG1" s="28"/>
      <c r="WCH1" s="28"/>
      <c r="WCI1" s="28"/>
      <c r="WCJ1" s="28"/>
      <c r="WCK1" s="28"/>
      <c r="WCL1" s="28"/>
      <c r="WCM1" s="28"/>
      <c r="WCN1" s="28"/>
      <c r="WCO1" s="28"/>
      <c r="WCP1" s="28"/>
      <c r="WCQ1" s="28"/>
      <c r="WCR1" s="28"/>
      <c r="WCS1" s="28"/>
      <c r="WCT1" s="28"/>
      <c r="WCU1" s="28"/>
      <c r="WCV1" s="28"/>
      <c r="WCW1" s="28"/>
      <c r="WCX1" s="28"/>
      <c r="WCY1" s="28"/>
      <c r="WCZ1" s="28"/>
      <c r="WDA1" s="28"/>
      <c r="WDB1" s="28"/>
      <c r="WDC1" s="28"/>
      <c r="WDD1" s="28"/>
      <c r="WDE1" s="28"/>
      <c r="WDF1" s="28"/>
      <c r="WDG1" s="28"/>
      <c r="WDH1" s="28"/>
      <c r="WDI1" s="28"/>
      <c r="WDJ1" s="28"/>
      <c r="WDK1" s="28"/>
      <c r="WDL1" s="28"/>
      <c r="WDM1" s="28"/>
      <c r="WDN1" s="28"/>
      <c r="WDO1" s="28"/>
      <c r="WDP1" s="28"/>
      <c r="WDQ1" s="28"/>
      <c r="WDR1" s="28"/>
      <c r="WDS1" s="28"/>
      <c r="WDT1" s="28"/>
      <c r="WDU1" s="28"/>
      <c r="WDV1" s="28"/>
      <c r="WDW1" s="28"/>
      <c r="WDX1" s="28"/>
      <c r="WDY1" s="28"/>
      <c r="WDZ1" s="28"/>
      <c r="WEA1" s="28"/>
      <c r="WEB1" s="28"/>
      <c r="WEC1" s="28"/>
      <c r="WED1" s="28"/>
      <c r="WEE1" s="28"/>
      <c r="WEF1" s="28"/>
      <c r="WEG1" s="28"/>
      <c r="WEH1" s="28"/>
      <c r="WEI1" s="28"/>
      <c r="WEJ1" s="28"/>
      <c r="WEK1" s="28"/>
      <c r="WEL1" s="28"/>
      <c r="WEM1" s="28"/>
      <c r="WEN1" s="28"/>
      <c r="WEO1" s="28"/>
      <c r="WEP1" s="28"/>
      <c r="WEQ1" s="28"/>
      <c r="WER1" s="28"/>
      <c r="WES1" s="28"/>
      <c r="WET1" s="28"/>
      <c r="WEU1" s="28"/>
      <c r="WEV1" s="28"/>
      <c r="WEW1" s="28"/>
      <c r="WEX1" s="28"/>
      <c r="WEY1" s="28"/>
      <c r="WEZ1" s="28"/>
      <c r="WFA1" s="28"/>
      <c r="WFB1" s="28"/>
      <c r="WFC1" s="28"/>
      <c r="WFD1" s="28"/>
      <c r="WFE1" s="28"/>
      <c r="WFF1" s="28"/>
      <c r="WFG1" s="28"/>
      <c r="WFH1" s="28"/>
      <c r="WFI1" s="28"/>
      <c r="WFJ1" s="28"/>
      <c r="WFK1" s="28"/>
      <c r="WFL1" s="28"/>
      <c r="WFM1" s="28"/>
      <c r="WFN1" s="28"/>
      <c r="WFO1" s="28"/>
      <c r="WFP1" s="28"/>
      <c r="WFQ1" s="28"/>
      <c r="WFR1" s="28"/>
      <c r="WFS1" s="28"/>
      <c r="WFT1" s="28"/>
      <c r="WFU1" s="28"/>
      <c r="WFV1" s="28"/>
      <c r="WFW1" s="28"/>
      <c r="WFX1" s="28"/>
      <c r="WFY1" s="28"/>
      <c r="WFZ1" s="28"/>
      <c r="WGA1" s="28"/>
      <c r="WGB1" s="28"/>
      <c r="WGC1" s="28"/>
      <c r="WGD1" s="28"/>
      <c r="WGE1" s="28"/>
      <c r="WGF1" s="28"/>
      <c r="WGG1" s="28"/>
      <c r="WGH1" s="28"/>
      <c r="WGI1" s="28"/>
      <c r="WGJ1" s="28"/>
      <c r="WGK1" s="28"/>
      <c r="WGL1" s="28"/>
      <c r="WGM1" s="28"/>
      <c r="WGN1" s="28"/>
      <c r="WGO1" s="28"/>
      <c r="WGP1" s="28"/>
      <c r="WGQ1" s="28"/>
      <c r="WGR1" s="28"/>
      <c r="WGS1" s="28"/>
      <c r="WGT1" s="28"/>
      <c r="WGU1" s="28"/>
      <c r="WGV1" s="28"/>
      <c r="WGW1" s="28"/>
      <c r="WGX1" s="28"/>
      <c r="WGY1" s="28"/>
      <c r="WGZ1" s="28"/>
      <c r="WHA1" s="28"/>
      <c r="WHB1" s="28"/>
      <c r="WHC1" s="28"/>
      <c r="WHD1" s="28"/>
      <c r="WHE1" s="28"/>
      <c r="WHF1" s="28"/>
      <c r="WHG1" s="28"/>
      <c r="WHH1" s="28"/>
      <c r="WHI1" s="28"/>
      <c r="WHJ1" s="28"/>
      <c r="WHK1" s="28"/>
      <c r="WHL1" s="28"/>
      <c r="WHM1" s="28"/>
      <c r="WHN1" s="28"/>
      <c r="WHO1" s="28"/>
      <c r="WHP1" s="28"/>
      <c r="WHQ1" s="28"/>
      <c r="WHR1" s="28"/>
      <c r="WHS1" s="28"/>
      <c r="WHT1" s="28"/>
      <c r="WHU1" s="28"/>
      <c r="WHV1" s="28"/>
      <c r="WHW1" s="28"/>
      <c r="WHX1" s="28"/>
      <c r="WHY1" s="28"/>
      <c r="WHZ1" s="28"/>
      <c r="WIA1" s="28"/>
      <c r="WIB1" s="28"/>
      <c r="WIC1" s="28"/>
      <c r="WID1" s="28"/>
      <c r="WIE1" s="28"/>
      <c r="WIF1" s="28"/>
      <c r="WIG1" s="28"/>
      <c r="WIH1" s="28"/>
      <c r="WII1" s="28"/>
      <c r="WIJ1" s="28"/>
      <c r="WIK1" s="28"/>
      <c r="WIL1" s="28"/>
      <c r="WIM1" s="28"/>
      <c r="WIN1" s="28"/>
      <c r="WIO1" s="28"/>
      <c r="WIP1" s="28"/>
      <c r="WIQ1" s="28"/>
      <c r="WIR1" s="28"/>
      <c r="WIS1" s="28"/>
      <c r="WIT1" s="28"/>
      <c r="WIU1" s="28"/>
      <c r="WIV1" s="28"/>
      <c r="WIW1" s="28"/>
      <c r="WIX1" s="28"/>
      <c r="WIY1" s="28"/>
      <c r="WIZ1" s="28"/>
      <c r="WJA1" s="28"/>
      <c r="WJB1" s="28"/>
      <c r="WJC1" s="28"/>
      <c r="WJD1" s="28"/>
      <c r="WJE1" s="28"/>
      <c r="WJF1" s="28"/>
      <c r="WJG1" s="28"/>
      <c r="WJH1" s="28"/>
      <c r="WJI1" s="28"/>
      <c r="WJJ1" s="28"/>
      <c r="WJK1" s="28"/>
      <c r="WJL1" s="28"/>
      <c r="WJM1" s="28"/>
      <c r="WJN1" s="28"/>
      <c r="WJO1" s="28"/>
      <c r="WJP1" s="28"/>
      <c r="WJQ1" s="28"/>
      <c r="WJR1" s="28"/>
      <c r="WJS1" s="28"/>
      <c r="WJT1" s="28"/>
      <c r="WJU1" s="28"/>
      <c r="WJV1" s="28"/>
      <c r="WJW1" s="28"/>
      <c r="WJX1" s="28"/>
      <c r="WJY1" s="28"/>
      <c r="WJZ1" s="28"/>
      <c r="WKA1" s="28"/>
      <c r="WKB1" s="28"/>
      <c r="WKC1" s="28"/>
      <c r="WKD1" s="28"/>
      <c r="WKE1" s="28"/>
      <c r="WKF1" s="28"/>
      <c r="WKG1" s="28"/>
      <c r="WKH1" s="28"/>
      <c r="WKI1" s="28"/>
      <c r="WKJ1" s="28"/>
      <c r="WKK1" s="28"/>
      <c r="WKL1" s="28"/>
      <c r="WKM1" s="28"/>
      <c r="WKN1" s="28"/>
      <c r="WKO1" s="28"/>
      <c r="WKP1" s="28"/>
      <c r="WKQ1" s="28"/>
      <c r="WKR1" s="28"/>
      <c r="WKS1" s="28"/>
      <c r="WKT1" s="28"/>
      <c r="WKU1" s="28"/>
      <c r="WKV1" s="28"/>
      <c r="WKW1" s="28"/>
      <c r="WKX1" s="28"/>
      <c r="WKY1" s="28"/>
      <c r="WKZ1" s="28"/>
      <c r="WLA1" s="28"/>
      <c r="WLB1" s="28"/>
      <c r="WLC1" s="28"/>
      <c r="WLD1" s="28"/>
      <c r="WLE1" s="28"/>
      <c r="WLF1" s="28"/>
      <c r="WLG1" s="28"/>
      <c r="WLH1" s="28"/>
      <c r="WLI1" s="28"/>
      <c r="WLJ1" s="28"/>
      <c r="WLK1" s="28"/>
      <c r="WLL1" s="28"/>
      <c r="WLM1" s="28"/>
      <c r="WLN1" s="28"/>
      <c r="WLO1" s="28"/>
      <c r="WLP1" s="28"/>
      <c r="WLQ1" s="28"/>
      <c r="WLR1" s="28"/>
      <c r="WLS1" s="28"/>
      <c r="WLT1" s="28"/>
      <c r="WLU1" s="28"/>
      <c r="WLV1" s="28"/>
      <c r="WLW1" s="28"/>
      <c r="WLX1" s="28"/>
      <c r="WLY1" s="28"/>
      <c r="WLZ1" s="28"/>
      <c r="WMA1" s="28"/>
      <c r="WMB1" s="28"/>
      <c r="WMC1" s="28"/>
      <c r="WMD1" s="28"/>
      <c r="WME1" s="28"/>
      <c r="WMF1" s="28"/>
      <c r="WMG1" s="28"/>
      <c r="WMH1" s="28"/>
      <c r="WMI1" s="28"/>
      <c r="WMJ1" s="28"/>
      <c r="WMK1" s="28"/>
      <c r="WML1" s="28"/>
      <c r="WMM1" s="28"/>
      <c r="WMN1" s="28"/>
      <c r="WMO1" s="28"/>
      <c r="WMP1" s="28"/>
      <c r="WMQ1" s="28"/>
      <c r="WMR1" s="28"/>
      <c r="WMS1" s="28"/>
      <c r="WMT1" s="28"/>
      <c r="WMU1" s="28"/>
      <c r="WMV1" s="28"/>
      <c r="WMW1" s="28"/>
      <c r="WMX1" s="28"/>
      <c r="WMY1" s="28"/>
      <c r="WMZ1" s="28"/>
      <c r="WNA1" s="28"/>
      <c r="WNB1" s="28"/>
      <c r="WNC1" s="28"/>
      <c r="WND1" s="28"/>
      <c r="WNE1" s="28"/>
      <c r="WNF1" s="28"/>
      <c r="WNG1" s="28"/>
      <c r="WNH1" s="28"/>
      <c r="WNI1" s="28"/>
      <c r="WNJ1" s="28"/>
      <c r="WNK1" s="28"/>
      <c r="WNL1" s="28"/>
      <c r="WNM1" s="28"/>
      <c r="WNN1" s="28"/>
      <c r="WNO1" s="28"/>
      <c r="WNP1" s="28"/>
      <c r="WNQ1" s="28"/>
      <c r="WNR1" s="28"/>
      <c r="WNS1" s="28"/>
      <c r="WNT1" s="28"/>
      <c r="WNU1" s="28"/>
      <c r="WNV1" s="28"/>
      <c r="WNW1" s="28"/>
      <c r="WNX1" s="28"/>
      <c r="WNY1" s="28"/>
      <c r="WNZ1" s="28"/>
      <c r="WOA1" s="28"/>
      <c r="WOB1" s="28"/>
      <c r="WOC1" s="28"/>
      <c r="WOD1" s="28"/>
      <c r="WOE1" s="28"/>
      <c r="WOF1" s="28"/>
      <c r="WOG1" s="28"/>
      <c r="WOH1" s="28"/>
      <c r="WOI1" s="28"/>
      <c r="WOJ1" s="28"/>
      <c r="WOK1" s="28"/>
      <c r="WOL1" s="28"/>
      <c r="WOM1" s="28"/>
      <c r="WON1" s="28"/>
      <c r="WOO1" s="28"/>
      <c r="WOP1" s="28"/>
      <c r="WOQ1" s="28"/>
      <c r="WOR1" s="28"/>
      <c r="WOS1" s="28"/>
      <c r="WOT1" s="28"/>
      <c r="WOU1" s="28"/>
      <c r="WOV1" s="28"/>
      <c r="WOW1" s="28"/>
      <c r="WOX1" s="28"/>
      <c r="WOY1" s="28"/>
      <c r="WOZ1" s="28"/>
      <c r="WPA1" s="28"/>
      <c r="WPB1" s="28"/>
      <c r="WPC1" s="28"/>
      <c r="WPD1" s="28"/>
      <c r="WPE1" s="28"/>
      <c r="WPF1" s="28"/>
      <c r="WPG1" s="28"/>
      <c r="WPH1" s="28"/>
      <c r="WPI1" s="28"/>
      <c r="WPJ1" s="28"/>
      <c r="WPK1" s="28"/>
      <c r="WPL1" s="28"/>
      <c r="WPM1" s="28"/>
      <c r="WPN1" s="28"/>
      <c r="WPO1" s="28"/>
      <c r="WPP1" s="28"/>
      <c r="WPQ1" s="28"/>
      <c r="WPR1" s="28"/>
      <c r="WPS1" s="28"/>
      <c r="WPT1" s="28"/>
      <c r="WPU1" s="28"/>
      <c r="WPV1" s="28"/>
      <c r="WPW1" s="28"/>
      <c r="WPX1" s="28"/>
      <c r="WPY1" s="28"/>
      <c r="WPZ1" s="28"/>
      <c r="WQA1" s="28"/>
      <c r="WQB1" s="28"/>
      <c r="WQC1" s="28"/>
      <c r="WQD1" s="28"/>
      <c r="WQE1" s="28"/>
      <c r="WQF1" s="28"/>
      <c r="WQG1" s="28"/>
      <c r="WQH1" s="28"/>
      <c r="WQI1" s="28"/>
      <c r="WQJ1" s="28"/>
      <c r="WQK1" s="28"/>
      <c r="WQL1" s="28"/>
      <c r="WQM1" s="28"/>
      <c r="WQN1" s="28"/>
      <c r="WQO1" s="28"/>
      <c r="WQP1" s="28"/>
      <c r="WQQ1" s="28"/>
      <c r="WQR1" s="28"/>
      <c r="WQS1" s="28"/>
      <c r="WQT1" s="28"/>
      <c r="WQU1" s="28"/>
      <c r="WQV1" s="28"/>
      <c r="WQW1" s="28"/>
      <c r="WQX1" s="28"/>
      <c r="WQY1" s="28"/>
      <c r="WQZ1" s="28"/>
      <c r="WRA1" s="28"/>
      <c r="WRB1" s="28"/>
      <c r="WRC1" s="28"/>
      <c r="WRD1" s="28"/>
      <c r="WRE1" s="28"/>
      <c r="WRF1" s="28"/>
      <c r="WRG1" s="28"/>
      <c r="WRH1" s="28"/>
      <c r="WRI1" s="28"/>
      <c r="WRJ1" s="28"/>
      <c r="WRK1" s="28"/>
      <c r="WRL1" s="28"/>
      <c r="WRM1" s="28"/>
      <c r="WRN1" s="28"/>
      <c r="WRO1" s="28"/>
      <c r="WRP1" s="28"/>
      <c r="WRQ1" s="28"/>
      <c r="WRR1" s="28"/>
      <c r="WRS1" s="28"/>
      <c r="WRT1" s="28"/>
      <c r="WRU1" s="28"/>
      <c r="WRV1" s="28"/>
      <c r="WRW1" s="28"/>
      <c r="WRX1" s="28"/>
      <c r="WRY1" s="28"/>
      <c r="WRZ1" s="28"/>
      <c r="WSA1" s="28"/>
      <c r="WSB1" s="28"/>
      <c r="WSC1" s="28"/>
      <c r="WSD1" s="28"/>
      <c r="WSE1" s="28"/>
      <c r="WSF1" s="28"/>
      <c r="WSG1" s="28"/>
      <c r="WSH1" s="28"/>
      <c r="WSI1" s="28"/>
      <c r="WSJ1" s="28"/>
      <c r="WSK1" s="28"/>
      <c r="WSL1" s="28"/>
      <c r="WSM1" s="28"/>
      <c r="WSN1" s="28"/>
      <c r="WSO1" s="28"/>
      <c r="WSP1" s="28"/>
      <c r="WSQ1" s="28"/>
      <c r="WSR1" s="28"/>
      <c r="WSS1" s="28"/>
      <c r="WST1" s="28"/>
      <c r="WSU1" s="28"/>
      <c r="WSV1" s="28"/>
      <c r="WSW1" s="28"/>
      <c r="WSX1" s="28"/>
      <c r="WSY1" s="28"/>
      <c r="WSZ1" s="28"/>
      <c r="WTA1" s="28"/>
      <c r="WTB1" s="28"/>
      <c r="WTC1" s="28"/>
      <c r="WTD1" s="28"/>
      <c r="WTE1" s="28"/>
      <c r="WTF1" s="28"/>
      <c r="WTG1" s="28"/>
      <c r="WTH1" s="28"/>
      <c r="WTI1" s="28"/>
      <c r="WTJ1" s="28"/>
      <c r="WTK1" s="28"/>
      <c r="WTL1" s="28"/>
      <c r="WTM1" s="28"/>
      <c r="WTN1" s="28"/>
      <c r="WTO1" s="28"/>
      <c r="WTP1" s="28"/>
      <c r="WTQ1" s="28"/>
      <c r="WTR1" s="28"/>
      <c r="WTS1" s="28"/>
      <c r="WTT1" s="28"/>
      <c r="WTU1" s="28"/>
      <c r="WTV1" s="28"/>
      <c r="WTW1" s="28"/>
      <c r="WTX1" s="28"/>
      <c r="WTY1" s="28"/>
      <c r="WTZ1" s="28"/>
      <c r="WUA1" s="28"/>
      <c r="WUB1" s="28"/>
      <c r="WUC1" s="28"/>
      <c r="WUD1" s="28"/>
      <c r="WUE1" s="28"/>
      <c r="WUF1" s="28"/>
      <c r="WUG1" s="28"/>
      <c r="WUH1" s="28"/>
      <c r="WUI1" s="28"/>
      <c r="WUJ1" s="28"/>
      <c r="WUK1" s="28"/>
      <c r="WUL1" s="28"/>
      <c r="WUM1" s="28"/>
      <c r="WUN1" s="28"/>
      <c r="WUO1" s="28"/>
      <c r="WUP1" s="28"/>
      <c r="WUQ1" s="28"/>
      <c r="WUR1" s="28"/>
      <c r="WUS1" s="28"/>
      <c r="WUT1" s="28"/>
      <c r="WUU1" s="28"/>
      <c r="WUV1" s="28"/>
      <c r="WUW1" s="28"/>
      <c r="WUX1" s="28"/>
      <c r="WUY1" s="28"/>
      <c r="WUZ1" s="28"/>
      <c r="WVA1" s="28"/>
      <c r="WVB1" s="28"/>
      <c r="WVC1" s="28"/>
      <c r="WVD1" s="28"/>
      <c r="WVE1" s="28"/>
      <c r="WVF1" s="28"/>
      <c r="WVG1" s="28"/>
      <c r="WVH1" s="28"/>
      <c r="WVI1" s="28"/>
      <c r="WVJ1" s="28"/>
      <c r="WVK1" s="28"/>
      <c r="WVL1" s="28"/>
      <c r="WVM1" s="28"/>
      <c r="WVN1" s="28"/>
      <c r="WVO1" s="28"/>
      <c r="WVP1" s="28"/>
      <c r="WVQ1" s="28"/>
      <c r="WVR1" s="28"/>
      <c r="WVS1" s="28"/>
      <c r="WVT1" s="28"/>
      <c r="WVU1" s="28"/>
      <c r="WVV1" s="28"/>
      <c r="WVW1" s="28"/>
      <c r="WVX1" s="28"/>
      <c r="WVY1" s="28"/>
      <c r="WVZ1" s="28"/>
      <c r="WWA1" s="28"/>
      <c r="WWB1" s="28"/>
      <c r="WWC1" s="28"/>
      <c r="WWD1" s="28"/>
      <c r="WWE1" s="28"/>
      <c r="WWF1" s="28"/>
      <c r="WWG1" s="28"/>
      <c r="WWH1" s="28"/>
      <c r="WWI1" s="28"/>
      <c r="WWJ1" s="28"/>
      <c r="WWK1" s="28"/>
      <c r="WWL1" s="28"/>
      <c r="WWM1" s="28"/>
      <c r="WWN1" s="28"/>
      <c r="WWO1" s="28"/>
      <c r="WWP1" s="28"/>
      <c r="WWQ1" s="28"/>
      <c r="WWR1" s="28"/>
      <c r="WWS1" s="28"/>
      <c r="WWT1" s="28"/>
      <c r="WWU1" s="28"/>
      <c r="WWV1" s="28"/>
      <c r="WWW1" s="28"/>
      <c r="WWX1" s="28"/>
      <c r="WWY1" s="28"/>
      <c r="WWZ1" s="28"/>
      <c r="WXA1" s="28"/>
      <c r="WXB1" s="28"/>
      <c r="WXC1" s="28"/>
      <c r="WXD1" s="28"/>
      <c r="WXE1" s="28"/>
      <c r="WXF1" s="28"/>
      <c r="WXG1" s="28"/>
      <c r="WXH1" s="28"/>
      <c r="WXI1" s="28"/>
      <c r="WXJ1" s="28"/>
      <c r="WXK1" s="28"/>
      <c r="WXL1" s="28"/>
      <c r="WXM1" s="28"/>
      <c r="WXN1" s="28"/>
      <c r="WXO1" s="28"/>
      <c r="WXP1" s="28"/>
      <c r="WXQ1" s="28"/>
      <c r="WXR1" s="28"/>
      <c r="WXS1" s="28"/>
      <c r="WXT1" s="28"/>
      <c r="WXU1" s="28"/>
      <c r="WXV1" s="28"/>
      <c r="WXW1" s="28"/>
      <c r="WXX1" s="28"/>
      <c r="WXY1" s="28"/>
      <c r="WXZ1" s="28"/>
      <c r="WYA1" s="28"/>
      <c r="WYB1" s="28"/>
      <c r="WYC1" s="28"/>
      <c r="WYD1" s="28"/>
      <c r="WYE1" s="28"/>
      <c r="WYF1" s="28"/>
      <c r="WYG1" s="28"/>
      <c r="WYH1" s="28"/>
      <c r="WYI1" s="28"/>
      <c r="WYJ1" s="28"/>
      <c r="WYK1" s="28"/>
      <c r="WYL1" s="28"/>
      <c r="WYM1" s="28"/>
      <c r="WYN1" s="28"/>
      <c r="WYO1" s="28"/>
      <c r="WYP1" s="28"/>
      <c r="WYQ1" s="28"/>
      <c r="WYR1" s="28"/>
      <c r="WYS1" s="28"/>
      <c r="WYT1" s="28"/>
      <c r="WYU1" s="28"/>
      <c r="WYV1" s="28"/>
      <c r="WYW1" s="28"/>
      <c r="WYX1" s="28"/>
      <c r="WYY1" s="28"/>
      <c r="WYZ1" s="28"/>
      <c r="WZA1" s="28"/>
      <c r="WZB1" s="28"/>
      <c r="WZC1" s="28"/>
      <c r="WZD1" s="28"/>
      <c r="WZE1" s="28"/>
      <c r="WZF1" s="28"/>
      <c r="WZG1" s="28"/>
      <c r="WZH1" s="28"/>
      <c r="WZI1" s="28"/>
      <c r="WZJ1" s="28"/>
      <c r="WZK1" s="28"/>
      <c r="WZL1" s="28"/>
      <c r="WZM1" s="28"/>
      <c r="WZN1" s="28"/>
      <c r="WZO1" s="28"/>
      <c r="WZP1" s="28"/>
      <c r="WZQ1" s="28"/>
      <c r="WZR1" s="28"/>
      <c r="WZS1" s="28"/>
      <c r="WZT1" s="28"/>
      <c r="WZU1" s="28"/>
      <c r="WZV1" s="28"/>
      <c r="WZW1" s="28"/>
      <c r="WZX1" s="28"/>
      <c r="WZY1" s="28"/>
      <c r="WZZ1" s="28"/>
      <c r="XAA1" s="28"/>
      <c r="XAB1" s="28"/>
      <c r="XAC1" s="28"/>
      <c r="XAD1" s="28"/>
      <c r="XAE1" s="28"/>
      <c r="XAF1" s="28"/>
      <c r="XAG1" s="28"/>
      <c r="XAH1" s="28"/>
      <c r="XAI1" s="28"/>
      <c r="XAJ1" s="28"/>
      <c r="XAK1" s="28"/>
      <c r="XAL1" s="28"/>
      <c r="XAM1" s="28"/>
      <c r="XAN1" s="28"/>
      <c r="XAO1" s="28"/>
      <c r="XAP1" s="28"/>
      <c r="XAQ1" s="28"/>
      <c r="XAR1" s="28"/>
      <c r="XAS1" s="28"/>
      <c r="XAT1" s="28"/>
      <c r="XAU1" s="28"/>
      <c r="XAV1" s="28"/>
      <c r="XAW1" s="28"/>
      <c r="XAX1" s="28"/>
      <c r="XAY1" s="28"/>
      <c r="XAZ1" s="28"/>
      <c r="XBA1" s="28"/>
      <c r="XBB1" s="28"/>
      <c r="XBC1" s="28"/>
      <c r="XBD1" s="28"/>
      <c r="XBE1" s="28"/>
      <c r="XBF1" s="28"/>
      <c r="XBG1" s="28"/>
      <c r="XBH1" s="28"/>
      <c r="XBI1" s="28"/>
      <c r="XBJ1" s="28"/>
      <c r="XBK1" s="28"/>
      <c r="XBL1" s="28"/>
      <c r="XBM1" s="28"/>
      <c r="XBN1" s="28"/>
      <c r="XBO1" s="28"/>
      <c r="XBP1" s="28"/>
      <c r="XBQ1" s="28"/>
      <c r="XBR1" s="28"/>
      <c r="XBS1" s="28"/>
      <c r="XBT1" s="28"/>
      <c r="XBU1" s="28"/>
      <c r="XBV1" s="28"/>
      <c r="XBW1" s="28"/>
      <c r="XBX1" s="28"/>
      <c r="XBY1" s="28"/>
      <c r="XBZ1" s="28"/>
      <c r="XCA1" s="28"/>
      <c r="XCB1" s="28"/>
      <c r="XCC1" s="28"/>
      <c r="XCD1" s="28"/>
      <c r="XCE1" s="28"/>
      <c r="XCF1" s="28"/>
      <c r="XCG1" s="28"/>
      <c r="XCH1" s="28"/>
      <c r="XCI1" s="28"/>
      <c r="XCJ1" s="28"/>
      <c r="XCK1" s="28"/>
      <c r="XCL1" s="28"/>
      <c r="XCM1" s="28"/>
      <c r="XCN1" s="28"/>
      <c r="XCO1" s="28"/>
      <c r="XCP1" s="28"/>
      <c r="XCQ1" s="28"/>
      <c r="XCR1" s="28"/>
      <c r="XCS1" s="28"/>
      <c r="XCT1" s="28"/>
      <c r="XCU1" s="28"/>
      <c r="XCV1" s="28"/>
      <c r="XCW1" s="28"/>
      <c r="XCX1" s="28"/>
      <c r="XCY1" s="28"/>
      <c r="XCZ1" s="28"/>
      <c r="XDA1" s="28"/>
      <c r="XDB1" s="28"/>
      <c r="XDC1" s="28"/>
      <c r="XDD1" s="28"/>
      <c r="XDE1" s="28"/>
      <c r="XDF1" s="28"/>
      <c r="XDG1" s="28"/>
      <c r="XDH1" s="28"/>
      <c r="XDI1" s="28"/>
      <c r="XDJ1" s="28"/>
      <c r="XDK1" s="28"/>
      <c r="XDL1" s="28"/>
      <c r="XDM1" s="28"/>
      <c r="XDN1" s="28"/>
      <c r="XDO1" s="28"/>
      <c r="XDP1" s="28"/>
      <c r="XDQ1" s="28"/>
      <c r="XDR1" s="28"/>
      <c r="XDS1" s="28"/>
      <c r="XDT1" s="28"/>
      <c r="XDU1" s="28"/>
      <c r="XDV1" s="28"/>
      <c r="XDW1" s="28"/>
      <c r="XDX1" s="28"/>
      <c r="XDY1" s="28"/>
      <c r="XDZ1" s="28"/>
      <c r="XEA1" s="28"/>
      <c r="XEB1" s="28"/>
      <c r="XEC1" s="28"/>
      <c r="XED1" s="28"/>
      <c r="XEE1" s="28"/>
      <c r="XEF1" s="28"/>
      <c r="XEG1" s="28"/>
      <c r="XEH1" s="28"/>
      <c r="XEI1" s="28"/>
      <c r="XEJ1" s="28"/>
      <c r="XEK1" s="28"/>
      <c r="XEL1" s="28"/>
      <c r="XEM1" s="28"/>
      <c r="XEN1" s="28"/>
      <c r="XEO1" s="28"/>
      <c r="XEP1" s="28"/>
      <c r="XEQ1" s="28"/>
      <c r="XER1" s="28"/>
      <c r="XES1" s="28"/>
    </row>
    <row r="2" spans="1:16373" ht="15.6" x14ac:dyDescent="0.3">
      <c r="A2" s="34" t="s">
        <v>757</v>
      </c>
      <c r="B2" s="35" t="s">
        <v>758</v>
      </c>
      <c r="C2" s="35" t="s">
        <v>366</v>
      </c>
      <c r="D2" s="36" t="s">
        <v>880</v>
      </c>
      <c r="E2" s="37" t="s">
        <v>1374</v>
      </c>
      <c r="F2" s="37">
        <v>45880</v>
      </c>
      <c r="G2" s="34">
        <v>54991592379</v>
      </c>
      <c r="H2" s="38">
        <v>1158000864</v>
      </c>
      <c r="I2" s="35" t="s">
        <v>401</v>
      </c>
      <c r="J2" s="47" t="s">
        <v>1375</v>
      </c>
      <c r="K2" s="27" t="s">
        <v>1376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  <c r="NC2" s="27"/>
      <c r="ND2" s="27"/>
      <c r="NE2" s="27"/>
      <c r="NF2" s="27"/>
      <c r="NG2" s="27"/>
      <c r="NH2" s="27"/>
      <c r="NI2" s="27"/>
      <c r="NJ2" s="27"/>
      <c r="NK2" s="27"/>
      <c r="NL2" s="27"/>
      <c r="NM2" s="27"/>
      <c r="NN2" s="27"/>
      <c r="NO2" s="27"/>
      <c r="NP2" s="27"/>
      <c r="NQ2" s="27"/>
      <c r="NR2" s="27"/>
      <c r="NS2" s="27"/>
      <c r="NT2" s="27"/>
      <c r="NU2" s="27"/>
      <c r="NV2" s="27"/>
      <c r="NW2" s="27"/>
      <c r="NX2" s="27"/>
      <c r="NY2" s="27"/>
      <c r="NZ2" s="27"/>
      <c r="OA2" s="27"/>
      <c r="OB2" s="27"/>
      <c r="OC2" s="27"/>
      <c r="OD2" s="27"/>
      <c r="OE2" s="27"/>
      <c r="OF2" s="27"/>
      <c r="OG2" s="27"/>
      <c r="OH2" s="27"/>
      <c r="OI2" s="27"/>
      <c r="OJ2" s="27"/>
      <c r="OK2" s="27"/>
      <c r="OL2" s="27"/>
      <c r="OM2" s="27"/>
      <c r="ON2" s="27"/>
      <c r="OO2" s="27"/>
      <c r="OP2" s="27"/>
      <c r="OQ2" s="27"/>
      <c r="OR2" s="27"/>
      <c r="OS2" s="27"/>
      <c r="OT2" s="27"/>
      <c r="OU2" s="27"/>
      <c r="OV2" s="27"/>
      <c r="OW2" s="27"/>
      <c r="OX2" s="27"/>
      <c r="OY2" s="27"/>
      <c r="OZ2" s="27"/>
      <c r="PA2" s="27"/>
      <c r="PB2" s="27"/>
      <c r="PC2" s="27"/>
      <c r="PD2" s="27"/>
      <c r="PE2" s="27"/>
      <c r="PF2" s="27"/>
      <c r="PG2" s="27"/>
      <c r="PH2" s="27"/>
      <c r="PI2" s="27"/>
      <c r="PJ2" s="27"/>
      <c r="PK2" s="27"/>
      <c r="PL2" s="27"/>
      <c r="PM2" s="27"/>
      <c r="PN2" s="27"/>
      <c r="PO2" s="27"/>
      <c r="PP2" s="27"/>
      <c r="PQ2" s="27"/>
      <c r="PR2" s="27"/>
      <c r="PS2" s="27"/>
      <c r="PT2" s="27"/>
      <c r="PU2" s="27"/>
      <c r="PV2" s="27"/>
      <c r="PW2" s="27"/>
      <c r="PX2" s="27"/>
      <c r="PY2" s="27"/>
      <c r="PZ2" s="27"/>
      <c r="QA2" s="27"/>
      <c r="QB2" s="27"/>
      <c r="QC2" s="27"/>
      <c r="QD2" s="27"/>
      <c r="QE2" s="27"/>
      <c r="QF2" s="27"/>
      <c r="QG2" s="27"/>
      <c r="QH2" s="27"/>
      <c r="QI2" s="27"/>
      <c r="QJ2" s="27"/>
      <c r="QK2" s="27"/>
      <c r="QL2" s="27"/>
      <c r="QM2" s="27"/>
      <c r="QN2" s="27"/>
      <c r="QO2" s="27"/>
      <c r="QP2" s="27"/>
      <c r="QQ2" s="27"/>
      <c r="QR2" s="27"/>
      <c r="QS2" s="27"/>
      <c r="QT2" s="27"/>
      <c r="QU2" s="27"/>
      <c r="QV2" s="27"/>
      <c r="QW2" s="27"/>
      <c r="QX2" s="27"/>
      <c r="QY2" s="27"/>
      <c r="QZ2" s="27"/>
      <c r="RA2" s="27"/>
      <c r="RB2" s="27"/>
      <c r="RC2" s="27"/>
      <c r="RD2" s="27"/>
      <c r="RE2" s="27"/>
      <c r="RF2" s="27"/>
      <c r="RG2" s="27"/>
      <c r="RH2" s="27"/>
      <c r="RI2" s="27"/>
      <c r="RJ2" s="27"/>
      <c r="RK2" s="27"/>
      <c r="RL2" s="27"/>
      <c r="RM2" s="27"/>
      <c r="RN2" s="27"/>
      <c r="RO2" s="27"/>
      <c r="RP2" s="27"/>
      <c r="RQ2" s="27"/>
      <c r="RR2" s="27"/>
      <c r="RS2" s="27"/>
      <c r="RT2" s="27"/>
      <c r="RU2" s="27"/>
      <c r="RV2" s="27"/>
      <c r="RW2" s="27"/>
      <c r="RX2" s="27"/>
      <c r="RY2" s="27"/>
      <c r="RZ2" s="27"/>
      <c r="SA2" s="27"/>
      <c r="SB2" s="27"/>
      <c r="SC2" s="27"/>
      <c r="SD2" s="27"/>
      <c r="SE2" s="27"/>
      <c r="SF2" s="27"/>
      <c r="SG2" s="27"/>
      <c r="SH2" s="27"/>
      <c r="SI2" s="27"/>
      <c r="SJ2" s="27"/>
      <c r="SK2" s="27"/>
      <c r="SL2" s="27"/>
      <c r="SM2" s="27"/>
      <c r="SN2" s="27"/>
      <c r="SO2" s="27"/>
      <c r="SP2" s="27"/>
      <c r="SQ2" s="27"/>
      <c r="SR2" s="27"/>
      <c r="SS2" s="27"/>
      <c r="ST2" s="27"/>
      <c r="SU2" s="27"/>
      <c r="SV2" s="27"/>
      <c r="SW2" s="27"/>
      <c r="SX2" s="27"/>
      <c r="SY2" s="27"/>
      <c r="SZ2" s="27"/>
      <c r="TA2" s="27"/>
      <c r="TB2" s="27"/>
      <c r="TC2" s="27"/>
      <c r="TD2" s="27"/>
      <c r="TE2" s="27"/>
      <c r="TF2" s="27"/>
      <c r="TG2" s="27"/>
      <c r="TH2" s="27"/>
      <c r="TI2" s="27"/>
      <c r="TJ2" s="27"/>
      <c r="TK2" s="27"/>
      <c r="TL2" s="27"/>
      <c r="TM2" s="27"/>
      <c r="TN2" s="27"/>
      <c r="TO2" s="27"/>
      <c r="TP2" s="27"/>
      <c r="TQ2" s="27"/>
      <c r="TR2" s="27"/>
      <c r="TS2" s="27"/>
      <c r="TT2" s="27"/>
      <c r="TU2" s="27"/>
      <c r="TV2" s="27"/>
      <c r="TW2" s="27"/>
      <c r="TX2" s="27"/>
      <c r="TY2" s="27"/>
      <c r="TZ2" s="27"/>
      <c r="UA2" s="27"/>
      <c r="UB2" s="27"/>
      <c r="UC2" s="27"/>
      <c r="UD2" s="27"/>
      <c r="UE2" s="27"/>
      <c r="UF2" s="27"/>
      <c r="UG2" s="27"/>
      <c r="UH2" s="27"/>
      <c r="UI2" s="27"/>
      <c r="UJ2" s="27"/>
      <c r="UK2" s="27"/>
      <c r="UL2" s="27"/>
      <c r="UM2" s="27"/>
      <c r="UN2" s="27"/>
      <c r="UO2" s="27"/>
      <c r="UP2" s="27"/>
      <c r="UQ2" s="27"/>
      <c r="UR2" s="27"/>
      <c r="US2" s="27"/>
      <c r="UT2" s="27"/>
      <c r="UU2" s="27"/>
      <c r="UV2" s="27"/>
      <c r="UW2" s="27"/>
      <c r="UX2" s="27"/>
      <c r="UY2" s="27"/>
      <c r="UZ2" s="27"/>
      <c r="VA2" s="27"/>
      <c r="VB2" s="27"/>
      <c r="VC2" s="27"/>
      <c r="VD2" s="27"/>
      <c r="VE2" s="27"/>
      <c r="VF2" s="27"/>
      <c r="VG2" s="27"/>
      <c r="VH2" s="27"/>
      <c r="VI2" s="27"/>
      <c r="VJ2" s="27"/>
      <c r="VK2" s="27"/>
      <c r="VL2" s="27"/>
      <c r="VM2" s="27"/>
      <c r="VN2" s="27"/>
      <c r="VO2" s="27"/>
      <c r="VP2" s="27"/>
      <c r="VQ2" s="27"/>
      <c r="VR2" s="27"/>
      <c r="VS2" s="27"/>
      <c r="VT2" s="27"/>
      <c r="VU2" s="27"/>
      <c r="VV2" s="27"/>
      <c r="VW2" s="27"/>
      <c r="VX2" s="27"/>
      <c r="VY2" s="27"/>
      <c r="VZ2" s="27"/>
      <c r="WA2" s="27"/>
      <c r="WB2" s="27"/>
      <c r="WC2" s="27"/>
      <c r="WD2" s="27"/>
      <c r="WE2" s="27"/>
      <c r="WF2" s="27"/>
      <c r="WG2" s="27"/>
      <c r="WH2" s="27"/>
      <c r="WI2" s="27"/>
      <c r="WJ2" s="27"/>
      <c r="WK2" s="27"/>
      <c r="WL2" s="27"/>
      <c r="WM2" s="27"/>
      <c r="WN2" s="27"/>
      <c r="WO2" s="27"/>
      <c r="WP2" s="27"/>
      <c r="WQ2" s="27"/>
      <c r="WR2" s="27"/>
      <c r="WS2" s="27"/>
      <c r="WT2" s="27"/>
      <c r="WU2" s="27"/>
      <c r="WV2" s="27"/>
      <c r="WW2" s="27"/>
      <c r="WX2" s="27"/>
      <c r="WY2" s="27"/>
      <c r="WZ2" s="27"/>
      <c r="XA2" s="27"/>
      <c r="XB2" s="27"/>
      <c r="XC2" s="27"/>
      <c r="XD2" s="27"/>
      <c r="XE2" s="27"/>
      <c r="XF2" s="27"/>
      <c r="XG2" s="27"/>
      <c r="XH2" s="27"/>
      <c r="XI2" s="27"/>
      <c r="XJ2" s="27"/>
      <c r="XK2" s="27"/>
      <c r="XL2" s="27"/>
      <c r="XM2" s="27"/>
      <c r="XN2" s="27"/>
      <c r="XO2" s="27"/>
      <c r="XP2" s="27"/>
      <c r="XQ2" s="27"/>
      <c r="XR2" s="27"/>
      <c r="XS2" s="27"/>
      <c r="XT2" s="27"/>
      <c r="XU2" s="27"/>
      <c r="XV2" s="27"/>
      <c r="XW2" s="27"/>
      <c r="XX2" s="27"/>
      <c r="XY2" s="27"/>
      <c r="XZ2" s="27"/>
      <c r="YA2" s="27"/>
      <c r="YB2" s="27"/>
      <c r="YC2" s="27"/>
      <c r="YD2" s="27"/>
      <c r="YE2" s="27"/>
      <c r="YF2" s="27"/>
      <c r="YG2" s="27"/>
      <c r="YH2" s="27"/>
      <c r="YI2" s="27"/>
      <c r="YJ2" s="27"/>
      <c r="YK2" s="27"/>
      <c r="YL2" s="27"/>
      <c r="YM2" s="27"/>
      <c r="YN2" s="27"/>
      <c r="YO2" s="27"/>
      <c r="YP2" s="27"/>
      <c r="YQ2" s="27"/>
      <c r="YR2" s="27"/>
      <c r="YS2" s="27"/>
      <c r="YT2" s="27"/>
      <c r="YU2" s="27"/>
      <c r="YV2" s="27"/>
      <c r="YW2" s="27"/>
      <c r="YX2" s="27"/>
      <c r="YY2" s="27"/>
      <c r="YZ2" s="27"/>
      <c r="ZA2" s="27"/>
      <c r="ZB2" s="27"/>
      <c r="ZC2" s="27"/>
      <c r="ZD2" s="27"/>
      <c r="ZE2" s="27"/>
      <c r="ZF2" s="27"/>
      <c r="ZG2" s="27"/>
      <c r="ZH2" s="27"/>
      <c r="ZI2" s="27"/>
      <c r="ZJ2" s="27"/>
      <c r="ZK2" s="27"/>
      <c r="ZL2" s="27"/>
      <c r="ZM2" s="27"/>
      <c r="ZN2" s="27"/>
      <c r="ZO2" s="27"/>
      <c r="ZP2" s="27"/>
      <c r="ZQ2" s="27"/>
      <c r="ZR2" s="27"/>
      <c r="ZS2" s="27"/>
      <c r="ZT2" s="27"/>
      <c r="ZU2" s="27"/>
      <c r="ZV2" s="27"/>
      <c r="ZW2" s="27"/>
      <c r="ZX2" s="27"/>
      <c r="ZY2" s="27"/>
      <c r="ZZ2" s="27"/>
      <c r="AAA2" s="27"/>
      <c r="AAB2" s="27"/>
      <c r="AAC2" s="27"/>
      <c r="AAD2" s="27"/>
      <c r="AAE2" s="27"/>
      <c r="AAF2" s="27"/>
      <c r="AAG2" s="27"/>
      <c r="AAH2" s="27"/>
      <c r="AAI2" s="27"/>
      <c r="AAJ2" s="27"/>
      <c r="AAK2" s="27"/>
      <c r="AAL2" s="27"/>
      <c r="AAM2" s="27"/>
      <c r="AAN2" s="27"/>
      <c r="AAO2" s="27"/>
      <c r="AAP2" s="27"/>
      <c r="AAQ2" s="27"/>
      <c r="AAR2" s="27"/>
      <c r="AAS2" s="27"/>
      <c r="AAT2" s="27"/>
      <c r="AAU2" s="27"/>
      <c r="AAV2" s="27"/>
      <c r="AAW2" s="27"/>
      <c r="AAX2" s="27"/>
      <c r="AAY2" s="27"/>
      <c r="AAZ2" s="27"/>
      <c r="ABA2" s="27"/>
      <c r="ABB2" s="27"/>
      <c r="ABC2" s="27"/>
      <c r="ABD2" s="27"/>
      <c r="ABE2" s="27"/>
      <c r="ABF2" s="27"/>
      <c r="ABG2" s="27"/>
      <c r="ABH2" s="27"/>
      <c r="ABI2" s="27"/>
      <c r="ABJ2" s="27"/>
      <c r="ABK2" s="27"/>
      <c r="ABL2" s="27"/>
      <c r="ABM2" s="27"/>
      <c r="ABN2" s="27"/>
      <c r="ABO2" s="27"/>
      <c r="ABP2" s="27"/>
      <c r="ABQ2" s="27"/>
      <c r="ABR2" s="27"/>
      <c r="ABS2" s="27"/>
      <c r="ABT2" s="27"/>
      <c r="ABU2" s="27"/>
      <c r="ABV2" s="27"/>
      <c r="ABW2" s="27"/>
      <c r="ABX2" s="27"/>
      <c r="ABY2" s="27"/>
      <c r="ABZ2" s="27"/>
      <c r="ACA2" s="27"/>
      <c r="ACB2" s="27"/>
      <c r="ACC2" s="27"/>
      <c r="ACD2" s="27"/>
      <c r="ACE2" s="27"/>
      <c r="ACF2" s="27"/>
      <c r="ACG2" s="27"/>
      <c r="ACH2" s="27"/>
      <c r="ACI2" s="27"/>
      <c r="ACJ2" s="27"/>
      <c r="ACK2" s="27"/>
      <c r="ACL2" s="27"/>
      <c r="ACM2" s="27"/>
      <c r="ACN2" s="27"/>
      <c r="ACO2" s="27"/>
      <c r="ACP2" s="27"/>
      <c r="ACQ2" s="27"/>
      <c r="ACR2" s="27"/>
      <c r="ACS2" s="27"/>
      <c r="ACT2" s="27"/>
      <c r="ACU2" s="27"/>
      <c r="ACV2" s="27"/>
      <c r="ACW2" s="27"/>
      <c r="ACX2" s="27"/>
      <c r="ACY2" s="27"/>
      <c r="ACZ2" s="27"/>
      <c r="ADA2" s="27"/>
      <c r="ADB2" s="27"/>
      <c r="ADC2" s="27"/>
      <c r="ADD2" s="27"/>
      <c r="ADE2" s="27"/>
      <c r="ADF2" s="27"/>
      <c r="ADG2" s="27"/>
      <c r="ADH2" s="27"/>
      <c r="ADI2" s="27"/>
      <c r="ADJ2" s="27"/>
      <c r="ADK2" s="27"/>
      <c r="ADL2" s="27"/>
      <c r="ADM2" s="27"/>
      <c r="ADN2" s="27"/>
      <c r="ADO2" s="27"/>
      <c r="ADP2" s="27"/>
      <c r="ADQ2" s="27"/>
      <c r="ADR2" s="27"/>
      <c r="ADS2" s="27"/>
      <c r="ADT2" s="27"/>
      <c r="ADU2" s="27"/>
      <c r="ADV2" s="27"/>
      <c r="ADW2" s="27"/>
      <c r="ADX2" s="27"/>
      <c r="ADY2" s="27"/>
      <c r="ADZ2" s="27"/>
      <c r="AEA2" s="27"/>
      <c r="AEB2" s="27"/>
      <c r="AEC2" s="27"/>
      <c r="AED2" s="27"/>
      <c r="AEE2" s="27"/>
      <c r="AEF2" s="27"/>
      <c r="AEG2" s="27"/>
      <c r="AEH2" s="27"/>
      <c r="AEI2" s="27"/>
      <c r="AEJ2" s="27"/>
      <c r="AEK2" s="27"/>
      <c r="AEL2" s="27"/>
      <c r="AEM2" s="27"/>
      <c r="AEN2" s="27"/>
      <c r="AEO2" s="27"/>
      <c r="AEP2" s="27"/>
      <c r="AEQ2" s="27"/>
      <c r="AER2" s="27"/>
      <c r="AES2" s="27"/>
      <c r="AET2" s="27"/>
      <c r="AEU2" s="27"/>
      <c r="AEV2" s="27"/>
      <c r="AEW2" s="27"/>
      <c r="AEX2" s="27"/>
      <c r="AEY2" s="27"/>
      <c r="AEZ2" s="27"/>
      <c r="AFA2" s="27"/>
      <c r="AFB2" s="27"/>
      <c r="AFC2" s="27"/>
      <c r="AFD2" s="27"/>
      <c r="AFE2" s="27"/>
      <c r="AFF2" s="27"/>
      <c r="AFG2" s="27"/>
      <c r="AFH2" s="27"/>
      <c r="AFI2" s="27"/>
      <c r="AFJ2" s="27"/>
      <c r="AFK2" s="27"/>
      <c r="AFL2" s="27"/>
      <c r="AFM2" s="27"/>
      <c r="AFN2" s="27"/>
      <c r="AFO2" s="27"/>
      <c r="AFP2" s="27"/>
      <c r="AFQ2" s="27"/>
      <c r="AFR2" s="27"/>
      <c r="AFS2" s="27"/>
      <c r="AFT2" s="27"/>
      <c r="AFU2" s="27"/>
      <c r="AFV2" s="27"/>
      <c r="AFW2" s="27"/>
      <c r="AFX2" s="27"/>
      <c r="AFY2" s="27"/>
      <c r="AFZ2" s="27"/>
      <c r="AGA2" s="27"/>
      <c r="AGB2" s="27"/>
      <c r="AGC2" s="27"/>
      <c r="AGD2" s="27"/>
      <c r="AGE2" s="27"/>
      <c r="AGF2" s="27"/>
      <c r="AGG2" s="27"/>
      <c r="AGH2" s="27"/>
      <c r="AGI2" s="27"/>
      <c r="AGJ2" s="27"/>
      <c r="AGK2" s="27"/>
      <c r="AGL2" s="27"/>
      <c r="AGM2" s="27"/>
      <c r="AGN2" s="27"/>
      <c r="AGO2" s="27"/>
      <c r="AGP2" s="27"/>
      <c r="AGQ2" s="27"/>
      <c r="AGR2" s="27"/>
      <c r="AGS2" s="27"/>
      <c r="AGT2" s="27"/>
      <c r="AGU2" s="27"/>
      <c r="AGV2" s="27"/>
      <c r="AGW2" s="27"/>
      <c r="AGX2" s="27"/>
      <c r="AGY2" s="27"/>
      <c r="AGZ2" s="27"/>
      <c r="AHA2" s="27"/>
      <c r="AHB2" s="27"/>
      <c r="AHC2" s="27"/>
      <c r="AHD2" s="27"/>
      <c r="AHE2" s="27"/>
      <c r="AHF2" s="27"/>
      <c r="AHG2" s="27"/>
      <c r="AHH2" s="27"/>
      <c r="AHI2" s="27"/>
      <c r="AHJ2" s="27"/>
      <c r="AHK2" s="27"/>
      <c r="AHL2" s="27"/>
      <c r="AHM2" s="27"/>
      <c r="AHN2" s="27"/>
      <c r="AHO2" s="27"/>
      <c r="AHP2" s="27"/>
      <c r="AHQ2" s="27"/>
      <c r="AHR2" s="27"/>
      <c r="AHS2" s="27"/>
      <c r="AHT2" s="27"/>
      <c r="AHU2" s="27"/>
      <c r="AHV2" s="27"/>
      <c r="AHW2" s="27"/>
      <c r="AHX2" s="27"/>
      <c r="AHY2" s="27"/>
      <c r="AHZ2" s="27"/>
      <c r="AIA2" s="27"/>
      <c r="AIB2" s="27"/>
      <c r="AIC2" s="27"/>
      <c r="AID2" s="27"/>
      <c r="AIE2" s="27"/>
      <c r="AIF2" s="27"/>
      <c r="AIG2" s="27"/>
      <c r="AIH2" s="27"/>
      <c r="AII2" s="27"/>
      <c r="AIJ2" s="27"/>
      <c r="AIK2" s="27"/>
      <c r="AIL2" s="27"/>
      <c r="AIM2" s="27"/>
      <c r="AIN2" s="27"/>
      <c r="AIO2" s="27"/>
      <c r="AIP2" s="27"/>
      <c r="AIQ2" s="27"/>
      <c r="AIR2" s="27"/>
      <c r="AIS2" s="27"/>
      <c r="AIT2" s="27"/>
      <c r="AIU2" s="27"/>
      <c r="AIV2" s="27"/>
      <c r="AIW2" s="27"/>
      <c r="AIX2" s="27"/>
      <c r="AIY2" s="27"/>
      <c r="AIZ2" s="27"/>
      <c r="AJA2" s="27"/>
      <c r="AJB2" s="27"/>
      <c r="AJC2" s="27"/>
      <c r="AJD2" s="27"/>
      <c r="AJE2" s="27"/>
      <c r="AJF2" s="27"/>
      <c r="AJG2" s="27"/>
      <c r="AJH2" s="27"/>
      <c r="AJI2" s="27"/>
      <c r="AJJ2" s="27"/>
      <c r="AJK2" s="27"/>
      <c r="AJL2" s="27"/>
      <c r="AJM2" s="27"/>
      <c r="AJN2" s="27"/>
      <c r="AJO2" s="27"/>
      <c r="AJP2" s="27"/>
      <c r="AJQ2" s="27"/>
      <c r="AJR2" s="27"/>
      <c r="AJS2" s="27"/>
      <c r="AJT2" s="27"/>
      <c r="AJU2" s="27"/>
      <c r="AJV2" s="27"/>
      <c r="AJW2" s="27"/>
      <c r="AJX2" s="27"/>
      <c r="AJY2" s="27"/>
      <c r="AJZ2" s="27"/>
      <c r="AKA2" s="27"/>
      <c r="AKB2" s="27"/>
      <c r="AKC2" s="27"/>
      <c r="AKD2" s="27"/>
      <c r="AKE2" s="27"/>
      <c r="AKF2" s="27"/>
      <c r="AKG2" s="27"/>
      <c r="AKH2" s="27"/>
      <c r="AKI2" s="27"/>
      <c r="AKJ2" s="27"/>
      <c r="AKK2" s="27"/>
      <c r="AKL2" s="27"/>
      <c r="AKM2" s="27"/>
      <c r="AKN2" s="27"/>
      <c r="AKO2" s="27"/>
      <c r="AKP2" s="27"/>
      <c r="AKQ2" s="27"/>
      <c r="AKR2" s="27"/>
      <c r="AKS2" s="27"/>
      <c r="AKT2" s="27"/>
      <c r="AKU2" s="27"/>
      <c r="AKV2" s="27"/>
      <c r="AKW2" s="27"/>
      <c r="AKX2" s="27"/>
      <c r="AKY2" s="27"/>
      <c r="AKZ2" s="27"/>
      <c r="ALA2" s="27"/>
      <c r="ALB2" s="27"/>
      <c r="ALC2" s="27"/>
      <c r="ALD2" s="27"/>
      <c r="ALE2" s="27"/>
      <c r="ALF2" s="27"/>
      <c r="ALG2" s="27"/>
      <c r="ALH2" s="27"/>
      <c r="ALI2" s="27"/>
      <c r="ALJ2" s="27"/>
      <c r="ALK2" s="27"/>
      <c r="ALL2" s="27"/>
      <c r="ALM2" s="27"/>
      <c r="ALN2" s="27"/>
      <c r="ALO2" s="27"/>
      <c r="ALP2" s="27"/>
      <c r="ALQ2" s="27"/>
      <c r="ALR2" s="27"/>
      <c r="ALS2" s="27"/>
      <c r="ALT2" s="27"/>
      <c r="ALU2" s="27"/>
      <c r="ALV2" s="27"/>
      <c r="ALW2" s="27"/>
      <c r="ALX2" s="27"/>
      <c r="ALY2" s="27"/>
      <c r="ALZ2" s="27"/>
      <c r="AMA2" s="27"/>
      <c r="AMB2" s="27"/>
      <c r="AMC2" s="27"/>
      <c r="AMD2" s="27"/>
      <c r="AME2" s="27"/>
      <c r="AMF2" s="27"/>
      <c r="AMG2" s="27"/>
      <c r="AMH2" s="27"/>
      <c r="AMI2" s="27"/>
      <c r="AMJ2" s="27"/>
      <c r="AMK2" s="27"/>
      <c r="AML2" s="27"/>
      <c r="AMM2" s="27"/>
      <c r="AMN2" s="27"/>
      <c r="AMO2" s="27"/>
      <c r="AMP2" s="27"/>
      <c r="AMQ2" s="27"/>
      <c r="AMR2" s="27"/>
      <c r="AMS2" s="27"/>
      <c r="AMT2" s="27"/>
      <c r="AMU2" s="27"/>
      <c r="AMV2" s="27"/>
      <c r="AMW2" s="27"/>
      <c r="AMX2" s="27"/>
      <c r="AMY2" s="27"/>
      <c r="AMZ2" s="27"/>
      <c r="ANA2" s="27"/>
      <c r="ANB2" s="27"/>
      <c r="ANC2" s="27"/>
      <c r="AND2" s="27"/>
      <c r="ANE2" s="27"/>
      <c r="ANF2" s="27"/>
      <c r="ANG2" s="27"/>
      <c r="ANH2" s="27"/>
      <c r="ANI2" s="27"/>
      <c r="ANJ2" s="27"/>
      <c r="ANK2" s="27"/>
      <c r="ANL2" s="27"/>
      <c r="ANM2" s="27"/>
      <c r="ANN2" s="27"/>
      <c r="ANO2" s="27"/>
      <c r="ANP2" s="27"/>
      <c r="ANQ2" s="27"/>
      <c r="ANR2" s="27"/>
      <c r="ANS2" s="27"/>
      <c r="ANT2" s="27"/>
      <c r="ANU2" s="27"/>
      <c r="ANV2" s="27"/>
      <c r="ANW2" s="27"/>
      <c r="ANX2" s="27"/>
      <c r="ANY2" s="27"/>
      <c r="ANZ2" s="27"/>
      <c r="AOA2" s="27"/>
      <c r="AOB2" s="27"/>
      <c r="AOC2" s="27"/>
      <c r="AOD2" s="27"/>
      <c r="AOE2" s="27"/>
      <c r="AOF2" s="27"/>
      <c r="AOG2" s="27"/>
      <c r="AOH2" s="27"/>
      <c r="AOI2" s="27"/>
      <c r="AOJ2" s="27"/>
      <c r="AOK2" s="27"/>
      <c r="AOL2" s="27"/>
      <c r="AOM2" s="27"/>
      <c r="AON2" s="27"/>
      <c r="AOO2" s="27"/>
      <c r="AOP2" s="27"/>
      <c r="AOQ2" s="27"/>
      <c r="AOR2" s="27"/>
      <c r="AOS2" s="27"/>
      <c r="AOT2" s="27"/>
      <c r="AOU2" s="27"/>
      <c r="AOV2" s="27"/>
      <c r="AOW2" s="27"/>
      <c r="AOX2" s="27"/>
      <c r="AOY2" s="27"/>
      <c r="AOZ2" s="27"/>
      <c r="APA2" s="27"/>
      <c r="APB2" s="27"/>
      <c r="APC2" s="27"/>
      <c r="APD2" s="27"/>
      <c r="APE2" s="27"/>
      <c r="APF2" s="27"/>
      <c r="APG2" s="27"/>
      <c r="APH2" s="27"/>
      <c r="API2" s="27"/>
      <c r="APJ2" s="27"/>
      <c r="APK2" s="27"/>
      <c r="APL2" s="27"/>
      <c r="APM2" s="27"/>
      <c r="APN2" s="27"/>
      <c r="APO2" s="27"/>
      <c r="APP2" s="27"/>
      <c r="APQ2" s="27"/>
      <c r="APR2" s="27"/>
      <c r="APS2" s="27"/>
      <c r="APT2" s="27"/>
      <c r="APU2" s="27"/>
      <c r="APV2" s="27"/>
      <c r="APW2" s="27"/>
      <c r="APX2" s="27"/>
      <c r="APY2" s="27"/>
      <c r="APZ2" s="27"/>
      <c r="AQA2" s="27"/>
      <c r="AQB2" s="27"/>
      <c r="AQC2" s="27"/>
      <c r="AQD2" s="27"/>
      <c r="AQE2" s="27"/>
      <c r="AQF2" s="27"/>
      <c r="AQG2" s="27"/>
      <c r="AQH2" s="27"/>
      <c r="AQI2" s="27"/>
      <c r="AQJ2" s="27"/>
      <c r="AQK2" s="27"/>
      <c r="AQL2" s="27"/>
      <c r="AQM2" s="27"/>
      <c r="AQN2" s="27"/>
      <c r="AQO2" s="27"/>
      <c r="AQP2" s="27"/>
      <c r="AQQ2" s="27"/>
      <c r="AQR2" s="27"/>
      <c r="AQS2" s="27"/>
      <c r="AQT2" s="27"/>
      <c r="AQU2" s="27"/>
      <c r="AQV2" s="27"/>
      <c r="AQW2" s="27"/>
      <c r="AQX2" s="27"/>
      <c r="AQY2" s="27"/>
      <c r="AQZ2" s="27"/>
      <c r="ARA2" s="27"/>
      <c r="ARB2" s="27"/>
      <c r="ARC2" s="27"/>
      <c r="ARD2" s="27"/>
      <c r="ARE2" s="27"/>
      <c r="ARF2" s="27"/>
      <c r="ARG2" s="27"/>
      <c r="ARH2" s="27"/>
      <c r="ARI2" s="27"/>
      <c r="ARJ2" s="27"/>
      <c r="ARK2" s="27"/>
      <c r="ARL2" s="27"/>
      <c r="ARM2" s="27"/>
      <c r="ARN2" s="27"/>
      <c r="ARO2" s="27"/>
      <c r="ARP2" s="27"/>
      <c r="ARQ2" s="27"/>
      <c r="ARR2" s="27"/>
      <c r="ARS2" s="27"/>
      <c r="ART2" s="27"/>
      <c r="ARU2" s="27"/>
      <c r="ARV2" s="27"/>
      <c r="ARW2" s="27"/>
      <c r="ARX2" s="27"/>
      <c r="ARY2" s="27"/>
      <c r="ARZ2" s="27"/>
      <c r="ASA2" s="27"/>
      <c r="ASB2" s="27"/>
      <c r="ASC2" s="27"/>
      <c r="ASD2" s="27"/>
      <c r="ASE2" s="27"/>
      <c r="ASF2" s="27"/>
      <c r="ASG2" s="27"/>
      <c r="ASH2" s="27"/>
      <c r="ASI2" s="27"/>
      <c r="ASJ2" s="27"/>
      <c r="ASK2" s="27"/>
      <c r="ASL2" s="27"/>
      <c r="ASM2" s="27"/>
      <c r="ASN2" s="27"/>
      <c r="ASO2" s="27"/>
      <c r="ASP2" s="27"/>
      <c r="ASQ2" s="27"/>
      <c r="ASR2" s="27"/>
      <c r="ASS2" s="27"/>
      <c r="AST2" s="27"/>
      <c r="ASU2" s="27"/>
      <c r="ASV2" s="27"/>
      <c r="ASW2" s="27"/>
      <c r="ASX2" s="27"/>
      <c r="ASY2" s="27"/>
      <c r="ASZ2" s="27"/>
      <c r="ATA2" s="27"/>
      <c r="ATB2" s="27"/>
      <c r="ATC2" s="27"/>
      <c r="ATD2" s="27"/>
      <c r="ATE2" s="27"/>
      <c r="ATF2" s="27"/>
      <c r="ATG2" s="27"/>
      <c r="ATH2" s="27"/>
      <c r="ATI2" s="27"/>
      <c r="ATJ2" s="27"/>
      <c r="ATK2" s="27"/>
      <c r="ATL2" s="27"/>
      <c r="ATM2" s="27"/>
      <c r="ATN2" s="27"/>
      <c r="ATO2" s="27"/>
      <c r="ATP2" s="27"/>
      <c r="ATQ2" s="27"/>
      <c r="ATR2" s="27"/>
      <c r="ATS2" s="27"/>
      <c r="ATT2" s="27"/>
      <c r="ATU2" s="27"/>
      <c r="ATV2" s="27"/>
      <c r="ATW2" s="27"/>
      <c r="ATX2" s="27"/>
      <c r="ATY2" s="27"/>
      <c r="ATZ2" s="27"/>
      <c r="AUA2" s="27"/>
      <c r="AUB2" s="27"/>
      <c r="AUC2" s="27"/>
      <c r="AUD2" s="27"/>
      <c r="AUE2" s="27"/>
      <c r="AUF2" s="27"/>
      <c r="AUG2" s="27"/>
      <c r="AUH2" s="27"/>
      <c r="AUI2" s="27"/>
      <c r="AUJ2" s="27"/>
      <c r="AUK2" s="27"/>
      <c r="AUL2" s="27"/>
      <c r="AUM2" s="27"/>
      <c r="AUN2" s="27"/>
      <c r="AUO2" s="27"/>
      <c r="AUP2" s="27"/>
      <c r="AUQ2" s="27"/>
      <c r="AUR2" s="27"/>
      <c r="AUS2" s="27"/>
      <c r="AUT2" s="27"/>
      <c r="AUU2" s="27"/>
      <c r="AUV2" s="27"/>
      <c r="AUW2" s="27"/>
      <c r="AUX2" s="27"/>
      <c r="AUY2" s="27"/>
      <c r="AUZ2" s="27"/>
      <c r="AVA2" s="27"/>
      <c r="AVB2" s="27"/>
      <c r="AVC2" s="27"/>
      <c r="AVD2" s="27"/>
      <c r="AVE2" s="27"/>
      <c r="AVF2" s="27"/>
      <c r="AVG2" s="27"/>
      <c r="AVH2" s="27"/>
      <c r="AVI2" s="27"/>
      <c r="AVJ2" s="27"/>
      <c r="AVK2" s="27"/>
      <c r="AVL2" s="27"/>
      <c r="AVM2" s="27"/>
      <c r="AVN2" s="27"/>
      <c r="AVO2" s="27"/>
      <c r="AVP2" s="27"/>
      <c r="AVQ2" s="27"/>
      <c r="AVR2" s="27"/>
      <c r="AVS2" s="27"/>
      <c r="AVT2" s="27"/>
      <c r="AVU2" s="27"/>
      <c r="AVV2" s="27"/>
      <c r="AVW2" s="27"/>
      <c r="AVX2" s="27"/>
      <c r="AVY2" s="27"/>
      <c r="AVZ2" s="27"/>
      <c r="AWA2" s="27"/>
      <c r="AWB2" s="27"/>
      <c r="AWC2" s="27"/>
      <c r="AWD2" s="27"/>
      <c r="AWE2" s="27"/>
      <c r="AWF2" s="27"/>
      <c r="AWG2" s="27"/>
      <c r="AWH2" s="27"/>
      <c r="AWI2" s="27"/>
      <c r="AWJ2" s="27"/>
      <c r="AWK2" s="27"/>
      <c r="AWL2" s="27"/>
      <c r="AWM2" s="27"/>
      <c r="AWN2" s="27"/>
      <c r="AWO2" s="27"/>
      <c r="AWP2" s="27"/>
      <c r="AWQ2" s="27"/>
      <c r="AWR2" s="27"/>
      <c r="AWS2" s="27"/>
      <c r="AWT2" s="27"/>
      <c r="AWU2" s="27"/>
      <c r="AWV2" s="27"/>
      <c r="AWW2" s="27"/>
      <c r="AWX2" s="27"/>
      <c r="AWY2" s="27"/>
      <c r="AWZ2" s="27"/>
      <c r="AXA2" s="27"/>
      <c r="AXB2" s="27"/>
      <c r="AXC2" s="27"/>
      <c r="AXD2" s="27"/>
      <c r="AXE2" s="27"/>
      <c r="AXF2" s="27"/>
      <c r="AXG2" s="27"/>
      <c r="AXH2" s="27"/>
      <c r="AXI2" s="27"/>
      <c r="AXJ2" s="27"/>
      <c r="AXK2" s="27"/>
      <c r="AXL2" s="27"/>
      <c r="AXM2" s="27"/>
      <c r="AXN2" s="27"/>
      <c r="AXO2" s="27"/>
      <c r="AXP2" s="27"/>
      <c r="AXQ2" s="27"/>
      <c r="AXR2" s="27"/>
      <c r="AXS2" s="27"/>
      <c r="AXT2" s="27"/>
      <c r="AXU2" s="27"/>
      <c r="AXV2" s="27"/>
      <c r="AXW2" s="27"/>
      <c r="AXX2" s="27"/>
      <c r="AXY2" s="27"/>
      <c r="AXZ2" s="27"/>
      <c r="AYA2" s="27"/>
      <c r="AYB2" s="27"/>
      <c r="AYC2" s="27"/>
      <c r="AYD2" s="27"/>
      <c r="AYE2" s="27"/>
      <c r="AYF2" s="27"/>
      <c r="AYG2" s="27"/>
      <c r="AYH2" s="27"/>
      <c r="AYI2" s="27"/>
      <c r="AYJ2" s="27"/>
      <c r="AYK2" s="27"/>
      <c r="AYL2" s="27"/>
      <c r="AYM2" s="27"/>
      <c r="AYN2" s="27"/>
      <c r="AYO2" s="27"/>
      <c r="AYP2" s="27"/>
      <c r="AYQ2" s="27"/>
      <c r="AYR2" s="27"/>
      <c r="AYS2" s="27"/>
      <c r="AYT2" s="27"/>
      <c r="AYU2" s="27"/>
      <c r="AYV2" s="27"/>
      <c r="AYW2" s="27"/>
      <c r="AYX2" s="27"/>
      <c r="AYY2" s="27"/>
      <c r="AYZ2" s="27"/>
      <c r="AZA2" s="27"/>
      <c r="AZB2" s="27"/>
      <c r="AZC2" s="27"/>
      <c r="AZD2" s="27"/>
      <c r="AZE2" s="27"/>
      <c r="AZF2" s="27"/>
      <c r="AZG2" s="27"/>
      <c r="AZH2" s="27"/>
      <c r="AZI2" s="27"/>
      <c r="AZJ2" s="27"/>
      <c r="AZK2" s="27"/>
      <c r="AZL2" s="27"/>
      <c r="AZM2" s="27"/>
      <c r="AZN2" s="27"/>
      <c r="AZO2" s="27"/>
      <c r="AZP2" s="27"/>
      <c r="AZQ2" s="27"/>
      <c r="AZR2" s="27"/>
      <c r="AZS2" s="27"/>
      <c r="AZT2" s="27"/>
      <c r="AZU2" s="27"/>
      <c r="AZV2" s="27"/>
      <c r="AZW2" s="27"/>
      <c r="AZX2" s="27"/>
      <c r="AZY2" s="27"/>
      <c r="AZZ2" s="27"/>
      <c r="BAA2" s="27"/>
      <c r="BAB2" s="27"/>
      <c r="BAC2" s="27"/>
      <c r="BAD2" s="27"/>
      <c r="BAE2" s="27"/>
      <c r="BAF2" s="27"/>
      <c r="BAG2" s="27"/>
      <c r="BAH2" s="27"/>
      <c r="BAI2" s="27"/>
      <c r="BAJ2" s="27"/>
      <c r="BAK2" s="27"/>
      <c r="BAL2" s="27"/>
      <c r="BAM2" s="27"/>
      <c r="BAN2" s="27"/>
      <c r="BAO2" s="27"/>
      <c r="BAP2" s="27"/>
      <c r="BAQ2" s="27"/>
      <c r="BAR2" s="27"/>
      <c r="BAS2" s="27"/>
      <c r="BAT2" s="27"/>
      <c r="BAU2" s="27"/>
      <c r="BAV2" s="27"/>
      <c r="BAW2" s="27"/>
      <c r="BAX2" s="27"/>
      <c r="BAY2" s="27"/>
      <c r="BAZ2" s="27"/>
      <c r="BBA2" s="27"/>
      <c r="BBB2" s="27"/>
      <c r="BBC2" s="27"/>
      <c r="BBD2" s="27"/>
      <c r="BBE2" s="27"/>
      <c r="BBF2" s="27"/>
      <c r="BBG2" s="27"/>
      <c r="BBH2" s="27"/>
      <c r="BBI2" s="27"/>
      <c r="BBJ2" s="27"/>
      <c r="BBK2" s="27"/>
      <c r="BBL2" s="27"/>
      <c r="BBM2" s="27"/>
      <c r="BBN2" s="27"/>
      <c r="BBO2" s="27"/>
      <c r="BBP2" s="27"/>
      <c r="BBQ2" s="27"/>
      <c r="BBR2" s="27"/>
      <c r="BBS2" s="27"/>
      <c r="BBT2" s="27"/>
      <c r="BBU2" s="27"/>
      <c r="BBV2" s="27"/>
      <c r="BBW2" s="27"/>
      <c r="BBX2" s="27"/>
      <c r="BBY2" s="27"/>
      <c r="BBZ2" s="27"/>
      <c r="BCA2" s="27"/>
      <c r="BCB2" s="27"/>
      <c r="BCC2" s="27"/>
      <c r="BCD2" s="27"/>
      <c r="BCE2" s="27"/>
      <c r="BCF2" s="27"/>
      <c r="BCG2" s="27"/>
      <c r="BCH2" s="27"/>
      <c r="BCI2" s="27"/>
      <c r="BCJ2" s="27"/>
      <c r="BCK2" s="27"/>
      <c r="BCL2" s="27"/>
      <c r="BCM2" s="27"/>
      <c r="BCN2" s="27"/>
      <c r="BCO2" s="27"/>
      <c r="BCP2" s="27"/>
      <c r="BCQ2" s="27"/>
      <c r="BCR2" s="27"/>
      <c r="BCS2" s="27"/>
      <c r="BCT2" s="27"/>
      <c r="BCU2" s="27"/>
      <c r="BCV2" s="27"/>
      <c r="BCW2" s="27"/>
      <c r="BCX2" s="27"/>
      <c r="BCY2" s="27"/>
      <c r="BCZ2" s="27"/>
      <c r="BDA2" s="27"/>
      <c r="BDB2" s="27"/>
      <c r="BDC2" s="27"/>
      <c r="BDD2" s="27"/>
      <c r="BDE2" s="27"/>
      <c r="BDF2" s="27"/>
      <c r="BDG2" s="27"/>
      <c r="BDH2" s="27"/>
      <c r="BDI2" s="27"/>
      <c r="BDJ2" s="27"/>
      <c r="BDK2" s="27"/>
      <c r="BDL2" s="27"/>
      <c r="BDM2" s="27"/>
      <c r="BDN2" s="27"/>
      <c r="BDO2" s="27"/>
      <c r="BDP2" s="27"/>
      <c r="BDQ2" s="27"/>
      <c r="BDR2" s="27"/>
      <c r="BDS2" s="27"/>
      <c r="BDT2" s="27"/>
      <c r="BDU2" s="27"/>
      <c r="BDV2" s="27"/>
      <c r="BDW2" s="27"/>
      <c r="BDX2" s="27"/>
      <c r="BDY2" s="27"/>
      <c r="BDZ2" s="27"/>
      <c r="BEA2" s="27"/>
      <c r="BEB2" s="27"/>
      <c r="BEC2" s="27"/>
      <c r="BED2" s="27"/>
      <c r="BEE2" s="27"/>
      <c r="BEF2" s="27"/>
      <c r="BEG2" s="27"/>
      <c r="BEH2" s="27"/>
      <c r="BEI2" s="27"/>
      <c r="BEJ2" s="27"/>
      <c r="BEK2" s="27"/>
      <c r="BEL2" s="27"/>
      <c r="BEM2" s="27"/>
      <c r="BEN2" s="27"/>
      <c r="BEO2" s="27"/>
      <c r="BEP2" s="27"/>
      <c r="BEQ2" s="27"/>
      <c r="BER2" s="27"/>
      <c r="BES2" s="27"/>
      <c r="BET2" s="27"/>
      <c r="BEU2" s="27"/>
      <c r="BEV2" s="27"/>
      <c r="BEW2" s="27"/>
      <c r="BEX2" s="27"/>
      <c r="BEY2" s="27"/>
      <c r="BEZ2" s="27"/>
      <c r="BFA2" s="27"/>
      <c r="BFB2" s="27"/>
      <c r="BFC2" s="27"/>
      <c r="BFD2" s="27"/>
      <c r="BFE2" s="27"/>
      <c r="BFF2" s="27"/>
      <c r="BFG2" s="27"/>
      <c r="BFH2" s="27"/>
      <c r="BFI2" s="27"/>
      <c r="BFJ2" s="27"/>
      <c r="BFK2" s="27"/>
      <c r="BFL2" s="27"/>
      <c r="BFM2" s="27"/>
      <c r="BFN2" s="27"/>
      <c r="BFO2" s="27"/>
      <c r="BFP2" s="27"/>
      <c r="BFQ2" s="27"/>
      <c r="BFR2" s="27"/>
      <c r="BFS2" s="27"/>
      <c r="BFT2" s="27"/>
      <c r="BFU2" s="27"/>
      <c r="BFV2" s="27"/>
      <c r="BFW2" s="27"/>
      <c r="BFX2" s="27"/>
      <c r="BFY2" s="27"/>
      <c r="BFZ2" s="27"/>
      <c r="BGA2" s="27"/>
      <c r="BGB2" s="27"/>
      <c r="BGC2" s="27"/>
      <c r="BGD2" s="27"/>
      <c r="BGE2" s="27"/>
      <c r="BGF2" s="27"/>
      <c r="BGG2" s="27"/>
      <c r="BGH2" s="27"/>
      <c r="BGI2" s="27"/>
      <c r="BGJ2" s="27"/>
      <c r="BGK2" s="27"/>
      <c r="BGL2" s="27"/>
      <c r="BGM2" s="27"/>
      <c r="BGN2" s="27"/>
      <c r="BGO2" s="27"/>
      <c r="BGP2" s="27"/>
      <c r="BGQ2" s="27"/>
      <c r="BGR2" s="27"/>
      <c r="BGS2" s="27"/>
      <c r="BGT2" s="27"/>
      <c r="BGU2" s="27"/>
      <c r="BGV2" s="27"/>
      <c r="BGW2" s="27"/>
      <c r="BGX2" s="27"/>
      <c r="BGY2" s="27"/>
      <c r="BGZ2" s="27"/>
      <c r="BHA2" s="27"/>
      <c r="BHB2" s="27"/>
      <c r="BHC2" s="27"/>
      <c r="BHD2" s="27"/>
      <c r="BHE2" s="27"/>
      <c r="BHF2" s="27"/>
      <c r="BHG2" s="27"/>
      <c r="BHH2" s="27"/>
      <c r="BHI2" s="27"/>
      <c r="BHJ2" s="27"/>
      <c r="BHK2" s="27"/>
      <c r="BHL2" s="27"/>
      <c r="BHM2" s="27"/>
      <c r="BHN2" s="27"/>
      <c r="BHO2" s="27"/>
      <c r="BHP2" s="27"/>
      <c r="BHQ2" s="27"/>
      <c r="BHR2" s="27"/>
      <c r="BHS2" s="27"/>
      <c r="BHT2" s="27"/>
      <c r="BHU2" s="27"/>
      <c r="BHV2" s="27"/>
      <c r="BHW2" s="27"/>
      <c r="BHX2" s="27"/>
      <c r="BHY2" s="27"/>
      <c r="BHZ2" s="27"/>
      <c r="BIA2" s="27"/>
      <c r="BIB2" s="27"/>
      <c r="BIC2" s="27"/>
      <c r="BID2" s="27"/>
      <c r="BIE2" s="27"/>
      <c r="BIF2" s="27"/>
      <c r="BIG2" s="27"/>
      <c r="BIH2" s="27"/>
      <c r="BII2" s="27"/>
      <c r="BIJ2" s="27"/>
      <c r="BIK2" s="27"/>
      <c r="BIL2" s="27"/>
      <c r="BIM2" s="27"/>
      <c r="BIN2" s="27"/>
      <c r="BIO2" s="27"/>
      <c r="BIP2" s="27"/>
      <c r="BIQ2" s="27"/>
      <c r="BIR2" s="27"/>
      <c r="BIS2" s="27"/>
      <c r="BIT2" s="27"/>
      <c r="BIU2" s="27"/>
      <c r="BIV2" s="27"/>
      <c r="BIW2" s="27"/>
      <c r="BIX2" s="27"/>
      <c r="BIY2" s="27"/>
      <c r="BIZ2" s="27"/>
      <c r="BJA2" s="27"/>
      <c r="BJB2" s="27"/>
      <c r="BJC2" s="27"/>
      <c r="BJD2" s="27"/>
      <c r="BJE2" s="27"/>
      <c r="BJF2" s="27"/>
      <c r="BJG2" s="27"/>
      <c r="BJH2" s="27"/>
      <c r="BJI2" s="27"/>
      <c r="BJJ2" s="27"/>
      <c r="BJK2" s="27"/>
      <c r="BJL2" s="27"/>
      <c r="BJM2" s="27"/>
      <c r="BJN2" s="27"/>
      <c r="BJO2" s="27"/>
      <c r="BJP2" s="27"/>
      <c r="BJQ2" s="27"/>
      <c r="BJR2" s="27"/>
      <c r="BJS2" s="27"/>
      <c r="BJT2" s="27"/>
      <c r="BJU2" s="27"/>
      <c r="BJV2" s="27"/>
      <c r="BJW2" s="27"/>
      <c r="BJX2" s="27"/>
      <c r="BJY2" s="27"/>
      <c r="BJZ2" s="27"/>
      <c r="BKA2" s="27"/>
      <c r="BKB2" s="27"/>
      <c r="BKC2" s="27"/>
      <c r="BKD2" s="27"/>
      <c r="BKE2" s="27"/>
      <c r="BKF2" s="27"/>
      <c r="BKG2" s="27"/>
      <c r="BKH2" s="27"/>
      <c r="BKI2" s="27"/>
      <c r="BKJ2" s="27"/>
      <c r="BKK2" s="27"/>
      <c r="BKL2" s="27"/>
      <c r="BKM2" s="27"/>
      <c r="BKN2" s="27"/>
      <c r="BKO2" s="27"/>
      <c r="BKP2" s="27"/>
      <c r="BKQ2" s="27"/>
      <c r="BKR2" s="27"/>
      <c r="BKS2" s="27"/>
      <c r="BKT2" s="27"/>
      <c r="BKU2" s="27"/>
      <c r="BKV2" s="27"/>
      <c r="BKW2" s="27"/>
      <c r="BKX2" s="27"/>
      <c r="BKY2" s="27"/>
      <c r="BKZ2" s="27"/>
      <c r="BLA2" s="27"/>
      <c r="BLB2" s="27"/>
      <c r="BLC2" s="27"/>
      <c r="BLD2" s="27"/>
      <c r="BLE2" s="27"/>
      <c r="BLF2" s="27"/>
      <c r="BLG2" s="27"/>
      <c r="BLH2" s="27"/>
      <c r="BLI2" s="27"/>
      <c r="BLJ2" s="27"/>
      <c r="BLK2" s="27"/>
      <c r="BLL2" s="27"/>
      <c r="BLM2" s="27"/>
      <c r="BLN2" s="27"/>
      <c r="BLO2" s="27"/>
      <c r="BLP2" s="27"/>
      <c r="BLQ2" s="27"/>
      <c r="BLR2" s="27"/>
      <c r="BLS2" s="27"/>
      <c r="BLT2" s="27"/>
      <c r="BLU2" s="27"/>
      <c r="BLV2" s="27"/>
      <c r="BLW2" s="27"/>
      <c r="BLX2" s="27"/>
      <c r="BLY2" s="27"/>
      <c r="BLZ2" s="27"/>
      <c r="BMA2" s="27"/>
      <c r="BMB2" s="27"/>
      <c r="BMC2" s="27"/>
      <c r="BMD2" s="27"/>
      <c r="BME2" s="27"/>
      <c r="BMF2" s="27"/>
      <c r="BMG2" s="27"/>
      <c r="BMH2" s="27"/>
      <c r="BMI2" s="27"/>
      <c r="BMJ2" s="27"/>
      <c r="BMK2" s="27"/>
      <c r="BML2" s="27"/>
      <c r="BMM2" s="27"/>
      <c r="BMN2" s="27"/>
      <c r="BMO2" s="27"/>
      <c r="BMP2" s="27"/>
      <c r="BMQ2" s="27"/>
      <c r="BMR2" s="27"/>
      <c r="BMS2" s="27"/>
      <c r="BMT2" s="27"/>
      <c r="BMU2" s="27"/>
      <c r="BMV2" s="27"/>
      <c r="BMW2" s="27"/>
      <c r="BMX2" s="27"/>
      <c r="BMY2" s="27"/>
      <c r="BMZ2" s="27"/>
      <c r="BNA2" s="27"/>
      <c r="BNB2" s="27"/>
      <c r="BNC2" s="27"/>
      <c r="BND2" s="27"/>
      <c r="BNE2" s="27"/>
      <c r="BNF2" s="27"/>
      <c r="BNG2" s="27"/>
      <c r="BNH2" s="27"/>
      <c r="BNI2" s="27"/>
      <c r="BNJ2" s="27"/>
      <c r="BNK2" s="27"/>
      <c r="BNL2" s="27"/>
      <c r="BNM2" s="27"/>
      <c r="BNN2" s="27"/>
      <c r="BNO2" s="27"/>
      <c r="BNP2" s="27"/>
      <c r="BNQ2" s="27"/>
      <c r="BNR2" s="27"/>
      <c r="BNS2" s="27"/>
      <c r="BNT2" s="27"/>
      <c r="BNU2" s="27"/>
      <c r="BNV2" s="27"/>
      <c r="BNW2" s="27"/>
      <c r="BNX2" s="27"/>
      <c r="BNY2" s="27"/>
      <c r="BNZ2" s="27"/>
      <c r="BOA2" s="27"/>
      <c r="BOB2" s="27"/>
      <c r="BOC2" s="27"/>
      <c r="BOD2" s="27"/>
      <c r="BOE2" s="27"/>
      <c r="BOF2" s="27"/>
      <c r="BOG2" s="27"/>
      <c r="BOH2" s="27"/>
      <c r="BOI2" s="27"/>
      <c r="BOJ2" s="27"/>
      <c r="BOK2" s="27"/>
      <c r="BOL2" s="27"/>
      <c r="BOM2" s="27"/>
      <c r="BON2" s="27"/>
      <c r="BOO2" s="27"/>
      <c r="BOP2" s="27"/>
      <c r="BOQ2" s="27"/>
      <c r="BOR2" s="27"/>
      <c r="BOS2" s="27"/>
      <c r="BOT2" s="27"/>
      <c r="BOU2" s="27"/>
      <c r="BOV2" s="27"/>
      <c r="BOW2" s="27"/>
      <c r="BOX2" s="27"/>
      <c r="BOY2" s="27"/>
      <c r="BOZ2" s="27"/>
      <c r="BPA2" s="27"/>
      <c r="BPB2" s="27"/>
      <c r="BPC2" s="27"/>
      <c r="BPD2" s="27"/>
      <c r="BPE2" s="27"/>
      <c r="BPF2" s="27"/>
      <c r="BPG2" s="27"/>
      <c r="BPH2" s="27"/>
      <c r="BPI2" s="27"/>
      <c r="BPJ2" s="27"/>
      <c r="BPK2" s="27"/>
      <c r="BPL2" s="27"/>
      <c r="BPM2" s="27"/>
      <c r="BPN2" s="27"/>
      <c r="BPO2" s="27"/>
      <c r="BPP2" s="27"/>
      <c r="BPQ2" s="27"/>
      <c r="BPR2" s="27"/>
      <c r="BPS2" s="27"/>
      <c r="BPT2" s="27"/>
      <c r="BPU2" s="27"/>
      <c r="BPV2" s="27"/>
      <c r="BPW2" s="27"/>
      <c r="BPX2" s="27"/>
      <c r="BPY2" s="27"/>
      <c r="BPZ2" s="27"/>
      <c r="BQA2" s="27"/>
      <c r="BQB2" s="27"/>
      <c r="BQC2" s="27"/>
      <c r="BQD2" s="27"/>
      <c r="BQE2" s="27"/>
      <c r="BQF2" s="27"/>
      <c r="BQG2" s="27"/>
      <c r="BQH2" s="27"/>
      <c r="BQI2" s="27"/>
      <c r="BQJ2" s="27"/>
      <c r="BQK2" s="27"/>
      <c r="BQL2" s="27"/>
      <c r="BQM2" s="27"/>
      <c r="BQN2" s="27"/>
      <c r="BQO2" s="27"/>
      <c r="BQP2" s="27"/>
      <c r="BQQ2" s="27"/>
      <c r="BQR2" s="27"/>
      <c r="BQS2" s="27"/>
      <c r="BQT2" s="27"/>
      <c r="BQU2" s="27"/>
      <c r="BQV2" s="27"/>
      <c r="BQW2" s="27"/>
      <c r="BQX2" s="27"/>
      <c r="BQY2" s="27"/>
      <c r="BQZ2" s="27"/>
      <c r="BRA2" s="27"/>
      <c r="BRB2" s="27"/>
      <c r="BRC2" s="27"/>
      <c r="BRD2" s="27"/>
      <c r="BRE2" s="27"/>
      <c r="BRF2" s="27"/>
      <c r="BRG2" s="27"/>
      <c r="BRH2" s="27"/>
      <c r="BRI2" s="27"/>
      <c r="BRJ2" s="27"/>
      <c r="BRK2" s="27"/>
      <c r="BRL2" s="27"/>
      <c r="BRM2" s="27"/>
      <c r="BRN2" s="27"/>
      <c r="BRO2" s="27"/>
      <c r="BRP2" s="27"/>
      <c r="BRQ2" s="27"/>
      <c r="BRR2" s="27"/>
      <c r="BRS2" s="27"/>
      <c r="BRT2" s="27"/>
      <c r="BRU2" s="27"/>
      <c r="BRV2" s="27"/>
      <c r="BRW2" s="27"/>
      <c r="BRX2" s="27"/>
      <c r="BRY2" s="27"/>
      <c r="BRZ2" s="27"/>
      <c r="BSA2" s="27"/>
      <c r="BSB2" s="27"/>
      <c r="BSC2" s="27"/>
      <c r="BSD2" s="27"/>
      <c r="BSE2" s="27"/>
      <c r="BSF2" s="27"/>
      <c r="BSG2" s="27"/>
      <c r="BSH2" s="27"/>
      <c r="BSI2" s="27"/>
      <c r="BSJ2" s="27"/>
      <c r="BSK2" s="27"/>
      <c r="BSL2" s="27"/>
      <c r="BSM2" s="27"/>
      <c r="BSN2" s="27"/>
      <c r="BSO2" s="27"/>
      <c r="BSP2" s="27"/>
      <c r="BSQ2" s="27"/>
      <c r="BSR2" s="27"/>
      <c r="BSS2" s="27"/>
      <c r="BST2" s="27"/>
      <c r="BSU2" s="27"/>
      <c r="BSV2" s="27"/>
      <c r="BSW2" s="27"/>
      <c r="BSX2" s="27"/>
      <c r="BSY2" s="27"/>
      <c r="BSZ2" s="27"/>
      <c r="BTA2" s="27"/>
      <c r="BTB2" s="27"/>
      <c r="BTC2" s="27"/>
      <c r="BTD2" s="27"/>
      <c r="BTE2" s="27"/>
      <c r="BTF2" s="27"/>
      <c r="BTG2" s="27"/>
      <c r="BTH2" s="27"/>
      <c r="BTI2" s="27"/>
      <c r="BTJ2" s="27"/>
      <c r="BTK2" s="27"/>
      <c r="BTL2" s="27"/>
      <c r="BTM2" s="27"/>
      <c r="BTN2" s="27"/>
      <c r="BTO2" s="27"/>
      <c r="BTP2" s="27"/>
      <c r="BTQ2" s="27"/>
      <c r="BTR2" s="27"/>
      <c r="BTS2" s="27"/>
      <c r="BTT2" s="27"/>
      <c r="BTU2" s="27"/>
      <c r="BTV2" s="27"/>
      <c r="BTW2" s="27"/>
      <c r="BTX2" s="27"/>
      <c r="BTY2" s="27"/>
      <c r="BTZ2" s="27"/>
      <c r="BUA2" s="27"/>
      <c r="BUB2" s="27"/>
      <c r="BUC2" s="27"/>
      <c r="BUD2" s="27"/>
      <c r="BUE2" s="27"/>
      <c r="BUF2" s="27"/>
      <c r="BUG2" s="27"/>
      <c r="BUH2" s="27"/>
      <c r="BUI2" s="27"/>
      <c r="BUJ2" s="27"/>
      <c r="BUK2" s="27"/>
      <c r="BUL2" s="27"/>
      <c r="BUM2" s="27"/>
      <c r="BUN2" s="27"/>
      <c r="BUO2" s="27"/>
      <c r="BUP2" s="27"/>
      <c r="BUQ2" s="27"/>
      <c r="BUR2" s="27"/>
      <c r="BUS2" s="27"/>
      <c r="BUT2" s="27"/>
      <c r="BUU2" s="27"/>
      <c r="BUV2" s="27"/>
      <c r="BUW2" s="27"/>
      <c r="BUX2" s="27"/>
      <c r="BUY2" s="27"/>
      <c r="BUZ2" s="27"/>
      <c r="BVA2" s="27"/>
      <c r="BVB2" s="27"/>
      <c r="BVC2" s="27"/>
      <c r="BVD2" s="27"/>
      <c r="BVE2" s="27"/>
      <c r="BVF2" s="27"/>
      <c r="BVG2" s="27"/>
      <c r="BVH2" s="27"/>
      <c r="BVI2" s="27"/>
      <c r="BVJ2" s="27"/>
      <c r="BVK2" s="27"/>
      <c r="BVL2" s="27"/>
      <c r="BVM2" s="27"/>
      <c r="BVN2" s="27"/>
      <c r="BVO2" s="27"/>
      <c r="BVP2" s="27"/>
      <c r="BVQ2" s="27"/>
      <c r="BVR2" s="27"/>
      <c r="BVS2" s="27"/>
      <c r="BVT2" s="27"/>
      <c r="BVU2" s="27"/>
      <c r="BVV2" s="27"/>
      <c r="BVW2" s="27"/>
      <c r="BVX2" s="27"/>
      <c r="BVY2" s="27"/>
      <c r="BVZ2" s="27"/>
      <c r="BWA2" s="27"/>
      <c r="BWB2" s="27"/>
      <c r="BWC2" s="27"/>
      <c r="BWD2" s="27"/>
      <c r="BWE2" s="27"/>
      <c r="BWF2" s="27"/>
      <c r="BWG2" s="27"/>
      <c r="BWH2" s="27"/>
      <c r="BWI2" s="27"/>
      <c r="BWJ2" s="27"/>
      <c r="BWK2" s="27"/>
      <c r="BWL2" s="27"/>
      <c r="BWM2" s="27"/>
      <c r="BWN2" s="27"/>
      <c r="BWO2" s="27"/>
      <c r="BWP2" s="27"/>
      <c r="BWQ2" s="27"/>
      <c r="BWR2" s="27"/>
      <c r="BWS2" s="27"/>
      <c r="BWT2" s="27"/>
      <c r="BWU2" s="27"/>
      <c r="BWV2" s="27"/>
      <c r="BWW2" s="27"/>
      <c r="BWX2" s="27"/>
      <c r="BWY2" s="27"/>
      <c r="BWZ2" s="27"/>
      <c r="BXA2" s="27"/>
      <c r="BXB2" s="27"/>
      <c r="BXC2" s="27"/>
      <c r="BXD2" s="27"/>
      <c r="BXE2" s="27"/>
      <c r="BXF2" s="27"/>
      <c r="BXG2" s="27"/>
      <c r="BXH2" s="27"/>
      <c r="BXI2" s="27"/>
      <c r="BXJ2" s="27"/>
      <c r="BXK2" s="27"/>
      <c r="BXL2" s="27"/>
      <c r="BXM2" s="27"/>
      <c r="BXN2" s="27"/>
      <c r="BXO2" s="27"/>
      <c r="BXP2" s="27"/>
      <c r="BXQ2" s="27"/>
      <c r="BXR2" s="27"/>
      <c r="BXS2" s="27"/>
      <c r="BXT2" s="27"/>
      <c r="BXU2" s="27"/>
      <c r="BXV2" s="27"/>
      <c r="BXW2" s="27"/>
      <c r="BXX2" s="27"/>
      <c r="BXY2" s="27"/>
      <c r="BXZ2" s="27"/>
      <c r="BYA2" s="27"/>
      <c r="BYB2" s="27"/>
      <c r="BYC2" s="27"/>
      <c r="BYD2" s="27"/>
      <c r="BYE2" s="27"/>
      <c r="BYF2" s="27"/>
      <c r="BYG2" s="27"/>
      <c r="BYH2" s="27"/>
      <c r="BYI2" s="27"/>
      <c r="BYJ2" s="27"/>
      <c r="BYK2" s="27"/>
      <c r="BYL2" s="27"/>
      <c r="BYM2" s="27"/>
      <c r="BYN2" s="27"/>
      <c r="BYO2" s="27"/>
      <c r="BYP2" s="27"/>
      <c r="BYQ2" s="27"/>
      <c r="BYR2" s="27"/>
      <c r="BYS2" s="27"/>
      <c r="BYT2" s="27"/>
      <c r="BYU2" s="27"/>
      <c r="BYV2" s="27"/>
      <c r="BYW2" s="27"/>
      <c r="BYX2" s="27"/>
      <c r="BYY2" s="27"/>
      <c r="BYZ2" s="27"/>
      <c r="BZA2" s="27"/>
      <c r="BZB2" s="27"/>
      <c r="BZC2" s="27"/>
      <c r="BZD2" s="27"/>
      <c r="BZE2" s="27"/>
      <c r="BZF2" s="27"/>
      <c r="BZG2" s="27"/>
      <c r="BZH2" s="27"/>
      <c r="BZI2" s="27"/>
      <c r="BZJ2" s="27"/>
      <c r="BZK2" s="27"/>
      <c r="BZL2" s="27"/>
      <c r="BZM2" s="27"/>
      <c r="BZN2" s="27"/>
      <c r="BZO2" s="27"/>
      <c r="BZP2" s="27"/>
      <c r="BZQ2" s="27"/>
      <c r="BZR2" s="27"/>
      <c r="BZS2" s="27"/>
      <c r="BZT2" s="27"/>
      <c r="BZU2" s="27"/>
      <c r="BZV2" s="27"/>
      <c r="BZW2" s="27"/>
      <c r="BZX2" s="27"/>
      <c r="BZY2" s="27"/>
      <c r="BZZ2" s="27"/>
      <c r="CAA2" s="27"/>
      <c r="CAB2" s="27"/>
      <c r="CAC2" s="27"/>
      <c r="CAD2" s="27"/>
      <c r="CAE2" s="27"/>
      <c r="CAF2" s="27"/>
      <c r="CAG2" s="27"/>
      <c r="CAH2" s="27"/>
      <c r="CAI2" s="27"/>
      <c r="CAJ2" s="27"/>
      <c r="CAK2" s="27"/>
      <c r="CAL2" s="27"/>
      <c r="CAM2" s="27"/>
      <c r="CAN2" s="27"/>
      <c r="CAO2" s="27"/>
      <c r="CAP2" s="27"/>
      <c r="CAQ2" s="27"/>
      <c r="CAR2" s="27"/>
      <c r="CAS2" s="27"/>
      <c r="CAT2" s="27"/>
      <c r="CAU2" s="27"/>
      <c r="CAV2" s="27"/>
      <c r="CAW2" s="27"/>
      <c r="CAX2" s="27"/>
      <c r="CAY2" s="27"/>
      <c r="CAZ2" s="27"/>
      <c r="CBA2" s="27"/>
      <c r="CBB2" s="27"/>
      <c r="CBC2" s="27"/>
      <c r="CBD2" s="27"/>
      <c r="CBE2" s="27"/>
      <c r="CBF2" s="27"/>
      <c r="CBG2" s="27"/>
      <c r="CBH2" s="27"/>
      <c r="CBI2" s="27"/>
      <c r="CBJ2" s="27"/>
      <c r="CBK2" s="27"/>
      <c r="CBL2" s="27"/>
      <c r="CBM2" s="27"/>
      <c r="CBN2" s="27"/>
      <c r="CBO2" s="27"/>
      <c r="CBP2" s="27"/>
      <c r="CBQ2" s="27"/>
      <c r="CBR2" s="27"/>
      <c r="CBS2" s="27"/>
      <c r="CBT2" s="27"/>
      <c r="CBU2" s="27"/>
      <c r="CBV2" s="27"/>
      <c r="CBW2" s="27"/>
      <c r="CBX2" s="27"/>
      <c r="CBY2" s="27"/>
      <c r="CBZ2" s="27"/>
      <c r="CCA2" s="27"/>
      <c r="CCB2" s="27"/>
      <c r="CCC2" s="27"/>
      <c r="CCD2" s="27"/>
      <c r="CCE2" s="27"/>
      <c r="CCF2" s="27"/>
      <c r="CCG2" s="27"/>
      <c r="CCH2" s="27"/>
      <c r="CCI2" s="27"/>
      <c r="CCJ2" s="27"/>
      <c r="CCK2" s="27"/>
      <c r="CCL2" s="27"/>
      <c r="CCM2" s="27"/>
      <c r="CCN2" s="27"/>
      <c r="CCO2" s="27"/>
      <c r="CCP2" s="27"/>
      <c r="CCQ2" s="27"/>
      <c r="CCR2" s="27"/>
      <c r="CCS2" s="27"/>
      <c r="CCT2" s="27"/>
      <c r="CCU2" s="27"/>
      <c r="CCV2" s="27"/>
      <c r="CCW2" s="27"/>
      <c r="CCX2" s="27"/>
      <c r="CCY2" s="27"/>
      <c r="CCZ2" s="27"/>
      <c r="CDA2" s="27"/>
      <c r="CDB2" s="27"/>
      <c r="CDC2" s="27"/>
      <c r="CDD2" s="27"/>
      <c r="CDE2" s="27"/>
      <c r="CDF2" s="27"/>
      <c r="CDG2" s="27"/>
      <c r="CDH2" s="27"/>
      <c r="CDI2" s="27"/>
      <c r="CDJ2" s="27"/>
      <c r="CDK2" s="27"/>
      <c r="CDL2" s="27"/>
      <c r="CDM2" s="27"/>
      <c r="CDN2" s="27"/>
      <c r="CDO2" s="27"/>
      <c r="CDP2" s="27"/>
      <c r="CDQ2" s="27"/>
      <c r="CDR2" s="27"/>
      <c r="CDS2" s="27"/>
      <c r="CDT2" s="27"/>
      <c r="CDU2" s="27"/>
      <c r="CDV2" s="27"/>
      <c r="CDW2" s="27"/>
      <c r="CDX2" s="27"/>
      <c r="CDY2" s="27"/>
      <c r="CDZ2" s="27"/>
      <c r="CEA2" s="27"/>
      <c r="CEB2" s="27"/>
      <c r="CEC2" s="27"/>
      <c r="CED2" s="27"/>
      <c r="CEE2" s="27"/>
      <c r="CEF2" s="27"/>
      <c r="CEG2" s="27"/>
      <c r="CEH2" s="27"/>
      <c r="CEI2" s="27"/>
      <c r="CEJ2" s="27"/>
      <c r="CEK2" s="27"/>
      <c r="CEL2" s="27"/>
      <c r="CEM2" s="27"/>
      <c r="CEN2" s="27"/>
      <c r="CEO2" s="27"/>
      <c r="CEP2" s="27"/>
      <c r="CEQ2" s="27"/>
      <c r="CER2" s="27"/>
      <c r="CES2" s="27"/>
      <c r="CET2" s="27"/>
      <c r="CEU2" s="27"/>
      <c r="CEV2" s="27"/>
      <c r="CEW2" s="27"/>
      <c r="CEX2" s="27"/>
      <c r="CEY2" s="27"/>
      <c r="CEZ2" s="27"/>
      <c r="CFA2" s="27"/>
      <c r="CFB2" s="27"/>
      <c r="CFC2" s="27"/>
      <c r="CFD2" s="27"/>
      <c r="CFE2" s="27"/>
      <c r="CFF2" s="27"/>
      <c r="CFG2" s="27"/>
      <c r="CFH2" s="27"/>
      <c r="CFI2" s="27"/>
      <c r="CFJ2" s="27"/>
      <c r="CFK2" s="27"/>
      <c r="CFL2" s="27"/>
      <c r="CFM2" s="27"/>
      <c r="CFN2" s="27"/>
      <c r="CFO2" s="27"/>
      <c r="CFP2" s="27"/>
      <c r="CFQ2" s="27"/>
      <c r="CFR2" s="27"/>
      <c r="CFS2" s="27"/>
      <c r="CFT2" s="27"/>
      <c r="CFU2" s="27"/>
      <c r="CFV2" s="27"/>
      <c r="CFW2" s="27"/>
      <c r="CFX2" s="27"/>
      <c r="CFY2" s="27"/>
      <c r="CFZ2" s="27"/>
      <c r="CGA2" s="27"/>
      <c r="CGB2" s="27"/>
      <c r="CGC2" s="27"/>
      <c r="CGD2" s="27"/>
      <c r="CGE2" s="27"/>
      <c r="CGF2" s="27"/>
      <c r="CGG2" s="27"/>
      <c r="CGH2" s="27"/>
      <c r="CGI2" s="27"/>
      <c r="CGJ2" s="27"/>
      <c r="CGK2" s="27"/>
      <c r="CGL2" s="27"/>
      <c r="CGM2" s="27"/>
      <c r="CGN2" s="27"/>
      <c r="CGO2" s="27"/>
      <c r="CGP2" s="27"/>
      <c r="CGQ2" s="27"/>
      <c r="CGR2" s="27"/>
      <c r="CGS2" s="27"/>
      <c r="CGT2" s="27"/>
      <c r="CGU2" s="27"/>
      <c r="CGV2" s="27"/>
      <c r="CGW2" s="27"/>
      <c r="CGX2" s="27"/>
      <c r="CGY2" s="27"/>
      <c r="CGZ2" s="27"/>
      <c r="CHA2" s="27"/>
      <c r="CHB2" s="27"/>
      <c r="CHC2" s="27"/>
      <c r="CHD2" s="27"/>
      <c r="CHE2" s="27"/>
      <c r="CHF2" s="27"/>
      <c r="CHG2" s="27"/>
      <c r="CHH2" s="27"/>
      <c r="CHI2" s="27"/>
      <c r="CHJ2" s="27"/>
      <c r="CHK2" s="27"/>
      <c r="CHL2" s="27"/>
      <c r="CHM2" s="27"/>
      <c r="CHN2" s="27"/>
      <c r="CHO2" s="27"/>
      <c r="CHP2" s="27"/>
      <c r="CHQ2" s="27"/>
      <c r="CHR2" s="27"/>
      <c r="CHS2" s="27"/>
      <c r="CHT2" s="27"/>
      <c r="CHU2" s="27"/>
      <c r="CHV2" s="27"/>
      <c r="CHW2" s="27"/>
      <c r="CHX2" s="27"/>
      <c r="CHY2" s="27"/>
      <c r="CHZ2" s="27"/>
      <c r="CIA2" s="27"/>
      <c r="CIB2" s="27"/>
      <c r="CIC2" s="27"/>
      <c r="CID2" s="27"/>
      <c r="CIE2" s="27"/>
      <c r="CIF2" s="27"/>
      <c r="CIG2" s="27"/>
      <c r="CIH2" s="27"/>
      <c r="CII2" s="27"/>
      <c r="CIJ2" s="27"/>
      <c r="CIK2" s="27"/>
      <c r="CIL2" s="27"/>
      <c r="CIM2" s="27"/>
      <c r="CIN2" s="27"/>
      <c r="CIO2" s="27"/>
      <c r="CIP2" s="27"/>
      <c r="CIQ2" s="27"/>
      <c r="CIR2" s="27"/>
      <c r="CIS2" s="27"/>
      <c r="CIT2" s="27"/>
      <c r="CIU2" s="27"/>
      <c r="CIV2" s="27"/>
      <c r="CIW2" s="27"/>
      <c r="CIX2" s="27"/>
      <c r="CIY2" s="27"/>
      <c r="CIZ2" s="27"/>
      <c r="CJA2" s="27"/>
      <c r="CJB2" s="27"/>
      <c r="CJC2" s="27"/>
      <c r="CJD2" s="27"/>
      <c r="CJE2" s="27"/>
      <c r="CJF2" s="27"/>
      <c r="CJG2" s="27"/>
      <c r="CJH2" s="27"/>
      <c r="CJI2" s="27"/>
      <c r="CJJ2" s="27"/>
      <c r="CJK2" s="27"/>
      <c r="CJL2" s="27"/>
      <c r="CJM2" s="27"/>
      <c r="CJN2" s="27"/>
      <c r="CJO2" s="27"/>
      <c r="CJP2" s="27"/>
      <c r="CJQ2" s="27"/>
      <c r="CJR2" s="27"/>
      <c r="CJS2" s="27"/>
      <c r="CJT2" s="27"/>
      <c r="CJU2" s="27"/>
      <c r="CJV2" s="27"/>
      <c r="CJW2" s="27"/>
      <c r="CJX2" s="27"/>
      <c r="CJY2" s="27"/>
      <c r="CJZ2" s="27"/>
      <c r="CKA2" s="27"/>
      <c r="CKB2" s="27"/>
      <c r="CKC2" s="27"/>
      <c r="CKD2" s="27"/>
      <c r="CKE2" s="27"/>
      <c r="CKF2" s="27"/>
      <c r="CKG2" s="27"/>
      <c r="CKH2" s="27"/>
      <c r="CKI2" s="27"/>
      <c r="CKJ2" s="27"/>
      <c r="CKK2" s="27"/>
      <c r="CKL2" s="27"/>
      <c r="CKM2" s="27"/>
      <c r="CKN2" s="27"/>
      <c r="CKO2" s="27"/>
      <c r="CKP2" s="27"/>
      <c r="CKQ2" s="27"/>
      <c r="CKR2" s="27"/>
      <c r="CKS2" s="27"/>
      <c r="CKT2" s="27"/>
      <c r="CKU2" s="27"/>
      <c r="CKV2" s="27"/>
      <c r="CKW2" s="27"/>
      <c r="CKX2" s="27"/>
      <c r="CKY2" s="27"/>
      <c r="CKZ2" s="27"/>
      <c r="CLA2" s="27"/>
      <c r="CLB2" s="27"/>
      <c r="CLC2" s="27"/>
      <c r="CLD2" s="27"/>
      <c r="CLE2" s="27"/>
      <c r="CLF2" s="27"/>
      <c r="CLG2" s="27"/>
      <c r="CLH2" s="27"/>
      <c r="CLI2" s="27"/>
      <c r="CLJ2" s="27"/>
      <c r="CLK2" s="27"/>
      <c r="CLL2" s="27"/>
      <c r="CLM2" s="27"/>
      <c r="CLN2" s="27"/>
      <c r="CLO2" s="27"/>
      <c r="CLP2" s="27"/>
      <c r="CLQ2" s="27"/>
      <c r="CLR2" s="27"/>
      <c r="CLS2" s="27"/>
      <c r="CLT2" s="27"/>
      <c r="CLU2" s="27"/>
      <c r="CLV2" s="27"/>
      <c r="CLW2" s="27"/>
      <c r="CLX2" s="27"/>
      <c r="CLY2" s="27"/>
      <c r="CLZ2" s="27"/>
      <c r="CMA2" s="27"/>
      <c r="CMB2" s="27"/>
      <c r="CMC2" s="27"/>
      <c r="CMD2" s="27"/>
      <c r="CME2" s="27"/>
      <c r="CMF2" s="27"/>
      <c r="CMG2" s="27"/>
      <c r="CMH2" s="27"/>
      <c r="CMI2" s="27"/>
      <c r="CMJ2" s="27"/>
      <c r="CMK2" s="27"/>
      <c r="CML2" s="27"/>
      <c r="CMM2" s="27"/>
      <c r="CMN2" s="27"/>
      <c r="CMO2" s="27"/>
      <c r="CMP2" s="27"/>
      <c r="CMQ2" s="27"/>
      <c r="CMR2" s="27"/>
      <c r="CMS2" s="27"/>
      <c r="CMT2" s="27"/>
      <c r="CMU2" s="27"/>
      <c r="CMV2" s="27"/>
      <c r="CMW2" s="27"/>
      <c r="CMX2" s="27"/>
      <c r="CMY2" s="27"/>
      <c r="CMZ2" s="27"/>
      <c r="CNA2" s="27"/>
      <c r="CNB2" s="27"/>
      <c r="CNC2" s="27"/>
      <c r="CND2" s="27"/>
      <c r="CNE2" s="27"/>
      <c r="CNF2" s="27"/>
      <c r="CNG2" s="27"/>
      <c r="CNH2" s="27"/>
      <c r="CNI2" s="27"/>
      <c r="CNJ2" s="27"/>
      <c r="CNK2" s="27"/>
      <c r="CNL2" s="27"/>
      <c r="CNM2" s="27"/>
      <c r="CNN2" s="27"/>
      <c r="CNO2" s="27"/>
      <c r="CNP2" s="27"/>
      <c r="CNQ2" s="27"/>
      <c r="CNR2" s="27"/>
      <c r="CNS2" s="27"/>
      <c r="CNT2" s="27"/>
      <c r="CNU2" s="27"/>
      <c r="CNV2" s="27"/>
      <c r="CNW2" s="27"/>
      <c r="CNX2" s="27"/>
      <c r="CNY2" s="27"/>
      <c r="CNZ2" s="27"/>
      <c r="COA2" s="27"/>
      <c r="COB2" s="27"/>
      <c r="COC2" s="27"/>
      <c r="COD2" s="27"/>
      <c r="COE2" s="27"/>
      <c r="COF2" s="27"/>
      <c r="COG2" s="27"/>
      <c r="COH2" s="27"/>
      <c r="COI2" s="27"/>
      <c r="COJ2" s="27"/>
      <c r="COK2" s="27"/>
      <c r="COL2" s="27"/>
      <c r="COM2" s="27"/>
      <c r="CON2" s="27"/>
      <c r="COO2" s="27"/>
      <c r="COP2" s="27"/>
      <c r="COQ2" s="27"/>
      <c r="COR2" s="27"/>
      <c r="COS2" s="27"/>
      <c r="COT2" s="27"/>
      <c r="COU2" s="27"/>
      <c r="COV2" s="27"/>
      <c r="COW2" s="27"/>
      <c r="COX2" s="27"/>
      <c r="COY2" s="27"/>
      <c r="COZ2" s="27"/>
      <c r="CPA2" s="27"/>
      <c r="CPB2" s="27"/>
      <c r="CPC2" s="27"/>
      <c r="CPD2" s="27"/>
      <c r="CPE2" s="27"/>
      <c r="CPF2" s="27"/>
      <c r="CPG2" s="27"/>
      <c r="CPH2" s="27"/>
      <c r="CPI2" s="27"/>
      <c r="CPJ2" s="27"/>
      <c r="CPK2" s="27"/>
      <c r="CPL2" s="27"/>
      <c r="CPM2" s="27"/>
      <c r="CPN2" s="27"/>
      <c r="CPO2" s="27"/>
      <c r="CPP2" s="27"/>
      <c r="CPQ2" s="27"/>
      <c r="CPR2" s="27"/>
      <c r="CPS2" s="27"/>
      <c r="CPT2" s="27"/>
      <c r="CPU2" s="27"/>
      <c r="CPV2" s="27"/>
      <c r="CPW2" s="27"/>
      <c r="CPX2" s="27"/>
      <c r="CPY2" s="27"/>
      <c r="CPZ2" s="27"/>
      <c r="CQA2" s="27"/>
      <c r="CQB2" s="27"/>
      <c r="CQC2" s="27"/>
      <c r="CQD2" s="27"/>
      <c r="CQE2" s="27"/>
      <c r="CQF2" s="27"/>
      <c r="CQG2" s="27"/>
      <c r="CQH2" s="27"/>
      <c r="CQI2" s="27"/>
      <c r="CQJ2" s="27"/>
      <c r="CQK2" s="27"/>
      <c r="CQL2" s="27"/>
      <c r="CQM2" s="27"/>
      <c r="CQN2" s="27"/>
      <c r="CQO2" s="27"/>
      <c r="CQP2" s="27"/>
      <c r="CQQ2" s="27"/>
      <c r="CQR2" s="27"/>
      <c r="CQS2" s="27"/>
      <c r="CQT2" s="27"/>
      <c r="CQU2" s="27"/>
      <c r="CQV2" s="27"/>
      <c r="CQW2" s="27"/>
      <c r="CQX2" s="27"/>
      <c r="CQY2" s="27"/>
      <c r="CQZ2" s="27"/>
      <c r="CRA2" s="27"/>
      <c r="CRB2" s="27"/>
      <c r="CRC2" s="27"/>
      <c r="CRD2" s="27"/>
      <c r="CRE2" s="27"/>
      <c r="CRF2" s="27"/>
      <c r="CRG2" s="27"/>
      <c r="CRH2" s="27"/>
      <c r="CRI2" s="27"/>
      <c r="CRJ2" s="27"/>
      <c r="CRK2" s="27"/>
      <c r="CRL2" s="27"/>
      <c r="CRM2" s="27"/>
      <c r="CRN2" s="27"/>
      <c r="CRO2" s="27"/>
      <c r="CRP2" s="27"/>
      <c r="CRQ2" s="27"/>
      <c r="CRR2" s="27"/>
      <c r="CRS2" s="27"/>
      <c r="CRT2" s="27"/>
      <c r="CRU2" s="27"/>
      <c r="CRV2" s="27"/>
      <c r="CRW2" s="27"/>
      <c r="CRX2" s="27"/>
      <c r="CRY2" s="27"/>
      <c r="CRZ2" s="27"/>
      <c r="CSA2" s="27"/>
      <c r="CSB2" s="27"/>
      <c r="CSC2" s="27"/>
      <c r="CSD2" s="27"/>
      <c r="CSE2" s="27"/>
      <c r="CSF2" s="27"/>
      <c r="CSG2" s="27"/>
      <c r="CSH2" s="27"/>
      <c r="CSI2" s="27"/>
      <c r="CSJ2" s="27"/>
      <c r="CSK2" s="27"/>
      <c r="CSL2" s="27"/>
      <c r="CSM2" s="27"/>
      <c r="CSN2" s="27"/>
      <c r="CSO2" s="27"/>
      <c r="CSP2" s="27"/>
      <c r="CSQ2" s="27"/>
      <c r="CSR2" s="27"/>
      <c r="CSS2" s="27"/>
      <c r="CST2" s="27"/>
      <c r="CSU2" s="27"/>
      <c r="CSV2" s="27"/>
      <c r="CSW2" s="27"/>
      <c r="CSX2" s="27"/>
      <c r="CSY2" s="27"/>
      <c r="CSZ2" s="27"/>
      <c r="CTA2" s="27"/>
      <c r="CTB2" s="27"/>
      <c r="CTC2" s="27"/>
      <c r="CTD2" s="27"/>
      <c r="CTE2" s="27"/>
      <c r="CTF2" s="27"/>
      <c r="CTG2" s="27"/>
      <c r="CTH2" s="27"/>
      <c r="CTI2" s="27"/>
      <c r="CTJ2" s="27"/>
      <c r="CTK2" s="27"/>
      <c r="CTL2" s="27"/>
      <c r="CTM2" s="27"/>
      <c r="CTN2" s="27"/>
      <c r="CTO2" s="27"/>
      <c r="CTP2" s="27"/>
      <c r="CTQ2" s="27"/>
      <c r="CTR2" s="27"/>
      <c r="CTS2" s="27"/>
      <c r="CTT2" s="27"/>
      <c r="CTU2" s="27"/>
      <c r="CTV2" s="27"/>
      <c r="CTW2" s="27"/>
      <c r="CTX2" s="27"/>
      <c r="CTY2" s="27"/>
      <c r="CTZ2" s="27"/>
      <c r="CUA2" s="27"/>
      <c r="CUB2" s="27"/>
      <c r="CUC2" s="27"/>
      <c r="CUD2" s="27"/>
      <c r="CUE2" s="27"/>
      <c r="CUF2" s="27"/>
      <c r="CUG2" s="27"/>
      <c r="CUH2" s="27"/>
      <c r="CUI2" s="27"/>
      <c r="CUJ2" s="27"/>
      <c r="CUK2" s="27"/>
      <c r="CUL2" s="27"/>
      <c r="CUM2" s="27"/>
      <c r="CUN2" s="27"/>
      <c r="CUO2" s="27"/>
      <c r="CUP2" s="27"/>
      <c r="CUQ2" s="27"/>
      <c r="CUR2" s="27"/>
      <c r="CUS2" s="27"/>
      <c r="CUT2" s="27"/>
      <c r="CUU2" s="27"/>
      <c r="CUV2" s="27"/>
      <c r="CUW2" s="27"/>
      <c r="CUX2" s="27"/>
      <c r="CUY2" s="27"/>
      <c r="CUZ2" s="27"/>
      <c r="CVA2" s="27"/>
      <c r="CVB2" s="27"/>
      <c r="CVC2" s="27"/>
      <c r="CVD2" s="27"/>
      <c r="CVE2" s="27"/>
      <c r="CVF2" s="27"/>
      <c r="CVG2" s="27"/>
      <c r="CVH2" s="27"/>
      <c r="CVI2" s="27"/>
      <c r="CVJ2" s="27"/>
      <c r="CVK2" s="27"/>
      <c r="CVL2" s="27"/>
      <c r="CVM2" s="27"/>
      <c r="CVN2" s="27"/>
      <c r="CVO2" s="27"/>
      <c r="CVP2" s="27"/>
      <c r="CVQ2" s="27"/>
      <c r="CVR2" s="27"/>
      <c r="CVS2" s="27"/>
      <c r="CVT2" s="27"/>
      <c r="CVU2" s="27"/>
      <c r="CVV2" s="27"/>
      <c r="CVW2" s="27"/>
      <c r="CVX2" s="27"/>
      <c r="CVY2" s="27"/>
      <c r="CVZ2" s="27"/>
      <c r="CWA2" s="27"/>
      <c r="CWB2" s="27"/>
      <c r="CWC2" s="27"/>
      <c r="CWD2" s="27"/>
      <c r="CWE2" s="27"/>
      <c r="CWF2" s="27"/>
      <c r="CWG2" s="27"/>
      <c r="CWH2" s="27"/>
      <c r="CWI2" s="27"/>
      <c r="CWJ2" s="27"/>
      <c r="CWK2" s="27"/>
      <c r="CWL2" s="27"/>
      <c r="CWM2" s="27"/>
      <c r="CWN2" s="27"/>
      <c r="CWO2" s="27"/>
      <c r="CWP2" s="27"/>
      <c r="CWQ2" s="27"/>
      <c r="CWR2" s="27"/>
      <c r="CWS2" s="27"/>
      <c r="CWT2" s="27"/>
      <c r="CWU2" s="27"/>
      <c r="CWV2" s="27"/>
      <c r="CWW2" s="27"/>
      <c r="CWX2" s="27"/>
      <c r="CWY2" s="27"/>
      <c r="CWZ2" s="27"/>
      <c r="CXA2" s="27"/>
      <c r="CXB2" s="27"/>
      <c r="CXC2" s="27"/>
      <c r="CXD2" s="27"/>
      <c r="CXE2" s="27"/>
      <c r="CXF2" s="27"/>
      <c r="CXG2" s="27"/>
      <c r="CXH2" s="27"/>
      <c r="CXI2" s="27"/>
      <c r="CXJ2" s="27"/>
      <c r="CXK2" s="27"/>
      <c r="CXL2" s="27"/>
      <c r="CXM2" s="27"/>
      <c r="CXN2" s="27"/>
      <c r="CXO2" s="27"/>
      <c r="CXP2" s="27"/>
      <c r="CXQ2" s="27"/>
      <c r="CXR2" s="27"/>
      <c r="CXS2" s="27"/>
      <c r="CXT2" s="27"/>
      <c r="CXU2" s="27"/>
      <c r="CXV2" s="27"/>
      <c r="CXW2" s="27"/>
      <c r="CXX2" s="27"/>
      <c r="CXY2" s="27"/>
      <c r="CXZ2" s="27"/>
      <c r="CYA2" s="27"/>
      <c r="CYB2" s="27"/>
      <c r="CYC2" s="27"/>
      <c r="CYD2" s="27"/>
      <c r="CYE2" s="27"/>
      <c r="CYF2" s="27"/>
      <c r="CYG2" s="27"/>
      <c r="CYH2" s="27"/>
      <c r="CYI2" s="27"/>
      <c r="CYJ2" s="27"/>
      <c r="CYK2" s="27"/>
      <c r="CYL2" s="27"/>
      <c r="CYM2" s="27"/>
      <c r="CYN2" s="27"/>
      <c r="CYO2" s="27"/>
      <c r="CYP2" s="27"/>
      <c r="CYQ2" s="27"/>
      <c r="CYR2" s="27"/>
      <c r="CYS2" s="27"/>
      <c r="CYT2" s="27"/>
      <c r="CYU2" s="27"/>
      <c r="CYV2" s="27"/>
      <c r="CYW2" s="27"/>
      <c r="CYX2" s="27"/>
      <c r="CYY2" s="27"/>
      <c r="CYZ2" s="27"/>
      <c r="CZA2" s="27"/>
      <c r="CZB2" s="27"/>
      <c r="CZC2" s="27"/>
      <c r="CZD2" s="27"/>
      <c r="CZE2" s="27"/>
      <c r="CZF2" s="27"/>
      <c r="CZG2" s="27"/>
      <c r="CZH2" s="27"/>
      <c r="CZI2" s="27"/>
      <c r="CZJ2" s="27"/>
      <c r="CZK2" s="27"/>
      <c r="CZL2" s="27"/>
      <c r="CZM2" s="27"/>
      <c r="CZN2" s="27"/>
      <c r="CZO2" s="27"/>
      <c r="CZP2" s="27"/>
      <c r="CZQ2" s="27"/>
      <c r="CZR2" s="27"/>
      <c r="CZS2" s="27"/>
      <c r="CZT2" s="27"/>
      <c r="CZU2" s="27"/>
      <c r="CZV2" s="27"/>
      <c r="CZW2" s="27"/>
      <c r="CZX2" s="27"/>
      <c r="CZY2" s="27"/>
      <c r="CZZ2" s="27"/>
      <c r="DAA2" s="27"/>
      <c r="DAB2" s="27"/>
      <c r="DAC2" s="27"/>
      <c r="DAD2" s="27"/>
      <c r="DAE2" s="27"/>
      <c r="DAF2" s="27"/>
      <c r="DAG2" s="27"/>
      <c r="DAH2" s="27"/>
      <c r="DAI2" s="27"/>
      <c r="DAJ2" s="27"/>
      <c r="DAK2" s="27"/>
      <c r="DAL2" s="27"/>
      <c r="DAM2" s="27"/>
      <c r="DAN2" s="27"/>
      <c r="DAO2" s="27"/>
      <c r="DAP2" s="27"/>
      <c r="DAQ2" s="27"/>
      <c r="DAR2" s="27"/>
      <c r="DAS2" s="27"/>
      <c r="DAT2" s="27"/>
      <c r="DAU2" s="27"/>
      <c r="DAV2" s="27"/>
      <c r="DAW2" s="27"/>
      <c r="DAX2" s="27"/>
      <c r="DAY2" s="27"/>
      <c r="DAZ2" s="27"/>
      <c r="DBA2" s="27"/>
      <c r="DBB2" s="27"/>
      <c r="DBC2" s="27"/>
      <c r="DBD2" s="27"/>
      <c r="DBE2" s="27"/>
      <c r="DBF2" s="27"/>
      <c r="DBG2" s="27"/>
      <c r="DBH2" s="27"/>
      <c r="DBI2" s="27"/>
      <c r="DBJ2" s="27"/>
      <c r="DBK2" s="27"/>
      <c r="DBL2" s="27"/>
      <c r="DBM2" s="27"/>
      <c r="DBN2" s="27"/>
      <c r="DBO2" s="27"/>
      <c r="DBP2" s="27"/>
      <c r="DBQ2" s="27"/>
      <c r="DBR2" s="27"/>
      <c r="DBS2" s="27"/>
      <c r="DBT2" s="27"/>
      <c r="DBU2" s="27"/>
      <c r="DBV2" s="27"/>
      <c r="DBW2" s="27"/>
      <c r="DBX2" s="27"/>
      <c r="DBY2" s="27"/>
      <c r="DBZ2" s="27"/>
      <c r="DCA2" s="27"/>
      <c r="DCB2" s="27"/>
      <c r="DCC2" s="27"/>
      <c r="DCD2" s="27"/>
      <c r="DCE2" s="27"/>
      <c r="DCF2" s="27"/>
      <c r="DCG2" s="27"/>
      <c r="DCH2" s="27"/>
      <c r="DCI2" s="27"/>
      <c r="DCJ2" s="27"/>
      <c r="DCK2" s="27"/>
      <c r="DCL2" s="27"/>
      <c r="DCM2" s="27"/>
      <c r="DCN2" s="27"/>
      <c r="DCO2" s="27"/>
      <c r="DCP2" s="27"/>
      <c r="DCQ2" s="27"/>
      <c r="DCR2" s="27"/>
      <c r="DCS2" s="27"/>
      <c r="DCT2" s="27"/>
      <c r="DCU2" s="27"/>
      <c r="DCV2" s="27"/>
      <c r="DCW2" s="27"/>
      <c r="DCX2" s="27"/>
      <c r="DCY2" s="27"/>
      <c r="DCZ2" s="27"/>
      <c r="DDA2" s="27"/>
      <c r="DDB2" s="27"/>
      <c r="DDC2" s="27"/>
      <c r="DDD2" s="27"/>
      <c r="DDE2" s="27"/>
      <c r="DDF2" s="27"/>
      <c r="DDG2" s="27"/>
      <c r="DDH2" s="27"/>
      <c r="DDI2" s="27"/>
      <c r="DDJ2" s="27"/>
      <c r="DDK2" s="27"/>
      <c r="DDL2" s="27"/>
      <c r="DDM2" s="27"/>
      <c r="DDN2" s="27"/>
      <c r="DDO2" s="27"/>
      <c r="DDP2" s="27"/>
      <c r="DDQ2" s="27"/>
      <c r="DDR2" s="27"/>
      <c r="DDS2" s="27"/>
      <c r="DDT2" s="27"/>
      <c r="DDU2" s="27"/>
      <c r="DDV2" s="27"/>
      <c r="DDW2" s="27"/>
      <c r="DDX2" s="27"/>
      <c r="DDY2" s="27"/>
      <c r="DDZ2" s="27"/>
      <c r="DEA2" s="27"/>
      <c r="DEB2" s="27"/>
      <c r="DEC2" s="27"/>
      <c r="DED2" s="27"/>
      <c r="DEE2" s="27"/>
      <c r="DEF2" s="27"/>
      <c r="DEG2" s="27"/>
      <c r="DEH2" s="27"/>
      <c r="DEI2" s="27"/>
      <c r="DEJ2" s="27"/>
      <c r="DEK2" s="27"/>
      <c r="DEL2" s="27"/>
      <c r="DEM2" s="27"/>
      <c r="DEN2" s="27"/>
      <c r="DEO2" s="27"/>
      <c r="DEP2" s="27"/>
      <c r="DEQ2" s="27"/>
      <c r="DER2" s="27"/>
      <c r="DES2" s="27"/>
      <c r="DET2" s="27"/>
      <c r="DEU2" s="27"/>
      <c r="DEV2" s="27"/>
      <c r="DEW2" s="27"/>
      <c r="DEX2" s="27"/>
      <c r="DEY2" s="27"/>
      <c r="DEZ2" s="27"/>
      <c r="DFA2" s="27"/>
      <c r="DFB2" s="27"/>
      <c r="DFC2" s="27"/>
      <c r="DFD2" s="27"/>
      <c r="DFE2" s="27"/>
      <c r="DFF2" s="27"/>
      <c r="DFG2" s="27"/>
      <c r="DFH2" s="27"/>
      <c r="DFI2" s="27"/>
      <c r="DFJ2" s="27"/>
      <c r="DFK2" s="27"/>
      <c r="DFL2" s="27"/>
      <c r="DFM2" s="27"/>
      <c r="DFN2" s="27"/>
      <c r="DFO2" s="27"/>
      <c r="DFP2" s="27"/>
      <c r="DFQ2" s="27"/>
      <c r="DFR2" s="27"/>
      <c r="DFS2" s="27"/>
      <c r="DFT2" s="27"/>
      <c r="DFU2" s="27"/>
      <c r="DFV2" s="27"/>
      <c r="DFW2" s="27"/>
      <c r="DFX2" s="27"/>
      <c r="DFY2" s="27"/>
      <c r="DFZ2" s="27"/>
      <c r="DGA2" s="27"/>
      <c r="DGB2" s="27"/>
      <c r="DGC2" s="27"/>
      <c r="DGD2" s="27"/>
      <c r="DGE2" s="27"/>
      <c r="DGF2" s="27"/>
      <c r="DGG2" s="27"/>
      <c r="DGH2" s="27"/>
      <c r="DGI2" s="27"/>
      <c r="DGJ2" s="27"/>
      <c r="DGK2" s="27"/>
      <c r="DGL2" s="27"/>
      <c r="DGM2" s="27"/>
      <c r="DGN2" s="27"/>
      <c r="DGO2" s="27"/>
      <c r="DGP2" s="27"/>
      <c r="DGQ2" s="27"/>
      <c r="DGR2" s="27"/>
      <c r="DGS2" s="27"/>
      <c r="DGT2" s="27"/>
      <c r="DGU2" s="27"/>
      <c r="DGV2" s="27"/>
      <c r="DGW2" s="27"/>
      <c r="DGX2" s="27"/>
      <c r="DGY2" s="27"/>
      <c r="DGZ2" s="27"/>
      <c r="DHA2" s="27"/>
      <c r="DHB2" s="27"/>
      <c r="DHC2" s="27"/>
      <c r="DHD2" s="27"/>
      <c r="DHE2" s="27"/>
      <c r="DHF2" s="27"/>
      <c r="DHG2" s="27"/>
      <c r="DHH2" s="27"/>
      <c r="DHI2" s="27"/>
      <c r="DHJ2" s="27"/>
      <c r="DHK2" s="27"/>
      <c r="DHL2" s="27"/>
      <c r="DHM2" s="27"/>
      <c r="DHN2" s="27"/>
      <c r="DHO2" s="27"/>
      <c r="DHP2" s="27"/>
      <c r="DHQ2" s="27"/>
      <c r="DHR2" s="27"/>
      <c r="DHS2" s="27"/>
      <c r="DHT2" s="27"/>
      <c r="DHU2" s="27"/>
      <c r="DHV2" s="27"/>
      <c r="DHW2" s="27"/>
      <c r="DHX2" s="27"/>
      <c r="DHY2" s="27"/>
      <c r="DHZ2" s="27"/>
      <c r="DIA2" s="27"/>
      <c r="DIB2" s="27"/>
      <c r="DIC2" s="27"/>
      <c r="DID2" s="27"/>
      <c r="DIE2" s="27"/>
      <c r="DIF2" s="27"/>
      <c r="DIG2" s="27"/>
      <c r="DIH2" s="27"/>
      <c r="DII2" s="27"/>
      <c r="DIJ2" s="27"/>
      <c r="DIK2" s="27"/>
      <c r="DIL2" s="27"/>
      <c r="DIM2" s="27"/>
      <c r="DIN2" s="27"/>
      <c r="DIO2" s="27"/>
      <c r="DIP2" s="27"/>
      <c r="DIQ2" s="27"/>
      <c r="DIR2" s="27"/>
      <c r="DIS2" s="27"/>
      <c r="DIT2" s="27"/>
      <c r="DIU2" s="27"/>
      <c r="DIV2" s="27"/>
      <c r="DIW2" s="27"/>
      <c r="DIX2" s="27"/>
      <c r="DIY2" s="27"/>
      <c r="DIZ2" s="27"/>
      <c r="DJA2" s="27"/>
      <c r="DJB2" s="27"/>
      <c r="DJC2" s="27"/>
      <c r="DJD2" s="27"/>
      <c r="DJE2" s="27"/>
      <c r="DJF2" s="27"/>
      <c r="DJG2" s="27"/>
      <c r="DJH2" s="27"/>
      <c r="DJI2" s="27"/>
      <c r="DJJ2" s="27"/>
      <c r="DJK2" s="27"/>
      <c r="DJL2" s="27"/>
      <c r="DJM2" s="27"/>
      <c r="DJN2" s="27"/>
      <c r="DJO2" s="27"/>
      <c r="DJP2" s="27"/>
      <c r="DJQ2" s="27"/>
      <c r="DJR2" s="27"/>
      <c r="DJS2" s="27"/>
      <c r="DJT2" s="27"/>
      <c r="DJU2" s="27"/>
      <c r="DJV2" s="27"/>
      <c r="DJW2" s="27"/>
      <c r="DJX2" s="27"/>
      <c r="DJY2" s="27"/>
      <c r="DJZ2" s="27"/>
      <c r="DKA2" s="27"/>
      <c r="DKB2" s="27"/>
      <c r="DKC2" s="27"/>
      <c r="DKD2" s="27"/>
      <c r="DKE2" s="27"/>
      <c r="DKF2" s="27"/>
      <c r="DKG2" s="27"/>
      <c r="DKH2" s="27"/>
      <c r="DKI2" s="27"/>
      <c r="DKJ2" s="27"/>
      <c r="DKK2" s="27"/>
      <c r="DKL2" s="27"/>
      <c r="DKM2" s="27"/>
      <c r="DKN2" s="27"/>
      <c r="DKO2" s="27"/>
      <c r="DKP2" s="27"/>
      <c r="DKQ2" s="27"/>
      <c r="DKR2" s="27"/>
      <c r="DKS2" s="27"/>
      <c r="DKT2" s="27"/>
      <c r="DKU2" s="27"/>
      <c r="DKV2" s="27"/>
      <c r="DKW2" s="27"/>
      <c r="DKX2" s="27"/>
      <c r="DKY2" s="27"/>
      <c r="DKZ2" s="27"/>
      <c r="DLA2" s="27"/>
      <c r="DLB2" s="27"/>
      <c r="DLC2" s="27"/>
      <c r="DLD2" s="27"/>
      <c r="DLE2" s="27"/>
      <c r="DLF2" s="27"/>
      <c r="DLG2" s="27"/>
      <c r="DLH2" s="27"/>
      <c r="DLI2" s="27"/>
      <c r="DLJ2" s="27"/>
      <c r="DLK2" s="27"/>
      <c r="DLL2" s="27"/>
      <c r="DLM2" s="27"/>
      <c r="DLN2" s="27"/>
      <c r="DLO2" s="27"/>
      <c r="DLP2" s="27"/>
      <c r="DLQ2" s="27"/>
      <c r="DLR2" s="27"/>
      <c r="DLS2" s="27"/>
      <c r="DLT2" s="27"/>
      <c r="DLU2" s="27"/>
      <c r="DLV2" s="27"/>
      <c r="DLW2" s="27"/>
      <c r="DLX2" s="27"/>
      <c r="DLY2" s="27"/>
      <c r="DLZ2" s="27"/>
      <c r="DMA2" s="27"/>
      <c r="DMB2" s="27"/>
      <c r="DMC2" s="27"/>
      <c r="DMD2" s="27"/>
      <c r="DME2" s="27"/>
      <c r="DMF2" s="27"/>
      <c r="DMG2" s="27"/>
      <c r="DMH2" s="27"/>
      <c r="DMI2" s="27"/>
      <c r="DMJ2" s="27"/>
      <c r="DMK2" s="27"/>
      <c r="DML2" s="27"/>
      <c r="DMM2" s="27"/>
      <c r="DMN2" s="27"/>
      <c r="DMO2" s="27"/>
      <c r="DMP2" s="27"/>
      <c r="DMQ2" s="27"/>
      <c r="DMR2" s="27"/>
      <c r="DMS2" s="27"/>
      <c r="DMT2" s="27"/>
      <c r="DMU2" s="27"/>
      <c r="DMV2" s="27"/>
      <c r="DMW2" s="27"/>
      <c r="DMX2" s="27"/>
      <c r="DMY2" s="27"/>
      <c r="DMZ2" s="27"/>
      <c r="DNA2" s="27"/>
      <c r="DNB2" s="27"/>
      <c r="DNC2" s="27"/>
      <c r="DND2" s="27"/>
      <c r="DNE2" s="27"/>
      <c r="DNF2" s="27"/>
      <c r="DNG2" s="27"/>
      <c r="DNH2" s="27"/>
      <c r="DNI2" s="27"/>
      <c r="DNJ2" s="27"/>
      <c r="DNK2" s="27"/>
      <c r="DNL2" s="27"/>
      <c r="DNM2" s="27"/>
      <c r="DNN2" s="27"/>
      <c r="DNO2" s="27"/>
      <c r="DNP2" s="27"/>
      <c r="DNQ2" s="27"/>
      <c r="DNR2" s="27"/>
      <c r="DNS2" s="27"/>
      <c r="DNT2" s="27"/>
      <c r="DNU2" s="27"/>
      <c r="DNV2" s="27"/>
      <c r="DNW2" s="27"/>
      <c r="DNX2" s="27"/>
      <c r="DNY2" s="27"/>
      <c r="DNZ2" s="27"/>
      <c r="DOA2" s="27"/>
      <c r="DOB2" s="27"/>
      <c r="DOC2" s="27"/>
      <c r="DOD2" s="27"/>
      <c r="DOE2" s="27"/>
      <c r="DOF2" s="27"/>
      <c r="DOG2" s="27"/>
      <c r="DOH2" s="27"/>
      <c r="DOI2" s="27"/>
      <c r="DOJ2" s="27"/>
      <c r="DOK2" s="27"/>
      <c r="DOL2" s="27"/>
      <c r="DOM2" s="27"/>
      <c r="DON2" s="27"/>
      <c r="DOO2" s="27"/>
      <c r="DOP2" s="27"/>
      <c r="DOQ2" s="27"/>
      <c r="DOR2" s="27"/>
      <c r="DOS2" s="27"/>
      <c r="DOT2" s="27"/>
      <c r="DOU2" s="27"/>
      <c r="DOV2" s="27"/>
      <c r="DOW2" s="27"/>
      <c r="DOX2" s="27"/>
      <c r="DOY2" s="27"/>
      <c r="DOZ2" s="27"/>
      <c r="DPA2" s="27"/>
      <c r="DPB2" s="27"/>
      <c r="DPC2" s="27"/>
      <c r="DPD2" s="27"/>
      <c r="DPE2" s="27"/>
      <c r="DPF2" s="27"/>
      <c r="DPG2" s="27"/>
      <c r="DPH2" s="27"/>
      <c r="DPI2" s="27"/>
      <c r="DPJ2" s="27"/>
      <c r="DPK2" s="27"/>
      <c r="DPL2" s="27"/>
      <c r="DPM2" s="27"/>
      <c r="DPN2" s="27"/>
      <c r="DPO2" s="27"/>
      <c r="DPP2" s="27"/>
      <c r="DPQ2" s="27"/>
      <c r="DPR2" s="27"/>
      <c r="DPS2" s="27"/>
      <c r="DPT2" s="27"/>
      <c r="DPU2" s="27"/>
      <c r="DPV2" s="27"/>
      <c r="DPW2" s="27"/>
      <c r="DPX2" s="27"/>
      <c r="DPY2" s="27"/>
      <c r="DPZ2" s="27"/>
      <c r="DQA2" s="27"/>
      <c r="DQB2" s="27"/>
      <c r="DQC2" s="27"/>
      <c r="DQD2" s="27"/>
      <c r="DQE2" s="27"/>
      <c r="DQF2" s="27"/>
      <c r="DQG2" s="27"/>
      <c r="DQH2" s="27"/>
      <c r="DQI2" s="27"/>
      <c r="DQJ2" s="27"/>
      <c r="DQK2" s="27"/>
      <c r="DQL2" s="27"/>
      <c r="DQM2" s="27"/>
      <c r="DQN2" s="27"/>
      <c r="DQO2" s="27"/>
      <c r="DQP2" s="27"/>
      <c r="DQQ2" s="27"/>
      <c r="DQR2" s="27"/>
      <c r="DQS2" s="27"/>
      <c r="DQT2" s="27"/>
      <c r="DQU2" s="27"/>
      <c r="DQV2" s="27"/>
      <c r="DQW2" s="27"/>
      <c r="DQX2" s="27"/>
      <c r="DQY2" s="27"/>
      <c r="DQZ2" s="27"/>
      <c r="DRA2" s="27"/>
      <c r="DRB2" s="27"/>
      <c r="DRC2" s="27"/>
      <c r="DRD2" s="27"/>
      <c r="DRE2" s="27"/>
      <c r="DRF2" s="27"/>
      <c r="DRG2" s="27"/>
      <c r="DRH2" s="27"/>
      <c r="DRI2" s="27"/>
      <c r="DRJ2" s="27"/>
      <c r="DRK2" s="27"/>
      <c r="DRL2" s="27"/>
      <c r="DRM2" s="27"/>
      <c r="DRN2" s="27"/>
      <c r="DRO2" s="27"/>
      <c r="DRP2" s="27"/>
      <c r="DRQ2" s="27"/>
      <c r="DRR2" s="27"/>
      <c r="DRS2" s="27"/>
      <c r="DRT2" s="27"/>
      <c r="DRU2" s="27"/>
      <c r="DRV2" s="27"/>
      <c r="DRW2" s="27"/>
      <c r="DRX2" s="27"/>
      <c r="DRY2" s="27"/>
      <c r="DRZ2" s="27"/>
      <c r="DSA2" s="27"/>
      <c r="DSB2" s="27"/>
      <c r="DSC2" s="27"/>
      <c r="DSD2" s="27"/>
      <c r="DSE2" s="27"/>
      <c r="DSF2" s="27"/>
      <c r="DSG2" s="27"/>
      <c r="DSH2" s="27"/>
      <c r="DSI2" s="27"/>
      <c r="DSJ2" s="27"/>
      <c r="DSK2" s="27"/>
      <c r="DSL2" s="27"/>
      <c r="DSM2" s="27"/>
      <c r="DSN2" s="27"/>
      <c r="DSO2" s="27"/>
      <c r="DSP2" s="27"/>
      <c r="DSQ2" s="27"/>
      <c r="DSR2" s="27"/>
      <c r="DSS2" s="27"/>
      <c r="DST2" s="27"/>
      <c r="DSU2" s="27"/>
      <c r="DSV2" s="27"/>
      <c r="DSW2" s="27"/>
      <c r="DSX2" s="27"/>
      <c r="DSY2" s="27"/>
      <c r="DSZ2" s="27"/>
      <c r="DTA2" s="27"/>
      <c r="DTB2" s="27"/>
      <c r="DTC2" s="27"/>
      <c r="DTD2" s="27"/>
      <c r="DTE2" s="27"/>
      <c r="DTF2" s="27"/>
      <c r="DTG2" s="27"/>
      <c r="DTH2" s="27"/>
      <c r="DTI2" s="27"/>
      <c r="DTJ2" s="27"/>
      <c r="DTK2" s="27"/>
      <c r="DTL2" s="27"/>
      <c r="DTM2" s="27"/>
      <c r="DTN2" s="27"/>
      <c r="DTO2" s="27"/>
      <c r="DTP2" s="27"/>
      <c r="DTQ2" s="27"/>
      <c r="DTR2" s="27"/>
      <c r="DTS2" s="27"/>
      <c r="DTT2" s="27"/>
      <c r="DTU2" s="27"/>
      <c r="DTV2" s="27"/>
      <c r="DTW2" s="27"/>
      <c r="DTX2" s="27"/>
      <c r="DTY2" s="27"/>
      <c r="DTZ2" s="27"/>
      <c r="DUA2" s="27"/>
      <c r="DUB2" s="27"/>
      <c r="DUC2" s="27"/>
      <c r="DUD2" s="27"/>
      <c r="DUE2" s="27"/>
      <c r="DUF2" s="27"/>
      <c r="DUG2" s="27"/>
      <c r="DUH2" s="27"/>
      <c r="DUI2" s="27"/>
      <c r="DUJ2" s="27"/>
      <c r="DUK2" s="27"/>
      <c r="DUL2" s="27"/>
      <c r="DUM2" s="27"/>
      <c r="DUN2" s="27"/>
      <c r="DUO2" s="27"/>
      <c r="DUP2" s="27"/>
      <c r="DUQ2" s="27"/>
      <c r="DUR2" s="27"/>
      <c r="DUS2" s="27"/>
      <c r="DUT2" s="27"/>
      <c r="DUU2" s="27"/>
      <c r="DUV2" s="27"/>
      <c r="DUW2" s="27"/>
      <c r="DUX2" s="27"/>
      <c r="DUY2" s="27"/>
      <c r="DUZ2" s="27"/>
      <c r="DVA2" s="27"/>
      <c r="DVB2" s="27"/>
      <c r="DVC2" s="27"/>
      <c r="DVD2" s="27"/>
      <c r="DVE2" s="27"/>
      <c r="DVF2" s="27"/>
      <c r="DVG2" s="27"/>
      <c r="DVH2" s="27"/>
      <c r="DVI2" s="27"/>
      <c r="DVJ2" s="27"/>
      <c r="DVK2" s="27"/>
      <c r="DVL2" s="27"/>
      <c r="DVM2" s="27"/>
      <c r="DVN2" s="27"/>
      <c r="DVO2" s="27"/>
      <c r="DVP2" s="27"/>
      <c r="DVQ2" s="27"/>
      <c r="DVR2" s="27"/>
      <c r="DVS2" s="27"/>
      <c r="DVT2" s="27"/>
      <c r="DVU2" s="27"/>
      <c r="DVV2" s="27"/>
      <c r="DVW2" s="27"/>
      <c r="DVX2" s="27"/>
      <c r="DVY2" s="27"/>
      <c r="DVZ2" s="27"/>
      <c r="DWA2" s="27"/>
      <c r="DWB2" s="27"/>
      <c r="DWC2" s="27"/>
      <c r="DWD2" s="27"/>
      <c r="DWE2" s="27"/>
      <c r="DWF2" s="27"/>
      <c r="DWG2" s="27"/>
      <c r="DWH2" s="27"/>
      <c r="DWI2" s="27"/>
      <c r="DWJ2" s="27"/>
      <c r="DWK2" s="27"/>
      <c r="DWL2" s="27"/>
      <c r="DWM2" s="27"/>
      <c r="DWN2" s="27"/>
      <c r="DWO2" s="27"/>
      <c r="DWP2" s="27"/>
      <c r="DWQ2" s="27"/>
      <c r="DWR2" s="27"/>
      <c r="DWS2" s="27"/>
      <c r="DWT2" s="27"/>
      <c r="DWU2" s="27"/>
      <c r="DWV2" s="27"/>
      <c r="DWW2" s="27"/>
      <c r="DWX2" s="27"/>
      <c r="DWY2" s="27"/>
      <c r="DWZ2" s="27"/>
      <c r="DXA2" s="27"/>
      <c r="DXB2" s="27"/>
      <c r="DXC2" s="27"/>
      <c r="DXD2" s="27"/>
      <c r="DXE2" s="27"/>
      <c r="DXF2" s="27"/>
      <c r="DXG2" s="27"/>
      <c r="DXH2" s="27"/>
      <c r="DXI2" s="27"/>
      <c r="DXJ2" s="27"/>
      <c r="DXK2" s="27"/>
      <c r="DXL2" s="27"/>
      <c r="DXM2" s="27"/>
      <c r="DXN2" s="27"/>
      <c r="DXO2" s="27"/>
      <c r="DXP2" s="27"/>
      <c r="DXQ2" s="27"/>
      <c r="DXR2" s="27"/>
      <c r="DXS2" s="27"/>
      <c r="DXT2" s="27"/>
      <c r="DXU2" s="27"/>
      <c r="DXV2" s="27"/>
      <c r="DXW2" s="27"/>
      <c r="DXX2" s="27"/>
      <c r="DXY2" s="27"/>
      <c r="DXZ2" s="27"/>
      <c r="DYA2" s="27"/>
      <c r="DYB2" s="27"/>
      <c r="DYC2" s="27"/>
      <c r="DYD2" s="27"/>
      <c r="DYE2" s="27"/>
      <c r="DYF2" s="27"/>
      <c r="DYG2" s="27"/>
      <c r="DYH2" s="27"/>
      <c r="DYI2" s="27"/>
      <c r="DYJ2" s="27"/>
      <c r="DYK2" s="27"/>
      <c r="DYL2" s="27"/>
      <c r="DYM2" s="27"/>
      <c r="DYN2" s="27"/>
      <c r="DYO2" s="27"/>
      <c r="DYP2" s="27"/>
      <c r="DYQ2" s="27"/>
      <c r="DYR2" s="27"/>
      <c r="DYS2" s="27"/>
      <c r="DYT2" s="27"/>
      <c r="DYU2" s="27"/>
      <c r="DYV2" s="27"/>
      <c r="DYW2" s="27"/>
      <c r="DYX2" s="27"/>
      <c r="DYY2" s="27"/>
      <c r="DYZ2" s="27"/>
      <c r="DZA2" s="27"/>
      <c r="DZB2" s="27"/>
      <c r="DZC2" s="27"/>
      <c r="DZD2" s="27"/>
      <c r="DZE2" s="27"/>
      <c r="DZF2" s="27"/>
      <c r="DZG2" s="27"/>
      <c r="DZH2" s="27"/>
      <c r="DZI2" s="27"/>
      <c r="DZJ2" s="27"/>
      <c r="DZK2" s="27"/>
      <c r="DZL2" s="27"/>
      <c r="DZM2" s="27"/>
      <c r="DZN2" s="27"/>
      <c r="DZO2" s="27"/>
      <c r="DZP2" s="27"/>
      <c r="DZQ2" s="27"/>
      <c r="DZR2" s="27"/>
      <c r="DZS2" s="27"/>
      <c r="DZT2" s="27"/>
      <c r="DZU2" s="27"/>
      <c r="DZV2" s="27"/>
      <c r="DZW2" s="27"/>
      <c r="DZX2" s="27"/>
      <c r="DZY2" s="27"/>
      <c r="DZZ2" s="27"/>
      <c r="EAA2" s="27"/>
      <c r="EAB2" s="27"/>
      <c r="EAC2" s="27"/>
      <c r="EAD2" s="27"/>
      <c r="EAE2" s="27"/>
      <c r="EAF2" s="27"/>
      <c r="EAG2" s="27"/>
      <c r="EAH2" s="27"/>
      <c r="EAI2" s="27"/>
      <c r="EAJ2" s="27"/>
      <c r="EAK2" s="27"/>
      <c r="EAL2" s="27"/>
      <c r="EAM2" s="27"/>
      <c r="EAN2" s="27"/>
      <c r="EAO2" s="27"/>
      <c r="EAP2" s="27"/>
      <c r="EAQ2" s="27"/>
      <c r="EAR2" s="27"/>
      <c r="EAS2" s="27"/>
      <c r="EAT2" s="27"/>
      <c r="EAU2" s="27"/>
      <c r="EAV2" s="27"/>
      <c r="EAW2" s="27"/>
      <c r="EAX2" s="27"/>
      <c r="EAY2" s="27"/>
      <c r="EAZ2" s="27"/>
      <c r="EBA2" s="27"/>
      <c r="EBB2" s="27"/>
      <c r="EBC2" s="27"/>
      <c r="EBD2" s="27"/>
      <c r="EBE2" s="27"/>
      <c r="EBF2" s="27"/>
      <c r="EBG2" s="27"/>
      <c r="EBH2" s="27"/>
      <c r="EBI2" s="27"/>
      <c r="EBJ2" s="27"/>
      <c r="EBK2" s="27"/>
      <c r="EBL2" s="27"/>
      <c r="EBM2" s="27"/>
      <c r="EBN2" s="27"/>
      <c r="EBO2" s="27"/>
      <c r="EBP2" s="27"/>
      <c r="EBQ2" s="27"/>
      <c r="EBR2" s="27"/>
      <c r="EBS2" s="27"/>
      <c r="EBT2" s="27"/>
      <c r="EBU2" s="27"/>
      <c r="EBV2" s="27"/>
      <c r="EBW2" s="27"/>
      <c r="EBX2" s="27"/>
      <c r="EBY2" s="27"/>
      <c r="EBZ2" s="27"/>
      <c r="ECA2" s="27"/>
      <c r="ECB2" s="27"/>
      <c r="ECC2" s="27"/>
      <c r="ECD2" s="27"/>
      <c r="ECE2" s="27"/>
      <c r="ECF2" s="27"/>
      <c r="ECG2" s="27"/>
      <c r="ECH2" s="27"/>
      <c r="ECI2" s="27"/>
      <c r="ECJ2" s="27"/>
      <c r="ECK2" s="27"/>
      <c r="ECL2" s="27"/>
      <c r="ECM2" s="27"/>
      <c r="ECN2" s="27"/>
      <c r="ECO2" s="27"/>
      <c r="ECP2" s="27"/>
      <c r="ECQ2" s="27"/>
      <c r="ECR2" s="27"/>
      <c r="ECS2" s="27"/>
      <c r="ECT2" s="27"/>
      <c r="ECU2" s="27"/>
      <c r="ECV2" s="27"/>
      <c r="ECW2" s="27"/>
      <c r="ECX2" s="27"/>
      <c r="ECY2" s="27"/>
      <c r="ECZ2" s="27"/>
      <c r="EDA2" s="27"/>
      <c r="EDB2" s="27"/>
      <c r="EDC2" s="27"/>
      <c r="EDD2" s="27"/>
      <c r="EDE2" s="27"/>
      <c r="EDF2" s="27"/>
      <c r="EDG2" s="27"/>
      <c r="EDH2" s="27"/>
      <c r="EDI2" s="27"/>
      <c r="EDJ2" s="27"/>
      <c r="EDK2" s="27"/>
      <c r="EDL2" s="27"/>
      <c r="EDM2" s="27"/>
      <c r="EDN2" s="27"/>
      <c r="EDO2" s="27"/>
      <c r="EDP2" s="27"/>
      <c r="EDQ2" s="27"/>
      <c r="EDR2" s="27"/>
      <c r="EDS2" s="27"/>
      <c r="EDT2" s="27"/>
      <c r="EDU2" s="27"/>
      <c r="EDV2" s="27"/>
      <c r="EDW2" s="27"/>
      <c r="EDX2" s="27"/>
      <c r="EDY2" s="27"/>
      <c r="EDZ2" s="27"/>
      <c r="EEA2" s="27"/>
      <c r="EEB2" s="27"/>
      <c r="EEC2" s="27"/>
      <c r="EED2" s="27"/>
      <c r="EEE2" s="27"/>
      <c r="EEF2" s="27"/>
      <c r="EEG2" s="27"/>
      <c r="EEH2" s="27"/>
      <c r="EEI2" s="27"/>
      <c r="EEJ2" s="27"/>
      <c r="EEK2" s="27"/>
      <c r="EEL2" s="27"/>
      <c r="EEM2" s="27"/>
      <c r="EEN2" s="27"/>
      <c r="EEO2" s="27"/>
      <c r="EEP2" s="27"/>
      <c r="EEQ2" s="27"/>
      <c r="EER2" s="27"/>
      <c r="EES2" s="27"/>
      <c r="EET2" s="27"/>
      <c r="EEU2" s="27"/>
      <c r="EEV2" s="27"/>
      <c r="EEW2" s="27"/>
      <c r="EEX2" s="27"/>
      <c r="EEY2" s="27"/>
      <c r="EEZ2" s="27"/>
      <c r="EFA2" s="27"/>
      <c r="EFB2" s="27"/>
      <c r="EFC2" s="27"/>
      <c r="EFD2" s="27"/>
      <c r="EFE2" s="27"/>
      <c r="EFF2" s="27"/>
      <c r="EFG2" s="27"/>
      <c r="EFH2" s="27"/>
      <c r="EFI2" s="27"/>
      <c r="EFJ2" s="27"/>
      <c r="EFK2" s="27"/>
      <c r="EFL2" s="27"/>
      <c r="EFM2" s="27"/>
      <c r="EFN2" s="27"/>
      <c r="EFO2" s="27"/>
      <c r="EFP2" s="27"/>
      <c r="EFQ2" s="27"/>
      <c r="EFR2" s="27"/>
      <c r="EFS2" s="27"/>
      <c r="EFT2" s="27"/>
      <c r="EFU2" s="27"/>
      <c r="EFV2" s="27"/>
      <c r="EFW2" s="27"/>
      <c r="EFX2" s="27"/>
      <c r="EFY2" s="27"/>
      <c r="EFZ2" s="27"/>
      <c r="EGA2" s="27"/>
      <c r="EGB2" s="27"/>
      <c r="EGC2" s="27"/>
      <c r="EGD2" s="27"/>
      <c r="EGE2" s="27"/>
      <c r="EGF2" s="27"/>
      <c r="EGG2" s="27"/>
      <c r="EGH2" s="27"/>
      <c r="EGI2" s="27"/>
      <c r="EGJ2" s="27"/>
      <c r="EGK2" s="27"/>
      <c r="EGL2" s="27"/>
      <c r="EGM2" s="27"/>
      <c r="EGN2" s="27"/>
      <c r="EGO2" s="27"/>
      <c r="EGP2" s="27"/>
      <c r="EGQ2" s="27"/>
      <c r="EGR2" s="27"/>
      <c r="EGS2" s="27"/>
      <c r="EGT2" s="27"/>
      <c r="EGU2" s="27"/>
      <c r="EGV2" s="27"/>
      <c r="EGW2" s="27"/>
      <c r="EGX2" s="27"/>
      <c r="EGY2" s="27"/>
      <c r="EGZ2" s="27"/>
      <c r="EHA2" s="27"/>
      <c r="EHB2" s="27"/>
      <c r="EHC2" s="27"/>
      <c r="EHD2" s="27"/>
      <c r="EHE2" s="27"/>
      <c r="EHF2" s="27"/>
      <c r="EHG2" s="27"/>
      <c r="EHH2" s="27"/>
      <c r="EHI2" s="27"/>
      <c r="EHJ2" s="27"/>
      <c r="EHK2" s="27"/>
      <c r="EHL2" s="27"/>
      <c r="EHM2" s="27"/>
      <c r="EHN2" s="27"/>
      <c r="EHO2" s="27"/>
      <c r="EHP2" s="27"/>
      <c r="EHQ2" s="27"/>
      <c r="EHR2" s="27"/>
      <c r="EHS2" s="27"/>
      <c r="EHT2" s="27"/>
      <c r="EHU2" s="27"/>
      <c r="EHV2" s="27"/>
      <c r="EHW2" s="27"/>
      <c r="EHX2" s="27"/>
      <c r="EHY2" s="27"/>
      <c r="EHZ2" s="27"/>
      <c r="EIA2" s="27"/>
      <c r="EIB2" s="27"/>
      <c r="EIC2" s="27"/>
      <c r="EID2" s="27"/>
      <c r="EIE2" s="27"/>
      <c r="EIF2" s="27"/>
      <c r="EIG2" s="27"/>
      <c r="EIH2" s="27"/>
      <c r="EII2" s="27"/>
      <c r="EIJ2" s="27"/>
      <c r="EIK2" s="27"/>
      <c r="EIL2" s="27"/>
      <c r="EIM2" s="27"/>
      <c r="EIN2" s="27"/>
      <c r="EIO2" s="27"/>
      <c r="EIP2" s="27"/>
      <c r="EIQ2" s="27"/>
      <c r="EIR2" s="27"/>
      <c r="EIS2" s="27"/>
      <c r="EIT2" s="27"/>
      <c r="EIU2" s="27"/>
      <c r="EIV2" s="27"/>
      <c r="EIW2" s="27"/>
      <c r="EIX2" s="27"/>
      <c r="EIY2" s="27"/>
      <c r="EIZ2" s="27"/>
      <c r="EJA2" s="27"/>
      <c r="EJB2" s="27"/>
      <c r="EJC2" s="27"/>
      <c r="EJD2" s="27"/>
      <c r="EJE2" s="27"/>
      <c r="EJF2" s="27"/>
      <c r="EJG2" s="27"/>
      <c r="EJH2" s="27"/>
      <c r="EJI2" s="27"/>
      <c r="EJJ2" s="27"/>
      <c r="EJK2" s="27"/>
      <c r="EJL2" s="27"/>
      <c r="EJM2" s="27"/>
      <c r="EJN2" s="27"/>
      <c r="EJO2" s="27"/>
      <c r="EJP2" s="27"/>
      <c r="EJQ2" s="27"/>
      <c r="EJR2" s="27"/>
      <c r="EJS2" s="27"/>
      <c r="EJT2" s="27"/>
      <c r="EJU2" s="27"/>
      <c r="EJV2" s="27"/>
      <c r="EJW2" s="27"/>
      <c r="EJX2" s="27"/>
      <c r="EJY2" s="27"/>
      <c r="EJZ2" s="27"/>
      <c r="EKA2" s="27"/>
      <c r="EKB2" s="27"/>
      <c r="EKC2" s="27"/>
      <c r="EKD2" s="27"/>
      <c r="EKE2" s="27"/>
      <c r="EKF2" s="27"/>
      <c r="EKG2" s="27"/>
      <c r="EKH2" s="27"/>
      <c r="EKI2" s="27"/>
      <c r="EKJ2" s="27"/>
      <c r="EKK2" s="27"/>
      <c r="EKL2" s="27"/>
      <c r="EKM2" s="27"/>
      <c r="EKN2" s="27"/>
      <c r="EKO2" s="27"/>
      <c r="EKP2" s="27"/>
      <c r="EKQ2" s="27"/>
      <c r="EKR2" s="27"/>
      <c r="EKS2" s="27"/>
      <c r="EKT2" s="27"/>
      <c r="EKU2" s="27"/>
      <c r="EKV2" s="27"/>
      <c r="EKW2" s="27"/>
      <c r="EKX2" s="27"/>
      <c r="EKY2" s="27"/>
      <c r="EKZ2" s="27"/>
      <c r="ELA2" s="27"/>
      <c r="ELB2" s="27"/>
      <c r="ELC2" s="27"/>
      <c r="ELD2" s="27"/>
      <c r="ELE2" s="27"/>
      <c r="ELF2" s="27"/>
      <c r="ELG2" s="27"/>
      <c r="ELH2" s="27"/>
      <c r="ELI2" s="27"/>
      <c r="ELJ2" s="27"/>
      <c r="ELK2" s="27"/>
      <c r="ELL2" s="27"/>
      <c r="ELM2" s="27"/>
      <c r="ELN2" s="27"/>
      <c r="ELO2" s="27"/>
      <c r="ELP2" s="27"/>
      <c r="ELQ2" s="27"/>
      <c r="ELR2" s="27"/>
      <c r="ELS2" s="27"/>
      <c r="ELT2" s="27"/>
      <c r="ELU2" s="27"/>
      <c r="ELV2" s="27"/>
      <c r="ELW2" s="27"/>
      <c r="ELX2" s="27"/>
      <c r="ELY2" s="27"/>
      <c r="ELZ2" s="27"/>
      <c r="EMA2" s="27"/>
      <c r="EMB2" s="27"/>
      <c r="EMC2" s="27"/>
      <c r="EMD2" s="27"/>
      <c r="EME2" s="27"/>
      <c r="EMF2" s="27"/>
      <c r="EMG2" s="27"/>
      <c r="EMH2" s="27"/>
      <c r="EMI2" s="27"/>
      <c r="EMJ2" s="27"/>
      <c r="EMK2" s="27"/>
      <c r="EML2" s="27"/>
      <c r="EMM2" s="27"/>
      <c r="EMN2" s="27"/>
      <c r="EMO2" s="27"/>
      <c r="EMP2" s="27"/>
      <c r="EMQ2" s="27"/>
      <c r="EMR2" s="27"/>
      <c r="EMS2" s="27"/>
      <c r="EMT2" s="27"/>
      <c r="EMU2" s="27"/>
      <c r="EMV2" s="27"/>
      <c r="EMW2" s="27"/>
      <c r="EMX2" s="27"/>
      <c r="EMY2" s="27"/>
      <c r="EMZ2" s="27"/>
      <c r="ENA2" s="27"/>
      <c r="ENB2" s="27"/>
      <c r="ENC2" s="27"/>
      <c r="END2" s="27"/>
      <c r="ENE2" s="27"/>
      <c r="ENF2" s="27"/>
      <c r="ENG2" s="27"/>
      <c r="ENH2" s="27"/>
      <c r="ENI2" s="27"/>
      <c r="ENJ2" s="27"/>
      <c r="ENK2" s="27"/>
      <c r="ENL2" s="27"/>
      <c r="ENM2" s="27"/>
      <c r="ENN2" s="27"/>
      <c r="ENO2" s="27"/>
      <c r="ENP2" s="27"/>
      <c r="ENQ2" s="27"/>
      <c r="ENR2" s="27"/>
      <c r="ENS2" s="27"/>
      <c r="ENT2" s="27"/>
      <c r="ENU2" s="27"/>
      <c r="ENV2" s="27"/>
      <c r="ENW2" s="27"/>
      <c r="ENX2" s="27"/>
      <c r="ENY2" s="27"/>
      <c r="ENZ2" s="27"/>
      <c r="EOA2" s="27"/>
      <c r="EOB2" s="27"/>
      <c r="EOC2" s="27"/>
      <c r="EOD2" s="27"/>
      <c r="EOE2" s="27"/>
      <c r="EOF2" s="27"/>
      <c r="EOG2" s="27"/>
      <c r="EOH2" s="27"/>
      <c r="EOI2" s="27"/>
      <c r="EOJ2" s="27"/>
      <c r="EOK2" s="27"/>
      <c r="EOL2" s="27"/>
      <c r="EOM2" s="27"/>
      <c r="EON2" s="27"/>
      <c r="EOO2" s="27"/>
      <c r="EOP2" s="27"/>
      <c r="EOQ2" s="27"/>
      <c r="EOR2" s="27"/>
      <c r="EOS2" s="27"/>
      <c r="EOT2" s="27"/>
      <c r="EOU2" s="27"/>
      <c r="EOV2" s="27"/>
      <c r="EOW2" s="27"/>
      <c r="EOX2" s="27"/>
      <c r="EOY2" s="27"/>
      <c r="EOZ2" s="27"/>
      <c r="EPA2" s="27"/>
      <c r="EPB2" s="27"/>
      <c r="EPC2" s="27"/>
      <c r="EPD2" s="27"/>
      <c r="EPE2" s="27"/>
      <c r="EPF2" s="27"/>
      <c r="EPG2" s="27"/>
      <c r="EPH2" s="27"/>
      <c r="EPI2" s="27"/>
      <c r="EPJ2" s="27"/>
      <c r="EPK2" s="27"/>
      <c r="EPL2" s="27"/>
      <c r="EPM2" s="27"/>
      <c r="EPN2" s="27"/>
      <c r="EPO2" s="27"/>
      <c r="EPP2" s="27"/>
      <c r="EPQ2" s="27"/>
      <c r="EPR2" s="27"/>
      <c r="EPS2" s="27"/>
      <c r="EPT2" s="27"/>
      <c r="EPU2" s="27"/>
      <c r="EPV2" s="27"/>
      <c r="EPW2" s="27"/>
      <c r="EPX2" s="27"/>
      <c r="EPY2" s="27"/>
      <c r="EPZ2" s="27"/>
      <c r="EQA2" s="27"/>
      <c r="EQB2" s="27"/>
      <c r="EQC2" s="27"/>
      <c r="EQD2" s="27"/>
      <c r="EQE2" s="27"/>
      <c r="EQF2" s="27"/>
      <c r="EQG2" s="27"/>
      <c r="EQH2" s="27"/>
      <c r="EQI2" s="27"/>
      <c r="EQJ2" s="27"/>
      <c r="EQK2" s="27"/>
      <c r="EQL2" s="27"/>
      <c r="EQM2" s="27"/>
      <c r="EQN2" s="27"/>
      <c r="EQO2" s="27"/>
      <c r="EQP2" s="27"/>
      <c r="EQQ2" s="27"/>
      <c r="EQR2" s="27"/>
      <c r="EQS2" s="27"/>
      <c r="EQT2" s="27"/>
      <c r="EQU2" s="27"/>
      <c r="EQV2" s="27"/>
      <c r="EQW2" s="27"/>
      <c r="EQX2" s="27"/>
      <c r="EQY2" s="27"/>
      <c r="EQZ2" s="27"/>
      <c r="ERA2" s="27"/>
      <c r="ERB2" s="27"/>
      <c r="ERC2" s="27"/>
      <c r="ERD2" s="27"/>
      <c r="ERE2" s="27"/>
      <c r="ERF2" s="27"/>
      <c r="ERG2" s="27"/>
      <c r="ERH2" s="27"/>
      <c r="ERI2" s="27"/>
      <c r="ERJ2" s="27"/>
      <c r="ERK2" s="27"/>
      <c r="ERL2" s="27"/>
      <c r="ERM2" s="27"/>
      <c r="ERN2" s="27"/>
      <c r="ERO2" s="27"/>
      <c r="ERP2" s="27"/>
      <c r="ERQ2" s="27"/>
      <c r="ERR2" s="27"/>
      <c r="ERS2" s="27"/>
      <c r="ERT2" s="27"/>
      <c r="ERU2" s="27"/>
      <c r="ERV2" s="27"/>
      <c r="ERW2" s="27"/>
      <c r="ERX2" s="27"/>
      <c r="ERY2" s="27"/>
      <c r="ERZ2" s="27"/>
      <c r="ESA2" s="27"/>
      <c r="ESB2" s="27"/>
      <c r="ESC2" s="27"/>
      <c r="ESD2" s="27"/>
      <c r="ESE2" s="27"/>
      <c r="ESF2" s="27"/>
      <c r="ESG2" s="27"/>
      <c r="ESH2" s="27"/>
      <c r="ESI2" s="27"/>
      <c r="ESJ2" s="27"/>
      <c r="ESK2" s="27"/>
      <c r="ESL2" s="27"/>
      <c r="ESM2" s="27"/>
      <c r="ESN2" s="27"/>
      <c r="ESO2" s="27"/>
      <c r="ESP2" s="27"/>
      <c r="ESQ2" s="27"/>
      <c r="ESR2" s="27"/>
      <c r="ESS2" s="27"/>
      <c r="EST2" s="27"/>
      <c r="ESU2" s="27"/>
      <c r="ESV2" s="27"/>
      <c r="ESW2" s="27"/>
      <c r="ESX2" s="27"/>
      <c r="ESY2" s="27"/>
      <c r="ESZ2" s="27"/>
      <c r="ETA2" s="27"/>
      <c r="ETB2" s="27"/>
      <c r="ETC2" s="27"/>
      <c r="ETD2" s="27"/>
      <c r="ETE2" s="27"/>
      <c r="ETF2" s="27"/>
      <c r="ETG2" s="27"/>
      <c r="ETH2" s="27"/>
      <c r="ETI2" s="27"/>
      <c r="ETJ2" s="27"/>
      <c r="ETK2" s="27"/>
      <c r="ETL2" s="27"/>
      <c r="ETM2" s="27"/>
      <c r="ETN2" s="27"/>
      <c r="ETO2" s="27"/>
      <c r="ETP2" s="27"/>
      <c r="ETQ2" s="27"/>
      <c r="ETR2" s="27"/>
      <c r="ETS2" s="27"/>
      <c r="ETT2" s="27"/>
      <c r="ETU2" s="27"/>
      <c r="ETV2" s="27"/>
      <c r="ETW2" s="27"/>
      <c r="ETX2" s="27"/>
      <c r="ETY2" s="27"/>
      <c r="ETZ2" s="27"/>
      <c r="EUA2" s="27"/>
      <c r="EUB2" s="27"/>
      <c r="EUC2" s="27"/>
      <c r="EUD2" s="27"/>
      <c r="EUE2" s="27"/>
      <c r="EUF2" s="27"/>
      <c r="EUG2" s="27"/>
      <c r="EUH2" s="27"/>
      <c r="EUI2" s="27"/>
      <c r="EUJ2" s="27"/>
      <c r="EUK2" s="27"/>
      <c r="EUL2" s="27"/>
      <c r="EUM2" s="27"/>
      <c r="EUN2" s="27"/>
      <c r="EUO2" s="27"/>
      <c r="EUP2" s="27"/>
      <c r="EUQ2" s="27"/>
      <c r="EUR2" s="27"/>
      <c r="EUS2" s="27"/>
      <c r="EUT2" s="27"/>
      <c r="EUU2" s="27"/>
      <c r="EUV2" s="27"/>
      <c r="EUW2" s="27"/>
      <c r="EUX2" s="27"/>
      <c r="EUY2" s="27"/>
      <c r="EUZ2" s="27"/>
      <c r="EVA2" s="27"/>
      <c r="EVB2" s="27"/>
      <c r="EVC2" s="27"/>
      <c r="EVD2" s="27"/>
      <c r="EVE2" s="27"/>
      <c r="EVF2" s="27"/>
      <c r="EVG2" s="27"/>
      <c r="EVH2" s="27"/>
      <c r="EVI2" s="27"/>
      <c r="EVJ2" s="27"/>
      <c r="EVK2" s="27"/>
      <c r="EVL2" s="27"/>
      <c r="EVM2" s="27"/>
      <c r="EVN2" s="27"/>
      <c r="EVO2" s="27"/>
      <c r="EVP2" s="27"/>
      <c r="EVQ2" s="27"/>
      <c r="EVR2" s="27"/>
      <c r="EVS2" s="27"/>
      <c r="EVT2" s="27"/>
      <c r="EVU2" s="27"/>
      <c r="EVV2" s="27"/>
      <c r="EVW2" s="27"/>
      <c r="EVX2" s="27"/>
      <c r="EVY2" s="27"/>
      <c r="EVZ2" s="27"/>
      <c r="EWA2" s="27"/>
      <c r="EWB2" s="27"/>
      <c r="EWC2" s="27"/>
      <c r="EWD2" s="27"/>
      <c r="EWE2" s="27"/>
      <c r="EWF2" s="27"/>
      <c r="EWG2" s="27"/>
      <c r="EWH2" s="27"/>
      <c r="EWI2" s="27"/>
      <c r="EWJ2" s="27"/>
      <c r="EWK2" s="27"/>
      <c r="EWL2" s="27"/>
      <c r="EWM2" s="27"/>
      <c r="EWN2" s="27"/>
      <c r="EWO2" s="27"/>
      <c r="EWP2" s="27"/>
      <c r="EWQ2" s="27"/>
      <c r="EWR2" s="27"/>
      <c r="EWS2" s="27"/>
      <c r="EWT2" s="27"/>
      <c r="EWU2" s="27"/>
      <c r="EWV2" s="27"/>
      <c r="EWW2" s="27"/>
      <c r="EWX2" s="27"/>
      <c r="EWY2" s="27"/>
      <c r="EWZ2" s="27"/>
      <c r="EXA2" s="27"/>
      <c r="EXB2" s="27"/>
      <c r="EXC2" s="27"/>
      <c r="EXD2" s="27"/>
      <c r="EXE2" s="27"/>
      <c r="EXF2" s="27"/>
      <c r="EXG2" s="27"/>
      <c r="EXH2" s="27"/>
      <c r="EXI2" s="27"/>
      <c r="EXJ2" s="27"/>
      <c r="EXK2" s="27"/>
      <c r="EXL2" s="27"/>
      <c r="EXM2" s="27"/>
      <c r="EXN2" s="27"/>
      <c r="EXO2" s="27"/>
      <c r="EXP2" s="27"/>
      <c r="EXQ2" s="27"/>
      <c r="EXR2" s="27"/>
      <c r="EXS2" s="27"/>
      <c r="EXT2" s="27"/>
      <c r="EXU2" s="27"/>
      <c r="EXV2" s="27"/>
      <c r="EXW2" s="27"/>
      <c r="EXX2" s="27"/>
      <c r="EXY2" s="27"/>
      <c r="EXZ2" s="27"/>
      <c r="EYA2" s="27"/>
      <c r="EYB2" s="27"/>
      <c r="EYC2" s="27"/>
      <c r="EYD2" s="27"/>
      <c r="EYE2" s="27"/>
      <c r="EYF2" s="27"/>
      <c r="EYG2" s="27"/>
      <c r="EYH2" s="27"/>
      <c r="EYI2" s="27"/>
      <c r="EYJ2" s="27"/>
      <c r="EYK2" s="27"/>
      <c r="EYL2" s="27"/>
      <c r="EYM2" s="27"/>
      <c r="EYN2" s="27"/>
      <c r="EYO2" s="27"/>
      <c r="EYP2" s="27"/>
      <c r="EYQ2" s="27"/>
      <c r="EYR2" s="27"/>
      <c r="EYS2" s="27"/>
      <c r="EYT2" s="27"/>
      <c r="EYU2" s="27"/>
      <c r="EYV2" s="27"/>
      <c r="EYW2" s="27"/>
      <c r="EYX2" s="27"/>
      <c r="EYY2" s="27"/>
      <c r="EYZ2" s="27"/>
      <c r="EZA2" s="27"/>
      <c r="EZB2" s="27"/>
      <c r="EZC2" s="27"/>
      <c r="EZD2" s="27"/>
      <c r="EZE2" s="27"/>
      <c r="EZF2" s="27"/>
      <c r="EZG2" s="27"/>
      <c r="EZH2" s="27"/>
      <c r="EZI2" s="27"/>
      <c r="EZJ2" s="27"/>
      <c r="EZK2" s="27"/>
      <c r="EZL2" s="27"/>
      <c r="EZM2" s="27"/>
      <c r="EZN2" s="27"/>
      <c r="EZO2" s="27"/>
      <c r="EZP2" s="27"/>
      <c r="EZQ2" s="27"/>
      <c r="EZR2" s="27"/>
      <c r="EZS2" s="27"/>
      <c r="EZT2" s="27"/>
      <c r="EZU2" s="27"/>
      <c r="EZV2" s="27"/>
      <c r="EZW2" s="27"/>
      <c r="EZX2" s="27"/>
      <c r="EZY2" s="27"/>
      <c r="EZZ2" s="27"/>
      <c r="FAA2" s="27"/>
      <c r="FAB2" s="27"/>
      <c r="FAC2" s="27"/>
      <c r="FAD2" s="27"/>
      <c r="FAE2" s="27"/>
      <c r="FAF2" s="27"/>
      <c r="FAG2" s="27"/>
      <c r="FAH2" s="27"/>
      <c r="FAI2" s="27"/>
      <c r="FAJ2" s="27"/>
      <c r="FAK2" s="27"/>
      <c r="FAL2" s="27"/>
      <c r="FAM2" s="27"/>
      <c r="FAN2" s="27"/>
      <c r="FAO2" s="27"/>
      <c r="FAP2" s="27"/>
      <c r="FAQ2" s="27"/>
      <c r="FAR2" s="27"/>
      <c r="FAS2" s="27"/>
      <c r="FAT2" s="27"/>
      <c r="FAU2" s="27"/>
      <c r="FAV2" s="27"/>
      <c r="FAW2" s="27"/>
      <c r="FAX2" s="27"/>
      <c r="FAY2" s="27"/>
      <c r="FAZ2" s="27"/>
      <c r="FBA2" s="27"/>
      <c r="FBB2" s="27"/>
      <c r="FBC2" s="27"/>
      <c r="FBD2" s="27"/>
      <c r="FBE2" s="27"/>
      <c r="FBF2" s="27"/>
      <c r="FBG2" s="27"/>
      <c r="FBH2" s="27"/>
      <c r="FBI2" s="27"/>
      <c r="FBJ2" s="27"/>
      <c r="FBK2" s="27"/>
      <c r="FBL2" s="27"/>
      <c r="FBM2" s="27"/>
      <c r="FBN2" s="27"/>
      <c r="FBO2" s="27"/>
      <c r="FBP2" s="27"/>
      <c r="FBQ2" s="27"/>
      <c r="FBR2" s="27"/>
      <c r="FBS2" s="27"/>
      <c r="FBT2" s="27"/>
      <c r="FBU2" s="27"/>
      <c r="FBV2" s="27"/>
      <c r="FBW2" s="27"/>
      <c r="FBX2" s="27"/>
      <c r="FBY2" s="27"/>
      <c r="FBZ2" s="27"/>
      <c r="FCA2" s="27"/>
      <c r="FCB2" s="27"/>
      <c r="FCC2" s="27"/>
      <c r="FCD2" s="27"/>
      <c r="FCE2" s="27"/>
      <c r="FCF2" s="27"/>
      <c r="FCG2" s="27"/>
      <c r="FCH2" s="27"/>
      <c r="FCI2" s="27"/>
      <c r="FCJ2" s="27"/>
      <c r="FCK2" s="27"/>
      <c r="FCL2" s="27"/>
      <c r="FCM2" s="27"/>
      <c r="FCN2" s="27"/>
      <c r="FCO2" s="27"/>
      <c r="FCP2" s="27"/>
      <c r="FCQ2" s="27"/>
      <c r="FCR2" s="27"/>
      <c r="FCS2" s="27"/>
      <c r="FCT2" s="27"/>
      <c r="FCU2" s="27"/>
      <c r="FCV2" s="27"/>
      <c r="FCW2" s="27"/>
      <c r="FCX2" s="27"/>
      <c r="FCY2" s="27"/>
      <c r="FCZ2" s="27"/>
      <c r="FDA2" s="27"/>
      <c r="FDB2" s="27"/>
      <c r="FDC2" s="27"/>
      <c r="FDD2" s="27"/>
      <c r="FDE2" s="27"/>
      <c r="FDF2" s="27"/>
      <c r="FDG2" s="27"/>
      <c r="FDH2" s="27"/>
      <c r="FDI2" s="27"/>
      <c r="FDJ2" s="27"/>
      <c r="FDK2" s="27"/>
      <c r="FDL2" s="27"/>
      <c r="FDM2" s="27"/>
      <c r="FDN2" s="27"/>
      <c r="FDO2" s="27"/>
      <c r="FDP2" s="27"/>
      <c r="FDQ2" s="27"/>
      <c r="FDR2" s="27"/>
      <c r="FDS2" s="27"/>
      <c r="FDT2" s="27"/>
      <c r="FDU2" s="27"/>
      <c r="FDV2" s="27"/>
      <c r="FDW2" s="27"/>
      <c r="FDX2" s="27"/>
      <c r="FDY2" s="27"/>
      <c r="FDZ2" s="27"/>
      <c r="FEA2" s="27"/>
      <c r="FEB2" s="27"/>
      <c r="FEC2" s="27"/>
      <c r="FED2" s="27"/>
      <c r="FEE2" s="27"/>
      <c r="FEF2" s="27"/>
      <c r="FEG2" s="27"/>
      <c r="FEH2" s="27"/>
      <c r="FEI2" s="27"/>
      <c r="FEJ2" s="27"/>
      <c r="FEK2" s="27"/>
      <c r="FEL2" s="27"/>
      <c r="FEM2" s="27"/>
      <c r="FEN2" s="27"/>
      <c r="FEO2" s="27"/>
      <c r="FEP2" s="27"/>
      <c r="FEQ2" s="27"/>
      <c r="FER2" s="27"/>
      <c r="FES2" s="27"/>
      <c r="FET2" s="27"/>
      <c r="FEU2" s="27"/>
      <c r="FEV2" s="27"/>
      <c r="FEW2" s="27"/>
      <c r="FEX2" s="27"/>
      <c r="FEY2" s="27"/>
      <c r="FEZ2" s="27"/>
      <c r="FFA2" s="27"/>
      <c r="FFB2" s="27"/>
      <c r="FFC2" s="27"/>
      <c r="FFD2" s="27"/>
      <c r="FFE2" s="27"/>
      <c r="FFF2" s="27"/>
      <c r="FFG2" s="27"/>
      <c r="FFH2" s="27"/>
      <c r="FFI2" s="27"/>
      <c r="FFJ2" s="27"/>
      <c r="FFK2" s="27"/>
      <c r="FFL2" s="27"/>
      <c r="FFM2" s="27"/>
      <c r="FFN2" s="27"/>
      <c r="FFO2" s="27"/>
      <c r="FFP2" s="27"/>
      <c r="FFQ2" s="27"/>
      <c r="FFR2" s="27"/>
      <c r="FFS2" s="27"/>
      <c r="FFT2" s="27"/>
      <c r="FFU2" s="27"/>
      <c r="FFV2" s="27"/>
      <c r="FFW2" s="27"/>
      <c r="FFX2" s="27"/>
      <c r="FFY2" s="27"/>
      <c r="FFZ2" s="27"/>
      <c r="FGA2" s="27"/>
      <c r="FGB2" s="27"/>
      <c r="FGC2" s="27"/>
      <c r="FGD2" s="27"/>
      <c r="FGE2" s="27"/>
      <c r="FGF2" s="27"/>
      <c r="FGG2" s="27"/>
      <c r="FGH2" s="27"/>
      <c r="FGI2" s="27"/>
      <c r="FGJ2" s="27"/>
      <c r="FGK2" s="27"/>
      <c r="FGL2" s="27"/>
      <c r="FGM2" s="27"/>
      <c r="FGN2" s="27"/>
      <c r="FGO2" s="27"/>
      <c r="FGP2" s="27"/>
      <c r="FGQ2" s="27"/>
      <c r="FGR2" s="27"/>
      <c r="FGS2" s="27"/>
      <c r="FGT2" s="27"/>
      <c r="FGU2" s="27"/>
      <c r="FGV2" s="27"/>
      <c r="FGW2" s="27"/>
      <c r="FGX2" s="27"/>
      <c r="FGY2" s="27"/>
      <c r="FGZ2" s="27"/>
      <c r="FHA2" s="27"/>
      <c r="FHB2" s="27"/>
      <c r="FHC2" s="27"/>
      <c r="FHD2" s="27"/>
      <c r="FHE2" s="27"/>
      <c r="FHF2" s="27"/>
      <c r="FHG2" s="27"/>
      <c r="FHH2" s="27"/>
      <c r="FHI2" s="27"/>
      <c r="FHJ2" s="27"/>
      <c r="FHK2" s="27"/>
      <c r="FHL2" s="27"/>
      <c r="FHM2" s="27"/>
      <c r="FHN2" s="27"/>
      <c r="FHO2" s="27"/>
      <c r="FHP2" s="27"/>
      <c r="FHQ2" s="27"/>
      <c r="FHR2" s="27"/>
      <c r="FHS2" s="27"/>
      <c r="FHT2" s="27"/>
      <c r="FHU2" s="27"/>
      <c r="FHV2" s="27"/>
      <c r="FHW2" s="27"/>
      <c r="FHX2" s="27"/>
      <c r="FHY2" s="27"/>
      <c r="FHZ2" s="27"/>
      <c r="FIA2" s="27"/>
      <c r="FIB2" s="27"/>
      <c r="FIC2" s="27"/>
      <c r="FID2" s="27"/>
      <c r="FIE2" s="27"/>
      <c r="FIF2" s="27"/>
      <c r="FIG2" s="27"/>
      <c r="FIH2" s="27"/>
      <c r="FII2" s="27"/>
      <c r="FIJ2" s="27"/>
      <c r="FIK2" s="27"/>
      <c r="FIL2" s="27"/>
      <c r="FIM2" s="27"/>
      <c r="FIN2" s="27"/>
      <c r="FIO2" s="27"/>
      <c r="FIP2" s="27"/>
      <c r="FIQ2" s="27"/>
      <c r="FIR2" s="27"/>
      <c r="FIS2" s="27"/>
      <c r="FIT2" s="27"/>
      <c r="FIU2" s="27"/>
      <c r="FIV2" s="27"/>
      <c r="FIW2" s="27"/>
      <c r="FIX2" s="27"/>
      <c r="FIY2" s="27"/>
      <c r="FIZ2" s="27"/>
      <c r="FJA2" s="27"/>
      <c r="FJB2" s="27"/>
      <c r="FJC2" s="27"/>
      <c r="FJD2" s="27"/>
      <c r="FJE2" s="27"/>
      <c r="FJF2" s="27"/>
      <c r="FJG2" s="27"/>
      <c r="FJH2" s="27"/>
      <c r="FJI2" s="27"/>
      <c r="FJJ2" s="27"/>
      <c r="FJK2" s="27"/>
      <c r="FJL2" s="27"/>
      <c r="FJM2" s="27"/>
      <c r="FJN2" s="27"/>
      <c r="FJO2" s="27"/>
      <c r="FJP2" s="27"/>
      <c r="FJQ2" s="27"/>
      <c r="FJR2" s="27"/>
      <c r="FJS2" s="27"/>
      <c r="FJT2" s="27"/>
      <c r="FJU2" s="27"/>
      <c r="FJV2" s="27"/>
      <c r="FJW2" s="27"/>
      <c r="FJX2" s="27"/>
      <c r="FJY2" s="27"/>
      <c r="FJZ2" s="27"/>
      <c r="FKA2" s="27"/>
      <c r="FKB2" s="27"/>
      <c r="FKC2" s="27"/>
      <c r="FKD2" s="27"/>
      <c r="FKE2" s="27"/>
      <c r="FKF2" s="27"/>
      <c r="FKG2" s="27"/>
      <c r="FKH2" s="27"/>
      <c r="FKI2" s="27"/>
      <c r="FKJ2" s="27"/>
      <c r="FKK2" s="27"/>
      <c r="FKL2" s="27"/>
      <c r="FKM2" s="27"/>
      <c r="FKN2" s="27"/>
      <c r="FKO2" s="27"/>
      <c r="FKP2" s="27"/>
      <c r="FKQ2" s="27"/>
      <c r="FKR2" s="27"/>
      <c r="FKS2" s="27"/>
      <c r="FKT2" s="27"/>
      <c r="FKU2" s="27"/>
      <c r="FKV2" s="27"/>
      <c r="FKW2" s="27"/>
      <c r="FKX2" s="27"/>
      <c r="FKY2" s="27"/>
      <c r="FKZ2" s="27"/>
      <c r="FLA2" s="27"/>
      <c r="FLB2" s="27"/>
      <c r="FLC2" s="27"/>
      <c r="FLD2" s="27"/>
      <c r="FLE2" s="27"/>
      <c r="FLF2" s="27"/>
      <c r="FLG2" s="27"/>
      <c r="FLH2" s="27"/>
      <c r="FLI2" s="27"/>
      <c r="FLJ2" s="27"/>
      <c r="FLK2" s="27"/>
      <c r="FLL2" s="27"/>
      <c r="FLM2" s="27"/>
      <c r="FLN2" s="27"/>
      <c r="FLO2" s="27"/>
      <c r="FLP2" s="27"/>
      <c r="FLQ2" s="27"/>
      <c r="FLR2" s="27"/>
      <c r="FLS2" s="27"/>
      <c r="FLT2" s="27"/>
      <c r="FLU2" s="27"/>
      <c r="FLV2" s="27"/>
      <c r="FLW2" s="27"/>
      <c r="FLX2" s="27"/>
      <c r="FLY2" s="27"/>
      <c r="FLZ2" s="27"/>
      <c r="FMA2" s="27"/>
      <c r="FMB2" s="27"/>
      <c r="FMC2" s="27"/>
      <c r="FMD2" s="27"/>
      <c r="FME2" s="27"/>
      <c r="FMF2" s="27"/>
      <c r="FMG2" s="27"/>
      <c r="FMH2" s="27"/>
      <c r="FMI2" s="27"/>
      <c r="FMJ2" s="27"/>
      <c r="FMK2" s="27"/>
      <c r="FML2" s="27"/>
      <c r="FMM2" s="27"/>
      <c r="FMN2" s="27"/>
      <c r="FMO2" s="27"/>
      <c r="FMP2" s="27"/>
      <c r="FMQ2" s="27"/>
      <c r="FMR2" s="27"/>
      <c r="FMS2" s="27"/>
      <c r="FMT2" s="27"/>
      <c r="FMU2" s="27"/>
      <c r="FMV2" s="27"/>
      <c r="FMW2" s="27"/>
      <c r="FMX2" s="27"/>
      <c r="FMY2" s="27"/>
      <c r="FMZ2" s="27"/>
      <c r="FNA2" s="27"/>
      <c r="FNB2" s="27"/>
      <c r="FNC2" s="27"/>
      <c r="FND2" s="27"/>
      <c r="FNE2" s="27"/>
      <c r="FNF2" s="27"/>
      <c r="FNG2" s="27"/>
      <c r="FNH2" s="27"/>
      <c r="FNI2" s="27"/>
      <c r="FNJ2" s="27"/>
      <c r="FNK2" s="27"/>
      <c r="FNL2" s="27"/>
      <c r="FNM2" s="27"/>
      <c r="FNN2" s="27"/>
      <c r="FNO2" s="27"/>
      <c r="FNP2" s="27"/>
      <c r="FNQ2" s="27"/>
      <c r="FNR2" s="27"/>
      <c r="FNS2" s="27"/>
      <c r="FNT2" s="27"/>
      <c r="FNU2" s="27"/>
      <c r="FNV2" s="27"/>
      <c r="FNW2" s="27"/>
      <c r="FNX2" s="27"/>
      <c r="FNY2" s="27"/>
      <c r="FNZ2" s="27"/>
      <c r="FOA2" s="27"/>
      <c r="FOB2" s="27"/>
      <c r="FOC2" s="27"/>
      <c r="FOD2" s="27"/>
      <c r="FOE2" s="27"/>
      <c r="FOF2" s="27"/>
      <c r="FOG2" s="27"/>
      <c r="FOH2" s="27"/>
      <c r="FOI2" s="27"/>
      <c r="FOJ2" s="27"/>
      <c r="FOK2" s="27"/>
      <c r="FOL2" s="27"/>
      <c r="FOM2" s="27"/>
      <c r="FON2" s="27"/>
      <c r="FOO2" s="27"/>
      <c r="FOP2" s="27"/>
      <c r="FOQ2" s="27"/>
      <c r="FOR2" s="27"/>
      <c r="FOS2" s="27"/>
      <c r="FOT2" s="27"/>
      <c r="FOU2" s="27"/>
      <c r="FOV2" s="27"/>
      <c r="FOW2" s="27"/>
      <c r="FOX2" s="27"/>
      <c r="FOY2" s="27"/>
      <c r="FOZ2" s="27"/>
      <c r="FPA2" s="27"/>
      <c r="FPB2" s="27"/>
      <c r="FPC2" s="27"/>
      <c r="FPD2" s="27"/>
      <c r="FPE2" s="27"/>
      <c r="FPF2" s="27"/>
      <c r="FPG2" s="27"/>
      <c r="FPH2" s="27"/>
      <c r="FPI2" s="27"/>
      <c r="FPJ2" s="27"/>
      <c r="FPK2" s="27"/>
      <c r="FPL2" s="27"/>
      <c r="FPM2" s="27"/>
      <c r="FPN2" s="27"/>
      <c r="FPO2" s="27"/>
      <c r="FPP2" s="27"/>
      <c r="FPQ2" s="27"/>
      <c r="FPR2" s="27"/>
      <c r="FPS2" s="27"/>
      <c r="FPT2" s="27"/>
      <c r="FPU2" s="27"/>
      <c r="FPV2" s="27"/>
      <c r="FPW2" s="27"/>
      <c r="FPX2" s="27"/>
      <c r="FPY2" s="27"/>
      <c r="FPZ2" s="27"/>
      <c r="FQA2" s="27"/>
      <c r="FQB2" s="27"/>
      <c r="FQC2" s="27"/>
      <c r="FQD2" s="27"/>
      <c r="FQE2" s="27"/>
      <c r="FQF2" s="27"/>
      <c r="FQG2" s="27"/>
      <c r="FQH2" s="27"/>
      <c r="FQI2" s="27"/>
      <c r="FQJ2" s="27"/>
      <c r="FQK2" s="27"/>
      <c r="FQL2" s="27"/>
      <c r="FQM2" s="27"/>
      <c r="FQN2" s="27"/>
      <c r="FQO2" s="27"/>
      <c r="FQP2" s="27"/>
      <c r="FQQ2" s="27"/>
      <c r="FQR2" s="27"/>
      <c r="FQS2" s="27"/>
      <c r="FQT2" s="27"/>
      <c r="FQU2" s="27"/>
      <c r="FQV2" s="27"/>
      <c r="FQW2" s="27"/>
      <c r="FQX2" s="27"/>
      <c r="FQY2" s="27"/>
      <c r="FQZ2" s="27"/>
      <c r="FRA2" s="27"/>
      <c r="FRB2" s="27"/>
      <c r="FRC2" s="27"/>
      <c r="FRD2" s="27"/>
      <c r="FRE2" s="27"/>
      <c r="FRF2" s="27"/>
      <c r="FRG2" s="27"/>
      <c r="FRH2" s="27"/>
      <c r="FRI2" s="27"/>
      <c r="FRJ2" s="27"/>
      <c r="FRK2" s="27"/>
      <c r="FRL2" s="27"/>
      <c r="FRM2" s="27"/>
      <c r="FRN2" s="27"/>
      <c r="FRO2" s="27"/>
      <c r="FRP2" s="27"/>
      <c r="FRQ2" s="27"/>
      <c r="FRR2" s="27"/>
      <c r="FRS2" s="27"/>
      <c r="FRT2" s="27"/>
      <c r="FRU2" s="27"/>
      <c r="FRV2" s="27"/>
      <c r="FRW2" s="27"/>
      <c r="FRX2" s="27"/>
      <c r="FRY2" s="27"/>
      <c r="FRZ2" s="27"/>
      <c r="FSA2" s="27"/>
      <c r="FSB2" s="27"/>
      <c r="FSC2" s="27"/>
      <c r="FSD2" s="27"/>
      <c r="FSE2" s="27"/>
      <c r="FSF2" s="27"/>
      <c r="FSG2" s="27"/>
      <c r="FSH2" s="27"/>
      <c r="FSI2" s="27"/>
      <c r="FSJ2" s="27"/>
      <c r="FSK2" s="27"/>
      <c r="FSL2" s="27"/>
      <c r="FSM2" s="27"/>
      <c r="FSN2" s="27"/>
      <c r="FSO2" s="27"/>
      <c r="FSP2" s="27"/>
      <c r="FSQ2" s="27"/>
      <c r="FSR2" s="27"/>
      <c r="FSS2" s="27"/>
      <c r="FST2" s="27"/>
      <c r="FSU2" s="27"/>
      <c r="FSV2" s="27"/>
      <c r="FSW2" s="27"/>
      <c r="FSX2" s="27"/>
      <c r="FSY2" s="27"/>
      <c r="FSZ2" s="27"/>
      <c r="FTA2" s="27"/>
      <c r="FTB2" s="27"/>
      <c r="FTC2" s="27"/>
      <c r="FTD2" s="27"/>
      <c r="FTE2" s="27"/>
      <c r="FTF2" s="27"/>
      <c r="FTG2" s="27"/>
      <c r="FTH2" s="27"/>
      <c r="FTI2" s="27"/>
      <c r="FTJ2" s="27"/>
      <c r="FTK2" s="27"/>
      <c r="FTL2" s="27"/>
      <c r="FTM2" s="27"/>
      <c r="FTN2" s="27"/>
      <c r="FTO2" s="27"/>
      <c r="FTP2" s="27"/>
      <c r="FTQ2" s="27"/>
      <c r="FTR2" s="27"/>
      <c r="FTS2" s="27"/>
      <c r="FTT2" s="27"/>
      <c r="FTU2" s="27"/>
      <c r="FTV2" s="27"/>
      <c r="FTW2" s="27"/>
      <c r="FTX2" s="27"/>
      <c r="FTY2" s="27"/>
      <c r="FTZ2" s="27"/>
      <c r="FUA2" s="27"/>
      <c r="FUB2" s="27"/>
      <c r="FUC2" s="27"/>
      <c r="FUD2" s="27"/>
      <c r="FUE2" s="27"/>
      <c r="FUF2" s="27"/>
      <c r="FUG2" s="27"/>
      <c r="FUH2" s="27"/>
      <c r="FUI2" s="27"/>
      <c r="FUJ2" s="27"/>
      <c r="FUK2" s="27"/>
      <c r="FUL2" s="27"/>
      <c r="FUM2" s="27"/>
      <c r="FUN2" s="27"/>
      <c r="FUO2" s="27"/>
      <c r="FUP2" s="27"/>
      <c r="FUQ2" s="27"/>
      <c r="FUR2" s="27"/>
      <c r="FUS2" s="27"/>
      <c r="FUT2" s="27"/>
      <c r="FUU2" s="27"/>
      <c r="FUV2" s="27"/>
      <c r="FUW2" s="27"/>
      <c r="FUX2" s="27"/>
      <c r="FUY2" s="27"/>
      <c r="FUZ2" s="27"/>
      <c r="FVA2" s="27"/>
      <c r="FVB2" s="27"/>
      <c r="FVC2" s="27"/>
      <c r="FVD2" s="27"/>
      <c r="FVE2" s="27"/>
      <c r="FVF2" s="27"/>
      <c r="FVG2" s="27"/>
      <c r="FVH2" s="27"/>
      <c r="FVI2" s="27"/>
      <c r="FVJ2" s="27"/>
      <c r="FVK2" s="27"/>
      <c r="FVL2" s="27"/>
      <c r="FVM2" s="27"/>
      <c r="FVN2" s="27"/>
      <c r="FVO2" s="27"/>
      <c r="FVP2" s="27"/>
      <c r="FVQ2" s="27"/>
      <c r="FVR2" s="27"/>
      <c r="FVS2" s="27"/>
      <c r="FVT2" s="27"/>
      <c r="FVU2" s="27"/>
      <c r="FVV2" s="27"/>
      <c r="FVW2" s="27"/>
      <c r="FVX2" s="27"/>
      <c r="FVY2" s="27"/>
      <c r="FVZ2" s="27"/>
      <c r="FWA2" s="27"/>
      <c r="FWB2" s="27"/>
      <c r="FWC2" s="27"/>
      <c r="FWD2" s="27"/>
      <c r="FWE2" s="27"/>
      <c r="FWF2" s="27"/>
      <c r="FWG2" s="27"/>
      <c r="FWH2" s="27"/>
      <c r="FWI2" s="27"/>
      <c r="FWJ2" s="27"/>
      <c r="FWK2" s="27"/>
      <c r="FWL2" s="27"/>
      <c r="FWM2" s="27"/>
      <c r="FWN2" s="27"/>
      <c r="FWO2" s="27"/>
      <c r="FWP2" s="27"/>
      <c r="FWQ2" s="27"/>
      <c r="FWR2" s="27"/>
      <c r="FWS2" s="27"/>
      <c r="FWT2" s="27"/>
      <c r="FWU2" s="27"/>
      <c r="FWV2" s="27"/>
      <c r="FWW2" s="27"/>
      <c r="FWX2" s="27"/>
      <c r="FWY2" s="27"/>
      <c r="FWZ2" s="27"/>
      <c r="FXA2" s="27"/>
      <c r="FXB2" s="27"/>
      <c r="FXC2" s="27"/>
      <c r="FXD2" s="27"/>
      <c r="FXE2" s="27"/>
      <c r="FXF2" s="27"/>
      <c r="FXG2" s="27"/>
      <c r="FXH2" s="27"/>
      <c r="FXI2" s="27"/>
      <c r="FXJ2" s="27"/>
      <c r="FXK2" s="27"/>
      <c r="FXL2" s="27"/>
      <c r="FXM2" s="27"/>
      <c r="FXN2" s="27"/>
      <c r="FXO2" s="27"/>
      <c r="FXP2" s="27"/>
      <c r="FXQ2" s="27"/>
      <c r="FXR2" s="27"/>
      <c r="FXS2" s="27"/>
      <c r="FXT2" s="27"/>
      <c r="FXU2" s="27"/>
      <c r="FXV2" s="27"/>
      <c r="FXW2" s="27"/>
      <c r="FXX2" s="27"/>
      <c r="FXY2" s="27"/>
      <c r="FXZ2" s="27"/>
      <c r="FYA2" s="27"/>
      <c r="FYB2" s="27"/>
      <c r="FYC2" s="27"/>
      <c r="FYD2" s="27"/>
      <c r="FYE2" s="27"/>
      <c r="FYF2" s="27"/>
      <c r="FYG2" s="27"/>
      <c r="FYH2" s="27"/>
      <c r="FYI2" s="27"/>
      <c r="FYJ2" s="27"/>
      <c r="FYK2" s="27"/>
      <c r="FYL2" s="27"/>
      <c r="FYM2" s="27"/>
      <c r="FYN2" s="27"/>
      <c r="FYO2" s="27"/>
      <c r="FYP2" s="27"/>
      <c r="FYQ2" s="27"/>
      <c r="FYR2" s="27"/>
      <c r="FYS2" s="27"/>
      <c r="FYT2" s="27"/>
      <c r="FYU2" s="27"/>
      <c r="FYV2" s="27"/>
      <c r="FYW2" s="27"/>
      <c r="FYX2" s="27"/>
      <c r="FYY2" s="27"/>
      <c r="FYZ2" s="27"/>
      <c r="FZA2" s="27"/>
      <c r="FZB2" s="27"/>
      <c r="FZC2" s="27"/>
      <c r="FZD2" s="27"/>
      <c r="FZE2" s="27"/>
      <c r="FZF2" s="27"/>
      <c r="FZG2" s="27"/>
      <c r="FZH2" s="27"/>
      <c r="FZI2" s="27"/>
      <c r="FZJ2" s="27"/>
      <c r="FZK2" s="27"/>
      <c r="FZL2" s="27"/>
      <c r="FZM2" s="27"/>
      <c r="FZN2" s="27"/>
      <c r="FZO2" s="27"/>
      <c r="FZP2" s="27"/>
      <c r="FZQ2" s="27"/>
      <c r="FZR2" s="27"/>
      <c r="FZS2" s="27"/>
      <c r="FZT2" s="27"/>
      <c r="FZU2" s="27"/>
      <c r="FZV2" s="27"/>
      <c r="FZW2" s="27"/>
      <c r="FZX2" s="27"/>
      <c r="FZY2" s="27"/>
      <c r="FZZ2" s="27"/>
      <c r="GAA2" s="27"/>
      <c r="GAB2" s="27"/>
      <c r="GAC2" s="27"/>
      <c r="GAD2" s="27"/>
      <c r="GAE2" s="27"/>
      <c r="GAF2" s="27"/>
      <c r="GAG2" s="27"/>
      <c r="GAH2" s="27"/>
      <c r="GAI2" s="27"/>
      <c r="GAJ2" s="27"/>
      <c r="GAK2" s="27"/>
      <c r="GAL2" s="27"/>
      <c r="GAM2" s="27"/>
      <c r="GAN2" s="27"/>
      <c r="GAO2" s="27"/>
      <c r="GAP2" s="27"/>
      <c r="GAQ2" s="27"/>
      <c r="GAR2" s="27"/>
      <c r="GAS2" s="27"/>
      <c r="GAT2" s="27"/>
      <c r="GAU2" s="27"/>
      <c r="GAV2" s="27"/>
      <c r="GAW2" s="27"/>
      <c r="GAX2" s="27"/>
      <c r="GAY2" s="27"/>
      <c r="GAZ2" s="27"/>
      <c r="GBA2" s="27"/>
      <c r="GBB2" s="27"/>
      <c r="GBC2" s="27"/>
      <c r="GBD2" s="27"/>
      <c r="GBE2" s="27"/>
      <c r="GBF2" s="27"/>
      <c r="GBG2" s="27"/>
      <c r="GBH2" s="27"/>
      <c r="GBI2" s="27"/>
      <c r="GBJ2" s="27"/>
      <c r="GBK2" s="27"/>
      <c r="GBL2" s="27"/>
      <c r="GBM2" s="27"/>
      <c r="GBN2" s="27"/>
      <c r="GBO2" s="27"/>
      <c r="GBP2" s="27"/>
      <c r="GBQ2" s="27"/>
      <c r="GBR2" s="27"/>
      <c r="GBS2" s="27"/>
      <c r="GBT2" s="27"/>
      <c r="GBU2" s="27"/>
      <c r="GBV2" s="27"/>
      <c r="GBW2" s="27"/>
      <c r="GBX2" s="27"/>
      <c r="GBY2" s="27"/>
      <c r="GBZ2" s="27"/>
      <c r="GCA2" s="27"/>
      <c r="GCB2" s="27"/>
      <c r="GCC2" s="27"/>
      <c r="GCD2" s="27"/>
      <c r="GCE2" s="27"/>
      <c r="GCF2" s="27"/>
      <c r="GCG2" s="27"/>
      <c r="GCH2" s="27"/>
      <c r="GCI2" s="27"/>
      <c r="GCJ2" s="27"/>
      <c r="GCK2" s="27"/>
      <c r="GCL2" s="27"/>
      <c r="GCM2" s="27"/>
      <c r="GCN2" s="27"/>
      <c r="GCO2" s="27"/>
      <c r="GCP2" s="27"/>
      <c r="GCQ2" s="27"/>
      <c r="GCR2" s="27"/>
      <c r="GCS2" s="27"/>
      <c r="GCT2" s="27"/>
      <c r="GCU2" s="27"/>
      <c r="GCV2" s="27"/>
      <c r="GCW2" s="27"/>
      <c r="GCX2" s="27"/>
      <c r="GCY2" s="27"/>
      <c r="GCZ2" s="27"/>
      <c r="GDA2" s="27"/>
      <c r="GDB2" s="27"/>
      <c r="GDC2" s="27"/>
      <c r="GDD2" s="27"/>
      <c r="GDE2" s="27"/>
      <c r="GDF2" s="27"/>
      <c r="GDG2" s="27"/>
      <c r="GDH2" s="27"/>
      <c r="GDI2" s="27"/>
      <c r="GDJ2" s="27"/>
      <c r="GDK2" s="27"/>
      <c r="GDL2" s="27"/>
      <c r="GDM2" s="27"/>
      <c r="GDN2" s="27"/>
      <c r="GDO2" s="27"/>
      <c r="GDP2" s="27"/>
      <c r="GDQ2" s="27"/>
      <c r="GDR2" s="27"/>
      <c r="GDS2" s="27"/>
      <c r="GDT2" s="27"/>
      <c r="GDU2" s="27"/>
      <c r="GDV2" s="27"/>
      <c r="GDW2" s="27"/>
      <c r="GDX2" s="27"/>
      <c r="GDY2" s="27"/>
      <c r="GDZ2" s="27"/>
      <c r="GEA2" s="27"/>
      <c r="GEB2" s="27"/>
      <c r="GEC2" s="27"/>
      <c r="GED2" s="27"/>
      <c r="GEE2" s="27"/>
      <c r="GEF2" s="27"/>
      <c r="GEG2" s="27"/>
      <c r="GEH2" s="27"/>
      <c r="GEI2" s="27"/>
      <c r="GEJ2" s="27"/>
      <c r="GEK2" s="27"/>
      <c r="GEL2" s="27"/>
      <c r="GEM2" s="27"/>
      <c r="GEN2" s="27"/>
      <c r="GEO2" s="27"/>
      <c r="GEP2" s="27"/>
      <c r="GEQ2" s="27"/>
      <c r="GER2" s="27"/>
      <c r="GES2" s="27"/>
      <c r="GET2" s="27"/>
      <c r="GEU2" s="27"/>
      <c r="GEV2" s="27"/>
      <c r="GEW2" s="27"/>
      <c r="GEX2" s="27"/>
      <c r="GEY2" s="27"/>
      <c r="GEZ2" s="27"/>
      <c r="GFA2" s="27"/>
      <c r="GFB2" s="27"/>
      <c r="GFC2" s="27"/>
      <c r="GFD2" s="27"/>
      <c r="GFE2" s="27"/>
      <c r="GFF2" s="27"/>
      <c r="GFG2" s="27"/>
      <c r="GFH2" s="27"/>
      <c r="GFI2" s="27"/>
      <c r="GFJ2" s="27"/>
      <c r="GFK2" s="27"/>
      <c r="GFL2" s="27"/>
      <c r="GFM2" s="27"/>
      <c r="GFN2" s="27"/>
      <c r="GFO2" s="27"/>
      <c r="GFP2" s="27"/>
      <c r="GFQ2" s="27"/>
      <c r="GFR2" s="27"/>
      <c r="GFS2" s="27"/>
      <c r="GFT2" s="27"/>
      <c r="GFU2" s="27"/>
      <c r="GFV2" s="27"/>
      <c r="GFW2" s="27"/>
      <c r="GFX2" s="27"/>
      <c r="GFY2" s="27"/>
      <c r="GFZ2" s="27"/>
      <c r="GGA2" s="27"/>
      <c r="GGB2" s="27"/>
      <c r="GGC2" s="27"/>
      <c r="GGD2" s="27"/>
      <c r="GGE2" s="27"/>
      <c r="GGF2" s="27"/>
      <c r="GGG2" s="27"/>
      <c r="GGH2" s="27"/>
      <c r="GGI2" s="27"/>
      <c r="GGJ2" s="27"/>
      <c r="GGK2" s="27"/>
      <c r="GGL2" s="27"/>
      <c r="GGM2" s="27"/>
      <c r="GGN2" s="27"/>
      <c r="GGO2" s="27"/>
      <c r="GGP2" s="27"/>
      <c r="GGQ2" s="27"/>
      <c r="GGR2" s="27"/>
      <c r="GGS2" s="27"/>
      <c r="GGT2" s="27"/>
      <c r="GGU2" s="27"/>
      <c r="GGV2" s="27"/>
      <c r="GGW2" s="27"/>
      <c r="GGX2" s="27"/>
      <c r="GGY2" s="27"/>
      <c r="GGZ2" s="27"/>
      <c r="GHA2" s="27"/>
      <c r="GHB2" s="27"/>
      <c r="GHC2" s="27"/>
      <c r="GHD2" s="27"/>
      <c r="GHE2" s="27"/>
      <c r="GHF2" s="27"/>
      <c r="GHG2" s="27"/>
      <c r="GHH2" s="27"/>
      <c r="GHI2" s="27"/>
      <c r="GHJ2" s="27"/>
      <c r="GHK2" s="27"/>
      <c r="GHL2" s="27"/>
      <c r="GHM2" s="27"/>
      <c r="GHN2" s="27"/>
      <c r="GHO2" s="27"/>
      <c r="GHP2" s="27"/>
      <c r="GHQ2" s="27"/>
      <c r="GHR2" s="27"/>
      <c r="GHS2" s="27"/>
      <c r="GHT2" s="27"/>
      <c r="GHU2" s="27"/>
      <c r="GHV2" s="27"/>
      <c r="GHW2" s="27"/>
      <c r="GHX2" s="27"/>
      <c r="GHY2" s="27"/>
      <c r="GHZ2" s="27"/>
      <c r="GIA2" s="27"/>
      <c r="GIB2" s="27"/>
      <c r="GIC2" s="27"/>
      <c r="GID2" s="27"/>
      <c r="GIE2" s="27"/>
      <c r="GIF2" s="27"/>
      <c r="GIG2" s="27"/>
      <c r="GIH2" s="27"/>
      <c r="GII2" s="27"/>
      <c r="GIJ2" s="27"/>
      <c r="GIK2" s="27"/>
      <c r="GIL2" s="27"/>
      <c r="GIM2" s="27"/>
      <c r="GIN2" s="27"/>
      <c r="GIO2" s="27"/>
      <c r="GIP2" s="27"/>
      <c r="GIQ2" s="27"/>
      <c r="GIR2" s="27"/>
      <c r="GIS2" s="27"/>
      <c r="GIT2" s="27"/>
      <c r="GIU2" s="27"/>
      <c r="GIV2" s="27"/>
      <c r="GIW2" s="27"/>
      <c r="GIX2" s="27"/>
      <c r="GIY2" s="27"/>
      <c r="GIZ2" s="27"/>
      <c r="GJA2" s="27"/>
      <c r="GJB2" s="27"/>
      <c r="GJC2" s="27"/>
      <c r="GJD2" s="27"/>
      <c r="GJE2" s="27"/>
      <c r="GJF2" s="27"/>
      <c r="GJG2" s="27"/>
      <c r="GJH2" s="27"/>
      <c r="GJI2" s="27"/>
      <c r="GJJ2" s="27"/>
      <c r="GJK2" s="27"/>
      <c r="GJL2" s="27"/>
      <c r="GJM2" s="27"/>
      <c r="GJN2" s="27"/>
      <c r="GJO2" s="27"/>
      <c r="GJP2" s="27"/>
      <c r="GJQ2" s="27"/>
      <c r="GJR2" s="27"/>
      <c r="GJS2" s="27"/>
      <c r="GJT2" s="27"/>
      <c r="GJU2" s="27"/>
      <c r="GJV2" s="27"/>
      <c r="GJW2" s="27"/>
      <c r="GJX2" s="27"/>
      <c r="GJY2" s="27"/>
      <c r="GJZ2" s="27"/>
      <c r="GKA2" s="27"/>
      <c r="GKB2" s="27"/>
      <c r="GKC2" s="27"/>
      <c r="GKD2" s="27"/>
      <c r="GKE2" s="27"/>
      <c r="GKF2" s="27"/>
      <c r="GKG2" s="27"/>
      <c r="GKH2" s="27"/>
      <c r="GKI2" s="27"/>
      <c r="GKJ2" s="27"/>
      <c r="GKK2" s="27"/>
      <c r="GKL2" s="27"/>
      <c r="GKM2" s="27"/>
      <c r="GKN2" s="27"/>
      <c r="GKO2" s="27"/>
      <c r="GKP2" s="27"/>
      <c r="GKQ2" s="27"/>
      <c r="GKR2" s="27"/>
      <c r="GKS2" s="27"/>
      <c r="GKT2" s="27"/>
      <c r="GKU2" s="27"/>
      <c r="GKV2" s="27"/>
      <c r="GKW2" s="27"/>
      <c r="GKX2" s="27"/>
      <c r="GKY2" s="27"/>
      <c r="GKZ2" s="27"/>
      <c r="GLA2" s="27"/>
      <c r="GLB2" s="27"/>
      <c r="GLC2" s="27"/>
      <c r="GLD2" s="27"/>
      <c r="GLE2" s="27"/>
      <c r="GLF2" s="27"/>
      <c r="GLG2" s="27"/>
      <c r="GLH2" s="27"/>
      <c r="GLI2" s="27"/>
      <c r="GLJ2" s="27"/>
      <c r="GLK2" s="27"/>
      <c r="GLL2" s="27"/>
      <c r="GLM2" s="27"/>
      <c r="GLN2" s="27"/>
      <c r="GLO2" s="27"/>
      <c r="GLP2" s="27"/>
      <c r="GLQ2" s="27"/>
      <c r="GLR2" s="27"/>
      <c r="GLS2" s="27"/>
      <c r="GLT2" s="27"/>
      <c r="GLU2" s="27"/>
      <c r="GLV2" s="27"/>
      <c r="GLW2" s="27"/>
      <c r="GLX2" s="27"/>
      <c r="GLY2" s="27"/>
      <c r="GLZ2" s="27"/>
      <c r="GMA2" s="27"/>
      <c r="GMB2" s="27"/>
      <c r="GMC2" s="27"/>
      <c r="GMD2" s="27"/>
      <c r="GME2" s="27"/>
      <c r="GMF2" s="27"/>
      <c r="GMG2" s="27"/>
      <c r="GMH2" s="27"/>
      <c r="GMI2" s="27"/>
      <c r="GMJ2" s="27"/>
      <c r="GMK2" s="27"/>
      <c r="GML2" s="27"/>
      <c r="GMM2" s="27"/>
      <c r="GMN2" s="27"/>
      <c r="GMO2" s="27"/>
      <c r="GMP2" s="27"/>
      <c r="GMQ2" s="27"/>
      <c r="GMR2" s="27"/>
      <c r="GMS2" s="27"/>
      <c r="GMT2" s="27"/>
      <c r="GMU2" s="27"/>
      <c r="GMV2" s="27"/>
      <c r="GMW2" s="27"/>
      <c r="GMX2" s="27"/>
      <c r="GMY2" s="27"/>
      <c r="GMZ2" s="27"/>
      <c r="GNA2" s="27"/>
      <c r="GNB2" s="27"/>
      <c r="GNC2" s="27"/>
      <c r="GND2" s="27"/>
      <c r="GNE2" s="27"/>
      <c r="GNF2" s="27"/>
      <c r="GNG2" s="27"/>
      <c r="GNH2" s="27"/>
      <c r="GNI2" s="27"/>
      <c r="GNJ2" s="27"/>
      <c r="GNK2" s="27"/>
      <c r="GNL2" s="27"/>
      <c r="GNM2" s="27"/>
      <c r="GNN2" s="27"/>
      <c r="GNO2" s="27"/>
      <c r="GNP2" s="27"/>
      <c r="GNQ2" s="27"/>
      <c r="GNR2" s="27"/>
      <c r="GNS2" s="27"/>
      <c r="GNT2" s="27"/>
      <c r="GNU2" s="27"/>
      <c r="GNV2" s="27"/>
      <c r="GNW2" s="27"/>
      <c r="GNX2" s="27"/>
      <c r="GNY2" s="27"/>
      <c r="GNZ2" s="27"/>
      <c r="GOA2" s="27"/>
      <c r="GOB2" s="27"/>
      <c r="GOC2" s="27"/>
      <c r="GOD2" s="27"/>
      <c r="GOE2" s="27"/>
      <c r="GOF2" s="27"/>
      <c r="GOG2" s="27"/>
      <c r="GOH2" s="27"/>
      <c r="GOI2" s="27"/>
      <c r="GOJ2" s="27"/>
      <c r="GOK2" s="27"/>
      <c r="GOL2" s="27"/>
      <c r="GOM2" s="27"/>
      <c r="GON2" s="27"/>
      <c r="GOO2" s="27"/>
      <c r="GOP2" s="27"/>
      <c r="GOQ2" s="27"/>
      <c r="GOR2" s="27"/>
      <c r="GOS2" s="27"/>
      <c r="GOT2" s="27"/>
      <c r="GOU2" s="27"/>
      <c r="GOV2" s="27"/>
      <c r="GOW2" s="27"/>
      <c r="GOX2" s="27"/>
      <c r="GOY2" s="27"/>
      <c r="GOZ2" s="27"/>
      <c r="GPA2" s="27"/>
      <c r="GPB2" s="27"/>
      <c r="GPC2" s="27"/>
      <c r="GPD2" s="27"/>
      <c r="GPE2" s="27"/>
      <c r="GPF2" s="27"/>
      <c r="GPG2" s="27"/>
      <c r="GPH2" s="27"/>
      <c r="GPI2" s="27"/>
      <c r="GPJ2" s="27"/>
      <c r="GPK2" s="27"/>
      <c r="GPL2" s="27"/>
      <c r="GPM2" s="27"/>
      <c r="GPN2" s="27"/>
      <c r="GPO2" s="27"/>
      <c r="GPP2" s="27"/>
      <c r="GPQ2" s="27"/>
      <c r="GPR2" s="27"/>
      <c r="GPS2" s="27"/>
      <c r="GPT2" s="27"/>
      <c r="GPU2" s="27"/>
      <c r="GPV2" s="27"/>
      <c r="GPW2" s="27"/>
      <c r="GPX2" s="27"/>
      <c r="GPY2" s="27"/>
      <c r="GPZ2" s="27"/>
      <c r="GQA2" s="27"/>
      <c r="GQB2" s="27"/>
      <c r="GQC2" s="27"/>
      <c r="GQD2" s="27"/>
      <c r="GQE2" s="27"/>
      <c r="GQF2" s="27"/>
      <c r="GQG2" s="27"/>
      <c r="GQH2" s="27"/>
      <c r="GQI2" s="27"/>
      <c r="GQJ2" s="27"/>
      <c r="GQK2" s="27"/>
      <c r="GQL2" s="27"/>
      <c r="GQM2" s="27"/>
      <c r="GQN2" s="27"/>
      <c r="GQO2" s="27"/>
      <c r="GQP2" s="27"/>
      <c r="GQQ2" s="27"/>
      <c r="GQR2" s="27"/>
      <c r="GQS2" s="27"/>
      <c r="GQT2" s="27"/>
      <c r="GQU2" s="27"/>
      <c r="GQV2" s="27"/>
      <c r="GQW2" s="27"/>
      <c r="GQX2" s="27"/>
      <c r="GQY2" s="27"/>
      <c r="GQZ2" s="27"/>
      <c r="GRA2" s="27"/>
      <c r="GRB2" s="27"/>
      <c r="GRC2" s="27"/>
      <c r="GRD2" s="27"/>
      <c r="GRE2" s="27"/>
      <c r="GRF2" s="27"/>
      <c r="GRG2" s="27"/>
      <c r="GRH2" s="27"/>
      <c r="GRI2" s="27"/>
      <c r="GRJ2" s="27"/>
      <c r="GRK2" s="27"/>
      <c r="GRL2" s="27"/>
      <c r="GRM2" s="27"/>
      <c r="GRN2" s="27"/>
      <c r="GRO2" s="27"/>
      <c r="GRP2" s="27"/>
      <c r="GRQ2" s="27"/>
      <c r="GRR2" s="27"/>
      <c r="GRS2" s="27"/>
      <c r="GRT2" s="27"/>
      <c r="GRU2" s="27"/>
      <c r="GRV2" s="27"/>
      <c r="GRW2" s="27"/>
      <c r="GRX2" s="27"/>
      <c r="GRY2" s="27"/>
      <c r="GRZ2" s="27"/>
      <c r="GSA2" s="27"/>
      <c r="GSB2" s="27"/>
      <c r="GSC2" s="27"/>
      <c r="GSD2" s="27"/>
      <c r="GSE2" s="27"/>
      <c r="GSF2" s="27"/>
      <c r="GSG2" s="27"/>
      <c r="GSH2" s="27"/>
      <c r="GSI2" s="27"/>
      <c r="GSJ2" s="27"/>
      <c r="GSK2" s="27"/>
      <c r="GSL2" s="27"/>
      <c r="GSM2" s="27"/>
      <c r="GSN2" s="27"/>
      <c r="GSO2" s="27"/>
      <c r="GSP2" s="27"/>
      <c r="GSQ2" s="27"/>
      <c r="GSR2" s="27"/>
      <c r="GSS2" s="27"/>
      <c r="GST2" s="27"/>
      <c r="GSU2" s="27"/>
      <c r="GSV2" s="27"/>
      <c r="GSW2" s="27"/>
      <c r="GSX2" s="27"/>
      <c r="GSY2" s="27"/>
      <c r="GSZ2" s="27"/>
      <c r="GTA2" s="27"/>
      <c r="GTB2" s="27"/>
      <c r="GTC2" s="27"/>
      <c r="GTD2" s="27"/>
      <c r="GTE2" s="27"/>
      <c r="GTF2" s="27"/>
      <c r="GTG2" s="27"/>
      <c r="GTH2" s="27"/>
      <c r="GTI2" s="27"/>
      <c r="GTJ2" s="27"/>
      <c r="GTK2" s="27"/>
      <c r="GTL2" s="27"/>
      <c r="GTM2" s="27"/>
      <c r="GTN2" s="27"/>
      <c r="GTO2" s="27"/>
      <c r="GTP2" s="27"/>
      <c r="GTQ2" s="27"/>
      <c r="GTR2" s="27"/>
      <c r="GTS2" s="27"/>
      <c r="GTT2" s="27"/>
      <c r="GTU2" s="27"/>
      <c r="GTV2" s="27"/>
      <c r="GTW2" s="27"/>
      <c r="GTX2" s="27"/>
      <c r="GTY2" s="27"/>
      <c r="GTZ2" s="27"/>
      <c r="GUA2" s="27"/>
      <c r="GUB2" s="27"/>
      <c r="GUC2" s="27"/>
      <c r="GUD2" s="27"/>
      <c r="GUE2" s="27"/>
      <c r="GUF2" s="27"/>
      <c r="GUG2" s="27"/>
      <c r="GUH2" s="27"/>
      <c r="GUI2" s="27"/>
      <c r="GUJ2" s="27"/>
      <c r="GUK2" s="27"/>
      <c r="GUL2" s="27"/>
      <c r="GUM2" s="27"/>
      <c r="GUN2" s="27"/>
      <c r="GUO2" s="27"/>
      <c r="GUP2" s="27"/>
      <c r="GUQ2" s="27"/>
      <c r="GUR2" s="27"/>
      <c r="GUS2" s="27"/>
      <c r="GUT2" s="27"/>
      <c r="GUU2" s="27"/>
      <c r="GUV2" s="27"/>
      <c r="GUW2" s="27"/>
      <c r="GUX2" s="27"/>
      <c r="GUY2" s="27"/>
      <c r="GUZ2" s="27"/>
      <c r="GVA2" s="27"/>
      <c r="GVB2" s="27"/>
      <c r="GVC2" s="27"/>
      <c r="GVD2" s="27"/>
      <c r="GVE2" s="27"/>
      <c r="GVF2" s="27"/>
      <c r="GVG2" s="27"/>
      <c r="GVH2" s="27"/>
      <c r="GVI2" s="27"/>
      <c r="GVJ2" s="27"/>
      <c r="GVK2" s="27"/>
      <c r="GVL2" s="27"/>
      <c r="GVM2" s="27"/>
      <c r="GVN2" s="27"/>
      <c r="GVO2" s="27"/>
      <c r="GVP2" s="27"/>
      <c r="GVQ2" s="27"/>
      <c r="GVR2" s="27"/>
      <c r="GVS2" s="27"/>
      <c r="GVT2" s="27"/>
      <c r="GVU2" s="27"/>
      <c r="GVV2" s="27"/>
      <c r="GVW2" s="27"/>
      <c r="GVX2" s="27"/>
      <c r="GVY2" s="27"/>
      <c r="GVZ2" s="27"/>
      <c r="GWA2" s="27"/>
      <c r="GWB2" s="27"/>
      <c r="GWC2" s="27"/>
      <c r="GWD2" s="27"/>
      <c r="GWE2" s="27"/>
      <c r="GWF2" s="27"/>
      <c r="GWG2" s="27"/>
      <c r="GWH2" s="27"/>
      <c r="GWI2" s="27"/>
      <c r="GWJ2" s="27"/>
      <c r="GWK2" s="27"/>
      <c r="GWL2" s="27"/>
      <c r="GWM2" s="27"/>
      <c r="GWN2" s="27"/>
      <c r="GWO2" s="27"/>
      <c r="GWP2" s="27"/>
      <c r="GWQ2" s="27"/>
      <c r="GWR2" s="27"/>
      <c r="GWS2" s="27"/>
      <c r="GWT2" s="27"/>
      <c r="GWU2" s="27"/>
      <c r="GWV2" s="27"/>
      <c r="GWW2" s="27"/>
      <c r="GWX2" s="27"/>
      <c r="GWY2" s="27"/>
      <c r="GWZ2" s="27"/>
      <c r="GXA2" s="27"/>
      <c r="GXB2" s="27"/>
      <c r="GXC2" s="27"/>
      <c r="GXD2" s="27"/>
      <c r="GXE2" s="27"/>
      <c r="GXF2" s="27"/>
      <c r="GXG2" s="27"/>
      <c r="GXH2" s="27"/>
      <c r="GXI2" s="27"/>
      <c r="GXJ2" s="27"/>
      <c r="GXK2" s="27"/>
      <c r="GXL2" s="27"/>
      <c r="GXM2" s="27"/>
      <c r="GXN2" s="27"/>
      <c r="GXO2" s="27"/>
      <c r="GXP2" s="27"/>
      <c r="GXQ2" s="27"/>
      <c r="GXR2" s="27"/>
      <c r="GXS2" s="27"/>
      <c r="GXT2" s="27"/>
      <c r="GXU2" s="27"/>
      <c r="GXV2" s="27"/>
      <c r="GXW2" s="27"/>
      <c r="GXX2" s="27"/>
      <c r="GXY2" s="27"/>
      <c r="GXZ2" s="27"/>
      <c r="GYA2" s="27"/>
      <c r="GYB2" s="27"/>
      <c r="GYC2" s="27"/>
      <c r="GYD2" s="27"/>
      <c r="GYE2" s="27"/>
      <c r="GYF2" s="27"/>
      <c r="GYG2" s="27"/>
      <c r="GYH2" s="27"/>
      <c r="GYI2" s="27"/>
      <c r="GYJ2" s="27"/>
      <c r="GYK2" s="27"/>
      <c r="GYL2" s="27"/>
      <c r="GYM2" s="27"/>
      <c r="GYN2" s="27"/>
      <c r="GYO2" s="27"/>
      <c r="GYP2" s="27"/>
      <c r="GYQ2" s="27"/>
      <c r="GYR2" s="27"/>
      <c r="GYS2" s="27"/>
      <c r="GYT2" s="27"/>
      <c r="GYU2" s="27"/>
      <c r="GYV2" s="27"/>
      <c r="GYW2" s="27"/>
      <c r="GYX2" s="27"/>
      <c r="GYY2" s="27"/>
      <c r="GYZ2" s="27"/>
      <c r="GZA2" s="27"/>
      <c r="GZB2" s="27"/>
      <c r="GZC2" s="27"/>
      <c r="GZD2" s="27"/>
      <c r="GZE2" s="27"/>
      <c r="GZF2" s="27"/>
      <c r="GZG2" s="27"/>
      <c r="GZH2" s="27"/>
      <c r="GZI2" s="27"/>
      <c r="GZJ2" s="27"/>
      <c r="GZK2" s="27"/>
      <c r="GZL2" s="27"/>
      <c r="GZM2" s="27"/>
      <c r="GZN2" s="27"/>
      <c r="GZO2" s="27"/>
      <c r="GZP2" s="27"/>
      <c r="GZQ2" s="27"/>
      <c r="GZR2" s="27"/>
      <c r="GZS2" s="27"/>
      <c r="GZT2" s="27"/>
      <c r="GZU2" s="27"/>
      <c r="GZV2" s="27"/>
      <c r="GZW2" s="27"/>
      <c r="GZX2" s="27"/>
      <c r="GZY2" s="27"/>
      <c r="GZZ2" s="27"/>
      <c r="HAA2" s="27"/>
      <c r="HAB2" s="27"/>
      <c r="HAC2" s="27"/>
      <c r="HAD2" s="27"/>
      <c r="HAE2" s="27"/>
      <c r="HAF2" s="27"/>
      <c r="HAG2" s="27"/>
      <c r="HAH2" s="27"/>
      <c r="HAI2" s="27"/>
      <c r="HAJ2" s="27"/>
      <c r="HAK2" s="27"/>
      <c r="HAL2" s="27"/>
      <c r="HAM2" s="27"/>
      <c r="HAN2" s="27"/>
      <c r="HAO2" s="27"/>
      <c r="HAP2" s="27"/>
      <c r="HAQ2" s="27"/>
      <c r="HAR2" s="27"/>
      <c r="HAS2" s="27"/>
      <c r="HAT2" s="27"/>
      <c r="HAU2" s="27"/>
      <c r="HAV2" s="27"/>
      <c r="HAW2" s="27"/>
      <c r="HAX2" s="27"/>
      <c r="HAY2" s="27"/>
      <c r="HAZ2" s="27"/>
      <c r="HBA2" s="27"/>
      <c r="HBB2" s="27"/>
      <c r="HBC2" s="27"/>
      <c r="HBD2" s="27"/>
      <c r="HBE2" s="27"/>
      <c r="HBF2" s="27"/>
      <c r="HBG2" s="27"/>
      <c r="HBH2" s="27"/>
      <c r="HBI2" s="27"/>
      <c r="HBJ2" s="27"/>
      <c r="HBK2" s="27"/>
      <c r="HBL2" s="27"/>
      <c r="HBM2" s="27"/>
      <c r="HBN2" s="27"/>
      <c r="HBO2" s="27"/>
      <c r="HBP2" s="27"/>
      <c r="HBQ2" s="27"/>
      <c r="HBR2" s="27"/>
      <c r="HBS2" s="27"/>
      <c r="HBT2" s="27"/>
      <c r="HBU2" s="27"/>
      <c r="HBV2" s="27"/>
      <c r="HBW2" s="27"/>
      <c r="HBX2" s="27"/>
      <c r="HBY2" s="27"/>
      <c r="HBZ2" s="27"/>
      <c r="HCA2" s="27"/>
      <c r="HCB2" s="27"/>
      <c r="HCC2" s="27"/>
      <c r="HCD2" s="27"/>
      <c r="HCE2" s="27"/>
      <c r="HCF2" s="27"/>
      <c r="HCG2" s="27"/>
      <c r="HCH2" s="27"/>
      <c r="HCI2" s="27"/>
      <c r="HCJ2" s="27"/>
      <c r="HCK2" s="27"/>
      <c r="HCL2" s="27"/>
      <c r="HCM2" s="27"/>
      <c r="HCN2" s="27"/>
      <c r="HCO2" s="27"/>
      <c r="HCP2" s="27"/>
      <c r="HCQ2" s="27"/>
      <c r="HCR2" s="27"/>
      <c r="HCS2" s="27"/>
      <c r="HCT2" s="27"/>
      <c r="HCU2" s="27"/>
      <c r="HCV2" s="27"/>
      <c r="HCW2" s="27"/>
      <c r="HCX2" s="27"/>
      <c r="HCY2" s="27"/>
      <c r="HCZ2" s="27"/>
      <c r="HDA2" s="27"/>
      <c r="HDB2" s="27"/>
      <c r="HDC2" s="27"/>
      <c r="HDD2" s="27"/>
      <c r="HDE2" s="27"/>
      <c r="HDF2" s="27"/>
      <c r="HDG2" s="27"/>
      <c r="HDH2" s="27"/>
      <c r="HDI2" s="27"/>
      <c r="HDJ2" s="27"/>
      <c r="HDK2" s="27"/>
      <c r="HDL2" s="27"/>
      <c r="HDM2" s="27"/>
      <c r="HDN2" s="27"/>
      <c r="HDO2" s="27"/>
      <c r="HDP2" s="27"/>
      <c r="HDQ2" s="27"/>
      <c r="HDR2" s="27"/>
      <c r="HDS2" s="27"/>
      <c r="HDT2" s="27"/>
      <c r="HDU2" s="27"/>
      <c r="HDV2" s="27"/>
      <c r="HDW2" s="27"/>
      <c r="HDX2" s="27"/>
      <c r="HDY2" s="27"/>
      <c r="HDZ2" s="27"/>
      <c r="HEA2" s="27"/>
      <c r="HEB2" s="27"/>
      <c r="HEC2" s="27"/>
      <c r="HED2" s="27"/>
      <c r="HEE2" s="27"/>
      <c r="HEF2" s="27"/>
      <c r="HEG2" s="27"/>
      <c r="HEH2" s="27"/>
      <c r="HEI2" s="27"/>
      <c r="HEJ2" s="27"/>
      <c r="HEK2" s="27"/>
      <c r="HEL2" s="27"/>
      <c r="HEM2" s="27"/>
      <c r="HEN2" s="27"/>
      <c r="HEO2" s="27"/>
      <c r="HEP2" s="27"/>
      <c r="HEQ2" s="27"/>
      <c r="HER2" s="27"/>
      <c r="HES2" s="27"/>
      <c r="HET2" s="27"/>
      <c r="HEU2" s="27"/>
      <c r="HEV2" s="27"/>
      <c r="HEW2" s="27"/>
      <c r="HEX2" s="27"/>
      <c r="HEY2" s="27"/>
      <c r="HEZ2" s="27"/>
      <c r="HFA2" s="27"/>
      <c r="HFB2" s="27"/>
      <c r="HFC2" s="27"/>
      <c r="HFD2" s="27"/>
      <c r="HFE2" s="27"/>
      <c r="HFF2" s="27"/>
      <c r="HFG2" s="27"/>
      <c r="HFH2" s="27"/>
      <c r="HFI2" s="27"/>
      <c r="HFJ2" s="27"/>
      <c r="HFK2" s="27"/>
      <c r="HFL2" s="27"/>
      <c r="HFM2" s="27"/>
      <c r="HFN2" s="27"/>
      <c r="HFO2" s="27"/>
      <c r="HFP2" s="27"/>
      <c r="HFQ2" s="27"/>
      <c r="HFR2" s="27"/>
      <c r="HFS2" s="27"/>
      <c r="HFT2" s="27"/>
      <c r="HFU2" s="27"/>
      <c r="HFV2" s="27"/>
      <c r="HFW2" s="27"/>
      <c r="HFX2" s="27"/>
      <c r="HFY2" s="27"/>
      <c r="HFZ2" s="27"/>
      <c r="HGA2" s="27"/>
      <c r="HGB2" s="27"/>
      <c r="HGC2" s="27"/>
      <c r="HGD2" s="27"/>
      <c r="HGE2" s="27"/>
      <c r="HGF2" s="27"/>
      <c r="HGG2" s="27"/>
      <c r="HGH2" s="27"/>
      <c r="HGI2" s="27"/>
      <c r="HGJ2" s="27"/>
      <c r="HGK2" s="27"/>
      <c r="HGL2" s="27"/>
      <c r="HGM2" s="27"/>
      <c r="HGN2" s="27"/>
      <c r="HGO2" s="27"/>
      <c r="HGP2" s="27"/>
      <c r="HGQ2" s="27"/>
      <c r="HGR2" s="27"/>
      <c r="HGS2" s="27"/>
      <c r="HGT2" s="27"/>
      <c r="HGU2" s="27"/>
      <c r="HGV2" s="27"/>
      <c r="HGW2" s="27"/>
      <c r="HGX2" s="27"/>
      <c r="HGY2" s="27"/>
      <c r="HGZ2" s="27"/>
      <c r="HHA2" s="27"/>
      <c r="HHB2" s="27"/>
      <c r="HHC2" s="27"/>
      <c r="HHD2" s="27"/>
      <c r="HHE2" s="27"/>
      <c r="HHF2" s="27"/>
      <c r="HHG2" s="27"/>
      <c r="HHH2" s="27"/>
      <c r="HHI2" s="27"/>
      <c r="HHJ2" s="27"/>
      <c r="HHK2" s="27"/>
      <c r="HHL2" s="27"/>
      <c r="HHM2" s="27"/>
      <c r="HHN2" s="27"/>
      <c r="HHO2" s="27"/>
      <c r="HHP2" s="27"/>
      <c r="HHQ2" s="27"/>
      <c r="HHR2" s="27"/>
      <c r="HHS2" s="27"/>
      <c r="HHT2" s="27"/>
      <c r="HHU2" s="27"/>
      <c r="HHV2" s="27"/>
      <c r="HHW2" s="27"/>
      <c r="HHX2" s="27"/>
      <c r="HHY2" s="27"/>
      <c r="HHZ2" s="27"/>
      <c r="HIA2" s="27"/>
      <c r="HIB2" s="27"/>
      <c r="HIC2" s="27"/>
      <c r="HID2" s="27"/>
      <c r="HIE2" s="27"/>
      <c r="HIF2" s="27"/>
      <c r="HIG2" s="27"/>
      <c r="HIH2" s="27"/>
      <c r="HII2" s="27"/>
      <c r="HIJ2" s="27"/>
      <c r="HIK2" s="27"/>
      <c r="HIL2" s="27"/>
      <c r="HIM2" s="27"/>
      <c r="HIN2" s="27"/>
      <c r="HIO2" s="27"/>
      <c r="HIP2" s="27"/>
      <c r="HIQ2" s="27"/>
      <c r="HIR2" s="27"/>
      <c r="HIS2" s="27"/>
      <c r="HIT2" s="27"/>
      <c r="HIU2" s="27"/>
      <c r="HIV2" s="27"/>
      <c r="HIW2" s="27"/>
      <c r="HIX2" s="27"/>
      <c r="HIY2" s="27"/>
      <c r="HIZ2" s="27"/>
      <c r="HJA2" s="27"/>
      <c r="HJB2" s="27"/>
      <c r="HJC2" s="27"/>
      <c r="HJD2" s="27"/>
      <c r="HJE2" s="27"/>
      <c r="HJF2" s="27"/>
      <c r="HJG2" s="27"/>
      <c r="HJH2" s="27"/>
      <c r="HJI2" s="27"/>
      <c r="HJJ2" s="27"/>
      <c r="HJK2" s="27"/>
      <c r="HJL2" s="27"/>
      <c r="HJM2" s="27"/>
      <c r="HJN2" s="27"/>
      <c r="HJO2" s="27"/>
      <c r="HJP2" s="27"/>
      <c r="HJQ2" s="27"/>
      <c r="HJR2" s="27"/>
      <c r="HJS2" s="27"/>
      <c r="HJT2" s="27"/>
      <c r="HJU2" s="27"/>
      <c r="HJV2" s="27"/>
      <c r="HJW2" s="27"/>
      <c r="HJX2" s="27"/>
      <c r="HJY2" s="27"/>
      <c r="HJZ2" s="27"/>
      <c r="HKA2" s="27"/>
      <c r="HKB2" s="27"/>
      <c r="HKC2" s="27"/>
      <c r="HKD2" s="27"/>
      <c r="HKE2" s="27"/>
      <c r="HKF2" s="27"/>
      <c r="HKG2" s="27"/>
      <c r="HKH2" s="27"/>
      <c r="HKI2" s="27"/>
      <c r="HKJ2" s="27"/>
      <c r="HKK2" s="27"/>
      <c r="HKL2" s="27"/>
      <c r="HKM2" s="27"/>
      <c r="HKN2" s="27"/>
      <c r="HKO2" s="27"/>
      <c r="HKP2" s="27"/>
      <c r="HKQ2" s="27"/>
      <c r="HKR2" s="27"/>
      <c r="HKS2" s="27"/>
      <c r="HKT2" s="27"/>
      <c r="HKU2" s="27"/>
      <c r="HKV2" s="27"/>
      <c r="HKW2" s="27"/>
      <c r="HKX2" s="27"/>
      <c r="HKY2" s="27"/>
      <c r="HKZ2" s="27"/>
      <c r="HLA2" s="27"/>
      <c r="HLB2" s="27"/>
      <c r="HLC2" s="27"/>
      <c r="HLD2" s="27"/>
      <c r="HLE2" s="27"/>
      <c r="HLF2" s="27"/>
      <c r="HLG2" s="27"/>
      <c r="HLH2" s="27"/>
      <c r="HLI2" s="27"/>
      <c r="HLJ2" s="27"/>
      <c r="HLK2" s="27"/>
      <c r="HLL2" s="27"/>
      <c r="HLM2" s="27"/>
      <c r="HLN2" s="27"/>
      <c r="HLO2" s="27"/>
      <c r="HLP2" s="27"/>
      <c r="HLQ2" s="27"/>
      <c r="HLR2" s="27"/>
      <c r="HLS2" s="27"/>
      <c r="HLT2" s="27"/>
      <c r="HLU2" s="27"/>
      <c r="HLV2" s="27"/>
      <c r="HLW2" s="27"/>
      <c r="HLX2" s="27"/>
      <c r="HLY2" s="27"/>
      <c r="HLZ2" s="27"/>
      <c r="HMA2" s="27"/>
      <c r="HMB2" s="27"/>
      <c r="HMC2" s="27"/>
      <c r="HMD2" s="27"/>
      <c r="HME2" s="27"/>
      <c r="HMF2" s="27"/>
      <c r="HMG2" s="27"/>
      <c r="HMH2" s="27"/>
      <c r="HMI2" s="27"/>
      <c r="HMJ2" s="27"/>
      <c r="HMK2" s="27"/>
      <c r="HML2" s="27"/>
      <c r="HMM2" s="27"/>
      <c r="HMN2" s="27"/>
      <c r="HMO2" s="27"/>
      <c r="HMP2" s="27"/>
      <c r="HMQ2" s="27"/>
      <c r="HMR2" s="27"/>
      <c r="HMS2" s="27"/>
      <c r="HMT2" s="27"/>
      <c r="HMU2" s="27"/>
      <c r="HMV2" s="27"/>
      <c r="HMW2" s="27"/>
      <c r="HMX2" s="27"/>
      <c r="HMY2" s="27"/>
      <c r="HMZ2" s="27"/>
      <c r="HNA2" s="27"/>
      <c r="HNB2" s="27"/>
      <c r="HNC2" s="27"/>
      <c r="HND2" s="27"/>
      <c r="HNE2" s="27"/>
      <c r="HNF2" s="27"/>
      <c r="HNG2" s="27"/>
      <c r="HNH2" s="27"/>
      <c r="HNI2" s="27"/>
      <c r="HNJ2" s="27"/>
      <c r="HNK2" s="27"/>
      <c r="HNL2" s="27"/>
      <c r="HNM2" s="27"/>
      <c r="HNN2" s="27"/>
      <c r="HNO2" s="27"/>
      <c r="HNP2" s="27"/>
      <c r="HNQ2" s="27"/>
      <c r="HNR2" s="27"/>
      <c r="HNS2" s="27"/>
      <c r="HNT2" s="27"/>
      <c r="HNU2" s="27"/>
      <c r="HNV2" s="27"/>
      <c r="HNW2" s="27"/>
      <c r="HNX2" s="27"/>
      <c r="HNY2" s="27"/>
      <c r="HNZ2" s="27"/>
      <c r="HOA2" s="27"/>
      <c r="HOB2" s="27"/>
      <c r="HOC2" s="27"/>
      <c r="HOD2" s="27"/>
      <c r="HOE2" s="27"/>
      <c r="HOF2" s="27"/>
      <c r="HOG2" s="27"/>
      <c r="HOH2" s="27"/>
      <c r="HOI2" s="27"/>
      <c r="HOJ2" s="27"/>
      <c r="HOK2" s="27"/>
      <c r="HOL2" s="27"/>
      <c r="HOM2" s="27"/>
      <c r="HON2" s="27"/>
      <c r="HOO2" s="27"/>
      <c r="HOP2" s="27"/>
      <c r="HOQ2" s="27"/>
      <c r="HOR2" s="27"/>
      <c r="HOS2" s="27"/>
      <c r="HOT2" s="27"/>
      <c r="HOU2" s="27"/>
      <c r="HOV2" s="27"/>
      <c r="HOW2" s="27"/>
      <c r="HOX2" s="27"/>
      <c r="HOY2" s="27"/>
      <c r="HOZ2" s="27"/>
      <c r="HPA2" s="27"/>
      <c r="HPB2" s="27"/>
      <c r="HPC2" s="27"/>
      <c r="HPD2" s="27"/>
      <c r="HPE2" s="27"/>
      <c r="HPF2" s="27"/>
      <c r="HPG2" s="27"/>
      <c r="HPH2" s="27"/>
      <c r="HPI2" s="27"/>
      <c r="HPJ2" s="27"/>
      <c r="HPK2" s="27"/>
      <c r="HPL2" s="27"/>
      <c r="HPM2" s="27"/>
      <c r="HPN2" s="27"/>
      <c r="HPO2" s="27"/>
      <c r="HPP2" s="27"/>
      <c r="HPQ2" s="27"/>
      <c r="HPR2" s="27"/>
      <c r="HPS2" s="27"/>
      <c r="HPT2" s="27"/>
      <c r="HPU2" s="27"/>
      <c r="HPV2" s="27"/>
      <c r="HPW2" s="27"/>
      <c r="HPX2" s="27"/>
      <c r="HPY2" s="27"/>
      <c r="HPZ2" s="27"/>
      <c r="HQA2" s="27"/>
      <c r="HQB2" s="27"/>
      <c r="HQC2" s="27"/>
      <c r="HQD2" s="27"/>
      <c r="HQE2" s="27"/>
      <c r="HQF2" s="27"/>
      <c r="HQG2" s="27"/>
      <c r="HQH2" s="27"/>
      <c r="HQI2" s="27"/>
      <c r="HQJ2" s="27"/>
      <c r="HQK2" s="27"/>
      <c r="HQL2" s="27"/>
      <c r="HQM2" s="27"/>
      <c r="HQN2" s="27"/>
      <c r="HQO2" s="27"/>
      <c r="HQP2" s="27"/>
      <c r="HQQ2" s="27"/>
      <c r="HQR2" s="27"/>
      <c r="HQS2" s="27"/>
      <c r="HQT2" s="27"/>
      <c r="HQU2" s="27"/>
      <c r="HQV2" s="27"/>
      <c r="HQW2" s="27"/>
      <c r="HQX2" s="27"/>
      <c r="HQY2" s="27"/>
      <c r="HQZ2" s="27"/>
      <c r="HRA2" s="27"/>
      <c r="HRB2" s="27"/>
      <c r="HRC2" s="27"/>
      <c r="HRD2" s="27"/>
      <c r="HRE2" s="27"/>
      <c r="HRF2" s="27"/>
      <c r="HRG2" s="27"/>
      <c r="HRH2" s="27"/>
      <c r="HRI2" s="27"/>
      <c r="HRJ2" s="27"/>
      <c r="HRK2" s="27"/>
      <c r="HRL2" s="27"/>
      <c r="HRM2" s="27"/>
      <c r="HRN2" s="27"/>
      <c r="HRO2" s="27"/>
      <c r="HRP2" s="27"/>
      <c r="HRQ2" s="27"/>
      <c r="HRR2" s="27"/>
      <c r="HRS2" s="27"/>
      <c r="HRT2" s="27"/>
      <c r="HRU2" s="27"/>
      <c r="HRV2" s="27"/>
      <c r="HRW2" s="27"/>
      <c r="HRX2" s="27"/>
      <c r="HRY2" s="27"/>
      <c r="HRZ2" s="27"/>
      <c r="HSA2" s="27"/>
      <c r="HSB2" s="27"/>
      <c r="HSC2" s="27"/>
      <c r="HSD2" s="27"/>
      <c r="HSE2" s="27"/>
      <c r="HSF2" s="27"/>
      <c r="HSG2" s="27"/>
      <c r="HSH2" s="27"/>
      <c r="HSI2" s="27"/>
      <c r="HSJ2" s="27"/>
      <c r="HSK2" s="27"/>
      <c r="HSL2" s="27"/>
      <c r="HSM2" s="27"/>
      <c r="HSN2" s="27"/>
      <c r="HSO2" s="27"/>
      <c r="HSP2" s="27"/>
      <c r="HSQ2" s="27"/>
      <c r="HSR2" s="27"/>
      <c r="HSS2" s="27"/>
      <c r="HST2" s="27"/>
      <c r="HSU2" s="27"/>
      <c r="HSV2" s="27"/>
      <c r="HSW2" s="27"/>
      <c r="HSX2" s="27"/>
      <c r="HSY2" s="27"/>
      <c r="HSZ2" s="27"/>
      <c r="HTA2" s="27"/>
      <c r="HTB2" s="27"/>
      <c r="HTC2" s="27"/>
      <c r="HTD2" s="27"/>
      <c r="HTE2" s="27"/>
      <c r="HTF2" s="27"/>
      <c r="HTG2" s="27"/>
      <c r="HTH2" s="27"/>
      <c r="HTI2" s="27"/>
      <c r="HTJ2" s="27"/>
      <c r="HTK2" s="27"/>
      <c r="HTL2" s="27"/>
      <c r="HTM2" s="27"/>
      <c r="HTN2" s="27"/>
      <c r="HTO2" s="27"/>
      <c r="HTP2" s="27"/>
      <c r="HTQ2" s="27"/>
      <c r="HTR2" s="27"/>
      <c r="HTS2" s="27"/>
      <c r="HTT2" s="27"/>
      <c r="HTU2" s="27"/>
      <c r="HTV2" s="27"/>
      <c r="HTW2" s="27"/>
      <c r="HTX2" s="27"/>
      <c r="HTY2" s="27"/>
      <c r="HTZ2" s="27"/>
      <c r="HUA2" s="27"/>
      <c r="HUB2" s="27"/>
      <c r="HUC2" s="27"/>
      <c r="HUD2" s="27"/>
      <c r="HUE2" s="27"/>
      <c r="HUF2" s="27"/>
      <c r="HUG2" s="27"/>
      <c r="HUH2" s="27"/>
      <c r="HUI2" s="27"/>
      <c r="HUJ2" s="27"/>
      <c r="HUK2" s="27"/>
      <c r="HUL2" s="27"/>
      <c r="HUM2" s="27"/>
      <c r="HUN2" s="27"/>
      <c r="HUO2" s="27"/>
      <c r="HUP2" s="27"/>
      <c r="HUQ2" s="27"/>
      <c r="HUR2" s="27"/>
      <c r="HUS2" s="27"/>
      <c r="HUT2" s="27"/>
      <c r="HUU2" s="27"/>
      <c r="HUV2" s="27"/>
      <c r="HUW2" s="27"/>
      <c r="HUX2" s="27"/>
      <c r="HUY2" s="27"/>
      <c r="HUZ2" s="27"/>
      <c r="HVA2" s="27"/>
      <c r="HVB2" s="27"/>
      <c r="HVC2" s="27"/>
      <c r="HVD2" s="27"/>
      <c r="HVE2" s="27"/>
      <c r="HVF2" s="27"/>
      <c r="HVG2" s="27"/>
      <c r="HVH2" s="27"/>
      <c r="HVI2" s="27"/>
      <c r="HVJ2" s="27"/>
      <c r="HVK2" s="27"/>
      <c r="HVL2" s="27"/>
      <c r="HVM2" s="27"/>
      <c r="HVN2" s="27"/>
      <c r="HVO2" s="27"/>
      <c r="HVP2" s="27"/>
      <c r="HVQ2" s="27"/>
      <c r="HVR2" s="27"/>
      <c r="HVS2" s="27"/>
      <c r="HVT2" s="27"/>
      <c r="HVU2" s="27"/>
      <c r="HVV2" s="27"/>
      <c r="HVW2" s="27"/>
      <c r="HVX2" s="27"/>
      <c r="HVY2" s="27"/>
      <c r="HVZ2" s="27"/>
      <c r="HWA2" s="27"/>
      <c r="HWB2" s="27"/>
      <c r="HWC2" s="27"/>
      <c r="HWD2" s="27"/>
      <c r="HWE2" s="27"/>
      <c r="HWF2" s="27"/>
      <c r="HWG2" s="27"/>
      <c r="HWH2" s="27"/>
      <c r="HWI2" s="27"/>
      <c r="HWJ2" s="27"/>
      <c r="HWK2" s="27"/>
      <c r="HWL2" s="27"/>
      <c r="HWM2" s="27"/>
      <c r="HWN2" s="27"/>
      <c r="HWO2" s="27"/>
      <c r="HWP2" s="27"/>
      <c r="HWQ2" s="27"/>
      <c r="HWR2" s="27"/>
      <c r="HWS2" s="27"/>
      <c r="HWT2" s="27"/>
      <c r="HWU2" s="27"/>
      <c r="HWV2" s="27"/>
      <c r="HWW2" s="27"/>
      <c r="HWX2" s="27"/>
      <c r="HWY2" s="27"/>
      <c r="HWZ2" s="27"/>
      <c r="HXA2" s="27"/>
      <c r="HXB2" s="27"/>
      <c r="HXC2" s="27"/>
      <c r="HXD2" s="27"/>
      <c r="HXE2" s="27"/>
      <c r="HXF2" s="27"/>
      <c r="HXG2" s="27"/>
      <c r="HXH2" s="27"/>
      <c r="HXI2" s="27"/>
      <c r="HXJ2" s="27"/>
      <c r="HXK2" s="27"/>
      <c r="HXL2" s="27"/>
      <c r="HXM2" s="27"/>
      <c r="HXN2" s="27"/>
      <c r="HXO2" s="27"/>
      <c r="HXP2" s="27"/>
      <c r="HXQ2" s="27"/>
      <c r="HXR2" s="27"/>
      <c r="HXS2" s="27"/>
      <c r="HXT2" s="27"/>
      <c r="HXU2" s="27"/>
      <c r="HXV2" s="27"/>
      <c r="HXW2" s="27"/>
      <c r="HXX2" s="27"/>
      <c r="HXY2" s="27"/>
      <c r="HXZ2" s="27"/>
      <c r="HYA2" s="27"/>
      <c r="HYB2" s="27"/>
      <c r="HYC2" s="27"/>
      <c r="HYD2" s="27"/>
      <c r="HYE2" s="27"/>
      <c r="HYF2" s="27"/>
      <c r="HYG2" s="27"/>
      <c r="HYH2" s="27"/>
      <c r="HYI2" s="27"/>
      <c r="HYJ2" s="27"/>
      <c r="HYK2" s="27"/>
      <c r="HYL2" s="27"/>
      <c r="HYM2" s="27"/>
      <c r="HYN2" s="27"/>
      <c r="HYO2" s="27"/>
      <c r="HYP2" s="27"/>
      <c r="HYQ2" s="27"/>
      <c r="HYR2" s="27"/>
      <c r="HYS2" s="27"/>
      <c r="HYT2" s="27"/>
      <c r="HYU2" s="27"/>
      <c r="HYV2" s="27"/>
      <c r="HYW2" s="27"/>
      <c r="HYX2" s="27"/>
      <c r="HYY2" s="27"/>
      <c r="HYZ2" s="27"/>
      <c r="HZA2" s="27"/>
      <c r="HZB2" s="27"/>
      <c r="HZC2" s="27"/>
      <c r="HZD2" s="27"/>
      <c r="HZE2" s="27"/>
      <c r="HZF2" s="27"/>
      <c r="HZG2" s="27"/>
      <c r="HZH2" s="27"/>
      <c r="HZI2" s="27"/>
      <c r="HZJ2" s="27"/>
      <c r="HZK2" s="27"/>
      <c r="HZL2" s="27"/>
      <c r="HZM2" s="27"/>
      <c r="HZN2" s="27"/>
      <c r="HZO2" s="27"/>
      <c r="HZP2" s="27"/>
      <c r="HZQ2" s="27"/>
      <c r="HZR2" s="27"/>
      <c r="HZS2" s="27"/>
      <c r="HZT2" s="27"/>
      <c r="HZU2" s="27"/>
      <c r="HZV2" s="27"/>
      <c r="HZW2" s="27"/>
      <c r="HZX2" s="27"/>
      <c r="HZY2" s="27"/>
      <c r="HZZ2" s="27"/>
      <c r="IAA2" s="27"/>
      <c r="IAB2" s="27"/>
      <c r="IAC2" s="27"/>
      <c r="IAD2" s="27"/>
      <c r="IAE2" s="27"/>
      <c r="IAF2" s="27"/>
      <c r="IAG2" s="27"/>
      <c r="IAH2" s="27"/>
      <c r="IAI2" s="27"/>
      <c r="IAJ2" s="27"/>
      <c r="IAK2" s="27"/>
      <c r="IAL2" s="27"/>
      <c r="IAM2" s="27"/>
      <c r="IAN2" s="27"/>
      <c r="IAO2" s="27"/>
      <c r="IAP2" s="27"/>
      <c r="IAQ2" s="27"/>
      <c r="IAR2" s="27"/>
      <c r="IAS2" s="27"/>
      <c r="IAT2" s="27"/>
      <c r="IAU2" s="27"/>
      <c r="IAV2" s="27"/>
      <c r="IAW2" s="27"/>
      <c r="IAX2" s="27"/>
      <c r="IAY2" s="27"/>
      <c r="IAZ2" s="27"/>
      <c r="IBA2" s="27"/>
      <c r="IBB2" s="27"/>
      <c r="IBC2" s="27"/>
      <c r="IBD2" s="27"/>
      <c r="IBE2" s="27"/>
      <c r="IBF2" s="27"/>
      <c r="IBG2" s="27"/>
      <c r="IBH2" s="27"/>
      <c r="IBI2" s="27"/>
      <c r="IBJ2" s="27"/>
      <c r="IBK2" s="27"/>
      <c r="IBL2" s="27"/>
      <c r="IBM2" s="27"/>
      <c r="IBN2" s="27"/>
      <c r="IBO2" s="27"/>
      <c r="IBP2" s="27"/>
      <c r="IBQ2" s="27"/>
      <c r="IBR2" s="27"/>
      <c r="IBS2" s="27"/>
      <c r="IBT2" s="27"/>
      <c r="IBU2" s="27"/>
      <c r="IBV2" s="27"/>
      <c r="IBW2" s="27"/>
      <c r="IBX2" s="27"/>
      <c r="IBY2" s="27"/>
      <c r="IBZ2" s="27"/>
      <c r="ICA2" s="27"/>
      <c r="ICB2" s="27"/>
      <c r="ICC2" s="27"/>
      <c r="ICD2" s="27"/>
      <c r="ICE2" s="27"/>
      <c r="ICF2" s="27"/>
      <c r="ICG2" s="27"/>
      <c r="ICH2" s="27"/>
      <c r="ICI2" s="27"/>
      <c r="ICJ2" s="27"/>
      <c r="ICK2" s="27"/>
      <c r="ICL2" s="27"/>
      <c r="ICM2" s="27"/>
      <c r="ICN2" s="27"/>
      <c r="ICO2" s="27"/>
      <c r="ICP2" s="27"/>
      <c r="ICQ2" s="27"/>
      <c r="ICR2" s="27"/>
      <c r="ICS2" s="27"/>
      <c r="ICT2" s="27"/>
      <c r="ICU2" s="27"/>
      <c r="ICV2" s="27"/>
      <c r="ICW2" s="27"/>
      <c r="ICX2" s="27"/>
      <c r="ICY2" s="27"/>
      <c r="ICZ2" s="27"/>
      <c r="IDA2" s="27"/>
      <c r="IDB2" s="27"/>
      <c r="IDC2" s="27"/>
      <c r="IDD2" s="27"/>
      <c r="IDE2" s="27"/>
      <c r="IDF2" s="27"/>
      <c r="IDG2" s="27"/>
      <c r="IDH2" s="27"/>
      <c r="IDI2" s="27"/>
      <c r="IDJ2" s="27"/>
      <c r="IDK2" s="27"/>
      <c r="IDL2" s="27"/>
      <c r="IDM2" s="27"/>
      <c r="IDN2" s="27"/>
      <c r="IDO2" s="27"/>
      <c r="IDP2" s="27"/>
      <c r="IDQ2" s="27"/>
      <c r="IDR2" s="27"/>
      <c r="IDS2" s="27"/>
      <c r="IDT2" s="27"/>
      <c r="IDU2" s="27"/>
      <c r="IDV2" s="27"/>
      <c r="IDW2" s="27"/>
      <c r="IDX2" s="27"/>
      <c r="IDY2" s="27"/>
      <c r="IDZ2" s="27"/>
      <c r="IEA2" s="27"/>
      <c r="IEB2" s="27"/>
      <c r="IEC2" s="27"/>
      <c r="IED2" s="27"/>
      <c r="IEE2" s="27"/>
      <c r="IEF2" s="27"/>
      <c r="IEG2" s="27"/>
      <c r="IEH2" s="27"/>
      <c r="IEI2" s="27"/>
      <c r="IEJ2" s="27"/>
      <c r="IEK2" s="27"/>
      <c r="IEL2" s="27"/>
      <c r="IEM2" s="27"/>
      <c r="IEN2" s="27"/>
      <c r="IEO2" s="27"/>
      <c r="IEP2" s="27"/>
      <c r="IEQ2" s="27"/>
      <c r="IER2" s="27"/>
      <c r="IES2" s="27"/>
      <c r="IET2" s="27"/>
      <c r="IEU2" s="27"/>
      <c r="IEV2" s="27"/>
      <c r="IEW2" s="27"/>
      <c r="IEX2" s="27"/>
      <c r="IEY2" s="27"/>
      <c r="IEZ2" s="27"/>
      <c r="IFA2" s="27"/>
      <c r="IFB2" s="27"/>
      <c r="IFC2" s="27"/>
      <c r="IFD2" s="27"/>
      <c r="IFE2" s="27"/>
      <c r="IFF2" s="27"/>
      <c r="IFG2" s="27"/>
      <c r="IFH2" s="27"/>
      <c r="IFI2" s="27"/>
      <c r="IFJ2" s="27"/>
      <c r="IFK2" s="27"/>
      <c r="IFL2" s="27"/>
      <c r="IFM2" s="27"/>
      <c r="IFN2" s="27"/>
      <c r="IFO2" s="27"/>
      <c r="IFP2" s="27"/>
      <c r="IFQ2" s="27"/>
      <c r="IFR2" s="27"/>
      <c r="IFS2" s="27"/>
      <c r="IFT2" s="27"/>
      <c r="IFU2" s="27"/>
      <c r="IFV2" s="27"/>
      <c r="IFW2" s="27"/>
      <c r="IFX2" s="27"/>
      <c r="IFY2" s="27"/>
      <c r="IFZ2" s="27"/>
      <c r="IGA2" s="27"/>
      <c r="IGB2" s="27"/>
      <c r="IGC2" s="27"/>
      <c r="IGD2" s="27"/>
      <c r="IGE2" s="27"/>
      <c r="IGF2" s="27"/>
      <c r="IGG2" s="27"/>
      <c r="IGH2" s="27"/>
      <c r="IGI2" s="27"/>
      <c r="IGJ2" s="27"/>
      <c r="IGK2" s="27"/>
      <c r="IGL2" s="27"/>
      <c r="IGM2" s="27"/>
      <c r="IGN2" s="27"/>
      <c r="IGO2" s="27"/>
      <c r="IGP2" s="27"/>
      <c r="IGQ2" s="27"/>
      <c r="IGR2" s="27"/>
      <c r="IGS2" s="27"/>
      <c r="IGT2" s="27"/>
      <c r="IGU2" s="27"/>
      <c r="IGV2" s="27"/>
      <c r="IGW2" s="27"/>
      <c r="IGX2" s="27"/>
      <c r="IGY2" s="27"/>
      <c r="IGZ2" s="27"/>
      <c r="IHA2" s="27"/>
      <c r="IHB2" s="27"/>
      <c r="IHC2" s="27"/>
      <c r="IHD2" s="27"/>
      <c r="IHE2" s="27"/>
      <c r="IHF2" s="27"/>
      <c r="IHG2" s="27"/>
      <c r="IHH2" s="27"/>
      <c r="IHI2" s="27"/>
      <c r="IHJ2" s="27"/>
      <c r="IHK2" s="27"/>
      <c r="IHL2" s="27"/>
      <c r="IHM2" s="27"/>
      <c r="IHN2" s="27"/>
      <c r="IHO2" s="27"/>
      <c r="IHP2" s="27"/>
      <c r="IHQ2" s="27"/>
      <c r="IHR2" s="27"/>
      <c r="IHS2" s="27"/>
      <c r="IHT2" s="27"/>
      <c r="IHU2" s="27"/>
      <c r="IHV2" s="27"/>
      <c r="IHW2" s="27"/>
      <c r="IHX2" s="27"/>
      <c r="IHY2" s="27"/>
      <c r="IHZ2" s="27"/>
      <c r="IIA2" s="27"/>
      <c r="IIB2" s="27"/>
      <c r="IIC2" s="27"/>
      <c r="IID2" s="27"/>
      <c r="IIE2" s="27"/>
      <c r="IIF2" s="27"/>
      <c r="IIG2" s="27"/>
      <c r="IIH2" s="27"/>
      <c r="III2" s="27"/>
      <c r="IIJ2" s="27"/>
      <c r="IIK2" s="27"/>
      <c r="IIL2" s="27"/>
      <c r="IIM2" s="27"/>
      <c r="IIN2" s="27"/>
      <c r="IIO2" s="27"/>
      <c r="IIP2" s="27"/>
      <c r="IIQ2" s="27"/>
      <c r="IIR2" s="27"/>
      <c r="IIS2" s="27"/>
      <c r="IIT2" s="27"/>
      <c r="IIU2" s="27"/>
      <c r="IIV2" s="27"/>
      <c r="IIW2" s="27"/>
      <c r="IIX2" s="27"/>
      <c r="IIY2" s="27"/>
      <c r="IIZ2" s="27"/>
      <c r="IJA2" s="27"/>
      <c r="IJB2" s="27"/>
      <c r="IJC2" s="27"/>
      <c r="IJD2" s="27"/>
      <c r="IJE2" s="27"/>
      <c r="IJF2" s="27"/>
      <c r="IJG2" s="27"/>
      <c r="IJH2" s="27"/>
      <c r="IJI2" s="27"/>
      <c r="IJJ2" s="27"/>
      <c r="IJK2" s="27"/>
      <c r="IJL2" s="27"/>
      <c r="IJM2" s="27"/>
      <c r="IJN2" s="27"/>
      <c r="IJO2" s="27"/>
      <c r="IJP2" s="27"/>
      <c r="IJQ2" s="27"/>
      <c r="IJR2" s="27"/>
      <c r="IJS2" s="27"/>
      <c r="IJT2" s="27"/>
      <c r="IJU2" s="27"/>
      <c r="IJV2" s="27"/>
      <c r="IJW2" s="27"/>
      <c r="IJX2" s="27"/>
      <c r="IJY2" s="27"/>
      <c r="IJZ2" s="27"/>
      <c r="IKA2" s="27"/>
      <c r="IKB2" s="27"/>
      <c r="IKC2" s="27"/>
      <c r="IKD2" s="27"/>
      <c r="IKE2" s="27"/>
      <c r="IKF2" s="27"/>
      <c r="IKG2" s="27"/>
      <c r="IKH2" s="27"/>
      <c r="IKI2" s="27"/>
      <c r="IKJ2" s="27"/>
      <c r="IKK2" s="27"/>
      <c r="IKL2" s="27"/>
      <c r="IKM2" s="27"/>
      <c r="IKN2" s="27"/>
      <c r="IKO2" s="27"/>
      <c r="IKP2" s="27"/>
      <c r="IKQ2" s="27"/>
      <c r="IKR2" s="27"/>
      <c r="IKS2" s="27"/>
      <c r="IKT2" s="27"/>
      <c r="IKU2" s="27"/>
      <c r="IKV2" s="27"/>
      <c r="IKW2" s="27"/>
      <c r="IKX2" s="27"/>
      <c r="IKY2" s="27"/>
      <c r="IKZ2" s="27"/>
      <c r="ILA2" s="27"/>
      <c r="ILB2" s="27"/>
      <c r="ILC2" s="27"/>
      <c r="ILD2" s="27"/>
      <c r="ILE2" s="27"/>
      <c r="ILF2" s="27"/>
      <c r="ILG2" s="27"/>
      <c r="ILH2" s="27"/>
      <c r="ILI2" s="27"/>
      <c r="ILJ2" s="27"/>
      <c r="ILK2" s="27"/>
      <c r="ILL2" s="27"/>
      <c r="ILM2" s="27"/>
      <c r="ILN2" s="27"/>
      <c r="ILO2" s="27"/>
      <c r="ILP2" s="27"/>
      <c r="ILQ2" s="27"/>
      <c r="ILR2" s="27"/>
      <c r="ILS2" s="27"/>
      <c r="ILT2" s="27"/>
      <c r="ILU2" s="27"/>
      <c r="ILV2" s="27"/>
      <c r="ILW2" s="27"/>
      <c r="ILX2" s="27"/>
      <c r="ILY2" s="27"/>
      <c r="ILZ2" s="27"/>
      <c r="IMA2" s="27"/>
      <c r="IMB2" s="27"/>
      <c r="IMC2" s="27"/>
      <c r="IMD2" s="27"/>
      <c r="IME2" s="27"/>
      <c r="IMF2" s="27"/>
      <c r="IMG2" s="27"/>
      <c r="IMH2" s="27"/>
      <c r="IMI2" s="27"/>
      <c r="IMJ2" s="27"/>
      <c r="IMK2" s="27"/>
      <c r="IML2" s="27"/>
      <c r="IMM2" s="27"/>
      <c r="IMN2" s="27"/>
      <c r="IMO2" s="27"/>
      <c r="IMP2" s="27"/>
      <c r="IMQ2" s="27"/>
      <c r="IMR2" s="27"/>
      <c r="IMS2" s="27"/>
      <c r="IMT2" s="27"/>
      <c r="IMU2" s="27"/>
      <c r="IMV2" s="27"/>
      <c r="IMW2" s="27"/>
      <c r="IMX2" s="27"/>
      <c r="IMY2" s="27"/>
      <c r="IMZ2" s="27"/>
      <c r="INA2" s="27"/>
      <c r="INB2" s="27"/>
      <c r="INC2" s="27"/>
      <c r="IND2" s="27"/>
      <c r="INE2" s="27"/>
      <c r="INF2" s="27"/>
      <c r="ING2" s="27"/>
      <c r="INH2" s="27"/>
      <c r="INI2" s="27"/>
      <c r="INJ2" s="27"/>
      <c r="INK2" s="27"/>
      <c r="INL2" s="27"/>
      <c r="INM2" s="27"/>
      <c r="INN2" s="27"/>
      <c r="INO2" s="27"/>
      <c r="INP2" s="27"/>
      <c r="INQ2" s="27"/>
      <c r="INR2" s="27"/>
      <c r="INS2" s="27"/>
      <c r="INT2" s="27"/>
      <c r="INU2" s="27"/>
      <c r="INV2" s="27"/>
      <c r="INW2" s="27"/>
      <c r="INX2" s="27"/>
      <c r="INY2" s="27"/>
      <c r="INZ2" s="27"/>
      <c r="IOA2" s="27"/>
      <c r="IOB2" s="27"/>
      <c r="IOC2" s="27"/>
      <c r="IOD2" s="27"/>
      <c r="IOE2" s="27"/>
      <c r="IOF2" s="27"/>
      <c r="IOG2" s="27"/>
      <c r="IOH2" s="27"/>
      <c r="IOI2" s="27"/>
      <c r="IOJ2" s="27"/>
      <c r="IOK2" s="27"/>
      <c r="IOL2" s="27"/>
      <c r="IOM2" s="27"/>
      <c r="ION2" s="27"/>
      <c r="IOO2" s="27"/>
      <c r="IOP2" s="27"/>
      <c r="IOQ2" s="27"/>
      <c r="IOR2" s="27"/>
      <c r="IOS2" s="27"/>
      <c r="IOT2" s="27"/>
      <c r="IOU2" s="27"/>
      <c r="IOV2" s="27"/>
      <c r="IOW2" s="27"/>
      <c r="IOX2" s="27"/>
      <c r="IOY2" s="27"/>
      <c r="IOZ2" s="27"/>
      <c r="IPA2" s="27"/>
      <c r="IPB2" s="27"/>
      <c r="IPC2" s="27"/>
      <c r="IPD2" s="27"/>
      <c r="IPE2" s="27"/>
      <c r="IPF2" s="27"/>
      <c r="IPG2" s="27"/>
      <c r="IPH2" s="27"/>
      <c r="IPI2" s="27"/>
      <c r="IPJ2" s="27"/>
      <c r="IPK2" s="27"/>
      <c r="IPL2" s="27"/>
      <c r="IPM2" s="27"/>
      <c r="IPN2" s="27"/>
      <c r="IPO2" s="27"/>
      <c r="IPP2" s="27"/>
      <c r="IPQ2" s="27"/>
      <c r="IPR2" s="27"/>
      <c r="IPS2" s="27"/>
      <c r="IPT2" s="27"/>
      <c r="IPU2" s="27"/>
      <c r="IPV2" s="27"/>
      <c r="IPW2" s="27"/>
      <c r="IPX2" s="27"/>
      <c r="IPY2" s="27"/>
      <c r="IPZ2" s="27"/>
      <c r="IQA2" s="27"/>
      <c r="IQB2" s="27"/>
      <c r="IQC2" s="27"/>
      <c r="IQD2" s="27"/>
      <c r="IQE2" s="27"/>
      <c r="IQF2" s="27"/>
      <c r="IQG2" s="27"/>
      <c r="IQH2" s="27"/>
      <c r="IQI2" s="27"/>
      <c r="IQJ2" s="27"/>
      <c r="IQK2" s="27"/>
      <c r="IQL2" s="27"/>
      <c r="IQM2" s="27"/>
      <c r="IQN2" s="27"/>
      <c r="IQO2" s="27"/>
      <c r="IQP2" s="27"/>
      <c r="IQQ2" s="27"/>
      <c r="IQR2" s="27"/>
      <c r="IQS2" s="27"/>
      <c r="IQT2" s="27"/>
      <c r="IQU2" s="27"/>
      <c r="IQV2" s="27"/>
      <c r="IQW2" s="27"/>
      <c r="IQX2" s="27"/>
      <c r="IQY2" s="27"/>
      <c r="IQZ2" s="27"/>
      <c r="IRA2" s="27"/>
      <c r="IRB2" s="27"/>
      <c r="IRC2" s="27"/>
      <c r="IRD2" s="27"/>
      <c r="IRE2" s="27"/>
      <c r="IRF2" s="27"/>
      <c r="IRG2" s="27"/>
      <c r="IRH2" s="27"/>
      <c r="IRI2" s="27"/>
      <c r="IRJ2" s="27"/>
      <c r="IRK2" s="27"/>
      <c r="IRL2" s="27"/>
      <c r="IRM2" s="27"/>
      <c r="IRN2" s="27"/>
      <c r="IRO2" s="27"/>
      <c r="IRP2" s="27"/>
      <c r="IRQ2" s="27"/>
      <c r="IRR2" s="27"/>
      <c r="IRS2" s="27"/>
      <c r="IRT2" s="27"/>
      <c r="IRU2" s="27"/>
      <c r="IRV2" s="27"/>
      <c r="IRW2" s="27"/>
      <c r="IRX2" s="27"/>
      <c r="IRY2" s="27"/>
      <c r="IRZ2" s="27"/>
      <c r="ISA2" s="27"/>
      <c r="ISB2" s="27"/>
      <c r="ISC2" s="27"/>
      <c r="ISD2" s="27"/>
      <c r="ISE2" s="27"/>
      <c r="ISF2" s="27"/>
      <c r="ISG2" s="27"/>
      <c r="ISH2" s="27"/>
      <c r="ISI2" s="27"/>
      <c r="ISJ2" s="27"/>
      <c r="ISK2" s="27"/>
      <c r="ISL2" s="27"/>
      <c r="ISM2" s="27"/>
      <c r="ISN2" s="27"/>
      <c r="ISO2" s="27"/>
      <c r="ISP2" s="27"/>
      <c r="ISQ2" s="27"/>
      <c r="ISR2" s="27"/>
      <c r="ISS2" s="27"/>
      <c r="IST2" s="27"/>
      <c r="ISU2" s="27"/>
      <c r="ISV2" s="27"/>
      <c r="ISW2" s="27"/>
      <c r="ISX2" s="27"/>
      <c r="ISY2" s="27"/>
      <c r="ISZ2" s="27"/>
      <c r="ITA2" s="27"/>
      <c r="ITB2" s="27"/>
      <c r="ITC2" s="27"/>
      <c r="ITD2" s="27"/>
      <c r="ITE2" s="27"/>
      <c r="ITF2" s="27"/>
      <c r="ITG2" s="27"/>
      <c r="ITH2" s="27"/>
      <c r="ITI2" s="27"/>
      <c r="ITJ2" s="27"/>
      <c r="ITK2" s="27"/>
      <c r="ITL2" s="27"/>
      <c r="ITM2" s="27"/>
      <c r="ITN2" s="27"/>
      <c r="ITO2" s="27"/>
      <c r="ITP2" s="27"/>
      <c r="ITQ2" s="27"/>
      <c r="ITR2" s="27"/>
      <c r="ITS2" s="27"/>
      <c r="ITT2" s="27"/>
      <c r="ITU2" s="27"/>
      <c r="ITV2" s="27"/>
      <c r="ITW2" s="27"/>
      <c r="ITX2" s="27"/>
      <c r="ITY2" s="27"/>
      <c r="ITZ2" s="27"/>
      <c r="IUA2" s="27"/>
      <c r="IUB2" s="27"/>
      <c r="IUC2" s="27"/>
      <c r="IUD2" s="27"/>
      <c r="IUE2" s="27"/>
      <c r="IUF2" s="27"/>
      <c r="IUG2" s="27"/>
      <c r="IUH2" s="27"/>
      <c r="IUI2" s="27"/>
      <c r="IUJ2" s="27"/>
      <c r="IUK2" s="27"/>
      <c r="IUL2" s="27"/>
      <c r="IUM2" s="27"/>
      <c r="IUN2" s="27"/>
      <c r="IUO2" s="27"/>
      <c r="IUP2" s="27"/>
      <c r="IUQ2" s="27"/>
      <c r="IUR2" s="27"/>
      <c r="IUS2" s="27"/>
      <c r="IUT2" s="27"/>
      <c r="IUU2" s="27"/>
      <c r="IUV2" s="27"/>
      <c r="IUW2" s="27"/>
      <c r="IUX2" s="27"/>
      <c r="IUY2" s="27"/>
      <c r="IUZ2" s="27"/>
      <c r="IVA2" s="27"/>
      <c r="IVB2" s="27"/>
      <c r="IVC2" s="27"/>
      <c r="IVD2" s="27"/>
      <c r="IVE2" s="27"/>
      <c r="IVF2" s="27"/>
      <c r="IVG2" s="27"/>
      <c r="IVH2" s="27"/>
      <c r="IVI2" s="27"/>
      <c r="IVJ2" s="27"/>
      <c r="IVK2" s="27"/>
      <c r="IVL2" s="27"/>
      <c r="IVM2" s="27"/>
      <c r="IVN2" s="27"/>
      <c r="IVO2" s="27"/>
      <c r="IVP2" s="27"/>
      <c r="IVQ2" s="27"/>
      <c r="IVR2" s="27"/>
      <c r="IVS2" s="27"/>
      <c r="IVT2" s="27"/>
      <c r="IVU2" s="27"/>
      <c r="IVV2" s="27"/>
      <c r="IVW2" s="27"/>
      <c r="IVX2" s="27"/>
      <c r="IVY2" s="27"/>
      <c r="IVZ2" s="27"/>
      <c r="IWA2" s="27"/>
      <c r="IWB2" s="27"/>
      <c r="IWC2" s="27"/>
      <c r="IWD2" s="27"/>
      <c r="IWE2" s="27"/>
      <c r="IWF2" s="27"/>
      <c r="IWG2" s="27"/>
      <c r="IWH2" s="27"/>
      <c r="IWI2" s="27"/>
      <c r="IWJ2" s="27"/>
      <c r="IWK2" s="27"/>
      <c r="IWL2" s="27"/>
      <c r="IWM2" s="27"/>
      <c r="IWN2" s="27"/>
      <c r="IWO2" s="27"/>
      <c r="IWP2" s="27"/>
      <c r="IWQ2" s="27"/>
      <c r="IWR2" s="27"/>
      <c r="IWS2" s="27"/>
      <c r="IWT2" s="27"/>
      <c r="IWU2" s="27"/>
      <c r="IWV2" s="27"/>
      <c r="IWW2" s="27"/>
      <c r="IWX2" s="27"/>
      <c r="IWY2" s="27"/>
      <c r="IWZ2" s="27"/>
      <c r="IXA2" s="27"/>
      <c r="IXB2" s="27"/>
      <c r="IXC2" s="27"/>
      <c r="IXD2" s="27"/>
      <c r="IXE2" s="27"/>
      <c r="IXF2" s="27"/>
      <c r="IXG2" s="27"/>
      <c r="IXH2" s="27"/>
      <c r="IXI2" s="27"/>
      <c r="IXJ2" s="27"/>
      <c r="IXK2" s="27"/>
      <c r="IXL2" s="27"/>
      <c r="IXM2" s="27"/>
      <c r="IXN2" s="27"/>
      <c r="IXO2" s="27"/>
      <c r="IXP2" s="27"/>
      <c r="IXQ2" s="27"/>
      <c r="IXR2" s="27"/>
      <c r="IXS2" s="27"/>
      <c r="IXT2" s="27"/>
      <c r="IXU2" s="27"/>
      <c r="IXV2" s="27"/>
      <c r="IXW2" s="27"/>
      <c r="IXX2" s="27"/>
      <c r="IXY2" s="27"/>
      <c r="IXZ2" s="27"/>
      <c r="IYA2" s="27"/>
      <c r="IYB2" s="27"/>
      <c r="IYC2" s="27"/>
      <c r="IYD2" s="27"/>
      <c r="IYE2" s="27"/>
      <c r="IYF2" s="27"/>
      <c r="IYG2" s="27"/>
      <c r="IYH2" s="27"/>
      <c r="IYI2" s="27"/>
      <c r="IYJ2" s="27"/>
      <c r="IYK2" s="27"/>
      <c r="IYL2" s="27"/>
      <c r="IYM2" s="27"/>
      <c r="IYN2" s="27"/>
      <c r="IYO2" s="27"/>
      <c r="IYP2" s="27"/>
      <c r="IYQ2" s="27"/>
      <c r="IYR2" s="27"/>
      <c r="IYS2" s="27"/>
      <c r="IYT2" s="27"/>
      <c r="IYU2" s="27"/>
      <c r="IYV2" s="27"/>
      <c r="IYW2" s="27"/>
      <c r="IYX2" s="27"/>
      <c r="IYY2" s="27"/>
      <c r="IYZ2" s="27"/>
      <c r="IZA2" s="27"/>
      <c r="IZB2" s="27"/>
      <c r="IZC2" s="27"/>
      <c r="IZD2" s="27"/>
      <c r="IZE2" s="27"/>
      <c r="IZF2" s="27"/>
      <c r="IZG2" s="27"/>
      <c r="IZH2" s="27"/>
      <c r="IZI2" s="27"/>
      <c r="IZJ2" s="27"/>
      <c r="IZK2" s="27"/>
      <c r="IZL2" s="27"/>
      <c r="IZM2" s="27"/>
      <c r="IZN2" s="27"/>
      <c r="IZO2" s="27"/>
      <c r="IZP2" s="27"/>
      <c r="IZQ2" s="27"/>
      <c r="IZR2" s="27"/>
      <c r="IZS2" s="27"/>
      <c r="IZT2" s="27"/>
      <c r="IZU2" s="27"/>
      <c r="IZV2" s="27"/>
      <c r="IZW2" s="27"/>
      <c r="IZX2" s="27"/>
      <c r="IZY2" s="27"/>
      <c r="IZZ2" s="27"/>
      <c r="JAA2" s="27"/>
      <c r="JAB2" s="27"/>
      <c r="JAC2" s="27"/>
      <c r="JAD2" s="27"/>
      <c r="JAE2" s="27"/>
      <c r="JAF2" s="27"/>
      <c r="JAG2" s="27"/>
      <c r="JAH2" s="27"/>
      <c r="JAI2" s="27"/>
      <c r="JAJ2" s="27"/>
      <c r="JAK2" s="27"/>
      <c r="JAL2" s="27"/>
      <c r="JAM2" s="27"/>
      <c r="JAN2" s="27"/>
      <c r="JAO2" s="27"/>
      <c r="JAP2" s="27"/>
      <c r="JAQ2" s="27"/>
      <c r="JAR2" s="27"/>
      <c r="JAS2" s="27"/>
      <c r="JAT2" s="27"/>
      <c r="JAU2" s="27"/>
      <c r="JAV2" s="27"/>
      <c r="JAW2" s="27"/>
      <c r="JAX2" s="27"/>
      <c r="JAY2" s="27"/>
      <c r="JAZ2" s="27"/>
      <c r="JBA2" s="27"/>
      <c r="JBB2" s="27"/>
      <c r="JBC2" s="27"/>
      <c r="JBD2" s="27"/>
      <c r="JBE2" s="27"/>
      <c r="JBF2" s="27"/>
      <c r="JBG2" s="27"/>
      <c r="JBH2" s="27"/>
      <c r="JBI2" s="27"/>
      <c r="JBJ2" s="27"/>
      <c r="JBK2" s="27"/>
      <c r="JBL2" s="27"/>
      <c r="JBM2" s="27"/>
      <c r="JBN2" s="27"/>
      <c r="JBO2" s="27"/>
      <c r="JBP2" s="27"/>
      <c r="JBQ2" s="27"/>
      <c r="JBR2" s="27"/>
      <c r="JBS2" s="27"/>
      <c r="JBT2" s="27"/>
      <c r="JBU2" s="27"/>
      <c r="JBV2" s="27"/>
      <c r="JBW2" s="27"/>
      <c r="JBX2" s="27"/>
      <c r="JBY2" s="27"/>
      <c r="JBZ2" s="27"/>
      <c r="JCA2" s="27"/>
      <c r="JCB2" s="27"/>
      <c r="JCC2" s="27"/>
      <c r="JCD2" s="27"/>
      <c r="JCE2" s="27"/>
      <c r="JCF2" s="27"/>
      <c r="JCG2" s="27"/>
      <c r="JCH2" s="27"/>
      <c r="JCI2" s="27"/>
      <c r="JCJ2" s="27"/>
      <c r="JCK2" s="27"/>
      <c r="JCL2" s="27"/>
      <c r="JCM2" s="27"/>
      <c r="JCN2" s="27"/>
      <c r="JCO2" s="27"/>
      <c r="JCP2" s="27"/>
      <c r="JCQ2" s="27"/>
      <c r="JCR2" s="27"/>
      <c r="JCS2" s="27"/>
      <c r="JCT2" s="27"/>
      <c r="JCU2" s="27"/>
      <c r="JCV2" s="27"/>
      <c r="JCW2" s="27"/>
      <c r="JCX2" s="27"/>
      <c r="JCY2" s="27"/>
      <c r="JCZ2" s="27"/>
      <c r="JDA2" s="27"/>
      <c r="JDB2" s="27"/>
      <c r="JDC2" s="27"/>
      <c r="JDD2" s="27"/>
      <c r="JDE2" s="27"/>
      <c r="JDF2" s="27"/>
      <c r="JDG2" s="27"/>
      <c r="JDH2" s="27"/>
      <c r="JDI2" s="27"/>
      <c r="JDJ2" s="27"/>
      <c r="JDK2" s="27"/>
      <c r="JDL2" s="27"/>
      <c r="JDM2" s="27"/>
      <c r="JDN2" s="27"/>
      <c r="JDO2" s="27"/>
      <c r="JDP2" s="27"/>
      <c r="JDQ2" s="27"/>
      <c r="JDR2" s="27"/>
      <c r="JDS2" s="27"/>
      <c r="JDT2" s="27"/>
      <c r="JDU2" s="27"/>
      <c r="JDV2" s="27"/>
      <c r="JDW2" s="27"/>
      <c r="JDX2" s="27"/>
      <c r="JDY2" s="27"/>
      <c r="JDZ2" s="27"/>
      <c r="JEA2" s="27"/>
      <c r="JEB2" s="27"/>
      <c r="JEC2" s="27"/>
      <c r="JED2" s="27"/>
      <c r="JEE2" s="27"/>
      <c r="JEF2" s="27"/>
      <c r="JEG2" s="27"/>
      <c r="JEH2" s="27"/>
      <c r="JEI2" s="27"/>
      <c r="JEJ2" s="27"/>
      <c r="JEK2" s="27"/>
      <c r="JEL2" s="27"/>
      <c r="JEM2" s="27"/>
      <c r="JEN2" s="27"/>
      <c r="JEO2" s="27"/>
      <c r="JEP2" s="27"/>
      <c r="JEQ2" s="27"/>
      <c r="JER2" s="27"/>
      <c r="JES2" s="27"/>
      <c r="JET2" s="27"/>
      <c r="JEU2" s="27"/>
      <c r="JEV2" s="27"/>
      <c r="JEW2" s="27"/>
      <c r="JEX2" s="27"/>
      <c r="JEY2" s="27"/>
      <c r="JEZ2" s="27"/>
      <c r="JFA2" s="27"/>
      <c r="JFB2" s="27"/>
      <c r="JFC2" s="27"/>
      <c r="JFD2" s="27"/>
      <c r="JFE2" s="27"/>
      <c r="JFF2" s="27"/>
      <c r="JFG2" s="27"/>
      <c r="JFH2" s="27"/>
      <c r="JFI2" s="27"/>
      <c r="JFJ2" s="27"/>
      <c r="JFK2" s="27"/>
      <c r="JFL2" s="27"/>
      <c r="JFM2" s="27"/>
      <c r="JFN2" s="27"/>
      <c r="JFO2" s="27"/>
      <c r="JFP2" s="27"/>
      <c r="JFQ2" s="27"/>
      <c r="JFR2" s="27"/>
      <c r="JFS2" s="27"/>
      <c r="JFT2" s="27"/>
      <c r="JFU2" s="27"/>
      <c r="JFV2" s="27"/>
      <c r="JFW2" s="27"/>
      <c r="JFX2" s="27"/>
      <c r="JFY2" s="27"/>
      <c r="JFZ2" s="27"/>
      <c r="JGA2" s="27"/>
      <c r="JGB2" s="27"/>
      <c r="JGC2" s="27"/>
      <c r="JGD2" s="27"/>
      <c r="JGE2" s="27"/>
      <c r="JGF2" s="27"/>
      <c r="JGG2" s="27"/>
      <c r="JGH2" s="27"/>
      <c r="JGI2" s="27"/>
      <c r="JGJ2" s="27"/>
      <c r="JGK2" s="27"/>
      <c r="JGL2" s="27"/>
      <c r="JGM2" s="27"/>
      <c r="JGN2" s="27"/>
      <c r="JGO2" s="27"/>
      <c r="JGP2" s="27"/>
      <c r="JGQ2" s="27"/>
      <c r="JGR2" s="27"/>
      <c r="JGS2" s="27"/>
      <c r="JGT2" s="27"/>
      <c r="JGU2" s="27"/>
      <c r="JGV2" s="27"/>
      <c r="JGW2" s="27"/>
      <c r="JGX2" s="27"/>
      <c r="JGY2" s="27"/>
      <c r="JGZ2" s="27"/>
      <c r="JHA2" s="27"/>
      <c r="JHB2" s="27"/>
      <c r="JHC2" s="27"/>
      <c r="JHD2" s="27"/>
      <c r="JHE2" s="27"/>
      <c r="JHF2" s="27"/>
      <c r="JHG2" s="27"/>
      <c r="JHH2" s="27"/>
      <c r="JHI2" s="27"/>
      <c r="JHJ2" s="27"/>
      <c r="JHK2" s="27"/>
      <c r="JHL2" s="27"/>
      <c r="JHM2" s="27"/>
      <c r="JHN2" s="27"/>
      <c r="JHO2" s="27"/>
      <c r="JHP2" s="27"/>
      <c r="JHQ2" s="27"/>
      <c r="JHR2" s="27"/>
      <c r="JHS2" s="27"/>
      <c r="JHT2" s="27"/>
      <c r="JHU2" s="27"/>
      <c r="JHV2" s="27"/>
      <c r="JHW2" s="27"/>
      <c r="JHX2" s="27"/>
      <c r="JHY2" s="27"/>
      <c r="JHZ2" s="27"/>
      <c r="JIA2" s="27"/>
      <c r="JIB2" s="27"/>
      <c r="JIC2" s="27"/>
      <c r="JID2" s="27"/>
      <c r="JIE2" s="27"/>
      <c r="JIF2" s="27"/>
      <c r="JIG2" s="27"/>
      <c r="JIH2" s="27"/>
      <c r="JII2" s="27"/>
      <c r="JIJ2" s="27"/>
      <c r="JIK2" s="27"/>
      <c r="JIL2" s="27"/>
      <c r="JIM2" s="27"/>
      <c r="JIN2" s="27"/>
      <c r="JIO2" s="27"/>
      <c r="JIP2" s="27"/>
      <c r="JIQ2" s="27"/>
      <c r="JIR2" s="27"/>
      <c r="JIS2" s="27"/>
      <c r="JIT2" s="27"/>
      <c r="JIU2" s="27"/>
      <c r="JIV2" s="27"/>
      <c r="JIW2" s="27"/>
      <c r="JIX2" s="27"/>
      <c r="JIY2" s="27"/>
      <c r="JIZ2" s="27"/>
      <c r="JJA2" s="27"/>
      <c r="JJB2" s="27"/>
      <c r="JJC2" s="27"/>
      <c r="JJD2" s="27"/>
      <c r="JJE2" s="27"/>
      <c r="JJF2" s="27"/>
      <c r="JJG2" s="27"/>
      <c r="JJH2" s="27"/>
      <c r="JJI2" s="27"/>
      <c r="JJJ2" s="27"/>
      <c r="JJK2" s="27"/>
      <c r="JJL2" s="27"/>
      <c r="JJM2" s="27"/>
      <c r="JJN2" s="27"/>
      <c r="JJO2" s="27"/>
      <c r="JJP2" s="27"/>
      <c r="JJQ2" s="27"/>
      <c r="JJR2" s="27"/>
      <c r="JJS2" s="27"/>
      <c r="JJT2" s="27"/>
      <c r="JJU2" s="27"/>
      <c r="JJV2" s="27"/>
      <c r="JJW2" s="27"/>
      <c r="JJX2" s="27"/>
      <c r="JJY2" s="27"/>
      <c r="JJZ2" s="27"/>
      <c r="JKA2" s="27"/>
      <c r="JKB2" s="27"/>
      <c r="JKC2" s="27"/>
      <c r="JKD2" s="27"/>
      <c r="JKE2" s="27"/>
      <c r="JKF2" s="27"/>
      <c r="JKG2" s="27"/>
      <c r="JKH2" s="27"/>
      <c r="JKI2" s="27"/>
      <c r="JKJ2" s="27"/>
      <c r="JKK2" s="27"/>
      <c r="JKL2" s="27"/>
      <c r="JKM2" s="27"/>
      <c r="JKN2" s="27"/>
      <c r="JKO2" s="27"/>
      <c r="JKP2" s="27"/>
      <c r="JKQ2" s="27"/>
      <c r="JKR2" s="27"/>
      <c r="JKS2" s="27"/>
      <c r="JKT2" s="27"/>
      <c r="JKU2" s="27"/>
      <c r="JKV2" s="27"/>
      <c r="JKW2" s="27"/>
      <c r="JKX2" s="27"/>
      <c r="JKY2" s="27"/>
      <c r="JKZ2" s="27"/>
      <c r="JLA2" s="27"/>
      <c r="JLB2" s="27"/>
      <c r="JLC2" s="27"/>
      <c r="JLD2" s="27"/>
      <c r="JLE2" s="27"/>
      <c r="JLF2" s="27"/>
      <c r="JLG2" s="27"/>
      <c r="JLH2" s="27"/>
      <c r="JLI2" s="27"/>
      <c r="JLJ2" s="27"/>
      <c r="JLK2" s="27"/>
      <c r="JLL2" s="27"/>
      <c r="JLM2" s="27"/>
      <c r="JLN2" s="27"/>
      <c r="JLO2" s="27"/>
      <c r="JLP2" s="27"/>
      <c r="JLQ2" s="27"/>
      <c r="JLR2" s="27"/>
      <c r="JLS2" s="27"/>
      <c r="JLT2" s="27"/>
      <c r="JLU2" s="27"/>
      <c r="JLV2" s="27"/>
      <c r="JLW2" s="27"/>
      <c r="JLX2" s="27"/>
      <c r="JLY2" s="27"/>
      <c r="JLZ2" s="27"/>
      <c r="JMA2" s="27"/>
      <c r="JMB2" s="27"/>
      <c r="JMC2" s="27"/>
      <c r="JMD2" s="27"/>
      <c r="JME2" s="27"/>
      <c r="JMF2" s="27"/>
      <c r="JMG2" s="27"/>
      <c r="JMH2" s="27"/>
      <c r="JMI2" s="27"/>
      <c r="JMJ2" s="27"/>
      <c r="JMK2" s="27"/>
      <c r="JML2" s="27"/>
      <c r="JMM2" s="27"/>
      <c r="JMN2" s="27"/>
      <c r="JMO2" s="27"/>
      <c r="JMP2" s="27"/>
      <c r="JMQ2" s="27"/>
      <c r="JMR2" s="27"/>
      <c r="JMS2" s="27"/>
      <c r="JMT2" s="27"/>
      <c r="JMU2" s="27"/>
      <c r="JMV2" s="27"/>
      <c r="JMW2" s="27"/>
      <c r="JMX2" s="27"/>
      <c r="JMY2" s="27"/>
      <c r="JMZ2" s="27"/>
      <c r="JNA2" s="27"/>
      <c r="JNB2" s="27"/>
      <c r="JNC2" s="27"/>
      <c r="JND2" s="27"/>
      <c r="JNE2" s="27"/>
      <c r="JNF2" s="27"/>
      <c r="JNG2" s="27"/>
      <c r="JNH2" s="27"/>
      <c r="JNI2" s="27"/>
      <c r="JNJ2" s="27"/>
      <c r="JNK2" s="27"/>
      <c r="JNL2" s="27"/>
      <c r="JNM2" s="27"/>
      <c r="JNN2" s="27"/>
      <c r="JNO2" s="27"/>
      <c r="JNP2" s="27"/>
      <c r="JNQ2" s="27"/>
      <c r="JNR2" s="27"/>
      <c r="JNS2" s="27"/>
      <c r="JNT2" s="27"/>
      <c r="JNU2" s="27"/>
      <c r="JNV2" s="27"/>
      <c r="JNW2" s="27"/>
      <c r="JNX2" s="27"/>
      <c r="JNY2" s="27"/>
      <c r="JNZ2" s="27"/>
      <c r="JOA2" s="27"/>
      <c r="JOB2" s="27"/>
      <c r="JOC2" s="27"/>
      <c r="JOD2" s="27"/>
      <c r="JOE2" s="27"/>
      <c r="JOF2" s="27"/>
      <c r="JOG2" s="27"/>
      <c r="JOH2" s="27"/>
      <c r="JOI2" s="27"/>
      <c r="JOJ2" s="27"/>
      <c r="JOK2" s="27"/>
      <c r="JOL2" s="27"/>
      <c r="JOM2" s="27"/>
      <c r="JON2" s="27"/>
      <c r="JOO2" s="27"/>
      <c r="JOP2" s="27"/>
      <c r="JOQ2" s="27"/>
      <c r="JOR2" s="27"/>
      <c r="JOS2" s="27"/>
      <c r="JOT2" s="27"/>
      <c r="JOU2" s="27"/>
      <c r="JOV2" s="27"/>
      <c r="JOW2" s="27"/>
      <c r="JOX2" s="27"/>
      <c r="JOY2" s="27"/>
      <c r="JOZ2" s="27"/>
      <c r="JPA2" s="27"/>
      <c r="JPB2" s="27"/>
      <c r="JPC2" s="27"/>
      <c r="JPD2" s="27"/>
      <c r="JPE2" s="27"/>
      <c r="JPF2" s="27"/>
      <c r="JPG2" s="27"/>
      <c r="JPH2" s="27"/>
      <c r="JPI2" s="27"/>
      <c r="JPJ2" s="27"/>
      <c r="JPK2" s="27"/>
      <c r="JPL2" s="27"/>
      <c r="JPM2" s="27"/>
      <c r="JPN2" s="27"/>
      <c r="JPO2" s="27"/>
      <c r="JPP2" s="27"/>
      <c r="JPQ2" s="27"/>
      <c r="JPR2" s="27"/>
      <c r="JPS2" s="27"/>
      <c r="JPT2" s="27"/>
      <c r="JPU2" s="27"/>
      <c r="JPV2" s="27"/>
      <c r="JPW2" s="27"/>
      <c r="JPX2" s="27"/>
      <c r="JPY2" s="27"/>
      <c r="JPZ2" s="27"/>
      <c r="JQA2" s="27"/>
      <c r="JQB2" s="27"/>
      <c r="JQC2" s="27"/>
      <c r="JQD2" s="27"/>
      <c r="JQE2" s="27"/>
      <c r="JQF2" s="27"/>
      <c r="JQG2" s="27"/>
      <c r="JQH2" s="27"/>
      <c r="JQI2" s="27"/>
      <c r="JQJ2" s="27"/>
      <c r="JQK2" s="27"/>
      <c r="JQL2" s="27"/>
      <c r="JQM2" s="27"/>
      <c r="JQN2" s="27"/>
      <c r="JQO2" s="27"/>
      <c r="JQP2" s="27"/>
      <c r="JQQ2" s="27"/>
      <c r="JQR2" s="27"/>
      <c r="JQS2" s="27"/>
      <c r="JQT2" s="27"/>
      <c r="JQU2" s="27"/>
      <c r="JQV2" s="27"/>
      <c r="JQW2" s="27"/>
      <c r="JQX2" s="27"/>
      <c r="JQY2" s="27"/>
      <c r="JQZ2" s="27"/>
      <c r="JRA2" s="27"/>
      <c r="JRB2" s="27"/>
      <c r="JRC2" s="27"/>
      <c r="JRD2" s="27"/>
      <c r="JRE2" s="27"/>
      <c r="JRF2" s="27"/>
      <c r="JRG2" s="27"/>
      <c r="JRH2" s="27"/>
      <c r="JRI2" s="27"/>
      <c r="JRJ2" s="27"/>
      <c r="JRK2" s="27"/>
      <c r="JRL2" s="27"/>
      <c r="JRM2" s="27"/>
      <c r="JRN2" s="27"/>
      <c r="JRO2" s="27"/>
      <c r="JRP2" s="27"/>
      <c r="JRQ2" s="27"/>
      <c r="JRR2" s="27"/>
      <c r="JRS2" s="27"/>
      <c r="JRT2" s="27"/>
      <c r="JRU2" s="27"/>
      <c r="JRV2" s="27"/>
      <c r="JRW2" s="27"/>
      <c r="JRX2" s="27"/>
      <c r="JRY2" s="27"/>
      <c r="JRZ2" s="27"/>
      <c r="JSA2" s="27"/>
      <c r="JSB2" s="27"/>
      <c r="JSC2" s="27"/>
      <c r="JSD2" s="27"/>
      <c r="JSE2" s="27"/>
      <c r="JSF2" s="27"/>
      <c r="JSG2" s="27"/>
      <c r="JSH2" s="27"/>
      <c r="JSI2" s="27"/>
      <c r="JSJ2" s="27"/>
      <c r="JSK2" s="27"/>
      <c r="JSL2" s="27"/>
      <c r="JSM2" s="27"/>
      <c r="JSN2" s="27"/>
      <c r="JSO2" s="27"/>
      <c r="JSP2" s="27"/>
      <c r="JSQ2" s="27"/>
      <c r="JSR2" s="27"/>
      <c r="JSS2" s="27"/>
      <c r="JST2" s="27"/>
      <c r="JSU2" s="27"/>
      <c r="JSV2" s="27"/>
      <c r="JSW2" s="27"/>
      <c r="JSX2" s="27"/>
      <c r="JSY2" s="27"/>
      <c r="JSZ2" s="27"/>
      <c r="JTA2" s="27"/>
      <c r="JTB2" s="27"/>
      <c r="JTC2" s="27"/>
      <c r="JTD2" s="27"/>
      <c r="JTE2" s="27"/>
      <c r="JTF2" s="27"/>
      <c r="JTG2" s="27"/>
      <c r="JTH2" s="27"/>
      <c r="JTI2" s="27"/>
      <c r="JTJ2" s="27"/>
      <c r="JTK2" s="27"/>
      <c r="JTL2" s="27"/>
      <c r="JTM2" s="27"/>
      <c r="JTN2" s="27"/>
      <c r="JTO2" s="27"/>
      <c r="JTP2" s="27"/>
      <c r="JTQ2" s="27"/>
      <c r="JTR2" s="27"/>
      <c r="JTS2" s="27"/>
      <c r="JTT2" s="27"/>
      <c r="JTU2" s="27"/>
      <c r="JTV2" s="27"/>
      <c r="JTW2" s="27"/>
      <c r="JTX2" s="27"/>
      <c r="JTY2" s="27"/>
      <c r="JTZ2" s="27"/>
      <c r="JUA2" s="27"/>
      <c r="JUB2" s="27"/>
      <c r="JUC2" s="27"/>
      <c r="JUD2" s="27"/>
      <c r="JUE2" s="27"/>
      <c r="JUF2" s="27"/>
      <c r="JUG2" s="27"/>
      <c r="JUH2" s="27"/>
      <c r="JUI2" s="27"/>
      <c r="JUJ2" s="27"/>
      <c r="JUK2" s="27"/>
      <c r="JUL2" s="27"/>
      <c r="JUM2" s="27"/>
      <c r="JUN2" s="27"/>
      <c r="JUO2" s="27"/>
      <c r="JUP2" s="27"/>
      <c r="JUQ2" s="27"/>
      <c r="JUR2" s="27"/>
      <c r="JUS2" s="27"/>
      <c r="JUT2" s="27"/>
      <c r="JUU2" s="27"/>
      <c r="JUV2" s="27"/>
      <c r="JUW2" s="27"/>
      <c r="JUX2" s="27"/>
      <c r="JUY2" s="27"/>
      <c r="JUZ2" s="27"/>
      <c r="JVA2" s="27"/>
      <c r="JVB2" s="27"/>
      <c r="JVC2" s="27"/>
      <c r="JVD2" s="27"/>
      <c r="JVE2" s="27"/>
      <c r="JVF2" s="27"/>
      <c r="JVG2" s="27"/>
      <c r="JVH2" s="27"/>
      <c r="JVI2" s="27"/>
      <c r="JVJ2" s="27"/>
      <c r="JVK2" s="27"/>
      <c r="JVL2" s="27"/>
      <c r="JVM2" s="27"/>
      <c r="JVN2" s="27"/>
      <c r="JVO2" s="27"/>
      <c r="JVP2" s="27"/>
      <c r="JVQ2" s="27"/>
      <c r="JVR2" s="27"/>
      <c r="JVS2" s="27"/>
      <c r="JVT2" s="27"/>
      <c r="JVU2" s="27"/>
      <c r="JVV2" s="27"/>
      <c r="JVW2" s="27"/>
      <c r="JVX2" s="27"/>
      <c r="JVY2" s="27"/>
      <c r="JVZ2" s="27"/>
      <c r="JWA2" s="27"/>
      <c r="JWB2" s="27"/>
      <c r="JWC2" s="27"/>
      <c r="JWD2" s="27"/>
      <c r="JWE2" s="27"/>
      <c r="JWF2" s="27"/>
      <c r="JWG2" s="27"/>
      <c r="JWH2" s="27"/>
      <c r="JWI2" s="27"/>
      <c r="JWJ2" s="27"/>
      <c r="JWK2" s="27"/>
      <c r="JWL2" s="27"/>
      <c r="JWM2" s="27"/>
      <c r="JWN2" s="27"/>
      <c r="JWO2" s="27"/>
      <c r="JWP2" s="27"/>
      <c r="JWQ2" s="27"/>
      <c r="JWR2" s="27"/>
      <c r="JWS2" s="27"/>
      <c r="JWT2" s="27"/>
      <c r="JWU2" s="27"/>
      <c r="JWV2" s="27"/>
      <c r="JWW2" s="27"/>
      <c r="JWX2" s="27"/>
      <c r="JWY2" s="27"/>
      <c r="JWZ2" s="27"/>
      <c r="JXA2" s="27"/>
      <c r="JXB2" s="27"/>
      <c r="JXC2" s="27"/>
      <c r="JXD2" s="27"/>
      <c r="JXE2" s="27"/>
      <c r="JXF2" s="27"/>
      <c r="JXG2" s="27"/>
      <c r="JXH2" s="27"/>
      <c r="JXI2" s="27"/>
      <c r="JXJ2" s="27"/>
      <c r="JXK2" s="27"/>
      <c r="JXL2" s="27"/>
      <c r="JXM2" s="27"/>
      <c r="JXN2" s="27"/>
      <c r="JXO2" s="27"/>
      <c r="JXP2" s="27"/>
      <c r="JXQ2" s="27"/>
      <c r="JXR2" s="27"/>
      <c r="JXS2" s="27"/>
      <c r="JXT2" s="27"/>
      <c r="JXU2" s="27"/>
      <c r="JXV2" s="27"/>
      <c r="JXW2" s="27"/>
      <c r="JXX2" s="27"/>
      <c r="JXY2" s="27"/>
      <c r="JXZ2" s="27"/>
      <c r="JYA2" s="27"/>
      <c r="JYB2" s="27"/>
      <c r="JYC2" s="27"/>
      <c r="JYD2" s="27"/>
      <c r="JYE2" s="27"/>
      <c r="JYF2" s="27"/>
      <c r="JYG2" s="27"/>
      <c r="JYH2" s="27"/>
      <c r="JYI2" s="27"/>
      <c r="JYJ2" s="27"/>
      <c r="JYK2" s="27"/>
      <c r="JYL2" s="27"/>
      <c r="JYM2" s="27"/>
      <c r="JYN2" s="27"/>
      <c r="JYO2" s="27"/>
      <c r="JYP2" s="27"/>
      <c r="JYQ2" s="27"/>
      <c r="JYR2" s="27"/>
      <c r="JYS2" s="27"/>
      <c r="JYT2" s="27"/>
      <c r="JYU2" s="27"/>
      <c r="JYV2" s="27"/>
      <c r="JYW2" s="27"/>
      <c r="JYX2" s="27"/>
      <c r="JYY2" s="27"/>
      <c r="JYZ2" s="27"/>
      <c r="JZA2" s="27"/>
      <c r="JZB2" s="27"/>
      <c r="JZC2" s="27"/>
      <c r="JZD2" s="27"/>
      <c r="JZE2" s="27"/>
      <c r="JZF2" s="27"/>
      <c r="JZG2" s="27"/>
      <c r="JZH2" s="27"/>
      <c r="JZI2" s="27"/>
      <c r="JZJ2" s="27"/>
      <c r="JZK2" s="27"/>
      <c r="JZL2" s="27"/>
      <c r="JZM2" s="27"/>
      <c r="JZN2" s="27"/>
      <c r="JZO2" s="27"/>
      <c r="JZP2" s="27"/>
      <c r="JZQ2" s="27"/>
      <c r="JZR2" s="27"/>
      <c r="JZS2" s="27"/>
      <c r="JZT2" s="27"/>
      <c r="JZU2" s="27"/>
      <c r="JZV2" s="27"/>
      <c r="JZW2" s="27"/>
      <c r="JZX2" s="27"/>
      <c r="JZY2" s="27"/>
      <c r="JZZ2" s="27"/>
      <c r="KAA2" s="27"/>
      <c r="KAB2" s="27"/>
      <c r="KAC2" s="27"/>
      <c r="KAD2" s="27"/>
      <c r="KAE2" s="27"/>
      <c r="KAF2" s="27"/>
      <c r="KAG2" s="27"/>
      <c r="KAH2" s="27"/>
      <c r="KAI2" s="27"/>
      <c r="KAJ2" s="27"/>
      <c r="KAK2" s="27"/>
      <c r="KAL2" s="27"/>
      <c r="KAM2" s="27"/>
      <c r="KAN2" s="27"/>
      <c r="KAO2" s="27"/>
      <c r="KAP2" s="27"/>
      <c r="KAQ2" s="27"/>
      <c r="KAR2" s="27"/>
      <c r="KAS2" s="27"/>
      <c r="KAT2" s="27"/>
      <c r="KAU2" s="27"/>
      <c r="KAV2" s="27"/>
      <c r="KAW2" s="27"/>
      <c r="KAX2" s="27"/>
      <c r="KAY2" s="27"/>
      <c r="KAZ2" s="27"/>
      <c r="KBA2" s="27"/>
      <c r="KBB2" s="27"/>
      <c r="KBC2" s="27"/>
      <c r="KBD2" s="27"/>
      <c r="KBE2" s="27"/>
      <c r="KBF2" s="27"/>
      <c r="KBG2" s="27"/>
      <c r="KBH2" s="27"/>
      <c r="KBI2" s="27"/>
      <c r="KBJ2" s="27"/>
      <c r="KBK2" s="27"/>
      <c r="KBL2" s="27"/>
      <c r="KBM2" s="27"/>
      <c r="KBN2" s="27"/>
      <c r="KBO2" s="27"/>
      <c r="KBP2" s="27"/>
      <c r="KBQ2" s="27"/>
      <c r="KBR2" s="27"/>
      <c r="KBS2" s="27"/>
      <c r="KBT2" s="27"/>
      <c r="KBU2" s="27"/>
      <c r="KBV2" s="27"/>
      <c r="KBW2" s="27"/>
      <c r="KBX2" s="27"/>
      <c r="KBY2" s="27"/>
      <c r="KBZ2" s="27"/>
      <c r="KCA2" s="27"/>
      <c r="KCB2" s="27"/>
      <c r="KCC2" s="27"/>
      <c r="KCD2" s="27"/>
      <c r="KCE2" s="27"/>
      <c r="KCF2" s="27"/>
      <c r="KCG2" s="27"/>
      <c r="KCH2" s="27"/>
      <c r="KCI2" s="27"/>
      <c r="KCJ2" s="27"/>
      <c r="KCK2" s="27"/>
      <c r="KCL2" s="27"/>
      <c r="KCM2" s="27"/>
      <c r="KCN2" s="27"/>
      <c r="KCO2" s="27"/>
      <c r="KCP2" s="27"/>
      <c r="KCQ2" s="27"/>
      <c r="KCR2" s="27"/>
      <c r="KCS2" s="27"/>
      <c r="KCT2" s="27"/>
      <c r="KCU2" s="27"/>
      <c r="KCV2" s="27"/>
      <c r="KCW2" s="27"/>
      <c r="KCX2" s="27"/>
      <c r="KCY2" s="27"/>
      <c r="KCZ2" s="27"/>
      <c r="KDA2" s="27"/>
      <c r="KDB2" s="27"/>
      <c r="KDC2" s="27"/>
      <c r="KDD2" s="27"/>
      <c r="KDE2" s="27"/>
      <c r="KDF2" s="27"/>
      <c r="KDG2" s="27"/>
      <c r="KDH2" s="27"/>
      <c r="KDI2" s="27"/>
      <c r="KDJ2" s="27"/>
      <c r="KDK2" s="27"/>
      <c r="KDL2" s="27"/>
      <c r="KDM2" s="27"/>
      <c r="KDN2" s="27"/>
      <c r="KDO2" s="27"/>
      <c r="KDP2" s="27"/>
      <c r="KDQ2" s="27"/>
      <c r="KDR2" s="27"/>
      <c r="KDS2" s="27"/>
      <c r="KDT2" s="27"/>
      <c r="KDU2" s="27"/>
      <c r="KDV2" s="27"/>
      <c r="KDW2" s="27"/>
      <c r="KDX2" s="27"/>
      <c r="KDY2" s="27"/>
      <c r="KDZ2" s="27"/>
      <c r="KEA2" s="27"/>
      <c r="KEB2" s="27"/>
      <c r="KEC2" s="27"/>
      <c r="KED2" s="27"/>
      <c r="KEE2" s="27"/>
      <c r="KEF2" s="27"/>
      <c r="KEG2" s="27"/>
      <c r="KEH2" s="27"/>
      <c r="KEI2" s="27"/>
      <c r="KEJ2" s="27"/>
      <c r="KEK2" s="27"/>
      <c r="KEL2" s="27"/>
      <c r="KEM2" s="27"/>
      <c r="KEN2" s="27"/>
      <c r="KEO2" s="27"/>
      <c r="KEP2" s="27"/>
      <c r="KEQ2" s="27"/>
      <c r="KER2" s="27"/>
      <c r="KES2" s="27"/>
      <c r="KET2" s="27"/>
      <c r="KEU2" s="27"/>
      <c r="KEV2" s="27"/>
      <c r="KEW2" s="27"/>
      <c r="KEX2" s="27"/>
      <c r="KEY2" s="27"/>
      <c r="KEZ2" s="27"/>
      <c r="KFA2" s="27"/>
      <c r="KFB2" s="27"/>
      <c r="KFC2" s="27"/>
      <c r="KFD2" s="27"/>
      <c r="KFE2" s="27"/>
      <c r="KFF2" s="27"/>
      <c r="KFG2" s="27"/>
      <c r="KFH2" s="27"/>
      <c r="KFI2" s="27"/>
      <c r="KFJ2" s="27"/>
      <c r="KFK2" s="27"/>
      <c r="KFL2" s="27"/>
      <c r="KFM2" s="27"/>
      <c r="KFN2" s="27"/>
      <c r="KFO2" s="27"/>
      <c r="KFP2" s="27"/>
      <c r="KFQ2" s="27"/>
      <c r="KFR2" s="27"/>
      <c r="KFS2" s="27"/>
      <c r="KFT2" s="27"/>
      <c r="KFU2" s="27"/>
      <c r="KFV2" s="27"/>
      <c r="KFW2" s="27"/>
      <c r="KFX2" s="27"/>
      <c r="KFY2" s="27"/>
      <c r="KFZ2" s="27"/>
      <c r="KGA2" s="27"/>
      <c r="KGB2" s="27"/>
      <c r="KGC2" s="27"/>
      <c r="KGD2" s="27"/>
      <c r="KGE2" s="27"/>
      <c r="KGF2" s="27"/>
      <c r="KGG2" s="27"/>
      <c r="KGH2" s="27"/>
      <c r="KGI2" s="27"/>
      <c r="KGJ2" s="27"/>
      <c r="KGK2" s="27"/>
      <c r="KGL2" s="27"/>
      <c r="KGM2" s="27"/>
      <c r="KGN2" s="27"/>
      <c r="KGO2" s="27"/>
      <c r="KGP2" s="27"/>
      <c r="KGQ2" s="27"/>
      <c r="KGR2" s="27"/>
      <c r="KGS2" s="27"/>
      <c r="KGT2" s="27"/>
      <c r="KGU2" s="27"/>
      <c r="KGV2" s="27"/>
      <c r="KGW2" s="27"/>
      <c r="KGX2" s="27"/>
      <c r="KGY2" s="27"/>
      <c r="KGZ2" s="27"/>
      <c r="KHA2" s="27"/>
      <c r="KHB2" s="27"/>
      <c r="KHC2" s="27"/>
      <c r="KHD2" s="27"/>
      <c r="KHE2" s="27"/>
      <c r="KHF2" s="27"/>
      <c r="KHG2" s="27"/>
      <c r="KHH2" s="27"/>
      <c r="KHI2" s="27"/>
      <c r="KHJ2" s="27"/>
      <c r="KHK2" s="27"/>
      <c r="KHL2" s="27"/>
      <c r="KHM2" s="27"/>
      <c r="KHN2" s="27"/>
      <c r="KHO2" s="27"/>
      <c r="KHP2" s="27"/>
      <c r="KHQ2" s="27"/>
      <c r="KHR2" s="27"/>
      <c r="KHS2" s="27"/>
      <c r="KHT2" s="27"/>
      <c r="KHU2" s="27"/>
      <c r="KHV2" s="27"/>
      <c r="KHW2" s="27"/>
      <c r="KHX2" s="27"/>
      <c r="KHY2" s="27"/>
      <c r="KHZ2" s="27"/>
      <c r="KIA2" s="27"/>
      <c r="KIB2" s="27"/>
      <c r="KIC2" s="27"/>
      <c r="KID2" s="27"/>
      <c r="KIE2" s="27"/>
      <c r="KIF2" s="27"/>
      <c r="KIG2" s="27"/>
      <c r="KIH2" s="27"/>
      <c r="KII2" s="27"/>
      <c r="KIJ2" s="27"/>
      <c r="KIK2" s="27"/>
      <c r="KIL2" s="27"/>
      <c r="KIM2" s="27"/>
      <c r="KIN2" s="27"/>
      <c r="KIO2" s="27"/>
      <c r="KIP2" s="27"/>
      <c r="KIQ2" s="27"/>
      <c r="KIR2" s="27"/>
      <c r="KIS2" s="27"/>
      <c r="KIT2" s="27"/>
      <c r="KIU2" s="27"/>
      <c r="KIV2" s="27"/>
      <c r="KIW2" s="27"/>
      <c r="KIX2" s="27"/>
      <c r="KIY2" s="27"/>
      <c r="KIZ2" s="27"/>
      <c r="KJA2" s="27"/>
      <c r="KJB2" s="27"/>
      <c r="KJC2" s="27"/>
      <c r="KJD2" s="27"/>
      <c r="KJE2" s="27"/>
      <c r="KJF2" s="27"/>
      <c r="KJG2" s="27"/>
      <c r="KJH2" s="27"/>
      <c r="KJI2" s="27"/>
      <c r="KJJ2" s="27"/>
      <c r="KJK2" s="27"/>
      <c r="KJL2" s="27"/>
      <c r="KJM2" s="27"/>
      <c r="KJN2" s="27"/>
      <c r="KJO2" s="27"/>
      <c r="KJP2" s="27"/>
      <c r="KJQ2" s="27"/>
      <c r="KJR2" s="27"/>
      <c r="KJS2" s="27"/>
      <c r="KJT2" s="27"/>
      <c r="KJU2" s="27"/>
      <c r="KJV2" s="27"/>
      <c r="KJW2" s="27"/>
      <c r="KJX2" s="27"/>
      <c r="KJY2" s="27"/>
      <c r="KJZ2" s="27"/>
      <c r="KKA2" s="27"/>
      <c r="KKB2" s="27"/>
      <c r="KKC2" s="27"/>
      <c r="KKD2" s="27"/>
      <c r="KKE2" s="27"/>
      <c r="KKF2" s="27"/>
      <c r="KKG2" s="27"/>
      <c r="KKH2" s="27"/>
      <c r="KKI2" s="27"/>
      <c r="KKJ2" s="27"/>
      <c r="KKK2" s="27"/>
      <c r="KKL2" s="27"/>
      <c r="KKM2" s="27"/>
      <c r="KKN2" s="27"/>
      <c r="KKO2" s="27"/>
      <c r="KKP2" s="27"/>
      <c r="KKQ2" s="27"/>
      <c r="KKR2" s="27"/>
      <c r="KKS2" s="27"/>
      <c r="KKT2" s="27"/>
      <c r="KKU2" s="27"/>
      <c r="KKV2" s="27"/>
      <c r="KKW2" s="27"/>
      <c r="KKX2" s="27"/>
      <c r="KKY2" s="27"/>
      <c r="KKZ2" s="27"/>
      <c r="KLA2" s="27"/>
      <c r="KLB2" s="27"/>
      <c r="KLC2" s="27"/>
      <c r="KLD2" s="27"/>
      <c r="KLE2" s="27"/>
      <c r="KLF2" s="27"/>
      <c r="KLG2" s="27"/>
      <c r="KLH2" s="27"/>
      <c r="KLI2" s="27"/>
      <c r="KLJ2" s="27"/>
      <c r="KLK2" s="27"/>
      <c r="KLL2" s="27"/>
      <c r="KLM2" s="27"/>
      <c r="KLN2" s="27"/>
      <c r="KLO2" s="27"/>
      <c r="KLP2" s="27"/>
      <c r="KLQ2" s="27"/>
      <c r="KLR2" s="27"/>
      <c r="KLS2" s="27"/>
      <c r="KLT2" s="27"/>
      <c r="KLU2" s="27"/>
      <c r="KLV2" s="27"/>
      <c r="KLW2" s="27"/>
      <c r="KLX2" s="27"/>
      <c r="KLY2" s="27"/>
      <c r="KLZ2" s="27"/>
      <c r="KMA2" s="27"/>
      <c r="KMB2" s="27"/>
      <c r="KMC2" s="27"/>
      <c r="KMD2" s="27"/>
      <c r="KME2" s="27"/>
      <c r="KMF2" s="27"/>
      <c r="KMG2" s="27"/>
      <c r="KMH2" s="27"/>
      <c r="KMI2" s="27"/>
      <c r="KMJ2" s="27"/>
      <c r="KMK2" s="27"/>
      <c r="KML2" s="27"/>
      <c r="KMM2" s="27"/>
      <c r="KMN2" s="27"/>
      <c r="KMO2" s="27"/>
      <c r="KMP2" s="27"/>
      <c r="KMQ2" s="27"/>
      <c r="KMR2" s="27"/>
      <c r="KMS2" s="27"/>
      <c r="KMT2" s="27"/>
      <c r="KMU2" s="27"/>
      <c r="KMV2" s="27"/>
      <c r="KMW2" s="27"/>
      <c r="KMX2" s="27"/>
      <c r="KMY2" s="27"/>
      <c r="KMZ2" s="27"/>
      <c r="KNA2" s="27"/>
      <c r="KNB2" s="27"/>
      <c r="KNC2" s="27"/>
      <c r="KND2" s="27"/>
      <c r="KNE2" s="27"/>
      <c r="KNF2" s="27"/>
      <c r="KNG2" s="27"/>
      <c r="KNH2" s="27"/>
      <c r="KNI2" s="27"/>
      <c r="KNJ2" s="27"/>
      <c r="KNK2" s="27"/>
      <c r="KNL2" s="27"/>
      <c r="KNM2" s="27"/>
      <c r="KNN2" s="27"/>
      <c r="KNO2" s="27"/>
      <c r="KNP2" s="27"/>
      <c r="KNQ2" s="27"/>
      <c r="KNR2" s="27"/>
      <c r="KNS2" s="27"/>
      <c r="KNT2" s="27"/>
      <c r="KNU2" s="27"/>
      <c r="KNV2" s="27"/>
      <c r="KNW2" s="27"/>
      <c r="KNX2" s="27"/>
      <c r="KNY2" s="27"/>
      <c r="KNZ2" s="27"/>
      <c r="KOA2" s="27"/>
      <c r="KOB2" s="27"/>
      <c r="KOC2" s="27"/>
      <c r="KOD2" s="27"/>
      <c r="KOE2" s="27"/>
      <c r="KOF2" s="27"/>
      <c r="KOG2" s="27"/>
      <c r="KOH2" s="27"/>
      <c r="KOI2" s="27"/>
      <c r="KOJ2" s="27"/>
      <c r="KOK2" s="27"/>
      <c r="KOL2" s="27"/>
      <c r="KOM2" s="27"/>
      <c r="KON2" s="27"/>
      <c r="KOO2" s="27"/>
      <c r="KOP2" s="27"/>
      <c r="KOQ2" s="27"/>
      <c r="KOR2" s="27"/>
      <c r="KOS2" s="27"/>
      <c r="KOT2" s="27"/>
      <c r="KOU2" s="27"/>
      <c r="KOV2" s="27"/>
      <c r="KOW2" s="27"/>
      <c r="KOX2" s="27"/>
      <c r="KOY2" s="27"/>
      <c r="KOZ2" s="27"/>
      <c r="KPA2" s="27"/>
      <c r="KPB2" s="27"/>
      <c r="KPC2" s="27"/>
      <c r="KPD2" s="27"/>
      <c r="KPE2" s="27"/>
      <c r="KPF2" s="27"/>
      <c r="KPG2" s="27"/>
      <c r="KPH2" s="27"/>
      <c r="KPI2" s="27"/>
      <c r="KPJ2" s="27"/>
      <c r="KPK2" s="27"/>
      <c r="KPL2" s="27"/>
      <c r="KPM2" s="27"/>
      <c r="KPN2" s="27"/>
      <c r="KPO2" s="27"/>
      <c r="KPP2" s="27"/>
      <c r="KPQ2" s="27"/>
      <c r="KPR2" s="27"/>
      <c r="KPS2" s="27"/>
      <c r="KPT2" s="27"/>
      <c r="KPU2" s="27"/>
      <c r="KPV2" s="27"/>
      <c r="KPW2" s="27"/>
      <c r="KPX2" s="27"/>
      <c r="KPY2" s="27"/>
      <c r="KPZ2" s="27"/>
      <c r="KQA2" s="27"/>
      <c r="KQB2" s="27"/>
      <c r="KQC2" s="27"/>
      <c r="KQD2" s="27"/>
      <c r="KQE2" s="27"/>
      <c r="KQF2" s="27"/>
      <c r="KQG2" s="27"/>
      <c r="KQH2" s="27"/>
      <c r="KQI2" s="27"/>
      <c r="KQJ2" s="27"/>
      <c r="KQK2" s="27"/>
      <c r="KQL2" s="27"/>
      <c r="KQM2" s="27"/>
      <c r="KQN2" s="27"/>
      <c r="KQO2" s="27"/>
      <c r="KQP2" s="27"/>
      <c r="KQQ2" s="27"/>
      <c r="KQR2" s="27"/>
      <c r="KQS2" s="27"/>
      <c r="KQT2" s="27"/>
      <c r="KQU2" s="27"/>
      <c r="KQV2" s="27"/>
      <c r="KQW2" s="27"/>
      <c r="KQX2" s="27"/>
      <c r="KQY2" s="27"/>
      <c r="KQZ2" s="27"/>
      <c r="KRA2" s="27"/>
      <c r="KRB2" s="27"/>
      <c r="KRC2" s="27"/>
      <c r="KRD2" s="27"/>
      <c r="KRE2" s="27"/>
      <c r="KRF2" s="27"/>
      <c r="KRG2" s="27"/>
      <c r="KRH2" s="27"/>
      <c r="KRI2" s="27"/>
      <c r="KRJ2" s="27"/>
      <c r="KRK2" s="27"/>
      <c r="KRL2" s="27"/>
      <c r="KRM2" s="27"/>
      <c r="KRN2" s="27"/>
      <c r="KRO2" s="27"/>
      <c r="KRP2" s="27"/>
      <c r="KRQ2" s="27"/>
      <c r="KRR2" s="27"/>
      <c r="KRS2" s="27"/>
      <c r="KRT2" s="27"/>
      <c r="KRU2" s="27"/>
      <c r="KRV2" s="27"/>
      <c r="KRW2" s="27"/>
      <c r="KRX2" s="27"/>
      <c r="KRY2" s="27"/>
      <c r="KRZ2" s="27"/>
      <c r="KSA2" s="27"/>
      <c r="KSB2" s="27"/>
      <c r="KSC2" s="27"/>
      <c r="KSD2" s="27"/>
      <c r="KSE2" s="27"/>
      <c r="KSF2" s="27"/>
      <c r="KSG2" s="27"/>
      <c r="KSH2" s="27"/>
      <c r="KSI2" s="27"/>
      <c r="KSJ2" s="27"/>
      <c r="KSK2" s="27"/>
      <c r="KSL2" s="27"/>
      <c r="KSM2" s="27"/>
      <c r="KSN2" s="27"/>
      <c r="KSO2" s="27"/>
      <c r="KSP2" s="27"/>
      <c r="KSQ2" s="27"/>
      <c r="KSR2" s="27"/>
      <c r="KSS2" s="27"/>
      <c r="KST2" s="27"/>
      <c r="KSU2" s="27"/>
      <c r="KSV2" s="27"/>
      <c r="KSW2" s="27"/>
      <c r="KSX2" s="27"/>
      <c r="KSY2" s="27"/>
      <c r="KSZ2" s="27"/>
      <c r="KTA2" s="27"/>
      <c r="KTB2" s="27"/>
      <c r="KTC2" s="27"/>
      <c r="KTD2" s="27"/>
      <c r="KTE2" s="27"/>
      <c r="KTF2" s="27"/>
      <c r="KTG2" s="27"/>
      <c r="KTH2" s="27"/>
      <c r="KTI2" s="27"/>
      <c r="KTJ2" s="27"/>
      <c r="KTK2" s="27"/>
      <c r="KTL2" s="27"/>
      <c r="KTM2" s="27"/>
      <c r="KTN2" s="27"/>
      <c r="KTO2" s="27"/>
      <c r="KTP2" s="27"/>
      <c r="KTQ2" s="27"/>
      <c r="KTR2" s="27"/>
      <c r="KTS2" s="27"/>
      <c r="KTT2" s="27"/>
      <c r="KTU2" s="27"/>
      <c r="KTV2" s="27"/>
      <c r="KTW2" s="27"/>
      <c r="KTX2" s="27"/>
      <c r="KTY2" s="27"/>
      <c r="KTZ2" s="27"/>
      <c r="KUA2" s="27"/>
      <c r="KUB2" s="27"/>
      <c r="KUC2" s="27"/>
      <c r="KUD2" s="27"/>
      <c r="KUE2" s="27"/>
      <c r="KUF2" s="27"/>
      <c r="KUG2" s="27"/>
      <c r="KUH2" s="27"/>
      <c r="KUI2" s="27"/>
      <c r="KUJ2" s="27"/>
      <c r="KUK2" s="27"/>
      <c r="KUL2" s="27"/>
      <c r="KUM2" s="27"/>
      <c r="KUN2" s="27"/>
      <c r="KUO2" s="27"/>
      <c r="KUP2" s="27"/>
      <c r="KUQ2" s="27"/>
      <c r="KUR2" s="27"/>
      <c r="KUS2" s="27"/>
      <c r="KUT2" s="27"/>
      <c r="KUU2" s="27"/>
      <c r="KUV2" s="27"/>
      <c r="KUW2" s="27"/>
      <c r="KUX2" s="27"/>
      <c r="KUY2" s="27"/>
      <c r="KUZ2" s="27"/>
      <c r="KVA2" s="27"/>
      <c r="KVB2" s="27"/>
      <c r="KVC2" s="27"/>
      <c r="KVD2" s="27"/>
      <c r="KVE2" s="27"/>
      <c r="KVF2" s="27"/>
      <c r="KVG2" s="27"/>
      <c r="KVH2" s="27"/>
      <c r="KVI2" s="27"/>
      <c r="KVJ2" s="27"/>
      <c r="KVK2" s="27"/>
      <c r="KVL2" s="27"/>
      <c r="KVM2" s="27"/>
      <c r="KVN2" s="27"/>
      <c r="KVO2" s="27"/>
      <c r="KVP2" s="27"/>
      <c r="KVQ2" s="27"/>
      <c r="KVR2" s="27"/>
      <c r="KVS2" s="27"/>
      <c r="KVT2" s="27"/>
      <c r="KVU2" s="27"/>
      <c r="KVV2" s="27"/>
      <c r="KVW2" s="27"/>
      <c r="KVX2" s="27"/>
      <c r="KVY2" s="27"/>
      <c r="KVZ2" s="27"/>
      <c r="KWA2" s="27"/>
      <c r="KWB2" s="27"/>
      <c r="KWC2" s="27"/>
      <c r="KWD2" s="27"/>
      <c r="KWE2" s="27"/>
      <c r="KWF2" s="27"/>
      <c r="KWG2" s="27"/>
      <c r="KWH2" s="27"/>
      <c r="KWI2" s="27"/>
      <c r="KWJ2" s="27"/>
      <c r="KWK2" s="27"/>
      <c r="KWL2" s="27"/>
      <c r="KWM2" s="27"/>
      <c r="KWN2" s="27"/>
      <c r="KWO2" s="27"/>
      <c r="KWP2" s="27"/>
      <c r="KWQ2" s="27"/>
      <c r="KWR2" s="27"/>
      <c r="KWS2" s="27"/>
      <c r="KWT2" s="27"/>
      <c r="KWU2" s="27"/>
      <c r="KWV2" s="27"/>
      <c r="KWW2" s="27"/>
      <c r="KWX2" s="27"/>
      <c r="KWY2" s="27"/>
      <c r="KWZ2" s="27"/>
      <c r="KXA2" s="27"/>
      <c r="KXB2" s="27"/>
      <c r="KXC2" s="27"/>
      <c r="KXD2" s="27"/>
      <c r="KXE2" s="27"/>
      <c r="KXF2" s="27"/>
      <c r="KXG2" s="27"/>
      <c r="KXH2" s="27"/>
      <c r="KXI2" s="27"/>
      <c r="KXJ2" s="27"/>
      <c r="KXK2" s="27"/>
      <c r="KXL2" s="27"/>
      <c r="KXM2" s="27"/>
      <c r="KXN2" s="27"/>
      <c r="KXO2" s="27"/>
      <c r="KXP2" s="27"/>
      <c r="KXQ2" s="27"/>
      <c r="KXR2" s="27"/>
      <c r="KXS2" s="27"/>
      <c r="KXT2" s="27"/>
      <c r="KXU2" s="27"/>
      <c r="KXV2" s="27"/>
      <c r="KXW2" s="27"/>
      <c r="KXX2" s="27"/>
      <c r="KXY2" s="27"/>
      <c r="KXZ2" s="27"/>
      <c r="KYA2" s="27"/>
      <c r="KYB2" s="27"/>
      <c r="KYC2" s="27"/>
      <c r="KYD2" s="27"/>
      <c r="KYE2" s="27"/>
      <c r="KYF2" s="27"/>
      <c r="KYG2" s="27"/>
      <c r="KYH2" s="27"/>
      <c r="KYI2" s="27"/>
      <c r="KYJ2" s="27"/>
      <c r="KYK2" s="27"/>
      <c r="KYL2" s="27"/>
      <c r="KYM2" s="27"/>
      <c r="KYN2" s="27"/>
      <c r="KYO2" s="27"/>
      <c r="KYP2" s="27"/>
      <c r="KYQ2" s="27"/>
      <c r="KYR2" s="27"/>
      <c r="KYS2" s="27"/>
      <c r="KYT2" s="27"/>
      <c r="KYU2" s="27"/>
      <c r="KYV2" s="27"/>
      <c r="KYW2" s="27"/>
      <c r="KYX2" s="27"/>
      <c r="KYY2" s="27"/>
      <c r="KYZ2" s="27"/>
      <c r="KZA2" s="27"/>
      <c r="KZB2" s="27"/>
      <c r="KZC2" s="27"/>
      <c r="KZD2" s="27"/>
      <c r="KZE2" s="27"/>
      <c r="KZF2" s="27"/>
      <c r="KZG2" s="27"/>
      <c r="KZH2" s="27"/>
      <c r="KZI2" s="27"/>
      <c r="KZJ2" s="27"/>
      <c r="KZK2" s="27"/>
      <c r="KZL2" s="27"/>
      <c r="KZM2" s="27"/>
      <c r="KZN2" s="27"/>
      <c r="KZO2" s="27"/>
      <c r="KZP2" s="27"/>
      <c r="KZQ2" s="27"/>
      <c r="KZR2" s="27"/>
      <c r="KZS2" s="27"/>
      <c r="KZT2" s="27"/>
      <c r="KZU2" s="27"/>
      <c r="KZV2" s="27"/>
      <c r="KZW2" s="27"/>
      <c r="KZX2" s="27"/>
      <c r="KZY2" s="27"/>
      <c r="KZZ2" s="27"/>
      <c r="LAA2" s="27"/>
      <c r="LAB2" s="27"/>
      <c r="LAC2" s="27"/>
      <c r="LAD2" s="27"/>
      <c r="LAE2" s="27"/>
      <c r="LAF2" s="27"/>
      <c r="LAG2" s="27"/>
      <c r="LAH2" s="27"/>
      <c r="LAI2" s="27"/>
      <c r="LAJ2" s="27"/>
      <c r="LAK2" s="27"/>
      <c r="LAL2" s="27"/>
      <c r="LAM2" s="27"/>
      <c r="LAN2" s="27"/>
      <c r="LAO2" s="27"/>
      <c r="LAP2" s="27"/>
      <c r="LAQ2" s="27"/>
      <c r="LAR2" s="27"/>
      <c r="LAS2" s="27"/>
      <c r="LAT2" s="27"/>
      <c r="LAU2" s="27"/>
      <c r="LAV2" s="27"/>
      <c r="LAW2" s="27"/>
      <c r="LAX2" s="27"/>
      <c r="LAY2" s="27"/>
      <c r="LAZ2" s="27"/>
      <c r="LBA2" s="27"/>
      <c r="LBB2" s="27"/>
      <c r="LBC2" s="27"/>
      <c r="LBD2" s="27"/>
      <c r="LBE2" s="27"/>
      <c r="LBF2" s="27"/>
      <c r="LBG2" s="27"/>
      <c r="LBH2" s="27"/>
      <c r="LBI2" s="27"/>
      <c r="LBJ2" s="27"/>
      <c r="LBK2" s="27"/>
      <c r="LBL2" s="27"/>
      <c r="LBM2" s="27"/>
      <c r="LBN2" s="27"/>
      <c r="LBO2" s="27"/>
      <c r="LBP2" s="27"/>
      <c r="LBQ2" s="27"/>
      <c r="LBR2" s="27"/>
      <c r="LBS2" s="27"/>
      <c r="LBT2" s="27"/>
      <c r="LBU2" s="27"/>
      <c r="LBV2" s="27"/>
      <c r="LBW2" s="27"/>
      <c r="LBX2" s="27"/>
      <c r="LBY2" s="27"/>
      <c r="LBZ2" s="27"/>
      <c r="LCA2" s="27"/>
      <c r="LCB2" s="27"/>
      <c r="LCC2" s="27"/>
      <c r="LCD2" s="27"/>
      <c r="LCE2" s="27"/>
      <c r="LCF2" s="27"/>
      <c r="LCG2" s="27"/>
      <c r="LCH2" s="27"/>
      <c r="LCI2" s="27"/>
      <c r="LCJ2" s="27"/>
      <c r="LCK2" s="27"/>
      <c r="LCL2" s="27"/>
      <c r="LCM2" s="27"/>
      <c r="LCN2" s="27"/>
      <c r="LCO2" s="27"/>
      <c r="LCP2" s="27"/>
      <c r="LCQ2" s="27"/>
      <c r="LCR2" s="27"/>
      <c r="LCS2" s="27"/>
      <c r="LCT2" s="27"/>
      <c r="LCU2" s="27"/>
      <c r="LCV2" s="27"/>
      <c r="LCW2" s="27"/>
      <c r="LCX2" s="27"/>
      <c r="LCY2" s="27"/>
      <c r="LCZ2" s="27"/>
      <c r="LDA2" s="27"/>
      <c r="LDB2" s="27"/>
      <c r="LDC2" s="27"/>
      <c r="LDD2" s="27"/>
      <c r="LDE2" s="27"/>
      <c r="LDF2" s="27"/>
      <c r="LDG2" s="27"/>
      <c r="LDH2" s="27"/>
      <c r="LDI2" s="27"/>
      <c r="LDJ2" s="27"/>
      <c r="LDK2" s="27"/>
      <c r="LDL2" s="27"/>
      <c r="LDM2" s="27"/>
      <c r="LDN2" s="27"/>
      <c r="LDO2" s="27"/>
      <c r="LDP2" s="27"/>
      <c r="LDQ2" s="27"/>
      <c r="LDR2" s="27"/>
      <c r="LDS2" s="27"/>
      <c r="LDT2" s="27"/>
      <c r="LDU2" s="27"/>
      <c r="LDV2" s="27"/>
      <c r="LDW2" s="27"/>
      <c r="LDX2" s="27"/>
      <c r="LDY2" s="27"/>
      <c r="LDZ2" s="27"/>
      <c r="LEA2" s="27"/>
      <c r="LEB2" s="27"/>
      <c r="LEC2" s="27"/>
      <c r="LED2" s="27"/>
      <c r="LEE2" s="27"/>
      <c r="LEF2" s="27"/>
      <c r="LEG2" s="27"/>
      <c r="LEH2" s="27"/>
      <c r="LEI2" s="27"/>
      <c r="LEJ2" s="27"/>
      <c r="LEK2" s="27"/>
      <c r="LEL2" s="27"/>
      <c r="LEM2" s="27"/>
      <c r="LEN2" s="27"/>
      <c r="LEO2" s="27"/>
      <c r="LEP2" s="27"/>
      <c r="LEQ2" s="27"/>
      <c r="LER2" s="27"/>
      <c r="LES2" s="27"/>
      <c r="LET2" s="27"/>
      <c r="LEU2" s="27"/>
      <c r="LEV2" s="27"/>
      <c r="LEW2" s="27"/>
      <c r="LEX2" s="27"/>
      <c r="LEY2" s="27"/>
      <c r="LEZ2" s="27"/>
      <c r="LFA2" s="27"/>
      <c r="LFB2" s="27"/>
      <c r="LFC2" s="27"/>
      <c r="LFD2" s="27"/>
      <c r="LFE2" s="27"/>
      <c r="LFF2" s="27"/>
      <c r="LFG2" s="27"/>
      <c r="LFH2" s="27"/>
      <c r="LFI2" s="27"/>
      <c r="LFJ2" s="27"/>
      <c r="LFK2" s="27"/>
      <c r="LFL2" s="27"/>
      <c r="LFM2" s="27"/>
      <c r="LFN2" s="27"/>
      <c r="LFO2" s="27"/>
      <c r="LFP2" s="27"/>
      <c r="LFQ2" s="27"/>
      <c r="LFR2" s="27"/>
      <c r="LFS2" s="27"/>
      <c r="LFT2" s="27"/>
      <c r="LFU2" s="27"/>
      <c r="LFV2" s="27"/>
      <c r="LFW2" s="27"/>
      <c r="LFX2" s="27"/>
      <c r="LFY2" s="27"/>
      <c r="LFZ2" s="27"/>
      <c r="LGA2" s="27"/>
      <c r="LGB2" s="27"/>
      <c r="LGC2" s="27"/>
      <c r="LGD2" s="27"/>
      <c r="LGE2" s="27"/>
      <c r="LGF2" s="27"/>
      <c r="LGG2" s="27"/>
      <c r="LGH2" s="27"/>
      <c r="LGI2" s="27"/>
      <c r="LGJ2" s="27"/>
      <c r="LGK2" s="27"/>
      <c r="LGL2" s="27"/>
      <c r="LGM2" s="27"/>
      <c r="LGN2" s="27"/>
      <c r="LGO2" s="27"/>
      <c r="LGP2" s="27"/>
      <c r="LGQ2" s="27"/>
      <c r="LGR2" s="27"/>
      <c r="LGS2" s="27"/>
      <c r="LGT2" s="27"/>
      <c r="LGU2" s="27"/>
      <c r="LGV2" s="27"/>
      <c r="LGW2" s="27"/>
      <c r="LGX2" s="27"/>
      <c r="LGY2" s="27"/>
      <c r="LGZ2" s="27"/>
      <c r="LHA2" s="27"/>
      <c r="LHB2" s="27"/>
      <c r="LHC2" s="27"/>
      <c r="LHD2" s="27"/>
      <c r="LHE2" s="27"/>
      <c r="LHF2" s="27"/>
      <c r="LHG2" s="27"/>
      <c r="LHH2" s="27"/>
      <c r="LHI2" s="27"/>
      <c r="LHJ2" s="27"/>
      <c r="LHK2" s="27"/>
      <c r="LHL2" s="27"/>
      <c r="LHM2" s="27"/>
      <c r="LHN2" s="27"/>
      <c r="LHO2" s="27"/>
      <c r="LHP2" s="27"/>
      <c r="LHQ2" s="27"/>
      <c r="LHR2" s="27"/>
      <c r="LHS2" s="27"/>
      <c r="LHT2" s="27"/>
      <c r="LHU2" s="27"/>
      <c r="LHV2" s="27"/>
      <c r="LHW2" s="27"/>
      <c r="LHX2" s="27"/>
      <c r="LHY2" s="27"/>
      <c r="LHZ2" s="27"/>
      <c r="LIA2" s="27"/>
      <c r="LIB2" s="27"/>
      <c r="LIC2" s="27"/>
      <c r="LID2" s="27"/>
      <c r="LIE2" s="27"/>
      <c r="LIF2" s="27"/>
      <c r="LIG2" s="27"/>
      <c r="LIH2" s="27"/>
      <c r="LII2" s="27"/>
      <c r="LIJ2" s="27"/>
      <c r="LIK2" s="27"/>
      <c r="LIL2" s="27"/>
      <c r="LIM2" s="27"/>
      <c r="LIN2" s="27"/>
      <c r="LIO2" s="27"/>
      <c r="LIP2" s="27"/>
      <c r="LIQ2" s="27"/>
      <c r="LIR2" s="27"/>
      <c r="LIS2" s="27"/>
      <c r="LIT2" s="27"/>
      <c r="LIU2" s="27"/>
      <c r="LIV2" s="27"/>
      <c r="LIW2" s="27"/>
      <c r="LIX2" s="27"/>
      <c r="LIY2" s="27"/>
      <c r="LIZ2" s="27"/>
      <c r="LJA2" s="27"/>
      <c r="LJB2" s="27"/>
      <c r="LJC2" s="27"/>
      <c r="LJD2" s="27"/>
      <c r="LJE2" s="27"/>
      <c r="LJF2" s="27"/>
      <c r="LJG2" s="27"/>
      <c r="LJH2" s="27"/>
      <c r="LJI2" s="27"/>
      <c r="LJJ2" s="27"/>
      <c r="LJK2" s="27"/>
      <c r="LJL2" s="27"/>
      <c r="LJM2" s="27"/>
      <c r="LJN2" s="27"/>
      <c r="LJO2" s="27"/>
      <c r="LJP2" s="27"/>
      <c r="LJQ2" s="27"/>
      <c r="LJR2" s="27"/>
      <c r="LJS2" s="27"/>
      <c r="LJT2" s="27"/>
      <c r="LJU2" s="27"/>
      <c r="LJV2" s="27"/>
      <c r="LJW2" s="27"/>
      <c r="LJX2" s="27"/>
      <c r="LJY2" s="27"/>
      <c r="LJZ2" s="27"/>
      <c r="LKA2" s="27"/>
      <c r="LKB2" s="27"/>
      <c r="LKC2" s="27"/>
      <c r="LKD2" s="27"/>
      <c r="LKE2" s="27"/>
      <c r="LKF2" s="27"/>
      <c r="LKG2" s="27"/>
      <c r="LKH2" s="27"/>
      <c r="LKI2" s="27"/>
      <c r="LKJ2" s="27"/>
      <c r="LKK2" s="27"/>
      <c r="LKL2" s="27"/>
      <c r="LKM2" s="27"/>
      <c r="LKN2" s="27"/>
      <c r="LKO2" s="27"/>
      <c r="LKP2" s="27"/>
      <c r="LKQ2" s="27"/>
      <c r="LKR2" s="27"/>
      <c r="LKS2" s="27"/>
      <c r="LKT2" s="27"/>
      <c r="LKU2" s="27"/>
      <c r="LKV2" s="27"/>
      <c r="LKW2" s="27"/>
      <c r="LKX2" s="27"/>
      <c r="LKY2" s="27"/>
      <c r="LKZ2" s="27"/>
      <c r="LLA2" s="27"/>
      <c r="LLB2" s="27"/>
      <c r="LLC2" s="27"/>
      <c r="LLD2" s="27"/>
      <c r="LLE2" s="27"/>
      <c r="LLF2" s="27"/>
      <c r="LLG2" s="27"/>
      <c r="LLH2" s="27"/>
      <c r="LLI2" s="27"/>
      <c r="LLJ2" s="27"/>
      <c r="LLK2" s="27"/>
      <c r="LLL2" s="27"/>
      <c r="LLM2" s="27"/>
      <c r="LLN2" s="27"/>
      <c r="LLO2" s="27"/>
      <c r="LLP2" s="27"/>
      <c r="LLQ2" s="27"/>
      <c r="LLR2" s="27"/>
      <c r="LLS2" s="27"/>
      <c r="LLT2" s="27"/>
      <c r="LLU2" s="27"/>
      <c r="LLV2" s="27"/>
      <c r="LLW2" s="27"/>
      <c r="LLX2" s="27"/>
      <c r="LLY2" s="27"/>
      <c r="LLZ2" s="27"/>
      <c r="LMA2" s="27"/>
      <c r="LMB2" s="27"/>
      <c r="LMC2" s="27"/>
      <c r="LMD2" s="27"/>
      <c r="LME2" s="27"/>
      <c r="LMF2" s="27"/>
      <c r="LMG2" s="27"/>
      <c r="LMH2" s="27"/>
      <c r="LMI2" s="27"/>
      <c r="LMJ2" s="27"/>
      <c r="LMK2" s="27"/>
      <c r="LML2" s="27"/>
      <c r="LMM2" s="27"/>
      <c r="LMN2" s="27"/>
      <c r="LMO2" s="27"/>
      <c r="LMP2" s="27"/>
      <c r="LMQ2" s="27"/>
      <c r="LMR2" s="27"/>
      <c r="LMS2" s="27"/>
      <c r="LMT2" s="27"/>
      <c r="LMU2" s="27"/>
      <c r="LMV2" s="27"/>
      <c r="LMW2" s="27"/>
      <c r="LMX2" s="27"/>
      <c r="LMY2" s="27"/>
      <c r="LMZ2" s="27"/>
      <c r="LNA2" s="27"/>
      <c r="LNB2" s="27"/>
      <c r="LNC2" s="27"/>
      <c r="LND2" s="27"/>
      <c r="LNE2" s="27"/>
      <c r="LNF2" s="27"/>
      <c r="LNG2" s="27"/>
      <c r="LNH2" s="27"/>
      <c r="LNI2" s="27"/>
      <c r="LNJ2" s="27"/>
      <c r="LNK2" s="27"/>
      <c r="LNL2" s="27"/>
      <c r="LNM2" s="27"/>
      <c r="LNN2" s="27"/>
      <c r="LNO2" s="27"/>
      <c r="LNP2" s="27"/>
      <c r="LNQ2" s="27"/>
      <c r="LNR2" s="27"/>
      <c r="LNS2" s="27"/>
      <c r="LNT2" s="27"/>
      <c r="LNU2" s="27"/>
      <c r="LNV2" s="27"/>
      <c r="LNW2" s="27"/>
      <c r="LNX2" s="27"/>
      <c r="LNY2" s="27"/>
      <c r="LNZ2" s="27"/>
      <c r="LOA2" s="27"/>
      <c r="LOB2" s="27"/>
      <c r="LOC2" s="27"/>
      <c r="LOD2" s="27"/>
      <c r="LOE2" s="27"/>
      <c r="LOF2" s="27"/>
      <c r="LOG2" s="27"/>
      <c r="LOH2" s="27"/>
      <c r="LOI2" s="27"/>
      <c r="LOJ2" s="27"/>
      <c r="LOK2" s="27"/>
      <c r="LOL2" s="27"/>
      <c r="LOM2" s="27"/>
      <c r="LON2" s="27"/>
      <c r="LOO2" s="27"/>
      <c r="LOP2" s="27"/>
      <c r="LOQ2" s="27"/>
      <c r="LOR2" s="27"/>
      <c r="LOS2" s="27"/>
      <c r="LOT2" s="27"/>
      <c r="LOU2" s="27"/>
      <c r="LOV2" s="27"/>
      <c r="LOW2" s="27"/>
      <c r="LOX2" s="27"/>
      <c r="LOY2" s="27"/>
      <c r="LOZ2" s="27"/>
      <c r="LPA2" s="27"/>
      <c r="LPB2" s="27"/>
      <c r="LPC2" s="27"/>
      <c r="LPD2" s="27"/>
      <c r="LPE2" s="27"/>
      <c r="LPF2" s="27"/>
      <c r="LPG2" s="27"/>
      <c r="LPH2" s="27"/>
      <c r="LPI2" s="27"/>
      <c r="LPJ2" s="27"/>
      <c r="LPK2" s="27"/>
      <c r="LPL2" s="27"/>
      <c r="LPM2" s="27"/>
      <c r="LPN2" s="27"/>
      <c r="LPO2" s="27"/>
      <c r="LPP2" s="27"/>
      <c r="LPQ2" s="27"/>
      <c r="LPR2" s="27"/>
      <c r="LPS2" s="27"/>
      <c r="LPT2" s="27"/>
      <c r="LPU2" s="27"/>
      <c r="LPV2" s="27"/>
      <c r="LPW2" s="27"/>
      <c r="LPX2" s="27"/>
      <c r="LPY2" s="27"/>
      <c r="LPZ2" s="27"/>
      <c r="LQA2" s="27"/>
      <c r="LQB2" s="27"/>
      <c r="LQC2" s="27"/>
      <c r="LQD2" s="27"/>
      <c r="LQE2" s="27"/>
      <c r="LQF2" s="27"/>
      <c r="LQG2" s="27"/>
      <c r="LQH2" s="27"/>
      <c r="LQI2" s="27"/>
      <c r="LQJ2" s="27"/>
      <c r="LQK2" s="27"/>
      <c r="LQL2" s="27"/>
      <c r="LQM2" s="27"/>
      <c r="LQN2" s="27"/>
      <c r="LQO2" s="27"/>
      <c r="LQP2" s="27"/>
      <c r="LQQ2" s="27"/>
      <c r="LQR2" s="27"/>
      <c r="LQS2" s="27"/>
      <c r="LQT2" s="27"/>
      <c r="LQU2" s="27"/>
      <c r="LQV2" s="27"/>
      <c r="LQW2" s="27"/>
      <c r="LQX2" s="27"/>
      <c r="LQY2" s="27"/>
      <c r="LQZ2" s="27"/>
      <c r="LRA2" s="27"/>
      <c r="LRB2" s="27"/>
      <c r="LRC2" s="27"/>
      <c r="LRD2" s="27"/>
      <c r="LRE2" s="27"/>
      <c r="LRF2" s="27"/>
      <c r="LRG2" s="27"/>
      <c r="LRH2" s="27"/>
      <c r="LRI2" s="27"/>
      <c r="LRJ2" s="27"/>
      <c r="LRK2" s="27"/>
      <c r="LRL2" s="27"/>
      <c r="LRM2" s="27"/>
      <c r="LRN2" s="27"/>
      <c r="LRO2" s="27"/>
      <c r="LRP2" s="27"/>
      <c r="LRQ2" s="27"/>
      <c r="LRR2" s="27"/>
      <c r="LRS2" s="27"/>
      <c r="LRT2" s="27"/>
      <c r="LRU2" s="27"/>
      <c r="LRV2" s="27"/>
      <c r="LRW2" s="27"/>
      <c r="LRX2" s="27"/>
      <c r="LRY2" s="27"/>
      <c r="LRZ2" s="27"/>
      <c r="LSA2" s="27"/>
      <c r="LSB2" s="27"/>
      <c r="LSC2" s="27"/>
      <c r="LSD2" s="27"/>
      <c r="LSE2" s="27"/>
      <c r="LSF2" s="27"/>
      <c r="LSG2" s="27"/>
      <c r="LSH2" s="27"/>
      <c r="LSI2" s="27"/>
      <c r="LSJ2" s="27"/>
      <c r="LSK2" s="27"/>
      <c r="LSL2" s="27"/>
      <c r="LSM2" s="27"/>
      <c r="LSN2" s="27"/>
      <c r="LSO2" s="27"/>
      <c r="LSP2" s="27"/>
      <c r="LSQ2" s="27"/>
      <c r="LSR2" s="27"/>
      <c r="LSS2" s="27"/>
      <c r="LST2" s="27"/>
      <c r="LSU2" s="27"/>
      <c r="LSV2" s="27"/>
      <c r="LSW2" s="27"/>
      <c r="LSX2" s="27"/>
      <c r="LSY2" s="27"/>
      <c r="LSZ2" s="27"/>
      <c r="LTA2" s="27"/>
      <c r="LTB2" s="27"/>
      <c r="LTC2" s="27"/>
      <c r="LTD2" s="27"/>
      <c r="LTE2" s="27"/>
      <c r="LTF2" s="27"/>
      <c r="LTG2" s="27"/>
      <c r="LTH2" s="27"/>
      <c r="LTI2" s="27"/>
      <c r="LTJ2" s="27"/>
      <c r="LTK2" s="27"/>
      <c r="LTL2" s="27"/>
      <c r="LTM2" s="27"/>
      <c r="LTN2" s="27"/>
      <c r="LTO2" s="27"/>
      <c r="LTP2" s="27"/>
      <c r="LTQ2" s="27"/>
      <c r="LTR2" s="27"/>
      <c r="LTS2" s="27"/>
      <c r="LTT2" s="27"/>
      <c r="LTU2" s="27"/>
      <c r="LTV2" s="27"/>
      <c r="LTW2" s="27"/>
      <c r="LTX2" s="27"/>
      <c r="LTY2" s="27"/>
      <c r="LTZ2" s="27"/>
      <c r="LUA2" s="27"/>
      <c r="LUB2" s="27"/>
      <c r="LUC2" s="27"/>
      <c r="LUD2" s="27"/>
      <c r="LUE2" s="27"/>
      <c r="LUF2" s="27"/>
      <c r="LUG2" s="27"/>
      <c r="LUH2" s="27"/>
      <c r="LUI2" s="27"/>
      <c r="LUJ2" s="27"/>
      <c r="LUK2" s="27"/>
      <c r="LUL2" s="27"/>
      <c r="LUM2" s="27"/>
      <c r="LUN2" s="27"/>
      <c r="LUO2" s="27"/>
      <c r="LUP2" s="27"/>
      <c r="LUQ2" s="27"/>
      <c r="LUR2" s="27"/>
      <c r="LUS2" s="27"/>
      <c r="LUT2" s="27"/>
      <c r="LUU2" s="27"/>
      <c r="LUV2" s="27"/>
      <c r="LUW2" s="27"/>
      <c r="LUX2" s="27"/>
      <c r="LUY2" s="27"/>
      <c r="LUZ2" s="27"/>
      <c r="LVA2" s="27"/>
      <c r="LVB2" s="27"/>
      <c r="LVC2" s="27"/>
      <c r="LVD2" s="27"/>
      <c r="LVE2" s="27"/>
      <c r="LVF2" s="27"/>
      <c r="LVG2" s="27"/>
      <c r="LVH2" s="27"/>
      <c r="LVI2" s="27"/>
      <c r="LVJ2" s="27"/>
      <c r="LVK2" s="27"/>
      <c r="LVL2" s="27"/>
      <c r="LVM2" s="27"/>
      <c r="LVN2" s="27"/>
      <c r="LVO2" s="27"/>
      <c r="LVP2" s="27"/>
      <c r="LVQ2" s="27"/>
      <c r="LVR2" s="27"/>
      <c r="LVS2" s="27"/>
      <c r="LVT2" s="27"/>
      <c r="LVU2" s="27"/>
      <c r="LVV2" s="27"/>
      <c r="LVW2" s="27"/>
      <c r="LVX2" s="27"/>
      <c r="LVY2" s="27"/>
      <c r="LVZ2" s="27"/>
      <c r="LWA2" s="27"/>
      <c r="LWB2" s="27"/>
      <c r="LWC2" s="27"/>
      <c r="LWD2" s="27"/>
      <c r="LWE2" s="27"/>
      <c r="LWF2" s="27"/>
      <c r="LWG2" s="27"/>
      <c r="LWH2" s="27"/>
      <c r="LWI2" s="27"/>
      <c r="LWJ2" s="27"/>
      <c r="LWK2" s="27"/>
      <c r="LWL2" s="27"/>
      <c r="LWM2" s="27"/>
      <c r="LWN2" s="27"/>
      <c r="LWO2" s="27"/>
      <c r="LWP2" s="27"/>
      <c r="LWQ2" s="27"/>
      <c r="LWR2" s="27"/>
      <c r="LWS2" s="27"/>
      <c r="LWT2" s="27"/>
      <c r="LWU2" s="27"/>
      <c r="LWV2" s="27"/>
      <c r="LWW2" s="27"/>
      <c r="LWX2" s="27"/>
      <c r="LWY2" s="27"/>
      <c r="LWZ2" s="27"/>
      <c r="LXA2" s="27"/>
      <c r="LXB2" s="27"/>
      <c r="LXC2" s="27"/>
      <c r="LXD2" s="27"/>
      <c r="LXE2" s="27"/>
      <c r="LXF2" s="27"/>
      <c r="LXG2" s="27"/>
      <c r="LXH2" s="27"/>
      <c r="LXI2" s="27"/>
      <c r="LXJ2" s="27"/>
      <c r="LXK2" s="27"/>
      <c r="LXL2" s="27"/>
      <c r="LXM2" s="27"/>
      <c r="LXN2" s="27"/>
      <c r="LXO2" s="27"/>
      <c r="LXP2" s="27"/>
      <c r="LXQ2" s="27"/>
      <c r="LXR2" s="27"/>
      <c r="LXS2" s="27"/>
      <c r="LXT2" s="27"/>
      <c r="LXU2" s="27"/>
      <c r="LXV2" s="27"/>
      <c r="LXW2" s="27"/>
      <c r="LXX2" s="27"/>
      <c r="LXY2" s="27"/>
      <c r="LXZ2" s="27"/>
      <c r="LYA2" s="27"/>
      <c r="LYB2" s="27"/>
      <c r="LYC2" s="27"/>
      <c r="LYD2" s="27"/>
      <c r="LYE2" s="27"/>
      <c r="LYF2" s="27"/>
      <c r="LYG2" s="27"/>
      <c r="LYH2" s="27"/>
      <c r="LYI2" s="27"/>
      <c r="LYJ2" s="27"/>
      <c r="LYK2" s="27"/>
      <c r="LYL2" s="27"/>
      <c r="LYM2" s="27"/>
      <c r="LYN2" s="27"/>
      <c r="LYO2" s="27"/>
      <c r="LYP2" s="27"/>
      <c r="LYQ2" s="27"/>
      <c r="LYR2" s="27"/>
      <c r="LYS2" s="27"/>
      <c r="LYT2" s="27"/>
      <c r="LYU2" s="27"/>
      <c r="LYV2" s="27"/>
      <c r="LYW2" s="27"/>
      <c r="LYX2" s="27"/>
      <c r="LYY2" s="27"/>
      <c r="LYZ2" s="27"/>
      <c r="LZA2" s="27"/>
      <c r="LZB2" s="27"/>
      <c r="LZC2" s="27"/>
      <c r="LZD2" s="27"/>
      <c r="LZE2" s="27"/>
      <c r="LZF2" s="27"/>
      <c r="LZG2" s="27"/>
      <c r="LZH2" s="27"/>
      <c r="LZI2" s="27"/>
      <c r="LZJ2" s="27"/>
      <c r="LZK2" s="27"/>
      <c r="LZL2" s="27"/>
      <c r="LZM2" s="27"/>
      <c r="LZN2" s="27"/>
      <c r="LZO2" s="27"/>
      <c r="LZP2" s="27"/>
      <c r="LZQ2" s="27"/>
      <c r="LZR2" s="27"/>
      <c r="LZS2" s="27"/>
      <c r="LZT2" s="27"/>
      <c r="LZU2" s="27"/>
      <c r="LZV2" s="27"/>
      <c r="LZW2" s="27"/>
      <c r="LZX2" s="27"/>
      <c r="LZY2" s="27"/>
      <c r="LZZ2" s="27"/>
      <c r="MAA2" s="27"/>
      <c r="MAB2" s="27"/>
      <c r="MAC2" s="27"/>
      <c r="MAD2" s="27"/>
      <c r="MAE2" s="27"/>
      <c r="MAF2" s="27"/>
      <c r="MAG2" s="27"/>
      <c r="MAH2" s="27"/>
      <c r="MAI2" s="27"/>
      <c r="MAJ2" s="27"/>
      <c r="MAK2" s="27"/>
      <c r="MAL2" s="27"/>
      <c r="MAM2" s="27"/>
      <c r="MAN2" s="27"/>
      <c r="MAO2" s="27"/>
      <c r="MAP2" s="27"/>
      <c r="MAQ2" s="27"/>
      <c r="MAR2" s="27"/>
      <c r="MAS2" s="27"/>
      <c r="MAT2" s="27"/>
      <c r="MAU2" s="27"/>
      <c r="MAV2" s="27"/>
      <c r="MAW2" s="27"/>
      <c r="MAX2" s="27"/>
      <c r="MAY2" s="27"/>
      <c r="MAZ2" s="27"/>
      <c r="MBA2" s="27"/>
      <c r="MBB2" s="27"/>
      <c r="MBC2" s="27"/>
      <c r="MBD2" s="27"/>
      <c r="MBE2" s="27"/>
      <c r="MBF2" s="27"/>
      <c r="MBG2" s="27"/>
      <c r="MBH2" s="27"/>
      <c r="MBI2" s="27"/>
      <c r="MBJ2" s="27"/>
      <c r="MBK2" s="27"/>
      <c r="MBL2" s="27"/>
      <c r="MBM2" s="27"/>
      <c r="MBN2" s="27"/>
      <c r="MBO2" s="27"/>
      <c r="MBP2" s="27"/>
      <c r="MBQ2" s="27"/>
      <c r="MBR2" s="27"/>
      <c r="MBS2" s="27"/>
      <c r="MBT2" s="27"/>
      <c r="MBU2" s="27"/>
      <c r="MBV2" s="27"/>
      <c r="MBW2" s="27"/>
      <c r="MBX2" s="27"/>
      <c r="MBY2" s="27"/>
      <c r="MBZ2" s="27"/>
      <c r="MCA2" s="27"/>
      <c r="MCB2" s="27"/>
      <c r="MCC2" s="27"/>
      <c r="MCD2" s="27"/>
      <c r="MCE2" s="27"/>
      <c r="MCF2" s="27"/>
      <c r="MCG2" s="27"/>
      <c r="MCH2" s="27"/>
      <c r="MCI2" s="27"/>
      <c r="MCJ2" s="27"/>
      <c r="MCK2" s="27"/>
      <c r="MCL2" s="27"/>
      <c r="MCM2" s="27"/>
      <c r="MCN2" s="27"/>
      <c r="MCO2" s="27"/>
      <c r="MCP2" s="27"/>
      <c r="MCQ2" s="27"/>
      <c r="MCR2" s="27"/>
      <c r="MCS2" s="27"/>
      <c r="MCT2" s="27"/>
      <c r="MCU2" s="27"/>
      <c r="MCV2" s="27"/>
      <c r="MCW2" s="27"/>
      <c r="MCX2" s="27"/>
      <c r="MCY2" s="27"/>
      <c r="MCZ2" s="27"/>
      <c r="MDA2" s="27"/>
      <c r="MDB2" s="27"/>
      <c r="MDC2" s="27"/>
      <c r="MDD2" s="27"/>
      <c r="MDE2" s="27"/>
      <c r="MDF2" s="27"/>
      <c r="MDG2" s="27"/>
      <c r="MDH2" s="27"/>
      <c r="MDI2" s="27"/>
      <c r="MDJ2" s="27"/>
      <c r="MDK2" s="27"/>
      <c r="MDL2" s="27"/>
      <c r="MDM2" s="27"/>
      <c r="MDN2" s="27"/>
      <c r="MDO2" s="27"/>
      <c r="MDP2" s="27"/>
      <c r="MDQ2" s="27"/>
      <c r="MDR2" s="27"/>
      <c r="MDS2" s="27"/>
      <c r="MDT2" s="27"/>
      <c r="MDU2" s="27"/>
      <c r="MDV2" s="27"/>
      <c r="MDW2" s="27"/>
      <c r="MDX2" s="27"/>
      <c r="MDY2" s="27"/>
      <c r="MDZ2" s="27"/>
      <c r="MEA2" s="27"/>
      <c r="MEB2" s="27"/>
      <c r="MEC2" s="27"/>
      <c r="MED2" s="27"/>
      <c r="MEE2" s="27"/>
      <c r="MEF2" s="27"/>
      <c r="MEG2" s="27"/>
      <c r="MEH2" s="27"/>
      <c r="MEI2" s="27"/>
      <c r="MEJ2" s="27"/>
      <c r="MEK2" s="27"/>
      <c r="MEL2" s="27"/>
      <c r="MEM2" s="27"/>
      <c r="MEN2" s="27"/>
      <c r="MEO2" s="27"/>
      <c r="MEP2" s="27"/>
      <c r="MEQ2" s="27"/>
      <c r="MER2" s="27"/>
      <c r="MES2" s="27"/>
      <c r="MET2" s="27"/>
      <c r="MEU2" s="27"/>
      <c r="MEV2" s="27"/>
      <c r="MEW2" s="27"/>
      <c r="MEX2" s="27"/>
      <c r="MEY2" s="27"/>
      <c r="MEZ2" s="27"/>
      <c r="MFA2" s="27"/>
      <c r="MFB2" s="27"/>
      <c r="MFC2" s="27"/>
      <c r="MFD2" s="27"/>
      <c r="MFE2" s="27"/>
      <c r="MFF2" s="27"/>
      <c r="MFG2" s="27"/>
      <c r="MFH2" s="27"/>
      <c r="MFI2" s="27"/>
      <c r="MFJ2" s="27"/>
      <c r="MFK2" s="27"/>
      <c r="MFL2" s="27"/>
      <c r="MFM2" s="27"/>
      <c r="MFN2" s="27"/>
      <c r="MFO2" s="27"/>
      <c r="MFP2" s="27"/>
      <c r="MFQ2" s="27"/>
      <c r="MFR2" s="27"/>
      <c r="MFS2" s="27"/>
      <c r="MFT2" s="27"/>
      <c r="MFU2" s="27"/>
      <c r="MFV2" s="27"/>
      <c r="MFW2" s="27"/>
      <c r="MFX2" s="27"/>
      <c r="MFY2" s="27"/>
      <c r="MFZ2" s="27"/>
      <c r="MGA2" s="27"/>
      <c r="MGB2" s="27"/>
      <c r="MGC2" s="27"/>
      <c r="MGD2" s="27"/>
      <c r="MGE2" s="27"/>
      <c r="MGF2" s="27"/>
      <c r="MGG2" s="27"/>
      <c r="MGH2" s="27"/>
      <c r="MGI2" s="27"/>
      <c r="MGJ2" s="27"/>
      <c r="MGK2" s="27"/>
      <c r="MGL2" s="27"/>
      <c r="MGM2" s="27"/>
      <c r="MGN2" s="27"/>
      <c r="MGO2" s="27"/>
      <c r="MGP2" s="27"/>
      <c r="MGQ2" s="27"/>
      <c r="MGR2" s="27"/>
      <c r="MGS2" s="27"/>
      <c r="MGT2" s="27"/>
      <c r="MGU2" s="27"/>
      <c r="MGV2" s="27"/>
      <c r="MGW2" s="27"/>
      <c r="MGX2" s="27"/>
      <c r="MGY2" s="27"/>
      <c r="MGZ2" s="27"/>
      <c r="MHA2" s="27"/>
      <c r="MHB2" s="27"/>
      <c r="MHC2" s="27"/>
      <c r="MHD2" s="27"/>
      <c r="MHE2" s="27"/>
      <c r="MHF2" s="27"/>
      <c r="MHG2" s="27"/>
      <c r="MHH2" s="27"/>
      <c r="MHI2" s="27"/>
      <c r="MHJ2" s="27"/>
      <c r="MHK2" s="27"/>
      <c r="MHL2" s="27"/>
      <c r="MHM2" s="27"/>
      <c r="MHN2" s="27"/>
      <c r="MHO2" s="27"/>
      <c r="MHP2" s="27"/>
      <c r="MHQ2" s="27"/>
      <c r="MHR2" s="27"/>
      <c r="MHS2" s="27"/>
      <c r="MHT2" s="27"/>
      <c r="MHU2" s="27"/>
      <c r="MHV2" s="27"/>
      <c r="MHW2" s="27"/>
      <c r="MHX2" s="27"/>
      <c r="MHY2" s="27"/>
      <c r="MHZ2" s="27"/>
      <c r="MIA2" s="27"/>
      <c r="MIB2" s="27"/>
      <c r="MIC2" s="27"/>
      <c r="MID2" s="27"/>
      <c r="MIE2" s="27"/>
      <c r="MIF2" s="27"/>
      <c r="MIG2" s="27"/>
      <c r="MIH2" s="27"/>
      <c r="MII2" s="27"/>
      <c r="MIJ2" s="27"/>
      <c r="MIK2" s="27"/>
      <c r="MIL2" s="27"/>
      <c r="MIM2" s="27"/>
      <c r="MIN2" s="27"/>
      <c r="MIO2" s="27"/>
      <c r="MIP2" s="27"/>
      <c r="MIQ2" s="27"/>
      <c r="MIR2" s="27"/>
      <c r="MIS2" s="27"/>
      <c r="MIT2" s="27"/>
      <c r="MIU2" s="27"/>
      <c r="MIV2" s="27"/>
      <c r="MIW2" s="27"/>
      <c r="MIX2" s="27"/>
      <c r="MIY2" s="27"/>
      <c r="MIZ2" s="27"/>
      <c r="MJA2" s="27"/>
      <c r="MJB2" s="27"/>
      <c r="MJC2" s="27"/>
      <c r="MJD2" s="27"/>
      <c r="MJE2" s="27"/>
      <c r="MJF2" s="27"/>
      <c r="MJG2" s="27"/>
      <c r="MJH2" s="27"/>
      <c r="MJI2" s="27"/>
      <c r="MJJ2" s="27"/>
      <c r="MJK2" s="27"/>
      <c r="MJL2" s="27"/>
      <c r="MJM2" s="27"/>
      <c r="MJN2" s="27"/>
      <c r="MJO2" s="27"/>
      <c r="MJP2" s="27"/>
      <c r="MJQ2" s="27"/>
      <c r="MJR2" s="27"/>
      <c r="MJS2" s="27"/>
      <c r="MJT2" s="27"/>
      <c r="MJU2" s="27"/>
      <c r="MJV2" s="27"/>
      <c r="MJW2" s="27"/>
      <c r="MJX2" s="27"/>
      <c r="MJY2" s="27"/>
      <c r="MJZ2" s="27"/>
      <c r="MKA2" s="27"/>
      <c r="MKB2" s="27"/>
      <c r="MKC2" s="27"/>
      <c r="MKD2" s="27"/>
      <c r="MKE2" s="27"/>
      <c r="MKF2" s="27"/>
      <c r="MKG2" s="27"/>
      <c r="MKH2" s="27"/>
      <c r="MKI2" s="27"/>
      <c r="MKJ2" s="27"/>
      <c r="MKK2" s="27"/>
      <c r="MKL2" s="27"/>
      <c r="MKM2" s="27"/>
      <c r="MKN2" s="27"/>
      <c r="MKO2" s="27"/>
      <c r="MKP2" s="27"/>
      <c r="MKQ2" s="27"/>
      <c r="MKR2" s="27"/>
      <c r="MKS2" s="27"/>
      <c r="MKT2" s="27"/>
      <c r="MKU2" s="27"/>
      <c r="MKV2" s="27"/>
      <c r="MKW2" s="27"/>
      <c r="MKX2" s="27"/>
      <c r="MKY2" s="27"/>
      <c r="MKZ2" s="27"/>
      <c r="MLA2" s="27"/>
      <c r="MLB2" s="27"/>
      <c r="MLC2" s="27"/>
      <c r="MLD2" s="27"/>
      <c r="MLE2" s="27"/>
      <c r="MLF2" s="27"/>
      <c r="MLG2" s="27"/>
      <c r="MLH2" s="27"/>
      <c r="MLI2" s="27"/>
      <c r="MLJ2" s="27"/>
      <c r="MLK2" s="27"/>
      <c r="MLL2" s="27"/>
      <c r="MLM2" s="27"/>
      <c r="MLN2" s="27"/>
      <c r="MLO2" s="27"/>
      <c r="MLP2" s="27"/>
      <c r="MLQ2" s="27"/>
      <c r="MLR2" s="27"/>
      <c r="MLS2" s="27"/>
      <c r="MLT2" s="27"/>
      <c r="MLU2" s="27"/>
      <c r="MLV2" s="27"/>
      <c r="MLW2" s="27"/>
      <c r="MLX2" s="27"/>
      <c r="MLY2" s="27"/>
      <c r="MLZ2" s="27"/>
      <c r="MMA2" s="27"/>
      <c r="MMB2" s="27"/>
      <c r="MMC2" s="27"/>
      <c r="MMD2" s="27"/>
      <c r="MME2" s="27"/>
      <c r="MMF2" s="27"/>
      <c r="MMG2" s="27"/>
      <c r="MMH2" s="27"/>
      <c r="MMI2" s="27"/>
      <c r="MMJ2" s="27"/>
      <c r="MMK2" s="27"/>
      <c r="MML2" s="27"/>
      <c r="MMM2" s="27"/>
      <c r="MMN2" s="27"/>
      <c r="MMO2" s="27"/>
      <c r="MMP2" s="27"/>
      <c r="MMQ2" s="27"/>
      <c r="MMR2" s="27"/>
      <c r="MMS2" s="27"/>
      <c r="MMT2" s="27"/>
      <c r="MMU2" s="27"/>
      <c r="MMV2" s="27"/>
      <c r="MMW2" s="27"/>
      <c r="MMX2" s="27"/>
      <c r="MMY2" s="27"/>
      <c r="MMZ2" s="27"/>
      <c r="MNA2" s="27"/>
      <c r="MNB2" s="27"/>
      <c r="MNC2" s="27"/>
      <c r="MND2" s="27"/>
      <c r="MNE2" s="27"/>
      <c r="MNF2" s="27"/>
      <c r="MNG2" s="27"/>
      <c r="MNH2" s="27"/>
      <c r="MNI2" s="27"/>
      <c r="MNJ2" s="27"/>
      <c r="MNK2" s="27"/>
      <c r="MNL2" s="27"/>
      <c r="MNM2" s="27"/>
      <c r="MNN2" s="27"/>
      <c r="MNO2" s="27"/>
      <c r="MNP2" s="27"/>
      <c r="MNQ2" s="27"/>
      <c r="MNR2" s="27"/>
      <c r="MNS2" s="27"/>
      <c r="MNT2" s="27"/>
      <c r="MNU2" s="27"/>
      <c r="MNV2" s="27"/>
      <c r="MNW2" s="27"/>
      <c r="MNX2" s="27"/>
      <c r="MNY2" s="27"/>
      <c r="MNZ2" s="27"/>
      <c r="MOA2" s="27"/>
      <c r="MOB2" s="27"/>
      <c r="MOC2" s="27"/>
      <c r="MOD2" s="27"/>
      <c r="MOE2" s="27"/>
      <c r="MOF2" s="27"/>
      <c r="MOG2" s="27"/>
      <c r="MOH2" s="27"/>
      <c r="MOI2" s="27"/>
      <c r="MOJ2" s="27"/>
      <c r="MOK2" s="27"/>
      <c r="MOL2" s="27"/>
      <c r="MOM2" s="27"/>
      <c r="MON2" s="27"/>
      <c r="MOO2" s="27"/>
      <c r="MOP2" s="27"/>
      <c r="MOQ2" s="27"/>
      <c r="MOR2" s="27"/>
      <c r="MOS2" s="27"/>
      <c r="MOT2" s="27"/>
      <c r="MOU2" s="27"/>
      <c r="MOV2" s="27"/>
      <c r="MOW2" s="27"/>
      <c r="MOX2" s="27"/>
      <c r="MOY2" s="27"/>
      <c r="MOZ2" s="27"/>
      <c r="MPA2" s="27"/>
      <c r="MPB2" s="27"/>
      <c r="MPC2" s="27"/>
      <c r="MPD2" s="27"/>
      <c r="MPE2" s="27"/>
      <c r="MPF2" s="27"/>
      <c r="MPG2" s="27"/>
      <c r="MPH2" s="27"/>
      <c r="MPI2" s="27"/>
      <c r="MPJ2" s="27"/>
      <c r="MPK2" s="27"/>
      <c r="MPL2" s="27"/>
      <c r="MPM2" s="27"/>
      <c r="MPN2" s="27"/>
      <c r="MPO2" s="27"/>
      <c r="MPP2" s="27"/>
      <c r="MPQ2" s="27"/>
      <c r="MPR2" s="27"/>
      <c r="MPS2" s="27"/>
      <c r="MPT2" s="27"/>
      <c r="MPU2" s="27"/>
      <c r="MPV2" s="27"/>
      <c r="MPW2" s="27"/>
      <c r="MPX2" s="27"/>
      <c r="MPY2" s="27"/>
      <c r="MPZ2" s="27"/>
      <c r="MQA2" s="27"/>
      <c r="MQB2" s="27"/>
      <c r="MQC2" s="27"/>
      <c r="MQD2" s="27"/>
      <c r="MQE2" s="27"/>
      <c r="MQF2" s="27"/>
      <c r="MQG2" s="27"/>
      <c r="MQH2" s="27"/>
      <c r="MQI2" s="27"/>
      <c r="MQJ2" s="27"/>
      <c r="MQK2" s="27"/>
      <c r="MQL2" s="27"/>
      <c r="MQM2" s="27"/>
      <c r="MQN2" s="27"/>
      <c r="MQO2" s="27"/>
      <c r="MQP2" s="27"/>
      <c r="MQQ2" s="27"/>
      <c r="MQR2" s="27"/>
      <c r="MQS2" s="27"/>
      <c r="MQT2" s="27"/>
      <c r="MQU2" s="27"/>
      <c r="MQV2" s="27"/>
      <c r="MQW2" s="27"/>
      <c r="MQX2" s="27"/>
      <c r="MQY2" s="27"/>
      <c r="MQZ2" s="27"/>
      <c r="MRA2" s="27"/>
      <c r="MRB2" s="27"/>
      <c r="MRC2" s="27"/>
      <c r="MRD2" s="27"/>
      <c r="MRE2" s="27"/>
      <c r="MRF2" s="27"/>
      <c r="MRG2" s="27"/>
      <c r="MRH2" s="27"/>
      <c r="MRI2" s="27"/>
      <c r="MRJ2" s="27"/>
      <c r="MRK2" s="27"/>
      <c r="MRL2" s="27"/>
      <c r="MRM2" s="27"/>
      <c r="MRN2" s="27"/>
      <c r="MRO2" s="27"/>
      <c r="MRP2" s="27"/>
      <c r="MRQ2" s="27"/>
      <c r="MRR2" s="27"/>
      <c r="MRS2" s="27"/>
      <c r="MRT2" s="27"/>
      <c r="MRU2" s="27"/>
      <c r="MRV2" s="27"/>
      <c r="MRW2" s="27"/>
      <c r="MRX2" s="27"/>
      <c r="MRY2" s="27"/>
      <c r="MRZ2" s="27"/>
      <c r="MSA2" s="27"/>
      <c r="MSB2" s="27"/>
      <c r="MSC2" s="27"/>
      <c r="MSD2" s="27"/>
      <c r="MSE2" s="27"/>
      <c r="MSF2" s="27"/>
      <c r="MSG2" s="27"/>
      <c r="MSH2" s="27"/>
      <c r="MSI2" s="27"/>
      <c r="MSJ2" s="27"/>
      <c r="MSK2" s="27"/>
      <c r="MSL2" s="27"/>
      <c r="MSM2" s="27"/>
      <c r="MSN2" s="27"/>
      <c r="MSO2" s="27"/>
      <c r="MSP2" s="27"/>
      <c r="MSQ2" s="27"/>
      <c r="MSR2" s="27"/>
      <c r="MSS2" s="27"/>
      <c r="MST2" s="27"/>
      <c r="MSU2" s="27"/>
      <c r="MSV2" s="27"/>
      <c r="MSW2" s="27"/>
      <c r="MSX2" s="27"/>
      <c r="MSY2" s="27"/>
      <c r="MSZ2" s="27"/>
      <c r="MTA2" s="27"/>
      <c r="MTB2" s="27"/>
      <c r="MTC2" s="27"/>
      <c r="MTD2" s="27"/>
      <c r="MTE2" s="27"/>
      <c r="MTF2" s="27"/>
      <c r="MTG2" s="27"/>
      <c r="MTH2" s="27"/>
      <c r="MTI2" s="27"/>
      <c r="MTJ2" s="27"/>
      <c r="MTK2" s="27"/>
      <c r="MTL2" s="27"/>
      <c r="MTM2" s="27"/>
      <c r="MTN2" s="27"/>
      <c r="MTO2" s="27"/>
      <c r="MTP2" s="27"/>
      <c r="MTQ2" s="27"/>
      <c r="MTR2" s="27"/>
      <c r="MTS2" s="27"/>
      <c r="MTT2" s="27"/>
      <c r="MTU2" s="27"/>
      <c r="MTV2" s="27"/>
      <c r="MTW2" s="27"/>
      <c r="MTX2" s="27"/>
      <c r="MTY2" s="27"/>
      <c r="MTZ2" s="27"/>
      <c r="MUA2" s="27"/>
      <c r="MUB2" s="27"/>
      <c r="MUC2" s="27"/>
      <c r="MUD2" s="27"/>
      <c r="MUE2" s="27"/>
      <c r="MUF2" s="27"/>
      <c r="MUG2" s="27"/>
      <c r="MUH2" s="27"/>
      <c r="MUI2" s="27"/>
      <c r="MUJ2" s="27"/>
      <c r="MUK2" s="27"/>
      <c r="MUL2" s="27"/>
      <c r="MUM2" s="27"/>
      <c r="MUN2" s="27"/>
      <c r="MUO2" s="27"/>
      <c r="MUP2" s="27"/>
      <c r="MUQ2" s="27"/>
      <c r="MUR2" s="27"/>
      <c r="MUS2" s="27"/>
      <c r="MUT2" s="27"/>
      <c r="MUU2" s="27"/>
      <c r="MUV2" s="27"/>
      <c r="MUW2" s="27"/>
      <c r="MUX2" s="27"/>
      <c r="MUY2" s="27"/>
      <c r="MUZ2" s="27"/>
      <c r="MVA2" s="27"/>
      <c r="MVB2" s="27"/>
      <c r="MVC2" s="27"/>
      <c r="MVD2" s="27"/>
      <c r="MVE2" s="27"/>
      <c r="MVF2" s="27"/>
      <c r="MVG2" s="27"/>
      <c r="MVH2" s="27"/>
      <c r="MVI2" s="27"/>
      <c r="MVJ2" s="27"/>
      <c r="MVK2" s="27"/>
      <c r="MVL2" s="27"/>
      <c r="MVM2" s="27"/>
      <c r="MVN2" s="27"/>
      <c r="MVO2" s="27"/>
      <c r="MVP2" s="27"/>
      <c r="MVQ2" s="27"/>
      <c r="MVR2" s="27"/>
      <c r="MVS2" s="27"/>
      <c r="MVT2" s="27"/>
      <c r="MVU2" s="27"/>
      <c r="MVV2" s="27"/>
      <c r="MVW2" s="27"/>
      <c r="MVX2" s="27"/>
      <c r="MVY2" s="27"/>
      <c r="MVZ2" s="27"/>
      <c r="MWA2" s="27"/>
      <c r="MWB2" s="27"/>
      <c r="MWC2" s="27"/>
      <c r="MWD2" s="27"/>
      <c r="MWE2" s="27"/>
      <c r="MWF2" s="27"/>
      <c r="MWG2" s="27"/>
      <c r="MWH2" s="27"/>
      <c r="MWI2" s="27"/>
      <c r="MWJ2" s="27"/>
      <c r="MWK2" s="27"/>
      <c r="MWL2" s="27"/>
      <c r="MWM2" s="27"/>
      <c r="MWN2" s="27"/>
      <c r="MWO2" s="27"/>
      <c r="MWP2" s="27"/>
      <c r="MWQ2" s="27"/>
      <c r="MWR2" s="27"/>
      <c r="MWS2" s="27"/>
      <c r="MWT2" s="27"/>
      <c r="MWU2" s="27"/>
      <c r="MWV2" s="27"/>
      <c r="MWW2" s="27"/>
      <c r="MWX2" s="27"/>
      <c r="MWY2" s="27"/>
      <c r="MWZ2" s="27"/>
      <c r="MXA2" s="27"/>
      <c r="MXB2" s="27"/>
      <c r="MXC2" s="27"/>
      <c r="MXD2" s="27"/>
      <c r="MXE2" s="27"/>
      <c r="MXF2" s="27"/>
      <c r="MXG2" s="27"/>
      <c r="MXH2" s="27"/>
      <c r="MXI2" s="27"/>
      <c r="MXJ2" s="27"/>
      <c r="MXK2" s="27"/>
      <c r="MXL2" s="27"/>
      <c r="MXM2" s="27"/>
      <c r="MXN2" s="27"/>
      <c r="MXO2" s="27"/>
      <c r="MXP2" s="27"/>
      <c r="MXQ2" s="27"/>
      <c r="MXR2" s="27"/>
      <c r="MXS2" s="27"/>
      <c r="MXT2" s="27"/>
      <c r="MXU2" s="27"/>
      <c r="MXV2" s="27"/>
      <c r="MXW2" s="27"/>
      <c r="MXX2" s="27"/>
      <c r="MXY2" s="27"/>
      <c r="MXZ2" s="27"/>
      <c r="MYA2" s="27"/>
      <c r="MYB2" s="27"/>
      <c r="MYC2" s="27"/>
      <c r="MYD2" s="27"/>
      <c r="MYE2" s="27"/>
      <c r="MYF2" s="27"/>
      <c r="MYG2" s="27"/>
      <c r="MYH2" s="27"/>
      <c r="MYI2" s="27"/>
      <c r="MYJ2" s="27"/>
      <c r="MYK2" s="27"/>
      <c r="MYL2" s="27"/>
      <c r="MYM2" s="27"/>
      <c r="MYN2" s="27"/>
      <c r="MYO2" s="27"/>
      <c r="MYP2" s="27"/>
      <c r="MYQ2" s="27"/>
      <c r="MYR2" s="27"/>
      <c r="MYS2" s="27"/>
      <c r="MYT2" s="27"/>
      <c r="MYU2" s="27"/>
      <c r="MYV2" s="27"/>
      <c r="MYW2" s="27"/>
      <c r="MYX2" s="27"/>
      <c r="MYY2" s="27"/>
      <c r="MYZ2" s="27"/>
      <c r="MZA2" s="27"/>
      <c r="MZB2" s="27"/>
      <c r="MZC2" s="27"/>
      <c r="MZD2" s="27"/>
      <c r="MZE2" s="27"/>
      <c r="MZF2" s="27"/>
      <c r="MZG2" s="27"/>
      <c r="MZH2" s="27"/>
      <c r="MZI2" s="27"/>
      <c r="MZJ2" s="27"/>
      <c r="MZK2" s="27"/>
      <c r="MZL2" s="27"/>
      <c r="MZM2" s="27"/>
      <c r="MZN2" s="27"/>
      <c r="MZO2" s="27"/>
      <c r="MZP2" s="27"/>
      <c r="MZQ2" s="27"/>
      <c r="MZR2" s="27"/>
      <c r="MZS2" s="27"/>
      <c r="MZT2" s="27"/>
      <c r="MZU2" s="27"/>
      <c r="MZV2" s="27"/>
      <c r="MZW2" s="27"/>
      <c r="MZX2" s="27"/>
      <c r="MZY2" s="27"/>
      <c r="MZZ2" s="27"/>
      <c r="NAA2" s="27"/>
      <c r="NAB2" s="27"/>
      <c r="NAC2" s="27"/>
      <c r="NAD2" s="27"/>
      <c r="NAE2" s="27"/>
      <c r="NAF2" s="27"/>
      <c r="NAG2" s="27"/>
      <c r="NAH2" s="27"/>
      <c r="NAI2" s="27"/>
      <c r="NAJ2" s="27"/>
      <c r="NAK2" s="27"/>
      <c r="NAL2" s="27"/>
      <c r="NAM2" s="27"/>
      <c r="NAN2" s="27"/>
      <c r="NAO2" s="27"/>
      <c r="NAP2" s="27"/>
      <c r="NAQ2" s="27"/>
      <c r="NAR2" s="27"/>
      <c r="NAS2" s="27"/>
      <c r="NAT2" s="27"/>
      <c r="NAU2" s="27"/>
      <c r="NAV2" s="27"/>
      <c r="NAW2" s="27"/>
      <c r="NAX2" s="27"/>
      <c r="NAY2" s="27"/>
      <c r="NAZ2" s="27"/>
      <c r="NBA2" s="27"/>
      <c r="NBB2" s="27"/>
      <c r="NBC2" s="27"/>
      <c r="NBD2" s="27"/>
      <c r="NBE2" s="27"/>
      <c r="NBF2" s="27"/>
      <c r="NBG2" s="27"/>
      <c r="NBH2" s="27"/>
      <c r="NBI2" s="27"/>
      <c r="NBJ2" s="27"/>
      <c r="NBK2" s="27"/>
      <c r="NBL2" s="27"/>
      <c r="NBM2" s="27"/>
      <c r="NBN2" s="27"/>
      <c r="NBO2" s="27"/>
      <c r="NBP2" s="27"/>
      <c r="NBQ2" s="27"/>
      <c r="NBR2" s="27"/>
      <c r="NBS2" s="27"/>
      <c r="NBT2" s="27"/>
      <c r="NBU2" s="27"/>
      <c r="NBV2" s="27"/>
      <c r="NBW2" s="27"/>
      <c r="NBX2" s="27"/>
      <c r="NBY2" s="27"/>
      <c r="NBZ2" s="27"/>
      <c r="NCA2" s="27"/>
      <c r="NCB2" s="27"/>
      <c r="NCC2" s="27"/>
      <c r="NCD2" s="27"/>
      <c r="NCE2" s="27"/>
      <c r="NCF2" s="27"/>
      <c r="NCG2" s="27"/>
      <c r="NCH2" s="27"/>
      <c r="NCI2" s="27"/>
      <c r="NCJ2" s="27"/>
      <c r="NCK2" s="27"/>
      <c r="NCL2" s="27"/>
      <c r="NCM2" s="27"/>
      <c r="NCN2" s="27"/>
      <c r="NCO2" s="27"/>
      <c r="NCP2" s="27"/>
      <c r="NCQ2" s="27"/>
      <c r="NCR2" s="27"/>
      <c r="NCS2" s="27"/>
      <c r="NCT2" s="27"/>
      <c r="NCU2" s="27"/>
      <c r="NCV2" s="27"/>
      <c r="NCW2" s="27"/>
      <c r="NCX2" s="27"/>
      <c r="NCY2" s="27"/>
      <c r="NCZ2" s="27"/>
      <c r="NDA2" s="27"/>
      <c r="NDB2" s="27"/>
      <c r="NDC2" s="27"/>
      <c r="NDD2" s="27"/>
      <c r="NDE2" s="27"/>
      <c r="NDF2" s="27"/>
      <c r="NDG2" s="27"/>
      <c r="NDH2" s="27"/>
      <c r="NDI2" s="27"/>
      <c r="NDJ2" s="27"/>
      <c r="NDK2" s="27"/>
      <c r="NDL2" s="27"/>
      <c r="NDM2" s="27"/>
      <c r="NDN2" s="27"/>
      <c r="NDO2" s="27"/>
      <c r="NDP2" s="27"/>
      <c r="NDQ2" s="27"/>
      <c r="NDR2" s="27"/>
      <c r="NDS2" s="27"/>
      <c r="NDT2" s="27"/>
      <c r="NDU2" s="27"/>
      <c r="NDV2" s="27"/>
      <c r="NDW2" s="27"/>
      <c r="NDX2" s="27"/>
      <c r="NDY2" s="27"/>
      <c r="NDZ2" s="27"/>
      <c r="NEA2" s="27"/>
      <c r="NEB2" s="27"/>
      <c r="NEC2" s="27"/>
      <c r="NED2" s="27"/>
      <c r="NEE2" s="27"/>
      <c r="NEF2" s="27"/>
      <c r="NEG2" s="27"/>
      <c r="NEH2" s="27"/>
      <c r="NEI2" s="27"/>
      <c r="NEJ2" s="27"/>
      <c r="NEK2" s="27"/>
      <c r="NEL2" s="27"/>
      <c r="NEM2" s="27"/>
      <c r="NEN2" s="27"/>
      <c r="NEO2" s="27"/>
      <c r="NEP2" s="27"/>
      <c r="NEQ2" s="27"/>
      <c r="NER2" s="27"/>
      <c r="NES2" s="27"/>
      <c r="NET2" s="27"/>
      <c r="NEU2" s="27"/>
      <c r="NEV2" s="27"/>
      <c r="NEW2" s="27"/>
      <c r="NEX2" s="27"/>
      <c r="NEY2" s="27"/>
      <c r="NEZ2" s="27"/>
      <c r="NFA2" s="27"/>
      <c r="NFB2" s="27"/>
      <c r="NFC2" s="27"/>
      <c r="NFD2" s="27"/>
      <c r="NFE2" s="27"/>
      <c r="NFF2" s="27"/>
      <c r="NFG2" s="27"/>
      <c r="NFH2" s="27"/>
      <c r="NFI2" s="27"/>
      <c r="NFJ2" s="27"/>
      <c r="NFK2" s="27"/>
      <c r="NFL2" s="27"/>
      <c r="NFM2" s="27"/>
      <c r="NFN2" s="27"/>
      <c r="NFO2" s="27"/>
      <c r="NFP2" s="27"/>
      <c r="NFQ2" s="27"/>
      <c r="NFR2" s="27"/>
      <c r="NFS2" s="27"/>
      <c r="NFT2" s="27"/>
      <c r="NFU2" s="27"/>
      <c r="NFV2" s="27"/>
      <c r="NFW2" s="27"/>
      <c r="NFX2" s="27"/>
      <c r="NFY2" s="27"/>
      <c r="NFZ2" s="27"/>
      <c r="NGA2" s="27"/>
      <c r="NGB2" s="27"/>
      <c r="NGC2" s="27"/>
      <c r="NGD2" s="27"/>
      <c r="NGE2" s="27"/>
      <c r="NGF2" s="27"/>
      <c r="NGG2" s="27"/>
      <c r="NGH2" s="27"/>
      <c r="NGI2" s="27"/>
      <c r="NGJ2" s="27"/>
      <c r="NGK2" s="27"/>
      <c r="NGL2" s="27"/>
      <c r="NGM2" s="27"/>
      <c r="NGN2" s="27"/>
      <c r="NGO2" s="27"/>
      <c r="NGP2" s="27"/>
      <c r="NGQ2" s="27"/>
      <c r="NGR2" s="27"/>
      <c r="NGS2" s="27"/>
      <c r="NGT2" s="27"/>
      <c r="NGU2" s="27"/>
      <c r="NGV2" s="27"/>
      <c r="NGW2" s="27"/>
      <c r="NGX2" s="27"/>
      <c r="NGY2" s="27"/>
      <c r="NGZ2" s="27"/>
      <c r="NHA2" s="27"/>
      <c r="NHB2" s="27"/>
      <c r="NHC2" s="27"/>
      <c r="NHD2" s="27"/>
      <c r="NHE2" s="27"/>
      <c r="NHF2" s="27"/>
      <c r="NHG2" s="27"/>
      <c r="NHH2" s="27"/>
      <c r="NHI2" s="27"/>
      <c r="NHJ2" s="27"/>
      <c r="NHK2" s="27"/>
      <c r="NHL2" s="27"/>
      <c r="NHM2" s="27"/>
      <c r="NHN2" s="27"/>
      <c r="NHO2" s="27"/>
      <c r="NHP2" s="27"/>
      <c r="NHQ2" s="27"/>
      <c r="NHR2" s="27"/>
      <c r="NHS2" s="27"/>
      <c r="NHT2" s="27"/>
      <c r="NHU2" s="27"/>
      <c r="NHV2" s="27"/>
      <c r="NHW2" s="27"/>
      <c r="NHX2" s="27"/>
      <c r="NHY2" s="27"/>
      <c r="NHZ2" s="27"/>
      <c r="NIA2" s="27"/>
      <c r="NIB2" s="27"/>
      <c r="NIC2" s="27"/>
      <c r="NID2" s="27"/>
      <c r="NIE2" s="27"/>
      <c r="NIF2" s="27"/>
      <c r="NIG2" s="27"/>
      <c r="NIH2" s="27"/>
      <c r="NII2" s="27"/>
      <c r="NIJ2" s="27"/>
      <c r="NIK2" s="27"/>
      <c r="NIL2" s="27"/>
      <c r="NIM2" s="27"/>
      <c r="NIN2" s="27"/>
      <c r="NIO2" s="27"/>
      <c r="NIP2" s="27"/>
      <c r="NIQ2" s="27"/>
      <c r="NIR2" s="27"/>
      <c r="NIS2" s="27"/>
      <c r="NIT2" s="27"/>
      <c r="NIU2" s="27"/>
      <c r="NIV2" s="27"/>
      <c r="NIW2" s="27"/>
      <c r="NIX2" s="27"/>
      <c r="NIY2" s="27"/>
      <c r="NIZ2" s="27"/>
      <c r="NJA2" s="27"/>
      <c r="NJB2" s="27"/>
      <c r="NJC2" s="27"/>
      <c r="NJD2" s="27"/>
      <c r="NJE2" s="27"/>
      <c r="NJF2" s="27"/>
      <c r="NJG2" s="27"/>
      <c r="NJH2" s="27"/>
      <c r="NJI2" s="27"/>
      <c r="NJJ2" s="27"/>
      <c r="NJK2" s="27"/>
      <c r="NJL2" s="27"/>
      <c r="NJM2" s="27"/>
      <c r="NJN2" s="27"/>
      <c r="NJO2" s="27"/>
      <c r="NJP2" s="27"/>
      <c r="NJQ2" s="27"/>
      <c r="NJR2" s="27"/>
      <c r="NJS2" s="27"/>
      <c r="NJT2" s="27"/>
      <c r="NJU2" s="27"/>
      <c r="NJV2" s="27"/>
      <c r="NJW2" s="27"/>
      <c r="NJX2" s="27"/>
      <c r="NJY2" s="27"/>
      <c r="NJZ2" s="27"/>
      <c r="NKA2" s="27"/>
      <c r="NKB2" s="27"/>
      <c r="NKC2" s="27"/>
      <c r="NKD2" s="27"/>
      <c r="NKE2" s="27"/>
      <c r="NKF2" s="27"/>
      <c r="NKG2" s="27"/>
      <c r="NKH2" s="27"/>
      <c r="NKI2" s="27"/>
      <c r="NKJ2" s="27"/>
      <c r="NKK2" s="27"/>
      <c r="NKL2" s="27"/>
      <c r="NKM2" s="27"/>
      <c r="NKN2" s="27"/>
      <c r="NKO2" s="27"/>
      <c r="NKP2" s="27"/>
      <c r="NKQ2" s="27"/>
      <c r="NKR2" s="27"/>
      <c r="NKS2" s="27"/>
      <c r="NKT2" s="27"/>
      <c r="NKU2" s="27"/>
      <c r="NKV2" s="27"/>
      <c r="NKW2" s="27"/>
      <c r="NKX2" s="27"/>
      <c r="NKY2" s="27"/>
      <c r="NKZ2" s="27"/>
      <c r="NLA2" s="27"/>
      <c r="NLB2" s="27"/>
      <c r="NLC2" s="27"/>
      <c r="NLD2" s="27"/>
      <c r="NLE2" s="27"/>
      <c r="NLF2" s="27"/>
      <c r="NLG2" s="27"/>
      <c r="NLH2" s="27"/>
      <c r="NLI2" s="27"/>
      <c r="NLJ2" s="27"/>
      <c r="NLK2" s="27"/>
      <c r="NLL2" s="27"/>
      <c r="NLM2" s="27"/>
      <c r="NLN2" s="27"/>
      <c r="NLO2" s="27"/>
      <c r="NLP2" s="27"/>
      <c r="NLQ2" s="27"/>
      <c r="NLR2" s="27"/>
      <c r="NLS2" s="27"/>
      <c r="NLT2" s="27"/>
      <c r="NLU2" s="27"/>
      <c r="NLV2" s="27"/>
      <c r="NLW2" s="27"/>
      <c r="NLX2" s="27"/>
      <c r="NLY2" s="27"/>
      <c r="NLZ2" s="27"/>
      <c r="NMA2" s="27"/>
      <c r="NMB2" s="27"/>
      <c r="NMC2" s="27"/>
      <c r="NMD2" s="27"/>
      <c r="NME2" s="27"/>
      <c r="NMF2" s="27"/>
      <c r="NMG2" s="27"/>
      <c r="NMH2" s="27"/>
      <c r="NMI2" s="27"/>
      <c r="NMJ2" s="27"/>
      <c r="NMK2" s="27"/>
      <c r="NML2" s="27"/>
      <c r="NMM2" s="27"/>
      <c r="NMN2" s="27"/>
      <c r="NMO2" s="27"/>
      <c r="NMP2" s="27"/>
      <c r="NMQ2" s="27"/>
      <c r="NMR2" s="27"/>
      <c r="NMS2" s="27"/>
      <c r="NMT2" s="27"/>
      <c r="NMU2" s="27"/>
      <c r="NMV2" s="27"/>
      <c r="NMW2" s="27"/>
      <c r="NMX2" s="27"/>
      <c r="NMY2" s="27"/>
      <c r="NMZ2" s="27"/>
      <c r="NNA2" s="27"/>
      <c r="NNB2" s="27"/>
      <c r="NNC2" s="27"/>
      <c r="NND2" s="27"/>
      <c r="NNE2" s="27"/>
      <c r="NNF2" s="27"/>
      <c r="NNG2" s="27"/>
      <c r="NNH2" s="27"/>
      <c r="NNI2" s="27"/>
      <c r="NNJ2" s="27"/>
      <c r="NNK2" s="27"/>
      <c r="NNL2" s="27"/>
      <c r="NNM2" s="27"/>
      <c r="NNN2" s="27"/>
      <c r="NNO2" s="27"/>
      <c r="NNP2" s="27"/>
      <c r="NNQ2" s="27"/>
      <c r="NNR2" s="27"/>
      <c r="NNS2" s="27"/>
      <c r="NNT2" s="27"/>
      <c r="NNU2" s="27"/>
      <c r="NNV2" s="27"/>
      <c r="NNW2" s="27"/>
      <c r="NNX2" s="27"/>
      <c r="NNY2" s="27"/>
      <c r="NNZ2" s="27"/>
      <c r="NOA2" s="27"/>
      <c r="NOB2" s="27"/>
      <c r="NOC2" s="27"/>
      <c r="NOD2" s="27"/>
      <c r="NOE2" s="27"/>
      <c r="NOF2" s="27"/>
      <c r="NOG2" s="27"/>
      <c r="NOH2" s="27"/>
      <c r="NOI2" s="27"/>
      <c r="NOJ2" s="27"/>
      <c r="NOK2" s="27"/>
      <c r="NOL2" s="27"/>
      <c r="NOM2" s="27"/>
      <c r="NON2" s="27"/>
      <c r="NOO2" s="27"/>
      <c r="NOP2" s="27"/>
      <c r="NOQ2" s="27"/>
      <c r="NOR2" s="27"/>
      <c r="NOS2" s="27"/>
      <c r="NOT2" s="27"/>
      <c r="NOU2" s="27"/>
      <c r="NOV2" s="27"/>
      <c r="NOW2" s="27"/>
      <c r="NOX2" s="27"/>
      <c r="NOY2" s="27"/>
      <c r="NOZ2" s="27"/>
      <c r="NPA2" s="27"/>
      <c r="NPB2" s="27"/>
      <c r="NPC2" s="27"/>
      <c r="NPD2" s="27"/>
      <c r="NPE2" s="27"/>
      <c r="NPF2" s="27"/>
      <c r="NPG2" s="27"/>
      <c r="NPH2" s="27"/>
      <c r="NPI2" s="27"/>
      <c r="NPJ2" s="27"/>
      <c r="NPK2" s="27"/>
      <c r="NPL2" s="27"/>
      <c r="NPM2" s="27"/>
      <c r="NPN2" s="27"/>
      <c r="NPO2" s="27"/>
      <c r="NPP2" s="27"/>
      <c r="NPQ2" s="27"/>
      <c r="NPR2" s="27"/>
      <c r="NPS2" s="27"/>
      <c r="NPT2" s="27"/>
      <c r="NPU2" s="27"/>
      <c r="NPV2" s="27"/>
      <c r="NPW2" s="27"/>
      <c r="NPX2" s="27"/>
      <c r="NPY2" s="27"/>
      <c r="NPZ2" s="27"/>
      <c r="NQA2" s="27"/>
      <c r="NQB2" s="27"/>
      <c r="NQC2" s="27"/>
      <c r="NQD2" s="27"/>
      <c r="NQE2" s="27"/>
      <c r="NQF2" s="27"/>
      <c r="NQG2" s="27"/>
      <c r="NQH2" s="27"/>
      <c r="NQI2" s="27"/>
      <c r="NQJ2" s="27"/>
      <c r="NQK2" s="27"/>
      <c r="NQL2" s="27"/>
      <c r="NQM2" s="27"/>
      <c r="NQN2" s="27"/>
      <c r="NQO2" s="27"/>
      <c r="NQP2" s="27"/>
      <c r="NQQ2" s="27"/>
      <c r="NQR2" s="27"/>
      <c r="NQS2" s="27"/>
      <c r="NQT2" s="27"/>
      <c r="NQU2" s="27"/>
      <c r="NQV2" s="27"/>
      <c r="NQW2" s="27"/>
      <c r="NQX2" s="27"/>
      <c r="NQY2" s="27"/>
      <c r="NQZ2" s="27"/>
      <c r="NRA2" s="27"/>
      <c r="NRB2" s="27"/>
      <c r="NRC2" s="27"/>
      <c r="NRD2" s="27"/>
      <c r="NRE2" s="27"/>
      <c r="NRF2" s="27"/>
      <c r="NRG2" s="27"/>
      <c r="NRH2" s="27"/>
      <c r="NRI2" s="27"/>
      <c r="NRJ2" s="27"/>
      <c r="NRK2" s="27"/>
      <c r="NRL2" s="27"/>
      <c r="NRM2" s="27"/>
      <c r="NRN2" s="27"/>
      <c r="NRO2" s="27"/>
      <c r="NRP2" s="27"/>
      <c r="NRQ2" s="27"/>
      <c r="NRR2" s="27"/>
      <c r="NRS2" s="27"/>
      <c r="NRT2" s="27"/>
      <c r="NRU2" s="27"/>
      <c r="NRV2" s="27"/>
      <c r="NRW2" s="27"/>
      <c r="NRX2" s="27"/>
      <c r="NRY2" s="27"/>
      <c r="NRZ2" s="27"/>
      <c r="NSA2" s="27"/>
      <c r="NSB2" s="27"/>
      <c r="NSC2" s="27"/>
      <c r="NSD2" s="27"/>
      <c r="NSE2" s="27"/>
      <c r="NSF2" s="27"/>
      <c r="NSG2" s="27"/>
      <c r="NSH2" s="27"/>
      <c r="NSI2" s="27"/>
      <c r="NSJ2" s="27"/>
      <c r="NSK2" s="27"/>
      <c r="NSL2" s="27"/>
      <c r="NSM2" s="27"/>
      <c r="NSN2" s="27"/>
      <c r="NSO2" s="27"/>
      <c r="NSP2" s="27"/>
      <c r="NSQ2" s="27"/>
      <c r="NSR2" s="27"/>
      <c r="NSS2" s="27"/>
      <c r="NST2" s="27"/>
      <c r="NSU2" s="27"/>
      <c r="NSV2" s="27"/>
      <c r="NSW2" s="27"/>
      <c r="NSX2" s="27"/>
      <c r="NSY2" s="27"/>
      <c r="NSZ2" s="27"/>
      <c r="NTA2" s="27"/>
      <c r="NTB2" s="27"/>
      <c r="NTC2" s="27"/>
      <c r="NTD2" s="27"/>
      <c r="NTE2" s="27"/>
      <c r="NTF2" s="27"/>
      <c r="NTG2" s="27"/>
      <c r="NTH2" s="27"/>
      <c r="NTI2" s="27"/>
      <c r="NTJ2" s="27"/>
      <c r="NTK2" s="27"/>
      <c r="NTL2" s="27"/>
      <c r="NTM2" s="27"/>
      <c r="NTN2" s="27"/>
      <c r="NTO2" s="27"/>
      <c r="NTP2" s="27"/>
      <c r="NTQ2" s="27"/>
      <c r="NTR2" s="27"/>
      <c r="NTS2" s="27"/>
      <c r="NTT2" s="27"/>
      <c r="NTU2" s="27"/>
      <c r="NTV2" s="27"/>
      <c r="NTW2" s="27"/>
      <c r="NTX2" s="27"/>
      <c r="NTY2" s="27"/>
      <c r="NTZ2" s="27"/>
      <c r="NUA2" s="27"/>
      <c r="NUB2" s="27"/>
      <c r="NUC2" s="27"/>
      <c r="NUD2" s="27"/>
      <c r="NUE2" s="27"/>
      <c r="NUF2" s="27"/>
      <c r="NUG2" s="27"/>
      <c r="NUH2" s="27"/>
      <c r="NUI2" s="27"/>
      <c r="NUJ2" s="27"/>
      <c r="NUK2" s="27"/>
      <c r="NUL2" s="27"/>
      <c r="NUM2" s="27"/>
      <c r="NUN2" s="27"/>
      <c r="NUO2" s="27"/>
      <c r="NUP2" s="27"/>
      <c r="NUQ2" s="27"/>
      <c r="NUR2" s="27"/>
      <c r="NUS2" s="27"/>
      <c r="NUT2" s="27"/>
      <c r="NUU2" s="27"/>
      <c r="NUV2" s="27"/>
      <c r="NUW2" s="27"/>
      <c r="NUX2" s="27"/>
      <c r="NUY2" s="27"/>
      <c r="NUZ2" s="27"/>
      <c r="NVA2" s="27"/>
      <c r="NVB2" s="27"/>
      <c r="NVC2" s="27"/>
      <c r="NVD2" s="27"/>
      <c r="NVE2" s="27"/>
      <c r="NVF2" s="27"/>
      <c r="NVG2" s="27"/>
      <c r="NVH2" s="27"/>
      <c r="NVI2" s="27"/>
      <c r="NVJ2" s="27"/>
      <c r="NVK2" s="27"/>
      <c r="NVL2" s="27"/>
      <c r="NVM2" s="27"/>
      <c r="NVN2" s="27"/>
      <c r="NVO2" s="27"/>
      <c r="NVP2" s="27"/>
      <c r="NVQ2" s="27"/>
      <c r="NVR2" s="27"/>
      <c r="NVS2" s="27"/>
      <c r="NVT2" s="27"/>
      <c r="NVU2" s="27"/>
      <c r="NVV2" s="27"/>
      <c r="NVW2" s="27"/>
      <c r="NVX2" s="27"/>
      <c r="NVY2" s="27"/>
      <c r="NVZ2" s="27"/>
      <c r="NWA2" s="27"/>
      <c r="NWB2" s="27"/>
      <c r="NWC2" s="27"/>
      <c r="NWD2" s="27"/>
      <c r="NWE2" s="27"/>
      <c r="NWF2" s="27"/>
      <c r="NWG2" s="27"/>
      <c r="NWH2" s="27"/>
      <c r="NWI2" s="27"/>
      <c r="NWJ2" s="27"/>
      <c r="NWK2" s="27"/>
      <c r="NWL2" s="27"/>
      <c r="NWM2" s="27"/>
      <c r="NWN2" s="27"/>
      <c r="NWO2" s="27"/>
      <c r="NWP2" s="27"/>
      <c r="NWQ2" s="27"/>
      <c r="NWR2" s="27"/>
      <c r="NWS2" s="27"/>
      <c r="NWT2" s="27"/>
      <c r="NWU2" s="27"/>
      <c r="NWV2" s="27"/>
      <c r="NWW2" s="27"/>
      <c r="NWX2" s="27"/>
      <c r="NWY2" s="27"/>
      <c r="NWZ2" s="27"/>
      <c r="NXA2" s="27"/>
      <c r="NXB2" s="27"/>
      <c r="NXC2" s="27"/>
      <c r="NXD2" s="27"/>
      <c r="NXE2" s="27"/>
      <c r="NXF2" s="27"/>
      <c r="NXG2" s="27"/>
      <c r="NXH2" s="27"/>
      <c r="NXI2" s="27"/>
      <c r="NXJ2" s="27"/>
      <c r="NXK2" s="27"/>
      <c r="NXL2" s="27"/>
      <c r="NXM2" s="27"/>
      <c r="NXN2" s="27"/>
      <c r="NXO2" s="27"/>
      <c r="NXP2" s="27"/>
      <c r="NXQ2" s="27"/>
      <c r="NXR2" s="27"/>
      <c r="NXS2" s="27"/>
      <c r="NXT2" s="27"/>
      <c r="NXU2" s="27"/>
      <c r="NXV2" s="27"/>
      <c r="NXW2" s="27"/>
      <c r="NXX2" s="27"/>
      <c r="NXY2" s="27"/>
      <c r="NXZ2" s="27"/>
      <c r="NYA2" s="27"/>
      <c r="NYB2" s="27"/>
      <c r="NYC2" s="27"/>
      <c r="NYD2" s="27"/>
      <c r="NYE2" s="27"/>
      <c r="NYF2" s="27"/>
      <c r="NYG2" s="27"/>
      <c r="NYH2" s="27"/>
      <c r="NYI2" s="27"/>
      <c r="NYJ2" s="27"/>
      <c r="NYK2" s="27"/>
      <c r="NYL2" s="27"/>
      <c r="NYM2" s="27"/>
      <c r="NYN2" s="27"/>
      <c r="NYO2" s="27"/>
      <c r="NYP2" s="27"/>
      <c r="NYQ2" s="27"/>
      <c r="NYR2" s="27"/>
      <c r="NYS2" s="27"/>
      <c r="NYT2" s="27"/>
      <c r="NYU2" s="27"/>
      <c r="NYV2" s="27"/>
      <c r="NYW2" s="27"/>
      <c r="NYX2" s="27"/>
      <c r="NYY2" s="27"/>
      <c r="NYZ2" s="27"/>
      <c r="NZA2" s="27"/>
      <c r="NZB2" s="27"/>
      <c r="NZC2" s="27"/>
      <c r="NZD2" s="27"/>
      <c r="NZE2" s="27"/>
      <c r="NZF2" s="27"/>
      <c r="NZG2" s="27"/>
      <c r="NZH2" s="27"/>
      <c r="NZI2" s="27"/>
      <c r="NZJ2" s="27"/>
      <c r="NZK2" s="27"/>
      <c r="NZL2" s="27"/>
      <c r="NZM2" s="27"/>
      <c r="NZN2" s="27"/>
      <c r="NZO2" s="27"/>
      <c r="NZP2" s="27"/>
      <c r="NZQ2" s="27"/>
      <c r="NZR2" s="27"/>
      <c r="NZS2" s="27"/>
      <c r="NZT2" s="27"/>
      <c r="NZU2" s="27"/>
      <c r="NZV2" s="27"/>
      <c r="NZW2" s="27"/>
      <c r="NZX2" s="27"/>
      <c r="NZY2" s="27"/>
      <c r="NZZ2" s="27"/>
      <c r="OAA2" s="27"/>
      <c r="OAB2" s="27"/>
      <c r="OAC2" s="27"/>
      <c r="OAD2" s="27"/>
      <c r="OAE2" s="27"/>
      <c r="OAF2" s="27"/>
      <c r="OAG2" s="27"/>
      <c r="OAH2" s="27"/>
      <c r="OAI2" s="27"/>
      <c r="OAJ2" s="27"/>
      <c r="OAK2" s="27"/>
      <c r="OAL2" s="27"/>
      <c r="OAM2" s="27"/>
      <c r="OAN2" s="27"/>
      <c r="OAO2" s="27"/>
      <c r="OAP2" s="27"/>
      <c r="OAQ2" s="27"/>
      <c r="OAR2" s="27"/>
      <c r="OAS2" s="27"/>
      <c r="OAT2" s="27"/>
      <c r="OAU2" s="27"/>
      <c r="OAV2" s="27"/>
      <c r="OAW2" s="27"/>
      <c r="OAX2" s="27"/>
      <c r="OAY2" s="27"/>
      <c r="OAZ2" s="27"/>
      <c r="OBA2" s="27"/>
      <c r="OBB2" s="27"/>
      <c r="OBC2" s="27"/>
      <c r="OBD2" s="27"/>
      <c r="OBE2" s="27"/>
      <c r="OBF2" s="27"/>
      <c r="OBG2" s="27"/>
      <c r="OBH2" s="27"/>
      <c r="OBI2" s="27"/>
      <c r="OBJ2" s="27"/>
      <c r="OBK2" s="27"/>
      <c r="OBL2" s="27"/>
      <c r="OBM2" s="27"/>
      <c r="OBN2" s="27"/>
      <c r="OBO2" s="27"/>
      <c r="OBP2" s="27"/>
      <c r="OBQ2" s="27"/>
      <c r="OBR2" s="27"/>
      <c r="OBS2" s="27"/>
      <c r="OBT2" s="27"/>
      <c r="OBU2" s="27"/>
      <c r="OBV2" s="27"/>
      <c r="OBW2" s="27"/>
      <c r="OBX2" s="27"/>
      <c r="OBY2" s="27"/>
      <c r="OBZ2" s="27"/>
      <c r="OCA2" s="27"/>
      <c r="OCB2" s="27"/>
      <c r="OCC2" s="27"/>
      <c r="OCD2" s="27"/>
      <c r="OCE2" s="27"/>
      <c r="OCF2" s="27"/>
      <c r="OCG2" s="27"/>
      <c r="OCH2" s="27"/>
      <c r="OCI2" s="27"/>
      <c r="OCJ2" s="27"/>
      <c r="OCK2" s="27"/>
      <c r="OCL2" s="27"/>
      <c r="OCM2" s="27"/>
      <c r="OCN2" s="27"/>
      <c r="OCO2" s="27"/>
      <c r="OCP2" s="27"/>
      <c r="OCQ2" s="27"/>
      <c r="OCR2" s="27"/>
      <c r="OCS2" s="27"/>
      <c r="OCT2" s="27"/>
      <c r="OCU2" s="27"/>
      <c r="OCV2" s="27"/>
      <c r="OCW2" s="27"/>
      <c r="OCX2" s="27"/>
      <c r="OCY2" s="27"/>
      <c r="OCZ2" s="27"/>
      <c r="ODA2" s="27"/>
      <c r="ODB2" s="27"/>
      <c r="ODC2" s="27"/>
      <c r="ODD2" s="27"/>
      <c r="ODE2" s="27"/>
      <c r="ODF2" s="27"/>
      <c r="ODG2" s="27"/>
      <c r="ODH2" s="27"/>
      <c r="ODI2" s="27"/>
      <c r="ODJ2" s="27"/>
      <c r="ODK2" s="27"/>
      <c r="ODL2" s="27"/>
      <c r="ODM2" s="27"/>
      <c r="ODN2" s="27"/>
      <c r="ODO2" s="27"/>
      <c r="ODP2" s="27"/>
      <c r="ODQ2" s="27"/>
      <c r="ODR2" s="27"/>
      <c r="ODS2" s="27"/>
      <c r="ODT2" s="27"/>
      <c r="ODU2" s="27"/>
      <c r="ODV2" s="27"/>
      <c r="ODW2" s="27"/>
      <c r="ODX2" s="27"/>
      <c r="ODY2" s="27"/>
      <c r="ODZ2" s="27"/>
      <c r="OEA2" s="27"/>
      <c r="OEB2" s="27"/>
      <c r="OEC2" s="27"/>
      <c r="OED2" s="27"/>
      <c r="OEE2" s="27"/>
      <c r="OEF2" s="27"/>
      <c r="OEG2" s="27"/>
      <c r="OEH2" s="27"/>
      <c r="OEI2" s="27"/>
      <c r="OEJ2" s="27"/>
      <c r="OEK2" s="27"/>
      <c r="OEL2" s="27"/>
      <c r="OEM2" s="27"/>
      <c r="OEN2" s="27"/>
      <c r="OEO2" s="27"/>
      <c r="OEP2" s="27"/>
      <c r="OEQ2" s="27"/>
      <c r="OER2" s="27"/>
      <c r="OES2" s="27"/>
      <c r="OET2" s="27"/>
      <c r="OEU2" s="27"/>
      <c r="OEV2" s="27"/>
      <c r="OEW2" s="27"/>
      <c r="OEX2" s="27"/>
      <c r="OEY2" s="27"/>
      <c r="OEZ2" s="27"/>
      <c r="OFA2" s="27"/>
      <c r="OFB2" s="27"/>
      <c r="OFC2" s="27"/>
      <c r="OFD2" s="27"/>
      <c r="OFE2" s="27"/>
      <c r="OFF2" s="27"/>
      <c r="OFG2" s="27"/>
      <c r="OFH2" s="27"/>
      <c r="OFI2" s="27"/>
      <c r="OFJ2" s="27"/>
      <c r="OFK2" s="27"/>
      <c r="OFL2" s="27"/>
      <c r="OFM2" s="27"/>
      <c r="OFN2" s="27"/>
      <c r="OFO2" s="27"/>
      <c r="OFP2" s="27"/>
      <c r="OFQ2" s="27"/>
      <c r="OFR2" s="27"/>
      <c r="OFS2" s="27"/>
      <c r="OFT2" s="27"/>
      <c r="OFU2" s="27"/>
      <c r="OFV2" s="27"/>
      <c r="OFW2" s="27"/>
      <c r="OFX2" s="27"/>
      <c r="OFY2" s="27"/>
      <c r="OFZ2" s="27"/>
      <c r="OGA2" s="27"/>
      <c r="OGB2" s="27"/>
      <c r="OGC2" s="27"/>
      <c r="OGD2" s="27"/>
      <c r="OGE2" s="27"/>
      <c r="OGF2" s="27"/>
      <c r="OGG2" s="27"/>
      <c r="OGH2" s="27"/>
      <c r="OGI2" s="27"/>
      <c r="OGJ2" s="27"/>
      <c r="OGK2" s="27"/>
      <c r="OGL2" s="27"/>
      <c r="OGM2" s="27"/>
      <c r="OGN2" s="27"/>
      <c r="OGO2" s="27"/>
      <c r="OGP2" s="27"/>
      <c r="OGQ2" s="27"/>
      <c r="OGR2" s="27"/>
      <c r="OGS2" s="27"/>
      <c r="OGT2" s="27"/>
      <c r="OGU2" s="27"/>
      <c r="OGV2" s="27"/>
      <c r="OGW2" s="27"/>
      <c r="OGX2" s="27"/>
      <c r="OGY2" s="27"/>
      <c r="OGZ2" s="27"/>
      <c r="OHA2" s="27"/>
      <c r="OHB2" s="27"/>
      <c r="OHC2" s="27"/>
      <c r="OHD2" s="27"/>
      <c r="OHE2" s="27"/>
      <c r="OHF2" s="27"/>
      <c r="OHG2" s="27"/>
      <c r="OHH2" s="27"/>
      <c r="OHI2" s="27"/>
      <c r="OHJ2" s="27"/>
      <c r="OHK2" s="27"/>
      <c r="OHL2" s="27"/>
      <c r="OHM2" s="27"/>
      <c r="OHN2" s="27"/>
      <c r="OHO2" s="27"/>
      <c r="OHP2" s="27"/>
      <c r="OHQ2" s="27"/>
      <c r="OHR2" s="27"/>
      <c r="OHS2" s="27"/>
      <c r="OHT2" s="27"/>
      <c r="OHU2" s="27"/>
      <c r="OHV2" s="27"/>
      <c r="OHW2" s="27"/>
      <c r="OHX2" s="27"/>
      <c r="OHY2" s="27"/>
      <c r="OHZ2" s="27"/>
      <c r="OIA2" s="27"/>
      <c r="OIB2" s="27"/>
      <c r="OIC2" s="27"/>
      <c r="OID2" s="27"/>
      <c r="OIE2" s="27"/>
      <c r="OIF2" s="27"/>
      <c r="OIG2" s="27"/>
      <c r="OIH2" s="27"/>
      <c r="OII2" s="27"/>
      <c r="OIJ2" s="27"/>
      <c r="OIK2" s="27"/>
      <c r="OIL2" s="27"/>
      <c r="OIM2" s="27"/>
      <c r="OIN2" s="27"/>
      <c r="OIO2" s="27"/>
      <c r="OIP2" s="27"/>
      <c r="OIQ2" s="27"/>
      <c r="OIR2" s="27"/>
      <c r="OIS2" s="27"/>
      <c r="OIT2" s="27"/>
      <c r="OIU2" s="27"/>
      <c r="OIV2" s="27"/>
      <c r="OIW2" s="27"/>
      <c r="OIX2" s="27"/>
      <c r="OIY2" s="27"/>
      <c r="OIZ2" s="27"/>
      <c r="OJA2" s="27"/>
      <c r="OJB2" s="27"/>
      <c r="OJC2" s="27"/>
      <c r="OJD2" s="27"/>
      <c r="OJE2" s="27"/>
      <c r="OJF2" s="27"/>
      <c r="OJG2" s="27"/>
      <c r="OJH2" s="27"/>
      <c r="OJI2" s="27"/>
      <c r="OJJ2" s="27"/>
      <c r="OJK2" s="27"/>
      <c r="OJL2" s="27"/>
      <c r="OJM2" s="27"/>
      <c r="OJN2" s="27"/>
      <c r="OJO2" s="27"/>
      <c r="OJP2" s="27"/>
      <c r="OJQ2" s="27"/>
      <c r="OJR2" s="27"/>
      <c r="OJS2" s="27"/>
      <c r="OJT2" s="27"/>
      <c r="OJU2" s="27"/>
      <c r="OJV2" s="27"/>
      <c r="OJW2" s="27"/>
      <c r="OJX2" s="27"/>
      <c r="OJY2" s="27"/>
      <c r="OJZ2" s="27"/>
      <c r="OKA2" s="27"/>
      <c r="OKB2" s="27"/>
      <c r="OKC2" s="27"/>
      <c r="OKD2" s="27"/>
      <c r="OKE2" s="27"/>
      <c r="OKF2" s="27"/>
      <c r="OKG2" s="27"/>
      <c r="OKH2" s="27"/>
      <c r="OKI2" s="27"/>
      <c r="OKJ2" s="27"/>
      <c r="OKK2" s="27"/>
      <c r="OKL2" s="27"/>
      <c r="OKM2" s="27"/>
      <c r="OKN2" s="27"/>
      <c r="OKO2" s="27"/>
      <c r="OKP2" s="27"/>
      <c r="OKQ2" s="27"/>
      <c r="OKR2" s="27"/>
      <c r="OKS2" s="27"/>
      <c r="OKT2" s="27"/>
      <c r="OKU2" s="27"/>
      <c r="OKV2" s="27"/>
      <c r="OKW2" s="27"/>
      <c r="OKX2" s="27"/>
      <c r="OKY2" s="27"/>
      <c r="OKZ2" s="27"/>
      <c r="OLA2" s="27"/>
      <c r="OLB2" s="27"/>
      <c r="OLC2" s="27"/>
      <c r="OLD2" s="27"/>
      <c r="OLE2" s="27"/>
      <c r="OLF2" s="27"/>
      <c r="OLG2" s="27"/>
      <c r="OLH2" s="27"/>
      <c r="OLI2" s="27"/>
      <c r="OLJ2" s="27"/>
      <c r="OLK2" s="27"/>
      <c r="OLL2" s="27"/>
      <c r="OLM2" s="27"/>
      <c r="OLN2" s="27"/>
      <c r="OLO2" s="27"/>
      <c r="OLP2" s="27"/>
      <c r="OLQ2" s="27"/>
      <c r="OLR2" s="27"/>
      <c r="OLS2" s="27"/>
      <c r="OLT2" s="27"/>
      <c r="OLU2" s="27"/>
      <c r="OLV2" s="27"/>
      <c r="OLW2" s="27"/>
      <c r="OLX2" s="27"/>
      <c r="OLY2" s="27"/>
      <c r="OLZ2" s="27"/>
      <c r="OMA2" s="27"/>
      <c r="OMB2" s="27"/>
      <c r="OMC2" s="27"/>
      <c r="OMD2" s="27"/>
      <c r="OME2" s="27"/>
      <c r="OMF2" s="27"/>
      <c r="OMG2" s="27"/>
      <c r="OMH2" s="27"/>
      <c r="OMI2" s="27"/>
      <c r="OMJ2" s="27"/>
      <c r="OMK2" s="27"/>
      <c r="OML2" s="27"/>
      <c r="OMM2" s="27"/>
      <c r="OMN2" s="27"/>
      <c r="OMO2" s="27"/>
      <c r="OMP2" s="27"/>
      <c r="OMQ2" s="27"/>
      <c r="OMR2" s="27"/>
      <c r="OMS2" s="27"/>
      <c r="OMT2" s="27"/>
      <c r="OMU2" s="27"/>
      <c r="OMV2" s="27"/>
      <c r="OMW2" s="27"/>
      <c r="OMX2" s="27"/>
      <c r="OMY2" s="27"/>
      <c r="OMZ2" s="27"/>
      <c r="ONA2" s="27"/>
      <c r="ONB2" s="27"/>
      <c r="ONC2" s="27"/>
      <c r="OND2" s="27"/>
      <c r="ONE2" s="27"/>
      <c r="ONF2" s="27"/>
      <c r="ONG2" s="27"/>
      <c r="ONH2" s="27"/>
      <c r="ONI2" s="27"/>
      <c r="ONJ2" s="27"/>
      <c r="ONK2" s="27"/>
      <c r="ONL2" s="27"/>
      <c r="ONM2" s="27"/>
      <c r="ONN2" s="27"/>
      <c r="ONO2" s="27"/>
      <c r="ONP2" s="27"/>
      <c r="ONQ2" s="27"/>
      <c r="ONR2" s="27"/>
      <c r="ONS2" s="27"/>
      <c r="ONT2" s="27"/>
      <c r="ONU2" s="27"/>
      <c r="ONV2" s="27"/>
      <c r="ONW2" s="27"/>
      <c r="ONX2" s="27"/>
      <c r="ONY2" s="27"/>
      <c r="ONZ2" s="27"/>
      <c r="OOA2" s="27"/>
      <c r="OOB2" s="27"/>
      <c r="OOC2" s="27"/>
      <c r="OOD2" s="27"/>
      <c r="OOE2" s="27"/>
      <c r="OOF2" s="27"/>
      <c r="OOG2" s="27"/>
      <c r="OOH2" s="27"/>
      <c r="OOI2" s="27"/>
      <c r="OOJ2" s="27"/>
      <c r="OOK2" s="27"/>
      <c r="OOL2" s="27"/>
      <c r="OOM2" s="27"/>
      <c r="OON2" s="27"/>
      <c r="OOO2" s="27"/>
      <c r="OOP2" s="27"/>
      <c r="OOQ2" s="27"/>
      <c r="OOR2" s="27"/>
      <c r="OOS2" s="27"/>
      <c r="OOT2" s="27"/>
      <c r="OOU2" s="27"/>
      <c r="OOV2" s="27"/>
      <c r="OOW2" s="27"/>
      <c r="OOX2" s="27"/>
      <c r="OOY2" s="27"/>
      <c r="OOZ2" s="27"/>
      <c r="OPA2" s="27"/>
      <c r="OPB2" s="27"/>
      <c r="OPC2" s="27"/>
      <c r="OPD2" s="27"/>
      <c r="OPE2" s="27"/>
      <c r="OPF2" s="27"/>
      <c r="OPG2" s="27"/>
      <c r="OPH2" s="27"/>
      <c r="OPI2" s="27"/>
      <c r="OPJ2" s="27"/>
      <c r="OPK2" s="27"/>
      <c r="OPL2" s="27"/>
      <c r="OPM2" s="27"/>
      <c r="OPN2" s="27"/>
      <c r="OPO2" s="27"/>
      <c r="OPP2" s="27"/>
      <c r="OPQ2" s="27"/>
      <c r="OPR2" s="27"/>
      <c r="OPS2" s="27"/>
      <c r="OPT2" s="27"/>
      <c r="OPU2" s="27"/>
      <c r="OPV2" s="27"/>
      <c r="OPW2" s="27"/>
      <c r="OPX2" s="27"/>
      <c r="OPY2" s="27"/>
      <c r="OPZ2" s="27"/>
      <c r="OQA2" s="27"/>
      <c r="OQB2" s="27"/>
      <c r="OQC2" s="27"/>
      <c r="OQD2" s="27"/>
      <c r="OQE2" s="27"/>
      <c r="OQF2" s="27"/>
      <c r="OQG2" s="27"/>
      <c r="OQH2" s="27"/>
      <c r="OQI2" s="27"/>
      <c r="OQJ2" s="27"/>
      <c r="OQK2" s="27"/>
      <c r="OQL2" s="27"/>
      <c r="OQM2" s="27"/>
      <c r="OQN2" s="27"/>
      <c r="OQO2" s="27"/>
      <c r="OQP2" s="27"/>
      <c r="OQQ2" s="27"/>
      <c r="OQR2" s="27"/>
      <c r="OQS2" s="27"/>
      <c r="OQT2" s="27"/>
      <c r="OQU2" s="27"/>
      <c r="OQV2" s="27"/>
      <c r="OQW2" s="27"/>
      <c r="OQX2" s="27"/>
      <c r="OQY2" s="27"/>
      <c r="OQZ2" s="27"/>
      <c r="ORA2" s="27"/>
      <c r="ORB2" s="27"/>
      <c r="ORC2" s="27"/>
      <c r="ORD2" s="27"/>
      <c r="ORE2" s="27"/>
      <c r="ORF2" s="27"/>
      <c r="ORG2" s="27"/>
      <c r="ORH2" s="27"/>
      <c r="ORI2" s="27"/>
      <c r="ORJ2" s="27"/>
      <c r="ORK2" s="27"/>
      <c r="ORL2" s="27"/>
      <c r="ORM2" s="27"/>
      <c r="ORN2" s="27"/>
      <c r="ORO2" s="27"/>
      <c r="ORP2" s="27"/>
      <c r="ORQ2" s="27"/>
      <c r="ORR2" s="27"/>
      <c r="ORS2" s="27"/>
      <c r="ORT2" s="27"/>
      <c r="ORU2" s="27"/>
      <c r="ORV2" s="27"/>
      <c r="ORW2" s="27"/>
      <c r="ORX2" s="27"/>
      <c r="ORY2" s="27"/>
      <c r="ORZ2" s="27"/>
      <c r="OSA2" s="27"/>
      <c r="OSB2" s="27"/>
      <c r="OSC2" s="27"/>
      <c r="OSD2" s="27"/>
      <c r="OSE2" s="27"/>
      <c r="OSF2" s="27"/>
      <c r="OSG2" s="27"/>
      <c r="OSH2" s="27"/>
      <c r="OSI2" s="27"/>
      <c r="OSJ2" s="27"/>
      <c r="OSK2" s="27"/>
      <c r="OSL2" s="27"/>
      <c r="OSM2" s="27"/>
      <c r="OSN2" s="27"/>
      <c r="OSO2" s="27"/>
      <c r="OSP2" s="27"/>
      <c r="OSQ2" s="27"/>
      <c r="OSR2" s="27"/>
      <c r="OSS2" s="27"/>
      <c r="OST2" s="27"/>
      <c r="OSU2" s="27"/>
      <c r="OSV2" s="27"/>
      <c r="OSW2" s="27"/>
      <c r="OSX2" s="27"/>
      <c r="OSY2" s="27"/>
      <c r="OSZ2" s="27"/>
      <c r="OTA2" s="27"/>
      <c r="OTB2" s="27"/>
      <c r="OTC2" s="27"/>
      <c r="OTD2" s="27"/>
      <c r="OTE2" s="27"/>
      <c r="OTF2" s="27"/>
      <c r="OTG2" s="27"/>
      <c r="OTH2" s="27"/>
      <c r="OTI2" s="27"/>
      <c r="OTJ2" s="27"/>
      <c r="OTK2" s="27"/>
      <c r="OTL2" s="27"/>
      <c r="OTM2" s="27"/>
      <c r="OTN2" s="27"/>
      <c r="OTO2" s="27"/>
      <c r="OTP2" s="27"/>
      <c r="OTQ2" s="27"/>
      <c r="OTR2" s="27"/>
      <c r="OTS2" s="27"/>
      <c r="OTT2" s="27"/>
      <c r="OTU2" s="27"/>
      <c r="OTV2" s="27"/>
      <c r="OTW2" s="27"/>
      <c r="OTX2" s="27"/>
      <c r="OTY2" s="27"/>
      <c r="OTZ2" s="27"/>
      <c r="OUA2" s="27"/>
      <c r="OUB2" s="27"/>
      <c r="OUC2" s="27"/>
      <c r="OUD2" s="27"/>
      <c r="OUE2" s="27"/>
      <c r="OUF2" s="27"/>
      <c r="OUG2" s="27"/>
      <c r="OUH2" s="27"/>
      <c r="OUI2" s="27"/>
      <c r="OUJ2" s="27"/>
      <c r="OUK2" s="27"/>
      <c r="OUL2" s="27"/>
      <c r="OUM2" s="27"/>
      <c r="OUN2" s="27"/>
      <c r="OUO2" s="27"/>
      <c r="OUP2" s="27"/>
      <c r="OUQ2" s="27"/>
      <c r="OUR2" s="27"/>
      <c r="OUS2" s="27"/>
      <c r="OUT2" s="27"/>
      <c r="OUU2" s="27"/>
      <c r="OUV2" s="27"/>
      <c r="OUW2" s="27"/>
      <c r="OUX2" s="27"/>
      <c r="OUY2" s="27"/>
      <c r="OUZ2" s="27"/>
      <c r="OVA2" s="27"/>
      <c r="OVB2" s="27"/>
      <c r="OVC2" s="27"/>
      <c r="OVD2" s="27"/>
      <c r="OVE2" s="27"/>
      <c r="OVF2" s="27"/>
      <c r="OVG2" s="27"/>
      <c r="OVH2" s="27"/>
      <c r="OVI2" s="27"/>
      <c r="OVJ2" s="27"/>
      <c r="OVK2" s="27"/>
      <c r="OVL2" s="27"/>
      <c r="OVM2" s="27"/>
      <c r="OVN2" s="27"/>
      <c r="OVO2" s="27"/>
      <c r="OVP2" s="27"/>
      <c r="OVQ2" s="27"/>
      <c r="OVR2" s="27"/>
      <c r="OVS2" s="27"/>
      <c r="OVT2" s="27"/>
      <c r="OVU2" s="27"/>
      <c r="OVV2" s="27"/>
      <c r="OVW2" s="27"/>
      <c r="OVX2" s="27"/>
      <c r="OVY2" s="27"/>
      <c r="OVZ2" s="27"/>
      <c r="OWA2" s="27"/>
      <c r="OWB2" s="27"/>
      <c r="OWC2" s="27"/>
      <c r="OWD2" s="27"/>
      <c r="OWE2" s="27"/>
      <c r="OWF2" s="27"/>
      <c r="OWG2" s="27"/>
      <c r="OWH2" s="27"/>
      <c r="OWI2" s="27"/>
      <c r="OWJ2" s="27"/>
      <c r="OWK2" s="27"/>
      <c r="OWL2" s="27"/>
      <c r="OWM2" s="27"/>
      <c r="OWN2" s="27"/>
      <c r="OWO2" s="27"/>
      <c r="OWP2" s="27"/>
      <c r="OWQ2" s="27"/>
      <c r="OWR2" s="27"/>
      <c r="OWS2" s="27"/>
      <c r="OWT2" s="27"/>
      <c r="OWU2" s="27"/>
      <c r="OWV2" s="27"/>
      <c r="OWW2" s="27"/>
      <c r="OWX2" s="27"/>
      <c r="OWY2" s="27"/>
      <c r="OWZ2" s="27"/>
      <c r="OXA2" s="27"/>
      <c r="OXB2" s="27"/>
      <c r="OXC2" s="27"/>
      <c r="OXD2" s="27"/>
      <c r="OXE2" s="27"/>
      <c r="OXF2" s="27"/>
      <c r="OXG2" s="27"/>
      <c r="OXH2" s="27"/>
      <c r="OXI2" s="27"/>
      <c r="OXJ2" s="27"/>
      <c r="OXK2" s="27"/>
      <c r="OXL2" s="27"/>
      <c r="OXM2" s="27"/>
      <c r="OXN2" s="27"/>
      <c r="OXO2" s="27"/>
      <c r="OXP2" s="27"/>
      <c r="OXQ2" s="27"/>
      <c r="OXR2" s="27"/>
      <c r="OXS2" s="27"/>
      <c r="OXT2" s="27"/>
      <c r="OXU2" s="27"/>
      <c r="OXV2" s="27"/>
      <c r="OXW2" s="27"/>
      <c r="OXX2" s="27"/>
      <c r="OXY2" s="27"/>
      <c r="OXZ2" s="27"/>
      <c r="OYA2" s="27"/>
      <c r="OYB2" s="27"/>
      <c r="OYC2" s="27"/>
      <c r="OYD2" s="27"/>
      <c r="OYE2" s="27"/>
      <c r="OYF2" s="27"/>
      <c r="OYG2" s="27"/>
      <c r="OYH2" s="27"/>
      <c r="OYI2" s="27"/>
      <c r="OYJ2" s="27"/>
      <c r="OYK2" s="27"/>
      <c r="OYL2" s="27"/>
      <c r="OYM2" s="27"/>
      <c r="OYN2" s="27"/>
      <c r="OYO2" s="27"/>
      <c r="OYP2" s="27"/>
      <c r="OYQ2" s="27"/>
      <c r="OYR2" s="27"/>
      <c r="OYS2" s="27"/>
      <c r="OYT2" s="27"/>
      <c r="OYU2" s="27"/>
      <c r="OYV2" s="27"/>
      <c r="OYW2" s="27"/>
      <c r="OYX2" s="27"/>
      <c r="OYY2" s="27"/>
      <c r="OYZ2" s="27"/>
      <c r="OZA2" s="27"/>
      <c r="OZB2" s="27"/>
      <c r="OZC2" s="27"/>
      <c r="OZD2" s="27"/>
      <c r="OZE2" s="27"/>
      <c r="OZF2" s="27"/>
      <c r="OZG2" s="27"/>
      <c r="OZH2" s="27"/>
      <c r="OZI2" s="27"/>
      <c r="OZJ2" s="27"/>
      <c r="OZK2" s="27"/>
      <c r="OZL2" s="27"/>
      <c r="OZM2" s="27"/>
      <c r="OZN2" s="27"/>
      <c r="OZO2" s="27"/>
      <c r="OZP2" s="27"/>
      <c r="OZQ2" s="27"/>
      <c r="OZR2" s="27"/>
      <c r="OZS2" s="27"/>
      <c r="OZT2" s="27"/>
      <c r="OZU2" s="27"/>
      <c r="OZV2" s="27"/>
      <c r="OZW2" s="27"/>
      <c r="OZX2" s="27"/>
      <c r="OZY2" s="27"/>
      <c r="OZZ2" s="27"/>
      <c r="PAA2" s="27"/>
      <c r="PAB2" s="27"/>
      <c r="PAC2" s="27"/>
      <c r="PAD2" s="27"/>
      <c r="PAE2" s="27"/>
      <c r="PAF2" s="27"/>
      <c r="PAG2" s="27"/>
      <c r="PAH2" s="27"/>
      <c r="PAI2" s="27"/>
      <c r="PAJ2" s="27"/>
      <c r="PAK2" s="27"/>
      <c r="PAL2" s="27"/>
      <c r="PAM2" s="27"/>
      <c r="PAN2" s="27"/>
      <c r="PAO2" s="27"/>
      <c r="PAP2" s="27"/>
      <c r="PAQ2" s="27"/>
      <c r="PAR2" s="27"/>
      <c r="PAS2" s="27"/>
      <c r="PAT2" s="27"/>
      <c r="PAU2" s="27"/>
      <c r="PAV2" s="27"/>
      <c r="PAW2" s="27"/>
      <c r="PAX2" s="27"/>
      <c r="PAY2" s="27"/>
      <c r="PAZ2" s="27"/>
      <c r="PBA2" s="27"/>
      <c r="PBB2" s="27"/>
      <c r="PBC2" s="27"/>
      <c r="PBD2" s="27"/>
      <c r="PBE2" s="27"/>
      <c r="PBF2" s="27"/>
      <c r="PBG2" s="27"/>
      <c r="PBH2" s="27"/>
      <c r="PBI2" s="27"/>
      <c r="PBJ2" s="27"/>
      <c r="PBK2" s="27"/>
      <c r="PBL2" s="27"/>
      <c r="PBM2" s="27"/>
      <c r="PBN2" s="27"/>
      <c r="PBO2" s="27"/>
      <c r="PBP2" s="27"/>
      <c r="PBQ2" s="27"/>
      <c r="PBR2" s="27"/>
      <c r="PBS2" s="27"/>
      <c r="PBT2" s="27"/>
      <c r="PBU2" s="27"/>
      <c r="PBV2" s="27"/>
      <c r="PBW2" s="27"/>
      <c r="PBX2" s="27"/>
      <c r="PBY2" s="27"/>
      <c r="PBZ2" s="27"/>
      <c r="PCA2" s="27"/>
      <c r="PCB2" s="27"/>
      <c r="PCC2" s="27"/>
      <c r="PCD2" s="27"/>
      <c r="PCE2" s="27"/>
      <c r="PCF2" s="27"/>
      <c r="PCG2" s="27"/>
      <c r="PCH2" s="27"/>
      <c r="PCI2" s="27"/>
      <c r="PCJ2" s="27"/>
      <c r="PCK2" s="27"/>
      <c r="PCL2" s="27"/>
      <c r="PCM2" s="27"/>
      <c r="PCN2" s="27"/>
      <c r="PCO2" s="27"/>
      <c r="PCP2" s="27"/>
      <c r="PCQ2" s="27"/>
      <c r="PCR2" s="27"/>
      <c r="PCS2" s="27"/>
      <c r="PCT2" s="27"/>
      <c r="PCU2" s="27"/>
      <c r="PCV2" s="27"/>
      <c r="PCW2" s="27"/>
      <c r="PCX2" s="27"/>
      <c r="PCY2" s="27"/>
      <c r="PCZ2" s="27"/>
      <c r="PDA2" s="27"/>
      <c r="PDB2" s="27"/>
      <c r="PDC2" s="27"/>
      <c r="PDD2" s="27"/>
      <c r="PDE2" s="27"/>
      <c r="PDF2" s="27"/>
      <c r="PDG2" s="27"/>
      <c r="PDH2" s="27"/>
      <c r="PDI2" s="27"/>
      <c r="PDJ2" s="27"/>
      <c r="PDK2" s="27"/>
      <c r="PDL2" s="27"/>
      <c r="PDM2" s="27"/>
      <c r="PDN2" s="27"/>
      <c r="PDO2" s="27"/>
      <c r="PDP2" s="27"/>
      <c r="PDQ2" s="27"/>
      <c r="PDR2" s="27"/>
      <c r="PDS2" s="27"/>
      <c r="PDT2" s="27"/>
      <c r="PDU2" s="27"/>
      <c r="PDV2" s="27"/>
      <c r="PDW2" s="27"/>
      <c r="PDX2" s="27"/>
      <c r="PDY2" s="27"/>
      <c r="PDZ2" s="27"/>
      <c r="PEA2" s="27"/>
      <c r="PEB2" s="27"/>
      <c r="PEC2" s="27"/>
      <c r="PED2" s="27"/>
      <c r="PEE2" s="27"/>
      <c r="PEF2" s="27"/>
      <c r="PEG2" s="27"/>
      <c r="PEH2" s="27"/>
      <c r="PEI2" s="27"/>
      <c r="PEJ2" s="27"/>
      <c r="PEK2" s="27"/>
      <c r="PEL2" s="27"/>
      <c r="PEM2" s="27"/>
      <c r="PEN2" s="27"/>
      <c r="PEO2" s="27"/>
      <c r="PEP2" s="27"/>
      <c r="PEQ2" s="27"/>
      <c r="PER2" s="27"/>
      <c r="PES2" s="27"/>
      <c r="PET2" s="27"/>
      <c r="PEU2" s="27"/>
      <c r="PEV2" s="27"/>
      <c r="PEW2" s="27"/>
      <c r="PEX2" s="27"/>
      <c r="PEY2" s="27"/>
      <c r="PEZ2" s="27"/>
      <c r="PFA2" s="27"/>
      <c r="PFB2" s="27"/>
      <c r="PFC2" s="27"/>
      <c r="PFD2" s="27"/>
      <c r="PFE2" s="27"/>
      <c r="PFF2" s="27"/>
      <c r="PFG2" s="27"/>
      <c r="PFH2" s="27"/>
      <c r="PFI2" s="27"/>
      <c r="PFJ2" s="27"/>
      <c r="PFK2" s="27"/>
      <c r="PFL2" s="27"/>
      <c r="PFM2" s="27"/>
      <c r="PFN2" s="27"/>
      <c r="PFO2" s="27"/>
      <c r="PFP2" s="27"/>
      <c r="PFQ2" s="27"/>
      <c r="PFR2" s="27"/>
      <c r="PFS2" s="27"/>
      <c r="PFT2" s="27"/>
      <c r="PFU2" s="27"/>
      <c r="PFV2" s="27"/>
      <c r="PFW2" s="27"/>
      <c r="PFX2" s="27"/>
      <c r="PFY2" s="27"/>
      <c r="PFZ2" s="27"/>
      <c r="PGA2" s="27"/>
      <c r="PGB2" s="27"/>
      <c r="PGC2" s="27"/>
      <c r="PGD2" s="27"/>
      <c r="PGE2" s="27"/>
      <c r="PGF2" s="27"/>
      <c r="PGG2" s="27"/>
      <c r="PGH2" s="27"/>
      <c r="PGI2" s="27"/>
      <c r="PGJ2" s="27"/>
      <c r="PGK2" s="27"/>
      <c r="PGL2" s="27"/>
      <c r="PGM2" s="27"/>
      <c r="PGN2" s="27"/>
      <c r="PGO2" s="27"/>
      <c r="PGP2" s="27"/>
      <c r="PGQ2" s="27"/>
      <c r="PGR2" s="27"/>
      <c r="PGS2" s="27"/>
      <c r="PGT2" s="27"/>
      <c r="PGU2" s="27"/>
      <c r="PGV2" s="27"/>
      <c r="PGW2" s="27"/>
      <c r="PGX2" s="27"/>
      <c r="PGY2" s="27"/>
      <c r="PGZ2" s="27"/>
      <c r="PHA2" s="27"/>
      <c r="PHB2" s="27"/>
      <c r="PHC2" s="27"/>
      <c r="PHD2" s="27"/>
      <c r="PHE2" s="27"/>
      <c r="PHF2" s="27"/>
      <c r="PHG2" s="27"/>
      <c r="PHH2" s="27"/>
      <c r="PHI2" s="27"/>
      <c r="PHJ2" s="27"/>
      <c r="PHK2" s="27"/>
      <c r="PHL2" s="27"/>
      <c r="PHM2" s="27"/>
      <c r="PHN2" s="27"/>
      <c r="PHO2" s="27"/>
      <c r="PHP2" s="27"/>
      <c r="PHQ2" s="27"/>
      <c r="PHR2" s="27"/>
      <c r="PHS2" s="27"/>
      <c r="PHT2" s="27"/>
      <c r="PHU2" s="27"/>
      <c r="PHV2" s="27"/>
      <c r="PHW2" s="27"/>
      <c r="PHX2" s="27"/>
      <c r="PHY2" s="27"/>
      <c r="PHZ2" s="27"/>
      <c r="PIA2" s="27"/>
      <c r="PIB2" s="27"/>
      <c r="PIC2" s="27"/>
      <c r="PID2" s="27"/>
      <c r="PIE2" s="27"/>
      <c r="PIF2" s="27"/>
      <c r="PIG2" s="27"/>
      <c r="PIH2" s="27"/>
      <c r="PII2" s="27"/>
      <c r="PIJ2" s="27"/>
      <c r="PIK2" s="27"/>
      <c r="PIL2" s="27"/>
      <c r="PIM2" s="27"/>
      <c r="PIN2" s="27"/>
      <c r="PIO2" s="27"/>
      <c r="PIP2" s="27"/>
      <c r="PIQ2" s="27"/>
      <c r="PIR2" s="27"/>
      <c r="PIS2" s="27"/>
      <c r="PIT2" s="27"/>
      <c r="PIU2" s="27"/>
      <c r="PIV2" s="27"/>
      <c r="PIW2" s="27"/>
      <c r="PIX2" s="27"/>
      <c r="PIY2" s="27"/>
      <c r="PIZ2" s="27"/>
      <c r="PJA2" s="27"/>
      <c r="PJB2" s="27"/>
      <c r="PJC2" s="27"/>
      <c r="PJD2" s="27"/>
      <c r="PJE2" s="27"/>
      <c r="PJF2" s="27"/>
      <c r="PJG2" s="27"/>
      <c r="PJH2" s="27"/>
      <c r="PJI2" s="27"/>
      <c r="PJJ2" s="27"/>
      <c r="PJK2" s="27"/>
      <c r="PJL2" s="27"/>
      <c r="PJM2" s="27"/>
      <c r="PJN2" s="27"/>
      <c r="PJO2" s="27"/>
      <c r="PJP2" s="27"/>
      <c r="PJQ2" s="27"/>
      <c r="PJR2" s="27"/>
      <c r="PJS2" s="27"/>
      <c r="PJT2" s="27"/>
      <c r="PJU2" s="27"/>
      <c r="PJV2" s="27"/>
      <c r="PJW2" s="27"/>
      <c r="PJX2" s="27"/>
      <c r="PJY2" s="27"/>
      <c r="PJZ2" s="27"/>
      <c r="PKA2" s="27"/>
      <c r="PKB2" s="27"/>
      <c r="PKC2" s="27"/>
      <c r="PKD2" s="27"/>
      <c r="PKE2" s="27"/>
      <c r="PKF2" s="27"/>
      <c r="PKG2" s="27"/>
      <c r="PKH2" s="27"/>
      <c r="PKI2" s="27"/>
      <c r="PKJ2" s="27"/>
      <c r="PKK2" s="27"/>
      <c r="PKL2" s="27"/>
      <c r="PKM2" s="27"/>
      <c r="PKN2" s="27"/>
      <c r="PKO2" s="27"/>
      <c r="PKP2" s="27"/>
      <c r="PKQ2" s="27"/>
      <c r="PKR2" s="27"/>
      <c r="PKS2" s="27"/>
      <c r="PKT2" s="27"/>
      <c r="PKU2" s="27"/>
      <c r="PKV2" s="27"/>
      <c r="PKW2" s="27"/>
      <c r="PKX2" s="27"/>
      <c r="PKY2" s="27"/>
      <c r="PKZ2" s="27"/>
      <c r="PLA2" s="27"/>
      <c r="PLB2" s="27"/>
      <c r="PLC2" s="27"/>
      <c r="PLD2" s="27"/>
      <c r="PLE2" s="27"/>
      <c r="PLF2" s="27"/>
      <c r="PLG2" s="27"/>
      <c r="PLH2" s="27"/>
      <c r="PLI2" s="27"/>
      <c r="PLJ2" s="27"/>
      <c r="PLK2" s="27"/>
      <c r="PLL2" s="27"/>
      <c r="PLM2" s="27"/>
      <c r="PLN2" s="27"/>
      <c r="PLO2" s="27"/>
      <c r="PLP2" s="27"/>
      <c r="PLQ2" s="27"/>
      <c r="PLR2" s="27"/>
      <c r="PLS2" s="27"/>
      <c r="PLT2" s="27"/>
      <c r="PLU2" s="27"/>
      <c r="PLV2" s="27"/>
      <c r="PLW2" s="27"/>
      <c r="PLX2" s="27"/>
      <c r="PLY2" s="27"/>
      <c r="PLZ2" s="27"/>
      <c r="PMA2" s="27"/>
      <c r="PMB2" s="27"/>
      <c r="PMC2" s="27"/>
      <c r="PMD2" s="27"/>
      <c r="PME2" s="27"/>
      <c r="PMF2" s="27"/>
      <c r="PMG2" s="27"/>
      <c r="PMH2" s="27"/>
      <c r="PMI2" s="27"/>
      <c r="PMJ2" s="27"/>
      <c r="PMK2" s="27"/>
      <c r="PML2" s="27"/>
      <c r="PMM2" s="27"/>
      <c r="PMN2" s="27"/>
      <c r="PMO2" s="27"/>
      <c r="PMP2" s="27"/>
      <c r="PMQ2" s="27"/>
      <c r="PMR2" s="27"/>
      <c r="PMS2" s="27"/>
      <c r="PMT2" s="27"/>
      <c r="PMU2" s="27"/>
      <c r="PMV2" s="27"/>
      <c r="PMW2" s="27"/>
      <c r="PMX2" s="27"/>
      <c r="PMY2" s="27"/>
      <c r="PMZ2" s="27"/>
      <c r="PNA2" s="27"/>
      <c r="PNB2" s="27"/>
      <c r="PNC2" s="27"/>
      <c r="PND2" s="27"/>
      <c r="PNE2" s="27"/>
      <c r="PNF2" s="27"/>
      <c r="PNG2" s="27"/>
      <c r="PNH2" s="27"/>
      <c r="PNI2" s="27"/>
      <c r="PNJ2" s="27"/>
      <c r="PNK2" s="27"/>
      <c r="PNL2" s="27"/>
      <c r="PNM2" s="27"/>
      <c r="PNN2" s="27"/>
      <c r="PNO2" s="27"/>
      <c r="PNP2" s="27"/>
      <c r="PNQ2" s="27"/>
      <c r="PNR2" s="27"/>
      <c r="PNS2" s="27"/>
      <c r="PNT2" s="27"/>
      <c r="PNU2" s="27"/>
      <c r="PNV2" s="27"/>
      <c r="PNW2" s="27"/>
      <c r="PNX2" s="27"/>
      <c r="PNY2" s="27"/>
      <c r="PNZ2" s="27"/>
      <c r="POA2" s="27"/>
      <c r="POB2" s="27"/>
      <c r="POC2" s="27"/>
      <c r="POD2" s="27"/>
      <c r="POE2" s="27"/>
      <c r="POF2" s="27"/>
      <c r="POG2" s="27"/>
      <c r="POH2" s="27"/>
      <c r="POI2" s="27"/>
      <c r="POJ2" s="27"/>
      <c r="POK2" s="27"/>
      <c r="POL2" s="27"/>
      <c r="POM2" s="27"/>
      <c r="PON2" s="27"/>
      <c r="POO2" s="27"/>
      <c r="POP2" s="27"/>
      <c r="POQ2" s="27"/>
      <c r="POR2" s="27"/>
      <c r="POS2" s="27"/>
      <c r="POT2" s="27"/>
      <c r="POU2" s="27"/>
      <c r="POV2" s="27"/>
      <c r="POW2" s="27"/>
      <c r="POX2" s="27"/>
      <c r="POY2" s="27"/>
      <c r="POZ2" s="27"/>
      <c r="PPA2" s="27"/>
      <c r="PPB2" s="27"/>
      <c r="PPC2" s="27"/>
      <c r="PPD2" s="27"/>
      <c r="PPE2" s="27"/>
      <c r="PPF2" s="27"/>
      <c r="PPG2" s="27"/>
      <c r="PPH2" s="27"/>
      <c r="PPI2" s="27"/>
      <c r="PPJ2" s="27"/>
      <c r="PPK2" s="27"/>
      <c r="PPL2" s="27"/>
      <c r="PPM2" s="27"/>
      <c r="PPN2" s="27"/>
      <c r="PPO2" s="27"/>
      <c r="PPP2" s="27"/>
      <c r="PPQ2" s="27"/>
      <c r="PPR2" s="27"/>
      <c r="PPS2" s="27"/>
      <c r="PPT2" s="27"/>
      <c r="PPU2" s="27"/>
      <c r="PPV2" s="27"/>
      <c r="PPW2" s="27"/>
      <c r="PPX2" s="27"/>
      <c r="PPY2" s="27"/>
      <c r="PPZ2" s="27"/>
      <c r="PQA2" s="27"/>
      <c r="PQB2" s="27"/>
      <c r="PQC2" s="27"/>
      <c r="PQD2" s="27"/>
      <c r="PQE2" s="27"/>
      <c r="PQF2" s="27"/>
      <c r="PQG2" s="27"/>
      <c r="PQH2" s="27"/>
      <c r="PQI2" s="27"/>
      <c r="PQJ2" s="27"/>
      <c r="PQK2" s="27"/>
      <c r="PQL2" s="27"/>
      <c r="PQM2" s="27"/>
      <c r="PQN2" s="27"/>
      <c r="PQO2" s="27"/>
      <c r="PQP2" s="27"/>
      <c r="PQQ2" s="27"/>
      <c r="PQR2" s="27"/>
      <c r="PQS2" s="27"/>
      <c r="PQT2" s="27"/>
      <c r="PQU2" s="27"/>
      <c r="PQV2" s="27"/>
      <c r="PQW2" s="27"/>
      <c r="PQX2" s="27"/>
      <c r="PQY2" s="27"/>
      <c r="PQZ2" s="27"/>
      <c r="PRA2" s="27"/>
      <c r="PRB2" s="27"/>
      <c r="PRC2" s="27"/>
      <c r="PRD2" s="27"/>
      <c r="PRE2" s="27"/>
      <c r="PRF2" s="27"/>
      <c r="PRG2" s="27"/>
      <c r="PRH2" s="27"/>
      <c r="PRI2" s="27"/>
      <c r="PRJ2" s="27"/>
      <c r="PRK2" s="27"/>
      <c r="PRL2" s="27"/>
      <c r="PRM2" s="27"/>
      <c r="PRN2" s="27"/>
      <c r="PRO2" s="27"/>
      <c r="PRP2" s="27"/>
      <c r="PRQ2" s="27"/>
      <c r="PRR2" s="27"/>
      <c r="PRS2" s="27"/>
      <c r="PRT2" s="27"/>
      <c r="PRU2" s="27"/>
      <c r="PRV2" s="27"/>
      <c r="PRW2" s="27"/>
      <c r="PRX2" s="27"/>
      <c r="PRY2" s="27"/>
      <c r="PRZ2" s="27"/>
      <c r="PSA2" s="27"/>
      <c r="PSB2" s="27"/>
      <c r="PSC2" s="27"/>
      <c r="PSD2" s="27"/>
      <c r="PSE2" s="27"/>
      <c r="PSF2" s="27"/>
      <c r="PSG2" s="27"/>
      <c r="PSH2" s="27"/>
      <c r="PSI2" s="27"/>
      <c r="PSJ2" s="27"/>
      <c r="PSK2" s="27"/>
      <c r="PSL2" s="27"/>
      <c r="PSM2" s="27"/>
      <c r="PSN2" s="27"/>
      <c r="PSO2" s="27"/>
      <c r="PSP2" s="27"/>
      <c r="PSQ2" s="27"/>
      <c r="PSR2" s="27"/>
      <c r="PSS2" s="27"/>
      <c r="PST2" s="27"/>
      <c r="PSU2" s="27"/>
      <c r="PSV2" s="27"/>
      <c r="PSW2" s="27"/>
      <c r="PSX2" s="27"/>
      <c r="PSY2" s="27"/>
      <c r="PSZ2" s="27"/>
      <c r="PTA2" s="27"/>
      <c r="PTB2" s="27"/>
      <c r="PTC2" s="27"/>
      <c r="PTD2" s="27"/>
      <c r="PTE2" s="27"/>
      <c r="PTF2" s="27"/>
      <c r="PTG2" s="27"/>
      <c r="PTH2" s="27"/>
      <c r="PTI2" s="27"/>
      <c r="PTJ2" s="27"/>
      <c r="PTK2" s="27"/>
      <c r="PTL2" s="27"/>
      <c r="PTM2" s="27"/>
      <c r="PTN2" s="27"/>
      <c r="PTO2" s="27"/>
      <c r="PTP2" s="27"/>
      <c r="PTQ2" s="27"/>
      <c r="PTR2" s="27"/>
      <c r="PTS2" s="27"/>
      <c r="PTT2" s="27"/>
      <c r="PTU2" s="27"/>
      <c r="PTV2" s="27"/>
      <c r="PTW2" s="27"/>
      <c r="PTX2" s="27"/>
      <c r="PTY2" s="27"/>
      <c r="PTZ2" s="27"/>
      <c r="PUA2" s="27"/>
      <c r="PUB2" s="27"/>
      <c r="PUC2" s="27"/>
      <c r="PUD2" s="27"/>
      <c r="PUE2" s="27"/>
      <c r="PUF2" s="27"/>
      <c r="PUG2" s="27"/>
      <c r="PUH2" s="27"/>
      <c r="PUI2" s="27"/>
      <c r="PUJ2" s="27"/>
      <c r="PUK2" s="27"/>
      <c r="PUL2" s="27"/>
      <c r="PUM2" s="27"/>
      <c r="PUN2" s="27"/>
      <c r="PUO2" s="27"/>
      <c r="PUP2" s="27"/>
      <c r="PUQ2" s="27"/>
      <c r="PUR2" s="27"/>
      <c r="PUS2" s="27"/>
      <c r="PUT2" s="27"/>
      <c r="PUU2" s="27"/>
      <c r="PUV2" s="27"/>
      <c r="PUW2" s="27"/>
      <c r="PUX2" s="27"/>
      <c r="PUY2" s="27"/>
      <c r="PUZ2" s="27"/>
      <c r="PVA2" s="27"/>
      <c r="PVB2" s="27"/>
      <c r="PVC2" s="27"/>
      <c r="PVD2" s="27"/>
      <c r="PVE2" s="27"/>
      <c r="PVF2" s="27"/>
      <c r="PVG2" s="27"/>
      <c r="PVH2" s="27"/>
      <c r="PVI2" s="27"/>
      <c r="PVJ2" s="27"/>
      <c r="PVK2" s="27"/>
      <c r="PVL2" s="27"/>
      <c r="PVM2" s="27"/>
      <c r="PVN2" s="27"/>
      <c r="PVO2" s="27"/>
      <c r="PVP2" s="27"/>
      <c r="PVQ2" s="27"/>
      <c r="PVR2" s="27"/>
      <c r="PVS2" s="27"/>
      <c r="PVT2" s="27"/>
      <c r="PVU2" s="27"/>
      <c r="PVV2" s="27"/>
      <c r="PVW2" s="27"/>
      <c r="PVX2" s="27"/>
      <c r="PVY2" s="27"/>
      <c r="PVZ2" s="27"/>
      <c r="PWA2" s="27"/>
      <c r="PWB2" s="27"/>
      <c r="PWC2" s="27"/>
      <c r="PWD2" s="27"/>
      <c r="PWE2" s="27"/>
      <c r="PWF2" s="27"/>
      <c r="PWG2" s="27"/>
      <c r="PWH2" s="27"/>
      <c r="PWI2" s="27"/>
      <c r="PWJ2" s="27"/>
      <c r="PWK2" s="27"/>
      <c r="PWL2" s="27"/>
      <c r="PWM2" s="27"/>
      <c r="PWN2" s="27"/>
      <c r="PWO2" s="27"/>
      <c r="PWP2" s="27"/>
      <c r="PWQ2" s="27"/>
      <c r="PWR2" s="27"/>
      <c r="PWS2" s="27"/>
      <c r="PWT2" s="27"/>
      <c r="PWU2" s="27"/>
      <c r="PWV2" s="27"/>
      <c r="PWW2" s="27"/>
      <c r="PWX2" s="27"/>
      <c r="PWY2" s="27"/>
      <c r="PWZ2" s="27"/>
      <c r="PXA2" s="27"/>
      <c r="PXB2" s="27"/>
      <c r="PXC2" s="27"/>
      <c r="PXD2" s="27"/>
      <c r="PXE2" s="27"/>
      <c r="PXF2" s="27"/>
      <c r="PXG2" s="27"/>
      <c r="PXH2" s="27"/>
      <c r="PXI2" s="27"/>
      <c r="PXJ2" s="27"/>
      <c r="PXK2" s="27"/>
      <c r="PXL2" s="27"/>
      <c r="PXM2" s="27"/>
      <c r="PXN2" s="27"/>
      <c r="PXO2" s="27"/>
      <c r="PXP2" s="27"/>
      <c r="PXQ2" s="27"/>
      <c r="PXR2" s="27"/>
      <c r="PXS2" s="27"/>
      <c r="PXT2" s="27"/>
      <c r="PXU2" s="27"/>
      <c r="PXV2" s="27"/>
      <c r="PXW2" s="27"/>
      <c r="PXX2" s="27"/>
      <c r="PXY2" s="27"/>
      <c r="PXZ2" s="27"/>
      <c r="PYA2" s="27"/>
      <c r="PYB2" s="27"/>
      <c r="PYC2" s="27"/>
      <c r="PYD2" s="27"/>
      <c r="PYE2" s="27"/>
      <c r="PYF2" s="27"/>
      <c r="PYG2" s="27"/>
      <c r="PYH2" s="27"/>
      <c r="PYI2" s="27"/>
      <c r="PYJ2" s="27"/>
      <c r="PYK2" s="27"/>
      <c r="PYL2" s="27"/>
      <c r="PYM2" s="27"/>
      <c r="PYN2" s="27"/>
      <c r="PYO2" s="27"/>
      <c r="PYP2" s="27"/>
      <c r="PYQ2" s="27"/>
      <c r="PYR2" s="27"/>
      <c r="PYS2" s="27"/>
      <c r="PYT2" s="27"/>
      <c r="PYU2" s="27"/>
      <c r="PYV2" s="27"/>
      <c r="PYW2" s="27"/>
      <c r="PYX2" s="27"/>
      <c r="PYY2" s="27"/>
      <c r="PYZ2" s="27"/>
      <c r="PZA2" s="27"/>
      <c r="PZB2" s="27"/>
      <c r="PZC2" s="27"/>
      <c r="PZD2" s="27"/>
      <c r="PZE2" s="27"/>
      <c r="PZF2" s="27"/>
      <c r="PZG2" s="27"/>
      <c r="PZH2" s="27"/>
      <c r="PZI2" s="27"/>
      <c r="PZJ2" s="27"/>
      <c r="PZK2" s="27"/>
      <c r="PZL2" s="27"/>
      <c r="PZM2" s="27"/>
      <c r="PZN2" s="27"/>
      <c r="PZO2" s="27"/>
      <c r="PZP2" s="27"/>
      <c r="PZQ2" s="27"/>
      <c r="PZR2" s="27"/>
      <c r="PZS2" s="27"/>
      <c r="PZT2" s="27"/>
      <c r="PZU2" s="27"/>
      <c r="PZV2" s="27"/>
      <c r="PZW2" s="27"/>
      <c r="PZX2" s="27"/>
      <c r="PZY2" s="27"/>
      <c r="PZZ2" s="27"/>
      <c r="QAA2" s="27"/>
      <c r="QAB2" s="27"/>
      <c r="QAC2" s="27"/>
      <c r="QAD2" s="27"/>
      <c r="QAE2" s="27"/>
      <c r="QAF2" s="27"/>
      <c r="QAG2" s="27"/>
      <c r="QAH2" s="27"/>
      <c r="QAI2" s="27"/>
      <c r="QAJ2" s="27"/>
      <c r="QAK2" s="27"/>
      <c r="QAL2" s="27"/>
      <c r="QAM2" s="27"/>
      <c r="QAN2" s="27"/>
      <c r="QAO2" s="27"/>
      <c r="QAP2" s="27"/>
      <c r="QAQ2" s="27"/>
      <c r="QAR2" s="27"/>
      <c r="QAS2" s="27"/>
      <c r="QAT2" s="27"/>
      <c r="QAU2" s="27"/>
      <c r="QAV2" s="27"/>
      <c r="QAW2" s="27"/>
      <c r="QAX2" s="27"/>
      <c r="QAY2" s="27"/>
      <c r="QAZ2" s="27"/>
      <c r="QBA2" s="27"/>
      <c r="QBB2" s="27"/>
      <c r="QBC2" s="27"/>
      <c r="QBD2" s="27"/>
      <c r="QBE2" s="27"/>
      <c r="QBF2" s="27"/>
      <c r="QBG2" s="27"/>
      <c r="QBH2" s="27"/>
      <c r="QBI2" s="27"/>
      <c r="QBJ2" s="27"/>
      <c r="QBK2" s="27"/>
      <c r="QBL2" s="27"/>
      <c r="QBM2" s="27"/>
      <c r="QBN2" s="27"/>
      <c r="QBO2" s="27"/>
      <c r="QBP2" s="27"/>
      <c r="QBQ2" s="27"/>
      <c r="QBR2" s="27"/>
      <c r="QBS2" s="27"/>
      <c r="QBT2" s="27"/>
      <c r="QBU2" s="27"/>
      <c r="QBV2" s="27"/>
      <c r="QBW2" s="27"/>
      <c r="QBX2" s="27"/>
      <c r="QBY2" s="27"/>
      <c r="QBZ2" s="27"/>
      <c r="QCA2" s="27"/>
      <c r="QCB2" s="27"/>
      <c r="QCC2" s="27"/>
      <c r="QCD2" s="27"/>
      <c r="QCE2" s="27"/>
      <c r="QCF2" s="27"/>
      <c r="QCG2" s="27"/>
      <c r="QCH2" s="27"/>
      <c r="QCI2" s="27"/>
      <c r="QCJ2" s="27"/>
      <c r="QCK2" s="27"/>
      <c r="QCL2" s="27"/>
      <c r="QCM2" s="27"/>
      <c r="QCN2" s="27"/>
      <c r="QCO2" s="27"/>
      <c r="QCP2" s="27"/>
      <c r="QCQ2" s="27"/>
      <c r="QCR2" s="27"/>
      <c r="QCS2" s="27"/>
      <c r="QCT2" s="27"/>
      <c r="QCU2" s="27"/>
      <c r="QCV2" s="27"/>
      <c r="QCW2" s="27"/>
      <c r="QCX2" s="27"/>
      <c r="QCY2" s="27"/>
      <c r="QCZ2" s="27"/>
      <c r="QDA2" s="27"/>
      <c r="QDB2" s="27"/>
      <c r="QDC2" s="27"/>
      <c r="QDD2" s="27"/>
      <c r="QDE2" s="27"/>
      <c r="QDF2" s="27"/>
      <c r="QDG2" s="27"/>
      <c r="QDH2" s="27"/>
      <c r="QDI2" s="27"/>
      <c r="QDJ2" s="27"/>
      <c r="QDK2" s="27"/>
      <c r="QDL2" s="27"/>
      <c r="QDM2" s="27"/>
      <c r="QDN2" s="27"/>
      <c r="QDO2" s="27"/>
      <c r="QDP2" s="27"/>
      <c r="QDQ2" s="27"/>
      <c r="QDR2" s="27"/>
      <c r="QDS2" s="27"/>
      <c r="QDT2" s="27"/>
      <c r="QDU2" s="27"/>
      <c r="QDV2" s="27"/>
      <c r="QDW2" s="27"/>
      <c r="QDX2" s="27"/>
      <c r="QDY2" s="27"/>
      <c r="QDZ2" s="27"/>
      <c r="QEA2" s="27"/>
      <c r="QEB2" s="27"/>
      <c r="QEC2" s="27"/>
      <c r="QED2" s="27"/>
      <c r="QEE2" s="27"/>
      <c r="QEF2" s="27"/>
      <c r="QEG2" s="27"/>
      <c r="QEH2" s="27"/>
      <c r="QEI2" s="27"/>
      <c r="QEJ2" s="27"/>
      <c r="QEK2" s="27"/>
      <c r="QEL2" s="27"/>
      <c r="QEM2" s="27"/>
      <c r="QEN2" s="27"/>
      <c r="QEO2" s="27"/>
      <c r="QEP2" s="27"/>
      <c r="QEQ2" s="27"/>
      <c r="QER2" s="27"/>
      <c r="QES2" s="27"/>
      <c r="QET2" s="27"/>
      <c r="QEU2" s="27"/>
      <c r="QEV2" s="27"/>
      <c r="QEW2" s="27"/>
      <c r="QEX2" s="27"/>
      <c r="QEY2" s="27"/>
      <c r="QEZ2" s="27"/>
      <c r="QFA2" s="27"/>
      <c r="QFB2" s="27"/>
      <c r="QFC2" s="27"/>
      <c r="QFD2" s="27"/>
      <c r="QFE2" s="27"/>
      <c r="QFF2" s="27"/>
      <c r="QFG2" s="27"/>
      <c r="QFH2" s="27"/>
      <c r="QFI2" s="27"/>
      <c r="QFJ2" s="27"/>
      <c r="QFK2" s="27"/>
      <c r="QFL2" s="27"/>
      <c r="QFM2" s="27"/>
      <c r="QFN2" s="27"/>
      <c r="QFO2" s="27"/>
      <c r="QFP2" s="27"/>
      <c r="QFQ2" s="27"/>
      <c r="QFR2" s="27"/>
      <c r="QFS2" s="27"/>
      <c r="QFT2" s="27"/>
      <c r="QFU2" s="27"/>
      <c r="QFV2" s="27"/>
      <c r="QFW2" s="27"/>
      <c r="QFX2" s="27"/>
      <c r="QFY2" s="27"/>
      <c r="QFZ2" s="27"/>
      <c r="QGA2" s="27"/>
      <c r="QGB2" s="27"/>
      <c r="QGC2" s="27"/>
      <c r="QGD2" s="27"/>
      <c r="QGE2" s="27"/>
      <c r="QGF2" s="27"/>
      <c r="QGG2" s="27"/>
      <c r="QGH2" s="27"/>
      <c r="QGI2" s="27"/>
      <c r="QGJ2" s="27"/>
      <c r="QGK2" s="27"/>
      <c r="QGL2" s="27"/>
      <c r="QGM2" s="27"/>
      <c r="QGN2" s="27"/>
      <c r="QGO2" s="27"/>
      <c r="QGP2" s="27"/>
      <c r="QGQ2" s="27"/>
      <c r="QGR2" s="27"/>
      <c r="QGS2" s="27"/>
      <c r="QGT2" s="27"/>
      <c r="QGU2" s="27"/>
      <c r="QGV2" s="27"/>
      <c r="QGW2" s="27"/>
      <c r="QGX2" s="27"/>
      <c r="QGY2" s="27"/>
      <c r="QGZ2" s="27"/>
      <c r="QHA2" s="27"/>
      <c r="QHB2" s="27"/>
      <c r="QHC2" s="27"/>
      <c r="QHD2" s="27"/>
      <c r="QHE2" s="27"/>
      <c r="QHF2" s="27"/>
      <c r="QHG2" s="27"/>
      <c r="QHH2" s="27"/>
      <c r="QHI2" s="27"/>
      <c r="QHJ2" s="27"/>
      <c r="QHK2" s="27"/>
      <c r="QHL2" s="27"/>
      <c r="QHM2" s="27"/>
      <c r="QHN2" s="27"/>
      <c r="QHO2" s="27"/>
      <c r="QHP2" s="27"/>
      <c r="QHQ2" s="27"/>
      <c r="QHR2" s="27"/>
      <c r="QHS2" s="27"/>
      <c r="QHT2" s="27"/>
      <c r="QHU2" s="27"/>
      <c r="QHV2" s="27"/>
      <c r="QHW2" s="27"/>
      <c r="QHX2" s="27"/>
      <c r="QHY2" s="27"/>
      <c r="QHZ2" s="27"/>
      <c r="QIA2" s="27"/>
      <c r="QIB2" s="27"/>
      <c r="QIC2" s="27"/>
      <c r="QID2" s="27"/>
      <c r="QIE2" s="27"/>
      <c r="QIF2" s="27"/>
      <c r="QIG2" s="27"/>
      <c r="QIH2" s="27"/>
      <c r="QII2" s="27"/>
      <c r="QIJ2" s="27"/>
      <c r="QIK2" s="27"/>
      <c r="QIL2" s="27"/>
      <c r="QIM2" s="27"/>
      <c r="QIN2" s="27"/>
      <c r="QIO2" s="27"/>
      <c r="QIP2" s="27"/>
      <c r="QIQ2" s="27"/>
      <c r="QIR2" s="27"/>
      <c r="QIS2" s="27"/>
      <c r="QIT2" s="27"/>
      <c r="QIU2" s="27"/>
      <c r="QIV2" s="27"/>
      <c r="QIW2" s="27"/>
      <c r="QIX2" s="27"/>
      <c r="QIY2" s="27"/>
      <c r="QIZ2" s="27"/>
      <c r="QJA2" s="27"/>
      <c r="QJB2" s="27"/>
      <c r="QJC2" s="27"/>
      <c r="QJD2" s="27"/>
      <c r="QJE2" s="27"/>
      <c r="QJF2" s="27"/>
      <c r="QJG2" s="27"/>
      <c r="QJH2" s="27"/>
      <c r="QJI2" s="27"/>
      <c r="QJJ2" s="27"/>
      <c r="QJK2" s="27"/>
      <c r="QJL2" s="27"/>
      <c r="QJM2" s="27"/>
      <c r="QJN2" s="27"/>
      <c r="QJO2" s="27"/>
      <c r="QJP2" s="27"/>
      <c r="QJQ2" s="27"/>
      <c r="QJR2" s="27"/>
      <c r="QJS2" s="27"/>
      <c r="QJT2" s="27"/>
      <c r="QJU2" s="27"/>
      <c r="QJV2" s="27"/>
      <c r="QJW2" s="27"/>
      <c r="QJX2" s="27"/>
      <c r="QJY2" s="27"/>
      <c r="QJZ2" s="27"/>
      <c r="QKA2" s="27"/>
      <c r="QKB2" s="27"/>
      <c r="QKC2" s="27"/>
      <c r="QKD2" s="27"/>
      <c r="QKE2" s="27"/>
      <c r="QKF2" s="27"/>
      <c r="QKG2" s="27"/>
      <c r="QKH2" s="27"/>
      <c r="QKI2" s="27"/>
      <c r="QKJ2" s="27"/>
      <c r="QKK2" s="27"/>
      <c r="QKL2" s="27"/>
      <c r="QKM2" s="27"/>
      <c r="QKN2" s="27"/>
      <c r="QKO2" s="27"/>
      <c r="QKP2" s="27"/>
      <c r="QKQ2" s="27"/>
      <c r="QKR2" s="27"/>
      <c r="QKS2" s="27"/>
      <c r="QKT2" s="27"/>
      <c r="QKU2" s="27"/>
      <c r="QKV2" s="27"/>
      <c r="QKW2" s="27"/>
      <c r="QKX2" s="27"/>
      <c r="QKY2" s="27"/>
      <c r="QKZ2" s="27"/>
      <c r="QLA2" s="27"/>
      <c r="QLB2" s="27"/>
      <c r="QLC2" s="27"/>
      <c r="QLD2" s="27"/>
      <c r="QLE2" s="27"/>
      <c r="QLF2" s="27"/>
      <c r="QLG2" s="27"/>
      <c r="QLH2" s="27"/>
      <c r="QLI2" s="27"/>
      <c r="QLJ2" s="27"/>
      <c r="QLK2" s="27"/>
      <c r="QLL2" s="27"/>
      <c r="QLM2" s="27"/>
      <c r="QLN2" s="27"/>
      <c r="QLO2" s="27"/>
      <c r="QLP2" s="27"/>
      <c r="QLQ2" s="27"/>
      <c r="QLR2" s="27"/>
      <c r="QLS2" s="27"/>
      <c r="QLT2" s="27"/>
      <c r="QLU2" s="27"/>
      <c r="QLV2" s="27"/>
      <c r="QLW2" s="27"/>
      <c r="QLX2" s="27"/>
      <c r="QLY2" s="27"/>
      <c r="QLZ2" s="27"/>
      <c r="QMA2" s="27"/>
      <c r="QMB2" s="27"/>
      <c r="QMC2" s="27"/>
      <c r="QMD2" s="27"/>
      <c r="QME2" s="27"/>
      <c r="QMF2" s="27"/>
      <c r="QMG2" s="27"/>
      <c r="QMH2" s="27"/>
      <c r="QMI2" s="27"/>
      <c r="QMJ2" s="27"/>
      <c r="QMK2" s="27"/>
      <c r="QML2" s="27"/>
      <c r="QMM2" s="27"/>
      <c r="QMN2" s="27"/>
      <c r="QMO2" s="27"/>
      <c r="QMP2" s="27"/>
      <c r="QMQ2" s="27"/>
      <c r="QMR2" s="27"/>
      <c r="QMS2" s="27"/>
      <c r="QMT2" s="27"/>
      <c r="QMU2" s="27"/>
      <c r="QMV2" s="27"/>
      <c r="QMW2" s="27"/>
      <c r="QMX2" s="27"/>
      <c r="QMY2" s="27"/>
      <c r="QMZ2" s="27"/>
      <c r="QNA2" s="27"/>
      <c r="QNB2" s="27"/>
      <c r="QNC2" s="27"/>
      <c r="QND2" s="27"/>
      <c r="QNE2" s="27"/>
      <c r="QNF2" s="27"/>
      <c r="QNG2" s="27"/>
      <c r="QNH2" s="27"/>
      <c r="QNI2" s="27"/>
      <c r="QNJ2" s="27"/>
      <c r="QNK2" s="27"/>
      <c r="QNL2" s="27"/>
      <c r="QNM2" s="27"/>
      <c r="QNN2" s="27"/>
      <c r="QNO2" s="27"/>
      <c r="QNP2" s="27"/>
      <c r="QNQ2" s="27"/>
      <c r="QNR2" s="27"/>
      <c r="QNS2" s="27"/>
      <c r="QNT2" s="27"/>
      <c r="QNU2" s="27"/>
      <c r="QNV2" s="27"/>
      <c r="QNW2" s="27"/>
      <c r="QNX2" s="27"/>
      <c r="QNY2" s="27"/>
      <c r="QNZ2" s="27"/>
      <c r="QOA2" s="27"/>
      <c r="QOB2" s="27"/>
      <c r="QOC2" s="27"/>
      <c r="QOD2" s="27"/>
      <c r="QOE2" s="27"/>
      <c r="QOF2" s="27"/>
      <c r="QOG2" s="27"/>
      <c r="QOH2" s="27"/>
      <c r="QOI2" s="27"/>
      <c r="QOJ2" s="27"/>
      <c r="QOK2" s="27"/>
      <c r="QOL2" s="27"/>
      <c r="QOM2" s="27"/>
      <c r="QON2" s="27"/>
      <c r="QOO2" s="27"/>
      <c r="QOP2" s="27"/>
      <c r="QOQ2" s="27"/>
      <c r="QOR2" s="27"/>
      <c r="QOS2" s="27"/>
      <c r="QOT2" s="27"/>
      <c r="QOU2" s="27"/>
      <c r="QOV2" s="27"/>
      <c r="QOW2" s="27"/>
      <c r="QOX2" s="27"/>
      <c r="QOY2" s="27"/>
      <c r="QOZ2" s="27"/>
      <c r="QPA2" s="27"/>
      <c r="QPB2" s="27"/>
      <c r="QPC2" s="27"/>
      <c r="QPD2" s="27"/>
      <c r="QPE2" s="27"/>
      <c r="QPF2" s="27"/>
      <c r="QPG2" s="27"/>
      <c r="QPH2" s="27"/>
      <c r="QPI2" s="27"/>
      <c r="QPJ2" s="27"/>
      <c r="QPK2" s="27"/>
      <c r="QPL2" s="27"/>
      <c r="QPM2" s="27"/>
      <c r="QPN2" s="27"/>
      <c r="QPO2" s="27"/>
      <c r="QPP2" s="27"/>
      <c r="QPQ2" s="27"/>
      <c r="QPR2" s="27"/>
      <c r="QPS2" s="27"/>
      <c r="QPT2" s="27"/>
      <c r="QPU2" s="27"/>
      <c r="QPV2" s="27"/>
      <c r="QPW2" s="27"/>
      <c r="QPX2" s="27"/>
      <c r="QPY2" s="27"/>
      <c r="QPZ2" s="27"/>
      <c r="QQA2" s="27"/>
      <c r="QQB2" s="27"/>
      <c r="QQC2" s="27"/>
      <c r="QQD2" s="27"/>
      <c r="QQE2" s="27"/>
      <c r="QQF2" s="27"/>
      <c r="QQG2" s="27"/>
      <c r="QQH2" s="27"/>
      <c r="QQI2" s="27"/>
      <c r="QQJ2" s="27"/>
      <c r="QQK2" s="27"/>
      <c r="QQL2" s="27"/>
      <c r="QQM2" s="27"/>
      <c r="QQN2" s="27"/>
      <c r="QQO2" s="27"/>
      <c r="QQP2" s="27"/>
      <c r="QQQ2" s="27"/>
      <c r="QQR2" s="27"/>
      <c r="QQS2" s="27"/>
      <c r="QQT2" s="27"/>
      <c r="QQU2" s="27"/>
      <c r="QQV2" s="27"/>
      <c r="QQW2" s="27"/>
      <c r="QQX2" s="27"/>
      <c r="QQY2" s="27"/>
      <c r="QQZ2" s="27"/>
      <c r="QRA2" s="27"/>
      <c r="QRB2" s="27"/>
      <c r="QRC2" s="27"/>
      <c r="QRD2" s="27"/>
      <c r="QRE2" s="27"/>
      <c r="QRF2" s="27"/>
      <c r="QRG2" s="27"/>
      <c r="QRH2" s="27"/>
      <c r="QRI2" s="27"/>
      <c r="QRJ2" s="27"/>
      <c r="QRK2" s="27"/>
      <c r="QRL2" s="27"/>
      <c r="QRM2" s="27"/>
      <c r="QRN2" s="27"/>
      <c r="QRO2" s="27"/>
      <c r="QRP2" s="27"/>
      <c r="QRQ2" s="27"/>
      <c r="QRR2" s="27"/>
      <c r="QRS2" s="27"/>
      <c r="QRT2" s="27"/>
      <c r="QRU2" s="27"/>
      <c r="QRV2" s="27"/>
      <c r="QRW2" s="27"/>
      <c r="QRX2" s="27"/>
      <c r="QRY2" s="27"/>
      <c r="QRZ2" s="27"/>
      <c r="QSA2" s="27"/>
      <c r="QSB2" s="27"/>
      <c r="QSC2" s="27"/>
      <c r="QSD2" s="27"/>
      <c r="QSE2" s="27"/>
      <c r="QSF2" s="27"/>
      <c r="QSG2" s="27"/>
      <c r="QSH2" s="27"/>
      <c r="QSI2" s="27"/>
      <c r="QSJ2" s="27"/>
      <c r="QSK2" s="27"/>
      <c r="QSL2" s="27"/>
      <c r="QSM2" s="27"/>
      <c r="QSN2" s="27"/>
      <c r="QSO2" s="27"/>
      <c r="QSP2" s="27"/>
      <c r="QSQ2" s="27"/>
      <c r="QSR2" s="27"/>
      <c r="QSS2" s="27"/>
      <c r="QST2" s="27"/>
      <c r="QSU2" s="27"/>
      <c r="QSV2" s="27"/>
      <c r="QSW2" s="27"/>
      <c r="QSX2" s="27"/>
      <c r="QSY2" s="27"/>
      <c r="QSZ2" s="27"/>
      <c r="QTA2" s="27"/>
      <c r="QTB2" s="27"/>
      <c r="QTC2" s="27"/>
      <c r="QTD2" s="27"/>
      <c r="QTE2" s="27"/>
      <c r="QTF2" s="27"/>
      <c r="QTG2" s="27"/>
      <c r="QTH2" s="27"/>
      <c r="QTI2" s="27"/>
      <c r="QTJ2" s="27"/>
      <c r="QTK2" s="27"/>
      <c r="QTL2" s="27"/>
      <c r="QTM2" s="27"/>
      <c r="QTN2" s="27"/>
      <c r="QTO2" s="27"/>
      <c r="QTP2" s="27"/>
      <c r="QTQ2" s="27"/>
      <c r="QTR2" s="27"/>
      <c r="QTS2" s="27"/>
      <c r="QTT2" s="27"/>
      <c r="QTU2" s="27"/>
      <c r="QTV2" s="27"/>
      <c r="QTW2" s="27"/>
      <c r="QTX2" s="27"/>
      <c r="QTY2" s="27"/>
      <c r="QTZ2" s="27"/>
      <c r="QUA2" s="27"/>
      <c r="QUB2" s="27"/>
      <c r="QUC2" s="27"/>
      <c r="QUD2" s="27"/>
      <c r="QUE2" s="27"/>
      <c r="QUF2" s="27"/>
      <c r="QUG2" s="27"/>
      <c r="QUH2" s="27"/>
      <c r="QUI2" s="27"/>
      <c r="QUJ2" s="27"/>
      <c r="QUK2" s="27"/>
      <c r="QUL2" s="27"/>
      <c r="QUM2" s="27"/>
      <c r="QUN2" s="27"/>
      <c r="QUO2" s="27"/>
      <c r="QUP2" s="27"/>
      <c r="QUQ2" s="27"/>
      <c r="QUR2" s="27"/>
      <c r="QUS2" s="27"/>
      <c r="QUT2" s="27"/>
      <c r="QUU2" s="27"/>
      <c r="QUV2" s="27"/>
      <c r="QUW2" s="27"/>
      <c r="QUX2" s="27"/>
      <c r="QUY2" s="27"/>
      <c r="QUZ2" s="27"/>
      <c r="QVA2" s="27"/>
      <c r="QVB2" s="27"/>
      <c r="QVC2" s="27"/>
      <c r="QVD2" s="27"/>
      <c r="QVE2" s="27"/>
      <c r="QVF2" s="27"/>
      <c r="QVG2" s="27"/>
      <c r="QVH2" s="27"/>
      <c r="QVI2" s="27"/>
      <c r="QVJ2" s="27"/>
      <c r="QVK2" s="27"/>
      <c r="QVL2" s="27"/>
      <c r="QVM2" s="27"/>
      <c r="QVN2" s="27"/>
      <c r="QVO2" s="27"/>
      <c r="QVP2" s="27"/>
      <c r="QVQ2" s="27"/>
      <c r="QVR2" s="27"/>
      <c r="QVS2" s="27"/>
      <c r="QVT2" s="27"/>
      <c r="QVU2" s="27"/>
      <c r="QVV2" s="27"/>
      <c r="QVW2" s="27"/>
      <c r="QVX2" s="27"/>
      <c r="QVY2" s="27"/>
      <c r="QVZ2" s="27"/>
      <c r="QWA2" s="27"/>
      <c r="QWB2" s="27"/>
      <c r="QWC2" s="27"/>
      <c r="QWD2" s="27"/>
      <c r="QWE2" s="27"/>
      <c r="QWF2" s="27"/>
      <c r="QWG2" s="27"/>
      <c r="QWH2" s="27"/>
      <c r="QWI2" s="27"/>
      <c r="QWJ2" s="27"/>
      <c r="QWK2" s="27"/>
      <c r="QWL2" s="27"/>
      <c r="QWM2" s="27"/>
      <c r="QWN2" s="27"/>
      <c r="QWO2" s="27"/>
      <c r="QWP2" s="27"/>
      <c r="QWQ2" s="27"/>
      <c r="QWR2" s="27"/>
      <c r="QWS2" s="27"/>
      <c r="QWT2" s="27"/>
      <c r="QWU2" s="27"/>
      <c r="QWV2" s="27"/>
      <c r="QWW2" s="27"/>
      <c r="QWX2" s="27"/>
      <c r="QWY2" s="27"/>
      <c r="QWZ2" s="27"/>
      <c r="QXA2" s="27"/>
      <c r="QXB2" s="27"/>
      <c r="QXC2" s="27"/>
      <c r="QXD2" s="27"/>
      <c r="QXE2" s="27"/>
      <c r="QXF2" s="27"/>
      <c r="QXG2" s="27"/>
      <c r="QXH2" s="27"/>
      <c r="QXI2" s="27"/>
      <c r="QXJ2" s="27"/>
      <c r="QXK2" s="27"/>
      <c r="QXL2" s="27"/>
      <c r="QXM2" s="27"/>
      <c r="QXN2" s="27"/>
      <c r="QXO2" s="27"/>
      <c r="QXP2" s="27"/>
      <c r="QXQ2" s="27"/>
      <c r="QXR2" s="27"/>
      <c r="QXS2" s="27"/>
      <c r="QXT2" s="27"/>
      <c r="QXU2" s="27"/>
      <c r="QXV2" s="27"/>
      <c r="QXW2" s="27"/>
      <c r="QXX2" s="27"/>
      <c r="QXY2" s="27"/>
      <c r="QXZ2" s="27"/>
      <c r="QYA2" s="27"/>
      <c r="QYB2" s="27"/>
      <c r="QYC2" s="27"/>
      <c r="QYD2" s="27"/>
      <c r="QYE2" s="27"/>
      <c r="QYF2" s="27"/>
      <c r="QYG2" s="27"/>
      <c r="QYH2" s="27"/>
      <c r="QYI2" s="27"/>
      <c r="QYJ2" s="27"/>
      <c r="QYK2" s="27"/>
      <c r="QYL2" s="27"/>
      <c r="QYM2" s="27"/>
      <c r="QYN2" s="27"/>
      <c r="QYO2" s="27"/>
      <c r="QYP2" s="27"/>
      <c r="QYQ2" s="27"/>
      <c r="QYR2" s="27"/>
      <c r="QYS2" s="27"/>
      <c r="QYT2" s="27"/>
      <c r="QYU2" s="27"/>
      <c r="QYV2" s="27"/>
      <c r="QYW2" s="27"/>
      <c r="QYX2" s="27"/>
      <c r="QYY2" s="27"/>
      <c r="QYZ2" s="27"/>
      <c r="QZA2" s="27"/>
      <c r="QZB2" s="27"/>
      <c r="QZC2" s="27"/>
      <c r="QZD2" s="27"/>
      <c r="QZE2" s="27"/>
      <c r="QZF2" s="27"/>
      <c r="QZG2" s="27"/>
      <c r="QZH2" s="27"/>
      <c r="QZI2" s="27"/>
      <c r="QZJ2" s="27"/>
      <c r="QZK2" s="27"/>
      <c r="QZL2" s="27"/>
      <c r="QZM2" s="27"/>
      <c r="QZN2" s="27"/>
      <c r="QZO2" s="27"/>
      <c r="QZP2" s="27"/>
      <c r="QZQ2" s="27"/>
      <c r="QZR2" s="27"/>
      <c r="QZS2" s="27"/>
      <c r="QZT2" s="27"/>
      <c r="QZU2" s="27"/>
      <c r="QZV2" s="27"/>
      <c r="QZW2" s="27"/>
      <c r="QZX2" s="27"/>
      <c r="QZY2" s="27"/>
      <c r="QZZ2" s="27"/>
      <c r="RAA2" s="27"/>
      <c r="RAB2" s="27"/>
      <c r="RAC2" s="27"/>
      <c r="RAD2" s="27"/>
      <c r="RAE2" s="27"/>
      <c r="RAF2" s="27"/>
      <c r="RAG2" s="27"/>
      <c r="RAH2" s="27"/>
      <c r="RAI2" s="27"/>
      <c r="RAJ2" s="27"/>
      <c r="RAK2" s="27"/>
      <c r="RAL2" s="27"/>
      <c r="RAM2" s="27"/>
      <c r="RAN2" s="27"/>
      <c r="RAO2" s="27"/>
      <c r="RAP2" s="27"/>
      <c r="RAQ2" s="27"/>
      <c r="RAR2" s="27"/>
      <c r="RAS2" s="27"/>
      <c r="RAT2" s="27"/>
      <c r="RAU2" s="27"/>
      <c r="RAV2" s="27"/>
      <c r="RAW2" s="27"/>
      <c r="RAX2" s="27"/>
      <c r="RAY2" s="27"/>
      <c r="RAZ2" s="27"/>
      <c r="RBA2" s="27"/>
      <c r="RBB2" s="27"/>
      <c r="RBC2" s="27"/>
      <c r="RBD2" s="27"/>
      <c r="RBE2" s="27"/>
      <c r="RBF2" s="27"/>
      <c r="RBG2" s="27"/>
      <c r="RBH2" s="27"/>
      <c r="RBI2" s="27"/>
      <c r="RBJ2" s="27"/>
      <c r="RBK2" s="27"/>
      <c r="RBL2" s="27"/>
      <c r="RBM2" s="27"/>
      <c r="RBN2" s="27"/>
      <c r="RBO2" s="27"/>
      <c r="RBP2" s="27"/>
      <c r="RBQ2" s="27"/>
      <c r="RBR2" s="27"/>
      <c r="RBS2" s="27"/>
      <c r="RBT2" s="27"/>
      <c r="RBU2" s="27"/>
      <c r="RBV2" s="27"/>
      <c r="RBW2" s="27"/>
      <c r="RBX2" s="27"/>
      <c r="RBY2" s="27"/>
      <c r="RBZ2" s="27"/>
      <c r="RCA2" s="27"/>
      <c r="RCB2" s="27"/>
      <c r="RCC2" s="27"/>
      <c r="RCD2" s="27"/>
      <c r="RCE2" s="27"/>
      <c r="RCF2" s="27"/>
      <c r="RCG2" s="27"/>
      <c r="RCH2" s="27"/>
      <c r="RCI2" s="27"/>
      <c r="RCJ2" s="27"/>
      <c r="RCK2" s="27"/>
      <c r="RCL2" s="27"/>
      <c r="RCM2" s="27"/>
      <c r="RCN2" s="27"/>
      <c r="RCO2" s="27"/>
      <c r="RCP2" s="27"/>
      <c r="RCQ2" s="27"/>
      <c r="RCR2" s="27"/>
      <c r="RCS2" s="27"/>
      <c r="RCT2" s="27"/>
      <c r="RCU2" s="27"/>
      <c r="RCV2" s="27"/>
      <c r="RCW2" s="27"/>
      <c r="RCX2" s="27"/>
      <c r="RCY2" s="27"/>
      <c r="RCZ2" s="27"/>
      <c r="RDA2" s="27"/>
      <c r="RDB2" s="27"/>
      <c r="RDC2" s="27"/>
      <c r="RDD2" s="27"/>
      <c r="RDE2" s="27"/>
      <c r="RDF2" s="27"/>
      <c r="RDG2" s="27"/>
      <c r="RDH2" s="27"/>
      <c r="RDI2" s="27"/>
      <c r="RDJ2" s="27"/>
      <c r="RDK2" s="27"/>
      <c r="RDL2" s="27"/>
      <c r="RDM2" s="27"/>
      <c r="RDN2" s="27"/>
      <c r="RDO2" s="27"/>
      <c r="RDP2" s="27"/>
      <c r="RDQ2" s="27"/>
      <c r="RDR2" s="27"/>
      <c r="RDS2" s="27"/>
      <c r="RDT2" s="27"/>
      <c r="RDU2" s="27"/>
      <c r="RDV2" s="27"/>
      <c r="RDW2" s="27"/>
      <c r="RDX2" s="27"/>
      <c r="RDY2" s="27"/>
      <c r="RDZ2" s="27"/>
      <c r="REA2" s="27"/>
      <c r="REB2" s="27"/>
      <c r="REC2" s="27"/>
      <c r="RED2" s="27"/>
      <c r="REE2" s="27"/>
      <c r="REF2" s="27"/>
      <c r="REG2" s="27"/>
      <c r="REH2" s="27"/>
      <c r="REI2" s="27"/>
      <c r="REJ2" s="27"/>
      <c r="REK2" s="27"/>
      <c r="REL2" s="27"/>
      <c r="REM2" s="27"/>
      <c r="REN2" s="27"/>
      <c r="REO2" s="27"/>
      <c r="REP2" s="27"/>
      <c r="REQ2" s="27"/>
      <c r="RER2" s="27"/>
      <c r="RES2" s="27"/>
      <c r="RET2" s="27"/>
      <c r="REU2" s="27"/>
      <c r="REV2" s="27"/>
      <c r="REW2" s="27"/>
      <c r="REX2" s="27"/>
      <c r="REY2" s="27"/>
      <c r="REZ2" s="27"/>
      <c r="RFA2" s="27"/>
      <c r="RFB2" s="27"/>
      <c r="RFC2" s="27"/>
      <c r="RFD2" s="27"/>
      <c r="RFE2" s="27"/>
      <c r="RFF2" s="27"/>
      <c r="RFG2" s="27"/>
      <c r="RFH2" s="27"/>
      <c r="RFI2" s="27"/>
      <c r="RFJ2" s="27"/>
      <c r="RFK2" s="27"/>
      <c r="RFL2" s="27"/>
      <c r="RFM2" s="27"/>
      <c r="RFN2" s="27"/>
      <c r="RFO2" s="27"/>
      <c r="RFP2" s="27"/>
      <c r="RFQ2" s="27"/>
      <c r="RFR2" s="27"/>
      <c r="RFS2" s="27"/>
      <c r="RFT2" s="27"/>
      <c r="RFU2" s="27"/>
      <c r="RFV2" s="27"/>
      <c r="RFW2" s="27"/>
      <c r="RFX2" s="27"/>
      <c r="RFY2" s="27"/>
      <c r="RFZ2" s="27"/>
      <c r="RGA2" s="27"/>
      <c r="RGB2" s="27"/>
      <c r="RGC2" s="27"/>
      <c r="RGD2" s="27"/>
      <c r="RGE2" s="27"/>
      <c r="RGF2" s="27"/>
      <c r="RGG2" s="27"/>
      <c r="RGH2" s="27"/>
      <c r="RGI2" s="27"/>
      <c r="RGJ2" s="27"/>
      <c r="RGK2" s="27"/>
      <c r="RGL2" s="27"/>
      <c r="RGM2" s="27"/>
      <c r="RGN2" s="27"/>
      <c r="RGO2" s="27"/>
      <c r="RGP2" s="27"/>
      <c r="RGQ2" s="27"/>
      <c r="RGR2" s="27"/>
      <c r="RGS2" s="27"/>
      <c r="RGT2" s="27"/>
      <c r="RGU2" s="27"/>
      <c r="RGV2" s="27"/>
      <c r="RGW2" s="27"/>
      <c r="RGX2" s="27"/>
      <c r="RGY2" s="27"/>
      <c r="RGZ2" s="27"/>
      <c r="RHA2" s="27"/>
      <c r="RHB2" s="27"/>
      <c r="RHC2" s="27"/>
      <c r="RHD2" s="27"/>
      <c r="RHE2" s="27"/>
      <c r="RHF2" s="27"/>
      <c r="RHG2" s="27"/>
      <c r="RHH2" s="27"/>
      <c r="RHI2" s="27"/>
      <c r="RHJ2" s="27"/>
      <c r="RHK2" s="27"/>
      <c r="RHL2" s="27"/>
      <c r="RHM2" s="27"/>
      <c r="RHN2" s="27"/>
      <c r="RHO2" s="27"/>
      <c r="RHP2" s="27"/>
      <c r="RHQ2" s="27"/>
      <c r="RHR2" s="27"/>
      <c r="RHS2" s="27"/>
      <c r="RHT2" s="27"/>
      <c r="RHU2" s="27"/>
      <c r="RHV2" s="27"/>
      <c r="RHW2" s="27"/>
      <c r="RHX2" s="27"/>
      <c r="RHY2" s="27"/>
      <c r="RHZ2" s="27"/>
      <c r="RIA2" s="27"/>
      <c r="RIB2" s="27"/>
      <c r="RIC2" s="27"/>
      <c r="RID2" s="27"/>
      <c r="RIE2" s="27"/>
      <c r="RIF2" s="27"/>
      <c r="RIG2" s="27"/>
      <c r="RIH2" s="27"/>
      <c r="RII2" s="27"/>
      <c r="RIJ2" s="27"/>
      <c r="RIK2" s="27"/>
      <c r="RIL2" s="27"/>
      <c r="RIM2" s="27"/>
      <c r="RIN2" s="27"/>
      <c r="RIO2" s="27"/>
      <c r="RIP2" s="27"/>
      <c r="RIQ2" s="27"/>
      <c r="RIR2" s="27"/>
      <c r="RIS2" s="27"/>
      <c r="RIT2" s="27"/>
      <c r="RIU2" s="27"/>
      <c r="RIV2" s="27"/>
      <c r="RIW2" s="27"/>
      <c r="RIX2" s="27"/>
      <c r="RIY2" s="27"/>
      <c r="RIZ2" s="27"/>
      <c r="RJA2" s="27"/>
      <c r="RJB2" s="27"/>
      <c r="RJC2" s="27"/>
      <c r="RJD2" s="27"/>
      <c r="RJE2" s="27"/>
      <c r="RJF2" s="27"/>
      <c r="RJG2" s="27"/>
      <c r="RJH2" s="27"/>
      <c r="RJI2" s="27"/>
      <c r="RJJ2" s="27"/>
      <c r="RJK2" s="27"/>
      <c r="RJL2" s="27"/>
      <c r="RJM2" s="27"/>
      <c r="RJN2" s="27"/>
      <c r="RJO2" s="27"/>
      <c r="RJP2" s="27"/>
      <c r="RJQ2" s="27"/>
      <c r="RJR2" s="27"/>
      <c r="RJS2" s="27"/>
      <c r="RJT2" s="27"/>
      <c r="RJU2" s="27"/>
      <c r="RJV2" s="27"/>
      <c r="RJW2" s="27"/>
      <c r="RJX2" s="27"/>
      <c r="RJY2" s="27"/>
      <c r="RJZ2" s="27"/>
      <c r="RKA2" s="27"/>
      <c r="RKB2" s="27"/>
      <c r="RKC2" s="27"/>
      <c r="RKD2" s="27"/>
      <c r="RKE2" s="27"/>
      <c r="RKF2" s="27"/>
      <c r="RKG2" s="27"/>
      <c r="RKH2" s="27"/>
      <c r="RKI2" s="27"/>
      <c r="RKJ2" s="27"/>
      <c r="RKK2" s="27"/>
      <c r="RKL2" s="27"/>
      <c r="RKM2" s="27"/>
      <c r="RKN2" s="27"/>
      <c r="RKO2" s="27"/>
      <c r="RKP2" s="27"/>
      <c r="RKQ2" s="27"/>
      <c r="RKR2" s="27"/>
      <c r="RKS2" s="27"/>
      <c r="RKT2" s="27"/>
      <c r="RKU2" s="27"/>
      <c r="RKV2" s="27"/>
      <c r="RKW2" s="27"/>
      <c r="RKX2" s="27"/>
      <c r="RKY2" s="27"/>
      <c r="RKZ2" s="27"/>
      <c r="RLA2" s="27"/>
      <c r="RLB2" s="27"/>
      <c r="RLC2" s="27"/>
      <c r="RLD2" s="27"/>
      <c r="RLE2" s="27"/>
      <c r="RLF2" s="27"/>
      <c r="RLG2" s="27"/>
      <c r="RLH2" s="27"/>
      <c r="RLI2" s="27"/>
      <c r="RLJ2" s="27"/>
      <c r="RLK2" s="27"/>
      <c r="RLL2" s="27"/>
      <c r="RLM2" s="27"/>
      <c r="RLN2" s="27"/>
      <c r="RLO2" s="27"/>
      <c r="RLP2" s="27"/>
      <c r="RLQ2" s="27"/>
      <c r="RLR2" s="27"/>
      <c r="RLS2" s="27"/>
      <c r="RLT2" s="27"/>
      <c r="RLU2" s="27"/>
      <c r="RLV2" s="27"/>
      <c r="RLW2" s="27"/>
      <c r="RLX2" s="27"/>
      <c r="RLY2" s="27"/>
      <c r="RLZ2" s="27"/>
      <c r="RMA2" s="27"/>
      <c r="RMB2" s="27"/>
      <c r="RMC2" s="27"/>
      <c r="RMD2" s="27"/>
      <c r="RME2" s="27"/>
      <c r="RMF2" s="27"/>
      <c r="RMG2" s="27"/>
      <c r="RMH2" s="27"/>
      <c r="RMI2" s="27"/>
      <c r="RMJ2" s="27"/>
      <c r="RMK2" s="27"/>
      <c r="RML2" s="27"/>
      <c r="RMM2" s="27"/>
      <c r="RMN2" s="27"/>
      <c r="RMO2" s="27"/>
      <c r="RMP2" s="27"/>
      <c r="RMQ2" s="27"/>
      <c r="RMR2" s="27"/>
      <c r="RMS2" s="27"/>
      <c r="RMT2" s="27"/>
      <c r="RMU2" s="27"/>
      <c r="RMV2" s="27"/>
      <c r="RMW2" s="27"/>
      <c r="RMX2" s="27"/>
      <c r="RMY2" s="27"/>
      <c r="RMZ2" s="27"/>
      <c r="RNA2" s="27"/>
      <c r="RNB2" s="27"/>
      <c r="RNC2" s="27"/>
      <c r="RND2" s="27"/>
      <c r="RNE2" s="27"/>
      <c r="RNF2" s="27"/>
      <c r="RNG2" s="27"/>
      <c r="RNH2" s="27"/>
      <c r="RNI2" s="27"/>
      <c r="RNJ2" s="27"/>
      <c r="RNK2" s="27"/>
      <c r="RNL2" s="27"/>
      <c r="RNM2" s="27"/>
      <c r="RNN2" s="27"/>
      <c r="RNO2" s="27"/>
      <c r="RNP2" s="27"/>
      <c r="RNQ2" s="27"/>
      <c r="RNR2" s="27"/>
      <c r="RNS2" s="27"/>
      <c r="RNT2" s="27"/>
      <c r="RNU2" s="27"/>
      <c r="RNV2" s="27"/>
      <c r="RNW2" s="27"/>
      <c r="RNX2" s="27"/>
      <c r="RNY2" s="27"/>
      <c r="RNZ2" s="27"/>
      <c r="ROA2" s="27"/>
      <c r="ROB2" s="27"/>
      <c r="ROC2" s="27"/>
      <c r="ROD2" s="27"/>
      <c r="ROE2" s="27"/>
      <c r="ROF2" s="27"/>
      <c r="ROG2" s="27"/>
      <c r="ROH2" s="27"/>
      <c r="ROI2" s="27"/>
      <c r="ROJ2" s="27"/>
      <c r="ROK2" s="27"/>
      <c r="ROL2" s="27"/>
      <c r="ROM2" s="27"/>
      <c r="RON2" s="27"/>
      <c r="ROO2" s="27"/>
      <c r="ROP2" s="27"/>
      <c r="ROQ2" s="27"/>
      <c r="ROR2" s="27"/>
      <c r="ROS2" s="27"/>
      <c r="ROT2" s="27"/>
      <c r="ROU2" s="27"/>
      <c r="ROV2" s="27"/>
      <c r="ROW2" s="27"/>
      <c r="ROX2" s="27"/>
      <c r="ROY2" s="27"/>
      <c r="ROZ2" s="27"/>
      <c r="RPA2" s="27"/>
      <c r="RPB2" s="27"/>
      <c r="RPC2" s="27"/>
      <c r="RPD2" s="27"/>
      <c r="RPE2" s="27"/>
      <c r="RPF2" s="27"/>
      <c r="RPG2" s="27"/>
      <c r="RPH2" s="27"/>
      <c r="RPI2" s="27"/>
      <c r="RPJ2" s="27"/>
      <c r="RPK2" s="27"/>
      <c r="RPL2" s="27"/>
      <c r="RPM2" s="27"/>
      <c r="RPN2" s="27"/>
      <c r="RPO2" s="27"/>
      <c r="RPP2" s="27"/>
      <c r="RPQ2" s="27"/>
      <c r="RPR2" s="27"/>
      <c r="RPS2" s="27"/>
      <c r="RPT2" s="27"/>
      <c r="RPU2" s="27"/>
      <c r="RPV2" s="27"/>
      <c r="RPW2" s="27"/>
      <c r="RPX2" s="27"/>
      <c r="RPY2" s="27"/>
      <c r="RPZ2" s="27"/>
      <c r="RQA2" s="27"/>
      <c r="RQB2" s="27"/>
      <c r="RQC2" s="27"/>
      <c r="RQD2" s="27"/>
      <c r="RQE2" s="27"/>
      <c r="RQF2" s="27"/>
      <c r="RQG2" s="27"/>
      <c r="RQH2" s="27"/>
      <c r="RQI2" s="27"/>
      <c r="RQJ2" s="27"/>
      <c r="RQK2" s="27"/>
      <c r="RQL2" s="27"/>
      <c r="RQM2" s="27"/>
      <c r="RQN2" s="27"/>
      <c r="RQO2" s="27"/>
      <c r="RQP2" s="27"/>
      <c r="RQQ2" s="27"/>
      <c r="RQR2" s="27"/>
      <c r="RQS2" s="27"/>
      <c r="RQT2" s="27"/>
      <c r="RQU2" s="27"/>
      <c r="RQV2" s="27"/>
      <c r="RQW2" s="27"/>
      <c r="RQX2" s="27"/>
      <c r="RQY2" s="27"/>
      <c r="RQZ2" s="27"/>
      <c r="RRA2" s="27"/>
      <c r="RRB2" s="27"/>
      <c r="RRC2" s="27"/>
      <c r="RRD2" s="27"/>
      <c r="RRE2" s="27"/>
      <c r="RRF2" s="27"/>
      <c r="RRG2" s="27"/>
      <c r="RRH2" s="27"/>
      <c r="RRI2" s="27"/>
      <c r="RRJ2" s="27"/>
      <c r="RRK2" s="27"/>
      <c r="RRL2" s="27"/>
      <c r="RRM2" s="27"/>
      <c r="RRN2" s="27"/>
      <c r="RRO2" s="27"/>
      <c r="RRP2" s="27"/>
      <c r="RRQ2" s="27"/>
      <c r="RRR2" s="27"/>
      <c r="RRS2" s="27"/>
      <c r="RRT2" s="27"/>
      <c r="RRU2" s="27"/>
      <c r="RRV2" s="27"/>
      <c r="RRW2" s="27"/>
      <c r="RRX2" s="27"/>
      <c r="RRY2" s="27"/>
      <c r="RRZ2" s="27"/>
      <c r="RSA2" s="27"/>
      <c r="RSB2" s="27"/>
      <c r="RSC2" s="27"/>
      <c r="RSD2" s="27"/>
      <c r="RSE2" s="27"/>
      <c r="RSF2" s="27"/>
      <c r="RSG2" s="27"/>
      <c r="RSH2" s="27"/>
      <c r="RSI2" s="27"/>
      <c r="RSJ2" s="27"/>
      <c r="RSK2" s="27"/>
      <c r="RSL2" s="27"/>
      <c r="RSM2" s="27"/>
      <c r="RSN2" s="27"/>
      <c r="RSO2" s="27"/>
      <c r="RSP2" s="27"/>
      <c r="RSQ2" s="27"/>
      <c r="RSR2" s="27"/>
      <c r="RSS2" s="27"/>
      <c r="RST2" s="27"/>
      <c r="RSU2" s="27"/>
      <c r="RSV2" s="27"/>
      <c r="RSW2" s="27"/>
      <c r="RSX2" s="27"/>
      <c r="RSY2" s="27"/>
      <c r="RSZ2" s="27"/>
      <c r="RTA2" s="27"/>
      <c r="RTB2" s="27"/>
      <c r="RTC2" s="27"/>
      <c r="RTD2" s="27"/>
      <c r="RTE2" s="27"/>
      <c r="RTF2" s="27"/>
      <c r="RTG2" s="27"/>
      <c r="RTH2" s="27"/>
      <c r="RTI2" s="27"/>
      <c r="RTJ2" s="27"/>
      <c r="RTK2" s="27"/>
      <c r="RTL2" s="27"/>
      <c r="RTM2" s="27"/>
      <c r="RTN2" s="27"/>
      <c r="RTO2" s="27"/>
      <c r="RTP2" s="27"/>
      <c r="RTQ2" s="27"/>
      <c r="RTR2" s="27"/>
      <c r="RTS2" s="27"/>
      <c r="RTT2" s="27"/>
      <c r="RTU2" s="27"/>
      <c r="RTV2" s="27"/>
      <c r="RTW2" s="27"/>
      <c r="RTX2" s="27"/>
      <c r="RTY2" s="27"/>
      <c r="RTZ2" s="27"/>
      <c r="RUA2" s="27"/>
      <c r="RUB2" s="27"/>
      <c r="RUC2" s="27"/>
      <c r="RUD2" s="27"/>
      <c r="RUE2" s="27"/>
      <c r="RUF2" s="27"/>
      <c r="RUG2" s="27"/>
      <c r="RUH2" s="27"/>
      <c r="RUI2" s="27"/>
      <c r="RUJ2" s="27"/>
      <c r="RUK2" s="27"/>
      <c r="RUL2" s="27"/>
      <c r="RUM2" s="27"/>
      <c r="RUN2" s="27"/>
      <c r="RUO2" s="27"/>
      <c r="RUP2" s="27"/>
      <c r="RUQ2" s="27"/>
      <c r="RUR2" s="27"/>
      <c r="RUS2" s="27"/>
      <c r="RUT2" s="27"/>
      <c r="RUU2" s="27"/>
      <c r="RUV2" s="27"/>
      <c r="RUW2" s="27"/>
      <c r="RUX2" s="27"/>
      <c r="RUY2" s="27"/>
      <c r="RUZ2" s="27"/>
      <c r="RVA2" s="27"/>
      <c r="RVB2" s="27"/>
      <c r="RVC2" s="27"/>
      <c r="RVD2" s="27"/>
      <c r="RVE2" s="27"/>
      <c r="RVF2" s="27"/>
      <c r="RVG2" s="27"/>
      <c r="RVH2" s="27"/>
      <c r="RVI2" s="27"/>
      <c r="RVJ2" s="27"/>
      <c r="RVK2" s="27"/>
      <c r="RVL2" s="27"/>
      <c r="RVM2" s="27"/>
      <c r="RVN2" s="27"/>
      <c r="RVO2" s="27"/>
      <c r="RVP2" s="27"/>
      <c r="RVQ2" s="27"/>
      <c r="RVR2" s="27"/>
      <c r="RVS2" s="27"/>
      <c r="RVT2" s="27"/>
      <c r="RVU2" s="27"/>
      <c r="RVV2" s="27"/>
      <c r="RVW2" s="27"/>
      <c r="RVX2" s="27"/>
      <c r="RVY2" s="27"/>
      <c r="RVZ2" s="27"/>
      <c r="RWA2" s="27"/>
      <c r="RWB2" s="27"/>
      <c r="RWC2" s="27"/>
      <c r="RWD2" s="27"/>
      <c r="RWE2" s="27"/>
      <c r="RWF2" s="27"/>
      <c r="RWG2" s="27"/>
      <c r="RWH2" s="27"/>
      <c r="RWI2" s="27"/>
      <c r="RWJ2" s="27"/>
      <c r="RWK2" s="27"/>
      <c r="RWL2" s="27"/>
      <c r="RWM2" s="27"/>
      <c r="RWN2" s="27"/>
      <c r="RWO2" s="27"/>
      <c r="RWP2" s="27"/>
      <c r="RWQ2" s="27"/>
      <c r="RWR2" s="27"/>
      <c r="RWS2" s="27"/>
      <c r="RWT2" s="27"/>
      <c r="RWU2" s="27"/>
      <c r="RWV2" s="27"/>
      <c r="RWW2" s="27"/>
      <c r="RWX2" s="27"/>
      <c r="RWY2" s="27"/>
      <c r="RWZ2" s="27"/>
      <c r="RXA2" s="27"/>
      <c r="RXB2" s="27"/>
      <c r="RXC2" s="27"/>
      <c r="RXD2" s="27"/>
      <c r="RXE2" s="27"/>
      <c r="RXF2" s="27"/>
      <c r="RXG2" s="27"/>
      <c r="RXH2" s="27"/>
      <c r="RXI2" s="27"/>
      <c r="RXJ2" s="27"/>
      <c r="RXK2" s="27"/>
      <c r="RXL2" s="27"/>
      <c r="RXM2" s="27"/>
      <c r="RXN2" s="27"/>
      <c r="RXO2" s="27"/>
      <c r="RXP2" s="27"/>
      <c r="RXQ2" s="27"/>
      <c r="RXR2" s="27"/>
      <c r="RXS2" s="27"/>
      <c r="RXT2" s="27"/>
      <c r="RXU2" s="27"/>
      <c r="RXV2" s="27"/>
      <c r="RXW2" s="27"/>
      <c r="RXX2" s="27"/>
      <c r="RXY2" s="27"/>
      <c r="RXZ2" s="27"/>
      <c r="RYA2" s="27"/>
      <c r="RYB2" s="27"/>
      <c r="RYC2" s="27"/>
      <c r="RYD2" s="27"/>
      <c r="RYE2" s="27"/>
      <c r="RYF2" s="27"/>
      <c r="RYG2" s="27"/>
      <c r="RYH2" s="27"/>
      <c r="RYI2" s="27"/>
      <c r="RYJ2" s="27"/>
      <c r="RYK2" s="27"/>
      <c r="RYL2" s="27"/>
      <c r="RYM2" s="27"/>
      <c r="RYN2" s="27"/>
      <c r="RYO2" s="27"/>
      <c r="RYP2" s="27"/>
      <c r="RYQ2" s="27"/>
      <c r="RYR2" s="27"/>
      <c r="RYS2" s="27"/>
      <c r="RYT2" s="27"/>
      <c r="RYU2" s="27"/>
      <c r="RYV2" s="27"/>
      <c r="RYW2" s="27"/>
      <c r="RYX2" s="27"/>
      <c r="RYY2" s="27"/>
      <c r="RYZ2" s="27"/>
      <c r="RZA2" s="27"/>
      <c r="RZB2" s="27"/>
      <c r="RZC2" s="27"/>
      <c r="RZD2" s="27"/>
      <c r="RZE2" s="27"/>
      <c r="RZF2" s="27"/>
      <c r="RZG2" s="27"/>
      <c r="RZH2" s="27"/>
      <c r="RZI2" s="27"/>
      <c r="RZJ2" s="27"/>
      <c r="RZK2" s="27"/>
      <c r="RZL2" s="27"/>
      <c r="RZM2" s="27"/>
      <c r="RZN2" s="27"/>
      <c r="RZO2" s="27"/>
      <c r="RZP2" s="27"/>
      <c r="RZQ2" s="27"/>
      <c r="RZR2" s="27"/>
      <c r="RZS2" s="27"/>
      <c r="RZT2" s="27"/>
      <c r="RZU2" s="27"/>
      <c r="RZV2" s="27"/>
      <c r="RZW2" s="27"/>
      <c r="RZX2" s="27"/>
      <c r="RZY2" s="27"/>
      <c r="RZZ2" s="27"/>
      <c r="SAA2" s="27"/>
      <c r="SAB2" s="27"/>
      <c r="SAC2" s="27"/>
      <c r="SAD2" s="27"/>
      <c r="SAE2" s="27"/>
      <c r="SAF2" s="27"/>
      <c r="SAG2" s="27"/>
      <c r="SAH2" s="27"/>
      <c r="SAI2" s="27"/>
      <c r="SAJ2" s="27"/>
      <c r="SAK2" s="27"/>
      <c r="SAL2" s="27"/>
      <c r="SAM2" s="27"/>
      <c r="SAN2" s="27"/>
      <c r="SAO2" s="27"/>
      <c r="SAP2" s="27"/>
      <c r="SAQ2" s="27"/>
      <c r="SAR2" s="27"/>
      <c r="SAS2" s="27"/>
      <c r="SAT2" s="27"/>
      <c r="SAU2" s="27"/>
      <c r="SAV2" s="27"/>
      <c r="SAW2" s="27"/>
      <c r="SAX2" s="27"/>
      <c r="SAY2" s="27"/>
      <c r="SAZ2" s="27"/>
      <c r="SBA2" s="27"/>
      <c r="SBB2" s="27"/>
      <c r="SBC2" s="27"/>
      <c r="SBD2" s="27"/>
      <c r="SBE2" s="27"/>
      <c r="SBF2" s="27"/>
      <c r="SBG2" s="27"/>
      <c r="SBH2" s="27"/>
      <c r="SBI2" s="27"/>
      <c r="SBJ2" s="27"/>
      <c r="SBK2" s="27"/>
      <c r="SBL2" s="27"/>
      <c r="SBM2" s="27"/>
      <c r="SBN2" s="27"/>
      <c r="SBO2" s="27"/>
      <c r="SBP2" s="27"/>
      <c r="SBQ2" s="27"/>
      <c r="SBR2" s="27"/>
      <c r="SBS2" s="27"/>
      <c r="SBT2" s="27"/>
      <c r="SBU2" s="27"/>
      <c r="SBV2" s="27"/>
      <c r="SBW2" s="27"/>
      <c r="SBX2" s="27"/>
      <c r="SBY2" s="27"/>
      <c r="SBZ2" s="27"/>
      <c r="SCA2" s="27"/>
      <c r="SCB2" s="27"/>
      <c r="SCC2" s="27"/>
      <c r="SCD2" s="27"/>
      <c r="SCE2" s="27"/>
      <c r="SCF2" s="27"/>
      <c r="SCG2" s="27"/>
      <c r="SCH2" s="27"/>
      <c r="SCI2" s="27"/>
      <c r="SCJ2" s="27"/>
      <c r="SCK2" s="27"/>
      <c r="SCL2" s="27"/>
      <c r="SCM2" s="27"/>
      <c r="SCN2" s="27"/>
      <c r="SCO2" s="27"/>
      <c r="SCP2" s="27"/>
      <c r="SCQ2" s="27"/>
      <c r="SCR2" s="27"/>
      <c r="SCS2" s="27"/>
      <c r="SCT2" s="27"/>
      <c r="SCU2" s="27"/>
      <c r="SCV2" s="27"/>
      <c r="SCW2" s="27"/>
      <c r="SCX2" s="27"/>
      <c r="SCY2" s="27"/>
      <c r="SCZ2" s="27"/>
      <c r="SDA2" s="27"/>
      <c r="SDB2" s="27"/>
      <c r="SDC2" s="27"/>
      <c r="SDD2" s="27"/>
      <c r="SDE2" s="27"/>
      <c r="SDF2" s="27"/>
      <c r="SDG2" s="27"/>
      <c r="SDH2" s="27"/>
      <c r="SDI2" s="27"/>
      <c r="SDJ2" s="27"/>
      <c r="SDK2" s="27"/>
      <c r="SDL2" s="27"/>
      <c r="SDM2" s="27"/>
      <c r="SDN2" s="27"/>
      <c r="SDO2" s="27"/>
      <c r="SDP2" s="27"/>
      <c r="SDQ2" s="27"/>
      <c r="SDR2" s="27"/>
      <c r="SDS2" s="27"/>
      <c r="SDT2" s="27"/>
      <c r="SDU2" s="27"/>
      <c r="SDV2" s="27"/>
      <c r="SDW2" s="27"/>
      <c r="SDX2" s="27"/>
      <c r="SDY2" s="27"/>
      <c r="SDZ2" s="27"/>
      <c r="SEA2" s="27"/>
      <c r="SEB2" s="27"/>
      <c r="SEC2" s="27"/>
      <c r="SED2" s="27"/>
      <c r="SEE2" s="27"/>
      <c r="SEF2" s="27"/>
      <c r="SEG2" s="27"/>
      <c r="SEH2" s="27"/>
      <c r="SEI2" s="27"/>
      <c r="SEJ2" s="27"/>
      <c r="SEK2" s="27"/>
      <c r="SEL2" s="27"/>
      <c r="SEM2" s="27"/>
      <c r="SEN2" s="27"/>
      <c r="SEO2" s="27"/>
      <c r="SEP2" s="27"/>
      <c r="SEQ2" s="27"/>
      <c r="SER2" s="27"/>
      <c r="SES2" s="27"/>
      <c r="SET2" s="27"/>
      <c r="SEU2" s="27"/>
      <c r="SEV2" s="27"/>
      <c r="SEW2" s="27"/>
      <c r="SEX2" s="27"/>
      <c r="SEY2" s="27"/>
      <c r="SEZ2" s="27"/>
      <c r="SFA2" s="27"/>
      <c r="SFB2" s="27"/>
      <c r="SFC2" s="27"/>
      <c r="SFD2" s="27"/>
      <c r="SFE2" s="27"/>
      <c r="SFF2" s="27"/>
      <c r="SFG2" s="27"/>
      <c r="SFH2" s="27"/>
      <c r="SFI2" s="27"/>
      <c r="SFJ2" s="27"/>
      <c r="SFK2" s="27"/>
      <c r="SFL2" s="27"/>
      <c r="SFM2" s="27"/>
      <c r="SFN2" s="27"/>
      <c r="SFO2" s="27"/>
      <c r="SFP2" s="27"/>
      <c r="SFQ2" s="27"/>
      <c r="SFR2" s="27"/>
      <c r="SFS2" s="27"/>
      <c r="SFT2" s="27"/>
      <c r="SFU2" s="27"/>
      <c r="SFV2" s="27"/>
      <c r="SFW2" s="27"/>
      <c r="SFX2" s="27"/>
      <c r="SFY2" s="27"/>
      <c r="SFZ2" s="27"/>
      <c r="SGA2" s="27"/>
      <c r="SGB2" s="27"/>
      <c r="SGC2" s="27"/>
      <c r="SGD2" s="27"/>
      <c r="SGE2" s="27"/>
      <c r="SGF2" s="27"/>
      <c r="SGG2" s="27"/>
      <c r="SGH2" s="27"/>
      <c r="SGI2" s="27"/>
      <c r="SGJ2" s="27"/>
      <c r="SGK2" s="27"/>
      <c r="SGL2" s="27"/>
      <c r="SGM2" s="27"/>
      <c r="SGN2" s="27"/>
      <c r="SGO2" s="27"/>
      <c r="SGP2" s="27"/>
      <c r="SGQ2" s="27"/>
      <c r="SGR2" s="27"/>
      <c r="SGS2" s="27"/>
      <c r="SGT2" s="27"/>
      <c r="SGU2" s="27"/>
      <c r="SGV2" s="27"/>
      <c r="SGW2" s="27"/>
      <c r="SGX2" s="27"/>
      <c r="SGY2" s="27"/>
      <c r="SGZ2" s="27"/>
      <c r="SHA2" s="27"/>
      <c r="SHB2" s="27"/>
      <c r="SHC2" s="27"/>
      <c r="SHD2" s="27"/>
      <c r="SHE2" s="27"/>
      <c r="SHF2" s="27"/>
      <c r="SHG2" s="27"/>
      <c r="SHH2" s="27"/>
      <c r="SHI2" s="27"/>
      <c r="SHJ2" s="27"/>
      <c r="SHK2" s="27"/>
      <c r="SHL2" s="27"/>
      <c r="SHM2" s="27"/>
      <c r="SHN2" s="27"/>
      <c r="SHO2" s="27"/>
      <c r="SHP2" s="27"/>
      <c r="SHQ2" s="27"/>
      <c r="SHR2" s="27"/>
      <c r="SHS2" s="27"/>
      <c r="SHT2" s="27"/>
      <c r="SHU2" s="27"/>
      <c r="SHV2" s="27"/>
      <c r="SHW2" s="27"/>
      <c r="SHX2" s="27"/>
      <c r="SHY2" s="27"/>
      <c r="SHZ2" s="27"/>
      <c r="SIA2" s="27"/>
      <c r="SIB2" s="27"/>
      <c r="SIC2" s="27"/>
      <c r="SID2" s="27"/>
      <c r="SIE2" s="27"/>
      <c r="SIF2" s="27"/>
      <c r="SIG2" s="27"/>
      <c r="SIH2" s="27"/>
      <c r="SII2" s="27"/>
      <c r="SIJ2" s="27"/>
      <c r="SIK2" s="27"/>
      <c r="SIL2" s="27"/>
      <c r="SIM2" s="27"/>
      <c r="SIN2" s="27"/>
      <c r="SIO2" s="27"/>
      <c r="SIP2" s="27"/>
      <c r="SIQ2" s="27"/>
      <c r="SIR2" s="27"/>
      <c r="SIS2" s="27"/>
      <c r="SIT2" s="27"/>
      <c r="SIU2" s="27"/>
      <c r="SIV2" s="27"/>
      <c r="SIW2" s="27"/>
      <c r="SIX2" s="27"/>
      <c r="SIY2" s="27"/>
      <c r="SIZ2" s="27"/>
      <c r="SJA2" s="27"/>
      <c r="SJB2" s="27"/>
      <c r="SJC2" s="27"/>
      <c r="SJD2" s="27"/>
      <c r="SJE2" s="27"/>
      <c r="SJF2" s="27"/>
      <c r="SJG2" s="27"/>
      <c r="SJH2" s="27"/>
      <c r="SJI2" s="27"/>
      <c r="SJJ2" s="27"/>
      <c r="SJK2" s="27"/>
      <c r="SJL2" s="27"/>
      <c r="SJM2" s="27"/>
      <c r="SJN2" s="27"/>
      <c r="SJO2" s="27"/>
      <c r="SJP2" s="27"/>
      <c r="SJQ2" s="27"/>
      <c r="SJR2" s="27"/>
      <c r="SJS2" s="27"/>
      <c r="SJT2" s="27"/>
      <c r="SJU2" s="27"/>
      <c r="SJV2" s="27"/>
      <c r="SJW2" s="27"/>
      <c r="SJX2" s="27"/>
      <c r="SJY2" s="27"/>
      <c r="SJZ2" s="27"/>
      <c r="SKA2" s="27"/>
      <c r="SKB2" s="27"/>
      <c r="SKC2" s="27"/>
      <c r="SKD2" s="27"/>
      <c r="SKE2" s="27"/>
      <c r="SKF2" s="27"/>
      <c r="SKG2" s="27"/>
      <c r="SKH2" s="27"/>
      <c r="SKI2" s="27"/>
      <c r="SKJ2" s="27"/>
      <c r="SKK2" s="27"/>
      <c r="SKL2" s="27"/>
      <c r="SKM2" s="27"/>
      <c r="SKN2" s="27"/>
      <c r="SKO2" s="27"/>
      <c r="SKP2" s="27"/>
      <c r="SKQ2" s="27"/>
      <c r="SKR2" s="27"/>
      <c r="SKS2" s="27"/>
      <c r="SKT2" s="27"/>
      <c r="SKU2" s="27"/>
      <c r="SKV2" s="27"/>
      <c r="SKW2" s="27"/>
      <c r="SKX2" s="27"/>
      <c r="SKY2" s="27"/>
      <c r="SKZ2" s="27"/>
      <c r="SLA2" s="27"/>
      <c r="SLB2" s="27"/>
      <c r="SLC2" s="27"/>
      <c r="SLD2" s="27"/>
      <c r="SLE2" s="27"/>
      <c r="SLF2" s="27"/>
      <c r="SLG2" s="27"/>
      <c r="SLH2" s="27"/>
      <c r="SLI2" s="27"/>
      <c r="SLJ2" s="27"/>
      <c r="SLK2" s="27"/>
      <c r="SLL2" s="27"/>
      <c r="SLM2" s="27"/>
      <c r="SLN2" s="27"/>
      <c r="SLO2" s="27"/>
      <c r="SLP2" s="27"/>
      <c r="SLQ2" s="27"/>
      <c r="SLR2" s="27"/>
      <c r="SLS2" s="27"/>
      <c r="SLT2" s="27"/>
      <c r="SLU2" s="27"/>
      <c r="SLV2" s="27"/>
      <c r="SLW2" s="27"/>
      <c r="SLX2" s="27"/>
      <c r="SLY2" s="27"/>
      <c r="SLZ2" s="27"/>
      <c r="SMA2" s="27"/>
      <c r="SMB2" s="27"/>
      <c r="SMC2" s="27"/>
      <c r="SMD2" s="27"/>
      <c r="SME2" s="27"/>
      <c r="SMF2" s="27"/>
      <c r="SMG2" s="27"/>
      <c r="SMH2" s="27"/>
      <c r="SMI2" s="27"/>
      <c r="SMJ2" s="27"/>
      <c r="SMK2" s="27"/>
      <c r="SML2" s="27"/>
      <c r="SMM2" s="27"/>
      <c r="SMN2" s="27"/>
      <c r="SMO2" s="27"/>
      <c r="SMP2" s="27"/>
      <c r="SMQ2" s="27"/>
      <c r="SMR2" s="27"/>
      <c r="SMS2" s="27"/>
      <c r="SMT2" s="27"/>
      <c r="SMU2" s="27"/>
      <c r="SMV2" s="27"/>
      <c r="SMW2" s="27"/>
      <c r="SMX2" s="27"/>
      <c r="SMY2" s="27"/>
      <c r="SMZ2" s="27"/>
      <c r="SNA2" s="27"/>
      <c r="SNB2" s="27"/>
      <c r="SNC2" s="27"/>
      <c r="SND2" s="27"/>
      <c r="SNE2" s="27"/>
      <c r="SNF2" s="27"/>
      <c r="SNG2" s="27"/>
      <c r="SNH2" s="27"/>
      <c r="SNI2" s="27"/>
      <c r="SNJ2" s="27"/>
      <c r="SNK2" s="27"/>
      <c r="SNL2" s="27"/>
      <c r="SNM2" s="27"/>
      <c r="SNN2" s="27"/>
      <c r="SNO2" s="27"/>
      <c r="SNP2" s="27"/>
      <c r="SNQ2" s="27"/>
      <c r="SNR2" s="27"/>
      <c r="SNS2" s="27"/>
      <c r="SNT2" s="27"/>
      <c r="SNU2" s="27"/>
      <c r="SNV2" s="27"/>
      <c r="SNW2" s="27"/>
      <c r="SNX2" s="27"/>
      <c r="SNY2" s="27"/>
      <c r="SNZ2" s="27"/>
      <c r="SOA2" s="27"/>
      <c r="SOB2" s="27"/>
      <c r="SOC2" s="27"/>
      <c r="SOD2" s="27"/>
      <c r="SOE2" s="27"/>
      <c r="SOF2" s="27"/>
      <c r="SOG2" s="27"/>
      <c r="SOH2" s="27"/>
      <c r="SOI2" s="27"/>
      <c r="SOJ2" s="27"/>
      <c r="SOK2" s="27"/>
      <c r="SOL2" s="27"/>
      <c r="SOM2" s="27"/>
      <c r="SON2" s="27"/>
      <c r="SOO2" s="27"/>
      <c r="SOP2" s="27"/>
      <c r="SOQ2" s="27"/>
      <c r="SOR2" s="27"/>
      <c r="SOS2" s="27"/>
      <c r="SOT2" s="27"/>
      <c r="SOU2" s="27"/>
      <c r="SOV2" s="27"/>
      <c r="SOW2" s="27"/>
      <c r="SOX2" s="27"/>
      <c r="SOY2" s="27"/>
      <c r="SOZ2" s="27"/>
      <c r="SPA2" s="27"/>
      <c r="SPB2" s="27"/>
      <c r="SPC2" s="27"/>
      <c r="SPD2" s="27"/>
      <c r="SPE2" s="27"/>
      <c r="SPF2" s="27"/>
      <c r="SPG2" s="27"/>
      <c r="SPH2" s="27"/>
      <c r="SPI2" s="27"/>
      <c r="SPJ2" s="27"/>
      <c r="SPK2" s="27"/>
      <c r="SPL2" s="27"/>
      <c r="SPM2" s="27"/>
      <c r="SPN2" s="27"/>
      <c r="SPO2" s="27"/>
      <c r="SPP2" s="27"/>
      <c r="SPQ2" s="27"/>
      <c r="SPR2" s="27"/>
      <c r="SPS2" s="27"/>
      <c r="SPT2" s="27"/>
      <c r="SPU2" s="27"/>
      <c r="SPV2" s="27"/>
      <c r="SPW2" s="27"/>
      <c r="SPX2" s="27"/>
      <c r="SPY2" s="27"/>
      <c r="SPZ2" s="27"/>
      <c r="SQA2" s="27"/>
      <c r="SQB2" s="27"/>
      <c r="SQC2" s="27"/>
      <c r="SQD2" s="27"/>
      <c r="SQE2" s="27"/>
      <c r="SQF2" s="27"/>
      <c r="SQG2" s="27"/>
      <c r="SQH2" s="27"/>
      <c r="SQI2" s="27"/>
      <c r="SQJ2" s="27"/>
      <c r="SQK2" s="27"/>
      <c r="SQL2" s="27"/>
      <c r="SQM2" s="27"/>
      <c r="SQN2" s="27"/>
      <c r="SQO2" s="27"/>
      <c r="SQP2" s="27"/>
      <c r="SQQ2" s="27"/>
      <c r="SQR2" s="27"/>
      <c r="SQS2" s="27"/>
      <c r="SQT2" s="27"/>
      <c r="SQU2" s="27"/>
      <c r="SQV2" s="27"/>
      <c r="SQW2" s="27"/>
      <c r="SQX2" s="27"/>
      <c r="SQY2" s="27"/>
      <c r="SQZ2" s="27"/>
      <c r="SRA2" s="27"/>
      <c r="SRB2" s="27"/>
      <c r="SRC2" s="27"/>
      <c r="SRD2" s="27"/>
      <c r="SRE2" s="27"/>
      <c r="SRF2" s="27"/>
      <c r="SRG2" s="27"/>
      <c r="SRH2" s="27"/>
      <c r="SRI2" s="27"/>
      <c r="SRJ2" s="27"/>
      <c r="SRK2" s="27"/>
      <c r="SRL2" s="27"/>
      <c r="SRM2" s="27"/>
      <c r="SRN2" s="27"/>
      <c r="SRO2" s="27"/>
      <c r="SRP2" s="27"/>
      <c r="SRQ2" s="27"/>
      <c r="SRR2" s="27"/>
      <c r="SRS2" s="27"/>
      <c r="SRT2" s="27"/>
      <c r="SRU2" s="27"/>
      <c r="SRV2" s="27"/>
      <c r="SRW2" s="27"/>
      <c r="SRX2" s="27"/>
      <c r="SRY2" s="27"/>
      <c r="SRZ2" s="27"/>
      <c r="SSA2" s="27"/>
      <c r="SSB2" s="27"/>
      <c r="SSC2" s="27"/>
      <c r="SSD2" s="27"/>
      <c r="SSE2" s="27"/>
      <c r="SSF2" s="27"/>
      <c r="SSG2" s="27"/>
      <c r="SSH2" s="27"/>
      <c r="SSI2" s="27"/>
      <c r="SSJ2" s="27"/>
      <c r="SSK2" s="27"/>
      <c r="SSL2" s="27"/>
      <c r="SSM2" s="27"/>
      <c r="SSN2" s="27"/>
      <c r="SSO2" s="27"/>
      <c r="SSP2" s="27"/>
      <c r="SSQ2" s="27"/>
      <c r="SSR2" s="27"/>
      <c r="SSS2" s="27"/>
      <c r="SST2" s="27"/>
      <c r="SSU2" s="27"/>
      <c r="SSV2" s="27"/>
      <c r="SSW2" s="27"/>
      <c r="SSX2" s="27"/>
      <c r="SSY2" s="27"/>
      <c r="SSZ2" s="27"/>
      <c r="STA2" s="27"/>
      <c r="STB2" s="27"/>
      <c r="STC2" s="27"/>
      <c r="STD2" s="27"/>
      <c r="STE2" s="27"/>
      <c r="STF2" s="27"/>
      <c r="STG2" s="27"/>
      <c r="STH2" s="27"/>
      <c r="STI2" s="27"/>
      <c r="STJ2" s="27"/>
      <c r="STK2" s="27"/>
      <c r="STL2" s="27"/>
      <c r="STM2" s="27"/>
      <c r="STN2" s="27"/>
      <c r="STO2" s="27"/>
      <c r="STP2" s="27"/>
      <c r="STQ2" s="27"/>
      <c r="STR2" s="27"/>
      <c r="STS2" s="27"/>
      <c r="STT2" s="27"/>
      <c r="STU2" s="27"/>
      <c r="STV2" s="27"/>
      <c r="STW2" s="27"/>
      <c r="STX2" s="27"/>
      <c r="STY2" s="27"/>
      <c r="STZ2" s="27"/>
      <c r="SUA2" s="27"/>
      <c r="SUB2" s="27"/>
      <c r="SUC2" s="27"/>
      <c r="SUD2" s="27"/>
      <c r="SUE2" s="27"/>
      <c r="SUF2" s="27"/>
      <c r="SUG2" s="27"/>
      <c r="SUH2" s="27"/>
      <c r="SUI2" s="27"/>
      <c r="SUJ2" s="27"/>
      <c r="SUK2" s="27"/>
      <c r="SUL2" s="27"/>
      <c r="SUM2" s="27"/>
      <c r="SUN2" s="27"/>
      <c r="SUO2" s="27"/>
      <c r="SUP2" s="27"/>
      <c r="SUQ2" s="27"/>
      <c r="SUR2" s="27"/>
      <c r="SUS2" s="27"/>
      <c r="SUT2" s="27"/>
      <c r="SUU2" s="27"/>
      <c r="SUV2" s="27"/>
      <c r="SUW2" s="27"/>
      <c r="SUX2" s="27"/>
      <c r="SUY2" s="27"/>
      <c r="SUZ2" s="27"/>
      <c r="SVA2" s="27"/>
      <c r="SVB2" s="27"/>
      <c r="SVC2" s="27"/>
      <c r="SVD2" s="27"/>
      <c r="SVE2" s="27"/>
      <c r="SVF2" s="27"/>
      <c r="SVG2" s="27"/>
      <c r="SVH2" s="27"/>
      <c r="SVI2" s="27"/>
      <c r="SVJ2" s="27"/>
      <c r="SVK2" s="27"/>
      <c r="SVL2" s="27"/>
      <c r="SVM2" s="27"/>
      <c r="SVN2" s="27"/>
      <c r="SVO2" s="27"/>
      <c r="SVP2" s="27"/>
      <c r="SVQ2" s="27"/>
      <c r="SVR2" s="27"/>
      <c r="SVS2" s="27"/>
      <c r="SVT2" s="27"/>
      <c r="SVU2" s="27"/>
      <c r="SVV2" s="27"/>
      <c r="SVW2" s="27"/>
      <c r="SVX2" s="27"/>
      <c r="SVY2" s="27"/>
      <c r="SVZ2" s="27"/>
      <c r="SWA2" s="27"/>
      <c r="SWB2" s="27"/>
      <c r="SWC2" s="27"/>
      <c r="SWD2" s="27"/>
      <c r="SWE2" s="27"/>
      <c r="SWF2" s="27"/>
      <c r="SWG2" s="27"/>
      <c r="SWH2" s="27"/>
      <c r="SWI2" s="27"/>
      <c r="SWJ2" s="27"/>
      <c r="SWK2" s="27"/>
      <c r="SWL2" s="27"/>
      <c r="SWM2" s="27"/>
      <c r="SWN2" s="27"/>
      <c r="SWO2" s="27"/>
      <c r="SWP2" s="27"/>
      <c r="SWQ2" s="27"/>
      <c r="SWR2" s="27"/>
      <c r="SWS2" s="27"/>
      <c r="SWT2" s="27"/>
      <c r="SWU2" s="27"/>
      <c r="SWV2" s="27"/>
      <c r="SWW2" s="27"/>
      <c r="SWX2" s="27"/>
      <c r="SWY2" s="27"/>
      <c r="SWZ2" s="27"/>
      <c r="SXA2" s="27"/>
      <c r="SXB2" s="27"/>
      <c r="SXC2" s="27"/>
      <c r="SXD2" s="27"/>
      <c r="SXE2" s="27"/>
      <c r="SXF2" s="27"/>
      <c r="SXG2" s="27"/>
      <c r="SXH2" s="27"/>
      <c r="SXI2" s="27"/>
      <c r="SXJ2" s="27"/>
      <c r="SXK2" s="27"/>
      <c r="SXL2" s="27"/>
      <c r="SXM2" s="27"/>
      <c r="SXN2" s="27"/>
      <c r="SXO2" s="27"/>
      <c r="SXP2" s="27"/>
      <c r="SXQ2" s="27"/>
      <c r="SXR2" s="27"/>
      <c r="SXS2" s="27"/>
      <c r="SXT2" s="27"/>
      <c r="SXU2" s="27"/>
      <c r="SXV2" s="27"/>
      <c r="SXW2" s="27"/>
      <c r="SXX2" s="27"/>
      <c r="SXY2" s="27"/>
      <c r="SXZ2" s="27"/>
      <c r="SYA2" s="27"/>
      <c r="SYB2" s="27"/>
      <c r="SYC2" s="27"/>
      <c r="SYD2" s="27"/>
      <c r="SYE2" s="27"/>
      <c r="SYF2" s="27"/>
      <c r="SYG2" s="27"/>
      <c r="SYH2" s="27"/>
      <c r="SYI2" s="27"/>
      <c r="SYJ2" s="27"/>
      <c r="SYK2" s="27"/>
      <c r="SYL2" s="27"/>
      <c r="SYM2" s="27"/>
      <c r="SYN2" s="27"/>
      <c r="SYO2" s="27"/>
      <c r="SYP2" s="27"/>
      <c r="SYQ2" s="27"/>
      <c r="SYR2" s="27"/>
      <c r="SYS2" s="27"/>
      <c r="SYT2" s="27"/>
      <c r="SYU2" s="27"/>
      <c r="SYV2" s="27"/>
      <c r="SYW2" s="27"/>
      <c r="SYX2" s="27"/>
      <c r="SYY2" s="27"/>
      <c r="SYZ2" s="27"/>
      <c r="SZA2" s="27"/>
      <c r="SZB2" s="27"/>
      <c r="SZC2" s="27"/>
      <c r="SZD2" s="27"/>
      <c r="SZE2" s="27"/>
      <c r="SZF2" s="27"/>
      <c r="SZG2" s="27"/>
      <c r="SZH2" s="27"/>
      <c r="SZI2" s="27"/>
      <c r="SZJ2" s="27"/>
      <c r="SZK2" s="27"/>
      <c r="SZL2" s="27"/>
      <c r="SZM2" s="27"/>
      <c r="SZN2" s="27"/>
      <c r="SZO2" s="27"/>
      <c r="SZP2" s="27"/>
      <c r="SZQ2" s="27"/>
      <c r="SZR2" s="27"/>
      <c r="SZS2" s="27"/>
      <c r="SZT2" s="27"/>
      <c r="SZU2" s="27"/>
      <c r="SZV2" s="27"/>
      <c r="SZW2" s="27"/>
      <c r="SZX2" s="27"/>
      <c r="SZY2" s="27"/>
      <c r="SZZ2" s="27"/>
      <c r="TAA2" s="27"/>
      <c r="TAB2" s="27"/>
      <c r="TAC2" s="27"/>
      <c r="TAD2" s="27"/>
      <c r="TAE2" s="27"/>
      <c r="TAF2" s="27"/>
      <c r="TAG2" s="27"/>
      <c r="TAH2" s="27"/>
      <c r="TAI2" s="27"/>
      <c r="TAJ2" s="27"/>
      <c r="TAK2" s="27"/>
      <c r="TAL2" s="27"/>
      <c r="TAM2" s="27"/>
      <c r="TAN2" s="27"/>
      <c r="TAO2" s="27"/>
      <c r="TAP2" s="27"/>
      <c r="TAQ2" s="27"/>
      <c r="TAR2" s="27"/>
      <c r="TAS2" s="27"/>
      <c r="TAT2" s="27"/>
      <c r="TAU2" s="27"/>
      <c r="TAV2" s="27"/>
      <c r="TAW2" s="27"/>
      <c r="TAX2" s="27"/>
      <c r="TAY2" s="27"/>
      <c r="TAZ2" s="27"/>
      <c r="TBA2" s="27"/>
      <c r="TBB2" s="27"/>
      <c r="TBC2" s="27"/>
      <c r="TBD2" s="27"/>
      <c r="TBE2" s="27"/>
      <c r="TBF2" s="27"/>
      <c r="TBG2" s="27"/>
      <c r="TBH2" s="27"/>
      <c r="TBI2" s="27"/>
      <c r="TBJ2" s="27"/>
      <c r="TBK2" s="27"/>
      <c r="TBL2" s="27"/>
      <c r="TBM2" s="27"/>
      <c r="TBN2" s="27"/>
      <c r="TBO2" s="27"/>
      <c r="TBP2" s="27"/>
      <c r="TBQ2" s="27"/>
      <c r="TBR2" s="27"/>
      <c r="TBS2" s="27"/>
      <c r="TBT2" s="27"/>
      <c r="TBU2" s="27"/>
      <c r="TBV2" s="27"/>
      <c r="TBW2" s="27"/>
      <c r="TBX2" s="27"/>
      <c r="TBY2" s="27"/>
      <c r="TBZ2" s="27"/>
      <c r="TCA2" s="27"/>
      <c r="TCB2" s="27"/>
      <c r="TCC2" s="27"/>
      <c r="TCD2" s="27"/>
      <c r="TCE2" s="27"/>
      <c r="TCF2" s="27"/>
      <c r="TCG2" s="27"/>
      <c r="TCH2" s="27"/>
      <c r="TCI2" s="27"/>
      <c r="TCJ2" s="27"/>
      <c r="TCK2" s="27"/>
      <c r="TCL2" s="27"/>
      <c r="TCM2" s="27"/>
      <c r="TCN2" s="27"/>
      <c r="TCO2" s="27"/>
      <c r="TCP2" s="27"/>
      <c r="TCQ2" s="27"/>
      <c r="TCR2" s="27"/>
      <c r="TCS2" s="27"/>
      <c r="TCT2" s="27"/>
      <c r="TCU2" s="27"/>
      <c r="TCV2" s="27"/>
      <c r="TCW2" s="27"/>
      <c r="TCX2" s="27"/>
      <c r="TCY2" s="27"/>
      <c r="TCZ2" s="27"/>
      <c r="TDA2" s="27"/>
      <c r="TDB2" s="27"/>
      <c r="TDC2" s="27"/>
      <c r="TDD2" s="27"/>
      <c r="TDE2" s="27"/>
      <c r="TDF2" s="27"/>
      <c r="TDG2" s="27"/>
      <c r="TDH2" s="27"/>
      <c r="TDI2" s="27"/>
      <c r="TDJ2" s="27"/>
      <c r="TDK2" s="27"/>
      <c r="TDL2" s="27"/>
      <c r="TDM2" s="27"/>
      <c r="TDN2" s="27"/>
      <c r="TDO2" s="27"/>
      <c r="TDP2" s="27"/>
      <c r="TDQ2" s="27"/>
      <c r="TDR2" s="27"/>
      <c r="TDS2" s="27"/>
      <c r="TDT2" s="27"/>
      <c r="TDU2" s="27"/>
      <c r="TDV2" s="27"/>
      <c r="TDW2" s="27"/>
      <c r="TDX2" s="27"/>
      <c r="TDY2" s="27"/>
      <c r="TDZ2" s="27"/>
      <c r="TEA2" s="27"/>
      <c r="TEB2" s="27"/>
      <c r="TEC2" s="27"/>
      <c r="TED2" s="27"/>
      <c r="TEE2" s="27"/>
      <c r="TEF2" s="27"/>
      <c r="TEG2" s="27"/>
      <c r="TEH2" s="27"/>
      <c r="TEI2" s="27"/>
      <c r="TEJ2" s="27"/>
      <c r="TEK2" s="27"/>
      <c r="TEL2" s="27"/>
      <c r="TEM2" s="27"/>
      <c r="TEN2" s="27"/>
      <c r="TEO2" s="27"/>
      <c r="TEP2" s="27"/>
      <c r="TEQ2" s="27"/>
      <c r="TER2" s="27"/>
      <c r="TES2" s="27"/>
      <c r="TET2" s="27"/>
      <c r="TEU2" s="27"/>
      <c r="TEV2" s="27"/>
      <c r="TEW2" s="27"/>
      <c r="TEX2" s="27"/>
      <c r="TEY2" s="27"/>
      <c r="TEZ2" s="27"/>
      <c r="TFA2" s="27"/>
      <c r="TFB2" s="27"/>
      <c r="TFC2" s="27"/>
      <c r="TFD2" s="27"/>
      <c r="TFE2" s="27"/>
      <c r="TFF2" s="27"/>
      <c r="TFG2" s="27"/>
      <c r="TFH2" s="27"/>
      <c r="TFI2" s="27"/>
      <c r="TFJ2" s="27"/>
      <c r="TFK2" s="27"/>
      <c r="TFL2" s="27"/>
      <c r="TFM2" s="27"/>
      <c r="TFN2" s="27"/>
      <c r="TFO2" s="27"/>
      <c r="TFP2" s="27"/>
      <c r="TFQ2" s="27"/>
      <c r="TFR2" s="27"/>
      <c r="TFS2" s="27"/>
      <c r="TFT2" s="27"/>
      <c r="TFU2" s="27"/>
      <c r="TFV2" s="27"/>
      <c r="TFW2" s="27"/>
      <c r="TFX2" s="27"/>
      <c r="TFY2" s="27"/>
      <c r="TFZ2" s="27"/>
      <c r="TGA2" s="27"/>
      <c r="TGB2" s="27"/>
      <c r="TGC2" s="27"/>
      <c r="TGD2" s="27"/>
      <c r="TGE2" s="27"/>
      <c r="TGF2" s="27"/>
      <c r="TGG2" s="27"/>
      <c r="TGH2" s="27"/>
      <c r="TGI2" s="27"/>
      <c r="TGJ2" s="27"/>
      <c r="TGK2" s="27"/>
      <c r="TGL2" s="27"/>
      <c r="TGM2" s="27"/>
      <c r="TGN2" s="27"/>
      <c r="TGO2" s="27"/>
      <c r="TGP2" s="27"/>
      <c r="TGQ2" s="27"/>
      <c r="TGR2" s="27"/>
      <c r="TGS2" s="27"/>
      <c r="TGT2" s="27"/>
      <c r="TGU2" s="27"/>
      <c r="TGV2" s="27"/>
      <c r="TGW2" s="27"/>
      <c r="TGX2" s="27"/>
      <c r="TGY2" s="27"/>
      <c r="TGZ2" s="27"/>
      <c r="THA2" s="27"/>
      <c r="THB2" s="27"/>
      <c r="THC2" s="27"/>
      <c r="THD2" s="27"/>
      <c r="THE2" s="27"/>
      <c r="THF2" s="27"/>
      <c r="THG2" s="27"/>
      <c r="THH2" s="27"/>
      <c r="THI2" s="27"/>
      <c r="THJ2" s="27"/>
      <c r="THK2" s="27"/>
      <c r="THL2" s="27"/>
      <c r="THM2" s="27"/>
      <c r="THN2" s="27"/>
      <c r="THO2" s="27"/>
      <c r="THP2" s="27"/>
      <c r="THQ2" s="27"/>
      <c r="THR2" s="27"/>
      <c r="THS2" s="27"/>
      <c r="THT2" s="27"/>
      <c r="THU2" s="27"/>
      <c r="THV2" s="27"/>
      <c r="THW2" s="27"/>
      <c r="THX2" s="27"/>
      <c r="THY2" s="27"/>
      <c r="THZ2" s="27"/>
      <c r="TIA2" s="27"/>
      <c r="TIB2" s="27"/>
      <c r="TIC2" s="27"/>
      <c r="TID2" s="27"/>
      <c r="TIE2" s="27"/>
      <c r="TIF2" s="27"/>
      <c r="TIG2" s="27"/>
      <c r="TIH2" s="27"/>
      <c r="TII2" s="27"/>
      <c r="TIJ2" s="27"/>
      <c r="TIK2" s="27"/>
      <c r="TIL2" s="27"/>
      <c r="TIM2" s="27"/>
      <c r="TIN2" s="27"/>
      <c r="TIO2" s="27"/>
      <c r="TIP2" s="27"/>
      <c r="TIQ2" s="27"/>
      <c r="TIR2" s="27"/>
      <c r="TIS2" s="27"/>
      <c r="TIT2" s="27"/>
      <c r="TIU2" s="27"/>
      <c r="TIV2" s="27"/>
      <c r="TIW2" s="27"/>
      <c r="TIX2" s="27"/>
      <c r="TIY2" s="27"/>
      <c r="TIZ2" s="27"/>
      <c r="TJA2" s="27"/>
      <c r="TJB2" s="27"/>
      <c r="TJC2" s="27"/>
      <c r="TJD2" s="27"/>
      <c r="TJE2" s="27"/>
      <c r="TJF2" s="27"/>
      <c r="TJG2" s="27"/>
      <c r="TJH2" s="27"/>
      <c r="TJI2" s="27"/>
      <c r="TJJ2" s="27"/>
      <c r="TJK2" s="27"/>
      <c r="TJL2" s="27"/>
      <c r="TJM2" s="27"/>
      <c r="TJN2" s="27"/>
      <c r="TJO2" s="27"/>
      <c r="TJP2" s="27"/>
      <c r="TJQ2" s="27"/>
      <c r="TJR2" s="27"/>
      <c r="TJS2" s="27"/>
      <c r="TJT2" s="27"/>
      <c r="TJU2" s="27"/>
      <c r="TJV2" s="27"/>
      <c r="TJW2" s="27"/>
      <c r="TJX2" s="27"/>
      <c r="TJY2" s="27"/>
      <c r="TJZ2" s="27"/>
      <c r="TKA2" s="27"/>
      <c r="TKB2" s="27"/>
      <c r="TKC2" s="27"/>
      <c r="TKD2" s="27"/>
      <c r="TKE2" s="27"/>
      <c r="TKF2" s="27"/>
      <c r="TKG2" s="27"/>
      <c r="TKH2" s="27"/>
      <c r="TKI2" s="27"/>
      <c r="TKJ2" s="27"/>
      <c r="TKK2" s="27"/>
      <c r="TKL2" s="27"/>
      <c r="TKM2" s="27"/>
      <c r="TKN2" s="27"/>
      <c r="TKO2" s="27"/>
      <c r="TKP2" s="27"/>
      <c r="TKQ2" s="27"/>
      <c r="TKR2" s="27"/>
      <c r="TKS2" s="27"/>
      <c r="TKT2" s="27"/>
      <c r="TKU2" s="27"/>
      <c r="TKV2" s="27"/>
      <c r="TKW2" s="27"/>
      <c r="TKX2" s="27"/>
      <c r="TKY2" s="27"/>
      <c r="TKZ2" s="27"/>
      <c r="TLA2" s="27"/>
      <c r="TLB2" s="27"/>
      <c r="TLC2" s="27"/>
      <c r="TLD2" s="27"/>
      <c r="TLE2" s="27"/>
      <c r="TLF2" s="27"/>
      <c r="TLG2" s="27"/>
      <c r="TLH2" s="27"/>
      <c r="TLI2" s="27"/>
      <c r="TLJ2" s="27"/>
      <c r="TLK2" s="27"/>
      <c r="TLL2" s="27"/>
      <c r="TLM2" s="27"/>
      <c r="TLN2" s="27"/>
      <c r="TLO2" s="27"/>
      <c r="TLP2" s="27"/>
      <c r="TLQ2" s="27"/>
      <c r="TLR2" s="27"/>
      <c r="TLS2" s="27"/>
      <c r="TLT2" s="27"/>
      <c r="TLU2" s="27"/>
      <c r="TLV2" s="27"/>
      <c r="TLW2" s="27"/>
      <c r="TLX2" s="27"/>
      <c r="TLY2" s="27"/>
      <c r="TLZ2" s="27"/>
      <c r="TMA2" s="27"/>
      <c r="TMB2" s="27"/>
      <c r="TMC2" s="27"/>
      <c r="TMD2" s="27"/>
      <c r="TME2" s="27"/>
      <c r="TMF2" s="27"/>
      <c r="TMG2" s="27"/>
      <c r="TMH2" s="27"/>
      <c r="TMI2" s="27"/>
      <c r="TMJ2" s="27"/>
      <c r="TMK2" s="27"/>
      <c r="TML2" s="27"/>
      <c r="TMM2" s="27"/>
      <c r="TMN2" s="27"/>
      <c r="TMO2" s="27"/>
      <c r="TMP2" s="27"/>
      <c r="TMQ2" s="27"/>
      <c r="TMR2" s="27"/>
      <c r="TMS2" s="27"/>
      <c r="TMT2" s="27"/>
      <c r="TMU2" s="27"/>
      <c r="TMV2" s="27"/>
      <c r="TMW2" s="27"/>
      <c r="TMX2" s="27"/>
      <c r="TMY2" s="27"/>
      <c r="TMZ2" s="27"/>
      <c r="TNA2" s="27"/>
      <c r="TNB2" s="27"/>
      <c r="TNC2" s="27"/>
      <c r="TND2" s="27"/>
      <c r="TNE2" s="27"/>
      <c r="TNF2" s="27"/>
      <c r="TNG2" s="27"/>
      <c r="TNH2" s="27"/>
      <c r="TNI2" s="27"/>
      <c r="TNJ2" s="27"/>
      <c r="TNK2" s="27"/>
      <c r="TNL2" s="27"/>
      <c r="TNM2" s="27"/>
      <c r="TNN2" s="27"/>
      <c r="TNO2" s="27"/>
      <c r="TNP2" s="27"/>
      <c r="TNQ2" s="27"/>
      <c r="TNR2" s="27"/>
      <c r="TNS2" s="27"/>
      <c r="TNT2" s="27"/>
      <c r="TNU2" s="27"/>
      <c r="TNV2" s="27"/>
      <c r="TNW2" s="27"/>
      <c r="TNX2" s="27"/>
      <c r="TNY2" s="27"/>
      <c r="TNZ2" s="27"/>
      <c r="TOA2" s="27"/>
      <c r="TOB2" s="27"/>
      <c r="TOC2" s="27"/>
      <c r="TOD2" s="27"/>
      <c r="TOE2" s="27"/>
      <c r="TOF2" s="27"/>
      <c r="TOG2" s="27"/>
      <c r="TOH2" s="27"/>
      <c r="TOI2" s="27"/>
      <c r="TOJ2" s="27"/>
      <c r="TOK2" s="27"/>
      <c r="TOL2" s="27"/>
      <c r="TOM2" s="27"/>
      <c r="TON2" s="27"/>
      <c r="TOO2" s="27"/>
      <c r="TOP2" s="27"/>
      <c r="TOQ2" s="27"/>
      <c r="TOR2" s="27"/>
      <c r="TOS2" s="27"/>
      <c r="TOT2" s="27"/>
      <c r="TOU2" s="27"/>
      <c r="TOV2" s="27"/>
      <c r="TOW2" s="27"/>
      <c r="TOX2" s="27"/>
      <c r="TOY2" s="27"/>
      <c r="TOZ2" s="27"/>
      <c r="TPA2" s="27"/>
      <c r="TPB2" s="27"/>
      <c r="TPC2" s="27"/>
      <c r="TPD2" s="27"/>
      <c r="TPE2" s="27"/>
      <c r="TPF2" s="27"/>
      <c r="TPG2" s="27"/>
      <c r="TPH2" s="27"/>
      <c r="TPI2" s="27"/>
      <c r="TPJ2" s="27"/>
      <c r="TPK2" s="27"/>
      <c r="TPL2" s="27"/>
      <c r="TPM2" s="27"/>
      <c r="TPN2" s="27"/>
      <c r="TPO2" s="27"/>
      <c r="TPP2" s="27"/>
      <c r="TPQ2" s="27"/>
      <c r="TPR2" s="27"/>
      <c r="TPS2" s="27"/>
      <c r="TPT2" s="27"/>
      <c r="TPU2" s="27"/>
      <c r="TPV2" s="27"/>
      <c r="TPW2" s="27"/>
      <c r="TPX2" s="27"/>
      <c r="TPY2" s="27"/>
      <c r="TPZ2" s="27"/>
      <c r="TQA2" s="27"/>
      <c r="TQB2" s="27"/>
      <c r="TQC2" s="27"/>
      <c r="TQD2" s="27"/>
      <c r="TQE2" s="27"/>
      <c r="TQF2" s="27"/>
      <c r="TQG2" s="27"/>
      <c r="TQH2" s="27"/>
      <c r="TQI2" s="27"/>
      <c r="TQJ2" s="27"/>
      <c r="TQK2" s="27"/>
      <c r="TQL2" s="27"/>
      <c r="TQM2" s="27"/>
      <c r="TQN2" s="27"/>
      <c r="TQO2" s="27"/>
      <c r="TQP2" s="27"/>
      <c r="TQQ2" s="27"/>
      <c r="TQR2" s="27"/>
      <c r="TQS2" s="27"/>
      <c r="TQT2" s="27"/>
      <c r="TQU2" s="27"/>
      <c r="TQV2" s="27"/>
      <c r="TQW2" s="27"/>
      <c r="TQX2" s="27"/>
      <c r="TQY2" s="27"/>
      <c r="TQZ2" s="27"/>
      <c r="TRA2" s="27"/>
      <c r="TRB2" s="27"/>
      <c r="TRC2" s="27"/>
      <c r="TRD2" s="27"/>
      <c r="TRE2" s="27"/>
      <c r="TRF2" s="27"/>
      <c r="TRG2" s="27"/>
      <c r="TRH2" s="27"/>
      <c r="TRI2" s="27"/>
      <c r="TRJ2" s="27"/>
      <c r="TRK2" s="27"/>
      <c r="TRL2" s="27"/>
      <c r="TRM2" s="27"/>
      <c r="TRN2" s="27"/>
      <c r="TRO2" s="27"/>
      <c r="TRP2" s="27"/>
      <c r="TRQ2" s="27"/>
      <c r="TRR2" s="27"/>
      <c r="TRS2" s="27"/>
      <c r="TRT2" s="27"/>
      <c r="TRU2" s="27"/>
      <c r="TRV2" s="27"/>
      <c r="TRW2" s="27"/>
      <c r="TRX2" s="27"/>
      <c r="TRY2" s="27"/>
      <c r="TRZ2" s="27"/>
      <c r="TSA2" s="27"/>
      <c r="TSB2" s="27"/>
      <c r="TSC2" s="27"/>
      <c r="TSD2" s="27"/>
      <c r="TSE2" s="27"/>
      <c r="TSF2" s="27"/>
      <c r="TSG2" s="27"/>
      <c r="TSH2" s="27"/>
      <c r="TSI2" s="27"/>
      <c r="TSJ2" s="27"/>
      <c r="TSK2" s="27"/>
      <c r="TSL2" s="27"/>
      <c r="TSM2" s="27"/>
      <c r="TSN2" s="27"/>
      <c r="TSO2" s="27"/>
      <c r="TSP2" s="27"/>
      <c r="TSQ2" s="27"/>
      <c r="TSR2" s="27"/>
      <c r="TSS2" s="27"/>
      <c r="TST2" s="27"/>
      <c r="TSU2" s="27"/>
      <c r="TSV2" s="27"/>
      <c r="TSW2" s="27"/>
      <c r="TSX2" s="27"/>
      <c r="TSY2" s="27"/>
      <c r="TSZ2" s="27"/>
      <c r="TTA2" s="27"/>
      <c r="TTB2" s="27"/>
      <c r="TTC2" s="27"/>
      <c r="TTD2" s="27"/>
      <c r="TTE2" s="27"/>
      <c r="TTF2" s="27"/>
      <c r="TTG2" s="27"/>
      <c r="TTH2" s="27"/>
      <c r="TTI2" s="27"/>
      <c r="TTJ2" s="27"/>
      <c r="TTK2" s="27"/>
      <c r="TTL2" s="27"/>
      <c r="TTM2" s="27"/>
      <c r="TTN2" s="27"/>
      <c r="TTO2" s="27"/>
      <c r="TTP2" s="27"/>
      <c r="TTQ2" s="27"/>
      <c r="TTR2" s="27"/>
      <c r="TTS2" s="27"/>
      <c r="TTT2" s="27"/>
      <c r="TTU2" s="27"/>
      <c r="TTV2" s="27"/>
      <c r="TTW2" s="27"/>
      <c r="TTX2" s="27"/>
      <c r="TTY2" s="27"/>
      <c r="TTZ2" s="27"/>
      <c r="TUA2" s="27"/>
      <c r="TUB2" s="27"/>
      <c r="TUC2" s="27"/>
      <c r="TUD2" s="27"/>
      <c r="TUE2" s="27"/>
      <c r="TUF2" s="27"/>
      <c r="TUG2" s="27"/>
      <c r="TUH2" s="27"/>
      <c r="TUI2" s="27"/>
      <c r="TUJ2" s="27"/>
      <c r="TUK2" s="27"/>
      <c r="TUL2" s="27"/>
      <c r="TUM2" s="27"/>
      <c r="TUN2" s="27"/>
      <c r="TUO2" s="27"/>
      <c r="TUP2" s="27"/>
      <c r="TUQ2" s="27"/>
      <c r="TUR2" s="27"/>
      <c r="TUS2" s="27"/>
      <c r="TUT2" s="27"/>
      <c r="TUU2" s="27"/>
      <c r="TUV2" s="27"/>
      <c r="TUW2" s="27"/>
      <c r="TUX2" s="27"/>
      <c r="TUY2" s="27"/>
      <c r="TUZ2" s="27"/>
      <c r="TVA2" s="27"/>
      <c r="TVB2" s="27"/>
      <c r="TVC2" s="27"/>
      <c r="TVD2" s="27"/>
      <c r="TVE2" s="27"/>
      <c r="TVF2" s="27"/>
      <c r="TVG2" s="27"/>
      <c r="TVH2" s="27"/>
      <c r="TVI2" s="27"/>
      <c r="TVJ2" s="27"/>
      <c r="TVK2" s="27"/>
      <c r="TVL2" s="27"/>
      <c r="TVM2" s="27"/>
      <c r="TVN2" s="27"/>
      <c r="TVO2" s="27"/>
      <c r="TVP2" s="27"/>
      <c r="TVQ2" s="27"/>
      <c r="TVR2" s="27"/>
      <c r="TVS2" s="27"/>
      <c r="TVT2" s="27"/>
      <c r="TVU2" s="27"/>
      <c r="TVV2" s="27"/>
      <c r="TVW2" s="27"/>
      <c r="TVX2" s="27"/>
      <c r="TVY2" s="27"/>
      <c r="TVZ2" s="27"/>
      <c r="TWA2" s="27"/>
      <c r="TWB2" s="27"/>
      <c r="TWC2" s="27"/>
      <c r="TWD2" s="27"/>
      <c r="TWE2" s="27"/>
      <c r="TWF2" s="27"/>
      <c r="TWG2" s="27"/>
      <c r="TWH2" s="27"/>
      <c r="TWI2" s="27"/>
      <c r="TWJ2" s="27"/>
      <c r="TWK2" s="27"/>
      <c r="TWL2" s="27"/>
      <c r="TWM2" s="27"/>
      <c r="TWN2" s="27"/>
      <c r="TWO2" s="27"/>
      <c r="TWP2" s="27"/>
      <c r="TWQ2" s="27"/>
      <c r="TWR2" s="27"/>
      <c r="TWS2" s="27"/>
      <c r="TWT2" s="27"/>
      <c r="TWU2" s="27"/>
      <c r="TWV2" s="27"/>
      <c r="TWW2" s="27"/>
      <c r="TWX2" s="27"/>
      <c r="TWY2" s="27"/>
      <c r="TWZ2" s="27"/>
      <c r="TXA2" s="27"/>
      <c r="TXB2" s="27"/>
      <c r="TXC2" s="27"/>
      <c r="TXD2" s="27"/>
      <c r="TXE2" s="27"/>
      <c r="TXF2" s="27"/>
      <c r="TXG2" s="27"/>
      <c r="TXH2" s="27"/>
      <c r="TXI2" s="27"/>
      <c r="TXJ2" s="27"/>
      <c r="TXK2" s="27"/>
      <c r="TXL2" s="27"/>
      <c r="TXM2" s="27"/>
      <c r="TXN2" s="27"/>
      <c r="TXO2" s="27"/>
      <c r="TXP2" s="27"/>
      <c r="TXQ2" s="27"/>
      <c r="TXR2" s="27"/>
      <c r="TXS2" s="27"/>
      <c r="TXT2" s="27"/>
      <c r="TXU2" s="27"/>
      <c r="TXV2" s="27"/>
      <c r="TXW2" s="27"/>
      <c r="TXX2" s="27"/>
      <c r="TXY2" s="27"/>
      <c r="TXZ2" s="27"/>
      <c r="TYA2" s="27"/>
      <c r="TYB2" s="27"/>
      <c r="TYC2" s="27"/>
      <c r="TYD2" s="27"/>
      <c r="TYE2" s="27"/>
      <c r="TYF2" s="27"/>
      <c r="TYG2" s="27"/>
      <c r="TYH2" s="27"/>
      <c r="TYI2" s="27"/>
      <c r="TYJ2" s="27"/>
      <c r="TYK2" s="27"/>
      <c r="TYL2" s="27"/>
      <c r="TYM2" s="27"/>
      <c r="TYN2" s="27"/>
      <c r="TYO2" s="27"/>
      <c r="TYP2" s="27"/>
      <c r="TYQ2" s="27"/>
      <c r="TYR2" s="27"/>
      <c r="TYS2" s="27"/>
      <c r="TYT2" s="27"/>
      <c r="TYU2" s="27"/>
      <c r="TYV2" s="27"/>
      <c r="TYW2" s="27"/>
      <c r="TYX2" s="27"/>
      <c r="TYY2" s="27"/>
      <c r="TYZ2" s="27"/>
      <c r="TZA2" s="27"/>
      <c r="TZB2" s="27"/>
      <c r="TZC2" s="27"/>
      <c r="TZD2" s="27"/>
      <c r="TZE2" s="27"/>
      <c r="TZF2" s="27"/>
      <c r="TZG2" s="27"/>
      <c r="TZH2" s="27"/>
      <c r="TZI2" s="27"/>
      <c r="TZJ2" s="27"/>
      <c r="TZK2" s="27"/>
      <c r="TZL2" s="27"/>
      <c r="TZM2" s="27"/>
      <c r="TZN2" s="27"/>
      <c r="TZO2" s="27"/>
      <c r="TZP2" s="27"/>
      <c r="TZQ2" s="27"/>
      <c r="TZR2" s="27"/>
      <c r="TZS2" s="27"/>
      <c r="TZT2" s="27"/>
      <c r="TZU2" s="27"/>
      <c r="TZV2" s="27"/>
      <c r="TZW2" s="27"/>
      <c r="TZX2" s="27"/>
      <c r="TZY2" s="27"/>
      <c r="TZZ2" s="27"/>
      <c r="UAA2" s="27"/>
      <c r="UAB2" s="27"/>
      <c r="UAC2" s="27"/>
      <c r="UAD2" s="27"/>
      <c r="UAE2" s="27"/>
      <c r="UAF2" s="27"/>
      <c r="UAG2" s="27"/>
      <c r="UAH2" s="27"/>
      <c r="UAI2" s="27"/>
      <c r="UAJ2" s="27"/>
      <c r="UAK2" s="27"/>
      <c r="UAL2" s="27"/>
      <c r="UAM2" s="27"/>
      <c r="UAN2" s="27"/>
      <c r="UAO2" s="27"/>
      <c r="UAP2" s="27"/>
      <c r="UAQ2" s="27"/>
      <c r="UAR2" s="27"/>
      <c r="UAS2" s="27"/>
      <c r="UAT2" s="27"/>
      <c r="UAU2" s="27"/>
      <c r="UAV2" s="27"/>
      <c r="UAW2" s="27"/>
      <c r="UAX2" s="27"/>
      <c r="UAY2" s="27"/>
      <c r="UAZ2" s="27"/>
      <c r="UBA2" s="27"/>
      <c r="UBB2" s="27"/>
      <c r="UBC2" s="27"/>
      <c r="UBD2" s="27"/>
      <c r="UBE2" s="27"/>
      <c r="UBF2" s="27"/>
      <c r="UBG2" s="27"/>
      <c r="UBH2" s="27"/>
      <c r="UBI2" s="27"/>
      <c r="UBJ2" s="27"/>
      <c r="UBK2" s="27"/>
      <c r="UBL2" s="27"/>
      <c r="UBM2" s="27"/>
      <c r="UBN2" s="27"/>
      <c r="UBO2" s="27"/>
      <c r="UBP2" s="27"/>
      <c r="UBQ2" s="27"/>
      <c r="UBR2" s="27"/>
      <c r="UBS2" s="27"/>
      <c r="UBT2" s="27"/>
      <c r="UBU2" s="27"/>
      <c r="UBV2" s="27"/>
      <c r="UBW2" s="27"/>
      <c r="UBX2" s="27"/>
      <c r="UBY2" s="27"/>
      <c r="UBZ2" s="27"/>
      <c r="UCA2" s="27"/>
      <c r="UCB2" s="27"/>
      <c r="UCC2" s="27"/>
      <c r="UCD2" s="27"/>
      <c r="UCE2" s="27"/>
      <c r="UCF2" s="27"/>
      <c r="UCG2" s="27"/>
      <c r="UCH2" s="27"/>
      <c r="UCI2" s="27"/>
      <c r="UCJ2" s="27"/>
      <c r="UCK2" s="27"/>
      <c r="UCL2" s="27"/>
      <c r="UCM2" s="27"/>
      <c r="UCN2" s="27"/>
      <c r="UCO2" s="27"/>
      <c r="UCP2" s="27"/>
      <c r="UCQ2" s="27"/>
      <c r="UCR2" s="27"/>
      <c r="UCS2" s="27"/>
      <c r="UCT2" s="27"/>
      <c r="UCU2" s="27"/>
      <c r="UCV2" s="27"/>
      <c r="UCW2" s="27"/>
      <c r="UCX2" s="27"/>
      <c r="UCY2" s="27"/>
      <c r="UCZ2" s="27"/>
      <c r="UDA2" s="27"/>
      <c r="UDB2" s="27"/>
      <c r="UDC2" s="27"/>
      <c r="UDD2" s="27"/>
      <c r="UDE2" s="27"/>
      <c r="UDF2" s="27"/>
      <c r="UDG2" s="27"/>
      <c r="UDH2" s="27"/>
      <c r="UDI2" s="27"/>
      <c r="UDJ2" s="27"/>
      <c r="UDK2" s="27"/>
      <c r="UDL2" s="27"/>
      <c r="UDM2" s="27"/>
      <c r="UDN2" s="27"/>
      <c r="UDO2" s="27"/>
      <c r="UDP2" s="27"/>
      <c r="UDQ2" s="27"/>
      <c r="UDR2" s="27"/>
      <c r="UDS2" s="27"/>
      <c r="UDT2" s="27"/>
      <c r="UDU2" s="27"/>
      <c r="UDV2" s="27"/>
      <c r="UDW2" s="27"/>
      <c r="UDX2" s="27"/>
      <c r="UDY2" s="27"/>
      <c r="UDZ2" s="27"/>
      <c r="UEA2" s="27"/>
      <c r="UEB2" s="27"/>
      <c r="UEC2" s="27"/>
      <c r="UED2" s="27"/>
      <c r="UEE2" s="27"/>
      <c r="UEF2" s="27"/>
      <c r="UEG2" s="27"/>
      <c r="UEH2" s="27"/>
      <c r="UEI2" s="27"/>
      <c r="UEJ2" s="27"/>
      <c r="UEK2" s="27"/>
      <c r="UEL2" s="27"/>
      <c r="UEM2" s="27"/>
      <c r="UEN2" s="27"/>
      <c r="UEO2" s="27"/>
      <c r="UEP2" s="27"/>
      <c r="UEQ2" s="27"/>
      <c r="UER2" s="27"/>
      <c r="UES2" s="27"/>
      <c r="UET2" s="27"/>
      <c r="UEU2" s="27"/>
      <c r="UEV2" s="27"/>
      <c r="UEW2" s="27"/>
      <c r="UEX2" s="27"/>
      <c r="UEY2" s="27"/>
      <c r="UEZ2" s="27"/>
      <c r="UFA2" s="27"/>
      <c r="UFB2" s="27"/>
      <c r="UFC2" s="27"/>
      <c r="UFD2" s="27"/>
      <c r="UFE2" s="27"/>
      <c r="UFF2" s="27"/>
      <c r="UFG2" s="27"/>
      <c r="UFH2" s="27"/>
      <c r="UFI2" s="27"/>
      <c r="UFJ2" s="27"/>
      <c r="UFK2" s="27"/>
      <c r="UFL2" s="27"/>
      <c r="UFM2" s="27"/>
      <c r="UFN2" s="27"/>
      <c r="UFO2" s="27"/>
      <c r="UFP2" s="27"/>
      <c r="UFQ2" s="27"/>
      <c r="UFR2" s="27"/>
      <c r="UFS2" s="27"/>
      <c r="UFT2" s="27"/>
      <c r="UFU2" s="27"/>
      <c r="UFV2" s="27"/>
      <c r="UFW2" s="27"/>
      <c r="UFX2" s="27"/>
      <c r="UFY2" s="27"/>
      <c r="UFZ2" s="27"/>
      <c r="UGA2" s="27"/>
      <c r="UGB2" s="27"/>
      <c r="UGC2" s="27"/>
      <c r="UGD2" s="27"/>
      <c r="UGE2" s="27"/>
      <c r="UGF2" s="27"/>
      <c r="UGG2" s="27"/>
      <c r="UGH2" s="27"/>
      <c r="UGI2" s="27"/>
      <c r="UGJ2" s="27"/>
      <c r="UGK2" s="27"/>
      <c r="UGL2" s="27"/>
      <c r="UGM2" s="27"/>
      <c r="UGN2" s="27"/>
      <c r="UGO2" s="27"/>
      <c r="UGP2" s="27"/>
      <c r="UGQ2" s="27"/>
      <c r="UGR2" s="27"/>
      <c r="UGS2" s="27"/>
      <c r="UGT2" s="27"/>
      <c r="UGU2" s="27"/>
      <c r="UGV2" s="27"/>
      <c r="UGW2" s="27"/>
      <c r="UGX2" s="27"/>
      <c r="UGY2" s="27"/>
      <c r="UGZ2" s="27"/>
      <c r="UHA2" s="27"/>
      <c r="UHB2" s="27"/>
      <c r="UHC2" s="27"/>
      <c r="UHD2" s="27"/>
      <c r="UHE2" s="27"/>
      <c r="UHF2" s="27"/>
      <c r="UHG2" s="27"/>
      <c r="UHH2" s="27"/>
      <c r="UHI2" s="27"/>
      <c r="UHJ2" s="27"/>
      <c r="UHK2" s="27"/>
      <c r="UHL2" s="27"/>
      <c r="UHM2" s="27"/>
      <c r="UHN2" s="27"/>
      <c r="UHO2" s="27"/>
      <c r="UHP2" s="27"/>
      <c r="UHQ2" s="27"/>
      <c r="UHR2" s="27"/>
      <c r="UHS2" s="27"/>
      <c r="UHT2" s="27"/>
      <c r="UHU2" s="27"/>
      <c r="UHV2" s="27"/>
      <c r="UHW2" s="27"/>
      <c r="UHX2" s="27"/>
      <c r="UHY2" s="27"/>
      <c r="UHZ2" s="27"/>
      <c r="UIA2" s="27"/>
      <c r="UIB2" s="27"/>
      <c r="UIC2" s="27"/>
      <c r="UID2" s="27"/>
      <c r="UIE2" s="27"/>
      <c r="UIF2" s="27"/>
      <c r="UIG2" s="27"/>
      <c r="UIH2" s="27"/>
      <c r="UII2" s="27"/>
      <c r="UIJ2" s="27"/>
      <c r="UIK2" s="27"/>
      <c r="UIL2" s="27"/>
      <c r="UIM2" s="27"/>
      <c r="UIN2" s="27"/>
      <c r="UIO2" s="27"/>
      <c r="UIP2" s="27"/>
      <c r="UIQ2" s="27"/>
      <c r="UIR2" s="27"/>
      <c r="UIS2" s="27"/>
      <c r="UIT2" s="27"/>
      <c r="UIU2" s="27"/>
      <c r="UIV2" s="27"/>
      <c r="UIW2" s="27"/>
      <c r="UIX2" s="27"/>
      <c r="UIY2" s="27"/>
      <c r="UIZ2" s="27"/>
      <c r="UJA2" s="27"/>
      <c r="UJB2" s="27"/>
      <c r="UJC2" s="27"/>
      <c r="UJD2" s="27"/>
      <c r="UJE2" s="27"/>
      <c r="UJF2" s="27"/>
      <c r="UJG2" s="27"/>
      <c r="UJH2" s="27"/>
      <c r="UJI2" s="27"/>
      <c r="UJJ2" s="27"/>
      <c r="UJK2" s="27"/>
      <c r="UJL2" s="27"/>
      <c r="UJM2" s="27"/>
      <c r="UJN2" s="27"/>
      <c r="UJO2" s="27"/>
      <c r="UJP2" s="27"/>
      <c r="UJQ2" s="27"/>
      <c r="UJR2" s="27"/>
      <c r="UJS2" s="27"/>
      <c r="UJT2" s="27"/>
      <c r="UJU2" s="27"/>
      <c r="UJV2" s="27"/>
      <c r="UJW2" s="27"/>
      <c r="UJX2" s="27"/>
      <c r="UJY2" s="27"/>
      <c r="UJZ2" s="27"/>
      <c r="UKA2" s="27"/>
      <c r="UKB2" s="27"/>
      <c r="UKC2" s="27"/>
      <c r="UKD2" s="27"/>
      <c r="UKE2" s="27"/>
      <c r="UKF2" s="27"/>
      <c r="UKG2" s="27"/>
      <c r="UKH2" s="27"/>
      <c r="UKI2" s="27"/>
      <c r="UKJ2" s="27"/>
      <c r="UKK2" s="27"/>
      <c r="UKL2" s="27"/>
      <c r="UKM2" s="27"/>
      <c r="UKN2" s="27"/>
      <c r="UKO2" s="27"/>
      <c r="UKP2" s="27"/>
      <c r="UKQ2" s="27"/>
      <c r="UKR2" s="27"/>
      <c r="UKS2" s="27"/>
      <c r="UKT2" s="27"/>
      <c r="UKU2" s="27"/>
      <c r="UKV2" s="27"/>
      <c r="UKW2" s="27"/>
      <c r="UKX2" s="27"/>
      <c r="UKY2" s="27"/>
      <c r="UKZ2" s="27"/>
      <c r="ULA2" s="27"/>
      <c r="ULB2" s="27"/>
      <c r="ULC2" s="27"/>
      <c r="ULD2" s="27"/>
      <c r="ULE2" s="27"/>
      <c r="ULF2" s="27"/>
      <c r="ULG2" s="27"/>
      <c r="ULH2" s="27"/>
      <c r="ULI2" s="27"/>
      <c r="ULJ2" s="27"/>
      <c r="ULK2" s="27"/>
      <c r="ULL2" s="27"/>
      <c r="ULM2" s="27"/>
      <c r="ULN2" s="27"/>
      <c r="ULO2" s="27"/>
      <c r="ULP2" s="27"/>
      <c r="ULQ2" s="27"/>
      <c r="ULR2" s="27"/>
      <c r="ULS2" s="27"/>
      <c r="ULT2" s="27"/>
      <c r="ULU2" s="27"/>
      <c r="ULV2" s="27"/>
      <c r="ULW2" s="27"/>
      <c r="ULX2" s="27"/>
      <c r="ULY2" s="27"/>
      <c r="ULZ2" s="27"/>
      <c r="UMA2" s="27"/>
      <c r="UMB2" s="27"/>
      <c r="UMC2" s="27"/>
      <c r="UMD2" s="27"/>
      <c r="UME2" s="27"/>
      <c r="UMF2" s="27"/>
      <c r="UMG2" s="27"/>
      <c r="UMH2" s="27"/>
      <c r="UMI2" s="27"/>
      <c r="UMJ2" s="27"/>
      <c r="UMK2" s="27"/>
      <c r="UML2" s="27"/>
      <c r="UMM2" s="27"/>
      <c r="UMN2" s="27"/>
      <c r="UMO2" s="27"/>
      <c r="UMP2" s="27"/>
      <c r="UMQ2" s="27"/>
      <c r="UMR2" s="27"/>
      <c r="UMS2" s="27"/>
      <c r="UMT2" s="27"/>
      <c r="UMU2" s="27"/>
      <c r="UMV2" s="27"/>
      <c r="UMW2" s="27"/>
      <c r="UMX2" s="27"/>
      <c r="UMY2" s="27"/>
      <c r="UMZ2" s="27"/>
      <c r="UNA2" s="27"/>
      <c r="UNB2" s="27"/>
      <c r="UNC2" s="27"/>
      <c r="UND2" s="27"/>
      <c r="UNE2" s="27"/>
      <c r="UNF2" s="27"/>
      <c r="UNG2" s="27"/>
      <c r="UNH2" s="27"/>
      <c r="UNI2" s="27"/>
      <c r="UNJ2" s="27"/>
      <c r="UNK2" s="27"/>
      <c r="UNL2" s="27"/>
      <c r="UNM2" s="27"/>
      <c r="UNN2" s="27"/>
      <c r="UNO2" s="27"/>
      <c r="UNP2" s="27"/>
      <c r="UNQ2" s="27"/>
      <c r="UNR2" s="27"/>
      <c r="UNS2" s="27"/>
      <c r="UNT2" s="27"/>
      <c r="UNU2" s="27"/>
      <c r="UNV2" s="27"/>
      <c r="UNW2" s="27"/>
      <c r="UNX2" s="27"/>
      <c r="UNY2" s="27"/>
      <c r="UNZ2" s="27"/>
      <c r="UOA2" s="27"/>
      <c r="UOB2" s="27"/>
      <c r="UOC2" s="27"/>
      <c r="UOD2" s="27"/>
      <c r="UOE2" s="27"/>
      <c r="UOF2" s="27"/>
      <c r="UOG2" s="27"/>
      <c r="UOH2" s="27"/>
      <c r="UOI2" s="27"/>
      <c r="UOJ2" s="27"/>
      <c r="UOK2" s="27"/>
      <c r="UOL2" s="27"/>
      <c r="UOM2" s="27"/>
      <c r="UON2" s="27"/>
      <c r="UOO2" s="27"/>
      <c r="UOP2" s="27"/>
      <c r="UOQ2" s="27"/>
      <c r="UOR2" s="27"/>
      <c r="UOS2" s="27"/>
      <c r="UOT2" s="27"/>
      <c r="UOU2" s="27"/>
      <c r="UOV2" s="27"/>
      <c r="UOW2" s="27"/>
      <c r="UOX2" s="27"/>
      <c r="UOY2" s="27"/>
      <c r="UOZ2" s="27"/>
      <c r="UPA2" s="27"/>
      <c r="UPB2" s="27"/>
      <c r="UPC2" s="27"/>
      <c r="UPD2" s="27"/>
      <c r="UPE2" s="27"/>
      <c r="UPF2" s="27"/>
      <c r="UPG2" s="27"/>
      <c r="UPH2" s="27"/>
      <c r="UPI2" s="27"/>
      <c r="UPJ2" s="27"/>
      <c r="UPK2" s="27"/>
      <c r="UPL2" s="27"/>
      <c r="UPM2" s="27"/>
      <c r="UPN2" s="27"/>
      <c r="UPO2" s="27"/>
      <c r="UPP2" s="27"/>
      <c r="UPQ2" s="27"/>
      <c r="UPR2" s="27"/>
      <c r="UPS2" s="27"/>
      <c r="UPT2" s="27"/>
      <c r="UPU2" s="27"/>
      <c r="UPV2" s="27"/>
      <c r="UPW2" s="27"/>
      <c r="UPX2" s="27"/>
      <c r="UPY2" s="27"/>
      <c r="UPZ2" s="27"/>
      <c r="UQA2" s="27"/>
      <c r="UQB2" s="27"/>
      <c r="UQC2" s="27"/>
      <c r="UQD2" s="27"/>
      <c r="UQE2" s="27"/>
      <c r="UQF2" s="27"/>
      <c r="UQG2" s="27"/>
      <c r="UQH2" s="27"/>
      <c r="UQI2" s="27"/>
      <c r="UQJ2" s="27"/>
      <c r="UQK2" s="27"/>
      <c r="UQL2" s="27"/>
      <c r="UQM2" s="27"/>
      <c r="UQN2" s="27"/>
      <c r="UQO2" s="27"/>
      <c r="UQP2" s="27"/>
      <c r="UQQ2" s="27"/>
      <c r="UQR2" s="27"/>
      <c r="UQS2" s="27"/>
      <c r="UQT2" s="27"/>
      <c r="UQU2" s="27"/>
      <c r="UQV2" s="27"/>
      <c r="UQW2" s="27"/>
      <c r="UQX2" s="27"/>
      <c r="UQY2" s="27"/>
      <c r="UQZ2" s="27"/>
      <c r="URA2" s="27"/>
      <c r="URB2" s="27"/>
      <c r="URC2" s="27"/>
      <c r="URD2" s="27"/>
      <c r="URE2" s="27"/>
      <c r="URF2" s="27"/>
      <c r="URG2" s="27"/>
      <c r="URH2" s="27"/>
      <c r="URI2" s="27"/>
      <c r="URJ2" s="27"/>
      <c r="URK2" s="27"/>
      <c r="URL2" s="27"/>
      <c r="URM2" s="27"/>
      <c r="URN2" s="27"/>
      <c r="URO2" s="27"/>
      <c r="URP2" s="27"/>
      <c r="URQ2" s="27"/>
      <c r="URR2" s="27"/>
      <c r="URS2" s="27"/>
      <c r="URT2" s="27"/>
      <c r="URU2" s="27"/>
      <c r="URV2" s="27"/>
      <c r="URW2" s="27"/>
      <c r="URX2" s="27"/>
      <c r="URY2" s="27"/>
      <c r="URZ2" s="27"/>
      <c r="USA2" s="27"/>
      <c r="USB2" s="27"/>
      <c r="USC2" s="27"/>
      <c r="USD2" s="27"/>
      <c r="USE2" s="27"/>
      <c r="USF2" s="27"/>
      <c r="USG2" s="27"/>
      <c r="USH2" s="27"/>
      <c r="USI2" s="27"/>
      <c r="USJ2" s="27"/>
      <c r="USK2" s="27"/>
      <c r="USL2" s="27"/>
      <c r="USM2" s="27"/>
      <c r="USN2" s="27"/>
      <c r="USO2" s="27"/>
      <c r="USP2" s="27"/>
      <c r="USQ2" s="27"/>
      <c r="USR2" s="27"/>
      <c r="USS2" s="27"/>
      <c r="UST2" s="27"/>
      <c r="USU2" s="27"/>
      <c r="USV2" s="27"/>
      <c r="USW2" s="27"/>
      <c r="USX2" s="27"/>
      <c r="USY2" s="27"/>
      <c r="USZ2" s="27"/>
      <c r="UTA2" s="27"/>
      <c r="UTB2" s="27"/>
      <c r="UTC2" s="27"/>
      <c r="UTD2" s="27"/>
      <c r="UTE2" s="27"/>
      <c r="UTF2" s="27"/>
      <c r="UTG2" s="27"/>
      <c r="UTH2" s="27"/>
      <c r="UTI2" s="27"/>
      <c r="UTJ2" s="27"/>
      <c r="UTK2" s="27"/>
      <c r="UTL2" s="27"/>
      <c r="UTM2" s="27"/>
      <c r="UTN2" s="27"/>
      <c r="UTO2" s="27"/>
      <c r="UTP2" s="27"/>
      <c r="UTQ2" s="27"/>
      <c r="UTR2" s="27"/>
      <c r="UTS2" s="27"/>
      <c r="UTT2" s="27"/>
      <c r="UTU2" s="27"/>
      <c r="UTV2" s="27"/>
      <c r="UTW2" s="27"/>
      <c r="UTX2" s="27"/>
      <c r="UTY2" s="27"/>
      <c r="UTZ2" s="27"/>
      <c r="UUA2" s="27"/>
      <c r="UUB2" s="27"/>
      <c r="UUC2" s="27"/>
      <c r="UUD2" s="27"/>
      <c r="UUE2" s="27"/>
      <c r="UUF2" s="27"/>
      <c r="UUG2" s="27"/>
      <c r="UUH2" s="27"/>
      <c r="UUI2" s="27"/>
      <c r="UUJ2" s="27"/>
      <c r="UUK2" s="27"/>
      <c r="UUL2" s="27"/>
      <c r="UUM2" s="27"/>
      <c r="UUN2" s="27"/>
      <c r="UUO2" s="27"/>
      <c r="UUP2" s="27"/>
      <c r="UUQ2" s="27"/>
      <c r="UUR2" s="27"/>
      <c r="UUS2" s="27"/>
      <c r="UUT2" s="27"/>
      <c r="UUU2" s="27"/>
      <c r="UUV2" s="27"/>
      <c r="UUW2" s="27"/>
      <c r="UUX2" s="27"/>
      <c r="UUY2" s="27"/>
      <c r="UUZ2" s="27"/>
      <c r="UVA2" s="27"/>
      <c r="UVB2" s="27"/>
      <c r="UVC2" s="27"/>
      <c r="UVD2" s="27"/>
      <c r="UVE2" s="27"/>
      <c r="UVF2" s="27"/>
      <c r="UVG2" s="27"/>
      <c r="UVH2" s="27"/>
      <c r="UVI2" s="27"/>
      <c r="UVJ2" s="27"/>
      <c r="UVK2" s="27"/>
      <c r="UVL2" s="27"/>
      <c r="UVM2" s="27"/>
      <c r="UVN2" s="27"/>
      <c r="UVO2" s="27"/>
      <c r="UVP2" s="27"/>
      <c r="UVQ2" s="27"/>
      <c r="UVR2" s="27"/>
      <c r="UVS2" s="27"/>
      <c r="UVT2" s="27"/>
      <c r="UVU2" s="27"/>
      <c r="UVV2" s="27"/>
      <c r="UVW2" s="27"/>
      <c r="UVX2" s="27"/>
      <c r="UVY2" s="27"/>
      <c r="UVZ2" s="27"/>
      <c r="UWA2" s="27"/>
      <c r="UWB2" s="27"/>
      <c r="UWC2" s="27"/>
      <c r="UWD2" s="27"/>
      <c r="UWE2" s="27"/>
      <c r="UWF2" s="27"/>
      <c r="UWG2" s="27"/>
      <c r="UWH2" s="27"/>
      <c r="UWI2" s="27"/>
      <c r="UWJ2" s="27"/>
      <c r="UWK2" s="27"/>
      <c r="UWL2" s="27"/>
      <c r="UWM2" s="27"/>
      <c r="UWN2" s="27"/>
      <c r="UWO2" s="27"/>
      <c r="UWP2" s="27"/>
      <c r="UWQ2" s="27"/>
      <c r="UWR2" s="27"/>
      <c r="UWS2" s="27"/>
      <c r="UWT2" s="27"/>
      <c r="UWU2" s="27"/>
      <c r="UWV2" s="27"/>
      <c r="UWW2" s="27"/>
      <c r="UWX2" s="27"/>
      <c r="UWY2" s="27"/>
      <c r="UWZ2" s="27"/>
      <c r="UXA2" s="27"/>
      <c r="UXB2" s="27"/>
      <c r="UXC2" s="27"/>
      <c r="UXD2" s="27"/>
      <c r="UXE2" s="27"/>
      <c r="UXF2" s="27"/>
      <c r="UXG2" s="27"/>
      <c r="UXH2" s="27"/>
      <c r="UXI2" s="27"/>
      <c r="UXJ2" s="27"/>
      <c r="UXK2" s="27"/>
      <c r="UXL2" s="27"/>
      <c r="UXM2" s="27"/>
      <c r="UXN2" s="27"/>
      <c r="UXO2" s="27"/>
      <c r="UXP2" s="27"/>
      <c r="UXQ2" s="27"/>
      <c r="UXR2" s="27"/>
      <c r="UXS2" s="27"/>
      <c r="UXT2" s="27"/>
      <c r="UXU2" s="27"/>
      <c r="UXV2" s="27"/>
      <c r="UXW2" s="27"/>
      <c r="UXX2" s="27"/>
      <c r="UXY2" s="27"/>
      <c r="UXZ2" s="27"/>
      <c r="UYA2" s="27"/>
      <c r="UYB2" s="27"/>
      <c r="UYC2" s="27"/>
      <c r="UYD2" s="27"/>
      <c r="UYE2" s="27"/>
      <c r="UYF2" s="27"/>
      <c r="UYG2" s="27"/>
      <c r="UYH2" s="27"/>
      <c r="UYI2" s="27"/>
      <c r="UYJ2" s="27"/>
      <c r="UYK2" s="27"/>
      <c r="UYL2" s="27"/>
      <c r="UYM2" s="27"/>
      <c r="UYN2" s="27"/>
      <c r="UYO2" s="27"/>
      <c r="UYP2" s="27"/>
      <c r="UYQ2" s="27"/>
      <c r="UYR2" s="27"/>
      <c r="UYS2" s="27"/>
      <c r="UYT2" s="27"/>
      <c r="UYU2" s="27"/>
      <c r="UYV2" s="27"/>
      <c r="UYW2" s="27"/>
      <c r="UYX2" s="27"/>
      <c r="UYY2" s="27"/>
      <c r="UYZ2" s="27"/>
      <c r="UZA2" s="27"/>
      <c r="UZB2" s="27"/>
      <c r="UZC2" s="27"/>
      <c r="UZD2" s="27"/>
      <c r="UZE2" s="27"/>
      <c r="UZF2" s="27"/>
      <c r="UZG2" s="27"/>
      <c r="UZH2" s="27"/>
      <c r="UZI2" s="27"/>
      <c r="UZJ2" s="27"/>
      <c r="UZK2" s="27"/>
      <c r="UZL2" s="27"/>
      <c r="UZM2" s="27"/>
      <c r="UZN2" s="27"/>
      <c r="UZO2" s="27"/>
      <c r="UZP2" s="27"/>
      <c r="UZQ2" s="27"/>
      <c r="UZR2" s="27"/>
      <c r="UZS2" s="27"/>
      <c r="UZT2" s="27"/>
      <c r="UZU2" s="27"/>
      <c r="UZV2" s="27"/>
      <c r="UZW2" s="27"/>
      <c r="UZX2" s="27"/>
      <c r="UZY2" s="27"/>
      <c r="UZZ2" s="27"/>
      <c r="VAA2" s="27"/>
      <c r="VAB2" s="27"/>
      <c r="VAC2" s="27"/>
      <c r="VAD2" s="27"/>
      <c r="VAE2" s="27"/>
      <c r="VAF2" s="27"/>
      <c r="VAG2" s="27"/>
      <c r="VAH2" s="27"/>
      <c r="VAI2" s="27"/>
      <c r="VAJ2" s="27"/>
      <c r="VAK2" s="27"/>
      <c r="VAL2" s="27"/>
      <c r="VAM2" s="27"/>
      <c r="VAN2" s="27"/>
      <c r="VAO2" s="27"/>
      <c r="VAP2" s="27"/>
      <c r="VAQ2" s="27"/>
      <c r="VAR2" s="27"/>
      <c r="VAS2" s="27"/>
      <c r="VAT2" s="27"/>
      <c r="VAU2" s="27"/>
      <c r="VAV2" s="27"/>
      <c r="VAW2" s="27"/>
      <c r="VAX2" s="27"/>
      <c r="VAY2" s="27"/>
      <c r="VAZ2" s="27"/>
      <c r="VBA2" s="27"/>
      <c r="VBB2" s="27"/>
      <c r="VBC2" s="27"/>
      <c r="VBD2" s="27"/>
      <c r="VBE2" s="27"/>
      <c r="VBF2" s="27"/>
      <c r="VBG2" s="27"/>
      <c r="VBH2" s="27"/>
      <c r="VBI2" s="27"/>
      <c r="VBJ2" s="27"/>
      <c r="VBK2" s="27"/>
      <c r="VBL2" s="27"/>
      <c r="VBM2" s="27"/>
      <c r="VBN2" s="27"/>
      <c r="VBO2" s="27"/>
      <c r="VBP2" s="27"/>
      <c r="VBQ2" s="27"/>
      <c r="VBR2" s="27"/>
      <c r="VBS2" s="27"/>
      <c r="VBT2" s="27"/>
      <c r="VBU2" s="27"/>
      <c r="VBV2" s="27"/>
      <c r="VBW2" s="27"/>
      <c r="VBX2" s="27"/>
      <c r="VBY2" s="27"/>
      <c r="VBZ2" s="27"/>
      <c r="VCA2" s="27"/>
      <c r="VCB2" s="27"/>
      <c r="VCC2" s="27"/>
      <c r="VCD2" s="27"/>
      <c r="VCE2" s="27"/>
      <c r="VCF2" s="27"/>
      <c r="VCG2" s="27"/>
      <c r="VCH2" s="27"/>
      <c r="VCI2" s="27"/>
      <c r="VCJ2" s="27"/>
      <c r="VCK2" s="27"/>
      <c r="VCL2" s="27"/>
      <c r="VCM2" s="27"/>
      <c r="VCN2" s="27"/>
      <c r="VCO2" s="27"/>
      <c r="VCP2" s="27"/>
      <c r="VCQ2" s="27"/>
      <c r="VCR2" s="27"/>
      <c r="VCS2" s="27"/>
      <c r="VCT2" s="27"/>
      <c r="VCU2" s="27"/>
      <c r="VCV2" s="27"/>
      <c r="VCW2" s="27"/>
      <c r="VCX2" s="27"/>
      <c r="VCY2" s="27"/>
      <c r="VCZ2" s="27"/>
      <c r="VDA2" s="27"/>
      <c r="VDB2" s="27"/>
      <c r="VDC2" s="27"/>
      <c r="VDD2" s="27"/>
      <c r="VDE2" s="27"/>
      <c r="VDF2" s="27"/>
      <c r="VDG2" s="27"/>
      <c r="VDH2" s="27"/>
      <c r="VDI2" s="27"/>
      <c r="VDJ2" s="27"/>
      <c r="VDK2" s="27"/>
      <c r="VDL2" s="27"/>
      <c r="VDM2" s="27"/>
      <c r="VDN2" s="27"/>
      <c r="VDO2" s="27"/>
      <c r="VDP2" s="27"/>
      <c r="VDQ2" s="27"/>
      <c r="VDR2" s="27"/>
      <c r="VDS2" s="27"/>
      <c r="VDT2" s="27"/>
      <c r="VDU2" s="27"/>
      <c r="VDV2" s="27"/>
      <c r="VDW2" s="27"/>
      <c r="VDX2" s="27"/>
      <c r="VDY2" s="27"/>
      <c r="VDZ2" s="27"/>
      <c r="VEA2" s="27"/>
      <c r="VEB2" s="27"/>
      <c r="VEC2" s="27"/>
      <c r="VED2" s="27"/>
      <c r="VEE2" s="27"/>
      <c r="VEF2" s="27"/>
      <c r="VEG2" s="27"/>
      <c r="VEH2" s="27"/>
      <c r="VEI2" s="27"/>
      <c r="VEJ2" s="27"/>
      <c r="VEK2" s="27"/>
      <c r="VEL2" s="27"/>
      <c r="VEM2" s="27"/>
      <c r="VEN2" s="27"/>
      <c r="VEO2" s="27"/>
      <c r="VEP2" s="27"/>
      <c r="VEQ2" s="27"/>
      <c r="VER2" s="27"/>
      <c r="VES2" s="27"/>
      <c r="VET2" s="27"/>
      <c r="VEU2" s="27"/>
      <c r="VEV2" s="27"/>
      <c r="VEW2" s="27"/>
      <c r="VEX2" s="27"/>
      <c r="VEY2" s="27"/>
      <c r="VEZ2" s="27"/>
      <c r="VFA2" s="27"/>
      <c r="VFB2" s="27"/>
      <c r="VFC2" s="27"/>
      <c r="VFD2" s="27"/>
      <c r="VFE2" s="27"/>
      <c r="VFF2" s="27"/>
      <c r="VFG2" s="27"/>
      <c r="VFH2" s="27"/>
      <c r="VFI2" s="27"/>
      <c r="VFJ2" s="27"/>
      <c r="VFK2" s="27"/>
      <c r="VFL2" s="27"/>
      <c r="VFM2" s="27"/>
      <c r="VFN2" s="27"/>
      <c r="VFO2" s="27"/>
      <c r="VFP2" s="27"/>
      <c r="VFQ2" s="27"/>
      <c r="VFR2" s="27"/>
      <c r="VFS2" s="27"/>
      <c r="VFT2" s="27"/>
      <c r="VFU2" s="27"/>
      <c r="VFV2" s="27"/>
      <c r="VFW2" s="27"/>
      <c r="VFX2" s="27"/>
      <c r="VFY2" s="27"/>
      <c r="VFZ2" s="27"/>
      <c r="VGA2" s="27"/>
      <c r="VGB2" s="27"/>
      <c r="VGC2" s="27"/>
      <c r="VGD2" s="27"/>
      <c r="VGE2" s="27"/>
      <c r="VGF2" s="27"/>
      <c r="VGG2" s="27"/>
      <c r="VGH2" s="27"/>
      <c r="VGI2" s="27"/>
      <c r="VGJ2" s="27"/>
      <c r="VGK2" s="27"/>
      <c r="VGL2" s="27"/>
      <c r="VGM2" s="27"/>
      <c r="VGN2" s="27"/>
      <c r="VGO2" s="27"/>
      <c r="VGP2" s="27"/>
      <c r="VGQ2" s="27"/>
      <c r="VGR2" s="27"/>
      <c r="VGS2" s="27"/>
      <c r="VGT2" s="27"/>
      <c r="VGU2" s="27"/>
      <c r="VGV2" s="27"/>
      <c r="VGW2" s="27"/>
      <c r="VGX2" s="27"/>
      <c r="VGY2" s="27"/>
      <c r="VGZ2" s="27"/>
      <c r="VHA2" s="27"/>
      <c r="VHB2" s="27"/>
      <c r="VHC2" s="27"/>
      <c r="VHD2" s="27"/>
      <c r="VHE2" s="27"/>
      <c r="VHF2" s="27"/>
      <c r="VHG2" s="27"/>
      <c r="VHH2" s="27"/>
      <c r="VHI2" s="27"/>
      <c r="VHJ2" s="27"/>
      <c r="VHK2" s="27"/>
      <c r="VHL2" s="27"/>
      <c r="VHM2" s="27"/>
      <c r="VHN2" s="27"/>
      <c r="VHO2" s="27"/>
      <c r="VHP2" s="27"/>
      <c r="VHQ2" s="27"/>
      <c r="VHR2" s="27"/>
      <c r="VHS2" s="27"/>
      <c r="VHT2" s="27"/>
      <c r="VHU2" s="27"/>
      <c r="VHV2" s="27"/>
      <c r="VHW2" s="27"/>
      <c r="VHX2" s="27"/>
      <c r="VHY2" s="27"/>
      <c r="VHZ2" s="27"/>
      <c r="VIA2" s="27"/>
      <c r="VIB2" s="27"/>
      <c r="VIC2" s="27"/>
      <c r="VID2" s="27"/>
      <c r="VIE2" s="27"/>
      <c r="VIF2" s="27"/>
      <c r="VIG2" s="27"/>
      <c r="VIH2" s="27"/>
      <c r="VII2" s="27"/>
      <c r="VIJ2" s="27"/>
      <c r="VIK2" s="27"/>
      <c r="VIL2" s="27"/>
      <c r="VIM2" s="27"/>
      <c r="VIN2" s="27"/>
      <c r="VIO2" s="27"/>
      <c r="VIP2" s="27"/>
      <c r="VIQ2" s="27"/>
      <c r="VIR2" s="27"/>
      <c r="VIS2" s="27"/>
      <c r="VIT2" s="27"/>
      <c r="VIU2" s="27"/>
      <c r="VIV2" s="27"/>
      <c r="VIW2" s="27"/>
      <c r="VIX2" s="27"/>
      <c r="VIY2" s="27"/>
      <c r="VIZ2" s="27"/>
      <c r="VJA2" s="27"/>
      <c r="VJB2" s="27"/>
      <c r="VJC2" s="27"/>
      <c r="VJD2" s="27"/>
      <c r="VJE2" s="27"/>
      <c r="VJF2" s="27"/>
      <c r="VJG2" s="27"/>
      <c r="VJH2" s="27"/>
      <c r="VJI2" s="27"/>
      <c r="VJJ2" s="27"/>
      <c r="VJK2" s="27"/>
      <c r="VJL2" s="27"/>
      <c r="VJM2" s="27"/>
      <c r="VJN2" s="27"/>
      <c r="VJO2" s="27"/>
      <c r="VJP2" s="27"/>
      <c r="VJQ2" s="27"/>
      <c r="VJR2" s="27"/>
      <c r="VJS2" s="27"/>
      <c r="VJT2" s="27"/>
      <c r="VJU2" s="27"/>
      <c r="VJV2" s="27"/>
      <c r="VJW2" s="27"/>
      <c r="VJX2" s="27"/>
      <c r="VJY2" s="27"/>
      <c r="VJZ2" s="27"/>
      <c r="VKA2" s="27"/>
      <c r="VKB2" s="27"/>
      <c r="VKC2" s="27"/>
      <c r="VKD2" s="27"/>
      <c r="VKE2" s="27"/>
      <c r="VKF2" s="27"/>
      <c r="VKG2" s="27"/>
      <c r="VKH2" s="27"/>
      <c r="VKI2" s="27"/>
      <c r="VKJ2" s="27"/>
      <c r="VKK2" s="27"/>
      <c r="VKL2" s="27"/>
      <c r="VKM2" s="27"/>
      <c r="VKN2" s="27"/>
      <c r="VKO2" s="27"/>
      <c r="VKP2" s="27"/>
      <c r="VKQ2" s="27"/>
      <c r="VKR2" s="27"/>
      <c r="VKS2" s="27"/>
      <c r="VKT2" s="27"/>
      <c r="VKU2" s="27"/>
      <c r="VKV2" s="27"/>
      <c r="VKW2" s="27"/>
      <c r="VKX2" s="27"/>
      <c r="VKY2" s="27"/>
      <c r="VKZ2" s="27"/>
      <c r="VLA2" s="27"/>
      <c r="VLB2" s="27"/>
      <c r="VLC2" s="27"/>
      <c r="VLD2" s="27"/>
      <c r="VLE2" s="27"/>
      <c r="VLF2" s="27"/>
      <c r="VLG2" s="27"/>
      <c r="VLH2" s="27"/>
      <c r="VLI2" s="27"/>
      <c r="VLJ2" s="27"/>
      <c r="VLK2" s="27"/>
      <c r="VLL2" s="27"/>
      <c r="VLM2" s="27"/>
      <c r="VLN2" s="27"/>
      <c r="VLO2" s="27"/>
      <c r="VLP2" s="27"/>
      <c r="VLQ2" s="27"/>
      <c r="VLR2" s="27"/>
      <c r="VLS2" s="27"/>
      <c r="VLT2" s="27"/>
      <c r="VLU2" s="27"/>
      <c r="VLV2" s="27"/>
      <c r="VLW2" s="27"/>
      <c r="VLX2" s="27"/>
      <c r="VLY2" s="27"/>
      <c r="VLZ2" s="27"/>
      <c r="VMA2" s="27"/>
      <c r="VMB2" s="27"/>
      <c r="VMC2" s="27"/>
      <c r="VMD2" s="27"/>
      <c r="VME2" s="27"/>
      <c r="VMF2" s="27"/>
      <c r="VMG2" s="27"/>
      <c r="VMH2" s="27"/>
      <c r="VMI2" s="27"/>
      <c r="VMJ2" s="27"/>
      <c r="VMK2" s="27"/>
      <c r="VML2" s="27"/>
      <c r="VMM2" s="27"/>
      <c r="VMN2" s="27"/>
      <c r="VMO2" s="27"/>
      <c r="VMP2" s="27"/>
      <c r="VMQ2" s="27"/>
      <c r="VMR2" s="27"/>
      <c r="VMS2" s="27"/>
      <c r="VMT2" s="27"/>
      <c r="VMU2" s="27"/>
      <c r="VMV2" s="27"/>
      <c r="VMW2" s="27"/>
      <c r="VMX2" s="27"/>
      <c r="VMY2" s="27"/>
      <c r="VMZ2" s="27"/>
      <c r="VNA2" s="27"/>
      <c r="VNB2" s="27"/>
      <c r="VNC2" s="27"/>
      <c r="VND2" s="27"/>
      <c r="VNE2" s="27"/>
      <c r="VNF2" s="27"/>
      <c r="VNG2" s="27"/>
      <c r="VNH2" s="27"/>
      <c r="VNI2" s="27"/>
      <c r="VNJ2" s="27"/>
      <c r="VNK2" s="27"/>
      <c r="VNL2" s="27"/>
      <c r="VNM2" s="27"/>
      <c r="VNN2" s="27"/>
      <c r="VNO2" s="27"/>
      <c r="VNP2" s="27"/>
      <c r="VNQ2" s="27"/>
      <c r="VNR2" s="27"/>
      <c r="VNS2" s="27"/>
      <c r="VNT2" s="27"/>
      <c r="VNU2" s="27"/>
      <c r="VNV2" s="27"/>
      <c r="VNW2" s="27"/>
      <c r="VNX2" s="27"/>
      <c r="VNY2" s="27"/>
      <c r="VNZ2" s="27"/>
      <c r="VOA2" s="27"/>
      <c r="VOB2" s="27"/>
      <c r="VOC2" s="27"/>
      <c r="VOD2" s="27"/>
      <c r="VOE2" s="27"/>
      <c r="VOF2" s="27"/>
      <c r="VOG2" s="27"/>
      <c r="VOH2" s="27"/>
      <c r="VOI2" s="27"/>
      <c r="VOJ2" s="27"/>
      <c r="VOK2" s="27"/>
      <c r="VOL2" s="27"/>
      <c r="VOM2" s="27"/>
      <c r="VON2" s="27"/>
      <c r="VOO2" s="27"/>
      <c r="VOP2" s="27"/>
      <c r="VOQ2" s="27"/>
      <c r="VOR2" s="27"/>
      <c r="VOS2" s="27"/>
      <c r="VOT2" s="27"/>
      <c r="VOU2" s="27"/>
      <c r="VOV2" s="27"/>
      <c r="VOW2" s="27"/>
      <c r="VOX2" s="27"/>
      <c r="VOY2" s="27"/>
      <c r="VOZ2" s="27"/>
      <c r="VPA2" s="27"/>
      <c r="VPB2" s="27"/>
      <c r="VPC2" s="27"/>
      <c r="VPD2" s="27"/>
      <c r="VPE2" s="27"/>
      <c r="VPF2" s="27"/>
      <c r="VPG2" s="27"/>
      <c r="VPH2" s="27"/>
      <c r="VPI2" s="27"/>
      <c r="VPJ2" s="27"/>
      <c r="VPK2" s="27"/>
      <c r="VPL2" s="27"/>
      <c r="VPM2" s="27"/>
      <c r="VPN2" s="27"/>
      <c r="VPO2" s="27"/>
      <c r="VPP2" s="27"/>
      <c r="VPQ2" s="27"/>
      <c r="VPR2" s="27"/>
      <c r="VPS2" s="27"/>
      <c r="VPT2" s="27"/>
      <c r="VPU2" s="27"/>
      <c r="VPV2" s="27"/>
      <c r="VPW2" s="27"/>
      <c r="VPX2" s="27"/>
      <c r="VPY2" s="27"/>
      <c r="VPZ2" s="27"/>
      <c r="VQA2" s="27"/>
      <c r="VQB2" s="27"/>
      <c r="VQC2" s="27"/>
      <c r="VQD2" s="27"/>
      <c r="VQE2" s="27"/>
      <c r="VQF2" s="27"/>
      <c r="VQG2" s="27"/>
      <c r="VQH2" s="27"/>
      <c r="VQI2" s="27"/>
      <c r="VQJ2" s="27"/>
      <c r="VQK2" s="27"/>
      <c r="VQL2" s="27"/>
      <c r="VQM2" s="27"/>
      <c r="VQN2" s="27"/>
      <c r="VQO2" s="27"/>
      <c r="VQP2" s="27"/>
      <c r="VQQ2" s="27"/>
      <c r="VQR2" s="27"/>
      <c r="VQS2" s="27"/>
      <c r="VQT2" s="27"/>
      <c r="VQU2" s="27"/>
      <c r="VQV2" s="27"/>
      <c r="VQW2" s="27"/>
      <c r="VQX2" s="27"/>
      <c r="VQY2" s="27"/>
      <c r="VQZ2" s="27"/>
      <c r="VRA2" s="27"/>
      <c r="VRB2" s="27"/>
      <c r="VRC2" s="27"/>
      <c r="VRD2" s="27"/>
      <c r="VRE2" s="27"/>
      <c r="VRF2" s="27"/>
      <c r="VRG2" s="27"/>
      <c r="VRH2" s="27"/>
      <c r="VRI2" s="27"/>
      <c r="VRJ2" s="27"/>
      <c r="VRK2" s="27"/>
      <c r="VRL2" s="27"/>
      <c r="VRM2" s="27"/>
      <c r="VRN2" s="27"/>
      <c r="VRO2" s="27"/>
      <c r="VRP2" s="27"/>
      <c r="VRQ2" s="27"/>
      <c r="VRR2" s="27"/>
      <c r="VRS2" s="27"/>
      <c r="VRT2" s="27"/>
      <c r="VRU2" s="27"/>
      <c r="VRV2" s="27"/>
      <c r="VRW2" s="27"/>
      <c r="VRX2" s="27"/>
      <c r="VRY2" s="27"/>
      <c r="VRZ2" s="27"/>
      <c r="VSA2" s="27"/>
      <c r="VSB2" s="27"/>
      <c r="VSC2" s="27"/>
      <c r="VSD2" s="27"/>
      <c r="VSE2" s="27"/>
      <c r="VSF2" s="27"/>
      <c r="VSG2" s="27"/>
      <c r="VSH2" s="27"/>
      <c r="VSI2" s="27"/>
      <c r="VSJ2" s="27"/>
      <c r="VSK2" s="27"/>
      <c r="VSL2" s="27"/>
      <c r="VSM2" s="27"/>
      <c r="VSN2" s="27"/>
      <c r="VSO2" s="27"/>
      <c r="VSP2" s="27"/>
      <c r="VSQ2" s="27"/>
      <c r="VSR2" s="27"/>
      <c r="VSS2" s="27"/>
      <c r="VST2" s="27"/>
      <c r="VSU2" s="27"/>
      <c r="VSV2" s="27"/>
      <c r="VSW2" s="27"/>
      <c r="VSX2" s="27"/>
      <c r="VSY2" s="27"/>
      <c r="VSZ2" s="27"/>
      <c r="VTA2" s="27"/>
      <c r="VTB2" s="27"/>
      <c r="VTC2" s="27"/>
      <c r="VTD2" s="27"/>
      <c r="VTE2" s="27"/>
      <c r="VTF2" s="27"/>
      <c r="VTG2" s="27"/>
      <c r="VTH2" s="27"/>
      <c r="VTI2" s="27"/>
      <c r="VTJ2" s="27"/>
      <c r="VTK2" s="27"/>
      <c r="VTL2" s="27"/>
      <c r="VTM2" s="27"/>
      <c r="VTN2" s="27"/>
      <c r="VTO2" s="27"/>
      <c r="VTP2" s="27"/>
      <c r="VTQ2" s="27"/>
      <c r="VTR2" s="27"/>
      <c r="VTS2" s="27"/>
      <c r="VTT2" s="27"/>
      <c r="VTU2" s="27"/>
      <c r="VTV2" s="27"/>
      <c r="VTW2" s="27"/>
      <c r="VTX2" s="27"/>
      <c r="VTY2" s="27"/>
      <c r="VTZ2" s="27"/>
      <c r="VUA2" s="27"/>
      <c r="VUB2" s="27"/>
      <c r="VUC2" s="27"/>
      <c r="VUD2" s="27"/>
      <c r="VUE2" s="27"/>
      <c r="VUF2" s="27"/>
      <c r="VUG2" s="27"/>
      <c r="VUH2" s="27"/>
      <c r="VUI2" s="27"/>
      <c r="VUJ2" s="27"/>
      <c r="VUK2" s="27"/>
      <c r="VUL2" s="27"/>
      <c r="VUM2" s="27"/>
      <c r="VUN2" s="27"/>
      <c r="VUO2" s="27"/>
      <c r="VUP2" s="27"/>
      <c r="VUQ2" s="27"/>
      <c r="VUR2" s="27"/>
      <c r="VUS2" s="27"/>
      <c r="VUT2" s="27"/>
      <c r="VUU2" s="27"/>
      <c r="VUV2" s="27"/>
      <c r="VUW2" s="27"/>
      <c r="VUX2" s="27"/>
      <c r="VUY2" s="27"/>
      <c r="VUZ2" s="27"/>
      <c r="VVA2" s="27"/>
      <c r="VVB2" s="27"/>
      <c r="VVC2" s="27"/>
      <c r="VVD2" s="27"/>
      <c r="VVE2" s="27"/>
      <c r="VVF2" s="27"/>
      <c r="VVG2" s="27"/>
      <c r="VVH2" s="27"/>
      <c r="VVI2" s="27"/>
      <c r="VVJ2" s="27"/>
      <c r="VVK2" s="27"/>
      <c r="VVL2" s="27"/>
      <c r="VVM2" s="27"/>
      <c r="VVN2" s="27"/>
      <c r="VVO2" s="27"/>
      <c r="VVP2" s="27"/>
      <c r="VVQ2" s="27"/>
      <c r="VVR2" s="27"/>
      <c r="VVS2" s="27"/>
      <c r="VVT2" s="27"/>
      <c r="VVU2" s="27"/>
      <c r="VVV2" s="27"/>
      <c r="VVW2" s="27"/>
      <c r="VVX2" s="27"/>
      <c r="VVY2" s="27"/>
      <c r="VVZ2" s="27"/>
      <c r="VWA2" s="27"/>
      <c r="VWB2" s="27"/>
      <c r="VWC2" s="27"/>
      <c r="VWD2" s="27"/>
      <c r="VWE2" s="27"/>
      <c r="VWF2" s="27"/>
      <c r="VWG2" s="27"/>
      <c r="VWH2" s="27"/>
      <c r="VWI2" s="27"/>
      <c r="VWJ2" s="27"/>
      <c r="VWK2" s="27"/>
      <c r="VWL2" s="27"/>
      <c r="VWM2" s="27"/>
      <c r="VWN2" s="27"/>
      <c r="VWO2" s="27"/>
      <c r="VWP2" s="27"/>
      <c r="VWQ2" s="27"/>
      <c r="VWR2" s="27"/>
      <c r="VWS2" s="27"/>
      <c r="VWT2" s="27"/>
      <c r="VWU2" s="27"/>
      <c r="VWV2" s="27"/>
      <c r="VWW2" s="27"/>
      <c r="VWX2" s="27"/>
      <c r="VWY2" s="27"/>
      <c r="VWZ2" s="27"/>
      <c r="VXA2" s="27"/>
      <c r="VXB2" s="27"/>
      <c r="VXC2" s="27"/>
      <c r="VXD2" s="27"/>
      <c r="VXE2" s="27"/>
      <c r="VXF2" s="27"/>
      <c r="VXG2" s="27"/>
      <c r="VXH2" s="27"/>
      <c r="VXI2" s="27"/>
      <c r="VXJ2" s="27"/>
      <c r="VXK2" s="27"/>
      <c r="VXL2" s="27"/>
      <c r="VXM2" s="27"/>
      <c r="VXN2" s="27"/>
      <c r="VXO2" s="27"/>
      <c r="VXP2" s="27"/>
      <c r="VXQ2" s="27"/>
      <c r="VXR2" s="27"/>
      <c r="VXS2" s="27"/>
      <c r="VXT2" s="27"/>
      <c r="VXU2" s="27"/>
      <c r="VXV2" s="27"/>
      <c r="VXW2" s="27"/>
      <c r="VXX2" s="27"/>
      <c r="VXY2" s="27"/>
      <c r="VXZ2" s="27"/>
      <c r="VYA2" s="27"/>
      <c r="VYB2" s="27"/>
      <c r="VYC2" s="27"/>
      <c r="VYD2" s="27"/>
      <c r="VYE2" s="27"/>
      <c r="VYF2" s="27"/>
      <c r="VYG2" s="27"/>
      <c r="VYH2" s="27"/>
      <c r="VYI2" s="27"/>
      <c r="VYJ2" s="27"/>
      <c r="VYK2" s="27"/>
      <c r="VYL2" s="27"/>
      <c r="VYM2" s="27"/>
      <c r="VYN2" s="27"/>
      <c r="VYO2" s="27"/>
      <c r="VYP2" s="27"/>
      <c r="VYQ2" s="27"/>
      <c r="VYR2" s="27"/>
      <c r="VYS2" s="27"/>
      <c r="VYT2" s="27"/>
      <c r="VYU2" s="27"/>
      <c r="VYV2" s="27"/>
      <c r="VYW2" s="27"/>
      <c r="VYX2" s="27"/>
      <c r="VYY2" s="27"/>
      <c r="VYZ2" s="27"/>
      <c r="VZA2" s="27"/>
      <c r="VZB2" s="27"/>
      <c r="VZC2" s="27"/>
      <c r="VZD2" s="27"/>
      <c r="VZE2" s="27"/>
      <c r="VZF2" s="27"/>
      <c r="VZG2" s="27"/>
      <c r="VZH2" s="27"/>
      <c r="VZI2" s="27"/>
      <c r="VZJ2" s="27"/>
      <c r="VZK2" s="27"/>
      <c r="VZL2" s="27"/>
      <c r="VZM2" s="27"/>
      <c r="VZN2" s="27"/>
      <c r="VZO2" s="27"/>
      <c r="VZP2" s="27"/>
      <c r="VZQ2" s="27"/>
      <c r="VZR2" s="27"/>
      <c r="VZS2" s="27"/>
      <c r="VZT2" s="27"/>
      <c r="VZU2" s="27"/>
      <c r="VZV2" s="27"/>
      <c r="VZW2" s="27"/>
      <c r="VZX2" s="27"/>
      <c r="VZY2" s="27"/>
      <c r="VZZ2" s="27"/>
      <c r="WAA2" s="27"/>
      <c r="WAB2" s="27"/>
      <c r="WAC2" s="27"/>
      <c r="WAD2" s="27"/>
      <c r="WAE2" s="27"/>
      <c r="WAF2" s="27"/>
      <c r="WAG2" s="27"/>
      <c r="WAH2" s="27"/>
      <c r="WAI2" s="27"/>
      <c r="WAJ2" s="27"/>
      <c r="WAK2" s="27"/>
      <c r="WAL2" s="27"/>
      <c r="WAM2" s="27"/>
      <c r="WAN2" s="27"/>
      <c r="WAO2" s="27"/>
      <c r="WAP2" s="27"/>
      <c r="WAQ2" s="27"/>
      <c r="WAR2" s="27"/>
      <c r="WAS2" s="27"/>
      <c r="WAT2" s="27"/>
      <c r="WAU2" s="27"/>
      <c r="WAV2" s="27"/>
      <c r="WAW2" s="27"/>
      <c r="WAX2" s="27"/>
      <c r="WAY2" s="27"/>
      <c r="WAZ2" s="27"/>
      <c r="WBA2" s="27"/>
      <c r="WBB2" s="27"/>
      <c r="WBC2" s="27"/>
      <c r="WBD2" s="27"/>
      <c r="WBE2" s="27"/>
      <c r="WBF2" s="27"/>
      <c r="WBG2" s="27"/>
      <c r="WBH2" s="27"/>
      <c r="WBI2" s="27"/>
      <c r="WBJ2" s="27"/>
      <c r="WBK2" s="27"/>
      <c r="WBL2" s="27"/>
      <c r="WBM2" s="27"/>
      <c r="WBN2" s="27"/>
      <c r="WBO2" s="27"/>
      <c r="WBP2" s="27"/>
      <c r="WBQ2" s="27"/>
      <c r="WBR2" s="27"/>
      <c r="WBS2" s="27"/>
      <c r="WBT2" s="27"/>
      <c r="WBU2" s="27"/>
      <c r="WBV2" s="27"/>
      <c r="WBW2" s="27"/>
      <c r="WBX2" s="27"/>
      <c r="WBY2" s="27"/>
      <c r="WBZ2" s="27"/>
      <c r="WCA2" s="27"/>
      <c r="WCB2" s="27"/>
      <c r="WCC2" s="27"/>
      <c r="WCD2" s="27"/>
      <c r="WCE2" s="27"/>
      <c r="WCF2" s="27"/>
      <c r="WCG2" s="27"/>
      <c r="WCH2" s="27"/>
      <c r="WCI2" s="27"/>
      <c r="WCJ2" s="27"/>
      <c r="WCK2" s="27"/>
      <c r="WCL2" s="27"/>
      <c r="WCM2" s="27"/>
      <c r="WCN2" s="27"/>
      <c r="WCO2" s="27"/>
      <c r="WCP2" s="27"/>
      <c r="WCQ2" s="27"/>
      <c r="WCR2" s="27"/>
      <c r="WCS2" s="27"/>
      <c r="WCT2" s="27"/>
      <c r="WCU2" s="27"/>
      <c r="WCV2" s="27"/>
      <c r="WCW2" s="27"/>
      <c r="WCX2" s="27"/>
      <c r="WCY2" s="27"/>
      <c r="WCZ2" s="27"/>
      <c r="WDA2" s="27"/>
      <c r="WDB2" s="27"/>
      <c r="WDC2" s="27"/>
      <c r="WDD2" s="27"/>
      <c r="WDE2" s="27"/>
      <c r="WDF2" s="27"/>
      <c r="WDG2" s="27"/>
      <c r="WDH2" s="27"/>
      <c r="WDI2" s="27"/>
      <c r="WDJ2" s="27"/>
      <c r="WDK2" s="27"/>
      <c r="WDL2" s="27"/>
      <c r="WDM2" s="27"/>
      <c r="WDN2" s="27"/>
      <c r="WDO2" s="27"/>
      <c r="WDP2" s="27"/>
      <c r="WDQ2" s="27"/>
      <c r="WDR2" s="27"/>
      <c r="WDS2" s="27"/>
      <c r="WDT2" s="27"/>
      <c r="WDU2" s="27"/>
      <c r="WDV2" s="27"/>
      <c r="WDW2" s="27"/>
      <c r="WDX2" s="27"/>
      <c r="WDY2" s="27"/>
      <c r="WDZ2" s="27"/>
      <c r="WEA2" s="27"/>
      <c r="WEB2" s="27"/>
      <c r="WEC2" s="27"/>
      <c r="WED2" s="27"/>
      <c r="WEE2" s="27"/>
      <c r="WEF2" s="27"/>
      <c r="WEG2" s="27"/>
      <c r="WEH2" s="27"/>
      <c r="WEI2" s="27"/>
      <c r="WEJ2" s="27"/>
      <c r="WEK2" s="27"/>
      <c r="WEL2" s="27"/>
      <c r="WEM2" s="27"/>
      <c r="WEN2" s="27"/>
      <c r="WEO2" s="27"/>
      <c r="WEP2" s="27"/>
      <c r="WEQ2" s="27"/>
      <c r="WER2" s="27"/>
      <c r="WES2" s="27"/>
      <c r="WET2" s="27"/>
      <c r="WEU2" s="27"/>
      <c r="WEV2" s="27"/>
      <c r="WEW2" s="27"/>
      <c r="WEX2" s="27"/>
      <c r="WEY2" s="27"/>
      <c r="WEZ2" s="27"/>
      <c r="WFA2" s="27"/>
      <c r="WFB2" s="27"/>
      <c r="WFC2" s="27"/>
      <c r="WFD2" s="27"/>
      <c r="WFE2" s="27"/>
      <c r="WFF2" s="27"/>
      <c r="WFG2" s="27"/>
      <c r="WFH2" s="27"/>
      <c r="WFI2" s="27"/>
      <c r="WFJ2" s="27"/>
      <c r="WFK2" s="27"/>
      <c r="WFL2" s="27"/>
      <c r="WFM2" s="27"/>
      <c r="WFN2" s="27"/>
      <c r="WFO2" s="27"/>
      <c r="WFP2" s="27"/>
      <c r="WFQ2" s="27"/>
      <c r="WFR2" s="27"/>
      <c r="WFS2" s="27"/>
      <c r="WFT2" s="27"/>
      <c r="WFU2" s="27"/>
      <c r="WFV2" s="27"/>
      <c r="WFW2" s="27"/>
      <c r="WFX2" s="27"/>
      <c r="WFY2" s="27"/>
      <c r="WFZ2" s="27"/>
      <c r="WGA2" s="27"/>
      <c r="WGB2" s="27"/>
      <c r="WGC2" s="27"/>
      <c r="WGD2" s="27"/>
      <c r="WGE2" s="27"/>
      <c r="WGF2" s="27"/>
      <c r="WGG2" s="27"/>
      <c r="WGH2" s="27"/>
      <c r="WGI2" s="27"/>
      <c r="WGJ2" s="27"/>
      <c r="WGK2" s="27"/>
      <c r="WGL2" s="27"/>
      <c r="WGM2" s="27"/>
      <c r="WGN2" s="27"/>
      <c r="WGO2" s="27"/>
      <c r="WGP2" s="27"/>
      <c r="WGQ2" s="27"/>
      <c r="WGR2" s="27"/>
      <c r="WGS2" s="27"/>
      <c r="WGT2" s="27"/>
      <c r="WGU2" s="27"/>
      <c r="WGV2" s="27"/>
      <c r="WGW2" s="27"/>
      <c r="WGX2" s="27"/>
      <c r="WGY2" s="27"/>
      <c r="WGZ2" s="27"/>
      <c r="WHA2" s="27"/>
      <c r="WHB2" s="27"/>
      <c r="WHC2" s="27"/>
      <c r="WHD2" s="27"/>
      <c r="WHE2" s="27"/>
      <c r="WHF2" s="27"/>
      <c r="WHG2" s="27"/>
      <c r="WHH2" s="27"/>
      <c r="WHI2" s="27"/>
      <c r="WHJ2" s="27"/>
      <c r="WHK2" s="27"/>
      <c r="WHL2" s="27"/>
      <c r="WHM2" s="27"/>
      <c r="WHN2" s="27"/>
      <c r="WHO2" s="27"/>
      <c r="WHP2" s="27"/>
      <c r="WHQ2" s="27"/>
      <c r="WHR2" s="27"/>
      <c r="WHS2" s="27"/>
      <c r="WHT2" s="27"/>
      <c r="WHU2" s="27"/>
      <c r="WHV2" s="27"/>
      <c r="WHW2" s="27"/>
      <c r="WHX2" s="27"/>
      <c r="WHY2" s="27"/>
      <c r="WHZ2" s="27"/>
      <c r="WIA2" s="27"/>
      <c r="WIB2" s="27"/>
      <c r="WIC2" s="27"/>
      <c r="WID2" s="27"/>
      <c r="WIE2" s="27"/>
      <c r="WIF2" s="27"/>
      <c r="WIG2" s="27"/>
      <c r="WIH2" s="27"/>
      <c r="WII2" s="27"/>
      <c r="WIJ2" s="27"/>
      <c r="WIK2" s="27"/>
      <c r="WIL2" s="27"/>
      <c r="WIM2" s="27"/>
      <c r="WIN2" s="27"/>
      <c r="WIO2" s="27"/>
      <c r="WIP2" s="27"/>
      <c r="WIQ2" s="27"/>
      <c r="WIR2" s="27"/>
      <c r="WIS2" s="27"/>
      <c r="WIT2" s="27"/>
      <c r="WIU2" s="27"/>
      <c r="WIV2" s="27"/>
      <c r="WIW2" s="27"/>
      <c r="WIX2" s="27"/>
      <c r="WIY2" s="27"/>
      <c r="WIZ2" s="27"/>
      <c r="WJA2" s="27"/>
      <c r="WJB2" s="27"/>
      <c r="WJC2" s="27"/>
      <c r="WJD2" s="27"/>
      <c r="WJE2" s="27"/>
      <c r="WJF2" s="27"/>
      <c r="WJG2" s="27"/>
      <c r="WJH2" s="27"/>
      <c r="WJI2" s="27"/>
      <c r="WJJ2" s="27"/>
      <c r="WJK2" s="27"/>
      <c r="WJL2" s="27"/>
      <c r="WJM2" s="27"/>
      <c r="WJN2" s="27"/>
      <c r="WJO2" s="27"/>
      <c r="WJP2" s="27"/>
      <c r="WJQ2" s="27"/>
      <c r="WJR2" s="27"/>
      <c r="WJS2" s="27"/>
      <c r="WJT2" s="27"/>
      <c r="WJU2" s="27"/>
      <c r="WJV2" s="27"/>
      <c r="WJW2" s="27"/>
      <c r="WJX2" s="27"/>
      <c r="WJY2" s="27"/>
      <c r="WJZ2" s="27"/>
      <c r="WKA2" s="27"/>
      <c r="WKB2" s="27"/>
      <c r="WKC2" s="27"/>
      <c r="WKD2" s="27"/>
      <c r="WKE2" s="27"/>
      <c r="WKF2" s="27"/>
      <c r="WKG2" s="27"/>
      <c r="WKH2" s="27"/>
      <c r="WKI2" s="27"/>
      <c r="WKJ2" s="27"/>
      <c r="WKK2" s="27"/>
      <c r="WKL2" s="27"/>
      <c r="WKM2" s="27"/>
      <c r="WKN2" s="27"/>
      <c r="WKO2" s="27"/>
      <c r="WKP2" s="27"/>
      <c r="WKQ2" s="27"/>
      <c r="WKR2" s="27"/>
      <c r="WKS2" s="27"/>
      <c r="WKT2" s="27"/>
      <c r="WKU2" s="27"/>
      <c r="WKV2" s="27"/>
      <c r="WKW2" s="27"/>
      <c r="WKX2" s="27"/>
      <c r="WKY2" s="27"/>
      <c r="WKZ2" s="27"/>
      <c r="WLA2" s="27"/>
      <c r="WLB2" s="27"/>
      <c r="WLC2" s="27"/>
      <c r="WLD2" s="27"/>
      <c r="WLE2" s="27"/>
      <c r="WLF2" s="27"/>
      <c r="WLG2" s="27"/>
      <c r="WLH2" s="27"/>
      <c r="WLI2" s="27"/>
      <c r="WLJ2" s="27"/>
      <c r="WLK2" s="27"/>
      <c r="WLL2" s="27"/>
      <c r="WLM2" s="27"/>
      <c r="WLN2" s="27"/>
      <c r="WLO2" s="27"/>
      <c r="WLP2" s="27"/>
      <c r="WLQ2" s="27"/>
      <c r="WLR2" s="27"/>
      <c r="WLS2" s="27"/>
      <c r="WLT2" s="27"/>
      <c r="WLU2" s="27"/>
      <c r="WLV2" s="27"/>
      <c r="WLW2" s="27"/>
      <c r="WLX2" s="27"/>
      <c r="WLY2" s="27"/>
      <c r="WLZ2" s="27"/>
      <c r="WMA2" s="27"/>
      <c r="WMB2" s="27"/>
      <c r="WMC2" s="27"/>
      <c r="WMD2" s="27"/>
      <c r="WME2" s="27"/>
      <c r="WMF2" s="27"/>
      <c r="WMG2" s="27"/>
      <c r="WMH2" s="27"/>
      <c r="WMI2" s="27"/>
      <c r="WMJ2" s="27"/>
      <c r="WMK2" s="27"/>
      <c r="WML2" s="27"/>
      <c r="WMM2" s="27"/>
      <c r="WMN2" s="27"/>
      <c r="WMO2" s="27"/>
      <c r="WMP2" s="27"/>
      <c r="WMQ2" s="27"/>
      <c r="WMR2" s="27"/>
      <c r="WMS2" s="27"/>
      <c r="WMT2" s="27"/>
      <c r="WMU2" s="27"/>
      <c r="WMV2" s="27"/>
      <c r="WMW2" s="27"/>
      <c r="WMX2" s="27"/>
      <c r="WMY2" s="27"/>
      <c r="WMZ2" s="27"/>
      <c r="WNA2" s="27"/>
      <c r="WNB2" s="27"/>
      <c r="WNC2" s="27"/>
      <c r="WND2" s="27"/>
      <c r="WNE2" s="27"/>
      <c r="WNF2" s="27"/>
      <c r="WNG2" s="27"/>
      <c r="WNH2" s="27"/>
      <c r="WNI2" s="27"/>
      <c r="WNJ2" s="27"/>
      <c r="WNK2" s="27"/>
      <c r="WNL2" s="27"/>
      <c r="WNM2" s="27"/>
      <c r="WNN2" s="27"/>
      <c r="WNO2" s="27"/>
      <c r="WNP2" s="27"/>
      <c r="WNQ2" s="27"/>
      <c r="WNR2" s="27"/>
      <c r="WNS2" s="27"/>
      <c r="WNT2" s="27"/>
      <c r="WNU2" s="27"/>
      <c r="WNV2" s="27"/>
      <c r="WNW2" s="27"/>
      <c r="WNX2" s="27"/>
      <c r="WNY2" s="27"/>
      <c r="WNZ2" s="27"/>
      <c r="WOA2" s="27"/>
      <c r="WOB2" s="27"/>
      <c r="WOC2" s="27"/>
      <c r="WOD2" s="27"/>
      <c r="WOE2" s="27"/>
      <c r="WOF2" s="27"/>
      <c r="WOG2" s="27"/>
      <c r="WOH2" s="27"/>
      <c r="WOI2" s="27"/>
      <c r="WOJ2" s="27"/>
      <c r="WOK2" s="27"/>
      <c r="WOL2" s="27"/>
      <c r="WOM2" s="27"/>
      <c r="WON2" s="27"/>
      <c r="WOO2" s="27"/>
      <c r="WOP2" s="27"/>
      <c r="WOQ2" s="27"/>
      <c r="WOR2" s="27"/>
      <c r="WOS2" s="27"/>
      <c r="WOT2" s="27"/>
      <c r="WOU2" s="27"/>
      <c r="WOV2" s="27"/>
      <c r="WOW2" s="27"/>
      <c r="WOX2" s="27"/>
      <c r="WOY2" s="27"/>
      <c r="WOZ2" s="27"/>
      <c r="WPA2" s="27"/>
      <c r="WPB2" s="27"/>
      <c r="WPC2" s="27"/>
      <c r="WPD2" s="27"/>
      <c r="WPE2" s="27"/>
      <c r="WPF2" s="27"/>
      <c r="WPG2" s="27"/>
      <c r="WPH2" s="27"/>
      <c r="WPI2" s="27"/>
      <c r="WPJ2" s="27"/>
      <c r="WPK2" s="27"/>
      <c r="WPL2" s="27"/>
      <c r="WPM2" s="27"/>
      <c r="WPN2" s="27"/>
      <c r="WPO2" s="27"/>
      <c r="WPP2" s="27"/>
      <c r="WPQ2" s="27"/>
      <c r="WPR2" s="27"/>
      <c r="WPS2" s="27"/>
      <c r="WPT2" s="27"/>
      <c r="WPU2" s="27"/>
      <c r="WPV2" s="27"/>
      <c r="WPW2" s="27"/>
      <c r="WPX2" s="27"/>
      <c r="WPY2" s="27"/>
      <c r="WPZ2" s="27"/>
      <c r="WQA2" s="27"/>
      <c r="WQB2" s="27"/>
      <c r="WQC2" s="27"/>
      <c r="WQD2" s="27"/>
      <c r="WQE2" s="27"/>
      <c r="WQF2" s="27"/>
      <c r="WQG2" s="27"/>
      <c r="WQH2" s="27"/>
      <c r="WQI2" s="27"/>
      <c r="WQJ2" s="27"/>
      <c r="WQK2" s="27"/>
      <c r="WQL2" s="27"/>
      <c r="WQM2" s="27"/>
      <c r="WQN2" s="27"/>
      <c r="WQO2" s="27"/>
      <c r="WQP2" s="27"/>
      <c r="WQQ2" s="27"/>
      <c r="WQR2" s="27"/>
      <c r="WQS2" s="27"/>
      <c r="WQT2" s="27"/>
      <c r="WQU2" s="27"/>
      <c r="WQV2" s="27"/>
      <c r="WQW2" s="27"/>
      <c r="WQX2" s="27"/>
      <c r="WQY2" s="27"/>
      <c r="WQZ2" s="27"/>
      <c r="WRA2" s="27"/>
      <c r="WRB2" s="27"/>
      <c r="WRC2" s="27"/>
      <c r="WRD2" s="27"/>
      <c r="WRE2" s="27"/>
      <c r="WRF2" s="27"/>
      <c r="WRG2" s="27"/>
      <c r="WRH2" s="27"/>
      <c r="WRI2" s="27"/>
      <c r="WRJ2" s="27"/>
      <c r="WRK2" s="27"/>
      <c r="WRL2" s="27"/>
      <c r="WRM2" s="27"/>
      <c r="WRN2" s="27"/>
      <c r="WRO2" s="27"/>
      <c r="WRP2" s="27"/>
      <c r="WRQ2" s="27"/>
      <c r="WRR2" s="27"/>
      <c r="WRS2" s="27"/>
      <c r="WRT2" s="27"/>
      <c r="WRU2" s="27"/>
      <c r="WRV2" s="27"/>
      <c r="WRW2" s="27"/>
      <c r="WRX2" s="27"/>
      <c r="WRY2" s="27"/>
      <c r="WRZ2" s="27"/>
      <c r="WSA2" s="27"/>
      <c r="WSB2" s="27"/>
      <c r="WSC2" s="27"/>
      <c r="WSD2" s="27"/>
      <c r="WSE2" s="27"/>
      <c r="WSF2" s="27"/>
      <c r="WSG2" s="27"/>
      <c r="WSH2" s="27"/>
      <c r="WSI2" s="27"/>
      <c r="WSJ2" s="27"/>
      <c r="WSK2" s="27"/>
      <c r="WSL2" s="27"/>
      <c r="WSM2" s="27"/>
      <c r="WSN2" s="27"/>
      <c r="WSO2" s="27"/>
      <c r="WSP2" s="27"/>
      <c r="WSQ2" s="27"/>
      <c r="WSR2" s="27"/>
      <c r="WSS2" s="27"/>
      <c r="WST2" s="27"/>
      <c r="WSU2" s="27"/>
      <c r="WSV2" s="27"/>
      <c r="WSW2" s="27"/>
      <c r="WSX2" s="27"/>
      <c r="WSY2" s="27"/>
      <c r="WSZ2" s="27"/>
      <c r="WTA2" s="27"/>
      <c r="WTB2" s="27"/>
      <c r="WTC2" s="27"/>
      <c r="WTD2" s="27"/>
      <c r="WTE2" s="27"/>
      <c r="WTF2" s="27"/>
      <c r="WTG2" s="27"/>
      <c r="WTH2" s="27"/>
      <c r="WTI2" s="27"/>
      <c r="WTJ2" s="27"/>
      <c r="WTK2" s="27"/>
      <c r="WTL2" s="27"/>
      <c r="WTM2" s="27"/>
      <c r="WTN2" s="27"/>
      <c r="WTO2" s="27"/>
      <c r="WTP2" s="27"/>
      <c r="WTQ2" s="27"/>
      <c r="WTR2" s="27"/>
      <c r="WTS2" s="27"/>
      <c r="WTT2" s="27"/>
      <c r="WTU2" s="27"/>
      <c r="WTV2" s="27"/>
      <c r="WTW2" s="27"/>
      <c r="WTX2" s="27"/>
      <c r="WTY2" s="27"/>
      <c r="WTZ2" s="27"/>
      <c r="WUA2" s="27"/>
      <c r="WUB2" s="27"/>
      <c r="WUC2" s="27"/>
      <c r="WUD2" s="27"/>
      <c r="WUE2" s="27"/>
      <c r="WUF2" s="27"/>
      <c r="WUG2" s="27"/>
      <c r="WUH2" s="27"/>
      <c r="WUI2" s="27"/>
      <c r="WUJ2" s="27"/>
      <c r="WUK2" s="27"/>
      <c r="WUL2" s="27"/>
      <c r="WUM2" s="27"/>
      <c r="WUN2" s="27"/>
      <c r="WUO2" s="27"/>
      <c r="WUP2" s="27"/>
      <c r="WUQ2" s="27"/>
      <c r="WUR2" s="27"/>
      <c r="WUS2" s="27"/>
      <c r="WUT2" s="27"/>
      <c r="WUU2" s="27"/>
      <c r="WUV2" s="27"/>
      <c r="WUW2" s="27"/>
      <c r="WUX2" s="27"/>
      <c r="WUY2" s="27"/>
      <c r="WUZ2" s="27"/>
      <c r="WVA2" s="27"/>
      <c r="WVB2" s="27"/>
      <c r="WVC2" s="27"/>
      <c r="WVD2" s="27"/>
      <c r="WVE2" s="27"/>
      <c r="WVF2" s="27"/>
      <c r="WVG2" s="27"/>
      <c r="WVH2" s="27"/>
      <c r="WVI2" s="27"/>
      <c r="WVJ2" s="27"/>
      <c r="WVK2" s="27"/>
      <c r="WVL2" s="27"/>
      <c r="WVM2" s="27"/>
      <c r="WVN2" s="27"/>
      <c r="WVO2" s="27"/>
      <c r="WVP2" s="27"/>
      <c r="WVQ2" s="27"/>
      <c r="WVR2" s="27"/>
      <c r="WVS2" s="27"/>
      <c r="WVT2" s="27"/>
      <c r="WVU2" s="27"/>
      <c r="WVV2" s="27"/>
      <c r="WVW2" s="27"/>
      <c r="WVX2" s="27"/>
      <c r="WVY2" s="27"/>
      <c r="WVZ2" s="27"/>
      <c r="WWA2" s="27"/>
      <c r="WWB2" s="27"/>
      <c r="WWC2" s="27"/>
      <c r="WWD2" s="27"/>
      <c r="WWE2" s="27"/>
      <c r="WWF2" s="27"/>
      <c r="WWG2" s="27"/>
      <c r="WWH2" s="27"/>
      <c r="WWI2" s="27"/>
      <c r="WWJ2" s="27"/>
      <c r="WWK2" s="27"/>
      <c r="WWL2" s="27"/>
      <c r="WWM2" s="27"/>
      <c r="WWN2" s="27"/>
      <c r="WWO2" s="27"/>
      <c r="WWP2" s="27"/>
      <c r="WWQ2" s="27"/>
      <c r="WWR2" s="27"/>
      <c r="WWS2" s="27"/>
      <c r="WWT2" s="27"/>
      <c r="WWU2" s="27"/>
      <c r="WWV2" s="27"/>
      <c r="WWW2" s="27"/>
      <c r="WWX2" s="27"/>
      <c r="WWY2" s="27"/>
      <c r="WWZ2" s="27"/>
      <c r="WXA2" s="27"/>
      <c r="WXB2" s="27"/>
      <c r="WXC2" s="27"/>
      <c r="WXD2" s="27"/>
      <c r="WXE2" s="27"/>
      <c r="WXF2" s="27"/>
      <c r="WXG2" s="27"/>
      <c r="WXH2" s="27"/>
      <c r="WXI2" s="27"/>
      <c r="WXJ2" s="27"/>
      <c r="WXK2" s="27"/>
      <c r="WXL2" s="27"/>
      <c r="WXM2" s="27"/>
      <c r="WXN2" s="27"/>
      <c r="WXO2" s="27"/>
      <c r="WXP2" s="27"/>
      <c r="WXQ2" s="27"/>
      <c r="WXR2" s="27"/>
      <c r="WXS2" s="27"/>
      <c r="WXT2" s="27"/>
      <c r="WXU2" s="27"/>
      <c r="WXV2" s="27"/>
      <c r="WXW2" s="27"/>
      <c r="WXX2" s="27"/>
      <c r="WXY2" s="27"/>
      <c r="WXZ2" s="27"/>
      <c r="WYA2" s="27"/>
      <c r="WYB2" s="27"/>
      <c r="WYC2" s="27"/>
      <c r="WYD2" s="27"/>
      <c r="WYE2" s="27"/>
      <c r="WYF2" s="27"/>
      <c r="WYG2" s="27"/>
      <c r="WYH2" s="27"/>
      <c r="WYI2" s="27"/>
      <c r="WYJ2" s="27"/>
      <c r="WYK2" s="27"/>
      <c r="WYL2" s="27"/>
      <c r="WYM2" s="27"/>
      <c r="WYN2" s="27"/>
      <c r="WYO2" s="27"/>
      <c r="WYP2" s="27"/>
      <c r="WYQ2" s="27"/>
      <c r="WYR2" s="27"/>
      <c r="WYS2" s="27"/>
      <c r="WYT2" s="27"/>
      <c r="WYU2" s="27"/>
      <c r="WYV2" s="27"/>
      <c r="WYW2" s="27"/>
      <c r="WYX2" s="27"/>
      <c r="WYY2" s="27"/>
      <c r="WYZ2" s="27"/>
      <c r="WZA2" s="27"/>
      <c r="WZB2" s="27"/>
      <c r="WZC2" s="27"/>
      <c r="WZD2" s="27"/>
      <c r="WZE2" s="27"/>
      <c r="WZF2" s="27"/>
      <c r="WZG2" s="27"/>
      <c r="WZH2" s="27"/>
      <c r="WZI2" s="27"/>
      <c r="WZJ2" s="27"/>
      <c r="WZK2" s="27"/>
      <c r="WZL2" s="27"/>
      <c r="WZM2" s="27"/>
      <c r="WZN2" s="27"/>
      <c r="WZO2" s="27"/>
      <c r="WZP2" s="27"/>
      <c r="WZQ2" s="27"/>
      <c r="WZR2" s="27"/>
      <c r="WZS2" s="27"/>
      <c r="WZT2" s="27"/>
      <c r="WZU2" s="27"/>
      <c r="WZV2" s="27"/>
      <c r="WZW2" s="27"/>
      <c r="WZX2" s="27"/>
      <c r="WZY2" s="27"/>
      <c r="WZZ2" s="27"/>
      <c r="XAA2" s="27"/>
      <c r="XAB2" s="27"/>
      <c r="XAC2" s="27"/>
      <c r="XAD2" s="27"/>
      <c r="XAE2" s="27"/>
      <c r="XAF2" s="27"/>
      <c r="XAG2" s="27"/>
      <c r="XAH2" s="27"/>
      <c r="XAI2" s="27"/>
      <c r="XAJ2" s="27"/>
      <c r="XAK2" s="27"/>
      <c r="XAL2" s="27"/>
      <c r="XAM2" s="27"/>
      <c r="XAN2" s="27"/>
      <c r="XAO2" s="27"/>
      <c r="XAP2" s="27"/>
      <c r="XAQ2" s="27"/>
      <c r="XAR2" s="27"/>
      <c r="XAS2" s="27"/>
      <c r="XAT2" s="27"/>
      <c r="XAU2" s="27"/>
      <c r="XAV2" s="27"/>
      <c r="XAW2" s="27"/>
      <c r="XAX2" s="27"/>
      <c r="XAY2" s="27"/>
      <c r="XAZ2" s="27"/>
      <c r="XBA2" s="27"/>
      <c r="XBB2" s="27"/>
      <c r="XBC2" s="27"/>
      <c r="XBD2" s="27"/>
      <c r="XBE2" s="27"/>
      <c r="XBF2" s="27"/>
      <c r="XBG2" s="27"/>
      <c r="XBH2" s="27"/>
      <c r="XBI2" s="27"/>
      <c r="XBJ2" s="27"/>
      <c r="XBK2" s="27"/>
      <c r="XBL2" s="27"/>
      <c r="XBM2" s="27"/>
      <c r="XBN2" s="27"/>
      <c r="XBO2" s="27"/>
      <c r="XBP2" s="27"/>
      <c r="XBQ2" s="27"/>
      <c r="XBR2" s="27"/>
      <c r="XBS2" s="27"/>
      <c r="XBT2" s="27"/>
      <c r="XBU2" s="27"/>
      <c r="XBV2" s="27"/>
      <c r="XBW2" s="27"/>
      <c r="XBX2" s="27"/>
      <c r="XBY2" s="27"/>
      <c r="XBZ2" s="27"/>
      <c r="XCA2" s="27"/>
      <c r="XCB2" s="27"/>
      <c r="XCC2" s="27"/>
      <c r="XCD2" s="27"/>
      <c r="XCE2" s="27"/>
      <c r="XCF2" s="27"/>
      <c r="XCG2" s="27"/>
      <c r="XCH2" s="27"/>
      <c r="XCI2" s="27"/>
      <c r="XCJ2" s="27"/>
      <c r="XCK2" s="27"/>
      <c r="XCL2" s="27"/>
      <c r="XCM2" s="27"/>
      <c r="XCN2" s="27"/>
      <c r="XCO2" s="27"/>
      <c r="XCP2" s="27"/>
      <c r="XCQ2" s="27"/>
      <c r="XCR2" s="27"/>
      <c r="XCS2" s="27"/>
      <c r="XCT2" s="27"/>
      <c r="XCU2" s="27"/>
      <c r="XCV2" s="27"/>
      <c r="XCW2" s="27"/>
      <c r="XCX2" s="27"/>
      <c r="XCY2" s="27"/>
      <c r="XCZ2" s="27"/>
      <c r="XDA2" s="27"/>
      <c r="XDB2" s="27"/>
      <c r="XDC2" s="27"/>
      <c r="XDD2" s="27"/>
      <c r="XDE2" s="27"/>
      <c r="XDF2" s="27"/>
      <c r="XDG2" s="27"/>
      <c r="XDH2" s="27"/>
      <c r="XDI2" s="27"/>
      <c r="XDJ2" s="27"/>
      <c r="XDK2" s="27"/>
      <c r="XDL2" s="27"/>
      <c r="XDM2" s="27"/>
      <c r="XDN2" s="27"/>
      <c r="XDO2" s="27"/>
      <c r="XDP2" s="27"/>
      <c r="XDQ2" s="27"/>
      <c r="XDR2" s="27"/>
      <c r="XDS2" s="27"/>
      <c r="XDT2" s="27"/>
      <c r="XDU2" s="27"/>
      <c r="XDV2" s="27"/>
      <c r="XDW2" s="27"/>
      <c r="XDX2" s="27"/>
      <c r="XDY2" s="27"/>
      <c r="XDZ2" s="27"/>
      <c r="XEA2" s="27"/>
      <c r="XEB2" s="27"/>
      <c r="XEC2" s="27"/>
      <c r="XED2" s="27"/>
      <c r="XEE2" s="27"/>
      <c r="XEF2" s="27"/>
      <c r="XEG2" s="27"/>
      <c r="XEH2" s="27"/>
      <c r="XEI2" s="27"/>
      <c r="XEJ2" s="27"/>
      <c r="XEK2" s="27"/>
      <c r="XEL2" s="27"/>
      <c r="XEM2" s="27"/>
      <c r="XEN2" s="27"/>
      <c r="XEO2" s="27"/>
      <c r="XEP2" s="27"/>
      <c r="XEQ2" s="27"/>
      <c r="XER2" s="27"/>
      <c r="XES2" s="27"/>
    </row>
    <row r="3" spans="1:16373" ht="15.6" x14ac:dyDescent="0.3">
      <c r="A3" s="41" t="s">
        <v>1160</v>
      </c>
      <c r="B3" s="43" t="s">
        <v>1161</v>
      </c>
      <c r="C3" s="43" t="s">
        <v>110</v>
      </c>
      <c r="D3" s="44" t="s">
        <v>1202</v>
      </c>
      <c r="E3" s="40" t="s">
        <v>1374</v>
      </c>
      <c r="F3" s="40">
        <v>45946</v>
      </c>
      <c r="G3" s="41">
        <v>49991949900</v>
      </c>
      <c r="H3" s="39">
        <v>1158001045</v>
      </c>
      <c r="I3" s="35" t="s">
        <v>287</v>
      </c>
      <c r="J3" s="47" t="s">
        <v>1377</v>
      </c>
    </row>
  </sheetData>
  <conditionalFormatting sqref="C2:C3">
    <cfRule type="duplicateValues" dxfId="4" priority="4"/>
  </conditionalFormatting>
  <conditionalFormatting sqref="D2:D3">
    <cfRule type="duplicateValues" dxfId="3" priority="5"/>
  </conditionalFormatting>
  <conditionalFormatting sqref="E1:E3">
    <cfRule type="cellIs" dxfId="2" priority="3" operator="equal">
      <formula>"Demitido"</formula>
    </cfRule>
  </conditionalFormatting>
  <conditionalFormatting sqref="I2">
    <cfRule type="duplicateValues" dxfId="1" priority="2"/>
  </conditionalFormatting>
  <conditionalFormatting sqref="I3">
    <cfRule type="duplicateValues" dxfId="0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488E-0C54-4902-AD20-948555C2D4CF}">
  <sheetPr filterMode="1"/>
  <dimension ref="A1:AD401"/>
  <sheetViews>
    <sheetView tabSelected="1" topLeftCell="Q1" workbookViewId="0">
      <selection sqref="A1:AD311"/>
    </sheetView>
  </sheetViews>
  <sheetFormatPr defaultRowHeight="14.4" x14ac:dyDescent="0.3"/>
  <cols>
    <col min="30" max="30" width="54.6640625" bestFit="1" customWidth="1"/>
  </cols>
  <sheetData>
    <row r="1" spans="1:30" x14ac:dyDescent="0.3">
      <c r="A1" t="s">
        <v>1378</v>
      </c>
      <c r="B1" t="s">
        <v>1379</v>
      </c>
      <c r="C1" t="s">
        <v>1380</v>
      </c>
      <c r="D1" t="s">
        <v>1381</v>
      </c>
      <c r="E1" t="s">
        <v>1382</v>
      </c>
      <c r="F1" t="s">
        <v>13</v>
      </c>
      <c r="G1" t="s">
        <v>1383</v>
      </c>
      <c r="H1" t="s">
        <v>1384</v>
      </c>
      <c r="I1" t="s">
        <v>10</v>
      </c>
      <c r="J1" t="s">
        <v>1385</v>
      </c>
      <c r="K1" t="s">
        <v>1386</v>
      </c>
      <c r="L1" t="s">
        <v>1387</v>
      </c>
      <c r="M1" t="s">
        <v>1388</v>
      </c>
      <c r="N1" t="s">
        <v>1389</v>
      </c>
      <c r="O1" t="s">
        <v>1390</v>
      </c>
      <c r="P1" t="s">
        <v>1391</v>
      </c>
      <c r="Q1" t="s">
        <v>1392</v>
      </c>
      <c r="R1" t="s">
        <v>1393</v>
      </c>
      <c r="S1" t="s">
        <v>1394</v>
      </c>
      <c r="T1" t="s">
        <v>1395</v>
      </c>
      <c r="U1" t="s">
        <v>1396</v>
      </c>
      <c r="V1" t="s">
        <v>1397</v>
      </c>
      <c r="W1" t="s">
        <v>1398</v>
      </c>
      <c r="X1" t="s">
        <v>1399</v>
      </c>
      <c r="Y1" t="s">
        <v>1400</v>
      </c>
      <c r="Z1" t="s">
        <v>8</v>
      </c>
      <c r="AA1" t="s">
        <v>1401</v>
      </c>
      <c r="AB1" t="s">
        <v>1402</v>
      </c>
      <c r="AC1" t="s">
        <v>1403</v>
      </c>
      <c r="AD1" t="s">
        <v>1404</v>
      </c>
    </row>
    <row r="2" spans="1:30" hidden="1" x14ac:dyDescent="0.3">
      <c r="A2" t="s">
        <v>1405</v>
      </c>
      <c r="B2" t="s">
        <v>1406</v>
      </c>
      <c r="C2" t="s">
        <v>1407</v>
      </c>
      <c r="D2">
        <v>1747938203</v>
      </c>
      <c r="E2">
        <v>6795256</v>
      </c>
      <c r="F2">
        <v>1158000682</v>
      </c>
      <c r="G2" s="1">
        <v>45754</v>
      </c>
      <c r="H2" t="s">
        <v>1350</v>
      </c>
      <c r="I2" t="s">
        <v>1374</v>
      </c>
      <c r="J2" t="s">
        <v>1363</v>
      </c>
      <c r="K2" t="s">
        <v>1353</v>
      </c>
      <c r="L2" t="s">
        <v>1408</v>
      </c>
      <c r="M2" t="s">
        <v>1409</v>
      </c>
      <c r="N2" t="s">
        <v>1410</v>
      </c>
      <c r="O2" t="s">
        <v>1411</v>
      </c>
      <c r="P2" t="s">
        <v>1411</v>
      </c>
      <c r="Q2" t="s">
        <v>1412</v>
      </c>
      <c r="S2" s="1">
        <v>46043</v>
      </c>
      <c r="W2" s="1">
        <v>33754</v>
      </c>
      <c r="X2" t="s">
        <v>1413</v>
      </c>
      <c r="Z2" t="s">
        <v>1414</v>
      </c>
      <c r="AA2" t="s">
        <v>1415</v>
      </c>
      <c r="AB2" t="s">
        <v>468</v>
      </c>
      <c r="AC2">
        <v>94991939146</v>
      </c>
      <c r="AD2" t="str">
        <f>_xlfn.XLOOKUP(F2,'Base de Tutores'!L:L,'Base de Tutores'!F:F)</f>
        <v>ECE-ENM-ENS-ENG-EEA-GPI-CDE-OBR-SAN-TER-FSA-SLF-QUI</v>
      </c>
    </row>
    <row r="3" spans="1:30" hidden="1" x14ac:dyDescent="0.3">
      <c r="A3" t="s">
        <v>1405</v>
      </c>
      <c r="B3" t="s">
        <v>1406</v>
      </c>
      <c r="C3" t="s">
        <v>1416</v>
      </c>
      <c r="D3">
        <v>4533765688</v>
      </c>
      <c r="E3" s="3">
        <v>6494406</v>
      </c>
      <c r="F3">
        <v>1158000557</v>
      </c>
      <c r="G3" s="1">
        <v>45733</v>
      </c>
      <c r="H3" t="s">
        <v>1350</v>
      </c>
      <c r="I3" t="s">
        <v>1374</v>
      </c>
      <c r="J3" t="s">
        <v>1363</v>
      </c>
      <c r="K3" t="s">
        <v>1353</v>
      </c>
      <c r="L3" t="s">
        <v>1408</v>
      </c>
      <c r="M3" t="s">
        <v>1409</v>
      </c>
      <c r="N3" t="s">
        <v>1410</v>
      </c>
      <c r="O3" t="s">
        <v>1411</v>
      </c>
      <c r="P3" t="s">
        <v>1417</v>
      </c>
      <c r="Q3" t="s">
        <v>1412</v>
      </c>
      <c r="S3" s="1">
        <v>46043</v>
      </c>
      <c r="W3" s="1">
        <v>28516</v>
      </c>
      <c r="X3" t="s">
        <v>1418</v>
      </c>
      <c r="Z3" t="s">
        <v>1414</v>
      </c>
      <c r="AA3" t="s">
        <v>1419</v>
      </c>
      <c r="AB3" t="s">
        <v>391</v>
      </c>
      <c r="AC3">
        <v>38991122591</v>
      </c>
      <c r="AD3" t="str">
        <f>_xlfn.XLOOKUP(F3,'Base de Tutores'!L:L,'Base de Tutores'!F:F)</f>
        <v>EMF-ISN</v>
      </c>
    </row>
    <row r="4" spans="1:30" hidden="1" x14ac:dyDescent="0.3">
      <c r="A4" t="s">
        <v>1405</v>
      </c>
      <c r="B4" t="s">
        <v>1406</v>
      </c>
      <c r="C4" t="s">
        <v>1420</v>
      </c>
      <c r="D4">
        <v>5036188101</v>
      </c>
      <c r="E4">
        <v>5036188101</v>
      </c>
      <c r="F4">
        <v>1158000822</v>
      </c>
      <c r="G4" s="1">
        <v>45873</v>
      </c>
      <c r="H4" t="s">
        <v>1350</v>
      </c>
      <c r="I4" t="s">
        <v>1374</v>
      </c>
      <c r="J4" t="s">
        <v>1363</v>
      </c>
      <c r="K4" t="s">
        <v>1353</v>
      </c>
      <c r="L4" t="s">
        <v>1408</v>
      </c>
      <c r="M4" t="s">
        <v>1421</v>
      </c>
      <c r="N4" t="s">
        <v>1422</v>
      </c>
      <c r="O4" t="s">
        <v>1423</v>
      </c>
      <c r="P4" t="s">
        <v>1423</v>
      </c>
      <c r="Q4" t="s">
        <v>1412</v>
      </c>
      <c r="S4" s="1">
        <v>46043</v>
      </c>
      <c r="W4" s="1">
        <v>35733</v>
      </c>
      <c r="X4" t="s">
        <v>1424</v>
      </c>
      <c r="Z4" t="s">
        <v>1414</v>
      </c>
      <c r="AA4" t="s">
        <v>1419</v>
      </c>
      <c r="AB4" t="s">
        <v>761</v>
      </c>
      <c r="AC4">
        <v>61983537255</v>
      </c>
      <c r="AD4" t="str">
        <f>_xlfn.XLOOKUP(F4,'Base de Tutores'!L:L,'Base de Tutores'!F:F)</f>
        <v>BFI</v>
      </c>
    </row>
    <row r="5" spans="1:30" hidden="1" x14ac:dyDescent="0.3">
      <c r="A5" t="s">
        <v>1405</v>
      </c>
      <c r="B5" t="s">
        <v>1406</v>
      </c>
      <c r="C5" t="s">
        <v>1425</v>
      </c>
      <c r="D5">
        <v>78246318500</v>
      </c>
      <c r="E5" t="s">
        <v>1426</v>
      </c>
      <c r="F5">
        <v>1158000676</v>
      </c>
      <c r="G5" s="1">
        <v>45754</v>
      </c>
      <c r="H5" t="s">
        <v>1350</v>
      </c>
      <c r="I5" t="s">
        <v>1374</v>
      </c>
      <c r="J5" t="s">
        <v>1427</v>
      </c>
      <c r="K5" t="s">
        <v>1356</v>
      </c>
      <c r="L5" t="s">
        <v>1408</v>
      </c>
      <c r="M5" t="s">
        <v>1421</v>
      </c>
      <c r="N5" t="s">
        <v>1422</v>
      </c>
      <c r="O5" t="s">
        <v>1411</v>
      </c>
      <c r="P5" t="s">
        <v>1423</v>
      </c>
      <c r="Q5" t="s">
        <v>1412</v>
      </c>
      <c r="S5" s="1">
        <v>46043</v>
      </c>
      <c r="W5" s="1">
        <v>29429</v>
      </c>
      <c r="X5" t="s">
        <v>1428</v>
      </c>
      <c r="Z5" t="s">
        <v>1414</v>
      </c>
      <c r="AA5" t="s">
        <v>1419</v>
      </c>
      <c r="AB5" t="s">
        <v>403</v>
      </c>
      <c r="AC5">
        <v>79998904528</v>
      </c>
      <c r="AD5" t="str">
        <f>_xlfn.XLOOKUP(F5,'Base de Tutores'!L:L,'Base de Tutores'!F:F)</f>
        <v>EMF-ISN</v>
      </c>
    </row>
    <row r="6" spans="1:30" hidden="1" x14ac:dyDescent="0.3">
      <c r="A6" t="s">
        <v>1405</v>
      </c>
      <c r="B6" t="s">
        <v>1406</v>
      </c>
      <c r="C6" t="s">
        <v>1429</v>
      </c>
      <c r="D6">
        <v>94484570572</v>
      </c>
      <c r="E6">
        <v>892478845</v>
      </c>
      <c r="F6">
        <v>1158001199</v>
      </c>
      <c r="G6" s="1">
        <v>46118</v>
      </c>
      <c r="H6" t="s">
        <v>1350</v>
      </c>
      <c r="I6" t="s">
        <v>1374</v>
      </c>
      <c r="J6" t="s">
        <v>1363</v>
      </c>
      <c r="K6" t="s">
        <v>1353</v>
      </c>
      <c r="L6" t="s">
        <v>1408</v>
      </c>
      <c r="M6" t="s">
        <v>1421</v>
      </c>
      <c r="N6" t="s">
        <v>1422</v>
      </c>
      <c r="O6" t="s">
        <v>1411</v>
      </c>
      <c r="P6" t="s">
        <v>1411</v>
      </c>
      <c r="Q6" t="s">
        <v>1412</v>
      </c>
      <c r="S6" s="1">
        <v>46118</v>
      </c>
      <c r="W6" s="1">
        <v>28207</v>
      </c>
      <c r="X6" t="s">
        <v>1430</v>
      </c>
      <c r="Z6" t="s">
        <v>1414</v>
      </c>
      <c r="AA6" t="s">
        <v>1419</v>
      </c>
      <c r="AB6" t="s">
        <v>1147</v>
      </c>
      <c r="AC6">
        <v>75991736238</v>
      </c>
      <c r="AD6" t="str">
        <f>_xlfn.XLOOKUP(F6,'Base de Tutores'!L:L,'Base de Tutores'!F:F)</f>
        <v>EMF-ISN</v>
      </c>
    </row>
    <row r="7" spans="1:30" hidden="1" x14ac:dyDescent="0.3">
      <c r="A7" t="s">
        <v>1405</v>
      </c>
      <c r="B7" t="s">
        <v>1406</v>
      </c>
      <c r="C7" t="s">
        <v>1431</v>
      </c>
      <c r="D7">
        <v>4263860519</v>
      </c>
      <c r="E7">
        <v>1494076969</v>
      </c>
      <c r="F7">
        <v>1158000585</v>
      </c>
      <c r="G7" s="1">
        <v>45735</v>
      </c>
      <c r="H7" t="s">
        <v>1350</v>
      </c>
      <c r="I7" t="s">
        <v>1349</v>
      </c>
      <c r="J7" t="s">
        <v>1363</v>
      </c>
      <c r="K7" t="s">
        <v>1353</v>
      </c>
      <c r="L7" t="s">
        <v>1408</v>
      </c>
      <c r="M7" t="s">
        <v>1409</v>
      </c>
      <c r="N7" t="s">
        <v>1410</v>
      </c>
      <c r="O7" t="s">
        <v>1411</v>
      </c>
      <c r="P7" t="s">
        <v>1411</v>
      </c>
      <c r="Q7" t="s">
        <v>1412</v>
      </c>
      <c r="S7" s="1">
        <v>46061</v>
      </c>
      <c r="V7" s="1">
        <v>46057</v>
      </c>
      <c r="W7" s="1">
        <v>32987</v>
      </c>
      <c r="X7" t="s">
        <v>1432</v>
      </c>
      <c r="Y7" t="s">
        <v>1433</v>
      </c>
      <c r="Z7" t="s">
        <v>1414</v>
      </c>
      <c r="AA7" t="s">
        <v>1419</v>
      </c>
      <c r="AB7" t="s">
        <v>591</v>
      </c>
      <c r="AC7">
        <v>75991897118</v>
      </c>
      <c r="AD7" t="str">
        <f>_xlfn.XLOOKUP(F7,'Base de Tutores'!L:L,'Base de Tutores'!F:F)</f>
        <v>EMF-ISN</v>
      </c>
    </row>
    <row r="8" spans="1:30" hidden="1" x14ac:dyDescent="0.3">
      <c r="A8" t="s">
        <v>1405</v>
      </c>
      <c r="B8" t="s">
        <v>1406</v>
      </c>
      <c r="C8" t="s">
        <v>1434</v>
      </c>
      <c r="D8">
        <v>7520198308</v>
      </c>
      <c r="E8" t="s">
        <v>1435</v>
      </c>
      <c r="F8">
        <v>1158001014</v>
      </c>
      <c r="G8" s="1">
        <v>45936</v>
      </c>
      <c r="H8" t="s">
        <v>1350</v>
      </c>
      <c r="I8" t="s">
        <v>1374</v>
      </c>
      <c r="J8" t="s">
        <v>1363</v>
      </c>
      <c r="K8" t="s">
        <v>1353</v>
      </c>
      <c r="L8" t="s">
        <v>1408</v>
      </c>
      <c r="M8" t="s">
        <v>1421</v>
      </c>
      <c r="N8" t="s">
        <v>1422</v>
      </c>
      <c r="O8" t="s">
        <v>1411</v>
      </c>
      <c r="P8" t="s">
        <v>1411</v>
      </c>
      <c r="Q8" t="s">
        <v>1412</v>
      </c>
      <c r="S8" s="1">
        <v>46043</v>
      </c>
      <c r="W8" s="1">
        <v>36308</v>
      </c>
      <c r="X8" t="s">
        <v>1436</v>
      </c>
      <c r="Z8" t="s">
        <v>1414</v>
      </c>
      <c r="AA8" t="s">
        <v>1415</v>
      </c>
      <c r="AB8" t="s">
        <v>1155</v>
      </c>
      <c r="AC8">
        <v>88997636001</v>
      </c>
      <c r="AD8" t="str">
        <f>_xlfn.XLOOKUP(F8,'Base de Tutores'!L:L,'Base de Tutores'!F:F)</f>
        <v>BFI</v>
      </c>
    </row>
    <row r="9" spans="1:30" hidden="1" x14ac:dyDescent="0.3">
      <c r="A9" t="s">
        <v>1405</v>
      </c>
      <c r="B9" t="s">
        <v>1406</v>
      </c>
      <c r="C9" t="s">
        <v>1437</v>
      </c>
      <c r="D9">
        <v>83528474220</v>
      </c>
      <c r="E9" t="s">
        <v>1438</v>
      </c>
      <c r="F9">
        <v>1158000615</v>
      </c>
      <c r="G9" s="1">
        <v>45782</v>
      </c>
      <c r="H9" t="s">
        <v>1350</v>
      </c>
      <c r="I9" t="s">
        <v>1374</v>
      </c>
      <c r="J9" t="s">
        <v>1363</v>
      </c>
      <c r="K9" t="s">
        <v>1353</v>
      </c>
      <c r="L9" t="s">
        <v>1408</v>
      </c>
      <c r="M9" t="s">
        <v>1409</v>
      </c>
      <c r="N9" t="s">
        <v>1410</v>
      </c>
      <c r="O9" t="s">
        <v>1439</v>
      </c>
      <c r="P9" t="s">
        <v>1439</v>
      </c>
      <c r="Q9" t="s">
        <v>1412</v>
      </c>
      <c r="S9" s="1">
        <v>46043</v>
      </c>
      <c r="W9" s="1">
        <v>31779</v>
      </c>
      <c r="X9" t="s">
        <v>1440</v>
      </c>
      <c r="Z9" t="s">
        <v>1414</v>
      </c>
      <c r="AA9" t="s">
        <v>1415</v>
      </c>
      <c r="AB9" t="s">
        <v>603</v>
      </c>
      <c r="AC9">
        <v>65999999856</v>
      </c>
      <c r="AD9" t="str">
        <f>_xlfn.XLOOKUP(F9,'Base de Tutores'!L:L,'Base de Tutores'!F:F)</f>
        <v>ECE-ENM-ENS-ENG-EEA-GPI-CDE-OBR-SAN-TER-FSA-SLF-QUI</v>
      </c>
    </row>
    <row r="10" spans="1:30" hidden="1" x14ac:dyDescent="0.3">
      <c r="A10" t="s">
        <v>1405</v>
      </c>
      <c r="B10" t="s">
        <v>1406</v>
      </c>
      <c r="C10" t="s">
        <v>1441</v>
      </c>
      <c r="D10">
        <v>2317318090</v>
      </c>
      <c r="E10">
        <v>9098788756</v>
      </c>
      <c r="F10">
        <v>1158000868</v>
      </c>
      <c r="G10" s="1">
        <v>45882</v>
      </c>
      <c r="H10" t="s">
        <v>1350</v>
      </c>
      <c r="I10" t="s">
        <v>1374</v>
      </c>
      <c r="J10" t="s">
        <v>1363</v>
      </c>
      <c r="K10" t="s">
        <v>1353</v>
      </c>
      <c r="L10" t="s">
        <v>1408</v>
      </c>
      <c r="M10" t="s">
        <v>1442</v>
      </c>
      <c r="N10" t="s">
        <v>1443</v>
      </c>
      <c r="O10" t="s">
        <v>1423</v>
      </c>
      <c r="P10" t="s">
        <v>1423</v>
      </c>
      <c r="Q10" t="s">
        <v>1412</v>
      </c>
      <c r="S10" s="1">
        <v>46043</v>
      </c>
      <c r="W10" s="1">
        <v>32572</v>
      </c>
      <c r="X10" t="s">
        <v>1444</v>
      </c>
      <c r="Y10" t="s">
        <v>1445</v>
      </c>
      <c r="Z10" t="s">
        <v>1414</v>
      </c>
      <c r="AA10" t="s">
        <v>1419</v>
      </c>
      <c r="AB10" t="s">
        <v>896</v>
      </c>
      <c r="AC10">
        <v>51986124108</v>
      </c>
      <c r="AD10" t="str">
        <f>_xlfn.XLOOKUP(F10,'Base de Tutores'!L:L,'Base de Tutores'!F:F)</f>
        <v>AGM</v>
      </c>
    </row>
    <row r="11" spans="1:30" hidden="1" x14ac:dyDescent="0.3">
      <c r="A11" t="s">
        <v>1405</v>
      </c>
      <c r="B11" t="s">
        <v>1406</v>
      </c>
      <c r="C11" t="s">
        <v>1446</v>
      </c>
      <c r="D11">
        <v>7769344905</v>
      </c>
      <c r="E11">
        <v>8974502</v>
      </c>
      <c r="F11">
        <v>1158001031</v>
      </c>
      <c r="G11" s="1">
        <v>45938</v>
      </c>
      <c r="H11" t="s">
        <v>1350</v>
      </c>
      <c r="I11" t="s">
        <v>1374</v>
      </c>
      <c r="J11" t="s">
        <v>1363</v>
      </c>
      <c r="K11" t="s">
        <v>1353</v>
      </c>
      <c r="L11" t="s">
        <v>1408</v>
      </c>
      <c r="M11" t="s">
        <v>1447</v>
      </c>
      <c r="N11" t="s">
        <v>1448</v>
      </c>
      <c r="O11" t="s">
        <v>1423</v>
      </c>
      <c r="P11" t="s">
        <v>1423</v>
      </c>
      <c r="Q11" t="s">
        <v>1412</v>
      </c>
      <c r="S11" s="1">
        <v>46043</v>
      </c>
      <c r="W11" s="1">
        <v>36361</v>
      </c>
      <c r="X11" t="s">
        <v>1449</v>
      </c>
      <c r="Z11" t="s">
        <v>1414</v>
      </c>
      <c r="AA11" t="s">
        <v>1419</v>
      </c>
      <c r="AB11" t="s">
        <v>1179</v>
      </c>
      <c r="AC11">
        <v>47984422318</v>
      </c>
      <c r="AD11" t="str">
        <f>_xlfn.XLOOKUP(F11,'Base de Tutores'!L:L,'Base de Tutores'!F:F)</f>
        <v>BAU</v>
      </c>
    </row>
    <row r="12" spans="1:30" hidden="1" x14ac:dyDescent="0.3">
      <c r="A12" t="s">
        <v>1405</v>
      </c>
      <c r="B12" t="s">
        <v>1406</v>
      </c>
      <c r="C12" t="s">
        <v>1450</v>
      </c>
      <c r="D12">
        <v>5235628101</v>
      </c>
      <c r="E12">
        <v>5991435</v>
      </c>
      <c r="F12">
        <v>1158000713</v>
      </c>
      <c r="G12" s="1">
        <v>45798</v>
      </c>
      <c r="H12" t="s">
        <v>1350</v>
      </c>
      <c r="I12" t="s">
        <v>1374</v>
      </c>
      <c r="J12" t="s">
        <v>1363</v>
      </c>
      <c r="K12" t="s">
        <v>1353</v>
      </c>
      <c r="L12" t="s">
        <v>1408</v>
      </c>
      <c r="M12" t="s">
        <v>1409</v>
      </c>
      <c r="N12" t="s">
        <v>1410</v>
      </c>
      <c r="O12" t="s">
        <v>1423</v>
      </c>
      <c r="P12" t="s">
        <v>1423</v>
      </c>
      <c r="Q12" t="s">
        <v>1412</v>
      </c>
      <c r="S12" s="1">
        <v>46043</v>
      </c>
      <c r="W12" s="1">
        <v>35094</v>
      </c>
      <c r="X12" t="s">
        <v>1451</v>
      </c>
      <c r="Z12" t="s">
        <v>1414</v>
      </c>
      <c r="AA12" t="s">
        <v>1419</v>
      </c>
      <c r="AB12" t="s">
        <v>212</v>
      </c>
      <c r="AC12">
        <v>64999100477</v>
      </c>
      <c r="AD12" t="str">
        <f>_xlfn.XLOOKUP(F12,'Base de Tutores'!L:L,'Base de Tutores'!F:F)</f>
        <v>EMF-ISN</v>
      </c>
    </row>
    <row r="13" spans="1:30" hidden="1" x14ac:dyDescent="0.3">
      <c r="A13" t="s">
        <v>1405</v>
      </c>
      <c r="B13" t="s">
        <v>1406</v>
      </c>
      <c r="C13" t="s">
        <v>1452</v>
      </c>
      <c r="D13">
        <v>93244266053</v>
      </c>
      <c r="E13">
        <v>8046363829</v>
      </c>
      <c r="F13">
        <v>1158000533</v>
      </c>
      <c r="G13" s="1">
        <v>45721</v>
      </c>
      <c r="H13" t="s">
        <v>1350</v>
      </c>
      <c r="I13" t="s">
        <v>1374</v>
      </c>
      <c r="J13" t="s">
        <v>1427</v>
      </c>
      <c r="K13" t="s">
        <v>1356</v>
      </c>
      <c r="L13" t="s">
        <v>1408</v>
      </c>
      <c r="M13" t="s">
        <v>1409</v>
      </c>
      <c r="N13" t="s">
        <v>1410</v>
      </c>
      <c r="O13" t="s">
        <v>1423</v>
      </c>
      <c r="P13" t="s">
        <v>1423</v>
      </c>
      <c r="Q13" t="s">
        <v>1412</v>
      </c>
      <c r="S13" s="1">
        <v>46043</v>
      </c>
      <c r="W13" s="1">
        <v>27135</v>
      </c>
      <c r="X13" t="s">
        <v>1453</v>
      </c>
      <c r="Y13" t="s">
        <v>1454</v>
      </c>
      <c r="Z13" t="s">
        <v>1414</v>
      </c>
      <c r="AA13" t="s">
        <v>1419</v>
      </c>
      <c r="AB13" t="s">
        <v>199</v>
      </c>
      <c r="AC13">
        <v>55996487080</v>
      </c>
      <c r="AD13" t="str">
        <f>_xlfn.XLOOKUP(F13,'Base de Tutores'!L:L,'Base de Tutores'!F:F)</f>
        <v>EMF-ISN</v>
      </c>
    </row>
    <row r="14" spans="1:30" hidden="1" x14ac:dyDescent="0.3">
      <c r="A14" t="s">
        <v>1405</v>
      </c>
      <c r="B14" t="s">
        <v>1406</v>
      </c>
      <c r="C14" t="s">
        <v>1455</v>
      </c>
      <c r="D14">
        <v>2193243107</v>
      </c>
      <c r="E14">
        <v>1537649</v>
      </c>
      <c r="F14">
        <v>1158000860</v>
      </c>
      <c r="G14" s="1">
        <v>45880</v>
      </c>
      <c r="H14" t="s">
        <v>1350</v>
      </c>
      <c r="I14" t="s">
        <v>1349</v>
      </c>
      <c r="J14" t="s">
        <v>1363</v>
      </c>
      <c r="K14" t="s">
        <v>1353</v>
      </c>
      <c r="L14" t="s">
        <v>1408</v>
      </c>
      <c r="M14" t="s">
        <v>1409</v>
      </c>
      <c r="N14" t="s">
        <v>1410</v>
      </c>
      <c r="O14" t="s">
        <v>1411</v>
      </c>
      <c r="P14" t="s">
        <v>1411</v>
      </c>
      <c r="Q14" t="s">
        <v>1412</v>
      </c>
      <c r="S14" s="1">
        <v>45943</v>
      </c>
      <c r="V14" s="1">
        <v>45936</v>
      </c>
      <c r="W14" s="1">
        <v>32182</v>
      </c>
      <c r="X14" t="s">
        <v>1456</v>
      </c>
      <c r="Z14" t="s">
        <v>1414</v>
      </c>
      <c r="AA14" t="s">
        <v>1415</v>
      </c>
      <c r="AB14" t="s">
        <v>858</v>
      </c>
      <c r="AC14">
        <v>67993088118</v>
      </c>
      <c r="AD14" t="str">
        <f>_xlfn.XLOOKUP(F14,'Base de Tutores'!L:L,'Base de Tutores'!F:F)</f>
        <v>BFR</v>
      </c>
    </row>
    <row r="15" spans="1:30" hidden="1" x14ac:dyDescent="0.3">
      <c r="A15" t="s">
        <v>1405</v>
      </c>
      <c r="B15" t="s">
        <v>1406</v>
      </c>
      <c r="C15" t="s">
        <v>1457</v>
      </c>
      <c r="D15">
        <v>3026474738</v>
      </c>
      <c r="E15">
        <v>95622015</v>
      </c>
      <c r="F15">
        <v>1158000736</v>
      </c>
      <c r="G15" s="1">
        <v>45810</v>
      </c>
      <c r="H15" t="s">
        <v>1350</v>
      </c>
      <c r="I15" t="s">
        <v>1374</v>
      </c>
      <c r="J15" t="s">
        <v>1427</v>
      </c>
      <c r="K15" t="s">
        <v>1356</v>
      </c>
      <c r="L15" t="s">
        <v>1408</v>
      </c>
      <c r="M15" t="s">
        <v>1421</v>
      </c>
      <c r="N15" t="s">
        <v>1422</v>
      </c>
      <c r="O15" t="s">
        <v>1411</v>
      </c>
      <c r="P15" t="s">
        <v>1411</v>
      </c>
      <c r="Q15" t="s">
        <v>1412</v>
      </c>
      <c r="S15" s="1">
        <v>46043</v>
      </c>
      <c r="W15" s="1">
        <v>26969</v>
      </c>
      <c r="X15" t="s">
        <v>1458</v>
      </c>
      <c r="Z15" t="s">
        <v>1414</v>
      </c>
      <c r="AA15" t="s">
        <v>1415</v>
      </c>
      <c r="AB15" t="s">
        <v>369</v>
      </c>
      <c r="AC15">
        <v>47988619803</v>
      </c>
      <c r="AD15" t="str">
        <f>_xlfn.XLOOKUP(F15,'Base de Tutores'!L:L,'Base de Tutores'!F:F)</f>
        <v>EMF-ISN</v>
      </c>
    </row>
    <row r="16" spans="1:30" hidden="1" x14ac:dyDescent="0.3">
      <c r="A16" t="s">
        <v>1405</v>
      </c>
      <c r="B16" t="s">
        <v>1406</v>
      </c>
      <c r="C16" t="s">
        <v>1459</v>
      </c>
      <c r="D16">
        <v>1781381348</v>
      </c>
      <c r="E16">
        <v>2003015009519</v>
      </c>
      <c r="F16">
        <v>1158001198</v>
      </c>
      <c r="G16" s="1">
        <v>46118</v>
      </c>
      <c r="H16" t="s">
        <v>1350</v>
      </c>
      <c r="I16" t="s">
        <v>1374</v>
      </c>
      <c r="J16" t="s">
        <v>1363</v>
      </c>
      <c r="K16" t="s">
        <v>1353</v>
      </c>
      <c r="L16" t="s">
        <v>1408</v>
      </c>
      <c r="M16" t="s">
        <v>1409</v>
      </c>
      <c r="N16" t="s">
        <v>1410</v>
      </c>
      <c r="O16" t="s">
        <v>1411</v>
      </c>
      <c r="P16" t="s">
        <v>1411</v>
      </c>
      <c r="Q16" t="s">
        <v>1412</v>
      </c>
      <c r="S16" s="1">
        <v>46118</v>
      </c>
      <c r="W16" s="1">
        <v>31386</v>
      </c>
      <c r="X16" t="s">
        <v>1460</v>
      </c>
      <c r="Z16" t="s">
        <v>1414</v>
      </c>
      <c r="AA16" t="s">
        <v>1419</v>
      </c>
      <c r="AB16" t="s">
        <v>89</v>
      </c>
      <c r="AC16">
        <v>85996297339</v>
      </c>
      <c r="AD16" t="str">
        <f>_xlfn.XLOOKUP(F16,'Base de Tutores'!L:L,'Base de Tutores'!F:F)</f>
        <v>EMF-ISN</v>
      </c>
    </row>
    <row r="17" spans="1:30" hidden="1" x14ac:dyDescent="0.3">
      <c r="A17" t="s">
        <v>1405</v>
      </c>
      <c r="B17" t="s">
        <v>1406</v>
      </c>
      <c r="C17" t="s">
        <v>1461</v>
      </c>
      <c r="D17">
        <v>4118415216</v>
      </c>
      <c r="E17">
        <v>7946514</v>
      </c>
      <c r="F17">
        <v>1158000995</v>
      </c>
      <c r="G17" s="1">
        <v>45931</v>
      </c>
      <c r="H17" t="s">
        <v>1350</v>
      </c>
      <c r="I17" t="s">
        <v>1374</v>
      </c>
      <c r="J17" t="s">
        <v>1363</v>
      </c>
      <c r="K17" t="s">
        <v>1353</v>
      </c>
      <c r="L17" t="s">
        <v>1408</v>
      </c>
      <c r="M17" t="s">
        <v>1421</v>
      </c>
      <c r="N17" t="s">
        <v>1422</v>
      </c>
      <c r="O17" t="s">
        <v>1462</v>
      </c>
      <c r="P17" t="s">
        <v>1462</v>
      </c>
      <c r="Q17" t="s">
        <v>1412</v>
      </c>
      <c r="S17" s="1">
        <v>46043</v>
      </c>
      <c r="W17" s="1">
        <v>36952</v>
      </c>
      <c r="X17" t="s">
        <v>1463</v>
      </c>
      <c r="Z17" t="s">
        <v>1414</v>
      </c>
      <c r="AA17" t="s">
        <v>1419</v>
      </c>
      <c r="AB17" t="s">
        <v>334</v>
      </c>
      <c r="AC17">
        <v>91984244833</v>
      </c>
      <c r="AD17" t="str">
        <f>_xlfn.XLOOKUP(F17,'Base de Tutores'!L:L,'Base de Tutores'!F:F)</f>
        <v>EMF-ISN</v>
      </c>
    </row>
    <row r="18" spans="1:30" hidden="1" x14ac:dyDescent="0.3">
      <c r="A18" t="s">
        <v>1405</v>
      </c>
      <c r="B18" t="s">
        <v>1406</v>
      </c>
      <c r="C18" t="s">
        <v>1464</v>
      </c>
      <c r="D18">
        <v>14206384673</v>
      </c>
      <c r="E18" t="s">
        <v>1465</v>
      </c>
      <c r="F18">
        <v>1158000909</v>
      </c>
      <c r="G18" s="1">
        <v>45889</v>
      </c>
      <c r="H18" t="s">
        <v>1350</v>
      </c>
      <c r="I18" t="s">
        <v>1374</v>
      </c>
      <c r="J18" t="s">
        <v>1363</v>
      </c>
      <c r="K18" t="s">
        <v>1353</v>
      </c>
      <c r="L18" t="s">
        <v>1408</v>
      </c>
      <c r="M18" t="s">
        <v>1421</v>
      </c>
      <c r="N18" t="s">
        <v>1422</v>
      </c>
      <c r="O18" t="s">
        <v>1411</v>
      </c>
      <c r="P18" t="s">
        <v>1411</v>
      </c>
      <c r="Q18" t="s">
        <v>1412</v>
      </c>
      <c r="S18" s="1">
        <v>46043</v>
      </c>
      <c r="W18" s="1">
        <v>36747</v>
      </c>
      <c r="X18" t="s">
        <v>1466</v>
      </c>
      <c r="Z18" t="s">
        <v>1414</v>
      </c>
      <c r="AA18" t="s">
        <v>1419</v>
      </c>
      <c r="AB18" t="s">
        <v>234</v>
      </c>
      <c r="AC18">
        <v>31985177216</v>
      </c>
      <c r="AD18" t="str">
        <f>_xlfn.XLOOKUP(F18,'Base de Tutores'!L:L,'Base de Tutores'!F:F)</f>
        <v>EMF-ISN</v>
      </c>
    </row>
    <row r="19" spans="1:30" hidden="1" x14ac:dyDescent="0.3">
      <c r="A19" t="s">
        <v>1405</v>
      </c>
      <c r="B19" t="s">
        <v>1406</v>
      </c>
      <c r="C19" t="s">
        <v>1467</v>
      </c>
      <c r="D19">
        <v>146384016</v>
      </c>
      <c r="E19" t="s">
        <v>1468</v>
      </c>
      <c r="F19">
        <v>1158000923</v>
      </c>
      <c r="G19" s="1">
        <v>45889</v>
      </c>
      <c r="H19" t="s">
        <v>1350</v>
      </c>
      <c r="I19" t="s">
        <v>1374</v>
      </c>
      <c r="J19" t="s">
        <v>1363</v>
      </c>
      <c r="K19" t="s">
        <v>1353</v>
      </c>
      <c r="L19" t="s">
        <v>1408</v>
      </c>
      <c r="M19" t="s">
        <v>1421</v>
      </c>
      <c r="N19" t="s">
        <v>1422</v>
      </c>
      <c r="O19" t="s">
        <v>1423</v>
      </c>
      <c r="P19" t="s">
        <v>1423</v>
      </c>
      <c r="Q19" t="s">
        <v>1412</v>
      </c>
      <c r="S19" s="1">
        <v>46043</v>
      </c>
      <c r="W19" s="1">
        <v>29825</v>
      </c>
      <c r="X19" t="s">
        <v>1469</v>
      </c>
      <c r="Z19" t="s">
        <v>1414</v>
      </c>
      <c r="AA19" t="s">
        <v>1419</v>
      </c>
      <c r="AB19" t="s">
        <v>984</v>
      </c>
      <c r="AC19">
        <v>41998085415</v>
      </c>
      <c r="AD19" t="str">
        <f>_xlfn.XLOOKUP(F19,'Base de Tutores'!L:L,'Base de Tutores'!F:F)</f>
        <v>BFR</v>
      </c>
    </row>
    <row r="20" spans="1:30" hidden="1" x14ac:dyDescent="0.3">
      <c r="A20" t="s">
        <v>1405</v>
      </c>
      <c r="B20" t="s">
        <v>1406</v>
      </c>
      <c r="C20" t="s">
        <v>1470</v>
      </c>
      <c r="D20">
        <v>61266823352</v>
      </c>
      <c r="E20" t="s">
        <v>1471</v>
      </c>
      <c r="F20">
        <v>1158001068</v>
      </c>
      <c r="G20" s="1">
        <v>45978</v>
      </c>
      <c r="H20" t="s">
        <v>1350</v>
      </c>
      <c r="I20" t="s">
        <v>1374</v>
      </c>
      <c r="J20" t="s">
        <v>1363</v>
      </c>
      <c r="K20" t="s">
        <v>1353</v>
      </c>
      <c r="L20" t="s">
        <v>1408</v>
      </c>
      <c r="M20" t="s">
        <v>1421</v>
      </c>
      <c r="N20" t="s">
        <v>1422</v>
      </c>
      <c r="O20" t="s">
        <v>1411</v>
      </c>
      <c r="P20" t="s">
        <v>1411</v>
      </c>
      <c r="Q20" t="s">
        <v>1412</v>
      </c>
      <c r="S20" s="1">
        <v>46043</v>
      </c>
      <c r="W20" s="1">
        <v>36080</v>
      </c>
      <c r="X20" t="s">
        <v>1472</v>
      </c>
      <c r="Z20" t="s">
        <v>1414</v>
      </c>
      <c r="AA20" t="s">
        <v>1419</v>
      </c>
      <c r="AB20" t="s">
        <v>1250</v>
      </c>
      <c r="AC20">
        <v>98991544227</v>
      </c>
      <c r="AD20" t="str">
        <f>_xlfn.XLOOKUP(F20,'Base de Tutores'!L:L,'Base de Tutores'!F:F)</f>
        <v>NTR</v>
      </c>
    </row>
    <row r="21" spans="1:30" hidden="1" x14ac:dyDescent="0.3">
      <c r="A21" t="s">
        <v>1405</v>
      </c>
      <c r="B21" t="s">
        <v>1406</v>
      </c>
      <c r="C21" t="s">
        <v>1473</v>
      </c>
      <c r="D21">
        <v>10684160927</v>
      </c>
      <c r="E21">
        <v>7015205</v>
      </c>
      <c r="F21">
        <v>1158000548</v>
      </c>
      <c r="G21" s="1">
        <v>45728</v>
      </c>
      <c r="H21" t="s">
        <v>1350</v>
      </c>
      <c r="I21" t="s">
        <v>1349</v>
      </c>
      <c r="J21" t="s">
        <v>1363</v>
      </c>
      <c r="K21" t="s">
        <v>1353</v>
      </c>
      <c r="L21" t="s">
        <v>1408</v>
      </c>
      <c r="M21" t="s">
        <v>1409</v>
      </c>
      <c r="N21" t="s">
        <v>1410</v>
      </c>
      <c r="O21" t="s">
        <v>1423</v>
      </c>
      <c r="P21" t="s">
        <v>1423</v>
      </c>
      <c r="Q21" t="s">
        <v>1412</v>
      </c>
      <c r="S21" s="1">
        <v>45847</v>
      </c>
      <c r="V21" s="1">
        <v>45849</v>
      </c>
      <c r="W21" s="1">
        <v>36702</v>
      </c>
      <c r="X21" t="s">
        <v>1474</v>
      </c>
      <c r="Y21" t="s">
        <v>1475</v>
      </c>
      <c r="Z21" t="s">
        <v>1414</v>
      </c>
      <c r="AA21" t="s">
        <v>1419</v>
      </c>
      <c r="AB21" t="s">
        <v>1476</v>
      </c>
      <c r="AC21">
        <v>47988709318</v>
      </c>
      <c r="AD21" t="str">
        <f>_xlfn.XLOOKUP(F21,'Base de Tutores'!L:L,'Base de Tutores'!F:F)</f>
        <v>EMF-ISN</v>
      </c>
    </row>
    <row r="22" spans="1:30" hidden="1" x14ac:dyDescent="0.3">
      <c r="A22" t="s">
        <v>1405</v>
      </c>
      <c r="B22" t="s">
        <v>1406</v>
      </c>
      <c r="C22" t="s">
        <v>1477</v>
      </c>
      <c r="D22">
        <v>3050623527</v>
      </c>
      <c r="E22" t="s">
        <v>1478</v>
      </c>
      <c r="F22">
        <v>1158000696</v>
      </c>
      <c r="G22" s="1">
        <v>45756</v>
      </c>
      <c r="H22" t="s">
        <v>1350</v>
      </c>
      <c r="I22" t="s">
        <v>1374</v>
      </c>
      <c r="J22" t="s">
        <v>1363</v>
      </c>
      <c r="K22" t="s">
        <v>1353</v>
      </c>
      <c r="L22" t="s">
        <v>1408</v>
      </c>
      <c r="M22" t="s">
        <v>1421</v>
      </c>
      <c r="N22" t="s">
        <v>1422</v>
      </c>
      <c r="O22" t="s">
        <v>1411</v>
      </c>
      <c r="P22" t="s">
        <v>1411</v>
      </c>
      <c r="Q22" t="s">
        <v>1412</v>
      </c>
      <c r="S22" s="1">
        <v>46043</v>
      </c>
      <c r="W22" s="1">
        <v>34314</v>
      </c>
      <c r="X22" t="s">
        <v>1479</v>
      </c>
      <c r="Z22" t="s">
        <v>1414</v>
      </c>
      <c r="AA22" t="s">
        <v>1419</v>
      </c>
      <c r="AB22" t="s">
        <v>384</v>
      </c>
      <c r="AC22">
        <v>74991106754</v>
      </c>
      <c r="AD22" t="str">
        <f>_xlfn.XLOOKUP(F22,'Base de Tutores'!L:L,'Base de Tutores'!F:F)</f>
        <v>EMF-ISN</v>
      </c>
    </row>
    <row r="23" spans="1:30" hidden="1" x14ac:dyDescent="0.3">
      <c r="A23" t="s">
        <v>1405</v>
      </c>
      <c r="B23" t="s">
        <v>1406</v>
      </c>
      <c r="C23" t="s">
        <v>1480</v>
      </c>
      <c r="D23">
        <v>8892009982</v>
      </c>
      <c r="E23" s="3">
        <v>6334356</v>
      </c>
      <c r="F23">
        <v>1158000816</v>
      </c>
      <c r="G23" s="1">
        <v>45873</v>
      </c>
      <c r="H23" t="s">
        <v>1350</v>
      </c>
      <c r="I23" t="s">
        <v>1349</v>
      </c>
      <c r="J23" t="s">
        <v>1363</v>
      </c>
      <c r="K23" t="s">
        <v>1353</v>
      </c>
      <c r="L23" t="s">
        <v>1408</v>
      </c>
      <c r="M23" t="s">
        <v>1409</v>
      </c>
      <c r="N23" t="s">
        <v>1410</v>
      </c>
      <c r="O23" t="s">
        <v>1423</v>
      </c>
      <c r="P23" t="s">
        <v>1423</v>
      </c>
      <c r="Q23" t="s">
        <v>1412</v>
      </c>
      <c r="S23" s="1">
        <v>45943</v>
      </c>
      <c r="V23" s="1">
        <v>45938</v>
      </c>
      <c r="W23" s="1">
        <v>36581</v>
      </c>
      <c r="X23" t="s">
        <v>1481</v>
      </c>
      <c r="Y23" t="s">
        <v>1482</v>
      </c>
      <c r="Z23" t="s">
        <v>1414</v>
      </c>
      <c r="AA23" t="s">
        <v>1419</v>
      </c>
      <c r="AB23" t="s">
        <v>756</v>
      </c>
      <c r="AC23">
        <v>49998181163</v>
      </c>
      <c r="AD23" t="str">
        <f>_xlfn.XLOOKUP(F23,'Base de Tutores'!L:L,'Base de Tutores'!F:F)</f>
        <v>AGM</v>
      </c>
    </row>
    <row r="24" spans="1:30" hidden="1" x14ac:dyDescent="0.3">
      <c r="A24" t="s">
        <v>1405</v>
      </c>
      <c r="B24" t="s">
        <v>1406</v>
      </c>
      <c r="C24" t="s">
        <v>1483</v>
      </c>
      <c r="D24">
        <v>1016365047</v>
      </c>
      <c r="E24" t="s">
        <v>1484</v>
      </c>
      <c r="F24">
        <v>1158000657</v>
      </c>
      <c r="G24" s="1">
        <v>45749</v>
      </c>
      <c r="H24" t="s">
        <v>1350</v>
      </c>
      <c r="I24" t="s">
        <v>1374</v>
      </c>
      <c r="J24" t="s">
        <v>1363</v>
      </c>
      <c r="K24" t="s">
        <v>1353</v>
      </c>
      <c r="L24" t="s">
        <v>1408</v>
      </c>
      <c r="M24" t="s">
        <v>1421</v>
      </c>
      <c r="N24" t="s">
        <v>1422</v>
      </c>
      <c r="O24" t="s">
        <v>1423</v>
      </c>
      <c r="P24" t="s">
        <v>1411</v>
      </c>
      <c r="Q24" t="s">
        <v>1412</v>
      </c>
      <c r="S24" s="1">
        <v>46043</v>
      </c>
      <c r="W24" s="1">
        <v>31738</v>
      </c>
      <c r="X24" t="s">
        <v>1485</v>
      </c>
      <c r="Z24" t="s">
        <v>1414</v>
      </c>
      <c r="AA24" t="s">
        <v>1419</v>
      </c>
      <c r="AB24" t="s">
        <v>396</v>
      </c>
      <c r="AC24">
        <v>51995145965</v>
      </c>
      <c r="AD24" t="str">
        <f>_xlfn.XLOOKUP(F24,'Base de Tutores'!L:L,'Base de Tutores'!F:F)</f>
        <v>ECE-ENM-ENS-ENG-EEA-GPI-CDE-OBR-SAN-TER-FSA-SLF-QUI</v>
      </c>
    </row>
    <row r="25" spans="1:30" hidden="1" x14ac:dyDescent="0.3">
      <c r="A25" t="s">
        <v>1405</v>
      </c>
      <c r="B25" t="s">
        <v>1406</v>
      </c>
      <c r="C25" t="s">
        <v>1486</v>
      </c>
      <c r="D25">
        <v>84634383500</v>
      </c>
      <c r="E25" t="s">
        <v>1487</v>
      </c>
      <c r="F25">
        <v>1158000718</v>
      </c>
      <c r="G25" s="1">
        <v>45810</v>
      </c>
      <c r="H25" t="s">
        <v>1350</v>
      </c>
      <c r="I25" t="s">
        <v>1374</v>
      </c>
      <c r="J25" t="s">
        <v>1363</v>
      </c>
      <c r="K25" t="s">
        <v>1353</v>
      </c>
      <c r="L25" t="s">
        <v>1408</v>
      </c>
      <c r="M25" t="s">
        <v>1421</v>
      </c>
      <c r="N25" t="s">
        <v>1422</v>
      </c>
      <c r="O25" t="s">
        <v>1411</v>
      </c>
      <c r="P25" t="s">
        <v>1411</v>
      </c>
      <c r="Q25" t="s">
        <v>1412</v>
      </c>
      <c r="S25" s="1">
        <v>46043</v>
      </c>
      <c r="W25" s="1">
        <v>31186</v>
      </c>
      <c r="X25" t="s">
        <v>1488</v>
      </c>
      <c r="Z25" t="s">
        <v>1414</v>
      </c>
      <c r="AA25" t="s">
        <v>1419</v>
      </c>
      <c r="AB25" t="s">
        <v>502</v>
      </c>
      <c r="AC25">
        <v>79998119666</v>
      </c>
      <c r="AD25" t="str">
        <f>_xlfn.XLOOKUP(F25,'Base de Tutores'!L:L,'Base de Tutores'!F:F)</f>
        <v>EMF-ISN</v>
      </c>
    </row>
    <row r="26" spans="1:30" hidden="1" x14ac:dyDescent="0.3">
      <c r="A26" t="s">
        <v>1405</v>
      </c>
      <c r="B26" t="s">
        <v>1406</v>
      </c>
      <c r="C26" t="s">
        <v>1489</v>
      </c>
      <c r="D26">
        <v>3947058071</v>
      </c>
      <c r="E26">
        <v>1094492442</v>
      </c>
      <c r="F26">
        <v>1158001083</v>
      </c>
      <c r="G26" s="1">
        <v>46029</v>
      </c>
      <c r="H26" t="s">
        <v>1350</v>
      </c>
      <c r="I26" t="s">
        <v>1374</v>
      </c>
      <c r="J26" t="s">
        <v>1363</v>
      </c>
      <c r="K26" t="s">
        <v>1353</v>
      </c>
      <c r="L26" t="s">
        <v>1408</v>
      </c>
      <c r="M26" t="s">
        <v>1409</v>
      </c>
      <c r="N26" t="s">
        <v>1410</v>
      </c>
      <c r="O26" t="s">
        <v>1423</v>
      </c>
      <c r="P26" t="s">
        <v>1423</v>
      </c>
      <c r="Q26" t="s">
        <v>1412</v>
      </c>
      <c r="S26" s="1">
        <v>46028</v>
      </c>
      <c r="W26" s="1">
        <v>36020</v>
      </c>
      <c r="X26" t="s">
        <v>1490</v>
      </c>
      <c r="Z26" t="s">
        <v>1414</v>
      </c>
      <c r="AA26" t="s">
        <v>1419</v>
      </c>
      <c r="AB26" t="s">
        <v>1258</v>
      </c>
      <c r="AC26">
        <v>51982061023</v>
      </c>
      <c r="AD26" t="str">
        <f>_xlfn.XLOOKUP(F26,'Base de Tutores'!L:L,'Base de Tutores'!F:F)</f>
        <v>NTR</v>
      </c>
    </row>
    <row r="27" spans="1:30" hidden="1" x14ac:dyDescent="0.3">
      <c r="A27" t="s">
        <v>1405</v>
      </c>
      <c r="B27" t="s">
        <v>1406</v>
      </c>
      <c r="C27" t="s">
        <v>1491</v>
      </c>
      <c r="D27">
        <v>82801150215</v>
      </c>
      <c r="E27">
        <v>4891113</v>
      </c>
      <c r="F27">
        <v>1158000889</v>
      </c>
      <c r="G27" s="1">
        <v>45887</v>
      </c>
      <c r="H27" t="s">
        <v>1350</v>
      </c>
      <c r="I27" t="s">
        <v>1349</v>
      </c>
      <c r="J27" t="s">
        <v>1363</v>
      </c>
      <c r="K27" t="s">
        <v>1353</v>
      </c>
      <c r="L27" t="s">
        <v>1408</v>
      </c>
      <c r="M27" t="s">
        <v>1447</v>
      </c>
      <c r="N27" t="s">
        <v>1448</v>
      </c>
      <c r="O27" t="s">
        <v>1411</v>
      </c>
      <c r="P27" t="s">
        <v>1411</v>
      </c>
      <c r="Q27" t="s">
        <v>1412</v>
      </c>
      <c r="S27" s="1">
        <v>46100</v>
      </c>
      <c r="V27" s="1">
        <v>46098</v>
      </c>
      <c r="W27" s="1">
        <v>31934</v>
      </c>
      <c r="X27" t="s">
        <v>1492</v>
      </c>
      <c r="Z27" t="s">
        <v>1414</v>
      </c>
      <c r="AA27" t="s">
        <v>1419</v>
      </c>
      <c r="AB27" t="s">
        <v>980</v>
      </c>
      <c r="AC27">
        <v>91984898600</v>
      </c>
      <c r="AD27" t="str">
        <f>_xlfn.XLOOKUP(F27,'Base de Tutores'!L:L,'Base de Tutores'!F:F)</f>
        <v>BFR</v>
      </c>
    </row>
    <row r="28" spans="1:30" hidden="1" x14ac:dyDescent="0.3">
      <c r="A28" t="s">
        <v>1405</v>
      </c>
      <c r="B28" t="s">
        <v>1406</v>
      </c>
      <c r="C28" t="s">
        <v>1493</v>
      </c>
      <c r="D28">
        <v>8852958975</v>
      </c>
      <c r="E28">
        <v>5133273</v>
      </c>
      <c r="F28">
        <v>1158000724</v>
      </c>
      <c r="G28" s="1">
        <v>45810</v>
      </c>
      <c r="H28" t="s">
        <v>1350</v>
      </c>
      <c r="I28" t="s">
        <v>1349</v>
      </c>
      <c r="J28" t="s">
        <v>1363</v>
      </c>
      <c r="K28" t="s">
        <v>1353</v>
      </c>
      <c r="L28" t="s">
        <v>1408</v>
      </c>
      <c r="M28" t="s">
        <v>1409</v>
      </c>
      <c r="N28" t="s">
        <v>1410</v>
      </c>
      <c r="O28" t="s">
        <v>1423</v>
      </c>
      <c r="P28" t="s">
        <v>1423</v>
      </c>
      <c r="Q28" t="s">
        <v>1412</v>
      </c>
      <c r="S28" s="1">
        <v>45845</v>
      </c>
      <c r="V28" s="1">
        <v>45842</v>
      </c>
      <c r="W28" s="1">
        <v>34367</v>
      </c>
      <c r="X28" t="s">
        <v>1494</v>
      </c>
      <c r="Z28" t="s">
        <v>1495</v>
      </c>
      <c r="AA28" t="s">
        <v>1419</v>
      </c>
      <c r="AB28" t="s">
        <v>1496</v>
      </c>
      <c r="AC28">
        <v>49999714970</v>
      </c>
      <c r="AD28" t="str">
        <f>_xlfn.XLOOKUP(F28,'Base de Tutores'!L:L,'Base de Tutores'!F:F)</f>
        <v>EMF-ISN</v>
      </c>
    </row>
    <row r="29" spans="1:30" hidden="1" x14ac:dyDescent="0.3">
      <c r="A29" t="s">
        <v>1405</v>
      </c>
      <c r="B29" t="s">
        <v>1406</v>
      </c>
      <c r="C29" t="s">
        <v>1497</v>
      </c>
      <c r="D29">
        <v>347456294</v>
      </c>
      <c r="E29">
        <v>23115629</v>
      </c>
      <c r="F29">
        <v>1158000958</v>
      </c>
      <c r="G29" s="1">
        <v>45901</v>
      </c>
      <c r="H29" t="s">
        <v>1350</v>
      </c>
      <c r="I29" t="s">
        <v>1349</v>
      </c>
      <c r="J29" t="s">
        <v>1363</v>
      </c>
      <c r="K29" t="s">
        <v>1353</v>
      </c>
      <c r="L29" t="s">
        <v>1408</v>
      </c>
      <c r="M29" t="s">
        <v>1421</v>
      </c>
      <c r="N29" t="s">
        <v>1422</v>
      </c>
      <c r="O29" t="s">
        <v>1439</v>
      </c>
      <c r="P29" t="s">
        <v>1439</v>
      </c>
      <c r="Q29" t="s">
        <v>1412</v>
      </c>
      <c r="S29" s="1">
        <v>45974</v>
      </c>
      <c r="V29" s="1">
        <v>45971</v>
      </c>
      <c r="W29" s="1">
        <v>32407</v>
      </c>
      <c r="X29" t="s">
        <v>1413</v>
      </c>
      <c r="Z29" t="s">
        <v>1414</v>
      </c>
      <c r="AA29" t="s">
        <v>1419</v>
      </c>
      <c r="AB29" t="s">
        <v>1026</v>
      </c>
      <c r="AC29">
        <v>92992778212</v>
      </c>
      <c r="AD29" t="str">
        <f>_xlfn.XLOOKUP(F29,'Base de Tutores'!L:L,'Base de Tutores'!F:F)</f>
        <v>BFR</v>
      </c>
    </row>
    <row r="30" spans="1:30" hidden="1" x14ac:dyDescent="0.3">
      <c r="A30" t="s">
        <v>1405</v>
      </c>
      <c r="B30" t="s">
        <v>1406</v>
      </c>
      <c r="C30" t="s">
        <v>1498</v>
      </c>
      <c r="D30">
        <v>46916763841</v>
      </c>
      <c r="E30" t="s">
        <v>1499</v>
      </c>
      <c r="F30">
        <v>1158000867</v>
      </c>
      <c r="G30" s="1">
        <v>45882</v>
      </c>
      <c r="H30" t="s">
        <v>1350</v>
      </c>
      <c r="I30" t="s">
        <v>1349</v>
      </c>
      <c r="J30" t="s">
        <v>1363</v>
      </c>
      <c r="K30" t="s">
        <v>1353</v>
      </c>
      <c r="L30" t="s">
        <v>1408</v>
      </c>
      <c r="M30" t="s">
        <v>1421</v>
      </c>
      <c r="N30" t="s">
        <v>1422</v>
      </c>
      <c r="O30" t="s">
        <v>1423</v>
      </c>
      <c r="P30" t="s">
        <v>1423</v>
      </c>
      <c r="Q30" t="s">
        <v>1412</v>
      </c>
      <c r="S30" s="1">
        <v>45968</v>
      </c>
      <c r="V30" s="1">
        <v>45965</v>
      </c>
      <c r="W30" s="1">
        <v>36378</v>
      </c>
      <c r="X30" t="s">
        <v>1500</v>
      </c>
      <c r="Z30" t="s">
        <v>1414</v>
      </c>
      <c r="AA30" t="s">
        <v>1419</v>
      </c>
      <c r="AB30" t="s">
        <v>717</v>
      </c>
      <c r="AC30">
        <v>47988406369</v>
      </c>
      <c r="AD30" t="str">
        <f>_xlfn.XLOOKUP(F30,'Base de Tutores'!L:L,'Base de Tutores'!F:F)</f>
        <v>EMF-ISN</v>
      </c>
    </row>
    <row r="31" spans="1:30" hidden="1" x14ac:dyDescent="0.3">
      <c r="A31" t="s">
        <v>1405</v>
      </c>
      <c r="B31" t="s">
        <v>1406</v>
      </c>
      <c r="C31" t="s">
        <v>1501</v>
      </c>
      <c r="D31">
        <v>10046942610</v>
      </c>
      <c r="E31" t="s">
        <v>1502</v>
      </c>
      <c r="F31">
        <v>1158000857</v>
      </c>
      <c r="G31" s="1">
        <v>45880</v>
      </c>
      <c r="H31" t="s">
        <v>1350</v>
      </c>
      <c r="I31" t="s">
        <v>1374</v>
      </c>
      <c r="J31" t="s">
        <v>1363</v>
      </c>
      <c r="K31" t="s">
        <v>1353</v>
      </c>
      <c r="L31" t="s">
        <v>1408</v>
      </c>
      <c r="M31" t="s">
        <v>1447</v>
      </c>
      <c r="N31" t="s">
        <v>1448</v>
      </c>
      <c r="O31" t="s">
        <v>1423</v>
      </c>
      <c r="P31" t="s">
        <v>1423</v>
      </c>
      <c r="Q31" t="s">
        <v>1412</v>
      </c>
      <c r="S31" s="1">
        <v>46043</v>
      </c>
      <c r="W31" s="1">
        <v>33418</v>
      </c>
      <c r="X31" t="s">
        <v>1503</v>
      </c>
      <c r="Z31" t="s">
        <v>1414</v>
      </c>
      <c r="AA31" t="s">
        <v>1419</v>
      </c>
      <c r="AB31" t="s">
        <v>862</v>
      </c>
      <c r="AC31">
        <v>31998149591</v>
      </c>
      <c r="AD31" t="str">
        <f>_xlfn.XLOOKUP(F31,'Base de Tutores'!L:L,'Base de Tutores'!F:F)</f>
        <v>AGM</v>
      </c>
    </row>
    <row r="32" spans="1:30" hidden="1" x14ac:dyDescent="0.3">
      <c r="A32" t="s">
        <v>1405</v>
      </c>
      <c r="B32" t="s">
        <v>1406</v>
      </c>
      <c r="C32" t="s">
        <v>1504</v>
      </c>
      <c r="D32">
        <v>70491028490</v>
      </c>
      <c r="E32" s="3">
        <v>3465694</v>
      </c>
      <c r="F32">
        <v>1158000729</v>
      </c>
      <c r="G32" s="1">
        <v>45810</v>
      </c>
      <c r="H32" t="s">
        <v>1350</v>
      </c>
      <c r="I32" t="s">
        <v>1374</v>
      </c>
      <c r="J32" t="s">
        <v>1363</v>
      </c>
      <c r="K32" t="s">
        <v>1353</v>
      </c>
      <c r="L32" t="s">
        <v>1408</v>
      </c>
      <c r="M32" t="s">
        <v>1409</v>
      </c>
      <c r="N32" t="s">
        <v>1410</v>
      </c>
      <c r="O32" t="s">
        <v>1423</v>
      </c>
      <c r="P32" t="s">
        <v>1423</v>
      </c>
      <c r="Q32" t="s">
        <v>1412</v>
      </c>
      <c r="S32" s="1">
        <v>46043</v>
      </c>
      <c r="W32" s="1">
        <v>36538</v>
      </c>
      <c r="X32" t="s">
        <v>1505</v>
      </c>
      <c r="Z32" t="s">
        <v>1414</v>
      </c>
      <c r="AA32" t="s">
        <v>1419</v>
      </c>
      <c r="AB32" t="s">
        <v>494</v>
      </c>
      <c r="AC32">
        <v>8499193274</v>
      </c>
      <c r="AD32" t="str">
        <f>_xlfn.XLOOKUP(F32,'Base de Tutores'!L:L,'Base de Tutores'!F:F)</f>
        <v>EMF-ISN</v>
      </c>
    </row>
    <row r="33" spans="1:30" hidden="1" x14ac:dyDescent="0.3">
      <c r="A33" t="s">
        <v>1405</v>
      </c>
      <c r="B33" t="s">
        <v>1406</v>
      </c>
      <c r="C33" t="s">
        <v>1506</v>
      </c>
      <c r="D33">
        <v>61155486323</v>
      </c>
      <c r="E33">
        <v>20083293110</v>
      </c>
      <c r="F33">
        <v>1158000607</v>
      </c>
      <c r="G33" s="1">
        <v>45782</v>
      </c>
      <c r="H33" t="s">
        <v>1350</v>
      </c>
      <c r="I33" t="s">
        <v>1349</v>
      </c>
      <c r="J33" s="4">
        <v>4.166666666666667</v>
      </c>
      <c r="K33" t="s">
        <v>1363</v>
      </c>
      <c r="L33" t="s">
        <v>1408</v>
      </c>
      <c r="M33" t="s">
        <v>1421</v>
      </c>
      <c r="N33" t="s">
        <v>1410</v>
      </c>
      <c r="O33" t="s">
        <v>1423</v>
      </c>
      <c r="P33" t="s">
        <v>1423</v>
      </c>
      <c r="Q33" t="s">
        <v>1412</v>
      </c>
      <c r="S33" s="1">
        <v>45904</v>
      </c>
      <c r="V33" s="1">
        <v>45901</v>
      </c>
      <c r="W33" s="1">
        <v>35090</v>
      </c>
      <c r="X33" t="s">
        <v>1507</v>
      </c>
      <c r="Z33" t="s">
        <v>1414</v>
      </c>
      <c r="AA33" t="s">
        <v>1419</v>
      </c>
      <c r="AB33" t="s">
        <v>1508</v>
      </c>
      <c r="AC33">
        <v>85997446840</v>
      </c>
      <c r="AD33" t="str">
        <f>_xlfn.XLOOKUP(F33,'Base de Tutores'!L:L,'Base de Tutores'!F:F)</f>
        <v>EMF-ISN</v>
      </c>
    </row>
    <row r="34" spans="1:30" x14ac:dyDescent="0.3">
      <c r="A34" t="s">
        <v>1405</v>
      </c>
      <c r="B34" t="s">
        <v>1406</v>
      </c>
      <c r="C34" t="s">
        <v>1509</v>
      </c>
      <c r="D34">
        <v>7586363935</v>
      </c>
      <c r="E34">
        <v>471183404</v>
      </c>
      <c r="F34">
        <v>1158001053</v>
      </c>
      <c r="G34" s="1">
        <v>45964</v>
      </c>
      <c r="H34" t="s">
        <v>1350</v>
      </c>
      <c r="I34" t="s">
        <v>1374</v>
      </c>
      <c r="J34" t="s">
        <v>1363</v>
      </c>
      <c r="K34" t="s">
        <v>1353</v>
      </c>
      <c r="L34" t="s">
        <v>1408</v>
      </c>
      <c r="M34" t="s">
        <v>1409</v>
      </c>
      <c r="N34" t="s">
        <v>1410</v>
      </c>
      <c r="O34" t="s">
        <v>1411</v>
      </c>
      <c r="P34" t="s">
        <v>1411</v>
      </c>
      <c r="Q34" t="s">
        <v>1412</v>
      </c>
      <c r="S34" s="1">
        <v>46043</v>
      </c>
      <c r="W34" s="1">
        <v>33214</v>
      </c>
      <c r="X34" t="s">
        <v>1510</v>
      </c>
      <c r="Z34" t="s">
        <v>1414</v>
      </c>
      <c r="AA34" t="s">
        <v>1419</v>
      </c>
      <c r="AB34" t="s">
        <v>1221</v>
      </c>
      <c r="AC34">
        <v>41996135279</v>
      </c>
      <c r="AD34" t="str">
        <f>_xlfn.XLOOKUP(F34,'Base de Tutores'!L:L,'Base de Tutores'!F:F)</f>
        <v>BTO</v>
      </c>
    </row>
    <row r="35" spans="1:30" hidden="1" x14ac:dyDescent="0.3">
      <c r="A35" t="s">
        <v>1405</v>
      </c>
      <c r="B35" t="s">
        <v>1406</v>
      </c>
      <c r="C35" t="s">
        <v>1511</v>
      </c>
      <c r="D35">
        <v>44363281049</v>
      </c>
      <c r="E35">
        <v>5034989483</v>
      </c>
      <c r="F35">
        <v>1158000922</v>
      </c>
      <c r="G35" s="1">
        <v>45889</v>
      </c>
      <c r="H35" t="s">
        <v>1350</v>
      </c>
      <c r="I35" t="s">
        <v>1374</v>
      </c>
      <c r="J35" t="s">
        <v>1363</v>
      </c>
      <c r="K35" t="s">
        <v>1353</v>
      </c>
      <c r="L35" t="s">
        <v>1408</v>
      </c>
      <c r="M35" t="s">
        <v>1442</v>
      </c>
      <c r="N35" t="s">
        <v>1443</v>
      </c>
      <c r="O35" t="s">
        <v>1423</v>
      </c>
      <c r="P35" t="s">
        <v>1423</v>
      </c>
      <c r="Q35" t="s">
        <v>1412</v>
      </c>
      <c r="S35" s="1">
        <v>46043</v>
      </c>
      <c r="W35" s="1">
        <v>24067</v>
      </c>
      <c r="X35" t="s">
        <v>1512</v>
      </c>
      <c r="Z35" t="s">
        <v>1414</v>
      </c>
      <c r="AA35" t="s">
        <v>1419</v>
      </c>
      <c r="AB35" t="s">
        <v>986</v>
      </c>
      <c r="AC35">
        <v>51982253680</v>
      </c>
      <c r="AD35" t="str">
        <f>_xlfn.XLOOKUP(F35,'Base de Tutores'!L:L,'Base de Tutores'!F:F)</f>
        <v>BFR</v>
      </c>
    </row>
    <row r="36" spans="1:30" hidden="1" x14ac:dyDescent="0.3">
      <c r="A36" t="s">
        <v>1405</v>
      </c>
      <c r="B36" t="s">
        <v>1406</v>
      </c>
      <c r="C36" t="s">
        <v>1513</v>
      </c>
      <c r="D36">
        <v>9962424496</v>
      </c>
      <c r="E36" t="s">
        <v>1514</v>
      </c>
      <c r="F36">
        <v>1158000848</v>
      </c>
      <c r="G36" s="1">
        <v>45875</v>
      </c>
      <c r="H36" t="s">
        <v>1350</v>
      </c>
      <c r="I36" t="s">
        <v>1374</v>
      </c>
      <c r="J36" t="s">
        <v>1363</v>
      </c>
      <c r="K36" t="s">
        <v>1353</v>
      </c>
      <c r="L36" t="s">
        <v>1408</v>
      </c>
      <c r="M36" t="s">
        <v>1409</v>
      </c>
      <c r="N36" t="s">
        <v>1410</v>
      </c>
      <c r="O36" t="s">
        <v>1411</v>
      </c>
      <c r="P36" t="s">
        <v>1411</v>
      </c>
      <c r="Q36" t="s">
        <v>1412</v>
      </c>
      <c r="S36" s="1">
        <v>46043</v>
      </c>
      <c r="W36" s="1">
        <v>33889</v>
      </c>
      <c r="X36" t="s">
        <v>1515</v>
      </c>
      <c r="Z36" t="s">
        <v>1414</v>
      </c>
      <c r="AA36" t="s">
        <v>1415</v>
      </c>
      <c r="AB36" t="s">
        <v>849</v>
      </c>
      <c r="AC36">
        <v>82993214239</v>
      </c>
      <c r="AD36" t="str">
        <f>_xlfn.XLOOKUP(F36,'Base de Tutores'!L:L,'Base de Tutores'!F:F)</f>
        <v>BFR</v>
      </c>
    </row>
    <row r="37" spans="1:30" hidden="1" x14ac:dyDescent="0.3">
      <c r="A37" t="s">
        <v>1405</v>
      </c>
      <c r="B37" t="s">
        <v>1406</v>
      </c>
      <c r="C37" t="s">
        <v>1516</v>
      </c>
      <c r="D37">
        <v>1572212454</v>
      </c>
      <c r="E37">
        <v>3254062</v>
      </c>
      <c r="F37">
        <v>1158001122</v>
      </c>
      <c r="G37" s="1">
        <v>46071</v>
      </c>
      <c r="H37" t="s">
        <v>1350</v>
      </c>
      <c r="I37" t="s">
        <v>1374</v>
      </c>
      <c r="J37" t="s">
        <v>1363</v>
      </c>
      <c r="K37" t="s">
        <v>1353</v>
      </c>
      <c r="L37" t="s">
        <v>1408</v>
      </c>
      <c r="M37" t="s">
        <v>1421</v>
      </c>
      <c r="N37" t="s">
        <v>1422</v>
      </c>
      <c r="O37" t="s">
        <v>1411</v>
      </c>
      <c r="P37" t="s">
        <v>1411</v>
      </c>
      <c r="Q37" t="s">
        <v>1412</v>
      </c>
      <c r="S37" s="1">
        <v>46066</v>
      </c>
      <c r="W37" s="1">
        <v>32511</v>
      </c>
      <c r="X37" t="s">
        <v>1517</v>
      </c>
      <c r="Z37" t="s">
        <v>1414</v>
      </c>
      <c r="AA37" t="s">
        <v>1415</v>
      </c>
      <c r="AB37" t="s">
        <v>1270</v>
      </c>
      <c r="AC37">
        <v>83981859211</v>
      </c>
      <c r="AD37" t="str">
        <f>_xlfn.XLOOKUP(F37,'Base de Tutores'!L:L,'Base de Tutores'!F:F)</f>
        <v>BFR</v>
      </c>
    </row>
    <row r="38" spans="1:30" hidden="1" x14ac:dyDescent="0.3">
      <c r="A38" t="s">
        <v>1405</v>
      </c>
      <c r="B38" t="s">
        <v>1406</v>
      </c>
      <c r="C38" t="s">
        <v>1518</v>
      </c>
      <c r="D38">
        <v>279270321</v>
      </c>
      <c r="E38">
        <v>1012141982</v>
      </c>
      <c r="F38">
        <v>1158001167</v>
      </c>
      <c r="G38" s="1">
        <v>46092</v>
      </c>
      <c r="H38" t="s">
        <v>1350</v>
      </c>
      <c r="I38" t="s">
        <v>1374</v>
      </c>
      <c r="J38" t="s">
        <v>1363</v>
      </c>
      <c r="K38" t="s">
        <v>1353</v>
      </c>
      <c r="L38" t="s">
        <v>1408</v>
      </c>
      <c r="M38" t="s">
        <v>1409</v>
      </c>
      <c r="N38" t="s">
        <v>1410</v>
      </c>
      <c r="O38" t="s">
        <v>1423</v>
      </c>
      <c r="P38" t="s">
        <v>1423</v>
      </c>
      <c r="Q38" t="s">
        <v>1412</v>
      </c>
      <c r="S38" s="1">
        <v>46090</v>
      </c>
      <c r="W38" s="1">
        <v>30725</v>
      </c>
      <c r="X38" t="s">
        <v>1519</v>
      </c>
      <c r="Z38" t="s">
        <v>1495</v>
      </c>
      <c r="AA38" t="s">
        <v>1419</v>
      </c>
      <c r="AB38" t="s">
        <v>1289</v>
      </c>
      <c r="AC38">
        <v>98989119410</v>
      </c>
      <c r="AD38" t="str">
        <f>_xlfn.XLOOKUP(F38,'Base de Tutores'!L:L,'Base de Tutores'!F:F)</f>
        <v>BFR</v>
      </c>
    </row>
    <row r="39" spans="1:30" hidden="1" x14ac:dyDescent="0.3">
      <c r="A39" t="s">
        <v>1405</v>
      </c>
      <c r="B39" t="s">
        <v>1406</v>
      </c>
      <c r="C39" t="s">
        <v>1520</v>
      </c>
      <c r="D39">
        <v>4202089170</v>
      </c>
      <c r="E39">
        <v>2914867</v>
      </c>
      <c r="F39">
        <v>1158001166</v>
      </c>
      <c r="G39" s="1">
        <v>46090</v>
      </c>
      <c r="H39" t="s">
        <v>1350</v>
      </c>
      <c r="I39" t="s">
        <v>1374</v>
      </c>
      <c r="J39" t="s">
        <v>1363</v>
      </c>
      <c r="K39" t="s">
        <v>1353</v>
      </c>
      <c r="L39" t="s">
        <v>1408</v>
      </c>
      <c r="M39" t="s">
        <v>1409</v>
      </c>
      <c r="N39" t="s">
        <v>1410</v>
      </c>
      <c r="O39" t="s">
        <v>1411</v>
      </c>
      <c r="P39" t="s">
        <v>1411</v>
      </c>
      <c r="Q39" t="s">
        <v>1412</v>
      </c>
      <c r="S39" s="1">
        <v>46087</v>
      </c>
      <c r="W39" s="1">
        <v>34261</v>
      </c>
      <c r="X39" t="s">
        <v>1521</v>
      </c>
      <c r="Z39" t="s">
        <v>1495</v>
      </c>
      <c r="AA39" t="s">
        <v>1419</v>
      </c>
      <c r="AB39" t="s">
        <v>1282</v>
      </c>
      <c r="AC39">
        <v>61993638099</v>
      </c>
      <c r="AD39" t="str">
        <f>_xlfn.XLOOKUP(F39,'Base de Tutores'!L:L,'Base de Tutores'!F:F)</f>
        <v>BFR</v>
      </c>
    </row>
    <row r="40" spans="1:30" hidden="1" x14ac:dyDescent="0.3">
      <c r="A40" t="s">
        <v>1405</v>
      </c>
      <c r="B40" t="s">
        <v>1406</v>
      </c>
      <c r="C40" t="s">
        <v>1522</v>
      </c>
      <c r="D40">
        <v>5967860932</v>
      </c>
      <c r="E40">
        <v>99743247</v>
      </c>
      <c r="F40">
        <v>1158001189</v>
      </c>
      <c r="G40" s="1">
        <v>46118</v>
      </c>
      <c r="H40" t="s">
        <v>1350</v>
      </c>
      <c r="I40" t="s">
        <v>1374</v>
      </c>
      <c r="J40" t="s">
        <v>1363</v>
      </c>
      <c r="K40" t="s">
        <v>1353</v>
      </c>
      <c r="L40" t="s">
        <v>1408</v>
      </c>
      <c r="M40" t="s">
        <v>1447</v>
      </c>
      <c r="N40" t="s">
        <v>1448</v>
      </c>
      <c r="O40" t="s">
        <v>1423</v>
      </c>
      <c r="P40" t="s">
        <v>1423</v>
      </c>
      <c r="Q40" t="s">
        <v>1412</v>
      </c>
      <c r="S40" s="1">
        <v>46118</v>
      </c>
      <c r="W40" s="1">
        <v>31880</v>
      </c>
      <c r="X40" t="s">
        <v>1523</v>
      </c>
      <c r="Z40" t="s">
        <v>1495</v>
      </c>
      <c r="AA40" t="s">
        <v>1419</v>
      </c>
      <c r="AB40" t="s">
        <v>304</v>
      </c>
      <c r="AC40">
        <v>46999405572</v>
      </c>
      <c r="AD40" t="str">
        <f>_xlfn.XLOOKUP(F40,'Base de Tutores'!L:L,'Base de Tutores'!F:F)</f>
        <v>EMF-ISN</v>
      </c>
    </row>
    <row r="41" spans="1:30" hidden="1" x14ac:dyDescent="0.3">
      <c r="A41" t="s">
        <v>1405</v>
      </c>
      <c r="B41" t="s">
        <v>1406</v>
      </c>
      <c r="C41" t="s">
        <v>1524</v>
      </c>
      <c r="D41">
        <v>10931438942</v>
      </c>
      <c r="E41">
        <v>6033701</v>
      </c>
      <c r="F41">
        <v>1158000862</v>
      </c>
      <c r="G41" s="1">
        <v>45880</v>
      </c>
      <c r="H41" t="s">
        <v>1350</v>
      </c>
      <c r="I41" t="s">
        <v>1525</v>
      </c>
      <c r="J41" t="s">
        <v>1363</v>
      </c>
      <c r="K41" t="s">
        <v>1353</v>
      </c>
      <c r="L41" t="s">
        <v>1408</v>
      </c>
      <c r="M41" t="s">
        <v>1421</v>
      </c>
      <c r="N41" t="s">
        <v>1422</v>
      </c>
      <c r="O41" t="s">
        <v>1423</v>
      </c>
      <c r="P41" t="s">
        <v>1423</v>
      </c>
      <c r="Q41" t="s">
        <v>1412</v>
      </c>
      <c r="S41" s="1">
        <v>46100</v>
      </c>
      <c r="T41" s="1">
        <v>46087</v>
      </c>
      <c r="U41" s="1">
        <v>46206</v>
      </c>
      <c r="W41" s="1">
        <v>36073</v>
      </c>
      <c r="X41" t="s">
        <v>1526</v>
      </c>
      <c r="Y41" t="s">
        <v>1527</v>
      </c>
      <c r="Z41" t="s">
        <v>1414</v>
      </c>
      <c r="AA41" t="s">
        <v>1419</v>
      </c>
      <c r="AB41" t="s">
        <v>866</v>
      </c>
      <c r="AC41">
        <v>47984316960</v>
      </c>
      <c r="AD41" t="str">
        <f>_xlfn.XLOOKUP(F41,'Base de Tutores'!L:L,'Base de Tutores'!F:F)</f>
        <v>BFI</v>
      </c>
    </row>
    <row r="42" spans="1:30" x14ac:dyDescent="0.3">
      <c r="A42" t="s">
        <v>1405</v>
      </c>
      <c r="B42" t="s">
        <v>1406</v>
      </c>
      <c r="C42" t="s">
        <v>1528</v>
      </c>
      <c r="D42">
        <v>94788561115</v>
      </c>
      <c r="E42">
        <v>4043966</v>
      </c>
      <c r="F42">
        <v>1158001034</v>
      </c>
      <c r="G42" s="1">
        <v>45938</v>
      </c>
      <c r="H42" t="s">
        <v>1350</v>
      </c>
      <c r="I42" t="s">
        <v>1374</v>
      </c>
      <c r="J42" t="s">
        <v>1363</v>
      </c>
      <c r="K42" t="s">
        <v>1353</v>
      </c>
      <c r="L42" t="s">
        <v>1408</v>
      </c>
      <c r="M42" t="s">
        <v>1421</v>
      </c>
      <c r="N42" t="s">
        <v>1422</v>
      </c>
      <c r="O42" t="s">
        <v>1462</v>
      </c>
      <c r="P42" t="s">
        <v>1462</v>
      </c>
      <c r="Q42" t="s">
        <v>1412</v>
      </c>
      <c r="S42" s="1">
        <v>46043</v>
      </c>
      <c r="W42" s="1">
        <v>29967</v>
      </c>
      <c r="X42" t="s">
        <v>1424</v>
      </c>
      <c r="Z42" t="s">
        <v>1414</v>
      </c>
      <c r="AA42" t="s">
        <v>1419</v>
      </c>
      <c r="AB42" t="s">
        <v>1181</v>
      </c>
      <c r="AC42">
        <v>62994359048</v>
      </c>
      <c r="AD42" t="str">
        <f>_xlfn.XLOOKUP(F42,'Base de Tutores'!L:L,'Base de Tutores'!F:F)</f>
        <v>BTO</v>
      </c>
    </row>
    <row r="43" spans="1:30" hidden="1" x14ac:dyDescent="0.3">
      <c r="A43" t="s">
        <v>1405</v>
      </c>
      <c r="B43" t="s">
        <v>1406</v>
      </c>
      <c r="C43" t="s">
        <v>1529</v>
      </c>
      <c r="D43">
        <v>4575029165</v>
      </c>
      <c r="E43">
        <v>5759760</v>
      </c>
      <c r="F43">
        <v>1158000631</v>
      </c>
      <c r="G43" s="1">
        <v>45791</v>
      </c>
      <c r="H43" t="s">
        <v>1350</v>
      </c>
      <c r="I43" t="s">
        <v>1374</v>
      </c>
      <c r="J43" t="s">
        <v>1363</v>
      </c>
      <c r="K43" t="s">
        <v>1353</v>
      </c>
      <c r="L43" t="s">
        <v>1408</v>
      </c>
      <c r="M43" t="s">
        <v>1421</v>
      </c>
      <c r="N43" t="s">
        <v>1422</v>
      </c>
      <c r="O43" t="s">
        <v>1462</v>
      </c>
      <c r="P43" t="s">
        <v>1462</v>
      </c>
      <c r="Q43" t="s">
        <v>1412</v>
      </c>
      <c r="S43" s="1">
        <v>46043</v>
      </c>
      <c r="W43" s="1">
        <v>33860</v>
      </c>
      <c r="X43" t="s">
        <v>1530</v>
      </c>
      <c r="Z43" t="s">
        <v>1414</v>
      </c>
      <c r="AA43" t="s">
        <v>1419</v>
      </c>
      <c r="AB43" t="s">
        <v>655</v>
      </c>
      <c r="AC43">
        <v>62991929023</v>
      </c>
      <c r="AD43" t="str">
        <f>_xlfn.XLOOKUP(F43,'Base de Tutores'!L:L,'Base de Tutores'!F:F)</f>
        <v>EMF-ISN</v>
      </c>
    </row>
    <row r="44" spans="1:30" hidden="1" x14ac:dyDescent="0.3">
      <c r="A44" t="s">
        <v>1405</v>
      </c>
      <c r="B44" t="s">
        <v>1406</v>
      </c>
      <c r="C44" t="s">
        <v>1531</v>
      </c>
      <c r="D44">
        <v>6869380112</v>
      </c>
      <c r="E44">
        <v>6547310</v>
      </c>
      <c r="F44">
        <v>1158000947</v>
      </c>
      <c r="G44" s="1">
        <v>45901</v>
      </c>
      <c r="H44" t="s">
        <v>1350</v>
      </c>
      <c r="I44" t="s">
        <v>1349</v>
      </c>
      <c r="J44" t="s">
        <v>1363</v>
      </c>
      <c r="K44" t="s">
        <v>1353</v>
      </c>
      <c r="L44" t="s">
        <v>1408</v>
      </c>
      <c r="M44" t="s">
        <v>1409</v>
      </c>
      <c r="N44" t="s">
        <v>1422</v>
      </c>
      <c r="O44" t="s">
        <v>1411</v>
      </c>
      <c r="P44" t="s">
        <v>1411</v>
      </c>
      <c r="Q44" t="s">
        <v>1412</v>
      </c>
      <c r="S44" s="1">
        <v>45954</v>
      </c>
      <c r="V44" s="1">
        <v>45952</v>
      </c>
      <c r="W44" s="1">
        <v>36313</v>
      </c>
      <c r="X44" t="s">
        <v>1532</v>
      </c>
      <c r="Z44" t="s">
        <v>1414</v>
      </c>
      <c r="AA44" t="s">
        <v>1419</v>
      </c>
      <c r="AB44" t="s">
        <v>294</v>
      </c>
      <c r="AC44">
        <v>61991892755</v>
      </c>
      <c r="AD44" t="str">
        <f>_xlfn.XLOOKUP(F44,'Base de Tutores'!L:L,'Base de Tutores'!F:F)</f>
        <v>EMF-ISN</v>
      </c>
    </row>
    <row r="45" spans="1:30" hidden="1" x14ac:dyDescent="0.3">
      <c r="A45" t="s">
        <v>1405</v>
      </c>
      <c r="B45" t="s">
        <v>1406</v>
      </c>
      <c r="C45" t="s">
        <v>1533</v>
      </c>
      <c r="D45">
        <v>4334824277</v>
      </c>
      <c r="E45" t="s">
        <v>1534</v>
      </c>
      <c r="F45">
        <v>1158000706</v>
      </c>
      <c r="G45" s="1">
        <v>45761</v>
      </c>
      <c r="H45" t="s">
        <v>1350</v>
      </c>
      <c r="I45" t="s">
        <v>1374</v>
      </c>
      <c r="J45" t="s">
        <v>1363</v>
      </c>
      <c r="K45" t="s">
        <v>1353</v>
      </c>
      <c r="L45" t="s">
        <v>1408</v>
      </c>
      <c r="M45" t="s">
        <v>1421</v>
      </c>
      <c r="N45" t="s">
        <v>1422</v>
      </c>
      <c r="O45" t="s">
        <v>1411</v>
      </c>
      <c r="P45" t="s">
        <v>1411</v>
      </c>
      <c r="Q45" t="s">
        <v>1412</v>
      </c>
      <c r="S45" s="1">
        <v>46043</v>
      </c>
      <c r="W45" s="1">
        <v>36781</v>
      </c>
      <c r="X45" t="s">
        <v>1535</v>
      </c>
      <c r="Z45" t="s">
        <v>1414</v>
      </c>
      <c r="AA45" t="s">
        <v>1419</v>
      </c>
      <c r="AB45" t="s">
        <v>249</v>
      </c>
      <c r="AC45">
        <v>97991518125</v>
      </c>
      <c r="AD45" t="str">
        <f>_xlfn.XLOOKUP(F45,'Base de Tutores'!L:L,'Base de Tutores'!F:F)</f>
        <v>EMF-ISN</v>
      </c>
    </row>
    <row r="46" spans="1:30" hidden="1" x14ac:dyDescent="0.3">
      <c r="A46" t="s">
        <v>1405</v>
      </c>
      <c r="B46" t="s">
        <v>1406</v>
      </c>
      <c r="C46" t="s">
        <v>1536</v>
      </c>
      <c r="D46">
        <v>7048763370</v>
      </c>
      <c r="E46">
        <v>20084243311</v>
      </c>
      <c r="F46">
        <v>1158000833</v>
      </c>
      <c r="G46" s="1">
        <v>45873</v>
      </c>
      <c r="H46" t="s">
        <v>1350</v>
      </c>
      <c r="I46" t="s">
        <v>1374</v>
      </c>
      <c r="J46" t="s">
        <v>1363</v>
      </c>
      <c r="K46" t="s">
        <v>1353</v>
      </c>
      <c r="L46" t="s">
        <v>1408</v>
      </c>
      <c r="M46" t="s">
        <v>1421</v>
      </c>
      <c r="N46" t="s">
        <v>1422</v>
      </c>
      <c r="O46" t="s">
        <v>1423</v>
      </c>
      <c r="P46" t="s">
        <v>1423</v>
      </c>
      <c r="Q46" t="s">
        <v>1412</v>
      </c>
      <c r="S46" s="1">
        <v>46043</v>
      </c>
      <c r="W46" s="1">
        <v>36093</v>
      </c>
      <c r="X46" t="s">
        <v>1537</v>
      </c>
      <c r="Z46" t="s">
        <v>1414</v>
      </c>
      <c r="AA46" t="s">
        <v>1415</v>
      </c>
      <c r="AB46" t="s">
        <v>763</v>
      </c>
      <c r="AC46">
        <v>85985632837</v>
      </c>
      <c r="AD46" t="str">
        <f>_xlfn.XLOOKUP(F46,'Base de Tutores'!L:L,'Base de Tutores'!F:F)</f>
        <v>BFI</v>
      </c>
    </row>
    <row r="47" spans="1:30" hidden="1" x14ac:dyDescent="0.3">
      <c r="A47" t="s">
        <v>1405</v>
      </c>
      <c r="B47" t="s">
        <v>1406</v>
      </c>
      <c r="C47" t="s">
        <v>1538</v>
      </c>
      <c r="D47">
        <v>89499042334</v>
      </c>
      <c r="E47">
        <v>2004010364165</v>
      </c>
      <c r="F47">
        <v>1158001197</v>
      </c>
      <c r="G47" s="1">
        <v>46118</v>
      </c>
      <c r="H47" t="s">
        <v>1350</v>
      </c>
      <c r="I47" t="s">
        <v>1374</v>
      </c>
      <c r="J47" t="s">
        <v>1363</v>
      </c>
      <c r="K47" t="s">
        <v>1353</v>
      </c>
      <c r="L47" t="s">
        <v>1408</v>
      </c>
      <c r="M47" t="s">
        <v>1421</v>
      </c>
      <c r="N47" t="s">
        <v>1422</v>
      </c>
      <c r="O47" t="s">
        <v>1411</v>
      </c>
      <c r="P47" t="s">
        <v>1411</v>
      </c>
      <c r="Q47" t="s">
        <v>1412</v>
      </c>
      <c r="S47" s="1">
        <v>46118</v>
      </c>
      <c r="W47" s="1">
        <v>28680</v>
      </c>
      <c r="X47" t="s">
        <v>1539</v>
      </c>
      <c r="Z47" t="s">
        <v>1414</v>
      </c>
      <c r="AA47" t="s">
        <v>1419</v>
      </c>
      <c r="AB47" t="s">
        <v>116</v>
      </c>
      <c r="AC47">
        <v>88988029822</v>
      </c>
      <c r="AD47" t="str">
        <f>_xlfn.XLOOKUP(F47,'Base de Tutores'!L:L,'Base de Tutores'!F:F)</f>
        <v>EMF-ISN</v>
      </c>
    </row>
    <row r="48" spans="1:30" hidden="1" x14ac:dyDescent="0.3">
      <c r="A48" t="s">
        <v>1405</v>
      </c>
      <c r="B48" t="s">
        <v>1406</v>
      </c>
      <c r="C48" t="s">
        <v>1540</v>
      </c>
      <c r="D48">
        <v>20650093810</v>
      </c>
      <c r="E48" t="s">
        <v>1541</v>
      </c>
      <c r="F48">
        <v>1158000598</v>
      </c>
      <c r="G48" s="1">
        <v>45782</v>
      </c>
      <c r="H48" t="s">
        <v>1350</v>
      </c>
      <c r="I48" t="s">
        <v>1374</v>
      </c>
      <c r="J48" t="s">
        <v>1363</v>
      </c>
      <c r="K48" t="s">
        <v>1353</v>
      </c>
      <c r="L48" t="s">
        <v>1408</v>
      </c>
      <c r="M48" t="s">
        <v>1409</v>
      </c>
      <c r="N48" t="s">
        <v>1410</v>
      </c>
      <c r="O48" t="s">
        <v>1423</v>
      </c>
      <c r="P48" t="s">
        <v>1423</v>
      </c>
      <c r="Q48" t="s">
        <v>1412</v>
      </c>
      <c r="S48" s="1">
        <v>46043</v>
      </c>
      <c r="W48" s="1">
        <v>27249</v>
      </c>
      <c r="X48" t="s">
        <v>1542</v>
      </c>
      <c r="Y48" t="s">
        <v>1543</v>
      </c>
      <c r="Z48" t="s">
        <v>1414</v>
      </c>
      <c r="AA48" t="s">
        <v>1415</v>
      </c>
      <c r="AB48" t="s">
        <v>672</v>
      </c>
      <c r="AC48">
        <v>18991162348</v>
      </c>
      <c r="AD48" t="str">
        <f>_xlfn.XLOOKUP(F48,'Base de Tutores'!L:L,'Base de Tutores'!F:F)</f>
        <v>EMF-ISN</v>
      </c>
    </row>
    <row r="49" spans="1:30" hidden="1" x14ac:dyDescent="0.3">
      <c r="A49" t="s">
        <v>1405</v>
      </c>
      <c r="B49" t="s">
        <v>1406</v>
      </c>
      <c r="C49" t="s">
        <v>1544</v>
      </c>
      <c r="D49">
        <v>2091638528</v>
      </c>
      <c r="E49" t="s">
        <v>1545</v>
      </c>
      <c r="F49">
        <v>1158000658</v>
      </c>
      <c r="G49" s="1">
        <v>45749</v>
      </c>
      <c r="H49" t="s">
        <v>1350</v>
      </c>
      <c r="I49" t="s">
        <v>1374</v>
      </c>
      <c r="J49" t="s">
        <v>1363</v>
      </c>
      <c r="K49" t="s">
        <v>1353</v>
      </c>
      <c r="L49" t="s">
        <v>1408</v>
      </c>
      <c r="M49" t="s">
        <v>1409</v>
      </c>
      <c r="N49" t="s">
        <v>1410</v>
      </c>
      <c r="O49" t="s">
        <v>1411</v>
      </c>
      <c r="P49" t="s">
        <v>1417</v>
      </c>
      <c r="Q49" t="s">
        <v>1412</v>
      </c>
      <c r="S49" s="1">
        <v>46043</v>
      </c>
      <c r="W49" s="1">
        <v>31392</v>
      </c>
      <c r="X49" t="s">
        <v>1546</v>
      </c>
      <c r="Y49" t="s">
        <v>1547</v>
      </c>
      <c r="Z49" t="s">
        <v>1414</v>
      </c>
      <c r="AA49" t="s">
        <v>1419</v>
      </c>
      <c r="AB49" t="s">
        <v>394</v>
      </c>
      <c r="AC49">
        <v>73981734445</v>
      </c>
      <c r="AD49" t="str">
        <f>_xlfn.XLOOKUP(F49,'Base de Tutores'!L:L,'Base de Tutores'!F:F)</f>
        <v>EMF-ISN</v>
      </c>
    </row>
    <row r="50" spans="1:30" hidden="1" x14ac:dyDescent="0.3">
      <c r="A50" t="s">
        <v>1405</v>
      </c>
      <c r="B50" t="s">
        <v>1406</v>
      </c>
      <c r="C50" t="s">
        <v>1548</v>
      </c>
      <c r="D50">
        <v>1029375089</v>
      </c>
      <c r="E50">
        <v>5973325</v>
      </c>
      <c r="F50">
        <v>1158000882</v>
      </c>
      <c r="G50" s="1">
        <v>45887</v>
      </c>
      <c r="H50" t="s">
        <v>1350</v>
      </c>
      <c r="I50" t="s">
        <v>1374</v>
      </c>
      <c r="J50" t="s">
        <v>1363</v>
      </c>
      <c r="K50" t="s">
        <v>1353</v>
      </c>
      <c r="L50" t="s">
        <v>1408</v>
      </c>
      <c r="M50" t="s">
        <v>1442</v>
      </c>
      <c r="N50" t="s">
        <v>1443</v>
      </c>
      <c r="O50" t="s">
        <v>1423</v>
      </c>
      <c r="P50" t="s">
        <v>1423</v>
      </c>
      <c r="Q50" t="s">
        <v>1412</v>
      </c>
      <c r="S50" s="1">
        <v>46043</v>
      </c>
      <c r="W50" s="1">
        <v>31193</v>
      </c>
      <c r="X50" t="s">
        <v>1549</v>
      </c>
      <c r="Z50" t="s">
        <v>1414</v>
      </c>
      <c r="AA50" t="s">
        <v>1419</v>
      </c>
      <c r="AB50" t="s">
        <v>944</v>
      </c>
      <c r="AC50">
        <v>49999959651</v>
      </c>
      <c r="AD50" t="str">
        <f>_xlfn.XLOOKUP(F50,'Base de Tutores'!L:L,'Base de Tutores'!F:F)</f>
        <v>AGM</v>
      </c>
    </row>
    <row r="51" spans="1:30" hidden="1" x14ac:dyDescent="0.3">
      <c r="A51" t="s">
        <v>1405</v>
      </c>
      <c r="B51" t="s">
        <v>1406</v>
      </c>
      <c r="C51" t="s">
        <v>1550</v>
      </c>
      <c r="D51">
        <v>9795346660</v>
      </c>
      <c r="E51" t="s">
        <v>1551</v>
      </c>
      <c r="F51">
        <v>1158000659</v>
      </c>
      <c r="G51" s="1">
        <v>45749</v>
      </c>
      <c r="H51" t="s">
        <v>1350</v>
      </c>
      <c r="I51" t="s">
        <v>1374</v>
      </c>
      <c r="J51" t="s">
        <v>1363</v>
      </c>
      <c r="K51" t="s">
        <v>1353</v>
      </c>
      <c r="L51" t="s">
        <v>1408</v>
      </c>
      <c r="M51" t="s">
        <v>1409</v>
      </c>
      <c r="N51" t="s">
        <v>1410</v>
      </c>
      <c r="O51" t="s">
        <v>1423</v>
      </c>
      <c r="P51" t="s">
        <v>1423</v>
      </c>
      <c r="Q51" t="s">
        <v>1412</v>
      </c>
      <c r="S51" s="1">
        <v>46043</v>
      </c>
      <c r="W51" s="1">
        <v>33461</v>
      </c>
      <c r="X51" t="s">
        <v>1552</v>
      </c>
      <c r="Z51" t="s">
        <v>1414</v>
      </c>
      <c r="AA51" t="s">
        <v>1419</v>
      </c>
      <c r="AB51" t="s">
        <v>400</v>
      </c>
      <c r="AC51">
        <v>3891399192</v>
      </c>
      <c r="AD51" t="str">
        <f>_xlfn.XLOOKUP(F51,'Base de Tutores'!L:L,'Base de Tutores'!F:F)</f>
        <v>ECE-ENM-ENS-ENG-EEA-GPI-CDE-OBR-SAN-TER-FSA-SLF-QUI</v>
      </c>
    </row>
    <row r="52" spans="1:30" hidden="1" x14ac:dyDescent="0.3">
      <c r="A52" t="s">
        <v>1405</v>
      </c>
      <c r="B52" t="s">
        <v>1406</v>
      </c>
      <c r="C52" t="s">
        <v>1553</v>
      </c>
      <c r="D52">
        <v>2602987000</v>
      </c>
      <c r="E52">
        <v>7110304008</v>
      </c>
      <c r="F52">
        <v>1158001073</v>
      </c>
      <c r="G52" s="1">
        <v>45978</v>
      </c>
      <c r="H52" t="s">
        <v>1350</v>
      </c>
      <c r="I52" t="s">
        <v>1349</v>
      </c>
      <c r="J52" t="s">
        <v>1427</v>
      </c>
      <c r="K52" t="s">
        <v>1356</v>
      </c>
      <c r="L52" t="s">
        <v>1408</v>
      </c>
      <c r="M52" t="s">
        <v>1409</v>
      </c>
      <c r="N52" t="s">
        <v>1410</v>
      </c>
      <c r="O52" t="s">
        <v>1423</v>
      </c>
      <c r="P52" t="s">
        <v>1423</v>
      </c>
      <c r="Q52" t="s">
        <v>1412</v>
      </c>
      <c r="S52" s="1">
        <v>46085</v>
      </c>
      <c r="V52" s="1">
        <v>46083</v>
      </c>
      <c r="W52" s="1">
        <v>33848</v>
      </c>
      <c r="X52" t="s">
        <v>1554</v>
      </c>
      <c r="Z52" t="s">
        <v>1414</v>
      </c>
      <c r="AA52" t="s">
        <v>1419</v>
      </c>
      <c r="AB52" t="s">
        <v>1248</v>
      </c>
      <c r="AC52">
        <v>51983149432</v>
      </c>
      <c r="AD52" t="str">
        <f>_xlfn.XLOOKUP(F52,'Base de Tutores'!L:L,'Base de Tutores'!F:F)</f>
        <v>ECE-ENM-ENS-ENG-EEA-GPI-CDE-OBR-SAN-TER-FSA-SLF-QUI</v>
      </c>
    </row>
    <row r="53" spans="1:30" hidden="1" x14ac:dyDescent="0.3">
      <c r="A53" t="s">
        <v>1405</v>
      </c>
      <c r="B53" t="s">
        <v>1406</v>
      </c>
      <c r="C53" t="s">
        <v>1555</v>
      </c>
      <c r="D53">
        <v>31705837867</v>
      </c>
      <c r="E53" t="s">
        <v>1556</v>
      </c>
      <c r="F53">
        <v>1158000828</v>
      </c>
      <c r="G53" s="1">
        <v>45873</v>
      </c>
      <c r="H53" t="s">
        <v>1350</v>
      </c>
      <c r="I53" t="s">
        <v>1374</v>
      </c>
      <c r="J53" t="s">
        <v>1363</v>
      </c>
      <c r="K53" t="s">
        <v>1353</v>
      </c>
      <c r="L53" t="s">
        <v>1408</v>
      </c>
      <c r="M53" t="s">
        <v>1447</v>
      </c>
      <c r="N53" t="s">
        <v>1448</v>
      </c>
      <c r="O53" t="s">
        <v>1462</v>
      </c>
      <c r="P53" t="s">
        <v>1462</v>
      </c>
      <c r="Q53" t="s">
        <v>1412</v>
      </c>
      <c r="S53" s="1">
        <v>46043</v>
      </c>
      <c r="W53" s="1">
        <v>34781</v>
      </c>
      <c r="X53" t="s">
        <v>1510</v>
      </c>
      <c r="Z53" t="s">
        <v>1414</v>
      </c>
      <c r="AA53" t="s">
        <v>1419</v>
      </c>
      <c r="AB53" t="s">
        <v>765</v>
      </c>
      <c r="AC53">
        <v>11973288100</v>
      </c>
      <c r="AD53" t="str">
        <f>_xlfn.XLOOKUP(F53,'Base de Tutores'!L:L,'Base de Tutores'!F:F)</f>
        <v>AGM</v>
      </c>
    </row>
    <row r="54" spans="1:30" hidden="1" x14ac:dyDescent="0.3">
      <c r="A54" t="s">
        <v>1405</v>
      </c>
      <c r="B54" t="s">
        <v>1406</v>
      </c>
      <c r="C54" t="s">
        <v>1557</v>
      </c>
      <c r="D54">
        <v>46651739824</v>
      </c>
      <c r="E54" t="s">
        <v>1558</v>
      </c>
      <c r="F54">
        <v>1158000814</v>
      </c>
      <c r="G54" s="1">
        <v>45873</v>
      </c>
      <c r="H54" t="s">
        <v>1350</v>
      </c>
      <c r="I54" t="s">
        <v>1349</v>
      </c>
      <c r="J54" t="s">
        <v>1363</v>
      </c>
      <c r="K54" t="s">
        <v>1353</v>
      </c>
      <c r="L54" t="s">
        <v>1408</v>
      </c>
      <c r="M54" t="s">
        <v>1409</v>
      </c>
      <c r="N54" t="s">
        <v>1422</v>
      </c>
      <c r="O54" t="s">
        <v>1423</v>
      </c>
      <c r="P54" t="s">
        <v>1423</v>
      </c>
      <c r="Q54" t="s">
        <v>1412</v>
      </c>
      <c r="S54" s="1">
        <v>45966</v>
      </c>
      <c r="V54" s="1">
        <v>45962</v>
      </c>
      <c r="W54" s="1">
        <v>35724</v>
      </c>
      <c r="X54" t="s">
        <v>1559</v>
      </c>
      <c r="Z54" t="s">
        <v>1414</v>
      </c>
      <c r="AA54" t="s">
        <v>1419</v>
      </c>
      <c r="AB54" t="s">
        <v>1066</v>
      </c>
      <c r="AC54">
        <v>17981310700</v>
      </c>
      <c r="AD54" t="str">
        <f>_xlfn.XLOOKUP(F54,'Base de Tutores'!L:L,'Base de Tutores'!F:F)</f>
        <v>EMF-ISN</v>
      </c>
    </row>
    <row r="55" spans="1:30" hidden="1" x14ac:dyDescent="0.3">
      <c r="A55" t="s">
        <v>1405</v>
      </c>
      <c r="B55" t="s">
        <v>1406</v>
      </c>
      <c r="C55" t="s">
        <v>1560</v>
      </c>
      <c r="D55">
        <v>6781826395</v>
      </c>
      <c r="E55">
        <v>2005021036251</v>
      </c>
      <c r="F55">
        <v>1158001076</v>
      </c>
      <c r="G55" s="1">
        <v>46029</v>
      </c>
      <c r="H55" t="s">
        <v>1350</v>
      </c>
      <c r="I55" t="s">
        <v>1374</v>
      </c>
      <c r="J55" t="s">
        <v>1363</v>
      </c>
      <c r="K55" t="s">
        <v>1353</v>
      </c>
      <c r="L55" t="s">
        <v>1408</v>
      </c>
      <c r="M55" t="s">
        <v>1409</v>
      </c>
      <c r="N55" t="s">
        <v>1410</v>
      </c>
      <c r="O55" t="s">
        <v>1423</v>
      </c>
      <c r="P55" t="s">
        <v>1423</v>
      </c>
      <c r="Q55" t="s">
        <v>1412</v>
      </c>
      <c r="S55" s="1">
        <v>46028</v>
      </c>
      <c r="W55" s="1">
        <v>35206</v>
      </c>
      <c r="X55" t="s">
        <v>1561</v>
      </c>
      <c r="Z55" t="s">
        <v>1414</v>
      </c>
      <c r="AA55" t="s">
        <v>1419</v>
      </c>
      <c r="AB55" t="s">
        <v>1261</v>
      </c>
      <c r="AC55">
        <v>85989650032</v>
      </c>
      <c r="AD55" t="str">
        <f>_xlfn.XLOOKUP(F55,'Base de Tutores'!L:L,'Base de Tutores'!F:F)</f>
        <v>BFR</v>
      </c>
    </row>
    <row r="56" spans="1:30" hidden="1" x14ac:dyDescent="0.3">
      <c r="A56" t="s">
        <v>1405</v>
      </c>
      <c r="B56" t="s">
        <v>1406</v>
      </c>
      <c r="C56" t="s">
        <v>1562</v>
      </c>
      <c r="D56">
        <v>10041147960</v>
      </c>
      <c r="E56">
        <v>5632764</v>
      </c>
      <c r="F56">
        <v>1158000905</v>
      </c>
      <c r="G56" s="1">
        <v>45887</v>
      </c>
      <c r="H56" t="s">
        <v>1350</v>
      </c>
      <c r="I56" t="s">
        <v>1374</v>
      </c>
      <c r="J56" t="s">
        <v>1363</v>
      </c>
      <c r="K56" t="s">
        <v>1353</v>
      </c>
      <c r="L56" t="s">
        <v>1408</v>
      </c>
      <c r="M56" t="s">
        <v>1409</v>
      </c>
      <c r="N56" t="s">
        <v>1410</v>
      </c>
      <c r="O56" t="s">
        <v>1423</v>
      </c>
      <c r="P56" t="s">
        <v>1423</v>
      </c>
      <c r="Q56" t="s">
        <v>1412</v>
      </c>
      <c r="S56" s="1">
        <v>46043</v>
      </c>
      <c r="W56" s="1">
        <v>35058</v>
      </c>
      <c r="X56" t="s">
        <v>1563</v>
      </c>
      <c r="Y56" t="s">
        <v>1564</v>
      </c>
      <c r="Z56" t="s">
        <v>1414</v>
      </c>
      <c r="AA56" t="s">
        <v>1419</v>
      </c>
      <c r="AB56" t="s">
        <v>946</v>
      </c>
      <c r="AC56">
        <v>47991180393</v>
      </c>
      <c r="AD56" t="str">
        <f>_xlfn.XLOOKUP(F56,'Base de Tutores'!L:L,'Base de Tutores'!F:F)</f>
        <v>COS-TIP</v>
      </c>
    </row>
    <row r="57" spans="1:30" hidden="1" x14ac:dyDescent="0.3">
      <c r="A57" t="s">
        <v>1405</v>
      </c>
      <c r="B57" t="s">
        <v>1406</v>
      </c>
      <c r="C57" t="s">
        <v>1565</v>
      </c>
      <c r="D57">
        <v>40422279889</v>
      </c>
      <c r="E57">
        <v>3450188</v>
      </c>
      <c r="F57">
        <v>1158000903</v>
      </c>
      <c r="G57" s="1">
        <v>45887</v>
      </c>
      <c r="H57" t="s">
        <v>1350</v>
      </c>
      <c r="I57" t="s">
        <v>1374</v>
      </c>
      <c r="J57" t="s">
        <v>1363</v>
      </c>
      <c r="K57" t="s">
        <v>1353</v>
      </c>
      <c r="L57" t="s">
        <v>1408</v>
      </c>
      <c r="M57" t="s">
        <v>1409</v>
      </c>
      <c r="N57" t="s">
        <v>1410</v>
      </c>
      <c r="O57" t="s">
        <v>1411</v>
      </c>
      <c r="P57" t="s">
        <v>1411</v>
      </c>
      <c r="Q57" t="s">
        <v>1412</v>
      </c>
      <c r="S57" s="1">
        <v>46043</v>
      </c>
      <c r="W57" s="1">
        <v>36039</v>
      </c>
      <c r="X57" t="s">
        <v>1566</v>
      </c>
      <c r="Z57" t="s">
        <v>1414</v>
      </c>
      <c r="AA57" t="s">
        <v>1419</v>
      </c>
      <c r="AB57" t="s">
        <v>949</v>
      </c>
      <c r="AC57">
        <v>61981311716</v>
      </c>
      <c r="AD57" t="str">
        <f>_xlfn.XLOOKUP(F57,'Base de Tutores'!L:L,'Base de Tutores'!F:F)</f>
        <v>COS-TIP</v>
      </c>
    </row>
    <row r="58" spans="1:30" x14ac:dyDescent="0.3">
      <c r="A58" t="s">
        <v>1405</v>
      </c>
      <c r="B58" t="s">
        <v>1406</v>
      </c>
      <c r="C58" t="s">
        <v>1567</v>
      </c>
      <c r="D58">
        <v>1981648232</v>
      </c>
      <c r="E58">
        <v>7682314</v>
      </c>
      <c r="F58">
        <v>1158000913</v>
      </c>
      <c r="G58" s="1">
        <v>45889</v>
      </c>
      <c r="H58" t="s">
        <v>1350</v>
      </c>
      <c r="I58" t="s">
        <v>1374</v>
      </c>
      <c r="J58" t="s">
        <v>1363</v>
      </c>
      <c r="K58" t="s">
        <v>1353</v>
      </c>
      <c r="L58" t="s">
        <v>1408</v>
      </c>
      <c r="M58" t="s">
        <v>1409</v>
      </c>
      <c r="N58" t="s">
        <v>1410</v>
      </c>
      <c r="O58" t="s">
        <v>1411</v>
      </c>
      <c r="P58" t="s">
        <v>1411</v>
      </c>
      <c r="Q58" t="s">
        <v>1412</v>
      </c>
      <c r="S58" s="1">
        <v>46043</v>
      </c>
      <c r="W58" s="1">
        <v>34230</v>
      </c>
      <c r="X58" t="s">
        <v>1492</v>
      </c>
      <c r="Z58" t="s">
        <v>1414</v>
      </c>
      <c r="AA58" t="s">
        <v>1419</v>
      </c>
      <c r="AB58" t="s">
        <v>989</v>
      </c>
      <c r="AC58">
        <v>71981519494</v>
      </c>
      <c r="AD58" t="str">
        <f>_xlfn.XLOOKUP(F58,'Base de Tutores'!L:L,'Base de Tutores'!F:F)</f>
        <v>BTO</v>
      </c>
    </row>
    <row r="59" spans="1:30" hidden="1" x14ac:dyDescent="0.3">
      <c r="A59" t="s">
        <v>1405</v>
      </c>
      <c r="B59" t="s">
        <v>1406</v>
      </c>
      <c r="C59" t="s">
        <v>1568</v>
      </c>
      <c r="D59">
        <v>39458707803</v>
      </c>
      <c r="E59" t="s">
        <v>1569</v>
      </c>
      <c r="F59">
        <v>1158000961</v>
      </c>
      <c r="G59" s="1">
        <v>45908</v>
      </c>
      <c r="H59" t="s">
        <v>1350</v>
      </c>
      <c r="I59" t="s">
        <v>1374</v>
      </c>
      <c r="J59" t="s">
        <v>1363</v>
      </c>
      <c r="K59" t="s">
        <v>1353</v>
      </c>
      <c r="L59" t="s">
        <v>1408</v>
      </c>
      <c r="M59" t="s">
        <v>1409</v>
      </c>
      <c r="N59" t="s">
        <v>1410</v>
      </c>
      <c r="O59" t="s">
        <v>1423</v>
      </c>
      <c r="P59" t="s">
        <v>1423</v>
      </c>
      <c r="Q59" t="s">
        <v>1412</v>
      </c>
      <c r="S59" s="1">
        <v>46043</v>
      </c>
      <c r="W59" s="1">
        <v>33758</v>
      </c>
      <c r="X59" t="s">
        <v>1570</v>
      </c>
      <c r="Z59" t="s">
        <v>1414</v>
      </c>
      <c r="AA59" t="s">
        <v>1419</v>
      </c>
      <c r="AB59" t="s">
        <v>1075</v>
      </c>
      <c r="AC59">
        <v>13991566285</v>
      </c>
      <c r="AD59" t="str">
        <f>_xlfn.XLOOKUP(F59,'Base de Tutores'!L:L,'Base de Tutores'!F:F)</f>
        <v>COS-TIP</v>
      </c>
    </row>
    <row r="60" spans="1:30" hidden="1" x14ac:dyDescent="0.3">
      <c r="A60" t="s">
        <v>1405</v>
      </c>
      <c r="B60" t="s">
        <v>1406</v>
      </c>
      <c r="C60" t="s">
        <v>1571</v>
      </c>
      <c r="D60">
        <v>13753230758</v>
      </c>
      <c r="E60" s="3">
        <v>3525162</v>
      </c>
      <c r="F60">
        <v>1158000999</v>
      </c>
      <c r="G60" s="1">
        <v>45931</v>
      </c>
      <c r="H60" t="s">
        <v>1350</v>
      </c>
      <c r="I60" t="s">
        <v>1349</v>
      </c>
      <c r="J60" t="s">
        <v>1363</v>
      </c>
      <c r="K60" t="s">
        <v>1353</v>
      </c>
      <c r="L60" t="s">
        <v>1408</v>
      </c>
      <c r="M60" t="s">
        <v>1409</v>
      </c>
      <c r="N60" t="s">
        <v>1410</v>
      </c>
      <c r="O60" t="s">
        <v>1423</v>
      </c>
      <c r="P60" t="s">
        <v>1423</v>
      </c>
      <c r="Q60" t="s">
        <v>1412</v>
      </c>
      <c r="S60" s="1">
        <v>45974</v>
      </c>
      <c r="V60" s="1">
        <v>45972</v>
      </c>
      <c r="W60" s="1">
        <v>35968</v>
      </c>
      <c r="X60" t="s">
        <v>1572</v>
      </c>
      <c r="Z60" t="s">
        <v>1414</v>
      </c>
      <c r="AA60" t="s">
        <v>1419</v>
      </c>
      <c r="AB60" t="s">
        <v>1118</v>
      </c>
      <c r="AC60">
        <v>27998303547</v>
      </c>
      <c r="AD60" t="str">
        <f>_xlfn.XLOOKUP(F60,'Base de Tutores'!L:L,'Base de Tutores'!F:F)</f>
        <v>BFR</v>
      </c>
    </row>
    <row r="61" spans="1:30" hidden="1" x14ac:dyDescent="0.3">
      <c r="A61" t="s">
        <v>1405</v>
      </c>
      <c r="B61" t="s">
        <v>1406</v>
      </c>
      <c r="C61" t="s">
        <v>1573</v>
      </c>
      <c r="D61">
        <v>5303758184</v>
      </c>
      <c r="E61">
        <v>6656996</v>
      </c>
      <c r="F61">
        <v>1158001185</v>
      </c>
      <c r="G61" s="1">
        <v>46104</v>
      </c>
      <c r="H61" t="s">
        <v>1350</v>
      </c>
      <c r="I61" t="s">
        <v>1374</v>
      </c>
      <c r="J61" t="s">
        <v>1363</v>
      </c>
      <c r="K61" t="s">
        <v>1353</v>
      </c>
      <c r="L61" t="s">
        <v>1408</v>
      </c>
      <c r="M61" t="s">
        <v>1421</v>
      </c>
      <c r="N61" t="s">
        <v>1422</v>
      </c>
      <c r="O61" t="s">
        <v>1423</v>
      </c>
      <c r="P61" t="s">
        <v>1423</v>
      </c>
      <c r="Q61" t="s">
        <v>1412</v>
      </c>
      <c r="S61" s="1">
        <v>46100</v>
      </c>
      <c r="W61" s="1">
        <v>36733</v>
      </c>
      <c r="X61" t="s">
        <v>1424</v>
      </c>
      <c r="Z61" t="s">
        <v>1414</v>
      </c>
      <c r="AA61" t="s">
        <v>1419</v>
      </c>
      <c r="AB61" t="s">
        <v>1574</v>
      </c>
      <c r="AC61">
        <v>62992545192</v>
      </c>
      <c r="AD61" t="str">
        <f>_xlfn.XLOOKUP(F61,'Base de Tutores'!L:L,'Base de Tutores'!F:F)</f>
        <v>BFR</v>
      </c>
    </row>
    <row r="62" spans="1:30" hidden="1" x14ac:dyDescent="0.3">
      <c r="A62" t="s">
        <v>1405</v>
      </c>
      <c r="B62" t="s">
        <v>1406</v>
      </c>
      <c r="C62" t="s">
        <v>1575</v>
      </c>
      <c r="D62">
        <v>9256958902</v>
      </c>
      <c r="E62" s="3">
        <v>5274497</v>
      </c>
      <c r="F62">
        <v>1158000793</v>
      </c>
      <c r="G62" s="1">
        <v>45873</v>
      </c>
      <c r="H62" t="s">
        <v>1350</v>
      </c>
      <c r="I62" t="s">
        <v>1374</v>
      </c>
      <c r="J62" t="s">
        <v>1363</v>
      </c>
      <c r="K62" t="s">
        <v>1353</v>
      </c>
      <c r="L62" t="s">
        <v>1408</v>
      </c>
      <c r="M62" t="s">
        <v>1421</v>
      </c>
      <c r="N62" t="s">
        <v>1422</v>
      </c>
      <c r="O62" t="s">
        <v>1423</v>
      </c>
      <c r="P62" t="s">
        <v>1423</v>
      </c>
      <c r="Q62" t="s">
        <v>1412</v>
      </c>
      <c r="S62" s="1">
        <v>46043</v>
      </c>
      <c r="W62" s="1">
        <v>36696</v>
      </c>
      <c r="X62" t="s">
        <v>1576</v>
      </c>
      <c r="Y62" t="s">
        <v>1577</v>
      </c>
      <c r="Z62" t="s">
        <v>1414</v>
      </c>
      <c r="AA62" t="s">
        <v>1419</v>
      </c>
      <c r="AB62" t="s">
        <v>767</v>
      </c>
      <c r="AC62">
        <v>47920002453</v>
      </c>
      <c r="AD62" t="str">
        <f>_xlfn.XLOOKUP(F62,'Base de Tutores'!L:L,'Base de Tutores'!F:F)</f>
        <v>NTR</v>
      </c>
    </row>
    <row r="63" spans="1:30" hidden="1" x14ac:dyDescent="0.3">
      <c r="A63" t="s">
        <v>1405</v>
      </c>
      <c r="B63" t="s">
        <v>1406</v>
      </c>
      <c r="C63" t="s">
        <v>1578</v>
      </c>
      <c r="D63">
        <v>2525340000</v>
      </c>
      <c r="E63">
        <v>1109754307</v>
      </c>
      <c r="F63">
        <v>1158000819</v>
      </c>
      <c r="G63" s="1">
        <v>45873</v>
      </c>
      <c r="H63" t="s">
        <v>1350</v>
      </c>
      <c r="I63" t="s">
        <v>1349</v>
      </c>
      <c r="J63" t="s">
        <v>1363</v>
      </c>
      <c r="K63" t="s">
        <v>1353</v>
      </c>
      <c r="L63" t="s">
        <v>1408</v>
      </c>
      <c r="M63" t="s">
        <v>1447</v>
      </c>
      <c r="N63" t="s">
        <v>1448</v>
      </c>
      <c r="O63" t="s">
        <v>1423</v>
      </c>
      <c r="P63" t="s">
        <v>1423</v>
      </c>
      <c r="Q63" t="s">
        <v>1412</v>
      </c>
      <c r="S63" s="1">
        <v>45936</v>
      </c>
      <c r="V63" s="1">
        <v>45931</v>
      </c>
      <c r="W63" s="1">
        <v>35462</v>
      </c>
      <c r="X63" t="s">
        <v>1469</v>
      </c>
      <c r="Z63" t="s">
        <v>1414</v>
      </c>
      <c r="AA63" t="s">
        <v>1419</v>
      </c>
      <c r="AB63" t="s">
        <v>744</v>
      </c>
      <c r="AC63">
        <v>55996478933</v>
      </c>
      <c r="AD63" t="str">
        <f>_xlfn.XLOOKUP(F63,'Base de Tutores'!L:L,'Base de Tutores'!F:F)</f>
        <v>AGM</v>
      </c>
    </row>
    <row r="64" spans="1:30" hidden="1" x14ac:dyDescent="0.3">
      <c r="A64" t="s">
        <v>1405</v>
      </c>
      <c r="B64" t="s">
        <v>1406</v>
      </c>
      <c r="C64" t="s">
        <v>1579</v>
      </c>
      <c r="D64">
        <v>8958761679</v>
      </c>
      <c r="E64" t="s">
        <v>1580</v>
      </c>
      <c r="F64">
        <v>1158000964</v>
      </c>
      <c r="G64" s="1">
        <v>45910</v>
      </c>
      <c r="H64" t="s">
        <v>1350</v>
      </c>
      <c r="I64" t="s">
        <v>1374</v>
      </c>
      <c r="J64" t="s">
        <v>1363</v>
      </c>
      <c r="K64" t="s">
        <v>1353</v>
      </c>
      <c r="L64" t="s">
        <v>1408</v>
      </c>
      <c r="M64" t="s">
        <v>1421</v>
      </c>
      <c r="N64" t="s">
        <v>1422</v>
      </c>
      <c r="O64" t="s">
        <v>1423</v>
      </c>
      <c r="P64" t="s">
        <v>1423</v>
      </c>
      <c r="Q64" t="s">
        <v>1412</v>
      </c>
      <c r="S64" s="1">
        <v>46043</v>
      </c>
      <c r="W64" s="1">
        <v>32225</v>
      </c>
      <c r="X64" t="s">
        <v>1581</v>
      </c>
      <c r="Z64" t="s">
        <v>1414</v>
      </c>
      <c r="AA64" t="s">
        <v>1419</v>
      </c>
      <c r="AB64" t="s">
        <v>205</v>
      </c>
      <c r="AC64">
        <v>33999321356</v>
      </c>
      <c r="AD64" t="str">
        <f>_xlfn.XLOOKUP(F64,'Base de Tutores'!L:L,'Base de Tutores'!F:F)</f>
        <v>EMF-ISN</v>
      </c>
    </row>
    <row r="65" spans="1:30" hidden="1" x14ac:dyDescent="0.3">
      <c r="A65" t="s">
        <v>1405</v>
      </c>
      <c r="B65" t="s">
        <v>1406</v>
      </c>
      <c r="C65" t="s">
        <v>1582</v>
      </c>
      <c r="D65">
        <v>12146907690</v>
      </c>
      <c r="E65">
        <v>19627910</v>
      </c>
      <c r="F65">
        <v>1158000681</v>
      </c>
      <c r="G65" s="1">
        <v>45754</v>
      </c>
      <c r="H65" t="s">
        <v>1350</v>
      </c>
      <c r="I65" t="s">
        <v>1349</v>
      </c>
      <c r="J65" t="s">
        <v>1363</v>
      </c>
      <c r="K65" t="s">
        <v>1353</v>
      </c>
      <c r="L65" t="s">
        <v>1408</v>
      </c>
      <c r="M65" t="s">
        <v>1409</v>
      </c>
      <c r="N65" t="s">
        <v>1410</v>
      </c>
      <c r="O65" t="s">
        <v>1462</v>
      </c>
      <c r="P65" t="s">
        <v>1462</v>
      </c>
      <c r="Q65" t="s">
        <v>1412</v>
      </c>
      <c r="S65" s="1">
        <v>46072</v>
      </c>
      <c r="V65" s="1">
        <v>46071</v>
      </c>
      <c r="W65" s="1">
        <v>34829</v>
      </c>
      <c r="X65" t="s">
        <v>1583</v>
      </c>
      <c r="Z65" t="s">
        <v>1414</v>
      </c>
      <c r="AA65" t="s">
        <v>1419</v>
      </c>
      <c r="AB65" t="s">
        <v>607</v>
      </c>
      <c r="AC65">
        <v>38998305593</v>
      </c>
      <c r="AD65" t="str">
        <f>_xlfn.XLOOKUP(F65,'Base de Tutores'!L:L,'Base de Tutores'!F:F)</f>
        <v>EMF-ISN</v>
      </c>
    </row>
    <row r="66" spans="1:30" hidden="1" x14ac:dyDescent="0.3">
      <c r="A66" t="s">
        <v>1405</v>
      </c>
      <c r="B66" t="s">
        <v>1406</v>
      </c>
      <c r="C66" t="s">
        <v>1584</v>
      </c>
      <c r="D66">
        <v>10991195965</v>
      </c>
      <c r="E66" t="s">
        <v>1585</v>
      </c>
      <c r="F66">
        <v>1158001069</v>
      </c>
      <c r="G66" s="1">
        <v>45978</v>
      </c>
      <c r="H66" t="s">
        <v>1350</v>
      </c>
      <c r="I66" t="s">
        <v>1349</v>
      </c>
      <c r="J66" t="s">
        <v>1363</v>
      </c>
      <c r="K66" t="s">
        <v>1353</v>
      </c>
      <c r="L66" t="s">
        <v>1408</v>
      </c>
      <c r="M66" t="s">
        <v>1447</v>
      </c>
      <c r="N66" t="s">
        <v>1448</v>
      </c>
      <c r="O66" t="s">
        <v>1423</v>
      </c>
      <c r="P66" t="s">
        <v>1423</v>
      </c>
      <c r="Q66" t="s">
        <v>1412</v>
      </c>
      <c r="S66" s="1">
        <v>46057</v>
      </c>
      <c r="V66" s="1">
        <v>46055</v>
      </c>
      <c r="W66" s="1">
        <v>36521</v>
      </c>
      <c r="X66" t="s">
        <v>1586</v>
      </c>
      <c r="Z66" t="s">
        <v>1414</v>
      </c>
      <c r="AA66" t="s">
        <v>1415</v>
      </c>
      <c r="AB66" t="s">
        <v>1244</v>
      </c>
      <c r="AC66">
        <v>41996075671</v>
      </c>
      <c r="AD66" t="str">
        <f>_xlfn.XLOOKUP(F66,'Base de Tutores'!L:L,'Base de Tutores'!F:F)</f>
        <v>BFI</v>
      </c>
    </row>
    <row r="67" spans="1:30" hidden="1" x14ac:dyDescent="0.3">
      <c r="A67" t="s">
        <v>1405</v>
      </c>
      <c r="B67" t="s">
        <v>1406</v>
      </c>
      <c r="C67" t="s">
        <v>1587</v>
      </c>
      <c r="D67">
        <v>5587210103</v>
      </c>
      <c r="E67" t="s">
        <v>1588</v>
      </c>
      <c r="F67">
        <v>1158000539</v>
      </c>
      <c r="G67" s="1">
        <v>45726</v>
      </c>
      <c r="H67" t="s">
        <v>1350</v>
      </c>
      <c r="I67" t="s">
        <v>1349</v>
      </c>
      <c r="J67" t="s">
        <v>1363</v>
      </c>
      <c r="K67" t="s">
        <v>1353</v>
      </c>
      <c r="L67" t="s">
        <v>1408</v>
      </c>
      <c r="M67" t="s">
        <v>1409</v>
      </c>
      <c r="N67" t="s">
        <v>1410</v>
      </c>
      <c r="O67" t="s">
        <v>1411</v>
      </c>
      <c r="P67" t="s">
        <v>1423</v>
      </c>
      <c r="Q67" t="s">
        <v>1412</v>
      </c>
      <c r="S67" s="1">
        <v>46065</v>
      </c>
      <c r="V67" s="1">
        <v>46062</v>
      </c>
      <c r="W67" s="1">
        <v>35206</v>
      </c>
      <c r="X67" t="s">
        <v>1589</v>
      </c>
      <c r="Y67" t="s">
        <v>1590</v>
      </c>
      <c r="Z67" t="s">
        <v>1414</v>
      </c>
      <c r="AA67" t="s">
        <v>1415</v>
      </c>
      <c r="AB67" t="s">
        <v>729</v>
      </c>
      <c r="AC67">
        <v>6699578274</v>
      </c>
      <c r="AD67" t="str">
        <f>_xlfn.XLOOKUP(F67,'Base de Tutores'!L:L,'Base de Tutores'!F:F)</f>
        <v>EMF-ISN</v>
      </c>
    </row>
    <row r="68" spans="1:30" hidden="1" x14ac:dyDescent="0.3">
      <c r="A68" t="s">
        <v>1405</v>
      </c>
      <c r="B68" t="s">
        <v>1406</v>
      </c>
      <c r="C68" t="s">
        <v>1591</v>
      </c>
      <c r="D68">
        <v>3636225510</v>
      </c>
      <c r="E68">
        <v>1128171147</v>
      </c>
      <c r="F68">
        <v>1158000535</v>
      </c>
      <c r="G68" s="1">
        <v>45721</v>
      </c>
      <c r="H68" t="s">
        <v>1350</v>
      </c>
      <c r="I68" t="s">
        <v>1374</v>
      </c>
      <c r="J68" t="s">
        <v>1427</v>
      </c>
      <c r="K68" t="s">
        <v>1356</v>
      </c>
      <c r="L68" t="s">
        <v>1408</v>
      </c>
      <c r="M68" t="s">
        <v>1409</v>
      </c>
      <c r="N68" t="s">
        <v>1410</v>
      </c>
      <c r="O68" t="s">
        <v>1411</v>
      </c>
      <c r="P68" t="s">
        <v>1411</v>
      </c>
      <c r="Q68" t="s">
        <v>1412</v>
      </c>
      <c r="S68" s="1">
        <v>46043</v>
      </c>
      <c r="W68" s="1">
        <v>32519</v>
      </c>
      <c r="X68" t="s">
        <v>1430</v>
      </c>
      <c r="Z68" t="s">
        <v>1414</v>
      </c>
      <c r="AA68" t="s">
        <v>1415</v>
      </c>
      <c r="AB68" t="s">
        <v>812</v>
      </c>
      <c r="AC68">
        <v>7197188963564</v>
      </c>
      <c r="AD68" t="str">
        <f>_xlfn.XLOOKUP(F68,'Base de Tutores'!L:L,'Base de Tutores'!F:F)</f>
        <v>EMF-ISN</v>
      </c>
    </row>
    <row r="69" spans="1:30" hidden="1" x14ac:dyDescent="0.3">
      <c r="A69" t="s">
        <v>1405</v>
      </c>
      <c r="B69" t="s">
        <v>1406</v>
      </c>
      <c r="C69" t="s">
        <v>1592</v>
      </c>
      <c r="D69">
        <v>70091010195</v>
      </c>
      <c r="E69">
        <v>5972996</v>
      </c>
      <c r="F69">
        <v>1158000596</v>
      </c>
      <c r="G69" s="1">
        <v>45763</v>
      </c>
      <c r="H69" t="s">
        <v>1350</v>
      </c>
      <c r="I69" t="s">
        <v>1349</v>
      </c>
      <c r="J69" t="s">
        <v>1363</v>
      </c>
      <c r="K69" t="s">
        <v>1353</v>
      </c>
      <c r="L69" t="s">
        <v>1408</v>
      </c>
      <c r="M69" t="s">
        <v>1421</v>
      </c>
      <c r="N69" t="s">
        <v>1422</v>
      </c>
      <c r="O69" t="s">
        <v>1411</v>
      </c>
      <c r="P69" t="s">
        <v>1417</v>
      </c>
      <c r="Q69" t="s">
        <v>1593</v>
      </c>
      <c r="S69" s="1">
        <v>46060</v>
      </c>
      <c r="V69" s="1">
        <v>46055</v>
      </c>
      <c r="W69" s="1">
        <v>35197</v>
      </c>
      <c r="X69" t="s">
        <v>1594</v>
      </c>
      <c r="Z69" t="s">
        <v>1414</v>
      </c>
      <c r="AA69" t="s">
        <v>1415</v>
      </c>
      <c r="AB69" t="s">
        <v>581</v>
      </c>
      <c r="AC69">
        <v>64993059441</v>
      </c>
      <c r="AD69" t="str">
        <f>_xlfn.XLOOKUP(F69,'Base de Tutores'!L:L,'Base de Tutores'!F:F)</f>
        <v>ECE-ENM-ENS-ENG-EEA-GPI-CDE-OBR-SAN-TER-FSA-SLF-QUI</v>
      </c>
    </row>
    <row r="70" spans="1:30" hidden="1" x14ac:dyDescent="0.3">
      <c r="A70" t="s">
        <v>1405</v>
      </c>
      <c r="B70" t="s">
        <v>1406</v>
      </c>
      <c r="C70" t="s">
        <v>1595</v>
      </c>
      <c r="D70">
        <v>6492608305</v>
      </c>
      <c r="E70" t="s">
        <v>1596</v>
      </c>
      <c r="F70">
        <v>1158000595</v>
      </c>
      <c r="G70" s="1">
        <v>45770</v>
      </c>
      <c r="H70" t="s">
        <v>1350</v>
      </c>
      <c r="I70" t="s">
        <v>1374</v>
      </c>
      <c r="J70" t="s">
        <v>1363</v>
      </c>
      <c r="K70" t="s">
        <v>1353</v>
      </c>
      <c r="L70" t="s">
        <v>1408</v>
      </c>
      <c r="M70" t="s">
        <v>1421</v>
      </c>
      <c r="N70" t="s">
        <v>1422</v>
      </c>
      <c r="O70" t="s">
        <v>1411</v>
      </c>
      <c r="P70" t="s">
        <v>1417</v>
      </c>
      <c r="Q70" t="s">
        <v>1412</v>
      </c>
      <c r="S70" s="1">
        <v>46043</v>
      </c>
      <c r="W70" s="1">
        <v>36298</v>
      </c>
      <c r="X70" t="s">
        <v>1597</v>
      </c>
      <c r="Z70" t="s">
        <v>1414</v>
      </c>
      <c r="AA70" t="s">
        <v>1415</v>
      </c>
      <c r="AB70" t="s">
        <v>1314</v>
      </c>
      <c r="AC70">
        <v>49992058845</v>
      </c>
      <c r="AD70" t="str">
        <f>_xlfn.XLOOKUP(F70,'Base de Tutores'!L:L,'Base de Tutores'!F:F)</f>
        <v>EMF-ISN</v>
      </c>
    </row>
    <row r="71" spans="1:30" hidden="1" x14ac:dyDescent="0.3">
      <c r="A71" t="s">
        <v>1405</v>
      </c>
      <c r="B71" t="s">
        <v>1406</v>
      </c>
      <c r="C71" t="s">
        <v>1598</v>
      </c>
      <c r="D71">
        <v>8385518584</v>
      </c>
      <c r="E71" t="s">
        <v>1599</v>
      </c>
      <c r="F71">
        <v>1158000547</v>
      </c>
      <c r="G71" s="1">
        <v>45728</v>
      </c>
      <c r="H71" t="s">
        <v>1350</v>
      </c>
      <c r="I71" t="s">
        <v>1374</v>
      </c>
      <c r="J71" t="s">
        <v>1363</v>
      </c>
      <c r="K71" t="s">
        <v>1353</v>
      </c>
      <c r="L71" t="s">
        <v>1408</v>
      </c>
      <c r="M71" t="s">
        <v>1421</v>
      </c>
      <c r="N71" t="s">
        <v>1422</v>
      </c>
      <c r="O71" t="s">
        <v>1423</v>
      </c>
      <c r="P71" t="s">
        <v>1423</v>
      </c>
      <c r="Q71" t="s">
        <v>1412</v>
      </c>
      <c r="S71" s="1">
        <v>46043</v>
      </c>
      <c r="W71" s="1">
        <v>36049</v>
      </c>
      <c r="X71" t="s">
        <v>1428</v>
      </c>
      <c r="Z71" t="s">
        <v>1414</v>
      </c>
      <c r="AA71" t="s">
        <v>1415</v>
      </c>
      <c r="AB71" t="s">
        <v>56</v>
      </c>
      <c r="AC71">
        <v>79998583631</v>
      </c>
      <c r="AD71" t="str">
        <f>_xlfn.XLOOKUP(F71,'Base de Tutores'!L:L,'Base de Tutores'!F:F)</f>
        <v>EMF-ISN</v>
      </c>
    </row>
    <row r="72" spans="1:30" hidden="1" x14ac:dyDescent="0.3">
      <c r="A72" t="s">
        <v>1405</v>
      </c>
      <c r="B72" t="s">
        <v>1406</v>
      </c>
      <c r="C72" t="s">
        <v>1600</v>
      </c>
      <c r="D72">
        <v>11605822701</v>
      </c>
      <c r="E72" t="s">
        <v>1601</v>
      </c>
      <c r="F72">
        <v>1158000925</v>
      </c>
      <c r="G72" s="1">
        <v>45889</v>
      </c>
      <c r="H72" t="s">
        <v>1350</v>
      </c>
      <c r="I72" t="s">
        <v>1374</v>
      </c>
      <c r="J72" t="s">
        <v>1363</v>
      </c>
      <c r="K72" t="s">
        <v>1353</v>
      </c>
      <c r="L72" t="s">
        <v>1408</v>
      </c>
      <c r="M72" t="s">
        <v>1442</v>
      </c>
      <c r="N72" t="s">
        <v>1443</v>
      </c>
      <c r="O72" t="s">
        <v>1423</v>
      </c>
      <c r="P72" t="s">
        <v>1423</v>
      </c>
      <c r="Q72" t="s">
        <v>1412</v>
      </c>
      <c r="S72" s="1">
        <v>46043</v>
      </c>
      <c r="W72" s="1">
        <v>31539</v>
      </c>
      <c r="X72" t="s">
        <v>1602</v>
      </c>
      <c r="Z72" t="s">
        <v>1414</v>
      </c>
      <c r="AA72" t="s">
        <v>1415</v>
      </c>
      <c r="AB72" t="s">
        <v>992</v>
      </c>
      <c r="AC72">
        <v>21987989143</v>
      </c>
      <c r="AD72" t="str">
        <f>_xlfn.XLOOKUP(F72,'Base de Tutores'!L:L,'Base de Tutores'!F:F)</f>
        <v>BFR</v>
      </c>
    </row>
    <row r="73" spans="1:30" hidden="1" x14ac:dyDescent="0.3">
      <c r="A73" t="s">
        <v>1405</v>
      </c>
      <c r="B73" t="s">
        <v>1406</v>
      </c>
      <c r="C73" t="s">
        <v>1603</v>
      </c>
      <c r="D73">
        <v>1603763600</v>
      </c>
      <c r="E73" t="s">
        <v>1604</v>
      </c>
      <c r="F73">
        <v>1158000939</v>
      </c>
      <c r="G73" s="1">
        <v>45901</v>
      </c>
      <c r="H73" t="s">
        <v>1350</v>
      </c>
      <c r="I73" t="s">
        <v>1349</v>
      </c>
      <c r="J73" t="s">
        <v>1363</v>
      </c>
      <c r="K73" t="s">
        <v>1353</v>
      </c>
      <c r="L73" t="s">
        <v>1408</v>
      </c>
      <c r="M73" t="s">
        <v>1447</v>
      </c>
      <c r="N73" t="s">
        <v>1448</v>
      </c>
      <c r="O73" t="s">
        <v>1411</v>
      </c>
      <c r="P73" t="s">
        <v>1411</v>
      </c>
      <c r="Q73" t="s">
        <v>1412</v>
      </c>
      <c r="S73" s="1">
        <v>46057</v>
      </c>
      <c r="V73" s="1">
        <v>46056</v>
      </c>
      <c r="W73" s="1">
        <v>32061</v>
      </c>
      <c r="X73" t="s">
        <v>1605</v>
      </c>
      <c r="Y73" t="s">
        <v>1606</v>
      </c>
      <c r="Z73" t="s">
        <v>1414</v>
      </c>
      <c r="AA73" t="s">
        <v>1419</v>
      </c>
      <c r="AB73" t="s">
        <v>1060</v>
      </c>
      <c r="AC73">
        <v>65999961784</v>
      </c>
      <c r="AD73" t="str">
        <f>_xlfn.XLOOKUP(F73,'Base de Tutores'!L:L,'Base de Tutores'!F:F)</f>
        <v>BFR</v>
      </c>
    </row>
    <row r="74" spans="1:30" x14ac:dyDescent="0.3">
      <c r="A74" t="s">
        <v>1405</v>
      </c>
      <c r="B74" t="s">
        <v>1406</v>
      </c>
      <c r="C74" t="s">
        <v>1607</v>
      </c>
      <c r="D74">
        <v>81714971015</v>
      </c>
      <c r="E74">
        <v>9079103819</v>
      </c>
      <c r="F74">
        <v>1158001050</v>
      </c>
      <c r="G74" s="1">
        <v>45964</v>
      </c>
      <c r="H74" t="s">
        <v>1350</v>
      </c>
      <c r="I74" t="s">
        <v>1374</v>
      </c>
      <c r="J74" t="s">
        <v>1363</v>
      </c>
      <c r="K74" t="s">
        <v>1353</v>
      </c>
      <c r="L74" t="s">
        <v>1408</v>
      </c>
      <c r="M74" t="s">
        <v>1409</v>
      </c>
      <c r="N74" t="s">
        <v>1410</v>
      </c>
      <c r="O74" t="s">
        <v>1423</v>
      </c>
      <c r="P74" t="s">
        <v>1423</v>
      </c>
      <c r="Q74" t="s">
        <v>1412</v>
      </c>
      <c r="S74" s="1">
        <v>46043</v>
      </c>
      <c r="W74" s="1">
        <v>30399</v>
      </c>
      <c r="X74" t="s">
        <v>1485</v>
      </c>
      <c r="Z74" t="s">
        <v>1414</v>
      </c>
      <c r="AA74" t="s">
        <v>1419</v>
      </c>
      <c r="AB74" t="s">
        <v>1224</v>
      </c>
      <c r="AC74">
        <v>51995803707</v>
      </c>
      <c r="AD74" t="str">
        <f>_xlfn.XLOOKUP(F74,'Base de Tutores'!L:L,'Base de Tutores'!F:F)</f>
        <v>BTO</v>
      </c>
    </row>
    <row r="75" spans="1:30" hidden="1" x14ac:dyDescent="0.3">
      <c r="A75" t="s">
        <v>1405</v>
      </c>
      <c r="B75" t="s">
        <v>1406</v>
      </c>
      <c r="C75" t="s">
        <v>1608</v>
      </c>
      <c r="D75">
        <v>9297024688</v>
      </c>
      <c r="E75" t="s">
        <v>1609</v>
      </c>
      <c r="F75">
        <v>1158000812</v>
      </c>
      <c r="G75" s="1">
        <v>45873</v>
      </c>
      <c r="H75" t="s">
        <v>1350</v>
      </c>
      <c r="I75" t="s">
        <v>1349</v>
      </c>
      <c r="J75" t="s">
        <v>1363</v>
      </c>
      <c r="K75" t="s">
        <v>1353</v>
      </c>
      <c r="L75" t="s">
        <v>1408</v>
      </c>
      <c r="M75" t="s">
        <v>1409</v>
      </c>
      <c r="N75" t="s">
        <v>1410</v>
      </c>
      <c r="O75" t="s">
        <v>1423</v>
      </c>
      <c r="P75" t="s">
        <v>1423</v>
      </c>
      <c r="Q75" t="s">
        <v>1412</v>
      </c>
      <c r="S75" s="1">
        <v>45957</v>
      </c>
      <c r="V75" s="1">
        <v>45954</v>
      </c>
      <c r="W75" s="1">
        <v>33183</v>
      </c>
      <c r="X75" t="s">
        <v>1610</v>
      </c>
      <c r="Z75" t="s">
        <v>1414</v>
      </c>
      <c r="AA75" t="s">
        <v>1419</v>
      </c>
      <c r="AB75" t="s">
        <v>791</v>
      </c>
      <c r="AC75">
        <v>35998205008</v>
      </c>
      <c r="AD75" t="str">
        <f>_xlfn.XLOOKUP(F75,'Base de Tutores'!L:L,'Base de Tutores'!F:F)</f>
        <v>BFR</v>
      </c>
    </row>
    <row r="76" spans="1:30" hidden="1" x14ac:dyDescent="0.3">
      <c r="A76" t="s">
        <v>1405</v>
      </c>
      <c r="B76" t="s">
        <v>1406</v>
      </c>
      <c r="C76" t="s">
        <v>1611</v>
      </c>
      <c r="D76">
        <v>1906466327</v>
      </c>
      <c r="E76" t="s">
        <v>1612</v>
      </c>
      <c r="F76">
        <v>1158000823</v>
      </c>
      <c r="G76" s="1">
        <v>45873</v>
      </c>
      <c r="H76" t="s">
        <v>1350</v>
      </c>
      <c r="I76" t="s">
        <v>1374</v>
      </c>
      <c r="J76" t="s">
        <v>1363</v>
      </c>
      <c r="K76" t="s">
        <v>1353</v>
      </c>
      <c r="L76" t="s">
        <v>1408</v>
      </c>
      <c r="M76" t="s">
        <v>1409</v>
      </c>
      <c r="N76" t="s">
        <v>1422</v>
      </c>
      <c r="O76" t="s">
        <v>1462</v>
      </c>
      <c r="P76" t="s">
        <v>1462</v>
      </c>
      <c r="Q76" t="s">
        <v>1412</v>
      </c>
      <c r="S76" s="1">
        <v>46043</v>
      </c>
      <c r="W76" s="1">
        <v>35977</v>
      </c>
      <c r="X76" t="s">
        <v>1613</v>
      </c>
      <c r="Z76" t="s">
        <v>1414</v>
      </c>
      <c r="AA76" t="s">
        <v>1419</v>
      </c>
      <c r="AB76" t="s">
        <v>775</v>
      </c>
      <c r="AC76">
        <v>98987283857</v>
      </c>
      <c r="AD76" t="str">
        <f>_xlfn.XLOOKUP(F76,'Base de Tutores'!L:L,'Base de Tutores'!F:F)</f>
        <v>BFR</v>
      </c>
    </row>
    <row r="77" spans="1:30" hidden="1" x14ac:dyDescent="0.3">
      <c r="A77" t="s">
        <v>1405</v>
      </c>
      <c r="B77" t="s">
        <v>1406</v>
      </c>
      <c r="C77" t="s">
        <v>1614</v>
      </c>
      <c r="D77">
        <v>2785175956</v>
      </c>
      <c r="E77">
        <v>2785175956</v>
      </c>
      <c r="F77">
        <v>1158000804</v>
      </c>
      <c r="G77" s="1">
        <v>45873</v>
      </c>
      <c r="H77" t="s">
        <v>1350</v>
      </c>
      <c r="I77" t="s">
        <v>1349</v>
      </c>
      <c r="J77" t="s">
        <v>1363</v>
      </c>
      <c r="K77" t="s">
        <v>1353</v>
      </c>
      <c r="L77" t="s">
        <v>1408</v>
      </c>
      <c r="M77" t="s">
        <v>1421</v>
      </c>
      <c r="N77" t="s">
        <v>1422</v>
      </c>
      <c r="O77" t="s">
        <v>1423</v>
      </c>
      <c r="P77" t="s">
        <v>1423</v>
      </c>
      <c r="Q77" t="s">
        <v>1412</v>
      </c>
      <c r="S77" s="1">
        <v>45933</v>
      </c>
      <c r="V77" s="1">
        <v>45931</v>
      </c>
      <c r="W77" s="1">
        <v>29249</v>
      </c>
      <c r="X77" t="s">
        <v>1615</v>
      </c>
      <c r="Z77" t="s">
        <v>1414</v>
      </c>
      <c r="AA77" t="s">
        <v>1419</v>
      </c>
      <c r="AB77" t="s">
        <v>746</v>
      </c>
      <c r="AC77">
        <v>47997468365</v>
      </c>
      <c r="AD77" t="str">
        <f>_xlfn.XLOOKUP(F77,'Base de Tutores'!L:L,'Base de Tutores'!F:F)</f>
        <v>AGM</v>
      </c>
    </row>
    <row r="78" spans="1:30" hidden="1" x14ac:dyDescent="0.3">
      <c r="A78" t="s">
        <v>1405</v>
      </c>
      <c r="B78" t="s">
        <v>1406</v>
      </c>
      <c r="C78" t="s">
        <v>1616</v>
      </c>
      <c r="D78">
        <v>5138150154</v>
      </c>
      <c r="E78">
        <v>6824305</v>
      </c>
      <c r="F78">
        <v>1158000851</v>
      </c>
      <c r="G78" s="1">
        <v>45880</v>
      </c>
      <c r="H78" t="s">
        <v>1350</v>
      </c>
      <c r="I78" t="s">
        <v>1349</v>
      </c>
      <c r="J78" t="s">
        <v>1363</v>
      </c>
      <c r="K78" t="s">
        <v>1353</v>
      </c>
      <c r="L78" t="s">
        <v>1408</v>
      </c>
      <c r="M78" t="s">
        <v>1421</v>
      </c>
      <c r="N78" t="s">
        <v>1422</v>
      </c>
      <c r="O78" t="s">
        <v>1411</v>
      </c>
      <c r="P78" t="s">
        <v>1411</v>
      </c>
      <c r="Q78" t="s">
        <v>1412</v>
      </c>
      <c r="S78" s="1">
        <v>45922</v>
      </c>
      <c r="V78" s="1">
        <v>45916</v>
      </c>
      <c r="W78" s="1">
        <v>36655</v>
      </c>
      <c r="X78" t="s">
        <v>1617</v>
      </c>
      <c r="Z78" t="s">
        <v>1414</v>
      </c>
      <c r="AA78" t="s">
        <v>1419</v>
      </c>
      <c r="AB78" t="s">
        <v>856</v>
      </c>
      <c r="AC78">
        <v>62996487317</v>
      </c>
      <c r="AD78" t="str">
        <f>_xlfn.XLOOKUP(F78,'Base de Tutores'!L:L,'Base de Tutores'!F:F)</f>
        <v>AGM</v>
      </c>
    </row>
    <row r="79" spans="1:30" hidden="1" x14ac:dyDescent="0.3">
      <c r="A79" t="s">
        <v>1405</v>
      </c>
      <c r="B79" t="s">
        <v>1406</v>
      </c>
      <c r="C79" t="s">
        <v>1618</v>
      </c>
      <c r="D79">
        <v>5486138938</v>
      </c>
      <c r="E79">
        <v>4919660</v>
      </c>
      <c r="F79">
        <v>1158000568</v>
      </c>
      <c r="G79" s="1">
        <v>45735</v>
      </c>
      <c r="H79" t="s">
        <v>1350</v>
      </c>
      <c r="I79" t="s">
        <v>1349</v>
      </c>
      <c r="J79" t="s">
        <v>1363</v>
      </c>
      <c r="K79" t="s">
        <v>1353</v>
      </c>
      <c r="L79" t="s">
        <v>1408</v>
      </c>
      <c r="M79" t="s">
        <v>1409</v>
      </c>
      <c r="N79" t="s">
        <v>1422</v>
      </c>
      <c r="O79" t="s">
        <v>1423</v>
      </c>
      <c r="P79" t="s">
        <v>1417</v>
      </c>
      <c r="Q79" t="s">
        <v>1412</v>
      </c>
      <c r="S79" s="1">
        <v>46003</v>
      </c>
      <c r="V79" s="1">
        <v>45911</v>
      </c>
      <c r="W79" s="1">
        <v>32191</v>
      </c>
      <c r="X79" t="s">
        <v>1619</v>
      </c>
      <c r="Y79" t="s">
        <v>1620</v>
      </c>
      <c r="Z79" t="s">
        <v>1414</v>
      </c>
      <c r="AA79" t="s">
        <v>1419</v>
      </c>
      <c r="AB79" t="s">
        <v>1621</v>
      </c>
      <c r="AC79">
        <v>47991162278</v>
      </c>
      <c r="AD79" t="str">
        <f>_xlfn.XLOOKUP(F79,'Base de Tutores'!L:L,'Base de Tutores'!F:F)</f>
        <v>EMF-ISN</v>
      </c>
    </row>
    <row r="80" spans="1:30" hidden="1" x14ac:dyDescent="0.3">
      <c r="A80" t="s">
        <v>1405</v>
      </c>
      <c r="B80" t="s">
        <v>1406</v>
      </c>
      <c r="C80" t="s">
        <v>1622</v>
      </c>
      <c r="D80">
        <v>2681176590</v>
      </c>
      <c r="E80">
        <v>1133068731</v>
      </c>
      <c r="F80">
        <v>1158000872</v>
      </c>
      <c r="G80" s="1">
        <v>45882</v>
      </c>
      <c r="H80" t="s">
        <v>1350</v>
      </c>
      <c r="I80" t="s">
        <v>1349</v>
      </c>
      <c r="J80" t="s">
        <v>1363</v>
      </c>
      <c r="K80" t="s">
        <v>1353</v>
      </c>
      <c r="L80" t="s">
        <v>1408</v>
      </c>
      <c r="M80" t="s">
        <v>1442</v>
      </c>
      <c r="N80" t="s">
        <v>1443</v>
      </c>
      <c r="O80" t="s">
        <v>1411</v>
      </c>
      <c r="P80" t="s">
        <v>1411</v>
      </c>
      <c r="Q80" t="s">
        <v>1412</v>
      </c>
      <c r="S80" s="1">
        <v>45943</v>
      </c>
      <c r="V80" s="1">
        <v>45938</v>
      </c>
      <c r="W80" s="1">
        <v>31861</v>
      </c>
      <c r="X80" t="s">
        <v>1479</v>
      </c>
      <c r="Z80" t="s">
        <v>1414</v>
      </c>
      <c r="AA80" t="s">
        <v>1415</v>
      </c>
      <c r="AB80" t="s">
        <v>892</v>
      </c>
      <c r="AC80">
        <v>74999346507</v>
      </c>
      <c r="AD80" t="str">
        <f>_xlfn.XLOOKUP(F80,'Base de Tutores'!L:L,'Base de Tutores'!F:F)</f>
        <v>AGM</v>
      </c>
    </row>
    <row r="81" spans="1:30" hidden="1" x14ac:dyDescent="0.3">
      <c r="A81" t="s">
        <v>1405</v>
      </c>
      <c r="B81" t="s">
        <v>1406</v>
      </c>
      <c r="C81" t="s">
        <v>1623</v>
      </c>
      <c r="D81">
        <v>33732763811</v>
      </c>
      <c r="E81" t="s">
        <v>1624</v>
      </c>
      <c r="F81">
        <v>1158000824</v>
      </c>
      <c r="G81" s="1">
        <v>45873</v>
      </c>
      <c r="H81" t="s">
        <v>1350</v>
      </c>
      <c r="I81" t="s">
        <v>1349</v>
      </c>
      <c r="J81" t="s">
        <v>1363</v>
      </c>
      <c r="K81" t="s">
        <v>1353</v>
      </c>
      <c r="L81" t="s">
        <v>1408</v>
      </c>
      <c r="M81" t="s">
        <v>1409</v>
      </c>
      <c r="N81" t="s">
        <v>1410</v>
      </c>
      <c r="O81" t="s">
        <v>1423</v>
      </c>
      <c r="P81" t="s">
        <v>1423</v>
      </c>
      <c r="Q81" t="s">
        <v>1593</v>
      </c>
      <c r="S81" s="1">
        <v>45924</v>
      </c>
      <c r="V81" s="1">
        <v>45922</v>
      </c>
      <c r="W81" s="1">
        <v>31739</v>
      </c>
      <c r="X81" t="s">
        <v>1510</v>
      </c>
      <c r="Z81" t="s">
        <v>1414</v>
      </c>
      <c r="AA81" t="s">
        <v>1419</v>
      </c>
      <c r="AB81" t="s">
        <v>742</v>
      </c>
      <c r="AC81">
        <v>11981774992</v>
      </c>
      <c r="AD81" t="str">
        <f>_xlfn.XLOOKUP(F81,'Base de Tutores'!L:L,'Base de Tutores'!F:F)</f>
        <v>NTR</v>
      </c>
    </row>
    <row r="82" spans="1:30" hidden="1" x14ac:dyDescent="0.3">
      <c r="A82" t="s">
        <v>1405</v>
      </c>
      <c r="B82" t="s">
        <v>1406</v>
      </c>
      <c r="C82" t="s">
        <v>1625</v>
      </c>
      <c r="D82">
        <v>10266746705</v>
      </c>
      <c r="E82" t="s">
        <v>1626</v>
      </c>
      <c r="F82">
        <v>1158000951</v>
      </c>
      <c r="G82" s="1">
        <v>45901</v>
      </c>
      <c r="H82" t="s">
        <v>1350</v>
      </c>
      <c r="I82" t="s">
        <v>1349</v>
      </c>
      <c r="J82" t="s">
        <v>1363</v>
      </c>
      <c r="K82" t="s">
        <v>1353</v>
      </c>
      <c r="L82" t="s">
        <v>1408</v>
      </c>
      <c r="M82" t="s">
        <v>1409</v>
      </c>
      <c r="N82" t="s">
        <v>1410</v>
      </c>
      <c r="O82" t="s">
        <v>1439</v>
      </c>
      <c r="P82" t="s">
        <v>1439</v>
      </c>
      <c r="Q82" t="s">
        <v>1412</v>
      </c>
      <c r="S82" s="1">
        <v>45926</v>
      </c>
      <c r="V82" s="1">
        <v>45924</v>
      </c>
      <c r="W82" s="1">
        <v>31169</v>
      </c>
      <c r="X82" t="s">
        <v>1627</v>
      </c>
      <c r="Z82" t="s">
        <v>1414</v>
      </c>
      <c r="AA82" t="s">
        <v>1419</v>
      </c>
      <c r="AB82" t="s">
        <v>1012</v>
      </c>
      <c r="AC82">
        <v>22998164591</v>
      </c>
      <c r="AD82" t="str">
        <f>_xlfn.XLOOKUP(F82,'Base de Tutores'!L:L,'Base de Tutores'!F:F)</f>
        <v>BFI</v>
      </c>
    </row>
    <row r="83" spans="1:30" hidden="1" x14ac:dyDescent="0.3">
      <c r="A83" t="s">
        <v>1405</v>
      </c>
      <c r="B83" t="s">
        <v>1406</v>
      </c>
      <c r="C83" t="s">
        <v>1628</v>
      </c>
      <c r="D83">
        <v>7951741442</v>
      </c>
      <c r="E83">
        <v>3401454</v>
      </c>
      <c r="F83">
        <v>1158000825</v>
      </c>
      <c r="G83" s="1">
        <v>45873</v>
      </c>
      <c r="H83" t="s">
        <v>1350</v>
      </c>
      <c r="I83" t="s">
        <v>1374</v>
      </c>
      <c r="J83" t="s">
        <v>1363</v>
      </c>
      <c r="K83" t="s">
        <v>1353</v>
      </c>
      <c r="L83" t="s">
        <v>1408</v>
      </c>
      <c r="M83" t="s">
        <v>1447</v>
      </c>
      <c r="N83" t="s">
        <v>1448</v>
      </c>
      <c r="O83" t="s">
        <v>1423</v>
      </c>
      <c r="P83" t="s">
        <v>1423</v>
      </c>
      <c r="Q83" t="s">
        <v>1593</v>
      </c>
      <c r="S83" s="1">
        <v>46043</v>
      </c>
      <c r="W83" s="1">
        <v>33531</v>
      </c>
      <c r="X83" t="s">
        <v>1629</v>
      </c>
      <c r="Z83" t="s">
        <v>1414</v>
      </c>
      <c r="AA83" t="s">
        <v>1419</v>
      </c>
      <c r="AB83" t="s">
        <v>170</v>
      </c>
      <c r="AC83">
        <v>83999857089</v>
      </c>
      <c r="AD83" t="str">
        <f>_xlfn.XLOOKUP(F83,'Base de Tutores'!L:L,'Base de Tutores'!F:F)</f>
        <v>EMF-ISN</v>
      </c>
    </row>
    <row r="84" spans="1:30" hidden="1" x14ac:dyDescent="0.3">
      <c r="A84" t="s">
        <v>1405</v>
      </c>
      <c r="B84" t="s">
        <v>1406</v>
      </c>
      <c r="C84" t="s">
        <v>1630</v>
      </c>
      <c r="D84">
        <v>2908137003</v>
      </c>
      <c r="E84">
        <v>8092031635</v>
      </c>
      <c r="F84">
        <v>1158001019</v>
      </c>
      <c r="G84" s="1">
        <v>45936</v>
      </c>
      <c r="H84" t="s">
        <v>1350</v>
      </c>
      <c r="I84" t="s">
        <v>1349</v>
      </c>
      <c r="J84" t="s">
        <v>1363</v>
      </c>
      <c r="K84" t="s">
        <v>1353</v>
      </c>
      <c r="L84" t="s">
        <v>1408</v>
      </c>
      <c r="M84" t="s">
        <v>1421</v>
      </c>
      <c r="N84" t="s">
        <v>1422</v>
      </c>
      <c r="O84" t="s">
        <v>1423</v>
      </c>
      <c r="P84" t="s">
        <v>1423</v>
      </c>
      <c r="Q84" t="s">
        <v>1412</v>
      </c>
      <c r="S84" s="1">
        <v>46100</v>
      </c>
      <c r="V84" s="1">
        <v>46098</v>
      </c>
      <c r="W84" s="1">
        <v>33860</v>
      </c>
      <c r="X84" t="s">
        <v>1631</v>
      </c>
      <c r="Z84" t="s">
        <v>1414</v>
      </c>
      <c r="AA84" t="s">
        <v>1415</v>
      </c>
      <c r="AB84" t="s">
        <v>1174</v>
      </c>
      <c r="AC84">
        <v>53999287786</v>
      </c>
      <c r="AD84" t="str">
        <f>_xlfn.XLOOKUP(F84,'Base de Tutores'!L:L,'Base de Tutores'!F:F)</f>
        <v>BFR</v>
      </c>
    </row>
    <row r="85" spans="1:30" hidden="1" x14ac:dyDescent="0.3">
      <c r="A85" t="s">
        <v>1405</v>
      </c>
      <c r="B85" t="s">
        <v>1406</v>
      </c>
      <c r="C85" t="s">
        <v>1632</v>
      </c>
      <c r="D85">
        <v>65403479015</v>
      </c>
      <c r="E85">
        <v>2061077901</v>
      </c>
      <c r="F85">
        <v>1158000537</v>
      </c>
      <c r="G85" s="1">
        <v>45721</v>
      </c>
      <c r="H85" t="s">
        <v>1350</v>
      </c>
      <c r="I85" t="s">
        <v>1349</v>
      </c>
      <c r="J85" t="s">
        <v>1633</v>
      </c>
      <c r="K85" t="s">
        <v>1351</v>
      </c>
      <c r="L85" t="s">
        <v>1408</v>
      </c>
      <c r="M85" t="s">
        <v>1409</v>
      </c>
      <c r="N85" t="s">
        <v>1410</v>
      </c>
      <c r="O85" t="s">
        <v>1423</v>
      </c>
      <c r="P85" t="s">
        <v>1423</v>
      </c>
      <c r="Q85" t="s">
        <v>1412</v>
      </c>
      <c r="S85" s="1">
        <v>45757</v>
      </c>
      <c r="V85" s="1">
        <v>45754</v>
      </c>
      <c r="W85" s="1">
        <v>27876</v>
      </c>
      <c r="X85" t="s">
        <v>1634</v>
      </c>
      <c r="Z85" t="s">
        <v>1414</v>
      </c>
      <c r="AA85" t="s">
        <v>1419</v>
      </c>
      <c r="AB85" t="s">
        <v>1635</v>
      </c>
      <c r="AC85">
        <v>51999173394</v>
      </c>
      <c r="AD85" t="str">
        <f>_xlfn.XLOOKUP(F85,'Base de Tutores'!L:L,'Base de Tutores'!F:F)</f>
        <v>EMF-ISN</v>
      </c>
    </row>
    <row r="86" spans="1:30" hidden="1" x14ac:dyDescent="0.3">
      <c r="A86" t="s">
        <v>1405</v>
      </c>
      <c r="B86" t="s">
        <v>1406</v>
      </c>
      <c r="C86" t="s">
        <v>1636</v>
      </c>
      <c r="D86">
        <v>52003531220</v>
      </c>
      <c r="E86">
        <v>16412338</v>
      </c>
      <c r="F86">
        <v>1158000560</v>
      </c>
      <c r="G86" s="1">
        <v>45733</v>
      </c>
      <c r="H86" t="s">
        <v>1350</v>
      </c>
      <c r="I86" t="s">
        <v>1374</v>
      </c>
      <c r="J86" t="s">
        <v>1363</v>
      </c>
      <c r="K86" t="s">
        <v>1353</v>
      </c>
      <c r="L86" t="s">
        <v>1408</v>
      </c>
      <c r="M86" t="s">
        <v>1421</v>
      </c>
      <c r="N86" t="s">
        <v>1422</v>
      </c>
      <c r="O86" t="s">
        <v>1423</v>
      </c>
      <c r="P86" t="s">
        <v>1423</v>
      </c>
      <c r="Q86" t="s">
        <v>1412</v>
      </c>
      <c r="S86" s="1">
        <v>46043</v>
      </c>
      <c r="W86" s="1">
        <v>29652</v>
      </c>
      <c r="X86" t="s">
        <v>1637</v>
      </c>
      <c r="Z86" t="s">
        <v>1414</v>
      </c>
      <c r="AA86" t="s">
        <v>1419</v>
      </c>
      <c r="AB86" t="s">
        <v>364</v>
      </c>
      <c r="AC86">
        <v>92991093455</v>
      </c>
      <c r="AD86" t="str">
        <f>_xlfn.XLOOKUP(F86,'Base de Tutores'!L:L,'Base de Tutores'!F:F)</f>
        <v>EMF-ISN</v>
      </c>
    </row>
    <row r="87" spans="1:30" hidden="1" x14ac:dyDescent="0.3">
      <c r="A87" t="s">
        <v>1405</v>
      </c>
      <c r="B87" t="s">
        <v>1406</v>
      </c>
      <c r="C87" t="s">
        <v>1638</v>
      </c>
      <c r="D87">
        <v>2341217931</v>
      </c>
      <c r="E87" s="3">
        <v>3499442</v>
      </c>
      <c r="F87">
        <v>1158000849</v>
      </c>
      <c r="G87" s="1">
        <v>45875</v>
      </c>
      <c r="H87" t="s">
        <v>1350</v>
      </c>
      <c r="I87" t="s">
        <v>1349</v>
      </c>
      <c r="J87" t="s">
        <v>1363</v>
      </c>
      <c r="K87" t="s">
        <v>1353</v>
      </c>
      <c r="L87" t="s">
        <v>1408</v>
      </c>
      <c r="M87" t="s">
        <v>1442</v>
      </c>
      <c r="N87" t="s">
        <v>1443</v>
      </c>
      <c r="O87" t="s">
        <v>1423</v>
      </c>
      <c r="P87" t="s">
        <v>1423</v>
      </c>
      <c r="Q87" t="s">
        <v>1412</v>
      </c>
      <c r="S87" s="1">
        <v>45909</v>
      </c>
      <c r="V87" s="1">
        <v>45908</v>
      </c>
      <c r="W87" s="1">
        <v>28525</v>
      </c>
      <c r="X87" t="s">
        <v>1639</v>
      </c>
      <c r="Y87" t="s">
        <v>1640</v>
      </c>
      <c r="Z87" t="s">
        <v>1414</v>
      </c>
      <c r="AA87" t="s">
        <v>1419</v>
      </c>
      <c r="AB87" t="s">
        <v>842</v>
      </c>
      <c r="AC87">
        <v>49999273160</v>
      </c>
      <c r="AD87" t="str">
        <f>_xlfn.XLOOKUP(F87,'Base de Tutores'!L:L,'Base de Tutores'!F:F)</f>
        <v>AGM</v>
      </c>
    </row>
    <row r="88" spans="1:30" hidden="1" x14ac:dyDescent="0.3">
      <c r="A88" t="s">
        <v>1405</v>
      </c>
      <c r="B88" t="s">
        <v>1406</v>
      </c>
      <c r="C88" t="s">
        <v>1641</v>
      </c>
      <c r="D88">
        <v>6897935530</v>
      </c>
      <c r="E88">
        <v>1396029923</v>
      </c>
      <c r="F88">
        <v>1158000883</v>
      </c>
      <c r="G88" s="1">
        <v>45887</v>
      </c>
      <c r="H88" t="s">
        <v>1350</v>
      </c>
      <c r="I88" t="s">
        <v>1374</v>
      </c>
      <c r="J88" t="s">
        <v>1363</v>
      </c>
      <c r="K88" t="s">
        <v>1353</v>
      </c>
      <c r="L88" t="s">
        <v>1408</v>
      </c>
      <c r="M88" t="s">
        <v>1421</v>
      </c>
      <c r="N88" t="s">
        <v>1422</v>
      </c>
      <c r="O88" t="s">
        <v>1462</v>
      </c>
      <c r="P88" t="s">
        <v>1462</v>
      </c>
      <c r="Q88" t="s">
        <v>1412</v>
      </c>
      <c r="S88" s="1">
        <v>46043</v>
      </c>
      <c r="W88" s="1">
        <v>35638</v>
      </c>
      <c r="X88" t="s">
        <v>1642</v>
      </c>
      <c r="Z88" t="s">
        <v>1414</v>
      </c>
      <c r="AA88" t="s">
        <v>1419</v>
      </c>
      <c r="AB88" t="s">
        <v>954</v>
      </c>
      <c r="AC88">
        <v>75981703123</v>
      </c>
      <c r="AD88" t="str">
        <f>_xlfn.XLOOKUP(F88,'Base de Tutores'!L:L,'Base de Tutores'!F:F)</f>
        <v>BFI</v>
      </c>
    </row>
    <row r="89" spans="1:30" hidden="1" x14ac:dyDescent="0.3">
      <c r="A89" t="s">
        <v>1405</v>
      </c>
      <c r="B89" t="s">
        <v>1406</v>
      </c>
      <c r="C89" t="s">
        <v>1643</v>
      </c>
      <c r="D89">
        <v>1337379263</v>
      </c>
      <c r="E89">
        <v>3543560</v>
      </c>
      <c r="F89">
        <v>1158001184</v>
      </c>
      <c r="G89" s="1">
        <v>46118</v>
      </c>
      <c r="H89" t="s">
        <v>1350</v>
      </c>
      <c r="I89" t="s">
        <v>1374</v>
      </c>
      <c r="J89" t="s">
        <v>1363</v>
      </c>
      <c r="K89" t="s">
        <v>1353</v>
      </c>
      <c r="L89" t="s">
        <v>1408</v>
      </c>
      <c r="M89" t="s">
        <v>1421</v>
      </c>
      <c r="N89" t="s">
        <v>1422</v>
      </c>
      <c r="O89" t="s">
        <v>1411</v>
      </c>
      <c r="P89" t="s">
        <v>1411</v>
      </c>
      <c r="Q89" t="s">
        <v>1412</v>
      </c>
      <c r="S89" s="1">
        <v>46118</v>
      </c>
      <c r="W89" s="1">
        <v>34116</v>
      </c>
      <c r="X89" t="s">
        <v>1644</v>
      </c>
      <c r="Z89" t="s">
        <v>1414</v>
      </c>
      <c r="AA89" t="s">
        <v>1415</v>
      </c>
      <c r="AB89" t="s">
        <v>121</v>
      </c>
      <c r="AC89">
        <v>95991389750</v>
      </c>
      <c r="AD89" t="str">
        <f>_xlfn.XLOOKUP(F89,'Base de Tutores'!L:L,'Base de Tutores'!F:F)</f>
        <v>EMF-ISN</v>
      </c>
    </row>
    <row r="90" spans="1:30" hidden="1" x14ac:dyDescent="0.3">
      <c r="A90" t="s">
        <v>1405</v>
      </c>
      <c r="B90" t="s">
        <v>1406</v>
      </c>
      <c r="C90" t="s">
        <v>1645</v>
      </c>
      <c r="D90">
        <v>72676957015</v>
      </c>
      <c r="E90">
        <v>72676957015</v>
      </c>
      <c r="F90">
        <v>1158001204</v>
      </c>
      <c r="G90" s="1">
        <v>46118</v>
      </c>
      <c r="H90" t="s">
        <v>1350</v>
      </c>
      <c r="I90" t="s">
        <v>1374</v>
      </c>
      <c r="J90" t="s">
        <v>1363</v>
      </c>
      <c r="K90" t="s">
        <v>1353</v>
      </c>
      <c r="L90" t="s">
        <v>1408</v>
      </c>
      <c r="M90" t="s">
        <v>1646</v>
      </c>
      <c r="N90" t="s">
        <v>1647</v>
      </c>
      <c r="O90" t="s">
        <v>1423</v>
      </c>
      <c r="P90" t="s">
        <v>1423</v>
      </c>
      <c r="Q90" t="s">
        <v>1412</v>
      </c>
      <c r="S90" s="1">
        <v>46118</v>
      </c>
      <c r="W90" s="1">
        <v>27948</v>
      </c>
      <c r="X90" t="s">
        <v>1648</v>
      </c>
      <c r="Z90" t="s">
        <v>1414</v>
      </c>
      <c r="AA90" t="s">
        <v>1419</v>
      </c>
      <c r="AB90" t="s">
        <v>278</v>
      </c>
      <c r="AC90">
        <v>55999922878</v>
      </c>
      <c r="AD90" t="str">
        <f>_xlfn.XLOOKUP(F90,'Base de Tutores'!L:L,'Base de Tutores'!F:F)</f>
        <v>EMF-ISN</v>
      </c>
    </row>
    <row r="91" spans="1:30" hidden="1" x14ac:dyDescent="0.3">
      <c r="A91" t="s">
        <v>1405</v>
      </c>
      <c r="B91" t="s">
        <v>1406</v>
      </c>
      <c r="C91" t="s">
        <v>1649</v>
      </c>
      <c r="D91">
        <v>4705534646</v>
      </c>
      <c r="E91" t="s">
        <v>1650</v>
      </c>
      <c r="F91">
        <v>1158000853</v>
      </c>
      <c r="G91" s="1">
        <v>45880</v>
      </c>
      <c r="H91" t="s">
        <v>1350</v>
      </c>
      <c r="I91" t="s">
        <v>1374</v>
      </c>
      <c r="J91" t="s">
        <v>1363</v>
      </c>
      <c r="K91" t="s">
        <v>1353</v>
      </c>
      <c r="L91" t="s">
        <v>1408</v>
      </c>
      <c r="M91" t="s">
        <v>1442</v>
      </c>
      <c r="N91" t="s">
        <v>1443</v>
      </c>
      <c r="O91" t="s">
        <v>1462</v>
      </c>
      <c r="P91" t="s">
        <v>1462</v>
      </c>
      <c r="Q91" t="s">
        <v>1412</v>
      </c>
      <c r="S91" s="1">
        <v>46043</v>
      </c>
      <c r="W91" s="1">
        <v>29419</v>
      </c>
      <c r="X91" t="s">
        <v>1651</v>
      </c>
      <c r="Z91" t="s">
        <v>1414</v>
      </c>
      <c r="AA91" t="s">
        <v>1419</v>
      </c>
      <c r="AB91" t="s">
        <v>267</v>
      </c>
      <c r="AC91">
        <v>38999633259</v>
      </c>
      <c r="AD91" t="str">
        <f>_xlfn.XLOOKUP(F91,'Base de Tutores'!L:L,'Base de Tutores'!F:F)</f>
        <v>EMF-ISN</v>
      </c>
    </row>
    <row r="92" spans="1:30" hidden="1" x14ac:dyDescent="0.3">
      <c r="A92" t="s">
        <v>1405</v>
      </c>
      <c r="B92" t="s">
        <v>1406</v>
      </c>
      <c r="C92" t="s">
        <v>1652</v>
      </c>
      <c r="D92">
        <v>5804685775</v>
      </c>
      <c r="E92" t="s">
        <v>1653</v>
      </c>
      <c r="F92">
        <v>1158000733</v>
      </c>
      <c r="G92" s="1">
        <v>45810</v>
      </c>
      <c r="H92" t="s">
        <v>1350</v>
      </c>
      <c r="I92" t="s">
        <v>1374</v>
      </c>
      <c r="J92" t="s">
        <v>1363</v>
      </c>
      <c r="K92" t="s">
        <v>1353</v>
      </c>
      <c r="L92" t="s">
        <v>1408</v>
      </c>
      <c r="M92" t="s">
        <v>1409</v>
      </c>
      <c r="N92" t="s">
        <v>1410</v>
      </c>
      <c r="O92" t="s">
        <v>1423</v>
      </c>
      <c r="P92" t="s">
        <v>1423</v>
      </c>
      <c r="Q92" t="s">
        <v>1412</v>
      </c>
      <c r="S92" s="1">
        <v>46056</v>
      </c>
      <c r="T92" s="1">
        <v>45959</v>
      </c>
      <c r="U92" s="1">
        <v>46078</v>
      </c>
      <c r="W92" s="1">
        <v>31701</v>
      </c>
      <c r="X92" t="s">
        <v>1654</v>
      </c>
      <c r="Y92" t="s">
        <v>1655</v>
      </c>
      <c r="Z92" t="s">
        <v>1414</v>
      </c>
      <c r="AA92" t="s">
        <v>1419</v>
      </c>
      <c r="AB92" t="s">
        <v>498</v>
      </c>
      <c r="AC92">
        <v>21967270559</v>
      </c>
      <c r="AD92" t="str">
        <f>_xlfn.XLOOKUP(F92,'Base de Tutores'!L:L,'Base de Tutores'!F:F)</f>
        <v>EMF-ISN</v>
      </c>
    </row>
    <row r="93" spans="1:30" hidden="1" x14ac:dyDescent="0.3">
      <c r="A93" t="s">
        <v>1405</v>
      </c>
      <c r="B93" t="s">
        <v>1406</v>
      </c>
      <c r="C93" t="s">
        <v>1656</v>
      </c>
      <c r="D93">
        <v>11820781682</v>
      </c>
      <c r="E93" t="s">
        <v>1657</v>
      </c>
      <c r="F93">
        <v>1158000752</v>
      </c>
      <c r="G93" s="1">
        <v>45817</v>
      </c>
      <c r="H93" t="s">
        <v>1350</v>
      </c>
      <c r="I93" t="s">
        <v>1374</v>
      </c>
      <c r="J93" t="s">
        <v>1363</v>
      </c>
      <c r="K93" t="s">
        <v>1353</v>
      </c>
      <c r="L93" t="s">
        <v>1408</v>
      </c>
      <c r="M93" t="s">
        <v>1409</v>
      </c>
      <c r="N93" t="s">
        <v>1422</v>
      </c>
      <c r="O93" t="s">
        <v>1423</v>
      </c>
      <c r="P93" t="s">
        <v>1423</v>
      </c>
      <c r="Q93" t="s">
        <v>1412</v>
      </c>
      <c r="S93" s="1">
        <v>46043</v>
      </c>
      <c r="W93" s="1">
        <v>35856</v>
      </c>
      <c r="X93" t="s">
        <v>1510</v>
      </c>
      <c r="Z93" t="s">
        <v>1414</v>
      </c>
      <c r="AA93" t="s">
        <v>1419</v>
      </c>
      <c r="AB93" t="s">
        <v>683</v>
      </c>
      <c r="AC93">
        <v>33999719503</v>
      </c>
      <c r="AD93" t="str">
        <f>_xlfn.XLOOKUP(F93,'Base de Tutores'!L:L,'Base de Tutores'!F:F)</f>
        <v>EMF-ISN</v>
      </c>
    </row>
    <row r="94" spans="1:30" hidden="1" x14ac:dyDescent="0.3">
      <c r="A94" t="s">
        <v>1405</v>
      </c>
      <c r="B94" t="s">
        <v>1406</v>
      </c>
      <c r="C94" t="s">
        <v>1658</v>
      </c>
      <c r="D94">
        <v>90194403572</v>
      </c>
      <c r="E94">
        <v>733198805</v>
      </c>
      <c r="F94">
        <v>1158000943</v>
      </c>
      <c r="G94" s="1">
        <v>45901</v>
      </c>
      <c r="H94" t="s">
        <v>1350</v>
      </c>
      <c r="I94" t="s">
        <v>1349</v>
      </c>
      <c r="J94" t="s">
        <v>1363</v>
      </c>
      <c r="K94" t="s">
        <v>1353</v>
      </c>
      <c r="L94" t="s">
        <v>1408</v>
      </c>
      <c r="M94" t="s">
        <v>1409</v>
      </c>
      <c r="N94" t="s">
        <v>1410</v>
      </c>
      <c r="O94" t="s">
        <v>1423</v>
      </c>
      <c r="P94" t="s">
        <v>1423</v>
      </c>
      <c r="Q94" t="s">
        <v>1412</v>
      </c>
      <c r="S94" s="1">
        <v>46057</v>
      </c>
      <c r="V94" s="1">
        <v>46055</v>
      </c>
      <c r="W94" s="1">
        <v>27883</v>
      </c>
      <c r="X94" t="s">
        <v>1430</v>
      </c>
      <c r="Z94" t="s">
        <v>1414</v>
      </c>
      <c r="AA94" t="s">
        <v>1419</v>
      </c>
      <c r="AB94" t="s">
        <v>1050</v>
      </c>
      <c r="AC94">
        <v>71992400205</v>
      </c>
      <c r="AD94" t="str">
        <f>_xlfn.XLOOKUP(F94,'Base de Tutores'!L:L,'Base de Tutores'!F:F)</f>
        <v>BFR</v>
      </c>
    </row>
    <row r="95" spans="1:30" hidden="1" x14ac:dyDescent="0.3">
      <c r="A95" t="s">
        <v>1405</v>
      </c>
      <c r="B95" t="s">
        <v>1406</v>
      </c>
      <c r="C95" t="s">
        <v>1659</v>
      </c>
      <c r="D95">
        <v>69082898420</v>
      </c>
      <c r="E95">
        <v>6021445</v>
      </c>
      <c r="F95">
        <v>1158000569</v>
      </c>
      <c r="G95" s="1">
        <v>45735</v>
      </c>
      <c r="H95" t="s">
        <v>1350</v>
      </c>
      <c r="I95" t="s">
        <v>1374</v>
      </c>
      <c r="J95" t="s">
        <v>1363</v>
      </c>
      <c r="K95" t="s">
        <v>1353</v>
      </c>
      <c r="L95" t="s">
        <v>1408</v>
      </c>
      <c r="M95" t="s">
        <v>1409</v>
      </c>
      <c r="N95" t="s">
        <v>1410</v>
      </c>
      <c r="O95" t="s">
        <v>1411</v>
      </c>
      <c r="P95" t="s">
        <v>1423</v>
      </c>
      <c r="Q95" t="s">
        <v>1412</v>
      </c>
      <c r="S95" s="1">
        <v>46043</v>
      </c>
      <c r="W95" s="1">
        <v>26369</v>
      </c>
      <c r="X95" t="s">
        <v>1660</v>
      </c>
      <c r="Z95" t="s">
        <v>1414</v>
      </c>
      <c r="AA95" t="s">
        <v>1419</v>
      </c>
      <c r="AB95" t="s">
        <v>770</v>
      </c>
      <c r="AC95">
        <v>38991724795</v>
      </c>
      <c r="AD95" t="str">
        <f>_xlfn.XLOOKUP(F95,'Base de Tutores'!L:L,'Base de Tutores'!F:F)</f>
        <v>EMF-ISN</v>
      </c>
    </row>
    <row r="96" spans="1:30" hidden="1" x14ac:dyDescent="0.3">
      <c r="A96" t="s">
        <v>1405</v>
      </c>
      <c r="B96" t="s">
        <v>1406</v>
      </c>
      <c r="C96" t="s">
        <v>1661</v>
      </c>
      <c r="D96">
        <v>93214405004</v>
      </c>
      <c r="E96">
        <v>4057576805</v>
      </c>
      <c r="F96">
        <v>1158000532</v>
      </c>
      <c r="G96" s="1">
        <v>45721</v>
      </c>
      <c r="H96" t="s">
        <v>1350</v>
      </c>
      <c r="I96" t="s">
        <v>1374</v>
      </c>
      <c r="J96" t="s">
        <v>1427</v>
      </c>
      <c r="K96" t="s">
        <v>1356</v>
      </c>
      <c r="L96" t="s">
        <v>1408</v>
      </c>
      <c r="M96" t="s">
        <v>1447</v>
      </c>
      <c r="N96" t="s">
        <v>1448</v>
      </c>
      <c r="O96" t="s">
        <v>1423</v>
      </c>
      <c r="P96" t="s">
        <v>1423</v>
      </c>
      <c r="Q96" t="s">
        <v>1412</v>
      </c>
      <c r="S96" s="1">
        <v>46043</v>
      </c>
      <c r="W96" s="1">
        <v>27117</v>
      </c>
      <c r="X96" t="s">
        <v>1490</v>
      </c>
      <c r="Y96" t="s">
        <v>1662</v>
      </c>
      <c r="Z96" t="s">
        <v>1414</v>
      </c>
      <c r="AA96" t="s">
        <v>1419</v>
      </c>
      <c r="AB96" t="s">
        <v>645</v>
      </c>
      <c r="AC96">
        <v>51982252016</v>
      </c>
      <c r="AD96" t="str">
        <f>_xlfn.XLOOKUP(F96,'Base de Tutores'!L:L,'Base de Tutores'!F:F)</f>
        <v>EMF-ISN</v>
      </c>
    </row>
    <row r="97" spans="1:30" hidden="1" x14ac:dyDescent="0.3">
      <c r="A97" t="s">
        <v>1405</v>
      </c>
      <c r="B97" t="s">
        <v>1406</v>
      </c>
      <c r="C97" t="s">
        <v>1663</v>
      </c>
      <c r="D97">
        <v>931511950</v>
      </c>
      <c r="E97" t="s">
        <v>1664</v>
      </c>
      <c r="F97">
        <v>1158000809</v>
      </c>
      <c r="G97" s="1">
        <v>45873</v>
      </c>
      <c r="H97" t="s">
        <v>1350</v>
      </c>
      <c r="I97" t="s">
        <v>1374</v>
      </c>
      <c r="J97" t="s">
        <v>1363</v>
      </c>
      <c r="K97" t="s">
        <v>1353</v>
      </c>
      <c r="L97" t="s">
        <v>1408</v>
      </c>
      <c r="M97" t="s">
        <v>1409</v>
      </c>
      <c r="N97" t="s">
        <v>1410</v>
      </c>
      <c r="O97" t="s">
        <v>1423</v>
      </c>
      <c r="P97" t="s">
        <v>1423</v>
      </c>
      <c r="Q97" t="s">
        <v>1412</v>
      </c>
      <c r="S97" s="1">
        <v>46043</v>
      </c>
      <c r="W97" s="1">
        <v>31568</v>
      </c>
      <c r="X97" t="s">
        <v>1665</v>
      </c>
      <c r="Z97" t="s">
        <v>1414</v>
      </c>
      <c r="AA97" t="s">
        <v>1415</v>
      </c>
      <c r="AB97" t="s">
        <v>777</v>
      </c>
      <c r="AC97">
        <v>47996387043</v>
      </c>
      <c r="AD97" t="str">
        <f>_xlfn.XLOOKUP(F97,'Base de Tutores'!L:L,'Base de Tutores'!F:F)</f>
        <v>ECE-ENM-ENS-ENG-EEA-GPI-CDE-OBR-SAN-TER-FSA-SLF-QUI</v>
      </c>
    </row>
    <row r="98" spans="1:30" hidden="1" x14ac:dyDescent="0.3">
      <c r="A98" t="s">
        <v>1405</v>
      </c>
      <c r="B98" t="s">
        <v>1406</v>
      </c>
      <c r="C98" t="s">
        <v>1666</v>
      </c>
      <c r="D98">
        <v>1873246544</v>
      </c>
      <c r="E98">
        <v>971252025</v>
      </c>
      <c r="F98">
        <v>1158000855</v>
      </c>
      <c r="G98" s="1">
        <v>45880</v>
      </c>
      <c r="H98" t="s">
        <v>1350</v>
      </c>
      <c r="I98" t="s">
        <v>1374</v>
      </c>
      <c r="J98" t="s">
        <v>1363</v>
      </c>
      <c r="K98" t="s">
        <v>1353</v>
      </c>
      <c r="L98" t="s">
        <v>1408</v>
      </c>
      <c r="M98" t="s">
        <v>1409</v>
      </c>
      <c r="N98" t="s">
        <v>1422</v>
      </c>
      <c r="O98" t="s">
        <v>1411</v>
      </c>
      <c r="P98" t="s">
        <v>1411</v>
      </c>
      <c r="Q98" t="s">
        <v>1412</v>
      </c>
      <c r="S98" s="1">
        <v>46043</v>
      </c>
      <c r="W98" s="1">
        <v>32172</v>
      </c>
      <c r="X98" t="s">
        <v>1667</v>
      </c>
      <c r="Z98" t="s">
        <v>1414</v>
      </c>
      <c r="AA98" t="s">
        <v>1419</v>
      </c>
      <c r="AB98" t="s">
        <v>870</v>
      </c>
      <c r="AC98">
        <v>75992315329</v>
      </c>
      <c r="AD98" t="str">
        <f>_xlfn.XLOOKUP(F98,'Base de Tutores'!L:L,'Base de Tutores'!F:F)</f>
        <v>NTR</v>
      </c>
    </row>
    <row r="99" spans="1:30" hidden="1" x14ac:dyDescent="0.3">
      <c r="A99" t="s">
        <v>1405</v>
      </c>
      <c r="B99" t="s">
        <v>1406</v>
      </c>
      <c r="C99" t="s">
        <v>1668</v>
      </c>
      <c r="D99">
        <v>8339438980</v>
      </c>
      <c r="E99">
        <v>6101857</v>
      </c>
      <c r="F99">
        <v>1158001066</v>
      </c>
      <c r="G99" s="1">
        <v>45978</v>
      </c>
      <c r="H99" t="s">
        <v>1350</v>
      </c>
      <c r="I99" t="s">
        <v>1349</v>
      </c>
      <c r="J99" t="s">
        <v>1363</v>
      </c>
      <c r="K99" t="s">
        <v>1353</v>
      </c>
      <c r="L99" t="s">
        <v>1408</v>
      </c>
      <c r="M99" t="s">
        <v>1409</v>
      </c>
      <c r="N99" t="s">
        <v>1410</v>
      </c>
      <c r="O99" t="s">
        <v>1423</v>
      </c>
      <c r="P99" t="s">
        <v>1423</v>
      </c>
      <c r="Q99" t="s">
        <v>1412</v>
      </c>
      <c r="S99" s="1">
        <v>46057</v>
      </c>
      <c r="V99" s="1">
        <v>46055</v>
      </c>
      <c r="W99" s="1">
        <v>34518</v>
      </c>
      <c r="X99" t="s">
        <v>1669</v>
      </c>
      <c r="Z99" t="s">
        <v>1414</v>
      </c>
      <c r="AA99" t="s">
        <v>1419</v>
      </c>
      <c r="AB99" t="s">
        <v>1246</v>
      </c>
      <c r="AC99">
        <v>48996086794</v>
      </c>
      <c r="AD99" t="str">
        <f>_xlfn.XLOOKUP(F99,'Base de Tutores'!L:L,'Base de Tutores'!F:F)</f>
        <v>BFI</v>
      </c>
    </row>
    <row r="100" spans="1:30" hidden="1" x14ac:dyDescent="0.3">
      <c r="A100" t="s">
        <v>1405</v>
      </c>
      <c r="B100" t="s">
        <v>1406</v>
      </c>
      <c r="C100" t="s">
        <v>1670</v>
      </c>
      <c r="D100">
        <v>8840680993</v>
      </c>
      <c r="E100" s="3">
        <v>5395118</v>
      </c>
      <c r="F100">
        <v>1158000693</v>
      </c>
      <c r="G100" s="1">
        <v>45754</v>
      </c>
      <c r="H100" t="s">
        <v>1350</v>
      </c>
      <c r="I100" t="s">
        <v>1374</v>
      </c>
      <c r="J100" t="s">
        <v>1363</v>
      </c>
      <c r="K100" t="s">
        <v>1353</v>
      </c>
      <c r="L100" t="s">
        <v>1408</v>
      </c>
      <c r="M100" t="s">
        <v>1409</v>
      </c>
      <c r="N100" t="s">
        <v>1410</v>
      </c>
      <c r="O100" t="s">
        <v>1423</v>
      </c>
      <c r="P100" t="s">
        <v>1423</v>
      </c>
      <c r="Q100" t="s">
        <v>1412</v>
      </c>
      <c r="S100" s="1">
        <v>46043</v>
      </c>
      <c r="W100" s="1">
        <v>34349</v>
      </c>
      <c r="X100" t="s">
        <v>1671</v>
      </c>
      <c r="Z100" t="s">
        <v>1414</v>
      </c>
      <c r="AA100" t="s">
        <v>1415</v>
      </c>
      <c r="AB100" t="s">
        <v>477</v>
      </c>
      <c r="AC100">
        <v>4899549489</v>
      </c>
      <c r="AD100" t="str">
        <f>_xlfn.XLOOKUP(F100,'Base de Tutores'!L:L,'Base de Tutores'!F:F)</f>
        <v>ECE-ENM-ENS-ENG-EEA-GPI-CDE-OBR-SAN-TER-FSA-SLF-QUI</v>
      </c>
    </row>
    <row r="101" spans="1:30" hidden="1" x14ac:dyDescent="0.3">
      <c r="A101" t="s">
        <v>1405</v>
      </c>
      <c r="B101" t="s">
        <v>1406</v>
      </c>
      <c r="C101" t="s">
        <v>1672</v>
      </c>
      <c r="D101">
        <v>2023093392</v>
      </c>
      <c r="E101">
        <v>2005034010400</v>
      </c>
      <c r="F101">
        <v>1158000656</v>
      </c>
      <c r="G101" s="1">
        <v>45749</v>
      </c>
      <c r="H101" t="s">
        <v>1350</v>
      </c>
      <c r="I101" t="s">
        <v>1374</v>
      </c>
      <c r="J101" t="s">
        <v>1363</v>
      </c>
      <c r="K101" t="s">
        <v>1353</v>
      </c>
      <c r="L101" t="s">
        <v>1408</v>
      </c>
      <c r="M101" t="s">
        <v>1409</v>
      </c>
      <c r="N101" t="s">
        <v>1410</v>
      </c>
      <c r="O101" t="s">
        <v>1411</v>
      </c>
      <c r="P101" t="s">
        <v>1411</v>
      </c>
      <c r="Q101" t="s">
        <v>1412</v>
      </c>
      <c r="S101" s="1">
        <v>46043</v>
      </c>
      <c r="W101" s="1">
        <v>32166</v>
      </c>
      <c r="X101" t="s">
        <v>1673</v>
      </c>
      <c r="Z101" t="s">
        <v>1414</v>
      </c>
      <c r="AA101" t="s">
        <v>1415</v>
      </c>
      <c r="AB101" t="s">
        <v>407</v>
      </c>
      <c r="AC101">
        <v>88992119726</v>
      </c>
      <c r="AD101" t="str">
        <f>_xlfn.XLOOKUP(F101,'Base de Tutores'!L:L,'Base de Tutores'!F:F)</f>
        <v>EMF-ISN</v>
      </c>
    </row>
    <row r="102" spans="1:30" hidden="1" x14ac:dyDescent="0.3">
      <c r="A102" t="s">
        <v>1405</v>
      </c>
      <c r="B102" t="s">
        <v>1406</v>
      </c>
      <c r="C102" t="s">
        <v>1674</v>
      </c>
      <c r="D102">
        <v>356003140</v>
      </c>
      <c r="E102" t="s">
        <v>1675</v>
      </c>
      <c r="F102">
        <v>1158000665</v>
      </c>
      <c r="G102" s="1">
        <v>45749</v>
      </c>
      <c r="H102" t="s">
        <v>1350</v>
      </c>
      <c r="I102" t="s">
        <v>1374</v>
      </c>
      <c r="J102" t="s">
        <v>1363</v>
      </c>
      <c r="K102" t="s">
        <v>1353</v>
      </c>
      <c r="L102" t="s">
        <v>1408</v>
      </c>
      <c r="M102" t="s">
        <v>1409</v>
      </c>
      <c r="N102" t="s">
        <v>1410</v>
      </c>
      <c r="O102" t="s">
        <v>1423</v>
      </c>
      <c r="P102" t="s">
        <v>1423</v>
      </c>
      <c r="Q102" t="s">
        <v>1412</v>
      </c>
      <c r="S102" s="1">
        <v>46043</v>
      </c>
      <c r="W102" s="1">
        <v>30320</v>
      </c>
      <c r="X102" t="s">
        <v>1676</v>
      </c>
      <c r="Z102" t="s">
        <v>1414</v>
      </c>
      <c r="AA102" t="s">
        <v>1419</v>
      </c>
      <c r="AB102" t="s">
        <v>421</v>
      </c>
      <c r="AC102">
        <v>4998205466</v>
      </c>
      <c r="AD102" t="str">
        <f>_xlfn.XLOOKUP(F102,'Base de Tutores'!L:L,'Base de Tutores'!F:F)</f>
        <v>EMF-ISN</v>
      </c>
    </row>
    <row r="103" spans="1:30" hidden="1" x14ac:dyDescent="0.3">
      <c r="A103" t="s">
        <v>1405</v>
      </c>
      <c r="B103" t="s">
        <v>1406</v>
      </c>
      <c r="C103" t="s">
        <v>1677</v>
      </c>
      <c r="D103">
        <v>2764498519</v>
      </c>
      <c r="E103" t="s">
        <v>1678</v>
      </c>
      <c r="F103">
        <v>1158000806</v>
      </c>
      <c r="G103" s="1">
        <v>45873</v>
      </c>
      <c r="H103" t="s">
        <v>1350</v>
      </c>
      <c r="I103" t="s">
        <v>1349</v>
      </c>
      <c r="J103" t="s">
        <v>1363</v>
      </c>
      <c r="K103" t="s">
        <v>1353</v>
      </c>
      <c r="L103" t="s">
        <v>1408</v>
      </c>
      <c r="M103" t="s">
        <v>1421</v>
      </c>
      <c r="N103" t="s">
        <v>1422</v>
      </c>
      <c r="O103" t="s">
        <v>1423</v>
      </c>
      <c r="P103" t="s">
        <v>1423</v>
      </c>
      <c r="Q103" t="s">
        <v>1593</v>
      </c>
      <c r="S103" s="1">
        <v>46057</v>
      </c>
      <c r="V103" s="1">
        <v>46055</v>
      </c>
      <c r="W103" s="1">
        <v>32063</v>
      </c>
      <c r="X103" t="s">
        <v>1679</v>
      </c>
      <c r="Z103" t="s">
        <v>1414</v>
      </c>
      <c r="AA103" t="s">
        <v>1419</v>
      </c>
      <c r="AB103" t="s">
        <v>838</v>
      </c>
      <c r="AC103">
        <v>75992635965</v>
      </c>
      <c r="AD103" t="str">
        <f>_xlfn.XLOOKUP(F103,'Base de Tutores'!L:L,'Base de Tutores'!F:F)</f>
        <v>BFI</v>
      </c>
    </row>
    <row r="104" spans="1:30" hidden="1" x14ac:dyDescent="0.3">
      <c r="A104" t="s">
        <v>1405</v>
      </c>
      <c r="B104" t="s">
        <v>1406</v>
      </c>
      <c r="C104" t="s">
        <v>1680</v>
      </c>
      <c r="D104">
        <v>516609386</v>
      </c>
      <c r="E104">
        <v>8270952</v>
      </c>
      <c r="F104">
        <v>1158000544</v>
      </c>
      <c r="G104" s="1">
        <v>45728</v>
      </c>
      <c r="H104" t="s">
        <v>1350</v>
      </c>
      <c r="I104" t="s">
        <v>1349</v>
      </c>
      <c r="J104" t="s">
        <v>1363</v>
      </c>
      <c r="K104" t="s">
        <v>1353</v>
      </c>
      <c r="L104" t="s">
        <v>1408</v>
      </c>
      <c r="M104" t="s">
        <v>1409</v>
      </c>
      <c r="N104" t="s">
        <v>1410</v>
      </c>
      <c r="O104" t="s">
        <v>1423</v>
      </c>
      <c r="P104" t="s">
        <v>1417</v>
      </c>
      <c r="Q104" t="s">
        <v>1412</v>
      </c>
      <c r="S104" s="1">
        <v>46105</v>
      </c>
      <c r="V104" s="1">
        <v>46107</v>
      </c>
      <c r="W104" s="1">
        <v>31877</v>
      </c>
      <c r="X104" t="s">
        <v>1681</v>
      </c>
      <c r="Z104" t="s">
        <v>1414</v>
      </c>
      <c r="AA104" t="s">
        <v>1419</v>
      </c>
      <c r="AB104" t="s">
        <v>552</v>
      </c>
      <c r="AC104">
        <v>94981715600</v>
      </c>
      <c r="AD104" t="str">
        <f>_xlfn.XLOOKUP(F104,'Base de Tutores'!L:L,'Base de Tutores'!F:F)</f>
        <v>EMF-ISN</v>
      </c>
    </row>
    <row r="105" spans="1:30" hidden="1" x14ac:dyDescent="0.3">
      <c r="A105" t="s">
        <v>1405</v>
      </c>
      <c r="B105" t="s">
        <v>1406</v>
      </c>
      <c r="C105" t="s">
        <v>1682</v>
      </c>
      <c r="D105">
        <v>3848642522</v>
      </c>
      <c r="E105">
        <v>1317300963</v>
      </c>
      <c r="F105">
        <v>1158001003</v>
      </c>
      <c r="G105" s="1">
        <v>45931</v>
      </c>
      <c r="H105" t="s">
        <v>1350</v>
      </c>
      <c r="I105" t="s">
        <v>1349</v>
      </c>
      <c r="J105" t="s">
        <v>1363</v>
      </c>
      <c r="K105" t="s">
        <v>1353</v>
      </c>
      <c r="L105" t="s">
        <v>1408</v>
      </c>
      <c r="M105" t="s">
        <v>1409</v>
      </c>
      <c r="N105" t="s">
        <v>1410</v>
      </c>
      <c r="O105" t="s">
        <v>1411</v>
      </c>
      <c r="P105" t="s">
        <v>1411</v>
      </c>
      <c r="Q105" t="s">
        <v>1412</v>
      </c>
      <c r="S105" s="1">
        <v>46066</v>
      </c>
      <c r="V105" s="1">
        <v>46062</v>
      </c>
      <c r="W105" s="1">
        <v>33379</v>
      </c>
      <c r="X105" t="s">
        <v>1683</v>
      </c>
      <c r="Z105" t="s">
        <v>1414</v>
      </c>
      <c r="AA105" t="s">
        <v>1419</v>
      </c>
      <c r="AB105" t="s">
        <v>1266</v>
      </c>
      <c r="AC105">
        <v>73998288790</v>
      </c>
      <c r="AD105" t="str">
        <f>_xlfn.XLOOKUP(F105,'Base de Tutores'!L:L,'Base de Tutores'!F:F)</f>
        <v>EMF-ISN</v>
      </c>
    </row>
    <row r="106" spans="1:30" hidden="1" x14ac:dyDescent="0.3">
      <c r="A106" t="s">
        <v>1405</v>
      </c>
      <c r="B106" t="s">
        <v>1406</v>
      </c>
      <c r="C106" t="s">
        <v>1684</v>
      </c>
      <c r="D106">
        <v>5266672307</v>
      </c>
      <c r="E106">
        <v>5266672307</v>
      </c>
      <c r="F106">
        <v>1158000839</v>
      </c>
      <c r="G106" s="1">
        <v>45873</v>
      </c>
      <c r="H106" t="s">
        <v>1350</v>
      </c>
      <c r="I106" t="s">
        <v>1349</v>
      </c>
      <c r="J106" t="s">
        <v>1363</v>
      </c>
      <c r="K106" t="s">
        <v>1353</v>
      </c>
      <c r="L106" t="s">
        <v>1408</v>
      </c>
      <c r="M106" t="s">
        <v>1442</v>
      </c>
      <c r="N106" t="s">
        <v>1443</v>
      </c>
      <c r="O106" t="s">
        <v>1423</v>
      </c>
      <c r="P106" t="s">
        <v>1423</v>
      </c>
      <c r="Q106" t="s">
        <v>1412</v>
      </c>
      <c r="S106" s="1">
        <v>45933</v>
      </c>
      <c r="V106" s="1">
        <v>45931</v>
      </c>
      <c r="W106" s="1">
        <v>34033</v>
      </c>
      <c r="X106" t="s">
        <v>1507</v>
      </c>
      <c r="Z106" t="s">
        <v>1414</v>
      </c>
      <c r="AA106" t="s">
        <v>1415</v>
      </c>
      <c r="AB106" t="s">
        <v>748</v>
      </c>
      <c r="AC106">
        <v>31994442343</v>
      </c>
      <c r="AD106" t="str">
        <f>_xlfn.XLOOKUP(F106,'Base de Tutores'!L:L,'Base de Tutores'!F:F)</f>
        <v>AGM</v>
      </c>
    </row>
    <row r="107" spans="1:30" x14ac:dyDescent="0.3">
      <c r="A107" t="s">
        <v>1405</v>
      </c>
      <c r="B107" t="s">
        <v>1406</v>
      </c>
      <c r="C107" t="s">
        <v>1685</v>
      </c>
      <c r="D107">
        <v>81122187300</v>
      </c>
      <c r="E107">
        <v>40151930</v>
      </c>
      <c r="F107">
        <v>1158001016</v>
      </c>
      <c r="G107" s="1">
        <v>45936</v>
      </c>
      <c r="H107" t="s">
        <v>1350</v>
      </c>
      <c r="I107" t="s">
        <v>1374</v>
      </c>
      <c r="J107" t="s">
        <v>1363</v>
      </c>
      <c r="K107" t="s">
        <v>1353</v>
      </c>
      <c r="L107" t="s">
        <v>1408</v>
      </c>
      <c r="M107" t="s">
        <v>1421</v>
      </c>
      <c r="N107" t="s">
        <v>1422</v>
      </c>
      <c r="O107" t="s">
        <v>1462</v>
      </c>
      <c r="P107" t="s">
        <v>1462</v>
      </c>
      <c r="Q107" t="s">
        <v>1412</v>
      </c>
      <c r="S107" s="1">
        <v>46043</v>
      </c>
      <c r="W107" s="1">
        <v>28955</v>
      </c>
      <c r="X107" t="s">
        <v>1519</v>
      </c>
      <c r="Z107" t="s">
        <v>1414</v>
      </c>
      <c r="AA107" t="s">
        <v>1415</v>
      </c>
      <c r="AB107" t="s">
        <v>1159</v>
      </c>
      <c r="AC107">
        <v>98982035777</v>
      </c>
      <c r="AD107" t="str">
        <f>_xlfn.XLOOKUP(F107,'Base de Tutores'!L:L,'Base de Tutores'!F:F)</f>
        <v>BTO</v>
      </c>
    </row>
    <row r="108" spans="1:30" hidden="1" x14ac:dyDescent="0.3">
      <c r="A108" t="s">
        <v>1405</v>
      </c>
      <c r="B108" t="s">
        <v>1406</v>
      </c>
      <c r="C108" t="s">
        <v>1686</v>
      </c>
      <c r="D108">
        <v>5085116313</v>
      </c>
      <c r="E108">
        <v>2005010267630</v>
      </c>
      <c r="F108">
        <v>1158000534</v>
      </c>
      <c r="G108" s="1">
        <v>45721</v>
      </c>
      <c r="H108" t="s">
        <v>1350</v>
      </c>
      <c r="I108" t="s">
        <v>1374</v>
      </c>
      <c r="J108" t="s">
        <v>1363</v>
      </c>
      <c r="K108" t="s">
        <v>1353</v>
      </c>
      <c r="L108" t="s">
        <v>1408</v>
      </c>
      <c r="M108" t="s">
        <v>1409</v>
      </c>
      <c r="N108" t="s">
        <v>1410</v>
      </c>
      <c r="O108" t="s">
        <v>1411</v>
      </c>
      <c r="P108" t="s">
        <v>1411</v>
      </c>
      <c r="Q108" t="s">
        <v>1412</v>
      </c>
      <c r="S108" s="1">
        <v>46043</v>
      </c>
      <c r="W108" s="1">
        <v>34829</v>
      </c>
      <c r="X108" t="s">
        <v>1687</v>
      </c>
      <c r="Z108" t="s">
        <v>1414</v>
      </c>
      <c r="AA108" t="s">
        <v>1419</v>
      </c>
      <c r="AB108" t="s">
        <v>60</v>
      </c>
      <c r="AC108">
        <v>88997292003</v>
      </c>
      <c r="AD108" t="str">
        <f>_xlfn.XLOOKUP(F108,'Base de Tutores'!L:L,'Base de Tutores'!F:F)</f>
        <v>EMF-ISN</v>
      </c>
    </row>
    <row r="109" spans="1:30" hidden="1" x14ac:dyDescent="0.3">
      <c r="A109" t="s">
        <v>1405</v>
      </c>
      <c r="B109" t="s">
        <v>1406</v>
      </c>
      <c r="C109" t="s">
        <v>1688</v>
      </c>
      <c r="D109">
        <v>45987513391</v>
      </c>
      <c r="E109">
        <v>547925320142</v>
      </c>
      <c r="F109">
        <v>1158000538</v>
      </c>
      <c r="G109" s="1">
        <v>45726</v>
      </c>
      <c r="H109" t="s">
        <v>1350</v>
      </c>
      <c r="I109" t="s">
        <v>1374</v>
      </c>
      <c r="J109" s="4">
        <v>4.166666666666667</v>
      </c>
      <c r="K109" t="s">
        <v>1363</v>
      </c>
      <c r="L109" t="s">
        <v>1408</v>
      </c>
      <c r="M109" t="s">
        <v>1409</v>
      </c>
      <c r="N109" t="s">
        <v>1410</v>
      </c>
      <c r="O109" t="s">
        <v>1423</v>
      </c>
      <c r="P109" t="s">
        <v>1423</v>
      </c>
      <c r="Q109" t="s">
        <v>1412</v>
      </c>
      <c r="S109" s="1">
        <v>46043</v>
      </c>
      <c r="W109" s="1">
        <v>26821</v>
      </c>
      <c r="X109" t="s">
        <v>1519</v>
      </c>
      <c r="Z109" t="s">
        <v>1414</v>
      </c>
      <c r="AA109" t="s">
        <v>1419</v>
      </c>
      <c r="AB109" t="s">
        <v>375</v>
      </c>
      <c r="AC109">
        <v>98984245115</v>
      </c>
      <c r="AD109" t="str">
        <f>_xlfn.XLOOKUP(F109,'Base de Tutores'!L:L,'Base de Tutores'!F:F)</f>
        <v>EMF-ISN</v>
      </c>
    </row>
    <row r="110" spans="1:30" hidden="1" x14ac:dyDescent="0.3">
      <c r="A110" t="s">
        <v>1405</v>
      </c>
      <c r="B110" t="s">
        <v>1406</v>
      </c>
      <c r="C110" t="s">
        <v>1689</v>
      </c>
      <c r="D110">
        <v>11922410616</v>
      </c>
      <c r="E110" s="3">
        <v>18298920</v>
      </c>
      <c r="F110">
        <v>1158000979</v>
      </c>
      <c r="G110" s="1">
        <v>45915</v>
      </c>
      <c r="H110" t="s">
        <v>1350</v>
      </c>
      <c r="I110" t="s">
        <v>1349</v>
      </c>
      <c r="J110" t="s">
        <v>1363</v>
      </c>
      <c r="K110" t="s">
        <v>1353</v>
      </c>
      <c r="L110" t="s">
        <v>1408</v>
      </c>
      <c r="M110" t="s">
        <v>1409</v>
      </c>
      <c r="N110" t="s">
        <v>1410</v>
      </c>
      <c r="O110" t="s">
        <v>1423</v>
      </c>
      <c r="P110" t="s">
        <v>1423</v>
      </c>
      <c r="Q110" t="s">
        <v>1412</v>
      </c>
      <c r="S110" s="1">
        <v>46065</v>
      </c>
      <c r="V110" s="1">
        <v>46064</v>
      </c>
      <c r="W110" s="1">
        <v>36307</v>
      </c>
      <c r="X110" t="s">
        <v>1503</v>
      </c>
      <c r="Z110" t="s">
        <v>1414</v>
      </c>
      <c r="AA110" t="s">
        <v>1419</v>
      </c>
      <c r="AB110" t="s">
        <v>537</v>
      </c>
      <c r="AC110">
        <v>37998688491</v>
      </c>
      <c r="AD110" t="str">
        <f>_xlfn.XLOOKUP(F110,'Base de Tutores'!L:L,'Base de Tutores'!F:F)</f>
        <v>EMF-ISN</v>
      </c>
    </row>
    <row r="111" spans="1:30" hidden="1" x14ac:dyDescent="0.3">
      <c r="A111" t="s">
        <v>1405</v>
      </c>
      <c r="B111" t="s">
        <v>1406</v>
      </c>
      <c r="C111" t="s">
        <v>1690</v>
      </c>
      <c r="D111">
        <v>85223395387</v>
      </c>
      <c r="E111">
        <v>3139878544</v>
      </c>
      <c r="F111">
        <v>1158000880</v>
      </c>
      <c r="G111" s="1">
        <v>45887</v>
      </c>
      <c r="H111" t="s">
        <v>1350</v>
      </c>
      <c r="I111" t="s">
        <v>1349</v>
      </c>
      <c r="J111" t="s">
        <v>1363</v>
      </c>
      <c r="K111" t="s">
        <v>1353</v>
      </c>
      <c r="L111" t="s">
        <v>1408</v>
      </c>
      <c r="M111" t="s">
        <v>1421</v>
      </c>
      <c r="N111" t="s">
        <v>1422</v>
      </c>
      <c r="O111" t="s">
        <v>1423</v>
      </c>
      <c r="P111" t="s">
        <v>1423</v>
      </c>
      <c r="Q111" t="s">
        <v>1412</v>
      </c>
      <c r="S111" s="1">
        <v>45936</v>
      </c>
      <c r="V111" s="1">
        <v>45933</v>
      </c>
      <c r="W111" s="1">
        <v>29681</v>
      </c>
      <c r="X111" t="s">
        <v>1691</v>
      </c>
      <c r="Z111" t="s">
        <v>1414</v>
      </c>
      <c r="AA111" t="s">
        <v>1419</v>
      </c>
      <c r="AB111" t="s">
        <v>929</v>
      </c>
      <c r="AC111">
        <v>54996681067</v>
      </c>
      <c r="AD111" t="str">
        <f>_xlfn.XLOOKUP(F111,'Base de Tutores'!L:L,'Base de Tutores'!F:F)</f>
        <v>BFR</v>
      </c>
    </row>
    <row r="112" spans="1:30" hidden="1" x14ac:dyDescent="0.3">
      <c r="A112" t="s">
        <v>1405</v>
      </c>
      <c r="B112" t="s">
        <v>1406</v>
      </c>
      <c r="C112" t="s">
        <v>1692</v>
      </c>
      <c r="D112">
        <v>65738268334</v>
      </c>
      <c r="E112" t="s">
        <v>1693</v>
      </c>
      <c r="F112">
        <v>1158000559</v>
      </c>
      <c r="G112" s="1">
        <v>45733</v>
      </c>
      <c r="H112" t="s">
        <v>1350</v>
      </c>
      <c r="I112" t="s">
        <v>1374</v>
      </c>
      <c r="J112" t="s">
        <v>1363</v>
      </c>
      <c r="K112" t="s">
        <v>1353</v>
      </c>
      <c r="L112" t="s">
        <v>1408</v>
      </c>
      <c r="M112" t="s">
        <v>1409</v>
      </c>
      <c r="N112" t="s">
        <v>1410</v>
      </c>
      <c r="O112" t="s">
        <v>1423</v>
      </c>
      <c r="P112" t="s">
        <v>1423</v>
      </c>
      <c r="Q112" t="s">
        <v>1412</v>
      </c>
      <c r="S112" s="1">
        <v>46043</v>
      </c>
      <c r="W112" s="1">
        <v>28905</v>
      </c>
      <c r="X112" t="s">
        <v>1519</v>
      </c>
      <c r="Z112" t="s">
        <v>1414</v>
      </c>
      <c r="AA112" t="s">
        <v>1419</v>
      </c>
      <c r="AB112" t="s">
        <v>1083</v>
      </c>
      <c r="AC112">
        <v>98988064782</v>
      </c>
      <c r="AD112" t="str">
        <f>_xlfn.XLOOKUP(F112,'Base de Tutores'!L:L,'Base de Tutores'!F:F)</f>
        <v>EMF-ISN</v>
      </c>
    </row>
    <row r="113" spans="1:30" hidden="1" x14ac:dyDescent="0.3">
      <c r="A113" t="s">
        <v>1405</v>
      </c>
      <c r="B113" t="s">
        <v>1406</v>
      </c>
      <c r="C113" t="s">
        <v>1694</v>
      </c>
      <c r="D113">
        <v>2165230365</v>
      </c>
      <c r="E113" t="s">
        <v>1695</v>
      </c>
      <c r="F113">
        <v>1158000664</v>
      </c>
      <c r="G113" s="1">
        <v>45749</v>
      </c>
      <c r="H113" t="s">
        <v>1350</v>
      </c>
      <c r="I113" t="s">
        <v>1374</v>
      </c>
      <c r="J113" t="s">
        <v>1696</v>
      </c>
      <c r="K113" t="s">
        <v>1354</v>
      </c>
      <c r="L113" t="s">
        <v>1408</v>
      </c>
      <c r="M113" t="s">
        <v>1409</v>
      </c>
      <c r="N113" t="s">
        <v>1410</v>
      </c>
      <c r="O113" t="s">
        <v>1423</v>
      </c>
      <c r="P113" t="s">
        <v>1423</v>
      </c>
      <c r="Q113" t="s">
        <v>1412</v>
      </c>
      <c r="S113" s="1">
        <v>46043</v>
      </c>
      <c r="W113" s="1">
        <v>31878</v>
      </c>
      <c r="X113" t="s">
        <v>1697</v>
      </c>
      <c r="Y113" t="s">
        <v>1698</v>
      </c>
      <c r="Z113" t="s">
        <v>1414</v>
      </c>
      <c r="AA113" t="s">
        <v>1415</v>
      </c>
      <c r="AB113" t="s">
        <v>559</v>
      </c>
      <c r="AC113">
        <v>86995408755</v>
      </c>
      <c r="AD113" t="str">
        <f>_xlfn.XLOOKUP(F113,'Base de Tutores'!L:L,'Base de Tutores'!F:F)</f>
        <v>EMF-ISN</v>
      </c>
    </row>
    <row r="114" spans="1:30" hidden="1" x14ac:dyDescent="0.3">
      <c r="A114" t="s">
        <v>1405</v>
      </c>
      <c r="B114" t="s">
        <v>1406</v>
      </c>
      <c r="C114" t="s">
        <v>1699</v>
      </c>
      <c r="D114">
        <v>12197778706</v>
      </c>
      <c r="E114" t="s">
        <v>1700</v>
      </c>
      <c r="F114">
        <v>1158000896</v>
      </c>
      <c r="G114" s="1">
        <v>45887</v>
      </c>
      <c r="H114" t="s">
        <v>1350</v>
      </c>
      <c r="I114" t="s">
        <v>1349</v>
      </c>
      <c r="J114" t="s">
        <v>1363</v>
      </c>
      <c r="K114" t="s">
        <v>1353</v>
      </c>
      <c r="L114" t="s">
        <v>1408</v>
      </c>
      <c r="M114" t="s">
        <v>1409</v>
      </c>
      <c r="N114" t="s">
        <v>1410</v>
      </c>
      <c r="O114" t="s">
        <v>1423</v>
      </c>
      <c r="P114" t="s">
        <v>1423</v>
      </c>
      <c r="Q114" t="s">
        <v>1412</v>
      </c>
      <c r="S114" s="1">
        <v>45904</v>
      </c>
      <c r="V114" s="1">
        <v>45903</v>
      </c>
      <c r="W114" s="1">
        <v>31908</v>
      </c>
      <c r="X114" t="s">
        <v>1701</v>
      </c>
      <c r="Y114" t="s">
        <v>1702</v>
      </c>
      <c r="Z114" t="s">
        <v>1414</v>
      </c>
      <c r="AA114" t="s">
        <v>1415</v>
      </c>
      <c r="AB114" t="s">
        <v>1703</v>
      </c>
      <c r="AC114">
        <v>27999338387</v>
      </c>
      <c r="AD114" t="str">
        <f>_xlfn.XLOOKUP(F114,'Base de Tutores'!L:L,'Base de Tutores'!F:F)</f>
        <v>BFI</v>
      </c>
    </row>
    <row r="115" spans="1:30" hidden="1" x14ac:dyDescent="0.3">
      <c r="A115" t="s">
        <v>1405</v>
      </c>
      <c r="B115" t="s">
        <v>1406</v>
      </c>
      <c r="C115" t="s">
        <v>1704</v>
      </c>
      <c r="D115">
        <v>1762246961</v>
      </c>
      <c r="E115">
        <v>3116191</v>
      </c>
      <c r="F115">
        <v>1158000605</v>
      </c>
      <c r="G115" s="1">
        <v>45782</v>
      </c>
      <c r="H115" t="s">
        <v>1350</v>
      </c>
      <c r="I115" t="s">
        <v>1374</v>
      </c>
      <c r="J115" t="s">
        <v>1363</v>
      </c>
      <c r="K115" t="s">
        <v>1353</v>
      </c>
      <c r="L115" t="s">
        <v>1408</v>
      </c>
      <c r="M115" t="s">
        <v>1421</v>
      </c>
      <c r="N115" t="s">
        <v>1422</v>
      </c>
      <c r="O115" t="s">
        <v>1423</v>
      </c>
      <c r="P115" t="s">
        <v>1423</v>
      </c>
      <c r="Q115" t="s">
        <v>1412</v>
      </c>
      <c r="S115" s="1">
        <v>46043</v>
      </c>
      <c r="W115" s="1">
        <v>27854</v>
      </c>
      <c r="X115" t="s">
        <v>1676</v>
      </c>
      <c r="Z115" t="s">
        <v>1414</v>
      </c>
      <c r="AA115" t="s">
        <v>1419</v>
      </c>
      <c r="AB115" t="s">
        <v>196</v>
      </c>
      <c r="AC115">
        <v>47997517370</v>
      </c>
      <c r="AD115" t="str">
        <f>_xlfn.XLOOKUP(F115,'Base de Tutores'!L:L,'Base de Tutores'!F:F)</f>
        <v>EMF-ISN</v>
      </c>
    </row>
    <row r="116" spans="1:30" hidden="1" x14ac:dyDescent="0.3">
      <c r="A116" t="s">
        <v>1405</v>
      </c>
      <c r="B116" t="s">
        <v>1406</v>
      </c>
      <c r="C116" t="s">
        <v>1705</v>
      </c>
      <c r="D116">
        <v>499756258</v>
      </c>
      <c r="E116">
        <v>4742636</v>
      </c>
      <c r="F116">
        <v>1158001024</v>
      </c>
      <c r="G116" s="1">
        <v>45936</v>
      </c>
      <c r="H116" t="s">
        <v>1350</v>
      </c>
      <c r="I116" t="s">
        <v>1374</v>
      </c>
      <c r="J116" t="s">
        <v>1363</v>
      </c>
      <c r="K116" t="s">
        <v>1353</v>
      </c>
      <c r="L116" t="s">
        <v>1408</v>
      </c>
      <c r="M116" t="s">
        <v>1409</v>
      </c>
      <c r="N116" t="s">
        <v>1410</v>
      </c>
      <c r="O116" t="s">
        <v>1411</v>
      </c>
      <c r="P116" t="s">
        <v>1411</v>
      </c>
      <c r="Q116" t="s">
        <v>1412</v>
      </c>
      <c r="S116" s="1">
        <v>46043</v>
      </c>
      <c r="W116" s="1">
        <v>32665</v>
      </c>
      <c r="X116" t="s">
        <v>1492</v>
      </c>
      <c r="Z116" t="s">
        <v>1414</v>
      </c>
      <c r="AA116" t="s">
        <v>1419</v>
      </c>
      <c r="AB116" t="s">
        <v>1163</v>
      </c>
      <c r="AC116">
        <v>91987027596</v>
      </c>
      <c r="AD116" t="str">
        <f>_xlfn.XLOOKUP(F116,'Base de Tutores'!L:L,'Base de Tutores'!F:F)</f>
        <v>BAU</v>
      </c>
    </row>
    <row r="117" spans="1:30" hidden="1" x14ac:dyDescent="0.3">
      <c r="A117" t="s">
        <v>1405</v>
      </c>
      <c r="B117" t="s">
        <v>1406</v>
      </c>
      <c r="C117" t="s">
        <v>1706</v>
      </c>
      <c r="D117">
        <v>14995769781</v>
      </c>
      <c r="E117" t="s">
        <v>1707</v>
      </c>
      <c r="F117">
        <v>1158000611</v>
      </c>
      <c r="G117" s="1">
        <v>45782</v>
      </c>
      <c r="H117" t="s">
        <v>1350</v>
      </c>
      <c r="I117" t="s">
        <v>1349</v>
      </c>
      <c r="J117" t="s">
        <v>1363</v>
      </c>
      <c r="K117" t="s">
        <v>1353</v>
      </c>
      <c r="L117" t="s">
        <v>1408</v>
      </c>
      <c r="M117" t="s">
        <v>1409</v>
      </c>
      <c r="N117" t="s">
        <v>1410</v>
      </c>
      <c r="O117" t="s">
        <v>1411</v>
      </c>
      <c r="P117" t="s">
        <v>1411</v>
      </c>
      <c r="Q117" t="s">
        <v>1412</v>
      </c>
      <c r="S117" s="1">
        <v>45877</v>
      </c>
      <c r="V117" s="1">
        <v>45874</v>
      </c>
      <c r="W117" s="1">
        <v>34917</v>
      </c>
      <c r="X117" t="s">
        <v>1627</v>
      </c>
      <c r="Z117" t="s">
        <v>1414</v>
      </c>
      <c r="AA117" t="s">
        <v>1415</v>
      </c>
      <c r="AB117" t="s">
        <v>1708</v>
      </c>
      <c r="AC117">
        <v>22997751428</v>
      </c>
      <c r="AD117" t="str">
        <f>_xlfn.XLOOKUP(F117,'Base de Tutores'!L:L,'Base de Tutores'!F:F)</f>
        <v>EMF-ISN</v>
      </c>
    </row>
    <row r="118" spans="1:30" hidden="1" x14ac:dyDescent="0.3">
      <c r="A118" t="s">
        <v>1405</v>
      </c>
      <c r="B118" t="s">
        <v>1406</v>
      </c>
      <c r="C118" t="s">
        <v>1709</v>
      </c>
      <c r="D118">
        <v>80535380615</v>
      </c>
      <c r="E118">
        <v>5997467</v>
      </c>
      <c r="F118">
        <v>1158000577</v>
      </c>
      <c r="G118" s="1">
        <v>45735</v>
      </c>
      <c r="H118" t="s">
        <v>1350</v>
      </c>
      <c r="I118" t="s">
        <v>1374</v>
      </c>
      <c r="J118" t="s">
        <v>1363</v>
      </c>
      <c r="K118" t="s">
        <v>1353</v>
      </c>
      <c r="L118" t="s">
        <v>1408</v>
      </c>
      <c r="M118" t="s">
        <v>1421</v>
      </c>
      <c r="N118" t="s">
        <v>1422</v>
      </c>
      <c r="O118" t="s">
        <v>1423</v>
      </c>
      <c r="P118" t="s">
        <v>1423</v>
      </c>
      <c r="Q118" t="s">
        <v>1412</v>
      </c>
      <c r="S118" s="1">
        <v>46043</v>
      </c>
      <c r="W118" s="1">
        <v>25780</v>
      </c>
      <c r="X118" t="s">
        <v>1710</v>
      </c>
      <c r="Y118" t="s">
        <v>1711</v>
      </c>
      <c r="Z118" t="s">
        <v>1414</v>
      </c>
      <c r="AA118" t="s">
        <v>1415</v>
      </c>
      <c r="AB118" t="s">
        <v>1311</v>
      </c>
      <c r="AC118">
        <v>32988597193</v>
      </c>
      <c r="AD118" t="str">
        <f>_xlfn.XLOOKUP(F118,'Base de Tutores'!L:L,'Base de Tutores'!F:F)</f>
        <v>EMF-ISN</v>
      </c>
    </row>
    <row r="119" spans="1:30" hidden="1" x14ac:dyDescent="0.3">
      <c r="A119" t="s">
        <v>1405</v>
      </c>
      <c r="B119" t="s">
        <v>1406</v>
      </c>
      <c r="C119" t="s">
        <v>1712</v>
      </c>
      <c r="D119">
        <v>28784855215</v>
      </c>
      <c r="E119">
        <v>1326560</v>
      </c>
      <c r="F119">
        <v>1158000707</v>
      </c>
      <c r="G119" s="1">
        <v>45763</v>
      </c>
      <c r="H119" t="s">
        <v>1350</v>
      </c>
      <c r="I119" t="s">
        <v>1374</v>
      </c>
      <c r="J119" t="s">
        <v>1363</v>
      </c>
      <c r="K119" t="s">
        <v>1353</v>
      </c>
      <c r="L119" t="s">
        <v>1408</v>
      </c>
      <c r="M119" t="s">
        <v>1409</v>
      </c>
      <c r="N119" t="s">
        <v>1410</v>
      </c>
      <c r="O119" t="s">
        <v>1411</v>
      </c>
      <c r="P119" t="s">
        <v>1417</v>
      </c>
      <c r="Q119" t="s">
        <v>1412</v>
      </c>
      <c r="S119" s="1">
        <v>46043</v>
      </c>
      <c r="W119" s="1">
        <v>24301</v>
      </c>
      <c r="X119" t="s">
        <v>1492</v>
      </c>
      <c r="Z119" t="s">
        <v>1414</v>
      </c>
      <c r="AA119" t="s">
        <v>1419</v>
      </c>
      <c r="AB119" t="s">
        <v>96</v>
      </c>
      <c r="AC119">
        <v>91999958831</v>
      </c>
      <c r="AD119" t="str">
        <f>_xlfn.XLOOKUP(F119,'Base de Tutores'!L:L,'Base de Tutores'!F:F)</f>
        <v>EMF-ISN</v>
      </c>
    </row>
    <row r="120" spans="1:30" hidden="1" x14ac:dyDescent="0.3">
      <c r="A120" t="s">
        <v>1405</v>
      </c>
      <c r="B120" t="s">
        <v>1406</v>
      </c>
      <c r="C120" t="s">
        <v>1713</v>
      </c>
      <c r="D120">
        <v>9891618978</v>
      </c>
      <c r="E120">
        <v>6227011</v>
      </c>
      <c r="F120">
        <v>1158000878</v>
      </c>
      <c r="G120" s="1">
        <v>45882</v>
      </c>
      <c r="H120" t="s">
        <v>1350</v>
      </c>
      <c r="I120" t="s">
        <v>1349</v>
      </c>
      <c r="J120" t="s">
        <v>1363</v>
      </c>
      <c r="K120" t="s">
        <v>1353</v>
      </c>
      <c r="L120" t="s">
        <v>1408</v>
      </c>
      <c r="M120" t="s">
        <v>1421</v>
      </c>
      <c r="N120" t="s">
        <v>1410</v>
      </c>
      <c r="O120" t="s">
        <v>1423</v>
      </c>
      <c r="P120" t="s">
        <v>1423</v>
      </c>
      <c r="Q120" t="s">
        <v>1412</v>
      </c>
      <c r="S120" s="1">
        <v>46122</v>
      </c>
      <c r="V120" s="1">
        <v>46119</v>
      </c>
      <c r="W120" s="1">
        <v>34878</v>
      </c>
      <c r="X120" t="s">
        <v>1714</v>
      </c>
      <c r="Z120" t="s">
        <v>1414</v>
      </c>
      <c r="AA120" t="s">
        <v>1419</v>
      </c>
      <c r="AB120" t="s">
        <v>921</v>
      </c>
      <c r="AC120">
        <v>47991428458</v>
      </c>
      <c r="AD120" t="str">
        <f>_xlfn.XLOOKUP(F120,'Base de Tutores'!L:L,'Base de Tutores'!F:F)</f>
        <v>BFR</v>
      </c>
    </row>
    <row r="121" spans="1:30" hidden="1" x14ac:dyDescent="0.3">
      <c r="A121" t="s">
        <v>1405</v>
      </c>
      <c r="B121" t="s">
        <v>1406</v>
      </c>
      <c r="C121" t="s">
        <v>1715</v>
      </c>
      <c r="D121">
        <v>819208221</v>
      </c>
      <c r="E121">
        <v>7851616</v>
      </c>
      <c r="F121">
        <v>1158000554</v>
      </c>
      <c r="G121" s="1">
        <v>45733</v>
      </c>
      <c r="H121" t="s">
        <v>1350</v>
      </c>
      <c r="I121" t="s">
        <v>1374</v>
      </c>
      <c r="J121" t="s">
        <v>1363</v>
      </c>
      <c r="K121" t="s">
        <v>1353</v>
      </c>
      <c r="L121" t="s">
        <v>1408</v>
      </c>
      <c r="M121" t="s">
        <v>1421</v>
      </c>
      <c r="N121" t="s">
        <v>1422</v>
      </c>
      <c r="O121" t="s">
        <v>1423</v>
      </c>
      <c r="P121" t="s">
        <v>1423</v>
      </c>
      <c r="Q121" t="s">
        <v>1412</v>
      </c>
      <c r="S121" s="1">
        <v>46043</v>
      </c>
      <c r="W121" s="1">
        <v>36392</v>
      </c>
      <c r="X121" t="s">
        <v>1681</v>
      </c>
      <c r="Z121" t="s">
        <v>1414</v>
      </c>
      <c r="AA121" t="s">
        <v>1419</v>
      </c>
      <c r="AB121" t="s">
        <v>144</v>
      </c>
      <c r="AC121">
        <v>9499553635</v>
      </c>
      <c r="AD121" t="str">
        <f>_xlfn.XLOOKUP(F121,'Base de Tutores'!L:L,'Base de Tutores'!F:F)</f>
        <v>EMF-ISN</v>
      </c>
    </row>
    <row r="122" spans="1:30" hidden="1" x14ac:dyDescent="0.3">
      <c r="A122" t="s">
        <v>1405</v>
      </c>
      <c r="B122" t="s">
        <v>1406</v>
      </c>
      <c r="C122" t="s">
        <v>1716</v>
      </c>
      <c r="D122">
        <v>34618304880</v>
      </c>
      <c r="E122">
        <v>292307044</v>
      </c>
      <c r="F122">
        <v>1158001048</v>
      </c>
      <c r="G122" s="1">
        <v>45964</v>
      </c>
      <c r="H122" t="s">
        <v>1350</v>
      </c>
      <c r="I122" t="s">
        <v>1349</v>
      </c>
      <c r="J122" t="s">
        <v>1363</v>
      </c>
      <c r="K122" t="s">
        <v>1353</v>
      </c>
      <c r="L122" t="s">
        <v>1408</v>
      </c>
      <c r="M122" t="s">
        <v>1447</v>
      </c>
      <c r="N122" t="s">
        <v>1448</v>
      </c>
      <c r="O122" t="s">
        <v>1423</v>
      </c>
      <c r="P122" t="s">
        <v>1423</v>
      </c>
      <c r="Q122" t="s">
        <v>1412</v>
      </c>
      <c r="S122" s="1">
        <v>46045</v>
      </c>
      <c r="V122" s="1">
        <v>46042</v>
      </c>
      <c r="W122" s="1">
        <v>32539</v>
      </c>
      <c r="X122" t="s">
        <v>1717</v>
      </c>
      <c r="Y122" t="s">
        <v>1718</v>
      </c>
      <c r="Z122" t="s">
        <v>1495</v>
      </c>
      <c r="AA122" t="s">
        <v>1415</v>
      </c>
      <c r="AB122" t="s">
        <v>1214</v>
      </c>
      <c r="AC122">
        <v>13981460473</v>
      </c>
      <c r="AD122" t="str">
        <f>_xlfn.XLOOKUP(F122,'Base de Tutores'!L:L,'Base de Tutores'!F:F)</f>
        <v>BFR</v>
      </c>
    </row>
    <row r="123" spans="1:30" x14ac:dyDescent="0.3">
      <c r="A123" t="s">
        <v>1405</v>
      </c>
      <c r="B123" t="s">
        <v>1406</v>
      </c>
      <c r="C123" t="s">
        <v>1719</v>
      </c>
      <c r="D123">
        <v>15305150760</v>
      </c>
      <c r="E123" t="s">
        <v>1720</v>
      </c>
      <c r="F123">
        <v>1158001010</v>
      </c>
      <c r="G123" s="1">
        <v>45931</v>
      </c>
      <c r="H123" t="s">
        <v>1350</v>
      </c>
      <c r="I123" t="s">
        <v>1374</v>
      </c>
      <c r="J123" t="s">
        <v>1363</v>
      </c>
      <c r="K123" t="s">
        <v>1353</v>
      </c>
      <c r="L123" t="s">
        <v>1408</v>
      </c>
      <c r="M123" t="s">
        <v>1409</v>
      </c>
      <c r="N123" t="s">
        <v>1410</v>
      </c>
      <c r="O123" t="s">
        <v>1423</v>
      </c>
      <c r="P123" t="s">
        <v>1423</v>
      </c>
      <c r="Q123" t="s">
        <v>1412</v>
      </c>
      <c r="S123" s="1">
        <v>46043</v>
      </c>
      <c r="W123" s="1">
        <v>33813</v>
      </c>
      <c r="X123" t="s">
        <v>1721</v>
      </c>
      <c r="Z123" t="s">
        <v>1414</v>
      </c>
      <c r="AA123" t="s">
        <v>1419</v>
      </c>
      <c r="AB123" t="s">
        <v>1137</v>
      </c>
      <c r="AC123">
        <v>21983714550</v>
      </c>
      <c r="AD123" t="str">
        <f>_xlfn.XLOOKUP(F123,'Base de Tutores'!L:L,'Base de Tutores'!F:F)</f>
        <v>BTO</v>
      </c>
    </row>
    <row r="124" spans="1:30" hidden="1" x14ac:dyDescent="0.3">
      <c r="A124" t="s">
        <v>1405</v>
      </c>
      <c r="B124" t="s">
        <v>1406</v>
      </c>
      <c r="C124" t="s">
        <v>1722</v>
      </c>
      <c r="D124">
        <v>31081900830</v>
      </c>
      <c r="E124" t="s">
        <v>1723</v>
      </c>
      <c r="F124">
        <v>1158000945</v>
      </c>
      <c r="G124" s="1">
        <v>45901</v>
      </c>
      <c r="H124" t="s">
        <v>1350</v>
      </c>
      <c r="I124" t="s">
        <v>1349</v>
      </c>
      <c r="J124" t="s">
        <v>1363</v>
      </c>
      <c r="K124" t="s">
        <v>1353</v>
      </c>
      <c r="L124" t="s">
        <v>1408</v>
      </c>
      <c r="M124" t="s">
        <v>1409</v>
      </c>
      <c r="N124" t="s">
        <v>1410</v>
      </c>
      <c r="O124" t="s">
        <v>1411</v>
      </c>
      <c r="P124" t="s">
        <v>1411</v>
      </c>
      <c r="Q124" t="s">
        <v>1412</v>
      </c>
      <c r="S124" s="1">
        <v>46097</v>
      </c>
      <c r="V124" s="1">
        <v>46092</v>
      </c>
      <c r="W124" s="1">
        <v>31358</v>
      </c>
      <c r="X124" t="s">
        <v>1724</v>
      </c>
      <c r="Z124" t="s">
        <v>1414</v>
      </c>
      <c r="AA124" t="s">
        <v>1419</v>
      </c>
      <c r="AB124" t="s">
        <v>1068</v>
      </c>
      <c r="AC124">
        <v>19996071185</v>
      </c>
      <c r="AD124" t="str">
        <f>_xlfn.XLOOKUP(F124,'Base de Tutores'!L:L,'Base de Tutores'!F:F)</f>
        <v>BFI</v>
      </c>
    </row>
    <row r="125" spans="1:30" hidden="1" x14ac:dyDescent="0.3">
      <c r="A125" t="s">
        <v>1405</v>
      </c>
      <c r="B125" t="s">
        <v>1406</v>
      </c>
      <c r="C125" t="s">
        <v>1725</v>
      </c>
      <c r="D125">
        <v>15417265705</v>
      </c>
      <c r="E125">
        <v>281252767</v>
      </c>
      <c r="F125">
        <v>1158000912</v>
      </c>
      <c r="G125" s="1">
        <v>45889</v>
      </c>
      <c r="H125" t="s">
        <v>1350</v>
      </c>
      <c r="I125" t="s">
        <v>1374</v>
      </c>
      <c r="J125" t="s">
        <v>1363</v>
      </c>
      <c r="K125" t="s">
        <v>1353</v>
      </c>
      <c r="L125" t="s">
        <v>1408</v>
      </c>
      <c r="M125" t="s">
        <v>1409</v>
      </c>
      <c r="N125" t="s">
        <v>1410</v>
      </c>
      <c r="O125" t="s">
        <v>1423</v>
      </c>
      <c r="P125" t="s">
        <v>1423</v>
      </c>
      <c r="Q125" t="s">
        <v>1412</v>
      </c>
      <c r="S125" s="1">
        <v>46043</v>
      </c>
      <c r="W125" s="1">
        <v>34165</v>
      </c>
      <c r="X125" t="s">
        <v>1721</v>
      </c>
      <c r="Z125" t="s">
        <v>1414</v>
      </c>
      <c r="AA125" t="s">
        <v>1415</v>
      </c>
      <c r="AB125" t="s">
        <v>998</v>
      </c>
      <c r="AC125">
        <v>21994420395</v>
      </c>
      <c r="AD125" t="str">
        <f>_xlfn.XLOOKUP(F125,'Base de Tutores'!L:L,'Base de Tutores'!F:F)</f>
        <v>BFR</v>
      </c>
    </row>
    <row r="126" spans="1:30" hidden="1" x14ac:dyDescent="0.3">
      <c r="A126" t="s">
        <v>1405</v>
      </c>
      <c r="B126" t="s">
        <v>1406</v>
      </c>
      <c r="C126" t="s">
        <v>1726</v>
      </c>
      <c r="D126">
        <v>6463127906</v>
      </c>
      <c r="E126" t="s">
        <v>1727</v>
      </c>
      <c r="F126">
        <v>1158000836</v>
      </c>
      <c r="G126" s="1">
        <v>45873</v>
      </c>
      <c r="H126" t="s">
        <v>1350</v>
      </c>
      <c r="I126" t="s">
        <v>1349</v>
      </c>
      <c r="J126" t="s">
        <v>1363</v>
      </c>
      <c r="K126" t="s">
        <v>1353</v>
      </c>
      <c r="L126" t="s">
        <v>1408</v>
      </c>
      <c r="M126" t="s">
        <v>1409</v>
      </c>
      <c r="N126" t="s">
        <v>1410</v>
      </c>
      <c r="O126" t="s">
        <v>1423</v>
      </c>
      <c r="P126" t="s">
        <v>1423</v>
      </c>
      <c r="Q126" t="s">
        <v>1412</v>
      </c>
      <c r="S126" s="1">
        <v>45994</v>
      </c>
      <c r="V126" s="1">
        <v>45992</v>
      </c>
      <c r="W126" s="1">
        <v>32853</v>
      </c>
      <c r="X126" t="s">
        <v>1728</v>
      </c>
      <c r="Y126" t="s">
        <v>1729</v>
      </c>
      <c r="Z126" t="s">
        <v>1414</v>
      </c>
      <c r="AA126" t="s">
        <v>1419</v>
      </c>
      <c r="AB126" t="s">
        <v>830</v>
      </c>
      <c r="AC126">
        <v>48984801112</v>
      </c>
      <c r="AD126" t="str">
        <f>_xlfn.XLOOKUP(F126,'Base de Tutores'!L:L,'Base de Tutores'!F:F)</f>
        <v>BFI</v>
      </c>
    </row>
    <row r="127" spans="1:30" hidden="1" x14ac:dyDescent="0.3">
      <c r="A127" t="s">
        <v>1405</v>
      </c>
      <c r="B127" t="s">
        <v>1406</v>
      </c>
      <c r="C127" t="s">
        <v>1730</v>
      </c>
      <c r="D127">
        <v>2375136250</v>
      </c>
      <c r="E127">
        <v>7161819</v>
      </c>
      <c r="F127">
        <v>1158000852</v>
      </c>
      <c r="G127" s="1">
        <v>45880</v>
      </c>
      <c r="H127" t="s">
        <v>1350</v>
      </c>
      <c r="I127" t="s">
        <v>1349</v>
      </c>
      <c r="J127" t="s">
        <v>1363</v>
      </c>
      <c r="K127" t="s">
        <v>1353</v>
      </c>
      <c r="L127" t="s">
        <v>1408</v>
      </c>
      <c r="M127" t="s">
        <v>1409</v>
      </c>
      <c r="N127" t="s">
        <v>1422</v>
      </c>
      <c r="O127" t="s">
        <v>1411</v>
      </c>
      <c r="P127" t="s">
        <v>1411</v>
      </c>
      <c r="Q127" t="s">
        <v>1412</v>
      </c>
      <c r="S127" s="1">
        <v>45966</v>
      </c>
      <c r="V127" s="1">
        <v>45962</v>
      </c>
      <c r="W127" s="1">
        <v>35352</v>
      </c>
      <c r="X127" t="s">
        <v>1731</v>
      </c>
      <c r="Z127" t="s">
        <v>1414</v>
      </c>
      <c r="AA127" t="s">
        <v>1419</v>
      </c>
      <c r="AB127" t="s">
        <v>860</v>
      </c>
      <c r="AC127">
        <v>65996614127</v>
      </c>
      <c r="AD127" t="str">
        <f>_xlfn.XLOOKUP(F127,'Base de Tutores'!L:L,'Base de Tutores'!F:F)</f>
        <v>AGM</v>
      </c>
    </row>
    <row r="128" spans="1:30" hidden="1" x14ac:dyDescent="0.3">
      <c r="A128" t="s">
        <v>1405</v>
      </c>
      <c r="B128" t="s">
        <v>1406</v>
      </c>
      <c r="C128" t="s">
        <v>1732</v>
      </c>
      <c r="D128">
        <v>10119050943</v>
      </c>
      <c r="E128">
        <v>6622369</v>
      </c>
      <c r="F128">
        <v>1158000705</v>
      </c>
      <c r="G128" s="1">
        <v>45761</v>
      </c>
      <c r="H128" t="s">
        <v>1350</v>
      </c>
      <c r="I128" t="s">
        <v>1374</v>
      </c>
      <c r="J128" t="s">
        <v>1363</v>
      </c>
      <c r="K128" t="s">
        <v>1353</v>
      </c>
      <c r="L128" t="s">
        <v>1408</v>
      </c>
      <c r="M128" t="s">
        <v>1409</v>
      </c>
      <c r="N128" t="s">
        <v>1410</v>
      </c>
      <c r="O128" t="s">
        <v>1423</v>
      </c>
      <c r="P128" t="s">
        <v>1423</v>
      </c>
      <c r="Q128" t="s">
        <v>1412</v>
      </c>
      <c r="S128" s="1">
        <v>46043</v>
      </c>
      <c r="W128" s="1">
        <v>36073</v>
      </c>
      <c r="X128" t="s">
        <v>1714</v>
      </c>
      <c r="Z128" t="s">
        <v>1414</v>
      </c>
      <c r="AA128" t="s">
        <v>1419</v>
      </c>
      <c r="AB128" t="s">
        <v>562</v>
      </c>
      <c r="AD128" t="str">
        <f>_xlfn.XLOOKUP(F128,'Base de Tutores'!L:L,'Base de Tutores'!F:F)</f>
        <v>ECE-ENM-ENS-ENG-EEA-GPI-CDE-OBR-SAN-TER-FSA-SLF-QUI</v>
      </c>
    </row>
    <row r="129" spans="1:30" hidden="1" x14ac:dyDescent="0.3">
      <c r="A129" t="s">
        <v>1405</v>
      </c>
      <c r="B129" t="s">
        <v>1406</v>
      </c>
      <c r="C129" t="s">
        <v>1733</v>
      </c>
      <c r="D129">
        <v>6336546470</v>
      </c>
      <c r="E129">
        <v>2087771</v>
      </c>
      <c r="F129">
        <v>1158001017</v>
      </c>
      <c r="G129" s="1">
        <v>45936</v>
      </c>
      <c r="H129" t="s">
        <v>1350</v>
      </c>
      <c r="I129" t="s">
        <v>1374</v>
      </c>
      <c r="J129" t="s">
        <v>1363</v>
      </c>
      <c r="K129" t="s">
        <v>1353</v>
      </c>
      <c r="L129" t="s">
        <v>1408</v>
      </c>
      <c r="M129" t="s">
        <v>1442</v>
      </c>
      <c r="N129" t="s">
        <v>1443</v>
      </c>
      <c r="O129" t="s">
        <v>1411</v>
      </c>
      <c r="P129" t="s">
        <v>1411</v>
      </c>
      <c r="Q129" t="s">
        <v>1412</v>
      </c>
      <c r="S129" s="1">
        <v>46043</v>
      </c>
      <c r="W129" s="1">
        <v>31640</v>
      </c>
      <c r="X129" t="s">
        <v>1515</v>
      </c>
      <c r="Z129" t="s">
        <v>1414</v>
      </c>
      <c r="AA129" t="s">
        <v>1415</v>
      </c>
      <c r="AB129" t="s">
        <v>1168</v>
      </c>
      <c r="AC129">
        <v>82987356541</v>
      </c>
      <c r="AD129" t="str">
        <f>_xlfn.XLOOKUP(F129,'Base de Tutores'!L:L,'Base de Tutores'!F:F)</f>
        <v>AGM</v>
      </c>
    </row>
    <row r="130" spans="1:30" hidden="1" x14ac:dyDescent="0.3">
      <c r="A130" t="s">
        <v>1405</v>
      </c>
      <c r="B130" t="s">
        <v>1406</v>
      </c>
      <c r="C130" t="s">
        <v>1734</v>
      </c>
      <c r="D130">
        <v>12953302611</v>
      </c>
      <c r="E130">
        <v>19216058</v>
      </c>
      <c r="F130">
        <v>1158000597</v>
      </c>
      <c r="G130" s="1">
        <v>45770</v>
      </c>
      <c r="H130" t="s">
        <v>1350</v>
      </c>
      <c r="I130" t="s">
        <v>1349</v>
      </c>
      <c r="J130" t="s">
        <v>1363</v>
      </c>
      <c r="K130" t="s">
        <v>1353</v>
      </c>
      <c r="L130" t="s">
        <v>1408</v>
      </c>
      <c r="M130" t="s">
        <v>1409</v>
      </c>
      <c r="N130" t="s">
        <v>1410</v>
      </c>
      <c r="O130" t="s">
        <v>1423</v>
      </c>
      <c r="P130" t="s">
        <v>1423</v>
      </c>
      <c r="Q130" t="s">
        <v>1412</v>
      </c>
      <c r="S130" s="1">
        <v>45862</v>
      </c>
      <c r="V130" s="1">
        <v>45860</v>
      </c>
      <c r="W130" s="1">
        <v>34724</v>
      </c>
      <c r="X130" t="s">
        <v>1735</v>
      </c>
      <c r="Z130" t="s">
        <v>1736</v>
      </c>
      <c r="AA130" t="s">
        <v>1419</v>
      </c>
      <c r="AB130" t="s">
        <v>1737</v>
      </c>
      <c r="AC130">
        <v>34997371340</v>
      </c>
      <c r="AD130" t="str">
        <f>_xlfn.XLOOKUP(F130,'Base de Tutores'!L:L,'Base de Tutores'!F:F)</f>
        <v>EMF-ISN</v>
      </c>
    </row>
    <row r="131" spans="1:30" hidden="1" x14ac:dyDescent="0.3">
      <c r="A131" t="s">
        <v>1405</v>
      </c>
      <c r="B131" t="s">
        <v>1406</v>
      </c>
      <c r="C131" t="s">
        <v>1738</v>
      </c>
      <c r="D131">
        <v>1249403901</v>
      </c>
      <c r="E131">
        <v>5821574</v>
      </c>
      <c r="F131">
        <v>1158001046</v>
      </c>
      <c r="G131" s="1">
        <v>45950</v>
      </c>
      <c r="H131" t="s">
        <v>1350</v>
      </c>
      <c r="I131" t="s">
        <v>1349</v>
      </c>
      <c r="J131" t="s">
        <v>1363</v>
      </c>
      <c r="K131" t="s">
        <v>1353</v>
      </c>
      <c r="L131" t="s">
        <v>1408</v>
      </c>
      <c r="M131" t="s">
        <v>1421</v>
      </c>
      <c r="N131" t="s">
        <v>1422</v>
      </c>
      <c r="O131" t="s">
        <v>1462</v>
      </c>
      <c r="P131" t="s">
        <v>1462</v>
      </c>
      <c r="Q131" t="s">
        <v>1412</v>
      </c>
      <c r="S131" s="1">
        <v>46065</v>
      </c>
      <c r="V131" s="1">
        <v>46057</v>
      </c>
      <c r="W131" s="1">
        <v>35470</v>
      </c>
      <c r="X131" t="s">
        <v>1676</v>
      </c>
      <c r="Z131" t="s">
        <v>1414</v>
      </c>
      <c r="AA131" t="s">
        <v>1415</v>
      </c>
      <c r="AB131" t="s">
        <v>1209</v>
      </c>
      <c r="AC131">
        <v>49989081134</v>
      </c>
      <c r="AD131" t="str">
        <f>_xlfn.XLOOKUP(F131,'Base de Tutores'!L:L,'Base de Tutores'!F:F)</f>
        <v>BFR</v>
      </c>
    </row>
    <row r="132" spans="1:30" hidden="1" x14ac:dyDescent="0.3">
      <c r="A132" t="s">
        <v>1405</v>
      </c>
      <c r="B132" t="s">
        <v>1406</v>
      </c>
      <c r="C132" t="s">
        <v>1739</v>
      </c>
      <c r="D132">
        <v>6454611566</v>
      </c>
      <c r="E132" t="s">
        <v>1740</v>
      </c>
      <c r="F132">
        <v>1158000680</v>
      </c>
      <c r="G132" s="1">
        <v>45754</v>
      </c>
      <c r="H132" t="s">
        <v>1350</v>
      </c>
      <c r="I132" t="s">
        <v>1374</v>
      </c>
      <c r="J132" t="s">
        <v>1363</v>
      </c>
      <c r="K132" t="s">
        <v>1353</v>
      </c>
      <c r="L132" t="s">
        <v>1408</v>
      </c>
      <c r="M132" t="s">
        <v>1421</v>
      </c>
      <c r="N132" t="s">
        <v>1422</v>
      </c>
      <c r="O132" t="s">
        <v>1411</v>
      </c>
      <c r="P132" t="s">
        <v>1411</v>
      </c>
      <c r="Q132" t="s">
        <v>1412</v>
      </c>
      <c r="S132" s="1">
        <v>46043</v>
      </c>
      <c r="W132" s="1">
        <v>35122</v>
      </c>
      <c r="X132" t="s">
        <v>1741</v>
      </c>
      <c r="Z132" t="s">
        <v>1414</v>
      </c>
      <c r="AA132" t="s">
        <v>1419</v>
      </c>
      <c r="AB132" t="s">
        <v>353</v>
      </c>
      <c r="AC132">
        <v>74999530250</v>
      </c>
      <c r="AD132" t="str">
        <f>_xlfn.XLOOKUP(F132,'Base de Tutores'!L:L,'Base de Tutores'!F:F)</f>
        <v>EMF-ISN</v>
      </c>
    </row>
    <row r="133" spans="1:30" hidden="1" x14ac:dyDescent="0.3">
      <c r="A133" t="s">
        <v>1405</v>
      </c>
      <c r="B133" t="s">
        <v>1406</v>
      </c>
      <c r="C133" t="s">
        <v>1742</v>
      </c>
      <c r="D133">
        <v>2981690027</v>
      </c>
      <c r="E133">
        <v>1099223354</v>
      </c>
      <c r="F133">
        <v>1158000734</v>
      </c>
      <c r="G133" s="1">
        <v>45810</v>
      </c>
      <c r="H133" t="s">
        <v>1350</v>
      </c>
      <c r="I133" t="s">
        <v>1374</v>
      </c>
      <c r="J133" t="s">
        <v>1427</v>
      </c>
      <c r="K133" t="s">
        <v>1356</v>
      </c>
      <c r="L133" t="s">
        <v>1408</v>
      </c>
      <c r="M133" t="s">
        <v>1447</v>
      </c>
      <c r="N133" t="s">
        <v>1448</v>
      </c>
      <c r="O133" t="s">
        <v>1411</v>
      </c>
      <c r="P133" t="s">
        <v>1411</v>
      </c>
      <c r="Q133" t="s">
        <v>1412</v>
      </c>
      <c r="S133" s="1">
        <v>46043</v>
      </c>
      <c r="W133" s="1">
        <v>35673</v>
      </c>
      <c r="X133" t="s">
        <v>1485</v>
      </c>
      <c r="Z133" t="s">
        <v>1414</v>
      </c>
      <c r="AA133" t="s">
        <v>1419</v>
      </c>
      <c r="AB133" t="s">
        <v>637</v>
      </c>
      <c r="AC133">
        <v>51982974059</v>
      </c>
      <c r="AD133" t="str">
        <f>_xlfn.XLOOKUP(F133,'Base de Tutores'!L:L,'Base de Tutores'!F:F)</f>
        <v>EMF-ISN</v>
      </c>
    </row>
    <row r="134" spans="1:30" hidden="1" x14ac:dyDescent="0.3">
      <c r="A134" t="s">
        <v>1405</v>
      </c>
      <c r="B134" t="s">
        <v>1406</v>
      </c>
      <c r="C134" t="s">
        <v>1743</v>
      </c>
      <c r="D134">
        <v>46398978803</v>
      </c>
      <c r="E134" t="s">
        <v>1744</v>
      </c>
      <c r="F134">
        <v>1158001056</v>
      </c>
      <c r="G134" s="1">
        <v>45966</v>
      </c>
      <c r="H134" t="s">
        <v>1350</v>
      </c>
      <c r="I134" t="s">
        <v>1349</v>
      </c>
      <c r="J134" t="s">
        <v>1363</v>
      </c>
      <c r="K134" t="s">
        <v>1353</v>
      </c>
      <c r="L134" t="s">
        <v>1408</v>
      </c>
      <c r="M134" t="s">
        <v>1409</v>
      </c>
      <c r="N134" t="s">
        <v>1410</v>
      </c>
      <c r="O134" t="s">
        <v>1423</v>
      </c>
      <c r="P134" t="s">
        <v>1423</v>
      </c>
      <c r="Q134" t="s">
        <v>1412</v>
      </c>
      <c r="S134" s="1">
        <v>46090</v>
      </c>
      <c r="V134" s="1">
        <v>46087</v>
      </c>
      <c r="W134" s="1">
        <v>35088</v>
      </c>
      <c r="X134" t="s">
        <v>1510</v>
      </c>
      <c r="Z134" t="s">
        <v>1414</v>
      </c>
      <c r="AA134" t="s">
        <v>1419</v>
      </c>
      <c r="AB134" t="s">
        <v>1107</v>
      </c>
      <c r="AC134">
        <v>11958876119</v>
      </c>
      <c r="AD134" t="str">
        <f>_xlfn.XLOOKUP(F134,'Base de Tutores'!L:L,'Base de Tutores'!F:F)</f>
        <v>EMF-ISN</v>
      </c>
    </row>
    <row r="135" spans="1:30" hidden="1" x14ac:dyDescent="0.3">
      <c r="A135" t="s">
        <v>1405</v>
      </c>
      <c r="B135" t="s">
        <v>1406</v>
      </c>
      <c r="C135" t="s">
        <v>1745</v>
      </c>
      <c r="D135">
        <v>1490301186</v>
      </c>
      <c r="E135">
        <v>17766990</v>
      </c>
      <c r="F135">
        <v>1158000694</v>
      </c>
      <c r="G135" s="1">
        <v>45754</v>
      </c>
      <c r="H135" t="s">
        <v>1350</v>
      </c>
      <c r="I135" t="s">
        <v>1349</v>
      </c>
      <c r="J135" t="s">
        <v>1363</v>
      </c>
      <c r="K135" t="s">
        <v>1353</v>
      </c>
      <c r="L135" t="s">
        <v>1408</v>
      </c>
      <c r="M135" t="s">
        <v>1409</v>
      </c>
      <c r="N135" t="s">
        <v>1410</v>
      </c>
      <c r="O135" t="s">
        <v>1411</v>
      </c>
      <c r="P135" t="s">
        <v>1411</v>
      </c>
      <c r="Q135" t="s">
        <v>1412</v>
      </c>
      <c r="S135" s="1">
        <v>46065</v>
      </c>
      <c r="V135" s="1">
        <v>46064</v>
      </c>
      <c r="W135" s="1">
        <v>30250</v>
      </c>
      <c r="X135" t="s">
        <v>1746</v>
      </c>
      <c r="Z135" t="s">
        <v>1414</v>
      </c>
      <c r="AA135" t="s">
        <v>1419</v>
      </c>
      <c r="AB135" t="s">
        <v>42</v>
      </c>
      <c r="AC135">
        <v>66996263876</v>
      </c>
      <c r="AD135" t="str">
        <f>_xlfn.XLOOKUP(F135,'Base de Tutores'!L:L,'Base de Tutores'!F:F)</f>
        <v>EMF-ISN</v>
      </c>
    </row>
    <row r="136" spans="1:30" hidden="1" x14ac:dyDescent="0.3">
      <c r="A136" t="s">
        <v>1405</v>
      </c>
      <c r="B136" t="s">
        <v>1406</v>
      </c>
      <c r="C136" t="s">
        <v>1747</v>
      </c>
      <c r="D136">
        <v>15515158733</v>
      </c>
      <c r="E136">
        <v>282648690</v>
      </c>
      <c r="F136">
        <v>1158001043</v>
      </c>
      <c r="G136" s="1">
        <v>45950</v>
      </c>
      <c r="H136" t="s">
        <v>1350</v>
      </c>
      <c r="I136" t="s">
        <v>1349</v>
      </c>
      <c r="J136" t="s">
        <v>1363</v>
      </c>
      <c r="K136" t="s">
        <v>1353</v>
      </c>
      <c r="L136" t="s">
        <v>1408</v>
      </c>
      <c r="M136" t="s">
        <v>1409</v>
      </c>
      <c r="N136" t="s">
        <v>1410</v>
      </c>
      <c r="O136" t="s">
        <v>1423</v>
      </c>
      <c r="P136" t="s">
        <v>1423</v>
      </c>
      <c r="Q136" t="s">
        <v>1412</v>
      </c>
      <c r="S136" s="1">
        <v>46045</v>
      </c>
      <c r="V136" s="1">
        <v>46042</v>
      </c>
      <c r="W136" s="1">
        <v>34667</v>
      </c>
      <c r="X136" t="s">
        <v>1654</v>
      </c>
      <c r="Z136" t="s">
        <v>1414</v>
      </c>
      <c r="AA136" t="s">
        <v>1419</v>
      </c>
      <c r="AB136" t="s">
        <v>1207</v>
      </c>
      <c r="AC136">
        <v>21984834024</v>
      </c>
      <c r="AD136" t="str">
        <f>_xlfn.XLOOKUP(F136,'Base de Tutores'!L:L,'Base de Tutores'!F:F)</f>
        <v>BFR</v>
      </c>
    </row>
    <row r="137" spans="1:30" hidden="1" x14ac:dyDescent="0.3">
      <c r="A137" t="s">
        <v>1405</v>
      </c>
      <c r="B137" t="s">
        <v>1406</v>
      </c>
      <c r="C137" t="s">
        <v>1748</v>
      </c>
      <c r="D137">
        <v>89364252004</v>
      </c>
      <c r="E137">
        <v>4063833241</v>
      </c>
      <c r="F137">
        <v>1158000807</v>
      </c>
      <c r="G137" s="1">
        <v>45873</v>
      </c>
      <c r="H137" t="s">
        <v>1350</v>
      </c>
      <c r="I137" t="s">
        <v>1374</v>
      </c>
      <c r="J137" t="s">
        <v>1363</v>
      </c>
      <c r="K137" t="s">
        <v>1353</v>
      </c>
      <c r="L137" t="s">
        <v>1408</v>
      </c>
      <c r="M137" t="s">
        <v>1447</v>
      </c>
      <c r="N137" t="s">
        <v>1448</v>
      </c>
      <c r="O137" t="s">
        <v>1423</v>
      </c>
      <c r="P137" t="s">
        <v>1423</v>
      </c>
      <c r="Q137" t="s">
        <v>1412</v>
      </c>
      <c r="S137" s="1">
        <v>46043</v>
      </c>
      <c r="W137" s="1">
        <v>28040</v>
      </c>
      <c r="X137" t="s">
        <v>1749</v>
      </c>
      <c r="Y137" t="s">
        <v>1750</v>
      </c>
      <c r="Z137" t="s">
        <v>1414</v>
      </c>
      <c r="AA137" t="s">
        <v>1415</v>
      </c>
      <c r="AB137" t="s">
        <v>785</v>
      </c>
      <c r="AC137">
        <v>51991146769</v>
      </c>
      <c r="AD137" t="str">
        <f>_xlfn.XLOOKUP(F137,'Base de Tutores'!L:L,'Base de Tutores'!F:F)</f>
        <v>BFI</v>
      </c>
    </row>
    <row r="138" spans="1:30" hidden="1" x14ac:dyDescent="0.3">
      <c r="A138" t="s">
        <v>1405</v>
      </c>
      <c r="B138" t="s">
        <v>1406</v>
      </c>
      <c r="C138" t="s">
        <v>1751</v>
      </c>
      <c r="D138">
        <v>8782106959</v>
      </c>
      <c r="E138">
        <v>89801567</v>
      </c>
      <c r="F138">
        <v>1158000542</v>
      </c>
      <c r="G138" s="1">
        <v>45726</v>
      </c>
      <c r="H138" t="s">
        <v>1350</v>
      </c>
      <c r="I138" t="s">
        <v>1374</v>
      </c>
      <c r="J138" t="s">
        <v>1427</v>
      </c>
      <c r="K138" t="s">
        <v>1356</v>
      </c>
      <c r="L138" t="s">
        <v>1408</v>
      </c>
      <c r="M138" t="s">
        <v>1409</v>
      </c>
      <c r="N138" t="s">
        <v>1410</v>
      </c>
      <c r="O138" t="s">
        <v>1423</v>
      </c>
      <c r="P138" t="s">
        <v>1423</v>
      </c>
      <c r="Q138" t="s">
        <v>1412</v>
      </c>
      <c r="S138" s="1">
        <v>46043</v>
      </c>
      <c r="W138" s="1">
        <v>33785</v>
      </c>
      <c r="X138" t="s">
        <v>1586</v>
      </c>
      <c r="Y138" t="s">
        <v>1752</v>
      </c>
      <c r="Z138" t="s">
        <v>1414</v>
      </c>
      <c r="AA138" t="s">
        <v>1419</v>
      </c>
      <c r="AB138" t="s">
        <v>258</v>
      </c>
      <c r="AC138">
        <v>41988323688</v>
      </c>
      <c r="AD138" t="str">
        <f>_xlfn.XLOOKUP(F138,'Base de Tutores'!L:L,'Base de Tutores'!F:F)</f>
        <v>EMF-ISN</v>
      </c>
    </row>
    <row r="139" spans="1:30" hidden="1" x14ac:dyDescent="0.3">
      <c r="A139" t="s">
        <v>1405</v>
      </c>
      <c r="B139" t="s">
        <v>1406</v>
      </c>
      <c r="C139" t="s">
        <v>1753</v>
      </c>
      <c r="D139">
        <v>2789755000</v>
      </c>
      <c r="E139">
        <v>1109073773</v>
      </c>
      <c r="F139">
        <v>1158000904</v>
      </c>
      <c r="G139" s="1">
        <v>45887</v>
      </c>
      <c r="H139" t="s">
        <v>1350</v>
      </c>
      <c r="I139" t="s">
        <v>1349</v>
      </c>
      <c r="J139" t="s">
        <v>1363</v>
      </c>
      <c r="K139" t="s">
        <v>1353</v>
      </c>
      <c r="L139" t="s">
        <v>1408</v>
      </c>
      <c r="M139" t="s">
        <v>1409</v>
      </c>
      <c r="N139" t="s">
        <v>1410</v>
      </c>
      <c r="O139" t="s">
        <v>1423</v>
      </c>
      <c r="P139" t="s">
        <v>1423</v>
      </c>
      <c r="Q139" t="s">
        <v>1412</v>
      </c>
      <c r="S139" s="1">
        <v>45943</v>
      </c>
      <c r="V139" s="1">
        <v>45937</v>
      </c>
      <c r="W139" s="1">
        <v>33820</v>
      </c>
      <c r="X139" t="s">
        <v>1754</v>
      </c>
      <c r="Z139" t="s">
        <v>1414</v>
      </c>
      <c r="AA139" t="s">
        <v>1415</v>
      </c>
      <c r="AB139" t="s">
        <v>887</v>
      </c>
      <c r="AC139">
        <v>51999029104</v>
      </c>
      <c r="AD139" t="str">
        <f>_xlfn.XLOOKUP(F139,'Base de Tutores'!L:L,'Base de Tutores'!F:F)</f>
        <v>EMF-ISN</v>
      </c>
    </row>
    <row r="140" spans="1:30" hidden="1" x14ac:dyDescent="0.3">
      <c r="A140" t="s">
        <v>1405</v>
      </c>
      <c r="B140" t="s">
        <v>1406</v>
      </c>
      <c r="C140" t="s">
        <v>1755</v>
      </c>
      <c r="D140">
        <v>1064043003</v>
      </c>
      <c r="E140">
        <v>1038584627</v>
      </c>
      <c r="F140">
        <v>1158000720</v>
      </c>
      <c r="G140" s="1">
        <v>45810</v>
      </c>
      <c r="H140" t="s">
        <v>1350</v>
      </c>
      <c r="I140" t="s">
        <v>1349</v>
      </c>
      <c r="J140" t="s">
        <v>1363</v>
      </c>
      <c r="K140" t="s">
        <v>1353</v>
      </c>
      <c r="L140" t="s">
        <v>1408</v>
      </c>
      <c r="M140" t="s">
        <v>1421</v>
      </c>
      <c r="N140" t="s">
        <v>1422</v>
      </c>
      <c r="O140" t="s">
        <v>1423</v>
      </c>
      <c r="P140" t="s">
        <v>1423</v>
      </c>
      <c r="Q140" t="s">
        <v>1412</v>
      </c>
      <c r="S140" s="1">
        <v>46057</v>
      </c>
      <c r="V140" s="1">
        <v>46055</v>
      </c>
      <c r="W140" s="1">
        <v>31131</v>
      </c>
      <c r="X140" t="s">
        <v>1485</v>
      </c>
      <c r="Y140" t="s">
        <v>1756</v>
      </c>
      <c r="Z140" t="s">
        <v>1414</v>
      </c>
      <c r="AA140" t="s">
        <v>1415</v>
      </c>
      <c r="AB140" t="s">
        <v>709</v>
      </c>
      <c r="AC140">
        <v>55992310184</v>
      </c>
      <c r="AD140" t="str">
        <f>_xlfn.XLOOKUP(F140,'Base de Tutores'!L:L,'Base de Tutores'!F:F)</f>
        <v>ECE-ENM-ENS-ENG-EEA-GPI-CDE-OBR-SAN-TER-FSA-SLF-QUI</v>
      </c>
    </row>
    <row r="141" spans="1:30" hidden="1" x14ac:dyDescent="0.3">
      <c r="A141" t="s">
        <v>1405</v>
      </c>
      <c r="B141" t="s">
        <v>1406</v>
      </c>
      <c r="C141" t="s">
        <v>1757</v>
      </c>
      <c r="D141">
        <v>70766907139</v>
      </c>
      <c r="E141">
        <v>6717426</v>
      </c>
      <c r="F141">
        <v>1158001084</v>
      </c>
      <c r="G141" s="1">
        <v>46034</v>
      </c>
      <c r="H141" t="s">
        <v>1350</v>
      </c>
      <c r="I141" t="s">
        <v>1374</v>
      </c>
      <c r="J141" t="s">
        <v>1363</v>
      </c>
      <c r="K141" t="s">
        <v>1353</v>
      </c>
      <c r="L141" t="s">
        <v>1408</v>
      </c>
      <c r="M141" t="s">
        <v>1447</v>
      </c>
      <c r="N141" t="s">
        <v>1448</v>
      </c>
      <c r="O141" t="s">
        <v>1462</v>
      </c>
      <c r="P141" t="s">
        <v>1462</v>
      </c>
      <c r="Q141" t="s">
        <v>1412</v>
      </c>
      <c r="S141" s="1">
        <v>46030</v>
      </c>
      <c r="W141" s="1">
        <v>36822</v>
      </c>
      <c r="X141" t="s">
        <v>1758</v>
      </c>
      <c r="Z141" t="s">
        <v>1414</v>
      </c>
      <c r="AA141" t="s">
        <v>1415</v>
      </c>
      <c r="AB141" t="s">
        <v>1759</v>
      </c>
      <c r="AC141">
        <v>64992035207</v>
      </c>
      <c r="AD141" t="str">
        <f>_xlfn.XLOOKUP(F141,'Base de Tutores'!L:L,'Base de Tutores'!F:F)</f>
        <v>AGM</v>
      </c>
    </row>
    <row r="142" spans="1:30" hidden="1" x14ac:dyDescent="0.3">
      <c r="A142" t="s">
        <v>1405</v>
      </c>
      <c r="B142" t="s">
        <v>1406</v>
      </c>
      <c r="C142" t="s">
        <v>1760</v>
      </c>
      <c r="D142">
        <v>3823054180</v>
      </c>
      <c r="E142">
        <v>3823054180</v>
      </c>
      <c r="F142">
        <v>1158000865</v>
      </c>
      <c r="G142" s="1">
        <v>45880</v>
      </c>
      <c r="H142" t="s">
        <v>1350</v>
      </c>
      <c r="I142" t="s">
        <v>1349</v>
      </c>
      <c r="J142" t="s">
        <v>1363</v>
      </c>
      <c r="K142" t="s">
        <v>1353</v>
      </c>
      <c r="L142" t="s">
        <v>1408</v>
      </c>
      <c r="M142" t="s">
        <v>1447</v>
      </c>
      <c r="N142" t="s">
        <v>1410</v>
      </c>
      <c r="O142" t="s">
        <v>1411</v>
      </c>
      <c r="P142" t="s">
        <v>1411</v>
      </c>
      <c r="Q142" t="s">
        <v>1412</v>
      </c>
      <c r="S142" s="1">
        <v>46044</v>
      </c>
      <c r="V142" s="1">
        <v>46041</v>
      </c>
      <c r="W142" s="1">
        <v>34350</v>
      </c>
      <c r="X142" t="s">
        <v>1761</v>
      </c>
      <c r="Y142" t="s">
        <v>1762</v>
      </c>
      <c r="Z142" t="s">
        <v>1414</v>
      </c>
      <c r="AA142" t="s">
        <v>1415</v>
      </c>
      <c r="AB142" t="s">
        <v>255</v>
      </c>
      <c r="AC142">
        <v>66984109939</v>
      </c>
      <c r="AD142" t="str">
        <f>_xlfn.XLOOKUP(F142,'Base de Tutores'!L:L,'Base de Tutores'!F:F)</f>
        <v>EMF-ISN</v>
      </c>
    </row>
    <row r="143" spans="1:30" hidden="1" x14ac:dyDescent="0.3">
      <c r="A143" t="s">
        <v>1405</v>
      </c>
      <c r="B143" t="s">
        <v>1406</v>
      </c>
      <c r="C143" t="s">
        <v>1763</v>
      </c>
      <c r="D143">
        <v>2663833517</v>
      </c>
      <c r="E143">
        <v>1523895470</v>
      </c>
      <c r="F143">
        <v>1158000934</v>
      </c>
      <c r="G143" s="1">
        <v>45901</v>
      </c>
      <c r="H143" t="s">
        <v>1350</v>
      </c>
      <c r="I143" t="s">
        <v>1374</v>
      </c>
      <c r="J143" t="s">
        <v>1363</v>
      </c>
      <c r="K143" t="s">
        <v>1353</v>
      </c>
      <c r="L143" t="s">
        <v>1408</v>
      </c>
      <c r="M143" t="s">
        <v>1409</v>
      </c>
      <c r="N143" t="s">
        <v>1410</v>
      </c>
      <c r="O143" t="s">
        <v>1462</v>
      </c>
      <c r="P143" t="s">
        <v>1462</v>
      </c>
      <c r="Q143" t="s">
        <v>1412</v>
      </c>
      <c r="S143" s="1">
        <v>46043</v>
      </c>
      <c r="W143" s="1">
        <v>35738</v>
      </c>
      <c r="X143" t="s">
        <v>1764</v>
      </c>
      <c r="Z143" t="s">
        <v>1414</v>
      </c>
      <c r="AA143" t="s">
        <v>1419</v>
      </c>
      <c r="AB143" t="s">
        <v>1039</v>
      </c>
      <c r="AC143">
        <v>77991329541</v>
      </c>
      <c r="AD143" t="str">
        <f>_xlfn.XLOOKUP(F143,'Base de Tutores'!L:L,'Base de Tutores'!F:F)</f>
        <v>AGM</v>
      </c>
    </row>
    <row r="144" spans="1:30" hidden="1" x14ac:dyDescent="0.3">
      <c r="A144" t="s">
        <v>1405</v>
      </c>
      <c r="B144" t="s">
        <v>1406</v>
      </c>
      <c r="C144" t="s">
        <v>1765</v>
      </c>
      <c r="D144">
        <v>11351961683</v>
      </c>
      <c r="E144" t="s">
        <v>1766</v>
      </c>
      <c r="F144">
        <v>1158000820</v>
      </c>
      <c r="G144" s="1">
        <v>45873</v>
      </c>
      <c r="H144" t="s">
        <v>1350</v>
      </c>
      <c r="I144" t="s">
        <v>1349</v>
      </c>
      <c r="J144" t="s">
        <v>1363</v>
      </c>
      <c r="K144" t="s">
        <v>1353</v>
      </c>
      <c r="L144" t="s">
        <v>1408</v>
      </c>
      <c r="M144" t="s">
        <v>1421</v>
      </c>
      <c r="N144" t="s">
        <v>1422</v>
      </c>
      <c r="O144" t="s">
        <v>1423</v>
      </c>
      <c r="P144" t="s">
        <v>1423</v>
      </c>
      <c r="Q144" t="s">
        <v>1412</v>
      </c>
      <c r="S144" s="1">
        <v>45946</v>
      </c>
      <c r="V144" s="1">
        <v>45939</v>
      </c>
      <c r="W144" s="1">
        <v>34551</v>
      </c>
      <c r="X144" t="s">
        <v>1503</v>
      </c>
      <c r="Y144" t="s">
        <v>1767</v>
      </c>
      <c r="Z144" t="s">
        <v>1414</v>
      </c>
      <c r="AA144" t="s">
        <v>1415</v>
      </c>
      <c r="AB144" t="s">
        <v>779</v>
      </c>
      <c r="AC144">
        <v>31999073104</v>
      </c>
      <c r="AD144" t="str">
        <f>_xlfn.XLOOKUP(F144,'Base de Tutores'!L:L,'Base de Tutores'!F:F)</f>
        <v>NTR</v>
      </c>
    </row>
    <row r="145" spans="1:30" hidden="1" x14ac:dyDescent="0.3">
      <c r="A145" t="s">
        <v>1405</v>
      </c>
      <c r="B145" t="s">
        <v>1406</v>
      </c>
      <c r="C145" t="s">
        <v>1768</v>
      </c>
      <c r="D145">
        <v>6113539113</v>
      </c>
      <c r="E145">
        <v>27359328</v>
      </c>
      <c r="F145">
        <v>1158000540</v>
      </c>
      <c r="G145" s="1">
        <v>45726</v>
      </c>
      <c r="H145" t="s">
        <v>1350</v>
      </c>
      <c r="I145" t="s">
        <v>1349</v>
      </c>
      <c r="J145" t="s">
        <v>1363</v>
      </c>
      <c r="K145" t="s">
        <v>1353</v>
      </c>
      <c r="L145" t="s">
        <v>1408</v>
      </c>
      <c r="M145" t="s">
        <v>1421</v>
      </c>
      <c r="N145" t="s">
        <v>1422</v>
      </c>
      <c r="O145" t="s">
        <v>1423</v>
      </c>
      <c r="P145" t="s">
        <v>1423</v>
      </c>
      <c r="Q145" t="s">
        <v>1412</v>
      </c>
      <c r="S145" s="1">
        <v>46034</v>
      </c>
      <c r="V145" s="1">
        <v>46027</v>
      </c>
      <c r="W145" s="1">
        <v>36333</v>
      </c>
      <c r="X145" t="s">
        <v>1769</v>
      </c>
      <c r="Z145" t="s">
        <v>1414</v>
      </c>
      <c r="AA145" t="s">
        <v>1419</v>
      </c>
      <c r="AB145" t="s">
        <v>1237</v>
      </c>
      <c r="AC145">
        <v>65999548587</v>
      </c>
      <c r="AD145" t="str">
        <f>_xlfn.XLOOKUP(F145,'Base de Tutores'!L:L,'Base de Tutores'!F:F)</f>
        <v>EMF-ISN</v>
      </c>
    </row>
    <row r="146" spans="1:30" hidden="1" x14ac:dyDescent="0.3">
      <c r="A146" t="s">
        <v>1405</v>
      </c>
      <c r="B146" t="s">
        <v>1406</v>
      </c>
      <c r="C146" t="s">
        <v>1770</v>
      </c>
      <c r="D146">
        <v>212153080</v>
      </c>
      <c r="E146">
        <v>8085289497</v>
      </c>
      <c r="F146">
        <v>1158000573</v>
      </c>
      <c r="G146" s="1">
        <v>45735</v>
      </c>
      <c r="H146" t="s">
        <v>1350</v>
      </c>
      <c r="I146" t="s">
        <v>1374</v>
      </c>
      <c r="J146" t="s">
        <v>1427</v>
      </c>
      <c r="K146" t="s">
        <v>1356</v>
      </c>
      <c r="L146" t="s">
        <v>1408</v>
      </c>
      <c r="M146" t="s">
        <v>1409</v>
      </c>
      <c r="N146" t="s">
        <v>1410</v>
      </c>
      <c r="O146" t="s">
        <v>1423</v>
      </c>
      <c r="P146" t="s">
        <v>1423</v>
      </c>
      <c r="Q146" t="s">
        <v>1412</v>
      </c>
      <c r="S146" s="1">
        <v>46043</v>
      </c>
      <c r="W146" s="1">
        <v>30768</v>
      </c>
      <c r="X146" t="s">
        <v>1490</v>
      </c>
      <c r="Z146" t="s">
        <v>1414</v>
      </c>
      <c r="AA146" t="s">
        <v>1419</v>
      </c>
      <c r="AB146" t="s">
        <v>522</v>
      </c>
      <c r="AC146">
        <v>51998971400</v>
      </c>
      <c r="AD146" t="str">
        <f>_xlfn.XLOOKUP(F146,'Base de Tutores'!L:L,'Base de Tutores'!F:F)</f>
        <v>EMF-ISN</v>
      </c>
    </row>
    <row r="147" spans="1:30" hidden="1" x14ac:dyDescent="0.3">
      <c r="A147" t="s">
        <v>1405</v>
      </c>
      <c r="B147" t="s">
        <v>1406</v>
      </c>
      <c r="C147" t="s">
        <v>1771</v>
      </c>
      <c r="D147">
        <v>7027266300</v>
      </c>
      <c r="E147" t="s">
        <v>1772</v>
      </c>
      <c r="F147">
        <v>1158000592</v>
      </c>
      <c r="G147" s="1">
        <v>45763</v>
      </c>
      <c r="H147" t="s">
        <v>1350</v>
      </c>
      <c r="I147" t="s">
        <v>1374</v>
      </c>
      <c r="J147" t="s">
        <v>1363</v>
      </c>
      <c r="K147" t="s">
        <v>1353</v>
      </c>
      <c r="L147" t="s">
        <v>1408</v>
      </c>
      <c r="M147" t="s">
        <v>1421</v>
      </c>
      <c r="N147" t="s">
        <v>1422</v>
      </c>
      <c r="O147" t="s">
        <v>1411</v>
      </c>
      <c r="P147" t="s">
        <v>1411</v>
      </c>
      <c r="Q147" t="s">
        <v>1412</v>
      </c>
      <c r="S147" s="1">
        <v>46043</v>
      </c>
      <c r="W147" s="1">
        <v>35679</v>
      </c>
      <c r="X147" t="s">
        <v>1773</v>
      </c>
      <c r="Z147" t="s">
        <v>1414</v>
      </c>
      <c r="AA147" t="s">
        <v>1415</v>
      </c>
      <c r="AB147" t="s">
        <v>575</v>
      </c>
      <c r="AC147">
        <v>88993474682</v>
      </c>
      <c r="AD147" t="str">
        <f>_xlfn.XLOOKUP(F147,'Base de Tutores'!L:L,'Base de Tutores'!F:F)</f>
        <v>ECE-ENM-ENS-ENG-EEA-GPI-CDE-OBR-SAN-TER-FSA-SLF-QUI</v>
      </c>
    </row>
    <row r="148" spans="1:30" hidden="1" x14ac:dyDescent="0.3">
      <c r="A148" t="s">
        <v>1405</v>
      </c>
      <c r="B148" t="s">
        <v>1406</v>
      </c>
      <c r="C148" t="s">
        <v>1774</v>
      </c>
      <c r="D148">
        <v>3369203260</v>
      </c>
      <c r="E148">
        <v>513743</v>
      </c>
      <c r="F148">
        <v>1158000954</v>
      </c>
      <c r="G148" s="1">
        <v>45901</v>
      </c>
      <c r="H148" t="s">
        <v>1350</v>
      </c>
      <c r="I148" t="s">
        <v>1349</v>
      </c>
      <c r="J148" t="s">
        <v>1363</v>
      </c>
      <c r="K148" t="s">
        <v>1353</v>
      </c>
      <c r="L148" t="s">
        <v>1408</v>
      </c>
      <c r="M148" t="s">
        <v>1409</v>
      </c>
      <c r="N148" t="s">
        <v>1410</v>
      </c>
      <c r="O148" t="s">
        <v>1411</v>
      </c>
      <c r="P148" t="s">
        <v>1411</v>
      </c>
      <c r="Q148" t="s">
        <v>1412</v>
      </c>
      <c r="S148" s="1">
        <v>46057</v>
      </c>
      <c r="V148" s="1">
        <v>46055</v>
      </c>
      <c r="W148" s="1">
        <v>36097</v>
      </c>
      <c r="X148" t="s">
        <v>1775</v>
      </c>
      <c r="Z148" t="s">
        <v>1414</v>
      </c>
      <c r="AA148" t="s">
        <v>1415</v>
      </c>
      <c r="AB148" t="s">
        <v>1052</v>
      </c>
      <c r="AC148">
        <v>96991809566</v>
      </c>
      <c r="AD148" t="str">
        <f>_xlfn.XLOOKUP(F148,'Base de Tutores'!L:L,'Base de Tutores'!F:F)</f>
        <v>BFI</v>
      </c>
    </row>
    <row r="149" spans="1:30" hidden="1" x14ac:dyDescent="0.3">
      <c r="A149" t="s">
        <v>1405</v>
      </c>
      <c r="B149" t="s">
        <v>1406</v>
      </c>
      <c r="C149" t="s">
        <v>1776</v>
      </c>
      <c r="D149">
        <v>2286601224</v>
      </c>
      <c r="E149">
        <v>6761486</v>
      </c>
      <c r="F149">
        <v>1158000887</v>
      </c>
      <c r="G149" s="1">
        <v>45887</v>
      </c>
      <c r="H149" t="s">
        <v>1350</v>
      </c>
      <c r="I149" t="s">
        <v>1374</v>
      </c>
      <c r="J149" t="s">
        <v>1363</v>
      </c>
      <c r="K149" t="s">
        <v>1353</v>
      </c>
      <c r="L149" t="s">
        <v>1408</v>
      </c>
      <c r="M149" t="s">
        <v>1447</v>
      </c>
      <c r="N149" t="s">
        <v>1448</v>
      </c>
      <c r="O149" t="s">
        <v>1411</v>
      </c>
      <c r="P149" t="s">
        <v>1411</v>
      </c>
      <c r="Q149" t="s">
        <v>1412</v>
      </c>
      <c r="S149" s="1">
        <v>46043</v>
      </c>
      <c r="W149" s="1">
        <v>35004</v>
      </c>
      <c r="X149" t="s">
        <v>1492</v>
      </c>
      <c r="Z149" t="s">
        <v>1414</v>
      </c>
      <c r="AA149" t="s">
        <v>1415</v>
      </c>
      <c r="AB149" t="s">
        <v>956</v>
      </c>
      <c r="AC149">
        <v>91981610395</v>
      </c>
      <c r="AD149" t="str">
        <f>_xlfn.XLOOKUP(F149,'Base de Tutores'!L:L,'Base de Tutores'!F:F)</f>
        <v>ECE-ENM-ENS-ENG-EEA-GPI-CDE-OBR-SAN-TER-FSA-SLF-QUI</v>
      </c>
    </row>
    <row r="150" spans="1:30" hidden="1" x14ac:dyDescent="0.3">
      <c r="A150" t="s">
        <v>1405</v>
      </c>
      <c r="B150" t="s">
        <v>1406</v>
      </c>
      <c r="C150" t="s">
        <v>1777</v>
      </c>
      <c r="D150">
        <v>11343687985</v>
      </c>
      <c r="E150">
        <v>7009246</v>
      </c>
      <c r="F150">
        <v>1158000731</v>
      </c>
      <c r="G150" s="1">
        <v>45810</v>
      </c>
      <c r="H150" t="s">
        <v>1350</v>
      </c>
      <c r="I150" t="s">
        <v>1349</v>
      </c>
      <c r="J150" t="s">
        <v>1363</v>
      </c>
      <c r="K150" t="s">
        <v>1353</v>
      </c>
      <c r="L150" t="s">
        <v>1408</v>
      </c>
      <c r="M150" t="s">
        <v>1421</v>
      </c>
      <c r="N150" t="s">
        <v>1422</v>
      </c>
      <c r="O150" t="s">
        <v>1423</v>
      </c>
      <c r="P150" t="s">
        <v>1423</v>
      </c>
      <c r="Q150" t="s">
        <v>1412</v>
      </c>
      <c r="S150" s="1">
        <v>45946</v>
      </c>
      <c r="V150" s="1">
        <v>45944</v>
      </c>
      <c r="W150" s="1">
        <v>36146</v>
      </c>
      <c r="X150" t="s">
        <v>1728</v>
      </c>
      <c r="Z150" t="s">
        <v>1414</v>
      </c>
      <c r="AA150" t="s">
        <v>1415</v>
      </c>
      <c r="AB150" t="s">
        <v>702</v>
      </c>
      <c r="AC150">
        <v>48984767146</v>
      </c>
      <c r="AD150" t="str">
        <f>_xlfn.XLOOKUP(F150,'Base de Tutores'!L:L,'Base de Tutores'!F:F)</f>
        <v>ECE-ENM-ENS-ENG-EEA-GPI-CDE-OBR-SAN-TER-FSA-SLF-QUI</v>
      </c>
    </row>
    <row r="151" spans="1:30" hidden="1" x14ac:dyDescent="0.3">
      <c r="A151" t="s">
        <v>1405</v>
      </c>
      <c r="B151" t="s">
        <v>1406</v>
      </c>
      <c r="C151" t="s">
        <v>1778</v>
      </c>
      <c r="D151">
        <v>3615036018</v>
      </c>
      <c r="E151">
        <v>3615036018</v>
      </c>
      <c r="F151">
        <v>1158000886</v>
      </c>
      <c r="G151" s="1">
        <v>45887</v>
      </c>
      <c r="H151" t="s">
        <v>1350</v>
      </c>
      <c r="I151" t="s">
        <v>1374</v>
      </c>
      <c r="J151" t="s">
        <v>1363</v>
      </c>
      <c r="K151" t="s">
        <v>1353</v>
      </c>
      <c r="L151" t="s">
        <v>1408</v>
      </c>
      <c r="M151" t="s">
        <v>1447</v>
      </c>
      <c r="N151" t="s">
        <v>1448</v>
      </c>
      <c r="O151" t="s">
        <v>1423</v>
      </c>
      <c r="P151" t="s">
        <v>1423</v>
      </c>
      <c r="Q151" t="s">
        <v>1412</v>
      </c>
      <c r="S151" s="1">
        <v>46043</v>
      </c>
      <c r="W151" s="1">
        <v>35409</v>
      </c>
      <c r="X151" t="s">
        <v>1779</v>
      </c>
      <c r="Z151" t="s">
        <v>1414</v>
      </c>
      <c r="AA151" t="s">
        <v>1419</v>
      </c>
      <c r="AB151" t="s">
        <v>958</v>
      </c>
      <c r="AC151">
        <v>55992125687</v>
      </c>
      <c r="AD151" t="str">
        <f>_xlfn.XLOOKUP(F151,'Base de Tutores'!L:L,'Base de Tutores'!F:F)</f>
        <v>ECE-ENM-ENS-ENG-EEA-GPI-CDE-OBR-SAN-TER-FSA-SLF-QUI</v>
      </c>
    </row>
    <row r="152" spans="1:30" x14ac:dyDescent="0.3">
      <c r="A152" t="s">
        <v>1405</v>
      </c>
      <c r="B152" t="s">
        <v>1406</v>
      </c>
      <c r="C152" t="s">
        <v>1780</v>
      </c>
      <c r="D152">
        <v>7800285979</v>
      </c>
      <c r="E152" t="s">
        <v>1781</v>
      </c>
      <c r="F152">
        <v>1158000933</v>
      </c>
      <c r="G152" s="1">
        <v>45901</v>
      </c>
      <c r="H152" t="s">
        <v>1350</v>
      </c>
      <c r="I152" t="s">
        <v>1349</v>
      </c>
      <c r="J152" t="s">
        <v>1363</v>
      </c>
      <c r="K152" t="s">
        <v>1353</v>
      </c>
      <c r="L152" t="s">
        <v>1408</v>
      </c>
      <c r="M152" t="s">
        <v>1447</v>
      </c>
      <c r="N152" t="s">
        <v>1448</v>
      </c>
      <c r="O152" t="s">
        <v>1423</v>
      </c>
      <c r="P152" t="s">
        <v>1423</v>
      </c>
      <c r="Q152" t="s">
        <v>1412</v>
      </c>
      <c r="S152" s="1">
        <v>45937</v>
      </c>
      <c r="V152" s="1">
        <v>45931</v>
      </c>
      <c r="W152" s="1">
        <v>35106</v>
      </c>
      <c r="X152" t="s">
        <v>1782</v>
      </c>
      <c r="Z152" t="s">
        <v>1414</v>
      </c>
      <c r="AA152" t="s">
        <v>1419</v>
      </c>
      <c r="AB152" t="s">
        <v>1017</v>
      </c>
      <c r="AC152">
        <v>41996366079</v>
      </c>
      <c r="AD152" t="str">
        <f>_xlfn.XLOOKUP(F152,'Base de Tutores'!L:L,'Base de Tutores'!F:F)</f>
        <v>BTO</v>
      </c>
    </row>
    <row r="153" spans="1:30" hidden="1" x14ac:dyDescent="0.3">
      <c r="A153" t="s">
        <v>1405</v>
      </c>
      <c r="B153" t="s">
        <v>1406</v>
      </c>
      <c r="C153" t="s">
        <v>1783</v>
      </c>
      <c r="D153">
        <v>4899192193</v>
      </c>
      <c r="E153" t="s">
        <v>1784</v>
      </c>
      <c r="F153">
        <v>1158000575</v>
      </c>
      <c r="G153" s="1">
        <v>45735</v>
      </c>
      <c r="H153" t="s">
        <v>1350</v>
      </c>
      <c r="I153" t="s">
        <v>1374</v>
      </c>
      <c r="J153" t="s">
        <v>1363</v>
      </c>
      <c r="K153" t="s">
        <v>1353</v>
      </c>
      <c r="L153" t="s">
        <v>1408</v>
      </c>
      <c r="M153" t="s">
        <v>1421</v>
      </c>
      <c r="N153" t="s">
        <v>1422</v>
      </c>
      <c r="O153" t="s">
        <v>1411</v>
      </c>
      <c r="P153" t="s">
        <v>1423</v>
      </c>
      <c r="Q153" t="s">
        <v>1412</v>
      </c>
      <c r="S153" s="1">
        <v>46043</v>
      </c>
      <c r="W153" s="1">
        <v>35999</v>
      </c>
      <c r="X153" t="s">
        <v>1785</v>
      </c>
      <c r="Z153" t="s">
        <v>1414</v>
      </c>
      <c r="AA153" t="s">
        <v>1419</v>
      </c>
      <c r="AB153" t="s">
        <v>81</v>
      </c>
      <c r="AC153">
        <v>66992246865</v>
      </c>
      <c r="AD153" t="str">
        <f>_xlfn.XLOOKUP(F153,'Base de Tutores'!L:L,'Base de Tutores'!F:F)</f>
        <v>EMF-ISN</v>
      </c>
    </row>
    <row r="154" spans="1:30" hidden="1" x14ac:dyDescent="0.3">
      <c r="A154" t="s">
        <v>1405</v>
      </c>
      <c r="B154" t="s">
        <v>1406</v>
      </c>
      <c r="C154" t="s">
        <v>1786</v>
      </c>
      <c r="D154">
        <v>3937068007</v>
      </c>
      <c r="E154">
        <v>4124010689</v>
      </c>
      <c r="F154">
        <v>1158001000</v>
      </c>
      <c r="G154" s="1">
        <v>45931</v>
      </c>
      <c r="H154" t="s">
        <v>1350</v>
      </c>
      <c r="I154" t="s">
        <v>1349</v>
      </c>
      <c r="J154" t="s">
        <v>1363</v>
      </c>
      <c r="K154" t="s">
        <v>1353</v>
      </c>
      <c r="L154" t="s">
        <v>1408</v>
      </c>
      <c r="M154" t="s">
        <v>1409</v>
      </c>
      <c r="N154" t="s">
        <v>1410</v>
      </c>
      <c r="O154" t="s">
        <v>1423</v>
      </c>
      <c r="P154" t="s">
        <v>1423</v>
      </c>
      <c r="Q154" t="s">
        <v>1412</v>
      </c>
      <c r="S154" s="1">
        <v>46064</v>
      </c>
      <c r="V154" s="1">
        <v>46059</v>
      </c>
      <c r="W154" s="1">
        <v>36384</v>
      </c>
      <c r="X154" t="s">
        <v>1728</v>
      </c>
      <c r="Z154" t="s">
        <v>1414</v>
      </c>
      <c r="AA154" t="s">
        <v>1419</v>
      </c>
      <c r="AB154" t="s">
        <v>524</v>
      </c>
      <c r="AC154">
        <v>51983145446</v>
      </c>
      <c r="AD154" t="str">
        <f>_xlfn.XLOOKUP(F154,'Base de Tutores'!L:L,'Base de Tutores'!F:F)</f>
        <v>EMF-ISN</v>
      </c>
    </row>
    <row r="155" spans="1:30" hidden="1" x14ac:dyDescent="0.3">
      <c r="A155" t="s">
        <v>1405</v>
      </c>
      <c r="B155" t="s">
        <v>1406</v>
      </c>
      <c r="C155" t="s">
        <v>1787</v>
      </c>
      <c r="D155">
        <v>4470137340</v>
      </c>
      <c r="E155">
        <v>2006015138348</v>
      </c>
      <c r="F155">
        <v>1158000660</v>
      </c>
      <c r="G155" s="1">
        <v>45749</v>
      </c>
      <c r="H155" t="s">
        <v>1350</v>
      </c>
      <c r="I155" t="s">
        <v>1374</v>
      </c>
      <c r="J155" t="s">
        <v>1363</v>
      </c>
      <c r="K155" t="s">
        <v>1353</v>
      </c>
      <c r="L155" t="s">
        <v>1408</v>
      </c>
      <c r="M155" t="s">
        <v>1409</v>
      </c>
      <c r="N155" t="s">
        <v>1410</v>
      </c>
      <c r="O155" t="s">
        <v>1411</v>
      </c>
      <c r="P155" t="s">
        <v>1423</v>
      </c>
      <c r="Q155" t="s">
        <v>1412</v>
      </c>
      <c r="S155" s="1">
        <v>46043</v>
      </c>
      <c r="V155" s="1">
        <v>45944</v>
      </c>
      <c r="W155" s="1">
        <v>35529</v>
      </c>
      <c r="X155" t="s">
        <v>1788</v>
      </c>
      <c r="Z155" t="s">
        <v>1414</v>
      </c>
      <c r="AA155" t="s">
        <v>1419</v>
      </c>
      <c r="AB155" t="s">
        <v>190</v>
      </c>
      <c r="AC155">
        <v>85920004704</v>
      </c>
      <c r="AD155" t="str">
        <f>_xlfn.XLOOKUP(F155,'Base de Tutores'!L:L,'Base de Tutores'!F:F)</f>
        <v>EMF-ISN</v>
      </c>
    </row>
    <row r="156" spans="1:30" hidden="1" x14ac:dyDescent="0.3">
      <c r="A156" t="s">
        <v>1405</v>
      </c>
      <c r="B156" t="s">
        <v>1406</v>
      </c>
      <c r="C156" t="s">
        <v>1789</v>
      </c>
      <c r="D156">
        <v>3210922284</v>
      </c>
      <c r="E156">
        <v>630543</v>
      </c>
      <c r="F156">
        <v>1158001183</v>
      </c>
      <c r="G156" s="1">
        <v>46104</v>
      </c>
      <c r="H156" t="s">
        <v>1350</v>
      </c>
      <c r="I156" t="s">
        <v>1374</v>
      </c>
      <c r="J156" t="s">
        <v>1427</v>
      </c>
      <c r="K156" t="s">
        <v>1356</v>
      </c>
      <c r="L156" t="s">
        <v>1408</v>
      </c>
      <c r="M156" t="s">
        <v>1421</v>
      </c>
      <c r="N156" t="s">
        <v>1422</v>
      </c>
      <c r="O156" t="s">
        <v>1411</v>
      </c>
      <c r="P156" t="s">
        <v>1411</v>
      </c>
      <c r="Q156" t="s">
        <v>1412</v>
      </c>
      <c r="S156" s="1">
        <v>46099</v>
      </c>
      <c r="W156" s="1">
        <v>35889</v>
      </c>
      <c r="X156" t="s">
        <v>1775</v>
      </c>
      <c r="Z156" t="s">
        <v>1414</v>
      </c>
      <c r="AA156" t="s">
        <v>1415</v>
      </c>
      <c r="AB156" t="s">
        <v>1790</v>
      </c>
      <c r="AC156">
        <v>48988241522</v>
      </c>
      <c r="AD156" t="str">
        <f>_xlfn.XLOOKUP(F156,'Base de Tutores'!L:L,'Base de Tutores'!F:F)</f>
        <v>EMF-ISN</v>
      </c>
    </row>
    <row r="157" spans="1:30" hidden="1" x14ac:dyDescent="0.3">
      <c r="A157" t="s">
        <v>1405</v>
      </c>
      <c r="B157" t="s">
        <v>1406</v>
      </c>
      <c r="C157" t="s">
        <v>1791</v>
      </c>
      <c r="D157">
        <v>3284989986</v>
      </c>
      <c r="E157" t="s">
        <v>1792</v>
      </c>
      <c r="F157">
        <v>1158000695</v>
      </c>
      <c r="G157" s="1">
        <v>45754</v>
      </c>
      <c r="H157" t="s">
        <v>1350</v>
      </c>
      <c r="I157" t="s">
        <v>1374</v>
      </c>
      <c r="J157" t="s">
        <v>1363</v>
      </c>
      <c r="K157" t="s">
        <v>1353</v>
      </c>
      <c r="L157" t="s">
        <v>1408</v>
      </c>
      <c r="M157" t="s">
        <v>1409</v>
      </c>
      <c r="N157" t="s">
        <v>1410</v>
      </c>
      <c r="O157" t="s">
        <v>1423</v>
      </c>
      <c r="P157" t="s">
        <v>1423</v>
      </c>
      <c r="Q157" t="s">
        <v>1412</v>
      </c>
      <c r="S157" s="1">
        <v>46043</v>
      </c>
      <c r="W157" s="1">
        <v>30218</v>
      </c>
      <c r="X157" t="s">
        <v>1793</v>
      </c>
      <c r="Y157" t="s">
        <v>1794</v>
      </c>
      <c r="Z157" t="s">
        <v>1414</v>
      </c>
      <c r="AA157" t="s">
        <v>1415</v>
      </c>
      <c r="AB157" t="s">
        <v>1287</v>
      </c>
      <c r="AC157">
        <v>67993502729</v>
      </c>
      <c r="AD157" t="str">
        <f>_xlfn.XLOOKUP(F157,'Base de Tutores'!L:L,'Base de Tutores'!F:F)</f>
        <v>EMF-ISN</v>
      </c>
    </row>
    <row r="158" spans="1:30" hidden="1" x14ac:dyDescent="0.3">
      <c r="A158" t="s">
        <v>1405</v>
      </c>
      <c r="B158" t="s">
        <v>1406</v>
      </c>
      <c r="C158" t="s">
        <v>1795</v>
      </c>
      <c r="D158">
        <v>1117880214</v>
      </c>
      <c r="E158">
        <v>7718101</v>
      </c>
      <c r="F158">
        <v>1158000891</v>
      </c>
      <c r="G158" s="1">
        <v>45887</v>
      </c>
      <c r="H158" t="s">
        <v>1350</v>
      </c>
      <c r="I158" t="s">
        <v>1349</v>
      </c>
      <c r="J158" t="s">
        <v>1363</v>
      </c>
      <c r="K158" t="s">
        <v>1353</v>
      </c>
      <c r="L158" t="s">
        <v>1408</v>
      </c>
      <c r="M158" t="s">
        <v>1421</v>
      </c>
      <c r="N158" t="s">
        <v>1410</v>
      </c>
      <c r="O158" t="s">
        <v>1411</v>
      </c>
      <c r="P158" t="s">
        <v>1411</v>
      </c>
      <c r="Q158" t="s">
        <v>1412</v>
      </c>
      <c r="S158" s="1">
        <v>45933</v>
      </c>
      <c r="V158" s="1">
        <v>45931</v>
      </c>
      <c r="W158" s="1">
        <v>33242</v>
      </c>
      <c r="X158" t="s">
        <v>1796</v>
      </c>
      <c r="Z158" t="s">
        <v>1414</v>
      </c>
      <c r="AA158" t="s">
        <v>1419</v>
      </c>
      <c r="AB158" t="s">
        <v>49</v>
      </c>
      <c r="AC158">
        <v>91992101489</v>
      </c>
      <c r="AD158" t="str">
        <f>_xlfn.XLOOKUP(F158,'Base de Tutores'!L:L,'Base de Tutores'!F:F)</f>
        <v>EMF-ISN</v>
      </c>
    </row>
    <row r="159" spans="1:30" hidden="1" x14ac:dyDescent="0.3">
      <c r="A159" t="s">
        <v>1405</v>
      </c>
      <c r="B159" t="s">
        <v>1406</v>
      </c>
      <c r="C159" t="s">
        <v>1797</v>
      </c>
      <c r="D159">
        <v>6603019973</v>
      </c>
      <c r="E159">
        <v>4372393</v>
      </c>
      <c r="F159">
        <v>1158001033</v>
      </c>
      <c r="G159" s="1">
        <v>45938</v>
      </c>
      <c r="H159" t="s">
        <v>1350</v>
      </c>
      <c r="I159" t="s">
        <v>1374</v>
      </c>
      <c r="J159" t="s">
        <v>1363</v>
      </c>
      <c r="K159" t="s">
        <v>1353</v>
      </c>
      <c r="L159" t="s">
        <v>1408</v>
      </c>
      <c r="M159" t="s">
        <v>1421</v>
      </c>
      <c r="N159" t="s">
        <v>1422</v>
      </c>
      <c r="O159" t="s">
        <v>1411</v>
      </c>
      <c r="P159" t="s">
        <v>1411</v>
      </c>
      <c r="Q159" t="s">
        <v>1412</v>
      </c>
      <c r="S159" s="1">
        <v>46043</v>
      </c>
      <c r="W159" s="1">
        <v>32259</v>
      </c>
      <c r="X159" t="s">
        <v>1676</v>
      </c>
      <c r="Z159" t="s">
        <v>1414</v>
      </c>
      <c r="AA159" t="s">
        <v>1415</v>
      </c>
      <c r="AB159" t="s">
        <v>1183</v>
      </c>
      <c r="AC159">
        <v>47999238014</v>
      </c>
      <c r="AD159" t="str">
        <f>_xlfn.XLOOKUP(F159,'Base de Tutores'!L:L,'Base de Tutores'!F:F)</f>
        <v>BAU</v>
      </c>
    </row>
    <row r="160" spans="1:30" hidden="1" x14ac:dyDescent="0.3">
      <c r="A160" t="s">
        <v>1405</v>
      </c>
      <c r="B160" t="s">
        <v>1406</v>
      </c>
      <c r="C160" t="s">
        <v>1798</v>
      </c>
      <c r="D160">
        <v>57286388134</v>
      </c>
      <c r="E160">
        <v>686965</v>
      </c>
      <c r="F160">
        <v>1158000870</v>
      </c>
      <c r="G160" s="1">
        <v>45882</v>
      </c>
      <c r="H160" t="s">
        <v>1350</v>
      </c>
      <c r="I160" t="s">
        <v>1374</v>
      </c>
      <c r="J160" t="s">
        <v>1363</v>
      </c>
      <c r="K160" t="s">
        <v>1353</v>
      </c>
      <c r="L160" t="s">
        <v>1408</v>
      </c>
      <c r="M160" t="s">
        <v>1442</v>
      </c>
      <c r="N160" t="s">
        <v>1443</v>
      </c>
      <c r="O160" t="s">
        <v>1423</v>
      </c>
      <c r="P160" t="s">
        <v>1423</v>
      </c>
      <c r="Q160" t="s">
        <v>1412</v>
      </c>
      <c r="S160" s="1">
        <v>46043</v>
      </c>
      <c r="W160" s="1">
        <v>27017</v>
      </c>
      <c r="X160" t="s">
        <v>1799</v>
      </c>
      <c r="Z160" t="s">
        <v>1414</v>
      </c>
      <c r="AA160" t="s">
        <v>1419</v>
      </c>
      <c r="AB160" t="s">
        <v>899</v>
      </c>
      <c r="AC160">
        <v>67992112621</v>
      </c>
      <c r="AD160" t="str">
        <f>_xlfn.XLOOKUP(F160,'Base de Tutores'!L:L,'Base de Tutores'!F:F)</f>
        <v>BFR</v>
      </c>
    </row>
    <row r="161" spans="1:30" hidden="1" x14ac:dyDescent="0.3">
      <c r="A161" t="s">
        <v>1405</v>
      </c>
      <c r="B161" t="s">
        <v>1406</v>
      </c>
      <c r="C161" t="s">
        <v>1800</v>
      </c>
      <c r="D161">
        <v>2097040209</v>
      </c>
      <c r="E161">
        <v>8502656</v>
      </c>
      <c r="F161">
        <v>1158001138</v>
      </c>
      <c r="G161" s="1">
        <v>46084</v>
      </c>
      <c r="H161" t="s">
        <v>1350</v>
      </c>
      <c r="I161" t="s">
        <v>1374</v>
      </c>
      <c r="J161" t="s">
        <v>1363</v>
      </c>
      <c r="K161" t="s">
        <v>1353</v>
      </c>
      <c r="L161" t="s">
        <v>1408</v>
      </c>
      <c r="M161" t="s">
        <v>1421</v>
      </c>
      <c r="N161" t="s">
        <v>1422</v>
      </c>
      <c r="O161" t="s">
        <v>1411</v>
      </c>
      <c r="P161" t="s">
        <v>1411</v>
      </c>
      <c r="Q161" t="s">
        <v>1412</v>
      </c>
      <c r="S161" s="1">
        <v>46085</v>
      </c>
      <c r="W161" s="1">
        <v>34396</v>
      </c>
      <c r="X161" t="s">
        <v>1492</v>
      </c>
      <c r="Z161" t="s">
        <v>1495</v>
      </c>
      <c r="AA161" t="s">
        <v>1419</v>
      </c>
      <c r="AB161" t="s">
        <v>1278</v>
      </c>
      <c r="AC161">
        <v>47996535961</v>
      </c>
      <c r="AD161" t="str">
        <f>_xlfn.XLOOKUP(F161,'Base de Tutores'!L:L,'Base de Tutores'!F:F)</f>
        <v>BFR</v>
      </c>
    </row>
    <row r="162" spans="1:30" hidden="1" x14ac:dyDescent="0.3">
      <c r="A162" t="s">
        <v>1405</v>
      </c>
      <c r="B162" t="s">
        <v>1406</v>
      </c>
      <c r="C162" t="s">
        <v>1801</v>
      </c>
      <c r="D162">
        <v>8494841971</v>
      </c>
      <c r="E162">
        <v>8494841971</v>
      </c>
      <c r="F162">
        <v>1158000970</v>
      </c>
      <c r="G162" s="1">
        <v>45915</v>
      </c>
      <c r="H162" t="s">
        <v>1350</v>
      </c>
      <c r="I162" t="s">
        <v>1349</v>
      </c>
      <c r="J162" t="s">
        <v>1363</v>
      </c>
      <c r="K162" t="s">
        <v>1353</v>
      </c>
      <c r="L162" t="s">
        <v>1408</v>
      </c>
      <c r="M162" t="s">
        <v>1646</v>
      </c>
      <c r="N162" t="s">
        <v>1647</v>
      </c>
      <c r="O162" t="s">
        <v>1411</v>
      </c>
      <c r="P162" t="s">
        <v>1411</v>
      </c>
      <c r="Q162" t="s">
        <v>1412</v>
      </c>
      <c r="S162" s="1">
        <v>45943</v>
      </c>
      <c r="V162" s="1">
        <v>45938</v>
      </c>
      <c r="W162" s="1">
        <v>33778</v>
      </c>
      <c r="X162" t="s">
        <v>1714</v>
      </c>
      <c r="Z162" t="s">
        <v>1414</v>
      </c>
      <c r="AA162" t="s">
        <v>1419</v>
      </c>
      <c r="AB162" t="s">
        <v>1091</v>
      </c>
      <c r="AC162">
        <v>49999060432</v>
      </c>
      <c r="AD162" t="str">
        <f>_xlfn.XLOOKUP(F162,'Base de Tutores'!L:L,'Base de Tutores'!F:F)</f>
        <v>AGM</v>
      </c>
    </row>
    <row r="163" spans="1:30" hidden="1" x14ac:dyDescent="0.3">
      <c r="A163" t="s">
        <v>1405</v>
      </c>
      <c r="B163" t="s">
        <v>1406</v>
      </c>
      <c r="C163" t="s">
        <v>1802</v>
      </c>
      <c r="D163">
        <v>17091286740</v>
      </c>
      <c r="E163" t="s">
        <v>1803</v>
      </c>
      <c r="F163">
        <v>1158000668</v>
      </c>
      <c r="G163" s="1">
        <v>45749</v>
      </c>
      <c r="H163" t="s">
        <v>1350</v>
      </c>
      <c r="I163" t="s">
        <v>1374</v>
      </c>
      <c r="J163" s="4">
        <v>4.166666666666667</v>
      </c>
      <c r="K163" t="s">
        <v>1363</v>
      </c>
      <c r="L163" t="s">
        <v>1408</v>
      </c>
      <c r="M163" t="s">
        <v>1421</v>
      </c>
      <c r="N163" t="s">
        <v>1422</v>
      </c>
      <c r="O163" t="s">
        <v>1411</v>
      </c>
      <c r="P163" t="s">
        <v>1411</v>
      </c>
      <c r="Q163" t="s">
        <v>1412</v>
      </c>
      <c r="S163" s="1">
        <v>46043</v>
      </c>
      <c r="W163" s="1">
        <v>35951</v>
      </c>
      <c r="X163" t="s">
        <v>1721</v>
      </c>
      <c r="Z163" t="s">
        <v>1414</v>
      </c>
      <c r="AA163" t="s">
        <v>1419</v>
      </c>
      <c r="AB163" t="s">
        <v>695</v>
      </c>
      <c r="AC163">
        <v>21979431767</v>
      </c>
      <c r="AD163" t="str">
        <f>_xlfn.XLOOKUP(F163,'Base de Tutores'!L:L,'Base de Tutores'!F:F)</f>
        <v>EMF-ISN</v>
      </c>
    </row>
    <row r="164" spans="1:30" hidden="1" x14ac:dyDescent="0.3">
      <c r="A164" t="s">
        <v>1405</v>
      </c>
      <c r="B164" t="s">
        <v>1406</v>
      </c>
      <c r="C164" t="s">
        <v>1804</v>
      </c>
      <c r="D164">
        <v>7421586911</v>
      </c>
      <c r="E164">
        <v>574830352</v>
      </c>
      <c r="F164">
        <v>1158001235</v>
      </c>
      <c r="G164" s="1">
        <v>46146</v>
      </c>
      <c r="H164" t="s">
        <v>1350</v>
      </c>
      <c r="I164" t="s">
        <v>1805</v>
      </c>
      <c r="J164" t="s">
        <v>1363</v>
      </c>
      <c r="K164" t="s">
        <v>1353</v>
      </c>
      <c r="L164" t="s">
        <v>1408</v>
      </c>
      <c r="M164" t="s">
        <v>1447</v>
      </c>
      <c r="O164" t="s">
        <v>1423</v>
      </c>
      <c r="Q164" t="s">
        <v>1412</v>
      </c>
      <c r="S164" s="1">
        <v>46135</v>
      </c>
      <c r="W164" s="1">
        <v>35415</v>
      </c>
      <c r="X164" t="s">
        <v>1799</v>
      </c>
      <c r="AA164" t="s">
        <v>1419</v>
      </c>
      <c r="AB164" t="s">
        <v>1806</v>
      </c>
      <c r="AC164">
        <v>18997261696</v>
      </c>
      <c r="AD164" t="e">
        <f>_xlfn.XLOOKUP(F164,'Base de Tutores'!L:L,'Base de Tutores'!F:F)</f>
        <v>#N/A</v>
      </c>
    </row>
    <row r="165" spans="1:30" hidden="1" x14ac:dyDescent="0.3">
      <c r="A165" t="s">
        <v>1405</v>
      </c>
      <c r="B165" t="s">
        <v>1406</v>
      </c>
      <c r="C165" t="s">
        <v>1807</v>
      </c>
      <c r="D165">
        <v>3157115073</v>
      </c>
      <c r="E165" t="s">
        <v>1808</v>
      </c>
      <c r="F165">
        <v>1158000701</v>
      </c>
      <c r="G165" s="1">
        <v>45756</v>
      </c>
      <c r="H165" t="s">
        <v>1350</v>
      </c>
      <c r="I165" t="s">
        <v>1349</v>
      </c>
      <c r="J165" t="s">
        <v>1427</v>
      </c>
      <c r="K165" t="s">
        <v>1356</v>
      </c>
      <c r="L165" t="s">
        <v>1408</v>
      </c>
      <c r="M165" t="s">
        <v>1421</v>
      </c>
      <c r="N165" t="s">
        <v>1422</v>
      </c>
      <c r="O165" t="s">
        <v>1423</v>
      </c>
      <c r="P165" t="s">
        <v>1417</v>
      </c>
      <c r="Q165" t="s">
        <v>1412</v>
      </c>
      <c r="S165" s="1">
        <v>45845</v>
      </c>
      <c r="V165" s="1">
        <v>45845</v>
      </c>
      <c r="W165" s="1">
        <v>34187</v>
      </c>
      <c r="X165" t="s">
        <v>1485</v>
      </c>
      <c r="Z165" t="s">
        <v>1414</v>
      </c>
      <c r="AA165" t="s">
        <v>1419</v>
      </c>
      <c r="AB165" t="s">
        <v>1809</v>
      </c>
      <c r="AC165">
        <v>51992176464</v>
      </c>
      <c r="AD165" t="str">
        <f>_xlfn.XLOOKUP(F165,'Base de Tutores'!L:L,'Base de Tutores'!F:F)</f>
        <v>ECE-ENM-ENS-ENG-EEA-GPI-CDE-OBR-SAN-TER-FSA-SLF-QUI</v>
      </c>
    </row>
    <row r="166" spans="1:30" hidden="1" x14ac:dyDescent="0.3">
      <c r="A166" t="s">
        <v>1405</v>
      </c>
      <c r="B166" t="s">
        <v>1406</v>
      </c>
      <c r="C166" t="s">
        <v>1810</v>
      </c>
      <c r="D166">
        <v>10932132480</v>
      </c>
      <c r="E166">
        <v>8946761</v>
      </c>
      <c r="F166">
        <v>1158000599</v>
      </c>
      <c r="G166" s="1">
        <v>45770</v>
      </c>
      <c r="H166" t="s">
        <v>1350</v>
      </c>
      <c r="I166" t="s">
        <v>1374</v>
      </c>
      <c r="J166" t="s">
        <v>1363</v>
      </c>
      <c r="K166" t="s">
        <v>1353</v>
      </c>
      <c r="L166" t="s">
        <v>1408</v>
      </c>
      <c r="M166" t="s">
        <v>1409</v>
      </c>
      <c r="N166" t="s">
        <v>1410</v>
      </c>
      <c r="O166" t="s">
        <v>1462</v>
      </c>
      <c r="P166" t="s">
        <v>1462</v>
      </c>
      <c r="Q166" t="s">
        <v>1412</v>
      </c>
      <c r="S166" s="1">
        <v>46043</v>
      </c>
      <c r="W166" s="1">
        <v>35417</v>
      </c>
      <c r="X166" t="s">
        <v>1811</v>
      </c>
      <c r="Z166" t="s">
        <v>1414</v>
      </c>
      <c r="AA166" t="s">
        <v>1415</v>
      </c>
      <c r="AB166" t="s">
        <v>676</v>
      </c>
      <c r="AC166">
        <v>81996603911</v>
      </c>
      <c r="AD166" t="str">
        <f>_xlfn.XLOOKUP(F166,'Base de Tutores'!L:L,'Base de Tutores'!F:F)</f>
        <v>EMF-ISN</v>
      </c>
    </row>
    <row r="167" spans="1:30" hidden="1" x14ac:dyDescent="0.3">
      <c r="A167" t="s">
        <v>1405</v>
      </c>
      <c r="B167" t="s">
        <v>1406</v>
      </c>
      <c r="C167" t="s">
        <v>1812</v>
      </c>
      <c r="D167">
        <v>5715850355</v>
      </c>
      <c r="E167" t="s">
        <v>1813</v>
      </c>
      <c r="F167">
        <v>1158000854</v>
      </c>
      <c r="G167" s="1">
        <v>45880</v>
      </c>
      <c r="H167" t="s">
        <v>1350</v>
      </c>
      <c r="I167" t="s">
        <v>1349</v>
      </c>
      <c r="J167" t="s">
        <v>1363</v>
      </c>
      <c r="K167" t="s">
        <v>1353</v>
      </c>
      <c r="L167" t="s">
        <v>1408</v>
      </c>
      <c r="M167" t="s">
        <v>1409</v>
      </c>
      <c r="N167" t="s">
        <v>1410</v>
      </c>
      <c r="O167" t="s">
        <v>1423</v>
      </c>
      <c r="P167" t="s">
        <v>1423</v>
      </c>
      <c r="Q167" t="s">
        <v>1412</v>
      </c>
      <c r="S167" s="1">
        <v>46045</v>
      </c>
      <c r="V167" s="1">
        <v>46042</v>
      </c>
      <c r="W167" s="1">
        <v>34594</v>
      </c>
      <c r="X167" t="s">
        <v>1814</v>
      </c>
      <c r="Z167" t="s">
        <v>1414</v>
      </c>
      <c r="AA167" t="s">
        <v>1415</v>
      </c>
      <c r="AB167" t="s">
        <v>889</v>
      </c>
      <c r="AC167">
        <v>89988060988</v>
      </c>
      <c r="AD167" t="str">
        <f>_xlfn.XLOOKUP(F167,'Base de Tutores'!L:L,'Base de Tutores'!F:F)</f>
        <v>BFR</v>
      </c>
    </row>
    <row r="168" spans="1:30" hidden="1" x14ac:dyDescent="0.3">
      <c r="A168" t="s">
        <v>1405</v>
      </c>
      <c r="B168" t="s">
        <v>1406</v>
      </c>
      <c r="C168" t="s">
        <v>1815</v>
      </c>
      <c r="D168">
        <v>5063657940</v>
      </c>
      <c r="E168" t="s">
        <v>1816</v>
      </c>
      <c r="F168">
        <v>1158000924</v>
      </c>
      <c r="G168" s="1">
        <v>45889</v>
      </c>
      <c r="H168" t="s">
        <v>1350</v>
      </c>
      <c r="I168" t="s">
        <v>1349</v>
      </c>
      <c r="J168" t="s">
        <v>1363</v>
      </c>
      <c r="K168" t="s">
        <v>1353</v>
      </c>
      <c r="L168" t="s">
        <v>1408</v>
      </c>
      <c r="M168" t="s">
        <v>1421</v>
      </c>
      <c r="N168" t="s">
        <v>1422</v>
      </c>
      <c r="O168" t="s">
        <v>1411</v>
      </c>
      <c r="P168" t="s">
        <v>1411</v>
      </c>
      <c r="Q168" t="s">
        <v>1412</v>
      </c>
      <c r="S168" s="1">
        <v>45943</v>
      </c>
      <c r="V168" s="1">
        <v>45938</v>
      </c>
      <c r="W168" s="1">
        <v>31434</v>
      </c>
      <c r="X168" t="s">
        <v>1817</v>
      </c>
      <c r="Z168" t="s">
        <v>1414</v>
      </c>
      <c r="AA168" t="s">
        <v>1415</v>
      </c>
      <c r="AB168" t="s">
        <v>982</v>
      </c>
      <c r="AC168">
        <v>41999194841</v>
      </c>
      <c r="AD168" t="str">
        <f>_xlfn.XLOOKUP(F168,'Base de Tutores'!L:L,'Base de Tutores'!F:F)</f>
        <v>BFR</v>
      </c>
    </row>
    <row r="169" spans="1:30" hidden="1" x14ac:dyDescent="0.3">
      <c r="A169" t="s">
        <v>1405</v>
      </c>
      <c r="B169" t="s">
        <v>1406</v>
      </c>
      <c r="C169" t="s">
        <v>1818</v>
      </c>
      <c r="D169">
        <v>2957225255</v>
      </c>
      <c r="E169">
        <v>6397912</v>
      </c>
      <c r="F169">
        <v>1158000677</v>
      </c>
      <c r="G169" s="1">
        <v>45754</v>
      </c>
      <c r="H169" t="s">
        <v>1350</v>
      </c>
      <c r="I169" t="s">
        <v>1374</v>
      </c>
      <c r="J169" t="s">
        <v>1427</v>
      </c>
      <c r="K169" t="s">
        <v>1356</v>
      </c>
      <c r="L169" t="s">
        <v>1408</v>
      </c>
      <c r="M169" t="s">
        <v>1421</v>
      </c>
      <c r="N169" t="s">
        <v>1422</v>
      </c>
      <c r="O169" t="s">
        <v>1411</v>
      </c>
      <c r="P169" t="s">
        <v>1411</v>
      </c>
      <c r="Q169" t="s">
        <v>1412</v>
      </c>
      <c r="S169" s="1">
        <v>46118</v>
      </c>
      <c r="T169" s="1">
        <v>45961</v>
      </c>
      <c r="U169" s="1">
        <v>46080</v>
      </c>
      <c r="W169" s="1">
        <v>34394</v>
      </c>
      <c r="X169" t="s">
        <v>1492</v>
      </c>
      <c r="Z169" t="s">
        <v>1414</v>
      </c>
      <c r="AA169" t="s">
        <v>1419</v>
      </c>
      <c r="AB169" t="s">
        <v>627</v>
      </c>
      <c r="AC169">
        <v>91985593411</v>
      </c>
      <c r="AD169" t="str">
        <f>_xlfn.XLOOKUP(F169,'Base de Tutores'!L:L,'Base de Tutores'!F:F)</f>
        <v>EMF-ISN</v>
      </c>
    </row>
    <row r="170" spans="1:30" hidden="1" x14ac:dyDescent="0.3">
      <c r="A170" t="s">
        <v>1405</v>
      </c>
      <c r="B170" t="s">
        <v>1406</v>
      </c>
      <c r="C170" t="s">
        <v>1819</v>
      </c>
      <c r="D170">
        <v>7475226930</v>
      </c>
      <c r="E170">
        <v>5339511</v>
      </c>
      <c r="F170">
        <v>1158001011</v>
      </c>
      <c r="G170" s="1">
        <v>45931</v>
      </c>
      <c r="H170" t="s">
        <v>1350</v>
      </c>
      <c r="I170" t="s">
        <v>1349</v>
      </c>
      <c r="J170" t="s">
        <v>1427</v>
      </c>
      <c r="K170" t="s">
        <v>1356</v>
      </c>
      <c r="L170" t="s">
        <v>1408</v>
      </c>
      <c r="M170" t="s">
        <v>1409</v>
      </c>
      <c r="N170" t="s">
        <v>1410</v>
      </c>
      <c r="O170" t="s">
        <v>1423</v>
      </c>
      <c r="P170" t="s">
        <v>1423</v>
      </c>
      <c r="Q170" t="s">
        <v>1412</v>
      </c>
      <c r="S170" s="1">
        <v>45986</v>
      </c>
      <c r="V170" s="1">
        <v>45990</v>
      </c>
      <c r="W170" s="1">
        <v>35110</v>
      </c>
      <c r="X170" t="s">
        <v>1820</v>
      </c>
      <c r="Z170" t="s">
        <v>1414</v>
      </c>
      <c r="AA170" t="s">
        <v>1419</v>
      </c>
      <c r="AB170" t="s">
        <v>1120</v>
      </c>
      <c r="AC170">
        <v>48996065046</v>
      </c>
      <c r="AD170" t="str">
        <f>_xlfn.XLOOKUP(F170,'Base de Tutores'!L:L,'Base de Tutores'!F:F)</f>
        <v>BFR</v>
      </c>
    </row>
    <row r="171" spans="1:30" hidden="1" x14ac:dyDescent="0.3">
      <c r="A171" t="s">
        <v>1405</v>
      </c>
      <c r="B171" t="s">
        <v>1406</v>
      </c>
      <c r="C171" t="s">
        <v>1821</v>
      </c>
      <c r="D171">
        <v>5883165559</v>
      </c>
      <c r="E171">
        <v>1276333919</v>
      </c>
      <c r="F171">
        <v>1158001071</v>
      </c>
      <c r="G171" s="1">
        <v>45978</v>
      </c>
      <c r="H171" t="s">
        <v>1350</v>
      </c>
      <c r="I171" t="s">
        <v>1374</v>
      </c>
      <c r="J171" t="s">
        <v>1363</v>
      </c>
      <c r="K171" t="s">
        <v>1353</v>
      </c>
      <c r="L171" t="s">
        <v>1408</v>
      </c>
      <c r="M171" t="s">
        <v>1421</v>
      </c>
      <c r="N171" t="s">
        <v>1422</v>
      </c>
      <c r="O171" t="s">
        <v>1411</v>
      </c>
      <c r="P171" t="s">
        <v>1411</v>
      </c>
      <c r="Q171" t="s">
        <v>1412</v>
      </c>
      <c r="S171" s="1">
        <v>46043</v>
      </c>
      <c r="W171" s="1">
        <v>34651</v>
      </c>
      <c r="X171" t="s">
        <v>1430</v>
      </c>
      <c r="Z171" t="s">
        <v>1414</v>
      </c>
      <c r="AA171" t="s">
        <v>1419</v>
      </c>
      <c r="AB171" t="s">
        <v>1253</v>
      </c>
      <c r="AC171">
        <v>71982108461</v>
      </c>
      <c r="AD171" t="str">
        <f>_xlfn.XLOOKUP(F171,'Base de Tutores'!L:L,'Base de Tutores'!F:F)</f>
        <v>BFI</v>
      </c>
    </row>
    <row r="172" spans="1:30" hidden="1" x14ac:dyDescent="0.3">
      <c r="A172" t="s">
        <v>1405</v>
      </c>
      <c r="B172" t="s">
        <v>1406</v>
      </c>
      <c r="C172" t="s">
        <v>1822</v>
      </c>
      <c r="D172">
        <v>92338097300</v>
      </c>
      <c r="E172">
        <v>92338097300</v>
      </c>
      <c r="F172">
        <v>1158000553</v>
      </c>
      <c r="G172" s="1">
        <v>45733</v>
      </c>
      <c r="H172" t="s">
        <v>1350</v>
      </c>
      <c r="I172" t="s">
        <v>1374</v>
      </c>
      <c r="J172" t="s">
        <v>1363</v>
      </c>
      <c r="K172" t="s">
        <v>1353</v>
      </c>
      <c r="L172" t="s">
        <v>1408</v>
      </c>
      <c r="M172" t="s">
        <v>1447</v>
      </c>
      <c r="N172" t="s">
        <v>1448</v>
      </c>
      <c r="O172" t="s">
        <v>1462</v>
      </c>
      <c r="P172" t="s">
        <v>1462</v>
      </c>
      <c r="Q172" t="s">
        <v>1412</v>
      </c>
      <c r="S172" s="1">
        <v>46043</v>
      </c>
      <c r="W172" s="1">
        <v>29202</v>
      </c>
      <c r="X172" t="s">
        <v>1519</v>
      </c>
      <c r="Y172" t="s">
        <v>1823</v>
      </c>
      <c r="Z172" t="s">
        <v>1414</v>
      </c>
      <c r="AA172" t="s">
        <v>1419</v>
      </c>
      <c r="AB172" t="s">
        <v>85</v>
      </c>
      <c r="AC172">
        <v>98988183281</v>
      </c>
      <c r="AD172" t="str">
        <f>_xlfn.XLOOKUP(F172,'Base de Tutores'!L:L,'Base de Tutores'!F:F)</f>
        <v>EMF-ISN</v>
      </c>
    </row>
    <row r="173" spans="1:30" hidden="1" x14ac:dyDescent="0.3">
      <c r="A173" t="s">
        <v>1405</v>
      </c>
      <c r="B173" t="s">
        <v>1406</v>
      </c>
      <c r="C173" t="s">
        <v>1824</v>
      </c>
      <c r="D173">
        <v>33655979215</v>
      </c>
      <c r="E173">
        <v>212850220</v>
      </c>
      <c r="F173">
        <v>1158000684</v>
      </c>
      <c r="G173" s="1">
        <v>45754</v>
      </c>
      <c r="H173" t="s">
        <v>1350</v>
      </c>
      <c r="I173" t="s">
        <v>1349</v>
      </c>
      <c r="J173" t="s">
        <v>1363</v>
      </c>
      <c r="K173" t="s">
        <v>1353</v>
      </c>
      <c r="L173" t="s">
        <v>1408</v>
      </c>
      <c r="M173" t="s">
        <v>1409</v>
      </c>
      <c r="N173" t="s">
        <v>1410</v>
      </c>
      <c r="O173" t="s">
        <v>1411</v>
      </c>
      <c r="P173" t="s">
        <v>1411</v>
      </c>
      <c r="Q173" t="s">
        <v>1412</v>
      </c>
      <c r="S173" s="1">
        <v>46044</v>
      </c>
      <c r="V173" s="1">
        <v>46041</v>
      </c>
      <c r="W173" s="1">
        <v>26940</v>
      </c>
      <c r="X173" t="s">
        <v>1825</v>
      </c>
      <c r="Z173" t="s">
        <v>1414</v>
      </c>
      <c r="AA173" t="s">
        <v>1415</v>
      </c>
      <c r="AB173" t="s">
        <v>518</v>
      </c>
      <c r="AC173">
        <v>92996010982</v>
      </c>
      <c r="AD173" t="str">
        <f>_xlfn.XLOOKUP(F173,'Base de Tutores'!L:L,'Base de Tutores'!F:F)</f>
        <v>ECE-ENM-ENS-ENG-EEA-GPI-CDE-OBR-SAN-TER-FSA-SLF-QUI</v>
      </c>
    </row>
    <row r="174" spans="1:30" hidden="1" x14ac:dyDescent="0.3">
      <c r="A174" t="s">
        <v>1405</v>
      </c>
      <c r="B174" t="s">
        <v>1406</v>
      </c>
      <c r="C174" t="s">
        <v>1826</v>
      </c>
      <c r="D174">
        <v>12572609797</v>
      </c>
      <c r="E174">
        <v>12572609797</v>
      </c>
      <c r="F174">
        <v>1158000874</v>
      </c>
      <c r="G174" s="1">
        <v>45882</v>
      </c>
      <c r="H174" t="s">
        <v>1350</v>
      </c>
      <c r="I174" t="s">
        <v>1349</v>
      </c>
      <c r="J174" t="s">
        <v>1363</v>
      </c>
      <c r="K174" t="s">
        <v>1353</v>
      </c>
      <c r="L174" t="s">
        <v>1408</v>
      </c>
      <c r="M174" t="s">
        <v>1447</v>
      </c>
      <c r="N174" t="s">
        <v>1448</v>
      </c>
      <c r="O174" t="s">
        <v>1462</v>
      </c>
      <c r="P174" t="s">
        <v>1462</v>
      </c>
      <c r="Q174" t="s">
        <v>1412</v>
      </c>
      <c r="S174" s="1">
        <v>46045</v>
      </c>
      <c r="V174" s="1">
        <v>46043</v>
      </c>
      <c r="W174" s="1">
        <v>33430</v>
      </c>
      <c r="X174" t="s">
        <v>1827</v>
      </c>
      <c r="Z174" t="s">
        <v>1414</v>
      </c>
      <c r="AA174" t="s">
        <v>1415</v>
      </c>
      <c r="AB174" t="s">
        <v>913</v>
      </c>
      <c r="AC174">
        <v>22997820324</v>
      </c>
      <c r="AD174" t="str">
        <f>_xlfn.XLOOKUP(F174,'Base de Tutores'!L:L,'Base de Tutores'!F:F)</f>
        <v>BFR</v>
      </c>
    </row>
    <row r="175" spans="1:30" hidden="1" x14ac:dyDescent="0.3">
      <c r="A175" t="s">
        <v>1405</v>
      </c>
      <c r="B175" t="s">
        <v>1406</v>
      </c>
      <c r="C175" t="s">
        <v>1828</v>
      </c>
      <c r="D175">
        <v>793478278</v>
      </c>
      <c r="E175">
        <v>5843685</v>
      </c>
      <c r="F175">
        <v>1158000894</v>
      </c>
      <c r="G175" s="1">
        <v>45887</v>
      </c>
      <c r="H175" t="s">
        <v>1350</v>
      </c>
      <c r="I175" t="s">
        <v>1349</v>
      </c>
      <c r="J175" t="s">
        <v>1363</v>
      </c>
      <c r="K175" t="s">
        <v>1353</v>
      </c>
      <c r="L175" t="s">
        <v>1408</v>
      </c>
      <c r="M175" t="s">
        <v>1447</v>
      </c>
      <c r="N175" t="s">
        <v>1448</v>
      </c>
      <c r="O175" t="s">
        <v>1411</v>
      </c>
      <c r="P175" t="s">
        <v>1411</v>
      </c>
      <c r="Q175" t="s">
        <v>1412</v>
      </c>
      <c r="S175" s="1">
        <v>45943</v>
      </c>
      <c r="V175" s="1">
        <v>45938</v>
      </c>
      <c r="W175" s="1">
        <v>32656</v>
      </c>
      <c r="X175" t="s">
        <v>1492</v>
      </c>
      <c r="Z175" t="s">
        <v>1414</v>
      </c>
      <c r="AA175" t="s">
        <v>1415</v>
      </c>
      <c r="AB175" t="s">
        <v>936</v>
      </c>
      <c r="AC175">
        <v>91981011445</v>
      </c>
      <c r="AD175" t="str">
        <f>_xlfn.XLOOKUP(F175,'Base de Tutores'!L:L,'Base de Tutores'!F:F)</f>
        <v>AGM</v>
      </c>
    </row>
    <row r="176" spans="1:30" hidden="1" x14ac:dyDescent="0.3">
      <c r="A176" t="s">
        <v>1405</v>
      </c>
      <c r="B176" t="s">
        <v>1406</v>
      </c>
      <c r="C176" t="s">
        <v>1829</v>
      </c>
      <c r="D176">
        <v>26946896807</v>
      </c>
      <c r="E176">
        <v>306852500</v>
      </c>
      <c r="F176">
        <v>1158001220</v>
      </c>
      <c r="G176" s="1">
        <v>46125</v>
      </c>
      <c r="H176" t="s">
        <v>1350</v>
      </c>
      <c r="I176" t="s">
        <v>1374</v>
      </c>
      <c r="J176" t="s">
        <v>1363</v>
      </c>
      <c r="K176" t="s">
        <v>1353</v>
      </c>
      <c r="L176" t="s">
        <v>1408</v>
      </c>
      <c r="M176" t="s">
        <v>1409</v>
      </c>
      <c r="N176" t="s">
        <v>1410</v>
      </c>
      <c r="O176" t="s">
        <v>1423</v>
      </c>
      <c r="P176" t="s">
        <v>1423</v>
      </c>
      <c r="Q176" t="s">
        <v>1412</v>
      </c>
      <c r="S176" s="1">
        <v>46121</v>
      </c>
      <c r="W176" s="1">
        <v>28648</v>
      </c>
      <c r="X176" t="s">
        <v>1830</v>
      </c>
      <c r="AA176" t="s">
        <v>1419</v>
      </c>
      <c r="AB176" t="s">
        <v>1831</v>
      </c>
      <c r="AC176">
        <v>11996640045</v>
      </c>
      <c r="AD176" t="str">
        <f>_xlfn.XLOOKUP(F176,'Base de Tutores'!L:L,'Base de Tutores'!F:F)</f>
        <v>BFR</v>
      </c>
    </row>
    <row r="177" spans="1:30" hidden="1" x14ac:dyDescent="0.3">
      <c r="A177" t="s">
        <v>1405</v>
      </c>
      <c r="B177" t="s">
        <v>1406</v>
      </c>
      <c r="C177" t="s">
        <v>1832</v>
      </c>
      <c r="D177">
        <v>5859896999</v>
      </c>
      <c r="E177">
        <v>97242640</v>
      </c>
      <c r="F177">
        <v>1158001035</v>
      </c>
      <c r="G177" s="1">
        <v>45938</v>
      </c>
      <c r="H177" t="s">
        <v>1350</v>
      </c>
      <c r="I177" t="s">
        <v>1349</v>
      </c>
      <c r="J177" t="s">
        <v>1363</v>
      </c>
      <c r="K177" t="s">
        <v>1353</v>
      </c>
      <c r="L177" t="s">
        <v>1408</v>
      </c>
      <c r="M177" t="s">
        <v>1409</v>
      </c>
      <c r="N177" t="s">
        <v>1410</v>
      </c>
      <c r="O177" t="s">
        <v>1423</v>
      </c>
      <c r="P177" t="s">
        <v>1423</v>
      </c>
      <c r="Q177" t="s">
        <v>1412</v>
      </c>
      <c r="S177" s="1">
        <v>46118</v>
      </c>
      <c r="V177" s="1">
        <v>46113</v>
      </c>
      <c r="W177" s="1">
        <v>32896</v>
      </c>
      <c r="X177" t="s">
        <v>1833</v>
      </c>
      <c r="Y177" t="s">
        <v>1834</v>
      </c>
      <c r="Z177" t="s">
        <v>1414</v>
      </c>
      <c r="AA177" t="s">
        <v>1419</v>
      </c>
      <c r="AB177" t="s">
        <v>1188</v>
      </c>
      <c r="AC177">
        <v>45999305881</v>
      </c>
      <c r="AD177" t="str">
        <f>_xlfn.XLOOKUP(F177,'Base de Tutores'!L:L,'Base de Tutores'!F:F)</f>
        <v>BFR</v>
      </c>
    </row>
    <row r="178" spans="1:30" hidden="1" x14ac:dyDescent="0.3">
      <c r="A178" t="s">
        <v>1405</v>
      </c>
      <c r="B178" t="s">
        <v>1406</v>
      </c>
      <c r="C178" t="s">
        <v>1835</v>
      </c>
      <c r="D178">
        <v>5955345540</v>
      </c>
      <c r="E178">
        <v>33746745</v>
      </c>
      <c r="F178">
        <v>1158000803</v>
      </c>
      <c r="G178" s="1">
        <v>45873</v>
      </c>
      <c r="H178" t="s">
        <v>1350</v>
      </c>
      <c r="I178" t="s">
        <v>1349</v>
      </c>
      <c r="J178" t="s">
        <v>1363</v>
      </c>
      <c r="K178" t="s">
        <v>1353</v>
      </c>
      <c r="L178" t="s">
        <v>1408</v>
      </c>
      <c r="M178" t="s">
        <v>1447</v>
      </c>
      <c r="N178" t="s">
        <v>1448</v>
      </c>
      <c r="O178" t="s">
        <v>1423</v>
      </c>
      <c r="P178" t="s">
        <v>1423</v>
      </c>
      <c r="Q178" t="s">
        <v>1412</v>
      </c>
      <c r="S178" s="1">
        <v>45904</v>
      </c>
      <c r="V178" s="1">
        <v>45901</v>
      </c>
      <c r="W178" s="1">
        <v>34880</v>
      </c>
      <c r="X178" t="s">
        <v>1428</v>
      </c>
      <c r="Z178" t="s">
        <v>1414</v>
      </c>
      <c r="AA178" t="s">
        <v>1419</v>
      </c>
      <c r="AB178" t="s">
        <v>1836</v>
      </c>
      <c r="AC178">
        <v>47991726021</v>
      </c>
      <c r="AD178" t="str">
        <f>_xlfn.XLOOKUP(F178,'Base de Tutores'!L:L,'Base de Tutores'!F:F)</f>
        <v>NTR</v>
      </c>
    </row>
    <row r="179" spans="1:30" hidden="1" x14ac:dyDescent="0.3">
      <c r="A179" t="s">
        <v>1405</v>
      </c>
      <c r="B179" t="s">
        <v>1406</v>
      </c>
      <c r="C179" t="s">
        <v>1837</v>
      </c>
      <c r="D179">
        <v>6351112508</v>
      </c>
      <c r="E179">
        <v>1378829557</v>
      </c>
      <c r="F179">
        <v>1158000567</v>
      </c>
      <c r="G179" s="1">
        <v>45735</v>
      </c>
      <c r="H179" t="s">
        <v>1350</v>
      </c>
      <c r="I179" t="s">
        <v>1374</v>
      </c>
      <c r="J179" t="s">
        <v>1363</v>
      </c>
      <c r="K179" t="s">
        <v>1353</v>
      </c>
      <c r="L179" t="s">
        <v>1408</v>
      </c>
      <c r="M179" t="s">
        <v>1447</v>
      </c>
      <c r="N179" t="s">
        <v>1448</v>
      </c>
      <c r="O179" t="s">
        <v>1462</v>
      </c>
      <c r="P179" t="s">
        <v>1462</v>
      </c>
      <c r="Q179" t="s">
        <v>1412</v>
      </c>
      <c r="S179" s="1">
        <v>46043</v>
      </c>
      <c r="W179" s="1">
        <v>34219</v>
      </c>
      <c r="X179" t="s">
        <v>1838</v>
      </c>
      <c r="Y179" t="s">
        <v>1839</v>
      </c>
      <c r="Z179" t="s">
        <v>1414</v>
      </c>
      <c r="AA179" t="s">
        <v>1419</v>
      </c>
      <c r="AB179" t="s">
        <v>337</v>
      </c>
      <c r="AC179">
        <v>73988311285</v>
      </c>
      <c r="AD179" t="str">
        <f>_xlfn.XLOOKUP(F179,'Base de Tutores'!L:L,'Base de Tutores'!F:F)</f>
        <v>EMF-ISN</v>
      </c>
    </row>
    <row r="180" spans="1:30" hidden="1" x14ac:dyDescent="0.3">
      <c r="A180" t="s">
        <v>1405</v>
      </c>
      <c r="B180" t="s">
        <v>1406</v>
      </c>
      <c r="C180" t="s">
        <v>1840</v>
      </c>
      <c r="D180">
        <v>12022086651</v>
      </c>
      <c r="E180" t="s">
        <v>1841</v>
      </c>
      <c r="F180">
        <v>1158000641</v>
      </c>
      <c r="G180" s="1">
        <v>45796</v>
      </c>
      <c r="H180" t="s">
        <v>1350</v>
      </c>
      <c r="I180" t="s">
        <v>1374</v>
      </c>
      <c r="J180" t="s">
        <v>1363</v>
      </c>
      <c r="K180" t="s">
        <v>1353</v>
      </c>
      <c r="L180" t="s">
        <v>1408</v>
      </c>
      <c r="M180" t="s">
        <v>1409</v>
      </c>
      <c r="N180" t="s">
        <v>1410</v>
      </c>
      <c r="O180" t="s">
        <v>1411</v>
      </c>
      <c r="P180" t="s">
        <v>1411</v>
      </c>
      <c r="Q180" t="s">
        <v>1412</v>
      </c>
      <c r="S180" s="1">
        <v>46043</v>
      </c>
      <c r="W180" s="1">
        <v>36195</v>
      </c>
      <c r="X180" t="s">
        <v>1503</v>
      </c>
      <c r="Z180" t="s">
        <v>1414</v>
      </c>
      <c r="AA180" t="s">
        <v>1415</v>
      </c>
      <c r="AB180" t="s">
        <v>99</v>
      </c>
      <c r="AC180">
        <v>31991693997</v>
      </c>
      <c r="AD180" t="str">
        <f>_xlfn.XLOOKUP(F180,'Base de Tutores'!L:L,'Base de Tutores'!F:F)</f>
        <v>EMF-ISN</v>
      </c>
    </row>
    <row r="181" spans="1:30" hidden="1" x14ac:dyDescent="0.3">
      <c r="A181" t="s">
        <v>1405</v>
      </c>
      <c r="B181" t="s">
        <v>1406</v>
      </c>
      <c r="C181" t="s">
        <v>1842</v>
      </c>
      <c r="D181">
        <v>12536992403</v>
      </c>
      <c r="E181" s="3">
        <v>9913330</v>
      </c>
      <c r="F181">
        <v>1158000993</v>
      </c>
      <c r="G181" s="1">
        <v>45917</v>
      </c>
      <c r="H181" t="s">
        <v>1350</v>
      </c>
      <c r="I181" t="s">
        <v>1349</v>
      </c>
      <c r="J181" t="s">
        <v>1363</v>
      </c>
      <c r="K181" t="s">
        <v>1353</v>
      </c>
      <c r="L181" t="s">
        <v>1408</v>
      </c>
      <c r="M181" t="s">
        <v>1409</v>
      </c>
      <c r="N181" t="s">
        <v>1410</v>
      </c>
      <c r="O181" t="s">
        <v>1423</v>
      </c>
      <c r="P181" t="s">
        <v>1423</v>
      </c>
      <c r="Q181" t="s">
        <v>1412</v>
      </c>
      <c r="S181" s="1">
        <v>46122</v>
      </c>
      <c r="V181" s="1">
        <v>46121</v>
      </c>
      <c r="W181" s="1">
        <v>37443</v>
      </c>
      <c r="X181" t="s">
        <v>1811</v>
      </c>
      <c r="Z181" t="s">
        <v>1414</v>
      </c>
      <c r="AA181" t="s">
        <v>1415</v>
      </c>
      <c r="AB181" t="s">
        <v>1116</v>
      </c>
      <c r="AC181">
        <v>81995575856</v>
      </c>
      <c r="AD181" t="str">
        <f>_xlfn.XLOOKUP(F181,'Base de Tutores'!L:L,'Base de Tutores'!F:F)</f>
        <v>BFR</v>
      </c>
    </row>
    <row r="182" spans="1:30" hidden="1" x14ac:dyDescent="0.3">
      <c r="A182" t="s">
        <v>1405</v>
      </c>
      <c r="B182" t="s">
        <v>1406</v>
      </c>
      <c r="C182" t="s">
        <v>1843</v>
      </c>
      <c r="D182">
        <v>42841070034</v>
      </c>
      <c r="E182">
        <v>8024698089</v>
      </c>
      <c r="F182">
        <v>1158001137</v>
      </c>
      <c r="G182" s="1">
        <v>46083</v>
      </c>
      <c r="H182" t="s">
        <v>1350</v>
      </c>
      <c r="I182" t="s">
        <v>1374</v>
      </c>
      <c r="J182" t="s">
        <v>1363</v>
      </c>
      <c r="K182" t="s">
        <v>1353</v>
      </c>
      <c r="L182" t="s">
        <v>1408</v>
      </c>
      <c r="M182" t="s">
        <v>1442</v>
      </c>
      <c r="N182" t="s">
        <v>1443</v>
      </c>
      <c r="O182" t="s">
        <v>1423</v>
      </c>
      <c r="P182" t="s">
        <v>1423</v>
      </c>
      <c r="Q182" t="s">
        <v>1412</v>
      </c>
      <c r="S182" s="1">
        <v>46085</v>
      </c>
      <c r="W182" s="1">
        <v>23313</v>
      </c>
      <c r="X182" t="s">
        <v>1844</v>
      </c>
      <c r="Z182" t="s">
        <v>1495</v>
      </c>
      <c r="AA182" t="s">
        <v>1419</v>
      </c>
      <c r="AB182" t="s">
        <v>1274</v>
      </c>
      <c r="AC182">
        <v>51999639981</v>
      </c>
      <c r="AD182" t="str">
        <f>_xlfn.XLOOKUP(F182,'Base de Tutores'!L:L,'Base de Tutores'!F:F)</f>
        <v>BFR</v>
      </c>
    </row>
    <row r="183" spans="1:30" hidden="1" x14ac:dyDescent="0.3">
      <c r="A183" t="s">
        <v>1405</v>
      </c>
      <c r="B183" t="s">
        <v>1406</v>
      </c>
      <c r="C183" t="s">
        <v>1845</v>
      </c>
      <c r="D183">
        <v>4271234370</v>
      </c>
      <c r="E183" t="s">
        <v>1846</v>
      </c>
      <c r="F183">
        <v>1158000618</v>
      </c>
      <c r="G183" s="1">
        <v>45789</v>
      </c>
      <c r="H183" t="s">
        <v>1350</v>
      </c>
      <c r="I183" t="s">
        <v>1374</v>
      </c>
      <c r="J183" t="s">
        <v>1427</v>
      </c>
      <c r="K183" t="s">
        <v>1356</v>
      </c>
      <c r="L183" t="s">
        <v>1408</v>
      </c>
      <c r="M183" t="s">
        <v>1409</v>
      </c>
      <c r="N183" t="s">
        <v>1410</v>
      </c>
      <c r="O183" t="s">
        <v>1411</v>
      </c>
      <c r="P183" t="s">
        <v>1411</v>
      </c>
      <c r="Q183" t="s">
        <v>1412</v>
      </c>
      <c r="S183" s="1">
        <v>46043</v>
      </c>
      <c r="W183" s="1">
        <v>34054</v>
      </c>
      <c r="X183" t="s">
        <v>1847</v>
      </c>
      <c r="Z183" t="s">
        <v>1414</v>
      </c>
      <c r="AA183" t="s">
        <v>1419</v>
      </c>
      <c r="AB183" t="s">
        <v>600</v>
      </c>
      <c r="AC183">
        <v>89994045040</v>
      </c>
      <c r="AD183" t="str">
        <f>_xlfn.XLOOKUP(F183,'Base de Tutores'!L:L,'Base de Tutores'!F:F)</f>
        <v>EMF-ISN</v>
      </c>
    </row>
    <row r="184" spans="1:30" hidden="1" x14ac:dyDescent="0.3">
      <c r="A184" t="s">
        <v>1405</v>
      </c>
      <c r="B184" t="s">
        <v>1406</v>
      </c>
      <c r="C184" t="s">
        <v>1848</v>
      </c>
      <c r="D184">
        <v>85011100600</v>
      </c>
      <c r="E184" t="s">
        <v>1849</v>
      </c>
      <c r="F184">
        <v>1158000609</v>
      </c>
      <c r="G184" s="1">
        <v>45782</v>
      </c>
      <c r="H184" t="s">
        <v>1350</v>
      </c>
      <c r="I184" t="s">
        <v>1374</v>
      </c>
      <c r="J184" t="s">
        <v>1363</v>
      </c>
      <c r="K184" t="s">
        <v>1353</v>
      </c>
      <c r="L184" t="s">
        <v>1408</v>
      </c>
      <c r="M184" t="s">
        <v>1409</v>
      </c>
      <c r="N184" t="s">
        <v>1410</v>
      </c>
      <c r="O184" t="s">
        <v>1423</v>
      </c>
      <c r="P184" t="s">
        <v>1423</v>
      </c>
      <c r="Q184" t="s">
        <v>1412</v>
      </c>
      <c r="S184" s="1">
        <v>46043</v>
      </c>
      <c r="W184" s="1">
        <v>21441</v>
      </c>
      <c r="X184" t="s">
        <v>1850</v>
      </c>
      <c r="Z184" t="s">
        <v>1414</v>
      </c>
      <c r="AA184" t="s">
        <v>1419</v>
      </c>
      <c r="AB184" t="s">
        <v>490</v>
      </c>
      <c r="AC184">
        <v>38999417829</v>
      </c>
      <c r="AD184" t="str">
        <f>_xlfn.XLOOKUP(F184,'Base de Tutores'!L:L,'Base de Tutores'!F:F)</f>
        <v>EMF-ISN</v>
      </c>
    </row>
    <row r="185" spans="1:30" hidden="1" x14ac:dyDescent="0.3">
      <c r="A185" t="s">
        <v>1405</v>
      </c>
      <c r="B185" t="s">
        <v>1406</v>
      </c>
      <c r="C185" t="s">
        <v>1851</v>
      </c>
      <c r="D185">
        <v>8012916908</v>
      </c>
      <c r="E185" s="3">
        <v>5635758</v>
      </c>
      <c r="F185">
        <v>1158000800</v>
      </c>
      <c r="G185" s="1">
        <v>45873</v>
      </c>
      <c r="H185" t="s">
        <v>1350</v>
      </c>
      <c r="I185" t="s">
        <v>1374</v>
      </c>
      <c r="J185" t="s">
        <v>1363</v>
      </c>
      <c r="K185" t="s">
        <v>1353</v>
      </c>
      <c r="L185" t="s">
        <v>1408</v>
      </c>
      <c r="M185" t="s">
        <v>1409</v>
      </c>
      <c r="N185" t="s">
        <v>1422</v>
      </c>
      <c r="O185" t="s">
        <v>1423</v>
      </c>
      <c r="P185" t="s">
        <v>1423</v>
      </c>
      <c r="Q185" t="s">
        <v>1412</v>
      </c>
      <c r="S185" s="1">
        <v>46043</v>
      </c>
      <c r="W185" s="1">
        <v>33536</v>
      </c>
      <c r="X185" t="s">
        <v>1852</v>
      </c>
      <c r="Z185" t="s">
        <v>1414</v>
      </c>
      <c r="AA185" t="s">
        <v>1419</v>
      </c>
      <c r="AB185" t="s">
        <v>797</v>
      </c>
      <c r="AC185">
        <v>48996186341</v>
      </c>
      <c r="AD185" t="str">
        <f>_xlfn.XLOOKUP(F185,'Base de Tutores'!L:L,'Base de Tutores'!F:F)</f>
        <v>NTR</v>
      </c>
    </row>
    <row r="186" spans="1:30" hidden="1" x14ac:dyDescent="0.3">
      <c r="A186" t="s">
        <v>1405</v>
      </c>
      <c r="B186" t="s">
        <v>1406</v>
      </c>
      <c r="C186" t="s">
        <v>1853</v>
      </c>
      <c r="D186">
        <v>4429031118</v>
      </c>
      <c r="E186">
        <v>1132126143</v>
      </c>
      <c r="F186">
        <v>1158000966</v>
      </c>
      <c r="G186" s="1">
        <v>45910</v>
      </c>
      <c r="H186" t="s">
        <v>1350</v>
      </c>
      <c r="I186" t="s">
        <v>1349</v>
      </c>
      <c r="J186" t="s">
        <v>1363</v>
      </c>
      <c r="K186" t="s">
        <v>1353</v>
      </c>
      <c r="L186" t="s">
        <v>1408</v>
      </c>
      <c r="M186" t="s">
        <v>1421</v>
      </c>
      <c r="N186" t="s">
        <v>1422</v>
      </c>
      <c r="O186" t="s">
        <v>1462</v>
      </c>
      <c r="P186" t="s">
        <v>1462</v>
      </c>
      <c r="Q186" t="s">
        <v>1412</v>
      </c>
      <c r="S186" s="1">
        <v>46071</v>
      </c>
      <c r="V186" s="1">
        <v>46066</v>
      </c>
      <c r="W186" s="1">
        <v>34815</v>
      </c>
      <c r="X186" t="s">
        <v>1854</v>
      </c>
      <c r="Z186" t="s">
        <v>1414</v>
      </c>
      <c r="AA186" t="s">
        <v>1415</v>
      </c>
      <c r="AB186" t="s">
        <v>1089</v>
      </c>
      <c r="AC186">
        <v>53999475362</v>
      </c>
      <c r="AD186" t="str">
        <f>_xlfn.XLOOKUP(F186,'Base de Tutores'!L:L,'Base de Tutores'!F:F)</f>
        <v>AGM</v>
      </c>
    </row>
    <row r="187" spans="1:30" hidden="1" x14ac:dyDescent="0.3">
      <c r="A187" t="s">
        <v>1405</v>
      </c>
      <c r="B187" t="s">
        <v>1406</v>
      </c>
      <c r="C187" t="s">
        <v>1855</v>
      </c>
      <c r="D187">
        <v>5046119170</v>
      </c>
      <c r="E187">
        <v>1918156</v>
      </c>
      <c r="F187">
        <v>1158001219</v>
      </c>
      <c r="G187" s="1">
        <v>46125</v>
      </c>
      <c r="H187" t="s">
        <v>1350</v>
      </c>
      <c r="I187" t="s">
        <v>1374</v>
      </c>
      <c r="J187" t="s">
        <v>1363</v>
      </c>
      <c r="K187" t="s">
        <v>1353</v>
      </c>
      <c r="L187" t="s">
        <v>1408</v>
      </c>
      <c r="M187" t="s">
        <v>1409</v>
      </c>
      <c r="N187" t="s">
        <v>1410</v>
      </c>
      <c r="O187" t="s">
        <v>1423</v>
      </c>
      <c r="P187" t="s">
        <v>1423</v>
      </c>
      <c r="Q187" t="s">
        <v>1412</v>
      </c>
      <c r="S187" s="1">
        <v>46121</v>
      </c>
      <c r="W187" s="1">
        <v>34832</v>
      </c>
      <c r="X187" t="s">
        <v>1456</v>
      </c>
      <c r="AA187" t="s">
        <v>1419</v>
      </c>
      <c r="AB187" t="s">
        <v>1856</v>
      </c>
      <c r="AC187">
        <v>67996016652</v>
      </c>
      <c r="AD187" t="str">
        <f>_xlfn.XLOOKUP(F187,'Base de Tutores'!L:L,'Base de Tutores'!F:F)</f>
        <v>BFR</v>
      </c>
    </row>
    <row r="188" spans="1:30" hidden="1" x14ac:dyDescent="0.3">
      <c r="A188" t="s">
        <v>1405</v>
      </c>
      <c r="B188" t="s">
        <v>1406</v>
      </c>
      <c r="C188" t="s">
        <v>1857</v>
      </c>
      <c r="D188">
        <v>73736406134</v>
      </c>
      <c r="E188">
        <v>17807697</v>
      </c>
      <c r="F188">
        <v>1158000798</v>
      </c>
      <c r="G188" s="1">
        <v>45873</v>
      </c>
      <c r="H188" t="s">
        <v>1350</v>
      </c>
      <c r="I188" t="s">
        <v>1349</v>
      </c>
      <c r="J188" t="s">
        <v>1363</v>
      </c>
      <c r="K188" t="s">
        <v>1353</v>
      </c>
      <c r="L188" t="s">
        <v>1408</v>
      </c>
      <c r="M188" t="s">
        <v>1447</v>
      </c>
      <c r="N188" t="s">
        <v>1448</v>
      </c>
      <c r="O188" t="s">
        <v>1411</v>
      </c>
      <c r="P188" t="s">
        <v>1411</v>
      </c>
      <c r="Q188" t="s">
        <v>1412</v>
      </c>
      <c r="S188" s="1">
        <v>45903</v>
      </c>
      <c r="V188" s="1">
        <v>45901</v>
      </c>
      <c r="W188" s="1">
        <v>32585</v>
      </c>
      <c r="X188" t="s">
        <v>1858</v>
      </c>
      <c r="Z188" t="s">
        <v>1414</v>
      </c>
      <c r="AA188" t="s">
        <v>1419</v>
      </c>
      <c r="AB188" t="s">
        <v>1859</v>
      </c>
      <c r="AC188">
        <v>65996304471</v>
      </c>
      <c r="AD188" t="str">
        <f>_xlfn.XLOOKUP(F188,'Base de Tutores'!L:L,'Base de Tutores'!F:F)</f>
        <v>AGM</v>
      </c>
    </row>
    <row r="189" spans="1:30" hidden="1" x14ac:dyDescent="0.3">
      <c r="A189" t="s">
        <v>1405</v>
      </c>
      <c r="B189" t="s">
        <v>1406</v>
      </c>
      <c r="C189" t="s">
        <v>1860</v>
      </c>
      <c r="D189">
        <v>82801150053</v>
      </c>
      <c r="E189" t="s">
        <v>1861</v>
      </c>
      <c r="F189">
        <v>1158000794</v>
      </c>
      <c r="G189" s="1">
        <v>45873</v>
      </c>
      <c r="H189" t="s">
        <v>1350</v>
      </c>
      <c r="I189" t="s">
        <v>1374</v>
      </c>
      <c r="J189" t="s">
        <v>1363</v>
      </c>
      <c r="K189" t="s">
        <v>1353</v>
      </c>
      <c r="L189" t="s">
        <v>1408</v>
      </c>
      <c r="M189" t="s">
        <v>1409</v>
      </c>
      <c r="N189" t="s">
        <v>1410</v>
      </c>
      <c r="O189" t="s">
        <v>1423</v>
      </c>
      <c r="P189" t="s">
        <v>1423</v>
      </c>
      <c r="Q189" t="s">
        <v>1412</v>
      </c>
      <c r="S189" s="1">
        <v>46043</v>
      </c>
      <c r="W189" s="1">
        <v>30781</v>
      </c>
      <c r="X189" t="s">
        <v>1485</v>
      </c>
      <c r="Z189" t="s">
        <v>1414</v>
      </c>
      <c r="AA189" t="s">
        <v>1419</v>
      </c>
      <c r="AB189" t="s">
        <v>1862</v>
      </c>
      <c r="AC189">
        <v>5186364959</v>
      </c>
      <c r="AD189" t="str">
        <f>_xlfn.XLOOKUP(F189,'Base de Tutores'!L:L,'Base de Tutores'!F:F)</f>
        <v>NTR</v>
      </c>
    </row>
    <row r="190" spans="1:30" hidden="1" x14ac:dyDescent="0.3">
      <c r="A190" t="s">
        <v>1405</v>
      </c>
      <c r="B190" t="s">
        <v>1406</v>
      </c>
      <c r="C190" t="s">
        <v>1863</v>
      </c>
      <c r="D190">
        <v>4169644000</v>
      </c>
      <c r="E190">
        <v>9112138947</v>
      </c>
      <c r="F190">
        <v>1158001030</v>
      </c>
      <c r="G190" s="1">
        <v>45938</v>
      </c>
      <c r="H190" t="s">
        <v>1350</v>
      </c>
      <c r="I190" t="s">
        <v>1349</v>
      </c>
      <c r="J190" t="s">
        <v>1363</v>
      </c>
      <c r="K190" t="s">
        <v>1353</v>
      </c>
      <c r="L190" t="s">
        <v>1408</v>
      </c>
      <c r="M190" t="s">
        <v>1409</v>
      </c>
      <c r="N190" t="s">
        <v>1410</v>
      </c>
      <c r="O190" t="s">
        <v>1423</v>
      </c>
      <c r="P190" t="s">
        <v>1423</v>
      </c>
      <c r="Q190" t="s">
        <v>1412</v>
      </c>
      <c r="S190" s="1">
        <v>46118</v>
      </c>
      <c r="V190" s="1">
        <v>46113</v>
      </c>
      <c r="W190" s="1">
        <v>35673</v>
      </c>
      <c r="X190" t="s">
        <v>1864</v>
      </c>
      <c r="Z190" t="s">
        <v>1414</v>
      </c>
      <c r="AA190" t="s">
        <v>1419</v>
      </c>
      <c r="AB190" t="s">
        <v>1190</v>
      </c>
      <c r="AC190">
        <v>49991863771</v>
      </c>
      <c r="AD190" t="str">
        <f>_xlfn.XLOOKUP(F190,'Base de Tutores'!L:L,'Base de Tutores'!F:F)</f>
        <v>BAU</v>
      </c>
    </row>
    <row r="191" spans="1:30" hidden="1" x14ac:dyDescent="0.3">
      <c r="A191" t="s">
        <v>1405</v>
      </c>
      <c r="B191" t="s">
        <v>1406</v>
      </c>
      <c r="C191" t="s">
        <v>1865</v>
      </c>
      <c r="D191">
        <v>5749706303</v>
      </c>
      <c r="E191" t="s">
        <v>1866</v>
      </c>
      <c r="F191">
        <v>1158000558</v>
      </c>
      <c r="G191" s="1">
        <v>45733</v>
      </c>
      <c r="H191" t="s">
        <v>1350</v>
      </c>
      <c r="I191" t="s">
        <v>1374</v>
      </c>
      <c r="J191" t="s">
        <v>1363</v>
      </c>
      <c r="K191" t="s">
        <v>1353</v>
      </c>
      <c r="L191" t="s">
        <v>1408</v>
      </c>
      <c r="M191" t="s">
        <v>1409</v>
      </c>
      <c r="N191" t="s">
        <v>1410</v>
      </c>
      <c r="O191" t="s">
        <v>1411</v>
      </c>
      <c r="P191" t="s">
        <v>1411</v>
      </c>
      <c r="Q191" t="s">
        <v>1412</v>
      </c>
      <c r="S191" s="1">
        <v>46043</v>
      </c>
      <c r="W191" s="1">
        <v>34722</v>
      </c>
      <c r="X191" t="s">
        <v>1867</v>
      </c>
      <c r="Z191" t="s">
        <v>1414</v>
      </c>
      <c r="AA191" t="s">
        <v>1419</v>
      </c>
      <c r="AB191" t="s">
        <v>216</v>
      </c>
      <c r="AC191">
        <v>88998535642</v>
      </c>
      <c r="AD191" t="str">
        <f>_xlfn.XLOOKUP(F191,'Base de Tutores'!L:L,'Base de Tutores'!F:F)</f>
        <v>EMF-ISN</v>
      </c>
    </row>
    <row r="192" spans="1:30" hidden="1" x14ac:dyDescent="0.3">
      <c r="A192" t="s">
        <v>1405</v>
      </c>
      <c r="B192" t="s">
        <v>1406</v>
      </c>
      <c r="C192" t="s">
        <v>1868</v>
      </c>
      <c r="D192">
        <v>60625701321</v>
      </c>
      <c r="E192">
        <v>20076294972</v>
      </c>
      <c r="F192">
        <v>1158000576</v>
      </c>
      <c r="G192" s="1">
        <v>45735</v>
      </c>
      <c r="H192" t="s">
        <v>1350</v>
      </c>
      <c r="I192" t="s">
        <v>1349</v>
      </c>
      <c r="J192" t="s">
        <v>1363</v>
      </c>
      <c r="K192" t="s">
        <v>1353</v>
      </c>
      <c r="L192" t="s">
        <v>1408</v>
      </c>
      <c r="M192" t="s">
        <v>1421</v>
      </c>
      <c r="N192" t="s">
        <v>1422</v>
      </c>
      <c r="O192" t="s">
        <v>1411</v>
      </c>
      <c r="P192" t="s">
        <v>1423</v>
      </c>
      <c r="Q192" t="s">
        <v>1412</v>
      </c>
      <c r="S192" s="1">
        <v>45922</v>
      </c>
      <c r="V192" s="1">
        <v>45919</v>
      </c>
      <c r="W192" s="1">
        <v>35398</v>
      </c>
      <c r="X192" t="s">
        <v>1869</v>
      </c>
      <c r="Z192" t="s">
        <v>1414</v>
      </c>
      <c r="AA192" t="s">
        <v>1419</v>
      </c>
      <c r="AB192" t="s">
        <v>118</v>
      </c>
      <c r="AC192">
        <v>85992009088</v>
      </c>
      <c r="AD192" t="str">
        <f>_xlfn.XLOOKUP(F192,'Base de Tutores'!L:L,'Base de Tutores'!F:F)</f>
        <v>EMF-ISN</v>
      </c>
    </row>
    <row r="193" spans="1:30" hidden="1" x14ac:dyDescent="0.3">
      <c r="A193" t="s">
        <v>1405</v>
      </c>
      <c r="B193" t="s">
        <v>1406</v>
      </c>
      <c r="C193" t="s">
        <v>1870</v>
      </c>
      <c r="D193">
        <v>1547258462</v>
      </c>
      <c r="E193">
        <v>32885172</v>
      </c>
      <c r="F193">
        <v>1158000654</v>
      </c>
      <c r="G193" s="1">
        <v>45735</v>
      </c>
      <c r="H193" t="s">
        <v>1350</v>
      </c>
      <c r="I193" t="s">
        <v>1374</v>
      </c>
      <c r="J193" t="s">
        <v>1363</v>
      </c>
      <c r="K193" t="s">
        <v>1353</v>
      </c>
      <c r="L193" t="s">
        <v>1408</v>
      </c>
      <c r="M193" t="s">
        <v>1421</v>
      </c>
      <c r="N193" t="s">
        <v>1422</v>
      </c>
      <c r="O193" t="s">
        <v>1411</v>
      </c>
      <c r="P193" t="s">
        <v>1411</v>
      </c>
      <c r="Q193" t="s">
        <v>1412</v>
      </c>
      <c r="S193" s="1">
        <v>46043</v>
      </c>
      <c r="W193" s="1">
        <v>33440</v>
      </c>
      <c r="X193" t="s">
        <v>1515</v>
      </c>
      <c r="Y193" t="s">
        <v>1871</v>
      </c>
      <c r="Z193" t="s">
        <v>1414</v>
      </c>
      <c r="AA193" t="s">
        <v>1415</v>
      </c>
      <c r="AB193" t="s">
        <v>444</v>
      </c>
      <c r="AC193">
        <v>8298295404</v>
      </c>
      <c r="AD193" t="str">
        <f>_xlfn.XLOOKUP(F193,'Base de Tutores'!L:L,'Base de Tutores'!F:F)</f>
        <v>EMF-ISN</v>
      </c>
    </row>
    <row r="194" spans="1:30" hidden="1" x14ac:dyDescent="0.3">
      <c r="A194" t="s">
        <v>1405</v>
      </c>
      <c r="B194" t="s">
        <v>1406</v>
      </c>
      <c r="C194" t="s">
        <v>1872</v>
      </c>
      <c r="D194">
        <v>4604163243</v>
      </c>
      <c r="E194">
        <v>8141027</v>
      </c>
      <c r="F194">
        <v>1158000565</v>
      </c>
      <c r="G194" s="1">
        <v>45735</v>
      </c>
      <c r="H194" t="s">
        <v>1350</v>
      </c>
      <c r="I194" t="s">
        <v>1374</v>
      </c>
      <c r="J194" t="s">
        <v>1363</v>
      </c>
      <c r="K194" t="s">
        <v>1353</v>
      </c>
      <c r="L194" t="s">
        <v>1408</v>
      </c>
      <c r="M194" t="s">
        <v>1409</v>
      </c>
      <c r="N194" t="s">
        <v>1410</v>
      </c>
      <c r="O194" t="s">
        <v>1411</v>
      </c>
      <c r="P194" t="s">
        <v>1423</v>
      </c>
      <c r="Q194" t="s">
        <v>1412</v>
      </c>
      <c r="S194" s="1">
        <v>46043</v>
      </c>
      <c r="W194" s="1">
        <v>36650</v>
      </c>
      <c r="X194" t="s">
        <v>1873</v>
      </c>
      <c r="Y194" t="s">
        <v>1874</v>
      </c>
      <c r="Z194" t="s">
        <v>1414</v>
      </c>
      <c r="AA194" t="s">
        <v>1415</v>
      </c>
      <c r="AB194" t="s">
        <v>794</v>
      </c>
      <c r="AC194">
        <v>91986258227</v>
      </c>
      <c r="AD194" t="str">
        <f>_xlfn.XLOOKUP(F194,'Base de Tutores'!L:L,'Base de Tutores'!F:F)</f>
        <v>EMF-ISN</v>
      </c>
    </row>
    <row r="195" spans="1:30" hidden="1" x14ac:dyDescent="0.3">
      <c r="A195" t="s">
        <v>1405</v>
      </c>
      <c r="B195" t="s">
        <v>1406</v>
      </c>
      <c r="C195" t="s">
        <v>1875</v>
      </c>
      <c r="D195">
        <v>34998823884</v>
      </c>
      <c r="E195">
        <v>6722635</v>
      </c>
      <c r="F195">
        <v>1158001132</v>
      </c>
      <c r="G195" s="1">
        <v>46083</v>
      </c>
      <c r="H195" t="s">
        <v>1350</v>
      </c>
      <c r="I195" t="s">
        <v>1374</v>
      </c>
      <c r="J195" t="s">
        <v>1363</v>
      </c>
      <c r="K195" t="s">
        <v>1353</v>
      </c>
      <c r="L195" t="s">
        <v>1408</v>
      </c>
      <c r="M195" t="s">
        <v>1409</v>
      </c>
      <c r="N195" t="s">
        <v>1410</v>
      </c>
      <c r="O195" t="s">
        <v>1423</v>
      </c>
      <c r="P195" t="s">
        <v>1423</v>
      </c>
      <c r="Q195" t="s">
        <v>1412</v>
      </c>
      <c r="S195" s="1">
        <v>46085</v>
      </c>
      <c r="W195" s="1">
        <v>33277</v>
      </c>
      <c r="X195" t="s">
        <v>1519</v>
      </c>
      <c r="Z195" t="s">
        <v>1495</v>
      </c>
      <c r="AA195" t="s">
        <v>1419</v>
      </c>
      <c r="AB195" t="s">
        <v>1276</v>
      </c>
      <c r="AC195">
        <v>62996257719</v>
      </c>
      <c r="AD195" t="str">
        <f>_xlfn.XLOOKUP(F195,'Base de Tutores'!L:L,'Base de Tutores'!F:F)</f>
        <v>BFR</v>
      </c>
    </row>
    <row r="196" spans="1:30" hidden="1" x14ac:dyDescent="0.3">
      <c r="A196" t="s">
        <v>1405</v>
      </c>
      <c r="B196" t="s">
        <v>1406</v>
      </c>
      <c r="C196" t="s">
        <v>1876</v>
      </c>
      <c r="D196">
        <v>3025714000</v>
      </c>
      <c r="E196">
        <v>1112931884</v>
      </c>
      <c r="F196">
        <v>1158000702</v>
      </c>
      <c r="G196" s="1">
        <v>45756</v>
      </c>
      <c r="H196" t="s">
        <v>1350</v>
      </c>
      <c r="I196" t="s">
        <v>1374</v>
      </c>
      <c r="J196" t="s">
        <v>1363</v>
      </c>
      <c r="K196" t="s">
        <v>1353</v>
      </c>
      <c r="L196" t="s">
        <v>1408</v>
      </c>
      <c r="M196" t="s">
        <v>1421</v>
      </c>
      <c r="N196" t="s">
        <v>1422</v>
      </c>
      <c r="O196" t="s">
        <v>1411</v>
      </c>
      <c r="P196" t="s">
        <v>1411</v>
      </c>
      <c r="Q196" t="s">
        <v>1412</v>
      </c>
      <c r="S196" s="1">
        <v>46043</v>
      </c>
      <c r="W196" s="1">
        <v>33453</v>
      </c>
      <c r="X196" t="s">
        <v>1749</v>
      </c>
      <c r="Z196" t="s">
        <v>1414</v>
      </c>
      <c r="AA196" t="s">
        <v>1419</v>
      </c>
      <c r="AB196" t="s">
        <v>245</v>
      </c>
      <c r="AC196">
        <v>55991288703</v>
      </c>
      <c r="AD196" t="str">
        <f>_xlfn.XLOOKUP(F196,'Base de Tutores'!L:L,'Base de Tutores'!F:F)</f>
        <v>EMF-ISN</v>
      </c>
    </row>
    <row r="197" spans="1:30" hidden="1" x14ac:dyDescent="0.3">
      <c r="A197" t="s">
        <v>1405</v>
      </c>
      <c r="B197" t="s">
        <v>1406</v>
      </c>
      <c r="C197" t="s">
        <v>1877</v>
      </c>
      <c r="D197">
        <v>12403137723</v>
      </c>
      <c r="E197" t="s">
        <v>1878</v>
      </c>
      <c r="F197">
        <v>1158000938</v>
      </c>
      <c r="G197" s="1">
        <v>45901</v>
      </c>
      <c r="H197" t="s">
        <v>1350</v>
      </c>
      <c r="I197" t="s">
        <v>1349</v>
      </c>
      <c r="J197" t="s">
        <v>1427</v>
      </c>
      <c r="K197" t="s">
        <v>1356</v>
      </c>
      <c r="L197" t="s">
        <v>1408</v>
      </c>
      <c r="M197" t="s">
        <v>1409</v>
      </c>
      <c r="N197" t="s">
        <v>1410</v>
      </c>
      <c r="O197" t="s">
        <v>1411</v>
      </c>
      <c r="P197" t="s">
        <v>1411</v>
      </c>
      <c r="Q197" t="s">
        <v>1412</v>
      </c>
      <c r="S197" s="1">
        <v>46057</v>
      </c>
      <c r="V197" s="1">
        <v>46055</v>
      </c>
      <c r="W197" s="1">
        <v>33260</v>
      </c>
      <c r="X197" t="s">
        <v>1721</v>
      </c>
      <c r="Z197" t="s">
        <v>1414</v>
      </c>
      <c r="AA197" t="s">
        <v>1419</v>
      </c>
      <c r="AB197" t="s">
        <v>1054</v>
      </c>
      <c r="AC197">
        <v>21999810546</v>
      </c>
      <c r="AD197" t="str">
        <f>_xlfn.XLOOKUP(F197,'Base de Tutores'!L:L,'Base de Tutores'!F:F)</f>
        <v>NTR</v>
      </c>
    </row>
    <row r="198" spans="1:30" hidden="1" x14ac:dyDescent="0.3">
      <c r="A198" t="s">
        <v>1405</v>
      </c>
      <c r="B198" t="s">
        <v>1406</v>
      </c>
      <c r="C198" t="s">
        <v>1879</v>
      </c>
      <c r="D198">
        <v>5406970526</v>
      </c>
      <c r="E198" t="s">
        <v>1880</v>
      </c>
      <c r="F198">
        <v>1158000783</v>
      </c>
      <c r="G198" s="1">
        <v>45873</v>
      </c>
      <c r="H198" t="s">
        <v>1350</v>
      </c>
      <c r="I198" t="s">
        <v>1349</v>
      </c>
      <c r="J198" t="s">
        <v>1363</v>
      </c>
      <c r="K198" t="s">
        <v>1353</v>
      </c>
      <c r="L198" t="s">
        <v>1408</v>
      </c>
      <c r="M198" t="s">
        <v>1409</v>
      </c>
      <c r="N198" t="s">
        <v>1410</v>
      </c>
      <c r="O198" t="s">
        <v>1411</v>
      </c>
      <c r="P198" t="s">
        <v>1411</v>
      </c>
      <c r="Q198" t="s">
        <v>1412</v>
      </c>
      <c r="S198" s="1">
        <v>46118</v>
      </c>
      <c r="V198" s="1">
        <v>46113</v>
      </c>
      <c r="W198" s="1">
        <v>34099</v>
      </c>
      <c r="X198" t="s">
        <v>1428</v>
      </c>
      <c r="Z198" t="s">
        <v>1414</v>
      </c>
      <c r="AA198" t="s">
        <v>1419</v>
      </c>
      <c r="AB198" t="s">
        <v>840</v>
      </c>
      <c r="AC198">
        <v>79999690732</v>
      </c>
      <c r="AD198" t="str">
        <f>_xlfn.XLOOKUP(F198,'Base de Tutores'!L:L,'Base de Tutores'!F:F)</f>
        <v>NTR</v>
      </c>
    </row>
    <row r="199" spans="1:30" hidden="1" x14ac:dyDescent="0.3">
      <c r="A199" t="s">
        <v>1405</v>
      </c>
      <c r="B199" t="s">
        <v>1406</v>
      </c>
      <c r="C199" t="s">
        <v>1881</v>
      </c>
      <c r="D199">
        <v>2044049244</v>
      </c>
      <c r="E199" t="s">
        <v>1882</v>
      </c>
      <c r="F199">
        <v>1158001023</v>
      </c>
      <c r="G199" s="1">
        <v>45936</v>
      </c>
      <c r="H199" t="s">
        <v>1350</v>
      </c>
      <c r="I199" t="s">
        <v>1349</v>
      </c>
      <c r="J199" t="s">
        <v>1363</v>
      </c>
      <c r="K199" t="s">
        <v>1353</v>
      </c>
      <c r="L199" t="s">
        <v>1408</v>
      </c>
      <c r="M199" t="s">
        <v>1447</v>
      </c>
      <c r="N199" t="s">
        <v>1448</v>
      </c>
      <c r="O199" t="s">
        <v>1462</v>
      </c>
      <c r="P199" t="s">
        <v>1462</v>
      </c>
      <c r="Q199" t="s">
        <v>1412</v>
      </c>
      <c r="S199" s="1">
        <v>46045</v>
      </c>
      <c r="V199" s="1">
        <v>46042</v>
      </c>
      <c r="W199" s="1">
        <v>33970</v>
      </c>
      <c r="X199" t="s">
        <v>1883</v>
      </c>
      <c r="Z199" t="s">
        <v>1414</v>
      </c>
      <c r="AA199" t="s">
        <v>1415</v>
      </c>
      <c r="AB199" t="s">
        <v>1151</v>
      </c>
      <c r="AC199">
        <v>47988480501</v>
      </c>
      <c r="AD199" t="str">
        <f>_xlfn.XLOOKUP(F199,'Base de Tutores'!L:L,'Base de Tutores'!F:F)</f>
        <v>BFR</v>
      </c>
    </row>
    <row r="200" spans="1:30" hidden="1" x14ac:dyDescent="0.3">
      <c r="A200" t="s">
        <v>1405</v>
      </c>
      <c r="B200" t="s">
        <v>1406</v>
      </c>
      <c r="C200" t="s">
        <v>1884</v>
      </c>
      <c r="D200">
        <v>4067638523</v>
      </c>
      <c r="E200" t="s">
        <v>1885</v>
      </c>
      <c r="F200">
        <v>1158000552</v>
      </c>
      <c r="G200" s="1">
        <v>45733</v>
      </c>
      <c r="H200" t="s">
        <v>1350</v>
      </c>
      <c r="I200" t="s">
        <v>1349</v>
      </c>
      <c r="J200" t="s">
        <v>1363</v>
      </c>
      <c r="K200" t="s">
        <v>1353</v>
      </c>
      <c r="L200" t="s">
        <v>1408</v>
      </c>
      <c r="M200" t="s">
        <v>1447</v>
      </c>
      <c r="N200" t="s">
        <v>1448</v>
      </c>
      <c r="O200" t="s">
        <v>1411</v>
      </c>
      <c r="P200" t="s">
        <v>1423</v>
      </c>
      <c r="Q200" t="s">
        <v>1412</v>
      </c>
      <c r="S200" s="1">
        <v>46119</v>
      </c>
      <c r="V200" s="1">
        <v>46113</v>
      </c>
      <c r="W200" s="1">
        <v>33150</v>
      </c>
      <c r="X200" t="s">
        <v>1886</v>
      </c>
      <c r="Z200" t="s">
        <v>1414</v>
      </c>
      <c r="AA200" t="s">
        <v>1415</v>
      </c>
      <c r="AB200" t="s">
        <v>1005</v>
      </c>
      <c r="AC200">
        <v>77988130406</v>
      </c>
      <c r="AD200" t="str">
        <f>_xlfn.XLOOKUP(F200,'Base de Tutores'!L:L,'Base de Tutores'!F:F)</f>
        <v>EMF-ISN</v>
      </c>
    </row>
    <row r="201" spans="1:30" hidden="1" x14ac:dyDescent="0.3">
      <c r="A201" t="s">
        <v>1405</v>
      </c>
      <c r="B201" t="s">
        <v>1406</v>
      </c>
      <c r="C201" t="s">
        <v>1887</v>
      </c>
      <c r="D201">
        <v>14561641718</v>
      </c>
      <c r="E201" t="s">
        <v>1888</v>
      </c>
      <c r="F201">
        <v>1158000799</v>
      </c>
      <c r="G201" s="1">
        <v>45873</v>
      </c>
      <c r="H201" t="s">
        <v>1350</v>
      </c>
      <c r="I201" t="s">
        <v>1349</v>
      </c>
      <c r="J201" t="s">
        <v>1363</v>
      </c>
      <c r="K201" t="s">
        <v>1353</v>
      </c>
      <c r="L201" t="s">
        <v>1408</v>
      </c>
      <c r="M201" t="s">
        <v>1447</v>
      </c>
      <c r="N201" t="s">
        <v>1448</v>
      </c>
      <c r="O201" t="s">
        <v>1423</v>
      </c>
      <c r="P201" t="s">
        <v>1423</v>
      </c>
      <c r="Q201" t="s">
        <v>1412</v>
      </c>
      <c r="S201" s="1">
        <v>46034</v>
      </c>
      <c r="V201" s="1">
        <v>46029</v>
      </c>
      <c r="W201" s="1">
        <v>34719</v>
      </c>
      <c r="X201" t="s">
        <v>1889</v>
      </c>
      <c r="Z201" t="s">
        <v>1414</v>
      </c>
      <c r="AA201" t="s">
        <v>1415</v>
      </c>
      <c r="AB201" t="s">
        <v>832</v>
      </c>
      <c r="AC201">
        <v>51980209658</v>
      </c>
      <c r="AD201" t="str">
        <f>_xlfn.XLOOKUP(F201,'Base de Tutores'!L:L,'Base de Tutores'!F:F)</f>
        <v>ECE-ENM-ENS-ENG-EEA-GPI-CDE-OBR-SAN-TER-FSA-SLF-QUI</v>
      </c>
    </row>
    <row r="202" spans="1:30" hidden="1" x14ac:dyDescent="0.3">
      <c r="A202" t="s">
        <v>1405</v>
      </c>
      <c r="B202" t="s">
        <v>1406</v>
      </c>
      <c r="C202" t="s">
        <v>1890</v>
      </c>
      <c r="D202">
        <v>10480563683</v>
      </c>
      <c r="E202">
        <v>55704296</v>
      </c>
      <c r="F202">
        <v>1158000738</v>
      </c>
      <c r="G202" s="1">
        <v>45812</v>
      </c>
      <c r="H202" t="s">
        <v>1350</v>
      </c>
      <c r="I202" t="s">
        <v>1374</v>
      </c>
      <c r="J202" t="s">
        <v>1363</v>
      </c>
      <c r="K202" t="s">
        <v>1353</v>
      </c>
      <c r="L202" t="s">
        <v>1408</v>
      </c>
      <c r="M202" t="s">
        <v>1421</v>
      </c>
      <c r="N202" t="s">
        <v>1422</v>
      </c>
      <c r="O202" t="s">
        <v>1462</v>
      </c>
      <c r="P202" t="s">
        <v>1462</v>
      </c>
      <c r="Q202" t="s">
        <v>1412</v>
      </c>
      <c r="S202" s="1">
        <v>46043</v>
      </c>
      <c r="W202" s="1">
        <v>33962</v>
      </c>
      <c r="X202" t="s">
        <v>1503</v>
      </c>
      <c r="Z202" t="s">
        <v>1414</v>
      </c>
      <c r="AA202" t="s">
        <v>1415</v>
      </c>
      <c r="AB202" t="s">
        <v>714</v>
      </c>
      <c r="AC202">
        <v>19953334715</v>
      </c>
      <c r="AD202" t="str">
        <f>_xlfn.XLOOKUP(F202,'Base de Tutores'!L:L,'Base de Tutores'!F:F)</f>
        <v>ECE-ENM-ENS-ENG-EEA-GPI-CDE-OBR-SAN-TER-FSA-SLF-QUI</v>
      </c>
    </row>
    <row r="203" spans="1:30" hidden="1" x14ac:dyDescent="0.3">
      <c r="A203" t="s">
        <v>1405</v>
      </c>
      <c r="B203" t="s">
        <v>1406</v>
      </c>
      <c r="C203" t="s">
        <v>1891</v>
      </c>
      <c r="D203">
        <v>2746015080</v>
      </c>
      <c r="E203">
        <v>2746015080</v>
      </c>
      <c r="F203">
        <v>1158000937</v>
      </c>
      <c r="G203" s="1">
        <v>45901</v>
      </c>
      <c r="H203" t="s">
        <v>1350</v>
      </c>
      <c r="I203" t="s">
        <v>1374</v>
      </c>
      <c r="J203" t="s">
        <v>1363</v>
      </c>
      <c r="K203" t="s">
        <v>1353</v>
      </c>
      <c r="L203" t="s">
        <v>1408</v>
      </c>
      <c r="M203" t="s">
        <v>1409</v>
      </c>
      <c r="N203" t="s">
        <v>1410</v>
      </c>
      <c r="O203" t="s">
        <v>1462</v>
      </c>
      <c r="P203" t="s">
        <v>1462</v>
      </c>
      <c r="Q203" t="s">
        <v>1412</v>
      </c>
      <c r="S203" s="1">
        <v>46043</v>
      </c>
      <c r="W203" s="1">
        <v>33980</v>
      </c>
      <c r="X203" t="s">
        <v>1485</v>
      </c>
      <c r="Z203" t="s">
        <v>1414</v>
      </c>
      <c r="AA203" t="s">
        <v>1419</v>
      </c>
      <c r="AB203" t="s">
        <v>222</v>
      </c>
      <c r="AC203">
        <v>51981553415</v>
      </c>
      <c r="AD203" t="str">
        <f>_xlfn.XLOOKUP(F203,'Base de Tutores'!L:L,'Base de Tutores'!F:F)</f>
        <v>EMF-ISN</v>
      </c>
    </row>
    <row r="204" spans="1:30" hidden="1" x14ac:dyDescent="0.3">
      <c r="A204" t="s">
        <v>1405</v>
      </c>
      <c r="B204" t="s">
        <v>1406</v>
      </c>
      <c r="C204" t="s">
        <v>1892</v>
      </c>
      <c r="D204">
        <v>6107260480</v>
      </c>
      <c r="E204">
        <v>6963198</v>
      </c>
      <c r="F204">
        <v>1158000663</v>
      </c>
      <c r="G204" s="1">
        <v>45749</v>
      </c>
      <c r="H204" t="s">
        <v>1350</v>
      </c>
      <c r="I204" t="s">
        <v>1374</v>
      </c>
      <c r="J204" t="s">
        <v>1363</v>
      </c>
      <c r="K204" t="s">
        <v>1353</v>
      </c>
      <c r="L204" t="s">
        <v>1408</v>
      </c>
      <c r="M204" t="s">
        <v>1421</v>
      </c>
      <c r="N204" t="s">
        <v>1422</v>
      </c>
      <c r="O204" t="s">
        <v>1462</v>
      </c>
      <c r="P204" t="s">
        <v>1423</v>
      </c>
      <c r="Q204" t="s">
        <v>1412</v>
      </c>
      <c r="S204" s="1">
        <v>46043</v>
      </c>
      <c r="W204" s="1">
        <v>31345</v>
      </c>
      <c r="X204" t="s">
        <v>1893</v>
      </c>
      <c r="Z204" t="s">
        <v>1414</v>
      </c>
      <c r="AA204" t="s">
        <v>1415</v>
      </c>
      <c r="AB204" t="s">
        <v>34</v>
      </c>
      <c r="AC204">
        <v>87981132863</v>
      </c>
      <c r="AD204" t="str">
        <f>_xlfn.XLOOKUP(F204,'Base de Tutores'!L:L,'Base de Tutores'!F:F)</f>
        <v>EMF-ISN</v>
      </c>
    </row>
    <row r="205" spans="1:30" hidden="1" x14ac:dyDescent="0.3">
      <c r="A205" t="s">
        <v>1405</v>
      </c>
      <c r="B205" t="s">
        <v>1406</v>
      </c>
      <c r="C205" t="s">
        <v>1894</v>
      </c>
      <c r="D205">
        <v>4218919208</v>
      </c>
      <c r="E205" t="s">
        <v>1895</v>
      </c>
      <c r="F205">
        <v>1158001081</v>
      </c>
      <c r="G205" s="1">
        <v>46029</v>
      </c>
      <c r="H205" t="s">
        <v>1350</v>
      </c>
      <c r="I205" t="s">
        <v>1374</v>
      </c>
      <c r="J205" t="s">
        <v>1363</v>
      </c>
      <c r="K205" t="s">
        <v>1353</v>
      </c>
      <c r="L205" t="s">
        <v>1408</v>
      </c>
      <c r="M205" t="s">
        <v>1646</v>
      </c>
      <c r="N205" t="s">
        <v>1647</v>
      </c>
      <c r="O205" t="s">
        <v>1423</v>
      </c>
      <c r="P205" t="s">
        <v>1423</v>
      </c>
      <c r="Q205" t="s">
        <v>1412</v>
      </c>
      <c r="S205" s="1">
        <v>46028</v>
      </c>
      <c r="W205" s="1">
        <v>35442</v>
      </c>
      <c r="X205" t="s">
        <v>1896</v>
      </c>
      <c r="Z205" t="s">
        <v>1414</v>
      </c>
      <c r="AA205" t="s">
        <v>1419</v>
      </c>
      <c r="AB205" t="s">
        <v>1240</v>
      </c>
      <c r="AC205">
        <v>92992211776</v>
      </c>
      <c r="AD205" t="str">
        <f>_xlfn.XLOOKUP(F205,'Base de Tutores'!L:L,'Base de Tutores'!F:F)</f>
        <v>EMF-ISN</v>
      </c>
    </row>
    <row r="206" spans="1:30" hidden="1" x14ac:dyDescent="0.3">
      <c r="A206" t="s">
        <v>1405</v>
      </c>
      <c r="B206" t="s">
        <v>1406</v>
      </c>
      <c r="C206" t="s">
        <v>1897</v>
      </c>
      <c r="D206">
        <v>45509098899</v>
      </c>
      <c r="E206">
        <v>385947628</v>
      </c>
      <c r="F206">
        <v>1158000749</v>
      </c>
      <c r="G206" s="1">
        <v>45817</v>
      </c>
      <c r="H206" t="s">
        <v>1350</v>
      </c>
      <c r="I206" t="s">
        <v>1349</v>
      </c>
      <c r="J206" t="s">
        <v>1363</v>
      </c>
      <c r="K206" t="s">
        <v>1353</v>
      </c>
      <c r="L206" t="s">
        <v>1408</v>
      </c>
      <c r="M206" t="s">
        <v>1409</v>
      </c>
      <c r="N206" t="s">
        <v>1410</v>
      </c>
      <c r="O206" t="s">
        <v>1423</v>
      </c>
      <c r="P206" t="s">
        <v>1423</v>
      </c>
      <c r="Q206" t="s">
        <v>1412</v>
      </c>
      <c r="S206" s="1">
        <v>45975</v>
      </c>
      <c r="T206" s="1">
        <v>45852</v>
      </c>
      <c r="V206" s="1">
        <v>45974</v>
      </c>
      <c r="W206" s="1">
        <v>35794</v>
      </c>
      <c r="X206" t="s">
        <v>1724</v>
      </c>
      <c r="Z206" t="s">
        <v>1414</v>
      </c>
      <c r="AA206" t="s">
        <v>1419</v>
      </c>
      <c r="AB206" t="s">
        <v>174</v>
      </c>
      <c r="AC206">
        <v>19993660409</v>
      </c>
      <c r="AD206" t="str">
        <f>_xlfn.XLOOKUP(F206,'Base de Tutores'!L:L,'Base de Tutores'!F:F)</f>
        <v>EMF-ISN</v>
      </c>
    </row>
    <row r="207" spans="1:30" hidden="1" x14ac:dyDescent="0.3">
      <c r="A207" t="s">
        <v>1405</v>
      </c>
      <c r="B207" t="s">
        <v>1406</v>
      </c>
      <c r="C207" t="s">
        <v>1898</v>
      </c>
      <c r="D207">
        <v>46498356820</v>
      </c>
      <c r="E207" t="s">
        <v>1899</v>
      </c>
      <c r="F207">
        <v>1158000900</v>
      </c>
      <c r="G207" s="1">
        <v>45887</v>
      </c>
      <c r="H207" t="s">
        <v>1350</v>
      </c>
      <c r="I207" t="s">
        <v>1374</v>
      </c>
      <c r="J207" t="s">
        <v>1363</v>
      </c>
      <c r="K207" t="s">
        <v>1353</v>
      </c>
      <c r="L207" t="s">
        <v>1408</v>
      </c>
      <c r="M207" t="s">
        <v>1409</v>
      </c>
      <c r="N207" t="s">
        <v>1410</v>
      </c>
      <c r="O207" t="s">
        <v>1411</v>
      </c>
      <c r="P207" t="s">
        <v>1411</v>
      </c>
      <c r="Q207" t="s">
        <v>1412</v>
      </c>
      <c r="S207" s="1">
        <v>46043</v>
      </c>
      <c r="W207" s="1">
        <v>35380</v>
      </c>
      <c r="X207" t="s">
        <v>1900</v>
      </c>
      <c r="Y207" t="s">
        <v>1901</v>
      </c>
      <c r="Z207" t="s">
        <v>1414</v>
      </c>
      <c r="AA207" t="s">
        <v>1419</v>
      </c>
      <c r="AB207" t="s">
        <v>961</v>
      </c>
      <c r="AC207">
        <v>13996256054</v>
      </c>
      <c r="AD207" t="str">
        <f>_xlfn.XLOOKUP(F207,'Base de Tutores'!L:L,'Base de Tutores'!F:F)</f>
        <v>COS-TIP</v>
      </c>
    </row>
    <row r="208" spans="1:30" hidden="1" x14ac:dyDescent="0.3">
      <c r="A208" t="s">
        <v>1405</v>
      </c>
      <c r="B208" t="s">
        <v>1406</v>
      </c>
      <c r="C208" t="s">
        <v>1902</v>
      </c>
      <c r="D208">
        <v>11737968789</v>
      </c>
      <c r="E208">
        <v>210607131</v>
      </c>
      <c r="F208">
        <v>1158000683</v>
      </c>
      <c r="G208" s="1">
        <v>45754</v>
      </c>
      <c r="H208" t="s">
        <v>1350</v>
      </c>
      <c r="I208" t="s">
        <v>1374</v>
      </c>
      <c r="J208" t="s">
        <v>1363</v>
      </c>
      <c r="K208" t="s">
        <v>1353</v>
      </c>
      <c r="L208" t="s">
        <v>1408</v>
      </c>
      <c r="M208" t="s">
        <v>1409</v>
      </c>
      <c r="N208" t="s">
        <v>1410</v>
      </c>
      <c r="O208" t="s">
        <v>1423</v>
      </c>
      <c r="P208" t="s">
        <v>1411</v>
      </c>
      <c r="Q208" t="s">
        <v>1412</v>
      </c>
      <c r="S208" s="1">
        <v>46043</v>
      </c>
      <c r="W208" s="1">
        <v>32159</v>
      </c>
      <c r="X208" t="s">
        <v>1903</v>
      </c>
      <c r="Y208" t="s">
        <v>1904</v>
      </c>
      <c r="Z208" t="s">
        <v>1414</v>
      </c>
      <c r="AA208" t="s">
        <v>1419</v>
      </c>
      <c r="AB208" t="s">
        <v>597</v>
      </c>
      <c r="AC208">
        <v>24993059252</v>
      </c>
      <c r="AD208" t="str">
        <f>_xlfn.XLOOKUP(F208,'Base de Tutores'!L:L,'Base de Tutores'!F:F)</f>
        <v>EMF-ISN</v>
      </c>
    </row>
    <row r="209" spans="1:30" hidden="1" x14ac:dyDescent="0.3">
      <c r="A209" t="s">
        <v>1405</v>
      </c>
      <c r="B209" t="s">
        <v>1406</v>
      </c>
      <c r="C209" t="s">
        <v>1905</v>
      </c>
      <c r="D209">
        <v>725796090</v>
      </c>
      <c r="E209">
        <v>4063417986</v>
      </c>
      <c r="F209">
        <v>1158000790</v>
      </c>
      <c r="G209" s="1">
        <v>45873</v>
      </c>
      <c r="H209" t="s">
        <v>1350</v>
      </c>
      <c r="I209" t="s">
        <v>1374</v>
      </c>
      <c r="J209" t="s">
        <v>1363</v>
      </c>
      <c r="K209" t="s">
        <v>1353</v>
      </c>
      <c r="L209" t="s">
        <v>1408</v>
      </c>
      <c r="M209" t="s">
        <v>1409</v>
      </c>
      <c r="N209" t="s">
        <v>1410</v>
      </c>
      <c r="O209" t="s">
        <v>1423</v>
      </c>
      <c r="P209" t="s">
        <v>1423</v>
      </c>
      <c r="Q209" t="s">
        <v>1412</v>
      </c>
      <c r="S209" s="1">
        <v>46043</v>
      </c>
      <c r="W209" s="1">
        <v>31227</v>
      </c>
      <c r="X209" t="s">
        <v>1906</v>
      </c>
      <c r="Z209" t="s">
        <v>1414</v>
      </c>
      <c r="AA209" t="s">
        <v>1419</v>
      </c>
      <c r="AB209" t="s">
        <v>804</v>
      </c>
      <c r="AC209">
        <v>51998323454</v>
      </c>
      <c r="AD209" t="str">
        <f>_xlfn.XLOOKUP(F209,'Base de Tutores'!L:L,'Base de Tutores'!F:F)</f>
        <v>NTR</v>
      </c>
    </row>
    <row r="210" spans="1:30" hidden="1" x14ac:dyDescent="0.3">
      <c r="A210" t="s">
        <v>1405</v>
      </c>
      <c r="B210" t="s">
        <v>1406</v>
      </c>
      <c r="C210" t="s">
        <v>1907</v>
      </c>
      <c r="D210">
        <v>4062774003</v>
      </c>
      <c r="E210">
        <v>3121752038</v>
      </c>
      <c r="F210">
        <v>1158000572</v>
      </c>
      <c r="G210" s="1">
        <v>45735</v>
      </c>
      <c r="H210" t="s">
        <v>1350</v>
      </c>
      <c r="I210" t="s">
        <v>1349</v>
      </c>
      <c r="J210" t="s">
        <v>1363</v>
      </c>
      <c r="K210" t="s">
        <v>1353</v>
      </c>
      <c r="L210" t="s">
        <v>1408</v>
      </c>
      <c r="M210" t="s">
        <v>1409</v>
      </c>
      <c r="N210" t="s">
        <v>1410</v>
      </c>
      <c r="O210" t="s">
        <v>1423</v>
      </c>
      <c r="P210" t="s">
        <v>1423</v>
      </c>
      <c r="Q210" t="s">
        <v>1412</v>
      </c>
      <c r="S210" s="1">
        <v>46076</v>
      </c>
      <c r="V210" s="1">
        <v>46072</v>
      </c>
      <c r="W210" s="1">
        <v>36096</v>
      </c>
      <c r="X210" t="s">
        <v>1485</v>
      </c>
      <c r="Y210" t="s">
        <v>1756</v>
      </c>
      <c r="Z210" t="s">
        <v>1414</v>
      </c>
      <c r="AA210" t="s">
        <v>1419</v>
      </c>
      <c r="AB210" t="s">
        <v>108</v>
      </c>
      <c r="AC210">
        <v>53981047737</v>
      </c>
      <c r="AD210" t="str">
        <f>_xlfn.XLOOKUP(F210,'Base de Tutores'!L:L,'Base de Tutores'!F:F)</f>
        <v>EMF-ISN</v>
      </c>
    </row>
    <row r="211" spans="1:30" hidden="1" x14ac:dyDescent="0.3">
      <c r="A211" t="s">
        <v>1405</v>
      </c>
      <c r="B211" t="s">
        <v>1406</v>
      </c>
      <c r="C211" t="s">
        <v>1908</v>
      </c>
      <c r="D211">
        <v>8812676944</v>
      </c>
      <c r="E211" t="s">
        <v>1909</v>
      </c>
      <c r="F211">
        <v>1158000673</v>
      </c>
      <c r="G211" s="1">
        <v>45749</v>
      </c>
      <c r="H211" t="s">
        <v>1350</v>
      </c>
      <c r="I211" t="s">
        <v>1349</v>
      </c>
      <c r="J211" t="s">
        <v>1363</v>
      </c>
      <c r="K211" t="s">
        <v>1353</v>
      </c>
      <c r="L211" t="s">
        <v>1408</v>
      </c>
      <c r="M211" t="s">
        <v>1447</v>
      </c>
      <c r="N211" t="s">
        <v>1448</v>
      </c>
      <c r="O211" t="s">
        <v>1423</v>
      </c>
      <c r="P211" t="s">
        <v>1423</v>
      </c>
      <c r="Q211" t="s">
        <v>1412</v>
      </c>
      <c r="S211" s="1">
        <v>45903</v>
      </c>
      <c r="V211" s="1">
        <v>45901</v>
      </c>
      <c r="W211" s="1">
        <v>34590</v>
      </c>
      <c r="X211" t="s">
        <v>1910</v>
      </c>
      <c r="Y211" t="s">
        <v>1911</v>
      </c>
      <c r="Z211" t="s">
        <v>1414</v>
      </c>
      <c r="AA211" t="s">
        <v>1419</v>
      </c>
      <c r="AB211" t="s">
        <v>1912</v>
      </c>
      <c r="AC211">
        <v>44997009859</v>
      </c>
      <c r="AD211" t="str">
        <f>_xlfn.XLOOKUP(F211,'Base de Tutores'!L:L,'Base de Tutores'!F:F)</f>
        <v>ECE-ENM-ENS-ENG-EEA-GPI-CDE-OBR-SAN-TER-FSA-SLF-QUI</v>
      </c>
    </row>
    <row r="212" spans="1:30" hidden="1" x14ac:dyDescent="0.3">
      <c r="A212" t="s">
        <v>1405</v>
      </c>
      <c r="B212" t="s">
        <v>1406</v>
      </c>
      <c r="C212" t="s">
        <v>1913</v>
      </c>
      <c r="D212">
        <v>3912495505</v>
      </c>
      <c r="E212">
        <v>1493906291</v>
      </c>
      <c r="F212">
        <v>1158000536</v>
      </c>
      <c r="G212" s="1">
        <v>45721</v>
      </c>
      <c r="H212" t="s">
        <v>1350</v>
      </c>
      <c r="I212" t="s">
        <v>1374</v>
      </c>
      <c r="J212" t="s">
        <v>1363</v>
      </c>
      <c r="K212" t="s">
        <v>1353</v>
      </c>
      <c r="L212" t="s">
        <v>1408</v>
      </c>
      <c r="M212" t="s">
        <v>1421</v>
      </c>
      <c r="N212" t="s">
        <v>1422</v>
      </c>
      <c r="O212" t="s">
        <v>1411</v>
      </c>
      <c r="P212" t="s">
        <v>1411</v>
      </c>
      <c r="Q212" t="s">
        <v>1412</v>
      </c>
      <c r="S212" s="1">
        <v>46043</v>
      </c>
      <c r="W212" s="1">
        <v>32616</v>
      </c>
      <c r="X212" t="s">
        <v>1914</v>
      </c>
      <c r="Z212" t="s">
        <v>1414</v>
      </c>
      <c r="AA212" t="s">
        <v>1419</v>
      </c>
      <c r="AB212" t="s">
        <v>309</v>
      </c>
      <c r="AC212">
        <v>73982330283</v>
      </c>
      <c r="AD212" t="str">
        <f>_xlfn.XLOOKUP(F212,'Base de Tutores'!L:L,'Base de Tutores'!F:F)</f>
        <v>EMF-ISN</v>
      </c>
    </row>
    <row r="213" spans="1:30" hidden="1" x14ac:dyDescent="0.3">
      <c r="A213" t="s">
        <v>1405</v>
      </c>
      <c r="B213" t="s">
        <v>1406</v>
      </c>
      <c r="C213" t="s">
        <v>1915</v>
      </c>
      <c r="D213">
        <v>2563187273</v>
      </c>
      <c r="E213" t="s">
        <v>1916</v>
      </c>
      <c r="F213">
        <v>1158000735</v>
      </c>
      <c r="G213" s="1">
        <v>45810</v>
      </c>
      <c r="H213" t="s">
        <v>1350</v>
      </c>
      <c r="I213" t="s">
        <v>1374</v>
      </c>
      <c r="J213" t="s">
        <v>1363</v>
      </c>
      <c r="K213" t="s">
        <v>1353</v>
      </c>
      <c r="L213" t="s">
        <v>1408</v>
      </c>
      <c r="M213" t="s">
        <v>1409</v>
      </c>
      <c r="N213" t="s">
        <v>1410</v>
      </c>
      <c r="O213" t="s">
        <v>1411</v>
      </c>
      <c r="P213" t="s">
        <v>1411</v>
      </c>
      <c r="Q213" t="s">
        <v>1412</v>
      </c>
      <c r="S213" s="1">
        <v>46043</v>
      </c>
      <c r="W213" s="1">
        <v>36038</v>
      </c>
      <c r="X213" t="s">
        <v>1917</v>
      </c>
      <c r="Z213" t="s">
        <v>1414</v>
      </c>
      <c r="AA213" t="s">
        <v>1415</v>
      </c>
      <c r="AB213" t="s">
        <v>417</v>
      </c>
      <c r="AC213">
        <v>97984293911</v>
      </c>
      <c r="AD213" t="str">
        <f>_xlfn.XLOOKUP(F213,'Base de Tutores'!L:L,'Base de Tutores'!F:F)</f>
        <v>EMF-ISN</v>
      </c>
    </row>
    <row r="214" spans="1:30" hidden="1" x14ac:dyDescent="0.3">
      <c r="A214" t="s">
        <v>1405</v>
      </c>
      <c r="B214" t="s">
        <v>1406</v>
      </c>
      <c r="C214" t="s">
        <v>1918</v>
      </c>
      <c r="D214">
        <v>1532098286</v>
      </c>
      <c r="E214" t="s">
        <v>1919</v>
      </c>
      <c r="F214">
        <v>1158000545</v>
      </c>
      <c r="G214" s="1">
        <v>45728</v>
      </c>
      <c r="H214" t="s">
        <v>1350</v>
      </c>
      <c r="I214" t="s">
        <v>1374</v>
      </c>
      <c r="J214" t="s">
        <v>1363</v>
      </c>
      <c r="K214" t="s">
        <v>1353</v>
      </c>
      <c r="L214" t="s">
        <v>1408</v>
      </c>
      <c r="M214" t="s">
        <v>1409</v>
      </c>
      <c r="N214" t="s">
        <v>1410</v>
      </c>
      <c r="O214" t="s">
        <v>1423</v>
      </c>
      <c r="P214" t="s">
        <v>1423</v>
      </c>
      <c r="Q214" t="s">
        <v>1412</v>
      </c>
      <c r="S214" s="1">
        <v>46043</v>
      </c>
      <c r="W214" s="1">
        <v>33533</v>
      </c>
      <c r="X214" t="s">
        <v>1825</v>
      </c>
      <c r="Y214" t="s">
        <v>1920</v>
      </c>
      <c r="Z214" t="s">
        <v>1414</v>
      </c>
      <c r="AA214" t="s">
        <v>1419</v>
      </c>
      <c r="AB214" t="s">
        <v>995</v>
      </c>
      <c r="AC214">
        <v>9292910592</v>
      </c>
      <c r="AD214" t="str">
        <f>_xlfn.XLOOKUP(F214,'Base de Tutores'!L:L,'Base de Tutores'!F:F)</f>
        <v>EMF-ISN</v>
      </c>
    </row>
    <row r="215" spans="1:30" hidden="1" x14ac:dyDescent="0.3">
      <c r="A215" t="s">
        <v>1405</v>
      </c>
      <c r="B215" t="s">
        <v>1406</v>
      </c>
      <c r="C215" t="s">
        <v>1921</v>
      </c>
      <c r="D215">
        <v>12448743703</v>
      </c>
      <c r="E215">
        <v>225506625</v>
      </c>
      <c r="F215">
        <v>1158000942</v>
      </c>
      <c r="G215" s="1">
        <v>45901</v>
      </c>
      <c r="H215" t="s">
        <v>1350</v>
      </c>
      <c r="I215" t="s">
        <v>1349</v>
      </c>
      <c r="J215" t="s">
        <v>1363</v>
      </c>
      <c r="K215" t="s">
        <v>1353</v>
      </c>
      <c r="L215" t="s">
        <v>1408</v>
      </c>
      <c r="M215" t="s">
        <v>1447</v>
      </c>
      <c r="N215" t="s">
        <v>1448</v>
      </c>
      <c r="O215" t="s">
        <v>1423</v>
      </c>
      <c r="P215" t="s">
        <v>1423</v>
      </c>
      <c r="Q215" t="s">
        <v>1412</v>
      </c>
      <c r="S215" s="1">
        <v>46045</v>
      </c>
      <c r="V215" s="1">
        <v>46042</v>
      </c>
      <c r="W215" s="1">
        <v>32625</v>
      </c>
      <c r="X215" t="s">
        <v>1922</v>
      </c>
      <c r="Z215" t="s">
        <v>1414</v>
      </c>
      <c r="AA215" t="s">
        <v>1419</v>
      </c>
      <c r="AB215" t="s">
        <v>1030</v>
      </c>
      <c r="AC215">
        <v>22992212951</v>
      </c>
      <c r="AD215" t="str">
        <f>_xlfn.XLOOKUP(F215,'Base de Tutores'!L:L,'Base de Tutores'!F:F)</f>
        <v>BFR</v>
      </c>
    </row>
    <row r="216" spans="1:30" hidden="1" x14ac:dyDescent="0.3">
      <c r="A216" t="s">
        <v>1405</v>
      </c>
      <c r="B216" t="s">
        <v>1406</v>
      </c>
      <c r="C216" t="s">
        <v>1923</v>
      </c>
      <c r="D216">
        <v>94116873004</v>
      </c>
      <c r="E216">
        <v>5070169891</v>
      </c>
      <c r="F216">
        <v>1158001221</v>
      </c>
      <c r="G216" s="1">
        <v>46125</v>
      </c>
      <c r="H216" t="s">
        <v>1350</v>
      </c>
      <c r="I216" t="s">
        <v>1374</v>
      </c>
      <c r="J216" t="s">
        <v>1363</v>
      </c>
      <c r="K216" t="s">
        <v>1353</v>
      </c>
      <c r="L216" t="s">
        <v>1408</v>
      </c>
      <c r="M216" t="s">
        <v>1646</v>
      </c>
      <c r="N216" t="s">
        <v>1647</v>
      </c>
      <c r="O216" t="s">
        <v>1423</v>
      </c>
      <c r="P216" t="s">
        <v>1423</v>
      </c>
      <c r="Q216" t="s">
        <v>1412</v>
      </c>
      <c r="S216" s="1">
        <v>46121</v>
      </c>
      <c r="W216" s="1">
        <v>28528</v>
      </c>
      <c r="X216" t="s">
        <v>1424</v>
      </c>
      <c r="AA216" t="s">
        <v>1419</v>
      </c>
      <c r="AB216" t="s">
        <v>1924</v>
      </c>
      <c r="AC216">
        <v>51993226529</v>
      </c>
      <c r="AD216" t="str">
        <f>_xlfn.XLOOKUP(F216,'Base de Tutores'!L:L,'Base de Tutores'!F:F)</f>
        <v>BFR</v>
      </c>
    </row>
    <row r="217" spans="1:30" hidden="1" x14ac:dyDescent="0.3">
      <c r="A217" t="s">
        <v>1405</v>
      </c>
      <c r="B217" t="s">
        <v>1406</v>
      </c>
      <c r="C217" t="s">
        <v>1925</v>
      </c>
      <c r="D217">
        <v>1413387500</v>
      </c>
      <c r="E217" t="s">
        <v>1926</v>
      </c>
      <c r="F217">
        <v>1158000692</v>
      </c>
      <c r="G217" s="1">
        <v>45754</v>
      </c>
      <c r="H217" t="s">
        <v>1350</v>
      </c>
      <c r="I217" t="s">
        <v>1374</v>
      </c>
      <c r="J217" t="s">
        <v>1427</v>
      </c>
      <c r="K217" t="s">
        <v>1356</v>
      </c>
      <c r="L217" t="s">
        <v>1408</v>
      </c>
      <c r="M217" t="s">
        <v>1409</v>
      </c>
      <c r="N217" t="s">
        <v>1410</v>
      </c>
      <c r="O217" t="s">
        <v>1411</v>
      </c>
      <c r="P217" t="s">
        <v>1411</v>
      </c>
      <c r="Q217" t="s">
        <v>1412</v>
      </c>
      <c r="S217" s="1">
        <v>46043</v>
      </c>
      <c r="W217" s="1">
        <v>30355</v>
      </c>
      <c r="X217" t="s">
        <v>1430</v>
      </c>
      <c r="Z217" t="s">
        <v>1414</v>
      </c>
      <c r="AA217" t="s">
        <v>1419</v>
      </c>
      <c r="AB217" t="s">
        <v>285</v>
      </c>
      <c r="AC217">
        <v>75992843796</v>
      </c>
      <c r="AD217" t="str">
        <f>_xlfn.XLOOKUP(F217,'Base de Tutores'!L:L,'Base de Tutores'!F:F)</f>
        <v>EMF-ISN</v>
      </c>
    </row>
    <row r="218" spans="1:30" hidden="1" x14ac:dyDescent="0.3">
      <c r="A218" t="s">
        <v>1405</v>
      </c>
      <c r="B218" t="s">
        <v>1406</v>
      </c>
      <c r="C218" t="s">
        <v>1927</v>
      </c>
      <c r="D218">
        <v>60402972392</v>
      </c>
      <c r="E218">
        <v>2009009135906</v>
      </c>
      <c r="F218">
        <v>1158001058</v>
      </c>
      <c r="G218" s="1">
        <v>45971</v>
      </c>
      <c r="H218" t="s">
        <v>1350</v>
      </c>
      <c r="I218" t="s">
        <v>1374</v>
      </c>
      <c r="J218" s="4">
        <v>4.166666666666667</v>
      </c>
      <c r="K218" t="s">
        <v>1363</v>
      </c>
      <c r="L218" t="s">
        <v>1408</v>
      </c>
      <c r="M218" t="s">
        <v>1409</v>
      </c>
      <c r="N218" t="s">
        <v>1410</v>
      </c>
      <c r="O218" t="s">
        <v>1462</v>
      </c>
      <c r="P218" t="s">
        <v>1462</v>
      </c>
      <c r="Q218" t="s">
        <v>1412</v>
      </c>
      <c r="S218" s="1">
        <v>46043</v>
      </c>
      <c r="W218" s="1">
        <v>34025</v>
      </c>
      <c r="X218" t="s">
        <v>1507</v>
      </c>
      <c r="Z218" t="s">
        <v>1414</v>
      </c>
      <c r="AA218" t="s">
        <v>1419</v>
      </c>
      <c r="AB218" t="s">
        <v>297</v>
      </c>
      <c r="AC218">
        <v>85989430581</v>
      </c>
      <c r="AD218" t="str">
        <f>_xlfn.XLOOKUP(F218,'Base de Tutores'!L:L,'Base de Tutores'!F:F)</f>
        <v>EMF-ISN</v>
      </c>
    </row>
    <row r="219" spans="1:30" hidden="1" x14ac:dyDescent="0.3">
      <c r="A219" t="s">
        <v>1405</v>
      </c>
      <c r="B219" t="s">
        <v>1406</v>
      </c>
      <c r="C219" t="s">
        <v>1928</v>
      </c>
      <c r="D219">
        <v>4095837152</v>
      </c>
      <c r="E219">
        <v>5958612</v>
      </c>
      <c r="F219">
        <v>1158000737</v>
      </c>
      <c r="G219" s="1">
        <v>45810</v>
      </c>
      <c r="H219" t="s">
        <v>1350</v>
      </c>
      <c r="I219" t="s">
        <v>1349</v>
      </c>
      <c r="J219" t="s">
        <v>1363</v>
      </c>
      <c r="K219" t="s">
        <v>1353</v>
      </c>
      <c r="L219" t="s">
        <v>1408</v>
      </c>
      <c r="M219" t="s">
        <v>1409</v>
      </c>
      <c r="N219" t="s">
        <v>1410</v>
      </c>
      <c r="O219" t="s">
        <v>1411</v>
      </c>
      <c r="P219" t="s">
        <v>1411</v>
      </c>
      <c r="Q219" t="s">
        <v>1412</v>
      </c>
      <c r="S219" s="1">
        <v>45972</v>
      </c>
      <c r="V219" s="1">
        <v>45964</v>
      </c>
      <c r="W219" s="1">
        <v>34306</v>
      </c>
      <c r="X219" t="s">
        <v>1617</v>
      </c>
      <c r="Z219" t="s">
        <v>1414</v>
      </c>
      <c r="AA219" t="s">
        <v>1419</v>
      </c>
      <c r="AB219" t="s">
        <v>292</v>
      </c>
      <c r="AC219">
        <v>61992871621</v>
      </c>
      <c r="AD219" t="str">
        <f>_xlfn.XLOOKUP(F219,'Base de Tutores'!L:L,'Base de Tutores'!F:F)</f>
        <v>EMF-ISN</v>
      </c>
    </row>
    <row r="220" spans="1:30" hidden="1" x14ac:dyDescent="0.3">
      <c r="A220" t="s">
        <v>1405</v>
      </c>
      <c r="B220" t="s">
        <v>1406</v>
      </c>
      <c r="C220" t="s">
        <v>1929</v>
      </c>
      <c r="D220">
        <v>15927214789</v>
      </c>
      <c r="E220">
        <v>287524151</v>
      </c>
      <c r="F220">
        <v>1158000956</v>
      </c>
      <c r="G220" s="1">
        <v>45901</v>
      </c>
      <c r="H220" t="s">
        <v>1350</v>
      </c>
      <c r="I220" t="s">
        <v>1349</v>
      </c>
      <c r="J220" t="s">
        <v>1363</v>
      </c>
      <c r="K220" t="s">
        <v>1353</v>
      </c>
      <c r="L220" t="s">
        <v>1408</v>
      </c>
      <c r="M220" t="s">
        <v>1409</v>
      </c>
      <c r="N220" t="s">
        <v>1410</v>
      </c>
      <c r="O220" t="s">
        <v>1423</v>
      </c>
      <c r="P220" t="s">
        <v>1423</v>
      </c>
      <c r="Q220" t="s">
        <v>1412</v>
      </c>
      <c r="S220" s="1">
        <v>45943</v>
      </c>
      <c r="V220" s="1">
        <v>45937</v>
      </c>
      <c r="W220" s="1">
        <v>34477</v>
      </c>
      <c r="X220" t="s">
        <v>1721</v>
      </c>
      <c r="Z220" t="s">
        <v>1414</v>
      </c>
      <c r="AA220" t="s">
        <v>1419</v>
      </c>
      <c r="AB220" t="s">
        <v>1021</v>
      </c>
      <c r="AC220">
        <v>44999857685</v>
      </c>
      <c r="AD220" t="str">
        <f>_xlfn.XLOOKUP(F220,'Base de Tutores'!L:L,'Base de Tutores'!F:F)</f>
        <v>BFR</v>
      </c>
    </row>
    <row r="221" spans="1:30" hidden="1" x14ac:dyDescent="0.3">
      <c r="A221" t="s">
        <v>1405</v>
      </c>
      <c r="B221" t="s">
        <v>1406</v>
      </c>
      <c r="C221" t="s">
        <v>1930</v>
      </c>
      <c r="D221">
        <v>8824980619</v>
      </c>
      <c r="E221">
        <v>13979116</v>
      </c>
      <c r="F221">
        <v>1158000899</v>
      </c>
      <c r="G221" s="1">
        <v>45887</v>
      </c>
      <c r="H221" t="s">
        <v>1350</v>
      </c>
      <c r="I221" t="s">
        <v>1374</v>
      </c>
      <c r="J221" t="s">
        <v>1363</v>
      </c>
      <c r="K221" t="s">
        <v>1353</v>
      </c>
      <c r="L221" t="s">
        <v>1408</v>
      </c>
      <c r="M221" t="s">
        <v>1409</v>
      </c>
      <c r="N221" t="s">
        <v>1410</v>
      </c>
      <c r="O221" t="s">
        <v>1423</v>
      </c>
      <c r="P221" t="s">
        <v>1423</v>
      </c>
      <c r="Q221" t="s">
        <v>1412</v>
      </c>
      <c r="S221" s="1">
        <v>46043</v>
      </c>
      <c r="W221" s="1">
        <v>32021</v>
      </c>
      <c r="X221" t="s">
        <v>1503</v>
      </c>
      <c r="Z221" t="s">
        <v>1414</v>
      </c>
      <c r="AA221" t="s">
        <v>1419</v>
      </c>
      <c r="AB221" t="s">
        <v>963</v>
      </c>
      <c r="AC221">
        <v>31993585802</v>
      </c>
      <c r="AD221" t="str">
        <f>_xlfn.XLOOKUP(F221,'Base de Tutores'!L:L,'Base de Tutores'!F:F)</f>
        <v>BFR</v>
      </c>
    </row>
    <row r="222" spans="1:30" hidden="1" x14ac:dyDescent="0.3">
      <c r="A222" t="s">
        <v>1405</v>
      </c>
      <c r="B222" t="s">
        <v>1406</v>
      </c>
      <c r="C222" t="s">
        <v>1931</v>
      </c>
      <c r="D222">
        <v>6700001676</v>
      </c>
      <c r="E222" t="s">
        <v>1932</v>
      </c>
      <c r="F222">
        <v>1158000959</v>
      </c>
      <c r="G222" s="1">
        <v>45901</v>
      </c>
      <c r="H222" t="s">
        <v>1350</v>
      </c>
      <c r="I222" t="s">
        <v>1374</v>
      </c>
      <c r="J222" t="s">
        <v>1363</v>
      </c>
      <c r="K222" t="s">
        <v>1353</v>
      </c>
      <c r="L222" t="s">
        <v>1408</v>
      </c>
      <c r="M222" t="s">
        <v>1447</v>
      </c>
      <c r="N222" t="s">
        <v>1448</v>
      </c>
      <c r="O222" t="s">
        <v>1423</v>
      </c>
      <c r="P222" t="s">
        <v>1423</v>
      </c>
      <c r="Q222" t="s">
        <v>1412</v>
      </c>
      <c r="S222" s="1">
        <v>46043</v>
      </c>
      <c r="W222" s="1">
        <v>31209</v>
      </c>
      <c r="X222" t="s">
        <v>1933</v>
      </c>
      <c r="Z222" t="s">
        <v>1414</v>
      </c>
      <c r="AA222" t="s">
        <v>1419</v>
      </c>
      <c r="AB222" t="s">
        <v>1041</v>
      </c>
      <c r="AC222">
        <v>22998810893</v>
      </c>
      <c r="AD222" t="str">
        <f>_xlfn.XLOOKUP(F222,'Base de Tutores'!L:L,'Base de Tutores'!F:F)</f>
        <v>ECE-ENM-ENS-ENG-EEA-GPI-CDE-OBR-SAN-TER-FSA-SLF-QUI</v>
      </c>
    </row>
    <row r="223" spans="1:30" hidden="1" x14ac:dyDescent="0.3">
      <c r="A223" t="s">
        <v>1405</v>
      </c>
      <c r="B223" t="s">
        <v>1406</v>
      </c>
      <c r="C223" t="s">
        <v>1934</v>
      </c>
      <c r="D223">
        <v>70712846107</v>
      </c>
      <c r="E223">
        <v>6653844</v>
      </c>
      <c r="F223">
        <v>1158000916</v>
      </c>
      <c r="G223" s="1">
        <v>45889</v>
      </c>
      <c r="H223" t="s">
        <v>1350</v>
      </c>
      <c r="I223" t="s">
        <v>1374</v>
      </c>
      <c r="J223" t="s">
        <v>1363</v>
      </c>
      <c r="K223" t="s">
        <v>1353</v>
      </c>
      <c r="L223" t="s">
        <v>1408</v>
      </c>
      <c r="M223" t="s">
        <v>1421</v>
      </c>
      <c r="N223" t="s">
        <v>1422</v>
      </c>
      <c r="O223" t="s">
        <v>1411</v>
      </c>
      <c r="P223" t="s">
        <v>1411</v>
      </c>
      <c r="Q223" t="s">
        <v>1412</v>
      </c>
      <c r="S223" s="1">
        <v>46043</v>
      </c>
      <c r="W223" s="1">
        <v>36483</v>
      </c>
      <c r="X223" t="s">
        <v>1424</v>
      </c>
      <c r="Z223" t="s">
        <v>1414</v>
      </c>
      <c r="AA223" t="s">
        <v>1419</v>
      </c>
      <c r="AB223" t="s">
        <v>1001</v>
      </c>
      <c r="AC223">
        <v>62991315608</v>
      </c>
      <c r="AD223" t="str">
        <f>_xlfn.XLOOKUP(F223,'Base de Tutores'!L:L,'Base de Tutores'!F:F)</f>
        <v>NTR</v>
      </c>
    </row>
    <row r="224" spans="1:30" hidden="1" x14ac:dyDescent="0.3">
      <c r="A224" t="s">
        <v>1405</v>
      </c>
      <c r="B224" t="s">
        <v>1406</v>
      </c>
      <c r="C224" t="s">
        <v>1935</v>
      </c>
      <c r="D224">
        <v>35050163811</v>
      </c>
      <c r="E224">
        <v>339315234</v>
      </c>
      <c r="F224">
        <v>1158001178</v>
      </c>
      <c r="G224" s="1">
        <v>46104</v>
      </c>
      <c r="H224" t="s">
        <v>1350</v>
      </c>
      <c r="I224" t="s">
        <v>1374</v>
      </c>
      <c r="J224" t="s">
        <v>1363</v>
      </c>
      <c r="K224" t="s">
        <v>1353</v>
      </c>
      <c r="L224" t="s">
        <v>1408</v>
      </c>
      <c r="M224" t="s">
        <v>1409</v>
      </c>
      <c r="N224" t="s">
        <v>1410</v>
      </c>
      <c r="O224" t="s">
        <v>1423</v>
      </c>
      <c r="P224" t="s">
        <v>1423</v>
      </c>
      <c r="Q224" t="s">
        <v>1412</v>
      </c>
      <c r="S224" s="1">
        <v>46097</v>
      </c>
      <c r="W224" s="1">
        <v>31652</v>
      </c>
      <c r="X224" t="s">
        <v>1510</v>
      </c>
      <c r="Z224" t="s">
        <v>1414</v>
      </c>
      <c r="AA224" t="s">
        <v>1419</v>
      </c>
      <c r="AB224" t="s">
        <v>1300</v>
      </c>
      <c r="AC224">
        <v>11982871180</v>
      </c>
      <c r="AD224" t="str">
        <f>_xlfn.XLOOKUP(F224,'Base de Tutores'!L:L,'Base de Tutores'!F:F)</f>
        <v>NTR</v>
      </c>
    </row>
    <row r="225" spans="1:30" hidden="1" x14ac:dyDescent="0.3">
      <c r="A225" t="s">
        <v>1405</v>
      </c>
      <c r="B225" t="s">
        <v>1406</v>
      </c>
      <c r="C225" t="s">
        <v>1936</v>
      </c>
      <c r="D225">
        <v>11999435761</v>
      </c>
      <c r="E225">
        <v>214317729</v>
      </c>
      <c r="F225">
        <v>1158001218</v>
      </c>
      <c r="G225" s="1">
        <v>46125</v>
      </c>
      <c r="H225" t="s">
        <v>1350</v>
      </c>
      <c r="I225" t="s">
        <v>1374</v>
      </c>
      <c r="J225" t="s">
        <v>1363</v>
      </c>
      <c r="K225" t="s">
        <v>1353</v>
      </c>
      <c r="L225" t="s">
        <v>1408</v>
      </c>
      <c r="M225" t="s">
        <v>1409</v>
      </c>
      <c r="N225" t="s">
        <v>1410</v>
      </c>
      <c r="O225" t="s">
        <v>1423</v>
      </c>
      <c r="P225" t="s">
        <v>1423</v>
      </c>
      <c r="Q225" t="s">
        <v>1412</v>
      </c>
      <c r="S225" s="1">
        <v>46121</v>
      </c>
      <c r="W225" s="1">
        <v>32224</v>
      </c>
      <c r="X225" t="s">
        <v>1627</v>
      </c>
      <c r="Z225" t="s">
        <v>1495</v>
      </c>
      <c r="AA225" t="s">
        <v>1419</v>
      </c>
      <c r="AB225" t="s">
        <v>1937</v>
      </c>
      <c r="AC225">
        <v>22998214684</v>
      </c>
      <c r="AD225" t="str">
        <f>_xlfn.XLOOKUP(F225,'Base de Tutores'!L:L,'Base de Tutores'!F:F)</f>
        <v>BFR</v>
      </c>
    </row>
    <row r="226" spans="1:30" hidden="1" x14ac:dyDescent="0.3">
      <c r="A226" t="s">
        <v>1405</v>
      </c>
      <c r="B226" t="s">
        <v>1406</v>
      </c>
      <c r="C226" t="s">
        <v>1938</v>
      </c>
      <c r="D226">
        <v>47522788803</v>
      </c>
      <c r="E226" t="s">
        <v>1939</v>
      </c>
      <c r="F226">
        <v>1158000671</v>
      </c>
      <c r="G226" s="1">
        <v>45749</v>
      </c>
      <c r="H226" t="s">
        <v>1350</v>
      </c>
      <c r="I226" t="s">
        <v>1374</v>
      </c>
      <c r="J226" t="s">
        <v>1363</v>
      </c>
      <c r="K226" t="s">
        <v>1353</v>
      </c>
      <c r="L226" t="s">
        <v>1408</v>
      </c>
      <c r="M226" t="s">
        <v>1409</v>
      </c>
      <c r="N226" t="s">
        <v>1410</v>
      </c>
      <c r="O226" t="s">
        <v>1411</v>
      </c>
      <c r="P226" t="s">
        <v>1423</v>
      </c>
      <c r="Q226" t="s">
        <v>1412</v>
      </c>
      <c r="S226" s="1">
        <v>46043</v>
      </c>
      <c r="W226" s="1">
        <v>36339</v>
      </c>
      <c r="X226" t="s">
        <v>1510</v>
      </c>
      <c r="Z226" t="s">
        <v>1414</v>
      </c>
      <c r="AA226" t="s">
        <v>1419</v>
      </c>
      <c r="AB226" t="s">
        <v>74</v>
      </c>
      <c r="AC226">
        <v>14996292308</v>
      </c>
      <c r="AD226" t="str">
        <f>_xlfn.XLOOKUP(F226,'Base de Tutores'!L:L,'Base de Tutores'!F:F)</f>
        <v>EMF-ISN</v>
      </c>
    </row>
    <row r="227" spans="1:30" hidden="1" x14ac:dyDescent="0.3">
      <c r="A227" t="s">
        <v>1405</v>
      </c>
      <c r="B227" t="s">
        <v>1406</v>
      </c>
      <c r="C227" t="s">
        <v>1940</v>
      </c>
      <c r="D227">
        <v>3485199583</v>
      </c>
      <c r="E227">
        <v>1317422724</v>
      </c>
      <c r="F227">
        <v>1158001224</v>
      </c>
      <c r="G227" s="1">
        <v>46127</v>
      </c>
      <c r="H227" t="s">
        <v>1350</v>
      </c>
      <c r="I227" t="s">
        <v>1374</v>
      </c>
      <c r="J227" t="s">
        <v>1363</v>
      </c>
      <c r="K227" t="s">
        <v>1353</v>
      </c>
      <c r="L227" t="s">
        <v>1408</v>
      </c>
      <c r="M227" t="s">
        <v>1421</v>
      </c>
      <c r="N227" t="s">
        <v>1422</v>
      </c>
      <c r="O227" t="s">
        <v>1462</v>
      </c>
      <c r="P227" t="s">
        <v>1462</v>
      </c>
      <c r="Q227" t="s">
        <v>1412</v>
      </c>
      <c r="S227" s="1">
        <v>46125</v>
      </c>
      <c r="W227" s="1">
        <v>33843</v>
      </c>
      <c r="X227" t="s">
        <v>1642</v>
      </c>
      <c r="Z227" t="s">
        <v>1414</v>
      </c>
      <c r="AA227" t="s">
        <v>1419</v>
      </c>
      <c r="AB227" t="s">
        <v>1941</v>
      </c>
      <c r="AC227">
        <v>71992070897</v>
      </c>
      <c r="AD227" t="str">
        <f>_xlfn.XLOOKUP(F227,'Base de Tutores'!L:L,'Base de Tutores'!F:F)</f>
        <v>BBI</v>
      </c>
    </row>
    <row r="228" spans="1:30" hidden="1" x14ac:dyDescent="0.3">
      <c r="A228" t="s">
        <v>1405</v>
      </c>
      <c r="B228" t="s">
        <v>1406</v>
      </c>
      <c r="C228" t="s">
        <v>1942</v>
      </c>
      <c r="D228">
        <v>6699151908</v>
      </c>
      <c r="E228" t="s">
        <v>1943</v>
      </c>
      <c r="F228">
        <v>1158000571</v>
      </c>
      <c r="G228" s="1">
        <v>45735</v>
      </c>
      <c r="H228" t="s">
        <v>1350</v>
      </c>
      <c r="I228" t="s">
        <v>1349</v>
      </c>
      <c r="J228" t="s">
        <v>1427</v>
      </c>
      <c r="K228" t="s">
        <v>1356</v>
      </c>
      <c r="L228" t="s">
        <v>1408</v>
      </c>
      <c r="M228" t="s">
        <v>1421</v>
      </c>
      <c r="N228" t="s">
        <v>1422</v>
      </c>
      <c r="O228" t="s">
        <v>1423</v>
      </c>
      <c r="P228" t="s">
        <v>1423</v>
      </c>
      <c r="Q228" t="s">
        <v>1412</v>
      </c>
      <c r="S228" s="1">
        <v>46064</v>
      </c>
      <c r="V228" s="1">
        <v>46063</v>
      </c>
      <c r="W228" s="1">
        <v>32503</v>
      </c>
      <c r="X228" t="s">
        <v>1833</v>
      </c>
      <c r="Z228" t="s">
        <v>1414</v>
      </c>
      <c r="AA228" t="s">
        <v>1419</v>
      </c>
      <c r="AB228" t="s">
        <v>482</v>
      </c>
      <c r="AC228">
        <v>45999067952</v>
      </c>
      <c r="AD228" t="str">
        <f>_xlfn.XLOOKUP(F228,'Base de Tutores'!L:L,'Base de Tutores'!F:F)</f>
        <v>EMF-ISN</v>
      </c>
    </row>
    <row r="229" spans="1:30" hidden="1" x14ac:dyDescent="0.3">
      <c r="A229" t="s">
        <v>1405</v>
      </c>
      <c r="B229" t="s">
        <v>1406</v>
      </c>
      <c r="C229" t="s">
        <v>1944</v>
      </c>
      <c r="D229">
        <v>3271364052</v>
      </c>
      <c r="E229">
        <v>1116568955</v>
      </c>
      <c r="F229">
        <v>1158000620</v>
      </c>
      <c r="G229" s="1">
        <v>45789</v>
      </c>
      <c r="H229" t="s">
        <v>1350</v>
      </c>
      <c r="I229" t="s">
        <v>1374</v>
      </c>
      <c r="J229" t="s">
        <v>1363</v>
      </c>
      <c r="K229" t="s">
        <v>1353</v>
      </c>
      <c r="L229" t="s">
        <v>1408</v>
      </c>
      <c r="M229" t="s">
        <v>1447</v>
      </c>
      <c r="N229" t="s">
        <v>1448</v>
      </c>
      <c r="O229" t="s">
        <v>1423</v>
      </c>
      <c r="P229" t="s">
        <v>1423</v>
      </c>
      <c r="Q229" t="s">
        <v>1412</v>
      </c>
      <c r="S229" s="1">
        <v>46043</v>
      </c>
      <c r="W229" s="1">
        <v>35129</v>
      </c>
      <c r="X229" t="s">
        <v>1453</v>
      </c>
      <c r="Z229" t="s">
        <v>1414</v>
      </c>
      <c r="AA229" t="s">
        <v>1419</v>
      </c>
      <c r="AB229" t="s">
        <v>942</v>
      </c>
      <c r="AC229">
        <v>55999474949</v>
      </c>
      <c r="AD229" t="str">
        <f>_xlfn.XLOOKUP(F229,'Base de Tutores'!L:L,'Base de Tutores'!F:F)</f>
        <v>EMF-ISN</v>
      </c>
    </row>
    <row r="230" spans="1:30" hidden="1" x14ac:dyDescent="0.3">
      <c r="A230" t="s">
        <v>1405</v>
      </c>
      <c r="B230" t="s">
        <v>1406</v>
      </c>
      <c r="C230" t="s">
        <v>1945</v>
      </c>
      <c r="D230">
        <v>9647353936</v>
      </c>
      <c r="E230">
        <v>9647353936</v>
      </c>
      <c r="F230">
        <v>1158000837</v>
      </c>
      <c r="G230" s="1">
        <v>45873</v>
      </c>
      <c r="H230" t="s">
        <v>1350</v>
      </c>
      <c r="I230" t="s">
        <v>1374</v>
      </c>
      <c r="J230" t="s">
        <v>1363</v>
      </c>
      <c r="K230" t="s">
        <v>1353</v>
      </c>
      <c r="L230" t="s">
        <v>1408</v>
      </c>
      <c r="M230" t="s">
        <v>1447</v>
      </c>
      <c r="N230" t="s">
        <v>1448</v>
      </c>
      <c r="O230" t="s">
        <v>1423</v>
      </c>
      <c r="P230" t="s">
        <v>1423</v>
      </c>
      <c r="Q230" t="s">
        <v>1412</v>
      </c>
      <c r="S230" s="1">
        <v>46043</v>
      </c>
      <c r="W230" s="1">
        <v>36414</v>
      </c>
      <c r="X230" t="s">
        <v>1946</v>
      </c>
      <c r="Z230" t="s">
        <v>1414</v>
      </c>
      <c r="AA230" t="s">
        <v>1419</v>
      </c>
      <c r="AB230" t="s">
        <v>807</v>
      </c>
      <c r="AC230">
        <v>48999108908</v>
      </c>
      <c r="AD230" t="str">
        <f>_xlfn.XLOOKUP(F230,'Base de Tutores'!L:L,'Base de Tutores'!F:F)</f>
        <v>NTR</v>
      </c>
    </row>
    <row r="231" spans="1:30" x14ac:dyDescent="0.3">
      <c r="A231" t="s">
        <v>1405</v>
      </c>
      <c r="B231" t="s">
        <v>1406</v>
      </c>
      <c r="C231" t="s">
        <v>1947</v>
      </c>
      <c r="D231">
        <v>3387777094</v>
      </c>
      <c r="E231">
        <v>2108146974</v>
      </c>
      <c r="F231">
        <v>1158000980</v>
      </c>
      <c r="G231" s="1">
        <v>45915</v>
      </c>
      <c r="H231" t="s">
        <v>1350</v>
      </c>
      <c r="I231" t="s">
        <v>1374</v>
      </c>
      <c r="J231" t="s">
        <v>1363</v>
      </c>
      <c r="K231" t="s">
        <v>1353</v>
      </c>
      <c r="L231" t="s">
        <v>1408</v>
      </c>
      <c r="M231" t="s">
        <v>1409</v>
      </c>
      <c r="N231" t="s">
        <v>1410</v>
      </c>
      <c r="O231" t="s">
        <v>1423</v>
      </c>
      <c r="P231" t="s">
        <v>1423</v>
      </c>
      <c r="Q231" t="s">
        <v>1412</v>
      </c>
      <c r="S231" s="1">
        <v>46043</v>
      </c>
      <c r="W231" s="1">
        <v>34807</v>
      </c>
      <c r="X231" t="s">
        <v>1948</v>
      </c>
      <c r="Z231" t="s">
        <v>1414</v>
      </c>
      <c r="AA231" t="s">
        <v>1419</v>
      </c>
      <c r="AB231" t="s">
        <v>1098</v>
      </c>
      <c r="AC231">
        <v>51991342468</v>
      </c>
      <c r="AD231" t="str">
        <f>_xlfn.XLOOKUP(F231,'Base de Tutores'!L:L,'Base de Tutores'!F:F)</f>
        <v>BTO</v>
      </c>
    </row>
    <row r="232" spans="1:30" hidden="1" x14ac:dyDescent="0.3">
      <c r="A232" t="s">
        <v>1405</v>
      </c>
      <c r="B232" t="s">
        <v>1406</v>
      </c>
      <c r="C232" t="s">
        <v>1949</v>
      </c>
      <c r="D232">
        <v>66985366287</v>
      </c>
      <c r="E232">
        <v>3316897</v>
      </c>
      <c r="F232">
        <v>1158000700</v>
      </c>
      <c r="G232" s="1">
        <v>45756</v>
      </c>
      <c r="H232" t="s">
        <v>1350</v>
      </c>
      <c r="I232" t="s">
        <v>1374</v>
      </c>
      <c r="J232" t="s">
        <v>1363</v>
      </c>
      <c r="K232" t="s">
        <v>1353</v>
      </c>
      <c r="L232" t="s">
        <v>1408</v>
      </c>
      <c r="M232" t="s">
        <v>1421</v>
      </c>
      <c r="N232" t="s">
        <v>1422</v>
      </c>
      <c r="O232" t="s">
        <v>1423</v>
      </c>
      <c r="P232" t="s">
        <v>1423</v>
      </c>
      <c r="Q232" t="s">
        <v>1412</v>
      </c>
      <c r="S232" s="1">
        <v>46043</v>
      </c>
      <c r="W232" s="1">
        <v>29431</v>
      </c>
      <c r="X232" t="s">
        <v>1950</v>
      </c>
      <c r="Y232" t="s">
        <v>1951</v>
      </c>
      <c r="Z232" t="s">
        <v>1414</v>
      </c>
      <c r="AA232" t="s">
        <v>1419</v>
      </c>
      <c r="AB232" t="s">
        <v>527</v>
      </c>
      <c r="AC232">
        <v>93984091226</v>
      </c>
      <c r="AD232" t="str">
        <f>_xlfn.XLOOKUP(F232,'Base de Tutores'!L:L,'Base de Tutores'!F:F)</f>
        <v>EMF-ISN</v>
      </c>
    </row>
    <row r="233" spans="1:30" hidden="1" x14ac:dyDescent="0.3">
      <c r="A233" t="s">
        <v>1405</v>
      </c>
      <c r="B233" t="s">
        <v>1406</v>
      </c>
      <c r="C233" t="s">
        <v>1952</v>
      </c>
      <c r="D233">
        <v>3213828548</v>
      </c>
      <c r="E233" t="s">
        <v>1953</v>
      </c>
      <c r="F233">
        <v>1158000691</v>
      </c>
      <c r="G233" s="1">
        <v>45754</v>
      </c>
      <c r="H233" t="s">
        <v>1350</v>
      </c>
      <c r="I233" t="s">
        <v>1374</v>
      </c>
      <c r="J233" t="s">
        <v>1363</v>
      </c>
      <c r="K233" t="s">
        <v>1353</v>
      </c>
      <c r="L233" t="s">
        <v>1408</v>
      </c>
      <c r="M233" t="s">
        <v>1409</v>
      </c>
      <c r="N233" t="s">
        <v>1410</v>
      </c>
      <c r="O233" t="s">
        <v>1411</v>
      </c>
      <c r="P233" t="s">
        <v>1411</v>
      </c>
      <c r="Q233" t="s">
        <v>1412</v>
      </c>
      <c r="S233" s="1">
        <v>46043</v>
      </c>
      <c r="W233" s="1">
        <v>32299</v>
      </c>
      <c r="X233" t="s">
        <v>1954</v>
      </c>
      <c r="Z233" t="s">
        <v>1414</v>
      </c>
      <c r="AA233" t="s">
        <v>1419</v>
      </c>
      <c r="AB233" t="s">
        <v>361</v>
      </c>
      <c r="AC233">
        <v>73991003147</v>
      </c>
      <c r="AD233" t="str">
        <f>_xlfn.XLOOKUP(F233,'Base de Tutores'!L:L,'Base de Tutores'!F:F)</f>
        <v>EMF-ISN</v>
      </c>
    </row>
    <row r="234" spans="1:30" hidden="1" x14ac:dyDescent="0.3">
      <c r="A234" t="s">
        <v>1405</v>
      </c>
      <c r="B234" t="s">
        <v>1406</v>
      </c>
      <c r="C234" t="s">
        <v>1955</v>
      </c>
      <c r="D234">
        <v>880489006</v>
      </c>
      <c r="E234">
        <v>1062855612</v>
      </c>
      <c r="F234">
        <v>1158000789</v>
      </c>
      <c r="G234" s="1">
        <v>45873</v>
      </c>
      <c r="H234" t="s">
        <v>1350</v>
      </c>
      <c r="I234" t="s">
        <v>1374</v>
      </c>
      <c r="J234" t="s">
        <v>1363</v>
      </c>
      <c r="K234" t="s">
        <v>1353</v>
      </c>
      <c r="L234" t="s">
        <v>1408</v>
      </c>
      <c r="M234" t="s">
        <v>1409</v>
      </c>
      <c r="N234" t="s">
        <v>1410</v>
      </c>
      <c r="O234" t="s">
        <v>1423</v>
      </c>
      <c r="P234" t="s">
        <v>1423</v>
      </c>
      <c r="Q234" t="s">
        <v>1412</v>
      </c>
      <c r="S234" s="1">
        <v>46043</v>
      </c>
      <c r="W234" s="1">
        <v>30796</v>
      </c>
      <c r="X234" t="s">
        <v>1956</v>
      </c>
      <c r="Z234" t="s">
        <v>1414</v>
      </c>
      <c r="AA234" t="s">
        <v>1415</v>
      </c>
      <c r="AB234" t="s">
        <v>570</v>
      </c>
      <c r="AC234">
        <v>5496906505</v>
      </c>
      <c r="AD234" t="str">
        <f>_xlfn.XLOOKUP(F234,'Base de Tutores'!L:L,'Base de Tutores'!F:F)</f>
        <v>EMF-ISN</v>
      </c>
    </row>
    <row r="235" spans="1:30" hidden="1" x14ac:dyDescent="0.3">
      <c r="A235" t="s">
        <v>1405</v>
      </c>
      <c r="B235" t="s">
        <v>1406</v>
      </c>
      <c r="C235" t="s">
        <v>1957</v>
      </c>
      <c r="D235">
        <v>13330353732</v>
      </c>
      <c r="E235" t="s">
        <v>1958</v>
      </c>
      <c r="F235">
        <v>1158000797</v>
      </c>
      <c r="G235" s="1">
        <v>45873</v>
      </c>
      <c r="H235" t="s">
        <v>1350</v>
      </c>
      <c r="I235" t="s">
        <v>1349</v>
      </c>
      <c r="J235" t="s">
        <v>1363</v>
      </c>
      <c r="K235" t="s">
        <v>1353</v>
      </c>
      <c r="L235" t="s">
        <v>1408</v>
      </c>
      <c r="M235" t="s">
        <v>1447</v>
      </c>
      <c r="N235" t="s">
        <v>1448</v>
      </c>
      <c r="O235" t="s">
        <v>1411</v>
      </c>
      <c r="P235" t="s">
        <v>1411</v>
      </c>
      <c r="Q235" t="s">
        <v>1412</v>
      </c>
      <c r="S235" s="1">
        <v>46045</v>
      </c>
      <c r="V235" s="1">
        <v>46042</v>
      </c>
      <c r="W235" s="1">
        <v>33138</v>
      </c>
      <c r="X235" t="s">
        <v>1721</v>
      </c>
      <c r="Y235" t="s">
        <v>1959</v>
      </c>
      <c r="Z235" t="s">
        <v>1414</v>
      </c>
      <c r="AA235" t="s">
        <v>1415</v>
      </c>
      <c r="AB235" t="s">
        <v>835</v>
      </c>
      <c r="AC235">
        <v>21976815532</v>
      </c>
      <c r="AD235" t="str">
        <f>_xlfn.XLOOKUP(F235,'Base de Tutores'!L:L,'Base de Tutores'!F:F)</f>
        <v>BFR</v>
      </c>
    </row>
    <row r="236" spans="1:30" hidden="1" x14ac:dyDescent="0.3">
      <c r="A236" t="s">
        <v>1405</v>
      </c>
      <c r="B236" t="s">
        <v>1406</v>
      </c>
      <c r="C236" t="s">
        <v>1960</v>
      </c>
      <c r="D236">
        <v>9967952601</v>
      </c>
      <c r="E236">
        <v>16345102</v>
      </c>
      <c r="F236">
        <v>1158001160</v>
      </c>
      <c r="G236" s="1">
        <v>46090</v>
      </c>
      <c r="H236" t="s">
        <v>1350</v>
      </c>
      <c r="I236" t="s">
        <v>1374</v>
      </c>
      <c r="J236" t="s">
        <v>1363</v>
      </c>
      <c r="K236" t="s">
        <v>1353</v>
      </c>
      <c r="L236" t="s">
        <v>1408</v>
      </c>
      <c r="M236" t="s">
        <v>1409</v>
      </c>
      <c r="N236" t="s">
        <v>1410</v>
      </c>
      <c r="O236" t="s">
        <v>1423</v>
      </c>
      <c r="P236" t="s">
        <v>1423</v>
      </c>
      <c r="Q236" t="s">
        <v>1412</v>
      </c>
      <c r="S236" s="1">
        <v>46085</v>
      </c>
      <c r="W236" s="1">
        <v>32813</v>
      </c>
      <c r="X236" t="s">
        <v>1961</v>
      </c>
      <c r="AA236" t="s">
        <v>1415</v>
      </c>
      <c r="AB236" t="s">
        <v>1962</v>
      </c>
      <c r="AC236">
        <v>35992385696</v>
      </c>
      <c r="AD236" t="str">
        <f>_xlfn.XLOOKUP(F236,'Base de Tutores'!L:L,'Base de Tutores'!F:F)</f>
        <v>EMF-ISN</v>
      </c>
    </row>
    <row r="237" spans="1:30" hidden="1" x14ac:dyDescent="0.3">
      <c r="A237" t="s">
        <v>1405</v>
      </c>
      <c r="B237" t="s">
        <v>1406</v>
      </c>
      <c r="C237" t="s">
        <v>1963</v>
      </c>
      <c r="D237">
        <v>5933575151</v>
      </c>
      <c r="E237" t="s">
        <v>1964</v>
      </c>
      <c r="F237">
        <v>1158001064</v>
      </c>
      <c r="G237" s="1">
        <v>45973</v>
      </c>
      <c r="H237" t="s">
        <v>1350</v>
      </c>
      <c r="I237" t="s">
        <v>1374</v>
      </c>
      <c r="J237" t="s">
        <v>1363</v>
      </c>
      <c r="K237" t="s">
        <v>1353</v>
      </c>
      <c r="L237" t="s">
        <v>1408</v>
      </c>
      <c r="M237" t="s">
        <v>1409</v>
      </c>
      <c r="N237" t="s">
        <v>1410</v>
      </c>
      <c r="O237" t="s">
        <v>1411</v>
      </c>
      <c r="P237" t="s">
        <v>1411</v>
      </c>
      <c r="Q237" t="s">
        <v>1412</v>
      </c>
      <c r="S237" s="1">
        <v>46043</v>
      </c>
      <c r="W237" s="1">
        <v>36166</v>
      </c>
      <c r="X237" t="s">
        <v>1965</v>
      </c>
      <c r="Z237" t="s">
        <v>1414</v>
      </c>
      <c r="AA237" t="s">
        <v>1415</v>
      </c>
      <c r="AB237" t="s">
        <v>1242</v>
      </c>
      <c r="AC237">
        <v>66996442011</v>
      </c>
      <c r="AD237" t="str">
        <f>_xlfn.XLOOKUP(F237,'Base de Tutores'!L:L,'Base de Tutores'!F:F)</f>
        <v>BFR</v>
      </c>
    </row>
    <row r="238" spans="1:30" hidden="1" x14ac:dyDescent="0.3">
      <c r="A238" t="s">
        <v>1405</v>
      </c>
      <c r="B238" t="s">
        <v>1406</v>
      </c>
      <c r="C238" t="s">
        <v>1966</v>
      </c>
      <c r="D238">
        <v>11703651758</v>
      </c>
      <c r="E238" s="3">
        <v>3121903</v>
      </c>
      <c r="F238">
        <v>1158000885</v>
      </c>
      <c r="G238" s="1">
        <v>45887</v>
      </c>
      <c r="H238" t="s">
        <v>1350</v>
      </c>
      <c r="I238" t="s">
        <v>1349</v>
      </c>
      <c r="J238" t="s">
        <v>1363</v>
      </c>
      <c r="K238" t="s">
        <v>1353</v>
      </c>
      <c r="L238" t="s">
        <v>1408</v>
      </c>
      <c r="M238" t="s">
        <v>1409</v>
      </c>
      <c r="N238" t="s">
        <v>1422</v>
      </c>
      <c r="O238" t="s">
        <v>1423</v>
      </c>
      <c r="P238" t="s">
        <v>1423</v>
      </c>
      <c r="Q238" t="s">
        <v>1412</v>
      </c>
      <c r="S238" s="1">
        <v>46093</v>
      </c>
      <c r="V238" s="1">
        <v>46092</v>
      </c>
      <c r="W238" s="1">
        <v>35548</v>
      </c>
      <c r="X238" t="s">
        <v>1572</v>
      </c>
      <c r="Z238" t="s">
        <v>1414</v>
      </c>
      <c r="AA238" t="s">
        <v>1419</v>
      </c>
      <c r="AB238" t="s">
        <v>186</v>
      </c>
      <c r="AC238">
        <v>27997096138</v>
      </c>
      <c r="AD238" t="str">
        <f>_xlfn.XLOOKUP(F238,'Base de Tutores'!L:L,'Base de Tutores'!F:F)</f>
        <v>EMF-ISN</v>
      </c>
    </row>
    <row r="239" spans="1:30" hidden="1" x14ac:dyDescent="0.3">
      <c r="A239" t="s">
        <v>1405</v>
      </c>
      <c r="B239" t="s">
        <v>1406</v>
      </c>
      <c r="C239" t="s">
        <v>1967</v>
      </c>
      <c r="D239">
        <v>10236045903</v>
      </c>
      <c r="E239">
        <v>126115202</v>
      </c>
      <c r="F239">
        <v>1158001172</v>
      </c>
      <c r="G239" s="1">
        <v>46097</v>
      </c>
      <c r="H239" t="s">
        <v>1350</v>
      </c>
      <c r="I239" t="s">
        <v>1349</v>
      </c>
      <c r="J239" t="s">
        <v>1363</v>
      </c>
      <c r="K239" t="s">
        <v>1353</v>
      </c>
      <c r="L239" t="s">
        <v>1408</v>
      </c>
      <c r="M239" t="s">
        <v>1409</v>
      </c>
      <c r="N239" t="s">
        <v>1410</v>
      </c>
      <c r="O239" t="s">
        <v>1423</v>
      </c>
      <c r="P239" t="s">
        <v>1423</v>
      </c>
      <c r="Q239" t="s">
        <v>1412</v>
      </c>
      <c r="S239" s="1">
        <v>46135</v>
      </c>
      <c r="V239" s="1">
        <v>46134</v>
      </c>
      <c r="W239" s="1">
        <v>35693</v>
      </c>
      <c r="X239" t="s">
        <v>1968</v>
      </c>
      <c r="Z239" t="s">
        <v>1414</v>
      </c>
      <c r="AA239" t="s">
        <v>1419</v>
      </c>
      <c r="AB239" t="s">
        <v>615</v>
      </c>
      <c r="AC239">
        <v>42998192641</v>
      </c>
      <c r="AD239" t="str">
        <f>_xlfn.XLOOKUP(F239,'Base de Tutores'!L:L,'Base de Tutores'!F:F)</f>
        <v>EMF-ISN</v>
      </c>
    </row>
    <row r="240" spans="1:30" hidden="1" x14ac:dyDescent="0.3">
      <c r="A240" t="s">
        <v>1405</v>
      </c>
      <c r="B240" t="s">
        <v>1406</v>
      </c>
      <c r="C240" t="s">
        <v>1969</v>
      </c>
      <c r="D240">
        <v>3963877138</v>
      </c>
      <c r="E240" s="3">
        <v>2944828</v>
      </c>
      <c r="F240">
        <v>1158000813</v>
      </c>
      <c r="G240" s="1">
        <v>45873</v>
      </c>
      <c r="H240" t="s">
        <v>1350</v>
      </c>
      <c r="I240" t="s">
        <v>1349</v>
      </c>
      <c r="J240" t="s">
        <v>1363</v>
      </c>
      <c r="K240" t="s">
        <v>1353</v>
      </c>
      <c r="L240" t="s">
        <v>1408</v>
      </c>
      <c r="M240" t="s">
        <v>1409</v>
      </c>
      <c r="N240" t="s">
        <v>1410</v>
      </c>
      <c r="O240" t="s">
        <v>1423</v>
      </c>
      <c r="P240" t="s">
        <v>1423</v>
      </c>
      <c r="Q240" t="s">
        <v>1412</v>
      </c>
      <c r="S240" s="1">
        <v>45950</v>
      </c>
      <c r="V240" s="1">
        <v>45943</v>
      </c>
      <c r="W240" s="1">
        <v>33559</v>
      </c>
      <c r="X240" t="s">
        <v>1617</v>
      </c>
      <c r="Z240" t="s">
        <v>1414</v>
      </c>
      <c r="AA240" t="s">
        <v>1419</v>
      </c>
      <c r="AB240" t="s">
        <v>783</v>
      </c>
      <c r="AC240">
        <v>61995568642</v>
      </c>
      <c r="AD240" t="str">
        <f>_xlfn.XLOOKUP(F240,'Base de Tutores'!L:L,'Base de Tutores'!F:F)</f>
        <v>BFR</v>
      </c>
    </row>
    <row r="241" spans="1:30" hidden="1" x14ac:dyDescent="0.3">
      <c r="A241" t="s">
        <v>1405</v>
      </c>
      <c r="B241" t="s">
        <v>1406</v>
      </c>
      <c r="C241" t="s">
        <v>1970</v>
      </c>
      <c r="D241">
        <v>584845235</v>
      </c>
      <c r="E241">
        <v>1273866</v>
      </c>
      <c r="F241">
        <v>1158000982</v>
      </c>
      <c r="G241" s="1">
        <v>45915</v>
      </c>
      <c r="H241" t="s">
        <v>1350</v>
      </c>
      <c r="I241" t="s">
        <v>1349</v>
      </c>
      <c r="J241" t="s">
        <v>1363</v>
      </c>
      <c r="K241" t="s">
        <v>1353</v>
      </c>
      <c r="L241" t="s">
        <v>1408</v>
      </c>
      <c r="M241" t="s">
        <v>1421</v>
      </c>
      <c r="N241" t="s">
        <v>1422</v>
      </c>
      <c r="O241" t="s">
        <v>1439</v>
      </c>
      <c r="P241" t="s">
        <v>1439</v>
      </c>
      <c r="Q241" t="s">
        <v>1412</v>
      </c>
      <c r="S241" s="1">
        <v>46000</v>
      </c>
      <c r="V241" s="1">
        <v>45999</v>
      </c>
      <c r="W241" s="1">
        <v>36334</v>
      </c>
      <c r="X241" t="s">
        <v>1971</v>
      </c>
      <c r="Z241" t="s">
        <v>1414</v>
      </c>
      <c r="AA241" t="s">
        <v>1419</v>
      </c>
      <c r="AB241" t="s">
        <v>1094</v>
      </c>
      <c r="AC241">
        <v>69981244693</v>
      </c>
      <c r="AD241" t="str">
        <f>_xlfn.XLOOKUP(F241,'Base de Tutores'!L:L,'Base de Tutores'!F:F)</f>
        <v>BFR</v>
      </c>
    </row>
    <row r="242" spans="1:30" hidden="1" x14ac:dyDescent="0.3">
      <c r="A242" t="s">
        <v>1405</v>
      </c>
      <c r="B242" t="s">
        <v>1406</v>
      </c>
      <c r="C242" t="s">
        <v>1972</v>
      </c>
      <c r="D242">
        <v>4584913226</v>
      </c>
      <c r="E242">
        <v>8102380</v>
      </c>
      <c r="F242">
        <v>1158001002</v>
      </c>
      <c r="G242" s="1">
        <v>45931</v>
      </c>
      <c r="H242" t="s">
        <v>1350</v>
      </c>
      <c r="I242" t="s">
        <v>1374</v>
      </c>
      <c r="J242" t="s">
        <v>1363</v>
      </c>
      <c r="K242" t="s">
        <v>1353</v>
      </c>
      <c r="L242" t="s">
        <v>1408</v>
      </c>
      <c r="M242" t="s">
        <v>1421</v>
      </c>
      <c r="N242" t="s">
        <v>1422</v>
      </c>
      <c r="O242" t="s">
        <v>1462</v>
      </c>
      <c r="P242" t="s">
        <v>1462</v>
      </c>
      <c r="Q242" t="s">
        <v>1412</v>
      </c>
      <c r="S242" s="1">
        <v>46043</v>
      </c>
      <c r="W242" s="1">
        <v>36496</v>
      </c>
      <c r="X242" t="s">
        <v>1492</v>
      </c>
      <c r="Z242" t="s">
        <v>1414</v>
      </c>
      <c r="AA242" t="s">
        <v>1419</v>
      </c>
      <c r="AB242" t="s">
        <v>1317</v>
      </c>
      <c r="AC242">
        <v>91988343299</v>
      </c>
      <c r="AD242" t="str">
        <f>_xlfn.XLOOKUP(F242,'Base de Tutores'!L:L,'Base de Tutores'!F:F)</f>
        <v>EMF-ISN</v>
      </c>
    </row>
    <row r="243" spans="1:30" hidden="1" x14ac:dyDescent="0.3">
      <c r="A243" t="s">
        <v>1405</v>
      </c>
      <c r="B243" t="s">
        <v>1406</v>
      </c>
      <c r="C243" t="s">
        <v>1973</v>
      </c>
      <c r="D243">
        <v>12452326739</v>
      </c>
      <c r="E243">
        <v>4259513</v>
      </c>
      <c r="F243">
        <v>1158000810</v>
      </c>
      <c r="G243" s="1">
        <v>45873</v>
      </c>
      <c r="H243" t="s">
        <v>1350</v>
      </c>
      <c r="I243" t="s">
        <v>1349</v>
      </c>
      <c r="J243" t="s">
        <v>1363</v>
      </c>
      <c r="K243" t="s">
        <v>1353</v>
      </c>
      <c r="L243" t="s">
        <v>1408</v>
      </c>
      <c r="M243" t="s">
        <v>1421</v>
      </c>
      <c r="N243" t="s">
        <v>1422</v>
      </c>
      <c r="O243" t="s">
        <v>1423</v>
      </c>
      <c r="P243" t="s">
        <v>1423</v>
      </c>
      <c r="Q243" t="s">
        <v>1412</v>
      </c>
      <c r="S243" s="1">
        <v>45933</v>
      </c>
      <c r="V243" s="1">
        <v>45931</v>
      </c>
      <c r="W243" s="1">
        <v>32553</v>
      </c>
      <c r="X243" t="s">
        <v>1974</v>
      </c>
      <c r="Z243" t="s">
        <v>1414</v>
      </c>
      <c r="AA243" t="s">
        <v>1419</v>
      </c>
      <c r="AB243" t="s">
        <v>751</v>
      </c>
      <c r="AC243">
        <v>27998899432</v>
      </c>
      <c r="AD243" t="str">
        <f>_xlfn.XLOOKUP(F243,'Base de Tutores'!L:L,'Base de Tutores'!F:F)</f>
        <v>AGM</v>
      </c>
    </row>
    <row r="244" spans="1:30" hidden="1" x14ac:dyDescent="0.3">
      <c r="A244" t="s">
        <v>1405</v>
      </c>
      <c r="B244" t="s">
        <v>1406</v>
      </c>
      <c r="C244" t="s">
        <v>1975</v>
      </c>
      <c r="D244">
        <v>94723109153</v>
      </c>
      <c r="E244">
        <v>148921</v>
      </c>
      <c r="F244">
        <v>1158000583</v>
      </c>
      <c r="G244" s="1">
        <v>45735</v>
      </c>
      <c r="H244" t="s">
        <v>1350</v>
      </c>
      <c r="I244" t="s">
        <v>1374</v>
      </c>
      <c r="J244" t="s">
        <v>1363</v>
      </c>
      <c r="K244" t="s">
        <v>1353</v>
      </c>
      <c r="L244" t="s">
        <v>1408</v>
      </c>
      <c r="M244" t="s">
        <v>1409</v>
      </c>
      <c r="N244" t="s">
        <v>1410</v>
      </c>
      <c r="O244" t="s">
        <v>1411</v>
      </c>
      <c r="P244" t="s">
        <v>1411</v>
      </c>
      <c r="Q244" t="s">
        <v>1412</v>
      </c>
      <c r="S244" s="1">
        <v>46043</v>
      </c>
      <c r="W244" s="1">
        <v>29872</v>
      </c>
      <c r="X244" t="s">
        <v>1976</v>
      </c>
      <c r="Z244" t="s">
        <v>1414</v>
      </c>
      <c r="AA244" t="s">
        <v>1419</v>
      </c>
      <c r="AB244" t="s">
        <v>619</v>
      </c>
      <c r="AC244">
        <v>62992723062</v>
      </c>
      <c r="AD244" t="str">
        <f>_xlfn.XLOOKUP(F244,'Base de Tutores'!L:L,'Base de Tutores'!F:F)</f>
        <v>EMF-ISN</v>
      </c>
    </row>
    <row r="245" spans="1:30" hidden="1" x14ac:dyDescent="0.3">
      <c r="A245" t="s">
        <v>1405</v>
      </c>
      <c r="B245" t="s">
        <v>1406</v>
      </c>
      <c r="C245" t="s">
        <v>1977</v>
      </c>
      <c r="D245">
        <v>1146930054</v>
      </c>
      <c r="E245">
        <v>8054277358</v>
      </c>
      <c r="F245">
        <v>1158000574</v>
      </c>
      <c r="G245" s="1">
        <v>45735</v>
      </c>
      <c r="H245" t="s">
        <v>1350</v>
      </c>
      <c r="I245" t="s">
        <v>1349</v>
      </c>
      <c r="J245" t="s">
        <v>1363</v>
      </c>
      <c r="K245" t="s">
        <v>1353</v>
      </c>
      <c r="L245" t="s">
        <v>1408</v>
      </c>
      <c r="M245" t="s">
        <v>1978</v>
      </c>
      <c r="N245" t="s">
        <v>1443</v>
      </c>
      <c r="O245" t="s">
        <v>1423</v>
      </c>
      <c r="P245" t="s">
        <v>1423</v>
      </c>
      <c r="Q245" t="s">
        <v>1412</v>
      </c>
      <c r="S245" s="1">
        <v>46128</v>
      </c>
      <c r="V245" s="1">
        <v>46126</v>
      </c>
      <c r="W245" s="1">
        <v>30014</v>
      </c>
      <c r="X245" t="s">
        <v>1490</v>
      </c>
      <c r="Y245" t="s">
        <v>1662</v>
      </c>
      <c r="Z245" t="s">
        <v>1414</v>
      </c>
      <c r="AA245" t="s">
        <v>1419</v>
      </c>
      <c r="AB245" t="s">
        <v>594</v>
      </c>
      <c r="AC245">
        <v>53981363243</v>
      </c>
      <c r="AD245" t="str">
        <f>_xlfn.XLOOKUP(F245,'Base de Tutores'!L:L,'Base de Tutores'!F:F)</f>
        <v>EMF-ISN</v>
      </c>
    </row>
    <row r="246" spans="1:30" hidden="1" x14ac:dyDescent="0.3">
      <c r="A246" t="s">
        <v>1405</v>
      </c>
      <c r="B246" t="s">
        <v>1406</v>
      </c>
      <c r="C246" t="s">
        <v>1979</v>
      </c>
      <c r="D246">
        <v>2136863258</v>
      </c>
      <c r="E246" t="s">
        <v>1980</v>
      </c>
      <c r="F246">
        <v>1158000633</v>
      </c>
      <c r="G246" s="1">
        <v>45789</v>
      </c>
      <c r="H246" t="s">
        <v>1350</v>
      </c>
      <c r="I246" t="s">
        <v>1349</v>
      </c>
      <c r="J246" t="s">
        <v>1363</v>
      </c>
      <c r="K246" t="s">
        <v>1353</v>
      </c>
      <c r="L246" t="s">
        <v>1408</v>
      </c>
      <c r="M246" t="s">
        <v>1409</v>
      </c>
      <c r="N246" t="s">
        <v>1410</v>
      </c>
      <c r="O246" t="s">
        <v>1411</v>
      </c>
      <c r="P246" t="s">
        <v>1411</v>
      </c>
      <c r="Q246" t="s">
        <v>1412</v>
      </c>
      <c r="S246" s="1">
        <v>46060</v>
      </c>
      <c r="V246" s="1">
        <v>46055</v>
      </c>
      <c r="W246" s="1">
        <v>35092</v>
      </c>
      <c r="X246" t="s">
        <v>1981</v>
      </c>
      <c r="Z246" t="s">
        <v>1414</v>
      </c>
      <c r="AA246" t="s">
        <v>1419</v>
      </c>
      <c r="AB246" t="s">
        <v>515</v>
      </c>
      <c r="AC246">
        <v>92984454503</v>
      </c>
      <c r="AD246" t="str">
        <f>_xlfn.XLOOKUP(F246,'Base de Tutores'!L:L,'Base de Tutores'!F:F)</f>
        <v>EMF-ISN</v>
      </c>
    </row>
    <row r="247" spans="1:30" hidden="1" x14ac:dyDescent="0.3">
      <c r="A247" t="s">
        <v>1405</v>
      </c>
      <c r="B247" t="s">
        <v>1406</v>
      </c>
      <c r="C247" t="s">
        <v>1982</v>
      </c>
      <c r="D247">
        <v>10362570965</v>
      </c>
      <c r="E247" t="s">
        <v>1983</v>
      </c>
      <c r="F247">
        <v>1158000802</v>
      </c>
      <c r="G247" s="1">
        <v>45873</v>
      </c>
      <c r="H247" t="s">
        <v>1350</v>
      </c>
      <c r="I247" t="s">
        <v>1349</v>
      </c>
      <c r="J247" t="s">
        <v>1363</v>
      </c>
      <c r="K247" t="s">
        <v>1353</v>
      </c>
      <c r="L247" t="s">
        <v>1408</v>
      </c>
      <c r="M247" t="s">
        <v>1409</v>
      </c>
      <c r="N247" t="s">
        <v>1410</v>
      </c>
      <c r="O247" t="s">
        <v>1423</v>
      </c>
      <c r="P247" t="s">
        <v>1423</v>
      </c>
      <c r="Q247" t="s">
        <v>1412</v>
      </c>
      <c r="S247" s="1">
        <v>45922</v>
      </c>
      <c r="V247" s="1">
        <v>45917</v>
      </c>
      <c r="W247" s="1">
        <v>35414</v>
      </c>
      <c r="X247" t="s">
        <v>1984</v>
      </c>
      <c r="Z247" t="s">
        <v>1414</v>
      </c>
      <c r="AA247" t="s">
        <v>1419</v>
      </c>
      <c r="AB247" t="s">
        <v>613</v>
      </c>
      <c r="AC247">
        <v>42999305910</v>
      </c>
      <c r="AD247" t="str">
        <f>_xlfn.XLOOKUP(F247,'Base de Tutores'!L:L,'Base de Tutores'!F:F)</f>
        <v>EMF-ISN</v>
      </c>
    </row>
    <row r="248" spans="1:30" hidden="1" x14ac:dyDescent="0.3">
      <c r="A248" t="s">
        <v>1405</v>
      </c>
      <c r="B248" t="s">
        <v>1406</v>
      </c>
      <c r="C248" t="s">
        <v>1985</v>
      </c>
      <c r="D248">
        <v>11928072607</v>
      </c>
      <c r="E248">
        <v>18870548</v>
      </c>
      <c r="F248">
        <v>1158000549</v>
      </c>
      <c r="G248" s="1">
        <v>45728</v>
      </c>
      <c r="H248" t="s">
        <v>1350</v>
      </c>
      <c r="I248" t="s">
        <v>1374</v>
      </c>
      <c r="J248" t="s">
        <v>1363</v>
      </c>
      <c r="K248" t="s">
        <v>1353</v>
      </c>
      <c r="L248" t="s">
        <v>1408</v>
      </c>
      <c r="M248" t="s">
        <v>1409</v>
      </c>
      <c r="N248" t="s">
        <v>1410</v>
      </c>
      <c r="O248" t="s">
        <v>1411</v>
      </c>
      <c r="P248" t="s">
        <v>1411</v>
      </c>
      <c r="Q248" t="s">
        <v>1412</v>
      </c>
      <c r="S248" s="1">
        <v>46043</v>
      </c>
      <c r="W248" s="1">
        <v>35619</v>
      </c>
      <c r="X248" t="s">
        <v>1986</v>
      </c>
      <c r="Z248" t="s">
        <v>1414</v>
      </c>
      <c r="AA248" t="s">
        <v>1419</v>
      </c>
      <c r="AB248" t="s">
        <v>381</v>
      </c>
      <c r="AC248">
        <v>34997931838</v>
      </c>
      <c r="AD248" t="str">
        <f>_xlfn.XLOOKUP(F248,'Base de Tutores'!L:L,'Base de Tutores'!F:F)</f>
        <v>EMF-ISN</v>
      </c>
    </row>
    <row r="249" spans="1:30" hidden="1" x14ac:dyDescent="0.3">
      <c r="A249" t="s">
        <v>1405</v>
      </c>
      <c r="B249" t="s">
        <v>1406</v>
      </c>
      <c r="C249" t="s">
        <v>1987</v>
      </c>
      <c r="D249">
        <v>5779083592</v>
      </c>
      <c r="E249">
        <v>1315494647</v>
      </c>
      <c r="F249">
        <v>1158000876</v>
      </c>
      <c r="G249" s="1">
        <v>45882</v>
      </c>
      <c r="H249" t="s">
        <v>1350</v>
      </c>
      <c r="I249" t="s">
        <v>1374</v>
      </c>
      <c r="J249" t="s">
        <v>1363</v>
      </c>
      <c r="K249" t="s">
        <v>1353</v>
      </c>
      <c r="L249" t="s">
        <v>1408</v>
      </c>
      <c r="M249" t="s">
        <v>1409</v>
      </c>
      <c r="N249" t="s">
        <v>1422</v>
      </c>
      <c r="O249" t="s">
        <v>1462</v>
      </c>
      <c r="P249" t="s">
        <v>1462</v>
      </c>
      <c r="Q249" t="s">
        <v>1412</v>
      </c>
      <c r="S249" s="1">
        <v>46043</v>
      </c>
      <c r="W249" s="1">
        <v>33489</v>
      </c>
      <c r="X249" t="s">
        <v>1954</v>
      </c>
      <c r="Z249" t="s">
        <v>1414</v>
      </c>
      <c r="AA249" t="s">
        <v>1419</v>
      </c>
      <c r="AB249" t="s">
        <v>902</v>
      </c>
      <c r="AC249">
        <v>71993204015</v>
      </c>
      <c r="AD249" t="str">
        <f>_xlfn.XLOOKUP(F249,'Base de Tutores'!L:L,'Base de Tutores'!F:F)</f>
        <v>COS-TIP</v>
      </c>
    </row>
    <row r="250" spans="1:30" hidden="1" x14ac:dyDescent="0.3">
      <c r="A250" t="s">
        <v>1405</v>
      </c>
      <c r="B250" t="s">
        <v>1406</v>
      </c>
      <c r="C250" t="s">
        <v>1988</v>
      </c>
      <c r="D250">
        <v>3282190379</v>
      </c>
      <c r="E250">
        <v>3282190379</v>
      </c>
      <c r="F250">
        <v>1158000795</v>
      </c>
      <c r="G250" s="1">
        <v>45873</v>
      </c>
      <c r="H250" t="s">
        <v>1350</v>
      </c>
      <c r="I250" t="s">
        <v>1374</v>
      </c>
      <c r="J250" t="s">
        <v>1363</v>
      </c>
      <c r="K250" t="s">
        <v>1353</v>
      </c>
      <c r="L250" t="s">
        <v>1408</v>
      </c>
      <c r="M250" t="s">
        <v>1447</v>
      </c>
      <c r="N250" t="s">
        <v>1448</v>
      </c>
      <c r="O250" t="s">
        <v>1411</v>
      </c>
      <c r="P250" t="s">
        <v>1411</v>
      </c>
      <c r="Q250" t="s">
        <v>1412</v>
      </c>
      <c r="S250" s="1">
        <v>46043</v>
      </c>
      <c r="W250" s="1">
        <v>32692</v>
      </c>
      <c r="X250" t="s">
        <v>1492</v>
      </c>
      <c r="Z250" t="s">
        <v>1414</v>
      </c>
      <c r="AA250" t="s">
        <v>1415</v>
      </c>
      <c r="AB250" t="s">
        <v>809</v>
      </c>
      <c r="AC250">
        <v>98983094599</v>
      </c>
      <c r="AD250" t="str">
        <f>_xlfn.XLOOKUP(F250,'Base de Tutores'!L:L,'Base de Tutores'!F:F)</f>
        <v>NTR</v>
      </c>
    </row>
    <row r="251" spans="1:30" hidden="1" x14ac:dyDescent="0.3">
      <c r="A251" t="s">
        <v>1405</v>
      </c>
      <c r="B251" t="s">
        <v>1406</v>
      </c>
      <c r="C251" t="s">
        <v>1989</v>
      </c>
      <c r="D251">
        <v>8824708927</v>
      </c>
      <c r="E251" t="s">
        <v>1990</v>
      </c>
      <c r="F251">
        <v>1158000593</v>
      </c>
      <c r="G251" s="1">
        <v>45763</v>
      </c>
      <c r="H251" t="s">
        <v>1350</v>
      </c>
      <c r="I251" t="s">
        <v>1349</v>
      </c>
      <c r="J251" t="s">
        <v>1363</v>
      </c>
      <c r="K251" t="s">
        <v>1353</v>
      </c>
      <c r="L251" t="s">
        <v>1408</v>
      </c>
      <c r="M251" t="s">
        <v>1442</v>
      </c>
      <c r="N251" t="s">
        <v>1443</v>
      </c>
      <c r="O251" t="s">
        <v>1423</v>
      </c>
      <c r="P251" t="s">
        <v>1423</v>
      </c>
      <c r="Q251" t="s">
        <v>1412</v>
      </c>
      <c r="S251" s="1">
        <v>45820</v>
      </c>
      <c r="V251" s="1">
        <v>45818</v>
      </c>
      <c r="W251" s="1">
        <v>33869</v>
      </c>
      <c r="X251" t="s">
        <v>1724</v>
      </c>
      <c r="Z251" t="s">
        <v>1414</v>
      </c>
      <c r="AA251" t="s">
        <v>1415</v>
      </c>
      <c r="AB251" t="s">
        <v>1991</v>
      </c>
      <c r="AC251">
        <v>4199944101</v>
      </c>
      <c r="AD251" t="str">
        <f>_xlfn.XLOOKUP(F251,'Base de Tutores'!L:L,'Base de Tutores'!F:F)</f>
        <v>ECE-ENM-ENS-ENG-EEA-GPI-CDE-OBR-SAN-TER-FSA-SLF-QUI</v>
      </c>
    </row>
    <row r="252" spans="1:30" hidden="1" x14ac:dyDescent="0.3">
      <c r="A252" t="s">
        <v>1405</v>
      </c>
      <c r="B252" t="s">
        <v>1406</v>
      </c>
      <c r="C252" t="s">
        <v>1992</v>
      </c>
      <c r="D252">
        <v>50340416858</v>
      </c>
      <c r="E252">
        <v>557583585</v>
      </c>
      <c r="F252">
        <v>1158000847</v>
      </c>
      <c r="G252" s="1">
        <v>45875</v>
      </c>
      <c r="H252" t="s">
        <v>1350</v>
      </c>
      <c r="I252" t="s">
        <v>1374</v>
      </c>
      <c r="J252" t="s">
        <v>1363</v>
      </c>
      <c r="K252" t="s">
        <v>1353</v>
      </c>
      <c r="L252" t="s">
        <v>1408</v>
      </c>
      <c r="M252" t="s">
        <v>1409</v>
      </c>
      <c r="N252" t="s">
        <v>1410</v>
      </c>
      <c r="O252" t="s">
        <v>1462</v>
      </c>
      <c r="P252" t="s">
        <v>1462</v>
      </c>
      <c r="Q252" t="s">
        <v>1412</v>
      </c>
      <c r="S252" s="1">
        <v>46043</v>
      </c>
      <c r="W252" s="1">
        <v>36666</v>
      </c>
      <c r="X252" t="s">
        <v>1717</v>
      </c>
      <c r="Y252" t="s">
        <v>1718</v>
      </c>
      <c r="Z252" t="s">
        <v>1414</v>
      </c>
      <c r="AA252" t="s">
        <v>1415</v>
      </c>
      <c r="AB252" t="s">
        <v>851</v>
      </c>
      <c r="AC252">
        <v>13996792976</v>
      </c>
      <c r="AD252" t="str">
        <f>_xlfn.XLOOKUP(F252,'Base de Tutores'!L:L,'Base de Tutores'!F:F)</f>
        <v>BFI</v>
      </c>
    </row>
    <row r="253" spans="1:30" hidden="1" x14ac:dyDescent="0.3">
      <c r="A253" t="s">
        <v>1405</v>
      </c>
      <c r="B253" t="s">
        <v>1406</v>
      </c>
      <c r="C253" t="s">
        <v>1993</v>
      </c>
      <c r="D253">
        <v>1533890102</v>
      </c>
      <c r="E253">
        <v>5074514</v>
      </c>
      <c r="F253">
        <v>1158000699</v>
      </c>
      <c r="G253" s="1">
        <v>45756</v>
      </c>
      <c r="H253" t="s">
        <v>1350</v>
      </c>
      <c r="I253" t="s">
        <v>1374</v>
      </c>
      <c r="J253" t="s">
        <v>1363</v>
      </c>
      <c r="K253" t="s">
        <v>1353</v>
      </c>
      <c r="L253" t="s">
        <v>1408</v>
      </c>
      <c r="M253" t="s">
        <v>1421</v>
      </c>
      <c r="N253" t="s">
        <v>1422</v>
      </c>
      <c r="O253" t="s">
        <v>1411</v>
      </c>
      <c r="P253" t="s">
        <v>1411</v>
      </c>
      <c r="Q253" t="s">
        <v>1412</v>
      </c>
      <c r="S253" s="1">
        <v>46043</v>
      </c>
      <c r="W253" s="1">
        <v>32597</v>
      </c>
      <c r="X253" t="s">
        <v>1735</v>
      </c>
      <c r="Z253" t="s">
        <v>1414</v>
      </c>
      <c r="AA253" t="s">
        <v>1415</v>
      </c>
      <c r="AB253" t="s">
        <v>548</v>
      </c>
      <c r="AC253">
        <v>61998563205</v>
      </c>
      <c r="AD253" t="str">
        <f>_xlfn.XLOOKUP(F253,'Base de Tutores'!L:L,'Base de Tutores'!F:F)</f>
        <v>ECE-ENM-ENS-ENG-EEA-GPI-CDE-OBR-SAN-TER-FSA-SLF-QUI</v>
      </c>
    </row>
    <row r="254" spans="1:30" hidden="1" x14ac:dyDescent="0.3">
      <c r="A254" t="s">
        <v>1405</v>
      </c>
      <c r="B254" t="s">
        <v>1406</v>
      </c>
      <c r="C254" t="s">
        <v>1994</v>
      </c>
      <c r="D254">
        <v>3146641062</v>
      </c>
      <c r="E254">
        <v>6103887383</v>
      </c>
      <c r="F254">
        <v>1158001022</v>
      </c>
      <c r="G254" s="1">
        <v>45936</v>
      </c>
      <c r="H254" t="s">
        <v>1350</v>
      </c>
      <c r="I254" t="s">
        <v>1349</v>
      </c>
      <c r="J254" t="s">
        <v>1363</v>
      </c>
      <c r="K254" t="s">
        <v>1353</v>
      </c>
      <c r="L254" t="s">
        <v>1408</v>
      </c>
      <c r="M254" t="s">
        <v>1409</v>
      </c>
      <c r="N254" t="s">
        <v>1410</v>
      </c>
      <c r="O254" t="s">
        <v>1423</v>
      </c>
      <c r="P254" t="s">
        <v>1423</v>
      </c>
      <c r="Q254" t="s">
        <v>1412</v>
      </c>
      <c r="S254" s="1">
        <v>46045</v>
      </c>
      <c r="V254" s="1">
        <v>46042</v>
      </c>
      <c r="W254" s="1">
        <v>34106</v>
      </c>
      <c r="X254" t="s">
        <v>1995</v>
      </c>
      <c r="Z254" t="s">
        <v>1414</v>
      </c>
      <c r="AA254" t="s">
        <v>1415</v>
      </c>
      <c r="AB254" t="s">
        <v>1153</v>
      </c>
      <c r="AC254">
        <v>51981023005</v>
      </c>
      <c r="AD254" t="str">
        <f>_xlfn.XLOOKUP(F254,'Base de Tutores'!L:L,'Base de Tutores'!F:F)</f>
        <v>BFR</v>
      </c>
    </row>
    <row r="255" spans="1:30" hidden="1" x14ac:dyDescent="0.3">
      <c r="A255" t="s">
        <v>1405</v>
      </c>
      <c r="B255" t="s">
        <v>1406</v>
      </c>
      <c r="C255" t="s">
        <v>1996</v>
      </c>
      <c r="D255">
        <v>2771202174</v>
      </c>
      <c r="E255" t="s">
        <v>1997</v>
      </c>
      <c r="F255">
        <v>1158000746</v>
      </c>
      <c r="G255" s="1">
        <v>45817</v>
      </c>
      <c r="H255" t="s">
        <v>1350</v>
      </c>
      <c r="I255" t="s">
        <v>1374</v>
      </c>
      <c r="J255" t="s">
        <v>1363</v>
      </c>
      <c r="K255" t="s">
        <v>1353</v>
      </c>
      <c r="L255" t="s">
        <v>1408</v>
      </c>
      <c r="M255" t="s">
        <v>1421</v>
      </c>
      <c r="N255" t="s">
        <v>1422</v>
      </c>
      <c r="O255" t="s">
        <v>1423</v>
      </c>
      <c r="P255" t="s">
        <v>1423</v>
      </c>
      <c r="Q255" t="s">
        <v>1412</v>
      </c>
      <c r="S255" s="1">
        <v>46043</v>
      </c>
      <c r="W255" s="1">
        <v>35296</v>
      </c>
      <c r="X255" t="s">
        <v>1758</v>
      </c>
      <c r="Z255" t="s">
        <v>1414</v>
      </c>
      <c r="AA255" t="s">
        <v>1415</v>
      </c>
      <c r="AB255" t="s">
        <v>722</v>
      </c>
      <c r="AC255">
        <v>6493225353</v>
      </c>
      <c r="AD255" t="str">
        <f>_xlfn.XLOOKUP(F255,'Base de Tutores'!L:L,'Base de Tutores'!F:F)</f>
        <v>EMF-ISN</v>
      </c>
    </row>
    <row r="256" spans="1:30" hidden="1" x14ac:dyDescent="0.3">
      <c r="A256" t="s">
        <v>1405</v>
      </c>
      <c r="B256" t="s">
        <v>1406</v>
      </c>
      <c r="C256" t="s">
        <v>1998</v>
      </c>
      <c r="D256">
        <v>2098453175</v>
      </c>
      <c r="E256">
        <v>5096791</v>
      </c>
      <c r="F256">
        <v>1158000931</v>
      </c>
      <c r="G256" s="1">
        <v>45901</v>
      </c>
      <c r="H256" t="s">
        <v>1350</v>
      </c>
      <c r="I256" t="s">
        <v>1374</v>
      </c>
      <c r="J256" t="s">
        <v>1363</v>
      </c>
      <c r="K256" t="s">
        <v>1353</v>
      </c>
      <c r="L256" t="s">
        <v>1408</v>
      </c>
      <c r="M256" t="s">
        <v>1409</v>
      </c>
      <c r="N256" t="s">
        <v>1410</v>
      </c>
      <c r="O256" t="s">
        <v>1411</v>
      </c>
      <c r="P256" t="s">
        <v>1411</v>
      </c>
      <c r="Q256" t="s">
        <v>1412</v>
      </c>
      <c r="S256" s="1">
        <v>46043</v>
      </c>
      <c r="W256" s="1">
        <v>34136</v>
      </c>
      <c r="X256" t="s">
        <v>1617</v>
      </c>
      <c r="Z256" t="s">
        <v>1414</v>
      </c>
      <c r="AA256" t="s">
        <v>1419</v>
      </c>
      <c r="AB256" t="s">
        <v>1043</v>
      </c>
      <c r="AC256">
        <v>62999221601</v>
      </c>
      <c r="AD256" t="str">
        <f>_xlfn.XLOOKUP(F256,'Base de Tutores'!L:L,'Base de Tutores'!F:F)</f>
        <v>BFI</v>
      </c>
    </row>
    <row r="257" spans="1:30" hidden="1" x14ac:dyDescent="0.3">
      <c r="A257" t="s">
        <v>1405</v>
      </c>
      <c r="B257" t="s">
        <v>1406</v>
      </c>
      <c r="C257" t="s">
        <v>1999</v>
      </c>
      <c r="D257">
        <v>74865218220</v>
      </c>
      <c r="E257">
        <v>3882940</v>
      </c>
      <c r="F257">
        <v>1158000690</v>
      </c>
      <c r="G257" s="1">
        <v>45754</v>
      </c>
      <c r="H257" t="s">
        <v>1350</v>
      </c>
      <c r="I257" t="s">
        <v>1374</v>
      </c>
      <c r="J257" t="s">
        <v>1363</v>
      </c>
      <c r="K257" t="s">
        <v>1353</v>
      </c>
      <c r="L257" t="s">
        <v>1408</v>
      </c>
      <c r="M257" t="s">
        <v>1409</v>
      </c>
      <c r="N257" t="s">
        <v>1410</v>
      </c>
      <c r="O257" t="s">
        <v>1411</v>
      </c>
      <c r="P257" t="s">
        <v>1462</v>
      </c>
      <c r="Q257" t="s">
        <v>1412</v>
      </c>
      <c r="S257" s="1">
        <v>46043</v>
      </c>
      <c r="W257" s="1">
        <v>30797</v>
      </c>
      <c r="X257" t="s">
        <v>1950</v>
      </c>
      <c r="Y257" t="s">
        <v>2000</v>
      </c>
      <c r="Z257" t="s">
        <v>1414</v>
      </c>
      <c r="AA257" t="s">
        <v>1419</v>
      </c>
      <c r="AB257" t="s">
        <v>978</v>
      </c>
      <c r="AC257">
        <v>93999021573</v>
      </c>
      <c r="AD257" t="str">
        <f>_xlfn.XLOOKUP(F257,'Base de Tutores'!L:L,'Base de Tutores'!F:F)</f>
        <v>EMF-ISN</v>
      </c>
    </row>
    <row r="258" spans="1:30" hidden="1" x14ac:dyDescent="0.3">
      <c r="A258" t="s">
        <v>1405</v>
      </c>
      <c r="B258" t="s">
        <v>1406</v>
      </c>
      <c r="C258" t="s">
        <v>2001</v>
      </c>
      <c r="D258">
        <v>18974734869</v>
      </c>
      <c r="E258" s="3">
        <v>276820368</v>
      </c>
      <c r="F258">
        <v>1158000994</v>
      </c>
      <c r="G258" s="1">
        <v>45931</v>
      </c>
      <c r="H258" t="s">
        <v>1350</v>
      </c>
      <c r="I258" t="s">
        <v>1374</v>
      </c>
      <c r="J258" t="s">
        <v>1363</v>
      </c>
      <c r="K258" t="s">
        <v>1353</v>
      </c>
      <c r="L258" t="s">
        <v>1408</v>
      </c>
      <c r="M258" t="s">
        <v>1409</v>
      </c>
      <c r="N258" t="s">
        <v>1410</v>
      </c>
      <c r="O258" t="s">
        <v>1411</v>
      </c>
      <c r="P258" t="s">
        <v>1411</v>
      </c>
      <c r="Q258" t="s">
        <v>1412</v>
      </c>
      <c r="S258" s="1">
        <v>46043</v>
      </c>
      <c r="W258" s="1">
        <v>27856</v>
      </c>
      <c r="X258" t="s">
        <v>1764</v>
      </c>
      <c r="Z258" t="s">
        <v>1414</v>
      </c>
      <c r="AA258" t="s">
        <v>1419</v>
      </c>
      <c r="AB258" t="s">
        <v>1142</v>
      </c>
      <c r="AC258">
        <v>11948024029</v>
      </c>
      <c r="AD258" t="str">
        <f>_xlfn.XLOOKUP(F258,'Base de Tutores'!L:L,'Base de Tutores'!F:F)</f>
        <v>BFR</v>
      </c>
    </row>
    <row r="259" spans="1:30" hidden="1" x14ac:dyDescent="0.3">
      <c r="A259" t="s">
        <v>1405</v>
      </c>
      <c r="B259" t="s">
        <v>1406</v>
      </c>
      <c r="C259" t="s">
        <v>2002</v>
      </c>
      <c r="D259">
        <v>12700798759</v>
      </c>
      <c r="E259">
        <v>218926467</v>
      </c>
      <c r="F259">
        <v>1158000531</v>
      </c>
      <c r="G259" s="1">
        <v>45721</v>
      </c>
      <c r="H259" t="s">
        <v>1350</v>
      </c>
      <c r="I259" t="s">
        <v>1374</v>
      </c>
      <c r="J259" t="s">
        <v>1696</v>
      </c>
      <c r="K259" t="s">
        <v>1354</v>
      </c>
      <c r="L259" t="s">
        <v>1408</v>
      </c>
      <c r="M259" t="s">
        <v>1409</v>
      </c>
      <c r="N259" t="s">
        <v>1410</v>
      </c>
      <c r="O259" t="s">
        <v>1462</v>
      </c>
      <c r="P259" t="s">
        <v>1462</v>
      </c>
      <c r="Q259" t="s">
        <v>1412</v>
      </c>
      <c r="S259" s="1">
        <v>46043</v>
      </c>
      <c r="W259" s="1">
        <v>33021</v>
      </c>
      <c r="X259" t="s">
        <v>1827</v>
      </c>
      <c r="Z259" t="s">
        <v>1414</v>
      </c>
      <c r="AA259" t="s">
        <v>1415</v>
      </c>
      <c r="AB259" t="s">
        <v>274</v>
      </c>
      <c r="AC259">
        <v>21964407572</v>
      </c>
      <c r="AD259" t="str">
        <f>_xlfn.XLOOKUP(F259,'Base de Tutores'!L:L,'Base de Tutores'!F:F)</f>
        <v>EMF-ISN</v>
      </c>
    </row>
    <row r="260" spans="1:30" hidden="1" x14ac:dyDescent="0.3">
      <c r="A260" t="s">
        <v>1405</v>
      </c>
      <c r="B260" t="s">
        <v>1406</v>
      </c>
      <c r="C260" t="s">
        <v>2003</v>
      </c>
      <c r="D260">
        <v>2877883264</v>
      </c>
      <c r="E260">
        <v>65586172</v>
      </c>
      <c r="F260">
        <v>1158000584</v>
      </c>
      <c r="G260" s="1">
        <v>45735</v>
      </c>
      <c r="H260" t="s">
        <v>1350</v>
      </c>
      <c r="I260" t="s">
        <v>1349</v>
      </c>
      <c r="J260" t="s">
        <v>1363</v>
      </c>
      <c r="K260" t="s">
        <v>1353</v>
      </c>
      <c r="L260" t="s">
        <v>1408</v>
      </c>
      <c r="M260" t="s">
        <v>1421</v>
      </c>
      <c r="N260" t="s">
        <v>1422</v>
      </c>
      <c r="O260" t="s">
        <v>1439</v>
      </c>
      <c r="P260" t="s">
        <v>1423</v>
      </c>
      <c r="Q260" t="s">
        <v>1412</v>
      </c>
      <c r="S260" s="1">
        <v>45856</v>
      </c>
      <c r="V260" s="1">
        <v>45855</v>
      </c>
      <c r="W260" s="1">
        <v>35418</v>
      </c>
      <c r="X260" t="s">
        <v>2004</v>
      </c>
      <c r="Z260" t="s">
        <v>1414</v>
      </c>
      <c r="AA260" t="s">
        <v>1419</v>
      </c>
      <c r="AB260" t="s">
        <v>2005</v>
      </c>
      <c r="AC260">
        <v>94981299553</v>
      </c>
      <c r="AD260" t="str">
        <f>_xlfn.XLOOKUP(F260,'Base de Tutores'!L:L,'Base de Tutores'!F:F)</f>
        <v>EMF-ISN</v>
      </c>
    </row>
    <row r="261" spans="1:30" hidden="1" x14ac:dyDescent="0.3">
      <c r="A261" t="s">
        <v>1405</v>
      </c>
      <c r="B261" t="s">
        <v>1406</v>
      </c>
      <c r="C261" t="s">
        <v>2006</v>
      </c>
      <c r="D261">
        <v>15132457754</v>
      </c>
      <c r="E261">
        <v>3661837</v>
      </c>
      <c r="F261">
        <v>1158000946</v>
      </c>
      <c r="G261" s="1">
        <v>45901</v>
      </c>
      <c r="H261" t="s">
        <v>1350</v>
      </c>
      <c r="I261" t="s">
        <v>1349</v>
      </c>
      <c r="J261" t="s">
        <v>1363</v>
      </c>
      <c r="K261" t="s">
        <v>1353</v>
      </c>
      <c r="L261" t="s">
        <v>1408</v>
      </c>
      <c r="M261" t="s">
        <v>1447</v>
      </c>
      <c r="N261" t="s">
        <v>1448</v>
      </c>
      <c r="O261" t="s">
        <v>1423</v>
      </c>
      <c r="P261" t="s">
        <v>1423</v>
      </c>
      <c r="Q261" t="s">
        <v>1412</v>
      </c>
      <c r="S261" s="1">
        <v>45994</v>
      </c>
      <c r="V261" s="1">
        <v>45992</v>
      </c>
      <c r="W261" s="1">
        <v>36382</v>
      </c>
      <c r="X261" t="s">
        <v>2007</v>
      </c>
      <c r="Z261" t="s">
        <v>1414</v>
      </c>
      <c r="AA261" t="s">
        <v>1419</v>
      </c>
      <c r="AB261" t="s">
        <v>1028</v>
      </c>
      <c r="AC261">
        <v>28999386158</v>
      </c>
      <c r="AD261" t="str">
        <f>_xlfn.XLOOKUP(F261,'Base de Tutores'!L:L,'Base de Tutores'!F:F)</f>
        <v>BFR</v>
      </c>
    </row>
    <row r="262" spans="1:30" hidden="1" x14ac:dyDescent="0.3">
      <c r="A262" t="s">
        <v>1405</v>
      </c>
      <c r="B262" t="s">
        <v>1406</v>
      </c>
      <c r="C262" t="s">
        <v>2008</v>
      </c>
      <c r="D262">
        <v>9110287493</v>
      </c>
      <c r="E262">
        <v>32524633</v>
      </c>
      <c r="F262">
        <v>1158000698</v>
      </c>
      <c r="G262" s="1">
        <v>45756</v>
      </c>
      <c r="H262" t="s">
        <v>1350</v>
      </c>
      <c r="I262" t="s">
        <v>1374</v>
      </c>
      <c r="J262" t="s">
        <v>1363</v>
      </c>
      <c r="K262" t="s">
        <v>1353</v>
      </c>
      <c r="L262" t="s">
        <v>1408</v>
      </c>
      <c r="M262" t="s">
        <v>1421</v>
      </c>
      <c r="N262" t="s">
        <v>1422</v>
      </c>
      <c r="O262" t="s">
        <v>1411</v>
      </c>
      <c r="P262" t="s">
        <v>1411</v>
      </c>
      <c r="Q262" t="s">
        <v>1412</v>
      </c>
      <c r="S262" s="1">
        <v>46043</v>
      </c>
      <c r="W262" s="1">
        <v>33759</v>
      </c>
      <c r="X262" t="s">
        <v>1515</v>
      </c>
      <c r="Z262" t="s">
        <v>1414</v>
      </c>
      <c r="AA262" t="s">
        <v>1419</v>
      </c>
      <c r="AB262" t="s">
        <v>331</v>
      </c>
      <c r="AC262">
        <v>49999175464</v>
      </c>
      <c r="AD262" t="str">
        <f>_xlfn.XLOOKUP(F262,'Base de Tutores'!L:L,'Base de Tutores'!F:F)</f>
        <v>EMF-ISN</v>
      </c>
    </row>
    <row r="263" spans="1:30" hidden="1" x14ac:dyDescent="0.3">
      <c r="A263" t="s">
        <v>1405</v>
      </c>
      <c r="B263" t="s">
        <v>1406</v>
      </c>
      <c r="C263" t="s">
        <v>2009</v>
      </c>
      <c r="D263">
        <v>662369084</v>
      </c>
      <c r="E263">
        <v>1893074</v>
      </c>
      <c r="F263">
        <v>1158000906</v>
      </c>
      <c r="G263" s="1">
        <v>45889</v>
      </c>
      <c r="H263" t="s">
        <v>1350</v>
      </c>
      <c r="I263" t="s">
        <v>1374</v>
      </c>
      <c r="J263" t="s">
        <v>1363</v>
      </c>
      <c r="K263" t="s">
        <v>1353</v>
      </c>
      <c r="L263" t="s">
        <v>1408</v>
      </c>
      <c r="M263" t="s">
        <v>1421</v>
      </c>
      <c r="N263" t="s">
        <v>1422</v>
      </c>
      <c r="O263" t="s">
        <v>1411</v>
      </c>
      <c r="P263" t="s">
        <v>1411</v>
      </c>
      <c r="Q263" t="s">
        <v>1412</v>
      </c>
      <c r="S263" s="1">
        <v>46043</v>
      </c>
      <c r="W263" s="1">
        <v>30901</v>
      </c>
      <c r="X263" t="s">
        <v>2010</v>
      </c>
      <c r="Z263" t="s">
        <v>1414</v>
      </c>
      <c r="AA263" t="s">
        <v>1419</v>
      </c>
      <c r="AB263" t="s">
        <v>584</v>
      </c>
      <c r="AC263">
        <v>54996600381</v>
      </c>
      <c r="AD263" t="str">
        <f>_xlfn.XLOOKUP(F263,'Base de Tutores'!L:L,'Base de Tutores'!F:F)</f>
        <v>EMF-ISN2</v>
      </c>
    </row>
    <row r="264" spans="1:30" hidden="1" x14ac:dyDescent="0.3">
      <c r="A264" t="s">
        <v>1405</v>
      </c>
      <c r="B264" t="s">
        <v>1406</v>
      </c>
      <c r="C264" t="s">
        <v>2011</v>
      </c>
      <c r="D264">
        <v>2328547001</v>
      </c>
      <c r="E264">
        <v>3064646684</v>
      </c>
      <c r="F264">
        <v>1158000722</v>
      </c>
      <c r="G264" s="1">
        <v>45810</v>
      </c>
      <c r="H264" t="s">
        <v>1350</v>
      </c>
      <c r="I264" t="s">
        <v>1374</v>
      </c>
      <c r="J264" t="s">
        <v>1696</v>
      </c>
      <c r="K264" t="s">
        <v>1354</v>
      </c>
      <c r="L264" t="s">
        <v>1408</v>
      </c>
      <c r="M264" t="s">
        <v>1409</v>
      </c>
      <c r="N264" t="s">
        <v>1410</v>
      </c>
      <c r="O264" t="s">
        <v>1423</v>
      </c>
      <c r="P264" t="s">
        <v>1423</v>
      </c>
      <c r="Q264" t="s">
        <v>1412</v>
      </c>
      <c r="S264" s="1">
        <v>46043</v>
      </c>
      <c r="W264" s="1">
        <v>33256</v>
      </c>
      <c r="X264" t="s">
        <v>1485</v>
      </c>
      <c r="Z264" t="s">
        <v>1414</v>
      </c>
      <c r="AA264" t="s">
        <v>1419</v>
      </c>
      <c r="AB264" t="s">
        <v>648</v>
      </c>
      <c r="AC264">
        <v>51997462146</v>
      </c>
      <c r="AD264" t="str">
        <f>_xlfn.XLOOKUP(F264,'Base de Tutores'!L:L,'Base de Tutores'!F:F)</f>
        <v>EMF-ISN2</v>
      </c>
    </row>
    <row r="265" spans="1:30" hidden="1" x14ac:dyDescent="0.3">
      <c r="A265" t="s">
        <v>1405</v>
      </c>
      <c r="B265" t="s">
        <v>1406</v>
      </c>
      <c r="C265" t="s">
        <v>2012</v>
      </c>
      <c r="D265">
        <v>16118702756</v>
      </c>
      <c r="E265" t="s">
        <v>2013</v>
      </c>
      <c r="F265">
        <v>1158001037</v>
      </c>
      <c r="G265" s="1">
        <v>45945</v>
      </c>
      <c r="H265" t="s">
        <v>1350</v>
      </c>
      <c r="I265" t="s">
        <v>1374</v>
      </c>
      <c r="J265" t="s">
        <v>1363</v>
      </c>
      <c r="K265" t="s">
        <v>1353</v>
      </c>
      <c r="L265" t="s">
        <v>1408</v>
      </c>
      <c r="M265" t="s">
        <v>1421</v>
      </c>
      <c r="N265" t="s">
        <v>1422</v>
      </c>
      <c r="O265" t="s">
        <v>1411</v>
      </c>
      <c r="P265" t="s">
        <v>1411</v>
      </c>
      <c r="Q265" t="s">
        <v>1412</v>
      </c>
      <c r="S265" s="1">
        <v>46043</v>
      </c>
      <c r="W265" s="1">
        <v>35973</v>
      </c>
      <c r="X265" t="s">
        <v>1721</v>
      </c>
      <c r="Z265" t="s">
        <v>1414</v>
      </c>
      <c r="AA265" t="s">
        <v>1419</v>
      </c>
      <c r="AB265" t="s">
        <v>1196</v>
      </c>
      <c r="AC265">
        <v>21999112934</v>
      </c>
      <c r="AD265" t="str">
        <f>_xlfn.XLOOKUP(F265,'Base de Tutores'!L:L,'Base de Tutores'!F:F)</f>
        <v>BAU</v>
      </c>
    </row>
    <row r="266" spans="1:30" hidden="1" x14ac:dyDescent="0.3">
      <c r="A266" t="s">
        <v>1405</v>
      </c>
      <c r="B266" t="s">
        <v>1406</v>
      </c>
      <c r="C266" t="s">
        <v>2014</v>
      </c>
      <c r="D266">
        <v>88856895668</v>
      </c>
      <c r="E266" t="s">
        <v>2015</v>
      </c>
      <c r="F266">
        <v>1158000561</v>
      </c>
      <c r="G266" s="1">
        <v>45733</v>
      </c>
      <c r="H266" t="s">
        <v>1350</v>
      </c>
      <c r="I266" t="s">
        <v>1374</v>
      </c>
      <c r="J266" t="s">
        <v>1363</v>
      </c>
      <c r="K266" t="s">
        <v>1353</v>
      </c>
      <c r="L266" t="s">
        <v>1408</v>
      </c>
      <c r="M266" t="s">
        <v>1409</v>
      </c>
      <c r="N266" t="s">
        <v>1410</v>
      </c>
      <c r="O266" t="s">
        <v>1423</v>
      </c>
      <c r="P266" t="s">
        <v>1423</v>
      </c>
      <c r="Q266" t="s">
        <v>1412</v>
      </c>
      <c r="S266" s="1">
        <v>46043</v>
      </c>
      <c r="W266" s="1">
        <v>26275</v>
      </c>
      <c r="X266" t="s">
        <v>2016</v>
      </c>
      <c r="Z266" t="s">
        <v>1414</v>
      </c>
      <c r="AA266" t="s">
        <v>1415</v>
      </c>
      <c r="AB266" t="s">
        <v>1292</v>
      </c>
      <c r="AC266">
        <v>34984141581</v>
      </c>
      <c r="AD266" t="str">
        <f>_xlfn.XLOOKUP(F266,'Base de Tutores'!L:L,'Base de Tutores'!F:F)</f>
        <v>EMF-ISN</v>
      </c>
    </row>
    <row r="267" spans="1:30" hidden="1" x14ac:dyDescent="0.3">
      <c r="A267" t="s">
        <v>1405</v>
      </c>
      <c r="B267" t="s">
        <v>1406</v>
      </c>
      <c r="C267" t="s">
        <v>2017</v>
      </c>
      <c r="D267">
        <v>70526737204</v>
      </c>
      <c r="E267" t="s">
        <v>2018</v>
      </c>
      <c r="F267">
        <v>1158000893</v>
      </c>
      <c r="G267" s="1">
        <v>45887</v>
      </c>
      <c r="H267" t="s">
        <v>1350</v>
      </c>
      <c r="I267" t="s">
        <v>1349</v>
      </c>
      <c r="J267" t="s">
        <v>1363</v>
      </c>
      <c r="K267" t="s">
        <v>1353</v>
      </c>
      <c r="L267" t="s">
        <v>1408</v>
      </c>
      <c r="M267" t="s">
        <v>1447</v>
      </c>
      <c r="N267" t="s">
        <v>1448</v>
      </c>
      <c r="O267" t="s">
        <v>1423</v>
      </c>
      <c r="P267" t="s">
        <v>1423</v>
      </c>
      <c r="Q267" t="s">
        <v>1412</v>
      </c>
      <c r="S267" s="1">
        <v>45933</v>
      </c>
      <c r="V267" s="1">
        <v>45933</v>
      </c>
      <c r="W267" s="1">
        <v>29551</v>
      </c>
      <c r="X267" t="s">
        <v>2019</v>
      </c>
      <c r="Y267" t="s">
        <v>2020</v>
      </c>
      <c r="Z267" t="s">
        <v>1414</v>
      </c>
      <c r="AA267" t="s">
        <v>1415</v>
      </c>
      <c r="AB267" t="s">
        <v>931</v>
      </c>
      <c r="AC267">
        <v>69984480528</v>
      </c>
      <c r="AD267" t="str">
        <f>_xlfn.XLOOKUP(F267,'Base de Tutores'!L:L,'Base de Tutores'!F:F)</f>
        <v>AGM</v>
      </c>
    </row>
    <row r="268" spans="1:30" hidden="1" x14ac:dyDescent="0.3">
      <c r="A268" t="s">
        <v>1405</v>
      </c>
      <c r="B268" t="s">
        <v>1406</v>
      </c>
      <c r="C268" t="s">
        <v>2021</v>
      </c>
      <c r="D268">
        <v>53078900010</v>
      </c>
      <c r="E268">
        <v>5025488403</v>
      </c>
      <c r="F268">
        <v>1158001039</v>
      </c>
      <c r="G268" s="1">
        <v>45945</v>
      </c>
      <c r="H268" t="s">
        <v>1350</v>
      </c>
      <c r="I268" t="s">
        <v>1374</v>
      </c>
      <c r="J268" t="s">
        <v>1363</v>
      </c>
      <c r="K268" t="s">
        <v>1353</v>
      </c>
      <c r="L268" t="s">
        <v>1408</v>
      </c>
      <c r="M268" t="s">
        <v>1447</v>
      </c>
      <c r="N268" t="s">
        <v>1448</v>
      </c>
      <c r="O268" t="s">
        <v>1423</v>
      </c>
      <c r="P268" t="s">
        <v>1423</v>
      </c>
      <c r="Q268" t="s">
        <v>1412</v>
      </c>
      <c r="S268" s="1">
        <v>46043</v>
      </c>
      <c r="W268" s="1">
        <v>23966</v>
      </c>
      <c r="X268" t="s">
        <v>2022</v>
      </c>
      <c r="Z268" t="s">
        <v>1414</v>
      </c>
      <c r="AA268" t="s">
        <v>1419</v>
      </c>
      <c r="AB268" t="s">
        <v>1200</v>
      </c>
      <c r="AC268">
        <v>51998081420</v>
      </c>
      <c r="AD268" t="str">
        <f>_xlfn.XLOOKUP(F268,'Base de Tutores'!L:L,'Base de Tutores'!F:F)</f>
        <v>BAU</v>
      </c>
    </row>
    <row r="269" spans="1:30" hidden="1" x14ac:dyDescent="0.3">
      <c r="A269" t="s">
        <v>1405</v>
      </c>
      <c r="B269" t="s">
        <v>1406</v>
      </c>
      <c r="C269" t="s">
        <v>2023</v>
      </c>
      <c r="D269">
        <v>91557933200</v>
      </c>
      <c r="E269">
        <v>4962077</v>
      </c>
      <c r="F269">
        <v>1158000646</v>
      </c>
      <c r="G269" s="1">
        <v>45798</v>
      </c>
      <c r="H269" t="s">
        <v>1350</v>
      </c>
      <c r="I269" t="s">
        <v>1374</v>
      </c>
      <c r="J269" t="s">
        <v>1363</v>
      </c>
      <c r="K269" t="s">
        <v>1353</v>
      </c>
      <c r="L269" t="s">
        <v>1408</v>
      </c>
      <c r="M269" t="s">
        <v>1409</v>
      </c>
      <c r="N269" t="s">
        <v>1410</v>
      </c>
      <c r="O269" t="s">
        <v>1411</v>
      </c>
      <c r="P269" t="s">
        <v>1411</v>
      </c>
      <c r="Q269" t="s">
        <v>1412</v>
      </c>
      <c r="S269" s="1">
        <v>46043</v>
      </c>
      <c r="W269" s="1">
        <v>31034</v>
      </c>
      <c r="X269" t="s">
        <v>2024</v>
      </c>
      <c r="Z269" t="s">
        <v>1414</v>
      </c>
      <c r="AA269" t="s">
        <v>1419</v>
      </c>
      <c r="AB269" t="s">
        <v>448</v>
      </c>
      <c r="AC269">
        <v>91993081393</v>
      </c>
      <c r="AD269" t="str">
        <f>_xlfn.XLOOKUP(F269,'Base de Tutores'!L:L,'Base de Tutores'!F:F)</f>
        <v>EMF-ISN</v>
      </c>
    </row>
    <row r="270" spans="1:30" hidden="1" x14ac:dyDescent="0.3">
      <c r="A270" t="s">
        <v>1405</v>
      </c>
      <c r="B270" t="s">
        <v>1406</v>
      </c>
      <c r="C270" t="s">
        <v>2025</v>
      </c>
      <c r="D270">
        <v>1844648206</v>
      </c>
      <c r="E270" t="s">
        <v>2026</v>
      </c>
      <c r="F270">
        <v>1158000667</v>
      </c>
      <c r="G270" s="1">
        <v>45749</v>
      </c>
      <c r="H270" t="s">
        <v>1350</v>
      </c>
      <c r="I270" t="s">
        <v>1525</v>
      </c>
      <c r="J270" t="s">
        <v>1427</v>
      </c>
      <c r="K270" t="s">
        <v>1356</v>
      </c>
      <c r="L270" t="s">
        <v>1408</v>
      </c>
      <c r="M270" t="s">
        <v>1421</v>
      </c>
      <c r="N270" t="s">
        <v>1422</v>
      </c>
      <c r="O270" t="s">
        <v>2027</v>
      </c>
      <c r="P270" t="s">
        <v>2027</v>
      </c>
      <c r="Q270" t="s">
        <v>1412</v>
      </c>
      <c r="S270" s="1">
        <v>46038</v>
      </c>
      <c r="T270" s="1">
        <v>46027</v>
      </c>
      <c r="U270" s="1">
        <v>46146</v>
      </c>
      <c r="W270" s="1">
        <v>31911</v>
      </c>
      <c r="X270" t="s">
        <v>2028</v>
      </c>
      <c r="Z270" t="s">
        <v>1414</v>
      </c>
      <c r="AA270" t="s">
        <v>1419</v>
      </c>
      <c r="AB270" t="s">
        <v>1037</v>
      </c>
      <c r="AC270">
        <v>97984509440</v>
      </c>
      <c r="AD270" t="str">
        <f>_xlfn.XLOOKUP(F270,'Base de Tutores'!L:L,'Base de Tutores'!F:F)</f>
        <v>EMF-ISN</v>
      </c>
    </row>
    <row r="271" spans="1:30" hidden="1" x14ac:dyDescent="0.3">
      <c r="A271" t="s">
        <v>1405</v>
      </c>
      <c r="B271" t="s">
        <v>1406</v>
      </c>
      <c r="C271" t="s">
        <v>2029</v>
      </c>
      <c r="D271">
        <v>2883415030</v>
      </c>
      <c r="E271">
        <v>4106899141</v>
      </c>
      <c r="F271">
        <v>1158000750</v>
      </c>
      <c r="G271" s="1">
        <v>45817</v>
      </c>
      <c r="H271" t="s">
        <v>1350</v>
      </c>
      <c r="I271" t="s">
        <v>1374</v>
      </c>
      <c r="J271" t="s">
        <v>1427</v>
      </c>
      <c r="K271" t="s">
        <v>1356</v>
      </c>
      <c r="L271" t="s">
        <v>1408</v>
      </c>
      <c r="M271" t="s">
        <v>1409</v>
      </c>
      <c r="N271" t="s">
        <v>1410</v>
      </c>
      <c r="O271" t="s">
        <v>1423</v>
      </c>
      <c r="P271" t="s">
        <v>1423</v>
      </c>
      <c r="Q271" t="s">
        <v>1412</v>
      </c>
      <c r="S271" s="1">
        <v>46043</v>
      </c>
      <c r="W271" s="1">
        <v>33558</v>
      </c>
      <c r="X271" t="s">
        <v>2030</v>
      </c>
      <c r="Y271" t="s">
        <v>1756</v>
      </c>
      <c r="Z271" t="s">
        <v>1414</v>
      </c>
      <c r="AA271" t="s">
        <v>1419</v>
      </c>
      <c r="AB271" t="s">
        <v>193</v>
      </c>
      <c r="AC271">
        <v>51993999626</v>
      </c>
      <c r="AD271" t="str">
        <f>_xlfn.XLOOKUP(F271,'Base de Tutores'!L:L,'Base de Tutores'!F:F)</f>
        <v>EMF-ISN</v>
      </c>
    </row>
    <row r="272" spans="1:30" hidden="1" x14ac:dyDescent="0.3">
      <c r="A272" t="s">
        <v>1405</v>
      </c>
      <c r="B272" t="s">
        <v>1406</v>
      </c>
      <c r="C272" t="s">
        <v>2031</v>
      </c>
      <c r="D272">
        <v>5450976909</v>
      </c>
      <c r="E272" t="s">
        <v>2032</v>
      </c>
      <c r="F272">
        <v>1158000829</v>
      </c>
      <c r="G272" s="1">
        <v>45873</v>
      </c>
      <c r="H272" t="s">
        <v>1350</v>
      </c>
      <c r="I272" t="s">
        <v>1349</v>
      </c>
      <c r="J272" t="s">
        <v>1363</v>
      </c>
      <c r="K272" t="s">
        <v>1353</v>
      </c>
      <c r="L272" t="s">
        <v>1408</v>
      </c>
      <c r="M272" t="s">
        <v>1447</v>
      </c>
      <c r="N272" t="s">
        <v>1448</v>
      </c>
      <c r="O272" t="s">
        <v>1411</v>
      </c>
      <c r="P272" t="s">
        <v>1411</v>
      </c>
      <c r="Q272" t="s">
        <v>1412</v>
      </c>
      <c r="S272" s="1">
        <v>45946</v>
      </c>
      <c r="V272" s="1">
        <v>45944</v>
      </c>
      <c r="W272" s="1">
        <v>31616</v>
      </c>
      <c r="X272" t="s">
        <v>1602</v>
      </c>
      <c r="Y272" t="s">
        <v>2033</v>
      </c>
      <c r="Z272" t="s">
        <v>1414</v>
      </c>
      <c r="AA272" t="s">
        <v>1419</v>
      </c>
      <c r="AB272" t="s">
        <v>789</v>
      </c>
      <c r="AC272">
        <v>44999572197</v>
      </c>
      <c r="AD272" t="str">
        <f>_xlfn.XLOOKUP(F272,'Base de Tutores'!L:L,'Base de Tutores'!F:F)</f>
        <v>AGM</v>
      </c>
    </row>
    <row r="273" spans="1:30" hidden="1" x14ac:dyDescent="0.3">
      <c r="A273" t="s">
        <v>1405</v>
      </c>
      <c r="B273" t="s">
        <v>1406</v>
      </c>
      <c r="C273" t="s">
        <v>2034</v>
      </c>
      <c r="D273">
        <v>13359211847</v>
      </c>
      <c r="E273">
        <v>201288382</v>
      </c>
      <c r="F273">
        <v>1158000551</v>
      </c>
      <c r="G273" s="1">
        <v>45733</v>
      </c>
      <c r="H273" t="s">
        <v>1350</v>
      </c>
      <c r="I273" t="s">
        <v>1374</v>
      </c>
      <c r="J273" t="s">
        <v>1363</v>
      </c>
      <c r="K273" t="s">
        <v>1353</v>
      </c>
      <c r="L273" t="s">
        <v>1408</v>
      </c>
      <c r="M273" t="s">
        <v>1447</v>
      </c>
      <c r="N273" t="s">
        <v>1448</v>
      </c>
      <c r="O273" t="s">
        <v>1423</v>
      </c>
      <c r="P273" t="s">
        <v>1423</v>
      </c>
      <c r="Q273" t="s">
        <v>1412</v>
      </c>
      <c r="S273" s="1">
        <v>46043</v>
      </c>
      <c r="W273" s="1">
        <v>25979</v>
      </c>
      <c r="X273" t="s">
        <v>1900</v>
      </c>
      <c r="Z273" t="s">
        <v>1414</v>
      </c>
      <c r="AA273" t="s">
        <v>1419</v>
      </c>
      <c r="AB273" t="s">
        <v>327</v>
      </c>
      <c r="AC273">
        <v>13981653135</v>
      </c>
      <c r="AD273" t="str">
        <f>_xlfn.XLOOKUP(F273,'Base de Tutores'!L:L,'Base de Tutores'!F:F)</f>
        <v>EMF-ISN</v>
      </c>
    </row>
    <row r="274" spans="1:30" hidden="1" x14ac:dyDescent="0.3">
      <c r="A274" t="s">
        <v>1405</v>
      </c>
      <c r="B274" t="s">
        <v>1406</v>
      </c>
      <c r="C274" t="s">
        <v>2035</v>
      </c>
      <c r="D274">
        <v>70280876114</v>
      </c>
      <c r="E274">
        <v>5639289</v>
      </c>
      <c r="F274">
        <v>1158000670</v>
      </c>
      <c r="G274" s="1">
        <v>45749</v>
      </c>
      <c r="H274" t="s">
        <v>1350</v>
      </c>
      <c r="I274" t="s">
        <v>1374</v>
      </c>
      <c r="J274" t="s">
        <v>1696</v>
      </c>
      <c r="K274" t="s">
        <v>1354</v>
      </c>
      <c r="L274" t="s">
        <v>1408</v>
      </c>
      <c r="M274" t="s">
        <v>1409</v>
      </c>
      <c r="N274" t="s">
        <v>1422</v>
      </c>
      <c r="O274" t="s">
        <v>1423</v>
      </c>
      <c r="P274" t="s">
        <v>1423</v>
      </c>
      <c r="Q274" t="s">
        <v>1412</v>
      </c>
      <c r="S274" s="1">
        <v>46043</v>
      </c>
      <c r="W274" s="1">
        <v>34878</v>
      </c>
      <c r="X274" t="s">
        <v>2036</v>
      </c>
      <c r="Z274" t="s">
        <v>1414</v>
      </c>
      <c r="AA274" t="s">
        <v>1419</v>
      </c>
      <c r="AB274" t="s">
        <v>316</v>
      </c>
      <c r="AC274">
        <v>62992552047</v>
      </c>
      <c r="AD274" t="str">
        <f>_xlfn.XLOOKUP(F274,'Base de Tutores'!L:L,'Base de Tutores'!F:F)</f>
        <v>EMF-ISN</v>
      </c>
    </row>
    <row r="275" spans="1:30" hidden="1" x14ac:dyDescent="0.3">
      <c r="A275" t="s">
        <v>1405</v>
      </c>
      <c r="B275" t="s">
        <v>1406</v>
      </c>
      <c r="C275" t="s">
        <v>2037</v>
      </c>
      <c r="D275">
        <v>40851553850</v>
      </c>
      <c r="E275" t="s">
        <v>2038</v>
      </c>
      <c r="F275">
        <v>1158000901</v>
      </c>
      <c r="G275" s="1">
        <v>45887</v>
      </c>
      <c r="H275" t="s">
        <v>1350</v>
      </c>
      <c r="I275" t="s">
        <v>1374</v>
      </c>
      <c r="J275" t="s">
        <v>1363</v>
      </c>
      <c r="K275" t="s">
        <v>1353</v>
      </c>
      <c r="L275" t="s">
        <v>1408</v>
      </c>
      <c r="M275" t="s">
        <v>1447</v>
      </c>
      <c r="N275" t="s">
        <v>1448</v>
      </c>
      <c r="O275" t="s">
        <v>1423</v>
      </c>
      <c r="P275" t="s">
        <v>1423</v>
      </c>
      <c r="Q275" t="s">
        <v>1412</v>
      </c>
      <c r="S275" s="1">
        <v>46043</v>
      </c>
      <c r="W275" s="1">
        <v>33261</v>
      </c>
      <c r="X275" t="s">
        <v>1724</v>
      </c>
      <c r="Z275" t="s">
        <v>1414</v>
      </c>
      <c r="AA275" t="s">
        <v>1419</v>
      </c>
      <c r="AB275" t="s">
        <v>965</v>
      </c>
      <c r="AC275">
        <v>19992363152</v>
      </c>
      <c r="AD275" t="str">
        <f>_xlfn.XLOOKUP(F275,'Base de Tutores'!L:L,'Base de Tutores'!F:F)</f>
        <v>AGM</v>
      </c>
    </row>
    <row r="276" spans="1:30" hidden="1" x14ac:dyDescent="0.3">
      <c r="A276" t="s">
        <v>1405</v>
      </c>
      <c r="B276" t="s">
        <v>1406</v>
      </c>
      <c r="C276" t="s">
        <v>2039</v>
      </c>
      <c r="D276">
        <v>3349042180</v>
      </c>
      <c r="E276">
        <v>58752998</v>
      </c>
      <c r="F276">
        <v>1158000955</v>
      </c>
      <c r="G276" s="1">
        <v>45901</v>
      </c>
      <c r="H276" t="s">
        <v>1350</v>
      </c>
      <c r="I276" t="s">
        <v>1374</v>
      </c>
      <c r="J276" t="s">
        <v>1363</v>
      </c>
      <c r="K276" t="s">
        <v>1353</v>
      </c>
      <c r="L276" t="s">
        <v>1408</v>
      </c>
      <c r="M276" t="s">
        <v>1421</v>
      </c>
      <c r="N276" t="s">
        <v>1422</v>
      </c>
      <c r="O276" t="s">
        <v>1462</v>
      </c>
      <c r="P276" t="s">
        <v>1462</v>
      </c>
      <c r="Q276" t="s">
        <v>1412</v>
      </c>
      <c r="S276" s="1">
        <v>46043</v>
      </c>
      <c r="W276" s="1">
        <v>33322</v>
      </c>
      <c r="X276" t="s">
        <v>2016</v>
      </c>
      <c r="Z276" t="s">
        <v>1414</v>
      </c>
      <c r="AA276" t="s">
        <v>1419</v>
      </c>
      <c r="AB276" t="s">
        <v>1045</v>
      </c>
      <c r="AC276">
        <v>64993103135</v>
      </c>
      <c r="AD276" t="str">
        <f>_xlfn.XLOOKUP(F276,'Base de Tutores'!L:L,'Base de Tutores'!F:F)</f>
        <v>AGM</v>
      </c>
    </row>
    <row r="277" spans="1:30" hidden="1" x14ac:dyDescent="0.3">
      <c r="A277" t="s">
        <v>1405</v>
      </c>
      <c r="B277" t="s">
        <v>1406</v>
      </c>
      <c r="C277" t="s">
        <v>2040</v>
      </c>
      <c r="D277">
        <v>2876117010</v>
      </c>
      <c r="E277">
        <v>2108852051</v>
      </c>
      <c r="F277">
        <v>1158001045</v>
      </c>
      <c r="G277" s="1">
        <v>45946</v>
      </c>
      <c r="H277" t="s">
        <v>1350</v>
      </c>
      <c r="I277" t="s">
        <v>1374</v>
      </c>
      <c r="J277" t="s">
        <v>1363</v>
      </c>
      <c r="K277" t="s">
        <v>1353</v>
      </c>
      <c r="L277" t="s">
        <v>1408</v>
      </c>
      <c r="M277" t="s">
        <v>1409</v>
      </c>
      <c r="N277" t="s">
        <v>1410</v>
      </c>
      <c r="O277" t="s">
        <v>1423</v>
      </c>
      <c r="P277" t="s">
        <v>1423</v>
      </c>
      <c r="Q277" t="s">
        <v>1412</v>
      </c>
      <c r="S277" s="1">
        <v>46043</v>
      </c>
      <c r="W277" s="1">
        <v>35064</v>
      </c>
      <c r="X277" t="s">
        <v>1956</v>
      </c>
      <c r="Z277" t="s">
        <v>1414</v>
      </c>
      <c r="AA277" t="s">
        <v>1419</v>
      </c>
      <c r="AB277" t="s">
        <v>1203</v>
      </c>
      <c r="AC277">
        <v>49991949900</v>
      </c>
      <c r="AD277" t="str">
        <f>_xlfn.XLOOKUP(F277,'Base de Tutores'!L:L,'Base de Tutores'!F:F)</f>
        <v>BAU</v>
      </c>
    </row>
    <row r="278" spans="1:30" hidden="1" x14ac:dyDescent="0.3">
      <c r="A278" t="s">
        <v>1405</v>
      </c>
      <c r="B278" t="s">
        <v>1406</v>
      </c>
      <c r="C278" t="s">
        <v>2041</v>
      </c>
      <c r="D278">
        <v>12922591670</v>
      </c>
      <c r="E278">
        <v>7866140</v>
      </c>
      <c r="F278">
        <v>1158000669</v>
      </c>
      <c r="G278" s="1">
        <v>45749</v>
      </c>
      <c r="H278" t="s">
        <v>1350</v>
      </c>
      <c r="I278" t="s">
        <v>1349</v>
      </c>
      <c r="J278" t="s">
        <v>1363</v>
      </c>
      <c r="K278" t="s">
        <v>1353</v>
      </c>
      <c r="L278" t="s">
        <v>1408</v>
      </c>
      <c r="M278" t="s">
        <v>1447</v>
      </c>
      <c r="N278" t="s">
        <v>1448</v>
      </c>
      <c r="O278" t="s">
        <v>1411</v>
      </c>
      <c r="P278" t="s">
        <v>1417</v>
      </c>
      <c r="Q278" t="s">
        <v>1412</v>
      </c>
      <c r="S278" s="1">
        <v>45933</v>
      </c>
      <c r="V278" s="1">
        <v>45931</v>
      </c>
      <c r="W278" s="1">
        <v>35262</v>
      </c>
      <c r="X278" t="s">
        <v>2042</v>
      </c>
      <c r="Z278" t="s">
        <v>1414</v>
      </c>
      <c r="AA278" t="s">
        <v>1415</v>
      </c>
      <c r="AB278" t="s">
        <v>228</v>
      </c>
      <c r="AC278">
        <v>6296700735</v>
      </c>
      <c r="AD278" t="str">
        <f>_xlfn.XLOOKUP(F278,'Base de Tutores'!L:L,'Base de Tutores'!F:F)</f>
        <v>EMF-ISN</v>
      </c>
    </row>
    <row r="279" spans="1:30" hidden="1" x14ac:dyDescent="0.3">
      <c r="A279" t="s">
        <v>1405</v>
      </c>
      <c r="B279" t="s">
        <v>1406</v>
      </c>
      <c r="C279" t="s">
        <v>2043</v>
      </c>
      <c r="D279">
        <v>60497684390</v>
      </c>
      <c r="E279" t="s">
        <v>2044</v>
      </c>
      <c r="F279">
        <v>1158000636</v>
      </c>
      <c r="G279" s="1">
        <v>45791</v>
      </c>
      <c r="H279" t="s">
        <v>1350</v>
      </c>
      <c r="I279" t="s">
        <v>1374</v>
      </c>
      <c r="J279" t="s">
        <v>1363</v>
      </c>
      <c r="K279" t="s">
        <v>1353</v>
      </c>
      <c r="L279" t="s">
        <v>1408</v>
      </c>
      <c r="M279" t="s">
        <v>1421</v>
      </c>
      <c r="N279" t="s">
        <v>1422</v>
      </c>
      <c r="O279" t="s">
        <v>1462</v>
      </c>
      <c r="P279" t="s">
        <v>1462</v>
      </c>
      <c r="Q279" t="s">
        <v>1412</v>
      </c>
      <c r="S279" s="1">
        <v>46043</v>
      </c>
      <c r="W279" s="1">
        <v>35815</v>
      </c>
      <c r="X279" t="s">
        <v>1519</v>
      </c>
      <c r="Z279" t="s">
        <v>1414</v>
      </c>
      <c r="AA279" t="s">
        <v>1415</v>
      </c>
      <c r="AB279" t="s">
        <v>1015</v>
      </c>
      <c r="AC279">
        <v>98984598476</v>
      </c>
      <c r="AD279" t="str">
        <f>_xlfn.XLOOKUP(F279,'Base de Tutores'!L:L,'Base de Tutores'!F:F)</f>
        <v>EMF-ISN</v>
      </c>
    </row>
    <row r="280" spans="1:30" hidden="1" x14ac:dyDescent="0.3">
      <c r="A280" t="s">
        <v>1405</v>
      </c>
      <c r="B280" t="s">
        <v>1406</v>
      </c>
      <c r="C280" t="s">
        <v>2045</v>
      </c>
      <c r="D280">
        <v>40703348825</v>
      </c>
      <c r="E280">
        <v>49731092</v>
      </c>
      <c r="F280">
        <v>1158000709</v>
      </c>
      <c r="G280" s="1">
        <v>45754</v>
      </c>
      <c r="H280" t="s">
        <v>1350</v>
      </c>
      <c r="I280" t="s">
        <v>1349</v>
      </c>
      <c r="J280" t="s">
        <v>1363</v>
      </c>
      <c r="K280" t="s">
        <v>1353</v>
      </c>
      <c r="L280" t="s">
        <v>1408</v>
      </c>
      <c r="M280" t="s">
        <v>1409</v>
      </c>
      <c r="N280" t="s">
        <v>1410</v>
      </c>
      <c r="O280" t="s">
        <v>1411</v>
      </c>
      <c r="P280" t="s">
        <v>1411</v>
      </c>
      <c r="Q280" t="s">
        <v>1412</v>
      </c>
      <c r="S280" s="1">
        <v>45890</v>
      </c>
      <c r="V280" s="1">
        <v>45888</v>
      </c>
      <c r="W280" s="1">
        <v>34416</v>
      </c>
      <c r="X280" t="s">
        <v>2046</v>
      </c>
      <c r="Z280" t="s">
        <v>1414</v>
      </c>
      <c r="AA280" t="s">
        <v>1415</v>
      </c>
      <c r="AB280" t="s">
        <v>2047</v>
      </c>
      <c r="AC280">
        <v>4792891794</v>
      </c>
      <c r="AD280" t="str">
        <f>_xlfn.XLOOKUP(F280,'Base de Tutores'!L:L,'Base de Tutores'!F:F)</f>
        <v>EMF-ISN</v>
      </c>
    </row>
    <row r="281" spans="1:30" hidden="1" x14ac:dyDescent="0.3">
      <c r="A281" t="s">
        <v>1405</v>
      </c>
      <c r="B281" t="s">
        <v>1406</v>
      </c>
      <c r="C281" t="s">
        <v>2048</v>
      </c>
      <c r="D281">
        <v>2517219060</v>
      </c>
      <c r="E281" t="s">
        <v>2049</v>
      </c>
      <c r="F281">
        <v>1158000704</v>
      </c>
      <c r="G281" s="1">
        <v>45756</v>
      </c>
      <c r="H281" t="s">
        <v>1350</v>
      </c>
      <c r="I281" t="s">
        <v>1349</v>
      </c>
      <c r="J281" t="s">
        <v>1363</v>
      </c>
      <c r="K281" t="s">
        <v>1353</v>
      </c>
      <c r="L281" t="s">
        <v>1408</v>
      </c>
      <c r="M281" t="s">
        <v>1447</v>
      </c>
      <c r="N281" t="s">
        <v>1448</v>
      </c>
      <c r="O281" t="s">
        <v>1423</v>
      </c>
      <c r="P281" t="s">
        <v>1423</v>
      </c>
      <c r="Q281" t="s">
        <v>1412</v>
      </c>
      <c r="S281" s="1">
        <v>45828</v>
      </c>
      <c r="V281" s="1">
        <v>45826</v>
      </c>
      <c r="W281" s="1">
        <v>33102</v>
      </c>
      <c r="X281" t="s">
        <v>2050</v>
      </c>
      <c r="Z281" t="s">
        <v>1414</v>
      </c>
      <c r="AA281" t="s">
        <v>1415</v>
      </c>
      <c r="AB281" t="s">
        <v>2051</v>
      </c>
      <c r="AC281">
        <v>55999039698</v>
      </c>
      <c r="AD281" t="str">
        <f>_xlfn.XLOOKUP(F281,'Base de Tutores'!L:L,'Base de Tutores'!F:F)</f>
        <v>ECE-ENM-ENS-ENG-EEA-GPI-CDE-OBR-SAN-TER-FSA-SLF-QUI</v>
      </c>
    </row>
    <row r="282" spans="1:30" hidden="1" x14ac:dyDescent="0.3">
      <c r="A282" t="s">
        <v>1405</v>
      </c>
      <c r="B282" t="s">
        <v>1406</v>
      </c>
      <c r="C282" t="s">
        <v>2052</v>
      </c>
      <c r="D282">
        <v>87631202249</v>
      </c>
      <c r="E282">
        <v>180553386</v>
      </c>
      <c r="F282">
        <v>1158000985</v>
      </c>
      <c r="G282" s="1">
        <v>45915</v>
      </c>
      <c r="H282" t="s">
        <v>1350</v>
      </c>
      <c r="I282" t="s">
        <v>1374</v>
      </c>
      <c r="J282" t="s">
        <v>1363</v>
      </c>
      <c r="K282" t="s">
        <v>1353</v>
      </c>
      <c r="L282" t="s">
        <v>1408</v>
      </c>
      <c r="M282" t="s">
        <v>1442</v>
      </c>
      <c r="N282" t="s">
        <v>1443</v>
      </c>
      <c r="O282" t="s">
        <v>1411</v>
      </c>
      <c r="P282" t="s">
        <v>1411</v>
      </c>
      <c r="Q282" t="s">
        <v>1412</v>
      </c>
      <c r="S282" s="1">
        <v>46043</v>
      </c>
      <c r="W282" s="1">
        <v>31568</v>
      </c>
      <c r="X282" t="s">
        <v>1825</v>
      </c>
      <c r="Z282" t="s">
        <v>1414</v>
      </c>
      <c r="AA282" t="s">
        <v>1415</v>
      </c>
      <c r="AB282" t="s">
        <v>1100</v>
      </c>
      <c r="AC282">
        <v>92996034005</v>
      </c>
      <c r="AD282" t="str">
        <f>_xlfn.XLOOKUP(F282,'Base de Tutores'!L:L,'Base de Tutores'!F:F)</f>
        <v>AGM</v>
      </c>
    </row>
    <row r="283" spans="1:30" hidden="1" x14ac:dyDescent="0.3">
      <c r="A283" t="s">
        <v>1405</v>
      </c>
      <c r="B283" t="s">
        <v>1406</v>
      </c>
      <c r="C283" t="s">
        <v>2053</v>
      </c>
      <c r="D283">
        <v>6379947957</v>
      </c>
      <c r="E283">
        <v>6379947957</v>
      </c>
      <c r="F283">
        <v>1158000929</v>
      </c>
      <c r="G283" s="1">
        <v>45901</v>
      </c>
      <c r="H283" t="s">
        <v>1350</v>
      </c>
      <c r="I283" t="s">
        <v>1374</v>
      </c>
      <c r="J283" t="s">
        <v>1363</v>
      </c>
      <c r="K283" t="s">
        <v>1353</v>
      </c>
      <c r="L283" t="s">
        <v>1408</v>
      </c>
      <c r="M283" t="s">
        <v>1447</v>
      </c>
      <c r="N283" t="s">
        <v>1448</v>
      </c>
      <c r="O283" t="s">
        <v>1423</v>
      </c>
      <c r="P283" t="s">
        <v>1423</v>
      </c>
      <c r="Q283" t="s">
        <v>1412</v>
      </c>
      <c r="S283" s="1">
        <v>46043</v>
      </c>
      <c r="W283" s="1">
        <v>31806</v>
      </c>
      <c r="X283" t="s">
        <v>2054</v>
      </c>
      <c r="Z283" t="s">
        <v>1414</v>
      </c>
      <c r="AA283" t="s">
        <v>1419</v>
      </c>
      <c r="AB283" t="s">
        <v>1048</v>
      </c>
      <c r="AC283">
        <v>47999026548</v>
      </c>
      <c r="AD283" t="str">
        <f>_xlfn.XLOOKUP(F283,'Base de Tutores'!L:L,'Base de Tutores'!F:F)</f>
        <v>BFR</v>
      </c>
    </row>
    <row r="284" spans="1:30" hidden="1" x14ac:dyDescent="0.3">
      <c r="A284" t="s">
        <v>1405</v>
      </c>
      <c r="B284" t="s">
        <v>1406</v>
      </c>
      <c r="C284" t="s">
        <v>2055</v>
      </c>
      <c r="D284">
        <v>2467811140</v>
      </c>
      <c r="E284">
        <v>4676568</v>
      </c>
      <c r="F284">
        <v>1158000661</v>
      </c>
      <c r="G284" s="1">
        <v>45749</v>
      </c>
      <c r="H284" t="s">
        <v>1350</v>
      </c>
      <c r="I284" t="s">
        <v>1374</v>
      </c>
      <c r="J284" t="s">
        <v>1363</v>
      </c>
      <c r="K284" t="s">
        <v>1353</v>
      </c>
      <c r="L284" t="s">
        <v>1408</v>
      </c>
      <c r="M284" t="s">
        <v>1421</v>
      </c>
      <c r="N284" t="s">
        <v>1422</v>
      </c>
      <c r="O284" t="s">
        <v>1411</v>
      </c>
      <c r="P284" t="s">
        <v>1411</v>
      </c>
      <c r="Q284" t="s">
        <v>1412</v>
      </c>
      <c r="S284" s="1">
        <v>46043</v>
      </c>
      <c r="W284" s="1">
        <v>32320</v>
      </c>
      <c r="X284" t="s">
        <v>2056</v>
      </c>
      <c r="Z284" t="s">
        <v>1414</v>
      </c>
      <c r="AA284" t="s">
        <v>1419</v>
      </c>
      <c r="AB284" t="s">
        <v>241</v>
      </c>
      <c r="AC284">
        <v>61996585728</v>
      </c>
      <c r="AD284" t="str">
        <f>_xlfn.XLOOKUP(F284,'Base de Tutores'!L:L,'Base de Tutores'!F:F)</f>
        <v>EMF-ISN</v>
      </c>
    </row>
    <row r="285" spans="1:30" hidden="1" x14ac:dyDescent="0.3">
      <c r="A285" t="s">
        <v>1405</v>
      </c>
      <c r="B285" t="s">
        <v>1406</v>
      </c>
      <c r="C285" t="s">
        <v>2057</v>
      </c>
      <c r="D285">
        <v>85867047253</v>
      </c>
      <c r="E285">
        <v>8354718</v>
      </c>
      <c r="F285">
        <v>1158000866</v>
      </c>
      <c r="G285" s="1">
        <v>45882</v>
      </c>
      <c r="H285" t="s">
        <v>1350</v>
      </c>
      <c r="I285" t="s">
        <v>1374</v>
      </c>
      <c r="J285" t="s">
        <v>1363</v>
      </c>
      <c r="K285" t="s">
        <v>1353</v>
      </c>
      <c r="L285" t="s">
        <v>1408</v>
      </c>
      <c r="M285" t="s">
        <v>1447</v>
      </c>
      <c r="N285" t="s">
        <v>1448</v>
      </c>
      <c r="O285" t="s">
        <v>1423</v>
      </c>
      <c r="P285" t="s">
        <v>1423</v>
      </c>
      <c r="Q285" t="s">
        <v>1412</v>
      </c>
      <c r="S285" s="1">
        <v>46043</v>
      </c>
      <c r="W285" s="1">
        <v>30010</v>
      </c>
      <c r="X285" t="s">
        <v>1492</v>
      </c>
      <c r="Y285" t="s">
        <v>2058</v>
      </c>
      <c r="Z285" t="s">
        <v>1414</v>
      </c>
      <c r="AA285" t="s">
        <v>1419</v>
      </c>
      <c r="AB285" t="s">
        <v>904</v>
      </c>
      <c r="AC285">
        <v>48998170223</v>
      </c>
      <c r="AD285" t="str">
        <f>_xlfn.XLOOKUP(F285,'Base de Tutores'!L:L,'Base de Tutores'!F:F)</f>
        <v>AGM</v>
      </c>
    </row>
    <row r="286" spans="1:30" hidden="1" x14ac:dyDescent="0.3">
      <c r="A286" t="s">
        <v>1405</v>
      </c>
      <c r="B286" t="s">
        <v>1406</v>
      </c>
      <c r="C286" t="s">
        <v>2059</v>
      </c>
      <c r="D286">
        <v>13111371654</v>
      </c>
      <c r="E286" t="s">
        <v>2060</v>
      </c>
      <c r="F286">
        <v>1158000629</v>
      </c>
      <c r="G286" s="1">
        <v>45789</v>
      </c>
      <c r="H286" t="s">
        <v>1350</v>
      </c>
      <c r="I286" t="s">
        <v>1374</v>
      </c>
      <c r="J286" t="s">
        <v>1363</v>
      </c>
      <c r="K286" t="s">
        <v>1353</v>
      </c>
      <c r="L286" t="s">
        <v>1408</v>
      </c>
      <c r="M286" t="s">
        <v>1421</v>
      </c>
      <c r="N286" t="s">
        <v>1422</v>
      </c>
      <c r="O286" t="s">
        <v>1423</v>
      </c>
      <c r="P286" t="s">
        <v>1423</v>
      </c>
      <c r="Q286" t="s">
        <v>1412</v>
      </c>
      <c r="S286" s="1">
        <v>46043</v>
      </c>
      <c r="W286" s="1">
        <v>36888</v>
      </c>
      <c r="X286" t="s">
        <v>1610</v>
      </c>
      <c r="Y286" t="s">
        <v>2061</v>
      </c>
      <c r="Z286" t="s">
        <v>1414</v>
      </c>
      <c r="AA286" t="s">
        <v>1415</v>
      </c>
      <c r="AB286" t="s">
        <v>631</v>
      </c>
      <c r="AC286">
        <v>35999168725</v>
      </c>
      <c r="AD286" t="str">
        <f>_xlfn.XLOOKUP(F286,'Base de Tutores'!L:L,'Base de Tutores'!F:F)</f>
        <v>ECE-ENM-ENS-ENG-EEA-GPI-CDE-OBR-SAN-TER-FSA-SLF-QUI</v>
      </c>
    </row>
    <row r="287" spans="1:30" hidden="1" x14ac:dyDescent="0.3">
      <c r="A287" t="s">
        <v>1405</v>
      </c>
      <c r="B287" t="s">
        <v>1406</v>
      </c>
      <c r="C287" t="s">
        <v>2062</v>
      </c>
      <c r="D287">
        <v>9793037709</v>
      </c>
      <c r="E287">
        <v>311199830</v>
      </c>
      <c r="F287">
        <v>1158001177</v>
      </c>
      <c r="G287" s="1">
        <v>46099</v>
      </c>
      <c r="H287" t="s">
        <v>1350</v>
      </c>
      <c r="I287" t="s">
        <v>1374</v>
      </c>
      <c r="J287" t="s">
        <v>1363</v>
      </c>
      <c r="K287" t="s">
        <v>1353</v>
      </c>
      <c r="L287" t="s">
        <v>1408</v>
      </c>
      <c r="M287" t="s">
        <v>1646</v>
      </c>
      <c r="N287" t="s">
        <v>1647</v>
      </c>
      <c r="O287" t="s">
        <v>1411</v>
      </c>
      <c r="P287" t="s">
        <v>1411</v>
      </c>
      <c r="Q287" t="s">
        <v>1412</v>
      </c>
      <c r="S287" s="1">
        <v>46097</v>
      </c>
      <c r="W287" s="1">
        <v>33660</v>
      </c>
      <c r="X287" t="s">
        <v>1721</v>
      </c>
      <c r="Z287" t="s">
        <v>1495</v>
      </c>
      <c r="AA287" t="s">
        <v>1419</v>
      </c>
      <c r="AB287" t="s">
        <v>1296</v>
      </c>
      <c r="AC287">
        <v>21996207274</v>
      </c>
      <c r="AD287" t="str">
        <f>_xlfn.XLOOKUP(F287,'Base de Tutores'!L:L,'Base de Tutores'!F:F)</f>
        <v>BFR</v>
      </c>
    </row>
    <row r="288" spans="1:30" hidden="1" x14ac:dyDescent="0.3">
      <c r="A288" t="s">
        <v>1405</v>
      </c>
      <c r="B288" t="s">
        <v>1406</v>
      </c>
      <c r="C288" t="s">
        <v>2063</v>
      </c>
      <c r="D288">
        <v>1338664085</v>
      </c>
      <c r="E288">
        <v>3371485101</v>
      </c>
      <c r="F288">
        <v>1158000666</v>
      </c>
      <c r="G288" s="1">
        <v>45749</v>
      </c>
      <c r="H288" t="s">
        <v>1350</v>
      </c>
      <c r="I288" t="s">
        <v>1349</v>
      </c>
      <c r="J288" t="s">
        <v>1427</v>
      </c>
      <c r="K288" t="s">
        <v>1356</v>
      </c>
      <c r="L288" t="s">
        <v>1408</v>
      </c>
      <c r="M288" t="s">
        <v>1409</v>
      </c>
      <c r="N288" t="s">
        <v>1410</v>
      </c>
      <c r="O288" t="s">
        <v>1423</v>
      </c>
      <c r="P288" t="s">
        <v>1423</v>
      </c>
      <c r="Q288" t="s">
        <v>1412</v>
      </c>
      <c r="S288" s="1">
        <v>45974</v>
      </c>
      <c r="V288" s="1">
        <v>45971</v>
      </c>
      <c r="W288" s="1">
        <v>31560</v>
      </c>
      <c r="X288" t="s">
        <v>2064</v>
      </c>
      <c r="Z288" t="s">
        <v>1414</v>
      </c>
      <c r="AA288" t="s">
        <v>1419</v>
      </c>
      <c r="AB288" t="s">
        <v>541</v>
      </c>
      <c r="AC288">
        <v>42988516464</v>
      </c>
      <c r="AD288" t="str">
        <f>_xlfn.XLOOKUP(F288,'Base de Tutores'!L:L,'Base de Tutores'!F:F)</f>
        <v>EMF-ISN</v>
      </c>
    </row>
    <row r="289" spans="1:30" hidden="1" x14ac:dyDescent="0.3">
      <c r="A289" t="s">
        <v>1405</v>
      </c>
      <c r="B289" t="s">
        <v>1406</v>
      </c>
      <c r="C289" t="s">
        <v>2065</v>
      </c>
      <c r="D289">
        <v>4241724531</v>
      </c>
      <c r="E289">
        <v>1265817898</v>
      </c>
      <c r="F289">
        <v>1158000875</v>
      </c>
      <c r="G289" s="1">
        <v>45882</v>
      </c>
      <c r="H289" t="s">
        <v>1350</v>
      </c>
      <c r="I289" t="s">
        <v>1349</v>
      </c>
      <c r="J289" t="s">
        <v>1363</v>
      </c>
      <c r="K289" t="s">
        <v>1353</v>
      </c>
      <c r="L289" t="s">
        <v>1408</v>
      </c>
      <c r="M289" t="s">
        <v>1409</v>
      </c>
      <c r="N289" t="s">
        <v>1410</v>
      </c>
      <c r="O289" t="s">
        <v>1411</v>
      </c>
      <c r="P289" t="s">
        <v>1411</v>
      </c>
      <c r="Q289" t="s">
        <v>1412</v>
      </c>
      <c r="S289" s="1">
        <v>46057</v>
      </c>
      <c r="V289" s="1">
        <v>46054</v>
      </c>
      <c r="W289" s="1">
        <v>32625</v>
      </c>
      <c r="X289" t="s">
        <v>1430</v>
      </c>
      <c r="Z289" t="s">
        <v>1414</v>
      </c>
      <c r="AA289" t="s">
        <v>1419</v>
      </c>
      <c r="AB289" t="s">
        <v>915</v>
      </c>
      <c r="AC289">
        <v>54984340005</v>
      </c>
      <c r="AD289" t="str">
        <f>_xlfn.XLOOKUP(F289,'Base de Tutores'!L:L,'Base de Tutores'!F:F)</f>
        <v>COS-TIP</v>
      </c>
    </row>
    <row r="290" spans="1:30" hidden="1" x14ac:dyDescent="0.3">
      <c r="A290" t="s">
        <v>1405</v>
      </c>
      <c r="B290" t="s">
        <v>1406</v>
      </c>
      <c r="C290" t="s">
        <v>2066</v>
      </c>
      <c r="D290">
        <v>1667477501</v>
      </c>
      <c r="E290" t="s">
        <v>2067</v>
      </c>
      <c r="F290">
        <v>1158000619</v>
      </c>
      <c r="G290" s="1">
        <v>45789</v>
      </c>
      <c r="H290" t="s">
        <v>1350</v>
      </c>
      <c r="I290" t="s">
        <v>1374</v>
      </c>
      <c r="J290" t="s">
        <v>1363</v>
      </c>
      <c r="K290" t="s">
        <v>1353</v>
      </c>
      <c r="L290" t="s">
        <v>1408</v>
      </c>
      <c r="M290" t="s">
        <v>1409</v>
      </c>
      <c r="N290" t="s">
        <v>1410</v>
      </c>
      <c r="O290" t="s">
        <v>1411</v>
      </c>
      <c r="P290" t="s">
        <v>1411</v>
      </c>
      <c r="Q290" t="s">
        <v>1412</v>
      </c>
      <c r="S290" s="1">
        <v>46043</v>
      </c>
      <c r="W290" s="1">
        <v>31545</v>
      </c>
      <c r="X290" t="s">
        <v>2068</v>
      </c>
      <c r="Z290" t="s">
        <v>1414</v>
      </c>
      <c r="AA290" t="s">
        <v>1419</v>
      </c>
      <c r="AB290" t="s">
        <v>429</v>
      </c>
      <c r="AC290">
        <v>77991100234</v>
      </c>
      <c r="AD290" t="str">
        <f>_xlfn.XLOOKUP(F290,'Base de Tutores'!L:L,'Base de Tutores'!F:F)</f>
        <v>EMF-ISN</v>
      </c>
    </row>
    <row r="291" spans="1:30" hidden="1" x14ac:dyDescent="0.3">
      <c r="A291" t="s">
        <v>1405</v>
      </c>
      <c r="B291" t="s">
        <v>1406</v>
      </c>
      <c r="C291" t="s">
        <v>2069</v>
      </c>
      <c r="D291">
        <v>14625898714</v>
      </c>
      <c r="E291" t="s">
        <v>2070</v>
      </c>
      <c r="F291">
        <v>1158000863</v>
      </c>
      <c r="G291" s="1">
        <v>45880</v>
      </c>
      <c r="H291" t="s">
        <v>1350</v>
      </c>
      <c r="I291" t="s">
        <v>1374</v>
      </c>
      <c r="J291" t="s">
        <v>1363</v>
      </c>
      <c r="K291" t="s">
        <v>1353</v>
      </c>
      <c r="L291" t="s">
        <v>1408</v>
      </c>
      <c r="M291" t="s">
        <v>1447</v>
      </c>
      <c r="N291" t="s">
        <v>1410</v>
      </c>
      <c r="O291" t="s">
        <v>1423</v>
      </c>
      <c r="P291" t="s">
        <v>1423</v>
      </c>
      <c r="Q291" t="s">
        <v>1412</v>
      </c>
      <c r="S291" s="1">
        <v>46043</v>
      </c>
      <c r="W291" s="1">
        <v>33640</v>
      </c>
      <c r="X291" t="s">
        <v>1827</v>
      </c>
      <c r="Y291" t="s">
        <v>1959</v>
      </c>
      <c r="Z291" t="s">
        <v>1414</v>
      </c>
      <c r="AA291" t="s">
        <v>1419</v>
      </c>
      <c r="AB291" t="s">
        <v>876</v>
      </c>
      <c r="AC291">
        <v>22998371252</v>
      </c>
      <c r="AD291" t="str">
        <f>_xlfn.XLOOKUP(F291,'Base de Tutores'!L:L,'Base de Tutores'!F:F)</f>
        <v>NTR</v>
      </c>
    </row>
    <row r="292" spans="1:30" hidden="1" x14ac:dyDescent="0.3">
      <c r="A292" t="s">
        <v>1405</v>
      </c>
      <c r="B292" t="s">
        <v>1406</v>
      </c>
      <c r="C292" t="s">
        <v>2071</v>
      </c>
      <c r="D292">
        <v>13589316748</v>
      </c>
      <c r="E292">
        <v>242015105</v>
      </c>
      <c r="F292">
        <v>1158001141</v>
      </c>
      <c r="G292" s="1">
        <v>46084</v>
      </c>
      <c r="H292" t="s">
        <v>1350</v>
      </c>
      <c r="I292" t="s">
        <v>1374</v>
      </c>
      <c r="J292" t="s">
        <v>1363</v>
      </c>
      <c r="K292" t="s">
        <v>1353</v>
      </c>
      <c r="L292" t="s">
        <v>1408</v>
      </c>
      <c r="M292" t="s">
        <v>1409</v>
      </c>
      <c r="N292" t="s">
        <v>1410</v>
      </c>
      <c r="O292" t="s">
        <v>1411</v>
      </c>
      <c r="P292" t="s">
        <v>1411</v>
      </c>
      <c r="Q292" t="s">
        <v>1412</v>
      </c>
      <c r="S292" s="1">
        <v>46085</v>
      </c>
      <c r="W292" s="1">
        <v>33233</v>
      </c>
      <c r="X292" t="s">
        <v>1721</v>
      </c>
      <c r="Z292" t="s">
        <v>1495</v>
      </c>
      <c r="AA292" t="s">
        <v>1419</v>
      </c>
      <c r="AB292" t="s">
        <v>1280</v>
      </c>
      <c r="AC292">
        <v>21964249000</v>
      </c>
      <c r="AD292" t="str">
        <f>_xlfn.XLOOKUP(F292,'Base de Tutores'!L:L,'Base de Tutores'!F:F)</f>
        <v>BFR</v>
      </c>
    </row>
    <row r="293" spans="1:30" hidden="1" x14ac:dyDescent="0.3">
      <c r="A293" t="s">
        <v>1405</v>
      </c>
      <c r="B293" t="s">
        <v>1406</v>
      </c>
      <c r="C293" t="s">
        <v>2072</v>
      </c>
      <c r="D293">
        <v>4508686133</v>
      </c>
      <c r="E293">
        <v>22769625</v>
      </c>
      <c r="F293">
        <v>1158000815</v>
      </c>
      <c r="G293" s="1">
        <v>45873</v>
      </c>
      <c r="H293" t="s">
        <v>1350</v>
      </c>
      <c r="I293" t="s">
        <v>1374</v>
      </c>
      <c r="J293" t="s">
        <v>1363</v>
      </c>
      <c r="K293" t="s">
        <v>1353</v>
      </c>
      <c r="L293" t="s">
        <v>1408</v>
      </c>
      <c r="M293" t="s">
        <v>1409</v>
      </c>
      <c r="N293" t="s">
        <v>1422</v>
      </c>
      <c r="O293" t="s">
        <v>1462</v>
      </c>
      <c r="P293" t="s">
        <v>1462</v>
      </c>
      <c r="Q293" t="s">
        <v>1412</v>
      </c>
      <c r="S293" s="1">
        <v>46043</v>
      </c>
      <c r="W293" s="1">
        <v>34385</v>
      </c>
      <c r="X293" t="s">
        <v>1589</v>
      </c>
      <c r="Z293" t="s">
        <v>1414</v>
      </c>
      <c r="AA293" t="s">
        <v>1419</v>
      </c>
      <c r="AB293" t="s">
        <v>814</v>
      </c>
      <c r="AC293">
        <v>66996508800</v>
      </c>
      <c r="AD293" t="str">
        <f>_xlfn.XLOOKUP(F293,'Base de Tutores'!L:L,'Base de Tutores'!F:F)</f>
        <v>NTR</v>
      </c>
    </row>
    <row r="294" spans="1:30" x14ac:dyDescent="0.3">
      <c r="A294" t="s">
        <v>1405</v>
      </c>
      <c r="B294" t="s">
        <v>1406</v>
      </c>
      <c r="C294" t="s">
        <v>2073</v>
      </c>
      <c r="D294">
        <v>3241398293</v>
      </c>
      <c r="E294">
        <v>7551832</v>
      </c>
      <c r="F294">
        <v>1158001082</v>
      </c>
      <c r="G294" s="1">
        <v>46029</v>
      </c>
      <c r="H294" t="s">
        <v>1350</v>
      </c>
      <c r="I294" t="s">
        <v>1374</v>
      </c>
      <c r="J294" t="s">
        <v>1363</v>
      </c>
      <c r="K294" t="s">
        <v>1353</v>
      </c>
      <c r="L294" t="s">
        <v>1408</v>
      </c>
      <c r="M294" t="s">
        <v>1409</v>
      </c>
      <c r="N294" t="s">
        <v>1410</v>
      </c>
      <c r="O294" t="s">
        <v>1411</v>
      </c>
      <c r="P294" t="s">
        <v>1411</v>
      </c>
      <c r="Q294" t="s">
        <v>1593</v>
      </c>
      <c r="S294" s="1">
        <v>46028</v>
      </c>
      <c r="W294" s="1">
        <v>35578</v>
      </c>
      <c r="X294" t="s">
        <v>1492</v>
      </c>
      <c r="Z294" t="s">
        <v>1414</v>
      </c>
      <c r="AA294" t="s">
        <v>1419</v>
      </c>
      <c r="AB294" t="s">
        <v>1263</v>
      </c>
      <c r="AC294">
        <v>91985620816</v>
      </c>
      <c r="AD294" t="str">
        <f>_xlfn.XLOOKUP(F294,'Base de Tutores'!L:L,'Base de Tutores'!F:F)</f>
        <v>BTO</v>
      </c>
    </row>
    <row r="295" spans="1:30" hidden="1" x14ac:dyDescent="0.3">
      <c r="A295" t="s">
        <v>1405</v>
      </c>
      <c r="B295" t="s">
        <v>1406</v>
      </c>
      <c r="C295" t="s">
        <v>2074</v>
      </c>
      <c r="D295">
        <v>88913350106</v>
      </c>
      <c r="E295">
        <v>149784</v>
      </c>
      <c r="F295">
        <v>1158000582</v>
      </c>
      <c r="G295" s="1">
        <v>45735</v>
      </c>
      <c r="H295" t="s">
        <v>1350</v>
      </c>
      <c r="I295" t="s">
        <v>1374</v>
      </c>
      <c r="J295" t="s">
        <v>1363</v>
      </c>
      <c r="K295" t="s">
        <v>1353</v>
      </c>
      <c r="L295" t="s">
        <v>1408</v>
      </c>
      <c r="M295" t="s">
        <v>1409</v>
      </c>
      <c r="N295" t="s">
        <v>1410</v>
      </c>
      <c r="O295" t="s">
        <v>1411</v>
      </c>
      <c r="P295" t="s">
        <v>1411</v>
      </c>
      <c r="Q295" t="s">
        <v>1412</v>
      </c>
      <c r="S295" s="1">
        <v>46043</v>
      </c>
      <c r="W295" s="1">
        <v>29529</v>
      </c>
      <c r="X295" t="s">
        <v>1456</v>
      </c>
      <c r="Z295" t="s">
        <v>1414</v>
      </c>
      <c r="AA295" t="s">
        <v>1419</v>
      </c>
      <c r="AB295" t="s">
        <v>270</v>
      </c>
      <c r="AC295">
        <v>67984453077</v>
      </c>
      <c r="AD295" t="str">
        <f>_xlfn.XLOOKUP(F295,'Base de Tutores'!L:L,'Base de Tutores'!F:F)</f>
        <v>EMF-ISN</v>
      </c>
    </row>
    <row r="296" spans="1:30" hidden="1" x14ac:dyDescent="0.3">
      <c r="A296" t="s">
        <v>1405</v>
      </c>
      <c r="B296" t="s">
        <v>1406</v>
      </c>
      <c r="C296" t="s">
        <v>2075</v>
      </c>
      <c r="D296">
        <v>2714065260</v>
      </c>
      <c r="E296" t="s">
        <v>2076</v>
      </c>
      <c r="F296">
        <v>1158000562</v>
      </c>
      <c r="G296" s="1">
        <v>45733</v>
      </c>
      <c r="H296" t="s">
        <v>1350</v>
      </c>
      <c r="I296" t="s">
        <v>1374</v>
      </c>
      <c r="J296" t="s">
        <v>1363</v>
      </c>
      <c r="K296" t="s">
        <v>1353</v>
      </c>
      <c r="L296" t="s">
        <v>1408</v>
      </c>
      <c r="M296" t="s">
        <v>1421</v>
      </c>
      <c r="N296" t="s">
        <v>1422</v>
      </c>
      <c r="O296" t="s">
        <v>1411</v>
      </c>
      <c r="P296" t="s">
        <v>1423</v>
      </c>
      <c r="Q296" t="s">
        <v>1412</v>
      </c>
      <c r="S296" s="1">
        <v>46043</v>
      </c>
      <c r="W296" s="1">
        <v>35116</v>
      </c>
      <c r="X296" t="s">
        <v>1896</v>
      </c>
      <c r="Z296" t="s">
        <v>1414</v>
      </c>
      <c r="AA296" t="s">
        <v>1419</v>
      </c>
      <c r="AB296" t="s">
        <v>458</v>
      </c>
      <c r="AC296">
        <v>92984359036</v>
      </c>
      <c r="AD296" t="str">
        <f>_xlfn.XLOOKUP(F296,'Base de Tutores'!L:L,'Base de Tutores'!F:F)</f>
        <v>EMF-ISN</v>
      </c>
    </row>
    <row r="297" spans="1:30" hidden="1" x14ac:dyDescent="0.3">
      <c r="A297" t="s">
        <v>1405</v>
      </c>
      <c r="B297" t="s">
        <v>1406</v>
      </c>
      <c r="C297" t="s">
        <v>2077</v>
      </c>
      <c r="D297">
        <v>81898304220</v>
      </c>
      <c r="E297">
        <v>17079608</v>
      </c>
      <c r="F297">
        <v>1158001194</v>
      </c>
      <c r="G297" s="1">
        <v>46118</v>
      </c>
      <c r="H297" t="s">
        <v>1350</v>
      </c>
      <c r="I297" t="s">
        <v>1374</v>
      </c>
      <c r="J297" t="s">
        <v>1363</v>
      </c>
      <c r="K297" t="s">
        <v>1353</v>
      </c>
      <c r="L297" t="s">
        <v>1408</v>
      </c>
      <c r="M297" t="s">
        <v>1421</v>
      </c>
      <c r="N297" t="s">
        <v>1422</v>
      </c>
      <c r="O297" t="s">
        <v>1411</v>
      </c>
      <c r="P297" t="s">
        <v>1411</v>
      </c>
      <c r="Q297" t="s">
        <v>1412</v>
      </c>
      <c r="S297" s="1">
        <v>46118</v>
      </c>
      <c r="W297" s="1">
        <v>30014</v>
      </c>
      <c r="X297" t="s">
        <v>2078</v>
      </c>
      <c r="Z297" t="s">
        <v>1414</v>
      </c>
      <c r="AA297" t="s">
        <v>1419</v>
      </c>
      <c r="AB297" t="s">
        <v>1325</v>
      </c>
      <c r="AC297">
        <v>559284509821</v>
      </c>
      <c r="AD297" t="str">
        <f>_xlfn.XLOOKUP(F297,'Base de Tutores'!L:L,'Base de Tutores'!F:F)</f>
        <v>ECE-ENM-ENS-ENG-EEA-GPI-CDE-OBR-SAN-TER-FSA-SLF-QUI</v>
      </c>
    </row>
    <row r="298" spans="1:30" hidden="1" x14ac:dyDescent="0.3">
      <c r="A298" t="s">
        <v>1405</v>
      </c>
      <c r="B298" t="s">
        <v>1406</v>
      </c>
      <c r="C298" t="s">
        <v>2079</v>
      </c>
      <c r="D298">
        <v>12196640735</v>
      </c>
      <c r="E298">
        <v>213921760</v>
      </c>
      <c r="F298">
        <v>1158001188</v>
      </c>
      <c r="G298" s="1">
        <v>46118</v>
      </c>
      <c r="H298" t="s">
        <v>1350</v>
      </c>
      <c r="I298" t="s">
        <v>1374</v>
      </c>
      <c r="J298" t="s">
        <v>1427</v>
      </c>
      <c r="K298" t="s">
        <v>1356</v>
      </c>
      <c r="L298" t="s">
        <v>1408</v>
      </c>
      <c r="M298" t="s">
        <v>1409</v>
      </c>
      <c r="N298" t="s">
        <v>1410</v>
      </c>
      <c r="O298" t="s">
        <v>1423</v>
      </c>
      <c r="P298" t="s">
        <v>1423</v>
      </c>
      <c r="Q298" t="s">
        <v>1412</v>
      </c>
      <c r="S298" s="1">
        <v>46118</v>
      </c>
      <c r="W298" s="1">
        <v>31695</v>
      </c>
      <c r="X298" t="s">
        <v>2080</v>
      </c>
      <c r="Z298" t="s">
        <v>1414</v>
      </c>
      <c r="AA298" t="s">
        <v>1419</v>
      </c>
      <c r="AB298" t="s">
        <v>1327</v>
      </c>
      <c r="AC298">
        <v>21977138786</v>
      </c>
      <c r="AD298" t="str">
        <f>_xlfn.XLOOKUP(F298,'Base de Tutores'!L:L,'Base de Tutores'!F:F)</f>
        <v>NTR</v>
      </c>
    </row>
    <row r="299" spans="1:30" hidden="1" x14ac:dyDescent="0.3">
      <c r="A299" t="s">
        <v>1405</v>
      </c>
      <c r="B299" t="s">
        <v>1406</v>
      </c>
      <c r="C299" t="s">
        <v>2081</v>
      </c>
      <c r="D299">
        <v>42069791890</v>
      </c>
      <c r="E299" t="s">
        <v>2082</v>
      </c>
      <c r="F299">
        <v>1158001006</v>
      </c>
      <c r="G299" s="1">
        <v>45931</v>
      </c>
      <c r="H299" t="s">
        <v>1350</v>
      </c>
      <c r="I299" t="s">
        <v>1374</v>
      </c>
      <c r="J299" t="s">
        <v>1363</v>
      </c>
      <c r="K299" t="s">
        <v>1353</v>
      </c>
      <c r="L299" t="s">
        <v>1408</v>
      </c>
      <c r="M299" t="s">
        <v>1447</v>
      </c>
      <c r="N299" t="s">
        <v>1448</v>
      </c>
      <c r="O299" t="s">
        <v>1423</v>
      </c>
      <c r="P299" t="s">
        <v>1423</v>
      </c>
      <c r="Q299" t="s">
        <v>1412</v>
      </c>
      <c r="S299" s="1">
        <v>46043</v>
      </c>
      <c r="W299" s="1">
        <v>34419</v>
      </c>
      <c r="X299" t="s">
        <v>2083</v>
      </c>
      <c r="Z299" t="s">
        <v>1414</v>
      </c>
      <c r="AA299" t="s">
        <v>1415</v>
      </c>
      <c r="AB299" t="s">
        <v>1144</v>
      </c>
      <c r="AC299">
        <v>21976312814</v>
      </c>
      <c r="AD299" t="str">
        <f>_xlfn.XLOOKUP(F299,'Base de Tutores'!L:L,'Base de Tutores'!F:F)</f>
        <v>AGM</v>
      </c>
    </row>
    <row r="300" spans="1:30" hidden="1" x14ac:dyDescent="0.3">
      <c r="A300" t="s">
        <v>1405</v>
      </c>
      <c r="B300" t="s">
        <v>1406</v>
      </c>
      <c r="C300" t="s">
        <v>2084</v>
      </c>
      <c r="D300">
        <v>5267026646</v>
      </c>
      <c r="E300" t="s">
        <v>2085</v>
      </c>
      <c r="F300">
        <v>1158000580</v>
      </c>
      <c r="G300" s="1">
        <v>45735</v>
      </c>
      <c r="H300" t="s">
        <v>1350</v>
      </c>
      <c r="I300" t="s">
        <v>1349</v>
      </c>
      <c r="J300" t="s">
        <v>1363</v>
      </c>
      <c r="K300" t="s">
        <v>1353</v>
      </c>
      <c r="L300" t="s">
        <v>1408</v>
      </c>
      <c r="M300" t="s">
        <v>1409</v>
      </c>
      <c r="N300" t="s">
        <v>1410</v>
      </c>
      <c r="O300" t="s">
        <v>1411</v>
      </c>
      <c r="P300" t="s">
        <v>1411</v>
      </c>
      <c r="Q300" t="s">
        <v>1412</v>
      </c>
      <c r="S300" s="1">
        <v>45798</v>
      </c>
      <c r="V300" s="1">
        <v>45796</v>
      </c>
      <c r="W300" s="1">
        <v>30123</v>
      </c>
      <c r="X300" t="s">
        <v>2086</v>
      </c>
      <c r="Z300" t="s">
        <v>1414</v>
      </c>
      <c r="AA300" t="s">
        <v>1419</v>
      </c>
      <c r="AB300" t="s">
        <v>2087</v>
      </c>
      <c r="AC300">
        <v>31996003851</v>
      </c>
      <c r="AD300" t="str">
        <f>_xlfn.XLOOKUP(F300,'Base de Tutores'!L:L,'Base de Tutores'!F:F)</f>
        <v>EMF-ISN</v>
      </c>
    </row>
    <row r="301" spans="1:30" hidden="1" x14ac:dyDescent="0.3">
      <c r="A301" t="s">
        <v>1405</v>
      </c>
      <c r="B301" t="s">
        <v>1406</v>
      </c>
      <c r="C301" t="s">
        <v>2088</v>
      </c>
      <c r="D301">
        <v>12223749780</v>
      </c>
      <c r="E301" t="s">
        <v>2089</v>
      </c>
      <c r="F301">
        <v>1158000841</v>
      </c>
      <c r="G301" s="1">
        <v>45875</v>
      </c>
      <c r="H301" t="s">
        <v>1350</v>
      </c>
      <c r="I301" t="s">
        <v>1349</v>
      </c>
      <c r="J301" t="s">
        <v>1363</v>
      </c>
      <c r="K301" t="s">
        <v>1353</v>
      </c>
      <c r="L301" t="s">
        <v>1408</v>
      </c>
      <c r="M301" t="s">
        <v>1442</v>
      </c>
      <c r="N301" t="s">
        <v>1443</v>
      </c>
      <c r="O301" t="s">
        <v>1411</v>
      </c>
      <c r="P301" t="s">
        <v>1411</v>
      </c>
      <c r="Q301" t="s">
        <v>1412</v>
      </c>
      <c r="S301" s="1">
        <v>46031</v>
      </c>
      <c r="V301" s="1">
        <v>46026</v>
      </c>
      <c r="W301" s="1">
        <v>32139</v>
      </c>
      <c r="X301" t="s">
        <v>1721</v>
      </c>
      <c r="Z301" t="s">
        <v>1414</v>
      </c>
      <c r="AA301" t="s">
        <v>1419</v>
      </c>
      <c r="AB301" t="s">
        <v>854</v>
      </c>
      <c r="AC301">
        <v>21991181209</v>
      </c>
      <c r="AD301" t="str">
        <f>_xlfn.XLOOKUP(F301,'Base de Tutores'!L:L,'Base de Tutores'!F:F)</f>
        <v>BFR</v>
      </c>
    </row>
    <row r="302" spans="1:30" hidden="1" x14ac:dyDescent="0.3">
      <c r="A302" t="s">
        <v>1405</v>
      </c>
      <c r="B302" t="s">
        <v>1406</v>
      </c>
      <c r="C302" t="s">
        <v>2090</v>
      </c>
      <c r="D302">
        <v>41931069859</v>
      </c>
      <c r="E302">
        <v>41336902</v>
      </c>
      <c r="F302">
        <v>1158001182</v>
      </c>
      <c r="G302" s="1">
        <v>46104</v>
      </c>
      <c r="H302" t="s">
        <v>1350</v>
      </c>
      <c r="I302" t="s">
        <v>1374</v>
      </c>
      <c r="J302" t="s">
        <v>1363</v>
      </c>
      <c r="K302" t="s">
        <v>1353</v>
      </c>
      <c r="L302" t="s">
        <v>1408</v>
      </c>
      <c r="M302" t="s">
        <v>1409</v>
      </c>
      <c r="N302" t="s">
        <v>1410</v>
      </c>
      <c r="O302" t="s">
        <v>1423</v>
      </c>
      <c r="P302" t="s">
        <v>1423</v>
      </c>
      <c r="Q302" t="s">
        <v>1412</v>
      </c>
      <c r="S302" s="1">
        <v>46099</v>
      </c>
      <c r="W302" s="1">
        <v>34535</v>
      </c>
      <c r="X302" t="s">
        <v>2091</v>
      </c>
      <c r="AA302" t="s">
        <v>1419</v>
      </c>
      <c r="AB302" t="s">
        <v>2092</v>
      </c>
      <c r="AC302">
        <v>41991978891</v>
      </c>
      <c r="AD302" t="str">
        <f>_xlfn.XLOOKUP(F302,'Base de Tutores'!L:L,'Base de Tutores'!F:F)</f>
        <v>BFR</v>
      </c>
    </row>
    <row r="303" spans="1:30" hidden="1" x14ac:dyDescent="0.3">
      <c r="A303" t="s">
        <v>1405</v>
      </c>
      <c r="B303" t="s">
        <v>1406</v>
      </c>
      <c r="C303" t="s">
        <v>2093</v>
      </c>
      <c r="D303">
        <v>8312873902</v>
      </c>
      <c r="E303" t="s">
        <v>2094</v>
      </c>
      <c r="F303">
        <v>1158000838</v>
      </c>
      <c r="G303" s="1">
        <v>45873</v>
      </c>
      <c r="H303" t="s">
        <v>1350</v>
      </c>
      <c r="I303" t="s">
        <v>1349</v>
      </c>
      <c r="J303" t="s">
        <v>1363</v>
      </c>
      <c r="K303" t="s">
        <v>1353</v>
      </c>
      <c r="L303" t="s">
        <v>1408</v>
      </c>
      <c r="M303" t="s">
        <v>1447</v>
      </c>
      <c r="N303" t="s">
        <v>1448</v>
      </c>
      <c r="O303" t="s">
        <v>1423</v>
      </c>
      <c r="P303" t="s">
        <v>1423</v>
      </c>
      <c r="Q303" t="s">
        <v>1412</v>
      </c>
      <c r="S303" s="1">
        <v>45937</v>
      </c>
      <c r="V303" s="1">
        <v>45933</v>
      </c>
      <c r="W303" s="1">
        <v>34459</v>
      </c>
      <c r="X303" t="s">
        <v>2095</v>
      </c>
      <c r="Z303" t="s">
        <v>1414</v>
      </c>
      <c r="AA303" t="s">
        <v>1419</v>
      </c>
      <c r="AB303" t="s">
        <v>754</v>
      </c>
      <c r="AC303">
        <v>46999247350</v>
      </c>
      <c r="AD303" t="str">
        <f>_xlfn.XLOOKUP(F303,'Base de Tutores'!L:L,'Base de Tutores'!F:F)</f>
        <v>AGM</v>
      </c>
    </row>
    <row r="304" spans="1:30" hidden="1" x14ac:dyDescent="0.3">
      <c r="A304" t="s">
        <v>1405</v>
      </c>
      <c r="B304" t="s">
        <v>1406</v>
      </c>
      <c r="C304" t="s">
        <v>2096</v>
      </c>
      <c r="D304">
        <v>12900776732</v>
      </c>
      <c r="E304" t="s">
        <v>2097</v>
      </c>
      <c r="F304">
        <v>1158000755</v>
      </c>
      <c r="G304" s="1">
        <v>45819</v>
      </c>
      <c r="H304" t="s">
        <v>1350</v>
      </c>
      <c r="I304" t="s">
        <v>1374</v>
      </c>
      <c r="J304" t="s">
        <v>1363</v>
      </c>
      <c r="K304" t="s">
        <v>1353</v>
      </c>
      <c r="L304" t="s">
        <v>1408</v>
      </c>
      <c r="M304" t="s">
        <v>1447</v>
      </c>
      <c r="N304" t="s">
        <v>1448</v>
      </c>
      <c r="O304" t="s">
        <v>1423</v>
      </c>
      <c r="P304" t="s">
        <v>1423</v>
      </c>
      <c r="Q304" t="s">
        <v>1412</v>
      </c>
      <c r="S304" s="1">
        <v>46043</v>
      </c>
      <c r="W304" s="1">
        <v>32570</v>
      </c>
      <c r="X304" t="s">
        <v>1654</v>
      </c>
      <c r="Z304" t="s">
        <v>1414</v>
      </c>
      <c r="AA304" t="s">
        <v>1419</v>
      </c>
      <c r="AB304" t="s">
        <v>357</v>
      </c>
      <c r="AD304" t="str">
        <f>_xlfn.XLOOKUP(F304,'Base de Tutores'!L:L,'Base de Tutores'!F:F)</f>
        <v>EMF-ISN</v>
      </c>
    </row>
    <row r="305" spans="1:30" hidden="1" x14ac:dyDescent="0.3">
      <c r="A305" t="s">
        <v>1405</v>
      </c>
      <c r="B305" t="s">
        <v>1406</v>
      </c>
      <c r="C305" t="s">
        <v>2098</v>
      </c>
      <c r="D305">
        <v>27224060801</v>
      </c>
      <c r="E305">
        <v>314736687</v>
      </c>
      <c r="F305">
        <v>1158001124</v>
      </c>
      <c r="G305" s="1">
        <v>46076</v>
      </c>
      <c r="H305" t="s">
        <v>1350</v>
      </c>
      <c r="I305" t="s">
        <v>1374</v>
      </c>
      <c r="J305" t="s">
        <v>1363</v>
      </c>
      <c r="K305" t="s">
        <v>1353</v>
      </c>
      <c r="L305" t="s">
        <v>1408</v>
      </c>
      <c r="M305" t="s">
        <v>1409</v>
      </c>
      <c r="N305" t="s">
        <v>1410</v>
      </c>
      <c r="O305" t="s">
        <v>1423</v>
      </c>
      <c r="P305" t="s">
        <v>1417</v>
      </c>
      <c r="Q305" t="s">
        <v>1412</v>
      </c>
      <c r="S305" s="1">
        <v>46071</v>
      </c>
      <c r="W305" s="1">
        <v>29129</v>
      </c>
      <c r="X305" t="s">
        <v>1717</v>
      </c>
      <c r="Y305" t="s">
        <v>1718</v>
      </c>
      <c r="Z305" t="s">
        <v>1414</v>
      </c>
      <c r="AA305" t="s">
        <v>1419</v>
      </c>
      <c r="AB305" t="s">
        <v>1272</v>
      </c>
      <c r="AC305">
        <v>21975649494</v>
      </c>
      <c r="AD305" t="str">
        <f>_xlfn.XLOOKUP(F305,'Base de Tutores'!L:L,'Base de Tutores'!F:F)</f>
        <v>BFR</v>
      </c>
    </row>
    <row r="306" spans="1:30" hidden="1" x14ac:dyDescent="0.3">
      <c r="A306" t="s">
        <v>1405</v>
      </c>
      <c r="B306" t="s">
        <v>1406</v>
      </c>
      <c r="C306" t="s">
        <v>2099</v>
      </c>
      <c r="D306">
        <v>2823768793</v>
      </c>
      <c r="E306">
        <v>98097173</v>
      </c>
      <c r="F306">
        <v>1158001036</v>
      </c>
      <c r="G306" s="1">
        <v>45943</v>
      </c>
      <c r="H306" t="s">
        <v>1350</v>
      </c>
      <c r="I306" t="s">
        <v>1349</v>
      </c>
      <c r="J306" t="s">
        <v>1363</v>
      </c>
      <c r="K306" t="s">
        <v>1353</v>
      </c>
      <c r="L306" t="s">
        <v>1408</v>
      </c>
      <c r="M306" t="s">
        <v>1442</v>
      </c>
      <c r="N306" t="s">
        <v>1443</v>
      </c>
      <c r="O306" t="s">
        <v>1423</v>
      </c>
      <c r="P306" t="s">
        <v>1423</v>
      </c>
      <c r="Q306" t="s">
        <v>1412</v>
      </c>
      <c r="S306" s="1">
        <v>46045</v>
      </c>
      <c r="V306" s="1">
        <v>46042</v>
      </c>
      <c r="W306" s="1">
        <v>27380</v>
      </c>
      <c r="X306" t="s">
        <v>1721</v>
      </c>
      <c r="Z306" t="s">
        <v>1414</v>
      </c>
      <c r="AA306" t="s">
        <v>1419</v>
      </c>
      <c r="AB306" t="s">
        <v>1194</v>
      </c>
      <c r="AC306">
        <v>21964147653</v>
      </c>
      <c r="AD306" t="str">
        <f>_xlfn.XLOOKUP(F306,'Base de Tutores'!L:L,'Base de Tutores'!F:F)</f>
        <v>BFR</v>
      </c>
    </row>
    <row r="307" spans="1:30" hidden="1" x14ac:dyDescent="0.3">
      <c r="A307" t="s">
        <v>1405</v>
      </c>
      <c r="B307" t="s">
        <v>1406</v>
      </c>
      <c r="C307" t="s">
        <v>2100</v>
      </c>
      <c r="D307">
        <v>47883105892</v>
      </c>
      <c r="E307">
        <v>391382779</v>
      </c>
      <c r="F307">
        <v>1158001057</v>
      </c>
      <c r="G307" s="1">
        <v>45971</v>
      </c>
      <c r="H307" t="s">
        <v>1350</v>
      </c>
      <c r="I307" t="s">
        <v>1349</v>
      </c>
      <c r="J307" t="s">
        <v>1363</v>
      </c>
      <c r="K307" t="s">
        <v>1353</v>
      </c>
      <c r="L307" t="s">
        <v>1408</v>
      </c>
      <c r="M307" t="s">
        <v>1421</v>
      </c>
      <c r="N307" t="s">
        <v>1422</v>
      </c>
      <c r="O307" t="s">
        <v>1423</v>
      </c>
      <c r="P307" t="s">
        <v>1423</v>
      </c>
      <c r="Q307" t="s">
        <v>1412</v>
      </c>
      <c r="S307" s="1">
        <v>46120</v>
      </c>
      <c r="V307" s="1">
        <v>46118</v>
      </c>
      <c r="W307" s="1">
        <v>35613</v>
      </c>
      <c r="X307" t="s">
        <v>1724</v>
      </c>
      <c r="Z307" t="s">
        <v>1414</v>
      </c>
      <c r="AA307" t="s">
        <v>1419</v>
      </c>
      <c r="AB307" t="s">
        <v>176</v>
      </c>
      <c r="AC307">
        <v>19982105596</v>
      </c>
      <c r="AD307" t="str">
        <f>_xlfn.XLOOKUP(F307,'Base de Tutores'!L:L,'Base de Tutores'!F:F)</f>
        <v>EMF-ISN</v>
      </c>
    </row>
    <row r="308" spans="1:30" hidden="1" x14ac:dyDescent="0.3">
      <c r="A308" t="s">
        <v>1405</v>
      </c>
      <c r="B308" t="s">
        <v>1406</v>
      </c>
      <c r="C308" t="s">
        <v>2101</v>
      </c>
      <c r="D308">
        <v>8618983624</v>
      </c>
      <c r="E308" t="s">
        <v>2102</v>
      </c>
      <c r="F308">
        <v>1158000621</v>
      </c>
      <c r="G308" s="1">
        <v>45789</v>
      </c>
      <c r="H308" t="s">
        <v>1350</v>
      </c>
      <c r="I308" t="s">
        <v>1374</v>
      </c>
      <c r="J308" t="s">
        <v>1363</v>
      </c>
      <c r="K308" t="s">
        <v>1353</v>
      </c>
      <c r="L308" t="s">
        <v>1408</v>
      </c>
      <c r="M308" t="s">
        <v>1409</v>
      </c>
      <c r="N308" t="s">
        <v>1410</v>
      </c>
      <c r="O308" t="s">
        <v>1462</v>
      </c>
      <c r="P308" t="s">
        <v>1462</v>
      </c>
      <c r="Q308" t="s">
        <v>1412</v>
      </c>
      <c r="S308" s="1">
        <v>46043</v>
      </c>
      <c r="W308" s="1">
        <v>32241</v>
      </c>
      <c r="X308" t="s">
        <v>2103</v>
      </c>
      <c r="Z308" t="s">
        <v>1414</v>
      </c>
      <c r="AA308" t="s">
        <v>1419</v>
      </c>
      <c r="AB308" t="s">
        <v>1308</v>
      </c>
      <c r="AC308">
        <v>38991892275</v>
      </c>
      <c r="AD308" t="str">
        <f>_xlfn.XLOOKUP(F308,'Base de Tutores'!L:L,'Base de Tutores'!F:F)</f>
        <v>EMF-ISN</v>
      </c>
    </row>
    <row r="309" spans="1:30" hidden="1" x14ac:dyDescent="0.3">
      <c r="A309" t="s">
        <v>1405</v>
      </c>
      <c r="B309" t="s">
        <v>1406</v>
      </c>
      <c r="C309" t="s">
        <v>2104</v>
      </c>
      <c r="D309">
        <v>56988044191</v>
      </c>
      <c r="E309">
        <v>681266</v>
      </c>
      <c r="F309">
        <v>1158000895</v>
      </c>
      <c r="G309" s="1">
        <v>45887</v>
      </c>
      <c r="H309" t="s">
        <v>1350</v>
      </c>
      <c r="I309" t="s">
        <v>1374</v>
      </c>
      <c r="J309" t="s">
        <v>1363</v>
      </c>
      <c r="K309" t="s">
        <v>1353</v>
      </c>
      <c r="L309" t="s">
        <v>1408</v>
      </c>
      <c r="M309" t="s">
        <v>1409</v>
      </c>
      <c r="N309" t="s">
        <v>1422</v>
      </c>
      <c r="O309" t="s">
        <v>1423</v>
      </c>
      <c r="P309" t="s">
        <v>1423</v>
      </c>
      <c r="Q309" t="s">
        <v>1412</v>
      </c>
      <c r="S309" s="1">
        <v>46043</v>
      </c>
      <c r="W309" s="1">
        <v>26888</v>
      </c>
      <c r="X309" t="s">
        <v>2105</v>
      </c>
      <c r="Y309" t="s">
        <v>2106</v>
      </c>
      <c r="Z309" t="s">
        <v>1414</v>
      </c>
      <c r="AA309" t="s">
        <v>1415</v>
      </c>
      <c r="AB309" t="s">
        <v>969</v>
      </c>
      <c r="AC309">
        <v>66996838682</v>
      </c>
      <c r="AD309" t="str">
        <f>_xlfn.XLOOKUP(F309,'Base de Tutores'!L:L,'Base de Tutores'!F:F)</f>
        <v>AGM</v>
      </c>
    </row>
    <row r="310" spans="1:30" hidden="1" x14ac:dyDescent="0.3">
      <c r="A310" t="s">
        <v>1405</v>
      </c>
      <c r="B310" t="s">
        <v>1406</v>
      </c>
      <c r="C310" t="s">
        <v>2107</v>
      </c>
      <c r="D310">
        <v>14812577810</v>
      </c>
      <c r="E310" t="s">
        <v>2108</v>
      </c>
      <c r="F310">
        <v>1158000674</v>
      </c>
      <c r="G310" s="1">
        <v>45749</v>
      </c>
      <c r="H310" t="s">
        <v>1350</v>
      </c>
      <c r="I310" t="s">
        <v>1374</v>
      </c>
      <c r="J310" t="s">
        <v>1363</v>
      </c>
      <c r="K310" t="s">
        <v>1353</v>
      </c>
      <c r="L310" t="s">
        <v>1408</v>
      </c>
      <c r="M310" t="s">
        <v>1447</v>
      </c>
      <c r="N310" t="s">
        <v>1448</v>
      </c>
      <c r="O310" t="s">
        <v>1423</v>
      </c>
      <c r="P310" t="s">
        <v>1423</v>
      </c>
      <c r="Q310" t="s">
        <v>1412</v>
      </c>
      <c r="S310" s="1">
        <v>46043</v>
      </c>
      <c r="W310" s="1">
        <v>24238</v>
      </c>
      <c r="X310" t="s">
        <v>1510</v>
      </c>
      <c r="Z310" t="s">
        <v>1414</v>
      </c>
      <c r="AA310" t="s">
        <v>1415</v>
      </c>
      <c r="AB310" t="s">
        <v>434</v>
      </c>
      <c r="AC310">
        <v>11999764516</v>
      </c>
      <c r="AD310" t="str">
        <f>_xlfn.XLOOKUP(F310,'Base de Tutores'!L:L,'Base de Tutores'!F:F)</f>
        <v>ECE-ENM-ENS-ENG-EEA-GPI-CDE-OBR-SAN-TER-FSA-SLF-QUI</v>
      </c>
    </row>
    <row r="311" spans="1:30" x14ac:dyDescent="0.3">
      <c r="A311" t="s">
        <v>1405</v>
      </c>
      <c r="B311" t="s">
        <v>1406</v>
      </c>
      <c r="C311" t="s">
        <v>2109</v>
      </c>
      <c r="D311">
        <v>4130404296</v>
      </c>
      <c r="E311">
        <v>7794536</v>
      </c>
      <c r="F311">
        <v>1158000976</v>
      </c>
      <c r="G311" s="1">
        <v>45915</v>
      </c>
      <c r="H311" t="s">
        <v>1350</v>
      </c>
      <c r="I311" t="s">
        <v>1374</v>
      </c>
      <c r="J311" t="s">
        <v>1363</v>
      </c>
      <c r="K311" t="s">
        <v>1353</v>
      </c>
      <c r="L311" t="s">
        <v>1408</v>
      </c>
      <c r="M311" t="s">
        <v>1447</v>
      </c>
      <c r="N311" t="s">
        <v>1448</v>
      </c>
      <c r="O311" t="s">
        <v>1411</v>
      </c>
      <c r="P311" t="s">
        <v>1411</v>
      </c>
      <c r="Q311" t="s">
        <v>1412</v>
      </c>
      <c r="S311" s="1">
        <v>46043</v>
      </c>
      <c r="W311" s="1">
        <v>36110</v>
      </c>
      <c r="X311" t="s">
        <v>1492</v>
      </c>
      <c r="Z311" t="s">
        <v>1414</v>
      </c>
      <c r="AA311" t="s">
        <v>1415</v>
      </c>
      <c r="AB311" t="s">
        <v>1102</v>
      </c>
      <c r="AC311">
        <v>91982086563</v>
      </c>
      <c r="AD311" t="str">
        <f>_xlfn.XLOOKUP(F311,'Base de Tutores'!L:L,'Base de Tutores'!F:F)</f>
        <v>BTO</v>
      </c>
    </row>
    <row r="312" spans="1:30" hidden="1" x14ac:dyDescent="0.3">
      <c r="A312" t="s">
        <v>1405</v>
      </c>
      <c r="B312" t="s">
        <v>1406</v>
      </c>
      <c r="C312" t="s">
        <v>2110</v>
      </c>
      <c r="D312">
        <v>1293240273</v>
      </c>
      <c r="E312">
        <v>25738836</v>
      </c>
      <c r="F312">
        <v>1158001158</v>
      </c>
      <c r="G312" s="1">
        <v>46090</v>
      </c>
      <c r="H312" t="s">
        <v>1350</v>
      </c>
      <c r="I312" t="s">
        <v>1374</v>
      </c>
      <c r="J312" t="s">
        <v>1363</v>
      </c>
      <c r="K312" t="s">
        <v>1353</v>
      </c>
      <c r="L312" t="s">
        <v>1408</v>
      </c>
      <c r="M312" t="s">
        <v>1409</v>
      </c>
      <c r="N312" t="s">
        <v>1410</v>
      </c>
      <c r="O312" t="s">
        <v>2027</v>
      </c>
      <c r="P312" t="s">
        <v>1417</v>
      </c>
      <c r="Q312" t="s">
        <v>1412</v>
      </c>
      <c r="S312" s="1">
        <v>46085</v>
      </c>
      <c r="W312" s="1">
        <v>33753</v>
      </c>
      <c r="X312" t="s">
        <v>2028</v>
      </c>
      <c r="AA312" t="s">
        <v>1419</v>
      </c>
      <c r="AB312" t="s">
        <v>2111</v>
      </c>
      <c r="AC312">
        <v>92982387235</v>
      </c>
      <c r="AD312" t="str">
        <f>_xlfn.XLOOKUP(F312,'Base de Tutores'!L:L,'Base de Tutores'!F:F)</f>
        <v>EMF-ISN</v>
      </c>
    </row>
    <row r="313" spans="1:30" hidden="1" x14ac:dyDescent="0.3">
      <c r="A313" t="s">
        <v>1405</v>
      </c>
      <c r="B313" t="s">
        <v>1406</v>
      </c>
      <c r="C313" t="s">
        <v>2112</v>
      </c>
      <c r="D313">
        <v>94739056291</v>
      </c>
      <c r="E313" t="s">
        <v>2113</v>
      </c>
      <c r="F313">
        <v>1158001060</v>
      </c>
      <c r="G313" s="1">
        <v>45971</v>
      </c>
      <c r="H313" t="s">
        <v>1350</v>
      </c>
      <c r="I313" t="s">
        <v>1374</v>
      </c>
      <c r="J313" t="s">
        <v>1363</v>
      </c>
      <c r="K313" t="s">
        <v>1353</v>
      </c>
      <c r="L313" t="s">
        <v>1408</v>
      </c>
      <c r="M313" t="s">
        <v>1646</v>
      </c>
      <c r="N313" t="s">
        <v>1647</v>
      </c>
      <c r="O313" t="s">
        <v>1462</v>
      </c>
      <c r="P313" t="s">
        <v>1462</v>
      </c>
      <c r="Q313" t="s">
        <v>1412</v>
      </c>
      <c r="S313" s="1">
        <v>46043</v>
      </c>
      <c r="W313" s="1">
        <v>31942</v>
      </c>
      <c r="X313" t="s">
        <v>1825</v>
      </c>
      <c r="Z313" t="s">
        <v>1414</v>
      </c>
      <c r="AA313" t="s">
        <v>1419</v>
      </c>
      <c r="AB313" t="s">
        <v>78</v>
      </c>
      <c r="AC313">
        <v>99988252370</v>
      </c>
      <c r="AD313" t="str">
        <f>_xlfn.XLOOKUP(F313,'Base de Tutores'!L:L,'Base de Tutores'!F:F)</f>
        <v>EMF-ISN</v>
      </c>
    </row>
    <row r="314" spans="1:30" hidden="1" x14ac:dyDescent="0.3">
      <c r="A314" t="s">
        <v>1405</v>
      </c>
      <c r="B314" t="s">
        <v>1406</v>
      </c>
      <c r="C314" t="s">
        <v>2114</v>
      </c>
      <c r="D314">
        <v>9902285929</v>
      </c>
      <c r="E314">
        <v>128218165</v>
      </c>
      <c r="F314">
        <v>1158000672</v>
      </c>
      <c r="G314" s="1">
        <v>45749</v>
      </c>
      <c r="H314" t="s">
        <v>1350</v>
      </c>
      <c r="I314" t="s">
        <v>1349</v>
      </c>
      <c r="J314" t="s">
        <v>1363</v>
      </c>
      <c r="K314" t="s">
        <v>1353</v>
      </c>
      <c r="L314" t="s">
        <v>1408</v>
      </c>
      <c r="M314" t="s">
        <v>1421</v>
      </c>
      <c r="N314" t="s">
        <v>1422</v>
      </c>
      <c r="O314" t="s">
        <v>1423</v>
      </c>
      <c r="P314" t="s">
        <v>1423</v>
      </c>
      <c r="Q314" t="s">
        <v>1412</v>
      </c>
      <c r="S314" s="1">
        <v>46034</v>
      </c>
      <c r="V314" s="1">
        <v>46028</v>
      </c>
      <c r="W314" s="1">
        <v>35197</v>
      </c>
      <c r="X314" t="s">
        <v>2115</v>
      </c>
      <c r="Z314" t="s">
        <v>1414</v>
      </c>
      <c r="AA314" t="s">
        <v>1419</v>
      </c>
      <c r="AB314" t="s">
        <v>455</v>
      </c>
      <c r="AC314">
        <v>4797396719</v>
      </c>
      <c r="AD314" t="str">
        <f>_xlfn.XLOOKUP(F314,'Base de Tutores'!L:L,'Base de Tutores'!F:F)</f>
        <v>ECE-ENM-ENS-ENG-EEA-GPI-CDE-OBR-SAN-TER-FSA-SLF-QUI</v>
      </c>
    </row>
    <row r="315" spans="1:30" hidden="1" x14ac:dyDescent="0.3">
      <c r="A315" t="s">
        <v>1405</v>
      </c>
      <c r="B315" t="s">
        <v>1406</v>
      </c>
      <c r="C315" t="s">
        <v>2116</v>
      </c>
      <c r="D315">
        <v>2249056510</v>
      </c>
      <c r="E315">
        <v>755159039</v>
      </c>
      <c r="F315">
        <v>1158000826</v>
      </c>
      <c r="G315" s="1">
        <v>45873</v>
      </c>
      <c r="H315" t="s">
        <v>1350</v>
      </c>
      <c r="I315" t="s">
        <v>1374</v>
      </c>
      <c r="J315" t="s">
        <v>1363</v>
      </c>
      <c r="K315" t="s">
        <v>1353</v>
      </c>
      <c r="L315" t="s">
        <v>1408</v>
      </c>
      <c r="M315" t="s">
        <v>1421</v>
      </c>
      <c r="N315" t="s">
        <v>1422</v>
      </c>
      <c r="O315" t="s">
        <v>1411</v>
      </c>
      <c r="P315" t="s">
        <v>1411</v>
      </c>
      <c r="Q315" t="s">
        <v>1412</v>
      </c>
      <c r="S315" s="1">
        <v>46043</v>
      </c>
      <c r="W315" s="1">
        <v>31274</v>
      </c>
      <c r="X315" t="s">
        <v>2117</v>
      </c>
      <c r="Z315" t="s">
        <v>1414</v>
      </c>
      <c r="AA315" t="s">
        <v>1419</v>
      </c>
      <c r="AB315" t="s">
        <v>817</v>
      </c>
      <c r="AC315">
        <v>71992352909</v>
      </c>
      <c r="AD315" t="str">
        <f>_xlfn.XLOOKUP(F315,'Base de Tutores'!L:L,'Base de Tutores'!F:F)</f>
        <v>BFI</v>
      </c>
    </row>
    <row r="316" spans="1:30" hidden="1" x14ac:dyDescent="0.3">
      <c r="A316" t="s">
        <v>1405</v>
      </c>
      <c r="B316" t="s">
        <v>1406</v>
      </c>
      <c r="C316" t="s">
        <v>2118</v>
      </c>
      <c r="D316">
        <v>14948012726</v>
      </c>
      <c r="E316" t="s">
        <v>2119</v>
      </c>
      <c r="F316">
        <v>1158000723</v>
      </c>
      <c r="G316" s="1">
        <v>45810</v>
      </c>
      <c r="H316" t="s">
        <v>1350</v>
      </c>
      <c r="I316" t="s">
        <v>1374</v>
      </c>
      <c r="J316" t="s">
        <v>1427</v>
      </c>
      <c r="K316" t="s">
        <v>1356</v>
      </c>
      <c r="L316" t="s">
        <v>1408</v>
      </c>
      <c r="M316" t="s">
        <v>1409</v>
      </c>
      <c r="N316" t="s">
        <v>1410</v>
      </c>
      <c r="O316" t="s">
        <v>1423</v>
      </c>
      <c r="P316" t="s">
        <v>1423</v>
      </c>
      <c r="Q316" t="s">
        <v>1412</v>
      </c>
      <c r="S316" s="1">
        <v>46043</v>
      </c>
      <c r="W316" s="1">
        <v>34208</v>
      </c>
      <c r="X316" t="s">
        <v>2120</v>
      </c>
      <c r="Z316" t="s">
        <v>1414</v>
      </c>
      <c r="AA316" t="s">
        <v>1419</v>
      </c>
      <c r="AB316" t="s">
        <v>699</v>
      </c>
      <c r="AC316">
        <v>21997403927</v>
      </c>
      <c r="AD316" t="str">
        <f>_xlfn.XLOOKUP(F316,'Base de Tutores'!L:L,'Base de Tutores'!F:F)</f>
        <v>ECE-ENM-ENS-ENG-EEA-GPI-CDE-OBR-SAN-TER-FSA-SLF-QUI</v>
      </c>
    </row>
    <row r="317" spans="1:30" hidden="1" x14ac:dyDescent="0.3">
      <c r="A317" t="s">
        <v>1405</v>
      </c>
      <c r="B317" t="s">
        <v>1406</v>
      </c>
      <c r="C317" t="s">
        <v>2121</v>
      </c>
      <c r="D317">
        <v>4522334966</v>
      </c>
      <c r="E317" t="s">
        <v>2122</v>
      </c>
      <c r="F317">
        <v>1158000740</v>
      </c>
      <c r="G317" s="1">
        <v>45812</v>
      </c>
      <c r="H317" t="s">
        <v>1350</v>
      </c>
      <c r="I317" t="s">
        <v>1349</v>
      </c>
      <c r="J317" t="s">
        <v>1363</v>
      </c>
      <c r="K317" t="s">
        <v>1353</v>
      </c>
      <c r="L317" t="s">
        <v>1408</v>
      </c>
      <c r="M317" t="s">
        <v>1409</v>
      </c>
      <c r="N317" t="s">
        <v>1410</v>
      </c>
      <c r="O317" t="s">
        <v>1423</v>
      </c>
      <c r="P317" t="s">
        <v>1423</v>
      </c>
      <c r="Q317" t="s">
        <v>1412</v>
      </c>
      <c r="S317" s="1">
        <v>45933</v>
      </c>
      <c r="V317" s="1">
        <v>45931</v>
      </c>
      <c r="W317" s="1">
        <v>31110</v>
      </c>
      <c r="X317" t="s">
        <v>1586</v>
      </c>
      <c r="Z317" t="s">
        <v>1414</v>
      </c>
      <c r="AA317" t="s">
        <v>1419</v>
      </c>
      <c r="AB317" t="s">
        <v>281</v>
      </c>
      <c r="AC317">
        <v>41995847562</v>
      </c>
      <c r="AD317" t="str">
        <f>_xlfn.XLOOKUP(F317,'Base de Tutores'!L:L,'Base de Tutores'!F:F)</f>
        <v>EMF-ISN</v>
      </c>
    </row>
    <row r="318" spans="1:30" hidden="1" x14ac:dyDescent="0.3">
      <c r="A318" t="s">
        <v>1405</v>
      </c>
      <c r="B318" t="s">
        <v>1406</v>
      </c>
      <c r="C318" t="s">
        <v>2123</v>
      </c>
      <c r="D318">
        <v>1953512232</v>
      </c>
      <c r="E318">
        <v>6985159</v>
      </c>
      <c r="F318">
        <v>1158000579</v>
      </c>
      <c r="G318" s="1">
        <v>45735</v>
      </c>
      <c r="H318" t="s">
        <v>1350</v>
      </c>
      <c r="I318" t="s">
        <v>1374</v>
      </c>
      <c r="J318" t="s">
        <v>1363</v>
      </c>
      <c r="K318" t="s">
        <v>1353</v>
      </c>
      <c r="L318" t="s">
        <v>1408</v>
      </c>
      <c r="M318" t="s">
        <v>1409</v>
      </c>
      <c r="N318" t="s">
        <v>1410</v>
      </c>
      <c r="O318" t="s">
        <v>1411</v>
      </c>
      <c r="P318" t="s">
        <v>1423</v>
      </c>
      <c r="Q318" t="s">
        <v>1412</v>
      </c>
      <c r="S318" s="1">
        <v>46043</v>
      </c>
      <c r="W318" s="1">
        <v>35042</v>
      </c>
      <c r="X318" t="s">
        <v>1424</v>
      </c>
      <c r="Z318" t="s">
        <v>1414</v>
      </c>
      <c r="AA318" t="s">
        <v>1419</v>
      </c>
      <c r="AB318" t="s">
        <v>1024</v>
      </c>
      <c r="AC318">
        <v>94981181844</v>
      </c>
      <c r="AD318" t="str">
        <f>_xlfn.XLOOKUP(F318,'Base de Tutores'!L:L,'Base de Tutores'!F:F)</f>
        <v>EMF-ISN</v>
      </c>
    </row>
    <row r="319" spans="1:30" hidden="1" x14ac:dyDescent="0.3">
      <c r="A319" t="s">
        <v>1405</v>
      </c>
      <c r="B319" t="s">
        <v>1406</v>
      </c>
      <c r="C319" t="s">
        <v>2124</v>
      </c>
      <c r="D319">
        <v>2698095547</v>
      </c>
      <c r="E319">
        <v>1413278558</v>
      </c>
      <c r="F319">
        <v>1158000856</v>
      </c>
      <c r="G319" s="1">
        <v>45880</v>
      </c>
      <c r="H319" t="s">
        <v>1350</v>
      </c>
      <c r="I319" t="s">
        <v>1349</v>
      </c>
      <c r="J319" t="s">
        <v>1363</v>
      </c>
      <c r="K319" t="s">
        <v>1353</v>
      </c>
      <c r="L319" t="s">
        <v>1408</v>
      </c>
      <c r="M319" t="s">
        <v>1409</v>
      </c>
      <c r="N319" t="s">
        <v>1410</v>
      </c>
      <c r="O319" t="s">
        <v>1411</v>
      </c>
      <c r="P319" t="s">
        <v>1411</v>
      </c>
      <c r="Q319" t="s">
        <v>1412</v>
      </c>
      <c r="S319" s="1">
        <v>46034</v>
      </c>
      <c r="V319" s="1">
        <v>46030</v>
      </c>
      <c r="W319" s="1">
        <v>35266</v>
      </c>
      <c r="X319" t="s">
        <v>2117</v>
      </c>
      <c r="Z319" t="s">
        <v>1414</v>
      </c>
      <c r="AA319" t="s">
        <v>1419</v>
      </c>
      <c r="AB319" t="s">
        <v>885</v>
      </c>
      <c r="AC319">
        <v>75983285185</v>
      </c>
      <c r="AD319" t="str">
        <f>_xlfn.XLOOKUP(F319,'Base de Tutores'!L:L,'Base de Tutores'!F:F)</f>
        <v>ECE-ENM-ENS-ENG-EEA-GPI-CDE-OBR-SAN-TER-FSA-SLF-QUI</v>
      </c>
    </row>
    <row r="320" spans="1:30" hidden="1" x14ac:dyDescent="0.3">
      <c r="A320" t="s">
        <v>1405</v>
      </c>
      <c r="B320" t="s">
        <v>1406</v>
      </c>
      <c r="C320" t="s">
        <v>2125</v>
      </c>
      <c r="D320">
        <v>13380341460</v>
      </c>
      <c r="E320">
        <v>4348790</v>
      </c>
      <c r="F320">
        <v>1158000998</v>
      </c>
      <c r="G320" s="1">
        <v>45931</v>
      </c>
      <c r="H320" t="s">
        <v>1350</v>
      </c>
      <c r="I320" t="s">
        <v>1349</v>
      </c>
      <c r="J320" t="s">
        <v>1363</v>
      </c>
      <c r="K320" t="s">
        <v>1353</v>
      </c>
      <c r="L320" t="s">
        <v>1408</v>
      </c>
      <c r="M320" t="s">
        <v>1421</v>
      </c>
      <c r="N320" t="s">
        <v>1422</v>
      </c>
      <c r="O320" t="s">
        <v>1423</v>
      </c>
      <c r="P320" t="s">
        <v>1423</v>
      </c>
      <c r="Q320" t="s">
        <v>1412</v>
      </c>
      <c r="S320" s="1">
        <v>46045</v>
      </c>
      <c r="V320" s="1">
        <v>46042</v>
      </c>
      <c r="W320" s="1">
        <v>37139</v>
      </c>
      <c r="X320" t="s">
        <v>1517</v>
      </c>
      <c r="Z320" t="s">
        <v>1414</v>
      </c>
      <c r="AA320" t="s">
        <v>1415</v>
      </c>
      <c r="AB320" t="s">
        <v>1124</v>
      </c>
      <c r="AC320">
        <v>83999368393</v>
      </c>
      <c r="AD320" t="str">
        <f>_xlfn.XLOOKUP(F320,'Base de Tutores'!L:L,'Base de Tutores'!F:F)</f>
        <v>BFR</v>
      </c>
    </row>
    <row r="321" spans="1:30" hidden="1" x14ac:dyDescent="0.3">
      <c r="A321" t="s">
        <v>1405</v>
      </c>
      <c r="B321" t="s">
        <v>1406</v>
      </c>
      <c r="C321" t="s">
        <v>2126</v>
      </c>
      <c r="D321">
        <v>4882930579</v>
      </c>
      <c r="E321">
        <v>1531775608</v>
      </c>
      <c r="F321">
        <v>1158000564</v>
      </c>
      <c r="G321" s="1">
        <v>45735</v>
      </c>
      <c r="H321" t="s">
        <v>1350</v>
      </c>
      <c r="I321" t="s">
        <v>1374</v>
      </c>
      <c r="J321" t="s">
        <v>1363</v>
      </c>
      <c r="K321" t="s">
        <v>1353</v>
      </c>
      <c r="L321" t="s">
        <v>1408</v>
      </c>
      <c r="M321" t="s">
        <v>1409</v>
      </c>
      <c r="N321" t="s">
        <v>1410</v>
      </c>
      <c r="O321" t="s">
        <v>1423</v>
      </c>
      <c r="P321" t="s">
        <v>1423</v>
      </c>
      <c r="Q321" t="s">
        <v>1412</v>
      </c>
      <c r="S321" s="1">
        <v>46043</v>
      </c>
      <c r="W321" s="1">
        <v>33471</v>
      </c>
      <c r="X321" t="s">
        <v>2127</v>
      </c>
      <c r="Z321" t="s">
        <v>1414</v>
      </c>
      <c r="AA321" t="s">
        <v>1419</v>
      </c>
      <c r="AB321" t="s">
        <v>410</v>
      </c>
      <c r="AC321">
        <v>7491104877</v>
      </c>
      <c r="AD321" t="str">
        <f>_xlfn.XLOOKUP(F321,'Base de Tutores'!L:L,'Base de Tutores'!F:F)</f>
        <v>EMF-ISN</v>
      </c>
    </row>
    <row r="322" spans="1:30" hidden="1" x14ac:dyDescent="0.3">
      <c r="A322" t="s">
        <v>1405</v>
      </c>
      <c r="B322" t="s">
        <v>1406</v>
      </c>
      <c r="C322" t="s">
        <v>2128</v>
      </c>
      <c r="D322">
        <v>4904759575</v>
      </c>
      <c r="E322">
        <v>12163446</v>
      </c>
      <c r="F322">
        <v>1158000944</v>
      </c>
      <c r="G322" s="1">
        <v>45901</v>
      </c>
      <c r="H322" t="s">
        <v>1350</v>
      </c>
      <c r="I322" t="s">
        <v>1349</v>
      </c>
      <c r="J322" t="s">
        <v>1363</v>
      </c>
      <c r="K322" t="s">
        <v>1353</v>
      </c>
      <c r="L322" t="s">
        <v>1408</v>
      </c>
      <c r="M322" t="s">
        <v>1978</v>
      </c>
      <c r="N322" t="s">
        <v>1443</v>
      </c>
      <c r="O322" t="s">
        <v>1423</v>
      </c>
      <c r="P322" t="s">
        <v>1423</v>
      </c>
      <c r="Q322" t="s">
        <v>1412</v>
      </c>
      <c r="S322" s="1">
        <v>45936</v>
      </c>
      <c r="V322" s="1">
        <v>45931</v>
      </c>
      <c r="W322" s="1">
        <v>33178</v>
      </c>
      <c r="X322" t="s">
        <v>2129</v>
      </c>
      <c r="Y322" t="s">
        <v>2130</v>
      </c>
      <c r="Z322" t="s">
        <v>1414</v>
      </c>
      <c r="AA322" t="s">
        <v>1419</v>
      </c>
      <c r="AB322" t="s">
        <v>1019</v>
      </c>
      <c r="AC322">
        <v>21983908068</v>
      </c>
      <c r="AD322" t="str">
        <f>_xlfn.XLOOKUP(F322,'Base de Tutores'!L:L,'Base de Tutores'!F:F)</f>
        <v>AGM</v>
      </c>
    </row>
    <row r="323" spans="1:30" hidden="1" x14ac:dyDescent="0.3">
      <c r="A323" t="s">
        <v>1405</v>
      </c>
      <c r="B323" t="s">
        <v>1406</v>
      </c>
      <c r="C323" t="s">
        <v>2131</v>
      </c>
      <c r="D323">
        <v>10456094636</v>
      </c>
      <c r="E323" t="s">
        <v>2132</v>
      </c>
      <c r="F323">
        <v>1158000555</v>
      </c>
      <c r="G323" s="1">
        <v>45733</v>
      </c>
      <c r="H323" t="s">
        <v>1350</v>
      </c>
      <c r="I323" t="s">
        <v>1374</v>
      </c>
      <c r="J323" t="s">
        <v>1363</v>
      </c>
      <c r="K323" t="s">
        <v>1353</v>
      </c>
      <c r="L323" t="s">
        <v>1408</v>
      </c>
      <c r="M323" t="s">
        <v>1421</v>
      </c>
      <c r="N323" t="s">
        <v>1422</v>
      </c>
      <c r="O323" t="s">
        <v>1423</v>
      </c>
      <c r="P323" t="s">
        <v>1423</v>
      </c>
      <c r="Q323" t="s">
        <v>1412</v>
      </c>
      <c r="S323" s="1">
        <v>46043</v>
      </c>
      <c r="W323" s="1">
        <v>35457</v>
      </c>
      <c r="X323" t="s">
        <v>2133</v>
      </c>
      <c r="Y323" t="s">
        <v>2134</v>
      </c>
      <c r="Z323" t="s">
        <v>1414</v>
      </c>
      <c r="AA323" t="s">
        <v>1419</v>
      </c>
      <c r="AB323" t="s">
        <v>413</v>
      </c>
      <c r="AC323">
        <v>32991651756</v>
      </c>
      <c r="AD323" t="str">
        <f>_xlfn.XLOOKUP(F323,'Base de Tutores'!L:L,'Base de Tutores'!F:F)</f>
        <v>EMF-ISN</v>
      </c>
    </row>
    <row r="324" spans="1:30" hidden="1" x14ac:dyDescent="0.3">
      <c r="A324" t="s">
        <v>1405</v>
      </c>
      <c r="B324" t="s">
        <v>1406</v>
      </c>
      <c r="C324" t="s">
        <v>2135</v>
      </c>
      <c r="D324">
        <v>4777386309</v>
      </c>
      <c r="E324">
        <v>2680852</v>
      </c>
      <c r="F324">
        <v>1158000541</v>
      </c>
      <c r="G324" s="1">
        <v>45726</v>
      </c>
      <c r="H324" t="s">
        <v>1350</v>
      </c>
      <c r="I324" t="s">
        <v>1374</v>
      </c>
      <c r="J324" t="s">
        <v>1363</v>
      </c>
      <c r="K324" t="s">
        <v>1353</v>
      </c>
      <c r="L324" t="s">
        <v>1408</v>
      </c>
      <c r="M324" t="s">
        <v>1421</v>
      </c>
      <c r="N324" t="s">
        <v>1422</v>
      </c>
      <c r="O324" t="s">
        <v>1411</v>
      </c>
      <c r="P324" t="s">
        <v>1462</v>
      </c>
      <c r="Q324" t="s">
        <v>1412</v>
      </c>
      <c r="S324" s="1">
        <v>46043</v>
      </c>
      <c r="W324" s="1">
        <v>33044</v>
      </c>
      <c r="X324" t="s">
        <v>2136</v>
      </c>
      <c r="Z324" t="s">
        <v>1414</v>
      </c>
      <c r="AA324" t="s">
        <v>1415</v>
      </c>
      <c r="AB324" t="s">
        <v>1285</v>
      </c>
      <c r="AC324">
        <v>86999792242</v>
      </c>
      <c r="AD324" t="str">
        <f>_xlfn.XLOOKUP(F324,'Base de Tutores'!L:L,'Base de Tutores'!F:F)</f>
        <v>EMF-ISN</v>
      </c>
    </row>
    <row r="325" spans="1:30" hidden="1" x14ac:dyDescent="0.3">
      <c r="A325" t="s">
        <v>1405</v>
      </c>
      <c r="B325" t="s">
        <v>1406</v>
      </c>
      <c r="C325" t="s">
        <v>2137</v>
      </c>
      <c r="D325">
        <v>6667247330</v>
      </c>
      <c r="E325">
        <v>20081239070</v>
      </c>
      <c r="F325">
        <v>1158000952</v>
      </c>
      <c r="G325" s="1">
        <v>45901</v>
      </c>
      <c r="H325" t="s">
        <v>1350</v>
      </c>
      <c r="I325" t="s">
        <v>1349</v>
      </c>
      <c r="J325" t="s">
        <v>1363</v>
      </c>
      <c r="K325" t="s">
        <v>1353</v>
      </c>
      <c r="L325" t="s">
        <v>1408</v>
      </c>
      <c r="M325" t="s">
        <v>1409</v>
      </c>
      <c r="N325" t="s">
        <v>1410</v>
      </c>
      <c r="O325" t="s">
        <v>1423</v>
      </c>
      <c r="P325" t="s">
        <v>1423</v>
      </c>
      <c r="Q325" t="s">
        <v>1412</v>
      </c>
      <c r="S325" s="1">
        <v>45933</v>
      </c>
      <c r="V325" s="1">
        <v>45931</v>
      </c>
      <c r="W325" s="1">
        <v>35318</v>
      </c>
      <c r="X325" t="s">
        <v>2138</v>
      </c>
      <c r="Y325" t="s">
        <v>2139</v>
      </c>
      <c r="Z325" t="s">
        <v>1414</v>
      </c>
      <c r="AA325" t="s">
        <v>1419</v>
      </c>
      <c r="AB325" t="s">
        <v>92</v>
      </c>
      <c r="AC325">
        <v>85997962465</v>
      </c>
      <c r="AD325" t="str">
        <f>_xlfn.XLOOKUP(F325,'Base de Tutores'!L:L,'Base de Tutores'!F:F)</f>
        <v>EMF-ISN</v>
      </c>
    </row>
    <row r="326" spans="1:30" hidden="1" x14ac:dyDescent="0.3">
      <c r="A326" t="s">
        <v>1405</v>
      </c>
      <c r="B326" t="s">
        <v>1406</v>
      </c>
      <c r="C326" t="s">
        <v>2140</v>
      </c>
      <c r="D326">
        <v>61188562304</v>
      </c>
      <c r="E326">
        <v>458631220127</v>
      </c>
      <c r="F326">
        <v>1158000877</v>
      </c>
      <c r="G326" s="1">
        <v>45882</v>
      </c>
      <c r="H326" t="s">
        <v>1350</v>
      </c>
      <c r="I326" t="s">
        <v>1349</v>
      </c>
      <c r="J326" t="s">
        <v>1363</v>
      </c>
      <c r="K326" t="s">
        <v>1353</v>
      </c>
      <c r="L326" t="s">
        <v>1408</v>
      </c>
      <c r="M326" t="s">
        <v>1409</v>
      </c>
      <c r="N326" t="s">
        <v>1410</v>
      </c>
      <c r="O326" t="s">
        <v>1411</v>
      </c>
      <c r="P326" t="s">
        <v>1411</v>
      </c>
      <c r="Q326" t="s">
        <v>1412</v>
      </c>
      <c r="S326" s="1">
        <v>46045</v>
      </c>
      <c r="V326" s="1">
        <v>46042</v>
      </c>
      <c r="W326" s="1">
        <v>35942</v>
      </c>
      <c r="X326" t="s">
        <v>1519</v>
      </c>
      <c r="Z326" t="s">
        <v>1414</v>
      </c>
      <c r="AA326" t="s">
        <v>1415</v>
      </c>
      <c r="AB326" t="s">
        <v>909</v>
      </c>
      <c r="AC326">
        <v>98991417815</v>
      </c>
      <c r="AD326" t="str">
        <f>_xlfn.XLOOKUP(F326,'Base de Tutores'!L:L,'Base de Tutores'!F:F)</f>
        <v>BFR</v>
      </c>
    </row>
    <row r="327" spans="1:30" hidden="1" x14ac:dyDescent="0.3">
      <c r="A327" t="s">
        <v>1405</v>
      </c>
      <c r="B327" t="s">
        <v>1406</v>
      </c>
      <c r="C327" t="s">
        <v>2141</v>
      </c>
      <c r="D327">
        <v>794426093</v>
      </c>
      <c r="E327">
        <v>9097470398</v>
      </c>
      <c r="F327">
        <v>1158000730</v>
      </c>
      <c r="G327" s="1">
        <v>45810</v>
      </c>
      <c r="H327" t="s">
        <v>1350</v>
      </c>
      <c r="I327" t="s">
        <v>1349</v>
      </c>
      <c r="J327" t="s">
        <v>1696</v>
      </c>
      <c r="K327" t="s">
        <v>1354</v>
      </c>
      <c r="L327" t="s">
        <v>1408</v>
      </c>
      <c r="M327" t="s">
        <v>1447</v>
      </c>
      <c r="N327" t="s">
        <v>1448</v>
      </c>
      <c r="O327" t="s">
        <v>1423</v>
      </c>
      <c r="P327" t="s">
        <v>1423</v>
      </c>
      <c r="Q327" t="s">
        <v>1412</v>
      </c>
      <c r="S327" s="1">
        <v>45859</v>
      </c>
      <c r="V327" s="1">
        <v>45854</v>
      </c>
      <c r="W327" s="1">
        <v>32349</v>
      </c>
      <c r="X327" t="s">
        <v>2142</v>
      </c>
      <c r="Z327" t="s">
        <v>1414</v>
      </c>
      <c r="AA327" t="s">
        <v>1419</v>
      </c>
      <c r="AB327" t="s">
        <v>2143</v>
      </c>
      <c r="AC327">
        <v>51981460996</v>
      </c>
      <c r="AD327" t="str">
        <f>_xlfn.XLOOKUP(F327,'Base de Tutores'!L:L,'Base de Tutores'!F:F)</f>
        <v>ECE-ENM-ENS-ENG-EEA-GPI-CDE-OBR-SAN-TER-FSA-SLF-QUI</v>
      </c>
    </row>
    <row r="328" spans="1:30" hidden="1" x14ac:dyDescent="0.3">
      <c r="A328" t="s">
        <v>1405</v>
      </c>
      <c r="B328" t="s">
        <v>1406</v>
      </c>
      <c r="C328" t="s">
        <v>2144</v>
      </c>
      <c r="D328">
        <v>13497036641</v>
      </c>
      <c r="E328">
        <v>19776971</v>
      </c>
      <c r="F328">
        <v>1158000963</v>
      </c>
      <c r="G328" s="1">
        <v>45908</v>
      </c>
      <c r="H328" t="s">
        <v>1350</v>
      </c>
      <c r="I328" t="s">
        <v>1374</v>
      </c>
      <c r="J328" t="s">
        <v>1363</v>
      </c>
      <c r="K328" t="s">
        <v>1353</v>
      </c>
      <c r="L328" t="s">
        <v>1408</v>
      </c>
      <c r="M328" t="s">
        <v>1409</v>
      </c>
      <c r="N328" t="s">
        <v>1410</v>
      </c>
      <c r="O328" t="s">
        <v>1423</v>
      </c>
      <c r="P328" t="s">
        <v>1423</v>
      </c>
      <c r="Q328" t="s">
        <v>1412</v>
      </c>
      <c r="S328" s="1">
        <v>46043</v>
      </c>
      <c r="W328" s="1">
        <v>35224</v>
      </c>
      <c r="X328" t="s">
        <v>2145</v>
      </c>
      <c r="Z328" t="s">
        <v>1414</v>
      </c>
      <c r="AA328" t="s">
        <v>1415</v>
      </c>
      <c r="AB328" t="s">
        <v>1078</v>
      </c>
      <c r="AC328">
        <v>38999705293</v>
      </c>
      <c r="AD328" t="str">
        <f>_xlfn.XLOOKUP(F328,'Base de Tutores'!L:L,'Base de Tutores'!F:F)</f>
        <v>AGM</v>
      </c>
    </row>
    <row r="329" spans="1:30" hidden="1" x14ac:dyDescent="0.3">
      <c r="A329" t="s">
        <v>1405</v>
      </c>
      <c r="B329" t="s">
        <v>1406</v>
      </c>
      <c r="C329" t="s">
        <v>2146</v>
      </c>
      <c r="D329">
        <v>2037510357</v>
      </c>
      <c r="E329">
        <v>170577520016</v>
      </c>
      <c r="F329">
        <v>1158000639</v>
      </c>
      <c r="G329" s="1">
        <v>45791</v>
      </c>
      <c r="H329" t="s">
        <v>1350</v>
      </c>
      <c r="I329" t="s">
        <v>1374</v>
      </c>
      <c r="J329" t="s">
        <v>1427</v>
      </c>
      <c r="K329" t="s">
        <v>1356</v>
      </c>
      <c r="L329" t="s">
        <v>1408</v>
      </c>
      <c r="M329" t="s">
        <v>1421</v>
      </c>
      <c r="N329" t="s">
        <v>1422</v>
      </c>
      <c r="O329" t="s">
        <v>1411</v>
      </c>
      <c r="P329" t="s">
        <v>1411</v>
      </c>
      <c r="Q329" t="s">
        <v>1412</v>
      </c>
      <c r="S329" s="1">
        <v>46043</v>
      </c>
      <c r="W329" s="1">
        <v>32235</v>
      </c>
      <c r="X329" t="s">
        <v>2147</v>
      </c>
      <c r="Z329" t="s">
        <v>1414</v>
      </c>
      <c r="AA329" t="s">
        <v>1419</v>
      </c>
      <c r="AB329" t="s">
        <v>219</v>
      </c>
      <c r="AC329">
        <v>9899156802</v>
      </c>
      <c r="AD329" t="str">
        <f>_xlfn.XLOOKUP(F329,'Base de Tutores'!L:L,'Base de Tutores'!F:F)</f>
        <v>EMF-ISN</v>
      </c>
    </row>
    <row r="330" spans="1:30" hidden="1" x14ac:dyDescent="0.3">
      <c r="A330" t="s">
        <v>1405</v>
      </c>
      <c r="B330" t="s">
        <v>1406</v>
      </c>
      <c r="C330" t="s">
        <v>2148</v>
      </c>
      <c r="D330">
        <v>2791950010</v>
      </c>
      <c r="E330">
        <v>4110517374</v>
      </c>
      <c r="F330">
        <v>1158000610</v>
      </c>
      <c r="G330" s="1">
        <v>45782</v>
      </c>
      <c r="H330" t="s">
        <v>1350</v>
      </c>
      <c r="I330" t="s">
        <v>1349</v>
      </c>
      <c r="J330" t="s">
        <v>1351</v>
      </c>
      <c r="K330" t="s">
        <v>1361</v>
      </c>
      <c r="L330" t="s">
        <v>1408</v>
      </c>
      <c r="M330" t="s">
        <v>1409</v>
      </c>
      <c r="N330" t="s">
        <v>1410</v>
      </c>
      <c r="O330" t="s">
        <v>1423</v>
      </c>
      <c r="P330" t="s">
        <v>1423</v>
      </c>
      <c r="Q330" t="s">
        <v>1412</v>
      </c>
      <c r="S330" s="1">
        <v>45845</v>
      </c>
      <c r="V330" s="1">
        <v>45841</v>
      </c>
      <c r="W330" s="1">
        <v>34392</v>
      </c>
      <c r="X330" t="s">
        <v>2149</v>
      </c>
      <c r="Z330" t="s">
        <v>1414</v>
      </c>
      <c r="AA330" t="s">
        <v>1419</v>
      </c>
      <c r="AB330" t="s">
        <v>2150</v>
      </c>
      <c r="AC330">
        <v>5198661006</v>
      </c>
      <c r="AD330" t="str">
        <f>_xlfn.XLOOKUP(F330,'Base de Tutores'!L:L,'Base de Tutores'!F:F)</f>
        <v>EMF-ISN</v>
      </c>
    </row>
    <row r="331" spans="1:30" hidden="1" x14ac:dyDescent="0.3">
      <c r="A331" t="s">
        <v>1405</v>
      </c>
      <c r="B331" t="s">
        <v>1406</v>
      </c>
      <c r="C331" t="s">
        <v>2151</v>
      </c>
      <c r="D331">
        <v>907630502</v>
      </c>
      <c r="E331" s="3">
        <v>6373982</v>
      </c>
      <c r="F331">
        <v>1158000884</v>
      </c>
      <c r="G331" s="1">
        <v>45887</v>
      </c>
      <c r="H331" t="s">
        <v>1350</v>
      </c>
      <c r="I331" t="s">
        <v>1349</v>
      </c>
      <c r="J331" t="s">
        <v>1363</v>
      </c>
      <c r="K331" t="s">
        <v>1353</v>
      </c>
      <c r="L331" t="s">
        <v>1408</v>
      </c>
      <c r="M331" t="s">
        <v>1421</v>
      </c>
      <c r="N331" t="s">
        <v>1422</v>
      </c>
      <c r="O331" t="s">
        <v>1423</v>
      </c>
      <c r="P331" t="s">
        <v>1423</v>
      </c>
      <c r="Q331" t="s">
        <v>1412</v>
      </c>
      <c r="S331" s="1">
        <v>45972</v>
      </c>
      <c r="V331" s="1">
        <v>45965</v>
      </c>
      <c r="W331" s="1">
        <v>30488</v>
      </c>
      <c r="X331" t="s">
        <v>1432</v>
      </c>
      <c r="Z331" t="s">
        <v>1414</v>
      </c>
      <c r="AA331" t="s">
        <v>1419</v>
      </c>
      <c r="AB331" t="s">
        <v>939</v>
      </c>
      <c r="AC331">
        <v>81997502500</v>
      </c>
      <c r="AD331" t="str">
        <f>_xlfn.XLOOKUP(F331,'Base de Tutores'!L:L,'Base de Tutores'!F:F)</f>
        <v>BFR</v>
      </c>
    </row>
    <row r="332" spans="1:30" hidden="1" x14ac:dyDescent="0.3">
      <c r="A332" t="s">
        <v>1405</v>
      </c>
      <c r="B332" t="s">
        <v>1406</v>
      </c>
      <c r="C332" t="s">
        <v>2152</v>
      </c>
      <c r="D332">
        <v>63790009172</v>
      </c>
      <c r="E332">
        <v>669768</v>
      </c>
      <c r="F332">
        <v>1158000850</v>
      </c>
      <c r="G332" s="1">
        <v>45875</v>
      </c>
      <c r="H332" t="s">
        <v>1350</v>
      </c>
      <c r="I332" t="s">
        <v>1349</v>
      </c>
      <c r="J332" t="s">
        <v>1363</v>
      </c>
      <c r="K332" t="s">
        <v>1353</v>
      </c>
      <c r="L332" t="s">
        <v>1408</v>
      </c>
      <c r="M332" t="s">
        <v>1409</v>
      </c>
      <c r="N332" t="s">
        <v>1422</v>
      </c>
      <c r="O332" t="s">
        <v>1411</v>
      </c>
      <c r="P332" t="s">
        <v>1411</v>
      </c>
      <c r="Q332" t="s">
        <v>1412</v>
      </c>
      <c r="S332" s="1">
        <v>45933</v>
      </c>
      <c r="V332" s="1">
        <v>45931</v>
      </c>
      <c r="W332" s="1">
        <v>27145</v>
      </c>
      <c r="X332" t="s">
        <v>2153</v>
      </c>
      <c r="Z332" t="s">
        <v>1414</v>
      </c>
      <c r="AA332" t="s">
        <v>1415</v>
      </c>
      <c r="AB332" t="s">
        <v>845</v>
      </c>
      <c r="AC332">
        <v>67991025133</v>
      </c>
      <c r="AD332" t="str">
        <f>_xlfn.XLOOKUP(F332,'Base de Tutores'!L:L,'Base de Tutores'!F:F)</f>
        <v>AGM</v>
      </c>
    </row>
    <row r="333" spans="1:30" hidden="1" x14ac:dyDescent="0.3">
      <c r="A333" t="s">
        <v>1405</v>
      </c>
      <c r="B333" t="s">
        <v>1406</v>
      </c>
      <c r="C333" t="s">
        <v>2154</v>
      </c>
      <c r="D333">
        <v>5003515111</v>
      </c>
      <c r="E333" t="s">
        <v>2155</v>
      </c>
      <c r="F333">
        <v>1158001032</v>
      </c>
      <c r="G333" s="1">
        <v>45938</v>
      </c>
      <c r="H333" t="s">
        <v>1350</v>
      </c>
      <c r="I333" t="s">
        <v>1349</v>
      </c>
      <c r="J333" t="s">
        <v>1363</v>
      </c>
      <c r="K333" t="s">
        <v>1353</v>
      </c>
      <c r="L333" t="s">
        <v>1408</v>
      </c>
      <c r="M333" t="s">
        <v>1421</v>
      </c>
      <c r="N333" t="s">
        <v>1422</v>
      </c>
      <c r="O333" t="s">
        <v>1423</v>
      </c>
      <c r="P333" t="s">
        <v>1423</v>
      </c>
      <c r="Q333" t="s">
        <v>1412</v>
      </c>
      <c r="S333" s="1">
        <v>45985</v>
      </c>
      <c r="V333" s="1">
        <v>45979</v>
      </c>
      <c r="W333" s="1">
        <v>34415</v>
      </c>
      <c r="X333" t="s">
        <v>2156</v>
      </c>
      <c r="Z333" t="s">
        <v>1414</v>
      </c>
      <c r="AA333" t="s">
        <v>1415</v>
      </c>
      <c r="AB333" t="s">
        <v>1177</v>
      </c>
      <c r="AC333">
        <v>65999252354</v>
      </c>
      <c r="AD333" t="str">
        <f>_xlfn.XLOOKUP(F333,'Base de Tutores'!L:L,'Base de Tutores'!F:F)</f>
        <v>AGM</v>
      </c>
    </row>
    <row r="334" spans="1:30" hidden="1" x14ac:dyDescent="0.3">
      <c r="A334" t="s">
        <v>1405</v>
      </c>
      <c r="B334" t="s">
        <v>1406</v>
      </c>
      <c r="C334" t="s">
        <v>2157</v>
      </c>
      <c r="D334">
        <v>5099141528</v>
      </c>
      <c r="E334" t="s">
        <v>2158</v>
      </c>
      <c r="F334">
        <v>1158000890</v>
      </c>
      <c r="G334" s="1">
        <v>45887</v>
      </c>
      <c r="H334" t="s">
        <v>1350</v>
      </c>
      <c r="I334" t="s">
        <v>1349</v>
      </c>
      <c r="J334" t="s">
        <v>1363</v>
      </c>
      <c r="K334" t="s">
        <v>1353</v>
      </c>
      <c r="L334" t="s">
        <v>1408</v>
      </c>
      <c r="M334" t="s">
        <v>1409</v>
      </c>
      <c r="N334" t="s">
        <v>1410</v>
      </c>
      <c r="O334" t="s">
        <v>1411</v>
      </c>
      <c r="P334" t="s">
        <v>1411</v>
      </c>
      <c r="Q334" t="s">
        <v>1412</v>
      </c>
      <c r="S334" s="1">
        <v>46045</v>
      </c>
      <c r="V334" s="1">
        <v>46042</v>
      </c>
      <c r="W334" s="1">
        <v>33023</v>
      </c>
      <c r="X334" t="s">
        <v>1667</v>
      </c>
      <c r="Z334" t="s">
        <v>1414</v>
      </c>
      <c r="AA334" t="s">
        <v>1419</v>
      </c>
      <c r="AB334" t="s">
        <v>951</v>
      </c>
      <c r="AC334">
        <v>75981714250</v>
      </c>
      <c r="AD334" t="str">
        <f>_xlfn.XLOOKUP(F334,'Base de Tutores'!L:L,'Base de Tutores'!F:F)</f>
        <v>BFR</v>
      </c>
    </row>
    <row r="335" spans="1:30" hidden="1" x14ac:dyDescent="0.3">
      <c r="A335" t="s">
        <v>1405</v>
      </c>
      <c r="B335" t="s">
        <v>1406</v>
      </c>
      <c r="C335" t="s">
        <v>2159</v>
      </c>
      <c r="D335">
        <v>5291678755</v>
      </c>
      <c r="E335" t="s">
        <v>2160</v>
      </c>
      <c r="F335">
        <v>1158000973</v>
      </c>
      <c r="G335" s="1">
        <v>45915</v>
      </c>
      <c r="H335" t="s">
        <v>1350</v>
      </c>
      <c r="I335" t="s">
        <v>1374</v>
      </c>
      <c r="J335" t="s">
        <v>1363</v>
      </c>
      <c r="K335" t="s">
        <v>1353</v>
      </c>
      <c r="L335" t="s">
        <v>1408</v>
      </c>
      <c r="M335" t="s">
        <v>1421</v>
      </c>
      <c r="N335" t="s">
        <v>1422</v>
      </c>
      <c r="O335" t="s">
        <v>1423</v>
      </c>
      <c r="P335" t="s">
        <v>1423</v>
      </c>
      <c r="Q335" t="s">
        <v>1412</v>
      </c>
      <c r="S335" s="1">
        <v>46043</v>
      </c>
      <c r="W335" s="1">
        <v>29574</v>
      </c>
      <c r="X335" t="s">
        <v>1721</v>
      </c>
      <c r="Z335" t="s">
        <v>1414</v>
      </c>
      <c r="AA335" t="s">
        <v>1415</v>
      </c>
      <c r="AB335" t="s">
        <v>1104</v>
      </c>
      <c r="AC335">
        <v>21998577159</v>
      </c>
      <c r="AD335" t="str">
        <f>_xlfn.XLOOKUP(F335,'Base de Tutores'!L:L,'Base de Tutores'!F:F)</f>
        <v>BFR</v>
      </c>
    </row>
    <row r="336" spans="1:30" hidden="1" x14ac:dyDescent="0.3">
      <c r="A336" t="s">
        <v>1405</v>
      </c>
      <c r="B336" t="s">
        <v>1406</v>
      </c>
      <c r="C336" t="s">
        <v>2161</v>
      </c>
      <c r="D336">
        <v>8804295937</v>
      </c>
      <c r="E336">
        <v>4859976</v>
      </c>
      <c r="F336">
        <v>1158000689</v>
      </c>
      <c r="G336" s="1">
        <v>45754</v>
      </c>
      <c r="H336" t="s">
        <v>1350</v>
      </c>
      <c r="I336" t="s">
        <v>1374</v>
      </c>
      <c r="J336" t="s">
        <v>1363</v>
      </c>
      <c r="K336" t="s">
        <v>1353</v>
      </c>
      <c r="L336" t="s">
        <v>1408</v>
      </c>
      <c r="M336" t="s">
        <v>1447</v>
      </c>
      <c r="N336" t="s">
        <v>1448</v>
      </c>
      <c r="O336" t="s">
        <v>1423</v>
      </c>
      <c r="P336" t="s">
        <v>1423</v>
      </c>
      <c r="Q336" t="s">
        <v>1412</v>
      </c>
      <c r="S336" s="1">
        <v>46043</v>
      </c>
      <c r="W336" s="1">
        <v>33872</v>
      </c>
      <c r="X336" t="s">
        <v>1676</v>
      </c>
      <c r="Z336" t="s">
        <v>1414</v>
      </c>
      <c r="AA336" t="s">
        <v>1415</v>
      </c>
      <c r="AB336" t="s">
        <v>2162</v>
      </c>
      <c r="AC336">
        <v>49999237337</v>
      </c>
      <c r="AD336" t="str">
        <f>_xlfn.XLOOKUP(F336,'Base de Tutores'!L:L,'Base de Tutores'!F:F)</f>
        <v>ECE-ENM-ENS-ENG-EEA-GPI-CDE-OBR-SAN-TER-FSA-SLF-QUI</v>
      </c>
    </row>
    <row r="337" spans="1:30" hidden="1" x14ac:dyDescent="0.3">
      <c r="A337" t="s">
        <v>1405</v>
      </c>
      <c r="B337" t="s">
        <v>1406</v>
      </c>
      <c r="C337" t="s">
        <v>2163</v>
      </c>
      <c r="D337">
        <v>4464226302</v>
      </c>
      <c r="E337" t="s">
        <v>2164</v>
      </c>
      <c r="F337">
        <v>1158000578</v>
      </c>
      <c r="G337" s="1">
        <v>45735</v>
      </c>
      <c r="H337" t="s">
        <v>1350</v>
      </c>
      <c r="I337" t="s">
        <v>1374</v>
      </c>
      <c r="J337" t="s">
        <v>1363</v>
      </c>
      <c r="K337" t="s">
        <v>1353</v>
      </c>
      <c r="L337" t="s">
        <v>1408</v>
      </c>
      <c r="M337" t="s">
        <v>1421</v>
      </c>
      <c r="N337" t="s">
        <v>1422</v>
      </c>
      <c r="O337" t="s">
        <v>1423</v>
      </c>
      <c r="P337" t="s">
        <v>1417</v>
      </c>
      <c r="Q337" t="s">
        <v>1412</v>
      </c>
      <c r="S337" s="1">
        <v>46043</v>
      </c>
      <c r="W337" s="1">
        <v>32487</v>
      </c>
      <c r="X337" t="s">
        <v>2165</v>
      </c>
      <c r="Z337" t="s">
        <v>1414</v>
      </c>
      <c r="AA337" t="s">
        <v>1415</v>
      </c>
      <c r="AB337" t="s">
        <v>666</v>
      </c>
      <c r="AC337">
        <v>86984684764</v>
      </c>
      <c r="AD337" t="str">
        <f>_xlfn.XLOOKUP(F337,'Base de Tutores'!L:L,'Base de Tutores'!F:F)</f>
        <v>EMF-ISN</v>
      </c>
    </row>
    <row r="338" spans="1:30" hidden="1" x14ac:dyDescent="0.3">
      <c r="A338" t="s">
        <v>1405</v>
      </c>
      <c r="B338" t="s">
        <v>1406</v>
      </c>
      <c r="C338" t="s">
        <v>2166</v>
      </c>
      <c r="D338">
        <v>94254117434</v>
      </c>
      <c r="E338" s="3">
        <v>1532972</v>
      </c>
      <c r="F338">
        <v>1158000688</v>
      </c>
      <c r="G338" s="1">
        <v>45754</v>
      </c>
      <c r="H338" t="s">
        <v>1350</v>
      </c>
      <c r="I338" t="s">
        <v>1374</v>
      </c>
      <c r="J338" t="s">
        <v>1363</v>
      </c>
      <c r="K338" t="s">
        <v>1353</v>
      </c>
      <c r="L338" t="s">
        <v>1408</v>
      </c>
      <c r="M338" t="s">
        <v>1409</v>
      </c>
      <c r="N338" t="s">
        <v>1410</v>
      </c>
      <c r="O338" t="s">
        <v>1411</v>
      </c>
      <c r="P338" t="s">
        <v>1411</v>
      </c>
      <c r="Q338" t="s">
        <v>1412</v>
      </c>
      <c r="S338" s="1">
        <v>46043</v>
      </c>
      <c r="W338" s="1">
        <v>27671</v>
      </c>
      <c r="X338" t="s">
        <v>2167</v>
      </c>
      <c r="Y338" t="s">
        <v>2168</v>
      </c>
      <c r="Z338" t="s">
        <v>1414</v>
      </c>
      <c r="AA338" t="s">
        <v>1415</v>
      </c>
      <c r="AB338" t="s">
        <v>70</v>
      </c>
      <c r="AC338">
        <v>84999929870</v>
      </c>
      <c r="AD338" t="str">
        <f>_xlfn.XLOOKUP(F338,'Base de Tutores'!L:L,'Base de Tutores'!F:F)</f>
        <v>EMF-ISN</v>
      </c>
    </row>
    <row r="339" spans="1:30" hidden="1" x14ac:dyDescent="0.3">
      <c r="A339" t="s">
        <v>1405</v>
      </c>
      <c r="B339" t="s">
        <v>1406</v>
      </c>
      <c r="C339" t="s">
        <v>2169</v>
      </c>
      <c r="D339">
        <v>9444455785</v>
      </c>
      <c r="E339" t="s">
        <v>2170</v>
      </c>
      <c r="F339">
        <v>1158000873</v>
      </c>
      <c r="G339" s="1">
        <v>45882</v>
      </c>
      <c r="H339" t="s">
        <v>1350</v>
      </c>
      <c r="I339" t="s">
        <v>1349</v>
      </c>
      <c r="J339" t="s">
        <v>1363</v>
      </c>
      <c r="K339" t="s">
        <v>1353</v>
      </c>
      <c r="L339" t="s">
        <v>1408</v>
      </c>
      <c r="M339" t="s">
        <v>1409</v>
      </c>
      <c r="N339" t="s">
        <v>1410</v>
      </c>
      <c r="O339" t="s">
        <v>1462</v>
      </c>
      <c r="P339" t="s">
        <v>1462</v>
      </c>
      <c r="Q339" t="s">
        <v>1412</v>
      </c>
      <c r="S339" s="1">
        <v>46057</v>
      </c>
      <c r="V339" s="1">
        <v>46055</v>
      </c>
      <c r="W339" s="1">
        <v>30124</v>
      </c>
      <c r="X339" t="s">
        <v>1721</v>
      </c>
      <c r="Y339" t="s">
        <v>2171</v>
      </c>
      <c r="Z339" t="s">
        <v>1414</v>
      </c>
      <c r="AA339" t="s">
        <v>1415</v>
      </c>
      <c r="AB339" t="s">
        <v>917</v>
      </c>
      <c r="AC339">
        <v>21967070057</v>
      </c>
      <c r="AD339" t="str">
        <f>_xlfn.XLOOKUP(F339,'Base de Tutores'!L:L,'Base de Tutores'!F:F)</f>
        <v>BFR</v>
      </c>
    </row>
    <row r="340" spans="1:30" hidden="1" x14ac:dyDescent="0.3">
      <c r="A340" t="s">
        <v>1405</v>
      </c>
      <c r="B340" t="s">
        <v>1406</v>
      </c>
      <c r="C340" t="s">
        <v>2172</v>
      </c>
      <c r="D340">
        <v>750605235</v>
      </c>
      <c r="E340">
        <v>165450752</v>
      </c>
      <c r="F340">
        <v>1158000546</v>
      </c>
      <c r="G340" s="1">
        <v>45728</v>
      </c>
      <c r="H340" t="s">
        <v>1350</v>
      </c>
      <c r="I340" t="s">
        <v>1349</v>
      </c>
      <c r="J340" t="s">
        <v>1363</v>
      </c>
      <c r="K340" t="s">
        <v>1353</v>
      </c>
      <c r="L340" t="s">
        <v>1408</v>
      </c>
      <c r="M340" t="s">
        <v>1409</v>
      </c>
      <c r="N340" t="s">
        <v>1410</v>
      </c>
      <c r="O340" t="s">
        <v>1411</v>
      </c>
      <c r="P340" t="s">
        <v>1411</v>
      </c>
      <c r="Q340" t="s">
        <v>1412</v>
      </c>
      <c r="S340" s="1">
        <v>45887</v>
      </c>
      <c r="V340" s="1">
        <v>45880</v>
      </c>
      <c r="W340" s="1">
        <v>33553</v>
      </c>
      <c r="X340" t="s">
        <v>1825</v>
      </c>
      <c r="Z340" t="s">
        <v>1414</v>
      </c>
      <c r="AA340" t="s">
        <v>1419</v>
      </c>
      <c r="AB340" t="s">
        <v>2173</v>
      </c>
      <c r="AC340">
        <v>92994488890</v>
      </c>
      <c r="AD340" t="str">
        <f>_xlfn.XLOOKUP(F340,'Base de Tutores'!L:L,'Base de Tutores'!F:F)</f>
        <v>EMF-ISN</v>
      </c>
    </row>
    <row r="341" spans="1:30" hidden="1" x14ac:dyDescent="0.3">
      <c r="A341" t="s">
        <v>1405</v>
      </c>
      <c r="B341" t="s">
        <v>1406</v>
      </c>
      <c r="C341" t="s">
        <v>2174</v>
      </c>
      <c r="D341">
        <v>76755762091</v>
      </c>
      <c r="E341">
        <v>1020258867</v>
      </c>
      <c r="F341">
        <v>1158000940</v>
      </c>
      <c r="G341" s="1">
        <v>45901</v>
      </c>
      <c r="H341" t="s">
        <v>1350</v>
      </c>
      <c r="I341" t="s">
        <v>1374</v>
      </c>
      <c r="J341" t="s">
        <v>1363</v>
      </c>
      <c r="K341" t="s">
        <v>1353</v>
      </c>
      <c r="L341" t="s">
        <v>1408</v>
      </c>
      <c r="M341" t="s">
        <v>1409</v>
      </c>
      <c r="N341" t="s">
        <v>1410</v>
      </c>
      <c r="O341" t="s">
        <v>1423</v>
      </c>
      <c r="P341" t="s">
        <v>1423</v>
      </c>
      <c r="Q341" t="s">
        <v>1412</v>
      </c>
      <c r="S341" s="1">
        <v>46043</v>
      </c>
      <c r="W341" s="1">
        <v>27265</v>
      </c>
      <c r="X341" t="s">
        <v>1956</v>
      </c>
      <c r="Y341" t="s">
        <v>2175</v>
      </c>
      <c r="Z341" t="s">
        <v>1414</v>
      </c>
      <c r="AA341" t="s">
        <v>1419</v>
      </c>
      <c r="AB341" t="s">
        <v>1056</v>
      </c>
      <c r="AC341">
        <v>4799561805</v>
      </c>
      <c r="AD341" t="str">
        <f>_xlfn.XLOOKUP(F341,'Base de Tutores'!L:L,'Base de Tutores'!F:F)</f>
        <v>NTR</v>
      </c>
    </row>
    <row r="342" spans="1:30" hidden="1" x14ac:dyDescent="0.3">
      <c r="A342" t="s">
        <v>1405</v>
      </c>
      <c r="B342" t="s">
        <v>1406</v>
      </c>
      <c r="C342" t="s">
        <v>2176</v>
      </c>
      <c r="D342">
        <v>7777366750</v>
      </c>
      <c r="E342" t="s">
        <v>2177</v>
      </c>
      <c r="F342">
        <v>1158000675</v>
      </c>
      <c r="G342" s="1">
        <v>45754</v>
      </c>
      <c r="H342" t="s">
        <v>1350</v>
      </c>
      <c r="I342" t="s">
        <v>1374</v>
      </c>
      <c r="J342" t="s">
        <v>1363</v>
      </c>
      <c r="K342" t="s">
        <v>1353</v>
      </c>
      <c r="L342" t="s">
        <v>1408</v>
      </c>
      <c r="M342" t="s">
        <v>1409</v>
      </c>
      <c r="N342" t="s">
        <v>1410</v>
      </c>
      <c r="O342" t="s">
        <v>1462</v>
      </c>
      <c r="P342" t="s">
        <v>1462</v>
      </c>
      <c r="Q342" t="s">
        <v>1412</v>
      </c>
      <c r="S342" s="1">
        <v>46043</v>
      </c>
      <c r="W342" s="1">
        <v>28368</v>
      </c>
      <c r="X342" t="s">
        <v>1503</v>
      </c>
      <c r="Z342" t="s">
        <v>1414</v>
      </c>
      <c r="AA342" t="s">
        <v>1419</v>
      </c>
      <c r="AB342" t="s">
        <v>509</v>
      </c>
      <c r="AC342">
        <v>21993750046</v>
      </c>
      <c r="AD342" t="str">
        <f>_xlfn.XLOOKUP(F342,'Base de Tutores'!L:L,'Base de Tutores'!F:F)</f>
        <v>EMF-ISN</v>
      </c>
    </row>
    <row r="343" spans="1:30" hidden="1" x14ac:dyDescent="0.3">
      <c r="A343" t="s">
        <v>1405</v>
      </c>
      <c r="B343" t="s">
        <v>1406</v>
      </c>
      <c r="C343" t="s">
        <v>2178</v>
      </c>
      <c r="D343">
        <v>37551922091</v>
      </c>
      <c r="E343">
        <v>7029266561</v>
      </c>
      <c r="F343">
        <v>1158000974</v>
      </c>
      <c r="G343" s="1">
        <v>45915</v>
      </c>
      <c r="H343" t="s">
        <v>1350</v>
      </c>
      <c r="I343" t="s">
        <v>1374</v>
      </c>
      <c r="J343" t="s">
        <v>1696</v>
      </c>
      <c r="K343" t="s">
        <v>1354</v>
      </c>
      <c r="L343" t="s">
        <v>1408</v>
      </c>
      <c r="M343" t="s">
        <v>1409</v>
      </c>
      <c r="N343" t="s">
        <v>1410</v>
      </c>
      <c r="O343" t="s">
        <v>1423</v>
      </c>
      <c r="P343" t="s">
        <v>1423</v>
      </c>
      <c r="Q343" t="s">
        <v>1412</v>
      </c>
      <c r="S343" s="1">
        <v>46043</v>
      </c>
      <c r="W343" s="1">
        <v>22534</v>
      </c>
      <c r="X343" t="s">
        <v>1485</v>
      </c>
      <c r="Z343" t="s">
        <v>1414</v>
      </c>
      <c r="AA343" t="s">
        <v>1419</v>
      </c>
      <c r="AB343" t="s">
        <v>639</v>
      </c>
      <c r="AC343">
        <v>51984310908</v>
      </c>
      <c r="AD343" t="str">
        <f>_xlfn.XLOOKUP(F343,'Base de Tutores'!L:L,'Base de Tutores'!F:F)</f>
        <v>EMF-ISN2</v>
      </c>
    </row>
    <row r="344" spans="1:30" hidden="1" x14ac:dyDescent="0.3">
      <c r="A344" t="s">
        <v>1405</v>
      </c>
      <c r="B344" t="s">
        <v>1406</v>
      </c>
      <c r="C344" t="s">
        <v>2179</v>
      </c>
      <c r="D344">
        <v>94464006353</v>
      </c>
      <c r="E344" t="s">
        <v>2180</v>
      </c>
      <c r="F344">
        <v>1158000950</v>
      </c>
      <c r="G344" s="1">
        <v>45901</v>
      </c>
      <c r="H344" t="s">
        <v>1350</v>
      </c>
      <c r="I344" t="s">
        <v>1374</v>
      </c>
      <c r="J344" t="s">
        <v>1363</v>
      </c>
      <c r="K344" t="s">
        <v>1353</v>
      </c>
      <c r="L344" t="s">
        <v>1408</v>
      </c>
      <c r="M344" t="s">
        <v>1409</v>
      </c>
      <c r="N344" t="s">
        <v>1410</v>
      </c>
      <c r="O344" t="s">
        <v>1411</v>
      </c>
      <c r="P344" t="s">
        <v>1411</v>
      </c>
      <c r="Q344" t="s">
        <v>1412</v>
      </c>
      <c r="S344" s="1">
        <v>46043</v>
      </c>
      <c r="W344" s="1">
        <v>35062</v>
      </c>
      <c r="X344" t="s">
        <v>2181</v>
      </c>
      <c r="Z344" t="s">
        <v>1414</v>
      </c>
      <c r="AA344" t="s">
        <v>1419</v>
      </c>
      <c r="AB344" t="s">
        <v>1235</v>
      </c>
      <c r="AC344">
        <v>88997126508</v>
      </c>
      <c r="AD344" t="str">
        <f>_xlfn.XLOOKUP(F344,'Base de Tutores'!L:L,'Base de Tutores'!F:F)</f>
        <v>EMF-ISN</v>
      </c>
    </row>
    <row r="345" spans="1:30" hidden="1" x14ac:dyDescent="0.3">
      <c r="A345" t="s">
        <v>1405</v>
      </c>
      <c r="B345" t="s">
        <v>1406</v>
      </c>
      <c r="C345" t="s">
        <v>2182</v>
      </c>
      <c r="D345">
        <v>1621764222</v>
      </c>
      <c r="E345" t="s">
        <v>2183</v>
      </c>
      <c r="F345">
        <v>1158000821</v>
      </c>
      <c r="G345" s="1">
        <v>45873</v>
      </c>
      <c r="H345" t="s">
        <v>1350</v>
      </c>
      <c r="I345" t="s">
        <v>1374</v>
      </c>
      <c r="J345" t="s">
        <v>1363</v>
      </c>
      <c r="K345" t="s">
        <v>1353</v>
      </c>
      <c r="L345" t="s">
        <v>1408</v>
      </c>
      <c r="M345" t="s">
        <v>1409</v>
      </c>
      <c r="N345" t="s">
        <v>1410</v>
      </c>
      <c r="O345" t="s">
        <v>1411</v>
      </c>
      <c r="P345" t="s">
        <v>1411</v>
      </c>
      <c r="Q345" t="s">
        <v>1412</v>
      </c>
      <c r="S345" s="1">
        <v>46043</v>
      </c>
      <c r="W345" s="1">
        <v>34589</v>
      </c>
      <c r="X345" t="s">
        <v>1825</v>
      </c>
      <c r="Z345" t="s">
        <v>1414</v>
      </c>
      <c r="AA345" t="s">
        <v>1419</v>
      </c>
      <c r="AB345" t="s">
        <v>819</v>
      </c>
      <c r="AC345">
        <v>92984526048</v>
      </c>
      <c r="AD345" t="str">
        <f>_xlfn.XLOOKUP(F345,'Base de Tutores'!L:L,'Base de Tutores'!F:F)</f>
        <v>BFI</v>
      </c>
    </row>
    <row r="346" spans="1:30" hidden="1" x14ac:dyDescent="0.3">
      <c r="A346" t="s">
        <v>1405</v>
      </c>
      <c r="B346" t="s">
        <v>1406</v>
      </c>
      <c r="C346" t="s">
        <v>2184</v>
      </c>
      <c r="D346">
        <v>1906219907</v>
      </c>
      <c r="E346" t="s">
        <v>2185</v>
      </c>
      <c r="F346">
        <v>1158000643</v>
      </c>
      <c r="G346" s="1">
        <v>45798</v>
      </c>
      <c r="H346" t="s">
        <v>1350</v>
      </c>
      <c r="I346" t="s">
        <v>1374</v>
      </c>
      <c r="J346" t="s">
        <v>1363</v>
      </c>
      <c r="K346" t="s">
        <v>1353</v>
      </c>
      <c r="L346" t="s">
        <v>1408</v>
      </c>
      <c r="M346" t="s">
        <v>1409</v>
      </c>
      <c r="N346" t="s">
        <v>1410</v>
      </c>
      <c r="O346" t="s">
        <v>1423</v>
      </c>
      <c r="P346" t="s">
        <v>1423</v>
      </c>
      <c r="Q346" t="s">
        <v>1412</v>
      </c>
      <c r="S346" s="1">
        <v>46043</v>
      </c>
      <c r="W346" s="1">
        <v>28722</v>
      </c>
      <c r="X346" t="s">
        <v>2186</v>
      </c>
      <c r="Z346" t="s">
        <v>1414</v>
      </c>
      <c r="AA346" t="s">
        <v>1419</v>
      </c>
      <c r="AB346" t="s">
        <v>202</v>
      </c>
      <c r="AC346">
        <v>11999381896</v>
      </c>
      <c r="AD346" t="str">
        <f>_xlfn.XLOOKUP(F346,'Base de Tutores'!L:L,'Base de Tutores'!F:F)</f>
        <v>EMF-ISN</v>
      </c>
    </row>
    <row r="347" spans="1:30" hidden="1" x14ac:dyDescent="0.3">
      <c r="A347" t="s">
        <v>1405</v>
      </c>
      <c r="B347" t="s">
        <v>1406</v>
      </c>
      <c r="C347" t="s">
        <v>2187</v>
      </c>
      <c r="D347">
        <v>90584970200</v>
      </c>
      <c r="E347">
        <v>4761513</v>
      </c>
      <c r="F347">
        <v>1158000703</v>
      </c>
      <c r="G347" s="1">
        <v>45756</v>
      </c>
      <c r="H347" t="s">
        <v>1350</v>
      </c>
      <c r="I347" t="s">
        <v>1374</v>
      </c>
      <c r="J347" t="s">
        <v>1363</v>
      </c>
      <c r="K347" t="s">
        <v>1353</v>
      </c>
      <c r="L347" t="s">
        <v>1408</v>
      </c>
      <c r="M347" t="s">
        <v>1447</v>
      </c>
      <c r="N347" t="s">
        <v>1448</v>
      </c>
      <c r="O347" t="s">
        <v>1423</v>
      </c>
      <c r="P347" t="s">
        <v>1423</v>
      </c>
      <c r="Q347" t="s">
        <v>1412</v>
      </c>
      <c r="S347" s="1">
        <v>46043</v>
      </c>
      <c r="W347" s="1">
        <v>31638</v>
      </c>
      <c r="X347" t="s">
        <v>1492</v>
      </c>
      <c r="Z347" t="s">
        <v>1414</v>
      </c>
      <c r="AA347" t="s">
        <v>1415</v>
      </c>
      <c r="AB347" t="s">
        <v>556</v>
      </c>
      <c r="AC347">
        <v>91988367697</v>
      </c>
      <c r="AD347" t="str">
        <f>_xlfn.XLOOKUP(F347,'Base de Tutores'!L:L,'Base de Tutores'!F:F)</f>
        <v>ECE-ENM-ENS-ENG-EEA-GPI-CDE-OBR-SAN-TER-FSA-SLF-QUI</v>
      </c>
    </row>
    <row r="348" spans="1:30" hidden="1" x14ac:dyDescent="0.3">
      <c r="A348" t="s">
        <v>1405</v>
      </c>
      <c r="B348" t="s">
        <v>1406</v>
      </c>
      <c r="C348" t="s">
        <v>2188</v>
      </c>
      <c r="D348">
        <v>1881218201</v>
      </c>
      <c r="E348">
        <v>6624527</v>
      </c>
      <c r="F348">
        <v>1158000897</v>
      </c>
      <c r="G348" s="1">
        <v>45887</v>
      </c>
      <c r="H348" t="s">
        <v>1350</v>
      </c>
      <c r="I348" t="s">
        <v>1374</v>
      </c>
      <c r="J348" t="s">
        <v>1363</v>
      </c>
      <c r="K348" t="s">
        <v>1353</v>
      </c>
      <c r="L348" t="s">
        <v>1408</v>
      </c>
      <c r="M348" t="s">
        <v>1409</v>
      </c>
      <c r="N348" t="s">
        <v>1410</v>
      </c>
      <c r="O348" t="s">
        <v>1411</v>
      </c>
      <c r="P348" t="s">
        <v>1411</v>
      </c>
      <c r="Q348" t="s">
        <v>1412</v>
      </c>
      <c r="S348" s="1">
        <v>46043</v>
      </c>
      <c r="W348" s="1">
        <v>34088</v>
      </c>
      <c r="X348" t="s">
        <v>2189</v>
      </c>
      <c r="Y348" t="s">
        <v>2190</v>
      </c>
      <c r="Z348" t="s">
        <v>1414</v>
      </c>
      <c r="AA348" t="s">
        <v>1415</v>
      </c>
      <c r="AB348" t="s">
        <v>25</v>
      </c>
      <c r="AC348">
        <v>91984011852</v>
      </c>
      <c r="AD348" t="str">
        <f>_xlfn.XLOOKUP(F348,'Base de Tutores'!L:L,'Base de Tutores'!F:F)</f>
        <v>EMF-ISN</v>
      </c>
    </row>
    <row r="349" spans="1:30" hidden="1" x14ac:dyDescent="0.3">
      <c r="A349" t="s">
        <v>1405</v>
      </c>
      <c r="B349" t="s">
        <v>1406</v>
      </c>
      <c r="C349" t="s">
        <v>2191</v>
      </c>
      <c r="D349">
        <v>7729954940</v>
      </c>
      <c r="E349">
        <v>5114831</v>
      </c>
      <c r="F349">
        <v>1158001044</v>
      </c>
      <c r="G349" s="1">
        <v>45950</v>
      </c>
      <c r="H349" t="s">
        <v>1350</v>
      </c>
      <c r="I349" t="s">
        <v>1374</v>
      </c>
      <c r="J349" t="s">
        <v>1363</v>
      </c>
      <c r="K349" t="s">
        <v>1353</v>
      </c>
      <c r="L349" t="s">
        <v>1408</v>
      </c>
      <c r="M349" t="s">
        <v>1409</v>
      </c>
      <c r="N349" t="s">
        <v>1410</v>
      </c>
      <c r="O349" t="s">
        <v>1423</v>
      </c>
      <c r="P349" t="s">
        <v>1423</v>
      </c>
      <c r="Q349" t="s">
        <v>1412</v>
      </c>
      <c r="S349" s="1">
        <v>46043</v>
      </c>
      <c r="W349" s="1">
        <v>33046</v>
      </c>
      <c r="X349" t="s">
        <v>2192</v>
      </c>
      <c r="Z349" t="s">
        <v>1414</v>
      </c>
      <c r="AA349" t="s">
        <v>1419</v>
      </c>
      <c r="AB349" t="s">
        <v>1232</v>
      </c>
      <c r="AC349">
        <v>47991364484</v>
      </c>
      <c r="AD349" t="str">
        <f>_xlfn.XLOOKUP(F349,'Base de Tutores'!L:L,'Base de Tutores'!F:F)</f>
        <v>EMF-ISN</v>
      </c>
    </row>
    <row r="350" spans="1:30" hidden="1" x14ac:dyDescent="0.3">
      <c r="A350" t="s">
        <v>1405</v>
      </c>
      <c r="B350" t="s">
        <v>1406</v>
      </c>
      <c r="C350" t="s">
        <v>2193</v>
      </c>
      <c r="D350">
        <v>6221098122</v>
      </c>
      <c r="E350">
        <v>28049284</v>
      </c>
      <c r="F350">
        <v>1158000687</v>
      </c>
      <c r="G350" s="1">
        <v>45754</v>
      </c>
      <c r="H350" t="s">
        <v>1350</v>
      </c>
      <c r="I350" t="s">
        <v>1349</v>
      </c>
      <c r="J350" t="s">
        <v>1363</v>
      </c>
      <c r="K350" t="s">
        <v>1353</v>
      </c>
      <c r="L350" t="s">
        <v>1408</v>
      </c>
      <c r="M350" t="s">
        <v>1409</v>
      </c>
      <c r="N350" t="s">
        <v>1410</v>
      </c>
      <c r="O350" t="s">
        <v>1411</v>
      </c>
      <c r="P350" t="s">
        <v>1411</v>
      </c>
      <c r="Q350" t="s">
        <v>1412</v>
      </c>
      <c r="S350" s="1">
        <v>46085</v>
      </c>
      <c r="V350" s="1">
        <v>46082</v>
      </c>
      <c r="W350" s="1">
        <v>36066</v>
      </c>
      <c r="X350" t="s">
        <v>2194</v>
      </c>
      <c r="Z350" t="s">
        <v>1414</v>
      </c>
      <c r="AA350" t="s">
        <v>1419</v>
      </c>
      <c r="AB350" t="s">
        <v>181</v>
      </c>
      <c r="AC350">
        <v>67993231126</v>
      </c>
      <c r="AD350" t="str">
        <f>_xlfn.XLOOKUP(F350,'Base de Tutores'!L:L,'Base de Tutores'!F:F)</f>
        <v>EMF-ISN</v>
      </c>
    </row>
    <row r="351" spans="1:30" hidden="1" x14ac:dyDescent="0.3">
      <c r="A351" t="s">
        <v>1405</v>
      </c>
      <c r="B351" t="s">
        <v>1406</v>
      </c>
      <c r="C351" t="s">
        <v>2195</v>
      </c>
      <c r="D351">
        <v>10659468484</v>
      </c>
      <c r="E351">
        <v>3877742</v>
      </c>
      <c r="F351">
        <v>1158000570</v>
      </c>
      <c r="G351" s="1">
        <v>45735</v>
      </c>
      <c r="H351" t="s">
        <v>1350</v>
      </c>
      <c r="I351" t="s">
        <v>1374</v>
      </c>
      <c r="J351" t="s">
        <v>1427</v>
      </c>
      <c r="K351" t="s">
        <v>1356</v>
      </c>
      <c r="L351" t="s">
        <v>1408</v>
      </c>
      <c r="M351" t="s">
        <v>1421</v>
      </c>
      <c r="N351" t="s">
        <v>1422</v>
      </c>
      <c r="O351" t="s">
        <v>1423</v>
      </c>
      <c r="P351" t="s">
        <v>1423</v>
      </c>
      <c r="Q351" t="s">
        <v>1412</v>
      </c>
      <c r="S351" s="1">
        <v>46043</v>
      </c>
      <c r="W351" s="1">
        <v>34681</v>
      </c>
      <c r="X351" t="s">
        <v>2196</v>
      </c>
      <c r="Z351" t="s">
        <v>1414</v>
      </c>
      <c r="AA351" t="s">
        <v>1419</v>
      </c>
      <c r="AB351" t="s">
        <v>452</v>
      </c>
      <c r="AC351">
        <v>83986108476</v>
      </c>
      <c r="AD351" t="str">
        <f>_xlfn.XLOOKUP(F351,'Base de Tutores'!L:L,'Base de Tutores'!F:F)</f>
        <v>EMF-ISN</v>
      </c>
    </row>
    <row r="352" spans="1:30" hidden="1" x14ac:dyDescent="0.3">
      <c r="A352" t="s">
        <v>1405</v>
      </c>
      <c r="B352" t="s">
        <v>1406</v>
      </c>
      <c r="C352" t="s">
        <v>2197</v>
      </c>
      <c r="D352">
        <v>156650207</v>
      </c>
      <c r="E352">
        <v>7551558</v>
      </c>
      <c r="F352">
        <v>1158001012</v>
      </c>
      <c r="G352" s="1">
        <v>45931</v>
      </c>
      <c r="H352" t="s">
        <v>1350</v>
      </c>
      <c r="I352" t="s">
        <v>1349</v>
      </c>
      <c r="J352" t="s">
        <v>1363</v>
      </c>
      <c r="K352" t="s">
        <v>1353</v>
      </c>
      <c r="L352" t="s">
        <v>1408</v>
      </c>
      <c r="M352" t="s">
        <v>1447</v>
      </c>
      <c r="N352" t="s">
        <v>1448</v>
      </c>
      <c r="O352" t="s">
        <v>1423</v>
      </c>
      <c r="P352" t="s">
        <v>1423</v>
      </c>
      <c r="Q352" t="s">
        <v>1412</v>
      </c>
      <c r="S352" s="1">
        <v>46043</v>
      </c>
      <c r="V352" s="1">
        <v>46038</v>
      </c>
      <c r="W352" s="1">
        <v>36797</v>
      </c>
      <c r="X352" t="s">
        <v>1492</v>
      </c>
      <c r="Z352" t="s">
        <v>1414</v>
      </c>
      <c r="AA352" t="s">
        <v>1419</v>
      </c>
      <c r="AB352" t="s">
        <v>1122</v>
      </c>
      <c r="AC352">
        <v>91982538250</v>
      </c>
      <c r="AD352" t="str">
        <f>_xlfn.XLOOKUP(F352,'Base de Tutores'!L:L,'Base de Tutores'!F:F)</f>
        <v>BFR</v>
      </c>
    </row>
    <row r="353" spans="1:30" hidden="1" x14ac:dyDescent="0.3">
      <c r="A353" t="s">
        <v>1405</v>
      </c>
      <c r="B353" t="s">
        <v>1406</v>
      </c>
      <c r="C353" t="s">
        <v>2198</v>
      </c>
      <c r="D353">
        <v>1856342140</v>
      </c>
      <c r="E353" t="s">
        <v>2199</v>
      </c>
      <c r="F353">
        <v>1158001051</v>
      </c>
      <c r="G353" s="1">
        <v>45964</v>
      </c>
      <c r="H353" t="s">
        <v>1350</v>
      </c>
      <c r="I353" t="s">
        <v>1349</v>
      </c>
      <c r="J353" t="s">
        <v>1363</v>
      </c>
      <c r="K353" t="s">
        <v>1353</v>
      </c>
      <c r="L353" t="s">
        <v>1408</v>
      </c>
      <c r="M353" t="s">
        <v>1421</v>
      </c>
      <c r="N353" t="s">
        <v>1422</v>
      </c>
      <c r="O353" t="s">
        <v>1411</v>
      </c>
      <c r="P353" t="s">
        <v>1411</v>
      </c>
      <c r="Q353" t="s">
        <v>1412</v>
      </c>
      <c r="S353" s="1">
        <v>46066</v>
      </c>
      <c r="V353" s="1">
        <v>46065</v>
      </c>
      <c r="W353" s="1">
        <v>31947</v>
      </c>
      <c r="X353" t="s">
        <v>2200</v>
      </c>
      <c r="Z353" t="s">
        <v>1414</v>
      </c>
      <c r="AA353" t="s">
        <v>1419</v>
      </c>
      <c r="AB353" t="s">
        <v>1219</v>
      </c>
      <c r="AC353">
        <v>65999153002</v>
      </c>
      <c r="AD353" t="str">
        <f>_xlfn.XLOOKUP(F353,'Base de Tutores'!L:L,'Base de Tutores'!F:F)</f>
        <v>BFI</v>
      </c>
    </row>
    <row r="354" spans="1:30" hidden="1" x14ac:dyDescent="0.3">
      <c r="A354" t="s">
        <v>1405</v>
      </c>
      <c r="B354" t="s">
        <v>1406</v>
      </c>
      <c r="C354" t="s">
        <v>2201</v>
      </c>
      <c r="D354">
        <v>20014065843</v>
      </c>
      <c r="E354" t="s">
        <v>2202</v>
      </c>
      <c r="F354">
        <v>1158000953</v>
      </c>
      <c r="G354" s="1">
        <v>45901</v>
      </c>
      <c r="H354" t="s">
        <v>1350</v>
      </c>
      <c r="I354" t="s">
        <v>1349</v>
      </c>
      <c r="J354" t="s">
        <v>1363</v>
      </c>
      <c r="K354" t="s">
        <v>1353</v>
      </c>
      <c r="L354" t="s">
        <v>1408</v>
      </c>
      <c r="M354" t="s">
        <v>1447</v>
      </c>
      <c r="N354" t="s">
        <v>1448</v>
      </c>
      <c r="O354" t="s">
        <v>1423</v>
      </c>
      <c r="P354" t="s">
        <v>1423</v>
      </c>
      <c r="Q354" t="s">
        <v>1412</v>
      </c>
      <c r="S354" s="1">
        <v>46045</v>
      </c>
      <c r="V354" s="1">
        <v>46042</v>
      </c>
      <c r="W354" s="1">
        <v>27430</v>
      </c>
      <c r="X354" t="s">
        <v>2203</v>
      </c>
      <c r="Y354" t="s">
        <v>2204</v>
      </c>
      <c r="Z354" t="s">
        <v>1414</v>
      </c>
      <c r="AA354" t="s">
        <v>1415</v>
      </c>
      <c r="AB354" t="s">
        <v>1032</v>
      </c>
      <c r="AC354">
        <v>69999997327</v>
      </c>
      <c r="AD354" t="str">
        <f>_xlfn.XLOOKUP(F354,'Base de Tutores'!L:L,'Base de Tutores'!F:F)</f>
        <v>BFR</v>
      </c>
    </row>
    <row r="355" spans="1:30" hidden="1" x14ac:dyDescent="0.3">
      <c r="A355" t="s">
        <v>1405</v>
      </c>
      <c r="B355" t="s">
        <v>1406</v>
      </c>
      <c r="C355" t="s">
        <v>2205</v>
      </c>
      <c r="D355">
        <v>56326475015</v>
      </c>
      <c r="E355">
        <v>1034502441</v>
      </c>
      <c r="F355">
        <v>1158000787</v>
      </c>
      <c r="G355" s="1">
        <v>45873</v>
      </c>
      <c r="H355" t="s">
        <v>1350</v>
      </c>
      <c r="I355" t="s">
        <v>1374</v>
      </c>
      <c r="J355" t="s">
        <v>1427</v>
      </c>
      <c r="K355" t="s">
        <v>1356</v>
      </c>
      <c r="L355" t="s">
        <v>1408</v>
      </c>
      <c r="M355" t="s">
        <v>1409</v>
      </c>
      <c r="N355" t="s">
        <v>1410</v>
      </c>
      <c r="O355" t="s">
        <v>1423</v>
      </c>
      <c r="P355" t="s">
        <v>1423</v>
      </c>
      <c r="Q355" t="s">
        <v>1412</v>
      </c>
      <c r="S355" s="1">
        <v>46043</v>
      </c>
      <c r="W355" s="1">
        <v>25237</v>
      </c>
      <c r="X355" t="s">
        <v>1485</v>
      </c>
      <c r="Z355" t="s">
        <v>1414</v>
      </c>
      <c r="AA355" t="s">
        <v>1415</v>
      </c>
      <c r="AB355" t="s">
        <v>821</v>
      </c>
      <c r="AC355">
        <v>51996967825</v>
      </c>
      <c r="AD355" t="str">
        <f>_xlfn.XLOOKUP(F355,'Base de Tutores'!L:L,'Base de Tutores'!F:F)</f>
        <v>ECE-ENM-ENS-ENG-EEA-GPI-CDE-OBR-SAN-TER-FSA-SLF-QUI</v>
      </c>
    </row>
    <row r="356" spans="1:30" hidden="1" x14ac:dyDescent="0.3">
      <c r="A356" t="s">
        <v>1405</v>
      </c>
      <c r="B356" t="s">
        <v>1406</v>
      </c>
      <c r="C356" t="s">
        <v>2206</v>
      </c>
      <c r="D356">
        <v>2623642710</v>
      </c>
      <c r="E356" t="s">
        <v>2207</v>
      </c>
      <c r="F356">
        <v>1158000957</v>
      </c>
      <c r="G356" s="1">
        <v>45901</v>
      </c>
      <c r="H356" t="s">
        <v>1350</v>
      </c>
      <c r="I356" t="s">
        <v>1374</v>
      </c>
      <c r="J356" t="s">
        <v>1363</v>
      </c>
      <c r="K356" t="s">
        <v>1353</v>
      </c>
      <c r="L356" t="s">
        <v>1408</v>
      </c>
      <c r="M356" t="s">
        <v>1409</v>
      </c>
      <c r="N356" t="s">
        <v>1410</v>
      </c>
      <c r="O356" t="s">
        <v>1411</v>
      </c>
      <c r="P356" t="s">
        <v>1411</v>
      </c>
      <c r="Q356" t="s">
        <v>1412</v>
      </c>
      <c r="S356" s="1">
        <v>46043</v>
      </c>
      <c r="W356" s="1">
        <v>26781</v>
      </c>
      <c r="X356" t="s">
        <v>1721</v>
      </c>
      <c r="Z356" t="s">
        <v>1414</v>
      </c>
      <c r="AA356" t="s">
        <v>1419</v>
      </c>
      <c r="AB356" t="s">
        <v>1058</v>
      </c>
      <c r="AC356">
        <v>21998957606</v>
      </c>
      <c r="AD356" t="str">
        <f>_xlfn.XLOOKUP(F356,'Base de Tutores'!L:L,'Base de Tutores'!F:F)</f>
        <v>COS-TIP</v>
      </c>
    </row>
    <row r="357" spans="1:30" hidden="1" x14ac:dyDescent="0.3">
      <c r="A357" t="s">
        <v>1405</v>
      </c>
      <c r="B357" t="s">
        <v>1406</v>
      </c>
      <c r="C357" t="s">
        <v>2208</v>
      </c>
      <c r="D357">
        <v>88613364420</v>
      </c>
      <c r="E357" s="3">
        <v>1349892</v>
      </c>
      <c r="F357">
        <v>1158000981</v>
      </c>
      <c r="G357" s="1">
        <v>45915</v>
      </c>
      <c r="H357" t="s">
        <v>1350</v>
      </c>
      <c r="I357" t="s">
        <v>1374</v>
      </c>
      <c r="J357" t="s">
        <v>1363</v>
      </c>
      <c r="K357" t="s">
        <v>1353</v>
      </c>
      <c r="L357" t="s">
        <v>1408</v>
      </c>
      <c r="M357" t="s">
        <v>1409</v>
      </c>
      <c r="N357" t="s">
        <v>1410</v>
      </c>
      <c r="O357" t="s">
        <v>1423</v>
      </c>
      <c r="P357" t="s">
        <v>1423</v>
      </c>
      <c r="Q357" t="s">
        <v>1412</v>
      </c>
      <c r="S357" s="1">
        <v>46043</v>
      </c>
      <c r="W357" s="1">
        <v>26560</v>
      </c>
      <c r="X357" t="s">
        <v>1517</v>
      </c>
      <c r="Z357" t="s">
        <v>1414</v>
      </c>
      <c r="AA357" t="s">
        <v>1419</v>
      </c>
      <c r="AB357" t="s">
        <v>1109</v>
      </c>
      <c r="AC357">
        <v>79996073129</v>
      </c>
      <c r="AD357" t="str">
        <f>_xlfn.XLOOKUP(F357,'Base de Tutores'!L:L,'Base de Tutores'!F:F)</f>
        <v>BFR</v>
      </c>
    </row>
    <row r="358" spans="1:30" hidden="1" x14ac:dyDescent="0.3">
      <c r="A358" t="s">
        <v>1405</v>
      </c>
      <c r="B358" t="s">
        <v>1406</v>
      </c>
      <c r="C358" t="s">
        <v>2209</v>
      </c>
      <c r="D358">
        <v>70935998004</v>
      </c>
      <c r="E358">
        <v>1057283069</v>
      </c>
      <c r="F358">
        <v>1158000530</v>
      </c>
      <c r="G358" s="1">
        <v>45721</v>
      </c>
      <c r="H358" t="s">
        <v>1350</v>
      </c>
      <c r="I358" t="s">
        <v>1349</v>
      </c>
      <c r="J358" t="s">
        <v>1633</v>
      </c>
      <c r="K358" t="s">
        <v>1351</v>
      </c>
      <c r="L358" t="s">
        <v>1408</v>
      </c>
      <c r="M358" t="s">
        <v>1409</v>
      </c>
      <c r="N358" t="s">
        <v>1410</v>
      </c>
      <c r="O358" t="s">
        <v>1423</v>
      </c>
      <c r="P358" t="s">
        <v>1423</v>
      </c>
      <c r="Q358" t="s">
        <v>1412</v>
      </c>
      <c r="S358" s="1">
        <v>45756</v>
      </c>
      <c r="V358" s="1">
        <v>45754</v>
      </c>
      <c r="W358" s="1">
        <v>27057</v>
      </c>
      <c r="X358" t="s">
        <v>1485</v>
      </c>
      <c r="Z358" t="s">
        <v>1414</v>
      </c>
      <c r="AA358" t="s">
        <v>1419</v>
      </c>
      <c r="AB358" t="s">
        <v>2210</v>
      </c>
      <c r="AC358">
        <v>51996556926</v>
      </c>
      <c r="AD358" t="str">
        <f>_xlfn.XLOOKUP(F358,'Base de Tutores'!L:L,'Base de Tutores'!F:F)</f>
        <v>EMF-ISN</v>
      </c>
    </row>
    <row r="359" spans="1:30" hidden="1" x14ac:dyDescent="0.3">
      <c r="A359" t="s">
        <v>1405</v>
      </c>
      <c r="B359" t="s">
        <v>1406</v>
      </c>
      <c r="C359" t="s">
        <v>2211</v>
      </c>
      <c r="D359">
        <v>27330932825</v>
      </c>
      <c r="E359" t="s">
        <v>2212</v>
      </c>
      <c r="F359">
        <v>1158000834</v>
      </c>
      <c r="G359" s="1">
        <v>45873</v>
      </c>
      <c r="H359" t="s">
        <v>1350</v>
      </c>
      <c r="I359" t="s">
        <v>1374</v>
      </c>
      <c r="J359" t="s">
        <v>1363</v>
      </c>
      <c r="K359" t="s">
        <v>1353</v>
      </c>
      <c r="L359" t="s">
        <v>1408</v>
      </c>
      <c r="M359" t="s">
        <v>1409</v>
      </c>
      <c r="N359" t="s">
        <v>1422</v>
      </c>
      <c r="O359" t="s">
        <v>1423</v>
      </c>
      <c r="P359" t="s">
        <v>1423</v>
      </c>
      <c r="Q359" t="s">
        <v>1593</v>
      </c>
      <c r="S359" s="1">
        <v>46043</v>
      </c>
      <c r="W359" s="1">
        <v>28587</v>
      </c>
      <c r="X359" t="s">
        <v>2213</v>
      </c>
      <c r="Z359" t="s">
        <v>1414</v>
      </c>
      <c r="AA359" t="s">
        <v>1419</v>
      </c>
      <c r="AB359" t="s">
        <v>824</v>
      </c>
      <c r="AC359">
        <v>11918797770</v>
      </c>
      <c r="AD359" t="str">
        <f>_xlfn.XLOOKUP(F359,'Base de Tutores'!L:L,'Base de Tutores'!F:F)</f>
        <v>BFR</v>
      </c>
    </row>
    <row r="360" spans="1:30" hidden="1" x14ac:dyDescent="0.3">
      <c r="A360" t="s">
        <v>1405</v>
      </c>
      <c r="B360" t="s">
        <v>1406</v>
      </c>
      <c r="C360" t="s">
        <v>2214</v>
      </c>
      <c r="D360">
        <v>77938283053</v>
      </c>
      <c r="E360">
        <v>1070011315</v>
      </c>
      <c r="F360">
        <v>1158000861</v>
      </c>
      <c r="G360" s="1">
        <v>45880</v>
      </c>
      <c r="H360" t="s">
        <v>1350</v>
      </c>
      <c r="I360" t="s">
        <v>1374</v>
      </c>
      <c r="J360" t="s">
        <v>1363</v>
      </c>
      <c r="K360" t="s">
        <v>1353</v>
      </c>
      <c r="L360" t="s">
        <v>1408</v>
      </c>
      <c r="M360" t="s">
        <v>1409</v>
      </c>
      <c r="N360" t="s">
        <v>1410</v>
      </c>
      <c r="O360" t="s">
        <v>1423</v>
      </c>
      <c r="P360" t="s">
        <v>1423</v>
      </c>
      <c r="Q360" t="s">
        <v>1412</v>
      </c>
      <c r="S360" s="1">
        <v>46043</v>
      </c>
      <c r="W360" s="1">
        <v>28329</v>
      </c>
      <c r="X360" t="s">
        <v>2215</v>
      </c>
      <c r="Z360" t="s">
        <v>1414</v>
      </c>
      <c r="AA360" t="s">
        <v>1419</v>
      </c>
      <c r="AB360" t="s">
        <v>879</v>
      </c>
      <c r="AC360">
        <v>5182627000</v>
      </c>
      <c r="AD360" t="str">
        <f>_xlfn.XLOOKUP(F360,'Base de Tutores'!L:L,'Base de Tutores'!F:F)</f>
        <v>BFI</v>
      </c>
    </row>
    <row r="361" spans="1:30" hidden="1" x14ac:dyDescent="0.3">
      <c r="A361" t="s">
        <v>1405</v>
      </c>
      <c r="B361" t="s">
        <v>1406</v>
      </c>
      <c r="C361" t="s">
        <v>2216</v>
      </c>
      <c r="D361">
        <v>663202086</v>
      </c>
      <c r="E361">
        <v>9076614214</v>
      </c>
      <c r="F361">
        <v>1158001001</v>
      </c>
      <c r="G361" s="1">
        <v>45931</v>
      </c>
      <c r="H361" t="s">
        <v>1350</v>
      </c>
      <c r="I361" t="s">
        <v>1349</v>
      </c>
      <c r="J361" t="s">
        <v>1363</v>
      </c>
      <c r="K361" t="s">
        <v>1353</v>
      </c>
      <c r="L361" t="s">
        <v>1408</v>
      </c>
      <c r="M361" t="s">
        <v>1447</v>
      </c>
      <c r="N361" t="s">
        <v>1448</v>
      </c>
      <c r="O361" t="s">
        <v>1423</v>
      </c>
      <c r="P361" t="s">
        <v>1423</v>
      </c>
      <c r="Q361" t="s">
        <v>1412</v>
      </c>
      <c r="S361" s="1">
        <v>46061</v>
      </c>
      <c r="V361" s="1">
        <v>46057</v>
      </c>
      <c r="W361" s="1">
        <v>31176</v>
      </c>
      <c r="X361" t="s">
        <v>2217</v>
      </c>
      <c r="Z361" t="s">
        <v>1414</v>
      </c>
      <c r="AA361" t="s">
        <v>1419</v>
      </c>
      <c r="AB361" t="s">
        <v>894</v>
      </c>
      <c r="AC361">
        <v>51999786833</v>
      </c>
      <c r="AD361" t="str">
        <f>_xlfn.XLOOKUP(F361,'Base de Tutores'!L:L,'Base de Tutores'!F:F)</f>
        <v>EMF-ISN</v>
      </c>
    </row>
    <row r="362" spans="1:30" hidden="1" x14ac:dyDescent="0.3">
      <c r="A362" t="s">
        <v>1405</v>
      </c>
      <c r="B362" t="s">
        <v>1406</v>
      </c>
      <c r="C362" t="s">
        <v>2218</v>
      </c>
      <c r="D362">
        <v>83655328087</v>
      </c>
      <c r="E362">
        <v>5083730035</v>
      </c>
      <c r="F362">
        <v>1158000898</v>
      </c>
      <c r="G362" s="1">
        <v>45887</v>
      </c>
      <c r="H362" t="s">
        <v>1350</v>
      </c>
      <c r="I362" t="s">
        <v>1374</v>
      </c>
      <c r="J362" t="s">
        <v>1363</v>
      </c>
      <c r="K362" t="s">
        <v>1353</v>
      </c>
      <c r="L362" t="s">
        <v>1408</v>
      </c>
      <c r="M362" t="s">
        <v>1409</v>
      </c>
      <c r="N362" t="s">
        <v>1410</v>
      </c>
      <c r="O362" t="s">
        <v>1423</v>
      </c>
      <c r="P362" t="s">
        <v>1423</v>
      </c>
      <c r="Q362" t="s">
        <v>1412</v>
      </c>
      <c r="S362" s="1">
        <v>46043</v>
      </c>
      <c r="W362" s="1">
        <v>32060</v>
      </c>
      <c r="X362" t="s">
        <v>2219</v>
      </c>
      <c r="Y362" t="s">
        <v>2220</v>
      </c>
      <c r="Z362" t="s">
        <v>1414</v>
      </c>
      <c r="AA362" t="s">
        <v>1419</v>
      </c>
      <c r="AB362" t="s">
        <v>971</v>
      </c>
      <c r="AC362">
        <v>51984340191</v>
      </c>
      <c r="AD362" t="str">
        <f>_xlfn.XLOOKUP(F362,'Base de Tutores'!L:L,'Base de Tutores'!F:F)</f>
        <v>COS-TIP</v>
      </c>
    </row>
    <row r="363" spans="1:30" hidden="1" x14ac:dyDescent="0.3">
      <c r="A363" t="s">
        <v>1405</v>
      </c>
      <c r="B363" t="s">
        <v>1406</v>
      </c>
      <c r="C363" t="s">
        <v>2221</v>
      </c>
      <c r="D363">
        <v>1880006588</v>
      </c>
      <c r="E363" t="s">
        <v>2222</v>
      </c>
      <c r="F363">
        <v>1158000563</v>
      </c>
      <c r="G363" s="1">
        <v>45733</v>
      </c>
      <c r="H363" t="s">
        <v>1350</v>
      </c>
      <c r="I363" t="s">
        <v>1349</v>
      </c>
      <c r="J363" t="s">
        <v>1363</v>
      </c>
      <c r="K363" t="s">
        <v>1353</v>
      </c>
      <c r="L363" t="s">
        <v>1408</v>
      </c>
      <c r="M363" t="s">
        <v>1409</v>
      </c>
      <c r="N363" t="s">
        <v>1410</v>
      </c>
      <c r="O363" t="s">
        <v>1462</v>
      </c>
      <c r="P363" t="s">
        <v>1417</v>
      </c>
      <c r="Q363" t="s">
        <v>1412</v>
      </c>
      <c r="S363" s="1">
        <v>45910</v>
      </c>
      <c r="V363" s="1">
        <v>45909</v>
      </c>
      <c r="W363" s="1">
        <v>31507</v>
      </c>
      <c r="X363" t="s">
        <v>2223</v>
      </c>
      <c r="Z363" t="s">
        <v>1414</v>
      </c>
      <c r="AA363" t="s">
        <v>1419</v>
      </c>
      <c r="AB363" t="s">
        <v>1140</v>
      </c>
      <c r="AC363">
        <v>75991156420</v>
      </c>
      <c r="AD363" t="str">
        <f>_xlfn.XLOOKUP(F363,'Base de Tutores'!L:L,'Base de Tutores'!F:F)</f>
        <v>EMF-ISN</v>
      </c>
    </row>
    <row r="364" spans="1:30" hidden="1" x14ac:dyDescent="0.3">
      <c r="A364" t="s">
        <v>1405</v>
      </c>
      <c r="B364" t="s">
        <v>1406</v>
      </c>
      <c r="C364" t="s">
        <v>2224</v>
      </c>
      <c r="D364">
        <v>73403377172</v>
      </c>
      <c r="E364">
        <v>15354490</v>
      </c>
      <c r="F364">
        <v>1158000587</v>
      </c>
      <c r="G364" s="1">
        <v>45735</v>
      </c>
      <c r="H364" t="s">
        <v>1350</v>
      </c>
      <c r="I364" t="s">
        <v>1349</v>
      </c>
      <c r="J364" t="s">
        <v>1427</v>
      </c>
      <c r="K364" t="s">
        <v>1356</v>
      </c>
      <c r="L364" t="s">
        <v>1408</v>
      </c>
      <c r="M364" t="s">
        <v>1447</v>
      </c>
      <c r="N364" t="s">
        <v>1448</v>
      </c>
      <c r="O364" t="s">
        <v>1411</v>
      </c>
      <c r="P364" t="s">
        <v>1411</v>
      </c>
      <c r="Q364" t="s">
        <v>1412</v>
      </c>
      <c r="S364" s="1">
        <v>45824</v>
      </c>
      <c r="V364" s="1">
        <v>45820</v>
      </c>
      <c r="W364" s="1">
        <v>31869</v>
      </c>
      <c r="X364" t="s">
        <v>1589</v>
      </c>
      <c r="Z364" t="s">
        <v>1414</v>
      </c>
      <c r="AA364" t="s">
        <v>1419</v>
      </c>
      <c r="AB364" t="s">
        <v>2225</v>
      </c>
      <c r="AC364">
        <v>66996342798</v>
      </c>
      <c r="AD364" t="str">
        <f>_xlfn.XLOOKUP(F364,'Base de Tutores'!L:L,'Base de Tutores'!F:F)</f>
        <v>EMF-ISN</v>
      </c>
    </row>
    <row r="365" spans="1:30" hidden="1" x14ac:dyDescent="0.3">
      <c r="A365" t="s">
        <v>1405</v>
      </c>
      <c r="B365" t="s">
        <v>1406</v>
      </c>
      <c r="C365" t="s">
        <v>2226</v>
      </c>
      <c r="D365">
        <v>12295870712</v>
      </c>
      <c r="E365">
        <v>217377613</v>
      </c>
      <c r="F365">
        <v>1158000971</v>
      </c>
      <c r="G365" s="1">
        <v>45915</v>
      </c>
      <c r="H365" t="s">
        <v>1350</v>
      </c>
      <c r="I365" t="s">
        <v>1349</v>
      </c>
      <c r="J365" t="s">
        <v>1363</v>
      </c>
      <c r="K365" t="s">
        <v>1353</v>
      </c>
      <c r="L365" t="s">
        <v>1408</v>
      </c>
      <c r="M365" t="s">
        <v>1409</v>
      </c>
      <c r="N365" t="s">
        <v>1410</v>
      </c>
      <c r="O365" t="s">
        <v>1411</v>
      </c>
      <c r="P365" t="s">
        <v>1411</v>
      </c>
      <c r="Q365" t="s">
        <v>1412</v>
      </c>
      <c r="S365" s="1">
        <v>46045</v>
      </c>
      <c r="V365" s="1">
        <v>46042</v>
      </c>
      <c r="W365" s="1">
        <v>32375</v>
      </c>
      <c r="X365" t="s">
        <v>2227</v>
      </c>
      <c r="Z365" t="s">
        <v>1414</v>
      </c>
      <c r="AA365" t="s">
        <v>1419</v>
      </c>
      <c r="AB365" t="s">
        <v>1096</v>
      </c>
      <c r="AC365">
        <v>21994093161</v>
      </c>
      <c r="AD365" t="str">
        <f>_xlfn.XLOOKUP(F365,'Base de Tutores'!L:L,'Base de Tutores'!F:F)</f>
        <v>BFR</v>
      </c>
    </row>
    <row r="366" spans="1:30" hidden="1" x14ac:dyDescent="0.3">
      <c r="A366" t="s">
        <v>1405</v>
      </c>
      <c r="B366" t="s">
        <v>1406</v>
      </c>
      <c r="C366" t="s">
        <v>2228</v>
      </c>
      <c r="D366">
        <v>76027538287</v>
      </c>
      <c r="E366">
        <v>873531</v>
      </c>
      <c r="F366">
        <v>1158000708</v>
      </c>
      <c r="G366" s="1">
        <v>45798</v>
      </c>
      <c r="H366" t="s">
        <v>1350</v>
      </c>
      <c r="I366" t="s">
        <v>1374</v>
      </c>
      <c r="J366" t="s">
        <v>1363</v>
      </c>
      <c r="K366" t="s">
        <v>1353</v>
      </c>
      <c r="L366" t="s">
        <v>1408</v>
      </c>
      <c r="M366" t="s">
        <v>1409</v>
      </c>
      <c r="N366" t="s">
        <v>1410</v>
      </c>
      <c r="O366" t="s">
        <v>1423</v>
      </c>
      <c r="P366" t="s">
        <v>1423</v>
      </c>
      <c r="Q366" t="s">
        <v>1412</v>
      </c>
      <c r="S366" s="1">
        <v>46043</v>
      </c>
      <c r="W366" s="1">
        <v>33651</v>
      </c>
      <c r="X366" t="s">
        <v>2229</v>
      </c>
      <c r="Z366" t="s">
        <v>1414</v>
      </c>
      <c r="AA366" t="s">
        <v>1415</v>
      </c>
      <c r="AB366" t="s">
        <v>67</v>
      </c>
      <c r="AC366">
        <v>69999789575</v>
      </c>
      <c r="AD366" t="str">
        <f>_xlfn.XLOOKUP(F366,'Base de Tutores'!L:L,'Base de Tutores'!F:F)</f>
        <v>EMF-ISN</v>
      </c>
    </row>
    <row r="367" spans="1:30" hidden="1" x14ac:dyDescent="0.3">
      <c r="A367" t="s">
        <v>1405</v>
      </c>
      <c r="B367" t="s">
        <v>1406</v>
      </c>
      <c r="C367" t="s">
        <v>2230</v>
      </c>
      <c r="D367">
        <v>34897284830</v>
      </c>
      <c r="E367">
        <v>436607931</v>
      </c>
      <c r="F367">
        <v>1158000608</v>
      </c>
      <c r="G367" s="1">
        <v>45782</v>
      </c>
      <c r="H367" t="s">
        <v>1350</v>
      </c>
      <c r="I367" t="s">
        <v>1374</v>
      </c>
      <c r="J367" t="s">
        <v>1363</v>
      </c>
      <c r="K367" t="s">
        <v>1353</v>
      </c>
      <c r="L367" t="s">
        <v>1408</v>
      </c>
      <c r="M367" t="s">
        <v>1409</v>
      </c>
      <c r="N367" t="s">
        <v>1410</v>
      </c>
      <c r="O367" t="s">
        <v>1411</v>
      </c>
      <c r="P367" t="s">
        <v>1411</v>
      </c>
      <c r="Q367" t="s">
        <v>1412</v>
      </c>
      <c r="S367" s="1">
        <v>46118</v>
      </c>
      <c r="W367" s="1">
        <v>32043</v>
      </c>
      <c r="X367" t="s">
        <v>1510</v>
      </c>
      <c r="Z367" t="s">
        <v>1414</v>
      </c>
      <c r="AA367" t="s">
        <v>1419</v>
      </c>
      <c r="AB367" t="s">
        <v>1073</v>
      </c>
      <c r="AC367">
        <v>12981461601</v>
      </c>
      <c r="AD367" t="str">
        <f>_xlfn.XLOOKUP(F367,'Base de Tutores'!L:L,'Base de Tutores'!F:F)</f>
        <v>EMF-ISN</v>
      </c>
    </row>
    <row r="368" spans="1:30" hidden="1" x14ac:dyDescent="0.3">
      <c r="A368" t="s">
        <v>1405</v>
      </c>
      <c r="B368" t="s">
        <v>1406</v>
      </c>
      <c r="C368" t="s">
        <v>2231</v>
      </c>
      <c r="D368">
        <v>2945825171</v>
      </c>
      <c r="E368">
        <v>2793995</v>
      </c>
      <c r="F368">
        <v>1158000678</v>
      </c>
      <c r="G368" s="1">
        <v>45754</v>
      </c>
      <c r="H368" t="s">
        <v>1350</v>
      </c>
      <c r="I368" t="s">
        <v>1374</v>
      </c>
      <c r="J368" t="s">
        <v>1696</v>
      </c>
      <c r="K368" t="s">
        <v>1354</v>
      </c>
      <c r="L368" t="s">
        <v>1408</v>
      </c>
      <c r="M368" t="s">
        <v>1421</v>
      </c>
      <c r="N368" t="s">
        <v>1422</v>
      </c>
      <c r="O368" t="s">
        <v>1411</v>
      </c>
      <c r="P368" t="s">
        <v>1462</v>
      </c>
      <c r="Q368" t="s">
        <v>1412</v>
      </c>
      <c r="S368" s="1">
        <v>46043</v>
      </c>
      <c r="W368" s="1">
        <v>36207</v>
      </c>
      <c r="X368" t="s">
        <v>2232</v>
      </c>
      <c r="Y368" t="s">
        <v>2233</v>
      </c>
      <c r="Z368" t="s">
        <v>1414</v>
      </c>
      <c r="AA368" t="s">
        <v>1419</v>
      </c>
      <c r="AB368" t="s">
        <v>137</v>
      </c>
      <c r="AC368">
        <v>61992733660</v>
      </c>
      <c r="AD368" t="str">
        <f>_xlfn.XLOOKUP(F368,'Base de Tutores'!L:L,'Base de Tutores'!F:F)</f>
        <v>EMF-ISN</v>
      </c>
    </row>
    <row r="369" spans="1:30" hidden="1" x14ac:dyDescent="0.3">
      <c r="A369" t="s">
        <v>1405</v>
      </c>
      <c r="B369" t="s">
        <v>1406</v>
      </c>
      <c r="C369" t="s">
        <v>2234</v>
      </c>
      <c r="D369">
        <v>8022547999</v>
      </c>
      <c r="E369">
        <v>136470434</v>
      </c>
      <c r="F369">
        <v>1158000965</v>
      </c>
      <c r="G369" s="1">
        <v>45910</v>
      </c>
      <c r="H369" t="s">
        <v>1350</v>
      </c>
      <c r="I369" t="s">
        <v>1349</v>
      </c>
      <c r="J369" t="s">
        <v>1363</v>
      </c>
      <c r="K369" t="s">
        <v>1353</v>
      </c>
      <c r="L369" t="s">
        <v>1408</v>
      </c>
      <c r="M369" t="s">
        <v>1409</v>
      </c>
      <c r="N369" t="s">
        <v>1410</v>
      </c>
      <c r="O369" t="s">
        <v>1423</v>
      </c>
      <c r="P369" t="s">
        <v>1423</v>
      </c>
      <c r="Q369" t="s">
        <v>1412</v>
      </c>
      <c r="S369" s="1">
        <v>45966</v>
      </c>
      <c r="V369" s="1">
        <v>45962</v>
      </c>
      <c r="W369" s="1">
        <v>35606</v>
      </c>
      <c r="X369" t="s">
        <v>1817</v>
      </c>
      <c r="Z369" t="s">
        <v>1414</v>
      </c>
      <c r="AA369" t="s">
        <v>1419</v>
      </c>
      <c r="AB369" t="s">
        <v>1303</v>
      </c>
      <c r="AC369">
        <v>44998719609</v>
      </c>
      <c r="AD369" t="str">
        <f>_xlfn.XLOOKUP(F369,'Base de Tutores'!L:L,'Base de Tutores'!F:F)</f>
        <v>EMF-ISN</v>
      </c>
    </row>
    <row r="370" spans="1:30" hidden="1" x14ac:dyDescent="0.3">
      <c r="A370" t="s">
        <v>1405</v>
      </c>
      <c r="B370" t="s">
        <v>1406</v>
      </c>
      <c r="C370" t="s">
        <v>2235</v>
      </c>
      <c r="D370">
        <v>13459221755</v>
      </c>
      <c r="E370" t="s">
        <v>2236</v>
      </c>
      <c r="F370">
        <v>1158001021</v>
      </c>
      <c r="G370" s="1">
        <v>45936</v>
      </c>
      <c r="H370" t="s">
        <v>1350</v>
      </c>
      <c r="I370" t="s">
        <v>1374</v>
      </c>
      <c r="J370" t="s">
        <v>1363</v>
      </c>
      <c r="K370" t="s">
        <v>1353</v>
      </c>
      <c r="L370" t="s">
        <v>1408</v>
      </c>
      <c r="M370" t="s">
        <v>1421</v>
      </c>
      <c r="N370" t="s">
        <v>1422</v>
      </c>
      <c r="O370" t="s">
        <v>1411</v>
      </c>
      <c r="P370" t="s">
        <v>1411</v>
      </c>
      <c r="Q370" t="s">
        <v>1412</v>
      </c>
      <c r="S370" s="1">
        <v>46043</v>
      </c>
      <c r="W370" s="1">
        <v>34178</v>
      </c>
      <c r="X370" t="s">
        <v>1721</v>
      </c>
      <c r="Z370" t="s">
        <v>1414</v>
      </c>
      <c r="AA370" t="s">
        <v>1419</v>
      </c>
      <c r="AB370" t="s">
        <v>1172</v>
      </c>
      <c r="AC370">
        <v>21989095637</v>
      </c>
      <c r="AD370" t="str">
        <f>_xlfn.XLOOKUP(F370,'Base de Tutores'!L:L,'Base de Tutores'!F:F)</f>
        <v>BFI</v>
      </c>
    </row>
    <row r="371" spans="1:30" hidden="1" x14ac:dyDescent="0.3">
      <c r="A371" t="s">
        <v>1405</v>
      </c>
      <c r="B371" t="s">
        <v>1406</v>
      </c>
      <c r="C371" t="s">
        <v>2237</v>
      </c>
      <c r="D371">
        <v>53140621272</v>
      </c>
      <c r="E371">
        <v>645172</v>
      </c>
      <c r="F371">
        <v>1158001055</v>
      </c>
      <c r="G371" s="1">
        <v>45964</v>
      </c>
      <c r="H371" t="s">
        <v>1350</v>
      </c>
      <c r="I371" t="s">
        <v>1349</v>
      </c>
      <c r="J371" t="s">
        <v>1363</v>
      </c>
      <c r="K371" t="s">
        <v>1353</v>
      </c>
      <c r="L371" t="s">
        <v>1408</v>
      </c>
      <c r="M371" t="s">
        <v>1409</v>
      </c>
      <c r="N371" t="s">
        <v>1410</v>
      </c>
      <c r="O371" t="s">
        <v>1462</v>
      </c>
      <c r="P371" t="s">
        <v>1462</v>
      </c>
      <c r="Q371" t="s">
        <v>1412</v>
      </c>
      <c r="S371" s="1">
        <v>46045</v>
      </c>
      <c r="V371" s="1">
        <v>46042</v>
      </c>
      <c r="W371" s="1">
        <v>33574</v>
      </c>
      <c r="X371" t="s">
        <v>2238</v>
      </c>
      <c r="Z371" t="s">
        <v>1414</v>
      </c>
      <c r="AA371" t="s">
        <v>1415</v>
      </c>
      <c r="AB371" t="s">
        <v>1216</v>
      </c>
      <c r="AC371">
        <v>69992158229</v>
      </c>
      <c r="AD371" t="str">
        <f>_xlfn.XLOOKUP(F371,'Base de Tutores'!L:L,'Base de Tutores'!F:F)</f>
        <v>BFR</v>
      </c>
    </row>
    <row r="372" spans="1:30" hidden="1" x14ac:dyDescent="0.3">
      <c r="A372" t="s">
        <v>1405</v>
      </c>
      <c r="B372" t="s">
        <v>1406</v>
      </c>
      <c r="C372" t="s">
        <v>2239</v>
      </c>
      <c r="D372">
        <v>62620274249</v>
      </c>
      <c r="E372">
        <v>3677414</v>
      </c>
      <c r="F372">
        <v>1158000840</v>
      </c>
      <c r="G372" s="1">
        <v>45875</v>
      </c>
      <c r="H372" t="s">
        <v>1350</v>
      </c>
      <c r="I372" t="s">
        <v>1349</v>
      </c>
      <c r="J372" t="s">
        <v>1363</v>
      </c>
      <c r="K372" t="s">
        <v>1353</v>
      </c>
      <c r="L372" t="s">
        <v>1408</v>
      </c>
      <c r="M372" t="s">
        <v>1409</v>
      </c>
      <c r="N372" t="s">
        <v>1422</v>
      </c>
      <c r="O372" t="s">
        <v>1411</v>
      </c>
      <c r="P372" t="s">
        <v>1411</v>
      </c>
      <c r="Q372" t="s">
        <v>1412</v>
      </c>
      <c r="S372" s="1">
        <v>45968</v>
      </c>
      <c r="V372" s="1">
        <v>45967</v>
      </c>
      <c r="W372" s="1">
        <v>27791</v>
      </c>
      <c r="X372" t="s">
        <v>2240</v>
      </c>
      <c r="Y372" t="s">
        <v>2241</v>
      </c>
      <c r="Z372" t="s">
        <v>1414</v>
      </c>
      <c r="AA372" t="s">
        <v>1415</v>
      </c>
      <c r="AB372" t="s">
        <v>847</v>
      </c>
      <c r="AC372">
        <v>62993870196</v>
      </c>
      <c r="AD372" t="str">
        <f>_xlfn.XLOOKUP(F372,'Base de Tutores'!L:L,'Base de Tutores'!F:F)</f>
        <v>AGM</v>
      </c>
    </row>
    <row r="373" spans="1:30" hidden="1" x14ac:dyDescent="0.3">
      <c r="A373" t="s">
        <v>1405</v>
      </c>
      <c r="B373" t="s">
        <v>1406</v>
      </c>
      <c r="C373" t="s">
        <v>2242</v>
      </c>
      <c r="D373">
        <v>10361037651</v>
      </c>
      <c r="E373" s="3">
        <v>16593804</v>
      </c>
      <c r="F373">
        <v>1158000811</v>
      </c>
      <c r="G373" s="1">
        <v>45873</v>
      </c>
      <c r="H373" t="s">
        <v>1350</v>
      </c>
      <c r="I373" t="s">
        <v>1349</v>
      </c>
      <c r="J373" t="s">
        <v>1363</v>
      </c>
      <c r="K373" t="s">
        <v>1353</v>
      </c>
      <c r="L373" t="s">
        <v>1408</v>
      </c>
      <c r="M373" t="s">
        <v>1421</v>
      </c>
      <c r="N373" t="s">
        <v>1422</v>
      </c>
      <c r="O373" t="s">
        <v>1462</v>
      </c>
      <c r="P373" t="s">
        <v>1462</v>
      </c>
      <c r="Q373" t="s">
        <v>1412</v>
      </c>
      <c r="S373" s="1">
        <v>45943</v>
      </c>
      <c r="V373" s="1">
        <v>45939</v>
      </c>
      <c r="W373" s="1">
        <v>32804</v>
      </c>
      <c r="X373" t="s">
        <v>2243</v>
      </c>
      <c r="Y373" t="s">
        <v>2244</v>
      </c>
      <c r="Z373" t="s">
        <v>1414</v>
      </c>
      <c r="AA373" t="s">
        <v>1419</v>
      </c>
      <c r="AB373" t="s">
        <v>781</v>
      </c>
      <c r="AC373">
        <v>35991555629</v>
      </c>
      <c r="AD373" t="str">
        <f>_xlfn.XLOOKUP(F373,'Base de Tutores'!L:L,'Base de Tutores'!F:F)</f>
        <v>AGM</v>
      </c>
    </row>
    <row r="374" spans="1:30" hidden="1" x14ac:dyDescent="0.3">
      <c r="A374" t="s">
        <v>1405</v>
      </c>
      <c r="B374" t="s">
        <v>1406</v>
      </c>
      <c r="C374" t="s">
        <v>2245</v>
      </c>
      <c r="D374">
        <v>10303019999</v>
      </c>
      <c r="E374">
        <v>6110024</v>
      </c>
      <c r="F374">
        <v>1158000879</v>
      </c>
      <c r="G374" s="1">
        <v>45882</v>
      </c>
      <c r="H374" t="s">
        <v>1350</v>
      </c>
      <c r="I374" t="s">
        <v>1374</v>
      </c>
      <c r="J374" t="s">
        <v>1363</v>
      </c>
      <c r="K374" t="s">
        <v>1353</v>
      </c>
      <c r="L374" t="s">
        <v>1408</v>
      </c>
      <c r="M374" t="s">
        <v>1409</v>
      </c>
      <c r="N374" t="s">
        <v>1410</v>
      </c>
      <c r="O374" t="s">
        <v>1423</v>
      </c>
      <c r="P374" t="s">
        <v>1423</v>
      </c>
      <c r="Q374" t="s">
        <v>1412</v>
      </c>
      <c r="S374" s="1">
        <v>46043</v>
      </c>
      <c r="W374" s="1">
        <v>35417</v>
      </c>
      <c r="X374" t="s">
        <v>2246</v>
      </c>
      <c r="Z374" t="s">
        <v>1414</v>
      </c>
      <c r="AA374" t="s">
        <v>1419</v>
      </c>
      <c r="AB374" t="s">
        <v>906</v>
      </c>
      <c r="AC374">
        <v>41984563906</v>
      </c>
      <c r="AD374" t="str">
        <f>_xlfn.XLOOKUP(F374,'Base de Tutores'!L:L,'Base de Tutores'!F:F)</f>
        <v>AGM</v>
      </c>
    </row>
    <row r="375" spans="1:30" hidden="1" x14ac:dyDescent="0.3">
      <c r="A375" t="s">
        <v>1405</v>
      </c>
      <c r="B375" t="s">
        <v>1406</v>
      </c>
      <c r="C375" t="s">
        <v>2247</v>
      </c>
      <c r="D375">
        <v>1476260133</v>
      </c>
      <c r="E375" t="s">
        <v>2248</v>
      </c>
      <c r="F375">
        <v>1158000949</v>
      </c>
      <c r="G375" s="1">
        <v>45901</v>
      </c>
      <c r="H375" t="s">
        <v>1350</v>
      </c>
      <c r="I375" t="s">
        <v>1349</v>
      </c>
      <c r="J375" t="s">
        <v>1363</v>
      </c>
      <c r="K375" t="s">
        <v>1353</v>
      </c>
      <c r="L375" t="s">
        <v>1408</v>
      </c>
      <c r="M375" t="s">
        <v>1409</v>
      </c>
      <c r="N375" t="s">
        <v>1410</v>
      </c>
      <c r="O375" t="s">
        <v>1411</v>
      </c>
      <c r="P375" t="s">
        <v>1411</v>
      </c>
      <c r="Q375" t="s">
        <v>1412</v>
      </c>
      <c r="S375" s="1">
        <v>46090</v>
      </c>
      <c r="V375" s="1">
        <v>46087</v>
      </c>
      <c r="W375" s="1">
        <v>34107</v>
      </c>
      <c r="X375" t="s">
        <v>2249</v>
      </c>
      <c r="Z375" t="s">
        <v>1414</v>
      </c>
      <c r="AA375" t="s">
        <v>1419</v>
      </c>
      <c r="AB375" t="s">
        <v>719</v>
      </c>
      <c r="AC375">
        <v>47996997686</v>
      </c>
      <c r="AD375" t="str">
        <f>_xlfn.XLOOKUP(F375,'Base de Tutores'!L:L,'Base de Tutores'!F:F)</f>
        <v>EMF-ISN</v>
      </c>
    </row>
    <row r="376" spans="1:30" hidden="1" x14ac:dyDescent="0.3">
      <c r="A376" t="s">
        <v>1405</v>
      </c>
      <c r="B376" t="s">
        <v>1406</v>
      </c>
      <c r="C376" t="s">
        <v>2250</v>
      </c>
      <c r="D376">
        <v>1210652277</v>
      </c>
      <c r="E376" t="s">
        <v>2251</v>
      </c>
      <c r="F376">
        <v>1158000543</v>
      </c>
      <c r="G376" s="1">
        <v>45728</v>
      </c>
      <c r="H376" t="s">
        <v>1350</v>
      </c>
      <c r="I376" t="s">
        <v>1349</v>
      </c>
      <c r="J376" t="s">
        <v>1363</v>
      </c>
      <c r="K376" t="s">
        <v>1353</v>
      </c>
      <c r="L376" t="s">
        <v>1408</v>
      </c>
      <c r="M376" t="s">
        <v>1447</v>
      </c>
      <c r="N376" t="s">
        <v>1448</v>
      </c>
      <c r="O376" t="s">
        <v>1462</v>
      </c>
      <c r="P376" t="s">
        <v>1417</v>
      </c>
      <c r="Q376" t="s">
        <v>1412</v>
      </c>
      <c r="S376" s="1">
        <v>45904</v>
      </c>
      <c r="V376" s="1">
        <v>45901</v>
      </c>
      <c r="W376" s="1">
        <v>34444</v>
      </c>
      <c r="X376" t="s">
        <v>1644</v>
      </c>
      <c r="Z376" t="s">
        <v>1414</v>
      </c>
      <c r="AA376" t="s">
        <v>1419</v>
      </c>
      <c r="AB376" t="s">
        <v>2252</v>
      </c>
      <c r="AC376">
        <v>95991589861</v>
      </c>
      <c r="AD376" t="str">
        <f>_xlfn.XLOOKUP(F376,'Base de Tutores'!L:L,'Base de Tutores'!F:F)</f>
        <v>EMF-ISN</v>
      </c>
    </row>
    <row r="377" spans="1:30" hidden="1" x14ac:dyDescent="0.3">
      <c r="A377" t="s">
        <v>1405</v>
      </c>
      <c r="B377" t="s">
        <v>1406</v>
      </c>
      <c r="C377" t="s">
        <v>2253</v>
      </c>
      <c r="D377">
        <v>49942284850</v>
      </c>
      <c r="E377" t="s">
        <v>2254</v>
      </c>
      <c r="F377">
        <v>1158000914</v>
      </c>
      <c r="G377" s="1">
        <v>45889</v>
      </c>
      <c r="H377" t="s">
        <v>1350</v>
      </c>
      <c r="I377" t="s">
        <v>1374</v>
      </c>
      <c r="J377" t="s">
        <v>1363</v>
      </c>
      <c r="K377" t="s">
        <v>1353</v>
      </c>
      <c r="L377" t="s">
        <v>1408</v>
      </c>
      <c r="M377" t="s">
        <v>1421</v>
      </c>
      <c r="N377" t="s">
        <v>1422</v>
      </c>
      <c r="O377" t="s">
        <v>1423</v>
      </c>
      <c r="P377" t="s">
        <v>1423</v>
      </c>
      <c r="Q377" t="s">
        <v>1412</v>
      </c>
      <c r="S377" s="1">
        <v>46043</v>
      </c>
      <c r="W377" s="1">
        <v>36954</v>
      </c>
      <c r="X377" t="s">
        <v>1724</v>
      </c>
      <c r="Z377" t="s">
        <v>1414</v>
      </c>
      <c r="AA377" t="s">
        <v>1419</v>
      </c>
      <c r="AB377" t="s">
        <v>1007</v>
      </c>
      <c r="AC377">
        <v>19997480560</v>
      </c>
      <c r="AD377" t="str">
        <f>_xlfn.XLOOKUP(F377,'Base de Tutores'!L:L,'Base de Tutores'!F:F)</f>
        <v>NTR</v>
      </c>
    </row>
    <row r="378" spans="1:30" hidden="1" x14ac:dyDescent="0.3">
      <c r="A378" t="s">
        <v>1405</v>
      </c>
      <c r="B378" t="s">
        <v>1406</v>
      </c>
      <c r="C378" t="s">
        <v>2255</v>
      </c>
      <c r="D378">
        <v>4744358144</v>
      </c>
      <c r="E378">
        <v>3696079</v>
      </c>
      <c r="F378">
        <v>1158000830</v>
      </c>
      <c r="G378" s="1">
        <v>45873</v>
      </c>
      <c r="H378" t="s">
        <v>1350</v>
      </c>
      <c r="I378" t="s">
        <v>1374</v>
      </c>
      <c r="J378" t="s">
        <v>1363</v>
      </c>
      <c r="K378" t="s">
        <v>1353</v>
      </c>
      <c r="L378" t="s">
        <v>1408</v>
      </c>
      <c r="M378" t="s">
        <v>1421</v>
      </c>
      <c r="N378" t="s">
        <v>1422</v>
      </c>
      <c r="O378" t="s">
        <v>1411</v>
      </c>
      <c r="P378" t="s">
        <v>1411</v>
      </c>
      <c r="Q378" t="s">
        <v>1593</v>
      </c>
      <c r="S378" s="1">
        <v>46043</v>
      </c>
      <c r="W378" s="1">
        <v>34763</v>
      </c>
      <c r="X378" t="s">
        <v>1617</v>
      </c>
      <c r="Z378" t="s">
        <v>1414</v>
      </c>
      <c r="AA378" t="s">
        <v>1419</v>
      </c>
      <c r="AB378" t="s">
        <v>827</v>
      </c>
      <c r="AC378">
        <v>61999266431</v>
      </c>
      <c r="AD378" t="str">
        <f>_xlfn.XLOOKUP(F378,'Base de Tutores'!L:L,'Base de Tutores'!F:F)</f>
        <v>AGM</v>
      </c>
    </row>
    <row r="379" spans="1:30" hidden="1" x14ac:dyDescent="0.3">
      <c r="A379" t="s">
        <v>1405</v>
      </c>
      <c r="B379" t="s">
        <v>1406</v>
      </c>
      <c r="C379" t="s">
        <v>2256</v>
      </c>
      <c r="D379">
        <v>7609137731</v>
      </c>
      <c r="E379">
        <v>1365749</v>
      </c>
      <c r="F379">
        <v>1158001015</v>
      </c>
      <c r="G379" s="1">
        <v>45936</v>
      </c>
      <c r="H379" t="s">
        <v>1350</v>
      </c>
      <c r="I379" t="s">
        <v>1349</v>
      </c>
      <c r="J379" t="s">
        <v>1363</v>
      </c>
      <c r="K379" t="s">
        <v>1353</v>
      </c>
      <c r="L379" t="s">
        <v>1408</v>
      </c>
      <c r="M379" t="s">
        <v>1409</v>
      </c>
      <c r="N379" t="s">
        <v>1410</v>
      </c>
      <c r="O379" t="s">
        <v>1423</v>
      </c>
      <c r="P379" t="s">
        <v>1423</v>
      </c>
      <c r="Q379" t="s">
        <v>1412</v>
      </c>
      <c r="S379" s="1">
        <v>46044</v>
      </c>
      <c r="V379" s="1">
        <v>46041</v>
      </c>
      <c r="W379" s="1">
        <v>28456</v>
      </c>
      <c r="X379" t="s">
        <v>2257</v>
      </c>
      <c r="Z379" t="s">
        <v>1414</v>
      </c>
      <c r="AA379" t="s">
        <v>1415</v>
      </c>
      <c r="AB379" t="s">
        <v>1149</v>
      </c>
      <c r="AC379">
        <v>22999876630</v>
      </c>
      <c r="AD379" t="str">
        <f>_xlfn.XLOOKUP(F379,'Base de Tutores'!L:L,'Base de Tutores'!F:F)</f>
        <v>BFR</v>
      </c>
    </row>
    <row r="380" spans="1:30" hidden="1" x14ac:dyDescent="0.3">
      <c r="A380" t="s">
        <v>1405</v>
      </c>
      <c r="B380" t="s">
        <v>1406</v>
      </c>
      <c r="C380" t="s">
        <v>2258</v>
      </c>
      <c r="D380">
        <v>8328742640</v>
      </c>
      <c r="E380" s="3">
        <v>13604496</v>
      </c>
      <c r="F380">
        <v>1158001049</v>
      </c>
      <c r="G380" s="1">
        <v>45964</v>
      </c>
      <c r="H380" t="s">
        <v>1350</v>
      </c>
      <c r="I380" t="s">
        <v>1374</v>
      </c>
      <c r="J380" t="s">
        <v>1363</v>
      </c>
      <c r="K380" t="s">
        <v>1353</v>
      </c>
      <c r="L380" t="s">
        <v>1408</v>
      </c>
      <c r="M380" t="s">
        <v>1409</v>
      </c>
      <c r="N380" t="s">
        <v>1410</v>
      </c>
      <c r="O380" t="s">
        <v>1462</v>
      </c>
      <c r="P380" t="s">
        <v>1462</v>
      </c>
      <c r="Q380" t="s">
        <v>1412</v>
      </c>
      <c r="S380" s="1">
        <v>46043</v>
      </c>
      <c r="W380" s="1">
        <v>31033</v>
      </c>
      <c r="X380" t="s">
        <v>2259</v>
      </c>
      <c r="Z380" t="s">
        <v>1414</v>
      </c>
      <c r="AA380" t="s">
        <v>1415</v>
      </c>
      <c r="AB380" t="s">
        <v>1226</v>
      </c>
      <c r="AC380">
        <v>85992718094</v>
      </c>
      <c r="AD380" t="str">
        <f>_xlfn.XLOOKUP(F380,'Base de Tutores'!L:L,'Base de Tutores'!F:F)</f>
        <v>ECE-ENM-ENS-ENG-EEA-GPI-CDE-OBR-SAN-TER-FSA-SLF-QUI</v>
      </c>
    </row>
    <row r="381" spans="1:30" hidden="1" x14ac:dyDescent="0.3">
      <c r="A381" t="s">
        <v>1405</v>
      </c>
      <c r="B381" t="s">
        <v>1406</v>
      </c>
      <c r="C381" t="s">
        <v>2260</v>
      </c>
      <c r="D381">
        <v>9291145661</v>
      </c>
      <c r="E381" t="s">
        <v>2261</v>
      </c>
      <c r="F381">
        <v>1158000679</v>
      </c>
      <c r="G381" s="1">
        <v>45754</v>
      </c>
      <c r="H381" t="s">
        <v>1350</v>
      </c>
      <c r="I381" t="s">
        <v>1349</v>
      </c>
      <c r="J381" t="s">
        <v>1363</v>
      </c>
      <c r="K381" t="s">
        <v>1353</v>
      </c>
      <c r="L381" t="s">
        <v>1408</v>
      </c>
      <c r="M381" t="s">
        <v>1409</v>
      </c>
      <c r="N381" t="s">
        <v>1410</v>
      </c>
      <c r="O381" t="s">
        <v>1423</v>
      </c>
      <c r="P381" t="s">
        <v>1423</v>
      </c>
      <c r="Q381" t="s">
        <v>1412</v>
      </c>
      <c r="S381" s="1">
        <v>45911</v>
      </c>
      <c r="V381" s="1">
        <v>45911</v>
      </c>
      <c r="W381" s="1">
        <v>32725</v>
      </c>
      <c r="X381" t="s">
        <v>2262</v>
      </c>
      <c r="Z381" t="s">
        <v>1414</v>
      </c>
      <c r="AA381" t="s">
        <v>1415</v>
      </c>
      <c r="AB381" t="s">
        <v>658</v>
      </c>
      <c r="AC381">
        <v>3598311823</v>
      </c>
      <c r="AD381" t="str">
        <f>_xlfn.XLOOKUP(F381,'Base de Tutores'!L:L,'Base de Tutores'!F:F)</f>
        <v>EMF-ISN</v>
      </c>
    </row>
    <row r="382" spans="1:30" hidden="1" x14ac:dyDescent="0.3">
      <c r="A382" t="s">
        <v>1405</v>
      </c>
      <c r="B382" t="s">
        <v>1406</v>
      </c>
      <c r="C382" t="s">
        <v>2263</v>
      </c>
      <c r="D382">
        <v>1657094057</v>
      </c>
      <c r="E382">
        <v>6102090815</v>
      </c>
      <c r="F382">
        <v>1158000864</v>
      </c>
      <c r="G382" s="1">
        <v>45880</v>
      </c>
      <c r="H382" t="s">
        <v>1350</v>
      </c>
      <c r="I382" t="s">
        <v>1374</v>
      </c>
      <c r="J382" t="s">
        <v>1363</v>
      </c>
      <c r="K382" t="s">
        <v>1353</v>
      </c>
      <c r="L382" t="s">
        <v>1408</v>
      </c>
      <c r="M382" t="s">
        <v>1409</v>
      </c>
      <c r="N382" t="s">
        <v>1410</v>
      </c>
      <c r="O382" t="s">
        <v>1411</v>
      </c>
      <c r="P382" t="s">
        <v>1411</v>
      </c>
      <c r="Q382" t="s">
        <v>1412</v>
      </c>
      <c r="S382" s="1">
        <v>46043</v>
      </c>
      <c r="W382" s="1">
        <v>33016</v>
      </c>
      <c r="X382" t="s">
        <v>2264</v>
      </c>
      <c r="Z382" t="s">
        <v>1414</v>
      </c>
      <c r="AA382" t="s">
        <v>1419</v>
      </c>
      <c r="AB382" t="s">
        <v>881</v>
      </c>
      <c r="AC382">
        <v>54991592379</v>
      </c>
      <c r="AD382" t="str">
        <f>_xlfn.XLOOKUP(F382,'Base de Tutores'!L:L,'Base de Tutores'!F:F)</f>
        <v>BFI</v>
      </c>
    </row>
    <row r="383" spans="1:30" hidden="1" x14ac:dyDescent="0.3">
      <c r="A383" t="s">
        <v>1405</v>
      </c>
      <c r="B383" t="s">
        <v>1406</v>
      </c>
      <c r="C383" t="s">
        <v>2265</v>
      </c>
      <c r="D383">
        <v>86351274559</v>
      </c>
      <c r="E383" t="s">
        <v>2266</v>
      </c>
      <c r="F383">
        <v>1158001065</v>
      </c>
      <c r="G383" s="1">
        <v>45978</v>
      </c>
      <c r="H383" t="s">
        <v>1350</v>
      </c>
      <c r="I383" t="s">
        <v>1374</v>
      </c>
      <c r="J383" t="s">
        <v>1363</v>
      </c>
      <c r="K383" t="s">
        <v>1353</v>
      </c>
      <c r="L383" t="s">
        <v>1408</v>
      </c>
      <c r="M383" t="s">
        <v>1421</v>
      </c>
      <c r="N383" t="s">
        <v>1422</v>
      </c>
      <c r="O383" t="s">
        <v>1411</v>
      </c>
      <c r="P383" t="s">
        <v>1411</v>
      </c>
      <c r="Q383" t="s">
        <v>1412</v>
      </c>
      <c r="S383" s="1">
        <v>46043</v>
      </c>
      <c r="W383" s="1">
        <v>35867</v>
      </c>
      <c r="X383" t="s">
        <v>1432</v>
      </c>
      <c r="Z383" t="s">
        <v>1414</v>
      </c>
      <c r="AA383" t="s">
        <v>1419</v>
      </c>
      <c r="AB383" t="s">
        <v>1255</v>
      </c>
      <c r="AC383">
        <v>75988989756</v>
      </c>
      <c r="AD383" t="str">
        <f>_xlfn.XLOOKUP(F383,'Base de Tutores'!L:L,'Base de Tutores'!F:F)</f>
        <v>BFI</v>
      </c>
    </row>
    <row r="384" spans="1:30" hidden="1" x14ac:dyDescent="0.3">
      <c r="A384" t="s">
        <v>1405</v>
      </c>
      <c r="B384" t="s">
        <v>1406</v>
      </c>
      <c r="C384" t="s">
        <v>2267</v>
      </c>
      <c r="D384">
        <v>4130363166</v>
      </c>
      <c r="E384" s="3">
        <v>908461</v>
      </c>
      <c r="F384">
        <v>1158000556</v>
      </c>
      <c r="G384" s="1">
        <v>45733</v>
      </c>
      <c r="H384" t="s">
        <v>1350</v>
      </c>
      <c r="I384" t="s">
        <v>1374</v>
      </c>
      <c r="J384" t="s">
        <v>1363</v>
      </c>
      <c r="K384" t="s">
        <v>1353</v>
      </c>
      <c r="L384" t="s">
        <v>1408</v>
      </c>
      <c r="M384" t="s">
        <v>1421</v>
      </c>
      <c r="N384" t="s">
        <v>1422</v>
      </c>
      <c r="O384" t="s">
        <v>1439</v>
      </c>
      <c r="P384" t="s">
        <v>1423</v>
      </c>
      <c r="Q384" t="s">
        <v>1412</v>
      </c>
      <c r="S384" s="1">
        <v>46043</v>
      </c>
      <c r="W384" s="1">
        <v>35718</v>
      </c>
      <c r="X384" t="s">
        <v>2268</v>
      </c>
      <c r="Z384" t="s">
        <v>1414</v>
      </c>
      <c r="AA384" t="s">
        <v>1419</v>
      </c>
      <c r="AB384" t="s">
        <v>63</v>
      </c>
      <c r="AC384">
        <v>63992070009</v>
      </c>
      <c r="AD384" t="str">
        <f>_xlfn.XLOOKUP(F384,'Base de Tutores'!L:L,'Base de Tutores'!F:F)</f>
        <v>EMF-ISN</v>
      </c>
    </row>
    <row r="385" spans="1:30" hidden="1" x14ac:dyDescent="0.3">
      <c r="A385" t="s">
        <v>1405</v>
      </c>
      <c r="B385" t="s">
        <v>1406</v>
      </c>
      <c r="C385" t="s">
        <v>2269</v>
      </c>
      <c r="D385">
        <v>1949296040</v>
      </c>
      <c r="E385">
        <v>5086720851</v>
      </c>
      <c r="F385">
        <v>1158000978</v>
      </c>
      <c r="G385" s="1">
        <v>45915</v>
      </c>
      <c r="H385" t="s">
        <v>1350</v>
      </c>
      <c r="I385" t="s">
        <v>1374</v>
      </c>
      <c r="J385" t="s">
        <v>1363</v>
      </c>
      <c r="K385" t="s">
        <v>1353</v>
      </c>
      <c r="L385" t="s">
        <v>1408</v>
      </c>
      <c r="M385" t="s">
        <v>1421</v>
      </c>
      <c r="N385" t="s">
        <v>1422</v>
      </c>
      <c r="O385" t="s">
        <v>1423</v>
      </c>
      <c r="P385" t="s">
        <v>1423</v>
      </c>
      <c r="Q385" t="s">
        <v>1412</v>
      </c>
      <c r="S385" s="1">
        <v>46043</v>
      </c>
      <c r="W385" s="1">
        <v>32725</v>
      </c>
      <c r="X385" t="s">
        <v>1485</v>
      </c>
      <c r="Z385" t="s">
        <v>1414</v>
      </c>
      <c r="AA385" t="s">
        <v>1419</v>
      </c>
      <c r="AB385" t="s">
        <v>1111</v>
      </c>
      <c r="AC385">
        <v>51996502984</v>
      </c>
      <c r="AD385" t="str">
        <f>_xlfn.XLOOKUP(F385,'Base de Tutores'!L:L,'Base de Tutores'!F:F)</f>
        <v>COS-TIP</v>
      </c>
    </row>
    <row r="386" spans="1:30" hidden="1" x14ac:dyDescent="0.3">
      <c r="A386" t="s">
        <v>1405</v>
      </c>
      <c r="B386" t="s">
        <v>1406</v>
      </c>
      <c r="C386" t="s">
        <v>2270</v>
      </c>
      <c r="D386">
        <v>4361906130</v>
      </c>
      <c r="E386">
        <v>5806868</v>
      </c>
      <c r="F386">
        <v>1158000997</v>
      </c>
      <c r="G386" s="1">
        <v>45931</v>
      </c>
      <c r="H386" t="s">
        <v>1350</v>
      </c>
      <c r="I386" t="s">
        <v>1349</v>
      </c>
      <c r="J386" t="s">
        <v>1363</v>
      </c>
      <c r="K386" t="s">
        <v>1353</v>
      </c>
      <c r="L386" t="s">
        <v>1408</v>
      </c>
      <c r="M386" t="s">
        <v>1409</v>
      </c>
      <c r="N386" t="s">
        <v>1410</v>
      </c>
      <c r="O386" t="s">
        <v>1411</v>
      </c>
      <c r="P386" t="s">
        <v>1411</v>
      </c>
      <c r="Q386" t="s">
        <v>1412</v>
      </c>
      <c r="S386" s="1">
        <v>46045</v>
      </c>
      <c r="V386" s="1">
        <v>46043</v>
      </c>
      <c r="W386" s="1">
        <v>34469</v>
      </c>
      <c r="X386" t="s">
        <v>2271</v>
      </c>
      <c r="Z386" t="s">
        <v>1414</v>
      </c>
      <c r="AA386" t="s">
        <v>1419</v>
      </c>
      <c r="AB386" t="s">
        <v>1128</v>
      </c>
      <c r="AC386">
        <v>54981494237</v>
      </c>
      <c r="AD386" t="str">
        <f>_xlfn.XLOOKUP(F386,'Base de Tutores'!L:L,'Base de Tutores'!F:F)</f>
        <v>BFR</v>
      </c>
    </row>
    <row r="387" spans="1:30" hidden="1" x14ac:dyDescent="0.3">
      <c r="A387" t="s">
        <v>1405</v>
      </c>
      <c r="B387" t="s">
        <v>1406</v>
      </c>
      <c r="C387" t="s">
        <v>2272</v>
      </c>
      <c r="D387">
        <v>5329312973</v>
      </c>
      <c r="E387">
        <v>78394749</v>
      </c>
      <c r="F387">
        <v>1158000655</v>
      </c>
      <c r="G387" s="1">
        <v>45749</v>
      </c>
      <c r="H387" t="s">
        <v>1350</v>
      </c>
      <c r="I387" t="s">
        <v>1374</v>
      </c>
      <c r="J387" t="s">
        <v>1427</v>
      </c>
      <c r="K387" t="s">
        <v>1356</v>
      </c>
      <c r="L387" t="s">
        <v>1408</v>
      </c>
      <c r="M387" t="s">
        <v>1447</v>
      </c>
      <c r="N387" t="s">
        <v>1448</v>
      </c>
      <c r="O387" t="s">
        <v>1462</v>
      </c>
      <c r="P387" t="s">
        <v>1423</v>
      </c>
      <c r="Q387" t="s">
        <v>1412</v>
      </c>
      <c r="S387" s="1">
        <v>46043</v>
      </c>
      <c r="W387" s="1">
        <v>31068</v>
      </c>
      <c r="X387" t="s">
        <v>1586</v>
      </c>
      <c r="Z387" t="s">
        <v>1414</v>
      </c>
      <c r="AA387" t="s">
        <v>1419</v>
      </c>
      <c r="AB387" t="s">
        <v>261</v>
      </c>
      <c r="AC387">
        <v>41991466314</v>
      </c>
      <c r="AD387" t="str">
        <f>_xlfn.XLOOKUP(F387,'Base de Tutores'!L:L,'Base de Tutores'!F:F)</f>
        <v>EMF-ISN</v>
      </c>
    </row>
    <row r="388" spans="1:30" hidden="1" x14ac:dyDescent="0.3">
      <c r="A388" t="s">
        <v>1405</v>
      </c>
      <c r="B388" t="s">
        <v>1406</v>
      </c>
      <c r="C388" t="s">
        <v>2273</v>
      </c>
      <c r="D388">
        <v>3482019231</v>
      </c>
      <c r="E388">
        <v>1795618</v>
      </c>
      <c r="F388">
        <v>1158000968</v>
      </c>
      <c r="G388" s="1">
        <v>45910</v>
      </c>
      <c r="H388" t="s">
        <v>1350</v>
      </c>
      <c r="I388" t="s">
        <v>1374</v>
      </c>
      <c r="J388" t="s">
        <v>1363</v>
      </c>
      <c r="K388" t="s">
        <v>1353</v>
      </c>
      <c r="L388" t="s">
        <v>1408</v>
      </c>
      <c r="M388" t="s">
        <v>1409</v>
      </c>
      <c r="N388" t="s">
        <v>1410</v>
      </c>
      <c r="O388" t="s">
        <v>1411</v>
      </c>
      <c r="P388" t="s">
        <v>1411</v>
      </c>
      <c r="Q388" t="s">
        <v>1412</v>
      </c>
      <c r="S388" s="1">
        <v>46043</v>
      </c>
      <c r="W388" s="1">
        <v>37615</v>
      </c>
      <c r="X388" t="s">
        <v>2274</v>
      </c>
      <c r="Z388" t="s">
        <v>1414</v>
      </c>
      <c r="AA388" t="s">
        <v>1419</v>
      </c>
      <c r="AB388" t="s">
        <v>1087</v>
      </c>
      <c r="AC388">
        <v>63991258121</v>
      </c>
      <c r="AD388" t="str">
        <f>_xlfn.XLOOKUP(F388,'Base de Tutores'!L:L,'Base de Tutores'!F:F)</f>
        <v>BFR</v>
      </c>
    </row>
    <row r="389" spans="1:30" hidden="1" x14ac:dyDescent="0.3">
      <c r="A389" t="s">
        <v>1405</v>
      </c>
      <c r="B389" t="s">
        <v>1406</v>
      </c>
      <c r="C389" t="s">
        <v>2275</v>
      </c>
      <c r="D389">
        <v>14165508608</v>
      </c>
      <c r="E389">
        <v>21103122</v>
      </c>
      <c r="F389">
        <v>1158001169</v>
      </c>
      <c r="G389" s="1">
        <v>46097</v>
      </c>
      <c r="H389" t="s">
        <v>1350</v>
      </c>
      <c r="I389" t="s">
        <v>1374</v>
      </c>
      <c r="J389" t="s">
        <v>1363</v>
      </c>
      <c r="K389" t="s">
        <v>1353</v>
      </c>
      <c r="L389" t="s">
        <v>1408</v>
      </c>
      <c r="M389" t="s">
        <v>1409</v>
      </c>
      <c r="N389" t="s">
        <v>1410</v>
      </c>
      <c r="O389" t="s">
        <v>1423</v>
      </c>
      <c r="P389" t="s">
        <v>1423</v>
      </c>
      <c r="Q389" t="s">
        <v>1412</v>
      </c>
      <c r="S389" s="1">
        <v>46092</v>
      </c>
      <c r="W389" s="1">
        <v>36556</v>
      </c>
      <c r="X389" t="s">
        <v>2276</v>
      </c>
      <c r="AA389" t="s">
        <v>1415</v>
      </c>
      <c r="AB389" t="s">
        <v>2277</v>
      </c>
      <c r="AC389">
        <v>37998237059</v>
      </c>
      <c r="AD389" t="str">
        <f>_xlfn.XLOOKUP(F389,'Base de Tutores'!L:L,'Base de Tutores'!F:F)</f>
        <v>NTR</v>
      </c>
    </row>
    <row r="390" spans="1:30" hidden="1" x14ac:dyDescent="0.3">
      <c r="A390" t="s">
        <v>1405</v>
      </c>
      <c r="B390" t="s">
        <v>1406</v>
      </c>
      <c r="C390" t="s">
        <v>2278</v>
      </c>
      <c r="D390">
        <v>6228612123</v>
      </c>
      <c r="E390">
        <v>3448733</v>
      </c>
      <c r="F390">
        <v>1158000697</v>
      </c>
      <c r="G390" s="1">
        <v>45756</v>
      </c>
      <c r="H390" t="s">
        <v>1350</v>
      </c>
      <c r="I390" t="s">
        <v>1374</v>
      </c>
      <c r="J390" t="s">
        <v>1363</v>
      </c>
      <c r="K390" t="s">
        <v>1353</v>
      </c>
      <c r="L390" t="s">
        <v>1408</v>
      </c>
      <c r="M390" t="s">
        <v>1409</v>
      </c>
      <c r="N390" t="s">
        <v>1410</v>
      </c>
      <c r="O390" t="s">
        <v>1411</v>
      </c>
      <c r="P390" t="s">
        <v>1411</v>
      </c>
      <c r="Q390" t="s">
        <v>1412</v>
      </c>
      <c r="S390" s="1">
        <v>46043</v>
      </c>
      <c r="W390" s="1">
        <v>35980</v>
      </c>
      <c r="X390" t="s">
        <v>1617</v>
      </c>
      <c r="Z390" t="s">
        <v>1414</v>
      </c>
      <c r="AA390" t="s">
        <v>1415</v>
      </c>
      <c r="AB390" t="s">
        <v>438</v>
      </c>
      <c r="AC390">
        <v>61998481097</v>
      </c>
      <c r="AD390" t="str">
        <f>_xlfn.XLOOKUP(F390,'Base de Tutores'!L:L,'Base de Tutores'!F:F)</f>
        <v>EMF-ISN</v>
      </c>
    </row>
    <row r="391" spans="1:30" hidden="1" x14ac:dyDescent="0.3">
      <c r="A391" t="s">
        <v>1405</v>
      </c>
      <c r="B391" t="s">
        <v>1406</v>
      </c>
      <c r="C391" t="s">
        <v>2279</v>
      </c>
      <c r="D391">
        <v>1007292580</v>
      </c>
      <c r="E391" t="s">
        <v>2280</v>
      </c>
      <c r="F391">
        <v>1158000902</v>
      </c>
      <c r="G391" s="1">
        <v>45887</v>
      </c>
      <c r="H391" t="s">
        <v>1350</v>
      </c>
      <c r="I391" t="s">
        <v>1374</v>
      </c>
      <c r="J391" t="s">
        <v>1363</v>
      </c>
      <c r="K391" t="s">
        <v>1353</v>
      </c>
      <c r="L391" t="s">
        <v>1408</v>
      </c>
      <c r="M391" t="s">
        <v>1421</v>
      </c>
      <c r="N391" t="s">
        <v>1422</v>
      </c>
      <c r="O391" t="s">
        <v>1411</v>
      </c>
      <c r="P391" t="s">
        <v>1411</v>
      </c>
      <c r="Q391" t="s">
        <v>1412</v>
      </c>
      <c r="S391" s="1">
        <v>46043</v>
      </c>
      <c r="W391" s="1">
        <v>36161</v>
      </c>
      <c r="X391" t="s">
        <v>1430</v>
      </c>
      <c r="Z391" t="s">
        <v>1414</v>
      </c>
      <c r="AA391" t="s">
        <v>1415</v>
      </c>
      <c r="AB391" t="s">
        <v>973</v>
      </c>
      <c r="AC391">
        <v>71992105331</v>
      </c>
      <c r="AD391" t="str">
        <f>_xlfn.XLOOKUP(F391,'Base de Tutores'!L:L,'Base de Tutores'!F:F)</f>
        <v>AGM</v>
      </c>
    </row>
    <row r="392" spans="1:30" hidden="1" x14ac:dyDescent="0.3">
      <c r="A392" t="s">
        <v>1405</v>
      </c>
      <c r="B392" t="s">
        <v>1406</v>
      </c>
      <c r="C392" t="s">
        <v>2281</v>
      </c>
      <c r="D392">
        <v>32239974826</v>
      </c>
      <c r="E392" t="s">
        <v>2282</v>
      </c>
      <c r="F392">
        <v>1158000871</v>
      </c>
      <c r="G392" s="1">
        <v>45882</v>
      </c>
      <c r="H392" t="s">
        <v>1350</v>
      </c>
      <c r="I392" t="s">
        <v>1349</v>
      </c>
      <c r="J392" t="s">
        <v>1363</v>
      </c>
      <c r="K392" t="s">
        <v>1353</v>
      </c>
      <c r="L392" t="s">
        <v>1408</v>
      </c>
      <c r="M392" t="s">
        <v>1447</v>
      </c>
      <c r="N392" t="s">
        <v>1448</v>
      </c>
      <c r="O392" t="s">
        <v>1423</v>
      </c>
      <c r="P392" t="s">
        <v>1423</v>
      </c>
      <c r="Q392" t="s">
        <v>1593</v>
      </c>
      <c r="S392" s="1">
        <v>46064</v>
      </c>
      <c r="V392" s="1">
        <v>46062</v>
      </c>
      <c r="W392" s="1">
        <v>33129</v>
      </c>
      <c r="X392" t="s">
        <v>1510</v>
      </c>
      <c r="Z392" t="s">
        <v>1414</v>
      </c>
      <c r="AA392" t="s">
        <v>1419</v>
      </c>
      <c r="AB392" t="s">
        <v>919</v>
      </c>
      <c r="AC392">
        <v>11972881949</v>
      </c>
      <c r="AD392" t="str">
        <f>_xlfn.XLOOKUP(F392,'Base de Tutores'!L:L,'Base de Tutores'!F:F)</f>
        <v>BFI</v>
      </c>
    </row>
    <row r="393" spans="1:30" hidden="1" x14ac:dyDescent="0.3">
      <c r="A393" t="s">
        <v>1405</v>
      </c>
      <c r="B393" t="s">
        <v>1406</v>
      </c>
      <c r="C393" t="s">
        <v>2283</v>
      </c>
      <c r="D393">
        <v>7470941797</v>
      </c>
      <c r="E393">
        <v>1330298</v>
      </c>
      <c r="F393">
        <v>1158000686</v>
      </c>
      <c r="G393" s="1">
        <v>45754</v>
      </c>
      <c r="H393" t="s">
        <v>1350</v>
      </c>
      <c r="I393" t="s">
        <v>1374</v>
      </c>
      <c r="J393" t="s">
        <v>1363</v>
      </c>
      <c r="K393" t="s">
        <v>1353</v>
      </c>
      <c r="L393" t="s">
        <v>1408</v>
      </c>
      <c r="M393" t="s">
        <v>1409</v>
      </c>
      <c r="N393" t="s">
        <v>1410</v>
      </c>
      <c r="O393" t="s">
        <v>1411</v>
      </c>
      <c r="P393" t="s">
        <v>1411</v>
      </c>
      <c r="Q393" t="s">
        <v>1412</v>
      </c>
      <c r="S393" s="1">
        <v>46043</v>
      </c>
      <c r="W393" s="1">
        <v>28207</v>
      </c>
      <c r="X393" t="s">
        <v>2284</v>
      </c>
      <c r="Z393" t="s">
        <v>1414</v>
      </c>
      <c r="AA393" t="s">
        <v>1419</v>
      </c>
      <c r="AB393" t="s">
        <v>1319</v>
      </c>
      <c r="AC393">
        <v>27981426299</v>
      </c>
      <c r="AD393" t="str">
        <f>_xlfn.XLOOKUP(F393,'Base de Tutores'!L:L,'Base de Tutores'!F:F)</f>
        <v>EMF-ISN</v>
      </c>
    </row>
    <row r="394" spans="1:30" hidden="1" x14ac:dyDescent="0.3">
      <c r="A394" t="s">
        <v>1405</v>
      </c>
      <c r="B394" t="s">
        <v>1406</v>
      </c>
      <c r="C394" t="s">
        <v>2285</v>
      </c>
      <c r="D394">
        <v>8395459912</v>
      </c>
      <c r="E394">
        <v>128941568</v>
      </c>
      <c r="F394">
        <v>1158001190</v>
      </c>
      <c r="G394" s="1">
        <v>46113</v>
      </c>
      <c r="H394" t="s">
        <v>1350</v>
      </c>
      <c r="I394" t="s">
        <v>1374</v>
      </c>
      <c r="J394" t="s">
        <v>1427</v>
      </c>
      <c r="K394" t="s">
        <v>1356</v>
      </c>
      <c r="L394" t="s">
        <v>1408</v>
      </c>
      <c r="M394" t="s">
        <v>1409</v>
      </c>
      <c r="N394" t="s">
        <v>1410</v>
      </c>
      <c r="O394" t="s">
        <v>1423</v>
      </c>
      <c r="P394" t="s">
        <v>1423</v>
      </c>
      <c r="Q394" t="s">
        <v>1412</v>
      </c>
      <c r="S394" s="1">
        <v>46118</v>
      </c>
      <c r="W394" s="1">
        <v>36313</v>
      </c>
      <c r="X394" t="s">
        <v>2286</v>
      </c>
      <c r="Z394" t="s">
        <v>1414</v>
      </c>
      <c r="AA394" t="s">
        <v>1419</v>
      </c>
      <c r="AB394" t="s">
        <v>484</v>
      </c>
      <c r="AC394">
        <v>44999507105</v>
      </c>
      <c r="AD394" t="str">
        <f>_xlfn.XLOOKUP(F394,'Base de Tutores'!L:L,'Base de Tutores'!F:F)</f>
        <v>EMF-ISN</v>
      </c>
    </row>
    <row r="395" spans="1:30" hidden="1" x14ac:dyDescent="0.3">
      <c r="A395" t="s">
        <v>1405</v>
      </c>
      <c r="B395" t="s">
        <v>1406</v>
      </c>
      <c r="C395" t="s">
        <v>2287</v>
      </c>
      <c r="D395">
        <v>89739329268</v>
      </c>
      <c r="E395">
        <v>5841482</v>
      </c>
      <c r="F395">
        <v>1158001052</v>
      </c>
      <c r="G395" s="1">
        <v>45964</v>
      </c>
      <c r="H395" t="s">
        <v>1350</v>
      </c>
      <c r="I395" t="s">
        <v>1374</v>
      </c>
      <c r="J395" t="s">
        <v>1363</v>
      </c>
      <c r="K395" t="s">
        <v>1353</v>
      </c>
      <c r="L395" t="s">
        <v>1408</v>
      </c>
      <c r="M395" t="s">
        <v>1421</v>
      </c>
      <c r="N395" t="s">
        <v>1422</v>
      </c>
      <c r="O395" t="s">
        <v>1411</v>
      </c>
      <c r="P395" t="s">
        <v>1411</v>
      </c>
      <c r="Q395" t="s">
        <v>1412</v>
      </c>
      <c r="S395" s="1">
        <v>46043</v>
      </c>
      <c r="W395" s="1">
        <v>32656</v>
      </c>
      <c r="X395" t="s">
        <v>2288</v>
      </c>
      <c r="Z395" t="s">
        <v>1414</v>
      </c>
      <c r="AA395" t="s">
        <v>1415</v>
      </c>
      <c r="AB395" t="s">
        <v>1230</v>
      </c>
      <c r="AC395">
        <v>91985420758</v>
      </c>
      <c r="AD395" t="str">
        <f>_xlfn.XLOOKUP(F395,'Base de Tutores'!L:L,'Base de Tutores'!F:F)</f>
        <v>BFR</v>
      </c>
    </row>
    <row r="396" spans="1:30" hidden="1" x14ac:dyDescent="0.3">
      <c r="A396" t="s">
        <v>1405</v>
      </c>
      <c r="B396" t="s">
        <v>1406</v>
      </c>
      <c r="C396" t="s">
        <v>2289</v>
      </c>
      <c r="D396">
        <v>923377247</v>
      </c>
      <c r="E396" t="s">
        <v>2290</v>
      </c>
      <c r="F396">
        <v>1158000685</v>
      </c>
      <c r="G396" s="1">
        <v>45754</v>
      </c>
      <c r="H396" t="s">
        <v>1350</v>
      </c>
      <c r="I396" t="s">
        <v>1349</v>
      </c>
      <c r="J396" t="s">
        <v>1696</v>
      </c>
      <c r="K396" t="s">
        <v>1354</v>
      </c>
      <c r="L396" t="s">
        <v>1408</v>
      </c>
      <c r="M396" t="s">
        <v>1409</v>
      </c>
      <c r="N396" t="s">
        <v>1410</v>
      </c>
      <c r="O396" t="s">
        <v>1423</v>
      </c>
      <c r="P396" t="s">
        <v>1417</v>
      </c>
      <c r="Q396" t="s">
        <v>1412</v>
      </c>
      <c r="S396" s="1">
        <v>45804</v>
      </c>
      <c r="V396" s="1">
        <v>45806</v>
      </c>
      <c r="W396" s="1">
        <v>34720</v>
      </c>
      <c r="X396" t="s">
        <v>2291</v>
      </c>
      <c r="Z396" t="s">
        <v>1414</v>
      </c>
      <c r="AA396" t="s">
        <v>1419</v>
      </c>
      <c r="AB396" t="s">
        <v>2292</v>
      </c>
      <c r="AC396">
        <v>68992273623</v>
      </c>
      <c r="AD396" t="str">
        <f>_xlfn.XLOOKUP(F396,'Base de Tutores'!L:L,'Base de Tutores'!F:F)</f>
        <v>EMF-ISN</v>
      </c>
    </row>
    <row r="397" spans="1:30" hidden="1" x14ac:dyDescent="0.3">
      <c r="A397" t="s">
        <v>1405</v>
      </c>
      <c r="B397" t="s">
        <v>1406</v>
      </c>
      <c r="C397" t="s">
        <v>2293</v>
      </c>
      <c r="D397">
        <v>3262125237</v>
      </c>
      <c r="E397">
        <v>7573932</v>
      </c>
      <c r="F397">
        <v>1158000550</v>
      </c>
      <c r="G397" s="1">
        <v>45733</v>
      </c>
      <c r="H397" t="s">
        <v>1350</v>
      </c>
      <c r="I397" t="s">
        <v>1374</v>
      </c>
      <c r="J397" t="s">
        <v>1363</v>
      </c>
      <c r="K397" t="s">
        <v>1353</v>
      </c>
      <c r="L397" t="s">
        <v>1408</v>
      </c>
      <c r="M397" t="s">
        <v>1409</v>
      </c>
      <c r="N397" t="s">
        <v>1410</v>
      </c>
      <c r="O397" t="s">
        <v>1423</v>
      </c>
      <c r="P397" t="s">
        <v>1423</v>
      </c>
      <c r="Q397" t="s">
        <v>1412</v>
      </c>
      <c r="S397" s="1">
        <v>46043</v>
      </c>
      <c r="W397" s="1">
        <v>35583</v>
      </c>
      <c r="X397" t="s">
        <v>2294</v>
      </c>
      <c r="Z397" t="s">
        <v>1414</v>
      </c>
      <c r="AA397" t="s">
        <v>1415</v>
      </c>
      <c r="AB397" t="s">
        <v>546</v>
      </c>
      <c r="AC397">
        <v>91993056701</v>
      </c>
      <c r="AD397" t="str">
        <f>_xlfn.XLOOKUP(F397,'Base de Tutores'!L:L,'Base de Tutores'!F:F)</f>
        <v>EMF-ISN</v>
      </c>
    </row>
    <row r="398" spans="1:30" hidden="1" x14ac:dyDescent="0.3">
      <c r="A398" t="s">
        <v>1405</v>
      </c>
      <c r="B398" t="s">
        <v>1406</v>
      </c>
      <c r="C398" t="s">
        <v>2295</v>
      </c>
      <c r="D398">
        <v>91889871249</v>
      </c>
      <c r="E398">
        <v>1046729</v>
      </c>
      <c r="F398">
        <v>1158000915</v>
      </c>
      <c r="G398" s="1">
        <v>45889</v>
      </c>
      <c r="H398" t="s">
        <v>1350</v>
      </c>
      <c r="I398" t="s">
        <v>1374</v>
      </c>
      <c r="J398" t="s">
        <v>1363</v>
      </c>
      <c r="K398" t="s">
        <v>1353</v>
      </c>
      <c r="L398" t="s">
        <v>1408</v>
      </c>
      <c r="M398" t="s">
        <v>1409</v>
      </c>
      <c r="N398" t="s">
        <v>1410</v>
      </c>
      <c r="O398" t="s">
        <v>1411</v>
      </c>
      <c r="P398" t="s">
        <v>1411</v>
      </c>
      <c r="Q398" t="s">
        <v>1412</v>
      </c>
      <c r="S398" s="1">
        <v>46043</v>
      </c>
      <c r="W398" s="1">
        <v>33529</v>
      </c>
      <c r="X398" t="s">
        <v>1858</v>
      </c>
      <c r="Y398" t="s">
        <v>2296</v>
      </c>
      <c r="Z398" t="s">
        <v>1414</v>
      </c>
      <c r="AA398" t="s">
        <v>1415</v>
      </c>
      <c r="AB398" t="s">
        <v>1009</v>
      </c>
      <c r="AC398">
        <v>48988405589</v>
      </c>
      <c r="AD398" t="str">
        <f>_xlfn.XLOOKUP(F398,'Base de Tutores'!L:L,'Base de Tutores'!F:F)</f>
        <v>BFR</v>
      </c>
    </row>
    <row r="399" spans="1:30" hidden="1" x14ac:dyDescent="0.3">
      <c r="A399" t="s">
        <v>1405</v>
      </c>
      <c r="B399" t="s">
        <v>1406</v>
      </c>
      <c r="C399" t="s">
        <v>2297</v>
      </c>
      <c r="D399">
        <v>11784140600</v>
      </c>
      <c r="E399" t="s">
        <v>2298</v>
      </c>
      <c r="F399">
        <v>1158000962</v>
      </c>
      <c r="G399" s="1">
        <v>45908</v>
      </c>
      <c r="H399" t="s">
        <v>1350</v>
      </c>
      <c r="I399" t="s">
        <v>1349</v>
      </c>
      <c r="J399" t="s">
        <v>1363</v>
      </c>
      <c r="K399" t="s">
        <v>1353</v>
      </c>
      <c r="L399" t="s">
        <v>1408</v>
      </c>
      <c r="M399" t="s">
        <v>1409</v>
      </c>
      <c r="N399" t="s">
        <v>1410</v>
      </c>
      <c r="O399" t="s">
        <v>1423</v>
      </c>
      <c r="P399" t="s">
        <v>1423</v>
      </c>
      <c r="Q399" t="s">
        <v>1412</v>
      </c>
      <c r="S399" s="1">
        <v>45944</v>
      </c>
      <c r="V399" s="1">
        <v>45940</v>
      </c>
      <c r="W399" s="1">
        <v>35920</v>
      </c>
      <c r="X399" t="s">
        <v>1503</v>
      </c>
      <c r="Y399" t="s">
        <v>2299</v>
      </c>
      <c r="Z399" t="s">
        <v>1414</v>
      </c>
      <c r="AA399" t="s">
        <v>1419</v>
      </c>
      <c r="AB399" t="s">
        <v>105</v>
      </c>
      <c r="AC399">
        <v>31983580817</v>
      </c>
      <c r="AD399" t="str">
        <f>_xlfn.XLOOKUP(F399,'Base de Tutores'!L:L,'Base de Tutores'!F:F)</f>
        <v>EMF-ISN</v>
      </c>
    </row>
    <row r="400" spans="1:30" hidden="1" x14ac:dyDescent="0.3">
      <c r="A400" t="s">
        <v>1405</v>
      </c>
      <c r="B400" t="s">
        <v>1406</v>
      </c>
      <c r="C400" t="s">
        <v>2300</v>
      </c>
      <c r="D400">
        <v>2806502217</v>
      </c>
      <c r="E400">
        <v>491629</v>
      </c>
      <c r="F400">
        <v>1158000617</v>
      </c>
      <c r="G400" s="1">
        <v>45789</v>
      </c>
      <c r="H400" t="s">
        <v>1350</v>
      </c>
      <c r="I400" t="s">
        <v>1374</v>
      </c>
      <c r="J400" t="s">
        <v>1363</v>
      </c>
      <c r="K400" t="s">
        <v>1353</v>
      </c>
      <c r="L400" t="s">
        <v>1408</v>
      </c>
      <c r="M400" t="s">
        <v>1409</v>
      </c>
      <c r="N400" t="s">
        <v>1410</v>
      </c>
      <c r="O400" t="s">
        <v>1411</v>
      </c>
      <c r="P400" t="s">
        <v>1411</v>
      </c>
      <c r="Q400" t="s">
        <v>1412</v>
      </c>
      <c r="S400" s="1">
        <v>46043</v>
      </c>
      <c r="W400" s="1">
        <v>35834</v>
      </c>
      <c r="X400" t="s">
        <v>1775</v>
      </c>
      <c r="Z400" t="s">
        <v>1414</v>
      </c>
      <c r="AA400" t="s">
        <v>1415</v>
      </c>
      <c r="AB400" t="s">
        <v>441</v>
      </c>
      <c r="AC400">
        <v>9691193450</v>
      </c>
      <c r="AD400" t="str">
        <f>_xlfn.XLOOKUP(F400,'Base de Tutores'!L:L,'Base de Tutores'!F:F)</f>
        <v>EMF-ISN</v>
      </c>
    </row>
    <row r="401" spans="1:29" hidden="1" x14ac:dyDescent="0.3">
      <c r="A401" t="s">
        <v>1405</v>
      </c>
      <c r="B401" t="s">
        <v>1406</v>
      </c>
      <c r="C401" t="s">
        <v>2301</v>
      </c>
      <c r="D401">
        <v>42847966315</v>
      </c>
      <c r="E401">
        <v>185226720015</v>
      </c>
      <c r="F401">
        <v>1158000662</v>
      </c>
      <c r="G401" s="1">
        <v>45749</v>
      </c>
      <c r="H401" t="s">
        <v>1350</v>
      </c>
      <c r="I401" t="s">
        <v>1374</v>
      </c>
      <c r="J401" t="s">
        <v>1363</v>
      </c>
      <c r="K401" t="s">
        <v>1353</v>
      </c>
      <c r="L401" t="s">
        <v>1408</v>
      </c>
      <c r="M401" t="s">
        <v>1409</v>
      </c>
      <c r="N401" t="s">
        <v>1410</v>
      </c>
      <c r="O401" t="s">
        <v>1411</v>
      </c>
      <c r="P401" t="s">
        <v>1411</v>
      </c>
      <c r="Q401" t="s">
        <v>1412</v>
      </c>
      <c r="S401" s="1">
        <v>46043</v>
      </c>
      <c r="W401" s="1">
        <v>25832</v>
      </c>
      <c r="X401" t="s">
        <v>1519</v>
      </c>
      <c r="Y401" t="s">
        <v>1823</v>
      </c>
      <c r="Z401" t="s">
        <v>1414</v>
      </c>
      <c r="AA401" t="s">
        <v>1419</v>
      </c>
      <c r="AB401" t="s">
        <v>1085</v>
      </c>
      <c r="AC401">
        <v>98981743973</v>
      </c>
    </row>
  </sheetData>
  <autoFilter ref="A1:AD401" xr:uid="{5793488E-0C54-4902-AD20-948555C2D4CF}">
    <filterColumn colId="29">
      <filters>
        <filter val="BTO"/>
      </filters>
    </filterColumn>
  </autoFilter>
  <sortState xmlns:xlrd2="http://schemas.microsoft.com/office/spreadsheetml/2017/richdata2" ref="A2:AC400">
    <sortCondition ref="G1:G400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3091-3AC2-4C79-8619-B51F6C46EF51}">
  <dimension ref="A1:AC1173"/>
  <sheetViews>
    <sheetView workbookViewId="0">
      <selection activeCell="C999" sqref="C999"/>
    </sheetView>
  </sheetViews>
  <sheetFormatPr defaultRowHeight="14.4" x14ac:dyDescent="0.3"/>
  <cols>
    <col min="1" max="1" width="46" bestFit="1" customWidth="1"/>
    <col min="2" max="2" width="19.6640625" bestFit="1" customWidth="1"/>
    <col min="3" max="3" width="53.88671875" bestFit="1" customWidth="1"/>
    <col min="4" max="4" width="12" bestFit="1" customWidth="1"/>
    <col min="5" max="5" width="14.88671875" bestFit="1" customWidth="1"/>
    <col min="6" max="6" width="12" bestFit="1" customWidth="1"/>
    <col min="7" max="7" width="10.44140625" bestFit="1" customWidth="1"/>
    <col min="8" max="8" width="37.5546875" bestFit="1" customWidth="1"/>
    <col min="9" max="9" width="29.109375" bestFit="1" customWidth="1"/>
    <col min="10" max="10" width="11.109375" bestFit="1" customWidth="1"/>
    <col min="11" max="11" width="8.109375" bestFit="1" customWidth="1"/>
    <col min="12" max="12" width="18" bestFit="1" customWidth="1"/>
    <col min="13" max="13" width="50" bestFit="1" customWidth="1"/>
    <col min="14" max="14" width="18" bestFit="1" customWidth="1"/>
    <col min="15" max="15" width="8.6640625" bestFit="1" customWidth="1"/>
    <col min="16" max="16" width="14.33203125" bestFit="1" customWidth="1"/>
    <col min="17" max="17" width="11.88671875" bestFit="1" customWidth="1"/>
    <col min="18" max="18" width="61.6640625" bestFit="1" customWidth="1"/>
    <col min="19" max="19" width="19.44140625" bestFit="1" customWidth="1"/>
    <col min="20" max="20" width="18.33203125" bestFit="1" customWidth="1"/>
    <col min="21" max="21" width="15.5546875" bestFit="1" customWidth="1"/>
    <col min="22" max="22" width="15.109375" bestFit="1" customWidth="1"/>
    <col min="23" max="23" width="18" bestFit="1" customWidth="1"/>
    <col min="24" max="24" width="48.5546875" bestFit="1" customWidth="1"/>
    <col min="25" max="25" width="48.109375" bestFit="1" customWidth="1"/>
    <col min="26" max="26" width="48.5546875" bestFit="1" customWidth="1"/>
    <col min="27" max="27" width="5.5546875" bestFit="1" customWidth="1"/>
    <col min="28" max="28" width="53.5546875" bestFit="1" customWidth="1"/>
    <col min="29" max="29" width="13.5546875" bestFit="1" customWidth="1"/>
  </cols>
  <sheetData>
    <row r="1" spans="1:29" x14ac:dyDescent="0.3">
      <c r="A1" t="s">
        <v>1378</v>
      </c>
      <c r="B1" t="s">
        <v>1379</v>
      </c>
      <c r="C1" t="s">
        <v>1380</v>
      </c>
      <c r="D1" t="s">
        <v>1381</v>
      </c>
      <c r="E1" t="s">
        <v>1382</v>
      </c>
      <c r="F1" t="s">
        <v>13</v>
      </c>
      <c r="G1" t="s">
        <v>1383</v>
      </c>
      <c r="H1" t="s">
        <v>1384</v>
      </c>
      <c r="I1" t="s">
        <v>10</v>
      </c>
      <c r="J1" t="s">
        <v>1385</v>
      </c>
      <c r="K1" t="s">
        <v>1386</v>
      </c>
      <c r="L1" t="s">
        <v>1387</v>
      </c>
      <c r="M1" t="s">
        <v>1388</v>
      </c>
      <c r="N1" t="s">
        <v>1389</v>
      </c>
      <c r="O1" t="s">
        <v>1390</v>
      </c>
      <c r="P1" t="s">
        <v>1391</v>
      </c>
      <c r="Q1" t="s">
        <v>1392</v>
      </c>
      <c r="R1" t="s">
        <v>1393</v>
      </c>
      <c r="S1" t="s">
        <v>1394</v>
      </c>
      <c r="T1" t="s">
        <v>1395</v>
      </c>
      <c r="U1" t="s">
        <v>1396</v>
      </c>
      <c r="V1" t="s">
        <v>1397</v>
      </c>
      <c r="W1" t="s">
        <v>1398</v>
      </c>
      <c r="X1" t="s">
        <v>1399</v>
      </c>
      <c r="Y1" t="s">
        <v>1400</v>
      </c>
      <c r="Z1" t="s">
        <v>8</v>
      </c>
      <c r="AA1" t="s">
        <v>1401</v>
      </c>
      <c r="AB1" t="s">
        <v>1402</v>
      </c>
      <c r="AC1" t="s">
        <v>1403</v>
      </c>
    </row>
    <row r="2" spans="1:29" x14ac:dyDescent="0.3">
      <c r="A2" t="s">
        <v>1405</v>
      </c>
      <c r="B2" t="s">
        <v>2302</v>
      </c>
      <c r="C2" t="s">
        <v>2303</v>
      </c>
      <c r="D2">
        <v>3620142726</v>
      </c>
      <c r="E2" t="s">
        <v>2304</v>
      </c>
      <c r="F2">
        <v>1004013932</v>
      </c>
      <c r="G2" s="1">
        <v>45355</v>
      </c>
      <c r="H2" t="s">
        <v>1360</v>
      </c>
      <c r="I2" t="s">
        <v>1374</v>
      </c>
      <c r="J2" t="s">
        <v>1354</v>
      </c>
      <c r="K2" t="s">
        <v>1361</v>
      </c>
      <c r="L2" t="s">
        <v>2305</v>
      </c>
      <c r="M2" t="s">
        <v>1409</v>
      </c>
      <c r="N2" t="s">
        <v>1410</v>
      </c>
      <c r="O2" t="s">
        <v>1411</v>
      </c>
      <c r="P2" t="s">
        <v>1411</v>
      </c>
      <c r="Q2" t="s">
        <v>1412</v>
      </c>
      <c r="S2" s="1">
        <v>46069</v>
      </c>
      <c r="W2" s="1">
        <v>27302</v>
      </c>
      <c r="X2" t="s">
        <v>1827</v>
      </c>
      <c r="Y2" t="s">
        <v>1959</v>
      </c>
      <c r="Z2" t="s">
        <v>2306</v>
      </c>
      <c r="AA2" t="s">
        <v>1419</v>
      </c>
      <c r="AB2" t="s">
        <v>237</v>
      </c>
      <c r="AC2">
        <v>21998884941</v>
      </c>
    </row>
    <row r="3" spans="1:29" x14ac:dyDescent="0.3">
      <c r="A3" t="s">
        <v>1405</v>
      </c>
      <c r="B3" t="s">
        <v>2302</v>
      </c>
      <c r="C3" t="s">
        <v>2307</v>
      </c>
      <c r="D3">
        <v>1221974459</v>
      </c>
      <c r="E3">
        <v>6834418</v>
      </c>
      <c r="F3">
        <v>1004017653</v>
      </c>
      <c r="G3" s="1">
        <v>45761</v>
      </c>
      <c r="H3" t="s">
        <v>1360</v>
      </c>
      <c r="I3" t="s">
        <v>1349</v>
      </c>
      <c r="J3" t="s">
        <v>1361</v>
      </c>
      <c r="K3" t="s">
        <v>2308</v>
      </c>
      <c r="L3" t="s">
        <v>2305</v>
      </c>
      <c r="M3" t="s">
        <v>1409</v>
      </c>
      <c r="N3" t="s">
        <v>1410</v>
      </c>
      <c r="O3" t="s">
        <v>1411</v>
      </c>
      <c r="P3" t="s">
        <v>1423</v>
      </c>
      <c r="Q3" t="s">
        <v>1412</v>
      </c>
      <c r="S3" s="1">
        <v>46059</v>
      </c>
      <c r="V3" s="1">
        <v>46055</v>
      </c>
      <c r="W3" s="1">
        <v>30607</v>
      </c>
      <c r="X3" t="s">
        <v>2309</v>
      </c>
      <c r="Z3" t="s">
        <v>2310</v>
      </c>
      <c r="AA3" t="s">
        <v>1419</v>
      </c>
      <c r="AB3" t="s">
        <v>2311</v>
      </c>
      <c r="AC3">
        <v>81995319390</v>
      </c>
    </row>
    <row r="4" spans="1:29" x14ac:dyDescent="0.3">
      <c r="A4" t="s">
        <v>1405</v>
      </c>
      <c r="B4" t="s">
        <v>2302</v>
      </c>
      <c r="C4" t="s">
        <v>2312</v>
      </c>
      <c r="D4">
        <v>2721345206</v>
      </c>
      <c r="E4">
        <v>28570855</v>
      </c>
      <c r="F4">
        <v>1004021000</v>
      </c>
      <c r="G4" s="1">
        <v>46055</v>
      </c>
      <c r="H4" t="s">
        <v>1360</v>
      </c>
      <c r="I4" t="s">
        <v>1374</v>
      </c>
      <c r="J4" t="s">
        <v>2308</v>
      </c>
      <c r="K4" t="s">
        <v>2313</v>
      </c>
      <c r="L4" t="s">
        <v>2305</v>
      </c>
      <c r="M4" t="s">
        <v>1409</v>
      </c>
      <c r="N4" t="s">
        <v>1410</v>
      </c>
      <c r="O4" t="s">
        <v>1411</v>
      </c>
      <c r="P4" t="s">
        <v>1411</v>
      </c>
      <c r="Q4" t="s">
        <v>1412</v>
      </c>
      <c r="S4" s="1">
        <v>46056</v>
      </c>
      <c r="W4" s="1">
        <v>35449</v>
      </c>
      <c r="X4" t="s">
        <v>1825</v>
      </c>
      <c r="Y4" t="s">
        <v>1920</v>
      </c>
      <c r="Z4" t="s">
        <v>2314</v>
      </c>
      <c r="AA4" t="s">
        <v>1419</v>
      </c>
      <c r="AB4" t="s">
        <v>2315</v>
      </c>
      <c r="AC4">
        <v>92984144917</v>
      </c>
    </row>
    <row r="5" spans="1:29" x14ac:dyDescent="0.3">
      <c r="A5" t="s">
        <v>1405</v>
      </c>
      <c r="B5" t="s">
        <v>2302</v>
      </c>
      <c r="C5" t="s">
        <v>2316</v>
      </c>
      <c r="D5">
        <v>45842183900</v>
      </c>
      <c r="E5">
        <v>1030445</v>
      </c>
      <c r="F5">
        <v>1004000756</v>
      </c>
      <c r="G5" s="1">
        <v>42959</v>
      </c>
      <c r="H5" t="s">
        <v>1360</v>
      </c>
      <c r="I5" t="s">
        <v>2317</v>
      </c>
      <c r="J5" t="s">
        <v>2308</v>
      </c>
      <c r="K5" t="s">
        <v>2313</v>
      </c>
      <c r="L5" t="s">
        <v>2305</v>
      </c>
      <c r="M5" t="s">
        <v>1409</v>
      </c>
      <c r="N5" t="s">
        <v>1410</v>
      </c>
      <c r="O5" t="s">
        <v>1423</v>
      </c>
      <c r="P5" t="s">
        <v>1423</v>
      </c>
      <c r="Q5" t="s">
        <v>1412</v>
      </c>
      <c r="S5" s="1">
        <v>43279</v>
      </c>
      <c r="T5" s="1">
        <v>43269</v>
      </c>
      <c r="U5" s="1">
        <v>43283</v>
      </c>
      <c r="W5" s="1">
        <v>21999</v>
      </c>
      <c r="X5" t="s">
        <v>2318</v>
      </c>
      <c r="Y5" t="s">
        <v>2319</v>
      </c>
      <c r="Z5" t="s">
        <v>2320</v>
      </c>
      <c r="AA5" t="s">
        <v>1419</v>
      </c>
      <c r="AB5" t="s">
        <v>2321</v>
      </c>
      <c r="AC5">
        <v>4799258393</v>
      </c>
    </row>
    <row r="6" spans="1:29" x14ac:dyDescent="0.3">
      <c r="A6" t="s">
        <v>1405</v>
      </c>
      <c r="B6" t="s">
        <v>2302</v>
      </c>
      <c r="C6" t="s">
        <v>2322</v>
      </c>
      <c r="D6">
        <v>827295650</v>
      </c>
      <c r="E6" t="s">
        <v>2323</v>
      </c>
      <c r="F6">
        <v>1004017439</v>
      </c>
      <c r="G6" s="1">
        <v>45749</v>
      </c>
      <c r="H6" t="s">
        <v>1360</v>
      </c>
      <c r="I6" t="s">
        <v>1349</v>
      </c>
      <c r="J6" t="s">
        <v>1361</v>
      </c>
      <c r="K6" t="s">
        <v>2308</v>
      </c>
      <c r="L6" t="s">
        <v>2305</v>
      </c>
      <c r="M6" t="s">
        <v>1409</v>
      </c>
      <c r="N6" t="s">
        <v>1410</v>
      </c>
      <c r="O6" t="s">
        <v>1423</v>
      </c>
      <c r="P6" t="s">
        <v>1423</v>
      </c>
      <c r="Q6" t="s">
        <v>1412</v>
      </c>
      <c r="S6" s="1">
        <v>45771</v>
      </c>
      <c r="V6" s="1">
        <v>45766</v>
      </c>
      <c r="W6" s="1">
        <v>28622</v>
      </c>
      <c r="X6" t="s">
        <v>2324</v>
      </c>
      <c r="Z6" t="s">
        <v>2325</v>
      </c>
      <c r="AA6" t="s">
        <v>1415</v>
      </c>
      <c r="AB6" t="s">
        <v>2326</v>
      </c>
      <c r="AC6">
        <v>38998018465</v>
      </c>
    </row>
    <row r="7" spans="1:29" x14ac:dyDescent="0.3">
      <c r="A7" t="s">
        <v>1405</v>
      </c>
      <c r="B7" t="s">
        <v>2302</v>
      </c>
      <c r="C7" t="s">
        <v>2327</v>
      </c>
      <c r="D7">
        <v>2620348595</v>
      </c>
      <c r="E7">
        <v>1374218006</v>
      </c>
      <c r="F7">
        <v>1004002905</v>
      </c>
      <c r="G7" s="1">
        <v>43515</v>
      </c>
      <c r="H7" t="s">
        <v>1360</v>
      </c>
      <c r="I7" t="s">
        <v>1349</v>
      </c>
      <c r="J7" t="s">
        <v>2308</v>
      </c>
      <c r="K7" t="s">
        <v>2313</v>
      </c>
      <c r="L7" t="s">
        <v>2305</v>
      </c>
      <c r="M7" t="s">
        <v>1409</v>
      </c>
      <c r="N7" t="s">
        <v>1410</v>
      </c>
      <c r="O7" t="s">
        <v>1411</v>
      </c>
      <c r="P7" t="s">
        <v>1411</v>
      </c>
      <c r="Q7" t="s">
        <v>1412</v>
      </c>
      <c r="S7" s="1">
        <v>46059</v>
      </c>
      <c r="V7" s="1">
        <v>46055</v>
      </c>
      <c r="W7" s="1">
        <v>31624</v>
      </c>
      <c r="X7" t="s">
        <v>2328</v>
      </c>
      <c r="Y7" t="s">
        <v>2329</v>
      </c>
      <c r="Z7" t="s">
        <v>2330</v>
      </c>
      <c r="AA7" t="s">
        <v>1419</v>
      </c>
      <c r="AB7" t="s">
        <v>2331</v>
      </c>
      <c r="AC7">
        <v>73999840240</v>
      </c>
    </row>
    <row r="8" spans="1:29" x14ac:dyDescent="0.3">
      <c r="A8" t="s">
        <v>1405</v>
      </c>
      <c r="B8" t="s">
        <v>2302</v>
      </c>
      <c r="C8" t="s">
        <v>2332</v>
      </c>
      <c r="D8">
        <v>2439899119</v>
      </c>
      <c r="E8">
        <v>16856775</v>
      </c>
      <c r="F8">
        <v>1004001594</v>
      </c>
      <c r="G8" s="1">
        <v>43178</v>
      </c>
      <c r="H8" t="s">
        <v>1360</v>
      </c>
      <c r="I8" t="s">
        <v>1374</v>
      </c>
      <c r="J8" t="s">
        <v>2308</v>
      </c>
      <c r="K8" t="s">
        <v>2313</v>
      </c>
      <c r="L8" t="s">
        <v>2305</v>
      </c>
      <c r="M8" t="s">
        <v>1409</v>
      </c>
      <c r="N8" t="s">
        <v>1410</v>
      </c>
      <c r="O8" t="s">
        <v>1423</v>
      </c>
      <c r="P8" t="s">
        <v>1423</v>
      </c>
      <c r="Q8" t="s">
        <v>1593</v>
      </c>
      <c r="S8" s="1">
        <v>46085</v>
      </c>
      <c r="T8" s="1">
        <v>45918</v>
      </c>
      <c r="U8" s="1">
        <v>46037</v>
      </c>
      <c r="W8" s="1">
        <v>32273</v>
      </c>
      <c r="X8" t="s">
        <v>1858</v>
      </c>
      <c r="Y8" t="s">
        <v>1762</v>
      </c>
      <c r="Z8" t="s">
        <v>2333</v>
      </c>
      <c r="AA8" t="s">
        <v>1419</v>
      </c>
      <c r="AB8" t="s">
        <v>2334</v>
      </c>
      <c r="AC8">
        <v>66999588293</v>
      </c>
    </row>
    <row r="9" spans="1:29" x14ac:dyDescent="0.3">
      <c r="A9" t="s">
        <v>1405</v>
      </c>
      <c r="B9" t="s">
        <v>2302</v>
      </c>
      <c r="C9" t="s">
        <v>2335</v>
      </c>
      <c r="D9">
        <v>2136298879</v>
      </c>
      <c r="E9">
        <v>156957553</v>
      </c>
      <c r="F9">
        <v>1004001572</v>
      </c>
      <c r="G9" s="1">
        <v>43179</v>
      </c>
      <c r="H9" t="s">
        <v>1360</v>
      </c>
      <c r="I9" t="s">
        <v>1374</v>
      </c>
      <c r="J9" t="s">
        <v>2308</v>
      </c>
      <c r="K9" t="s">
        <v>2313</v>
      </c>
      <c r="L9" t="s">
        <v>2305</v>
      </c>
      <c r="M9" t="s">
        <v>1409</v>
      </c>
      <c r="N9" t="s">
        <v>1410</v>
      </c>
      <c r="O9" t="s">
        <v>1423</v>
      </c>
      <c r="P9" t="s">
        <v>1423</v>
      </c>
      <c r="Q9" t="s">
        <v>1412</v>
      </c>
      <c r="S9" s="1">
        <v>46043</v>
      </c>
      <c r="W9" s="1">
        <v>22813</v>
      </c>
      <c r="X9" t="s">
        <v>1510</v>
      </c>
      <c r="Y9" t="s">
        <v>2336</v>
      </c>
      <c r="Z9" t="s">
        <v>2337</v>
      </c>
      <c r="AA9" t="s">
        <v>1415</v>
      </c>
      <c r="AB9" t="s">
        <v>2338</v>
      </c>
      <c r="AC9">
        <v>51999065800</v>
      </c>
    </row>
    <row r="10" spans="1:29" x14ac:dyDescent="0.3">
      <c r="A10" t="s">
        <v>1405</v>
      </c>
      <c r="B10" t="s">
        <v>2302</v>
      </c>
      <c r="C10" t="s">
        <v>2339</v>
      </c>
      <c r="D10">
        <v>448725932</v>
      </c>
      <c r="E10">
        <v>3203600</v>
      </c>
      <c r="F10">
        <v>1004007474</v>
      </c>
      <c r="G10" s="1">
        <v>44260</v>
      </c>
      <c r="H10" t="s">
        <v>1360</v>
      </c>
      <c r="I10" t="s">
        <v>1374</v>
      </c>
      <c r="J10" t="s">
        <v>2308</v>
      </c>
      <c r="K10" t="s">
        <v>2313</v>
      </c>
      <c r="L10" t="s">
        <v>2305</v>
      </c>
      <c r="M10" t="s">
        <v>1409</v>
      </c>
      <c r="N10" t="s">
        <v>1410</v>
      </c>
      <c r="O10" t="s">
        <v>1423</v>
      </c>
      <c r="P10" t="s">
        <v>1423</v>
      </c>
      <c r="Q10" t="s">
        <v>1412</v>
      </c>
      <c r="S10" s="1">
        <v>46043</v>
      </c>
      <c r="W10" s="1">
        <v>28963</v>
      </c>
      <c r="X10" t="s">
        <v>1717</v>
      </c>
      <c r="Y10" t="s">
        <v>1718</v>
      </c>
      <c r="Z10" t="s">
        <v>2340</v>
      </c>
      <c r="AA10" t="s">
        <v>1415</v>
      </c>
      <c r="AB10" t="s">
        <v>2341</v>
      </c>
      <c r="AC10">
        <v>47996217641</v>
      </c>
    </row>
    <row r="11" spans="1:29" x14ac:dyDescent="0.3">
      <c r="A11" t="s">
        <v>1405</v>
      </c>
      <c r="B11" t="s">
        <v>2302</v>
      </c>
      <c r="C11" t="s">
        <v>2342</v>
      </c>
      <c r="D11">
        <v>81425783368</v>
      </c>
      <c r="E11">
        <v>2004009019530</v>
      </c>
      <c r="F11">
        <v>1004005734</v>
      </c>
      <c r="G11" s="1">
        <v>43910</v>
      </c>
      <c r="H11" t="s">
        <v>1360</v>
      </c>
      <c r="I11" t="s">
        <v>1349</v>
      </c>
      <c r="J11" t="s">
        <v>2308</v>
      </c>
      <c r="K11" t="s">
        <v>2313</v>
      </c>
      <c r="L11" t="s">
        <v>2305</v>
      </c>
      <c r="M11" t="s">
        <v>1409</v>
      </c>
      <c r="N11" t="s">
        <v>1410</v>
      </c>
      <c r="O11" t="s">
        <v>1423</v>
      </c>
      <c r="P11" t="s">
        <v>1423</v>
      </c>
      <c r="Q11" t="s">
        <v>1412</v>
      </c>
      <c r="S11" s="1">
        <v>46085</v>
      </c>
      <c r="V11" s="1">
        <v>46083</v>
      </c>
      <c r="W11" s="1">
        <v>28489</v>
      </c>
      <c r="X11" t="s">
        <v>2343</v>
      </c>
      <c r="Y11" t="s">
        <v>2344</v>
      </c>
      <c r="Z11" t="s">
        <v>2345</v>
      </c>
      <c r="AA11" t="s">
        <v>1419</v>
      </c>
      <c r="AB11" t="s">
        <v>2346</v>
      </c>
      <c r="AC11">
        <v>85987049191</v>
      </c>
    </row>
    <row r="12" spans="1:29" x14ac:dyDescent="0.3">
      <c r="A12" t="s">
        <v>1405</v>
      </c>
      <c r="B12" t="s">
        <v>2302</v>
      </c>
      <c r="C12" t="s">
        <v>2347</v>
      </c>
      <c r="D12">
        <v>73379948268</v>
      </c>
      <c r="E12">
        <v>8533001</v>
      </c>
      <c r="F12">
        <v>1004015388</v>
      </c>
      <c r="G12" s="1">
        <v>45519</v>
      </c>
      <c r="H12" t="s">
        <v>1360</v>
      </c>
      <c r="I12" t="s">
        <v>1349</v>
      </c>
      <c r="J12" t="s">
        <v>2348</v>
      </c>
      <c r="K12" t="s">
        <v>2308</v>
      </c>
      <c r="L12" t="s">
        <v>2305</v>
      </c>
      <c r="M12" t="s">
        <v>1409</v>
      </c>
      <c r="N12" t="s">
        <v>1410</v>
      </c>
      <c r="O12" t="s">
        <v>1411</v>
      </c>
      <c r="P12" t="s">
        <v>1411</v>
      </c>
      <c r="Q12" t="s">
        <v>1412</v>
      </c>
      <c r="S12" s="1">
        <v>46087</v>
      </c>
      <c r="V12" s="1">
        <v>46083</v>
      </c>
      <c r="W12" s="1">
        <v>29721</v>
      </c>
      <c r="X12" t="s">
        <v>2349</v>
      </c>
      <c r="Z12" t="s">
        <v>2350</v>
      </c>
      <c r="AA12" t="s">
        <v>1419</v>
      </c>
      <c r="AB12" t="s">
        <v>2351</v>
      </c>
      <c r="AC12">
        <v>91989121842</v>
      </c>
    </row>
    <row r="13" spans="1:29" x14ac:dyDescent="0.3">
      <c r="A13" t="s">
        <v>1405</v>
      </c>
      <c r="B13" t="s">
        <v>2302</v>
      </c>
      <c r="C13" t="s">
        <v>2352</v>
      </c>
      <c r="D13">
        <v>64772969004</v>
      </c>
      <c r="E13">
        <v>5271152</v>
      </c>
      <c r="F13">
        <v>1004004692</v>
      </c>
      <c r="G13" s="1">
        <v>43720</v>
      </c>
      <c r="H13" t="s">
        <v>1360</v>
      </c>
      <c r="I13" t="s">
        <v>1374</v>
      </c>
      <c r="J13" t="s">
        <v>2308</v>
      </c>
      <c r="K13" t="s">
        <v>2313</v>
      </c>
      <c r="L13" t="s">
        <v>2305</v>
      </c>
      <c r="M13" t="s">
        <v>1447</v>
      </c>
      <c r="N13" t="s">
        <v>1448</v>
      </c>
      <c r="O13" t="s">
        <v>1423</v>
      </c>
      <c r="P13" t="s">
        <v>1423</v>
      </c>
      <c r="Q13" t="s">
        <v>1412</v>
      </c>
      <c r="S13" s="1">
        <v>46043</v>
      </c>
      <c r="W13" s="1">
        <v>26007</v>
      </c>
      <c r="X13" t="s">
        <v>1956</v>
      </c>
      <c r="Y13" t="s">
        <v>2175</v>
      </c>
      <c r="Z13" t="s">
        <v>2353</v>
      </c>
      <c r="AA13" t="s">
        <v>1419</v>
      </c>
      <c r="AB13" t="s">
        <v>2354</v>
      </c>
      <c r="AC13">
        <v>47996562221</v>
      </c>
    </row>
    <row r="14" spans="1:29" x14ac:dyDescent="0.3">
      <c r="A14" t="s">
        <v>1405</v>
      </c>
      <c r="B14" t="s">
        <v>2302</v>
      </c>
      <c r="C14" t="s">
        <v>2355</v>
      </c>
      <c r="D14">
        <v>89828933934</v>
      </c>
      <c r="E14" t="s">
        <v>2356</v>
      </c>
      <c r="F14">
        <v>1004017675</v>
      </c>
      <c r="G14" s="1">
        <v>45761</v>
      </c>
      <c r="H14" t="s">
        <v>1360</v>
      </c>
      <c r="I14" t="s">
        <v>1349</v>
      </c>
      <c r="J14" t="s">
        <v>1361</v>
      </c>
      <c r="K14" t="s">
        <v>2308</v>
      </c>
      <c r="L14" t="s">
        <v>2305</v>
      </c>
      <c r="M14" t="s">
        <v>1409</v>
      </c>
      <c r="N14" t="s">
        <v>1410</v>
      </c>
      <c r="O14" t="s">
        <v>1423</v>
      </c>
      <c r="P14" t="s">
        <v>1423</v>
      </c>
      <c r="Q14" t="s">
        <v>1412</v>
      </c>
      <c r="S14" s="1">
        <v>45770</v>
      </c>
      <c r="V14" s="1">
        <v>45769</v>
      </c>
      <c r="W14" s="1">
        <v>25798</v>
      </c>
      <c r="X14" t="s">
        <v>2357</v>
      </c>
      <c r="Z14" t="s">
        <v>2358</v>
      </c>
      <c r="AA14" t="s">
        <v>1419</v>
      </c>
      <c r="AB14" t="s">
        <v>2359</v>
      </c>
      <c r="AC14">
        <v>51981320751</v>
      </c>
    </row>
    <row r="15" spans="1:29" x14ac:dyDescent="0.3">
      <c r="A15" t="s">
        <v>1405</v>
      </c>
      <c r="B15" t="s">
        <v>2302</v>
      </c>
      <c r="C15" t="s">
        <v>2360</v>
      </c>
      <c r="D15">
        <v>3891815522</v>
      </c>
      <c r="E15">
        <v>1459993519</v>
      </c>
      <c r="F15">
        <v>1004004288</v>
      </c>
      <c r="G15" s="1">
        <v>43685</v>
      </c>
      <c r="H15" t="s">
        <v>1360</v>
      </c>
      <c r="I15" t="s">
        <v>1349</v>
      </c>
      <c r="J15" t="s">
        <v>2308</v>
      </c>
      <c r="K15" t="s">
        <v>2313</v>
      </c>
      <c r="L15" t="s">
        <v>2305</v>
      </c>
      <c r="M15" t="s">
        <v>1409</v>
      </c>
      <c r="N15" t="s">
        <v>1410</v>
      </c>
      <c r="O15" t="s">
        <v>1423</v>
      </c>
      <c r="P15" t="s">
        <v>1423</v>
      </c>
      <c r="Q15" t="s">
        <v>1412</v>
      </c>
      <c r="S15" s="1">
        <v>45757</v>
      </c>
      <c r="V15" s="1">
        <v>45754</v>
      </c>
      <c r="W15" s="1">
        <v>33210</v>
      </c>
      <c r="X15" t="s">
        <v>2361</v>
      </c>
      <c r="Y15" t="s">
        <v>2362</v>
      </c>
      <c r="Z15" t="s">
        <v>2363</v>
      </c>
      <c r="AA15" t="s">
        <v>1419</v>
      </c>
      <c r="AB15" t="s">
        <v>2364</v>
      </c>
      <c r="AC15">
        <v>75991745191</v>
      </c>
    </row>
    <row r="16" spans="1:29" x14ac:dyDescent="0.3">
      <c r="A16" t="s">
        <v>1405</v>
      </c>
      <c r="B16" t="s">
        <v>2302</v>
      </c>
      <c r="C16" t="s">
        <v>2365</v>
      </c>
      <c r="D16">
        <v>89585747987</v>
      </c>
      <c r="E16">
        <v>2217191</v>
      </c>
      <c r="F16">
        <v>1004003710</v>
      </c>
      <c r="G16" s="1">
        <v>43593</v>
      </c>
      <c r="H16" t="s">
        <v>1360</v>
      </c>
      <c r="I16" t="s">
        <v>1374</v>
      </c>
      <c r="J16" t="s">
        <v>2308</v>
      </c>
      <c r="K16" t="s">
        <v>2313</v>
      </c>
      <c r="L16" t="s">
        <v>2305</v>
      </c>
      <c r="M16" t="s">
        <v>1409</v>
      </c>
      <c r="N16" t="s">
        <v>1410</v>
      </c>
      <c r="O16" t="s">
        <v>1423</v>
      </c>
      <c r="P16" t="s">
        <v>1423</v>
      </c>
      <c r="Q16" t="s">
        <v>1412</v>
      </c>
      <c r="S16" s="1">
        <v>46043</v>
      </c>
      <c r="W16" s="1">
        <v>25335</v>
      </c>
      <c r="X16" t="s">
        <v>2366</v>
      </c>
      <c r="Y16" t="s">
        <v>2367</v>
      </c>
      <c r="Z16" t="s">
        <v>2368</v>
      </c>
      <c r="AA16" t="s">
        <v>1419</v>
      </c>
      <c r="AB16" t="s">
        <v>2369</v>
      </c>
      <c r="AC16">
        <v>48999966735</v>
      </c>
    </row>
    <row r="17" spans="1:29" x14ac:dyDescent="0.3">
      <c r="A17" t="s">
        <v>1405</v>
      </c>
      <c r="B17" t="s">
        <v>2302</v>
      </c>
      <c r="C17" t="s">
        <v>2370</v>
      </c>
      <c r="D17">
        <v>84798866253</v>
      </c>
      <c r="E17">
        <v>5154655</v>
      </c>
      <c r="F17">
        <v>1004014249</v>
      </c>
      <c r="G17" s="1">
        <v>45369</v>
      </c>
      <c r="H17" t="s">
        <v>1360</v>
      </c>
      <c r="I17" t="s">
        <v>1374</v>
      </c>
      <c r="J17" t="s">
        <v>1361</v>
      </c>
      <c r="K17" t="s">
        <v>2308</v>
      </c>
      <c r="L17" t="s">
        <v>2305</v>
      </c>
      <c r="M17" t="s">
        <v>1409</v>
      </c>
      <c r="N17" t="s">
        <v>1410</v>
      </c>
      <c r="O17" t="s">
        <v>1411</v>
      </c>
      <c r="P17" t="s">
        <v>1411</v>
      </c>
      <c r="Q17" t="s">
        <v>1412</v>
      </c>
      <c r="S17" s="1">
        <v>46043</v>
      </c>
      <c r="W17" s="1">
        <v>30191</v>
      </c>
      <c r="X17" t="s">
        <v>1950</v>
      </c>
      <c r="Y17" t="s">
        <v>2000</v>
      </c>
      <c r="Z17" t="s">
        <v>2371</v>
      </c>
      <c r="AA17" t="s">
        <v>1419</v>
      </c>
      <c r="AB17" t="s">
        <v>2372</v>
      </c>
      <c r="AC17">
        <v>92984058031</v>
      </c>
    </row>
    <row r="18" spans="1:29" x14ac:dyDescent="0.3">
      <c r="A18" t="s">
        <v>1405</v>
      </c>
      <c r="B18" t="s">
        <v>2302</v>
      </c>
      <c r="C18" t="s">
        <v>2373</v>
      </c>
      <c r="D18">
        <v>829322981</v>
      </c>
      <c r="E18">
        <v>4085791</v>
      </c>
      <c r="F18">
        <v>1004009527</v>
      </c>
      <c r="G18" s="1">
        <v>44643</v>
      </c>
      <c r="H18" t="s">
        <v>1360</v>
      </c>
      <c r="I18" t="s">
        <v>1349</v>
      </c>
      <c r="J18" t="s">
        <v>1361</v>
      </c>
      <c r="K18" t="s">
        <v>2308</v>
      </c>
      <c r="L18" t="s">
        <v>2305</v>
      </c>
      <c r="M18" t="s">
        <v>1409</v>
      </c>
      <c r="N18" t="s">
        <v>1410</v>
      </c>
      <c r="O18" t="s">
        <v>1423</v>
      </c>
      <c r="P18" t="s">
        <v>1423</v>
      </c>
      <c r="Q18" t="s">
        <v>1412</v>
      </c>
      <c r="S18" s="1">
        <v>46057</v>
      </c>
      <c r="V18" s="1">
        <v>46055</v>
      </c>
      <c r="W18" s="1">
        <v>29726</v>
      </c>
      <c r="X18" t="s">
        <v>2374</v>
      </c>
      <c r="Y18" t="s">
        <v>1475</v>
      </c>
      <c r="Z18" t="s">
        <v>2320</v>
      </c>
      <c r="AA18" t="s">
        <v>1415</v>
      </c>
      <c r="AB18" t="s">
        <v>2375</v>
      </c>
      <c r="AC18">
        <v>47999365852</v>
      </c>
    </row>
    <row r="19" spans="1:29" x14ac:dyDescent="0.3">
      <c r="A19" t="s">
        <v>1405</v>
      </c>
      <c r="B19" t="s">
        <v>2302</v>
      </c>
      <c r="C19" t="s">
        <v>2376</v>
      </c>
      <c r="D19">
        <v>93579888072</v>
      </c>
      <c r="E19">
        <v>6045423916</v>
      </c>
      <c r="F19">
        <v>42004200679</v>
      </c>
      <c r="G19" s="1">
        <v>41687</v>
      </c>
      <c r="H19" t="s">
        <v>1360</v>
      </c>
      <c r="I19" t="s">
        <v>2317</v>
      </c>
      <c r="J19" t="s">
        <v>2308</v>
      </c>
      <c r="K19" t="s">
        <v>2313</v>
      </c>
      <c r="L19" t="s">
        <v>2305</v>
      </c>
      <c r="M19" t="s">
        <v>1447</v>
      </c>
      <c r="N19" t="s">
        <v>1448</v>
      </c>
      <c r="O19" t="s">
        <v>1423</v>
      </c>
      <c r="P19" t="s">
        <v>1423</v>
      </c>
      <c r="Q19" t="s">
        <v>1412</v>
      </c>
      <c r="S19" s="1">
        <v>45706</v>
      </c>
      <c r="T19" s="1">
        <v>45706</v>
      </c>
      <c r="W19" s="1">
        <v>28504</v>
      </c>
      <c r="X19" t="s">
        <v>1485</v>
      </c>
      <c r="Y19" t="s">
        <v>2377</v>
      </c>
      <c r="Z19" t="s">
        <v>2378</v>
      </c>
      <c r="AA19" t="s">
        <v>1415</v>
      </c>
      <c r="AB19" t="s">
        <v>2379</v>
      </c>
      <c r="AC19">
        <v>51991167864</v>
      </c>
    </row>
    <row r="20" spans="1:29" x14ac:dyDescent="0.3">
      <c r="A20" t="s">
        <v>1405</v>
      </c>
      <c r="B20" t="s">
        <v>2302</v>
      </c>
      <c r="C20" t="s">
        <v>2380</v>
      </c>
      <c r="D20">
        <v>4438252113</v>
      </c>
      <c r="E20">
        <v>1970564</v>
      </c>
      <c r="F20">
        <v>1004012885</v>
      </c>
      <c r="G20" s="1">
        <v>45182</v>
      </c>
      <c r="H20" t="s">
        <v>1360</v>
      </c>
      <c r="I20" t="s">
        <v>1349</v>
      </c>
      <c r="J20" t="s">
        <v>2348</v>
      </c>
      <c r="K20" t="s">
        <v>2308</v>
      </c>
      <c r="L20" t="s">
        <v>2305</v>
      </c>
      <c r="M20" t="s">
        <v>1409</v>
      </c>
      <c r="N20" t="s">
        <v>1410</v>
      </c>
      <c r="O20" t="s">
        <v>1411</v>
      </c>
      <c r="P20" t="s">
        <v>1411</v>
      </c>
      <c r="Q20" t="s">
        <v>1412</v>
      </c>
      <c r="S20" s="1">
        <v>45910</v>
      </c>
      <c r="V20" s="1">
        <v>45901</v>
      </c>
      <c r="W20" s="1">
        <v>34008</v>
      </c>
      <c r="X20" t="s">
        <v>2194</v>
      </c>
      <c r="Z20" t="s">
        <v>2381</v>
      </c>
      <c r="AA20" t="s">
        <v>1419</v>
      </c>
      <c r="AB20" t="s">
        <v>2382</v>
      </c>
      <c r="AC20">
        <v>67981868553</v>
      </c>
    </row>
    <row r="21" spans="1:29" x14ac:dyDescent="0.3">
      <c r="A21" t="s">
        <v>1405</v>
      </c>
      <c r="B21" t="s">
        <v>2302</v>
      </c>
      <c r="C21" t="s">
        <v>2383</v>
      </c>
      <c r="D21">
        <v>2770159011</v>
      </c>
      <c r="E21">
        <v>7102273773</v>
      </c>
      <c r="F21">
        <v>1004006429</v>
      </c>
      <c r="G21" s="1">
        <v>43990</v>
      </c>
      <c r="H21" t="s">
        <v>1360</v>
      </c>
      <c r="I21" t="s">
        <v>1349</v>
      </c>
      <c r="J21" t="s">
        <v>2308</v>
      </c>
      <c r="K21" t="s">
        <v>2313</v>
      </c>
      <c r="L21" t="s">
        <v>2305</v>
      </c>
      <c r="M21" t="s">
        <v>1421</v>
      </c>
      <c r="N21" t="s">
        <v>1410</v>
      </c>
      <c r="O21" t="s">
        <v>1423</v>
      </c>
      <c r="P21" t="s">
        <v>1423</v>
      </c>
      <c r="Q21" t="s">
        <v>1412</v>
      </c>
      <c r="S21" s="1">
        <v>46059</v>
      </c>
      <c r="V21" s="1">
        <v>46056</v>
      </c>
      <c r="W21" s="1">
        <v>32930</v>
      </c>
      <c r="X21" t="s">
        <v>2215</v>
      </c>
      <c r="Y21" t="s">
        <v>2384</v>
      </c>
      <c r="Z21" t="s">
        <v>2385</v>
      </c>
      <c r="AA21" t="s">
        <v>1419</v>
      </c>
      <c r="AB21" t="s">
        <v>2386</v>
      </c>
      <c r="AC21">
        <v>51996137703</v>
      </c>
    </row>
    <row r="22" spans="1:29" x14ac:dyDescent="0.3">
      <c r="A22" t="s">
        <v>1405</v>
      </c>
      <c r="B22" t="s">
        <v>2302</v>
      </c>
      <c r="C22" t="s">
        <v>2387</v>
      </c>
      <c r="D22">
        <v>1093264071</v>
      </c>
      <c r="E22">
        <v>8084638132</v>
      </c>
      <c r="F22">
        <v>1004001374</v>
      </c>
      <c r="G22" s="1">
        <v>43153</v>
      </c>
      <c r="H22" t="s">
        <v>1360</v>
      </c>
      <c r="I22" t="s">
        <v>1349</v>
      </c>
      <c r="J22" t="s">
        <v>2308</v>
      </c>
      <c r="K22" t="s">
        <v>2313</v>
      </c>
      <c r="L22" t="s">
        <v>2305</v>
      </c>
      <c r="M22" t="s">
        <v>1447</v>
      </c>
      <c r="N22" t="s">
        <v>1448</v>
      </c>
      <c r="O22" t="s">
        <v>1423</v>
      </c>
      <c r="P22" t="s">
        <v>1423</v>
      </c>
      <c r="Q22" t="s">
        <v>1412</v>
      </c>
      <c r="S22" s="1">
        <v>45856</v>
      </c>
      <c r="V22" s="1">
        <v>45855</v>
      </c>
      <c r="W22" s="1">
        <v>31813</v>
      </c>
      <c r="X22" t="s">
        <v>2388</v>
      </c>
      <c r="Y22" t="s">
        <v>2389</v>
      </c>
      <c r="Z22" t="s">
        <v>2337</v>
      </c>
      <c r="AA22" t="s">
        <v>1415</v>
      </c>
      <c r="AB22" t="s">
        <v>2390</v>
      </c>
      <c r="AC22">
        <v>51996748339</v>
      </c>
    </row>
    <row r="23" spans="1:29" x14ac:dyDescent="0.3">
      <c r="A23" t="s">
        <v>1405</v>
      </c>
      <c r="B23" t="s">
        <v>2302</v>
      </c>
      <c r="C23" t="s">
        <v>2391</v>
      </c>
      <c r="D23">
        <v>416026338</v>
      </c>
      <c r="E23">
        <v>2002028025625</v>
      </c>
      <c r="F23">
        <v>1004003447</v>
      </c>
      <c r="G23" s="1">
        <v>43567</v>
      </c>
      <c r="H23" t="s">
        <v>1360</v>
      </c>
      <c r="I23" t="s">
        <v>1349</v>
      </c>
      <c r="J23" t="s">
        <v>2308</v>
      </c>
      <c r="K23" t="s">
        <v>2313</v>
      </c>
      <c r="L23" t="s">
        <v>2305</v>
      </c>
      <c r="M23" t="s">
        <v>1409</v>
      </c>
      <c r="N23" t="s">
        <v>1410</v>
      </c>
      <c r="O23" t="s">
        <v>1411</v>
      </c>
      <c r="P23" t="s">
        <v>1411</v>
      </c>
      <c r="Q23" t="s">
        <v>1412</v>
      </c>
      <c r="S23" s="1">
        <v>46073</v>
      </c>
      <c r="V23" s="1">
        <v>46079</v>
      </c>
      <c r="W23" s="1">
        <v>30655</v>
      </c>
      <c r="X23" t="s">
        <v>1561</v>
      </c>
      <c r="Y23" t="s">
        <v>2392</v>
      </c>
      <c r="Z23" t="s">
        <v>2393</v>
      </c>
      <c r="AA23" t="s">
        <v>1415</v>
      </c>
      <c r="AB23" t="s">
        <v>2394</v>
      </c>
      <c r="AC23">
        <v>85991847907</v>
      </c>
    </row>
    <row r="24" spans="1:29" x14ac:dyDescent="0.3">
      <c r="A24" t="s">
        <v>1405</v>
      </c>
      <c r="B24" t="s">
        <v>2302</v>
      </c>
      <c r="C24" t="s">
        <v>2395</v>
      </c>
      <c r="D24">
        <v>61500909220</v>
      </c>
      <c r="E24">
        <v>3324539</v>
      </c>
      <c r="F24">
        <v>1004004945</v>
      </c>
      <c r="G24" s="1">
        <v>43757</v>
      </c>
      <c r="H24" t="s">
        <v>1360</v>
      </c>
      <c r="I24" t="s">
        <v>1374</v>
      </c>
      <c r="J24" t="s">
        <v>2308</v>
      </c>
      <c r="K24" t="s">
        <v>2313</v>
      </c>
      <c r="L24" t="s">
        <v>2305</v>
      </c>
      <c r="M24" t="s">
        <v>1409</v>
      </c>
      <c r="N24" t="s">
        <v>1410</v>
      </c>
      <c r="O24" t="s">
        <v>1411</v>
      </c>
      <c r="P24" t="s">
        <v>1411</v>
      </c>
      <c r="Q24" t="s">
        <v>1412</v>
      </c>
      <c r="S24" s="1">
        <v>46043</v>
      </c>
      <c r="W24" s="1">
        <v>28616</v>
      </c>
      <c r="X24" t="s">
        <v>2396</v>
      </c>
      <c r="Z24" t="s">
        <v>2397</v>
      </c>
      <c r="AA24" t="s">
        <v>1415</v>
      </c>
      <c r="AB24" t="s">
        <v>2398</v>
      </c>
      <c r="AC24">
        <v>91984023837</v>
      </c>
    </row>
    <row r="25" spans="1:29" x14ac:dyDescent="0.3">
      <c r="A25" t="s">
        <v>1405</v>
      </c>
      <c r="B25" t="s">
        <v>2302</v>
      </c>
      <c r="C25" t="s">
        <v>2399</v>
      </c>
      <c r="D25">
        <v>99936747100</v>
      </c>
      <c r="E25" s="3">
        <v>1162732</v>
      </c>
      <c r="F25">
        <v>1004021283</v>
      </c>
      <c r="G25" s="1">
        <v>46064</v>
      </c>
      <c r="H25" t="s">
        <v>1360</v>
      </c>
      <c r="I25" t="s">
        <v>1374</v>
      </c>
      <c r="J25" t="s">
        <v>2308</v>
      </c>
      <c r="K25" t="s">
        <v>2313</v>
      </c>
      <c r="L25" t="s">
        <v>2305</v>
      </c>
      <c r="M25" t="s">
        <v>1409</v>
      </c>
      <c r="N25" t="s">
        <v>1410</v>
      </c>
      <c r="O25" t="s">
        <v>1423</v>
      </c>
      <c r="P25" t="s">
        <v>1423</v>
      </c>
      <c r="Q25" t="s">
        <v>1412</v>
      </c>
      <c r="S25" s="1">
        <v>46062</v>
      </c>
      <c r="W25" s="1">
        <v>31147</v>
      </c>
      <c r="X25" t="s">
        <v>2194</v>
      </c>
      <c r="Y25" t="s">
        <v>2400</v>
      </c>
      <c r="Z25" t="s">
        <v>2381</v>
      </c>
      <c r="AA25" t="s">
        <v>1415</v>
      </c>
      <c r="AB25" t="s">
        <v>2401</v>
      </c>
      <c r="AC25">
        <v>67981954852</v>
      </c>
    </row>
    <row r="26" spans="1:29" x14ac:dyDescent="0.3">
      <c r="A26" t="s">
        <v>1405</v>
      </c>
      <c r="B26" t="s">
        <v>2302</v>
      </c>
      <c r="C26" t="s">
        <v>2402</v>
      </c>
      <c r="D26">
        <v>91415411204</v>
      </c>
      <c r="E26">
        <v>5203635</v>
      </c>
      <c r="F26">
        <v>1004004702</v>
      </c>
      <c r="G26" s="1">
        <v>43722</v>
      </c>
      <c r="H26" t="s">
        <v>1360</v>
      </c>
      <c r="I26" t="s">
        <v>1349</v>
      </c>
      <c r="J26" t="s">
        <v>2308</v>
      </c>
      <c r="K26" t="s">
        <v>2313</v>
      </c>
      <c r="L26" t="s">
        <v>2305</v>
      </c>
      <c r="M26" t="s">
        <v>1421</v>
      </c>
      <c r="N26" t="s">
        <v>1422</v>
      </c>
      <c r="O26" t="s">
        <v>1411</v>
      </c>
      <c r="P26" t="s">
        <v>1411</v>
      </c>
      <c r="Q26" t="s">
        <v>1412</v>
      </c>
      <c r="S26" s="1">
        <v>45785</v>
      </c>
      <c r="V26" s="1">
        <v>45782</v>
      </c>
      <c r="W26" s="1">
        <v>31581</v>
      </c>
      <c r="X26" t="s">
        <v>2403</v>
      </c>
      <c r="Y26" t="s">
        <v>2404</v>
      </c>
      <c r="Z26" t="s">
        <v>2405</v>
      </c>
      <c r="AA26" t="s">
        <v>1419</v>
      </c>
      <c r="AB26" t="s">
        <v>2406</v>
      </c>
      <c r="AC26">
        <v>91988882623</v>
      </c>
    </row>
    <row r="27" spans="1:29" x14ac:dyDescent="0.3">
      <c r="A27" t="s">
        <v>1405</v>
      </c>
      <c r="B27" t="s">
        <v>2302</v>
      </c>
      <c r="C27" t="s">
        <v>2407</v>
      </c>
      <c r="D27">
        <v>2420418760</v>
      </c>
      <c r="E27">
        <v>100041557</v>
      </c>
      <c r="F27">
        <v>1004018261</v>
      </c>
      <c r="G27" s="1">
        <v>45810</v>
      </c>
      <c r="H27" t="s">
        <v>1360</v>
      </c>
      <c r="I27" t="s">
        <v>1374</v>
      </c>
      <c r="J27" t="s">
        <v>1361</v>
      </c>
      <c r="K27" t="s">
        <v>2308</v>
      </c>
      <c r="L27" t="s">
        <v>2305</v>
      </c>
      <c r="M27" t="s">
        <v>1409</v>
      </c>
      <c r="N27" t="s">
        <v>1410</v>
      </c>
      <c r="O27" t="s">
        <v>1439</v>
      </c>
      <c r="P27" t="s">
        <v>1439</v>
      </c>
      <c r="Q27" t="s">
        <v>1412</v>
      </c>
      <c r="S27" s="1">
        <v>46043</v>
      </c>
      <c r="W27" s="1">
        <v>27208</v>
      </c>
      <c r="X27" t="s">
        <v>2408</v>
      </c>
      <c r="Y27" t="s">
        <v>2171</v>
      </c>
      <c r="Z27" t="s">
        <v>2409</v>
      </c>
      <c r="AA27" t="s">
        <v>1419</v>
      </c>
      <c r="AB27" t="s">
        <v>2410</v>
      </c>
      <c r="AC27">
        <v>21972809652</v>
      </c>
    </row>
    <row r="28" spans="1:29" x14ac:dyDescent="0.3">
      <c r="A28" t="s">
        <v>1405</v>
      </c>
      <c r="B28" t="s">
        <v>2302</v>
      </c>
      <c r="C28" t="s">
        <v>2411</v>
      </c>
      <c r="D28">
        <v>8091015720</v>
      </c>
      <c r="E28">
        <v>105343511</v>
      </c>
      <c r="F28">
        <v>1004005294</v>
      </c>
      <c r="G28" s="1">
        <v>43878</v>
      </c>
      <c r="H28" t="s">
        <v>1360</v>
      </c>
      <c r="I28" t="s">
        <v>1374</v>
      </c>
      <c r="J28" t="s">
        <v>2308</v>
      </c>
      <c r="K28" t="s">
        <v>2313</v>
      </c>
      <c r="L28" t="s">
        <v>2305</v>
      </c>
      <c r="M28" t="s">
        <v>1409</v>
      </c>
      <c r="N28" t="s">
        <v>1410</v>
      </c>
      <c r="O28" t="s">
        <v>1423</v>
      </c>
      <c r="P28" t="s">
        <v>1423</v>
      </c>
      <c r="Q28" t="s">
        <v>1412</v>
      </c>
      <c r="S28" s="1">
        <v>46043</v>
      </c>
      <c r="W28" s="1">
        <v>28730</v>
      </c>
      <c r="X28" t="s">
        <v>2412</v>
      </c>
      <c r="Y28" t="s">
        <v>2413</v>
      </c>
      <c r="Z28" t="s">
        <v>2414</v>
      </c>
      <c r="AA28" t="s">
        <v>1415</v>
      </c>
      <c r="AB28" t="s">
        <v>2415</v>
      </c>
      <c r="AC28">
        <v>21964680790</v>
      </c>
    </row>
    <row r="29" spans="1:29" x14ac:dyDescent="0.3">
      <c r="A29" t="s">
        <v>1405</v>
      </c>
      <c r="B29" t="s">
        <v>2302</v>
      </c>
      <c r="C29" t="s">
        <v>2416</v>
      </c>
      <c r="D29">
        <v>86349635191</v>
      </c>
      <c r="E29">
        <v>3344911</v>
      </c>
      <c r="F29">
        <v>1004006950</v>
      </c>
      <c r="G29" s="1">
        <v>44095</v>
      </c>
      <c r="H29" t="s">
        <v>1360</v>
      </c>
      <c r="I29" t="s">
        <v>1374</v>
      </c>
      <c r="J29" t="s">
        <v>2308</v>
      </c>
      <c r="K29" t="s">
        <v>2313</v>
      </c>
      <c r="L29" t="s">
        <v>2305</v>
      </c>
      <c r="M29" t="s">
        <v>1409</v>
      </c>
      <c r="N29" t="s">
        <v>1410</v>
      </c>
      <c r="O29" t="s">
        <v>1423</v>
      </c>
      <c r="P29" t="s">
        <v>1423</v>
      </c>
      <c r="Q29" t="s">
        <v>1593</v>
      </c>
      <c r="R29" t="s">
        <v>2417</v>
      </c>
      <c r="S29" s="1">
        <v>46043</v>
      </c>
      <c r="W29" s="1">
        <v>27727</v>
      </c>
      <c r="X29" t="s">
        <v>1424</v>
      </c>
      <c r="Y29" t="s">
        <v>2241</v>
      </c>
      <c r="Z29" t="s">
        <v>2418</v>
      </c>
      <c r="AA29" t="s">
        <v>1415</v>
      </c>
      <c r="AB29" t="s">
        <v>2419</v>
      </c>
      <c r="AC29">
        <v>62994180681</v>
      </c>
    </row>
    <row r="30" spans="1:29" x14ac:dyDescent="0.3">
      <c r="A30" t="s">
        <v>1405</v>
      </c>
      <c r="B30" t="s">
        <v>2302</v>
      </c>
      <c r="C30" t="s">
        <v>2420</v>
      </c>
      <c r="D30">
        <v>9355352921</v>
      </c>
      <c r="E30">
        <v>524941919</v>
      </c>
      <c r="F30">
        <v>1004011936</v>
      </c>
      <c r="G30" s="1">
        <v>45044</v>
      </c>
      <c r="H30" t="s">
        <v>1360</v>
      </c>
      <c r="I30" t="s">
        <v>1374</v>
      </c>
      <c r="J30" t="s">
        <v>1361</v>
      </c>
      <c r="K30" t="s">
        <v>2308</v>
      </c>
      <c r="L30" t="s">
        <v>2305</v>
      </c>
      <c r="M30" t="s">
        <v>1421</v>
      </c>
      <c r="N30" t="s">
        <v>1422</v>
      </c>
      <c r="O30" t="s">
        <v>1462</v>
      </c>
      <c r="P30" t="s">
        <v>1462</v>
      </c>
      <c r="Q30" t="s">
        <v>1593</v>
      </c>
      <c r="S30" s="1">
        <v>46043</v>
      </c>
      <c r="W30" s="1">
        <v>34998</v>
      </c>
      <c r="X30" t="s">
        <v>1510</v>
      </c>
      <c r="Z30" t="s">
        <v>2320</v>
      </c>
      <c r="AA30" t="s">
        <v>1415</v>
      </c>
      <c r="AB30" t="s">
        <v>2421</v>
      </c>
      <c r="AC30">
        <v>47991258698</v>
      </c>
    </row>
    <row r="31" spans="1:29" x14ac:dyDescent="0.3">
      <c r="A31" t="s">
        <v>1405</v>
      </c>
      <c r="B31" t="s">
        <v>2302</v>
      </c>
      <c r="C31" t="s">
        <v>2422</v>
      </c>
      <c r="D31">
        <v>3052431366</v>
      </c>
      <c r="E31">
        <v>2002030045131</v>
      </c>
      <c r="F31">
        <v>1004006014</v>
      </c>
      <c r="G31" s="1">
        <v>43936</v>
      </c>
      <c r="H31" t="s">
        <v>1360</v>
      </c>
      <c r="I31" t="s">
        <v>1374</v>
      </c>
      <c r="J31" t="s">
        <v>2308</v>
      </c>
      <c r="K31" t="s">
        <v>2313</v>
      </c>
      <c r="L31" t="s">
        <v>2305</v>
      </c>
      <c r="M31" t="s">
        <v>1409</v>
      </c>
      <c r="N31" t="s">
        <v>1410</v>
      </c>
      <c r="O31" t="s">
        <v>1411</v>
      </c>
      <c r="P31" t="s">
        <v>1411</v>
      </c>
      <c r="Q31" t="s">
        <v>1412</v>
      </c>
      <c r="S31" s="1">
        <v>46043</v>
      </c>
      <c r="W31" s="1">
        <v>32716</v>
      </c>
      <c r="X31" t="s">
        <v>2423</v>
      </c>
      <c r="Y31" t="s">
        <v>2424</v>
      </c>
      <c r="Z31" t="s">
        <v>2425</v>
      </c>
      <c r="AA31" t="s">
        <v>1415</v>
      </c>
      <c r="AB31" t="s">
        <v>2426</v>
      </c>
      <c r="AC31">
        <v>88981197224</v>
      </c>
    </row>
    <row r="32" spans="1:29" x14ac:dyDescent="0.3">
      <c r="A32" t="s">
        <v>1405</v>
      </c>
      <c r="B32" t="s">
        <v>2302</v>
      </c>
      <c r="C32" t="s">
        <v>2427</v>
      </c>
      <c r="D32">
        <v>55760724053</v>
      </c>
      <c r="E32">
        <v>7048780634</v>
      </c>
      <c r="F32">
        <v>42004202523</v>
      </c>
      <c r="G32" s="1">
        <v>42586</v>
      </c>
      <c r="H32" t="s">
        <v>1360</v>
      </c>
      <c r="I32" t="s">
        <v>1349</v>
      </c>
      <c r="J32" t="s">
        <v>2308</v>
      </c>
      <c r="K32" t="s">
        <v>2313</v>
      </c>
      <c r="L32" t="s">
        <v>2305</v>
      </c>
      <c r="M32" t="s">
        <v>1409</v>
      </c>
      <c r="N32" t="s">
        <v>1410</v>
      </c>
      <c r="O32" t="s">
        <v>1423</v>
      </c>
      <c r="P32" t="s">
        <v>1423</v>
      </c>
      <c r="Q32" t="s">
        <v>1412</v>
      </c>
      <c r="S32" s="1">
        <v>46085</v>
      </c>
      <c r="T32" s="1">
        <v>44260</v>
      </c>
      <c r="V32" s="1">
        <v>46083</v>
      </c>
      <c r="W32" s="1">
        <v>26273</v>
      </c>
      <c r="X32" t="s">
        <v>2428</v>
      </c>
      <c r="Y32" t="s">
        <v>2429</v>
      </c>
      <c r="Z32" t="s">
        <v>2430</v>
      </c>
      <c r="AA32" t="s">
        <v>1415</v>
      </c>
      <c r="AB32" t="s">
        <v>2431</v>
      </c>
      <c r="AC32">
        <v>51984843289</v>
      </c>
    </row>
    <row r="33" spans="1:29" x14ac:dyDescent="0.3">
      <c r="A33" t="s">
        <v>1405</v>
      </c>
      <c r="B33" t="s">
        <v>2302</v>
      </c>
      <c r="C33" t="s">
        <v>2432</v>
      </c>
      <c r="D33">
        <v>1763045331</v>
      </c>
      <c r="E33">
        <v>157778020002</v>
      </c>
      <c r="F33">
        <v>1004000180</v>
      </c>
      <c r="G33" s="1">
        <v>42767</v>
      </c>
      <c r="H33" t="s">
        <v>1360</v>
      </c>
      <c r="I33" t="s">
        <v>2317</v>
      </c>
      <c r="J33" t="s">
        <v>2308</v>
      </c>
      <c r="K33" t="s">
        <v>2313</v>
      </c>
      <c r="L33" t="s">
        <v>2305</v>
      </c>
      <c r="M33" t="s">
        <v>1409</v>
      </c>
      <c r="N33" t="s">
        <v>1410</v>
      </c>
      <c r="O33" t="s">
        <v>1462</v>
      </c>
      <c r="P33" t="s">
        <v>1462</v>
      </c>
      <c r="Q33" t="s">
        <v>1412</v>
      </c>
      <c r="S33" s="1">
        <v>45376</v>
      </c>
      <c r="T33" s="1">
        <v>43704</v>
      </c>
      <c r="W33" s="1">
        <v>31942</v>
      </c>
      <c r="X33" t="s">
        <v>1519</v>
      </c>
      <c r="Z33" t="s">
        <v>2433</v>
      </c>
      <c r="AA33" t="s">
        <v>1415</v>
      </c>
      <c r="AB33" t="s">
        <v>2434</v>
      </c>
    </row>
    <row r="34" spans="1:29" x14ac:dyDescent="0.3">
      <c r="A34" t="s">
        <v>1405</v>
      </c>
      <c r="B34" t="s">
        <v>2302</v>
      </c>
      <c r="C34" t="s">
        <v>2435</v>
      </c>
      <c r="D34">
        <v>4901333984</v>
      </c>
      <c r="E34">
        <v>3843740</v>
      </c>
      <c r="F34">
        <v>1004005403</v>
      </c>
      <c r="G34" s="1">
        <v>43881</v>
      </c>
      <c r="H34" t="s">
        <v>1360</v>
      </c>
      <c r="I34" t="s">
        <v>1349</v>
      </c>
      <c r="J34" t="s">
        <v>2308</v>
      </c>
      <c r="K34" t="s">
        <v>2313</v>
      </c>
      <c r="L34" t="s">
        <v>2305</v>
      </c>
      <c r="M34" t="s">
        <v>1409</v>
      </c>
      <c r="N34" t="s">
        <v>1410</v>
      </c>
      <c r="O34" t="s">
        <v>1423</v>
      </c>
      <c r="P34" t="s">
        <v>1423</v>
      </c>
      <c r="Q34" t="s">
        <v>1412</v>
      </c>
      <c r="S34" s="1">
        <v>45855</v>
      </c>
      <c r="V34" s="1">
        <v>45854</v>
      </c>
      <c r="W34" s="1">
        <v>30057</v>
      </c>
      <c r="X34" t="s">
        <v>1510</v>
      </c>
      <c r="Y34" t="s">
        <v>2336</v>
      </c>
      <c r="Z34" t="s">
        <v>2436</v>
      </c>
      <c r="AA34" t="s">
        <v>1415</v>
      </c>
      <c r="AB34" t="s">
        <v>2437</v>
      </c>
      <c r="AC34">
        <v>47996432050</v>
      </c>
    </row>
    <row r="35" spans="1:29" x14ac:dyDescent="0.3">
      <c r="A35" t="s">
        <v>1405</v>
      </c>
      <c r="B35" t="s">
        <v>2302</v>
      </c>
      <c r="C35" t="s">
        <v>2438</v>
      </c>
      <c r="D35">
        <v>350883203</v>
      </c>
      <c r="E35">
        <v>459550</v>
      </c>
      <c r="F35">
        <v>1004013753</v>
      </c>
      <c r="G35" s="1">
        <v>45341</v>
      </c>
      <c r="H35" t="s">
        <v>1360</v>
      </c>
      <c r="I35" t="s">
        <v>1349</v>
      </c>
      <c r="J35" t="s">
        <v>2348</v>
      </c>
      <c r="K35" t="s">
        <v>2308</v>
      </c>
      <c r="L35" t="s">
        <v>2305</v>
      </c>
      <c r="M35" t="s">
        <v>1409</v>
      </c>
      <c r="N35" t="s">
        <v>1410</v>
      </c>
      <c r="O35" t="s">
        <v>1411</v>
      </c>
      <c r="P35" t="s">
        <v>1417</v>
      </c>
      <c r="Q35" t="s">
        <v>1412</v>
      </c>
      <c r="S35" s="1">
        <v>45887</v>
      </c>
      <c r="V35" s="1">
        <v>45880</v>
      </c>
      <c r="W35" s="1">
        <v>34861</v>
      </c>
      <c r="X35" t="s">
        <v>1775</v>
      </c>
      <c r="Z35" t="s">
        <v>2439</v>
      </c>
      <c r="AA35" t="s">
        <v>1415</v>
      </c>
      <c r="AB35" t="s">
        <v>2440</v>
      </c>
      <c r="AC35">
        <v>96981245390</v>
      </c>
    </row>
    <row r="36" spans="1:29" x14ac:dyDescent="0.3">
      <c r="A36" t="s">
        <v>1405</v>
      </c>
      <c r="B36" t="s">
        <v>2302</v>
      </c>
      <c r="C36" t="s">
        <v>2441</v>
      </c>
      <c r="D36">
        <v>10309073405</v>
      </c>
      <c r="E36">
        <v>8889332</v>
      </c>
      <c r="F36">
        <v>1004018297</v>
      </c>
      <c r="G36" s="1">
        <v>45810</v>
      </c>
      <c r="H36" t="s">
        <v>1360</v>
      </c>
      <c r="I36" t="s">
        <v>1374</v>
      </c>
      <c r="J36" t="s">
        <v>1361</v>
      </c>
      <c r="K36" t="s">
        <v>2308</v>
      </c>
      <c r="L36" t="s">
        <v>2305</v>
      </c>
      <c r="M36" t="s">
        <v>1447</v>
      </c>
      <c r="N36" t="s">
        <v>1448</v>
      </c>
      <c r="O36" t="s">
        <v>1411</v>
      </c>
      <c r="P36" t="s">
        <v>1411</v>
      </c>
      <c r="Q36" t="s">
        <v>1412</v>
      </c>
      <c r="S36" s="1">
        <v>46043</v>
      </c>
      <c r="W36" s="1">
        <v>34746</v>
      </c>
      <c r="X36" t="s">
        <v>1893</v>
      </c>
      <c r="Z36" t="s">
        <v>2442</v>
      </c>
      <c r="AA36" t="s">
        <v>1415</v>
      </c>
      <c r="AB36" t="s">
        <v>2443</v>
      </c>
      <c r="AC36">
        <v>87992035391</v>
      </c>
    </row>
    <row r="37" spans="1:29" x14ac:dyDescent="0.3">
      <c r="A37" t="s">
        <v>1405</v>
      </c>
      <c r="B37" t="s">
        <v>2302</v>
      </c>
      <c r="C37" t="s">
        <v>2441</v>
      </c>
      <c r="D37">
        <v>4445841536</v>
      </c>
      <c r="E37">
        <v>1324099178</v>
      </c>
      <c r="F37">
        <v>1004012657</v>
      </c>
      <c r="G37" s="1">
        <v>45159</v>
      </c>
      <c r="H37" t="s">
        <v>1360</v>
      </c>
      <c r="I37" t="s">
        <v>1374</v>
      </c>
      <c r="J37">
        <v>3</v>
      </c>
      <c r="K37" t="s">
        <v>2444</v>
      </c>
      <c r="L37" t="s">
        <v>2305</v>
      </c>
      <c r="M37" t="s">
        <v>1409</v>
      </c>
      <c r="N37" t="s">
        <v>1410</v>
      </c>
      <c r="O37" t="s">
        <v>1411</v>
      </c>
      <c r="P37" t="s">
        <v>1411</v>
      </c>
      <c r="Q37" t="s">
        <v>1412</v>
      </c>
      <c r="S37" s="1">
        <v>46043</v>
      </c>
      <c r="W37" s="1">
        <v>33393</v>
      </c>
      <c r="X37" t="s">
        <v>2361</v>
      </c>
      <c r="Z37" t="s">
        <v>2363</v>
      </c>
      <c r="AA37" t="s">
        <v>1415</v>
      </c>
      <c r="AB37" t="s">
        <v>2445</v>
      </c>
      <c r="AC37">
        <v>75981849065</v>
      </c>
    </row>
    <row r="38" spans="1:29" x14ac:dyDescent="0.3">
      <c r="A38" t="s">
        <v>1405</v>
      </c>
      <c r="B38" t="s">
        <v>2302</v>
      </c>
      <c r="C38" t="s">
        <v>2446</v>
      </c>
      <c r="D38">
        <v>62771230097</v>
      </c>
      <c r="E38">
        <v>5035902112</v>
      </c>
      <c r="F38">
        <v>1004009312</v>
      </c>
      <c r="G38" s="1">
        <v>44615</v>
      </c>
      <c r="H38" t="s">
        <v>1360</v>
      </c>
      <c r="I38" t="s">
        <v>1349</v>
      </c>
      <c r="J38" t="s">
        <v>1361</v>
      </c>
      <c r="K38" t="s">
        <v>2308</v>
      </c>
      <c r="L38" t="s">
        <v>2305</v>
      </c>
      <c r="M38" t="s">
        <v>1409</v>
      </c>
      <c r="N38" t="s">
        <v>1410</v>
      </c>
      <c r="O38" t="s">
        <v>1423</v>
      </c>
      <c r="P38" t="s">
        <v>1423</v>
      </c>
      <c r="Q38" t="s">
        <v>1412</v>
      </c>
      <c r="S38" s="1">
        <v>46076</v>
      </c>
      <c r="V38" s="1">
        <v>46071</v>
      </c>
      <c r="W38" s="1">
        <v>25737</v>
      </c>
      <c r="X38" t="s">
        <v>1631</v>
      </c>
      <c r="Y38" t="s">
        <v>2447</v>
      </c>
      <c r="Z38" t="s">
        <v>2448</v>
      </c>
      <c r="AA38" t="s">
        <v>1419</v>
      </c>
      <c r="AB38" t="s">
        <v>2449</v>
      </c>
      <c r="AC38">
        <v>51999676504</v>
      </c>
    </row>
    <row r="39" spans="1:29" x14ac:dyDescent="0.3">
      <c r="A39" t="s">
        <v>1405</v>
      </c>
      <c r="B39" t="s">
        <v>2302</v>
      </c>
      <c r="C39" t="s">
        <v>2450</v>
      </c>
      <c r="D39">
        <v>2125513293</v>
      </c>
      <c r="E39">
        <v>7014290</v>
      </c>
      <c r="F39">
        <v>1004011044</v>
      </c>
      <c r="G39" s="1">
        <v>44868</v>
      </c>
      <c r="H39" t="s">
        <v>1360</v>
      </c>
      <c r="I39" t="s">
        <v>1374</v>
      </c>
      <c r="J39" t="s">
        <v>1361</v>
      </c>
      <c r="K39" t="s">
        <v>2308</v>
      </c>
      <c r="L39" t="s">
        <v>2305</v>
      </c>
      <c r="M39" t="s">
        <v>1409</v>
      </c>
      <c r="N39" t="s">
        <v>1410</v>
      </c>
      <c r="O39" t="s">
        <v>1423</v>
      </c>
      <c r="P39" t="s">
        <v>1423</v>
      </c>
      <c r="Q39" t="s">
        <v>1412</v>
      </c>
      <c r="S39" s="1">
        <v>46043</v>
      </c>
      <c r="W39" s="1">
        <v>35712</v>
      </c>
      <c r="X39" t="s">
        <v>1492</v>
      </c>
      <c r="Z39" t="s">
        <v>2451</v>
      </c>
      <c r="AA39" t="s">
        <v>1419</v>
      </c>
      <c r="AB39" t="s">
        <v>47</v>
      </c>
      <c r="AC39">
        <v>91993395631</v>
      </c>
    </row>
    <row r="40" spans="1:29" x14ac:dyDescent="0.3">
      <c r="A40" t="s">
        <v>1405</v>
      </c>
      <c r="B40" t="s">
        <v>2302</v>
      </c>
      <c r="C40" t="s">
        <v>1459</v>
      </c>
      <c r="D40">
        <v>1781381348</v>
      </c>
      <c r="E40">
        <v>2003015009519</v>
      </c>
      <c r="F40">
        <v>1004011951</v>
      </c>
      <c r="G40" s="1">
        <v>45048</v>
      </c>
      <c r="H40" t="s">
        <v>1360</v>
      </c>
      <c r="I40" t="s">
        <v>1349</v>
      </c>
      <c r="J40" t="s">
        <v>2348</v>
      </c>
      <c r="K40" t="s">
        <v>2308</v>
      </c>
      <c r="L40" t="s">
        <v>2305</v>
      </c>
      <c r="M40" t="s">
        <v>1409</v>
      </c>
      <c r="N40" t="s">
        <v>1410</v>
      </c>
      <c r="O40" t="s">
        <v>1411</v>
      </c>
      <c r="P40" t="s">
        <v>1411</v>
      </c>
      <c r="Q40" t="s">
        <v>1412</v>
      </c>
      <c r="S40" s="1">
        <v>45842</v>
      </c>
      <c r="V40" s="1">
        <v>45841</v>
      </c>
      <c r="W40" s="1">
        <v>31386</v>
      </c>
      <c r="X40" t="s">
        <v>1460</v>
      </c>
      <c r="Z40" t="s">
        <v>2452</v>
      </c>
      <c r="AA40" t="s">
        <v>1419</v>
      </c>
      <c r="AB40" t="s">
        <v>90</v>
      </c>
      <c r="AC40">
        <v>85996297339</v>
      </c>
    </row>
    <row r="41" spans="1:29" x14ac:dyDescent="0.3">
      <c r="A41" t="s">
        <v>1405</v>
      </c>
      <c r="B41" t="s">
        <v>2302</v>
      </c>
      <c r="C41" t="s">
        <v>2453</v>
      </c>
      <c r="D41">
        <v>297866575</v>
      </c>
      <c r="E41">
        <v>999545248</v>
      </c>
      <c r="F41">
        <v>42004202228</v>
      </c>
      <c r="G41" s="1">
        <v>42492</v>
      </c>
      <c r="H41" t="s">
        <v>1360</v>
      </c>
      <c r="I41" t="s">
        <v>1349</v>
      </c>
      <c r="J41" t="s">
        <v>2308</v>
      </c>
      <c r="K41" t="s">
        <v>2313</v>
      </c>
      <c r="L41" t="s">
        <v>2305</v>
      </c>
      <c r="M41" t="s">
        <v>1421</v>
      </c>
      <c r="N41" t="s">
        <v>1422</v>
      </c>
      <c r="O41" t="s">
        <v>1423</v>
      </c>
      <c r="P41" t="s">
        <v>1423</v>
      </c>
      <c r="Q41" t="s">
        <v>1412</v>
      </c>
      <c r="S41" s="1">
        <v>45856</v>
      </c>
      <c r="V41" s="1">
        <v>45854</v>
      </c>
      <c r="W41" s="1">
        <v>29961</v>
      </c>
      <c r="X41" t="s">
        <v>1430</v>
      </c>
      <c r="Z41" t="s">
        <v>2363</v>
      </c>
      <c r="AA41" t="s">
        <v>1419</v>
      </c>
      <c r="AB41" t="s">
        <v>2454</v>
      </c>
    </row>
    <row r="42" spans="1:29" x14ac:dyDescent="0.3">
      <c r="A42" t="s">
        <v>1405</v>
      </c>
      <c r="B42" t="s">
        <v>2302</v>
      </c>
      <c r="C42" t="s">
        <v>2455</v>
      </c>
      <c r="D42">
        <v>3876737923</v>
      </c>
      <c r="E42">
        <v>4079012</v>
      </c>
      <c r="F42">
        <v>42004202615</v>
      </c>
      <c r="G42" s="1">
        <v>42615</v>
      </c>
      <c r="H42" t="s">
        <v>1360</v>
      </c>
      <c r="I42" t="s">
        <v>1374</v>
      </c>
      <c r="J42" t="s">
        <v>2308</v>
      </c>
      <c r="K42" t="s">
        <v>2313</v>
      </c>
      <c r="L42" t="s">
        <v>2305</v>
      </c>
      <c r="M42" t="s">
        <v>1409</v>
      </c>
      <c r="N42" t="s">
        <v>1410</v>
      </c>
      <c r="O42" t="s">
        <v>1423</v>
      </c>
      <c r="P42" t="s">
        <v>1423</v>
      </c>
      <c r="Q42" t="s">
        <v>1412</v>
      </c>
      <c r="S42" s="1">
        <v>46043</v>
      </c>
      <c r="W42" s="1">
        <v>29812</v>
      </c>
      <c r="X42" t="s">
        <v>2456</v>
      </c>
      <c r="Y42" t="s">
        <v>2457</v>
      </c>
      <c r="Z42" t="s">
        <v>2458</v>
      </c>
      <c r="AA42" t="s">
        <v>1419</v>
      </c>
      <c r="AB42" t="s">
        <v>2459</v>
      </c>
    </row>
    <row r="43" spans="1:29" x14ac:dyDescent="0.3">
      <c r="A43" t="s">
        <v>1405</v>
      </c>
      <c r="B43" t="s">
        <v>2302</v>
      </c>
      <c r="C43" t="s">
        <v>2460</v>
      </c>
      <c r="D43">
        <v>84765666034</v>
      </c>
      <c r="E43" s="3">
        <v>8114516381</v>
      </c>
      <c r="F43">
        <v>1004015602</v>
      </c>
      <c r="G43" s="1">
        <v>45538</v>
      </c>
      <c r="H43" t="s">
        <v>1360</v>
      </c>
      <c r="I43" t="s">
        <v>1374</v>
      </c>
      <c r="J43" t="s">
        <v>1361</v>
      </c>
      <c r="K43" t="s">
        <v>2308</v>
      </c>
      <c r="L43" t="s">
        <v>2305</v>
      </c>
      <c r="M43" t="s">
        <v>1421</v>
      </c>
      <c r="N43" t="s">
        <v>1448</v>
      </c>
      <c r="O43" t="s">
        <v>1423</v>
      </c>
      <c r="P43" t="s">
        <v>1423</v>
      </c>
      <c r="Q43" t="s">
        <v>1412</v>
      </c>
      <c r="S43" s="1">
        <v>46043</v>
      </c>
      <c r="W43" s="1">
        <v>35157</v>
      </c>
      <c r="X43" t="s">
        <v>2461</v>
      </c>
      <c r="Z43" t="s">
        <v>2462</v>
      </c>
      <c r="AA43" t="s">
        <v>1419</v>
      </c>
      <c r="AB43" t="s">
        <v>2463</v>
      </c>
      <c r="AC43">
        <v>53999909624</v>
      </c>
    </row>
    <row r="44" spans="1:29" x14ac:dyDescent="0.3">
      <c r="A44" t="s">
        <v>1405</v>
      </c>
      <c r="B44" t="s">
        <v>2302</v>
      </c>
      <c r="C44" t="s">
        <v>2464</v>
      </c>
      <c r="D44">
        <v>8298487460</v>
      </c>
      <c r="E44">
        <v>7584028</v>
      </c>
      <c r="F44">
        <v>1004011523</v>
      </c>
      <c r="G44" s="1">
        <v>44991</v>
      </c>
      <c r="H44" t="s">
        <v>1360</v>
      </c>
      <c r="I44" t="s">
        <v>1374</v>
      </c>
      <c r="J44" t="s">
        <v>1361</v>
      </c>
      <c r="K44" t="s">
        <v>2308</v>
      </c>
      <c r="L44" t="s">
        <v>2305</v>
      </c>
      <c r="M44" t="s">
        <v>1409</v>
      </c>
      <c r="N44" t="s">
        <v>1410</v>
      </c>
      <c r="O44" t="s">
        <v>1439</v>
      </c>
      <c r="P44" t="s">
        <v>1423</v>
      </c>
      <c r="Q44" t="s">
        <v>1412</v>
      </c>
      <c r="S44" s="1">
        <v>46043</v>
      </c>
      <c r="W44" s="1">
        <v>32556</v>
      </c>
      <c r="X44" t="s">
        <v>1893</v>
      </c>
      <c r="Y44" t="s">
        <v>2465</v>
      </c>
      <c r="Z44" t="s">
        <v>2466</v>
      </c>
      <c r="AA44" t="s">
        <v>1419</v>
      </c>
      <c r="AB44" t="s">
        <v>2467</v>
      </c>
      <c r="AC44">
        <v>87981017209</v>
      </c>
    </row>
    <row r="45" spans="1:29" x14ac:dyDescent="0.3">
      <c r="A45" t="s">
        <v>1405</v>
      </c>
      <c r="B45" t="s">
        <v>2302</v>
      </c>
      <c r="C45" t="s">
        <v>2468</v>
      </c>
      <c r="D45">
        <v>8154826984</v>
      </c>
      <c r="E45">
        <v>4666175</v>
      </c>
      <c r="F45">
        <v>1004012592</v>
      </c>
      <c r="G45" s="1">
        <v>45145</v>
      </c>
      <c r="H45" t="s">
        <v>1360</v>
      </c>
      <c r="I45" t="s">
        <v>1349</v>
      </c>
      <c r="J45" t="s">
        <v>1361</v>
      </c>
      <c r="K45" t="s">
        <v>2308</v>
      </c>
      <c r="L45" t="s">
        <v>2305</v>
      </c>
      <c r="M45" t="s">
        <v>1447</v>
      </c>
      <c r="N45" t="s">
        <v>1448</v>
      </c>
      <c r="O45" t="s">
        <v>1423</v>
      </c>
      <c r="P45" t="s">
        <v>1423</v>
      </c>
      <c r="Q45" t="s">
        <v>1412</v>
      </c>
      <c r="S45" s="1">
        <v>45757</v>
      </c>
      <c r="V45" s="1">
        <v>45756</v>
      </c>
      <c r="W45" s="1">
        <v>33627</v>
      </c>
      <c r="X45" t="s">
        <v>1676</v>
      </c>
      <c r="Z45" t="s">
        <v>2469</v>
      </c>
      <c r="AA45" t="s">
        <v>1419</v>
      </c>
      <c r="AB45" t="s">
        <v>2470</v>
      </c>
      <c r="AC45">
        <v>42999032002</v>
      </c>
    </row>
    <row r="46" spans="1:29" x14ac:dyDescent="0.3">
      <c r="A46" t="s">
        <v>1405</v>
      </c>
      <c r="B46" t="s">
        <v>2302</v>
      </c>
      <c r="C46" t="s">
        <v>2471</v>
      </c>
      <c r="D46">
        <v>80730086372</v>
      </c>
      <c r="E46">
        <v>20081309761</v>
      </c>
      <c r="F46">
        <v>1004010553</v>
      </c>
      <c r="G46" s="1">
        <v>44784</v>
      </c>
      <c r="H46" t="s">
        <v>1360</v>
      </c>
      <c r="I46" t="s">
        <v>1374</v>
      </c>
      <c r="J46" t="s">
        <v>1361</v>
      </c>
      <c r="K46" t="s">
        <v>2308</v>
      </c>
      <c r="L46" t="s">
        <v>2305</v>
      </c>
      <c r="M46" t="s">
        <v>1409</v>
      </c>
      <c r="N46" t="s">
        <v>1410</v>
      </c>
      <c r="O46" t="s">
        <v>1411</v>
      </c>
      <c r="P46" t="s">
        <v>1411</v>
      </c>
      <c r="Q46" t="s">
        <v>1412</v>
      </c>
      <c r="S46" s="1">
        <v>46043</v>
      </c>
      <c r="W46" s="1">
        <v>29015</v>
      </c>
      <c r="X46" t="s">
        <v>2472</v>
      </c>
      <c r="Z46" t="s">
        <v>2473</v>
      </c>
      <c r="AA46" t="s">
        <v>1415</v>
      </c>
      <c r="AB46" t="s">
        <v>2474</v>
      </c>
      <c r="AC46">
        <v>88997135628</v>
      </c>
    </row>
    <row r="47" spans="1:29" x14ac:dyDescent="0.3">
      <c r="A47" t="s">
        <v>1405</v>
      </c>
      <c r="B47" t="s">
        <v>2302</v>
      </c>
      <c r="C47" t="s">
        <v>2475</v>
      </c>
      <c r="D47">
        <v>592469107</v>
      </c>
      <c r="E47">
        <v>1440352</v>
      </c>
      <c r="F47">
        <v>1004015497</v>
      </c>
      <c r="G47" s="1">
        <v>45519</v>
      </c>
      <c r="H47" t="s">
        <v>1360</v>
      </c>
      <c r="I47" t="s">
        <v>1349</v>
      </c>
      <c r="J47" t="s">
        <v>1361</v>
      </c>
      <c r="K47" t="s">
        <v>2308</v>
      </c>
      <c r="L47" t="s">
        <v>2305</v>
      </c>
      <c r="M47" t="s">
        <v>1442</v>
      </c>
      <c r="N47" t="s">
        <v>1443</v>
      </c>
      <c r="O47" t="s">
        <v>1439</v>
      </c>
      <c r="P47" t="s">
        <v>1439</v>
      </c>
      <c r="Q47" t="s">
        <v>1593</v>
      </c>
      <c r="R47" t="s">
        <v>2476</v>
      </c>
      <c r="S47" s="1">
        <v>45796</v>
      </c>
      <c r="V47" s="1">
        <v>45778</v>
      </c>
      <c r="W47" s="1">
        <v>33203</v>
      </c>
      <c r="X47" t="s">
        <v>2477</v>
      </c>
      <c r="Z47" t="s">
        <v>2478</v>
      </c>
      <c r="AA47" t="s">
        <v>1419</v>
      </c>
      <c r="AB47" t="s">
        <v>2479</v>
      </c>
      <c r="AC47">
        <v>67996335264</v>
      </c>
    </row>
    <row r="48" spans="1:29" x14ac:dyDescent="0.3">
      <c r="A48" t="s">
        <v>1405</v>
      </c>
      <c r="B48" t="s">
        <v>2302</v>
      </c>
      <c r="C48" t="s">
        <v>2480</v>
      </c>
      <c r="D48">
        <v>64425142349</v>
      </c>
      <c r="E48">
        <v>162123620017</v>
      </c>
      <c r="F48">
        <v>1004010127</v>
      </c>
      <c r="G48" s="1">
        <v>44714</v>
      </c>
      <c r="H48" t="s">
        <v>1360</v>
      </c>
      <c r="I48" t="s">
        <v>1374</v>
      </c>
      <c r="J48" t="s">
        <v>2348</v>
      </c>
      <c r="K48" t="s">
        <v>2308</v>
      </c>
      <c r="L48" t="s">
        <v>2305</v>
      </c>
      <c r="M48" t="s">
        <v>1409</v>
      </c>
      <c r="N48" t="s">
        <v>1410</v>
      </c>
      <c r="O48" t="s">
        <v>1462</v>
      </c>
      <c r="P48" t="s">
        <v>1462</v>
      </c>
      <c r="Q48" t="s">
        <v>1412</v>
      </c>
      <c r="S48" s="1">
        <v>46069</v>
      </c>
      <c r="W48" s="1">
        <v>29655</v>
      </c>
      <c r="X48" t="s">
        <v>2481</v>
      </c>
      <c r="Z48" t="s">
        <v>2482</v>
      </c>
      <c r="AA48" t="s">
        <v>1415</v>
      </c>
      <c r="AB48" t="s">
        <v>2483</v>
      </c>
      <c r="AC48">
        <v>98984094614</v>
      </c>
    </row>
    <row r="49" spans="1:29" x14ac:dyDescent="0.3">
      <c r="A49" t="s">
        <v>1405</v>
      </c>
      <c r="B49" t="s">
        <v>2302</v>
      </c>
      <c r="C49" t="s">
        <v>2484</v>
      </c>
      <c r="D49">
        <v>9353206448</v>
      </c>
      <c r="E49">
        <v>2874676</v>
      </c>
      <c r="F49">
        <v>1004006162</v>
      </c>
      <c r="G49" s="1">
        <v>43945</v>
      </c>
      <c r="H49" t="s">
        <v>1360</v>
      </c>
      <c r="I49" t="s">
        <v>1349</v>
      </c>
      <c r="J49" t="s">
        <v>2308</v>
      </c>
      <c r="K49" t="s">
        <v>2313</v>
      </c>
      <c r="L49" t="s">
        <v>2305</v>
      </c>
      <c r="M49" t="s">
        <v>1409</v>
      </c>
      <c r="N49" t="s">
        <v>1410</v>
      </c>
      <c r="O49" t="s">
        <v>1423</v>
      </c>
      <c r="P49" t="s">
        <v>1423</v>
      </c>
      <c r="Q49" t="s">
        <v>1412</v>
      </c>
      <c r="S49" s="1">
        <v>45735</v>
      </c>
      <c r="V49" s="1">
        <v>45733</v>
      </c>
      <c r="W49" s="1">
        <v>33821</v>
      </c>
      <c r="X49" t="s">
        <v>2485</v>
      </c>
      <c r="Y49" t="s">
        <v>2486</v>
      </c>
      <c r="Z49" t="s">
        <v>2487</v>
      </c>
      <c r="AA49" t="s">
        <v>1419</v>
      </c>
      <c r="AB49" t="s">
        <v>2488</v>
      </c>
      <c r="AC49">
        <v>84988071565</v>
      </c>
    </row>
    <row r="50" spans="1:29" x14ac:dyDescent="0.3">
      <c r="A50" t="s">
        <v>1405</v>
      </c>
      <c r="B50" t="s">
        <v>2302</v>
      </c>
      <c r="C50" t="s">
        <v>2489</v>
      </c>
      <c r="D50">
        <v>65718763372</v>
      </c>
      <c r="E50">
        <v>10302755987</v>
      </c>
      <c r="F50">
        <v>1004003136</v>
      </c>
      <c r="G50" s="1">
        <v>43540</v>
      </c>
      <c r="H50" t="s">
        <v>1360</v>
      </c>
      <c r="I50" t="s">
        <v>1349</v>
      </c>
      <c r="J50" t="s">
        <v>2308</v>
      </c>
      <c r="K50" t="s">
        <v>2313</v>
      </c>
      <c r="L50" t="s">
        <v>2305</v>
      </c>
      <c r="M50" t="s">
        <v>1409</v>
      </c>
      <c r="N50" t="s">
        <v>1410</v>
      </c>
      <c r="O50" t="s">
        <v>1423</v>
      </c>
      <c r="P50" t="s">
        <v>1423</v>
      </c>
      <c r="Q50" t="s">
        <v>1412</v>
      </c>
      <c r="S50" s="1">
        <v>45855</v>
      </c>
      <c r="V50" s="1">
        <v>45854</v>
      </c>
      <c r="W50" s="1">
        <v>31074</v>
      </c>
      <c r="X50" t="s">
        <v>1519</v>
      </c>
      <c r="Y50" t="s">
        <v>1823</v>
      </c>
      <c r="Z50" t="s">
        <v>2433</v>
      </c>
      <c r="AA50" t="s">
        <v>1419</v>
      </c>
      <c r="AB50" t="s">
        <v>2490</v>
      </c>
      <c r="AC50">
        <v>98988279084</v>
      </c>
    </row>
    <row r="51" spans="1:29" x14ac:dyDescent="0.3">
      <c r="A51" t="s">
        <v>1405</v>
      </c>
      <c r="B51" t="s">
        <v>2302</v>
      </c>
      <c r="C51" t="s">
        <v>2491</v>
      </c>
      <c r="D51">
        <v>182989151</v>
      </c>
      <c r="E51">
        <v>4586407</v>
      </c>
      <c r="F51">
        <v>1004014601</v>
      </c>
      <c r="G51" s="1">
        <v>45397</v>
      </c>
      <c r="H51" t="s">
        <v>1360</v>
      </c>
      <c r="I51" t="s">
        <v>1374</v>
      </c>
      <c r="J51" t="s">
        <v>1361</v>
      </c>
      <c r="K51" t="s">
        <v>2308</v>
      </c>
      <c r="L51" t="s">
        <v>2305</v>
      </c>
      <c r="M51" t="s">
        <v>1409</v>
      </c>
      <c r="N51" t="s">
        <v>1410</v>
      </c>
      <c r="O51" t="s">
        <v>1411</v>
      </c>
      <c r="P51" t="s">
        <v>1423</v>
      </c>
      <c r="Q51" t="s">
        <v>1412</v>
      </c>
      <c r="S51" s="1">
        <v>46043</v>
      </c>
      <c r="W51" s="1">
        <v>30991</v>
      </c>
      <c r="X51" t="s">
        <v>2492</v>
      </c>
      <c r="Y51" t="s">
        <v>2493</v>
      </c>
      <c r="Z51" t="s">
        <v>2494</v>
      </c>
      <c r="AA51" t="s">
        <v>1419</v>
      </c>
      <c r="AB51" t="s">
        <v>2495</v>
      </c>
      <c r="AC51">
        <v>62999485538</v>
      </c>
    </row>
    <row r="52" spans="1:29" x14ac:dyDescent="0.3">
      <c r="A52" t="s">
        <v>1405</v>
      </c>
      <c r="B52" t="s">
        <v>2302</v>
      </c>
      <c r="C52" t="s">
        <v>2496</v>
      </c>
      <c r="D52">
        <v>1045312231</v>
      </c>
      <c r="E52" t="s">
        <v>2497</v>
      </c>
      <c r="F52">
        <v>1004022368</v>
      </c>
      <c r="G52" s="1">
        <v>46120</v>
      </c>
      <c r="H52" t="s">
        <v>1360</v>
      </c>
      <c r="I52" t="s">
        <v>1374</v>
      </c>
      <c r="J52" t="s">
        <v>1361</v>
      </c>
      <c r="K52" t="s">
        <v>2308</v>
      </c>
      <c r="L52" t="s">
        <v>2305</v>
      </c>
      <c r="M52" t="s">
        <v>1409</v>
      </c>
      <c r="N52" t="s">
        <v>1410</v>
      </c>
      <c r="O52" t="s">
        <v>1411</v>
      </c>
      <c r="P52" t="s">
        <v>1411</v>
      </c>
      <c r="Q52" t="s">
        <v>1412</v>
      </c>
      <c r="S52" s="1">
        <v>46118</v>
      </c>
      <c r="W52" s="1">
        <v>33409</v>
      </c>
      <c r="X52" t="s">
        <v>1492</v>
      </c>
      <c r="Z52" t="s">
        <v>2498</v>
      </c>
      <c r="AA52" t="s">
        <v>1419</v>
      </c>
      <c r="AB52" t="s">
        <v>2499</v>
      </c>
      <c r="AC52">
        <v>92985887530</v>
      </c>
    </row>
    <row r="53" spans="1:29" x14ac:dyDescent="0.3">
      <c r="A53" t="s">
        <v>1405</v>
      </c>
      <c r="B53" t="s">
        <v>2302</v>
      </c>
      <c r="C53" t="s">
        <v>2500</v>
      </c>
      <c r="D53">
        <v>1066142076</v>
      </c>
      <c r="E53">
        <v>9093049411</v>
      </c>
      <c r="F53">
        <v>1004011456</v>
      </c>
      <c r="G53" s="1">
        <v>44986</v>
      </c>
      <c r="H53" t="s">
        <v>1360</v>
      </c>
      <c r="I53" t="s">
        <v>1374</v>
      </c>
      <c r="J53" t="s">
        <v>1361</v>
      </c>
      <c r="K53" t="s">
        <v>2308</v>
      </c>
      <c r="L53" t="s">
        <v>2305</v>
      </c>
      <c r="M53" t="s">
        <v>1421</v>
      </c>
      <c r="N53" t="s">
        <v>1448</v>
      </c>
      <c r="O53" t="s">
        <v>1423</v>
      </c>
      <c r="P53" t="s">
        <v>1423</v>
      </c>
      <c r="Q53" t="s">
        <v>1412</v>
      </c>
      <c r="S53" s="1">
        <v>46043</v>
      </c>
      <c r="W53" s="1">
        <v>31795</v>
      </c>
      <c r="X53" t="s">
        <v>1485</v>
      </c>
      <c r="Y53" t="s">
        <v>1756</v>
      </c>
      <c r="Z53" t="s">
        <v>2378</v>
      </c>
      <c r="AA53" t="s">
        <v>1419</v>
      </c>
      <c r="AB53" t="s">
        <v>2501</v>
      </c>
      <c r="AC53">
        <v>51993773773</v>
      </c>
    </row>
    <row r="54" spans="1:29" x14ac:dyDescent="0.3">
      <c r="A54" t="s">
        <v>1405</v>
      </c>
      <c r="B54" t="s">
        <v>2302</v>
      </c>
      <c r="C54" t="s">
        <v>2502</v>
      </c>
      <c r="D54">
        <v>5461274366</v>
      </c>
      <c r="E54" t="s">
        <v>2503</v>
      </c>
      <c r="F54">
        <v>1004021334</v>
      </c>
      <c r="G54" s="1">
        <v>46071</v>
      </c>
      <c r="H54" t="s">
        <v>1360</v>
      </c>
      <c r="I54" t="s">
        <v>1374</v>
      </c>
      <c r="J54" t="s">
        <v>2308</v>
      </c>
      <c r="K54" t="s">
        <v>2313</v>
      </c>
      <c r="L54" t="s">
        <v>2305</v>
      </c>
      <c r="M54" t="s">
        <v>1409</v>
      </c>
      <c r="N54" t="s">
        <v>1410</v>
      </c>
      <c r="O54" t="s">
        <v>1423</v>
      </c>
      <c r="P54" t="s">
        <v>1423</v>
      </c>
      <c r="Q54" t="s">
        <v>1412</v>
      </c>
      <c r="S54" s="1">
        <v>46065</v>
      </c>
      <c r="W54" s="1">
        <v>35108</v>
      </c>
      <c r="X54" t="s">
        <v>2504</v>
      </c>
      <c r="Y54" t="s">
        <v>2505</v>
      </c>
      <c r="Z54" t="s">
        <v>2506</v>
      </c>
      <c r="AA54" t="s">
        <v>1419</v>
      </c>
      <c r="AB54" t="s">
        <v>2507</v>
      </c>
      <c r="AC54">
        <v>88999551166</v>
      </c>
    </row>
    <row r="55" spans="1:29" x14ac:dyDescent="0.3">
      <c r="A55" t="s">
        <v>1405</v>
      </c>
      <c r="B55" t="s">
        <v>2302</v>
      </c>
      <c r="C55" t="s">
        <v>2508</v>
      </c>
      <c r="D55">
        <v>5706975140</v>
      </c>
      <c r="E55">
        <v>1989634</v>
      </c>
      <c r="F55">
        <v>1004010418</v>
      </c>
      <c r="G55" s="1">
        <v>44781</v>
      </c>
      <c r="H55" t="s">
        <v>1360</v>
      </c>
      <c r="I55" t="s">
        <v>1349</v>
      </c>
      <c r="J55" t="s">
        <v>2348</v>
      </c>
      <c r="K55" t="s">
        <v>2308</v>
      </c>
      <c r="L55" t="s">
        <v>2305</v>
      </c>
      <c r="M55" t="s">
        <v>1421</v>
      </c>
      <c r="N55" t="s">
        <v>1422</v>
      </c>
      <c r="O55" t="s">
        <v>1423</v>
      </c>
      <c r="P55" t="s">
        <v>1423</v>
      </c>
      <c r="Q55" t="s">
        <v>1412</v>
      </c>
      <c r="S55" s="1">
        <v>45855</v>
      </c>
      <c r="V55" s="1">
        <v>45854</v>
      </c>
      <c r="W55" s="1">
        <v>35307</v>
      </c>
      <c r="X55" t="s">
        <v>2509</v>
      </c>
      <c r="Y55" t="s">
        <v>2510</v>
      </c>
      <c r="Z55" t="s">
        <v>2306</v>
      </c>
      <c r="AA55" t="s">
        <v>1419</v>
      </c>
      <c r="AB55" t="s">
        <v>2511</v>
      </c>
      <c r="AC55">
        <v>67999749630</v>
      </c>
    </row>
    <row r="56" spans="1:29" x14ac:dyDescent="0.3">
      <c r="A56" t="s">
        <v>1405</v>
      </c>
      <c r="B56" t="s">
        <v>2302</v>
      </c>
      <c r="C56" t="s">
        <v>2512</v>
      </c>
      <c r="D56">
        <v>28208471534</v>
      </c>
      <c r="E56">
        <v>1194195</v>
      </c>
      <c r="F56">
        <v>1004002693</v>
      </c>
      <c r="G56" s="1">
        <v>43365</v>
      </c>
      <c r="H56" t="s">
        <v>1360</v>
      </c>
      <c r="I56" t="s">
        <v>1374</v>
      </c>
      <c r="J56" t="s">
        <v>2308</v>
      </c>
      <c r="K56" t="s">
        <v>2313</v>
      </c>
      <c r="L56" t="s">
        <v>2305</v>
      </c>
      <c r="M56" t="s">
        <v>1409</v>
      </c>
      <c r="N56" t="s">
        <v>1410</v>
      </c>
      <c r="O56" t="s">
        <v>1411</v>
      </c>
      <c r="P56" t="s">
        <v>1411</v>
      </c>
      <c r="Q56" t="s">
        <v>1412</v>
      </c>
      <c r="S56" s="1">
        <v>46043</v>
      </c>
      <c r="W56" s="1">
        <v>21741</v>
      </c>
      <c r="X56" t="s">
        <v>2361</v>
      </c>
      <c r="Y56" t="s">
        <v>2362</v>
      </c>
      <c r="Z56" t="s">
        <v>2513</v>
      </c>
      <c r="AA56" t="s">
        <v>1419</v>
      </c>
      <c r="AB56" t="s">
        <v>2514</v>
      </c>
      <c r="AC56">
        <v>7532451003</v>
      </c>
    </row>
    <row r="57" spans="1:29" x14ac:dyDescent="0.3">
      <c r="A57" t="s">
        <v>1405</v>
      </c>
      <c r="B57" t="s">
        <v>2302</v>
      </c>
      <c r="C57" t="s">
        <v>2515</v>
      </c>
      <c r="D57">
        <v>95069003291</v>
      </c>
      <c r="E57">
        <v>374026</v>
      </c>
      <c r="F57">
        <v>1004012798</v>
      </c>
      <c r="G57" s="1">
        <v>45171</v>
      </c>
      <c r="H57" t="s">
        <v>1360</v>
      </c>
      <c r="I57" t="s">
        <v>1374</v>
      </c>
      <c r="J57" t="s">
        <v>2348</v>
      </c>
      <c r="K57" t="s">
        <v>2308</v>
      </c>
      <c r="L57" t="s">
        <v>2305</v>
      </c>
      <c r="M57" t="s">
        <v>1421</v>
      </c>
      <c r="N57" t="s">
        <v>1410</v>
      </c>
      <c r="O57" t="s">
        <v>1411</v>
      </c>
      <c r="P57" t="s">
        <v>1411</v>
      </c>
      <c r="Q57" t="s">
        <v>1412</v>
      </c>
      <c r="S57" s="1">
        <v>46043</v>
      </c>
      <c r="W57" s="1">
        <v>31745</v>
      </c>
      <c r="X57" t="s">
        <v>2516</v>
      </c>
      <c r="Y57" t="s">
        <v>2517</v>
      </c>
      <c r="Z57" t="s">
        <v>2518</v>
      </c>
      <c r="AA57" t="s">
        <v>1419</v>
      </c>
      <c r="AB57" t="s">
        <v>2519</v>
      </c>
      <c r="AC57">
        <v>91993728319</v>
      </c>
    </row>
    <row r="58" spans="1:29" x14ac:dyDescent="0.3">
      <c r="A58" t="s">
        <v>1405</v>
      </c>
      <c r="B58" t="s">
        <v>2302</v>
      </c>
      <c r="C58" t="s">
        <v>2520</v>
      </c>
      <c r="D58">
        <v>1590868331</v>
      </c>
      <c r="E58">
        <v>2002015084393</v>
      </c>
      <c r="F58">
        <v>1004017071</v>
      </c>
      <c r="G58" s="1">
        <v>45728</v>
      </c>
      <c r="H58" t="s">
        <v>1360</v>
      </c>
      <c r="I58" t="s">
        <v>1374</v>
      </c>
      <c r="J58" t="s">
        <v>1361</v>
      </c>
      <c r="K58" t="s">
        <v>2308</v>
      </c>
      <c r="L58" t="s">
        <v>2305</v>
      </c>
      <c r="M58" t="s">
        <v>1409</v>
      </c>
      <c r="N58" t="s">
        <v>1410</v>
      </c>
      <c r="O58" t="s">
        <v>1411</v>
      </c>
      <c r="P58" t="s">
        <v>1411</v>
      </c>
      <c r="Q58" t="s">
        <v>1412</v>
      </c>
      <c r="S58" s="1">
        <v>46043</v>
      </c>
      <c r="W58" s="1">
        <v>31725</v>
      </c>
      <c r="X58" t="s">
        <v>2521</v>
      </c>
      <c r="Y58" t="s">
        <v>2505</v>
      </c>
      <c r="Z58" t="s">
        <v>2506</v>
      </c>
      <c r="AA58" t="s">
        <v>1419</v>
      </c>
      <c r="AB58" t="s">
        <v>2522</v>
      </c>
      <c r="AC58">
        <v>88997126656</v>
      </c>
    </row>
    <row r="59" spans="1:29" x14ac:dyDescent="0.3">
      <c r="A59" t="s">
        <v>1405</v>
      </c>
      <c r="B59" t="s">
        <v>2302</v>
      </c>
      <c r="C59" t="s">
        <v>2523</v>
      </c>
      <c r="D59">
        <v>5018347619</v>
      </c>
      <c r="E59" t="s">
        <v>2524</v>
      </c>
      <c r="F59">
        <v>1004013843</v>
      </c>
      <c r="G59" s="1">
        <v>45342</v>
      </c>
      <c r="H59" t="s">
        <v>1360</v>
      </c>
      <c r="I59" t="s">
        <v>1349</v>
      </c>
      <c r="J59" t="s">
        <v>2348</v>
      </c>
      <c r="K59" t="s">
        <v>2308</v>
      </c>
      <c r="L59" t="s">
        <v>2305</v>
      </c>
      <c r="M59" t="s">
        <v>1409</v>
      </c>
      <c r="N59" t="s">
        <v>1410</v>
      </c>
      <c r="O59" t="s">
        <v>1411</v>
      </c>
      <c r="P59" t="s">
        <v>1411</v>
      </c>
      <c r="Q59" t="s">
        <v>1412</v>
      </c>
      <c r="S59" s="1">
        <v>45859</v>
      </c>
      <c r="V59" s="1">
        <v>45855</v>
      </c>
      <c r="W59" s="1">
        <v>28383</v>
      </c>
      <c r="X59" t="s">
        <v>1503</v>
      </c>
      <c r="Z59" t="s">
        <v>2525</v>
      </c>
      <c r="AA59" t="s">
        <v>1419</v>
      </c>
      <c r="AB59" t="s">
        <v>2526</v>
      </c>
      <c r="AC59">
        <v>38998946874</v>
      </c>
    </row>
    <row r="60" spans="1:29" x14ac:dyDescent="0.3">
      <c r="A60" t="s">
        <v>1405</v>
      </c>
      <c r="B60" t="s">
        <v>2302</v>
      </c>
      <c r="C60" t="s">
        <v>2527</v>
      </c>
      <c r="D60">
        <v>7696238914</v>
      </c>
      <c r="E60">
        <v>5828276</v>
      </c>
      <c r="F60">
        <v>1004007382</v>
      </c>
      <c r="G60" s="1">
        <v>44257</v>
      </c>
      <c r="H60" t="s">
        <v>1360</v>
      </c>
      <c r="I60" t="s">
        <v>1349</v>
      </c>
      <c r="J60" t="s">
        <v>2308</v>
      </c>
      <c r="K60" t="s">
        <v>2313</v>
      </c>
      <c r="L60" t="s">
        <v>2305</v>
      </c>
      <c r="M60" t="s">
        <v>1409</v>
      </c>
      <c r="N60" t="s">
        <v>1410</v>
      </c>
      <c r="O60" t="s">
        <v>1423</v>
      </c>
      <c r="P60" t="s">
        <v>1423</v>
      </c>
      <c r="Q60" t="s">
        <v>1412</v>
      </c>
      <c r="S60" s="1">
        <v>45782</v>
      </c>
      <c r="V60" s="1">
        <v>45779</v>
      </c>
      <c r="W60" s="1">
        <v>33298</v>
      </c>
      <c r="X60" t="s">
        <v>2528</v>
      </c>
      <c r="Z60" t="s">
        <v>2529</v>
      </c>
      <c r="AA60" t="s">
        <v>1419</v>
      </c>
      <c r="AB60" t="s">
        <v>2530</v>
      </c>
      <c r="AC60">
        <v>49988124233</v>
      </c>
    </row>
    <row r="61" spans="1:29" x14ac:dyDescent="0.3">
      <c r="A61" t="s">
        <v>1405</v>
      </c>
      <c r="B61" t="s">
        <v>2302</v>
      </c>
      <c r="C61" t="s">
        <v>2531</v>
      </c>
      <c r="D61">
        <v>54796113215</v>
      </c>
      <c r="E61">
        <v>6598457</v>
      </c>
      <c r="F61">
        <v>1004022220</v>
      </c>
      <c r="G61" s="1">
        <v>46113</v>
      </c>
      <c r="H61" t="s">
        <v>1360</v>
      </c>
      <c r="I61" t="s">
        <v>1374</v>
      </c>
      <c r="J61" t="s">
        <v>2308</v>
      </c>
      <c r="K61" t="s">
        <v>2313</v>
      </c>
      <c r="L61" t="s">
        <v>2305</v>
      </c>
      <c r="M61" t="s">
        <v>1409</v>
      </c>
      <c r="N61" t="s">
        <v>1410</v>
      </c>
      <c r="O61" t="s">
        <v>1411</v>
      </c>
      <c r="P61" t="s">
        <v>1411</v>
      </c>
      <c r="Q61" t="s">
        <v>1412</v>
      </c>
      <c r="S61" s="1">
        <v>46118</v>
      </c>
      <c r="W61" s="1">
        <v>35415</v>
      </c>
      <c r="X61" t="s">
        <v>1721</v>
      </c>
      <c r="Z61" t="s">
        <v>2532</v>
      </c>
      <c r="AA61" t="s">
        <v>1419</v>
      </c>
      <c r="AB61" t="s">
        <v>2533</v>
      </c>
      <c r="AC61">
        <v>91985606786</v>
      </c>
    </row>
    <row r="62" spans="1:29" x14ac:dyDescent="0.3">
      <c r="A62" t="s">
        <v>1405</v>
      </c>
      <c r="B62" t="s">
        <v>2302</v>
      </c>
      <c r="C62" t="s">
        <v>2534</v>
      </c>
      <c r="D62">
        <v>3310147185</v>
      </c>
      <c r="E62">
        <v>5396378</v>
      </c>
      <c r="F62">
        <v>1004011552</v>
      </c>
      <c r="G62" s="1">
        <v>44993</v>
      </c>
      <c r="H62" t="s">
        <v>1360</v>
      </c>
      <c r="I62" t="s">
        <v>1374</v>
      </c>
      <c r="J62" t="s">
        <v>1361</v>
      </c>
      <c r="K62" t="s">
        <v>2308</v>
      </c>
      <c r="L62" t="s">
        <v>2305</v>
      </c>
      <c r="M62" t="s">
        <v>1421</v>
      </c>
      <c r="N62" t="s">
        <v>1448</v>
      </c>
      <c r="O62" t="s">
        <v>1411</v>
      </c>
      <c r="P62" t="s">
        <v>1411</v>
      </c>
      <c r="Q62" t="s">
        <v>1412</v>
      </c>
      <c r="S62" s="1">
        <v>46043</v>
      </c>
      <c r="W62" s="1">
        <v>33813</v>
      </c>
      <c r="X62" t="s">
        <v>2535</v>
      </c>
      <c r="Z62" t="s">
        <v>2536</v>
      </c>
      <c r="AA62" t="s">
        <v>1419</v>
      </c>
      <c r="AB62" t="s">
        <v>2537</v>
      </c>
      <c r="AC62">
        <v>62991072657</v>
      </c>
    </row>
    <row r="63" spans="1:29" x14ac:dyDescent="0.3">
      <c r="A63" t="s">
        <v>1405</v>
      </c>
      <c r="B63" t="s">
        <v>2302</v>
      </c>
      <c r="C63" t="s">
        <v>2538</v>
      </c>
      <c r="D63">
        <v>78171539220</v>
      </c>
      <c r="E63">
        <v>4748238</v>
      </c>
      <c r="F63">
        <v>1004018941</v>
      </c>
      <c r="G63" s="1">
        <v>45873</v>
      </c>
      <c r="H63" t="s">
        <v>1360</v>
      </c>
      <c r="I63" t="s">
        <v>1374</v>
      </c>
      <c r="J63" t="s">
        <v>1361</v>
      </c>
      <c r="K63" t="s">
        <v>2308</v>
      </c>
      <c r="L63" t="s">
        <v>2305</v>
      </c>
      <c r="M63" t="s">
        <v>1447</v>
      </c>
      <c r="N63" t="s">
        <v>1448</v>
      </c>
      <c r="O63" t="s">
        <v>1411</v>
      </c>
      <c r="P63" t="s">
        <v>1411</v>
      </c>
      <c r="Q63" t="s">
        <v>1412</v>
      </c>
      <c r="S63" s="1">
        <v>46043</v>
      </c>
      <c r="W63" s="1">
        <v>30818</v>
      </c>
      <c r="X63" t="s">
        <v>2539</v>
      </c>
      <c r="Y63" t="s">
        <v>2540</v>
      </c>
      <c r="Z63" t="s">
        <v>2541</v>
      </c>
      <c r="AA63" t="s">
        <v>1419</v>
      </c>
      <c r="AB63" t="s">
        <v>2542</v>
      </c>
      <c r="AC63">
        <v>91988642406</v>
      </c>
    </row>
    <row r="64" spans="1:29" x14ac:dyDescent="0.3">
      <c r="A64" t="s">
        <v>1405</v>
      </c>
      <c r="B64" t="s">
        <v>2302</v>
      </c>
      <c r="C64" t="s">
        <v>2543</v>
      </c>
      <c r="D64">
        <v>63059134200</v>
      </c>
      <c r="E64">
        <v>2715633</v>
      </c>
      <c r="F64">
        <v>1004014457</v>
      </c>
      <c r="G64" s="1">
        <v>45341</v>
      </c>
      <c r="H64" t="s">
        <v>1360</v>
      </c>
      <c r="I64" t="s">
        <v>1374</v>
      </c>
      <c r="J64" t="s">
        <v>1361</v>
      </c>
      <c r="K64" t="s">
        <v>2308</v>
      </c>
      <c r="L64" t="s">
        <v>2305</v>
      </c>
      <c r="M64" t="s">
        <v>1421</v>
      </c>
      <c r="N64" t="s">
        <v>1410</v>
      </c>
      <c r="O64" t="s">
        <v>1411</v>
      </c>
      <c r="P64" t="s">
        <v>1417</v>
      </c>
      <c r="Q64" t="s">
        <v>1412</v>
      </c>
      <c r="S64" s="1">
        <v>46043</v>
      </c>
      <c r="W64" s="1">
        <v>27884</v>
      </c>
      <c r="X64" t="s">
        <v>2544</v>
      </c>
      <c r="Y64" t="s">
        <v>2545</v>
      </c>
      <c r="Z64" t="s">
        <v>2546</v>
      </c>
      <c r="AA64" t="s">
        <v>1419</v>
      </c>
      <c r="AB64" t="s">
        <v>2547</v>
      </c>
      <c r="AC64">
        <v>91993236316</v>
      </c>
    </row>
    <row r="65" spans="1:29" x14ac:dyDescent="0.3">
      <c r="A65" t="s">
        <v>1405</v>
      </c>
      <c r="B65" t="s">
        <v>2302</v>
      </c>
      <c r="C65" t="s">
        <v>2548</v>
      </c>
      <c r="D65">
        <v>3398940242</v>
      </c>
      <c r="E65">
        <v>7604786</v>
      </c>
      <c r="F65">
        <v>1004011468</v>
      </c>
      <c r="G65" s="1">
        <v>44986</v>
      </c>
      <c r="H65" t="s">
        <v>1360</v>
      </c>
      <c r="I65" t="s">
        <v>1374</v>
      </c>
      <c r="J65" t="s">
        <v>2348</v>
      </c>
      <c r="K65" t="s">
        <v>2308</v>
      </c>
      <c r="L65" t="s">
        <v>2305</v>
      </c>
      <c r="M65" t="s">
        <v>1409</v>
      </c>
      <c r="N65" t="s">
        <v>1410</v>
      </c>
      <c r="O65" t="s">
        <v>1411</v>
      </c>
      <c r="P65" t="s">
        <v>1411</v>
      </c>
      <c r="Q65" t="s">
        <v>1412</v>
      </c>
      <c r="S65" s="1">
        <v>46043</v>
      </c>
      <c r="W65" s="1">
        <v>35301</v>
      </c>
      <c r="X65" t="s">
        <v>2549</v>
      </c>
      <c r="Y65" t="s">
        <v>2550</v>
      </c>
      <c r="Z65" t="s">
        <v>2551</v>
      </c>
      <c r="AA65" t="s">
        <v>1419</v>
      </c>
      <c r="AB65" t="s">
        <v>39</v>
      </c>
      <c r="AC65">
        <v>93984209817</v>
      </c>
    </row>
    <row r="66" spans="1:29" x14ac:dyDescent="0.3">
      <c r="A66" t="s">
        <v>1405</v>
      </c>
      <c r="B66" t="s">
        <v>2302</v>
      </c>
      <c r="C66" t="s">
        <v>2552</v>
      </c>
      <c r="D66">
        <v>3085897267</v>
      </c>
      <c r="E66" s="3">
        <v>7583914</v>
      </c>
      <c r="F66">
        <v>1004016072</v>
      </c>
      <c r="G66" s="1">
        <v>45579</v>
      </c>
      <c r="H66" t="s">
        <v>1360</v>
      </c>
      <c r="I66" t="s">
        <v>1349</v>
      </c>
      <c r="J66" t="s">
        <v>2348</v>
      </c>
      <c r="K66" t="s">
        <v>2308</v>
      </c>
      <c r="L66" t="s">
        <v>2305</v>
      </c>
      <c r="M66" t="s">
        <v>1646</v>
      </c>
      <c r="N66" t="s">
        <v>1647</v>
      </c>
      <c r="O66" t="s">
        <v>1411</v>
      </c>
      <c r="P66" t="s">
        <v>1411</v>
      </c>
      <c r="Q66" t="s">
        <v>1412</v>
      </c>
      <c r="S66" s="1">
        <v>45744</v>
      </c>
      <c r="V66" s="1">
        <v>45741</v>
      </c>
      <c r="W66" s="1">
        <v>35126</v>
      </c>
      <c r="X66" t="s">
        <v>2288</v>
      </c>
      <c r="Y66" t="s">
        <v>2553</v>
      </c>
      <c r="Z66" t="s">
        <v>2554</v>
      </c>
      <c r="AA66" t="s">
        <v>1419</v>
      </c>
      <c r="AB66" t="s">
        <v>2555</v>
      </c>
      <c r="AC66">
        <v>91992204300</v>
      </c>
    </row>
    <row r="67" spans="1:29" x14ac:dyDescent="0.3">
      <c r="A67" t="s">
        <v>1405</v>
      </c>
      <c r="B67" t="s">
        <v>2302</v>
      </c>
      <c r="C67" t="s">
        <v>2556</v>
      </c>
      <c r="D67">
        <v>70774148179</v>
      </c>
      <c r="E67">
        <v>2603277</v>
      </c>
      <c r="F67">
        <v>1004011386</v>
      </c>
      <c r="G67" s="1">
        <v>44987</v>
      </c>
      <c r="H67" t="s">
        <v>1360</v>
      </c>
      <c r="I67" t="s">
        <v>1349</v>
      </c>
      <c r="J67" t="s">
        <v>2348</v>
      </c>
      <c r="K67" t="s">
        <v>2308</v>
      </c>
      <c r="L67" t="s">
        <v>2305</v>
      </c>
      <c r="M67" t="s">
        <v>1421</v>
      </c>
      <c r="N67" t="s">
        <v>1410</v>
      </c>
      <c r="O67" t="s">
        <v>1411</v>
      </c>
      <c r="P67" t="s">
        <v>1411</v>
      </c>
      <c r="Q67" t="s">
        <v>1412</v>
      </c>
      <c r="S67" s="1">
        <v>45742</v>
      </c>
      <c r="V67" s="1">
        <v>45737</v>
      </c>
      <c r="W67" s="1">
        <v>32466</v>
      </c>
      <c r="X67" t="s">
        <v>1617</v>
      </c>
      <c r="Y67" t="s">
        <v>2557</v>
      </c>
      <c r="Z67" t="s">
        <v>2306</v>
      </c>
      <c r="AA67" t="s">
        <v>1419</v>
      </c>
      <c r="AB67" t="s">
        <v>2558</v>
      </c>
      <c r="AC67">
        <v>67993233211</v>
      </c>
    </row>
    <row r="68" spans="1:29" x14ac:dyDescent="0.3">
      <c r="A68" t="s">
        <v>1405</v>
      </c>
      <c r="B68" t="s">
        <v>2302</v>
      </c>
      <c r="C68" t="s">
        <v>2559</v>
      </c>
      <c r="D68">
        <v>1816321958</v>
      </c>
      <c r="E68">
        <v>3026606</v>
      </c>
      <c r="F68">
        <v>1004011516</v>
      </c>
      <c r="G68" s="1">
        <v>44992</v>
      </c>
      <c r="H68" t="s">
        <v>1360</v>
      </c>
      <c r="I68" t="s">
        <v>1374</v>
      </c>
      <c r="J68" t="s">
        <v>2348</v>
      </c>
      <c r="K68" t="s">
        <v>2308</v>
      </c>
      <c r="L68" t="s">
        <v>2305</v>
      </c>
      <c r="M68" t="s">
        <v>1409</v>
      </c>
      <c r="N68" t="s">
        <v>1410</v>
      </c>
      <c r="O68" t="s">
        <v>1423</v>
      </c>
      <c r="P68" t="s">
        <v>1423</v>
      </c>
      <c r="Q68" t="s">
        <v>1412</v>
      </c>
      <c r="S68" s="1">
        <v>46043</v>
      </c>
      <c r="W68" s="1">
        <v>27992</v>
      </c>
      <c r="X68" t="s">
        <v>2560</v>
      </c>
      <c r="Y68" t="s">
        <v>2561</v>
      </c>
      <c r="Z68" t="s">
        <v>2562</v>
      </c>
      <c r="AA68" t="s">
        <v>1419</v>
      </c>
      <c r="AB68" t="s">
        <v>2563</v>
      </c>
      <c r="AC68">
        <v>48988162349</v>
      </c>
    </row>
    <row r="69" spans="1:29" x14ac:dyDescent="0.3">
      <c r="A69" t="s">
        <v>1405</v>
      </c>
      <c r="B69" t="s">
        <v>2302</v>
      </c>
      <c r="C69" t="s">
        <v>2564</v>
      </c>
      <c r="D69">
        <v>48296058200</v>
      </c>
      <c r="E69">
        <v>2686419</v>
      </c>
      <c r="F69">
        <v>1004006120</v>
      </c>
      <c r="G69" s="1">
        <v>43939</v>
      </c>
      <c r="H69" t="s">
        <v>1360</v>
      </c>
      <c r="I69" t="s">
        <v>1374</v>
      </c>
      <c r="J69" t="s">
        <v>2308</v>
      </c>
      <c r="K69" t="s">
        <v>2313</v>
      </c>
      <c r="L69" t="s">
        <v>2305</v>
      </c>
      <c r="M69" t="s">
        <v>1409</v>
      </c>
      <c r="N69" t="s">
        <v>1410</v>
      </c>
      <c r="O69" t="s">
        <v>1411</v>
      </c>
      <c r="P69" t="s">
        <v>1411</v>
      </c>
      <c r="Q69" t="s">
        <v>1412</v>
      </c>
      <c r="S69" s="1">
        <v>46043</v>
      </c>
      <c r="W69" s="1">
        <v>27345</v>
      </c>
      <c r="X69" t="s">
        <v>2565</v>
      </c>
      <c r="Y69" t="s">
        <v>2566</v>
      </c>
      <c r="Z69" t="s">
        <v>2567</v>
      </c>
      <c r="AA69" t="s">
        <v>1419</v>
      </c>
      <c r="AB69" t="s">
        <v>2568</v>
      </c>
      <c r="AC69">
        <v>91988633724</v>
      </c>
    </row>
    <row r="70" spans="1:29" x14ac:dyDescent="0.3">
      <c r="A70" t="s">
        <v>1405</v>
      </c>
      <c r="B70" t="s">
        <v>2302</v>
      </c>
      <c r="C70" t="s">
        <v>2569</v>
      </c>
      <c r="D70">
        <v>1638977518</v>
      </c>
      <c r="E70">
        <v>1135334463</v>
      </c>
      <c r="F70">
        <v>1004004215</v>
      </c>
      <c r="G70" s="1">
        <v>43683</v>
      </c>
      <c r="H70" t="s">
        <v>1360</v>
      </c>
      <c r="I70" t="s">
        <v>1374</v>
      </c>
      <c r="J70" t="s">
        <v>2308</v>
      </c>
      <c r="K70" t="s">
        <v>2313</v>
      </c>
      <c r="L70" t="s">
        <v>2305</v>
      </c>
      <c r="M70" t="s">
        <v>1409</v>
      </c>
      <c r="N70" t="s">
        <v>1410</v>
      </c>
      <c r="O70" t="s">
        <v>1411</v>
      </c>
      <c r="P70" t="s">
        <v>1411</v>
      </c>
      <c r="Q70" t="s">
        <v>1412</v>
      </c>
      <c r="S70" s="1">
        <v>46043</v>
      </c>
      <c r="W70" s="1">
        <v>30780</v>
      </c>
      <c r="X70" t="s">
        <v>2361</v>
      </c>
      <c r="Y70" t="s">
        <v>2362</v>
      </c>
      <c r="Z70" t="s">
        <v>2363</v>
      </c>
      <c r="AA70" t="s">
        <v>1419</v>
      </c>
      <c r="AB70" t="s">
        <v>2570</v>
      </c>
      <c r="AC70">
        <v>75992643691</v>
      </c>
    </row>
    <row r="71" spans="1:29" x14ac:dyDescent="0.3">
      <c r="A71" t="s">
        <v>1405</v>
      </c>
      <c r="B71" t="s">
        <v>2302</v>
      </c>
      <c r="C71" t="s">
        <v>2571</v>
      </c>
      <c r="D71">
        <v>2679376285</v>
      </c>
      <c r="E71">
        <v>6629615</v>
      </c>
      <c r="F71">
        <v>1004016784</v>
      </c>
      <c r="G71" s="1">
        <v>45705</v>
      </c>
      <c r="H71" t="s">
        <v>1360</v>
      </c>
      <c r="I71" t="s">
        <v>1374</v>
      </c>
      <c r="J71" t="s">
        <v>2572</v>
      </c>
      <c r="K71" t="s">
        <v>2573</v>
      </c>
      <c r="L71" t="s">
        <v>2305</v>
      </c>
      <c r="M71" t="s">
        <v>1409</v>
      </c>
      <c r="N71" t="s">
        <v>1410</v>
      </c>
      <c r="O71" t="s">
        <v>1462</v>
      </c>
      <c r="P71" t="s">
        <v>1462</v>
      </c>
      <c r="Q71" t="s">
        <v>1412</v>
      </c>
      <c r="S71" s="1">
        <v>46043</v>
      </c>
      <c r="W71" s="1">
        <v>34505</v>
      </c>
      <c r="X71" t="s">
        <v>2574</v>
      </c>
      <c r="Y71" t="s">
        <v>2575</v>
      </c>
      <c r="Z71" t="s">
        <v>2576</v>
      </c>
      <c r="AA71" t="s">
        <v>1419</v>
      </c>
      <c r="AB71" t="s">
        <v>2577</v>
      </c>
      <c r="AC71">
        <v>91982057396</v>
      </c>
    </row>
    <row r="72" spans="1:29" x14ac:dyDescent="0.3">
      <c r="A72" t="s">
        <v>1405</v>
      </c>
      <c r="B72" t="s">
        <v>2302</v>
      </c>
      <c r="C72" t="s">
        <v>2578</v>
      </c>
      <c r="D72">
        <v>3831503532</v>
      </c>
      <c r="E72" t="s">
        <v>2579</v>
      </c>
      <c r="F72">
        <v>1004017676</v>
      </c>
      <c r="G72" s="1">
        <v>45761</v>
      </c>
      <c r="H72" t="s">
        <v>1360</v>
      </c>
      <c r="I72" t="s">
        <v>1374</v>
      </c>
      <c r="J72" t="s">
        <v>1361</v>
      </c>
      <c r="K72" t="s">
        <v>2308</v>
      </c>
      <c r="L72" t="s">
        <v>2305</v>
      </c>
      <c r="M72" t="s">
        <v>1447</v>
      </c>
      <c r="N72" t="s">
        <v>1448</v>
      </c>
      <c r="O72" t="s">
        <v>1462</v>
      </c>
      <c r="P72" t="s">
        <v>1462</v>
      </c>
      <c r="Q72" t="s">
        <v>1412</v>
      </c>
      <c r="S72" s="1">
        <v>46043</v>
      </c>
      <c r="W72" s="1">
        <v>33082</v>
      </c>
      <c r="X72" t="s">
        <v>2580</v>
      </c>
      <c r="Y72" t="s">
        <v>2581</v>
      </c>
      <c r="Z72" t="s">
        <v>2582</v>
      </c>
      <c r="AA72" t="s">
        <v>1419</v>
      </c>
      <c r="AB72" t="s">
        <v>2583</v>
      </c>
      <c r="AC72">
        <v>75992728424</v>
      </c>
    </row>
    <row r="73" spans="1:29" x14ac:dyDescent="0.3">
      <c r="A73" t="s">
        <v>1405</v>
      </c>
      <c r="B73" t="s">
        <v>2302</v>
      </c>
      <c r="C73" t="s">
        <v>2584</v>
      </c>
      <c r="D73">
        <v>65635523315</v>
      </c>
      <c r="E73">
        <v>5993364</v>
      </c>
      <c r="F73">
        <v>1004013835</v>
      </c>
      <c r="G73" s="1">
        <v>45342</v>
      </c>
      <c r="H73" t="s">
        <v>1360</v>
      </c>
      <c r="I73" t="s">
        <v>1349</v>
      </c>
      <c r="J73" t="s">
        <v>1361</v>
      </c>
      <c r="K73" t="s">
        <v>2308</v>
      </c>
      <c r="L73" t="s">
        <v>2305</v>
      </c>
      <c r="M73" t="s">
        <v>1409</v>
      </c>
      <c r="N73" t="s">
        <v>1410</v>
      </c>
      <c r="O73" t="s">
        <v>1411</v>
      </c>
      <c r="P73" t="s">
        <v>1411</v>
      </c>
      <c r="Q73" t="s">
        <v>1412</v>
      </c>
      <c r="S73" s="1">
        <v>46085</v>
      </c>
      <c r="V73" s="1">
        <v>46083</v>
      </c>
      <c r="W73" s="1">
        <v>29738</v>
      </c>
      <c r="X73" t="s">
        <v>2585</v>
      </c>
      <c r="Y73" t="s">
        <v>2586</v>
      </c>
      <c r="Z73" t="s">
        <v>2587</v>
      </c>
      <c r="AA73" t="s">
        <v>1419</v>
      </c>
      <c r="AB73" t="s">
        <v>2588</v>
      </c>
      <c r="AC73">
        <v>47984895289</v>
      </c>
    </row>
    <row r="74" spans="1:29" x14ac:dyDescent="0.3">
      <c r="A74" t="s">
        <v>1405</v>
      </c>
      <c r="B74" t="s">
        <v>2302</v>
      </c>
      <c r="C74" t="s">
        <v>2589</v>
      </c>
      <c r="D74">
        <v>7074386677</v>
      </c>
      <c r="E74">
        <v>12142754</v>
      </c>
      <c r="F74">
        <v>1004012955</v>
      </c>
      <c r="G74" s="1">
        <v>45191</v>
      </c>
      <c r="H74" t="s">
        <v>1360</v>
      </c>
      <c r="I74" t="s">
        <v>1374</v>
      </c>
      <c r="J74">
        <v>3</v>
      </c>
      <c r="K74" t="s">
        <v>2444</v>
      </c>
      <c r="L74" t="s">
        <v>2305</v>
      </c>
      <c r="M74" t="s">
        <v>1421</v>
      </c>
      <c r="N74" t="s">
        <v>1422</v>
      </c>
      <c r="O74" t="s">
        <v>1411</v>
      </c>
      <c r="P74" t="s">
        <v>1411</v>
      </c>
      <c r="Q74" t="s">
        <v>1412</v>
      </c>
      <c r="S74" s="1">
        <v>46069</v>
      </c>
      <c r="W74" s="1">
        <v>30858</v>
      </c>
      <c r="X74" t="s">
        <v>2145</v>
      </c>
      <c r="Z74" t="s">
        <v>2325</v>
      </c>
      <c r="AA74" t="s">
        <v>1419</v>
      </c>
      <c r="AB74" t="s">
        <v>2590</v>
      </c>
      <c r="AC74">
        <v>38999772057</v>
      </c>
    </row>
    <row r="75" spans="1:29" x14ac:dyDescent="0.3">
      <c r="A75" t="s">
        <v>1405</v>
      </c>
      <c r="B75" t="s">
        <v>2302</v>
      </c>
      <c r="C75" t="s">
        <v>2591</v>
      </c>
      <c r="D75">
        <v>92282458400</v>
      </c>
      <c r="E75">
        <v>4868369</v>
      </c>
      <c r="F75">
        <v>1004001585</v>
      </c>
      <c r="G75" s="1">
        <v>43178</v>
      </c>
      <c r="H75" t="s">
        <v>1360</v>
      </c>
      <c r="I75" t="s">
        <v>1374</v>
      </c>
      <c r="J75" t="s">
        <v>2308</v>
      </c>
      <c r="K75" t="s">
        <v>2313</v>
      </c>
      <c r="L75" t="s">
        <v>2305</v>
      </c>
      <c r="M75" t="s">
        <v>1409</v>
      </c>
      <c r="N75" t="s">
        <v>1410</v>
      </c>
      <c r="O75" t="s">
        <v>1423</v>
      </c>
      <c r="P75" t="s">
        <v>1423</v>
      </c>
      <c r="Q75" t="s">
        <v>1412</v>
      </c>
      <c r="S75" s="1">
        <v>46043</v>
      </c>
      <c r="W75" s="1">
        <v>26898</v>
      </c>
      <c r="X75" t="s">
        <v>2592</v>
      </c>
      <c r="Y75" t="s">
        <v>2593</v>
      </c>
      <c r="Z75" t="s">
        <v>2594</v>
      </c>
      <c r="AA75" t="s">
        <v>1419</v>
      </c>
      <c r="AB75" t="s">
        <v>2595</v>
      </c>
      <c r="AC75">
        <v>81995682148</v>
      </c>
    </row>
    <row r="76" spans="1:29" x14ac:dyDescent="0.3">
      <c r="A76" t="s">
        <v>1405</v>
      </c>
      <c r="B76" t="s">
        <v>2302</v>
      </c>
      <c r="C76" t="s">
        <v>2596</v>
      </c>
      <c r="D76">
        <v>2936779308</v>
      </c>
      <c r="E76">
        <v>298920220057</v>
      </c>
      <c r="F76">
        <v>1004003180</v>
      </c>
      <c r="G76" s="1">
        <v>43546</v>
      </c>
      <c r="H76" t="s">
        <v>1360</v>
      </c>
      <c r="I76" t="s">
        <v>1374</v>
      </c>
      <c r="J76" t="s">
        <v>2308</v>
      </c>
      <c r="K76" t="s">
        <v>2313</v>
      </c>
      <c r="L76" t="s">
        <v>2305</v>
      </c>
      <c r="M76" t="s">
        <v>1409</v>
      </c>
      <c r="N76" t="s">
        <v>1410</v>
      </c>
      <c r="O76" t="s">
        <v>1423</v>
      </c>
      <c r="P76" t="s">
        <v>1423</v>
      </c>
      <c r="Q76" t="s">
        <v>1412</v>
      </c>
      <c r="S76" s="1">
        <v>46069</v>
      </c>
      <c r="W76" s="1">
        <v>31412</v>
      </c>
      <c r="X76" t="s">
        <v>2597</v>
      </c>
      <c r="Y76" t="s">
        <v>2598</v>
      </c>
      <c r="Z76" t="s">
        <v>2482</v>
      </c>
      <c r="AA76" t="s">
        <v>1419</v>
      </c>
      <c r="AB76" t="s">
        <v>2599</v>
      </c>
      <c r="AC76">
        <v>98991413344</v>
      </c>
    </row>
    <row r="77" spans="1:29" x14ac:dyDescent="0.3">
      <c r="A77" t="s">
        <v>1405</v>
      </c>
      <c r="B77" t="s">
        <v>2302</v>
      </c>
      <c r="C77" t="s">
        <v>2600</v>
      </c>
      <c r="D77">
        <v>2725546931</v>
      </c>
      <c r="E77">
        <v>4168070</v>
      </c>
      <c r="F77">
        <v>1004006954</v>
      </c>
      <c r="G77" s="1">
        <v>44096</v>
      </c>
      <c r="H77" t="s">
        <v>1360</v>
      </c>
      <c r="I77" t="s">
        <v>1349</v>
      </c>
      <c r="J77" t="s">
        <v>2308</v>
      </c>
      <c r="K77" t="s">
        <v>2313</v>
      </c>
      <c r="L77" t="s">
        <v>2305</v>
      </c>
      <c r="M77" t="s">
        <v>1447</v>
      </c>
      <c r="N77" t="s">
        <v>1448</v>
      </c>
      <c r="O77" t="s">
        <v>1423</v>
      </c>
      <c r="P77" t="s">
        <v>1423</v>
      </c>
      <c r="Q77" t="s">
        <v>1412</v>
      </c>
      <c r="S77" s="1">
        <v>46050</v>
      </c>
      <c r="V77" s="1">
        <v>46048</v>
      </c>
      <c r="W77" s="1">
        <v>29183</v>
      </c>
      <c r="X77" t="s">
        <v>1676</v>
      </c>
      <c r="Z77" t="s">
        <v>2601</v>
      </c>
      <c r="AA77" t="s">
        <v>1419</v>
      </c>
      <c r="AB77" t="s">
        <v>2602</v>
      </c>
      <c r="AC77">
        <v>49999600185</v>
      </c>
    </row>
    <row r="78" spans="1:29" x14ac:dyDescent="0.3">
      <c r="A78" t="s">
        <v>1405</v>
      </c>
      <c r="B78" t="s">
        <v>2302</v>
      </c>
      <c r="C78" t="s">
        <v>2603</v>
      </c>
      <c r="D78">
        <v>41967380015</v>
      </c>
      <c r="E78">
        <v>1030699944</v>
      </c>
      <c r="F78">
        <v>42004202015</v>
      </c>
      <c r="G78" s="1">
        <v>42401</v>
      </c>
      <c r="H78" t="s">
        <v>1360</v>
      </c>
      <c r="I78" t="s">
        <v>2604</v>
      </c>
      <c r="J78" t="s">
        <v>2308</v>
      </c>
      <c r="K78" t="s">
        <v>2313</v>
      </c>
      <c r="L78" t="s">
        <v>2305</v>
      </c>
      <c r="M78" t="s">
        <v>1409</v>
      </c>
      <c r="N78" t="s">
        <v>1410</v>
      </c>
      <c r="O78" t="s">
        <v>1423</v>
      </c>
      <c r="P78" t="s">
        <v>1423</v>
      </c>
      <c r="Q78" t="s">
        <v>1412</v>
      </c>
      <c r="S78" s="1">
        <v>45793</v>
      </c>
      <c r="T78" s="1">
        <v>45770</v>
      </c>
      <c r="W78" s="1">
        <v>23757</v>
      </c>
      <c r="X78" t="s">
        <v>2605</v>
      </c>
      <c r="Y78" t="s">
        <v>2606</v>
      </c>
      <c r="Z78" t="s">
        <v>2607</v>
      </c>
      <c r="AA78" t="s">
        <v>1419</v>
      </c>
      <c r="AB78" t="s">
        <v>2608</v>
      </c>
      <c r="AC78">
        <v>5136278577</v>
      </c>
    </row>
    <row r="79" spans="1:29" x14ac:dyDescent="0.3">
      <c r="A79" t="s">
        <v>1405</v>
      </c>
      <c r="B79" t="s">
        <v>2302</v>
      </c>
      <c r="C79" t="s">
        <v>2609</v>
      </c>
      <c r="D79">
        <v>90142667900</v>
      </c>
      <c r="E79">
        <v>3061309</v>
      </c>
      <c r="F79">
        <v>1004005366</v>
      </c>
      <c r="G79" s="1">
        <v>43881</v>
      </c>
      <c r="H79" t="s">
        <v>1360</v>
      </c>
      <c r="I79" t="s">
        <v>1374</v>
      </c>
      <c r="J79" t="s">
        <v>2308</v>
      </c>
      <c r="K79" t="s">
        <v>2313</v>
      </c>
      <c r="L79" t="s">
        <v>2305</v>
      </c>
      <c r="M79" t="s">
        <v>1447</v>
      </c>
      <c r="N79" t="s">
        <v>1448</v>
      </c>
      <c r="O79" t="s">
        <v>1423</v>
      </c>
      <c r="P79" t="s">
        <v>1423</v>
      </c>
      <c r="Q79" t="s">
        <v>1412</v>
      </c>
      <c r="S79" s="1">
        <v>46043</v>
      </c>
      <c r="W79" s="1">
        <v>27635</v>
      </c>
      <c r="X79" t="s">
        <v>1563</v>
      </c>
      <c r="Y79" t="s">
        <v>1564</v>
      </c>
      <c r="Z79" t="s">
        <v>2610</v>
      </c>
      <c r="AA79" t="s">
        <v>1419</v>
      </c>
      <c r="AB79" t="s">
        <v>2611</v>
      </c>
      <c r="AC79">
        <v>47984273643</v>
      </c>
    </row>
    <row r="80" spans="1:29" x14ac:dyDescent="0.3">
      <c r="A80" t="s">
        <v>1405</v>
      </c>
      <c r="B80" t="s">
        <v>2302</v>
      </c>
      <c r="C80" t="s">
        <v>2612</v>
      </c>
      <c r="D80">
        <v>939704552</v>
      </c>
      <c r="E80" t="s">
        <v>2613</v>
      </c>
      <c r="F80">
        <v>1004017107</v>
      </c>
      <c r="G80" s="1">
        <v>45733</v>
      </c>
      <c r="H80" t="s">
        <v>1360</v>
      </c>
      <c r="I80" t="s">
        <v>1349</v>
      </c>
      <c r="J80" t="s">
        <v>1361</v>
      </c>
      <c r="K80" t="s">
        <v>2308</v>
      </c>
      <c r="L80" t="s">
        <v>2305</v>
      </c>
      <c r="M80" t="s">
        <v>1409</v>
      </c>
      <c r="N80" t="s">
        <v>1410</v>
      </c>
      <c r="O80" t="s">
        <v>1411</v>
      </c>
      <c r="P80" t="s">
        <v>1411</v>
      </c>
      <c r="Q80" t="s">
        <v>1412</v>
      </c>
      <c r="S80" s="1">
        <v>45910</v>
      </c>
      <c r="V80" s="1">
        <v>45908</v>
      </c>
      <c r="W80" s="1">
        <v>30468</v>
      </c>
      <c r="X80" t="s">
        <v>2223</v>
      </c>
      <c r="Y80" t="s">
        <v>2614</v>
      </c>
      <c r="Z80" t="s">
        <v>2615</v>
      </c>
      <c r="AA80" t="s">
        <v>1419</v>
      </c>
      <c r="AB80" t="s">
        <v>2616</v>
      </c>
      <c r="AC80">
        <v>75991878793</v>
      </c>
    </row>
    <row r="81" spans="1:29" x14ac:dyDescent="0.3">
      <c r="A81" t="s">
        <v>1405</v>
      </c>
      <c r="B81" t="s">
        <v>2302</v>
      </c>
      <c r="C81" t="s">
        <v>2617</v>
      </c>
      <c r="D81">
        <v>82014779287</v>
      </c>
      <c r="E81">
        <v>712146</v>
      </c>
      <c r="F81">
        <v>1004010549</v>
      </c>
      <c r="G81" s="1">
        <v>44783</v>
      </c>
      <c r="H81" t="s">
        <v>1360</v>
      </c>
      <c r="I81" t="s">
        <v>1349</v>
      </c>
      <c r="J81" t="s">
        <v>2348</v>
      </c>
      <c r="K81" t="s">
        <v>2308</v>
      </c>
      <c r="L81" t="s">
        <v>2305</v>
      </c>
      <c r="M81" t="s">
        <v>1421</v>
      </c>
      <c r="N81" t="s">
        <v>1410</v>
      </c>
      <c r="O81" t="s">
        <v>1411</v>
      </c>
      <c r="P81" t="s">
        <v>1411</v>
      </c>
      <c r="Q81" t="s">
        <v>1412</v>
      </c>
      <c r="S81" s="1">
        <v>46057</v>
      </c>
      <c r="V81" s="1">
        <v>46055</v>
      </c>
      <c r="W81" s="1">
        <v>30304</v>
      </c>
      <c r="X81" t="s">
        <v>2618</v>
      </c>
      <c r="Y81" t="s">
        <v>2619</v>
      </c>
      <c r="Z81" t="s">
        <v>2620</v>
      </c>
      <c r="AA81" t="s">
        <v>1419</v>
      </c>
      <c r="AB81" t="s">
        <v>2621</v>
      </c>
      <c r="AC81">
        <v>69984249198</v>
      </c>
    </row>
    <row r="82" spans="1:29" x14ac:dyDescent="0.3">
      <c r="A82" t="s">
        <v>1405</v>
      </c>
      <c r="B82" t="s">
        <v>2302</v>
      </c>
      <c r="C82" t="s">
        <v>2622</v>
      </c>
      <c r="D82">
        <v>63664364368</v>
      </c>
      <c r="E82">
        <v>96028063800</v>
      </c>
      <c r="F82">
        <v>1004001631</v>
      </c>
      <c r="G82" s="1">
        <v>43179</v>
      </c>
      <c r="H82" t="s">
        <v>1360</v>
      </c>
      <c r="I82" t="s">
        <v>1374</v>
      </c>
      <c r="J82" t="s">
        <v>2308</v>
      </c>
      <c r="K82" t="s">
        <v>2313</v>
      </c>
      <c r="L82" t="s">
        <v>2305</v>
      </c>
      <c r="M82" t="s">
        <v>1421</v>
      </c>
      <c r="N82" t="s">
        <v>1410</v>
      </c>
      <c r="O82" t="s">
        <v>1423</v>
      </c>
      <c r="P82" t="s">
        <v>1411</v>
      </c>
      <c r="Q82" t="s">
        <v>1412</v>
      </c>
      <c r="S82" s="1">
        <v>46043</v>
      </c>
      <c r="W82" s="1">
        <v>28768</v>
      </c>
      <c r="X82" t="s">
        <v>2623</v>
      </c>
      <c r="Y82" t="s">
        <v>2624</v>
      </c>
      <c r="Z82" t="s">
        <v>2625</v>
      </c>
      <c r="AA82" t="s">
        <v>1419</v>
      </c>
      <c r="AB82" t="s">
        <v>2626</v>
      </c>
      <c r="AC82">
        <v>88997122829</v>
      </c>
    </row>
    <row r="83" spans="1:29" x14ac:dyDescent="0.3">
      <c r="A83" t="s">
        <v>1405</v>
      </c>
      <c r="B83" t="s">
        <v>2302</v>
      </c>
      <c r="C83" t="s">
        <v>2627</v>
      </c>
      <c r="D83">
        <v>9064679932</v>
      </c>
      <c r="E83">
        <v>6288938</v>
      </c>
      <c r="F83">
        <v>1004010408</v>
      </c>
      <c r="G83" s="1">
        <v>44784</v>
      </c>
      <c r="H83" t="s">
        <v>1360</v>
      </c>
      <c r="I83" t="s">
        <v>1349</v>
      </c>
      <c r="J83">
        <v>3</v>
      </c>
      <c r="K83" t="s">
        <v>2444</v>
      </c>
      <c r="L83" t="s">
        <v>2305</v>
      </c>
      <c r="M83" t="s">
        <v>1421</v>
      </c>
      <c r="N83" t="s">
        <v>1410</v>
      </c>
      <c r="O83" t="s">
        <v>1423</v>
      </c>
      <c r="P83" t="s">
        <v>1423</v>
      </c>
      <c r="Q83" t="s">
        <v>1412</v>
      </c>
      <c r="S83" s="1">
        <v>46059</v>
      </c>
      <c r="V83" s="1">
        <v>46056</v>
      </c>
      <c r="W83" s="1">
        <v>34889</v>
      </c>
      <c r="X83" t="s">
        <v>2628</v>
      </c>
      <c r="Y83" t="s">
        <v>2629</v>
      </c>
      <c r="Z83" t="s">
        <v>2630</v>
      </c>
      <c r="AA83" t="s">
        <v>1419</v>
      </c>
      <c r="AB83" t="s">
        <v>2631</v>
      </c>
      <c r="AC83">
        <v>47991627284</v>
      </c>
    </row>
    <row r="84" spans="1:29" x14ac:dyDescent="0.3">
      <c r="A84" t="s">
        <v>1405</v>
      </c>
      <c r="B84" t="s">
        <v>2302</v>
      </c>
      <c r="C84" t="s">
        <v>2632</v>
      </c>
      <c r="D84">
        <v>73489700287</v>
      </c>
      <c r="E84">
        <v>3935662</v>
      </c>
      <c r="F84">
        <v>1004001450</v>
      </c>
      <c r="G84" s="1">
        <v>43153</v>
      </c>
      <c r="H84" t="s">
        <v>1360</v>
      </c>
      <c r="I84" t="s">
        <v>1374</v>
      </c>
      <c r="J84" t="s">
        <v>2308</v>
      </c>
      <c r="K84" t="s">
        <v>2313</v>
      </c>
      <c r="L84" t="s">
        <v>2305</v>
      </c>
      <c r="M84" t="s">
        <v>1409</v>
      </c>
      <c r="N84" t="s">
        <v>1410</v>
      </c>
      <c r="O84" t="s">
        <v>1423</v>
      </c>
      <c r="P84" t="s">
        <v>1423</v>
      </c>
      <c r="Q84" t="s">
        <v>1412</v>
      </c>
      <c r="S84" s="1">
        <v>46043</v>
      </c>
      <c r="W84" s="1">
        <v>25882</v>
      </c>
      <c r="X84" t="s">
        <v>1492</v>
      </c>
      <c r="Y84" t="s">
        <v>2058</v>
      </c>
      <c r="Z84" t="s">
        <v>2633</v>
      </c>
      <c r="AA84" t="s">
        <v>1419</v>
      </c>
      <c r="AB84" t="s">
        <v>2634</v>
      </c>
      <c r="AC84">
        <v>4733019000</v>
      </c>
    </row>
    <row r="85" spans="1:29" x14ac:dyDescent="0.3">
      <c r="A85" t="s">
        <v>1405</v>
      </c>
      <c r="B85" t="s">
        <v>2302</v>
      </c>
      <c r="C85" t="s">
        <v>2635</v>
      </c>
      <c r="D85">
        <v>8480891629</v>
      </c>
      <c r="E85" t="s">
        <v>2636</v>
      </c>
      <c r="F85">
        <v>1004019968</v>
      </c>
      <c r="G85" s="1">
        <v>45917</v>
      </c>
      <c r="H85" t="s">
        <v>1360</v>
      </c>
      <c r="I85" t="s">
        <v>1374</v>
      </c>
      <c r="J85" t="s">
        <v>1361</v>
      </c>
      <c r="K85" t="s">
        <v>2308</v>
      </c>
      <c r="L85" t="s">
        <v>2305</v>
      </c>
      <c r="M85" t="s">
        <v>1409</v>
      </c>
      <c r="N85" t="s">
        <v>1410</v>
      </c>
      <c r="O85" t="s">
        <v>1411</v>
      </c>
      <c r="P85" t="s">
        <v>1411</v>
      </c>
      <c r="Q85" t="s">
        <v>1412</v>
      </c>
      <c r="S85" s="1">
        <v>46069</v>
      </c>
      <c r="W85" s="1">
        <v>32648</v>
      </c>
      <c r="X85" t="s">
        <v>2103</v>
      </c>
      <c r="Z85" t="s">
        <v>2525</v>
      </c>
      <c r="AA85" t="s">
        <v>1419</v>
      </c>
      <c r="AB85" t="s">
        <v>2637</v>
      </c>
      <c r="AC85">
        <v>38991888234</v>
      </c>
    </row>
    <row r="86" spans="1:29" x14ac:dyDescent="0.3">
      <c r="A86" t="s">
        <v>1405</v>
      </c>
      <c r="B86" t="s">
        <v>2302</v>
      </c>
      <c r="C86" t="s">
        <v>2638</v>
      </c>
      <c r="D86">
        <v>911022007</v>
      </c>
      <c r="E86">
        <v>1086871082</v>
      </c>
      <c r="F86">
        <v>1004014406</v>
      </c>
      <c r="G86" s="1">
        <v>45372</v>
      </c>
      <c r="H86" t="s">
        <v>1360</v>
      </c>
      <c r="I86" t="s">
        <v>1349</v>
      </c>
      <c r="J86" t="s">
        <v>1361</v>
      </c>
      <c r="K86" t="s">
        <v>2308</v>
      </c>
      <c r="L86" t="s">
        <v>2305</v>
      </c>
      <c r="M86" t="s">
        <v>1409</v>
      </c>
      <c r="N86" t="s">
        <v>1410</v>
      </c>
      <c r="O86" t="s">
        <v>1423</v>
      </c>
      <c r="P86" t="s">
        <v>1423</v>
      </c>
      <c r="Q86" t="s">
        <v>1412</v>
      </c>
      <c r="S86" s="1">
        <v>45848</v>
      </c>
      <c r="V86" s="1">
        <v>45846</v>
      </c>
      <c r="W86" s="1">
        <v>31457</v>
      </c>
      <c r="X86" t="s">
        <v>1512</v>
      </c>
      <c r="Y86" t="s">
        <v>2639</v>
      </c>
      <c r="Z86" t="s">
        <v>2640</v>
      </c>
      <c r="AA86" t="s">
        <v>1415</v>
      </c>
      <c r="AB86" t="s">
        <v>2641</v>
      </c>
      <c r="AC86">
        <v>55997255191</v>
      </c>
    </row>
    <row r="87" spans="1:29" x14ac:dyDescent="0.3">
      <c r="A87" t="s">
        <v>1405</v>
      </c>
      <c r="B87" t="s">
        <v>2302</v>
      </c>
      <c r="C87" t="s">
        <v>2642</v>
      </c>
      <c r="D87">
        <v>3294191294</v>
      </c>
      <c r="E87">
        <v>605386</v>
      </c>
      <c r="F87">
        <v>1004021484</v>
      </c>
      <c r="G87" s="1">
        <v>46083</v>
      </c>
      <c r="H87" t="s">
        <v>1360</v>
      </c>
      <c r="I87" t="s">
        <v>1374</v>
      </c>
      <c r="J87" t="s">
        <v>1361</v>
      </c>
      <c r="K87" t="s">
        <v>2308</v>
      </c>
      <c r="L87" t="s">
        <v>2305</v>
      </c>
      <c r="M87" t="s">
        <v>1409</v>
      </c>
      <c r="N87" t="s">
        <v>1410</v>
      </c>
      <c r="O87" t="s">
        <v>1411</v>
      </c>
      <c r="P87" t="s">
        <v>1411</v>
      </c>
      <c r="Q87" t="s">
        <v>1412</v>
      </c>
      <c r="S87" s="1">
        <v>46085</v>
      </c>
      <c r="W87" s="1">
        <v>35744</v>
      </c>
      <c r="X87" t="s">
        <v>2516</v>
      </c>
      <c r="Z87" t="s">
        <v>2518</v>
      </c>
      <c r="AA87" t="s">
        <v>1415</v>
      </c>
      <c r="AB87" t="s">
        <v>2643</v>
      </c>
      <c r="AC87">
        <v>96984151000</v>
      </c>
    </row>
    <row r="88" spans="1:29" x14ac:dyDescent="0.3">
      <c r="A88" t="s">
        <v>1405</v>
      </c>
      <c r="B88" t="s">
        <v>2302</v>
      </c>
      <c r="C88" t="s">
        <v>2644</v>
      </c>
      <c r="D88">
        <v>7577468452</v>
      </c>
      <c r="E88">
        <v>2397956</v>
      </c>
      <c r="F88">
        <v>1004005701</v>
      </c>
      <c r="G88" s="1">
        <v>43909</v>
      </c>
      <c r="H88" t="s">
        <v>1360</v>
      </c>
      <c r="I88" t="s">
        <v>1349</v>
      </c>
      <c r="J88" t="s">
        <v>2308</v>
      </c>
      <c r="K88" t="s">
        <v>2313</v>
      </c>
      <c r="L88" t="s">
        <v>2305</v>
      </c>
      <c r="M88" t="s">
        <v>1409</v>
      </c>
      <c r="N88" t="s">
        <v>1410</v>
      </c>
      <c r="O88" t="s">
        <v>1423</v>
      </c>
      <c r="P88" t="s">
        <v>1423</v>
      </c>
      <c r="Q88" t="s">
        <v>1412</v>
      </c>
      <c r="S88" s="1">
        <v>46057</v>
      </c>
      <c r="V88" s="1">
        <v>46055</v>
      </c>
      <c r="W88" s="1">
        <v>32644</v>
      </c>
      <c r="X88" t="s">
        <v>2645</v>
      </c>
      <c r="Y88" t="s">
        <v>2646</v>
      </c>
      <c r="Z88" t="s">
        <v>2647</v>
      </c>
      <c r="AA88" t="s">
        <v>1415</v>
      </c>
      <c r="AB88" t="s">
        <v>2648</v>
      </c>
      <c r="AC88">
        <v>84998140535</v>
      </c>
    </row>
    <row r="89" spans="1:29" x14ac:dyDescent="0.3">
      <c r="A89" t="s">
        <v>1405</v>
      </c>
      <c r="B89" t="s">
        <v>2302</v>
      </c>
      <c r="C89" t="s">
        <v>2649</v>
      </c>
      <c r="D89">
        <v>82868131034</v>
      </c>
      <c r="E89">
        <v>6080580472</v>
      </c>
      <c r="F89">
        <v>1004000070</v>
      </c>
      <c r="G89" s="1">
        <v>42767</v>
      </c>
      <c r="H89" t="s">
        <v>1360</v>
      </c>
      <c r="I89" t="s">
        <v>1349</v>
      </c>
      <c r="J89" t="s">
        <v>2308</v>
      </c>
      <c r="K89" t="s">
        <v>2313</v>
      </c>
      <c r="L89" t="s">
        <v>2305</v>
      </c>
      <c r="M89" t="s">
        <v>1409</v>
      </c>
      <c r="N89" t="s">
        <v>1410</v>
      </c>
      <c r="O89" t="s">
        <v>1423</v>
      </c>
      <c r="P89" t="s">
        <v>1423</v>
      </c>
      <c r="Q89" t="s">
        <v>1412</v>
      </c>
      <c r="S89" s="1">
        <v>45861</v>
      </c>
      <c r="V89" s="1">
        <v>45859</v>
      </c>
      <c r="W89" s="1">
        <v>30383</v>
      </c>
      <c r="X89" t="s">
        <v>2650</v>
      </c>
      <c r="Y89" t="s">
        <v>2651</v>
      </c>
      <c r="Z89" t="s">
        <v>2652</v>
      </c>
      <c r="AA89" t="s">
        <v>1415</v>
      </c>
      <c r="AB89" t="s">
        <v>2653</v>
      </c>
      <c r="AC89">
        <v>4988099980</v>
      </c>
    </row>
    <row r="90" spans="1:29" x14ac:dyDescent="0.3">
      <c r="A90" t="s">
        <v>1405</v>
      </c>
      <c r="B90" t="s">
        <v>2302</v>
      </c>
      <c r="C90" t="s">
        <v>2654</v>
      </c>
      <c r="D90">
        <v>4028795117</v>
      </c>
      <c r="E90">
        <v>22795839</v>
      </c>
      <c r="F90">
        <v>1004009360</v>
      </c>
      <c r="G90" s="1">
        <v>44620</v>
      </c>
      <c r="H90" t="s">
        <v>1360</v>
      </c>
      <c r="I90" t="s">
        <v>1374</v>
      </c>
      <c r="J90" t="s">
        <v>2348</v>
      </c>
      <c r="K90" t="s">
        <v>2308</v>
      </c>
      <c r="L90" t="s">
        <v>2305</v>
      </c>
      <c r="M90" t="s">
        <v>1421</v>
      </c>
      <c r="N90" t="s">
        <v>1410</v>
      </c>
      <c r="O90" t="s">
        <v>1411</v>
      </c>
      <c r="P90" t="s">
        <v>1411</v>
      </c>
      <c r="Q90" t="s">
        <v>1412</v>
      </c>
      <c r="S90" s="1">
        <v>46043</v>
      </c>
      <c r="W90" s="1">
        <v>34609</v>
      </c>
      <c r="X90" t="s">
        <v>2655</v>
      </c>
      <c r="Y90" t="s">
        <v>2656</v>
      </c>
      <c r="Z90" t="s">
        <v>2657</v>
      </c>
      <c r="AA90" t="s">
        <v>1415</v>
      </c>
      <c r="AB90" t="s">
        <v>2658</v>
      </c>
      <c r="AC90">
        <v>66992067505</v>
      </c>
    </row>
    <row r="91" spans="1:29" x14ac:dyDescent="0.3">
      <c r="A91" t="s">
        <v>1405</v>
      </c>
      <c r="B91" t="s">
        <v>2302</v>
      </c>
      <c r="C91" t="s">
        <v>2659</v>
      </c>
      <c r="D91">
        <v>99127750582</v>
      </c>
      <c r="E91" t="s">
        <v>2660</v>
      </c>
      <c r="F91">
        <v>1004016954</v>
      </c>
      <c r="G91" s="1">
        <v>45721</v>
      </c>
      <c r="H91" t="s">
        <v>1360</v>
      </c>
      <c r="I91" t="s">
        <v>1349</v>
      </c>
      <c r="J91" t="s">
        <v>1361</v>
      </c>
      <c r="K91" t="s">
        <v>2308</v>
      </c>
      <c r="L91" t="s">
        <v>2305</v>
      </c>
      <c r="M91" t="s">
        <v>1409</v>
      </c>
      <c r="N91" t="s">
        <v>1410</v>
      </c>
      <c r="O91" t="s">
        <v>1411</v>
      </c>
      <c r="P91" t="s">
        <v>1411</v>
      </c>
      <c r="Q91" t="s">
        <v>1412</v>
      </c>
      <c r="S91" s="1">
        <v>46048</v>
      </c>
      <c r="V91" s="1">
        <v>46045</v>
      </c>
      <c r="W91" s="1">
        <v>29026</v>
      </c>
      <c r="X91" t="s">
        <v>2661</v>
      </c>
      <c r="Y91" t="s">
        <v>2662</v>
      </c>
      <c r="Z91" t="s">
        <v>2663</v>
      </c>
      <c r="AA91" t="s">
        <v>1415</v>
      </c>
      <c r="AB91" t="s">
        <v>2664</v>
      </c>
      <c r="AC91">
        <v>73982395374</v>
      </c>
    </row>
    <row r="92" spans="1:29" x14ac:dyDescent="0.3">
      <c r="A92" t="s">
        <v>1405</v>
      </c>
      <c r="B92" t="s">
        <v>2302</v>
      </c>
      <c r="C92" t="s">
        <v>2665</v>
      </c>
      <c r="D92">
        <v>8837858973</v>
      </c>
      <c r="E92">
        <v>126499876</v>
      </c>
      <c r="F92">
        <v>1004006458</v>
      </c>
      <c r="G92" s="1">
        <v>43997</v>
      </c>
      <c r="H92" t="s">
        <v>1360</v>
      </c>
      <c r="I92" t="s">
        <v>1349</v>
      </c>
      <c r="J92" t="s">
        <v>2308</v>
      </c>
      <c r="K92" t="s">
        <v>2313</v>
      </c>
      <c r="L92" t="s">
        <v>2305</v>
      </c>
      <c r="M92" t="s">
        <v>1409</v>
      </c>
      <c r="N92" t="s">
        <v>1410</v>
      </c>
      <c r="O92" t="s">
        <v>1439</v>
      </c>
      <c r="P92" t="s">
        <v>1439</v>
      </c>
      <c r="Q92" t="s">
        <v>1412</v>
      </c>
      <c r="S92" s="1">
        <v>45842</v>
      </c>
      <c r="V92" s="1">
        <v>45840</v>
      </c>
      <c r="W92" s="1">
        <v>34345</v>
      </c>
      <c r="X92" t="s">
        <v>2666</v>
      </c>
      <c r="Y92" t="s">
        <v>2667</v>
      </c>
      <c r="Z92" t="s">
        <v>2668</v>
      </c>
      <c r="AA92" t="s">
        <v>1415</v>
      </c>
      <c r="AB92" t="s">
        <v>2669</v>
      </c>
      <c r="AC92">
        <v>46988204464</v>
      </c>
    </row>
    <row r="93" spans="1:29" x14ac:dyDescent="0.3">
      <c r="A93" t="s">
        <v>1405</v>
      </c>
      <c r="B93" t="s">
        <v>2302</v>
      </c>
      <c r="C93" t="s">
        <v>2670</v>
      </c>
      <c r="D93">
        <v>99229536091</v>
      </c>
      <c r="E93">
        <v>1077542403</v>
      </c>
      <c r="F93">
        <v>1004016785</v>
      </c>
      <c r="G93" s="1">
        <v>45705</v>
      </c>
      <c r="H93" t="s">
        <v>1360</v>
      </c>
      <c r="I93" t="s">
        <v>1374</v>
      </c>
      <c r="J93" t="s">
        <v>1361</v>
      </c>
      <c r="K93" t="s">
        <v>2308</v>
      </c>
      <c r="L93" t="s">
        <v>2305</v>
      </c>
      <c r="M93" t="s">
        <v>1409</v>
      </c>
      <c r="N93" t="s">
        <v>1410</v>
      </c>
      <c r="O93" t="s">
        <v>1423</v>
      </c>
      <c r="P93" t="s">
        <v>1423</v>
      </c>
      <c r="Q93" t="s">
        <v>1412</v>
      </c>
      <c r="S93" s="1">
        <v>46043</v>
      </c>
      <c r="W93" s="1">
        <v>30010</v>
      </c>
      <c r="X93" t="s">
        <v>1631</v>
      </c>
      <c r="Y93" t="s">
        <v>2447</v>
      </c>
      <c r="Z93" t="s">
        <v>2448</v>
      </c>
      <c r="AA93" t="s">
        <v>1415</v>
      </c>
      <c r="AB93" t="s">
        <v>2671</v>
      </c>
      <c r="AC93">
        <v>51995315809</v>
      </c>
    </row>
    <row r="94" spans="1:29" x14ac:dyDescent="0.3">
      <c r="A94" t="s">
        <v>1405</v>
      </c>
      <c r="B94" t="s">
        <v>2302</v>
      </c>
      <c r="C94" t="s">
        <v>2672</v>
      </c>
      <c r="D94">
        <v>5069278657</v>
      </c>
      <c r="E94">
        <v>12565941</v>
      </c>
      <c r="F94">
        <v>1004012932</v>
      </c>
      <c r="G94" s="1">
        <v>45188</v>
      </c>
      <c r="H94" t="s">
        <v>1360</v>
      </c>
      <c r="I94" t="s">
        <v>1349</v>
      </c>
      <c r="J94" t="s">
        <v>1361</v>
      </c>
      <c r="K94" t="s">
        <v>2308</v>
      </c>
      <c r="L94" t="s">
        <v>2305</v>
      </c>
      <c r="M94" t="s">
        <v>1421</v>
      </c>
      <c r="N94" t="s">
        <v>1422</v>
      </c>
      <c r="O94" t="s">
        <v>1423</v>
      </c>
      <c r="P94" t="s">
        <v>1423</v>
      </c>
      <c r="Q94" t="s">
        <v>1412</v>
      </c>
      <c r="S94" s="1">
        <v>45790</v>
      </c>
      <c r="V94" s="1">
        <v>45805</v>
      </c>
      <c r="W94" s="1">
        <v>30096</v>
      </c>
      <c r="X94" t="s">
        <v>2145</v>
      </c>
      <c r="Z94" t="s">
        <v>2325</v>
      </c>
      <c r="AA94" t="s">
        <v>1415</v>
      </c>
      <c r="AB94" t="s">
        <v>2673</v>
      </c>
      <c r="AC94">
        <v>34998307404</v>
      </c>
    </row>
    <row r="95" spans="1:29" x14ac:dyDescent="0.3">
      <c r="A95" t="s">
        <v>1405</v>
      </c>
      <c r="B95" t="s">
        <v>2302</v>
      </c>
      <c r="C95" t="s">
        <v>2674</v>
      </c>
      <c r="D95">
        <v>1038895235</v>
      </c>
      <c r="E95">
        <v>6193348</v>
      </c>
      <c r="F95">
        <v>1004015648</v>
      </c>
      <c r="G95" s="1">
        <v>45539</v>
      </c>
      <c r="H95" t="s">
        <v>1360</v>
      </c>
      <c r="I95" t="s">
        <v>1374</v>
      </c>
      <c r="J95" t="s">
        <v>1361</v>
      </c>
      <c r="K95" t="s">
        <v>2308</v>
      </c>
      <c r="L95" t="s">
        <v>2305</v>
      </c>
      <c r="M95" t="s">
        <v>1409</v>
      </c>
      <c r="N95" t="s">
        <v>1410</v>
      </c>
      <c r="O95" t="s">
        <v>1411</v>
      </c>
      <c r="P95" t="s">
        <v>1411</v>
      </c>
      <c r="Q95" t="s">
        <v>1412</v>
      </c>
      <c r="S95" s="1">
        <v>46043</v>
      </c>
      <c r="W95" s="1">
        <v>33522</v>
      </c>
      <c r="X95" t="s">
        <v>2288</v>
      </c>
      <c r="Y95" t="s">
        <v>2553</v>
      </c>
      <c r="Z95" t="s">
        <v>2532</v>
      </c>
      <c r="AA95" t="s">
        <v>1415</v>
      </c>
      <c r="AB95" t="s">
        <v>2675</v>
      </c>
      <c r="AC95">
        <v>91984645412</v>
      </c>
    </row>
    <row r="96" spans="1:29" x14ac:dyDescent="0.3">
      <c r="A96" t="s">
        <v>1405</v>
      </c>
      <c r="B96" t="s">
        <v>2302</v>
      </c>
      <c r="C96" t="s">
        <v>2676</v>
      </c>
      <c r="D96">
        <v>4741874460</v>
      </c>
      <c r="E96">
        <v>5876583</v>
      </c>
      <c r="F96">
        <v>1004009586</v>
      </c>
      <c r="G96" s="1">
        <v>44650</v>
      </c>
      <c r="H96" t="s">
        <v>1360</v>
      </c>
      <c r="I96" t="s">
        <v>1349</v>
      </c>
      <c r="J96" t="s">
        <v>2348</v>
      </c>
      <c r="K96" t="s">
        <v>2308</v>
      </c>
      <c r="L96" t="s">
        <v>2305</v>
      </c>
      <c r="M96" t="s">
        <v>1409</v>
      </c>
      <c r="N96" t="s">
        <v>1410</v>
      </c>
      <c r="O96" t="s">
        <v>1423</v>
      </c>
      <c r="P96" t="s">
        <v>1423</v>
      </c>
      <c r="Q96" t="s">
        <v>1412</v>
      </c>
      <c r="S96" s="1">
        <v>46057</v>
      </c>
      <c r="V96" s="1">
        <v>46055</v>
      </c>
      <c r="W96" s="1">
        <v>30676</v>
      </c>
      <c r="X96" t="s">
        <v>1811</v>
      </c>
      <c r="Z96" t="s">
        <v>2677</v>
      </c>
      <c r="AA96" t="s">
        <v>1419</v>
      </c>
      <c r="AB96" t="s">
        <v>2678</v>
      </c>
      <c r="AC96">
        <v>75998573115</v>
      </c>
    </row>
    <row r="97" spans="1:29" x14ac:dyDescent="0.3">
      <c r="A97" t="s">
        <v>1405</v>
      </c>
      <c r="B97" t="s">
        <v>2302</v>
      </c>
      <c r="C97" t="s">
        <v>2679</v>
      </c>
      <c r="D97">
        <v>80130208949</v>
      </c>
      <c r="E97">
        <v>19977301</v>
      </c>
      <c r="F97">
        <v>1004001286</v>
      </c>
      <c r="G97" s="1">
        <v>43155</v>
      </c>
      <c r="H97" t="s">
        <v>1360</v>
      </c>
      <c r="I97" t="s">
        <v>1374</v>
      </c>
      <c r="J97" t="s">
        <v>2308</v>
      </c>
      <c r="K97" t="s">
        <v>2313</v>
      </c>
      <c r="L97" t="s">
        <v>2305</v>
      </c>
      <c r="M97" t="s">
        <v>1409</v>
      </c>
      <c r="N97" t="s">
        <v>1410</v>
      </c>
      <c r="O97" t="s">
        <v>1423</v>
      </c>
      <c r="P97" t="s">
        <v>1423</v>
      </c>
      <c r="Q97" t="s">
        <v>1412</v>
      </c>
      <c r="S97" s="1">
        <v>46043</v>
      </c>
      <c r="W97" s="1">
        <v>26114</v>
      </c>
      <c r="X97" t="s">
        <v>2680</v>
      </c>
      <c r="Z97" t="s">
        <v>2681</v>
      </c>
      <c r="AA97" t="s">
        <v>1419</v>
      </c>
      <c r="AB97" t="s">
        <v>2682</v>
      </c>
      <c r="AC97">
        <v>47996183228</v>
      </c>
    </row>
    <row r="98" spans="1:29" x14ac:dyDescent="0.3">
      <c r="A98" t="s">
        <v>1405</v>
      </c>
      <c r="B98" t="s">
        <v>2302</v>
      </c>
      <c r="C98" t="s">
        <v>2683</v>
      </c>
      <c r="D98">
        <v>90527828068</v>
      </c>
      <c r="E98">
        <v>5057380379</v>
      </c>
      <c r="F98">
        <v>42004200863</v>
      </c>
      <c r="G98" s="1">
        <v>41734</v>
      </c>
      <c r="H98" t="s">
        <v>1360</v>
      </c>
      <c r="I98" t="s">
        <v>1374</v>
      </c>
      <c r="J98" t="s">
        <v>2308</v>
      </c>
      <c r="K98" t="s">
        <v>2313</v>
      </c>
      <c r="L98" t="s">
        <v>2305</v>
      </c>
      <c r="M98" t="s">
        <v>1421</v>
      </c>
      <c r="N98" t="s">
        <v>1410</v>
      </c>
      <c r="O98" t="s">
        <v>1423</v>
      </c>
      <c r="P98" t="s">
        <v>1423</v>
      </c>
      <c r="Q98" t="s">
        <v>1412</v>
      </c>
      <c r="S98" s="1">
        <v>46045</v>
      </c>
      <c r="W98" s="1">
        <v>26733</v>
      </c>
      <c r="X98" t="s">
        <v>1485</v>
      </c>
      <c r="Y98" t="s">
        <v>1756</v>
      </c>
      <c r="Z98" t="s">
        <v>2378</v>
      </c>
      <c r="AA98" t="s">
        <v>1419</v>
      </c>
      <c r="AB98" t="s">
        <v>2684</v>
      </c>
      <c r="AC98">
        <v>5130798400</v>
      </c>
    </row>
    <row r="99" spans="1:29" x14ac:dyDescent="0.3">
      <c r="A99" t="s">
        <v>1405</v>
      </c>
      <c r="B99" t="s">
        <v>2302</v>
      </c>
      <c r="C99" t="s">
        <v>2685</v>
      </c>
      <c r="D99">
        <v>41012780244</v>
      </c>
      <c r="E99">
        <v>1938817</v>
      </c>
      <c r="F99">
        <v>1004009439</v>
      </c>
      <c r="G99" s="1">
        <v>44636</v>
      </c>
      <c r="H99" t="s">
        <v>1360</v>
      </c>
      <c r="I99" t="s">
        <v>1349</v>
      </c>
      <c r="J99" t="s">
        <v>1361</v>
      </c>
      <c r="K99" t="s">
        <v>2308</v>
      </c>
      <c r="L99" t="s">
        <v>2305</v>
      </c>
      <c r="M99" t="s">
        <v>1409</v>
      </c>
      <c r="N99" t="s">
        <v>1410</v>
      </c>
      <c r="O99" t="s">
        <v>1423</v>
      </c>
      <c r="P99" t="s">
        <v>1423</v>
      </c>
      <c r="Q99" t="s">
        <v>1412</v>
      </c>
      <c r="S99" s="1">
        <v>46085</v>
      </c>
      <c r="V99" s="1">
        <v>46083</v>
      </c>
      <c r="W99" s="1">
        <v>26205</v>
      </c>
      <c r="X99" t="s">
        <v>1492</v>
      </c>
      <c r="Z99" t="s">
        <v>2686</v>
      </c>
      <c r="AA99" t="s">
        <v>1419</v>
      </c>
      <c r="AB99" t="s">
        <v>2687</v>
      </c>
      <c r="AC99">
        <v>91993087907</v>
      </c>
    </row>
    <row r="100" spans="1:29" x14ac:dyDescent="0.3">
      <c r="A100" t="s">
        <v>1405</v>
      </c>
      <c r="B100" t="s">
        <v>2302</v>
      </c>
      <c r="C100" t="s">
        <v>2688</v>
      </c>
      <c r="D100">
        <v>13250118869</v>
      </c>
      <c r="E100">
        <v>5960474</v>
      </c>
      <c r="F100">
        <v>1004019037</v>
      </c>
      <c r="G100" s="1">
        <v>45875</v>
      </c>
      <c r="H100" t="s">
        <v>1360</v>
      </c>
      <c r="I100" t="s">
        <v>1374</v>
      </c>
      <c r="J100" t="s">
        <v>2308</v>
      </c>
      <c r="K100" t="s">
        <v>2313</v>
      </c>
      <c r="L100" t="s">
        <v>2305</v>
      </c>
      <c r="M100" t="s">
        <v>1409</v>
      </c>
      <c r="N100" t="s">
        <v>1410</v>
      </c>
      <c r="O100" t="s">
        <v>1411</v>
      </c>
      <c r="P100" t="s">
        <v>1411</v>
      </c>
      <c r="Q100" t="s">
        <v>1412</v>
      </c>
      <c r="S100" s="1">
        <v>46043</v>
      </c>
      <c r="W100" s="1">
        <v>25640</v>
      </c>
      <c r="X100" t="s">
        <v>1510</v>
      </c>
      <c r="Z100" t="s">
        <v>2689</v>
      </c>
      <c r="AA100" t="s">
        <v>1419</v>
      </c>
      <c r="AB100" t="s">
        <v>2690</v>
      </c>
      <c r="AC100">
        <v>47997744913</v>
      </c>
    </row>
    <row r="101" spans="1:29" x14ac:dyDescent="0.3">
      <c r="A101" t="s">
        <v>1405</v>
      </c>
      <c r="B101" t="s">
        <v>2302</v>
      </c>
      <c r="C101" t="s">
        <v>2691</v>
      </c>
      <c r="D101">
        <v>94743789087</v>
      </c>
      <c r="E101">
        <v>4020585181</v>
      </c>
      <c r="F101">
        <v>1004013158</v>
      </c>
      <c r="G101" s="1">
        <v>45209</v>
      </c>
      <c r="H101" t="s">
        <v>1360</v>
      </c>
      <c r="I101" t="s">
        <v>1349</v>
      </c>
      <c r="J101" t="s">
        <v>1361</v>
      </c>
      <c r="K101" t="s">
        <v>2308</v>
      </c>
      <c r="L101" t="s">
        <v>2305</v>
      </c>
      <c r="M101" t="s">
        <v>1409</v>
      </c>
      <c r="N101" t="s">
        <v>1410</v>
      </c>
      <c r="O101" t="s">
        <v>1423</v>
      </c>
      <c r="P101" t="s">
        <v>1423</v>
      </c>
      <c r="Q101" t="s">
        <v>1412</v>
      </c>
      <c r="S101" s="1">
        <v>45876</v>
      </c>
      <c r="V101" s="1">
        <v>45875</v>
      </c>
      <c r="W101" s="1">
        <v>29153</v>
      </c>
      <c r="X101" t="s">
        <v>2692</v>
      </c>
      <c r="Y101" t="s">
        <v>1454</v>
      </c>
      <c r="Z101" t="s">
        <v>2607</v>
      </c>
      <c r="AA101" t="s">
        <v>1419</v>
      </c>
      <c r="AB101" t="s">
        <v>2693</v>
      </c>
      <c r="AC101">
        <v>5192397214</v>
      </c>
    </row>
    <row r="102" spans="1:29" x14ac:dyDescent="0.3">
      <c r="A102" t="s">
        <v>1405</v>
      </c>
      <c r="B102" t="s">
        <v>2302</v>
      </c>
      <c r="C102" t="s">
        <v>2694</v>
      </c>
      <c r="D102">
        <v>1005879419</v>
      </c>
      <c r="E102">
        <v>6271676</v>
      </c>
      <c r="F102">
        <v>1004018306</v>
      </c>
      <c r="G102" s="1">
        <v>45810</v>
      </c>
      <c r="H102" t="s">
        <v>1360</v>
      </c>
      <c r="I102" t="s">
        <v>1374</v>
      </c>
      <c r="J102" t="s">
        <v>1361</v>
      </c>
      <c r="K102" t="s">
        <v>2308</v>
      </c>
      <c r="L102" t="s">
        <v>2305</v>
      </c>
      <c r="M102" t="s">
        <v>1409</v>
      </c>
      <c r="N102" t="s">
        <v>1410</v>
      </c>
      <c r="O102" t="s">
        <v>1411</v>
      </c>
      <c r="P102" t="s">
        <v>1411</v>
      </c>
      <c r="Q102" t="s">
        <v>1412</v>
      </c>
      <c r="S102" s="1">
        <v>46043</v>
      </c>
      <c r="W102" s="1">
        <v>29686</v>
      </c>
      <c r="X102" t="s">
        <v>1893</v>
      </c>
      <c r="Z102" t="s">
        <v>2442</v>
      </c>
      <c r="AA102" t="s">
        <v>1419</v>
      </c>
      <c r="AB102" t="s">
        <v>2695</v>
      </c>
      <c r="AC102">
        <v>87991580894</v>
      </c>
    </row>
    <row r="103" spans="1:29" x14ac:dyDescent="0.3">
      <c r="A103" t="s">
        <v>1405</v>
      </c>
      <c r="B103" t="s">
        <v>2302</v>
      </c>
      <c r="C103" t="s">
        <v>2696</v>
      </c>
      <c r="D103">
        <v>98654608234</v>
      </c>
      <c r="E103">
        <v>8025950</v>
      </c>
      <c r="F103">
        <v>1004015646</v>
      </c>
      <c r="G103" s="1">
        <v>45539</v>
      </c>
      <c r="H103" t="s">
        <v>1360</v>
      </c>
      <c r="I103" t="s">
        <v>1349</v>
      </c>
      <c r="J103" t="s">
        <v>1361</v>
      </c>
      <c r="K103" t="s">
        <v>2308</v>
      </c>
      <c r="L103" t="s">
        <v>2305</v>
      </c>
      <c r="M103" t="s">
        <v>1409</v>
      </c>
      <c r="N103" t="s">
        <v>1410</v>
      </c>
      <c r="O103" t="s">
        <v>1411</v>
      </c>
      <c r="P103" t="s">
        <v>1411</v>
      </c>
      <c r="Q103" t="s">
        <v>1412</v>
      </c>
      <c r="S103" s="1">
        <v>45847</v>
      </c>
      <c r="V103" s="1">
        <v>45845</v>
      </c>
      <c r="W103" s="1">
        <v>32875</v>
      </c>
      <c r="X103" t="s">
        <v>2697</v>
      </c>
      <c r="Z103" t="s">
        <v>2698</v>
      </c>
      <c r="AA103" t="s">
        <v>1419</v>
      </c>
      <c r="AB103" t="s">
        <v>2699</v>
      </c>
      <c r="AC103">
        <v>48984328723</v>
      </c>
    </row>
    <row r="104" spans="1:29" x14ac:dyDescent="0.3">
      <c r="A104" t="s">
        <v>1405</v>
      </c>
      <c r="B104" t="s">
        <v>2302</v>
      </c>
      <c r="C104" t="s">
        <v>2700</v>
      </c>
      <c r="D104">
        <v>1529491002</v>
      </c>
      <c r="E104">
        <v>1101339552</v>
      </c>
      <c r="F104">
        <v>1004003182</v>
      </c>
      <c r="G104" s="1">
        <v>43546</v>
      </c>
      <c r="H104" t="s">
        <v>1360</v>
      </c>
      <c r="I104" t="s">
        <v>1349</v>
      </c>
      <c r="J104" t="s">
        <v>2308</v>
      </c>
      <c r="K104" t="s">
        <v>2313</v>
      </c>
      <c r="L104" t="s">
        <v>2305</v>
      </c>
      <c r="M104" t="s">
        <v>1447</v>
      </c>
      <c r="N104" t="s">
        <v>1448</v>
      </c>
      <c r="O104" t="s">
        <v>1423</v>
      </c>
      <c r="P104" t="s">
        <v>1423</v>
      </c>
      <c r="Q104" t="s">
        <v>1412</v>
      </c>
      <c r="S104" s="1">
        <v>45861</v>
      </c>
      <c r="V104" s="1">
        <v>45839</v>
      </c>
      <c r="W104" s="1">
        <v>32099</v>
      </c>
      <c r="X104" t="s">
        <v>1485</v>
      </c>
      <c r="Y104" t="s">
        <v>2701</v>
      </c>
      <c r="Z104" t="s">
        <v>2702</v>
      </c>
      <c r="AA104" t="s">
        <v>1419</v>
      </c>
      <c r="AB104" t="s">
        <v>2703</v>
      </c>
      <c r="AC104">
        <v>51996595434</v>
      </c>
    </row>
    <row r="105" spans="1:29" x14ac:dyDescent="0.3">
      <c r="A105" t="s">
        <v>1405</v>
      </c>
      <c r="B105" t="s">
        <v>2302</v>
      </c>
      <c r="C105" t="s">
        <v>2704</v>
      </c>
      <c r="D105">
        <v>86135006509</v>
      </c>
      <c r="E105">
        <v>1666214205</v>
      </c>
      <c r="F105">
        <v>1004017186</v>
      </c>
      <c r="G105" s="1">
        <v>45735</v>
      </c>
      <c r="H105" t="s">
        <v>1360</v>
      </c>
      <c r="I105" t="s">
        <v>1374</v>
      </c>
      <c r="J105" t="s">
        <v>1361</v>
      </c>
      <c r="K105" t="s">
        <v>2308</v>
      </c>
      <c r="L105" t="s">
        <v>2305</v>
      </c>
      <c r="M105" t="s">
        <v>1409</v>
      </c>
      <c r="N105" t="s">
        <v>1410</v>
      </c>
      <c r="O105" t="s">
        <v>1411</v>
      </c>
      <c r="P105" t="s">
        <v>1423</v>
      </c>
      <c r="Q105" t="s">
        <v>1412</v>
      </c>
      <c r="S105" s="1">
        <v>46043</v>
      </c>
      <c r="W105" s="1">
        <v>35840</v>
      </c>
      <c r="X105" t="s">
        <v>2705</v>
      </c>
      <c r="Z105" t="s">
        <v>2706</v>
      </c>
      <c r="AA105" t="s">
        <v>1419</v>
      </c>
      <c r="AB105" t="s">
        <v>2707</v>
      </c>
      <c r="AC105">
        <v>75982359981</v>
      </c>
    </row>
    <row r="106" spans="1:29" x14ac:dyDescent="0.3">
      <c r="A106" t="s">
        <v>1405</v>
      </c>
      <c r="B106" t="s">
        <v>2302</v>
      </c>
      <c r="C106" t="s">
        <v>2708</v>
      </c>
      <c r="D106">
        <v>98053167268</v>
      </c>
      <c r="E106">
        <v>5782660</v>
      </c>
      <c r="F106">
        <v>1004015286</v>
      </c>
      <c r="G106" s="1">
        <v>45513</v>
      </c>
      <c r="H106" t="s">
        <v>1360</v>
      </c>
      <c r="I106" t="s">
        <v>1374</v>
      </c>
      <c r="J106" t="s">
        <v>2348</v>
      </c>
      <c r="K106" t="s">
        <v>2308</v>
      </c>
      <c r="L106" t="s">
        <v>2305</v>
      </c>
      <c r="M106" t="s">
        <v>1409</v>
      </c>
      <c r="N106" t="s">
        <v>1410</v>
      </c>
      <c r="O106" t="s">
        <v>1411</v>
      </c>
      <c r="P106" t="s">
        <v>1411</v>
      </c>
      <c r="Q106" t="s">
        <v>1412</v>
      </c>
      <c r="S106" s="1">
        <v>46043</v>
      </c>
      <c r="W106" s="1">
        <v>32817</v>
      </c>
      <c r="X106" t="s">
        <v>2288</v>
      </c>
      <c r="Y106" t="s">
        <v>2553</v>
      </c>
      <c r="Z106" t="s">
        <v>2532</v>
      </c>
      <c r="AA106" t="s">
        <v>1419</v>
      </c>
      <c r="AB106" t="s">
        <v>2709</v>
      </c>
      <c r="AC106">
        <v>91992166872</v>
      </c>
    </row>
    <row r="107" spans="1:29" x14ac:dyDescent="0.3">
      <c r="A107" t="s">
        <v>1405</v>
      </c>
      <c r="B107" t="s">
        <v>2302</v>
      </c>
      <c r="C107" t="s">
        <v>2710</v>
      </c>
      <c r="D107">
        <v>8362722932</v>
      </c>
      <c r="E107">
        <v>5341545</v>
      </c>
      <c r="F107">
        <v>1004008098</v>
      </c>
      <c r="G107" s="1">
        <v>44354</v>
      </c>
      <c r="H107" t="s">
        <v>1360</v>
      </c>
      <c r="I107" t="s">
        <v>1349</v>
      </c>
      <c r="J107" t="s">
        <v>2348</v>
      </c>
      <c r="K107" t="s">
        <v>2308</v>
      </c>
      <c r="L107" t="s">
        <v>2305</v>
      </c>
      <c r="M107" t="s">
        <v>1409</v>
      </c>
      <c r="N107" t="s">
        <v>1410</v>
      </c>
      <c r="O107" t="s">
        <v>1423</v>
      </c>
      <c r="P107" t="s">
        <v>1423</v>
      </c>
      <c r="Q107" t="s">
        <v>1412</v>
      </c>
      <c r="S107" s="1">
        <v>45911</v>
      </c>
      <c r="V107" s="1">
        <v>45908</v>
      </c>
      <c r="W107" s="1">
        <v>33808</v>
      </c>
      <c r="X107" t="s">
        <v>2711</v>
      </c>
      <c r="Z107" t="s">
        <v>2652</v>
      </c>
      <c r="AA107" t="s">
        <v>1419</v>
      </c>
      <c r="AB107" t="s">
        <v>2712</v>
      </c>
      <c r="AC107">
        <v>49988286835</v>
      </c>
    </row>
    <row r="108" spans="1:29" x14ac:dyDescent="0.3">
      <c r="A108" t="s">
        <v>1405</v>
      </c>
      <c r="B108" t="s">
        <v>2302</v>
      </c>
      <c r="C108" t="s">
        <v>2713</v>
      </c>
      <c r="D108">
        <v>4131859904</v>
      </c>
      <c r="E108" t="s">
        <v>2714</v>
      </c>
      <c r="F108">
        <v>1004017566</v>
      </c>
      <c r="G108" s="1">
        <v>45756</v>
      </c>
      <c r="H108" t="s">
        <v>1360</v>
      </c>
      <c r="I108" t="s">
        <v>1374</v>
      </c>
      <c r="J108" t="s">
        <v>1361</v>
      </c>
      <c r="K108" t="s">
        <v>2308</v>
      </c>
      <c r="L108" t="s">
        <v>2305</v>
      </c>
      <c r="M108" t="s">
        <v>1409</v>
      </c>
      <c r="N108" t="s">
        <v>1410</v>
      </c>
      <c r="O108" t="s">
        <v>1411</v>
      </c>
      <c r="P108" t="s">
        <v>1411</v>
      </c>
      <c r="Q108" t="s">
        <v>1412</v>
      </c>
      <c r="S108" s="1">
        <v>46043</v>
      </c>
      <c r="W108" s="1">
        <v>30097</v>
      </c>
      <c r="X108" t="s">
        <v>1900</v>
      </c>
      <c r="Z108" t="s">
        <v>2715</v>
      </c>
      <c r="AA108" t="s">
        <v>1419</v>
      </c>
      <c r="AB108" t="s">
        <v>2716</v>
      </c>
      <c r="AC108">
        <v>4799210236</v>
      </c>
    </row>
    <row r="109" spans="1:29" x14ac:dyDescent="0.3">
      <c r="A109" t="s">
        <v>1405</v>
      </c>
      <c r="B109" t="s">
        <v>2302</v>
      </c>
      <c r="C109" t="s">
        <v>2717</v>
      </c>
      <c r="D109">
        <v>142088226</v>
      </c>
      <c r="E109">
        <v>23297514</v>
      </c>
      <c r="F109">
        <v>1004011343</v>
      </c>
      <c r="G109" s="1">
        <v>44984</v>
      </c>
      <c r="H109" t="s">
        <v>1360</v>
      </c>
      <c r="I109" t="s">
        <v>1349</v>
      </c>
      <c r="J109" t="s">
        <v>1361</v>
      </c>
      <c r="K109" t="s">
        <v>2308</v>
      </c>
      <c r="L109" t="s">
        <v>2305</v>
      </c>
      <c r="M109" t="s">
        <v>1409</v>
      </c>
      <c r="N109" t="s">
        <v>1410</v>
      </c>
      <c r="O109" t="s">
        <v>1411</v>
      </c>
      <c r="P109" t="s">
        <v>1411</v>
      </c>
      <c r="Q109" t="s">
        <v>1412</v>
      </c>
      <c r="S109" s="1">
        <v>45891</v>
      </c>
      <c r="V109" s="1">
        <v>45890</v>
      </c>
      <c r="W109" s="1">
        <v>32733</v>
      </c>
      <c r="X109" t="s">
        <v>2718</v>
      </c>
      <c r="Z109" t="s">
        <v>2719</v>
      </c>
      <c r="AA109" t="s">
        <v>1419</v>
      </c>
      <c r="AB109" t="s">
        <v>2720</v>
      </c>
      <c r="AC109">
        <v>92991875537</v>
      </c>
    </row>
    <row r="110" spans="1:29" x14ac:dyDescent="0.3">
      <c r="A110" t="s">
        <v>1405</v>
      </c>
      <c r="B110" t="s">
        <v>2302</v>
      </c>
      <c r="C110" t="s">
        <v>2721</v>
      </c>
      <c r="D110">
        <v>6932702924</v>
      </c>
      <c r="E110">
        <v>4932103</v>
      </c>
      <c r="F110">
        <v>1004010763</v>
      </c>
      <c r="G110" s="1">
        <v>44818</v>
      </c>
      <c r="H110" t="s">
        <v>1360</v>
      </c>
      <c r="I110" t="s">
        <v>1349</v>
      </c>
      <c r="J110" t="s">
        <v>1361</v>
      </c>
      <c r="K110" t="s">
        <v>2308</v>
      </c>
      <c r="L110" t="s">
        <v>2305</v>
      </c>
      <c r="M110" t="s">
        <v>1409</v>
      </c>
      <c r="N110" t="s">
        <v>1410</v>
      </c>
      <c r="O110" t="s">
        <v>1423</v>
      </c>
      <c r="P110" t="s">
        <v>1423</v>
      </c>
      <c r="Q110" t="s">
        <v>1412</v>
      </c>
      <c r="S110" s="1">
        <v>46034</v>
      </c>
      <c r="V110" s="1">
        <v>46029</v>
      </c>
      <c r="W110" s="1">
        <v>32628</v>
      </c>
      <c r="X110" t="s">
        <v>2722</v>
      </c>
      <c r="Y110" t="s">
        <v>2723</v>
      </c>
      <c r="Z110" t="s">
        <v>2724</v>
      </c>
      <c r="AA110" t="s">
        <v>1419</v>
      </c>
      <c r="AB110" t="s">
        <v>2725</v>
      </c>
      <c r="AC110">
        <v>47999995541</v>
      </c>
    </row>
    <row r="111" spans="1:29" x14ac:dyDescent="0.3">
      <c r="A111" t="s">
        <v>1405</v>
      </c>
      <c r="B111" t="s">
        <v>2302</v>
      </c>
      <c r="C111" t="s">
        <v>2726</v>
      </c>
      <c r="D111">
        <v>94230811004</v>
      </c>
      <c r="E111">
        <v>25665502</v>
      </c>
      <c r="F111">
        <v>1004003613</v>
      </c>
      <c r="G111" s="1">
        <v>43578</v>
      </c>
      <c r="H111" t="s">
        <v>1360</v>
      </c>
      <c r="I111" t="s">
        <v>1349</v>
      </c>
      <c r="J111" t="s">
        <v>2308</v>
      </c>
      <c r="K111" t="s">
        <v>2313</v>
      </c>
      <c r="L111" t="s">
        <v>2305</v>
      </c>
      <c r="M111" t="s">
        <v>1409</v>
      </c>
      <c r="N111" t="s">
        <v>1410</v>
      </c>
      <c r="O111" t="s">
        <v>1423</v>
      </c>
      <c r="P111" t="s">
        <v>1423</v>
      </c>
      <c r="Q111" t="s">
        <v>1412</v>
      </c>
      <c r="S111" s="1">
        <v>45855</v>
      </c>
      <c r="V111" s="1">
        <v>45854</v>
      </c>
      <c r="W111" s="1">
        <v>28504</v>
      </c>
      <c r="X111" t="s">
        <v>2727</v>
      </c>
      <c r="Y111" t="s">
        <v>2728</v>
      </c>
      <c r="Z111" t="s">
        <v>2657</v>
      </c>
      <c r="AA111" t="s">
        <v>1419</v>
      </c>
      <c r="AB111" t="s">
        <v>2729</v>
      </c>
      <c r="AC111">
        <v>66996318024</v>
      </c>
    </row>
    <row r="112" spans="1:29" x14ac:dyDescent="0.3">
      <c r="A112" t="s">
        <v>1405</v>
      </c>
      <c r="B112" t="s">
        <v>2302</v>
      </c>
      <c r="C112" t="s">
        <v>2730</v>
      </c>
      <c r="D112">
        <v>7796275986</v>
      </c>
      <c r="E112">
        <v>4354310</v>
      </c>
      <c r="F112">
        <v>1004005822</v>
      </c>
      <c r="G112" s="1">
        <v>43914</v>
      </c>
      <c r="H112" t="s">
        <v>1360</v>
      </c>
      <c r="I112" t="s">
        <v>1349</v>
      </c>
      <c r="J112" t="s">
        <v>2308</v>
      </c>
      <c r="K112" t="s">
        <v>2313</v>
      </c>
      <c r="L112" t="s">
        <v>2305</v>
      </c>
      <c r="M112" t="s">
        <v>1409</v>
      </c>
      <c r="N112" t="s">
        <v>1410</v>
      </c>
      <c r="O112" t="s">
        <v>1423</v>
      </c>
      <c r="P112" t="s">
        <v>1423</v>
      </c>
      <c r="Q112" t="s">
        <v>1412</v>
      </c>
      <c r="S112" s="1">
        <v>45946</v>
      </c>
      <c r="V112" s="1">
        <v>45943</v>
      </c>
      <c r="W112" s="1">
        <v>33099</v>
      </c>
      <c r="X112" t="s">
        <v>1665</v>
      </c>
      <c r="Y112" t="s">
        <v>2731</v>
      </c>
      <c r="Z112" t="s">
        <v>2732</v>
      </c>
      <c r="AA112" t="s">
        <v>1419</v>
      </c>
      <c r="AB112" t="s">
        <v>2733</v>
      </c>
      <c r="AC112">
        <v>47988853945</v>
      </c>
    </row>
    <row r="113" spans="1:29" x14ac:dyDescent="0.3">
      <c r="A113" t="s">
        <v>1405</v>
      </c>
      <c r="B113" t="s">
        <v>2302</v>
      </c>
      <c r="C113" t="s">
        <v>2734</v>
      </c>
      <c r="D113">
        <v>8062154963</v>
      </c>
      <c r="E113">
        <v>5614502</v>
      </c>
      <c r="F113">
        <v>1004009858</v>
      </c>
      <c r="G113" s="1">
        <v>44678</v>
      </c>
      <c r="H113" t="s">
        <v>1360</v>
      </c>
      <c r="I113" t="s">
        <v>1349</v>
      </c>
      <c r="J113" t="s">
        <v>1361</v>
      </c>
      <c r="K113" t="s">
        <v>2308</v>
      </c>
      <c r="L113" t="s">
        <v>2305</v>
      </c>
      <c r="M113" t="s">
        <v>1409</v>
      </c>
      <c r="N113" t="s">
        <v>1410</v>
      </c>
      <c r="O113" t="s">
        <v>1423</v>
      </c>
      <c r="P113" t="s">
        <v>1423</v>
      </c>
      <c r="Q113" t="s">
        <v>1412</v>
      </c>
      <c r="S113" s="1">
        <v>46045</v>
      </c>
      <c r="V113" s="1">
        <v>46042</v>
      </c>
      <c r="W113" s="1">
        <v>34992</v>
      </c>
      <c r="X113" t="s">
        <v>2528</v>
      </c>
      <c r="Y113" t="s">
        <v>2735</v>
      </c>
      <c r="Z113" t="s">
        <v>2652</v>
      </c>
      <c r="AA113" t="s">
        <v>1419</v>
      </c>
      <c r="AB113" t="s">
        <v>2736</v>
      </c>
      <c r="AC113">
        <v>49999031627</v>
      </c>
    </row>
    <row r="114" spans="1:29" x14ac:dyDescent="0.3">
      <c r="A114" t="s">
        <v>1405</v>
      </c>
      <c r="B114" t="s">
        <v>2302</v>
      </c>
      <c r="C114" t="s">
        <v>2737</v>
      </c>
      <c r="D114">
        <v>80957960000</v>
      </c>
      <c r="E114">
        <v>6081711902</v>
      </c>
      <c r="F114">
        <v>1004004218</v>
      </c>
      <c r="G114" s="1">
        <v>43683</v>
      </c>
      <c r="H114" t="s">
        <v>1360</v>
      </c>
      <c r="I114" t="s">
        <v>1374</v>
      </c>
      <c r="J114" t="s">
        <v>2308</v>
      </c>
      <c r="K114" t="s">
        <v>2313</v>
      </c>
      <c r="L114" t="s">
        <v>2305</v>
      </c>
      <c r="M114" t="s">
        <v>1409</v>
      </c>
      <c r="N114" t="s">
        <v>1410</v>
      </c>
      <c r="O114" t="s">
        <v>1423</v>
      </c>
      <c r="P114" t="s">
        <v>1423</v>
      </c>
      <c r="Q114" t="s">
        <v>1412</v>
      </c>
      <c r="S114" s="1">
        <v>46043</v>
      </c>
      <c r="W114" s="1">
        <v>30261</v>
      </c>
      <c r="X114" t="s">
        <v>2010</v>
      </c>
      <c r="Y114" t="s">
        <v>2738</v>
      </c>
      <c r="Z114" t="s">
        <v>2739</v>
      </c>
      <c r="AA114" t="s">
        <v>1419</v>
      </c>
      <c r="AB114" t="s">
        <v>2740</v>
      </c>
      <c r="AC114">
        <v>55996535368</v>
      </c>
    </row>
    <row r="115" spans="1:29" x14ac:dyDescent="0.3">
      <c r="A115" t="s">
        <v>1405</v>
      </c>
      <c r="B115" t="s">
        <v>2302</v>
      </c>
      <c r="C115" t="s">
        <v>2741</v>
      </c>
      <c r="D115">
        <v>5055927976</v>
      </c>
      <c r="E115">
        <v>4267311</v>
      </c>
      <c r="F115">
        <v>1004004316</v>
      </c>
      <c r="G115" s="1">
        <v>43686</v>
      </c>
      <c r="H115" t="s">
        <v>1360</v>
      </c>
      <c r="I115" t="s">
        <v>2317</v>
      </c>
      <c r="J115" t="s">
        <v>2308</v>
      </c>
      <c r="K115" t="s">
        <v>2313</v>
      </c>
      <c r="L115" t="s">
        <v>2305</v>
      </c>
      <c r="M115" t="s">
        <v>1409</v>
      </c>
      <c r="N115" t="s">
        <v>1410</v>
      </c>
      <c r="O115" t="s">
        <v>1423</v>
      </c>
      <c r="P115" t="s">
        <v>1423</v>
      </c>
      <c r="Q115" t="s">
        <v>1412</v>
      </c>
      <c r="S115" s="1">
        <v>45509</v>
      </c>
      <c r="T115" s="1">
        <v>45498</v>
      </c>
      <c r="W115" s="1">
        <v>30940</v>
      </c>
      <c r="X115" t="s">
        <v>2742</v>
      </c>
      <c r="Z115" t="s">
        <v>2743</v>
      </c>
      <c r="AA115" t="s">
        <v>1419</v>
      </c>
      <c r="AB115" t="s">
        <v>2744</v>
      </c>
      <c r="AC115">
        <v>49988450199</v>
      </c>
    </row>
    <row r="116" spans="1:29" x14ac:dyDescent="0.3">
      <c r="A116" t="s">
        <v>1405</v>
      </c>
      <c r="B116" t="s">
        <v>2302</v>
      </c>
      <c r="C116" t="s">
        <v>2745</v>
      </c>
      <c r="D116">
        <v>33224884894</v>
      </c>
      <c r="E116">
        <v>431005345</v>
      </c>
      <c r="F116">
        <v>1004014301</v>
      </c>
      <c r="G116" s="1">
        <v>45371</v>
      </c>
      <c r="H116" t="s">
        <v>1360</v>
      </c>
      <c r="I116" t="s">
        <v>1349</v>
      </c>
      <c r="J116" t="s">
        <v>1361</v>
      </c>
      <c r="K116" t="s">
        <v>2308</v>
      </c>
      <c r="L116" t="s">
        <v>2305</v>
      </c>
      <c r="M116" t="s">
        <v>1646</v>
      </c>
      <c r="N116" t="s">
        <v>1647</v>
      </c>
      <c r="O116" t="s">
        <v>1423</v>
      </c>
      <c r="P116" t="s">
        <v>1423</v>
      </c>
      <c r="Q116" t="s">
        <v>1412</v>
      </c>
      <c r="S116" s="1">
        <v>45903</v>
      </c>
      <c r="V116" s="1">
        <v>45901</v>
      </c>
      <c r="W116" s="1">
        <v>31497</v>
      </c>
      <c r="X116" t="s">
        <v>2746</v>
      </c>
      <c r="Z116" t="s">
        <v>2747</v>
      </c>
      <c r="AA116" t="s">
        <v>1419</v>
      </c>
      <c r="AB116" t="s">
        <v>2748</v>
      </c>
      <c r="AC116">
        <v>19997895638</v>
      </c>
    </row>
    <row r="117" spans="1:29" x14ac:dyDescent="0.3">
      <c r="A117" t="s">
        <v>1405</v>
      </c>
      <c r="B117" t="s">
        <v>2302</v>
      </c>
      <c r="C117" t="s">
        <v>2749</v>
      </c>
      <c r="D117">
        <v>4843093157</v>
      </c>
      <c r="E117">
        <v>6147495</v>
      </c>
      <c r="F117">
        <v>1004010866</v>
      </c>
      <c r="G117" s="1">
        <v>44837</v>
      </c>
      <c r="H117" t="s">
        <v>1360</v>
      </c>
      <c r="I117" t="s">
        <v>1349</v>
      </c>
      <c r="J117" t="s">
        <v>2348</v>
      </c>
      <c r="K117" t="s">
        <v>2308</v>
      </c>
      <c r="L117" t="s">
        <v>2305</v>
      </c>
      <c r="M117" t="s">
        <v>1409</v>
      </c>
      <c r="N117" t="s">
        <v>1410</v>
      </c>
      <c r="O117" t="s">
        <v>1423</v>
      </c>
      <c r="P117" t="s">
        <v>1423</v>
      </c>
      <c r="Q117" t="s">
        <v>1412</v>
      </c>
      <c r="S117" s="1">
        <v>45856</v>
      </c>
      <c r="V117" s="1">
        <v>45854</v>
      </c>
      <c r="W117" s="1">
        <v>35323</v>
      </c>
      <c r="X117" t="s">
        <v>1424</v>
      </c>
      <c r="Z117" t="s">
        <v>2750</v>
      </c>
      <c r="AA117" t="s">
        <v>1419</v>
      </c>
      <c r="AB117" t="s">
        <v>2751</v>
      </c>
      <c r="AC117">
        <v>62999401569</v>
      </c>
    </row>
    <row r="118" spans="1:29" x14ac:dyDescent="0.3">
      <c r="A118" t="s">
        <v>1405</v>
      </c>
      <c r="B118" t="s">
        <v>2302</v>
      </c>
      <c r="C118" t="s">
        <v>2752</v>
      </c>
      <c r="D118">
        <v>6196291939</v>
      </c>
      <c r="E118">
        <v>3914198</v>
      </c>
      <c r="F118">
        <v>1004000132</v>
      </c>
      <c r="G118" s="1">
        <v>42767</v>
      </c>
      <c r="H118" t="s">
        <v>1360</v>
      </c>
      <c r="I118" t="s">
        <v>1374</v>
      </c>
      <c r="J118" t="s">
        <v>2308</v>
      </c>
      <c r="K118" t="s">
        <v>2313</v>
      </c>
      <c r="L118" t="s">
        <v>2305</v>
      </c>
      <c r="M118" t="s">
        <v>1447</v>
      </c>
      <c r="N118" t="s">
        <v>1448</v>
      </c>
      <c r="O118" t="s">
        <v>1423</v>
      </c>
      <c r="P118" t="s">
        <v>1423</v>
      </c>
      <c r="Q118" t="s">
        <v>1412</v>
      </c>
      <c r="S118" s="1">
        <v>46043</v>
      </c>
      <c r="W118" s="1">
        <v>32001</v>
      </c>
      <c r="X118" t="s">
        <v>1728</v>
      </c>
      <c r="Y118" t="s">
        <v>2753</v>
      </c>
      <c r="Z118" t="s">
        <v>2754</v>
      </c>
      <c r="AA118" t="s">
        <v>1419</v>
      </c>
      <c r="AB118" t="s">
        <v>2755</v>
      </c>
    </row>
    <row r="119" spans="1:29" x14ac:dyDescent="0.3">
      <c r="A119" t="s">
        <v>1405</v>
      </c>
      <c r="B119" t="s">
        <v>2302</v>
      </c>
      <c r="C119" t="s">
        <v>2756</v>
      </c>
      <c r="D119">
        <v>2402331151</v>
      </c>
      <c r="E119">
        <v>5174159</v>
      </c>
      <c r="F119">
        <v>1004017029</v>
      </c>
      <c r="G119" s="1">
        <v>45721</v>
      </c>
      <c r="H119" t="s">
        <v>1360</v>
      </c>
      <c r="I119" t="s">
        <v>1349</v>
      </c>
      <c r="J119" t="s">
        <v>2348</v>
      </c>
      <c r="K119" t="s">
        <v>2308</v>
      </c>
      <c r="L119" t="s">
        <v>2305</v>
      </c>
      <c r="M119" t="s">
        <v>1409</v>
      </c>
      <c r="N119" t="s">
        <v>1410</v>
      </c>
      <c r="O119" t="s">
        <v>1462</v>
      </c>
      <c r="P119" t="s">
        <v>1462</v>
      </c>
      <c r="Q119" t="s">
        <v>1412</v>
      </c>
      <c r="S119" s="1">
        <v>45876</v>
      </c>
      <c r="V119" s="1">
        <v>45875</v>
      </c>
      <c r="W119" s="1">
        <v>32673</v>
      </c>
      <c r="X119" t="s">
        <v>2757</v>
      </c>
      <c r="Z119" t="s">
        <v>2758</v>
      </c>
      <c r="AA119" t="s">
        <v>1415</v>
      </c>
      <c r="AB119" t="s">
        <v>2759</v>
      </c>
      <c r="AC119">
        <v>64999588910</v>
      </c>
    </row>
    <row r="120" spans="1:29" x14ac:dyDescent="0.3">
      <c r="A120" t="s">
        <v>1405</v>
      </c>
      <c r="B120" t="s">
        <v>2302</v>
      </c>
      <c r="C120" t="s">
        <v>2760</v>
      </c>
      <c r="D120">
        <v>6042076388</v>
      </c>
      <c r="E120">
        <v>260691120036</v>
      </c>
      <c r="F120">
        <v>1004009950</v>
      </c>
      <c r="G120" s="1">
        <v>44692</v>
      </c>
      <c r="H120" t="s">
        <v>1360</v>
      </c>
      <c r="I120" t="s">
        <v>1374</v>
      </c>
      <c r="J120" t="s">
        <v>1361</v>
      </c>
      <c r="K120" t="s">
        <v>2308</v>
      </c>
      <c r="L120" t="s">
        <v>2305</v>
      </c>
      <c r="M120" t="s">
        <v>1421</v>
      </c>
      <c r="N120" t="s">
        <v>1422</v>
      </c>
      <c r="O120" t="s">
        <v>1411</v>
      </c>
      <c r="P120" t="s">
        <v>1411</v>
      </c>
      <c r="Q120" t="s">
        <v>1412</v>
      </c>
      <c r="S120" s="1">
        <v>46069</v>
      </c>
      <c r="W120" s="1">
        <v>34713</v>
      </c>
      <c r="X120" t="s">
        <v>2761</v>
      </c>
      <c r="Y120" t="s">
        <v>2762</v>
      </c>
      <c r="Z120" t="s">
        <v>2763</v>
      </c>
      <c r="AA120" t="s">
        <v>1419</v>
      </c>
      <c r="AB120" t="s">
        <v>2764</v>
      </c>
      <c r="AC120">
        <v>98985614673</v>
      </c>
    </row>
    <row r="121" spans="1:29" x14ac:dyDescent="0.3">
      <c r="A121" t="s">
        <v>1405</v>
      </c>
      <c r="B121" t="s">
        <v>2302</v>
      </c>
      <c r="C121" t="s">
        <v>2765</v>
      </c>
      <c r="D121">
        <v>3506441957</v>
      </c>
      <c r="E121">
        <v>5489149</v>
      </c>
      <c r="F121">
        <v>1004011995</v>
      </c>
      <c r="G121" s="1">
        <v>45054</v>
      </c>
      <c r="H121" t="s">
        <v>1360</v>
      </c>
      <c r="I121" t="s">
        <v>1374</v>
      </c>
      <c r="J121" t="s">
        <v>2348</v>
      </c>
      <c r="K121" t="s">
        <v>2308</v>
      </c>
      <c r="L121" t="s">
        <v>2305</v>
      </c>
      <c r="M121" t="s">
        <v>1421</v>
      </c>
      <c r="N121" t="s">
        <v>1422</v>
      </c>
      <c r="O121" t="s">
        <v>1423</v>
      </c>
      <c r="P121" t="s">
        <v>1423</v>
      </c>
      <c r="Q121" t="s">
        <v>1412</v>
      </c>
      <c r="S121" s="1">
        <v>46043</v>
      </c>
      <c r="W121" s="1">
        <v>30265</v>
      </c>
      <c r="X121" t="s">
        <v>2766</v>
      </c>
      <c r="Y121" t="s">
        <v>2767</v>
      </c>
      <c r="Z121" t="s">
        <v>2498</v>
      </c>
      <c r="AA121" t="s">
        <v>1419</v>
      </c>
      <c r="AB121" t="s">
        <v>343</v>
      </c>
      <c r="AC121">
        <v>47991959752</v>
      </c>
    </row>
    <row r="122" spans="1:29" x14ac:dyDescent="0.3">
      <c r="A122" t="s">
        <v>1405</v>
      </c>
      <c r="B122" t="s">
        <v>2302</v>
      </c>
      <c r="C122" t="s">
        <v>2768</v>
      </c>
      <c r="D122">
        <v>82939640220</v>
      </c>
      <c r="E122">
        <v>4606130</v>
      </c>
      <c r="F122">
        <v>1004009478</v>
      </c>
      <c r="G122" s="1">
        <v>44644</v>
      </c>
      <c r="H122" t="s">
        <v>1360</v>
      </c>
      <c r="I122" t="s">
        <v>1349</v>
      </c>
      <c r="J122" t="s">
        <v>1361</v>
      </c>
      <c r="K122" t="s">
        <v>2308</v>
      </c>
      <c r="L122" t="s">
        <v>2305</v>
      </c>
      <c r="M122" t="s">
        <v>1409</v>
      </c>
      <c r="N122" t="s">
        <v>1410</v>
      </c>
      <c r="O122" t="s">
        <v>1411</v>
      </c>
      <c r="P122" t="s">
        <v>1411</v>
      </c>
      <c r="Q122" t="s">
        <v>1412</v>
      </c>
      <c r="S122" s="1">
        <v>45845</v>
      </c>
      <c r="V122" s="1">
        <v>45845</v>
      </c>
      <c r="W122" s="1">
        <v>30837</v>
      </c>
      <c r="X122" t="s">
        <v>2240</v>
      </c>
      <c r="Y122" t="s">
        <v>2769</v>
      </c>
      <c r="Z122" t="s">
        <v>2770</v>
      </c>
      <c r="AA122" t="s">
        <v>1415</v>
      </c>
      <c r="AB122" t="s">
        <v>2771</v>
      </c>
      <c r="AC122">
        <v>94984292677</v>
      </c>
    </row>
    <row r="123" spans="1:29" x14ac:dyDescent="0.3">
      <c r="A123" t="s">
        <v>1405</v>
      </c>
      <c r="B123" t="s">
        <v>2302</v>
      </c>
      <c r="C123" t="s">
        <v>2772</v>
      </c>
      <c r="D123">
        <v>5267715506</v>
      </c>
      <c r="E123">
        <v>1284629147</v>
      </c>
      <c r="F123">
        <v>42004202313</v>
      </c>
      <c r="G123" s="1">
        <v>42569</v>
      </c>
      <c r="H123" t="s">
        <v>1360</v>
      </c>
      <c r="I123" t="s">
        <v>1349</v>
      </c>
      <c r="J123" t="s">
        <v>2308</v>
      </c>
      <c r="K123" t="s">
        <v>2313</v>
      </c>
      <c r="L123" t="s">
        <v>2305</v>
      </c>
      <c r="M123" t="s">
        <v>1409</v>
      </c>
      <c r="N123" t="s">
        <v>1410</v>
      </c>
      <c r="O123" t="s">
        <v>1423</v>
      </c>
      <c r="P123" t="s">
        <v>1423</v>
      </c>
      <c r="Q123" t="s">
        <v>1412</v>
      </c>
      <c r="S123" s="1">
        <v>45847</v>
      </c>
      <c r="V123" s="1">
        <v>45845</v>
      </c>
      <c r="W123" s="1">
        <v>33509</v>
      </c>
      <c r="X123" t="s">
        <v>2361</v>
      </c>
      <c r="Z123" t="s">
        <v>2363</v>
      </c>
      <c r="AA123" t="s">
        <v>1415</v>
      </c>
      <c r="AB123" t="s">
        <v>2773</v>
      </c>
      <c r="AC123">
        <v>75991875536</v>
      </c>
    </row>
    <row r="124" spans="1:29" x14ac:dyDescent="0.3">
      <c r="A124" t="s">
        <v>1405</v>
      </c>
      <c r="B124" t="s">
        <v>2302</v>
      </c>
      <c r="C124" t="s">
        <v>2774</v>
      </c>
      <c r="D124">
        <v>12666327</v>
      </c>
      <c r="E124">
        <v>98025026373</v>
      </c>
      <c r="F124">
        <v>1004008535</v>
      </c>
      <c r="G124" s="1">
        <v>44447</v>
      </c>
      <c r="H124" t="s">
        <v>1360</v>
      </c>
      <c r="I124" t="s">
        <v>1349</v>
      </c>
      <c r="J124" t="s">
        <v>1361</v>
      </c>
      <c r="K124" t="s">
        <v>2308</v>
      </c>
      <c r="L124" t="s">
        <v>2305</v>
      </c>
      <c r="M124" t="s">
        <v>1421</v>
      </c>
      <c r="N124" t="s">
        <v>1422</v>
      </c>
      <c r="O124" t="s">
        <v>1411</v>
      </c>
      <c r="P124" t="s">
        <v>1423</v>
      </c>
      <c r="Q124" t="s">
        <v>1412</v>
      </c>
      <c r="S124" s="1">
        <v>45742</v>
      </c>
      <c r="V124" s="1">
        <v>45740</v>
      </c>
      <c r="W124" s="1">
        <v>31068</v>
      </c>
      <c r="X124" t="s">
        <v>2181</v>
      </c>
      <c r="Z124" t="s">
        <v>2775</v>
      </c>
      <c r="AA124" t="s">
        <v>1415</v>
      </c>
      <c r="AB124" t="s">
        <v>2776</v>
      </c>
      <c r="AC124">
        <v>88998282930</v>
      </c>
    </row>
    <row r="125" spans="1:29" x14ac:dyDescent="0.3">
      <c r="A125" t="s">
        <v>1405</v>
      </c>
      <c r="B125" t="s">
        <v>2302</v>
      </c>
      <c r="C125" t="s">
        <v>2777</v>
      </c>
      <c r="D125">
        <v>2992824305</v>
      </c>
      <c r="E125">
        <v>288608136</v>
      </c>
      <c r="F125">
        <v>1004011304</v>
      </c>
      <c r="G125" s="1">
        <v>44986</v>
      </c>
      <c r="H125" t="s">
        <v>1360</v>
      </c>
      <c r="I125" t="s">
        <v>1374</v>
      </c>
      <c r="J125" t="s">
        <v>1361</v>
      </c>
      <c r="K125" t="s">
        <v>2308</v>
      </c>
      <c r="L125" t="s">
        <v>2305</v>
      </c>
      <c r="M125" t="s">
        <v>1421</v>
      </c>
      <c r="N125" t="s">
        <v>1410</v>
      </c>
      <c r="O125" t="s">
        <v>1411</v>
      </c>
      <c r="P125" t="s">
        <v>1411</v>
      </c>
      <c r="Q125" t="s">
        <v>1412</v>
      </c>
      <c r="S125" s="1">
        <v>46043</v>
      </c>
      <c r="W125" s="1">
        <v>33351</v>
      </c>
      <c r="X125" t="s">
        <v>2623</v>
      </c>
      <c r="Z125" t="s">
        <v>2778</v>
      </c>
      <c r="AA125" t="s">
        <v>1415</v>
      </c>
      <c r="AB125" t="s">
        <v>2779</v>
      </c>
      <c r="AC125">
        <v>88996439123</v>
      </c>
    </row>
    <row r="126" spans="1:29" x14ac:dyDescent="0.3">
      <c r="A126" t="s">
        <v>1405</v>
      </c>
      <c r="B126" t="s">
        <v>2302</v>
      </c>
      <c r="C126" t="s">
        <v>2780</v>
      </c>
      <c r="D126">
        <v>1657066517</v>
      </c>
      <c r="E126">
        <v>679342508</v>
      </c>
      <c r="F126">
        <v>1004010443</v>
      </c>
      <c r="G126" s="1">
        <v>44783</v>
      </c>
      <c r="H126" t="s">
        <v>1360</v>
      </c>
      <c r="I126" t="s">
        <v>1374</v>
      </c>
      <c r="J126" t="s">
        <v>1361</v>
      </c>
      <c r="K126" t="s">
        <v>2308</v>
      </c>
      <c r="L126" t="s">
        <v>2305</v>
      </c>
      <c r="M126" t="s">
        <v>1409</v>
      </c>
      <c r="N126" t="s">
        <v>1410</v>
      </c>
      <c r="O126" t="s">
        <v>1411</v>
      </c>
      <c r="P126" t="s">
        <v>1411</v>
      </c>
      <c r="Q126" t="s">
        <v>1412</v>
      </c>
      <c r="S126" s="1">
        <v>46043</v>
      </c>
      <c r="W126" s="1">
        <v>29346</v>
      </c>
      <c r="X126" t="s">
        <v>2781</v>
      </c>
      <c r="Y126" t="s">
        <v>2782</v>
      </c>
      <c r="Z126" t="s">
        <v>2783</v>
      </c>
      <c r="AA126" t="s">
        <v>1415</v>
      </c>
      <c r="AB126" t="s">
        <v>2784</v>
      </c>
      <c r="AC126">
        <v>73988360016</v>
      </c>
    </row>
    <row r="127" spans="1:29" x14ac:dyDescent="0.3">
      <c r="A127" t="s">
        <v>1405</v>
      </c>
      <c r="B127" t="s">
        <v>2302</v>
      </c>
      <c r="C127" t="s">
        <v>2785</v>
      </c>
      <c r="D127">
        <v>5425179308</v>
      </c>
      <c r="E127">
        <v>2004006021011</v>
      </c>
      <c r="F127">
        <v>1004009650</v>
      </c>
      <c r="G127" s="1">
        <v>44658</v>
      </c>
      <c r="H127" t="s">
        <v>1360</v>
      </c>
      <c r="I127" t="s">
        <v>1349</v>
      </c>
      <c r="J127" t="s">
        <v>1361</v>
      </c>
      <c r="K127" t="s">
        <v>2308</v>
      </c>
      <c r="L127" t="s">
        <v>2305</v>
      </c>
      <c r="M127" t="s">
        <v>1409</v>
      </c>
      <c r="N127" t="s">
        <v>1410</v>
      </c>
      <c r="O127" t="s">
        <v>1439</v>
      </c>
      <c r="P127" t="s">
        <v>1439</v>
      </c>
      <c r="Q127" t="s">
        <v>1412</v>
      </c>
      <c r="S127" s="1">
        <v>45785</v>
      </c>
      <c r="V127" s="1">
        <v>45783</v>
      </c>
      <c r="W127" s="1">
        <v>34211</v>
      </c>
      <c r="X127" t="s">
        <v>1507</v>
      </c>
      <c r="Y127" t="s">
        <v>2786</v>
      </c>
      <c r="Z127" t="s">
        <v>2787</v>
      </c>
      <c r="AA127" t="s">
        <v>1415</v>
      </c>
      <c r="AB127" t="s">
        <v>2788</v>
      </c>
      <c r="AC127">
        <v>85989495721</v>
      </c>
    </row>
    <row r="128" spans="1:29" x14ac:dyDescent="0.3">
      <c r="A128" t="s">
        <v>1405</v>
      </c>
      <c r="B128" t="s">
        <v>2302</v>
      </c>
      <c r="C128" t="s">
        <v>2789</v>
      </c>
      <c r="D128">
        <v>4035975362</v>
      </c>
      <c r="E128">
        <v>2007010060144</v>
      </c>
      <c r="F128">
        <v>1004013464</v>
      </c>
      <c r="G128" s="1">
        <v>45239</v>
      </c>
      <c r="H128" t="s">
        <v>1360</v>
      </c>
      <c r="I128" t="s">
        <v>1374</v>
      </c>
      <c r="J128" t="s">
        <v>1361</v>
      </c>
      <c r="K128" t="s">
        <v>2308</v>
      </c>
      <c r="L128" t="s">
        <v>2305</v>
      </c>
      <c r="M128" t="s">
        <v>1409</v>
      </c>
      <c r="N128" t="s">
        <v>1410</v>
      </c>
      <c r="O128" t="s">
        <v>1411</v>
      </c>
      <c r="P128" t="s">
        <v>1411</v>
      </c>
      <c r="Q128" t="s">
        <v>1412</v>
      </c>
      <c r="S128" s="1">
        <v>46043</v>
      </c>
      <c r="W128" s="1">
        <v>33034</v>
      </c>
      <c r="X128" t="s">
        <v>2790</v>
      </c>
      <c r="Z128" t="s">
        <v>2791</v>
      </c>
      <c r="AA128" t="s">
        <v>1415</v>
      </c>
      <c r="AB128" t="s">
        <v>2792</v>
      </c>
      <c r="AC128">
        <v>85994527189</v>
      </c>
    </row>
    <row r="129" spans="1:29" x14ac:dyDescent="0.3">
      <c r="A129" t="s">
        <v>1405</v>
      </c>
      <c r="B129" t="s">
        <v>2302</v>
      </c>
      <c r="C129" t="s">
        <v>2793</v>
      </c>
      <c r="D129">
        <v>51682974987</v>
      </c>
      <c r="E129">
        <v>1670806</v>
      </c>
      <c r="F129">
        <v>1004000107</v>
      </c>
      <c r="G129" s="1">
        <v>42767</v>
      </c>
      <c r="H129" t="s">
        <v>1360</v>
      </c>
      <c r="I129" t="s">
        <v>1349</v>
      </c>
      <c r="J129" t="s">
        <v>2308</v>
      </c>
      <c r="K129" t="s">
        <v>2313</v>
      </c>
      <c r="L129" t="s">
        <v>2305</v>
      </c>
      <c r="M129" t="s">
        <v>1409</v>
      </c>
      <c r="N129" t="s">
        <v>1410</v>
      </c>
      <c r="O129" t="s">
        <v>1423</v>
      </c>
      <c r="P129" t="s">
        <v>1423</v>
      </c>
      <c r="Q129" t="s">
        <v>1412</v>
      </c>
      <c r="S129" s="1">
        <v>46059</v>
      </c>
      <c r="V129" s="1">
        <v>46055</v>
      </c>
      <c r="W129" s="1">
        <v>23937</v>
      </c>
      <c r="X129" t="s">
        <v>2794</v>
      </c>
      <c r="Y129" t="s">
        <v>2795</v>
      </c>
      <c r="Z129" t="s">
        <v>2724</v>
      </c>
      <c r="AA129" t="s">
        <v>1415</v>
      </c>
      <c r="AB129" t="s">
        <v>2796</v>
      </c>
      <c r="AC129">
        <v>4792815401</v>
      </c>
    </row>
    <row r="130" spans="1:29" x14ac:dyDescent="0.3">
      <c r="A130" t="s">
        <v>1405</v>
      </c>
      <c r="B130" t="s">
        <v>2302</v>
      </c>
      <c r="C130" t="s">
        <v>2797</v>
      </c>
      <c r="D130">
        <v>3026818259</v>
      </c>
      <c r="E130">
        <v>4963625</v>
      </c>
      <c r="F130">
        <v>1004022218</v>
      </c>
      <c r="G130" s="1">
        <v>46113</v>
      </c>
      <c r="H130" t="s">
        <v>1360</v>
      </c>
      <c r="I130" t="s">
        <v>1374</v>
      </c>
      <c r="J130" t="s">
        <v>2308</v>
      </c>
      <c r="K130" t="s">
        <v>2313</v>
      </c>
      <c r="L130" t="s">
        <v>2305</v>
      </c>
      <c r="M130" t="s">
        <v>1409</v>
      </c>
      <c r="N130" t="s">
        <v>1422</v>
      </c>
      <c r="O130" t="s">
        <v>1411</v>
      </c>
      <c r="P130" t="s">
        <v>1411</v>
      </c>
      <c r="Q130" t="s">
        <v>1412</v>
      </c>
      <c r="S130" s="1">
        <v>46118</v>
      </c>
      <c r="W130" s="1">
        <v>34335</v>
      </c>
      <c r="X130" t="s">
        <v>2574</v>
      </c>
      <c r="Y130" t="s">
        <v>2575</v>
      </c>
      <c r="Z130" t="s">
        <v>2576</v>
      </c>
      <c r="AA130" t="s">
        <v>1415</v>
      </c>
      <c r="AB130" t="s">
        <v>2798</v>
      </c>
      <c r="AC130">
        <v>91984478994</v>
      </c>
    </row>
    <row r="131" spans="1:29" x14ac:dyDescent="0.3">
      <c r="A131" t="s">
        <v>1405</v>
      </c>
      <c r="B131" t="s">
        <v>2302</v>
      </c>
      <c r="C131" t="s">
        <v>2799</v>
      </c>
      <c r="D131">
        <v>58009752215</v>
      </c>
      <c r="E131">
        <v>12511846</v>
      </c>
      <c r="F131">
        <v>42004201880</v>
      </c>
      <c r="G131" s="1">
        <v>42401</v>
      </c>
      <c r="H131" t="s">
        <v>1360</v>
      </c>
      <c r="I131" t="s">
        <v>1349</v>
      </c>
      <c r="J131" t="s">
        <v>2308</v>
      </c>
      <c r="K131" t="s">
        <v>2313</v>
      </c>
      <c r="L131" t="s">
        <v>2305</v>
      </c>
      <c r="M131" t="s">
        <v>1409</v>
      </c>
      <c r="N131" t="s">
        <v>1410</v>
      </c>
      <c r="O131" t="s">
        <v>1411</v>
      </c>
      <c r="P131" t="s">
        <v>1411</v>
      </c>
      <c r="Q131" t="s">
        <v>1412</v>
      </c>
      <c r="S131" s="1">
        <v>45750</v>
      </c>
      <c r="V131" s="1">
        <v>45748</v>
      </c>
      <c r="W131" s="1">
        <v>28213</v>
      </c>
      <c r="X131" t="s">
        <v>1825</v>
      </c>
      <c r="Y131" t="s">
        <v>1920</v>
      </c>
      <c r="Z131" t="s">
        <v>2800</v>
      </c>
      <c r="AA131" t="s">
        <v>1419</v>
      </c>
      <c r="AB131" t="s">
        <v>2801</v>
      </c>
    </row>
    <row r="132" spans="1:29" x14ac:dyDescent="0.3">
      <c r="A132" t="s">
        <v>1405</v>
      </c>
      <c r="B132" t="s">
        <v>2302</v>
      </c>
      <c r="C132" t="s">
        <v>2802</v>
      </c>
      <c r="D132">
        <v>1712697137</v>
      </c>
      <c r="E132">
        <v>17718961</v>
      </c>
      <c r="F132">
        <v>1004007810</v>
      </c>
      <c r="G132" s="1">
        <v>44305</v>
      </c>
      <c r="H132" t="s">
        <v>1360</v>
      </c>
      <c r="I132" t="s">
        <v>1349</v>
      </c>
      <c r="J132" t="s">
        <v>2308</v>
      </c>
      <c r="K132" t="s">
        <v>2313</v>
      </c>
      <c r="L132" t="s">
        <v>2305</v>
      </c>
      <c r="M132" t="s">
        <v>1409</v>
      </c>
      <c r="N132" t="s">
        <v>1410</v>
      </c>
      <c r="O132" t="s">
        <v>1423</v>
      </c>
      <c r="P132" t="s">
        <v>1423</v>
      </c>
      <c r="Q132" t="s">
        <v>1412</v>
      </c>
      <c r="S132" s="1">
        <v>46057</v>
      </c>
      <c r="V132" s="1">
        <v>46055</v>
      </c>
      <c r="W132" s="1">
        <v>31112</v>
      </c>
      <c r="X132" t="s">
        <v>1589</v>
      </c>
      <c r="Y132" t="s">
        <v>1590</v>
      </c>
      <c r="Z132" t="s">
        <v>2333</v>
      </c>
      <c r="AA132" t="s">
        <v>1419</v>
      </c>
      <c r="AB132" t="s">
        <v>2803</v>
      </c>
      <c r="AC132">
        <v>66992418073</v>
      </c>
    </row>
    <row r="133" spans="1:29" x14ac:dyDescent="0.3">
      <c r="A133" t="s">
        <v>1405</v>
      </c>
      <c r="B133" t="s">
        <v>2302</v>
      </c>
      <c r="C133" t="s">
        <v>2804</v>
      </c>
      <c r="D133">
        <v>3270184530</v>
      </c>
      <c r="E133">
        <v>1386372102</v>
      </c>
      <c r="F133">
        <v>1004018311</v>
      </c>
      <c r="G133" s="1">
        <v>45812</v>
      </c>
      <c r="H133" t="s">
        <v>1360</v>
      </c>
      <c r="I133" t="s">
        <v>1374</v>
      </c>
      <c r="J133" t="s">
        <v>1361</v>
      </c>
      <c r="K133" t="s">
        <v>2308</v>
      </c>
      <c r="L133" t="s">
        <v>2305</v>
      </c>
      <c r="M133" t="s">
        <v>1421</v>
      </c>
      <c r="N133" t="s">
        <v>1410</v>
      </c>
      <c r="O133" t="s">
        <v>1411</v>
      </c>
      <c r="P133" t="s">
        <v>1411</v>
      </c>
      <c r="Q133" t="s">
        <v>1412</v>
      </c>
      <c r="S133" s="1">
        <v>46043</v>
      </c>
      <c r="W133" s="1">
        <v>33164</v>
      </c>
      <c r="X133" t="s">
        <v>1954</v>
      </c>
      <c r="Y133" t="s">
        <v>2805</v>
      </c>
      <c r="Z133" t="s">
        <v>2806</v>
      </c>
      <c r="AA133" t="s">
        <v>1419</v>
      </c>
      <c r="AB133" t="s">
        <v>2807</v>
      </c>
      <c r="AC133">
        <v>73981396008</v>
      </c>
    </row>
    <row r="134" spans="1:29" x14ac:dyDescent="0.3">
      <c r="A134" t="s">
        <v>1405</v>
      </c>
      <c r="B134" t="s">
        <v>2302</v>
      </c>
      <c r="C134" t="s">
        <v>2808</v>
      </c>
      <c r="D134">
        <v>9509001929</v>
      </c>
      <c r="E134">
        <v>9509001929</v>
      </c>
      <c r="F134">
        <v>1004016959</v>
      </c>
      <c r="G134" s="1">
        <v>45733</v>
      </c>
      <c r="H134" t="s">
        <v>1360</v>
      </c>
      <c r="I134" t="s">
        <v>1374</v>
      </c>
      <c r="J134" t="s">
        <v>1361</v>
      </c>
      <c r="K134" t="s">
        <v>2308</v>
      </c>
      <c r="L134" t="s">
        <v>2305</v>
      </c>
      <c r="M134" t="s">
        <v>1409</v>
      </c>
      <c r="N134" t="s">
        <v>1410</v>
      </c>
      <c r="O134" t="s">
        <v>1423</v>
      </c>
      <c r="P134" t="s">
        <v>1423</v>
      </c>
      <c r="Q134" t="s">
        <v>1412</v>
      </c>
      <c r="R134" t="s">
        <v>2476</v>
      </c>
      <c r="S134" s="1">
        <v>46043</v>
      </c>
      <c r="W134" s="1">
        <v>34521</v>
      </c>
      <c r="X134" t="s">
        <v>1563</v>
      </c>
      <c r="Y134" t="s">
        <v>1564</v>
      </c>
      <c r="Z134" t="s">
        <v>2610</v>
      </c>
      <c r="AA134" t="s">
        <v>1415</v>
      </c>
      <c r="AB134" t="s">
        <v>2809</v>
      </c>
      <c r="AC134">
        <v>4796578712</v>
      </c>
    </row>
    <row r="135" spans="1:29" x14ac:dyDescent="0.3">
      <c r="A135" t="s">
        <v>1405</v>
      </c>
      <c r="B135" t="s">
        <v>2302</v>
      </c>
      <c r="C135" t="s">
        <v>2810</v>
      </c>
      <c r="D135">
        <v>50806831200</v>
      </c>
      <c r="E135">
        <v>2427901</v>
      </c>
      <c r="F135">
        <v>1004021585</v>
      </c>
      <c r="G135" s="1">
        <v>46084</v>
      </c>
      <c r="H135" t="s">
        <v>1360</v>
      </c>
      <c r="I135" t="s">
        <v>1374</v>
      </c>
      <c r="J135" t="s">
        <v>2308</v>
      </c>
      <c r="K135" t="s">
        <v>2313</v>
      </c>
      <c r="L135" t="s">
        <v>2305</v>
      </c>
      <c r="M135" t="s">
        <v>1421</v>
      </c>
      <c r="N135" t="s">
        <v>1422</v>
      </c>
      <c r="O135" t="s">
        <v>1411</v>
      </c>
      <c r="P135" t="s">
        <v>1411</v>
      </c>
      <c r="Q135" t="s">
        <v>1412</v>
      </c>
      <c r="S135" s="1">
        <v>46085</v>
      </c>
      <c r="W135" s="1">
        <v>27572</v>
      </c>
      <c r="X135" t="s">
        <v>1492</v>
      </c>
      <c r="Z135" t="s">
        <v>2518</v>
      </c>
      <c r="AA135" t="s">
        <v>1415</v>
      </c>
      <c r="AB135" t="s">
        <v>2811</v>
      </c>
      <c r="AC135">
        <v>94991319635</v>
      </c>
    </row>
    <row r="136" spans="1:29" x14ac:dyDescent="0.3">
      <c r="A136" t="s">
        <v>1405</v>
      </c>
      <c r="B136" t="s">
        <v>2302</v>
      </c>
      <c r="C136" t="s">
        <v>2812</v>
      </c>
      <c r="D136">
        <v>3768170543</v>
      </c>
      <c r="E136">
        <v>1459225295</v>
      </c>
      <c r="F136">
        <v>1004006477</v>
      </c>
      <c r="G136" s="1">
        <v>43997</v>
      </c>
      <c r="H136" t="s">
        <v>1360</v>
      </c>
      <c r="I136" t="s">
        <v>1349</v>
      </c>
      <c r="J136" t="s">
        <v>2308</v>
      </c>
      <c r="K136" t="s">
        <v>2313</v>
      </c>
      <c r="L136" t="s">
        <v>2305</v>
      </c>
      <c r="M136" t="s">
        <v>1421</v>
      </c>
      <c r="N136" t="s">
        <v>1422</v>
      </c>
      <c r="O136" t="s">
        <v>1411</v>
      </c>
      <c r="P136" t="s">
        <v>1411</v>
      </c>
      <c r="Q136" t="s">
        <v>1412</v>
      </c>
      <c r="S136" s="1">
        <v>45796</v>
      </c>
      <c r="V136" s="1">
        <v>45790</v>
      </c>
      <c r="W136" s="1">
        <v>32651</v>
      </c>
      <c r="X136" t="s">
        <v>2813</v>
      </c>
      <c r="Y136" t="s">
        <v>2814</v>
      </c>
      <c r="Z136" t="s">
        <v>2815</v>
      </c>
      <c r="AA136" t="s">
        <v>1419</v>
      </c>
      <c r="AB136" t="s">
        <v>2816</v>
      </c>
      <c r="AC136">
        <v>75988109729</v>
      </c>
    </row>
    <row r="137" spans="1:29" x14ac:dyDescent="0.3">
      <c r="A137" t="s">
        <v>1405</v>
      </c>
      <c r="B137" t="s">
        <v>2302</v>
      </c>
      <c r="C137" t="s">
        <v>2817</v>
      </c>
      <c r="D137">
        <v>81198523972</v>
      </c>
      <c r="E137">
        <v>28459768</v>
      </c>
      <c r="F137">
        <v>42004201554</v>
      </c>
      <c r="G137" s="1">
        <v>42219</v>
      </c>
      <c r="H137" t="s">
        <v>1360</v>
      </c>
      <c r="I137" t="s">
        <v>1349</v>
      </c>
      <c r="J137" t="s">
        <v>2308</v>
      </c>
      <c r="K137" t="s">
        <v>2313</v>
      </c>
      <c r="L137" t="s">
        <v>2305</v>
      </c>
      <c r="M137" t="s">
        <v>1421</v>
      </c>
      <c r="N137" t="s">
        <v>1410</v>
      </c>
      <c r="O137" t="s">
        <v>1411</v>
      </c>
      <c r="P137" t="s">
        <v>1411</v>
      </c>
      <c r="Q137" t="s">
        <v>1412</v>
      </c>
      <c r="S137" s="1">
        <v>46085</v>
      </c>
      <c r="V137" s="1">
        <v>46083</v>
      </c>
      <c r="W137" s="1">
        <v>25607</v>
      </c>
      <c r="X137" t="s">
        <v>1586</v>
      </c>
      <c r="Y137" t="s">
        <v>1752</v>
      </c>
      <c r="Z137" t="s">
        <v>2818</v>
      </c>
      <c r="AA137" t="s">
        <v>1415</v>
      </c>
      <c r="AB137" t="s">
        <v>2819</v>
      </c>
    </row>
    <row r="138" spans="1:29" x14ac:dyDescent="0.3">
      <c r="A138" t="s">
        <v>1405</v>
      </c>
      <c r="B138" t="s">
        <v>2302</v>
      </c>
      <c r="C138" t="s">
        <v>2820</v>
      </c>
      <c r="D138">
        <v>3331346560</v>
      </c>
      <c r="E138" t="s">
        <v>2821</v>
      </c>
      <c r="F138">
        <v>1004021360</v>
      </c>
      <c r="G138" s="1">
        <v>46076</v>
      </c>
      <c r="H138" t="s">
        <v>1360</v>
      </c>
      <c r="I138" t="s">
        <v>1374</v>
      </c>
      <c r="J138" t="s">
        <v>2308</v>
      </c>
      <c r="K138" t="s">
        <v>2313</v>
      </c>
      <c r="L138" t="s">
        <v>2305</v>
      </c>
      <c r="M138" t="s">
        <v>1447</v>
      </c>
      <c r="N138" t="s">
        <v>1410</v>
      </c>
      <c r="O138" t="s">
        <v>1411</v>
      </c>
      <c r="P138" t="s">
        <v>1411</v>
      </c>
      <c r="Q138" t="s">
        <v>1412</v>
      </c>
      <c r="S138" s="1">
        <v>46071</v>
      </c>
      <c r="W138" s="1">
        <v>32420</v>
      </c>
      <c r="X138" t="s">
        <v>1432</v>
      </c>
      <c r="Y138" t="s">
        <v>1433</v>
      </c>
      <c r="Z138" t="s">
        <v>2822</v>
      </c>
      <c r="AA138" t="s">
        <v>1419</v>
      </c>
      <c r="AB138" t="s">
        <v>2823</v>
      </c>
      <c r="AC138">
        <v>75988042712</v>
      </c>
    </row>
    <row r="139" spans="1:29" x14ac:dyDescent="0.3">
      <c r="A139" t="s">
        <v>1405</v>
      </c>
      <c r="B139" t="s">
        <v>2302</v>
      </c>
      <c r="C139" t="s">
        <v>2824</v>
      </c>
      <c r="D139">
        <v>5059065200</v>
      </c>
      <c r="E139" t="s">
        <v>2825</v>
      </c>
      <c r="F139">
        <v>1004014524</v>
      </c>
      <c r="G139" s="1">
        <v>45383</v>
      </c>
      <c r="H139" t="s">
        <v>1360</v>
      </c>
      <c r="I139" t="s">
        <v>1374</v>
      </c>
      <c r="J139" t="s">
        <v>1361</v>
      </c>
      <c r="K139" t="s">
        <v>2308</v>
      </c>
      <c r="L139" t="s">
        <v>2305</v>
      </c>
      <c r="M139" t="s">
        <v>1409</v>
      </c>
      <c r="N139" t="s">
        <v>1410</v>
      </c>
      <c r="O139" t="s">
        <v>1411</v>
      </c>
      <c r="P139" t="s">
        <v>1423</v>
      </c>
      <c r="Q139" t="s">
        <v>1412</v>
      </c>
      <c r="S139" s="1">
        <v>46043</v>
      </c>
      <c r="W139" s="1">
        <v>35671</v>
      </c>
      <c r="X139" t="s">
        <v>2826</v>
      </c>
      <c r="Y139" t="s">
        <v>2827</v>
      </c>
      <c r="Z139" t="s">
        <v>2828</v>
      </c>
      <c r="AA139" t="s">
        <v>1419</v>
      </c>
      <c r="AB139" t="s">
        <v>2829</v>
      </c>
      <c r="AC139">
        <v>93991081309</v>
      </c>
    </row>
    <row r="140" spans="1:29" x14ac:dyDescent="0.3">
      <c r="A140" t="s">
        <v>1405</v>
      </c>
      <c r="B140" t="s">
        <v>2302</v>
      </c>
      <c r="C140" t="s">
        <v>2830</v>
      </c>
      <c r="D140">
        <v>2983173380</v>
      </c>
      <c r="E140">
        <v>2005015064494</v>
      </c>
      <c r="F140">
        <v>1004006412</v>
      </c>
      <c r="G140" s="1">
        <v>43984</v>
      </c>
      <c r="H140" t="s">
        <v>1360</v>
      </c>
      <c r="I140" t="s">
        <v>1374</v>
      </c>
      <c r="J140" t="s">
        <v>2308</v>
      </c>
      <c r="K140" t="s">
        <v>2313</v>
      </c>
      <c r="L140" t="s">
        <v>2305</v>
      </c>
      <c r="M140" t="s">
        <v>1421</v>
      </c>
      <c r="N140" t="s">
        <v>1410</v>
      </c>
      <c r="O140" t="s">
        <v>1411</v>
      </c>
      <c r="P140" t="s">
        <v>1411</v>
      </c>
      <c r="Q140" t="s">
        <v>1412</v>
      </c>
      <c r="S140" s="1">
        <v>46043</v>
      </c>
      <c r="W140" s="1">
        <v>32127</v>
      </c>
      <c r="X140" t="s">
        <v>2138</v>
      </c>
      <c r="Y140" t="s">
        <v>2139</v>
      </c>
      <c r="Z140" t="s">
        <v>2452</v>
      </c>
      <c r="AA140" t="s">
        <v>1415</v>
      </c>
      <c r="AB140" t="s">
        <v>2831</v>
      </c>
      <c r="AC140">
        <v>88996477979</v>
      </c>
    </row>
    <row r="141" spans="1:29" x14ac:dyDescent="0.3">
      <c r="A141" t="s">
        <v>1405</v>
      </c>
      <c r="B141" t="s">
        <v>2302</v>
      </c>
      <c r="C141" t="s">
        <v>2832</v>
      </c>
      <c r="D141">
        <v>16056306755</v>
      </c>
      <c r="E141">
        <v>269465225</v>
      </c>
      <c r="F141">
        <v>1004015092</v>
      </c>
      <c r="G141" s="1">
        <v>45453</v>
      </c>
      <c r="H141" t="s">
        <v>1360</v>
      </c>
      <c r="I141" t="s">
        <v>1374</v>
      </c>
      <c r="J141" t="s">
        <v>1361</v>
      </c>
      <c r="K141" t="s">
        <v>2308</v>
      </c>
      <c r="L141" t="s">
        <v>2305</v>
      </c>
      <c r="M141" t="s">
        <v>1409</v>
      </c>
      <c r="N141" t="s">
        <v>1410</v>
      </c>
      <c r="O141" t="s">
        <v>1423</v>
      </c>
      <c r="P141" t="s">
        <v>1417</v>
      </c>
      <c r="Q141" t="s">
        <v>1412</v>
      </c>
      <c r="S141" s="1">
        <v>46043</v>
      </c>
      <c r="W141" s="1">
        <v>34772</v>
      </c>
      <c r="X141" t="s">
        <v>1825</v>
      </c>
      <c r="Y141" t="s">
        <v>1920</v>
      </c>
      <c r="Z141" t="s">
        <v>2833</v>
      </c>
      <c r="AA141" t="s">
        <v>1419</v>
      </c>
      <c r="AB141" t="s">
        <v>2834</v>
      </c>
      <c r="AC141">
        <v>21982445338</v>
      </c>
    </row>
    <row r="142" spans="1:29" x14ac:dyDescent="0.3">
      <c r="A142" t="s">
        <v>1405</v>
      </c>
      <c r="B142" t="s">
        <v>2302</v>
      </c>
      <c r="C142" t="s">
        <v>2835</v>
      </c>
      <c r="D142">
        <v>1797299182</v>
      </c>
      <c r="E142">
        <v>2569912</v>
      </c>
      <c r="F142">
        <v>1004015416</v>
      </c>
      <c r="G142" s="1">
        <v>45516</v>
      </c>
      <c r="H142" t="s">
        <v>1360</v>
      </c>
      <c r="I142" t="s">
        <v>1374</v>
      </c>
      <c r="J142" t="s">
        <v>2348</v>
      </c>
      <c r="K142" t="s">
        <v>2308</v>
      </c>
      <c r="L142" t="s">
        <v>2305</v>
      </c>
      <c r="M142" t="s">
        <v>1409</v>
      </c>
      <c r="N142" t="s">
        <v>1410</v>
      </c>
      <c r="O142" t="s">
        <v>1423</v>
      </c>
      <c r="P142" t="s">
        <v>1423</v>
      </c>
      <c r="Q142" t="s">
        <v>1412</v>
      </c>
      <c r="S142" s="1">
        <v>46043</v>
      </c>
      <c r="W142" s="1">
        <v>31812</v>
      </c>
      <c r="X142" t="s">
        <v>2836</v>
      </c>
      <c r="Z142" t="s">
        <v>2837</v>
      </c>
      <c r="AA142" t="s">
        <v>1419</v>
      </c>
      <c r="AB142" t="s">
        <v>2838</v>
      </c>
      <c r="AC142">
        <v>61998086073</v>
      </c>
    </row>
    <row r="143" spans="1:29" x14ac:dyDescent="0.3">
      <c r="A143" t="s">
        <v>1405</v>
      </c>
      <c r="B143" t="s">
        <v>2302</v>
      </c>
      <c r="C143" t="s">
        <v>2839</v>
      </c>
      <c r="D143">
        <v>7898679580</v>
      </c>
      <c r="E143">
        <v>1295927810</v>
      </c>
      <c r="F143">
        <v>1004018308</v>
      </c>
      <c r="G143" s="1">
        <v>45812</v>
      </c>
      <c r="H143" t="s">
        <v>1360</v>
      </c>
      <c r="I143" t="s">
        <v>1349</v>
      </c>
      <c r="J143" t="s">
        <v>1361</v>
      </c>
      <c r="K143" t="s">
        <v>2308</v>
      </c>
      <c r="L143" t="s">
        <v>2305</v>
      </c>
      <c r="M143" t="s">
        <v>1421</v>
      </c>
      <c r="N143" t="s">
        <v>1410</v>
      </c>
      <c r="O143" t="s">
        <v>1411</v>
      </c>
      <c r="P143" t="s">
        <v>1411</v>
      </c>
      <c r="Q143" t="s">
        <v>1412</v>
      </c>
      <c r="S143" s="1">
        <v>46126</v>
      </c>
      <c r="V143" s="1">
        <v>46122</v>
      </c>
      <c r="W143" s="1">
        <v>35913</v>
      </c>
      <c r="X143" t="s">
        <v>2840</v>
      </c>
      <c r="Z143" t="s">
        <v>2815</v>
      </c>
      <c r="AA143" t="s">
        <v>1419</v>
      </c>
      <c r="AB143" t="s">
        <v>2841</v>
      </c>
      <c r="AC143">
        <v>75992438439</v>
      </c>
    </row>
    <row r="144" spans="1:29" x14ac:dyDescent="0.3">
      <c r="A144" t="s">
        <v>1405</v>
      </c>
      <c r="B144" t="s">
        <v>2302</v>
      </c>
      <c r="C144" t="s">
        <v>2842</v>
      </c>
      <c r="D144">
        <v>1273658698</v>
      </c>
      <c r="E144">
        <v>11399171</v>
      </c>
      <c r="F144">
        <v>1004021470</v>
      </c>
      <c r="G144" s="1">
        <v>46083</v>
      </c>
      <c r="H144" t="s">
        <v>1360</v>
      </c>
      <c r="I144" t="s">
        <v>1374</v>
      </c>
      <c r="J144" s="26">
        <v>0.125</v>
      </c>
      <c r="K144" t="s">
        <v>2308</v>
      </c>
      <c r="L144" t="s">
        <v>2305</v>
      </c>
      <c r="M144" t="s">
        <v>1409</v>
      </c>
      <c r="N144" t="s">
        <v>1410</v>
      </c>
      <c r="O144" t="s">
        <v>1411</v>
      </c>
      <c r="P144" t="s">
        <v>1423</v>
      </c>
      <c r="Q144" t="s">
        <v>1412</v>
      </c>
      <c r="S144" s="1">
        <v>46085</v>
      </c>
      <c r="W144" s="1">
        <v>28769</v>
      </c>
      <c r="X144" t="s">
        <v>1570</v>
      </c>
      <c r="Y144" t="s">
        <v>2843</v>
      </c>
      <c r="Z144" t="s">
        <v>2844</v>
      </c>
      <c r="AA144" t="s">
        <v>1419</v>
      </c>
      <c r="AB144" t="s">
        <v>2845</v>
      </c>
      <c r="AC144">
        <v>47996890424</v>
      </c>
    </row>
    <row r="145" spans="1:29" x14ac:dyDescent="0.3">
      <c r="A145" t="s">
        <v>1405</v>
      </c>
      <c r="B145" t="s">
        <v>2302</v>
      </c>
      <c r="C145" t="s">
        <v>2846</v>
      </c>
      <c r="D145">
        <v>645295256</v>
      </c>
      <c r="E145" t="s">
        <v>2847</v>
      </c>
      <c r="F145">
        <v>1004021487</v>
      </c>
      <c r="G145" s="1">
        <v>46083</v>
      </c>
      <c r="H145" t="s">
        <v>1360</v>
      </c>
      <c r="I145" t="s">
        <v>1374</v>
      </c>
      <c r="J145" t="s">
        <v>1361</v>
      </c>
      <c r="K145" t="s">
        <v>2308</v>
      </c>
      <c r="L145" t="s">
        <v>2305</v>
      </c>
      <c r="M145" t="s">
        <v>1409</v>
      </c>
      <c r="N145" t="s">
        <v>1410</v>
      </c>
      <c r="O145" t="s">
        <v>1423</v>
      </c>
      <c r="P145" t="s">
        <v>1423</v>
      </c>
      <c r="Q145" t="s">
        <v>1412</v>
      </c>
      <c r="S145" s="1">
        <v>46085</v>
      </c>
      <c r="W145" s="1">
        <v>36694</v>
      </c>
      <c r="X145" t="s">
        <v>1644</v>
      </c>
      <c r="Z145" t="s">
        <v>2848</v>
      </c>
      <c r="AA145" t="s">
        <v>1419</v>
      </c>
      <c r="AB145" t="s">
        <v>2849</v>
      </c>
      <c r="AC145">
        <v>95991104668</v>
      </c>
    </row>
    <row r="146" spans="1:29" x14ac:dyDescent="0.3">
      <c r="A146" t="s">
        <v>1405</v>
      </c>
      <c r="B146" t="s">
        <v>2302</v>
      </c>
      <c r="C146" t="s">
        <v>2850</v>
      </c>
      <c r="D146">
        <v>1836289340</v>
      </c>
      <c r="E146">
        <v>2004023001740</v>
      </c>
      <c r="F146">
        <v>1004006524</v>
      </c>
      <c r="G146" s="1">
        <v>44001</v>
      </c>
      <c r="H146" t="s">
        <v>1360</v>
      </c>
      <c r="I146" t="s">
        <v>1374</v>
      </c>
      <c r="J146" t="s">
        <v>2308</v>
      </c>
      <c r="K146" t="s">
        <v>2313</v>
      </c>
      <c r="L146" t="s">
        <v>2305</v>
      </c>
      <c r="M146" t="s">
        <v>1409</v>
      </c>
      <c r="N146" t="s">
        <v>1410</v>
      </c>
      <c r="O146" t="s">
        <v>1411</v>
      </c>
      <c r="P146" t="s">
        <v>1411</v>
      </c>
      <c r="Q146" t="s">
        <v>1593</v>
      </c>
      <c r="S146" s="1">
        <v>46043</v>
      </c>
      <c r="W146" s="1">
        <v>31842</v>
      </c>
      <c r="X146" t="s">
        <v>2851</v>
      </c>
      <c r="Y146" t="s">
        <v>2852</v>
      </c>
      <c r="Z146" t="s">
        <v>2853</v>
      </c>
      <c r="AA146" t="s">
        <v>1419</v>
      </c>
      <c r="AB146" t="s">
        <v>2854</v>
      </c>
      <c r="AC146">
        <v>88997954317</v>
      </c>
    </row>
    <row r="147" spans="1:29" x14ac:dyDescent="0.3">
      <c r="A147" t="s">
        <v>1405</v>
      </c>
      <c r="B147" t="s">
        <v>2302</v>
      </c>
      <c r="C147" t="s">
        <v>2855</v>
      </c>
      <c r="D147">
        <v>52113345900</v>
      </c>
      <c r="E147">
        <v>1816019</v>
      </c>
      <c r="F147">
        <v>42004200986</v>
      </c>
      <c r="G147" s="1">
        <v>41852</v>
      </c>
      <c r="H147" t="s">
        <v>1360</v>
      </c>
      <c r="I147" t="s">
        <v>1349</v>
      </c>
      <c r="J147" t="s">
        <v>2308</v>
      </c>
      <c r="K147" t="s">
        <v>2313</v>
      </c>
      <c r="L147" t="s">
        <v>2305</v>
      </c>
      <c r="M147" t="s">
        <v>1409</v>
      </c>
      <c r="N147" t="s">
        <v>1410</v>
      </c>
      <c r="O147" t="s">
        <v>1423</v>
      </c>
      <c r="P147" t="s">
        <v>1423</v>
      </c>
      <c r="Q147" t="s">
        <v>1412</v>
      </c>
      <c r="S147" s="1">
        <v>45855</v>
      </c>
      <c r="V147" s="1">
        <v>45853</v>
      </c>
      <c r="W147" s="1">
        <v>25011</v>
      </c>
      <c r="X147" t="s">
        <v>2856</v>
      </c>
      <c r="Z147" t="s">
        <v>2857</v>
      </c>
      <c r="AA147" t="s">
        <v>1415</v>
      </c>
      <c r="AB147" t="s">
        <v>2858</v>
      </c>
      <c r="AC147">
        <v>4830245133</v>
      </c>
    </row>
    <row r="148" spans="1:29" x14ac:dyDescent="0.3">
      <c r="A148" t="s">
        <v>1405</v>
      </c>
      <c r="B148" t="s">
        <v>2302</v>
      </c>
      <c r="C148" t="s">
        <v>2859</v>
      </c>
      <c r="D148">
        <v>59413042268</v>
      </c>
      <c r="E148">
        <v>2859203</v>
      </c>
      <c r="F148">
        <v>1004016822</v>
      </c>
      <c r="G148" s="1">
        <v>45705</v>
      </c>
      <c r="H148" t="s">
        <v>1360</v>
      </c>
      <c r="I148" t="s">
        <v>1374</v>
      </c>
      <c r="J148" t="s">
        <v>1361</v>
      </c>
      <c r="K148" t="s">
        <v>2308</v>
      </c>
      <c r="L148" t="s">
        <v>2305</v>
      </c>
      <c r="M148" t="s">
        <v>1409</v>
      </c>
      <c r="N148" t="s">
        <v>1410</v>
      </c>
      <c r="O148" t="s">
        <v>1411</v>
      </c>
      <c r="P148" t="s">
        <v>1411</v>
      </c>
      <c r="Q148" t="s">
        <v>1412</v>
      </c>
      <c r="S148" s="1">
        <v>46043</v>
      </c>
      <c r="W148" s="1">
        <v>28174</v>
      </c>
      <c r="X148" t="s">
        <v>1492</v>
      </c>
      <c r="Y148" t="s">
        <v>2860</v>
      </c>
      <c r="Z148" t="s">
        <v>2770</v>
      </c>
      <c r="AA148" t="s">
        <v>1419</v>
      </c>
      <c r="AB148" t="s">
        <v>2861</v>
      </c>
      <c r="AC148">
        <v>94992921004</v>
      </c>
    </row>
    <row r="149" spans="1:29" x14ac:dyDescent="0.3">
      <c r="A149" t="s">
        <v>1405</v>
      </c>
      <c r="B149" t="s">
        <v>2302</v>
      </c>
      <c r="C149" t="s">
        <v>2862</v>
      </c>
      <c r="D149">
        <v>2459258216</v>
      </c>
      <c r="E149">
        <v>1250558</v>
      </c>
      <c r="F149">
        <v>1004022505</v>
      </c>
      <c r="G149" s="1">
        <v>46125</v>
      </c>
      <c r="H149" t="s">
        <v>1360</v>
      </c>
      <c r="I149" t="s">
        <v>1374</v>
      </c>
      <c r="J149" t="s">
        <v>2308</v>
      </c>
      <c r="K149" t="s">
        <v>2313</v>
      </c>
      <c r="L149" t="s">
        <v>2305</v>
      </c>
      <c r="M149" t="s">
        <v>1421</v>
      </c>
      <c r="N149" t="s">
        <v>1422</v>
      </c>
      <c r="O149" t="s">
        <v>1423</v>
      </c>
      <c r="P149" t="s">
        <v>1423</v>
      </c>
      <c r="Q149" t="s">
        <v>1412</v>
      </c>
      <c r="S149" s="1">
        <v>46121</v>
      </c>
      <c r="W149" s="1">
        <v>36409</v>
      </c>
      <c r="X149" t="s">
        <v>2863</v>
      </c>
      <c r="Z149" t="s">
        <v>2864</v>
      </c>
      <c r="AA149" t="s">
        <v>1419</v>
      </c>
      <c r="AB149" t="s">
        <v>2865</v>
      </c>
      <c r="AC149">
        <v>69992844677</v>
      </c>
    </row>
    <row r="150" spans="1:29" x14ac:dyDescent="0.3">
      <c r="A150" t="s">
        <v>1405</v>
      </c>
      <c r="B150" t="s">
        <v>2302</v>
      </c>
      <c r="C150" t="s">
        <v>2866</v>
      </c>
      <c r="D150">
        <v>9740022405</v>
      </c>
      <c r="E150">
        <v>7607105</v>
      </c>
      <c r="F150">
        <v>1004020166</v>
      </c>
      <c r="G150" s="1">
        <v>45931</v>
      </c>
      <c r="H150" t="s">
        <v>1360</v>
      </c>
      <c r="I150" t="s">
        <v>1374</v>
      </c>
      <c r="J150" t="s">
        <v>1361</v>
      </c>
      <c r="K150" t="s">
        <v>2308</v>
      </c>
      <c r="L150" t="s">
        <v>2305</v>
      </c>
      <c r="M150" t="s">
        <v>1447</v>
      </c>
      <c r="N150" t="s">
        <v>1448</v>
      </c>
      <c r="O150" t="s">
        <v>1411</v>
      </c>
      <c r="P150" t="s">
        <v>1411</v>
      </c>
      <c r="Q150" t="s">
        <v>1412</v>
      </c>
      <c r="S150" s="1">
        <v>46043</v>
      </c>
      <c r="W150" s="1">
        <v>33716</v>
      </c>
      <c r="X150" t="s">
        <v>2867</v>
      </c>
      <c r="Y150" t="s">
        <v>2868</v>
      </c>
      <c r="Z150" t="s">
        <v>2869</v>
      </c>
      <c r="AA150" t="s">
        <v>1415</v>
      </c>
      <c r="AB150" t="s">
        <v>2870</v>
      </c>
      <c r="AC150">
        <v>81996394106</v>
      </c>
    </row>
    <row r="151" spans="1:29" x14ac:dyDescent="0.3">
      <c r="A151" t="s">
        <v>1405</v>
      </c>
      <c r="B151" t="s">
        <v>2302</v>
      </c>
      <c r="C151" t="s">
        <v>2871</v>
      </c>
      <c r="D151">
        <v>4091276121</v>
      </c>
      <c r="E151">
        <v>22927174</v>
      </c>
      <c r="F151">
        <v>1004014673</v>
      </c>
      <c r="G151" s="1">
        <v>45399</v>
      </c>
      <c r="H151" t="s">
        <v>1360</v>
      </c>
      <c r="I151" t="s">
        <v>1349</v>
      </c>
      <c r="J151" t="s">
        <v>1361</v>
      </c>
      <c r="K151" t="s">
        <v>2308</v>
      </c>
      <c r="L151" t="s">
        <v>2305</v>
      </c>
      <c r="M151" t="s">
        <v>1421</v>
      </c>
      <c r="N151" t="s">
        <v>1410</v>
      </c>
      <c r="O151" t="s">
        <v>1423</v>
      </c>
      <c r="P151" t="s">
        <v>1423</v>
      </c>
      <c r="Q151" t="s">
        <v>1412</v>
      </c>
      <c r="S151" s="1">
        <v>46085</v>
      </c>
      <c r="V151" s="1">
        <v>46083</v>
      </c>
      <c r="W151" s="1">
        <v>34340</v>
      </c>
      <c r="X151" t="s">
        <v>2872</v>
      </c>
      <c r="Z151" t="s">
        <v>2873</v>
      </c>
      <c r="AA151" t="s">
        <v>1415</v>
      </c>
      <c r="AB151" t="s">
        <v>2874</v>
      </c>
      <c r="AC151">
        <v>65999583477</v>
      </c>
    </row>
    <row r="152" spans="1:29" x14ac:dyDescent="0.3">
      <c r="A152" t="s">
        <v>1405</v>
      </c>
      <c r="B152" t="s">
        <v>2302</v>
      </c>
      <c r="C152" t="s">
        <v>2875</v>
      </c>
      <c r="D152">
        <v>6565150907</v>
      </c>
      <c r="E152">
        <v>5167957</v>
      </c>
      <c r="F152">
        <v>1004009834</v>
      </c>
      <c r="G152" s="1">
        <v>44677</v>
      </c>
      <c r="H152" t="s">
        <v>1360</v>
      </c>
      <c r="I152" t="s">
        <v>1374</v>
      </c>
      <c r="J152" t="s">
        <v>2348</v>
      </c>
      <c r="K152" t="s">
        <v>2308</v>
      </c>
      <c r="L152" t="s">
        <v>2305</v>
      </c>
      <c r="M152" t="s">
        <v>1421</v>
      </c>
      <c r="N152" t="s">
        <v>1422</v>
      </c>
      <c r="O152" t="s">
        <v>1423</v>
      </c>
      <c r="P152" t="s">
        <v>1423</v>
      </c>
      <c r="Q152" t="s">
        <v>1412</v>
      </c>
      <c r="S152" s="1">
        <v>46043</v>
      </c>
      <c r="W152" s="1">
        <v>34388</v>
      </c>
      <c r="X152" t="s">
        <v>1669</v>
      </c>
      <c r="Z152" t="s">
        <v>2876</v>
      </c>
      <c r="AA152" t="s">
        <v>1419</v>
      </c>
      <c r="AB152" t="s">
        <v>2877</v>
      </c>
      <c r="AC152">
        <v>48991443169</v>
      </c>
    </row>
    <row r="153" spans="1:29" x14ac:dyDescent="0.3">
      <c r="A153" t="s">
        <v>1405</v>
      </c>
      <c r="B153" t="s">
        <v>2302</v>
      </c>
      <c r="C153" t="s">
        <v>2878</v>
      </c>
      <c r="D153">
        <v>650245083</v>
      </c>
      <c r="E153" s="3">
        <v>7677493</v>
      </c>
      <c r="F153">
        <v>1004017068</v>
      </c>
      <c r="G153" s="1">
        <v>45728</v>
      </c>
      <c r="H153" t="s">
        <v>1360</v>
      </c>
      <c r="I153" t="s">
        <v>1374</v>
      </c>
      <c r="J153" t="s">
        <v>1361</v>
      </c>
      <c r="K153" t="s">
        <v>2308</v>
      </c>
      <c r="L153" t="s">
        <v>2305</v>
      </c>
      <c r="M153" t="s">
        <v>1409</v>
      </c>
      <c r="N153" t="s">
        <v>1410</v>
      </c>
      <c r="O153" t="s">
        <v>1423</v>
      </c>
      <c r="P153" t="s">
        <v>1423</v>
      </c>
      <c r="Q153" t="s">
        <v>1412</v>
      </c>
      <c r="S153" s="1">
        <v>46043</v>
      </c>
      <c r="W153" s="1">
        <v>33455</v>
      </c>
      <c r="X153" t="s">
        <v>2879</v>
      </c>
      <c r="Y153" t="s">
        <v>2880</v>
      </c>
      <c r="Z153" t="s">
        <v>2881</v>
      </c>
      <c r="AA153" t="s">
        <v>1419</v>
      </c>
      <c r="AB153" t="s">
        <v>2882</v>
      </c>
      <c r="AC153">
        <v>48999618777</v>
      </c>
    </row>
    <row r="154" spans="1:29" x14ac:dyDescent="0.3">
      <c r="A154" t="s">
        <v>1405</v>
      </c>
      <c r="B154" t="s">
        <v>2302</v>
      </c>
      <c r="C154" t="s">
        <v>2883</v>
      </c>
      <c r="D154">
        <v>4471366580</v>
      </c>
      <c r="E154">
        <v>2049163800</v>
      </c>
      <c r="F154">
        <v>1004014702</v>
      </c>
      <c r="G154" s="1">
        <v>45397</v>
      </c>
      <c r="H154" t="s">
        <v>1360</v>
      </c>
      <c r="I154" t="s">
        <v>1374</v>
      </c>
      <c r="J154" t="s">
        <v>1361</v>
      </c>
      <c r="K154" t="s">
        <v>2308</v>
      </c>
      <c r="L154" t="s">
        <v>2305</v>
      </c>
      <c r="M154" t="s">
        <v>1421</v>
      </c>
      <c r="N154" t="s">
        <v>1422</v>
      </c>
      <c r="O154" t="s">
        <v>1411</v>
      </c>
      <c r="P154" t="s">
        <v>1411</v>
      </c>
      <c r="Q154" t="s">
        <v>1412</v>
      </c>
      <c r="S154" s="1">
        <v>46043</v>
      </c>
      <c r="W154" s="1">
        <v>34603</v>
      </c>
      <c r="X154" t="s">
        <v>2884</v>
      </c>
      <c r="Y154" t="s">
        <v>2885</v>
      </c>
      <c r="Z154" t="s">
        <v>2615</v>
      </c>
      <c r="AA154" t="s">
        <v>1419</v>
      </c>
      <c r="AB154" t="s">
        <v>2886</v>
      </c>
      <c r="AC154">
        <v>75991916215</v>
      </c>
    </row>
    <row r="155" spans="1:29" x14ac:dyDescent="0.3">
      <c r="A155" t="s">
        <v>1405</v>
      </c>
      <c r="B155" t="s">
        <v>2302</v>
      </c>
      <c r="C155" t="s">
        <v>2887</v>
      </c>
      <c r="D155">
        <v>10333712978</v>
      </c>
      <c r="E155">
        <v>132405760</v>
      </c>
      <c r="F155">
        <v>1004015375</v>
      </c>
      <c r="G155" s="1">
        <v>45510</v>
      </c>
      <c r="H155" t="s">
        <v>1360</v>
      </c>
      <c r="I155" t="s">
        <v>1349</v>
      </c>
      <c r="J155" t="s">
        <v>2348</v>
      </c>
      <c r="K155" t="s">
        <v>2308</v>
      </c>
      <c r="L155" t="s">
        <v>2305</v>
      </c>
      <c r="M155" t="s">
        <v>1409</v>
      </c>
      <c r="N155" t="s">
        <v>1410</v>
      </c>
      <c r="O155" t="s">
        <v>1423</v>
      </c>
      <c r="P155" t="s">
        <v>1423</v>
      </c>
      <c r="Q155" t="s">
        <v>1412</v>
      </c>
      <c r="S155" s="1">
        <v>45842</v>
      </c>
      <c r="V155" s="1">
        <v>45840</v>
      </c>
      <c r="W155" s="1">
        <v>35721</v>
      </c>
      <c r="X155" t="s">
        <v>1833</v>
      </c>
      <c r="Y155" t="s">
        <v>1834</v>
      </c>
      <c r="Z155" t="s">
        <v>2837</v>
      </c>
      <c r="AA155" t="s">
        <v>1419</v>
      </c>
      <c r="AB155" t="s">
        <v>2888</v>
      </c>
    </row>
    <row r="156" spans="1:29" x14ac:dyDescent="0.3">
      <c r="B156">
        <v>45998177304</v>
      </c>
    </row>
    <row r="157" spans="1:29" x14ac:dyDescent="0.3">
      <c r="A157" t="s">
        <v>1405</v>
      </c>
      <c r="B157" t="s">
        <v>2302</v>
      </c>
      <c r="C157" t="s">
        <v>2889</v>
      </c>
      <c r="D157">
        <v>5034989395</v>
      </c>
      <c r="E157">
        <v>36513837</v>
      </c>
      <c r="F157">
        <v>1004014580</v>
      </c>
      <c r="G157" s="1">
        <v>45397</v>
      </c>
      <c r="H157" t="s">
        <v>1360</v>
      </c>
      <c r="I157" t="s">
        <v>1349</v>
      </c>
      <c r="J157" t="s">
        <v>1361</v>
      </c>
      <c r="K157" t="s">
        <v>2308</v>
      </c>
      <c r="L157" t="s">
        <v>2305</v>
      </c>
      <c r="M157" t="s">
        <v>1409</v>
      </c>
      <c r="N157" t="s">
        <v>1410</v>
      </c>
      <c r="O157" t="s">
        <v>1411</v>
      </c>
      <c r="P157" t="s">
        <v>1411</v>
      </c>
      <c r="Q157" t="s">
        <v>1412</v>
      </c>
      <c r="S157" s="1">
        <v>45856</v>
      </c>
      <c r="V157" s="1">
        <v>45854</v>
      </c>
      <c r="W157" s="1">
        <v>32784</v>
      </c>
      <c r="X157" t="s">
        <v>2890</v>
      </c>
      <c r="Z157" t="s">
        <v>2891</v>
      </c>
      <c r="AA157" t="s">
        <v>1419</v>
      </c>
      <c r="AB157" t="s">
        <v>2892</v>
      </c>
      <c r="AC157">
        <v>89999859828</v>
      </c>
    </row>
    <row r="158" spans="1:29" x14ac:dyDescent="0.3">
      <c r="A158" t="s">
        <v>1405</v>
      </c>
      <c r="B158" t="s">
        <v>2302</v>
      </c>
      <c r="C158" t="s">
        <v>2893</v>
      </c>
      <c r="D158">
        <v>1003524052</v>
      </c>
      <c r="E158">
        <v>8075822398</v>
      </c>
      <c r="F158">
        <v>1004009266</v>
      </c>
      <c r="G158" s="1">
        <v>44615</v>
      </c>
      <c r="H158" t="s">
        <v>1360</v>
      </c>
      <c r="I158" t="s">
        <v>1374</v>
      </c>
      <c r="J158" t="s">
        <v>1361</v>
      </c>
      <c r="K158" t="s">
        <v>2308</v>
      </c>
      <c r="L158" t="s">
        <v>2305</v>
      </c>
      <c r="M158" t="s">
        <v>1409</v>
      </c>
      <c r="N158" t="s">
        <v>1410</v>
      </c>
      <c r="O158" t="s">
        <v>1423</v>
      </c>
      <c r="P158" t="s">
        <v>1423</v>
      </c>
      <c r="Q158" t="s">
        <v>1412</v>
      </c>
      <c r="S158" s="1">
        <v>46043</v>
      </c>
      <c r="W158" s="1">
        <v>31724</v>
      </c>
      <c r="X158" t="s">
        <v>2894</v>
      </c>
      <c r="Y158" t="s">
        <v>2895</v>
      </c>
      <c r="Z158" t="s">
        <v>2652</v>
      </c>
      <c r="AA158" t="s">
        <v>1419</v>
      </c>
      <c r="AB158" t="s">
        <v>2896</v>
      </c>
      <c r="AC158">
        <v>49991488694</v>
      </c>
    </row>
    <row r="159" spans="1:29" x14ac:dyDescent="0.3">
      <c r="A159" t="s">
        <v>1405</v>
      </c>
      <c r="B159" t="s">
        <v>2302</v>
      </c>
      <c r="C159" t="s">
        <v>2897</v>
      </c>
      <c r="D159">
        <v>7177112936</v>
      </c>
      <c r="E159">
        <v>5377965</v>
      </c>
      <c r="F159">
        <v>1004017094</v>
      </c>
      <c r="G159" s="1">
        <v>45733</v>
      </c>
      <c r="H159" t="s">
        <v>1360</v>
      </c>
      <c r="I159" t="s">
        <v>1374</v>
      </c>
      <c r="J159" t="s">
        <v>1361</v>
      </c>
      <c r="K159" t="s">
        <v>2308</v>
      </c>
      <c r="L159" t="s">
        <v>2305</v>
      </c>
      <c r="M159" t="s">
        <v>1447</v>
      </c>
      <c r="N159" t="s">
        <v>1448</v>
      </c>
      <c r="O159" t="s">
        <v>1423</v>
      </c>
      <c r="P159" t="s">
        <v>1423</v>
      </c>
      <c r="Q159" t="s">
        <v>1412</v>
      </c>
      <c r="S159" s="1">
        <v>46043</v>
      </c>
      <c r="W159" s="1">
        <v>32841</v>
      </c>
      <c r="X159" t="s">
        <v>1563</v>
      </c>
      <c r="Y159" t="s">
        <v>1564</v>
      </c>
      <c r="Z159" t="s">
        <v>2610</v>
      </c>
      <c r="AA159" t="s">
        <v>1415</v>
      </c>
      <c r="AB159" t="s">
        <v>2898</v>
      </c>
      <c r="AC159">
        <v>4799535454</v>
      </c>
    </row>
    <row r="160" spans="1:29" x14ac:dyDescent="0.3">
      <c r="A160" t="s">
        <v>1405</v>
      </c>
      <c r="B160" t="s">
        <v>2302</v>
      </c>
      <c r="C160" t="s">
        <v>2899</v>
      </c>
      <c r="D160">
        <v>1185516980</v>
      </c>
      <c r="E160">
        <v>5821704</v>
      </c>
      <c r="F160">
        <v>1004012556</v>
      </c>
      <c r="G160" s="1">
        <v>45145</v>
      </c>
      <c r="H160" t="s">
        <v>1360</v>
      </c>
      <c r="I160" t="s">
        <v>1374</v>
      </c>
      <c r="J160" t="s">
        <v>2348</v>
      </c>
      <c r="K160" t="s">
        <v>2308</v>
      </c>
      <c r="L160" t="s">
        <v>2305</v>
      </c>
      <c r="M160" t="s">
        <v>1409</v>
      </c>
      <c r="N160" t="s">
        <v>1410</v>
      </c>
      <c r="O160" t="s">
        <v>1423</v>
      </c>
      <c r="P160" t="s">
        <v>1423</v>
      </c>
      <c r="Q160" t="s">
        <v>1412</v>
      </c>
      <c r="S160" s="1">
        <v>46043</v>
      </c>
      <c r="W160" s="1">
        <v>35751</v>
      </c>
      <c r="X160" t="s">
        <v>1676</v>
      </c>
      <c r="Y160" t="s">
        <v>2900</v>
      </c>
      <c r="Z160" t="s">
        <v>2857</v>
      </c>
      <c r="AA160" t="s">
        <v>1415</v>
      </c>
      <c r="AB160" t="s">
        <v>2901</v>
      </c>
      <c r="AC160">
        <v>49999382250</v>
      </c>
    </row>
    <row r="161" spans="1:29" x14ac:dyDescent="0.3">
      <c r="A161" t="s">
        <v>1405</v>
      </c>
      <c r="B161" t="s">
        <v>2302</v>
      </c>
      <c r="C161" t="s">
        <v>2902</v>
      </c>
      <c r="D161">
        <v>3728770280</v>
      </c>
      <c r="E161">
        <v>29603005</v>
      </c>
      <c r="F161">
        <v>1004011259</v>
      </c>
      <c r="G161" s="1">
        <v>44984</v>
      </c>
      <c r="H161" t="s">
        <v>1360</v>
      </c>
      <c r="I161" t="s">
        <v>1374</v>
      </c>
      <c r="J161" t="s">
        <v>1361</v>
      </c>
      <c r="K161" t="s">
        <v>2308</v>
      </c>
      <c r="L161" t="s">
        <v>2305</v>
      </c>
      <c r="M161" t="s">
        <v>1409</v>
      </c>
      <c r="N161" t="s">
        <v>1410</v>
      </c>
      <c r="O161" t="s">
        <v>1411</v>
      </c>
      <c r="P161" t="s">
        <v>1417</v>
      </c>
      <c r="Q161" t="s">
        <v>1412</v>
      </c>
      <c r="S161" s="1">
        <v>46043</v>
      </c>
      <c r="W161" s="1">
        <v>35923</v>
      </c>
      <c r="X161" t="s">
        <v>1825</v>
      </c>
      <c r="Y161" t="s">
        <v>1920</v>
      </c>
      <c r="Z161" t="s">
        <v>2903</v>
      </c>
      <c r="AA161" t="s">
        <v>1415</v>
      </c>
      <c r="AB161" t="s">
        <v>2904</v>
      </c>
      <c r="AC161">
        <v>92981435087</v>
      </c>
    </row>
    <row r="162" spans="1:29" x14ac:dyDescent="0.3">
      <c r="A162" t="s">
        <v>1405</v>
      </c>
      <c r="B162" t="s">
        <v>2302</v>
      </c>
      <c r="C162" t="s">
        <v>2905</v>
      </c>
      <c r="D162">
        <v>77590155500</v>
      </c>
      <c r="E162">
        <v>763028304</v>
      </c>
      <c r="F162">
        <v>1004012878</v>
      </c>
      <c r="G162" s="1">
        <v>45181</v>
      </c>
      <c r="H162" t="s">
        <v>1360</v>
      </c>
      <c r="I162" t="s">
        <v>1374</v>
      </c>
      <c r="J162" t="s">
        <v>1361</v>
      </c>
      <c r="K162" t="s">
        <v>2308</v>
      </c>
      <c r="L162" t="s">
        <v>2305</v>
      </c>
      <c r="M162" t="s">
        <v>1409</v>
      </c>
      <c r="N162" t="s">
        <v>1410</v>
      </c>
      <c r="O162" t="s">
        <v>1411</v>
      </c>
      <c r="P162" t="s">
        <v>1411</v>
      </c>
      <c r="Q162" t="s">
        <v>1412</v>
      </c>
      <c r="S162" s="1">
        <v>46043</v>
      </c>
      <c r="W162" s="1">
        <v>31575</v>
      </c>
      <c r="X162" t="s">
        <v>1430</v>
      </c>
      <c r="Y162" t="s">
        <v>2906</v>
      </c>
      <c r="Z162" t="s">
        <v>2907</v>
      </c>
      <c r="AA162" t="s">
        <v>1415</v>
      </c>
      <c r="AB162" t="s">
        <v>2908</v>
      </c>
      <c r="AC162">
        <v>71996725700</v>
      </c>
    </row>
    <row r="163" spans="1:29" x14ac:dyDescent="0.3">
      <c r="A163" t="s">
        <v>1405</v>
      </c>
      <c r="B163" t="s">
        <v>2302</v>
      </c>
      <c r="C163" t="s">
        <v>2909</v>
      </c>
      <c r="D163">
        <v>34209415871</v>
      </c>
      <c r="E163">
        <v>403848362</v>
      </c>
      <c r="F163">
        <v>1004010019</v>
      </c>
      <c r="G163" s="1">
        <v>44700</v>
      </c>
      <c r="H163" t="s">
        <v>1360</v>
      </c>
      <c r="I163" t="s">
        <v>1374</v>
      </c>
      <c r="J163" t="s">
        <v>1361</v>
      </c>
      <c r="K163" t="s">
        <v>2308</v>
      </c>
      <c r="L163" t="s">
        <v>2305</v>
      </c>
      <c r="M163" t="s">
        <v>1421</v>
      </c>
      <c r="N163" t="s">
        <v>1422</v>
      </c>
      <c r="O163" t="s">
        <v>1411</v>
      </c>
      <c r="P163" t="s">
        <v>1411</v>
      </c>
      <c r="Q163" t="s">
        <v>1412</v>
      </c>
      <c r="S163" s="1">
        <v>46043</v>
      </c>
      <c r="W163" s="1">
        <v>31244</v>
      </c>
      <c r="X163" t="s">
        <v>1717</v>
      </c>
      <c r="Y163" t="s">
        <v>1718</v>
      </c>
      <c r="Z163" t="s">
        <v>2910</v>
      </c>
      <c r="AA163" t="s">
        <v>1415</v>
      </c>
      <c r="AB163" t="s">
        <v>2911</v>
      </c>
      <c r="AC163">
        <v>13988139801</v>
      </c>
    </row>
    <row r="164" spans="1:29" x14ac:dyDescent="0.3">
      <c r="A164" t="s">
        <v>1405</v>
      </c>
      <c r="B164" t="s">
        <v>2302</v>
      </c>
      <c r="C164" t="s">
        <v>2912</v>
      </c>
      <c r="D164">
        <v>4449778308</v>
      </c>
      <c r="E164">
        <v>2007009205711</v>
      </c>
      <c r="F164">
        <v>1004012219</v>
      </c>
      <c r="G164" s="1">
        <v>45082</v>
      </c>
      <c r="H164" t="s">
        <v>1360</v>
      </c>
      <c r="I164" t="s">
        <v>1374</v>
      </c>
      <c r="J164" t="s">
        <v>2348</v>
      </c>
      <c r="K164" t="s">
        <v>2308</v>
      </c>
      <c r="L164" t="s">
        <v>2305</v>
      </c>
      <c r="M164" t="s">
        <v>1409</v>
      </c>
      <c r="N164" t="s">
        <v>1410</v>
      </c>
      <c r="O164" t="s">
        <v>1411</v>
      </c>
      <c r="P164" t="s">
        <v>1411</v>
      </c>
      <c r="Q164" t="s">
        <v>1412</v>
      </c>
      <c r="S164" s="1">
        <v>46043</v>
      </c>
      <c r="W164" s="1">
        <v>33407</v>
      </c>
      <c r="X164" t="s">
        <v>2790</v>
      </c>
      <c r="Y164" t="s">
        <v>2913</v>
      </c>
      <c r="Z164" t="s">
        <v>2791</v>
      </c>
      <c r="AA164" t="s">
        <v>1415</v>
      </c>
      <c r="AB164" t="s">
        <v>2914</v>
      </c>
      <c r="AC164">
        <v>85985138512</v>
      </c>
    </row>
    <row r="165" spans="1:29" x14ac:dyDescent="0.3">
      <c r="A165" t="s">
        <v>1405</v>
      </c>
      <c r="B165" t="s">
        <v>2302</v>
      </c>
      <c r="C165" t="s">
        <v>2915</v>
      </c>
      <c r="D165">
        <v>94067740387</v>
      </c>
      <c r="E165">
        <v>953042987</v>
      </c>
      <c r="F165">
        <v>1004010141</v>
      </c>
      <c r="G165" s="1">
        <v>44718</v>
      </c>
      <c r="H165" t="s">
        <v>1360</v>
      </c>
      <c r="I165" t="s">
        <v>1374</v>
      </c>
      <c r="J165" t="s">
        <v>1361</v>
      </c>
      <c r="K165" t="s">
        <v>2308</v>
      </c>
      <c r="L165" t="s">
        <v>2305</v>
      </c>
      <c r="M165" t="s">
        <v>1447</v>
      </c>
      <c r="N165" t="s">
        <v>1448</v>
      </c>
      <c r="O165" t="s">
        <v>1411</v>
      </c>
      <c r="P165" t="s">
        <v>1411</v>
      </c>
      <c r="Q165" t="s">
        <v>1412</v>
      </c>
      <c r="S165" s="1">
        <v>46069</v>
      </c>
      <c r="W165" s="1">
        <v>30750</v>
      </c>
      <c r="X165" t="s">
        <v>2916</v>
      </c>
      <c r="Z165" t="s">
        <v>2917</v>
      </c>
      <c r="AA165" t="s">
        <v>1415</v>
      </c>
      <c r="AB165" t="s">
        <v>134</v>
      </c>
      <c r="AC165">
        <v>99984391865</v>
      </c>
    </row>
    <row r="166" spans="1:29" x14ac:dyDescent="0.3">
      <c r="A166" t="s">
        <v>1405</v>
      </c>
      <c r="B166" t="s">
        <v>2302</v>
      </c>
      <c r="C166" t="s">
        <v>2918</v>
      </c>
      <c r="D166">
        <v>9218029940</v>
      </c>
      <c r="E166">
        <v>7107936051</v>
      </c>
      <c r="F166">
        <v>1004009850</v>
      </c>
      <c r="G166" s="1">
        <v>44679</v>
      </c>
      <c r="H166" t="s">
        <v>1360</v>
      </c>
      <c r="I166" t="s">
        <v>1374</v>
      </c>
      <c r="J166" t="s">
        <v>1361</v>
      </c>
      <c r="K166" t="s">
        <v>2308</v>
      </c>
      <c r="L166" t="s">
        <v>2305</v>
      </c>
      <c r="M166" t="s">
        <v>1409</v>
      </c>
      <c r="N166" t="s">
        <v>1410</v>
      </c>
      <c r="O166" t="s">
        <v>1423</v>
      </c>
      <c r="P166" t="s">
        <v>1423</v>
      </c>
      <c r="Q166" t="s">
        <v>1593</v>
      </c>
      <c r="S166" s="1">
        <v>46043</v>
      </c>
      <c r="W166" s="1">
        <v>34592</v>
      </c>
      <c r="X166" t="s">
        <v>1485</v>
      </c>
      <c r="Y166" t="s">
        <v>1756</v>
      </c>
      <c r="Z166" t="s">
        <v>2378</v>
      </c>
      <c r="AA166" t="s">
        <v>1415</v>
      </c>
      <c r="AB166" t="s">
        <v>2919</v>
      </c>
      <c r="AC166">
        <v>51999019260</v>
      </c>
    </row>
    <row r="167" spans="1:29" x14ac:dyDescent="0.3">
      <c r="A167" t="s">
        <v>1405</v>
      </c>
      <c r="B167" t="s">
        <v>2302</v>
      </c>
      <c r="C167" t="s">
        <v>2920</v>
      </c>
      <c r="D167">
        <v>39103659810</v>
      </c>
      <c r="E167">
        <v>48617301</v>
      </c>
      <c r="F167">
        <v>1004014203</v>
      </c>
      <c r="G167" s="1">
        <v>45369</v>
      </c>
      <c r="H167" t="s">
        <v>1360</v>
      </c>
      <c r="I167" t="s">
        <v>1374</v>
      </c>
      <c r="J167" t="s">
        <v>1361</v>
      </c>
      <c r="K167" t="s">
        <v>2308</v>
      </c>
      <c r="L167" t="s">
        <v>2305</v>
      </c>
      <c r="M167" t="s">
        <v>1421</v>
      </c>
      <c r="N167" t="s">
        <v>1422</v>
      </c>
      <c r="O167" t="s">
        <v>1411</v>
      </c>
      <c r="P167" t="s">
        <v>1411</v>
      </c>
      <c r="Q167" t="s">
        <v>1412</v>
      </c>
      <c r="S167" s="1">
        <v>46043</v>
      </c>
      <c r="W167" s="1">
        <v>33025</v>
      </c>
      <c r="X167" t="s">
        <v>1717</v>
      </c>
      <c r="Y167" t="s">
        <v>1901</v>
      </c>
      <c r="Z167" t="s">
        <v>2910</v>
      </c>
      <c r="AA167" t="s">
        <v>1415</v>
      </c>
      <c r="AB167" t="s">
        <v>2921</v>
      </c>
      <c r="AC167">
        <v>13991524286</v>
      </c>
    </row>
    <row r="168" spans="1:29" x14ac:dyDescent="0.3">
      <c r="A168" t="s">
        <v>1405</v>
      </c>
      <c r="B168" t="s">
        <v>2302</v>
      </c>
      <c r="C168" t="s">
        <v>2922</v>
      </c>
      <c r="D168">
        <v>2541116373</v>
      </c>
      <c r="E168">
        <v>2004009148551</v>
      </c>
      <c r="F168">
        <v>1004022217</v>
      </c>
      <c r="G168" s="1">
        <v>46113</v>
      </c>
      <c r="H168" t="s">
        <v>1360</v>
      </c>
      <c r="I168" t="s">
        <v>1374</v>
      </c>
      <c r="J168" t="s">
        <v>2308</v>
      </c>
      <c r="K168" t="s">
        <v>2313</v>
      </c>
      <c r="L168" t="s">
        <v>2305</v>
      </c>
      <c r="M168" t="s">
        <v>1409</v>
      </c>
      <c r="N168" t="s">
        <v>1410</v>
      </c>
      <c r="O168" t="s">
        <v>1423</v>
      </c>
      <c r="P168" t="s">
        <v>1423</v>
      </c>
      <c r="Q168" t="s">
        <v>1412</v>
      </c>
      <c r="S168" s="1">
        <v>46118</v>
      </c>
      <c r="W168" s="1">
        <v>33415</v>
      </c>
      <c r="X168" t="s">
        <v>2790</v>
      </c>
      <c r="Y168" t="s">
        <v>2913</v>
      </c>
      <c r="Z168" t="s">
        <v>2923</v>
      </c>
      <c r="AA168" t="s">
        <v>1419</v>
      </c>
      <c r="AB168" t="s">
        <v>2924</v>
      </c>
      <c r="AC168">
        <v>88981908090</v>
      </c>
    </row>
    <row r="169" spans="1:29" x14ac:dyDescent="0.3">
      <c r="A169" t="s">
        <v>1405</v>
      </c>
      <c r="B169" t="s">
        <v>2302</v>
      </c>
      <c r="C169" t="s">
        <v>2925</v>
      </c>
      <c r="D169">
        <v>15492327704</v>
      </c>
      <c r="E169">
        <v>246618060</v>
      </c>
      <c r="F169">
        <v>1004012547</v>
      </c>
      <c r="G169" s="1">
        <v>45146</v>
      </c>
      <c r="H169" t="s">
        <v>1360</v>
      </c>
      <c r="I169" t="s">
        <v>1374</v>
      </c>
      <c r="J169" t="s">
        <v>2348</v>
      </c>
      <c r="K169" t="s">
        <v>2308</v>
      </c>
      <c r="L169" t="s">
        <v>2305</v>
      </c>
      <c r="M169" t="s">
        <v>1409</v>
      </c>
      <c r="N169" t="s">
        <v>1410</v>
      </c>
      <c r="O169" t="s">
        <v>1411</v>
      </c>
      <c r="P169" t="s">
        <v>1411</v>
      </c>
      <c r="Q169" t="s">
        <v>1412</v>
      </c>
      <c r="S169" s="1">
        <v>46043</v>
      </c>
      <c r="W169" s="1">
        <v>36179</v>
      </c>
      <c r="X169" t="s">
        <v>2227</v>
      </c>
      <c r="Y169" t="s">
        <v>2171</v>
      </c>
      <c r="Z169" t="s">
        <v>2926</v>
      </c>
      <c r="AA169" t="s">
        <v>1419</v>
      </c>
      <c r="AB169" t="s">
        <v>2927</v>
      </c>
      <c r="AC169">
        <v>21975858086</v>
      </c>
    </row>
    <row r="170" spans="1:29" x14ac:dyDescent="0.3">
      <c r="A170" t="s">
        <v>1405</v>
      </c>
      <c r="B170" t="s">
        <v>2302</v>
      </c>
      <c r="C170" t="s">
        <v>2928</v>
      </c>
      <c r="D170">
        <v>32756606839</v>
      </c>
      <c r="E170" t="s">
        <v>2929</v>
      </c>
      <c r="F170">
        <v>1004014960</v>
      </c>
      <c r="G170" s="1">
        <v>45427</v>
      </c>
      <c r="H170" t="s">
        <v>1360</v>
      </c>
      <c r="I170" t="s">
        <v>1349</v>
      </c>
      <c r="J170" t="s">
        <v>1361</v>
      </c>
      <c r="K170" t="s">
        <v>2308</v>
      </c>
      <c r="L170" t="s">
        <v>2305</v>
      </c>
      <c r="M170" t="s">
        <v>1409</v>
      </c>
      <c r="N170" t="s">
        <v>1410</v>
      </c>
      <c r="O170" t="s">
        <v>1423</v>
      </c>
      <c r="P170" t="s">
        <v>1423</v>
      </c>
      <c r="Q170" t="s">
        <v>1412</v>
      </c>
      <c r="S170" s="1">
        <v>45757</v>
      </c>
      <c r="V170" s="1">
        <v>45748</v>
      </c>
      <c r="W170" s="1">
        <v>31365</v>
      </c>
      <c r="X170" t="s">
        <v>1510</v>
      </c>
      <c r="Z170" t="s">
        <v>2930</v>
      </c>
      <c r="AA170" t="s">
        <v>1419</v>
      </c>
      <c r="AB170" t="s">
        <v>2931</v>
      </c>
      <c r="AC170">
        <v>11997770092</v>
      </c>
    </row>
    <row r="171" spans="1:29" x14ac:dyDescent="0.3">
      <c r="A171" t="s">
        <v>1405</v>
      </c>
      <c r="B171" t="s">
        <v>2302</v>
      </c>
      <c r="C171" t="s">
        <v>2932</v>
      </c>
      <c r="D171">
        <v>6232320905</v>
      </c>
      <c r="E171">
        <v>436233319</v>
      </c>
      <c r="F171">
        <v>1004011607</v>
      </c>
      <c r="G171" s="1">
        <v>45006</v>
      </c>
      <c r="H171" t="s">
        <v>1360</v>
      </c>
      <c r="I171" t="s">
        <v>1349</v>
      </c>
      <c r="J171" t="s">
        <v>2348</v>
      </c>
      <c r="K171" t="s">
        <v>2308</v>
      </c>
      <c r="L171" t="s">
        <v>2305</v>
      </c>
      <c r="M171" t="s">
        <v>1421</v>
      </c>
      <c r="N171" t="s">
        <v>1422</v>
      </c>
      <c r="O171" t="s">
        <v>1423</v>
      </c>
      <c r="P171" t="s">
        <v>1423</v>
      </c>
      <c r="Q171" t="s">
        <v>1412</v>
      </c>
      <c r="R171" t="s">
        <v>2476</v>
      </c>
      <c r="S171" s="1">
        <v>45848</v>
      </c>
      <c r="V171" s="1">
        <v>45845</v>
      </c>
      <c r="W171" s="1">
        <v>32427</v>
      </c>
      <c r="X171" t="s">
        <v>1510</v>
      </c>
      <c r="Z171" t="s">
        <v>2933</v>
      </c>
      <c r="AA171" t="s">
        <v>1419</v>
      </c>
      <c r="AB171" t="s">
        <v>2934</v>
      </c>
      <c r="AC171">
        <v>11963555436</v>
      </c>
    </row>
    <row r="172" spans="1:29" x14ac:dyDescent="0.3">
      <c r="A172" t="s">
        <v>1405</v>
      </c>
      <c r="B172" t="s">
        <v>2302</v>
      </c>
      <c r="C172" t="s">
        <v>2935</v>
      </c>
      <c r="D172">
        <v>7051537970</v>
      </c>
      <c r="E172">
        <v>4321713</v>
      </c>
      <c r="F172">
        <v>42004201398</v>
      </c>
      <c r="G172" s="1">
        <v>42102</v>
      </c>
      <c r="H172" t="s">
        <v>1360</v>
      </c>
      <c r="I172" t="s">
        <v>1374</v>
      </c>
      <c r="J172" t="s">
        <v>2308</v>
      </c>
      <c r="K172" t="s">
        <v>2313</v>
      </c>
      <c r="L172" t="s">
        <v>2305</v>
      </c>
      <c r="M172" t="s">
        <v>1409</v>
      </c>
      <c r="N172" t="s">
        <v>1410</v>
      </c>
      <c r="O172" t="s">
        <v>1423</v>
      </c>
      <c r="P172" t="s">
        <v>1423</v>
      </c>
      <c r="Q172" t="s">
        <v>1593</v>
      </c>
      <c r="S172" s="1">
        <v>46043</v>
      </c>
      <c r="W172" s="1">
        <v>32877</v>
      </c>
      <c r="X172" t="s">
        <v>1676</v>
      </c>
      <c r="Y172" t="s">
        <v>2900</v>
      </c>
      <c r="Z172" t="s">
        <v>2601</v>
      </c>
      <c r="AA172" t="s">
        <v>1419</v>
      </c>
      <c r="AB172" t="s">
        <v>2936</v>
      </c>
      <c r="AC172">
        <v>49995772580</v>
      </c>
    </row>
    <row r="173" spans="1:29" x14ac:dyDescent="0.3">
      <c r="A173" t="s">
        <v>1405</v>
      </c>
      <c r="B173" t="s">
        <v>2302</v>
      </c>
      <c r="C173" t="s">
        <v>2937</v>
      </c>
      <c r="D173">
        <v>2261914270</v>
      </c>
      <c r="E173">
        <v>5814434</v>
      </c>
      <c r="F173">
        <v>1004017564</v>
      </c>
      <c r="G173" s="1">
        <v>45756</v>
      </c>
      <c r="H173" t="s">
        <v>1360</v>
      </c>
      <c r="I173" t="s">
        <v>1349</v>
      </c>
      <c r="J173" t="s">
        <v>1361</v>
      </c>
      <c r="K173" t="s">
        <v>2308</v>
      </c>
      <c r="L173" t="s">
        <v>2305</v>
      </c>
      <c r="M173" t="s">
        <v>1409</v>
      </c>
      <c r="N173" t="s">
        <v>1410</v>
      </c>
      <c r="O173" t="s">
        <v>1462</v>
      </c>
      <c r="P173" t="s">
        <v>1462</v>
      </c>
      <c r="Q173" t="s">
        <v>1412</v>
      </c>
      <c r="S173" s="1">
        <v>45783</v>
      </c>
      <c r="V173" s="1">
        <v>45779</v>
      </c>
      <c r="W173" s="1">
        <v>34192</v>
      </c>
      <c r="X173" t="s">
        <v>1492</v>
      </c>
      <c r="Z173" t="s">
        <v>2439</v>
      </c>
      <c r="AA173" t="s">
        <v>1419</v>
      </c>
      <c r="AB173" t="s">
        <v>2938</v>
      </c>
      <c r="AC173">
        <v>91983302211</v>
      </c>
    </row>
    <row r="174" spans="1:29" x14ac:dyDescent="0.3">
      <c r="A174" t="s">
        <v>1405</v>
      </c>
      <c r="B174" t="s">
        <v>2302</v>
      </c>
      <c r="C174" t="s">
        <v>2939</v>
      </c>
      <c r="D174">
        <v>81463952015</v>
      </c>
      <c r="E174">
        <v>6078562326</v>
      </c>
      <c r="F174">
        <v>1004009239</v>
      </c>
      <c r="G174" s="1">
        <v>44615</v>
      </c>
      <c r="H174" t="s">
        <v>1360</v>
      </c>
      <c r="I174" t="s">
        <v>1349</v>
      </c>
      <c r="J174" t="s">
        <v>2348</v>
      </c>
      <c r="K174" t="s">
        <v>2308</v>
      </c>
      <c r="L174" t="s">
        <v>2305</v>
      </c>
      <c r="M174" t="s">
        <v>1409</v>
      </c>
      <c r="N174" t="s">
        <v>1422</v>
      </c>
      <c r="O174" t="s">
        <v>1423</v>
      </c>
      <c r="P174" t="s">
        <v>1423</v>
      </c>
      <c r="Q174" t="s">
        <v>1412</v>
      </c>
      <c r="S174" s="1">
        <v>45855</v>
      </c>
      <c r="V174" s="1">
        <v>45854</v>
      </c>
      <c r="W174" s="1">
        <v>30200</v>
      </c>
      <c r="X174" t="s">
        <v>2940</v>
      </c>
      <c r="Y174" t="s">
        <v>2941</v>
      </c>
      <c r="Z174" t="s">
        <v>2942</v>
      </c>
      <c r="AA174" t="s">
        <v>1419</v>
      </c>
      <c r="AB174" t="s">
        <v>2943</v>
      </c>
      <c r="AC174">
        <v>51999523024</v>
      </c>
    </row>
    <row r="175" spans="1:29" x14ac:dyDescent="0.3">
      <c r="A175" t="s">
        <v>1405</v>
      </c>
      <c r="B175" t="s">
        <v>2302</v>
      </c>
      <c r="C175" t="s">
        <v>2944</v>
      </c>
      <c r="D175">
        <v>61051229340</v>
      </c>
      <c r="E175" t="s">
        <v>2945</v>
      </c>
      <c r="F175">
        <v>1004016780</v>
      </c>
      <c r="G175" s="1">
        <v>45705</v>
      </c>
      <c r="H175" t="s">
        <v>1360</v>
      </c>
      <c r="I175" t="s">
        <v>1374</v>
      </c>
      <c r="J175" t="s">
        <v>1361</v>
      </c>
      <c r="K175" t="s">
        <v>2308</v>
      </c>
      <c r="L175" t="s">
        <v>2305</v>
      </c>
      <c r="M175" t="s">
        <v>1409</v>
      </c>
      <c r="N175" t="s">
        <v>1410</v>
      </c>
      <c r="O175" t="s">
        <v>1411</v>
      </c>
      <c r="P175" t="s">
        <v>1411</v>
      </c>
      <c r="Q175" t="s">
        <v>1412</v>
      </c>
      <c r="S175" s="1">
        <v>46069</v>
      </c>
      <c r="W175" s="1">
        <v>35256</v>
      </c>
      <c r="X175" t="s">
        <v>2946</v>
      </c>
      <c r="Z175" t="s">
        <v>2947</v>
      </c>
      <c r="AA175" t="s">
        <v>1419</v>
      </c>
      <c r="AB175" t="s">
        <v>2948</v>
      </c>
      <c r="AC175">
        <v>99984211027</v>
      </c>
    </row>
    <row r="176" spans="1:29" x14ac:dyDescent="0.3">
      <c r="A176" t="s">
        <v>1405</v>
      </c>
      <c r="B176" t="s">
        <v>2302</v>
      </c>
      <c r="C176" t="s">
        <v>2949</v>
      </c>
      <c r="D176">
        <v>8087995929</v>
      </c>
      <c r="E176">
        <v>4169665</v>
      </c>
      <c r="F176">
        <v>1004006391</v>
      </c>
      <c r="G176" s="1">
        <v>43971</v>
      </c>
      <c r="H176" t="s">
        <v>1360</v>
      </c>
      <c r="I176" t="s">
        <v>1349</v>
      </c>
      <c r="J176" t="s">
        <v>2308</v>
      </c>
      <c r="K176" t="s">
        <v>2313</v>
      </c>
      <c r="L176" t="s">
        <v>2305</v>
      </c>
      <c r="M176" t="s">
        <v>1447</v>
      </c>
      <c r="N176" t="s">
        <v>1448</v>
      </c>
      <c r="O176" t="s">
        <v>1423</v>
      </c>
      <c r="P176" t="s">
        <v>1423</v>
      </c>
      <c r="Q176" t="s">
        <v>1412</v>
      </c>
      <c r="S176" s="1">
        <v>45736</v>
      </c>
      <c r="V176" s="1">
        <v>45717</v>
      </c>
      <c r="W176" s="1">
        <v>32670</v>
      </c>
      <c r="X176" t="s">
        <v>2950</v>
      </c>
      <c r="Z176" t="s">
        <v>2951</v>
      </c>
      <c r="AA176" t="s">
        <v>1419</v>
      </c>
      <c r="AB176" t="s">
        <v>2952</v>
      </c>
      <c r="AC176">
        <v>47999514587</v>
      </c>
    </row>
    <row r="177" spans="1:29" x14ac:dyDescent="0.3">
      <c r="A177" t="s">
        <v>1405</v>
      </c>
      <c r="B177" t="s">
        <v>2302</v>
      </c>
      <c r="C177" t="s">
        <v>2953</v>
      </c>
      <c r="D177">
        <v>2923027892</v>
      </c>
      <c r="E177">
        <v>125752258</v>
      </c>
      <c r="F177">
        <v>1004011593</v>
      </c>
      <c r="G177" s="1">
        <v>44999</v>
      </c>
      <c r="H177" t="s">
        <v>1360</v>
      </c>
      <c r="I177" t="s">
        <v>1349</v>
      </c>
      <c r="J177" t="s">
        <v>2348</v>
      </c>
      <c r="K177" t="s">
        <v>2308</v>
      </c>
      <c r="L177" t="s">
        <v>2305</v>
      </c>
      <c r="M177" t="s">
        <v>1447</v>
      </c>
      <c r="N177" t="s">
        <v>1448</v>
      </c>
      <c r="O177" t="s">
        <v>1423</v>
      </c>
      <c r="P177" t="s">
        <v>1423</v>
      </c>
      <c r="Q177" t="s">
        <v>1412</v>
      </c>
      <c r="S177" s="1">
        <v>45793</v>
      </c>
      <c r="V177" s="1">
        <v>45778</v>
      </c>
      <c r="W177" s="1">
        <v>24743</v>
      </c>
      <c r="X177" t="s">
        <v>1510</v>
      </c>
      <c r="Y177" t="s">
        <v>2336</v>
      </c>
      <c r="Z177" t="s">
        <v>2325</v>
      </c>
      <c r="AA177" t="s">
        <v>1415</v>
      </c>
      <c r="AB177" t="s">
        <v>2954</v>
      </c>
      <c r="AC177">
        <v>38984044343</v>
      </c>
    </row>
    <row r="178" spans="1:29" x14ac:dyDescent="0.3">
      <c r="A178" t="s">
        <v>1405</v>
      </c>
      <c r="B178" t="s">
        <v>2302</v>
      </c>
      <c r="C178" t="s">
        <v>2955</v>
      </c>
      <c r="D178">
        <v>6672215905</v>
      </c>
      <c r="E178">
        <v>5088952</v>
      </c>
      <c r="F178">
        <v>1004014071</v>
      </c>
      <c r="G178" s="1">
        <v>45357</v>
      </c>
      <c r="H178" t="s">
        <v>1360</v>
      </c>
      <c r="I178" t="s">
        <v>1349</v>
      </c>
      <c r="J178" t="s">
        <v>1361</v>
      </c>
      <c r="K178" t="s">
        <v>2308</v>
      </c>
      <c r="L178" t="s">
        <v>2305</v>
      </c>
      <c r="M178" t="s">
        <v>1409</v>
      </c>
      <c r="N178" t="s">
        <v>1410</v>
      </c>
      <c r="O178" t="s">
        <v>1423</v>
      </c>
      <c r="P178" t="s">
        <v>1423</v>
      </c>
      <c r="Q178" t="s">
        <v>1412</v>
      </c>
      <c r="S178" s="1">
        <v>45946</v>
      </c>
      <c r="V178" s="1">
        <v>45944</v>
      </c>
      <c r="W178" s="1">
        <v>32494</v>
      </c>
      <c r="X178" t="s">
        <v>1474</v>
      </c>
      <c r="Z178" t="s">
        <v>2956</v>
      </c>
      <c r="AA178" t="s">
        <v>1419</v>
      </c>
      <c r="AB178" t="s">
        <v>2957</v>
      </c>
      <c r="AC178">
        <v>48988476500</v>
      </c>
    </row>
    <row r="179" spans="1:29" x14ac:dyDescent="0.3">
      <c r="A179" t="s">
        <v>1405</v>
      </c>
      <c r="B179" t="s">
        <v>2302</v>
      </c>
      <c r="C179" t="s">
        <v>2958</v>
      </c>
      <c r="D179">
        <v>4548530177</v>
      </c>
      <c r="E179" t="s">
        <v>2959</v>
      </c>
      <c r="F179">
        <v>1004014380</v>
      </c>
      <c r="G179" s="1">
        <v>45371</v>
      </c>
      <c r="H179" t="s">
        <v>1360</v>
      </c>
      <c r="I179" t="s">
        <v>1374</v>
      </c>
      <c r="J179" t="s">
        <v>2348</v>
      </c>
      <c r="K179" t="s">
        <v>2308</v>
      </c>
      <c r="L179" t="s">
        <v>2305</v>
      </c>
      <c r="M179" t="s">
        <v>1646</v>
      </c>
      <c r="N179" t="s">
        <v>1448</v>
      </c>
      <c r="O179" t="s">
        <v>1423</v>
      </c>
      <c r="P179" t="s">
        <v>1423</v>
      </c>
      <c r="Q179" t="s">
        <v>1412</v>
      </c>
      <c r="S179" s="1">
        <v>46043</v>
      </c>
      <c r="W179" s="1">
        <v>33900</v>
      </c>
      <c r="X179" t="s">
        <v>2960</v>
      </c>
      <c r="Y179" t="s">
        <v>2961</v>
      </c>
      <c r="Z179" t="s">
        <v>2962</v>
      </c>
      <c r="AA179" t="s">
        <v>1419</v>
      </c>
      <c r="AB179" t="s">
        <v>2963</v>
      </c>
      <c r="AC179">
        <v>66992287129</v>
      </c>
    </row>
    <row r="180" spans="1:29" x14ac:dyDescent="0.3">
      <c r="A180" t="s">
        <v>1405</v>
      </c>
      <c r="B180" t="s">
        <v>2302</v>
      </c>
      <c r="C180" t="s">
        <v>2964</v>
      </c>
      <c r="D180">
        <v>452693357</v>
      </c>
      <c r="E180">
        <v>20076486880</v>
      </c>
      <c r="F180">
        <v>1004009358</v>
      </c>
      <c r="G180" s="1">
        <v>44620</v>
      </c>
      <c r="H180" t="s">
        <v>1360</v>
      </c>
      <c r="I180" t="s">
        <v>1349</v>
      </c>
      <c r="J180" t="s">
        <v>1361</v>
      </c>
      <c r="K180" t="s">
        <v>2308</v>
      </c>
      <c r="L180" t="s">
        <v>2305</v>
      </c>
      <c r="M180" t="s">
        <v>1409</v>
      </c>
      <c r="N180" t="s">
        <v>1410</v>
      </c>
      <c r="O180" t="s">
        <v>1411</v>
      </c>
      <c r="P180" t="s">
        <v>1411</v>
      </c>
      <c r="Q180" t="s">
        <v>1412</v>
      </c>
      <c r="S180" s="1">
        <v>46073</v>
      </c>
      <c r="V180" s="1">
        <v>46055</v>
      </c>
      <c r="W180" s="1">
        <v>30325</v>
      </c>
      <c r="X180" t="s">
        <v>2965</v>
      </c>
      <c r="Y180" t="s">
        <v>2966</v>
      </c>
      <c r="Z180" t="s">
        <v>2967</v>
      </c>
      <c r="AA180" t="s">
        <v>1419</v>
      </c>
      <c r="AB180" t="s">
        <v>2968</v>
      </c>
      <c r="AC180">
        <v>8898431341</v>
      </c>
    </row>
    <row r="181" spans="1:29" x14ac:dyDescent="0.3">
      <c r="A181" t="s">
        <v>1405</v>
      </c>
      <c r="B181" t="s">
        <v>2302</v>
      </c>
      <c r="C181" t="s">
        <v>2969</v>
      </c>
      <c r="D181">
        <v>16233674840</v>
      </c>
      <c r="E181" t="s">
        <v>2970</v>
      </c>
      <c r="F181">
        <v>1004000677</v>
      </c>
      <c r="G181" s="1">
        <v>42962</v>
      </c>
      <c r="H181" t="s">
        <v>1360</v>
      </c>
      <c r="I181" t="s">
        <v>1374</v>
      </c>
      <c r="J181" t="s">
        <v>2308</v>
      </c>
      <c r="K181" t="s">
        <v>2313</v>
      </c>
      <c r="L181" t="s">
        <v>2305</v>
      </c>
      <c r="M181" t="s">
        <v>1409</v>
      </c>
      <c r="N181" t="s">
        <v>1410</v>
      </c>
      <c r="O181" t="s">
        <v>1423</v>
      </c>
      <c r="P181" t="s">
        <v>1423</v>
      </c>
      <c r="Q181" t="s">
        <v>1412</v>
      </c>
      <c r="S181" s="1">
        <v>46043</v>
      </c>
      <c r="W181" s="1">
        <v>26126</v>
      </c>
      <c r="X181" t="s">
        <v>1900</v>
      </c>
      <c r="Y181" t="s">
        <v>1901</v>
      </c>
      <c r="Z181" t="s">
        <v>2857</v>
      </c>
      <c r="AA181" t="s">
        <v>1419</v>
      </c>
      <c r="AB181" t="s">
        <v>2971</v>
      </c>
      <c r="AC181">
        <v>48996822728</v>
      </c>
    </row>
    <row r="182" spans="1:29" x14ac:dyDescent="0.3">
      <c r="A182" t="s">
        <v>1405</v>
      </c>
      <c r="B182" t="s">
        <v>2302</v>
      </c>
      <c r="C182" t="s">
        <v>2972</v>
      </c>
      <c r="D182">
        <v>31292534249</v>
      </c>
      <c r="E182" t="s">
        <v>2973</v>
      </c>
      <c r="F182">
        <v>1004015353</v>
      </c>
      <c r="G182" s="1">
        <v>45511</v>
      </c>
      <c r="H182" t="s">
        <v>1360</v>
      </c>
      <c r="I182" t="s">
        <v>1349</v>
      </c>
      <c r="J182" t="s">
        <v>1361</v>
      </c>
      <c r="K182" t="s">
        <v>2308</v>
      </c>
      <c r="L182" t="s">
        <v>2305</v>
      </c>
      <c r="M182" t="s">
        <v>1409</v>
      </c>
      <c r="N182" t="s">
        <v>1410</v>
      </c>
      <c r="O182" t="s">
        <v>1411</v>
      </c>
      <c r="P182" t="s">
        <v>1423</v>
      </c>
      <c r="Q182" t="s">
        <v>1412</v>
      </c>
      <c r="S182" s="1">
        <v>45855</v>
      </c>
      <c r="V182" s="1">
        <v>45854</v>
      </c>
      <c r="W182" s="1">
        <v>25626</v>
      </c>
      <c r="X182" t="s">
        <v>1424</v>
      </c>
      <c r="Y182" t="s">
        <v>2241</v>
      </c>
      <c r="Z182" t="s">
        <v>2974</v>
      </c>
      <c r="AA182" t="s">
        <v>1415</v>
      </c>
      <c r="AB182" t="s">
        <v>2975</v>
      </c>
      <c r="AC182">
        <v>66996624442</v>
      </c>
    </row>
    <row r="183" spans="1:29" x14ac:dyDescent="0.3">
      <c r="A183" t="s">
        <v>1405</v>
      </c>
      <c r="B183" t="s">
        <v>2302</v>
      </c>
      <c r="C183" t="s">
        <v>2976</v>
      </c>
      <c r="D183">
        <v>30501377034</v>
      </c>
      <c r="E183">
        <v>3003081811</v>
      </c>
      <c r="F183">
        <v>1004017473</v>
      </c>
      <c r="G183" s="1">
        <v>45749</v>
      </c>
      <c r="H183" t="s">
        <v>1360</v>
      </c>
      <c r="I183" t="s">
        <v>1349</v>
      </c>
      <c r="J183" t="s">
        <v>1361</v>
      </c>
      <c r="K183" t="s">
        <v>2308</v>
      </c>
      <c r="L183" t="s">
        <v>2305</v>
      </c>
      <c r="M183" t="s">
        <v>1409</v>
      </c>
      <c r="N183" t="s">
        <v>1410</v>
      </c>
      <c r="O183" t="s">
        <v>1423</v>
      </c>
      <c r="P183" t="s">
        <v>1423</v>
      </c>
      <c r="Q183" t="s">
        <v>1412</v>
      </c>
      <c r="S183" s="1">
        <v>46059</v>
      </c>
      <c r="V183" s="1">
        <v>46056</v>
      </c>
      <c r="W183" s="1">
        <v>21064</v>
      </c>
      <c r="X183" t="s">
        <v>1469</v>
      </c>
      <c r="Y183" t="s">
        <v>2977</v>
      </c>
      <c r="Z183" t="s">
        <v>2378</v>
      </c>
      <c r="AA183" t="s">
        <v>1415</v>
      </c>
      <c r="AB183" t="s">
        <v>2978</v>
      </c>
      <c r="AC183">
        <v>51999561343</v>
      </c>
    </row>
    <row r="184" spans="1:29" x14ac:dyDescent="0.3">
      <c r="A184" t="s">
        <v>1405</v>
      </c>
      <c r="B184" t="s">
        <v>2302</v>
      </c>
      <c r="C184" t="s">
        <v>2979</v>
      </c>
      <c r="D184">
        <v>57077517004</v>
      </c>
      <c r="E184">
        <v>6051354055</v>
      </c>
      <c r="F184">
        <v>42004101321</v>
      </c>
      <c r="G184" s="1">
        <v>39874</v>
      </c>
      <c r="H184" t="s">
        <v>1360</v>
      </c>
      <c r="I184" t="s">
        <v>2604</v>
      </c>
      <c r="J184" t="s">
        <v>1351</v>
      </c>
      <c r="K184" t="s">
        <v>1353</v>
      </c>
      <c r="L184" t="s">
        <v>2305</v>
      </c>
      <c r="M184" t="s">
        <v>1409</v>
      </c>
      <c r="N184" t="s">
        <v>1410</v>
      </c>
      <c r="O184" t="s">
        <v>1423</v>
      </c>
      <c r="P184" t="s">
        <v>1423</v>
      </c>
      <c r="Q184" t="s">
        <v>1412</v>
      </c>
      <c r="S184" s="1">
        <v>42191</v>
      </c>
      <c r="T184" s="1">
        <v>41214</v>
      </c>
      <c r="W184" s="1">
        <v>26235</v>
      </c>
      <c r="X184" t="s">
        <v>2980</v>
      </c>
      <c r="Z184" t="s">
        <v>2378</v>
      </c>
      <c r="AA184" t="s">
        <v>1415</v>
      </c>
      <c r="AB184" t="s">
        <v>2981</v>
      </c>
      <c r="AC184">
        <v>5193152839</v>
      </c>
    </row>
    <row r="185" spans="1:29" x14ac:dyDescent="0.3">
      <c r="A185" t="s">
        <v>1405</v>
      </c>
      <c r="B185" t="s">
        <v>2302</v>
      </c>
      <c r="C185" t="s">
        <v>2982</v>
      </c>
      <c r="D185">
        <v>8262000447</v>
      </c>
      <c r="E185">
        <v>8028095</v>
      </c>
      <c r="F185">
        <v>1004017605</v>
      </c>
      <c r="G185" s="1">
        <v>45756</v>
      </c>
      <c r="H185" t="s">
        <v>1360</v>
      </c>
      <c r="I185" t="s">
        <v>1374</v>
      </c>
      <c r="J185" t="s">
        <v>1361</v>
      </c>
      <c r="K185" t="s">
        <v>2308</v>
      </c>
      <c r="L185" t="s">
        <v>2305</v>
      </c>
      <c r="M185" t="s">
        <v>1409</v>
      </c>
      <c r="N185" t="s">
        <v>1410</v>
      </c>
      <c r="O185" t="s">
        <v>1423</v>
      </c>
      <c r="P185" t="s">
        <v>1423</v>
      </c>
      <c r="Q185" t="s">
        <v>1412</v>
      </c>
      <c r="S185" s="1">
        <v>46043</v>
      </c>
      <c r="W185" s="1">
        <v>32658</v>
      </c>
      <c r="X185" t="s">
        <v>2983</v>
      </c>
      <c r="Y185" t="s">
        <v>2984</v>
      </c>
      <c r="Z185" t="s">
        <v>2985</v>
      </c>
      <c r="AA185" t="s">
        <v>1415</v>
      </c>
      <c r="AB185" t="s">
        <v>2986</v>
      </c>
      <c r="AC185">
        <v>81989426588</v>
      </c>
    </row>
    <row r="186" spans="1:29" x14ac:dyDescent="0.3">
      <c r="A186" t="s">
        <v>1405</v>
      </c>
      <c r="B186" t="s">
        <v>2302</v>
      </c>
      <c r="C186" t="s">
        <v>2987</v>
      </c>
      <c r="D186">
        <v>10089753704</v>
      </c>
      <c r="E186">
        <v>131221475</v>
      </c>
      <c r="F186">
        <v>1004011067</v>
      </c>
      <c r="G186" s="1">
        <v>44875</v>
      </c>
      <c r="H186" t="s">
        <v>1360</v>
      </c>
      <c r="I186" t="s">
        <v>1374</v>
      </c>
      <c r="J186" t="s">
        <v>1361</v>
      </c>
      <c r="K186" t="s">
        <v>2308</v>
      </c>
      <c r="L186" t="s">
        <v>2305</v>
      </c>
      <c r="M186" t="s">
        <v>1409</v>
      </c>
      <c r="N186" t="s">
        <v>1410</v>
      </c>
      <c r="O186" t="s">
        <v>1411</v>
      </c>
      <c r="P186" t="s">
        <v>1411</v>
      </c>
      <c r="Q186" t="s">
        <v>1412</v>
      </c>
      <c r="S186" s="1">
        <v>46043</v>
      </c>
      <c r="W186" s="1">
        <v>30596</v>
      </c>
      <c r="X186" t="s">
        <v>2988</v>
      </c>
      <c r="Y186" t="s">
        <v>2989</v>
      </c>
      <c r="Z186" t="s">
        <v>2990</v>
      </c>
      <c r="AA186" t="s">
        <v>1415</v>
      </c>
      <c r="AB186" t="s">
        <v>1330</v>
      </c>
      <c r="AC186">
        <v>24999330742</v>
      </c>
    </row>
    <row r="187" spans="1:29" x14ac:dyDescent="0.3">
      <c r="A187" t="s">
        <v>1405</v>
      </c>
      <c r="B187" t="s">
        <v>2302</v>
      </c>
      <c r="C187" t="s">
        <v>2991</v>
      </c>
      <c r="D187">
        <v>62473697</v>
      </c>
      <c r="E187">
        <v>7140961</v>
      </c>
      <c r="F187">
        <v>1004005134</v>
      </c>
      <c r="G187" s="1">
        <v>43787</v>
      </c>
      <c r="H187" t="s">
        <v>1360</v>
      </c>
      <c r="I187" t="s">
        <v>1374</v>
      </c>
      <c r="J187" t="s">
        <v>2308</v>
      </c>
      <c r="K187" t="s">
        <v>2313</v>
      </c>
      <c r="L187" t="s">
        <v>2305</v>
      </c>
      <c r="M187" t="s">
        <v>1409</v>
      </c>
      <c r="N187" t="s">
        <v>1410</v>
      </c>
      <c r="O187" t="s">
        <v>1423</v>
      </c>
      <c r="P187" t="s">
        <v>1423</v>
      </c>
      <c r="Q187" t="s">
        <v>1593</v>
      </c>
      <c r="S187" s="1">
        <v>46069</v>
      </c>
      <c r="W187" s="1">
        <v>27822</v>
      </c>
      <c r="X187" t="s">
        <v>1503</v>
      </c>
      <c r="Y187" t="s">
        <v>2992</v>
      </c>
      <c r="Z187" t="s">
        <v>2993</v>
      </c>
      <c r="AA187" t="s">
        <v>1415</v>
      </c>
      <c r="AB187" t="s">
        <v>2994</v>
      </c>
      <c r="AC187">
        <v>3199524084</v>
      </c>
    </row>
    <row r="188" spans="1:29" x14ac:dyDescent="0.3">
      <c r="A188" t="s">
        <v>1405</v>
      </c>
      <c r="B188" t="s">
        <v>2302</v>
      </c>
      <c r="C188" t="s">
        <v>2995</v>
      </c>
      <c r="D188">
        <v>3700105231</v>
      </c>
      <c r="E188">
        <v>30673518</v>
      </c>
      <c r="F188">
        <v>1004008433</v>
      </c>
      <c r="G188" s="1">
        <v>44424</v>
      </c>
      <c r="H188" t="s">
        <v>1360</v>
      </c>
      <c r="I188" t="s">
        <v>1374</v>
      </c>
      <c r="J188" t="s">
        <v>1361</v>
      </c>
      <c r="K188" t="s">
        <v>2308</v>
      </c>
      <c r="L188" t="s">
        <v>2305</v>
      </c>
      <c r="M188" t="s">
        <v>1409</v>
      </c>
      <c r="N188" t="s">
        <v>1410</v>
      </c>
      <c r="O188" t="s">
        <v>1411</v>
      </c>
      <c r="P188" t="s">
        <v>1411</v>
      </c>
      <c r="Q188" t="s">
        <v>1412</v>
      </c>
      <c r="S188" s="1">
        <v>46043</v>
      </c>
      <c r="W188" s="1">
        <v>35283</v>
      </c>
      <c r="X188" t="s">
        <v>1896</v>
      </c>
      <c r="Y188" t="s">
        <v>2996</v>
      </c>
      <c r="Z188" t="s">
        <v>2997</v>
      </c>
      <c r="AA188" t="s">
        <v>1419</v>
      </c>
      <c r="AB188" t="s">
        <v>2998</v>
      </c>
      <c r="AC188">
        <v>99993421689</v>
      </c>
    </row>
    <row r="189" spans="1:29" x14ac:dyDescent="0.3">
      <c r="A189" t="s">
        <v>1405</v>
      </c>
      <c r="B189" t="s">
        <v>2302</v>
      </c>
      <c r="C189" t="s">
        <v>2999</v>
      </c>
      <c r="D189">
        <v>197640060</v>
      </c>
      <c r="E189">
        <v>8453700</v>
      </c>
      <c r="F189">
        <v>1004019029</v>
      </c>
      <c r="G189" s="1">
        <v>45873</v>
      </c>
      <c r="H189" t="s">
        <v>1360</v>
      </c>
      <c r="I189" t="s">
        <v>1349</v>
      </c>
      <c r="J189" t="s">
        <v>2308</v>
      </c>
      <c r="K189" t="s">
        <v>2313</v>
      </c>
      <c r="L189" t="s">
        <v>2305</v>
      </c>
      <c r="M189" t="s">
        <v>1447</v>
      </c>
      <c r="N189" t="s">
        <v>1448</v>
      </c>
      <c r="O189" t="s">
        <v>1423</v>
      </c>
      <c r="P189" t="s">
        <v>1423</v>
      </c>
      <c r="Q189" t="s">
        <v>1412</v>
      </c>
      <c r="S189" s="1">
        <v>46065</v>
      </c>
      <c r="V189" s="1">
        <v>46062</v>
      </c>
      <c r="W189" s="1">
        <v>29899</v>
      </c>
      <c r="X189" t="s">
        <v>1512</v>
      </c>
      <c r="Z189" t="s">
        <v>3000</v>
      </c>
      <c r="AA189" t="s">
        <v>1419</v>
      </c>
      <c r="AB189" t="s">
        <v>3001</v>
      </c>
      <c r="AC189">
        <v>47988356740</v>
      </c>
    </row>
    <row r="190" spans="1:29" x14ac:dyDescent="0.3">
      <c r="A190" t="s">
        <v>1405</v>
      </c>
      <c r="B190" t="s">
        <v>2302</v>
      </c>
      <c r="C190" t="s">
        <v>3002</v>
      </c>
      <c r="D190">
        <v>2736226178</v>
      </c>
      <c r="E190">
        <v>1686174</v>
      </c>
      <c r="F190">
        <v>1004009334</v>
      </c>
      <c r="G190" s="1">
        <v>44616</v>
      </c>
      <c r="H190" t="s">
        <v>1360</v>
      </c>
      <c r="I190" t="s">
        <v>1349</v>
      </c>
      <c r="J190" t="s">
        <v>1361</v>
      </c>
      <c r="K190" t="s">
        <v>2308</v>
      </c>
      <c r="L190" t="s">
        <v>2305</v>
      </c>
      <c r="M190" t="s">
        <v>1421</v>
      </c>
      <c r="N190" t="s">
        <v>1422</v>
      </c>
      <c r="O190" t="s">
        <v>1423</v>
      </c>
      <c r="P190" t="s">
        <v>1423</v>
      </c>
      <c r="Q190" t="s">
        <v>1412</v>
      </c>
      <c r="S190" s="1">
        <v>46087</v>
      </c>
      <c r="V190" s="1">
        <v>46084</v>
      </c>
      <c r="W190" s="1">
        <v>33928</v>
      </c>
      <c r="X190" t="s">
        <v>1456</v>
      </c>
      <c r="Y190" t="s">
        <v>3003</v>
      </c>
      <c r="Z190" t="s">
        <v>2306</v>
      </c>
      <c r="AA190" t="s">
        <v>1419</v>
      </c>
      <c r="AB190" t="s">
        <v>3004</v>
      </c>
      <c r="AC190">
        <v>67998924386</v>
      </c>
    </row>
    <row r="191" spans="1:29" x14ac:dyDescent="0.3">
      <c r="A191" t="s">
        <v>1405</v>
      </c>
      <c r="B191" t="s">
        <v>2302</v>
      </c>
      <c r="C191" t="s">
        <v>3005</v>
      </c>
      <c r="D191">
        <v>12655146743</v>
      </c>
      <c r="E191">
        <v>532820873</v>
      </c>
      <c r="F191">
        <v>1004007358</v>
      </c>
      <c r="G191" s="1">
        <v>44256</v>
      </c>
      <c r="H191" t="s">
        <v>1360</v>
      </c>
      <c r="I191" t="s">
        <v>1349</v>
      </c>
      <c r="J191" t="s">
        <v>2308</v>
      </c>
      <c r="K191" t="s">
        <v>2313</v>
      </c>
      <c r="L191" t="s">
        <v>2305</v>
      </c>
      <c r="M191" t="s">
        <v>1409</v>
      </c>
      <c r="N191" t="s">
        <v>1422</v>
      </c>
      <c r="O191" t="s">
        <v>1423</v>
      </c>
      <c r="P191" t="s">
        <v>1423</v>
      </c>
      <c r="Q191" t="s">
        <v>1412</v>
      </c>
      <c r="S191" s="1">
        <v>45854</v>
      </c>
      <c r="V191" s="1">
        <v>45853</v>
      </c>
      <c r="W191" s="1">
        <v>32427</v>
      </c>
      <c r="X191" t="s">
        <v>1515</v>
      </c>
      <c r="Z191" t="s">
        <v>3006</v>
      </c>
      <c r="AA191" t="s">
        <v>1419</v>
      </c>
      <c r="AB191" t="s">
        <v>3007</v>
      </c>
      <c r="AC191">
        <v>22999122062</v>
      </c>
    </row>
    <row r="192" spans="1:29" x14ac:dyDescent="0.3">
      <c r="A192" t="s">
        <v>1405</v>
      </c>
      <c r="B192" t="s">
        <v>2302</v>
      </c>
      <c r="C192" t="s">
        <v>3008</v>
      </c>
      <c r="D192">
        <v>1858363217</v>
      </c>
      <c r="E192">
        <v>1858363217</v>
      </c>
      <c r="F192">
        <v>1004020778</v>
      </c>
      <c r="G192" s="1">
        <v>45978</v>
      </c>
      <c r="H192" t="s">
        <v>1360</v>
      </c>
      <c r="I192" t="s">
        <v>1374</v>
      </c>
      <c r="J192" t="s">
        <v>1361</v>
      </c>
      <c r="K192" t="s">
        <v>2308</v>
      </c>
      <c r="L192" t="s">
        <v>2305</v>
      </c>
      <c r="M192" t="s">
        <v>1447</v>
      </c>
      <c r="N192" t="s">
        <v>1448</v>
      </c>
      <c r="O192" t="s">
        <v>1411</v>
      </c>
      <c r="P192" t="s">
        <v>1411</v>
      </c>
      <c r="Q192" t="s">
        <v>1412</v>
      </c>
      <c r="S192" s="1">
        <v>46043</v>
      </c>
      <c r="W192" s="1">
        <v>35081</v>
      </c>
      <c r="X192" t="s">
        <v>3009</v>
      </c>
      <c r="Y192" t="s">
        <v>3010</v>
      </c>
      <c r="Z192" t="s">
        <v>3011</v>
      </c>
      <c r="AA192" t="s">
        <v>1419</v>
      </c>
      <c r="AB192" t="s">
        <v>3012</v>
      </c>
      <c r="AC192">
        <v>97984201696</v>
      </c>
    </row>
    <row r="193" spans="1:29" x14ac:dyDescent="0.3">
      <c r="A193" t="s">
        <v>1405</v>
      </c>
      <c r="B193" t="s">
        <v>2302</v>
      </c>
      <c r="C193" t="s">
        <v>3013</v>
      </c>
      <c r="D193">
        <v>97729370000</v>
      </c>
      <c r="E193">
        <v>6079421101</v>
      </c>
      <c r="F193">
        <v>1004010499</v>
      </c>
      <c r="G193" s="1">
        <v>44782</v>
      </c>
      <c r="H193" t="s">
        <v>1360</v>
      </c>
      <c r="I193" t="s">
        <v>1349</v>
      </c>
      <c r="J193">
        <v>3</v>
      </c>
      <c r="K193" t="s">
        <v>2444</v>
      </c>
      <c r="L193" t="s">
        <v>2305</v>
      </c>
      <c r="M193" t="s">
        <v>1421</v>
      </c>
      <c r="N193" t="s">
        <v>1422</v>
      </c>
      <c r="O193" t="s">
        <v>1423</v>
      </c>
      <c r="P193" t="s">
        <v>1423</v>
      </c>
      <c r="Q193" t="s">
        <v>1412</v>
      </c>
      <c r="S193" s="1">
        <v>45855</v>
      </c>
      <c r="V193" s="1">
        <v>45854</v>
      </c>
      <c r="W193" s="1">
        <v>29020</v>
      </c>
      <c r="X193" t="s">
        <v>3014</v>
      </c>
      <c r="Y193" t="s">
        <v>3015</v>
      </c>
      <c r="Z193" t="s">
        <v>2378</v>
      </c>
      <c r="AA193" t="s">
        <v>1415</v>
      </c>
      <c r="AB193" t="s">
        <v>3016</v>
      </c>
      <c r="AC193">
        <v>51995516112</v>
      </c>
    </row>
    <row r="194" spans="1:29" x14ac:dyDescent="0.3">
      <c r="A194" t="s">
        <v>1405</v>
      </c>
      <c r="B194" t="s">
        <v>2302</v>
      </c>
      <c r="C194" t="s">
        <v>3017</v>
      </c>
      <c r="D194">
        <v>10205346480</v>
      </c>
      <c r="E194" t="s">
        <v>3018</v>
      </c>
      <c r="F194">
        <v>1004019148</v>
      </c>
      <c r="G194" s="1">
        <v>45882</v>
      </c>
      <c r="H194" t="s">
        <v>1360</v>
      </c>
      <c r="I194" t="s">
        <v>1374</v>
      </c>
      <c r="J194" t="s">
        <v>2348</v>
      </c>
      <c r="K194" t="s">
        <v>2308</v>
      </c>
      <c r="L194" t="s">
        <v>2305</v>
      </c>
      <c r="M194" t="s">
        <v>1409</v>
      </c>
      <c r="N194" t="s">
        <v>1410</v>
      </c>
      <c r="O194" t="s">
        <v>1411</v>
      </c>
      <c r="P194" t="s">
        <v>1411</v>
      </c>
      <c r="Q194" t="s">
        <v>1412</v>
      </c>
      <c r="S194" s="1">
        <v>46069</v>
      </c>
      <c r="W194" s="1">
        <v>37532</v>
      </c>
      <c r="X194" t="s">
        <v>2645</v>
      </c>
      <c r="Y194" t="s">
        <v>2646</v>
      </c>
      <c r="Z194" t="s">
        <v>2487</v>
      </c>
      <c r="AA194" t="s">
        <v>1419</v>
      </c>
      <c r="AB194" t="s">
        <v>3019</v>
      </c>
      <c r="AC194">
        <v>84987030152</v>
      </c>
    </row>
    <row r="195" spans="1:29" x14ac:dyDescent="0.3">
      <c r="A195" t="s">
        <v>1405</v>
      </c>
      <c r="B195" t="s">
        <v>2302</v>
      </c>
      <c r="C195" t="s">
        <v>3020</v>
      </c>
      <c r="D195">
        <v>80103251200</v>
      </c>
      <c r="E195">
        <v>4199801</v>
      </c>
      <c r="F195">
        <v>1004003698</v>
      </c>
      <c r="G195" s="1">
        <v>43594</v>
      </c>
      <c r="H195" t="s">
        <v>1360</v>
      </c>
      <c r="I195" t="s">
        <v>1349</v>
      </c>
      <c r="J195" t="s">
        <v>2308</v>
      </c>
      <c r="K195" t="s">
        <v>2313</v>
      </c>
      <c r="L195" t="s">
        <v>2305</v>
      </c>
      <c r="M195" t="s">
        <v>1421</v>
      </c>
      <c r="N195" t="s">
        <v>1422</v>
      </c>
      <c r="O195" t="s">
        <v>1411</v>
      </c>
      <c r="P195" t="s">
        <v>1423</v>
      </c>
      <c r="Q195" t="s">
        <v>1412</v>
      </c>
      <c r="S195" s="1">
        <v>46119</v>
      </c>
      <c r="T195" s="1">
        <v>45877</v>
      </c>
      <c r="V195" s="1">
        <v>46113</v>
      </c>
      <c r="W195" s="1">
        <v>30948</v>
      </c>
      <c r="X195" t="s">
        <v>3021</v>
      </c>
      <c r="Z195" t="s">
        <v>2770</v>
      </c>
      <c r="AA195" t="s">
        <v>1419</v>
      </c>
      <c r="AB195" t="s">
        <v>3022</v>
      </c>
      <c r="AC195">
        <v>94991327490</v>
      </c>
    </row>
    <row r="196" spans="1:29" x14ac:dyDescent="0.3">
      <c r="A196" t="s">
        <v>1405</v>
      </c>
      <c r="B196" t="s">
        <v>2302</v>
      </c>
      <c r="C196" t="s">
        <v>3023</v>
      </c>
      <c r="D196">
        <v>1320706347</v>
      </c>
      <c r="E196">
        <v>2003014050213</v>
      </c>
      <c r="F196">
        <v>1004019034</v>
      </c>
      <c r="G196" s="1">
        <v>45873</v>
      </c>
      <c r="H196" t="s">
        <v>1360</v>
      </c>
      <c r="I196" t="s">
        <v>1374</v>
      </c>
      <c r="J196" t="s">
        <v>2348</v>
      </c>
      <c r="K196" t="s">
        <v>2308</v>
      </c>
      <c r="L196" t="s">
        <v>2305</v>
      </c>
      <c r="M196" t="s">
        <v>1409</v>
      </c>
      <c r="N196" t="s">
        <v>1410</v>
      </c>
      <c r="O196" t="s">
        <v>1423</v>
      </c>
      <c r="P196" t="s">
        <v>1423</v>
      </c>
      <c r="Q196" t="s">
        <v>1412</v>
      </c>
      <c r="S196" s="1">
        <v>46043</v>
      </c>
      <c r="W196" s="1">
        <v>31575</v>
      </c>
      <c r="X196" t="s">
        <v>2504</v>
      </c>
      <c r="Z196" t="s">
        <v>2506</v>
      </c>
      <c r="AA196" t="s">
        <v>1415</v>
      </c>
      <c r="AB196" t="s">
        <v>3024</v>
      </c>
      <c r="AC196">
        <v>88999219484</v>
      </c>
    </row>
    <row r="197" spans="1:29" x14ac:dyDescent="0.3">
      <c r="A197" t="s">
        <v>1405</v>
      </c>
      <c r="B197" t="s">
        <v>2302</v>
      </c>
      <c r="C197" t="s">
        <v>3025</v>
      </c>
      <c r="D197">
        <v>3830809409</v>
      </c>
      <c r="E197">
        <v>6026563</v>
      </c>
      <c r="F197">
        <v>1004014339</v>
      </c>
      <c r="G197" s="1">
        <v>45372</v>
      </c>
      <c r="H197" t="s">
        <v>1360</v>
      </c>
      <c r="I197" t="s">
        <v>1374</v>
      </c>
      <c r="J197" t="s">
        <v>1361</v>
      </c>
      <c r="K197" t="s">
        <v>2308</v>
      </c>
      <c r="L197" t="s">
        <v>2305</v>
      </c>
      <c r="M197" t="s">
        <v>1409</v>
      </c>
      <c r="N197" t="s">
        <v>1410</v>
      </c>
      <c r="O197" t="s">
        <v>1423</v>
      </c>
      <c r="P197" t="s">
        <v>1423</v>
      </c>
      <c r="Q197" t="s">
        <v>1412</v>
      </c>
      <c r="S197" s="1">
        <v>46043</v>
      </c>
      <c r="W197" s="1">
        <v>29711</v>
      </c>
      <c r="X197" t="s">
        <v>1510</v>
      </c>
      <c r="Y197" t="s">
        <v>2336</v>
      </c>
      <c r="Z197" t="s">
        <v>2985</v>
      </c>
      <c r="AA197" t="s">
        <v>1419</v>
      </c>
      <c r="AB197" t="s">
        <v>3026</v>
      </c>
      <c r="AC197">
        <v>81993421997</v>
      </c>
    </row>
    <row r="198" spans="1:29" x14ac:dyDescent="0.3">
      <c r="A198" t="s">
        <v>1405</v>
      </c>
      <c r="B198" t="s">
        <v>2302</v>
      </c>
      <c r="C198" t="s">
        <v>3027</v>
      </c>
      <c r="D198">
        <v>53696794520</v>
      </c>
      <c r="E198">
        <v>3282905</v>
      </c>
      <c r="F198">
        <v>42004200855</v>
      </c>
      <c r="G198" s="1">
        <v>41730</v>
      </c>
      <c r="H198" t="s">
        <v>1360</v>
      </c>
      <c r="I198" t="s">
        <v>1374</v>
      </c>
      <c r="J198" t="s">
        <v>2308</v>
      </c>
      <c r="K198" t="s">
        <v>2313</v>
      </c>
      <c r="L198" t="s">
        <v>2305</v>
      </c>
      <c r="M198" t="s">
        <v>1421</v>
      </c>
      <c r="N198" t="s">
        <v>1422</v>
      </c>
      <c r="O198" t="s">
        <v>1423</v>
      </c>
      <c r="P198" t="s">
        <v>1423</v>
      </c>
      <c r="Q198" t="s">
        <v>1412</v>
      </c>
      <c r="S198" s="1">
        <v>46043</v>
      </c>
      <c r="W198" s="1">
        <v>25527</v>
      </c>
      <c r="X198" t="s">
        <v>2361</v>
      </c>
      <c r="Y198" t="s">
        <v>2362</v>
      </c>
      <c r="Z198" t="s">
        <v>2363</v>
      </c>
      <c r="AA198" t="s">
        <v>1415</v>
      </c>
      <c r="AB198" t="s">
        <v>3028</v>
      </c>
      <c r="AC198">
        <v>7534882883</v>
      </c>
    </row>
    <row r="199" spans="1:29" x14ac:dyDescent="0.3">
      <c r="A199" t="s">
        <v>1405</v>
      </c>
      <c r="B199" t="s">
        <v>2302</v>
      </c>
      <c r="C199" t="s">
        <v>3029</v>
      </c>
      <c r="D199">
        <v>1027959083</v>
      </c>
      <c r="E199">
        <v>5061867759</v>
      </c>
      <c r="F199">
        <v>1004019487</v>
      </c>
      <c r="G199" s="1">
        <v>45901</v>
      </c>
      <c r="H199" t="s">
        <v>1360</v>
      </c>
      <c r="I199" t="s">
        <v>1374</v>
      </c>
      <c r="J199" t="s">
        <v>1361</v>
      </c>
      <c r="K199" t="s">
        <v>2308</v>
      </c>
      <c r="L199" t="s">
        <v>2305</v>
      </c>
      <c r="M199" t="s">
        <v>1409</v>
      </c>
      <c r="N199" t="s">
        <v>1410</v>
      </c>
      <c r="O199" t="s">
        <v>1423</v>
      </c>
      <c r="P199" t="s">
        <v>1423</v>
      </c>
      <c r="Q199" t="s">
        <v>1412</v>
      </c>
      <c r="S199" s="1">
        <v>46043</v>
      </c>
      <c r="W199" s="1">
        <v>31707</v>
      </c>
      <c r="X199" t="s">
        <v>1512</v>
      </c>
      <c r="Y199" t="s">
        <v>2639</v>
      </c>
      <c r="Z199" t="s">
        <v>2640</v>
      </c>
      <c r="AA199" t="s">
        <v>1419</v>
      </c>
      <c r="AB199" t="s">
        <v>3030</v>
      </c>
      <c r="AC199">
        <v>55999056757</v>
      </c>
    </row>
    <row r="200" spans="1:29" x14ac:dyDescent="0.3">
      <c r="A200" t="s">
        <v>1405</v>
      </c>
      <c r="B200" t="s">
        <v>2302</v>
      </c>
      <c r="C200" t="s">
        <v>3031</v>
      </c>
      <c r="D200">
        <v>9297242405</v>
      </c>
      <c r="E200">
        <v>33113742</v>
      </c>
      <c r="F200">
        <v>1004010200</v>
      </c>
      <c r="G200" s="1">
        <v>44726</v>
      </c>
      <c r="H200" t="s">
        <v>1360</v>
      </c>
      <c r="I200" t="s">
        <v>1349</v>
      </c>
      <c r="J200" t="s">
        <v>1361</v>
      </c>
      <c r="K200" t="s">
        <v>2308</v>
      </c>
      <c r="L200" t="s">
        <v>2305</v>
      </c>
      <c r="M200" t="s">
        <v>1409</v>
      </c>
      <c r="N200" t="s">
        <v>1410</v>
      </c>
      <c r="O200" t="s">
        <v>1411</v>
      </c>
      <c r="P200" t="s">
        <v>1411</v>
      </c>
      <c r="Q200" t="s">
        <v>1412</v>
      </c>
      <c r="S200" s="1">
        <v>46065</v>
      </c>
      <c r="V200" s="1">
        <v>46062</v>
      </c>
      <c r="W200" s="1">
        <v>33012</v>
      </c>
      <c r="X200" t="s">
        <v>1432</v>
      </c>
      <c r="Y200" t="s">
        <v>1433</v>
      </c>
      <c r="Z200" t="s">
        <v>3032</v>
      </c>
      <c r="AA200" t="s">
        <v>1419</v>
      </c>
      <c r="AB200" t="s">
        <v>3033</v>
      </c>
      <c r="AC200">
        <v>82999847460</v>
      </c>
    </row>
    <row r="201" spans="1:29" x14ac:dyDescent="0.3">
      <c r="A201" t="s">
        <v>1405</v>
      </c>
      <c r="B201" t="s">
        <v>2302</v>
      </c>
      <c r="C201" t="s">
        <v>3034</v>
      </c>
      <c r="D201">
        <v>9375107426</v>
      </c>
      <c r="E201" s="3">
        <v>8402189</v>
      </c>
      <c r="F201">
        <v>1004021336</v>
      </c>
      <c r="G201" s="1">
        <v>46071</v>
      </c>
      <c r="H201" t="s">
        <v>1360</v>
      </c>
      <c r="I201" t="s">
        <v>1374</v>
      </c>
      <c r="J201" t="s">
        <v>2308</v>
      </c>
      <c r="K201" t="s">
        <v>2313</v>
      </c>
      <c r="L201" t="s">
        <v>2305</v>
      </c>
      <c r="M201" t="s">
        <v>1409</v>
      </c>
      <c r="N201" t="s">
        <v>1410</v>
      </c>
      <c r="O201" t="s">
        <v>1411</v>
      </c>
      <c r="P201" t="s">
        <v>1411</v>
      </c>
      <c r="Q201" t="s">
        <v>1412</v>
      </c>
      <c r="S201" s="1">
        <v>46065</v>
      </c>
      <c r="W201" s="1">
        <v>32739</v>
      </c>
      <c r="X201" t="s">
        <v>3035</v>
      </c>
      <c r="Z201" t="s">
        <v>3036</v>
      </c>
      <c r="AA201" t="s">
        <v>1419</v>
      </c>
      <c r="AB201" t="s">
        <v>3037</v>
      </c>
      <c r="AC201">
        <v>87999242442</v>
      </c>
    </row>
    <row r="202" spans="1:29" x14ac:dyDescent="0.3">
      <c r="A202" t="s">
        <v>1405</v>
      </c>
      <c r="B202" t="s">
        <v>2302</v>
      </c>
      <c r="C202" t="s">
        <v>3038</v>
      </c>
      <c r="D202">
        <v>86969650510</v>
      </c>
      <c r="E202" t="s">
        <v>3039</v>
      </c>
      <c r="F202">
        <v>1004021950</v>
      </c>
      <c r="G202" s="1">
        <v>46104</v>
      </c>
      <c r="H202" t="s">
        <v>1360</v>
      </c>
      <c r="I202" t="s">
        <v>1374</v>
      </c>
      <c r="J202" t="s">
        <v>2308</v>
      </c>
      <c r="K202" t="s">
        <v>2313</v>
      </c>
      <c r="L202" t="s">
        <v>2305</v>
      </c>
      <c r="M202" t="s">
        <v>1409</v>
      </c>
      <c r="N202" t="s">
        <v>1410</v>
      </c>
      <c r="O202" t="s">
        <v>1423</v>
      </c>
      <c r="P202" t="s">
        <v>1423</v>
      </c>
      <c r="Q202" t="s">
        <v>1412</v>
      </c>
      <c r="S202" s="1">
        <v>46099</v>
      </c>
      <c r="W202" s="1">
        <v>27381</v>
      </c>
      <c r="X202" t="s">
        <v>1430</v>
      </c>
      <c r="Y202" t="s">
        <v>2906</v>
      </c>
      <c r="Z202" t="s">
        <v>2907</v>
      </c>
      <c r="AA202" t="s">
        <v>1419</v>
      </c>
      <c r="AB202" t="s">
        <v>3040</v>
      </c>
      <c r="AC202">
        <v>71991500240</v>
      </c>
    </row>
    <row r="203" spans="1:29" x14ac:dyDescent="0.3">
      <c r="A203" t="s">
        <v>1405</v>
      </c>
      <c r="B203" t="s">
        <v>2302</v>
      </c>
      <c r="C203" t="s">
        <v>3041</v>
      </c>
      <c r="D203">
        <v>4961591947</v>
      </c>
      <c r="E203">
        <v>4502752</v>
      </c>
      <c r="F203">
        <v>1004012569</v>
      </c>
      <c r="G203" s="1">
        <v>45146</v>
      </c>
      <c r="H203" t="s">
        <v>1360</v>
      </c>
      <c r="I203" t="s">
        <v>1374</v>
      </c>
      <c r="J203" t="s">
        <v>1354</v>
      </c>
      <c r="K203" t="s">
        <v>1361</v>
      </c>
      <c r="L203" t="s">
        <v>2305</v>
      </c>
      <c r="M203" t="s">
        <v>1421</v>
      </c>
      <c r="N203" t="s">
        <v>1422</v>
      </c>
      <c r="O203" t="s">
        <v>1411</v>
      </c>
      <c r="P203" t="s">
        <v>1462</v>
      </c>
      <c r="Q203" t="s">
        <v>1412</v>
      </c>
      <c r="S203" s="1">
        <v>46043</v>
      </c>
      <c r="W203" s="1">
        <v>31493</v>
      </c>
      <c r="X203" t="s">
        <v>2742</v>
      </c>
      <c r="Y203" t="s">
        <v>3042</v>
      </c>
      <c r="Z203" t="s">
        <v>2743</v>
      </c>
      <c r="AA203" t="s">
        <v>1415</v>
      </c>
      <c r="AB203" t="s">
        <v>264</v>
      </c>
      <c r="AC203">
        <v>49991829157</v>
      </c>
    </row>
    <row r="204" spans="1:29" x14ac:dyDescent="0.3">
      <c r="A204" t="s">
        <v>1405</v>
      </c>
      <c r="B204" t="s">
        <v>2302</v>
      </c>
      <c r="C204" t="s">
        <v>3043</v>
      </c>
      <c r="D204">
        <v>7602380304</v>
      </c>
      <c r="E204">
        <v>20088071655</v>
      </c>
      <c r="F204">
        <v>1004013900</v>
      </c>
      <c r="G204" s="1">
        <v>45344</v>
      </c>
      <c r="H204" t="s">
        <v>1360</v>
      </c>
      <c r="I204" t="s">
        <v>1349</v>
      </c>
      <c r="J204" t="s">
        <v>2348</v>
      </c>
      <c r="K204" t="s">
        <v>2308</v>
      </c>
      <c r="L204" t="s">
        <v>2305</v>
      </c>
      <c r="M204" t="s">
        <v>1421</v>
      </c>
      <c r="N204" t="s">
        <v>1422</v>
      </c>
      <c r="O204" t="s">
        <v>1411</v>
      </c>
      <c r="P204" t="s">
        <v>1411</v>
      </c>
      <c r="Q204" t="s">
        <v>1412</v>
      </c>
      <c r="S204" s="1">
        <v>45833</v>
      </c>
      <c r="V204" s="1">
        <v>45831</v>
      </c>
      <c r="W204" s="1">
        <v>36950</v>
      </c>
      <c r="X204" t="s">
        <v>3044</v>
      </c>
      <c r="Y204" t="s">
        <v>3045</v>
      </c>
      <c r="Z204" t="s">
        <v>3046</v>
      </c>
      <c r="AA204" t="s">
        <v>1419</v>
      </c>
      <c r="AB204" t="s">
        <v>3047</v>
      </c>
      <c r="AC204">
        <v>88981160691</v>
      </c>
    </row>
    <row r="205" spans="1:29" x14ac:dyDescent="0.3">
      <c r="A205" t="s">
        <v>1405</v>
      </c>
      <c r="B205" t="s">
        <v>2302</v>
      </c>
      <c r="C205" t="s">
        <v>3048</v>
      </c>
      <c r="D205">
        <v>78961181904</v>
      </c>
      <c r="E205">
        <v>2628539</v>
      </c>
      <c r="F205">
        <v>1004012891</v>
      </c>
      <c r="G205" s="1">
        <v>45182</v>
      </c>
      <c r="H205" t="s">
        <v>1360</v>
      </c>
      <c r="I205" t="s">
        <v>1374</v>
      </c>
      <c r="J205" t="s">
        <v>1361</v>
      </c>
      <c r="K205" t="s">
        <v>2308</v>
      </c>
      <c r="L205" t="s">
        <v>2305</v>
      </c>
      <c r="M205" t="s">
        <v>1409</v>
      </c>
      <c r="N205" t="s">
        <v>1410</v>
      </c>
      <c r="O205" t="s">
        <v>1423</v>
      </c>
      <c r="P205" t="s">
        <v>1423</v>
      </c>
      <c r="Q205" t="s">
        <v>1412</v>
      </c>
      <c r="S205" s="1">
        <v>46043</v>
      </c>
      <c r="W205" s="1">
        <v>27127</v>
      </c>
      <c r="X205" t="s">
        <v>1526</v>
      </c>
      <c r="Y205" t="s">
        <v>1527</v>
      </c>
      <c r="Z205" t="s">
        <v>3049</v>
      </c>
      <c r="AA205" t="s">
        <v>1419</v>
      </c>
      <c r="AB205" t="s">
        <v>3050</v>
      </c>
      <c r="AC205">
        <v>47999024253</v>
      </c>
    </row>
    <row r="206" spans="1:29" x14ac:dyDescent="0.3">
      <c r="A206" t="s">
        <v>1405</v>
      </c>
      <c r="B206" t="s">
        <v>2302</v>
      </c>
      <c r="C206" t="s">
        <v>3051</v>
      </c>
      <c r="D206">
        <v>89341317053</v>
      </c>
      <c r="E206">
        <v>1049620543</v>
      </c>
      <c r="F206">
        <v>1004002939</v>
      </c>
      <c r="G206" s="1">
        <v>43515</v>
      </c>
      <c r="H206" t="s">
        <v>1360</v>
      </c>
      <c r="I206" t="s">
        <v>2317</v>
      </c>
      <c r="J206" t="s">
        <v>2308</v>
      </c>
      <c r="K206" t="s">
        <v>2313</v>
      </c>
      <c r="L206" t="s">
        <v>2305</v>
      </c>
      <c r="M206" t="s">
        <v>1409</v>
      </c>
      <c r="N206" t="s">
        <v>1410</v>
      </c>
      <c r="O206" t="s">
        <v>1423</v>
      </c>
      <c r="P206" t="s">
        <v>1423</v>
      </c>
      <c r="Q206" t="s">
        <v>1412</v>
      </c>
      <c r="S206" s="1">
        <v>43859</v>
      </c>
      <c r="T206" s="1">
        <v>43866</v>
      </c>
      <c r="W206" s="1">
        <v>27687</v>
      </c>
      <c r="X206" t="s">
        <v>1512</v>
      </c>
      <c r="Y206" t="s">
        <v>2639</v>
      </c>
      <c r="Z206" t="s">
        <v>2640</v>
      </c>
      <c r="AA206" t="s">
        <v>1419</v>
      </c>
      <c r="AB206" t="s">
        <v>3052</v>
      </c>
      <c r="AC206">
        <v>55991365336</v>
      </c>
    </row>
    <row r="207" spans="1:29" x14ac:dyDescent="0.3">
      <c r="A207" t="s">
        <v>1405</v>
      </c>
      <c r="B207" t="s">
        <v>2302</v>
      </c>
      <c r="C207" t="s">
        <v>3053</v>
      </c>
      <c r="D207">
        <v>55772722972</v>
      </c>
      <c r="E207">
        <v>1527821</v>
      </c>
      <c r="F207">
        <v>1004008756</v>
      </c>
      <c r="G207" s="1">
        <v>44466</v>
      </c>
      <c r="H207" t="s">
        <v>1360</v>
      </c>
      <c r="I207" t="s">
        <v>1374</v>
      </c>
      <c r="J207" t="s">
        <v>1361</v>
      </c>
      <c r="K207" t="s">
        <v>2308</v>
      </c>
      <c r="L207" t="s">
        <v>2305</v>
      </c>
      <c r="M207" t="s">
        <v>1409</v>
      </c>
      <c r="N207" t="s">
        <v>1422</v>
      </c>
      <c r="O207" t="s">
        <v>1423</v>
      </c>
      <c r="P207" t="s">
        <v>1423</v>
      </c>
      <c r="Q207" t="s">
        <v>1412</v>
      </c>
      <c r="S207" s="1">
        <v>46043</v>
      </c>
      <c r="W207" s="1">
        <v>23353</v>
      </c>
      <c r="X207" t="s">
        <v>1669</v>
      </c>
      <c r="Z207" t="s">
        <v>2876</v>
      </c>
      <c r="AA207" t="s">
        <v>1419</v>
      </c>
      <c r="AB207" t="s">
        <v>3054</v>
      </c>
      <c r="AC207">
        <v>48999245531</v>
      </c>
    </row>
    <row r="208" spans="1:29" x14ac:dyDescent="0.3">
      <c r="A208" t="s">
        <v>1405</v>
      </c>
      <c r="B208" t="s">
        <v>2302</v>
      </c>
      <c r="C208" t="s">
        <v>3055</v>
      </c>
      <c r="D208">
        <v>64430464391</v>
      </c>
      <c r="E208">
        <v>90010050330</v>
      </c>
      <c r="F208">
        <v>1004009304</v>
      </c>
      <c r="G208" s="1">
        <v>44615</v>
      </c>
      <c r="H208" t="s">
        <v>1360</v>
      </c>
      <c r="I208" t="s">
        <v>1374</v>
      </c>
      <c r="J208" t="s">
        <v>1361</v>
      </c>
      <c r="K208" t="s">
        <v>2308</v>
      </c>
      <c r="L208" t="s">
        <v>2305</v>
      </c>
      <c r="M208" t="s">
        <v>1442</v>
      </c>
      <c r="N208" t="s">
        <v>1443</v>
      </c>
      <c r="O208" t="s">
        <v>1411</v>
      </c>
      <c r="P208" t="s">
        <v>1411</v>
      </c>
      <c r="Q208" t="s">
        <v>1412</v>
      </c>
      <c r="S208" s="1">
        <v>46043</v>
      </c>
      <c r="W208" s="1">
        <v>30413</v>
      </c>
      <c r="X208" t="s">
        <v>1507</v>
      </c>
      <c r="Y208" t="s">
        <v>2786</v>
      </c>
      <c r="Z208" t="s">
        <v>2787</v>
      </c>
      <c r="AA208" t="s">
        <v>1419</v>
      </c>
      <c r="AB208" t="s">
        <v>3056</v>
      </c>
      <c r="AC208">
        <v>85988670704</v>
      </c>
    </row>
    <row r="209" spans="1:29" x14ac:dyDescent="0.3">
      <c r="A209" t="s">
        <v>1405</v>
      </c>
      <c r="B209" t="s">
        <v>2302</v>
      </c>
      <c r="C209" t="s">
        <v>3057</v>
      </c>
      <c r="D209">
        <v>5302413310</v>
      </c>
      <c r="E209">
        <v>58803387</v>
      </c>
      <c r="F209">
        <v>1004002789</v>
      </c>
      <c r="G209" s="1">
        <v>43395</v>
      </c>
      <c r="H209" t="s">
        <v>1360</v>
      </c>
      <c r="I209" t="s">
        <v>1374</v>
      </c>
      <c r="J209" t="s">
        <v>2308</v>
      </c>
      <c r="K209" t="s">
        <v>2313</v>
      </c>
      <c r="L209" t="s">
        <v>2305</v>
      </c>
      <c r="M209" t="s">
        <v>1409</v>
      </c>
      <c r="N209" t="s">
        <v>1410</v>
      </c>
      <c r="O209" t="s">
        <v>1411</v>
      </c>
      <c r="P209" t="s">
        <v>1411</v>
      </c>
      <c r="Q209" t="s">
        <v>1412</v>
      </c>
      <c r="S209" s="1">
        <v>46043</v>
      </c>
      <c r="W209" s="1">
        <v>33702</v>
      </c>
      <c r="X209" t="s">
        <v>2851</v>
      </c>
      <c r="Y209" t="s">
        <v>2852</v>
      </c>
      <c r="Z209" t="s">
        <v>2853</v>
      </c>
      <c r="AA209" t="s">
        <v>1419</v>
      </c>
      <c r="AB209" t="s">
        <v>3058</v>
      </c>
      <c r="AC209">
        <v>88981082037</v>
      </c>
    </row>
    <row r="210" spans="1:29" x14ac:dyDescent="0.3">
      <c r="A210" t="s">
        <v>1405</v>
      </c>
      <c r="B210" t="s">
        <v>2302</v>
      </c>
      <c r="C210" t="s">
        <v>3059</v>
      </c>
      <c r="D210">
        <v>77688732549</v>
      </c>
      <c r="E210">
        <v>475476778</v>
      </c>
      <c r="F210">
        <v>42004201961</v>
      </c>
      <c r="G210" s="1">
        <v>42401</v>
      </c>
      <c r="H210" t="s">
        <v>1360</v>
      </c>
      <c r="I210" t="s">
        <v>1374</v>
      </c>
      <c r="J210" t="s">
        <v>2308</v>
      </c>
      <c r="K210" t="s">
        <v>2313</v>
      </c>
      <c r="L210" t="s">
        <v>2305</v>
      </c>
      <c r="M210" t="s">
        <v>1447</v>
      </c>
      <c r="N210" t="s">
        <v>1448</v>
      </c>
      <c r="O210" t="s">
        <v>1423</v>
      </c>
      <c r="P210" t="s">
        <v>1423</v>
      </c>
      <c r="Q210" t="s">
        <v>1412</v>
      </c>
      <c r="S210" s="1">
        <v>46043</v>
      </c>
      <c r="W210" s="1">
        <v>27656</v>
      </c>
      <c r="X210" t="s">
        <v>2117</v>
      </c>
      <c r="Y210" t="s">
        <v>3060</v>
      </c>
      <c r="Z210" t="s">
        <v>3061</v>
      </c>
      <c r="AA210" t="s">
        <v>1419</v>
      </c>
      <c r="AB210" t="s">
        <v>3062</v>
      </c>
      <c r="AC210">
        <v>75999637213</v>
      </c>
    </row>
    <row r="211" spans="1:29" x14ac:dyDescent="0.3">
      <c r="A211" t="s">
        <v>1405</v>
      </c>
      <c r="B211" t="s">
        <v>2302</v>
      </c>
      <c r="C211" t="s">
        <v>3063</v>
      </c>
      <c r="D211">
        <v>96127210097</v>
      </c>
      <c r="E211">
        <v>1076804291</v>
      </c>
      <c r="F211">
        <v>1004002743</v>
      </c>
      <c r="G211" s="1">
        <v>43382</v>
      </c>
      <c r="H211" t="s">
        <v>1360</v>
      </c>
      <c r="I211" t="s">
        <v>1374</v>
      </c>
      <c r="J211" t="s">
        <v>2308</v>
      </c>
      <c r="K211" t="s">
        <v>2313</v>
      </c>
      <c r="L211" t="s">
        <v>2305</v>
      </c>
      <c r="M211" t="s">
        <v>1409</v>
      </c>
      <c r="N211" t="s">
        <v>1410</v>
      </c>
      <c r="O211" t="s">
        <v>1423</v>
      </c>
      <c r="P211" t="s">
        <v>1423</v>
      </c>
      <c r="Q211" t="s">
        <v>1412</v>
      </c>
      <c r="S211" s="1">
        <v>46043</v>
      </c>
      <c r="W211" s="1">
        <v>28657</v>
      </c>
      <c r="X211" t="s">
        <v>1631</v>
      </c>
      <c r="Y211" t="s">
        <v>2447</v>
      </c>
      <c r="Z211" t="s">
        <v>2448</v>
      </c>
      <c r="AA211" t="s">
        <v>1415</v>
      </c>
      <c r="AB211" t="s">
        <v>3064</v>
      </c>
      <c r="AC211">
        <v>51999658445</v>
      </c>
    </row>
    <row r="212" spans="1:29" x14ac:dyDescent="0.3">
      <c r="A212" t="s">
        <v>1405</v>
      </c>
      <c r="B212" t="s">
        <v>2302</v>
      </c>
      <c r="C212" t="s">
        <v>3065</v>
      </c>
      <c r="D212">
        <v>11009033484</v>
      </c>
      <c r="E212">
        <v>9410676</v>
      </c>
      <c r="F212">
        <v>1004006109</v>
      </c>
      <c r="G212" s="1">
        <v>43938</v>
      </c>
      <c r="H212" t="s">
        <v>1360</v>
      </c>
      <c r="I212" t="s">
        <v>1374</v>
      </c>
      <c r="J212" t="s">
        <v>2308</v>
      </c>
      <c r="K212" t="s">
        <v>2313</v>
      </c>
      <c r="L212" t="s">
        <v>2305</v>
      </c>
      <c r="M212" t="s">
        <v>1409</v>
      </c>
      <c r="N212" t="s">
        <v>1410</v>
      </c>
      <c r="O212" t="s">
        <v>1411</v>
      </c>
      <c r="P212" t="s">
        <v>1411</v>
      </c>
      <c r="Q212" t="s">
        <v>1412</v>
      </c>
      <c r="S212" s="1">
        <v>46043</v>
      </c>
      <c r="W212" s="1">
        <v>34526</v>
      </c>
      <c r="X212" t="s">
        <v>3066</v>
      </c>
      <c r="Y212" t="s">
        <v>3067</v>
      </c>
      <c r="Z212" t="s">
        <v>3068</v>
      </c>
      <c r="AA212" t="s">
        <v>1415</v>
      </c>
      <c r="AB212" t="s">
        <v>3069</v>
      </c>
      <c r="AC212">
        <v>87981796968</v>
      </c>
    </row>
    <row r="213" spans="1:29" x14ac:dyDescent="0.3">
      <c r="A213" t="s">
        <v>1405</v>
      </c>
      <c r="B213" t="s">
        <v>2302</v>
      </c>
      <c r="C213" t="s">
        <v>3070</v>
      </c>
      <c r="D213">
        <v>3085934219</v>
      </c>
      <c r="E213">
        <v>7583958</v>
      </c>
      <c r="F213">
        <v>1004003637</v>
      </c>
      <c r="G213" s="1">
        <v>43581</v>
      </c>
      <c r="H213" t="s">
        <v>1360</v>
      </c>
      <c r="I213" t="s">
        <v>1374</v>
      </c>
      <c r="J213" t="s">
        <v>2308</v>
      </c>
      <c r="K213" t="s">
        <v>2313</v>
      </c>
      <c r="L213" t="s">
        <v>2305</v>
      </c>
      <c r="M213" t="s">
        <v>1409</v>
      </c>
      <c r="N213" t="s">
        <v>1410</v>
      </c>
      <c r="O213" t="s">
        <v>1462</v>
      </c>
      <c r="P213" t="s">
        <v>1462</v>
      </c>
      <c r="Q213" t="s">
        <v>1412</v>
      </c>
      <c r="S213" s="1">
        <v>46043</v>
      </c>
      <c r="W213" s="1">
        <v>35258</v>
      </c>
      <c r="X213" t="s">
        <v>2288</v>
      </c>
      <c r="Y213" t="s">
        <v>2553</v>
      </c>
      <c r="Z213" t="s">
        <v>2405</v>
      </c>
      <c r="AA213" t="s">
        <v>1419</v>
      </c>
      <c r="AB213" t="s">
        <v>3071</v>
      </c>
      <c r="AC213">
        <v>91992264102</v>
      </c>
    </row>
    <row r="214" spans="1:29" x14ac:dyDescent="0.3">
      <c r="A214" t="s">
        <v>1405</v>
      </c>
      <c r="B214" t="s">
        <v>2302</v>
      </c>
      <c r="C214" t="s">
        <v>3072</v>
      </c>
      <c r="D214">
        <v>2644714583</v>
      </c>
      <c r="E214">
        <v>919003443</v>
      </c>
      <c r="F214">
        <v>1004000746</v>
      </c>
      <c r="G214" s="1">
        <v>42952</v>
      </c>
      <c r="H214" t="s">
        <v>1360</v>
      </c>
      <c r="I214" t="s">
        <v>1374</v>
      </c>
      <c r="J214" t="s">
        <v>2308</v>
      </c>
      <c r="K214" t="s">
        <v>2313</v>
      </c>
      <c r="L214" t="s">
        <v>2305</v>
      </c>
      <c r="M214" t="s">
        <v>1409</v>
      </c>
      <c r="N214" t="s">
        <v>1410</v>
      </c>
      <c r="O214" t="s">
        <v>1423</v>
      </c>
      <c r="P214" t="s">
        <v>1423</v>
      </c>
      <c r="Q214" t="s">
        <v>1412</v>
      </c>
      <c r="S214" s="1">
        <v>46043</v>
      </c>
      <c r="W214" s="1">
        <v>31493</v>
      </c>
      <c r="X214" t="s">
        <v>2361</v>
      </c>
      <c r="Y214" t="s">
        <v>2362</v>
      </c>
      <c r="Z214" t="s">
        <v>2363</v>
      </c>
      <c r="AA214" t="s">
        <v>1419</v>
      </c>
      <c r="AB214" t="s">
        <v>3073</v>
      </c>
    </row>
    <row r="215" spans="1:29" x14ac:dyDescent="0.3">
      <c r="A215" t="s">
        <v>1405</v>
      </c>
      <c r="B215" t="s">
        <v>2302</v>
      </c>
      <c r="C215" t="s">
        <v>3074</v>
      </c>
      <c r="D215">
        <v>6829955416</v>
      </c>
      <c r="E215">
        <v>7781279</v>
      </c>
      <c r="F215">
        <v>1004011761</v>
      </c>
      <c r="G215" s="1">
        <v>45021</v>
      </c>
      <c r="H215" t="s">
        <v>1360</v>
      </c>
      <c r="I215" t="s">
        <v>1349</v>
      </c>
      <c r="J215" t="s">
        <v>1361</v>
      </c>
      <c r="K215" t="s">
        <v>2308</v>
      </c>
      <c r="L215" t="s">
        <v>2305</v>
      </c>
      <c r="M215" t="s">
        <v>1409</v>
      </c>
      <c r="N215" t="s">
        <v>1410</v>
      </c>
      <c r="O215" t="s">
        <v>1423</v>
      </c>
      <c r="P215" t="s">
        <v>1423</v>
      </c>
      <c r="Q215" t="s">
        <v>1412</v>
      </c>
      <c r="S215" s="1">
        <v>45853</v>
      </c>
      <c r="V215" s="1">
        <v>45852</v>
      </c>
      <c r="W215" s="1">
        <v>31983</v>
      </c>
      <c r="X215" t="s">
        <v>3075</v>
      </c>
      <c r="Y215" t="s">
        <v>3076</v>
      </c>
      <c r="Z215" t="s">
        <v>3077</v>
      </c>
      <c r="AA215" t="s">
        <v>1419</v>
      </c>
      <c r="AB215" t="s">
        <v>3078</v>
      </c>
      <c r="AC215">
        <v>87991114126</v>
      </c>
    </row>
    <row r="216" spans="1:29" x14ac:dyDescent="0.3">
      <c r="A216" t="s">
        <v>1405</v>
      </c>
      <c r="B216" t="s">
        <v>2302</v>
      </c>
      <c r="C216" t="s">
        <v>3079</v>
      </c>
      <c r="D216">
        <v>8744883978</v>
      </c>
      <c r="E216">
        <v>5147614</v>
      </c>
      <c r="F216">
        <v>1004005400</v>
      </c>
      <c r="G216" s="1">
        <v>43881</v>
      </c>
      <c r="H216" t="s">
        <v>1360</v>
      </c>
      <c r="I216" t="s">
        <v>1349</v>
      </c>
      <c r="J216" t="s">
        <v>2308</v>
      </c>
      <c r="K216" t="s">
        <v>2313</v>
      </c>
      <c r="L216" t="s">
        <v>2305</v>
      </c>
      <c r="M216" t="s">
        <v>1409</v>
      </c>
      <c r="N216" t="s">
        <v>1410</v>
      </c>
      <c r="O216" t="s">
        <v>1423</v>
      </c>
      <c r="P216" t="s">
        <v>1423</v>
      </c>
      <c r="Q216" t="s">
        <v>1412</v>
      </c>
      <c r="S216" s="1">
        <v>45761</v>
      </c>
      <c r="V216" s="1">
        <v>45882</v>
      </c>
      <c r="W216" s="1">
        <v>34033</v>
      </c>
      <c r="X216" t="s">
        <v>1833</v>
      </c>
      <c r="Y216" t="s">
        <v>1834</v>
      </c>
      <c r="Z216" t="s">
        <v>2844</v>
      </c>
      <c r="AA216" t="s">
        <v>1419</v>
      </c>
      <c r="AB216" t="s">
        <v>3080</v>
      </c>
      <c r="AC216">
        <v>47984790834</v>
      </c>
    </row>
    <row r="217" spans="1:29" x14ac:dyDescent="0.3">
      <c r="A217" t="s">
        <v>1405</v>
      </c>
      <c r="B217" t="s">
        <v>2302</v>
      </c>
      <c r="C217" t="s">
        <v>3081</v>
      </c>
      <c r="D217">
        <v>96784814053</v>
      </c>
      <c r="E217">
        <v>3075251102</v>
      </c>
      <c r="F217">
        <v>1004013879</v>
      </c>
      <c r="G217" s="1">
        <v>45342</v>
      </c>
      <c r="H217" t="s">
        <v>1360</v>
      </c>
      <c r="I217" t="s">
        <v>1349</v>
      </c>
      <c r="J217" t="s">
        <v>1361</v>
      </c>
      <c r="K217" t="s">
        <v>2308</v>
      </c>
      <c r="L217" t="s">
        <v>2305</v>
      </c>
      <c r="M217" t="s">
        <v>1409</v>
      </c>
      <c r="N217" t="s">
        <v>1410</v>
      </c>
      <c r="O217" t="s">
        <v>1411</v>
      </c>
      <c r="P217" t="s">
        <v>1423</v>
      </c>
      <c r="Q217" t="s">
        <v>1412</v>
      </c>
      <c r="S217" s="1">
        <v>46045</v>
      </c>
      <c r="V217" s="1">
        <v>46053</v>
      </c>
      <c r="W217" s="1">
        <v>29956</v>
      </c>
      <c r="X217" t="s">
        <v>3082</v>
      </c>
      <c r="Y217" t="s">
        <v>2389</v>
      </c>
      <c r="Z217" t="s">
        <v>2337</v>
      </c>
      <c r="AA217" t="s">
        <v>1419</v>
      </c>
      <c r="AB217" t="s">
        <v>3083</v>
      </c>
      <c r="AC217">
        <v>51998716797</v>
      </c>
    </row>
    <row r="218" spans="1:29" x14ac:dyDescent="0.3">
      <c r="A218" t="s">
        <v>1405</v>
      </c>
      <c r="B218" t="s">
        <v>2302</v>
      </c>
      <c r="C218" t="s">
        <v>3084</v>
      </c>
      <c r="D218">
        <v>89583590991</v>
      </c>
      <c r="E218">
        <v>2901461</v>
      </c>
      <c r="F218">
        <v>1004007380</v>
      </c>
      <c r="G218" s="1">
        <v>44257</v>
      </c>
      <c r="H218" t="s">
        <v>1360</v>
      </c>
      <c r="I218" t="s">
        <v>1374</v>
      </c>
      <c r="J218" t="s">
        <v>2308</v>
      </c>
      <c r="K218" t="s">
        <v>2313</v>
      </c>
      <c r="L218" t="s">
        <v>2305</v>
      </c>
      <c r="M218" t="s">
        <v>1409</v>
      </c>
      <c r="N218" t="s">
        <v>1410</v>
      </c>
      <c r="O218" t="s">
        <v>1423</v>
      </c>
      <c r="P218" t="s">
        <v>1423</v>
      </c>
      <c r="Q218" t="s">
        <v>1412</v>
      </c>
      <c r="S218" s="1">
        <v>46043</v>
      </c>
      <c r="W218" s="1">
        <v>26370</v>
      </c>
      <c r="X218" t="s">
        <v>1728</v>
      </c>
      <c r="Y218" t="s">
        <v>1729</v>
      </c>
      <c r="Z218" t="s">
        <v>3085</v>
      </c>
      <c r="AA218" t="s">
        <v>1419</v>
      </c>
      <c r="AB218" t="s">
        <v>3086</v>
      </c>
      <c r="AC218">
        <v>48998334060</v>
      </c>
    </row>
    <row r="219" spans="1:29" x14ac:dyDescent="0.3">
      <c r="A219" t="s">
        <v>1405</v>
      </c>
      <c r="B219" t="s">
        <v>2302</v>
      </c>
      <c r="C219" t="s">
        <v>3087</v>
      </c>
      <c r="D219">
        <v>49205110</v>
      </c>
      <c r="E219">
        <v>14754541</v>
      </c>
      <c r="F219">
        <v>1004004911</v>
      </c>
      <c r="G219" s="1">
        <v>43747</v>
      </c>
      <c r="H219" t="s">
        <v>1360</v>
      </c>
      <c r="I219" t="s">
        <v>1374</v>
      </c>
      <c r="J219" t="s">
        <v>2308</v>
      </c>
      <c r="K219" t="s">
        <v>2313</v>
      </c>
      <c r="L219" t="s">
        <v>2305</v>
      </c>
      <c r="M219" t="s">
        <v>1447</v>
      </c>
      <c r="N219" t="s">
        <v>1448</v>
      </c>
      <c r="O219" t="s">
        <v>1462</v>
      </c>
      <c r="P219" t="s">
        <v>1462</v>
      </c>
      <c r="Q219" t="s">
        <v>1412</v>
      </c>
      <c r="S219" s="1">
        <v>46043</v>
      </c>
      <c r="W219" s="1">
        <v>30664</v>
      </c>
      <c r="X219" t="s">
        <v>1858</v>
      </c>
      <c r="Y219" t="s">
        <v>1762</v>
      </c>
      <c r="Z219" t="s">
        <v>3088</v>
      </c>
      <c r="AA219" t="s">
        <v>1419</v>
      </c>
      <c r="AB219" t="s">
        <v>3089</v>
      </c>
      <c r="AC219">
        <v>65984083770</v>
      </c>
    </row>
    <row r="220" spans="1:29" x14ac:dyDescent="0.3">
      <c r="A220" t="s">
        <v>1405</v>
      </c>
      <c r="B220" t="s">
        <v>2302</v>
      </c>
      <c r="C220" t="s">
        <v>3090</v>
      </c>
      <c r="D220">
        <v>956770975</v>
      </c>
      <c r="E220">
        <v>4119846</v>
      </c>
      <c r="F220">
        <v>1004010464</v>
      </c>
      <c r="G220" s="1">
        <v>44782</v>
      </c>
      <c r="H220" t="s">
        <v>1360</v>
      </c>
      <c r="I220" t="s">
        <v>1349</v>
      </c>
      <c r="J220" t="s">
        <v>1361</v>
      </c>
      <c r="K220" t="s">
        <v>2308</v>
      </c>
      <c r="L220" t="s">
        <v>2305</v>
      </c>
      <c r="M220" t="s">
        <v>1409</v>
      </c>
      <c r="N220" t="s">
        <v>1410</v>
      </c>
      <c r="O220" t="s">
        <v>1423</v>
      </c>
      <c r="P220" t="s">
        <v>1423</v>
      </c>
      <c r="Q220" t="s">
        <v>1412</v>
      </c>
      <c r="S220" s="1">
        <v>45859</v>
      </c>
      <c r="V220" s="1">
        <v>45856</v>
      </c>
      <c r="W220" s="1">
        <v>31499</v>
      </c>
      <c r="X220" t="s">
        <v>2456</v>
      </c>
      <c r="Y220" t="s">
        <v>2457</v>
      </c>
      <c r="Z220" t="s">
        <v>2458</v>
      </c>
      <c r="AA220" t="s">
        <v>1419</v>
      </c>
      <c r="AB220" t="s">
        <v>3091</v>
      </c>
      <c r="AC220">
        <v>47999924130</v>
      </c>
    </row>
    <row r="221" spans="1:29" x14ac:dyDescent="0.3">
      <c r="A221" t="s">
        <v>1405</v>
      </c>
      <c r="B221" t="s">
        <v>2302</v>
      </c>
      <c r="C221" t="s">
        <v>3092</v>
      </c>
      <c r="D221">
        <v>98467980087</v>
      </c>
      <c r="E221">
        <v>4059183189</v>
      </c>
      <c r="F221">
        <v>42004201727</v>
      </c>
      <c r="G221" s="1">
        <v>42401</v>
      </c>
      <c r="H221" t="s">
        <v>1360</v>
      </c>
      <c r="I221" t="s">
        <v>1374</v>
      </c>
      <c r="J221" t="s">
        <v>2308</v>
      </c>
      <c r="K221" t="s">
        <v>2313</v>
      </c>
      <c r="L221" t="s">
        <v>2305</v>
      </c>
      <c r="M221" t="s">
        <v>1447</v>
      </c>
      <c r="N221" t="s">
        <v>1448</v>
      </c>
      <c r="O221" t="s">
        <v>1423</v>
      </c>
      <c r="P221" t="s">
        <v>1423</v>
      </c>
      <c r="Q221" t="s">
        <v>1412</v>
      </c>
      <c r="S221" s="1">
        <v>46043</v>
      </c>
      <c r="W221" s="1">
        <v>29196</v>
      </c>
      <c r="X221" t="s">
        <v>1631</v>
      </c>
      <c r="Y221" t="s">
        <v>2447</v>
      </c>
      <c r="Z221" t="s">
        <v>2448</v>
      </c>
      <c r="AA221" t="s">
        <v>1419</v>
      </c>
      <c r="AB221" t="s">
        <v>3093</v>
      </c>
      <c r="AC221">
        <v>51984522340</v>
      </c>
    </row>
    <row r="222" spans="1:29" x14ac:dyDescent="0.3">
      <c r="A222" t="s">
        <v>1405</v>
      </c>
      <c r="B222" t="s">
        <v>2302</v>
      </c>
      <c r="C222" t="s">
        <v>3094</v>
      </c>
      <c r="D222">
        <v>782784496</v>
      </c>
      <c r="E222">
        <v>4607304</v>
      </c>
      <c r="F222">
        <v>1004017115</v>
      </c>
      <c r="G222" s="1">
        <v>45733</v>
      </c>
      <c r="H222" t="s">
        <v>1360</v>
      </c>
      <c r="I222" t="s">
        <v>1374</v>
      </c>
      <c r="J222" t="s">
        <v>1361</v>
      </c>
      <c r="K222" t="s">
        <v>2308</v>
      </c>
      <c r="L222" t="s">
        <v>2305</v>
      </c>
      <c r="M222" t="s">
        <v>1409</v>
      </c>
      <c r="N222" t="s">
        <v>1410</v>
      </c>
      <c r="O222" t="s">
        <v>1423</v>
      </c>
      <c r="P222" t="s">
        <v>1423</v>
      </c>
      <c r="Q222" t="s">
        <v>1412</v>
      </c>
      <c r="S222" s="1">
        <v>46043</v>
      </c>
      <c r="W222" s="1">
        <v>26433</v>
      </c>
      <c r="X222" t="s">
        <v>3095</v>
      </c>
      <c r="Y222" t="s">
        <v>3096</v>
      </c>
      <c r="Z222" t="s">
        <v>3097</v>
      </c>
      <c r="AA222" t="s">
        <v>1419</v>
      </c>
      <c r="AB222" t="s">
        <v>3098</v>
      </c>
      <c r="AC222">
        <v>81996633623</v>
      </c>
    </row>
    <row r="223" spans="1:29" x14ac:dyDescent="0.3">
      <c r="A223" t="s">
        <v>1405</v>
      </c>
      <c r="B223" t="s">
        <v>2302</v>
      </c>
      <c r="C223" t="s">
        <v>3099</v>
      </c>
      <c r="D223">
        <v>2233105141</v>
      </c>
      <c r="E223">
        <v>5142629</v>
      </c>
      <c r="F223">
        <v>1004017465</v>
      </c>
      <c r="G223" s="1">
        <v>45749</v>
      </c>
      <c r="H223" t="s">
        <v>1360</v>
      </c>
      <c r="I223" t="s">
        <v>1374</v>
      </c>
      <c r="J223" t="s">
        <v>2572</v>
      </c>
      <c r="K223" t="s">
        <v>2573</v>
      </c>
      <c r="L223" t="s">
        <v>2305</v>
      </c>
      <c r="M223" t="s">
        <v>1409</v>
      </c>
      <c r="N223" t="s">
        <v>1410</v>
      </c>
      <c r="O223" t="s">
        <v>1411</v>
      </c>
      <c r="P223" t="s">
        <v>1411</v>
      </c>
      <c r="Q223" t="s">
        <v>1412</v>
      </c>
      <c r="S223" s="1">
        <v>46043</v>
      </c>
      <c r="W223" s="1">
        <v>31889</v>
      </c>
      <c r="X223" t="s">
        <v>3100</v>
      </c>
      <c r="Y223" t="s">
        <v>3101</v>
      </c>
      <c r="Z223" t="s">
        <v>3102</v>
      </c>
      <c r="AA223" t="s">
        <v>1419</v>
      </c>
      <c r="AB223" t="s">
        <v>3103</v>
      </c>
      <c r="AC223">
        <v>6499591269</v>
      </c>
    </row>
    <row r="224" spans="1:29" x14ac:dyDescent="0.3">
      <c r="A224" t="s">
        <v>1405</v>
      </c>
      <c r="B224" t="s">
        <v>2302</v>
      </c>
      <c r="C224" t="s">
        <v>3104</v>
      </c>
      <c r="D224">
        <v>58317112187</v>
      </c>
      <c r="E224">
        <v>664096</v>
      </c>
      <c r="F224">
        <v>1004000082</v>
      </c>
      <c r="G224" s="1">
        <v>42767</v>
      </c>
      <c r="H224" t="s">
        <v>1360</v>
      </c>
      <c r="I224" t="s">
        <v>2317</v>
      </c>
      <c r="J224" t="s">
        <v>2308</v>
      </c>
      <c r="K224" t="s">
        <v>2313</v>
      </c>
      <c r="L224" t="s">
        <v>2305</v>
      </c>
      <c r="M224" t="s">
        <v>1409</v>
      </c>
      <c r="N224" t="s">
        <v>1410</v>
      </c>
      <c r="O224" t="s">
        <v>1423</v>
      </c>
      <c r="P224" t="s">
        <v>1423</v>
      </c>
      <c r="Q224" t="s">
        <v>1412</v>
      </c>
      <c r="S224" s="1">
        <v>45365</v>
      </c>
      <c r="T224" s="1">
        <v>44446</v>
      </c>
      <c r="W224" s="1">
        <v>26612</v>
      </c>
      <c r="X224" t="s">
        <v>3105</v>
      </c>
      <c r="Y224" t="s">
        <v>2400</v>
      </c>
      <c r="Z224" t="s">
        <v>2381</v>
      </c>
      <c r="AA224" t="s">
        <v>1419</v>
      </c>
      <c r="AB224" t="s">
        <v>3106</v>
      </c>
      <c r="AC224">
        <v>6792559092</v>
      </c>
    </row>
    <row r="225" spans="1:29" x14ac:dyDescent="0.3">
      <c r="A225" t="s">
        <v>1405</v>
      </c>
      <c r="B225" t="s">
        <v>2302</v>
      </c>
      <c r="C225" t="s">
        <v>3107</v>
      </c>
      <c r="D225">
        <v>5783457574</v>
      </c>
      <c r="E225">
        <v>1627970444</v>
      </c>
      <c r="F225">
        <v>1004013805</v>
      </c>
      <c r="G225" s="1">
        <v>45341</v>
      </c>
      <c r="H225" t="s">
        <v>1360</v>
      </c>
      <c r="I225" t="s">
        <v>1374</v>
      </c>
      <c r="J225" t="s">
        <v>2572</v>
      </c>
      <c r="K225" t="s">
        <v>2573</v>
      </c>
      <c r="L225" t="s">
        <v>2305</v>
      </c>
      <c r="M225" t="s">
        <v>1409</v>
      </c>
      <c r="N225" t="s">
        <v>1410</v>
      </c>
      <c r="O225" t="s">
        <v>1411</v>
      </c>
      <c r="P225" t="s">
        <v>1411</v>
      </c>
      <c r="Q225" t="s">
        <v>1412</v>
      </c>
      <c r="S225" s="1">
        <v>46043</v>
      </c>
      <c r="W225" s="1">
        <v>34104</v>
      </c>
      <c r="X225" t="s">
        <v>2117</v>
      </c>
      <c r="Y225" t="s">
        <v>3060</v>
      </c>
      <c r="Z225" t="s">
        <v>3061</v>
      </c>
      <c r="AA225" t="s">
        <v>1419</v>
      </c>
      <c r="AB225" t="s">
        <v>3108</v>
      </c>
      <c r="AC225">
        <v>75983524956</v>
      </c>
    </row>
    <row r="226" spans="1:29" x14ac:dyDescent="0.3">
      <c r="A226" t="s">
        <v>1405</v>
      </c>
      <c r="B226" t="s">
        <v>2302</v>
      </c>
      <c r="C226" t="s">
        <v>3109</v>
      </c>
      <c r="D226">
        <v>86123939220</v>
      </c>
      <c r="E226">
        <v>5002505</v>
      </c>
      <c r="F226">
        <v>1004010705</v>
      </c>
      <c r="G226" s="1">
        <v>44812</v>
      </c>
      <c r="H226" t="s">
        <v>1360</v>
      </c>
      <c r="I226" t="s">
        <v>1374</v>
      </c>
      <c r="J226" t="s">
        <v>2348</v>
      </c>
      <c r="K226" t="s">
        <v>2308</v>
      </c>
      <c r="L226" t="s">
        <v>2305</v>
      </c>
      <c r="M226" t="s">
        <v>1409</v>
      </c>
      <c r="N226" t="s">
        <v>1410</v>
      </c>
      <c r="O226" t="s">
        <v>1423</v>
      </c>
      <c r="P226" t="s">
        <v>1423</v>
      </c>
      <c r="Q226" t="s">
        <v>1412</v>
      </c>
      <c r="S226" s="1">
        <v>46043</v>
      </c>
      <c r="W226" s="1">
        <v>31739</v>
      </c>
      <c r="X226" t="s">
        <v>3110</v>
      </c>
      <c r="Y226" t="s">
        <v>3111</v>
      </c>
      <c r="Z226" t="s">
        <v>3112</v>
      </c>
      <c r="AA226" t="s">
        <v>1419</v>
      </c>
      <c r="AB226" t="s">
        <v>3113</v>
      </c>
      <c r="AC226">
        <v>94991923083</v>
      </c>
    </row>
    <row r="227" spans="1:29" x14ac:dyDescent="0.3">
      <c r="A227" t="s">
        <v>1405</v>
      </c>
      <c r="B227" t="s">
        <v>2302</v>
      </c>
      <c r="C227" t="s">
        <v>3114</v>
      </c>
      <c r="D227">
        <v>82374406920</v>
      </c>
      <c r="E227">
        <v>2804024</v>
      </c>
      <c r="F227">
        <v>1004011416</v>
      </c>
      <c r="G227" s="1">
        <v>44989</v>
      </c>
      <c r="H227" t="s">
        <v>1360</v>
      </c>
      <c r="I227" t="s">
        <v>1349</v>
      </c>
      <c r="J227" t="s">
        <v>1361</v>
      </c>
      <c r="K227" t="s">
        <v>2308</v>
      </c>
      <c r="L227" t="s">
        <v>2305</v>
      </c>
      <c r="M227" t="s">
        <v>1421</v>
      </c>
      <c r="N227" t="s">
        <v>1422</v>
      </c>
      <c r="O227" t="s">
        <v>1423</v>
      </c>
      <c r="P227" t="s">
        <v>1423</v>
      </c>
      <c r="Q227" t="s">
        <v>1412</v>
      </c>
      <c r="S227" s="1">
        <v>45848</v>
      </c>
      <c r="V227" s="1">
        <v>45846</v>
      </c>
      <c r="W227" s="1">
        <v>26625</v>
      </c>
      <c r="X227" t="s">
        <v>1669</v>
      </c>
      <c r="Y227" t="s">
        <v>3115</v>
      </c>
      <c r="Z227" t="s">
        <v>2876</v>
      </c>
      <c r="AA227" t="s">
        <v>1419</v>
      </c>
      <c r="AB227" t="s">
        <v>3116</v>
      </c>
      <c r="AC227">
        <v>48999259864</v>
      </c>
    </row>
    <row r="228" spans="1:29" x14ac:dyDescent="0.3">
      <c r="A228" t="s">
        <v>1405</v>
      </c>
      <c r="B228" t="s">
        <v>2302</v>
      </c>
      <c r="C228" t="s">
        <v>3117</v>
      </c>
      <c r="D228">
        <v>95101403920</v>
      </c>
      <c r="E228">
        <v>3327731</v>
      </c>
      <c r="F228">
        <v>1004003759</v>
      </c>
      <c r="G228" s="1">
        <v>43596</v>
      </c>
      <c r="H228" t="s">
        <v>1360</v>
      </c>
      <c r="I228" t="s">
        <v>1349</v>
      </c>
      <c r="J228" t="s">
        <v>2308</v>
      </c>
      <c r="K228" t="s">
        <v>2313</v>
      </c>
      <c r="L228" t="s">
        <v>2305</v>
      </c>
      <c r="M228" t="s">
        <v>1421</v>
      </c>
      <c r="N228" t="s">
        <v>1422</v>
      </c>
      <c r="O228" t="s">
        <v>1423</v>
      </c>
      <c r="P228" t="s">
        <v>1423</v>
      </c>
      <c r="Q228" t="s">
        <v>1412</v>
      </c>
      <c r="S228" s="1">
        <v>45866</v>
      </c>
      <c r="V228" s="1">
        <v>45861</v>
      </c>
      <c r="W228" s="1">
        <v>28455</v>
      </c>
      <c r="X228" t="s">
        <v>3118</v>
      </c>
      <c r="Y228" t="s">
        <v>3115</v>
      </c>
      <c r="Z228" t="s">
        <v>2876</v>
      </c>
      <c r="AA228" t="s">
        <v>1415</v>
      </c>
      <c r="AB228" t="s">
        <v>3119</v>
      </c>
      <c r="AC228">
        <v>4834422535</v>
      </c>
    </row>
    <row r="229" spans="1:29" x14ac:dyDescent="0.3">
      <c r="A229" t="s">
        <v>1405</v>
      </c>
      <c r="B229" t="s">
        <v>2302</v>
      </c>
      <c r="C229" t="s">
        <v>3120</v>
      </c>
      <c r="D229">
        <v>357584902</v>
      </c>
      <c r="E229">
        <v>3699531</v>
      </c>
      <c r="F229">
        <v>1004009325</v>
      </c>
      <c r="G229" s="1">
        <v>44616</v>
      </c>
      <c r="H229" t="s">
        <v>1360</v>
      </c>
      <c r="I229" t="s">
        <v>1374</v>
      </c>
      <c r="J229" t="s">
        <v>1361</v>
      </c>
      <c r="K229" t="s">
        <v>2308</v>
      </c>
      <c r="L229" t="s">
        <v>2305</v>
      </c>
      <c r="M229" t="s">
        <v>1447</v>
      </c>
      <c r="N229" t="s">
        <v>1448</v>
      </c>
      <c r="O229" t="s">
        <v>1423</v>
      </c>
      <c r="P229" t="s">
        <v>1423</v>
      </c>
      <c r="Q229" t="s">
        <v>1412</v>
      </c>
      <c r="S229" s="1">
        <v>46043</v>
      </c>
      <c r="W229" s="1">
        <v>28028</v>
      </c>
      <c r="X229" t="s">
        <v>1485</v>
      </c>
      <c r="Y229" t="s">
        <v>1756</v>
      </c>
      <c r="Z229" t="s">
        <v>2857</v>
      </c>
      <c r="AA229" t="s">
        <v>1415</v>
      </c>
      <c r="AB229" t="s">
        <v>3121</v>
      </c>
      <c r="AC229">
        <v>48984889408</v>
      </c>
    </row>
    <row r="230" spans="1:29" x14ac:dyDescent="0.3">
      <c r="A230" t="s">
        <v>1405</v>
      </c>
      <c r="B230" t="s">
        <v>2302</v>
      </c>
      <c r="C230" t="s">
        <v>3122</v>
      </c>
      <c r="D230">
        <v>81193548349</v>
      </c>
      <c r="E230">
        <v>9700210742500</v>
      </c>
      <c r="F230">
        <v>1004002990</v>
      </c>
      <c r="G230" s="1">
        <v>43517</v>
      </c>
      <c r="H230" t="s">
        <v>1360</v>
      </c>
      <c r="I230" t="s">
        <v>1374</v>
      </c>
      <c r="J230" t="s">
        <v>2308</v>
      </c>
      <c r="K230" t="s">
        <v>2313</v>
      </c>
      <c r="L230" t="s">
        <v>2305</v>
      </c>
      <c r="M230" t="s">
        <v>1409</v>
      </c>
      <c r="N230" t="s">
        <v>1410</v>
      </c>
      <c r="O230" t="s">
        <v>1423</v>
      </c>
      <c r="P230" t="s">
        <v>1423</v>
      </c>
      <c r="Q230" t="s">
        <v>1412</v>
      </c>
      <c r="S230" s="1">
        <v>46043</v>
      </c>
      <c r="W230" s="1">
        <v>29367</v>
      </c>
      <c r="X230" t="s">
        <v>1510</v>
      </c>
      <c r="Y230" t="s">
        <v>2336</v>
      </c>
      <c r="Z230" t="s">
        <v>3123</v>
      </c>
      <c r="AA230" t="s">
        <v>1419</v>
      </c>
      <c r="AB230" t="s">
        <v>3124</v>
      </c>
      <c r="AC230">
        <v>85996948877</v>
      </c>
    </row>
    <row r="231" spans="1:29" x14ac:dyDescent="0.3">
      <c r="A231" t="s">
        <v>1405</v>
      </c>
      <c r="B231" t="s">
        <v>2302</v>
      </c>
      <c r="C231" t="s">
        <v>3125</v>
      </c>
      <c r="D231">
        <v>68539983915</v>
      </c>
      <c r="E231">
        <v>23621001</v>
      </c>
      <c r="F231">
        <v>1004000604</v>
      </c>
      <c r="G231" s="1">
        <v>42949</v>
      </c>
      <c r="H231" t="s">
        <v>1360</v>
      </c>
      <c r="I231" t="s">
        <v>1349</v>
      </c>
      <c r="J231" t="s">
        <v>2308</v>
      </c>
      <c r="K231" t="s">
        <v>2313</v>
      </c>
      <c r="L231" t="s">
        <v>2305</v>
      </c>
      <c r="M231" t="s">
        <v>1409</v>
      </c>
      <c r="N231" t="s">
        <v>1410</v>
      </c>
      <c r="O231" t="s">
        <v>1423</v>
      </c>
      <c r="P231" t="s">
        <v>1423</v>
      </c>
      <c r="Q231" t="s">
        <v>1412</v>
      </c>
      <c r="S231" s="1">
        <v>45875</v>
      </c>
      <c r="V231" s="1">
        <v>45873</v>
      </c>
      <c r="W231" s="1">
        <v>25640</v>
      </c>
      <c r="X231" t="s">
        <v>3126</v>
      </c>
      <c r="Y231" t="s">
        <v>3127</v>
      </c>
      <c r="Z231" t="s">
        <v>2876</v>
      </c>
      <c r="AA231" t="s">
        <v>1419</v>
      </c>
      <c r="AB231" t="s">
        <v>3128</v>
      </c>
    </row>
    <row r="232" spans="1:29" x14ac:dyDescent="0.3">
      <c r="A232" t="s">
        <v>1405</v>
      </c>
      <c r="B232" t="s">
        <v>2302</v>
      </c>
      <c r="C232" t="s">
        <v>3129</v>
      </c>
      <c r="D232">
        <v>52265900591</v>
      </c>
      <c r="E232">
        <v>405868804</v>
      </c>
      <c r="F232">
        <v>1004001512</v>
      </c>
      <c r="G232" s="1">
        <v>43162</v>
      </c>
      <c r="H232" t="s">
        <v>1360</v>
      </c>
      <c r="I232" t="s">
        <v>1374</v>
      </c>
      <c r="J232" t="s">
        <v>2308</v>
      </c>
      <c r="K232" t="s">
        <v>2313</v>
      </c>
      <c r="L232" t="s">
        <v>2305</v>
      </c>
      <c r="M232" t="s">
        <v>1421</v>
      </c>
      <c r="N232" t="s">
        <v>1410</v>
      </c>
      <c r="O232" t="s">
        <v>1462</v>
      </c>
      <c r="P232" t="s">
        <v>1462</v>
      </c>
      <c r="Q232" t="s">
        <v>1412</v>
      </c>
      <c r="S232" s="1">
        <v>46043</v>
      </c>
      <c r="W232" s="1">
        <v>25150</v>
      </c>
      <c r="X232" t="s">
        <v>1954</v>
      </c>
      <c r="Y232" t="s">
        <v>2805</v>
      </c>
      <c r="Z232" t="s">
        <v>2806</v>
      </c>
      <c r="AA232" t="s">
        <v>1415</v>
      </c>
      <c r="AB232" t="s">
        <v>3130</v>
      </c>
      <c r="AC232">
        <v>73988614320</v>
      </c>
    </row>
    <row r="233" spans="1:29" x14ac:dyDescent="0.3">
      <c r="A233" t="s">
        <v>1405</v>
      </c>
      <c r="B233" t="s">
        <v>2302</v>
      </c>
      <c r="C233" t="s">
        <v>3131</v>
      </c>
      <c r="D233">
        <v>4534987366</v>
      </c>
      <c r="E233">
        <v>421686920116</v>
      </c>
      <c r="F233">
        <v>1004010260</v>
      </c>
      <c r="G233" s="1">
        <v>44739</v>
      </c>
      <c r="H233" t="s">
        <v>1360</v>
      </c>
      <c r="I233" t="s">
        <v>2317</v>
      </c>
      <c r="J233" t="s">
        <v>2348</v>
      </c>
      <c r="K233" t="s">
        <v>2308</v>
      </c>
      <c r="L233" t="s">
        <v>2305</v>
      </c>
      <c r="M233" t="s">
        <v>1409</v>
      </c>
      <c r="N233" t="s">
        <v>1410</v>
      </c>
      <c r="O233" t="s">
        <v>1411</v>
      </c>
      <c r="P233" t="s">
        <v>1411</v>
      </c>
      <c r="Q233" t="s">
        <v>1412</v>
      </c>
      <c r="S233" s="1">
        <v>46064</v>
      </c>
      <c r="T233" s="1">
        <v>46062</v>
      </c>
      <c r="U233" s="1">
        <v>46075</v>
      </c>
      <c r="W233" s="1">
        <v>34891</v>
      </c>
      <c r="X233" t="s">
        <v>1613</v>
      </c>
      <c r="Z233" t="s">
        <v>3132</v>
      </c>
      <c r="AA233" t="s">
        <v>1419</v>
      </c>
      <c r="AB233" t="s">
        <v>3133</v>
      </c>
      <c r="AC233">
        <v>98984128782</v>
      </c>
    </row>
    <row r="234" spans="1:29" x14ac:dyDescent="0.3">
      <c r="A234" t="s">
        <v>1405</v>
      </c>
      <c r="B234" t="s">
        <v>2302</v>
      </c>
      <c r="C234" t="s">
        <v>3134</v>
      </c>
      <c r="D234">
        <v>7227410900</v>
      </c>
      <c r="E234">
        <v>4237019</v>
      </c>
      <c r="F234">
        <v>1004004154</v>
      </c>
      <c r="G234" s="1">
        <v>43682</v>
      </c>
      <c r="H234" t="s">
        <v>1360</v>
      </c>
      <c r="I234" t="s">
        <v>1349</v>
      </c>
      <c r="J234" t="s">
        <v>2308</v>
      </c>
      <c r="K234" t="s">
        <v>2313</v>
      </c>
      <c r="L234" t="s">
        <v>2305</v>
      </c>
      <c r="M234" t="s">
        <v>1409</v>
      </c>
      <c r="N234" t="s">
        <v>1410</v>
      </c>
      <c r="O234" t="s">
        <v>1423</v>
      </c>
      <c r="P234" t="s">
        <v>1423</v>
      </c>
      <c r="Q234" t="s">
        <v>1412</v>
      </c>
      <c r="S234" s="1">
        <v>46045</v>
      </c>
      <c r="V234" s="1">
        <v>46042</v>
      </c>
      <c r="W234" s="1">
        <v>33026</v>
      </c>
      <c r="X234" t="s">
        <v>2742</v>
      </c>
      <c r="Y234" t="s">
        <v>3042</v>
      </c>
      <c r="Z234" t="s">
        <v>2743</v>
      </c>
      <c r="AA234" t="s">
        <v>1419</v>
      </c>
      <c r="AB234" t="s">
        <v>3135</v>
      </c>
      <c r="AC234">
        <v>49999308895</v>
      </c>
    </row>
    <row r="235" spans="1:29" x14ac:dyDescent="0.3">
      <c r="A235" t="s">
        <v>1405</v>
      </c>
      <c r="B235" t="s">
        <v>2302</v>
      </c>
      <c r="C235" t="s">
        <v>3136</v>
      </c>
      <c r="D235">
        <v>2914148348</v>
      </c>
      <c r="E235">
        <v>20076718780</v>
      </c>
      <c r="F235">
        <v>1004008923</v>
      </c>
      <c r="G235" s="1">
        <v>44491</v>
      </c>
      <c r="H235" t="s">
        <v>1360</v>
      </c>
      <c r="I235" t="s">
        <v>1525</v>
      </c>
      <c r="J235" t="s">
        <v>1361</v>
      </c>
      <c r="K235" t="s">
        <v>2308</v>
      </c>
      <c r="L235" t="s">
        <v>2305</v>
      </c>
      <c r="M235" t="s">
        <v>1409</v>
      </c>
      <c r="N235" t="s">
        <v>1410</v>
      </c>
      <c r="O235" t="s">
        <v>1423</v>
      </c>
      <c r="P235" t="s">
        <v>1423</v>
      </c>
      <c r="Q235" t="s">
        <v>1412</v>
      </c>
      <c r="S235" s="1">
        <v>46132</v>
      </c>
      <c r="T235" s="1">
        <v>46125</v>
      </c>
      <c r="U235" s="1">
        <v>46244</v>
      </c>
      <c r="W235" s="1">
        <v>33390</v>
      </c>
      <c r="X235" t="s">
        <v>1773</v>
      </c>
      <c r="Y235" t="s">
        <v>3137</v>
      </c>
      <c r="Z235" t="s">
        <v>3138</v>
      </c>
      <c r="AA235" t="s">
        <v>1419</v>
      </c>
      <c r="AB235" t="s">
        <v>3139</v>
      </c>
      <c r="AC235">
        <v>88999462087</v>
      </c>
    </row>
    <row r="236" spans="1:29" x14ac:dyDescent="0.3">
      <c r="A236" t="s">
        <v>1405</v>
      </c>
      <c r="B236" t="s">
        <v>2302</v>
      </c>
      <c r="C236" t="s">
        <v>3140</v>
      </c>
      <c r="D236">
        <v>95357823049</v>
      </c>
      <c r="E236">
        <v>3064150349</v>
      </c>
      <c r="F236">
        <v>1004004197</v>
      </c>
      <c r="G236" s="1">
        <v>43683</v>
      </c>
      <c r="H236" t="s">
        <v>1360</v>
      </c>
      <c r="I236" t="s">
        <v>1349</v>
      </c>
      <c r="J236" t="s">
        <v>2308</v>
      </c>
      <c r="K236" t="s">
        <v>2313</v>
      </c>
      <c r="L236" t="s">
        <v>2305</v>
      </c>
      <c r="M236" t="s">
        <v>1409</v>
      </c>
      <c r="N236" t="s">
        <v>1410</v>
      </c>
      <c r="O236" t="s">
        <v>1423</v>
      </c>
      <c r="P236" t="s">
        <v>1423</v>
      </c>
      <c r="Q236" t="s">
        <v>1412</v>
      </c>
      <c r="S236" s="1">
        <v>45847</v>
      </c>
      <c r="V236" s="1">
        <v>45845</v>
      </c>
      <c r="W236" s="1">
        <v>29394</v>
      </c>
      <c r="X236" t="s">
        <v>3141</v>
      </c>
      <c r="Y236" t="s">
        <v>3142</v>
      </c>
      <c r="Z236" t="s">
        <v>3143</v>
      </c>
      <c r="AA236" t="s">
        <v>1419</v>
      </c>
      <c r="AB236" t="s">
        <v>3144</v>
      </c>
      <c r="AC236">
        <v>51992281871</v>
      </c>
    </row>
    <row r="237" spans="1:29" x14ac:dyDescent="0.3">
      <c r="A237" t="s">
        <v>1405</v>
      </c>
      <c r="B237" t="s">
        <v>2302</v>
      </c>
      <c r="C237" t="s">
        <v>3145</v>
      </c>
      <c r="D237">
        <v>7693223959</v>
      </c>
      <c r="E237">
        <v>5620886</v>
      </c>
      <c r="F237">
        <v>1004007915</v>
      </c>
      <c r="G237" s="1">
        <v>44314</v>
      </c>
      <c r="H237" t="s">
        <v>1360</v>
      </c>
      <c r="I237" t="s">
        <v>1374</v>
      </c>
      <c r="J237" t="s">
        <v>2308</v>
      </c>
      <c r="K237" t="s">
        <v>2313</v>
      </c>
      <c r="L237" t="s">
        <v>2305</v>
      </c>
      <c r="M237" t="s">
        <v>1409</v>
      </c>
      <c r="N237" t="s">
        <v>1410</v>
      </c>
      <c r="O237" t="s">
        <v>1423</v>
      </c>
      <c r="P237" t="s">
        <v>1423</v>
      </c>
      <c r="Q237" t="s">
        <v>1412</v>
      </c>
      <c r="S237" s="1">
        <v>46043</v>
      </c>
      <c r="W237" s="1">
        <v>33253</v>
      </c>
      <c r="X237" t="s">
        <v>3146</v>
      </c>
      <c r="Y237" t="s">
        <v>3147</v>
      </c>
      <c r="Z237" t="s">
        <v>2610</v>
      </c>
      <c r="AA237" t="s">
        <v>1419</v>
      </c>
      <c r="AB237" t="s">
        <v>3148</v>
      </c>
      <c r="AC237">
        <v>47996783501</v>
      </c>
    </row>
    <row r="238" spans="1:29" x14ac:dyDescent="0.3">
      <c r="A238" t="s">
        <v>1405</v>
      </c>
      <c r="B238" t="s">
        <v>2302</v>
      </c>
      <c r="C238" t="s">
        <v>3149</v>
      </c>
      <c r="D238">
        <v>95894012520</v>
      </c>
      <c r="F238">
        <v>1004002408</v>
      </c>
      <c r="G238" s="1">
        <v>43322</v>
      </c>
      <c r="H238" t="s">
        <v>1360</v>
      </c>
      <c r="I238" t="s">
        <v>1349</v>
      </c>
      <c r="J238" t="s">
        <v>2308</v>
      </c>
      <c r="K238" t="s">
        <v>2313</v>
      </c>
      <c r="L238" t="s">
        <v>2305</v>
      </c>
      <c r="M238" t="s">
        <v>3150</v>
      </c>
      <c r="N238" t="s">
        <v>1410</v>
      </c>
      <c r="O238" t="s">
        <v>1411</v>
      </c>
      <c r="P238" t="s">
        <v>1411</v>
      </c>
      <c r="Q238" t="s">
        <v>1412</v>
      </c>
      <c r="S238" s="1">
        <v>45909</v>
      </c>
      <c r="V238" s="1">
        <v>45908</v>
      </c>
      <c r="W238" s="1">
        <v>29371</v>
      </c>
      <c r="X238" t="s">
        <v>1479</v>
      </c>
      <c r="Y238" t="s">
        <v>3151</v>
      </c>
      <c r="Z238" t="s">
        <v>3152</v>
      </c>
      <c r="AA238" t="s">
        <v>1419</v>
      </c>
      <c r="AB238" t="s">
        <v>3153</v>
      </c>
    </row>
    <row r="239" spans="1:29" x14ac:dyDescent="0.3">
      <c r="A239" t="s">
        <v>1405</v>
      </c>
      <c r="B239" t="s">
        <v>2302</v>
      </c>
      <c r="C239" t="s">
        <v>3154</v>
      </c>
      <c r="D239">
        <v>809090279</v>
      </c>
      <c r="E239">
        <v>6618384</v>
      </c>
      <c r="F239">
        <v>1004018599</v>
      </c>
      <c r="G239" s="1">
        <v>45845</v>
      </c>
      <c r="H239" t="s">
        <v>1360</v>
      </c>
      <c r="I239" t="s">
        <v>1374</v>
      </c>
      <c r="J239" t="s">
        <v>2308</v>
      </c>
      <c r="K239" t="s">
        <v>2313</v>
      </c>
      <c r="L239" t="s">
        <v>2305</v>
      </c>
      <c r="M239" t="s">
        <v>1447</v>
      </c>
      <c r="N239" t="s">
        <v>1448</v>
      </c>
      <c r="O239" t="s">
        <v>1411</v>
      </c>
      <c r="P239" t="s">
        <v>1411</v>
      </c>
      <c r="Q239" t="s">
        <v>1412</v>
      </c>
      <c r="S239" s="1">
        <v>46043</v>
      </c>
      <c r="W239" s="1">
        <v>33037</v>
      </c>
      <c r="X239" t="s">
        <v>3155</v>
      </c>
      <c r="Y239" t="s">
        <v>3156</v>
      </c>
      <c r="Z239" t="s">
        <v>2494</v>
      </c>
      <c r="AA239" t="s">
        <v>1415</v>
      </c>
      <c r="AB239" t="s">
        <v>3157</v>
      </c>
      <c r="AC239">
        <v>62998583918</v>
      </c>
    </row>
    <row r="240" spans="1:29" x14ac:dyDescent="0.3">
      <c r="A240" t="s">
        <v>1405</v>
      </c>
      <c r="B240" t="s">
        <v>2302</v>
      </c>
      <c r="C240" t="s">
        <v>3158</v>
      </c>
      <c r="D240">
        <v>11105865746</v>
      </c>
      <c r="E240">
        <v>213562093</v>
      </c>
      <c r="F240">
        <v>1004003173</v>
      </c>
      <c r="G240" s="1">
        <v>43544</v>
      </c>
      <c r="H240" t="s">
        <v>1360</v>
      </c>
      <c r="I240" t="s">
        <v>1374</v>
      </c>
      <c r="J240" t="s">
        <v>2308</v>
      </c>
      <c r="K240" t="s">
        <v>2313</v>
      </c>
      <c r="L240" t="s">
        <v>2305</v>
      </c>
      <c r="M240" t="s">
        <v>1409</v>
      </c>
      <c r="N240" t="s">
        <v>1410</v>
      </c>
      <c r="O240" t="s">
        <v>1411</v>
      </c>
      <c r="P240" t="s">
        <v>1411</v>
      </c>
      <c r="Q240" t="s">
        <v>1412</v>
      </c>
      <c r="S240" s="1">
        <v>46043</v>
      </c>
      <c r="W240" s="1">
        <v>31483</v>
      </c>
      <c r="X240" t="s">
        <v>1922</v>
      </c>
      <c r="Y240" t="s">
        <v>3159</v>
      </c>
      <c r="Z240" t="s">
        <v>3006</v>
      </c>
      <c r="AA240" t="s">
        <v>1415</v>
      </c>
      <c r="AB240" t="s">
        <v>3160</v>
      </c>
      <c r="AC240">
        <v>22988422813</v>
      </c>
    </row>
    <row r="241" spans="1:29" x14ac:dyDescent="0.3">
      <c r="A241" t="s">
        <v>1405</v>
      </c>
      <c r="B241" t="s">
        <v>2302</v>
      </c>
      <c r="C241" t="s">
        <v>3161</v>
      </c>
      <c r="D241">
        <v>8269366951</v>
      </c>
      <c r="E241">
        <v>4834143</v>
      </c>
      <c r="F241">
        <v>1004017085</v>
      </c>
      <c r="G241" s="1">
        <v>45728</v>
      </c>
      <c r="H241" t="s">
        <v>1360</v>
      </c>
      <c r="I241" t="s">
        <v>1374</v>
      </c>
      <c r="J241" t="s">
        <v>1361</v>
      </c>
      <c r="K241" t="s">
        <v>2308</v>
      </c>
      <c r="L241" t="s">
        <v>2305</v>
      </c>
      <c r="M241" t="s">
        <v>1409</v>
      </c>
      <c r="N241" t="s">
        <v>1410</v>
      </c>
      <c r="O241" t="s">
        <v>1423</v>
      </c>
      <c r="P241" t="s">
        <v>1423</v>
      </c>
      <c r="Q241" t="s">
        <v>1412</v>
      </c>
      <c r="S241" s="1">
        <v>46043</v>
      </c>
      <c r="W241" s="1">
        <v>33971</v>
      </c>
      <c r="X241" t="s">
        <v>3162</v>
      </c>
      <c r="Y241" t="s">
        <v>3163</v>
      </c>
      <c r="Z241" t="s">
        <v>2320</v>
      </c>
      <c r="AA241" t="s">
        <v>1415</v>
      </c>
      <c r="AB241" t="s">
        <v>3164</v>
      </c>
      <c r="AC241">
        <v>47988958292</v>
      </c>
    </row>
    <row r="242" spans="1:29" x14ac:dyDescent="0.3">
      <c r="A242" t="s">
        <v>1405</v>
      </c>
      <c r="B242" t="s">
        <v>2302</v>
      </c>
      <c r="C242" t="s">
        <v>3165</v>
      </c>
      <c r="D242">
        <v>7490254922</v>
      </c>
      <c r="F242">
        <v>1004011689</v>
      </c>
      <c r="G242" s="1">
        <v>45013</v>
      </c>
      <c r="H242" t="s">
        <v>1360</v>
      </c>
      <c r="I242" t="s">
        <v>1349</v>
      </c>
      <c r="J242" t="s">
        <v>1361</v>
      </c>
      <c r="K242" t="s">
        <v>2308</v>
      </c>
      <c r="L242" t="s">
        <v>2305</v>
      </c>
      <c r="M242" t="s">
        <v>1409</v>
      </c>
      <c r="N242" t="s">
        <v>1410</v>
      </c>
      <c r="O242" t="s">
        <v>1411</v>
      </c>
      <c r="P242" t="s">
        <v>1411</v>
      </c>
      <c r="Q242" t="s">
        <v>1412</v>
      </c>
      <c r="S242" s="1">
        <v>45883</v>
      </c>
      <c r="V242" s="1">
        <v>45884</v>
      </c>
      <c r="W242" s="1">
        <v>33066</v>
      </c>
      <c r="X242" t="s">
        <v>1563</v>
      </c>
      <c r="Y242" t="s">
        <v>1564</v>
      </c>
      <c r="Z242" t="s">
        <v>2610</v>
      </c>
      <c r="AA242" t="s">
        <v>1415</v>
      </c>
      <c r="AB242" t="s">
        <v>3166</v>
      </c>
      <c r="AC242">
        <v>47996569935</v>
      </c>
    </row>
    <row r="243" spans="1:29" x14ac:dyDescent="0.3">
      <c r="A243" t="s">
        <v>1405</v>
      </c>
      <c r="B243" t="s">
        <v>2302</v>
      </c>
      <c r="C243" t="s">
        <v>3167</v>
      </c>
      <c r="D243">
        <v>2646873964</v>
      </c>
      <c r="E243" s="3">
        <v>8290890</v>
      </c>
      <c r="F243">
        <v>1004022508</v>
      </c>
      <c r="G243" s="1">
        <v>46125</v>
      </c>
      <c r="H243" t="s">
        <v>1360</v>
      </c>
      <c r="I243" t="s">
        <v>1374</v>
      </c>
      <c r="J243" t="s">
        <v>2308</v>
      </c>
      <c r="K243" t="s">
        <v>2313</v>
      </c>
      <c r="L243" t="s">
        <v>2305</v>
      </c>
      <c r="M243" t="s">
        <v>1409</v>
      </c>
      <c r="N243" t="s">
        <v>1410</v>
      </c>
      <c r="O243" t="s">
        <v>1423</v>
      </c>
      <c r="P243" t="s">
        <v>1423</v>
      </c>
      <c r="Q243" t="s">
        <v>1412</v>
      </c>
      <c r="S243" s="1">
        <v>46122</v>
      </c>
      <c r="W243" s="1">
        <v>28850</v>
      </c>
      <c r="X243" t="s">
        <v>2766</v>
      </c>
      <c r="Y243" t="s">
        <v>2767</v>
      </c>
      <c r="Z243" t="s">
        <v>2818</v>
      </c>
      <c r="AA243" t="s">
        <v>1419</v>
      </c>
      <c r="AB243" t="s">
        <v>3168</v>
      </c>
      <c r="AC243">
        <v>47999116848</v>
      </c>
    </row>
    <row r="244" spans="1:29" x14ac:dyDescent="0.3">
      <c r="A244" t="s">
        <v>1405</v>
      </c>
      <c r="B244" t="s">
        <v>2302</v>
      </c>
      <c r="C244" t="s">
        <v>3169</v>
      </c>
      <c r="D244">
        <v>2530792500</v>
      </c>
      <c r="E244">
        <v>1297352726</v>
      </c>
      <c r="F244">
        <v>1004015417</v>
      </c>
      <c r="G244" s="1">
        <v>45516</v>
      </c>
      <c r="H244" t="s">
        <v>1360</v>
      </c>
      <c r="I244" t="s">
        <v>1349</v>
      </c>
      <c r="J244" t="s">
        <v>2348</v>
      </c>
      <c r="K244" t="s">
        <v>2308</v>
      </c>
      <c r="L244" t="s">
        <v>2305</v>
      </c>
      <c r="M244" t="s">
        <v>1421</v>
      </c>
      <c r="N244" t="s">
        <v>1422</v>
      </c>
      <c r="O244" t="s">
        <v>1423</v>
      </c>
      <c r="P244" t="s">
        <v>1423</v>
      </c>
      <c r="Q244" t="s">
        <v>1412</v>
      </c>
      <c r="S244" s="1">
        <v>45740</v>
      </c>
      <c r="V244" s="1">
        <v>45737</v>
      </c>
      <c r="W244" s="1">
        <v>32548</v>
      </c>
      <c r="X244" t="s">
        <v>2117</v>
      </c>
      <c r="Y244" t="s">
        <v>3060</v>
      </c>
      <c r="Z244" t="s">
        <v>3061</v>
      </c>
      <c r="AA244" t="s">
        <v>1415</v>
      </c>
      <c r="AB244" t="s">
        <v>3170</v>
      </c>
      <c r="AC244">
        <v>75981570746</v>
      </c>
    </row>
    <row r="245" spans="1:29" x14ac:dyDescent="0.3">
      <c r="A245" t="s">
        <v>1405</v>
      </c>
      <c r="B245" t="s">
        <v>2302</v>
      </c>
      <c r="C245" t="s">
        <v>3171</v>
      </c>
      <c r="D245">
        <v>93894090049</v>
      </c>
      <c r="E245">
        <v>4068574039</v>
      </c>
      <c r="F245">
        <v>1004008398</v>
      </c>
      <c r="G245" s="1">
        <v>44418</v>
      </c>
      <c r="H245" t="s">
        <v>1360</v>
      </c>
      <c r="I245" t="s">
        <v>1374</v>
      </c>
      <c r="J245" t="s">
        <v>1361</v>
      </c>
      <c r="K245" t="s">
        <v>2308</v>
      </c>
      <c r="L245" t="s">
        <v>2305</v>
      </c>
      <c r="M245" t="s">
        <v>1409</v>
      </c>
      <c r="N245" t="s">
        <v>1410</v>
      </c>
      <c r="O245" t="s">
        <v>1423</v>
      </c>
      <c r="P245" t="s">
        <v>1423</v>
      </c>
      <c r="Q245" t="s">
        <v>1412</v>
      </c>
      <c r="S245" s="1">
        <v>46045</v>
      </c>
      <c r="W245" s="1">
        <v>28670</v>
      </c>
      <c r="X245" t="s">
        <v>3172</v>
      </c>
      <c r="Y245" t="s">
        <v>3173</v>
      </c>
      <c r="Z245" t="s">
        <v>2378</v>
      </c>
      <c r="AA245" t="s">
        <v>1419</v>
      </c>
      <c r="AB245" t="s">
        <v>3174</v>
      </c>
      <c r="AC245">
        <v>51991169950</v>
      </c>
    </row>
    <row r="246" spans="1:29" x14ac:dyDescent="0.3">
      <c r="A246" t="s">
        <v>1405</v>
      </c>
      <c r="B246" t="s">
        <v>2302</v>
      </c>
      <c r="C246" t="s">
        <v>3175</v>
      </c>
      <c r="D246">
        <v>99119439091</v>
      </c>
      <c r="E246">
        <v>1086196209</v>
      </c>
      <c r="F246">
        <v>1004001344</v>
      </c>
      <c r="G246" s="1">
        <v>43150</v>
      </c>
      <c r="H246" t="s">
        <v>1360</v>
      </c>
      <c r="I246" t="s">
        <v>1374</v>
      </c>
      <c r="J246" t="s">
        <v>2308</v>
      </c>
      <c r="K246" t="s">
        <v>2313</v>
      </c>
      <c r="L246" t="s">
        <v>2305</v>
      </c>
      <c r="M246" t="s">
        <v>1447</v>
      </c>
      <c r="N246" t="s">
        <v>1448</v>
      </c>
      <c r="O246" t="s">
        <v>1423</v>
      </c>
      <c r="P246" t="s">
        <v>1423</v>
      </c>
      <c r="Q246" t="s">
        <v>1412</v>
      </c>
      <c r="S246" s="1">
        <v>46043</v>
      </c>
      <c r="W246" s="1">
        <v>29034</v>
      </c>
      <c r="X246" t="s">
        <v>2980</v>
      </c>
      <c r="Y246" t="s">
        <v>1756</v>
      </c>
      <c r="Z246" t="s">
        <v>3176</v>
      </c>
      <c r="AA246" t="s">
        <v>1419</v>
      </c>
      <c r="AB246" t="s">
        <v>3177</v>
      </c>
      <c r="AC246">
        <v>5199477278</v>
      </c>
    </row>
    <row r="247" spans="1:29" x14ac:dyDescent="0.3">
      <c r="A247" t="s">
        <v>1405</v>
      </c>
      <c r="B247" t="s">
        <v>2302</v>
      </c>
      <c r="C247" t="s">
        <v>3178</v>
      </c>
      <c r="D247">
        <v>49813889004</v>
      </c>
      <c r="E247">
        <v>6044644653</v>
      </c>
      <c r="F247">
        <v>1004003026</v>
      </c>
      <c r="G247" s="1">
        <v>43518</v>
      </c>
      <c r="H247" t="s">
        <v>1360</v>
      </c>
      <c r="I247" t="s">
        <v>1349</v>
      </c>
      <c r="J247" t="s">
        <v>2308</v>
      </c>
      <c r="K247" t="s">
        <v>2313</v>
      </c>
      <c r="L247" t="s">
        <v>2305</v>
      </c>
      <c r="M247" t="s">
        <v>1409</v>
      </c>
      <c r="N247" t="s">
        <v>1410</v>
      </c>
      <c r="O247" t="s">
        <v>1423</v>
      </c>
      <c r="P247" t="s">
        <v>1423</v>
      </c>
      <c r="Q247" t="s">
        <v>1412</v>
      </c>
      <c r="S247" s="1">
        <v>45855</v>
      </c>
      <c r="V247" s="1">
        <v>45854</v>
      </c>
      <c r="W247" s="1">
        <v>25491</v>
      </c>
      <c r="X247" t="s">
        <v>3179</v>
      </c>
      <c r="Y247" t="s">
        <v>3180</v>
      </c>
      <c r="Z247" t="s">
        <v>3181</v>
      </c>
      <c r="AA247" t="s">
        <v>1419</v>
      </c>
      <c r="AB247" t="s">
        <v>3182</v>
      </c>
      <c r="AC247">
        <v>51999319995</v>
      </c>
    </row>
    <row r="248" spans="1:29" x14ac:dyDescent="0.3">
      <c r="A248" t="s">
        <v>1405</v>
      </c>
      <c r="B248" t="s">
        <v>2302</v>
      </c>
      <c r="C248" t="s">
        <v>3183</v>
      </c>
      <c r="D248">
        <v>4386219480</v>
      </c>
      <c r="E248">
        <v>2566589</v>
      </c>
      <c r="F248">
        <v>1004013927</v>
      </c>
      <c r="G248" s="1">
        <v>45355</v>
      </c>
      <c r="H248" t="s">
        <v>1360</v>
      </c>
      <c r="I248" t="s">
        <v>1374</v>
      </c>
      <c r="J248" t="s">
        <v>1361</v>
      </c>
      <c r="K248" t="s">
        <v>2308</v>
      </c>
      <c r="L248" t="s">
        <v>2305</v>
      </c>
      <c r="M248" t="s">
        <v>1409</v>
      </c>
      <c r="N248" t="s">
        <v>1410</v>
      </c>
      <c r="O248" t="s">
        <v>1411</v>
      </c>
      <c r="P248" t="s">
        <v>1411</v>
      </c>
      <c r="Q248" t="s">
        <v>1412</v>
      </c>
      <c r="S248" s="1">
        <v>46069</v>
      </c>
      <c r="W248" s="1">
        <v>30052</v>
      </c>
      <c r="X248" t="s">
        <v>3184</v>
      </c>
      <c r="Y248" t="s">
        <v>3185</v>
      </c>
      <c r="Z248" t="s">
        <v>3186</v>
      </c>
      <c r="AA248" t="s">
        <v>1419</v>
      </c>
      <c r="AB248" t="s">
        <v>3187</v>
      </c>
      <c r="AC248">
        <v>83991181593</v>
      </c>
    </row>
    <row r="249" spans="1:29" x14ac:dyDescent="0.3">
      <c r="A249" t="s">
        <v>1405</v>
      </c>
      <c r="B249" t="s">
        <v>2302</v>
      </c>
      <c r="C249" t="s">
        <v>3188</v>
      </c>
      <c r="D249">
        <v>1023520974</v>
      </c>
      <c r="E249">
        <v>5053190</v>
      </c>
      <c r="F249">
        <v>1004016811</v>
      </c>
      <c r="G249" s="1">
        <v>45705</v>
      </c>
      <c r="H249" t="s">
        <v>1360</v>
      </c>
      <c r="I249" t="s">
        <v>1374</v>
      </c>
      <c r="J249" t="s">
        <v>1361</v>
      </c>
      <c r="K249" t="s">
        <v>2308</v>
      </c>
      <c r="L249" t="s">
        <v>2305</v>
      </c>
      <c r="M249" t="s">
        <v>1409</v>
      </c>
      <c r="N249" t="s">
        <v>1410</v>
      </c>
      <c r="O249" t="s">
        <v>1423</v>
      </c>
      <c r="P249" t="s">
        <v>1423</v>
      </c>
      <c r="Q249" t="s">
        <v>1412</v>
      </c>
      <c r="S249" s="1">
        <v>46043</v>
      </c>
      <c r="W249" s="1">
        <v>31935</v>
      </c>
      <c r="X249" t="s">
        <v>1665</v>
      </c>
      <c r="Z249" t="s">
        <v>3189</v>
      </c>
      <c r="AA249" t="s">
        <v>1419</v>
      </c>
      <c r="AB249" t="s">
        <v>3190</v>
      </c>
      <c r="AC249">
        <v>47988431273</v>
      </c>
    </row>
    <row r="250" spans="1:29" x14ac:dyDescent="0.3">
      <c r="A250" t="s">
        <v>1405</v>
      </c>
      <c r="B250" t="s">
        <v>2302</v>
      </c>
      <c r="C250" t="s">
        <v>3191</v>
      </c>
      <c r="D250">
        <v>10408625783</v>
      </c>
      <c r="E250">
        <v>313277956</v>
      </c>
      <c r="F250">
        <v>1004011542</v>
      </c>
      <c r="G250" s="1">
        <v>44993</v>
      </c>
      <c r="H250" t="s">
        <v>1360</v>
      </c>
      <c r="I250" t="s">
        <v>1374</v>
      </c>
      <c r="J250" t="s">
        <v>1361</v>
      </c>
      <c r="K250" t="s">
        <v>2308</v>
      </c>
      <c r="L250" t="s">
        <v>2305</v>
      </c>
      <c r="M250" t="s">
        <v>1409</v>
      </c>
      <c r="N250" t="s">
        <v>1410</v>
      </c>
      <c r="O250" t="s">
        <v>1423</v>
      </c>
      <c r="P250" t="s">
        <v>1423</v>
      </c>
      <c r="Q250" t="s">
        <v>1412</v>
      </c>
      <c r="S250" s="1">
        <v>46043</v>
      </c>
      <c r="W250" s="1">
        <v>29542</v>
      </c>
      <c r="X250" t="s">
        <v>3192</v>
      </c>
      <c r="Z250" t="s">
        <v>3193</v>
      </c>
      <c r="AA250" t="s">
        <v>1419</v>
      </c>
      <c r="AB250" t="s">
        <v>3194</v>
      </c>
      <c r="AC250">
        <v>21971273279</v>
      </c>
    </row>
    <row r="251" spans="1:29" x14ac:dyDescent="0.3">
      <c r="A251" t="s">
        <v>1405</v>
      </c>
      <c r="B251" t="s">
        <v>2302</v>
      </c>
      <c r="C251" t="s">
        <v>3195</v>
      </c>
      <c r="D251">
        <v>8645974606</v>
      </c>
      <c r="E251">
        <v>14299466</v>
      </c>
      <c r="F251">
        <v>1004012346</v>
      </c>
      <c r="G251" s="1">
        <v>45098</v>
      </c>
      <c r="H251" t="s">
        <v>1360</v>
      </c>
      <c r="I251" t="s">
        <v>1349</v>
      </c>
      <c r="J251" t="s">
        <v>1361</v>
      </c>
      <c r="K251" t="s">
        <v>2308</v>
      </c>
      <c r="L251" t="s">
        <v>2305</v>
      </c>
      <c r="M251" t="s">
        <v>1409</v>
      </c>
      <c r="N251" t="s">
        <v>1422</v>
      </c>
      <c r="O251" t="s">
        <v>1423</v>
      </c>
      <c r="P251" t="s">
        <v>1423</v>
      </c>
      <c r="Q251" t="s">
        <v>1412</v>
      </c>
      <c r="S251" s="1">
        <v>45904</v>
      </c>
      <c r="V251" s="1">
        <v>45901</v>
      </c>
      <c r="W251" s="1">
        <v>31911</v>
      </c>
      <c r="X251" t="s">
        <v>3196</v>
      </c>
      <c r="Z251" t="s">
        <v>3197</v>
      </c>
      <c r="AA251" t="s">
        <v>1419</v>
      </c>
      <c r="AB251" t="s">
        <v>3198</v>
      </c>
      <c r="AC251">
        <v>34991172954</v>
      </c>
    </row>
    <row r="252" spans="1:29" x14ac:dyDescent="0.3">
      <c r="A252" t="s">
        <v>1405</v>
      </c>
      <c r="B252" t="s">
        <v>2302</v>
      </c>
      <c r="C252" t="s">
        <v>3199</v>
      </c>
      <c r="D252">
        <v>80694853372</v>
      </c>
      <c r="E252">
        <v>950021806590</v>
      </c>
      <c r="F252">
        <v>1004009711</v>
      </c>
      <c r="G252" s="1">
        <v>44664</v>
      </c>
      <c r="H252" t="s">
        <v>1360</v>
      </c>
      <c r="I252" t="s">
        <v>1374</v>
      </c>
      <c r="J252" t="s">
        <v>1361</v>
      </c>
      <c r="K252" t="s">
        <v>2308</v>
      </c>
      <c r="L252" t="s">
        <v>2305</v>
      </c>
      <c r="M252" t="s">
        <v>1409</v>
      </c>
      <c r="N252" t="s">
        <v>1410</v>
      </c>
      <c r="O252" t="s">
        <v>1423</v>
      </c>
      <c r="P252" t="s">
        <v>1423</v>
      </c>
      <c r="Q252" t="s">
        <v>1412</v>
      </c>
      <c r="S252" s="1">
        <v>46043</v>
      </c>
      <c r="W252" s="1">
        <v>28110</v>
      </c>
      <c r="X252" t="s">
        <v>1507</v>
      </c>
      <c r="Y252" t="s">
        <v>2786</v>
      </c>
      <c r="Z252" t="s">
        <v>2452</v>
      </c>
      <c r="AA252" t="s">
        <v>1419</v>
      </c>
      <c r="AB252" t="s">
        <v>3200</v>
      </c>
      <c r="AC252">
        <v>8598096582</v>
      </c>
    </row>
    <row r="253" spans="1:29" x14ac:dyDescent="0.3">
      <c r="A253" t="s">
        <v>1405</v>
      </c>
      <c r="B253" t="s">
        <v>2302</v>
      </c>
      <c r="C253" t="s">
        <v>3201</v>
      </c>
      <c r="D253">
        <v>2129893597</v>
      </c>
      <c r="E253">
        <v>1325066290</v>
      </c>
      <c r="F253">
        <v>42004201583</v>
      </c>
      <c r="G253" s="1">
        <v>42219</v>
      </c>
      <c r="H253" t="s">
        <v>1360</v>
      </c>
      <c r="I253" t="s">
        <v>1349</v>
      </c>
      <c r="J253" t="s">
        <v>2308</v>
      </c>
      <c r="K253" t="s">
        <v>2313</v>
      </c>
      <c r="L253" t="s">
        <v>2305</v>
      </c>
      <c r="M253" t="s">
        <v>1409</v>
      </c>
      <c r="N253" t="s">
        <v>1410</v>
      </c>
      <c r="O253" t="s">
        <v>1423</v>
      </c>
      <c r="P253" t="s">
        <v>1423</v>
      </c>
      <c r="Q253" t="s">
        <v>1412</v>
      </c>
      <c r="S253" s="1">
        <v>45750</v>
      </c>
      <c r="V253" s="1">
        <v>45748</v>
      </c>
      <c r="W253" s="1">
        <v>31835</v>
      </c>
      <c r="X253" t="s">
        <v>2361</v>
      </c>
      <c r="Y253" t="s">
        <v>2362</v>
      </c>
      <c r="Z253" t="s">
        <v>2363</v>
      </c>
      <c r="AA253" t="s">
        <v>1419</v>
      </c>
      <c r="AB253" t="s">
        <v>3202</v>
      </c>
      <c r="AC253">
        <v>7592641570</v>
      </c>
    </row>
    <row r="254" spans="1:29" x14ac:dyDescent="0.3">
      <c r="A254" t="s">
        <v>1405</v>
      </c>
      <c r="B254" t="s">
        <v>2302</v>
      </c>
      <c r="C254" t="s">
        <v>3203</v>
      </c>
      <c r="D254">
        <v>2409668135</v>
      </c>
      <c r="E254" t="s">
        <v>3204</v>
      </c>
      <c r="F254">
        <v>1004021900</v>
      </c>
      <c r="G254" s="1">
        <v>46099</v>
      </c>
      <c r="H254" t="s">
        <v>1360</v>
      </c>
      <c r="I254" t="s">
        <v>1374</v>
      </c>
      <c r="J254" t="s">
        <v>2308</v>
      </c>
      <c r="K254" t="s">
        <v>2313</v>
      </c>
      <c r="L254" t="s">
        <v>2305</v>
      </c>
      <c r="M254" t="s">
        <v>1442</v>
      </c>
      <c r="N254" t="s">
        <v>1443</v>
      </c>
      <c r="O254" t="s">
        <v>1411</v>
      </c>
      <c r="P254" t="s">
        <v>1411</v>
      </c>
      <c r="Q254" t="s">
        <v>1412</v>
      </c>
      <c r="S254" s="1">
        <v>46097</v>
      </c>
      <c r="W254" s="1">
        <v>33912</v>
      </c>
      <c r="X254" t="s">
        <v>3205</v>
      </c>
      <c r="Z254" t="s">
        <v>3206</v>
      </c>
      <c r="AA254" t="s">
        <v>1415</v>
      </c>
      <c r="AB254" t="s">
        <v>3207</v>
      </c>
      <c r="AC254">
        <v>6399736249</v>
      </c>
    </row>
    <row r="255" spans="1:29" x14ac:dyDescent="0.3">
      <c r="A255" t="s">
        <v>1405</v>
      </c>
      <c r="B255" t="s">
        <v>2302</v>
      </c>
      <c r="C255" t="s">
        <v>3208</v>
      </c>
      <c r="D255">
        <v>81503628515</v>
      </c>
      <c r="E255">
        <v>1423464</v>
      </c>
      <c r="F255">
        <v>1004003533</v>
      </c>
      <c r="G255" s="1">
        <v>43573</v>
      </c>
      <c r="H255" t="s">
        <v>1360</v>
      </c>
      <c r="I255" t="s">
        <v>2317</v>
      </c>
      <c r="J255" t="s">
        <v>2308</v>
      </c>
      <c r="K255" t="s">
        <v>2313</v>
      </c>
      <c r="L255" t="s">
        <v>2305</v>
      </c>
      <c r="M255" t="s">
        <v>1409</v>
      </c>
      <c r="N255" t="s">
        <v>1410</v>
      </c>
      <c r="O255" t="s">
        <v>1423</v>
      </c>
      <c r="P255" t="s">
        <v>1423</v>
      </c>
      <c r="Q255" t="s">
        <v>1412</v>
      </c>
      <c r="S255" s="1">
        <v>44356</v>
      </c>
      <c r="T255" s="1">
        <v>44347</v>
      </c>
      <c r="W255" s="1">
        <v>29673</v>
      </c>
      <c r="X255" t="s">
        <v>1428</v>
      </c>
      <c r="Z255" t="s">
        <v>3209</v>
      </c>
      <c r="AA255" t="s">
        <v>1419</v>
      </c>
      <c r="AB255" t="s">
        <v>3210</v>
      </c>
      <c r="AC255">
        <v>79999612839</v>
      </c>
    </row>
    <row r="256" spans="1:29" x14ac:dyDescent="0.3">
      <c r="A256" t="s">
        <v>1405</v>
      </c>
      <c r="B256" t="s">
        <v>2302</v>
      </c>
      <c r="C256" t="s">
        <v>3211</v>
      </c>
      <c r="D256">
        <v>11253807485</v>
      </c>
      <c r="E256">
        <v>9259852</v>
      </c>
      <c r="F256">
        <v>1004018123</v>
      </c>
      <c r="G256" s="1">
        <v>45791</v>
      </c>
      <c r="H256" t="s">
        <v>1360</v>
      </c>
      <c r="I256" t="s">
        <v>1374</v>
      </c>
      <c r="J256" t="s">
        <v>1361</v>
      </c>
      <c r="K256" t="s">
        <v>2308</v>
      </c>
      <c r="L256" t="s">
        <v>2305</v>
      </c>
      <c r="M256" t="s">
        <v>1409</v>
      </c>
      <c r="N256" t="s">
        <v>1410</v>
      </c>
      <c r="O256" t="s">
        <v>1439</v>
      </c>
      <c r="P256" t="s">
        <v>1439</v>
      </c>
      <c r="Q256" t="s">
        <v>1412</v>
      </c>
      <c r="S256" s="1">
        <v>46043</v>
      </c>
      <c r="W256" s="1">
        <v>35391</v>
      </c>
      <c r="X256" t="s">
        <v>3212</v>
      </c>
      <c r="Y256" t="s">
        <v>3213</v>
      </c>
      <c r="Z256" t="s">
        <v>3214</v>
      </c>
      <c r="AA256" t="s">
        <v>1419</v>
      </c>
      <c r="AB256" t="s">
        <v>3215</v>
      </c>
      <c r="AC256">
        <v>87999128496</v>
      </c>
    </row>
    <row r="257" spans="1:29" x14ac:dyDescent="0.3">
      <c r="A257" t="s">
        <v>1405</v>
      </c>
      <c r="B257" t="s">
        <v>2302</v>
      </c>
      <c r="C257" t="s">
        <v>3216</v>
      </c>
      <c r="D257">
        <v>1910776076</v>
      </c>
      <c r="E257">
        <v>4102123215</v>
      </c>
      <c r="F257">
        <v>1004017554</v>
      </c>
      <c r="G257" s="1">
        <v>45754</v>
      </c>
      <c r="H257" t="s">
        <v>1360</v>
      </c>
      <c r="I257" t="s">
        <v>1374</v>
      </c>
      <c r="J257" t="s">
        <v>1361</v>
      </c>
      <c r="K257" t="s">
        <v>2308</v>
      </c>
      <c r="L257" t="s">
        <v>2305</v>
      </c>
      <c r="M257" t="s">
        <v>1409</v>
      </c>
      <c r="N257" t="s">
        <v>1410</v>
      </c>
      <c r="O257" t="s">
        <v>1423</v>
      </c>
      <c r="P257" t="s">
        <v>1423</v>
      </c>
      <c r="Q257" t="s">
        <v>1412</v>
      </c>
      <c r="S257" s="1">
        <v>46043</v>
      </c>
      <c r="W257" s="1">
        <v>33044</v>
      </c>
      <c r="X257" t="s">
        <v>1576</v>
      </c>
      <c r="Y257" t="s">
        <v>1577</v>
      </c>
      <c r="Z257" t="s">
        <v>3000</v>
      </c>
      <c r="AA257" t="s">
        <v>1415</v>
      </c>
      <c r="AB257" t="s">
        <v>3217</v>
      </c>
      <c r="AC257">
        <v>4792178563</v>
      </c>
    </row>
    <row r="258" spans="1:29" x14ac:dyDescent="0.3">
      <c r="A258" t="s">
        <v>1405</v>
      </c>
      <c r="B258" t="s">
        <v>2302</v>
      </c>
      <c r="C258" t="s">
        <v>3218</v>
      </c>
      <c r="D258">
        <v>60647115310</v>
      </c>
      <c r="E258">
        <v>20077531978</v>
      </c>
      <c r="F258">
        <v>1004008802</v>
      </c>
      <c r="G258" s="1">
        <v>44475</v>
      </c>
      <c r="H258" t="s">
        <v>1360</v>
      </c>
      <c r="I258" t="s">
        <v>1374</v>
      </c>
      <c r="J258" t="s">
        <v>1361</v>
      </c>
      <c r="K258" t="s">
        <v>2308</v>
      </c>
      <c r="L258" t="s">
        <v>2305</v>
      </c>
      <c r="M258" t="s">
        <v>1421</v>
      </c>
      <c r="N258" t="s">
        <v>1443</v>
      </c>
      <c r="O258" t="s">
        <v>1411</v>
      </c>
      <c r="P258" t="s">
        <v>1411</v>
      </c>
      <c r="Q258" t="s">
        <v>1412</v>
      </c>
      <c r="S258" s="1">
        <v>46043</v>
      </c>
      <c r="W258" s="1">
        <v>35103</v>
      </c>
      <c r="X258" t="s">
        <v>1460</v>
      </c>
      <c r="Z258" t="s">
        <v>3219</v>
      </c>
      <c r="AA258" t="s">
        <v>1419</v>
      </c>
      <c r="AB258" t="s">
        <v>3220</v>
      </c>
      <c r="AC258">
        <v>85998510942</v>
      </c>
    </row>
    <row r="259" spans="1:29" x14ac:dyDescent="0.3">
      <c r="A259" t="s">
        <v>1405</v>
      </c>
      <c r="B259" t="s">
        <v>2302</v>
      </c>
      <c r="C259" t="s">
        <v>3221</v>
      </c>
      <c r="D259">
        <v>1781203164</v>
      </c>
      <c r="E259">
        <v>18750559</v>
      </c>
      <c r="F259">
        <v>1004006629</v>
      </c>
      <c r="G259" s="1">
        <v>44060</v>
      </c>
      <c r="H259" t="s">
        <v>1360</v>
      </c>
      <c r="I259" t="s">
        <v>1374</v>
      </c>
      <c r="J259" t="s">
        <v>2308</v>
      </c>
      <c r="K259" t="s">
        <v>2313</v>
      </c>
      <c r="L259" t="s">
        <v>2305</v>
      </c>
      <c r="M259" t="s">
        <v>1421</v>
      </c>
      <c r="N259" t="s">
        <v>1410</v>
      </c>
      <c r="O259" t="s">
        <v>1411</v>
      </c>
      <c r="P259" t="s">
        <v>1411</v>
      </c>
      <c r="Q259" t="s">
        <v>1412</v>
      </c>
      <c r="S259" s="1">
        <v>46043</v>
      </c>
      <c r="W259" s="1">
        <v>31673</v>
      </c>
      <c r="X259" t="s">
        <v>1858</v>
      </c>
      <c r="Z259" t="s">
        <v>2873</v>
      </c>
      <c r="AA259" t="s">
        <v>1415</v>
      </c>
      <c r="AB259" t="s">
        <v>3222</v>
      </c>
      <c r="AC259">
        <v>65992355721</v>
      </c>
    </row>
    <row r="260" spans="1:29" x14ac:dyDescent="0.3">
      <c r="A260" t="s">
        <v>1405</v>
      </c>
      <c r="B260" t="s">
        <v>2302</v>
      </c>
      <c r="C260" t="s">
        <v>3223</v>
      </c>
      <c r="D260">
        <v>9437311781</v>
      </c>
      <c r="E260" t="s">
        <v>3224</v>
      </c>
      <c r="F260">
        <v>1004016807</v>
      </c>
      <c r="G260" s="1">
        <v>45705</v>
      </c>
      <c r="H260" t="s">
        <v>1360</v>
      </c>
      <c r="I260" t="s">
        <v>1374</v>
      </c>
      <c r="J260" t="s">
        <v>1361</v>
      </c>
      <c r="K260" t="s">
        <v>2308</v>
      </c>
      <c r="L260" t="s">
        <v>2305</v>
      </c>
      <c r="M260" t="s">
        <v>1447</v>
      </c>
      <c r="N260" t="s">
        <v>1448</v>
      </c>
      <c r="O260" t="s">
        <v>1423</v>
      </c>
      <c r="P260" t="s">
        <v>1423</v>
      </c>
      <c r="Q260" t="s">
        <v>1412</v>
      </c>
      <c r="S260" s="1">
        <v>46043</v>
      </c>
      <c r="W260" s="1">
        <v>29853</v>
      </c>
      <c r="X260" t="s">
        <v>1721</v>
      </c>
      <c r="Z260" t="s">
        <v>3225</v>
      </c>
      <c r="AA260" t="s">
        <v>1419</v>
      </c>
      <c r="AB260" t="s">
        <v>3226</v>
      </c>
      <c r="AC260">
        <v>22996200257</v>
      </c>
    </row>
    <row r="261" spans="1:29" x14ac:dyDescent="0.3">
      <c r="A261" t="s">
        <v>1405</v>
      </c>
      <c r="B261" t="s">
        <v>2302</v>
      </c>
      <c r="C261" t="s">
        <v>3227</v>
      </c>
      <c r="D261">
        <v>45637911215</v>
      </c>
      <c r="E261">
        <v>11323418</v>
      </c>
      <c r="F261">
        <v>42004201237</v>
      </c>
      <c r="G261" s="1">
        <v>42037</v>
      </c>
      <c r="H261" t="s">
        <v>1360</v>
      </c>
      <c r="I261" t="s">
        <v>1349</v>
      </c>
      <c r="J261" t="s">
        <v>2308</v>
      </c>
      <c r="K261" t="s">
        <v>2313</v>
      </c>
      <c r="L261" t="s">
        <v>2305</v>
      </c>
      <c r="M261" t="s">
        <v>1409</v>
      </c>
      <c r="N261" t="s">
        <v>1410</v>
      </c>
      <c r="O261" t="s">
        <v>1423</v>
      </c>
      <c r="P261" t="s">
        <v>1423</v>
      </c>
      <c r="Q261" t="s">
        <v>1412</v>
      </c>
      <c r="S261" s="1">
        <v>45762</v>
      </c>
      <c r="V261" s="1">
        <v>45761</v>
      </c>
      <c r="W261" s="1">
        <v>27309</v>
      </c>
      <c r="X261" t="s">
        <v>3228</v>
      </c>
      <c r="Y261" t="s">
        <v>3229</v>
      </c>
      <c r="Z261" t="s">
        <v>2800</v>
      </c>
      <c r="AA261" t="s">
        <v>1419</v>
      </c>
      <c r="AB261" t="s">
        <v>3230</v>
      </c>
      <c r="AC261">
        <v>92992888383</v>
      </c>
    </row>
    <row r="262" spans="1:29" x14ac:dyDescent="0.3">
      <c r="A262" t="s">
        <v>1405</v>
      </c>
      <c r="B262" t="s">
        <v>2302</v>
      </c>
      <c r="C262" t="s">
        <v>3231</v>
      </c>
      <c r="D262">
        <v>1661152074</v>
      </c>
      <c r="E262">
        <v>6090343119</v>
      </c>
      <c r="F262">
        <v>1004010727</v>
      </c>
      <c r="G262" s="1">
        <v>44810</v>
      </c>
      <c r="H262" t="s">
        <v>1360</v>
      </c>
      <c r="I262" t="s">
        <v>1349</v>
      </c>
      <c r="J262" t="s">
        <v>2348</v>
      </c>
      <c r="K262" t="s">
        <v>2308</v>
      </c>
      <c r="L262" t="s">
        <v>2305</v>
      </c>
      <c r="M262" t="s">
        <v>1442</v>
      </c>
      <c r="N262" t="s">
        <v>1443</v>
      </c>
      <c r="O262" t="s">
        <v>1423</v>
      </c>
      <c r="P262" t="s">
        <v>1423</v>
      </c>
      <c r="Q262" t="s">
        <v>1412</v>
      </c>
      <c r="S262" s="1">
        <v>45855</v>
      </c>
      <c r="V262" s="1">
        <v>45854</v>
      </c>
      <c r="W262" s="1">
        <v>31654</v>
      </c>
      <c r="X262" t="s">
        <v>1512</v>
      </c>
      <c r="Z262" t="s">
        <v>3232</v>
      </c>
      <c r="AA262" t="s">
        <v>1419</v>
      </c>
      <c r="AB262" t="s">
        <v>3233</v>
      </c>
      <c r="AC262">
        <v>51980238248</v>
      </c>
    </row>
    <row r="263" spans="1:29" x14ac:dyDescent="0.3">
      <c r="A263" t="s">
        <v>1405</v>
      </c>
      <c r="B263" t="s">
        <v>2302</v>
      </c>
      <c r="C263" t="s">
        <v>3234</v>
      </c>
      <c r="D263">
        <v>7389217774</v>
      </c>
      <c r="E263">
        <v>108811589</v>
      </c>
      <c r="F263">
        <v>1004011299</v>
      </c>
      <c r="G263" s="1">
        <v>44985</v>
      </c>
      <c r="H263" t="s">
        <v>1360</v>
      </c>
      <c r="I263" t="s">
        <v>1349</v>
      </c>
      <c r="J263" t="s">
        <v>1361</v>
      </c>
      <c r="K263" t="s">
        <v>2308</v>
      </c>
      <c r="L263" t="s">
        <v>2305</v>
      </c>
      <c r="M263" t="s">
        <v>1421</v>
      </c>
      <c r="N263" t="s">
        <v>1422</v>
      </c>
      <c r="O263" t="s">
        <v>1423</v>
      </c>
      <c r="P263" t="s">
        <v>1423</v>
      </c>
      <c r="Q263" t="s">
        <v>1412</v>
      </c>
      <c r="S263" s="1">
        <v>45854</v>
      </c>
      <c r="V263" s="1">
        <v>45853</v>
      </c>
      <c r="W263" s="1">
        <v>28020</v>
      </c>
      <c r="X263" t="s">
        <v>2412</v>
      </c>
      <c r="Z263" t="s">
        <v>2926</v>
      </c>
      <c r="AA263" t="s">
        <v>1419</v>
      </c>
      <c r="AB263" t="s">
        <v>3235</v>
      </c>
      <c r="AC263">
        <v>21986321023</v>
      </c>
    </row>
    <row r="264" spans="1:29" x14ac:dyDescent="0.3">
      <c r="A264" t="s">
        <v>1405</v>
      </c>
      <c r="B264" t="s">
        <v>2302</v>
      </c>
      <c r="C264" t="s">
        <v>3236</v>
      </c>
      <c r="D264">
        <v>4535051550</v>
      </c>
      <c r="E264">
        <v>1546702512</v>
      </c>
      <c r="F264">
        <v>1004021899</v>
      </c>
      <c r="G264" s="1">
        <v>46099</v>
      </c>
      <c r="H264" t="s">
        <v>1360</v>
      </c>
      <c r="I264" t="s">
        <v>1374</v>
      </c>
      <c r="J264" t="s">
        <v>2308</v>
      </c>
      <c r="K264" t="s">
        <v>2313</v>
      </c>
      <c r="L264" t="s">
        <v>2305</v>
      </c>
      <c r="M264" t="s">
        <v>1409</v>
      </c>
      <c r="N264" t="s">
        <v>1410</v>
      </c>
      <c r="O264" t="s">
        <v>1411</v>
      </c>
      <c r="P264" t="s">
        <v>1411</v>
      </c>
      <c r="Q264" t="s">
        <v>1412</v>
      </c>
      <c r="S264" s="1">
        <v>46097</v>
      </c>
      <c r="W264" s="1">
        <v>32203</v>
      </c>
      <c r="X264" t="s">
        <v>2705</v>
      </c>
      <c r="Z264" t="s">
        <v>2706</v>
      </c>
      <c r="AA264" t="s">
        <v>1419</v>
      </c>
      <c r="AB264" t="s">
        <v>3237</v>
      </c>
      <c r="AC264">
        <v>75991942929</v>
      </c>
    </row>
    <row r="265" spans="1:29" x14ac:dyDescent="0.3">
      <c r="A265" t="s">
        <v>1405</v>
      </c>
      <c r="B265" t="s">
        <v>2302</v>
      </c>
      <c r="C265" t="s">
        <v>3238</v>
      </c>
      <c r="D265">
        <v>1746630051</v>
      </c>
      <c r="E265">
        <v>5096778013</v>
      </c>
      <c r="F265">
        <v>1004003551</v>
      </c>
      <c r="G265" s="1">
        <v>43572</v>
      </c>
      <c r="H265" t="s">
        <v>1360</v>
      </c>
      <c r="I265" t="s">
        <v>1374</v>
      </c>
      <c r="J265" t="s">
        <v>2308</v>
      </c>
      <c r="K265" t="s">
        <v>2313</v>
      </c>
      <c r="L265" t="s">
        <v>2305</v>
      </c>
      <c r="M265" t="s">
        <v>1409</v>
      </c>
      <c r="N265" t="s">
        <v>1410</v>
      </c>
      <c r="O265" t="s">
        <v>1423</v>
      </c>
      <c r="P265" t="s">
        <v>1423</v>
      </c>
      <c r="Q265" t="s">
        <v>1412</v>
      </c>
      <c r="S265" s="1">
        <v>46043</v>
      </c>
      <c r="W265" s="1">
        <v>32102</v>
      </c>
      <c r="X265" t="s">
        <v>3239</v>
      </c>
      <c r="Y265" t="s">
        <v>2389</v>
      </c>
      <c r="Z265" t="s">
        <v>2607</v>
      </c>
      <c r="AA265" t="s">
        <v>1419</v>
      </c>
      <c r="AB265" t="s">
        <v>3240</v>
      </c>
      <c r="AC265">
        <v>51981740001</v>
      </c>
    </row>
    <row r="266" spans="1:29" x14ac:dyDescent="0.3">
      <c r="A266" t="s">
        <v>1405</v>
      </c>
      <c r="B266" t="s">
        <v>2302</v>
      </c>
      <c r="C266" t="s">
        <v>3241</v>
      </c>
      <c r="D266">
        <v>78566614968</v>
      </c>
      <c r="E266">
        <v>2345539</v>
      </c>
      <c r="F266">
        <v>1004000043</v>
      </c>
      <c r="G266" s="1">
        <v>42767</v>
      </c>
      <c r="H266" t="s">
        <v>1360</v>
      </c>
      <c r="I266" t="s">
        <v>1349</v>
      </c>
      <c r="J266" t="s">
        <v>2308</v>
      </c>
      <c r="K266" t="s">
        <v>2313</v>
      </c>
      <c r="L266" t="s">
        <v>2305</v>
      </c>
      <c r="M266" t="s">
        <v>1409</v>
      </c>
      <c r="N266" t="s">
        <v>1410</v>
      </c>
      <c r="O266" t="s">
        <v>1423</v>
      </c>
      <c r="P266" t="s">
        <v>1423</v>
      </c>
      <c r="Q266" t="s">
        <v>1412</v>
      </c>
      <c r="S266" s="1">
        <v>46093</v>
      </c>
      <c r="V266" s="1">
        <v>46092</v>
      </c>
      <c r="W266" s="1">
        <v>26888</v>
      </c>
      <c r="X266" t="s">
        <v>3242</v>
      </c>
      <c r="Y266" t="s">
        <v>2457</v>
      </c>
      <c r="Z266" t="s">
        <v>2458</v>
      </c>
      <c r="AA266" t="s">
        <v>1419</v>
      </c>
      <c r="AB266" t="s">
        <v>3243</v>
      </c>
      <c r="AC266">
        <v>4796087530</v>
      </c>
    </row>
    <row r="267" spans="1:29" x14ac:dyDescent="0.3">
      <c r="A267" t="s">
        <v>1405</v>
      </c>
      <c r="B267" t="s">
        <v>2302</v>
      </c>
      <c r="C267" t="s">
        <v>3244</v>
      </c>
      <c r="D267">
        <v>821958119</v>
      </c>
      <c r="E267">
        <v>4635678</v>
      </c>
      <c r="F267">
        <v>1004003207</v>
      </c>
      <c r="G267" s="1">
        <v>43535</v>
      </c>
      <c r="H267" t="s">
        <v>1360</v>
      </c>
      <c r="I267" t="s">
        <v>1374</v>
      </c>
      <c r="J267" t="s">
        <v>2308</v>
      </c>
      <c r="K267" t="s">
        <v>2313</v>
      </c>
      <c r="L267" t="s">
        <v>2305</v>
      </c>
      <c r="M267" t="s">
        <v>1409</v>
      </c>
      <c r="N267" t="s">
        <v>1410</v>
      </c>
      <c r="O267" t="s">
        <v>1411</v>
      </c>
      <c r="P267" t="s">
        <v>1411</v>
      </c>
      <c r="Q267" t="s">
        <v>1412</v>
      </c>
      <c r="S267" s="1">
        <v>46043</v>
      </c>
      <c r="W267" s="1">
        <v>31220</v>
      </c>
      <c r="X267" t="s">
        <v>1617</v>
      </c>
      <c r="Y267" t="s">
        <v>3245</v>
      </c>
      <c r="Z267" t="s">
        <v>2536</v>
      </c>
      <c r="AA267" t="s">
        <v>1419</v>
      </c>
      <c r="AB267" t="s">
        <v>3246</v>
      </c>
      <c r="AC267">
        <v>6299252720</v>
      </c>
    </row>
    <row r="268" spans="1:29" x14ac:dyDescent="0.3">
      <c r="A268" t="s">
        <v>1405</v>
      </c>
      <c r="B268" t="s">
        <v>2302</v>
      </c>
      <c r="C268" t="s">
        <v>3247</v>
      </c>
      <c r="D268">
        <v>10644235403</v>
      </c>
      <c r="E268">
        <v>8999804</v>
      </c>
      <c r="F268">
        <v>1004011238</v>
      </c>
      <c r="G268" s="1">
        <v>44986</v>
      </c>
      <c r="H268" t="s">
        <v>1360</v>
      </c>
      <c r="I268" t="s">
        <v>1374</v>
      </c>
      <c r="J268" t="s">
        <v>1361</v>
      </c>
      <c r="K268" t="s">
        <v>2308</v>
      </c>
      <c r="L268" t="s">
        <v>2305</v>
      </c>
      <c r="M268" t="s">
        <v>1409</v>
      </c>
      <c r="N268" t="s">
        <v>1410</v>
      </c>
      <c r="O268" t="s">
        <v>1423</v>
      </c>
      <c r="P268" t="s">
        <v>1423</v>
      </c>
      <c r="Q268" t="s">
        <v>1412</v>
      </c>
      <c r="S268" s="1">
        <v>46043</v>
      </c>
      <c r="W268" s="1">
        <v>34606</v>
      </c>
      <c r="X268" t="s">
        <v>3248</v>
      </c>
      <c r="Y268" t="s">
        <v>3249</v>
      </c>
      <c r="Z268" t="s">
        <v>3077</v>
      </c>
      <c r="AA268" t="s">
        <v>1419</v>
      </c>
      <c r="AB268" t="s">
        <v>3250</v>
      </c>
      <c r="AC268">
        <v>81985771587</v>
      </c>
    </row>
    <row r="269" spans="1:29" x14ac:dyDescent="0.3">
      <c r="A269" t="s">
        <v>1405</v>
      </c>
      <c r="B269" t="s">
        <v>2302</v>
      </c>
      <c r="C269" t="s">
        <v>3251</v>
      </c>
      <c r="D269">
        <v>61174777087</v>
      </c>
      <c r="E269">
        <v>1036316601</v>
      </c>
      <c r="F269">
        <v>42004201175</v>
      </c>
      <c r="G269" s="1">
        <v>42037</v>
      </c>
      <c r="H269" t="s">
        <v>1360</v>
      </c>
      <c r="I269" t="s">
        <v>2317</v>
      </c>
      <c r="J269" t="s">
        <v>2308</v>
      </c>
      <c r="K269" t="s">
        <v>2313</v>
      </c>
      <c r="L269" t="s">
        <v>2305</v>
      </c>
      <c r="M269" t="s">
        <v>1409</v>
      </c>
      <c r="N269" t="s">
        <v>1410</v>
      </c>
      <c r="O269" t="s">
        <v>1423</v>
      </c>
      <c r="P269" t="s">
        <v>1423</v>
      </c>
      <c r="Q269" t="s">
        <v>1412</v>
      </c>
      <c r="S269" s="1">
        <v>46108</v>
      </c>
      <c r="T269" s="1">
        <v>46092</v>
      </c>
      <c r="W269" s="1">
        <v>25818</v>
      </c>
      <c r="X269" t="s">
        <v>1631</v>
      </c>
      <c r="Y269" t="s">
        <v>2447</v>
      </c>
      <c r="Z269" t="s">
        <v>2448</v>
      </c>
      <c r="AA269" t="s">
        <v>1419</v>
      </c>
      <c r="AB269" t="s">
        <v>3252</v>
      </c>
      <c r="AC269">
        <v>5199709163</v>
      </c>
    </row>
    <row r="270" spans="1:29" x14ac:dyDescent="0.3">
      <c r="A270" t="s">
        <v>1405</v>
      </c>
      <c r="B270" t="s">
        <v>2302</v>
      </c>
      <c r="C270" t="s">
        <v>3253</v>
      </c>
      <c r="D270">
        <v>1568873204</v>
      </c>
      <c r="E270">
        <v>6690547</v>
      </c>
      <c r="F270">
        <v>1004004857</v>
      </c>
      <c r="G270" s="1">
        <v>43742</v>
      </c>
      <c r="H270" t="s">
        <v>1360</v>
      </c>
      <c r="I270" t="s">
        <v>1349</v>
      </c>
      <c r="J270" t="s">
        <v>2308</v>
      </c>
      <c r="K270" t="s">
        <v>2313</v>
      </c>
      <c r="L270" t="s">
        <v>2305</v>
      </c>
      <c r="M270" t="s">
        <v>1409</v>
      </c>
      <c r="N270" t="s">
        <v>1410</v>
      </c>
      <c r="O270" t="s">
        <v>1411</v>
      </c>
      <c r="P270" t="s">
        <v>1411</v>
      </c>
      <c r="Q270" t="s">
        <v>1412</v>
      </c>
      <c r="S270" s="1">
        <v>46065</v>
      </c>
      <c r="V270" s="1">
        <v>46062</v>
      </c>
      <c r="W270" s="1">
        <v>34075</v>
      </c>
      <c r="X270" t="s">
        <v>3254</v>
      </c>
      <c r="Y270" t="s">
        <v>3255</v>
      </c>
      <c r="Z270" t="s">
        <v>3256</v>
      </c>
      <c r="AA270" t="s">
        <v>1415</v>
      </c>
      <c r="AB270" t="s">
        <v>3257</v>
      </c>
      <c r="AC270">
        <v>91982421072</v>
      </c>
    </row>
    <row r="271" spans="1:29" x14ac:dyDescent="0.3">
      <c r="A271" t="s">
        <v>1405</v>
      </c>
      <c r="B271" t="s">
        <v>2302</v>
      </c>
      <c r="C271" t="s">
        <v>3258</v>
      </c>
      <c r="D271">
        <v>1183199309</v>
      </c>
      <c r="E271">
        <v>330037220076</v>
      </c>
      <c r="F271">
        <v>1004019149</v>
      </c>
      <c r="G271" s="1">
        <v>45882</v>
      </c>
      <c r="H271" t="s">
        <v>1360</v>
      </c>
      <c r="I271" t="s">
        <v>1374</v>
      </c>
      <c r="J271" t="s">
        <v>2348</v>
      </c>
      <c r="K271" t="s">
        <v>2308</v>
      </c>
      <c r="L271" t="s">
        <v>2305</v>
      </c>
      <c r="M271" t="s">
        <v>1409</v>
      </c>
      <c r="N271" t="s">
        <v>1410</v>
      </c>
      <c r="O271" t="s">
        <v>1411</v>
      </c>
      <c r="P271" t="s">
        <v>1411</v>
      </c>
      <c r="Q271" t="s">
        <v>1412</v>
      </c>
      <c r="S271" s="1">
        <v>46069</v>
      </c>
      <c r="W271" s="1">
        <v>34236</v>
      </c>
      <c r="X271" t="s">
        <v>1472</v>
      </c>
      <c r="Z271" t="s">
        <v>3132</v>
      </c>
      <c r="AA271" t="s">
        <v>1419</v>
      </c>
      <c r="AB271" t="s">
        <v>3259</v>
      </c>
      <c r="AC271">
        <v>98983140193</v>
      </c>
    </row>
    <row r="272" spans="1:29" x14ac:dyDescent="0.3">
      <c r="A272" t="s">
        <v>1405</v>
      </c>
      <c r="B272" t="s">
        <v>2302</v>
      </c>
      <c r="C272" t="s">
        <v>3260</v>
      </c>
      <c r="D272">
        <v>2798985250</v>
      </c>
      <c r="E272" t="s">
        <v>3261</v>
      </c>
      <c r="F272">
        <v>1004017872</v>
      </c>
      <c r="G272" s="1">
        <v>45771</v>
      </c>
      <c r="H272" t="s">
        <v>1360</v>
      </c>
      <c r="I272" t="s">
        <v>1374</v>
      </c>
      <c r="J272" t="s">
        <v>2348</v>
      </c>
      <c r="K272" t="s">
        <v>2308</v>
      </c>
      <c r="L272" t="s">
        <v>2305</v>
      </c>
      <c r="M272" t="s">
        <v>1409</v>
      </c>
      <c r="N272" t="s">
        <v>1410</v>
      </c>
      <c r="O272" t="s">
        <v>1411</v>
      </c>
      <c r="P272" t="s">
        <v>1411</v>
      </c>
      <c r="Q272" t="s">
        <v>1412</v>
      </c>
      <c r="S272" s="1">
        <v>46043</v>
      </c>
      <c r="W272" s="1">
        <v>34223</v>
      </c>
      <c r="X272" t="s">
        <v>3262</v>
      </c>
      <c r="Z272" t="s">
        <v>3263</v>
      </c>
      <c r="AA272" t="s">
        <v>1415</v>
      </c>
      <c r="AB272" t="s">
        <v>3264</v>
      </c>
      <c r="AC272">
        <v>91984058879</v>
      </c>
    </row>
    <row r="273" spans="1:29" x14ac:dyDescent="0.3">
      <c r="A273" t="s">
        <v>1405</v>
      </c>
      <c r="B273" t="s">
        <v>2302</v>
      </c>
      <c r="C273" t="s">
        <v>3265</v>
      </c>
      <c r="D273">
        <v>98517082087</v>
      </c>
      <c r="E273">
        <v>1075569143</v>
      </c>
      <c r="F273">
        <v>1004008670</v>
      </c>
      <c r="G273" s="1">
        <v>44461</v>
      </c>
      <c r="H273" t="s">
        <v>1360</v>
      </c>
      <c r="I273" t="s">
        <v>1349</v>
      </c>
      <c r="J273" t="s">
        <v>1361</v>
      </c>
      <c r="K273" t="s">
        <v>2308</v>
      </c>
      <c r="L273" t="s">
        <v>2305</v>
      </c>
      <c r="M273" t="s">
        <v>1447</v>
      </c>
      <c r="N273" t="s">
        <v>1448</v>
      </c>
      <c r="O273" t="s">
        <v>1423</v>
      </c>
      <c r="P273" t="s">
        <v>1423</v>
      </c>
      <c r="Q273" t="s">
        <v>1412</v>
      </c>
      <c r="S273" s="1">
        <v>45740</v>
      </c>
      <c r="V273" s="1">
        <v>45737</v>
      </c>
      <c r="W273" s="1">
        <v>30140</v>
      </c>
      <c r="X273" t="s">
        <v>3266</v>
      </c>
      <c r="Y273" t="s">
        <v>2377</v>
      </c>
      <c r="Z273" t="s">
        <v>2385</v>
      </c>
      <c r="AA273" t="s">
        <v>1415</v>
      </c>
      <c r="AB273" t="s">
        <v>3267</v>
      </c>
      <c r="AC273">
        <v>51998410680</v>
      </c>
    </row>
    <row r="274" spans="1:29" x14ac:dyDescent="0.3">
      <c r="A274" t="s">
        <v>1405</v>
      </c>
      <c r="B274" t="s">
        <v>2302</v>
      </c>
      <c r="C274" t="s">
        <v>3268</v>
      </c>
      <c r="D274">
        <v>2521755575</v>
      </c>
      <c r="E274">
        <v>1158865759</v>
      </c>
      <c r="F274">
        <v>42004200703</v>
      </c>
      <c r="G274" s="1">
        <v>41703</v>
      </c>
      <c r="H274" t="s">
        <v>1360</v>
      </c>
      <c r="I274" t="s">
        <v>1349</v>
      </c>
      <c r="J274" t="s">
        <v>2308</v>
      </c>
      <c r="K274" t="s">
        <v>2313</v>
      </c>
      <c r="L274" t="s">
        <v>2305</v>
      </c>
      <c r="M274" t="s">
        <v>1409</v>
      </c>
      <c r="N274" t="s">
        <v>1410</v>
      </c>
      <c r="O274" t="s">
        <v>1423</v>
      </c>
      <c r="P274" t="s">
        <v>1423</v>
      </c>
      <c r="Q274" t="s">
        <v>1412</v>
      </c>
      <c r="S274" s="1">
        <v>46057</v>
      </c>
      <c r="V274" s="1">
        <v>46055</v>
      </c>
      <c r="W274" s="1">
        <v>31297</v>
      </c>
      <c r="X274" t="s">
        <v>3269</v>
      </c>
      <c r="Y274" t="s">
        <v>2906</v>
      </c>
      <c r="Z274" t="s">
        <v>2363</v>
      </c>
      <c r="AA274" t="s">
        <v>1415</v>
      </c>
      <c r="AB274" t="s">
        <v>3270</v>
      </c>
      <c r="AC274">
        <v>7530215406</v>
      </c>
    </row>
    <row r="275" spans="1:29" x14ac:dyDescent="0.3">
      <c r="A275" t="s">
        <v>1405</v>
      </c>
      <c r="B275" t="s">
        <v>2302</v>
      </c>
      <c r="C275" t="s">
        <v>3271</v>
      </c>
      <c r="D275">
        <v>6383741977</v>
      </c>
      <c r="E275">
        <v>4286250</v>
      </c>
      <c r="F275">
        <v>1004010343</v>
      </c>
      <c r="G275" s="1">
        <v>44782</v>
      </c>
      <c r="H275" t="s">
        <v>1360</v>
      </c>
      <c r="I275" t="s">
        <v>1349</v>
      </c>
      <c r="J275" t="s">
        <v>1361</v>
      </c>
      <c r="K275" t="s">
        <v>2308</v>
      </c>
      <c r="L275" t="s">
        <v>2305</v>
      </c>
      <c r="M275" t="s">
        <v>1409</v>
      </c>
      <c r="N275" t="s">
        <v>1410</v>
      </c>
      <c r="O275" t="s">
        <v>1423</v>
      </c>
      <c r="P275" t="s">
        <v>1423</v>
      </c>
      <c r="Q275" t="s">
        <v>1412</v>
      </c>
      <c r="S275" s="1">
        <v>46060</v>
      </c>
      <c r="V275" s="1">
        <v>46055</v>
      </c>
      <c r="W275" s="1">
        <v>33441</v>
      </c>
      <c r="X275" t="s">
        <v>1665</v>
      </c>
      <c r="Y275" t="s">
        <v>2731</v>
      </c>
      <c r="Z275" t="s">
        <v>3272</v>
      </c>
      <c r="AA275" t="s">
        <v>1415</v>
      </c>
      <c r="AB275" t="s">
        <v>3273</v>
      </c>
      <c r="AC275">
        <v>47988680167</v>
      </c>
    </row>
    <row r="276" spans="1:29" x14ac:dyDescent="0.3">
      <c r="A276" t="s">
        <v>1405</v>
      </c>
      <c r="B276" t="s">
        <v>2302</v>
      </c>
      <c r="C276" t="s">
        <v>3274</v>
      </c>
      <c r="D276">
        <v>89127307387</v>
      </c>
      <c r="E276">
        <v>99002085126</v>
      </c>
      <c r="F276">
        <v>1004007066</v>
      </c>
      <c r="G276" s="1">
        <v>44119</v>
      </c>
      <c r="H276" t="s">
        <v>1360</v>
      </c>
      <c r="I276" t="s">
        <v>1374</v>
      </c>
      <c r="J276" t="s">
        <v>2308</v>
      </c>
      <c r="K276" t="s">
        <v>2313</v>
      </c>
      <c r="L276" t="s">
        <v>2305</v>
      </c>
      <c r="M276" t="s">
        <v>1409</v>
      </c>
      <c r="N276" t="s">
        <v>1410</v>
      </c>
      <c r="O276" t="s">
        <v>1423</v>
      </c>
      <c r="P276" t="s">
        <v>1423</v>
      </c>
      <c r="Q276" t="s">
        <v>1412</v>
      </c>
      <c r="S276" s="1">
        <v>46043</v>
      </c>
      <c r="W276" s="1">
        <v>30288</v>
      </c>
      <c r="X276" t="s">
        <v>1507</v>
      </c>
      <c r="Y276" t="s">
        <v>2786</v>
      </c>
      <c r="Z276" t="s">
        <v>2787</v>
      </c>
      <c r="AA276" t="s">
        <v>1415</v>
      </c>
      <c r="AB276" t="s">
        <v>3275</v>
      </c>
      <c r="AC276">
        <v>85985139333</v>
      </c>
    </row>
    <row r="277" spans="1:29" x14ac:dyDescent="0.3">
      <c r="A277" t="s">
        <v>1405</v>
      </c>
      <c r="B277" t="s">
        <v>2302</v>
      </c>
      <c r="C277" t="s">
        <v>3276</v>
      </c>
      <c r="D277">
        <v>83915672300</v>
      </c>
      <c r="E277">
        <v>97010014023</v>
      </c>
      <c r="F277">
        <v>1004004549</v>
      </c>
      <c r="G277" s="1">
        <v>43711</v>
      </c>
      <c r="H277" t="s">
        <v>1360</v>
      </c>
      <c r="I277" t="s">
        <v>1374</v>
      </c>
      <c r="J277" t="s">
        <v>2308</v>
      </c>
      <c r="K277" t="s">
        <v>2313</v>
      </c>
      <c r="L277" t="s">
        <v>2305</v>
      </c>
      <c r="M277" t="s">
        <v>1409</v>
      </c>
      <c r="N277" t="s">
        <v>1410</v>
      </c>
      <c r="O277" t="s">
        <v>1423</v>
      </c>
      <c r="P277" t="s">
        <v>1423</v>
      </c>
      <c r="Q277" t="s">
        <v>1412</v>
      </c>
      <c r="S277" s="1">
        <v>46043</v>
      </c>
      <c r="W277" s="1">
        <v>29393</v>
      </c>
      <c r="X277" t="s">
        <v>1507</v>
      </c>
      <c r="Y277" t="s">
        <v>2786</v>
      </c>
      <c r="Z277" t="s">
        <v>3277</v>
      </c>
      <c r="AA277" t="s">
        <v>1415</v>
      </c>
      <c r="AB277" t="s">
        <v>3278</v>
      </c>
      <c r="AC277">
        <v>88997231375</v>
      </c>
    </row>
    <row r="278" spans="1:29" x14ac:dyDescent="0.3">
      <c r="A278" t="s">
        <v>1405</v>
      </c>
      <c r="B278" t="s">
        <v>2302</v>
      </c>
      <c r="C278" t="s">
        <v>3279</v>
      </c>
      <c r="D278">
        <v>2297541201</v>
      </c>
      <c r="E278">
        <v>5005258</v>
      </c>
      <c r="F278">
        <v>1004005497</v>
      </c>
      <c r="G278" s="1">
        <v>43892</v>
      </c>
      <c r="H278" t="s">
        <v>1360</v>
      </c>
      <c r="I278" t="s">
        <v>1349</v>
      </c>
      <c r="J278" t="s">
        <v>2308</v>
      </c>
      <c r="K278" t="s">
        <v>2313</v>
      </c>
      <c r="L278" t="s">
        <v>2305</v>
      </c>
      <c r="M278" t="s">
        <v>1409</v>
      </c>
      <c r="N278" t="s">
        <v>1410</v>
      </c>
      <c r="O278" t="s">
        <v>1411</v>
      </c>
      <c r="P278" t="s">
        <v>1411</v>
      </c>
      <c r="Q278" t="s">
        <v>1412</v>
      </c>
      <c r="S278" s="1">
        <v>46057</v>
      </c>
      <c r="V278" s="1">
        <v>46055</v>
      </c>
      <c r="W278" s="1">
        <v>32284</v>
      </c>
      <c r="X278" t="s">
        <v>1492</v>
      </c>
      <c r="Y278" t="s">
        <v>2058</v>
      </c>
      <c r="Z278" t="s">
        <v>2397</v>
      </c>
      <c r="AA278" t="s">
        <v>1415</v>
      </c>
      <c r="AB278" t="s">
        <v>3280</v>
      </c>
      <c r="AC278">
        <v>91981397875</v>
      </c>
    </row>
    <row r="279" spans="1:29" x14ac:dyDescent="0.3">
      <c r="A279" t="s">
        <v>1405</v>
      </c>
      <c r="B279" t="s">
        <v>2302</v>
      </c>
      <c r="C279" t="s">
        <v>3281</v>
      </c>
      <c r="D279">
        <v>1010245929</v>
      </c>
      <c r="E279">
        <v>48358789</v>
      </c>
      <c r="F279">
        <v>42004200972</v>
      </c>
      <c r="G279" s="1">
        <v>41852</v>
      </c>
      <c r="H279" t="s">
        <v>1360</v>
      </c>
      <c r="I279" t="s">
        <v>1374</v>
      </c>
      <c r="J279" t="s">
        <v>2308</v>
      </c>
      <c r="K279" t="s">
        <v>2313</v>
      </c>
      <c r="L279" t="s">
        <v>2305</v>
      </c>
      <c r="M279" t="s">
        <v>1409</v>
      </c>
      <c r="N279" t="s">
        <v>1410</v>
      </c>
      <c r="O279" t="s">
        <v>1423</v>
      </c>
      <c r="P279" t="s">
        <v>1423</v>
      </c>
      <c r="Q279" t="s">
        <v>1412</v>
      </c>
      <c r="S279" s="1">
        <v>46043</v>
      </c>
      <c r="W279" s="1">
        <v>31905</v>
      </c>
      <c r="X279" t="s">
        <v>3146</v>
      </c>
      <c r="Z279" t="s">
        <v>3189</v>
      </c>
      <c r="AA279" t="s">
        <v>1415</v>
      </c>
      <c r="AB279" t="s">
        <v>3282</v>
      </c>
      <c r="AC279">
        <v>4733822419</v>
      </c>
    </row>
    <row r="280" spans="1:29" x14ac:dyDescent="0.3">
      <c r="A280" t="s">
        <v>1405</v>
      </c>
      <c r="B280" t="s">
        <v>2302</v>
      </c>
      <c r="C280" t="s">
        <v>3283</v>
      </c>
      <c r="D280">
        <v>7607225951</v>
      </c>
      <c r="E280">
        <v>5885176</v>
      </c>
      <c r="F280">
        <v>1004012637</v>
      </c>
      <c r="G280" s="1">
        <v>45152</v>
      </c>
      <c r="H280" t="s">
        <v>1360</v>
      </c>
      <c r="I280" t="s">
        <v>1374</v>
      </c>
      <c r="J280" t="s">
        <v>1361</v>
      </c>
      <c r="K280" t="s">
        <v>2308</v>
      </c>
      <c r="L280" t="s">
        <v>2305</v>
      </c>
      <c r="M280" t="s">
        <v>1409</v>
      </c>
      <c r="N280" t="s">
        <v>1410</v>
      </c>
      <c r="O280" t="s">
        <v>1423</v>
      </c>
      <c r="P280" t="s">
        <v>1423</v>
      </c>
      <c r="Q280" t="s">
        <v>1412</v>
      </c>
      <c r="S280" s="1">
        <v>46043</v>
      </c>
      <c r="W280" s="1">
        <v>33263</v>
      </c>
      <c r="X280" t="s">
        <v>3284</v>
      </c>
      <c r="Y280" t="s">
        <v>3285</v>
      </c>
      <c r="Z280" t="s">
        <v>2818</v>
      </c>
      <c r="AA280" t="s">
        <v>1419</v>
      </c>
      <c r="AB280" t="s">
        <v>3286</v>
      </c>
      <c r="AC280">
        <v>47992757080</v>
      </c>
    </row>
    <row r="281" spans="1:29" x14ac:dyDescent="0.3">
      <c r="A281" t="s">
        <v>1405</v>
      </c>
      <c r="B281" t="s">
        <v>2302</v>
      </c>
      <c r="C281" t="s">
        <v>3287</v>
      </c>
      <c r="D281">
        <v>68189680587</v>
      </c>
      <c r="E281">
        <v>317945483</v>
      </c>
      <c r="F281">
        <v>1004000124</v>
      </c>
      <c r="G281" s="1">
        <v>42767</v>
      </c>
      <c r="H281" t="s">
        <v>1360</v>
      </c>
      <c r="I281" t="s">
        <v>1374</v>
      </c>
      <c r="J281" t="s">
        <v>2308</v>
      </c>
      <c r="K281" t="s">
        <v>2313</v>
      </c>
      <c r="L281" t="s">
        <v>2305</v>
      </c>
      <c r="M281" t="s">
        <v>1409</v>
      </c>
      <c r="N281" t="s">
        <v>1410</v>
      </c>
      <c r="O281" t="s">
        <v>1462</v>
      </c>
      <c r="P281" t="s">
        <v>1462</v>
      </c>
      <c r="Q281" t="s">
        <v>1412</v>
      </c>
      <c r="S281" s="1">
        <v>46043</v>
      </c>
      <c r="W281" s="1">
        <v>24968</v>
      </c>
      <c r="X281" t="s">
        <v>3288</v>
      </c>
      <c r="Y281" t="s">
        <v>3289</v>
      </c>
      <c r="Z281" t="s">
        <v>3061</v>
      </c>
      <c r="AA281" t="s">
        <v>1419</v>
      </c>
      <c r="AB281" t="s">
        <v>3290</v>
      </c>
      <c r="AC281">
        <v>75998145422</v>
      </c>
    </row>
    <row r="282" spans="1:29" x14ac:dyDescent="0.3">
      <c r="A282" t="s">
        <v>1405</v>
      </c>
      <c r="B282" t="s">
        <v>2302</v>
      </c>
      <c r="C282" t="s">
        <v>3291</v>
      </c>
      <c r="D282">
        <v>2654794520</v>
      </c>
      <c r="E282">
        <v>1280156597</v>
      </c>
      <c r="F282">
        <v>1004004314</v>
      </c>
      <c r="G282" s="1">
        <v>43686</v>
      </c>
      <c r="H282" t="s">
        <v>1360</v>
      </c>
      <c r="I282" t="s">
        <v>1349</v>
      </c>
      <c r="J282" t="s">
        <v>2308</v>
      </c>
      <c r="K282" t="s">
        <v>2313</v>
      </c>
      <c r="L282" t="s">
        <v>2305</v>
      </c>
      <c r="M282" t="s">
        <v>1409</v>
      </c>
      <c r="N282" t="s">
        <v>1410</v>
      </c>
      <c r="O282" t="s">
        <v>1462</v>
      </c>
      <c r="P282" t="s">
        <v>1462</v>
      </c>
      <c r="Q282" t="s">
        <v>1412</v>
      </c>
      <c r="S282" s="1">
        <v>46057</v>
      </c>
      <c r="V282" s="1">
        <v>46055</v>
      </c>
      <c r="W282" s="1">
        <v>33639</v>
      </c>
      <c r="X282" t="s">
        <v>2223</v>
      </c>
      <c r="Y282" t="s">
        <v>2614</v>
      </c>
      <c r="Z282" t="s">
        <v>2363</v>
      </c>
      <c r="AA282" t="s">
        <v>1415</v>
      </c>
      <c r="AB282" t="s">
        <v>3292</v>
      </c>
      <c r="AC282">
        <v>71993014393</v>
      </c>
    </row>
    <row r="283" spans="1:29" x14ac:dyDescent="0.3">
      <c r="A283" t="s">
        <v>1405</v>
      </c>
      <c r="B283" t="s">
        <v>2302</v>
      </c>
      <c r="C283" t="s">
        <v>3293</v>
      </c>
      <c r="D283">
        <v>80101208200</v>
      </c>
      <c r="E283">
        <v>166375</v>
      </c>
      <c r="F283">
        <v>1004011488</v>
      </c>
      <c r="G283" s="1">
        <v>44987</v>
      </c>
      <c r="H283" t="s">
        <v>1360</v>
      </c>
      <c r="I283" t="s">
        <v>1374</v>
      </c>
      <c r="J283" t="s">
        <v>2348</v>
      </c>
      <c r="K283" t="s">
        <v>2308</v>
      </c>
      <c r="L283" t="s">
        <v>2305</v>
      </c>
      <c r="M283" t="s">
        <v>1409</v>
      </c>
      <c r="N283" t="s">
        <v>1410</v>
      </c>
      <c r="O283" t="s">
        <v>1423</v>
      </c>
      <c r="P283" t="s">
        <v>1423</v>
      </c>
      <c r="Q283" t="s">
        <v>1412</v>
      </c>
      <c r="S283" s="1">
        <v>46043</v>
      </c>
      <c r="W283" s="1">
        <v>31612</v>
      </c>
      <c r="X283" t="s">
        <v>1519</v>
      </c>
      <c r="Z283" t="s">
        <v>3294</v>
      </c>
      <c r="AA283" t="s">
        <v>1415</v>
      </c>
      <c r="AB283" t="s">
        <v>3295</v>
      </c>
      <c r="AC283">
        <v>95984018003</v>
      </c>
    </row>
    <row r="284" spans="1:29" x14ac:dyDescent="0.3">
      <c r="A284" t="s">
        <v>1405</v>
      </c>
      <c r="B284" t="s">
        <v>2302</v>
      </c>
      <c r="C284" t="s">
        <v>3296</v>
      </c>
      <c r="D284">
        <v>86148400200</v>
      </c>
      <c r="E284">
        <v>4879784</v>
      </c>
      <c r="F284">
        <v>1004007338</v>
      </c>
      <c r="G284" s="1">
        <v>44256</v>
      </c>
      <c r="H284" t="s">
        <v>1360</v>
      </c>
      <c r="I284" t="s">
        <v>1349</v>
      </c>
      <c r="J284" t="s">
        <v>2308</v>
      </c>
      <c r="K284" t="s">
        <v>2313</v>
      </c>
      <c r="L284" t="s">
        <v>2305</v>
      </c>
      <c r="M284" t="s">
        <v>1421</v>
      </c>
      <c r="N284" t="s">
        <v>1410</v>
      </c>
      <c r="O284" t="s">
        <v>1411</v>
      </c>
      <c r="P284" t="s">
        <v>1423</v>
      </c>
      <c r="Q284" t="s">
        <v>1412</v>
      </c>
      <c r="S284" s="1">
        <v>46060</v>
      </c>
      <c r="V284" s="1">
        <v>46057</v>
      </c>
      <c r="W284" s="1">
        <v>31432</v>
      </c>
      <c r="X284" t="s">
        <v>1492</v>
      </c>
      <c r="Y284" t="s">
        <v>2058</v>
      </c>
      <c r="Z284" t="s">
        <v>3297</v>
      </c>
      <c r="AA284" t="s">
        <v>1415</v>
      </c>
      <c r="AB284" t="s">
        <v>3298</v>
      </c>
      <c r="AC284">
        <v>91999666602</v>
      </c>
    </row>
    <row r="285" spans="1:29" x14ac:dyDescent="0.3">
      <c r="A285" t="s">
        <v>1405</v>
      </c>
      <c r="B285" t="s">
        <v>2302</v>
      </c>
      <c r="C285" t="s">
        <v>3299</v>
      </c>
      <c r="D285">
        <v>4439900933</v>
      </c>
      <c r="E285" t="s">
        <v>3300</v>
      </c>
      <c r="F285">
        <v>1004015594</v>
      </c>
      <c r="G285" s="1">
        <v>45537</v>
      </c>
      <c r="H285" t="s">
        <v>1360</v>
      </c>
      <c r="I285" t="s">
        <v>1349</v>
      </c>
      <c r="J285" t="s">
        <v>2572</v>
      </c>
      <c r="K285" t="s">
        <v>2573</v>
      </c>
      <c r="L285" t="s">
        <v>2305</v>
      </c>
      <c r="M285" t="s">
        <v>1409</v>
      </c>
      <c r="N285" t="s">
        <v>1410</v>
      </c>
      <c r="O285" t="s">
        <v>1423</v>
      </c>
      <c r="P285" t="s">
        <v>1423</v>
      </c>
      <c r="Q285" t="s">
        <v>1412</v>
      </c>
      <c r="S285" s="1">
        <v>45758</v>
      </c>
      <c r="V285" s="1">
        <v>45762</v>
      </c>
      <c r="W285" s="1">
        <v>33407</v>
      </c>
      <c r="X285" t="s">
        <v>3301</v>
      </c>
      <c r="Y285" t="s">
        <v>3302</v>
      </c>
      <c r="Z285" t="s">
        <v>3303</v>
      </c>
      <c r="AA285" t="s">
        <v>1415</v>
      </c>
      <c r="AB285" t="s">
        <v>3304</v>
      </c>
      <c r="AC285">
        <v>46999078662</v>
      </c>
    </row>
    <row r="286" spans="1:29" x14ac:dyDescent="0.3">
      <c r="A286" t="s">
        <v>1405</v>
      </c>
      <c r="B286" t="s">
        <v>2302</v>
      </c>
      <c r="C286" t="s">
        <v>3305</v>
      </c>
      <c r="D286">
        <v>8969315950</v>
      </c>
      <c r="E286">
        <v>6470082</v>
      </c>
      <c r="F286">
        <v>1004007973</v>
      </c>
      <c r="G286" s="1">
        <v>44328</v>
      </c>
      <c r="H286" t="s">
        <v>1360</v>
      </c>
      <c r="I286" t="s">
        <v>1349</v>
      </c>
      <c r="J286" t="s">
        <v>1361</v>
      </c>
      <c r="K286" t="s">
        <v>2308</v>
      </c>
      <c r="L286" t="s">
        <v>2305</v>
      </c>
      <c r="M286" t="s">
        <v>1409</v>
      </c>
      <c r="N286" t="s">
        <v>1410</v>
      </c>
      <c r="O286" t="s">
        <v>1423</v>
      </c>
      <c r="P286" t="s">
        <v>1423</v>
      </c>
      <c r="Q286" t="s">
        <v>1412</v>
      </c>
      <c r="S286" s="1">
        <v>45846</v>
      </c>
      <c r="V286" s="1">
        <v>45839</v>
      </c>
      <c r="W286" s="1">
        <v>34603</v>
      </c>
      <c r="X286" t="s">
        <v>3306</v>
      </c>
      <c r="Z286" t="s">
        <v>3307</v>
      </c>
      <c r="AA286" t="s">
        <v>1419</v>
      </c>
      <c r="AB286" t="s">
        <v>3308</v>
      </c>
    </row>
    <row r="287" spans="1:29" x14ac:dyDescent="0.3">
      <c r="A287" t="s">
        <v>1405</v>
      </c>
      <c r="B287" t="s">
        <v>2302</v>
      </c>
      <c r="C287" t="s">
        <v>3309</v>
      </c>
      <c r="D287">
        <v>12047954797</v>
      </c>
      <c r="E287">
        <v>219112992</v>
      </c>
      <c r="F287">
        <v>1004004413</v>
      </c>
      <c r="G287" s="1">
        <v>43691</v>
      </c>
      <c r="H287" t="s">
        <v>1360</v>
      </c>
      <c r="I287" t="s">
        <v>1349</v>
      </c>
      <c r="J287" t="s">
        <v>2308</v>
      </c>
      <c r="K287" t="s">
        <v>2313</v>
      </c>
      <c r="L287" t="s">
        <v>2305</v>
      </c>
      <c r="M287" t="s">
        <v>1421</v>
      </c>
      <c r="N287" t="s">
        <v>1422</v>
      </c>
      <c r="O287" t="s">
        <v>1462</v>
      </c>
      <c r="P287" t="s">
        <v>1462</v>
      </c>
      <c r="Q287" t="s">
        <v>1412</v>
      </c>
      <c r="S287" s="1">
        <v>46120</v>
      </c>
      <c r="V287" s="1">
        <v>46118</v>
      </c>
      <c r="W287" s="1">
        <v>32022</v>
      </c>
      <c r="X287" t="s">
        <v>2412</v>
      </c>
      <c r="Y287" t="s">
        <v>1959</v>
      </c>
      <c r="Z287" t="s">
        <v>3310</v>
      </c>
      <c r="AA287" t="s">
        <v>1415</v>
      </c>
      <c r="AB287" t="s">
        <v>3311</v>
      </c>
      <c r="AC287">
        <v>21983731283</v>
      </c>
    </row>
    <row r="288" spans="1:29" x14ac:dyDescent="0.3">
      <c r="A288" t="s">
        <v>1405</v>
      </c>
      <c r="B288" t="s">
        <v>2302</v>
      </c>
      <c r="C288" t="s">
        <v>3312</v>
      </c>
      <c r="D288">
        <v>6289153307</v>
      </c>
      <c r="E288" t="s">
        <v>3313</v>
      </c>
      <c r="F288">
        <v>1004013954</v>
      </c>
      <c r="G288" s="1">
        <v>45345</v>
      </c>
      <c r="H288" t="s">
        <v>1360</v>
      </c>
      <c r="I288" t="s">
        <v>1349</v>
      </c>
      <c r="J288" t="s">
        <v>1361</v>
      </c>
      <c r="K288" t="s">
        <v>2308</v>
      </c>
      <c r="L288" t="s">
        <v>2305</v>
      </c>
      <c r="M288" t="s">
        <v>1409</v>
      </c>
      <c r="N288" t="s">
        <v>1410</v>
      </c>
      <c r="O288" t="s">
        <v>1411</v>
      </c>
      <c r="P288" t="s">
        <v>1411</v>
      </c>
      <c r="Q288" t="s">
        <v>1412</v>
      </c>
      <c r="S288" s="1">
        <v>45855</v>
      </c>
      <c r="V288" s="1">
        <v>45854</v>
      </c>
      <c r="W288" s="1">
        <v>34814</v>
      </c>
      <c r="X288" t="s">
        <v>2851</v>
      </c>
      <c r="Y288" t="s">
        <v>2852</v>
      </c>
      <c r="Z288" t="s">
        <v>2853</v>
      </c>
      <c r="AA288" t="s">
        <v>1415</v>
      </c>
      <c r="AB288" t="s">
        <v>3314</v>
      </c>
      <c r="AC288">
        <v>88981816842</v>
      </c>
    </row>
    <row r="289" spans="1:29" x14ac:dyDescent="0.3">
      <c r="A289" t="s">
        <v>1405</v>
      </c>
      <c r="B289" t="s">
        <v>2302</v>
      </c>
      <c r="C289" t="s">
        <v>3315</v>
      </c>
      <c r="D289">
        <v>11443981427</v>
      </c>
      <c r="E289">
        <v>9017818</v>
      </c>
      <c r="F289">
        <v>1004017855</v>
      </c>
      <c r="G289" s="1">
        <v>45771</v>
      </c>
      <c r="H289" t="s">
        <v>1360</v>
      </c>
      <c r="I289" t="s">
        <v>1374</v>
      </c>
      <c r="J289" t="s">
        <v>1361</v>
      </c>
      <c r="K289" t="s">
        <v>2308</v>
      </c>
      <c r="L289" t="s">
        <v>2305</v>
      </c>
      <c r="M289" t="s">
        <v>1409</v>
      </c>
      <c r="N289" t="s">
        <v>1410</v>
      </c>
      <c r="O289" t="s">
        <v>1411</v>
      </c>
      <c r="P289" t="s">
        <v>1423</v>
      </c>
      <c r="Q289" t="s">
        <v>1412</v>
      </c>
      <c r="S289" s="1">
        <v>46043</v>
      </c>
      <c r="W289" s="1">
        <v>34934</v>
      </c>
      <c r="X289" t="s">
        <v>1893</v>
      </c>
      <c r="Z289" t="s">
        <v>3214</v>
      </c>
      <c r="AA289" t="s">
        <v>1415</v>
      </c>
      <c r="AB289" t="s">
        <v>3316</v>
      </c>
      <c r="AC289">
        <v>87999613524</v>
      </c>
    </row>
    <row r="290" spans="1:29" x14ac:dyDescent="0.3">
      <c r="A290" t="s">
        <v>1405</v>
      </c>
      <c r="B290" t="s">
        <v>2302</v>
      </c>
      <c r="C290" t="s">
        <v>3317</v>
      </c>
      <c r="D290">
        <v>58785949515</v>
      </c>
      <c r="E290">
        <v>1113317</v>
      </c>
      <c r="F290">
        <v>1004014222</v>
      </c>
      <c r="G290" s="1">
        <v>45369</v>
      </c>
      <c r="H290" t="s">
        <v>1360</v>
      </c>
      <c r="I290" t="s">
        <v>1374</v>
      </c>
      <c r="J290" t="s">
        <v>1361</v>
      </c>
      <c r="K290" t="s">
        <v>2308</v>
      </c>
      <c r="L290" t="s">
        <v>2305</v>
      </c>
      <c r="M290" t="s">
        <v>1409</v>
      </c>
      <c r="N290" t="s">
        <v>1410</v>
      </c>
      <c r="O290" t="s">
        <v>1423</v>
      </c>
      <c r="P290" t="s">
        <v>1423</v>
      </c>
      <c r="Q290" t="s">
        <v>1412</v>
      </c>
      <c r="S290" s="1">
        <v>46043</v>
      </c>
      <c r="W290" s="1">
        <v>25270</v>
      </c>
      <c r="X290" t="s">
        <v>3318</v>
      </c>
      <c r="Z290" t="s">
        <v>3319</v>
      </c>
      <c r="AA290" t="s">
        <v>1419</v>
      </c>
      <c r="AB290" t="s">
        <v>3320</v>
      </c>
      <c r="AC290">
        <v>79998122476</v>
      </c>
    </row>
    <row r="291" spans="1:29" x14ac:dyDescent="0.3">
      <c r="A291" t="s">
        <v>1405</v>
      </c>
      <c r="B291" t="s">
        <v>2302</v>
      </c>
      <c r="C291" t="s">
        <v>3321</v>
      </c>
      <c r="D291">
        <v>2022792513</v>
      </c>
      <c r="E291">
        <v>1268655074</v>
      </c>
      <c r="F291">
        <v>1004010714</v>
      </c>
      <c r="G291" s="1">
        <v>44809</v>
      </c>
      <c r="H291" t="s">
        <v>1360</v>
      </c>
      <c r="I291" t="s">
        <v>1349</v>
      </c>
      <c r="J291" t="s">
        <v>2348</v>
      </c>
      <c r="K291" t="s">
        <v>2308</v>
      </c>
      <c r="L291" t="s">
        <v>2305</v>
      </c>
      <c r="M291" t="s">
        <v>1409</v>
      </c>
      <c r="N291" t="s">
        <v>1410</v>
      </c>
      <c r="O291" t="s">
        <v>1462</v>
      </c>
      <c r="P291" t="s">
        <v>1462</v>
      </c>
      <c r="Q291" t="s">
        <v>1412</v>
      </c>
      <c r="S291" s="1">
        <v>45737</v>
      </c>
      <c r="V291" s="1">
        <v>45733</v>
      </c>
      <c r="W291" s="1">
        <v>31521</v>
      </c>
      <c r="X291" t="s">
        <v>2412</v>
      </c>
      <c r="Z291" t="s">
        <v>3322</v>
      </c>
      <c r="AA291" t="s">
        <v>1415</v>
      </c>
      <c r="AB291" t="s">
        <v>3323</v>
      </c>
      <c r="AC291">
        <v>94991815958</v>
      </c>
    </row>
    <row r="292" spans="1:29" x14ac:dyDescent="0.3">
      <c r="A292" t="s">
        <v>1405</v>
      </c>
      <c r="B292" t="s">
        <v>2302</v>
      </c>
      <c r="C292" t="s">
        <v>3324</v>
      </c>
      <c r="D292">
        <v>98968556172</v>
      </c>
      <c r="E292">
        <v>2291382</v>
      </c>
      <c r="F292">
        <v>1004009956</v>
      </c>
      <c r="G292" s="1">
        <v>44697</v>
      </c>
      <c r="H292" t="s">
        <v>1360</v>
      </c>
      <c r="I292" t="s">
        <v>1374</v>
      </c>
      <c r="J292" t="s">
        <v>1361</v>
      </c>
      <c r="K292" t="s">
        <v>2308</v>
      </c>
      <c r="L292" t="s">
        <v>2305</v>
      </c>
      <c r="M292" t="s">
        <v>1409</v>
      </c>
      <c r="N292" t="s">
        <v>1410</v>
      </c>
      <c r="O292" t="s">
        <v>1423</v>
      </c>
      <c r="P292" t="s">
        <v>1423</v>
      </c>
      <c r="Q292" t="s">
        <v>1412</v>
      </c>
      <c r="S292" s="1">
        <v>46043</v>
      </c>
      <c r="W292" s="1">
        <v>30545</v>
      </c>
      <c r="X292" t="s">
        <v>1424</v>
      </c>
      <c r="Z292" t="s">
        <v>3325</v>
      </c>
      <c r="AA292" t="s">
        <v>1415</v>
      </c>
      <c r="AB292" t="s">
        <v>3326</v>
      </c>
      <c r="AC292">
        <v>61984816717</v>
      </c>
    </row>
    <row r="293" spans="1:29" x14ac:dyDescent="0.3">
      <c r="A293" t="s">
        <v>1405</v>
      </c>
      <c r="B293" t="s">
        <v>2302</v>
      </c>
      <c r="C293" t="s">
        <v>3327</v>
      </c>
      <c r="D293">
        <v>19770120278</v>
      </c>
      <c r="E293">
        <v>4246160</v>
      </c>
      <c r="F293">
        <v>1004002893</v>
      </c>
      <c r="G293" s="1">
        <v>43514</v>
      </c>
      <c r="H293" t="s">
        <v>1360</v>
      </c>
      <c r="I293" t="s">
        <v>1374</v>
      </c>
      <c r="J293" t="s">
        <v>2308</v>
      </c>
      <c r="K293" t="s">
        <v>2313</v>
      </c>
      <c r="L293" t="s">
        <v>2305</v>
      </c>
      <c r="M293" t="s">
        <v>1447</v>
      </c>
      <c r="N293" t="s">
        <v>1448</v>
      </c>
      <c r="O293" t="s">
        <v>1411</v>
      </c>
      <c r="P293" t="s">
        <v>1411</v>
      </c>
      <c r="Q293" t="s">
        <v>1412</v>
      </c>
      <c r="S293" s="1">
        <v>46043</v>
      </c>
      <c r="W293" s="1">
        <v>24042</v>
      </c>
      <c r="X293" t="s">
        <v>1492</v>
      </c>
      <c r="Y293" t="s">
        <v>2058</v>
      </c>
      <c r="Z293" t="s">
        <v>3328</v>
      </c>
      <c r="AA293" t="s">
        <v>1415</v>
      </c>
      <c r="AB293" t="s">
        <v>3329</v>
      </c>
      <c r="AC293">
        <v>91991578660</v>
      </c>
    </row>
    <row r="294" spans="1:29" x14ac:dyDescent="0.3">
      <c r="A294" t="s">
        <v>1405</v>
      </c>
      <c r="B294" t="s">
        <v>2302</v>
      </c>
      <c r="C294" t="s">
        <v>3330</v>
      </c>
      <c r="D294">
        <v>9108312702</v>
      </c>
      <c r="E294">
        <v>2129306055</v>
      </c>
      <c r="F294">
        <v>1004008424</v>
      </c>
      <c r="G294" s="1">
        <v>44425</v>
      </c>
      <c r="H294" t="s">
        <v>1360</v>
      </c>
      <c r="I294" t="s">
        <v>1374</v>
      </c>
      <c r="J294" t="s">
        <v>2348</v>
      </c>
      <c r="K294" t="s">
        <v>2308</v>
      </c>
      <c r="L294" t="s">
        <v>2305</v>
      </c>
      <c r="M294" t="s">
        <v>1421</v>
      </c>
      <c r="N294" t="s">
        <v>1422</v>
      </c>
      <c r="O294" t="s">
        <v>1411</v>
      </c>
      <c r="P294" t="s">
        <v>1411</v>
      </c>
      <c r="Q294" t="s">
        <v>1412</v>
      </c>
      <c r="S294" s="1">
        <v>46043</v>
      </c>
      <c r="W294" s="1">
        <v>28382</v>
      </c>
      <c r="X294" t="s">
        <v>2412</v>
      </c>
      <c r="Y294" t="s">
        <v>2171</v>
      </c>
      <c r="Z294" t="s">
        <v>2815</v>
      </c>
      <c r="AA294" t="s">
        <v>1415</v>
      </c>
      <c r="AB294" t="s">
        <v>3331</v>
      </c>
      <c r="AC294">
        <v>75992490751</v>
      </c>
    </row>
    <row r="295" spans="1:29" x14ac:dyDescent="0.3">
      <c r="A295" t="s">
        <v>1405</v>
      </c>
      <c r="B295" t="s">
        <v>2302</v>
      </c>
      <c r="C295" t="s">
        <v>3332</v>
      </c>
      <c r="D295">
        <v>3492082394</v>
      </c>
      <c r="E295">
        <v>3039941</v>
      </c>
      <c r="F295">
        <v>1004008702</v>
      </c>
      <c r="G295" s="1">
        <v>44461</v>
      </c>
      <c r="H295" t="s">
        <v>1360</v>
      </c>
      <c r="I295" t="s">
        <v>1349</v>
      </c>
      <c r="J295" t="s">
        <v>1361</v>
      </c>
      <c r="K295" t="s">
        <v>2308</v>
      </c>
      <c r="L295" t="s">
        <v>2305</v>
      </c>
      <c r="M295" t="s">
        <v>1409</v>
      </c>
      <c r="N295" t="s">
        <v>1410</v>
      </c>
      <c r="O295" t="s">
        <v>1411</v>
      </c>
      <c r="P295" t="s">
        <v>1411</v>
      </c>
      <c r="Q295" t="s">
        <v>1412</v>
      </c>
      <c r="S295" s="1">
        <v>45855</v>
      </c>
      <c r="V295" s="1">
        <v>45853</v>
      </c>
      <c r="W295" s="1">
        <v>34765</v>
      </c>
      <c r="X295" t="s">
        <v>1847</v>
      </c>
      <c r="Z295" t="s">
        <v>3333</v>
      </c>
      <c r="AA295" t="s">
        <v>1415</v>
      </c>
      <c r="AB295" t="s">
        <v>3334</v>
      </c>
      <c r="AC295">
        <v>89981275316</v>
      </c>
    </row>
    <row r="296" spans="1:29" x14ac:dyDescent="0.3">
      <c r="A296" t="s">
        <v>1405</v>
      </c>
      <c r="B296" t="s">
        <v>2302</v>
      </c>
      <c r="C296" t="s">
        <v>3335</v>
      </c>
      <c r="D296">
        <v>4317778378</v>
      </c>
      <c r="E296">
        <v>20072192482</v>
      </c>
      <c r="F296">
        <v>1004012561</v>
      </c>
      <c r="G296" s="1">
        <v>45145</v>
      </c>
      <c r="H296" t="s">
        <v>1360</v>
      </c>
      <c r="I296" t="s">
        <v>1374</v>
      </c>
      <c r="J296" t="s">
        <v>2348</v>
      </c>
      <c r="K296" t="s">
        <v>2308</v>
      </c>
      <c r="L296" t="s">
        <v>2305</v>
      </c>
      <c r="M296" t="s">
        <v>1421</v>
      </c>
      <c r="N296" t="s">
        <v>1410</v>
      </c>
      <c r="O296" t="s">
        <v>1411</v>
      </c>
      <c r="P296" t="s">
        <v>1411</v>
      </c>
      <c r="Q296" t="s">
        <v>1412</v>
      </c>
      <c r="S296" s="1">
        <v>46043</v>
      </c>
      <c r="W296" s="1">
        <v>34120</v>
      </c>
      <c r="X296" t="s">
        <v>3336</v>
      </c>
      <c r="Z296" t="s">
        <v>3337</v>
      </c>
      <c r="AA296" t="s">
        <v>1419</v>
      </c>
      <c r="AB296" t="s">
        <v>3338</v>
      </c>
      <c r="AC296">
        <v>85987313031</v>
      </c>
    </row>
    <row r="297" spans="1:29" x14ac:dyDescent="0.3">
      <c r="A297" t="s">
        <v>1405</v>
      </c>
      <c r="B297" t="s">
        <v>2302</v>
      </c>
      <c r="C297" t="s">
        <v>3339</v>
      </c>
      <c r="D297">
        <v>4976091341</v>
      </c>
      <c r="E297" t="s">
        <v>3340</v>
      </c>
      <c r="F297">
        <v>1004013731</v>
      </c>
      <c r="G297" s="1">
        <v>45341</v>
      </c>
      <c r="H297" t="s">
        <v>1360</v>
      </c>
      <c r="I297" t="s">
        <v>1349</v>
      </c>
      <c r="J297" t="s">
        <v>2348</v>
      </c>
      <c r="K297" t="s">
        <v>2308</v>
      </c>
      <c r="L297" t="s">
        <v>2305</v>
      </c>
      <c r="M297" t="s">
        <v>1409</v>
      </c>
      <c r="N297" t="s">
        <v>1410</v>
      </c>
      <c r="O297" t="s">
        <v>1411</v>
      </c>
      <c r="P297" t="s">
        <v>1411</v>
      </c>
      <c r="Q297" t="s">
        <v>1412</v>
      </c>
      <c r="S297" s="1">
        <v>46105</v>
      </c>
      <c r="V297" s="1">
        <v>46110</v>
      </c>
      <c r="W297" s="1">
        <v>34890</v>
      </c>
      <c r="X297" t="s">
        <v>1847</v>
      </c>
      <c r="Z297" t="s">
        <v>3333</v>
      </c>
      <c r="AA297" t="s">
        <v>1415</v>
      </c>
      <c r="AB297" t="s">
        <v>3341</v>
      </c>
      <c r="AC297">
        <v>89981305105</v>
      </c>
    </row>
    <row r="298" spans="1:29" x14ac:dyDescent="0.3">
      <c r="A298" t="s">
        <v>1405</v>
      </c>
      <c r="B298" t="s">
        <v>2302</v>
      </c>
      <c r="C298" t="s">
        <v>3342</v>
      </c>
      <c r="D298">
        <v>2710271427</v>
      </c>
      <c r="E298">
        <v>2111092</v>
      </c>
      <c r="F298">
        <v>1004012754</v>
      </c>
      <c r="G298" s="1">
        <v>45168</v>
      </c>
      <c r="H298" t="s">
        <v>1360</v>
      </c>
      <c r="I298" t="s">
        <v>1374</v>
      </c>
      <c r="J298" t="s">
        <v>2348</v>
      </c>
      <c r="K298" t="s">
        <v>2308</v>
      </c>
      <c r="L298" t="s">
        <v>2305</v>
      </c>
      <c r="M298" t="s">
        <v>1421</v>
      </c>
      <c r="N298" t="s">
        <v>1410</v>
      </c>
      <c r="O298" t="s">
        <v>1423</v>
      </c>
      <c r="P298" t="s">
        <v>1423</v>
      </c>
      <c r="Q298" t="s">
        <v>1412</v>
      </c>
      <c r="S298" s="1">
        <v>46069</v>
      </c>
      <c r="W298" s="1">
        <v>28745</v>
      </c>
      <c r="X298" t="s">
        <v>3343</v>
      </c>
      <c r="Z298" t="s">
        <v>3344</v>
      </c>
      <c r="AA298" t="s">
        <v>1419</v>
      </c>
      <c r="AB298" t="s">
        <v>3345</v>
      </c>
      <c r="AC298">
        <v>83996547362</v>
      </c>
    </row>
    <row r="299" spans="1:29" x14ac:dyDescent="0.3">
      <c r="A299" t="s">
        <v>1405</v>
      </c>
      <c r="B299" t="s">
        <v>2302</v>
      </c>
      <c r="C299" t="s">
        <v>3346</v>
      </c>
      <c r="D299">
        <v>81849052204</v>
      </c>
      <c r="E299">
        <v>1763360</v>
      </c>
      <c r="F299">
        <v>1004007844</v>
      </c>
      <c r="G299" s="1">
        <v>44314</v>
      </c>
      <c r="H299" t="s">
        <v>1360</v>
      </c>
      <c r="I299" t="s">
        <v>1349</v>
      </c>
      <c r="J299" t="s">
        <v>2308</v>
      </c>
      <c r="K299" t="s">
        <v>2313</v>
      </c>
      <c r="L299" t="s">
        <v>2305</v>
      </c>
      <c r="M299" t="s">
        <v>1421</v>
      </c>
      <c r="N299" t="s">
        <v>1422</v>
      </c>
      <c r="O299" t="s">
        <v>1411</v>
      </c>
      <c r="P299" t="s">
        <v>1411</v>
      </c>
      <c r="Q299" t="s">
        <v>1412</v>
      </c>
      <c r="S299" s="1">
        <v>45952</v>
      </c>
      <c r="V299" s="1">
        <v>45950</v>
      </c>
      <c r="W299" s="1">
        <v>25090</v>
      </c>
      <c r="X299" t="s">
        <v>3347</v>
      </c>
      <c r="Z299" t="s">
        <v>2686</v>
      </c>
      <c r="AA299" t="s">
        <v>1419</v>
      </c>
      <c r="AB299" t="s">
        <v>3348</v>
      </c>
    </row>
    <row r="300" spans="1:29" x14ac:dyDescent="0.3">
      <c r="A300" t="s">
        <v>1405</v>
      </c>
      <c r="B300" t="s">
        <v>2302</v>
      </c>
      <c r="C300" t="s">
        <v>3349</v>
      </c>
      <c r="D300">
        <v>3304694102</v>
      </c>
      <c r="E300" t="s">
        <v>3350</v>
      </c>
      <c r="F300">
        <v>1004015908</v>
      </c>
      <c r="G300" s="1">
        <v>45567</v>
      </c>
      <c r="H300" t="s">
        <v>1360</v>
      </c>
      <c r="I300" t="s">
        <v>1374</v>
      </c>
      <c r="J300" t="s">
        <v>1361</v>
      </c>
      <c r="K300" t="s">
        <v>2308</v>
      </c>
      <c r="L300" t="s">
        <v>2305</v>
      </c>
      <c r="M300" t="s">
        <v>1646</v>
      </c>
      <c r="N300" t="s">
        <v>1410</v>
      </c>
      <c r="O300" t="s">
        <v>1411</v>
      </c>
      <c r="P300" t="s">
        <v>1411</v>
      </c>
      <c r="Q300" t="s">
        <v>1593</v>
      </c>
      <c r="R300" t="s">
        <v>3351</v>
      </c>
      <c r="S300" s="1">
        <v>46043</v>
      </c>
      <c r="W300" s="1">
        <v>33739</v>
      </c>
      <c r="X300" t="s">
        <v>1858</v>
      </c>
      <c r="Y300" t="s">
        <v>1762</v>
      </c>
      <c r="Z300" t="s">
        <v>3352</v>
      </c>
      <c r="AA300" t="s">
        <v>1415</v>
      </c>
      <c r="AB300" t="s">
        <v>3353</v>
      </c>
      <c r="AC300">
        <v>65984663980</v>
      </c>
    </row>
    <row r="301" spans="1:29" x14ac:dyDescent="0.3">
      <c r="A301" t="s">
        <v>1405</v>
      </c>
      <c r="B301" t="s">
        <v>2302</v>
      </c>
      <c r="C301" t="s">
        <v>3354</v>
      </c>
      <c r="D301">
        <v>53902726920</v>
      </c>
      <c r="E301">
        <v>1567225</v>
      </c>
      <c r="F301">
        <v>1004012059</v>
      </c>
      <c r="G301" s="1">
        <v>45058</v>
      </c>
      <c r="H301" t="s">
        <v>1360</v>
      </c>
      <c r="I301" t="s">
        <v>1374</v>
      </c>
      <c r="J301" t="s">
        <v>1361</v>
      </c>
      <c r="K301" t="s">
        <v>2308</v>
      </c>
      <c r="L301" t="s">
        <v>2305</v>
      </c>
      <c r="M301" t="s">
        <v>1447</v>
      </c>
      <c r="N301" t="s">
        <v>1448</v>
      </c>
      <c r="O301" t="s">
        <v>1423</v>
      </c>
      <c r="P301" t="s">
        <v>1423</v>
      </c>
      <c r="Q301" t="s">
        <v>1412</v>
      </c>
      <c r="S301" s="1">
        <v>46043</v>
      </c>
      <c r="W301" s="1">
        <v>23497</v>
      </c>
      <c r="X301" t="s">
        <v>2560</v>
      </c>
      <c r="Y301" t="s">
        <v>3355</v>
      </c>
      <c r="Z301" t="s">
        <v>2562</v>
      </c>
      <c r="AA301" t="s">
        <v>1415</v>
      </c>
      <c r="AB301" t="s">
        <v>3356</v>
      </c>
      <c r="AC301">
        <v>48991097270</v>
      </c>
    </row>
    <row r="302" spans="1:29" x14ac:dyDescent="0.3">
      <c r="A302" t="s">
        <v>1405</v>
      </c>
      <c r="B302" t="s">
        <v>2302</v>
      </c>
      <c r="C302" t="s">
        <v>3357</v>
      </c>
      <c r="D302">
        <v>11199805777</v>
      </c>
      <c r="E302">
        <v>203705470</v>
      </c>
      <c r="F302">
        <v>1004009921</v>
      </c>
      <c r="G302" s="1">
        <v>44685</v>
      </c>
      <c r="H302" t="s">
        <v>1360</v>
      </c>
      <c r="I302" t="s">
        <v>1374</v>
      </c>
      <c r="J302" t="s">
        <v>2348</v>
      </c>
      <c r="K302" t="s">
        <v>2308</v>
      </c>
      <c r="L302" t="s">
        <v>2305</v>
      </c>
      <c r="M302" t="s">
        <v>1421</v>
      </c>
      <c r="N302" t="s">
        <v>1410</v>
      </c>
      <c r="O302" t="s">
        <v>1423</v>
      </c>
      <c r="P302" t="s">
        <v>1423</v>
      </c>
      <c r="Q302" t="s">
        <v>1412</v>
      </c>
      <c r="S302" s="1">
        <v>46043</v>
      </c>
      <c r="W302" s="1">
        <v>31143</v>
      </c>
      <c r="X302" t="s">
        <v>2412</v>
      </c>
      <c r="Z302" t="s">
        <v>3358</v>
      </c>
      <c r="AA302" t="s">
        <v>1415</v>
      </c>
      <c r="AB302" t="s">
        <v>3359</v>
      </c>
      <c r="AC302">
        <v>21986775814</v>
      </c>
    </row>
    <row r="303" spans="1:29" x14ac:dyDescent="0.3">
      <c r="A303" t="s">
        <v>1405</v>
      </c>
      <c r="B303" t="s">
        <v>2302</v>
      </c>
      <c r="C303" t="s">
        <v>3360</v>
      </c>
      <c r="D303">
        <v>60564774367</v>
      </c>
      <c r="E303">
        <v>6714052658</v>
      </c>
      <c r="F303">
        <v>1004022730</v>
      </c>
      <c r="G303" s="1">
        <v>46146</v>
      </c>
      <c r="H303" t="s">
        <v>1360</v>
      </c>
      <c r="I303" t="s">
        <v>1805</v>
      </c>
      <c r="J303" t="s">
        <v>2348</v>
      </c>
      <c r="K303" t="s">
        <v>2308</v>
      </c>
      <c r="L303" t="s">
        <v>2305</v>
      </c>
      <c r="M303" t="s">
        <v>1421</v>
      </c>
      <c r="N303" t="s">
        <v>1422</v>
      </c>
      <c r="O303" t="s">
        <v>1411</v>
      </c>
      <c r="P303" t="s">
        <v>1411</v>
      </c>
      <c r="Q303" t="s">
        <v>1412</v>
      </c>
      <c r="S303" s="1">
        <v>46135</v>
      </c>
      <c r="W303" s="1">
        <v>35425</v>
      </c>
      <c r="X303" t="s">
        <v>1519</v>
      </c>
      <c r="Z303" t="s">
        <v>2947</v>
      </c>
      <c r="AA303" t="s">
        <v>1415</v>
      </c>
      <c r="AB303" t="s">
        <v>3361</v>
      </c>
      <c r="AC303">
        <v>98984876803</v>
      </c>
    </row>
    <row r="304" spans="1:29" x14ac:dyDescent="0.3">
      <c r="A304" t="s">
        <v>1405</v>
      </c>
      <c r="B304" t="s">
        <v>2302</v>
      </c>
      <c r="C304" t="s">
        <v>3362</v>
      </c>
      <c r="D304">
        <v>12464586676</v>
      </c>
      <c r="E304">
        <v>18801803</v>
      </c>
      <c r="F304">
        <v>1004010870</v>
      </c>
      <c r="G304" s="1">
        <v>44838</v>
      </c>
      <c r="H304" t="s">
        <v>1360</v>
      </c>
      <c r="I304" t="s">
        <v>1349</v>
      </c>
      <c r="J304" t="s">
        <v>2348</v>
      </c>
      <c r="K304" t="s">
        <v>2308</v>
      </c>
      <c r="L304" t="s">
        <v>2305</v>
      </c>
      <c r="M304" t="s">
        <v>1421</v>
      </c>
      <c r="N304" t="s">
        <v>1422</v>
      </c>
      <c r="O304" t="s">
        <v>1462</v>
      </c>
      <c r="P304" t="s">
        <v>1462</v>
      </c>
      <c r="Q304" t="s">
        <v>1412</v>
      </c>
      <c r="S304" s="1">
        <v>45880</v>
      </c>
      <c r="V304" s="1">
        <v>45870</v>
      </c>
      <c r="W304" s="1">
        <v>35740</v>
      </c>
      <c r="X304" t="s">
        <v>1503</v>
      </c>
      <c r="Z304" t="s">
        <v>3363</v>
      </c>
      <c r="AA304" t="s">
        <v>1415</v>
      </c>
      <c r="AB304" t="s">
        <v>3364</v>
      </c>
      <c r="AC304">
        <v>31999320271</v>
      </c>
    </row>
    <row r="305" spans="1:29" x14ac:dyDescent="0.3">
      <c r="A305" t="s">
        <v>1405</v>
      </c>
      <c r="B305" t="s">
        <v>2302</v>
      </c>
      <c r="C305" t="s">
        <v>3365</v>
      </c>
      <c r="D305">
        <v>9674228764</v>
      </c>
      <c r="E305">
        <v>126241850</v>
      </c>
      <c r="F305">
        <v>1004015462</v>
      </c>
      <c r="G305" s="1">
        <v>45518</v>
      </c>
      <c r="H305" t="s">
        <v>1360</v>
      </c>
      <c r="I305" t="s">
        <v>1374</v>
      </c>
      <c r="J305" t="s">
        <v>1361</v>
      </c>
      <c r="K305" t="s">
        <v>2308</v>
      </c>
      <c r="L305" t="s">
        <v>2305</v>
      </c>
      <c r="M305" t="s">
        <v>1447</v>
      </c>
      <c r="N305" t="s">
        <v>1448</v>
      </c>
      <c r="O305" t="s">
        <v>1462</v>
      </c>
      <c r="P305" t="s">
        <v>1462</v>
      </c>
      <c r="Q305" t="s">
        <v>1412</v>
      </c>
      <c r="S305" s="1">
        <v>46043</v>
      </c>
      <c r="W305" s="1">
        <v>30043</v>
      </c>
      <c r="X305" t="s">
        <v>3366</v>
      </c>
      <c r="Z305" t="s">
        <v>3367</v>
      </c>
      <c r="AA305" t="s">
        <v>1415</v>
      </c>
      <c r="AB305" t="s">
        <v>3368</v>
      </c>
      <c r="AC305">
        <v>21976758558</v>
      </c>
    </row>
    <row r="306" spans="1:29" x14ac:dyDescent="0.3">
      <c r="A306" t="s">
        <v>1405</v>
      </c>
      <c r="B306" t="s">
        <v>2302</v>
      </c>
      <c r="C306" t="s">
        <v>3369</v>
      </c>
      <c r="D306">
        <v>8464907737</v>
      </c>
      <c r="E306">
        <v>117238105</v>
      </c>
      <c r="F306">
        <v>1004008648</v>
      </c>
      <c r="G306" s="1">
        <v>44453</v>
      </c>
      <c r="H306" t="s">
        <v>1360</v>
      </c>
      <c r="I306" t="s">
        <v>1349</v>
      </c>
      <c r="J306" t="s">
        <v>1361</v>
      </c>
      <c r="K306" t="s">
        <v>2308</v>
      </c>
      <c r="L306" t="s">
        <v>2305</v>
      </c>
      <c r="M306" t="s">
        <v>1447</v>
      </c>
      <c r="N306" t="s">
        <v>1448</v>
      </c>
      <c r="O306" t="s">
        <v>1411</v>
      </c>
      <c r="P306" t="s">
        <v>1411</v>
      </c>
      <c r="Q306" t="s">
        <v>1412</v>
      </c>
      <c r="S306" s="1">
        <v>46065</v>
      </c>
      <c r="V306" s="1">
        <v>46063</v>
      </c>
      <c r="W306" s="1">
        <v>28807</v>
      </c>
      <c r="X306" t="s">
        <v>1654</v>
      </c>
      <c r="Z306" t="s">
        <v>2926</v>
      </c>
      <c r="AA306" t="s">
        <v>1415</v>
      </c>
      <c r="AB306" t="s">
        <v>3370</v>
      </c>
      <c r="AC306">
        <v>21965605959</v>
      </c>
    </row>
    <row r="307" spans="1:29" x14ac:dyDescent="0.3">
      <c r="A307" t="s">
        <v>1405</v>
      </c>
      <c r="B307" t="s">
        <v>2302</v>
      </c>
      <c r="C307" t="s">
        <v>3371</v>
      </c>
      <c r="D307">
        <v>3846481505</v>
      </c>
      <c r="E307">
        <v>1478008890</v>
      </c>
      <c r="F307">
        <v>1004017457</v>
      </c>
      <c r="G307" s="1">
        <v>45749</v>
      </c>
      <c r="H307" t="s">
        <v>1360</v>
      </c>
      <c r="I307" t="s">
        <v>1349</v>
      </c>
      <c r="J307" t="s">
        <v>1361</v>
      </c>
      <c r="K307" t="s">
        <v>2308</v>
      </c>
      <c r="L307" t="s">
        <v>2305</v>
      </c>
      <c r="M307" t="s">
        <v>1421</v>
      </c>
      <c r="N307" t="s">
        <v>1422</v>
      </c>
      <c r="O307" t="s">
        <v>1411</v>
      </c>
      <c r="P307" t="s">
        <v>1411</v>
      </c>
      <c r="Q307" t="s">
        <v>1412</v>
      </c>
      <c r="S307" s="1">
        <v>45876</v>
      </c>
      <c r="V307" s="1">
        <v>45873</v>
      </c>
      <c r="W307" s="1">
        <v>33690</v>
      </c>
      <c r="X307" t="s">
        <v>1954</v>
      </c>
      <c r="Z307" t="s">
        <v>2806</v>
      </c>
      <c r="AA307" t="s">
        <v>1415</v>
      </c>
      <c r="AB307" t="s">
        <v>3372</v>
      </c>
      <c r="AC307">
        <v>73991081468</v>
      </c>
    </row>
    <row r="308" spans="1:29" x14ac:dyDescent="0.3">
      <c r="A308" t="s">
        <v>1405</v>
      </c>
      <c r="B308" t="s">
        <v>2302</v>
      </c>
      <c r="C308" t="s">
        <v>3373</v>
      </c>
      <c r="D308">
        <v>9627653926</v>
      </c>
      <c r="E308">
        <v>4862403</v>
      </c>
      <c r="F308">
        <v>1004014652</v>
      </c>
      <c r="G308" s="1">
        <v>45397</v>
      </c>
      <c r="H308" t="s">
        <v>1360</v>
      </c>
      <c r="I308" t="s">
        <v>1374</v>
      </c>
      <c r="J308" t="s">
        <v>2572</v>
      </c>
      <c r="K308" t="s">
        <v>2573</v>
      </c>
      <c r="L308" t="s">
        <v>2305</v>
      </c>
      <c r="M308" t="s">
        <v>1421</v>
      </c>
      <c r="N308" t="s">
        <v>1448</v>
      </c>
      <c r="O308" t="s">
        <v>1411</v>
      </c>
      <c r="P308" t="s">
        <v>1411</v>
      </c>
      <c r="Q308" t="s">
        <v>1412</v>
      </c>
      <c r="S308" s="1">
        <v>46043</v>
      </c>
      <c r="W308" s="1">
        <v>34595</v>
      </c>
      <c r="X308" t="s">
        <v>2742</v>
      </c>
      <c r="Z308" t="s">
        <v>3374</v>
      </c>
      <c r="AA308" t="s">
        <v>1415</v>
      </c>
      <c r="AB308" t="s">
        <v>3375</v>
      </c>
      <c r="AC308">
        <v>49991506811</v>
      </c>
    </row>
    <row r="309" spans="1:29" x14ac:dyDescent="0.3">
      <c r="A309" t="s">
        <v>1405</v>
      </c>
      <c r="B309" t="s">
        <v>2302</v>
      </c>
      <c r="C309" t="s">
        <v>3376</v>
      </c>
      <c r="D309">
        <v>2621247504</v>
      </c>
      <c r="E309">
        <v>1410250938</v>
      </c>
      <c r="F309">
        <v>1004006951</v>
      </c>
      <c r="G309" s="1">
        <v>44095</v>
      </c>
      <c r="H309" t="s">
        <v>1360</v>
      </c>
      <c r="I309" t="s">
        <v>1374</v>
      </c>
      <c r="J309" t="s">
        <v>2308</v>
      </c>
      <c r="K309" t="s">
        <v>2313</v>
      </c>
      <c r="L309" t="s">
        <v>2305</v>
      </c>
      <c r="M309" t="s">
        <v>1409</v>
      </c>
      <c r="N309" t="s">
        <v>1410</v>
      </c>
      <c r="O309" t="s">
        <v>1411</v>
      </c>
      <c r="P309" t="s">
        <v>1411</v>
      </c>
      <c r="Q309" t="s">
        <v>1412</v>
      </c>
      <c r="S309" s="1">
        <v>46043</v>
      </c>
      <c r="W309" s="1">
        <v>31804</v>
      </c>
      <c r="X309" t="s">
        <v>2223</v>
      </c>
      <c r="Y309" t="s">
        <v>2614</v>
      </c>
      <c r="Z309" t="s">
        <v>2615</v>
      </c>
      <c r="AA309" t="s">
        <v>1419</v>
      </c>
      <c r="AB309" t="s">
        <v>3377</v>
      </c>
      <c r="AC309">
        <v>75991299108</v>
      </c>
    </row>
    <row r="310" spans="1:29" x14ac:dyDescent="0.3">
      <c r="A310" t="s">
        <v>1405</v>
      </c>
      <c r="B310" t="s">
        <v>2302</v>
      </c>
      <c r="C310" t="s">
        <v>3378</v>
      </c>
      <c r="D310">
        <v>37439200772</v>
      </c>
      <c r="E310">
        <v>47144985</v>
      </c>
      <c r="F310">
        <v>1004004400</v>
      </c>
      <c r="G310" s="1">
        <v>43690</v>
      </c>
      <c r="H310" t="s">
        <v>1360</v>
      </c>
      <c r="I310" t="s">
        <v>1374</v>
      </c>
      <c r="J310" t="s">
        <v>2308</v>
      </c>
      <c r="K310" t="s">
        <v>2313</v>
      </c>
      <c r="L310" t="s">
        <v>2305</v>
      </c>
      <c r="M310" t="s">
        <v>1442</v>
      </c>
      <c r="N310" t="s">
        <v>1443</v>
      </c>
      <c r="O310" t="s">
        <v>1411</v>
      </c>
      <c r="P310" t="s">
        <v>1411</v>
      </c>
      <c r="Q310" t="s">
        <v>1412</v>
      </c>
      <c r="S310" s="1">
        <v>46043</v>
      </c>
      <c r="W310" s="1">
        <v>20596</v>
      </c>
      <c r="X310" t="s">
        <v>2412</v>
      </c>
      <c r="Z310" t="s">
        <v>2409</v>
      </c>
      <c r="AA310" t="s">
        <v>1415</v>
      </c>
      <c r="AB310" t="s">
        <v>3379</v>
      </c>
      <c r="AC310">
        <v>2222103024</v>
      </c>
    </row>
    <row r="311" spans="1:29" x14ac:dyDescent="0.3">
      <c r="A311" t="s">
        <v>1405</v>
      </c>
      <c r="B311" t="s">
        <v>2302</v>
      </c>
      <c r="C311" t="s">
        <v>3380</v>
      </c>
      <c r="D311">
        <v>4723847910</v>
      </c>
      <c r="E311">
        <v>4771177</v>
      </c>
      <c r="F311">
        <v>1004006924</v>
      </c>
      <c r="G311" s="1">
        <v>44091</v>
      </c>
      <c r="H311" t="s">
        <v>1360</v>
      </c>
      <c r="I311" t="s">
        <v>1349</v>
      </c>
      <c r="J311" t="s">
        <v>2308</v>
      </c>
      <c r="K311" t="s">
        <v>2313</v>
      </c>
      <c r="L311" t="s">
        <v>2305</v>
      </c>
      <c r="M311" t="s">
        <v>1409</v>
      </c>
      <c r="N311" t="s">
        <v>1410</v>
      </c>
      <c r="O311" t="s">
        <v>1462</v>
      </c>
      <c r="P311" t="s">
        <v>1462</v>
      </c>
      <c r="Q311" t="s">
        <v>1412</v>
      </c>
      <c r="S311" s="1">
        <v>46072</v>
      </c>
      <c r="T311" s="1">
        <v>45940</v>
      </c>
      <c r="V311" s="1">
        <v>46071</v>
      </c>
      <c r="W311" s="1">
        <v>31158</v>
      </c>
      <c r="X311" t="s">
        <v>1563</v>
      </c>
      <c r="Y311" t="s">
        <v>1564</v>
      </c>
      <c r="Z311" t="s">
        <v>2610</v>
      </c>
      <c r="AA311" t="s">
        <v>1419</v>
      </c>
      <c r="AB311" t="s">
        <v>3381</v>
      </c>
      <c r="AC311">
        <v>47984205171</v>
      </c>
    </row>
    <row r="312" spans="1:29" x14ac:dyDescent="0.3">
      <c r="A312" t="s">
        <v>1405</v>
      </c>
      <c r="B312" t="s">
        <v>2302</v>
      </c>
      <c r="C312" t="s">
        <v>3382</v>
      </c>
      <c r="D312">
        <v>63561735991</v>
      </c>
      <c r="E312">
        <v>11080671</v>
      </c>
      <c r="F312">
        <v>1004011650</v>
      </c>
      <c r="G312" s="1">
        <v>45012</v>
      </c>
      <c r="H312" t="s">
        <v>1360</v>
      </c>
      <c r="I312" t="s">
        <v>1374</v>
      </c>
      <c r="J312" t="s">
        <v>2348</v>
      </c>
      <c r="K312" t="s">
        <v>2308</v>
      </c>
      <c r="L312" t="s">
        <v>2305</v>
      </c>
      <c r="M312" t="s">
        <v>1421</v>
      </c>
      <c r="N312" t="s">
        <v>1410</v>
      </c>
      <c r="O312" t="s">
        <v>1423</v>
      </c>
      <c r="P312" t="s">
        <v>1423</v>
      </c>
      <c r="Q312" t="s">
        <v>1412</v>
      </c>
      <c r="S312" s="1">
        <v>46043</v>
      </c>
      <c r="W312" s="1">
        <v>23448</v>
      </c>
      <c r="X312" t="s">
        <v>2766</v>
      </c>
      <c r="Z312" t="s">
        <v>3383</v>
      </c>
      <c r="AA312" t="s">
        <v>1419</v>
      </c>
      <c r="AB312" t="s">
        <v>231</v>
      </c>
      <c r="AC312">
        <v>66999979606</v>
      </c>
    </row>
    <row r="313" spans="1:29" x14ac:dyDescent="0.3">
      <c r="A313" t="s">
        <v>1405</v>
      </c>
      <c r="B313" t="s">
        <v>2302</v>
      </c>
      <c r="C313" t="s">
        <v>3384</v>
      </c>
      <c r="D313">
        <v>14987226871</v>
      </c>
      <c r="E313">
        <v>218194626</v>
      </c>
      <c r="F313">
        <v>1004011525</v>
      </c>
      <c r="G313" s="1">
        <v>44992</v>
      </c>
      <c r="H313" t="s">
        <v>1360</v>
      </c>
      <c r="I313" t="s">
        <v>1374</v>
      </c>
      <c r="J313" t="s">
        <v>1361</v>
      </c>
      <c r="K313" t="s">
        <v>2308</v>
      </c>
      <c r="L313" t="s">
        <v>2305</v>
      </c>
      <c r="M313" t="s">
        <v>1409</v>
      </c>
      <c r="N313" t="s">
        <v>1410</v>
      </c>
      <c r="O313" t="s">
        <v>1423</v>
      </c>
      <c r="P313" t="s">
        <v>1423</v>
      </c>
      <c r="Q313" t="s">
        <v>1412</v>
      </c>
      <c r="S313" s="1">
        <v>46043</v>
      </c>
      <c r="W313" s="1">
        <v>26537</v>
      </c>
      <c r="X313" t="s">
        <v>1724</v>
      </c>
      <c r="Y313" t="s">
        <v>3385</v>
      </c>
      <c r="Z313" t="s">
        <v>2451</v>
      </c>
      <c r="AA313" t="s">
        <v>1419</v>
      </c>
      <c r="AB313" t="s">
        <v>3386</v>
      </c>
      <c r="AC313">
        <v>91991938390</v>
      </c>
    </row>
    <row r="314" spans="1:29" x14ac:dyDescent="0.3">
      <c r="A314" t="s">
        <v>1405</v>
      </c>
      <c r="B314" t="s">
        <v>2302</v>
      </c>
      <c r="C314" t="s">
        <v>3387</v>
      </c>
      <c r="D314">
        <v>2298958912</v>
      </c>
      <c r="E314">
        <v>30808723</v>
      </c>
      <c r="F314">
        <v>1004000556</v>
      </c>
      <c r="G314" s="1">
        <v>42935</v>
      </c>
      <c r="H314" t="s">
        <v>1360</v>
      </c>
      <c r="I314" t="s">
        <v>1374</v>
      </c>
      <c r="J314" t="s">
        <v>2308</v>
      </c>
      <c r="K314" t="s">
        <v>2313</v>
      </c>
      <c r="L314" t="s">
        <v>2305</v>
      </c>
      <c r="M314" t="s">
        <v>1409</v>
      </c>
      <c r="N314" t="s">
        <v>1410</v>
      </c>
      <c r="O314" t="s">
        <v>1423</v>
      </c>
      <c r="P314" t="s">
        <v>1423</v>
      </c>
      <c r="Q314" t="s">
        <v>1412</v>
      </c>
      <c r="S314" s="1">
        <v>46043</v>
      </c>
      <c r="W314" s="1">
        <v>28669</v>
      </c>
      <c r="X314" t="s">
        <v>3388</v>
      </c>
      <c r="Y314" t="s">
        <v>1729</v>
      </c>
      <c r="Z314" t="s">
        <v>2754</v>
      </c>
      <c r="AA314" t="s">
        <v>1419</v>
      </c>
      <c r="AB314" t="s">
        <v>3389</v>
      </c>
      <c r="AC314">
        <v>4899988705</v>
      </c>
    </row>
    <row r="315" spans="1:29" x14ac:dyDescent="0.3">
      <c r="A315" t="s">
        <v>1405</v>
      </c>
      <c r="B315" t="s">
        <v>2302</v>
      </c>
      <c r="C315" t="s">
        <v>3390</v>
      </c>
      <c r="D315">
        <v>38021277068</v>
      </c>
      <c r="E315">
        <v>9022291174</v>
      </c>
      <c r="F315">
        <v>1004010512</v>
      </c>
      <c r="G315" s="1">
        <v>44783</v>
      </c>
      <c r="H315" t="s">
        <v>1360</v>
      </c>
      <c r="I315" t="s">
        <v>1374</v>
      </c>
      <c r="J315" t="s">
        <v>2348</v>
      </c>
      <c r="K315" t="s">
        <v>2308</v>
      </c>
      <c r="L315" t="s">
        <v>2305</v>
      </c>
      <c r="M315" t="s">
        <v>1409</v>
      </c>
      <c r="N315" t="s">
        <v>1410</v>
      </c>
      <c r="O315" t="s">
        <v>1423</v>
      </c>
      <c r="P315" t="s">
        <v>1423</v>
      </c>
      <c r="Q315" t="s">
        <v>1412</v>
      </c>
      <c r="S315" s="1">
        <v>46043</v>
      </c>
      <c r="W315" s="1">
        <v>20918</v>
      </c>
      <c r="X315" t="s">
        <v>1512</v>
      </c>
      <c r="Y315" t="s">
        <v>2639</v>
      </c>
      <c r="Z315" t="s">
        <v>3391</v>
      </c>
      <c r="AA315" t="s">
        <v>1419</v>
      </c>
      <c r="AB315" t="s">
        <v>3392</v>
      </c>
      <c r="AC315">
        <v>51984681933</v>
      </c>
    </row>
    <row r="316" spans="1:29" x14ac:dyDescent="0.3">
      <c r="A316" t="s">
        <v>1405</v>
      </c>
      <c r="B316" t="s">
        <v>2302</v>
      </c>
      <c r="C316" t="s">
        <v>3393</v>
      </c>
      <c r="D316">
        <v>5215812306</v>
      </c>
      <c r="E316">
        <v>2006097014958</v>
      </c>
      <c r="F316">
        <v>1004015896</v>
      </c>
      <c r="G316" s="1">
        <v>45566</v>
      </c>
      <c r="H316" t="s">
        <v>1360</v>
      </c>
      <c r="I316" t="s">
        <v>1349</v>
      </c>
      <c r="J316" t="s">
        <v>1361</v>
      </c>
      <c r="K316" t="s">
        <v>2308</v>
      </c>
      <c r="L316" t="s">
        <v>2305</v>
      </c>
      <c r="M316" t="s">
        <v>1409</v>
      </c>
      <c r="N316" t="s">
        <v>1410</v>
      </c>
      <c r="O316" t="s">
        <v>1423</v>
      </c>
      <c r="P316" t="s">
        <v>1423</v>
      </c>
      <c r="Q316" t="s">
        <v>1412</v>
      </c>
      <c r="S316" s="1">
        <v>46045</v>
      </c>
      <c r="V316" s="1">
        <v>46042</v>
      </c>
      <c r="W316" s="1">
        <v>33941</v>
      </c>
      <c r="X316" t="s">
        <v>3394</v>
      </c>
      <c r="Z316" t="s">
        <v>2425</v>
      </c>
      <c r="AA316" t="s">
        <v>1419</v>
      </c>
      <c r="AB316" t="s">
        <v>3395</v>
      </c>
      <c r="AC316">
        <v>88994753461</v>
      </c>
    </row>
    <row r="317" spans="1:29" x14ac:dyDescent="0.3">
      <c r="A317" t="s">
        <v>1405</v>
      </c>
      <c r="B317" t="s">
        <v>2302</v>
      </c>
      <c r="C317" t="s">
        <v>3396</v>
      </c>
      <c r="D317">
        <v>60681054310</v>
      </c>
      <c r="E317" t="s">
        <v>3397</v>
      </c>
      <c r="F317">
        <v>1004015435</v>
      </c>
      <c r="G317" s="1">
        <v>45511</v>
      </c>
      <c r="H317" t="s">
        <v>1360</v>
      </c>
      <c r="I317" t="s">
        <v>1349</v>
      </c>
      <c r="J317" t="s">
        <v>1361</v>
      </c>
      <c r="K317" t="s">
        <v>2308</v>
      </c>
      <c r="L317" t="s">
        <v>2305</v>
      </c>
      <c r="M317" t="s">
        <v>1409</v>
      </c>
      <c r="N317" t="s">
        <v>1410</v>
      </c>
      <c r="O317" t="s">
        <v>1411</v>
      </c>
      <c r="P317" t="s">
        <v>1411</v>
      </c>
      <c r="Q317" t="s">
        <v>1412</v>
      </c>
      <c r="S317" s="1">
        <v>45805</v>
      </c>
      <c r="V317" s="1">
        <v>45803</v>
      </c>
      <c r="W317" s="1">
        <v>35078</v>
      </c>
      <c r="X317" t="s">
        <v>3398</v>
      </c>
      <c r="Z317" t="s">
        <v>3399</v>
      </c>
      <c r="AA317" t="s">
        <v>1419</v>
      </c>
      <c r="AB317" t="s">
        <v>3400</v>
      </c>
      <c r="AC317">
        <v>98987082252</v>
      </c>
    </row>
    <row r="318" spans="1:29" x14ac:dyDescent="0.3">
      <c r="A318" t="s">
        <v>1405</v>
      </c>
      <c r="B318" t="s">
        <v>2302</v>
      </c>
      <c r="C318" t="s">
        <v>3401</v>
      </c>
      <c r="D318">
        <v>2275798447</v>
      </c>
      <c r="E318">
        <v>5281472</v>
      </c>
      <c r="F318">
        <v>1004017854</v>
      </c>
      <c r="G318" s="1">
        <v>45770</v>
      </c>
      <c r="H318" t="s">
        <v>1360</v>
      </c>
      <c r="I318" t="s">
        <v>1374</v>
      </c>
      <c r="J318" t="s">
        <v>1361</v>
      </c>
      <c r="K318" t="s">
        <v>2308</v>
      </c>
      <c r="L318" t="s">
        <v>2305</v>
      </c>
      <c r="M318" t="s">
        <v>1409</v>
      </c>
      <c r="N318" t="s">
        <v>1410</v>
      </c>
      <c r="O318" t="s">
        <v>1411</v>
      </c>
      <c r="P318" t="s">
        <v>1411</v>
      </c>
      <c r="Q318" t="s">
        <v>1412</v>
      </c>
      <c r="S318" s="1">
        <v>46043</v>
      </c>
      <c r="W318" s="1">
        <v>28749</v>
      </c>
      <c r="X318" t="s">
        <v>3402</v>
      </c>
      <c r="Y318" t="s">
        <v>3403</v>
      </c>
      <c r="Z318" t="s">
        <v>3404</v>
      </c>
      <c r="AA318" t="s">
        <v>1415</v>
      </c>
      <c r="AB318" t="s">
        <v>3405</v>
      </c>
      <c r="AC318">
        <v>12981461601</v>
      </c>
    </row>
    <row r="319" spans="1:29" x14ac:dyDescent="0.3">
      <c r="A319" t="s">
        <v>1405</v>
      </c>
      <c r="B319" t="s">
        <v>2302</v>
      </c>
      <c r="C319" t="s">
        <v>3406</v>
      </c>
      <c r="D319">
        <v>87435845272</v>
      </c>
      <c r="E319" t="s">
        <v>3407</v>
      </c>
      <c r="F319">
        <v>1004014657</v>
      </c>
      <c r="G319" s="1">
        <v>45398</v>
      </c>
      <c r="H319" t="s">
        <v>1360</v>
      </c>
      <c r="I319" t="s">
        <v>1374</v>
      </c>
      <c r="J319" t="s">
        <v>1361</v>
      </c>
      <c r="K319" t="s">
        <v>2308</v>
      </c>
      <c r="L319" t="s">
        <v>2305</v>
      </c>
      <c r="M319" t="s">
        <v>1409</v>
      </c>
      <c r="N319" t="s">
        <v>1410</v>
      </c>
      <c r="O319" t="s">
        <v>1423</v>
      </c>
      <c r="P319" t="s">
        <v>1423</v>
      </c>
      <c r="Q319" t="s">
        <v>1593</v>
      </c>
      <c r="S319" s="1">
        <v>46085</v>
      </c>
      <c r="T319" s="1">
        <v>45925</v>
      </c>
      <c r="U319" s="1">
        <v>46044</v>
      </c>
      <c r="W319" s="1">
        <v>31911</v>
      </c>
      <c r="X319" t="s">
        <v>1825</v>
      </c>
      <c r="Y319" t="s">
        <v>1920</v>
      </c>
      <c r="Z319" t="s">
        <v>2848</v>
      </c>
      <c r="AA319" t="s">
        <v>1419</v>
      </c>
      <c r="AB319" t="s">
        <v>3408</v>
      </c>
      <c r="AC319">
        <v>95999031945</v>
      </c>
    </row>
    <row r="320" spans="1:29" x14ac:dyDescent="0.3">
      <c r="A320" t="s">
        <v>1405</v>
      </c>
      <c r="B320" t="s">
        <v>2302</v>
      </c>
      <c r="C320" t="s">
        <v>3409</v>
      </c>
      <c r="D320">
        <v>1834264014</v>
      </c>
      <c r="E320">
        <v>8096937829</v>
      </c>
      <c r="F320">
        <v>1004002752</v>
      </c>
      <c r="G320" s="1">
        <v>43383</v>
      </c>
      <c r="H320" t="s">
        <v>1360</v>
      </c>
      <c r="I320" t="s">
        <v>1374</v>
      </c>
      <c r="J320" t="s">
        <v>2308</v>
      </c>
      <c r="K320" t="s">
        <v>2313</v>
      </c>
      <c r="L320" t="s">
        <v>2305</v>
      </c>
      <c r="M320" t="s">
        <v>1447</v>
      </c>
      <c r="N320" t="s">
        <v>1448</v>
      </c>
      <c r="O320" t="s">
        <v>1423</v>
      </c>
      <c r="P320" t="s">
        <v>1423</v>
      </c>
      <c r="Q320" t="s">
        <v>1412</v>
      </c>
      <c r="S320" s="1">
        <v>46043</v>
      </c>
      <c r="W320" s="1">
        <v>33059</v>
      </c>
      <c r="X320" t="s">
        <v>1906</v>
      </c>
      <c r="Y320" t="s">
        <v>3410</v>
      </c>
      <c r="Z320" t="s">
        <v>3411</v>
      </c>
      <c r="AA320" t="s">
        <v>1419</v>
      </c>
      <c r="AB320" t="s">
        <v>3412</v>
      </c>
      <c r="AC320">
        <v>51996265547</v>
      </c>
    </row>
    <row r="321" spans="1:29" x14ac:dyDescent="0.3">
      <c r="A321" t="s">
        <v>1405</v>
      </c>
      <c r="B321" t="s">
        <v>2302</v>
      </c>
      <c r="C321" t="s">
        <v>3413</v>
      </c>
      <c r="D321">
        <v>89158040153</v>
      </c>
      <c r="E321" s="3">
        <v>8189301</v>
      </c>
      <c r="F321">
        <v>1004015584</v>
      </c>
      <c r="G321" s="1">
        <v>45537</v>
      </c>
      <c r="H321" t="s">
        <v>1360</v>
      </c>
      <c r="I321" t="s">
        <v>1349</v>
      </c>
      <c r="J321" t="s">
        <v>1361</v>
      </c>
      <c r="K321" t="s">
        <v>2308</v>
      </c>
      <c r="L321" t="s">
        <v>2305</v>
      </c>
      <c r="M321" t="s">
        <v>1409</v>
      </c>
      <c r="N321" t="s">
        <v>1410</v>
      </c>
      <c r="O321" t="s">
        <v>1411</v>
      </c>
      <c r="P321" t="s">
        <v>1411</v>
      </c>
      <c r="Q321" t="s">
        <v>1412</v>
      </c>
      <c r="S321" s="1">
        <v>45831</v>
      </c>
      <c r="V321" s="1">
        <v>45833</v>
      </c>
      <c r="W321" s="1">
        <v>28877</v>
      </c>
      <c r="X321" t="s">
        <v>3414</v>
      </c>
      <c r="Z321" t="s">
        <v>3102</v>
      </c>
      <c r="AA321" t="s">
        <v>1419</v>
      </c>
      <c r="AB321" t="s">
        <v>3415</v>
      </c>
      <c r="AC321">
        <v>64981434431</v>
      </c>
    </row>
    <row r="322" spans="1:29" x14ac:dyDescent="0.3">
      <c r="A322" t="s">
        <v>1405</v>
      </c>
      <c r="B322" t="s">
        <v>2302</v>
      </c>
      <c r="C322" t="s">
        <v>3416</v>
      </c>
      <c r="D322">
        <v>223051306</v>
      </c>
      <c r="E322">
        <v>2006030034183</v>
      </c>
      <c r="F322">
        <v>1004010734</v>
      </c>
      <c r="G322" s="1">
        <v>44818</v>
      </c>
      <c r="H322" t="s">
        <v>1360</v>
      </c>
      <c r="I322" t="s">
        <v>1374</v>
      </c>
      <c r="J322" t="s">
        <v>2348</v>
      </c>
      <c r="K322" t="s">
        <v>2308</v>
      </c>
      <c r="L322" t="s">
        <v>2305</v>
      </c>
      <c r="M322" t="s">
        <v>1409</v>
      </c>
      <c r="N322" t="s">
        <v>1410</v>
      </c>
      <c r="O322" t="s">
        <v>1462</v>
      </c>
      <c r="P322" t="s">
        <v>1462</v>
      </c>
      <c r="Q322" t="s">
        <v>1412</v>
      </c>
      <c r="S322" s="1">
        <v>46043</v>
      </c>
      <c r="W322" s="1">
        <v>31531</v>
      </c>
      <c r="X322" t="s">
        <v>3417</v>
      </c>
      <c r="Y322" t="s">
        <v>2424</v>
      </c>
      <c r="Z322" t="s">
        <v>2425</v>
      </c>
      <c r="AA322" t="s">
        <v>1419</v>
      </c>
      <c r="AB322" t="s">
        <v>3418</v>
      </c>
      <c r="AC322">
        <v>88997227171</v>
      </c>
    </row>
    <row r="323" spans="1:29" x14ac:dyDescent="0.3">
      <c r="A323" t="s">
        <v>1405</v>
      </c>
      <c r="B323" t="s">
        <v>2302</v>
      </c>
      <c r="C323" t="s">
        <v>3419</v>
      </c>
      <c r="D323">
        <v>7911675856</v>
      </c>
      <c r="E323">
        <v>163014905</v>
      </c>
      <c r="F323">
        <v>1004015461</v>
      </c>
      <c r="G323" s="1">
        <v>45518</v>
      </c>
      <c r="H323" t="s">
        <v>1360</v>
      </c>
      <c r="I323" t="s">
        <v>1374</v>
      </c>
      <c r="J323" t="s">
        <v>1354</v>
      </c>
      <c r="K323" t="s">
        <v>1361</v>
      </c>
      <c r="L323" t="s">
        <v>2305</v>
      </c>
      <c r="M323" t="s">
        <v>1409</v>
      </c>
      <c r="N323" t="s">
        <v>1410</v>
      </c>
      <c r="O323" t="s">
        <v>1423</v>
      </c>
      <c r="P323" t="s">
        <v>1423</v>
      </c>
      <c r="Q323" t="s">
        <v>1412</v>
      </c>
      <c r="S323" s="1">
        <v>46043</v>
      </c>
      <c r="W323" s="1">
        <v>24038</v>
      </c>
      <c r="X323" t="s">
        <v>1510</v>
      </c>
      <c r="Z323" t="s">
        <v>3420</v>
      </c>
      <c r="AA323" t="s">
        <v>1419</v>
      </c>
      <c r="AB323" t="s">
        <v>663</v>
      </c>
      <c r="AC323">
        <v>13981537494</v>
      </c>
    </row>
    <row r="324" spans="1:29" x14ac:dyDescent="0.3">
      <c r="A324" t="s">
        <v>1405</v>
      </c>
      <c r="B324" t="s">
        <v>2302</v>
      </c>
      <c r="C324" t="s">
        <v>3421</v>
      </c>
      <c r="D324">
        <v>1862188262</v>
      </c>
      <c r="E324">
        <v>1154477</v>
      </c>
      <c r="F324">
        <v>1004010920</v>
      </c>
      <c r="G324" s="1">
        <v>44852</v>
      </c>
      <c r="H324" t="s">
        <v>1360</v>
      </c>
      <c r="I324" t="s">
        <v>1374</v>
      </c>
      <c r="J324" t="s">
        <v>2348</v>
      </c>
      <c r="K324" t="s">
        <v>2308</v>
      </c>
      <c r="L324" t="s">
        <v>2305</v>
      </c>
      <c r="M324" t="s">
        <v>1447</v>
      </c>
      <c r="N324" t="s">
        <v>1448</v>
      </c>
      <c r="O324" t="s">
        <v>1423</v>
      </c>
      <c r="P324" t="s">
        <v>1423</v>
      </c>
      <c r="Q324" t="s">
        <v>1412</v>
      </c>
      <c r="S324" s="1">
        <v>46043</v>
      </c>
      <c r="W324" s="1">
        <v>34489</v>
      </c>
      <c r="X324" t="s">
        <v>3422</v>
      </c>
      <c r="Y324" t="s">
        <v>2020</v>
      </c>
      <c r="Z324" t="s">
        <v>2620</v>
      </c>
      <c r="AA324" t="s">
        <v>1419</v>
      </c>
      <c r="AB324" t="s">
        <v>3423</v>
      </c>
      <c r="AC324">
        <v>69999293321</v>
      </c>
    </row>
    <row r="325" spans="1:29" x14ac:dyDescent="0.3">
      <c r="A325" t="s">
        <v>1405</v>
      </c>
      <c r="B325" t="s">
        <v>2302</v>
      </c>
      <c r="C325" t="s">
        <v>3424</v>
      </c>
      <c r="D325">
        <v>2108095233</v>
      </c>
      <c r="E325">
        <v>69769551</v>
      </c>
      <c r="F325">
        <v>1004022216</v>
      </c>
      <c r="G325" s="1">
        <v>46113</v>
      </c>
      <c r="H325" t="s">
        <v>1360</v>
      </c>
      <c r="I325" t="s">
        <v>1374</v>
      </c>
      <c r="J325" t="s">
        <v>2308</v>
      </c>
      <c r="K325" t="s">
        <v>2313</v>
      </c>
      <c r="L325" t="s">
        <v>2305</v>
      </c>
      <c r="M325" t="s">
        <v>1409</v>
      </c>
      <c r="N325" t="s">
        <v>1410</v>
      </c>
      <c r="O325" t="s">
        <v>1411</v>
      </c>
      <c r="P325" t="s">
        <v>1411</v>
      </c>
      <c r="Q325" t="s">
        <v>1412</v>
      </c>
      <c r="S325" s="1">
        <v>46118</v>
      </c>
      <c r="W325" s="1">
        <v>33926</v>
      </c>
      <c r="X325" t="s">
        <v>2516</v>
      </c>
      <c r="Y325" t="s">
        <v>2517</v>
      </c>
      <c r="Z325" t="s">
        <v>2518</v>
      </c>
      <c r="AA325" t="s">
        <v>1419</v>
      </c>
      <c r="AB325" t="s">
        <v>3425</v>
      </c>
      <c r="AC325">
        <v>91991321130</v>
      </c>
    </row>
    <row r="326" spans="1:29" x14ac:dyDescent="0.3">
      <c r="A326" t="s">
        <v>1405</v>
      </c>
      <c r="B326" t="s">
        <v>2302</v>
      </c>
      <c r="C326" t="s">
        <v>3426</v>
      </c>
      <c r="D326">
        <v>9016343954</v>
      </c>
      <c r="E326">
        <v>6054499</v>
      </c>
      <c r="F326">
        <v>1004015302</v>
      </c>
      <c r="G326" s="1">
        <v>45511</v>
      </c>
      <c r="H326" t="s">
        <v>1360</v>
      </c>
      <c r="I326" t="s">
        <v>1349</v>
      </c>
      <c r="J326" t="s">
        <v>2348</v>
      </c>
      <c r="K326" t="s">
        <v>2308</v>
      </c>
      <c r="L326" t="s">
        <v>2305</v>
      </c>
      <c r="M326" t="s">
        <v>1421</v>
      </c>
      <c r="N326" t="s">
        <v>1422</v>
      </c>
      <c r="O326" t="s">
        <v>1423</v>
      </c>
      <c r="P326" t="s">
        <v>1423</v>
      </c>
      <c r="Q326" t="s">
        <v>1412</v>
      </c>
      <c r="S326" s="1">
        <v>45754</v>
      </c>
      <c r="V326" s="1">
        <v>45751</v>
      </c>
      <c r="W326" s="1">
        <v>34546</v>
      </c>
      <c r="X326" t="s">
        <v>1669</v>
      </c>
      <c r="Z326" t="s">
        <v>2876</v>
      </c>
      <c r="AA326" t="s">
        <v>1415</v>
      </c>
      <c r="AB326" t="s">
        <v>3427</v>
      </c>
      <c r="AC326">
        <v>48999903956</v>
      </c>
    </row>
    <row r="327" spans="1:29" x14ac:dyDescent="0.3">
      <c r="A327" t="s">
        <v>1405</v>
      </c>
      <c r="B327" t="s">
        <v>2302</v>
      </c>
      <c r="C327" t="s">
        <v>3428</v>
      </c>
      <c r="D327">
        <v>81846223253</v>
      </c>
      <c r="E327">
        <v>15424740</v>
      </c>
      <c r="F327">
        <v>1004011513</v>
      </c>
      <c r="G327" s="1">
        <v>44991</v>
      </c>
      <c r="H327" t="s">
        <v>1360</v>
      </c>
      <c r="I327" t="s">
        <v>1349</v>
      </c>
      <c r="J327" t="s">
        <v>1361</v>
      </c>
      <c r="K327" t="s">
        <v>2308</v>
      </c>
      <c r="L327" t="s">
        <v>2305</v>
      </c>
      <c r="M327" t="s">
        <v>1421</v>
      </c>
      <c r="N327" t="s">
        <v>1422</v>
      </c>
      <c r="O327" t="s">
        <v>1411</v>
      </c>
      <c r="P327" t="s">
        <v>1411</v>
      </c>
      <c r="Q327" t="s">
        <v>1412</v>
      </c>
      <c r="S327" s="1">
        <v>45848</v>
      </c>
      <c r="V327" s="1">
        <v>45845</v>
      </c>
      <c r="W327" s="1">
        <v>30298</v>
      </c>
      <c r="X327" t="s">
        <v>1825</v>
      </c>
      <c r="Y327" t="s">
        <v>1920</v>
      </c>
      <c r="Z327" t="s">
        <v>2314</v>
      </c>
      <c r="AA327" t="s">
        <v>1415</v>
      </c>
      <c r="AB327" t="s">
        <v>3429</v>
      </c>
      <c r="AC327">
        <v>97984139639</v>
      </c>
    </row>
    <row r="328" spans="1:29" x14ac:dyDescent="0.3">
      <c r="A328" t="s">
        <v>1405</v>
      </c>
      <c r="B328" t="s">
        <v>2302</v>
      </c>
      <c r="C328" t="s">
        <v>3430</v>
      </c>
      <c r="D328">
        <v>7880941495</v>
      </c>
      <c r="E328">
        <v>7949106</v>
      </c>
      <c r="F328">
        <v>1004017471</v>
      </c>
      <c r="G328" s="1">
        <v>45749</v>
      </c>
      <c r="H328" t="s">
        <v>1360</v>
      </c>
      <c r="I328" t="s">
        <v>1374</v>
      </c>
      <c r="J328" t="s">
        <v>1361</v>
      </c>
      <c r="K328" t="s">
        <v>2308</v>
      </c>
      <c r="L328" t="s">
        <v>2305</v>
      </c>
      <c r="M328" t="s">
        <v>1409</v>
      </c>
      <c r="N328" t="s">
        <v>1410</v>
      </c>
      <c r="O328" t="s">
        <v>1462</v>
      </c>
      <c r="P328" t="s">
        <v>1462</v>
      </c>
      <c r="Q328" t="s">
        <v>1412</v>
      </c>
      <c r="S328" s="1">
        <v>46043</v>
      </c>
      <c r="W328" s="1">
        <v>32202</v>
      </c>
      <c r="X328" t="s">
        <v>2983</v>
      </c>
      <c r="Z328" t="s">
        <v>3077</v>
      </c>
      <c r="AA328" t="s">
        <v>1419</v>
      </c>
      <c r="AB328" t="s">
        <v>3431</v>
      </c>
      <c r="AC328">
        <v>81991141668</v>
      </c>
    </row>
    <row r="329" spans="1:29" x14ac:dyDescent="0.3">
      <c r="A329" t="s">
        <v>1405</v>
      </c>
      <c r="B329" t="s">
        <v>2302</v>
      </c>
      <c r="C329" t="s">
        <v>3432</v>
      </c>
      <c r="D329">
        <v>52890228568</v>
      </c>
      <c r="E329" t="s">
        <v>3433</v>
      </c>
      <c r="F329">
        <v>1004017459</v>
      </c>
      <c r="G329" s="1">
        <v>45749</v>
      </c>
      <c r="H329" t="s">
        <v>1360</v>
      </c>
      <c r="I329" t="s">
        <v>1374</v>
      </c>
      <c r="J329" t="s">
        <v>1361</v>
      </c>
      <c r="K329" t="s">
        <v>2308</v>
      </c>
      <c r="L329" t="s">
        <v>2305</v>
      </c>
      <c r="M329" t="s">
        <v>1409</v>
      </c>
      <c r="N329" t="s">
        <v>1410</v>
      </c>
      <c r="O329" t="s">
        <v>1411</v>
      </c>
      <c r="P329" t="s">
        <v>1411</v>
      </c>
      <c r="Q329" t="s">
        <v>1412</v>
      </c>
      <c r="S329" s="1">
        <v>46043</v>
      </c>
      <c r="W329" s="1">
        <v>25482</v>
      </c>
      <c r="X329" t="s">
        <v>3434</v>
      </c>
      <c r="Y329" t="s">
        <v>2782</v>
      </c>
      <c r="Z329" t="s">
        <v>2783</v>
      </c>
      <c r="AA329" t="s">
        <v>1419</v>
      </c>
      <c r="AB329" t="s">
        <v>3435</v>
      </c>
      <c r="AC329">
        <v>73991814499</v>
      </c>
    </row>
    <row r="330" spans="1:29" x14ac:dyDescent="0.3">
      <c r="A330" t="s">
        <v>1405</v>
      </c>
      <c r="B330" t="s">
        <v>2302</v>
      </c>
      <c r="C330" t="s">
        <v>3436</v>
      </c>
      <c r="D330">
        <v>4651507484</v>
      </c>
      <c r="E330">
        <v>3050096</v>
      </c>
      <c r="F330">
        <v>1004003150</v>
      </c>
      <c r="G330" s="1">
        <v>43542</v>
      </c>
      <c r="H330" t="s">
        <v>1360</v>
      </c>
      <c r="I330" t="s">
        <v>1374</v>
      </c>
      <c r="J330" t="s">
        <v>2308</v>
      </c>
      <c r="K330" t="s">
        <v>2313</v>
      </c>
      <c r="L330" t="s">
        <v>2305</v>
      </c>
      <c r="M330" t="s">
        <v>1409</v>
      </c>
      <c r="N330" t="s">
        <v>1410</v>
      </c>
      <c r="O330" t="s">
        <v>1411</v>
      </c>
      <c r="P330" t="s">
        <v>1411</v>
      </c>
      <c r="Q330" t="s">
        <v>1412</v>
      </c>
      <c r="S330" s="1">
        <v>46069</v>
      </c>
      <c r="W330" s="1">
        <v>30115</v>
      </c>
      <c r="X330" t="s">
        <v>3437</v>
      </c>
      <c r="Y330" t="s">
        <v>3438</v>
      </c>
      <c r="Z330" t="s">
        <v>2487</v>
      </c>
      <c r="AA330" t="s">
        <v>1419</v>
      </c>
      <c r="AB330" t="s">
        <v>3439</v>
      </c>
      <c r="AC330">
        <v>83996348510</v>
      </c>
    </row>
    <row r="331" spans="1:29" x14ac:dyDescent="0.3">
      <c r="A331" t="s">
        <v>1405</v>
      </c>
      <c r="B331" t="s">
        <v>2302</v>
      </c>
      <c r="C331" t="s">
        <v>3440</v>
      </c>
      <c r="D331">
        <v>34339932892</v>
      </c>
      <c r="E331">
        <v>303033277</v>
      </c>
      <c r="F331">
        <v>1004007543</v>
      </c>
      <c r="G331" s="1">
        <v>44266</v>
      </c>
      <c r="H331" t="s">
        <v>1360</v>
      </c>
      <c r="I331" t="s">
        <v>1349</v>
      </c>
      <c r="J331" t="s">
        <v>2308</v>
      </c>
      <c r="K331" t="s">
        <v>2313</v>
      </c>
      <c r="L331" t="s">
        <v>2305</v>
      </c>
      <c r="M331" t="s">
        <v>1421</v>
      </c>
      <c r="N331" t="s">
        <v>1410</v>
      </c>
      <c r="O331" t="s">
        <v>1423</v>
      </c>
      <c r="P331" t="s">
        <v>1423</v>
      </c>
      <c r="Q331" t="s">
        <v>1412</v>
      </c>
      <c r="S331" s="1">
        <v>45922</v>
      </c>
      <c r="V331" s="1">
        <v>45917</v>
      </c>
      <c r="W331" s="1">
        <v>31483</v>
      </c>
      <c r="X331" t="s">
        <v>3441</v>
      </c>
      <c r="Y331" t="s">
        <v>3442</v>
      </c>
      <c r="Z331" t="s">
        <v>3443</v>
      </c>
      <c r="AA331" t="s">
        <v>1419</v>
      </c>
      <c r="AB331" t="s">
        <v>3444</v>
      </c>
      <c r="AC331">
        <v>16991088845</v>
      </c>
    </row>
    <row r="332" spans="1:29" x14ac:dyDescent="0.3">
      <c r="A332" t="s">
        <v>1405</v>
      </c>
      <c r="B332" t="s">
        <v>2302</v>
      </c>
      <c r="C332" t="s">
        <v>3445</v>
      </c>
      <c r="D332">
        <v>6135077112</v>
      </c>
      <c r="E332">
        <v>27748618</v>
      </c>
      <c r="F332">
        <v>1004011201</v>
      </c>
      <c r="G332" s="1">
        <v>44984</v>
      </c>
      <c r="H332" t="s">
        <v>1360</v>
      </c>
      <c r="I332" t="s">
        <v>1349</v>
      </c>
      <c r="J332" t="s">
        <v>1361</v>
      </c>
      <c r="K332" t="s">
        <v>2308</v>
      </c>
      <c r="L332" t="s">
        <v>2305</v>
      </c>
      <c r="M332" t="s">
        <v>1409</v>
      </c>
      <c r="N332" t="s">
        <v>1410</v>
      </c>
      <c r="O332" t="s">
        <v>1423</v>
      </c>
      <c r="P332" t="s">
        <v>1423</v>
      </c>
      <c r="Q332" t="s">
        <v>1412</v>
      </c>
      <c r="S332" s="1">
        <v>45861</v>
      </c>
      <c r="V332" s="1">
        <v>45854</v>
      </c>
      <c r="W332" s="1">
        <v>35138</v>
      </c>
      <c r="X332" t="s">
        <v>2960</v>
      </c>
      <c r="Y332" t="s">
        <v>2961</v>
      </c>
      <c r="Z332" t="s">
        <v>3446</v>
      </c>
      <c r="AA332" t="s">
        <v>1419</v>
      </c>
      <c r="AB332" t="s">
        <v>3447</v>
      </c>
      <c r="AC332">
        <v>66992313744</v>
      </c>
    </row>
    <row r="333" spans="1:29" x14ac:dyDescent="0.3">
      <c r="A333" t="s">
        <v>1405</v>
      </c>
      <c r="B333" t="s">
        <v>2302</v>
      </c>
      <c r="C333" t="s">
        <v>3448</v>
      </c>
      <c r="D333">
        <v>79937446287</v>
      </c>
      <c r="E333">
        <v>4033152</v>
      </c>
      <c r="F333">
        <v>1004000627</v>
      </c>
      <c r="G333" s="1">
        <v>42935</v>
      </c>
      <c r="H333" t="s">
        <v>1360</v>
      </c>
      <c r="I333" t="s">
        <v>2317</v>
      </c>
      <c r="J333" t="s">
        <v>2308</v>
      </c>
      <c r="K333" t="s">
        <v>2313</v>
      </c>
      <c r="L333" t="s">
        <v>2305</v>
      </c>
      <c r="M333" t="s">
        <v>1409</v>
      </c>
      <c r="N333" t="s">
        <v>1410</v>
      </c>
      <c r="O333" t="s">
        <v>1423</v>
      </c>
      <c r="P333" t="s">
        <v>1423</v>
      </c>
      <c r="Q333" t="s">
        <v>1412</v>
      </c>
      <c r="S333" s="1">
        <v>46127</v>
      </c>
      <c r="T333" s="1">
        <v>46114</v>
      </c>
      <c r="W333" s="1">
        <v>28810</v>
      </c>
      <c r="X333" t="s">
        <v>3449</v>
      </c>
      <c r="Y333" t="s">
        <v>3450</v>
      </c>
      <c r="Z333" t="s">
        <v>2518</v>
      </c>
      <c r="AA333" t="s">
        <v>1419</v>
      </c>
      <c r="AB333" t="s">
        <v>3451</v>
      </c>
      <c r="AC333">
        <v>91985260989</v>
      </c>
    </row>
    <row r="334" spans="1:29" x14ac:dyDescent="0.3">
      <c r="A334" t="s">
        <v>1405</v>
      </c>
      <c r="B334" t="s">
        <v>2302</v>
      </c>
      <c r="C334" t="s">
        <v>3452</v>
      </c>
      <c r="D334">
        <v>88125599991</v>
      </c>
      <c r="E334">
        <v>56685588</v>
      </c>
      <c r="F334">
        <v>1004000318</v>
      </c>
      <c r="G334" s="1">
        <v>42795</v>
      </c>
      <c r="H334" t="s">
        <v>1360</v>
      </c>
      <c r="I334" t="s">
        <v>2317</v>
      </c>
      <c r="J334" t="s">
        <v>2308</v>
      </c>
      <c r="K334" t="s">
        <v>2313</v>
      </c>
      <c r="L334" t="s">
        <v>2305</v>
      </c>
      <c r="M334" t="s">
        <v>1409</v>
      </c>
      <c r="N334" t="s">
        <v>1410</v>
      </c>
      <c r="O334" t="s">
        <v>1423</v>
      </c>
      <c r="P334" t="s">
        <v>1423</v>
      </c>
      <c r="Q334" t="s">
        <v>1412</v>
      </c>
      <c r="S334" s="1">
        <v>43577</v>
      </c>
      <c r="T334" s="1">
        <v>43574</v>
      </c>
      <c r="W334" s="1">
        <v>26534</v>
      </c>
      <c r="X334" t="s">
        <v>1833</v>
      </c>
      <c r="Y334" t="s">
        <v>3453</v>
      </c>
      <c r="Z334" t="s">
        <v>3446</v>
      </c>
      <c r="AA334" t="s">
        <v>1419</v>
      </c>
      <c r="AB334" t="s">
        <v>3454</v>
      </c>
    </row>
    <row r="335" spans="1:29" x14ac:dyDescent="0.3">
      <c r="A335" t="s">
        <v>1405</v>
      </c>
      <c r="B335" t="s">
        <v>2302</v>
      </c>
      <c r="C335" t="s">
        <v>3455</v>
      </c>
      <c r="D335">
        <v>93542925349</v>
      </c>
      <c r="E335">
        <v>133027020004</v>
      </c>
      <c r="F335">
        <v>1004011697</v>
      </c>
      <c r="G335" s="1">
        <v>45014</v>
      </c>
      <c r="H335" t="s">
        <v>1360</v>
      </c>
      <c r="I335" t="s">
        <v>1374</v>
      </c>
      <c r="J335" t="s">
        <v>1361</v>
      </c>
      <c r="K335" t="s">
        <v>2308</v>
      </c>
      <c r="L335" t="s">
        <v>2305</v>
      </c>
      <c r="M335" t="s">
        <v>1421</v>
      </c>
      <c r="N335" t="s">
        <v>1410</v>
      </c>
      <c r="O335" t="s">
        <v>1411</v>
      </c>
      <c r="P335" t="s">
        <v>1411</v>
      </c>
      <c r="Q335" t="s">
        <v>1412</v>
      </c>
      <c r="S335" s="1">
        <v>46069</v>
      </c>
      <c r="W335" s="1">
        <v>30498</v>
      </c>
      <c r="X335" t="s">
        <v>3456</v>
      </c>
      <c r="Z335" t="s">
        <v>3457</v>
      </c>
      <c r="AA335" t="s">
        <v>1419</v>
      </c>
      <c r="AB335" t="s">
        <v>3458</v>
      </c>
      <c r="AC335">
        <v>86994618105</v>
      </c>
    </row>
    <row r="336" spans="1:29" x14ac:dyDescent="0.3">
      <c r="A336" t="s">
        <v>1405</v>
      </c>
      <c r="B336" t="s">
        <v>2302</v>
      </c>
      <c r="C336" t="s">
        <v>3459</v>
      </c>
      <c r="D336">
        <v>86398032268</v>
      </c>
      <c r="E336">
        <v>4900277</v>
      </c>
      <c r="F336">
        <v>1004014587</v>
      </c>
      <c r="G336" s="1">
        <v>45398</v>
      </c>
      <c r="H336" t="s">
        <v>1360</v>
      </c>
      <c r="I336" t="s">
        <v>1374</v>
      </c>
      <c r="J336" t="s">
        <v>1361</v>
      </c>
      <c r="K336" t="s">
        <v>2308</v>
      </c>
      <c r="L336" t="s">
        <v>2305</v>
      </c>
      <c r="M336" t="s">
        <v>1409</v>
      </c>
      <c r="N336" t="s">
        <v>1410</v>
      </c>
      <c r="O336" t="s">
        <v>1411</v>
      </c>
      <c r="P336" t="s">
        <v>1411</v>
      </c>
      <c r="Q336" t="s">
        <v>1412</v>
      </c>
      <c r="S336" s="1">
        <v>46043</v>
      </c>
      <c r="T336" s="1">
        <v>45895</v>
      </c>
      <c r="U336" s="1">
        <v>46014</v>
      </c>
      <c r="W336" s="1">
        <v>31345</v>
      </c>
      <c r="X336" t="s">
        <v>3460</v>
      </c>
      <c r="Y336" t="s">
        <v>3461</v>
      </c>
      <c r="Z336" t="s">
        <v>2576</v>
      </c>
      <c r="AA336" t="s">
        <v>1419</v>
      </c>
      <c r="AB336" t="s">
        <v>3462</v>
      </c>
      <c r="AC336">
        <v>91985730691</v>
      </c>
    </row>
    <row r="337" spans="1:29" x14ac:dyDescent="0.3">
      <c r="A337" t="s">
        <v>1405</v>
      </c>
      <c r="B337" t="s">
        <v>2302</v>
      </c>
      <c r="C337" t="s">
        <v>3463</v>
      </c>
      <c r="D337">
        <v>1609951247</v>
      </c>
      <c r="E337">
        <v>6395817</v>
      </c>
      <c r="F337">
        <v>1004012220</v>
      </c>
      <c r="G337" s="1">
        <v>45083</v>
      </c>
      <c r="H337" t="s">
        <v>1360</v>
      </c>
      <c r="I337" t="s">
        <v>1374</v>
      </c>
      <c r="J337" t="s">
        <v>1361</v>
      </c>
      <c r="K337" t="s">
        <v>2308</v>
      </c>
      <c r="L337" t="s">
        <v>2305</v>
      </c>
      <c r="M337" t="s">
        <v>1421</v>
      </c>
      <c r="N337" t="s">
        <v>1410</v>
      </c>
      <c r="O337" t="s">
        <v>1462</v>
      </c>
      <c r="P337" t="s">
        <v>1462</v>
      </c>
      <c r="Q337" t="s">
        <v>1412</v>
      </c>
      <c r="S337" s="1">
        <v>46043</v>
      </c>
      <c r="W337" s="1">
        <v>33695</v>
      </c>
      <c r="X337" t="s">
        <v>3449</v>
      </c>
      <c r="Z337" t="s">
        <v>2518</v>
      </c>
      <c r="AA337" t="s">
        <v>1415</v>
      </c>
      <c r="AB337" t="s">
        <v>3464</v>
      </c>
      <c r="AC337">
        <v>91992473651</v>
      </c>
    </row>
    <row r="338" spans="1:29" x14ac:dyDescent="0.3">
      <c r="A338" t="s">
        <v>1405</v>
      </c>
      <c r="B338" t="s">
        <v>2302</v>
      </c>
      <c r="C338" t="s">
        <v>3465</v>
      </c>
      <c r="D338">
        <v>67471404272</v>
      </c>
      <c r="E338">
        <v>3538478</v>
      </c>
      <c r="F338">
        <v>1004003198</v>
      </c>
      <c r="G338" s="1">
        <v>43535</v>
      </c>
      <c r="H338" t="s">
        <v>1360</v>
      </c>
      <c r="I338" t="s">
        <v>1374</v>
      </c>
      <c r="J338" t="s">
        <v>2308</v>
      </c>
      <c r="K338" t="s">
        <v>2313</v>
      </c>
      <c r="L338" t="s">
        <v>2305</v>
      </c>
      <c r="M338" t="s">
        <v>1447</v>
      </c>
      <c r="N338" t="s">
        <v>1448</v>
      </c>
      <c r="O338" t="s">
        <v>1411</v>
      </c>
      <c r="P338" t="s">
        <v>1411</v>
      </c>
      <c r="Q338" t="s">
        <v>1412</v>
      </c>
      <c r="S338" s="1">
        <v>46043</v>
      </c>
      <c r="W338" s="1">
        <v>29294</v>
      </c>
      <c r="X338" t="s">
        <v>3466</v>
      </c>
      <c r="Y338" t="s">
        <v>3467</v>
      </c>
      <c r="Z338" t="s">
        <v>3468</v>
      </c>
      <c r="AA338" t="s">
        <v>1419</v>
      </c>
      <c r="AB338" t="s">
        <v>3469</v>
      </c>
      <c r="AC338">
        <v>91991956373</v>
      </c>
    </row>
    <row r="339" spans="1:29" x14ac:dyDescent="0.3">
      <c r="A339" t="s">
        <v>1405</v>
      </c>
      <c r="B339" t="s">
        <v>2302</v>
      </c>
      <c r="C339" t="s">
        <v>3470</v>
      </c>
      <c r="D339">
        <v>4182838424</v>
      </c>
      <c r="E339">
        <v>5534468</v>
      </c>
      <c r="F339">
        <v>1004006361</v>
      </c>
      <c r="G339" s="1">
        <v>43972</v>
      </c>
      <c r="H339" t="s">
        <v>1360</v>
      </c>
      <c r="I339" t="s">
        <v>1349</v>
      </c>
      <c r="J339" t="s">
        <v>2308</v>
      </c>
      <c r="K339" t="s">
        <v>2313</v>
      </c>
      <c r="L339" t="s">
        <v>2305</v>
      </c>
      <c r="M339" t="s">
        <v>1409</v>
      </c>
      <c r="N339" t="s">
        <v>1410</v>
      </c>
      <c r="O339" t="s">
        <v>1423</v>
      </c>
      <c r="P339" t="s">
        <v>1423</v>
      </c>
      <c r="Q339" t="s">
        <v>1412</v>
      </c>
      <c r="S339" s="1">
        <v>46043</v>
      </c>
      <c r="V339" s="1">
        <v>46041</v>
      </c>
      <c r="W339" s="1">
        <v>29899</v>
      </c>
      <c r="X339" t="s">
        <v>1893</v>
      </c>
      <c r="Y339" t="s">
        <v>3471</v>
      </c>
      <c r="Z339" t="s">
        <v>3214</v>
      </c>
      <c r="AA339" t="s">
        <v>1419</v>
      </c>
      <c r="AB339" t="s">
        <v>3472</v>
      </c>
      <c r="AC339">
        <v>87998111121</v>
      </c>
    </row>
    <row r="340" spans="1:29" x14ac:dyDescent="0.3">
      <c r="A340" t="s">
        <v>1405</v>
      </c>
      <c r="B340" t="s">
        <v>2302</v>
      </c>
      <c r="C340" t="s">
        <v>3473</v>
      </c>
      <c r="D340">
        <v>5100886196</v>
      </c>
      <c r="E340">
        <v>21110298</v>
      </c>
      <c r="F340">
        <v>1004009138</v>
      </c>
      <c r="G340" s="1">
        <v>44613</v>
      </c>
      <c r="H340" t="s">
        <v>1360</v>
      </c>
      <c r="I340" t="s">
        <v>1349</v>
      </c>
      <c r="J340" t="s">
        <v>2348</v>
      </c>
      <c r="K340" t="s">
        <v>2308</v>
      </c>
      <c r="L340" t="s">
        <v>2305</v>
      </c>
      <c r="M340" t="s">
        <v>1421</v>
      </c>
      <c r="N340" t="s">
        <v>1422</v>
      </c>
      <c r="O340" t="s">
        <v>1411</v>
      </c>
      <c r="P340" t="s">
        <v>1411</v>
      </c>
      <c r="Q340" t="s">
        <v>1412</v>
      </c>
      <c r="S340" s="1">
        <v>45946</v>
      </c>
      <c r="V340" s="1">
        <v>45944</v>
      </c>
      <c r="W340" s="1">
        <v>34848</v>
      </c>
      <c r="X340" t="s">
        <v>2960</v>
      </c>
      <c r="Y340" t="s">
        <v>2961</v>
      </c>
      <c r="Z340" t="s">
        <v>3474</v>
      </c>
      <c r="AA340" t="s">
        <v>1419</v>
      </c>
      <c r="AB340" t="s">
        <v>3475</v>
      </c>
      <c r="AC340">
        <v>66984600973</v>
      </c>
    </row>
    <row r="341" spans="1:29" x14ac:dyDescent="0.3">
      <c r="A341" t="s">
        <v>1405</v>
      </c>
      <c r="B341" t="s">
        <v>2302</v>
      </c>
      <c r="C341" t="s">
        <v>3476</v>
      </c>
      <c r="D341">
        <v>2897531398</v>
      </c>
      <c r="E341">
        <v>205815320028</v>
      </c>
      <c r="F341">
        <v>1004004922</v>
      </c>
      <c r="G341" s="1">
        <v>43764</v>
      </c>
      <c r="H341" t="s">
        <v>1360</v>
      </c>
      <c r="I341" t="s">
        <v>1374</v>
      </c>
      <c r="J341" t="s">
        <v>2308</v>
      </c>
      <c r="K341" t="s">
        <v>2313</v>
      </c>
      <c r="L341" t="s">
        <v>2305</v>
      </c>
      <c r="M341" t="s">
        <v>1409</v>
      </c>
      <c r="N341" t="s">
        <v>1410</v>
      </c>
      <c r="O341" t="s">
        <v>1423</v>
      </c>
      <c r="P341" t="s">
        <v>1423</v>
      </c>
      <c r="Q341" t="s">
        <v>1412</v>
      </c>
      <c r="S341" s="1">
        <v>46069</v>
      </c>
      <c r="W341" s="1">
        <v>32396</v>
      </c>
      <c r="X341" t="s">
        <v>1519</v>
      </c>
      <c r="Y341" t="s">
        <v>1823</v>
      </c>
      <c r="Z341" t="s">
        <v>2433</v>
      </c>
      <c r="AA341" t="s">
        <v>1415</v>
      </c>
      <c r="AB341" t="s">
        <v>3477</v>
      </c>
      <c r="AC341">
        <v>98988568421</v>
      </c>
    </row>
    <row r="342" spans="1:29" x14ac:dyDescent="0.3">
      <c r="A342" t="s">
        <v>1405</v>
      </c>
      <c r="B342" t="s">
        <v>2302</v>
      </c>
      <c r="C342" t="s">
        <v>3478</v>
      </c>
      <c r="D342">
        <v>5605417320</v>
      </c>
      <c r="E342">
        <v>20071639262</v>
      </c>
      <c r="F342">
        <v>1004009349</v>
      </c>
      <c r="G342" s="1">
        <v>44620</v>
      </c>
      <c r="H342" t="s">
        <v>1360</v>
      </c>
      <c r="I342" t="s">
        <v>1349</v>
      </c>
      <c r="J342" t="s">
        <v>2348</v>
      </c>
      <c r="K342" t="s">
        <v>2308</v>
      </c>
      <c r="L342" t="s">
        <v>2305</v>
      </c>
      <c r="M342" t="s">
        <v>1409</v>
      </c>
      <c r="N342" t="s">
        <v>1410</v>
      </c>
      <c r="O342" t="s">
        <v>1411</v>
      </c>
      <c r="P342" t="s">
        <v>1411</v>
      </c>
      <c r="Q342" t="s">
        <v>1412</v>
      </c>
      <c r="S342" s="1">
        <v>46057</v>
      </c>
      <c r="V342" s="1">
        <v>46055</v>
      </c>
      <c r="W342" s="1">
        <v>34285</v>
      </c>
      <c r="X342" t="s">
        <v>1507</v>
      </c>
      <c r="Y342" t="s">
        <v>2786</v>
      </c>
      <c r="Z342" t="s">
        <v>3479</v>
      </c>
      <c r="AA342" t="s">
        <v>1419</v>
      </c>
      <c r="AB342" t="s">
        <v>3480</v>
      </c>
      <c r="AC342">
        <v>85981881030</v>
      </c>
    </row>
    <row r="343" spans="1:29" x14ac:dyDescent="0.3">
      <c r="A343" t="s">
        <v>1405</v>
      </c>
      <c r="B343" t="s">
        <v>2302</v>
      </c>
      <c r="C343" t="s">
        <v>3481</v>
      </c>
      <c r="D343">
        <v>33608946268</v>
      </c>
      <c r="E343">
        <v>8695270</v>
      </c>
      <c r="F343">
        <v>1004008602</v>
      </c>
      <c r="G343" s="1">
        <v>44453</v>
      </c>
      <c r="H343" t="s">
        <v>1360</v>
      </c>
      <c r="I343" t="s">
        <v>1374</v>
      </c>
      <c r="J343" t="s">
        <v>2348</v>
      </c>
      <c r="K343" t="s">
        <v>2308</v>
      </c>
      <c r="L343" t="s">
        <v>2305</v>
      </c>
      <c r="M343" t="s">
        <v>1409</v>
      </c>
      <c r="N343" t="s">
        <v>1410</v>
      </c>
      <c r="O343" t="s">
        <v>1423</v>
      </c>
      <c r="P343" t="s">
        <v>1423</v>
      </c>
      <c r="Q343" t="s">
        <v>1412</v>
      </c>
      <c r="S343" s="1">
        <v>46043</v>
      </c>
      <c r="W343" s="1">
        <v>26367</v>
      </c>
      <c r="X343" t="s">
        <v>1896</v>
      </c>
      <c r="Y343" t="s">
        <v>2996</v>
      </c>
      <c r="Z343" t="s">
        <v>2997</v>
      </c>
      <c r="AA343" t="s">
        <v>1419</v>
      </c>
      <c r="AB343" t="s">
        <v>3482</v>
      </c>
      <c r="AC343">
        <v>92991902486</v>
      </c>
    </row>
    <row r="344" spans="1:29" x14ac:dyDescent="0.3">
      <c r="A344" t="s">
        <v>1405</v>
      </c>
      <c r="B344" t="s">
        <v>2302</v>
      </c>
      <c r="C344" t="s">
        <v>3483</v>
      </c>
      <c r="D344">
        <v>2996092198</v>
      </c>
      <c r="E344" s="3">
        <v>18572243</v>
      </c>
      <c r="F344">
        <v>1004014939</v>
      </c>
      <c r="G344" s="1">
        <v>45426</v>
      </c>
      <c r="H344" t="s">
        <v>1360</v>
      </c>
      <c r="I344" t="s">
        <v>1349</v>
      </c>
      <c r="J344" t="s">
        <v>2572</v>
      </c>
      <c r="K344" t="s">
        <v>2573</v>
      </c>
      <c r="L344" t="s">
        <v>2305</v>
      </c>
      <c r="M344" t="s">
        <v>1409</v>
      </c>
      <c r="N344" t="s">
        <v>1410</v>
      </c>
      <c r="O344" t="s">
        <v>1423</v>
      </c>
      <c r="P344" t="s">
        <v>1423</v>
      </c>
      <c r="Q344" t="s">
        <v>1412</v>
      </c>
      <c r="S344" s="1">
        <v>46059</v>
      </c>
      <c r="V344" s="1">
        <v>46056</v>
      </c>
      <c r="W344" s="1">
        <v>33497</v>
      </c>
      <c r="X344" t="s">
        <v>3484</v>
      </c>
      <c r="Y344" t="s">
        <v>3485</v>
      </c>
      <c r="Z344" t="s">
        <v>3383</v>
      </c>
      <c r="AA344" t="s">
        <v>1415</v>
      </c>
      <c r="AB344" t="s">
        <v>3486</v>
      </c>
      <c r="AC344">
        <v>66996498668</v>
      </c>
    </row>
    <row r="345" spans="1:29" x14ac:dyDescent="0.3">
      <c r="A345" t="s">
        <v>1405</v>
      </c>
      <c r="B345" t="s">
        <v>2302</v>
      </c>
      <c r="C345" t="s">
        <v>3487</v>
      </c>
      <c r="D345">
        <v>70415412153</v>
      </c>
      <c r="E345">
        <v>23584742</v>
      </c>
      <c r="F345">
        <v>1004011267</v>
      </c>
      <c r="G345" s="1">
        <v>44986</v>
      </c>
      <c r="H345" t="s">
        <v>1360</v>
      </c>
      <c r="I345" t="s">
        <v>1374</v>
      </c>
      <c r="J345" t="s">
        <v>1361</v>
      </c>
      <c r="K345" t="s">
        <v>2308</v>
      </c>
      <c r="L345" t="s">
        <v>2305</v>
      </c>
      <c r="M345" t="s">
        <v>1409</v>
      </c>
      <c r="N345" t="s">
        <v>1410</v>
      </c>
      <c r="O345" t="s">
        <v>1423</v>
      </c>
      <c r="P345" t="s">
        <v>1423</v>
      </c>
      <c r="Q345" t="s">
        <v>1412</v>
      </c>
      <c r="S345" s="1">
        <v>46043</v>
      </c>
      <c r="W345" s="1">
        <v>29745</v>
      </c>
      <c r="X345" t="s">
        <v>1858</v>
      </c>
      <c r="Y345" t="s">
        <v>1762</v>
      </c>
      <c r="Z345" t="s">
        <v>3352</v>
      </c>
      <c r="AA345" t="s">
        <v>1419</v>
      </c>
      <c r="AB345" t="s">
        <v>3488</v>
      </c>
      <c r="AC345">
        <v>65992459091</v>
      </c>
    </row>
    <row r="346" spans="1:29" x14ac:dyDescent="0.3">
      <c r="A346" t="s">
        <v>1405</v>
      </c>
      <c r="B346" t="s">
        <v>2302</v>
      </c>
      <c r="C346" t="s">
        <v>3489</v>
      </c>
      <c r="D346">
        <v>5092134135</v>
      </c>
      <c r="E346">
        <v>25254847</v>
      </c>
      <c r="F346">
        <v>1004008593</v>
      </c>
      <c r="G346" s="1">
        <v>44453</v>
      </c>
      <c r="H346" t="s">
        <v>1360</v>
      </c>
      <c r="I346" t="s">
        <v>1374</v>
      </c>
      <c r="J346" t="s">
        <v>1361</v>
      </c>
      <c r="K346" t="s">
        <v>2308</v>
      </c>
      <c r="L346" t="s">
        <v>2305</v>
      </c>
      <c r="M346" t="s">
        <v>1409</v>
      </c>
      <c r="N346" t="s">
        <v>1410</v>
      </c>
      <c r="O346" t="s">
        <v>1411</v>
      </c>
      <c r="P346" t="s">
        <v>1411</v>
      </c>
      <c r="Q346" t="s">
        <v>1412</v>
      </c>
      <c r="S346" s="1">
        <v>46043</v>
      </c>
      <c r="W346" s="1">
        <v>34574</v>
      </c>
      <c r="X346" t="s">
        <v>3490</v>
      </c>
      <c r="Y346" t="s">
        <v>3491</v>
      </c>
      <c r="Z346" t="s">
        <v>3492</v>
      </c>
      <c r="AA346" t="s">
        <v>1419</v>
      </c>
      <c r="AB346" t="s">
        <v>3493</v>
      </c>
      <c r="AC346">
        <v>65996261157</v>
      </c>
    </row>
    <row r="347" spans="1:29" x14ac:dyDescent="0.3">
      <c r="A347" t="s">
        <v>1405</v>
      </c>
      <c r="B347" t="s">
        <v>2302</v>
      </c>
      <c r="C347" t="s">
        <v>3494</v>
      </c>
      <c r="D347">
        <v>36852546500</v>
      </c>
      <c r="E347">
        <v>99001059113</v>
      </c>
      <c r="F347">
        <v>42004202704</v>
      </c>
      <c r="G347" s="1">
        <v>42644</v>
      </c>
      <c r="H347" t="s">
        <v>1360</v>
      </c>
      <c r="I347" t="s">
        <v>1374</v>
      </c>
      <c r="J347" t="s">
        <v>2308</v>
      </c>
      <c r="K347" t="s">
        <v>2313</v>
      </c>
      <c r="L347" t="s">
        <v>2305</v>
      </c>
      <c r="M347" t="s">
        <v>1421</v>
      </c>
      <c r="N347" t="s">
        <v>1410</v>
      </c>
      <c r="O347" t="s">
        <v>1423</v>
      </c>
      <c r="P347" t="s">
        <v>1423</v>
      </c>
      <c r="Q347" t="s">
        <v>1412</v>
      </c>
      <c r="S347" s="1">
        <v>46043</v>
      </c>
      <c r="W347" s="1">
        <v>23988</v>
      </c>
      <c r="X347" t="s">
        <v>1432</v>
      </c>
      <c r="Y347" t="s">
        <v>1433</v>
      </c>
      <c r="Z347" t="s">
        <v>2822</v>
      </c>
      <c r="AA347" t="s">
        <v>1415</v>
      </c>
      <c r="AB347" t="s">
        <v>3495</v>
      </c>
    </row>
    <row r="348" spans="1:29" x14ac:dyDescent="0.3">
      <c r="A348" t="s">
        <v>1405</v>
      </c>
      <c r="B348" t="s">
        <v>2302</v>
      </c>
      <c r="C348" t="s">
        <v>3496</v>
      </c>
      <c r="D348">
        <v>70432849106</v>
      </c>
      <c r="E348">
        <v>6374259</v>
      </c>
      <c r="F348">
        <v>1004019578</v>
      </c>
      <c r="G348" s="1">
        <v>45901</v>
      </c>
      <c r="H348" t="s">
        <v>1360</v>
      </c>
      <c r="I348" t="s">
        <v>1374</v>
      </c>
      <c r="J348" t="s">
        <v>1361</v>
      </c>
      <c r="K348" t="s">
        <v>2308</v>
      </c>
      <c r="L348" t="s">
        <v>2305</v>
      </c>
      <c r="M348" t="s">
        <v>1421</v>
      </c>
      <c r="N348" t="s">
        <v>1422</v>
      </c>
      <c r="O348" t="s">
        <v>1423</v>
      </c>
      <c r="P348" t="s">
        <v>1423</v>
      </c>
      <c r="Q348" t="s">
        <v>1412</v>
      </c>
      <c r="S348" s="1">
        <v>46043</v>
      </c>
      <c r="W348" s="1">
        <v>35236</v>
      </c>
      <c r="X348" t="s">
        <v>2240</v>
      </c>
      <c r="Z348" t="s">
        <v>3102</v>
      </c>
      <c r="AA348" t="s">
        <v>1419</v>
      </c>
      <c r="AB348" t="s">
        <v>3497</v>
      </c>
      <c r="AC348">
        <v>6492723960</v>
      </c>
    </row>
    <row r="349" spans="1:29" x14ac:dyDescent="0.3">
      <c r="A349" t="s">
        <v>1405</v>
      </c>
      <c r="B349" t="s">
        <v>2302</v>
      </c>
      <c r="C349" t="s">
        <v>3498</v>
      </c>
      <c r="D349">
        <v>49237497334</v>
      </c>
      <c r="E349">
        <v>421629</v>
      </c>
      <c r="F349">
        <v>1004017892</v>
      </c>
      <c r="G349" s="1">
        <v>45782</v>
      </c>
      <c r="H349" t="s">
        <v>1360</v>
      </c>
      <c r="I349" t="s">
        <v>1349</v>
      </c>
      <c r="J349" t="s">
        <v>2348</v>
      </c>
      <c r="K349" t="s">
        <v>2308</v>
      </c>
      <c r="L349" t="s">
        <v>2305</v>
      </c>
      <c r="M349" t="s">
        <v>1409</v>
      </c>
      <c r="N349" t="s">
        <v>1410</v>
      </c>
      <c r="O349" t="s">
        <v>1411</v>
      </c>
      <c r="P349" t="s">
        <v>1411</v>
      </c>
      <c r="Q349" t="s">
        <v>1412</v>
      </c>
      <c r="S349" s="1">
        <v>45866</v>
      </c>
      <c r="V349" s="1">
        <v>45839</v>
      </c>
      <c r="W349" s="1">
        <v>26652</v>
      </c>
      <c r="X349" t="s">
        <v>1825</v>
      </c>
      <c r="Z349" t="s">
        <v>2439</v>
      </c>
      <c r="AA349" t="s">
        <v>1415</v>
      </c>
      <c r="AB349" t="s">
        <v>3499</v>
      </c>
      <c r="AC349">
        <v>96991729672</v>
      </c>
    </row>
    <row r="350" spans="1:29" x14ac:dyDescent="0.3">
      <c r="A350" t="s">
        <v>1405</v>
      </c>
      <c r="B350" t="s">
        <v>2302</v>
      </c>
      <c r="C350" t="s">
        <v>3500</v>
      </c>
      <c r="D350">
        <v>4513200502</v>
      </c>
      <c r="E350">
        <v>1592474705</v>
      </c>
      <c r="F350">
        <v>1004008616</v>
      </c>
      <c r="G350" s="1">
        <v>44456</v>
      </c>
      <c r="H350" t="s">
        <v>1360</v>
      </c>
      <c r="I350" t="s">
        <v>1374</v>
      </c>
      <c r="J350" t="s">
        <v>1361</v>
      </c>
      <c r="K350" t="s">
        <v>2308</v>
      </c>
      <c r="L350" t="s">
        <v>2305</v>
      </c>
      <c r="M350" t="s">
        <v>1409</v>
      </c>
      <c r="N350" t="s">
        <v>1410</v>
      </c>
      <c r="O350" t="s">
        <v>1411</v>
      </c>
      <c r="P350" t="s">
        <v>1411</v>
      </c>
      <c r="Q350" t="s">
        <v>1412</v>
      </c>
      <c r="S350" s="1">
        <v>46043</v>
      </c>
      <c r="W350" s="1">
        <v>35319</v>
      </c>
      <c r="X350" t="s">
        <v>3501</v>
      </c>
      <c r="Z350" t="s">
        <v>3502</v>
      </c>
      <c r="AA350" t="s">
        <v>1415</v>
      </c>
      <c r="AB350" t="s">
        <v>705</v>
      </c>
      <c r="AC350">
        <v>45991066063</v>
      </c>
    </row>
    <row r="351" spans="1:29" x14ac:dyDescent="0.3">
      <c r="A351" t="s">
        <v>1405</v>
      </c>
      <c r="B351" t="s">
        <v>2302</v>
      </c>
      <c r="C351" t="s">
        <v>3503</v>
      </c>
      <c r="D351">
        <v>11323447946</v>
      </c>
      <c r="E351">
        <v>6795183</v>
      </c>
      <c r="F351">
        <v>1004012213</v>
      </c>
      <c r="G351" s="1">
        <v>45082</v>
      </c>
      <c r="H351" t="s">
        <v>1360</v>
      </c>
      <c r="I351" t="s">
        <v>1349</v>
      </c>
      <c r="J351" t="s">
        <v>1361</v>
      </c>
      <c r="K351" t="s">
        <v>2308</v>
      </c>
      <c r="L351" t="s">
        <v>2305</v>
      </c>
      <c r="M351" t="s">
        <v>1421</v>
      </c>
      <c r="N351" t="s">
        <v>1422</v>
      </c>
      <c r="O351" t="s">
        <v>1423</v>
      </c>
      <c r="P351" t="s">
        <v>1423</v>
      </c>
      <c r="Q351" t="s">
        <v>1412</v>
      </c>
      <c r="S351" s="1">
        <v>45848</v>
      </c>
      <c r="V351" s="1">
        <v>45846</v>
      </c>
      <c r="W351" s="1">
        <v>35488</v>
      </c>
      <c r="X351" t="s">
        <v>2950</v>
      </c>
      <c r="Y351" t="s">
        <v>2753</v>
      </c>
      <c r="Z351" t="s">
        <v>2857</v>
      </c>
      <c r="AA351" t="s">
        <v>1415</v>
      </c>
      <c r="AB351" t="s">
        <v>3504</v>
      </c>
      <c r="AC351">
        <v>48999732782</v>
      </c>
    </row>
    <row r="352" spans="1:29" x14ac:dyDescent="0.3">
      <c r="A352" t="s">
        <v>1405</v>
      </c>
      <c r="B352" t="s">
        <v>2302</v>
      </c>
      <c r="C352" t="s">
        <v>3505</v>
      </c>
      <c r="D352">
        <v>2150180103</v>
      </c>
      <c r="E352">
        <v>1600482</v>
      </c>
      <c r="F352">
        <v>1004010463</v>
      </c>
      <c r="G352" s="1">
        <v>44783</v>
      </c>
      <c r="H352" t="s">
        <v>1360</v>
      </c>
      <c r="I352" t="s">
        <v>1374</v>
      </c>
      <c r="J352" t="s">
        <v>2348</v>
      </c>
      <c r="K352" t="s">
        <v>2308</v>
      </c>
      <c r="L352" t="s">
        <v>2305</v>
      </c>
      <c r="M352" t="s">
        <v>1409</v>
      </c>
      <c r="N352" t="s">
        <v>1410</v>
      </c>
      <c r="O352" t="s">
        <v>1411</v>
      </c>
      <c r="P352" t="s">
        <v>1411</v>
      </c>
      <c r="Q352" t="s">
        <v>1412</v>
      </c>
      <c r="S352" s="1">
        <v>46069</v>
      </c>
      <c r="W352" s="1">
        <v>32736</v>
      </c>
      <c r="X352" t="s">
        <v>3506</v>
      </c>
      <c r="Z352" t="s">
        <v>3507</v>
      </c>
      <c r="AA352" t="s">
        <v>1419</v>
      </c>
      <c r="AB352" t="s">
        <v>52</v>
      </c>
      <c r="AC352">
        <v>67992728254</v>
      </c>
    </row>
    <row r="353" spans="1:29" x14ac:dyDescent="0.3">
      <c r="A353" t="s">
        <v>1405</v>
      </c>
      <c r="B353" t="s">
        <v>2302</v>
      </c>
      <c r="C353" t="s">
        <v>3508</v>
      </c>
      <c r="D353">
        <v>6562283345</v>
      </c>
      <c r="E353">
        <v>20081027138</v>
      </c>
      <c r="F353">
        <v>1004012897</v>
      </c>
      <c r="G353" s="1">
        <v>45183</v>
      </c>
      <c r="H353" t="s">
        <v>1360</v>
      </c>
      <c r="I353" t="s">
        <v>1374</v>
      </c>
      <c r="J353" t="s">
        <v>1361</v>
      </c>
      <c r="K353" t="s">
        <v>2308</v>
      </c>
      <c r="L353" t="s">
        <v>2305</v>
      </c>
      <c r="M353" t="s">
        <v>1409</v>
      </c>
      <c r="N353" t="s">
        <v>1410</v>
      </c>
      <c r="O353" t="s">
        <v>1411</v>
      </c>
      <c r="P353" t="s">
        <v>1411</v>
      </c>
      <c r="Q353" t="s">
        <v>1412</v>
      </c>
      <c r="S353" s="1">
        <v>46043</v>
      </c>
      <c r="W353" s="1">
        <v>35912</v>
      </c>
      <c r="X353" t="s">
        <v>1561</v>
      </c>
      <c r="Y353" t="s">
        <v>3509</v>
      </c>
      <c r="Z353" t="s">
        <v>2473</v>
      </c>
      <c r="AA353" t="s">
        <v>1415</v>
      </c>
      <c r="AB353" t="s">
        <v>3510</v>
      </c>
      <c r="AC353">
        <v>88993758409</v>
      </c>
    </row>
    <row r="354" spans="1:29" x14ac:dyDescent="0.3">
      <c r="A354" t="s">
        <v>1405</v>
      </c>
      <c r="B354" t="s">
        <v>2302</v>
      </c>
      <c r="C354" t="s">
        <v>3511</v>
      </c>
      <c r="D354">
        <v>1691883379</v>
      </c>
      <c r="E354">
        <v>9104533</v>
      </c>
      <c r="F354">
        <v>1004009626</v>
      </c>
      <c r="G354" s="1">
        <v>44656</v>
      </c>
      <c r="H354" t="s">
        <v>1360</v>
      </c>
      <c r="I354" t="s">
        <v>1374</v>
      </c>
      <c r="J354" t="s">
        <v>1361</v>
      </c>
      <c r="K354" t="s">
        <v>2308</v>
      </c>
      <c r="L354" t="s">
        <v>2305</v>
      </c>
      <c r="M354" t="s">
        <v>1409</v>
      </c>
      <c r="N354" t="s">
        <v>1410</v>
      </c>
      <c r="O354" t="s">
        <v>1411</v>
      </c>
      <c r="P354" t="s">
        <v>1411</v>
      </c>
      <c r="Q354" t="s">
        <v>1412</v>
      </c>
      <c r="S354" s="1">
        <v>46043</v>
      </c>
      <c r="W354" s="1">
        <v>30984</v>
      </c>
      <c r="X354" t="s">
        <v>3512</v>
      </c>
      <c r="Y354" t="s">
        <v>3513</v>
      </c>
      <c r="Z354" t="s">
        <v>3514</v>
      </c>
      <c r="AA354" t="s">
        <v>1415</v>
      </c>
      <c r="AB354" t="s">
        <v>3515</v>
      </c>
      <c r="AC354">
        <v>94988097613</v>
      </c>
    </row>
    <row r="355" spans="1:29" x14ac:dyDescent="0.3">
      <c r="A355" t="s">
        <v>1405</v>
      </c>
      <c r="B355" t="s">
        <v>2302</v>
      </c>
      <c r="C355" t="s">
        <v>3516</v>
      </c>
      <c r="D355">
        <v>5861326436</v>
      </c>
      <c r="E355">
        <v>6898249</v>
      </c>
      <c r="F355">
        <v>1004009275</v>
      </c>
      <c r="G355" s="1">
        <v>44615</v>
      </c>
      <c r="H355" t="s">
        <v>1360</v>
      </c>
      <c r="I355" t="s">
        <v>1374</v>
      </c>
      <c r="J355" t="s">
        <v>1361</v>
      </c>
      <c r="K355" t="s">
        <v>2308</v>
      </c>
      <c r="L355" t="s">
        <v>2305</v>
      </c>
      <c r="M355" t="s">
        <v>1409</v>
      </c>
      <c r="N355" t="s">
        <v>1410</v>
      </c>
      <c r="O355" t="s">
        <v>1423</v>
      </c>
      <c r="P355" t="s">
        <v>1423</v>
      </c>
      <c r="Q355" t="s">
        <v>1412</v>
      </c>
      <c r="S355" s="1">
        <v>46043</v>
      </c>
      <c r="W355" s="1">
        <v>30115</v>
      </c>
      <c r="X355" t="s">
        <v>3517</v>
      </c>
      <c r="Y355" t="s">
        <v>3518</v>
      </c>
      <c r="Z355" t="s">
        <v>3214</v>
      </c>
      <c r="AA355" t="s">
        <v>1419</v>
      </c>
      <c r="AB355" t="s">
        <v>3519</v>
      </c>
      <c r="AC355">
        <v>87996407333</v>
      </c>
    </row>
    <row r="356" spans="1:29" x14ac:dyDescent="0.3">
      <c r="A356" t="s">
        <v>1405</v>
      </c>
      <c r="B356" t="s">
        <v>2302</v>
      </c>
      <c r="C356" t="s">
        <v>3520</v>
      </c>
      <c r="D356">
        <v>53131010991</v>
      </c>
      <c r="E356">
        <v>1043540</v>
      </c>
      <c r="F356">
        <v>1004022215</v>
      </c>
      <c r="G356" s="1">
        <v>46113</v>
      </c>
      <c r="H356" t="s">
        <v>1360</v>
      </c>
      <c r="I356" t="s">
        <v>1374</v>
      </c>
      <c r="J356" t="s">
        <v>2308</v>
      </c>
      <c r="K356" t="s">
        <v>2313</v>
      </c>
      <c r="L356" t="s">
        <v>2305</v>
      </c>
      <c r="M356" t="s">
        <v>1447</v>
      </c>
      <c r="N356" t="s">
        <v>1448</v>
      </c>
      <c r="O356" t="s">
        <v>1423</v>
      </c>
      <c r="P356" t="s">
        <v>1423</v>
      </c>
      <c r="Q356" t="s">
        <v>1412</v>
      </c>
      <c r="S356" s="1">
        <v>46118</v>
      </c>
      <c r="W356" s="1">
        <v>23518</v>
      </c>
      <c r="X356" t="s">
        <v>2456</v>
      </c>
      <c r="Y356" t="s">
        <v>2457</v>
      </c>
      <c r="Z356" t="s">
        <v>2458</v>
      </c>
      <c r="AA356" t="s">
        <v>1415</v>
      </c>
      <c r="AB356" t="s">
        <v>3521</v>
      </c>
      <c r="AC356">
        <v>47988364858</v>
      </c>
    </row>
    <row r="357" spans="1:29" x14ac:dyDescent="0.3">
      <c r="A357" t="s">
        <v>1405</v>
      </c>
      <c r="B357" t="s">
        <v>2302</v>
      </c>
      <c r="C357" t="s">
        <v>3522</v>
      </c>
      <c r="D357">
        <v>73458287191</v>
      </c>
      <c r="E357">
        <v>22355480</v>
      </c>
      <c r="F357">
        <v>1004009875</v>
      </c>
      <c r="G357" s="1">
        <v>44683</v>
      </c>
      <c r="H357" t="s">
        <v>1360</v>
      </c>
      <c r="I357" t="s">
        <v>1349</v>
      </c>
      <c r="J357" t="s">
        <v>1361</v>
      </c>
      <c r="K357" t="s">
        <v>2308</v>
      </c>
      <c r="L357" t="s">
        <v>2305</v>
      </c>
      <c r="M357" t="s">
        <v>1409</v>
      </c>
      <c r="N357" t="s">
        <v>1410</v>
      </c>
      <c r="O357" t="s">
        <v>1411</v>
      </c>
      <c r="P357" t="s">
        <v>1411</v>
      </c>
      <c r="Q357" t="s">
        <v>1412</v>
      </c>
      <c r="S357" s="1">
        <v>46085</v>
      </c>
      <c r="T357" s="1">
        <v>45865</v>
      </c>
      <c r="U357" s="1">
        <v>45984</v>
      </c>
      <c r="V357" s="1">
        <v>46083</v>
      </c>
      <c r="W357" s="1">
        <v>34610</v>
      </c>
      <c r="X357" t="s">
        <v>1589</v>
      </c>
      <c r="Z357" t="s">
        <v>2333</v>
      </c>
      <c r="AA357" t="s">
        <v>1419</v>
      </c>
      <c r="AB357" t="s">
        <v>3523</v>
      </c>
      <c r="AC357">
        <v>66999140122</v>
      </c>
    </row>
    <row r="358" spans="1:29" x14ac:dyDescent="0.3">
      <c r="A358" t="s">
        <v>1405</v>
      </c>
      <c r="B358" t="s">
        <v>2302</v>
      </c>
      <c r="C358" t="s">
        <v>3524</v>
      </c>
      <c r="D358">
        <v>98050915204</v>
      </c>
      <c r="E358">
        <v>5216873</v>
      </c>
      <c r="F358">
        <v>1004012652</v>
      </c>
      <c r="G358" s="1">
        <v>45156</v>
      </c>
      <c r="H358" t="s">
        <v>1360</v>
      </c>
      <c r="I358" t="s">
        <v>1374</v>
      </c>
      <c r="J358">
        <v>3</v>
      </c>
      <c r="K358" t="s">
        <v>2444</v>
      </c>
      <c r="L358" t="s">
        <v>2305</v>
      </c>
      <c r="M358" t="s">
        <v>1409</v>
      </c>
      <c r="N358" t="s">
        <v>1410</v>
      </c>
      <c r="O358" t="s">
        <v>1411</v>
      </c>
      <c r="P358" t="s">
        <v>1411</v>
      </c>
      <c r="Q358" t="s">
        <v>1412</v>
      </c>
      <c r="S358" s="1">
        <v>46043</v>
      </c>
      <c r="W358" s="1">
        <v>32382</v>
      </c>
      <c r="X358" t="s">
        <v>1519</v>
      </c>
      <c r="Y358" t="s">
        <v>3525</v>
      </c>
      <c r="Z358" t="s">
        <v>3112</v>
      </c>
      <c r="AA358" t="s">
        <v>1419</v>
      </c>
      <c r="AB358" t="s">
        <v>3526</v>
      </c>
      <c r="AC358">
        <v>94996686030</v>
      </c>
    </row>
    <row r="359" spans="1:29" x14ac:dyDescent="0.3">
      <c r="A359" t="s">
        <v>1405</v>
      </c>
      <c r="B359" t="s">
        <v>2302</v>
      </c>
      <c r="C359" t="s">
        <v>3527</v>
      </c>
      <c r="D359">
        <v>4919043392</v>
      </c>
      <c r="E359">
        <v>2002015078237</v>
      </c>
      <c r="F359">
        <v>1004012655</v>
      </c>
      <c r="G359" s="1">
        <v>45159</v>
      </c>
      <c r="H359" t="s">
        <v>1360</v>
      </c>
      <c r="I359" t="s">
        <v>1374</v>
      </c>
      <c r="J359">
        <v>3</v>
      </c>
      <c r="K359" t="s">
        <v>2444</v>
      </c>
      <c r="L359" t="s">
        <v>2305</v>
      </c>
      <c r="M359" t="s">
        <v>1421</v>
      </c>
      <c r="N359" t="s">
        <v>1422</v>
      </c>
      <c r="O359" t="s">
        <v>1423</v>
      </c>
      <c r="P359" t="s">
        <v>1423</v>
      </c>
      <c r="Q359" t="s">
        <v>1412</v>
      </c>
      <c r="S359" s="1">
        <v>46043</v>
      </c>
      <c r="W359" s="1">
        <v>32927</v>
      </c>
      <c r="X359" t="s">
        <v>3528</v>
      </c>
      <c r="Y359" t="s">
        <v>3529</v>
      </c>
      <c r="Z359" t="s">
        <v>2853</v>
      </c>
      <c r="AA359" t="s">
        <v>1415</v>
      </c>
      <c r="AB359" t="s">
        <v>3530</v>
      </c>
      <c r="AC359">
        <v>88996225391</v>
      </c>
    </row>
    <row r="360" spans="1:29" x14ac:dyDescent="0.3">
      <c r="A360" t="s">
        <v>1405</v>
      </c>
      <c r="B360" t="s">
        <v>2302</v>
      </c>
      <c r="C360" t="s">
        <v>3531</v>
      </c>
      <c r="D360">
        <v>9429467743</v>
      </c>
      <c r="E360">
        <v>126307321</v>
      </c>
      <c r="F360">
        <v>1004015448</v>
      </c>
      <c r="G360" s="1">
        <v>45517</v>
      </c>
      <c r="H360" t="s">
        <v>1360</v>
      </c>
      <c r="I360" t="s">
        <v>1349</v>
      </c>
      <c r="J360" t="s">
        <v>2348</v>
      </c>
      <c r="K360" t="s">
        <v>2308</v>
      </c>
      <c r="L360" t="s">
        <v>2305</v>
      </c>
      <c r="M360" t="s">
        <v>1409</v>
      </c>
      <c r="N360" t="s">
        <v>1410</v>
      </c>
      <c r="O360" t="s">
        <v>1462</v>
      </c>
      <c r="P360" t="s">
        <v>1462</v>
      </c>
      <c r="Q360" t="s">
        <v>1412</v>
      </c>
      <c r="S360" s="1">
        <v>46072</v>
      </c>
      <c r="V360" s="1">
        <v>46066</v>
      </c>
      <c r="W360" s="1">
        <v>30384</v>
      </c>
      <c r="X360" t="s">
        <v>1721</v>
      </c>
      <c r="Z360" t="s">
        <v>3367</v>
      </c>
      <c r="AA360" t="s">
        <v>1419</v>
      </c>
      <c r="AB360" t="s">
        <v>3532</v>
      </c>
      <c r="AC360">
        <v>21975685941</v>
      </c>
    </row>
    <row r="361" spans="1:29" x14ac:dyDescent="0.3">
      <c r="A361" t="s">
        <v>1405</v>
      </c>
      <c r="B361" t="s">
        <v>2302</v>
      </c>
      <c r="C361" t="s">
        <v>3533</v>
      </c>
      <c r="D361">
        <v>1688268014</v>
      </c>
      <c r="E361">
        <v>9077777184</v>
      </c>
      <c r="F361">
        <v>1004006848</v>
      </c>
      <c r="G361" s="1">
        <v>44077</v>
      </c>
      <c r="H361" t="s">
        <v>1360</v>
      </c>
      <c r="I361" t="s">
        <v>1349</v>
      </c>
      <c r="J361" t="s">
        <v>2308</v>
      </c>
      <c r="K361" t="s">
        <v>2313</v>
      </c>
      <c r="L361" t="s">
        <v>2305</v>
      </c>
      <c r="M361" t="s">
        <v>1409</v>
      </c>
      <c r="N361" t="s">
        <v>1410</v>
      </c>
      <c r="O361" t="s">
        <v>1423</v>
      </c>
      <c r="P361" t="s">
        <v>1423</v>
      </c>
      <c r="Q361" t="s">
        <v>1412</v>
      </c>
      <c r="S361" s="1">
        <v>46059</v>
      </c>
      <c r="V361" s="1">
        <v>46056</v>
      </c>
      <c r="W361" s="1">
        <v>32090</v>
      </c>
      <c r="X361" t="s">
        <v>1631</v>
      </c>
      <c r="Y361" t="s">
        <v>2447</v>
      </c>
      <c r="Z361" t="s">
        <v>2448</v>
      </c>
      <c r="AA361" t="s">
        <v>1415</v>
      </c>
      <c r="AB361" t="s">
        <v>3534</v>
      </c>
      <c r="AC361">
        <v>51986020307</v>
      </c>
    </row>
    <row r="362" spans="1:29" x14ac:dyDescent="0.3">
      <c r="A362" t="s">
        <v>1405</v>
      </c>
      <c r="B362" t="s">
        <v>2302</v>
      </c>
      <c r="C362" t="s">
        <v>3535</v>
      </c>
      <c r="D362">
        <v>827066201</v>
      </c>
      <c r="E362">
        <v>5731259</v>
      </c>
      <c r="F362">
        <v>1004006870</v>
      </c>
      <c r="G362" s="1">
        <v>44082</v>
      </c>
      <c r="H362" t="s">
        <v>1360</v>
      </c>
      <c r="I362" t="s">
        <v>1374</v>
      </c>
      <c r="J362" t="s">
        <v>2308</v>
      </c>
      <c r="K362" t="s">
        <v>2313</v>
      </c>
      <c r="L362" t="s">
        <v>2305</v>
      </c>
      <c r="M362" t="s">
        <v>1409</v>
      </c>
      <c r="N362" t="s">
        <v>1410</v>
      </c>
      <c r="O362" t="s">
        <v>1411</v>
      </c>
      <c r="P362" t="s">
        <v>1411</v>
      </c>
      <c r="Q362" t="s">
        <v>1412</v>
      </c>
      <c r="S362" s="1">
        <v>46043</v>
      </c>
      <c r="W362" s="1">
        <v>32974</v>
      </c>
      <c r="X362" t="s">
        <v>2516</v>
      </c>
      <c r="Y362" t="s">
        <v>2517</v>
      </c>
      <c r="Z362" t="s">
        <v>2518</v>
      </c>
      <c r="AA362" t="s">
        <v>1415</v>
      </c>
      <c r="AB362" t="s">
        <v>3536</v>
      </c>
      <c r="AC362">
        <v>91989255982</v>
      </c>
    </row>
    <row r="363" spans="1:29" x14ac:dyDescent="0.3">
      <c r="A363" t="s">
        <v>1405</v>
      </c>
      <c r="B363" t="s">
        <v>2302</v>
      </c>
      <c r="C363" t="s">
        <v>3537</v>
      </c>
      <c r="D363">
        <v>11172651450</v>
      </c>
      <c r="E363">
        <v>3919465</v>
      </c>
      <c r="F363">
        <v>1004005490</v>
      </c>
      <c r="G363" s="1">
        <v>43881</v>
      </c>
      <c r="H363" t="s">
        <v>1360</v>
      </c>
      <c r="I363" t="s">
        <v>1374</v>
      </c>
      <c r="J363" t="s">
        <v>2308</v>
      </c>
      <c r="K363" t="s">
        <v>2313</v>
      </c>
      <c r="L363" t="s">
        <v>2305</v>
      </c>
      <c r="M363" t="s">
        <v>1409</v>
      </c>
      <c r="N363" t="s">
        <v>1410</v>
      </c>
      <c r="O363" t="s">
        <v>1462</v>
      </c>
      <c r="P363" t="s">
        <v>1462</v>
      </c>
      <c r="Q363" t="s">
        <v>1412</v>
      </c>
      <c r="S363" s="1">
        <v>46069</v>
      </c>
      <c r="W363" s="1">
        <v>34434</v>
      </c>
      <c r="X363" t="s">
        <v>3538</v>
      </c>
      <c r="Y363" t="s">
        <v>3185</v>
      </c>
      <c r="Z363" t="s">
        <v>3186</v>
      </c>
      <c r="AA363" t="s">
        <v>1415</v>
      </c>
      <c r="AB363" t="s">
        <v>3539</v>
      </c>
      <c r="AC363">
        <v>83991986120</v>
      </c>
    </row>
    <row r="364" spans="1:29" x14ac:dyDescent="0.3">
      <c r="A364" t="s">
        <v>1405</v>
      </c>
      <c r="B364" t="s">
        <v>2302</v>
      </c>
      <c r="C364" t="s">
        <v>3540</v>
      </c>
      <c r="D364">
        <v>8833449980</v>
      </c>
      <c r="E364">
        <v>123431952</v>
      </c>
      <c r="F364">
        <v>1004009619</v>
      </c>
      <c r="G364" s="1">
        <v>44656</v>
      </c>
      <c r="H364" t="s">
        <v>1360</v>
      </c>
      <c r="I364" t="s">
        <v>1374</v>
      </c>
      <c r="J364" t="s">
        <v>1361</v>
      </c>
      <c r="K364" t="s">
        <v>2308</v>
      </c>
      <c r="L364" t="s">
        <v>2305</v>
      </c>
      <c r="M364" t="s">
        <v>1447</v>
      </c>
      <c r="N364" t="s">
        <v>1448</v>
      </c>
      <c r="O364" t="s">
        <v>1423</v>
      </c>
      <c r="P364" t="s">
        <v>1423</v>
      </c>
      <c r="Q364" t="s">
        <v>1412</v>
      </c>
      <c r="S364" s="1">
        <v>46043</v>
      </c>
      <c r="W364" s="1">
        <v>34123</v>
      </c>
      <c r="X364" t="s">
        <v>2115</v>
      </c>
      <c r="Z364" t="s">
        <v>3541</v>
      </c>
      <c r="AA364" t="s">
        <v>1419</v>
      </c>
      <c r="AB364" t="s">
        <v>3542</v>
      </c>
      <c r="AC364">
        <v>42988715614</v>
      </c>
    </row>
    <row r="365" spans="1:29" x14ac:dyDescent="0.3">
      <c r="A365" t="s">
        <v>1405</v>
      </c>
      <c r="B365" t="s">
        <v>2302</v>
      </c>
      <c r="C365" t="s">
        <v>3543</v>
      </c>
      <c r="D365">
        <v>185288219</v>
      </c>
      <c r="E365">
        <v>444704</v>
      </c>
      <c r="F365">
        <v>1004019780</v>
      </c>
      <c r="G365" s="1">
        <v>45910</v>
      </c>
      <c r="H365" t="s">
        <v>1360</v>
      </c>
      <c r="I365" t="s">
        <v>1374</v>
      </c>
      <c r="J365" t="s">
        <v>1361</v>
      </c>
      <c r="K365" t="s">
        <v>2308</v>
      </c>
      <c r="L365" t="s">
        <v>2305</v>
      </c>
      <c r="M365" t="s">
        <v>1409</v>
      </c>
      <c r="N365" t="s">
        <v>1410</v>
      </c>
      <c r="O365" t="s">
        <v>1411</v>
      </c>
      <c r="P365" t="s">
        <v>1411</v>
      </c>
      <c r="Q365" t="s">
        <v>1412</v>
      </c>
      <c r="S365" s="1">
        <v>46043</v>
      </c>
      <c r="W365" s="1">
        <v>33023</v>
      </c>
      <c r="X365" t="s">
        <v>3544</v>
      </c>
      <c r="Y365" t="s">
        <v>3545</v>
      </c>
      <c r="Z365" t="s">
        <v>3546</v>
      </c>
      <c r="AA365" t="s">
        <v>1419</v>
      </c>
      <c r="AB365" t="s">
        <v>3547</v>
      </c>
      <c r="AC365">
        <v>96981048243</v>
      </c>
    </row>
    <row r="366" spans="1:29" x14ac:dyDescent="0.3">
      <c r="A366" t="s">
        <v>1405</v>
      </c>
      <c r="B366" t="s">
        <v>2302</v>
      </c>
      <c r="C366" t="s">
        <v>3548</v>
      </c>
      <c r="D366">
        <v>1314133179</v>
      </c>
      <c r="E366" t="s">
        <v>3549</v>
      </c>
      <c r="F366">
        <v>1004013906</v>
      </c>
      <c r="G366" s="1">
        <v>45343</v>
      </c>
      <c r="H366" t="s">
        <v>1360</v>
      </c>
      <c r="I366" t="s">
        <v>1349</v>
      </c>
      <c r="J366" t="s">
        <v>2348</v>
      </c>
      <c r="K366" t="s">
        <v>2308</v>
      </c>
      <c r="L366" t="s">
        <v>2305</v>
      </c>
      <c r="M366" t="s">
        <v>1409</v>
      </c>
      <c r="N366" t="s">
        <v>1410</v>
      </c>
      <c r="O366" t="s">
        <v>1411</v>
      </c>
      <c r="P366" t="s">
        <v>1423</v>
      </c>
      <c r="Q366" t="s">
        <v>1412</v>
      </c>
      <c r="S366" s="1">
        <v>45933</v>
      </c>
      <c r="V366" s="1">
        <v>45931</v>
      </c>
      <c r="W366" s="1">
        <v>31864</v>
      </c>
      <c r="X366" t="s">
        <v>1833</v>
      </c>
      <c r="Y366" t="s">
        <v>1834</v>
      </c>
      <c r="Z366" t="s">
        <v>3550</v>
      </c>
      <c r="AA366" t="s">
        <v>1419</v>
      </c>
      <c r="AB366" t="s">
        <v>3551</v>
      </c>
      <c r="AC366">
        <v>61992487305</v>
      </c>
    </row>
    <row r="367" spans="1:29" x14ac:dyDescent="0.3">
      <c r="A367" t="s">
        <v>1405</v>
      </c>
      <c r="B367" t="s">
        <v>2302</v>
      </c>
      <c r="C367" t="s">
        <v>3552</v>
      </c>
      <c r="D367">
        <v>6015481919</v>
      </c>
      <c r="E367">
        <v>1985852</v>
      </c>
      <c r="F367">
        <v>1004008455</v>
      </c>
      <c r="G367" s="1">
        <v>44426</v>
      </c>
      <c r="H367" t="s">
        <v>1360</v>
      </c>
      <c r="I367" t="s">
        <v>1349</v>
      </c>
      <c r="J367" t="s">
        <v>2572</v>
      </c>
      <c r="K367" t="s">
        <v>2573</v>
      </c>
      <c r="L367" t="s">
        <v>2305</v>
      </c>
      <c r="M367" t="s">
        <v>1447</v>
      </c>
      <c r="N367" t="s">
        <v>1448</v>
      </c>
      <c r="O367" t="s">
        <v>1423</v>
      </c>
      <c r="P367" t="s">
        <v>1423</v>
      </c>
      <c r="Q367" t="s">
        <v>1412</v>
      </c>
      <c r="S367" s="1">
        <v>46057</v>
      </c>
      <c r="V367" s="1">
        <v>46055</v>
      </c>
      <c r="W367" s="1">
        <v>25022</v>
      </c>
      <c r="X367" t="s">
        <v>1619</v>
      </c>
      <c r="Y367" t="s">
        <v>3553</v>
      </c>
      <c r="Z367" t="s">
        <v>3554</v>
      </c>
      <c r="AA367" t="s">
        <v>1419</v>
      </c>
      <c r="AB367" t="s">
        <v>3555</v>
      </c>
      <c r="AC367">
        <v>4732752347</v>
      </c>
    </row>
    <row r="368" spans="1:29" x14ac:dyDescent="0.3">
      <c r="A368" t="s">
        <v>1405</v>
      </c>
      <c r="B368" t="s">
        <v>2302</v>
      </c>
      <c r="C368" t="s">
        <v>3556</v>
      </c>
      <c r="D368">
        <v>887423930</v>
      </c>
      <c r="E368">
        <v>4330999</v>
      </c>
      <c r="F368">
        <v>1004010691</v>
      </c>
      <c r="G368" s="1">
        <v>44809</v>
      </c>
      <c r="H368" t="s">
        <v>1360</v>
      </c>
      <c r="I368" t="s">
        <v>1374</v>
      </c>
      <c r="J368" t="s">
        <v>2348</v>
      </c>
      <c r="K368" t="s">
        <v>2308</v>
      </c>
      <c r="L368" t="s">
        <v>2305</v>
      </c>
      <c r="M368" t="s">
        <v>1421</v>
      </c>
      <c r="N368" t="s">
        <v>1422</v>
      </c>
      <c r="O368" t="s">
        <v>1423</v>
      </c>
      <c r="P368" t="s">
        <v>1423</v>
      </c>
      <c r="Q368" t="s">
        <v>1412</v>
      </c>
      <c r="S368" s="1">
        <v>46043</v>
      </c>
      <c r="W368" s="1">
        <v>31246</v>
      </c>
      <c r="X368" t="s">
        <v>3306</v>
      </c>
      <c r="Z368" t="s">
        <v>2458</v>
      </c>
      <c r="AA368" t="s">
        <v>1415</v>
      </c>
      <c r="AB368" t="s">
        <v>148</v>
      </c>
    </row>
    <row r="369" spans="1:29" x14ac:dyDescent="0.3">
      <c r="A369" t="s">
        <v>1405</v>
      </c>
      <c r="B369" t="s">
        <v>2302</v>
      </c>
      <c r="C369" t="s">
        <v>3557</v>
      </c>
      <c r="D369">
        <v>1406544450</v>
      </c>
      <c r="E369">
        <v>6874836</v>
      </c>
      <c r="F369">
        <v>1004017469</v>
      </c>
      <c r="G369" s="1">
        <v>45749</v>
      </c>
      <c r="H369" t="s">
        <v>1360</v>
      </c>
      <c r="I369" t="s">
        <v>1374</v>
      </c>
      <c r="J369" t="s">
        <v>1361</v>
      </c>
      <c r="K369" t="s">
        <v>2308</v>
      </c>
      <c r="L369" t="s">
        <v>2305</v>
      </c>
      <c r="M369" t="s">
        <v>1409</v>
      </c>
      <c r="N369" t="s">
        <v>1410</v>
      </c>
      <c r="O369" t="s">
        <v>1411</v>
      </c>
      <c r="P369" t="s">
        <v>1411</v>
      </c>
      <c r="Q369" t="s">
        <v>1412</v>
      </c>
      <c r="S369" s="1">
        <v>46043</v>
      </c>
      <c r="W369" s="1">
        <v>31772</v>
      </c>
      <c r="X369" t="s">
        <v>3558</v>
      </c>
      <c r="Y369" t="s">
        <v>3559</v>
      </c>
      <c r="Z369" t="s">
        <v>3560</v>
      </c>
      <c r="AA369" t="s">
        <v>1415</v>
      </c>
      <c r="AB369" t="s">
        <v>3561</v>
      </c>
      <c r="AC369">
        <v>87981586134</v>
      </c>
    </row>
    <row r="370" spans="1:29" x14ac:dyDescent="0.3">
      <c r="A370" t="s">
        <v>1405</v>
      </c>
      <c r="B370" t="s">
        <v>2302</v>
      </c>
      <c r="C370" t="s">
        <v>3562</v>
      </c>
      <c r="D370">
        <v>292327161</v>
      </c>
      <c r="E370" t="s">
        <v>3563</v>
      </c>
      <c r="F370">
        <v>1004016952</v>
      </c>
      <c r="G370" s="1">
        <v>45721</v>
      </c>
      <c r="H370" t="s">
        <v>1360</v>
      </c>
      <c r="I370" t="s">
        <v>1349</v>
      </c>
      <c r="J370" t="s">
        <v>1361</v>
      </c>
      <c r="K370" t="s">
        <v>2308</v>
      </c>
      <c r="L370" t="s">
        <v>2305</v>
      </c>
      <c r="M370" t="s">
        <v>1447</v>
      </c>
      <c r="N370" t="s">
        <v>1448</v>
      </c>
      <c r="O370" t="s">
        <v>1423</v>
      </c>
      <c r="P370" t="s">
        <v>1423</v>
      </c>
      <c r="Q370" t="s">
        <v>1412</v>
      </c>
      <c r="S370" s="1">
        <v>45890</v>
      </c>
      <c r="V370" s="1">
        <v>45887</v>
      </c>
      <c r="W370" s="1">
        <v>30834</v>
      </c>
      <c r="X370" t="s">
        <v>2766</v>
      </c>
      <c r="Z370" t="s">
        <v>3564</v>
      </c>
      <c r="AA370" t="s">
        <v>1415</v>
      </c>
      <c r="AB370" t="s">
        <v>3565</v>
      </c>
      <c r="AC370">
        <v>6696146514</v>
      </c>
    </row>
    <row r="371" spans="1:29" x14ac:dyDescent="0.3">
      <c r="A371" t="s">
        <v>1405</v>
      </c>
      <c r="B371" t="s">
        <v>2302</v>
      </c>
      <c r="C371" t="s">
        <v>3566</v>
      </c>
      <c r="D371">
        <v>5626126708</v>
      </c>
      <c r="E371" s="3">
        <v>125642504</v>
      </c>
      <c r="F371">
        <v>1004015312</v>
      </c>
      <c r="G371" s="1">
        <v>45511</v>
      </c>
      <c r="H371" t="s">
        <v>1360</v>
      </c>
      <c r="I371" t="s">
        <v>1374</v>
      </c>
      <c r="J371" t="s">
        <v>1361</v>
      </c>
      <c r="K371" t="s">
        <v>2308</v>
      </c>
      <c r="L371" t="s">
        <v>2305</v>
      </c>
      <c r="M371" t="s">
        <v>1447</v>
      </c>
      <c r="N371" t="s">
        <v>1448</v>
      </c>
      <c r="O371" t="s">
        <v>1423</v>
      </c>
      <c r="P371" t="s">
        <v>1423</v>
      </c>
      <c r="Q371" t="s">
        <v>1593</v>
      </c>
      <c r="S371" s="1">
        <v>46043</v>
      </c>
      <c r="W371" s="1">
        <v>30249</v>
      </c>
      <c r="X371" t="s">
        <v>1721</v>
      </c>
      <c r="Z371" t="s">
        <v>3567</v>
      </c>
      <c r="AA371" t="s">
        <v>1415</v>
      </c>
      <c r="AB371" t="s">
        <v>3568</v>
      </c>
      <c r="AC371">
        <v>21994745949</v>
      </c>
    </row>
    <row r="372" spans="1:29" x14ac:dyDescent="0.3">
      <c r="A372" t="s">
        <v>1405</v>
      </c>
      <c r="B372" t="s">
        <v>2302</v>
      </c>
      <c r="C372" t="s">
        <v>3569</v>
      </c>
      <c r="D372">
        <v>2242381911</v>
      </c>
      <c r="E372">
        <v>2242381911</v>
      </c>
      <c r="F372">
        <v>1004015640</v>
      </c>
      <c r="G372" s="1">
        <v>45539</v>
      </c>
      <c r="H372" t="s">
        <v>1360</v>
      </c>
      <c r="I372" t="s">
        <v>1374</v>
      </c>
      <c r="J372" t="s">
        <v>1361</v>
      </c>
      <c r="K372" t="s">
        <v>2308</v>
      </c>
      <c r="L372" t="s">
        <v>2305</v>
      </c>
      <c r="M372" t="s">
        <v>1447</v>
      </c>
      <c r="N372" t="s">
        <v>1448</v>
      </c>
      <c r="O372" t="s">
        <v>1423</v>
      </c>
      <c r="P372" t="s">
        <v>1423</v>
      </c>
      <c r="Q372" t="s">
        <v>1412</v>
      </c>
      <c r="S372" s="1">
        <v>46043</v>
      </c>
      <c r="W372" s="1">
        <v>28594</v>
      </c>
      <c r="X372" t="s">
        <v>3570</v>
      </c>
      <c r="Y372" t="s">
        <v>3571</v>
      </c>
      <c r="Z372" t="s">
        <v>2844</v>
      </c>
      <c r="AA372" t="s">
        <v>1419</v>
      </c>
      <c r="AB372" t="s">
        <v>3572</v>
      </c>
      <c r="AC372">
        <v>47996608772</v>
      </c>
    </row>
    <row r="373" spans="1:29" x14ac:dyDescent="0.3">
      <c r="A373" t="s">
        <v>1405</v>
      </c>
      <c r="B373" t="s">
        <v>2302</v>
      </c>
      <c r="C373" t="s">
        <v>3573</v>
      </c>
      <c r="D373">
        <v>71572309415</v>
      </c>
      <c r="E373">
        <v>3836701</v>
      </c>
      <c r="F373">
        <v>1004005281</v>
      </c>
      <c r="G373" s="1">
        <v>43879</v>
      </c>
      <c r="H373" t="s">
        <v>1360</v>
      </c>
      <c r="I373" t="s">
        <v>1374</v>
      </c>
      <c r="J373" t="s">
        <v>2308</v>
      </c>
      <c r="K373" t="s">
        <v>2313</v>
      </c>
      <c r="L373" t="s">
        <v>2305</v>
      </c>
      <c r="M373" t="s">
        <v>1409</v>
      </c>
      <c r="N373" t="s">
        <v>1410</v>
      </c>
      <c r="O373" t="s">
        <v>1423</v>
      </c>
      <c r="P373" t="s">
        <v>1423</v>
      </c>
      <c r="Q373" t="s">
        <v>1412</v>
      </c>
      <c r="S373" s="1">
        <v>46043</v>
      </c>
      <c r="W373" s="1">
        <v>25646</v>
      </c>
      <c r="X373" t="s">
        <v>1811</v>
      </c>
      <c r="Y373" t="s">
        <v>3574</v>
      </c>
      <c r="Z373" t="s">
        <v>3575</v>
      </c>
      <c r="AA373" t="s">
        <v>1415</v>
      </c>
      <c r="AB373" t="s">
        <v>3576</v>
      </c>
      <c r="AC373">
        <v>81997948132</v>
      </c>
    </row>
    <row r="374" spans="1:29" x14ac:dyDescent="0.3">
      <c r="A374" t="s">
        <v>1405</v>
      </c>
      <c r="B374" t="s">
        <v>2302</v>
      </c>
      <c r="C374" t="s">
        <v>3577</v>
      </c>
      <c r="D374">
        <v>1893678148</v>
      </c>
      <c r="E374">
        <v>2585598</v>
      </c>
      <c r="F374">
        <v>1004014311</v>
      </c>
      <c r="G374" s="1">
        <v>45370</v>
      </c>
      <c r="H374" t="s">
        <v>1360</v>
      </c>
      <c r="I374" t="s">
        <v>1374</v>
      </c>
      <c r="J374" t="s">
        <v>2348</v>
      </c>
      <c r="K374" t="s">
        <v>2308</v>
      </c>
      <c r="L374" t="s">
        <v>2305</v>
      </c>
      <c r="M374" t="s">
        <v>1409</v>
      </c>
      <c r="N374" t="s">
        <v>1410</v>
      </c>
      <c r="O374" t="s">
        <v>1423</v>
      </c>
      <c r="P374" t="s">
        <v>1423</v>
      </c>
      <c r="Q374" t="s">
        <v>1412</v>
      </c>
      <c r="S374" s="1">
        <v>46043</v>
      </c>
      <c r="W374" s="1">
        <v>32331</v>
      </c>
      <c r="X374" t="s">
        <v>1617</v>
      </c>
      <c r="Z374" t="s">
        <v>3578</v>
      </c>
      <c r="AA374" t="s">
        <v>1415</v>
      </c>
      <c r="AB374" t="s">
        <v>3579</v>
      </c>
      <c r="AC374">
        <v>61982606463</v>
      </c>
    </row>
    <row r="375" spans="1:29" x14ac:dyDescent="0.3">
      <c r="A375" t="s">
        <v>1405</v>
      </c>
      <c r="B375" t="s">
        <v>2302</v>
      </c>
      <c r="C375" t="s">
        <v>3580</v>
      </c>
      <c r="D375">
        <v>26899218801</v>
      </c>
      <c r="E375">
        <v>301804163</v>
      </c>
      <c r="F375">
        <v>1004009196</v>
      </c>
      <c r="G375" s="1">
        <v>44614</v>
      </c>
      <c r="H375" t="s">
        <v>1360</v>
      </c>
      <c r="I375" t="s">
        <v>1374</v>
      </c>
      <c r="J375" t="s">
        <v>2348</v>
      </c>
      <c r="K375" t="s">
        <v>2308</v>
      </c>
      <c r="L375" t="s">
        <v>2305</v>
      </c>
      <c r="M375" t="s">
        <v>1409</v>
      </c>
      <c r="N375" t="s">
        <v>1410</v>
      </c>
      <c r="O375" t="s">
        <v>1423</v>
      </c>
      <c r="P375" t="s">
        <v>1423</v>
      </c>
      <c r="Q375" t="s">
        <v>1412</v>
      </c>
      <c r="S375" s="1">
        <v>46043</v>
      </c>
      <c r="W375" s="1">
        <v>28556</v>
      </c>
      <c r="X375" t="s">
        <v>1900</v>
      </c>
      <c r="Y375" t="s">
        <v>1901</v>
      </c>
      <c r="Z375" t="s">
        <v>3581</v>
      </c>
      <c r="AA375" t="s">
        <v>1415</v>
      </c>
      <c r="AB375" t="s">
        <v>3582</v>
      </c>
      <c r="AC375">
        <v>47996572552</v>
      </c>
    </row>
    <row r="376" spans="1:29" x14ac:dyDescent="0.3">
      <c r="A376" t="s">
        <v>1405</v>
      </c>
      <c r="B376" t="s">
        <v>2302</v>
      </c>
      <c r="C376" t="s">
        <v>3583</v>
      </c>
      <c r="D376">
        <v>5603346990</v>
      </c>
      <c r="E376">
        <v>4980531</v>
      </c>
      <c r="F376">
        <v>1004004356</v>
      </c>
      <c r="G376" s="1">
        <v>43687</v>
      </c>
      <c r="H376" t="s">
        <v>1360</v>
      </c>
      <c r="I376" t="s">
        <v>1374</v>
      </c>
      <c r="J376" t="s">
        <v>2308</v>
      </c>
      <c r="K376" t="s">
        <v>2313</v>
      </c>
      <c r="L376" t="s">
        <v>2305</v>
      </c>
      <c r="M376" t="s">
        <v>1421</v>
      </c>
      <c r="N376" t="s">
        <v>1410</v>
      </c>
      <c r="O376" t="s">
        <v>1423</v>
      </c>
      <c r="P376" t="s">
        <v>1423</v>
      </c>
      <c r="Q376" t="s">
        <v>1593</v>
      </c>
      <c r="R376" t="s">
        <v>2417</v>
      </c>
      <c r="S376" s="1">
        <v>46043</v>
      </c>
      <c r="W376" s="1">
        <v>31783</v>
      </c>
      <c r="X376" t="s">
        <v>3584</v>
      </c>
      <c r="Z376" t="s">
        <v>3585</v>
      </c>
      <c r="AA376" t="s">
        <v>1415</v>
      </c>
      <c r="AB376" t="s">
        <v>3586</v>
      </c>
      <c r="AC376">
        <v>49988172987</v>
      </c>
    </row>
    <row r="377" spans="1:29" x14ac:dyDescent="0.3">
      <c r="A377" t="s">
        <v>1405</v>
      </c>
      <c r="B377" t="s">
        <v>2302</v>
      </c>
      <c r="C377" t="s">
        <v>3587</v>
      </c>
      <c r="D377">
        <v>5388535495</v>
      </c>
      <c r="E377">
        <v>2081648</v>
      </c>
      <c r="F377">
        <v>1004006968</v>
      </c>
      <c r="G377" s="1">
        <v>44095</v>
      </c>
      <c r="H377" t="s">
        <v>1360</v>
      </c>
      <c r="I377" t="s">
        <v>1374</v>
      </c>
      <c r="J377" t="s">
        <v>2308</v>
      </c>
      <c r="K377" t="s">
        <v>2313</v>
      </c>
      <c r="L377" t="s">
        <v>2305</v>
      </c>
      <c r="M377" t="s">
        <v>1442</v>
      </c>
      <c r="N377" t="s">
        <v>1443</v>
      </c>
      <c r="O377" t="s">
        <v>1411</v>
      </c>
      <c r="P377" t="s">
        <v>1411</v>
      </c>
      <c r="Q377" t="s">
        <v>1412</v>
      </c>
      <c r="S377" s="1">
        <v>46043</v>
      </c>
      <c r="W377" s="1">
        <v>31556</v>
      </c>
      <c r="X377" t="s">
        <v>1432</v>
      </c>
      <c r="Y377" t="s">
        <v>1433</v>
      </c>
      <c r="Z377" t="s">
        <v>2822</v>
      </c>
      <c r="AA377" t="s">
        <v>1415</v>
      </c>
      <c r="AB377" t="s">
        <v>3588</v>
      </c>
      <c r="AC377">
        <v>82999179859</v>
      </c>
    </row>
    <row r="378" spans="1:29" x14ac:dyDescent="0.3">
      <c r="A378" t="s">
        <v>1405</v>
      </c>
      <c r="B378" t="s">
        <v>2302</v>
      </c>
      <c r="C378" t="s">
        <v>3589</v>
      </c>
      <c r="D378">
        <v>90455614091</v>
      </c>
      <c r="E378">
        <v>1071197329</v>
      </c>
      <c r="F378">
        <v>1004002886</v>
      </c>
      <c r="G378" s="1">
        <v>43514</v>
      </c>
      <c r="H378" t="s">
        <v>1360</v>
      </c>
      <c r="I378" t="s">
        <v>1374</v>
      </c>
      <c r="J378" t="s">
        <v>2308</v>
      </c>
      <c r="K378" t="s">
        <v>2313</v>
      </c>
      <c r="L378" t="s">
        <v>2305</v>
      </c>
      <c r="M378" t="s">
        <v>1447</v>
      </c>
      <c r="N378" t="s">
        <v>1448</v>
      </c>
      <c r="O378" t="s">
        <v>1423</v>
      </c>
      <c r="P378" t="s">
        <v>1411</v>
      </c>
      <c r="Q378" t="s">
        <v>1412</v>
      </c>
      <c r="S378" s="1">
        <v>46043</v>
      </c>
      <c r="W378" s="1">
        <v>28951</v>
      </c>
      <c r="X378" t="s">
        <v>1485</v>
      </c>
      <c r="Z378" t="s">
        <v>3143</v>
      </c>
      <c r="AA378" t="s">
        <v>1415</v>
      </c>
      <c r="AB378" t="s">
        <v>3590</v>
      </c>
      <c r="AC378">
        <v>51999015752</v>
      </c>
    </row>
    <row r="379" spans="1:29" x14ac:dyDescent="0.3">
      <c r="A379" t="s">
        <v>1405</v>
      </c>
      <c r="B379" t="s">
        <v>2302</v>
      </c>
      <c r="C379" t="s">
        <v>3591</v>
      </c>
      <c r="D379">
        <v>53985036268</v>
      </c>
      <c r="E379" t="s">
        <v>3592</v>
      </c>
      <c r="F379">
        <v>1004015431</v>
      </c>
      <c r="G379" s="1">
        <v>45511</v>
      </c>
      <c r="H379" t="s">
        <v>1360</v>
      </c>
      <c r="I379" t="s">
        <v>1349</v>
      </c>
      <c r="J379" t="s">
        <v>2348</v>
      </c>
      <c r="K379" t="s">
        <v>2308</v>
      </c>
      <c r="L379" t="s">
        <v>2305</v>
      </c>
      <c r="M379" t="s">
        <v>1421</v>
      </c>
      <c r="N379" t="s">
        <v>1422</v>
      </c>
      <c r="O379" t="s">
        <v>1411</v>
      </c>
      <c r="P379" t="s">
        <v>1411</v>
      </c>
      <c r="Q379" t="s">
        <v>1412</v>
      </c>
      <c r="S379" s="1">
        <v>45847</v>
      </c>
      <c r="V379" s="1">
        <v>45845</v>
      </c>
      <c r="W379" s="1">
        <v>33814</v>
      </c>
      <c r="X379" t="s">
        <v>3593</v>
      </c>
      <c r="Z379" t="s">
        <v>3594</v>
      </c>
      <c r="AA379" t="s">
        <v>1415</v>
      </c>
      <c r="AB379" t="s">
        <v>3595</v>
      </c>
      <c r="AC379">
        <v>97984111879</v>
      </c>
    </row>
    <row r="380" spans="1:29" x14ac:dyDescent="0.3">
      <c r="A380" t="s">
        <v>1405</v>
      </c>
      <c r="B380" t="s">
        <v>2302</v>
      </c>
      <c r="C380" t="s">
        <v>3596</v>
      </c>
      <c r="D380">
        <v>7981109612</v>
      </c>
      <c r="E380" t="s">
        <v>3597</v>
      </c>
      <c r="F380">
        <v>1004020743</v>
      </c>
      <c r="G380" s="1">
        <v>45931</v>
      </c>
      <c r="H380" t="s">
        <v>1360</v>
      </c>
      <c r="I380" t="s">
        <v>1374</v>
      </c>
      <c r="J380" t="s">
        <v>1353</v>
      </c>
      <c r="K380" t="s">
        <v>2308</v>
      </c>
      <c r="L380" t="s">
        <v>2305</v>
      </c>
      <c r="M380" t="s">
        <v>1421</v>
      </c>
      <c r="N380" t="s">
        <v>1422</v>
      </c>
      <c r="O380" t="s">
        <v>1411</v>
      </c>
      <c r="P380" t="s">
        <v>1411</v>
      </c>
      <c r="Q380" t="s">
        <v>1412</v>
      </c>
      <c r="S380" s="1">
        <v>46069</v>
      </c>
      <c r="W380" s="1">
        <v>30784</v>
      </c>
      <c r="X380" t="s">
        <v>3598</v>
      </c>
      <c r="Y380" t="s">
        <v>3599</v>
      </c>
      <c r="Z380" t="s">
        <v>3600</v>
      </c>
      <c r="AA380" t="s">
        <v>1419</v>
      </c>
      <c r="AB380" t="s">
        <v>3601</v>
      </c>
      <c r="AC380">
        <v>33999247539</v>
      </c>
    </row>
    <row r="381" spans="1:29" x14ac:dyDescent="0.3">
      <c r="A381" t="s">
        <v>1405</v>
      </c>
      <c r="B381" t="s">
        <v>2302</v>
      </c>
      <c r="C381" t="s">
        <v>3602</v>
      </c>
      <c r="D381">
        <v>27722335888</v>
      </c>
      <c r="E381">
        <v>303516550</v>
      </c>
      <c r="F381">
        <v>42004201800</v>
      </c>
      <c r="G381" s="1">
        <v>42401</v>
      </c>
      <c r="H381" t="s">
        <v>1360</v>
      </c>
      <c r="I381" t="s">
        <v>1349</v>
      </c>
      <c r="J381" t="s">
        <v>2308</v>
      </c>
      <c r="K381" t="s">
        <v>2313</v>
      </c>
      <c r="L381" t="s">
        <v>2305</v>
      </c>
      <c r="M381" t="s">
        <v>1409</v>
      </c>
      <c r="N381" t="s">
        <v>1410</v>
      </c>
      <c r="O381" t="s">
        <v>1423</v>
      </c>
      <c r="P381" t="s">
        <v>1423</v>
      </c>
      <c r="Q381" t="s">
        <v>1412</v>
      </c>
      <c r="S381" s="1">
        <v>46122</v>
      </c>
      <c r="V381" s="1">
        <v>46120</v>
      </c>
      <c r="W381" s="1">
        <v>29546</v>
      </c>
      <c r="X381" t="s">
        <v>1830</v>
      </c>
      <c r="Y381" t="s">
        <v>3603</v>
      </c>
      <c r="Z381" t="s">
        <v>3604</v>
      </c>
      <c r="AA381" t="s">
        <v>1419</v>
      </c>
      <c r="AB381" t="s">
        <v>3605</v>
      </c>
    </row>
    <row r="382" spans="1:29" x14ac:dyDescent="0.3">
      <c r="A382" t="s">
        <v>1405</v>
      </c>
      <c r="B382" t="s">
        <v>2302</v>
      </c>
      <c r="C382" t="s">
        <v>3606</v>
      </c>
      <c r="D382">
        <v>4699478530</v>
      </c>
      <c r="E382">
        <v>1371696128</v>
      </c>
      <c r="F382">
        <v>1004017112</v>
      </c>
      <c r="G382" s="1">
        <v>45733</v>
      </c>
      <c r="H382" t="s">
        <v>1360</v>
      </c>
      <c r="I382" t="s">
        <v>1374</v>
      </c>
      <c r="J382" t="s">
        <v>1361</v>
      </c>
      <c r="K382" t="s">
        <v>2308</v>
      </c>
      <c r="L382" t="s">
        <v>2305</v>
      </c>
      <c r="M382" t="s">
        <v>1409</v>
      </c>
      <c r="N382" t="s">
        <v>1410</v>
      </c>
      <c r="O382" t="s">
        <v>1411</v>
      </c>
      <c r="P382" t="s">
        <v>1411</v>
      </c>
      <c r="Q382" t="s">
        <v>1412</v>
      </c>
      <c r="S382" s="1">
        <v>46043</v>
      </c>
      <c r="W382" s="1">
        <v>33159</v>
      </c>
      <c r="X382" t="s">
        <v>1432</v>
      </c>
      <c r="Z382" t="s">
        <v>2822</v>
      </c>
      <c r="AA382" t="s">
        <v>1419</v>
      </c>
      <c r="AB382" t="s">
        <v>3607</v>
      </c>
      <c r="AC382">
        <v>75988073236</v>
      </c>
    </row>
    <row r="383" spans="1:29" x14ac:dyDescent="0.3">
      <c r="A383" t="s">
        <v>1405</v>
      </c>
      <c r="B383" t="s">
        <v>2302</v>
      </c>
      <c r="C383" t="s">
        <v>3608</v>
      </c>
      <c r="D383">
        <v>6060087302</v>
      </c>
      <c r="E383">
        <v>2007005010800</v>
      </c>
      <c r="F383">
        <v>1004014556</v>
      </c>
      <c r="G383" s="1">
        <v>45398</v>
      </c>
      <c r="H383" t="s">
        <v>1360</v>
      </c>
      <c r="I383" t="s">
        <v>1349</v>
      </c>
      <c r="J383" t="s">
        <v>2348</v>
      </c>
      <c r="K383" t="s">
        <v>2308</v>
      </c>
      <c r="L383" t="s">
        <v>2305</v>
      </c>
      <c r="M383" t="s">
        <v>1409</v>
      </c>
      <c r="N383" t="s">
        <v>1410</v>
      </c>
      <c r="O383" t="s">
        <v>1411</v>
      </c>
      <c r="P383" t="s">
        <v>1417</v>
      </c>
      <c r="Q383" t="s">
        <v>1412</v>
      </c>
      <c r="S383" s="1">
        <v>45854</v>
      </c>
      <c r="V383" s="1">
        <v>45853</v>
      </c>
      <c r="W383" s="1">
        <v>35165</v>
      </c>
      <c r="X383" t="s">
        <v>3609</v>
      </c>
      <c r="Z383" t="s">
        <v>2393</v>
      </c>
      <c r="AA383" t="s">
        <v>1419</v>
      </c>
      <c r="AB383" t="s">
        <v>3610</v>
      </c>
      <c r="AC383">
        <v>85991771154</v>
      </c>
    </row>
    <row r="384" spans="1:29" x14ac:dyDescent="0.3">
      <c r="A384" t="s">
        <v>1405</v>
      </c>
      <c r="B384" t="s">
        <v>2302</v>
      </c>
      <c r="C384" t="s">
        <v>3611</v>
      </c>
      <c r="D384">
        <v>868394033</v>
      </c>
      <c r="E384">
        <v>6081815737</v>
      </c>
      <c r="F384">
        <v>1004008794</v>
      </c>
      <c r="G384" s="1">
        <v>44474</v>
      </c>
      <c r="H384" t="s">
        <v>1360</v>
      </c>
      <c r="I384" t="s">
        <v>1349</v>
      </c>
      <c r="J384" t="s">
        <v>1361</v>
      </c>
      <c r="K384" t="s">
        <v>2308</v>
      </c>
      <c r="L384" t="s">
        <v>2305</v>
      </c>
      <c r="M384" t="s">
        <v>1421</v>
      </c>
      <c r="N384" t="s">
        <v>1410</v>
      </c>
      <c r="O384" t="s">
        <v>1423</v>
      </c>
      <c r="P384" t="s">
        <v>1423</v>
      </c>
      <c r="Q384" t="s">
        <v>1412</v>
      </c>
      <c r="S384" s="1">
        <v>46085</v>
      </c>
      <c r="V384" s="1">
        <v>46083</v>
      </c>
      <c r="W384" s="1">
        <v>31779</v>
      </c>
      <c r="X384" t="s">
        <v>1485</v>
      </c>
      <c r="Y384" t="s">
        <v>1756</v>
      </c>
      <c r="Z384" t="s">
        <v>3612</v>
      </c>
      <c r="AA384" t="s">
        <v>1419</v>
      </c>
      <c r="AB384" t="s">
        <v>3613</v>
      </c>
      <c r="AC384">
        <v>54992469237</v>
      </c>
    </row>
    <row r="385" spans="1:29" x14ac:dyDescent="0.3">
      <c r="A385" t="s">
        <v>1405</v>
      </c>
      <c r="B385" t="s">
        <v>2302</v>
      </c>
      <c r="C385" t="s">
        <v>3614</v>
      </c>
      <c r="D385">
        <v>2554574995</v>
      </c>
      <c r="E385">
        <v>4058828</v>
      </c>
      <c r="F385">
        <v>1004009323</v>
      </c>
      <c r="G385" s="1">
        <v>44615</v>
      </c>
      <c r="H385" t="s">
        <v>1360</v>
      </c>
      <c r="I385" t="s">
        <v>1374</v>
      </c>
      <c r="J385" t="s">
        <v>1361</v>
      </c>
      <c r="K385" t="s">
        <v>2308</v>
      </c>
      <c r="L385" t="s">
        <v>2305</v>
      </c>
      <c r="M385" t="s">
        <v>1409</v>
      </c>
      <c r="N385" t="s">
        <v>1410</v>
      </c>
      <c r="O385" t="s">
        <v>1423</v>
      </c>
      <c r="P385" t="s">
        <v>1423</v>
      </c>
      <c r="Q385" t="s">
        <v>1412</v>
      </c>
      <c r="S385" s="1">
        <v>46043</v>
      </c>
      <c r="W385" s="1">
        <v>29102</v>
      </c>
      <c r="X385" t="s">
        <v>3615</v>
      </c>
      <c r="Y385" t="s">
        <v>3616</v>
      </c>
      <c r="Z385" t="s">
        <v>2587</v>
      </c>
      <c r="AA385" t="s">
        <v>1419</v>
      </c>
      <c r="AB385" t="s">
        <v>3617</v>
      </c>
      <c r="AC385">
        <v>47992282470</v>
      </c>
    </row>
    <row r="386" spans="1:29" x14ac:dyDescent="0.3">
      <c r="A386" t="s">
        <v>1405</v>
      </c>
      <c r="B386" t="s">
        <v>2302</v>
      </c>
      <c r="C386" t="s">
        <v>3618</v>
      </c>
      <c r="D386">
        <v>7278252326</v>
      </c>
      <c r="E386">
        <v>20071823152</v>
      </c>
      <c r="F386">
        <v>1004020566</v>
      </c>
      <c r="G386" s="1">
        <v>45964</v>
      </c>
      <c r="H386" t="s">
        <v>1360</v>
      </c>
      <c r="I386" t="s">
        <v>1374</v>
      </c>
      <c r="J386" t="s">
        <v>1361</v>
      </c>
      <c r="K386" t="s">
        <v>2308</v>
      </c>
      <c r="L386" t="s">
        <v>2305</v>
      </c>
      <c r="M386" t="s">
        <v>1409</v>
      </c>
      <c r="N386" t="s">
        <v>1410</v>
      </c>
      <c r="O386" t="s">
        <v>1411</v>
      </c>
      <c r="P386" t="s">
        <v>1411</v>
      </c>
      <c r="Q386" t="s">
        <v>1412</v>
      </c>
      <c r="S386" s="1">
        <v>46043</v>
      </c>
      <c r="W386" s="1">
        <v>36048</v>
      </c>
      <c r="X386" t="s">
        <v>1507</v>
      </c>
      <c r="Z386" t="s">
        <v>3619</v>
      </c>
      <c r="AA386" t="s">
        <v>1415</v>
      </c>
      <c r="AB386" t="s">
        <v>3620</v>
      </c>
      <c r="AC386">
        <v>85988728798</v>
      </c>
    </row>
    <row r="387" spans="1:29" x14ac:dyDescent="0.3">
      <c r="A387" t="s">
        <v>1405</v>
      </c>
      <c r="B387" t="s">
        <v>2302</v>
      </c>
      <c r="C387" t="s">
        <v>3621</v>
      </c>
      <c r="D387">
        <v>72578521204</v>
      </c>
      <c r="E387" t="s">
        <v>3622</v>
      </c>
      <c r="F387">
        <v>1004017076</v>
      </c>
      <c r="G387" s="1">
        <v>45728</v>
      </c>
      <c r="H387" t="s">
        <v>1360</v>
      </c>
      <c r="I387" t="s">
        <v>1374</v>
      </c>
      <c r="J387" t="s">
        <v>1361</v>
      </c>
      <c r="K387" t="s">
        <v>2308</v>
      </c>
      <c r="L387" t="s">
        <v>2305</v>
      </c>
      <c r="M387" t="s">
        <v>1409</v>
      </c>
      <c r="N387" t="s">
        <v>1410</v>
      </c>
      <c r="O387" t="s">
        <v>1411</v>
      </c>
      <c r="P387" t="s">
        <v>1411</v>
      </c>
      <c r="Q387" t="s">
        <v>1412</v>
      </c>
      <c r="S387" s="1">
        <v>46043</v>
      </c>
      <c r="W387" s="1">
        <v>29243</v>
      </c>
      <c r="X387" t="s">
        <v>1492</v>
      </c>
      <c r="Y387" t="s">
        <v>3623</v>
      </c>
      <c r="Z387" t="s">
        <v>3263</v>
      </c>
      <c r="AA387" t="s">
        <v>1415</v>
      </c>
      <c r="AB387" t="s">
        <v>3624</v>
      </c>
      <c r="AC387">
        <v>91984608075</v>
      </c>
    </row>
    <row r="388" spans="1:29" x14ac:dyDescent="0.3">
      <c r="A388" t="s">
        <v>1405</v>
      </c>
      <c r="B388" t="s">
        <v>2302</v>
      </c>
      <c r="C388" t="s">
        <v>3625</v>
      </c>
      <c r="D388">
        <v>5253643150</v>
      </c>
      <c r="E388">
        <v>1737905</v>
      </c>
      <c r="F388">
        <v>1004017093</v>
      </c>
      <c r="G388" s="1">
        <v>45733</v>
      </c>
      <c r="H388" t="s">
        <v>1360</v>
      </c>
      <c r="I388" t="s">
        <v>1349</v>
      </c>
      <c r="J388" t="s">
        <v>1361</v>
      </c>
      <c r="K388" t="s">
        <v>2308</v>
      </c>
      <c r="L388" t="s">
        <v>2305</v>
      </c>
      <c r="M388" t="s">
        <v>1447</v>
      </c>
      <c r="N388" t="s">
        <v>1448</v>
      </c>
      <c r="O388" t="s">
        <v>1423</v>
      </c>
      <c r="P388" t="s">
        <v>1423</v>
      </c>
      <c r="Q388" t="s">
        <v>1412</v>
      </c>
      <c r="S388" s="1">
        <v>46085</v>
      </c>
      <c r="V388" s="1">
        <v>46083</v>
      </c>
      <c r="W388" s="1">
        <v>35139</v>
      </c>
      <c r="X388" t="s">
        <v>2477</v>
      </c>
      <c r="Z388" t="s">
        <v>3626</v>
      </c>
      <c r="AA388" t="s">
        <v>1415</v>
      </c>
      <c r="AB388" t="s">
        <v>3627</v>
      </c>
      <c r="AC388">
        <v>67992329894</v>
      </c>
    </row>
    <row r="389" spans="1:29" x14ac:dyDescent="0.3">
      <c r="A389" t="s">
        <v>1405</v>
      </c>
      <c r="B389" t="s">
        <v>2302</v>
      </c>
      <c r="C389" t="s">
        <v>3628</v>
      </c>
      <c r="D389">
        <v>11839121459</v>
      </c>
      <c r="E389">
        <v>9489446</v>
      </c>
      <c r="F389">
        <v>1004019586</v>
      </c>
      <c r="G389" s="1">
        <v>45901</v>
      </c>
      <c r="H389" t="s">
        <v>1360</v>
      </c>
      <c r="I389" t="s">
        <v>1374</v>
      </c>
      <c r="J389" t="s">
        <v>1361</v>
      </c>
      <c r="K389" t="s">
        <v>2308</v>
      </c>
      <c r="L389" t="s">
        <v>2305</v>
      </c>
      <c r="M389" t="s">
        <v>1409</v>
      </c>
      <c r="N389" t="s">
        <v>1422</v>
      </c>
      <c r="O389" t="s">
        <v>1411</v>
      </c>
      <c r="P389" t="s">
        <v>1411</v>
      </c>
      <c r="Q389" t="s">
        <v>1412</v>
      </c>
      <c r="S389" s="1">
        <v>46043</v>
      </c>
      <c r="W389" s="1">
        <v>35416</v>
      </c>
      <c r="X389" t="s">
        <v>1893</v>
      </c>
      <c r="Y389" t="s">
        <v>2465</v>
      </c>
      <c r="Z389" t="s">
        <v>3068</v>
      </c>
      <c r="AA389" t="s">
        <v>1415</v>
      </c>
      <c r="AB389" t="s">
        <v>3629</v>
      </c>
      <c r="AC389">
        <v>87996012557</v>
      </c>
    </row>
    <row r="390" spans="1:29" x14ac:dyDescent="0.3">
      <c r="A390" t="s">
        <v>1405</v>
      </c>
      <c r="B390" t="s">
        <v>2302</v>
      </c>
      <c r="C390" t="s">
        <v>3630</v>
      </c>
      <c r="D390">
        <v>4059777510</v>
      </c>
      <c r="E390" s="3">
        <v>1490156828</v>
      </c>
      <c r="F390">
        <v>1004015612</v>
      </c>
      <c r="G390" s="1">
        <v>45537</v>
      </c>
      <c r="H390" t="s">
        <v>1360</v>
      </c>
      <c r="I390" t="s">
        <v>1374</v>
      </c>
      <c r="J390" t="s">
        <v>2348</v>
      </c>
      <c r="K390" t="s">
        <v>2308</v>
      </c>
      <c r="L390" t="s">
        <v>2305</v>
      </c>
      <c r="M390" t="s">
        <v>1646</v>
      </c>
      <c r="N390" t="s">
        <v>1410</v>
      </c>
      <c r="O390" t="s">
        <v>1423</v>
      </c>
      <c r="P390" t="s">
        <v>1423</v>
      </c>
      <c r="Q390" t="s">
        <v>1412</v>
      </c>
      <c r="S390" s="1">
        <v>46043</v>
      </c>
      <c r="W390" s="1">
        <v>33292</v>
      </c>
      <c r="X390" t="s">
        <v>1886</v>
      </c>
      <c r="Z390" t="s">
        <v>2494</v>
      </c>
      <c r="AA390" t="s">
        <v>1415</v>
      </c>
      <c r="AB390" t="s">
        <v>3631</v>
      </c>
      <c r="AC390">
        <v>77999519214</v>
      </c>
    </row>
    <row r="391" spans="1:29" x14ac:dyDescent="0.3">
      <c r="A391" t="s">
        <v>1405</v>
      </c>
      <c r="B391" t="s">
        <v>2302</v>
      </c>
      <c r="C391" t="s">
        <v>3632</v>
      </c>
      <c r="D391">
        <v>875209157</v>
      </c>
      <c r="E391" t="s">
        <v>3633</v>
      </c>
      <c r="F391">
        <v>1004015413</v>
      </c>
      <c r="G391" s="1">
        <v>45510</v>
      </c>
      <c r="H391" t="s">
        <v>1360</v>
      </c>
      <c r="I391" t="s">
        <v>1374</v>
      </c>
      <c r="J391" t="s">
        <v>1361</v>
      </c>
      <c r="K391" t="s">
        <v>2308</v>
      </c>
      <c r="L391" t="s">
        <v>2305</v>
      </c>
      <c r="M391" t="s">
        <v>1409</v>
      </c>
      <c r="N391" t="s">
        <v>1410</v>
      </c>
      <c r="O391" t="s">
        <v>1423</v>
      </c>
      <c r="P391" t="s">
        <v>1423</v>
      </c>
      <c r="Q391" t="s">
        <v>1593</v>
      </c>
      <c r="S391" s="1">
        <v>46043</v>
      </c>
      <c r="W391" s="1">
        <v>31569</v>
      </c>
      <c r="X391" t="s">
        <v>1858</v>
      </c>
      <c r="Z391" t="s">
        <v>3352</v>
      </c>
      <c r="AA391" t="s">
        <v>1419</v>
      </c>
      <c r="AB391" t="s">
        <v>3634</v>
      </c>
      <c r="AC391">
        <v>65981353140</v>
      </c>
    </row>
    <row r="392" spans="1:29" x14ac:dyDescent="0.3">
      <c r="A392" t="s">
        <v>1405</v>
      </c>
      <c r="B392" t="s">
        <v>2302</v>
      </c>
      <c r="C392" t="s">
        <v>3635</v>
      </c>
      <c r="D392">
        <v>87802120349</v>
      </c>
      <c r="E392" t="s">
        <v>3636</v>
      </c>
      <c r="F392">
        <v>1004015265</v>
      </c>
      <c r="G392" s="1">
        <v>45510</v>
      </c>
      <c r="H392" t="s">
        <v>1360</v>
      </c>
      <c r="I392" t="s">
        <v>1349</v>
      </c>
      <c r="J392" t="s">
        <v>1361</v>
      </c>
      <c r="K392" t="s">
        <v>2308</v>
      </c>
      <c r="L392" t="s">
        <v>2305</v>
      </c>
      <c r="M392" t="s">
        <v>1409</v>
      </c>
      <c r="N392" t="s">
        <v>1410</v>
      </c>
      <c r="O392" t="s">
        <v>1423</v>
      </c>
      <c r="P392" t="s">
        <v>1423</v>
      </c>
      <c r="Q392" t="s">
        <v>1412</v>
      </c>
      <c r="S392" s="1">
        <v>46062</v>
      </c>
      <c r="V392" s="1">
        <v>46057</v>
      </c>
      <c r="W392" s="1">
        <v>29274</v>
      </c>
      <c r="X392" t="s">
        <v>1519</v>
      </c>
      <c r="Z392" t="s">
        <v>3637</v>
      </c>
      <c r="AA392" t="s">
        <v>1415</v>
      </c>
      <c r="AB392" t="s">
        <v>3638</v>
      </c>
      <c r="AC392">
        <v>98984293580</v>
      </c>
    </row>
    <row r="393" spans="1:29" x14ac:dyDescent="0.3">
      <c r="A393" t="s">
        <v>1405</v>
      </c>
      <c r="B393" t="s">
        <v>2302</v>
      </c>
      <c r="C393" t="s">
        <v>3639</v>
      </c>
      <c r="D393">
        <v>9901910447</v>
      </c>
      <c r="E393">
        <v>8656327</v>
      </c>
      <c r="F393">
        <v>1004011217</v>
      </c>
      <c r="G393" s="1">
        <v>44984</v>
      </c>
      <c r="H393" t="s">
        <v>1360</v>
      </c>
      <c r="I393" t="s">
        <v>1349</v>
      </c>
      <c r="J393" t="s">
        <v>1361</v>
      </c>
      <c r="K393" t="s">
        <v>2308</v>
      </c>
      <c r="L393" t="s">
        <v>2305</v>
      </c>
      <c r="M393" t="s">
        <v>1409</v>
      </c>
      <c r="N393" t="s">
        <v>1410</v>
      </c>
      <c r="O393" t="s">
        <v>1423</v>
      </c>
      <c r="P393" t="s">
        <v>1423</v>
      </c>
      <c r="Q393" t="s">
        <v>1412</v>
      </c>
      <c r="S393" s="1">
        <v>45909</v>
      </c>
      <c r="V393" s="1">
        <v>45908</v>
      </c>
      <c r="W393" s="1">
        <v>33085</v>
      </c>
      <c r="X393" t="s">
        <v>1893</v>
      </c>
      <c r="Y393" t="s">
        <v>2465</v>
      </c>
      <c r="Z393" t="s">
        <v>2466</v>
      </c>
      <c r="AA393" t="s">
        <v>1415</v>
      </c>
      <c r="AB393" t="s">
        <v>3640</v>
      </c>
      <c r="AC393">
        <v>87999998189</v>
      </c>
    </row>
    <row r="394" spans="1:29" x14ac:dyDescent="0.3">
      <c r="A394" t="s">
        <v>1405</v>
      </c>
      <c r="B394" t="s">
        <v>2302</v>
      </c>
      <c r="C394" t="s">
        <v>3641</v>
      </c>
      <c r="D394">
        <v>1509588973</v>
      </c>
      <c r="E394">
        <v>22876391</v>
      </c>
      <c r="F394">
        <v>1004000232</v>
      </c>
      <c r="G394" s="1">
        <v>42767</v>
      </c>
      <c r="H394" t="s">
        <v>1360</v>
      </c>
      <c r="I394" t="s">
        <v>1374</v>
      </c>
      <c r="J394" t="s">
        <v>2308</v>
      </c>
      <c r="K394" t="s">
        <v>2313</v>
      </c>
      <c r="L394" t="s">
        <v>2305</v>
      </c>
      <c r="M394" t="s">
        <v>1409</v>
      </c>
      <c r="N394" t="s">
        <v>1410</v>
      </c>
      <c r="O394" t="s">
        <v>1423</v>
      </c>
      <c r="P394" t="s">
        <v>1423</v>
      </c>
      <c r="Q394" t="s">
        <v>1412</v>
      </c>
      <c r="S394" s="1">
        <v>46043</v>
      </c>
      <c r="W394" s="1">
        <v>28072</v>
      </c>
      <c r="X394" t="s">
        <v>1728</v>
      </c>
      <c r="Y394" t="s">
        <v>1729</v>
      </c>
      <c r="Z394" t="s">
        <v>2818</v>
      </c>
      <c r="AA394" t="s">
        <v>1415</v>
      </c>
      <c r="AB394" t="s">
        <v>3642</v>
      </c>
      <c r="AC394">
        <v>4738047899</v>
      </c>
    </row>
    <row r="395" spans="1:29" x14ac:dyDescent="0.3">
      <c r="A395" t="s">
        <v>1405</v>
      </c>
      <c r="B395" t="s">
        <v>2302</v>
      </c>
      <c r="C395" t="s">
        <v>3643</v>
      </c>
      <c r="D395">
        <v>5639977370</v>
      </c>
      <c r="E395">
        <v>344889320070</v>
      </c>
      <c r="F395">
        <v>1004012272</v>
      </c>
      <c r="G395" s="1">
        <v>45091</v>
      </c>
      <c r="H395" t="s">
        <v>1360</v>
      </c>
      <c r="I395" t="s">
        <v>1349</v>
      </c>
      <c r="J395" t="s">
        <v>1361</v>
      </c>
      <c r="K395" t="s">
        <v>2308</v>
      </c>
      <c r="L395" t="s">
        <v>2305</v>
      </c>
      <c r="M395" t="s">
        <v>1409</v>
      </c>
      <c r="N395" t="s">
        <v>1410</v>
      </c>
      <c r="O395" t="s">
        <v>1411</v>
      </c>
      <c r="P395" t="s">
        <v>1411</v>
      </c>
      <c r="Q395" t="s">
        <v>1412</v>
      </c>
      <c r="S395" s="1">
        <v>46062</v>
      </c>
      <c r="V395" s="1">
        <v>46057</v>
      </c>
      <c r="W395" s="1">
        <v>34871</v>
      </c>
      <c r="X395" t="s">
        <v>1519</v>
      </c>
      <c r="Z395" t="s">
        <v>3637</v>
      </c>
      <c r="AA395" t="s">
        <v>1419</v>
      </c>
      <c r="AB395" t="s">
        <v>3644</v>
      </c>
      <c r="AC395">
        <v>98988569079</v>
      </c>
    </row>
    <row r="396" spans="1:29" x14ac:dyDescent="0.3">
      <c r="A396" t="s">
        <v>1405</v>
      </c>
      <c r="B396" t="s">
        <v>2302</v>
      </c>
      <c r="C396" t="s">
        <v>3645</v>
      </c>
      <c r="D396">
        <v>83180494034</v>
      </c>
      <c r="E396">
        <v>8597268</v>
      </c>
      <c r="F396">
        <v>1004012088</v>
      </c>
      <c r="G396" s="1">
        <v>45070</v>
      </c>
      <c r="H396" t="s">
        <v>1360</v>
      </c>
      <c r="I396" t="s">
        <v>1349</v>
      </c>
      <c r="J396" t="s">
        <v>1361</v>
      </c>
      <c r="K396" t="s">
        <v>2308</v>
      </c>
      <c r="L396" t="s">
        <v>2305</v>
      </c>
      <c r="M396" t="s">
        <v>1409</v>
      </c>
      <c r="N396" t="s">
        <v>1410</v>
      </c>
      <c r="O396" t="s">
        <v>1423</v>
      </c>
      <c r="P396" t="s">
        <v>1423</v>
      </c>
      <c r="Q396" t="s">
        <v>1412</v>
      </c>
      <c r="S396" s="1">
        <v>45891</v>
      </c>
      <c r="V396" s="1">
        <v>45892</v>
      </c>
      <c r="W396" s="1">
        <v>31394</v>
      </c>
      <c r="X396" t="s">
        <v>3646</v>
      </c>
      <c r="Y396" t="s">
        <v>2843</v>
      </c>
      <c r="Z396" t="s">
        <v>2844</v>
      </c>
      <c r="AA396" t="s">
        <v>1419</v>
      </c>
      <c r="AB396" t="s">
        <v>3647</v>
      </c>
      <c r="AC396">
        <v>47996417389</v>
      </c>
    </row>
    <row r="397" spans="1:29" x14ac:dyDescent="0.3">
      <c r="A397" t="s">
        <v>1405</v>
      </c>
      <c r="B397" t="s">
        <v>2302</v>
      </c>
      <c r="C397" t="s">
        <v>3648</v>
      </c>
      <c r="D397">
        <v>556445031</v>
      </c>
      <c r="E397">
        <v>4096925476</v>
      </c>
      <c r="F397">
        <v>1004010785</v>
      </c>
      <c r="G397" s="1">
        <v>44817</v>
      </c>
      <c r="H397" t="s">
        <v>1360</v>
      </c>
      <c r="I397" t="s">
        <v>1349</v>
      </c>
      <c r="J397" t="s">
        <v>1361</v>
      </c>
      <c r="K397" t="s">
        <v>2308</v>
      </c>
      <c r="L397" t="s">
        <v>2305</v>
      </c>
      <c r="M397" t="s">
        <v>1421</v>
      </c>
      <c r="N397" t="s">
        <v>1422</v>
      </c>
      <c r="O397" t="s">
        <v>1423</v>
      </c>
      <c r="P397" t="s">
        <v>1423</v>
      </c>
      <c r="Q397" t="s">
        <v>1412</v>
      </c>
      <c r="S397" s="1">
        <v>46087</v>
      </c>
      <c r="V397" s="1">
        <v>46085</v>
      </c>
      <c r="W397" s="1">
        <v>32744</v>
      </c>
      <c r="X397" t="s">
        <v>2010</v>
      </c>
      <c r="Z397" t="s">
        <v>3649</v>
      </c>
      <c r="AA397" t="s">
        <v>1419</v>
      </c>
      <c r="AB397" t="s">
        <v>3650</v>
      </c>
      <c r="AC397">
        <v>55991520084</v>
      </c>
    </row>
    <row r="398" spans="1:29" x14ac:dyDescent="0.3">
      <c r="A398" t="s">
        <v>1405</v>
      </c>
      <c r="B398" t="s">
        <v>2302</v>
      </c>
      <c r="C398" t="s">
        <v>3651</v>
      </c>
      <c r="D398">
        <v>2047830389</v>
      </c>
      <c r="E398">
        <v>2001002070137</v>
      </c>
      <c r="F398">
        <v>1004003064</v>
      </c>
      <c r="G398" s="1">
        <v>43530</v>
      </c>
      <c r="H398" t="s">
        <v>1360</v>
      </c>
      <c r="I398" t="s">
        <v>1349</v>
      </c>
      <c r="J398" t="s">
        <v>2308</v>
      </c>
      <c r="K398" t="s">
        <v>2313</v>
      </c>
      <c r="L398" t="s">
        <v>2305</v>
      </c>
      <c r="M398" t="s">
        <v>1409</v>
      </c>
      <c r="N398" t="s">
        <v>1410</v>
      </c>
      <c r="O398" t="s">
        <v>1411</v>
      </c>
      <c r="P398" t="s">
        <v>1411</v>
      </c>
      <c r="Q398" t="s">
        <v>1412</v>
      </c>
      <c r="S398" s="1">
        <v>45841</v>
      </c>
      <c r="V398" s="1">
        <v>45840</v>
      </c>
      <c r="W398" s="1">
        <v>31345</v>
      </c>
      <c r="X398" t="s">
        <v>1507</v>
      </c>
      <c r="Y398" t="s">
        <v>2786</v>
      </c>
      <c r="Z398" t="s">
        <v>3652</v>
      </c>
      <c r="AA398" t="s">
        <v>1419</v>
      </c>
      <c r="AB398" t="s">
        <v>3653</v>
      </c>
      <c r="AC398">
        <v>85989581077</v>
      </c>
    </row>
    <row r="399" spans="1:29" x14ac:dyDescent="0.3">
      <c r="A399" t="s">
        <v>1405</v>
      </c>
      <c r="B399" t="s">
        <v>2302</v>
      </c>
      <c r="C399" t="s">
        <v>3654</v>
      </c>
      <c r="D399">
        <v>51816148253</v>
      </c>
      <c r="E399">
        <v>3716892</v>
      </c>
      <c r="F399">
        <v>1004004705</v>
      </c>
      <c r="G399" s="1">
        <v>43722</v>
      </c>
      <c r="H399" t="s">
        <v>1360</v>
      </c>
      <c r="I399" t="s">
        <v>1374</v>
      </c>
      <c r="J399" t="s">
        <v>2308</v>
      </c>
      <c r="K399" t="s">
        <v>2313</v>
      </c>
      <c r="L399" t="s">
        <v>2305</v>
      </c>
      <c r="M399" t="s">
        <v>1409</v>
      </c>
      <c r="N399" t="s">
        <v>1410</v>
      </c>
      <c r="O399" t="s">
        <v>1411</v>
      </c>
      <c r="P399" t="s">
        <v>1411</v>
      </c>
      <c r="Q399" t="s">
        <v>1412</v>
      </c>
      <c r="S399" s="1">
        <v>46043</v>
      </c>
      <c r="W399" s="1">
        <v>29554</v>
      </c>
      <c r="X399" t="s">
        <v>3655</v>
      </c>
      <c r="Y399" t="s">
        <v>3656</v>
      </c>
      <c r="Z399" t="s">
        <v>2576</v>
      </c>
      <c r="AA399" t="s">
        <v>1419</v>
      </c>
      <c r="AB399" t="s">
        <v>3657</v>
      </c>
      <c r="AC399">
        <v>91982137232</v>
      </c>
    </row>
    <row r="400" spans="1:29" x14ac:dyDescent="0.3">
      <c r="A400" t="s">
        <v>1405</v>
      </c>
      <c r="B400" t="s">
        <v>2302</v>
      </c>
      <c r="C400" t="s">
        <v>3658</v>
      </c>
      <c r="D400">
        <v>2574885376</v>
      </c>
      <c r="E400" s="3">
        <v>200202105203</v>
      </c>
      <c r="F400">
        <v>1004013933</v>
      </c>
      <c r="G400" s="1">
        <v>45369</v>
      </c>
      <c r="H400" t="s">
        <v>1360</v>
      </c>
      <c r="I400" t="s">
        <v>1374</v>
      </c>
      <c r="J400" t="s">
        <v>2348</v>
      </c>
      <c r="K400" t="s">
        <v>2308</v>
      </c>
      <c r="L400" t="s">
        <v>2305</v>
      </c>
      <c r="M400" t="s">
        <v>1409</v>
      </c>
      <c r="N400" t="s">
        <v>1410</v>
      </c>
      <c r="O400" t="s">
        <v>1411</v>
      </c>
      <c r="P400" t="s">
        <v>1411</v>
      </c>
      <c r="Q400" t="s">
        <v>1412</v>
      </c>
      <c r="S400" s="1">
        <v>46043</v>
      </c>
      <c r="W400" s="1">
        <v>31417</v>
      </c>
      <c r="X400" t="s">
        <v>3659</v>
      </c>
      <c r="Z400" t="s">
        <v>3479</v>
      </c>
      <c r="AA400" t="s">
        <v>1419</v>
      </c>
      <c r="AB400" t="s">
        <v>3660</v>
      </c>
      <c r="AC400">
        <v>85992166164</v>
      </c>
    </row>
    <row r="401" spans="1:29" x14ac:dyDescent="0.3">
      <c r="A401" t="s">
        <v>1405</v>
      </c>
      <c r="B401" t="s">
        <v>2302</v>
      </c>
      <c r="C401" t="s">
        <v>3661</v>
      </c>
      <c r="D401">
        <v>5403304347</v>
      </c>
      <c r="E401">
        <v>2006097093440</v>
      </c>
      <c r="F401">
        <v>1004016806</v>
      </c>
      <c r="G401" s="1">
        <v>45705</v>
      </c>
      <c r="H401" t="s">
        <v>1360</v>
      </c>
      <c r="I401" t="s">
        <v>1374</v>
      </c>
      <c r="J401" t="s">
        <v>2348</v>
      </c>
      <c r="K401" t="s">
        <v>2308</v>
      </c>
      <c r="L401" t="s">
        <v>2305</v>
      </c>
      <c r="M401" t="s">
        <v>1409</v>
      </c>
      <c r="N401" t="s">
        <v>1410</v>
      </c>
      <c r="O401" t="s">
        <v>1411</v>
      </c>
      <c r="P401" t="s">
        <v>1411</v>
      </c>
      <c r="Q401" t="s">
        <v>1412</v>
      </c>
      <c r="S401" s="1">
        <v>46043</v>
      </c>
      <c r="W401" s="1">
        <v>33874</v>
      </c>
      <c r="X401" t="s">
        <v>3662</v>
      </c>
      <c r="Z401" t="s">
        <v>3663</v>
      </c>
      <c r="AA401" t="s">
        <v>1419</v>
      </c>
      <c r="AB401" t="s">
        <v>3664</v>
      </c>
      <c r="AC401">
        <v>88996169187</v>
      </c>
    </row>
    <row r="402" spans="1:29" x14ac:dyDescent="0.3">
      <c r="A402" t="s">
        <v>1405</v>
      </c>
      <c r="B402" t="s">
        <v>2302</v>
      </c>
      <c r="C402" t="s">
        <v>3665</v>
      </c>
      <c r="D402">
        <v>38578670353</v>
      </c>
      <c r="E402">
        <v>94002399766</v>
      </c>
      <c r="F402">
        <v>1004011586</v>
      </c>
      <c r="G402" s="1">
        <v>45000</v>
      </c>
      <c r="H402" t="s">
        <v>1360</v>
      </c>
      <c r="I402" t="s">
        <v>1374</v>
      </c>
      <c r="J402" t="s">
        <v>2572</v>
      </c>
      <c r="K402" t="s">
        <v>2573</v>
      </c>
      <c r="L402" t="s">
        <v>2305</v>
      </c>
      <c r="M402" t="s">
        <v>1421</v>
      </c>
      <c r="N402" t="s">
        <v>1410</v>
      </c>
      <c r="O402" t="s">
        <v>1411</v>
      </c>
      <c r="P402" t="s">
        <v>1411</v>
      </c>
      <c r="Q402" t="s">
        <v>1412</v>
      </c>
      <c r="S402" s="1">
        <v>46043</v>
      </c>
      <c r="W402" s="1">
        <v>25347</v>
      </c>
      <c r="X402" t="s">
        <v>1697</v>
      </c>
      <c r="Z402" t="s">
        <v>3652</v>
      </c>
      <c r="AA402" t="s">
        <v>1419</v>
      </c>
      <c r="AB402" t="s">
        <v>3666</v>
      </c>
      <c r="AC402">
        <v>85981196861</v>
      </c>
    </row>
    <row r="403" spans="1:29" x14ac:dyDescent="0.3">
      <c r="A403" t="s">
        <v>1405</v>
      </c>
      <c r="B403" t="s">
        <v>2302</v>
      </c>
      <c r="C403" t="s">
        <v>3667</v>
      </c>
      <c r="D403">
        <v>95386190300</v>
      </c>
      <c r="E403">
        <v>20021026024</v>
      </c>
      <c r="F403">
        <v>1004014555</v>
      </c>
      <c r="G403" s="1">
        <v>45398</v>
      </c>
      <c r="H403" t="s">
        <v>1360</v>
      </c>
      <c r="I403" t="s">
        <v>2317</v>
      </c>
      <c r="J403" t="s">
        <v>1361</v>
      </c>
      <c r="K403" t="s">
        <v>2308</v>
      </c>
      <c r="L403" t="s">
        <v>2305</v>
      </c>
      <c r="M403" t="s">
        <v>1409</v>
      </c>
      <c r="N403" t="s">
        <v>1410</v>
      </c>
      <c r="O403" t="s">
        <v>1411</v>
      </c>
      <c r="P403" t="s">
        <v>1411</v>
      </c>
      <c r="Q403" t="s">
        <v>1412</v>
      </c>
      <c r="S403" s="1">
        <v>46013</v>
      </c>
      <c r="T403" s="1">
        <v>45995</v>
      </c>
      <c r="W403" s="1">
        <v>32306</v>
      </c>
      <c r="X403" t="s">
        <v>3668</v>
      </c>
      <c r="Y403" t="s">
        <v>3669</v>
      </c>
      <c r="Z403" t="s">
        <v>3670</v>
      </c>
      <c r="AA403" t="s">
        <v>1419</v>
      </c>
      <c r="AB403" t="s">
        <v>3671</v>
      </c>
      <c r="AC403">
        <v>86995624439</v>
      </c>
    </row>
    <row r="404" spans="1:29" x14ac:dyDescent="0.3">
      <c r="A404" t="s">
        <v>1405</v>
      </c>
      <c r="B404" t="s">
        <v>2302</v>
      </c>
      <c r="C404" t="s">
        <v>3672</v>
      </c>
      <c r="D404">
        <v>4516072360</v>
      </c>
      <c r="E404">
        <v>20071366487</v>
      </c>
      <c r="F404">
        <v>1004007137</v>
      </c>
      <c r="G404" s="1">
        <v>44138</v>
      </c>
      <c r="H404" t="s">
        <v>1360</v>
      </c>
      <c r="I404" t="s">
        <v>1374</v>
      </c>
      <c r="J404" t="s">
        <v>2308</v>
      </c>
      <c r="K404" t="s">
        <v>2313</v>
      </c>
      <c r="L404" t="s">
        <v>2305</v>
      </c>
      <c r="M404" t="s">
        <v>1409</v>
      </c>
      <c r="N404" t="s">
        <v>1410</v>
      </c>
      <c r="O404" t="s">
        <v>1411</v>
      </c>
      <c r="P404" t="s">
        <v>1411</v>
      </c>
      <c r="Q404" t="s">
        <v>1412</v>
      </c>
      <c r="S404" s="1">
        <v>46043</v>
      </c>
      <c r="W404" s="1">
        <v>33999</v>
      </c>
      <c r="X404" t="s">
        <v>3609</v>
      </c>
      <c r="Y404" t="s">
        <v>2392</v>
      </c>
      <c r="Z404" t="s">
        <v>2393</v>
      </c>
      <c r="AA404" t="s">
        <v>1419</v>
      </c>
      <c r="AB404" t="s">
        <v>3673</v>
      </c>
      <c r="AC404">
        <v>85991830180</v>
      </c>
    </row>
    <row r="405" spans="1:29" x14ac:dyDescent="0.3">
      <c r="A405" t="s">
        <v>1405</v>
      </c>
      <c r="B405" t="s">
        <v>2302</v>
      </c>
      <c r="C405" t="s">
        <v>3674</v>
      </c>
      <c r="D405">
        <v>2909881369</v>
      </c>
      <c r="E405">
        <v>2005005100153</v>
      </c>
      <c r="F405">
        <v>1004007947</v>
      </c>
      <c r="G405" s="1">
        <v>44323</v>
      </c>
      <c r="H405" t="s">
        <v>1360</v>
      </c>
      <c r="I405" t="s">
        <v>1349</v>
      </c>
      <c r="J405" t="s">
        <v>1361</v>
      </c>
      <c r="K405" t="s">
        <v>2308</v>
      </c>
      <c r="L405" t="s">
        <v>2305</v>
      </c>
      <c r="M405" t="s">
        <v>1447</v>
      </c>
      <c r="N405" t="s">
        <v>1448</v>
      </c>
      <c r="O405" t="s">
        <v>1411</v>
      </c>
      <c r="P405" t="s">
        <v>1411</v>
      </c>
      <c r="Q405" t="s">
        <v>1412</v>
      </c>
      <c r="S405" s="1">
        <v>45756</v>
      </c>
      <c r="V405" s="1">
        <v>45754</v>
      </c>
      <c r="W405" s="1">
        <v>32645</v>
      </c>
      <c r="X405" t="s">
        <v>3675</v>
      </c>
      <c r="Y405" t="s">
        <v>3676</v>
      </c>
      <c r="Z405" t="s">
        <v>2452</v>
      </c>
      <c r="AA405" t="s">
        <v>1415</v>
      </c>
      <c r="AB405" t="s">
        <v>3677</v>
      </c>
      <c r="AC405">
        <v>85996619831</v>
      </c>
    </row>
    <row r="406" spans="1:29" x14ac:dyDescent="0.3">
      <c r="A406" t="s">
        <v>1405</v>
      </c>
      <c r="B406" t="s">
        <v>2302</v>
      </c>
      <c r="C406" t="s">
        <v>3678</v>
      </c>
      <c r="D406">
        <v>88554848349</v>
      </c>
      <c r="E406">
        <v>311177296</v>
      </c>
      <c r="F406">
        <v>1004007017</v>
      </c>
      <c r="G406" s="1">
        <v>44111</v>
      </c>
      <c r="H406" t="s">
        <v>1360</v>
      </c>
      <c r="I406" t="s">
        <v>1374</v>
      </c>
      <c r="J406" t="s">
        <v>2308</v>
      </c>
      <c r="K406" t="s">
        <v>2313</v>
      </c>
      <c r="L406" t="s">
        <v>2305</v>
      </c>
      <c r="M406" t="s">
        <v>1409</v>
      </c>
      <c r="N406" t="s">
        <v>1410</v>
      </c>
      <c r="O406" t="s">
        <v>1411</v>
      </c>
      <c r="P406" t="s">
        <v>1411</v>
      </c>
      <c r="Q406" t="s">
        <v>1412</v>
      </c>
      <c r="S406" s="1">
        <v>46043</v>
      </c>
      <c r="W406" s="1">
        <v>29270</v>
      </c>
      <c r="X406" t="s">
        <v>3679</v>
      </c>
      <c r="Y406" t="s">
        <v>3680</v>
      </c>
      <c r="Z406" t="s">
        <v>3681</v>
      </c>
      <c r="AA406" t="s">
        <v>1415</v>
      </c>
      <c r="AB406" t="s">
        <v>3682</v>
      </c>
      <c r="AC406">
        <v>85991043837</v>
      </c>
    </row>
    <row r="407" spans="1:29" x14ac:dyDescent="0.3">
      <c r="A407" t="s">
        <v>1405</v>
      </c>
      <c r="B407" t="s">
        <v>2302</v>
      </c>
      <c r="C407" t="s">
        <v>3683</v>
      </c>
      <c r="D407">
        <v>5864711381</v>
      </c>
      <c r="E407">
        <v>20077012830</v>
      </c>
      <c r="F407">
        <v>1004004345</v>
      </c>
      <c r="G407" s="1">
        <v>43687</v>
      </c>
      <c r="H407" t="s">
        <v>1360</v>
      </c>
      <c r="I407" t="s">
        <v>1374</v>
      </c>
      <c r="J407" t="s">
        <v>2308</v>
      </c>
      <c r="K407" t="s">
        <v>2313</v>
      </c>
      <c r="L407" t="s">
        <v>2305</v>
      </c>
      <c r="M407" t="s">
        <v>1409</v>
      </c>
      <c r="N407" t="s">
        <v>1410</v>
      </c>
      <c r="O407" t="s">
        <v>1423</v>
      </c>
      <c r="P407" t="s">
        <v>1423</v>
      </c>
      <c r="Q407" t="s">
        <v>1412</v>
      </c>
      <c r="S407" s="1">
        <v>46043</v>
      </c>
      <c r="W407" s="1">
        <v>33849</v>
      </c>
      <c r="X407" t="s">
        <v>3609</v>
      </c>
      <c r="Y407" t="s">
        <v>2392</v>
      </c>
      <c r="Z407" t="s">
        <v>2393</v>
      </c>
      <c r="AA407" t="s">
        <v>1415</v>
      </c>
      <c r="AB407" t="s">
        <v>3684</v>
      </c>
      <c r="AC407">
        <v>85994067143</v>
      </c>
    </row>
    <row r="408" spans="1:29" x14ac:dyDescent="0.3">
      <c r="A408" t="s">
        <v>1405</v>
      </c>
      <c r="B408" t="s">
        <v>2302</v>
      </c>
      <c r="C408" t="s">
        <v>3685</v>
      </c>
      <c r="D408">
        <v>52803953315</v>
      </c>
      <c r="E408">
        <v>20173</v>
      </c>
      <c r="F408">
        <v>1004004697</v>
      </c>
      <c r="G408" s="1">
        <v>43721</v>
      </c>
      <c r="H408" t="s">
        <v>1360</v>
      </c>
      <c r="I408" t="s">
        <v>1374</v>
      </c>
      <c r="J408" t="s">
        <v>2308</v>
      </c>
      <c r="K408" t="s">
        <v>2313</v>
      </c>
      <c r="L408" t="s">
        <v>2305</v>
      </c>
      <c r="M408" t="s">
        <v>1409</v>
      </c>
      <c r="N408" t="s">
        <v>1410</v>
      </c>
      <c r="O408" t="s">
        <v>1411</v>
      </c>
      <c r="P408" t="s">
        <v>1411</v>
      </c>
      <c r="Q408" t="s">
        <v>1412</v>
      </c>
      <c r="S408" s="1">
        <v>46043</v>
      </c>
      <c r="W408" s="1">
        <v>20202</v>
      </c>
      <c r="X408" t="s">
        <v>1507</v>
      </c>
      <c r="Y408" t="s">
        <v>2786</v>
      </c>
      <c r="Z408" t="s">
        <v>2791</v>
      </c>
      <c r="AA408" t="s">
        <v>1415</v>
      </c>
      <c r="AB408" t="s">
        <v>3686</v>
      </c>
      <c r="AC408">
        <v>85999847323</v>
      </c>
    </row>
    <row r="409" spans="1:29" x14ac:dyDescent="0.3">
      <c r="A409" t="s">
        <v>1405</v>
      </c>
      <c r="B409" t="s">
        <v>2302</v>
      </c>
      <c r="C409" t="s">
        <v>3687</v>
      </c>
      <c r="D409">
        <v>41230663304</v>
      </c>
      <c r="E409">
        <v>744981020217</v>
      </c>
      <c r="F409">
        <v>1004015957</v>
      </c>
      <c r="G409" s="1">
        <v>45567</v>
      </c>
      <c r="H409" t="s">
        <v>1360</v>
      </c>
      <c r="I409" t="s">
        <v>1374</v>
      </c>
      <c r="J409" t="s">
        <v>1361</v>
      </c>
      <c r="K409" t="s">
        <v>2308</v>
      </c>
      <c r="L409" t="s">
        <v>2305</v>
      </c>
      <c r="M409" t="s">
        <v>1409</v>
      </c>
      <c r="N409" t="s">
        <v>1410</v>
      </c>
      <c r="O409" t="s">
        <v>1411</v>
      </c>
      <c r="P409" t="s">
        <v>1417</v>
      </c>
      <c r="Q409" t="s">
        <v>1412</v>
      </c>
      <c r="S409" s="1">
        <v>46069</v>
      </c>
      <c r="W409" s="1">
        <v>26240</v>
      </c>
      <c r="X409" t="s">
        <v>3688</v>
      </c>
      <c r="Y409" t="s">
        <v>3689</v>
      </c>
      <c r="Z409" t="s">
        <v>2763</v>
      </c>
      <c r="AA409" t="s">
        <v>1419</v>
      </c>
      <c r="AB409" t="s">
        <v>3690</v>
      </c>
      <c r="AC409">
        <v>98984473770</v>
      </c>
    </row>
    <row r="410" spans="1:29" x14ac:dyDescent="0.3">
      <c r="A410" t="s">
        <v>1405</v>
      </c>
      <c r="B410" t="s">
        <v>2302</v>
      </c>
      <c r="C410" t="s">
        <v>3691</v>
      </c>
      <c r="D410">
        <v>958630364</v>
      </c>
      <c r="E410" s="3">
        <v>15933392000</v>
      </c>
      <c r="F410">
        <v>1004015647</v>
      </c>
      <c r="G410" s="1">
        <v>45539</v>
      </c>
      <c r="H410" t="s">
        <v>1360</v>
      </c>
      <c r="I410" t="s">
        <v>1374</v>
      </c>
      <c r="J410" t="s">
        <v>1361</v>
      </c>
      <c r="K410" t="s">
        <v>2308</v>
      </c>
      <c r="L410" t="s">
        <v>2305</v>
      </c>
      <c r="M410" t="s">
        <v>1421</v>
      </c>
      <c r="N410" t="s">
        <v>1422</v>
      </c>
      <c r="O410" t="s">
        <v>1411</v>
      </c>
      <c r="P410" t="s">
        <v>1411</v>
      </c>
      <c r="Q410" t="s">
        <v>1412</v>
      </c>
      <c r="S410" s="1">
        <v>46069</v>
      </c>
      <c r="W410" s="1">
        <v>31365</v>
      </c>
      <c r="X410" t="s">
        <v>3692</v>
      </c>
      <c r="Y410" t="s">
        <v>3693</v>
      </c>
      <c r="Z410" t="s">
        <v>3694</v>
      </c>
      <c r="AA410" t="s">
        <v>1415</v>
      </c>
      <c r="AB410" t="s">
        <v>3695</v>
      </c>
      <c r="AC410">
        <v>98984021810</v>
      </c>
    </row>
    <row r="411" spans="1:29" x14ac:dyDescent="0.3">
      <c r="A411" t="s">
        <v>1405</v>
      </c>
      <c r="B411" t="s">
        <v>2302</v>
      </c>
      <c r="C411" t="s">
        <v>3696</v>
      </c>
      <c r="D411">
        <v>3993755383</v>
      </c>
      <c r="E411">
        <v>2002005039662</v>
      </c>
      <c r="F411">
        <v>1004006782</v>
      </c>
      <c r="G411" s="1">
        <v>44065</v>
      </c>
      <c r="H411" t="s">
        <v>1360</v>
      </c>
      <c r="I411" t="s">
        <v>1374</v>
      </c>
      <c r="J411" t="s">
        <v>2308</v>
      </c>
      <c r="K411" t="s">
        <v>2313</v>
      </c>
      <c r="L411" t="s">
        <v>2305</v>
      </c>
      <c r="M411" t="s">
        <v>1409</v>
      </c>
      <c r="N411" t="s">
        <v>1410</v>
      </c>
      <c r="O411" t="s">
        <v>1411</v>
      </c>
      <c r="P411" t="s">
        <v>1411</v>
      </c>
      <c r="Q411" t="s">
        <v>1412</v>
      </c>
      <c r="S411" s="1">
        <v>46043</v>
      </c>
      <c r="W411" s="1">
        <v>32641</v>
      </c>
      <c r="X411" t="s">
        <v>3697</v>
      </c>
      <c r="Y411" t="s">
        <v>3698</v>
      </c>
      <c r="Z411" t="s">
        <v>2452</v>
      </c>
      <c r="AA411" t="s">
        <v>1415</v>
      </c>
      <c r="AB411" t="s">
        <v>3699</v>
      </c>
      <c r="AC411">
        <v>85988733181</v>
      </c>
    </row>
    <row r="412" spans="1:29" x14ac:dyDescent="0.3">
      <c r="A412" t="s">
        <v>1405</v>
      </c>
      <c r="B412" t="s">
        <v>2302</v>
      </c>
      <c r="C412" t="s">
        <v>3700</v>
      </c>
      <c r="D412">
        <v>6298803360</v>
      </c>
      <c r="E412" s="3">
        <v>20170311079</v>
      </c>
      <c r="F412">
        <v>1004015895</v>
      </c>
      <c r="G412" s="1">
        <v>45566</v>
      </c>
      <c r="H412" t="s">
        <v>1360</v>
      </c>
      <c r="I412" t="s">
        <v>1374</v>
      </c>
      <c r="J412" t="s">
        <v>1361</v>
      </c>
      <c r="K412" t="s">
        <v>2308</v>
      </c>
      <c r="L412" t="s">
        <v>2305</v>
      </c>
      <c r="M412" t="s">
        <v>1409</v>
      </c>
      <c r="N412" t="s">
        <v>1410</v>
      </c>
      <c r="O412" t="s">
        <v>1411</v>
      </c>
      <c r="P412" t="s">
        <v>1411</v>
      </c>
      <c r="Q412" t="s">
        <v>1412</v>
      </c>
      <c r="S412" s="1">
        <v>46043</v>
      </c>
      <c r="W412" s="1">
        <v>36667</v>
      </c>
      <c r="X412" t="s">
        <v>3701</v>
      </c>
      <c r="Z412" t="s">
        <v>2506</v>
      </c>
      <c r="AA412" t="s">
        <v>1415</v>
      </c>
      <c r="AB412" t="s">
        <v>3702</v>
      </c>
      <c r="AC412">
        <v>88988214109</v>
      </c>
    </row>
    <row r="413" spans="1:29" x14ac:dyDescent="0.3">
      <c r="A413" t="s">
        <v>1405</v>
      </c>
      <c r="B413" t="s">
        <v>2302</v>
      </c>
      <c r="C413" t="s">
        <v>3703</v>
      </c>
      <c r="D413">
        <v>92636233334</v>
      </c>
      <c r="E413">
        <v>97029157946</v>
      </c>
      <c r="F413">
        <v>1004002528</v>
      </c>
      <c r="G413" s="1">
        <v>43344</v>
      </c>
      <c r="H413" t="s">
        <v>1360</v>
      </c>
      <c r="I413" t="s">
        <v>1349</v>
      </c>
      <c r="J413" t="s">
        <v>2308</v>
      </c>
      <c r="K413" t="s">
        <v>2313</v>
      </c>
      <c r="L413" t="s">
        <v>2305</v>
      </c>
      <c r="M413" t="s">
        <v>1421</v>
      </c>
      <c r="N413" t="s">
        <v>1422</v>
      </c>
      <c r="O413" t="s">
        <v>1411</v>
      </c>
      <c r="P413" t="s">
        <v>1411</v>
      </c>
      <c r="Q413" t="s">
        <v>1412</v>
      </c>
      <c r="S413" s="1">
        <v>45905</v>
      </c>
      <c r="V413" s="1">
        <v>45904</v>
      </c>
      <c r="W413" s="1">
        <v>29124</v>
      </c>
      <c r="X413" t="s">
        <v>3704</v>
      </c>
      <c r="Y413" t="s">
        <v>3705</v>
      </c>
      <c r="Z413" t="s">
        <v>3706</v>
      </c>
      <c r="AA413" t="s">
        <v>1415</v>
      </c>
      <c r="AB413" t="s">
        <v>3707</v>
      </c>
      <c r="AC413">
        <v>8835728063</v>
      </c>
    </row>
    <row r="414" spans="1:29" x14ac:dyDescent="0.3">
      <c r="A414" t="s">
        <v>1405</v>
      </c>
      <c r="B414" t="s">
        <v>2302</v>
      </c>
      <c r="C414" t="s">
        <v>3708</v>
      </c>
      <c r="D414">
        <v>66804558391</v>
      </c>
      <c r="E414">
        <v>98002025524</v>
      </c>
      <c r="F414">
        <v>1004001944</v>
      </c>
      <c r="G414" s="1">
        <v>43218</v>
      </c>
      <c r="H414" t="s">
        <v>1360</v>
      </c>
      <c r="I414" t="s">
        <v>1374</v>
      </c>
      <c r="J414" t="s">
        <v>2308</v>
      </c>
      <c r="K414" t="s">
        <v>2313</v>
      </c>
      <c r="L414" t="s">
        <v>2305</v>
      </c>
      <c r="M414" t="s">
        <v>1409</v>
      </c>
      <c r="N414" t="s">
        <v>1410</v>
      </c>
      <c r="O414" t="s">
        <v>1411</v>
      </c>
      <c r="P414" t="s">
        <v>1411</v>
      </c>
      <c r="Q414" t="s">
        <v>1412</v>
      </c>
      <c r="S414" s="1">
        <v>46043</v>
      </c>
      <c r="W414" s="1">
        <v>30629</v>
      </c>
      <c r="X414" t="s">
        <v>1507</v>
      </c>
      <c r="Y414" t="s">
        <v>2786</v>
      </c>
      <c r="Z414" t="s">
        <v>3652</v>
      </c>
      <c r="AA414" t="s">
        <v>1415</v>
      </c>
      <c r="AB414" t="s">
        <v>3709</v>
      </c>
      <c r="AC414">
        <v>85985024732</v>
      </c>
    </row>
    <row r="415" spans="1:29" x14ac:dyDescent="0.3">
      <c r="A415" t="s">
        <v>1405</v>
      </c>
      <c r="B415" t="s">
        <v>2302</v>
      </c>
      <c r="C415" t="s">
        <v>3710</v>
      </c>
      <c r="D415">
        <v>2687692301</v>
      </c>
      <c r="E415">
        <v>2001025024549</v>
      </c>
      <c r="F415">
        <v>1004005034</v>
      </c>
      <c r="G415" s="1">
        <v>43778</v>
      </c>
      <c r="H415" t="s">
        <v>1360</v>
      </c>
      <c r="I415" t="s">
        <v>1374</v>
      </c>
      <c r="J415" t="s">
        <v>2308</v>
      </c>
      <c r="K415" t="s">
        <v>2313</v>
      </c>
      <c r="L415" t="s">
        <v>2305</v>
      </c>
      <c r="M415" t="s">
        <v>1409</v>
      </c>
      <c r="N415" t="s">
        <v>1410</v>
      </c>
      <c r="O415" t="s">
        <v>1411</v>
      </c>
      <c r="P415" t="s">
        <v>1411</v>
      </c>
      <c r="Q415" t="s">
        <v>1412</v>
      </c>
      <c r="S415" s="1">
        <v>46043</v>
      </c>
      <c r="W415" s="1">
        <v>31926</v>
      </c>
      <c r="X415" t="s">
        <v>3711</v>
      </c>
      <c r="Y415" t="s">
        <v>3712</v>
      </c>
      <c r="Z415" t="s">
        <v>3713</v>
      </c>
      <c r="AA415" t="s">
        <v>1415</v>
      </c>
      <c r="AB415" t="s">
        <v>3714</v>
      </c>
      <c r="AC415">
        <v>88996225776</v>
      </c>
    </row>
    <row r="416" spans="1:29" x14ac:dyDescent="0.3">
      <c r="A416" t="s">
        <v>1405</v>
      </c>
      <c r="B416" t="s">
        <v>2302</v>
      </c>
      <c r="C416" t="s">
        <v>3715</v>
      </c>
      <c r="D416">
        <v>911549366</v>
      </c>
      <c r="E416">
        <v>2002014020405</v>
      </c>
      <c r="F416">
        <v>1004002910</v>
      </c>
      <c r="G416" s="1">
        <v>43514</v>
      </c>
      <c r="H416" t="s">
        <v>1360</v>
      </c>
      <c r="I416" t="s">
        <v>1374</v>
      </c>
      <c r="J416" t="s">
        <v>2308</v>
      </c>
      <c r="K416" t="s">
        <v>2313</v>
      </c>
      <c r="L416" t="s">
        <v>2305</v>
      </c>
      <c r="M416" t="s">
        <v>1421</v>
      </c>
      <c r="N416" t="s">
        <v>1410</v>
      </c>
      <c r="O416" t="s">
        <v>1423</v>
      </c>
      <c r="P416" t="s">
        <v>1423</v>
      </c>
      <c r="Q416" t="s">
        <v>1412</v>
      </c>
      <c r="S416" s="1">
        <v>46043</v>
      </c>
      <c r="W416" s="1">
        <v>31115</v>
      </c>
      <c r="X416" t="s">
        <v>3716</v>
      </c>
      <c r="Y416" t="s">
        <v>3717</v>
      </c>
      <c r="Z416" t="s">
        <v>3479</v>
      </c>
      <c r="AA416" t="s">
        <v>1415</v>
      </c>
      <c r="AB416" t="s">
        <v>3718</v>
      </c>
      <c r="AC416">
        <v>85997494044</v>
      </c>
    </row>
    <row r="417" spans="1:29" x14ac:dyDescent="0.3">
      <c r="A417" t="s">
        <v>1405</v>
      </c>
      <c r="B417" t="s">
        <v>2302</v>
      </c>
      <c r="C417" t="s">
        <v>3719</v>
      </c>
      <c r="D417">
        <v>2678585310</v>
      </c>
      <c r="E417">
        <v>2002028077579</v>
      </c>
      <c r="F417">
        <v>1004003042</v>
      </c>
      <c r="G417" s="1">
        <v>43519</v>
      </c>
      <c r="H417" t="s">
        <v>1360</v>
      </c>
      <c r="I417" t="s">
        <v>1349</v>
      </c>
      <c r="J417" t="s">
        <v>2308</v>
      </c>
      <c r="K417" t="s">
        <v>2313</v>
      </c>
      <c r="L417" t="s">
        <v>2305</v>
      </c>
      <c r="M417" t="s">
        <v>1409</v>
      </c>
      <c r="N417" t="s">
        <v>1410</v>
      </c>
      <c r="O417" t="s">
        <v>1411</v>
      </c>
      <c r="P417" t="s">
        <v>1411</v>
      </c>
      <c r="Q417" t="s">
        <v>1412</v>
      </c>
      <c r="S417" s="1">
        <v>45847</v>
      </c>
      <c r="V417" s="1">
        <v>45845</v>
      </c>
      <c r="W417" s="1">
        <v>32182</v>
      </c>
      <c r="X417" t="s">
        <v>3609</v>
      </c>
      <c r="Y417" t="s">
        <v>2392</v>
      </c>
      <c r="Z417" t="s">
        <v>2393</v>
      </c>
      <c r="AA417" t="s">
        <v>1415</v>
      </c>
      <c r="AB417" t="s">
        <v>3720</v>
      </c>
      <c r="AC417">
        <v>85991338556</v>
      </c>
    </row>
    <row r="418" spans="1:29" x14ac:dyDescent="0.3">
      <c r="A418" t="s">
        <v>1405</v>
      </c>
      <c r="B418" t="s">
        <v>2302</v>
      </c>
      <c r="C418" t="s">
        <v>3721</v>
      </c>
      <c r="D418">
        <v>96363029015</v>
      </c>
      <c r="E418">
        <v>1036500781</v>
      </c>
      <c r="F418">
        <v>1004003125</v>
      </c>
      <c r="G418" s="1">
        <v>43538</v>
      </c>
      <c r="H418" t="s">
        <v>1360</v>
      </c>
      <c r="I418" t="s">
        <v>1374</v>
      </c>
      <c r="J418" t="s">
        <v>2308</v>
      </c>
      <c r="K418" t="s">
        <v>2313</v>
      </c>
      <c r="L418" t="s">
        <v>2305</v>
      </c>
      <c r="M418" t="s">
        <v>1409</v>
      </c>
      <c r="N418" t="s">
        <v>1410</v>
      </c>
      <c r="O418" t="s">
        <v>1423</v>
      </c>
      <c r="P418" t="s">
        <v>1423</v>
      </c>
      <c r="Q418" t="s">
        <v>1412</v>
      </c>
      <c r="S418" s="1">
        <v>46045</v>
      </c>
      <c r="W418" s="1">
        <v>29499</v>
      </c>
      <c r="X418" t="s">
        <v>3722</v>
      </c>
      <c r="Y418" t="s">
        <v>2447</v>
      </c>
      <c r="Z418" t="s">
        <v>2448</v>
      </c>
      <c r="AA418" t="s">
        <v>1415</v>
      </c>
      <c r="AB418" t="s">
        <v>3723</v>
      </c>
      <c r="AC418">
        <v>53999438690</v>
      </c>
    </row>
    <row r="419" spans="1:29" x14ac:dyDescent="0.3">
      <c r="A419" t="s">
        <v>1405</v>
      </c>
      <c r="B419" t="s">
        <v>2302</v>
      </c>
      <c r="C419" t="s">
        <v>3724</v>
      </c>
      <c r="D419">
        <v>40063611813</v>
      </c>
      <c r="E419" t="s">
        <v>3725</v>
      </c>
      <c r="F419">
        <v>1004019566</v>
      </c>
      <c r="G419" s="1">
        <v>45901</v>
      </c>
      <c r="H419" t="s">
        <v>1360</v>
      </c>
      <c r="I419" t="s">
        <v>1374</v>
      </c>
      <c r="J419" t="s">
        <v>1361</v>
      </c>
      <c r="K419" t="s">
        <v>2308</v>
      </c>
      <c r="L419" t="s">
        <v>2305</v>
      </c>
      <c r="M419" t="s">
        <v>1409</v>
      </c>
      <c r="N419" t="s">
        <v>1410</v>
      </c>
      <c r="O419" t="s">
        <v>1423</v>
      </c>
      <c r="P419" t="s">
        <v>1423</v>
      </c>
      <c r="Q419" t="s">
        <v>1412</v>
      </c>
      <c r="S419" s="1">
        <v>46043</v>
      </c>
      <c r="W419" s="1">
        <v>36688</v>
      </c>
      <c r="X419" t="s">
        <v>1900</v>
      </c>
      <c r="Z419" t="s">
        <v>2910</v>
      </c>
      <c r="AA419" t="s">
        <v>1415</v>
      </c>
      <c r="AB419" t="s">
        <v>3726</v>
      </c>
      <c r="AC419">
        <v>13996842447</v>
      </c>
    </row>
    <row r="420" spans="1:29" x14ac:dyDescent="0.3">
      <c r="A420" t="s">
        <v>1405</v>
      </c>
      <c r="B420" t="s">
        <v>2302</v>
      </c>
      <c r="C420" t="s">
        <v>3727</v>
      </c>
      <c r="D420">
        <v>4307678117</v>
      </c>
      <c r="E420">
        <v>1167320</v>
      </c>
      <c r="F420">
        <v>1004010804</v>
      </c>
      <c r="G420" s="1">
        <v>44819</v>
      </c>
      <c r="H420" t="s">
        <v>1360</v>
      </c>
      <c r="I420" t="s">
        <v>1374</v>
      </c>
      <c r="J420" t="s">
        <v>1361</v>
      </c>
      <c r="K420" t="s">
        <v>2308</v>
      </c>
      <c r="L420" t="s">
        <v>2305</v>
      </c>
      <c r="M420" t="s">
        <v>1447</v>
      </c>
      <c r="N420" t="s">
        <v>1448</v>
      </c>
      <c r="O420" t="s">
        <v>1411</v>
      </c>
      <c r="P420" t="s">
        <v>1411</v>
      </c>
      <c r="Q420" t="s">
        <v>1412</v>
      </c>
      <c r="S420" s="1">
        <v>46043</v>
      </c>
      <c r="W420" s="1">
        <v>35096</v>
      </c>
      <c r="X420" t="s">
        <v>3728</v>
      </c>
      <c r="Z420" t="s">
        <v>3729</v>
      </c>
      <c r="AA420" t="s">
        <v>1415</v>
      </c>
      <c r="AB420" t="s">
        <v>3730</v>
      </c>
      <c r="AC420">
        <v>63984904593</v>
      </c>
    </row>
    <row r="421" spans="1:29" x14ac:dyDescent="0.3">
      <c r="A421" t="s">
        <v>1405</v>
      </c>
      <c r="B421" t="s">
        <v>2302</v>
      </c>
      <c r="C421" t="s">
        <v>3731</v>
      </c>
      <c r="D421">
        <v>3594080013</v>
      </c>
      <c r="E421">
        <v>1115693499</v>
      </c>
      <c r="F421">
        <v>1004013097</v>
      </c>
      <c r="G421" s="1">
        <v>45195</v>
      </c>
      <c r="H421" t="s">
        <v>1360</v>
      </c>
      <c r="I421" t="s">
        <v>1374</v>
      </c>
      <c r="J421" t="s">
        <v>2348</v>
      </c>
      <c r="K421" t="s">
        <v>2308</v>
      </c>
      <c r="L421" t="s">
        <v>2305</v>
      </c>
      <c r="M421" t="s">
        <v>1421</v>
      </c>
      <c r="N421" t="s">
        <v>1448</v>
      </c>
      <c r="O421" t="s">
        <v>1423</v>
      </c>
      <c r="P421" t="s">
        <v>1411</v>
      </c>
      <c r="Q421" t="s">
        <v>1412</v>
      </c>
      <c r="S421" s="1">
        <v>46043</v>
      </c>
      <c r="W421" s="1">
        <v>34788</v>
      </c>
      <c r="X421" t="s">
        <v>1631</v>
      </c>
      <c r="Y421" t="s">
        <v>2447</v>
      </c>
      <c r="Z421" t="s">
        <v>2448</v>
      </c>
      <c r="AA421" t="s">
        <v>1415</v>
      </c>
      <c r="AB421" t="s">
        <v>3732</v>
      </c>
      <c r="AC421">
        <v>51980324053</v>
      </c>
    </row>
    <row r="422" spans="1:29" x14ac:dyDescent="0.3">
      <c r="A422" t="s">
        <v>1405</v>
      </c>
      <c r="B422" t="s">
        <v>2302</v>
      </c>
      <c r="C422" t="s">
        <v>3733</v>
      </c>
      <c r="D422">
        <v>4393676033</v>
      </c>
      <c r="E422">
        <v>3115777595</v>
      </c>
      <c r="F422">
        <v>1004011884</v>
      </c>
      <c r="G422" s="1">
        <v>45040</v>
      </c>
      <c r="H422" t="s">
        <v>1360</v>
      </c>
      <c r="I422" t="s">
        <v>1349</v>
      </c>
      <c r="J422" t="s">
        <v>1361</v>
      </c>
      <c r="K422" t="s">
        <v>2308</v>
      </c>
      <c r="L422" t="s">
        <v>2305</v>
      </c>
      <c r="M422" t="s">
        <v>1421</v>
      </c>
      <c r="N422" t="s">
        <v>1410</v>
      </c>
      <c r="O422" t="s">
        <v>1423</v>
      </c>
      <c r="P422" t="s">
        <v>1423</v>
      </c>
      <c r="Q422" t="s">
        <v>1412</v>
      </c>
      <c r="S422" s="1">
        <v>46126</v>
      </c>
      <c r="V422" s="1">
        <v>46122</v>
      </c>
      <c r="W422" s="1">
        <v>36440</v>
      </c>
      <c r="X422" t="s">
        <v>3734</v>
      </c>
      <c r="Y422" t="s">
        <v>2175</v>
      </c>
      <c r="Z422" t="s">
        <v>3735</v>
      </c>
      <c r="AA422" t="s">
        <v>1419</v>
      </c>
      <c r="AB422" t="s">
        <v>3736</v>
      </c>
      <c r="AC422">
        <v>54999518163</v>
      </c>
    </row>
    <row r="423" spans="1:29" x14ac:dyDescent="0.3">
      <c r="A423" t="s">
        <v>1405</v>
      </c>
      <c r="B423" t="s">
        <v>2302</v>
      </c>
      <c r="C423" t="s">
        <v>3737</v>
      </c>
      <c r="D423">
        <v>10667934928</v>
      </c>
      <c r="E423">
        <v>123376013</v>
      </c>
      <c r="F423">
        <v>1004012661</v>
      </c>
      <c r="G423" s="1">
        <v>45159</v>
      </c>
      <c r="H423" t="s">
        <v>1360</v>
      </c>
      <c r="I423" t="s">
        <v>1349</v>
      </c>
      <c r="J423">
        <v>6</v>
      </c>
      <c r="K423" t="s">
        <v>2444</v>
      </c>
      <c r="L423" t="s">
        <v>2305</v>
      </c>
      <c r="M423" t="s">
        <v>1421</v>
      </c>
      <c r="N423" t="s">
        <v>1422</v>
      </c>
      <c r="O423" t="s">
        <v>1423</v>
      </c>
      <c r="P423" t="s">
        <v>1423</v>
      </c>
      <c r="Q423" t="s">
        <v>1412</v>
      </c>
      <c r="S423" s="1">
        <v>45737</v>
      </c>
      <c r="V423" s="1">
        <v>45742</v>
      </c>
      <c r="W423" s="1">
        <v>35850</v>
      </c>
      <c r="X423" t="s">
        <v>3738</v>
      </c>
      <c r="Z423" t="s">
        <v>3739</v>
      </c>
      <c r="AA423" t="s">
        <v>1419</v>
      </c>
      <c r="AB423" t="s">
        <v>3740</v>
      </c>
      <c r="AC423">
        <v>46988208632</v>
      </c>
    </row>
    <row r="424" spans="1:29" x14ac:dyDescent="0.3">
      <c r="A424" t="s">
        <v>1405</v>
      </c>
      <c r="B424" t="s">
        <v>2302</v>
      </c>
      <c r="C424" t="s">
        <v>3741</v>
      </c>
      <c r="D424">
        <v>9720922931</v>
      </c>
      <c r="E424">
        <v>6689548</v>
      </c>
      <c r="F424">
        <v>1004012002</v>
      </c>
      <c r="G424" s="1">
        <v>45055</v>
      </c>
      <c r="H424" t="s">
        <v>1360</v>
      </c>
      <c r="I424" t="s">
        <v>1349</v>
      </c>
      <c r="J424" t="s">
        <v>2348</v>
      </c>
      <c r="K424" t="s">
        <v>2308</v>
      </c>
      <c r="L424" t="s">
        <v>2305</v>
      </c>
      <c r="M424" t="s">
        <v>1421</v>
      </c>
      <c r="N424" t="s">
        <v>1422</v>
      </c>
      <c r="O424" t="s">
        <v>1411</v>
      </c>
      <c r="P424" t="s">
        <v>1411</v>
      </c>
      <c r="Q424" t="s">
        <v>1412</v>
      </c>
      <c r="S424" s="1">
        <v>45812</v>
      </c>
      <c r="V424" s="1">
        <v>45810</v>
      </c>
      <c r="W424" s="1">
        <v>35279</v>
      </c>
      <c r="X424" t="s">
        <v>1563</v>
      </c>
      <c r="Z424" t="s">
        <v>3742</v>
      </c>
      <c r="AA424" t="s">
        <v>1419</v>
      </c>
      <c r="AB424" t="s">
        <v>3743</v>
      </c>
      <c r="AC424">
        <v>47991413432</v>
      </c>
    </row>
    <row r="425" spans="1:29" x14ac:dyDescent="0.3">
      <c r="A425" t="s">
        <v>1405</v>
      </c>
      <c r="B425" t="s">
        <v>2302</v>
      </c>
      <c r="C425" t="s">
        <v>3744</v>
      </c>
      <c r="D425">
        <v>157322904</v>
      </c>
      <c r="E425" s="3">
        <v>4326772</v>
      </c>
      <c r="F425">
        <v>1004015655</v>
      </c>
      <c r="G425" s="1">
        <v>45540</v>
      </c>
      <c r="H425" t="s">
        <v>1360</v>
      </c>
      <c r="I425" t="s">
        <v>1374</v>
      </c>
      <c r="J425" t="s">
        <v>1361</v>
      </c>
      <c r="K425" t="s">
        <v>2308</v>
      </c>
      <c r="L425" t="s">
        <v>2305</v>
      </c>
      <c r="M425" t="s">
        <v>1447</v>
      </c>
      <c r="N425" t="s">
        <v>1448</v>
      </c>
      <c r="O425" t="s">
        <v>1411</v>
      </c>
      <c r="P425" t="s">
        <v>1423</v>
      </c>
      <c r="Q425" t="s">
        <v>1412</v>
      </c>
      <c r="R425" t="s">
        <v>3745</v>
      </c>
      <c r="S425" s="1">
        <v>46043</v>
      </c>
      <c r="W425" s="1">
        <v>32274</v>
      </c>
      <c r="X425" t="s">
        <v>2950</v>
      </c>
      <c r="Y425" t="s">
        <v>2753</v>
      </c>
      <c r="Z425" t="s">
        <v>2754</v>
      </c>
      <c r="AA425" t="s">
        <v>1419</v>
      </c>
      <c r="AB425" t="s">
        <v>3746</v>
      </c>
      <c r="AC425">
        <v>48991336847</v>
      </c>
    </row>
    <row r="426" spans="1:29" x14ac:dyDescent="0.3">
      <c r="A426" t="s">
        <v>1405</v>
      </c>
      <c r="B426" t="s">
        <v>2302</v>
      </c>
      <c r="C426" t="s">
        <v>3747</v>
      </c>
      <c r="D426">
        <v>5385943223</v>
      </c>
      <c r="E426" s="3">
        <v>8114062</v>
      </c>
      <c r="F426">
        <v>1004016036</v>
      </c>
      <c r="G426" s="1">
        <v>45577</v>
      </c>
      <c r="H426" t="s">
        <v>1360</v>
      </c>
      <c r="I426" t="s">
        <v>1525</v>
      </c>
      <c r="J426" t="s">
        <v>1361</v>
      </c>
      <c r="K426" t="s">
        <v>2308</v>
      </c>
      <c r="L426" t="s">
        <v>2305</v>
      </c>
      <c r="M426" t="s">
        <v>1646</v>
      </c>
      <c r="N426" t="s">
        <v>1410</v>
      </c>
      <c r="O426" t="s">
        <v>1411</v>
      </c>
      <c r="P426" t="s">
        <v>1411</v>
      </c>
      <c r="Q426" t="s">
        <v>1412</v>
      </c>
      <c r="S426" s="1">
        <v>46099</v>
      </c>
      <c r="T426" s="1">
        <v>46086</v>
      </c>
      <c r="U426" s="1">
        <v>46205</v>
      </c>
      <c r="W426" s="1">
        <v>36146</v>
      </c>
      <c r="X426" t="s">
        <v>3748</v>
      </c>
      <c r="Y426" t="s">
        <v>3749</v>
      </c>
      <c r="Z426" t="s">
        <v>2554</v>
      </c>
      <c r="AA426" t="s">
        <v>1419</v>
      </c>
      <c r="AB426" t="s">
        <v>3750</v>
      </c>
      <c r="AC426">
        <v>91985924862</v>
      </c>
    </row>
    <row r="427" spans="1:29" x14ac:dyDescent="0.3">
      <c r="A427" t="s">
        <v>1405</v>
      </c>
      <c r="B427" t="s">
        <v>2302</v>
      </c>
      <c r="C427" t="s">
        <v>3751</v>
      </c>
      <c r="D427">
        <v>4157180909</v>
      </c>
      <c r="E427">
        <v>86331764</v>
      </c>
      <c r="F427">
        <v>1004012611</v>
      </c>
      <c r="G427" s="1">
        <v>45153</v>
      </c>
      <c r="H427" t="s">
        <v>1360</v>
      </c>
      <c r="I427" t="s">
        <v>1374</v>
      </c>
      <c r="J427" t="s">
        <v>1354</v>
      </c>
      <c r="K427" t="s">
        <v>1361</v>
      </c>
      <c r="L427" t="s">
        <v>2305</v>
      </c>
      <c r="M427" t="s">
        <v>1409</v>
      </c>
      <c r="N427" t="s">
        <v>1410</v>
      </c>
      <c r="O427" t="s">
        <v>1423</v>
      </c>
      <c r="P427" t="s">
        <v>1423</v>
      </c>
      <c r="Q427" t="s">
        <v>1412</v>
      </c>
      <c r="S427" s="1">
        <v>46043</v>
      </c>
      <c r="W427" s="1">
        <v>30527</v>
      </c>
      <c r="X427" t="s">
        <v>3752</v>
      </c>
      <c r="Y427" t="s">
        <v>3753</v>
      </c>
      <c r="Z427" t="s">
        <v>3754</v>
      </c>
      <c r="AA427" t="s">
        <v>1419</v>
      </c>
      <c r="AB427" t="s">
        <v>208</v>
      </c>
      <c r="AC427">
        <v>45998619360</v>
      </c>
    </row>
    <row r="428" spans="1:29" x14ac:dyDescent="0.3">
      <c r="A428" t="s">
        <v>1405</v>
      </c>
      <c r="B428" t="s">
        <v>2302</v>
      </c>
      <c r="C428" t="s">
        <v>3755</v>
      </c>
      <c r="D428">
        <v>8789765907</v>
      </c>
      <c r="E428">
        <v>6288048</v>
      </c>
      <c r="F428">
        <v>1004009363</v>
      </c>
      <c r="G428" s="1">
        <v>44620</v>
      </c>
      <c r="H428" t="s">
        <v>1360</v>
      </c>
      <c r="I428" t="s">
        <v>1374</v>
      </c>
      <c r="J428" t="s">
        <v>1361</v>
      </c>
      <c r="K428" t="s">
        <v>2308</v>
      </c>
      <c r="L428" t="s">
        <v>2305</v>
      </c>
      <c r="M428" t="s">
        <v>1409</v>
      </c>
      <c r="N428" t="s">
        <v>1410</v>
      </c>
      <c r="O428" t="s">
        <v>1423</v>
      </c>
      <c r="P428" t="s">
        <v>1423</v>
      </c>
      <c r="Q428" t="s">
        <v>1412</v>
      </c>
      <c r="S428" s="1">
        <v>46043</v>
      </c>
      <c r="W428" s="1">
        <v>35535</v>
      </c>
      <c r="X428" t="s">
        <v>3146</v>
      </c>
      <c r="Y428" t="s">
        <v>3147</v>
      </c>
      <c r="Z428" t="s">
        <v>2610</v>
      </c>
      <c r="AA428" t="s">
        <v>1419</v>
      </c>
      <c r="AB428" t="s">
        <v>3756</v>
      </c>
      <c r="AC428">
        <v>47984459442</v>
      </c>
    </row>
    <row r="429" spans="1:29" x14ac:dyDescent="0.3">
      <c r="A429" t="s">
        <v>1405</v>
      </c>
      <c r="B429" t="s">
        <v>2302</v>
      </c>
      <c r="C429" t="s">
        <v>3757</v>
      </c>
      <c r="D429">
        <v>969688938</v>
      </c>
      <c r="E429" t="s">
        <v>3758</v>
      </c>
      <c r="F429">
        <v>1004002983</v>
      </c>
      <c r="G429" s="1">
        <v>43517</v>
      </c>
      <c r="H429" t="s">
        <v>1360</v>
      </c>
      <c r="I429" t="s">
        <v>1349</v>
      </c>
      <c r="J429" t="s">
        <v>2308</v>
      </c>
      <c r="K429" t="s">
        <v>2313</v>
      </c>
      <c r="L429" t="s">
        <v>2305</v>
      </c>
      <c r="M429" t="s">
        <v>1409</v>
      </c>
      <c r="N429" t="s">
        <v>1410</v>
      </c>
      <c r="O429" t="s">
        <v>1423</v>
      </c>
      <c r="P429" t="s">
        <v>1423</v>
      </c>
      <c r="Q429" t="s">
        <v>1412</v>
      </c>
      <c r="S429" s="1">
        <v>46057</v>
      </c>
      <c r="V429" s="1">
        <v>46055</v>
      </c>
      <c r="W429" s="1">
        <v>31928</v>
      </c>
      <c r="X429" t="s">
        <v>1563</v>
      </c>
      <c r="Y429" t="s">
        <v>1564</v>
      </c>
      <c r="Z429" t="s">
        <v>2610</v>
      </c>
      <c r="AA429" t="s">
        <v>1415</v>
      </c>
      <c r="AB429" t="s">
        <v>3759</v>
      </c>
      <c r="AC429">
        <v>47991187044</v>
      </c>
    </row>
    <row r="430" spans="1:29" x14ac:dyDescent="0.3">
      <c r="A430" t="s">
        <v>1405</v>
      </c>
      <c r="B430" t="s">
        <v>2302</v>
      </c>
      <c r="C430" t="s">
        <v>3760</v>
      </c>
      <c r="D430">
        <v>99749700163</v>
      </c>
      <c r="E430">
        <v>20449575</v>
      </c>
      <c r="F430">
        <v>1004012277</v>
      </c>
      <c r="G430" s="1">
        <v>45092</v>
      </c>
      <c r="H430" t="s">
        <v>1360</v>
      </c>
      <c r="I430" t="s">
        <v>1349</v>
      </c>
      <c r="J430" t="s">
        <v>1361</v>
      </c>
      <c r="K430" t="s">
        <v>2308</v>
      </c>
      <c r="L430" t="s">
        <v>2305</v>
      </c>
      <c r="M430" t="s">
        <v>1409</v>
      </c>
      <c r="N430" t="s">
        <v>1410</v>
      </c>
      <c r="O430" t="s">
        <v>1411</v>
      </c>
      <c r="P430" t="s">
        <v>1411</v>
      </c>
      <c r="Q430" t="s">
        <v>1412</v>
      </c>
      <c r="S430" s="1">
        <v>45742</v>
      </c>
      <c r="V430" s="1">
        <v>45737</v>
      </c>
      <c r="W430" s="1">
        <v>30762</v>
      </c>
      <c r="X430" t="s">
        <v>1576</v>
      </c>
      <c r="Y430" t="s">
        <v>2233</v>
      </c>
      <c r="Z430" t="s">
        <v>3000</v>
      </c>
      <c r="AA430" t="s">
        <v>1415</v>
      </c>
      <c r="AB430" t="s">
        <v>3761</v>
      </c>
      <c r="AC430">
        <v>47988814074</v>
      </c>
    </row>
    <row r="431" spans="1:29" x14ac:dyDescent="0.3">
      <c r="A431" t="s">
        <v>1405</v>
      </c>
      <c r="B431" t="s">
        <v>2302</v>
      </c>
      <c r="C431" t="s">
        <v>3762</v>
      </c>
      <c r="D431">
        <v>37691538553</v>
      </c>
      <c r="E431">
        <v>378440837</v>
      </c>
      <c r="F431">
        <v>1004002650</v>
      </c>
      <c r="G431" s="1">
        <v>43357</v>
      </c>
      <c r="H431" t="s">
        <v>1360</v>
      </c>
      <c r="I431" t="s">
        <v>1374</v>
      </c>
      <c r="J431" t="s">
        <v>2308</v>
      </c>
      <c r="K431" t="s">
        <v>2313</v>
      </c>
      <c r="L431" t="s">
        <v>2305</v>
      </c>
      <c r="M431" t="s">
        <v>1409</v>
      </c>
      <c r="N431" t="s">
        <v>1410</v>
      </c>
      <c r="O431" t="s">
        <v>1411</v>
      </c>
      <c r="P431" t="s">
        <v>1411</v>
      </c>
      <c r="Q431" t="s">
        <v>1412</v>
      </c>
      <c r="S431" s="1">
        <v>46043</v>
      </c>
      <c r="W431" s="1">
        <v>23910</v>
      </c>
      <c r="X431" t="s">
        <v>1594</v>
      </c>
      <c r="Y431" t="s">
        <v>2362</v>
      </c>
      <c r="Z431" t="s">
        <v>2363</v>
      </c>
      <c r="AA431" t="s">
        <v>1419</v>
      </c>
      <c r="AB431" t="s">
        <v>3763</v>
      </c>
      <c r="AC431">
        <v>75992694794</v>
      </c>
    </row>
    <row r="432" spans="1:29" x14ac:dyDescent="0.3">
      <c r="A432" t="s">
        <v>1405</v>
      </c>
      <c r="B432" t="s">
        <v>2302</v>
      </c>
      <c r="C432" t="s">
        <v>3764</v>
      </c>
      <c r="D432">
        <v>145766519</v>
      </c>
      <c r="E432">
        <v>809308835</v>
      </c>
      <c r="F432">
        <v>1004000563</v>
      </c>
      <c r="G432" s="1">
        <v>42935</v>
      </c>
      <c r="H432" t="s">
        <v>1360</v>
      </c>
      <c r="I432" t="s">
        <v>1349</v>
      </c>
      <c r="J432" t="s">
        <v>2308</v>
      </c>
      <c r="K432" t="s">
        <v>2313</v>
      </c>
      <c r="L432" t="s">
        <v>2305</v>
      </c>
      <c r="M432" t="s">
        <v>1409</v>
      </c>
      <c r="N432" t="s">
        <v>1410</v>
      </c>
      <c r="O432" t="s">
        <v>1462</v>
      </c>
      <c r="P432" t="s">
        <v>1462</v>
      </c>
      <c r="Q432" t="s">
        <v>1412</v>
      </c>
      <c r="S432" s="1">
        <v>45903</v>
      </c>
      <c r="V432" s="1">
        <v>45901</v>
      </c>
      <c r="W432" s="1">
        <v>29174</v>
      </c>
      <c r="X432" t="s">
        <v>3765</v>
      </c>
      <c r="Y432" t="s">
        <v>3766</v>
      </c>
      <c r="Z432" t="s">
        <v>2363</v>
      </c>
      <c r="AA432" t="s">
        <v>1419</v>
      </c>
      <c r="AB432" t="s">
        <v>3767</v>
      </c>
    </row>
    <row r="433" spans="1:29" x14ac:dyDescent="0.3">
      <c r="A433" t="s">
        <v>1405</v>
      </c>
      <c r="B433" t="s">
        <v>2302</v>
      </c>
      <c r="C433" t="s">
        <v>3768</v>
      </c>
      <c r="D433">
        <v>732765960</v>
      </c>
      <c r="E433">
        <v>3336591</v>
      </c>
      <c r="F433">
        <v>1004007217</v>
      </c>
      <c r="G433" s="1">
        <v>44148</v>
      </c>
      <c r="H433" t="s">
        <v>1360</v>
      </c>
      <c r="I433" t="s">
        <v>1374</v>
      </c>
      <c r="J433" t="s">
        <v>2308</v>
      </c>
      <c r="K433" t="s">
        <v>2313</v>
      </c>
      <c r="L433" t="s">
        <v>2305</v>
      </c>
      <c r="M433" t="s">
        <v>1421</v>
      </c>
      <c r="N433" t="s">
        <v>1422</v>
      </c>
      <c r="O433" t="s">
        <v>1423</v>
      </c>
      <c r="P433" t="s">
        <v>1423</v>
      </c>
      <c r="Q433" t="s">
        <v>1593</v>
      </c>
      <c r="R433" t="s">
        <v>3769</v>
      </c>
      <c r="S433" s="1">
        <v>46043</v>
      </c>
      <c r="W433" s="1">
        <v>29598</v>
      </c>
      <c r="X433" t="s">
        <v>1956</v>
      </c>
      <c r="Y433" t="s">
        <v>2175</v>
      </c>
      <c r="Z433" t="s">
        <v>3770</v>
      </c>
      <c r="AA433" t="s">
        <v>1419</v>
      </c>
      <c r="AB433" t="s">
        <v>3771</v>
      </c>
      <c r="AC433">
        <v>47999025999</v>
      </c>
    </row>
    <row r="434" spans="1:29" x14ac:dyDescent="0.3">
      <c r="A434" t="s">
        <v>1405</v>
      </c>
      <c r="B434" t="s">
        <v>2302</v>
      </c>
      <c r="C434" t="s">
        <v>3772</v>
      </c>
      <c r="D434">
        <v>1679190164</v>
      </c>
      <c r="E434">
        <v>19486308</v>
      </c>
      <c r="F434">
        <v>1004016986</v>
      </c>
      <c r="G434" s="1">
        <v>45721</v>
      </c>
      <c r="H434" t="s">
        <v>1360</v>
      </c>
      <c r="I434" t="s">
        <v>1374</v>
      </c>
      <c r="J434" t="s">
        <v>1361</v>
      </c>
      <c r="K434" t="s">
        <v>2308</v>
      </c>
      <c r="L434" t="s">
        <v>2305</v>
      </c>
      <c r="M434" t="s">
        <v>1409</v>
      </c>
      <c r="N434" t="s">
        <v>1410</v>
      </c>
      <c r="O434" t="s">
        <v>1423</v>
      </c>
      <c r="P434" t="s">
        <v>1423</v>
      </c>
      <c r="Q434" t="s">
        <v>1412</v>
      </c>
      <c r="S434" s="1">
        <v>46043</v>
      </c>
      <c r="W434" s="1">
        <v>32486</v>
      </c>
      <c r="X434" t="s">
        <v>3773</v>
      </c>
      <c r="Z434" t="s">
        <v>3564</v>
      </c>
      <c r="AA434" t="s">
        <v>1415</v>
      </c>
      <c r="AB434" t="s">
        <v>3774</v>
      </c>
      <c r="AC434">
        <v>6696344088</v>
      </c>
    </row>
    <row r="435" spans="1:29" x14ac:dyDescent="0.3">
      <c r="A435" t="s">
        <v>1405</v>
      </c>
      <c r="B435" t="s">
        <v>2302</v>
      </c>
      <c r="C435" t="s">
        <v>3775</v>
      </c>
      <c r="D435">
        <v>4729335902</v>
      </c>
      <c r="E435">
        <v>4542833</v>
      </c>
      <c r="F435">
        <v>1004014022</v>
      </c>
      <c r="G435" s="1">
        <v>45355</v>
      </c>
      <c r="H435" t="s">
        <v>1360</v>
      </c>
      <c r="I435" t="s">
        <v>1349</v>
      </c>
      <c r="J435" t="s">
        <v>1361</v>
      </c>
      <c r="K435" t="s">
        <v>2308</v>
      </c>
      <c r="L435" t="s">
        <v>2305</v>
      </c>
      <c r="M435" t="s">
        <v>1409</v>
      </c>
      <c r="N435" t="s">
        <v>1410</v>
      </c>
      <c r="O435" t="s">
        <v>1423</v>
      </c>
      <c r="P435" t="s">
        <v>1423</v>
      </c>
      <c r="Q435" t="s">
        <v>1412</v>
      </c>
      <c r="S435" s="1">
        <v>45761</v>
      </c>
      <c r="V435" s="1">
        <v>45758</v>
      </c>
      <c r="W435" s="1">
        <v>31118</v>
      </c>
      <c r="X435" t="s">
        <v>1714</v>
      </c>
      <c r="Y435" t="s">
        <v>3776</v>
      </c>
      <c r="Z435" t="s">
        <v>2652</v>
      </c>
      <c r="AA435" t="s">
        <v>1419</v>
      </c>
      <c r="AB435" t="s">
        <v>3777</v>
      </c>
      <c r="AC435">
        <v>49998339648</v>
      </c>
    </row>
    <row r="436" spans="1:29" x14ac:dyDescent="0.3">
      <c r="A436" t="s">
        <v>1405</v>
      </c>
      <c r="B436" t="s">
        <v>2302</v>
      </c>
      <c r="C436" t="s">
        <v>3778</v>
      </c>
      <c r="D436">
        <v>22029207810</v>
      </c>
      <c r="E436">
        <v>245217617</v>
      </c>
      <c r="F436">
        <v>1004003076</v>
      </c>
      <c r="G436" s="1">
        <v>43531</v>
      </c>
      <c r="H436" t="s">
        <v>1360</v>
      </c>
      <c r="I436" t="s">
        <v>1349</v>
      </c>
      <c r="J436" t="s">
        <v>2308</v>
      </c>
      <c r="K436" t="s">
        <v>2313</v>
      </c>
      <c r="L436" t="s">
        <v>2305</v>
      </c>
      <c r="M436" t="s">
        <v>1409</v>
      </c>
      <c r="N436" t="s">
        <v>1410</v>
      </c>
      <c r="O436" t="s">
        <v>1411</v>
      </c>
      <c r="P436" t="s">
        <v>1411</v>
      </c>
      <c r="Q436" t="s">
        <v>1412</v>
      </c>
      <c r="S436" s="1">
        <v>45855</v>
      </c>
      <c r="V436" s="1">
        <v>45854</v>
      </c>
      <c r="W436" s="1">
        <v>29754</v>
      </c>
      <c r="X436" t="s">
        <v>1510</v>
      </c>
      <c r="Y436" t="s">
        <v>2336</v>
      </c>
      <c r="Z436" t="s">
        <v>3649</v>
      </c>
      <c r="AA436" t="s">
        <v>1415</v>
      </c>
      <c r="AB436" t="s">
        <v>3779</v>
      </c>
      <c r="AC436">
        <v>82993764548</v>
      </c>
    </row>
    <row r="437" spans="1:29" x14ac:dyDescent="0.3">
      <c r="A437" t="s">
        <v>1405</v>
      </c>
      <c r="B437" t="s">
        <v>2302</v>
      </c>
      <c r="C437" t="s">
        <v>3780</v>
      </c>
      <c r="D437">
        <v>31740170253</v>
      </c>
      <c r="E437">
        <v>11988311</v>
      </c>
      <c r="F437">
        <v>42004201253</v>
      </c>
      <c r="G437" s="1">
        <v>42037</v>
      </c>
      <c r="H437" t="s">
        <v>1360</v>
      </c>
      <c r="I437" t="s">
        <v>1374</v>
      </c>
      <c r="J437" t="s">
        <v>2308</v>
      </c>
      <c r="K437" t="s">
        <v>2313</v>
      </c>
      <c r="L437" t="s">
        <v>2305</v>
      </c>
      <c r="M437" t="s">
        <v>1409</v>
      </c>
      <c r="N437" t="s">
        <v>1410</v>
      </c>
      <c r="O437" t="s">
        <v>1423</v>
      </c>
      <c r="P437" t="s">
        <v>1423</v>
      </c>
      <c r="Q437" t="s">
        <v>1412</v>
      </c>
      <c r="S437" s="1">
        <v>46043</v>
      </c>
      <c r="W437" s="1">
        <v>26757</v>
      </c>
      <c r="X437" t="s">
        <v>1825</v>
      </c>
      <c r="Y437" t="s">
        <v>1920</v>
      </c>
      <c r="Z437" t="s">
        <v>2800</v>
      </c>
      <c r="AA437" t="s">
        <v>1415</v>
      </c>
      <c r="AB437" t="s">
        <v>3781</v>
      </c>
      <c r="AC437">
        <v>4733019071</v>
      </c>
    </row>
    <row r="438" spans="1:29" x14ac:dyDescent="0.3">
      <c r="A438" t="s">
        <v>1405</v>
      </c>
      <c r="B438" t="s">
        <v>2302</v>
      </c>
      <c r="C438" t="s">
        <v>3782</v>
      </c>
      <c r="D438">
        <v>5224816203</v>
      </c>
      <c r="E438">
        <v>8355163</v>
      </c>
      <c r="F438">
        <v>1004014207</v>
      </c>
      <c r="G438" s="1">
        <v>45369</v>
      </c>
      <c r="H438" t="s">
        <v>1360</v>
      </c>
      <c r="I438" t="s">
        <v>1349</v>
      </c>
      <c r="J438" t="s">
        <v>1361</v>
      </c>
      <c r="K438" t="s">
        <v>2308</v>
      </c>
      <c r="L438" t="s">
        <v>2305</v>
      </c>
      <c r="M438" t="s">
        <v>1421</v>
      </c>
      <c r="N438" t="s">
        <v>1422</v>
      </c>
      <c r="O438" t="s">
        <v>1462</v>
      </c>
      <c r="P438" t="s">
        <v>1462</v>
      </c>
      <c r="Q438" t="s">
        <v>1412</v>
      </c>
      <c r="S438" s="1">
        <v>46119</v>
      </c>
      <c r="T438" s="1">
        <v>45908</v>
      </c>
      <c r="U438" s="1">
        <v>46027</v>
      </c>
      <c r="V438" s="1">
        <v>46113</v>
      </c>
      <c r="W438" s="1">
        <v>36225</v>
      </c>
      <c r="X438" t="s">
        <v>3783</v>
      </c>
      <c r="Z438" t="s">
        <v>2770</v>
      </c>
      <c r="AA438" t="s">
        <v>1419</v>
      </c>
      <c r="AB438" t="s">
        <v>3784</v>
      </c>
      <c r="AC438">
        <v>94992831821</v>
      </c>
    </row>
    <row r="439" spans="1:29" x14ac:dyDescent="0.3">
      <c r="A439" t="s">
        <v>1405</v>
      </c>
      <c r="B439" t="s">
        <v>2302</v>
      </c>
      <c r="C439" t="s">
        <v>3785</v>
      </c>
      <c r="D439">
        <v>3508211517</v>
      </c>
      <c r="E439" t="s">
        <v>3786</v>
      </c>
      <c r="F439">
        <v>1004017939</v>
      </c>
      <c r="G439" s="1">
        <v>45782</v>
      </c>
      <c r="H439" t="s">
        <v>1360</v>
      </c>
      <c r="I439" t="s">
        <v>1374</v>
      </c>
      <c r="J439" t="s">
        <v>2572</v>
      </c>
      <c r="K439" t="s">
        <v>2573</v>
      </c>
      <c r="L439" t="s">
        <v>2305</v>
      </c>
      <c r="M439" t="s">
        <v>1409</v>
      </c>
      <c r="N439" t="s">
        <v>1410</v>
      </c>
      <c r="O439" t="s">
        <v>1462</v>
      </c>
      <c r="P439" t="s">
        <v>1462</v>
      </c>
      <c r="Q439" t="s">
        <v>1412</v>
      </c>
      <c r="S439" s="1">
        <v>46043</v>
      </c>
      <c r="W439" s="1">
        <v>32003</v>
      </c>
      <c r="X439" t="s">
        <v>1479</v>
      </c>
      <c r="Y439" t="s">
        <v>3151</v>
      </c>
      <c r="Z439" t="s">
        <v>3787</v>
      </c>
      <c r="AA439" t="s">
        <v>1419</v>
      </c>
      <c r="AB439" t="s">
        <v>3788</v>
      </c>
      <c r="AC439">
        <v>74991993034</v>
      </c>
    </row>
    <row r="440" spans="1:29" x14ac:dyDescent="0.3">
      <c r="A440" t="s">
        <v>1405</v>
      </c>
      <c r="B440" t="s">
        <v>2302</v>
      </c>
      <c r="C440" t="s">
        <v>3789</v>
      </c>
      <c r="D440">
        <v>939092336</v>
      </c>
      <c r="E440">
        <v>2175630</v>
      </c>
      <c r="F440">
        <v>1004012607</v>
      </c>
      <c r="G440" s="1">
        <v>45148</v>
      </c>
      <c r="H440" t="s">
        <v>1360</v>
      </c>
      <c r="I440" t="s">
        <v>1349</v>
      </c>
      <c r="J440" t="s">
        <v>1361</v>
      </c>
      <c r="K440" t="s">
        <v>2308</v>
      </c>
      <c r="L440" t="s">
        <v>2305</v>
      </c>
      <c r="M440" t="s">
        <v>1447</v>
      </c>
      <c r="N440" t="s">
        <v>1448</v>
      </c>
      <c r="O440" t="s">
        <v>1411</v>
      </c>
      <c r="P440" t="s">
        <v>1411</v>
      </c>
      <c r="Q440" t="s">
        <v>1412</v>
      </c>
      <c r="S440" s="1">
        <v>45919</v>
      </c>
      <c r="V440" s="1">
        <v>45915</v>
      </c>
      <c r="W440" s="1">
        <v>30463</v>
      </c>
      <c r="X440" t="s">
        <v>1847</v>
      </c>
      <c r="Z440" t="s">
        <v>3333</v>
      </c>
      <c r="AA440" t="s">
        <v>1419</v>
      </c>
      <c r="AB440" t="s">
        <v>3790</v>
      </c>
      <c r="AC440">
        <v>89994130330</v>
      </c>
    </row>
    <row r="441" spans="1:29" x14ac:dyDescent="0.3">
      <c r="A441" t="s">
        <v>1405</v>
      </c>
      <c r="B441" t="s">
        <v>2302</v>
      </c>
      <c r="C441" t="s">
        <v>3791</v>
      </c>
      <c r="D441">
        <v>856476161</v>
      </c>
      <c r="E441">
        <v>2260525</v>
      </c>
      <c r="F441">
        <v>1004018301</v>
      </c>
      <c r="G441" s="1">
        <v>45810</v>
      </c>
      <c r="H441" t="s">
        <v>1360</v>
      </c>
      <c r="I441" t="s">
        <v>1374</v>
      </c>
      <c r="J441" t="s">
        <v>1361</v>
      </c>
      <c r="K441" t="s">
        <v>2308</v>
      </c>
      <c r="L441" t="s">
        <v>2305</v>
      </c>
      <c r="M441" t="s">
        <v>1409</v>
      </c>
      <c r="N441" t="s">
        <v>1410</v>
      </c>
      <c r="O441" t="s">
        <v>1439</v>
      </c>
      <c r="P441" t="s">
        <v>1411</v>
      </c>
      <c r="Q441" t="s">
        <v>1412</v>
      </c>
      <c r="S441" s="1">
        <v>46043</v>
      </c>
      <c r="W441" s="1">
        <v>31284</v>
      </c>
      <c r="X441" t="s">
        <v>1617</v>
      </c>
      <c r="Z441" t="s">
        <v>2837</v>
      </c>
      <c r="AA441" t="s">
        <v>1415</v>
      </c>
      <c r="AB441" t="s">
        <v>3792</v>
      </c>
      <c r="AC441">
        <v>61999999758</v>
      </c>
    </row>
    <row r="442" spans="1:29" x14ac:dyDescent="0.3">
      <c r="A442" t="s">
        <v>1405</v>
      </c>
      <c r="B442" t="s">
        <v>2302</v>
      </c>
      <c r="C442" t="s">
        <v>3793</v>
      </c>
      <c r="D442">
        <v>6962073380</v>
      </c>
      <c r="E442">
        <v>46521320124</v>
      </c>
      <c r="F442">
        <v>1004014526</v>
      </c>
      <c r="G442" s="1">
        <v>45385</v>
      </c>
      <c r="H442" t="s">
        <v>1360</v>
      </c>
      <c r="I442" t="s">
        <v>1374</v>
      </c>
      <c r="J442" t="s">
        <v>2348</v>
      </c>
      <c r="K442" t="s">
        <v>2308</v>
      </c>
      <c r="L442" t="s">
        <v>2305</v>
      </c>
      <c r="M442" t="s">
        <v>1421</v>
      </c>
      <c r="N442" t="s">
        <v>1410</v>
      </c>
      <c r="O442" t="s">
        <v>1462</v>
      </c>
      <c r="P442" t="s">
        <v>1417</v>
      </c>
      <c r="Q442" t="s">
        <v>1412</v>
      </c>
      <c r="S442" s="1">
        <v>46069</v>
      </c>
      <c r="W442" s="1">
        <v>35982</v>
      </c>
      <c r="X442" t="s">
        <v>3794</v>
      </c>
      <c r="Y442" t="s">
        <v>3795</v>
      </c>
      <c r="Z442" t="s">
        <v>3132</v>
      </c>
      <c r="AA442" t="s">
        <v>1419</v>
      </c>
      <c r="AB442" t="s">
        <v>3796</v>
      </c>
      <c r="AC442">
        <v>98994440784</v>
      </c>
    </row>
    <row r="443" spans="1:29" x14ac:dyDescent="0.3">
      <c r="A443" t="s">
        <v>1405</v>
      </c>
      <c r="B443" t="s">
        <v>2302</v>
      </c>
      <c r="C443" t="s">
        <v>3797</v>
      </c>
      <c r="D443">
        <v>6903963413</v>
      </c>
      <c r="E443" s="3">
        <v>2568371</v>
      </c>
      <c r="F443">
        <v>1004016003</v>
      </c>
      <c r="G443" s="1">
        <v>45575</v>
      </c>
      <c r="H443" t="s">
        <v>1360</v>
      </c>
      <c r="I443" t="s">
        <v>1349</v>
      </c>
      <c r="J443" t="s">
        <v>2348</v>
      </c>
      <c r="K443" t="s">
        <v>2308</v>
      </c>
      <c r="L443" t="s">
        <v>2305</v>
      </c>
      <c r="M443" t="s">
        <v>1409</v>
      </c>
      <c r="N443" t="s">
        <v>1410</v>
      </c>
      <c r="O443" t="s">
        <v>1411</v>
      </c>
      <c r="P443" t="s">
        <v>1411</v>
      </c>
      <c r="Q443" t="s">
        <v>1412</v>
      </c>
      <c r="S443" s="1">
        <v>45764</v>
      </c>
      <c r="V443" s="1">
        <v>45761</v>
      </c>
      <c r="W443" s="1">
        <v>35984</v>
      </c>
      <c r="X443" t="s">
        <v>2645</v>
      </c>
      <c r="Z443" t="s">
        <v>3798</v>
      </c>
      <c r="AA443" t="s">
        <v>1419</v>
      </c>
      <c r="AB443" t="s">
        <v>3799</v>
      </c>
      <c r="AC443">
        <v>84998672107</v>
      </c>
    </row>
    <row r="444" spans="1:29" x14ac:dyDescent="0.3">
      <c r="A444" t="s">
        <v>1405</v>
      </c>
      <c r="B444" t="s">
        <v>2302</v>
      </c>
      <c r="C444" t="s">
        <v>3800</v>
      </c>
      <c r="D444">
        <v>1803769262</v>
      </c>
      <c r="E444" t="s">
        <v>3801</v>
      </c>
      <c r="F444">
        <v>1004009342</v>
      </c>
      <c r="G444" s="1">
        <v>44618</v>
      </c>
      <c r="H444" t="s">
        <v>1360</v>
      </c>
      <c r="I444" t="s">
        <v>1349</v>
      </c>
      <c r="J444" t="s">
        <v>1361</v>
      </c>
      <c r="K444" t="s">
        <v>2308</v>
      </c>
      <c r="L444" t="s">
        <v>2305</v>
      </c>
      <c r="M444" t="s">
        <v>1409</v>
      </c>
      <c r="N444" t="s">
        <v>1410</v>
      </c>
      <c r="O444" t="s">
        <v>1411</v>
      </c>
      <c r="P444" t="s">
        <v>1411</v>
      </c>
      <c r="Q444" t="s">
        <v>1412</v>
      </c>
      <c r="S444" s="1">
        <v>45995</v>
      </c>
      <c r="V444" s="1">
        <v>45993</v>
      </c>
      <c r="W444" s="1">
        <v>34430</v>
      </c>
      <c r="X444" t="s">
        <v>1896</v>
      </c>
      <c r="Y444" t="s">
        <v>2996</v>
      </c>
      <c r="Z444" t="s">
        <v>2997</v>
      </c>
      <c r="AA444" t="s">
        <v>1419</v>
      </c>
      <c r="AB444" t="s">
        <v>3802</v>
      </c>
      <c r="AC444">
        <v>92993470131</v>
      </c>
    </row>
    <row r="445" spans="1:29" x14ac:dyDescent="0.3">
      <c r="A445" t="s">
        <v>1405</v>
      </c>
      <c r="B445" t="s">
        <v>2302</v>
      </c>
      <c r="C445" t="s">
        <v>3803</v>
      </c>
      <c r="D445">
        <v>682108090</v>
      </c>
      <c r="E445">
        <v>2088396169</v>
      </c>
      <c r="F445">
        <v>1004015360</v>
      </c>
      <c r="G445" s="1">
        <v>45509</v>
      </c>
      <c r="H445" t="s">
        <v>1360</v>
      </c>
      <c r="I445" t="s">
        <v>1349</v>
      </c>
      <c r="J445" t="s">
        <v>1361</v>
      </c>
      <c r="K445" t="s">
        <v>2308</v>
      </c>
      <c r="L445" t="s">
        <v>2305</v>
      </c>
      <c r="M445" t="s">
        <v>1409</v>
      </c>
      <c r="N445" t="s">
        <v>1410</v>
      </c>
      <c r="O445" t="s">
        <v>1411</v>
      </c>
      <c r="P445" t="s">
        <v>1423</v>
      </c>
      <c r="Q445" t="s">
        <v>1412</v>
      </c>
      <c r="S445" s="1">
        <v>46119</v>
      </c>
      <c r="V445" s="1">
        <v>46113</v>
      </c>
      <c r="W445" s="1">
        <v>30114</v>
      </c>
      <c r="X445" t="s">
        <v>3804</v>
      </c>
      <c r="Z445" t="s">
        <v>3805</v>
      </c>
      <c r="AA445" t="s">
        <v>1419</v>
      </c>
      <c r="AB445" t="s">
        <v>3806</v>
      </c>
      <c r="AC445">
        <v>55996022239</v>
      </c>
    </row>
    <row r="446" spans="1:29" x14ac:dyDescent="0.3">
      <c r="A446" t="s">
        <v>1405</v>
      </c>
      <c r="B446" t="s">
        <v>2302</v>
      </c>
      <c r="C446" t="s">
        <v>3807</v>
      </c>
      <c r="D446">
        <v>5012907450</v>
      </c>
      <c r="E446">
        <v>6814018</v>
      </c>
      <c r="F446">
        <v>1004001024</v>
      </c>
      <c r="G446" s="1">
        <v>42998</v>
      </c>
      <c r="H446" t="s">
        <v>1360</v>
      </c>
      <c r="I446" t="s">
        <v>1374</v>
      </c>
      <c r="J446" t="s">
        <v>2308</v>
      </c>
      <c r="K446" t="s">
        <v>2313</v>
      </c>
      <c r="L446" t="s">
        <v>2305</v>
      </c>
      <c r="M446" t="s">
        <v>1409</v>
      </c>
      <c r="N446" t="s">
        <v>1410</v>
      </c>
      <c r="O446" t="s">
        <v>1423</v>
      </c>
      <c r="P446" t="s">
        <v>1423</v>
      </c>
      <c r="Q446" t="s">
        <v>1412</v>
      </c>
      <c r="S446" s="1">
        <v>46043</v>
      </c>
      <c r="W446" s="1">
        <v>30752</v>
      </c>
      <c r="X446" t="s">
        <v>1510</v>
      </c>
      <c r="Y446" t="s">
        <v>2336</v>
      </c>
      <c r="Z446" t="s">
        <v>2869</v>
      </c>
      <c r="AA446" t="s">
        <v>1419</v>
      </c>
      <c r="AB446" t="s">
        <v>3808</v>
      </c>
      <c r="AC446">
        <v>81992973672</v>
      </c>
    </row>
    <row r="447" spans="1:29" x14ac:dyDescent="0.3">
      <c r="A447" t="s">
        <v>1405</v>
      </c>
      <c r="B447" t="s">
        <v>2302</v>
      </c>
      <c r="C447" t="s">
        <v>3809</v>
      </c>
      <c r="D447">
        <v>63881306234</v>
      </c>
      <c r="E447">
        <v>4084982</v>
      </c>
      <c r="F447">
        <v>1004010868</v>
      </c>
      <c r="G447" s="1">
        <v>44838</v>
      </c>
      <c r="H447" t="s">
        <v>1360</v>
      </c>
      <c r="I447" t="s">
        <v>1374</v>
      </c>
      <c r="J447" t="s">
        <v>1361</v>
      </c>
      <c r="K447" t="s">
        <v>2308</v>
      </c>
      <c r="L447" t="s">
        <v>2305</v>
      </c>
      <c r="M447" t="s">
        <v>1409</v>
      </c>
      <c r="N447" t="s">
        <v>1410</v>
      </c>
      <c r="O447" t="s">
        <v>1411</v>
      </c>
      <c r="P447" t="s">
        <v>1411</v>
      </c>
      <c r="Q447" t="s">
        <v>1412</v>
      </c>
      <c r="S447" s="1">
        <v>46043</v>
      </c>
      <c r="W447" s="1">
        <v>28522</v>
      </c>
      <c r="X447" t="s">
        <v>3009</v>
      </c>
      <c r="Y447" t="s">
        <v>3010</v>
      </c>
      <c r="Z447" t="s">
        <v>3325</v>
      </c>
      <c r="AA447" t="s">
        <v>1419</v>
      </c>
      <c r="AB447" t="s">
        <v>3810</v>
      </c>
      <c r="AC447">
        <v>61992869519</v>
      </c>
    </row>
    <row r="448" spans="1:29" x14ac:dyDescent="0.3">
      <c r="A448" t="s">
        <v>1405</v>
      </c>
      <c r="B448" t="s">
        <v>2302</v>
      </c>
      <c r="C448" t="s">
        <v>3811</v>
      </c>
      <c r="D448">
        <v>13678569730</v>
      </c>
      <c r="E448">
        <v>242030492</v>
      </c>
      <c r="F448">
        <v>1004011709</v>
      </c>
      <c r="G448" s="1">
        <v>45013</v>
      </c>
      <c r="H448" t="s">
        <v>1360</v>
      </c>
      <c r="I448" t="s">
        <v>1374</v>
      </c>
      <c r="J448" t="s">
        <v>1361</v>
      </c>
      <c r="K448" t="s">
        <v>2308</v>
      </c>
      <c r="L448" t="s">
        <v>2305</v>
      </c>
      <c r="M448" t="s">
        <v>1409</v>
      </c>
      <c r="N448" t="s">
        <v>1410</v>
      </c>
      <c r="O448" t="s">
        <v>1423</v>
      </c>
      <c r="P448" t="s">
        <v>1423</v>
      </c>
      <c r="Q448" t="s">
        <v>1412</v>
      </c>
      <c r="S448" s="1">
        <v>46043</v>
      </c>
      <c r="W448" s="1">
        <v>33428</v>
      </c>
      <c r="X448" t="s">
        <v>3812</v>
      </c>
      <c r="Y448" t="s">
        <v>3813</v>
      </c>
      <c r="Z448" t="s">
        <v>3225</v>
      </c>
      <c r="AA448" t="s">
        <v>1419</v>
      </c>
      <c r="AB448" t="s">
        <v>3814</v>
      </c>
      <c r="AC448">
        <v>22988366773</v>
      </c>
    </row>
    <row r="449" spans="1:29" x14ac:dyDescent="0.3">
      <c r="A449" t="s">
        <v>1405</v>
      </c>
      <c r="B449" t="s">
        <v>2302</v>
      </c>
      <c r="C449" t="s">
        <v>3815</v>
      </c>
      <c r="D449">
        <v>8908242660</v>
      </c>
      <c r="E449" t="s">
        <v>3816</v>
      </c>
      <c r="F449">
        <v>1004010883</v>
      </c>
      <c r="G449" s="1">
        <v>44840</v>
      </c>
      <c r="H449" t="s">
        <v>1360</v>
      </c>
      <c r="I449" t="s">
        <v>1349</v>
      </c>
      <c r="J449">
        <v>3</v>
      </c>
      <c r="K449" t="s">
        <v>2444</v>
      </c>
      <c r="L449" t="s">
        <v>2305</v>
      </c>
      <c r="M449" t="s">
        <v>1447</v>
      </c>
      <c r="N449" t="s">
        <v>1448</v>
      </c>
      <c r="O449" t="s">
        <v>1462</v>
      </c>
      <c r="P449" t="s">
        <v>1462</v>
      </c>
      <c r="Q449" t="s">
        <v>1412</v>
      </c>
      <c r="S449" s="1">
        <v>46085</v>
      </c>
      <c r="T449" s="1">
        <v>45897</v>
      </c>
      <c r="U449" s="1">
        <v>46016</v>
      </c>
      <c r="V449" s="1">
        <v>46083</v>
      </c>
      <c r="W449" s="1">
        <v>32013</v>
      </c>
      <c r="X449" t="s">
        <v>1503</v>
      </c>
      <c r="Z449" t="s">
        <v>3363</v>
      </c>
      <c r="AA449" t="s">
        <v>1419</v>
      </c>
      <c r="AB449" t="s">
        <v>103</v>
      </c>
      <c r="AC449">
        <v>31987848509</v>
      </c>
    </row>
    <row r="450" spans="1:29" x14ac:dyDescent="0.3">
      <c r="A450" t="s">
        <v>1405</v>
      </c>
      <c r="B450" t="s">
        <v>2302</v>
      </c>
      <c r="C450" t="s">
        <v>3817</v>
      </c>
      <c r="D450">
        <v>2295916712</v>
      </c>
      <c r="E450" t="s">
        <v>3818</v>
      </c>
      <c r="F450">
        <v>1004015446</v>
      </c>
      <c r="G450" s="1">
        <v>45517</v>
      </c>
      <c r="H450" t="s">
        <v>1360</v>
      </c>
      <c r="I450" t="s">
        <v>1374</v>
      </c>
      <c r="J450" t="s">
        <v>1361</v>
      </c>
      <c r="K450" t="s">
        <v>2308</v>
      </c>
      <c r="L450" t="s">
        <v>2305</v>
      </c>
      <c r="M450" t="s">
        <v>1409</v>
      </c>
      <c r="N450" t="s">
        <v>1410</v>
      </c>
      <c r="O450" t="s">
        <v>1411</v>
      </c>
      <c r="P450" t="s">
        <v>1411</v>
      </c>
      <c r="Q450" t="s">
        <v>1412</v>
      </c>
      <c r="S450" s="1">
        <v>46043</v>
      </c>
      <c r="W450" s="1">
        <v>26618</v>
      </c>
      <c r="X450" t="s">
        <v>1721</v>
      </c>
      <c r="Z450" t="s">
        <v>3225</v>
      </c>
      <c r="AA450" t="s">
        <v>1419</v>
      </c>
      <c r="AB450" t="s">
        <v>3819</v>
      </c>
      <c r="AC450">
        <v>21964213261</v>
      </c>
    </row>
    <row r="451" spans="1:29" x14ac:dyDescent="0.3">
      <c r="A451" t="s">
        <v>1405</v>
      </c>
      <c r="B451" t="s">
        <v>2302</v>
      </c>
      <c r="C451" t="s">
        <v>3820</v>
      </c>
      <c r="D451">
        <v>23088362291</v>
      </c>
      <c r="E451" t="s">
        <v>3821</v>
      </c>
      <c r="F451">
        <v>42004200393</v>
      </c>
      <c r="G451" s="1">
        <v>41487</v>
      </c>
      <c r="H451" t="s">
        <v>1360</v>
      </c>
      <c r="I451" t="s">
        <v>2604</v>
      </c>
      <c r="J451" t="s">
        <v>2308</v>
      </c>
      <c r="K451" t="s">
        <v>2313</v>
      </c>
      <c r="L451" t="s">
        <v>2305</v>
      </c>
      <c r="M451" t="s">
        <v>1409</v>
      </c>
      <c r="N451" t="s">
        <v>1410</v>
      </c>
      <c r="O451" t="s">
        <v>1423</v>
      </c>
      <c r="P451" t="s">
        <v>1423</v>
      </c>
      <c r="Q451" t="s">
        <v>1412</v>
      </c>
      <c r="S451" s="1">
        <v>45972</v>
      </c>
      <c r="T451" s="1">
        <v>44998</v>
      </c>
      <c r="W451" s="1">
        <v>24098</v>
      </c>
      <c r="X451" t="s">
        <v>1825</v>
      </c>
      <c r="Y451" t="s">
        <v>1920</v>
      </c>
      <c r="Z451" t="s">
        <v>2800</v>
      </c>
      <c r="AA451" t="s">
        <v>1419</v>
      </c>
      <c r="AB451" t="s">
        <v>3822</v>
      </c>
    </row>
    <row r="452" spans="1:29" x14ac:dyDescent="0.3">
      <c r="A452" t="s">
        <v>1405</v>
      </c>
      <c r="B452" t="s">
        <v>2302</v>
      </c>
      <c r="C452" t="s">
        <v>3823</v>
      </c>
      <c r="D452">
        <v>388227680</v>
      </c>
      <c r="E452" t="s">
        <v>3824</v>
      </c>
      <c r="F452">
        <v>1004002802</v>
      </c>
      <c r="G452" s="1">
        <v>43399</v>
      </c>
      <c r="H452" t="s">
        <v>1360</v>
      </c>
      <c r="I452" t="s">
        <v>1349</v>
      </c>
      <c r="J452" t="s">
        <v>2308</v>
      </c>
      <c r="K452" t="s">
        <v>2313</v>
      </c>
      <c r="L452" t="s">
        <v>2305</v>
      </c>
      <c r="M452" t="s">
        <v>1447</v>
      </c>
      <c r="N452" t="s">
        <v>1448</v>
      </c>
      <c r="O452" t="s">
        <v>1411</v>
      </c>
      <c r="P452" t="s">
        <v>1411</v>
      </c>
      <c r="Q452" t="s">
        <v>1412</v>
      </c>
      <c r="S452" s="1">
        <v>45737</v>
      </c>
      <c r="V452" s="1">
        <v>45735</v>
      </c>
      <c r="W452" s="1">
        <v>26963</v>
      </c>
      <c r="X452" t="s">
        <v>1503</v>
      </c>
      <c r="Z452" t="s">
        <v>3363</v>
      </c>
      <c r="AA452" t="s">
        <v>1419</v>
      </c>
      <c r="AB452" t="s">
        <v>3825</v>
      </c>
      <c r="AC452">
        <v>3134868099</v>
      </c>
    </row>
    <row r="453" spans="1:29" x14ac:dyDescent="0.3">
      <c r="A453" t="s">
        <v>1405</v>
      </c>
      <c r="B453" t="s">
        <v>2302</v>
      </c>
      <c r="C453" t="s">
        <v>3826</v>
      </c>
      <c r="D453">
        <v>73017833100</v>
      </c>
      <c r="E453">
        <v>12006351</v>
      </c>
      <c r="F453">
        <v>1004011814</v>
      </c>
      <c r="G453" s="1">
        <v>45034</v>
      </c>
      <c r="H453" t="s">
        <v>1360</v>
      </c>
      <c r="I453" t="s">
        <v>1349</v>
      </c>
      <c r="J453" t="s">
        <v>2348</v>
      </c>
      <c r="K453" t="s">
        <v>2308</v>
      </c>
      <c r="L453" t="s">
        <v>2305</v>
      </c>
      <c r="M453" t="s">
        <v>1409</v>
      </c>
      <c r="N453" t="s">
        <v>1410</v>
      </c>
      <c r="O453" t="s">
        <v>1462</v>
      </c>
      <c r="P453" t="s">
        <v>1462</v>
      </c>
      <c r="Q453" t="s">
        <v>1412</v>
      </c>
      <c r="S453" s="1">
        <v>46119</v>
      </c>
      <c r="V453" s="1">
        <v>46113</v>
      </c>
      <c r="W453" s="1">
        <v>30617</v>
      </c>
      <c r="X453" t="s">
        <v>1858</v>
      </c>
      <c r="Y453" t="s">
        <v>1762</v>
      </c>
      <c r="Z453" t="s">
        <v>3088</v>
      </c>
      <c r="AA453" t="s">
        <v>1419</v>
      </c>
      <c r="AB453" t="s">
        <v>3827</v>
      </c>
      <c r="AC453">
        <v>65992423483</v>
      </c>
    </row>
    <row r="454" spans="1:29" x14ac:dyDescent="0.3">
      <c r="A454" t="s">
        <v>1405</v>
      </c>
      <c r="B454" t="s">
        <v>2302</v>
      </c>
      <c r="C454" t="s">
        <v>3828</v>
      </c>
      <c r="D454">
        <v>1234370166</v>
      </c>
      <c r="E454">
        <v>6555024</v>
      </c>
      <c r="F454">
        <v>1004011908</v>
      </c>
      <c r="G454" s="1">
        <v>45041</v>
      </c>
      <c r="H454" t="s">
        <v>1360</v>
      </c>
      <c r="I454" t="s">
        <v>1349</v>
      </c>
      <c r="J454" t="s">
        <v>2348</v>
      </c>
      <c r="K454" t="s">
        <v>2308</v>
      </c>
      <c r="L454" t="s">
        <v>2305</v>
      </c>
      <c r="M454" t="s">
        <v>1421</v>
      </c>
      <c r="N454" t="s">
        <v>1422</v>
      </c>
      <c r="O454" t="s">
        <v>1423</v>
      </c>
      <c r="P454" t="s">
        <v>1423</v>
      </c>
      <c r="Q454" t="s">
        <v>1412</v>
      </c>
      <c r="S454" s="1">
        <v>45855</v>
      </c>
      <c r="V454" s="1">
        <v>45854</v>
      </c>
      <c r="W454" s="1">
        <v>35741</v>
      </c>
      <c r="X454" t="s">
        <v>1521</v>
      </c>
      <c r="Z454" t="s">
        <v>3578</v>
      </c>
      <c r="AA454" t="s">
        <v>1419</v>
      </c>
      <c r="AB454" t="s">
        <v>3829</v>
      </c>
      <c r="AC454">
        <v>61981500324</v>
      </c>
    </row>
    <row r="455" spans="1:29" x14ac:dyDescent="0.3">
      <c r="A455" t="s">
        <v>1405</v>
      </c>
      <c r="B455" t="s">
        <v>2302</v>
      </c>
      <c r="C455" t="s">
        <v>3830</v>
      </c>
      <c r="D455">
        <v>2699657182</v>
      </c>
      <c r="E455">
        <v>22218831</v>
      </c>
      <c r="F455">
        <v>1004012625</v>
      </c>
      <c r="G455" s="1">
        <v>45155</v>
      </c>
      <c r="H455" t="s">
        <v>1360</v>
      </c>
      <c r="I455" t="s">
        <v>1349</v>
      </c>
      <c r="J455" t="s">
        <v>1361</v>
      </c>
      <c r="K455" t="s">
        <v>2308</v>
      </c>
      <c r="L455" t="s">
        <v>2305</v>
      </c>
      <c r="M455" t="s">
        <v>1447</v>
      </c>
      <c r="N455" t="s">
        <v>1448</v>
      </c>
      <c r="O455" t="s">
        <v>1462</v>
      </c>
      <c r="P455" t="s">
        <v>1462</v>
      </c>
      <c r="Q455" t="s">
        <v>1412</v>
      </c>
      <c r="S455" s="1">
        <v>45919</v>
      </c>
      <c r="V455" s="1">
        <v>45915</v>
      </c>
      <c r="W455" s="1">
        <v>34036</v>
      </c>
      <c r="X455" t="s">
        <v>1858</v>
      </c>
      <c r="Z455" t="s">
        <v>2974</v>
      </c>
      <c r="AA455" t="s">
        <v>1419</v>
      </c>
      <c r="AB455" t="s">
        <v>3831</v>
      </c>
      <c r="AC455">
        <v>65992336844</v>
      </c>
    </row>
    <row r="456" spans="1:29" x14ac:dyDescent="0.3">
      <c r="A456" t="s">
        <v>1405</v>
      </c>
      <c r="B456" t="s">
        <v>2302</v>
      </c>
      <c r="C456" t="s">
        <v>3832</v>
      </c>
      <c r="D456">
        <v>3789428914</v>
      </c>
      <c r="E456">
        <v>46197559</v>
      </c>
      <c r="F456">
        <v>1004011452</v>
      </c>
      <c r="G456" s="1">
        <v>44986</v>
      </c>
      <c r="H456" t="s">
        <v>1360</v>
      </c>
      <c r="I456" t="s">
        <v>1374</v>
      </c>
      <c r="J456" t="s">
        <v>1361</v>
      </c>
      <c r="K456" t="s">
        <v>2308</v>
      </c>
      <c r="L456" t="s">
        <v>2305</v>
      </c>
      <c r="M456" t="s">
        <v>1409</v>
      </c>
      <c r="N456" t="s">
        <v>1410</v>
      </c>
      <c r="O456" t="s">
        <v>1423</v>
      </c>
      <c r="P456" t="s">
        <v>1423</v>
      </c>
      <c r="Q456" t="s">
        <v>1412</v>
      </c>
      <c r="S456" s="1">
        <v>46043</v>
      </c>
      <c r="W456" s="1">
        <v>29863</v>
      </c>
      <c r="X456" t="s">
        <v>1586</v>
      </c>
      <c r="Y456" t="s">
        <v>1752</v>
      </c>
      <c r="Z456" t="s">
        <v>3085</v>
      </c>
      <c r="AA456" t="s">
        <v>1419</v>
      </c>
      <c r="AB456" t="s">
        <v>3833</v>
      </c>
      <c r="AC456">
        <v>48991327424</v>
      </c>
    </row>
    <row r="457" spans="1:29" x14ac:dyDescent="0.3">
      <c r="A457" t="s">
        <v>1405</v>
      </c>
      <c r="B457" t="s">
        <v>2302</v>
      </c>
      <c r="C457" t="s">
        <v>3834</v>
      </c>
      <c r="D457">
        <v>99539470153</v>
      </c>
      <c r="E457" t="s">
        <v>3835</v>
      </c>
      <c r="F457">
        <v>1004015950</v>
      </c>
      <c r="G457" s="1">
        <v>45567</v>
      </c>
      <c r="H457" t="s">
        <v>1360</v>
      </c>
      <c r="I457" t="s">
        <v>1374</v>
      </c>
      <c r="J457" t="s">
        <v>1361</v>
      </c>
      <c r="K457" t="s">
        <v>2308</v>
      </c>
      <c r="L457" t="s">
        <v>2305</v>
      </c>
      <c r="M457" t="s">
        <v>1409</v>
      </c>
      <c r="N457" t="s">
        <v>1410</v>
      </c>
      <c r="O457" t="s">
        <v>1423</v>
      </c>
      <c r="P457" t="s">
        <v>1423</v>
      </c>
      <c r="Q457" t="s">
        <v>1412</v>
      </c>
      <c r="S457" s="1">
        <v>46043</v>
      </c>
      <c r="W457" s="1">
        <v>30794</v>
      </c>
      <c r="X457" t="s">
        <v>1858</v>
      </c>
      <c r="Y457" t="s">
        <v>1762</v>
      </c>
      <c r="Z457" t="s">
        <v>3352</v>
      </c>
      <c r="AA457" t="s">
        <v>1419</v>
      </c>
      <c r="AB457" t="s">
        <v>3836</v>
      </c>
      <c r="AC457">
        <v>65992436778</v>
      </c>
    </row>
    <row r="458" spans="1:29" x14ac:dyDescent="0.3">
      <c r="A458" t="s">
        <v>1405</v>
      </c>
      <c r="B458" t="s">
        <v>2302</v>
      </c>
      <c r="C458" t="s">
        <v>3837</v>
      </c>
      <c r="D458">
        <v>5814558512</v>
      </c>
      <c r="E458">
        <v>1462418511</v>
      </c>
      <c r="F458">
        <v>1004014527</v>
      </c>
      <c r="G458" s="1">
        <v>45384</v>
      </c>
      <c r="H458" t="s">
        <v>1360</v>
      </c>
      <c r="I458" t="s">
        <v>1349</v>
      </c>
      <c r="J458" t="s">
        <v>1361</v>
      </c>
      <c r="K458" t="s">
        <v>2308</v>
      </c>
      <c r="L458" t="s">
        <v>2305</v>
      </c>
      <c r="M458" t="s">
        <v>1409</v>
      </c>
      <c r="N458" t="s">
        <v>1410</v>
      </c>
      <c r="O458" t="s">
        <v>1423</v>
      </c>
      <c r="P458" t="s">
        <v>1423</v>
      </c>
      <c r="Q458" t="s">
        <v>1412</v>
      </c>
      <c r="S458" s="1">
        <v>45740</v>
      </c>
      <c r="V458" s="1">
        <v>45733</v>
      </c>
      <c r="W458" s="1">
        <v>34122</v>
      </c>
      <c r="X458" t="s">
        <v>1510</v>
      </c>
      <c r="Z458" t="s">
        <v>3838</v>
      </c>
      <c r="AA458" t="s">
        <v>1415</v>
      </c>
      <c r="AB458" t="s">
        <v>3839</v>
      </c>
      <c r="AC458">
        <v>73998445481</v>
      </c>
    </row>
    <row r="459" spans="1:29" x14ac:dyDescent="0.3">
      <c r="A459" t="s">
        <v>1405</v>
      </c>
      <c r="B459" t="s">
        <v>2302</v>
      </c>
      <c r="C459" t="s">
        <v>3840</v>
      </c>
      <c r="D459">
        <v>41260060870</v>
      </c>
      <c r="E459">
        <v>532700053</v>
      </c>
      <c r="F459">
        <v>1004012509</v>
      </c>
      <c r="G459" s="1">
        <v>45145</v>
      </c>
      <c r="H459" t="s">
        <v>1360</v>
      </c>
      <c r="I459" t="s">
        <v>1349</v>
      </c>
      <c r="J459" t="s">
        <v>2348</v>
      </c>
      <c r="K459" t="s">
        <v>2308</v>
      </c>
      <c r="L459" t="s">
        <v>2305</v>
      </c>
      <c r="M459" t="s">
        <v>1421</v>
      </c>
      <c r="N459" t="s">
        <v>1422</v>
      </c>
      <c r="O459" t="s">
        <v>1423</v>
      </c>
      <c r="P459" t="s">
        <v>1423</v>
      </c>
      <c r="Q459" t="s">
        <v>1412</v>
      </c>
      <c r="S459" s="1">
        <v>45847</v>
      </c>
      <c r="V459" s="1">
        <v>45848</v>
      </c>
      <c r="W459" s="1">
        <v>36964</v>
      </c>
      <c r="X459" t="s">
        <v>1717</v>
      </c>
      <c r="Z459" t="s">
        <v>2910</v>
      </c>
      <c r="AA459" t="s">
        <v>1415</v>
      </c>
      <c r="AB459" t="s">
        <v>3841</v>
      </c>
      <c r="AC459">
        <v>13981281440</v>
      </c>
    </row>
    <row r="460" spans="1:29" x14ac:dyDescent="0.3">
      <c r="A460" t="s">
        <v>1405</v>
      </c>
      <c r="B460" t="s">
        <v>2302</v>
      </c>
      <c r="C460" t="s">
        <v>3842</v>
      </c>
      <c r="D460">
        <v>98211595249</v>
      </c>
      <c r="E460">
        <v>420185</v>
      </c>
      <c r="F460">
        <v>1004016824</v>
      </c>
      <c r="G460" s="1">
        <v>45705</v>
      </c>
      <c r="H460" t="s">
        <v>1360</v>
      </c>
      <c r="I460" t="s">
        <v>1349</v>
      </c>
      <c r="J460" t="s">
        <v>1361</v>
      </c>
      <c r="K460" t="s">
        <v>2308</v>
      </c>
      <c r="L460" t="s">
        <v>2305</v>
      </c>
      <c r="M460" t="s">
        <v>1409</v>
      </c>
      <c r="N460" t="s">
        <v>1410</v>
      </c>
      <c r="O460" t="s">
        <v>1411</v>
      </c>
      <c r="P460" t="s">
        <v>1411</v>
      </c>
      <c r="Q460" t="s">
        <v>1412</v>
      </c>
      <c r="S460" s="1">
        <v>45912</v>
      </c>
      <c r="V460" s="1">
        <v>45909</v>
      </c>
      <c r="W460" s="1">
        <v>32504</v>
      </c>
      <c r="X460" t="s">
        <v>3843</v>
      </c>
      <c r="Y460" t="s">
        <v>3844</v>
      </c>
      <c r="Z460" t="s">
        <v>2498</v>
      </c>
      <c r="AA460" t="s">
        <v>1415</v>
      </c>
      <c r="AB460" t="s">
        <v>3845</v>
      </c>
      <c r="AC460">
        <v>6899938887</v>
      </c>
    </row>
    <row r="461" spans="1:29" x14ac:dyDescent="0.3">
      <c r="A461" t="s">
        <v>1405</v>
      </c>
      <c r="B461" t="s">
        <v>2302</v>
      </c>
      <c r="C461" t="s">
        <v>3846</v>
      </c>
      <c r="D461">
        <v>8514266624</v>
      </c>
      <c r="E461">
        <v>12440371</v>
      </c>
      <c r="F461">
        <v>1004005727</v>
      </c>
      <c r="G461" s="1">
        <v>43910</v>
      </c>
      <c r="H461" t="s">
        <v>1360</v>
      </c>
      <c r="I461" t="s">
        <v>1374</v>
      </c>
      <c r="J461" t="s">
        <v>2308</v>
      </c>
      <c r="K461" t="s">
        <v>2313</v>
      </c>
      <c r="L461" t="s">
        <v>2305</v>
      </c>
      <c r="M461" t="s">
        <v>1421</v>
      </c>
      <c r="N461" t="s">
        <v>1448</v>
      </c>
      <c r="O461" t="s">
        <v>1423</v>
      </c>
      <c r="P461" t="s">
        <v>1423</v>
      </c>
      <c r="Q461" t="s">
        <v>1412</v>
      </c>
      <c r="S461" s="1">
        <v>46069</v>
      </c>
      <c r="W461" s="1">
        <v>32655</v>
      </c>
      <c r="X461" t="s">
        <v>1986</v>
      </c>
      <c r="Y461" t="s">
        <v>3847</v>
      </c>
      <c r="Z461" t="s">
        <v>3848</v>
      </c>
      <c r="AA461" t="s">
        <v>1415</v>
      </c>
      <c r="AB461" t="s">
        <v>3849</v>
      </c>
      <c r="AC461">
        <v>3432696524</v>
      </c>
    </row>
    <row r="462" spans="1:29" x14ac:dyDescent="0.3">
      <c r="A462" t="s">
        <v>1405</v>
      </c>
      <c r="B462" t="s">
        <v>2302</v>
      </c>
      <c r="C462" t="s">
        <v>3850</v>
      </c>
      <c r="D462">
        <v>64272125249</v>
      </c>
      <c r="E462">
        <v>14890127</v>
      </c>
      <c r="F462">
        <v>1004003168</v>
      </c>
      <c r="G462" s="1">
        <v>43544</v>
      </c>
      <c r="H462" t="s">
        <v>1360</v>
      </c>
      <c r="I462" t="s">
        <v>1374</v>
      </c>
      <c r="J462" t="s">
        <v>2308</v>
      </c>
      <c r="K462" t="s">
        <v>2313</v>
      </c>
      <c r="L462" t="s">
        <v>2305</v>
      </c>
      <c r="M462" t="s">
        <v>1409</v>
      </c>
      <c r="N462" t="s">
        <v>1410</v>
      </c>
      <c r="O462" t="s">
        <v>1411</v>
      </c>
      <c r="P462" t="s">
        <v>1411</v>
      </c>
      <c r="Q462" t="s">
        <v>1593</v>
      </c>
      <c r="R462" t="s">
        <v>2476</v>
      </c>
      <c r="S462" s="1">
        <v>46043</v>
      </c>
      <c r="W462" s="1">
        <v>29326</v>
      </c>
      <c r="X462" t="s">
        <v>1825</v>
      </c>
      <c r="Y462" t="s">
        <v>1920</v>
      </c>
      <c r="Z462" t="s">
        <v>2848</v>
      </c>
      <c r="AA462" t="s">
        <v>1419</v>
      </c>
      <c r="AB462" t="s">
        <v>3851</v>
      </c>
      <c r="AC462">
        <v>95991335424</v>
      </c>
    </row>
    <row r="463" spans="1:29" x14ac:dyDescent="0.3">
      <c r="A463" t="s">
        <v>1405</v>
      </c>
      <c r="B463" t="s">
        <v>2302</v>
      </c>
      <c r="C463" t="s">
        <v>3852</v>
      </c>
      <c r="D463">
        <v>95802851104</v>
      </c>
      <c r="E463">
        <v>3679981</v>
      </c>
      <c r="F463">
        <v>1004012961</v>
      </c>
      <c r="G463" s="1">
        <v>45194</v>
      </c>
      <c r="H463" t="s">
        <v>1360</v>
      </c>
      <c r="I463" t="s">
        <v>1349</v>
      </c>
      <c r="J463">
        <v>3</v>
      </c>
      <c r="K463" t="s">
        <v>2444</v>
      </c>
      <c r="L463" t="s">
        <v>2305</v>
      </c>
      <c r="M463" t="s">
        <v>1421</v>
      </c>
      <c r="N463" t="s">
        <v>1422</v>
      </c>
      <c r="O463" t="s">
        <v>1423</v>
      </c>
      <c r="P463" t="s">
        <v>1423</v>
      </c>
      <c r="Q463" t="s">
        <v>1593</v>
      </c>
      <c r="S463" s="1">
        <v>45818</v>
      </c>
      <c r="V463" s="1">
        <v>45817</v>
      </c>
      <c r="W463" s="1">
        <v>30837</v>
      </c>
      <c r="X463" t="s">
        <v>3853</v>
      </c>
      <c r="Y463" t="s">
        <v>3854</v>
      </c>
      <c r="Z463" t="s">
        <v>3855</v>
      </c>
      <c r="AA463" t="s">
        <v>1415</v>
      </c>
      <c r="AB463" t="s">
        <v>3856</v>
      </c>
      <c r="AC463">
        <v>77998384163</v>
      </c>
    </row>
    <row r="464" spans="1:29" x14ac:dyDescent="0.3">
      <c r="A464" t="s">
        <v>1405</v>
      </c>
      <c r="B464" t="s">
        <v>2302</v>
      </c>
      <c r="C464" t="s">
        <v>3857</v>
      </c>
      <c r="D464">
        <v>1558209077</v>
      </c>
      <c r="E464">
        <v>4100863788</v>
      </c>
      <c r="F464">
        <v>1004009609</v>
      </c>
      <c r="G464" s="1">
        <v>44655</v>
      </c>
      <c r="H464" t="s">
        <v>1360</v>
      </c>
      <c r="I464" t="s">
        <v>1349</v>
      </c>
      <c r="J464" t="s">
        <v>2348</v>
      </c>
      <c r="K464" t="s">
        <v>2308</v>
      </c>
      <c r="L464" t="s">
        <v>2305</v>
      </c>
      <c r="M464" t="s">
        <v>1409</v>
      </c>
      <c r="N464" t="s">
        <v>1422</v>
      </c>
      <c r="O464" t="s">
        <v>1423</v>
      </c>
      <c r="P464" t="s">
        <v>1423</v>
      </c>
      <c r="Q464" t="s">
        <v>1412</v>
      </c>
      <c r="S464" s="1">
        <v>45736</v>
      </c>
      <c r="V464" s="1">
        <v>45729</v>
      </c>
      <c r="W464" s="1">
        <v>33635</v>
      </c>
      <c r="X464" t="s">
        <v>3858</v>
      </c>
      <c r="Z464" t="s">
        <v>3859</v>
      </c>
      <c r="AA464" t="s">
        <v>1415</v>
      </c>
      <c r="AB464" t="s">
        <v>3860</v>
      </c>
      <c r="AC464">
        <v>51993354065</v>
      </c>
    </row>
    <row r="465" spans="1:29" x14ac:dyDescent="0.3">
      <c r="A465" t="s">
        <v>1405</v>
      </c>
      <c r="B465" t="s">
        <v>2302</v>
      </c>
      <c r="C465" t="s">
        <v>3861</v>
      </c>
      <c r="D465">
        <v>5257627957</v>
      </c>
      <c r="E465">
        <v>138355241</v>
      </c>
      <c r="F465">
        <v>1004005891</v>
      </c>
      <c r="G465" s="1">
        <v>43925</v>
      </c>
      <c r="H465" t="s">
        <v>1360</v>
      </c>
      <c r="I465" t="s">
        <v>1374</v>
      </c>
      <c r="J465" t="s">
        <v>2308</v>
      </c>
      <c r="K465" t="s">
        <v>2313</v>
      </c>
      <c r="L465" t="s">
        <v>2305</v>
      </c>
      <c r="M465" t="s">
        <v>1409</v>
      </c>
      <c r="N465" t="s">
        <v>1410</v>
      </c>
      <c r="O465" t="s">
        <v>1423</v>
      </c>
      <c r="P465" t="s">
        <v>1423</v>
      </c>
      <c r="Q465" t="s">
        <v>1593</v>
      </c>
      <c r="R465" t="s">
        <v>2417</v>
      </c>
      <c r="S465" s="1">
        <v>46043</v>
      </c>
      <c r="W465" s="1">
        <v>31581</v>
      </c>
      <c r="X465" t="s">
        <v>1665</v>
      </c>
      <c r="Y465" t="s">
        <v>3862</v>
      </c>
      <c r="Z465" t="s">
        <v>2668</v>
      </c>
      <c r="AA465" t="s">
        <v>1415</v>
      </c>
      <c r="AB465" t="s">
        <v>3863</v>
      </c>
      <c r="AC465">
        <v>49988248160</v>
      </c>
    </row>
    <row r="466" spans="1:29" x14ac:dyDescent="0.3">
      <c r="A466" t="s">
        <v>1405</v>
      </c>
      <c r="B466" t="s">
        <v>2302</v>
      </c>
      <c r="C466" t="s">
        <v>3864</v>
      </c>
      <c r="D466">
        <v>2879369100</v>
      </c>
      <c r="E466">
        <v>1782020</v>
      </c>
      <c r="F466">
        <v>1004017562</v>
      </c>
      <c r="G466" s="1">
        <v>45754</v>
      </c>
      <c r="H466" t="s">
        <v>1360</v>
      </c>
      <c r="I466" t="s">
        <v>1374</v>
      </c>
      <c r="J466" t="s">
        <v>1361</v>
      </c>
      <c r="K466" t="s">
        <v>2308</v>
      </c>
      <c r="L466" t="s">
        <v>2305</v>
      </c>
      <c r="M466" t="s">
        <v>1421</v>
      </c>
      <c r="N466" t="s">
        <v>1422</v>
      </c>
      <c r="O466" t="s">
        <v>1423</v>
      </c>
      <c r="P466" t="s">
        <v>1423</v>
      </c>
      <c r="Q466" t="s">
        <v>1412</v>
      </c>
      <c r="S466" s="1">
        <v>46069</v>
      </c>
      <c r="W466" s="1">
        <v>34325</v>
      </c>
      <c r="X466" t="s">
        <v>2194</v>
      </c>
      <c r="Y466" t="s">
        <v>3865</v>
      </c>
      <c r="Z466" t="s">
        <v>3866</v>
      </c>
      <c r="AA466" t="s">
        <v>1419</v>
      </c>
      <c r="AB466" t="s">
        <v>3867</v>
      </c>
      <c r="AC466">
        <v>6798432353</v>
      </c>
    </row>
    <row r="467" spans="1:29" x14ac:dyDescent="0.3">
      <c r="A467" t="s">
        <v>1405</v>
      </c>
      <c r="B467" t="s">
        <v>2302</v>
      </c>
      <c r="C467" t="s">
        <v>3868</v>
      </c>
      <c r="D467">
        <v>2493109376</v>
      </c>
      <c r="E467">
        <v>228917520029</v>
      </c>
      <c r="F467">
        <v>1004015903</v>
      </c>
      <c r="G467" s="1">
        <v>45567</v>
      </c>
      <c r="H467" t="s">
        <v>1360</v>
      </c>
      <c r="I467" t="s">
        <v>1349</v>
      </c>
      <c r="J467" t="s">
        <v>1361</v>
      </c>
      <c r="K467" t="s">
        <v>2308</v>
      </c>
      <c r="L467" t="s">
        <v>2305</v>
      </c>
      <c r="M467" t="s">
        <v>1409</v>
      </c>
      <c r="N467" t="s">
        <v>1410</v>
      </c>
      <c r="O467" t="s">
        <v>1411</v>
      </c>
      <c r="P467" t="s">
        <v>1411</v>
      </c>
      <c r="Q467" t="s">
        <v>1412</v>
      </c>
      <c r="S467" s="1">
        <v>46044</v>
      </c>
      <c r="V467" s="1">
        <v>46042</v>
      </c>
      <c r="W467" s="1">
        <v>31690</v>
      </c>
      <c r="X467" t="s">
        <v>1510</v>
      </c>
      <c r="Y467" t="s">
        <v>2336</v>
      </c>
      <c r="Z467" t="s">
        <v>2947</v>
      </c>
      <c r="AA467" t="s">
        <v>1419</v>
      </c>
      <c r="AB467" t="s">
        <v>3869</v>
      </c>
      <c r="AC467">
        <v>89981077880</v>
      </c>
    </row>
    <row r="468" spans="1:29" x14ac:dyDescent="0.3">
      <c r="A468" t="s">
        <v>1405</v>
      </c>
      <c r="B468" t="s">
        <v>2302</v>
      </c>
      <c r="C468" t="s">
        <v>3870</v>
      </c>
      <c r="D468">
        <v>1503047229</v>
      </c>
      <c r="E468">
        <v>1047869</v>
      </c>
      <c r="F468">
        <v>1004015378</v>
      </c>
      <c r="G468" s="1">
        <v>45519</v>
      </c>
      <c r="H468" t="s">
        <v>1360</v>
      </c>
      <c r="I468" t="s">
        <v>1349</v>
      </c>
      <c r="J468" t="s">
        <v>1361</v>
      </c>
      <c r="K468" t="s">
        <v>2308</v>
      </c>
      <c r="L468" t="s">
        <v>2305</v>
      </c>
      <c r="M468" t="s">
        <v>1409</v>
      </c>
      <c r="N468" t="s">
        <v>1410</v>
      </c>
      <c r="O468" t="s">
        <v>1411</v>
      </c>
      <c r="P468" t="s">
        <v>1411</v>
      </c>
      <c r="Q468" t="s">
        <v>1412</v>
      </c>
      <c r="S468" s="1">
        <v>45946</v>
      </c>
      <c r="V468" s="1">
        <v>45945</v>
      </c>
      <c r="W468" s="1">
        <v>33729</v>
      </c>
      <c r="X468" t="s">
        <v>3871</v>
      </c>
      <c r="Z468" t="s">
        <v>3872</v>
      </c>
      <c r="AA468" t="s">
        <v>1415</v>
      </c>
      <c r="AB468" t="s">
        <v>3873</v>
      </c>
      <c r="AC468">
        <v>69981594964</v>
      </c>
    </row>
    <row r="469" spans="1:29" x14ac:dyDescent="0.3">
      <c r="A469" t="s">
        <v>1405</v>
      </c>
      <c r="B469" t="s">
        <v>2302</v>
      </c>
      <c r="C469" t="s">
        <v>3874</v>
      </c>
      <c r="D469">
        <v>1244149233</v>
      </c>
      <c r="E469">
        <v>6356037</v>
      </c>
      <c r="F469">
        <v>1004008772</v>
      </c>
      <c r="G469" s="1">
        <v>44473</v>
      </c>
      <c r="H469" t="s">
        <v>1360</v>
      </c>
      <c r="I469" t="s">
        <v>1349</v>
      </c>
      <c r="J469" t="s">
        <v>1361</v>
      </c>
      <c r="K469" t="s">
        <v>2308</v>
      </c>
      <c r="L469" t="s">
        <v>2305</v>
      </c>
      <c r="M469" t="s">
        <v>1409</v>
      </c>
      <c r="N469" t="s">
        <v>1410</v>
      </c>
      <c r="O469" t="s">
        <v>1462</v>
      </c>
      <c r="P469" t="s">
        <v>1462</v>
      </c>
      <c r="Q469" t="s">
        <v>1412</v>
      </c>
      <c r="S469" s="1">
        <v>46057</v>
      </c>
      <c r="V469" s="1">
        <v>46055</v>
      </c>
      <c r="W469" s="1">
        <v>34313</v>
      </c>
      <c r="X469" t="s">
        <v>1492</v>
      </c>
      <c r="Y469" t="s">
        <v>2058</v>
      </c>
      <c r="Z469" t="s">
        <v>3875</v>
      </c>
      <c r="AA469" t="s">
        <v>1415</v>
      </c>
      <c r="AB469" t="s">
        <v>3876</v>
      </c>
      <c r="AC469">
        <v>91984579827</v>
      </c>
    </row>
    <row r="470" spans="1:29" x14ac:dyDescent="0.3">
      <c r="A470" t="s">
        <v>1405</v>
      </c>
      <c r="B470" t="s">
        <v>2302</v>
      </c>
      <c r="C470" t="s">
        <v>3877</v>
      </c>
      <c r="D470">
        <v>2028812966</v>
      </c>
      <c r="E470">
        <v>4608865</v>
      </c>
      <c r="F470">
        <v>1004000990</v>
      </c>
      <c r="G470" s="1">
        <v>42996</v>
      </c>
      <c r="H470" t="s">
        <v>1360</v>
      </c>
      <c r="I470" t="s">
        <v>2317</v>
      </c>
      <c r="J470" t="s">
        <v>2308</v>
      </c>
      <c r="K470" t="s">
        <v>2313</v>
      </c>
      <c r="L470" t="s">
        <v>2305</v>
      </c>
      <c r="M470" t="s">
        <v>1409</v>
      </c>
      <c r="N470" t="s">
        <v>1410</v>
      </c>
      <c r="O470" t="s">
        <v>1423</v>
      </c>
      <c r="P470" t="s">
        <v>1423</v>
      </c>
      <c r="Q470" t="s">
        <v>1412</v>
      </c>
      <c r="S470" s="1">
        <v>43565</v>
      </c>
      <c r="T470" s="1">
        <v>43560</v>
      </c>
      <c r="W470" s="1">
        <v>28085</v>
      </c>
      <c r="X470" t="s">
        <v>3878</v>
      </c>
      <c r="Y470" t="s">
        <v>3879</v>
      </c>
      <c r="Z470" t="s">
        <v>2610</v>
      </c>
      <c r="AA470" t="s">
        <v>1415</v>
      </c>
      <c r="AB470" t="s">
        <v>3880</v>
      </c>
    </row>
    <row r="471" spans="1:29" x14ac:dyDescent="0.3">
      <c r="A471" t="s">
        <v>1405</v>
      </c>
      <c r="B471" t="s">
        <v>2302</v>
      </c>
      <c r="C471" t="s">
        <v>3881</v>
      </c>
      <c r="D471">
        <v>82889880320</v>
      </c>
      <c r="E471">
        <v>136713820002</v>
      </c>
      <c r="F471">
        <v>1004004957</v>
      </c>
      <c r="G471" s="1">
        <v>43755</v>
      </c>
      <c r="H471" t="s">
        <v>1360</v>
      </c>
      <c r="I471" t="s">
        <v>1349</v>
      </c>
      <c r="J471" t="s">
        <v>2308</v>
      </c>
      <c r="K471" t="s">
        <v>2313</v>
      </c>
      <c r="L471" t="s">
        <v>2305</v>
      </c>
      <c r="M471" t="s">
        <v>1421</v>
      </c>
      <c r="N471" t="s">
        <v>1422</v>
      </c>
      <c r="O471" t="s">
        <v>1411</v>
      </c>
      <c r="P471" t="s">
        <v>1423</v>
      </c>
      <c r="Q471" t="s">
        <v>1412</v>
      </c>
      <c r="S471" s="1">
        <v>45874</v>
      </c>
      <c r="V471" s="1">
        <v>45873</v>
      </c>
      <c r="W471" s="1">
        <v>29142</v>
      </c>
      <c r="X471" t="s">
        <v>1472</v>
      </c>
      <c r="Y471" t="s">
        <v>3882</v>
      </c>
      <c r="Z471" t="s">
        <v>3132</v>
      </c>
      <c r="AA471" t="s">
        <v>1415</v>
      </c>
      <c r="AB471" t="s">
        <v>3883</v>
      </c>
      <c r="AC471">
        <v>98987913926</v>
      </c>
    </row>
    <row r="472" spans="1:29" x14ac:dyDescent="0.3">
      <c r="A472" t="s">
        <v>1405</v>
      </c>
      <c r="B472" t="s">
        <v>2302</v>
      </c>
      <c r="C472" t="s">
        <v>3884</v>
      </c>
      <c r="D472">
        <v>1929621329</v>
      </c>
      <c r="E472">
        <v>2007626427</v>
      </c>
      <c r="F472">
        <v>1004014551</v>
      </c>
      <c r="G472" s="1">
        <v>45397</v>
      </c>
      <c r="H472" t="s">
        <v>1360</v>
      </c>
      <c r="I472" t="s">
        <v>1374</v>
      </c>
      <c r="J472" t="s">
        <v>1361</v>
      </c>
      <c r="K472" t="s">
        <v>2308</v>
      </c>
      <c r="L472" t="s">
        <v>2305</v>
      </c>
      <c r="M472" t="s">
        <v>1421</v>
      </c>
      <c r="N472" t="s">
        <v>1448</v>
      </c>
      <c r="O472" t="s">
        <v>1411</v>
      </c>
      <c r="P472" t="s">
        <v>1417</v>
      </c>
      <c r="Q472" t="s">
        <v>1412</v>
      </c>
      <c r="S472" s="1">
        <v>46043</v>
      </c>
      <c r="W472" s="1">
        <v>31345</v>
      </c>
      <c r="X472" t="s">
        <v>3885</v>
      </c>
      <c r="Y472" t="s">
        <v>2392</v>
      </c>
      <c r="Z472" t="s">
        <v>2393</v>
      </c>
      <c r="AA472" t="s">
        <v>1419</v>
      </c>
      <c r="AB472" t="s">
        <v>3886</v>
      </c>
      <c r="AC472">
        <v>88999223386</v>
      </c>
    </row>
    <row r="473" spans="1:29" x14ac:dyDescent="0.3">
      <c r="A473" t="s">
        <v>1405</v>
      </c>
      <c r="B473" t="s">
        <v>2302</v>
      </c>
      <c r="C473" t="s">
        <v>3887</v>
      </c>
      <c r="D473">
        <v>2770470213</v>
      </c>
      <c r="E473">
        <v>5334641</v>
      </c>
      <c r="F473">
        <v>1004013460</v>
      </c>
      <c r="G473" s="1">
        <v>45237</v>
      </c>
      <c r="H473" t="s">
        <v>1360</v>
      </c>
      <c r="I473" t="s">
        <v>1374</v>
      </c>
      <c r="J473" t="s">
        <v>2348</v>
      </c>
      <c r="K473" t="s">
        <v>2308</v>
      </c>
      <c r="L473" t="s">
        <v>2305</v>
      </c>
      <c r="M473" t="s">
        <v>1421</v>
      </c>
      <c r="N473" t="s">
        <v>1422</v>
      </c>
      <c r="O473" t="s">
        <v>1411</v>
      </c>
      <c r="P473" t="s">
        <v>1411</v>
      </c>
      <c r="Q473" t="s">
        <v>1412</v>
      </c>
      <c r="S473" s="1">
        <v>46043</v>
      </c>
      <c r="W473" s="1">
        <v>35037</v>
      </c>
      <c r="X473" t="s">
        <v>1492</v>
      </c>
      <c r="Z473" t="s">
        <v>2518</v>
      </c>
      <c r="AA473" t="s">
        <v>1415</v>
      </c>
      <c r="AB473" t="s">
        <v>3888</v>
      </c>
      <c r="AC473">
        <v>91985436164</v>
      </c>
    </row>
    <row r="474" spans="1:29" x14ac:dyDescent="0.3">
      <c r="A474" t="s">
        <v>1405</v>
      </c>
      <c r="B474" t="s">
        <v>2302</v>
      </c>
      <c r="C474" t="s">
        <v>3889</v>
      </c>
      <c r="D474">
        <v>86349171268</v>
      </c>
      <c r="E474" t="s">
        <v>3890</v>
      </c>
      <c r="F474">
        <v>1004015126</v>
      </c>
      <c r="G474" s="1">
        <v>45458</v>
      </c>
      <c r="H474" t="s">
        <v>1360</v>
      </c>
      <c r="I474" t="s">
        <v>1374</v>
      </c>
      <c r="J474" t="s">
        <v>1361</v>
      </c>
      <c r="K474" t="s">
        <v>2308</v>
      </c>
      <c r="L474" t="s">
        <v>2305</v>
      </c>
      <c r="M474" t="s">
        <v>1409</v>
      </c>
      <c r="N474" t="s">
        <v>1410</v>
      </c>
      <c r="O474" t="s">
        <v>2027</v>
      </c>
      <c r="P474" t="s">
        <v>2027</v>
      </c>
      <c r="Q474" t="s">
        <v>1412</v>
      </c>
      <c r="S474" s="1">
        <v>46043</v>
      </c>
      <c r="W474" s="1">
        <v>31718</v>
      </c>
      <c r="X474" t="s">
        <v>3891</v>
      </c>
      <c r="Y474" t="s">
        <v>3892</v>
      </c>
      <c r="Z474" t="s">
        <v>3893</v>
      </c>
      <c r="AA474" t="s">
        <v>1419</v>
      </c>
      <c r="AB474" t="s">
        <v>3894</v>
      </c>
      <c r="AC474">
        <v>97984233882</v>
      </c>
    </row>
    <row r="475" spans="1:29" x14ac:dyDescent="0.3">
      <c r="A475" t="s">
        <v>1405</v>
      </c>
      <c r="B475" t="s">
        <v>2302</v>
      </c>
      <c r="C475" t="s">
        <v>3895</v>
      </c>
      <c r="D475">
        <v>5294909359</v>
      </c>
      <c r="E475" t="s">
        <v>3896</v>
      </c>
      <c r="F475">
        <v>1004015605</v>
      </c>
      <c r="G475" s="1">
        <v>45538</v>
      </c>
      <c r="H475" t="s">
        <v>1360</v>
      </c>
      <c r="I475" t="s">
        <v>1374</v>
      </c>
      <c r="J475" t="s">
        <v>1361</v>
      </c>
      <c r="K475" t="s">
        <v>2308</v>
      </c>
      <c r="L475" t="s">
        <v>2305</v>
      </c>
      <c r="M475" t="s">
        <v>1409</v>
      </c>
      <c r="N475" t="s">
        <v>1410</v>
      </c>
      <c r="O475" t="s">
        <v>1411</v>
      </c>
      <c r="P475" t="s">
        <v>1411</v>
      </c>
      <c r="Q475" t="s">
        <v>1412</v>
      </c>
      <c r="S475" s="1">
        <v>46043</v>
      </c>
      <c r="W475" s="1">
        <v>34182</v>
      </c>
      <c r="X475" t="s">
        <v>1773</v>
      </c>
      <c r="Z475" t="s">
        <v>3138</v>
      </c>
      <c r="AA475" t="s">
        <v>1419</v>
      </c>
      <c r="AB475" t="s">
        <v>3897</v>
      </c>
      <c r="AC475">
        <v>88988279440</v>
      </c>
    </row>
    <row r="476" spans="1:29" x14ac:dyDescent="0.3">
      <c r="A476" t="s">
        <v>1405</v>
      </c>
      <c r="B476" t="s">
        <v>2302</v>
      </c>
      <c r="C476" t="s">
        <v>3898</v>
      </c>
      <c r="D476">
        <v>16048847700</v>
      </c>
      <c r="E476">
        <v>265820027</v>
      </c>
      <c r="F476">
        <v>1004016820</v>
      </c>
      <c r="G476" s="1">
        <v>45705</v>
      </c>
      <c r="H476" t="s">
        <v>1360</v>
      </c>
      <c r="I476" t="s">
        <v>1349</v>
      </c>
      <c r="J476" t="s">
        <v>1361</v>
      </c>
      <c r="K476" t="s">
        <v>2308</v>
      </c>
      <c r="L476" t="s">
        <v>2305</v>
      </c>
      <c r="M476" t="s">
        <v>1421</v>
      </c>
      <c r="N476" t="s">
        <v>1422</v>
      </c>
      <c r="O476" t="s">
        <v>1411</v>
      </c>
      <c r="P476" t="s">
        <v>1411</v>
      </c>
      <c r="Q476" t="s">
        <v>1412</v>
      </c>
      <c r="S476" s="1">
        <v>45880</v>
      </c>
      <c r="V476" s="1">
        <v>45875</v>
      </c>
      <c r="W476" s="1">
        <v>35467</v>
      </c>
      <c r="X476" t="s">
        <v>1721</v>
      </c>
      <c r="Z476" t="s">
        <v>3367</v>
      </c>
      <c r="AA476" t="s">
        <v>1419</v>
      </c>
      <c r="AB476" t="s">
        <v>3899</v>
      </c>
      <c r="AC476">
        <v>21983589524</v>
      </c>
    </row>
    <row r="477" spans="1:29" x14ac:dyDescent="0.3">
      <c r="A477" t="s">
        <v>1405</v>
      </c>
      <c r="B477" t="s">
        <v>2302</v>
      </c>
      <c r="C477" t="s">
        <v>3900</v>
      </c>
      <c r="D477">
        <v>83863524349</v>
      </c>
      <c r="E477">
        <v>97002247774</v>
      </c>
      <c r="F477">
        <v>1004004496</v>
      </c>
      <c r="G477" s="1">
        <v>43710</v>
      </c>
      <c r="H477" t="s">
        <v>1360</v>
      </c>
      <c r="I477" t="s">
        <v>1349</v>
      </c>
      <c r="J477" t="s">
        <v>2308</v>
      </c>
      <c r="K477" t="s">
        <v>2313</v>
      </c>
      <c r="L477" t="s">
        <v>2305</v>
      </c>
      <c r="M477" t="s">
        <v>1409</v>
      </c>
      <c r="N477" t="s">
        <v>1410</v>
      </c>
      <c r="O477" t="s">
        <v>1411</v>
      </c>
      <c r="P477" t="s">
        <v>1411</v>
      </c>
      <c r="Q477" t="s">
        <v>1412</v>
      </c>
      <c r="S477" s="1">
        <v>46057</v>
      </c>
      <c r="V477" s="1">
        <v>46055</v>
      </c>
      <c r="W477" s="1">
        <v>29936</v>
      </c>
      <c r="X477" t="s">
        <v>1507</v>
      </c>
      <c r="Y477" t="s">
        <v>2786</v>
      </c>
      <c r="Z477" t="s">
        <v>3479</v>
      </c>
      <c r="AA477" t="s">
        <v>1415</v>
      </c>
      <c r="AB477" t="s">
        <v>3901</v>
      </c>
      <c r="AC477">
        <v>85981859260</v>
      </c>
    </row>
    <row r="478" spans="1:29" x14ac:dyDescent="0.3">
      <c r="A478" t="s">
        <v>1405</v>
      </c>
      <c r="B478" t="s">
        <v>2302</v>
      </c>
      <c r="C478" t="s">
        <v>3902</v>
      </c>
      <c r="D478">
        <v>782992250</v>
      </c>
      <c r="E478">
        <v>6243687</v>
      </c>
      <c r="F478">
        <v>1004009486</v>
      </c>
      <c r="G478" s="1">
        <v>44643</v>
      </c>
      <c r="H478" t="s">
        <v>1360</v>
      </c>
      <c r="I478" t="s">
        <v>1374</v>
      </c>
      <c r="J478" t="s">
        <v>1361</v>
      </c>
      <c r="K478" t="s">
        <v>2308</v>
      </c>
      <c r="L478" t="s">
        <v>2305</v>
      </c>
      <c r="M478" t="s">
        <v>1409</v>
      </c>
      <c r="N478" t="s">
        <v>1410</v>
      </c>
      <c r="O478" t="s">
        <v>1423</v>
      </c>
      <c r="P478" t="s">
        <v>1423</v>
      </c>
      <c r="Q478" t="s">
        <v>1412</v>
      </c>
      <c r="S478" s="1">
        <v>46043</v>
      </c>
      <c r="W478" s="1">
        <v>33544</v>
      </c>
      <c r="X478" t="s">
        <v>1492</v>
      </c>
      <c r="Y478" t="s">
        <v>2058</v>
      </c>
      <c r="Z478" t="s">
        <v>2541</v>
      </c>
      <c r="AA478" t="s">
        <v>1415</v>
      </c>
      <c r="AB478" t="s">
        <v>3903</v>
      </c>
      <c r="AC478">
        <v>91985659350</v>
      </c>
    </row>
    <row r="479" spans="1:29" x14ac:dyDescent="0.3">
      <c r="A479" t="s">
        <v>1405</v>
      </c>
      <c r="B479" t="s">
        <v>2302</v>
      </c>
      <c r="C479" t="s">
        <v>3904</v>
      </c>
      <c r="D479">
        <v>3668737177</v>
      </c>
      <c r="E479">
        <v>5315793</v>
      </c>
      <c r="F479">
        <v>1004012738</v>
      </c>
      <c r="G479" s="1">
        <v>45167</v>
      </c>
      <c r="H479" t="s">
        <v>1360</v>
      </c>
      <c r="I479" t="s">
        <v>1349</v>
      </c>
      <c r="J479" t="s">
        <v>2572</v>
      </c>
      <c r="K479" t="s">
        <v>2573</v>
      </c>
      <c r="L479" t="s">
        <v>2305</v>
      </c>
      <c r="M479" t="s">
        <v>1447</v>
      </c>
      <c r="N479" t="s">
        <v>1448</v>
      </c>
      <c r="O479" t="s">
        <v>1423</v>
      </c>
      <c r="P479" t="s">
        <v>1423</v>
      </c>
      <c r="Q479" t="s">
        <v>1412</v>
      </c>
      <c r="S479" s="1">
        <v>46065</v>
      </c>
      <c r="V479" s="1">
        <v>46062</v>
      </c>
      <c r="W479" s="1">
        <v>34871</v>
      </c>
      <c r="X479" t="s">
        <v>3905</v>
      </c>
      <c r="Y479" t="s">
        <v>3906</v>
      </c>
      <c r="Z479" t="s">
        <v>3907</v>
      </c>
      <c r="AA479" t="s">
        <v>1415</v>
      </c>
      <c r="AB479" t="s">
        <v>3908</v>
      </c>
      <c r="AC479">
        <v>64984562779</v>
      </c>
    </row>
    <row r="480" spans="1:29" x14ac:dyDescent="0.3">
      <c r="A480" t="s">
        <v>1405</v>
      </c>
      <c r="B480" t="s">
        <v>2302</v>
      </c>
      <c r="C480" t="s">
        <v>3909</v>
      </c>
      <c r="D480">
        <v>60430088310</v>
      </c>
      <c r="E480">
        <v>377410720098</v>
      </c>
      <c r="F480">
        <v>1004008803</v>
      </c>
      <c r="G480" s="1">
        <v>44475</v>
      </c>
      <c r="H480" t="s">
        <v>1360</v>
      </c>
      <c r="I480" t="s">
        <v>1374</v>
      </c>
      <c r="J480" t="s">
        <v>1361</v>
      </c>
      <c r="K480" t="s">
        <v>2308</v>
      </c>
      <c r="L480" t="s">
        <v>2305</v>
      </c>
      <c r="M480" t="s">
        <v>1421</v>
      </c>
      <c r="N480" t="s">
        <v>1410</v>
      </c>
      <c r="O480" t="s">
        <v>1411</v>
      </c>
      <c r="P480" t="s">
        <v>1411</v>
      </c>
      <c r="Q480" t="s">
        <v>1412</v>
      </c>
      <c r="S480" s="1">
        <v>46069</v>
      </c>
      <c r="W480" s="1">
        <v>34464</v>
      </c>
      <c r="X480" t="s">
        <v>2597</v>
      </c>
      <c r="Z480" t="s">
        <v>2482</v>
      </c>
      <c r="AA480" t="s">
        <v>1415</v>
      </c>
      <c r="AB480" t="s">
        <v>3910</v>
      </c>
      <c r="AC480">
        <v>98992051812</v>
      </c>
    </row>
    <row r="481" spans="1:29" x14ac:dyDescent="0.3">
      <c r="A481" t="s">
        <v>1405</v>
      </c>
      <c r="B481" t="s">
        <v>2302</v>
      </c>
      <c r="C481" t="s">
        <v>3911</v>
      </c>
      <c r="D481">
        <v>5308342946</v>
      </c>
      <c r="E481">
        <v>4102001</v>
      </c>
      <c r="F481">
        <v>1004004504</v>
      </c>
      <c r="G481" s="1">
        <v>43710</v>
      </c>
      <c r="H481" t="s">
        <v>1360</v>
      </c>
      <c r="I481" t="s">
        <v>1349</v>
      </c>
      <c r="J481" t="s">
        <v>2308</v>
      </c>
      <c r="K481" t="s">
        <v>2313</v>
      </c>
      <c r="L481" t="s">
        <v>2305</v>
      </c>
      <c r="M481" t="s">
        <v>1409</v>
      </c>
      <c r="N481" t="s">
        <v>1410</v>
      </c>
      <c r="O481" t="s">
        <v>1411</v>
      </c>
      <c r="P481" t="s">
        <v>1411</v>
      </c>
      <c r="Q481" t="s">
        <v>1412</v>
      </c>
      <c r="S481" s="1">
        <v>45855</v>
      </c>
      <c r="V481" s="1">
        <v>45854</v>
      </c>
      <c r="W481" s="1">
        <v>31510</v>
      </c>
      <c r="X481" t="s">
        <v>3912</v>
      </c>
      <c r="Y481" t="s">
        <v>3913</v>
      </c>
      <c r="Z481" t="s">
        <v>3742</v>
      </c>
      <c r="AA481" t="s">
        <v>1415</v>
      </c>
      <c r="AB481" t="s">
        <v>3914</v>
      </c>
      <c r="AC481">
        <v>47991317601</v>
      </c>
    </row>
    <row r="482" spans="1:29" x14ac:dyDescent="0.3">
      <c r="A482" t="s">
        <v>1405</v>
      </c>
      <c r="B482" t="s">
        <v>2302</v>
      </c>
      <c r="C482" t="s">
        <v>3915</v>
      </c>
      <c r="D482">
        <v>61977047068</v>
      </c>
      <c r="E482">
        <v>9041209223</v>
      </c>
      <c r="F482">
        <v>1004008480</v>
      </c>
      <c r="G482" s="1">
        <v>44429</v>
      </c>
      <c r="H482" t="s">
        <v>1360</v>
      </c>
      <c r="I482" t="s">
        <v>1374</v>
      </c>
      <c r="J482" t="s">
        <v>1361</v>
      </c>
      <c r="K482" t="s">
        <v>2308</v>
      </c>
      <c r="L482" t="s">
        <v>2305</v>
      </c>
      <c r="M482" t="s">
        <v>1409</v>
      </c>
      <c r="N482" t="s">
        <v>1410</v>
      </c>
      <c r="O482" t="s">
        <v>1423</v>
      </c>
      <c r="P482" t="s">
        <v>1423</v>
      </c>
      <c r="Q482" t="s">
        <v>1412</v>
      </c>
      <c r="S482" s="1">
        <v>46043</v>
      </c>
      <c r="W482" s="1">
        <v>26240</v>
      </c>
      <c r="X482" t="s">
        <v>1485</v>
      </c>
      <c r="Y482" t="s">
        <v>1756</v>
      </c>
      <c r="Z482" t="s">
        <v>2800</v>
      </c>
      <c r="AA482" t="s">
        <v>1419</v>
      </c>
      <c r="AB482" t="s">
        <v>3916</v>
      </c>
      <c r="AC482">
        <v>92993022122</v>
      </c>
    </row>
    <row r="483" spans="1:29" x14ac:dyDescent="0.3">
      <c r="A483" t="s">
        <v>1405</v>
      </c>
      <c r="B483" t="s">
        <v>2302</v>
      </c>
      <c r="C483" t="s">
        <v>3917</v>
      </c>
      <c r="D483">
        <v>3711026184</v>
      </c>
      <c r="E483">
        <v>3030787</v>
      </c>
      <c r="F483">
        <v>1004019495</v>
      </c>
      <c r="G483" s="1">
        <v>45901</v>
      </c>
      <c r="H483" t="s">
        <v>1360</v>
      </c>
      <c r="I483" t="s">
        <v>1349</v>
      </c>
      <c r="J483" t="s">
        <v>2348</v>
      </c>
      <c r="K483" t="s">
        <v>2308</v>
      </c>
      <c r="L483" t="s">
        <v>2305</v>
      </c>
      <c r="M483" t="s">
        <v>1409</v>
      </c>
      <c r="N483" t="s">
        <v>1410</v>
      </c>
      <c r="O483" t="s">
        <v>1411</v>
      </c>
      <c r="P483" t="s">
        <v>1411</v>
      </c>
      <c r="Q483" t="s">
        <v>1412</v>
      </c>
      <c r="S483" s="1">
        <v>46085</v>
      </c>
      <c r="V483" s="1">
        <v>46083</v>
      </c>
      <c r="W483" s="1">
        <v>33914</v>
      </c>
      <c r="X483" t="s">
        <v>1617</v>
      </c>
      <c r="Z483" t="s">
        <v>2837</v>
      </c>
      <c r="AA483" t="s">
        <v>1419</v>
      </c>
      <c r="AB483" t="s">
        <v>3918</v>
      </c>
      <c r="AC483">
        <v>61996217757</v>
      </c>
    </row>
    <row r="484" spans="1:29" x14ac:dyDescent="0.3">
      <c r="A484" t="s">
        <v>1405</v>
      </c>
      <c r="B484" t="s">
        <v>2302</v>
      </c>
      <c r="C484" t="s">
        <v>3919</v>
      </c>
      <c r="D484">
        <v>93399383053</v>
      </c>
      <c r="E484">
        <v>2080399955</v>
      </c>
      <c r="F484">
        <v>1004014442</v>
      </c>
      <c r="G484" s="1">
        <v>45372</v>
      </c>
      <c r="H484" t="s">
        <v>1360</v>
      </c>
      <c r="I484" t="s">
        <v>1349</v>
      </c>
      <c r="J484" t="s">
        <v>1361</v>
      </c>
      <c r="K484" t="s">
        <v>2308</v>
      </c>
      <c r="L484" t="s">
        <v>2305</v>
      </c>
      <c r="M484" t="s">
        <v>1646</v>
      </c>
      <c r="N484" t="s">
        <v>1647</v>
      </c>
      <c r="O484" t="s">
        <v>1423</v>
      </c>
      <c r="P484" t="s">
        <v>1423</v>
      </c>
      <c r="Q484" t="s">
        <v>1412</v>
      </c>
      <c r="S484" s="1">
        <v>45776</v>
      </c>
      <c r="V484" s="1">
        <v>45777</v>
      </c>
      <c r="W484" s="1">
        <v>28934</v>
      </c>
      <c r="X484" t="s">
        <v>3172</v>
      </c>
      <c r="Y484" t="s">
        <v>3173</v>
      </c>
      <c r="Z484" t="s">
        <v>2837</v>
      </c>
      <c r="AA484" t="s">
        <v>1419</v>
      </c>
      <c r="AB484" t="s">
        <v>3920</v>
      </c>
      <c r="AC484">
        <v>51989269256</v>
      </c>
    </row>
    <row r="485" spans="1:29" x14ac:dyDescent="0.3">
      <c r="A485" t="s">
        <v>1405</v>
      </c>
      <c r="B485" t="s">
        <v>2302</v>
      </c>
      <c r="C485" t="s">
        <v>3921</v>
      </c>
      <c r="D485">
        <v>85375586053</v>
      </c>
      <c r="E485">
        <v>5109123471</v>
      </c>
      <c r="F485">
        <v>1004014172</v>
      </c>
      <c r="G485" s="1">
        <v>45369</v>
      </c>
      <c r="H485" t="s">
        <v>1360</v>
      </c>
      <c r="I485" t="s">
        <v>1374</v>
      </c>
      <c r="J485" t="s">
        <v>2348</v>
      </c>
      <c r="K485" t="s">
        <v>2308</v>
      </c>
      <c r="L485" t="s">
        <v>2305</v>
      </c>
      <c r="M485" t="s">
        <v>1421</v>
      </c>
      <c r="N485" t="s">
        <v>1422</v>
      </c>
      <c r="O485" t="s">
        <v>1423</v>
      </c>
      <c r="P485" t="s">
        <v>1423</v>
      </c>
      <c r="Q485" t="s">
        <v>1412</v>
      </c>
      <c r="S485" s="1">
        <v>46043</v>
      </c>
      <c r="W485" s="1">
        <v>34424</v>
      </c>
      <c r="X485" t="s">
        <v>1485</v>
      </c>
      <c r="Z485" t="s">
        <v>2562</v>
      </c>
      <c r="AA485" t="s">
        <v>1419</v>
      </c>
      <c r="AB485" t="s">
        <v>340</v>
      </c>
      <c r="AC485">
        <v>48988335972</v>
      </c>
    </row>
    <row r="486" spans="1:29" x14ac:dyDescent="0.3">
      <c r="A486" t="s">
        <v>1405</v>
      </c>
      <c r="B486" t="s">
        <v>2302</v>
      </c>
      <c r="C486" t="s">
        <v>3922</v>
      </c>
      <c r="D486">
        <v>2169318941</v>
      </c>
      <c r="E486">
        <v>3452731</v>
      </c>
      <c r="F486">
        <v>1004005920</v>
      </c>
      <c r="G486" s="1">
        <v>43928</v>
      </c>
      <c r="H486" t="s">
        <v>1360</v>
      </c>
      <c r="I486" t="s">
        <v>1374</v>
      </c>
      <c r="J486" t="s">
        <v>2308</v>
      </c>
      <c r="K486" t="s">
        <v>2313</v>
      </c>
      <c r="L486" t="s">
        <v>2305</v>
      </c>
      <c r="M486" t="s">
        <v>1409</v>
      </c>
      <c r="N486" t="s">
        <v>1410</v>
      </c>
      <c r="O486" t="s">
        <v>1423</v>
      </c>
      <c r="P486" t="s">
        <v>1423</v>
      </c>
      <c r="Q486" t="s">
        <v>1412</v>
      </c>
      <c r="S486" s="1">
        <v>46043</v>
      </c>
      <c r="W486" s="1">
        <v>28657</v>
      </c>
      <c r="X486" t="s">
        <v>1669</v>
      </c>
      <c r="Y486" t="s">
        <v>3115</v>
      </c>
      <c r="Z486" t="s">
        <v>3923</v>
      </c>
      <c r="AA486" t="s">
        <v>1419</v>
      </c>
      <c r="AB486" t="s">
        <v>3924</v>
      </c>
      <c r="AC486">
        <v>48999421579</v>
      </c>
    </row>
    <row r="487" spans="1:29" x14ac:dyDescent="0.3">
      <c r="A487" t="s">
        <v>1405</v>
      </c>
      <c r="B487" t="s">
        <v>2302</v>
      </c>
      <c r="C487" t="s">
        <v>3925</v>
      </c>
      <c r="D487">
        <v>6631017432</v>
      </c>
      <c r="E487" s="3">
        <v>7544869</v>
      </c>
      <c r="F487">
        <v>1004015615</v>
      </c>
      <c r="G487" s="1">
        <v>45537</v>
      </c>
      <c r="H487" t="s">
        <v>1360</v>
      </c>
      <c r="I487" t="s">
        <v>1374</v>
      </c>
      <c r="J487" t="s">
        <v>1361</v>
      </c>
      <c r="K487" t="s">
        <v>2308</v>
      </c>
      <c r="L487" t="s">
        <v>2305</v>
      </c>
      <c r="M487" t="s">
        <v>1409</v>
      </c>
      <c r="N487" t="s">
        <v>1410</v>
      </c>
      <c r="O487" t="s">
        <v>1423</v>
      </c>
      <c r="P487" t="s">
        <v>1423</v>
      </c>
      <c r="Q487" t="s">
        <v>1412</v>
      </c>
      <c r="S487" s="1">
        <v>46043</v>
      </c>
      <c r="W487" s="1">
        <v>31103</v>
      </c>
      <c r="X487" t="s">
        <v>3926</v>
      </c>
      <c r="Y487" t="s">
        <v>3927</v>
      </c>
      <c r="Z487" t="s">
        <v>3404</v>
      </c>
      <c r="AA487" t="s">
        <v>1419</v>
      </c>
      <c r="AB487" t="s">
        <v>3928</v>
      </c>
      <c r="AC487">
        <v>87981002849</v>
      </c>
    </row>
    <row r="488" spans="1:29" x14ac:dyDescent="0.3">
      <c r="A488" t="s">
        <v>1405</v>
      </c>
      <c r="B488" t="s">
        <v>2302</v>
      </c>
      <c r="C488" t="s">
        <v>3929</v>
      </c>
      <c r="D488">
        <v>81222688972</v>
      </c>
      <c r="E488">
        <v>2259567</v>
      </c>
      <c r="F488">
        <v>1004000100</v>
      </c>
      <c r="G488" s="1">
        <v>42767</v>
      </c>
      <c r="H488" t="s">
        <v>1360</v>
      </c>
      <c r="I488" t="s">
        <v>1374</v>
      </c>
      <c r="J488" t="s">
        <v>2308</v>
      </c>
      <c r="K488" t="s">
        <v>2313</v>
      </c>
      <c r="L488" t="s">
        <v>2305</v>
      </c>
      <c r="M488" t="s">
        <v>1409</v>
      </c>
      <c r="N488" t="s">
        <v>1410</v>
      </c>
      <c r="O488" t="s">
        <v>1423</v>
      </c>
      <c r="P488" t="s">
        <v>1423</v>
      </c>
      <c r="Q488" t="s">
        <v>1412</v>
      </c>
      <c r="S488" s="1">
        <v>46043</v>
      </c>
      <c r="W488" s="1">
        <v>24961</v>
      </c>
      <c r="X488" t="s">
        <v>3930</v>
      </c>
      <c r="Y488" t="s">
        <v>3931</v>
      </c>
      <c r="Z488" t="s">
        <v>2458</v>
      </c>
      <c r="AA488" t="s">
        <v>1419</v>
      </c>
      <c r="AB488" t="s">
        <v>3932</v>
      </c>
      <c r="AC488">
        <v>4733558668</v>
      </c>
    </row>
    <row r="489" spans="1:29" x14ac:dyDescent="0.3">
      <c r="A489" t="s">
        <v>1405</v>
      </c>
      <c r="B489" t="s">
        <v>2302</v>
      </c>
      <c r="C489" t="s">
        <v>3933</v>
      </c>
      <c r="D489">
        <v>58743308015</v>
      </c>
      <c r="E489">
        <v>3073695506</v>
      </c>
      <c r="F489">
        <v>42004100548</v>
      </c>
      <c r="G489" s="1">
        <v>39692</v>
      </c>
      <c r="H489" t="s">
        <v>1360</v>
      </c>
      <c r="I489" t="s">
        <v>2604</v>
      </c>
      <c r="J489" t="s">
        <v>1351</v>
      </c>
      <c r="K489" t="s">
        <v>1353</v>
      </c>
      <c r="L489" t="s">
        <v>2305</v>
      </c>
      <c r="M489" t="s">
        <v>1409</v>
      </c>
      <c r="N489" t="s">
        <v>1410</v>
      </c>
      <c r="O489" t="s">
        <v>1423</v>
      </c>
      <c r="P489" t="s">
        <v>1423</v>
      </c>
      <c r="Q489" t="s">
        <v>1412</v>
      </c>
      <c r="S489" s="1">
        <v>43544</v>
      </c>
      <c r="T489" s="1">
        <v>42892</v>
      </c>
      <c r="W489" s="1">
        <v>21518</v>
      </c>
      <c r="X489" t="s">
        <v>3934</v>
      </c>
      <c r="Z489" t="s">
        <v>2607</v>
      </c>
      <c r="AA489" t="s">
        <v>1419</v>
      </c>
      <c r="AB489" t="s">
        <v>3935</v>
      </c>
      <c r="AC489">
        <v>4881686555</v>
      </c>
    </row>
    <row r="490" spans="1:29" x14ac:dyDescent="0.3">
      <c r="A490" t="s">
        <v>1405</v>
      </c>
      <c r="B490" t="s">
        <v>2302</v>
      </c>
      <c r="C490" t="s">
        <v>3936</v>
      </c>
      <c r="D490">
        <v>61431782327</v>
      </c>
      <c r="E490">
        <v>535992620142</v>
      </c>
      <c r="F490">
        <v>1004015606</v>
      </c>
      <c r="G490" s="1">
        <v>45538</v>
      </c>
      <c r="H490" t="s">
        <v>1360</v>
      </c>
      <c r="I490" t="s">
        <v>1349</v>
      </c>
      <c r="J490" t="s">
        <v>1361</v>
      </c>
      <c r="K490" t="s">
        <v>2308</v>
      </c>
      <c r="L490" t="s">
        <v>2305</v>
      </c>
      <c r="M490" t="s">
        <v>1409</v>
      </c>
      <c r="N490" t="s">
        <v>1410</v>
      </c>
      <c r="O490" t="s">
        <v>1411</v>
      </c>
      <c r="P490" t="s">
        <v>1411</v>
      </c>
      <c r="Q490" t="s">
        <v>1412</v>
      </c>
      <c r="S490" s="1">
        <v>46065</v>
      </c>
      <c r="V490" s="1">
        <v>46062</v>
      </c>
      <c r="W490" s="1">
        <v>35735</v>
      </c>
      <c r="X490" t="s">
        <v>3937</v>
      </c>
      <c r="Y490" t="s">
        <v>3938</v>
      </c>
      <c r="Z490" t="s">
        <v>2482</v>
      </c>
      <c r="AA490" t="s">
        <v>1415</v>
      </c>
      <c r="AB490" t="s">
        <v>3939</v>
      </c>
      <c r="AC490">
        <v>98985159407</v>
      </c>
    </row>
    <row r="491" spans="1:29" x14ac:dyDescent="0.3">
      <c r="A491" t="s">
        <v>1405</v>
      </c>
      <c r="B491" t="s">
        <v>2302</v>
      </c>
      <c r="C491" t="s">
        <v>3940</v>
      </c>
      <c r="D491">
        <v>88580598320</v>
      </c>
      <c r="E491">
        <v>99098068082</v>
      </c>
      <c r="F491">
        <v>1004012938</v>
      </c>
      <c r="G491" s="1">
        <v>45187</v>
      </c>
      <c r="H491" t="s">
        <v>1360</v>
      </c>
      <c r="I491" t="s">
        <v>1374</v>
      </c>
      <c r="J491">
        <v>6</v>
      </c>
      <c r="K491" t="s">
        <v>2444</v>
      </c>
      <c r="L491" t="s">
        <v>2305</v>
      </c>
      <c r="M491" t="s">
        <v>1421</v>
      </c>
      <c r="N491" t="s">
        <v>1448</v>
      </c>
      <c r="O491" t="s">
        <v>1423</v>
      </c>
      <c r="P491" t="s">
        <v>1423</v>
      </c>
      <c r="Q491" t="s">
        <v>1412</v>
      </c>
      <c r="S491" s="1">
        <v>46043</v>
      </c>
      <c r="W491" s="1">
        <v>30160</v>
      </c>
      <c r="X491" t="s">
        <v>3528</v>
      </c>
      <c r="Y491" t="s">
        <v>3529</v>
      </c>
      <c r="Z491" t="s">
        <v>2853</v>
      </c>
      <c r="AA491" t="s">
        <v>1419</v>
      </c>
      <c r="AB491" t="s">
        <v>3941</v>
      </c>
      <c r="AC491">
        <v>88998446793</v>
      </c>
    </row>
    <row r="492" spans="1:29" x14ac:dyDescent="0.3">
      <c r="A492" t="s">
        <v>1405</v>
      </c>
      <c r="B492" t="s">
        <v>2302</v>
      </c>
      <c r="C492" t="s">
        <v>3942</v>
      </c>
      <c r="D492">
        <v>7523405908</v>
      </c>
      <c r="E492">
        <v>54627661</v>
      </c>
      <c r="F492">
        <v>1004007571</v>
      </c>
      <c r="G492" s="1">
        <v>44272</v>
      </c>
      <c r="H492" t="s">
        <v>1360</v>
      </c>
      <c r="I492" t="s">
        <v>1374</v>
      </c>
      <c r="J492" t="s">
        <v>2308</v>
      </c>
      <c r="K492" t="s">
        <v>2313</v>
      </c>
      <c r="L492" t="s">
        <v>2305</v>
      </c>
      <c r="M492" t="s">
        <v>1442</v>
      </c>
      <c r="N492" t="s">
        <v>1443</v>
      </c>
      <c r="O492" t="s">
        <v>1423</v>
      </c>
      <c r="P492" t="s">
        <v>1423</v>
      </c>
      <c r="Q492" t="s">
        <v>1412</v>
      </c>
      <c r="S492" s="1">
        <v>46043</v>
      </c>
      <c r="W492" s="1">
        <v>33697</v>
      </c>
      <c r="X492" t="s">
        <v>3943</v>
      </c>
      <c r="Y492" t="s">
        <v>3944</v>
      </c>
      <c r="Z492" t="s">
        <v>2469</v>
      </c>
      <c r="AA492" t="s">
        <v>1419</v>
      </c>
      <c r="AB492" t="s">
        <v>3945</v>
      </c>
      <c r="AC492">
        <v>49999565512</v>
      </c>
    </row>
    <row r="493" spans="1:29" x14ac:dyDescent="0.3">
      <c r="A493" t="s">
        <v>1405</v>
      </c>
      <c r="B493" t="s">
        <v>2302</v>
      </c>
      <c r="C493" t="s">
        <v>3946</v>
      </c>
      <c r="D493">
        <v>10440371481</v>
      </c>
      <c r="E493">
        <v>3432283</v>
      </c>
      <c r="F493">
        <v>1004002461</v>
      </c>
      <c r="G493" s="1">
        <v>43323</v>
      </c>
      <c r="H493" t="s">
        <v>1360</v>
      </c>
      <c r="I493" t="s">
        <v>1374</v>
      </c>
      <c r="J493" t="s">
        <v>2308</v>
      </c>
      <c r="K493" t="s">
        <v>2313</v>
      </c>
      <c r="L493" t="s">
        <v>2305</v>
      </c>
      <c r="M493" t="s">
        <v>1421</v>
      </c>
      <c r="N493" t="s">
        <v>1410</v>
      </c>
      <c r="O493" t="s">
        <v>1411</v>
      </c>
      <c r="P493" t="s">
        <v>1411</v>
      </c>
      <c r="Q493" t="s">
        <v>1412</v>
      </c>
      <c r="S493" s="1">
        <v>46069</v>
      </c>
      <c r="W493" s="1">
        <v>34769</v>
      </c>
      <c r="X493" t="s">
        <v>3947</v>
      </c>
      <c r="Y493" t="s">
        <v>3948</v>
      </c>
      <c r="Z493" t="s">
        <v>3949</v>
      </c>
      <c r="AA493" t="s">
        <v>1415</v>
      </c>
      <c r="AB493" t="s">
        <v>3950</v>
      </c>
      <c r="AC493">
        <v>83986020001</v>
      </c>
    </row>
    <row r="494" spans="1:29" x14ac:dyDescent="0.3">
      <c r="A494" t="s">
        <v>1405</v>
      </c>
      <c r="B494" t="s">
        <v>2302</v>
      </c>
      <c r="C494" t="s">
        <v>3951</v>
      </c>
      <c r="D494">
        <v>5987483344</v>
      </c>
      <c r="E494">
        <v>20076498047</v>
      </c>
      <c r="F494">
        <v>1004018056</v>
      </c>
      <c r="G494" s="1">
        <v>45791</v>
      </c>
      <c r="H494" t="s">
        <v>1360</v>
      </c>
      <c r="I494" t="s">
        <v>1349</v>
      </c>
      <c r="J494" t="s">
        <v>1361</v>
      </c>
      <c r="K494" t="s">
        <v>2308</v>
      </c>
      <c r="L494" t="s">
        <v>2305</v>
      </c>
      <c r="M494" t="s">
        <v>1409</v>
      </c>
      <c r="N494" t="s">
        <v>1410</v>
      </c>
      <c r="O494" t="s">
        <v>1411</v>
      </c>
      <c r="P494" t="s">
        <v>1411</v>
      </c>
      <c r="Q494" t="s">
        <v>1412</v>
      </c>
      <c r="S494" s="1">
        <v>45904</v>
      </c>
      <c r="V494" s="1">
        <v>45902</v>
      </c>
      <c r="W494" s="1">
        <v>35172</v>
      </c>
      <c r="X494" t="s">
        <v>2181</v>
      </c>
      <c r="Z494" t="s">
        <v>3619</v>
      </c>
      <c r="AA494" t="s">
        <v>1419</v>
      </c>
      <c r="AB494" t="s">
        <v>3952</v>
      </c>
      <c r="AC494">
        <v>88994025000</v>
      </c>
    </row>
    <row r="495" spans="1:29" x14ac:dyDescent="0.3">
      <c r="A495" t="s">
        <v>1405</v>
      </c>
      <c r="B495" t="s">
        <v>2302</v>
      </c>
      <c r="C495" t="s">
        <v>3953</v>
      </c>
      <c r="D495">
        <v>95147829253</v>
      </c>
      <c r="E495">
        <v>1069232995</v>
      </c>
      <c r="F495">
        <v>1004013320</v>
      </c>
      <c r="G495" s="1">
        <v>45230</v>
      </c>
      <c r="H495" t="s">
        <v>1360</v>
      </c>
      <c r="I495" t="s">
        <v>1374</v>
      </c>
      <c r="J495" t="s">
        <v>2348</v>
      </c>
      <c r="K495" t="s">
        <v>2308</v>
      </c>
      <c r="L495" t="s">
        <v>2305</v>
      </c>
      <c r="M495" t="s">
        <v>1421</v>
      </c>
      <c r="N495" t="s">
        <v>1422</v>
      </c>
      <c r="O495" t="s">
        <v>1411</v>
      </c>
      <c r="P495" t="s">
        <v>1411</v>
      </c>
      <c r="Q495" t="s">
        <v>1412</v>
      </c>
      <c r="S495" s="1">
        <v>46043</v>
      </c>
      <c r="W495" s="1">
        <v>31351</v>
      </c>
      <c r="X495" t="s">
        <v>3954</v>
      </c>
      <c r="Y495" t="s">
        <v>3955</v>
      </c>
      <c r="Z495" t="s">
        <v>3956</v>
      </c>
      <c r="AA495" t="s">
        <v>1415</v>
      </c>
      <c r="AB495" t="s">
        <v>3957</v>
      </c>
      <c r="AC495">
        <v>94991905815</v>
      </c>
    </row>
    <row r="496" spans="1:29" x14ac:dyDescent="0.3">
      <c r="A496" t="s">
        <v>1405</v>
      </c>
      <c r="B496" t="s">
        <v>2302</v>
      </c>
      <c r="C496" t="s">
        <v>3958</v>
      </c>
      <c r="D496">
        <v>218042060</v>
      </c>
      <c r="E496" s="3">
        <v>2063847632</v>
      </c>
      <c r="F496">
        <v>1004015651</v>
      </c>
      <c r="G496" s="1">
        <v>45540</v>
      </c>
      <c r="H496" t="s">
        <v>1360</v>
      </c>
      <c r="I496" t="s">
        <v>1374</v>
      </c>
      <c r="J496" t="s">
        <v>2348</v>
      </c>
      <c r="K496" t="s">
        <v>2308</v>
      </c>
      <c r="L496" t="s">
        <v>2305</v>
      </c>
      <c r="M496" t="s">
        <v>1421</v>
      </c>
      <c r="N496" t="s">
        <v>1422</v>
      </c>
      <c r="O496" t="s">
        <v>1423</v>
      </c>
      <c r="P496" t="s">
        <v>1423</v>
      </c>
      <c r="Q496" t="s">
        <v>1412</v>
      </c>
      <c r="S496" s="1">
        <v>46043</v>
      </c>
      <c r="W496" s="1">
        <v>29746</v>
      </c>
      <c r="X496" t="s">
        <v>3959</v>
      </c>
      <c r="Y496" t="s">
        <v>3960</v>
      </c>
      <c r="Z496" t="s">
        <v>2754</v>
      </c>
      <c r="AA496" t="s">
        <v>1415</v>
      </c>
      <c r="AB496" t="s">
        <v>3961</v>
      </c>
      <c r="AC496">
        <v>48988612526</v>
      </c>
    </row>
    <row r="497" spans="1:29" x14ac:dyDescent="0.3">
      <c r="A497" t="s">
        <v>1405</v>
      </c>
      <c r="B497" t="s">
        <v>2302</v>
      </c>
      <c r="C497" t="s">
        <v>3962</v>
      </c>
      <c r="D497">
        <v>4474868374</v>
      </c>
      <c r="E497">
        <v>2007009219445</v>
      </c>
      <c r="F497">
        <v>1004005706</v>
      </c>
      <c r="G497" s="1">
        <v>43909</v>
      </c>
      <c r="H497" t="s">
        <v>1360</v>
      </c>
      <c r="I497" t="s">
        <v>1374</v>
      </c>
      <c r="J497" t="s">
        <v>2308</v>
      </c>
      <c r="K497" t="s">
        <v>2313</v>
      </c>
      <c r="L497" t="s">
        <v>2305</v>
      </c>
      <c r="M497" t="s">
        <v>1442</v>
      </c>
      <c r="N497" t="s">
        <v>1443</v>
      </c>
      <c r="O497" t="s">
        <v>1423</v>
      </c>
      <c r="P497" t="s">
        <v>1423</v>
      </c>
      <c r="Q497" t="s">
        <v>1412</v>
      </c>
      <c r="S497" s="1">
        <v>46043</v>
      </c>
      <c r="W497" s="1">
        <v>33763</v>
      </c>
      <c r="X497" t="s">
        <v>2790</v>
      </c>
      <c r="Y497" t="s">
        <v>2913</v>
      </c>
      <c r="Z497" t="s">
        <v>2791</v>
      </c>
      <c r="AA497" t="s">
        <v>1415</v>
      </c>
      <c r="AB497" t="s">
        <v>3963</v>
      </c>
      <c r="AC497">
        <v>85997373160</v>
      </c>
    </row>
    <row r="498" spans="1:29" x14ac:dyDescent="0.3">
      <c r="A498" t="s">
        <v>1405</v>
      </c>
      <c r="B498" t="s">
        <v>2302</v>
      </c>
      <c r="C498" t="s">
        <v>3964</v>
      </c>
      <c r="D498">
        <v>57536430000</v>
      </c>
      <c r="E498">
        <v>2037642499</v>
      </c>
      <c r="F498">
        <v>1004009550</v>
      </c>
      <c r="G498" s="1">
        <v>44644</v>
      </c>
      <c r="H498" t="s">
        <v>1360</v>
      </c>
      <c r="I498" t="s">
        <v>1349</v>
      </c>
      <c r="J498" t="s">
        <v>1361</v>
      </c>
      <c r="K498" t="s">
        <v>2308</v>
      </c>
      <c r="L498" t="s">
        <v>2305</v>
      </c>
      <c r="M498" t="s">
        <v>1447</v>
      </c>
      <c r="N498" t="s">
        <v>1448</v>
      </c>
      <c r="O498" t="s">
        <v>1423</v>
      </c>
      <c r="P498" t="s">
        <v>1423</v>
      </c>
      <c r="Q498" t="s">
        <v>1412</v>
      </c>
      <c r="S498" s="1">
        <v>46085</v>
      </c>
      <c r="V498" s="1">
        <v>46083</v>
      </c>
      <c r="W498" s="1">
        <v>24924</v>
      </c>
      <c r="X498" t="s">
        <v>3266</v>
      </c>
      <c r="Z498" t="s">
        <v>2378</v>
      </c>
      <c r="AA498" t="s">
        <v>1415</v>
      </c>
      <c r="AB498" t="s">
        <v>3965</v>
      </c>
      <c r="AC498">
        <v>51984094931</v>
      </c>
    </row>
    <row r="499" spans="1:29" x14ac:dyDescent="0.3">
      <c r="A499" t="s">
        <v>1405</v>
      </c>
      <c r="B499" t="s">
        <v>2302</v>
      </c>
      <c r="C499" t="s">
        <v>3966</v>
      </c>
      <c r="D499">
        <v>5391308933</v>
      </c>
      <c r="E499">
        <v>4866820</v>
      </c>
      <c r="F499">
        <v>1004007466</v>
      </c>
      <c r="G499" s="1">
        <v>44259</v>
      </c>
      <c r="H499" t="s">
        <v>1360</v>
      </c>
      <c r="I499" t="s">
        <v>1374</v>
      </c>
      <c r="J499" t="s">
        <v>2308</v>
      </c>
      <c r="K499" t="s">
        <v>2313</v>
      </c>
      <c r="L499" t="s">
        <v>2305</v>
      </c>
      <c r="M499" t="s">
        <v>1409</v>
      </c>
      <c r="N499" t="s">
        <v>1410</v>
      </c>
      <c r="O499" t="s">
        <v>1411</v>
      </c>
      <c r="P499" t="s">
        <v>1411</v>
      </c>
      <c r="Q499" t="s">
        <v>1412</v>
      </c>
      <c r="S499" s="1">
        <v>46043</v>
      </c>
      <c r="W499" s="1">
        <v>31797</v>
      </c>
      <c r="X499" t="s">
        <v>2456</v>
      </c>
      <c r="Y499" t="s">
        <v>2457</v>
      </c>
      <c r="Z499" t="s">
        <v>3307</v>
      </c>
      <c r="AA499" t="s">
        <v>1415</v>
      </c>
      <c r="AB499" t="s">
        <v>3967</v>
      </c>
      <c r="AC499">
        <v>47997091270</v>
      </c>
    </row>
    <row r="500" spans="1:29" x14ac:dyDescent="0.3">
      <c r="A500" t="s">
        <v>1405</v>
      </c>
      <c r="B500" t="s">
        <v>2302</v>
      </c>
      <c r="C500" t="s">
        <v>3968</v>
      </c>
      <c r="D500">
        <v>3017096530</v>
      </c>
      <c r="E500">
        <v>1194454682</v>
      </c>
      <c r="F500">
        <v>1004005904</v>
      </c>
      <c r="G500" s="1">
        <v>43925</v>
      </c>
      <c r="H500" t="s">
        <v>1360</v>
      </c>
      <c r="I500" t="s">
        <v>1374</v>
      </c>
      <c r="J500" t="s">
        <v>2308</v>
      </c>
      <c r="K500" t="s">
        <v>2313</v>
      </c>
      <c r="L500" t="s">
        <v>2305</v>
      </c>
      <c r="M500" t="s">
        <v>1409</v>
      </c>
      <c r="N500" t="s">
        <v>1410</v>
      </c>
      <c r="O500" t="s">
        <v>1462</v>
      </c>
      <c r="P500" t="s">
        <v>1462</v>
      </c>
      <c r="Q500" t="s">
        <v>1412</v>
      </c>
      <c r="S500" s="1">
        <v>46043</v>
      </c>
      <c r="W500" s="1">
        <v>31682</v>
      </c>
      <c r="X500" t="s">
        <v>2361</v>
      </c>
      <c r="Y500" t="s">
        <v>2362</v>
      </c>
      <c r="Z500" t="s">
        <v>2513</v>
      </c>
      <c r="AA500" t="s">
        <v>1415</v>
      </c>
      <c r="AB500" t="s">
        <v>3969</v>
      </c>
      <c r="AC500">
        <v>75981535781</v>
      </c>
    </row>
    <row r="501" spans="1:29" x14ac:dyDescent="0.3">
      <c r="A501" t="s">
        <v>1405</v>
      </c>
      <c r="B501" t="s">
        <v>2302</v>
      </c>
      <c r="C501" t="s">
        <v>3970</v>
      </c>
      <c r="D501">
        <v>3194935127</v>
      </c>
      <c r="E501">
        <v>8056046</v>
      </c>
      <c r="F501">
        <v>1004016958</v>
      </c>
      <c r="G501" s="1">
        <v>45721</v>
      </c>
      <c r="H501" t="s">
        <v>1360</v>
      </c>
      <c r="I501" t="s">
        <v>1374</v>
      </c>
      <c r="J501" t="s">
        <v>1361</v>
      </c>
      <c r="K501" t="s">
        <v>2308</v>
      </c>
      <c r="L501" t="s">
        <v>2305</v>
      </c>
      <c r="M501" t="s">
        <v>1409</v>
      </c>
      <c r="N501" t="s">
        <v>1410</v>
      </c>
      <c r="O501" t="s">
        <v>1462</v>
      </c>
      <c r="P501" t="s">
        <v>1462</v>
      </c>
      <c r="Q501" t="s">
        <v>1412</v>
      </c>
      <c r="S501" s="1">
        <v>46043</v>
      </c>
      <c r="W501" s="1">
        <v>33550</v>
      </c>
      <c r="X501" t="s">
        <v>3971</v>
      </c>
      <c r="Y501" t="s">
        <v>3972</v>
      </c>
      <c r="Z501" t="s">
        <v>2458</v>
      </c>
      <c r="AA501" t="s">
        <v>1415</v>
      </c>
      <c r="AB501" t="s">
        <v>3973</v>
      </c>
      <c r="AC501">
        <v>47991861703</v>
      </c>
    </row>
    <row r="502" spans="1:29" x14ac:dyDescent="0.3">
      <c r="A502" t="s">
        <v>1405</v>
      </c>
      <c r="B502" t="s">
        <v>2302</v>
      </c>
      <c r="C502" t="s">
        <v>3974</v>
      </c>
      <c r="D502">
        <v>76947670063</v>
      </c>
      <c r="E502">
        <v>1031365594</v>
      </c>
      <c r="F502">
        <v>1004008734</v>
      </c>
      <c r="G502" s="1">
        <v>44461</v>
      </c>
      <c r="H502" t="s">
        <v>1360</v>
      </c>
      <c r="I502" t="s">
        <v>1374</v>
      </c>
      <c r="J502" t="s">
        <v>1361</v>
      </c>
      <c r="K502" t="s">
        <v>2308</v>
      </c>
      <c r="L502" t="s">
        <v>2305</v>
      </c>
      <c r="M502" t="s">
        <v>1409</v>
      </c>
      <c r="N502" t="s">
        <v>1410</v>
      </c>
      <c r="O502" t="s">
        <v>1423</v>
      </c>
      <c r="P502" t="s">
        <v>1423</v>
      </c>
      <c r="Q502" t="s">
        <v>1412</v>
      </c>
      <c r="S502" s="1">
        <v>46043</v>
      </c>
      <c r="W502" s="1">
        <v>27994</v>
      </c>
      <c r="X502" t="s">
        <v>2010</v>
      </c>
      <c r="Y502" t="s">
        <v>2738</v>
      </c>
      <c r="Z502" t="s">
        <v>2448</v>
      </c>
      <c r="AA502" t="s">
        <v>1419</v>
      </c>
      <c r="AB502" t="s">
        <v>3975</v>
      </c>
      <c r="AC502">
        <v>51998912073</v>
      </c>
    </row>
    <row r="503" spans="1:29" x14ac:dyDescent="0.3">
      <c r="A503" t="s">
        <v>1405</v>
      </c>
      <c r="B503" t="s">
        <v>2302</v>
      </c>
      <c r="C503" t="s">
        <v>3976</v>
      </c>
      <c r="D503">
        <v>60636151301</v>
      </c>
      <c r="E503">
        <v>60636151301</v>
      </c>
      <c r="F503">
        <v>1004012609</v>
      </c>
      <c r="G503" s="1">
        <v>45153</v>
      </c>
      <c r="H503" t="s">
        <v>1360</v>
      </c>
      <c r="I503" t="s">
        <v>1349</v>
      </c>
      <c r="J503" t="s">
        <v>2348</v>
      </c>
      <c r="K503" t="s">
        <v>2308</v>
      </c>
      <c r="L503" t="s">
        <v>2305</v>
      </c>
      <c r="M503" t="s">
        <v>1409</v>
      </c>
      <c r="N503" t="s">
        <v>1410</v>
      </c>
      <c r="O503" t="s">
        <v>1462</v>
      </c>
      <c r="P503" t="s">
        <v>1417</v>
      </c>
      <c r="Q503" t="s">
        <v>1412</v>
      </c>
      <c r="S503" s="1">
        <v>45855</v>
      </c>
      <c r="V503" s="1">
        <v>45853</v>
      </c>
      <c r="W503" s="1">
        <v>34937</v>
      </c>
      <c r="X503" t="s">
        <v>3977</v>
      </c>
      <c r="Y503" t="s">
        <v>3978</v>
      </c>
      <c r="Z503" t="s">
        <v>3132</v>
      </c>
      <c r="AA503" t="s">
        <v>1415</v>
      </c>
      <c r="AB503" t="s">
        <v>3979</v>
      </c>
      <c r="AC503">
        <v>98984971215</v>
      </c>
    </row>
    <row r="504" spans="1:29" x14ac:dyDescent="0.3">
      <c r="A504" t="s">
        <v>1405</v>
      </c>
      <c r="B504" t="s">
        <v>2302</v>
      </c>
      <c r="C504" t="s">
        <v>3980</v>
      </c>
      <c r="D504">
        <v>4197109148</v>
      </c>
      <c r="E504">
        <v>23167769</v>
      </c>
      <c r="F504">
        <v>1004007812</v>
      </c>
      <c r="G504" s="1">
        <v>44305</v>
      </c>
      <c r="H504" t="s">
        <v>1360</v>
      </c>
      <c r="I504" t="s">
        <v>1349</v>
      </c>
      <c r="J504" t="s">
        <v>2308</v>
      </c>
      <c r="K504" t="s">
        <v>2313</v>
      </c>
      <c r="L504" t="s">
        <v>2305</v>
      </c>
      <c r="M504" t="s">
        <v>1421</v>
      </c>
      <c r="N504" t="s">
        <v>1422</v>
      </c>
      <c r="O504" t="s">
        <v>1423</v>
      </c>
      <c r="P504" t="s">
        <v>1423</v>
      </c>
      <c r="Q504" t="s">
        <v>1412</v>
      </c>
      <c r="S504" s="1">
        <v>45819</v>
      </c>
      <c r="V504" s="1">
        <v>45818</v>
      </c>
      <c r="W504" s="1">
        <v>34130</v>
      </c>
      <c r="X504" t="s">
        <v>3981</v>
      </c>
      <c r="Y504" t="s">
        <v>3982</v>
      </c>
      <c r="Z504" t="s">
        <v>2657</v>
      </c>
      <c r="AA504" t="s">
        <v>1419</v>
      </c>
      <c r="AB504" t="s">
        <v>3983</v>
      </c>
      <c r="AC504">
        <v>66999127150</v>
      </c>
    </row>
    <row r="505" spans="1:29" x14ac:dyDescent="0.3">
      <c r="A505" t="s">
        <v>1405</v>
      </c>
      <c r="B505" t="s">
        <v>2302</v>
      </c>
      <c r="C505" t="s">
        <v>3984</v>
      </c>
      <c r="D505">
        <v>72520167572</v>
      </c>
      <c r="E505" t="s">
        <v>3985</v>
      </c>
      <c r="F505">
        <v>1004019088</v>
      </c>
      <c r="G505" s="1">
        <v>45880</v>
      </c>
      <c r="H505" t="s">
        <v>1360</v>
      </c>
      <c r="I505" t="s">
        <v>1374</v>
      </c>
      <c r="J505" t="s">
        <v>2572</v>
      </c>
      <c r="K505" t="s">
        <v>2573</v>
      </c>
      <c r="L505" t="s">
        <v>2305</v>
      </c>
      <c r="M505" t="s">
        <v>1409</v>
      </c>
      <c r="N505" t="s">
        <v>1410</v>
      </c>
      <c r="O505" t="s">
        <v>1411</v>
      </c>
      <c r="P505" t="s">
        <v>1411</v>
      </c>
      <c r="Q505" t="s">
        <v>1412</v>
      </c>
      <c r="S505" s="1">
        <v>46043</v>
      </c>
      <c r="W505" s="1">
        <v>27811</v>
      </c>
      <c r="X505" t="s">
        <v>2117</v>
      </c>
      <c r="Z505" t="s">
        <v>3061</v>
      </c>
      <c r="AA505" t="s">
        <v>1419</v>
      </c>
      <c r="AB505" t="s">
        <v>3986</v>
      </c>
      <c r="AC505">
        <v>75999713920</v>
      </c>
    </row>
    <row r="506" spans="1:29" x14ac:dyDescent="0.3">
      <c r="A506" t="s">
        <v>1405</v>
      </c>
      <c r="B506" t="s">
        <v>2302</v>
      </c>
      <c r="C506" t="s">
        <v>3987</v>
      </c>
      <c r="D506">
        <v>71194541372</v>
      </c>
      <c r="E506">
        <v>319640720067</v>
      </c>
      <c r="F506">
        <v>1004009535</v>
      </c>
      <c r="G506" s="1">
        <v>44644</v>
      </c>
      <c r="H506" t="s">
        <v>1360</v>
      </c>
      <c r="I506" t="s">
        <v>1374</v>
      </c>
      <c r="J506" t="s">
        <v>1361</v>
      </c>
      <c r="K506" t="s">
        <v>2308</v>
      </c>
      <c r="L506" t="s">
        <v>2305</v>
      </c>
      <c r="M506" t="s">
        <v>1409</v>
      </c>
      <c r="N506" t="s">
        <v>1410</v>
      </c>
      <c r="O506" t="s">
        <v>1411</v>
      </c>
      <c r="P506" t="s">
        <v>1411</v>
      </c>
      <c r="Q506" t="s">
        <v>1412</v>
      </c>
      <c r="S506" s="1">
        <v>46069</v>
      </c>
      <c r="W506" s="1">
        <v>28114</v>
      </c>
      <c r="X506" t="s">
        <v>3988</v>
      </c>
      <c r="Y506" t="s">
        <v>3989</v>
      </c>
      <c r="Z506" t="s">
        <v>3637</v>
      </c>
      <c r="AA506" t="s">
        <v>1419</v>
      </c>
      <c r="AB506" t="s">
        <v>3990</v>
      </c>
      <c r="AC506">
        <v>98992029062</v>
      </c>
    </row>
    <row r="507" spans="1:29" x14ac:dyDescent="0.3">
      <c r="A507" t="s">
        <v>1405</v>
      </c>
      <c r="B507" t="s">
        <v>2302</v>
      </c>
      <c r="C507" t="s">
        <v>3991</v>
      </c>
      <c r="D507">
        <v>60790261200</v>
      </c>
      <c r="E507">
        <v>2464588</v>
      </c>
      <c r="F507">
        <v>1004010630</v>
      </c>
      <c r="G507" s="1">
        <v>44783</v>
      </c>
      <c r="H507" t="s">
        <v>1360</v>
      </c>
      <c r="I507" t="s">
        <v>1374</v>
      </c>
      <c r="J507" t="s">
        <v>2348</v>
      </c>
      <c r="K507" t="s">
        <v>2308</v>
      </c>
      <c r="L507" t="s">
        <v>2305</v>
      </c>
      <c r="M507" t="s">
        <v>1421</v>
      </c>
      <c r="N507" t="s">
        <v>1410</v>
      </c>
      <c r="O507" t="s">
        <v>1411</v>
      </c>
      <c r="P507" t="s">
        <v>1411</v>
      </c>
      <c r="Q507" t="s">
        <v>1412</v>
      </c>
      <c r="S507" s="1">
        <v>46043</v>
      </c>
      <c r="W507" s="1">
        <v>27814</v>
      </c>
      <c r="X507" t="s">
        <v>1492</v>
      </c>
      <c r="Y507" t="s">
        <v>2058</v>
      </c>
      <c r="Z507" t="s">
        <v>2397</v>
      </c>
      <c r="AA507" t="s">
        <v>1415</v>
      </c>
      <c r="AB507" t="s">
        <v>3992</v>
      </c>
      <c r="AC507">
        <v>9185419894</v>
      </c>
    </row>
    <row r="508" spans="1:29" x14ac:dyDescent="0.3">
      <c r="A508" t="s">
        <v>1405</v>
      </c>
      <c r="B508" t="s">
        <v>2302</v>
      </c>
      <c r="C508" t="s">
        <v>3993</v>
      </c>
      <c r="D508">
        <v>4976974162</v>
      </c>
      <c r="E508">
        <v>21266930</v>
      </c>
      <c r="F508">
        <v>1004008901</v>
      </c>
      <c r="G508" s="1">
        <v>44489</v>
      </c>
      <c r="H508" t="s">
        <v>1360</v>
      </c>
      <c r="I508" t="s">
        <v>1374</v>
      </c>
      <c r="J508" t="s">
        <v>1361</v>
      </c>
      <c r="K508" t="s">
        <v>2308</v>
      </c>
      <c r="L508" t="s">
        <v>2305</v>
      </c>
      <c r="M508" t="s">
        <v>1421</v>
      </c>
      <c r="N508" t="s">
        <v>1410</v>
      </c>
      <c r="O508" t="s">
        <v>1423</v>
      </c>
      <c r="P508" t="s">
        <v>1423</v>
      </c>
      <c r="Q508" t="s">
        <v>1412</v>
      </c>
      <c r="S508" s="1">
        <v>46043</v>
      </c>
      <c r="W508" s="1">
        <v>34533</v>
      </c>
      <c r="X508" t="s">
        <v>1858</v>
      </c>
      <c r="Y508" t="s">
        <v>1762</v>
      </c>
      <c r="Z508" t="s">
        <v>3474</v>
      </c>
      <c r="AA508" t="s">
        <v>1419</v>
      </c>
      <c r="AB508" t="s">
        <v>512</v>
      </c>
      <c r="AC508">
        <v>65996398528</v>
      </c>
    </row>
    <row r="509" spans="1:29" x14ac:dyDescent="0.3">
      <c r="A509" t="s">
        <v>1405</v>
      </c>
      <c r="B509" t="s">
        <v>2302</v>
      </c>
      <c r="C509" t="s">
        <v>3994</v>
      </c>
      <c r="D509">
        <v>61234835363</v>
      </c>
      <c r="E509">
        <v>464119520121</v>
      </c>
      <c r="F509">
        <v>1004011442</v>
      </c>
      <c r="G509" s="1">
        <v>44985</v>
      </c>
      <c r="H509" t="s">
        <v>1360</v>
      </c>
      <c r="I509" t="s">
        <v>1349</v>
      </c>
      <c r="J509" t="s">
        <v>2348</v>
      </c>
      <c r="K509" t="s">
        <v>2308</v>
      </c>
      <c r="L509" t="s">
        <v>2305</v>
      </c>
      <c r="M509" t="s">
        <v>1421</v>
      </c>
      <c r="N509" t="s">
        <v>1422</v>
      </c>
      <c r="O509" t="s">
        <v>1462</v>
      </c>
      <c r="P509" t="s">
        <v>1462</v>
      </c>
      <c r="Q509" t="s">
        <v>1412</v>
      </c>
      <c r="S509" s="1">
        <v>46093</v>
      </c>
      <c r="V509" s="1">
        <v>46092</v>
      </c>
      <c r="W509" s="1">
        <v>35117</v>
      </c>
      <c r="X509" t="s">
        <v>1613</v>
      </c>
      <c r="Y509" t="s">
        <v>3882</v>
      </c>
      <c r="Z509" t="s">
        <v>3132</v>
      </c>
      <c r="AA509" t="s">
        <v>1415</v>
      </c>
      <c r="AB509" t="s">
        <v>3995</v>
      </c>
      <c r="AC509">
        <v>98982346940</v>
      </c>
    </row>
    <row r="510" spans="1:29" x14ac:dyDescent="0.3">
      <c r="A510" t="s">
        <v>1405</v>
      </c>
      <c r="B510" t="s">
        <v>2302</v>
      </c>
      <c r="C510" t="s">
        <v>3996</v>
      </c>
      <c r="D510">
        <v>84065281504</v>
      </c>
      <c r="E510">
        <v>1133076408</v>
      </c>
      <c r="F510">
        <v>1004000426</v>
      </c>
      <c r="G510" s="1">
        <v>42838</v>
      </c>
      <c r="H510" t="s">
        <v>1360</v>
      </c>
      <c r="I510" t="s">
        <v>1374</v>
      </c>
      <c r="J510" t="s">
        <v>2308</v>
      </c>
      <c r="K510" t="s">
        <v>2313</v>
      </c>
      <c r="L510" t="s">
        <v>2305</v>
      </c>
      <c r="M510" t="s">
        <v>1421</v>
      </c>
      <c r="N510" t="s">
        <v>1422</v>
      </c>
      <c r="O510" t="s">
        <v>1423</v>
      </c>
      <c r="P510" t="s">
        <v>1423</v>
      </c>
      <c r="Q510" t="s">
        <v>1412</v>
      </c>
      <c r="S510" s="1">
        <v>46043</v>
      </c>
      <c r="W510" s="1">
        <v>31729</v>
      </c>
      <c r="X510" t="s">
        <v>3997</v>
      </c>
      <c r="Y510" t="s">
        <v>3998</v>
      </c>
      <c r="Z510" t="s">
        <v>3152</v>
      </c>
      <c r="AA510" t="s">
        <v>1419</v>
      </c>
      <c r="AB510" t="s">
        <v>3999</v>
      </c>
    </row>
    <row r="511" spans="1:29" x14ac:dyDescent="0.3">
      <c r="A511" t="s">
        <v>1405</v>
      </c>
      <c r="B511" t="s">
        <v>2302</v>
      </c>
      <c r="C511" t="s">
        <v>4000</v>
      </c>
      <c r="D511">
        <v>61428320369</v>
      </c>
      <c r="E511" t="s">
        <v>4001</v>
      </c>
      <c r="F511">
        <v>1004019896</v>
      </c>
      <c r="G511" s="1">
        <v>45915</v>
      </c>
      <c r="H511" t="s">
        <v>1360</v>
      </c>
      <c r="I511" t="s">
        <v>1374</v>
      </c>
      <c r="J511" t="s">
        <v>1361</v>
      </c>
      <c r="K511" t="s">
        <v>2308</v>
      </c>
      <c r="L511" t="s">
        <v>2305</v>
      </c>
      <c r="M511" t="s">
        <v>1409</v>
      </c>
      <c r="N511" t="s">
        <v>1410</v>
      </c>
      <c r="O511" t="s">
        <v>1411</v>
      </c>
      <c r="P511" t="s">
        <v>1411</v>
      </c>
      <c r="Q511" t="s">
        <v>1412</v>
      </c>
      <c r="S511" s="1">
        <v>46069</v>
      </c>
      <c r="W511" s="1">
        <v>36141</v>
      </c>
      <c r="X511" t="s">
        <v>2597</v>
      </c>
      <c r="Y511" t="s">
        <v>2598</v>
      </c>
      <c r="Z511" t="s">
        <v>2482</v>
      </c>
      <c r="AA511" t="s">
        <v>1415</v>
      </c>
      <c r="AB511" t="s">
        <v>4002</v>
      </c>
      <c r="AC511">
        <v>98981788864</v>
      </c>
    </row>
    <row r="512" spans="1:29" x14ac:dyDescent="0.3">
      <c r="A512" t="s">
        <v>1405</v>
      </c>
      <c r="B512" t="s">
        <v>2302</v>
      </c>
      <c r="C512" t="s">
        <v>4003</v>
      </c>
      <c r="D512">
        <v>2609392508</v>
      </c>
      <c r="E512">
        <v>853958467</v>
      </c>
      <c r="F512">
        <v>1004008561</v>
      </c>
      <c r="G512" s="1">
        <v>44450</v>
      </c>
      <c r="H512" t="s">
        <v>1360</v>
      </c>
      <c r="I512" t="s">
        <v>1349</v>
      </c>
      <c r="J512" t="s">
        <v>1361</v>
      </c>
      <c r="K512" t="s">
        <v>2308</v>
      </c>
      <c r="L512" t="s">
        <v>2305</v>
      </c>
      <c r="M512" t="s">
        <v>1409</v>
      </c>
      <c r="N512" t="s">
        <v>1422</v>
      </c>
      <c r="O512" t="s">
        <v>1411</v>
      </c>
      <c r="P512" t="s">
        <v>1411</v>
      </c>
      <c r="Q512" t="s">
        <v>1412</v>
      </c>
      <c r="S512" s="1">
        <v>45798</v>
      </c>
      <c r="V512" s="1">
        <v>45796</v>
      </c>
      <c r="W512" s="1">
        <v>31336</v>
      </c>
      <c r="X512" t="s">
        <v>2223</v>
      </c>
      <c r="Y512" t="s">
        <v>2614</v>
      </c>
      <c r="Z512" t="s">
        <v>2615</v>
      </c>
      <c r="AA512" t="s">
        <v>1419</v>
      </c>
      <c r="AB512" t="s">
        <v>4004</v>
      </c>
      <c r="AC512">
        <v>71992836295</v>
      </c>
    </row>
    <row r="513" spans="1:29" x14ac:dyDescent="0.3">
      <c r="A513" t="s">
        <v>1405</v>
      </c>
      <c r="B513" t="s">
        <v>2302</v>
      </c>
      <c r="C513" t="s">
        <v>4005</v>
      </c>
      <c r="D513">
        <v>6283606300</v>
      </c>
      <c r="E513">
        <v>2006099002191</v>
      </c>
      <c r="F513">
        <v>1004019564</v>
      </c>
      <c r="G513" s="1">
        <v>45901</v>
      </c>
      <c r="H513" t="s">
        <v>1360</v>
      </c>
      <c r="I513" t="s">
        <v>1374</v>
      </c>
      <c r="J513" t="s">
        <v>1361</v>
      </c>
      <c r="K513" t="s">
        <v>2308</v>
      </c>
      <c r="L513" t="s">
        <v>2305</v>
      </c>
      <c r="M513" t="s">
        <v>1447</v>
      </c>
      <c r="N513" t="s">
        <v>1448</v>
      </c>
      <c r="O513" t="s">
        <v>1411</v>
      </c>
      <c r="P513" t="s">
        <v>1411</v>
      </c>
      <c r="Q513" t="s">
        <v>1412</v>
      </c>
      <c r="S513" s="1">
        <v>46043</v>
      </c>
      <c r="W513" s="1">
        <v>35081</v>
      </c>
      <c r="X513" t="s">
        <v>3609</v>
      </c>
      <c r="Y513" t="s">
        <v>2392</v>
      </c>
      <c r="Z513" t="s">
        <v>2393</v>
      </c>
      <c r="AA513" t="s">
        <v>1419</v>
      </c>
      <c r="AB513" t="s">
        <v>4006</v>
      </c>
      <c r="AC513">
        <v>85991062184</v>
      </c>
    </row>
    <row r="514" spans="1:29" x14ac:dyDescent="0.3">
      <c r="A514" t="s">
        <v>1405</v>
      </c>
      <c r="B514" t="s">
        <v>2302</v>
      </c>
      <c r="C514" t="s">
        <v>4007</v>
      </c>
      <c r="D514">
        <v>3208476248</v>
      </c>
      <c r="E514">
        <v>4404580</v>
      </c>
      <c r="F514">
        <v>1004009705</v>
      </c>
      <c r="G514" s="1">
        <v>44664</v>
      </c>
      <c r="H514" t="s">
        <v>1360</v>
      </c>
      <c r="I514" t="s">
        <v>1374</v>
      </c>
      <c r="J514" t="s">
        <v>2348</v>
      </c>
      <c r="K514" t="s">
        <v>2308</v>
      </c>
      <c r="L514" t="s">
        <v>2305</v>
      </c>
      <c r="M514" t="s">
        <v>1409</v>
      </c>
      <c r="N514" t="s">
        <v>1410</v>
      </c>
      <c r="O514" t="s">
        <v>1411</v>
      </c>
      <c r="P514" t="s">
        <v>1417</v>
      </c>
      <c r="Q514" t="s">
        <v>1412</v>
      </c>
      <c r="S514" s="1">
        <v>46043</v>
      </c>
      <c r="W514" s="1">
        <v>35754</v>
      </c>
      <c r="X514" t="s">
        <v>4008</v>
      </c>
      <c r="Z514" t="s">
        <v>4009</v>
      </c>
      <c r="AA514" t="s">
        <v>1415</v>
      </c>
      <c r="AB514" t="s">
        <v>740</v>
      </c>
      <c r="AC514">
        <v>95991457523</v>
      </c>
    </row>
    <row r="515" spans="1:29" x14ac:dyDescent="0.3">
      <c r="A515" t="s">
        <v>1405</v>
      </c>
      <c r="B515" t="s">
        <v>2302</v>
      </c>
      <c r="C515" t="s">
        <v>4010</v>
      </c>
      <c r="D515">
        <v>6977834307</v>
      </c>
      <c r="E515">
        <v>20077782296</v>
      </c>
      <c r="F515">
        <v>1004012645</v>
      </c>
      <c r="G515" s="1">
        <v>45153</v>
      </c>
      <c r="H515" t="s">
        <v>1360</v>
      </c>
      <c r="I515" t="s">
        <v>1374</v>
      </c>
      <c r="J515">
        <v>3</v>
      </c>
      <c r="K515" t="s">
        <v>2444</v>
      </c>
      <c r="L515" t="s">
        <v>2305</v>
      </c>
      <c r="M515" t="s">
        <v>1409</v>
      </c>
      <c r="N515" t="s">
        <v>1410</v>
      </c>
      <c r="O515" t="s">
        <v>1411</v>
      </c>
      <c r="P515" t="s">
        <v>1411</v>
      </c>
      <c r="Q515" t="s">
        <v>1412</v>
      </c>
      <c r="S515" s="1">
        <v>46043</v>
      </c>
      <c r="W515" s="1">
        <v>35935</v>
      </c>
      <c r="X515" t="s">
        <v>3701</v>
      </c>
      <c r="Y515" t="s">
        <v>4011</v>
      </c>
      <c r="Z515" t="s">
        <v>2506</v>
      </c>
      <c r="AA515" t="s">
        <v>1415</v>
      </c>
      <c r="AB515" t="s">
        <v>4012</v>
      </c>
      <c r="AC515">
        <v>88981510623</v>
      </c>
    </row>
    <row r="516" spans="1:29" x14ac:dyDescent="0.3">
      <c r="A516" t="s">
        <v>1405</v>
      </c>
      <c r="B516" t="s">
        <v>2302</v>
      </c>
      <c r="C516" t="s">
        <v>4013</v>
      </c>
      <c r="D516">
        <v>81893809072</v>
      </c>
      <c r="E516">
        <v>81893809072</v>
      </c>
      <c r="F516">
        <v>1004017069</v>
      </c>
      <c r="G516" s="1">
        <v>45728</v>
      </c>
      <c r="H516" t="s">
        <v>1360</v>
      </c>
      <c r="I516" t="s">
        <v>1374</v>
      </c>
      <c r="J516" t="s">
        <v>1361</v>
      </c>
      <c r="K516" t="s">
        <v>2308</v>
      </c>
      <c r="L516" t="s">
        <v>2305</v>
      </c>
      <c r="M516" t="s">
        <v>1442</v>
      </c>
      <c r="N516" t="s">
        <v>1443</v>
      </c>
      <c r="O516" t="s">
        <v>1423</v>
      </c>
      <c r="P516" t="s">
        <v>1423</v>
      </c>
      <c r="Q516" t="s">
        <v>1412</v>
      </c>
      <c r="S516" s="1">
        <v>46043</v>
      </c>
      <c r="W516" s="1">
        <v>29474</v>
      </c>
      <c r="X516" t="s">
        <v>4014</v>
      </c>
      <c r="Z516" t="s">
        <v>4015</v>
      </c>
      <c r="AA516" t="s">
        <v>1419</v>
      </c>
      <c r="AB516" t="s">
        <v>4016</v>
      </c>
      <c r="AC516">
        <v>54981266110</v>
      </c>
    </row>
    <row r="517" spans="1:29" x14ac:dyDescent="0.3">
      <c r="A517" t="s">
        <v>1405</v>
      </c>
      <c r="B517" t="s">
        <v>2302</v>
      </c>
      <c r="C517" t="s">
        <v>4017</v>
      </c>
      <c r="D517">
        <v>4337604600</v>
      </c>
      <c r="E517">
        <v>12228220</v>
      </c>
      <c r="F517">
        <v>1004011903</v>
      </c>
      <c r="G517" s="1">
        <v>45041</v>
      </c>
      <c r="H517" t="s">
        <v>1360</v>
      </c>
      <c r="I517" t="s">
        <v>1374</v>
      </c>
      <c r="J517" t="s">
        <v>1361</v>
      </c>
      <c r="K517" t="s">
        <v>2308</v>
      </c>
      <c r="L517" t="s">
        <v>2305</v>
      </c>
      <c r="M517" t="s">
        <v>1409</v>
      </c>
      <c r="N517" t="s">
        <v>1410</v>
      </c>
      <c r="O517" t="s">
        <v>1439</v>
      </c>
      <c r="P517" t="s">
        <v>1423</v>
      </c>
      <c r="Q517" t="s">
        <v>1412</v>
      </c>
      <c r="S517" s="1">
        <v>46069</v>
      </c>
      <c r="W517" s="1">
        <v>29021</v>
      </c>
      <c r="X517" t="s">
        <v>2145</v>
      </c>
      <c r="Y517" t="s">
        <v>4018</v>
      </c>
      <c r="Z517" t="s">
        <v>2325</v>
      </c>
      <c r="AA517" t="s">
        <v>1419</v>
      </c>
      <c r="AB517" t="s">
        <v>4019</v>
      </c>
      <c r="AC517">
        <v>38999318142</v>
      </c>
    </row>
    <row r="518" spans="1:29" x14ac:dyDescent="0.3">
      <c r="A518" t="s">
        <v>1405</v>
      </c>
      <c r="B518" t="s">
        <v>2302</v>
      </c>
      <c r="C518" t="s">
        <v>4020</v>
      </c>
      <c r="D518">
        <v>64060594504</v>
      </c>
      <c r="E518">
        <v>284100099</v>
      </c>
      <c r="F518">
        <v>1004005754</v>
      </c>
      <c r="G518" s="1">
        <v>43910</v>
      </c>
      <c r="H518" t="s">
        <v>1360</v>
      </c>
      <c r="I518" t="s">
        <v>1374</v>
      </c>
      <c r="J518" t="s">
        <v>2308</v>
      </c>
      <c r="K518" t="s">
        <v>2313</v>
      </c>
      <c r="L518" t="s">
        <v>2305</v>
      </c>
      <c r="M518" t="s">
        <v>1409</v>
      </c>
      <c r="N518" t="s">
        <v>1410</v>
      </c>
      <c r="O518" t="s">
        <v>1423</v>
      </c>
      <c r="P518" t="s">
        <v>1423</v>
      </c>
      <c r="Q518" t="s">
        <v>1412</v>
      </c>
      <c r="S518" s="1">
        <v>46043</v>
      </c>
      <c r="W518" s="1">
        <v>26401</v>
      </c>
      <c r="X518" t="s">
        <v>4021</v>
      </c>
      <c r="Y518" t="s">
        <v>4022</v>
      </c>
      <c r="Z518" t="s">
        <v>2513</v>
      </c>
      <c r="AA518" t="s">
        <v>1419</v>
      </c>
      <c r="AB518" t="s">
        <v>4023</v>
      </c>
      <c r="AC518">
        <v>75981039849</v>
      </c>
    </row>
    <row r="519" spans="1:29" x14ac:dyDescent="0.3">
      <c r="A519" t="s">
        <v>1405</v>
      </c>
      <c r="B519" t="s">
        <v>2302</v>
      </c>
      <c r="C519" t="s">
        <v>4024</v>
      </c>
      <c r="D519">
        <v>751012548</v>
      </c>
      <c r="E519">
        <v>1447622</v>
      </c>
      <c r="F519">
        <v>1004004573</v>
      </c>
      <c r="G519" s="1">
        <v>43712</v>
      </c>
      <c r="H519" t="s">
        <v>1360</v>
      </c>
      <c r="I519" t="s">
        <v>1374</v>
      </c>
      <c r="J519" t="s">
        <v>2308</v>
      </c>
      <c r="K519" t="s">
        <v>2313</v>
      </c>
      <c r="L519" t="s">
        <v>2305</v>
      </c>
      <c r="M519" t="s">
        <v>1421</v>
      </c>
      <c r="N519" t="s">
        <v>1410</v>
      </c>
      <c r="O519" t="s">
        <v>1411</v>
      </c>
      <c r="P519" t="s">
        <v>1411</v>
      </c>
      <c r="Q519" t="s">
        <v>1412</v>
      </c>
      <c r="S519" s="1">
        <v>46043</v>
      </c>
      <c r="W519" s="1">
        <v>30165</v>
      </c>
      <c r="X519" t="s">
        <v>4025</v>
      </c>
      <c r="Y519" t="s">
        <v>4026</v>
      </c>
      <c r="Z519" t="s">
        <v>3209</v>
      </c>
      <c r="AA519" t="s">
        <v>1419</v>
      </c>
      <c r="AB519" t="s">
        <v>4027</v>
      </c>
      <c r="AC519">
        <v>79988239309</v>
      </c>
    </row>
    <row r="520" spans="1:29" x14ac:dyDescent="0.3">
      <c r="A520" t="s">
        <v>1405</v>
      </c>
      <c r="B520" t="s">
        <v>2302</v>
      </c>
      <c r="C520" t="s">
        <v>4028</v>
      </c>
      <c r="D520">
        <v>147017157</v>
      </c>
      <c r="E520">
        <v>1576</v>
      </c>
      <c r="F520">
        <v>1004007085</v>
      </c>
      <c r="G520" s="1">
        <v>44123</v>
      </c>
      <c r="H520" t="s">
        <v>1360</v>
      </c>
      <c r="I520" t="s">
        <v>1349</v>
      </c>
      <c r="J520" t="s">
        <v>2308</v>
      </c>
      <c r="K520" t="s">
        <v>2313</v>
      </c>
      <c r="L520" t="s">
        <v>2305</v>
      </c>
      <c r="M520" t="s">
        <v>1409</v>
      </c>
      <c r="N520" t="s">
        <v>1410</v>
      </c>
      <c r="O520" t="s">
        <v>1411</v>
      </c>
      <c r="P520" t="s">
        <v>1411</v>
      </c>
      <c r="Q520" t="s">
        <v>1412</v>
      </c>
      <c r="S520" s="1">
        <v>45887</v>
      </c>
      <c r="V520" s="1">
        <v>45882</v>
      </c>
      <c r="W520" s="1">
        <v>30852</v>
      </c>
      <c r="X520" t="s">
        <v>3853</v>
      </c>
      <c r="Z520" t="s">
        <v>4029</v>
      </c>
      <c r="AA520" t="s">
        <v>1419</v>
      </c>
      <c r="AB520" t="s">
        <v>4030</v>
      </c>
      <c r="AC520">
        <v>65999032808</v>
      </c>
    </row>
    <row r="521" spans="1:29" x14ac:dyDescent="0.3">
      <c r="A521" t="s">
        <v>1405</v>
      </c>
      <c r="B521" t="s">
        <v>2302</v>
      </c>
      <c r="C521" t="s">
        <v>4031</v>
      </c>
      <c r="D521">
        <v>6736926394</v>
      </c>
      <c r="E521">
        <v>20082012762</v>
      </c>
      <c r="F521">
        <v>1004003765</v>
      </c>
      <c r="G521" s="1">
        <v>43598</v>
      </c>
      <c r="H521" t="s">
        <v>1360</v>
      </c>
      <c r="I521" t="s">
        <v>1349</v>
      </c>
      <c r="J521" t="s">
        <v>2308</v>
      </c>
      <c r="K521" t="s">
        <v>2313</v>
      </c>
      <c r="L521" t="s">
        <v>2305</v>
      </c>
      <c r="M521" t="s">
        <v>1409</v>
      </c>
      <c r="N521" t="s">
        <v>1410</v>
      </c>
      <c r="O521" t="s">
        <v>1423</v>
      </c>
      <c r="P521" t="s">
        <v>1423</v>
      </c>
      <c r="Q521" t="s">
        <v>1412</v>
      </c>
      <c r="S521" s="1">
        <v>45908</v>
      </c>
      <c r="V521" s="1">
        <v>45901</v>
      </c>
      <c r="W521" s="1">
        <v>35544</v>
      </c>
      <c r="X521" t="s">
        <v>2412</v>
      </c>
      <c r="Z521" t="s">
        <v>2853</v>
      </c>
      <c r="AA521" t="s">
        <v>1419</v>
      </c>
      <c r="AB521" t="s">
        <v>4032</v>
      </c>
      <c r="AC521">
        <v>88999557225</v>
      </c>
    </row>
    <row r="522" spans="1:29" x14ac:dyDescent="0.3">
      <c r="A522" t="s">
        <v>1405</v>
      </c>
      <c r="B522" t="s">
        <v>2302</v>
      </c>
      <c r="C522" t="s">
        <v>4033</v>
      </c>
      <c r="D522">
        <v>3958904386</v>
      </c>
      <c r="E522">
        <v>286971023</v>
      </c>
      <c r="F522">
        <v>1004014547</v>
      </c>
      <c r="G522" s="1">
        <v>45397</v>
      </c>
      <c r="H522" t="s">
        <v>1360</v>
      </c>
      <c r="I522" t="s">
        <v>1374</v>
      </c>
      <c r="J522" t="s">
        <v>1351</v>
      </c>
      <c r="K522" t="s">
        <v>1353</v>
      </c>
      <c r="L522" t="s">
        <v>2305</v>
      </c>
      <c r="M522" t="s">
        <v>1409</v>
      </c>
      <c r="N522" t="s">
        <v>1410</v>
      </c>
      <c r="O522" t="s">
        <v>1411</v>
      </c>
      <c r="P522" t="s">
        <v>1423</v>
      </c>
      <c r="Q522" t="s">
        <v>1412</v>
      </c>
      <c r="S522" s="1">
        <v>46118</v>
      </c>
      <c r="T522" s="1">
        <v>45941</v>
      </c>
      <c r="U522" s="1">
        <v>46060</v>
      </c>
      <c r="W522" s="1">
        <v>32582</v>
      </c>
      <c r="X522" t="s">
        <v>2851</v>
      </c>
      <c r="Y522" t="s">
        <v>2852</v>
      </c>
      <c r="Z522" t="s">
        <v>2778</v>
      </c>
      <c r="AA522" t="s">
        <v>1419</v>
      </c>
      <c r="AB522" t="s">
        <v>4034</v>
      </c>
      <c r="AC522">
        <v>8898154373</v>
      </c>
    </row>
    <row r="523" spans="1:29" x14ac:dyDescent="0.3">
      <c r="A523" t="s">
        <v>1405</v>
      </c>
      <c r="B523" t="s">
        <v>2302</v>
      </c>
      <c r="C523" t="s">
        <v>4035</v>
      </c>
      <c r="D523">
        <v>69449635072</v>
      </c>
      <c r="E523">
        <v>4909860</v>
      </c>
      <c r="F523">
        <v>1004017075</v>
      </c>
      <c r="G523" s="1">
        <v>45728</v>
      </c>
      <c r="H523" t="s">
        <v>1360</v>
      </c>
      <c r="I523" t="s">
        <v>1349</v>
      </c>
      <c r="J523" t="s">
        <v>1361</v>
      </c>
      <c r="K523" t="s">
        <v>2308</v>
      </c>
      <c r="L523" t="s">
        <v>2305</v>
      </c>
      <c r="M523" t="s">
        <v>1409</v>
      </c>
      <c r="N523" t="s">
        <v>1410</v>
      </c>
      <c r="O523" t="s">
        <v>1423</v>
      </c>
      <c r="P523" t="s">
        <v>1411</v>
      </c>
      <c r="Q523" t="s">
        <v>1412</v>
      </c>
      <c r="S523" s="1">
        <v>46119</v>
      </c>
      <c r="V523" s="1">
        <v>46113</v>
      </c>
      <c r="W523" s="1">
        <v>26205</v>
      </c>
      <c r="X523" t="s">
        <v>1492</v>
      </c>
      <c r="Y523" t="s">
        <v>2058</v>
      </c>
      <c r="Z523" t="s">
        <v>4036</v>
      </c>
      <c r="AA523" t="s">
        <v>1419</v>
      </c>
      <c r="AB523" t="s">
        <v>4037</v>
      </c>
      <c r="AC523">
        <v>48920028301</v>
      </c>
    </row>
    <row r="524" spans="1:29" x14ac:dyDescent="0.3">
      <c r="A524" t="s">
        <v>1405</v>
      </c>
      <c r="B524" t="s">
        <v>2302</v>
      </c>
      <c r="C524" t="s">
        <v>4038</v>
      </c>
      <c r="D524">
        <v>5735926594</v>
      </c>
      <c r="E524">
        <v>1305485378</v>
      </c>
      <c r="F524">
        <v>1004004526</v>
      </c>
      <c r="G524" s="1">
        <v>43710</v>
      </c>
      <c r="H524" t="s">
        <v>1360</v>
      </c>
      <c r="I524" t="s">
        <v>1374</v>
      </c>
      <c r="J524" t="s">
        <v>2308</v>
      </c>
      <c r="K524" t="s">
        <v>2313</v>
      </c>
      <c r="L524" t="s">
        <v>2305</v>
      </c>
      <c r="M524" t="s">
        <v>1409</v>
      </c>
      <c r="N524" t="s">
        <v>1410</v>
      </c>
      <c r="O524" t="s">
        <v>1411</v>
      </c>
      <c r="P524" t="s">
        <v>1411</v>
      </c>
      <c r="Q524" t="s">
        <v>1412</v>
      </c>
      <c r="S524" s="1">
        <v>46043</v>
      </c>
      <c r="W524" s="1">
        <v>34068</v>
      </c>
      <c r="X524" t="s">
        <v>1510</v>
      </c>
      <c r="Y524" t="s">
        <v>2336</v>
      </c>
      <c r="Z524" t="s">
        <v>3152</v>
      </c>
      <c r="AA524" t="s">
        <v>1419</v>
      </c>
      <c r="AB524" t="s">
        <v>4039</v>
      </c>
      <c r="AC524">
        <v>74991959339</v>
      </c>
    </row>
    <row r="525" spans="1:29" x14ac:dyDescent="0.3">
      <c r="A525" t="s">
        <v>1405</v>
      </c>
      <c r="B525" t="s">
        <v>2302</v>
      </c>
      <c r="C525" t="s">
        <v>4040</v>
      </c>
      <c r="D525">
        <v>2142000274</v>
      </c>
      <c r="E525">
        <v>11057050</v>
      </c>
      <c r="F525">
        <v>1004010822</v>
      </c>
      <c r="G525" s="1">
        <v>44823</v>
      </c>
      <c r="H525" t="s">
        <v>1360</v>
      </c>
      <c r="I525" t="s">
        <v>1374</v>
      </c>
      <c r="J525" t="s">
        <v>2572</v>
      </c>
      <c r="K525" t="s">
        <v>2573</v>
      </c>
      <c r="L525" t="s">
        <v>2305</v>
      </c>
      <c r="M525" t="s">
        <v>1409</v>
      </c>
      <c r="N525" t="s">
        <v>1410</v>
      </c>
      <c r="O525" t="s">
        <v>1411</v>
      </c>
      <c r="P525" t="s">
        <v>1411</v>
      </c>
      <c r="Q525" t="s">
        <v>1412</v>
      </c>
      <c r="S525" s="1">
        <v>46043</v>
      </c>
      <c r="W525" s="1">
        <v>32723</v>
      </c>
      <c r="X525" t="s">
        <v>3843</v>
      </c>
      <c r="Y525" t="s">
        <v>3844</v>
      </c>
      <c r="Z525" t="s">
        <v>2498</v>
      </c>
      <c r="AA525" t="s">
        <v>1419</v>
      </c>
      <c r="AB525" t="s">
        <v>687</v>
      </c>
      <c r="AC525">
        <v>6899530728</v>
      </c>
    </row>
    <row r="526" spans="1:29" x14ac:dyDescent="0.3">
      <c r="A526" t="s">
        <v>1405</v>
      </c>
      <c r="B526" t="s">
        <v>2302</v>
      </c>
      <c r="C526" t="s">
        <v>4041</v>
      </c>
      <c r="D526">
        <v>11992238758</v>
      </c>
      <c r="E526" s="3">
        <v>275635068</v>
      </c>
      <c r="F526">
        <v>1004015660</v>
      </c>
      <c r="G526" s="1">
        <v>45541</v>
      </c>
      <c r="H526" t="s">
        <v>1360</v>
      </c>
      <c r="I526" t="s">
        <v>1374</v>
      </c>
      <c r="J526" t="s">
        <v>1361</v>
      </c>
      <c r="K526" t="s">
        <v>2308</v>
      </c>
      <c r="L526" t="s">
        <v>2305</v>
      </c>
      <c r="M526" t="s">
        <v>1409</v>
      </c>
      <c r="N526" t="s">
        <v>1410</v>
      </c>
      <c r="O526" t="s">
        <v>1411</v>
      </c>
      <c r="P526" t="s">
        <v>1411</v>
      </c>
      <c r="Q526" t="s">
        <v>1412</v>
      </c>
      <c r="S526" s="1">
        <v>46043</v>
      </c>
      <c r="W526" s="1">
        <v>34898</v>
      </c>
      <c r="X526" t="s">
        <v>1515</v>
      </c>
      <c r="Z526" t="s">
        <v>3367</v>
      </c>
      <c r="AA526" t="s">
        <v>1419</v>
      </c>
      <c r="AB526" t="s">
        <v>4042</v>
      </c>
      <c r="AC526">
        <v>21979450260</v>
      </c>
    </row>
    <row r="527" spans="1:29" x14ac:dyDescent="0.3">
      <c r="A527" t="s">
        <v>1405</v>
      </c>
      <c r="B527" t="s">
        <v>2302</v>
      </c>
      <c r="C527" t="s">
        <v>4043</v>
      </c>
      <c r="D527">
        <v>1532671350</v>
      </c>
      <c r="E527" t="s">
        <v>4044</v>
      </c>
      <c r="F527">
        <v>1004019521</v>
      </c>
      <c r="G527" s="1">
        <v>45901</v>
      </c>
      <c r="H527" t="s">
        <v>1360</v>
      </c>
      <c r="I527" t="s">
        <v>1374</v>
      </c>
      <c r="J527" t="s">
        <v>1361</v>
      </c>
      <c r="K527" t="s">
        <v>2308</v>
      </c>
      <c r="L527" t="s">
        <v>2305</v>
      </c>
      <c r="M527" t="s">
        <v>1409</v>
      </c>
      <c r="N527" t="s">
        <v>1410</v>
      </c>
      <c r="O527" t="s">
        <v>1411</v>
      </c>
      <c r="P527" t="s">
        <v>1411</v>
      </c>
      <c r="Q527" t="s">
        <v>1412</v>
      </c>
      <c r="S527" s="1">
        <v>46069</v>
      </c>
      <c r="W527" s="1">
        <v>31875</v>
      </c>
      <c r="X527" t="s">
        <v>4045</v>
      </c>
      <c r="Y527" t="s">
        <v>4046</v>
      </c>
      <c r="Z527" t="s">
        <v>3132</v>
      </c>
      <c r="AA527" t="s">
        <v>1415</v>
      </c>
      <c r="AB527" t="s">
        <v>4047</v>
      </c>
      <c r="AC527">
        <v>98982993717</v>
      </c>
    </row>
    <row r="528" spans="1:29" x14ac:dyDescent="0.3">
      <c r="A528" t="s">
        <v>1405</v>
      </c>
      <c r="B528" t="s">
        <v>2302</v>
      </c>
      <c r="C528" t="s">
        <v>4048</v>
      </c>
      <c r="D528">
        <v>5727550580</v>
      </c>
      <c r="E528" t="s">
        <v>4049</v>
      </c>
      <c r="F528">
        <v>1004015722</v>
      </c>
      <c r="G528" s="1">
        <v>45549</v>
      </c>
      <c r="H528" t="s">
        <v>1360</v>
      </c>
      <c r="I528" t="s">
        <v>1374</v>
      </c>
      <c r="J528" t="s">
        <v>1361</v>
      </c>
      <c r="K528" t="s">
        <v>2308</v>
      </c>
      <c r="L528" t="s">
        <v>2305</v>
      </c>
      <c r="M528" t="s">
        <v>1421</v>
      </c>
      <c r="N528" t="s">
        <v>1422</v>
      </c>
      <c r="O528" t="s">
        <v>1411</v>
      </c>
      <c r="P528" t="s">
        <v>1411</v>
      </c>
      <c r="Q528" t="s">
        <v>1412</v>
      </c>
      <c r="S528" s="1">
        <v>46043</v>
      </c>
      <c r="W528" s="1">
        <v>34899</v>
      </c>
      <c r="X528" t="s">
        <v>1667</v>
      </c>
      <c r="Y528" t="s">
        <v>4050</v>
      </c>
      <c r="Z528" t="s">
        <v>2363</v>
      </c>
      <c r="AA528" t="s">
        <v>1415</v>
      </c>
      <c r="AB528" t="s">
        <v>4051</v>
      </c>
      <c r="AC528">
        <v>75981792984</v>
      </c>
    </row>
    <row r="529" spans="1:29" x14ac:dyDescent="0.3">
      <c r="A529" t="s">
        <v>1405</v>
      </c>
      <c r="B529" t="s">
        <v>2302</v>
      </c>
      <c r="C529" t="s">
        <v>4052</v>
      </c>
      <c r="D529">
        <v>74099353168</v>
      </c>
      <c r="E529">
        <v>17721423</v>
      </c>
      <c r="F529">
        <v>1004012814</v>
      </c>
      <c r="G529" s="1">
        <v>45173</v>
      </c>
      <c r="H529" t="s">
        <v>1360</v>
      </c>
      <c r="I529" t="s">
        <v>1349</v>
      </c>
      <c r="J529">
        <v>9</v>
      </c>
      <c r="K529" t="s">
        <v>4053</v>
      </c>
      <c r="L529" t="s">
        <v>2305</v>
      </c>
      <c r="M529" t="s">
        <v>1409</v>
      </c>
      <c r="N529" t="s">
        <v>1410</v>
      </c>
      <c r="O529" t="s">
        <v>1423</v>
      </c>
      <c r="P529" t="s">
        <v>1423</v>
      </c>
      <c r="Q529" t="s">
        <v>1412</v>
      </c>
      <c r="S529" s="1">
        <v>45915</v>
      </c>
      <c r="V529" s="1">
        <v>45908</v>
      </c>
      <c r="W529" s="1">
        <v>34204</v>
      </c>
      <c r="X529" t="s">
        <v>3853</v>
      </c>
      <c r="Y529" t="s">
        <v>3854</v>
      </c>
      <c r="Z529" t="s">
        <v>4029</v>
      </c>
      <c r="AA529" t="s">
        <v>1419</v>
      </c>
      <c r="AB529" t="s">
        <v>4054</v>
      </c>
      <c r="AC529">
        <v>65999402453</v>
      </c>
    </row>
    <row r="530" spans="1:29" x14ac:dyDescent="0.3">
      <c r="A530" t="s">
        <v>1405</v>
      </c>
      <c r="B530" t="s">
        <v>2302</v>
      </c>
      <c r="C530" t="s">
        <v>4055</v>
      </c>
      <c r="D530">
        <v>12467784401</v>
      </c>
      <c r="E530" s="3">
        <v>9891507</v>
      </c>
      <c r="F530">
        <v>1004021339</v>
      </c>
      <c r="G530" s="1">
        <v>46071</v>
      </c>
      <c r="H530" t="s">
        <v>1360</v>
      </c>
      <c r="I530" t="s">
        <v>1374</v>
      </c>
      <c r="J530" t="s">
        <v>2308</v>
      </c>
      <c r="K530" t="s">
        <v>2313</v>
      </c>
      <c r="L530" t="s">
        <v>2305</v>
      </c>
      <c r="M530" t="s">
        <v>1409</v>
      </c>
      <c r="N530" t="s">
        <v>1410</v>
      </c>
      <c r="O530" t="s">
        <v>1411</v>
      </c>
      <c r="P530" t="s">
        <v>1411</v>
      </c>
      <c r="Q530" t="s">
        <v>1412</v>
      </c>
      <c r="S530" s="1">
        <v>46065</v>
      </c>
      <c r="W530" s="1">
        <v>35953</v>
      </c>
      <c r="X530" t="s">
        <v>4056</v>
      </c>
      <c r="Z530" t="s">
        <v>3214</v>
      </c>
      <c r="AA530" t="s">
        <v>1415</v>
      </c>
      <c r="AB530" t="s">
        <v>4057</v>
      </c>
      <c r="AC530">
        <v>81992254677</v>
      </c>
    </row>
    <row r="531" spans="1:29" x14ac:dyDescent="0.3">
      <c r="A531" t="s">
        <v>1405</v>
      </c>
      <c r="B531" t="s">
        <v>2302</v>
      </c>
      <c r="C531" t="s">
        <v>4058</v>
      </c>
      <c r="D531">
        <v>60381759385</v>
      </c>
      <c r="E531">
        <v>37915120092</v>
      </c>
      <c r="F531">
        <v>1004004863</v>
      </c>
      <c r="G531" s="1">
        <v>43741</v>
      </c>
      <c r="H531" t="s">
        <v>1360</v>
      </c>
      <c r="I531" t="s">
        <v>1374</v>
      </c>
      <c r="J531" t="s">
        <v>2308</v>
      </c>
      <c r="K531" t="s">
        <v>2313</v>
      </c>
      <c r="L531" t="s">
        <v>2305</v>
      </c>
      <c r="M531" t="s">
        <v>1421</v>
      </c>
      <c r="N531" t="s">
        <v>1422</v>
      </c>
      <c r="O531" t="s">
        <v>1411</v>
      </c>
      <c r="P531" t="s">
        <v>1411</v>
      </c>
      <c r="Q531" t="s">
        <v>1412</v>
      </c>
      <c r="S531" s="1">
        <v>46069</v>
      </c>
      <c r="W531" s="1">
        <v>33869</v>
      </c>
      <c r="X531" t="s">
        <v>4059</v>
      </c>
      <c r="Y531" t="s">
        <v>4060</v>
      </c>
      <c r="Z531" t="s">
        <v>2917</v>
      </c>
      <c r="AA531" t="s">
        <v>1415</v>
      </c>
      <c r="AB531" t="s">
        <v>4061</v>
      </c>
      <c r="AC531">
        <v>98989187925</v>
      </c>
    </row>
    <row r="532" spans="1:29" x14ac:dyDescent="0.3">
      <c r="A532" t="s">
        <v>1405</v>
      </c>
      <c r="B532" t="s">
        <v>2302</v>
      </c>
      <c r="C532" t="s">
        <v>4062</v>
      </c>
      <c r="D532">
        <v>13464405737</v>
      </c>
      <c r="E532" t="s">
        <v>4063</v>
      </c>
      <c r="F532">
        <v>1004016957</v>
      </c>
      <c r="G532" s="1">
        <v>45721</v>
      </c>
      <c r="H532" t="s">
        <v>1360</v>
      </c>
      <c r="I532" t="s">
        <v>1374</v>
      </c>
      <c r="J532" t="s">
        <v>1361</v>
      </c>
      <c r="K532" t="s">
        <v>2308</v>
      </c>
      <c r="L532" t="s">
        <v>2305</v>
      </c>
      <c r="M532" t="s">
        <v>1421</v>
      </c>
      <c r="N532" t="s">
        <v>1422</v>
      </c>
      <c r="O532" t="s">
        <v>1462</v>
      </c>
      <c r="P532" t="s">
        <v>1411</v>
      </c>
      <c r="Q532" t="s">
        <v>1412</v>
      </c>
      <c r="S532" s="1">
        <v>46043</v>
      </c>
      <c r="W532" s="1">
        <v>33827</v>
      </c>
      <c r="X532" t="s">
        <v>1721</v>
      </c>
      <c r="Z532" t="s">
        <v>4064</v>
      </c>
      <c r="AA532" t="s">
        <v>1419</v>
      </c>
      <c r="AB532" t="s">
        <v>4065</v>
      </c>
      <c r="AC532">
        <v>21981294608</v>
      </c>
    </row>
    <row r="533" spans="1:29" x14ac:dyDescent="0.3">
      <c r="A533" t="s">
        <v>1405</v>
      </c>
      <c r="B533" t="s">
        <v>2302</v>
      </c>
      <c r="C533" t="s">
        <v>4066</v>
      </c>
      <c r="D533">
        <v>2574003039</v>
      </c>
      <c r="E533">
        <v>1112109416</v>
      </c>
      <c r="F533">
        <v>1004005041</v>
      </c>
      <c r="G533" s="1">
        <v>43773</v>
      </c>
      <c r="H533" t="s">
        <v>1360</v>
      </c>
      <c r="I533" t="s">
        <v>1349</v>
      </c>
      <c r="J533" t="s">
        <v>2308</v>
      </c>
      <c r="K533" t="s">
        <v>2313</v>
      </c>
      <c r="L533" t="s">
        <v>2305</v>
      </c>
      <c r="M533" t="s">
        <v>1421</v>
      </c>
      <c r="N533" t="s">
        <v>1410</v>
      </c>
      <c r="O533" t="s">
        <v>1423</v>
      </c>
      <c r="P533" t="s">
        <v>1423</v>
      </c>
      <c r="Q533" t="s">
        <v>1412</v>
      </c>
      <c r="S533" s="1">
        <v>46085</v>
      </c>
      <c r="V533" s="1">
        <v>46083</v>
      </c>
      <c r="W533" s="1">
        <v>33575</v>
      </c>
      <c r="X533" t="s">
        <v>4067</v>
      </c>
      <c r="Y533" t="s">
        <v>4068</v>
      </c>
      <c r="Z533" t="s">
        <v>2430</v>
      </c>
      <c r="AA533" t="s">
        <v>1419</v>
      </c>
      <c r="AB533" t="s">
        <v>4069</v>
      </c>
      <c r="AC533">
        <v>51982099225</v>
      </c>
    </row>
    <row r="534" spans="1:29" x14ac:dyDescent="0.3">
      <c r="A534" t="s">
        <v>1405</v>
      </c>
      <c r="B534" t="s">
        <v>2302</v>
      </c>
      <c r="C534" t="s">
        <v>4070</v>
      </c>
      <c r="D534">
        <v>2819573045</v>
      </c>
      <c r="E534">
        <v>4103888667</v>
      </c>
      <c r="F534">
        <v>1004019693</v>
      </c>
      <c r="G534" s="1">
        <v>45908</v>
      </c>
      <c r="H534" t="s">
        <v>1360</v>
      </c>
      <c r="I534" t="s">
        <v>1374</v>
      </c>
      <c r="J534" t="s">
        <v>1361</v>
      </c>
      <c r="K534" t="s">
        <v>2308</v>
      </c>
      <c r="L534" t="s">
        <v>2305</v>
      </c>
      <c r="M534" t="s">
        <v>1409</v>
      </c>
      <c r="N534" t="s">
        <v>1410</v>
      </c>
      <c r="O534" t="s">
        <v>1423</v>
      </c>
      <c r="P534" t="s">
        <v>1423</v>
      </c>
      <c r="Q534" t="s">
        <v>1412</v>
      </c>
      <c r="S534" s="1">
        <v>46043</v>
      </c>
      <c r="W534" s="1">
        <v>33422</v>
      </c>
      <c r="X534" t="s">
        <v>4071</v>
      </c>
      <c r="Y534" t="s">
        <v>1454</v>
      </c>
      <c r="Z534" t="s">
        <v>2607</v>
      </c>
      <c r="AA534" t="s">
        <v>1419</v>
      </c>
      <c r="AB534" t="s">
        <v>4072</v>
      </c>
      <c r="AC534">
        <v>51996513674</v>
      </c>
    </row>
    <row r="535" spans="1:29" x14ac:dyDescent="0.3">
      <c r="A535" t="s">
        <v>1405</v>
      </c>
      <c r="B535" t="s">
        <v>2302</v>
      </c>
      <c r="C535" t="s">
        <v>4073</v>
      </c>
      <c r="D535">
        <v>70368901181</v>
      </c>
      <c r="E535">
        <v>26812231</v>
      </c>
      <c r="F535">
        <v>1004022267</v>
      </c>
      <c r="G535" s="1">
        <v>46113</v>
      </c>
      <c r="H535" t="s">
        <v>1360</v>
      </c>
      <c r="I535" t="s">
        <v>1374</v>
      </c>
      <c r="J535" t="s">
        <v>2308</v>
      </c>
      <c r="K535" t="s">
        <v>2313</v>
      </c>
      <c r="L535" t="s">
        <v>2305</v>
      </c>
      <c r="M535" t="s">
        <v>1421</v>
      </c>
      <c r="N535" t="s">
        <v>1422</v>
      </c>
      <c r="O535" t="s">
        <v>1423</v>
      </c>
      <c r="P535" t="s">
        <v>1423</v>
      </c>
      <c r="Q535" t="s">
        <v>1412</v>
      </c>
      <c r="S535" s="1">
        <v>46118</v>
      </c>
      <c r="W535" s="1">
        <v>36384</v>
      </c>
      <c r="X535" t="s">
        <v>4074</v>
      </c>
      <c r="Y535" t="s">
        <v>4075</v>
      </c>
      <c r="Z535" t="s">
        <v>3383</v>
      </c>
      <c r="AA535" t="s">
        <v>1419</v>
      </c>
      <c r="AB535" t="s">
        <v>4076</v>
      </c>
      <c r="AC535">
        <v>66996728386</v>
      </c>
    </row>
    <row r="536" spans="1:29" x14ac:dyDescent="0.3">
      <c r="A536" t="s">
        <v>1405</v>
      </c>
      <c r="B536" t="s">
        <v>2302</v>
      </c>
      <c r="C536" t="s">
        <v>4077</v>
      </c>
      <c r="D536">
        <v>70308027132</v>
      </c>
      <c r="E536">
        <v>6241190</v>
      </c>
      <c r="F536">
        <v>1004017557</v>
      </c>
      <c r="G536" s="1">
        <v>45754</v>
      </c>
      <c r="H536" t="s">
        <v>1360</v>
      </c>
      <c r="I536" t="s">
        <v>1349</v>
      </c>
      <c r="J536" t="s">
        <v>2572</v>
      </c>
      <c r="K536" t="s">
        <v>2573</v>
      </c>
      <c r="L536" t="s">
        <v>2305</v>
      </c>
      <c r="M536" t="s">
        <v>1409</v>
      </c>
      <c r="N536" t="s">
        <v>1410</v>
      </c>
      <c r="O536" t="s">
        <v>1411</v>
      </c>
      <c r="P536" t="s">
        <v>1411</v>
      </c>
      <c r="Q536" t="s">
        <v>1412</v>
      </c>
      <c r="S536" s="1">
        <v>46085</v>
      </c>
      <c r="V536" s="1">
        <v>46085</v>
      </c>
      <c r="W536" s="1">
        <v>36556</v>
      </c>
      <c r="X536" t="s">
        <v>1976</v>
      </c>
      <c r="Z536" t="s">
        <v>3206</v>
      </c>
      <c r="AA536" t="s">
        <v>1419</v>
      </c>
      <c r="AB536" t="s">
        <v>4078</v>
      </c>
      <c r="AC536">
        <v>6292282446</v>
      </c>
    </row>
    <row r="537" spans="1:29" x14ac:dyDescent="0.3">
      <c r="A537" t="s">
        <v>1405</v>
      </c>
      <c r="B537" t="s">
        <v>2302</v>
      </c>
      <c r="C537" t="s">
        <v>4079</v>
      </c>
      <c r="D537">
        <v>15352340244</v>
      </c>
      <c r="E537">
        <v>4665765</v>
      </c>
      <c r="F537">
        <v>42004102062</v>
      </c>
      <c r="G537" s="1">
        <v>40301</v>
      </c>
      <c r="H537" t="s">
        <v>1360</v>
      </c>
      <c r="I537" t="s">
        <v>2604</v>
      </c>
      <c r="J537" t="s">
        <v>2308</v>
      </c>
      <c r="K537" t="s">
        <v>2313</v>
      </c>
      <c r="L537" t="s">
        <v>2305</v>
      </c>
      <c r="M537" t="s">
        <v>1409</v>
      </c>
      <c r="N537" t="s">
        <v>1410</v>
      </c>
      <c r="O537" t="s">
        <v>1423</v>
      </c>
      <c r="P537" t="s">
        <v>1423</v>
      </c>
      <c r="Q537" t="s">
        <v>1412</v>
      </c>
      <c r="S537" s="1">
        <v>43760</v>
      </c>
      <c r="T537" s="1">
        <v>43713</v>
      </c>
      <c r="W537" s="1">
        <v>21833</v>
      </c>
      <c r="X537" t="s">
        <v>4080</v>
      </c>
      <c r="Y537" t="s">
        <v>2058</v>
      </c>
      <c r="Z537" t="s">
        <v>2397</v>
      </c>
      <c r="AA537" t="s">
        <v>1415</v>
      </c>
      <c r="AB537" t="s">
        <v>4081</v>
      </c>
      <c r="AC537">
        <v>9196360821</v>
      </c>
    </row>
    <row r="538" spans="1:29" x14ac:dyDescent="0.3">
      <c r="A538" t="s">
        <v>1405</v>
      </c>
      <c r="B538" t="s">
        <v>2302</v>
      </c>
      <c r="C538" t="s">
        <v>4082</v>
      </c>
      <c r="D538">
        <v>63871580368</v>
      </c>
      <c r="E538">
        <v>2007019049089</v>
      </c>
      <c r="F538">
        <v>1004003259</v>
      </c>
      <c r="G538" s="1">
        <v>43549</v>
      </c>
      <c r="H538" t="s">
        <v>1360</v>
      </c>
      <c r="I538" t="s">
        <v>1349</v>
      </c>
      <c r="J538" t="s">
        <v>2308</v>
      </c>
      <c r="K538" t="s">
        <v>2313</v>
      </c>
      <c r="L538" t="s">
        <v>2305</v>
      </c>
      <c r="M538" t="s">
        <v>1409</v>
      </c>
      <c r="N538" t="s">
        <v>1410</v>
      </c>
      <c r="O538" t="s">
        <v>1411</v>
      </c>
      <c r="P538" t="s">
        <v>1411</v>
      </c>
      <c r="Q538" t="s">
        <v>1412</v>
      </c>
      <c r="S538" s="1">
        <v>45903</v>
      </c>
      <c r="V538" s="1">
        <v>45901</v>
      </c>
      <c r="W538" s="1">
        <v>29209</v>
      </c>
      <c r="X538" t="s">
        <v>2504</v>
      </c>
      <c r="Y538" t="s">
        <v>4083</v>
      </c>
      <c r="Z538" t="s">
        <v>2506</v>
      </c>
      <c r="AA538" t="s">
        <v>1415</v>
      </c>
      <c r="AB538" t="s">
        <v>4084</v>
      </c>
      <c r="AC538">
        <v>88999336810</v>
      </c>
    </row>
    <row r="539" spans="1:29" x14ac:dyDescent="0.3">
      <c r="A539" t="s">
        <v>1405</v>
      </c>
      <c r="B539" t="s">
        <v>2302</v>
      </c>
      <c r="C539" t="s">
        <v>4085</v>
      </c>
      <c r="D539">
        <v>5441051337</v>
      </c>
      <c r="E539">
        <v>399476020100</v>
      </c>
      <c r="F539">
        <v>1004020144</v>
      </c>
      <c r="G539" s="1">
        <v>45931</v>
      </c>
      <c r="H539" t="s">
        <v>1360</v>
      </c>
      <c r="I539" t="s">
        <v>1374</v>
      </c>
      <c r="J539" t="s">
        <v>1361</v>
      </c>
      <c r="K539" t="s">
        <v>2308</v>
      </c>
      <c r="L539" t="s">
        <v>2305</v>
      </c>
      <c r="M539" t="s">
        <v>1421</v>
      </c>
      <c r="N539" t="s">
        <v>1410</v>
      </c>
      <c r="O539" t="s">
        <v>1423</v>
      </c>
      <c r="P539" t="s">
        <v>1423</v>
      </c>
      <c r="Q539" t="s">
        <v>1412</v>
      </c>
      <c r="S539" s="1">
        <v>46069</v>
      </c>
      <c r="W539" s="1">
        <v>35149</v>
      </c>
      <c r="X539" t="s">
        <v>1613</v>
      </c>
      <c r="Z539" t="s">
        <v>3132</v>
      </c>
      <c r="AA539" t="s">
        <v>1415</v>
      </c>
      <c r="AB539" t="s">
        <v>4086</v>
      </c>
      <c r="AC539">
        <v>98991224333</v>
      </c>
    </row>
    <row r="540" spans="1:29" x14ac:dyDescent="0.3">
      <c r="A540" t="s">
        <v>1405</v>
      </c>
      <c r="B540" t="s">
        <v>2302</v>
      </c>
      <c r="C540" t="s">
        <v>4087</v>
      </c>
      <c r="D540">
        <v>62516493304</v>
      </c>
      <c r="E540" t="s">
        <v>4088</v>
      </c>
      <c r="F540">
        <v>1004021949</v>
      </c>
      <c r="G540" s="1">
        <v>46104</v>
      </c>
      <c r="H540" t="s">
        <v>1360</v>
      </c>
      <c r="I540" t="s">
        <v>1374</v>
      </c>
      <c r="J540" t="s">
        <v>2308</v>
      </c>
      <c r="K540" t="s">
        <v>2313</v>
      </c>
      <c r="L540" t="s">
        <v>2305</v>
      </c>
      <c r="M540" t="s">
        <v>1409</v>
      </c>
      <c r="N540" t="s">
        <v>1410</v>
      </c>
      <c r="O540" t="s">
        <v>1423</v>
      </c>
      <c r="P540" t="s">
        <v>1423</v>
      </c>
      <c r="Q540" t="s">
        <v>1412</v>
      </c>
      <c r="S540" s="1">
        <v>46099</v>
      </c>
      <c r="W540" s="1">
        <v>28409</v>
      </c>
      <c r="X540" t="s">
        <v>1519</v>
      </c>
      <c r="Y540" t="s">
        <v>1823</v>
      </c>
      <c r="Z540" t="s">
        <v>3132</v>
      </c>
      <c r="AA540" t="s">
        <v>1415</v>
      </c>
      <c r="AB540" t="s">
        <v>4089</v>
      </c>
      <c r="AC540">
        <v>98987690954</v>
      </c>
    </row>
    <row r="541" spans="1:29" x14ac:dyDescent="0.3">
      <c r="A541" t="s">
        <v>1405</v>
      </c>
      <c r="B541" t="s">
        <v>2302</v>
      </c>
      <c r="C541" t="s">
        <v>4090</v>
      </c>
      <c r="D541">
        <v>4344721314</v>
      </c>
      <c r="E541">
        <v>20070072897</v>
      </c>
      <c r="F541">
        <v>1004006246</v>
      </c>
      <c r="G541" s="1">
        <v>43962</v>
      </c>
      <c r="H541" t="s">
        <v>1360</v>
      </c>
      <c r="I541" t="s">
        <v>1349</v>
      </c>
      <c r="J541" t="s">
        <v>2308</v>
      </c>
      <c r="K541" t="s">
        <v>2313</v>
      </c>
      <c r="L541" t="s">
        <v>2305</v>
      </c>
      <c r="M541" t="s">
        <v>1442</v>
      </c>
      <c r="N541" t="s">
        <v>1443</v>
      </c>
      <c r="O541" t="s">
        <v>1411</v>
      </c>
      <c r="P541" t="s">
        <v>1411</v>
      </c>
      <c r="Q541" t="s">
        <v>1593</v>
      </c>
      <c r="S541" s="1">
        <v>45756</v>
      </c>
      <c r="V541" s="1">
        <v>45754</v>
      </c>
      <c r="W541" s="1">
        <v>33659</v>
      </c>
      <c r="X541" t="s">
        <v>4091</v>
      </c>
      <c r="Z541" t="s">
        <v>4092</v>
      </c>
      <c r="AA541" t="s">
        <v>1415</v>
      </c>
      <c r="AB541" t="s">
        <v>4093</v>
      </c>
      <c r="AC541">
        <v>88999823559</v>
      </c>
    </row>
    <row r="542" spans="1:29" x14ac:dyDescent="0.3">
      <c r="A542" t="s">
        <v>1405</v>
      </c>
      <c r="B542" t="s">
        <v>2302</v>
      </c>
      <c r="C542" t="s">
        <v>4094</v>
      </c>
      <c r="D542">
        <v>60429944330</v>
      </c>
      <c r="E542">
        <v>377385520094</v>
      </c>
      <c r="F542">
        <v>1004011748</v>
      </c>
      <c r="G542" s="1">
        <v>45019</v>
      </c>
      <c r="H542" t="s">
        <v>1360</v>
      </c>
      <c r="I542" t="s">
        <v>1374</v>
      </c>
      <c r="J542" t="s">
        <v>1361</v>
      </c>
      <c r="K542" t="s">
        <v>2308</v>
      </c>
      <c r="L542" t="s">
        <v>2305</v>
      </c>
      <c r="M542" t="s">
        <v>1421</v>
      </c>
      <c r="N542" t="s">
        <v>1422</v>
      </c>
      <c r="O542" t="s">
        <v>1411</v>
      </c>
      <c r="P542" t="s">
        <v>1411</v>
      </c>
      <c r="Q542" t="s">
        <v>1412</v>
      </c>
      <c r="S542" s="1">
        <v>46069</v>
      </c>
      <c r="W542" s="1">
        <v>34663</v>
      </c>
      <c r="X542" t="s">
        <v>4095</v>
      </c>
      <c r="Y542" t="s">
        <v>2762</v>
      </c>
      <c r="Z542" t="s">
        <v>3132</v>
      </c>
      <c r="AA542" t="s">
        <v>1415</v>
      </c>
      <c r="AB542" t="s">
        <v>4096</v>
      </c>
      <c r="AC542">
        <v>98991544867</v>
      </c>
    </row>
    <row r="543" spans="1:29" x14ac:dyDescent="0.3">
      <c r="A543" t="s">
        <v>1405</v>
      </c>
      <c r="B543" t="s">
        <v>2302</v>
      </c>
      <c r="C543" t="s">
        <v>4097</v>
      </c>
      <c r="D543">
        <v>7107693344</v>
      </c>
      <c r="E543">
        <v>20073173368</v>
      </c>
      <c r="F543">
        <v>1004019524</v>
      </c>
      <c r="G543" s="1">
        <v>45901</v>
      </c>
      <c r="H543" t="s">
        <v>1360</v>
      </c>
      <c r="I543" t="s">
        <v>1374</v>
      </c>
      <c r="J543" t="s">
        <v>1361</v>
      </c>
      <c r="K543" t="s">
        <v>2308</v>
      </c>
      <c r="L543" t="s">
        <v>2305</v>
      </c>
      <c r="M543" t="s">
        <v>1409</v>
      </c>
      <c r="N543" t="s">
        <v>1410</v>
      </c>
      <c r="O543" t="s">
        <v>1411</v>
      </c>
      <c r="P543" t="s">
        <v>1411</v>
      </c>
      <c r="Q543" t="s">
        <v>1412</v>
      </c>
      <c r="S543" s="1">
        <v>46043</v>
      </c>
      <c r="W543" s="1">
        <v>35682</v>
      </c>
      <c r="X543" t="s">
        <v>1507</v>
      </c>
      <c r="Y543" t="s">
        <v>2786</v>
      </c>
      <c r="Z543" t="s">
        <v>2506</v>
      </c>
      <c r="AA543" t="s">
        <v>1415</v>
      </c>
      <c r="AB543" t="s">
        <v>4098</v>
      </c>
      <c r="AC543">
        <v>88996592850</v>
      </c>
    </row>
    <row r="544" spans="1:29" x14ac:dyDescent="0.3">
      <c r="A544" t="s">
        <v>1405</v>
      </c>
      <c r="B544" t="s">
        <v>2302</v>
      </c>
      <c r="C544" t="s">
        <v>4099</v>
      </c>
      <c r="D544">
        <v>94142785249</v>
      </c>
      <c r="E544">
        <v>5727152</v>
      </c>
      <c r="F544">
        <v>1004009631</v>
      </c>
      <c r="G544" s="1">
        <v>44657</v>
      </c>
      <c r="H544" t="s">
        <v>1360</v>
      </c>
      <c r="I544" t="s">
        <v>1374</v>
      </c>
      <c r="J544" t="s">
        <v>2348</v>
      </c>
      <c r="K544" t="s">
        <v>2308</v>
      </c>
      <c r="L544" t="s">
        <v>2305</v>
      </c>
      <c r="M544" t="s">
        <v>1409</v>
      </c>
      <c r="N544" t="s">
        <v>1410</v>
      </c>
      <c r="O544" t="s">
        <v>1411</v>
      </c>
      <c r="P544" t="s">
        <v>1411</v>
      </c>
      <c r="Q544" t="s">
        <v>1412</v>
      </c>
      <c r="S544" s="1">
        <v>46043</v>
      </c>
      <c r="W544" s="1">
        <v>32772</v>
      </c>
      <c r="X544" t="s">
        <v>2516</v>
      </c>
      <c r="Y544" t="s">
        <v>2517</v>
      </c>
      <c r="Z544" t="s">
        <v>2518</v>
      </c>
      <c r="AA544" t="s">
        <v>1415</v>
      </c>
      <c r="AB544" t="s">
        <v>4100</v>
      </c>
      <c r="AC544">
        <v>91992553939</v>
      </c>
    </row>
    <row r="545" spans="1:29" x14ac:dyDescent="0.3">
      <c r="A545" t="s">
        <v>1405</v>
      </c>
      <c r="B545" t="s">
        <v>2302</v>
      </c>
      <c r="C545" t="s">
        <v>4101</v>
      </c>
      <c r="D545">
        <v>500463573</v>
      </c>
      <c r="E545">
        <v>766420205</v>
      </c>
      <c r="F545">
        <v>1004010506</v>
      </c>
      <c r="G545" s="1">
        <v>44781</v>
      </c>
      <c r="H545" t="s">
        <v>1360</v>
      </c>
      <c r="I545" t="s">
        <v>1349</v>
      </c>
      <c r="J545" t="s">
        <v>2348</v>
      </c>
      <c r="K545" t="s">
        <v>2308</v>
      </c>
      <c r="L545" t="s">
        <v>2305</v>
      </c>
      <c r="M545" t="s">
        <v>1409</v>
      </c>
      <c r="N545" t="s">
        <v>1410</v>
      </c>
      <c r="O545" t="s">
        <v>1423</v>
      </c>
      <c r="P545" t="s">
        <v>1423</v>
      </c>
      <c r="Q545" t="s">
        <v>1412</v>
      </c>
      <c r="S545" s="1">
        <v>45793</v>
      </c>
      <c r="V545" s="1">
        <v>45778</v>
      </c>
      <c r="W545" s="1">
        <v>29693</v>
      </c>
      <c r="X545" t="s">
        <v>4102</v>
      </c>
      <c r="Z545" t="s">
        <v>4103</v>
      </c>
      <c r="AA545" t="s">
        <v>1419</v>
      </c>
      <c r="AB545" t="s">
        <v>4104</v>
      </c>
      <c r="AC545">
        <v>77988271998</v>
      </c>
    </row>
    <row r="546" spans="1:29" x14ac:dyDescent="0.3">
      <c r="A546" t="s">
        <v>1405</v>
      </c>
      <c r="B546" t="s">
        <v>2302</v>
      </c>
      <c r="C546" t="s">
        <v>4105</v>
      </c>
      <c r="D546">
        <v>2636137556</v>
      </c>
      <c r="E546" t="s">
        <v>4106</v>
      </c>
      <c r="F546">
        <v>1004015649</v>
      </c>
      <c r="G546" s="1">
        <v>45540</v>
      </c>
      <c r="H546" t="s">
        <v>1360</v>
      </c>
      <c r="I546" t="s">
        <v>1349</v>
      </c>
      <c r="J546" t="s">
        <v>2348</v>
      </c>
      <c r="K546" t="s">
        <v>2308</v>
      </c>
      <c r="L546" t="s">
        <v>2305</v>
      </c>
      <c r="M546" t="s">
        <v>1409</v>
      </c>
      <c r="N546" t="s">
        <v>1410</v>
      </c>
      <c r="O546" t="s">
        <v>1462</v>
      </c>
      <c r="P546" t="s">
        <v>1462</v>
      </c>
      <c r="Q546" t="s">
        <v>1412</v>
      </c>
      <c r="S546" s="1">
        <v>45841</v>
      </c>
      <c r="V546" s="1">
        <v>45840</v>
      </c>
      <c r="W546" s="1">
        <v>31458</v>
      </c>
      <c r="X546" t="s">
        <v>1430</v>
      </c>
      <c r="Z546" t="s">
        <v>2907</v>
      </c>
      <c r="AA546" t="s">
        <v>1419</v>
      </c>
      <c r="AB546" t="s">
        <v>4107</v>
      </c>
      <c r="AC546">
        <v>71986148688</v>
      </c>
    </row>
    <row r="547" spans="1:29" x14ac:dyDescent="0.3">
      <c r="A547" t="s">
        <v>1405</v>
      </c>
      <c r="B547" t="s">
        <v>2302</v>
      </c>
      <c r="C547" t="s">
        <v>4108</v>
      </c>
      <c r="D547">
        <v>4157971957</v>
      </c>
      <c r="E547">
        <v>4577560</v>
      </c>
      <c r="F547">
        <v>42004202456</v>
      </c>
      <c r="G547" s="1">
        <v>42584</v>
      </c>
      <c r="H547" t="s">
        <v>1360</v>
      </c>
      <c r="I547" t="s">
        <v>1374</v>
      </c>
      <c r="J547" t="s">
        <v>2308</v>
      </c>
      <c r="K547" t="s">
        <v>2313</v>
      </c>
      <c r="L547" t="s">
        <v>2305</v>
      </c>
      <c r="M547" t="s">
        <v>1409</v>
      </c>
      <c r="N547" t="s">
        <v>1410</v>
      </c>
      <c r="O547" t="s">
        <v>1423</v>
      </c>
      <c r="P547" t="s">
        <v>1423</v>
      </c>
      <c r="Q547" t="s">
        <v>1412</v>
      </c>
      <c r="S547" s="1">
        <v>46043</v>
      </c>
      <c r="W547" s="1">
        <v>31483</v>
      </c>
      <c r="X547" t="s">
        <v>4109</v>
      </c>
      <c r="Y547" t="s">
        <v>2731</v>
      </c>
      <c r="Z547" t="s">
        <v>2818</v>
      </c>
      <c r="AA547" t="s">
        <v>1415</v>
      </c>
      <c r="AB547" t="s">
        <v>4110</v>
      </c>
    </row>
    <row r="548" spans="1:29" x14ac:dyDescent="0.3">
      <c r="A548" t="s">
        <v>1405</v>
      </c>
      <c r="B548" t="s">
        <v>2302</v>
      </c>
      <c r="C548" t="s">
        <v>4111</v>
      </c>
      <c r="D548">
        <v>8755097979</v>
      </c>
      <c r="E548">
        <v>5232431</v>
      </c>
      <c r="F548">
        <v>1004011757</v>
      </c>
      <c r="G548" s="1">
        <v>45020</v>
      </c>
      <c r="H548" t="s">
        <v>1360</v>
      </c>
      <c r="I548" t="s">
        <v>1349</v>
      </c>
      <c r="J548" t="s">
        <v>2348</v>
      </c>
      <c r="K548" t="s">
        <v>2308</v>
      </c>
      <c r="L548" t="s">
        <v>2305</v>
      </c>
      <c r="M548" t="s">
        <v>1409</v>
      </c>
      <c r="N548" t="s">
        <v>1410</v>
      </c>
      <c r="O548" t="s">
        <v>1423</v>
      </c>
      <c r="P548" t="s">
        <v>1423</v>
      </c>
      <c r="Q548" t="s">
        <v>1412</v>
      </c>
      <c r="S548" s="1">
        <v>46061</v>
      </c>
      <c r="V548" s="1">
        <v>46055</v>
      </c>
      <c r="W548" s="1">
        <v>33798</v>
      </c>
      <c r="X548" t="s">
        <v>4112</v>
      </c>
      <c r="Z548" t="s">
        <v>3049</v>
      </c>
      <c r="AA548" t="s">
        <v>1415</v>
      </c>
      <c r="AB548" t="s">
        <v>4113</v>
      </c>
      <c r="AC548">
        <v>47984525548</v>
      </c>
    </row>
    <row r="549" spans="1:29" x14ac:dyDescent="0.3">
      <c r="A549" t="s">
        <v>1405</v>
      </c>
      <c r="B549" t="s">
        <v>2302</v>
      </c>
      <c r="C549" t="s">
        <v>4114</v>
      </c>
      <c r="D549">
        <v>91101212004</v>
      </c>
      <c r="E549">
        <v>3056883972</v>
      </c>
      <c r="F549">
        <v>1004004300</v>
      </c>
      <c r="G549" s="1">
        <v>43685</v>
      </c>
      <c r="H549" t="s">
        <v>1360</v>
      </c>
      <c r="I549" t="s">
        <v>1374</v>
      </c>
      <c r="J549" t="s">
        <v>2308</v>
      </c>
      <c r="K549" t="s">
        <v>2313</v>
      </c>
      <c r="L549" t="s">
        <v>2305</v>
      </c>
      <c r="M549" t="s">
        <v>1409</v>
      </c>
      <c r="N549" t="s">
        <v>1410</v>
      </c>
      <c r="O549" t="s">
        <v>1423</v>
      </c>
      <c r="P549" t="s">
        <v>1423</v>
      </c>
      <c r="Q549" t="s">
        <v>1412</v>
      </c>
      <c r="S549" s="1">
        <v>46043</v>
      </c>
      <c r="W549" s="1">
        <v>27820</v>
      </c>
      <c r="X549" t="s">
        <v>3141</v>
      </c>
      <c r="Y549" t="s">
        <v>3142</v>
      </c>
      <c r="Z549" t="s">
        <v>4115</v>
      </c>
      <c r="AA549" t="s">
        <v>1415</v>
      </c>
      <c r="AB549" t="s">
        <v>4116</v>
      </c>
      <c r="AC549">
        <v>51982304230</v>
      </c>
    </row>
    <row r="550" spans="1:29" x14ac:dyDescent="0.3">
      <c r="A550" t="s">
        <v>1405</v>
      </c>
      <c r="B550" t="s">
        <v>2302</v>
      </c>
      <c r="C550" t="s">
        <v>4117</v>
      </c>
      <c r="D550">
        <v>7173901367</v>
      </c>
      <c r="E550">
        <v>440791010129</v>
      </c>
      <c r="F550">
        <v>1004015856</v>
      </c>
      <c r="G550" s="1">
        <v>45553</v>
      </c>
      <c r="H550" t="s">
        <v>1360</v>
      </c>
      <c r="I550" t="s">
        <v>1349</v>
      </c>
      <c r="J550" t="s">
        <v>2348</v>
      </c>
      <c r="K550" t="s">
        <v>2308</v>
      </c>
      <c r="L550" t="s">
        <v>2305</v>
      </c>
      <c r="M550" t="s">
        <v>1421</v>
      </c>
      <c r="N550" t="s">
        <v>1422</v>
      </c>
      <c r="O550" t="s">
        <v>1462</v>
      </c>
      <c r="P550" t="s">
        <v>1417</v>
      </c>
      <c r="Q550" t="s">
        <v>1412</v>
      </c>
      <c r="S550" s="1">
        <v>45856</v>
      </c>
      <c r="V550" s="1">
        <v>45854</v>
      </c>
      <c r="W550" s="1">
        <v>34279</v>
      </c>
      <c r="X550" t="s">
        <v>2946</v>
      </c>
      <c r="Z550" t="s">
        <v>2947</v>
      </c>
      <c r="AA550" t="s">
        <v>1419</v>
      </c>
      <c r="AB550" t="s">
        <v>4118</v>
      </c>
      <c r="AC550">
        <v>99985014693</v>
      </c>
    </row>
    <row r="551" spans="1:29" x14ac:dyDescent="0.3">
      <c r="A551" t="s">
        <v>1405</v>
      </c>
      <c r="B551" t="s">
        <v>2302</v>
      </c>
      <c r="C551" t="s">
        <v>4119</v>
      </c>
      <c r="D551">
        <v>31983300845</v>
      </c>
      <c r="E551">
        <v>6072526</v>
      </c>
      <c r="F551">
        <v>1004004659</v>
      </c>
      <c r="G551" s="1">
        <v>43718</v>
      </c>
      <c r="H551" t="s">
        <v>1360</v>
      </c>
      <c r="I551" t="s">
        <v>2317</v>
      </c>
      <c r="J551" t="s">
        <v>2308</v>
      </c>
      <c r="K551" t="s">
        <v>2313</v>
      </c>
      <c r="L551" t="s">
        <v>2305</v>
      </c>
      <c r="M551" t="s">
        <v>1409</v>
      </c>
      <c r="N551" t="s">
        <v>1410</v>
      </c>
      <c r="O551" t="s">
        <v>1411</v>
      </c>
      <c r="P551" t="s">
        <v>1411</v>
      </c>
      <c r="Q551" t="s">
        <v>1412</v>
      </c>
      <c r="S551" s="1">
        <v>45603</v>
      </c>
      <c r="T551" s="1">
        <v>45583</v>
      </c>
      <c r="W551" s="1">
        <v>30392</v>
      </c>
      <c r="X551" t="s">
        <v>1900</v>
      </c>
      <c r="Y551" t="s">
        <v>1901</v>
      </c>
      <c r="Z551" t="s">
        <v>2320</v>
      </c>
      <c r="AA551" t="s">
        <v>1415</v>
      </c>
      <c r="AB551" t="s">
        <v>4120</v>
      </c>
      <c r="AC551">
        <v>47988158460</v>
      </c>
    </row>
    <row r="552" spans="1:29" x14ac:dyDescent="0.3">
      <c r="A552" t="s">
        <v>1405</v>
      </c>
      <c r="B552" t="s">
        <v>2302</v>
      </c>
      <c r="C552" t="s">
        <v>4121</v>
      </c>
      <c r="D552">
        <v>37507257215</v>
      </c>
      <c r="E552">
        <v>2379449</v>
      </c>
      <c r="F552">
        <v>1004011718</v>
      </c>
      <c r="G552" s="1">
        <v>45013</v>
      </c>
      <c r="H552" t="s">
        <v>1360</v>
      </c>
      <c r="I552" t="s">
        <v>1349</v>
      </c>
      <c r="J552" t="s">
        <v>1361</v>
      </c>
      <c r="K552" t="s">
        <v>2308</v>
      </c>
      <c r="L552" t="s">
        <v>2305</v>
      </c>
      <c r="M552" t="s">
        <v>1409</v>
      </c>
      <c r="N552" t="s">
        <v>1410</v>
      </c>
      <c r="O552" t="s">
        <v>1423</v>
      </c>
      <c r="P552" t="s">
        <v>1423</v>
      </c>
      <c r="Q552" t="s">
        <v>1412</v>
      </c>
      <c r="S552" s="1">
        <v>46060</v>
      </c>
      <c r="V552" s="1">
        <v>46055</v>
      </c>
      <c r="W552" s="1">
        <v>26949</v>
      </c>
      <c r="X552" t="s">
        <v>1492</v>
      </c>
      <c r="Z552" t="s">
        <v>2541</v>
      </c>
      <c r="AA552" t="s">
        <v>1415</v>
      </c>
      <c r="AB552" t="s">
        <v>4122</v>
      </c>
      <c r="AC552">
        <v>91988770185</v>
      </c>
    </row>
    <row r="553" spans="1:29" x14ac:dyDescent="0.3">
      <c r="A553" t="s">
        <v>1405</v>
      </c>
      <c r="B553" t="s">
        <v>2302</v>
      </c>
      <c r="C553" t="s">
        <v>4123</v>
      </c>
      <c r="D553">
        <v>99354438504</v>
      </c>
      <c r="E553">
        <v>759706948</v>
      </c>
      <c r="F553">
        <v>1004012521</v>
      </c>
      <c r="G553" s="1">
        <v>45145</v>
      </c>
      <c r="H553" t="s">
        <v>1360</v>
      </c>
      <c r="I553" t="s">
        <v>1374</v>
      </c>
      <c r="J553" t="s">
        <v>1361</v>
      </c>
      <c r="K553" t="s">
        <v>2308</v>
      </c>
      <c r="L553" t="s">
        <v>2305</v>
      </c>
      <c r="M553" t="s">
        <v>1409</v>
      </c>
      <c r="N553" t="s">
        <v>1410</v>
      </c>
      <c r="O553" t="s">
        <v>1423</v>
      </c>
      <c r="P553" t="s">
        <v>1423</v>
      </c>
      <c r="Q553" t="s">
        <v>1412</v>
      </c>
      <c r="S553" s="1">
        <v>46043</v>
      </c>
      <c r="W553" s="1">
        <v>30065</v>
      </c>
      <c r="X553" t="s">
        <v>1430</v>
      </c>
      <c r="Y553" t="s">
        <v>2906</v>
      </c>
      <c r="Z553" t="s">
        <v>2363</v>
      </c>
      <c r="AA553" t="s">
        <v>1415</v>
      </c>
      <c r="AB553" t="s">
        <v>4124</v>
      </c>
      <c r="AC553">
        <v>75991906143</v>
      </c>
    </row>
    <row r="554" spans="1:29" x14ac:dyDescent="0.3">
      <c r="A554" t="s">
        <v>1405</v>
      </c>
      <c r="B554" t="s">
        <v>2302</v>
      </c>
      <c r="C554" t="s">
        <v>4125</v>
      </c>
      <c r="D554">
        <v>84758198349</v>
      </c>
      <c r="E554">
        <v>340733942</v>
      </c>
      <c r="F554">
        <v>1004006008</v>
      </c>
      <c r="G554" s="1">
        <v>43936</v>
      </c>
      <c r="H554" t="s">
        <v>1360</v>
      </c>
      <c r="I554" t="s">
        <v>1349</v>
      </c>
      <c r="J554" t="s">
        <v>2308</v>
      </c>
      <c r="K554" t="s">
        <v>2313</v>
      </c>
      <c r="L554" t="s">
        <v>2305</v>
      </c>
      <c r="M554" t="s">
        <v>1447</v>
      </c>
      <c r="N554" t="s">
        <v>1448</v>
      </c>
      <c r="O554" t="s">
        <v>1411</v>
      </c>
      <c r="P554" t="s">
        <v>1411</v>
      </c>
      <c r="Q554" t="s">
        <v>1412</v>
      </c>
      <c r="S554" s="1">
        <v>45933</v>
      </c>
      <c r="V554" s="1">
        <v>45931</v>
      </c>
      <c r="W554" s="1">
        <v>29244</v>
      </c>
      <c r="X554" t="s">
        <v>4126</v>
      </c>
      <c r="Y554" t="s">
        <v>4127</v>
      </c>
      <c r="Z554" t="s">
        <v>3132</v>
      </c>
      <c r="AA554" t="s">
        <v>1415</v>
      </c>
      <c r="AB554" t="s">
        <v>4128</v>
      </c>
      <c r="AC554">
        <v>98991212609</v>
      </c>
    </row>
    <row r="555" spans="1:29" x14ac:dyDescent="0.3">
      <c r="A555" t="s">
        <v>1405</v>
      </c>
      <c r="B555" t="s">
        <v>2302</v>
      </c>
      <c r="C555" t="s">
        <v>4129</v>
      </c>
      <c r="D555">
        <v>59319232091</v>
      </c>
      <c r="E555">
        <v>5039854087</v>
      </c>
      <c r="F555">
        <v>1004009489</v>
      </c>
      <c r="G555" s="1">
        <v>44641</v>
      </c>
      <c r="H555" t="s">
        <v>1360</v>
      </c>
      <c r="I555" t="s">
        <v>2317</v>
      </c>
      <c r="J555" t="s">
        <v>1361</v>
      </c>
      <c r="K555" t="s">
        <v>2308</v>
      </c>
      <c r="L555" t="s">
        <v>2305</v>
      </c>
      <c r="M555" t="s">
        <v>1409</v>
      </c>
      <c r="N555" t="s">
        <v>1410</v>
      </c>
      <c r="O555" t="s">
        <v>1423</v>
      </c>
      <c r="P555" t="s">
        <v>1423</v>
      </c>
      <c r="Q555" t="s">
        <v>1412</v>
      </c>
      <c r="S555" s="1">
        <v>45785</v>
      </c>
      <c r="T555" s="1">
        <v>45777</v>
      </c>
      <c r="W555" s="1">
        <v>25626</v>
      </c>
      <c r="X555" t="s">
        <v>4130</v>
      </c>
      <c r="Y555" t="s">
        <v>4131</v>
      </c>
      <c r="Z555" t="s">
        <v>4132</v>
      </c>
      <c r="AA555" t="s">
        <v>1415</v>
      </c>
      <c r="AB555" t="s">
        <v>4133</v>
      </c>
    </row>
    <row r="556" spans="1:29" x14ac:dyDescent="0.3">
      <c r="A556" t="s">
        <v>1405</v>
      </c>
      <c r="B556" t="s">
        <v>2302</v>
      </c>
      <c r="C556" t="s">
        <v>4134</v>
      </c>
      <c r="D556">
        <v>5523356301</v>
      </c>
      <c r="E556">
        <v>20073598970</v>
      </c>
      <c r="F556">
        <v>1004021948</v>
      </c>
      <c r="G556" s="1">
        <v>46104</v>
      </c>
      <c r="H556" t="s">
        <v>1360</v>
      </c>
      <c r="I556" t="s">
        <v>1374</v>
      </c>
      <c r="J556" t="s">
        <v>2308</v>
      </c>
      <c r="K556" t="s">
        <v>2313</v>
      </c>
      <c r="L556" t="s">
        <v>2305</v>
      </c>
      <c r="M556" t="s">
        <v>1409</v>
      </c>
      <c r="N556" t="s">
        <v>1410</v>
      </c>
      <c r="O556" t="s">
        <v>1411</v>
      </c>
      <c r="P556" t="s">
        <v>1411</v>
      </c>
      <c r="Q556" t="s">
        <v>1412</v>
      </c>
      <c r="S556" s="1">
        <v>46099</v>
      </c>
      <c r="W556" s="1">
        <v>34390</v>
      </c>
      <c r="X556" t="s">
        <v>1773</v>
      </c>
      <c r="Y556" t="s">
        <v>3137</v>
      </c>
      <c r="Z556" t="s">
        <v>3138</v>
      </c>
      <c r="AA556" t="s">
        <v>1415</v>
      </c>
      <c r="AB556" t="s">
        <v>4135</v>
      </c>
      <c r="AC556">
        <v>88992272343</v>
      </c>
    </row>
    <row r="557" spans="1:29" x14ac:dyDescent="0.3">
      <c r="A557" t="s">
        <v>1405</v>
      </c>
      <c r="B557" t="s">
        <v>2302</v>
      </c>
      <c r="C557" t="s">
        <v>4136</v>
      </c>
      <c r="D557">
        <v>2426083379</v>
      </c>
      <c r="E557">
        <v>2426083379</v>
      </c>
      <c r="F557">
        <v>1004021860</v>
      </c>
      <c r="G557" s="1">
        <v>46097</v>
      </c>
      <c r="H557" t="s">
        <v>1360</v>
      </c>
      <c r="I557" t="s">
        <v>1374</v>
      </c>
      <c r="J557" t="s">
        <v>1361</v>
      </c>
      <c r="K557" t="s">
        <v>2308</v>
      </c>
      <c r="L557" t="s">
        <v>2305</v>
      </c>
      <c r="M557" t="s">
        <v>1409</v>
      </c>
      <c r="N557" t="s">
        <v>1410</v>
      </c>
      <c r="O557" t="s">
        <v>1411</v>
      </c>
      <c r="P557" t="s">
        <v>1411</v>
      </c>
      <c r="Q557" t="s">
        <v>1412</v>
      </c>
      <c r="S557" s="1">
        <v>46094</v>
      </c>
      <c r="W557" s="1">
        <v>31134</v>
      </c>
      <c r="X557" t="s">
        <v>1869</v>
      </c>
      <c r="AA557" t="s">
        <v>1415</v>
      </c>
      <c r="AB557" t="s">
        <v>4137</v>
      </c>
      <c r="AC557">
        <v>85997183162</v>
      </c>
    </row>
    <row r="558" spans="1:29" x14ac:dyDescent="0.3">
      <c r="A558" t="s">
        <v>1405</v>
      </c>
      <c r="B558" t="s">
        <v>2302</v>
      </c>
      <c r="C558" t="s">
        <v>4138</v>
      </c>
      <c r="D558">
        <v>67766854791</v>
      </c>
      <c r="E558">
        <v>52138526</v>
      </c>
      <c r="F558">
        <v>1004003534</v>
      </c>
      <c r="G558" s="1">
        <v>43572</v>
      </c>
      <c r="H558" t="s">
        <v>1360</v>
      </c>
      <c r="I558" t="s">
        <v>1374</v>
      </c>
      <c r="J558" t="s">
        <v>2308</v>
      </c>
      <c r="K558" t="s">
        <v>2313</v>
      </c>
      <c r="L558" t="s">
        <v>2305</v>
      </c>
      <c r="M558" t="s">
        <v>1421</v>
      </c>
      <c r="N558" t="s">
        <v>1410</v>
      </c>
      <c r="O558" t="s">
        <v>1423</v>
      </c>
      <c r="P558" t="s">
        <v>1423</v>
      </c>
      <c r="Q558" t="s">
        <v>1412</v>
      </c>
      <c r="S558" s="1">
        <v>46069</v>
      </c>
      <c r="W558" s="1">
        <v>22166</v>
      </c>
      <c r="X558" t="s">
        <v>2412</v>
      </c>
      <c r="Y558" t="s">
        <v>2171</v>
      </c>
      <c r="Z558" t="s">
        <v>4139</v>
      </c>
      <c r="AA558" t="s">
        <v>1415</v>
      </c>
      <c r="AB558" t="s">
        <v>4140</v>
      </c>
      <c r="AC558">
        <v>61985997281</v>
      </c>
    </row>
    <row r="559" spans="1:29" x14ac:dyDescent="0.3">
      <c r="A559" t="s">
        <v>1405</v>
      </c>
      <c r="B559" t="s">
        <v>2302</v>
      </c>
      <c r="C559" t="s">
        <v>4141</v>
      </c>
      <c r="D559">
        <v>13011609462</v>
      </c>
      <c r="E559" s="3">
        <v>10781843</v>
      </c>
      <c r="F559">
        <v>1004021335</v>
      </c>
      <c r="G559" s="1">
        <v>46071</v>
      </c>
      <c r="H559" t="s">
        <v>1360</v>
      </c>
      <c r="I559" t="s">
        <v>1374</v>
      </c>
      <c r="J559" t="s">
        <v>2308</v>
      </c>
      <c r="K559" t="s">
        <v>2313</v>
      </c>
      <c r="L559" t="s">
        <v>2305</v>
      </c>
      <c r="M559" t="s">
        <v>1409</v>
      </c>
      <c r="N559" t="s">
        <v>1410</v>
      </c>
      <c r="O559" t="s">
        <v>1423</v>
      </c>
      <c r="P559" t="s">
        <v>1423</v>
      </c>
      <c r="Q559" t="s">
        <v>1412</v>
      </c>
      <c r="S559" s="1">
        <v>46065</v>
      </c>
      <c r="W559" s="1">
        <v>36454</v>
      </c>
      <c r="X559" t="s">
        <v>4142</v>
      </c>
      <c r="Y559" t="s">
        <v>3471</v>
      </c>
      <c r="Z559" t="s">
        <v>3214</v>
      </c>
      <c r="AA559" t="s">
        <v>1415</v>
      </c>
      <c r="AB559" t="s">
        <v>4143</v>
      </c>
      <c r="AC559">
        <v>87991507629</v>
      </c>
    </row>
    <row r="560" spans="1:29" x14ac:dyDescent="0.3">
      <c r="A560" t="s">
        <v>1405</v>
      </c>
      <c r="B560" t="s">
        <v>2302</v>
      </c>
      <c r="C560" t="s">
        <v>4144</v>
      </c>
      <c r="D560">
        <v>6370427357</v>
      </c>
      <c r="E560">
        <v>200609908886</v>
      </c>
      <c r="F560">
        <v>1004012549</v>
      </c>
      <c r="G560" s="1">
        <v>45145</v>
      </c>
      <c r="H560" t="s">
        <v>1360</v>
      </c>
      <c r="I560" t="s">
        <v>1374</v>
      </c>
      <c r="J560" t="s">
        <v>1361</v>
      </c>
      <c r="K560" t="s">
        <v>2308</v>
      </c>
      <c r="L560" t="s">
        <v>2305</v>
      </c>
      <c r="M560" t="s">
        <v>1409</v>
      </c>
      <c r="N560" t="s">
        <v>1410</v>
      </c>
      <c r="O560" t="s">
        <v>1411</v>
      </c>
      <c r="P560" t="s">
        <v>1411</v>
      </c>
      <c r="Q560" t="s">
        <v>1412</v>
      </c>
      <c r="S560" s="1">
        <v>46043</v>
      </c>
      <c r="W560" s="1">
        <v>35505</v>
      </c>
      <c r="X560" t="s">
        <v>1507</v>
      </c>
      <c r="Y560" t="s">
        <v>2786</v>
      </c>
      <c r="Z560" t="s">
        <v>2967</v>
      </c>
      <c r="AA560" t="s">
        <v>1415</v>
      </c>
      <c r="AB560" t="s">
        <v>4145</v>
      </c>
      <c r="AC560">
        <v>88996802587</v>
      </c>
    </row>
    <row r="561" spans="1:29" x14ac:dyDescent="0.3">
      <c r="A561" t="s">
        <v>1405</v>
      </c>
      <c r="B561" t="s">
        <v>2302</v>
      </c>
      <c r="C561" t="s">
        <v>4146</v>
      </c>
      <c r="D561">
        <v>98107313372</v>
      </c>
      <c r="E561">
        <v>2001015038806</v>
      </c>
      <c r="F561">
        <v>1004012157</v>
      </c>
      <c r="G561" s="1">
        <v>45077</v>
      </c>
      <c r="H561" t="s">
        <v>1360</v>
      </c>
      <c r="I561" t="s">
        <v>1374</v>
      </c>
      <c r="J561" t="s">
        <v>1361</v>
      </c>
      <c r="K561" t="s">
        <v>2308</v>
      </c>
      <c r="L561" t="s">
        <v>2305</v>
      </c>
      <c r="M561" t="s">
        <v>1409</v>
      </c>
      <c r="N561" t="s">
        <v>1410</v>
      </c>
      <c r="O561" t="s">
        <v>1423</v>
      </c>
      <c r="P561" t="s">
        <v>1423</v>
      </c>
      <c r="Q561" t="s">
        <v>1412</v>
      </c>
      <c r="S561" s="1">
        <v>46043</v>
      </c>
      <c r="W561" s="1">
        <v>30344</v>
      </c>
      <c r="X561" t="s">
        <v>4147</v>
      </c>
      <c r="Y561" t="s">
        <v>4148</v>
      </c>
      <c r="Z561" t="s">
        <v>4149</v>
      </c>
      <c r="AA561" t="s">
        <v>1415</v>
      </c>
      <c r="AB561" t="s">
        <v>4150</v>
      </c>
      <c r="AC561">
        <v>88999674986</v>
      </c>
    </row>
    <row r="562" spans="1:29" x14ac:dyDescent="0.3">
      <c r="A562" t="s">
        <v>1405</v>
      </c>
      <c r="B562" t="s">
        <v>2302</v>
      </c>
      <c r="C562" t="s">
        <v>4151</v>
      </c>
      <c r="D562">
        <v>96988800387</v>
      </c>
      <c r="E562">
        <v>341226699</v>
      </c>
      <c r="F562">
        <v>1004014711</v>
      </c>
      <c r="G562" s="1">
        <v>45402</v>
      </c>
      <c r="H562" t="s">
        <v>1360</v>
      </c>
      <c r="I562" t="s">
        <v>1349</v>
      </c>
      <c r="J562" t="s">
        <v>1361</v>
      </c>
      <c r="K562" t="s">
        <v>2308</v>
      </c>
      <c r="L562" t="s">
        <v>2305</v>
      </c>
      <c r="M562" t="s">
        <v>1421</v>
      </c>
      <c r="N562" t="s">
        <v>1410</v>
      </c>
      <c r="O562" t="s">
        <v>1411</v>
      </c>
      <c r="P562" t="s">
        <v>1411</v>
      </c>
      <c r="Q562" t="s">
        <v>1412</v>
      </c>
      <c r="S562" s="1">
        <v>46085</v>
      </c>
      <c r="V562" s="1">
        <v>46083</v>
      </c>
      <c r="W562" s="1">
        <v>30287</v>
      </c>
      <c r="X562" t="s">
        <v>3609</v>
      </c>
      <c r="Y562" t="s">
        <v>2392</v>
      </c>
      <c r="Z562" t="s">
        <v>2393</v>
      </c>
      <c r="AA562" t="s">
        <v>1415</v>
      </c>
      <c r="AB562" t="s">
        <v>4152</v>
      </c>
      <c r="AC562">
        <v>88996171753</v>
      </c>
    </row>
    <row r="563" spans="1:29" x14ac:dyDescent="0.3">
      <c r="A563" t="s">
        <v>1405</v>
      </c>
      <c r="B563" t="s">
        <v>2302</v>
      </c>
      <c r="C563" t="s">
        <v>4153</v>
      </c>
      <c r="D563">
        <v>12058868420</v>
      </c>
      <c r="E563">
        <v>8940711</v>
      </c>
      <c r="F563">
        <v>1004016821</v>
      </c>
      <c r="G563" s="1">
        <v>45705</v>
      </c>
      <c r="H563" t="s">
        <v>1360</v>
      </c>
      <c r="I563" t="s">
        <v>1349</v>
      </c>
      <c r="J563" t="s">
        <v>1361</v>
      </c>
      <c r="K563" t="s">
        <v>2308</v>
      </c>
      <c r="L563" t="s">
        <v>2305</v>
      </c>
      <c r="M563" t="s">
        <v>1409</v>
      </c>
      <c r="N563" t="s">
        <v>1410</v>
      </c>
      <c r="O563" t="s">
        <v>1423</v>
      </c>
      <c r="P563" t="s">
        <v>1423</v>
      </c>
      <c r="Q563" t="s">
        <v>1412</v>
      </c>
      <c r="S563" s="1">
        <v>46057</v>
      </c>
      <c r="V563" s="1">
        <v>46055</v>
      </c>
      <c r="W563" s="1">
        <v>36016</v>
      </c>
      <c r="X563" t="s">
        <v>4142</v>
      </c>
      <c r="Y563" t="s">
        <v>3471</v>
      </c>
      <c r="Z563" t="s">
        <v>4154</v>
      </c>
      <c r="AA563" t="s">
        <v>1415</v>
      </c>
      <c r="AB563" t="s">
        <v>4155</v>
      </c>
      <c r="AC563">
        <v>87999778383</v>
      </c>
    </row>
    <row r="564" spans="1:29" x14ac:dyDescent="0.3">
      <c r="A564" t="s">
        <v>1405</v>
      </c>
      <c r="B564" t="s">
        <v>2302</v>
      </c>
      <c r="C564" t="s">
        <v>4156</v>
      </c>
      <c r="D564">
        <v>46004556300</v>
      </c>
      <c r="E564">
        <v>516530020145</v>
      </c>
      <c r="F564">
        <v>1004001050</v>
      </c>
      <c r="G564" s="1">
        <v>43000</v>
      </c>
      <c r="H564" t="s">
        <v>1360</v>
      </c>
      <c r="I564" t="s">
        <v>1374</v>
      </c>
      <c r="J564" t="s">
        <v>2308</v>
      </c>
      <c r="K564" t="s">
        <v>2313</v>
      </c>
      <c r="L564" t="s">
        <v>2305</v>
      </c>
      <c r="M564" t="s">
        <v>1421</v>
      </c>
      <c r="N564" t="s">
        <v>1422</v>
      </c>
      <c r="O564" t="s">
        <v>1423</v>
      </c>
      <c r="P564" t="s">
        <v>1423</v>
      </c>
      <c r="Q564" t="s">
        <v>1412</v>
      </c>
      <c r="S564" s="1">
        <v>46069</v>
      </c>
      <c r="W564" s="1">
        <v>26066</v>
      </c>
      <c r="X564" t="s">
        <v>1519</v>
      </c>
      <c r="Y564" t="s">
        <v>1823</v>
      </c>
      <c r="Z564" t="s">
        <v>3132</v>
      </c>
      <c r="AA564" t="s">
        <v>1419</v>
      </c>
      <c r="AB564" t="s">
        <v>4157</v>
      </c>
    </row>
    <row r="565" spans="1:29" x14ac:dyDescent="0.3">
      <c r="A565" t="s">
        <v>1405</v>
      </c>
      <c r="B565" t="s">
        <v>2302</v>
      </c>
      <c r="C565" t="s">
        <v>4158</v>
      </c>
      <c r="D565">
        <v>701964944</v>
      </c>
      <c r="E565">
        <v>3427498</v>
      </c>
      <c r="F565">
        <v>1004009693</v>
      </c>
      <c r="G565" s="1">
        <v>44663</v>
      </c>
      <c r="H565" t="s">
        <v>1360</v>
      </c>
      <c r="I565" t="s">
        <v>1349</v>
      </c>
      <c r="J565" t="s">
        <v>1361</v>
      </c>
      <c r="K565" t="s">
        <v>2308</v>
      </c>
      <c r="L565" t="s">
        <v>2305</v>
      </c>
      <c r="M565" t="s">
        <v>1421</v>
      </c>
      <c r="N565" t="s">
        <v>1422</v>
      </c>
      <c r="O565" t="s">
        <v>1423</v>
      </c>
      <c r="P565" t="s">
        <v>1423</v>
      </c>
      <c r="Q565" t="s">
        <v>1412</v>
      </c>
      <c r="S565" s="1">
        <v>45944</v>
      </c>
      <c r="V565" s="1">
        <v>45943</v>
      </c>
      <c r="W565" s="1">
        <v>29305</v>
      </c>
      <c r="X565" t="s">
        <v>1586</v>
      </c>
      <c r="Y565" t="s">
        <v>4159</v>
      </c>
      <c r="Z565" t="s">
        <v>2652</v>
      </c>
      <c r="AA565" t="s">
        <v>1419</v>
      </c>
      <c r="AB565" t="s">
        <v>4160</v>
      </c>
      <c r="AC565">
        <v>49988650486</v>
      </c>
    </row>
    <row r="566" spans="1:29" x14ac:dyDescent="0.3">
      <c r="A566" t="s">
        <v>1405</v>
      </c>
      <c r="B566" t="s">
        <v>2302</v>
      </c>
      <c r="C566" t="s">
        <v>4161</v>
      </c>
      <c r="D566">
        <v>1253748446</v>
      </c>
      <c r="E566">
        <v>6072930</v>
      </c>
      <c r="F566">
        <v>1004014161</v>
      </c>
      <c r="G566" s="1">
        <v>45369</v>
      </c>
      <c r="H566" t="s">
        <v>1360</v>
      </c>
      <c r="I566" t="s">
        <v>1374</v>
      </c>
      <c r="J566" t="s">
        <v>1361</v>
      </c>
      <c r="K566" t="s">
        <v>2308</v>
      </c>
      <c r="L566" t="s">
        <v>2305</v>
      </c>
      <c r="M566" t="s">
        <v>1409</v>
      </c>
      <c r="N566" t="s">
        <v>1410</v>
      </c>
      <c r="O566" t="s">
        <v>1411</v>
      </c>
      <c r="P566" t="s">
        <v>1411</v>
      </c>
      <c r="Q566" t="s">
        <v>1412</v>
      </c>
      <c r="S566" s="1">
        <v>46043</v>
      </c>
      <c r="W566" s="1">
        <v>29825</v>
      </c>
      <c r="X566" t="s">
        <v>4162</v>
      </c>
      <c r="Y566" t="s">
        <v>4163</v>
      </c>
      <c r="Z566" t="s">
        <v>2594</v>
      </c>
      <c r="AA566" t="s">
        <v>1419</v>
      </c>
      <c r="AB566" t="s">
        <v>4164</v>
      </c>
      <c r="AC566">
        <v>81979029885</v>
      </c>
    </row>
    <row r="567" spans="1:29" x14ac:dyDescent="0.3">
      <c r="A567" t="s">
        <v>1405</v>
      </c>
      <c r="B567" t="s">
        <v>2302</v>
      </c>
      <c r="C567" t="s">
        <v>4165</v>
      </c>
      <c r="D567">
        <v>30650017803</v>
      </c>
      <c r="E567">
        <v>42030486</v>
      </c>
      <c r="F567">
        <v>1004016778</v>
      </c>
      <c r="G567" s="1">
        <v>45705</v>
      </c>
      <c r="H567" t="s">
        <v>1360</v>
      </c>
      <c r="I567" t="s">
        <v>1374</v>
      </c>
      <c r="J567" t="s">
        <v>2348</v>
      </c>
      <c r="K567" t="s">
        <v>2308</v>
      </c>
      <c r="L567" t="s">
        <v>2305</v>
      </c>
      <c r="M567" t="s">
        <v>1409</v>
      </c>
      <c r="N567" t="s">
        <v>1410</v>
      </c>
      <c r="O567" t="s">
        <v>1423</v>
      </c>
      <c r="P567" t="s">
        <v>1423</v>
      </c>
      <c r="Q567" t="s">
        <v>1412</v>
      </c>
      <c r="S567" s="1">
        <v>46043</v>
      </c>
      <c r="W567" s="1">
        <v>30284</v>
      </c>
      <c r="X567" t="s">
        <v>1900</v>
      </c>
      <c r="Y567" t="s">
        <v>2336</v>
      </c>
      <c r="Z567" t="s">
        <v>4166</v>
      </c>
      <c r="AA567" t="s">
        <v>1419</v>
      </c>
      <c r="AB567" t="s">
        <v>4167</v>
      </c>
      <c r="AC567">
        <v>47997517511</v>
      </c>
    </row>
    <row r="568" spans="1:29" x14ac:dyDescent="0.3">
      <c r="A568" t="s">
        <v>1405</v>
      </c>
      <c r="B568" t="s">
        <v>2302</v>
      </c>
      <c r="C568" t="s">
        <v>4168</v>
      </c>
      <c r="D568">
        <v>66463572268</v>
      </c>
      <c r="E568">
        <v>4111851</v>
      </c>
      <c r="F568">
        <v>1004018057</v>
      </c>
      <c r="G568" s="1">
        <v>45791</v>
      </c>
      <c r="H568" t="s">
        <v>1360</v>
      </c>
      <c r="I568" t="s">
        <v>1374</v>
      </c>
      <c r="J568" t="s">
        <v>1361</v>
      </c>
      <c r="K568" t="s">
        <v>2308</v>
      </c>
      <c r="L568" t="s">
        <v>2305</v>
      </c>
      <c r="M568" t="s">
        <v>1409</v>
      </c>
      <c r="N568" t="s">
        <v>1410</v>
      </c>
      <c r="O568" t="s">
        <v>1423</v>
      </c>
      <c r="P568" t="s">
        <v>1417</v>
      </c>
      <c r="Q568" t="s">
        <v>1412</v>
      </c>
      <c r="S568" s="1">
        <v>46043</v>
      </c>
      <c r="W568" s="1">
        <v>28780</v>
      </c>
      <c r="X568" t="s">
        <v>3449</v>
      </c>
      <c r="Y568" t="s">
        <v>3450</v>
      </c>
      <c r="Z568" t="s">
        <v>2518</v>
      </c>
      <c r="AA568" t="s">
        <v>1419</v>
      </c>
      <c r="AB568" t="s">
        <v>4169</v>
      </c>
      <c r="AC568">
        <v>91992247023</v>
      </c>
    </row>
    <row r="569" spans="1:29" x14ac:dyDescent="0.3">
      <c r="A569" t="s">
        <v>1405</v>
      </c>
      <c r="B569" t="s">
        <v>2302</v>
      </c>
      <c r="C569" t="s">
        <v>4170</v>
      </c>
      <c r="D569">
        <v>70262032406</v>
      </c>
      <c r="E569">
        <v>3407979</v>
      </c>
      <c r="F569">
        <v>1004013664</v>
      </c>
      <c r="G569" s="1">
        <v>45341</v>
      </c>
      <c r="H569" t="s">
        <v>1360</v>
      </c>
      <c r="I569" t="s">
        <v>1374</v>
      </c>
      <c r="J569" t="s">
        <v>1361</v>
      </c>
      <c r="K569" t="s">
        <v>2308</v>
      </c>
      <c r="L569" t="s">
        <v>2305</v>
      </c>
      <c r="M569" t="s">
        <v>1409</v>
      </c>
      <c r="N569" t="s">
        <v>1410</v>
      </c>
      <c r="O569" t="s">
        <v>1411</v>
      </c>
      <c r="P569" t="s">
        <v>1411</v>
      </c>
      <c r="Q569" t="s">
        <v>1412</v>
      </c>
      <c r="S569" s="1">
        <v>46043</v>
      </c>
      <c r="W569" s="1">
        <v>36834</v>
      </c>
      <c r="X569" t="s">
        <v>2167</v>
      </c>
      <c r="Z569" t="s">
        <v>3798</v>
      </c>
      <c r="AA569" t="s">
        <v>1419</v>
      </c>
      <c r="AB569" t="s">
        <v>4171</v>
      </c>
      <c r="AC569">
        <v>84994101576</v>
      </c>
    </row>
    <row r="570" spans="1:29" x14ac:dyDescent="0.3">
      <c r="A570" t="s">
        <v>1405</v>
      </c>
      <c r="B570" t="s">
        <v>2302</v>
      </c>
      <c r="C570" t="s">
        <v>4172</v>
      </c>
      <c r="D570">
        <v>10627625410</v>
      </c>
      <c r="E570">
        <v>3663626</v>
      </c>
      <c r="F570">
        <v>1004012748</v>
      </c>
      <c r="G570" s="1">
        <v>45164</v>
      </c>
      <c r="H570" t="s">
        <v>1360</v>
      </c>
      <c r="I570" t="s">
        <v>1374</v>
      </c>
      <c r="J570" t="s">
        <v>1361</v>
      </c>
      <c r="K570" t="s">
        <v>2308</v>
      </c>
      <c r="L570" t="s">
        <v>2305</v>
      </c>
      <c r="M570" t="s">
        <v>1421</v>
      </c>
      <c r="N570" t="s">
        <v>1410</v>
      </c>
      <c r="O570" t="s">
        <v>1411</v>
      </c>
      <c r="P570" t="s">
        <v>1411</v>
      </c>
      <c r="Q570" t="s">
        <v>1412</v>
      </c>
      <c r="S570" s="1">
        <v>46069</v>
      </c>
      <c r="W570" s="1">
        <v>35230</v>
      </c>
      <c r="X570" t="s">
        <v>4173</v>
      </c>
      <c r="Y570" t="s">
        <v>4174</v>
      </c>
      <c r="Z570" t="s">
        <v>3949</v>
      </c>
      <c r="AA570" t="s">
        <v>1415</v>
      </c>
      <c r="AB570" t="s">
        <v>4175</v>
      </c>
      <c r="AC570">
        <v>83993890196</v>
      </c>
    </row>
    <row r="571" spans="1:29" x14ac:dyDescent="0.3">
      <c r="A571" t="s">
        <v>1405</v>
      </c>
      <c r="B571" t="s">
        <v>2302</v>
      </c>
      <c r="C571" t="s">
        <v>4176</v>
      </c>
      <c r="D571">
        <v>10726074764</v>
      </c>
      <c r="E571">
        <v>208719435</v>
      </c>
      <c r="F571">
        <v>1004012231</v>
      </c>
      <c r="G571" s="1">
        <v>45084</v>
      </c>
      <c r="H571" t="s">
        <v>1360</v>
      </c>
      <c r="I571" t="s">
        <v>1374</v>
      </c>
      <c r="J571" t="s">
        <v>2348</v>
      </c>
      <c r="K571" t="s">
        <v>2308</v>
      </c>
      <c r="L571" t="s">
        <v>2305</v>
      </c>
      <c r="M571" t="s">
        <v>1409</v>
      </c>
      <c r="N571" t="s">
        <v>1410</v>
      </c>
      <c r="O571" t="s">
        <v>1462</v>
      </c>
      <c r="P571" t="s">
        <v>1462</v>
      </c>
      <c r="Q571" t="s">
        <v>1412</v>
      </c>
      <c r="S571" s="1">
        <v>46043</v>
      </c>
      <c r="W571" s="1">
        <v>31530</v>
      </c>
      <c r="X571" t="s">
        <v>2412</v>
      </c>
      <c r="Y571" t="s">
        <v>3813</v>
      </c>
      <c r="Z571" t="s">
        <v>3225</v>
      </c>
      <c r="AA571" t="s">
        <v>1415</v>
      </c>
      <c r="AB571" t="s">
        <v>4177</v>
      </c>
      <c r="AC571">
        <v>21997110241</v>
      </c>
    </row>
    <row r="572" spans="1:29" x14ac:dyDescent="0.3">
      <c r="A572" t="s">
        <v>1405</v>
      </c>
      <c r="B572" t="s">
        <v>2302</v>
      </c>
      <c r="C572" t="s">
        <v>4178</v>
      </c>
      <c r="D572">
        <v>1376447444</v>
      </c>
      <c r="E572">
        <v>6317301</v>
      </c>
      <c r="F572">
        <v>1004019565</v>
      </c>
      <c r="G572" s="1">
        <v>45901</v>
      </c>
      <c r="H572" t="s">
        <v>1360</v>
      </c>
      <c r="I572" t="s">
        <v>1349</v>
      </c>
      <c r="J572" t="s">
        <v>1361</v>
      </c>
      <c r="K572" t="s">
        <v>2308</v>
      </c>
      <c r="L572" t="s">
        <v>2305</v>
      </c>
      <c r="M572" t="s">
        <v>1409</v>
      </c>
      <c r="N572" t="s">
        <v>1410</v>
      </c>
      <c r="O572" t="s">
        <v>1423</v>
      </c>
      <c r="P572" t="s">
        <v>1423</v>
      </c>
      <c r="Q572" t="s">
        <v>1412</v>
      </c>
      <c r="S572" s="1">
        <v>46057</v>
      </c>
      <c r="V572" s="1">
        <v>46055</v>
      </c>
      <c r="W572" s="1">
        <v>31270</v>
      </c>
      <c r="X572" t="s">
        <v>1811</v>
      </c>
      <c r="Y572" t="s">
        <v>4179</v>
      </c>
      <c r="Z572" t="s">
        <v>4180</v>
      </c>
      <c r="AA572" t="s">
        <v>1419</v>
      </c>
      <c r="AB572" t="s">
        <v>4181</v>
      </c>
      <c r="AC572">
        <v>81986211935</v>
      </c>
    </row>
    <row r="573" spans="1:29" x14ac:dyDescent="0.3">
      <c r="A573" t="s">
        <v>1405</v>
      </c>
      <c r="B573" t="s">
        <v>2302</v>
      </c>
      <c r="C573" t="s">
        <v>4182</v>
      </c>
      <c r="D573">
        <v>46156127291</v>
      </c>
      <c r="E573">
        <v>248944</v>
      </c>
      <c r="F573">
        <v>1004019572</v>
      </c>
      <c r="G573" s="1">
        <v>45901</v>
      </c>
      <c r="H573" t="s">
        <v>1360</v>
      </c>
      <c r="I573" t="s">
        <v>1374</v>
      </c>
      <c r="J573" t="s">
        <v>2572</v>
      </c>
      <c r="K573" t="s">
        <v>2573</v>
      </c>
      <c r="L573" t="s">
        <v>2305</v>
      </c>
      <c r="M573" t="s">
        <v>1409</v>
      </c>
      <c r="N573" t="s">
        <v>1410</v>
      </c>
      <c r="O573" t="s">
        <v>1411</v>
      </c>
      <c r="P573" t="s">
        <v>1411</v>
      </c>
      <c r="Q573" t="s">
        <v>1412</v>
      </c>
      <c r="S573" s="1">
        <v>46043</v>
      </c>
      <c r="W573" s="1">
        <v>27951</v>
      </c>
      <c r="X573" t="s">
        <v>3843</v>
      </c>
      <c r="Z573" t="s">
        <v>4183</v>
      </c>
      <c r="AA573" t="s">
        <v>1419</v>
      </c>
      <c r="AB573" t="s">
        <v>4184</v>
      </c>
      <c r="AC573">
        <v>68999118715</v>
      </c>
    </row>
    <row r="574" spans="1:29" x14ac:dyDescent="0.3">
      <c r="A574" t="s">
        <v>1405</v>
      </c>
      <c r="B574" t="s">
        <v>2302</v>
      </c>
      <c r="C574" t="s">
        <v>4185</v>
      </c>
      <c r="D574">
        <v>31556414870</v>
      </c>
      <c r="E574">
        <v>284528006</v>
      </c>
      <c r="F574">
        <v>1004014656</v>
      </c>
      <c r="G574" s="1">
        <v>45398</v>
      </c>
      <c r="H574" t="s">
        <v>1360</v>
      </c>
      <c r="I574" t="s">
        <v>1349</v>
      </c>
      <c r="J574" t="s">
        <v>1361</v>
      </c>
      <c r="K574" t="s">
        <v>2308</v>
      </c>
      <c r="L574" t="s">
        <v>2305</v>
      </c>
      <c r="M574" t="s">
        <v>1409</v>
      </c>
      <c r="N574" t="s">
        <v>1410</v>
      </c>
      <c r="O574" t="s">
        <v>1411</v>
      </c>
      <c r="P574" t="s">
        <v>1411</v>
      </c>
      <c r="Q574" t="s">
        <v>1412</v>
      </c>
      <c r="S574" s="1">
        <v>45875</v>
      </c>
      <c r="V574" s="1">
        <v>45873</v>
      </c>
      <c r="W574" s="1">
        <v>30830</v>
      </c>
      <c r="X574" t="s">
        <v>1510</v>
      </c>
      <c r="Z574" t="s">
        <v>2482</v>
      </c>
      <c r="AA574" t="s">
        <v>1419</v>
      </c>
      <c r="AB574" t="s">
        <v>4186</v>
      </c>
      <c r="AC574">
        <v>86994349322</v>
      </c>
    </row>
    <row r="575" spans="1:29" x14ac:dyDescent="0.3">
      <c r="A575" t="s">
        <v>1405</v>
      </c>
      <c r="B575" t="s">
        <v>2302</v>
      </c>
      <c r="C575" t="s">
        <v>4187</v>
      </c>
      <c r="D575">
        <v>7772431643</v>
      </c>
      <c r="E575">
        <v>14414870</v>
      </c>
      <c r="F575">
        <v>1004014050</v>
      </c>
      <c r="G575" s="1">
        <v>45357</v>
      </c>
      <c r="H575" t="s">
        <v>1360</v>
      </c>
      <c r="I575" t="s">
        <v>1349</v>
      </c>
      <c r="J575" t="s">
        <v>1361</v>
      </c>
      <c r="K575" t="s">
        <v>2308</v>
      </c>
      <c r="L575" t="s">
        <v>2305</v>
      </c>
      <c r="M575" t="s">
        <v>1409</v>
      </c>
      <c r="N575" t="s">
        <v>1410</v>
      </c>
      <c r="O575" t="s">
        <v>1411</v>
      </c>
      <c r="P575" t="s">
        <v>1411</v>
      </c>
      <c r="Q575" t="s">
        <v>1593</v>
      </c>
      <c r="S575" s="1">
        <v>45853</v>
      </c>
      <c r="V575" s="1">
        <v>45854</v>
      </c>
      <c r="W575" s="1">
        <v>31739</v>
      </c>
      <c r="X575" t="s">
        <v>2145</v>
      </c>
      <c r="Z575" t="s">
        <v>2325</v>
      </c>
      <c r="AA575" t="s">
        <v>1419</v>
      </c>
      <c r="AB575" t="s">
        <v>4188</v>
      </c>
      <c r="AC575">
        <v>38999211454</v>
      </c>
    </row>
    <row r="576" spans="1:29" x14ac:dyDescent="0.3">
      <c r="A576" t="s">
        <v>1405</v>
      </c>
      <c r="B576" t="s">
        <v>2302</v>
      </c>
      <c r="C576" t="s">
        <v>4189</v>
      </c>
      <c r="D576">
        <v>5845200342</v>
      </c>
      <c r="E576">
        <v>20075338968</v>
      </c>
      <c r="F576">
        <v>1004019587</v>
      </c>
      <c r="G576" s="1">
        <v>45901</v>
      </c>
      <c r="H576" t="s">
        <v>1360</v>
      </c>
      <c r="I576" t="s">
        <v>1374</v>
      </c>
      <c r="J576" t="s">
        <v>2572</v>
      </c>
      <c r="K576" t="s">
        <v>2573</v>
      </c>
      <c r="L576" t="s">
        <v>2305</v>
      </c>
      <c r="M576" t="s">
        <v>1409</v>
      </c>
      <c r="N576" t="s">
        <v>1410</v>
      </c>
      <c r="O576" t="s">
        <v>1411</v>
      </c>
      <c r="P576" t="s">
        <v>1411</v>
      </c>
      <c r="Q576" t="s">
        <v>1412</v>
      </c>
      <c r="S576" s="1">
        <v>46043</v>
      </c>
      <c r="W576" s="1">
        <v>35955</v>
      </c>
      <c r="X576" t="s">
        <v>3394</v>
      </c>
      <c r="Z576" t="s">
        <v>4183</v>
      </c>
      <c r="AA576" t="s">
        <v>1419</v>
      </c>
      <c r="AB576" t="s">
        <v>4190</v>
      </c>
      <c r="AC576">
        <v>88992079326</v>
      </c>
    </row>
    <row r="577" spans="1:29" x14ac:dyDescent="0.3">
      <c r="A577" t="s">
        <v>1405</v>
      </c>
      <c r="B577" t="s">
        <v>2302</v>
      </c>
      <c r="C577" t="s">
        <v>4191</v>
      </c>
      <c r="D577">
        <v>623305003</v>
      </c>
      <c r="E577">
        <v>4080170758</v>
      </c>
      <c r="F577">
        <v>1004009443</v>
      </c>
      <c r="G577" s="1">
        <v>44643</v>
      </c>
      <c r="H577" t="s">
        <v>1360</v>
      </c>
      <c r="I577" t="s">
        <v>1349</v>
      </c>
      <c r="J577" t="s">
        <v>1361</v>
      </c>
      <c r="K577" t="s">
        <v>2308</v>
      </c>
      <c r="L577" t="s">
        <v>2305</v>
      </c>
      <c r="M577" t="s">
        <v>1421</v>
      </c>
      <c r="N577" t="s">
        <v>1422</v>
      </c>
      <c r="O577" t="s">
        <v>1423</v>
      </c>
      <c r="P577" t="s">
        <v>1423</v>
      </c>
      <c r="Q577" t="s">
        <v>1412</v>
      </c>
      <c r="S577" s="1">
        <v>45859</v>
      </c>
      <c r="V577" s="1">
        <v>45855</v>
      </c>
      <c r="W577" s="1">
        <v>30594</v>
      </c>
      <c r="X577" t="s">
        <v>2357</v>
      </c>
      <c r="Y577" t="s">
        <v>4192</v>
      </c>
      <c r="Z577" t="s">
        <v>2358</v>
      </c>
      <c r="AA577" t="s">
        <v>1419</v>
      </c>
      <c r="AB577" t="s">
        <v>4193</v>
      </c>
      <c r="AC577">
        <v>51998387143</v>
      </c>
    </row>
    <row r="578" spans="1:29" x14ac:dyDescent="0.3">
      <c r="A578" t="s">
        <v>1405</v>
      </c>
      <c r="B578" t="s">
        <v>2302</v>
      </c>
      <c r="C578" t="s">
        <v>4194</v>
      </c>
      <c r="D578">
        <v>1936558106</v>
      </c>
      <c r="E578">
        <v>5062106</v>
      </c>
      <c r="F578">
        <v>1004011247</v>
      </c>
      <c r="G578" s="1">
        <v>44986</v>
      </c>
      <c r="H578" t="s">
        <v>1360</v>
      </c>
      <c r="I578" t="s">
        <v>1374</v>
      </c>
      <c r="J578" t="s">
        <v>2348</v>
      </c>
      <c r="K578" t="s">
        <v>2308</v>
      </c>
      <c r="L578" t="s">
        <v>2305</v>
      </c>
      <c r="M578" t="s">
        <v>1421</v>
      </c>
      <c r="N578" t="s">
        <v>1448</v>
      </c>
      <c r="O578" t="s">
        <v>1411</v>
      </c>
      <c r="P578" t="s">
        <v>1411</v>
      </c>
      <c r="Q578" t="s">
        <v>1412</v>
      </c>
      <c r="S578" s="1">
        <v>46069</v>
      </c>
      <c r="W578" s="1">
        <v>32179</v>
      </c>
      <c r="X578" t="s">
        <v>1424</v>
      </c>
      <c r="Y578" t="s">
        <v>2241</v>
      </c>
      <c r="Z578" t="s">
        <v>2306</v>
      </c>
      <c r="AA578" t="s">
        <v>1419</v>
      </c>
      <c r="AB578" t="s">
        <v>4195</v>
      </c>
      <c r="AC578">
        <v>67996839744</v>
      </c>
    </row>
    <row r="579" spans="1:29" x14ac:dyDescent="0.3">
      <c r="A579" t="s">
        <v>1405</v>
      </c>
      <c r="B579" t="s">
        <v>2302</v>
      </c>
      <c r="C579" t="s">
        <v>4196</v>
      </c>
      <c r="D579">
        <v>84083441534</v>
      </c>
      <c r="E579">
        <v>1284469514</v>
      </c>
      <c r="F579">
        <v>1004019490</v>
      </c>
      <c r="G579" s="1">
        <v>45901</v>
      </c>
      <c r="H579" t="s">
        <v>1360</v>
      </c>
      <c r="I579" t="s">
        <v>1374</v>
      </c>
      <c r="J579" t="s">
        <v>1361</v>
      </c>
      <c r="K579" t="s">
        <v>2308</v>
      </c>
      <c r="L579" t="s">
        <v>2305</v>
      </c>
      <c r="M579" t="s">
        <v>1421</v>
      </c>
      <c r="N579" t="s">
        <v>1422</v>
      </c>
      <c r="O579" t="s">
        <v>1462</v>
      </c>
      <c r="P579" t="s">
        <v>1417</v>
      </c>
      <c r="Q579" t="s">
        <v>1412</v>
      </c>
      <c r="S579" s="1">
        <v>46043</v>
      </c>
      <c r="W579" s="1">
        <v>32790</v>
      </c>
      <c r="X579" t="s">
        <v>2361</v>
      </c>
      <c r="Y579" t="s">
        <v>2362</v>
      </c>
      <c r="Z579" t="s">
        <v>2363</v>
      </c>
      <c r="AA579" t="s">
        <v>1419</v>
      </c>
      <c r="AB579" t="s">
        <v>4197</v>
      </c>
      <c r="AC579">
        <v>75988226391</v>
      </c>
    </row>
    <row r="580" spans="1:29" x14ac:dyDescent="0.3">
      <c r="A580" t="s">
        <v>1405</v>
      </c>
      <c r="B580" t="s">
        <v>2302</v>
      </c>
      <c r="C580" t="s">
        <v>4198</v>
      </c>
      <c r="D580">
        <v>2755522259</v>
      </c>
      <c r="E580">
        <v>626220</v>
      </c>
      <c r="F580">
        <v>1004013392</v>
      </c>
      <c r="G580" s="1">
        <v>45233</v>
      </c>
      <c r="H580" t="s">
        <v>1360</v>
      </c>
      <c r="I580" t="s">
        <v>1349</v>
      </c>
      <c r="J580" t="s">
        <v>1361</v>
      </c>
      <c r="K580" t="s">
        <v>2308</v>
      </c>
      <c r="L580" t="s">
        <v>2305</v>
      </c>
      <c r="M580" t="s">
        <v>1421</v>
      </c>
      <c r="N580" t="s">
        <v>1422</v>
      </c>
      <c r="O580" t="s">
        <v>1411</v>
      </c>
      <c r="P580" t="s">
        <v>1411</v>
      </c>
      <c r="Q580" t="s">
        <v>1412</v>
      </c>
      <c r="S580" s="1">
        <v>45946</v>
      </c>
      <c r="V580" s="1">
        <v>45944</v>
      </c>
      <c r="W580" s="1">
        <v>36460</v>
      </c>
      <c r="X580" t="s">
        <v>3544</v>
      </c>
      <c r="Z580" t="s">
        <v>3546</v>
      </c>
      <c r="AA580" t="s">
        <v>1419</v>
      </c>
      <c r="AB580" t="s">
        <v>4199</v>
      </c>
      <c r="AC580">
        <v>96991679933</v>
      </c>
    </row>
    <row r="581" spans="1:29" x14ac:dyDescent="0.3">
      <c r="A581" t="s">
        <v>1405</v>
      </c>
      <c r="B581" t="s">
        <v>2302</v>
      </c>
      <c r="C581" t="s">
        <v>4200</v>
      </c>
      <c r="D581">
        <v>28653283846</v>
      </c>
      <c r="E581">
        <v>332544266</v>
      </c>
      <c r="F581">
        <v>1004010671</v>
      </c>
      <c r="G581" s="1">
        <v>44810</v>
      </c>
      <c r="H581" t="s">
        <v>1360</v>
      </c>
      <c r="I581" t="s">
        <v>1349</v>
      </c>
      <c r="J581" t="s">
        <v>1361</v>
      </c>
      <c r="K581" t="s">
        <v>2308</v>
      </c>
      <c r="L581" t="s">
        <v>2305</v>
      </c>
      <c r="M581" t="s">
        <v>1409</v>
      </c>
      <c r="N581" t="s">
        <v>1410</v>
      </c>
      <c r="O581" t="s">
        <v>1423</v>
      </c>
      <c r="P581" t="s">
        <v>1423</v>
      </c>
      <c r="Q581" t="s">
        <v>1412</v>
      </c>
      <c r="S581" s="1">
        <v>46057</v>
      </c>
      <c r="V581" s="1">
        <v>46055</v>
      </c>
      <c r="W581" s="1">
        <v>28972</v>
      </c>
      <c r="X581" t="s">
        <v>1900</v>
      </c>
      <c r="Y581" t="s">
        <v>1901</v>
      </c>
      <c r="Z581" t="s">
        <v>2910</v>
      </c>
      <c r="AA581" t="s">
        <v>1419</v>
      </c>
      <c r="AB581" t="s">
        <v>4201</v>
      </c>
      <c r="AC581">
        <v>13974015825</v>
      </c>
    </row>
    <row r="582" spans="1:29" x14ac:dyDescent="0.3">
      <c r="A582" t="s">
        <v>1405</v>
      </c>
      <c r="B582" t="s">
        <v>2302</v>
      </c>
      <c r="C582" t="s">
        <v>4202</v>
      </c>
      <c r="D582">
        <v>40162264810</v>
      </c>
      <c r="E582">
        <v>507295286</v>
      </c>
      <c r="F582">
        <v>1004016818</v>
      </c>
      <c r="G582" s="1">
        <v>45705</v>
      </c>
      <c r="H582" t="s">
        <v>1360</v>
      </c>
      <c r="I582" t="s">
        <v>1349</v>
      </c>
      <c r="J582" t="s">
        <v>1361</v>
      </c>
      <c r="K582" t="s">
        <v>2308</v>
      </c>
      <c r="L582" t="s">
        <v>2305</v>
      </c>
      <c r="M582" t="s">
        <v>1421</v>
      </c>
      <c r="N582" t="s">
        <v>1422</v>
      </c>
      <c r="O582" t="s">
        <v>1423</v>
      </c>
      <c r="P582" t="s">
        <v>1423</v>
      </c>
      <c r="Q582" t="s">
        <v>1412</v>
      </c>
      <c r="S582" s="1">
        <v>45797</v>
      </c>
      <c r="V582" s="1">
        <v>45796</v>
      </c>
      <c r="W582" s="1">
        <v>36546</v>
      </c>
      <c r="X582" t="s">
        <v>1510</v>
      </c>
      <c r="Z582" t="s">
        <v>2494</v>
      </c>
      <c r="AA582" t="s">
        <v>1419</v>
      </c>
      <c r="AB582" t="s">
        <v>4203</v>
      </c>
      <c r="AC582">
        <v>11946744786</v>
      </c>
    </row>
    <row r="583" spans="1:29" x14ac:dyDescent="0.3">
      <c r="A583" t="s">
        <v>1405</v>
      </c>
      <c r="B583" t="s">
        <v>2302</v>
      </c>
      <c r="C583" t="s">
        <v>4204</v>
      </c>
      <c r="D583">
        <v>3338364300</v>
      </c>
      <c r="E583">
        <v>2948618</v>
      </c>
      <c r="F583">
        <v>1004009726</v>
      </c>
      <c r="G583" s="1">
        <v>44669</v>
      </c>
      <c r="H583" t="s">
        <v>1360</v>
      </c>
      <c r="I583" t="s">
        <v>1374</v>
      </c>
      <c r="J583" t="s">
        <v>2348</v>
      </c>
      <c r="K583" t="s">
        <v>2308</v>
      </c>
      <c r="L583" t="s">
        <v>2305</v>
      </c>
      <c r="M583" t="s">
        <v>1409</v>
      </c>
      <c r="N583" t="s">
        <v>1410</v>
      </c>
      <c r="O583" t="s">
        <v>1423</v>
      </c>
      <c r="P583" t="s">
        <v>1423</v>
      </c>
      <c r="Q583" t="s">
        <v>1412</v>
      </c>
      <c r="S583" s="1">
        <v>46043</v>
      </c>
      <c r="W583" s="1">
        <v>33813</v>
      </c>
      <c r="X583" t="s">
        <v>4205</v>
      </c>
      <c r="Y583" t="s">
        <v>4206</v>
      </c>
      <c r="Z583" t="s">
        <v>4207</v>
      </c>
      <c r="AA583" t="s">
        <v>1419</v>
      </c>
      <c r="AB583" t="s">
        <v>1131</v>
      </c>
      <c r="AC583">
        <v>89999710240</v>
      </c>
    </row>
    <row r="584" spans="1:29" x14ac:dyDescent="0.3">
      <c r="A584" t="s">
        <v>1405</v>
      </c>
      <c r="B584" t="s">
        <v>2302</v>
      </c>
      <c r="C584" t="s">
        <v>4208</v>
      </c>
      <c r="D584">
        <v>388754206</v>
      </c>
      <c r="E584">
        <v>264911</v>
      </c>
      <c r="F584">
        <v>1004010823</v>
      </c>
      <c r="G584" s="1">
        <v>44823</v>
      </c>
      <c r="H584" t="s">
        <v>1360</v>
      </c>
      <c r="I584" t="s">
        <v>1349</v>
      </c>
      <c r="J584" t="s">
        <v>2348</v>
      </c>
      <c r="K584" t="s">
        <v>2308</v>
      </c>
      <c r="L584" t="s">
        <v>2305</v>
      </c>
      <c r="M584" t="s">
        <v>1409</v>
      </c>
      <c r="N584" t="s">
        <v>1410</v>
      </c>
      <c r="O584" t="s">
        <v>1462</v>
      </c>
      <c r="P584" t="s">
        <v>1423</v>
      </c>
      <c r="Q584" t="s">
        <v>1412</v>
      </c>
      <c r="S584" s="1">
        <v>45903</v>
      </c>
      <c r="V584" s="1">
        <v>45903</v>
      </c>
      <c r="W584" s="1">
        <v>33127</v>
      </c>
      <c r="X584" t="s">
        <v>1644</v>
      </c>
      <c r="Y584" t="s">
        <v>4209</v>
      </c>
      <c r="Z584" t="s">
        <v>2848</v>
      </c>
      <c r="AA584" t="s">
        <v>1419</v>
      </c>
      <c r="AB584" t="s">
        <v>4210</v>
      </c>
      <c r="AC584">
        <v>95991488598</v>
      </c>
    </row>
    <row r="585" spans="1:29" x14ac:dyDescent="0.3">
      <c r="A585" t="s">
        <v>1405</v>
      </c>
      <c r="B585" t="s">
        <v>2302</v>
      </c>
      <c r="C585" t="s">
        <v>4211</v>
      </c>
      <c r="D585">
        <v>5925806107</v>
      </c>
      <c r="E585">
        <v>25992724</v>
      </c>
      <c r="F585">
        <v>1004011242</v>
      </c>
      <c r="G585" s="1">
        <v>44984</v>
      </c>
      <c r="H585" t="s">
        <v>1360</v>
      </c>
      <c r="I585" t="s">
        <v>1374</v>
      </c>
      <c r="J585" t="s">
        <v>1361</v>
      </c>
      <c r="K585" t="s">
        <v>2308</v>
      </c>
      <c r="L585" t="s">
        <v>2305</v>
      </c>
      <c r="M585" t="s">
        <v>1447</v>
      </c>
      <c r="N585" t="s">
        <v>1448</v>
      </c>
      <c r="O585" t="s">
        <v>1423</v>
      </c>
      <c r="P585" t="s">
        <v>1423</v>
      </c>
      <c r="Q585" t="s">
        <v>1412</v>
      </c>
      <c r="S585" s="1">
        <v>46043</v>
      </c>
      <c r="W585" s="1">
        <v>35342</v>
      </c>
      <c r="X585" t="s">
        <v>1858</v>
      </c>
      <c r="Z585" t="s">
        <v>4212</v>
      </c>
      <c r="AA585" t="s">
        <v>1419</v>
      </c>
      <c r="AB585" t="s">
        <v>4213</v>
      </c>
      <c r="AC585">
        <v>65984793552</v>
      </c>
    </row>
    <row r="586" spans="1:29" x14ac:dyDescent="0.3">
      <c r="A586" t="s">
        <v>1405</v>
      </c>
      <c r="B586" t="s">
        <v>2302</v>
      </c>
      <c r="C586" t="s">
        <v>4214</v>
      </c>
      <c r="D586">
        <v>5829849712</v>
      </c>
      <c r="E586">
        <v>122194459</v>
      </c>
      <c r="F586">
        <v>1004001735</v>
      </c>
      <c r="G586" s="1">
        <v>43194</v>
      </c>
      <c r="H586" t="s">
        <v>1360</v>
      </c>
      <c r="I586" t="s">
        <v>1374</v>
      </c>
      <c r="J586" t="s">
        <v>2308</v>
      </c>
      <c r="K586" t="s">
        <v>2313</v>
      </c>
      <c r="L586" t="s">
        <v>2305</v>
      </c>
      <c r="M586" t="s">
        <v>1421</v>
      </c>
      <c r="N586" t="s">
        <v>1422</v>
      </c>
      <c r="O586" t="s">
        <v>1423</v>
      </c>
      <c r="P586" t="s">
        <v>1423</v>
      </c>
      <c r="Q586" t="s">
        <v>1412</v>
      </c>
      <c r="S586" s="1">
        <v>46043</v>
      </c>
      <c r="W586" s="1">
        <v>32601</v>
      </c>
      <c r="X586" t="s">
        <v>2412</v>
      </c>
      <c r="Y586" t="s">
        <v>2171</v>
      </c>
      <c r="Z586" t="s">
        <v>2833</v>
      </c>
      <c r="AA586" t="s">
        <v>1419</v>
      </c>
      <c r="AB586" t="s">
        <v>4215</v>
      </c>
      <c r="AC586">
        <v>21981099143</v>
      </c>
    </row>
    <row r="587" spans="1:29" x14ac:dyDescent="0.3">
      <c r="A587" t="s">
        <v>1405</v>
      </c>
      <c r="B587" t="s">
        <v>2302</v>
      </c>
      <c r="C587" t="s">
        <v>4216</v>
      </c>
      <c r="D587">
        <v>5331375944</v>
      </c>
      <c r="E587">
        <v>4450459</v>
      </c>
      <c r="F587">
        <v>1004014319</v>
      </c>
      <c r="G587" s="1">
        <v>45370</v>
      </c>
      <c r="H587" t="s">
        <v>1360</v>
      </c>
      <c r="I587" t="s">
        <v>1349</v>
      </c>
      <c r="J587" t="s">
        <v>2348</v>
      </c>
      <c r="K587" t="s">
        <v>2308</v>
      </c>
      <c r="L587" t="s">
        <v>2305</v>
      </c>
      <c r="M587" t="s">
        <v>1409</v>
      </c>
      <c r="N587" t="s">
        <v>1410</v>
      </c>
      <c r="O587" t="s">
        <v>1423</v>
      </c>
      <c r="P587" t="s">
        <v>1423</v>
      </c>
      <c r="Q587" t="s">
        <v>1412</v>
      </c>
      <c r="S587" s="1">
        <v>45855</v>
      </c>
      <c r="V587" s="1">
        <v>45854</v>
      </c>
      <c r="W587" s="1">
        <v>32258</v>
      </c>
      <c r="X587" t="s">
        <v>4217</v>
      </c>
      <c r="Y587" t="s">
        <v>4218</v>
      </c>
      <c r="Z587" t="s">
        <v>2715</v>
      </c>
      <c r="AA587" t="s">
        <v>1415</v>
      </c>
      <c r="AB587" t="s">
        <v>4219</v>
      </c>
      <c r="AC587">
        <v>49999654694</v>
      </c>
    </row>
    <row r="588" spans="1:29" x14ac:dyDescent="0.3">
      <c r="A588" t="s">
        <v>1405</v>
      </c>
      <c r="B588" t="s">
        <v>2302</v>
      </c>
      <c r="C588" t="s">
        <v>4220</v>
      </c>
      <c r="D588">
        <v>13180678712</v>
      </c>
      <c r="E588" t="s">
        <v>4221</v>
      </c>
      <c r="F588">
        <v>1004016960</v>
      </c>
      <c r="G588" s="1">
        <v>45721</v>
      </c>
      <c r="H588" t="s">
        <v>1360</v>
      </c>
      <c r="I588" t="s">
        <v>1349</v>
      </c>
      <c r="J588" t="s">
        <v>1361</v>
      </c>
      <c r="K588" t="s">
        <v>2308</v>
      </c>
      <c r="L588" t="s">
        <v>2305</v>
      </c>
      <c r="M588" t="s">
        <v>1409</v>
      </c>
      <c r="N588" t="s">
        <v>1410</v>
      </c>
      <c r="O588" t="s">
        <v>1423</v>
      </c>
      <c r="P588" t="s">
        <v>1423</v>
      </c>
      <c r="Q588" t="s">
        <v>1412</v>
      </c>
      <c r="S588" s="1">
        <v>45903</v>
      </c>
      <c r="V588" s="1">
        <v>45901</v>
      </c>
      <c r="W588" s="1">
        <v>33374</v>
      </c>
      <c r="X588" t="s">
        <v>1721</v>
      </c>
      <c r="Y588" t="s">
        <v>2171</v>
      </c>
      <c r="Z588" t="s">
        <v>3337</v>
      </c>
      <c r="AA588" t="s">
        <v>1415</v>
      </c>
      <c r="AB588" t="s">
        <v>4222</v>
      </c>
      <c r="AC588">
        <v>85987647345</v>
      </c>
    </row>
    <row r="589" spans="1:29" x14ac:dyDescent="0.3">
      <c r="A589" t="s">
        <v>1405</v>
      </c>
      <c r="B589" t="s">
        <v>2302</v>
      </c>
      <c r="C589" t="s">
        <v>4223</v>
      </c>
      <c r="D589">
        <v>352990023</v>
      </c>
      <c r="E589">
        <v>38618400</v>
      </c>
      <c r="F589">
        <v>1004011040</v>
      </c>
      <c r="G589" s="1">
        <v>44872</v>
      </c>
      <c r="H589" t="s">
        <v>1360</v>
      </c>
      <c r="I589" t="s">
        <v>1374</v>
      </c>
      <c r="J589" t="s">
        <v>1361</v>
      </c>
      <c r="K589" t="s">
        <v>2308</v>
      </c>
      <c r="L589" t="s">
        <v>2305</v>
      </c>
      <c r="M589" t="s">
        <v>1421</v>
      </c>
      <c r="N589" t="s">
        <v>1410</v>
      </c>
      <c r="O589" t="s">
        <v>1423</v>
      </c>
      <c r="P589" t="s">
        <v>1423</v>
      </c>
      <c r="Q589" t="s">
        <v>1412</v>
      </c>
      <c r="S589" s="1">
        <v>46043</v>
      </c>
      <c r="W589" s="1">
        <v>30676</v>
      </c>
      <c r="X589" t="s">
        <v>1749</v>
      </c>
      <c r="Y589" t="s">
        <v>1750</v>
      </c>
      <c r="Z589" t="s">
        <v>3474</v>
      </c>
      <c r="AA589" t="s">
        <v>1415</v>
      </c>
      <c r="AB589" t="s">
        <v>4224</v>
      </c>
      <c r="AC589">
        <v>66996772152</v>
      </c>
    </row>
    <row r="590" spans="1:29" x14ac:dyDescent="0.3">
      <c r="A590" t="s">
        <v>1405</v>
      </c>
      <c r="B590" t="s">
        <v>2302</v>
      </c>
      <c r="C590" t="s">
        <v>4225</v>
      </c>
      <c r="D590">
        <v>90105915491</v>
      </c>
      <c r="E590">
        <v>4604536</v>
      </c>
      <c r="F590">
        <v>1004011475</v>
      </c>
      <c r="G590" s="1">
        <v>44986</v>
      </c>
      <c r="H590" t="s">
        <v>1360</v>
      </c>
      <c r="I590" t="s">
        <v>1374</v>
      </c>
      <c r="J590" t="s">
        <v>1361</v>
      </c>
      <c r="K590" t="s">
        <v>2308</v>
      </c>
      <c r="L590" t="s">
        <v>2305</v>
      </c>
      <c r="M590" t="s">
        <v>1409</v>
      </c>
      <c r="N590" t="s">
        <v>1410</v>
      </c>
      <c r="O590" t="s">
        <v>1423</v>
      </c>
      <c r="P590" t="s">
        <v>1423</v>
      </c>
      <c r="Q590" t="s">
        <v>1412</v>
      </c>
      <c r="S590" s="1">
        <v>46043</v>
      </c>
      <c r="W590" s="1">
        <v>26051</v>
      </c>
      <c r="X590" t="s">
        <v>1893</v>
      </c>
      <c r="Y590" t="s">
        <v>2465</v>
      </c>
      <c r="Z590" t="s">
        <v>2466</v>
      </c>
      <c r="AA590" t="s">
        <v>1415</v>
      </c>
      <c r="AB590" t="s">
        <v>4226</v>
      </c>
      <c r="AC590">
        <v>87981170712</v>
      </c>
    </row>
    <row r="591" spans="1:29" x14ac:dyDescent="0.3">
      <c r="A591" t="s">
        <v>1405</v>
      </c>
      <c r="B591" t="s">
        <v>2302</v>
      </c>
      <c r="C591" t="s">
        <v>4227</v>
      </c>
      <c r="D591">
        <v>8193895959</v>
      </c>
      <c r="E591">
        <v>5170135</v>
      </c>
      <c r="F591">
        <v>1004013957</v>
      </c>
      <c r="G591" s="1">
        <v>45346</v>
      </c>
      <c r="H591" t="s">
        <v>1360</v>
      </c>
      <c r="I591" t="s">
        <v>1374</v>
      </c>
      <c r="J591" t="s">
        <v>1361</v>
      </c>
      <c r="K591" t="s">
        <v>2308</v>
      </c>
      <c r="L591" t="s">
        <v>2305</v>
      </c>
      <c r="M591" t="s">
        <v>1442</v>
      </c>
      <c r="N591" t="s">
        <v>1443</v>
      </c>
      <c r="O591" t="s">
        <v>1411</v>
      </c>
      <c r="P591" t="s">
        <v>1411</v>
      </c>
      <c r="Q591" t="s">
        <v>1412</v>
      </c>
      <c r="S591" s="1">
        <v>46043</v>
      </c>
      <c r="W591" s="1">
        <v>33094</v>
      </c>
      <c r="X591" t="s">
        <v>4228</v>
      </c>
      <c r="Y591" t="s">
        <v>4229</v>
      </c>
      <c r="Z591" t="s">
        <v>2754</v>
      </c>
      <c r="AA591" t="s">
        <v>1415</v>
      </c>
      <c r="AB591" t="s">
        <v>4230</v>
      </c>
      <c r="AC591">
        <v>48991309724</v>
      </c>
    </row>
    <row r="592" spans="1:29" x14ac:dyDescent="0.3">
      <c r="A592" t="s">
        <v>1405</v>
      </c>
      <c r="B592" t="s">
        <v>2302</v>
      </c>
      <c r="C592" t="s">
        <v>4231</v>
      </c>
      <c r="D592">
        <v>60290380367</v>
      </c>
      <c r="E592">
        <v>350195720088</v>
      </c>
      <c r="F592">
        <v>1004010101</v>
      </c>
      <c r="G592" s="1">
        <v>44707</v>
      </c>
      <c r="H592" t="s">
        <v>1360</v>
      </c>
      <c r="I592" t="s">
        <v>1349</v>
      </c>
      <c r="J592" t="s">
        <v>1361</v>
      </c>
      <c r="K592" t="s">
        <v>2308</v>
      </c>
      <c r="L592" t="s">
        <v>2305</v>
      </c>
      <c r="M592" t="s">
        <v>1409</v>
      </c>
      <c r="N592" t="s">
        <v>1410</v>
      </c>
      <c r="O592" t="s">
        <v>1411</v>
      </c>
      <c r="P592" t="s">
        <v>1411</v>
      </c>
      <c r="Q592" t="s">
        <v>1412</v>
      </c>
      <c r="S592" s="1">
        <v>46085</v>
      </c>
      <c r="V592" s="1">
        <v>46083</v>
      </c>
      <c r="W592" s="1">
        <v>33460</v>
      </c>
      <c r="X592" t="s">
        <v>4232</v>
      </c>
      <c r="Y592" t="s">
        <v>4233</v>
      </c>
      <c r="Z592" t="s">
        <v>3132</v>
      </c>
      <c r="AA592" t="s">
        <v>1415</v>
      </c>
      <c r="AB592" t="s">
        <v>4234</v>
      </c>
      <c r="AC592">
        <v>98982565431</v>
      </c>
    </row>
    <row r="593" spans="1:29" x14ac:dyDescent="0.3">
      <c r="A593" t="s">
        <v>1405</v>
      </c>
      <c r="B593" t="s">
        <v>2302</v>
      </c>
      <c r="C593" t="s">
        <v>4235</v>
      </c>
      <c r="D593">
        <v>87202425300</v>
      </c>
      <c r="E593" t="s">
        <v>4236</v>
      </c>
      <c r="F593">
        <v>1004007123</v>
      </c>
      <c r="G593" s="1">
        <v>44135</v>
      </c>
      <c r="H593" t="s">
        <v>1360</v>
      </c>
      <c r="I593" t="s">
        <v>1374</v>
      </c>
      <c r="J593" t="s">
        <v>2308</v>
      </c>
      <c r="K593" t="s">
        <v>2313</v>
      </c>
      <c r="L593" t="s">
        <v>2305</v>
      </c>
      <c r="M593" t="s">
        <v>1447</v>
      </c>
      <c r="N593" t="s">
        <v>1448</v>
      </c>
      <c r="O593" t="s">
        <v>1411</v>
      </c>
      <c r="P593" t="s">
        <v>1411</v>
      </c>
      <c r="Q593" t="s">
        <v>1412</v>
      </c>
      <c r="S593" s="1">
        <v>46069</v>
      </c>
      <c r="W593" s="1">
        <v>29169</v>
      </c>
      <c r="X593" t="s">
        <v>1519</v>
      </c>
      <c r="Y593" t="s">
        <v>1823</v>
      </c>
      <c r="Z593" t="s">
        <v>3637</v>
      </c>
      <c r="AA593" t="s">
        <v>1419</v>
      </c>
      <c r="AB593" t="s">
        <v>4237</v>
      </c>
      <c r="AC593">
        <v>9832351439</v>
      </c>
    </row>
    <row r="594" spans="1:29" x14ac:dyDescent="0.3">
      <c r="A594" t="s">
        <v>1405</v>
      </c>
      <c r="B594" t="s">
        <v>2302</v>
      </c>
      <c r="C594" t="s">
        <v>4238</v>
      </c>
      <c r="D594">
        <v>2480979466</v>
      </c>
      <c r="E594">
        <v>5284753</v>
      </c>
      <c r="F594">
        <v>1004011987</v>
      </c>
      <c r="G594" s="1">
        <v>45054</v>
      </c>
      <c r="H594" t="s">
        <v>1360</v>
      </c>
      <c r="I594" t="s">
        <v>1349</v>
      </c>
      <c r="J594" t="s">
        <v>1361</v>
      </c>
      <c r="K594" t="s">
        <v>2308</v>
      </c>
      <c r="L594" t="s">
        <v>2305</v>
      </c>
      <c r="M594" t="s">
        <v>1421</v>
      </c>
      <c r="N594" t="s">
        <v>1410</v>
      </c>
      <c r="O594" t="s">
        <v>1423</v>
      </c>
      <c r="P594" t="s">
        <v>1423</v>
      </c>
      <c r="Q594" t="s">
        <v>1412</v>
      </c>
      <c r="S594" s="1">
        <v>46071</v>
      </c>
      <c r="V594" s="1">
        <v>46066</v>
      </c>
      <c r="W594" s="1">
        <v>28254</v>
      </c>
      <c r="X594" t="s">
        <v>4239</v>
      </c>
      <c r="Y594" t="s">
        <v>4240</v>
      </c>
      <c r="Z594" t="s">
        <v>4241</v>
      </c>
      <c r="AA594" t="s">
        <v>1415</v>
      </c>
      <c r="AB594" t="s">
        <v>4242</v>
      </c>
      <c r="AC594">
        <v>87991519434</v>
      </c>
    </row>
    <row r="595" spans="1:29" x14ac:dyDescent="0.3">
      <c r="A595" t="s">
        <v>1405</v>
      </c>
      <c r="B595" t="s">
        <v>2302</v>
      </c>
      <c r="C595" t="s">
        <v>4243</v>
      </c>
      <c r="D595">
        <v>78417600949</v>
      </c>
      <c r="E595">
        <v>35192590</v>
      </c>
      <c r="F595">
        <v>1004008976</v>
      </c>
      <c r="G595" s="1">
        <v>44508</v>
      </c>
      <c r="H595" t="s">
        <v>1360</v>
      </c>
      <c r="I595" t="s">
        <v>1374</v>
      </c>
      <c r="J595" t="s">
        <v>2348</v>
      </c>
      <c r="K595" t="s">
        <v>2308</v>
      </c>
      <c r="L595" t="s">
        <v>2305</v>
      </c>
      <c r="M595" t="s">
        <v>1409</v>
      </c>
      <c r="N595" t="s">
        <v>1410</v>
      </c>
      <c r="O595" t="s">
        <v>1423</v>
      </c>
      <c r="P595" t="s">
        <v>1423</v>
      </c>
      <c r="Q595" t="s">
        <v>1412</v>
      </c>
      <c r="S595" s="1">
        <v>46043</v>
      </c>
      <c r="W595" s="1">
        <v>25005</v>
      </c>
      <c r="X595" t="s">
        <v>4244</v>
      </c>
      <c r="Y595" t="s">
        <v>4245</v>
      </c>
      <c r="Z595" t="s">
        <v>4246</v>
      </c>
      <c r="AA595" t="s">
        <v>1419</v>
      </c>
      <c r="AB595" t="s">
        <v>4247</v>
      </c>
      <c r="AC595">
        <v>41995339535</v>
      </c>
    </row>
    <row r="596" spans="1:29" x14ac:dyDescent="0.3">
      <c r="A596" t="s">
        <v>1405</v>
      </c>
      <c r="B596" t="s">
        <v>2302</v>
      </c>
      <c r="C596" t="s">
        <v>4248</v>
      </c>
      <c r="D596">
        <v>60519207904</v>
      </c>
      <c r="E596">
        <v>2135224</v>
      </c>
      <c r="F596">
        <v>1004003524</v>
      </c>
      <c r="G596" s="1">
        <v>43573</v>
      </c>
      <c r="H596" t="s">
        <v>1360</v>
      </c>
      <c r="I596" t="s">
        <v>1349</v>
      </c>
      <c r="J596" t="s">
        <v>2308</v>
      </c>
      <c r="K596" t="s">
        <v>2313</v>
      </c>
      <c r="L596" t="s">
        <v>2305</v>
      </c>
      <c r="M596" t="s">
        <v>1409</v>
      </c>
      <c r="N596" t="s">
        <v>1410</v>
      </c>
      <c r="O596" t="s">
        <v>1423</v>
      </c>
      <c r="P596" t="s">
        <v>1423</v>
      </c>
      <c r="Q596" t="s">
        <v>1412</v>
      </c>
      <c r="S596" s="1">
        <v>45863</v>
      </c>
      <c r="V596" s="1">
        <v>45861</v>
      </c>
      <c r="W596" s="1">
        <v>25469</v>
      </c>
      <c r="X596" t="s">
        <v>4249</v>
      </c>
      <c r="Y596" t="s">
        <v>4250</v>
      </c>
      <c r="Z596" t="s">
        <v>2818</v>
      </c>
      <c r="AA596" t="s">
        <v>1415</v>
      </c>
      <c r="AB596" t="s">
        <v>4251</v>
      </c>
      <c r="AC596">
        <v>47996996785</v>
      </c>
    </row>
    <row r="597" spans="1:29" x14ac:dyDescent="0.3">
      <c r="A597" t="s">
        <v>1405</v>
      </c>
      <c r="B597" t="s">
        <v>2302</v>
      </c>
      <c r="C597" t="s">
        <v>4252</v>
      </c>
      <c r="D597">
        <v>16668110762</v>
      </c>
      <c r="E597" t="s">
        <v>4253</v>
      </c>
      <c r="F597">
        <v>1004014916</v>
      </c>
      <c r="G597" s="1">
        <v>45425</v>
      </c>
      <c r="H597" t="s">
        <v>1360</v>
      </c>
      <c r="I597" t="s">
        <v>1374</v>
      </c>
      <c r="J597" t="s">
        <v>2348</v>
      </c>
      <c r="K597" t="s">
        <v>2308</v>
      </c>
      <c r="L597" t="s">
        <v>2305</v>
      </c>
      <c r="M597" t="s">
        <v>1421</v>
      </c>
      <c r="N597" t="s">
        <v>1422</v>
      </c>
      <c r="O597" t="s">
        <v>1411</v>
      </c>
      <c r="P597" t="s">
        <v>1411</v>
      </c>
      <c r="Q597" t="s">
        <v>1412</v>
      </c>
      <c r="S597" s="1">
        <v>46043</v>
      </c>
      <c r="W597" s="1">
        <v>34348</v>
      </c>
      <c r="X597" t="s">
        <v>1721</v>
      </c>
      <c r="Z597" t="s">
        <v>3367</v>
      </c>
      <c r="AA597" t="s">
        <v>1419</v>
      </c>
      <c r="AB597" t="s">
        <v>4254</v>
      </c>
      <c r="AC597">
        <v>21980323699</v>
      </c>
    </row>
    <row r="598" spans="1:29" x14ac:dyDescent="0.3">
      <c r="A598" t="s">
        <v>1405</v>
      </c>
      <c r="B598" t="s">
        <v>2302</v>
      </c>
      <c r="C598" t="s">
        <v>4255</v>
      </c>
      <c r="D598">
        <v>6740557306</v>
      </c>
      <c r="E598">
        <v>3064776</v>
      </c>
      <c r="F598">
        <v>1004017109</v>
      </c>
      <c r="G598" s="1">
        <v>45733</v>
      </c>
      <c r="H598" t="s">
        <v>1360</v>
      </c>
      <c r="I598" t="s">
        <v>1374</v>
      </c>
      <c r="J598" t="s">
        <v>1361</v>
      </c>
      <c r="K598" t="s">
        <v>2308</v>
      </c>
      <c r="L598" t="s">
        <v>2305</v>
      </c>
      <c r="M598" t="s">
        <v>1447</v>
      </c>
      <c r="N598" t="s">
        <v>1448</v>
      </c>
      <c r="O598" t="s">
        <v>1411</v>
      </c>
      <c r="P598" t="s">
        <v>1423</v>
      </c>
      <c r="Q598" t="s">
        <v>1412</v>
      </c>
      <c r="S598" s="1">
        <v>46043</v>
      </c>
      <c r="W598" s="1">
        <v>35206</v>
      </c>
      <c r="X598" t="s">
        <v>4256</v>
      </c>
      <c r="Z598" t="s">
        <v>3333</v>
      </c>
      <c r="AA598" t="s">
        <v>1419</v>
      </c>
      <c r="AB598" t="s">
        <v>4257</v>
      </c>
      <c r="AC598">
        <v>89994594828</v>
      </c>
    </row>
    <row r="599" spans="1:29" x14ac:dyDescent="0.3">
      <c r="A599" t="s">
        <v>1405</v>
      </c>
      <c r="B599" t="s">
        <v>2302</v>
      </c>
      <c r="C599" t="s">
        <v>4258</v>
      </c>
      <c r="D599">
        <v>9045101661</v>
      </c>
      <c r="E599">
        <v>15821181</v>
      </c>
      <c r="F599">
        <v>1004003264</v>
      </c>
      <c r="G599" s="1">
        <v>43549</v>
      </c>
      <c r="H599" t="s">
        <v>1360</v>
      </c>
      <c r="I599" t="s">
        <v>1349</v>
      </c>
      <c r="J599" t="s">
        <v>2308</v>
      </c>
      <c r="K599" t="s">
        <v>2313</v>
      </c>
      <c r="L599" t="s">
        <v>2305</v>
      </c>
      <c r="M599" t="s">
        <v>1409</v>
      </c>
      <c r="N599" t="s">
        <v>1410</v>
      </c>
      <c r="O599" t="s">
        <v>1411</v>
      </c>
      <c r="P599" t="s">
        <v>1411</v>
      </c>
      <c r="Q599" t="s">
        <v>1412</v>
      </c>
      <c r="S599" s="1">
        <v>45904</v>
      </c>
      <c r="V599" s="1">
        <v>45901</v>
      </c>
      <c r="W599" s="1">
        <v>32849</v>
      </c>
      <c r="X599" t="s">
        <v>2080</v>
      </c>
      <c r="Y599" t="s">
        <v>4259</v>
      </c>
      <c r="Z599" t="s">
        <v>4260</v>
      </c>
      <c r="AA599" t="s">
        <v>1419</v>
      </c>
      <c r="AB599" t="s">
        <v>4261</v>
      </c>
      <c r="AC599">
        <v>38999167042</v>
      </c>
    </row>
    <row r="600" spans="1:29" x14ac:dyDescent="0.3">
      <c r="A600" t="s">
        <v>1405</v>
      </c>
      <c r="B600" t="s">
        <v>2302</v>
      </c>
      <c r="C600" t="s">
        <v>4262</v>
      </c>
      <c r="D600">
        <v>466266545</v>
      </c>
      <c r="E600">
        <v>8432900099</v>
      </c>
      <c r="F600">
        <v>1004002464</v>
      </c>
      <c r="G600" s="1">
        <v>43323</v>
      </c>
      <c r="H600" t="s">
        <v>1360</v>
      </c>
      <c r="I600" t="s">
        <v>1374</v>
      </c>
      <c r="J600" t="s">
        <v>2308</v>
      </c>
      <c r="K600" t="s">
        <v>2313</v>
      </c>
      <c r="L600" t="s">
        <v>2305</v>
      </c>
      <c r="M600" t="s">
        <v>1409</v>
      </c>
      <c r="N600" t="s">
        <v>1410</v>
      </c>
      <c r="O600" t="s">
        <v>1411</v>
      </c>
      <c r="P600" t="s">
        <v>1411</v>
      </c>
      <c r="Q600" t="s">
        <v>1412</v>
      </c>
      <c r="S600" s="1">
        <v>46043</v>
      </c>
      <c r="W600" s="1">
        <v>30228</v>
      </c>
      <c r="X600" t="s">
        <v>2361</v>
      </c>
      <c r="Y600" t="s">
        <v>2362</v>
      </c>
      <c r="Z600" t="s">
        <v>2363</v>
      </c>
      <c r="AA600" t="s">
        <v>1419</v>
      </c>
      <c r="AB600" t="s">
        <v>4263</v>
      </c>
      <c r="AC600">
        <v>75992516589</v>
      </c>
    </row>
    <row r="601" spans="1:29" x14ac:dyDescent="0.3">
      <c r="A601" t="s">
        <v>1405</v>
      </c>
      <c r="B601" t="s">
        <v>2302</v>
      </c>
      <c r="C601" t="s">
        <v>4264</v>
      </c>
      <c r="D601">
        <v>92956114204</v>
      </c>
      <c r="E601">
        <v>21439664</v>
      </c>
      <c r="F601">
        <v>1004010665</v>
      </c>
      <c r="G601" s="1">
        <v>44789</v>
      </c>
      <c r="H601" t="s">
        <v>1360</v>
      </c>
      <c r="I601" t="s">
        <v>1349</v>
      </c>
      <c r="J601" t="s">
        <v>1361</v>
      </c>
      <c r="K601" t="s">
        <v>2308</v>
      </c>
      <c r="L601" t="s">
        <v>2305</v>
      </c>
      <c r="M601" t="s">
        <v>1409</v>
      </c>
      <c r="N601" t="s">
        <v>1410</v>
      </c>
      <c r="O601" t="s">
        <v>1411</v>
      </c>
      <c r="P601" t="s">
        <v>1411</v>
      </c>
      <c r="Q601" t="s">
        <v>1412</v>
      </c>
      <c r="S601" s="1">
        <v>45789</v>
      </c>
      <c r="V601" s="1">
        <v>45791</v>
      </c>
      <c r="W601" s="1">
        <v>32617</v>
      </c>
      <c r="X601" t="s">
        <v>1825</v>
      </c>
      <c r="Y601" t="s">
        <v>4265</v>
      </c>
      <c r="Z601" t="s">
        <v>4266</v>
      </c>
      <c r="AA601" t="s">
        <v>1419</v>
      </c>
      <c r="AB601" t="s">
        <v>4267</v>
      </c>
      <c r="AC601">
        <v>92993756380</v>
      </c>
    </row>
    <row r="602" spans="1:29" x14ac:dyDescent="0.3">
      <c r="A602" t="s">
        <v>1405</v>
      </c>
      <c r="B602" t="s">
        <v>2302</v>
      </c>
      <c r="C602" t="s">
        <v>4268</v>
      </c>
      <c r="D602">
        <v>3597081290</v>
      </c>
      <c r="E602">
        <v>7655195</v>
      </c>
      <c r="F602">
        <v>1004017043</v>
      </c>
      <c r="G602" s="1">
        <v>45726</v>
      </c>
      <c r="H602" t="s">
        <v>1360</v>
      </c>
      <c r="I602" t="s">
        <v>1349</v>
      </c>
      <c r="J602" t="s">
        <v>1361</v>
      </c>
      <c r="K602" t="s">
        <v>2308</v>
      </c>
      <c r="L602" t="s">
        <v>2305</v>
      </c>
      <c r="M602" t="s">
        <v>1409</v>
      </c>
      <c r="N602" t="s">
        <v>1410</v>
      </c>
      <c r="O602" t="s">
        <v>1411</v>
      </c>
      <c r="P602" t="s">
        <v>1417</v>
      </c>
      <c r="Q602" t="s">
        <v>1412</v>
      </c>
      <c r="S602" s="1">
        <v>45783</v>
      </c>
      <c r="V602" s="1">
        <v>45779</v>
      </c>
      <c r="W602" s="1">
        <v>35704</v>
      </c>
      <c r="X602" t="s">
        <v>4269</v>
      </c>
      <c r="Z602" t="s">
        <v>4270</v>
      </c>
      <c r="AA602" t="s">
        <v>1419</v>
      </c>
      <c r="AB602" t="s">
        <v>4271</v>
      </c>
      <c r="AC602">
        <v>94991223372</v>
      </c>
    </row>
    <row r="603" spans="1:29" x14ac:dyDescent="0.3">
      <c r="A603" t="s">
        <v>1405</v>
      </c>
      <c r="B603" t="s">
        <v>2302</v>
      </c>
      <c r="C603" t="s">
        <v>4272</v>
      </c>
      <c r="D603">
        <v>7589541311</v>
      </c>
      <c r="E603">
        <v>20076812140</v>
      </c>
      <c r="F603">
        <v>1004017090</v>
      </c>
      <c r="G603" s="1">
        <v>45733</v>
      </c>
      <c r="H603" t="s">
        <v>1360</v>
      </c>
      <c r="I603" t="s">
        <v>1374</v>
      </c>
      <c r="J603" t="s">
        <v>1361</v>
      </c>
      <c r="K603" t="s">
        <v>2308</v>
      </c>
      <c r="L603" t="s">
        <v>2305</v>
      </c>
      <c r="M603" t="s">
        <v>1409</v>
      </c>
      <c r="N603" t="s">
        <v>1410</v>
      </c>
      <c r="O603" t="s">
        <v>1423</v>
      </c>
      <c r="P603" t="s">
        <v>1423</v>
      </c>
      <c r="Q603" t="s">
        <v>1412</v>
      </c>
      <c r="S603" s="1">
        <v>46043</v>
      </c>
      <c r="W603" s="1">
        <v>36310</v>
      </c>
      <c r="X603" t="s">
        <v>4273</v>
      </c>
      <c r="Z603" t="s">
        <v>2506</v>
      </c>
      <c r="AA603" t="s">
        <v>1419</v>
      </c>
      <c r="AB603" t="s">
        <v>4274</v>
      </c>
      <c r="AC603">
        <v>85997625517</v>
      </c>
    </row>
    <row r="604" spans="1:29" x14ac:dyDescent="0.3">
      <c r="A604" t="s">
        <v>1405</v>
      </c>
      <c r="B604" t="s">
        <v>2302</v>
      </c>
      <c r="C604" t="s">
        <v>4275</v>
      </c>
      <c r="D604">
        <v>7367434993</v>
      </c>
      <c r="E604">
        <v>4343589</v>
      </c>
      <c r="F604">
        <v>1004011266</v>
      </c>
      <c r="G604" s="1">
        <v>44986</v>
      </c>
      <c r="H604" t="s">
        <v>1360</v>
      </c>
      <c r="I604" t="s">
        <v>1349</v>
      </c>
      <c r="J604" t="s">
        <v>1361</v>
      </c>
      <c r="K604" t="s">
        <v>2308</v>
      </c>
      <c r="L604" t="s">
        <v>2305</v>
      </c>
      <c r="M604" t="s">
        <v>1421</v>
      </c>
      <c r="N604" t="s">
        <v>1422</v>
      </c>
      <c r="O604" t="s">
        <v>1423</v>
      </c>
      <c r="P604" t="s">
        <v>1423</v>
      </c>
      <c r="Q604" t="s">
        <v>1412</v>
      </c>
      <c r="S604" s="1">
        <v>45756</v>
      </c>
      <c r="V604" s="1">
        <v>45754</v>
      </c>
      <c r="W604" s="1">
        <v>33259</v>
      </c>
      <c r="X604" t="s">
        <v>4276</v>
      </c>
      <c r="Y604" t="s">
        <v>4277</v>
      </c>
      <c r="Z604" t="s">
        <v>2652</v>
      </c>
      <c r="AA604" t="s">
        <v>1419</v>
      </c>
      <c r="AB604" t="s">
        <v>4278</v>
      </c>
      <c r="AC604">
        <v>49998029089</v>
      </c>
    </row>
    <row r="605" spans="1:29" x14ac:dyDescent="0.3">
      <c r="A605" t="s">
        <v>1405</v>
      </c>
      <c r="B605" t="s">
        <v>2302</v>
      </c>
      <c r="C605" t="s">
        <v>4279</v>
      </c>
      <c r="D605">
        <v>1082024023</v>
      </c>
      <c r="E605">
        <v>8103555325</v>
      </c>
      <c r="F605">
        <v>1004005668</v>
      </c>
      <c r="G605" s="1">
        <v>43908</v>
      </c>
      <c r="H605" t="s">
        <v>1360</v>
      </c>
      <c r="I605" t="s">
        <v>1349</v>
      </c>
      <c r="J605" t="s">
        <v>2308</v>
      </c>
      <c r="K605" t="s">
        <v>2313</v>
      </c>
      <c r="L605" t="s">
        <v>2305</v>
      </c>
      <c r="M605" t="s">
        <v>1409</v>
      </c>
      <c r="N605" t="s">
        <v>1410</v>
      </c>
      <c r="O605" t="s">
        <v>1423</v>
      </c>
      <c r="P605" t="s">
        <v>1423</v>
      </c>
      <c r="Q605" t="s">
        <v>1412</v>
      </c>
      <c r="S605" s="1">
        <v>46085</v>
      </c>
      <c r="V605" s="1">
        <v>46083</v>
      </c>
      <c r="W605" s="1">
        <v>31605</v>
      </c>
      <c r="X605" t="s">
        <v>3248</v>
      </c>
      <c r="Y605" t="s">
        <v>3249</v>
      </c>
      <c r="Z605" t="s">
        <v>3232</v>
      </c>
      <c r="AA605" t="s">
        <v>1419</v>
      </c>
      <c r="AB605" t="s">
        <v>4280</v>
      </c>
      <c r="AC605">
        <v>51984117371</v>
      </c>
    </row>
    <row r="606" spans="1:29" x14ac:dyDescent="0.3">
      <c r="A606" t="s">
        <v>1405</v>
      </c>
      <c r="B606" t="s">
        <v>2302</v>
      </c>
      <c r="C606" t="s">
        <v>4281</v>
      </c>
      <c r="D606">
        <v>5072742962</v>
      </c>
      <c r="E606">
        <v>4397878</v>
      </c>
      <c r="F606">
        <v>1004003823</v>
      </c>
      <c r="G606" s="1">
        <v>43601</v>
      </c>
      <c r="H606" t="s">
        <v>1360</v>
      </c>
      <c r="I606" t="s">
        <v>1349</v>
      </c>
      <c r="J606" t="s">
        <v>2308</v>
      </c>
      <c r="K606" t="s">
        <v>2313</v>
      </c>
      <c r="L606" t="s">
        <v>2305</v>
      </c>
      <c r="M606" t="s">
        <v>1447</v>
      </c>
      <c r="N606" t="s">
        <v>1448</v>
      </c>
      <c r="O606" t="s">
        <v>1423</v>
      </c>
      <c r="P606" t="s">
        <v>1423</v>
      </c>
      <c r="Q606" t="s">
        <v>1412</v>
      </c>
      <c r="S606" s="1">
        <v>46061</v>
      </c>
      <c r="V606" s="1">
        <v>46055</v>
      </c>
      <c r="W606" s="1">
        <v>31409</v>
      </c>
      <c r="X606" t="s">
        <v>4282</v>
      </c>
      <c r="Z606" t="s">
        <v>2353</v>
      </c>
      <c r="AA606" t="s">
        <v>1419</v>
      </c>
      <c r="AB606" t="s">
        <v>4283</v>
      </c>
      <c r="AC606">
        <v>47984757771</v>
      </c>
    </row>
    <row r="607" spans="1:29" x14ac:dyDescent="0.3">
      <c r="A607" t="s">
        <v>1405</v>
      </c>
      <c r="B607" t="s">
        <v>2302</v>
      </c>
      <c r="C607" t="s">
        <v>4284</v>
      </c>
      <c r="D607">
        <v>5093795917</v>
      </c>
      <c r="E607">
        <v>131136838</v>
      </c>
      <c r="F607">
        <v>1004015622</v>
      </c>
      <c r="G607" s="1">
        <v>45539</v>
      </c>
      <c r="H607" t="s">
        <v>1360</v>
      </c>
      <c r="I607" t="s">
        <v>1349</v>
      </c>
      <c r="J607" t="s">
        <v>1361</v>
      </c>
      <c r="K607" t="s">
        <v>2308</v>
      </c>
      <c r="L607" t="s">
        <v>2305</v>
      </c>
      <c r="M607" t="s">
        <v>1447</v>
      </c>
      <c r="N607" t="s">
        <v>1448</v>
      </c>
      <c r="O607" t="s">
        <v>1423</v>
      </c>
      <c r="P607" t="s">
        <v>1423</v>
      </c>
      <c r="Q607" t="s">
        <v>1412</v>
      </c>
      <c r="S607" s="1">
        <v>45740</v>
      </c>
      <c r="V607" s="1">
        <v>45735</v>
      </c>
      <c r="W607" s="1">
        <v>35008</v>
      </c>
      <c r="X607" t="s">
        <v>4285</v>
      </c>
      <c r="Z607" t="s">
        <v>3367</v>
      </c>
      <c r="AA607" t="s">
        <v>1419</v>
      </c>
      <c r="AB607" t="s">
        <v>4286</v>
      </c>
      <c r="AC607">
        <v>21991848116</v>
      </c>
    </row>
    <row r="608" spans="1:29" x14ac:dyDescent="0.3">
      <c r="A608" t="s">
        <v>1405</v>
      </c>
      <c r="B608" t="s">
        <v>2302</v>
      </c>
      <c r="C608" t="s">
        <v>4287</v>
      </c>
      <c r="D608">
        <v>38910146869</v>
      </c>
      <c r="E608">
        <v>8008710</v>
      </c>
      <c r="F608">
        <v>1004019651</v>
      </c>
      <c r="G608" s="1">
        <v>45903</v>
      </c>
      <c r="H608" t="s">
        <v>1360</v>
      </c>
      <c r="I608" t="s">
        <v>1349</v>
      </c>
      <c r="J608" t="s">
        <v>1361</v>
      </c>
      <c r="K608" t="s">
        <v>2308</v>
      </c>
      <c r="L608" t="s">
        <v>2305</v>
      </c>
      <c r="M608" t="s">
        <v>1409</v>
      </c>
      <c r="N608" t="s">
        <v>1410</v>
      </c>
      <c r="O608" t="s">
        <v>1423</v>
      </c>
      <c r="P608" t="s">
        <v>1423</v>
      </c>
      <c r="Q608" t="s">
        <v>1412</v>
      </c>
      <c r="S608" s="1">
        <v>46045</v>
      </c>
      <c r="V608" s="1">
        <v>46041</v>
      </c>
      <c r="W608" s="1">
        <v>32887</v>
      </c>
      <c r="X608" t="s">
        <v>3794</v>
      </c>
      <c r="Z608" t="s">
        <v>3333</v>
      </c>
      <c r="AA608" t="s">
        <v>1419</v>
      </c>
      <c r="AB608" t="s">
        <v>4288</v>
      </c>
      <c r="AC608">
        <v>89988186600</v>
      </c>
    </row>
    <row r="609" spans="1:29" x14ac:dyDescent="0.3">
      <c r="A609" t="s">
        <v>1405</v>
      </c>
      <c r="B609" t="s">
        <v>2302</v>
      </c>
      <c r="C609" t="s">
        <v>4289</v>
      </c>
      <c r="D609">
        <v>1451198078</v>
      </c>
      <c r="E609">
        <v>8086186528</v>
      </c>
      <c r="F609">
        <v>1004013246</v>
      </c>
      <c r="G609" s="1">
        <v>45223</v>
      </c>
      <c r="H609" t="s">
        <v>1360</v>
      </c>
      <c r="I609" t="s">
        <v>1374</v>
      </c>
      <c r="J609" t="s">
        <v>1361</v>
      </c>
      <c r="K609" t="s">
        <v>2308</v>
      </c>
      <c r="L609" t="s">
        <v>2305</v>
      </c>
      <c r="M609" t="s">
        <v>1421</v>
      </c>
      <c r="N609" t="s">
        <v>1410</v>
      </c>
      <c r="O609" t="s">
        <v>1423</v>
      </c>
      <c r="P609" t="s">
        <v>1423</v>
      </c>
      <c r="Q609" t="s">
        <v>1412</v>
      </c>
      <c r="S609" s="1">
        <v>46043</v>
      </c>
      <c r="W609" s="1">
        <v>31220</v>
      </c>
      <c r="X609" t="s">
        <v>1852</v>
      </c>
      <c r="Y609" t="s">
        <v>4290</v>
      </c>
      <c r="Z609" t="s">
        <v>2607</v>
      </c>
      <c r="AA609" t="s">
        <v>1419</v>
      </c>
      <c r="AB609" t="s">
        <v>4291</v>
      </c>
      <c r="AC609">
        <v>51998735423</v>
      </c>
    </row>
    <row r="610" spans="1:29" x14ac:dyDescent="0.3">
      <c r="A610" t="s">
        <v>1405</v>
      </c>
      <c r="B610" t="s">
        <v>2302</v>
      </c>
      <c r="C610" t="s">
        <v>4292</v>
      </c>
      <c r="D610">
        <v>9537277933</v>
      </c>
      <c r="E610">
        <v>8173780</v>
      </c>
      <c r="F610">
        <v>1004016783</v>
      </c>
      <c r="G610" s="1">
        <v>45705</v>
      </c>
      <c r="H610" t="s">
        <v>1360</v>
      </c>
      <c r="I610" t="s">
        <v>1374</v>
      </c>
      <c r="J610" t="s">
        <v>1361</v>
      </c>
      <c r="K610" t="s">
        <v>2308</v>
      </c>
      <c r="L610" t="s">
        <v>2305</v>
      </c>
      <c r="M610" t="s">
        <v>1409</v>
      </c>
      <c r="N610" t="s">
        <v>1410</v>
      </c>
      <c r="O610" t="s">
        <v>1423</v>
      </c>
      <c r="P610" t="s">
        <v>1423</v>
      </c>
      <c r="Q610" t="s">
        <v>1412</v>
      </c>
      <c r="S610" s="1">
        <v>46043</v>
      </c>
      <c r="W610" s="1">
        <v>34886</v>
      </c>
      <c r="X610" t="s">
        <v>4293</v>
      </c>
      <c r="Y610" t="s">
        <v>4294</v>
      </c>
      <c r="Z610" t="s">
        <v>4295</v>
      </c>
      <c r="AA610" t="s">
        <v>1419</v>
      </c>
      <c r="AB610" t="s">
        <v>4296</v>
      </c>
      <c r="AC610">
        <v>48999496715</v>
      </c>
    </row>
    <row r="611" spans="1:29" x14ac:dyDescent="0.3">
      <c r="A611" t="s">
        <v>1405</v>
      </c>
      <c r="B611" t="s">
        <v>2302</v>
      </c>
      <c r="C611" t="s">
        <v>4297</v>
      </c>
      <c r="D611">
        <v>53872029991</v>
      </c>
      <c r="E611">
        <v>1375681</v>
      </c>
      <c r="F611">
        <v>42004202718</v>
      </c>
      <c r="G611" s="1">
        <v>42654</v>
      </c>
      <c r="H611" t="s">
        <v>1360</v>
      </c>
      <c r="I611" t="s">
        <v>2604</v>
      </c>
      <c r="J611" t="s">
        <v>2308</v>
      </c>
      <c r="K611" t="s">
        <v>2313</v>
      </c>
      <c r="L611" t="s">
        <v>2305</v>
      </c>
      <c r="M611" t="s">
        <v>1409</v>
      </c>
      <c r="N611" t="s">
        <v>1410</v>
      </c>
      <c r="O611" t="s">
        <v>1423</v>
      </c>
      <c r="P611" t="s">
        <v>1423</v>
      </c>
      <c r="Q611" t="s">
        <v>1412</v>
      </c>
      <c r="S611" s="1">
        <v>45670</v>
      </c>
      <c r="T611" s="1">
        <v>45617</v>
      </c>
      <c r="W611" s="1">
        <v>23404</v>
      </c>
      <c r="X611" t="s">
        <v>1728</v>
      </c>
      <c r="Y611" t="s">
        <v>1729</v>
      </c>
      <c r="Z611" t="s">
        <v>2754</v>
      </c>
      <c r="AA611" t="s">
        <v>1419</v>
      </c>
      <c r="AB611" t="s">
        <v>4298</v>
      </c>
    </row>
    <row r="612" spans="1:29" x14ac:dyDescent="0.3">
      <c r="A612" t="s">
        <v>1405</v>
      </c>
      <c r="B612" t="s">
        <v>2302</v>
      </c>
      <c r="C612" t="s">
        <v>4299</v>
      </c>
      <c r="D612">
        <v>90137485468</v>
      </c>
      <c r="E612">
        <v>4235214</v>
      </c>
      <c r="F612">
        <v>1004003301</v>
      </c>
      <c r="G612" s="1">
        <v>43551</v>
      </c>
      <c r="H612" t="s">
        <v>1360</v>
      </c>
      <c r="I612" t="s">
        <v>1349</v>
      </c>
      <c r="J612" t="s">
        <v>2308</v>
      </c>
      <c r="K612" t="s">
        <v>2313</v>
      </c>
      <c r="L612" t="s">
        <v>2305</v>
      </c>
      <c r="M612" t="s">
        <v>1409</v>
      </c>
      <c r="N612" t="s">
        <v>1410</v>
      </c>
      <c r="O612" t="s">
        <v>1462</v>
      </c>
      <c r="P612" t="s">
        <v>1423</v>
      </c>
      <c r="Q612" t="s">
        <v>1412</v>
      </c>
      <c r="S612" s="1">
        <v>46085</v>
      </c>
      <c r="V612" s="1">
        <v>46083</v>
      </c>
      <c r="W612" s="1">
        <v>26926</v>
      </c>
      <c r="X612" t="s">
        <v>4300</v>
      </c>
      <c r="Y612" t="s">
        <v>4301</v>
      </c>
      <c r="Z612" t="s">
        <v>4302</v>
      </c>
      <c r="AA612" t="s">
        <v>1419</v>
      </c>
      <c r="AB612" t="s">
        <v>4303</v>
      </c>
      <c r="AC612">
        <v>87999577808</v>
      </c>
    </row>
    <row r="613" spans="1:29" x14ac:dyDescent="0.3">
      <c r="A613" t="s">
        <v>1405</v>
      </c>
      <c r="B613" t="s">
        <v>2302</v>
      </c>
      <c r="C613" t="s">
        <v>4304</v>
      </c>
      <c r="D613">
        <v>40044475934</v>
      </c>
      <c r="E613">
        <v>936948</v>
      </c>
      <c r="F613">
        <v>42004100103</v>
      </c>
      <c r="G613" s="1">
        <v>39630</v>
      </c>
      <c r="H613" t="s">
        <v>1360</v>
      </c>
      <c r="I613" t="s">
        <v>2604</v>
      </c>
      <c r="J613" t="s">
        <v>2308</v>
      </c>
      <c r="K613" t="s">
        <v>2313</v>
      </c>
      <c r="L613" t="s">
        <v>2305</v>
      </c>
      <c r="M613" t="s">
        <v>1409</v>
      </c>
      <c r="N613" t="s">
        <v>1410</v>
      </c>
      <c r="O613" t="s">
        <v>1423</v>
      </c>
      <c r="P613" t="s">
        <v>1423</v>
      </c>
      <c r="Q613" t="s">
        <v>1412</v>
      </c>
      <c r="S613" s="1">
        <v>42198</v>
      </c>
      <c r="T613" s="1">
        <v>42104</v>
      </c>
      <c r="W613" s="1">
        <v>22153</v>
      </c>
      <c r="X613" t="s">
        <v>1714</v>
      </c>
      <c r="Y613" t="s">
        <v>3776</v>
      </c>
      <c r="Z613" t="s">
        <v>2652</v>
      </c>
      <c r="AA613" t="s">
        <v>1419</v>
      </c>
      <c r="AB613" t="s">
        <v>4305</v>
      </c>
      <c r="AC613">
        <v>4999725803</v>
      </c>
    </row>
    <row r="614" spans="1:29" x14ac:dyDescent="0.3">
      <c r="A614" t="s">
        <v>1405</v>
      </c>
      <c r="B614" t="s">
        <v>2302</v>
      </c>
      <c r="C614" t="s">
        <v>4306</v>
      </c>
      <c r="D614">
        <v>1981273913</v>
      </c>
      <c r="E614">
        <v>3637925</v>
      </c>
      <c r="F614">
        <v>1004003119</v>
      </c>
      <c r="G614" s="1">
        <v>43536</v>
      </c>
      <c r="H614" t="s">
        <v>1360</v>
      </c>
      <c r="I614" t="s">
        <v>1374</v>
      </c>
      <c r="J614" t="s">
        <v>2308</v>
      </c>
      <c r="K614" t="s">
        <v>2313</v>
      </c>
      <c r="L614" t="s">
        <v>2305</v>
      </c>
      <c r="M614" t="s">
        <v>1409</v>
      </c>
      <c r="N614" t="s">
        <v>1410</v>
      </c>
      <c r="O614" t="s">
        <v>1423</v>
      </c>
      <c r="P614" t="s">
        <v>1423</v>
      </c>
      <c r="Q614" t="s">
        <v>1412</v>
      </c>
      <c r="S614" s="1">
        <v>46043</v>
      </c>
      <c r="W614" s="1">
        <v>28764</v>
      </c>
      <c r="X614" t="s">
        <v>2374</v>
      </c>
      <c r="Y614" t="s">
        <v>1475</v>
      </c>
      <c r="Z614" t="s">
        <v>2630</v>
      </c>
      <c r="AA614" t="s">
        <v>1419</v>
      </c>
      <c r="AB614" t="s">
        <v>4307</v>
      </c>
      <c r="AC614">
        <v>47991902009</v>
      </c>
    </row>
    <row r="615" spans="1:29" x14ac:dyDescent="0.3">
      <c r="A615" t="s">
        <v>1405</v>
      </c>
      <c r="B615" t="s">
        <v>2302</v>
      </c>
      <c r="C615" t="s">
        <v>4308</v>
      </c>
      <c r="D615">
        <v>7870218901</v>
      </c>
      <c r="E615" t="s">
        <v>4309</v>
      </c>
      <c r="F615">
        <v>1004022260</v>
      </c>
      <c r="G615" s="1">
        <v>46118</v>
      </c>
      <c r="H615" t="s">
        <v>1360</v>
      </c>
      <c r="I615" t="s">
        <v>1349</v>
      </c>
      <c r="J615" t="s">
        <v>2308</v>
      </c>
      <c r="K615" t="s">
        <v>2313</v>
      </c>
      <c r="L615" t="s">
        <v>2305</v>
      </c>
      <c r="M615" t="s">
        <v>1421</v>
      </c>
      <c r="N615" t="s">
        <v>1410</v>
      </c>
      <c r="O615" t="s">
        <v>1423</v>
      </c>
      <c r="P615" t="s">
        <v>1423</v>
      </c>
      <c r="Q615" t="s">
        <v>1412</v>
      </c>
      <c r="S615" s="1">
        <v>46111</v>
      </c>
      <c r="V615" s="1">
        <v>46114</v>
      </c>
      <c r="W615" s="1">
        <v>34497</v>
      </c>
      <c r="X615" t="s">
        <v>2264</v>
      </c>
      <c r="Y615" t="s">
        <v>2651</v>
      </c>
      <c r="AA615" t="s">
        <v>1419</v>
      </c>
      <c r="AB615" t="s">
        <v>4310</v>
      </c>
      <c r="AC615">
        <v>47991855461</v>
      </c>
    </row>
    <row r="616" spans="1:29" x14ac:dyDescent="0.3">
      <c r="A616" t="s">
        <v>1405</v>
      </c>
      <c r="B616" t="s">
        <v>2302</v>
      </c>
      <c r="C616" t="s">
        <v>4308</v>
      </c>
      <c r="D616">
        <v>7870218901</v>
      </c>
      <c r="E616" t="s">
        <v>4309</v>
      </c>
      <c r="F616">
        <v>1004022266</v>
      </c>
      <c r="G616" s="1">
        <v>46118</v>
      </c>
      <c r="H616" t="s">
        <v>1360</v>
      </c>
      <c r="I616" t="s">
        <v>1374</v>
      </c>
      <c r="J616" t="s">
        <v>1361</v>
      </c>
      <c r="K616" t="s">
        <v>2308</v>
      </c>
      <c r="L616" t="s">
        <v>2305</v>
      </c>
      <c r="M616" t="s">
        <v>1421</v>
      </c>
      <c r="N616" t="s">
        <v>1410</v>
      </c>
      <c r="O616" t="s">
        <v>1423</v>
      </c>
      <c r="P616" t="s">
        <v>1423</v>
      </c>
      <c r="Q616" t="s">
        <v>1412</v>
      </c>
      <c r="S616" s="1">
        <v>46118</v>
      </c>
      <c r="W616" s="1">
        <v>34497</v>
      </c>
      <c r="X616" t="s">
        <v>2264</v>
      </c>
      <c r="Y616" t="s">
        <v>2651</v>
      </c>
      <c r="Z616" t="s">
        <v>2587</v>
      </c>
      <c r="AA616" t="s">
        <v>1419</v>
      </c>
      <c r="AB616" t="s">
        <v>4310</v>
      </c>
      <c r="AC616">
        <v>47991855461</v>
      </c>
    </row>
    <row r="617" spans="1:29" x14ac:dyDescent="0.3">
      <c r="A617" t="s">
        <v>1405</v>
      </c>
      <c r="B617" t="s">
        <v>2302</v>
      </c>
      <c r="C617" t="s">
        <v>4311</v>
      </c>
      <c r="D617">
        <v>353694266</v>
      </c>
      <c r="E617">
        <v>436784</v>
      </c>
      <c r="F617">
        <v>1004018508</v>
      </c>
      <c r="G617" s="1">
        <v>45831</v>
      </c>
      <c r="H617" t="s">
        <v>1360</v>
      </c>
      <c r="I617" t="s">
        <v>1374</v>
      </c>
      <c r="J617" t="s">
        <v>1361</v>
      </c>
      <c r="K617" t="s">
        <v>2308</v>
      </c>
      <c r="L617" t="s">
        <v>2305</v>
      </c>
      <c r="M617" t="s">
        <v>1409</v>
      </c>
      <c r="N617" t="s">
        <v>1410</v>
      </c>
      <c r="O617" t="s">
        <v>1439</v>
      </c>
      <c r="P617" t="s">
        <v>1411</v>
      </c>
      <c r="Q617" t="s">
        <v>1412</v>
      </c>
      <c r="S617" s="1">
        <v>46043</v>
      </c>
      <c r="W617" s="1">
        <v>33267</v>
      </c>
      <c r="X617" t="s">
        <v>1775</v>
      </c>
      <c r="Z617" t="s">
        <v>2439</v>
      </c>
      <c r="AA617" t="s">
        <v>1419</v>
      </c>
      <c r="AB617" t="s">
        <v>4312</v>
      </c>
      <c r="AC617">
        <v>559699627520</v>
      </c>
    </row>
    <row r="618" spans="1:29" x14ac:dyDescent="0.3">
      <c r="A618" t="s">
        <v>1405</v>
      </c>
      <c r="B618" t="s">
        <v>2302</v>
      </c>
      <c r="C618" t="s">
        <v>4313</v>
      </c>
      <c r="D618">
        <v>5317181313</v>
      </c>
      <c r="E618" t="s">
        <v>4314</v>
      </c>
      <c r="F618">
        <v>1004017063</v>
      </c>
      <c r="G618" s="1">
        <v>45728</v>
      </c>
      <c r="H618" t="s">
        <v>1360</v>
      </c>
      <c r="I618" t="s">
        <v>1374</v>
      </c>
      <c r="J618" t="s">
        <v>2308</v>
      </c>
      <c r="K618" t="s">
        <v>2313</v>
      </c>
      <c r="L618" t="s">
        <v>2305</v>
      </c>
      <c r="M618" t="s">
        <v>1409</v>
      </c>
      <c r="N618" t="s">
        <v>1410</v>
      </c>
      <c r="O618" t="s">
        <v>1462</v>
      </c>
      <c r="P618" t="s">
        <v>1462</v>
      </c>
      <c r="Q618" t="s">
        <v>1412</v>
      </c>
      <c r="S618" s="1">
        <v>46043</v>
      </c>
      <c r="W618" s="1">
        <v>35790</v>
      </c>
      <c r="X618" t="s">
        <v>2890</v>
      </c>
      <c r="Z618" t="s">
        <v>2891</v>
      </c>
      <c r="AA618" t="s">
        <v>1419</v>
      </c>
      <c r="AB618" t="s">
        <v>4315</v>
      </c>
      <c r="AC618">
        <v>8999151455</v>
      </c>
    </row>
    <row r="619" spans="1:29" x14ac:dyDescent="0.3">
      <c r="A619" t="s">
        <v>1405</v>
      </c>
      <c r="B619" t="s">
        <v>2302</v>
      </c>
      <c r="C619" t="s">
        <v>4316</v>
      </c>
      <c r="D619">
        <v>647927900</v>
      </c>
      <c r="E619">
        <v>34385290</v>
      </c>
      <c r="F619">
        <v>1004009860</v>
      </c>
      <c r="G619" s="1">
        <v>44680</v>
      </c>
      <c r="H619" t="s">
        <v>1360</v>
      </c>
      <c r="I619" t="s">
        <v>1374</v>
      </c>
      <c r="J619" t="s">
        <v>1361</v>
      </c>
      <c r="K619" t="s">
        <v>2308</v>
      </c>
      <c r="L619" t="s">
        <v>2305</v>
      </c>
      <c r="M619" t="s">
        <v>1409</v>
      </c>
      <c r="N619" t="s">
        <v>1410</v>
      </c>
      <c r="O619" t="s">
        <v>1423</v>
      </c>
      <c r="P619" t="s">
        <v>1423</v>
      </c>
      <c r="Q619" t="s">
        <v>1412</v>
      </c>
      <c r="S619" s="1">
        <v>46043</v>
      </c>
      <c r="W619" s="1">
        <v>30024</v>
      </c>
      <c r="X619" t="s">
        <v>4317</v>
      </c>
      <c r="Y619" t="s">
        <v>4318</v>
      </c>
      <c r="Z619" t="s">
        <v>2436</v>
      </c>
      <c r="AA619" t="s">
        <v>1419</v>
      </c>
      <c r="AB619" t="s">
        <v>4319</v>
      </c>
      <c r="AC619">
        <v>47999718369</v>
      </c>
    </row>
    <row r="620" spans="1:29" x14ac:dyDescent="0.3">
      <c r="A620" t="s">
        <v>1405</v>
      </c>
      <c r="B620" t="s">
        <v>2302</v>
      </c>
      <c r="C620" t="s">
        <v>4320</v>
      </c>
      <c r="D620">
        <v>71557016968</v>
      </c>
      <c r="E620" t="s">
        <v>4321</v>
      </c>
      <c r="F620">
        <v>1004002975</v>
      </c>
      <c r="G620" s="1">
        <v>43516</v>
      </c>
      <c r="H620" t="s">
        <v>1360</v>
      </c>
      <c r="I620" t="s">
        <v>1374</v>
      </c>
      <c r="J620" t="s">
        <v>2308</v>
      </c>
      <c r="K620" t="s">
        <v>2313</v>
      </c>
      <c r="L620" t="s">
        <v>2305</v>
      </c>
      <c r="M620" t="s">
        <v>1409</v>
      </c>
      <c r="N620" t="s">
        <v>1410</v>
      </c>
      <c r="O620" t="s">
        <v>1423</v>
      </c>
      <c r="P620" t="s">
        <v>1423</v>
      </c>
      <c r="Q620" t="s">
        <v>1412</v>
      </c>
      <c r="S620" s="1">
        <v>46043</v>
      </c>
      <c r="W620" s="1">
        <v>25460</v>
      </c>
      <c r="X620" t="s">
        <v>1665</v>
      </c>
      <c r="Z620" t="s">
        <v>3581</v>
      </c>
      <c r="AA620" t="s">
        <v>1419</v>
      </c>
      <c r="AB620" t="s">
        <v>4322</v>
      </c>
      <c r="AC620">
        <v>47992321873</v>
      </c>
    </row>
    <row r="621" spans="1:29" x14ac:dyDescent="0.3">
      <c r="A621" t="s">
        <v>1405</v>
      </c>
      <c r="B621" t="s">
        <v>2302</v>
      </c>
      <c r="C621" t="s">
        <v>4323</v>
      </c>
      <c r="D621">
        <v>79821111653</v>
      </c>
      <c r="E621" t="s">
        <v>4324</v>
      </c>
      <c r="F621">
        <v>1004008922</v>
      </c>
      <c r="G621" s="1">
        <v>44491</v>
      </c>
      <c r="H621" t="s">
        <v>1360</v>
      </c>
      <c r="I621" t="s">
        <v>1349</v>
      </c>
      <c r="J621" t="s">
        <v>1361</v>
      </c>
      <c r="K621" t="s">
        <v>2308</v>
      </c>
      <c r="L621" t="s">
        <v>2305</v>
      </c>
      <c r="M621" t="s">
        <v>1409</v>
      </c>
      <c r="N621" t="s">
        <v>1410</v>
      </c>
      <c r="O621" t="s">
        <v>1462</v>
      </c>
      <c r="P621" t="s">
        <v>1462</v>
      </c>
      <c r="Q621" t="s">
        <v>1412</v>
      </c>
      <c r="S621" s="1">
        <v>45909</v>
      </c>
      <c r="V621" s="1">
        <v>45908</v>
      </c>
      <c r="W621" s="1">
        <v>26329</v>
      </c>
      <c r="X621" t="s">
        <v>1965</v>
      </c>
      <c r="Z621" t="s">
        <v>4325</v>
      </c>
      <c r="AA621" t="s">
        <v>1419</v>
      </c>
      <c r="AB621" t="s">
        <v>4326</v>
      </c>
      <c r="AC621">
        <v>27996496540</v>
      </c>
    </row>
    <row r="622" spans="1:29" x14ac:dyDescent="0.3">
      <c r="A622" t="s">
        <v>1405</v>
      </c>
      <c r="B622" t="s">
        <v>2302</v>
      </c>
      <c r="C622" t="s">
        <v>4327</v>
      </c>
      <c r="D622">
        <v>11390444430</v>
      </c>
      <c r="E622">
        <v>9444118</v>
      </c>
      <c r="F622">
        <v>1004009764</v>
      </c>
      <c r="G622" s="1">
        <v>44660</v>
      </c>
      <c r="H622" t="s">
        <v>1360</v>
      </c>
      <c r="I622" t="s">
        <v>1349</v>
      </c>
      <c r="J622" t="s">
        <v>1361</v>
      </c>
      <c r="K622" t="s">
        <v>2308</v>
      </c>
      <c r="L622" t="s">
        <v>2305</v>
      </c>
      <c r="M622" t="s">
        <v>1409</v>
      </c>
      <c r="N622" t="s">
        <v>1410</v>
      </c>
      <c r="O622" t="s">
        <v>1423</v>
      </c>
      <c r="P622" t="s">
        <v>1423</v>
      </c>
      <c r="Q622" t="s">
        <v>1412</v>
      </c>
      <c r="S622" s="1">
        <v>46042</v>
      </c>
      <c r="V622" s="1">
        <v>46038</v>
      </c>
      <c r="W622" s="1">
        <v>34618</v>
      </c>
      <c r="X622" t="s">
        <v>2867</v>
      </c>
      <c r="Z622" t="s">
        <v>2869</v>
      </c>
      <c r="AA622" t="s">
        <v>1415</v>
      </c>
      <c r="AB622" t="s">
        <v>4328</v>
      </c>
      <c r="AC622">
        <v>81992773159</v>
      </c>
    </row>
    <row r="623" spans="1:29" x14ac:dyDescent="0.3">
      <c r="A623" t="s">
        <v>1405</v>
      </c>
      <c r="B623" t="s">
        <v>2302</v>
      </c>
      <c r="C623" t="s">
        <v>4329</v>
      </c>
      <c r="D623">
        <v>4346751563</v>
      </c>
      <c r="E623">
        <v>1509347771</v>
      </c>
      <c r="F623">
        <v>1004015456</v>
      </c>
      <c r="G623" s="1">
        <v>45518</v>
      </c>
      <c r="H623" t="s">
        <v>1360</v>
      </c>
      <c r="I623" t="s">
        <v>1349</v>
      </c>
      <c r="J623" t="s">
        <v>1361</v>
      </c>
      <c r="K623" t="s">
        <v>2308</v>
      </c>
      <c r="L623" t="s">
        <v>2305</v>
      </c>
      <c r="M623" t="s">
        <v>1421</v>
      </c>
      <c r="N623" t="s">
        <v>1422</v>
      </c>
      <c r="O623" t="s">
        <v>1411</v>
      </c>
      <c r="P623" t="s">
        <v>1411</v>
      </c>
      <c r="Q623" t="s">
        <v>1412</v>
      </c>
      <c r="S623" s="1">
        <v>46132</v>
      </c>
      <c r="V623" s="1">
        <v>46127</v>
      </c>
      <c r="W623" s="1">
        <v>35936</v>
      </c>
      <c r="X623" t="s">
        <v>4330</v>
      </c>
      <c r="Y623" t="s">
        <v>4331</v>
      </c>
      <c r="Z623" t="s">
        <v>2363</v>
      </c>
      <c r="AA623" t="s">
        <v>1415</v>
      </c>
      <c r="AB623" t="s">
        <v>4332</v>
      </c>
      <c r="AC623">
        <v>75992011838</v>
      </c>
    </row>
    <row r="624" spans="1:29" x14ac:dyDescent="0.3">
      <c r="A624" t="s">
        <v>1405</v>
      </c>
      <c r="B624" t="s">
        <v>2302</v>
      </c>
      <c r="C624" t="s">
        <v>4333</v>
      </c>
      <c r="D624">
        <v>401531260</v>
      </c>
      <c r="E624">
        <v>23307811</v>
      </c>
      <c r="F624">
        <v>1004008041</v>
      </c>
      <c r="G624" s="1">
        <v>44335</v>
      </c>
      <c r="H624" t="s">
        <v>1360</v>
      </c>
      <c r="I624" t="s">
        <v>1349</v>
      </c>
      <c r="J624" t="s">
        <v>1361</v>
      </c>
      <c r="K624" t="s">
        <v>2308</v>
      </c>
      <c r="L624" t="s">
        <v>2305</v>
      </c>
      <c r="M624" t="s">
        <v>1409</v>
      </c>
      <c r="N624" t="s">
        <v>1410</v>
      </c>
      <c r="O624" t="s">
        <v>1411</v>
      </c>
      <c r="P624" t="s">
        <v>1411</v>
      </c>
      <c r="Q624" t="s">
        <v>1412</v>
      </c>
      <c r="S624" s="1">
        <v>46119</v>
      </c>
      <c r="T624" s="1">
        <v>45880</v>
      </c>
      <c r="U624" s="1">
        <v>45999</v>
      </c>
      <c r="V624" s="1">
        <v>46113</v>
      </c>
      <c r="W624" s="1">
        <v>32805</v>
      </c>
      <c r="X624" t="s">
        <v>1637</v>
      </c>
      <c r="Z624" t="s">
        <v>4334</v>
      </c>
      <c r="AA624" t="s">
        <v>1419</v>
      </c>
      <c r="AB624" t="s">
        <v>4335</v>
      </c>
      <c r="AC624">
        <v>929991671517</v>
      </c>
    </row>
    <row r="625" spans="1:29" x14ac:dyDescent="0.3">
      <c r="A625" t="s">
        <v>1405</v>
      </c>
      <c r="B625" t="s">
        <v>2302</v>
      </c>
      <c r="C625" t="s">
        <v>4336</v>
      </c>
      <c r="D625">
        <v>4310473326</v>
      </c>
      <c r="E625">
        <v>2002099072928</v>
      </c>
      <c r="F625">
        <v>1004018102</v>
      </c>
      <c r="G625" s="1">
        <v>45791</v>
      </c>
      <c r="H625" t="s">
        <v>1360</v>
      </c>
      <c r="I625" t="s">
        <v>1374</v>
      </c>
      <c r="J625" t="s">
        <v>2348</v>
      </c>
      <c r="K625" t="s">
        <v>2308</v>
      </c>
      <c r="L625" t="s">
        <v>2305</v>
      </c>
      <c r="M625" t="s">
        <v>1447</v>
      </c>
      <c r="N625" t="s">
        <v>1448</v>
      </c>
      <c r="O625" t="s">
        <v>1411</v>
      </c>
      <c r="P625" t="s">
        <v>1411</v>
      </c>
      <c r="Q625" t="s">
        <v>1412</v>
      </c>
      <c r="S625" s="1">
        <v>46043</v>
      </c>
      <c r="W625" s="1">
        <v>33813</v>
      </c>
      <c r="X625" t="s">
        <v>4337</v>
      </c>
      <c r="Z625" t="s">
        <v>2775</v>
      </c>
      <c r="AA625" t="s">
        <v>1415</v>
      </c>
      <c r="AB625" t="s">
        <v>4338</v>
      </c>
      <c r="AC625">
        <v>88996101337</v>
      </c>
    </row>
    <row r="626" spans="1:29" x14ac:dyDescent="0.3">
      <c r="A626" t="s">
        <v>1405</v>
      </c>
      <c r="B626" t="s">
        <v>2302</v>
      </c>
      <c r="C626" t="s">
        <v>4339</v>
      </c>
      <c r="D626">
        <v>1049363558</v>
      </c>
      <c r="E626">
        <v>14321378</v>
      </c>
      <c r="F626">
        <v>1004014267</v>
      </c>
      <c r="G626" s="1">
        <v>45370</v>
      </c>
      <c r="H626" t="s">
        <v>1360</v>
      </c>
      <c r="I626" t="s">
        <v>1374</v>
      </c>
      <c r="J626" t="s">
        <v>1361</v>
      </c>
      <c r="K626" t="s">
        <v>2308</v>
      </c>
      <c r="L626" t="s">
        <v>2305</v>
      </c>
      <c r="M626" t="s">
        <v>1409</v>
      </c>
      <c r="N626" t="s">
        <v>1410</v>
      </c>
      <c r="O626" t="s">
        <v>1423</v>
      </c>
      <c r="P626" t="s">
        <v>1423</v>
      </c>
      <c r="Q626" t="s">
        <v>1412</v>
      </c>
      <c r="S626" s="1">
        <v>46043</v>
      </c>
      <c r="W626" s="1">
        <v>29939</v>
      </c>
      <c r="X626" t="s">
        <v>1428</v>
      </c>
      <c r="Z626" t="s">
        <v>3319</v>
      </c>
      <c r="AA626" t="s">
        <v>1415</v>
      </c>
      <c r="AB626" t="s">
        <v>4340</v>
      </c>
      <c r="AC626">
        <v>79998191827</v>
      </c>
    </row>
    <row r="627" spans="1:29" x14ac:dyDescent="0.3">
      <c r="A627" t="s">
        <v>1405</v>
      </c>
      <c r="B627" t="s">
        <v>2302</v>
      </c>
      <c r="C627" t="s">
        <v>4341</v>
      </c>
      <c r="D627">
        <v>2508785261</v>
      </c>
      <c r="E627">
        <v>6792166</v>
      </c>
      <c r="F627">
        <v>1004012619</v>
      </c>
      <c r="G627" s="1">
        <v>45154</v>
      </c>
      <c r="H627" t="s">
        <v>1360</v>
      </c>
      <c r="I627" t="s">
        <v>1374</v>
      </c>
      <c r="J627" t="s">
        <v>2348</v>
      </c>
      <c r="K627" t="s">
        <v>2308</v>
      </c>
      <c r="L627" t="s">
        <v>2305</v>
      </c>
      <c r="M627" t="s">
        <v>1421</v>
      </c>
      <c r="N627" t="s">
        <v>1422</v>
      </c>
      <c r="O627" t="s">
        <v>1411</v>
      </c>
      <c r="P627" t="s">
        <v>1411</v>
      </c>
      <c r="Q627" t="s">
        <v>1412</v>
      </c>
      <c r="S627" s="1">
        <v>46043</v>
      </c>
      <c r="W627" s="1">
        <v>34420</v>
      </c>
      <c r="X627" t="s">
        <v>2189</v>
      </c>
      <c r="Z627" t="s">
        <v>3112</v>
      </c>
      <c r="AA627" t="s">
        <v>1419</v>
      </c>
      <c r="AB627" t="s">
        <v>4342</v>
      </c>
      <c r="AC627">
        <v>91982247042</v>
      </c>
    </row>
    <row r="628" spans="1:29" x14ac:dyDescent="0.3">
      <c r="A628" t="s">
        <v>1405</v>
      </c>
      <c r="B628" t="s">
        <v>2302</v>
      </c>
      <c r="C628" t="s">
        <v>4343</v>
      </c>
      <c r="D628">
        <v>11599295997</v>
      </c>
      <c r="E628">
        <v>11599295997</v>
      </c>
      <c r="F628">
        <v>1004015315</v>
      </c>
      <c r="G628" s="1">
        <v>45512</v>
      </c>
      <c r="H628" t="s">
        <v>1360</v>
      </c>
      <c r="I628" t="s">
        <v>1349</v>
      </c>
      <c r="J628" t="s">
        <v>1361</v>
      </c>
      <c r="K628" t="s">
        <v>2308</v>
      </c>
      <c r="L628" t="s">
        <v>2305</v>
      </c>
      <c r="M628" t="s">
        <v>1447</v>
      </c>
      <c r="N628" t="s">
        <v>1448</v>
      </c>
      <c r="O628" t="s">
        <v>1423</v>
      </c>
      <c r="P628" t="s">
        <v>1423</v>
      </c>
      <c r="Q628" t="s">
        <v>1412</v>
      </c>
      <c r="S628" s="1">
        <v>46090</v>
      </c>
      <c r="T628" s="1">
        <v>45878</v>
      </c>
      <c r="U628" s="1">
        <v>45997</v>
      </c>
      <c r="V628" s="1">
        <v>46087</v>
      </c>
      <c r="W628" s="1">
        <v>36522</v>
      </c>
      <c r="X628" t="s">
        <v>4344</v>
      </c>
      <c r="Z628" t="s">
        <v>2754</v>
      </c>
      <c r="AA628" t="s">
        <v>1419</v>
      </c>
      <c r="AB628" t="s">
        <v>4345</v>
      </c>
      <c r="AC628">
        <v>47988705327</v>
      </c>
    </row>
    <row r="629" spans="1:29" x14ac:dyDescent="0.3">
      <c r="A629" t="s">
        <v>1405</v>
      </c>
      <c r="B629" t="s">
        <v>2302</v>
      </c>
      <c r="C629" t="s">
        <v>4346</v>
      </c>
      <c r="D629">
        <v>89601360263</v>
      </c>
      <c r="E629">
        <v>4291980</v>
      </c>
      <c r="F629">
        <v>1004016883</v>
      </c>
      <c r="G629" s="1">
        <v>45707</v>
      </c>
      <c r="H629" t="s">
        <v>1360</v>
      </c>
      <c r="I629" t="s">
        <v>1374</v>
      </c>
      <c r="J629" t="s">
        <v>1361</v>
      </c>
      <c r="K629" t="s">
        <v>2308</v>
      </c>
      <c r="L629" t="s">
        <v>2305</v>
      </c>
      <c r="M629" t="s">
        <v>1447</v>
      </c>
      <c r="N629" t="s">
        <v>1448</v>
      </c>
      <c r="O629" t="s">
        <v>1411</v>
      </c>
      <c r="P629" t="s">
        <v>1423</v>
      </c>
      <c r="Q629" t="s">
        <v>1412</v>
      </c>
      <c r="S629" s="1">
        <v>46043</v>
      </c>
      <c r="W629" s="1">
        <v>32279</v>
      </c>
      <c r="X629" t="s">
        <v>1825</v>
      </c>
      <c r="Y629" t="s">
        <v>1920</v>
      </c>
      <c r="Z629" t="s">
        <v>2848</v>
      </c>
      <c r="AA629" t="s">
        <v>1419</v>
      </c>
      <c r="AB629" t="s">
        <v>4347</v>
      </c>
      <c r="AC629">
        <v>95991558297</v>
      </c>
    </row>
    <row r="630" spans="1:29" x14ac:dyDescent="0.3">
      <c r="A630" t="s">
        <v>1405</v>
      </c>
      <c r="B630" t="s">
        <v>2302</v>
      </c>
      <c r="C630" t="s">
        <v>4348</v>
      </c>
      <c r="D630">
        <v>17706219895</v>
      </c>
      <c r="E630">
        <v>277612603</v>
      </c>
      <c r="F630">
        <v>1004006148</v>
      </c>
      <c r="G630" s="1">
        <v>43944</v>
      </c>
      <c r="H630" t="s">
        <v>1360</v>
      </c>
      <c r="I630" t="s">
        <v>1349</v>
      </c>
      <c r="J630" t="s">
        <v>2308</v>
      </c>
      <c r="K630" t="s">
        <v>2313</v>
      </c>
      <c r="L630" t="s">
        <v>2305</v>
      </c>
      <c r="M630" t="s">
        <v>1409</v>
      </c>
      <c r="N630" t="s">
        <v>1410</v>
      </c>
      <c r="O630" t="s">
        <v>1462</v>
      </c>
      <c r="P630" t="s">
        <v>1462</v>
      </c>
      <c r="Q630" t="s">
        <v>1412</v>
      </c>
      <c r="S630" s="1">
        <v>46093</v>
      </c>
      <c r="V630" s="1">
        <v>46087</v>
      </c>
      <c r="W630" s="1">
        <v>27636</v>
      </c>
      <c r="X630" t="s">
        <v>2186</v>
      </c>
      <c r="Y630" t="s">
        <v>4349</v>
      </c>
      <c r="Z630" t="s">
        <v>2818</v>
      </c>
      <c r="AA630" t="s">
        <v>1419</v>
      </c>
      <c r="AB630" t="s">
        <v>4350</v>
      </c>
      <c r="AC630">
        <v>11982582298</v>
      </c>
    </row>
    <row r="631" spans="1:29" x14ac:dyDescent="0.3">
      <c r="A631" t="s">
        <v>1405</v>
      </c>
      <c r="B631" t="s">
        <v>2302</v>
      </c>
      <c r="C631" t="s">
        <v>4351</v>
      </c>
      <c r="D631">
        <v>3588560009</v>
      </c>
      <c r="E631">
        <v>8155007</v>
      </c>
      <c r="F631">
        <v>1004014231</v>
      </c>
      <c r="G631" s="1">
        <v>45369</v>
      </c>
      <c r="H631" t="s">
        <v>1360</v>
      </c>
      <c r="I631" t="s">
        <v>1374</v>
      </c>
      <c r="J631" t="s">
        <v>2348</v>
      </c>
      <c r="K631" t="s">
        <v>2308</v>
      </c>
      <c r="L631" t="s">
        <v>2305</v>
      </c>
      <c r="M631" t="s">
        <v>1409</v>
      </c>
      <c r="N631" t="s">
        <v>1410</v>
      </c>
      <c r="O631" t="s">
        <v>1423</v>
      </c>
      <c r="P631" t="s">
        <v>1423</v>
      </c>
      <c r="Q631" t="s">
        <v>1412</v>
      </c>
      <c r="S631" s="1">
        <v>46043</v>
      </c>
      <c r="W631" s="1">
        <v>34929</v>
      </c>
      <c r="X631" t="s">
        <v>2357</v>
      </c>
      <c r="Z631" t="s">
        <v>2876</v>
      </c>
      <c r="AA631" t="s">
        <v>1419</v>
      </c>
      <c r="AB631" t="s">
        <v>4352</v>
      </c>
      <c r="AC631">
        <v>48999640774</v>
      </c>
    </row>
    <row r="632" spans="1:29" x14ac:dyDescent="0.3">
      <c r="A632" t="s">
        <v>1405</v>
      </c>
      <c r="B632" t="s">
        <v>2302</v>
      </c>
      <c r="C632" t="s">
        <v>4353</v>
      </c>
      <c r="D632">
        <v>25715259215</v>
      </c>
      <c r="E632">
        <v>4684592</v>
      </c>
      <c r="F632">
        <v>1004018346</v>
      </c>
      <c r="G632" s="1">
        <v>45817</v>
      </c>
      <c r="H632" t="s">
        <v>1360</v>
      </c>
      <c r="I632" t="s">
        <v>1374</v>
      </c>
      <c r="J632" t="s">
        <v>1361</v>
      </c>
      <c r="K632" t="s">
        <v>2308</v>
      </c>
      <c r="L632" t="s">
        <v>2305</v>
      </c>
      <c r="M632" t="s">
        <v>1421</v>
      </c>
      <c r="N632" t="s">
        <v>1410</v>
      </c>
      <c r="O632" t="s">
        <v>1423</v>
      </c>
      <c r="P632" t="s">
        <v>1423</v>
      </c>
      <c r="Q632" t="s">
        <v>1412</v>
      </c>
      <c r="S632" s="1">
        <v>46043</v>
      </c>
      <c r="W632" s="1">
        <v>24547</v>
      </c>
      <c r="X632" t="s">
        <v>1492</v>
      </c>
      <c r="Y632" t="s">
        <v>2058</v>
      </c>
      <c r="Z632" t="s">
        <v>3468</v>
      </c>
      <c r="AA632" t="s">
        <v>1419</v>
      </c>
      <c r="AB632" t="s">
        <v>4354</v>
      </c>
      <c r="AC632">
        <v>91993830593</v>
      </c>
    </row>
    <row r="633" spans="1:29" x14ac:dyDescent="0.3">
      <c r="A633" t="s">
        <v>1405</v>
      </c>
      <c r="B633" t="s">
        <v>2302</v>
      </c>
      <c r="C633" t="s">
        <v>4355</v>
      </c>
      <c r="D633">
        <v>42151775968</v>
      </c>
      <c r="E633" t="s">
        <v>4356</v>
      </c>
      <c r="F633">
        <v>1004000327</v>
      </c>
      <c r="G633" s="1">
        <v>42795</v>
      </c>
      <c r="H633" t="s">
        <v>1360</v>
      </c>
      <c r="I633" t="s">
        <v>2604</v>
      </c>
      <c r="J633" t="s">
        <v>2308</v>
      </c>
      <c r="K633" t="s">
        <v>2313</v>
      </c>
      <c r="L633" t="s">
        <v>2305</v>
      </c>
      <c r="M633" t="s">
        <v>1409</v>
      </c>
      <c r="N633" t="s">
        <v>1410</v>
      </c>
      <c r="O633" t="s">
        <v>1423</v>
      </c>
      <c r="P633" t="s">
        <v>1423</v>
      </c>
      <c r="Q633" t="s">
        <v>1593</v>
      </c>
      <c r="R633" t="s">
        <v>3769</v>
      </c>
      <c r="S633" s="1">
        <v>45722</v>
      </c>
      <c r="T633" s="1">
        <v>45710</v>
      </c>
      <c r="W633" s="1">
        <v>25768</v>
      </c>
      <c r="X633" t="s">
        <v>4357</v>
      </c>
      <c r="Y633" t="s">
        <v>4358</v>
      </c>
      <c r="Z633" t="s">
        <v>3554</v>
      </c>
      <c r="AA633" t="s">
        <v>1415</v>
      </c>
      <c r="AB633" t="s">
        <v>4359</v>
      </c>
      <c r="AC633">
        <v>4730842702</v>
      </c>
    </row>
    <row r="634" spans="1:29" x14ac:dyDescent="0.3">
      <c r="A634" t="s">
        <v>1405</v>
      </c>
      <c r="B634" t="s">
        <v>2302</v>
      </c>
      <c r="C634" t="s">
        <v>4360</v>
      </c>
      <c r="D634">
        <v>9713793943</v>
      </c>
      <c r="E634">
        <v>5653369</v>
      </c>
      <c r="F634">
        <v>1004013164</v>
      </c>
      <c r="G634" s="1">
        <v>45210</v>
      </c>
      <c r="H634" t="s">
        <v>1360</v>
      </c>
      <c r="I634" t="s">
        <v>1349</v>
      </c>
      <c r="J634" t="s">
        <v>1361</v>
      </c>
      <c r="K634" t="s">
        <v>2308</v>
      </c>
      <c r="L634" t="s">
        <v>2305</v>
      </c>
      <c r="M634" t="s">
        <v>1447</v>
      </c>
      <c r="N634" t="s">
        <v>1448</v>
      </c>
      <c r="O634" t="s">
        <v>1462</v>
      </c>
      <c r="P634" t="s">
        <v>1462</v>
      </c>
      <c r="Q634" t="s">
        <v>1412</v>
      </c>
      <c r="S634" s="1">
        <v>45796</v>
      </c>
      <c r="V634" s="1">
        <v>45792</v>
      </c>
      <c r="W634" s="1">
        <v>34815</v>
      </c>
      <c r="X634" t="s">
        <v>2950</v>
      </c>
      <c r="Y634" t="s">
        <v>2753</v>
      </c>
      <c r="Z634" t="s">
        <v>4361</v>
      </c>
      <c r="AA634" t="s">
        <v>1415</v>
      </c>
      <c r="AB634" t="s">
        <v>4362</v>
      </c>
      <c r="AC634">
        <v>48999118999</v>
      </c>
    </row>
    <row r="635" spans="1:29" x14ac:dyDescent="0.3">
      <c r="A635" t="s">
        <v>1405</v>
      </c>
      <c r="B635" t="s">
        <v>2302</v>
      </c>
      <c r="C635" t="s">
        <v>4363</v>
      </c>
      <c r="D635">
        <v>311980155</v>
      </c>
      <c r="E635">
        <v>1326254</v>
      </c>
      <c r="F635">
        <v>1004014941</v>
      </c>
      <c r="G635" s="1">
        <v>45427</v>
      </c>
      <c r="H635" t="s">
        <v>1360</v>
      </c>
      <c r="I635" t="s">
        <v>1374</v>
      </c>
      <c r="J635" t="s">
        <v>1361</v>
      </c>
      <c r="K635" t="s">
        <v>2308</v>
      </c>
      <c r="L635" t="s">
        <v>2305</v>
      </c>
      <c r="M635" t="s">
        <v>1409</v>
      </c>
      <c r="N635" t="s">
        <v>1410</v>
      </c>
      <c r="O635" t="s">
        <v>1423</v>
      </c>
      <c r="P635" t="s">
        <v>1423</v>
      </c>
      <c r="Q635" t="s">
        <v>1593</v>
      </c>
      <c r="S635" s="1">
        <v>46069</v>
      </c>
      <c r="W635" s="1">
        <v>31180</v>
      </c>
      <c r="X635" t="s">
        <v>2194</v>
      </c>
      <c r="Y635" t="s">
        <v>2400</v>
      </c>
      <c r="Z635" t="s">
        <v>2306</v>
      </c>
      <c r="AA635" t="s">
        <v>1415</v>
      </c>
      <c r="AB635" t="s">
        <v>4364</v>
      </c>
      <c r="AC635">
        <v>67999176914</v>
      </c>
    </row>
    <row r="636" spans="1:29" x14ac:dyDescent="0.3">
      <c r="A636" t="s">
        <v>1405</v>
      </c>
      <c r="B636" t="s">
        <v>2302</v>
      </c>
      <c r="C636" t="s">
        <v>4365</v>
      </c>
      <c r="D636">
        <v>7952037641</v>
      </c>
      <c r="E636" t="s">
        <v>4366</v>
      </c>
      <c r="F636">
        <v>1004015994</v>
      </c>
      <c r="G636" s="1">
        <v>45574</v>
      </c>
      <c r="H636" t="s">
        <v>1360</v>
      </c>
      <c r="I636" t="s">
        <v>1374</v>
      </c>
      <c r="J636" t="s">
        <v>1361</v>
      </c>
      <c r="K636" t="s">
        <v>2308</v>
      </c>
      <c r="L636" t="s">
        <v>2305</v>
      </c>
      <c r="M636" t="s">
        <v>1442</v>
      </c>
      <c r="N636" t="s">
        <v>1443</v>
      </c>
      <c r="O636" t="s">
        <v>1423</v>
      </c>
      <c r="P636" t="s">
        <v>1423</v>
      </c>
      <c r="Q636" t="s">
        <v>1412</v>
      </c>
      <c r="S636" s="1">
        <v>46043</v>
      </c>
      <c r="W636" s="1">
        <v>32166</v>
      </c>
      <c r="X636" t="s">
        <v>2284</v>
      </c>
      <c r="Z636" t="s">
        <v>2857</v>
      </c>
      <c r="AA636" t="s">
        <v>1415</v>
      </c>
      <c r="AB636" t="s">
        <v>289</v>
      </c>
      <c r="AC636">
        <v>3291978773</v>
      </c>
    </row>
    <row r="637" spans="1:29" x14ac:dyDescent="0.3">
      <c r="A637" t="s">
        <v>1405</v>
      </c>
      <c r="B637" t="s">
        <v>2302</v>
      </c>
      <c r="C637" t="s">
        <v>4367</v>
      </c>
      <c r="D637">
        <v>3963353570</v>
      </c>
      <c r="E637">
        <v>1440537305</v>
      </c>
      <c r="F637">
        <v>1004018305</v>
      </c>
      <c r="G637" s="1">
        <v>45810</v>
      </c>
      <c r="H637" t="s">
        <v>1360</v>
      </c>
      <c r="I637" t="s">
        <v>1374</v>
      </c>
      <c r="J637" t="s">
        <v>1361</v>
      </c>
      <c r="K637" t="s">
        <v>2308</v>
      </c>
      <c r="L637" t="s">
        <v>2305</v>
      </c>
      <c r="M637" t="s">
        <v>1409</v>
      </c>
      <c r="N637" t="s">
        <v>1410</v>
      </c>
      <c r="O637" t="s">
        <v>1411</v>
      </c>
      <c r="P637" t="s">
        <v>1411</v>
      </c>
      <c r="Q637" t="s">
        <v>1412</v>
      </c>
      <c r="S637" s="1">
        <v>46043</v>
      </c>
      <c r="W637" s="1">
        <v>32330</v>
      </c>
      <c r="X637" t="s">
        <v>4368</v>
      </c>
      <c r="Z637" t="s">
        <v>2815</v>
      </c>
      <c r="AA637" t="s">
        <v>1419</v>
      </c>
      <c r="AB637" t="s">
        <v>4369</v>
      </c>
      <c r="AC637">
        <v>75993021275</v>
      </c>
    </row>
    <row r="638" spans="1:29" x14ac:dyDescent="0.3">
      <c r="A638" t="s">
        <v>1405</v>
      </c>
      <c r="B638" t="s">
        <v>2302</v>
      </c>
      <c r="C638" t="s">
        <v>4370</v>
      </c>
      <c r="D638">
        <v>1660630290</v>
      </c>
      <c r="E638" t="s">
        <v>4371</v>
      </c>
      <c r="F638">
        <v>1004018043</v>
      </c>
      <c r="G638" s="1">
        <v>45789</v>
      </c>
      <c r="H638" t="s">
        <v>1360</v>
      </c>
      <c r="I638" t="s">
        <v>1374</v>
      </c>
      <c r="J638" t="s">
        <v>1361</v>
      </c>
      <c r="K638" t="s">
        <v>2308</v>
      </c>
      <c r="L638" t="s">
        <v>2305</v>
      </c>
      <c r="M638" t="s">
        <v>1409</v>
      </c>
      <c r="N638" t="s">
        <v>1410</v>
      </c>
      <c r="O638" t="s">
        <v>1411</v>
      </c>
      <c r="P638" t="s">
        <v>1411</v>
      </c>
      <c r="Q638" t="s">
        <v>1412</v>
      </c>
      <c r="S638" s="1">
        <v>46043</v>
      </c>
      <c r="W638" s="1">
        <v>35790</v>
      </c>
      <c r="X638" t="s">
        <v>1825</v>
      </c>
      <c r="Z638" t="s">
        <v>3893</v>
      </c>
      <c r="AA638" t="s">
        <v>1419</v>
      </c>
      <c r="AB638" t="s">
        <v>4372</v>
      </c>
      <c r="AC638">
        <v>92984470502</v>
      </c>
    </row>
    <row r="639" spans="1:29" x14ac:dyDescent="0.3">
      <c r="A639" t="s">
        <v>1405</v>
      </c>
      <c r="B639" t="s">
        <v>2302</v>
      </c>
      <c r="C639" t="s">
        <v>4373</v>
      </c>
      <c r="D639">
        <v>4847042301</v>
      </c>
      <c r="E639">
        <v>2005015045597</v>
      </c>
      <c r="F639">
        <v>1004009743</v>
      </c>
      <c r="G639" s="1">
        <v>44669</v>
      </c>
      <c r="H639" t="s">
        <v>1360</v>
      </c>
      <c r="I639" t="s">
        <v>1374</v>
      </c>
      <c r="J639" t="s">
        <v>2348</v>
      </c>
      <c r="K639" t="s">
        <v>2308</v>
      </c>
      <c r="L639" t="s">
        <v>2305</v>
      </c>
      <c r="M639" t="s">
        <v>1421</v>
      </c>
      <c r="N639" t="s">
        <v>1422</v>
      </c>
      <c r="O639" t="s">
        <v>1411</v>
      </c>
      <c r="P639" t="s">
        <v>1411</v>
      </c>
      <c r="Q639" t="s">
        <v>1412</v>
      </c>
      <c r="S639" s="1">
        <v>46043</v>
      </c>
      <c r="W639" s="1">
        <v>33772</v>
      </c>
      <c r="X639" t="s">
        <v>1869</v>
      </c>
      <c r="Z639" t="s">
        <v>4374</v>
      </c>
      <c r="AA639" t="s">
        <v>1415</v>
      </c>
      <c r="AB639" t="s">
        <v>4375</v>
      </c>
    </row>
    <row r="640" spans="1:29" x14ac:dyDescent="0.3">
      <c r="A640" t="s">
        <v>1405</v>
      </c>
      <c r="B640" t="s">
        <v>2302</v>
      </c>
      <c r="C640" t="s">
        <v>4376</v>
      </c>
      <c r="D640">
        <v>97051438972</v>
      </c>
      <c r="E640">
        <v>3403240</v>
      </c>
      <c r="F640">
        <v>1004009343</v>
      </c>
      <c r="G640" s="1">
        <v>44616</v>
      </c>
      <c r="H640" t="s">
        <v>1360</v>
      </c>
      <c r="I640" t="s">
        <v>1349</v>
      </c>
      <c r="J640">
        <v>300</v>
      </c>
      <c r="K640" t="s">
        <v>4377</v>
      </c>
      <c r="L640" t="s">
        <v>2305</v>
      </c>
      <c r="M640" t="s">
        <v>1409</v>
      </c>
      <c r="N640" t="s">
        <v>1410</v>
      </c>
      <c r="O640" t="s">
        <v>1423</v>
      </c>
      <c r="P640" t="s">
        <v>1423</v>
      </c>
      <c r="Q640" t="s">
        <v>1412</v>
      </c>
      <c r="S640" s="1">
        <v>45855</v>
      </c>
      <c r="V640" s="1">
        <v>45853</v>
      </c>
      <c r="W640" s="1">
        <v>28190</v>
      </c>
      <c r="X640" t="s">
        <v>1510</v>
      </c>
      <c r="Y640" t="s">
        <v>2336</v>
      </c>
      <c r="Z640" t="s">
        <v>3307</v>
      </c>
      <c r="AA640" t="s">
        <v>1415</v>
      </c>
      <c r="AB640" t="s">
        <v>4378</v>
      </c>
      <c r="AC640">
        <v>47999648860</v>
      </c>
    </row>
    <row r="641" spans="1:29" x14ac:dyDescent="0.3">
      <c r="A641" t="s">
        <v>1405</v>
      </c>
      <c r="B641" t="s">
        <v>2302</v>
      </c>
      <c r="C641" t="s">
        <v>4379</v>
      </c>
      <c r="D641">
        <v>5636608306</v>
      </c>
      <c r="E641">
        <v>278496220040</v>
      </c>
      <c r="F641">
        <v>1004012228</v>
      </c>
      <c r="G641" s="1">
        <v>45084</v>
      </c>
      <c r="H641" t="s">
        <v>1360</v>
      </c>
      <c r="I641" t="s">
        <v>1374</v>
      </c>
      <c r="J641" t="s">
        <v>2348</v>
      </c>
      <c r="K641" t="s">
        <v>2308</v>
      </c>
      <c r="L641" t="s">
        <v>2305</v>
      </c>
      <c r="M641" t="s">
        <v>1409</v>
      </c>
      <c r="N641" t="s">
        <v>1410</v>
      </c>
      <c r="O641" t="s">
        <v>1423</v>
      </c>
      <c r="P641" t="s">
        <v>1423</v>
      </c>
      <c r="Q641" t="s">
        <v>1412</v>
      </c>
      <c r="S641" s="1">
        <v>46069</v>
      </c>
      <c r="W641" s="1">
        <v>35053</v>
      </c>
      <c r="X641" t="s">
        <v>2761</v>
      </c>
      <c r="Y641" t="s">
        <v>2762</v>
      </c>
      <c r="Z641" t="s">
        <v>3132</v>
      </c>
      <c r="AA641" t="s">
        <v>1415</v>
      </c>
      <c r="AB641" t="s">
        <v>4380</v>
      </c>
      <c r="AC641">
        <v>98981611503</v>
      </c>
    </row>
    <row r="642" spans="1:29" x14ac:dyDescent="0.3">
      <c r="A642" t="s">
        <v>1405</v>
      </c>
      <c r="B642" t="s">
        <v>2302</v>
      </c>
      <c r="C642" t="s">
        <v>4381</v>
      </c>
      <c r="D642">
        <v>7135689925</v>
      </c>
      <c r="E642" t="s">
        <v>4382</v>
      </c>
      <c r="F642">
        <v>1004015892</v>
      </c>
      <c r="G642" s="1">
        <v>45566</v>
      </c>
      <c r="H642" t="s">
        <v>1360</v>
      </c>
      <c r="I642" t="s">
        <v>1349</v>
      </c>
      <c r="J642" t="s">
        <v>1361</v>
      </c>
      <c r="K642" t="s">
        <v>2308</v>
      </c>
      <c r="L642" t="s">
        <v>2305</v>
      </c>
      <c r="M642" t="s">
        <v>1409</v>
      </c>
      <c r="N642" t="s">
        <v>1410</v>
      </c>
      <c r="O642" t="s">
        <v>1411</v>
      </c>
      <c r="P642" t="s">
        <v>1411</v>
      </c>
      <c r="Q642" t="s">
        <v>1412</v>
      </c>
      <c r="S642" s="1">
        <v>45876</v>
      </c>
      <c r="V642" s="1">
        <v>45875</v>
      </c>
      <c r="W642" s="1">
        <v>32899</v>
      </c>
      <c r="X642" t="s">
        <v>1817</v>
      </c>
      <c r="Y642" t="s">
        <v>4383</v>
      </c>
      <c r="Z642" t="s">
        <v>2458</v>
      </c>
      <c r="AA642" t="s">
        <v>1419</v>
      </c>
      <c r="AB642" t="s">
        <v>4384</v>
      </c>
      <c r="AC642">
        <v>47991545951</v>
      </c>
    </row>
    <row r="643" spans="1:29" x14ac:dyDescent="0.3">
      <c r="A643" t="s">
        <v>1405</v>
      </c>
      <c r="B643" t="s">
        <v>2302</v>
      </c>
      <c r="C643" t="s">
        <v>4385</v>
      </c>
      <c r="D643">
        <v>96806001068</v>
      </c>
      <c r="E643">
        <v>3059191051</v>
      </c>
      <c r="F643">
        <v>42004201178</v>
      </c>
      <c r="G643" s="1">
        <v>42037</v>
      </c>
      <c r="H643" t="s">
        <v>1360</v>
      </c>
      <c r="I643" t="s">
        <v>1374</v>
      </c>
      <c r="J643" t="s">
        <v>2308</v>
      </c>
      <c r="K643" t="s">
        <v>2313</v>
      </c>
      <c r="L643" t="s">
        <v>2305</v>
      </c>
      <c r="M643" t="s">
        <v>1409</v>
      </c>
      <c r="N643" t="s">
        <v>1410</v>
      </c>
      <c r="O643" t="s">
        <v>1423</v>
      </c>
      <c r="P643" t="s">
        <v>1423</v>
      </c>
      <c r="Q643" t="s">
        <v>1412</v>
      </c>
      <c r="S643" s="1">
        <v>46045</v>
      </c>
      <c r="W643" s="1">
        <v>28932</v>
      </c>
      <c r="X643" t="s">
        <v>4386</v>
      </c>
      <c r="Z643" t="s">
        <v>2448</v>
      </c>
      <c r="AA643" t="s">
        <v>1419</v>
      </c>
      <c r="AB643" t="s">
        <v>4387</v>
      </c>
      <c r="AC643">
        <v>5136713496</v>
      </c>
    </row>
    <row r="644" spans="1:29" x14ac:dyDescent="0.3">
      <c r="A644" t="s">
        <v>1405</v>
      </c>
      <c r="B644" t="s">
        <v>2302</v>
      </c>
      <c r="C644" t="s">
        <v>4388</v>
      </c>
      <c r="D644">
        <v>4081824150</v>
      </c>
      <c r="E644">
        <v>18537715</v>
      </c>
      <c r="F644">
        <v>1004015457</v>
      </c>
      <c r="G644" s="1">
        <v>45518</v>
      </c>
      <c r="H644" t="s">
        <v>1360</v>
      </c>
      <c r="I644" t="s">
        <v>1374</v>
      </c>
      <c r="J644" t="s">
        <v>2348</v>
      </c>
      <c r="K644" t="s">
        <v>2308</v>
      </c>
      <c r="L644" t="s">
        <v>2305</v>
      </c>
      <c r="M644" t="s">
        <v>1409</v>
      </c>
      <c r="N644" t="s">
        <v>1410</v>
      </c>
      <c r="O644" t="s">
        <v>1423</v>
      </c>
      <c r="P644" t="s">
        <v>1423</v>
      </c>
      <c r="Q644" t="s">
        <v>1412</v>
      </c>
      <c r="S644" s="1">
        <v>46043</v>
      </c>
      <c r="W644" s="1">
        <v>33390</v>
      </c>
      <c r="X644" t="s">
        <v>4389</v>
      </c>
      <c r="Z644" t="s">
        <v>2873</v>
      </c>
      <c r="AA644" t="s">
        <v>1419</v>
      </c>
      <c r="AB644" t="s">
        <v>623</v>
      </c>
      <c r="AC644">
        <v>65999520722</v>
      </c>
    </row>
    <row r="645" spans="1:29" x14ac:dyDescent="0.3">
      <c r="A645" t="s">
        <v>1405</v>
      </c>
      <c r="B645" t="s">
        <v>2302</v>
      </c>
      <c r="C645" t="s">
        <v>4390</v>
      </c>
      <c r="D645">
        <v>1540470237</v>
      </c>
      <c r="E645">
        <v>6838500</v>
      </c>
      <c r="F645">
        <v>1004016810</v>
      </c>
      <c r="G645" s="1">
        <v>45705</v>
      </c>
      <c r="H645" t="s">
        <v>1360</v>
      </c>
      <c r="I645" t="s">
        <v>1374</v>
      </c>
      <c r="J645" t="s">
        <v>1361</v>
      </c>
      <c r="K645" t="s">
        <v>2308</v>
      </c>
      <c r="L645" t="s">
        <v>2305</v>
      </c>
      <c r="M645" t="s">
        <v>1409</v>
      </c>
      <c r="N645" t="s">
        <v>1410</v>
      </c>
      <c r="O645" t="s">
        <v>1411</v>
      </c>
      <c r="P645" t="s">
        <v>1411</v>
      </c>
      <c r="Q645" t="s">
        <v>1412</v>
      </c>
      <c r="S645" s="1">
        <v>46043</v>
      </c>
      <c r="W645" s="1">
        <v>35820</v>
      </c>
      <c r="X645" t="s">
        <v>2516</v>
      </c>
      <c r="Z645" t="s">
        <v>2518</v>
      </c>
      <c r="AA645" t="s">
        <v>1419</v>
      </c>
      <c r="AB645" t="s">
        <v>4391</v>
      </c>
      <c r="AC645">
        <v>919848224640</v>
      </c>
    </row>
    <row r="646" spans="1:29" x14ac:dyDescent="0.3">
      <c r="A646" t="s">
        <v>1405</v>
      </c>
      <c r="B646" t="s">
        <v>2302</v>
      </c>
      <c r="C646" t="s">
        <v>4392</v>
      </c>
      <c r="D646">
        <v>3917642174</v>
      </c>
      <c r="E646">
        <v>2754163</v>
      </c>
      <c r="F646">
        <v>1004013485</v>
      </c>
      <c r="G646" s="1">
        <v>45240</v>
      </c>
      <c r="H646" t="s">
        <v>1360</v>
      </c>
      <c r="I646" t="s">
        <v>1374</v>
      </c>
      <c r="J646">
        <v>3</v>
      </c>
      <c r="K646" t="s">
        <v>2444</v>
      </c>
      <c r="L646" t="s">
        <v>2305</v>
      </c>
      <c r="M646" t="s">
        <v>1421</v>
      </c>
      <c r="N646" t="s">
        <v>1422</v>
      </c>
      <c r="O646" t="s">
        <v>1423</v>
      </c>
      <c r="P646" t="s">
        <v>1423</v>
      </c>
      <c r="Q646" t="s">
        <v>1412</v>
      </c>
      <c r="S646" s="1">
        <v>46043</v>
      </c>
      <c r="W646" s="1">
        <v>34463</v>
      </c>
      <c r="X646" t="s">
        <v>1617</v>
      </c>
      <c r="Y646" t="s">
        <v>2233</v>
      </c>
      <c r="Z646" t="s">
        <v>2837</v>
      </c>
      <c r="AA646" t="s">
        <v>1419</v>
      </c>
      <c r="AB646" t="s">
        <v>4393</v>
      </c>
      <c r="AC646">
        <v>61999372060</v>
      </c>
    </row>
    <row r="647" spans="1:29" x14ac:dyDescent="0.3">
      <c r="A647" t="s">
        <v>1405</v>
      </c>
      <c r="B647" t="s">
        <v>2302</v>
      </c>
      <c r="C647" t="s">
        <v>4394</v>
      </c>
      <c r="D647">
        <v>66742277300</v>
      </c>
      <c r="E647">
        <v>97338989</v>
      </c>
      <c r="F647">
        <v>1004004515</v>
      </c>
      <c r="G647" s="1">
        <v>43710</v>
      </c>
      <c r="H647" t="s">
        <v>1360</v>
      </c>
      <c r="I647" t="s">
        <v>1374</v>
      </c>
      <c r="J647" t="s">
        <v>2308</v>
      </c>
      <c r="K647" t="s">
        <v>2313</v>
      </c>
      <c r="L647" t="s">
        <v>2305</v>
      </c>
      <c r="M647" t="s">
        <v>1409</v>
      </c>
      <c r="N647" t="s">
        <v>1410</v>
      </c>
      <c r="O647" t="s">
        <v>1423</v>
      </c>
      <c r="P647" t="s">
        <v>1423</v>
      </c>
      <c r="Q647" t="s">
        <v>1412</v>
      </c>
      <c r="S647" s="1">
        <v>46069</v>
      </c>
      <c r="W647" s="1">
        <v>29920</v>
      </c>
      <c r="X647" t="s">
        <v>1519</v>
      </c>
      <c r="Y647" t="s">
        <v>1823</v>
      </c>
      <c r="Z647" t="s">
        <v>4395</v>
      </c>
      <c r="AA647" t="s">
        <v>1419</v>
      </c>
      <c r="AB647" t="s">
        <v>4396</v>
      </c>
      <c r="AC647">
        <v>98999653337</v>
      </c>
    </row>
    <row r="648" spans="1:29" x14ac:dyDescent="0.3">
      <c r="A648" t="s">
        <v>1405</v>
      </c>
      <c r="B648" t="s">
        <v>2302</v>
      </c>
      <c r="C648" t="s">
        <v>4397</v>
      </c>
      <c r="D648">
        <v>5464940308</v>
      </c>
      <c r="E648">
        <v>2006099012030</v>
      </c>
      <c r="F648">
        <v>1004012520</v>
      </c>
      <c r="G648" s="1">
        <v>45148</v>
      </c>
      <c r="H648" t="s">
        <v>1360</v>
      </c>
      <c r="I648" t="s">
        <v>1349</v>
      </c>
      <c r="J648" t="s">
        <v>2348</v>
      </c>
      <c r="K648" t="s">
        <v>2308</v>
      </c>
      <c r="L648" t="s">
        <v>2305</v>
      </c>
      <c r="M648" t="s">
        <v>1409</v>
      </c>
      <c r="N648" t="s">
        <v>1410</v>
      </c>
      <c r="O648" t="s">
        <v>1411</v>
      </c>
      <c r="P648" t="s">
        <v>1411</v>
      </c>
      <c r="Q648" t="s">
        <v>1412</v>
      </c>
      <c r="S648" s="1">
        <v>46042</v>
      </c>
      <c r="V648" s="1">
        <v>46037</v>
      </c>
      <c r="W648" s="1">
        <v>34135</v>
      </c>
      <c r="X648" t="s">
        <v>3609</v>
      </c>
      <c r="Z648" t="s">
        <v>2393</v>
      </c>
      <c r="AA648" t="s">
        <v>1419</v>
      </c>
      <c r="AB648" t="s">
        <v>4398</v>
      </c>
      <c r="AC648">
        <v>85991923552</v>
      </c>
    </row>
    <row r="649" spans="1:29" x14ac:dyDescent="0.3">
      <c r="A649" t="s">
        <v>1405</v>
      </c>
      <c r="B649" t="s">
        <v>2302</v>
      </c>
      <c r="C649" t="s">
        <v>4399</v>
      </c>
      <c r="D649">
        <v>1488284342</v>
      </c>
      <c r="E649">
        <v>240645220031</v>
      </c>
      <c r="F649">
        <v>1004017110</v>
      </c>
      <c r="G649" s="1">
        <v>45733</v>
      </c>
      <c r="H649" t="s">
        <v>1360</v>
      </c>
      <c r="I649" t="s">
        <v>1349</v>
      </c>
      <c r="J649" t="s">
        <v>1361</v>
      </c>
      <c r="K649" t="s">
        <v>2308</v>
      </c>
      <c r="L649" t="s">
        <v>2305</v>
      </c>
      <c r="M649" t="s">
        <v>1409</v>
      </c>
      <c r="N649" t="s">
        <v>1410</v>
      </c>
      <c r="O649" t="s">
        <v>1411</v>
      </c>
      <c r="P649" t="s">
        <v>1417</v>
      </c>
      <c r="Q649" t="s">
        <v>1412</v>
      </c>
      <c r="S649" s="1">
        <v>45883</v>
      </c>
      <c r="V649" s="1">
        <v>45882</v>
      </c>
      <c r="W649" s="1">
        <v>32328</v>
      </c>
      <c r="X649" t="s">
        <v>1472</v>
      </c>
      <c r="Z649" t="s">
        <v>3132</v>
      </c>
      <c r="AA649" t="s">
        <v>1419</v>
      </c>
      <c r="AB649" t="s">
        <v>4400</v>
      </c>
      <c r="AC649">
        <v>98987049349</v>
      </c>
    </row>
    <row r="650" spans="1:29" x14ac:dyDescent="0.3">
      <c r="A650" t="s">
        <v>1405</v>
      </c>
      <c r="B650" t="s">
        <v>2302</v>
      </c>
      <c r="C650" t="s">
        <v>4401</v>
      </c>
      <c r="D650">
        <v>3338114966</v>
      </c>
      <c r="E650" t="s">
        <v>4402</v>
      </c>
      <c r="F650">
        <v>1004013960</v>
      </c>
      <c r="G650" s="1">
        <v>45348</v>
      </c>
      <c r="H650" t="s">
        <v>1360</v>
      </c>
      <c r="I650" t="s">
        <v>1374</v>
      </c>
      <c r="J650" t="s">
        <v>1361</v>
      </c>
      <c r="K650" t="s">
        <v>2308</v>
      </c>
      <c r="L650" t="s">
        <v>2305</v>
      </c>
      <c r="M650" t="s">
        <v>1409</v>
      </c>
      <c r="N650" t="s">
        <v>1410</v>
      </c>
      <c r="O650" t="s">
        <v>1423</v>
      </c>
      <c r="P650" t="s">
        <v>1423</v>
      </c>
      <c r="Q650" t="s">
        <v>1412</v>
      </c>
      <c r="S650" s="1">
        <v>46043</v>
      </c>
      <c r="W650" s="1">
        <v>28721</v>
      </c>
      <c r="X650" t="s">
        <v>2742</v>
      </c>
      <c r="Y650" t="s">
        <v>3042</v>
      </c>
      <c r="Z650" t="s">
        <v>2743</v>
      </c>
      <c r="AA650" t="s">
        <v>1419</v>
      </c>
      <c r="AB650" t="s">
        <v>4403</v>
      </c>
      <c r="AC650">
        <v>47997643352</v>
      </c>
    </row>
    <row r="651" spans="1:29" x14ac:dyDescent="0.3">
      <c r="A651" t="s">
        <v>1405</v>
      </c>
      <c r="B651" t="s">
        <v>2302</v>
      </c>
      <c r="C651" t="s">
        <v>4404</v>
      </c>
      <c r="D651">
        <v>70588473553</v>
      </c>
      <c r="E651">
        <v>369738233</v>
      </c>
      <c r="F651">
        <v>1004004268</v>
      </c>
      <c r="G651" s="1">
        <v>43684</v>
      </c>
      <c r="H651" t="s">
        <v>1360</v>
      </c>
      <c r="I651" t="s">
        <v>1349</v>
      </c>
      <c r="J651" t="s">
        <v>2308</v>
      </c>
      <c r="K651" t="s">
        <v>2313</v>
      </c>
      <c r="L651" t="s">
        <v>2305</v>
      </c>
      <c r="M651" t="s">
        <v>1409</v>
      </c>
      <c r="N651" t="s">
        <v>1410</v>
      </c>
      <c r="O651" t="s">
        <v>1411</v>
      </c>
      <c r="P651" t="s">
        <v>1417</v>
      </c>
      <c r="Q651" t="s">
        <v>1412</v>
      </c>
      <c r="S651" s="1">
        <v>46057</v>
      </c>
      <c r="V651" s="1">
        <v>46055</v>
      </c>
      <c r="W651" s="1">
        <v>26429</v>
      </c>
      <c r="X651" t="s">
        <v>2661</v>
      </c>
      <c r="Y651" t="s">
        <v>2662</v>
      </c>
      <c r="Z651" t="s">
        <v>2363</v>
      </c>
      <c r="AA651" t="s">
        <v>1419</v>
      </c>
      <c r="AB651" t="s">
        <v>4405</v>
      </c>
      <c r="AC651">
        <v>75983356980</v>
      </c>
    </row>
    <row r="652" spans="1:29" x14ac:dyDescent="0.3">
      <c r="A652" t="s">
        <v>1405</v>
      </c>
      <c r="B652" t="s">
        <v>2302</v>
      </c>
      <c r="C652" t="s">
        <v>4406</v>
      </c>
      <c r="D652">
        <v>7864333370</v>
      </c>
      <c r="E652">
        <v>20160998640</v>
      </c>
      <c r="F652">
        <v>1004011531</v>
      </c>
      <c r="G652" s="1">
        <v>44993</v>
      </c>
      <c r="H652" t="s">
        <v>1360</v>
      </c>
      <c r="I652" t="s">
        <v>1349</v>
      </c>
      <c r="J652" t="s">
        <v>2348</v>
      </c>
      <c r="K652" t="s">
        <v>2308</v>
      </c>
      <c r="L652" t="s">
        <v>2305</v>
      </c>
      <c r="M652" t="s">
        <v>1421</v>
      </c>
      <c r="N652" t="s">
        <v>1422</v>
      </c>
      <c r="O652" t="s">
        <v>1423</v>
      </c>
      <c r="P652" t="s">
        <v>1423</v>
      </c>
      <c r="Q652" t="s">
        <v>1412</v>
      </c>
      <c r="S652" s="1">
        <v>45946</v>
      </c>
      <c r="V652" s="1">
        <v>45944</v>
      </c>
      <c r="W652" s="1">
        <v>36989</v>
      </c>
      <c r="X652" t="s">
        <v>2965</v>
      </c>
      <c r="Z652" t="s">
        <v>2967</v>
      </c>
      <c r="AA652" t="s">
        <v>1419</v>
      </c>
      <c r="AB652" t="s">
        <v>4407</v>
      </c>
      <c r="AC652">
        <v>88996124680</v>
      </c>
    </row>
    <row r="653" spans="1:29" x14ac:dyDescent="0.3">
      <c r="A653" t="s">
        <v>1405</v>
      </c>
      <c r="B653" t="s">
        <v>2302</v>
      </c>
      <c r="C653" t="s">
        <v>4408</v>
      </c>
      <c r="D653">
        <v>4225645320</v>
      </c>
      <c r="E653">
        <v>2006021019550</v>
      </c>
      <c r="F653">
        <v>1004012632</v>
      </c>
      <c r="G653" s="1">
        <v>45152</v>
      </c>
      <c r="H653" t="s">
        <v>1360</v>
      </c>
      <c r="I653" t="s">
        <v>1374</v>
      </c>
      <c r="J653" t="s">
        <v>2348</v>
      </c>
      <c r="K653" t="s">
        <v>2308</v>
      </c>
      <c r="L653" t="s">
        <v>2305</v>
      </c>
      <c r="M653" t="s">
        <v>1409</v>
      </c>
      <c r="N653" t="s">
        <v>1410</v>
      </c>
      <c r="O653" t="s">
        <v>1411</v>
      </c>
      <c r="P653" t="s">
        <v>1411</v>
      </c>
      <c r="Q653" t="s">
        <v>1412</v>
      </c>
      <c r="S653" s="1">
        <v>46043</v>
      </c>
      <c r="W653" s="1">
        <v>34320</v>
      </c>
      <c r="X653" t="s">
        <v>2851</v>
      </c>
      <c r="Z653" t="s">
        <v>2853</v>
      </c>
      <c r="AA653" t="s">
        <v>1419</v>
      </c>
      <c r="AB653" t="s">
        <v>349</v>
      </c>
      <c r="AC653">
        <v>88981841940</v>
      </c>
    </row>
    <row r="654" spans="1:29" x14ac:dyDescent="0.3">
      <c r="A654" t="s">
        <v>1405</v>
      </c>
      <c r="B654" t="s">
        <v>2302</v>
      </c>
      <c r="C654" t="s">
        <v>4409</v>
      </c>
      <c r="D654">
        <v>97550167087</v>
      </c>
      <c r="E654">
        <v>3080366366</v>
      </c>
      <c r="F654">
        <v>1004002620</v>
      </c>
      <c r="G654" s="1">
        <v>43351</v>
      </c>
      <c r="H654" t="s">
        <v>1360</v>
      </c>
      <c r="I654" t="s">
        <v>1374</v>
      </c>
      <c r="J654" t="s">
        <v>2308</v>
      </c>
      <c r="K654" t="s">
        <v>2313</v>
      </c>
      <c r="L654" t="s">
        <v>2305</v>
      </c>
      <c r="M654" t="s">
        <v>1442</v>
      </c>
      <c r="N654" t="s">
        <v>1443</v>
      </c>
      <c r="O654" t="s">
        <v>1423</v>
      </c>
      <c r="P654" t="s">
        <v>1423</v>
      </c>
      <c r="Q654" t="s">
        <v>1412</v>
      </c>
      <c r="S654" s="1">
        <v>46043</v>
      </c>
      <c r="W654" s="1">
        <v>29491</v>
      </c>
      <c r="X654" t="s">
        <v>2605</v>
      </c>
      <c r="Y654" t="s">
        <v>2606</v>
      </c>
      <c r="Z654" t="s">
        <v>2378</v>
      </c>
      <c r="AA654" t="s">
        <v>1419</v>
      </c>
      <c r="AB654" t="s">
        <v>4410</v>
      </c>
      <c r="AC654">
        <v>51985388678</v>
      </c>
    </row>
    <row r="655" spans="1:29" x14ac:dyDescent="0.3">
      <c r="A655" t="s">
        <v>1405</v>
      </c>
      <c r="B655" t="s">
        <v>2302</v>
      </c>
      <c r="C655" t="s">
        <v>4411</v>
      </c>
      <c r="D655">
        <v>7346246381</v>
      </c>
      <c r="E655">
        <v>20081372617</v>
      </c>
      <c r="F655">
        <v>1004012816</v>
      </c>
      <c r="G655" s="1">
        <v>45174</v>
      </c>
      <c r="H655" t="s">
        <v>1360</v>
      </c>
      <c r="I655" t="s">
        <v>1349</v>
      </c>
      <c r="J655" t="s">
        <v>1361</v>
      </c>
      <c r="K655" t="s">
        <v>2308</v>
      </c>
      <c r="L655" t="s">
        <v>2305</v>
      </c>
      <c r="M655" t="s">
        <v>1409</v>
      </c>
      <c r="N655" t="s">
        <v>1410</v>
      </c>
      <c r="O655" t="s">
        <v>1411</v>
      </c>
      <c r="P655" t="s">
        <v>1411</v>
      </c>
      <c r="Q655" t="s">
        <v>1412</v>
      </c>
      <c r="S655" s="1">
        <v>45874</v>
      </c>
      <c r="V655" s="1">
        <v>45873</v>
      </c>
      <c r="W655" s="1">
        <v>36355</v>
      </c>
      <c r="X655" t="s">
        <v>2423</v>
      </c>
      <c r="Z655" t="s">
        <v>2425</v>
      </c>
      <c r="AA655" t="s">
        <v>1419</v>
      </c>
      <c r="AB655" t="s">
        <v>4412</v>
      </c>
      <c r="AC655">
        <v>88996936111</v>
      </c>
    </row>
    <row r="656" spans="1:29" x14ac:dyDescent="0.3">
      <c r="A656" t="s">
        <v>1405</v>
      </c>
      <c r="B656" t="s">
        <v>2302</v>
      </c>
      <c r="C656" t="s">
        <v>4413</v>
      </c>
      <c r="D656">
        <v>65664140968</v>
      </c>
      <c r="E656">
        <v>36735035</v>
      </c>
      <c r="F656">
        <v>42004202549</v>
      </c>
      <c r="G656" s="1">
        <v>42594</v>
      </c>
      <c r="H656" t="s">
        <v>1360</v>
      </c>
      <c r="I656" t="s">
        <v>1374</v>
      </c>
      <c r="J656" t="s">
        <v>2308</v>
      </c>
      <c r="K656" t="s">
        <v>2313</v>
      </c>
      <c r="L656" t="s">
        <v>2305</v>
      </c>
      <c r="M656" t="s">
        <v>1409</v>
      </c>
      <c r="N656" t="s">
        <v>1410</v>
      </c>
      <c r="O656" t="s">
        <v>1423</v>
      </c>
      <c r="P656" t="s">
        <v>1423</v>
      </c>
      <c r="Q656" t="s">
        <v>1412</v>
      </c>
      <c r="S656" s="1">
        <v>46043</v>
      </c>
      <c r="W656" s="1">
        <v>24639</v>
      </c>
      <c r="X656" t="s">
        <v>1728</v>
      </c>
      <c r="Y656" t="s">
        <v>1729</v>
      </c>
      <c r="Z656" t="s">
        <v>2857</v>
      </c>
      <c r="AA656" t="s">
        <v>1419</v>
      </c>
      <c r="AB656" t="s">
        <v>4414</v>
      </c>
      <c r="AC656">
        <v>4896597575</v>
      </c>
    </row>
    <row r="657" spans="1:29" x14ac:dyDescent="0.3">
      <c r="A657" t="s">
        <v>1405</v>
      </c>
      <c r="B657" t="s">
        <v>2302</v>
      </c>
      <c r="C657" t="s">
        <v>4415</v>
      </c>
      <c r="D657">
        <v>6392618333</v>
      </c>
      <c r="E657" t="s">
        <v>4416</v>
      </c>
      <c r="F657">
        <v>1004017073</v>
      </c>
      <c r="G657" s="1">
        <v>45728</v>
      </c>
      <c r="H657" t="s">
        <v>1360</v>
      </c>
      <c r="I657" t="s">
        <v>1374</v>
      </c>
      <c r="J657" t="s">
        <v>1361</v>
      </c>
      <c r="K657" t="s">
        <v>2308</v>
      </c>
      <c r="L657" t="s">
        <v>2305</v>
      </c>
      <c r="M657" t="s">
        <v>1409</v>
      </c>
      <c r="N657" t="s">
        <v>1410</v>
      </c>
      <c r="O657" t="s">
        <v>1411</v>
      </c>
      <c r="P657" t="s">
        <v>1411</v>
      </c>
      <c r="Q657" t="s">
        <v>1412</v>
      </c>
      <c r="S657" s="1">
        <v>46043</v>
      </c>
      <c r="W657" s="1">
        <v>36857</v>
      </c>
      <c r="X657" t="s">
        <v>2504</v>
      </c>
      <c r="Y657" t="s">
        <v>4417</v>
      </c>
      <c r="Z657" t="s">
        <v>2506</v>
      </c>
      <c r="AA657" t="s">
        <v>1419</v>
      </c>
      <c r="AB657" t="s">
        <v>4418</v>
      </c>
      <c r="AC657">
        <v>88993812201</v>
      </c>
    </row>
    <row r="658" spans="1:29" x14ac:dyDescent="0.3">
      <c r="A658" t="s">
        <v>1405</v>
      </c>
      <c r="B658" t="s">
        <v>2302</v>
      </c>
      <c r="C658" t="s">
        <v>4419</v>
      </c>
      <c r="D658">
        <v>1358077193</v>
      </c>
      <c r="E658">
        <v>13957449</v>
      </c>
      <c r="F658">
        <v>1004005402</v>
      </c>
      <c r="G658" s="1">
        <v>43881</v>
      </c>
      <c r="H658" t="s">
        <v>1360</v>
      </c>
      <c r="I658" t="s">
        <v>1374</v>
      </c>
      <c r="J658" t="s">
        <v>2308</v>
      </c>
      <c r="K658" t="s">
        <v>2313</v>
      </c>
      <c r="L658" t="s">
        <v>2305</v>
      </c>
      <c r="M658" t="s">
        <v>1421</v>
      </c>
      <c r="N658" t="s">
        <v>1410</v>
      </c>
      <c r="O658" t="s">
        <v>1411</v>
      </c>
      <c r="P658" t="s">
        <v>1411</v>
      </c>
      <c r="Q658" t="s">
        <v>1412</v>
      </c>
      <c r="S658" s="1">
        <v>46043</v>
      </c>
      <c r="W658" s="1">
        <v>31438</v>
      </c>
      <c r="X658" t="s">
        <v>2960</v>
      </c>
      <c r="Y658" t="s">
        <v>2961</v>
      </c>
      <c r="Z658" t="s">
        <v>3446</v>
      </c>
      <c r="AA658" t="s">
        <v>1419</v>
      </c>
      <c r="AB658" t="s">
        <v>4420</v>
      </c>
      <c r="AC658">
        <v>66992202071</v>
      </c>
    </row>
    <row r="659" spans="1:29" x14ac:dyDescent="0.3">
      <c r="A659" t="s">
        <v>1405</v>
      </c>
      <c r="B659" t="s">
        <v>2302</v>
      </c>
      <c r="C659" t="s">
        <v>4421</v>
      </c>
      <c r="D659">
        <v>2422848257</v>
      </c>
      <c r="E659" s="3">
        <v>11915587</v>
      </c>
      <c r="F659">
        <v>1004015287</v>
      </c>
      <c r="G659" s="1">
        <v>45513</v>
      </c>
      <c r="H659" t="s">
        <v>1360</v>
      </c>
      <c r="I659" t="s">
        <v>1349</v>
      </c>
      <c r="J659" t="s">
        <v>2348</v>
      </c>
      <c r="K659" t="s">
        <v>2308</v>
      </c>
      <c r="L659" t="s">
        <v>2305</v>
      </c>
      <c r="M659" t="s">
        <v>1409</v>
      </c>
      <c r="N659" t="s">
        <v>1410</v>
      </c>
      <c r="O659" t="s">
        <v>1423</v>
      </c>
      <c r="P659" t="s">
        <v>1423</v>
      </c>
      <c r="Q659" t="s">
        <v>1412</v>
      </c>
      <c r="S659" s="1">
        <v>45749</v>
      </c>
      <c r="V659" s="1">
        <v>45748</v>
      </c>
      <c r="W659" s="1">
        <v>36090</v>
      </c>
      <c r="X659" t="s">
        <v>3843</v>
      </c>
      <c r="Z659" t="s">
        <v>4183</v>
      </c>
      <c r="AA659" t="s">
        <v>1419</v>
      </c>
      <c r="AB659" t="s">
        <v>4422</v>
      </c>
      <c r="AC659">
        <v>68992110964</v>
      </c>
    </row>
    <row r="660" spans="1:29" x14ac:dyDescent="0.3">
      <c r="A660" t="s">
        <v>1405</v>
      </c>
      <c r="B660" t="s">
        <v>2302</v>
      </c>
      <c r="C660" t="s">
        <v>4423</v>
      </c>
      <c r="D660">
        <v>66583772000</v>
      </c>
      <c r="E660">
        <v>5997322</v>
      </c>
      <c r="F660">
        <v>1004003644</v>
      </c>
      <c r="G660" s="1">
        <v>43577</v>
      </c>
      <c r="H660" t="s">
        <v>1360</v>
      </c>
      <c r="I660" t="s">
        <v>1349</v>
      </c>
      <c r="J660" t="s">
        <v>2308</v>
      </c>
      <c r="K660" t="s">
        <v>2313</v>
      </c>
      <c r="L660" t="s">
        <v>2305</v>
      </c>
      <c r="M660" t="s">
        <v>1409</v>
      </c>
      <c r="N660" t="s">
        <v>1410</v>
      </c>
      <c r="O660" t="s">
        <v>1423</v>
      </c>
      <c r="P660" t="s">
        <v>1423</v>
      </c>
      <c r="Q660" t="s">
        <v>1412</v>
      </c>
      <c r="S660" s="1">
        <v>46085</v>
      </c>
      <c r="V660" s="1">
        <v>46083</v>
      </c>
      <c r="W660" s="1">
        <v>26198</v>
      </c>
      <c r="X660" t="s">
        <v>1749</v>
      </c>
      <c r="Y660" t="s">
        <v>1750</v>
      </c>
      <c r="Z660" t="s">
        <v>2876</v>
      </c>
      <c r="AA660" t="s">
        <v>1419</v>
      </c>
      <c r="AB660" t="s">
        <v>4424</v>
      </c>
      <c r="AC660">
        <v>48991383477</v>
      </c>
    </row>
    <row r="661" spans="1:29" x14ac:dyDescent="0.3">
      <c r="A661" t="s">
        <v>1405</v>
      </c>
      <c r="B661" t="s">
        <v>2302</v>
      </c>
      <c r="C661" t="s">
        <v>4425</v>
      </c>
      <c r="D661">
        <v>61187593249</v>
      </c>
      <c r="E661">
        <v>765935</v>
      </c>
      <c r="F661">
        <v>1004020589</v>
      </c>
      <c r="G661" s="1">
        <v>45964</v>
      </c>
      <c r="H661" t="s">
        <v>1360</v>
      </c>
      <c r="I661" t="s">
        <v>1349</v>
      </c>
      <c r="J661" t="s">
        <v>1361</v>
      </c>
      <c r="K661" t="s">
        <v>2308</v>
      </c>
      <c r="L661" t="s">
        <v>2305</v>
      </c>
      <c r="M661" t="s">
        <v>1409</v>
      </c>
      <c r="N661" t="s">
        <v>1410</v>
      </c>
      <c r="O661" t="s">
        <v>1423</v>
      </c>
      <c r="P661" t="s">
        <v>1439</v>
      </c>
      <c r="Q661" t="s">
        <v>1412</v>
      </c>
      <c r="S661" s="1">
        <v>46090</v>
      </c>
      <c r="V661" s="1">
        <v>46087</v>
      </c>
      <c r="W661" s="1">
        <v>28894</v>
      </c>
      <c r="X661" t="s">
        <v>1775</v>
      </c>
      <c r="Z661" t="s">
        <v>2439</v>
      </c>
      <c r="AA661" t="s">
        <v>1419</v>
      </c>
      <c r="AB661" t="s">
        <v>4426</v>
      </c>
      <c r="AC661">
        <v>559691112921</v>
      </c>
    </row>
    <row r="662" spans="1:29" x14ac:dyDescent="0.3">
      <c r="A662" t="s">
        <v>1405</v>
      </c>
      <c r="B662" t="s">
        <v>2302</v>
      </c>
      <c r="C662" t="s">
        <v>4427</v>
      </c>
      <c r="D662">
        <v>92745490168</v>
      </c>
      <c r="E662">
        <v>1049436</v>
      </c>
      <c r="F662">
        <v>1004011248</v>
      </c>
      <c r="G662" s="1">
        <v>44988</v>
      </c>
      <c r="H662" t="s">
        <v>1360</v>
      </c>
      <c r="I662" t="s">
        <v>1349</v>
      </c>
      <c r="J662" t="s">
        <v>1361</v>
      </c>
      <c r="K662" t="s">
        <v>2308</v>
      </c>
      <c r="L662" t="s">
        <v>2305</v>
      </c>
      <c r="M662" t="s">
        <v>1421</v>
      </c>
      <c r="N662" t="s">
        <v>1422</v>
      </c>
      <c r="O662" t="s">
        <v>1423</v>
      </c>
      <c r="P662" t="s">
        <v>1423</v>
      </c>
      <c r="Q662" t="s">
        <v>1412</v>
      </c>
      <c r="S662" s="1">
        <v>45847</v>
      </c>
      <c r="V662" s="1">
        <v>45845</v>
      </c>
      <c r="W662" s="1">
        <v>29689</v>
      </c>
      <c r="X662" t="s">
        <v>2509</v>
      </c>
      <c r="Z662" t="s">
        <v>2306</v>
      </c>
      <c r="AA662" t="s">
        <v>1419</v>
      </c>
      <c r="AB662" t="s">
        <v>4428</v>
      </c>
      <c r="AC662">
        <v>67998012367</v>
      </c>
    </row>
    <row r="663" spans="1:29" x14ac:dyDescent="0.3">
      <c r="A663" t="s">
        <v>1405</v>
      </c>
      <c r="B663" t="s">
        <v>2302</v>
      </c>
      <c r="C663" t="s">
        <v>4429</v>
      </c>
      <c r="D663">
        <v>88111539304</v>
      </c>
      <c r="E663">
        <v>20082838067</v>
      </c>
      <c r="F663">
        <v>1004022214</v>
      </c>
      <c r="G663" s="1">
        <v>46113</v>
      </c>
      <c r="H663" t="s">
        <v>1360</v>
      </c>
      <c r="I663" t="s">
        <v>1374</v>
      </c>
      <c r="J663" t="s">
        <v>2308</v>
      </c>
      <c r="K663" t="s">
        <v>2313</v>
      </c>
      <c r="L663" t="s">
        <v>2305</v>
      </c>
      <c r="M663" t="s">
        <v>1409</v>
      </c>
      <c r="N663" t="s">
        <v>1410</v>
      </c>
      <c r="O663" t="s">
        <v>1423</v>
      </c>
      <c r="P663" t="s">
        <v>1423</v>
      </c>
      <c r="Q663" t="s">
        <v>1412</v>
      </c>
      <c r="S663" s="1">
        <v>46118</v>
      </c>
      <c r="W663" s="1">
        <v>29642</v>
      </c>
      <c r="X663" t="s">
        <v>4430</v>
      </c>
      <c r="Z663" t="s">
        <v>3670</v>
      </c>
      <c r="AA663" t="s">
        <v>1419</v>
      </c>
      <c r="AB663" t="s">
        <v>4431</v>
      </c>
      <c r="AC663">
        <v>88992231970</v>
      </c>
    </row>
    <row r="664" spans="1:29" x14ac:dyDescent="0.3">
      <c r="A664" t="s">
        <v>1405</v>
      </c>
      <c r="B664" t="s">
        <v>2302</v>
      </c>
      <c r="C664" t="s">
        <v>4432</v>
      </c>
      <c r="D664">
        <v>5163322362</v>
      </c>
      <c r="E664">
        <v>2489381200038</v>
      </c>
      <c r="F664">
        <v>1004011767</v>
      </c>
      <c r="G664" s="1">
        <v>45020</v>
      </c>
      <c r="H664" t="s">
        <v>1360</v>
      </c>
      <c r="I664" t="s">
        <v>1349</v>
      </c>
      <c r="J664" t="s">
        <v>1361</v>
      </c>
      <c r="K664" t="s">
        <v>2308</v>
      </c>
      <c r="L664" t="s">
        <v>2305</v>
      </c>
      <c r="M664" t="s">
        <v>1421</v>
      </c>
      <c r="N664" t="s">
        <v>1422</v>
      </c>
      <c r="O664" t="s">
        <v>1423</v>
      </c>
      <c r="P664" t="s">
        <v>1423</v>
      </c>
      <c r="Q664" t="s">
        <v>1412</v>
      </c>
      <c r="S664" s="1">
        <v>45874</v>
      </c>
      <c r="V664" s="1">
        <v>45873</v>
      </c>
      <c r="W664" s="1">
        <v>34211</v>
      </c>
      <c r="X664" t="s">
        <v>1472</v>
      </c>
      <c r="Y664" t="s">
        <v>4046</v>
      </c>
      <c r="Z664" t="s">
        <v>3132</v>
      </c>
      <c r="AA664" t="s">
        <v>1419</v>
      </c>
      <c r="AB664" t="s">
        <v>4433</v>
      </c>
      <c r="AC664">
        <v>98988969954</v>
      </c>
    </row>
    <row r="665" spans="1:29" x14ac:dyDescent="0.3">
      <c r="A665" t="s">
        <v>1405</v>
      </c>
      <c r="B665" t="s">
        <v>2302</v>
      </c>
      <c r="C665" t="s">
        <v>4434</v>
      </c>
      <c r="D665">
        <v>6408000339</v>
      </c>
      <c r="E665">
        <v>431724920114</v>
      </c>
      <c r="F665">
        <v>1004015066</v>
      </c>
      <c r="G665" s="1">
        <v>45453</v>
      </c>
      <c r="H665" t="s">
        <v>1360</v>
      </c>
      <c r="I665" t="s">
        <v>1349</v>
      </c>
      <c r="J665" t="s">
        <v>1361</v>
      </c>
      <c r="K665" t="s">
        <v>2308</v>
      </c>
      <c r="L665" t="s">
        <v>2305</v>
      </c>
      <c r="M665" t="s">
        <v>1421</v>
      </c>
      <c r="N665" t="s">
        <v>1422</v>
      </c>
      <c r="O665" t="s">
        <v>1423</v>
      </c>
      <c r="P665" t="s">
        <v>1423</v>
      </c>
      <c r="Q665" t="s">
        <v>1412</v>
      </c>
      <c r="S665" s="1">
        <v>45923</v>
      </c>
      <c r="V665" s="1">
        <v>45927</v>
      </c>
      <c r="W665" s="1">
        <v>35693</v>
      </c>
      <c r="X665" t="s">
        <v>2535</v>
      </c>
      <c r="Z665" t="s">
        <v>2763</v>
      </c>
      <c r="AA665" t="s">
        <v>1419</v>
      </c>
      <c r="AB665" t="s">
        <v>4435</v>
      </c>
      <c r="AC665">
        <v>98984541714</v>
      </c>
    </row>
    <row r="666" spans="1:29" x14ac:dyDescent="0.3">
      <c r="A666" t="s">
        <v>1405</v>
      </c>
      <c r="B666" t="s">
        <v>2302</v>
      </c>
      <c r="C666" t="s">
        <v>4436</v>
      </c>
      <c r="D666">
        <v>59419113949</v>
      </c>
      <c r="E666">
        <v>1557902</v>
      </c>
      <c r="F666">
        <v>1004017023</v>
      </c>
      <c r="G666" s="1">
        <v>45721</v>
      </c>
      <c r="H666" t="s">
        <v>1360</v>
      </c>
      <c r="I666" t="s">
        <v>1374</v>
      </c>
      <c r="J666" t="s">
        <v>1361</v>
      </c>
      <c r="K666" t="s">
        <v>2308</v>
      </c>
      <c r="L666" t="s">
        <v>2305</v>
      </c>
      <c r="M666" t="s">
        <v>1409</v>
      </c>
      <c r="N666" t="s">
        <v>1410</v>
      </c>
      <c r="O666" t="s">
        <v>1423</v>
      </c>
      <c r="P666" t="s">
        <v>1423</v>
      </c>
      <c r="Q666" t="s">
        <v>1412</v>
      </c>
      <c r="S666" s="1">
        <v>46043</v>
      </c>
      <c r="W666" s="1">
        <v>24603</v>
      </c>
      <c r="X666" t="s">
        <v>4437</v>
      </c>
      <c r="Z666" t="s">
        <v>2715</v>
      </c>
      <c r="AA666" t="s">
        <v>1419</v>
      </c>
      <c r="AB666" t="s">
        <v>4438</v>
      </c>
      <c r="AC666">
        <v>49999283160</v>
      </c>
    </row>
    <row r="667" spans="1:29" x14ac:dyDescent="0.3">
      <c r="A667" t="s">
        <v>1405</v>
      </c>
      <c r="B667" t="s">
        <v>2302</v>
      </c>
      <c r="C667" t="s">
        <v>4439</v>
      </c>
      <c r="D667">
        <v>564091251</v>
      </c>
      <c r="E667" s="3">
        <v>6181917</v>
      </c>
      <c r="F667">
        <v>1004015465</v>
      </c>
      <c r="G667" s="1">
        <v>45518</v>
      </c>
      <c r="H667" t="s">
        <v>1360</v>
      </c>
      <c r="I667" t="s">
        <v>1374</v>
      </c>
      <c r="J667" t="s">
        <v>1361</v>
      </c>
      <c r="K667" t="s">
        <v>2308</v>
      </c>
      <c r="L667" t="s">
        <v>2305</v>
      </c>
      <c r="M667" t="s">
        <v>1421</v>
      </c>
      <c r="N667" t="s">
        <v>1410</v>
      </c>
      <c r="O667" t="s">
        <v>1411</v>
      </c>
      <c r="P667" t="s">
        <v>1411</v>
      </c>
      <c r="Q667" t="s">
        <v>1412</v>
      </c>
      <c r="S667" s="1">
        <v>46043</v>
      </c>
      <c r="W667" s="1">
        <v>32561</v>
      </c>
      <c r="X667" t="s">
        <v>3449</v>
      </c>
      <c r="Z667" t="s">
        <v>2518</v>
      </c>
      <c r="AA667" t="s">
        <v>1415</v>
      </c>
      <c r="AB667" t="s">
        <v>4440</v>
      </c>
      <c r="AC667">
        <v>91981982390</v>
      </c>
    </row>
    <row r="668" spans="1:29" x14ac:dyDescent="0.3">
      <c r="A668" t="s">
        <v>1405</v>
      </c>
      <c r="B668" t="s">
        <v>2302</v>
      </c>
      <c r="C668" t="s">
        <v>4441</v>
      </c>
      <c r="D668">
        <v>3365728597</v>
      </c>
      <c r="E668">
        <v>114786310</v>
      </c>
      <c r="F668">
        <v>1004008741</v>
      </c>
      <c r="G668" s="1">
        <v>44461</v>
      </c>
      <c r="H668" t="s">
        <v>1360</v>
      </c>
      <c r="I668" t="s">
        <v>1349</v>
      </c>
      <c r="J668" t="s">
        <v>1361</v>
      </c>
      <c r="K668" t="s">
        <v>2308</v>
      </c>
      <c r="L668" t="s">
        <v>2305</v>
      </c>
      <c r="M668" t="s">
        <v>1421</v>
      </c>
      <c r="N668" t="s">
        <v>1422</v>
      </c>
      <c r="O668" t="s">
        <v>1411</v>
      </c>
      <c r="P668" t="s">
        <v>1411</v>
      </c>
      <c r="Q668" t="s">
        <v>1412</v>
      </c>
      <c r="S668" s="1">
        <v>46087</v>
      </c>
      <c r="V668" s="1">
        <v>46085</v>
      </c>
      <c r="W668" s="1">
        <v>32453</v>
      </c>
      <c r="X668" t="s">
        <v>1430</v>
      </c>
      <c r="Y668" t="s">
        <v>2906</v>
      </c>
      <c r="Z668" t="s">
        <v>4442</v>
      </c>
      <c r="AA668" t="s">
        <v>1419</v>
      </c>
      <c r="AB668" t="s">
        <v>4443</v>
      </c>
      <c r="AC668">
        <v>79999503865</v>
      </c>
    </row>
    <row r="669" spans="1:29" x14ac:dyDescent="0.3">
      <c r="A669" t="s">
        <v>1405</v>
      </c>
      <c r="B669" t="s">
        <v>2302</v>
      </c>
      <c r="C669" t="s">
        <v>4444</v>
      </c>
      <c r="D669">
        <v>5940054935</v>
      </c>
      <c r="E669">
        <v>49237659</v>
      </c>
      <c r="F669">
        <v>1004001916</v>
      </c>
      <c r="G669" s="1">
        <v>43210</v>
      </c>
      <c r="H669" t="s">
        <v>1360</v>
      </c>
      <c r="I669" t="s">
        <v>1374</v>
      </c>
      <c r="J669" t="s">
        <v>2308</v>
      </c>
      <c r="K669" t="s">
        <v>2313</v>
      </c>
      <c r="L669" t="s">
        <v>2305</v>
      </c>
      <c r="M669" t="s">
        <v>1409</v>
      </c>
      <c r="N669" t="s">
        <v>1410</v>
      </c>
      <c r="O669" t="s">
        <v>1423</v>
      </c>
      <c r="P669" t="s">
        <v>1423</v>
      </c>
      <c r="Q669" t="s">
        <v>1412</v>
      </c>
      <c r="S669" s="1">
        <v>46043</v>
      </c>
      <c r="W669" s="1">
        <v>33258</v>
      </c>
      <c r="X669" t="s">
        <v>1563</v>
      </c>
      <c r="Y669" t="s">
        <v>1564</v>
      </c>
      <c r="Z669" t="s">
        <v>2610</v>
      </c>
      <c r="AA669" t="s">
        <v>1415</v>
      </c>
      <c r="AB669" t="s">
        <v>4445</v>
      </c>
      <c r="AC669">
        <v>47991752022</v>
      </c>
    </row>
    <row r="670" spans="1:29" x14ac:dyDescent="0.3">
      <c r="A670" t="s">
        <v>1405</v>
      </c>
      <c r="B670" t="s">
        <v>2302</v>
      </c>
      <c r="C670" t="s">
        <v>4446</v>
      </c>
      <c r="D670">
        <v>963223909</v>
      </c>
      <c r="E670">
        <v>5619688</v>
      </c>
      <c r="F670">
        <v>1004005631</v>
      </c>
      <c r="G670" s="1">
        <v>43906</v>
      </c>
      <c r="H670" t="s">
        <v>1360</v>
      </c>
      <c r="I670" t="s">
        <v>1349</v>
      </c>
      <c r="J670" t="s">
        <v>2308</v>
      </c>
      <c r="K670" t="s">
        <v>2313</v>
      </c>
      <c r="L670" t="s">
        <v>2305</v>
      </c>
      <c r="M670" t="s">
        <v>1409</v>
      </c>
      <c r="N670" t="s">
        <v>1410</v>
      </c>
      <c r="O670" t="s">
        <v>1423</v>
      </c>
      <c r="P670" t="s">
        <v>1423</v>
      </c>
      <c r="Q670" t="s">
        <v>1412</v>
      </c>
      <c r="S670" s="1">
        <v>46045</v>
      </c>
      <c r="V670" s="1">
        <v>46042</v>
      </c>
      <c r="W670" s="1">
        <v>34479</v>
      </c>
      <c r="X670" t="s">
        <v>1714</v>
      </c>
      <c r="Y670" t="s">
        <v>3776</v>
      </c>
      <c r="Z670" t="s">
        <v>2652</v>
      </c>
      <c r="AA670" t="s">
        <v>1419</v>
      </c>
      <c r="AB670" t="s">
        <v>4447</v>
      </c>
      <c r="AC670">
        <v>4935541349</v>
      </c>
    </row>
    <row r="671" spans="1:29" x14ac:dyDescent="0.3">
      <c r="A671" t="s">
        <v>1405</v>
      </c>
      <c r="B671" t="s">
        <v>2302</v>
      </c>
      <c r="C671" t="s">
        <v>4448</v>
      </c>
      <c r="D671">
        <v>1744693145</v>
      </c>
      <c r="E671">
        <v>4676617</v>
      </c>
      <c r="F671">
        <v>1004006756</v>
      </c>
      <c r="G671" s="1">
        <v>44063</v>
      </c>
      <c r="H671" t="s">
        <v>1360</v>
      </c>
      <c r="I671" t="s">
        <v>1374</v>
      </c>
      <c r="J671" t="s">
        <v>2308</v>
      </c>
      <c r="K671" t="s">
        <v>2313</v>
      </c>
      <c r="L671" t="s">
        <v>2305</v>
      </c>
      <c r="M671" t="s">
        <v>1421</v>
      </c>
      <c r="N671" t="s">
        <v>1422</v>
      </c>
      <c r="O671" t="s">
        <v>1423</v>
      </c>
      <c r="P671" t="s">
        <v>1423</v>
      </c>
      <c r="Q671" t="s">
        <v>1412</v>
      </c>
      <c r="S671" s="1">
        <v>46043</v>
      </c>
      <c r="W671" s="1">
        <v>31252</v>
      </c>
      <c r="X671" t="s">
        <v>4449</v>
      </c>
      <c r="Y671" t="s">
        <v>4450</v>
      </c>
      <c r="Z671" t="s">
        <v>4451</v>
      </c>
      <c r="AA671" t="s">
        <v>1419</v>
      </c>
      <c r="AB671" t="s">
        <v>4452</v>
      </c>
      <c r="AC671">
        <v>6136127396</v>
      </c>
    </row>
    <row r="672" spans="1:29" x14ac:dyDescent="0.3">
      <c r="A672" t="s">
        <v>1405</v>
      </c>
      <c r="B672" t="s">
        <v>2302</v>
      </c>
      <c r="C672" t="s">
        <v>4453</v>
      </c>
      <c r="D672">
        <v>3476522989</v>
      </c>
      <c r="E672">
        <v>50811344</v>
      </c>
      <c r="F672">
        <v>1004009656</v>
      </c>
      <c r="G672" s="1">
        <v>44662</v>
      </c>
      <c r="H672" t="s">
        <v>1360</v>
      </c>
      <c r="I672" t="s">
        <v>1349</v>
      </c>
      <c r="J672" t="s">
        <v>2348</v>
      </c>
      <c r="K672" t="s">
        <v>2308</v>
      </c>
      <c r="L672" t="s">
        <v>2305</v>
      </c>
      <c r="M672" t="s">
        <v>1421</v>
      </c>
      <c r="N672" t="s">
        <v>1422</v>
      </c>
      <c r="O672" t="s">
        <v>1423</v>
      </c>
      <c r="P672" t="s">
        <v>1423</v>
      </c>
      <c r="Q672" t="s">
        <v>1412</v>
      </c>
      <c r="S672" s="1">
        <v>45792</v>
      </c>
      <c r="V672" s="1">
        <v>45778</v>
      </c>
      <c r="W672" s="1">
        <v>29713</v>
      </c>
      <c r="X672" t="s">
        <v>1586</v>
      </c>
      <c r="Z672" t="s">
        <v>2844</v>
      </c>
      <c r="AA672" t="s">
        <v>1419</v>
      </c>
      <c r="AB672" t="s">
        <v>4454</v>
      </c>
      <c r="AC672">
        <v>47991246534</v>
      </c>
    </row>
    <row r="673" spans="1:29" x14ac:dyDescent="0.3">
      <c r="A673" t="s">
        <v>1405</v>
      </c>
      <c r="B673" t="s">
        <v>2302</v>
      </c>
      <c r="C673" t="s">
        <v>4455</v>
      </c>
      <c r="D673">
        <v>2101675218</v>
      </c>
      <c r="E673">
        <v>27359166</v>
      </c>
      <c r="F673">
        <v>1004012014</v>
      </c>
      <c r="G673" s="1">
        <v>45056</v>
      </c>
      <c r="H673" t="s">
        <v>1360</v>
      </c>
      <c r="I673" t="s">
        <v>1374</v>
      </c>
      <c r="J673" t="s">
        <v>1361</v>
      </c>
      <c r="K673" t="s">
        <v>2308</v>
      </c>
      <c r="L673" t="s">
        <v>2305</v>
      </c>
      <c r="M673" t="s">
        <v>1409</v>
      </c>
      <c r="N673" t="s">
        <v>1410</v>
      </c>
      <c r="O673" t="s">
        <v>1411</v>
      </c>
      <c r="P673" t="s">
        <v>1411</v>
      </c>
      <c r="Q673" t="s">
        <v>1412</v>
      </c>
      <c r="S673" s="1">
        <v>46043</v>
      </c>
      <c r="W673" s="1">
        <v>35298</v>
      </c>
      <c r="X673" t="s">
        <v>1917</v>
      </c>
      <c r="Y673" t="s">
        <v>4456</v>
      </c>
      <c r="Z673" t="s">
        <v>4457</v>
      </c>
      <c r="AA673" t="s">
        <v>1419</v>
      </c>
      <c r="AB673" t="s">
        <v>4458</v>
      </c>
      <c r="AC673">
        <v>97984149738</v>
      </c>
    </row>
    <row r="674" spans="1:29" x14ac:dyDescent="0.3">
      <c r="A674" t="s">
        <v>1405</v>
      </c>
      <c r="B674" t="s">
        <v>2302</v>
      </c>
      <c r="C674" t="s">
        <v>4459</v>
      </c>
      <c r="D674">
        <v>3152263236</v>
      </c>
      <c r="E674">
        <v>7302375</v>
      </c>
      <c r="F674">
        <v>1004018296</v>
      </c>
      <c r="G674" s="1">
        <v>45810</v>
      </c>
      <c r="H674" t="s">
        <v>1360</v>
      </c>
      <c r="I674" t="s">
        <v>1374</v>
      </c>
      <c r="J674" t="s">
        <v>1361</v>
      </c>
      <c r="K674" t="s">
        <v>2308</v>
      </c>
      <c r="L674" t="s">
        <v>2305</v>
      </c>
      <c r="M674" t="s">
        <v>1409</v>
      </c>
      <c r="N674" t="s">
        <v>1410</v>
      </c>
      <c r="O674" t="s">
        <v>1423</v>
      </c>
      <c r="P674" t="s">
        <v>1423</v>
      </c>
      <c r="Q674" t="s">
        <v>1412</v>
      </c>
      <c r="S674" s="1">
        <v>46043</v>
      </c>
      <c r="W674" s="1">
        <v>35946</v>
      </c>
      <c r="X674" t="s">
        <v>2288</v>
      </c>
      <c r="Y674" t="s">
        <v>2553</v>
      </c>
      <c r="Z674" t="s">
        <v>2532</v>
      </c>
      <c r="AA674" t="s">
        <v>1419</v>
      </c>
      <c r="AB674" t="s">
        <v>4460</v>
      </c>
      <c r="AC674">
        <v>91992896448</v>
      </c>
    </row>
    <row r="675" spans="1:29" x14ac:dyDescent="0.3">
      <c r="A675" t="s">
        <v>1405</v>
      </c>
      <c r="B675" t="s">
        <v>2302</v>
      </c>
      <c r="C675" t="s">
        <v>4461</v>
      </c>
      <c r="D675">
        <v>14541953714</v>
      </c>
      <c r="E675" t="s">
        <v>4462</v>
      </c>
      <c r="F675">
        <v>1004015371</v>
      </c>
      <c r="G675" s="1">
        <v>45517</v>
      </c>
      <c r="H675" t="s">
        <v>1360</v>
      </c>
      <c r="I675" t="s">
        <v>1374</v>
      </c>
      <c r="J675" t="s">
        <v>2348</v>
      </c>
      <c r="K675" t="s">
        <v>2308</v>
      </c>
      <c r="L675" t="s">
        <v>2305</v>
      </c>
      <c r="M675" t="s">
        <v>1421</v>
      </c>
      <c r="N675" t="s">
        <v>1410</v>
      </c>
      <c r="O675" t="s">
        <v>1423</v>
      </c>
      <c r="P675" t="s">
        <v>1423</v>
      </c>
      <c r="Q675" t="s">
        <v>1412</v>
      </c>
      <c r="S675" s="1">
        <v>46043</v>
      </c>
      <c r="W675" s="1">
        <v>36064</v>
      </c>
      <c r="X675" t="s">
        <v>1721</v>
      </c>
      <c r="Z675" t="s">
        <v>2930</v>
      </c>
      <c r="AA675" t="s">
        <v>1415</v>
      </c>
      <c r="AB675" t="s">
        <v>4463</v>
      </c>
      <c r="AC675">
        <v>24999555501</v>
      </c>
    </row>
    <row r="676" spans="1:29" x14ac:dyDescent="0.3">
      <c r="A676" t="s">
        <v>1405</v>
      </c>
      <c r="B676" t="s">
        <v>2302</v>
      </c>
      <c r="C676" t="s">
        <v>4464</v>
      </c>
      <c r="D676">
        <v>10251705986</v>
      </c>
      <c r="E676">
        <v>125502628</v>
      </c>
      <c r="F676">
        <v>1004004870</v>
      </c>
      <c r="G676" s="1">
        <v>43742</v>
      </c>
      <c r="H676" t="s">
        <v>1360</v>
      </c>
      <c r="I676" t="s">
        <v>1374</v>
      </c>
      <c r="J676" t="s">
        <v>2308</v>
      </c>
      <c r="K676" t="s">
        <v>2313</v>
      </c>
      <c r="L676" t="s">
        <v>2305</v>
      </c>
      <c r="M676" t="s">
        <v>1421</v>
      </c>
      <c r="N676" t="s">
        <v>1422</v>
      </c>
      <c r="O676" t="s">
        <v>1423</v>
      </c>
      <c r="P676" t="s">
        <v>1423</v>
      </c>
      <c r="Q676" t="s">
        <v>1593</v>
      </c>
      <c r="R676" t="s">
        <v>3745</v>
      </c>
      <c r="S676" s="1">
        <v>46043</v>
      </c>
      <c r="W676" s="1">
        <v>35222</v>
      </c>
      <c r="X676" t="s">
        <v>3738</v>
      </c>
      <c r="Z676" t="s">
        <v>2951</v>
      </c>
      <c r="AA676" t="s">
        <v>1415</v>
      </c>
      <c r="AB676" t="s">
        <v>4465</v>
      </c>
      <c r="AC676">
        <v>46991046178</v>
      </c>
    </row>
    <row r="677" spans="1:29" x14ac:dyDescent="0.3">
      <c r="A677" t="s">
        <v>1405</v>
      </c>
      <c r="B677" t="s">
        <v>2302</v>
      </c>
      <c r="C677" t="s">
        <v>4466</v>
      </c>
      <c r="D677">
        <v>10182183947</v>
      </c>
      <c r="E677">
        <v>6325638</v>
      </c>
      <c r="F677">
        <v>1004009318</v>
      </c>
      <c r="G677" s="1">
        <v>44616</v>
      </c>
      <c r="H677" t="s">
        <v>1360</v>
      </c>
      <c r="I677" t="s">
        <v>1374</v>
      </c>
      <c r="J677" t="s">
        <v>1361</v>
      </c>
      <c r="K677" t="s">
        <v>2308</v>
      </c>
      <c r="L677" t="s">
        <v>2305</v>
      </c>
      <c r="M677" t="s">
        <v>1442</v>
      </c>
      <c r="N677" t="s">
        <v>1443</v>
      </c>
      <c r="O677" t="s">
        <v>1423</v>
      </c>
      <c r="P677" t="s">
        <v>1423</v>
      </c>
      <c r="Q677" t="s">
        <v>1412</v>
      </c>
      <c r="S677" s="1">
        <v>46043</v>
      </c>
      <c r="W677" s="1">
        <v>35856</v>
      </c>
      <c r="X677" t="s">
        <v>2456</v>
      </c>
      <c r="Y677" t="s">
        <v>2457</v>
      </c>
      <c r="Z677" t="s">
        <v>2458</v>
      </c>
      <c r="AA677" t="s">
        <v>1415</v>
      </c>
      <c r="AB677" t="s">
        <v>4467</v>
      </c>
      <c r="AC677">
        <v>47988522631</v>
      </c>
    </row>
    <row r="678" spans="1:29" x14ac:dyDescent="0.3">
      <c r="A678" t="s">
        <v>1405</v>
      </c>
      <c r="B678" t="s">
        <v>2302</v>
      </c>
      <c r="C678" t="s">
        <v>4468</v>
      </c>
      <c r="D678">
        <v>10348127936</v>
      </c>
      <c r="E678" t="s">
        <v>4469</v>
      </c>
      <c r="F678">
        <v>1004022213</v>
      </c>
      <c r="G678" s="1">
        <v>46113</v>
      </c>
      <c r="H678" t="s">
        <v>1360</v>
      </c>
      <c r="I678" t="s">
        <v>1374</v>
      </c>
      <c r="J678" t="s">
        <v>2308</v>
      </c>
      <c r="K678" t="s">
        <v>2313</v>
      </c>
      <c r="L678" t="s">
        <v>2305</v>
      </c>
      <c r="M678" t="s">
        <v>1421</v>
      </c>
      <c r="N678" t="s">
        <v>1422</v>
      </c>
      <c r="O678" t="s">
        <v>1423</v>
      </c>
      <c r="P678" t="s">
        <v>1423</v>
      </c>
      <c r="Q678" t="s">
        <v>1412</v>
      </c>
      <c r="S678" s="1">
        <v>46118</v>
      </c>
      <c r="W678" s="1">
        <v>34786</v>
      </c>
      <c r="X678" t="s">
        <v>4470</v>
      </c>
      <c r="Y678" t="s">
        <v>4471</v>
      </c>
      <c r="Z678" t="s">
        <v>2724</v>
      </c>
      <c r="AA678" t="s">
        <v>1415</v>
      </c>
      <c r="AB678" t="s">
        <v>4472</v>
      </c>
      <c r="AC678">
        <v>47996562349</v>
      </c>
    </row>
    <row r="679" spans="1:29" x14ac:dyDescent="0.3">
      <c r="A679" t="s">
        <v>1405</v>
      </c>
      <c r="B679" t="s">
        <v>2302</v>
      </c>
      <c r="C679" t="s">
        <v>4473</v>
      </c>
      <c r="D679">
        <v>18035084852</v>
      </c>
      <c r="E679">
        <v>229225482</v>
      </c>
      <c r="F679">
        <v>42004202396</v>
      </c>
      <c r="G679" s="1">
        <v>42569</v>
      </c>
      <c r="H679" t="s">
        <v>1360</v>
      </c>
      <c r="I679" t="s">
        <v>1374</v>
      </c>
      <c r="J679" t="s">
        <v>2308</v>
      </c>
      <c r="K679" t="s">
        <v>2313</v>
      </c>
      <c r="L679" t="s">
        <v>2305</v>
      </c>
      <c r="M679" t="s">
        <v>1447</v>
      </c>
      <c r="N679" t="s">
        <v>1448</v>
      </c>
      <c r="O679" t="s">
        <v>1423</v>
      </c>
      <c r="P679" t="s">
        <v>1423</v>
      </c>
      <c r="Q679" t="s">
        <v>1412</v>
      </c>
      <c r="S679" s="1">
        <v>46043</v>
      </c>
      <c r="W679" s="1">
        <v>26381</v>
      </c>
      <c r="X679" t="s">
        <v>4474</v>
      </c>
      <c r="Y679" t="s">
        <v>4475</v>
      </c>
      <c r="Z679" t="s">
        <v>2754</v>
      </c>
      <c r="AA679" t="s">
        <v>1419</v>
      </c>
      <c r="AB679" t="s">
        <v>4476</v>
      </c>
      <c r="AC679">
        <v>48991540897</v>
      </c>
    </row>
    <row r="680" spans="1:29" x14ac:dyDescent="0.3">
      <c r="A680" t="s">
        <v>1405</v>
      </c>
      <c r="B680" t="s">
        <v>2302</v>
      </c>
      <c r="C680" t="s">
        <v>4477</v>
      </c>
      <c r="D680">
        <v>79935419487</v>
      </c>
      <c r="E680">
        <v>4062607</v>
      </c>
      <c r="F680">
        <v>1004017214</v>
      </c>
      <c r="G680" s="1">
        <v>45735</v>
      </c>
      <c r="H680" t="s">
        <v>1360</v>
      </c>
      <c r="I680" t="s">
        <v>1374</v>
      </c>
      <c r="J680" t="s">
        <v>1361</v>
      </c>
      <c r="K680" t="s">
        <v>2308</v>
      </c>
      <c r="L680" t="s">
        <v>2305</v>
      </c>
      <c r="M680" t="s">
        <v>1409</v>
      </c>
      <c r="N680" t="s">
        <v>1410</v>
      </c>
      <c r="O680" t="s">
        <v>1411</v>
      </c>
      <c r="P680" t="s">
        <v>1411</v>
      </c>
      <c r="Q680" t="s">
        <v>1412</v>
      </c>
      <c r="S680" s="1">
        <v>46043</v>
      </c>
      <c r="W680" s="1">
        <v>25759</v>
      </c>
      <c r="X680" t="s">
        <v>4478</v>
      </c>
      <c r="Z680" t="s">
        <v>2594</v>
      </c>
      <c r="AA680" t="s">
        <v>1419</v>
      </c>
      <c r="AB680" t="s">
        <v>4479</v>
      </c>
      <c r="AC680">
        <v>81996166778</v>
      </c>
    </row>
    <row r="681" spans="1:29" x14ac:dyDescent="0.3">
      <c r="A681" t="s">
        <v>1405</v>
      </c>
      <c r="B681" t="s">
        <v>2302</v>
      </c>
      <c r="C681" t="s">
        <v>4480</v>
      </c>
      <c r="D681">
        <v>4299844998</v>
      </c>
      <c r="E681">
        <v>41163729</v>
      </c>
      <c r="F681">
        <v>42004201709</v>
      </c>
      <c r="G681" s="1">
        <v>42312</v>
      </c>
      <c r="H681" t="s">
        <v>1360</v>
      </c>
      <c r="I681" t="s">
        <v>1374</v>
      </c>
      <c r="J681" t="s">
        <v>2308</v>
      </c>
      <c r="K681" t="s">
        <v>2313</v>
      </c>
      <c r="L681" t="s">
        <v>2305</v>
      </c>
      <c r="M681" t="s">
        <v>1409</v>
      </c>
      <c r="N681" t="s">
        <v>1410</v>
      </c>
      <c r="O681" t="s">
        <v>1423</v>
      </c>
      <c r="P681" t="s">
        <v>1423</v>
      </c>
      <c r="Q681" t="s">
        <v>1412</v>
      </c>
      <c r="S681" s="1">
        <v>46043</v>
      </c>
      <c r="W681" s="1">
        <v>30691</v>
      </c>
      <c r="X681" t="s">
        <v>2628</v>
      </c>
      <c r="Y681" t="s">
        <v>2629</v>
      </c>
      <c r="Z681" t="s">
        <v>2610</v>
      </c>
      <c r="AA681" t="s">
        <v>1419</v>
      </c>
      <c r="AB681" t="s">
        <v>4481</v>
      </c>
      <c r="AC681">
        <v>4799295354</v>
      </c>
    </row>
    <row r="682" spans="1:29" x14ac:dyDescent="0.3">
      <c r="A682" t="s">
        <v>1405</v>
      </c>
      <c r="B682" t="s">
        <v>2302</v>
      </c>
      <c r="C682" t="s">
        <v>4482</v>
      </c>
      <c r="D682">
        <v>75327040259</v>
      </c>
      <c r="E682">
        <v>3767517</v>
      </c>
      <c r="F682">
        <v>1004011915</v>
      </c>
      <c r="G682" s="1">
        <v>45042</v>
      </c>
      <c r="H682" t="s">
        <v>1360</v>
      </c>
      <c r="I682" t="s">
        <v>1349</v>
      </c>
      <c r="J682" t="s">
        <v>2348</v>
      </c>
      <c r="K682" t="s">
        <v>2308</v>
      </c>
      <c r="L682" t="s">
        <v>2305</v>
      </c>
      <c r="M682" t="s">
        <v>1421</v>
      </c>
      <c r="N682" t="s">
        <v>1422</v>
      </c>
      <c r="O682" t="s">
        <v>1411</v>
      </c>
      <c r="P682" t="s">
        <v>1411</v>
      </c>
      <c r="Q682" t="s">
        <v>1412</v>
      </c>
      <c r="S682" s="1">
        <v>45854</v>
      </c>
      <c r="V682" s="1">
        <v>45853</v>
      </c>
      <c r="W682" s="1">
        <v>29408</v>
      </c>
      <c r="X682" t="s">
        <v>3466</v>
      </c>
      <c r="Y682" t="s">
        <v>3467</v>
      </c>
      <c r="Z682" t="s">
        <v>3468</v>
      </c>
      <c r="AA682" t="s">
        <v>1419</v>
      </c>
      <c r="AB682" t="s">
        <v>4483</v>
      </c>
      <c r="AC682">
        <v>91984755318</v>
      </c>
    </row>
    <row r="683" spans="1:29" x14ac:dyDescent="0.3">
      <c r="A683" t="s">
        <v>1405</v>
      </c>
      <c r="B683" t="s">
        <v>2302</v>
      </c>
      <c r="C683" t="s">
        <v>4484</v>
      </c>
      <c r="D683">
        <v>66982073068</v>
      </c>
      <c r="E683">
        <v>1113348997</v>
      </c>
      <c r="F683">
        <v>42004202742</v>
      </c>
      <c r="G683" s="1">
        <v>42705</v>
      </c>
      <c r="H683" t="s">
        <v>1360</v>
      </c>
      <c r="I683" t="s">
        <v>1349</v>
      </c>
      <c r="J683" t="s">
        <v>2308</v>
      </c>
      <c r="K683" t="s">
        <v>2313</v>
      </c>
      <c r="L683" t="s">
        <v>2305</v>
      </c>
      <c r="M683" t="s">
        <v>1409</v>
      </c>
      <c r="N683" t="s">
        <v>1410</v>
      </c>
      <c r="O683" t="s">
        <v>1423</v>
      </c>
      <c r="P683" t="s">
        <v>1423</v>
      </c>
      <c r="Q683" t="s">
        <v>1412</v>
      </c>
      <c r="S683" s="1">
        <v>46092</v>
      </c>
      <c r="V683" s="1">
        <v>46082</v>
      </c>
      <c r="W683" s="1">
        <v>26630</v>
      </c>
      <c r="X683" t="s">
        <v>4485</v>
      </c>
      <c r="Y683" t="s">
        <v>4486</v>
      </c>
      <c r="Z683" t="s">
        <v>3735</v>
      </c>
      <c r="AA683" t="s">
        <v>1419</v>
      </c>
      <c r="AB683" t="s">
        <v>4487</v>
      </c>
    </row>
    <row r="684" spans="1:29" x14ac:dyDescent="0.3">
      <c r="A684" t="s">
        <v>1405</v>
      </c>
      <c r="B684" t="s">
        <v>2302</v>
      </c>
      <c r="C684" t="s">
        <v>4488</v>
      </c>
      <c r="D684">
        <v>3536215955</v>
      </c>
      <c r="E684">
        <v>4013484</v>
      </c>
      <c r="F684">
        <v>1004010081</v>
      </c>
      <c r="G684" s="1">
        <v>44706</v>
      </c>
      <c r="H684" t="s">
        <v>1360</v>
      </c>
      <c r="I684" t="s">
        <v>1374</v>
      </c>
      <c r="J684" t="s">
        <v>1361</v>
      </c>
      <c r="K684" t="s">
        <v>2308</v>
      </c>
      <c r="L684" t="s">
        <v>2305</v>
      </c>
      <c r="M684" t="s">
        <v>1447</v>
      </c>
      <c r="N684" t="s">
        <v>1448</v>
      </c>
      <c r="O684" t="s">
        <v>1423</v>
      </c>
      <c r="P684" t="s">
        <v>1423</v>
      </c>
      <c r="Q684" t="s">
        <v>1412</v>
      </c>
      <c r="S684" s="1">
        <v>46043</v>
      </c>
      <c r="W684" s="1">
        <v>28010</v>
      </c>
      <c r="X684" t="s">
        <v>4489</v>
      </c>
      <c r="Y684" t="s">
        <v>4490</v>
      </c>
      <c r="Z684" t="s">
        <v>2358</v>
      </c>
      <c r="AA684" t="s">
        <v>1419</v>
      </c>
      <c r="AB684" t="s">
        <v>4491</v>
      </c>
      <c r="AC684">
        <v>48988331794</v>
      </c>
    </row>
    <row r="685" spans="1:29" x14ac:dyDescent="0.3">
      <c r="A685" t="s">
        <v>1405</v>
      </c>
      <c r="B685" t="s">
        <v>2302</v>
      </c>
      <c r="C685" t="s">
        <v>4492</v>
      </c>
      <c r="D685">
        <v>16567700831</v>
      </c>
      <c r="E685">
        <v>6391976</v>
      </c>
      <c r="F685">
        <v>1004014090</v>
      </c>
      <c r="G685" s="1">
        <v>45357</v>
      </c>
      <c r="H685" t="s">
        <v>1360</v>
      </c>
      <c r="I685" t="s">
        <v>1374</v>
      </c>
      <c r="J685" t="s">
        <v>1361</v>
      </c>
      <c r="K685" t="s">
        <v>2308</v>
      </c>
      <c r="L685" t="s">
        <v>2305</v>
      </c>
      <c r="M685" t="s">
        <v>1409</v>
      </c>
      <c r="N685" t="s">
        <v>1410</v>
      </c>
      <c r="O685" t="s">
        <v>1423</v>
      </c>
      <c r="P685" t="s">
        <v>1423</v>
      </c>
      <c r="Q685" t="s">
        <v>1412</v>
      </c>
      <c r="S685" s="1">
        <v>46043</v>
      </c>
      <c r="W685" s="1">
        <v>26757</v>
      </c>
      <c r="X685" t="s">
        <v>1811</v>
      </c>
      <c r="Z685" t="s">
        <v>3575</v>
      </c>
      <c r="AA685" t="s">
        <v>1419</v>
      </c>
      <c r="AB685" t="s">
        <v>4493</v>
      </c>
      <c r="AC685">
        <v>81984722691</v>
      </c>
    </row>
    <row r="686" spans="1:29" x14ac:dyDescent="0.3">
      <c r="A686" t="s">
        <v>1405</v>
      </c>
      <c r="B686" t="s">
        <v>2302</v>
      </c>
      <c r="C686" t="s">
        <v>4494</v>
      </c>
      <c r="D686">
        <v>7538511725</v>
      </c>
      <c r="E686">
        <v>114636970</v>
      </c>
      <c r="F686">
        <v>1004006844</v>
      </c>
      <c r="G686" s="1">
        <v>44077</v>
      </c>
      <c r="H686" t="s">
        <v>1360</v>
      </c>
      <c r="I686" t="s">
        <v>1349</v>
      </c>
      <c r="J686" t="s">
        <v>2308</v>
      </c>
      <c r="K686" t="s">
        <v>2313</v>
      </c>
      <c r="L686" t="s">
        <v>2305</v>
      </c>
      <c r="M686" t="s">
        <v>1447</v>
      </c>
      <c r="N686" t="s">
        <v>1448</v>
      </c>
      <c r="O686" t="s">
        <v>1411</v>
      </c>
      <c r="P686" t="s">
        <v>1411</v>
      </c>
      <c r="Q686" t="s">
        <v>1412</v>
      </c>
      <c r="S686" s="1">
        <v>45735</v>
      </c>
      <c r="V686" s="1">
        <v>45734</v>
      </c>
      <c r="W686" s="1">
        <v>28192</v>
      </c>
      <c r="X686" t="s">
        <v>2412</v>
      </c>
      <c r="Y686" t="s">
        <v>2171</v>
      </c>
      <c r="Z686" t="s">
        <v>2306</v>
      </c>
      <c r="AA686" t="s">
        <v>1415</v>
      </c>
      <c r="AB686" t="s">
        <v>4495</v>
      </c>
      <c r="AC686">
        <v>67996800193</v>
      </c>
    </row>
    <row r="687" spans="1:29" x14ac:dyDescent="0.3">
      <c r="A687" t="s">
        <v>1405</v>
      </c>
      <c r="B687" t="s">
        <v>2302</v>
      </c>
      <c r="C687" t="s">
        <v>4496</v>
      </c>
      <c r="D687">
        <v>3923998902</v>
      </c>
      <c r="E687">
        <v>75603100</v>
      </c>
      <c r="F687">
        <v>1004001745</v>
      </c>
      <c r="G687" s="1">
        <v>43194</v>
      </c>
      <c r="H687" t="s">
        <v>1360</v>
      </c>
      <c r="I687" t="s">
        <v>1374</v>
      </c>
      <c r="J687" t="s">
        <v>2308</v>
      </c>
      <c r="K687" t="s">
        <v>2313</v>
      </c>
      <c r="L687" t="s">
        <v>2305</v>
      </c>
      <c r="M687" t="s">
        <v>1447</v>
      </c>
      <c r="N687" t="s">
        <v>1448</v>
      </c>
      <c r="O687" t="s">
        <v>1423</v>
      </c>
      <c r="P687" t="s">
        <v>1423</v>
      </c>
      <c r="Q687" t="s">
        <v>1593</v>
      </c>
      <c r="S687" s="1">
        <v>46043</v>
      </c>
      <c r="W687" s="1">
        <v>29914</v>
      </c>
      <c r="X687" t="s">
        <v>1586</v>
      </c>
      <c r="Y687" t="s">
        <v>1752</v>
      </c>
      <c r="Z687" t="s">
        <v>3550</v>
      </c>
      <c r="AA687" t="s">
        <v>1415</v>
      </c>
      <c r="AB687" t="s">
        <v>4497</v>
      </c>
      <c r="AC687">
        <v>41991414197</v>
      </c>
    </row>
    <row r="688" spans="1:29" x14ac:dyDescent="0.3">
      <c r="A688" t="s">
        <v>1405</v>
      </c>
      <c r="B688" t="s">
        <v>2302</v>
      </c>
      <c r="C688" t="s">
        <v>4498</v>
      </c>
      <c r="D688">
        <v>2092237900</v>
      </c>
      <c r="E688">
        <v>3445643</v>
      </c>
      <c r="F688">
        <v>42004200748</v>
      </c>
      <c r="G688" s="1">
        <v>41703</v>
      </c>
      <c r="H688" t="s">
        <v>1360</v>
      </c>
      <c r="I688" t="s">
        <v>1374</v>
      </c>
      <c r="J688" t="s">
        <v>2308</v>
      </c>
      <c r="K688" t="s">
        <v>2313</v>
      </c>
      <c r="L688" t="s">
        <v>2305</v>
      </c>
      <c r="M688" t="s">
        <v>1409</v>
      </c>
      <c r="N688" t="s">
        <v>1410</v>
      </c>
      <c r="O688" t="s">
        <v>1423</v>
      </c>
      <c r="P688" t="s">
        <v>1423</v>
      </c>
      <c r="Q688" t="s">
        <v>1412</v>
      </c>
      <c r="S688" s="1">
        <v>46043</v>
      </c>
      <c r="W688" s="1">
        <v>28363</v>
      </c>
      <c r="X688" t="s">
        <v>4499</v>
      </c>
      <c r="Y688" t="s">
        <v>4500</v>
      </c>
      <c r="Z688" t="s">
        <v>2601</v>
      </c>
      <c r="AA688" t="s">
        <v>1415</v>
      </c>
      <c r="AB688" t="s">
        <v>4501</v>
      </c>
      <c r="AC688">
        <v>49999698290</v>
      </c>
    </row>
    <row r="689" spans="1:29" x14ac:dyDescent="0.3">
      <c r="A689" t="s">
        <v>1405</v>
      </c>
      <c r="B689" t="s">
        <v>2302</v>
      </c>
      <c r="C689" t="s">
        <v>4502</v>
      </c>
      <c r="D689">
        <v>5512471775</v>
      </c>
      <c r="E689">
        <v>127216430</v>
      </c>
      <c r="F689">
        <v>1004009374</v>
      </c>
      <c r="G689" s="1">
        <v>44623</v>
      </c>
      <c r="H689" t="s">
        <v>1360</v>
      </c>
      <c r="I689" t="s">
        <v>1349</v>
      </c>
      <c r="J689" t="s">
        <v>1361</v>
      </c>
      <c r="K689" t="s">
        <v>2308</v>
      </c>
      <c r="L689" t="s">
        <v>2305</v>
      </c>
      <c r="M689" t="s">
        <v>1409</v>
      </c>
      <c r="N689" t="s">
        <v>1410</v>
      </c>
      <c r="O689" t="s">
        <v>1423</v>
      </c>
      <c r="P689" t="s">
        <v>1423</v>
      </c>
      <c r="Q689" t="s">
        <v>1412</v>
      </c>
      <c r="S689" s="1">
        <v>46063</v>
      </c>
      <c r="V689" s="1">
        <v>46059</v>
      </c>
      <c r="W689" s="1">
        <v>29238</v>
      </c>
      <c r="X689" t="s">
        <v>1654</v>
      </c>
      <c r="Y689" t="s">
        <v>1655</v>
      </c>
      <c r="Z689" t="s">
        <v>4503</v>
      </c>
      <c r="AA689" t="s">
        <v>1415</v>
      </c>
      <c r="AB689" t="s">
        <v>4504</v>
      </c>
      <c r="AC689">
        <v>21982578600</v>
      </c>
    </row>
    <row r="690" spans="1:29" x14ac:dyDescent="0.3">
      <c r="A690" t="s">
        <v>1405</v>
      </c>
      <c r="B690" t="s">
        <v>2302</v>
      </c>
      <c r="C690" t="s">
        <v>4505</v>
      </c>
      <c r="D690">
        <v>3892957444</v>
      </c>
      <c r="E690">
        <v>6022615</v>
      </c>
      <c r="F690">
        <v>1004012281</v>
      </c>
      <c r="G690" s="1">
        <v>45092</v>
      </c>
      <c r="H690" t="s">
        <v>1360</v>
      </c>
      <c r="I690" t="s">
        <v>1374</v>
      </c>
      <c r="J690" t="s">
        <v>1361</v>
      </c>
      <c r="K690" t="s">
        <v>2308</v>
      </c>
      <c r="L690" t="s">
        <v>2305</v>
      </c>
      <c r="M690" t="s">
        <v>1409</v>
      </c>
      <c r="N690" t="s">
        <v>1422</v>
      </c>
      <c r="O690" t="s">
        <v>1439</v>
      </c>
      <c r="P690" t="s">
        <v>1439</v>
      </c>
      <c r="Q690" t="s">
        <v>1412</v>
      </c>
      <c r="S690" s="1">
        <v>46043</v>
      </c>
      <c r="W690" s="1">
        <v>29865</v>
      </c>
      <c r="X690" t="s">
        <v>1893</v>
      </c>
      <c r="Y690" t="s">
        <v>2465</v>
      </c>
      <c r="Z690" t="s">
        <v>2466</v>
      </c>
      <c r="AA690" t="s">
        <v>1419</v>
      </c>
      <c r="AB690" t="s">
        <v>4506</v>
      </c>
      <c r="AC690">
        <v>87999158737</v>
      </c>
    </row>
    <row r="691" spans="1:29" x14ac:dyDescent="0.3">
      <c r="A691" t="s">
        <v>1405</v>
      </c>
      <c r="B691" t="s">
        <v>2302</v>
      </c>
      <c r="C691" t="s">
        <v>4507</v>
      </c>
      <c r="D691">
        <v>1339333260</v>
      </c>
      <c r="E691">
        <v>6331541</v>
      </c>
      <c r="F691">
        <v>1004016200</v>
      </c>
      <c r="G691" s="1">
        <v>45602</v>
      </c>
      <c r="H691" t="s">
        <v>1360</v>
      </c>
      <c r="I691" t="s">
        <v>1374</v>
      </c>
      <c r="J691" t="s">
        <v>1361</v>
      </c>
      <c r="K691" t="s">
        <v>2308</v>
      </c>
      <c r="L691" t="s">
        <v>2305</v>
      </c>
      <c r="M691" t="s">
        <v>1409</v>
      </c>
      <c r="N691" t="s">
        <v>1410</v>
      </c>
      <c r="O691" t="s">
        <v>1411</v>
      </c>
      <c r="P691" t="s">
        <v>1411</v>
      </c>
      <c r="Q691" t="s">
        <v>1412</v>
      </c>
      <c r="S691" s="1">
        <v>46043</v>
      </c>
      <c r="W691" s="1">
        <v>32973</v>
      </c>
      <c r="X691" t="s">
        <v>3449</v>
      </c>
      <c r="Y691" t="s">
        <v>3450</v>
      </c>
      <c r="Z691" t="s">
        <v>4508</v>
      </c>
      <c r="AA691" t="s">
        <v>1419</v>
      </c>
      <c r="AB691" t="s">
        <v>4509</v>
      </c>
      <c r="AC691">
        <v>91985851593</v>
      </c>
    </row>
    <row r="692" spans="1:29" x14ac:dyDescent="0.3">
      <c r="A692" t="s">
        <v>1405</v>
      </c>
      <c r="B692" t="s">
        <v>2302</v>
      </c>
      <c r="C692" t="s">
        <v>4510</v>
      </c>
      <c r="D692">
        <v>8557176961</v>
      </c>
      <c r="E692">
        <v>6207767</v>
      </c>
      <c r="F692">
        <v>1004003070</v>
      </c>
      <c r="G692" s="1">
        <v>43530</v>
      </c>
      <c r="H692" t="s">
        <v>1360</v>
      </c>
      <c r="I692" t="s">
        <v>1349</v>
      </c>
      <c r="J692" t="s">
        <v>2308</v>
      </c>
      <c r="K692" t="s">
        <v>2313</v>
      </c>
      <c r="L692" t="s">
        <v>2305</v>
      </c>
      <c r="M692" t="s">
        <v>1409</v>
      </c>
      <c r="N692" t="s">
        <v>1410</v>
      </c>
      <c r="O692" t="s">
        <v>1423</v>
      </c>
      <c r="P692" t="s">
        <v>1423</v>
      </c>
      <c r="Q692" t="s">
        <v>1412</v>
      </c>
      <c r="S692" s="1">
        <v>46085</v>
      </c>
      <c r="T692" s="1">
        <v>45878</v>
      </c>
      <c r="U692" s="1">
        <v>45997</v>
      </c>
      <c r="V692" s="1">
        <v>46083</v>
      </c>
      <c r="W692" s="1">
        <v>33912</v>
      </c>
      <c r="X692" t="s">
        <v>3284</v>
      </c>
      <c r="Z692" t="s">
        <v>4511</v>
      </c>
      <c r="AA692" t="s">
        <v>1419</v>
      </c>
      <c r="AB692" t="s">
        <v>4512</v>
      </c>
      <c r="AC692">
        <v>4732271608</v>
      </c>
    </row>
    <row r="693" spans="1:29" x14ac:dyDescent="0.3">
      <c r="A693" t="s">
        <v>1405</v>
      </c>
      <c r="B693" t="s">
        <v>2302</v>
      </c>
      <c r="C693" t="s">
        <v>4513</v>
      </c>
      <c r="D693">
        <v>90394518349</v>
      </c>
      <c r="E693">
        <v>323264798</v>
      </c>
      <c r="F693">
        <v>1004010591</v>
      </c>
      <c r="G693" s="1">
        <v>44790</v>
      </c>
      <c r="H693" t="s">
        <v>1360</v>
      </c>
      <c r="I693" t="s">
        <v>1349</v>
      </c>
      <c r="J693" t="s">
        <v>1361</v>
      </c>
      <c r="K693" t="s">
        <v>2308</v>
      </c>
      <c r="L693" t="s">
        <v>2305</v>
      </c>
      <c r="M693" t="s">
        <v>1409</v>
      </c>
      <c r="N693" t="s">
        <v>1410</v>
      </c>
      <c r="O693" t="s">
        <v>1462</v>
      </c>
      <c r="P693" t="s">
        <v>1462</v>
      </c>
      <c r="Q693" t="s">
        <v>1412</v>
      </c>
      <c r="S693" s="1">
        <v>45791</v>
      </c>
      <c r="V693" s="1">
        <v>45790</v>
      </c>
      <c r="W693" s="1">
        <v>29920</v>
      </c>
      <c r="X693" t="s">
        <v>2423</v>
      </c>
      <c r="Y693" t="s">
        <v>2424</v>
      </c>
      <c r="Z693" t="s">
        <v>2425</v>
      </c>
      <c r="AA693" t="s">
        <v>1419</v>
      </c>
      <c r="AB693" t="s">
        <v>4514</v>
      </c>
      <c r="AC693" t="s">
        <v>4515</v>
      </c>
    </row>
    <row r="694" spans="1:29" x14ac:dyDescent="0.3">
      <c r="A694" t="s">
        <v>1405</v>
      </c>
      <c r="B694" t="s">
        <v>2302</v>
      </c>
      <c r="C694" t="s">
        <v>4516</v>
      </c>
      <c r="D694">
        <v>81177240300</v>
      </c>
      <c r="E694">
        <v>20078151354</v>
      </c>
      <c r="F694">
        <v>1004010752</v>
      </c>
      <c r="G694" s="1">
        <v>44818</v>
      </c>
      <c r="H694" t="s">
        <v>1360</v>
      </c>
      <c r="I694" t="s">
        <v>1374</v>
      </c>
      <c r="J694" t="s">
        <v>1361</v>
      </c>
      <c r="K694" t="s">
        <v>2308</v>
      </c>
      <c r="L694" t="s">
        <v>2305</v>
      </c>
      <c r="M694" t="s">
        <v>1409</v>
      </c>
      <c r="N694" t="s">
        <v>1422</v>
      </c>
      <c r="O694" t="s">
        <v>1423</v>
      </c>
      <c r="P694" t="s">
        <v>1423</v>
      </c>
      <c r="Q694" t="s">
        <v>1412</v>
      </c>
      <c r="S694" s="1">
        <v>46043</v>
      </c>
      <c r="W694" s="1">
        <v>28343</v>
      </c>
      <c r="X694" t="s">
        <v>1869</v>
      </c>
      <c r="Z694" t="s">
        <v>2923</v>
      </c>
      <c r="AA694" t="s">
        <v>1419</v>
      </c>
      <c r="AB694" t="s">
        <v>4517</v>
      </c>
      <c r="AC694">
        <v>88988768396</v>
      </c>
    </row>
    <row r="695" spans="1:29" x14ac:dyDescent="0.3">
      <c r="A695" t="s">
        <v>1405</v>
      </c>
      <c r="B695" t="s">
        <v>2302</v>
      </c>
      <c r="C695" t="s">
        <v>4518</v>
      </c>
      <c r="D695">
        <v>82393010530</v>
      </c>
      <c r="E695">
        <v>940693798</v>
      </c>
      <c r="F695">
        <v>1004017874</v>
      </c>
      <c r="G695" s="1">
        <v>45771</v>
      </c>
      <c r="H695" t="s">
        <v>1360</v>
      </c>
      <c r="I695" t="s">
        <v>1349</v>
      </c>
      <c r="J695" t="s">
        <v>1361</v>
      </c>
      <c r="K695" t="s">
        <v>2308</v>
      </c>
      <c r="L695" t="s">
        <v>2305</v>
      </c>
      <c r="M695" t="s">
        <v>1409</v>
      </c>
      <c r="N695" t="s">
        <v>1410</v>
      </c>
      <c r="O695" t="s">
        <v>1411</v>
      </c>
      <c r="P695" t="s">
        <v>1411</v>
      </c>
      <c r="Q695" t="s">
        <v>1412</v>
      </c>
      <c r="S695" s="1">
        <v>46057</v>
      </c>
      <c r="V695" s="1">
        <v>46055</v>
      </c>
      <c r="W695" s="1">
        <v>30213</v>
      </c>
      <c r="X695" t="s">
        <v>4519</v>
      </c>
      <c r="Y695" t="s">
        <v>4520</v>
      </c>
      <c r="Z695" t="s">
        <v>2363</v>
      </c>
      <c r="AA695" t="s">
        <v>1419</v>
      </c>
      <c r="AB695" t="s">
        <v>4521</v>
      </c>
      <c r="AC695">
        <v>75988170046</v>
      </c>
    </row>
    <row r="696" spans="1:29" x14ac:dyDescent="0.3">
      <c r="A696" t="s">
        <v>1405</v>
      </c>
      <c r="B696" t="s">
        <v>2302</v>
      </c>
      <c r="C696" t="s">
        <v>4522</v>
      </c>
      <c r="D696">
        <v>83383000044</v>
      </c>
      <c r="E696">
        <v>7083875513</v>
      </c>
      <c r="F696">
        <v>1004009849</v>
      </c>
      <c r="G696" s="1">
        <v>44679</v>
      </c>
      <c r="H696" t="s">
        <v>1360</v>
      </c>
      <c r="I696" t="s">
        <v>1349</v>
      </c>
      <c r="J696" t="s">
        <v>1361</v>
      </c>
      <c r="K696" t="s">
        <v>2308</v>
      </c>
      <c r="L696" t="s">
        <v>2305</v>
      </c>
      <c r="M696" t="s">
        <v>1409</v>
      </c>
      <c r="N696" t="s">
        <v>1410</v>
      </c>
      <c r="O696" t="s">
        <v>1423</v>
      </c>
      <c r="P696" t="s">
        <v>1423</v>
      </c>
      <c r="Q696" t="s">
        <v>1412</v>
      </c>
      <c r="S696" s="1">
        <v>45856</v>
      </c>
      <c r="V696" s="1">
        <v>45855</v>
      </c>
      <c r="W696" s="1">
        <v>31389</v>
      </c>
      <c r="X696" t="s">
        <v>1485</v>
      </c>
      <c r="Y696" t="s">
        <v>1756</v>
      </c>
      <c r="Z696" t="s">
        <v>4523</v>
      </c>
      <c r="AA696" t="s">
        <v>1415</v>
      </c>
      <c r="AB696" t="s">
        <v>4524</v>
      </c>
      <c r="AC696">
        <v>51992147998</v>
      </c>
    </row>
    <row r="697" spans="1:29" x14ac:dyDescent="0.3">
      <c r="A697" t="s">
        <v>1405</v>
      </c>
      <c r="B697" t="s">
        <v>2302</v>
      </c>
      <c r="C697" t="s">
        <v>4525</v>
      </c>
      <c r="D697">
        <v>1931135894</v>
      </c>
      <c r="E697">
        <v>12830260</v>
      </c>
      <c r="F697">
        <v>1004019648</v>
      </c>
      <c r="G697" s="1">
        <v>45903</v>
      </c>
      <c r="H697" t="s">
        <v>1360</v>
      </c>
      <c r="I697" t="s">
        <v>1349</v>
      </c>
      <c r="J697" t="s">
        <v>1361</v>
      </c>
      <c r="K697" t="s">
        <v>2308</v>
      </c>
      <c r="L697" t="s">
        <v>2305</v>
      </c>
      <c r="M697" t="s">
        <v>1409</v>
      </c>
      <c r="N697" t="s">
        <v>1410</v>
      </c>
      <c r="O697" t="s">
        <v>1423</v>
      </c>
      <c r="P697" t="s">
        <v>1423</v>
      </c>
      <c r="Q697" t="s">
        <v>1412</v>
      </c>
      <c r="S697" s="1">
        <v>46085</v>
      </c>
      <c r="V697" s="1">
        <v>46082</v>
      </c>
      <c r="W697" s="1">
        <v>22130</v>
      </c>
      <c r="X697" t="s">
        <v>4526</v>
      </c>
      <c r="Z697" t="s">
        <v>2325</v>
      </c>
      <c r="AA697" t="s">
        <v>1415</v>
      </c>
      <c r="AB697" t="s">
        <v>4527</v>
      </c>
      <c r="AC697">
        <v>38999617426</v>
      </c>
    </row>
    <row r="698" spans="1:29" x14ac:dyDescent="0.3">
      <c r="A698" t="s">
        <v>1405</v>
      </c>
      <c r="B698" t="s">
        <v>2302</v>
      </c>
      <c r="C698" t="s">
        <v>4528</v>
      </c>
      <c r="D698">
        <v>5854752379</v>
      </c>
      <c r="E698">
        <v>2008009021872</v>
      </c>
      <c r="F698">
        <v>1004015077</v>
      </c>
      <c r="G698" s="1">
        <v>45456</v>
      </c>
      <c r="H698" t="s">
        <v>1360</v>
      </c>
      <c r="I698" t="s">
        <v>1374</v>
      </c>
      <c r="J698" t="s">
        <v>1361</v>
      </c>
      <c r="K698" t="s">
        <v>2308</v>
      </c>
      <c r="L698" t="s">
        <v>2305</v>
      </c>
      <c r="M698" t="s">
        <v>1409</v>
      </c>
      <c r="N698" t="s">
        <v>1410</v>
      </c>
      <c r="O698" t="s">
        <v>1411</v>
      </c>
      <c r="P698" t="s">
        <v>1411</v>
      </c>
      <c r="Q698" t="s">
        <v>1412</v>
      </c>
      <c r="S698" s="1">
        <v>46043</v>
      </c>
      <c r="W698" s="1">
        <v>34196</v>
      </c>
      <c r="X698" t="s">
        <v>1507</v>
      </c>
      <c r="Y698" t="s">
        <v>2786</v>
      </c>
      <c r="Z698" t="s">
        <v>3123</v>
      </c>
      <c r="AA698" t="s">
        <v>1415</v>
      </c>
      <c r="AB698" t="s">
        <v>4529</v>
      </c>
      <c r="AC698">
        <v>85982077519</v>
      </c>
    </row>
    <row r="699" spans="1:29" x14ac:dyDescent="0.3">
      <c r="A699" t="s">
        <v>1405</v>
      </c>
      <c r="B699" t="s">
        <v>2302</v>
      </c>
      <c r="C699" t="s">
        <v>4530</v>
      </c>
      <c r="D699">
        <v>1415733252</v>
      </c>
      <c r="E699">
        <v>5246500</v>
      </c>
      <c r="F699">
        <v>1004019143</v>
      </c>
      <c r="G699" s="1">
        <v>45880</v>
      </c>
      <c r="H699" t="s">
        <v>1360</v>
      </c>
      <c r="I699" t="s">
        <v>1374</v>
      </c>
      <c r="J699" t="s">
        <v>2348</v>
      </c>
      <c r="K699" t="s">
        <v>2308</v>
      </c>
      <c r="L699" t="s">
        <v>2305</v>
      </c>
      <c r="M699" t="s">
        <v>1447</v>
      </c>
      <c r="N699" t="s">
        <v>1448</v>
      </c>
      <c r="O699" t="s">
        <v>1411</v>
      </c>
      <c r="P699" t="s">
        <v>1411</v>
      </c>
      <c r="Q699" t="s">
        <v>1412</v>
      </c>
      <c r="S699" s="1">
        <v>46043</v>
      </c>
      <c r="W699" s="1">
        <v>33062</v>
      </c>
      <c r="X699" t="s">
        <v>1492</v>
      </c>
      <c r="Y699" t="s">
        <v>2058</v>
      </c>
      <c r="Z699" t="s">
        <v>2541</v>
      </c>
      <c r="AA699" t="s">
        <v>1415</v>
      </c>
      <c r="AB699" t="s">
        <v>4531</v>
      </c>
      <c r="AC699">
        <v>91984798776</v>
      </c>
    </row>
    <row r="700" spans="1:29" x14ac:dyDescent="0.3">
      <c r="A700" t="s">
        <v>1405</v>
      </c>
      <c r="B700" t="s">
        <v>2302</v>
      </c>
      <c r="C700" t="s">
        <v>4532</v>
      </c>
      <c r="D700">
        <v>70839158220</v>
      </c>
      <c r="E700">
        <v>4130829</v>
      </c>
      <c r="F700">
        <v>1004001159</v>
      </c>
      <c r="G700" s="1">
        <v>43024</v>
      </c>
      <c r="H700" t="s">
        <v>1360</v>
      </c>
      <c r="I700" t="s">
        <v>1374</v>
      </c>
      <c r="J700" t="s">
        <v>2308</v>
      </c>
      <c r="K700" t="s">
        <v>2313</v>
      </c>
      <c r="L700" t="s">
        <v>2305</v>
      </c>
      <c r="M700" t="s">
        <v>1447</v>
      </c>
      <c r="N700" t="s">
        <v>1448</v>
      </c>
      <c r="O700" t="s">
        <v>1411</v>
      </c>
      <c r="P700" t="s">
        <v>1411</v>
      </c>
      <c r="Q700" t="s">
        <v>1412</v>
      </c>
      <c r="S700" s="1">
        <v>46043</v>
      </c>
      <c r="W700" s="1">
        <v>29088</v>
      </c>
      <c r="X700" t="s">
        <v>2288</v>
      </c>
      <c r="Y700" t="s">
        <v>2553</v>
      </c>
      <c r="Z700" t="s">
        <v>2532</v>
      </c>
      <c r="AA700" t="s">
        <v>1415</v>
      </c>
      <c r="AB700" t="s">
        <v>4533</v>
      </c>
      <c r="AC700">
        <v>91993744755</v>
      </c>
    </row>
    <row r="701" spans="1:29" x14ac:dyDescent="0.3">
      <c r="A701" t="s">
        <v>1405</v>
      </c>
      <c r="B701" t="s">
        <v>2302</v>
      </c>
      <c r="C701" t="s">
        <v>4534</v>
      </c>
      <c r="D701">
        <v>9482851765</v>
      </c>
      <c r="E701">
        <v>14326</v>
      </c>
      <c r="F701">
        <v>1004010456</v>
      </c>
      <c r="G701" s="1">
        <v>44782</v>
      </c>
      <c r="H701" t="s">
        <v>1360</v>
      </c>
      <c r="I701" t="s">
        <v>1374</v>
      </c>
      <c r="J701" t="s">
        <v>1361</v>
      </c>
      <c r="K701" t="s">
        <v>2308</v>
      </c>
      <c r="L701" t="s">
        <v>2305</v>
      </c>
      <c r="M701" t="s">
        <v>1409</v>
      </c>
      <c r="N701" t="s">
        <v>1410</v>
      </c>
      <c r="O701" t="s">
        <v>1411</v>
      </c>
      <c r="P701" t="s">
        <v>1411</v>
      </c>
      <c r="Q701" t="s">
        <v>1412</v>
      </c>
      <c r="S701" s="1">
        <v>46043</v>
      </c>
      <c r="W701" s="1">
        <v>30197</v>
      </c>
      <c r="X701" t="s">
        <v>4535</v>
      </c>
      <c r="Z701" t="s">
        <v>3367</v>
      </c>
      <c r="AA701" t="s">
        <v>1415</v>
      </c>
      <c r="AB701" t="s">
        <v>4536</v>
      </c>
      <c r="AC701">
        <v>21964180942</v>
      </c>
    </row>
    <row r="702" spans="1:29" x14ac:dyDescent="0.3">
      <c r="A702" t="s">
        <v>1405</v>
      </c>
      <c r="B702" t="s">
        <v>2302</v>
      </c>
      <c r="C702" t="s">
        <v>4537</v>
      </c>
      <c r="D702">
        <v>26763634846</v>
      </c>
      <c r="E702">
        <v>278697082</v>
      </c>
      <c r="F702">
        <v>1004011314</v>
      </c>
      <c r="G702" s="1">
        <v>44984</v>
      </c>
      <c r="H702" t="s">
        <v>1360</v>
      </c>
      <c r="I702" t="s">
        <v>1374</v>
      </c>
      <c r="J702" t="s">
        <v>2572</v>
      </c>
      <c r="K702" t="s">
        <v>2573</v>
      </c>
      <c r="L702" t="s">
        <v>2305</v>
      </c>
      <c r="M702" t="s">
        <v>1421</v>
      </c>
      <c r="N702" t="s">
        <v>1448</v>
      </c>
      <c r="O702" t="s">
        <v>1423</v>
      </c>
      <c r="P702" t="s">
        <v>1423</v>
      </c>
      <c r="Q702" t="s">
        <v>1412</v>
      </c>
      <c r="S702" s="1">
        <v>46043</v>
      </c>
      <c r="W702" s="1">
        <v>29138</v>
      </c>
      <c r="X702" t="s">
        <v>1510</v>
      </c>
      <c r="Y702" t="s">
        <v>2336</v>
      </c>
      <c r="Z702" t="s">
        <v>4538</v>
      </c>
      <c r="AA702" t="s">
        <v>1415</v>
      </c>
      <c r="AB702" t="s">
        <v>1113</v>
      </c>
      <c r="AC702">
        <v>11996655603</v>
      </c>
    </row>
    <row r="703" spans="1:29" x14ac:dyDescent="0.3">
      <c r="A703" t="s">
        <v>1405</v>
      </c>
      <c r="B703" t="s">
        <v>2302</v>
      </c>
      <c r="C703" t="s">
        <v>4539</v>
      </c>
      <c r="D703">
        <v>73194247115</v>
      </c>
      <c r="E703">
        <v>16027442</v>
      </c>
      <c r="F703">
        <v>1004009347</v>
      </c>
      <c r="G703" s="1">
        <v>44616</v>
      </c>
      <c r="H703" t="s">
        <v>1360</v>
      </c>
      <c r="I703" t="s">
        <v>1374</v>
      </c>
      <c r="J703" t="s">
        <v>1361</v>
      </c>
      <c r="K703" t="s">
        <v>2308</v>
      </c>
      <c r="L703" t="s">
        <v>2305</v>
      </c>
      <c r="M703" t="s">
        <v>1447</v>
      </c>
      <c r="N703" t="s">
        <v>1448</v>
      </c>
      <c r="O703" t="s">
        <v>1423</v>
      </c>
      <c r="P703" t="s">
        <v>1423</v>
      </c>
      <c r="Q703" t="s">
        <v>1412</v>
      </c>
      <c r="S703" s="1">
        <v>46043</v>
      </c>
      <c r="W703" s="1">
        <v>31956</v>
      </c>
      <c r="X703" t="s">
        <v>1589</v>
      </c>
      <c r="Y703" t="s">
        <v>1590</v>
      </c>
      <c r="Z703" t="s">
        <v>2333</v>
      </c>
      <c r="AA703" t="s">
        <v>1415</v>
      </c>
      <c r="AB703" t="s">
        <v>4540</v>
      </c>
      <c r="AC703">
        <v>66999094141</v>
      </c>
    </row>
    <row r="704" spans="1:29" x14ac:dyDescent="0.3">
      <c r="A704" t="s">
        <v>1405</v>
      </c>
      <c r="B704" t="s">
        <v>2302</v>
      </c>
      <c r="C704" t="s">
        <v>4541</v>
      </c>
      <c r="D704">
        <v>18553842053</v>
      </c>
      <c r="E704">
        <v>1015898495</v>
      </c>
      <c r="F704">
        <v>1004001402</v>
      </c>
      <c r="G704" s="1">
        <v>43152</v>
      </c>
      <c r="H704" t="s">
        <v>1360</v>
      </c>
      <c r="I704" t="s">
        <v>1374</v>
      </c>
      <c r="J704" t="s">
        <v>2308</v>
      </c>
      <c r="K704" t="s">
        <v>2313</v>
      </c>
      <c r="L704" t="s">
        <v>2305</v>
      </c>
      <c r="M704" t="s">
        <v>1442</v>
      </c>
      <c r="N704" t="s">
        <v>1443</v>
      </c>
      <c r="O704" t="s">
        <v>1423</v>
      </c>
      <c r="P704" t="s">
        <v>1423</v>
      </c>
      <c r="Q704" t="s">
        <v>1412</v>
      </c>
      <c r="S704" s="1">
        <v>46043</v>
      </c>
      <c r="W704" s="1">
        <v>19328</v>
      </c>
      <c r="X704" t="s">
        <v>1906</v>
      </c>
      <c r="Z704" t="s">
        <v>2378</v>
      </c>
      <c r="AA704" t="s">
        <v>1415</v>
      </c>
      <c r="AB704" t="s">
        <v>4542</v>
      </c>
    </row>
    <row r="705" spans="1:29" x14ac:dyDescent="0.3">
      <c r="A705" t="s">
        <v>1405</v>
      </c>
      <c r="B705" t="s">
        <v>2302</v>
      </c>
      <c r="C705" t="s">
        <v>4543</v>
      </c>
      <c r="D705">
        <v>91718686234</v>
      </c>
      <c r="E705">
        <v>6776958</v>
      </c>
      <c r="F705">
        <v>1004015412</v>
      </c>
      <c r="G705" s="1">
        <v>45509</v>
      </c>
      <c r="H705" t="s">
        <v>1360</v>
      </c>
      <c r="I705" t="s">
        <v>1374</v>
      </c>
      <c r="J705" t="s">
        <v>2348</v>
      </c>
      <c r="K705" t="s">
        <v>2308</v>
      </c>
      <c r="L705" t="s">
        <v>2305</v>
      </c>
      <c r="M705" t="s">
        <v>1409</v>
      </c>
      <c r="N705" t="s">
        <v>1410</v>
      </c>
      <c r="O705" t="s">
        <v>1411</v>
      </c>
      <c r="P705" t="s">
        <v>1411</v>
      </c>
      <c r="Q705" t="s">
        <v>1412</v>
      </c>
      <c r="S705" s="1">
        <v>46043</v>
      </c>
      <c r="W705" s="1">
        <v>34377</v>
      </c>
      <c r="X705" t="s">
        <v>1492</v>
      </c>
      <c r="Z705" t="s">
        <v>3256</v>
      </c>
      <c r="AA705" t="s">
        <v>1419</v>
      </c>
      <c r="AB705" t="s">
        <v>4544</v>
      </c>
      <c r="AC705">
        <v>91984059018</v>
      </c>
    </row>
    <row r="706" spans="1:29" x14ac:dyDescent="0.3">
      <c r="A706" t="s">
        <v>1405</v>
      </c>
      <c r="B706" t="s">
        <v>2302</v>
      </c>
      <c r="C706" t="s">
        <v>4545</v>
      </c>
      <c r="D706">
        <v>33586098049</v>
      </c>
      <c r="E706">
        <v>8017484414</v>
      </c>
      <c r="F706">
        <v>1004009339</v>
      </c>
      <c r="G706" s="1">
        <v>44618</v>
      </c>
      <c r="H706" t="s">
        <v>1360</v>
      </c>
      <c r="I706" t="s">
        <v>1374</v>
      </c>
      <c r="J706" t="s">
        <v>1361</v>
      </c>
      <c r="K706" t="s">
        <v>2308</v>
      </c>
      <c r="L706" t="s">
        <v>2305</v>
      </c>
      <c r="M706" t="s">
        <v>1409</v>
      </c>
      <c r="N706" t="s">
        <v>1410</v>
      </c>
      <c r="O706" t="s">
        <v>1423</v>
      </c>
      <c r="P706" t="s">
        <v>1423</v>
      </c>
      <c r="Q706" t="s">
        <v>1593</v>
      </c>
      <c r="R706" t="s">
        <v>3745</v>
      </c>
      <c r="S706" s="1">
        <v>46043</v>
      </c>
      <c r="W706" s="1">
        <v>22443</v>
      </c>
      <c r="X706" t="s">
        <v>1469</v>
      </c>
      <c r="Y706" t="s">
        <v>2977</v>
      </c>
      <c r="Z706" t="s">
        <v>3143</v>
      </c>
      <c r="AA706" t="s">
        <v>1419</v>
      </c>
      <c r="AB706" t="s">
        <v>4546</v>
      </c>
      <c r="AC706">
        <v>51996263393</v>
      </c>
    </row>
    <row r="707" spans="1:29" x14ac:dyDescent="0.3">
      <c r="A707" t="s">
        <v>1405</v>
      </c>
      <c r="B707" t="s">
        <v>2302</v>
      </c>
      <c r="C707" t="s">
        <v>4547</v>
      </c>
      <c r="D707">
        <v>112111130</v>
      </c>
      <c r="E707">
        <v>4591660</v>
      </c>
      <c r="F707">
        <v>1004015619</v>
      </c>
      <c r="G707" s="1">
        <v>45537</v>
      </c>
      <c r="H707" t="s">
        <v>1360</v>
      </c>
      <c r="I707" t="s">
        <v>1349</v>
      </c>
      <c r="J707" t="s">
        <v>2348</v>
      </c>
      <c r="K707" t="s">
        <v>2308</v>
      </c>
      <c r="L707" t="s">
        <v>2305</v>
      </c>
      <c r="M707" t="s">
        <v>1421</v>
      </c>
      <c r="N707" t="s">
        <v>1422</v>
      </c>
      <c r="O707" t="s">
        <v>1423</v>
      </c>
      <c r="P707" t="s">
        <v>1417</v>
      </c>
      <c r="Q707" t="s">
        <v>1412</v>
      </c>
      <c r="S707" s="1">
        <v>46057</v>
      </c>
      <c r="V707" s="1">
        <v>46055</v>
      </c>
      <c r="W707" s="1">
        <v>30444</v>
      </c>
      <c r="X707" t="s">
        <v>4548</v>
      </c>
      <c r="Z707" t="s">
        <v>2536</v>
      </c>
      <c r="AA707" t="s">
        <v>1419</v>
      </c>
      <c r="AB707" t="s">
        <v>4549</v>
      </c>
      <c r="AC707">
        <v>62992577617</v>
      </c>
    </row>
    <row r="708" spans="1:29" x14ac:dyDescent="0.3">
      <c r="A708" t="s">
        <v>1405</v>
      </c>
      <c r="B708" t="s">
        <v>2302</v>
      </c>
      <c r="C708" t="s">
        <v>4550</v>
      </c>
      <c r="D708">
        <v>72022949234</v>
      </c>
      <c r="E708">
        <v>13432869</v>
      </c>
      <c r="F708">
        <v>1004007436</v>
      </c>
      <c r="G708" s="1">
        <v>44258</v>
      </c>
      <c r="H708" t="s">
        <v>1360</v>
      </c>
      <c r="I708" t="s">
        <v>1374</v>
      </c>
      <c r="J708" t="s">
        <v>2308</v>
      </c>
      <c r="K708" t="s">
        <v>2313</v>
      </c>
      <c r="L708" t="s">
        <v>2305</v>
      </c>
      <c r="M708" t="s">
        <v>1409</v>
      </c>
      <c r="N708" t="s">
        <v>1410</v>
      </c>
      <c r="O708" t="s">
        <v>1411</v>
      </c>
      <c r="P708" t="s">
        <v>1411</v>
      </c>
      <c r="Q708" t="s">
        <v>1412</v>
      </c>
      <c r="S708" s="1">
        <v>46043</v>
      </c>
      <c r="W708" s="1">
        <v>28533</v>
      </c>
      <c r="X708" t="s">
        <v>4551</v>
      </c>
      <c r="Y708" t="s">
        <v>4552</v>
      </c>
      <c r="Z708" t="s">
        <v>2997</v>
      </c>
      <c r="AA708" t="s">
        <v>1419</v>
      </c>
      <c r="AB708" t="s">
        <v>4553</v>
      </c>
      <c r="AC708">
        <v>929992184307</v>
      </c>
    </row>
    <row r="709" spans="1:29" x14ac:dyDescent="0.3">
      <c r="A709" t="s">
        <v>1405</v>
      </c>
      <c r="B709" t="s">
        <v>2302</v>
      </c>
      <c r="C709" t="s">
        <v>4554</v>
      </c>
      <c r="D709">
        <v>77250486349</v>
      </c>
      <c r="E709">
        <v>10069925</v>
      </c>
      <c r="F709">
        <v>1004012115</v>
      </c>
      <c r="G709" s="1">
        <v>45063</v>
      </c>
      <c r="H709" t="s">
        <v>1360</v>
      </c>
      <c r="I709" t="s">
        <v>1374</v>
      </c>
      <c r="J709" t="s">
        <v>1361</v>
      </c>
      <c r="K709" t="s">
        <v>2308</v>
      </c>
      <c r="L709" t="s">
        <v>2305</v>
      </c>
      <c r="M709" t="s">
        <v>1421</v>
      </c>
      <c r="N709" t="s">
        <v>1422</v>
      </c>
      <c r="O709" t="s">
        <v>1411</v>
      </c>
      <c r="P709" t="s">
        <v>1411</v>
      </c>
      <c r="Q709" t="s">
        <v>1412</v>
      </c>
      <c r="S709" s="1">
        <v>46069</v>
      </c>
      <c r="W709" s="1">
        <v>27744</v>
      </c>
      <c r="X709" t="s">
        <v>1519</v>
      </c>
      <c r="Z709" t="s">
        <v>2482</v>
      </c>
      <c r="AA709" t="s">
        <v>1415</v>
      </c>
      <c r="AB709" t="s">
        <v>4555</v>
      </c>
      <c r="AC709">
        <v>98999115257</v>
      </c>
    </row>
    <row r="710" spans="1:29" x14ac:dyDescent="0.3">
      <c r="A710" t="s">
        <v>1405</v>
      </c>
      <c r="B710" t="s">
        <v>2302</v>
      </c>
      <c r="C710" t="s">
        <v>4556</v>
      </c>
      <c r="D710">
        <v>9584911430</v>
      </c>
      <c r="E710">
        <v>3478666</v>
      </c>
      <c r="F710">
        <v>1004010139</v>
      </c>
      <c r="G710" s="1">
        <v>44716</v>
      </c>
      <c r="H710" t="s">
        <v>1360</v>
      </c>
      <c r="I710" t="s">
        <v>1349</v>
      </c>
      <c r="J710" t="s">
        <v>1361</v>
      </c>
      <c r="K710" t="s">
        <v>2308</v>
      </c>
      <c r="L710" t="s">
        <v>2305</v>
      </c>
      <c r="M710" t="s">
        <v>1409</v>
      </c>
      <c r="N710" t="s">
        <v>1410</v>
      </c>
      <c r="O710" t="s">
        <v>1411</v>
      </c>
      <c r="P710" t="s">
        <v>1411</v>
      </c>
      <c r="Q710" t="s">
        <v>1412</v>
      </c>
      <c r="S710" s="1">
        <v>46064</v>
      </c>
      <c r="V710" s="1">
        <v>46062</v>
      </c>
      <c r="W710" s="1">
        <v>33321</v>
      </c>
      <c r="X710" t="s">
        <v>3538</v>
      </c>
      <c r="Y710" t="s">
        <v>3185</v>
      </c>
      <c r="Z710" t="s">
        <v>3186</v>
      </c>
      <c r="AA710" t="s">
        <v>1419</v>
      </c>
      <c r="AB710" t="s">
        <v>4557</v>
      </c>
      <c r="AC710">
        <v>83991228421</v>
      </c>
    </row>
    <row r="711" spans="1:29" x14ac:dyDescent="0.3">
      <c r="A711" t="s">
        <v>1405</v>
      </c>
      <c r="B711" t="s">
        <v>2302</v>
      </c>
      <c r="C711" t="s">
        <v>4558</v>
      </c>
      <c r="D711">
        <v>4264531900</v>
      </c>
      <c r="E711">
        <v>4233382</v>
      </c>
      <c r="F711">
        <v>1004007500</v>
      </c>
      <c r="G711" s="1">
        <v>44263</v>
      </c>
      <c r="H711" t="s">
        <v>1360</v>
      </c>
      <c r="I711" t="s">
        <v>1349</v>
      </c>
      <c r="J711" t="s">
        <v>2308</v>
      </c>
      <c r="K711" t="s">
        <v>2313</v>
      </c>
      <c r="L711" t="s">
        <v>2305</v>
      </c>
      <c r="M711" t="s">
        <v>1409</v>
      </c>
      <c r="N711" t="s">
        <v>1410</v>
      </c>
      <c r="O711" t="s">
        <v>1423</v>
      </c>
      <c r="P711" t="s">
        <v>1423</v>
      </c>
      <c r="Q711" t="s">
        <v>1412</v>
      </c>
      <c r="S711" s="1">
        <v>46057</v>
      </c>
      <c r="V711" s="1">
        <v>46055</v>
      </c>
      <c r="W711" s="1">
        <v>30917</v>
      </c>
      <c r="X711" t="s">
        <v>4559</v>
      </c>
      <c r="Y711" t="s">
        <v>4560</v>
      </c>
      <c r="Z711" t="s">
        <v>4561</v>
      </c>
      <c r="AA711" t="s">
        <v>1415</v>
      </c>
      <c r="AB711" t="s">
        <v>4562</v>
      </c>
      <c r="AC711">
        <v>47999851303</v>
      </c>
    </row>
    <row r="712" spans="1:29" x14ac:dyDescent="0.3">
      <c r="A712" t="s">
        <v>1405</v>
      </c>
      <c r="B712" t="s">
        <v>2302</v>
      </c>
      <c r="C712" t="s">
        <v>4563</v>
      </c>
      <c r="D712">
        <v>3601395908</v>
      </c>
      <c r="E712">
        <v>4639403</v>
      </c>
      <c r="F712">
        <v>1004014226</v>
      </c>
      <c r="G712" s="1">
        <v>45369</v>
      </c>
      <c r="H712" t="s">
        <v>1360</v>
      </c>
      <c r="I712" t="s">
        <v>1374</v>
      </c>
      <c r="J712" t="s">
        <v>1361</v>
      </c>
      <c r="K712" t="s">
        <v>2308</v>
      </c>
      <c r="L712" t="s">
        <v>2305</v>
      </c>
      <c r="M712" t="s">
        <v>1409</v>
      </c>
      <c r="N712" t="s">
        <v>1410</v>
      </c>
      <c r="O712" t="s">
        <v>1423</v>
      </c>
      <c r="P712" t="s">
        <v>1423</v>
      </c>
      <c r="Q712" t="s">
        <v>1412</v>
      </c>
      <c r="S712" s="1">
        <v>46043</v>
      </c>
      <c r="W712" s="1">
        <v>30576</v>
      </c>
      <c r="X712" t="s">
        <v>3146</v>
      </c>
      <c r="Y712" t="s">
        <v>3147</v>
      </c>
      <c r="Z712" t="s">
        <v>4564</v>
      </c>
      <c r="AA712" t="s">
        <v>1419</v>
      </c>
      <c r="AB712" t="s">
        <v>4565</v>
      </c>
      <c r="AC712">
        <v>47984402550</v>
      </c>
    </row>
    <row r="713" spans="1:29" x14ac:dyDescent="0.3">
      <c r="A713" t="s">
        <v>1405</v>
      </c>
      <c r="B713" t="s">
        <v>2302</v>
      </c>
      <c r="C713" t="s">
        <v>4566</v>
      </c>
      <c r="D713">
        <v>2923738306</v>
      </c>
      <c r="E713">
        <v>2746800</v>
      </c>
      <c r="F713">
        <v>1004021575</v>
      </c>
      <c r="G713" s="1">
        <v>46084</v>
      </c>
      <c r="H713" t="s">
        <v>1360</v>
      </c>
      <c r="I713" t="s">
        <v>1374</v>
      </c>
      <c r="J713" t="s">
        <v>2308</v>
      </c>
      <c r="K713" t="s">
        <v>2313</v>
      </c>
      <c r="L713" t="s">
        <v>2305</v>
      </c>
      <c r="M713" t="s">
        <v>1409</v>
      </c>
      <c r="N713" t="s">
        <v>1410</v>
      </c>
      <c r="O713" t="s">
        <v>1411</v>
      </c>
      <c r="P713" t="s">
        <v>1411</v>
      </c>
      <c r="Q713" t="s">
        <v>1412</v>
      </c>
      <c r="S713" s="1">
        <v>46085</v>
      </c>
      <c r="W713" s="1">
        <v>32160</v>
      </c>
      <c r="X713" t="s">
        <v>4567</v>
      </c>
      <c r="Y713" t="s">
        <v>4568</v>
      </c>
      <c r="Z713" t="s">
        <v>2891</v>
      </c>
      <c r="AA713" t="s">
        <v>1415</v>
      </c>
      <c r="AB713" t="s">
        <v>4569</v>
      </c>
      <c r="AC713">
        <v>89999742463</v>
      </c>
    </row>
    <row r="714" spans="1:29" x14ac:dyDescent="0.3">
      <c r="A714" t="s">
        <v>1405</v>
      </c>
      <c r="B714" t="s">
        <v>2302</v>
      </c>
      <c r="C714" t="s">
        <v>4570</v>
      </c>
      <c r="D714">
        <v>1643686127</v>
      </c>
      <c r="E714">
        <v>18263160</v>
      </c>
      <c r="F714">
        <v>1004015499</v>
      </c>
      <c r="G714" s="1">
        <v>45520</v>
      </c>
      <c r="H714" t="s">
        <v>1360</v>
      </c>
      <c r="I714" t="s">
        <v>1374</v>
      </c>
      <c r="J714" t="s">
        <v>2348</v>
      </c>
      <c r="K714" t="s">
        <v>2308</v>
      </c>
      <c r="L714" t="s">
        <v>2305</v>
      </c>
      <c r="M714" t="s">
        <v>1409</v>
      </c>
      <c r="N714" t="s">
        <v>1410</v>
      </c>
      <c r="O714" t="s">
        <v>1411</v>
      </c>
      <c r="P714" t="s">
        <v>1411</v>
      </c>
      <c r="Q714" t="s">
        <v>1412</v>
      </c>
      <c r="S714" s="1">
        <v>46043</v>
      </c>
      <c r="W714" s="1">
        <v>32307</v>
      </c>
      <c r="X714" t="s">
        <v>4571</v>
      </c>
      <c r="Y714" t="s">
        <v>4572</v>
      </c>
      <c r="Z714" t="s">
        <v>4573</v>
      </c>
      <c r="AA714" t="s">
        <v>1419</v>
      </c>
      <c r="AB714" t="s">
        <v>4574</v>
      </c>
      <c r="AC714">
        <v>66996217604</v>
      </c>
    </row>
    <row r="715" spans="1:29" x14ac:dyDescent="0.3">
      <c r="A715" t="s">
        <v>1405</v>
      </c>
      <c r="B715" t="s">
        <v>2302</v>
      </c>
      <c r="C715" t="s">
        <v>4575</v>
      </c>
      <c r="D715">
        <v>71799184234</v>
      </c>
      <c r="E715">
        <v>17049369</v>
      </c>
      <c r="F715">
        <v>1004007631</v>
      </c>
      <c r="G715" s="1">
        <v>44291</v>
      </c>
      <c r="H715" t="s">
        <v>1360</v>
      </c>
      <c r="I715" t="s">
        <v>1374</v>
      </c>
      <c r="J715" t="s">
        <v>2308</v>
      </c>
      <c r="K715" t="s">
        <v>2313</v>
      </c>
      <c r="L715" t="s">
        <v>2305</v>
      </c>
      <c r="M715" t="s">
        <v>1409</v>
      </c>
      <c r="N715" t="s">
        <v>1410</v>
      </c>
      <c r="O715" t="s">
        <v>1423</v>
      </c>
      <c r="P715" t="s">
        <v>1423</v>
      </c>
      <c r="Q715" t="s">
        <v>1412</v>
      </c>
      <c r="S715" s="1">
        <v>46043</v>
      </c>
      <c r="W715" s="1">
        <v>29942</v>
      </c>
      <c r="X715" t="s">
        <v>1825</v>
      </c>
      <c r="Y715" t="s">
        <v>1920</v>
      </c>
      <c r="Z715" t="s">
        <v>4334</v>
      </c>
      <c r="AA715" t="s">
        <v>1419</v>
      </c>
      <c r="AB715" t="s">
        <v>4576</v>
      </c>
      <c r="AC715">
        <v>92984705156</v>
      </c>
    </row>
    <row r="716" spans="1:29" x14ac:dyDescent="0.3">
      <c r="A716" t="s">
        <v>1405</v>
      </c>
      <c r="B716" t="s">
        <v>2302</v>
      </c>
      <c r="C716" t="s">
        <v>4577</v>
      </c>
      <c r="D716">
        <v>1722748508</v>
      </c>
      <c r="E716">
        <v>1472789</v>
      </c>
      <c r="F716">
        <v>1004002749</v>
      </c>
      <c r="G716" s="1">
        <v>43383</v>
      </c>
      <c r="H716" t="s">
        <v>1360</v>
      </c>
      <c r="I716" t="s">
        <v>1374</v>
      </c>
      <c r="J716" t="s">
        <v>2308</v>
      </c>
      <c r="K716" t="s">
        <v>2313</v>
      </c>
      <c r="L716" t="s">
        <v>2305</v>
      </c>
      <c r="M716" t="s">
        <v>1409</v>
      </c>
      <c r="N716" t="s">
        <v>1410</v>
      </c>
      <c r="O716" t="s">
        <v>1411</v>
      </c>
      <c r="P716" t="s">
        <v>1411</v>
      </c>
      <c r="Q716" t="s">
        <v>1593</v>
      </c>
      <c r="R716" t="s">
        <v>2417</v>
      </c>
      <c r="S716" s="1">
        <v>46043</v>
      </c>
      <c r="W716" s="1">
        <v>29169</v>
      </c>
      <c r="X716" t="s">
        <v>4578</v>
      </c>
      <c r="Y716" t="s">
        <v>4579</v>
      </c>
      <c r="Z716" t="s">
        <v>4580</v>
      </c>
      <c r="AA716" t="s">
        <v>1419</v>
      </c>
      <c r="AB716" t="s">
        <v>4581</v>
      </c>
      <c r="AC716">
        <v>79981226119</v>
      </c>
    </row>
    <row r="717" spans="1:29" x14ac:dyDescent="0.3">
      <c r="A717" t="s">
        <v>1405</v>
      </c>
      <c r="B717" t="s">
        <v>2302</v>
      </c>
      <c r="C717" t="s">
        <v>4582</v>
      </c>
      <c r="D717">
        <v>99577178391</v>
      </c>
      <c r="E717">
        <v>2001002051280</v>
      </c>
      <c r="F717">
        <v>1004005373</v>
      </c>
      <c r="G717" s="1">
        <v>43880</v>
      </c>
      <c r="H717" t="s">
        <v>1360</v>
      </c>
      <c r="I717" t="s">
        <v>1349</v>
      </c>
      <c r="J717" t="s">
        <v>2308</v>
      </c>
      <c r="K717" t="s">
        <v>2313</v>
      </c>
      <c r="L717" t="s">
        <v>2305</v>
      </c>
      <c r="M717" t="s">
        <v>1409</v>
      </c>
      <c r="N717" t="s">
        <v>1410</v>
      </c>
      <c r="O717" t="s">
        <v>1411</v>
      </c>
      <c r="P717" t="s">
        <v>1423</v>
      </c>
      <c r="Q717" t="s">
        <v>1412</v>
      </c>
      <c r="S717" s="1">
        <v>45860</v>
      </c>
      <c r="V717" s="1">
        <v>45864</v>
      </c>
      <c r="W717" s="1">
        <v>30329</v>
      </c>
      <c r="X717" t="s">
        <v>1507</v>
      </c>
      <c r="Y717" t="s">
        <v>2786</v>
      </c>
      <c r="Z717" t="s">
        <v>2506</v>
      </c>
      <c r="AA717" t="s">
        <v>1419</v>
      </c>
      <c r="AB717" t="s">
        <v>4583</v>
      </c>
      <c r="AC717">
        <v>88996191282</v>
      </c>
    </row>
    <row r="718" spans="1:29" x14ac:dyDescent="0.3">
      <c r="A718" t="s">
        <v>1405</v>
      </c>
      <c r="B718" t="s">
        <v>2302</v>
      </c>
      <c r="C718" t="s">
        <v>4584</v>
      </c>
      <c r="D718">
        <v>9070629704</v>
      </c>
      <c r="E718">
        <v>124055666</v>
      </c>
      <c r="F718">
        <v>1004010901</v>
      </c>
      <c r="G718" s="1">
        <v>44840</v>
      </c>
      <c r="H718" t="s">
        <v>1360</v>
      </c>
      <c r="I718" t="s">
        <v>1349</v>
      </c>
      <c r="J718" t="s">
        <v>1361</v>
      </c>
      <c r="K718" t="s">
        <v>2308</v>
      </c>
      <c r="L718" t="s">
        <v>2305</v>
      </c>
      <c r="M718" t="s">
        <v>1421</v>
      </c>
      <c r="N718" t="s">
        <v>1422</v>
      </c>
      <c r="O718" t="s">
        <v>1423</v>
      </c>
      <c r="P718" t="s">
        <v>1423</v>
      </c>
      <c r="Q718" t="s">
        <v>1412</v>
      </c>
      <c r="S718" s="1">
        <v>45833</v>
      </c>
      <c r="V718" s="1">
        <v>45817</v>
      </c>
      <c r="W718" s="1">
        <v>29917</v>
      </c>
      <c r="X718" t="s">
        <v>1654</v>
      </c>
      <c r="Y718" t="s">
        <v>1655</v>
      </c>
      <c r="Z718" t="s">
        <v>4503</v>
      </c>
      <c r="AA718" t="s">
        <v>1419</v>
      </c>
      <c r="AB718" t="s">
        <v>4585</v>
      </c>
      <c r="AC718">
        <v>21980864109</v>
      </c>
    </row>
    <row r="719" spans="1:29" x14ac:dyDescent="0.3">
      <c r="A719" t="s">
        <v>1405</v>
      </c>
      <c r="B719" t="s">
        <v>2302</v>
      </c>
      <c r="C719" t="s">
        <v>4586</v>
      </c>
      <c r="D719">
        <v>3863968921</v>
      </c>
      <c r="E719" s="3">
        <v>3694293</v>
      </c>
      <c r="F719">
        <v>1004019588</v>
      </c>
      <c r="G719" s="1">
        <v>45901</v>
      </c>
      <c r="H719" t="s">
        <v>1360</v>
      </c>
      <c r="I719" t="s">
        <v>1374</v>
      </c>
      <c r="J719" t="s">
        <v>1361</v>
      </c>
      <c r="K719" t="s">
        <v>2308</v>
      </c>
      <c r="L719" t="s">
        <v>2305</v>
      </c>
      <c r="M719" t="s">
        <v>1409</v>
      </c>
      <c r="N719" t="s">
        <v>1410</v>
      </c>
      <c r="O719" t="s">
        <v>1423</v>
      </c>
      <c r="P719" t="s">
        <v>1423</v>
      </c>
      <c r="Q719" t="s">
        <v>1412</v>
      </c>
      <c r="S719" s="1">
        <v>46043</v>
      </c>
      <c r="W719" s="1">
        <v>29759</v>
      </c>
      <c r="X719" t="s">
        <v>1586</v>
      </c>
      <c r="Y719" t="s">
        <v>1752</v>
      </c>
      <c r="Z719" t="s">
        <v>2876</v>
      </c>
      <c r="AA719" t="s">
        <v>1419</v>
      </c>
      <c r="AB719" t="s">
        <v>4587</v>
      </c>
      <c r="AC719">
        <v>48984224311</v>
      </c>
    </row>
    <row r="720" spans="1:29" x14ac:dyDescent="0.3">
      <c r="A720" t="s">
        <v>1405</v>
      </c>
      <c r="B720" t="s">
        <v>2302</v>
      </c>
      <c r="C720" t="s">
        <v>4588</v>
      </c>
      <c r="D720">
        <v>86076922249</v>
      </c>
      <c r="E720">
        <v>4979836</v>
      </c>
      <c r="F720">
        <v>1004015342</v>
      </c>
      <c r="G720" s="1">
        <v>45513</v>
      </c>
      <c r="H720" t="s">
        <v>1360</v>
      </c>
      <c r="I720" t="s">
        <v>1374</v>
      </c>
      <c r="J720" t="s">
        <v>2348</v>
      </c>
      <c r="K720" t="s">
        <v>2308</v>
      </c>
      <c r="L720" t="s">
        <v>2305</v>
      </c>
      <c r="M720" t="s">
        <v>1409</v>
      </c>
      <c r="N720" t="s">
        <v>1410</v>
      </c>
      <c r="O720" t="s">
        <v>1411</v>
      </c>
      <c r="P720" t="s">
        <v>1417</v>
      </c>
      <c r="Q720" t="s">
        <v>1412</v>
      </c>
      <c r="S720" s="1">
        <v>46043</v>
      </c>
      <c r="W720" s="1">
        <v>30924</v>
      </c>
      <c r="X720" t="s">
        <v>2288</v>
      </c>
      <c r="Z720" t="s">
        <v>2532</v>
      </c>
      <c r="AA720" t="s">
        <v>1419</v>
      </c>
      <c r="AB720" t="s">
        <v>167</v>
      </c>
      <c r="AC720">
        <v>91993321863</v>
      </c>
    </row>
    <row r="721" spans="1:29" x14ac:dyDescent="0.3">
      <c r="A721" t="s">
        <v>1405</v>
      </c>
      <c r="B721" t="s">
        <v>2302</v>
      </c>
      <c r="C721" t="s">
        <v>4589</v>
      </c>
      <c r="D721">
        <v>94623546772</v>
      </c>
      <c r="E721">
        <v>74638776</v>
      </c>
      <c r="F721">
        <v>1004011474</v>
      </c>
      <c r="G721" s="1">
        <v>44986</v>
      </c>
      <c r="H721" t="s">
        <v>1360</v>
      </c>
      <c r="I721" t="s">
        <v>1349</v>
      </c>
      <c r="J721" t="s">
        <v>2348</v>
      </c>
      <c r="K721" t="s">
        <v>2308</v>
      </c>
      <c r="L721" t="s">
        <v>2305</v>
      </c>
      <c r="M721" t="s">
        <v>1421</v>
      </c>
      <c r="N721" t="s">
        <v>1410</v>
      </c>
      <c r="O721" t="s">
        <v>1423</v>
      </c>
      <c r="P721" t="s">
        <v>1423</v>
      </c>
      <c r="Q721" t="s">
        <v>1412</v>
      </c>
      <c r="S721" s="1">
        <v>46064</v>
      </c>
      <c r="V721" s="1">
        <v>46063</v>
      </c>
      <c r="W721" s="1">
        <v>24651</v>
      </c>
      <c r="X721" t="s">
        <v>2412</v>
      </c>
      <c r="Z721" t="s">
        <v>4590</v>
      </c>
      <c r="AA721" t="s">
        <v>1415</v>
      </c>
      <c r="AB721" t="s">
        <v>156</v>
      </c>
      <c r="AC721">
        <v>21975063191</v>
      </c>
    </row>
    <row r="722" spans="1:29" x14ac:dyDescent="0.3">
      <c r="A722" t="s">
        <v>1405</v>
      </c>
      <c r="B722" t="s">
        <v>2302</v>
      </c>
      <c r="C722" t="s">
        <v>4591</v>
      </c>
      <c r="D722">
        <v>4625465192</v>
      </c>
      <c r="E722" t="s">
        <v>4592</v>
      </c>
      <c r="F722">
        <v>1004020633</v>
      </c>
      <c r="G722" s="1">
        <v>45964</v>
      </c>
      <c r="H722" t="s">
        <v>1360</v>
      </c>
      <c r="I722" t="s">
        <v>1374</v>
      </c>
      <c r="J722" t="s">
        <v>1361</v>
      </c>
      <c r="K722" t="s">
        <v>2308</v>
      </c>
      <c r="L722" t="s">
        <v>2305</v>
      </c>
      <c r="M722" t="s">
        <v>1447</v>
      </c>
      <c r="N722" t="s">
        <v>1410</v>
      </c>
      <c r="O722" t="s">
        <v>1462</v>
      </c>
      <c r="P722" t="s">
        <v>1411</v>
      </c>
      <c r="Q722" t="s">
        <v>1412</v>
      </c>
      <c r="S722" s="1">
        <v>46069</v>
      </c>
      <c r="W722" s="1">
        <v>34965</v>
      </c>
      <c r="X722" t="s">
        <v>2509</v>
      </c>
      <c r="Y722" t="s">
        <v>2557</v>
      </c>
      <c r="Z722" t="s">
        <v>2306</v>
      </c>
      <c r="AA722" t="s">
        <v>1415</v>
      </c>
      <c r="AB722" t="s">
        <v>4593</v>
      </c>
      <c r="AC722">
        <v>679999640401</v>
      </c>
    </row>
    <row r="723" spans="1:29" x14ac:dyDescent="0.3">
      <c r="A723" t="s">
        <v>1405</v>
      </c>
      <c r="B723" t="s">
        <v>2302</v>
      </c>
      <c r="C723" t="s">
        <v>4594</v>
      </c>
      <c r="D723">
        <v>2111161225</v>
      </c>
      <c r="E723">
        <v>6477406</v>
      </c>
      <c r="F723">
        <v>1004001574</v>
      </c>
      <c r="G723" s="1">
        <v>43178</v>
      </c>
      <c r="H723" t="s">
        <v>1360</v>
      </c>
      <c r="I723" t="s">
        <v>1349</v>
      </c>
      <c r="J723" t="s">
        <v>2308</v>
      </c>
      <c r="K723" t="s">
        <v>2313</v>
      </c>
      <c r="L723" t="s">
        <v>2305</v>
      </c>
      <c r="M723" t="s">
        <v>1421</v>
      </c>
      <c r="N723" t="s">
        <v>1422</v>
      </c>
      <c r="O723" t="s">
        <v>1423</v>
      </c>
      <c r="P723" t="s">
        <v>1423</v>
      </c>
      <c r="Q723" t="s">
        <v>1412</v>
      </c>
      <c r="S723" s="1">
        <v>45880</v>
      </c>
      <c r="V723" s="1">
        <v>45875</v>
      </c>
      <c r="W723" s="1">
        <v>34472</v>
      </c>
      <c r="X723" t="s">
        <v>2240</v>
      </c>
      <c r="Y723" t="s">
        <v>2769</v>
      </c>
      <c r="Z723" t="s">
        <v>2770</v>
      </c>
      <c r="AA723" t="s">
        <v>1419</v>
      </c>
      <c r="AB723" t="s">
        <v>4595</v>
      </c>
      <c r="AC723">
        <v>94991061553</v>
      </c>
    </row>
    <row r="724" spans="1:29" x14ac:dyDescent="0.3">
      <c r="A724" t="s">
        <v>1405</v>
      </c>
      <c r="B724" t="s">
        <v>2302</v>
      </c>
      <c r="C724" t="s">
        <v>4596</v>
      </c>
      <c r="D724">
        <v>89123620200</v>
      </c>
      <c r="E724">
        <v>5183915</v>
      </c>
      <c r="F724">
        <v>1004014552</v>
      </c>
      <c r="G724" s="1">
        <v>45397</v>
      </c>
      <c r="H724" t="s">
        <v>1360</v>
      </c>
      <c r="I724" t="s">
        <v>1349</v>
      </c>
      <c r="J724" t="s">
        <v>1361</v>
      </c>
      <c r="K724" t="s">
        <v>2308</v>
      </c>
      <c r="L724" t="s">
        <v>2305</v>
      </c>
      <c r="M724" t="s">
        <v>1409</v>
      </c>
      <c r="N724" t="s">
        <v>1410</v>
      </c>
      <c r="O724" t="s">
        <v>1411</v>
      </c>
      <c r="P724" t="s">
        <v>1417</v>
      </c>
      <c r="Q724" t="s">
        <v>1412</v>
      </c>
      <c r="S724" s="1">
        <v>45874</v>
      </c>
      <c r="V724" s="1">
        <v>45870</v>
      </c>
      <c r="W724" s="1">
        <v>30978</v>
      </c>
      <c r="X724" t="s">
        <v>1492</v>
      </c>
      <c r="Z724" t="s">
        <v>2541</v>
      </c>
      <c r="AA724" t="s">
        <v>1419</v>
      </c>
      <c r="AB724" t="s">
        <v>4597</v>
      </c>
      <c r="AC724">
        <v>91989251728</v>
      </c>
    </row>
    <row r="725" spans="1:29" x14ac:dyDescent="0.3">
      <c r="A725" t="s">
        <v>1405</v>
      </c>
      <c r="B725" t="s">
        <v>2302</v>
      </c>
      <c r="C725" t="s">
        <v>4598</v>
      </c>
      <c r="D725">
        <v>1915714745</v>
      </c>
      <c r="E725">
        <v>69767838</v>
      </c>
      <c r="F725">
        <v>1004005651</v>
      </c>
      <c r="G725" s="1">
        <v>43907</v>
      </c>
      <c r="H725" t="s">
        <v>1360</v>
      </c>
      <c r="I725" t="s">
        <v>1374</v>
      </c>
      <c r="J725" t="s">
        <v>2308</v>
      </c>
      <c r="K725" t="s">
        <v>2313</v>
      </c>
      <c r="L725" t="s">
        <v>2305</v>
      </c>
      <c r="M725" t="s">
        <v>1409</v>
      </c>
      <c r="N725" t="s">
        <v>1410</v>
      </c>
      <c r="O725" t="s">
        <v>1423</v>
      </c>
      <c r="P725" t="s">
        <v>1423</v>
      </c>
      <c r="Q725" t="s">
        <v>1412</v>
      </c>
      <c r="S725" s="1">
        <v>46043</v>
      </c>
      <c r="W725" s="1">
        <v>24418</v>
      </c>
      <c r="X725" t="s">
        <v>2412</v>
      </c>
      <c r="Y725" t="s">
        <v>4599</v>
      </c>
      <c r="Z725" t="s">
        <v>2414</v>
      </c>
      <c r="AA725" t="s">
        <v>1419</v>
      </c>
      <c r="AB725" t="s">
        <v>4600</v>
      </c>
      <c r="AC725">
        <v>21983245661</v>
      </c>
    </row>
    <row r="726" spans="1:29" x14ac:dyDescent="0.3">
      <c r="A726" t="s">
        <v>1405</v>
      </c>
      <c r="B726" t="s">
        <v>2302</v>
      </c>
      <c r="C726" t="s">
        <v>4601</v>
      </c>
      <c r="D726">
        <v>74834657515</v>
      </c>
      <c r="E726">
        <v>379139219</v>
      </c>
      <c r="F726">
        <v>1004000047</v>
      </c>
      <c r="G726" s="1">
        <v>42767</v>
      </c>
      <c r="H726" t="s">
        <v>1360</v>
      </c>
      <c r="I726" t="s">
        <v>1349</v>
      </c>
      <c r="J726" t="s">
        <v>2308</v>
      </c>
      <c r="K726" t="s">
        <v>2313</v>
      </c>
      <c r="L726" t="s">
        <v>2305</v>
      </c>
      <c r="M726" t="s">
        <v>1409</v>
      </c>
      <c r="N726" t="s">
        <v>1410</v>
      </c>
      <c r="O726" t="s">
        <v>1423</v>
      </c>
      <c r="P726" t="s">
        <v>1423</v>
      </c>
      <c r="Q726" t="s">
        <v>1412</v>
      </c>
      <c r="S726" s="1">
        <v>46057</v>
      </c>
      <c r="V726" s="1">
        <v>46055</v>
      </c>
      <c r="W726" s="1">
        <v>26630</v>
      </c>
      <c r="X726" t="s">
        <v>1430</v>
      </c>
      <c r="Z726" t="s">
        <v>2907</v>
      </c>
      <c r="AA726" t="s">
        <v>1419</v>
      </c>
      <c r="AB726" t="s">
        <v>4602</v>
      </c>
      <c r="AC726">
        <v>71991259243</v>
      </c>
    </row>
    <row r="727" spans="1:29" x14ac:dyDescent="0.3">
      <c r="A727" t="s">
        <v>1405</v>
      </c>
      <c r="B727" t="s">
        <v>2302</v>
      </c>
      <c r="C727" t="s">
        <v>4603</v>
      </c>
      <c r="D727">
        <v>55612113404</v>
      </c>
      <c r="E727">
        <v>3232558</v>
      </c>
      <c r="F727">
        <v>1004011399</v>
      </c>
      <c r="G727" s="1">
        <v>44986</v>
      </c>
      <c r="H727" t="s">
        <v>1360</v>
      </c>
      <c r="I727" t="s">
        <v>1349</v>
      </c>
      <c r="J727" t="s">
        <v>1361</v>
      </c>
      <c r="K727" t="s">
        <v>2308</v>
      </c>
      <c r="L727" t="s">
        <v>2305</v>
      </c>
      <c r="M727" t="s">
        <v>1442</v>
      </c>
      <c r="N727" t="s">
        <v>1443</v>
      </c>
      <c r="O727" t="s">
        <v>1462</v>
      </c>
      <c r="P727" t="s">
        <v>1462</v>
      </c>
      <c r="Q727" t="s">
        <v>1412</v>
      </c>
      <c r="S727" s="1">
        <v>46059</v>
      </c>
      <c r="V727" s="1">
        <v>46055</v>
      </c>
      <c r="W727" s="1">
        <v>25243</v>
      </c>
      <c r="X727" t="s">
        <v>1811</v>
      </c>
      <c r="Y727" t="s">
        <v>3574</v>
      </c>
      <c r="Z727" t="s">
        <v>4604</v>
      </c>
      <c r="AA727" t="s">
        <v>1419</v>
      </c>
      <c r="AB727" t="s">
        <v>4605</v>
      </c>
      <c r="AC727">
        <v>81999619463</v>
      </c>
    </row>
    <row r="728" spans="1:29" x14ac:dyDescent="0.3">
      <c r="A728" t="s">
        <v>1405</v>
      </c>
      <c r="B728" t="s">
        <v>2302</v>
      </c>
      <c r="C728" t="s">
        <v>4606</v>
      </c>
      <c r="D728">
        <v>63646137134</v>
      </c>
      <c r="E728">
        <v>1351533</v>
      </c>
      <c r="F728">
        <v>1004003310</v>
      </c>
      <c r="G728" s="1">
        <v>43552</v>
      </c>
      <c r="H728" t="s">
        <v>1360</v>
      </c>
      <c r="I728" t="s">
        <v>1374</v>
      </c>
      <c r="J728" t="s">
        <v>2308</v>
      </c>
      <c r="K728" t="s">
        <v>2313</v>
      </c>
      <c r="L728" t="s">
        <v>2305</v>
      </c>
      <c r="M728" t="s">
        <v>1409</v>
      </c>
      <c r="N728" t="s">
        <v>1410</v>
      </c>
      <c r="O728" t="s">
        <v>1411</v>
      </c>
      <c r="P728" t="s">
        <v>1411</v>
      </c>
      <c r="Q728" t="s">
        <v>1593</v>
      </c>
      <c r="R728" t="s">
        <v>3745</v>
      </c>
      <c r="S728" s="1">
        <v>46043</v>
      </c>
      <c r="W728" s="1">
        <v>28037</v>
      </c>
      <c r="X728" t="s">
        <v>1617</v>
      </c>
      <c r="Y728" t="s">
        <v>4607</v>
      </c>
      <c r="Z728" t="s">
        <v>2837</v>
      </c>
      <c r="AA728" t="s">
        <v>1419</v>
      </c>
      <c r="AB728" t="s">
        <v>4608</v>
      </c>
      <c r="AC728">
        <v>61995556124</v>
      </c>
    </row>
    <row r="729" spans="1:29" x14ac:dyDescent="0.3">
      <c r="A729" t="s">
        <v>1405</v>
      </c>
      <c r="B729" t="s">
        <v>2302</v>
      </c>
      <c r="C729" t="s">
        <v>4609</v>
      </c>
      <c r="D729">
        <v>51106396200</v>
      </c>
      <c r="E729">
        <v>3536220</v>
      </c>
      <c r="F729">
        <v>1004018083</v>
      </c>
      <c r="G729" s="1">
        <v>45791</v>
      </c>
      <c r="H729" t="s">
        <v>1360</v>
      </c>
      <c r="I729" t="s">
        <v>1374</v>
      </c>
      <c r="J729" t="s">
        <v>1361</v>
      </c>
      <c r="K729" t="s">
        <v>2308</v>
      </c>
      <c r="L729" t="s">
        <v>2305</v>
      </c>
      <c r="M729" t="s">
        <v>1409</v>
      </c>
      <c r="N729" t="s">
        <v>1410</v>
      </c>
      <c r="O729" t="s">
        <v>1411</v>
      </c>
      <c r="P729" t="s">
        <v>1411</v>
      </c>
      <c r="Q729" t="s">
        <v>1412</v>
      </c>
      <c r="S729" s="1">
        <v>46043</v>
      </c>
      <c r="W729" s="1">
        <v>28866</v>
      </c>
      <c r="X729" t="s">
        <v>2403</v>
      </c>
      <c r="Z729" t="s">
        <v>2554</v>
      </c>
      <c r="AA729" t="s">
        <v>1419</v>
      </c>
      <c r="AB729" t="s">
        <v>4610</v>
      </c>
      <c r="AC729">
        <v>91984210969</v>
      </c>
    </row>
    <row r="730" spans="1:29" x14ac:dyDescent="0.3">
      <c r="A730" t="s">
        <v>1405</v>
      </c>
      <c r="B730" t="s">
        <v>2302</v>
      </c>
      <c r="C730" t="s">
        <v>4611</v>
      </c>
      <c r="D730">
        <v>51496305272</v>
      </c>
      <c r="E730">
        <v>3184109</v>
      </c>
      <c r="F730">
        <v>1004005459</v>
      </c>
      <c r="G730" s="1">
        <v>43883</v>
      </c>
      <c r="H730" t="s">
        <v>1360</v>
      </c>
      <c r="I730" t="s">
        <v>1349</v>
      </c>
      <c r="J730" t="s">
        <v>2308</v>
      </c>
      <c r="K730" t="s">
        <v>2313</v>
      </c>
      <c r="L730" t="s">
        <v>2305</v>
      </c>
      <c r="M730" t="s">
        <v>1409</v>
      </c>
      <c r="N730" t="s">
        <v>1410</v>
      </c>
      <c r="O730" t="s">
        <v>1411</v>
      </c>
      <c r="P730" t="s">
        <v>1423</v>
      </c>
      <c r="Q730" t="s">
        <v>1412</v>
      </c>
      <c r="S730" s="1">
        <v>46059</v>
      </c>
      <c r="V730" s="1">
        <v>46055</v>
      </c>
      <c r="W730" s="1">
        <v>29805</v>
      </c>
      <c r="X730" t="s">
        <v>2189</v>
      </c>
      <c r="Y730" t="s">
        <v>2860</v>
      </c>
      <c r="Z730" t="s">
        <v>2633</v>
      </c>
      <c r="AA730" t="s">
        <v>1419</v>
      </c>
      <c r="AB730" t="s">
        <v>4612</v>
      </c>
      <c r="AC730">
        <v>91980688690</v>
      </c>
    </row>
    <row r="731" spans="1:29" x14ac:dyDescent="0.3">
      <c r="A731" t="s">
        <v>1405</v>
      </c>
      <c r="B731" t="s">
        <v>2302</v>
      </c>
      <c r="C731" t="s">
        <v>4613</v>
      </c>
      <c r="D731">
        <v>41529022053</v>
      </c>
      <c r="E731">
        <v>7016986478</v>
      </c>
      <c r="F731">
        <v>1004002961</v>
      </c>
      <c r="G731" s="1">
        <v>43516</v>
      </c>
      <c r="H731" t="s">
        <v>1360</v>
      </c>
      <c r="I731" t="s">
        <v>1349</v>
      </c>
      <c r="J731" t="s">
        <v>2308</v>
      </c>
      <c r="K731" t="s">
        <v>2313</v>
      </c>
      <c r="L731" t="s">
        <v>2305</v>
      </c>
      <c r="M731" t="s">
        <v>1447</v>
      </c>
      <c r="N731" t="s">
        <v>1448</v>
      </c>
      <c r="O731" t="s">
        <v>1423</v>
      </c>
      <c r="P731" t="s">
        <v>1423</v>
      </c>
      <c r="Q731" t="s">
        <v>1412</v>
      </c>
      <c r="S731" s="1">
        <v>46085</v>
      </c>
      <c r="V731" s="1">
        <v>46083</v>
      </c>
      <c r="W731" s="1">
        <v>24510</v>
      </c>
      <c r="X731" t="s">
        <v>1485</v>
      </c>
      <c r="Z731" t="s">
        <v>3232</v>
      </c>
      <c r="AA731" t="s">
        <v>1419</v>
      </c>
      <c r="AB731" t="s">
        <v>4614</v>
      </c>
      <c r="AC731">
        <v>51991389272</v>
      </c>
    </row>
    <row r="732" spans="1:29" x14ac:dyDescent="0.3">
      <c r="A732" t="s">
        <v>1405</v>
      </c>
      <c r="B732" t="s">
        <v>2302</v>
      </c>
      <c r="C732" t="s">
        <v>4615</v>
      </c>
      <c r="D732">
        <v>162271077</v>
      </c>
      <c r="E732">
        <v>8079664739</v>
      </c>
      <c r="F732">
        <v>1004010089</v>
      </c>
      <c r="G732" s="1">
        <v>44706</v>
      </c>
      <c r="H732" t="s">
        <v>1360</v>
      </c>
      <c r="I732" t="s">
        <v>1374</v>
      </c>
      <c r="J732" t="s">
        <v>2348</v>
      </c>
      <c r="K732" t="s">
        <v>2308</v>
      </c>
      <c r="L732" t="s">
        <v>2305</v>
      </c>
      <c r="M732" t="s">
        <v>1409</v>
      </c>
      <c r="N732" t="s">
        <v>1410</v>
      </c>
      <c r="O732" t="s">
        <v>1423</v>
      </c>
      <c r="P732" t="s">
        <v>1423</v>
      </c>
      <c r="Q732" t="s">
        <v>1412</v>
      </c>
      <c r="S732" s="1">
        <v>46043</v>
      </c>
      <c r="W732" s="1">
        <v>30212</v>
      </c>
      <c r="X732" t="s">
        <v>4616</v>
      </c>
      <c r="Z732" t="s">
        <v>2430</v>
      </c>
      <c r="AA732" t="s">
        <v>1419</v>
      </c>
      <c r="AB732" t="s">
        <v>319</v>
      </c>
      <c r="AC732">
        <v>51996718319</v>
      </c>
    </row>
    <row r="733" spans="1:29" x14ac:dyDescent="0.3">
      <c r="A733" t="s">
        <v>1405</v>
      </c>
      <c r="B733" t="s">
        <v>2302</v>
      </c>
      <c r="C733" t="s">
        <v>4617</v>
      </c>
      <c r="D733">
        <v>5479069519</v>
      </c>
      <c r="E733">
        <v>1495701476</v>
      </c>
      <c r="F733">
        <v>1004021839</v>
      </c>
      <c r="G733" s="1">
        <v>46083</v>
      </c>
      <c r="H733" t="s">
        <v>1360</v>
      </c>
      <c r="I733" t="s">
        <v>1374</v>
      </c>
      <c r="J733" t="s">
        <v>2308</v>
      </c>
      <c r="K733" t="s">
        <v>2313</v>
      </c>
      <c r="L733" t="s">
        <v>2305</v>
      </c>
      <c r="M733" t="s">
        <v>1421</v>
      </c>
      <c r="N733" t="s">
        <v>1422</v>
      </c>
      <c r="O733" t="s">
        <v>1462</v>
      </c>
      <c r="P733" t="s">
        <v>1462</v>
      </c>
      <c r="Q733" t="s">
        <v>1412</v>
      </c>
      <c r="S733" s="1">
        <v>46092</v>
      </c>
      <c r="W733" s="1">
        <v>34449</v>
      </c>
      <c r="X733" t="s">
        <v>4618</v>
      </c>
      <c r="Y733" t="s">
        <v>4619</v>
      </c>
      <c r="Z733" t="s">
        <v>2663</v>
      </c>
      <c r="AA733" t="s">
        <v>1419</v>
      </c>
      <c r="AB733" t="s">
        <v>4620</v>
      </c>
      <c r="AC733">
        <v>73999423885</v>
      </c>
    </row>
    <row r="734" spans="1:29" x14ac:dyDescent="0.3">
      <c r="A734" t="s">
        <v>1405</v>
      </c>
      <c r="B734" t="s">
        <v>2302</v>
      </c>
      <c r="C734" t="s">
        <v>4621</v>
      </c>
      <c r="D734">
        <v>55411231000</v>
      </c>
      <c r="E734">
        <v>1036417366</v>
      </c>
      <c r="F734">
        <v>1004017180</v>
      </c>
      <c r="G734" s="1">
        <v>45735</v>
      </c>
      <c r="H734" t="s">
        <v>1360</v>
      </c>
      <c r="I734" t="s">
        <v>1374</v>
      </c>
      <c r="J734" t="s">
        <v>1361</v>
      </c>
      <c r="K734" t="s">
        <v>2308</v>
      </c>
      <c r="L734" t="s">
        <v>2305</v>
      </c>
      <c r="M734" t="s">
        <v>1409</v>
      </c>
      <c r="N734" t="s">
        <v>1410</v>
      </c>
      <c r="O734" t="s">
        <v>1423</v>
      </c>
      <c r="P734" t="s">
        <v>1423</v>
      </c>
      <c r="Q734" t="s">
        <v>1412</v>
      </c>
      <c r="S734" s="1">
        <v>46043</v>
      </c>
      <c r="W734" s="1">
        <v>25145</v>
      </c>
      <c r="X734" t="s">
        <v>1485</v>
      </c>
      <c r="Y734" t="s">
        <v>1756</v>
      </c>
      <c r="Z734" t="s">
        <v>4622</v>
      </c>
      <c r="AA734" t="s">
        <v>1419</v>
      </c>
      <c r="AB734" t="s">
        <v>4623</v>
      </c>
      <c r="AC734">
        <v>51995799984</v>
      </c>
    </row>
    <row r="735" spans="1:29" x14ac:dyDescent="0.3">
      <c r="A735" t="s">
        <v>1405</v>
      </c>
      <c r="B735" t="s">
        <v>2302</v>
      </c>
      <c r="C735" t="s">
        <v>4624</v>
      </c>
      <c r="D735">
        <v>3162191939</v>
      </c>
      <c r="E735">
        <v>62326999</v>
      </c>
      <c r="F735">
        <v>1004012064</v>
      </c>
      <c r="G735" s="1">
        <v>45057</v>
      </c>
      <c r="H735" t="s">
        <v>1360</v>
      </c>
      <c r="I735" t="s">
        <v>1374</v>
      </c>
      <c r="J735" t="s">
        <v>1361</v>
      </c>
      <c r="K735" t="s">
        <v>2308</v>
      </c>
      <c r="L735" t="s">
        <v>2305</v>
      </c>
      <c r="M735" t="s">
        <v>1409</v>
      </c>
      <c r="N735" t="s">
        <v>1410</v>
      </c>
      <c r="O735" t="s">
        <v>1423</v>
      </c>
      <c r="P735" t="s">
        <v>1423</v>
      </c>
      <c r="Q735" t="s">
        <v>1412</v>
      </c>
      <c r="S735" s="1">
        <v>46043</v>
      </c>
      <c r="W735" s="1">
        <v>28879</v>
      </c>
      <c r="X735" t="s">
        <v>4625</v>
      </c>
      <c r="Y735" t="s">
        <v>4626</v>
      </c>
      <c r="Z735" t="s">
        <v>4627</v>
      </c>
      <c r="AA735" t="s">
        <v>1419</v>
      </c>
      <c r="AB735" t="s">
        <v>4628</v>
      </c>
      <c r="AC735">
        <v>41999492092</v>
      </c>
    </row>
    <row r="736" spans="1:29" x14ac:dyDescent="0.3">
      <c r="A736" t="s">
        <v>1405</v>
      </c>
      <c r="B736" t="s">
        <v>2302</v>
      </c>
      <c r="C736" t="s">
        <v>4629</v>
      </c>
      <c r="D736">
        <v>2943787906</v>
      </c>
      <c r="E736">
        <v>3558435</v>
      </c>
      <c r="F736">
        <v>1004001248</v>
      </c>
      <c r="G736" s="1">
        <v>43151</v>
      </c>
      <c r="H736" t="s">
        <v>1360</v>
      </c>
      <c r="I736" t="s">
        <v>1374</v>
      </c>
      <c r="J736" t="s">
        <v>2308</v>
      </c>
      <c r="K736" t="s">
        <v>2313</v>
      </c>
      <c r="L736" t="s">
        <v>2305</v>
      </c>
      <c r="M736" t="s">
        <v>1409</v>
      </c>
      <c r="N736" t="s">
        <v>1410</v>
      </c>
      <c r="O736" t="s">
        <v>1423</v>
      </c>
      <c r="P736" t="s">
        <v>1423</v>
      </c>
      <c r="Q736" t="s">
        <v>1412</v>
      </c>
      <c r="S736" s="1">
        <v>46043</v>
      </c>
      <c r="W736" s="1">
        <v>29389</v>
      </c>
      <c r="X736" t="s">
        <v>2722</v>
      </c>
      <c r="Y736" t="s">
        <v>2723</v>
      </c>
      <c r="Z736" t="s">
        <v>2724</v>
      </c>
      <c r="AA736" t="s">
        <v>1419</v>
      </c>
      <c r="AB736" t="s">
        <v>4630</v>
      </c>
    </row>
    <row r="737" spans="1:29" x14ac:dyDescent="0.3">
      <c r="A737" t="s">
        <v>1405</v>
      </c>
      <c r="B737" t="s">
        <v>2302</v>
      </c>
      <c r="C737" t="s">
        <v>4631</v>
      </c>
      <c r="D737">
        <v>8182260728</v>
      </c>
      <c r="E737">
        <v>96612022</v>
      </c>
      <c r="F737">
        <v>1004010806</v>
      </c>
      <c r="G737" s="1">
        <v>44823</v>
      </c>
      <c r="H737" t="s">
        <v>1360</v>
      </c>
      <c r="I737" t="s">
        <v>1374</v>
      </c>
      <c r="J737" t="s">
        <v>2348</v>
      </c>
      <c r="K737" t="s">
        <v>2308</v>
      </c>
      <c r="L737" t="s">
        <v>2305</v>
      </c>
      <c r="M737" t="s">
        <v>1409</v>
      </c>
      <c r="N737" t="s">
        <v>1410</v>
      </c>
      <c r="O737" t="s">
        <v>1423</v>
      </c>
      <c r="P737" t="s">
        <v>1423</v>
      </c>
      <c r="Q737" t="s">
        <v>1412</v>
      </c>
      <c r="S737" s="1">
        <v>46043</v>
      </c>
      <c r="W737" s="1">
        <v>29470</v>
      </c>
      <c r="X737" t="s">
        <v>1430</v>
      </c>
      <c r="Z737" t="s">
        <v>2806</v>
      </c>
      <c r="AA737" t="s">
        <v>1415</v>
      </c>
      <c r="AB737" t="s">
        <v>4632</v>
      </c>
      <c r="AC737">
        <v>7388428171</v>
      </c>
    </row>
    <row r="738" spans="1:29" x14ac:dyDescent="0.3">
      <c r="A738" t="s">
        <v>1405</v>
      </c>
      <c r="B738" t="s">
        <v>2302</v>
      </c>
      <c r="C738" t="s">
        <v>4633</v>
      </c>
      <c r="D738">
        <v>8258429728</v>
      </c>
      <c r="E738" t="s">
        <v>4634</v>
      </c>
      <c r="F738">
        <v>1004007475</v>
      </c>
      <c r="G738" s="1">
        <v>44260</v>
      </c>
      <c r="H738" t="s">
        <v>1360</v>
      </c>
      <c r="I738" t="s">
        <v>1349</v>
      </c>
      <c r="J738" t="s">
        <v>2308</v>
      </c>
      <c r="K738" t="s">
        <v>2313</v>
      </c>
      <c r="L738" t="s">
        <v>2305</v>
      </c>
      <c r="M738" t="s">
        <v>1409</v>
      </c>
      <c r="N738" t="s">
        <v>1410</v>
      </c>
      <c r="O738" t="s">
        <v>1423</v>
      </c>
      <c r="P738" t="s">
        <v>1423</v>
      </c>
      <c r="Q738" t="s">
        <v>1412</v>
      </c>
      <c r="R738" t="s">
        <v>2476</v>
      </c>
      <c r="S738" s="1">
        <v>46126</v>
      </c>
      <c r="V738" s="1">
        <v>46122</v>
      </c>
      <c r="W738" s="1">
        <v>28913</v>
      </c>
      <c r="X738" t="s">
        <v>1602</v>
      </c>
      <c r="Z738" t="s">
        <v>4503</v>
      </c>
      <c r="AA738" t="s">
        <v>1415</v>
      </c>
      <c r="AB738" t="s">
        <v>4635</v>
      </c>
      <c r="AC738">
        <v>21988122206</v>
      </c>
    </row>
    <row r="739" spans="1:29" x14ac:dyDescent="0.3">
      <c r="A739" t="s">
        <v>1405</v>
      </c>
      <c r="B739" t="s">
        <v>2302</v>
      </c>
      <c r="C739" t="s">
        <v>4636</v>
      </c>
      <c r="D739">
        <v>3048927930</v>
      </c>
      <c r="E739">
        <v>3582906</v>
      </c>
      <c r="F739">
        <v>1004002903</v>
      </c>
      <c r="G739" s="1">
        <v>43515</v>
      </c>
      <c r="H739" t="s">
        <v>1360</v>
      </c>
      <c r="I739" t="s">
        <v>1349</v>
      </c>
      <c r="J739" t="s">
        <v>2308</v>
      </c>
      <c r="K739" t="s">
        <v>2313</v>
      </c>
      <c r="L739" t="s">
        <v>2305</v>
      </c>
      <c r="M739" t="s">
        <v>1409</v>
      </c>
      <c r="N739" t="s">
        <v>1410</v>
      </c>
      <c r="O739" t="s">
        <v>1423</v>
      </c>
      <c r="P739" t="s">
        <v>1423</v>
      </c>
      <c r="Q739" t="s">
        <v>1412</v>
      </c>
      <c r="S739" s="1">
        <v>46057</v>
      </c>
      <c r="V739" s="1">
        <v>46055</v>
      </c>
      <c r="W739" s="1">
        <v>29194</v>
      </c>
      <c r="X739" t="s">
        <v>2742</v>
      </c>
      <c r="Y739" t="s">
        <v>2900</v>
      </c>
      <c r="Z739" t="s">
        <v>2743</v>
      </c>
      <c r="AA739" t="s">
        <v>1415</v>
      </c>
      <c r="AB739" t="s">
        <v>4637</v>
      </c>
      <c r="AC739">
        <v>49999927320</v>
      </c>
    </row>
    <row r="740" spans="1:29" x14ac:dyDescent="0.3">
      <c r="A740" t="s">
        <v>1405</v>
      </c>
      <c r="B740" t="s">
        <v>2302</v>
      </c>
      <c r="C740" t="s">
        <v>4638</v>
      </c>
      <c r="D740">
        <v>75831937291</v>
      </c>
      <c r="E740">
        <v>3000468</v>
      </c>
      <c r="F740">
        <v>1004009793</v>
      </c>
      <c r="G740" s="1">
        <v>44673</v>
      </c>
      <c r="H740" t="s">
        <v>1360</v>
      </c>
      <c r="I740" t="s">
        <v>1374</v>
      </c>
      <c r="J740" t="s">
        <v>2308</v>
      </c>
      <c r="K740" t="s">
        <v>2313</v>
      </c>
      <c r="L740" t="s">
        <v>2305</v>
      </c>
      <c r="M740" t="s">
        <v>1421</v>
      </c>
      <c r="N740" t="s">
        <v>1410</v>
      </c>
      <c r="O740" t="s">
        <v>1411</v>
      </c>
      <c r="P740" t="s">
        <v>1411</v>
      </c>
      <c r="Q740" t="s">
        <v>1412</v>
      </c>
      <c r="S740" s="1">
        <v>46043</v>
      </c>
      <c r="W740" s="1">
        <v>29115</v>
      </c>
      <c r="X740" t="s">
        <v>1492</v>
      </c>
      <c r="Z740" t="s">
        <v>2532</v>
      </c>
      <c r="AA740" t="s">
        <v>1415</v>
      </c>
      <c r="AB740" t="s">
        <v>4639</v>
      </c>
      <c r="AC740">
        <v>91982029470</v>
      </c>
    </row>
    <row r="741" spans="1:29" x14ac:dyDescent="0.3">
      <c r="A741" t="s">
        <v>1405</v>
      </c>
      <c r="B741" t="s">
        <v>2302</v>
      </c>
      <c r="C741" t="s">
        <v>4640</v>
      </c>
      <c r="D741">
        <v>92343937915</v>
      </c>
      <c r="E741">
        <v>2895835</v>
      </c>
      <c r="F741">
        <v>1004014404</v>
      </c>
      <c r="G741" s="1">
        <v>45372</v>
      </c>
      <c r="H741" t="s">
        <v>1360</v>
      </c>
      <c r="I741" t="s">
        <v>1349</v>
      </c>
      <c r="J741" t="s">
        <v>1361</v>
      </c>
      <c r="K741" t="s">
        <v>2308</v>
      </c>
      <c r="L741" t="s">
        <v>2305</v>
      </c>
      <c r="M741" t="s">
        <v>1409</v>
      </c>
      <c r="N741" t="s">
        <v>1410</v>
      </c>
      <c r="O741" t="s">
        <v>1462</v>
      </c>
      <c r="P741" t="s">
        <v>1462</v>
      </c>
      <c r="Q741" t="s">
        <v>1412</v>
      </c>
      <c r="S741" s="1">
        <v>46057</v>
      </c>
      <c r="V741" s="1">
        <v>46055</v>
      </c>
      <c r="W741" s="1">
        <v>27229</v>
      </c>
      <c r="X741" t="s">
        <v>1676</v>
      </c>
      <c r="Z741" t="s">
        <v>4641</v>
      </c>
      <c r="AA741" t="s">
        <v>1415</v>
      </c>
      <c r="AB741" t="s">
        <v>4642</v>
      </c>
      <c r="AC741">
        <v>48984653039</v>
      </c>
    </row>
    <row r="742" spans="1:29" x14ac:dyDescent="0.3">
      <c r="A742" t="s">
        <v>1405</v>
      </c>
      <c r="B742" t="s">
        <v>2302</v>
      </c>
      <c r="C742" t="s">
        <v>4643</v>
      </c>
      <c r="D742">
        <v>600992160</v>
      </c>
      <c r="E742">
        <v>360103479</v>
      </c>
      <c r="F742">
        <v>1004011670</v>
      </c>
      <c r="G742" s="1">
        <v>45012</v>
      </c>
      <c r="H742" t="s">
        <v>1360</v>
      </c>
      <c r="I742" t="s">
        <v>1349</v>
      </c>
      <c r="J742" t="s">
        <v>2572</v>
      </c>
      <c r="K742" t="s">
        <v>2573</v>
      </c>
      <c r="L742" t="s">
        <v>2305</v>
      </c>
      <c r="M742" t="s">
        <v>1409</v>
      </c>
      <c r="N742" t="s">
        <v>1410</v>
      </c>
      <c r="O742" t="s">
        <v>1411</v>
      </c>
      <c r="P742" t="s">
        <v>1411</v>
      </c>
      <c r="Q742" t="s">
        <v>1412</v>
      </c>
      <c r="S742" s="1">
        <v>46057</v>
      </c>
      <c r="V742" s="1">
        <v>46055</v>
      </c>
      <c r="W742" s="1">
        <v>30472</v>
      </c>
      <c r="X742" t="s">
        <v>3704</v>
      </c>
      <c r="Y742" t="s">
        <v>3705</v>
      </c>
      <c r="Z742" t="s">
        <v>3446</v>
      </c>
      <c r="AA742" t="s">
        <v>1415</v>
      </c>
      <c r="AB742" t="s">
        <v>4644</v>
      </c>
      <c r="AC742">
        <v>66999676541</v>
      </c>
    </row>
    <row r="743" spans="1:29" x14ac:dyDescent="0.3">
      <c r="A743" t="s">
        <v>1405</v>
      </c>
      <c r="B743" t="s">
        <v>2302</v>
      </c>
      <c r="C743" t="s">
        <v>4645</v>
      </c>
      <c r="D743">
        <v>8135084951</v>
      </c>
      <c r="E743">
        <v>5448567</v>
      </c>
      <c r="F743">
        <v>1004006818</v>
      </c>
      <c r="G743" s="1">
        <v>44075</v>
      </c>
      <c r="H743" t="s">
        <v>1360</v>
      </c>
      <c r="I743" t="s">
        <v>1349</v>
      </c>
      <c r="J743" t="s">
        <v>2308</v>
      </c>
      <c r="K743" t="s">
        <v>2313</v>
      </c>
      <c r="L743" t="s">
        <v>2305</v>
      </c>
      <c r="M743" t="s">
        <v>1409</v>
      </c>
      <c r="N743" t="s">
        <v>1410</v>
      </c>
      <c r="O743" t="s">
        <v>1423</v>
      </c>
      <c r="P743" t="s">
        <v>1423</v>
      </c>
      <c r="Q743" t="s">
        <v>1412</v>
      </c>
      <c r="S743" s="1">
        <v>46057</v>
      </c>
      <c r="V743" s="1">
        <v>46055</v>
      </c>
      <c r="W743" s="1">
        <v>34165</v>
      </c>
      <c r="X743" t="s">
        <v>1665</v>
      </c>
      <c r="Y743" t="s">
        <v>2731</v>
      </c>
      <c r="Z743" t="s">
        <v>4646</v>
      </c>
      <c r="AA743" t="s">
        <v>1415</v>
      </c>
      <c r="AB743" t="s">
        <v>4647</v>
      </c>
      <c r="AC743">
        <v>47997040734</v>
      </c>
    </row>
    <row r="744" spans="1:29" x14ac:dyDescent="0.3">
      <c r="A744" t="s">
        <v>1405</v>
      </c>
      <c r="B744" t="s">
        <v>2302</v>
      </c>
      <c r="C744" t="s">
        <v>4648</v>
      </c>
      <c r="D744">
        <v>54951208504</v>
      </c>
      <c r="E744">
        <v>427491908</v>
      </c>
      <c r="F744">
        <v>1004008135</v>
      </c>
      <c r="G744" s="1">
        <v>44359</v>
      </c>
      <c r="H744" t="s">
        <v>1360</v>
      </c>
      <c r="I744" t="s">
        <v>1374</v>
      </c>
      <c r="J744" t="s">
        <v>1361</v>
      </c>
      <c r="K744" t="s">
        <v>2308</v>
      </c>
      <c r="L744" t="s">
        <v>2305</v>
      </c>
      <c r="M744" t="s">
        <v>1409</v>
      </c>
      <c r="N744" t="s">
        <v>1410</v>
      </c>
      <c r="O744" t="s">
        <v>1423</v>
      </c>
      <c r="P744" t="s">
        <v>1423</v>
      </c>
      <c r="Q744" t="s">
        <v>1412</v>
      </c>
      <c r="S744" s="1">
        <v>46069</v>
      </c>
      <c r="W744" s="1">
        <v>25377</v>
      </c>
      <c r="X744" t="s">
        <v>1432</v>
      </c>
      <c r="Y744" t="s">
        <v>1433</v>
      </c>
      <c r="Z744" t="s">
        <v>3032</v>
      </c>
      <c r="AA744" t="s">
        <v>1415</v>
      </c>
      <c r="AB744" t="s">
        <v>4649</v>
      </c>
      <c r="AC744">
        <v>75988115821</v>
      </c>
    </row>
    <row r="745" spans="1:29" x14ac:dyDescent="0.3">
      <c r="A745" t="s">
        <v>1405</v>
      </c>
      <c r="B745" t="s">
        <v>2302</v>
      </c>
      <c r="C745" t="s">
        <v>4650</v>
      </c>
      <c r="D745">
        <v>2157300201</v>
      </c>
      <c r="E745">
        <v>22071598</v>
      </c>
      <c r="F745">
        <v>1004017089</v>
      </c>
      <c r="G745" s="1">
        <v>45733</v>
      </c>
      <c r="H745" t="s">
        <v>1360</v>
      </c>
      <c r="I745" t="s">
        <v>1349</v>
      </c>
      <c r="J745" t="s">
        <v>1361</v>
      </c>
      <c r="K745" t="s">
        <v>2308</v>
      </c>
      <c r="L745" t="s">
        <v>2305</v>
      </c>
      <c r="M745" t="s">
        <v>1421</v>
      </c>
      <c r="N745" t="s">
        <v>1422</v>
      </c>
      <c r="O745" t="s">
        <v>1423</v>
      </c>
      <c r="P745" t="s">
        <v>1423</v>
      </c>
      <c r="Q745" t="s">
        <v>1412</v>
      </c>
      <c r="S745" s="1">
        <v>46119</v>
      </c>
      <c r="V745" s="1">
        <v>46113</v>
      </c>
      <c r="W745" s="1">
        <v>34932</v>
      </c>
      <c r="X745" t="s">
        <v>1825</v>
      </c>
      <c r="Z745" t="s">
        <v>4266</v>
      </c>
      <c r="AA745" t="s">
        <v>1415</v>
      </c>
      <c r="AB745" t="s">
        <v>4651</v>
      </c>
      <c r="AC745">
        <v>92991692674</v>
      </c>
    </row>
    <row r="746" spans="1:29" x14ac:dyDescent="0.3">
      <c r="A746" t="s">
        <v>1405</v>
      </c>
      <c r="B746" t="s">
        <v>2302</v>
      </c>
      <c r="C746" t="s">
        <v>4652</v>
      </c>
      <c r="D746">
        <v>524368295</v>
      </c>
      <c r="E746" t="s">
        <v>4653</v>
      </c>
      <c r="F746">
        <v>42004201285</v>
      </c>
      <c r="G746" s="1">
        <v>42037</v>
      </c>
      <c r="H746" t="s">
        <v>1360</v>
      </c>
      <c r="I746" t="s">
        <v>1349</v>
      </c>
      <c r="J746" t="s">
        <v>2308</v>
      </c>
      <c r="K746" t="s">
        <v>2313</v>
      </c>
      <c r="L746" t="s">
        <v>2305</v>
      </c>
      <c r="M746" t="s">
        <v>1409</v>
      </c>
      <c r="N746" t="s">
        <v>1410</v>
      </c>
      <c r="O746" t="s">
        <v>1423</v>
      </c>
      <c r="P746" t="s">
        <v>1423</v>
      </c>
      <c r="Q746" t="s">
        <v>1412</v>
      </c>
      <c r="S746" s="1">
        <v>46061</v>
      </c>
      <c r="V746" s="1">
        <v>46055</v>
      </c>
      <c r="W746" s="1">
        <v>32657</v>
      </c>
      <c r="X746" t="s">
        <v>4654</v>
      </c>
      <c r="Y746" t="s">
        <v>4655</v>
      </c>
      <c r="Z746" t="s">
        <v>2800</v>
      </c>
      <c r="AA746" t="s">
        <v>1415</v>
      </c>
      <c r="AB746" t="s">
        <v>4656</v>
      </c>
      <c r="AC746">
        <v>92993267506</v>
      </c>
    </row>
    <row r="747" spans="1:29" x14ac:dyDescent="0.3">
      <c r="A747" t="s">
        <v>1405</v>
      </c>
      <c r="B747" t="s">
        <v>2302</v>
      </c>
      <c r="C747" t="s">
        <v>4657</v>
      </c>
      <c r="D747">
        <v>7339397590</v>
      </c>
      <c r="E747">
        <v>26862387</v>
      </c>
      <c r="F747">
        <v>1004017696</v>
      </c>
      <c r="G747" s="1">
        <v>45763</v>
      </c>
      <c r="H747" t="s">
        <v>1360</v>
      </c>
      <c r="I747" t="s">
        <v>1374</v>
      </c>
      <c r="J747" t="s">
        <v>1361</v>
      </c>
      <c r="K747" t="s">
        <v>2308</v>
      </c>
      <c r="L747" t="s">
        <v>2305</v>
      </c>
      <c r="M747" t="s">
        <v>1409</v>
      </c>
      <c r="N747" t="s">
        <v>1410</v>
      </c>
      <c r="O747" t="s">
        <v>1411</v>
      </c>
      <c r="P747" t="s">
        <v>1411</v>
      </c>
      <c r="Q747" t="s">
        <v>1412</v>
      </c>
      <c r="S747" s="1">
        <v>46043</v>
      </c>
      <c r="W747" s="1">
        <v>36579</v>
      </c>
      <c r="X747" t="s">
        <v>3318</v>
      </c>
      <c r="Z747" t="s">
        <v>3319</v>
      </c>
      <c r="AA747" t="s">
        <v>1415</v>
      </c>
      <c r="AB747" t="s">
        <v>4658</v>
      </c>
      <c r="AC747">
        <v>79998567543</v>
      </c>
    </row>
    <row r="748" spans="1:29" x14ac:dyDescent="0.3">
      <c r="A748" t="s">
        <v>1405</v>
      </c>
      <c r="B748" t="s">
        <v>2302</v>
      </c>
      <c r="C748" t="s">
        <v>4659</v>
      </c>
      <c r="D748">
        <v>9113218964</v>
      </c>
      <c r="E748">
        <v>129771313</v>
      </c>
      <c r="F748">
        <v>1004007160</v>
      </c>
      <c r="G748" s="1">
        <v>44141</v>
      </c>
      <c r="H748" t="s">
        <v>1360</v>
      </c>
      <c r="I748" t="s">
        <v>2317</v>
      </c>
      <c r="J748" t="s">
        <v>2308</v>
      </c>
      <c r="K748" t="s">
        <v>2313</v>
      </c>
      <c r="L748" t="s">
        <v>2305</v>
      </c>
      <c r="M748" t="s">
        <v>1409</v>
      </c>
      <c r="N748" t="s">
        <v>1410</v>
      </c>
      <c r="O748" t="s">
        <v>1411</v>
      </c>
      <c r="P748" t="s">
        <v>1423</v>
      </c>
      <c r="Q748" t="s">
        <v>1412</v>
      </c>
      <c r="S748" s="1">
        <v>44294</v>
      </c>
      <c r="T748" s="1">
        <v>44285</v>
      </c>
      <c r="W748" s="1">
        <v>35382</v>
      </c>
      <c r="X748" t="s">
        <v>3738</v>
      </c>
      <c r="Y748" t="s">
        <v>3862</v>
      </c>
      <c r="Z748" t="s">
        <v>2951</v>
      </c>
      <c r="AA748" t="s">
        <v>1415</v>
      </c>
      <c r="AB748" t="s">
        <v>4660</v>
      </c>
      <c r="AC748" t="s">
        <v>4661</v>
      </c>
    </row>
    <row r="749" spans="1:29" x14ac:dyDescent="0.3">
      <c r="A749" t="s">
        <v>1405</v>
      </c>
      <c r="B749" t="s">
        <v>2302</v>
      </c>
      <c r="C749" t="s">
        <v>4662</v>
      </c>
      <c r="D749">
        <v>57150508049</v>
      </c>
      <c r="E749">
        <v>1024271072</v>
      </c>
      <c r="F749">
        <v>1004017215</v>
      </c>
      <c r="G749" s="1">
        <v>45735</v>
      </c>
      <c r="H749" t="s">
        <v>1360</v>
      </c>
      <c r="I749" t="s">
        <v>1349</v>
      </c>
      <c r="J749" t="s">
        <v>1361</v>
      </c>
      <c r="K749" t="s">
        <v>2308</v>
      </c>
      <c r="L749" t="s">
        <v>2305</v>
      </c>
      <c r="M749" t="s">
        <v>1442</v>
      </c>
      <c r="N749" t="s">
        <v>1443</v>
      </c>
      <c r="O749" t="s">
        <v>1423</v>
      </c>
      <c r="P749" t="s">
        <v>1423</v>
      </c>
      <c r="Q749" t="s">
        <v>1412</v>
      </c>
      <c r="S749" s="1">
        <v>45855</v>
      </c>
      <c r="V749" s="1">
        <v>45854</v>
      </c>
      <c r="W749" s="1">
        <v>24569</v>
      </c>
      <c r="X749" t="s">
        <v>2215</v>
      </c>
      <c r="Y749" t="s">
        <v>2384</v>
      </c>
      <c r="Z749" t="s">
        <v>2702</v>
      </c>
      <c r="AA749" t="s">
        <v>1415</v>
      </c>
      <c r="AB749" t="s">
        <v>4663</v>
      </c>
      <c r="AC749">
        <v>51992515368</v>
      </c>
    </row>
    <row r="750" spans="1:29" x14ac:dyDescent="0.3">
      <c r="A750" t="s">
        <v>1405</v>
      </c>
      <c r="B750" t="s">
        <v>2302</v>
      </c>
      <c r="C750" t="s">
        <v>4664</v>
      </c>
      <c r="D750">
        <v>43448968234</v>
      </c>
      <c r="E750">
        <v>43448968234</v>
      </c>
      <c r="F750">
        <v>1004018971</v>
      </c>
      <c r="G750" s="1">
        <v>45873</v>
      </c>
      <c r="H750" t="s">
        <v>1360</v>
      </c>
      <c r="I750" t="s">
        <v>1374</v>
      </c>
      <c r="J750" t="s">
        <v>1361</v>
      </c>
      <c r="K750" t="s">
        <v>2308</v>
      </c>
      <c r="L750" t="s">
        <v>2305</v>
      </c>
      <c r="M750" t="s">
        <v>1409</v>
      </c>
      <c r="N750" t="s">
        <v>1410</v>
      </c>
      <c r="O750" t="s">
        <v>1411</v>
      </c>
      <c r="P750" t="s">
        <v>1411</v>
      </c>
      <c r="Q750" t="s">
        <v>1412</v>
      </c>
      <c r="S750" s="1">
        <v>46043</v>
      </c>
      <c r="W750" s="1">
        <v>26394</v>
      </c>
      <c r="X750" t="s">
        <v>3593</v>
      </c>
      <c r="Z750" t="s">
        <v>3594</v>
      </c>
      <c r="AA750" t="s">
        <v>1419</v>
      </c>
      <c r="AB750" t="s">
        <v>4665</v>
      </c>
      <c r="AC750">
        <v>97991806412</v>
      </c>
    </row>
    <row r="751" spans="1:29" x14ac:dyDescent="0.3">
      <c r="A751" t="s">
        <v>1405</v>
      </c>
      <c r="B751" t="s">
        <v>2302</v>
      </c>
      <c r="C751" t="s">
        <v>4666</v>
      </c>
      <c r="D751">
        <v>61644520311</v>
      </c>
      <c r="E751">
        <v>505078620134</v>
      </c>
      <c r="F751">
        <v>1004019589</v>
      </c>
      <c r="G751" s="1">
        <v>45901</v>
      </c>
      <c r="H751" t="s">
        <v>1360</v>
      </c>
      <c r="I751" t="s">
        <v>1374</v>
      </c>
      <c r="J751" t="s">
        <v>1361</v>
      </c>
      <c r="K751" t="s">
        <v>2308</v>
      </c>
      <c r="L751" t="s">
        <v>2305</v>
      </c>
      <c r="M751" t="s">
        <v>1421</v>
      </c>
      <c r="N751" t="s">
        <v>1422</v>
      </c>
      <c r="O751" t="s">
        <v>1411</v>
      </c>
      <c r="P751" t="s">
        <v>1411</v>
      </c>
      <c r="Q751" t="s">
        <v>1412</v>
      </c>
      <c r="S751" s="1">
        <v>46069</v>
      </c>
      <c r="W751" s="1">
        <v>36777</v>
      </c>
      <c r="X751" t="s">
        <v>4667</v>
      </c>
      <c r="Y751" t="s">
        <v>3882</v>
      </c>
      <c r="Z751" t="s">
        <v>4668</v>
      </c>
      <c r="AA751" t="s">
        <v>1419</v>
      </c>
      <c r="AB751" t="s">
        <v>4669</v>
      </c>
      <c r="AC751">
        <v>98985970440</v>
      </c>
    </row>
    <row r="752" spans="1:29" x14ac:dyDescent="0.3">
      <c r="A752" t="s">
        <v>1405</v>
      </c>
      <c r="B752" t="s">
        <v>2302</v>
      </c>
      <c r="C752" t="s">
        <v>4670</v>
      </c>
      <c r="D752">
        <v>40842363149</v>
      </c>
      <c r="E752">
        <v>452307</v>
      </c>
      <c r="F752">
        <v>1004007334</v>
      </c>
      <c r="G752" s="1">
        <v>44256</v>
      </c>
      <c r="H752" t="s">
        <v>1360</v>
      </c>
      <c r="I752" t="s">
        <v>1374</v>
      </c>
      <c r="J752" t="s">
        <v>2308</v>
      </c>
      <c r="K752" t="s">
        <v>2313</v>
      </c>
      <c r="L752" t="s">
        <v>2305</v>
      </c>
      <c r="M752" t="s">
        <v>1447</v>
      </c>
      <c r="N752" t="s">
        <v>1448</v>
      </c>
      <c r="O752" t="s">
        <v>1411</v>
      </c>
      <c r="P752" t="s">
        <v>1411</v>
      </c>
      <c r="Q752" t="s">
        <v>1412</v>
      </c>
      <c r="S752" s="1">
        <v>46069</v>
      </c>
      <c r="W752" s="1">
        <v>25605</v>
      </c>
      <c r="X752" t="s">
        <v>2509</v>
      </c>
      <c r="Y752" t="s">
        <v>2557</v>
      </c>
      <c r="Z752" t="s">
        <v>2381</v>
      </c>
      <c r="AA752" t="s">
        <v>1419</v>
      </c>
      <c r="AB752" t="s">
        <v>4671</v>
      </c>
      <c r="AC752">
        <v>67991583377</v>
      </c>
    </row>
    <row r="753" spans="1:29" x14ac:dyDescent="0.3">
      <c r="A753" t="s">
        <v>1405</v>
      </c>
      <c r="B753" t="s">
        <v>2302</v>
      </c>
      <c r="C753" t="s">
        <v>4672</v>
      </c>
      <c r="D753">
        <v>90390512087</v>
      </c>
      <c r="E753">
        <v>2012136996</v>
      </c>
      <c r="F753">
        <v>42004100188</v>
      </c>
      <c r="G753" s="1">
        <v>39661</v>
      </c>
      <c r="H753" t="s">
        <v>1360</v>
      </c>
      <c r="I753" t="s">
        <v>2604</v>
      </c>
      <c r="J753" t="s">
        <v>2308</v>
      </c>
      <c r="K753" t="s">
        <v>2313</v>
      </c>
      <c r="L753" t="s">
        <v>2305</v>
      </c>
      <c r="M753" t="s">
        <v>1409</v>
      </c>
      <c r="N753" t="s">
        <v>1410</v>
      </c>
      <c r="O753" t="s">
        <v>1423</v>
      </c>
      <c r="P753" t="s">
        <v>1423</v>
      </c>
      <c r="Q753" t="s">
        <v>1412</v>
      </c>
      <c r="S753" s="1">
        <v>43999</v>
      </c>
      <c r="T753" s="1">
        <v>41771</v>
      </c>
      <c r="W753" s="1">
        <v>18767</v>
      </c>
      <c r="X753" t="s">
        <v>4673</v>
      </c>
      <c r="Y753" t="s">
        <v>4674</v>
      </c>
      <c r="Z753" t="s">
        <v>4675</v>
      </c>
      <c r="AA753" t="s">
        <v>1419</v>
      </c>
      <c r="AB753" t="s">
        <v>4676</v>
      </c>
      <c r="AC753">
        <v>5435411017</v>
      </c>
    </row>
    <row r="754" spans="1:29" x14ac:dyDescent="0.3">
      <c r="A754" t="s">
        <v>1405</v>
      </c>
      <c r="B754" t="s">
        <v>2302</v>
      </c>
      <c r="C754" t="s">
        <v>4677</v>
      </c>
      <c r="D754">
        <v>87102838972</v>
      </c>
      <c r="E754">
        <v>3202653</v>
      </c>
      <c r="F754">
        <v>42004100990</v>
      </c>
      <c r="G754" s="1">
        <v>39815</v>
      </c>
      <c r="H754" t="s">
        <v>1360</v>
      </c>
      <c r="I754" t="s">
        <v>2317</v>
      </c>
      <c r="J754" t="s">
        <v>2308</v>
      </c>
      <c r="K754" t="s">
        <v>2313</v>
      </c>
      <c r="L754" t="s">
        <v>2305</v>
      </c>
      <c r="M754" t="s">
        <v>1409</v>
      </c>
      <c r="N754" t="s">
        <v>1410</v>
      </c>
      <c r="O754" t="s">
        <v>1423</v>
      </c>
      <c r="P754" t="s">
        <v>1423</v>
      </c>
      <c r="Q754" t="s">
        <v>1412</v>
      </c>
      <c r="T754" s="1">
        <v>40848</v>
      </c>
      <c r="W754" s="1">
        <v>26875</v>
      </c>
      <c r="X754" t="s">
        <v>2680</v>
      </c>
      <c r="Z754" t="s">
        <v>3770</v>
      </c>
      <c r="AA754" t="s">
        <v>1419</v>
      </c>
      <c r="AB754" t="s">
        <v>4678</v>
      </c>
      <c r="AC754">
        <v>4733190510</v>
      </c>
    </row>
    <row r="755" spans="1:29" x14ac:dyDescent="0.3">
      <c r="A755" t="s">
        <v>1405</v>
      </c>
      <c r="B755" t="s">
        <v>2302</v>
      </c>
      <c r="C755" t="s">
        <v>4679</v>
      </c>
      <c r="D755">
        <v>3258158444</v>
      </c>
      <c r="E755">
        <v>5623923</v>
      </c>
      <c r="F755">
        <v>1004003335</v>
      </c>
      <c r="G755" s="1">
        <v>43557</v>
      </c>
      <c r="H755" t="s">
        <v>1360</v>
      </c>
      <c r="I755" t="s">
        <v>1374</v>
      </c>
      <c r="J755" t="s">
        <v>2308</v>
      </c>
      <c r="K755" t="s">
        <v>2313</v>
      </c>
      <c r="L755" t="s">
        <v>2305</v>
      </c>
      <c r="M755" t="s">
        <v>1409</v>
      </c>
      <c r="N755" t="s">
        <v>1410</v>
      </c>
      <c r="O755" t="s">
        <v>1411</v>
      </c>
      <c r="P755" t="s">
        <v>1411</v>
      </c>
      <c r="Q755" t="s">
        <v>1412</v>
      </c>
      <c r="S755" s="1">
        <v>46043</v>
      </c>
      <c r="W755" s="1">
        <v>29716</v>
      </c>
      <c r="X755" t="s">
        <v>1893</v>
      </c>
      <c r="Y755" t="s">
        <v>2465</v>
      </c>
      <c r="Z755" t="s">
        <v>4302</v>
      </c>
      <c r="AA755" t="s">
        <v>1419</v>
      </c>
      <c r="AB755" t="s">
        <v>4680</v>
      </c>
      <c r="AC755">
        <v>87996156757</v>
      </c>
    </row>
    <row r="756" spans="1:29" x14ac:dyDescent="0.3">
      <c r="A756" t="s">
        <v>1405</v>
      </c>
      <c r="B756" t="s">
        <v>2302</v>
      </c>
      <c r="C756" t="s">
        <v>4681</v>
      </c>
      <c r="D756">
        <v>95818588300</v>
      </c>
      <c r="E756">
        <v>99099094265</v>
      </c>
      <c r="F756">
        <v>1004011609</v>
      </c>
      <c r="G756" s="1">
        <v>45006</v>
      </c>
      <c r="H756" t="s">
        <v>1360</v>
      </c>
      <c r="I756" t="s">
        <v>1374</v>
      </c>
      <c r="J756" t="s">
        <v>1361</v>
      </c>
      <c r="K756" t="s">
        <v>2308</v>
      </c>
      <c r="L756" t="s">
        <v>2305</v>
      </c>
      <c r="M756" t="s">
        <v>1421</v>
      </c>
      <c r="N756" t="s">
        <v>1410</v>
      </c>
      <c r="O756" t="s">
        <v>1411</v>
      </c>
      <c r="P756" t="s">
        <v>1411</v>
      </c>
      <c r="Q756" t="s">
        <v>1412</v>
      </c>
      <c r="S756" s="1">
        <v>46043</v>
      </c>
      <c r="W756" s="1">
        <v>30406</v>
      </c>
      <c r="X756" t="s">
        <v>4682</v>
      </c>
      <c r="Y756" t="s">
        <v>4683</v>
      </c>
      <c r="Z756" t="s">
        <v>3046</v>
      </c>
      <c r="AA756" t="s">
        <v>1419</v>
      </c>
      <c r="AB756" t="s">
        <v>4684</v>
      </c>
      <c r="AC756">
        <v>88997852552</v>
      </c>
    </row>
    <row r="757" spans="1:29" x14ac:dyDescent="0.3">
      <c r="A757" t="s">
        <v>1405</v>
      </c>
      <c r="B757" t="s">
        <v>2302</v>
      </c>
      <c r="C757" t="s">
        <v>4685</v>
      </c>
      <c r="D757">
        <v>6499820539</v>
      </c>
      <c r="E757" t="s">
        <v>4686</v>
      </c>
      <c r="F757">
        <v>1004015603</v>
      </c>
      <c r="G757" s="1">
        <v>45538</v>
      </c>
      <c r="H757" t="s">
        <v>1360</v>
      </c>
      <c r="I757" t="s">
        <v>1349</v>
      </c>
      <c r="J757" t="s">
        <v>2348</v>
      </c>
      <c r="K757" t="s">
        <v>2308</v>
      </c>
      <c r="L757" t="s">
        <v>2305</v>
      </c>
      <c r="M757" t="s">
        <v>1409</v>
      </c>
      <c r="N757" t="s">
        <v>1410</v>
      </c>
      <c r="O757" t="s">
        <v>1411</v>
      </c>
      <c r="P757" t="s">
        <v>1411</v>
      </c>
      <c r="Q757" t="s">
        <v>1412</v>
      </c>
      <c r="S757" s="1">
        <v>45761</v>
      </c>
      <c r="V757" s="1">
        <v>45764</v>
      </c>
      <c r="W757" s="1">
        <v>35560</v>
      </c>
      <c r="X757" t="s">
        <v>1428</v>
      </c>
      <c r="Z757" t="s">
        <v>3319</v>
      </c>
      <c r="AA757" t="s">
        <v>1419</v>
      </c>
      <c r="AB757" t="s">
        <v>4687</v>
      </c>
      <c r="AC757">
        <v>79998754772</v>
      </c>
    </row>
    <row r="758" spans="1:29" x14ac:dyDescent="0.3">
      <c r="A758" t="s">
        <v>1405</v>
      </c>
      <c r="B758" t="s">
        <v>2302</v>
      </c>
      <c r="C758" t="s">
        <v>4688</v>
      </c>
      <c r="D758">
        <v>10013608428</v>
      </c>
      <c r="E758" s="3">
        <v>8749405</v>
      </c>
      <c r="F758">
        <v>1004021346</v>
      </c>
      <c r="G758" s="1">
        <v>46071</v>
      </c>
      <c r="H758" t="s">
        <v>1360</v>
      </c>
      <c r="I758" t="s">
        <v>1374</v>
      </c>
      <c r="J758" t="s">
        <v>2308</v>
      </c>
      <c r="K758" t="s">
        <v>2313</v>
      </c>
      <c r="L758" t="s">
        <v>2305</v>
      </c>
      <c r="M758" t="s">
        <v>1409</v>
      </c>
      <c r="N758" t="s">
        <v>1410</v>
      </c>
      <c r="O758" t="s">
        <v>1411</v>
      </c>
      <c r="P758" t="s">
        <v>1423</v>
      </c>
      <c r="Q758" t="s">
        <v>1412</v>
      </c>
      <c r="S758" s="1">
        <v>46066</v>
      </c>
      <c r="W758" s="1">
        <v>34085</v>
      </c>
      <c r="X758" t="s">
        <v>3926</v>
      </c>
      <c r="Z758" t="s">
        <v>3404</v>
      </c>
      <c r="AA758" t="s">
        <v>1419</v>
      </c>
      <c r="AB758" t="s">
        <v>4689</v>
      </c>
      <c r="AC758">
        <v>87981153390</v>
      </c>
    </row>
    <row r="759" spans="1:29" x14ac:dyDescent="0.3">
      <c r="A759" t="s">
        <v>1405</v>
      </c>
      <c r="B759" t="s">
        <v>2302</v>
      </c>
      <c r="C759" t="s">
        <v>4690</v>
      </c>
      <c r="D759">
        <v>7089700364</v>
      </c>
      <c r="E759">
        <v>2006029216320</v>
      </c>
      <c r="F759">
        <v>1004012890</v>
      </c>
      <c r="G759" s="1">
        <v>45182</v>
      </c>
      <c r="H759" t="s">
        <v>1360</v>
      </c>
      <c r="I759" t="s">
        <v>1349</v>
      </c>
      <c r="J759" t="s">
        <v>2348</v>
      </c>
      <c r="K759" t="s">
        <v>2308</v>
      </c>
      <c r="L759" t="s">
        <v>2305</v>
      </c>
      <c r="M759" t="s">
        <v>1421</v>
      </c>
      <c r="N759" t="s">
        <v>1422</v>
      </c>
      <c r="O759" t="s">
        <v>1411</v>
      </c>
      <c r="P759" t="s">
        <v>1411</v>
      </c>
      <c r="Q759" t="s">
        <v>1412</v>
      </c>
      <c r="S759" s="1">
        <v>45943</v>
      </c>
      <c r="V759" s="1">
        <v>45937</v>
      </c>
      <c r="W759" s="1">
        <v>35280</v>
      </c>
      <c r="X759" t="s">
        <v>4691</v>
      </c>
      <c r="Y759" t="s">
        <v>3705</v>
      </c>
      <c r="Z759" t="s">
        <v>4692</v>
      </c>
      <c r="AA759" t="s">
        <v>1419</v>
      </c>
      <c r="AB759" t="s">
        <v>4693</v>
      </c>
      <c r="AC759">
        <v>88996794936</v>
      </c>
    </row>
    <row r="760" spans="1:29" x14ac:dyDescent="0.3">
      <c r="A760" t="s">
        <v>1405</v>
      </c>
      <c r="B760" t="s">
        <v>2302</v>
      </c>
      <c r="C760" t="s">
        <v>4694</v>
      </c>
      <c r="D760">
        <v>5673068360</v>
      </c>
      <c r="E760">
        <v>20076670397</v>
      </c>
      <c r="F760">
        <v>1004012881</v>
      </c>
      <c r="G760" s="1">
        <v>45177</v>
      </c>
      <c r="H760" t="s">
        <v>1360</v>
      </c>
      <c r="I760" t="s">
        <v>1374</v>
      </c>
      <c r="J760" t="s">
        <v>1361</v>
      </c>
      <c r="K760" t="s">
        <v>2308</v>
      </c>
      <c r="L760" t="s">
        <v>2305</v>
      </c>
      <c r="M760" t="s">
        <v>1421</v>
      </c>
      <c r="N760" t="s">
        <v>1410</v>
      </c>
      <c r="O760" t="s">
        <v>1411</v>
      </c>
      <c r="P760" t="s">
        <v>1411</v>
      </c>
      <c r="Q760" t="s">
        <v>1412</v>
      </c>
      <c r="S760" s="1">
        <v>46043</v>
      </c>
      <c r="W760" s="1">
        <v>34335</v>
      </c>
      <c r="X760" t="s">
        <v>1539</v>
      </c>
      <c r="Y760" t="s">
        <v>4695</v>
      </c>
      <c r="Z760" t="s">
        <v>3046</v>
      </c>
      <c r="AA760" t="s">
        <v>1419</v>
      </c>
      <c r="AB760" t="s">
        <v>4696</v>
      </c>
      <c r="AC760">
        <v>88998249992</v>
      </c>
    </row>
    <row r="761" spans="1:29" x14ac:dyDescent="0.3">
      <c r="A761" t="s">
        <v>1405</v>
      </c>
      <c r="B761" t="s">
        <v>2302</v>
      </c>
      <c r="C761" t="s">
        <v>4697</v>
      </c>
      <c r="D761">
        <v>94213445020</v>
      </c>
      <c r="E761">
        <v>5063043698</v>
      </c>
      <c r="F761">
        <v>1004013945</v>
      </c>
      <c r="G761" s="1">
        <v>45343</v>
      </c>
      <c r="H761" t="s">
        <v>1360</v>
      </c>
      <c r="I761" t="s">
        <v>1349</v>
      </c>
      <c r="J761" t="s">
        <v>1361</v>
      </c>
      <c r="K761" t="s">
        <v>2308</v>
      </c>
      <c r="L761" t="s">
        <v>2305</v>
      </c>
      <c r="M761" t="s">
        <v>1447</v>
      </c>
      <c r="N761" t="s">
        <v>1448</v>
      </c>
      <c r="O761" t="s">
        <v>1411</v>
      </c>
      <c r="P761" t="s">
        <v>1411</v>
      </c>
      <c r="Q761" t="s">
        <v>1412</v>
      </c>
      <c r="S761" s="1">
        <v>45859</v>
      </c>
      <c r="V761" s="1">
        <v>45854</v>
      </c>
      <c r="W761" s="1">
        <v>29284</v>
      </c>
      <c r="X761" t="s">
        <v>2030</v>
      </c>
      <c r="Y761" t="s">
        <v>4698</v>
      </c>
      <c r="Z761" t="s">
        <v>2378</v>
      </c>
      <c r="AA761" t="s">
        <v>1419</v>
      </c>
      <c r="AB761" t="s">
        <v>4699</v>
      </c>
      <c r="AC761">
        <v>51984415181</v>
      </c>
    </row>
    <row r="762" spans="1:29" x14ac:dyDescent="0.3">
      <c r="A762" t="s">
        <v>1405</v>
      </c>
      <c r="B762" t="s">
        <v>2302</v>
      </c>
      <c r="C762" t="s">
        <v>4700</v>
      </c>
      <c r="D762">
        <v>4827342300</v>
      </c>
      <c r="E762">
        <v>2000030061</v>
      </c>
      <c r="F762">
        <v>1004008417</v>
      </c>
      <c r="G762" s="1">
        <v>44424</v>
      </c>
      <c r="H762" t="s">
        <v>1360</v>
      </c>
      <c r="I762" t="s">
        <v>1374</v>
      </c>
      <c r="J762" t="s">
        <v>1361</v>
      </c>
      <c r="K762" t="s">
        <v>2308</v>
      </c>
      <c r="L762" t="s">
        <v>2305</v>
      </c>
      <c r="M762" t="s">
        <v>1409</v>
      </c>
      <c r="N762" t="s">
        <v>1410</v>
      </c>
      <c r="O762" t="s">
        <v>1411</v>
      </c>
      <c r="P762" t="s">
        <v>1411</v>
      </c>
      <c r="Q762" t="s">
        <v>1412</v>
      </c>
      <c r="S762" s="1">
        <v>46043</v>
      </c>
      <c r="W762" s="1">
        <v>30765</v>
      </c>
      <c r="X762" t="s">
        <v>4701</v>
      </c>
      <c r="Y762" t="s">
        <v>4702</v>
      </c>
      <c r="Z762" t="s">
        <v>2473</v>
      </c>
      <c r="AA762" t="s">
        <v>1419</v>
      </c>
      <c r="AB762" t="s">
        <v>4703</v>
      </c>
      <c r="AC762">
        <v>85992131688</v>
      </c>
    </row>
    <row r="763" spans="1:29" x14ac:dyDescent="0.3">
      <c r="A763" t="s">
        <v>1405</v>
      </c>
      <c r="B763" t="s">
        <v>2302</v>
      </c>
      <c r="C763" t="s">
        <v>4704</v>
      </c>
      <c r="D763">
        <v>12376568420</v>
      </c>
      <c r="E763">
        <v>9842413</v>
      </c>
      <c r="F763">
        <v>1004012345</v>
      </c>
      <c r="G763" s="1">
        <v>45098</v>
      </c>
      <c r="H763" t="s">
        <v>1360</v>
      </c>
      <c r="I763" t="s">
        <v>1374</v>
      </c>
      <c r="J763" t="s">
        <v>1361</v>
      </c>
      <c r="K763" t="s">
        <v>2308</v>
      </c>
      <c r="L763" t="s">
        <v>2305</v>
      </c>
      <c r="M763" t="s">
        <v>1421</v>
      </c>
      <c r="N763" t="s">
        <v>1410</v>
      </c>
      <c r="O763" t="s">
        <v>1411</v>
      </c>
      <c r="P763" t="s">
        <v>1411</v>
      </c>
      <c r="Q763" t="s">
        <v>1412</v>
      </c>
      <c r="S763" s="1">
        <v>46043</v>
      </c>
      <c r="W763" s="1">
        <v>36055</v>
      </c>
      <c r="X763" t="s">
        <v>4705</v>
      </c>
      <c r="Y763" t="s">
        <v>4706</v>
      </c>
      <c r="Z763" t="s">
        <v>4707</v>
      </c>
      <c r="AA763" t="s">
        <v>1419</v>
      </c>
      <c r="AB763" t="s">
        <v>4708</v>
      </c>
      <c r="AC763">
        <v>87981018388</v>
      </c>
    </row>
    <row r="764" spans="1:29" x14ac:dyDescent="0.3">
      <c r="A764" t="s">
        <v>1405</v>
      </c>
      <c r="B764" t="s">
        <v>2302</v>
      </c>
      <c r="C764" t="s">
        <v>4709</v>
      </c>
      <c r="D764">
        <v>96607009549</v>
      </c>
      <c r="E764">
        <v>672648083</v>
      </c>
      <c r="F764">
        <v>1004003109</v>
      </c>
      <c r="G764" s="1">
        <v>43536</v>
      </c>
      <c r="H764" t="s">
        <v>1360</v>
      </c>
      <c r="I764" t="s">
        <v>1374</v>
      </c>
      <c r="J764" t="s">
        <v>2308</v>
      </c>
      <c r="K764" t="s">
        <v>2313</v>
      </c>
      <c r="L764" t="s">
        <v>2305</v>
      </c>
      <c r="M764" t="s">
        <v>1409</v>
      </c>
      <c r="N764" t="s">
        <v>1410</v>
      </c>
      <c r="O764" t="s">
        <v>1423</v>
      </c>
      <c r="P764" t="s">
        <v>1423</v>
      </c>
      <c r="Q764" t="s">
        <v>1412</v>
      </c>
      <c r="S764" s="1">
        <v>46043</v>
      </c>
      <c r="W764" s="1">
        <v>28085</v>
      </c>
      <c r="X764" t="s">
        <v>1954</v>
      </c>
      <c r="Y764" t="s">
        <v>2805</v>
      </c>
      <c r="Z764" t="s">
        <v>2806</v>
      </c>
      <c r="AA764" t="s">
        <v>1419</v>
      </c>
      <c r="AB764" t="s">
        <v>4710</v>
      </c>
      <c r="AC764">
        <v>73988498446</v>
      </c>
    </row>
    <row r="765" spans="1:29" x14ac:dyDescent="0.3">
      <c r="A765" t="s">
        <v>1405</v>
      </c>
      <c r="B765" t="s">
        <v>2302</v>
      </c>
      <c r="C765" t="s">
        <v>4711</v>
      </c>
      <c r="D765">
        <v>50862324220</v>
      </c>
      <c r="E765">
        <v>11803479</v>
      </c>
      <c r="F765">
        <v>42004201742</v>
      </c>
      <c r="G765" s="1">
        <v>42401</v>
      </c>
      <c r="H765" t="s">
        <v>1360</v>
      </c>
      <c r="I765" t="s">
        <v>1374</v>
      </c>
      <c r="J765" t="s">
        <v>2308</v>
      </c>
      <c r="K765" t="s">
        <v>2313</v>
      </c>
      <c r="L765" t="s">
        <v>2305</v>
      </c>
      <c r="M765" t="s">
        <v>1421</v>
      </c>
      <c r="N765" t="s">
        <v>1422</v>
      </c>
      <c r="O765" t="s">
        <v>1423</v>
      </c>
      <c r="P765" t="s">
        <v>1423</v>
      </c>
      <c r="Q765" t="s">
        <v>1412</v>
      </c>
      <c r="S765" s="1">
        <v>46043</v>
      </c>
      <c r="W765" s="1">
        <v>26516</v>
      </c>
      <c r="X765" t="s">
        <v>2826</v>
      </c>
      <c r="Y765" t="s">
        <v>2827</v>
      </c>
      <c r="Z765" t="s">
        <v>2800</v>
      </c>
      <c r="AA765" t="s">
        <v>1419</v>
      </c>
      <c r="AB765" t="s">
        <v>4712</v>
      </c>
    </row>
    <row r="766" spans="1:29" x14ac:dyDescent="0.3">
      <c r="A766" t="s">
        <v>1405</v>
      </c>
      <c r="B766" t="s">
        <v>2302</v>
      </c>
      <c r="C766" t="s">
        <v>4713</v>
      </c>
      <c r="D766">
        <v>84406836934</v>
      </c>
      <c r="E766">
        <v>5468787</v>
      </c>
      <c r="F766">
        <v>42004100635</v>
      </c>
      <c r="G766" s="1">
        <v>39692</v>
      </c>
      <c r="H766" t="s">
        <v>1360</v>
      </c>
      <c r="I766" t="s">
        <v>2604</v>
      </c>
      <c r="J766" t="s">
        <v>2308</v>
      </c>
      <c r="K766" t="s">
        <v>2313</v>
      </c>
      <c r="L766" t="s">
        <v>2305</v>
      </c>
      <c r="M766" t="s">
        <v>1409</v>
      </c>
      <c r="N766" t="s">
        <v>1410</v>
      </c>
      <c r="O766" t="s">
        <v>1423</v>
      </c>
      <c r="P766" t="s">
        <v>1423</v>
      </c>
      <c r="Q766" t="s">
        <v>1412</v>
      </c>
      <c r="S766" s="1">
        <v>42513</v>
      </c>
      <c r="T766" s="1">
        <v>41344</v>
      </c>
      <c r="W766" s="1">
        <v>21394</v>
      </c>
      <c r="X766" t="s">
        <v>3126</v>
      </c>
      <c r="Y766" t="s">
        <v>3115</v>
      </c>
      <c r="Z766" t="s">
        <v>4714</v>
      </c>
      <c r="AA766" t="s">
        <v>1419</v>
      </c>
      <c r="AB766" t="s">
        <v>4715</v>
      </c>
      <c r="AC766">
        <v>4891331840</v>
      </c>
    </row>
    <row r="767" spans="1:29" x14ac:dyDescent="0.3">
      <c r="A767" t="s">
        <v>1405</v>
      </c>
      <c r="B767" t="s">
        <v>2302</v>
      </c>
      <c r="C767" t="s">
        <v>4716</v>
      </c>
      <c r="D767">
        <v>2808771452</v>
      </c>
      <c r="E767">
        <v>5542401</v>
      </c>
      <c r="F767">
        <v>1004005029</v>
      </c>
      <c r="G767" s="1">
        <v>43774</v>
      </c>
      <c r="H767" t="s">
        <v>1360</v>
      </c>
      <c r="I767" t="s">
        <v>1374</v>
      </c>
      <c r="J767" t="s">
        <v>2308</v>
      </c>
      <c r="K767" t="s">
        <v>2313</v>
      </c>
      <c r="L767" t="s">
        <v>2305</v>
      </c>
      <c r="M767" t="s">
        <v>1447</v>
      </c>
      <c r="N767" t="s">
        <v>1448</v>
      </c>
      <c r="O767" t="s">
        <v>1423</v>
      </c>
      <c r="P767" t="s">
        <v>1423</v>
      </c>
      <c r="Q767" t="s">
        <v>1412</v>
      </c>
      <c r="S767" s="1">
        <v>46043</v>
      </c>
      <c r="W767" s="1">
        <v>28754</v>
      </c>
      <c r="X767" t="s">
        <v>4717</v>
      </c>
      <c r="Y767" t="s">
        <v>2190</v>
      </c>
      <c r="Z767" t="s">
        <v>3214</v>
      </c>
      <c r="AA767" t="s">
        <v>1419</v>
      </c>
      <c r="AB767" t="s">
        <v>4718</v>
      </c>
      <c r="AC767">
        <v>87981135063</v>
      </c>
    </row>
    <row r="768" spans="1:29" x14ac:dyDescent="0.3">
      <c r="A768" t="s">
        <v>1405</v>
      </c>
      <c r="B768" t="s">
        <v>2302</v>
      </c>
      <c r="C768" t="s">
        <v>4719</v>
      </c>
      <c r="D768">
        <v>25514785882</v>
      </c>
      <c r="E768">
        <v>4719312</v>
      </c>
      <c r="F768">
        <v>1004012732</v>
      </c>
      <c r="G768" s="1">
        <v>45166</v>
      </c>
      <c r="H768" t="s">
        <v>1360</v>
      </c>
      <c r="I768" t="s">
        <v>1349</v>
      </c>
      <c r="J768" t="s">
        <v>1361</v>
      </c>
      <c r="K768" t="s">
        <v>2308</v>
      </c>
      <c r="L768" t="s">
        <v>2305</v>
      </c>
      <c r="M768" t="s">
        <v>1421</v>
      </c>
      <c r="N768" t="s">
        <v>1410</v>
      </c>
      <c r="O768" t="s">
        <v>1423</v>
      </c>
      <c r="P768" t="s">
        <v>1423</v>
      </c>
      <c r="Q768" t="s">
        <v>1412</v>
      </c>
      <c r="S768" s="1">
        <v>45854</v>
      </c>
      <c r="V768" s="1">
        <v>45852</v>
      </c>
      <c r="W768" s="1">
        <v>26983</v>
      </c>
      <c r="X768" t="s">
        <v>4720</v>
      </c>
      <c r="Z768" t="s">
        <v>4721</v>
      </c>
      <c r="AA768" t="s">
        <v>1419</v>
      </c>
      <c r="AB768" t="s">
        <v>4722</v>
      </c>
      <c r="AC768">
        <v>87996310166</v>
      </c>
    </row>
    <row r="769" spans="1:29" x14ac:dyDescent="0.3">
      <c r="A769" t="s">
        <v>1405</v>
      </c>
      <c r="B769" t="s">
        <v>2302</v>
      </c>
      <c r="C769" t="s">
        <v>4723</v>
      </c>
      <c r="D769">
        <v>82276030330</v>
      </c>
      <c r="E769">
        <v>95017006844</v>
      </c>
      <c r="F769">
        <v>1004018259</v>
      </c>
      <c r="G769" s="1">
        <v>45810</v>
      </c>
      <c r="H769" t="s">
        <v>1360</v>
      </c>
      <c r="I769" t="s">
        <v>1349</v>
      </c>
      <c r="J769" t="s">
        <v>2572</v>
      </c>
      <c r="K769" t="s">
        <v>2573</v>
      </c>
      <c r="L769" t="s">
        <v>2305</v>
      </c>
      <c r="M769" t="s">
        <v>1409</v>
      </c>
      <c r="N769" t="s">
        <v>1410</v>
      </c>
      <c r="O769" t="s">
        <v>1423</v>
      </c>
      <c r="P769" t="s">
        <v>1423</v>
      </c>
      <c r="Q769" t="s">
        <v>1412</v>
      </c>
      <c r="S769" s="1">
        <v>46094</v>
      </c>
      <c r="V769" s="1">
        <v>46092</v>
      </c>
      <c r="W769" s="1">
        <v>28198</v>
      </c>
      <c r="X769" t="s">
        <v>1507</v>
      </c>
      <c r="Z769" t="s">
        <v>3337</v>
      </c>
      <c r="AA769" t="s">
        <v>1419</v>
      </c>
      <c r="AB769" t="s">
        <v>4724</v>
      </c>
      <c r="AC769">
        <v>8581241441</v>
      </c>
    </row>
    <row r="770" spans="1:29" x14ac:dyDescent="0.3">
      <c r="A770" t="s">
        <v>1405</v>
      </c>
      <c r="B770" t="s">
        <v>2302</v>
      </c>
      <c r="C770" t="s">
        <v>4725</v>
      </c>
      <c r="D770">
        <v>1896694209</v>
      </c>
      <c r="E770">
        <v>26581671</v>
      </c>
      <c r="F770">
        <v>1004018077</v>
      </c>
      <c r="G770" s="1">
        <v>45791</v>
      </c>
      <c r="H770" t="s">
        <v>1360</v>
      </c>
      <c r="I770" t="s">
        <v>1349</v>
      </c>
      <c r="J770" t="s">
        <v>1361</v>
      </c>
      <c r="K770" t="s">
        <v>2308</v>
      </c>
      <c r="L770" t="s">
        <v>2305</v>
      </c>
      <c r="M770" t="s">
        <v>1447</v>
      </c>
      <c r="N770" t="s">
        <v>1448</v>
      </c>
      <c r="O770" t="s">
        <v>1411</v>
      </c>
      <c r="P770" t="s">
        <v>1417</v>
      </c>
      <c r="Q770" t="s">
        <v>1412</v>
      </c>
      <c r="S770" s="1">
        <v>45854</v>
      </c>
      <c r="V770" s="1">
        <v>45853</v>
      </c>
      <c r="W770" s="1">
        <v>33827</v>
      </c>
      <c r="X770" t="s">
        <v>4551</v>
      </c>
      <c r="Z770" t="s">
        <v>4726</v>
      </c>
      <c r="AA770" t="s">
        <v>1419</v>
      </c>
      <c r="AB770" t="s">
        <v>4727</v>
      </c>
      <c r="AC770">
        <v>92992711652</v>
      </c>
    </row>
    <row r="771" spans="1:29" x14ac:dyDescent="0.3">
      <c r="A771" t="s">
        <v>1405</v>
      </c>
      <c r="B771" t="s">
        <v>2302</v>
      </c>
      <c r="C771" t="s">
        <v>4728</v>
      </c>
      <c r="D771">
        <v>66377757204</v>
      </c>
      <c r="E771">
        <v>15463869</v>
      </c>
      <c r="F771">
        <v>1004011272</v>
      </c>
      <c r="G771" s="1">
        <v>44986</v>
      </c>
      <c r="H771" t="s">
        <v>1360</v>
      </c>
      <c r="I771" t="s">
        <v>1374</v>
      </c>
      <c r="J771" t="s">
        <v>1361</v>
      </c>
      <c r="K771" t="s">
        <v>2308</v>
      </c>
      <c r="L771" t="s">
        <v>2305</v>
      </c>
      <c r="M771" t="s">
        <v>1447</v>
      </c>
      <c r="N771" t="s">
        <v>1448</v>
      </c>
      <c r="O771" t="s">
        <v>1411</v>
      </c>
      <c r="P771" t="s">
        <v>1411</v>
      </c>
      <c r="Q771" t="s">
        <v>1412</v>
      </c>
      <c r="S771" s="1">
        <v>46043</v>
      </c>
      <c r="W771" s="1">
        <v>29516</v>
      </c>
      <c r="X771" t="s">
        <v>1825</v>
      </c>
      <c r="Y771" t="s">
        <v>1920</v>
      </c>
      <c r="Z771" t="s">
        <v>2903</v>
      </c>
      <c r="AA771" t="s">
        <v>1419</v>
      </c>
      <c r="AB771" t="s">
        <v>4729</v>
      </c>
      <c r="AC771">
        <v>92992223625</v>
      </c>
    </row>
    <row r="772" spans="1:29" x14ac:dyDescent="0.3">
      <c r="A772" t="s">
        <v>1405</v>
      </c>
      <c r="B772" t="s">
        <v>2302</v>
      </c>
      <c r="C772" t="s">
        <v>4730</v>
      </c>
      <c r="D772">
        <v>82276226315</v>
      </c>
      <c r="E772">
        <v>20086093180</v>
      </c>
      <c r="F772">
        <v>1004010138</v>
      </c>
      <c r="G772" s="1">
        <v>44715</v>
      </c>
      <c r="H772" t="s">
        <v>1360</v>
      </c>
      <c r="I772" t="s">
        <v>1349</v>
      </c>
      <c r="J772" t="s">
        <v>1361</v>
      </c>
      <c r="K772" t="s">
        <v>2308</v>
      </c>
      <c r="L772" t="s">
        <v>2305</v>
      </c>
      <c r="M772" t="s">
        <v>1421</v>
      </c>
      <c r="N772" t="s">
        <v>1410</v>
      </c>
      <c r="O772" t="s">
        <v>1411</v>
      </c>
      <c r="P772" t="s">
        <v>1411</v>
      </c>
      <c r="Q772" t="s">
        <v>1412</v>
      </c>
      <c r="S772" s="1">
        <v>46091</v>
      </c>
      <c r="V772" s="1">
        <v>46087</v>
      </c>
      <c r="W772" s="1">
        <v>28666</v>
      </c>
      <c r="X772" t="s">
        <v>1537</v>
      </c>
      <c r="Y772" t="s">
        <v>4731</v>
      </c>
      <c r="Z772" t="s">
        <v>4732</v>
      </c>
      <c r="AA772" t="s">
        <v>1419</v>
      </c>
      <c r="AB772" t="s">
        <v>4733</v>
      </c>
      <c r="AC772">
        <v>85999201630</v>
      </c>
    </row>
    <row r="773" spans="1:29" x14ac:dyDescent="0.3">
      <c r="A773" t="s">
        <v>1405</v>
      </c>
      <c r="B773" t="s">
        <v>2302</v>
      </c>
      <c r="C773" t="s">
        <v>4734</v>
      </c>
      <c r="D773">
        <v>98831119249</v>
      </c>
      <c r="E773">
        <v>22385622</v>
      </c>
      <c r="F773">
        <v>1004018204</v>
      </c>
      <c r="G773" s="1">
        <v>45810</v>
      </c>
      <c r="H773" t="s">
        <v>1360</v>
      </c>
      <c r="I773" t="s">
        <v>1374</v>
      </c>
      <c r="J773" t="s">
        <v>2348</v>
      </c>
      <c r="K773" t="s">
        <v>2308</v>
      </c>
      <c r="L773" t="s">
        <v>2305</v>
      </c>
      <c r="M773" t="s">
        <v>1409</v>
      </c>
      <c r="N773" t="s">
        <v>1410</v>
      </c>
      <c r="O773" t="s">
        <v>1411</v>
      </c>
      <c r="P773" t="s">
        <v>1411</v>
      </c>
      <c r="Q773" t="s">
        <v>1412</v>
      </c>
      <c r="S773" s="1">
        <v>46043</v>
      </c>
      <c r="W773" s="1">
        <v>32843</v>
      </c>
      <c r="X773" t="s">
        <v>1950</v>
      </c>
      <c r="Y773" t="s">
        <v>2000</v>
      </c>
      <c r="Z773" t="s">
        <v>4266</v>
      </c>
      <c r="AA773" t="s">
        <v>1419</v>
      </c>
      <c r="AB773" t="s">
        <v>4735</v>
      </c>
      <c r="AC773">
        <v>92994051467</v>
      </c>
    </row>
    <row r="774" spans="1:29" x14ac:dyDescent="0.3">
      <c r="A774" t="s">
        <v>1405</v>
      </c>
      <c r="B774" t="s">
        <v>2302</v>
      </c>
      <c r="C774" t="s">
        <v>4736</v>
      </c>
      <c r="D774">
        <v>2247748406</v>
      </c>
      <c r="E774">
        <v>5517001</v>
      </c>
      <c r="F774">
        <v>1004009436</v>
      </c>
      <c r="G774" s="1">
        <v>44636</v>
      </c>
      <c r="H774" t="s">
        <v>1360</v>
      </c>
      <c r="I774" t="s">
        <v>1374</v>
      </c>
      <c r="J774" t="s">
        <v>1361</v>
      </c>
      <c r="K774" t="s">
        <v>2308</v>
      </c>
      <c r="L774" t="s">
        <v>2305</v>
      </c>
      <c r="M774" t="s">
        <v>1409</v>
      </c>
      <c r="N774" t="s">
        <v>1410</v>
      </c>
      <c r="O774" t="s">
        <v>1423</v>
      </c>
      <c r="P774" t="s">
        <v>1423</v>
      </c>
      <c r="Q774" t="s">
        <v>1412</v>
      </c>
      <c r="S774" s="1">
        <v>46043</v>
      </c>
      <c r="W774" s="1">
        <v>28267</v>
      </c>
      <c r="X774" t="s">
        <v>3517</v>
      </c>
      <c r="Z774" t="s">
        <v>3077</v>
      </c>
      <c r="AA774" t="s">
        <v>1419</v>
      </c>
      <c r="AB774" t="s">
        <v>4737</v>
      </c>
      <c r="AC774">
        <v>81994785756</v>
      </c>
    </row>
    <row r="775" spans="1:29" x14ac:dyDescent="0.3">
      <c r="A775" t="s">
        <v>1405</v>
      </c>
      <c r="B775" t="s">
        <v>2302</v>
      </c>
      <c r="C775" t="s">
        <v>4738</v>
      </c>
      <c r="D775">
        <v>10003603938</v>
      </c>
      <c r="E775">
        <v>6071745</v>
      </c>
      <c r="F775">
        <v>1004010766</v>
      </c>
      <c r="G775" s="1">
        <v>44817</v>
      </c>
      <c r="H775" t="s">
        <v>1360</v>
      </c>
      <c r="I775" t="s">
        <v>1349</v>
      </c>
      <c r="J775" t="s">
        <v>1361</v>
      </c>
      <c r="K775" t="s">
        <v>2308</v>
      </c>
      <c r="L775" t="s">
        <v>2305</v>
      </c>
      <c r="M775" t="s">
        <v>1447</v>
      </c>
      <c r="N775" t="s">
        <v>1448</v>
      </c>
      <c r="O775" t="s">
        <v>1423</v>
      </c>
      <c r="P775" t="s">
        <v>1423</v>
      </c>
      <c r="Q775" t="s">
        <v>1412</v>
      </c>
      <c r="S775" s="1">
        <v>45847</v>
      </c>
      <c r="V775" s="1">
        <v>45850</v>
      </c>
      <c r="W775" s="1">
        <v>35349</v>
      </c>
      <c r="X775" t="s">
        <v>1728</v>
      </c>
      <c r="Z775" t="s">
        <v>4641</v>
      </c>
      <c r="AA775" t="s">
        <v>1419</v>
      </c>
      <c r="AB775" t="s">
        <v>4739</v>
      </c>
      <c r="AC775">
        <v>48991423270</v>
      </c>
    </row>
    <row r="776" spans="1:29" x14ac:dyDescent="0.3">
      <c r="A776" t="s">
        <v>1405</v>
      </c>
      <c r="B776" t="s">
        <v>2302</v>
      </c>
      <c r="C776" t="s">
        <v>4740</v>
      </c>
      <c r="D776">
        <v>44996990880</v>
      </c>
      <c r="E776">
        <v>10122255</v>
      </c>
      <c r="F776">
        <v>1004011215</v>
      </c>
      <c r="G776" s="1">
        <v>44984</v>
      </c>
      <c r="H776" t="s">
        <v>1360</v>
      </c>
      <c r="I776" t="s">
        <v>1349</v>
      </c>
      <c r="J776" t="s">
        <v>2348</v>
      </c>
      <c r="K776" t="s">
        <v>2308</v>
      </c>
      <c r="L776" t="s">
        <v>2305</v>
      </c>
      <c r="M776" t="s">
        <v>1421</v>
      </c>
      <c r="N776" t="s">
        <v>1422</v>
      </c>
      <c r="O776" t="s">
        <v>1411</v>
      </c>
      <c r="P776" t="s">
        <v>1411</v>
      </c>
      <c r="Q776" t="s">
        <v>1412</v>
      </c>
      <c r="S776" s="1">
        <v>46085</v>
      </c>
      <c r="T776" s="1">
        <v>45848</v>
      </c>
      <c r="U776" s="1">
        <v>45967</v>
      </c>
      <c r="V776" s="1">
        <v>46083</v>
      </c>
      <c r="W776" s="1">
        <v>36419</v>
      </c>
      <c r="X776" t="s">
        <v>4162</v>
      </c>
      <c r="Z776" t="s">
        <v>2594</v>
      </c>
      <c r="AA776" t="s">
        <v>1419</v>
      </c>
      <c r="AB776" t="s">
        <v>4741</v>
      </c>
      <c r="AC776">
        <v>81995209409</v>
      </c>
    </row>
    <row r="777" spans="1:29" x14ac:dyDescent="0.3">
      <c r="A777" t="s">
        <v>1405</v>
      </c>
      <c r="B777" t="s">
        <v>2302</v>
      </c>
      <c r="C777" t="s">
        <v>4742</v>
      </c>
      <c r="D777">
        <v>298270277</v>
      </c>
      <c r="E777">
        <v>6331231</v>
      </c>
      <c r="F777">
        <v>1004021213</v>
      </c>
      <c r="G777" s="1">
        <v>46062</v>
      </c>
      <c r="H777" t="s">
        <v>1360</v>
      </c>
      <c r="I777" t="s">
        <v>1374</v>
      </c>
      <c r="J777" t="s">
        <v>2308</v>
      </c>
      <c r="K777" t="s">
        <v>2313</v>
      </c>
      <c r="L777" t="s">
        <v>2305</v>
      </c>
      <c r="M777" t="s">
        <v>1409</v>
      </c>
      <c r="N777" t="s">
        <v>1410</v>
      </c>
      <c r="O777" t="s">
        <v>1411</v>
      </c>
      <c r="P777" t="s">
        <v>1411</v>
      </c>
      <c r="Q777" t="s">
        <v>1412</v>
      </c>
      <c r="S777" s="1">
        <v>46058</v>
      </c>
      <c r="W777" s="1">
        <v>32453</v>
      </c>
      <c r="X777" t="s">
        <v>3449</v>
      </c>
      <c r="Z777" t="s">
        <v>2518</v>
      </c>
      <c r="AA777" t="s">
        <v>1419</v>
      </c>
      <c r="AB777" t="s">
        <v>4743</v>
      </c>
      <c r="AC777">
        <v>91986133643</v>
      </c>
    </row>
    <row r="778" spans="1:29" x14ac:dyDescent="0.3">
      <c r="A778" t="s">
        <v>1405</v>
      </c>
      <c r="B778" t="s">
        <v>2302</v>
      </c>
      <c r="C778" t="s">
        <v>4744</v>
      </c>
      <c r="D778">
        <v>41627954600</v>
      </c>
      <c r="E778">
        <v>2395268</v>
      </c>
      <c r="F778">
        <v>1004015384</v>
      </c>
      <c r="G778" s="1">
        <v>45509</v>
      </c>
      <c r="H778" t="s">
        <v>1360</v>
      </c>
      <c r="I778" t="s">
        <v>1349</v>
      </c>
      <c r="J778" t="s">
        <v>2348</v>
      </c>
      <c r="K778" t="s">
        <v>2308</v>
      </c>
      <c r="L778" t="s">
        <v>2305</v>
      </c>
      <c r="M778" t="s">
        <v>1409</v>
      </c>
      <c r="N778" t="s">
        <v>1410</v>
      </c>
      <c r="O778" t="s">
        <v>1411</v>
      </c>
      <c r="P778" t="s">
        <v>1411</v>
      </c>
      <c r="Q778" t="s">
        <v>1412</v>
      </c>
      <c r="S778" s="1">
        <v>45756</v>
      </c>
      <c r="V778" s="1">
        <v>45754</v>
      </c>
      <c r="W778" s="1">
        <v>22897</v>
      </c>
      <c r="X778" t="s">
        <v>2103</v>
      </c>
      <c r="Z778" t="s">
        <v>2525</v>
      </c>
      <c r="AA778" t="s">
        <v>1419</v>
      </c>
      <c r="AB778" t="s">
        <v>4745</v>
      </c>
      <c r="AC778">
        <v>38999761127</v>
      </c>
    </row>
    <row r="779" spans="1:29" x14ac:dyDescent="0.3">
      <c r="A779" t="s">
        <v>1405</v>
      </c>
      <c r="B779" t="s">
        <v>2302</v>
      </c>
      <c r="C779" t="s">
        <v>4746</v>
      </c>
      <c r="D779">
        <v>3278358341</v>
      </c>
      <c r="E779">
        <v>2006005193532</v>
      </c>
      <c r="F779">
        <v>1004014293</v>
      </c>
      <c r="G779" s="1">
        <v>45371</v>
      </c>
      <c r="H779" t="s">
        <v>1360</v>
      </c>
      <c r="I779" t="s">
        <v>1374</v>
      </c>
      <c r="J779" t="s">
        <v>2348</v>
      </c>
      <c r="K779" t="s">
        <v>2308</v>
      </c>
      <c r="L779" t="s">
        <v>2305</v>
      </c>
      <c r="M779" t="s">
        <v>1409</v>
      </c>
      <c r="N779" t="s">
        <v>1410</v>
      </c>
      <c r="O779" t="s">
        <v>1423</v>
      </c>
      <c r="P779" t="s">
        <v>1411</v>
      </c>
      <c r="Q779" t="s">
        <v>1412</v>
      </c>
      <c r="S779" s="1">
        <v>46043</v>
      </c>
      <c r="W779" s="1">
        <v>33057</v>
      </c>
      <c r="X779" t="s">
        <v>2851</v>
      </c>
      <c r="Y779" t="s">
        <v>2852</v>
      </c>
      <c r="Z779" t="s">
        <v>2853</v>
      </c>
      <c r="AA779" t="s">
        <v>1419</v>
      </c>
      <c r="AB779" t="s">
        <v>4747</v>
      </c>
      <c r="AC779">
        <v>85999286546</v>
      </c>
    </row>
    <row r="780" spans="1:29" x14ac:dyDescent="0.3">
      <c r="A780" t="s">
        <v>1405</v>
      </c>
      <c r="B780" t="s">
        <v>2302</v>
      </c>
      <c r="C780" t="s">
        <v>4748</v>
      </c>
      <c r="D780">
        <v>6328084382</v>
      </c>
      <c r="E780" t="s">
        <v>4749</v>
      </c>
      <c r="F780">
        <v>1004017553</v>
      </c>
      <c r="G780" s="1">
        <v>45754</v>
      </c>
      <c r="H780" t="s">
        <v>1360</v>
      </c>
      <c r="I780" t="s">
        <v>1374</v>
      </c>
      <c r="J780" t="s">
        <v>1361</v>
      </c>
      <c r="K780" t="s">
        <v>2308</v>
      </c>
      <c r="L780" t="s">
        <v>2305</v>
      </c>
      <c r="M780" t="s">
        <v>1409</v>
      </c>
      <c r="N780" t="s">
        <v>1410</v>
      </c>
      <c r="O780" t="s">
        <v>1411</v>
      </c>
      <c r="P780" t="s">
        <v>1411</v>
      </c>
      <c r="Q780" t="s">
        <v>1412</v>
      </c>
      <c r="R780" t="s">
        <v>4750</v>
      </c>
      <c r="S780" s="1">
        <v>46043</v>
      </c>
      <c r="W780" s="1">
        <v>35309</v>
      </c>
      <c r="X780" t="s">
        <v>2851</v>
      </c>
      <c r="Z780" t="s">
        <v>2853</v>
      </c>
      <c r="AA780" t="s">
        <v>1419</v>
      </c>
      <c r="AB780" t="s">
        <v>4751</v>
      </c>
      <c r="AC780">
        <v>88988004174</v>
      </c>
    </row>
    <row r="781" spans="1:29" x14ac:dyDescent="0.3">
      <c r="A781" t="s">
        <v>1405</v>
      </c>
      <c r="B781" t="s">
        <v>2302</v>
      </c>
      <c r="C781" t="s">
        <v>4752</v>
      </c>
      <c r="D781">
        <v>94376310182</v>
      </c>
      <c r="E781">
        <v>1229214</v>
      </c>
      <c r="F781">
        <v>1004015307</v>
      </c>
      <c r="G781" s="1">
        <v>45509</v>
      </c>
      <c r="H781" t="s">
        <v>1360</v>
      </c>
      <c r="I781" t="s">
        <v>1374</v>
      </c>
      <c r="J781" t="s">
        <v>1361</v>
      </c>
      <c r="K781" t="s">
        <v>2308</v>
      </c>
      <c r="L781" t="s">
        <v>2305</v>
      </c>
      <c r="M781" t="s">
        <v>1409</v>
      </c>
      <c r="N781" t="s">
        <v>1410</v>
      </c>
      <c r="O781" t="s">
        <v>1411</v>
      </c>
      <c r="P781" t="s">
        <v>1411</v>
      </c>
      <c r="Q781" t="s">
        <v>1412</v>
      </c>
      <c r="S781" s="1">
        <v>46069</v>
      </c>
      <c r="W781" s="1">
        <v>29701</v>
      </c>
      <c r="X781" t="s">
        <v>1858</v>
      </c>
      <c r="Y781" t="s">
        <v>1762</v>
      </c>
      <c r="Z781" t="s">
        <v>3866</v>
      </c>
      <c r="AA781" t="s">
        <v>1419</v>
      </c>
      <c r="AB781" t="s">
        <v>1212</v>
      </c>
      <c r="AC781">
        <v>67998506492</v>
      </c>
    </row>
    <row r="782" spans="1:29" x14ac:dyDescent="0.3">
      <c r="A782" t="s">
        <v>1405</v>
      </c>
      <c r="B782" t="s">
        <v>2302</v>
      </c>
      <c r="C782" t="s">
        <v>4753</v>
      </c>
      <c r="D782">
        <v>58711880287</v>
      </c>
      <c r="E782">
        <v>2934000</v>
      </c>
      <c r="F782">
        <v>1004017691</v>
      </c>
      <c r="G782" s="1">
        <v>45763</v>
      </c>
      <c r="H782" t="s">
        <v>1360</v>
      </c>
      <c r="I782" t="s">
        <v>1349</v>
      </c>
      <c r="J782" t="s">
        <v>1361</v>
      </c>
      <c r="K782" t="s">
        <v>2308</v>
      </c>
      <c r="L782" t="s">
        <v>2305</v>
      </c>
      <c r="M782" t="s">
        <v>1409</v>
      </c>
      <c r="N782" t="s">
        <v>1410</v>
      </c>
      <c r="O782" t="s">
        <v>1411</v>
      </c>
      <c r="P782" t="s">
        <v>1411</v>
      </c>
      <c r="Q782" t="s">
        <v>1412</v>
      </c>
      <c r="S782" s="1">
        <v>46087</v>
      </c>
      <c r="V782" s="1">
        <v>46084</v>
      </c>
      <c r="W782" s="1">
        <v>26767</v>
      </c>
      <c r="X782" t="s">
        <v>4754</v>
      </c>
      <c r="Z782" t="s">
        <v>4755</v>
      </c>
      <c r="AA782" t="s">
        <v>1419</v>
      </c>
      <c r="AB782" t="s">
        <v>4756</v>
      </c>
      <c r="AC782">
        <v>91988021763</v>
      </c>
    </row>
    <row r="783" spans="1:29" x14ac:dyDescent="0.3">
      <c r="A783" t="s">
        <v>1405</v>
      </c>
      <c r="B783" t="s">
        <v>2302</v>
      </c>
      <c r="C783" t="s">
        <v>4757</v>
      </c>
      <c r="D783">
        <v>5755171319</v>
      </c>
      <c r="E783">
        <v>2007019075470</v>
      </c>
      <c r="F783">
        <v>1004017070</v>
      </c>
      <c r="G783" s="1">
        <v>45728</v>
      </c>
      <c r="H783" t="s">
        <v>1360</v>
      </c>
      <c r="I783" t="s">
        <v>1374</v>
      </c>
      <c r="J783" t="s">
        <v>1361</v>
      </c>
      <c r="K783" t="s">
        <v>2308</v>
      </c>
      <c r="L783" t="s">
        <v>2305</v>
      </c>
      <c r="M783" t="s">
        <v>1409</v>
      </c>
      <c r="N783" t="s">
        <v>1410</v>
      </c>
      <c r="O783" t="s">
        <v>1411</v>
      </c>
      <c r="P783" t="s">
        <v>1411</v>
      </c>
      <c r="Q783" t="s">
        <v>1412</v>
      </c>
      <c r="S783" s="1">
        <v>46043</v>
      </c>
      <c r="W783" s="1">
        <v>35042</v>
      </c>
      <c r="X783" t="s">
        <v>2504</v>
      </c>
      <c r="Z783" t="s">
        <v>2506</v>
      </c>
      <c r="AA783" t="s">
        <v>1419</v>
      </c>
      <c r="AB783" t="s">
        <v>4758</v>
      </c>
      <c r="AC783">
        <v>88996533607</v>
      </c>
    </row>
    <row r="784" spans="1:29" x14ac:dyDescent="0.3">
      <c r="A784" t="s">
        <v>1405</v>
      </c>
      <c r="B784" t="s">
        <v>2302</v>
      </c>
      <c r="C784" t="s">
        <v>4759</v>
      </c>
      <c r="D784">
        <v>89028058320</v>
      </c>
      <c r="E784">
        <v>316443896</v>
      </c>
      <c r="F784">
        <v>1004019917</v>
      </c>
      <c r="G784" s="1">
        <v>45915</v>
      </c>
      <c r="H784" t="s">
        <v>1360</v>
      </c>
      <c r="I784" t="s">
        <v>1349</v>
      </c>
      <c r="J784" t="s">
        <v>1361</v>
      </c>
      <c r="K784" t="s">
        <v>2308</v>
      </c>
      <c r="L784" t="s">
        <v>2305</v>
      </c>
      <c r="M784" t="s">
        <v>1409</v>
      </c>
      <c r="N784" t="s">
        <v>1410</v>
      </c>
      <c r="O784" t="s">
        <v>1423</v>
      </c>
      <c r="P784" t="s">
        <v>1417</v>
      </c>
      <c r="Q784" t="s">
        <v>1412</v>
      </c>
      <c r="S784" s="1">
        <v>46060</v>
      </c>
      <c r="V784" s="1">
        <v>46056</v>
      </c>
      <c r="W784" s="1">
        <v>28650</v>
      </c>
      <c r="X784" t="s">
        <v>1507</v>
      </c>
      <c r="Z784" t="s">
        <v>3670</v>
      </c>
      <c r="AA784" t="s">
        <v>1419</v>
      </c>
      <c r="AB784" t="s">
        <v>4760</v>
      </c>
      <c r="AC784">
        <v>85996996706</v>
      </c>
    </row>
    <row r="785" spans="1:29" x14ac:dyDescent="0.3">
      <c r="A785" t="s">
        <v>1405</v>
      </c>
      <c r="B785" t="s">
        <v>2302</v>
      </c>
      <c r="C785" t="s">
        <v>4761</v>
      </c>
      <c r="D785">
        <v>82031282387</v>
      </c>
      <c r="E785">
        <v>20082185675</v>
      </c>
      <c r="F785">
        <v>1004006178</v>
      </c>
      <c r="G785" s="1">
        <v>43948</v>
      </c>
      <c r="H785" t="s">
        <v>1360</v>
      </c>
      <c r="I785" t="s">
        <v>1374</v>
      </c>
      <c r="J785" t="s">
        <v>2308</v>
      </c>
      <c r="K785" t="s">
        <v>2313</v>
      </c>
      <c r="L785" t="s">
        <v>2305</v>
      </c>
      <c r="M785" t="s">
        <v>1409</v>
      </c>
      <c r="N785" t="s">
        <v>1410</v>
      </c>
      <c r="O785" t="s">
        <v>1411</v>
      </c>
      <c r="P785" t="s">
        <v>1411</v>
      </c>
      <c r="Q785" t="s">
        <v>1412</v>
      </c>
      <c r="S785" s="1">
        <v>46043</v>
      </c>
      <c r="W785" s="1">
        <v>29152</v>
      </c>
      <c r="X785" t="s">
        <v>4430</v>
      </c>
      <c r="Y785" t="s">
        <v>4762</v>
      </c>
      <c r="Z785" t="s">
        <v>3670</v>
      </c>
      <c r="AA785" t="s">
        <v>1419</v>
      </c>
      <c r="AB785" t="s">
        <v>4763</v>
      </c>
      <c r="AC785">
        <v>88988482090</v>
      </c>
    </row>
    <row r="786" spans="1:29" x14ac:dyDescent="0.3">
      <c r="A786" t="s">
        <v>1405</v>
      </c>
      <c r="B786" t="s">
        <v>2302</v>
      </c>
      <c r="C786" t="s">
        <v>4764</v>
      </c>
      <c r="D786">
        <v>6404076330</v>
      </c>
      <c r="E786" t="s">
        <v>4765</v>
      </c>
      <c r="F786">
        <v>1004014440</v>
      </c>
      <c r="G786" s="1">
        <v>45372</v>
      </c>
      <c r="H786" t="s">
        <v>1360</v>
      </c>
      <c r="I786" t="s">
        <v>1374</v>
      </c>
      <c r="J786" t="s">
        <v>1361</v>
      </c>
      <c r="K786" t="s">
        <v>2308</v>
      </c>
      <c r="L786" t="s">
        <v>2305</v>
      </c>
      <c r="M786" t="s">
        <v>1447</v>
      </c>
      <c r="N786" t="s">
        <v>1448</v>
      </c>
      <c r="O786" t="s">
        <v>1411</v>
      </c>
      <c r="P786" t="s">
        <v>1411</v>
      </c>
      <c r="Q786" t="s">
        <v>1412</v>
      </c>
      <c r="S786" s="1">
        <v>46043</v>
      </c>
      <c r="W786" s="1">
        <v>35424</v>
      </c>
      <c r="X786" t="s">
        <v>3394</v>
      </c>
      <c r="Y786" t="s">
        <v>2424</v>
      </c>
      <c r="Z786" t="s">
        <v>2425</v>
      </c>
      <c r="AA786" t="s">
        <v>1419</v>
      </c>
      <c r="AB786" t="s">
        <v>4766</v>
      </c>
      <c r="AC786">
        <v>88996650969</v>
      </c>
    </row>
    <row r="787" spans="1:29" x14ac:dyDescent="0.3">
      <c r="A787" t="s">
        <v>1405</v>
      </c>
      <c r="B787" t="s">
        <v>2302</v>
      </c>
      <c r="C787" t="s">
        <v>4767</v>
      </c>
      <c r="D787">
        <v>40419983368</v>
      </c>
      <c r="E787">
        <v>91002341020</v>
      </c>
      <c r="F787">
        <v>1004005772</v>
      </c>
      <c r="G787" s="1">
        <v>43911</v>
      </c>
      <c r="H787" t="s">
        <v>1360</v>
      </c>
      <c r="I787" t="s">
        <v>1349</v>
      </c>
      <c r="J787" t="s">
        <v>2308</v>
      </c>
      <c r="K787" t="s">
        <v>2313</v>
      </c>
      <c r="L787" t="s">
        <v>2305</v>
      </c>
      <c r="M787" t="s">
        <v>1409</v>
      </c>
      <c r="N787" t="s">
        <v>1410</v>
      </c>
      <c r="O787" t="s">
        <v>1411</v>
      </c>
      <c r="P787" t="s">
        <v>1411</v>
      </c>
      <c r="Q787" t="s">
        <v>1412</v>
      </c>
      <c r="S787" s="1">
        <v>45855</v>
      </c>
      <c r="V787" s="1">
        <v>45854</v>
      </c>
      <c r="W787" s="1">
        <v>25842</v>
      </c>
      <c r="X787" t="s">
        <v>1507</v>
      </c>
      <c r="Z787" t="s">
        <v>2791</v>
      </c>
      <c r="AA787" t="s">
        <v>1419</v>
      </c>
      <c r="AB787" t="s">
        <v>4768</v>
      </c>
      <c r="AC787">
        <v>85989659193</v>
      </c>
    </row>
    <row r="788" spans="1:29" x14ac:dyDescent="0.3">
      <c r="A788" t="s">
        <v>1405</v>
      </c>
      <c r="B788" t="s">
        <v>2302</v>
      </c>
      <c r="C788" t="s">
        <v>4769</v>
      </c>
      <c r="D788">
        <v>4216213383</v>
      </c>
      <c r="E788">
        <v>2008010320497</v>
      </c>
      <c r="F788">
        <v>1004013739</v>
      </c>
      <c r="G788" s="1">
        <v>45341</v>
      </c>
      <c r="H788" t="s">
        <v>1360</v>
      </c>
      <c r="I788" t="s">
        <v>1349</v>
      </c>
      <c r="J788" t="s">
        <v>1361</v>
      </c>
      <c r="K788" t="s">
        <v>2308</v>
      </c>
      <c r="L788" t="s">
        <v>2305</v>
      </c>
      <c r="M788" t="s">
        <v>1409</v>
      </c>
      <c r="N788" t="s">
        <v>1410</v>
      </c>
      <c r="O788" t="s">
        <v>1411</v>
      </c>
      <c r="P788" t="s">
        <v>1411</v>
      </c>
      <c r="Q788" t="s">
        <v>1412</v>
      </c>
      <c r="S788" s="1">
        <v>46037</v>
      </c>
      <c r="V788" s="1">
        <v>46034</v>
      </c>
      <c r="W788" s="1">
        <v>34551</v>
      </c>
      <c r="X788" t="s">
        <v>1869</v>
      </c>
      <c r="Y788" t="s">
        <v>4770</v>
      </c>
      <c r="Z788" t="s">
        <v>2923</v>
      </c>
      <c r="AA788" t="s">
        <v>1419</v>
      </c>
      <c r="AB788" t="s">
        <v>4771</v>
      </c>
      <c r="AC788">
        <v>88999736288</v>
      </c>
    </row>
    <row r="789" spans="1:29" x14ac:dyDescent="0.3">
      <c r="A789" t="s">
        <v>1405</v>
      </c>
      <c r="B789" t="s">
        <v>2302</v>
      </c>
      <c r="C789" t="s">
        <v>4772</v>
      </c>
      <c r="D789">
        <v>95172572520</v>
      </c>
      <c r="E789" t="s">
        <v>4773</v>
      </c>
      <c r="F789">
        <v>1004015636</v>
      </c>
      <c r="G789" s="1">
        <v>45539</v>
      </c>
      <c r="H789" t="s">
        <v>1360</v>
      </c>
      <c r="I789" t="s">
        <v>1374</v>
      </c>
      <c r="J789" t="s">
        <v>1361</v>
      </c>
      <c r="K789" t="s">
        <v>2308</v>
      </c>
      <c r="L789" t="s">
        <v>2305</v>
      </c>
      <c r="M789" t="s">
        <v>1409</v>
      </c>
      <c r="N789" t="s">
        <v>1410</v>
      </c>
      <c r="O789" t="s">
        <v>1423</v>
      </c>
      <c r="P789" t="s">
        <v>1423</v>
      </c>
      <c r="Q789" t="s">
        <v>1412</v>
      </c>
      <c r="S789" s="1">
        <v>46043</v>
      </c>
      <c r="W789" s="1">
        <v>28246</v>
      </c>
      <c r="X789" t="s">
        <v>4774</v>
      </c>
      <c r="Y789" t="s">
        <v>4775</v>
      </c>
      <c r="Z789" t="s">
        <v>4776</v>
      </c>
      <c r="AA789" t="s">
        <v>1419</v>
      </c>
      <c r="AB789" t="s">
        <v>4777</v>
      </c>
      <c r="AC789">
        <v>75998436541</v>
      </c>
    </row>
    <row r="790" spans="1:29" x14ac:dyDescent="0.3">
      <c r="A790" t="s">
        <v>1405</v>
      </c>
      <c r="B790" t="s">
        <v>2302</v>
      </c>
      <c r="C790" t="s">
        <v>4778</v>
      </c>
      <c r="D790">
        <v>45510555904</v>
      </c>
      <c r="E790" t="s">
        <v>4779</v>
      </c>
      <c r="F790">
        <v>1004000053</v>
      </c>
      <c r="G790" s="1">
        <v>42767</v>
      </c>
      <c r="H790" t="s">
        <v>1360</v>
      </c>
      <c r="I790" t="s">
        <v>1374</v>
      </c>
      <c r="J790" t="s">
        <v>2308</v>
      </c>
      <c r="K790" t="s">
        <v>2313</v>
      </c>
      <c r="L790" t="s">
        <v>2305</v>
      </c>
      <c r="M790" t="s">
        <v>1409</v>
      </c>
      <c r="N790" t="s">
        <v>1410</v>
      </c>
      <c r="O790" t="s">
        <v>1423</v>
      </c>
      <c r="P790" t="s">
        <v>1423</v>
      </c>
      <c r="Q790" t="s">
        <v>1412</v>
      </c>
      <c r="S790" s="1">
        <v>46043</v>
      </c>
      <c r="W790" s="1">
        <v>22458</v>
      </c>
      <c r="X790" t="s">
        <v>4780</v>
      </c>
      <c r="Y790" t="s">
        <v>4781</v>
      </c>
      <c r="Z790" t="s">
        <v>2857</v>
      </c>
      <c r="AA790" t="s">
        <v>1419</v>
      </c>
      <c r="AB790" t="s">
        <v>4782</v>
      </c>
      <c r="AC790">
        <v>48988317379</v>
      </c>
    </row>
    <row r="791" spans="1:29" x14ac:dyDescent="0.3">
      <c r="A791" t="s">
        <v>1405</v>
      </c>
      <c r="B791" t="s">
        <v>2302</v>
      </c>
      <c r="C791" t="s">
        <v>4783</v>
      </c>
      <c r="D791">
        <v>87235234334</v>
      </c>
      <c r="E791">
        <v>2003005029096</v>
      </c>
      <c r="F791">
        <v>1004003635</v>
      </c>
      <c r="G791" s="1">
        <v>43581</v>
      </c>
      <c r="H791" t="s">
        <v>1360</v>
      </c>
      <c r="I791" t="s">
        <v>1349</v>
      </c>
      <c r="J791" t="s">
        <v>2308</v>
      </c>
      <c r="K791" t="s">
        <v>2313</v>
      </c>
      <c r="L791" t="s">
        <v>2305</v>
      </c>
      <c r="M791" t="s">
        <v>1409</v>
      </c>
      <c r="N791" t="s">
        <v>1410</v>
      </c>
      <c r="O791" t="s">
        <v>1411</v>
      </c>
      <c r="P791" t="s">
        <v>1411</v>
      </c>
      <c r="Q791" t="s">
        <v>1412</v>
      </c>
      <c r="S791" s="1">
        <v>46085</v>
      </c>
      <c r="V791" s="1">
        <v>46083</v>
      </c>
      <c r="W791" s="1">
        <v>29514</v>
      </c>
      <c r="X791" t="s">
        <v>4784</v>
      </c>
      <c r="Y791" t="s">
        <v>4785</v>
      </c>
      <c r="Z791" t="s">
        <v>3277</v>
      </c>
      <c r="AA791" t="s">
        <v>1419</v>
      </c>
      <c r="AB791" t="s">
        <v>4786</v>
      </c>
      <c r="AC791">
        <v>88981310144</v>
      </c>
    </row>
    <row r="792" spans="1:29" x14ac:dyDescent="0.3">
      <c r="A792" t="s">
        <v>1405</v>
      </c>
      <c r="B792" t="s">
        <v>2302</v>
      </c>
      <c r="C792" t="s">
        <v>4787</v>
      </c>
      <c r="D792">
        <v>7024542497</v>
      </c>
      <c r="E792">
        <v>30707056</v>
      </c>
      <c r="F792">
        <v>1004013453</v>
      </c>
      <c r="G792" s="1">
        <v>45236</v>
      </c>
      <c r="H792" t="s">
        <v>1360</v>
      </c>
      <c r="I792" t="s">
        <v>1374</v>
      </c>
      <c r="J792" t="s">
        <v>2348</v>
      </c>
      <c r="K792" t="s">
        <v>2308</v>
      </c>
      <c r="L792" t="s">
        <v>2305</v>
      </c>
      <c r="M792" t="s">
        <v>1409</v>
      </c>
      <c r="N792" t="s">
        <v>1410</v>
      </c>
      <c r="O792" t="s">
        <v>1411</v>
      </c>
      <c r="P792" t="s">
        <v>1411</v>
      </c>
      <c r="Q792" t="s">
        <v>1412</v>
      </c>
      <c r="S792" s="1">
        <v>46043</v>
      </c>
      <c r="W792" s="1">
        <v>31661</v>
      </c>
      <c r="X792" t="s">
        <v>3035</v>
      </c>
      <c r="Y792" t="s">
        <v>4788</v>
      </c>
      <c r="Z792" t="s">
        <v>4789</v>
      </c>
      <c r="AA792" t="s">
        <v>1419</v>
      </c>
      <c r="AB792" t="s">
        <v>474</v>
      </c>
      <c r="AC792">
        <v>66999130993</v>
      </c>
    </row>
    <row r="793" spans="1:29" x14ac:dyDescent="0.3">
      <c r="A793" t="s">
        <v>1405</v>
      </c>
      <c r="B793" t="s">
        <v>2302</v>
      </c>
      <c r="C793" t="s">
        <v>4790</v>
      </c>
      <c r="D793">
        <v>4223889397</v>
      </c>
      <c r="E793">
        <v>2006098063090</v>
      </c>
      <c r="F793">
        <v>1004015588</v>
      </c>
      <c r="G793" s="1">
        <v>45537</v>
      </c>
      <c r="H793" t="s">
        <v>1360</v>
      </c>
      <c r="I793" t="s">
        <v>1374</v>
      </c>
      <c r="J793" t="s">
        <v>1361</v>
      </c>
      <c r="K793" t="s">
        <v>2308</v>
      </c>
      <c r="L793" t="s">
        <v>2305</v>
      </c>
      <c r="M793" t="s">
        <v>1409</v>
      </c>
      <c r="N793" t="s">
        <v>1410</v>
      </c>
      <c r="O793" t="s">
        <v>1411</v>
      </c>
      <c r="P793" t="s">
        <v>1411</v>
      </c>
      <c r="Q793" t="s">
        <v>1412</v>
      </c>
      <c r="S793" s="1">
        <v>46043</v>
      </c>
      <c r="W793" s="1">
        <v>33020</v>
      </c>
      <c r="X793" t="s">
        <v>4791</v>
      </c>
      <c r="Y793" t="s">
        <v>4792</v>
      </c>
      <c r="Z793" t="s">
        <v>4149</v>
      </c>
      <c r="AA793" t="s">
        <v>1419</v>
      </c>
      <c r="AB793" t="s">
        <v>4793</v>
      </c>
      <c r="AC793">
        <v>88999200921</v>
      </c>
    </row>
    <row r="794" spans="1:29" x14ac:dyDescent="0.3">
      <c r="A794" t="s">
        <v>1405</v>
      </c>
      <c r="B794" t="s">
        <v>2302</v>
      </c>
      <c r="C794" t="s">
        <v>4794</v>
      </c>
      <c r="D794">
        <v>2615235389</v>
      </c>
      <c r="E794">
        <v>2007347273</v>
      </c>
      <c r="F794">
        <v>1004010429</v>
      </c>
      <c r="G794" s="1">
        <v>44782</v>
      </c>
      <c r="H794" t="s">
        <v>1360</v>
      </c>
      <c r="I794" t="s">
        <v>1374</v>
      </c>
      <c r="J794" t="s">
        <v>2348</v>
      </c>
      <c r="K794" t="s">
        <v>2308</v>
      </c>
      <c r="L794" t="s">
        <v>2305</v>
      </c>
      <c r="M794" t="s">
        <v>1409</v>
      </c>
      <c r="N794" t="s">
        <v>1422</v>
      </c>
      <c r="O794" t="s">
        <v>1423</v>
      </c>
      <c r="P794" t="s">
        <v>1423</v>
      </c>
      <c r="Q794" t="s">
        <v>1412</v>
      </c>
      <c r="S794" s="1">
        <v>46043</v>
      </c>
      <c r="W794" s="1">
        <v>34306</v>
      </c>
      <c r="X794" t="s">
        <v>2504</v>
      </c>
      <c r="Y794" t="s">
        <v>4083</v>
      </c>
      <c r="Z794" t="s">
        <v>2506</v>
      </c>
      <c r="AA794" t="s">
        <v>1419</v>
      </c>
      <c r="AB794" t="s">
        <v>29</v>
      </c>
      <c r="AC794">
        <v>88981943284</v>
      </c>
    </row>
    <row r="795" spans="1:29" x14ac:dyDescent="0.3">
      <c r="A795" t="s">
        <v>1405</v>
      </c>
      <c r="B795" t="s">
        <v>2302</v>
      </c>
      <c r="C795" t="s">
        <v>4795</v>
      </c>
      <c r="D795">
        <v>7457874364</v>
      </c>
      <c r="E795" t="s">
        <v>4796</v>
      </c>
      <c r="F795">
        <v>1004015807</v>
      </c>
      <c r="G795" s="1">
        <v>45552</v>
      </c>
      <c r="H795" t="s">
        <v>1360</v>
      </c>
      <c r="I795" t="s">
        <v>1374</v>
      </c>
      <c r="J795" t="s">
        <v>2348</v>
      </c>
      <c r="K795" t="s">
        <v>2308</v>
      </c>
      <c r="L795" t="s">
        <v>2305</v>
      </c>
      <c r="M795" t="s">
        <v>1409</v>
      </c>
      <c r="N795" t="s">
        <v>1410</v>
      </c>
      <c r="O795" t="s">
        <v>1411</v>
      </c>
      <c r="P795" t="s">
        <v>1411</v>
      </c>
      <c r="Q795" t="s">
        <v>1412</v>
      </c>
      <c r="S795" s="1">
        <v>46043</v>
      </c>
      <c r="W795" s="1">
        <v>35928</v>
      </c>
      <c r="X795" t="s">
        <v>1869</v>
      </c>
      <c r="Z795" t="s">
        <v>4374</v>
      </c>
      <c r="AA795" t="s">
        <v>1419</v>
      </c>
      <c r="AB795" t="s">
        <v>4797</v>
      </c>
      <c r="AC795">
        <v>88999592665</v>
      </c>
    </row>
    <row r="796" spans="1:29" x14ac:dyDescent="0.3">
      <c r="A796" t="s">
        <v>1405</v>
      </c>
      <c r="B796" t="s">
        <v>2302</v>
      </c>
      <c r="C796" t="s">
        <v>4798</v>
      </c>
      <c r="D796">
        <v>7595095492</v>
      </c>
      <c r="E796">
        <v>7730003</v>
      </c>
      <c r="F796">
        <v>1004011694</v>
      </c>
      <c r="G796" s="1">
        <v>45014</v>
      </c>
      <c r="H796" t="s">
        <v>1360</v>
      </c>
      <c r="I796" t="s">
        <v>1374</v>
      </c>
      <c r="J796" t="s">
        <v>2348</v>
      </c>
      <c r="K796" t="s">
        <v>2308</v>
      </c>
      <c r="L796" t="s">
        <v>2305</v>
      </c>
      <c r="M796" t="s">
        <v>1409</v>
      </c>
      <c r="N796" t="s">
        <v>1410</v>
      </c>
      <c r="O796" t="s">
        <v>1411</v>
      </c>
      <c r="P796" t="s">
        <v>1411</v>
      </c>
      <c r="Q796" t="s">
        <v>1412</v>
      </c>
      <c r="S796" s="1">
        <v>46043</v>
      </c>
      <c r="W796" s="1">
        <v>31720</v>
      </c>
      <c r="X796" t="s">
        <v>4717</v>
      </c>
      <c r="Y796" t="s">
        <v>3067</v>
      </c>
      <c r="Z796" t="s">
        <v>2466</v>
      </c>
      <c r="AA796" t="s">
        <v>1419</v>
      </c>
      <c r="AB796" t="s">
        <v>313</v>
      </c>
      <c r="AC796">
        <v>87981660443</v>
      </c>
    </row>
    <row r="797" spans="1:29" x14ac:dyDescent="0.3">
      <c r="A797" t="s">
        <v>1405</v>
      </c>
      <c r="B797" t="s">
        <v>2302</v>
      </c>
      <c r="C797" t="s">
        <v>4799</v>
      </c>
      <c r="D797">
        <v>4376791954</v>
      </c>
      <c r="E797" t="s">
        <v>4800</v>
      </c>
      <c r="F797">
        <v>1004015282</v>
      </c>
      <c r="G797" s="1">
        <v>45510</v>
      </c>
      <c r="H797" t="s">
        <v>1360</v>
      </c>
      <c r="I797" t="s">
        <v>1374</v>
      </c>
      <c r="J797" t="s">
        <v>2348</v>
      </c>
      <c r="K797" t="s">
        <v>2308</v>
      </c>
      <c r="L797" t="s">
        <v>2305</v>
      </c>
      <c r="M797" t="s">
        <v>1409</v>
      </c>
      <c r="N797" t="s">
        <v>1410</v>
      </c>
      <c r="O797" t="s">
        <v>1423</v>
      </c>
      <c r="P797" t="s">
        <v>1423</v>
      </c>
      <c r="Q797" t="s">
        <v>1412</v>
      </c>
      <c r="S797" s="1">
        <v>46043</v>
      </c>
      <c r="W797" s="1">
        <v>31058</v>
      </c>
      <c r="X797" t="s">
        <v>1728</v>
      </c>
      <c r="Z797" t="s">
        <v>4036</v>
      </c>
      <c r="AA797" t="s">
        <v>1419</v>
      </c>
      <c r="AB797" t="s">
        <v>4801</v>
      </c>
      <c r="AC797">
        <v>48998304221</v>
      </c>
    </row>
    <row r="798" spans="1:29" x14ac:dyDescent="0.3">
      <c r="A798" t="s">
        <v>1405</v>
      </c>
      <c r="B798" t="s">
        <v>2302</v>
      </c>
      <c r="C798" t="s">
        <v>4802</v>
      </c>
      <c r="D798">
        <v>828031290</v>
      </c>
      <c r="E798">
        <v>5883329</v>
      </c>
      <c r="F798">
        <v>1004014039</v>
      </c>
      <c r="G798" s="1">
        <v>45356</v>
      </c>
      <c r="H798" t="s">
        <v>1360</v>
      </c>
      <c r="I798" t="s">
        <v>1374</v>
      </c>
      <c r="J798" t="s">
        <v>2348</v>
      </c>
      <c r="K798" t="s">
        <v>2308</v>
      </c>
      <c r="L798" t="s">
        <v>2305</v>
      </c>
      <c r="M798" t="s">
        <v>1421</v>
      </c>
      <c r="N798" t="s">
        <v>1422</v>
      </c>
      <c r="O798" t="s">
        <v>1411</v>
      </c>
      <c r="P798" t="s">
        <v>1411</v>
      </c>
      <c r="Q798" t="s">
        <v>1412</v>
      </c>
      <c r="S798" s="1">
        <v>46043</v>
      </c>
      <c r="W798" s="1">
        <v>33503</v>
      </c>
      <c r="X798" t="s">
        <v>1492</v>
      </c>
      <c r="Z798" t="s">
        <v>3112</v>
      </c>
      <c r="AA798" t="s">
        <v>1419</v>
      </c>
      <c r="AB798" t="s">
        <v>471</v>
      </c>
      <c r="AC798">
        <v>94981306478</v>
      </c>
    </row>
    <row r="799" spans="1:29" x14ac:dyDescent="0.3">
      <c r="A799" t="s">
        <v>1405</v>
      </c>
      <c r="B799" t="s">
        <v>2302</v>
      </c>
      <c r="C799" t="s">
        <v>4803</v>
      </c>
      <c r="D799">
        <v>60631723358</v>
      </c>
      <c r="E799" s="3">
        <v>40009542010</v>
      </c>
      <c r="F799">
        <v>1004016816</v>
      </c>
      <c r="G799" s="1">
        <v>45705</v>
      </c>
      <c r="H799" t="s">
        <v>1360</v>
      </c>
      <c r="I799" t="s">
        <v>1349</v>
      </c>
      <c r="J799" t="s">
        <v>1361</v>
      </c>
      <c r="K799" t="s">
        <v>2308</v>
      </c>
      <c r="L799" t="s">
        <v>2305</v>
      </c>
      <c r="M799" t="s">
        <v>1421</v>
      </c>
      <c r="N799" t="s">
        <v>1422</v>
      </c>
      <c r="O799" t="s">
        <v>1411</v>
      </c>
      <c r="P799" t="s">
        <v>1411</v>
      </c>
      <c r="Q799" t="s">
        <v>1412</v>
      </c>
      <c r="S799" s="1">
        <v>46085</v>
      </c>
      <c r="V799" s="1">
        <v>46083</v>
      </c>
      <c r="W799" s="1">
        <v>34351</v>
      </c>
      <c r="X799" t="s">
        <v>2946</v>
      </c>
      <c r="Y799" t="s">
        <v>4804</v>
      </c>
      <c r="Z799" t="s">
        <v>2947</v>
      </c>
      <c r="AA799" t="s">
        <v>1419</v>
      </c>
      <c r="AB799" t="s">
        <v>4805</v>
      </c>
      <c r="AC799">
        <v>99984419978</v>
      </c>
    </row>
    <row r="800" spans="1:29" x14ac:dyDescent="0.3">
      <c r="A800" t="s">
        <v>1405</v>
      </c>
      <c r="B800" t="s">
        <v>2302</v>
      </c>
      <c r="C800" t="s">
        <v>4806</v>
      </c>
      <c r="D800">
        <v>4360163975</v>
      </c>
      <c r="E800">
        <v>36969931</v>
      </c>
      <c r="F800">
        <v>1004004245</v>
      </c>
      <c r="G800" s="1">
        <v>43684</v>
      </c>
      <c r="H800" t="s">
        <v>1360</v>
      </c>
      <c r="I800" t="s">
        <v>1349</v>
      </c>
      <c r="J800" t="s">
        <v>2308</v>
      </c>
      <c r="K800" t="s">
        <v>2313</v>
      </c>
      <c r="L800" t="s">
        <v>2305</v>
      </c>
      <c r="M800" t="s">
        <v>1409</v>
      </c>
      <c r="N800" t="s">
        <v>1410</v>
      </c>
      <c r="O800" t="s">
        <v>1423</v>
      </c>
      <c r="P800" t="s">
        <v>1423</v>
      </c>
      <c r="Q800" t="s">
        <v>1412</v>
      </c>
      <c r="S800" s="1">
        <v>45841</v>
      </c>
      <c r="V800" s="1">
        <v>45840</v>
      </c>
      <c r="W800" s="1">
        <v>31085</v>
      </c>
      <c r="X800" t="s">
        <v>2456</v>
      </c>
      <c r="Y800" t="s">
        <v>2457</v>
      </c>
      <c r="Z800" t="s">
        <v>2818</v>
      </c>
      <c r="AA800" t="s">
        <v>1419</v>
      </c>
      <c r="AB800" t="s">
        <v>4807</v>
      </c>
      <c r="AC800">
        <v>47991382153</v>
      </c>
    </row>
    <row r="801" spans="1:29" x14ac:dyDescent="0.3">
      <c r="A801" t="s">
        <v>1405</v>
      </c>
      <c r="B801" t="s">
        <v>2302</v>
      </c>
      <c r="C801" t="s">
        <v>4808</v>
      </c>
      <c r="D801">
        <v>35694634861</v>
      </c>
      <c r="E801">
        <v>407990500</v>
      </c>
      <c r="F801">
        <v>1004010449</v>
      </c>
      <c r="G801" s="1">
        <v>44781</v>
      </c>
      <c r="H801" t="s">
        <v>1360</v>
      </c>
      <c r="I801" t="s">
        <v>1374</v>
      </c>
      <c r="J801" t="s">
        <v>2348</v>
      </c>
      <c r="K801" t="s">
        <v>2308</v>
      </c>
      <c r="L801" t="s">
        <v>2305</v>
      </c>
      <c r="M801" t="s">
        <v>1409</v>
      </c>
      <c r="N801" t="s">
        <v>1410</v>
      </c>
      <c r="O801" t="s">
        <v>1423</v>
      </c>
      <c r="P801" t="s">
        <v>1423</v>
      </c>
      <c r="Q801" t="s">
        <v>1412</v>
      </c>
      <c r="S801" s="1">
        <v>46043</v>
      </c>
      <c r="W801" s="1">
        <v>31706</v>
      </c>
      <c r="X801" t="s">
        <v>4809</v>
      </c>
      <c r="Y801" t="s">
        <v>4810</v>
      </c>
      <c r="Z801" t="s">
        <v>4811</v>
      </c>
      <c r="AA801" t="s">
        <v>1419</v>
      </c>
      <c r="AB801" t="s">
        <v>927</v>
      </c>
      <c r="AC801">
        <v>17997818127</v>
      </c>
    </row>
    <row r="802" spans="1:29" x14ac:dyDescent="0.3">
      <c r="A802" t="s">
        <v>1405</v>
      </c>
      <c r="B802" t="s">
        <v>2302</v>
      </c>
      <c r="C802" t="s">
        <v>4812</v>
      </c>
      <c r="D802">
        <v>7096421998</v>
      </c>
      <c r="E802">
        <v>5786799</v>
      </c>
      <c r="F802">
        <v>1004007715</v>
      </c>
      <c r="G802" s="1">
        <v>44295</v>
      </c>
      <c r="H802" t="s">
        <v>1360</v>
      </c>
      <c r="I802" t="s">
        <v>1374</v>
      </c>
      <c r="J802" t="s">
        <v>2308</v>
      </c>
      <c r="K802" t="s">
        <v>2313</v>
      </c>
      <c r="L802" t="s">
        <v>2305</v>
      </c>
      <c r="M802" t="s">
        <v>1409</v>
      </c>
      <c r="N802" t="s">
        <v>1410</v>
      </c>
      <c r="O802" t="s">
        <v>1423</v>
      </c>
      <c r="P802" t="s">
        <v>1423</v>
      </c>
      <c r="Q802" t="s">
        <v>1412</v>
      </c>
      <c r="S802" s="1">
        <v>46043</v>
      </c>
      <c r="W802" s="1">
        <v>33786</v>
      </c>
      <c r="X802" t="s">
        <v>1669</v>
      </c>
      <c r="Y802" t="s">
        <v>3115</v>
      </c>
      <c r="Z802" t="s">
        <v>2876</v>
      </c>
      <c r="AA802" t="s">
        <v>1419</v>
      </c>
      <c r="AB802" t="s">
        <v>4813</v>
      </c>
      <c r="AC802">
        <v>48991831223</v>
      </c>
    </row>
    <row r="803" spans="1:29" x14ac:dyDescent="0.3">
      <c r="A803" t="s">
        <v>1405</v>
      </c>
      <c r="B803" t="s">
        <v>2302</v>
      </c>
      <c r="C803" t="s">
        <v>4814</v>
      </c>
      <c r="D803">
        <v>6624734930</v>
      </c>
      <c r="E803">
        <v>99663707</v>
      </c>
      <c r="F803">
        <v>1004010992</v>
      </c>
      <c r="G803" s="1">
        <v>44858</v>
      </c>
      <c r="H803" t="s">
        <v>1360</v>
      </c>
      <c r="I803" t="s">
        <v>1349</v>
      </c>
      <c r="J803" t="s">
        <v>2348</v>
      </c>
      <c r="K803" t="s">
        <v>2308</v>
      </c>
      <c r="L803" t="s">
        <v>2305</v>
      </c>
      <c r="M803" t="s">
        <v>1421</v>
      </c>
      <c r="N803" t="s">
        <v>1422</v>
      </c>
      <c r="O803" t="s">
        <v>1411</v>
      </c>
      <c r="P803" t="s">
        <v>1411</v>
      </c>
      <c r="Q803" t="s">
        <v>1412</v>
      </c>
      <c r="S803" s="1">
        <v>45828</v>
      </c>
      <c r="V803" s="1">
        <v>45826</v>
      </c>
      <c r="W803" s="1">
        <v>32727</v>
      </c>
      <c r="X803" t="s">
        <v>4815</v>
      </c>
      <c r="Y803" t="s">
        <v>4816</v>
      </c>
      <c r="Z803" t="s">
        <v>4817</v>
      </c>
      <c r="AA803" t="s">
        <v>1419</v>
      </c>
      <c r="AB803" t="s">
        <v>4818</v>
      </c>
      <c r="AC803">
        <v>46991026398</v>
      </c>
    </row>
    <row r="804" spans="1:29" x14ac:dyDescent="0.3">
      <c r="A804" t="s">
        <v>1405</v>
      </c>
      <c r="B804" t="s">
        <v>2302</v>
      </c>
      <c r="C804" t="s">
        <v>4819</v>
      </c>
      <c r="D804">
        <v>955699100</v>
      </c>
      <c r="E804">
        <v>1422556</v>
      </c>
      <c r="F804">
        <v>1004011687</v>
      </c>
      <c r="G804" s="1">
        <v>45013</v>
      </c>
      <c r="H804" t="s">
        <v>1360</v>
      </c>
      <c r="I804" t="s">
        <v>1374</v>
      </c>
      <c r="J804" t="s">
        <v>2348</v>
      </c>
      <c r="K804" t="s">
        <v>2308</v>
      </c>
      <c r="L804" t="s">
        <v>2305</v>
      </c>
      <c r="M804" t="s">
        <v>1421</v>
      </c>
      <c r="N804" t="s">
        <v>1422</v>
      </c>
      <c r="O804" t="s">
        <v>1462</v>
      </c>
      <c r="P804" t="s">
        <v>1462</v>
      </c>
      <c r="Q804" t="s">
        <v>1412</v>
      </c>
      <c r="S804" s="1">
        <v>46069</v>
      </c>
      <c r="W804" s="1">
        <v>30751</v>
      </c>
      <c r="X804" t="s">
        <v>2194</v>
      </c>
      <c r="Y804" t="s">
        <v>4820</v>
      </c>
      <c r="Z804" t="s">
        <v>4821</v>
      </c>
      <c r="AA804" t="s">
        <v>1419</v>
      </c>
      <c r="AB804" t="s">
        <v>4822</v>
      </c>
      <c r="AC804">
        <v>67996777962</v>
      </c>
    </row>
    <row r="805" spans="1:29" x14ac:dyDescent="0.3">
      <c r="A805" t="s">
        <v>1405</v>
      </c>
      <c r="B805" t="s">
        <v>2302</v>
      </c>
      <c r="C805" t="s">
        <v>4823</v>
      </c>
      <c r="D805">
        <v>10063124637</v>
      </c>
      <c r="E805">
        <v>16097405</v>
      </c>
      <c r="F805">
        <v>1004009423</v>
      </c>
      <c r="G805" s="1">
        <v>44630</v>
      </c>
      <c r="H805" t="s">
        <v>1360</v>
      </c>
      <c r="I805" t="s">
        <v>1374</v>
      </c>
      <c r="J805" t="s">
        <v>1361</v>
      </c>
      <c r="K805" t="s">
        <v>2308</v>
      </c>
      <c r="L805" t="s">
        <v>2305</v>
      </c>
      <c r="M805" t="s">
        <v>1442</v>
      </c>
      <c r="N805" t="s">
        <v>1443</v>
      </c>
      <c r="O805" t="s">
        <v>1423</v>
      </c>
      <c r="P805" t="s">
        <v>1423</v>
      </c>
      <c r="Q805" t="s">
        <v>1412</v>
      </c>
      <c r="S805" s="1">
        <v>46043</v>
      </c>
      <c r="W805" s="1">
        <v>33147</v>
      </c>
      <c r="X805" t="s">
        <v>4824</v>
      </c>
      <c r="Y805" t="s">
        <v>4825</v>
      </c>
      <c r="Z805" t="s">
        <v>4573</v>
      </c>
      <c r="AA805" t="s">
        <v>1419</v>
      </c>
      <c r="AB805" t="s">
        <v>4826</v>
      </c>
      <c r="AC805">
        <v>14981779397</v>
      </c>
    </row>
    <row r="806" spans="1:29" x14ac:dyDescent="0.3">
      <c r="A806" t="s">
        <v>1405</v>
      </c>
      <c r="B806" t="s">
        <v>2302</v>
      </c>
      <c r="C806" t="s">
        <v>4827</v>
      </c>
      <c r="D806">
        <v>6866955424</v>
      </c>
      <c r="E806">
        <v>7237125</v>
      </c>
      <c r="F806">
        <v>1004004451</v>
      </c>
      <c r="G806" s="1">
        <v>43697</v>
      </c>
      <c r="H806" t="s">
        <v>1360</v>
      </c>
      <c r="I806" t="s">
        <v>1349</v>
      </c>
      <c r="J806" t="s">
        <v>2308</v>
      </c>
      <c r="K806" t="s">
        <v>2313</v>
      </c>
      <c r="L806" t="s">
        <v>2305</v>
      </c>
      <c r="M806" t="s">
        <v>1447</v>
      </c>
      <c r="N806" t="s">
        <v>1448</v>
      </c>
      <c r="O806" t="s">
        <v>1423</v>
      </c>
      <c r="P806" t="s">
        <v>1423</v>
      </c>
      <c r="Q806" t="s">
        <v>1412</v>
      </c>
      <c r="S806" s="1">
        <v>46061</v>
      </c>
      <c r="V806" s="1">
        <v>46058</v>
      </c>
      <c r="W806" s="1">
        <v>32687</v>
      </c>
      <c r="X806" t="s">
        <v>4828</v>
      </c>
      <c r="Z806" t="s">
        <v>4829</v>
      </c>
      <c r="AA806" t="s">
        <v>1419</v>
      </c>
      <c r="AB806" t="s">
        <v>4830</v>
      </c>
      <c r="AC806">
        <v>87988199740</v>
      </c>
    </row>
    <row r="807" spans="1:29" x14ac:dyDescent="0.3">
      <c r="A807" t="s">
        <v>1405</v>
      </c>
      <c r="B807" t="s">
        <v>2302</v>
      </c>
      <c r="C807" t="s">
        <v>4831</v>
      </c>
      <c r="D807">
        <v>7477440505</v>
      </c>
      <c r="E807" t="s">
        <v>4832</v>
      </c>
      <c r="F807">
        <v>1004021312</v>
      </c>
      <c r="G807" s="1">
        <v>46065</v>
      </c>
      <c r="H807" t="s">
        <v>1360</v>
      </c>
      <c r="I807" t="s">
        <v>1374</v>
      </c>
      <c r="J807" t="s">
        <v>2308</v>
      </c>
      <c r="K807" t="s">
        <v>2313</v>
      </c>
      <c r="L807" t="s">
        <v>2305</v>
      </c>
      <c r="M807" t="s">
        <v>1409</v>
      </c>
      <c r="N807" t="s">
        <v>1410</v>
      </c>
      <c r="O807" t="s">
        <v>1423</v>
      </c>
      <c r="P807" t="s">
        <v>1423</v>
      </c>
      <c r="Q807" t="s">
        <v>1412</v>
      </c>
      <c r="S807" s="1">
        <v>46064</v>
      </c>
      <c r="W807" s="1">
        <v>36148</v>
      </c>
      <c r="X807" t="s">
        <v>1428</v>
      </c>
      <c r="Z807" t="s">
        <v>3319</v>
      </c>
      <c r="AA807" t="s">
        <v>1419</v>
      </c>
      <c r="AB807" t="s">
        <v>4833</v>
      </c>
      <c r="AC807">
        <v>79996120235</v>
      </c>
    </row>
    <row r="808" spans="1:29" x14ac:dyDescent="0.3">
      <c r="A808" t="s">
        <v>1405</v>
      </c>
      <c r="B808" t="s">
        <v>2302</v>
      </c>
      <c r="C808" t="s">
        <v>4834</v>
      </c>
      <c r="D808">
        <v>385005580</v>
      </c>
      <c r="E808">
        <v>971255717</v>
      </c>
      <c r="F808">
        <v>1004012689</v>
      </c>
      <c r="G808" s="1">
        <v>45157</v>
      </c>
      <c r="H808" t="s">
        <v>1360</v>
      </c>
      <c r="I808" t="s">
        <v>1374</v>
      </c>
      <c r="J808" t="s">
        <v>2308</v>
      </c>
      <c r="K808" t="s">
        <v>2313</v>
      </c>
      <c r="L808" t="s">
        <v>2305</v>
      </c>
      <c r="M808" t="s">
        <v>1409</v>
      </c>
      <c r="N808" t="s">
        <v>1410</v>
      </c>
      <c r="O808" t="s">
        <v>1411</v>
      </c>
      <c r="P808" t="s">
        <v>1411</v>
      </c>
      <c r="Q808" t="s">
        <v>1412</v>
      </c>
      <c r="S808" s="1">
        <v>46043</v>
      </c>
      <c r="W808" s="1">
        <v>30102</v>
      </c>
      <c r="X808" t="s">
        <v>2361</v>
      </c>
      <c r="Z808" t="s">
        <v>2363</v>
      </c>
      <c r="AA808" t="s">
        <v>1419</v>
      </c>
      <c r="AB808" t="s">
        <v>4835</v>
      </c>
      <c r="AC808">
        <v>75992681773</v>
      </c>
    </row>
    <row r="809" spans="1:29" x14ac:dyDescent="0.3">
      <c r="A809" t="s">
        <v>1405</v>
      </c>
      <c r="B809" t="s">
        <v>2302</v>
      </c>
      <c r="C809" t="s">
        <v>4836</v>
      </c>
      <c r="D809">
        <v>2126142078</v>
      </c>
      <c r="E809">
        <v>1082653476</v>
      </c>
      <c r="F809">
        <v>1004018221</v>
      </c>
      <c r="G809" s="1">
        <v>45810</v>
      </c>
      <c r="H809" t="s">
        <v>1360</v>
      </c>
      <c r="I809" t="s">
        <v>1349</v>
      </c>
      <c r="J809" t="s">
        <v>2348</v>
      </c>
      <c r="K809" t="s">
        <v>2308</v>
      </c>
      <c r="L809" t="s">
        <v>2305</v>
      </c>
      <c r="M809" t="s">
        <v>1409</v>
      </c>
      <c r="N809" t="s">
        <v>1410</v>
      </c>
      <c r="O809" t="s">
        <v>1423</v>
      </c>
      <c r="P809" t="s">
        <v>1423</v>
      </c>
      <c r="Q809" t="s">
        <v>1412</v>
      </c>
      <c r="S809" s="1">
        <v>45855</v>
      </c>
      <c r="V809" s="1">
        <v>45854</v>
      </c>
      <c r="W809" s="1">
        <v>32184</v>
      </c>
      <c r="X809" t="s">
        <v>4837</v>
      </c>
      <c r="Y809" t="s">
        <v>4838</v>
      </c>
      <c r="Z809" t="s">
        <v>2358</v>
      </c>
      <c r="AA809" t="s">
        <v>1419</v>
      </c>
      <c r="AB809" t="s">
        <v>4839</v>
      </c>
      <c r="AC809">
        <v>51995773397</v>
      </c>
    </row>
    <row r="810" spans="1:29" x14ac:dyDescent="0.3">
      <c r="A810" t="s">
        <v>1405</v>
      </c>
      <c r="B810" t="s">
        <v>2302</v>
      </c>
      <c r="C810" t="s">
        <v>4840</v>
      </c>
      <c r="D810">
        <v>6257681596</v>
      </c>
      <c r="E810">
        <v>1293913367</v>
      </c>
      <c r="F810">
        <v>1004021475</v>
      </c>
      <c r="G810" s="1">
        <v>46083</v>
      </c>
      <c r="H810" t="s">
        <v>1360</v>
      </c>
      <c r="I810" t="s">
        <v>1374</v>
      </c>
      <c r="J810" t="s">
        <v>1361</v>
      </c>
      <c r="K810" t="s">
        <v>2308</v>
      </c>
      <c r="L810" t="s">
        <v>2305</v>
      </c>
      <c r="M810" t="s">
        <v>1447</v>
      </c>
      <c r="N810" t="s">
        <v>1448</v>
      </c>
      <c r="O810" t="s">
        <v>1423</v>
      </c>
      <c r="P810" t="s">
        <v>1423</v>
      </c>
      <c r="Q810" t="s">
        <v>1412</v>
      </c>
      <c r="S810" s="1">
        <v>46085</v>
      </c>
      <c r="W810" s="1">
        <v>34268</v>
      </c>
      <c r="X810" t="s">
        <v>1667</v>
      </c>
      <c r="Z810" t="s">
        <v>2363</v>
      </c>
      <c r="AA810" t="s">
        <v>1419</v>
      </c>
      <c r="AB810" t="s">
        <v>4841</v>
      </c>
      <c r="AC810">
        <v>75991426338</v>
      </c>
    </row>
    <row r="811" spans="1:29" x14ac:dyDescent="0.3">
      <c r="A811" t="s">
        <v>1405</v>
      </c>
      <c r="B811" t="s">
        <v>2302</v>
      </c>
      <c r="C811" t="s">
        <v>4842</v>
      </c>
      <c r="D811">
        <v>3411809396</v>
      </c>
      <c r="E811" t="s">
        <v>4843</v>
      </c>
      <c r="F811">
        <v>1004015296</v>
      </c>
      <c r="G811" s="1">
        <v>45513</v>
      </c>
      <c r="H811" t="s">
        <v>1360</v>
      </c>
      <c r="I811" t="s">
        <v>1374</v>
      </c>
      <c r="J811" t="s">
        <v>1361</v>
      </c>
      <c r="K811" t="s">
        <v>2308</v>
      </c>
      <c r="L811" t="s">
        <v>2305</v>
      </c>
      <c r="M811" t="s">
        <v>1409</v>
      </c>
      <c r="N811" t="s">
        <v>1410</v>
      </c>
      <c r="O811" t="s">
        <v>1411</v>
      </c>
      <c r="P811" t="s">
        <v>1411</v>
      </c>
      <c r="Q811" t="s">
        <v>1412</v>
      </c>
      <c r="S811" s="1">
        <v>46043</v>
      </c>
      <c r="W811" s="1">
        <v>33990</v>
      </c>
      <c r="X811" t="s">
        <v>1537</v>
      </c>
      <c r="Y811" t="s">
        <v>4731</v>
      </c>
      <c r="Z811" t="s">
        <v>4732</v>
      </c>
      <c r="AA811" t="s">
        <v>1419</v>
      </c>
      <c r="AB811" t="s">
        <v>4844</v>
      </c>
      <c r="AC811">
        <v>85992813022</v>
      </c>
    </row>
    <row r="812" spans="1:29" x14ac:dyDescent="0.3">
      <c r="A812" t="s">
        <v>1405</v>
      </c>
      <c r="B812" t="s">
        <v>2302</v>
      </c>
      <c r="C812" t="s">
        <v>4845</v>
      </c>
      <c r="D812">
        <v>7446078928</v>
      </c>
      <c r="E812">
        <v>5640684</v>
      </c>
      <c r="F812">
        <v>1004001634</v>
      </c>
      <c r="G812" s="1">
        <v>43180</v>
      </c>
      <c r="H812" t="s">
        <v>1360</v>
      </c>
      <c r="I812" t="s">
        <v>1374</v>
      </c>
      <c r="J812" t="s">
        <v>2308</v>
      </c>
      <c r="K812" t="s">
        <v>2313</v>
      </c>
      <c r="L812" t="s">
        <v>2305</v>
      </c>
      <c r="M812" t="s">
        <v>1409</v>
      </c>
      <c r="N812" t="s">
        <v>1410</v>
      </c>
      <c r="O812" t="s">
        <v>1423</v>
      </c>
      <c r="P812" t="s">
        <v>1423</v>
      </c>
      <c r="Q812" t="s">
        <v>1593</v>
      </c>
      <c r="R812" t="s">
        <v>2417</v>
      </c>
      <c r="S812" s="1">
        <v>46043</v>
      </c>
      <c r="W812" s="1">
        <v>32633</v>
      </c>
      <c r="X812" t="s">
        <v>1639</v>
      </c>
      <c r="Y812" t="s">
        <v>1640</v>
      </c>
      <c r="Z812" t="s">
        <v>2732</v>
      </c>
      <c r="AA812" t="s">
        <v>1415</v>
      </c>
      <c r="AB812" t="s">
        <v>4846</v>
      </c>
      <c r="AC812">
        <v>4736442554</v>
      </c>
    </row>
    <row r="813" spans="1:29" x14ac:dyDescent="0.3">
      <c r="A813" t="s">
        <v>1405</v>
      </c>
      <c r="B813" t="s">
        <v>2302</v>
      </c>
      <c r="C813" t="s">
        <v>4847</v>
      </c>
      <c r="D813">
        <v>5167190339</v>
      </c>
      <c r="E813">
        <v>344753920075</v>
      </c>
      <c r="F813">
        <v>1004011512</v>
      </c>
      <c r="G813" s="1">
        <v>44991</v>
      </c>
      <c r="H813" t="s">
        <v>1360</v>
      </c>
      <c r="I813" t="s">
        <v>1374</v>
      </c>
      <c r="J813" t="s">
        <v>2348</v>
      </c>
      <c r="K813" t="s">
        <v>2308</v>
      </c>
      <c r="L813" t="s">
        <v>2305</v>
      </c>
      <c r="M813" t="s">
        <v>1409</v>
      </c>
      <c r="N813" t="s">
        <v>1410</v>
      </c>
      <c r="O813" t="s">
        <v>1423</v>
      </c>
      <c r="P813" t="s">
        <v>1423</v>
      </c>
      <c r="Q813" t="s">
        <v>1412</v>
      </c>
      <c r="S813" s="1">
        <v>46069</v>
      </c>
      <c r="W813" s="1">
        <v>32755</v>
      </c>
      <c r="X813" t="s">
        <v>1613</v>
      </c>
      <c r="Z813" t="s">
        <v>4668</v>
      </c>
      <c r="AA813" t="s">
        <v>1415</v>
      </c>
      <c r="AB813" t="s">
        <v>4848</v>
      </c>
      <c r="AC813">
        <v>98984229000</v>
      </c>
    </row>
    <row r="814" spans="1:29" x14ac:dyDescent="0.3">
      <c r="A814" t="s">
        <v>1405</v>
      </c>
      <c r="B814" t="s">
        <v>2302</v>
      </c>
      <c r="C814" t="s">
        <v>4849</v>
      </c>
      <c r="D814">
        <v>4128862940</v>
      </c>
      <c r="E814">
        <v>3743380</v>
      </c>
      <c r="F814">
        <v>1004009267</v>
      </c>
      <c r="G814" s="1">
        <v>44615</v>
      </c>
      <c r="H814" t="s">
        <v>1360</v>
      </c>
      <c r="I814" t="s">
        <v>1349</v>
      </c>
      <c r="J814" t="s">
        <v>1361</v>
      </c>
      <c r="K814" t="s">
        <v>2308</v>
      </c>
      <c r="L814" t="s">
        <v>2305</v>
      </c>
      <c r="M814" t="s">
        <v>1409</v>
      </c>
      <c r="N814" t="s">
        <v>1410</v>
      </c>
      <c r="O814" t="s">
        <v>1423</v>
      </c>
      <c r="P814" t="s">
        <v>1423</v>
      </c>
      <c r="Q814" t="s">
        <v>1412</v>
      </c>
      <c r="S814" s="1">
        <v>45862</v>
      </c>
      <c r="V814" s="1">
        <v>45859</v>
      </c>
      <c r="W814" s="1">
        <v>30964</v>
      </c>
      <c r="X814" t="s">
        <v>4217</v>
      </c>
      <c r="Y814" t="s">
        <v>4218</v>
      </c>
      <c r="Z814" t="s">
        <v>2715</v>
      </c>
      <c r="AA814" t="s">
        <v>1419</v>
      </c>
      <c r="AB814" t="s">
        <v>4850</v>
      </c>
      <c r="AC814">
        <v>49991187567</v>
      </c>
    </row>
    <row r="815" spans="1:29" x14ac:dyDescent="0.3">
      <c r="A815" t="s">
        <v>1405</v>
      </c>
      <c r="B815" t="s">
        <v>2302</v>
      </c>
      <c r="C815" t="s">
        <v>4851</v>
      </c>
      <c r="D815">
        <v>14625318149</v>
      </c>
      <c r="E815" t="s">
        <v>4852</v>
      </c>
      <c r="F815">
        <v>42004102964</v>
      </c>
      <c r="G815" s="1">
        <v>40730</v>
      </c>
      <c r="H815" t="s">
        <v>1360</v>
      </c>
      <c r="I815" t="s">
        <v>2604</v>
      </c>
      <c r="J815" t="s">
        <v>2308</v>
      </c>
      <c r="K815" t="s">
        <v>2313</v>
      </c>
      <c r="L815" t="s">
        <v>2305</v>
      </c>
      <c r="M815" t="s">
        <v>1409</v>
      </c>
      <c r="N815" t="s">
        <v>1410</v>
      </c>
      <c r="O815" t="s">
        <v>1411</v>
      </c>
      <c r="P815" t="s">
        <v>1411</v>
      </c>
      <c r="Q815" t="s">
        <v>1412</v>
      </c>
      <c r="S815" s="1">
        <v>43493</v>
      </c>
      <c r="T815" s="1">
        <v>43320</v>
      </c>
      <c r="W815" s="1">
        <v>20452</v>
      </c>
      <c r="X815" t="s">
        <v>4853</v>
      </c>
      <c r="Y815" t="s">
        <v>4854</v>
      </c>
      <c r="Z815" t="s">
        <v>4714</v>
      </c>
      <c r="AA815" t="s">
        <v>1419</v>
      </c>
      <c r="AB815" t="s">
        <v>4855</v>
      </c>
      <c r="AC815">
        <v>4836280421</v>
      </c>
    </row>
    <row r="816" spans="1:29" x14ac:dyDescent="0.3">
      <c r="A816" t="s">
        <v>1405</v>
      </c>
      <c r="B816" t="s">
        <v>2302</v>
      </c>
      <c r="C816" t="s">
        <v>4856</v>
      </c>
      <c r="D816">
        <v>10893514705</v>
      </c>
      <c r="E816">
        <v>213175706</v>
      </c>
      <c r="F816">
        <v>1004010452</v>
      </c>
      <c r="G816" s="1">
        <v>44781</v>
      </c>
      <c r="H816" t="s">
        <v>1360</v>
      </c>
      <c r="I816" t="s">
        <v>1349</v>
      </c>
      <c r="J816" t="s">
        <v>2348</v>
      </c>
      <c r="K816" t="s">
        <v>2308</v>
      </c>
      <c r="L816" t="s">
        <v>2305</v>
      </c>
      <c r="M816" t="s">
        <v>1421</v>
      </c>
      <c r="N816" t="s">
        <v>1422</v>
      </c>
      <c r="O816" t="s">
        <v>1423</v>
      </c>
      <c r="P816" t="s">
        <v>1423</v>
      </c>
      <c r="Q816" t="s">
        <v>1412</v>
      </c>
      <c r="S816" s="1">
        <v>45737</v>
      </c>
      <c r="V816" s="1">
        <v>45733</v>
      </c>
      <c r="W816" s="1">
        <v>31663</v>
      </c>
      <c r="X816" t="s">
        <v>2412</v>
      </c>
      <c r="Y816" t="s">
        <v>2171</v>
      </c>
      <c r="Z816" t="s">
        <v>3367</v>
      </c>
      <c r="AA816" t="s">
        <v>1419</v>
      </c>
      <c r="AB816" t="s">
        <v>4857</v>
      </c>
      <c r="AC816">
        <v>21982883339</v>
      </c>
    </row>
    <row r="817" spans="1:29" x14ac:dyDescent="0.3">
      <c r="A817" t="s">
        <v>1405</v>
      </c>
      <c r="B817" t="s">
        <v>2302</v>
      </c>
      <c r="C817" t="s">
        <v>4858</v>
      </c>
      <c r="D817">
        <v>73800686953</v>
      </c>
      <c r="E817">
        <v>2214386</v>
      </c>
      <c r="F817">
        <v>1004004855</v>
      </c>
      <c r="G817" s="1">
        <v>43741</v>
      </c>
      <c r="H817" t="s">
        <v>1360</v>
      </c>
      <c r="I817" t="s">
        <v>1349</v>
      </c>
      <c r="J817" t="s">
        <v>2308</v>
      </c>
      <c r="K817" t="s">
        <v>2313</v>
      </c>
      <c r="L817" t="s">
        <v>2305</v>
      </c>
      <c r="M817" t="s">
        <v>1409</v>
      </c>
      <c r="N817" t="s">
        <v>1410</v>
      </c>
      <c r="O817" t="s">
        <v>1423</v>
      </c>
      <c r="P817" t="s">
        <v>1423</v>
      </c>
      <c r="Q817" t="s">
        <v>1412</v>
      </c>
      <c r="S817" s="1">
        <v>45855</v>
      </c>
      <c r="V817" s="1">
        <v>45853</v>
      </c>
      <c r="W817" s="1">
        <v>25524</v>
      </c>
      <c r="X817" t="s">
        <v>1946</v>
      </c>
      <c r="Y817" t="s">
        <v>4859</v>
      </c>
      <c r="Z817" t="s">
        <v>4714</v>
      </c>
      <c r="AA817" t="s">
        <v>1419</v>
      </c>
      <c r="AB817" t="s">
        <v>4860</v>
      </c>
      <c r="AC817">
        <v>48998193717</v>
      </c>
    </row>
    <row r="818" spans="1:29" x14ac:dyDescent="0.3">
      <c r="A818" t="s">
        <v>1405</v>
      </c>
      <c r="B818" t="s">
        <v>2302</v>
      </c>
      <c r="C818" t="s">
        <v>4861</v>
      </c>
      <c r="D818">
        <v>17683512877</v>
      </c>
      <c r="E818">
        <v>3293021</v>
      </c>
      <c r="F818">
        <v>1004000170</v>
      </c>
      <c r="G818" s="1">
        <v>42767</v>
      </c>
      <c r="H818" t="s">
        <v>1360</v>
      </c>
      <c r="I818" t="s">
        <v>1374</v>
      </c>
      <c r="J818" t="s">
        <v>2308</v>
      </c>
      <c r="K818" t="s">
        <v>2313</v>
      </c>
      <c r="L818" t="s">
        <v>2305</v>
      </c>
      <c r="M818" t="s">
        <v>1409</v>
      </c>
      <c r="N818" t="s">
        <v>1410</v>
      </c>
      <c r="O818" t="s">
        <v>1423</v>
      </c>
      <c r="P818" t="s">
        <v>1423</v>
      </c>
      <c r="Q818" t="s">
        <v>1412</v>
      </c>
      <c r="S818" s="1">
        <v>46043</v>
      </c>
      <c r="W818" s="1">
        <v>27682</v>
      </c>
      <c r="X818" t="s">
        <v>2742</v>
      </c>
      <c r="Y818" t="s">
        <v>3042</v>
      </c>
      <c r="Z818" t="s">
        <v>2876</v>
      </c>
      <c r="AA818" t="s">
        <v>1419</v>
      </c>
      <c r="AB818" t="s">
        <v>4862</v>
      </c>
    </row>
    <row r="819" spans="1:29" x14ac:dyDescent="0.3">
      <c r="A819" t="s">
        <v>1405</v>
      </c>
      <c r="B819" t="s">
        <v>2302</v>
      </c>
      <c r="C819" t="s">
        <v>4863</v>
      </c>
      <c r="D819">
        <v>86684604120</v>
      </c>
      <c r="E819">
        <v>10139451</v>
      </c>
      <c r="F819">
        <v>1004010313</v>
      </c>
      <c r="G819" s="1">
        <v>44781</v>
      </c>
      <c r="H819" t="s">
        <v>1360</v>
      </c>
      <c r="I819" t="s">
        <v>1349</v>
      </c>
      <c r="J819" t="s">
        <v>2348</v>
      </c>
      <c r="K819" t="s">
        <v>2308</v>
      </c>
      <c r="L819" t="s">
        <v>2305</v>
      </c>
      <c r="M819" t="s">
        <v>1409</v>
      </c>
      <c r="N819" t="s">
        <v>1410</v>
      </c>
      <c r="O819" t="s">
        <v>1462</v>
      </c>
      <c r="P819" t="s">
        <v>1462</v>
      </c>
      <c r="Q819" t="s">
        <v>1412</v>
      </c>
      <c r="S819" s="1">
        <v>46057</v>
      </c>
      <c r="V819" s="1">
        <v>46055</v>
      </c>
      <c r="W819" s="1">
        <v>27355</v>
      </c>
      <c r="X819" t="s">
        <v>4864</v>
      </c>
      <c r="Y819" t="s">
        <v>4865</v>
      </c>
      <c r="Z819" t="s">
        <v>2333</v>
      </c>
      <c r="AA819" t="s">
        <v>1419</v>
      </c>
      <c r="AB819" t="s">
        <v>4866</v>
      </c>
      <c r="AC819">
        <v>66997182018</v>
      </c>
    </row>
    <row r="820" spans="1:29" x14ac:dyDescent="0.3">
      <c r="A820" t="s">
        <v>1405</v>
      </c>
      <c r="B820" t="s">
        <v>2302</v>
      </c>
      <c r="C820" t="s">
        <v>4867</v>
      </c>
      <c r="D820">
        <v>5963054435</v>
      </c>
      <c r="E820">
        <v>56644166</v>
      </c>
      <c r="F820">
        <v>1004005798</v>
      </c>
      <c r="G820" s="1">
        <v>43913</v>
      </c>
      <c r="H820" t="s">
        <v>1360</v>
      </c>
      <c r="I820" t="s">
        <v>1374</v>
      </c>
      <c r="J820" t="s">
        <v>2308</v>
      </c>
      <c r="K820" t="s">
        <v>2313</v>
      </c>
      <c r="L820" t="s">
        <v>2305</v>
      </c>
      <c r="M820" t="s">
        <v>1409</v>
      </c>
      <c r="N820" t="s">
        <v>1410</v>
      </c>
      <c r="O820" t="s">
        <v>1462</v>
      </c>
      <c r="P820" t="s">
        <v>1423</v>
      </c>
      <c r="Q820" t="s">
        <v>1412</v>
      </c>
      <c r="S820" s="1">
        <v>46043</v>
      </c>
      <c r="W820" s="1">
        <v>31112</v>
      </c>
      <c r="X820" t="s">
        <v>4868</v>
      </c>
      <c r="Y820" t="s">
        <v>2465</v>
      </c>
      <c r="Z820" t="s">
        <v>2466</v>
      </c>
      <c r="AA820" t="s">
        <v>1415</v>
      </c>
      <c r="AB820" t="s">
        <v>4869</v>
      </c>
      <c r="AC820">
        <v>87996500481</v>
      </c>
    </row>
    <row r="821" spans="1:29" x14ac:dyDescent="0.3">
      <c r="A821" t="s">
        <v>1405</v>
      </c>
      <c r="B821" t="s">
        <v>2302</v>
      </c>
      <c r="C821" t="s">
        <v>4870</v>
      </c>
      <c r="D821">
        <v>76583589915</v>
      </c>
      <c r="E821">
        <v>19100434</v>
      </c>
      <c r="F821">
        <v>42004202360</v>
      </c>
      <c r="G821" s="1">
        <v>42569</v>
      </c>
      <c r="H821" t="s">
        <v>1360</v>
      </c>
      <c r="I821" t="s">
        <v>1374</v>
      </c>
      <c r="J821" t="s">
        <v>2308</v>
      </c>
      <c r="K821" t="s">
        <v>2313</v>
      </c>
      <c r="L821" t="s">
        <v>2305</v>
      </c>
      <c r="M821" t="s">
        <v>1409</v>
      </c>
      <c r="N821" t="s">
        <v>1410</v>
      </c>
      <c r="O821" t="s">
        <v>1423</v>
      </c>
      <c r="P821" t="s">
        <v>1423</v>
      </c>
      <c r="Q821" t="s">
        <v>1412</v>
      </c>
      <c r="S821" s="1">
        <v>46043</v>
      </c>
      <c r="W821" s="1">
        <v>26725</v>
      </c>
      <c r="X821" t="s">
        <v>3584</v>
      </c>
      <c r="Y821" t="s">
        <v>4871</v>
      </c>
      <c r="Z821" t="s">
        <v>2754</v>
      </c>
      <c r="AA821" t="s">
        <v>1415</v>
      </c>
      <c r="AB821" t="s">
        <v>4872</v>
      </c>
    </row>
    <row r="822" spans="1:29" x14ac:dyDescent="0.3">
      <c r="A822" t="s">
        <v>1405</v>
      </c>
      <c r="B822" t="s">
        <v>2302</v>
      </c>
      <c r="C822" t="s">
        <v>4873</v>
      </c>
      <c r="D822">
        <v>62828274268</v>
      </c>
      <c r="E822">
        <v>3375449</v>
      </c>
      <c r="F822">
        <v>1004002037</v>
      </c>
      <c r="G822" s="1">
        <v>43228</v>
      </c>
      <c r="H822" t="s">
        <v>1360</v>
      </c>
      <c r="I822" t="s">
        <v>1374</v>
      </c>
      <c r="J822" t="s">
        <v>2308</v>
      </c>
      <c r="K822" t="s">
        <v>2313</v>
      </c>
      <c r="L822" t="s">
        <v>2305</v>
      </c>
      <c r="M822" t="s">
        <v>1409</v>
      </c>
      <c r="N822" t="s">
        <v>1410</v>
      </c>
      <c r="O822" t="s">
        <v>1423</v>
      </c>
      <c r="P822" t="s">
        <v>1423</v>
      </c>
      <c r="Q822" t="s">
        <v>1412</v>
      </c>
      <c r="S822" s="1">
        <v>46043</v>
      </c>
      <c r="W822" s="1">
        <v>29146</v>
      </c>
      <c r="X822" t="s">
        <v>4874</v>
      </c>
      <c r="Y822" t="s">
        <v>4875</v>
      </c>
      <c r="Z822" t="s">
        <v>2770</v>
      </c>
      <c r="AA822" t="s">
        <v>1419</v>
      </c>
      <c r="AB822" t="s">
        <v>4876</v>
      </c>
      <c r="AC822">
        <v>94992234608</v>
      </c>
    </row>
    <row r="823" spans="1:29" x14ac:dyDescent="0.3">
      <c r="A823" t="s">
        <v>1405</v>
      </c>
      <c r="B823" t="s">
        <v>2302</v>
      </c>
      <c r="C823" t="s">
        <v>4877</v>
      </c>
      <c r="D823">
        <v>86860658215</v>
      </c>
      <c r="E823">
        <v>167170</v>
      </c>
      <c r="F823">
        <v>1004019450</v>
      </c>
      <c r="G823" s="1">
        <v>45901</v>
      </c>
      <c r="H823" t="s">
        <v>1360</v>
      </c>
      <c r="I823" t="s">
        <v>1374</v>
      </c>
      <c r="J823" t="s">
        <v>1361</v>
      </c>
      <c r="K823" t="s">
        <v>2308</v>
      </c>
      <c r="L823" t="s">
        <v>2305</v>
      </c>
      <c r="M823" t="s">
        <v>1409</v>
      </c>
      <c r="N823" t="s">
        <v>1410</v>
      </c>
      <c r="O823" t="s">
        <v>1411</v>
      </c>
      <c r="P823" t="s">
        <v>1411</v>
      </c>
      <c r="Q823" t="s">
        <v>1412</v>
      </c>
      <c r="S823" s="1">
        <v>46043</v>
      </c>
      <c r="W823" s="1">
        <v>31770</v>
      </c>
      <c r="X823" t="s">
        <v>3449</v>
      </c>
      <c r="Z823" t="s">
        <v>2439</v>
      </c>
      <c r="AA823" t="s">
        <v>1419</v>
      </c>
      <c r="AB823" t="s">
        <v>4878</v>
      </c>
      <c r="AC823">
        <v>96999671608</v>
      </c>
    </row>
    <row r="824" spans="1:29" x14ac:dyDescent="0.3">
      <c r="A824" t="s">
        <v>1405</v>
      </c>
      <c r="B824" t="s">
        <v>2302</v>
      </c>
      <c r="C824" t="s">
        <v>4879</v>
      </c>
      <c r="D824">
        <v>42935172515</v>
      </c>
      <c r="E824" t="s">
        <v>4880</v>
      </c>
      <c r="F824">
        <v>1004017179</v>
      </c>
      <c r="G824" s="1">
        <v>45735</v>
      </c>
      <c r="H824" t="s">
        <v>1360</v>
      </c>
      <c r="I824" t="s">
        <v>1374</v>
      </c>
      <c r="J824" t="s">
        <v>1361</v>
      </c>
      <c r="K824" t="s">
        <v>2308</v>
      </c>
      <c r="L824" t="s">
        <v>2305</v>
      </c>
      <c r="M824" t="s">
        <v>1409</v>
      </c>
      <c r="N824" t="s">
        <v>1410</v>
      </c>
      <c r="O824" t="s">
        <v>1423</v>
      </c>
      <c r="P824" t="s">
        <v>1423</v>
      </c>
      <c r="Q824" t="s">
        <v>1412</v>
      </c>
      <c r="S824" s="1">
        <v>46043</v>
      </c>
      <c r="W824" s="1">
        <v>25146</v>
      </c>
      <c r="X824" t="s">
        <v>1667</v>
      </c>
      <c r="Y824" t="s">
        <v>2362</v>
      </c>
      <c r="Z824" t="s">
        <v>2363</v>
      </c>
      <c r="AA824" t="s">
        <v>1419</v>
      </c>
      <c r="AB824" t="s">
        <v>4881</v>
      </c>
      <c r="AC824">
        <v>75991313308</v>
      </c>
    </row>
    <row r="825" spans="1:29" x14ac:dyDescent="0.3">
      <c r="A825" t="s">
        <v>1405</v>
      </c>
      <c r="B825" t="s">
        <v>2302</v>
      </c>
      <c r="C825" t="s">
        <v>4882</v>
      </c>
      <c r="D825">
        <v>90613724372</v>
      </c>
      <c r="E825">
        <v>444374957</v>
      </c>
      <c r="F825">
        <v>1004006470</v>
      </c>
      <c r="G825" s="1">
        <v>43997</v>
      </c>
      <c r="H825" t="s">
        <v>1360</v>
      </c>
      <c r="I825" t="s">
        <v>1374</v>
      </c>
      <c r="J825" t="s">
        <v>2308</v>
      </c>
      <c r="K825" t="s">
        <v>2313</v>
      </c>
      <c r="L825" t="s">
        <v>2305</v>
      </c>
      <c r="M825" t="s">
        <v>1409</v>
      </c>
      <c r="N825" t="s">
        <v>1410</v>
      </c>
      <c r="O825" t="s">
        <v>1411</v>
      </c>
      <c r="P825" t="s">
        <v>1411</v>
      </c>
      <c r="Q825" t="s">
        <v>1412</v>
      </c>
      <c r="S825" s="1">
        <v>46069</v>
      </c>
      <c r="W825" s="1">
        <v>30133</v>
      </c>
      <c r="X825" t="s">
        <v>1519</v>
      </c>
      <c r="Y825" t="s">
        <v>1823</v>
      </c>
      <c r="Z825" t="s">
        <v>3637</v>
      </c>
      <c r="AA825" t="s">
        <v>1419</v>
      </c>
      <c r="AB825" t="s">
        <v>4883</v>
      </c>
      <c r="AC825">
        <v>98988463273</v>
      </c>
    </row>
    <row r="826" spans="1:29" x14ac:dyDescent="0.3">
      <c r="A826" t="s">
        <v>1405</v>
      </c>
      <c r="B826" t="s">
        <v>2302</v>
      </c>
      <c r="C826" t="s">
        <v>4884</v>
      </c>
      <c r="D826">
        <v>5202921543</v>
      </c>
      <c r="E826">
        <v>1577823010</v>
      </c>
      <c r="F826">
        <v>1004020501</v>
      </c>
      <c r="G826" s="1">
        <v>45950</v>
      </c>
      <c r="H826" t="s">
        <v>1360</v>
      </c>
      <c r="I826" t="s">
        <v>1349</v>
      </c>
      <c r="J826" t="s">
        <v>2348</v>
      </c>
      <c r="K826" t="s">
        <v>2308</v>
      </c>
      <c r="L826" t="s">
        <v>2305</v>
      </c>
      <c r="M826" t="s">
        <v>1409</v>
      </c>
      <c r="N826" t="s">
        <v>1410</v>
      </c>
      <c r="O826" t="s">
        <v>1462</v>
      </c>
      <c r="P826" t="s">
        <v>1462</v>
      </c>
      <c r="Q826" t="s">
        <v>1412</v>
      </c>
      <c r="S826" s="1">
        <v>46057</v>
      </c>
      <c r="V826" s="1">
        <v>46055</v>
      </c>
      <c r="W826" s="1">
        <v>34892</v>
      </c>
      <c r="X826" t="s">
        <v>1479</v>
      </c>
      <c r="Z826" t="s">
        <v>3787</v>
      </c>
      <c r="AA826" t="s">
        <v>1419</v>
      </c>
      <c r="AB826" t="s">
        <v>4885</v>
      </c>
      <c r="AC826">
        <v>7491895435</v>
      </c>
    </row>
    <row r="827" spans="1:29" x14ac:dyDescent="0.3">
      <c r="A827" t="s">
        <v>1405</v>
      </c>
      <c r="B827" t="s">
        <v>2302</v>
      </c>
      <c r="C827" t="s">
        <v>4886</v>
      </c>
      <c r="D827">
        <v>1976423570</v>
      </c>
      <c r="E827" t="s">
        <v>4887</v>
      </c>
      <c r="F827">
        <v>1004014447</v>
      </c>
      <c r="G827" s="1">
        <v>45374</v>
      </c>
      <c r="H827" t="s">
        <v>1360</v>
      </c>
      <c r="I827" t="s">
        <v>1374</v>
      </c>
      <c r="J827" t="s">
        <v>1361</v>
      </c>
      <c r="K827" t="s">
        <v>2308</v>
      </c>
      <c r="L827" t="s">
        <v>2305</v>
      </c>
      <c r="M827" t="s">
        <v>1409</v>
      </c>
      <c r="N827" t="s">
        <v>1410</v>
      </c>
      <c r="O827" t="s">
        <v>1411</v>
      </c>
      <c r="P827" t="s">
        <v>1411</v>
      </c>
      <c r="Q827" t="s">
        <v>1412</v>
      </c>
      <c r="S827" s="1">
        <v>46043</v>
      </c>
      <c r="W827" s="1">
        <v>31101</v>
      </c>
      <c r="X827" t="s">
        <v>1667</v>
      </c>
      <c r="Y827" t="s">
        <v>2362</v>
      </c>
      <c r="Z827" t="s">
        <v>2363</v>
      </c>
      <c r="AA827" t="s">
        <v>1419</v>
      </c>
      <c r="AB827" t="s">
        <v>4888</v>
      </c>
      <c r="AC827">
        <v>75988084209</v>
      </c>
    </row>
    <row r="828" spans="1:29" x14ac:dyDescent="0.3">
      <c r="A828" t="s">
        <v>1405</v>
      </c>
      <c r="B828" t="s">
        <v>2302</v>
      </c>
      <c r="C828" t="s">
        <v>4889</v>
      </c>
      <c r="D828">
        <v>95053379068</v>
      </c>
      <c r="E828">
        <v>6071552233</v>
      </c>
      <c r="F828">
        <v>42004202244</v>
      </c>
      <c r="G828" s="1">
        <v>42503</v>
      </c>
      <c r="H828" t="s">
        <v>1360</v>
      </c>
      <c r="I828" t="s">
        <v>1374</v>
      </c>
      <c r="J828" t="s">
        <v>2308</v>
      </c>
      <c r="K828" t="s">
        <v>2313</v>
      </c>
      <c r="L828" t="s">
        <v>2305</v>
      </c>
      <c r="M828" t="s">
        <v>1409</v>
      </c>
      <c r="N828" t="s">
        <v>1410</v>
      </c>
      <c r="O828" t="s">
        <v>1423</v>
      </c>
      <c r="P828" t="s">
        <v>1423</v>
      </c>
      <c r="Q828" t="s">
        <v>1412</v>
      </c>
      <c r="S828" s="1">
        <v>46043</v>
      </c>
      <c r="W828" s="1">
        <v>28472</v>
      </c>
      <c r="X828" t="s">
        <v>1995</v>
      </c>
      <c r="Y828" t="s">
        <v>2389</v>
      </c>
      <c r="Z828" t="s">
        <v>2607</v>
      </c>
      <c r="AA828" t="s">
        <v>1415</v>
      </c>
      <c r="AB828" t="s">
        <v>4890</v>
      </c>
      <c r="AC828">
        <v>51982090151</v>
      </c>
    </row>
    <row r="829" spans="1:29" x14ac:dyDescent="0.3">
      <c r="A829" t="s">
        <v>1405</v>
      </c>
      <c r="B829" t="s">
        <v>2302</v>
      </c>
      <c r="C829" t="s">
        <v>4891</v>
      </c>
      <c r="D829">
        <v>3468486014</v>
      </c>
      <c r="E829">
        <v>1114483223</v>
      </c>
      <c r="F829">
        <v>1004008745</v>
      </c>
      <c r="G829" s="1">
        <v>44462</v>
      </c>
      <c r="H829" t="s">
        <v>1360</v>
      </c>
      <c r="I829" t="s">
        <v>1374</v>
      </c>
      <c r="J829" t="s">
        <v>1361</v>
      </c>
      <c r="K829" t="s">
        <v>2308</v>
      </c>
      <c r="L829" t="s">
        <v>2305</v>
      </c>
      <c r="M829" t="s">
        <v>1421</v>
      </c>
      <c r="N829" t="s">
        <v>1422</v>
      </c>
      <c r="O829" t="s">
        <v>1423</v>
      </c>
      <c r="P829" t="s">
        <v>1423</v>
      </c>
      <c r="Q829" t="s">
        <v>1412</v>
      </c>
      <c r="S829" s="1">
        <v>46043</v>
      </c>
      <c r="W829" s="1">
        <v>35359</v>
      </c>
      <c r="X829" t="s">
        <v>1631</v>
      </c>
      <c r="Z829" t="s">
        <v>2448</v>
      </c>
      <c r="AA829" t="s">
        <v>1415</v>
      </c>
      <c r="AB829" t="s">
        <v>4892</v>
      </c>
      <c r="AC829">
        <v>53999047590</v>
      </c>
    </row>
    <row r="830" spans="1:29" x14ac:dyDescent="0.3">
      <c r="A830" t="s">
        <v>1405</v>
      </c>
      <c r="B830" t="s">
        <v>2302</v>
      </c>
      <c r="C830" t="s">
        <v>4893</v>
      </c>
      <c r="D830">
        <v>1763404595</v>
      </c>
      <c r="E830">
        <v>30509823</v>
      </c>
      <c r="F830">
        <v>1004011334</v>
      </c>
      <c r="G830" s="1">
        <v>44984</v>
      </c>
      <c r="H830" t="s">
        <v>1360</v>
      </c>
      <c r="I830" t="s">
        <v>1374</v>
      </c>
      <c r="J830" t="s">
        <v>1361</v>
      </c>
      <c r="K830" t="s">
        <v>2308</v>
      </c>
      <c r="L830" t="s">
        <v>2305</v>
      </c>
      <c r="M830" t="s">
        <v>1447</v>
      </c>
      <c r="N830" t="s">
        <v>1448</v>
      </c>
      <c r="O830" t="s">
        <v>1411</v>
      </c>
      <c r="P830" t="s">
        <v>1423</v>
      </c>
      <c r="Q830" t="s">
        <v>1593</v>
      </c>
      <c r="R830" t="s">
        <v>3769</v>
      </c>
      <c r="S830" s="1">
        <v>46043</v>
      </c>
      <c r="W830" s="1">
        <v>31399</v>
      </c>
      <c r="X830" t="s">
        <v>1428</v>
      </c>
      <c r="Y830" t="s">
        <v>4894</v>
      </c>
      <c r="Z830" t="s">
        <v>3209</v>
      </c>
      <c r="AA830" t="s">
        <v>1415</v>
      </c>
      <c r="AB830" t="s">
        <v>4895</v>
      </c>
      <c r="AC830">
        <v>79981795959</v>
      </c>
    </row>
    <row r="831" spans="1:29" x14ac:dyDescent="0.3">
      <c r="A831" t="s">
        <v>1405</v>
      </c>
      <c r="B831" t="s">
        <v>2302</v>
      </c>
      <c r="C831" t="s">
        <v>4896</v>
      </c>
      <c r="D831">
        <v>3684519502</v>
      </c>
      <c r="E831">
        <v>1322169144</v>
      </c>
      <c r="F831">
        <v>1004007343</v>
      </c>
      <c r="G831" s="1">
        <v>44256</v>
      </c>
      <c r="H831" t="s">
        <v>1360</v>
      </c>
      <c r="I831" t="s">
        <v>1374</v>
      </c>
      <c r="J831" t="s">
        <v>2308</v>
      </c>
      <c r="K831" t="s">
        <v>2313</v>
      </c>
      <c r="L831" t="s">
        <v>2305</v>
      </c>
      <c r="M831" t="s">
        <v>1447</v>
      </c>
      <c r="N831" t="s">
        <v>1448</v>
      </c>
      <c r="O831" t="s">
        <v>1411</v>
      </c>
      <c r="P831" t="s">
        <v>1411</v>
      </c>
      <c r="Q831" t="s">
        <v>1412</v>
      </c>
      <c r="S831" s="1">
        <v>46043</v>
      </c>
      <c r="W831" s="1">
        <v>34525</v>
      </c>
      <c r="X831" t="s">
        <v>2361</v>
      </c>
      <c r="Y831" t="s">
        <v>2362</v>
      </c>
      <c r="Z831" t="s">
        <v>2363</v>
      </c>
      <c r="AA831" t="s">
        <v>1415</v>
      </c>
      <c r="AB831" t="s">
        <v>4897</v>
      </c>
      <c r="AC831">
        <v>75991900497</v>
      </c>
    </row>
    <row r="832" spans="1:29" x14ac:dyDescent="0.3">
      <c r="A832" t="s">
        <v>1405</v>
      </c>
      <c r="B832" t="s">
        <v>2302</v>
      </c>
      <c r="C832" t="s">
        <v>4898</v>
      </c>
      <c r="D832">
        <v>5418697447</v>
      </c>
      <c r="E832">
        <v>7083899</v>
      </c>
      <c r="F832">
        <v>1004003877</v>
      </c>
      <c r="G832" s="1">
        <v>43606</v>
      </c>
      <c r="H832" t="s">
        <v>1360</v>
      </c>
      <c r="I832" t="s">
        <v>1349</v>
      </c>
      <c r="J832" t="s">
        <v>2308</v>
      </c>
      <c r="K832" t="s">
        <v>2313</v>
      </c>
      <c r="L832" t="s">
        <v>2305</v>
      </c>
      <c r="M832" t="s">
        <v>1409</v>
      </c>
      <c r="N832" t="s">
        <v>1410</v>
      </c>
      <c r="O832" t="s">
        <v>1411</v>
      </c>
      <c r="P832" t="s">
        <v>1423</v>
      </c>
      <c r="Q832" t="s">
        <v>1412</v>
      </c>
      <c r="S832" s="1">
        <v>45828</v>
      </c>
      <c r="V832" s="1">
        <v>45826</v>
      </c>
      <c r="W832" s="1">
        <v>31208</v>
      </c>
      <c r="X832" t="s">
        <v>3095</v>
      </c>
      <c r="Z832" t="s">
        <v>3097</v>
      </c>
      <c r="AA832" t="s">
        <v>1419</v>
      </c>
      <c r="AB832" t="s">
        <v>4899</v>
      </c>
      <c r="AC832">
        <v>87996173136</v>
      </c>
    </row>
    <row r="833" spans="1:29" x14ac:dyDescent="0.3">
      <c r="A833" t="s">
        <v>1405</v>
      </c>
      <c r="B833" t="s">
        <v>2302</v>
      </c>
      <c r="C833" t="s">
        <v>4900</v>
      </c>
      <c r="D833">
        <v>5405643386</v>
      </c>
      <c r="E833">
        <v>2005013015550</v>
      </c>
      <c r="F833">
        <v>1004015578</v>
      </c>
      <c r="G833" s="1">
        <v>45537</v>
      </c>
      <c r="H833" t="s">
        <v>1360</v>
      </c>
      <c r="I833" t="s">
        <v>1349</v>
      </c>
      <c r="J833" t="s">
        <v>1361</v>
      </c>
      <c r="K833" t="s">
        <v>2308</v>
      </c>
      <c r="L833" t="s">
        <v>2305</v>
      </c>
      <c r="M833" t="s">
        <v>1409</v>
      </c>
      <c r="N833" t="s">
        <v>1410</v>
      </c>
      <c r="O833" t="s">
        <v>1411</v>
      </c>
      <c r="P833" t="s">
        <v>1411</v>
      </c>
      <c r="Q833" t="s">
        <v>1412</v>
      </c>
      <c r="S833" s="1">
        <v>46061</v>
      </c>
      <c r="V833" s="1">
        <v>46055</v>
      </c>
      <c r="W833" s="1">
        <v>33681</v>
      </c>
      <c r="X833" t="s">
        <v>2790</v>
      </c>
      <c r="Z833" t="s">
        <v>3652</v>
      </c>
      <c r="AA833" t="s">
        <v>1415</v>
      </c>
      <c r="AB833" t="s">
        <v>4901</v>
      </c>
      <c r="AC833">
        <v>85981242873</v>
      </c>
    </row>
    <row r="834" spans="1:29" x14ac:dyDescent="0.3">
      <c r="A834" t="s">
        <v>1405</v>
      </c>
      <c r="B834" t="s">
        <v>2302</v>
      </c>
      <c r="C834" t="s">
        <v>4902</v>
      </c>
      <c r="D834">
        <v>89438965220</v>
      </c>
      <c r="E834">
        <v>23052791</v>
      </c>
      <c r="F834">
        <v>1004006843</v>
      </c>
      <c r="G834" s="1">
        <v>44077</v>
      </c>
      <c r="H834" t="s">
        <v>1360</v>
      </c>
      <c r="I834" t="s">
        <v>1374</v>
      </c>
      <c r="J834" t="s">
        <v>2308</v>
      </c>
      <c r="K834" t="s">
        <v>2313</v>
      </c>
      <c r="L834" t="s">
        <v>2305</v>
      </c>
      <c r="M834" t="s">
        <v>1409</v>
      </c>
      <c r="N834" t="s">
        <v>1410</v>
      </c>
      <c r="O834" t="s">
        <v>1411</v>
      </c>
      <c r="P834" t="s">
        <v>1411</v>
      </c>
      <c r="Q834" t="s">
        <v>1412</v>
      </c>
      <c r="S834" s="1">
        <v>46043</v>
      </c>
      <c r="W834" s="1">
        <v>33262</v>
      </c>
      <c r="X834" t="s">
        <v>1896</v>
      </c>
      <c r="Y834" t="s">
        <v>2996</v>
      </c>
      <c r="Z834" t="s">
        <v>2997</v>
      </c>
      <c r="AA834" t="s">
        <v>1415</v>
      </c>
      <c r="AB834" t="s">
        <v>4903</v>
      </c>
      <c r="AC834">
        <v>92992172156</v>
      </c>
    </row>
    <row r="835" spans="1:29" x14ac:dyDescent="0.3">
      <c r="A835" t="s">
        <v>1405</v>
      </c>
      <c r="B835" t="s">
        <v>2302</v>
      </c>
      <c r="C835" t="s">
        <v>4904</v>
      </c>
      <c r="D835">
        <v>3223939148</v>
      </c>
      <c r="E835" t="s">
        <v>4905</v>
      </c>
      <c r="F835">
        <v>42004200915</v>
      </c>
      <c r="G835" s="1">
        <v>41792</v>
      </c>
      <c r="H835" t="s">
        <v>1360</v>
      </c>
      <c r="I835" t="s">
        <v>2604</v>
      </c>
      <c r="J835" t="s">
        <v>2308</v>
      </c>
      <c r="K835" t="s">
        <v>2313</v>
      </c>
      <c r="L835" t="s">
        <v>2305</v>
      </c>
      <c r="M835" t="s">
        <v>1421</v>
      </c>
      <c r="N835" t="s">
        <v>1422</v>
      </c>
      <c r="O835" t="s">
        <v>1423</v>
      </c>
      <c r="P835" t="s">
        <v>1423</v>
      </c>
      <c r="Q835" t="s">
        <v>1412</v>
      </c>
      <c r="S835" s="1">
        <v>43769</v>
      </c>
      <c r="T835" s="1">
        <v>43747</v>
      </c>
      <c r="W835" s="1">
        <v>32670</v>
      </c>
      <c r="X835" t="s">
        <v>1510</v>
      </c>
      <c r="Y835" t="s">
        <v>2336</v>
      </c>
      <c r="Z835" t="s">
        <v>3383</v>
      </c>
      <c r="AA835" t="s">
        <v>1415</v>
      </c>
      <c r="AB835" t="s">
        <v>4906</v>
      </c>
      <c r="AC835">
        <v>6635413757</v>
      </c>
    </row>
    <row r="836" spans="1:29" x14ac:dyDescent="0.3">
      <c r="A836" t="s">
        <v>1405</v>
      </c>
      <c r="B836" t="s">
        <v>2302</v>
      </c>
      <c r="C836" t="s">
        <v>4907</v>
      </c>
      <c r="D836">
        <v>5131180201</v>
      </c>
      <c r="E836">
        <v>8616535</v>
      </c>
      <c r="F836">
        <v>1004014468</v>
      </c>
      <c r="G836" s="1">
        <v>45374</v>
      </c>
      <c r="H836" t="s">
        <v>1360</v>
      </c>
      <c r="I836" t="s">
        <v>1374</v>
      </c>
      <c r="J836" t="s">
        <v>1361</v>
      </c>
      <c r="K836" t="s">
        <v>2308</v>
      </c>
      <c r="L836" t="s">
        <v>2305</v>
      </c>
      <c r="M836" t="s">
        <v>1646</v>
      </c>
      <c r="N836" t="s">
        <v>1410</v>
      </c>
      <c r="O836" t="s">
        <v>1411</v>
      </c>
      <c r="P836" t="s">
        <v>1411</v>
      </c>
      <c r="Q836" t="s">
        <v>1412</v>
      </c>
      <c r="S836" s="1">
        <v>46043</v>
      </c>
      <c r="W836" s="1">
        <v>37073</v>
      </c>
      <c r="X836" t="s">
        <v>1492</v>
      </c>
      <c r="Y836" t="s">
        <v>2058</v>
      </c>
      <c r="Z836" t="s">
        <v>4908</v>
      </c>
      <c r="AA836" t="s">
        <v>1419</v>
      </c>
      <c r="AB836" t="s">
        <v>4909</v>
      </c>
      <c r="AC836">
        <v>91993427258</v>
      </c>
    </row>
    <row r="837" spans="1:29" x14ac:dyDescent="0.3">
      <c r="A837" t="s">
        <v>1405</v>
      </c>
      <c r="B837" t="s">
        <v>2302</v>
      </c>
      <c r="C837" t="s">
        <v>4910</v>
      </c>
      <c r="D837">
        <v>11619292408</v>
      </c>
      <c r="E837">
        <v>9567654</v>
      </c>
      <c r="F837">
        <v>1004008739</v>
      </c>
      <c r="G837" s="1">
        <v>44466</v>
      </c>
      <c r="H837" t="s">
        <v>1360</v>
      </c>
      <c r="I837" t="s">
        <v>1349</v>
      </c>
      <c r="J837" t="s">
        <v>1361</v>
      </c>
      <c r="K837" t="s">
        <v>2308</v>
      </c>
      <c r="L837" t="s">
        <v>2305</v>
      </c>
      <c r="M837" t="s">
        <v>1409</v>
      </c>
      <c r="N837" t="s">
        <v>1410</v>
      </c>
      <c r="O837" t="s">
        <v>1411</v>
      </c>
      <c r="P837" t="s">
        <v>1411</v>
      </c>
      <c r="Q837" t="s">
        <v>1412</v>
      </c>
      <c r="S837" s="1">
        <v>45875</v>
      </c>
      <c r="V837" s="1">
        <v>45873</v>
      </c>
      <c r="W837" s="1">
        <v>34541</v>
      </c>
      <c r="X837" t="s">
        <v>4911</v>
      </c>
      <c r="Z837" t="s">
        <v>4912</v>
      </c>
      <c r="AA837" t="s">
        <v>1419</v>
      </c>
      <c r="AB837" t="s">
        <v>4913</v>
      </c>
      <c r="AC837">
        <v>87991264148</v>
      </c>
    </row>
    <row r="838" spans="1:29" x14ac:dyDescent="0.3">
      <c r="A838" t="s">
        <v>1405</v>
      </c>
      <c r="B838" t="s">
        <v>2302</v>
      </c>
      <c r="C838" t="s">
        <v>4914</v>
      </c>
      <c r="D838">
        <v>13465100751</v>
      </c>
      <c r="E838">
        <v>272867433</v>
      </c>
      <c r="F838">
        <v>1004008812</v>
      </c>
      <c r="G838" s="1">
        <v>44476</v>
      </c>
      <c r="H838" t="s">
        <v>1360</v>
      </c>
      <c r="I838" t="s">
        <v>1374</v>
      </c>
      <c r="J838" t="s">
        <v>1361</v>
      </c>
      <c r="K838" t="s">
        <v>2308</v>
      </c>
      <c r="L838" t="s">
        <v>2305</v>
      </c>
      <c r="M838" t="s">
        <v>1409</v>
      </c>
      <c r="N838" t="s">
        <v>1410</v>
      </c>
      <c r="O838" t="s">
        <v>1423</v>
      </c>
      <c r="P838" t="s">
        <v>1423</v>
      </c>
      <c r="Q838" t="s">
        <v>1412</v>
      </c>
      <c r="S838" s="1">
        <v>46043</v>
      </c>
      <c r="W838" s="1">
        <v>34371</v>
      </c>
      <c r="X838" t="s">
        <v>1458</v>
      </c>
      <c r="Y838" t="s">
        <v>2171</v>
      </c>
      <c r="Z838" t="s">
        <v>2833</v>
      </c>
      <c r="AA838" t="s">
        <v>1419</v>
      </c>
      <c r="AB838" t="s">
        <v>4915</v>
      </c>
      <c r="AC838">
        <v>21969478317</v>
      </c>
    </row>
    <row r="839" spans="1:29" x14ac:dyDescent="0.3">
      <c r="A839" t="s">
        <v>1405</v>
      </c>
      <c r="B839" t="s">
        <v>2302</v>
      </c>
      <c r="C839" t="s">
        <v>4916</v>
      </c>
      <c r="D839">
        <v>5449400160</v>
      </c>
      <c r="E839">
        <v>1723142</v>
      </c>
      <c r="F839">
        <v>1004011585</v>
      </c>
      <c r="G839" s="1">
        <v>44999</v>
      </c>
      <c r="H839" t="s">
        <v>1360</v>
      </c>
      <c r="I839" t="s">
        <v>1374</v>
      </c>
      <c r="J839" t="s">
        <v>1361</v>
      </c>
      <c r="K839" t="s">
        <v>2308</v>
      </c>
      <c r="L839" t="s">
        <v>2305</v>
      </c>
      <c r="M839" t="s">
        <v>1421</v>
      </c>
      <c r="N839" t="s">
        <v>1422</v>
      </c>
      <c r="O839" t="s">
        <v>1411</v>
      </c>
      <c r="P839" t="s">
        <v>1411</v>
      </c>
      <c r="Q839" t="s">
        <v>1412</v>
      </c>
      <c r="S839" s="1">
        <v>46085</v>
      </c>
      <c r="T839" s="1">
        <v>45923</v>
      </c>
      <c r="U839" s="1">
        <v>46042</v>
      </c>
      <c r="W839" s="1">
        <v>34646</v>
      </c>
      <c r="X839" t="s">
        <v>4917</v>
      </c>
      <c r="Z839" t="s">
        <v>2306</v>
      </c>
      <c r="AA839" t="s">
        <v>1419</v>
      </c>
      <c r="AB839" t="s">
        <v>4918</v>
      </c>
      <c r="AC839">
        <v>6796080837</v>
      </c>
    </row>
    <row r="840" spans="1:29" x14ac:dyDescent="0.3">
      <c r="A840" t="s">
        <v>1405</v>
      </c>
      <c r="B840" t="s">
        <v>2302</v>
      </c>
      <c r="C840" t="s">
        <v>4919</v>
      </c>
      <c r="D840">
        <v>509771211</v>
      </c>
      <c r="E840">
        <v>6118481</v>
      </c>
      <c r="F840">
        <v>1004019776</v>
      </c>
      <c r="G840" s="1">
        <v>45910</v>
      </c>
      <c r="H840" t="s">
        <v>1360</v>
      </c>
      <c r="I840" t="s">
        <v>1374</v>
      </c>
      <c r="J840" t="s">
        <v>1361</v>
      </c>
      <c r="K840" t="s">
        <v>2308</v>
      </c>
      <c r="L840" t="s">
        <v>2305</v>
      </c>
      <c r="M840" t="s">
        <v>1409</v>
      </c>
      <c r="N840" t="s">
        <v>1410</v>
      </c>
      <c r="O840" t="s">
        <v>1411</v>
      </c>
      <c r="P840" t="s">
        <v>1411</v>
      </c>
      <c r="Q840" t="s">
        <v>1412</v>
      </c>
      <c r="S840" s="1">
        <v>46069</v>
      </c>
      <c r="W840" s="1">
        <v>34179</v>
      </c>
      <c r="X840" t="s">
        <v>1735</v>
      </c>
      <c r="Z840" t="s">
        <v>2325</v>
      </c>
      <c r="AA840" t="s">
        <v>1415</v>
      </c>
      <c r="AB840" t="s">
        <v>4920</v>
      </c>
      <c r="AC840">
        <v>63992640106</v>
      </c>
    </row>
    <row r="841" spans="1:29" x14ac:dyDescent="0.3">
      <c r="A841" t="s">
        <v>1405</v>
      </c>
      <c r="B841" t="s">
        <v>2302</v>
      </c>
      <c r="C841" t="s">
        <v>4921</v>
      </c>
      <c r="D841">
        <v>93654022472</v>
      </c>
      <c r="E841">
        <v>4907211</v>
      </c>
      <c r="F841">
        <v>1004019585</v>
      </c>
      <c r="G841" s="1">
        <v>45901</v>
      </c>
      <c r="H841" t="s">
        <v>1360</v>
      </c>
      <c r="I841" t="s">
        <v>1374</v>
      </c>
      <c r="J841" t="s">
        <v>1361</v>
      </c>
      <c r="K841" t="s">
        <v>2308</v>
      </c>
      <c r="L841" t="s">
        <v>2305</v>
      </c>
      <c r="M841" t="s">
        <v>1409</v>
      </c>
      <c r="N841" t="s">
        <v>1410</v>
      </c>
      <c r="O841" t="s">
        <v>1411</v>
      </c>
      <c r="P841" t="s">
        <v>1411</v>
      </c>
      <c r="Q841" t="s">
        <v>1412</v>
      </c>
      <c r="S841" s="1">
        <v>46043</v>
      </c>
      <c r="W841" s="1">
        <v>28431</v>
      </c>
      <c r="X841" t="s">
        <v>3095</v>
      </c>
      <c r="Z841" t="s">
        <v>3097</v>
      </c>
      <c r="AA841" t="s">
        <v>1419</v>
      </c>
      <c r="AB841" t="s">
        <v>4922</v>
      </c>
      <c r="AC841">
        <v>87998109083</v>
      </c>
    </row>
    <row r="842" spans="1:29" x14ac:dyDescent="0.3">
      <c r="A842" t="s">
        <v>1405</v>
      </c>
      <c r="B842" t="s">
        <v>2302</v>
      </c>
      <c r="C842" t="s">
        <v>4923</v>
      </c>
      <c r="D842">
        <v>1032492570</v>
      </c>
      <c r="E842">
        <v>799490296</v>
      </c>
      <c r="F842">
        <v>1004000580</v>
      </c>
      <c r="G842" s="1">
        <v>42935</v>
      </c>
      <c r="H842" t="s">
        <v>1360</v>
      </c>
      <c r="I842" t="s">
        <v>1374</v>
      </c>
      <c r="J842" t="s">
        <v>2308</v>
      </c>
      <c r="K842" t="s">
        <v>2313</v>
      </c>
      <c r="L842" t="s">
        <v>2305</v>
      </c>
      <c r="M842" t="s">
        <v>1409</v>
      </c>
      <c r="N842" t="s">
        <v>1410</v>
      </c>
      <c r="O842" t="s">
        <v>1423</v>
      </c>
      <c r="P842" t="s">
        <v>1423</v>
      </c>
      <c r="Q842" t="s">
        <v>1412</v>
      </c>
      <c r="S842" s="1">
        <v>46043</v>
      </c>
      <c r="W842" s="1">
        <v>30446</v>
      </c>
      <c r="X842" t="s">
        <v>2361</v>
      </c>
      <c r="Y842" t="s">
        <v>2362</v>
      </c>
      <c r="Z842" t="s">
        <v>2363</v>
      </c>
      <c r="AA842" t="s">
        <v>1419</v>
      </c>
      <c r="AB842" t="s">
        <v>4924</v>
      </c>
      <c r="AC842">
        <v>75991685326</v>
      </c>
    </row>
    <row r="843" spans="1:29" x14ac:dyDescent="0.3">
      <c r="A843" t="s">
        <v>1405</v>
      </c>
      <c r="B843" t="s">
        <v>2302</v>
      </c>
      <c r="C843" t="s">
        <v>4925</v>
      </c>
      <c r="D843">
        <v>87132273</v>
      </c>
      <c r="E843">
        <v>5053066</v>
      </c>
      <c r="F843">
        <v>1004007034</v>
      </c>
      <c r="G843" s="1">
        <v>44109</v>
      </c>
      <c r="H843" t="s">
        <v>1360</v>
      </c>
      <c r="I843" t="s">
        <v>1374</v>
      </c>
      <c r="J843" t="s">
        <v>2308</v>
      </c>
      <c r="K843" t="s">
        <v>2313</v>
      </c>
      <c r="L843" t="s">
        <v>2305</v>
      </c>
      <c r="M843" t="s">
        <v>1409</v>
      </c>
      <c r="N843" t="s">
        <v>1410</v>
      </c>
      <c r="O843" t="s">
        <v>1411</v>
      </c>
      <c r="P843" t="s">
        <v>1411</v>
      </c>
      <c r="Q843" t="s">
        <v>1412</v>
      </c>
      <c r="S843" s="1">
        <v>46043</v>
      </c>
      <c r="W843" s="1">
        <v>34229</v>
      </c>
      <c r="X843" t="s">
        <v>4926</v>
      </c>
      <c r="Y843" t="s">
        <v>4927</v>
      </c>
      <c r="Z843" t="s">
        <v>4270</v>
      </c>
      <c r="AA843" t="s">
        <v>1419</v>
      </c>
      <c r="AB843" t="s">
        <v>4928</v>
      </c>
      <c r="AC843">
        <v>94991132769</v>
      </c>
    </row>
    <row r="844" spans="1:29" x14ac:dyDescent="0.3">
      <c r="A844" t="s">
        <v>1405</v>
      </c>
      <c r="B844" t="s">
        <v>2302</v>
      </c>
      <c r="C844" t="s">
        <v>4929</v>
      </c>
      <c r="D844">
        <v>412178028</v>
      </c>
      <c r="E844">
        <v>3078740424</v>
      </c>
      <c r="F844">
        <v>1004010476</v>
      </c>
      <c r="G844" s="1">
        <v>44783</v>
      </c>
      <c r="H844" t="s">
        <v>1360</v>
      </c>
      <c r="I844" t="s">
        <v>1374</v>
      </c>
      <c r="J844" t="s">
        <v>2348</v>
      </c>
      <c r="K844" t="s">
        <v>2308</v>
      </c>
      <c r="L844" t="s">
        <v>2305</v>
      </c>
      <c r="M844" t="s">
        <v>1447</v>
      </c>
      <c r="N844" t="s">
        <v>1448</v>
      </c>
      <c r="O844" t="s">
        <v>1423</v>
      </c>
      <c r="P844" t="s">
        <v>1423</v>
      </c>
      <c r="Q844" t="s">
        <v>1412</v>
      </c>
      <c r="S844" s="1">
        <v>46043</v>
      </c>
      <c r="W844" s="1">
        <v>30416</v>
      </c>
      <c r="X844" t="s">
        <v>3959</v>
      </c>
      <c r="Y844" t="s">
        <v>3960</v>
      </c>
      <c r="Z844" t="s">
        <v>4930</v>
      </c>
      <c r="AA844" t="s">
        <v>1415</v>
      </c>
      <c r="AB844" t="s">
        <v>4931</v>
      </c>
      <c r="AC844">
        <v>51991612730</v>
      </c>
    </row>
    <row r="845" spans="1:29" x14ac:dyDescent="0.3">
      <c r="A845" t="s">
        <v>1405</v>
      </c>
      <c r="B845" t="s">
        <v>2302</v>
      </c>
      <c r="C845" t="s">
        <v>4932</v>
      </c>
      <c r="D845">
        <v>2686267151</v>
      </c>
      <c r="E845">
        <v>17045069</v>
      </c>
      <c r="F845">
        <v>1004009735</v>
      </c>
      <c r="G845" s="1">
        <v>44669</v>
      </c>
      <c r="H845" t="s">
        <v>1360</v>
      </c>
      <c r="I845" t="s">
        <v>1349</v>
      </c>
      <c r="J845" t="s">
        <v>1361</v>
      </c>
      <c r="K845" t="s">
        <v>2308</v>
      </c>
      <c r="L845" t="s">
        <v>2305</v>
      </c>
      <c r="M845" t="s">
        <v>1421</v>
      </c>
      <c r="N845" t="s">
        <v>1422</v>
      </c>
      <c r="O845" t="s">
        <v>1423</v>
      </c>
      <c r="P845" t="s">
        <v>1423</v>
      </c>
      <c r="Q845" t="s">
        <v>1412</v>
      </c>
      <c r="S845" s="1">
        <v>45849</v>
      </c>
      <c r="V845" s="1">
        <v>45846</v>
      </c>
      <c r="W845" s="1">
        <v>32667</v>
      </c>
      <c r="X845" t="s">
        <v>1586</v>
      </c>
      <c r="Z845" t="s">
        <v>4933</v>
      </c>
      <c r="AA845" t="s">
        <v>1419</v>
      </c>
      <c r="AB845" t="s">
        <v>4934</v>
      </c>
      <c r="AC845">
        <v>65999257052</v>
      </c>
    </row>
    <row r="846" spans="1:29" x14ac:dyDescent="0.3">
      <c r="A846" t="s">
        <v>1405</v>
      </c>
      <c r="B846" t="s">
        <v>2302</v>
      </c>
      <c r="C846" t="s">
        <v>4935</v>
      </c>
      <c r="D846">
        <v>3901206345</v>
      </c>
      <c r="E846">
        <v>207795717</v>
      </c>
      <c r="F846">
        <v>1004018300</v>
      </c>
      <c r="G846" s="1">
        <v>45810</v>
      </c>
      <c r="H846" t="s">
        <v>1360</v>
      </c>
      <c r="I846" t="s">
        <v>1374</v>
      </c>
      <c r="J846" t="s">
        <v>1361</v>
      </c>
      <c r="K846" t="s">
        <v>2308</v>
      </c>
      <c r="L846" t="s">
        <v>2305</v>
      </c>
      <c r="M846" t="s">
        <v>1409</v>
      </c>
      <c r="N846" t="s">
        <v>1410</v>
      </c>
      <c r="O846" t="s">
        <v>1411</v>
      </c>
      <c r="P846" t="s">
        <v>1411</v>
      </c>
      <c r="Q846" t="s">
        <v>1412</v>
      </c>
      <c r="S846" s="1">
        <v>46043</v>
      </c>
      <c r="W846" s="1">
        <v>31887</v>
      </c>
      <c r="X846" t="s">
        <v>1721</v>
      </c>
      <c r="Z846" t="s">
        <v>2778</v>
      </c>
      <c r="AA846" t="s">
        <v>1419</v>
      </c>
      <c r="AB846" t="s">
        <v>4936</v>
      </c>
      <c r="AC846">
        <v>21982605381</v>
      </c>
    </row>
    <row r="847" spans="1:29" x14ac:dyDescent="0.3">
      <c r="A847" t="s">
        <v>1405</v>
      </c>
      <c r="B847" t="s">
        <v>2302</v>
      </c>
      <c r="C847" t="s">
        <v>4937</v>
      </c>
      <c r="D847">
        <v>6238186550</v>
      </c>
      <c r="E847" t="s">
        <v>4938</v>
      </c>
      <c r="F847">
        <v>1004020266</v>
      </c>
      <c r="G847" s="1">
        <v>45938</v>
      </c>
      <c r="H847" t="s">
        <v>1360</v>
      </c>
      <c r="I847" t="s">
        <v>1374</v>
      </c>
      <c r="J847" t="s">
        <v>1361</v>
      </c>
      <c r="K847" t="s">
        <v>2308</v>
      </c>
      <c r="L847" t="s">
        <v>2305</v>
      </c>
      <c r="M847" t="s">
        <v>1409</v>
      </c>
      <c r="N847" t="s">
        <v>1410</v>
      </c>
      <c r="O847" t="s">
        <v>1411</v>
      </c>
      <c r="P847" t="s">
        <v>1411</v>
      </c>
      <c r="Q847" t="s">
        <v>1412</v>
      </c>
      <c r="S847" s="1">
        <v>46043</v>
      </c>
      <c r="W847" s="1">
        <v>34046</v>
      </c>
      <c r="X847" t="s">
        <v>4939</v>
      </c>
      <c r="Y847" t="s">
        <v>4940</v>
      </c>
      <c r="Z847" t="s">
        <v>4941</v>
      </c>
      <c r="AA847" t="s">
        <v>1419</v>
      </c>
      <c r="AB847" t="s">
        <v>4942</v>
      </c>
      <c r="AC847">
        <v>77999585939</v>
      </c>
    </row>
    <row r="848" spans="1:29" x14ac:dyDescent="0.3">
      <c r="A848" t="s">
        <v>1405</v>
      </c>
      <c r="B848" t="s">
        <v>2302</v>
      </c>
      <c r="C848" t="s">
        <v>4943</v>
      </c>
      <c r="D848">
        <v>1760454141</v>
      </c>
      <c r="E848">
        <v>15381420</v>
      </c>
      <c r="F848">
        <v>1004009472</v>
      </c>
      <c r="G848" s="1">
        <v>44641</v>
      </c>
      <c r="H848" t="s">
        <v>1360</v>
      </c>
      <c r="I848" t="s">
        <v>1374</v>
      </c>
      <c r="J848" t="s">
        <v>1361</v>
      </c>
      <c r="K848" t="s">
        <v>2308</v>
      </c>
      <c r="L848" t="s">
        <v>2305</v>
      </c>
      <c r="M848" t="s">
        <v>1421</v>
      </c>
      <c r="N848" t="s">
        <v>1448</v>
      </c>
      <c r="O848" t="s">
        <v>1411</v>
      </c>
      <c r="P848" t="s">
        <v>1411</v>
      </c>
      <c r="Q848" t="s">
        <v>1412</v>
      </c>
      <c r="S848" s="1">
        <v>46043</v>
      </c>
      <c r="W848" s="1">
        <v>33131</v>
      </c>
      <c r="X848" t="s">
        <v>1858</v>
      </c>
      <c r="Z848" t="s">
        <v>3352</v>
      </c>
      <c r="AA848" t="s">
        <v>1419</v>
      </c>
      <c r="AB848" t="s">
        <v>4944</v>
      </c>
      <c r="AC848">
        <v>65981515557</v>
      </c>
    </row>
    <row r="849" spans="1:29" x14ac:dyDescent="0.3">
      <c r="A849" t="s">
        <v>1405</v>
      </c>
      <c r="B849" t="s">
        <v>2302</v>
      </c>
      <c r="C849" t="s">
        <v>4945</v>
      </c>
      <c r="D849">
        <v>9328598958</v>
      </c>
      <c r="E849">
        <v>130814093</v>
      </c>
      <c r="F849">
        <v>1004010811</v>
      </c>
      <c r="G849" s="1">
        <v>44819</v>
      </c>
      <c r="H849" t="s">
        <v>1360</v>
      </c>
      <c r="I849" t="s">
        <v>1349</v>
      </c>
      <c r="J849" t="s">
        <v>2348</v>
      </c>
      <c r="K849" t="s">
        <v>2308</v>
      </c>
      <c r="L849" t="s">
        <v>2305</v>
      </c>
      <c r="M849" t="s">
        <v>1409</v>
      </c>
      <c r="N849" t="s">
        <v>1410</v>
      </c>
      <c r="O849" t="s">
        <v>1411</v>
      </c>
      <c r="P849" t="s">
        <v>1411</v>
      </c>
      <c r="Q849" t="s">
        <v>1412</v>
      </c>
      <c r="S849" s="1">
        <v>45845</v>
      </c>
      <c r="V849" s="1">
        <v>45840</v>
      </c>
      <c r="W849" s="1">
        <v>34250</v>
      </c>
      <c r="X849" t="s">
        <v>4946</v>
      </c>
      <c r="Z849" t="s">
        <v>4947</v>
      </c>
      <c r="AA849" t="s">
        <v>1419</v>
      </c>
      <c r="AB849" t="s">
        <v>4948</v>
      </c>
      <c r="AC849">
        <v>44984213906</v>
      </c>
    </row>
    <row r="850" spans="1:29" x14ac:dyDescent="0.3">
      <c r="A850" t="s">
        <v>1405</v>
      </c>
      <c r="B850" t="s">
        <v>2302</v>
      </c>
      <c r="C850" t="s">
        <v>4949</v>
      </c>
      <c r="D850">
        <v>66391377391</v>
      </c>
      <c r="E850">
        <v>66391377391</v>
      </c>
      <c r="F850">
        <v>1004019494</v>
      </c>
      <c r="G850" s="1">
        <v>45901</v>
      </c>
      <c r="H850" t="s">
        <v>1360</v>
      </c>
      <c r="I850" t="s">
        <v>1374</v>
      </c>
      <c r="J850" t="s">
        <v>1361</v>
      </c>
      <c r="K850" t="s">
        <v>2308</v>
      </c>
      <c r="L850" t="s">
        <v>2305</v>
      </c>
      <c r="M850" t="s">
        <v>1409</v>
      </c>
      <c r="N850" t="s">
        <v>1410</v>
      </c>
      <c r="O850" t="s">
        <v>1423</v>
      </c>
      <c r="P850" t="s">
        <v>1423</v>
      </c>
      <c r="Q850" t="s">
        <v>1412</v>
      </c>
      <c r="S850" s="1">
        <v>46043</v>
      </c>
      <c r="W850" s="1">
        <v>29981</v>
      </c>
      <c r="X850" t="s">
        <v>4950</v>
      </c>
      <c r="Z850" t="s">
        <v>3333</v>
      </c>
      <c r="AA850" t="s">
        <v>1419</v>
      </c>
      <c r="AB850" t="s">
        <v>4951</v>
      </c>
      <c r="AC850">
        <v>89981058671</v>
      </c>
    </row>
    <row r="851" spans="1:29" x14ac:dyDescent="0.3">
      <c r="A851" t="s">
        <v>1405</v>
      </c>
      <c r="B851" t="s">
        <v>2302</v>
      </c>
      <c r="C851" t="s">
        <v>4952</v>
      </c>
      <c r="D851">
        <v>38958236</v>
      </c>
      <c r="E851">
        <v>428468</v>
      </c>
      <c r="F851">
        <v>1004011243</v>
      </c>
      <c r="G851" s="1">
        <v>44984</v>
      </c>
      <c r="H851" t="s">
        <v>1360</v>
      </c>
      <c r="I851" t="s">
        <v>1374</v>
      </c>
      <c r="J851" t="s">
        <v>1354</v>
      </c>
      <c r="K851" t="s">
        <v>1361</v>
      </c>
      <c r="L851" t="s">
        <v>2305</v>
      </c>
      <c r="M851" t="s">
        <v>1421</v>
      </c>
      <c r="N851" t="s">
        <v>1410</v>
      </c>
      <c r="O851" t="s">
        <v>1411</v>
      </c>
      <c r="P851" t="s">
        <v>1411</v>
      </c>
      <c r="Q851" t="s">
        <v>1412</v>
      </c>
      <c r="S851" s="1">
        <v>46043</v>
      </c>
      <c r="W851" s="1">
        <v>32885</v>
      </c>
      <c r="X851" t="s">
        <v>3544</v>
      </c>
      <c r="Y851" t="s">
        <v>4953</v>
      </c>
      <c r="Z851" t="s">
        <v>3546</v>
      </c>
      <c r="AA851" t="s">
        <v>1415</v>
      </c>
      <c r="AB851" t="s">
        <v>4954</v>
      </c>
      <c r="AC851">
        <v>96991320873</v>
      </c>
    </row>
    <row r="852" spans="1:29" x14ac:dyDescent="0.3">
      <c r="A852" t="s">
        <v>1405</v>
      </c>
      <c r="B852" t="s">
        <v>2302</v>
      </c>
      <c r="C852" t="s">
        <v>4955</v>
      </c>
      <c r="D852">
        <v>23768894720</v>
      </c>
      <c r="E852" t="s">
        <v>4956</v>
      </c>
      <c r="F852">
        <v>42004200872</v>
      </c>
      <c r="G852" s="1">
        <v>41746</v>
      </c>
      <c r="H852" t="s">
        <v>1360</v>
      </c>
      <c r="I852" t="s">
        <v>1374</v>
      </c>
      <c r="J852" t="s">
        <v>2308</v>
      </c>
      <c r="K852" t="s">
        <v>2313</v>
      </c>
      <c r="L852" t="s">
        <v>2305</v>
      </c>
      <c r="M852" t="s">
        <v>1421</v>
      </c>
      <c r="N852" t="s">
        <v>1410</v>
      </c>
      <c r="O852" t="s">
        <v>1423</v>
      </c>
      <c r="P852" t="s">
        <v>1423</v>
      </c>
      <c r="Q852" t="s">
        <v>1412</v>
      </c>
      <c r="S852" s="1">
        <v>46043</v>
      </c>
      <c r="W852" s="1">
        <v>18140</v>
      </c>
      <c r="X852" t="s">
        <v>4957</v>
      </c>
      <c r="Y852" t="s">
        <v>2171</v>
      </c>
      <c r="Z852" t="s">
        <v>2363</v>
      </c>
      <c r="AA852" t="s">
        <v>1415</v>
      </c>
      <c r="AB852" t="s">
        <v>4958</v>
      </c>
      <c r="AC852">
        <v>75991316722</v>
      </c>
    </row>
    <row r="853" spans="1:29" x14ac:dyDescent="0.3">
      <c r="A853" t="s">
        <v>1405</v>
      </c>
      <c r="B853" t="s">
        <v>2302</v>
      </c>
      <c r="C853" t="s">
        <v>4959</v>
      </c>
      <c r="D853">
        <v>6342944318</v>
      </c>
      <c r="E853" t="s">
        <v>4960</v>
      </c>
      <c r="F853">
        <v>1004022143</v>
      </c>
      <c r="G853" s="1">
        <v>46113</v>
      </c>
      <c r="H853" t="s">
        <v>1360</v>
      </c>
      <c r="I853" t="s">
        <v>1374</v>
      </c>
      <c r="J853" t="s">
        <v>2308</v>
      </c>
      <c r="K853" t="s">
        <v>2313</v>
      </c>
      <c r="L853" t="s">
        <v>2305</v>
      </c>
      <c r="M853" t="s">
        <v>1421</v>
      </c>
      <c r="N853" t="s">
        <v>1422</v>
      </c>
      <c r="O853" t="s">
        <v>1411</v>
      </c>
      <c r="P853" t="s">
        <v>1411</v>
      </c>
      <c r="Q853" t="s">
        <v>1412</v>
      </c>
      <c r="S853" s="1">
        <v>46118</v>
      </c>
      <c r="W853" s="1">
        <v>34690</v>
      </c>
      <c r="X853" t="s">
        <v>2181</v>
      </c>
      <c r="Y853" t="s">
        <v>4417</v>
      </c>
      <c r="Z853" t="s">
        <v>3670</v>
      </c>
      <c r="AA853" t="s">
        <v>1415</v>
      </c>
      <c r="AB853" t="s">
        <v>4961</v>
      </c>
      <c r="AC853">
        <v>88992196555</v>
      </c>
    </row>
    <row r="854" spans="1:29" x14ac:dyDescent="0.3">
      <c r="A854" t="s">
        <v>1405</v>
      </c>
      <c r="B854" t="s">
        <v>2302</v>
      </c>
      <c r="C854" t="s">
        <v>4962</v>
      </c>
      <c r="D854">
        <v>6025839182</v>
      </c>
      <c r="E854" t="s">
        <v>4963</v>
      </c>
      <c r="F854">
        <v>1004015383</v>
      </c>
      <c r="G854" s="1">
        <v>45511</v>
      </c>
      <c r="H854" t="s">
        <v>1360</v>
      </c>
      <c r="I854" t="s">
        <v>1349</v>
      </c>
      <c r="J854" t="s">
        <v>2348</v>
      </c>
      <c r="K854" t="s">
        <v>2308</v>
      </c>
      <c r="L854" t="s">
        <v>2305</v>
      </c>
      <c r="M854" t="s">
        <v>1409</v>
      </c>
      <c r="N854" t="s">
        <v>1410</v>
      </c>
      <c r="O854" t="s">
        <v>1423</v>
      </c>
      <c r="P854" t="s">
        <v>1423</v>
      </c>
      <c r="Q854" t="s">
        <v>1412</v>
      </c>
      <c r="S854" s="1">
        <v>46045</v>
      </c>
      <c r="T854" s="1">
        <v>45860</v>
      </c>
      <c r="U854" s="1">
        <v>45979</v>
      </c>
      <c r="V854" s="1">
        <v>46042</v>
      </c>
      <c r="W854" s="1">
        <v>35350</v>
      </c>
      <c r="X854" t="s">
        <v>4964</v>
      </c>
      <c r="Y854" t="s">
        <v>3982</v>
      </c>
      <c r="Z854" t="s">
        <v>3446</v>
      </c>
      <c r="AA854" t="s">
        <v>1419</v>
      </c>
      <c r="AB854" t="s">
        <v>4965</v>
      </c>
      <c r="AC854">
        <v>66984268678</v>
      </c>
    </row>
    <row r="855" spans="1:29" x14ac:dyDescent="0.3">
      <c r="A855" t="s">
        <v>1405</v>
      </c>
      <c r="B855" t="s">
        <v>2302</v>
      </c>
      <c r="C855" t="s">
        <v>4966</v>
      </c>
      <c r="D855">
        <v>7231029450</v>
      </c>
      <c r="E855">
        <v>7739669</v>
      </c>
      <c r="F855">
        <v>1004019145</v>
      </c>
      <c r="G855" s="1">
        <v>45882</v>
      </c>
      <c r="H855" t="s">
        <v>1360</v>
      </c>
      <c r="I855" t="s">
        <v>1374</v>
      </c>
      <c r="J855" t="s">
        <v>1361</v>
      </c>
      <c r="K855" t="s">
        <v>2308</v>
      </c>
      <c r="L855" t="s">
        <v>2305</v>
      </c>
      <c r="M855" t="s">
        <v>1409</v>
      </c>
      <c r="N855" t="s">
        <v>1410</v>
      </c>
      <c r="O855" t="s">
        <v>1411</v>
      </c>
      <c r="P855" t="s">
        <v>1411</v>
      </c>
      <c r="Q855" t="s">
        <v>1412</v>
      </c>
      <c r="S855" s="1">
        <v>46043</v>
      </c>
      <c r="W855" s="1">
        <v>31449</v>
      </c>
      <c r="X855" t="s">
        <v>3095</v>
      </c>
      <c r="Y855" t="s">
        <v>3096</v>
      </c>
      <c r="Z855" t="s">
        <v>3097</v>
      </c>
      <c r="AA855" t="s">
        <v>1419</v>
      </c>
      <c r="AB855" t="s">
        <v>4967</v>
      </c>
      <c r="AC855">
        <v>87999704154</v>
      </c>
    </row>
    <row r="856" spans="1:29" x14ac:dyDescent="0.3">
      <c r="A856" t="s">
        <v>1405</v>
      </c>
      <c r="B856" t="s">
        <v>2302</v>
      </c>
      <c r="C856" t="s">
        <v>4968</v>
      </c>
      <c r="D856">
        <v>5105821173</v>
      </c>
      <c r="E856">
        <v>35184752</v>
      </c>
      <c r="F856">
        <v>1004010869</v>
      </c>
      <c r="G856" s="1">
        <v>44838</v>
      </c>
      <c r="H856" t="s">
        <v>1360</v>
      </c>
      <c r="I856" t="s">
        <v>1374</v>
      </c>
      <c r="J856" t="s">
        <v>1361</v>
      </c>
      <c r="K856" t="s">
        <v>2308</v>
      </c>
      <c r="L856" t="s">
        <v>2305</v>
      </c>
      <c r="M856" t="s">
        <v>1409</v>
      </c>
      <c r="N856" t="s">
        <v>1410</v>
      </c>
      <c r="O856" t="s">
        <v>1423</v>
      </c>
      <c r="P856" t="s">
        <v>1423</v>
      </c>
      <c r="Q856" t="s">
        <v>1412</v>
      </c>
      <c r="S856" s="1">
        <v>46043</v>
      </c>
      <c r="W856" s="1">
        <v>34338</v>
      </c>
      <c r="X856" t="s">
        <v>1956</v>
      </c>
      <c r="Y856" t="s">
        <v>2175</v>
      </c>
      <c r="Z856" t="s">
        <v>4969</v>
      </c>
      <c r="AA856" t="s">
        <v>1415</v>
      </c>
      <c r="AB856" t="s">
        <v>4970</v>
      </c>
      <c r="AC856">
        <v>66996367567</v>
      </c>
    </row>
    <row r="857" spans="1:29" x14ac:dyDescent="0.3">
      <c r="A857" t="s">
        <v>1405</v>
      </c>
      <c r="B857" t="s">
        <v>2302</v>
      </c>
      <c r="C857" t="s">
        <v>4971</v>
      </c>
      <c r="D857">
        <v>5058340909</v>
      </c>
      <c r="E857">
        <v>4572408</v>
      </c>
      <c r="F857">
        <v>1004008415</v>
      </c>
      <c r="G857" s="1">
        <v>44421</v>
      </c>
      <c r="H857" t="s">
        <v>1360</v>
      </c>
      <c r="I857" t="s">
        <v>1349</v>
      </c>
      <c r="J857" t="s">
        <v>1361</v>
      </c>
      <c r="K857" t="s">
        <v>2308</v>
      </c>
      <c r="L857" t="s">
        <v>2305</v>
      </c>
      <c r="M857" t="s">
        <v>1409</v>
      </c>
      <c r="N857" t="s">
        <v>1410</v>
      </c>
      <c r="O857" t="s">
        <v>1423</v>
      </c>
      <c r="P857" t="s">
        <v>1423</v>
      </c>
      <c r="Q857" t="s">
        <v>1412</v>
      </c>
      <c r="S857" s="1">
        <v>46064</v>
      </c>
      <c r="V857" s="1">
        <v>46062</v>
      </c>
      <c r="W857" s="1">
        <v>31196</v>
      </c>
      <c r="X857" t="s">
        <v>1852</v>
      </c>
      <c r="Z857" t="s">
        <v>3307</v>
      </c>
      <c r="AA857" t="s">
        <v>1415</v>
      </c>
      <c r="AB857" t="s">
        <v>4972</v>
      </c>
      <c r="AC857">
        <v>5548999887329</v>
      </c>
    </row>
    <row r="858" spans="1:29" x14ac:dyDescent="0.3">
      <c r="A858" t="s">
        <v>1405</v>
      </c>
      <c r="B858" t="s">
        <v>2302</v>
      </c>
      <c r="C858" t="s">
        <v>4973</v>
      </c>
      <c r="D858">
        <v>19551221800</v>
      </c>
      <c r="E858">
        <v>241955257</v>
      </c>
      <c r="F858">
        <v>1004006076</v>
      </c>
      <c r="G858" s="1">
        <v>43937</v>
      </c>
      <c r="H858" t="s">
        <v>1360</v>
      </c>
      <c r="I858" t="s">
        <v>1374</v>
      </c>
      <c r="J858" t="s">
        <v>2308</v>
      </c>
      <c r="K858" t="s">
        <v>2313</v>
      </c>
      <c r="L858" t="s">
        <v>2305</v>
      </c>
      <c r="M858" t="s">
        <v>1409</v>
      </c>
      <c r="N858" t="s">
        <v>1410</v>
      </c>
      <c r="O858" t="s">
        <v>1423</v>
      </c>
      <c r="P858" t="s">
        <v>1423</v>
      </c>
      <c r="Q858" t="s">
        <v>1593</v>
      </c>
      <c r="R858" t="s">
        <v>3745</v>
      </c>
      <c r="S858" s="1">
        <v>46069</v>
      </c>
      <c r="W858" s="1">
        <v>26965</v>
      </c>
      <c r="X858" t="s">
        <v>1724</v>
      </c>
      <c r="Y858" t="s">
        <v>3385</v>
      </c>
      <c r="Z858" t="s">
        <v>2306</v>
      </c>
      <c r="AA858" t="s">
        <v>1419</v>
      </c>
      <c r="AB858" t="s">
        <v>4974</v>
      </c>
      <c r="AC858">
        <v>6799696602</v>
      </c>
    </row>
    <row r="859" spans="1:29" x14ac:dyDescent="0.3">
      <c r="A859" t="s">
        <v>1405</v>
      </c>
      <c r="B859" t="s">
        <v>2302</v>
      </c>
      <c r="C859" t="s">
        <v>4975</v>
      </c>
      <c r="D859">
        <v>30868599204</v>
      </c>
      <c r="E859">
        <v>17458250</v>
      </c>
      <c r="F859">
        <v>1004011421</v>
      </c>
      <c r="G859" s="1">
        <v>44984</v>
      </c>
      <c r="H859" t="s">
        <v>1360</v>
      </c>
      <c r="I859" t="s">
        <v>1349</v>
      </c>
      <c r="J859" t="s">
        <v>1361</v>
      </c>
      <c r="K859" t="s">
        <v>2308</v>
      </c>
      <c r="L859" t="s">
        <v>2305</v>
      </c>
      <c r="M859" t="s">
        <v>1409</v>
      </c>
      <c r="N859" t="s">
        <v>1410</v>
      </c>
      <c r="O859" t="s">
        <v>1423</v>
      </c>
      <c r="P859" t="s">
        <v>1423</v>
      </c>
      <c r="Q859" t="s">
        <v>1412</v>
      </c>
      <c r="S859" s="1">
        <v>45856</v>
      </c>
      <c r="V859" s="1">
        <v>45854</v>
      </c>
      <c r="W859" s="1">
        <v>25255</v>
      </c>
      <c r="X859" t="s">
        <v>3843</v>
      </c>
      <c r="Y859" t="s">
        <v>3844</v>
      </c>
      <c r="Z859" t="s">
        <v>4212</v>
      </c>
      <c r="AA859" t="s">
        <v>1419</v>
      </c>
      <c r="AB859" t="s">
        <v>4976</v>
      </c>
      <c r="AC859">
        <v>65981117164</v>
      </c>
    </row>
    <row r="860" spans="1:29" x14ac:dyDescent="0.3">
      <c r="A860" t="s">
        <v>1405</v>
      </c>
      <c r="B860" t="s">
        <v>2302</v>
      </c>
      <c r="C860" t="s">
        <v>4977</v>
      </c>
      <c r="D860">
        <v>92569862215</v>
      </c>
      <c r="E860">
        <v>4892853</v>
      </c>
      <c r="F860">
        <v>1004017863</v>
      </c>
      <c r="G860" s="1">
        <v>45782</v>
      </c>
      <c r="H860" t="s">
        <v>1360</v>
      </c>
      <c r="I860" t="s">
        <v>1349</v>
      </c>
      <c r="J860" t="s">
        <v>1361</v>
      </c>
      <c r="K860" t="s">
        <v>2308</v>
      </c>
      <c r="L860" t="s">
        <v>2305</v>
      </c>
      <c r="M860" t="s">
        <v>1409</v>
      </c>
      <c r="N860" t="s">
        <v>1410</v>
      </c>
      <c r="O860" t="s">
        <v>1423</v>
      </c>
      <c r="P860" t="s">
        <v>1423</v>
      </c>
      <c r="Q860" t="s">
        <v>1412</v>
      </c>
      <c r="S860" s="1">
        <v>46066</v>
      </c>
      <c r="V860" s="1">
        <v>46065</v>
      </c>
      <c r="W860" s="1">
        <v>31265</v>
      </c>
      <c r="X860" t="s">
        <v>1492</v>
      </c>
      <c r="Y860" t="s">
        <v>2517</v>
      </c>
      <c r="Z860" t="s">
        <v>2518</v>
      </c>
      <c r="AA860" t="s">
        <v>1419</v>
      </c>
      <c r="AB860" t="s">
        <v>4978</v>
      </c>
      <c r="AC860">
        <v>91986283678</v>
      </c>
    </row>
    <row r="861" spans="1:29" x14ac:dyDescent="0.3">
      <c r="A861" t="s">
        <v>1405</v>
      </c>
      <c r="B861" t="s">
        <v>2302</v>
      </c>
      <c r="C861" t="s">
        <v>4979</v>
      </c>
      <c r="D861">
        <v>56561113500</v>
      </c>
      <c r="E861">
        <v>362557349</v>
      </c>
      <c r="F861">
        <v>1004002534</v>
      </c>
      <c r="G861" s="1">
        <v>43346</v>
      </c>
      <c r="H861" t="s">
        <v>1360</v>
      </c>
      <c r="I861" t="s">
        <v>1374</v>
      </c>
      <c r="J861" t="s">
        <v>2308</v>
      </c>
      <c r="K861" t="s">
        <v>2313</v>
      </c>
      <c r="L861" t="s">
        <v>2305</v>
      </c>
      <c r="M861" t="s">
        <v>1409</v>
      </c>
      <c r="N861" t="s">
        <v>1410</v>
      </c>
      <c r="O861" t="s">
        <v>1423</v>
      </c>
      <c r="P861" t="s">
        <v>1423</v>
      </c>
      <c r="Q861" t="s">
        <v>1412</v>
      </c>
      <c r="S861" s="1">
        <v>46043</v>
      </c>
      <c r="W861" s="1">
        <v>25076</v>
      </c>
      <c r="X861" t="s">
        <v>1432</v>
      </c>
      <c r="Y861" t="s">
        <v>1433</v>
      </c>
      <c r="Z861" t="s">
        <v>2822</v>
      </c>
      <c r="AA861" t="s">
        <v>1419</v>
      </c>
      <c r="AB861" t="s">
        <v>4980</v>
      </c>
      <c r="AC861">
        <v>7591399162</v>
      </c>
    </row>
    <row r="862" spans="1:29" x14ac:dyDescent="0.3">
      <c r="A862" t="s">
        <v>1405</v>
      </c>
      <c r="B862" t="s">
        <v>2302</v>
      </c>
      <c r="C862" t="s">
        <v>4981</v>
      </c>
      <c r="D862">
        <v>16133429852</v>
      </c>
      <c r="E862">
        <v>22515237</v>
      </c>
      <c r="F862">
        <v>1004005283</v>
      </c>
      <c r="G862" s="1">
        <v>43879</v>
      </c>
      <c r="H862" t="s">
        <v>1360</v>
      </c>
      <c r="I862" t="s">
        <v>1374</v>
      </c>
      <c r="J862" t="s">
        <v>2308</v>
      </c>
      <c r="K862" t="s">
        <v>2313</v>
      </c>
      <c r="L862" t="s">
        <v>2305</v>
      </c>
      <c r="M862" t="s">
        <v>1409</v>
      </c>
      <c r="N862" t="s">
        <v>1410</v>
      </c>
      <c r="O862" t="s">
        <v>1423</v>
      </c>
      <c r="P862" t="s">
        <v>1423</v>
      </c>
      <c r="Q862" t="s">
        <v>1412</v>
      </c>
      <c r="S862" s="1">
        <v>46043</v>
      </c>
      <c r="W862" s="1">
        <v>25649</v>
      </c>
      <c r="X862" t="s">
        <v>1510</v>
      </c>
      <c r="Y862" t="s">
        <v>3249</v>
      </c>
      <c r="Z862" t="s">
        <v>4982</v>
      </c>
      <c r="AA862" t="s">
        <v>1419</v>
      </c>
      <c r="AB862" t="s">
        <v>4983</v>
      </c>
      <c r="AC862">
        <v>11964823363</v>
      </c>
    </row>
    <row r="863" spans="1:29" x14ac:dyDescent="0.3">
      <c r="A863" t="s">
        <v>1405</v>
      </c>
      <c r="B863" t="s">
        <v>2302</v>
      </c>
      <c r="C863" t="s">
        <v>4984</v>
      </c>
      <c r="D863">
        <v>26162200833</v>
      </c>
      <c r="E863">
        <v>253720710</v>
      </c>
      <c r="F863">
        <v>1004011739</v>
      </c>
      <c r="G863" s="1">
        <v>45020</v>
      </c>
      <c r="H863" t="s">
        <v>1360</v>
      </c>
      <c r="I863" t="s">
        <v>1349</v>
      </c>
      <c r="J863" t="s">
        <v>1361</v>
      </c>
      <c r="K863" t="s">
        <v>2308</v>
      </c>
      <c r="L863" t="s">
        <v>2305</v>
      </c>
      <c r="M863" t="s">
        <v>1409</v>
      </c>
      <c r="N863" t="s">
        <v>1410</v>
      </c>
      <c r="O863" t="s">
        <v>1423</v>
      </c>
      <c r="P863" t="s">
        <v>1423</v>
      </c>
      <c r="Q863" t="s">
        <v>1412</v>
      </c>
      <c r="S863" s="1">
        <v>45855</v>
      </c>
      <c r="V863" s="1">
        <v>45854</v>
      </c>
      <c r="W863" s="1">
        <v>27234</v>
      </c>
      <c r="X863" t="s">
        <v>2186</v>
      </c>
      <c r="Y863" t="s">
        <v>4349</v>
      </c>
      <c r="Z863" t="s">
        <v>2587</v>
      </c>
      <c r="AA863" t="s">
        <v>1419</v>
      </c>
      <c r="AB863" t="s">
        <v>4985</v>
      </c>
      <c r="AC863">
        <v>47984313738</v>
      </c>
    </row>
    <row r="864" spans="1:29" x14ac:dyDescent="0.3">
      <c r="A864" t="s">
        <v>1405</v>
      </c>
      <c r="B864" t="s">
        <v>2302</v>
      </c>
      <c r="C864" t="s">
        <v>4986</v>
      </c>
      <c r="D864">
        <v>120966018</v>
      </c>
      <c r="E864">
        <v>9059574856</v>
      </c>
      <c r="F864">
        <v>1004003007</v>
      </c>
      <c r="G864" s="1">
        <v>43517</v>
      </c>
      <c r="H864" t="s">
        <v>1360</v>
      </c>
      <c r="I864" t="s">
        <v>1349</v>
      </c>
      <c r="J864" t="s">
        <v>2308</v>
      </c>
      <c r="K864" t="s">
        <v>2313</v>
      </c>
      <c r="L864" t="s">
        <v>2305</v>
      </c>
      <c r="M864" t="s">
        <v>1409</v>
      </c>
      <c r="N864" t="s">
        <v>1410</v>
      </c>
      <c r="O864" t="s">
        <v>1423</v>
      </c>
      <c r="P864" t="s">
        <v>1423</v>
      </c>
      <c r="Q864" t="s">
        <v>1412</v>
      </c>
      <c r="S864" s="1">
        <v>46059</v>
      </c>
      <c r="V864" s="1">
        <v>46057</v>
      </c>
      <c r="W864" s="1">
        <v>29843</v>
      </c>
      <c r="X864" t="s">
        <v>1906</v>
      </c>
      <c r="Y864" t="s">
        <v>3410</v>
      </c>
      <c r="Z864" t="s">
        <v>4987</v>
      </c>
      <c r="AA864" t="s">
        <v>1419</v>
      </c>
      <c r="AB864" t="s">
        <v>4988</v>
      </c>
      <c r="AC864">
        <v>5130374110</v>
      </c>
    </row>
    <row r="865" spans="1:29" x14ac:dyDescent="0.3">
      <c r="A865" t="s">
        <v>1405</v>
      </c>
      <c r="B865" t="s">
        <v>2302</v>
      </c>
      <c r="C865" t="s">
        <v>4989</v>
      </c>
      <c r="D865">
        <v>968275990</v>
      </c>
      <c r="E865">
        <v>2953982</v>
      </c>
      <c r="F865">
        <v>1004021263</v>
      </c>
      <c r="G865" s="1">
        <v>46064</v>
      </c>
      <c r="H865" t="s">
        <v>1360</v>
      </c>
      <c r="I865" t="s">
        <v>1374</v>
      </c>
      <c r="J865" t="s">
        <v>2308</v>
      </c>
      <c r="K865" t="s">
        <v>2313</v>
      </c>
      <c r="L865" t="s">
        <v>2305</v>
      </c>
      <c r="M865" t="s">
        <v>1409</v>
      </c>
      <c r="N865" t="s">
        <v>1410</v>
      </c>
      <c r="O865" t="s">
        <v>1423</v>
      </c>
      <c r="P865" t="s">
        <v>1423</v>
      </c>
      <c r="Q865" t="s">
        <v>1412</v>
      </c>
      <c r="S865" s="1">
        <v>46062</v>
      </c>
      <c r="W865" s="1">
        <v>31504</v>
      </c>
      <c r="X865" t="s">
        <v>1669</v>
      </c>
      <c r="Z865" t="s">
        <v>4036</v>
      </c>
      <c r="AA865" t="s">
        <v>1419</v>
      </c>
      <c r="AB865" t="s">
        <v>4990</v>
      </c>
      <c r="AC865">
        <v>4899630634</v>
      </c>
    </row>
    <row r="866" spans="1:29" x14ac:dyDescent="0.3">
      <c r="A866" t="s">
        <v>1405</v>
      </c>
      <c r="B866" t="s">
        <v>2302</v>
      </c>
      <c r="C866" t="s">
        <v>4991</v>
      </c>
      <c r="D866">
        <v>7192758302</v>
      </c>
      <c r="E866">
        <v>3899202</v>
      </c>
      <c r="F866">
        <v>1004016956</v>
      </c>
      <c r="G866" s="1">
        <v>45721</v>
      </c>
      <c r="H866" t="s">
        <v>1360</v>
      </c>
      <c r="I866" t="s">
        <v>1349</v>
      </c>
      <c r="J866" t="s">
        <v>1361</v>
      </c>
      <c r="K866" t="s">
        <v>2308</v>
      </c>
      <c r="L866" t="s">
        <v>2305</v>
      </c>
      <c r="M866" t="s">
        <v>1409</v>
      </c>
      <c r="N866" t="s">
        <v>1410</v>
      </c>
      <c r="O866" t="s">
        <v>1462</v>
      </c>
      <c r="P866" t="s">
        <v>1462</v>
      </c>
      <c r="Q866" t="s">
        <v>1412</v>
      </c>
      <c r="S866" s="1">
        <v>45985</v>
      </c>
      <c r="V866" s="1">
        <v>45979</v>
      </c>
      <c r="W866" s="1">
        <v>36038</v>
      </c>
      <c r="X866" t="s">
        <v>4567</v>
      </c>
      <c r="Y866" t="s">
        <v>4568</v>
      </c>
      <c r="Z866" t="s">
        <v>2891</v>
      </c>
      <c r="AA866" t="s">
        <v>1415</v>
      </c>
      <c r="AB866" t="s">
        <v>4992</v>
      </c>
      <c r="AC866">
        <v>89994051906</v>
      </c>
    </row>
    <row r="867" spans="1:29" x14ac:dyDescent="0.3">
      <c r="A867" t="s">
        <v>1405</v>
      </c>
      <c r="B867" t="s">
        <v>2302</v>
      </c>
      <c r="C867" t="s">
        <v>4993</v>
      </c>
      <c r="D867">
        <v>12550680359</v>
      </c>
      <c r="E867">
        <v>364895220081</v>
      </c>
      <c r="F867">
        <v>1004004449</v>
      </c>
      <c r="G867" s="1">
        <v>43697</v>
      </c>
      <c r="H867" t="s">
        <v>1360</v>
      </c>
      <c r="I867" t="s">
        <v>2317</v>
      </c>
      <c r="J867" t="s">
        <v>2308</v>
      </c>
      <c r="K867" t="s">
        <v>2313</v>
      </c>
      <c r="L867" t="s">
        <v>2305</v>
      </c>
      <c r="M867" t="s">
        <v>1421</v>
      </c>
      <c r="N867" t="s">
        <v>1422</v>
      </c>
      <c r="O867" t="s">
        <v>1411</v>
      </c>
      <c r="P867" t="s">
        <v>1411</v>
      </c>
      <c r="Q867" t="s">
        <v>1412</v>
      </c>
      <c r="S867" s="1">
        <v>44474</v>
      </c>
      <c r="T867" s="1">
        <v>44476</v>
      </c>
      <c r="W867" s="1">
        <v>21679</v>
      </c>
      <c r="X867" t="s">
        <v>1519</v>
      </c>
      <c r="Z867" t="s">
        <v>3322</v>
      </c>
      <c r="AA867" t="s">
        <v>1415</v>
      </c>
      <c r="AB867" t="s">
        <v>4994</v>
      </c>
      <c r="AC867">
        <v>94991553889</v>
      </c>
    </row>
    <row r="868" spans="1:29" x14ac:dyDescent="0.3">
      <c r="A868" t="s">
        <v>1405</v>
      </c>
      <c r="B868" t="s">
        <v>2302</v>
      </c>
      <c r="C868" t="s">
        <v>4995</v>
      </c>
      <c r="D868">
        <v>4898254942</v>
      </c>
      <c r="E868">
        <v>4823682</v>
      </c>
      <c r="F868">
        <v>1004005467</v>
      </c>
      <c r="G868" s="1">
        <v>43883</v>
      </c>
      <c r="H868" t="s">
        <v>1360</v>
      </c>
      <c r="I868" t="s">
        <v>1374</v>
      </c>
      <c r="J868" t="s">
        <v>2308</v>
      </c>
      <c r="K868" t="s">
        <v>2313</v>
      </c>
      <c r="L868" t="s">
        <v>2305</v>
      </c>
      <c r="M868" t="s">
        <v>1409</v>
      </c>
      <c r="N868" t="s">
        <v>1410</v>
      </c>
      <c r="O868" t="s">
        <v>1423</v>
      </c>
      <c r="P868" t="s">
        <v>1423</v>
      </c>
      <c r="Q868" t="s">
        <v>1412</v>
      </c>
      <c r="S868" s="1">
        <v>46043</v>
      </c>
      <c r="W868" s="1">
        <v>31478</v>
      </c>
      <c r="X868" t="s">
        <v>1665</v>
      </c>
      <c r="Y868" t="s">
        <v>2731</v>
      </c>
      <c r="Z868" t="s">
        <v>2818</v>
      </c>
      <c r="AA868" t="s">
        <v>1419</v>
      </c>
      <c r="AB868" t="s">
        <v>4996</v>
      </c>
      <c r="AC868">
        <v>47999169468</v>
      </c>
    </row>
    <row r="869" spans="1:29" x14ac:dyDescent="0.3">
      <c r="A869" t="s">
        <v>1405</v>
      </c>
      <c r="B869" t="s">
        <v>2302</v>
      </c>
      <c r="C869" t="s">
        <v>4997</v>
      </c>
      <c r="D869">
        <v>1398331538</v>
      </c>
      <c r="E869">
        <v>750574682</v>
      </c>
      <c r="F869">
        <v>1004010578</v>
      </c>
      <c r="G869" s="1">
        <v>44789</v>
      </c>
      <c r="H869" t="s">
        <v>1360</v>
      </c>
      <c r="I869" t="s">
        <v>1374</v>
      </c>
      <c r="J869" t="s">
        <v>1361</v>
      </c>
      <c r="K869" t="s">
        <v>2308</v>
      </c>
      <c r="L869" t="s">
        <v>2305</v>
      </c>
      <c r="M869" t="s">
        <v>1409</v>
      </c>
      <c r="N869" t="s">
        <v>1410</v>
      </c>
      <c r="O869" t="s">
        <v>1423</v>
      </c>
      <c r="P869" t="s">
        <v>1411</v>
      </c>
      <c r="Q869" t="s">
        <v>1412</v>
      </c>
      <c r="S869" s="1">
        <v>46043</v>
      </c>
      <c r="W869" s="1">
        <v>30448</v>
      </c>
      <c r="X869" t="s">
        <v>4998</v>
      </c>
      <c r="Y869" t="s">
        <v>4999</v>
      </c>
      <c r="Z869" t="s">
        <v>3838</v>
      </c>
      <c r="AA869" t="s">
        <v>1419</v>
      </c>
      <c r="AB869" t="s">
        <v>5000</v>
      </c>
      <c r="AC869">
        <v>75991112924</v>
      </c>
    </row>
    <row r="870" spans="1:29" x14ac:dyDescent="0.3">
      <c r="A870" t="s">
        <v>1405</v>
      </c>
      <c r="B870" t="s">
        <v>2302</v>
      </c>
      <c r="C870" t="s">
        <v>5001</v>
      </c>
      <c r="D870">
        <v>6236306303</v>
      </c>
      <c r="E870">
        <v>20076645112</v>
      </c>
      <c r="F870">
        <v>1004012516</v>
      </c>
      <c r="G870" s="1">
        <v>45148</v>
      </c>
      <c r="H870" t="s">
        <v>1360</v>
      </c>
      <c r="I870" t="s">
        <v>1349</v>
      </c>
      <c r="J870" t="s">
        <v>2348</v>
      </c>
      <c r="K870" t="s">
        <v>2308</v>
      </c>
      <c r="L870" t="s">
        <v>2305</v>
      </c>
      <c r="M870" t="s">
        <v>1409</v>
      </c>
      <c r="N870" t="s">
        <v>1410</v>
      </c>
      <c r="O870" t="s">
        <v>1411</v>
      </c>
      <c r="P870" t="s">
        <v>1411</v>
      </c>
      <c r="Q870" t="s">
        <v>1412</v>
      </c>
      <c r="S870" s="1">
        <v>45842</v>
      </c>
      <c r="V870" s="1">
        <v>45840</v>
      </c>
      <c r="W870" s="1">
        <v>34471</v>
      </c>
      <c r="X870" t="s">
        <v>5002</v>
      </c>
      <c r="Z870" t="s">
        <v>5003</v>
      </c>
      <c r="AA870" t="s">
        <v>1419</v>
      </c>
      <c r="AB870" t="s">
        <v>5004</v>
      </c>
      <c r="AC870">
        <v>88999322124</v>
      </c>
    </row>
    <row r="871" spans="1:29" x14ac:dyDescent="0.3">
      <c r="A871" t="s">
        <v>1405</v>
      </c>
      <c r="B871" t="s">
        <v>2302</v>
      </c>
      <c r="C871" t="s">
        <v>5005</v>
      </c>
      <c r="D871">
        <v>6682231628</v>
      </c>
      <c r="E871">
        <v>13939762</v>
      </c>
      <c r="F871">
        <v>1004004037</v>
      </c>
      <c r="G871" s="1">
        <v>43635</v>
      </c>
      <c r="H871" t="s">
        <v>1360</v>
      </c>
      <c r="I871" t="s">
        <v>1349</v>
      </c>
      <c r="J871" t="s">
        <v>2308</v>
      </c>
      <c r="K871" t="s">
        <v>2313</v>
      </c>
      <c r="L871" t="s">
        <v>2305</v>
      </c>
      <c r="M871" t="s">
        <v>1421</v>
      </c>
      <c r="N871" t="s">
        <v>1422</v>
      </c>
      <c r="O871" t="s">
        <v>1423</v>
      </c>
      <c r="P871" t="s">
        <v>1423</v>
      </c>
      <c r="Q871" t="s">
        <v>1412</v>
      </c>
      <c r="S871" s="1">
        <v>45763</v>
      </c>
      <c r="V871" s="1">
        <v>45756</v>
      </c>
      <c r="W871" s="1">
        <v>30354</v>
      </c>
      <c r="X871" t="s">
        <v>5006</v>
      </c>
      <c r="Z871" t="s">
        <v>5007</v>
      </c>
      <c r="AA871" t="s">
        <v>1419</v>
      </c>
      <c r="AB871" t="s">
        <v>5008</v>
      </c>
      <c r="AC871">
        <v>37999910629</v>
      </c>
    </row>
    <row r="872" spans="1:29" x14ac:dyDescent="0.3">
      <c r="A872" t="s">
        <v>1405</v>
      </c>
      <c r="B872" t="s">
        <v>2302</v>
      </c>
      <c r="C872" t="s">
        <v>5009</v>
      </c>
      <c r="D872">
        <v>7858041967</v>
      </c>
      <c r="E872">
        <v>4650216</v>
      </c>
      <c r="F872">
        <v>1004001742</v>
      </c>
      <c r="G872" s="1">
        <v>43194</v>
      </c>
      <c r="H872" t="s">
        <v>1360</v>
      </c>
      <c r="I872" t="s">
        <v>1374</v>
      </c>
      <c r="J872" t="s">
        <v>2308</v>
      </c>
      <c r="K872" t="s">
        <v>2313</v>
      </c>
      <c r="L872" t="s">
        <v>2305</v>
      </c>
      <c r="M872" t="s">
        <v>1409</v>
      </c>
      <c r="N872" t="s">
        <v>1410</v>
      </c>
      <c r="O872" t="s">
        <v>1423</v>
      </c>
      <c r="P872" t="s">
        <v>1423</v>
      </c>
      <c r="Q872" t="s">
        <v>1412</v>
      </c>
      <c r="S872" s="1">
        <v>46043</v>
      </c>
      <c r="W872" s="1">
        <v>33245</v>
      </c>
      <c r="X872" t="s">
        <v>2950</v>
      </c>
      <c r="Y872" t="s">
        <v>2753</v>
      </c>
      <c r="Z872" t="s">
        <v>2857</v>
      </c>
      <c r="AA872" t="s">
        <v>1419</v>
      </c>
      <c r="AB872" t="s">
        <v>5010</v>
      </c>
      <c r="AC872">
        <v>48999144698</v>
      </c>
    </row>
    <row r="873" spans="1:29" x14ac:dyDescent="0.3">
      <c r="A873" t="s">
        <v>1405</v>
      </c>
      <c r="B873" t="s">
        <v>2302</v>
      </c>
      <c r="C873" t="s">
        <v>5011</v>
      </c>
      <c r="D873">
        <v>3472660376</v>
      </c>
      <c r="E873" s="3">
        <v>6079995</v>
      </c>
      <c r="F873">
        <v>1004015934</v>
      </c>
      <c r="G873" s="1">
        <v>45566</v>
      </c>
      <c r="H873" t="s">
        <v>1360</v>
      </c>
      <c r="I873" t="s">
        <v>1374</v>
      </c>
      <c r="J873" t="s">
        <v>2348</v>
      </c>
      <c r="K873" t="s">
        <v>2308</v>
      </c>
      <c r="L873" t="s">
        <v>2305</v>
      </c>
      <c r="M873" t="s">
        <v>1409</v>
      </c>
      <c r="N873" t="s">
        <v>1410</v>
      </c>
      <c r="O873" t="s">
        <v>1411</v>
      </c>
      <c r="P873" t="s">
        <v>1411</v>
      </c>
      <c r="Q873" t="s">
        <v>1412</v>
      </c>
      <c r="S873" s="1">
        <v>46043</v>
      </c>
      <c r="W873" s="1">
        <v>31321</v>
      </c>
      <c r="X873" t="s">
        <v>5012</v>
      </c>
      <c r="Z873" t="s">
        <v>4755</v>
      </c>
      <c r="AA873" t="s">
        <v>1415</v>
      </c>
      <c r="AB873" t="s">
        <v>1323</v>
      </c>
      <c r="AC873">
        <v>91989835454</v>
      </c>
    </row>
    <row r="874" spans="1:29" x14ac:dyDescent="0.3">
      <c r="A874" t="s">
        <v>1405</v>
      </c>
      <c r="B874" t="s">
        <v>2302</v>
      </c>
      <c r="C874" t="s">
        <v>5013</v>
      </c>
      <c r="D874">
        <v>5729862113</v>
      </c>
      <c r="E874">
        <v>1650621</v>
      </c>
      <c r="F874">
        <v>1004020375</v>
      </c>
      <c r="G874" s="1">
        <v>45945</v>
      </c>
      <c r="H874" t="s">
        <v>1360</v>
      </c>
      <c r="I874" t="s">
        <v>1349</v>
      </c>
      <c r="J874" t="s">
        <v>2348</v>
      </c>
      <c r="K874" t="s">
        <v>2308</v>
      </c>
      <c r="L874" t="s">
        <v>2305</v>
      </c>
      <c r="M874" t="s">
        <v>1409</v>
      </c>
      <c r="N874" t="s">
        <v>1410</v>
      </c>
      <c r="O874" t="s">
        <v>1423</v>
      </c>
      <c r="P874" t="s">
        <v>1423</v>
      </c>
      <c r="Q874" t="s">
        <v>1412</v>
      </c>
      <c r="S874" s="1">
        <v>45986</v>
      </c>
      <c r="V874" s="1">
        <v>45985</v>
      </c>
      <c r="W874" s="1">
        <v>35410</v>
      </c>
      <c r="X874" t="s">
        <v>5014</v>
      </c>
      <c r="Z874" t="s">
        <v>2758</v>
      </c>
      <c r="AA874" t="s">
        <v>1419</v>
      </c>
      <c r="AB874" t="s">
        <v>5015</v>
      </c>
      <c r="AC874">
        <v>64999044139</v>
      </c>
    </row>
    <row r="875" spans="1:29" x14ac:dyDescent="0.3">
      <c r="A875" t="s">
        <v>1405</v>
      </c>
      <c r="B875" t="s">
        <v>2302</v>
      </c>
      <c r="C875" t="s">
        <v>5016</v>
      </c>
      <c r="D875">
        <v>7421203419</v>
      </c>
      <c r="E875">
        <v>7202915</v>
      </c>
      <c r="F875">
        <v>1004002331</v>
      </c>
      <c r="G875" s="1">
        <v>43320</v>
      </c>
      <c r="H875" t="s">
        <v>1360</v>
      </c>
      <c r="I875" t="s">
        <v>5017</v>
      </c>
      <c r="J875" t="s">
        <v>2308</v>
      </c>
      <c r="K875" t="s">
        <v>2313</v>
      </c>
      <c r="L875" t="s">
        <v>2305</v>
      </c>
      <c r="M875" t="s">
        <v>1421</v>
      </c>
      <c r="N875" t="s">
        <v>1422</v>
      </c>
      <c r="O875" t="s">
        <v>1411</v>
      </c>
      <c r="P875" t="s">
        <v>1411</v>
      </c>
      <c r="Q875" t="s">
        <v>1412</v>
      </c>
      <c r="S875" s="1">
        <v>43810</v>
      </c>
      <c r="T875" s="1">
        <v>43763</v>
      </c>
      <c r="W875" s="1">
        <v>32689</v>
      </c>
      <c r="X875" t="s">
        <v>3402</v>
      </c>
      <c r="Y875" t="s">
        <v>3403</v>
      </c>
      <c r="Z875" t="s">
        <v>4829</v>
      </c>
      <c r="AA875" t="s">
        <v>1419</v>
      </c>
      <c r="AB875" t="s">
        <v>5018</v>
      </c>
      <c r="AC875">
        <v>74998156933</v>
      </c>
    </row>
    <row r="876" spans="1:29" x14ac:dyDescent="0.3">
      <c r="A876" t="s">
        <v>1405</v>
      </c>
      <c r="B876" t="s">
        <v>2302</v>
      </c>
      <c r="C876" t="s">
        <v>5019</v>
      </c>
      <c r="D876">
        <v>3583230108</v>
      </c>
      <c r="E876">
        <v>5423579</v>
      </c>
      <c r="F876">
        <v>1004010435</v>
      </c>
      <c r="G876" s="1">
        <v>44784</v>
      </c>
      <c r="H876" t="s">
        <v>1360</v>
      </c>
      <c r="I876" t="s">
        <v>1374</v>
      </c>
      <c r="J876">
        <v>3</v>
      </c>
      <c r="K876" t="s">
        <v>2444</v>
      </c>
      <c r="L876" t="s">
        <v>2305</v>
      </c>
      <c r="M876" t="s">
        <v>1421</v>
      </c>
      <c r="N876" t="s">
        <v>1410</v>
      </c>
      <c r="O876" t="s">
        <v>1423</v>
      </c>
      <c r="P876" t="s">
        <v>1423</v>
      </c>
      <c r="Q876" t="s">
        <v>1412</v>
      </c>
      <c r="S876" s="1">
        <v>46043</v>
      </c>
      <c r="W876" s="1">
        <v>34003</v>
      </c>
      <c r="X876" t="s">
        <v>1521</v>
      </c>
      <c r="Z876" t="s">
        <v>3578</v>
      </c>
      <c r="AA876" t="s">
        <v>1419</v>
      </c>
      <c r="AB876" t="s">
        <v>610</v>
      </c>
      <c r="AC876">
        <v>61996727694</v>
      </c>
    </row>
    <row r="877" spans="1:29" x14ac:dyDescent="0.3">
      <c r="A877" t="s">
        <v>1405</v>
      </c>
      <c r="B877" t="s">
        <v>2302</v>
      </c>
      <c r="C877" t="s">
        <v>5020</v>
      </c>
      <c r="D877">
        <v>3897571366</v>
      </c>
      <c r="E877">
        <v>3352882</v>
      </c>
      <c r="F877">
        <v>1004017937</v>
      </c>
      <c r="G877" s="1">
        <v>45782</v>
      </c>
      <c r="H877" t="s">
        <v>1360</v>
      </c>
      <c r="I877" t="s">
        <v>1374</v>
      </c>
      <c r="J877" t="s">
        <v>1361</v>
      </c>
      <c r="K877" t="s">
        <v>2308</v>
      </c>
      <c r="L877" t="s">
        <v>2305</v>
      </c>
      <c r="M877" t="s">
        <v>1409</v>
      </c>
      <c r="N877" t="s">
        <v>1410</v>
      </c>
      <c r="O877" t="s">
        <v>1411</v>
      </c>
      <c r="P877" t="s">
        <v>1411</v>
      </c>
      <c r="Q877" t="s">
        <v>1412</v>
      </c>
      <c r="S877" s="1">
        <v>46043</v>
      </c>
      <c r="W877" s="1">
        <v>35900</v>
      </c>
      <c r="X877" t="s">
        <v>1617</v>
      </c>
      <c r="Z877" t="s">
        <v>3333</v>
      </c>
      <c r="AA877" t="s">
        <v>1419</v>
      </c>
      <c r="AB877" t="s">
        <v>5021</v>
      </c>
      <c r="AC877">
        <v>89988092849</v>
      </c>
    </row>
    <row r="878" spans="1:29" x14ac:dyDescent="0.3">
      <c r="A878" t="s">
        <v>1405</v>
      </c>
      <c r="B878" t="s">
        <v>2302</v>
      </c>
      <c r="C878" t="s">
        <v>5022</v>
      </c>
      <c r="D878">
        <v>1810353912</v>
      </c>
      <c r="E878">
        <v>2258442</v>
      </c>
      <c r="F878">
        <v>1004004284</v>
      </c>
      <c r="G878" s="1">
        <v>43685</v>
      </c>
      <c r="H878" t="s">
        <v>1360</v>
      </c>
      <c r="I878" t="s">
        <v>1374</v>
      </c>
      <c r="J878" t="s">
        <v>2308</v>
      </c>
      <c r="K878" t="s">
        <v>2313</v>
      </c>
      <c r="L878" t="s">
        <v>2305</v>
      </c>
      <c r="M878" t="s">
        <v>1409</v>
      </c>
      <c r="N878" t="s">
        <v>1410</v>
      </c>
      <c r="O878" t="s">
        <v>1423</v>
      </c>
      <c r="P878" t="s">
        <v>1423</v>
      </c>
      <c r="Q878" t="s">
        <v>1412</v>
      </c>
      <c r="S878" s="1">
        <v>46043</v>
      </c>
      <c r="W878" s="1">
        <v>27831</v>
      </c>
      <c r="X878" t="s">
        <v>2722</v>
      </c>
      <c r="Y878" t="s">
        <v>2723</v>
      </c>
      <c r="Z878" t="s">
        <v>2724</v>
      </c>
      <c r="AA878" t="s">
        <v>1415</v>
      </c>
      <c r="AB878" t="s">
        <v>5023</v>
      </c>
      <c r="AC878">
        <v>4799988810</v>
      </c>
    </row>
    <row r="879" spans="1:29" x14ac:dyDescent="0.3">
      <c r="A879" t="s">
        <v>1405</v>
      </c>
      <c r="B879" t="s">
        <v>2302</v>
      </c>
      <c r="C879" t="s">
        <v>5024</v>
      </c>
      <c r="D879">
        <v>2628990350</v>
      </c>
      <c r="E879">
        <v>20077318131</v>
      </c>
      <c r="F879">
        <v>1004009829</v>
      </c>
      <c r="G879" s="1">
        <v>44677</v>
      </c>
      <c r="H879" t="s">
        <v>1360</v>
      </c>
      <c r="I879" t="s">
        <v>1349</v>
      </c>
      <c r="J879" t="s">
        <v>1361</v>
      </c>
      <c r="K879" t="s">
        <v>2308</v>
      </c>
      <c r="L879" t="s">
        <v>2305</v>
      </c>
      <c r="M879" t="s">
        <v>1409</v>
      </c>
      <c r="N879" t="s">
        <v>1410</v>
      </c>
      <c r="O879" t="s">
        <v>1423</v>
      </c>
      <c r="P879" t="s">
        <v>1423</v>
      </c>
      <c r="Q879" t="s">
        <v>1412</v>
      </c>
      <c r="S879" s="1">
        <v>46044</v>
      </c>
      <c r="V879" s="1">
        <v>46042</v>
      </c>
      <c r="W879" s="1">
        <v>35134</v>
      </c>
      <c r="X879" t="s">
        <v>2504</v>
      </c>
      <c r="Z879" t="s">
        <v>2506</v>
      </c>
      <c r="AA879" t="s">
        <v>1419</v>
      </c>
      <c r="AB879" t="s">
        <v>5025</v>
      </c>
      <c r="AC879">
        <v>88997753283</v>
      </c>
    </row>
    <row r="880" spans="1:29" x14ac:dyDescent="0.3">
      <c r="A880" t="s">
        <v>1405</v>
      </c>
      <c r="B880" t="s">
        <v>2302</v>
      </c>
      <c r="C880" t="s">
        <v>5026</v>
      </c>
      <c r="D880">
        <v>38533537204</v>
      </c>
      <c r="E880">
        <v>9742182</v>
      </c>
      <c r="F880">
        <v>1004011437</v>
      </c>
      <c r="G880" s="1">
        <v>44984</v>
      </c>
      <c r="H880" t="s">
        <v>1360</v>
      </c>
      <c r="I880" t="s">
        <v>1374</v>
      </c>
      <c r="J880" t="s">
        <v>2348</v>
      </c>
      <c r="K880" t="s">
        <v>2308</v>
      </c>
      <c r="L880" t="s">
        <v>2305</v>
      </c>
      <c r="M880" t="s">
        <v>1421</v>
      </c>
      <c r="N880" t="s">
        <v>1422</v>
      </c>
      <c r="O880" t="s">
        <v>1411</v>
      </c>
      <c r="P880" t="s">
        <v>1411</v>
      </c>
      <c r="Q880" t="s">
        <v>1412</v>
      </c>
      <c r="S880" s="1">
        <v>46043</v>
      </c>
      <c r="W880" s="1">
        <v>25999</v>
      </c>
      <c r="X880" t="s">
        <v>1825</v>
      </c>
      <c r="Y880" t="s">
        <v>1920</v>
      </c>
      <c r="Z880" t="s">
        <v>2350</v>
      </c>
      <c r="AA880" t="s">
        <v>1419</v>
      </c>
      <c r="AB880" t="s">
        <v>487</v>
      </c>
      <c r="AC880">
        <v>92991544511</v>
      </c>
    </row>
    <row r="881" spans="1:29" x14ac:dyDescent="0.3">
      <c r="A881" t="s">
        <v>1405</v>
      </c>
      <c r="B881" t="s">
        <v>2302</v>
      </c>
      <c r="C881" t="s">
        <v>5027</v>
      </c>
      <c r="D881">
        <v>3548188133</v>
      </c>
      <c r="E881" s="3">
        <v>8678156</v>
      </c>
      <c r="F881">
        <v>1004022146</v>
      </c>
      <c r="G881" s="1">
        <v>46113</v>
      </c>
      <c r="H881" t="s">
        <v>1360</v>
      </c>
      <c r="I881" t="s">
        <v>1374</v>
      </c>
      <c r="J881" t="s">
        <v>2308</v>
      </c>
      <c r="K881" t="s">
        <v>2313</v>
      </c>
      <c r="L881" t="s">
        <v>2305</v>
      </c>
      <c r="M881" t="s">
        <v>1409</v>
      </c>
      <c r="N881" t="s">
        <v>1410</v>
      </c>
      <c r="O881" t="s">
        <v>1411</v>
      </c>
      <c r="P881" t="s">
        <v>1411</v>
      </c>
      <c r="Q881" t="s">
        <v>1412</v>
      </c>
      <c r="S881" s="1">
        <v>46118</v>
      </c>
      <c r="W881" s="1">
        <v>35751</v>
      </c>
      <c r="X881" t="s">
        <v>5028</v>
      </c>
      <c r="Z881" t="s">
        <v>4714</v>
      </c>
      <c r="AA881" t="s">
        <v>1415</v>
      </c>
      <c r="AB881" t="s">
        <v>5029</v>
      </c>
      <c r="AC881">
        <v>81982679705</v>
      </c>
    </row>
    <row r="882" spans="1:29" x14ac:dyDescent="0.3">
      <c r="A882" t="s">
        <v>1405</v>
      </c>
      <c r="B882" t="s">
        <v>2302</v>
      </c>
      <c r="C882" t="s">
        <v>5030</v>
      </c>
      <c r="D882">
        <v>969437501</v>
      </c>
      <c r="E882">
        <v>971321442</v>
      </c>
      <c r="F882">
        <v>1004000086</v>
      </c>
      <c r="G882" s="1">
        <v>42767</v>
      </c>
      <c r="H882" t="s">
        <v>1360</v>
      </c>
      <c r="I882" t="s">
        <v>1374</v>
      </c>
      <c r="J882" t="s">
        <v>2308</v>
      </c>
      <c r="K882" t="s">
        <v>2313</v>
      </c>
      <c r="L882" t="s">
        <v>2305</v>
      </c>
      <c r="M882" t="s">
        <v>1409</v>
      </c>
      <c r="N882" t="s">
        <v>1410</v>
      </c>
      <c r="O882" t="s">
        <v>1423</v>
      </c>
      <c r="P882" t="s">
        <v>1423</v>
      </c>
      <c r="Q882" t="s">
        <v>1412</v>
      </c>
      <c r="S882" s="1">
        <v>46043</v>
      </c>
      <c r="W882" s="1">
        <v>30060</v>
      </c>
      <c r="X882" t="s">
        <v>2361</v>
      </c>
      <c r="Y882" t="s">
        <v>2362</v>
      </c>
      <c r="Z882" t="s">
        <v>2363</v>
      </c>
      <c r="AA882" t="s">
        <v>1419</v>
      </c>
      <c r="AB882" t="s">
        <v>5031</v>
      </c>
    </row>
    <row r="883" spans="1:29" x14ac:dyDescent="0.3">
      <c r="A883" t="s">
        <v>1405</v>
      </c>
      <c r="B883" t="s">
        <v>2302</v>
      </c>
      <c r="C883" t="s">
        <v>5032</v>
      </c>
      <c r="D883">
        <v>85486892268</v>
      </c>
      <c r="E883">
        <v>19014180</v>
      </c>
      <c r="F883">
        <v>1004007721</v>
      </c>
      <c r="G883" s="1">
        <v>44296</v>
      </c>
      <c r="H883" t="s">
        <v>1360</v>
      </c>
      <c r="I883" t="s">
        <v>1374</v>
      </c>
      <c r="J883" t="s">
        <v>2308</v>
      </c>
      <c r="K883" t="s">
        <v>2313</v>
      </c>
      <c r="L883" t="s">
        <v>2305</v>
      </c>
      <c r="M883" t="s">
        <v>1421</v>
      </c>
      <c r="N883" t="s">
        <v>1422</v>
      </c>
      <c r="O883" t="s">
        <v>1411</v>
      </c>
      <c r="P883" t="s">
        <v>1411</v>
      </c>
      <c r="Q883" t="s">
        <v>1412</v>
      </c>
      <c r="S883" s="1">
        <v>46043</v>
      </c>
      <c r="W883" s="1">
        <v>30243</v>
      </c>
      <c r="X883" t="s">
        <v>1896</v>
      </c>
      <c r="Z883" t="s">
        <v>2997</v>
      </c>
      <c r="AA883" t="s">
        <v>1419</v>
      </c>
      <c r="AB883" t="s">
        <v>5033</v>
      </c>
      <c r="AC883">
        <v>92992537393</v>
      </c>
    </row>
    <row r="884" spans="1:29" x14ac:dyDescent="0.3">
      <c r="A884" t="s">
        <v>1405</v>
      </c>
      <c r="B884" t="s">
        <v>2302</v>
      </c>
      <c r="C884" t="s">
        <v>5034</v>
      </c>
      <c r="D884">
        <v>40372090044</v>
      </c>
      <c r="E884">
        <v>4030299665</v>
      </c>
      <c r="F884">
        <v>42004200618</v>
      </c>
      <c r="G884" s="1">
        <v>41687</v>
      </c>
      <c r="H884" t="s">
        <v>1360</v>
      </c>
      <c r="I884" t="s">
        <v>1349</v>
      </c>
      <c r="J884" t="s">
        <v>2308</v>
      </c>
      <c r="K884" t="s">
        <v>2313</v>
      </c>
      <c r="L884" t="s">
        <v>2305</v>
      </c>
      <c r="M884" t="s">
        <v>1447</v>
      </c>
      <c r="N884" t="s">
        <v>1448</v>
      </c>
      <c r="O884" t="s">
        <v>1423</v>
      </c>
      <c r="P884" t="s">
        <v>1423</v>
      </c>
      <c r="Q884" t="s">
        <v>1412</v>
      </c>
      <c r="S884" s="1">
        <v>46087</v>
      </c>
      <c r="V884" s="1">
        <v>46084</v>
      </c>
      <c r="W884" s="1">
        <v>23752</v>
      </c>
      <c r="X884" t="s">
        <v>1485</v>
      </c>
      <c r="Y884" t="s">
        <v>1756</v>
      </c>
      <c r="Z884" t="s">
        <v>2378</v>
      </c>
      <c r="AA884" t="s">
        <v>1415</v>
      </c>
      <c r="AB884" t="s">
        <v>5035</v>
      </c>
      <c r="AC884">
        <v>51998083637</v>
      </c>
    </row>
    <row r="885" spans="1:29" x14ac:dyDescent="0.3">
      <c r="A885" t="s">
        <v>1405</v>
      </c>
      <c r="B885" t="s">
        <v>2302</v>
      </c>
      <c r="C885" t="s">
        <v>5036</v>
      </c>
      <c r="D885">
        <v>1749201305</v>
      </c>
      <c r="E885">
        <v>2000097167569</v>
      </c>
      <c r="F885">
        <v>1004019568</v>
      </c>
      <c r="G885" s="1">
        <v>45901</v>
      </c>
      <c r="H885" t="s">
        <v>1360</v>
      </c>
      <c r="I885" t="s">
        <v>1349</v>
      </c>
      <c r="J885" t="s">
        <v>1361</v>
      </c>
      <c r="K885" t="s">
        <v>2308</v>
      </c>
      <c r="L885" t="s">
        <v>2305</v>
      </c>
      <c r="M885" t="s">
        <v>1409</v>
      </c>
      <c r="N885" t="s">
        <v>1410</v>
      </c>
      <c r="O885" t="s">
        <v>1411</v>
      </c>
      <c r="P885" t="s">
        <v>1411</v>
      </c>
      <c r="Q885" t="s">
        <v>1412</v>
      </c>
      <c r="S885" s="1">
        <v>46048</v>
      </c>
      <c r="V885" s="1">
        <v>46043</v>
      </c>
      <c r="W885" s="1">
        <v>32107</v>
      </c>
      <c r="X885" t="s">
        <v>1773</v>
      </c>
      <c r="Z885" t="s">
        <v>5037</v>
      </c>
      <c r="AA885" t="s">
        <v>1419</v>
      </c>
      <c r="AB885" t="s">
        <v>5038</v>
      </c>
      <c r="AC885">
        <v>88981154111</v>
      </c>
    </row>
    <row r="886" spans="1:29" x14ac:dyDescent="0.3">
      <c r="A886" t="s">
        <v>1405</v>
      </c>
      <c r="B886" t="s">
        <v>2302</v>
      </c>
      <c r="C886" t="s">
        <v>5039</v>
      </c>
      <c r="D886">
        <v>1575552590</v>
      </c>
      <c r="E886" t="s">
        <v>5040</v>
      </c>
      <c r="F886">
        <v>1004021311</v>
      </c>
      <c r="G886" s="1">
        <v>46065</v>
      </c>
      <c r="H886" t="s">
        <v>1360</v>
      </c>
      <c r="I886" t="s">
        <v>1374</v>
      </c>
      <c r="J886" t="s">
        <v>2308</v>
      </c>
      <c r="K886" t="s">
        <v>2313</v>
      </c>
      <c r="L886" t="s">
        <v>2305</v>
      </c>
      <c r="M886" t="s">
        <v>1409</v>
      </c>
      <c r="N886" t="s">
        <v>1410</v>
      </c>
      <c r="O886" t="s">
        <v>1411</v>
      </c>
      <c r="P886" t="s">
        <v>1411</v>
      </c>
      <c r="Q886" t="s">
        <v>1412</v>
      </c>
      <c r="S886" s="1">
        <v>46064</v>
      </c>
      <c r="W886" s="1">
        <v>31225</v>
      </c>
      <c r="X886" t="s">
        <v>1428</v>
      </c>
      <c r="Y886" t="s">
        <v>5041</v>
      </c>
      <c r="Z886" t="s">
        <v>3319</v>
      </c>
      <c r="AA886" t="s">
        <v>1419</v>
      </c>
      <c r="AB886" t="s">
        <v>5042</v>
      </c>
      <c r="AC886">
        <v>79999370520</v>
      </c>
    </row>
    <row r="887" spans="1:29" x14ac:dyDescent="0.3">
      <c r="A887" t="s">
        <v>1405</v>
      </c>
      <c r="B887" t="s">
        <v>2302</v>
      </c>
      <c r="C887" t="s">
        <v>5043</v>
      </c>
      <c r="D887">
        <v>51557797234</v>
      </c>
      <c r="E887">
        <v>14516675</v>
      </c>
      <c r="F887">
        <v>1004011235</v>
      </c>
      <c r="G887" s="1">
        <v>44984</v>
      </c>
      <c r="H887" t="s">
        <v>1360</v>
      </c>
      <c r="I887" t="s">
        <v>1349</v>
      </c>
      <c r="J887" t="s">
        <v>1361</v>
      </c>
      <c r="K887" t="s">
        <v>2308</v>
      </c>
      <c r="L887" t="s">
        <v>2305</v>
      </c>
      <c r="M887" t="s">
        <v>1421</v>
      </c>
      <c r="N887" t="s">
        <v>1422</v>
      </c>
      <c r="O887" t="s">
        <v>1411</v>
      </c>
      <c r="P887" t="s">
        <v>1411</v>
      </c>
      <c r="Q887" t="s">
        <v>1412</v>
      </c>
      <c r="S887" s="1">
        <v>45856</v>
      </c>
      <c r="V887" s="1">
        <v>45854</v>
      </c>
      <c r="W887" s="1">
        <v>29491</v>
      </c>
      <c r="X887" t="s">
        <v>1825</v>
      </c>
      <c r="Z887" t="s">
        <v>2903</v>
      </c>
      <c r="AA887" t="s">
        <v>1419</v>
      </c>
      <c r="AB887" t="s">
        <v>5044</v>
      </c>
      <c r="AC887">
        <v>92993513127</v>
      </c>
    </row>
    <row r="888" spans="1:29" x14ac:dyDescent="0.3">
      <c r="A888" t="s">
        <v>1405</v>
      </c>
      <c r="B888" t="s">
        <v>2302</v>
      </c>
      <c r="C888" t="s">
        <v>5045</v>
      </c>
      <c r="D888">
        <v>92944787349</v>
      </c>
      <c r="E888">
        <v>20161041595</v>
      </c>
      <c r="F888">
        <v>1004009708</v>
      </c>
      <c r="G888" s="1">
        <v>44664</v>
      </c>
      <c r="H888" t="s">
        <v>1360</v>
      </c>
      <c r="I888" t="s">
        <v>1374</v>
      </c>
      <c r="J888" t="s">
        <v>1361</v>
      </c>
      <c r="K888" t="s">
        <v>2308</v>
      </c>
      <c r="L888" t="s">
        <v>2305</v>
      </c>
      <c r="M888" t="s">
        <v>1409</v>
      </c>
      <c r="N888" t="s">
        <v>1410</v>
      </c>
      <c r="O888" t="s">
        <v>1411</v>
      </c>
      <c r="P888" t="s">
        <v>1423</v>
      </c>
      <c r="Q888" t="s">
        <v>1412</v>
      </c>
      <c r="S888" s="1">
        <v>46043</v>
      </c>
      <c r="W888" s="1">
        <v>29527</v>
      </c>
      <c r="X888" t="s">
        <v>5046</v>
      </c>
      <c r="Y888" t="s">
        <v>5047</v>
      </c>
      <c r="Z888" t="s">
        <v>4092</v>
      </c>
      <c r="AA888" t="s">
        <v>1419</v>
      </c>
      <c r="AB888" t="s">
        <v>5048</v>
      </c>
      <c r="AC888">
        <v>88996898871</v>
      </c>
    </row>
    <row r="889" spans="1:29" x14ac:dyDescent="0.3">
      <c r="A889" t="s">
        <v>1405</v>
      </c>
      <c r="B889" t="s">
        <v>2302</v>
      </c>
      <c r="C889" t="s">
        <v>5049</v>
      </c>
      <c r="D889">
        <v>1740307119</v>
      </c>
      <c r="E889">
        <v>5026805</v>
      </c>
      <c r="F889">
        <v>1004002667</v>
      </c>
      <c r="G889" s="1">
        <v>43360</v>
      </c>
      <c r="H889" t="s">
        <v>1360</v>
      </c>
      <c r="I889" t="s">
        <v>1349</v>
      </c>
      <c r="J889" t="s">
        <v>2308</v>
      </c>
      <c r="K889" t="s">
        <v>2313</v>
      </c>
      <c r="L889" t="s">
        <v>2305</v>
      </c>
      <c r="M889" t="s">
        <v>1409</v>
      </c>
      <c r="N889" t="s">
        <v>1410</v>
      </c>
      <c r="O889" t="s">
        <v>1411</v>
      </c>
      <c r="P889" t="s">
        <v>1411</v>
      </c>
      <c r="Q889" t="s">
        <v>1412</v>
      </c>
      <c r="S889" s="1">
        <v>45874</v>
      </c>
      <c r="V889" s="1">
        <v>45873</v>
      </c>
      <c r="W889" s="1">
        <v>32312</v>
      </c>
      <c r="X889" t="s">
        <v>5050</v>
      </c>
      <c r="Y889" t="s">
        <v>5051</v>
      </c>
      <c r="Z889" t="s">
        <v>2758</v>
      </c>
      <c r="AA889" t="s">
        <v>1419</v>
      </c>
      <c r="AB889" t="s">
        <v>5052</v>
      </c>
      <c r="AC889">
        <v>64981260213</v>
      </c>
    </row>
    <row r="890" spans="1:29" x14ac:dyDescent="0.3">
      <c r="A890" t="s">
        <v>1405</v>
      </c>
      <c r="B890" t="s">
        <v>2302</v>
      </c>
      <c r="C890" t="s">
        <v>5053</v>
      </c>
      <c r="D890">
        <v>19308345</v>
      </c>
      <c r="E890" t="s">
        <v>5054</v>
      </c>
      <c r="F890">
        <v>1004021344</v>
      </c>
      <c r="G890" s="1">
        <v>46071</v>
      </c>
      <c r="H890" t="s">
        <v>1360</v>
      </c>
      <c r="I890" t="s">
        <v>1374</v>
      </c>
      <c r="J890" t="s">
        <v>2308</v>
      </c>
      <c r="K890" t="s">
        <v>2313</v>
      </c>
      <c r="L890" t="s">
        <v>2305</v>
      </c>
      <c r="M890" t="s">
        <v>1409</v>
      </c>
      <c r="N890" t="s">
        <v>1410</v>
      </c>
      <c r="O890" t="s">
        <v>1462</v>
      </c>
      <c r="P890" t="s">
        <v>1462</v>
      </c>
      <c r="Q890" t="s">
        <v>1412</v>
      </c>
      <c r="S890" s="1">
        <v>46066</v>
      </c>
      <c r="W890" s="1">
        <v>29567</v>
      </c>
      <c r="X890" t="s">
        <v>1519</v>
      </c>
      <c r="Y890" t="s">
        <v>1823</v>
      </c>
      <c r="Z890" t="s">
        <v>3637</v>
      </c>
      <c r="AA890" t="s">
        <v>1419</v>
      </c>
      <c r="AB890" t="s">
        <v>5055</v>
      </c>
      <c r="AC890">
        <v>98988645230</v>
      </c>
    </row>
    <row r="891" spans="1:29" x14ac:dyDescent="0.3">
      <c r="A891" t="s">
        <v>1405</v>
      </c>
      <c r="B891" t="s">
        <v>2302</v>
      </c>
      <c r="C891" t="s">
        <v>5056</v>
      </c>
      <c r="D891">
        <v>94931160263</v>
      </c>
      <c r="E891">
        <v>4069601</v>
      </c>
      <c r="F891">
        <v>1004003397</v>
      </c>
      <c r="G891" s="1">
        <v>43561</v>
      </c>
      <c r="H891" t="s">
        <v>1360</v>
      </c>
      <c r="I891" t="s">
        <v>1374</v>
      </c>
      <c r="J891" t="s">
        <v>2308</v>
      </c>
      <c r="K891" t="s">
        <v>2313</v>
      </c>
      <c r="L891" t="s">
        <v>2305</v>
      </c>
      <c r="M891" t="s">
        <v>1409</v>
      </c>
      <c r="N891" t="s">
        <v>1410</v>
      </c>
      <c r="O891" t="s">
        <v>1439</v>
      </c>
      <c r="P891" t="s">
        <v>1439</v>
      </c>
      <c r="Q891" t="s">
        <v>1412</v>
      </c>
      <c r="S891" s="1">
        <v>46043</v>
      </c>
      <c r="W891" s="1">
        <v>31893</v>
      </c>
      <c r="X891" t="s">
        <v>2516</v>
      </c>
      <c r="Y891" t="s">
        <v>2517</v>
      </c>
      <c r="Z891" t="s">
        <v>2518</v>
      </c>
      <c r="AA891" t="s">
        <v>1419</v>
      </c>
      <c r="AB891" t="s">
        <v>5057</v>
      </c>
      <c r="AC891">
        <v>91982397512</v>
      </c>
    </row>
    <row r="892" spans="1:29" x14ac:dyDescent="0.3">
      <c r="A892" t="s">
        <v>1405</v>
      </c>
      <c r="B892" t="s">
        <v>2302</v>
      </c>
      <c r="C892" t="s">
        <v>5058</v>
      </c>
      <c r="D892">
        <v>1757047247</v>
      </c>
      <c r="E892">
        <v>6880736</v>
      </c>
      <c r="F892">
        <v>1004002460</v>
      </c>
      <c r="G892" s="1">
        <v>43328</v>
      </c>
      <c r="H892" t="s">
        <v>1360</v>
      </c>
      <c r="I892" t="s">
        <v>1374</v>
      </c>
      <c r="J892" t="s">
        <v>2308</v>
      </c>
      <c r="K892" t="s">
        <v>2313</v>
      </c>
      <c r="L892" t="s">
        <v>2305</v>
      </c>
      <c r="M892" t="s">
        <v>1409</v>
      </c>
      <c r="N892" t="s">
        <v>1410</v>
      </c>
      <c r="O892" t="s">
        <v>1423</v>
      </c>
      <c r="P892" t="s">
        <v>1423</v>
      </c>
      <c r="Q892" t="s">
        <v>1412</v>
      </c>
      <c r="S892" s="1">
        <v>46043</v>
      </c>
      <c r="W892" s="1">
        <v>34451</v>
      </c>
      <c r="X892" t="s">
        <v>2574</v>
      </c>
      <c r="Y892" t="s">
        <v>2575</v>
      </c>
      <c r="Z892" t="s">
        <v>2576</v>
      </c>
      <c r="AA892" t="s">
        <v>1415</v>
      </c>
      <c r="AB892" t="s">
        <v>5059</v>
      </c>
      <c r="AC892">
        <v>919841148732</v>
      </c>
    </row>
    <row r="893" spans="1:29" x14ac:dyDescent="0.3">
      <c r="A893" t="s">
        <v>1405</v>
      </c>
      <c r="B893" t="s">
        <v>2302</v>
      </c>
      <c r="C893" t="s">
        <v>5060</v>
      </c>
      <c r="D893">
        <v>7038221957</v>
      </c>
      <c r="E893">
        <v>4674291</v>
      </c>
      <c r="F893">
        <v>1004004135</v>
      </c>
      <c r="G893" s="1">
        <v>43682</v>
      </c>
      <c r="H893" t="s">
        <v>1360</v>
      </c>
      <c r="I893" t="s">
        <v>1374</v>
      </c>
      <c r="J893" t="s">
        <v>2308</v>
      </c>
      <c r="K893" t="s">
        <v>2313</v>
      </c>
      <c r="L893" t="s">
        <v>2305</v>
      </c>
      <c r="M893" t="s">
        <v>1447</v>
      </c>
      <c r="N893" t="s">
        <v>1448</v>
      </c>
      <c r="O893" t="s">
        <v>1411</v>
      </c>
      <c r="P893" t="s">
        <v>1411</v>
      </c>
      <c r="Q893" t="s">
        <v>1412</v>
      </c>
      <c r="S893" s="1">
        <v>46043</v>
      </c>
      <c r="W893" s="1">
        <v>33535</v>
      </c>
      <c r="X893" t="s">
        <v>3570</v>
      </c>
      <c r="Y893" t="s">
        <v>3571</v>
      </c>
      <c r="Z893" t="s">
        <v>2353</v>
      </c>
      <c r="AA893" t="s">
        <v>1415</v>
      </c>
      <c r="AB893" t="s">
        <v>5061</v>
      </c>
      <c r="AC893">
        <v>47999077764</v>
      </c>
    </row>
    <row r="894" spans="1:29" x14ac:dyDescent="0.3">
      <c r="A894" t="s">
        <v>1405</v>
      </c>
      <c r="B894" t="s">
        <v>2302</v>
      </c>
      <c r="C894" t="s">
        <v>5062</v>
      </c>
      <c r="D894">
        <v>37995353812</v>
      </c>
      <c r="E894" s="3">
        <v>7226537</v>
      </c>
      <c r="F894">
        <v>1004017039</v>
      </c>
      <c r="G894" s="1">
        <v>45726</v>
      </c>
      <c r="H894" t="s">
        <v>1360</v>
      </c>
      <c r="I894" t="s">
        <v>1349</v>
      </c>
      <c r="J894" t="s">
        <v>1361</v>
      </c>
      <c r="K894" t="s">
        <v>2308</v>
      </c>
      <c r="L894" t="s">
        <v>2305</v>
      </c>
      <c r="M894" t="s">
        <v>1409</v>
      </c>
      <c r="N894" t="s">
        <v>1410</v>
      </c>
      <c r="O894" t="s">
        <v>1423</v>
      </c>
      <c r="P894" t="s">
        <v>1423</v>
      </c>
      <c r="Q894" t="s">
        <v>1412</v>
      </c>
      <c r="S894" s="1">
        <v>45755</v>
      </c>
      <c r="V894" s="1">
        <v>45754</v>
      </c>
      <c r="W894" s="1">
        <v>33207</v>
      </c>
      <c r="X894" t="s">
        <v>5063</v>
      </c>
      <c r="Y894" t="s">
        <v>5064</v>
      </c>
      <c r="Z894" t="s">
        <v>4564</v>
      </c>
      <c r="AA894" t="s">
        <v>1415</v>
      </c>
      <c r="AB894" t="s">
        <v>5065</v>
      </c>
      <c r="AC894">
        <v>4791322528</v>
      </c>
    </row>
    <row r="895" spans="1:29" x14ac:dyDescent="0.3">
      <c r="A895" t="s">
        <v>1405</v>
      </c>
      <c r="B895" t="s">
        <v>2302</v>
      </c>
      <c r="C895" t="s">
        <v>5066</v>
      </c>
      <c r="D895">
        <v>99009382249</v>
      </c>
      <c r="E895">
        <v>6044278</v>
      </c>
      <c r="F895">
        <v>1004017101</v>
      </c>
      <c r="G895" s="1">
        <v>45733</v>
      </c>
      <c r="H895" t="s">
        <v>1360</v>
      </c>
      <c r="I895" t="s">
        <v>1374</v>
      </c>
      <c r="J895" t="s">
        <v>1361</v>
      </c>
      <c r="K895" t="s">
        <v>2308</v>
      </c>
      <c r="L895" t="s">
        <v>2305</v>
      </c>
      <c r="M895" t="s">
        <v>1409</v>
      </c>
      <c r="N895" t="s">
        <v>1410</v>
      </c>
      <c r="O895" t="s">
        <v>1411</v>
      </c>
      <c r="P895" t="s">
        <v>1411</v>
      </c>
      <c r="Q895" t="s">
        <v>1412</v>
      </c>
      <c r="S895" s="1">
        <v>46043</v>
      </c>
      <c r="W895" s="1">
        <v>32851</v>
      </c>
      <c r="X895" t="s">
        <v>5067</v>
      </c>
      <c r="Y895" t="s">
        <v>5068</v>
      </c>
      <c r="Z895" t="s">
        <v>5069</v>
      </c>
      <c r="AA895" t="s">
        <v>1415</v>
      </c>
      <c r="AB895" t="s">
        <v>5070</v>
      </c>
      <c r="AC895">
        <v>91993709315</v>
      </c>
    </row>
    <row r="896" spans="1:29" x14ac:dyDescent="0.3">
      <c r="A896" t="s">
        <v>1405</v>
      </c>
      <c r="B896" t="s">
        <v>2302</v>
      </c>
      <c r="C896" t="s">
        <v>5071</v>
      </c>
      <c r="D896">
        <v>1131558243</v>
      </c>
      <c r="E896">
        <v>6335643</v>
      </c>
      <c r="F896">
        <v>1004001394</v>
      </c>
      <c r="G896" s="1">
        <v>43150</v>
      </c>
      <c r="H896" t="s">
        <v>1360</v>
      </c>
      <c r="I896" t="s">
        <v>1374</v>
      </c>
      <c r="J896" t="s">
        <v>2308</v>
      </c>
      <c r="K896" t="s">
        <v>2313</v>
      </c>
      <c r="L896" t="s">
        <v>2305</v>
      </c>
      <c r="M896" t="s">
        <v>1409</v>
      </c>
      <c r="N896" t="s">
        <v>1410</v>
      </c>
      <c r="O896" t="s">
        <v>1411</v>
      </c>
      <c r="P896" t="s">
        <v>1411</v>
      </c>
      <c r="Q896" t="s">
        <v>1412</v>
      </c>
      <c r="S896" s="1">
        <v>46043</v>
      </c>
      <c r="W896" s="1">
        <v>33330</v>
      </c>
      <c r="X896" t="s">
        <v>3466</v>
      </c>
      <c r="Y896" t="s">
        <v>3467</v>
      </c>
      <c r="Z896" t="s">
        <v>5072</v>
      </c>
      <c r="AA896" t="s">
        <v>1415</v>
      </c>
      <c r="AB896" t="s">
        <v>5073</v>
      </c>
      <c r="AC896">
        <v>94991332943</v>
      </c>
    </row>
    <row r="897" spans="1:29" x14ac:dyDescent="0.3">
      <c r="A897" t="s">
        <v>1405</v>
      </c>
      <c r="B897" t="s">
        <v>2302</v>
      </c>
      <c r="C897" t="s">
        <v>5074</v>
      </c>
      <c r="D897">
        <v>90230310087</v>
      </c>
      <c r="E897">
        <v>1063416844</v>
      </c>
      <c r="F897">
        <v>1004016809</v>
      </c>
      <c r="G897" s="1">
        <v>45705</v>
      </c>
      <c r="H897" t="s">
        <v>1360</v>
      </c>
      <c r="I897" t="s">
        <v>1374</v>
      </c>
      <c r="J897" t="s">
        <v>1361</v>
      </c>
      <c r="K897" t="s">
        <v>2308</v>
      </c>
      <c r="L897" t="s">
        <v>2305</v>
      </c>
      <c r="M897" t="s">
        <v>1442</v>
      </c>
      <c r="N897" t="s">
        <v>1443</v>
      </c>
      <c r="O897" t="s">
        <v>1423</v>
      </c>
      <c r="P897" t="s">
        <v>1423</v>
      </c>
      <c r="Q897" t="s">
        <v>1412</v>
      </c>
      <c r="S897" s="1">
        <v>46045</v>
      </c>
      <c r="W897" s="1">
        <v>27353</v>
      </c>
      <c r="X897" t="s">
        <v>5075</v>
      </c>
      <c r="Y897" t="s">
        <v>5076</v>
      </c>
      <c r="Z897" t="s">
        <v>2702</v>
      </c>
      <c r="AA897" t="s">
        <v>1415</v>
      </c>
      <c r="AB897" t="s">
        <v>5077</v>
      </c>
      <c r="AC897">
        <v>51992743385</v>
      </c>
    </row>
    <row r="898" spans="1:29" x14ac:dyDescent="0.3">
      <c r="A898" t="s">
        <v>1405</v>
      </c>
      <c r="B898" t="s">
        <v>2302</v>
      </c>
      <c r="C898" t="s">
        <v>5078</v>
      </c>
      <c r="D898">
        <v>1837973296</v>
      </c>
      <c r="E898">
        <v>6414921</v>
      </c>
      <c r="F898">
        <v>1004011342</v>
      </c>
      <c r="G898" s="1">
        <v>44984</v>
      </c>
      <c r="H898" t="s">
        <v>1360</v>
      </c>
      <c r="I898" t="s">
        <v>1374</v>
      </c>
      <c r="J898" t="s">
        <v>2348</v>
      </c>
      <c r="K898" t="s">
        <v>2308</v>
      </c>
      <c r="L898" t="s">
        <v>2305</v>
      </c>
      <c r="M898" t="s">
        <v>1421</v>
      </c>
      <c r="N898" t="s">
        <v>1422</v>
      </c>
      <c r="O898" t="s">
        <v>1411</v>
      </c>
      <c r="P898" t="s">
        <v>1411</v>
      </c>
      <c r="Q898" t="s">
        <v>1412</v>
      </c>
      <c r="S898" s="1">
        <v>46043</v>
      </c>
      <c r="W898" s="1">
        <v>34819</v>
      </c>
      <c r="X898" t="s">
        <v>5079</v>
      </c>
      <c r="Z898" t="s">
        <v>3112</v>
      </c>
      <c r="AA898" t="s">
        <v>1415</v>
      </c>
      <c r="AB898" t="s">
        <v>5080</v>
      </c>
      <c r="AC898">
        <v>9492196751</v>
      </c>
    </row>
    <row r="899" spans="1:29" x14ac:dyDescent="0.3">
      <c r="A899" t="s">
        <v>1405</v>
      </c>
      <c r="B899" t="s">
        <v>2302</v>
      </c>
      <c r="C899" t="s">
        <v>5081</v>
      </c>
      <c r="D899">
        <v>66253365568</v>
      </c>
      <c r="E899">
        <v>946939</v>
      </c>
      <c r="F899">
        <v>1004017552</v>
      </c>
      <c r="G899" s="1">
        <v>45754</v>
      </c>
      <c r="H899" t="s">
        <v>1360</v>
      </c>
      <c r="I899" t="s">
        <v>1374</v>
      </c>
      <c r="J899" t="s">
        <v>1361</v>
      </c>
      <c r="K899" t="s">
        <v>2308</v>
      </c>
      <c r="L899" t="s">
        <v>2305</v>
      </c>
      <c r="M899" t="s">
        <v>1409</v>
      </c>
      <c r="N899" t="s">
        <v>1410</v>
      </c>
      <c r="O899" t="s">
        <v>1411</v>
      </c>
      <c r="P899" t="s">
        <v>1411</v>
      </c>
      <c r="Q899" t="s">
        <v>1412</v>
      </c>
      <c r="S899" s="1">
        <v>46043</v>
      </c>
      <c r="W899" s="1">
        <v>26439</v>
      </c>
      <c r="X899" t="s">
        <v>1428</v>
      </c>
      <c r="Y899" t="s">
        <v>4894</v>
      </c>
      <c r="Z899" t="s">
        <v>3319</v>
      </c>
      <c r="AA899" t="s">
        <v>1419</v>
      </c>
      <c r="AB899" t="s">
        <v>5082</v>
      </c>
      <c r="AC899">
        <v>79996377718</v>
      </c>
    </row>
    <row r="900" spans="1:29" x14ac:dyDescent="0.3">
      <c r="A900" t="s">
        <v>1405</v>
      </c>
      <c r="B900" t="s">
        <v>2302</v>
      </c>
      <c r="C900" t="s">
        <v>5083</v>
      </c>
      <c r="D900">
        <v>885334922</v>
      </c>
      <c r="E900">
        <v>885334922</v>
      </c>
      <c r="F900">
        <v>1004013457</v>
      </c>
      <c r="G900" s="1">
        <v>45237</v>
      </c>
      <c r="H900" t="s">
        <v>1360</v>
      </c>
      <c r="I900" t="s">
        <v>1349</v>
      </c>
      <c r="J900" t="s">
        <v>2348</v>
      </c>
      <c r="K900" t="s">
        <v>2308</v>
      </c>
      <c r="L900" t="s">
        <v>2305</v>
      </c>
      <c r="M900" t="s">
        <v>1409</v>
      </c>
      <c r="N900" t="s">
        <v>1410</v>
      </c>
      <c r="O900" t="s">
        <v>1423</v>
      </c>
      <c r="P900" t="s">
        <v>1423</v>
      </c>
      <c r="Q900" t="s">
        <v>1412</v>
      </c>
      <c r="S900" s="1">
        <v>45862</v>
      </c>
      <c r="V900" s="1">
        <v>45855</v>
      </c>
      <c r="W900" s="1">
        <v>30638</v>
      </c>
      <c r="X900" t="s">
        <v>1676</v>
      </c>
      <c r="Y900" t="s">
        <v>2900</v>
      </c>
      <c r="Z900" t="s">
        <v>3374</v>
      </c>
      <c r="AA900" t="s">
        <v>1419</v>
      </c>
      <c r="AB900" t="s">
        <v>5084</v>
      </c>
      <c r="AC900">
        <v>49999697750</v>
      </c>
    </row>
    <row r="901" spans="1:29" x14ac:dyDescent="0.3">
      <c r="A901" t="s">
        <v>1405</v>
      </c>
      <c r="B901" t="s">
        <v>2302</v>
      </c>
      <c r="C901" t="s">
        <v>5085</v>
      </c>
      <c r="D901">
        <v>5564951360</v>
      </c>
      <c r="E901">
        <v>2007010351483</v>
      </c>
      <c r="F901">
        <v>1004006958</v>
      </c>
      <c r="G901" s="1">
        <v>44100</v>
      </c>
      <c r="H901" t="s">
        <v>1360</v>
      </c>
      <c r="I901" t="s">
        <v>1349</v>
      </c>
      <c r="J901" t="s">
        <v>2308</v>
      </c>
      <c r="K901" t="s">
        <v>2313</v>
      </c>
      <c r="L901" t="s">
        <v>2305</v>
      </c>
      <c r="M901" t="s">
        <v>1409</v>
      </c>
      <c r="N901" t="s">
        <v>1410</v>
      </c>
      <c r="O901" t="s">
        <v>1423</v>
      </c>
      <c r="P901" t="s">
        <v>1423</v>
      </c>
      <c r="Q901" t="s">
        <v>1412</v>
      </c>
      <c r="S901" s="1">
        <v>46057</v>
      </c>
      <c r="V901" s="1">
        <v>46055</v>
      </c>
      <c r="W901" s="1">
        <v>33924</v>
      </c>
      <c r="X901" t="s">
        <v>5086</v>
      </c>
      <c r="Y901" t="s">
        <v>5087</v>
      </c>
      <c r="Z901" t="s">
        <v>3479</v>
      </c>
      <c r="AA901" t="s">
        <v>1419</v>
      </c>
      <c r="AB901" t="s">
        <v>5088</v>
      </c>
      <c r="AC901">
        <v>85992825490</v>
      </c>
    </row>
    <row r="902" spans="1:29" x14ac:dyDescent="0.3">
      <c r="A902" t="s">
        <v>1405</v>
      </c>
      <c r="B902" t="s">
        <v>2302</v>
      </c>
      <c r="C902" t="s">
        <v>5089</v>
      </c>
      <c r="D902">
        <v>28859293839</v>
      </c>
      <c r="E902">
        <v>8435433</v>
      </c>
      <c r="F902">
        <v>1004009795</v>
      </c>
      <c r="G902" s="1">
        <v>44673</v>
      </c>
      <c r="H902" t="s">
        <v>1360</v>
      </c>
      <c r="I902" t="s">
        <v>1349</v>
      </c>
      <c r="J902" t="s">
        <v>2348</v>
      </c>
      <c r="K902" t="s">
        <v>2308</v>
      </c>
      <c r="L902" t="s">
        <v>2305</v>
      </c>
      <c r="M902" t="s">
        <v>1409</v>
      </c>
      <c r="N902" t="s">
        <v>1410</v>
      </c>
      <c r="O902" t="s">
        <v>1423</v>
      </c>
      <c r="P902" t="s">
        <v>1423</v>
      </c>
      <c r="Q902" t="s">
        <v>1412</v>
      </c>
      <c r="S902" s="1">
        <v>46087</v>
      </c>
      <c r="V902" s="1">
        <v>46084</v>
      </c>
      <c r="W902" s="1">
        <v>29542</v>
      </c>
      <c r="X902" t="s">
        <v>1510</v>
      </c>
      <c r="Y902" t="s">
        <v>2561</v>
      </c>
      <c r="Z902" t="s">
        <v>2562</v>
      </c>
      <c r="AA902" t="s">
        <v>1419</v>
      </c>
      <c r="AB902" t="s">
        <v>5090</v>
      </c>
      <c r="AC902">
        <v>48996299617</v>
      </c>
    </row>
    <row r="903" spans="1:29" x14ac:dyDescent="0.3">
      <c r="A903" t="s">
        <v>1405</v>
      </c>
      <c r="B903" t="s">
        <v>2302</v>
      </c>
      <c r="C903" t="s">
        <v>5091</v>
      </c>
      <c r="D903">
        <v>10818282770</v>
      </c>
      <c r="E903">
        <v>205430051</v>
      </c>
      <c r="F903">
        <v>1004009172</v>
      </c>
      <c r="G903" s="1">
        <v>44613</v>
      </c>
      <c r="H903" t="s">
        <v>1360</v>
      </c>
      <c r="I903" t="s">
        <v>1349</v>
      </c>
      <c r="J903" t="s">
        <v>1361</v>
      </c>
      <c r="K903" t="s">
        <v>2308</v>
      </c>
      <c r="L903" t="s">
        <v>2305</v>
      </c>
      <c r="M903" t="s">
        <v>1409</v>
      </c>
      <c r="N903" t="s">
        <v>1422</v>
      </c>
      <c r="O903" t="s">
        <v>1462</v>
      </c>
      <c r="P903" t="s">
        <v>1417</v>
      </c>
      <c r="Q903" t="s">
        <v>1412</v>
      </c>
      <c r="S903" s="1">
        <v>46065</v>
      </c>
      <c r="V903" s="1">
        <v>46063</v>
      </c>
      <c r="W903" s="1">
        <v>31339</v>
      </c>
      <c r="X903" t="s">
        <v>2988</v>
      </c>
      <c r="Y903" t="s">
        <v>2989</v>
      </c>
      <c r="Z903" t="s">
        <v>2990</v>
      </c>
      <c r="AA903" t="s">
        <v>1419</v>
      </c>
      <c r="AB903" t="s">
        <v>5092</v>
      </c>
      <c r="AC903">
        <v>24988196460</v>
      </c>
    </row>
    <row r="904" spans="1:29" x14ac:dyDescent="0.3">
      <c r="A904" t="s">
        <v>1405</v>
      </c>
      <c r="B904" t="s">
        <v>2302</v>
      </c>
      <c r="C904" t="s">
        <v>5093</v>
      </c>
      <c r="D904">
        <v>2535425963</v>
      </c>
      <c r="E904">
        <v>4102829</v>
      </c>
      <c r="F904">
        <v>42004201964</v>
      </c>
      <c r="G904" s="1">
        <v>42401</v>
      </c>
      <c r="H904" t="s">
        <v>1360</v>
      </c>
      <c r="I904" t="s">
        <v>1349</v>
      </c>
      <c r="J904" t="s">
        <v>2308</v>
      </c>
      <c r="K904" t="s">
        <v>2313</v>
      </c>
      <c r="L904" t="s">
        <v>2305</v>
      </c>
      <c r="M904" t="s">
        <v>1409</v>
      </c>
      <c r="N904" t="s">
        <v>1410</v>
      </c>
      <c r="O904" t="s">
        <v>1423</v>
      </c>
      <c r="P904" t="s">
        <v>1423</v>
      </c>
      <c r="Q904" t="s">
        <v>1412</v>
      </c>
      <c r="S904" s="1">
        <v>46057</v>
      </c>
      <c r="V904" s="1">
        <v>46055</v>
      </c>
      <c r="W904" s="1">
        <v>29128</v>
      </c>
      <c r="X904" t="s">
        <v>1563</v>
      </c>
      <c r="Y904" t="s">
        <v>1564</v>
      </c>
      <c r="Z904" t="s">
        <v>2610</v>
      </c>
      <c r="AA904" t="s">
        <v>1419</v>
      </c>
      <c r="AB904" t="s">
        <v>5094</v>
      </c>
      <c r="AC904">
        <v>47099235472</v>
      </c>
    </row>
    <row r="905" spans="1:29" x14ac:dyDescent="0.3">
      <c r="A905" t="s">
        <v>1405</v>
      </c>
      <c r="B905" t="s">
        <v>2302</v>
      </c>
      <c r="C905" t="s">
        <v>5095</v>
      </c>
      <c r="D905">
        <v>80921809034</v>
      </c>
      <c r="E905">
        <v>9059572892</v>
      </c>
      <c r="F905">
        <v>42004200615</v>
      </c>
      <c r="G905" s="1">
        <v>41687</v>
      </c>
      <c r="H905" t="s">
        <v>1360</v>
      </c>
      <c r="I905" t="s">
        <v>1349</v>
      </c>
      <c r="J905" t="s">
        <v>2308</v>
      </c>
      <c r="K905" t="s">
        <v>2313</v>
      </c>
      <c r="L905" t="s">
        <v>2305</v>
      </c>
      <c r="M905" t="s">
        <v>1421</v>
      </c>
      <c r="N905" t="s">
        <v>1410</v>
      </c>
      <c r="O905" t="s">
        <v>1423</v>
      </c>
      <c r="P905" t="s">
        <v>1423</v>
      </c>
      <c r="Q905" t="s">
        <v>1412</v>
      </c>
      <c r="S905" s="1">
        <v>46059</v>
      </c>
      <c r="V905" s="1">
        <v>46056</v>
      </c>
      <c r="W905" s="1">
        <v>30203</v>
      </c>
      <c r="X905" t="s">
        <v>2980</v>
      </c>
      <c r="Y905" t="s">
        <v>1756</v>
      </c>
      <c r="Z905" t="s">
        <v>2378</v>
      </c>
      <c r="AA905" t="s">
        <v>1419</v>
      </c>
      <c r="AB905" t="s">
        <v>5096</v>
      </c>
      <c r="AC905">
        <v>5199411584</v>
      </c>
    </row>
    <row r="906" spans="1:29" x14ac:dyDescent="0.3">
      <c r="A906" t="s">
        <v>1405</v>
      </c>
      <c r="B906" t="s">
        <v>2302</v>
      </c>
      <c r="C906" t="s">
        <v>5097</v>
      </c>
      <c r="D906">
        <v>62574124049</v>
      </c>
      <c r="E906">
        <v>3046203166</v>
      </c>
      <c r="F906">
        <v>1004003648</v>
      </c>
      <c r="G906" s="1">
        <v>43580</v>
      </c>
      <c r="H906" t="s">
        <v>1360</v>
      </c>
      <c r="I906" t="s">
        <v>1349</v>
      </c>
      <c r="J906" t="s">
        <v>2308</v>
      </c>
      <c r="K906" t="s">
        <v>2313</v>
      </c>
      <c r="L906" t="s">
        <v>2305</v>
      </c>
      <c r="M906" t="s">
        <v>1409</v>
      </c>
      <c r="N906" t="s">
        <v>1410</v>
      </c>
      <c r="O906" t="s">
        <v>1423</v>
      </c>
      <c r="P906" t="s">
        <v>1423</v>
      </c>
      <c r="Q906" t="s">
        <v>1412</v>
      </c>
      <c r="S906" s="1">
        <v>46059</v>
      </c>
      <c r="V906" s="1">
        <v>46056</v>
      </c>
      <c r="W906" s="1">
        <v>25980</v>
      </c>
      <c r="X906" t="s">
        <v>4616</v>
      </c>
      <c r="Y906" t="s">
        <v>5098</v>
      </c>
      <c r="Z906" t="s">
        <v>5099</v>
      </c>
      <c r="AA906" t="s">
        <v>1419</v>
      </c>
      <c r="AB906" t="s">
        <v>5100</v>
      </c>
      <c r="AC906">
        <v>51996811605</v>
      </c>
    </row>
    <row r="907" spans="1:29" x14ac:dyDescent="0.3">
      <c r="A907" t="s">
        <v>1405</v>
      </c>
      <c r="B907" t="s">
        <v>2302</v>
      </c>
      <c r="C907" t="s">
        <v>5101</v>
      </c>
      <c r="D907">
        <v>241813581</v>
      </c>
      <c r="E907">
        <v>1008521221</v>
      </c>
      <c r="F907">
        <v>42004200728</v>
      </c>
      <c r="G907" s="1">
        <v>41703</v>
      </c>
      <c r="H907" t="s">
        <v>1360</v>
      </c>
      <c r="I907" t="s">
        <v>1349</v>
      </c>
      <c r="J907" t="s">
        <v>2308</v>
      </c>
      <c r="K907" t="s">
        <v>2313</v>
      </c>
      <c r="L907" t="s">
        <v>2305</v>
      </c>
      <c r="M907" t="s">
        <v>1409</v>
      </c>
      <c r="N907" t="s">
        <v>1410</v>
      </c>
      <c r="O907" t="s">
        <v>1423</v>
      </c>
      <c r="P907" t="s">
        <v>1423</v>
      </c>
      <c r="Q907" t="s">
        <v>1412</v>
      </c>
      <c r="S907" s="1">
        <v>46060</v>
      </c>
      <c r="V907" s="1">
        <v>46056</v>
      </c>
      <c r="W907" s="1">
        <v>29338</v>
      </c>
      <c r="X907" t="s">
        <v>2361</v>
      </c>
      <c r="Y907" t="s">
        <v>2362</v>
      </c>
      <c r="Z907" t="s">
        <v>2363</v>
      </c>
      <c r="AA907" t="s">
        <v>1419</v>
      </c>
      <c r="AB907" t="s">
        <v>5102</v>
      </c>
      <c r="AC907">
        <v>7532255202</v>
      </c>
    </row>
    <row r="908" spans="1:29" x14ac:dyDescent="0.3">
      <c r="A908" t="s">
        <v>1405</v>
      </c>
      <c r="B908" t="s">
        <v>2302</v>
      </c>
      <c r="C908" t="s">
        <v>5103</v>
      </c>
      <c r="D908">
        <v>4507261937</v>
      </c>
      <c r="E908">
        <v>3834534</v>
      </c>
      <c r="F908">
        <v>42004201325</v>
      </c>
      <c r="G908" s="1">
        <v>42065</v>
      </c>
      <c r="H908" t="s">
        <v>1360</v>
      </c>
      <c r="I908" t="s">
        <v>1349</v>
      </c>
      <c r="J908" t="s">
        <v>2308</v>
      </c>
      <c r="K908" t="s">
        <v>2313</v>
      </c>
      <c r="L908" t="s">
        <v>2305</v>
      </c>
      <c r="M908" t="s">
        <v>1421</v>
      </c>
      <c r="N908" t="s">
        <v>1422</v>
      </c>
      <c r="O908" t="s">
        <v>1423</v>
      </c>
      <c r="P908" t="s">
        <v>1423</v>
      </c>
      <c r="Q908" t="s">
        <v>1412</v>
      </c>
      <c r="S908" s="1">
        <v>46057</v>
      </c>
      <c r="V908" s="1">
        <v>46055</v>
      </c>
      <c r="W908" s="1">
        <v>30507</v>
      </c>
      <c r="X908" t="s">
        <v>1946</v>
      </c>
      <c r="Y908" t="s">
        <v>4859</v>
      </c>
      <c r="Z908" t="s">
        <v>4714</v>
      </c>
      <c r="AA908" t="s">
        <v>1415</v>
      </c>
      <c r="AB908" t="s">
        <v>5104</v>
      </c>
      <c r="AC908">
        <v>4899861040</v>
      </c>
    </row>
    <row r="909" spans="1:29" x14ac:dyDescent="0.3">
      <c r="A909" t="s">
        <v>1405</v>
      </c>
      <c r="B909" t="s">
        <v>2302</v>
      </c>
      <c r="C909" t="s">
        <v>5105</v>
      </c>
      <c r="D909">
        <v>8151191945</v>
      </c>
      <c r="E909">
        <v>53589530</v>
      </c>
      <c r="F909">
        <v>1004005454</v>
      </c>
      <c r="G909" s="1">
        <v>43882</v>
      </c>
      <c r="H909" t="s">
        <v>1360</v>
      </c>
      <c r="I909" t="s">
        <v>1349</v>
      </c>
      <c r="J909" t="s">
        <v>2308</v>
      </c>
      <c r="K909" t="s">
        <v>2313</v>
      </c>
      <c r="L909" t="s">
        <v>2305</v>
      </c>
      <c r="M909" t="s">
        <v>1447</v>
      </c>
      <c r="N909" t="s">
        <v>1448</v>
      </c>
      <c r="O909" t="s">
        <v>1423</v>
      </c>
      <c r="P909" t="s">
        <v>1423</v>
      </c>
      <c r="Q909" t="s">
        <v>1412</v>
      </c>
      <c r="S909" s="1">
        <v>46057</v>
      </c>
      <c r="V909" s="1">
        <v>46055</v>
      </c>
      <c r="W909" s="1">
        <v>33644</v>
      </c>
      <c r="X909" t="s">
        <v>5106</v>
      </c>
      <c r="Z909" t="s">
        <v>3189</v>
      </c>
      <c r="AA909" t="s">
        <v>1419</v>
      </c>
      <c r="AB909" t="s">
        <v>5107</v>
      </c>
      <c r="AC909">
        <v>47991946984</v>
      </c>
    </row>
    <row r="910" spans="1:29" x14ac:dyDescent="0.3">
      <c r="A910" t="s">
        <v>1405</v>
      </c>
      <c r="B910" t="s">
        <v>2302</v>
      </c>
      <c r="C910" t="s">
        <v>5108</v>
      </c>
      <c r="D910">
        <v>7658335738</v>
      </c>
      <c r="E910">
        <v>6851690</v>
      </c>
      <c r="F910">
        <v>1004017025</v>
      </c>
      <c r="G910" s="1">
        <v>45721</v>
      </c>
      <c r="H910" t="s">
        <v>1360</v>
      </c>
      <c r="I910" t="s">
        <v>1374</v>
      </c>
      <c r="J910" t="s">
        <v>1361</v>
      </c>
      <c r="K910" t="s">
        <v>2308</v>
      </c>
      <c r="L910" t="s">
        <v>2305</v>
      </c>
      <c r="M910" t="s">
        <v>1409</v>
      </c>
      <c r="N910" t="s">
        <v>1410</v>
      </c>
      <c r="O910" t="s">
        <v>1411</v>
      </c>
      <c r="P910" t="s">
        <v>1417</v>
      </c>
      <c r="Q910" t="s">
        <v>1412</v>
      </c>
      <c r="S910" s="1">
        <v>46043</v>
      </c>
      <c r="W910" s="1">
        <v>28669</v>
      </c>
      <c r="X910" t="s">
        <v>1721</v>
      </c>
      <c r="Z910" t="s">
        <v>5109</v>
      </c>
      <c r="AA910" t="s">
        <v>1419</v>
      </c>
      <c r="AB910" t="s">
        <v>5110</v>
      </c>
      <c r="AC910">
        <v>22974054562</v>
      </c>
    </row>
    <row r="911" spans="1:29" x14ac:dyDescent="0.3">
      <c r="A911" t="s">
        <v>1405</v>
      </c>
      <c r="B911" t="s">
        <v>2302</v>
      </c>
      <c r="C911" t="s">
        <v>5111</v>
      </c>
      <c r="D911">
        <v>5758607908</v>
      </c>
      <c r="E911">
        <v>4399751</v>
      </c>
      <c r="F911">
        <v>1004021584</v>
      </c>
      <c r="G911" s="1">
        <v>46084</v>
      </c>
      <c r="H911" t="s">
        <v>1360</v>
      </c>
      <c r="I911" t="s">
        <v>1374</v>
      </c>
      <c r="J911" t="s">
        <v>1361</v>
      </c>
      <c r="K911" t="s">
        <v>2308</v>
      </c>
      <c r="L911" t="s">
        <v>2305</v>
      </c>
      <c r="M911" t="s">
        <v>1409</v>
      </c>
      <c r="N911" t="s">
        <v>1410</v>
      </c>
      <c r="O911" t="s">
        <v>1423</v>
      </c>
      <c r="P911" t="s">
        <v>1423</v>
      </c>
      <c r="Q911" t="s">
        <v>1412</v>
      </c>
      <c r="S911" s="1">
        <v>46085</v>
      </c>
      <c r="W911" s="1">
        <v>32016</v>
      </c>
      <c r="X911" t="s">
        <v>1676</v>
      </c>
      <c r="Y911" t="s">
        <v>2900</v>
      </c>
      <c r="Z911" t="s">
        <v>3374</v>
      </c>
      <c r="AA911" t="s">
        <v>1415</v>
      </c>
      <c r="AB911" t="s">
        <v>5112</v>
      </c>
      <c r="AC911">
        <v>49988078978</v>
      </c>
    </row>
    <row r="912" spans="1:29" x14ac:dyDescent="0.3">
      <c r="A912" t="s">
        <v>1405</v>
      </c>
      <c r="B912" t="s">
        <v>2302</v>
      </c>
      <c r="C912" t="s">
        <v>5113</v>
      </c>
      <c r="D912">
        <v>96196580949</v>
      </c>
      <c r="E912">
        <v>61185208</v>
      </c>
      <c r="F912">
        <v>1004005862</v>
      </c>
      <c r="G912" s="1">
        <v>43917</v>
      </c>
      <c r="H912" t="s">
        <v>1360</v>
      </c>
      <c r="I912" t="s">
        <v>1349</v>
      </c>
      <c r="J912" t="s">
        <v>2308</v>
      </c>
      <c r="K912" t="s">
        <v>2313</v>
      </c>
      <c r="L912" t="s">
        <v>2305</v>
      </c>
      <c r="M912" t="s">
        <v>1409</v>
      </c>
      <c r="N912" t="s">
        <v>1410</v>
      </c>
      <c r="O912" t="s">
        <v>1462</v>
      </c>
      <c r="P912" t="s">
        <v>1462</v>
      </c>
      <c r="Q912" t="s">
        <v>1593</v>
      </c>
      <c r="S912" s="1">
        <v>45797</v>
      </c>
      <c r="V912" s="1">
        <v>45796</v>
      </c>
      <c r="W912" s="1">
        <v>26938</v>
      </c>
      <c r="X912" t="s">
        <v>1586</v>
      </c>
      <c r="Z912" t="s">
        <v>5114</v>
      </c>
      <c r="AA912" t="s">
        <v>1415</v>
      </c>
      <c r="AB912" t="s">
        <v>5115</v>
      </c>
      <c r="AC912">
        <v>41999331125</v>
      </c>
    </row>
    <row r="913" spans="1:29" x14ac:dyDescent="0.3">
      <c r="A913" t="s">
        <v>1405</v>
      </c>
      <c r="B913" t="s">
        <v>2302</v>
      </c>
      <c r="C913" t="s">
        <v>5116</v>
      </c>
      <c r="D913">
        <v>4993232381</v>
      </c>
      <c r="E913">
        <v>2008099043528</v>
      </c>
      <c r="F913">
        <v>1004021362</v>
      </c>
      <c r="G913" s="1">
        <v>46076</v>
      </c>
      <c r="H913" t="s">
        <v>1360</v>
      </c>
      <c r="I913" t="s">
        <v>1374</v>
      </c>
      <c r="J913" t="s">
        <v>2308</v>
      </c>
      <c r="K913" t="s">
        <v>2313</v>
      </c>
      <c r="L913" t="s">
        <v>2305</v>
      </c>
      <c r="M913" t="s">
        <v>1409</v>
      </c>
      <c r="N913" t="s">
        <v>1410</v>
      </c>
      <c r="O913" t="s">
        <v>1411</v>
      </c>
      <c r="P913" t="s">
        <v>1411</v>
      </c>
      <c r="Q913" t="s">
        <v>1412</v>
      </c>
      <c r="S913" s="1">
        <v>46071</v>
      </c>
      <c r="W913" s="1">
        <v>34536</v>
      </c>
      <c r="X913" t="s">
        <v>3609</v>
      </c>
      <c r="Z913" t="s">
        <v>2393</v>
      </c>
      <c r="AA913" t="s">
        <v>1415</v>
      </c>
      <c r="AB913" t="s">
        <v>5117</v>
      </c>
      <c r="AC913">
        <v>85992299522</v>
      </c>
    </row>
    <row r="914" spans="1:29" x14ac:dyDescent="0.3">
      <c r="A914" t="s">
        <v>1405</v>
      </c>
      <c r="B914" t="s">
        <v>2302</v>
      </c>
      <c r="C914" t="s">
        <v>5118</v>
      </c>
      <c r="D914">
        <v>820362255</v>
      </c>
      <c r="E914">
        <v>5816259</v>
      </c>
      <c r="F914">
        <v>1004016880</v>
      </c>
      <c r="G914" s="1">
        <v>45707</v>
      </c>
      <c r="H914" t="s">
        <v>1360</v>
      </c>
      <c r="I914" t="s">
        <v>1349</v>
      </c>
      <c r="J914" t="s">
        <v>2308</v>
      </c>
      <c r="K914" t="s">
        <v>2313</v>
      </c>
      <c r="L914" t="s">
        <v>2305</v>
      </c>
      <c r="M914" t="s">
        <v>1409</v>
      </c>
      <c r="N914" t="s">
        <v>1410</v>
      </c>
      <c r="O914" t="s">
        <v>1411</v>
      </c>
      <c r="P914" t="s">
        <v>1423</v>
      </c>
      <c r="Q914" t="s">
        <v>1412</v>
      </c>
      <c r="S914" s="1">
        <v>46042</v>
      </c>
      <c r="V914" s="1">
        <v>46036</v>
      </c>
      <c r="W914" s="1">
        <v>33132</v>
      </c>
      <c r="X914" t="s">
        <v>1492</v>
      </c>
      <c r="Y914" t="s">
        <v>2058</v>
      </c>
      <c r="Z914" t="s">
        <v>2518</v>
      </c>
      <c r="AA914" t="s">
        <v>1419</v>
      </c>
      <c r="AB914" t="s">
        <v>5119</v>
      </c>
      <c r="AC914">
        <v>91989452699</v>
      </c>
    </row>
    <row r="915" spans="1:29" x14ac:dyDescent="0.3">
      <c r="A915" t="s">
        <v>1405</v>
      </c>
      <c r="B915" t="s">
        <v>2302</v>
      </c>
      <c r="C915" t="s">
        <v>5120</v>
      </c>
      <c r="D915">
        <v>31918115249</v>
      </c>
      <c r="E915">
        <v>1648559</v>
      </c>
      <c r="F915">
        <v>1004014597</v>
      </c>
      <c r="G915" s="1">
        <v>45401</v>
      </c>
      <c r="H915" t="s">
        <v>1360</v>
      </c>
      <c r="I915" t="s">
        <v>1374</v>
      </c>
      <c r="J915" t="s">
        <v>1361</v>
      </c>
      <c r="K915" t="s">
        <v>2308</v>
      </c>
      <c r="L915" t="s">
        <v>2305</v>
      </c>
      <c r="M915" t="s">
        <v>1409</v>
      </c>
      <c r="N915" t="s">
        <v>1410</v>
      </c>
      <c r="O915" t="s">
        <v>1411</v>
      </c>
      <c r="P915" t="s">
        <v>1411</v>
      </c>
      <c r="Q915" t="s">
        <v>1412</v>
      </c>
      <c r="S915" s="1">
        <v>46043</v>
      </c>
      <c r="W915" s="1">
        <v>24771</v>
      </c>
      <c r="X915" t="s">
        <v>2516</v>
      </c>
      <c r="Z915" t="s">
        <v>2518</v>
      </c>
      <c r="AA915" t="s">
        <v>1415</v>
      </c>
      <c r="AB915" t="s">
        <v>5121</v>
      </c>
      <c r="AC915">
        <v>91981939017</v>
      </c>
    </row>
    <row r="916" spans="1:29" x14ac:dyDescent="0.3">
      <c r="A916" t="s">
        <v>1405</v>
      </c>
      <c r="B916" t="s">
        <v>2302</v>
      </c>
      <c r="C916" t="s">
        <v>5122</v>
      </c>
      <c r="D916">
        <v>33555931504</v>
      </c>
      <c r="E916">
        <v>337908095</v>
      </c>
      <c r="F916">
        <v>1004000216</v>
      </c>
      <c r="G916" s="1">
        <v>42767</v>
      </c>
      <c r="H916" t="s">
        <v>1360</v>
      </c>
      <c r="I916" t="s">
        <v>1374</v>
      </c>
      <c r="J916" t="s">
        <v>2308</v>
      </c>
      <c r="K916" t="s">
        <v>2313</v>
      </c>
      <c r="L916" t="s">
        <v>2305</v>
      </c>
      <c r="M916" t="s">
        <v>1978</v>
      </c>
      <c r="N916" t="s">
        <v>1443</v>
      </c>
      <c r="O916" t="s">
        <v>1423</v>
      </c>
      <c r="P916" t="s">
        <v>1423</v>
      </c>
      <c r="Q916" t="s">
        <v>1412</v>
      </c>
      <c r="S916" s="1">
        <v>46043</v>
      </c>
      <c r="W916" s="1">
        <v>23780</v>
      </c>
      <c r="X916" t="s">
        <v>2361</v>
      </c>
      <c r="Y916" t="s">
        <v>2362</v>
      </c>
      <c r="Z916" t="s">
        <v>2363</v>
      </c>
      <c r="AA916" t="s">
        <v>1415</v>
      </c>
      <c r="AB916" t="s">
        <v>5123</v>
      </c>
      <c r="AC916">
        <v>71999690065</v>
      </c>
    </row>
    <row r="917" spans="1:29" x14ac:dyDescent="0.3">
      <c r="A917" t="s">
        <v>1405</v>
      </c>
      <c r="B917" t="s">
        <v>2302</v>
      </c>
      <c r="C917" t="s">
        <v>5124</v>
      </c>
      <c r="D917">
        <v>294022120</v>
      </c>
      <c r="E917">
        <v>7505916</v>
      </c>
      <c r="F917">
        <v>1004003252</v>
      </c>
      <c r="G917" s="1">
        <v>43551</v>
      </c>
      <c r="H917" t="s">
        <v>1360</v>
      </c>
      <c r="I917" t="s">
        <v>1374</v>
      </c>
      <c r="J917" t="s">
        <v>2308</v>
      </c>
      <c r="K917" t="s">
        <v>2313</v>
      </c>
      <c r="L917" t="s">
        <v>2305</v>
      </c>
      <c r="M917" t="s">
        <v>1409</v>
      </c>
      <c r="N917" t="s">
        <v>1410</v>
      </c>
      <c r="O917" t="s">
        <v>1411</v>
      </c>
      <c r="P917" t="s">
        <v>1411</v>
      </c>
      <c r="Q917" t="s">
        <v>1593</v>
      </c>
      <c r="R917" t="s">
        <v>2417</v>
      </c>
      <c r="S917" s="1">
        <v>46043</v>
      </c>
      <c r="W917" s="1">
        <v>30471</v>
      </c>
      <c r="X917" t="s">
        <v>1424</v>
      </c>
      <c r="Z917" t="s">
        <v>3581</v>
      </c>
      <c r="AA917" t="s">
        <v>1415</v>
      </c>
      <c r="AB917" t="s">
        <v>5125</v>
      </c>
      <c r="AC917">
        <v>47999021391</v>
      </c>
    </row>
    <row r="918" spans="1:29" x14ac:dyDescent="0.3">
      <c r="A918" t="s">
        <v>1405</v>
      </c>
      <c r="B918" t="s">
        <v>2302</v>
      </c>
      <c r="C918" t="s">
        <v>5126</v>
      </c>
      <c r="D918">
        <v>6542981306</v>
      </c>
      <c r="E918">
        <v>2009099002099</v>
      </c>
      <c r="F918">
        <v>1004013963</v>
      </c>
      <c r="G918" s="1">
        <v>45348</v>
      </c>
      <c r="H918" t="s">
        <v>1360</v>
      </c>
      <c r="I918" t="s">
        <v>1349</v>
      </c>
      <c r="J918" t="s">
        <v>2572</v>
      </c>
      <c r="K918" t="s">
        <v>2573</v>
      </c>
      <c r="L918" t="s">
        <v>2305</v>
      </c>
      <c r="M918" t="s">
        <v>1421</v>
      </c>
      <c r="N918" t="s">
        <v>1422</v>
      </c>
      <c r="O918" t="s">
        <v>1462</v>
      </c>
      <c r="P918" t="s">
        <v>1462</v>
      </c>
      <c r="Q918" t="s">
        <v>1412</v>
      </c>
      <c r="S918" s="1">
        <v>45909</v>
      </c>
      <c r="V918" s="1">
        <v>45908</v>
      </c>
      <c r="W918" s="1">
        <v>35417</v>
      </c>
      <c r="X918" t="s">
        <v>3609</v>
      </c>
      <c r="Z918" t="s">
        <v>2393</v>
      </c>
      <c r="AA918" t="s">
        <v>1415</v>
      </c>
      <c r="AB918" t="s">
        <v>5127</v>
      </c>
      <c r="AC918">
        <v>85992231460</v>
      </c>
    </row>
    <row r="919" spans="1:29" x14ac:dyDescent="0.3">
      <c r="A919" t="s">
        <v>1405</v>
      </c>
      <c r="B919" t="s">
        <v>2302</v>
      </c>
      <c r="C919" t="s">
        <v>5128</v>
      </c>
      <c r="D919">
        <v>3835123521</v>
      </c>
      <c r="E919" t="s">
        <v>5129</v>
      </c>
      <c r="F919">
        <v>1004014913</v>
      </c>
      <c r="G919" s="1">
        <v>45425</v>
      </c>
      <c r="H919" t="s">
        <v>1360</v>
      </c>
      <c r="I919" t="s">
        <v>1349</v>
      </c>
      <c r="J919" t="s">
        <v>1361</v>
      </c>
      <c r="K919" t="s">
        <v>2308</v>
      </c>
      <c r="L919" t="s">
        <v>2305</v>
      </c>
      <c r="M919" t="s">
        <v>1409</v>
      </c>
      <c r="N919" t="s">
        <v>1410</v>
      </c>
      <c r="O919" t="s">
        <v>1411</v>
      </c>
      <c r="P919" t="s">
        <v>1411</v>
      </c>
      <c r="Q919" t="s">
        <v>1412</v>
      </c>
      <c r="S919" s="1">
        <v>46044</v>
      </c>
      <c r="V919" s="1">
        <v>46041</v>
      </c>
      <c r="W919" s="1">
        <v>34545</v>
      </c>
      <c r="X919" t="s">
        <v>5130</v>
      </c>
      <c r="Z919" t="s">
        <v>3838</v>
      </c>
      <c r="AA919" t="s">
        <v>1415</v>
      </c>
      <c r="AB919" t="s">
        <v>5131</v>
      </c>
      <c r="AC919">
        <v>75992450066</v>
      </c>
    </row>
    <row r="920" spans="1:29" x14ac:dyDescent="0.3">
      <c r="A920" t="s">
        <v>1405</v>
      </c>
      <c r="B920" t="s">
        <v>2302</v>
      </c>
      <c r="C920" t="s">
        <v>5132</v>
      </c>
      <c r="D920">
        <v>9448109423</v>
      </c>
      <c r="E920">
        <v>1859837</v>
      </c>
      <c r="F920">
        <v>1004018206</v>
      </c>
      <c r="G920" s="1">
        <v>45798</v>
      </c>
      <c r="H920" t="s">
        <v>1360</v>
      </c>
      <c r="I920" t="s">
        <v>1374</v>
      </c>
      <c r="J920" t="s">
        <v>1361</v>
      </c>
      <c r="K920" t="s">
        <v>2308</v>
      </c>
      <c r="L920" t="s">
        <v>2305</v>
      </c>
      <c r="M920" t="s">
        <v>1409</v>
      </c>
      <c r="N920" t="s">
        <v>1410</v>
      </c>
      <c r="O920" t="s">
        <v>1423</v>
      </c>
      <c r="P920" t="s">
        <v>1423</v>
      </c>
      <c r="Q920" t="s">
        <v>1412</v>
      </c>
      <c r="S920" s="1">
        <v>46043</v>
      </c>
      <c r="W920" s="1">
        <v>34120</v>
      </c>
      <c r="X920" t="s">
        <v>2645</v>
      </c>
      <c r="Y920" t="s">
        <v>2646</v>
      </c>
      <c r="Z920" t="s">
        <v>3798</v>
      </c>
      <c r="AA920" t="s">
        <v>1415</v>
      </c>
      <c r="AB920" t="s">
        <v>5133</v>
      </c>
      <c r="AC920">
        <v>84996600811</v>
      </c>
    </row>
    <row r="921" spans="1:29" x14ac:dyDescent="0.3">
      <c r="A921" t="s">
        <v>1405</v>
      </c>
      <c r="B921" t="s">
        <v>2302</v>
      </c>
      <c r="C921" t="s">
        <v>5134</v>
      </c>
      <c r="D921">
        <v>81332866387</v>
      </c>
      <c r="E921">
        <v>20076521790</v>
      </c>
      <c r="F921">
        <v>1004004813</v>
      </c>
      <c r="G921" s="1">
        <v>43739</v>
      </c>
      <c r="H921" t="s">
        <v>1360</v>
      </c>
      <c r="I921" t="s">
        <v>1374</v>
      </c>
      <c r="J921" t="s">
        <v>2308</v>
      </c>
      <c r="K921" t="s">
        <v>2313</v>
      </c>
      <c r="L921" t="s">
        <v>2305</v>
      </c>
      <c r="M921" t="s">
        <v>1409</v>
      </c>
      <c r="N921" t="s">
        <v>1410</v>
      </c>
      <c r="O921" t="s">
        <v>1411</v>
      </c>
      <c r="P921" t="s">
        <v>1411</v>
      </c>
      <c r="Q921" t="s">
        <v>1412</v>
      </c>
      <c r="S921" s="1">
        <v>46043</v>
      </c>
      <c r="W921" s="1">
        <v>28311</v>
      </c>
      <c r="X921" t="s">
        <v>5086</v>
      </c>
      <c r="Y921" t="s">
        <v>5135</v>
      </c>
      <c r="Z921" t="s">
        <v>3479</v>
      </c>
      <c r="AA921" t="s">
        <v>1415</v>
      </c>
      <c r="AB921" t="s">
        <v>5136</v>
      </c>
      <c r="AC921">
        <v>85991328692</v>
      </c>
    </row>
    <row r="922" spans="1:29" x14ac:dyDescent="0.3">
      <c r="A922" t="s">
        <v>1405</v>
      </c>
      <c r="B922" t="s">
        <v>2302</v>
      </c>
      <c r="C922" t="s">
        <v>5137</v>
      </c>
      <c r="D922">
        <v>3773068352</v>
      </c>
      <c r="E922">
        <v>197655920028</v>
      </c>
      <c r="F922">
        <v>1004007364</v>
      </c>
      <c r="G922" s="1">
        <v>44256</v>
      </c>
      <c r="H922" t="s">
        <v>1360</v>
      </c>
      <c r="I922" t="s">
        <v>1349</v>
      </c>
      <c r="J922" t="s">
        <v>2308</v>
      </c>
      <c r="K922" t="s">
        <v>2313</v>
      </c>
      <c r="L922" t="s">
        <v>2305</v>
      </c>
      <c r="M922" t="s">
        <v>1409</v>
      </c>
      <c r="N922" t="s">
        <v>1410</v>
      </c>
      <c r="O922" t="s">
        <v>1411</v>
      </c>
      <c r="P922" t="s">
        <v>1411</v>
      </c>
      <c r="Q922" t="s">
        <v>1412</v>
      </c>
      <c r="S922" s="1">
        <v>45855</v>
      </c>
      <c r="V922" s="1">
        <v>45853</v>
      </c>
      <c r="W922" s="1">
        <v>34411</v>
      </c>
      <c r="X922" t="s">
        <v>5138</v>
      </c>
      <c r="Z922" t="s">
        <v>3637</v>
      </c>
      <c r="AA922" t="s">
        <v>1415</v>
      </c>
      <c r="AB922" t="s">
        <v>5139</v>
      </c>
      <c r="AC922">
        <v>98982506920</v>
      </c>
    </row>
    <row r="923" spans="1:29" x14ac:dyDescent="0.3">
      <c r="A923" t="s">
        <v>1405</v>
      </c>
      <c r="B923" t="s">
        <v>2302</v>
      </c>
      <c r="C923" t="s">
        <v>5140</v>
      </c>
      <c r="D923">
        <v>5364010473</v>
      </c>
      <c r="E923">
        <v>7048984</v>
      </c>
      <c r="F923">
        <v>1004012924</v>
      </c>
      <c r="G923" s="1">
        <v>45188</v>
      </c>
      <c r="H923" t="s">
        <v>1360</v>
      </c>
      <c r="I923" t="s">
        <v>1374</v>
      </c>
      <c r="J923" t="s">
        <v>1361</v>
      </c>
      <c r="K923" t="s">
        <v>2308</v>
      </c>
      <c r="L923" t="s">
        <v>2305</v>
      </c>
      <c r="M923" t="s">
        <v>1421</v>
      </c>
      <c r="N923" t="s">
        <v>1410</v>
      </c>
      <c r="O923" t="s">
        <v>1411</v>
      </c>
      <c r="P923" t="s">
        <v>1423</v>
      </c>
      <c r="Q923" t="s">
        <v>1412</v>
      </c>
      <c r="S923" s="1">
        <v>46043</v>
      </c>
      <c r="W923" s="1">
        <v>30916</v>
      </c>
      <c r="X923" t="s">
        <v>3035</v>
      </c>
      <c r="Z923" t="s">
        <v>3036</v>
      </c>
      <c r="AA923" t="s">
        <v>1419</v>
      </c>
      <c r="AB923" t="s">
        <v>5141</v>
      </c>
      <c r="AC923">
        <v>87996072015</v>
      </c>
    </row>
    <row r="924" spans="1:29" x14ac:dyDescent="0.3">
      <c r="A924" t="s">
        <v>1405</v>
      </c>
      <c r="B924" t="s">
        <v>2302</v>
      </c>
      <c r="C924" t="s">
        <v>5142</v>
      </c>
      <c r="D924">
        <v>6229266598</v>
      </c>
      <c r="E924" t="s">
        <v>5143</v>
      </c>
      <c r="F924">
        <v>1004014338</v>
      </c>
      <c r="G924" s="1">
        <v>45370</v>
      </c>
      <c r="H924" t="s">
        <v>1360</v>
      </c>
      <c r="I924" t="s">
        <v>1349</v>
      </c>
      <c r="J924" t="s">
        <v>1354</v>
      </c>
      <c r="K924" t="s">
        <v>1361</v>
      </c>
      <c r="L924" t="s">
        <v>2305</v>
      </c>
      <c r="M924" t="s">
        <v>1421</v>
      </c>
      <c r="N924" t="s">
        <v>1422</v>
      </c>
      <c r="O924" t="s">
        <v>1411</v>
      </c>
      <c r="P924" t="s">
        <v>1411</v>
      </c>
      <c r="Q924" t="s">
        <v>1412</v>
      </c>
      <c r="S924" s="1">
        <v>45841</v>
      </c>
      <c r="V924" s="1">
        <v>45841</v>
      </c>
      <c r="W924" s="1">
        <v>35262</v>
      </c>
      <c r="X924" t="s">
        <v>5144</v>
      </c>
      <c r="Z924" t="s">
        <v>5145</v>
      </c>
      <c r="AA924" t="s">
        <v>1419</v>
      </c>
      <c r="AB924" t="s">
        <v>5146</v>
      </c>
      <c r="AC924">
        <v>16982595718</v>
      </c>
    </row>
    <row r="925" spans="1:29" x14ac:dyDescent="0.3">
      <c r="A925" t="s">
        <v>1405</v>
      </c>
      <c r="B925" t="s">
        <v>2302</v>
      </c>
      <c r="C925" t="s">
        <v>5147</v>
      </c>
      <c r="D925">
        <v>81547390034</v>
      </c>
      <c r="E925">
        <v>1074186287</v>
      </c>
      <c r="F925">
        <v>1004012902</v>
      </c>
      <c r="G925" s="1">
        <v>45183</v>
      </c>
      <c r="H925" t="s">
        <v>1360</v>
      </c>
      <c r="I925" t="s">
        <v>1349</v>
      </c>
      <c r="J925" t="s">
        <v>1361</v>
      </c>
      <c r="K925" t="s">
        <v>2308</v>
      </c>
      <c r="L925" t="s">
        <v>2305</v>
      </c>
      <c r="M925" t="s">
        <v>1421</v>
      </c>
      <c r="N925" t="s">
        <v>1410</v>
      </c>
      <c r="O925" t="s">
        <v>1423</v>
      </c>
      <c r="P925" t="s">
        <v>1423</v>
      </c>
      <c r="Q925" t="s">
        <v>1412</v>
      </c>
      <c r="S925" s="1">
        <v>46045</v>
      </c>
      <c r="V925" s="1">
        <v>46041</v>
      </c>
      <c r="W925" s="1">
        <v>30445</v>
      </c>
      <c r="X925" t="s">
        <v>3646</v>
      </c>
      <c r="Y925" t="s">
        <v>5148</v>
      </c>
      <c r="Z925" t="s">
        <v>4036</v>
      </c>
      <c r="AA925" t="s">
        <v>1419</v>
      </c>
      <c r="AB925" t="s">
        <v>5149</v>
      </c>
      <c r="AC925">
        <v>54999337641</v>
      </c>
    </row>
    <row r="926" spans="1:29" x14ac:dyDescent="0.3">
      <c r="A926" t="s">
        <v>1405</v>
      </c>
      <c r="B926" t="s">
        <v>2302</v>
      </c>
      <c r="C926" t="s">
        <v>5150</v>
      </c>
      <c r="D926">
        <v>2393270396</v>
      </c>
      <c r="E926">
        <v>2006098134620</v>
      </c>
      <c r="F926">
        <v>1004009959</v>
      </c>
      <c r="G926" s="1">
        <v>44699</v>
      </c>
      <c r="H926" t="s">
        <v>1360</v>
      </c>
      <c r="I926" t="s">
        <v>1374</v>
      </c>
      <c r="J926" t="s">
        <v>2348</v>
      </c>
      <c r="K926" t="s">
        <v>2308</v>
      </c>
      <c r="L926" t="s">
        <v>2305</v>
      </c>
      <c r="M926" t="s">
        <v>1409</v>
      </c>
      <c r="N926" t="s">
        <v>1410</v>
      </c>
      <c r="O926" t="s">
        <v>1423</v>
      </c>
      <c r="P926" t="s">
        <v>1423</v>
      </c>
      <c r="Q926" t="s">
        <v>1412</v>
      </c>
      <c r="S926" s="1">
        <v>46043</v>
      </c>
      <c r="W926" s="1">
        <v>33056</v>
      </c>
      <c r="X926" t="s">
        <v>1537</v>
      </c>
      <c r="Y926" t="s">
        <v>4731</v>
      </c>
      <c r="Z926" t="s">
        <v>4732</v>
      </c>
      <c r="AA926" t="s">
        <v>1419</v>
      </c>
      <c r="AB926" t="s">
        <v>5151</v>
      </c>
      <c r="AC926">
        <v>85999201126</v>
      </c>
    </row>
    <row r="927" spans="1:29" x14ac:dyDescent="0.3">
      <c r="A927" t="s">
        <v>1405</v>
      </c>
      <c r="B927" t="s">
        <v>2302</v>
      </c>
      <c r="C927" t="s">
        <v>5152</v>
      </c>
      <c r="D927">
        <v>7982778909</v>
      </c>
      <c r="E927">
        <v>109428183</v>
      </c>
      <c r="F927">
        <v>1004011773</v>
      </c>
      <c r="G927" s="1">
        <v>45022</v>
      </c>
      <c r="H927" t="s">
        <v>1360</v>
      </c>
      <c r="I927" t="s">
        <v>1349</v>
      </c>
      <c r="J927" t="s">
        <v>1361</v>
      </c>
      <c r="K927" t="s">
        <v>2308</v>
      </c>
      <c r="L927" t="s">
        <v>2305</v>
      </c>
      <c r="M927" t="s">
        <v>1421</v>
      </c>
      <c r="N927" t="s">
        <v>1422</v>
      </c>
      <c r="O927" t="s">
        <v>1423</v>
      </c>
      <c r="P927" t="s">
        <v>1423</v>
      </c>
      <c r="Q927" t="s">
        <v>1412</v>
      </c>
      <c r="S927" s="1">
        <v>45943</v>
      </c>
      <c r="V927" s="1">
        <v>45936</v>
      </c>
      <c r="W927" s="1">
        <v>33689</v>
      </c>
      <c r="X927" t="s">
        <v>2766</v>
      </c>
      <c r="Z927" t="s">
        <v>5153</v>
      </c>
      <c r="AA927" t="s">
        <v>1419</v>
      </c>
      <c r="AB927" t="s">
        <v>5154</v>
      </c>
      <c r="AC927">
        <v>43984843834</v>
      </c>
    </row>
    <row r="928" spans="1:29" x14ac:dyDescent="0.3">
      <c r="A928" t="s">
        <v>1405</v>
      </c>
      <c r="B928" t="s">
        <v>2302</v>
      </c>
      <c r="C928" t="s">
        <v>5155</v>
      </c>
      <c r="D928">
        <v>2664870505</v>
      </c>
      <c r="E928">
        <v>31545882</v>
      </c>
      <c r="F928">
        <v>1004004889</v>
      </c>
      <c r="G928" s="1">
        <v>43745</v>
      </c>
      <c r="H928" t="s">
        <v>1360</v>
      </c>
      <c r="I928" t="s">
        <v>1374</v>
      </c>
      <c r="J928" t="s">
        <v>2308</v>
      </c>
      <c r="K928" t="s">
        <v>2313</v>
      </c>
      <c r="L928" t="s">
        <v>2305</v>
      </c>
      <c r="M928" t="s">
        <v>1447</v>
      </c>
      <c r="N928" t="s">
        <v>1448</v>
      </c>
      <c r="O928" t="s">
        <v>1411</v>
      </c>
      <c r="P928" t="s">
        <v>1411</v>
      </c>
      <c r="Q928" t="s">
        <v>1412</v>
      </c>
      <c r="S928" s="1">
        <v>46043</v>
      </c>
      <c r="W928" s="1">
        <v>32194</v>
      </c>
      <c r="X928" t="s">
        <v>1428</v>
      </c>
      <c r="Y928" t="s">
        <v>4894</v>
      </c>
      <c r="Z928" t="s">
        <v>3209</v>
      </c>
      <c r="AA928" t="s">
        <v>1419</v>
      </c>
      <c r="AB928" t="s">
        <v>5156</v>
      </c>
      <c r="AC928">
        <v>79998662438</v>
      </c>
    </row>
    <row r="929" spans="1:29" x14ac:dyDescent="0.3">
      <c r="A929" t="s">
        <v>1405</v>
      </c>
      <c r="B929" t="s">
        <v>2302</v>
      </c>
      <c r="C929" t="s">
        <v>5157</v>
      </c>
      <c r="D929">
        <v>4161819960</v>
      </c>
      <c r="E929">
        <v>4093508</v>
      </c>
      <c r="F929">
        <v>1004013833</v>
      </c>
      <c r="G929" s="1">
        <v>45342</v>
      </c>
      <c r="H929" t="s">
        <v>1360</v>
      </c>
      <c r="I929" t="s">
        <v>1349</v>
      </c>
      <c r="J929" t="s">
        <v>1361</v>
      </c>
      <c r="K929" t="s">
        <v>2308</v>
      </c>
      <c r="L929" t="s">
        <v>2305</v>
      </c>
      <c r="M929" t="s">
        <v>1409</v>
      </c>
      <c r="N929" t="s">
        <v>1410</v>
      </c>
      <c r="O929" t="s">
        <v>1411</v>
      </c>
      <c r="P929" t="s">
        <v>1423</v>
      </c>
      <c r="Q929" t="s">
        <v>1412</v>
      </c>
      <c r="S929" s="1">
        <v>45855</v>
      </c>
      <c r="V929" s="1">
        <v>45854</v>
      </c>
      <c r="W929" s="1">
        <v>31318</v>
      </c>
      <c r="X929" t="s">
        <v>2742</v>
      </c>
      <c r="Y929" t="s">
        <v>3042</v>
      </c>
      <c r="Z929" t="s">
        <v>2743</v>
      </c>
      <c r="AA929" t="s">
        <v>1419</v>
      </c>
      <c r="AB929" t="s">
        <v>5158</v>
      </c>
      <c r="AC929">
        <v>49991071703</v>
      </c>
    </row>
    <row r="930" spans="1:29" x14ac:dyDescent="0.3">
      <c r="A930" t="s">
        <v>1405</v>
      </c>
      <c r="B930" t="s">
        <v>2302</v>
      </c>
      <c r="C930" t="s">
        <v>5159</v>
      </c>
      <c r="D930">
        <v>3697219936</v>
      </c>
      <c r="E930">
        <v>76224137</v>
      </c>
      <c r="F930">
        <v>1004012543</v>
      </c>
      <c r="G930" s="1">
        <v>45145</v>
      </c>
      <c r="H930" t="s">
        <v>1360</v>
      </c>
      <c r="I930" t="s">
        <v>1349</v>
      </c>
      <c r="J930" t="s">
        <v>1361</v>
      </c>
      <c r="K930" t="s">
        <v>2308</v>
      </c>
      <c r="L930" t="s">
        <v>2305</v>
      </c>
      <c r="M930" t="s">
        <v>1409</v>
      </c>
      <c r="N930" t="s">
        <v>1410</v>
      </c>
      <c r="O930" t="s">
        <v>1423</v>
      </c>
      <c r="P930" t="s">
        <v>1423</v>
      </c>
      <c r="Q930" t="s">
        <v>1412</v>
      </c>
      <c r="S930" s="1">
        <v>45891</v>
      </c>
      <c r="V930" s="1">
        <v>45895</v>
      </c>
      <c r="W930" s="1">
        <v>29916</v>
      </c>
      <c r="X930" t="s">
        <v>5160</v>
      </c>
      <c r="Y930" t="s">
        <v>5161</v>
      </c>
      <c r="Z930" t="s">
        <v>3554</v>
      </c>
      <c r="AA930" t="s">
        <v>1419</v>
      </c>
      <c r="AB930" t="s">
        <v>5162</v>
      </c>
      <c r="AC930">
        <v>47996506966</v>
      </c>
    </row>
    <row r="931" spans="1:29" x14ac:dyDescent="0.3">
      <c r="A931" t="s">
        <v>1405</v>
      </c>
      <c r="B931" t="s">
        <v>2302</v>
      </c>
      <c r="C931" t="s">
        <v>5163</v>
      </c>
      <c r="D931">
        <v>4600115376</v>
      </c>
      <c r="E931">
        <v>2003099020551</v>
      </c>
      <c r="F931">
        <v>1004003195</v>
      </c>
      <c r="G931" s="1">
        <v>43546</v>
      </c>
      <c r="H931" t="s">
        <v>1360</v>
      </c>
      <c r="I931" t="s">
        <v>1349</v>
      </c>
      <c r="J931" t="s">
        <v>2308</v>
      </c>
      <c r="K931" t="s">
        <v>2313</v>
      </c>
      <c r="L931" t="s">
        <v>2305</v>
      </c>
      <c r="M931" t="s">
        <v>1409</v>
      </c>
      <c r="N931" t="s">
        <v>1410</v>
      </c>
      <c r="O931" t="s">
        <v>1411</v>
      </c>
      <c r="P931" t="s">
        <v>1411</v>
      </c>
      <c r="Q931" t="s">
        <v>1412</v>
      </c>
      <c r="S931" s="1">
        <v>45946</v>
      </c>
      <c r="V931" s="1">
        <v>45944</v>
      </c>
      <c r="W931" s="1">
        <v>33472</v>
      </c>
      <c r="X931" t="s">
        <v>1507</v>
      </c>
      <c r="Y931" t="s">
        <v>2786</v>
      </c>
      <c r="Z931" t="s">
        <v>3123</v>
      </c>
      <c r="AA931" t="s">
        <v>1419</v>
      </c>
      <c r="AB931" t="s">
        <v>5164</v>
      </c>
      <c r="AC931">
        <v>85987045219</v>
      </c>
    </row>
    <row r="932" spans="1:29" x14ac:dyDescent="0.3">
      <c r="A932" t="s">
        <v>1405</v>
      </c>
      <c r="B932" t="s">
        <v>2302</v>
      </c>
      <c r="C932" t="s">
        <v>5165</v>
      </c>
      <c r="D932">
        <v>4189382531</v>
      </c>
      <c r="E932" s="3">
        <v>1163012521</v>
      </c>
      <c r="F932">
        <v>1004015576</v>
      </c>
      <c r="G932" s="1">
        <v>45537</v>
      </c>
      <c r="H932" t="s">
        <v>1360</v>
      </c>
      <c r="I932" t="s">
        <v>1349</v>
      </c>
      <c r="J932" t="s">
        <v>2348</v>
      </c>
      <c r="K932" t="s">
        <v>2308</v>
      </c>
      <c r="L932" t="s">
        <v>2305</v>
      </c>
      <c r="M932" t="s">
        <v>1409</v>
      </c>
      <c r="N932" t="s">
        <v>1422</v>
      </c>
      <c r="O932" t="s">
        <v>1411</v>
      </c>
      <c r="P932" t="s">
        <v>1462</v>
      </c>
      <c r="Q932" t="s">
        <v>1412</v>
      </c>
      <c r="S932" s="1">
        <v>45756</v>
      </c>
      <c r="V932" s="1">
        <v>45756</v>
      </c>
      <c r="W932" s="1">
        <v>32682</v>
      </c>
      <c r="X932" t="s">
        <v>2328</v>
      </c>
      <c r="Z932" t="s">
        <v>2806</v>
      </c>
      <c r="AA932" t="s">
        <v>1419</v>
      </c>
      <c r="AB932" t="s">
        <v>5166</v>
      </c>
      <c r="AC932">
        <v>7381093633</v>
      </c>
    </row>
    <row r="933" spans="1:29" x14ac:dyDescent="0.3">
      <c r="A933" t="s">
        <v>1405</v>
      </c>
      <c r="B933" t="s">
        <v>2302</v>
      </c>
      <c r="C933" t="s">
        <v>5167</v>
      </c>
      <c r="D933">
        <v>5796319582</v>
      </c>
      <c r="E933" t="s">
        <v>5168</v>
      </c>
      <c r="F933">
        <v>1004021361</v>
      </c>
      <c r="G933" s="1">
        <v>46076</v>
      </c>
      <c r="H933" t="s">
        <v>1360</v>
      </c>
      <c r="I933" t="s">
        <v>1374</v>
      </c>
      <c r="J933" t="s">
        <v>2308</v>
      </c>
      <c r="K933" t="s">
        <v>2313</v>
      </c>
      <c r="L933" t="s">
        <v>2305</v>
      </c>
      <c r="M933" t="s">
        <v>1409</v>
      </c>
      <c r="N933" t="s">
        <v>1422</v>
      </c>
      <c r="O933" t="s">
        <v>1439</v>
      </c>
      <c r="P933" t="s">
        <v>1411</v>
      </c>
      <c r="Q933" t="s">
        <v>1412</v>
      </c>
      <c r="S933" s="1">
        <v>46071</v>
      </c>
      <c r="W933" s="1">
        <v>33664</v>
      </c>
      <c r="X933" t="s">
        <v>1479</v>
      </c>
      <c r="Y933" t="s">
        <v>3151</v>
      </c>
      <c r="Z933" t="s">
        <v>3787</v>
      </c>
      <c r="AA933" t="s">
        <v>1419</v>
      </c>
      <c r="AB933" t="s">
        <v>5169</v>
      </c>
      <c r="AC933">
        <v>7499386637</v>
      </c>
    </row>
    <row r="934" spans="1:29" x14ac:dyDescent="0.3">
      <c r="A934" t="s">
        <v>1405</v>
      </c>
      <c r="B934" t="s">
        <v>2302</v>
      </c>
      <c r="C934" t="s">
        <v>5170</v>
      </c>
      <c r="D934">
        <v>65095740206</v>
      </c>
      <c r="E934">
        <v>673128</v>
      </c>
      <c r="F934">
        <v>1004012796</v>
      </c>
      <c r="G934" s="1">
        <v>45170</v>
      </c>
      <c r="H934" t="s">
        <v>1360</v>
      </c>
      <c r="I934" t="s">
        <v>1374</v>
      </c>
      <c r="J934">
        <v>6</v>
      </c>
      <c r="K934" t="s">
        <v>2444</v>
      </c>
      <c r="L934" t="s">
        <v>2305</v>
      </c>
      <c r="M934" t="s">
        <v>1409</v>
      </c>
      <c r="N934" t="s">
        <v>1410</v>
      </c>
      <c r="O934" t="s">
        <v>1411</v>
      </c>
      <c r="P934" t="s">
        <v>1411</v>
      </c>
      <c r="Q934" t="s">
        <v>1412</v>
      </c>
      <c r="S934" s="1">
        <v>46043</v>
      </c>
      <c r="W934" s="1">
        <v>28495</v>
      </c>
      <c r="X934" t="s">
        <v>5171</v>
      </c>
      <c r="Y934" t="s">
        <v>5172</v>
      </c>
      <c r="Z934" t="s">
        <v>2620</v>
      </c>
      <c r="AA934" t="s">
        <v>1419</v>
      </c>
      <c r="AB934" t="s">
        <v>726</v>
      </c>
      <c r="AC934">
        <v>69993222184</v>
      </c>
    </row>
    <row r="935" spans="1:29" x14ac:dyDescent="0.3">
      <c r="A935" t="s">
        <v>1405</v>
      </c>
      <c r="B935" t="s">
        <v>2302</v>
      </c>
      <c r="C935" t="s">
        <v>5173</v>
      </c>
      <c r="D935">
        <v>5036953193</v>
      </c>
      <c r="E935">
        <v>5654479</v>
      </c>
      <c r="F935">
        <v>1004011066</v>
      </c>
      <c r="G935" s="1">
        <v>44874</v>
      </c>
      <c r="H935" t="s">
        <v>1360</v>
      </c>
      <c r="I935" t="s">
        <v>1349</v>
      </c>
      <c r="J935" t="s">
        <v>2348</v>
      </c>
      <c r="K935" t="s">
        <v>2308</v>
      </c>
      <c r="L935" t="s">
        <v>2305</v>
      </c>
      <c r="M935" t="s">
        <v>1409</v>
      </c>
      <c r="N935" t="s">
        <v>1410</v>
      </c>
      <c r="O935" t="s">
        <v>1411</v>
      </c>
      <c r="P935" t="s">
        <v>1417</v>
      </c>
      <c r="Q935" t="s">
        <v>1412</v>
      </c>
      <c r="S935" s="1">
        <v>45756</v>
      </c>
      <c r="V935" s="1">
        <v>45754</v>
      </c>
      <c r="W935" s="1">
        <v>34734</v>
      </c>
      <c r="X935" t="s">
        <v>1530</v>
      </c>
      <c r="Y935" t="s">
        <v>5174</v>
      </c>
      <c r="Z935" t="s">
        <v>2494</v>
      </c>
      <c r="AA935" t="s">
        <v>1419</v>
      </c>
      <c r="AB935" t="s">
        <v>5175</v>
      </c>
      <c r="AC935">
        <v>62999793359</v>
      </c>
    </row>
    <row r="936" spans="1:29" x14ac:dyDescent="0.3">
      <c r="A936" t="s">
        <v>1405</v>
      </c>
      <c r="B936" t="s">
        <v>2302</v>
      </c>
      <c r="C936" t="s">
        <v>5176</v>
      </c>
      <c r="D936">
        <v>5817025906</v>
      </c>
      <c r="E936">
        <v>3741640</v>
      </c>
      <c r="F936">
        <v>1004011335</v>
      </c>
      <c r="G936" s="1">
        <v>44985</v>
      </c>
      <c r="H936" t="s">
        <v>1360</v>
      </c>
      <c r="I936" t="s">
        <v>1374</v>
      </c>
      <c r="J936" t="s">
        <v>1361</v>
      </c>
      <c r="K936" t="s">
        <v>2308</v>
      </c>
      <c r="L936" t="s">
        <v>2305</v>
      </c>
      <c r="M936" t="s">
        <v>1409</v>
      </c>
      <c r="N936" t="s">
        <v>1410</v>
      </c>
      <c r="O936" t="s">
        <v>1423</v>
      </c>
      <c r="P936" t="s">
        <v>1423</v>
      </c>
      <c r="Q936" t="s">
        <v>1412</v>
      </c>
      <c r="S936" s="1">
        <v>46043</v>
      </c>
      <c r="W936" s="1">
        <v>31423</v>
      </c>
      <c r="X936" t="s">
        <v>3162</v>
      </c>
      <c r="Y936" t="s">
        <v>3163</v>
      </c>
      <c r="Z936" t="s">
        <v>2724</v>
      </c>
      <c r="AA936" t="s">
        <v>1415</v>
      </c>
      <c r="AB936" t="s">
        <v>5177</v>
      </c>
      <c r="AC936">
        <v>47992159092</v>
      </c>
    </row>
    <row r="937" spans="1:29" x14ac:dyDescent="0.3">
      <c r="A937" t="s">
        <v>1405</v>
      </c>
      <c r="B937" t="s">
        <v>2302</v>
      </c>
      <c r="C937" t="s">
        <v>5178</v>
      </c>
      <c r="D937">
        <v>93978502291</v>
      </c>
      <c r="E937">
        <v>987892</v>
      </c>
      <c r="F937">
        <v>1004020723</v>
      </c>
      <c r="G937" s="1">
        <v>45973</v>
      </c>
      <c r="H937" t="s">
        <v>1360</v>
      </c>
      <c r="I937" t="s">
        <v>1374</v>
      </c>
      <c r="J937" t="s">
        <v>1361</v>
      </c>
      <c r="K937" t="s">
        <v>2308</v>
      </c>
      <c r="L937" t="s">
        <v>2305</v>
      </c>
      <c r="M937" t="s">
        <v>1409</v>
      </c>
      <c r="N937" t="s">
        <v>1410</v>
      </c>
      <c r="O937" t="s">
        <v>1462</v>
      </c>
      <c r="P937" t="s">
        <v>1462</v>
      </c>
      <c r="Q937" t="s">
        <v>1412</v>
      </c>
      <c r="S937" s="1">
        <v>46043</v>
      </c>
      <c r="W937" s="1">
        <v>33572</v>
      </c>
      <c r="X937" t="s">
        <v>2238</v>
      </c>
      <c r="Y937" t="s">
        <v>5179</v>
      </c>
      <c r="Z937" t="s">
        <v>5180</v>
      </c>
      <c r="AA937" t="s">
        <v>1415</v>
      </c>
      <c r="AB937" t="s">
        <v>5181</v>
      </c>
      <c r="AC937">
        <v>69992467015</v>
      </c>
    </row>
    <row r="938" spans="1:29" x14ac:dyDescent="0.3">
      <c r="A938" t="s">
        <v>1405</v>
      </c>
      <c r="B938" t="s">
        <v>2302</v>
      </c>
      <c r="C938" t="s">
        <v>5182</v>
      </c>
      <c r="D938">
        <v>1442993138</v>
      </c>
      <c r="E938" t="s">
        <v>5183</v>
      </c>
      <c r="F938">
        <v>1004020335</v>
      </c>
      <c r="G938" s="1">
        <v>45943</v>
      </c>
      <c r="H938" t="s">
        <v>1360</v>
      </c>
      <c r="I938" t="s">
        <v>1374</v>
      </c>
      <c r="J938" t="s">
        <v>1361</v>
      </c>
      <c r="K938" t="s">
        <v>2308</v>
      </c>
      <c r="L938" t="s">
        <v>2305</v>
      </c>
      <c r="M938" t="s">
        <v>1447</v>
      </c>
      <c r="N938" t="s">
        <v>1448</v>
      </c>
      <c r="O938" t="s">
        <v>1423</v>
      </c>
      <c r="P938" t="s">
        <v>1423</v>
      </c>
      <c r="Q938" t="s">
        <v>1412</v>
      </c>
      <c r="S938" s="1">
        <v>46043</v>
      </c>
      <c r="W938" s="1">
        <v>33333</v>
      </c>
      <c r="X938" t="s">
        <v>1799</v>
      </c>
      <c r="Z938" t="s">
        <v>2333</v>
      </c>
      <c r="AA938" t="s">
        <v>1415</v>
      </c>
      <c r="AB938" t="s">
        <v>5184</v>
      </c>
      <c r="AC938">
        <v>6681341279</v>
      </c>
    </row>
    <row r="939" spans="1:29" x14ac:dyDescent="0.3">
      <c r="A939" t="s">
        <v>1405</v>
      </c>
      <c r="B939" t="s">
        <v>2302</v>
      </c>
      <c r="C939" t="s">
        <v>5185</v>
      </c>
      <c r="D939">
        <v>1326573098</v>
      </c>
      <c r="E939">
        <v>1099965327</v>
      </c>
      <c r="F939">
        <v>1004009219</v>
      </c>
      <c r="G939" s="1">
        <v>44614</v>
      </c>
      <c r="H939" t="s">
        <v>1360</v>
      </c>
      <c r="I939" t="s">
        <v>1374</v>
      </c>
      <c r="J939" t="s">
        <v>1361</v>
      </c>
      <c r="K939" t="s">
        <v>2308</v>
      </c>
      <c r="L939" t="s">
        <v>2305</v>
      </c>
      <c r="M939" t="s">
        <v>1421</v>
      </c>
      <c r="N939" t="s">
        <v>1422</v>
      </c>
      <c r="O939" t="s">
        <v>1423</v>
      </c>
      <c r="P939" t="s">
        <v>1423</v>
      </c>
      <c r="Q939" t="s">
        <v>1412</v>
      </c>
      <c r="S939" s="1">
        <v>46043</v>
      </c>
      <c r="W939" s="1">
        <v>32765</v>
      </c>
      <c r="X939" t="s">
        <v>2010</v>
      </c>
      <c r="Z939" t="s">
        <v>2739</v>
      </c>
      <c r="AA939" t="s">
        <v>1415</v>
      </c>
      <c r="AB939" t="s">
        <v>5186</v>
      </c>
      <c r="AC939">
        <v>55996075168</v>
      </c>
    </row>
    <row r="940" spans="1:29" x14ac:dyDescent="0.3">
      <c r="A940" t="s">
        <v>1405</v>
      </c>
      <c r="B940" t="s">
        <v>2302</v>
      </c>
      <c r="C940" t="s">
        <v>5187</v>
      </c>
      <c r="D940">
        <v>3787203176</v>
      </c>
      <c r="E940">
        <v>5305847</v>
      </c>
      <c r="F940">
        <v>1004019144</v>
      </c>
      <c r="G940" s="1">
        <v>45880</v>
      </c>
      <c r="H940" t="s">
        <v>1360</v>
      </c>
      <c r="I940" t="s">
        <v>1374</v>
      </c>
      <c r="J940" t="s">
        <v>2348</v>
      </c>
      <c r="K940" t="s">
        <v>2308</v>
      </c>
      <c r="L940" t="s">
        <v>2305</v>
      </c>
      <c r="M940" t="s">
        <v>1409</v>
      </c>
      <c r="N940" t="s">
        <v>1410</v>
      </c>
      <c r="O940" t="s">
        <v>1423</v>
      </c>
      <c r="P940" t="s">
        <v>1423</v>
      </c>
      <c r="Q940" t="s">
        <v>1412</v>
      </c>
      <c r="S940" s="1">
        <v>46043</v>
      </c>
      <c r="W940" s="1">
        <v>33221</v>
      </c>
      <c r="X940" t="s">
        <v>1976</v>
      </c>
      <c r="Y940" t="s">
        <v>5188</v>
      </c>
      <c r="Z940" t="s">
        <v>2536</v>
      </c>
      <c r="AA940" t="s">
        <v>1415</v>
      </c>
      <c r="AB940" t="s">
        <v>5189</v>
      </c>
      <c r="AC940">
        <v>6294226994</v>
      </c>
    </row>
    <row r="941" spans="1:29" x14ac:dyDescent="0.3">
      <c r="A941" t="s">
        <v>1405</v>
      </c>
      <c r="B941" t="s">
        <v>2302</v>
      </c>
      <c r="C941" t="s">
        <v>5190</v>
      </c>
      <c r="D941">
        <v>6123604589</v>
      </c>
      <c r="E941">
        <v>1111968411</v>
      </c>
      <c r="F941">
        <v>1004006869</v>
      </c>
      <c r="G941" s="1">
        <v>44082</v>
      </c>
      <c r="H941" t="s">
        <v>1360</v>
      </c>
      <c r="I941" t="s">
        <v>1374</v>
      </c>
      <c r="J941" t="s">
        <v>2308</v>
      </c>
      <c r="K941" t="s">
        <v>2313</v>
      </c>
      <c r="L941" t="s">
        <v>2305</v>
      </c>
      <c r="M941" t="s">
        <v>1409</v>
      </c>
      <c r="N941" t="s">
        <v>1410</v>
      </c>
      <c r="O941" t="s">
        <v>1462</v>
      </c>
      <c r="P941" t="s">
        <v>1462</v>
      </c>
      <c r="Q941" t="s">
        <v>1412</v>
      </c>
      <c r="S941" s="1">
        <v>46043</v>
      </c>
      <c r="W941" s="1">
        <v>33660</v>
      </c>
      <c r="X941" t="s">
        <v>1954</v>
      </c>
      <c r="Y941" t="s">
        <v>2805</v>
      </c>
      <c r="Z941" t="s">
        <v>2363</v>
      </c>
      <c r="AA941" t="s">
        <v>1415</v>
      </c>
      <c r="AB941" t="s">
        <v>5191</v>
      </c>
      <c r="AC941">
        <v>7391702297</v>
      </c>
    </row>
    <row r="942" spans="1:29" x14ac:dyDescent="0.3">
      <c r="A942" t="s">
        <v>1405</v>
      </c>
      <c r="B942" t="s">
        <v>2302</v>
      </c>
      <c r="C942" t="s">
        <v>5192</v>
      </c>
      <c r="D942">
        <v>172128390</v>
      </c>
      <c r="E942">
        <v>6087661903</v>
      </c>
      <c r="F942">
        <v>1004021946</v>
      </c>
      <c r="G942" s="1">
        <v>46104</v>
      </c>
      <c r="H942" t="s">
        <v>1360</v>
      </c>
      <c r="I942" t="s">
        <v>1374</v>
      </c>
      <c r="J942" t="s">
        <v>2308</v>
      </c>
      <c r="K942" t="s">
        <v>2313</v>
      </c>
      <c r="L942" t="s">
        <v>2305</v>
      </c>
      <c r="M942" t="s">
        <v>1421</v>
      </c>
      <c r="N942" t="s">
        <v>1422</v>
      </c>
      <c r="O942" t="s">
        <v>1411</v>
      </c>
      <c r="P942" t="s">
        <v>1411</v>
      </c>
      <c r="Q942" t="s">
        <v>1412</v>
      </c>
      <c r="S942" s="1">
        <v>46099</v>
      </c>
      <c r="W942" s="1">
        <v>30908</v>
      </c>
      <c r="X942" t="s">
        <v>1613</v>
      </c>
      <c r="Y942" t="s">
        <v>3882</v>
      </c>
      <c r="Z942" t="s">
        <v>3132</v>
      </c>
      <c r="AA942" t="s">
        <v>1415</v>
      </c>
      <c r="AB942" t="s">
        <v>5193</v>
      </c>
      <c r="AC942">
        <v>98987444388</v>
      </c>
    </row>
    <row r="943" spans="1:29" x14ac:dyDescent="0.3">
      <c r="A943" t="s">
        <v>1405</v>
      </c>
      <c r="B943" t="s">
        <v>2302</v>
      </c>
      <c r="C943" t="s">
        <v>5194</v>
      </c>
      <c r="D943">
        <v>70239963113</v>
      </c>
      <c r="E943">
        <v>6169557</v>
      </c>
      <c r="F943">
        <v>1004010723</v>
      </c>
      <c r="G943" s="1">
        <v>44809</v>
      </c>
      <c r="H943" t="s">
        <v>1360</v>
      </c>
      <c r="I943" t="s">
        <v>1349</v>
      </c>
      <c r="J943" t="s">
        <v>2348</v>
      </c>
      <c r="K943" t="s">
        <v>2308</v>
      </c>
      <c r="L943" t="s">
        <v>2305</v>
      </c>
      <c r="M943" t="s">
        <v>1421</v>
      </c>
      <c r="N943" t="s">
        <v>1422</v>
      </c>
      <c r="O943" t="s">
        <v>1423</v>
      </c>
      <c r="P943" t="s">
        <v>1423</v>
      </c>
      <c r="Q943" t="s">
        <v>1412</v>
      </c>
      <c r="S943" s="1">
        <v>46060</v>
      </c>
      <c r="T943" s="1">
        <v>45900</v>
      </c>
      <c r="U943" s="1">
        <v>46019</v>
      </c>
      <c r="V943" s="1">
        <v>46058</v>
      </c>
      <c r="W943" s="1">
        <v>35146</v>
      </c>
      <c r="X943" t="s">
        <v>1617</v>
      </c>
      <c r="Y943" t="s">
        <v>2233</v>
      </c>
      <c r="Z943" t="s">
        <v>2610</v>
      </c>
      <c r="AA943" t="s">
        <v>1419</v>
      </c>
      <c r="AB943" t="s">
        <v>5195</v>
      </c>
      <c r="AC943">
        <v>47988931060</v>
      </c>
    </row>
    <row r="944" spans="1:29" x14ac:dyDescent="0.3">
      <c r="A944" t="s">
        <v>1405</v>
      </c>
      <c r="B944" t="s">
        <v>2302</v>
      </c>
      <c r="C944" t="s">
        <v>5196</v>
      </c>
      <c r="D944">
        <v>5879001300</v>
      </c>
      <c r="E944" t="s">
        <v>5197</v>
      </c>
      <c r="F944">
        <v>1004015598</v>
      </c>
      <c r="G944" s="1">
        <v>45537</v>
      </c>
      <c r="H944" t="s">
        <v>1360</v>
      </c>
      <c r="I944" t="s">
        <v>1374</v>
      </c>
      <c r="J944" t="s">
        <v>2348</v>
      </c>
      <c r="K944" t="s">
        <v>2308</v>
      </c>
      <c r="L944" t="s">
        <v>2305</v>
      </c>
      <c r="M944" t="s">
        <v>1409</v>
      </c>
      <c r="N944" t="s">
        <v>1410</v>
      </c>
      <c r="O944" t="s">
        <v>1423</v>
      </c>
      <c r="P944" t="s">
        <v>1423</v>
      </c>
      <c r="Q944" t="s">
        <v>1412</v>
      </c>
      <c r="S944" s="1">
        <v>46043</v>
      </c>
      <c r="W944" s="1">
        <v>34395</v>
      </c>
      <c r="X944" t="s">
        <v>1507</v>
      </c>
      <c r="Y944" t="s">
        <v>2786</v>
      </c>
      <c r="Z944" t="s">
        <v>3479</v>
      </c>
      <c r="AA944" t="s">
        <v>1419</v>
      </c>
      <c r="AB944" t="s">
        <v>5198</v>
      </c>
      <c r="AC944">
        <v>85992088135</v>
      </c>
    </row>
    <row r="945" spans="1:29" x14ac:dyDescent="0.3">
      <c r="A945" t="s">
        <v>1405</v>
      </c>
      <c r="B945" t="s">
        <v>2302</v>
      </c>
      <c r="C945" t="s">
        <v>5199</v>
      </c>
      <c r="D945">
        <v>1536878278</v>
      </c>
      <c r="E945">
        <v>23146664</v>
      </c>
      <c r="F945">
        <v>1004015107</v>
      </c>
      <c r="G945" s="1">
        <v>45453</v>
      </c>
      <c r="H945" t="s">
        <v>1360</v>
      </c>
      <c r="I945" t="s">
        <v>1349</v>
      </c>
      <c r="J945" t="s">
        <v>2348</v>
      </c>
      <c r="K945" t="s">
        <v>2308</v>
      </c>
      <c r="L945" t="s">
        <v>2305</v>
      </c>
      <c r="M945" t="s">
        <v>1409</v>
      </c>
      <c r="N945" t="s">
        <v>1647</v>
      </c>
      <c r="O945" t="s">
        <v>1411</v>
      </c>
      <c r="P945" t="s">
        <v>1411</v>
      </c>
      <c r="Q945" t="s">
        <v>1412</v>
      </c>
      <c r="S945" s="1">
        <v>45758</v>
      </c>
      <c r="V945" s="1">
        <v>45756</v>
      </c>
      <c r="W945" s="1">
        <v>33549</v>
      </c>
      <c r="X945" t="s">
        <v>4551</v>
      </c>
      <c r="Y945" t="s">
        <v>4552</v>
      </c>
      <c r="Z945" t="s">
        <v>4726</v>
      </c>
      <c r="AA945" t="s">
        <v>1419</v>
      </c>
      <c r="AB945" t="s">
        <v>5200</v>
      </c>
      <c r="AC945">
        <v>92991066762</v>
      </c>
    </row>
    <row r="946" spans="1:29" x14ac:dyDescent="0.3">
      <c r="A946" t="s">
        <v>1405</v>
      </c>
      <c r="B946" t="s">
        <v>2302</v>
      </c>
      <c r="C946" t="s">
        <v>5201</v>
      </c>
      <c r="D946">
        <v>88656640291</v>
      </c>
      <c r="E946">
        <v>4571840</v>
      </c>
      <c r="F946">
        <v>1004005705</v>
      </c>
      <c r="G946" s="1">
        <v>43909</v>
      </c>
      <c r="H946" t="s">
        <v>1360</v>
      </c>
      <c r="I946" t="s">
        <v>1374</v>
      </c>
      <c r="J946" t="s">
        <v>2308</v>
      </c>
      <c r="K946" t="s">
        <v>2313</v>
      </c>
      <c r="L946" t="s">
        <v>2305</v>
      </c>
      <c r="M946" t="s">
        <v>1409</v>
      </c>
      <c r="N946" t="s">
        <v>1410</v>
      </c>
      <c r="O946" t="s">
        <v>1462</v>
      </c>
      <c r="P946" t="s">
        <v>1462</v>
      </c>
      <c r="Q946" t="s">
        <v>1412</v>
      </c>
      <c r="S946" s="1">
        <v>46043</v>
      </c>
      <c r="W946" s="1">
        <v>30550</v>
      </c>
      <c r="X946" t="s">
        <v>5202</v>
      </c>
      <c r="Y946" t="s">
        <v>5203</v>
      </c>
      <c r="Z946" t="s">
        <v>5204</v>
      </c>
      <c r="AA946" t="s">
        <v>1419</v>
      </c>
      <c r="AB946" t="s">
        <v>5205</v>
      </c>
      <c r="AC946">
        <v>94991267576</v>
      </c>
    </row>
    <row r="947" spans="1:29" x14ac:dyDescent="0.3">
      <c r="A947" t="s">
        <v>1405</v>
      </c>
      <c r="B947" t="s">
        <v>2302</v>
      </c>
      <c r="C947" t="s">
        <v>5206</v>
      </c>
      <c r="D947">
        <v>3611803308</v>
      </c>
      <c r="E947">
        <v>239000920031</v>
      </c>
      <c r="F947">
        <v>1004005347</v>
      </c>
      <c r="G947" s="1">
        <v>43878</v>
      </c>
      <c r="H947" t="s">
        <v>1360</v>
      </c>
      <c r="I947" t="s">
        <v>1374</v>
      </c>
      <c r="J947" t="s">
        <v>2308</v>
      </c>
      <c r="K947" t="s">
        <v>2313</v>
      </c>
      <c r="L947" t="s">
        <v>2305</v>
      </c>
      <c r="M947" t="s">
        <v>1409</v>
      </c>
      <c r="N947" t="s">
        <v>1410</v>
      </c>
      <c r="O947" t="s">
        <v>1462</v>
      </c>
      <c r="P947" t="s">
        <v>1462</v>
      </c>
      <c r="Q947" t="s">
        <v>1412</v>
      </c>
      <c r="S947" s="1">
        <v>46069</v>
      </c>
      <c r="W947" s="1">
        <v>32425</v>
      </c>
      <c r="X947" t="s">
        <v>1519</v>
      </c>
      <c r="Y947" t="s">
        <v>1823</v>
      </c>
      <c r="Z947" t="s">
        <v>3637</v>
      </c>
      <c r="AA947" t="s">
        <v>1415</v>
      </c>
      <c r="AB947" t="s">
        <v>5207</v>
      </c>
      <c r="AC947">
        <v>98985124043</v>
      </c>
    </row>
    <row r="948" spans="1:29" x14ac:dyDescent="0.3">
      <c r="A948" t="s">
        <v>1405</v>
      </c>
      <c r="B948" t="s">
        <v>2302</v>
      </c>
      <c r="C948" t="s">
        <v>5208</v>
      </c>
      <c r="D948">
        <v>98484214249</v>
      </c>
      <c r="E948">
        <v>5752500</v>
      </c>
      <c r="F948">
        <v>1004013946</v>
      </c>
      <c r="G948" s="1">
        <v>45344</v>
      </c>
      <c r="H948" t="s">
        <v>1360</v>
      </c>
      <c r="I948" t="s">
        <v>1374</v>
      </c>
      <c r="J948" t="s">
        <v>1361</v>
      </c>
      <c r="K948" t="s">
        <v>2308</v>
      </c>
      <c r="L948" t="s">
        <v>2305</v>
      </c>
      <c r="M948" t="s">
        <v>1409</v>
      </c>
      <c r="N948" t="s">
        <v>1410</v>
      </c>
      <c r="O948" t="s">
        <v>1411</v>
      </c>
      <c r="P948" t="s">
        <v>1411</v>
      </c>
      <c r="Q948" t="s">
        <v>1412</v>
      </c>
      <c r="S948" s="1">
        <v>46043</v>
      </c>
      <c r="W948" s="1">
        <v>32480</v>
      </c>
      <c r="X948" t="s">
        <v>3748</v>
      </c>
      <c r="Y948" t="s">
        <v>3749</v>
      </c>
      <c r="Z948" t="s">
        <v>2554</v>
      </c>
      <c r="AA948" t="s">
        <v>1415</v>
      </c>
      <c r="AB948" t="s">
        <v>5209</v>
      </c>
      <c r="AC948">
        <v>91984761668</v>
      </c>
    </row>
    <row r="949" spans="1:29" x14ac:dyDescent="0.3">
      <c r="A949" t="s">
        <v>1405</v>
      </c>
      <c r="B949" t="s">
        <v>2302</v>
      </c>
      <c r="C949" t="s">
        <v>5210</v>
      </c>
      <c r="D949">
        <v>29826721034</v>
      </c>
      <c r="E949">
        <v>1007464711</v>
      </c>
      <c r="F949">
        <v>42004200590</v>
      </c>
      <c r="G949" s="1">
        <v>41687</v>
      </c>
      <c r="H949" t="s">
        <v>1360</v>
      </c>
      <c r="I949" t="s">
        <v>1349</v>
      </c>
      <c r="J949" t="s">
        <v>2308</v>
      </c>
      <c r="K949" t="s">
        <v>2313</v>
      </c>
      <c r="L949" t="s">
        <v>2305</v>
      </c>
      <c r="M949" t="s">
        <v>1447</v>
      </c>
      <c r="N949" t="s">
        <v>1448</v>
      </c>
      <c r="O949" t="s">
        <v>1423</v>
      </c>
      <c r="P949" t="s">
        <v>1423</v>
      </c>
      <c r="Q949" t="s">
        <v>1412</v>
      </c>
      <c r="S949" s="1">
        <v>46060</v>
      </c>
      <c r="V949" s="1">
        <v>46057</v>
      </c>
      <c r="W949" s="1">
        <v>22250</v>
      </c>
      <c r="X949" t="s">
        <v>1485</v>
      </c>
      <c r="Y949" t="s">
        <v>1756</v>
      </c>
      <c r="Z949" t="s">
        <v>2378</v>
      </c>
      <c r="AA949" t="s">
        <v>1415</v>
      </c>
      <c r="AB949" t="s">
        <v>5211</v>
      </c>
      <c r="AC949">
        <v>5134766005</v>
      </c>
    </row>
    <row r="950" spans="1:29" x14ac:dyDescent="0.3">
      <c r="A950" t="s">
        <v>1405</v>
      </c>
      <c r="B950" t="s">
        <v>2302</v>
      </c>
      <c r="C950" t="s">
        <v>5212</v>
      </c>
      <c r="D950">
        <v>3565023503</v>
      </c>
      <c r="E950">
        <v>1410109089</v>
      </c>
      <c r="F950">
        <v>1004017551</v>
      </c>
      <c r="G950" s="1">
        <v>45754</v>
      </c>
      <c r="H950" t="s">
        <v>1360</v>
      </c>
      <c r="I950" t="s">
        <v>1349</v>
      </c>
      <c r="J950" t="s">
        <v>1361</v>
      </c>
      <c r="K950" t="s">
        <v>2308</v>
      </c>
      <c r="L950" t="s">
        <v>2305</v>
      </c>
      <c r="M950" t="s">
        <v>1447</v>
      </c>
      <c r="N950" t="s">
        <v>1448</v>
      </c>
      <c r="O950" t="s">
        <v>1462</v>
      </c>
      <c r="P950" t="s">
        <v>1462</v>
      </c>
      <c r="Q950" t="s">
        <v>1412</v>
      </c>
      <c r="S950" s="1">
        <v>45800</v>
      </c>
      <c r="V950" s="1">
        <v>45797</v>
      </c>
      <c r="W950" s="1">
        <v>33447</v>
      </c>
      <c r="X950" t="s">
        <v>5213</v>
      </c>
      <c r="Z950" t="s">
        <v>2663</v>
      </c>
      <c r="AA950" t="s">
        <v>1415</v>
      </c>
      <c r="AB950" t="s">
        <v>5214</v>
      </c>
      <c r="AC950">
        <v>3189817781</v>
      </c>
    </row>
    <row r="951" spans="1:29" x14ac:dyDescent="0.3">
      <c r="A951" t="s">
        <v>1405</v>
      </c>
      <c r="B951" t="s">
        <v>2302</v>
      </c>
      <c r="C951" t="s">
        <v>5215</v>
      </c>
      <c r="D951">
        <v>65316959353</v>
      </c>
      <c r="E951">
        <v>2003029129651</v>
      </c>
      <c r="F951">
        <v>1004010498</v>
      </c>
      <c r="G951" s="1">
        <v>44782</v>
      </c>
      <c r="H951" t="s">
        <v>1360</v>
      </c>
      <c r="I951" t="s">
        <v>1349</v>
      </c>
      <c r="J951">
        <v>6</v>
      </c>
      <c r="K951" t="s">
        <v>2444</v>
      </c>
      <c r="L951" t="s">
        <v>2305</v>
      </c>
      <c r="M951" t="s">
        <v>1421</v>
      </c>
      <c r="N951" t="s">
        <v>1410</v>
      </c>
      <c r="O951" t="s">
        <v>1423</v>
      </c>
      <c r="P951" t="s">
        <v>1423</v>
      </c>
      <c r="Q951" t="s">
        <v>1412</v>
      </c>
      <c r="S951" s="1">
        <v>46073</v>
      </c>
      <c r="V951" s="1">
        <v>46072</v>
      </c>
      <c r="W951" s="1">
        <v>31943</v>
      </c>
      <c r="X951" t="s">
        <v>5216</v>
      </c>
      <c r="Z951" t="s">
        <v>5217</v>
      </c>
      <c r="AA951" t="s">
        <v>1415</v>
      </c>
      <c r="AB951" t="s">
        <v>141</v>
      </c>
      <c r="AC951">
        <v>88996000861</v>
      </c>
    </row>
    <row r="952" spans="1:29" x14ac:dyDescent="0.3">
      <c r="A952" t="s">
        <v>1405</v>
      </c>
      <c r="B952" t="s">
        <v>2302</v>
      </c>
      <c r="C952" t="s">
        <v>5218</v>
      </c>
      <c r="D952">
        <v>11482647605</v>
      </c>
      <c r="E952" s="3">
        <v>12706423</v>
      </c>
      <c r="F952">
        <v>1004016174</v>
      </c>
      <c r="G952" s="1">
        <v>45600</v>
      </c>
      <c r="H952" t="s">
        <v>1360</v>
      </c>
      <c r="I952" t="s">
        <v>1349</v>
      </c>
      <c r="J952" t="s">
        <v>1361</v>
      </c>
      <c r="K952" t="s">
        <v>2308</v>
      </c>
      <c r="L952" t="s">
        <v>2305</v>
      </c>
      <c r="M952" t="s">
        <v>1409</v>
      </c>
      <c r="N952" t="s">
        <v>1410</v>
      </c>
      <c r="O952" t="s">
        <v>1462</v>
      </c>
      <c r="P952" t="s">
        <v>1462</v>
      </c>
      <c r="Q952" t="s">
        <v>1412</v>
      </c>
      <c r="S952" s="1">
        <v>46122</v>
      </c>
      <c r="V952" s="1">
        <v>46118</v>
      </c>
      <c r="W952" s="1">
        <v>34286</v>
      </c>
      <c r="X952" t="s">
        <v>5219</v>
      </c>
      <c r="Y952" t="s">
        <v>5220</v>
      </c>
      <c r="Z952" t="s">
        <v>5221</v>
      </c>
      <c r="AA952" t="s">
        <v>1415</v>
      </c>
      <c r="AB952" t="s">
        <v>5222</v>
      </c>
      <c r="AC952">
        <v>38991516487</v>
      </c>
    </row>
    <row r="953" spans="1:29" x14ac:dyDescent="0.3">
      <c r="A953" t="s">
        <v>1405</v>
      </c>
      <c r="B953" t="s">
        <v>2302</v>
      </c>
      <c r="C953" t="s">
        <v>5223</v>
      </c>
      <c r="D953">
        <v>21527546896</v>
      </c>
      <c r="E953" t="s">
        <v>5224</v>
      </c>
      <c r="F953">
        <v>1004014042</v>
      </c>
      <c r="G953" s="1">
        <v>45356</v>
      </c>
      <c r="H953" t="s">
        <v>1360</v>
      </c>
      <c r="I953" t="s">
        <v>1374</v>
      </c>
      <c r="J953" t="s">
        <v>1361</v>
      </c>
      <c r="K953" t="s">
        <v>2308</v>
      </c>
      <c r="L953" t="s">
        <v>2305</v>
      </c>
      <c r="M953" t="s">
        <v>1409</v>
      </c>
      <c r="N953" t="s">
        <v>1410</v>
      </c>
      <c r="O953" t="s">
        <v>1411</v>
      </c>
      <c r="P953" t="s">
        <v>1411</v>
      </c>
      <c r="Q953" t="s">
        <v>1412</v>
      </c>
      <c r="S953" s="1">
        <v>46043</v>
      </c>
      <c r="W953" s="1">
        <v>29041</v>
      </c>
      <c r="X953" t="s">
        <v>1900</v>
      </c>
      <c r="Z953" t="s">
        <v>4511</v>
      </c>
      <c r="AA953" t="s">
        <v>1419</v>
      </c>
      <c r="AB953" t="s">
        <v>5225</v>
      </c>
      <c r="AC953">
        <v>47989106840</v>
      </c>
    </row>
    <row r="954" spans="1:29" x14ac:dyDescent="0.3">
      <c r="A954" t="s">
        <v>1405</v>
      </c>
      <c r="B954" t="s">
        <v>2302</v>
      </c>
      <c r="C954" t="s">
        <v>5226</v>
      </c>
      <c r="D954">
        <v>89724917053</v>
      </c>
      <c r="E954">
        <v>1052450481</v>
      </c>
      <c r="F954">
        <v>1004009507</v>
      </c>
      <c r="G954" s="1">
        <v>44642</v>
      </c>
      <c r="H954" t="s">
        <v>1360</v>
      </c>
      <c r="I954" t="s">
        <v>1349</v>
      </c>
      <c r="J954" t="s">
        <v>2348</v>
      </c>
      <c r="K954" t="s">
        <v>2308</v>
      </c>
      <c r="L954" t="s">
        <v>2305</v>
      </c>
      <c r="M954" t="s">
        <v>1409</v>
      </c>
      <c r="N954" t="s">
        <v>1410</v>
      </c>
      <c r="O954" t="s">
        <v>1423</v>
      </c>
      <c r="P954" t="s">
        <v>1423</v>
      </c>
      <c r="Q954" t="s">
        <v>1412</v>
      </c>
      <c r="S954" s="1">
        <v>45848</v>
      </c>
      <c r="V954" s="1">
        <v>45846</v>
      </c>
      <c r="W954" s="1">
        <v>27578</v>
      </c>
      <c r="X954" t="s">
        <v>5227</v>
      </c>
      <c r="Y954" t="s">
        <v>5228</v>
      </c>
      <c r="Z954" t="s">
        <v>2702</v>
      </c>
      <c r="AA954" t="s">
        <v>1419</v>
      </c>
      <c r="AB954" t="s">
        <v>5229</v>
      </c>
      <c r="AC954">
        <v>51999447878</v>
      </c>
    </row>
    <row r="955" spans="1:29" x14ac:dyDescent="0.3">
      <c r="A955" t="s">
        <v>1405</v>
      </c>
      <c r="B955" t="s">
        <v>2302</v>
      </c>
      <c r="C955" t="s">
        <v>5230</v>
      </c>
      <c r="D955">
        <v>88746763368</v>
      </c>
      <c r="E955">
        <v>20077031851</v>
      </c>
      <c r="F955">
        <v>1004005773</v>
      </c>
      <c r="G955" s="1">
        <v>43911</v>
      </c>
      <c r="H955" t="s">
        <v>1360</v>
      </c>
      <c r="I955" t="s">
        <v>1374</v>
      </c>
      <c r="J955" t="s">
        <v>2308</v>
      </c>
      <c r="K955" t="s">
        <v>2313</v>
      </c>
      <c r="L955" t="s">
        <v>2305</v>
      </c>
      <c r="M955" t="s">
        <v>1442</v>
      </c>
      <c r="N955" t="s">
        <v>1443</v>
      </c>
      <c r="O955" t="s">
        <v>1423</v>
      </c>
      <c r="P955" t="s">
        <v>1423</v>
      </c>
      <c r="Q955" t="s">
        <v>1412</v>
      </c>
      <c r="S955" s="1">
        <v>46043</v>
      </c>
      <c r="W955" s="1">
        <v>29787</v>
      </c>
      <c r="X955" t="s">
        <v>1869</v>
      </c>
      <c r="Z955" t="s">
        <v>2791</v>
      </c>
      <c r="AA955" t="s">
        <v>1419</v>
      </c>
      <c r="AB955" t="s">
        <v>5231</v>
      </c>
      <c r="AC955">
        <v>85987743477</v>
      </c>
    </row>
    <row r="956" spans="1:29" x14ac:dyDescent="0.3">
      <c r="A956" t="s">
        <v>1405</v>
      </c>
      <c r="B956" t="s">
        <v>2302</v>
      </c>
      <c r="C956" t="s">
        <v>5232</v>
      </c>
      <c r="D956">
        <v>1653536780</v>
      </c>
      <c r="E956" t="s">
        <v>5233</v>
      </c>
      <c r="F956">
        <v>1004014173</v>
      </c>
      <c r="G956" s="1">
        <v>45374</v>
      </c>
      <c r="H956" t="s">
        <v>1360</v>
      </c>
      <c r="I956" t="s">
        <v>1349</v>
      </c>
      <c r="J956" t="s">
        <v>1361</v>
      </c>
      <c r="K956" t="s">
        <v>2308</v>
      </c>
      <c r="L956" t="s">
        <v>2305</v>
      </c>
      <c r="M956" t="s">
        <v>1409</v>
      </c>
      <c r="N956" t="s">
        <v>1410</v>
      </c>
      <c r="O956" t="s">
        <v>1423</v>
      </c>
      <c r="P956" t="s">
        <v>1423</v>
      </c>
      <c r="Q956" t="s">
        <v>1412</v>
      </c>
      <c r="S956" s="1">
        <v>45848</v>
      </c>
      <c r="V956" s="1">
        <v>45846</v>
      </c>
      <c r="W956" s="1">
        <v>27232</v>
      </c>
      <c r="X956" t="s">
        <v>1721</v>
      </c>
      <c r="Y956" t="s">
        <v>2171</v>
      </c>
      <c r="Z956" t="s">
        <v>5234</v>
      </c>
      <c r="AA956" t="s">
        <v>1419</v>
      </c>
      <c r="AB956" t="s">
        <v>5235</v>
      </c>
      <c r="AC956">
        <v>21988051908</v>
      </c>
    </row>
    <row r="957" spans="1:29" x14ac:dyDescent="0.3">
      <c r="A957" t="s">
        <v>1405</v>
      </c>
      <c r="B957" t="s">
        <v>2302</v>
      </c>
      <c r="C957" t="s">
        <v>5236</v>
      </c>
      <c r="D957">
        <v>4945244561</v>
      </c>
      <c r="E957">
        <v>1327132508</v>
      </c>
      <c r="F957">
        <v>1004010004</v>
      </c>
      <c r="G957" s="1">
        <v>44705</v>
      </c>
      <c r="H957" t="s">
        <v>1360</v>
      </c>
      <c r="I957" t="s">
        <v>1374</v>
      </c>
      <c r="J957" t="s">
        <v>1361</v>
      </c>
      <c r="K957" t="s">
        <v>2308</v>
      </c>
      <c r="L957" t="s">
        <v>2305</v>
      </c>
      <c r="M957" t="s">
        <v>1409</v>
      </c>
      <c r="N957" t="s">
        <v>1410</v>
      </c>
      <c r="O957" t="s">
        <v>1423</v>
      </c>
      <c r="P957" t="s">
        <v>1423</v>
      </c>
      <c r="Q957" t="s">
        <v>1412</v>
      </c>
      <c r="S957" s="1">
        <v>46043</v>
      </c>
      <c r="W957" s="1">
        <v>32635</v>
      </c>
      <c r="X957" t="s">
        <v>4774</v>
      </c>
      <c r="Y957" t="s">
        <v>5237</v>
      </c>
      <c r="Z957" t="s">
        <v>4776</v>
      </c>
      <c r="AA957" t="s">
        <v>1419</v>
      </c>
      <c r="AB957" t="s">
        <v>5238</v>
      </c>
      <c r="AC957">
        <v>75999127497</v>
      </c>
    </row>
    <row r="958" spans="1:29" x14ac:dyDescent="0.3">
      <c r="A958" t="s">
        <v>1405</v>
      </c>
      <c r="B958" t="s">
        <v>2302</v>
      </c>
      <c r="C958" t="s">
        <v>5239</v>
      </c>
      <c r="D958">
        <v>48183997600</v>
      </c>
      <c r="E958">
        <v>2170346</v>
      </c>
      <c r="F958">
        <v>1004015314</v>
      </c>
      <c r="G958" s="1">
        <v>45511</v>
      </c>
      <c r="H958" t="s">
        <v>1360</v>
      </c>
      <c r="I958" t="s">
        <v>1349</v>
      </c>
      <c r="J958" t="s">
        <v>1361</v>
      </c>
      <c r="K958" t="s">
        <v>2308</v>
      </c>
      <c r="L958" t="s">
        <v>2305</v>
      </c>
      <c r="M958" t="s">
        <v>1447</v>
      </c>
      <c r="N958" t="s">
        <v>1448</v>
      </c>
      <c r="O958" t="s">
        <v>1423</v>
      </c>
      <c r="P958" t="s">
        <v>1423</v>
      </c>
      <c r="Q958" t="s">
        <v>1412</v>
      </c>
      <c r="S958" s="1">
        <v>45856</v>
      </c>
      <c r="V958" s="1">
        <v>45854</v>
      </c>
      <c r="W958" s="1">
        <v>22733</v>
      </c>
      <c r="X958" t="s">
        <v>1986</v>
      </c>
      <c r="Z958" t="s">
        <v>2974</v>
      </c>
      <c r="AA958" t="s">
        <v>1419</v>
      </c>
      <c r="AB958" t="s">
        <v>5240</v>
      </c>
      <c r="AC958">
        <v>65998119747</v>
      </c>
    </row>
    <row r="959" spans="1:29" x14ac:dyDescent="0.3">
      <c r="A959" t="s">
        <v>1405</v>
      </c>
      <c r="B959" t="s">
        <v>2302</v>
      </c>
      <c r="C959" t="s">
        <v>5241</v>
      </c>
      <c r="D959">
        <v>4646279908</v>
      </c>
      <c r="E959">
        <v>4791427</v>
      </c>
      <c r="F959">
        <v>1004008127</v>
      </c>
      <c r="G959" s="1">
        <v>44358</v>
      </c>
      <c r="H959" t="s">
        <v>1360</v>
      </c>
      <c r="I959" t="s">
        <v>1349</v>
      </c>
      <c r="J959" t="s">
        <v>1361</v>
      </c>
      <c r="K959" t="s">
        <v>2308</v>
      </c>
      <c r="L959" t="s">
        <v>2305</v>
      </c>
      <c r="M959" t="s">
        <v>1447</v>
      </c>
      <c r="N959" t="s">
        <v>1448</v>
      </c>
      <c r="O959" t="s">
        <v>1423</v>
      </c>
      <c r="P959" t="s">
        <v>1423</v>
      </c>
      <c r="Q959" t="s">
        <v>1412</v>
      </c>
      <c r="S959" s="1">
        <v>45756</v>
      </c>
      <c r="V959" s="1">
        <v>45754</v>
      </c>
      <c r="W959" s="1">
        <v>31699</v>
      </c>
      <c r="X959" t="s">
        <v>1494</v>
      </c>
      <c r="Y959" t="s">
        <v>5242</v>
      </c>
      <c r="Z959" t="s">
        <v>5243</v>
      </c>
      <c r="AA959" t="s">
        <v>1419</v>
      </c>
      <c r="AB959" t="s">
        <v>5244</v>
      </c>
      <c r="AC959">
        <v>49998155783</v>
      </c>
    </row>
    <row r="960" spans="1:29" x14ac:dyDescent="0.3">
      <c r="A960" t="s">
        <v>1405</v>
      </c>
      <c r="B960" t="s">
        <v>2302</v>
      </c>
      <c r="C960" t="s">
        <v>5245</v>
      </c>
      <c r="D960">
        <v>72130458149</v>
      </c>
      <c r="E960" t="s">
        <v>5246</v>
      </c>
      <c r="F960">
        <v>1004006916</v>
      </c>
      <c r="G960" s="1">
        <v>44089</v>
      </c>
      <c r="H960" t="s">
        <v>1360</v>
      </c>
      <c r="I960" t="s">
        <v>1349</v>
      </c>
      <c r="J960" t="s">
        <v>2308</v>
      </c>
      <c r="K960" t="s">
        <v>2313</v>
      </c>
      <c r="L960" t="s">
        <v>2305</v>
      </c>
      <c r="M960" t="s">
        <v>1409</v>
      </c>
      <c r="N960" t="s">
        <v>1410</v>
      </c>
      <c r="O960" t="s">
        <v>1411</v>
      </c>
      <c r="P960" t="s">
        <v>1411</v>
      </c>
      <c r="Q960" t="s">
        <v>1412</v>
      </c>
      <c r="S960" s="1">
        <v>45856</v>
      </c>
      <c r="V960" s="1">
        <v>45854</v>
      </c>
      <c r="W960" s="1">
        <v>31231</v>
      </c>
      <c r="X960" t="s">
        <v>1858</v>
      </c>
      <c r="Y960" t="s">
        <v>1762</v>
      </c>
      <c r="Z960" t="s">
        <v>2974</v>
      </c>
      <c r="AA960" t="s">
        <v>1415</v>
      </c>
      <c r="AB960" t="s">
        <v>5247</v>
      </c>
      <c r="AC960">
        <v>65992911000</v>
      </c>
    </row>
    <row r="961" spans="1:29" x14ac:dyDescent="0.3">
      <c r="A961" t="s">
        <v>1405</v>
      </c>
      <c r="B961" t="s">
        <v>2302</v>
      </c>
      <c r="C961" t="s">
        <v>5248</v>
      </c>
      <c r="D961">
        <v>5848600562</v>
      </c>
      <c r="E961" t="s">
        <v>5249</v>
      </c>
      <c r="F961">
        <v>1004015100</v>
      </c>
      <c r="G961" s="1">
        <v>45456</v>
      </c>
      <c r="H961" t="s">
        <v>1360</v>
      </c>
      <c r="I961" t="s">
        <v>1374</v>
      </c>
      <c r="J961" t="s">
        <v>1361</v>
      </c>
      <c r="K961" t="s">
        <v>2308</v>
      </c>
      <c r="L961" t="s">
        <v>2305</v>
      </c>
      <c r="M961" t="s">
        <v>1421</v>
      </c>
      <c r="N961" t="s">
        <v>1422</v>
      </c>
      <c r="O961" t="s">
        <v>1411</v>
      </c>
      <c r="P961" t="s">
        <v>1411</v>
      </c>
      <c r="Q961" t="s">
        <v>1412</v>
      </c>
      <c r="S961" s="1">
        <v>46043</v>
      </c>
      <c r="W961" s="1">
        <v>34692</v>
      </c>
      <c r="X961" t="s">
        <v>1479</v>
      </c>
      <c r="Y961" t="s">
        <v>3151</v>
      </c>
      <c r="Z961" t="s">
        <v>2837</v>
      </c>
      <c r="AA961" t="s">
        <v>1415</v>
      </c>
      <c r="AB961" t="s">
        <v>5250</v>
      </c>
      <c r="AC961">
        <v>61996353108</v>
      </c>
    </row>
    <row r="962" spans="1:29" x14ac:dyDescent="0.3">
      <c r="A962" t="s">
        <v>1405</v>
      </c>
      <c r="B962" t="s">
        <v>2302</v>
      </c>
      <c r="C962" t="s">
        <v>5251</v>
      </c>
      <c r="D962">
        <v>84626798268</v>
      </c>
      <c r="E962">
        <v>84626798268</v>
      </c>
      <c r="F962">
        <v>1004018234</v>
      </c>
      <c r="G962" s="1">
        <v>45810</v>
      </c>
      <c r="H962" t="s">
        <v>1360</v>
      </c>
      <c r="I962" t="s">
        <v>1374</v>
      </c>
      <c r="J962" t="s">
        <v>1361</v>
      </c>
      <c r="K962" t="s">
        <v>2308</v>
      </c>
      <c r="L962" t="s">
        <v>2305</v>
      </c>
      <c r="M962" t="s">
        <v>1409</v>
      </c>
      <c r="N962" t="s">
        <v>1410</v>
      </c>
      <c r="O962" t="s">
        <v>1411</v>
      </c>
      <c r="P962" t="s">
        <v>1411</v>
      </c>
      <c r="Q962" t="s">
        <v>1412</v>
      </c>
      <c r="S962" s="1">
        <v>46043</v>
      </c>
      <c r="W962" s="1">
        <v>31877</v>
      </c>
      <c r="X962" t="s">
        <v>1883</v>
      </c>
      <c r="Z962" t="s">
        <v>3872</v>
      </c>
      <c r="AA962" t="s">
        <v>1415</v>
      </c>
      <c r="AB962" t="s">
        <v>652</v>
      </c>
      <c r="AC962">
        <v>6984473051</v>
      </c>
    </row>
    <row r="963" spans="1:29" x14ac:dyDescent="0.3">
      <c r="A963" t="s">
        <v>1405</v>
      </c>
      <c r="B963" t="s">
        <v>2302</v>
      </c>
      <c r="C963" t="s">
        <v>5252</v>
      </c>
      <c r="D963">
        <v>8923210919</v>
      </c>
      <c r="E963">
        <v>103481406</v>
      </c>
      <c r="F963">
        <v>1004007669</v>
      </c>
      <c r="G963" s="1">
        <v>44293</v>
      </c>
      <c r="H963" t="s">
        <v>1360</v>
      </c>
      <c r="I963" t="s">
        <v>1349</v>
      </c>
      <c r="J963" t="s">
        <v>2308</v>
      </c>
      <c r="K963" t="s">
        <v>2313</v>
      </c>
      <c r="L963" t="s">
        <v>2305</v>
      </c>
      <c r="M963" t="s">
        <v>1447</v>
      </c>
      <c r="N963" t="s">
        <v>1448</v>
      </c>
      <c r="O963" t="s">
        <v>1423</v>
      </c>
      <c r="P963" t="s">
        <v>1423</v>
      </c>
      <c r="Q963" t="s">
        <v>1412</v>
      </c>
      <c r="S963" s="1">
        <v>45733</v>
      </c>
      <c r="V963" s="1">
        <v>45717</v>
      </c>
      <c r="W963" s="1">
        <v>34565</v>
      </c>
      <c r="X963" t="s">
        <v>2246</v>
      </c>
      <c r="Y963" t="s">
        <v>3944</v>
      </c>
      <c r="Z963" t="s">
        <v>2469</v>
      </c>
      <c r="AA963" t="s">
        <v>1419</v>
      </c>
      <c r="AB963" t="s">
        <v>5253</v>
      </c>
      <c r="AC963">
        <v>42998163914</v>
      </c>
    </row>
    <row r="964" spans="1:29" x14ac:dyDescent="0.3">
      <c r="A964" t="s">
        <v>1405</v>
      </c>
      <c r="B964" t="s">
        <v>2302</v>
      </c>
      <c r="C964" t="s">
        <v>5254</v>
      </c>
      <c r="D964">
        <v>64177769649</v>
      </c>
      <c r="E964">
        <v>4005769</v>
      </c>
      <c r="F964">
        <v>1004012739</v>
      </c>
      <c r="G964" s="1">
        <v>45167</v>
      </c>
      <c r="H964" t="s">
        <v>1360</v>
      </c>
      <c r="I964" t="s">
        <v>2317</v>
      </c>
      <c r="J964" t="s">
        <v>2348</v>
      </c>
      <c r="K964" t="s">
        <v>2308</v>
      </c>
      <c r="L964" t="s">
        <v>2305</v>
      </c>
      <c r="M964" t="s">
        <v>1421</v>
      </c>
      <c r="N964" t="s">
        <v>1422</v>
      </c>
      <c r="O964" t="s">
        <v>1423</v>
      </c>
      <c r="P964" t="s">
        <v>1423</v>
      </c>
      <c r="Q964" t="s">
        <v>1412</v>
      </c>
      <c r="S964" s="1">
        <v>45663</v>
      </c>
      <c r="T964" s="1">
        <v>45484</v>
      </c>
      <c r="W964" s="1">
        <v>24479</v>
      </c>
      <c r="X964" t="s">
        <v>5255</v>
      </c>
      <c r="Z964" t="s">
        <v>2409</v>
      </c>
      <c r="AA964" t="s">
        <v>1419</v>
      </c>
      <c r="AB964" t="s">
        <v>5256</v>
      </c>
      <c r="AC964">
        <v>22998748544</v>
      </c>
    </row>
    <row r="965" spans="1:29" x14ac:dyDescent="0.3">
      <c r="A965" t="s">
        <v>1405</v>
      </c>
      <c r="B965" t="s">
        <v>2302</v>
      </c>
      <c r="C965" t="s">
        <v>5257</v>
      </c>
      <c r="D965">
        <v>31912184249</v>
      </c>
      <c r="E965">
        <v>1424322</v>
      </c>
      <c r="F965">
        <v>42004202584</v>
      </c>
      <c r="G965" s="1">
        <v>42583</v>
      </c>
      <c r="H965" t="s">
        <v>1360</v>
      </c>
      <c r="I965" t="s">
        <v>1374</v>
      </c>
      <c r="J965" t="s">
        <v>2308</v>
      </c>
      <c r="K965" t="s">
        <v>2313</v>
      </c>
      <c r="L965" t="s">
        <v>2305</v>
      </c>
      <c r="M965" t="s">
        <v>1409</v>
      </c>
      <c r="N965" t="s">
        <v>1410</v>
      </c>
      <c r="O965" t="s">
        <v>1423</v>
      </c>
      <c r="P965" t="s">
        <v>1423</v>
      </c>
      <c r="Q965" t="s">
        <v>1412</v>
      </c>
      <c r="S965" s="1">
        <v>46043</v>
      </c>
      <c r="W965" s="1">
        <v>25510</v>
      </c>
      <c r="X965" t="s">
        <v>4080</v>
      </c>
      <c r="Y965" t="s">
        <v>2058</v>
      </c>
      <c r="Z965" t="s">
        <v>2633</v>
      </c>
      <c r="AA965" t="s">
        <v>1415</v>
      </c>
      <c r="AB965" t="s">
        <v>5258</v>
      </c>
      <c r="AC965">
        <v>91981415669</v>
      </c>
    </row>
    <row r="966" spans="1:29" x14ac:dyDescent="0.3">
      <c r="A966" t="s">
        <v>1405</v>
      </c>
      <c r="B966" t="s">
        <v>2302</v>
      </c>
      <c r="C966" t="s">
        <v>5259</v>
      </c>
      <c r="D966">
        <v>73028355353</v>
      </c>
      <c r="E966" t="s">
        <v>5260</v>
      </c>
      <c r="F966">
        <v>1004015098</v>
      </c>
      <c r="G966" s="1">
        <v>45454</v>
      </c>
      <c r="H966" t="s">
        <v>1360</v>
      </c>
      <c r="I966" t="s">
        <v>1374</v>
      </c>
      <c r="J966" t="s">
        <v>1361</v>
      </c>
      <c r="K966" t="s">
        <v>2308</v>
      </c>
      <c r="L966" t="s">
        <v>2305</v>
      </c>
      <c r="M966" t="s">
        <v>1409</v>
      </c>
      <c r="N966" t="s">
        <v>1410</v>
      </c>
      <c r="O966" t="s">
        <v>1411</v>
      </c>
      <c r="P966" t="s">
        <v>1411</v>
      </c>
      <c r="Q966" t="s">
        <v>1412</v>
      </c>
      <c r="S966" s="1">
        <v>46043</v>
      </c>
      <c r="W966" s="1">
        <v>27904</v>
      </c>
      <c r="X966" t="s">
        <v>2504</v>
      </c>
      <c r="Y966" t="s">
        <v>4083</v>
      </c>
      <c r="Z966" t="s">
        <v>2506</v>
      </c>
      <c r="AA966" t="s">
        <v>1419</v>
      </c>
      <c r="AB966" t="s">
        <v>5261</v>
      </c>
      <c r="AC966">
        <v>88996351289</v>
      </c>
    </row>
    <row r="967" spans="1:29" x14ac:dyDescent="0.3">
      <c r="A967" t="s">
        <v>1405</v>
      </c>
      <c r="B967" t="s">
        <v>2302</v>
      </c>
      <c r="C967" t="s">
        <v>5262</v>
      </c>
      <c r="D967">
        <v>60899751091</v>
      </c>
      <c r="E967">
        <v>7048156744</v>
      </c>
      <c r="F967">
        <v>1004001461</v>
      </c>
      <c r="G967" s="1">
        <v>43160</v>
      </c>
      <c r="H967" t="s">
        <v>1360</v>
      </c>
      <c r="I967" t="s">
        <v>1374</v>
      </c>
      <c r="J967" t="s">
        <v>2308</v>
      </c>
      <c r="K967" t="s">
        <v>2313</v>
      </c>
      <c r="L967" t="s">
        <v>2305</v>
      </c>
      <c r="M967" t="s">
        <v>1447</v>
      </c>
      <c r="N967" t="s">
        <v>1448</v>
      </c>
      <c r="O967" t="s">
        <v>1423</v>
      </c>
      <c r="P967" t="s">
        <v>1423</v>
      </c>
      <c r="Q967" t="s">
        <v>1412</v>
      </c>
      <c r="S967" s="1">
        <v>46043</v>
      </c>
      <c r="W967" s="1">
        <v>26305</v>
      </c>
      <c r="X967" t="s">
        <v>5263</v>
      </c>
      <c r="Y967" t="s">
        <v>4192</v>
      </c>
      <c r="Z967" t="s">
        <v>2358</v>
      </c>
      <c r="AA967" t="s">
        <v>1419</v>
      </c>
      <c r="AB967" t="s">
        <v>5264</v>
      </c>
      <c r="AC967">
        <v>51997128312</v>
      </c>
    </row>
    <row r="968" spans="1:29" x14ac:dyDescent="0.3">
      <c r="A968" t="s">
        <v>1405</v>
      </c>
      <c r="B968" t="s">
        <v>2302</v>
      </c>
      <c r="C968" t="s">
        <v>5265</v>
      </c>
      <c r="D968">
        <v>3334388506</v>
      </c>
      <c r="E968" t="s">
        <v>5266</v>
      </c>
      <c r="F968">
        <v>1004017657</v>
      </c>
      <c r="G968" s="1">
        <v>45761</v>
      </c>
      <c r="H968" t="s">
        <v>1360</v>
      </c>
      <c r="I968" t="s">
        <v>1349</v>
      </c>
      <c r="J968" t="s">
        <v>1361</v>
      </c>
      <c r="K968" t="s">
        <v>2308</v>
      </c>
      <c r="L968" t="s">
        <v>2305</v>
      </c>
      <c r="M968" t="s">
        <v>1447</v>
      </c>
      <c r="N968" t="s">
        <v>1448</v>
      </c>
      <c r="O968" t="s">
        <v>1423</v>
      </c>
      <c r="P968" t="s">
        <v>1423</v>
      </c>
      <c r="Q968" t="s">
        <v>1412</v>
      </c>
      <c r="S968" s="1">
        <v>46071</v>
      </c>
      <c r="V968" s="1">
        <v>46067</v>
      </c>
      <c r="W968" s="1">
        <v>31825</v>
      </c>
      <c r="X968" t="s">
        <v>5267</v>
      </c>
      <c r="Z968" t="s">
        <v>4941</v>
      </c>
      <c r="AA968" t="s">
        <v>1419</v>
      </c>
      <c r="AB968" t="s">
        <v>5268</v>
      </c>
      <c r="AC968">
        <v>77999919261</v>
      </c>
    </row>
    <row r="969" spans="1:29" x14ac:dyDescent="0.3">
      <c r="A969" t="s">
        <v>1405</v>
      </c>
      <c r="B969" t="s">
        <v>2302</v>
      </c>
      <c r="C969" t="s">
        <v>5269</v>
      </c>
      <c r="D969">
        <v>95940308287</v>
      </c>
      <c r="E969">
        <v>6133288</v>
      </c>
      <c r="F969">
        <v>1004019775</v>
      </c>
      <c r="G969" s="1">
        <v>45910</v>
      </c>
      <c r="H969" t="s">
        <v>1360</v>
      </c>
      <c r="I969" t="s">
        <v>1374</v>
      </c>
      <c r="J969" t="s">
        <v>1361</v>
      </c>
      <c r="K969" t="s">
        <v>2308</v>
      </c>
      <c r="L969" t="s">
        <v>2305</v>
      </c>
      <c r="M969" t="s">
        <v>1409</v>
      </c>
      <c r="N969" t="s">
        <v>1410</v>
      </c>
      <c r="O969" t="s">
        <v>1462</v>
      </c>
      <c r="P969" t="s">
        <v>1462</v>
      </c>
      <c r="Q969" t="s">
        <v>1412</v>
      </c>
      <c r="S969" s="1">
        <v>46043</v>
      </c>
      <c r="W969" s="1">
        <v>35509</v>
      </c>
      <c r="X969" t="s">
        <v>2288</v>
      </c>
      <c r="Z969" t="s">
        <v>2532</v>
      </c>
      <c r="AA969" t="s">
        <v>1419</v>
      </c>
      <c r="AB969" t="s">
        <v>5270</v>
      </c>
      <c r="AC969">
        <v>91986084981</v>
      </c>
    </row>
    <row r="970" spans="1:29" x14ac:dyDescent="0.3">
      <c r="A970" t="s">
        <v>1405</v>
      </c>
      <c r="B970" t="s">
        <v>2302</v>
      </c>
      <c r="C970" t="s">
        <v>5271</v>
      </c>
      <c r="D970">
        <v>1544555040</v>
      </c>
      <c r="E970">
        <v>4088590916</v>
      </c>
      <c r="F970">
        <v>1004009519</v>
      </c>
      <c r="G970" s="1">
        <v>44643</v>
      </c>
      <c r="H970" t="s">
        <v>1360</v>
      </c>
      <c r="I970" t="s">
        <v>1349</v>
      </c>
      <c r="J970" t="s">
        <v>2348</v>
      </c>
      <c r="K970" t="s">
        <v>2308</v>
      </c>
      <c r="L970" t="s">
        <v>2305</v>
      </c>
      <c r="M970" t="s">
        <v>1447</v>
      </c>
      <c r="N970" t="s">
        <v>1448</v>
      </c>
      <c r="O970" t="s">
        <v>1423</v>
      </c>
      <c r="P970" t="s">
        <v>1423</v>
      </c>
      <c r="Q970" t="s">
        <v>1412</v>
      </c>
      <c r="S970" s="1">
        <v>45875</v>
      </c>
      <c r="V970" s="1">
        <v>45873</v>
      </c>
      <c r="W970" s="1">
        <v>32178</v>
      </c>
      <c r="X970" t="s">
        <v>1453</v>
      </c>
      <c r="Y970" t="s">
        <v>5272</v>
      </c>
      <c r="Z970" t="s">
        <v>4132</v>
      </c>
      <c r="AA970" t="s">
        <v>1419</v>
      </c>
      <c r="AB970" t="s">
        <v>5273</v>
      </c>
      <c r="AC970">
        <v>55991616003</v>
      </c>
    </row>
    <row r="971" spans="1:29" x14ac:dyDescent="0.3">
      <c r="A971" t="s">
        <v>1405</v>
      </c>
      <c r="B971" t="s">
        <v>2302</v>
      </c>
      <c r="C971" t="s">
        <v>5274</v>
      </c>
      <c r="D971">
        <v>7516661732</v>
      </c>
      <c r="E971" t="s">
        <v>5275</v>
      </c>
      <c r="F971">
        <v>1004014921</v>
      </c>
      <c r="G971" s="1">
        <v>45425</v>
      </c>
      <c r="H971" t="s">
        <v>1360</v>
      </c>
      <c r="I971" t="s">
        <v>1374</v>
      </c>
      <c r="J971" t="s">
        <v>1361</v>
      </c>
      <c r="K971" t="s">
        <v>2308</v>
      </c>
      <c r="L971" t="s">
        <v>2305</v>
      </c>
      <c r="M971" t="s">
        <v>1409</v>
      </c>
      <c r="N971" t="s">
        <v>1410</v>
      </c>
      <c r="O971" t="s">
        <v>1423</v>
      </c>
      <c r="P971" t="s">
        <v>1423</v>
      </c>
      <c r="Q971" t="s">
        <v>1412</v>
      </c>
      <c r="S971" s="1">
        <v>46043</v>
      </c>
      <c r="W971" s="1">
        <v>28580</v>
      </c>
      <c r="X971" t="s">
        <v>1721</v>
      </c>
      <c r="Y971" t="s">
        <v>2171</v>
      </c>
      <c r="Z971" t="s">
        <v>3193</v>
      </c>
      <c r="AA971" t="s">
        <v>1419</v>
      </c>
      <c r="AB971" t="s">
        <v>5276</v>
      </c>
      <c r="AC971">
        <v>21964720915</v>
      </c>
    </row>
    <row r="972" spans="1:29" x14ac:dyDescent="0.3">
      <c r="A972" t="s">
        <v>1405</v>
      </c>
      <c r="B972" t="s">
        <v>2302</v>
      </c>
      <c r="C972" t="s">
        <v>5277</v>
      </c>
      <c r="D972">
        <v>70402922387</v>
      </c>
      <c r="E972">
        <v>2001099043253</v>
      </c>
      <c r="F972">
        <v>1004012731</v>
      </c>
      <c r="G972" s="1">
        <v>45163</v>
      </c>
      <c r="H972" t="s">
        <v>1360</v>
      </c>
      <c r="I972" t="s">
        <v>1349</v>
      </c>
      <c r="J972" t="s">
        <v>1361</v>
      </c>
      <c r="K972" t="s">
        <v>2308</v>
      </c>
      <c r="L972" t="s">
        <v>2305</v>
      </c>
      <c r="M972" t="s">
        <v>1409</v>
      </c>
      <c r="N972" t="s">
        <v>1410</v>
      </c>
      <c r="O972" t="s">
        <v>1411</v>
      </c>
      <c r="P972" t="s">
        <v>1411</v>
      </c>
      <c r="Q972" t="s">
        <v>1412</v>
      </c>
      <c r="S972" s="1">
        <v>45887</v>
      </c>
      <c r="V972" s="1">
        <v>45882</v>
      </c>
      <c r="W972" s="1">
        <v>27614</v>
      </c>
      <c r="X972" t="s">
        <v>4701</v>
      </c>
      <c r="Z972" t="s">
        <v>2473</v>
      </c>
      <c r="AA972" t="s">
        <v>1419</v>
      </c>
      <c r="AB972" t="s">
        <v>5278</v>
      </c>
      <c r="AC972">
        <v>85992143582</v>
      </c>
    </row>
    <row r="973" spans="1:29" x14ac:dyDescent="0.3">
      <c r="A973" t="s">
        <v>1405</v>
      </c>
      <c r="B973" t="s">
        <v>2302</v>
      </c>
      <c r="C973" t="s">
        <v>5279</v>
      </c>
      <c r="D973">
        <v>10673159779</v>
      </c>
      <c r="E973">
        <v>210671509</v>
      </c>
      <c r="F973">
        <v>1004010786</v>
      </c>
      <c r="G973" s="1">
        <v>44816</v>
      </c>
      <c r="H973" t="s">
        <v>1360</v>
      </c>
      <c r="I973" t="s">
        <v>1374</v>
      </c>
      <c r="J973" t="s">
        <v>2348</v>
      </c>
      <c r="K973" t="s">
        <v>2308</v>
      </c>
      <c r="L973" t="s">
        <v>2305</v>
      </c>
      <c r="M973" t="s">
        <v>1409</v>
      </c>
      <c r="N973" t="s">
        <v>1410</v>
      </c>
      <c r="O973" t="s">
        <v>1411</v>
      </c>
      <c r="P973" t="s">
        <v>1411</v>
      </c>
      <c r="Q973" t="s">
        <v>1412</v>
      </c>
      <c r="S973" s="1">
        <v>46043</v>
      </c>
      <c r="W973" s="1">
        <v>30830</v>
      </c>
      <c r="X973" t="s">
        <v>2412</v>
      </c>
      <c r="Z973" t="s">
        <v>5280</v>
      </c>
      <c r="AA973" t="s">
        <v>1419</v>
      </c>
      <c r="AB973" t="s">
        <v>690</v>
      </c>
      <c r="AC973">
        <v>21999950528</v>
      </c>
    </row>
    <row r="974" spans="1:29" x14ac:dyDescent="0.3">
      <c r="A974" t="s">
        <v>1405</v>
      </c>
      <c r="B974" t="s">
        <v>2302</v>
      </c>
      <c r="C974" t="s">
        <v>5281</v>
      </c>
      <c r="D974">
        <v>4025127156</v>
      </c>
      <c r="E974">
        <v>1775268</v>
      </c>
      <c r="F974">
        <v>1004014289</v>
      </c>
      <c r="G974" s="1">
        <v>45370</v>
      </c>
      <c r="H974" t="s">
        <v>1360</v>
      </c>
      <c r="I974" t="s">
        <v>1374</v>
      </c>
      <c r="J974" t="s">
        <v>1361</v>
      </c>
      <c r="K974" t="s">
        <v>2308</v>
      </c>
      <c r="L974" t="s">
        <v>2305</v>
      </c>
      <c r="M974" t="s">
        <v>1409</v>
      </c>
      <c r="N974" t="s">
        <v>1410</v>
      </c>
      <c r="O974" t="s">
        <v>1423</v>
      </c>
      <c r="P974" t="s">
        <v>1423</v>
      </c>
      <c r="Q974" t="s">
        <v>1412</v>
      </c>
      <c r="S974" s="1">
        <v>46069</v>
      </c>
      <c r="W974" s="1">
        <v>33669</v>
      </c>
      <c r="X974" t="s">
        <v>2477</v>
      </c>
      <c r="Y974" t="s">
        <v>5282</v>
      </c>
      <c r="Z974" t="s">
        <v>3626</v>
      </c>
      <c r="AA974" t="s">
        <v>1415</v>
      </c>
      <c r="AB974" t="s">
        <v>5283</v>
      </c>
      <c r="AC974">
        <v>67984816294</v>
      </c>
    </row>
    <row r="975" spans="1:29" x14ac:dyDescent="0.3">
      <c r="A975" t="s">
        <v>1405</v>
      </c>
      <c r="B975" t="s">
        <v>2302</v>
      </c>
      <c r="C975" t="s">
        <v>5284</v>
      </c>
      <c r="D975">
        <v>7646317993</v>
      </c>
      <c r="E975">
        <v>5526947</v>
      </c>
      <c r="F975">
        <v>1004019570</v>
      </c>
      <c r="G975" s="1">
        <v>45901</v>
      </c>
      <c r="H975" t="s">
        <v>1360</v>
      </c>
      <c r="I975" t="s">
        <v>1374</v>
      </c>
      <c r="J975" t="s">
        <v>1361</v>
      </c>
      <c r="K975" t="s">
        <v>2308</v>
      </c>
      <c r="L975" t="s">
        <v>2305</v>
      </c>
      <c r="M975" t="s">
        <v>1409</v>
      </c>
      <c r="N975" t="s">
        <v>1410</v>
      </c>
      <c r="O975" t="s">
        <v>1423</v>
      </c>
      <c r="P975" t="s">
        <v>1423</v>
      </c>
      <c r="Q975" t="s">
        <v>1412</v>
      </c>
      <c r="S975" s="1">
        <v>46043</v>
      </c>
      <c r="W975" s="1">
        <v>33580</v>
      </c>
      <c r="X975" t="s">
        <v>1665</v>
      </c>
      <c r="Z975" t="s">
        <v>2689</v>
      </c>
      <c r="AA975" t="s">
        <v>1419</v>
      </c>
      <c r="AB975" t="s">
        <v>5285</v>
      </c>
      <c r="AC975">
        <v>47997069985</v>
      </c>
    </row>
    <row r="976" spans="1:29" x14ac:dyDescent="0.3">
      <c r="A976" t="s">
        <v>1405</v>
      </c>
      <c r="B976" t="s">
        <v>2302</v>
      </c>
      <c r="C976" t="s">
        <v>5286</v>
      </c>
      <c r="D976">
        <v>5203335354</v>
      </c>
      <c r="E976">
        <v>5203335354</v>
      </c>
      <c r="F976">
        <v>1004015357</v>
      </c>
      <c r="G976" s="1">
        <v>45509</v>
      </c>
      <c r="H976" t="s">
        <v>1360</v>
      </c>
      <c r="I976" t="s">
        <v>1374</v>
      </c>
      <c r="J976" t="s">
        <v>2348</v>
      </c>
      <c r="K976" t="s">
        <v>2308</v>
      </c>
      <c r="L976" t="s">
        <v>2305</v>
      </c>
      <c r="M976" t="s">
        <v>1409</v>
      </c>
      <c r="O976" t="s">
        <v>1423</v>
      </c>
      <c r="P976" t="s">
        <v>1423</v>
      </c>
      <c r="Q976" t="s">
        <v>1412</v>
      </c>
      <c r="S976" s="1">
        <v>46043</v>
      </c>
      <c r="W976" s="1">
        <v>35801</v>
      </c>
      <c r="X976" t="s">
        <v>1869</v>
      </c>
      <c r="Z976" t="s">
        <v>2923</v>
      </c>
      <c r="AA976" t="s">
        <v>1415</v>
      </c>
      <c r="AB976" t="s">
        <v>5287</v>
      </c>
      <c r="AC976">
        <v>85999857516</v>
      </c>
    </row>
    <row r="977" spans="1:29" x14ac:dyDescent="0.3">
      <c r="A977" t="s">
        <v>1405</v>
      </c>
      <c r="B977" t="s">
        <v>2302</v>
      </c>
      <c r="C977" t="s">
        <v>5288</v>
      </c>
      <c r="D977">
        <v>26971562836</v>
      </c>
      <c r="E977">
        <v>256883580</v>
      </c>
      <c r="F977">
        <v>1004008671</v>
      </c>
      <c r="G977" s="1">
        <v>44460</v>
      </c>
      <c r="H977" t="s">
        <v>1360</v>
      </c>
      <c r="I977" t="s">
        <v>1374</v>
      </c>
      <c r="J977" t="s">
        <v>1361</v>
      </c>
      <c r="K977" t="s">
        <v>2308</v>
      </c>
      <c r="L977" t="s">
        <v>2305</v>
      </c>
      <c r="M977" t="s">
        <v>1409</v>
      </c>
      <c r="N977" t="s">
        <v>1410</v>
      </c>
      <c r="O977" t="s">
        <v>1423</v>
      </c>
      <c r="P977" t="s">
        <v>1423</v>
      </c>
      <c r="Q977" t="s">
        <v>1412</v>
      </c>
      <c r="S977" s="1">
        <v>46043</v>
      </c>
      <c r="W977" s="1">
        <v>27897</v>
      </c>
      <c r="X977" t="s">
        <v>1510</v>
      </c>
      <c r="Y977" t="s">
        <v>4770</v>
      </c>
      <c r="Z977" t="s">
        <v>4374</v>
      </c>
      <c r="AA977" t="s">
        <v>1415</v>
      </c>
      <c r="AB977" t="s">
        <v>5289</v>
      </c>
      <c r="AC977">
        <v>85998228535</v>
      </c>
    </row>
    <row r="978" spans="1:29" x14ac:dyDescent="0.3">
      <c r="A978" t="s">
        <v>1405</v>
      </c>
      <c r="B978" t="s">
        <v>2302</v>
      </c>
      <c r="C978" t="s">
        <v>5290</v>
      </c>
      <c r="D978">
        <v>3700884419</v>
      </c>
      <c r="E978">
        <v>3919756</v>
      </c>
      <c r="F978">
        <v>1004007545</v>
      </c>
      <c r="G978" s="1">
        <v>44266</v>
      </c>
      <c r="H978" t="s">
        <v>1360</v>
      </c>
      <c r="I978" t="s">
        <v>1374</v>
      </c>
      <c r="J978" t="s">
        <v>2308</v>
      </c>
      <c r="K978" t="s">
        <v>2313</v>
      </c>
      <c r="L978" t="s">
        <v>2305</v>
      </c>
      <c r="M978" t="s">
        <v>1409</v>
      </c>
      <c r="N978" t="s">
        <v>1410</v>
      </c>
      <c r="O978" t="s">
        <v>1411</v>
      </c>
      <c r="P978" t="s">
        <v>1411</v>
      </c>
      <c r="Q978" t="s">
        <v>1412</v>
      </c>
      <c r="S978" s="1">
        <v>46043</v>
      </c>
      <c r="W978" s="1">
        <v>29780</v>
      </c>
      <c r="X978" t="s">
        <v>4239</v>
      </c>
      <c r="Y978" t="s">
        <v>4240</v>
      </c>
      <c r="Z978" t="s">
        <v>4241</v>
      </c>
      <c r="AA978" t="s">
        <v>1415</v>
      </c>
      <c r="AB978" t="s">
        <v>5291</v>
      </c>
      <c r="AC978">
        <v>87996310166</v>
      </c>
    </row>
    <row r="979" spans="1:29" x14ac:dyDescent="0.3">
      <c r="A979" t="s">
        <v>1405</v>
      </c>
      <c r="B979" t="s">
        <v>2302</v>
      </c>
      <c r="C979" t="s">
        <v>5292</v>
      </c>
      <c r="D979">
        <v>98724398500</v>
      </c>
      <c r="E979">
        <v>652528538</v>
      </c>
      <c r="F979">
        <v>1004017882</v>
      </c>
      <c r="G979" s="1">
        <v>45782</v>
      </c>
      <c r="H979" t="s">
        <v>1360</v>
      </c>
      <c r="I979" t="s">
        <v>1349</v>
      </c>
      <c r="J979" t="s">
        <v>2348</v>
      </c>
      <c r="K979" t="s">
        <v>2308</v>
      </c>
      <c r="L979" t="s">
        <v>2305</v>
      </c>
      <c r="M979" t="s">
        <v>1409</v>
      </c>
      <c r="N979" t="s">
        <v>1410</v>
      </c>
      <c r="O979" t="s">
        <v>1411</v>
      </c>
      <c r="P979" t="s">
        <v>1411</v>
      </c>
      <c r="Q979" t="s">
        <v>1412</v>
      </c>
      <c r="S979" s="1">
        <v>46044</v>
      </c>
      <c r="V979" s="1">
        <v>46041</v>
      </c>
      <c r="W979" s="1">
        <v>28550</v>
      </c>
      <c r="X979" t="s">
        <v>4998</v>
      </c>
      <c r="Z979" t="s">
        <v>3838</v>
      </c>
      <c r="AA979" t="s">
        <v>1415</v>
      </c>
      <c r="AB979" t="s">
        <v>5293</v>
      </c>
      <c r="AC979">
        <v>75988962990</v>
      </c>
    </row>
    <row r="980" spans="1:29" x14ac:dyDescent="0.3">
      <c r="A980" t="s">
        <v>1405</v>
      </c>
      <c r="B980" t="s">
        <v>2302</v>
      </c>
      <c r="C980" t="s">
        <v>5294</v>
      </c>
      <c r="D980">
        <v>3532266377</v>
      </c>
      <c r="E980">
        <v>219627720026</v>
      </c>
      <c r="F980">
        <v>1004010357</v>
      </c>
      <c r="G980" s="1">
        <v>44782</v>
      </c>
      <c r="H980" t="s">
        <v>1360</v>
      </c>
      <c r="I980" t="s">
        <v>1374</v>
      </c>
      <c r="J980" t="s">
        <v>1361</v>
      </c>
      <c r="K980" t="s">
        <v>2308</v>
      </c>
      <c r="L980" t="s">
        <v>2305</v>
      </c>
      <c r="M980" t="s">
        <v>1421</v>
      </c>
      <c r="N980" t="s">
        <v>1448</v>
      </c>
      <c r="O980" t="s">
        <v>1462</v>
      </c>
      <c r="P980" t="s">
        <v>1462</v>
      </c>
      <c r="Q980" t="s">
        <v>1412</v>
      </c>
      <c r="S980" s="1">
        <v>46069</v>
      </c>
      <c r="W980" s="1">
        <v>32934</v>
      </c>
      <c r="X980" t="s">
        <v>1519</v>
      </c>
      <c r="Y980" t="s">
        <v>1823</v>
      </c>
      <c r="Z980" t="s">
        <v>3637</v>
      </c>
      <c r="AA980" t="s">
        <v>1415</v>
      </c>
      <c r="AB980" t="s">
        <v>5295</v>
      </c>
      <c r="AC980">
        <v>98992366885</v>
      </c>
    </row>
    <row r="981" spans="1:29" x14ac:dyDescent="0.3">
      <c r="A981" t="s">
        <v>1405</v>
      </c>
      <c r="B981" t="s">
        <v>2302</v>
      </c>
      <c r="C981" t="s">
        <v>5296</v>
      </c>
      <c r="D981">
        <v>37612387115</v>
      </c>
      <c r="E981">
        <v>959654</v>
      </c>
      <c r="F981">
        <v>1004009847</v>
      </c>
      <c r="G981" s="1">
        <v>44679</v>
      </c>
      <c r="H981" t="s">
        <v>1360</v>
      </c>
      <c r="I981" t="s">
        <v>2317</v>
      </c>
      <c r="J981" t="s">
        <v>1361</v>
      </c>
      <c r="K981" t="s">
        <v>2308</v>
      </c>
      <c r="L981" t="s">
        <v>2305</v>
      </c>
      <c r="M981" t="s">
        <v>1409</v>
      </c>
      <c r="N981" t="s">
        <v>1410</v>
      </c>
      <c r="O981" t="s">
        <v>1423</v>
      </c>
      <c r="P981" t="s">
        <v>1423</v>
      </c>
      <c r="Q981" t="s">
        <v>1412</v>
      </c>
      <c r="S981" s="1">
        <v>45498</v>
      </c>
      <c r="T981" s="1">
        <v>45470</v>
      </c>
      <c r="W981" s="1">
        <v>25463</v>
      </c>
      <c r="X981" t="s">
        <v>1503</v>
      </c>
      <c r="Z981" t="s">
        <v>3479</v>
      </c>
      <c r="AA981" t="s">
        <v>1415</v>
      </c>
      <c r="AB981" t="s">
        <v>5297</v>
      </c>
      <c r="AC981">
        <v>85999414148</v>
      </c>
    </row>
    <row r="982" spans="1:29" x14ac:dyDescent="0.3">
      <c r="A982" t="s">
        <v>1405</v>
      </c>
      <c r="B982" t="s">
        <v>2302</v>
      </c>
      <c r="C982" t="s">
        <v>5298</v>
      </c>
      <c r="D982">
        <v>1630071285</v>
      </c>
      <c r="E982">
        <v>2622064</v>
      </c>
      <c r="F982">
        <v>1004014255</v>
      </c>
      <c r="G982" s="1">
        <v>45369</v>
      </c>
      <c r="H982" t="s">
        <v>1360</v>
      </c>
      <c r="I982" t="s">
        <v>1374</v>
      </c>
      <c r="J982" t="s">
        <v>1354</v>
      </c>
      <c r="K982" t="s">
        <v>1361</v>
      </c>
      <c r="L982" t="s">
        <v>2305</v>
      </c>
      <c r="M982" t="s">
        <v>1421</v>
      </c>
      <c r="N982" t="s">
        <v>1422</v>
      </c>
      <c r="O982" t="s">
        <v>1411</v>
      </c>
      <c r="P982" t="s">
        <v>1411</v>
      </c>
      <c r="Q982" t="s">
        <v>1412</v>
      </c>
      <c r="S982" s="1">
        <v>46043</v>
      </c>
      <c r="W982" s="1">
        <v>33230</v>
      </c>
      <c r="X982" t="s">
        <v>1896</v>
      </c>
      <c r="Y982" t="s">
        <v>2996</v>
      </c>
      <c r="Z982" t="s">
        <v>3546</v>
      </c>
      <c r="AA982" t="s">
        <v>1419</v>
      </c>
      <c r="AB982" t="s">
        <v>424</v>
      </c>
      <c r="AC982">
        <v>92982081969</v>
      </c>
    </row>
    <row r="983" spans="1:29" x14ac:dyDescent="0.3">
      <c r="A983" t="s">
        <v>1405</v>
      </c>
      <c r="B983" t="s">
        <v>2302</v>
      </c>
      <c r="C983" t="s">
        <v>5299</v>
      </c>
      <c r="D983">
        <v>71234594315</v>
      </c>
      <c r="E983">
        <v>153607220003</v>
      </c>
      <c r="F983">
        <v>1004004630</v>
      </c>
      <c r="G983" s="1">
        <v>43714</v>
      </c>
      <c r="H983" t="s">
        <v>1360</v>
      </c>
      <c r="I983" t="s">
        <v>1374</v>
      </c>
      <c r="J983" t="s">
        <v>2308</v>
      </c>
      <c r="K983" t="s">
        <v>2313</v>
      </c>
      <c r="L983" t="s">
        <v>2305</v>
      </c>
      <c r="M983" t="s">
        <v>1409</v>
      </c>
      <c r="N983" t="s">
        <v>1410</v>
      </c>
      <c r="O983" t="s">
        <v>1462</v>
      </c>
      <c r="P983" t="s">
        <v>1462</v>
      </c>
      <c r="Q983" t="s">
        <v>1412</v>
      </c>
      <c r="S983" s="1">
        <v>46069</v>
      </c>
      <c r="W983" s="1">
        <v>27582</v>
      </c>
      <c r="X983" t="s">
        <v>1519</v>
      </c>
      <c r="Y983" t="s">
        <v>1823</v>
      </c>
      <c r="Z983" t="s">
        <v>2433</v>
      </c>
      <c r="AA983" t="s">
        <v>1419</v>
      </c>
      <c r="AB983" t="s">
        <v>5300</v>
      </c>
      <c r="AC983">
        <v>989887899506</v>
      </c>
    </row>
    <row r="984" spans="1:29" x14ac:dyDescent="0.3">
      <c r="A984" t="s">
        <v>1405</v>
      </c>
      <c r="B984" t="s">
        <v>2302</v>
      </c>
      <c r="C984" t="s">
        <v>5301</v>
      </c>
      <c r="D984">
        <v>41074882253</v>
      </c>
      <c r="E984">
        <v>3296819</v>
      </c>
      <c r="F984">
        <v>1004014238</v>
      </c>
      <c r="G984" s="1">
        <v>45369</v>
      </c>
      <c r="H984" t="s">
        <v>1360</v>
      </c>
      <c r="I984" t="s">
        <v>1374</v>
      </c>
      <c r="J984" t="s">
        <v>1361</v>
      </c>
      <c r="K984" t="s">
        <v>2308</v>
      </c>
      <c r="L984" t="s">
        <v>2305</v>
      </c>
      <c r="M984" t="s">
        <v>1409</v>
      </c>
      <c r="N984" t="s">
        <v>1410</v>
      </c>
      <c r="O984" t="s">
        <v>1411</v>
      </c>
      <c r="P984" t="s">
        <v>1411</v>
      </c>
      <c r="Q984" t="s">
        <v>1412</v>
      </c>
      <c r="S984" s="1">
        <v>46043</v>
      </c>
      <c r="W984" s="1">
        <v>25896</v>
      </c>
      <c r="X984" t="s">
        <v>1492</v>
      </c>
      <c r="Y984" t="s">
        <v>2058</v>
      </c>
      <c r="Z984" t="s">
        <v>2633</v>
      </c>
      <c r="AA984" t="s">
        <v>1419</v>
      </c>
      <c r="AB984" t="s">
        <v>5302</v>
      </c>
      <c r="AC984">
        <v>91984893594</v>
      </c>
    </row>
    <row r="985" spans="1:29" x14ac:dyDescent="0.3">
      <c r="A985" t="s">
        <v>1405</v>
      </c>
      <c r="B985" t="s">
        <v>2302</v>
      </c>
      <c r="C985" t="s">
        <v>5303</v>
      </c>
      <c r="D985">
        <v>63811030000</v>
      </c>
      <c r="E985" t="s">
        <v>5304</v>
      </c>
      <c r="F985">
        <v>1004017503</v>
      </c>
      <c r="G985" s="1">
        <v>45754</v>
      </c>
      <c r="H985" t="s">
        <v>1360</v>
      </c>
      <c r="I985" t="s">
        <v>1349</v>
      </c>
      <c r="J985" t="s">
        <v>1361</v>
      </c>
      <c r="K985" t="s">
        <v>2308</v>
      </c>
      <c r="L985" t="s">
        <v>2305</v>
      </c>
      <c r="M985" t="s">
        <v>1442</v>
      </c>
      <c r="N985" t="s">
        <v>1443</v>
      </c>
      <c r="O985" t="s">
        <v>1423</v>
      </c>
      <c r="P985" t="s">
        <v>1411</v>
      </c>
      <c r="Q985" t="s">
        <v>1412</v>
      </c>
      <c r="S985" s="1">
        <v>45862</v>
      </c>
      <c r="V985" s="1">
        <v>45861</v>
      </c>
      <c r="W985" s="1">
        <v>26458</v>
      </c>
      <c r="X985" t="s">
        <v>1485</v>
      </c>
      <c r="Y985" t="s">
        <v>1756</v>
      </c>
      <c r="Z985" t="s">
        <v>3272</v>
      </c>
      <c r="AA985" t="s">
        <v>1419</v>
      </c>
      <c r="AB985" t="s">
        <v>5305</v>
      </c>
      <c r="AC985">
        <v>4799793662</v>
      </c>
    </row>
    <row r="986" spans="1:29" x14ac:dyDescent="0.3">
      <c r="A986" t="s">
        <v>1405</v>
      </c>
      <c r="B986" t="s">
        <v>2302</v>
      </c>
      <c r="C986" t="s">
        <v>5306</v>
      </c>
      <c r="D986">
        <v>28140788520</v>
      </c>
      <c r="E986">
        <v>369899954</v>
      </c>
      <c r="F986">
        <v>1004009163</v>
      </c>
      <c r="G986" s="1">
        <v>44614</v>
      </c>
      <c r="H986" t="s">
        <v>1360</v>
      </c>
      <c r="I986" t="s">
        <v>1374</v>
      </c>
      <c r="J986" t="s">
        <v>1361</v>
      </c>
      <c r="K986" t="s">
        <v>2308</v>
      </c>
      <c r="L986" t="s">
        <v>2305</v>
      </c>
      <c r="M986" t="s">
        <v>1409</v>
      </c>
      <c r="N986" t="s">
        <v>1410</v>
      </c>
      <c r="O986" t="s">
        <v>1411</v>
      </c>
      <c r="P986" t="s">
        <v>1411</v>
      </c>
      <c r="Q986" t="s">
        <v>1412</v>
      </c>
      <c r="S986" s="1">
        <v>46069</v>
      </c>
      <c r="W986" s="1">
        <v>22788</v>
      </c>
      <c r="X986" t="s">
        <v>5307</v>
      </c>
      <c r="Y986" t="s">
        <v>5308</v>
      </c>
      <c r="Z986" t="s">
        <v>3637</v>
      </c>
      <c r="AA986" t="s">
        <v>1419</v>
      </c>
      <c r="AB986" t="s">
        <v>5309</v>
      </c>
      <c r="AC986">
        <v>98999697197</v>
      </c>
    </row>
    <row r="987" spans="1:29" x14ac:dyDescent="0.3">
      <c r="A987" t="s">
        <v>1405</v>
      </c>
      <c r="B987" t="s">
        <v>2302</v>
      </c>
      <c r="C987" t="s">
        <v>5310</v>
      </c>
      <c r="D987">
        <v>38178672987</v>
      </c>
      <c r="E987">
        <v>7583575</v>
      </c>
      <c r="F987">
        <v>42004101822</v>
      </c>
      <c r="G987" s="1">
        <v>40182</v>
      </c>
      <c r="H987" t="s">
        <v>1360</v>
      </c>
      <c r="I987" t="s">
        <v>2604</v>
      </c>
      <c r="J987" t="s">
        <v>2308</v>
      </c>
      <c r="K987" t="s">
        <v>2313</v>
      </c>
      <c r="L987" t="s">
        <v>2305</v>
      </c>
      <c r="M987" t="s">
        <v>1409</v>
      </c>
      <c r="N987" t="s">
        <v>1410</v>
      </c>
      <c r="O987" t="s">
        <v>1423</v>
      </c>
      <c r="P987" t="s">
        <v>1423</v>
      </c>
      <c r="Q987" t="s">
        <v>1412</v>
      </c>
      <c r="S987" s="1">
        <v>41877</v>
      </c>
      <c r="T987" s="1">
        <v>41521</v>
      </c>
      <c r="W987" s="1">
        <v>21311</v>
      </c>
      <c r="X987" t="s">
        <v>5311</v>
      </c>
      <c r="Y987" t="s">
        <v>5312</v>
      </c>
      <c r="Z987" t="s">
        <v>3770</v>
      </c>
      <c r="AA987" t="s">
        <v>1419</v>
      </c>
      <c r="AB987" t="s">
        <v>5313</v>
      </c>
      <c r="AC987">
        <v>4733830457</v>
      </c>
    </row>
    <row r="988" spans="1:29" x14ac:dyDescent="0.3">
      <c r="A988" t="s">
        <v>1405</v>
      </c>
      <c r="B988" t="s">
        <v>2302</v>
      </c>
      <c r="C988" t="s">
        <v>5314</v>
      </c>
      <c r="D988">
        <v>4686761395</v>
      </c>
      <c r="E988">
        <v>2007015095612</v>
      </c>
      <c r="F988">
        <v>1004015269</v>
      </c>
      <c r="G988" s="1">
        <v>45511</v>
      </c>
      <c r="H988" t="s">
        <v>1360</v>
      </c>
      <c r="I988" t="s">
        <v>1374</v>
      </c>
      <c r="J988" t="s">
        <v>1361</v>
      </c>
      <c r="K988" t="s">
        <v>2308</v>
      </c>
      <c r="L988" t="s">
        <v>2305</v>
      </c>
      <c r="M988" t="s">
        <v>1409</v>
      </c>
      <c r="N988" t="s">
        <v>1410</v>
      </c>
      <c r="O988" t="s">
        <v>1411</v>
      </c>
      <c r="P988" t="s">
        <v>1411</v>
      </c>
      <c r="Q988" t="s">
        <v>1412</v>
      </c>
      <c r="S988" s="1">
        <v>46043</v>
      </c>
      <c r="W988" s="1">
        <v>36295</v>
      </c>
      <c r="X988" t="s">
        <v>2504</v>
      </c>
      <c r="Y988" t="s">
        <v>4083</v>
      </c>
      <c r="Z988" t="s">
        <v>2506</v>
      </c>
      <c r="AA988" t="s">
        <v>1419</v>
      </c>
      <c r="AB988" t="s">
        <v>5315</v>
      </c>
      <c r="AC988">
        <v>85999331220</v>
      </c>
    </row>
    <row r="989" spans="1:29" x14ac:dyDescent="0.3">
      <c r="A989" t="s">
        <v>1405</v>
      </c>
      <c r="B989" t="s">
        <v>2302</v>
      </c>
      <c r="C989" t="s">
        <v>5316</v>
      </c>
      <c r="D989">
        <v>64962849387</v>
      </c>
      <c r="E989">
        <v>94024061563</v>
      </c>
      <c r="F989">
        <v>1004011402</v>
      </c>
      <c r="G989" s="1">
        <v>44984</v>
      </c>
      <c r="H989" t="s">
        <v>1360</v>
      </c>
      <c r="I989" t="s">
        <v>2317</v>
      </c>
      <c r="J989" t="s">
        <v>2348</v>
      </c>
      <c r="K989" t="s">
        <v>2308</v>
      </c>
      <c r="L989" t="s">
        <v>2305</v>
      </c>
      <c r="M989" t="s">
        <v>1409</v>
      </c>
      <c r="N989" t="s">
        <v>1410</v>
      </c>
      <c r="O989" t="s">
        <v>1411</v>
      </c>
      <c r="P989" t="s">
        <v>1411</v>
      </c>
      <c r="Q989" t="s">
        <v>1412</v>
      </c>
      <c r="S989" s="1">
        <v>45699</v>
      </c>
      <c r="T989" s="1">
        <v>45691</v>
      </c>
      <c r="W989" s="1">
        <v>29573</v>
      </c>
      <c r="X989" t="s">
        <v>1507</v>
      </c>
      <c r="Y989" t="s">
        <v>2786</v>
      </c>
      <c r="Z989" t="s">
        <v>5317</v>
      </c>
      <c r="AA989" t="s">
        <v>1419</v>
      </c>
      <c r="AB989" t="s">
        <v>5318</v>
      </c>
      <c r="AC989">
        <v>85996249674</v>
      </c>
    </row>
    <row r="990" spans="1:29" x14ac:dyDescent="0.3">
      <c r="A990" t="s">
        <v>1405</v>
      </c>
      <c r="B990" t="s">
        <v>2302</v>
      </c>
      <c r="C990" t="s">
        <v>5319</v>
      </c>
      <c r="D990">
        <v>77843371320</v>
      </c>
      <c r="E990" t="s">
        <v>5320</v>
      </c>
      <c r="F990">
        <v>1004013742</v>
      </c>
      <c r="G990" s="1">
        <v>45342</v>
      </c>
      <c r="H990" t="s">
        <v>1360</v>
      </c>
      <c r="I990" t="s">
        <v>1374</v>
      </c>
      <c r="J990" t="s">
        <v>1361</v>
      </c>
      <c r="K990" t="s">
        <v>2308</v>
      </c>
      <c r="L990" t="s">
        <v>2305</v>
      </c>
      <c r="M990" t="s">
        <v>1409</v>
      </c>
      <c r="N990" t="s">
        <v>1410</v>
      </c>
      <c r="O990" t="s">
        <v>1411</v>
      </c>
      <c r="P990" t="s">
        <v>1411</v>
      </c>
      <c r="Q990" t="s">
        <v>1412</v>
      </c>
      <c r="S990" s="1">
        <v>46043</v>
      </c>
      <c r="W990" s="1">
        <v>28561</v>
      </c>
      <c r="X990" t="s">
        <v>1507</v>
      </c>
      <c r="Y990" t="s">
        <v>4083</v>
      </c>
      <c r="Z990" t="s">
        <v>2506</v>
      </c>
      <c r="AA990" t="s">
        <v>1419</v>
      </c>
      <c r="AB990" t="s">
        <v>5321</v>
      </c>
      <c r="AC990">
        <v>85999078207</v>
      </c>
    </row>
    <row r="991" spans="1:29" x14ac:dyDescent="0.3">
      <c r="A991" t="s">
        <v>1405</v>
      </c>
      <c r="B991" t="s">
        <v>2302</v>
      </c>
      <c r="C991" t="s">
        <v>5322</v>
      </c>
      <c r="D991">
        <v>347578055</v>
      </c>
      <c r="E991">
        <v>1069645371</v>
      </c>
      <c r="F991">
        <v>1004012709</v>
      </c>
      <c r="G991" s="1">
        <v>45160</v>
      </c>
      <c r="H991" t="s">
        <v>1360</v>
      </c>
      <c r="I991" t="s">
        <v>1374</v>
      </c>
      <c r="J991" t="s">
        <v>1361</v>
      </c>
      <c r="K991" t="s">
        <v>2308</v>
      </c>
      <c r="L991" t="s">
        <v>2305</v>
      </c>
      <c r="M991" t="s">
        <v>1409</v>
      </c>
      <c r="N991" t="s">
        <v>1410</v>
      </c>
      <c r="O991" t="s">
        <v>1411</v>
      </c>
      <c r="P991" t="s">
        <v>1411</v>
      </c>
      <c r="Q991" t="s">
        <v>1412</v>
      </c>
      <c r="S991" s="1">
        <v>46043</v>
      </c>
      <c r="W991" s="1">
        <v>29495</v>
      </c>
      <c r="X991" t="s">
        <v>5323</v>
      </c>
      <c r="Y991" t="s">
        <v>5324</v>
      </c>
      <c r="Z991" t="s">
        <v>2430</v>
      </c>
      <c r="AA991" t="s">
        <v>1419</v>
      </c>
      <c r="AB991" t="s">
        <v>5325</v>
      </c>
      <c r="AC991">
        <v>51996167996</v>
      </c>
    </row>
    <row r="992" spans="1:29" x14ac:dyDescent="0.3">
      <c r="A992" t="s">
        <v>1405</v>
      </c>
      <c r="B992" t="s">
        <v>2302</v>
      </c>
      <c r="C992" t="s">
        <v>5326</v>
      </c>
      <c r="D992">
        <v>29589621805</v>
      </c>
      <c r="E992" s="3">
        <v>3456041</v>
      </c>
      <c r="F992">
        <v>1004015583</v>
      </c>
      <c r="G992" s="1">
        <v>45537</v>
      </c>
      <c r="H992" t="s">
        <v>1360</v>
      </c>
      <c r="I992" t="s">
        <v>1374</v>
      </c>
      <c r="J992" t="s">
        <v>1361</v>
      </c>
      <c r="K992" t="s">
        <v>2308</v>
      </c>
      <c r="L992" t="s">
        <v>2305</v>
      </c>
      <c r="M992" t="s">
        <v>1409</v>
      </c>
      <c r="N992" t="s">
        <v>1410</v>
      </c>
      <c r="O992" t="s">
        <v>1411</v>
      </c>
      <c r="P992" t="s">
        <v>1417</v>
      </c>
      <c r="Q992" t="s">
        <v>1412</v>
      </c>
      <c r="S992" s="1">
        <v>46043</v>
      </c>
      <c r="W992" s="1">
        <v>29013</v>
      </c>
      <c r="X992" t="s">
        <v>4059</v>
      </c>
      <c r="Y992" t="s">
        <v>4060</v>
      </c>
      <c r="Z992" t="s">
        <v>5072</v>
      </c>
      <c r="AA992" t="s">
        <v>1415</v>
      </c>
      <c r="AB992" t="s">
        <v>5327</v>
      </c>
      <c r="AC992">
        <v>94991624109</v>
      </c>
    </row>
    <row r="993" spans="1:29" x14ac:dyDescent="0.3">
      <c r="A993" t="s">
        <v>1405</v>
      </c>
      <c r="B993" t="s">
        <v>2302</v>
      </c>
      <c r="C993" t="s">
        <v>5328</v>
      </c>
      <c r="D993">
        <v>2978688459</v>
      </c>
      <c r="E993" s="3">
        <v>5770766</v>
      </c>
      <c r="F993">
        <v>1004021834</v>
      </c>
      <c r="G993" s="1">
        <v>46097</v>
      </c>
      <c r="H993" t="s">
        <v>1360</v>
      </c>
      <c r="I993" t="s">
        <v>1374</v>
      </c>
      <c r="J993" t="s">
        <v>2308</v>
      </c>
      <c r="K993" t="s">
        <v>2313</v>
      </c>
      <c r="L993" t="s">
        <v>2305</v>
      </c>
      <c r="M993" t="s">
        <v>1409</v>
      </c>
      <c r="N993" t="s">
        <v>1410</v>
      </c>
      <c r="O993" t="s">
        <v>1423</v>
      </c>
      <c r="P993" t="s">
        <v>1423</v>
      </c>
      <c r="Q993" t="s">
        <v>1412</v>
      </c>
      <c r="S993" s="1">
        <v>46092</v>
      </c>
      <c r="W993" s="1">
        <v>29340</v>
      </c>
      <c r="X993" t="s">
        <v>2867</v>
      </c>
      <c r="Y993" t="s">
        <v>2868</v>
      </c>
      <c r="Z993" t="s">
        <v>2869</v>
      </c>
      <c r="AA993" t="s">
        <v>1415</v>
      </c>
      <c r="AB993" t="s">
        <v>5329</v>
      </c>
      <c r="AC993">
        <v>81982679705</v>
      </c>
    </row>
    <row r="994" spans="1:29" x14ac:dyDescent="0.3">
      <c r="A994" t="s">
        <v>1405</v>
      </c>
      <c r="B994" t="s">
        <v>2302</v>
      </c>
      <c r="C994" t="s">
        <v>5330</v>
      </c>
      <c r="D994">
        <v>60281145377</v>
      </c>
      <c r="E994" t="s">
        <v>5331</v>
      </c>
      <c r="F994">
        <v>1004020819</v>
      </c>
      <c r="G994" s="1">
        <v>46029</v>
      </c>
      <c r="H994" t="s">
        <v>1360</v>
      </c>
      <c r="I994" t="s">
        <v>1374</v>
      </c>
      <c r="J994" t="s">
        <v>2308</v>
      </c>
      <c r="K994" t="s">
        <v>2313</v>
      </c>
      <c r="L994" t="s">
        <v>2305</v>
      </c>
      <c r="M994" t="s">
        <v>1421</v>
      </c>
      <c r="N994" t="s">
        <v>1422</v>
      </c>
      <c r="O994" t="s">
        <v>1411</v>
      </c>
      <c r="P994" t="s">
        <v>1411</v>
      </c>
      <c r="Q994" t="s">
        <v>1412</v>
      </c>
      <c r="S994" s="1">
        <v>46028</v>
      </c>
      <c r="W994" s="1">
        <v>32726</v>
      </c>
      <c r="X994" t="s">
        <v>2535</v>
      </c>
      <c r="Z994" t="s">
        <v>2763</v>
      </c>
      <c r="AA994" t="s">
        <v>1415</v>
      </c>
      <c r="AB994" t="s">
        <v>5332</v>
      </c>
      <c r="AC994">
        <v>98982213480</v>
      </c>
    </row>
    <row r="995" spans="1:29" x14ac:dyDescent="0.3">
      <c r="A995" t="s">
        <v>1405</v>
      </c>
      <c r="B995" t="s">
        <v>2302</v>
      </c>
      <c r="C995" t="s">
        <v>5333</v>
      </c>
      <c r="D995">
        <v>742933970</v>
      </c>
      <c r="E995">
        <v>4241748</v>
      </c>
      <c r="F995">
        <v>1004009122</v>
      </c>
      <c r="G995" s="1">
        <v>44613</v>
      </c>
      <c r="H995" t="s">
        <v>1360</v>
      </c>
      <c r="I995" t="s">
        <v>2317</v>
      </c>
      <c r="J995" t="s">
        <v>1361</v>
      </c>
      <c r="K995" t="s">
        <v>2308</v>
      </c>
      <c r="L995" t="s">
        <v>2305</v>
      </c>
      <c r="M995" t="s">
        <v>1409</v>
      </c>
      <c r="N995" t="s">
        <v>1410</v>
      </c>
      <c r="O995" t="s">
        <v>1423</v>
      </c>
      <c r="P995" t="s">
        <v>1423</v>
      </c>
      <c r="Q995" t="s">
        <v>1412</v>
      </c>
      <c r="S995" s="1">
        <v>44645</v>
      </c>
      <c r="T995" s="1">
        <v>44628</v>
      </c>
      <c r="W995" s="1">
        <v>31735</v>
      </c>
      <c r="X995" t="s">
        <v>1619</v>
      </c>
      <c r="Z995" t="s">
        <v>3088</v>
      </c>
      <c r="AA995" t="s">
        <v>1415</v>
      </c>
      <c r="AB995" t="s">
        <v>5334</v>
      </c>
      <c r="AC995">
        <v>47997408499</v>
      </c>
    </row>
    <row r="996" spans="1:29" x14ac:dyDescent="0.3">
      <c r="A996" t="s">
        <v>1405</v>
      </c>
      <c r="B996" t="s">
        <v>2302</v>
      </c>
      <c r="C996" t="s">
        <v>5335</v>
      </c>
      <c r="D996">
        <v>5910969943</v>
      </c>
      <c r="E996" t="s">
        <v>5336</v>
      </c>
      <c r="F996">
        <v>1004019141</v>
      </c>
      <c r="G996" s="1">
        <v>45880</v>
      </c>
      <c r="H996" t="s">
        <v>1360</v>
      </c>
      <c r="I996" t="s">
        <v>1374</v>
      </c>
      <c r="J996" t="s">
        <v>2572</v>
      </c>
      <c r="K996" t="s">
        <v>2573</v>
      </c>
      <c r="L996" t="s">
        <v>2305</v>
      </c>
      <c r="M996" t="s">
        <v>1409</v>
      </c>
      <c r="N996" t="s">
        <v>1410</v>
      </c>
      <c r="O996" t="s">
        <v>1423</v>
      </c>
      <c r="P996" t="s">
        <v>1423</v>
      </c>
      <c r="Q996" t="s">
        <v>1412</v>
      </c>
      <c r="S996" s="1">
        <v>46043</v>
      </c>
      <c r="W996" s="1">
        <v>31944</v>
      </c>
      <c r="X996" t="s">
        <v>5337</v>
      </c>
      <c r="Z996" t="s">
        <v>3303</v>
      </c>
      <c r="AA996" t="s">
        <v>1415</v>
      </c>
      <c r="AB996" t="s">
        <v>5338</v>
      </c>
      <c r="AC996">
        <v>42988248288</v>
      </c>
    </row>
    <row r="997" spans="1:29" x14ac:dyDescent="0.3">
      <c r="A997" t="s">
        <v>1405</v>
      </c>
      <c r="B997" t="s">
        <v>2302</v>
      </c>
      <c r="C997" t="s">
        <v>5339</v>
      </c>
      <c r="D997">
        <v>3474411306</v>
      </c>
      <c r="E997">
        <v>308911320069</v>
      </c>
      <c r="F997">
        <v>1004010573</v>
      </c>
      <c r="G997" s="1">
        <v>44793</v>
      </c>
      <c r="H997" t="s">
        <v>1360</v>
      </c>
      <c r="I997" t="s">
        <v>1374</v>
      </c>
      <c r="J997" t="s">
        <v>1361</v>
      </c>
      <c r="K997" t="s">
        <v>2308</v>
      </c>
      <c r="L997" t="s">
        <v>2305</v>
      </c>
      <c r="M997" t="s">
        <v>1447</v>
      </c>
      <c r="N997" t="s">
        <v>1448</v>
      </c>
      <c r="O997" t="s">
        <v>1411</v>
      </c>
      <c r="P997" t="s">
        <v>1411</v>
      </c>
      <c r="Q997" t="s">
        <v>1412</v>
      </c>
      <c r="S997" s="1">
        <v>46069</v>
      </c>
      <c r="W997" s="1">
        <v>33113</v>
      </c>
      <c r="X997" t="s">
        <v>5340</v>
      </c>
      <c r="Z997" t="s">
        <v>3132</v>
      </c>
      <c r="AA997" t="s">
        <v>1415</v>
      </c>
      <c r="AB997" t="s">
        <v>5341</v>
      </c>
      <c r="AC997">
        <v>98985549156</v>
      </c>
    </row>
    <row r="998" spans="1:29" x14ac:dyDescent="0.3">
      <c r="A998" t="s">
        <v>1405</v>
      </c>
      <c r="B998" t="s">
        <v>2302</v>
      </c>
      <c r="C998" t="s">
        <v>5342</v>
      </c>
      <c r="D998">
        <v>10026307464</v>
      </c>
      <c r="E998">
        <v>34902163</v>
      </c>
      <c r="F998">
        <v>1004009453</v>
      </c>
      <c r="G998" s="1">
        <v>44637</v>
      </c>
      <c r="H998" t="s">
        <v>1360</v>
      </c>
      <c r="I998" t="s">
        <v>1349</v>
      </c>
      <c r="J998" t="s">
        <v>1361</v>
      </c>
      <c r="K998" t="s">
        <v>2308</v>
      </c>
      <c r="L998" t="s">
        <v>2305</v>
      </c>
      <c r="M998" t="s">
        <v>1447</v>
      </c>
      <c r="N998" t="s">
        <v>1448</v>
      </c>
      <c r="O998" t="s">
        <v>1423</v>
      </c>
      <c r="P998" t="s">
        <v>1423</v>
      </c>
      <c r="Q998" t="s">
        <v>1412</v>
      </c>
      <c r="S998" s="1">
        <v>45841</v>
      </c>
      <c r="V998" s="1">
        <v>45840</v>
      </c>
      <c r="W998" s="1">
        <v>34511</v>
      </c>
      <c r="X998" t="s">
        <v>1515</v>
      </c>
      <c r="Y998" t="s">
        <v>1871</v>
      </c>
      <c r="Z998" t="s">
        <v>3649</v>
      </c>
      <c r="AA998" t="s">
        <v>1415</v>
      </c>
      <c r="AB998" t="s">
        <v>5343</v>
      </c>
      <c r="AC998">
        <v>82988951328</v>
      </c>
    </row>
    <row r="999" spans="1:29" x14ac:dyDescent="0.3">
      <c r="A999" t="s">
        <v>1405</v>
      </c>
      <c r="B999" t="s">
        <v>2302</v>
      </c>
      <c r="C999" t="s">
        <v>5344</v>
      </c>
      <c r="D999">
        <v>5014807305</v>
      </c>
      <c r="E999">
        <v>3055078</v>
      </c>
      <c r="F999">
        <v>1004012127</v>
      </c>
      <c r="G999" s="1">
        <v>45075</v>
      </c>
      <c r="H999" t="s">
        <v>1360</v>
      </c>
      <c r="I999" t="s">
        <v>1374</v>
      </c>
      <c r="J999" t="s">
        <v>1361</v>
      </c>
      <c r="K999" t="s">
        <v>2308</v>
      </c>
      <c r="L999" t="s">
        <v>2305</v>
      </c>
      <c r="M999" t="s">
        <v>1409</v>
      </c>
      <c r="N999" t="s">
        <v>1410</v>
      </c>
      <c r="O999" t="s">
        <v>1423</v>
      </c>
      <c r="P999" t="s">
        <v>1423</v>
      </c>
      <c r="Q999" t="s">
        <v>1412</v>
      </c>
      <c r="S999" s="1">
        <v>46043</v>
      </c>
      <c r="W999" s="1">
        <v>33361</v>
      </c>
      <c r="X999" t="s">
        <v>4205</v>
      </c>
      <c r="Y999" t="s">
        <v>4206</v>
      </c>
      <c r="Z999" t="s">
        <v>4207</v>
      </c>
      <c r="AA999" t="s">
        <v>1415</v>
      </c>
      <c r="AB999" t="s">
        <v>130</v>
      </c>
      <c r="AC999">
        <v>61981545009</v>
      </c>
    </row>
    <row r="1000" spans="1:29" x14ac:dyDescent="0.3">
      <c r="A1000" t="s">
        <v>1405</v>
      </c>
      <c r="B1000" t="s">
        <v>2302</v>
      </c>
      <c r="C1000" t="s">
        <v>5345</v>
      </c>
      <c r="D1000">
        <v>11777976405</v>
      </c>
      <c r="E1000">
        <v>9553760</v>
      </c>
      <c r="F1000">
        <v>1004016781</v>
      </c>
      <c r="G1000" s="1">
        <v>45705</v>
      </c>
      <c r="H1000" t="s">
        <v>1360</v>
      </c>
      <c r="I1000" t="s">
        <v>1374</v>
      </c>
      <c r="J1000" t="s">
        <v>1361</v>
      </c>
      <c r="K1000" t="s">
        <v>2308</v>
      </c>
      <c r="L1000" t="s">
        <v>2305</v>
      </c>
      <c r="M1000" t="s">
        <v>1409</v>
      </c>
      <c r="N1000" t="s">
        <v>1410</v>
      </c>
      <c r="O1000" t="s">
        <v>1411</v>
      </c>
      <c r="P1000" t="s">
        <v>1411</v>
      </c>
      <c r="Q1000" t="s">
        <v>1412</v>
      </c>
      <c r="S1000" s="1">
        <v>46043</v>
      </c>
      <c r="W1000" s="1">
        <v>35648</v>
      </c>
      <c r="X1000" t="s">
        <v>2983</v>
      </c>
      <c r="Y1000" t="s">
        <v>2984</v>
      </c>
      <c r="Z1000" t="s">
        <v>3077</v>
      </c>
      <c r="AA1000" t="s">
        <v>1415</v>
      </c>
      <c r="AB1000" t="s">
        <v>5346</v>
      </c>
      <c r="AC1000">
        <v>81989175645</v>
      </c>
    </row>
    <row r="1001" spans="1:29" x14ac:dyDescent="0.3">
      <c r="A1001" t="s">
        <v>1405</v>
      </c>
      <c r="B1001" t="s">
        <v>2302</v>
      </c>
      <c r="C1001" t="s">
        <v>5347</v>
      </c>
      <c r="D1001">
        <v>82137307987</v>
      </c>
      <c r="E1001">
        <v>3135841</v>
      </c>
      <c r="F1001">
        <v>42004201195</v>
      </c>
      <c r="G1001" s="1">
        <v>42037</v>
      </c>
      <c r="H1001" t="s">
        <v>1360</v>
      </c>
      <c r="I1001" t="s">
        <v>1349</v>
      </c>
      <c r="J1001" t="s">
        <v>2308</v>
      </c>
      <c r="K1001" t="s">
        <v>2313</v>
      </c>
      <c r="L1001" t="s">
        <v>2305</v>
      </c>
      <c r="M1001" t="s">
        <v>1421</v>
      </c>
      <c r="N1001" t="s">
        <v>1422</v>
      </c>
      <c r="O1001" t="s">
        <v>1423</v>
      </c>
      <c r="P1001" t="s">
        <v>1423</v>
      </c>
      <c r="Q1001" t="s">
        <v>1412</v>
      </c>
      <c r="S1001" s="1">
        <v>46061</v>
      </c>
      <c r="V1001" s="1">
        <v>46055</v>
      </c>
      <c r="W1001" s="1">
        <v>27252</v>
      </c>
      <c r="X1001" t="s">
        <v>1665</v>
      </c>
      <c r="Y1001" t="s">
        <v>2731</v>
      </c>
      <c r="Z1001" t="s">
        <v>2818</v>
      </c>
      <c r="AA1001" t="s">
        <v>1415</v>
      </c>
      <c r="AB1001" t="s">
        <v>5348</v>
      </c>
      <c r="AC1001">
        <v>47988216915</v>
      </c>
    </row>
    <row r="1002" spans="1:29" x14ac:dyDescent="0.3">
      <c r="A1002" t="s">
        <v>1405</v>
      </c>
      <c r="B1002" t="s">
        <v>2302</v>
      </c>
      <c r="C1002" t="s">
        <v>5349</v>
      </c>
      <c r="D1002">
        <v>5423906393</v>
      </c>
      <c r="E1002" t="s">
        <v>5350</v>
      </c>
      <c r="F1002">
        <v>1004016786</v>
      </c>
      <c r="G1002" s="1">
        <v>45705</v>
      </c>
      <c r="H1002" t="s">
        <v>1360</v>
      </c>
      <c r="I1002" t="s">
        <v>1349</v>
      </c>
      <c r="J1002" t="s">
        <v>1361</v>
      </c>
      <c r="K1002" t="s">
        <v>2308</v>
      </c>
      <c r="L1002" t="s">
        <v>2305</v>
      </c>
      <c r="M1002" t="s">
        <v>1447</v>
      </c>
      <c r="N1002" t="s">
        <v>1448</v>
      </c>
      <c r="O1002" t="s">
        <v>1462</v>
      </c>
      <c r="P1002" t="s">
        <v>1462</v>
      </c>
      <c r="Q1002" t="s">
        <v>1412</v>
      </c>
      <c r="S1002" s="1">
        <v>45831</v>
      </c>
      <c r="V1002" s="1">
        <v>45832</v>
      </c>
      <c r="W1002" s="1">
        <v>33981</v>
      </c>
      <c r="X1002" t="s">
        <v>5351</v>
      </c>
      <c r="Y1002" t="s">
        <v>5352</v>
      </c>
      <c r="Z1002" t="s">
        <v>2425</v>
      </c>
      <c r="AA1002" t="s">
        <v>1415</v>
      </c>
      <c r="AB1002" t="s">
        <v>5353</v>
      </c>
      <c r="AC1002">
        <v>88998262714</v>
      </c>
    </row>
    <row r="1003" spans="1:29" x14ac:dyDescent="0.3">
      <c r="A1003" t="s">
        <v>1405</v>
      </c>
      <c r="B1003" t="s">
        <v>2302</v>
      </c>
      <c r="C1003" t="s">
        <v>5354</v>
      </c>
      <c r="D1003">
        <v>30782093850</v>
      </c>
      <c r="E1003">
        <v>422450029</v>
      </c>
      <c r="F1003">
        <v>1004010495</v>
      </c>
      <c r="G1003" s="1">
        <v>44781</v>
      </c>
      <c r="H1003" t="s">
        <v>1360</v>
      </c>
      <c r="I1003" t="s">
        <v>1374</v>
      </c>
      <c r="J1003">
        <v>12</v>
      </c>
      <c r="K1003" t="s">
        <v>5355</v>
      </c>
      <c r="L1003" t="s">
        <v>2305</v>
      </c>
      <c r="M1003" t="s">
        <v>1421</v>
      </c>
      <c r="N1003" t="s">
        <v>1410</v>
      </c>
      <c r="O1003" t="s">
        <v>1423</v>
      </c>
      <c r="P1003" t="s">
        <v>1423</v>
      </c>
      <c r="Q1003" t="s">
        <v>1412</v>
      </c>
      <c r="S1003" s="1">
        <v>46043</v>
      </c>
      <c r="W1003" s="1">
        <v>30457</v>
      </c>
      <c r="X1003" t="s">
        <v>2091</v>
      </c>
      <c r="Z1003" t="s">
        <v>5356</v>
      </c>
      <c r="AA1003" t="s">
        <v>1419</v>
      </c>
      <c r="AB1003" t="s">
        <v>679</v>
      </c>
      <c r="AC1003">
        <v>13996208050</v>
      </c>
    </row>
    <row r="1004" spans="1:29" x14ac:dyDescent="0.3">
      <c r="A1004" t="s">
        <v>1405</v>
      </c>
      <c r="B1004" t="s">
        <v>2302</v>
      </c>
      <c r="C1004" t="s">
        <v>5357</v>
      </c>
      <c r="D1004">
        <v>36976938320</v>
      </c>
      <c r="E1004">
        <v>76283</v>
      </c>
      <c r="F1004">
        <v>1004012249</v>
      </c>
      <c r="G1004" s="1">
        <v>45083</v>
      </c>
      <c r="H1004" t="s">
        <v>1360</v>
      </c>
      <c r="I1004" t="s">
        <v>1374</v>
      </c>
      <c r="J1004" t="s">
        <v>2348</v>
      </c>
      <c r="K1004" t="s">
        <v>2308</v>
      </c>
      <c r="L1004" t="s">
        <v>2305</v>
      </c>
      <c r="M1004" t="s">
        <v>1409</v>
      </c>
      <c r="N1004" t="s">
        <v>1410</v>
      </c>
      <c r="O1004" t="s">
        <v>1423</v>
      </c>
      <c r="P1004" t="s">
        <v>1423</v>
      </c>
      <c r="Q1004" t="s">
        <v>1412</v>
      </c>
      <c r="S1004" s="1">
        <v>46043</v>
      </c>
      <c r="W1004" s="1">
        <v>25843</v>
      </c>
      <c r="X1004" t="s">
        <v>2623</v>
      </c>
      <c r="Y1004" t="s">
        <v>2624</v>
      </c>
      <c r="Z1004" t="s">
        <v>4374</v>
      </c>
      <c r="AA1004" t="s">
        <v>1419</v>
      </c>
      <c r="AB1004" t="s">
        <v>5358</v>
      </c>
      <c r="AC1004">
        <v>88997426919</v>
      </c>
    </row>
    <row r="1005" spans="1:29" x14ac:dyDescent="0.3">
      <c r="A1005" t="s">
        <v>1405</v>
      </c>
      <c r="B1005" t="s">
        <v>2302</v>
      </c>
      <c r="C1005" t="s">
        <v>5359</v>
      </c>
      <c r="D1005">
        <v>62756591149</v>
      </c>
      <c r="E1005">
        <v>9094342</v>
      </c>
      <c r="F1005">
        <v>1004009222</v>
      </c>
      <c r="G1005" s="1">
        <v>44614</v>
      </c>
      <c r="H1005" t="s">
        <v>1360</v>
      </c>
      <c r="I1005" t="s">
        <v>1374</v>
      </c>
      <c r="J1005" t="s">
        <v>2348</v>
      </c>
      <c r="K1005" t="s">
        <v>2308</v>
      </c>
      <c r="L1005" t="s">
        <v>2305</v>
      </c>
      <c r="M1005" t="s">
        <v>1409</v>
      </c>
      <c r="N1005" t="s">
        <v>1410</v>
      </c>
      <c r="O1005" t="s">
        <v>1411</v>
      </c>
      <c r="P1005" t="s">
        <v>1411</v>
      </c>
      <c r="Q1005" t="s">
        <v>1412</v>
      </c>
      <c r="S1005" s="1">
        <v>46043</v>
      </c>
      <c r="W1005" s="1">
        <v>27276</v>
      </c>
      <c r="X1005" t="s">
        <v>1858</v>
      </c>
      <c r="Y1005" t="s">
        <v>1762</v>
      </c>
      <c r="Z1005" t="s">
        <v>3088</v>
      </c>
      <c r="AA1005" t="s">
        <v>1415</v>
      </c>
      <c r="AB1005" t="s">
        <v>5360</v>
      </c>
      <c r="AC1005">
        <v>65992153199</v>
      </c>
    </row>
    <row r="1006" spans="1:29" x14ac:dyDescent="0.3">
      <c r="A1006" t="s">
        <v>1405</v>
      </c>
      <c r="B1006" t="s">
        <v>2302</v>
      </c>
      <c r="C1006" t="s">
        <v>5361</v>
      </c>
      <c r="D1006">
        <v>96189509053</v>
      </c>
      <c r="E1006">
        <v>2055294661</v>
      </c>
      <c r="F1006">
        <v>1004007675</v>
      </c>
      <c r="G1006" s="1">
        <v>44293</v>
      </c>
      <c r="H1006" t="s">
        <v>1360</v>
      </c>
      <c r="I1006" t="s">
        <v>1374</v>
      </c>
      <c r="J1006" t="s">
        <v>2308</v>
      </c>
      <c r="K1006" t="s">
        <v>2313</v>
      </c>
      <c r="L1006" t="s">
        <v>2305</v>
      </c>
      <c r="M1006" t="s">
        <v>1409</v>
      </c>
      <c r="N1006" t="s">
        <v>1410</v>
      </c>
      <c r="O1006" t="s">
        <v>1423</v>
      </c>
      <c r="P1006" t="s">
        <v>1423</v>
      </c>
      <c r="Q1006" t="s">
        <v>1412</v>
      </c>
      <c r="S1006" s="1">
        <v>46043</v>
      </c>
      <c r="W1006" s="1">
        <v>28373</v>
      </c>
      <c r="X1006" t="s">
        <v>1490</v>
      </c>
      <c r="Y1006" t="s">
        <v>1662</v>
      </c>
      <c r="Z1006" t="s">
        <v>2448</v>
      </c>
      <c r="AA1006" t="s">
        <v>1419</v>
      </c>
      <c r="AB1006" t="s">
        <v>5362</v>
      </c>
      <c r="AC1006">
        <v>51997934803</v>
      </c>
    </row>
    <row r="1007" spans="1:29" x14ac:dyDescent="0.3">
      <c r="A1007" t="s">
        <v>1405</v>
      </c>
      <c r="B1007" t="s">
        <v>2302</v>
      </c>
      <c r="C1007" t="s">
        <v>5363</v>
      </c>
      <c r="D1007">
        <v>21749094568</v>
      </c>
      <c r="E1007">
        <v>368744779</v>
      </c>
      <c r="F1007">
        <v>1004011588</v>
      </c>
      <c r="G1007" s="1">
        <v>45000</v>
      </c>
      <c r="H1007" t="s">
        <v>1360</v>
      </c>
      <c r="I1007" t="s">
        <v>1374</v>
      </c>
      <c r="J1007" t="s">
        <v>1361</v>
      </c>
      <c r="K1007" t="s">
        <v>2308</v>
      </c>
      <c r="L1007" t="s">
        <v>2305</v>
      </c>
      <c r="M1007" t="s">
        <v>1421</v>
      </c>
      <c r="N1007" t="s">
        <v>1422</v>
      </c>
      <c r="O1007" t="s">
        <v>1411</v>
      </c>
      <c r="P1007" t="s">
        <v>1411</v>
      </c>
      <c r="Q1007" t="s">
        <v>1412</v>
      </c>
      <c r="S1007" s="1">
        <v>46043</v>
      </c>
      <c r="W1007" s="1">
        <v>23868</v>
      </c>
      <c r="X1007" t="s">
        <v>2117</v>
      </c>
      <c r="Z1007" t="s">
        <v>3061</v>
      </c>
      <c r="AA1007" t="s">
        <v>1419</v>
      </c>
      <c r="AB1007" t="s">
        <v>5364</v>
      </c>
      <c r="AC1007">
        <v>75998601402</v>
      </c>
    </row>
    <row r="1008" spans="1:29" x14ac:dyDescent="0.3">
      <c r="A1008" t="s">
        <v>1405</v>
      </c>
      <c r="B1008" t="s">
        <v>2302</v>
      </c>
      <c r="C1008" t="s">
        <v>5365</v>
      </c>
      <c r="D1008">
        <v>72844450920</v>
      </c>
      <c r="E1008" t="s">
        <v>5366</v>
      </c>
      <c r="F1008">
        <v>1004001048</v>
      </c>
      <c r="G1008" s="1">
        <v>42998</v>
      </c>
      <c r="H1008" t="s">
        <v>1360</v>
      </c>
      <c r="I1008" t="s">
        <v>1374</v>
      </c>
      <c r="J1008" t="s">
        <v>2308</v>
      </c>
      <c r="K1008" t="s">
        <v>2313</v>
      </c>
      <c r="L1008" t="s">
        <v>2305</v>
      </c>
      <c r="M1008" t="s">
        <v>1409</v>
      </c>
      <c r="N1008" t="s">
        <v>1410</v>
      </c>
      <c r="O1008" t="s">
        <v>1423</v>
      </c>
      <c r="P1008" t="s">
        <v>1423</v>
      </c>
      <c r="Q1008" t="s">
        <v>1412</v>
      </c>
      <c r="S1008" s="1">
        <v>46043</v>
      </c>
      <c r="W1008" s="1">
        <v>26217</v>
      </c>
      <c r="X1008" t="s">
        <v>4559</v>
      </c>
      <c r="Y1008" t="s">
        <v>4560</v>
      </c>
      <c r="Z1008" t="s">
        <v>2630</v>
      </c>
      <c r="AA1008" t="s">
        <v>1419</v>
      </c>
      <c r="AB1008" t="s">
        <v>5367</v>
      </c>
      <c r="AC1008">
        <v>4799801496</v>
      </c>
    </row>
    <row r="1009" spans="1:29" x14ac:dyDescent="0.3">
      <c r="A1009" t="s">
        <v>1405</v>
      </c>
      <c r="B1009" t="s">
        <v>2302</v>
      </c>
      <c r="C1009" t="s">
        <v>5368</v>
      </c>
      <c r="D1009">
        <v>38585324104</v>
      </c>
      <c r="E1009">
        <v>2245017</v>
      </c>
      <c r="F1009">
        <v>1004001696</v>
      </c>
      <c r="G1009" s="1">
        <v>43182</v>
      </c>
      <c r="H1009" t="s">
        <v>1360</v>
      </c>
      <c r="I1009" t="s">
        <v>1374</v>
      </c>
      <c r="J1009" t="s">
        <v>2308</v>
      </c>
      <c r="K1009" t="s">
        <v>2313</v>
      </c>
      <c r="L1009" t="s">
        <v>2305</v>
      </c>
      <c r="M1009" t="s">
        <v>1409</v>
      </c>
      <c r="N1009" t="s">
        <v>1410</v>
      </c>
      <c r="O1009" t="s">
        <v>1423</v>
      </c>
      <c r="P1009" t="s">
        <v>1423</v>
      </c>
      <c r="Q1009" t="s">
        <v>1412</v>
      </c>
      <c r="S1009" s="1">
        <v>46043</v>
      </c>
      <c r="W1009" s="1">
        <v>24327</v>
      </c>
      <c r="X1009" t="s">
        <v>1617</v>
      </c>
      <c r="Y1009" t="s">
        <v>2233</v>
      </c>
      <c r="Z1009" t="s">
        <v>2494</v>
      </c>
      <c r="AA1009" t="s">
        <v>1419</v>
      </c>
      <c r="AB1009" t="s">
        <v>5369</v>
      </c>
      <c r="AC1009">
        <v>62996697510</v>
      </c>
    </row>
    <row r="1010" spans="1:29" x14ac:dyDescent="0.3">
      <c r="A1010" t="s">
        <v>1405</v>
      </c>
      <c r="B1010" t="s">
        <v>2302</v>
      </c>
      <c r="C1010" t="s">
        <v>5370</v>
      </c>
      <c r="D1010">
        <v>52042510904</v>
      </c>
      <c r="E1010">
        <v>1666163</v>
      </c>
      <c r="F1010">
        <v>1004007630</v>
      </c>
      <c r="G1010" s="1">
        <v>44291</v>
      </c>
      <c r="H1010" t="s">
        <v>1360</v>
      </c>
      <c r="I1010" t="s">
        <v>1374</v>
      </c>
      <c r="J1010" t="s">
        <v>2308</v>
      </c>
      <c r="K1010" t="s">
        <v>2313</v>
      </c>
      <c r="L1010" t="s">
        <v>2305</v>
      </c>
      <c r="M1010" t="s">
        <v>1447</v>
      </c>
      <c r="N1010" t="s">
        <v>1448</v>
      </c>
      <c r="O1010" t="s">
        <v>1423</v>
      </c>
      <c r="P1010" t="s">
        <v>1423</v>
      </c>
      <c r="Q1010" t="s">
        <v>1412</v>
      </c>
      <c r="S1010" s="1">
        <v>46043</v>
      </c>
      <c r="W1010" s="1">
        <v>23493</v>
      </c>
      <c r="X1010" t="s">
        <v>1728</v>
      </c>
      <c r="Z1010" t="s">
        <v>2754</v>
      </c>
      <c r="AA1010" t="s">
        <v>1419</v>
      </c>
      <c r="AB1010" t="s">
        <v>5371</v>
      </c>
      <c r="AC1010">
        <v>48991362974</v>
      </c>
    </row>
    <row r="1011" spans="1:29" x14ac:dyDescent="0.3">
      <c r="A1011" t="s">
        <v>1405</v>
      </c>
      <c r="B1011" t="s">
        <v>2302</v>
      </c>
      <c r="C1011" t="s">
        <v>5372</v>
      </c>
      <c r="D1011">
        <v>49005766387</v>
      </c>
      <c r="E1011">
        <v>711053120190</v>
      </c>
      <c r="F1011">
        <v>1004007876</v>
      </c>
      <c r="G1011" s="1">
        <v>44310</v>
      </c>
      <c r="H1011" t="s">
        <v>1360</v>
      </c>
      <c r="I1011" t="s">
        <v>1374</v>
      </c>
      <c r="J1011" t="s">
        <v>2308</v>
      </c>
      <c r="K1011" t="s">
        <v>2313</v>
      </c>
      <c r="L1011" t="s">
        <v>2305</v>
      </c>
      <c r="M1011" t="s">
        <v>1409</v>
      </c>
      <c r="N1011" t="s">
        <v>1410</v>
      </c>
      <c r="O1011" t="s">
        <v>1411</v>
      </c>
      <c r="P1011" t="s">
        <v>1423</v>
      </c>
      <c r="Q1011" t="s">
        <v>1412</v>
      </c>
      <c r="S1011" s="1">
        <v>45968</v>
      </c>
      <c r="T1011" s="1">
        <v>45426</v>
      </c>
      <c r="W1011" s="1">
        <v>26336</v>
      </c>
      <c r="X1011" t="s">
        <v>5373</v>
      </c>
      <c r="Y1011" t="s">
        <v>5374</v>
      </c>
      <c r="Z1011" t="s">
        <v>3399</v>
      </c>
      <c r="AA1011" t="s">
        <v>1419</v>
      </c>
      <c r="AB1011" t="s">
        <v>5375</v>
      </c>
      <c r="AC1011">
        <v>98985396572</v>
      </c>
    </row>
    <row r="1012" spans="1:29" x14ac:dyDescent="0.3">
      <c r="A1012" t="s">
        <v>1405</v>
      </c>
      <c r="B1012" t="s">
        <v>2302</v>
      </c>
      <c r="C1012" t="s">
        <v>5376</v>
      </c>
      <c r="D1012">
        <v>26702320272</v>
      </c>
      <c r="E1012">
        <v>1474397</v>
      </c>
      <c r="F1012">
        <v>1004002444</v>
      </c>
      <c r="G1012" s="1">
        <v>43322</v>
      </c>
      <c r="H1012" t="s">
        <v>1360</v>
      </c>
      <c r="I1012" t="s">
        <v>1374</v>
      </c>
      <c r="J1012" t="s">
        <v>2308</v>
      </c>
      <c r="K1012" t="s">
        <v>2313</v>
      </c>
      <c r="L1012" t="s">
        <v>2305</v>
      </c>
      <c r="M1012" t="s">
        <v>1447</v>
      </c>
      <c r="N1012" t="s">
        <v>1448</v>
      </c>
      <c r="O1012" t="s">
        <v>1411</v>
      </c>
      <c r="P1012" t="s">
        <v>1411</v>
      </c>
      <c r="Q1012" t="s">
        <v>1412</v>
      </c>
      <c r="S1012" s="1">
        <v>46043</v>
      </c>
      <c r="W1012" s="1">
        <v>21629</v>
      </c>
      <c r="X1012" t="s">
        <v>2240</v>
      </c>
      <c r="Z1012" t="s">
        <v>2770</v>
      </c>
      <c r="AA1012" t="s">
        <v>1419</v>
      </c>
      <c r="AB1012" t="s">
        <v>5377</v>
      </c>
      <c r="AC1012">
        <v>94991584288</v>
      </c>
    </row>
    <row r="1013" spans="1:29" x14ac:dyDescent="0.3">
      <c r="A1013" t="s">
        <v>1405</v>
      </c>
      <c r="B1013" t="s">
        <v>2302</v>
      </c>
      <c r="C1013" t="s">
        <v>5378</v>
      </c>
      <c r="D1013">
        <v>27739207837</v>
      </c>
      <c r="E1013" t="s">
        <v>5379</v>
      </c>
      <c r="F1013">
        <v>1004016823</v>
      </c>
      <c r="G1013" s="1">
        <v>45705</v>
      </c>
      <c r="H1013" t="s">
        <v>1360</v>
      </c>
      <c r="I1013" t="s">
        <v>1374</v>
      </c>
      <c r="J1013" t="s">
        <v>1361</v>
      </c>
      <c r="K1013" t="s">
        <v>2308</v>
      </c>
      <c r="L1013" t="s">
        <v>2305</v>
      </c>
      <c r="M1013" t="s">
        <v>1409</v>
      </c>
      <c r="N1013" t="s">
        <v>1410</v>
      </c>
      <c r="O1013" t="s">
        <v>1411</v>
      </c>
      <c r="P1013" t="s">
        <v>1423</v>
      </c>
      <c r="Q1013" t="s">
        <v>1412</v>
      </c>
      <c r="S1013" s="1">
        <v>46043</v>
      </c>
      <c r="W1013" s="1">
        <v>28640</v>
      </c>
      <c r="X1013" t="s">
        <v>3035</v>
      </c>
      <c r="Y1013" t="s">
        <v>5380</v>
      </c>
      <c r="Z1013" t="s">
        <v>3036</v>
      </c>
      <c r="AA1013" t="s">
        <v>1419</v>
      </c>
      <c r="AB1013" t="s">
        <v>5381</v>
      </c>
      <c r="AC1013">
        <v>87981605345</v>
      </c>
    </row>
    <row r="1014" spans="1:29" x14ac:dyDescent="0.3">
      <c r="A1014" t="s">
        <v>1405</v>
      </c>
      <c r="B1014" t="s">
        <v>2302</v>
      </c>
      <c r="C1014" t="s">
        <v>5382</v>
      </c>
      <c r="D1014">
        <v>7523388469</v>
      </c>
      <c r="E1014">
        <v>7621385</v>
      </c>
      <c r="F1014">
        <v>1004003796</v>
      </c>
      <c r="G1014" s="1">
        <v>43599</v>
      </c>
      <c r="H1014" t="s">
        <v>1360</v>
      </c>
      <c r="I1014" t="s">
        <v>1349</v>
      </c>
      <c r="J1014" t="s">
        <v>2308</v>
      </c>
      <c r="K1014" t="s">
        <v>2313</v>
      </c>
      <c r="L1014" t="s">
        <v>2305</v>
      </c>
      <c r="M1014" t="s">
        <v>1409</v>
      </c>
      <c r="N1014" t="s">
        <v>1410</v>
      </c>
      <c r="O1014" t="s">
        <v>1411</v>
      </c>
      <c r="P1014" t="s">
        <v>1423</v>
      </c>
      <c r="Q1014" t="s">
        <v>1412</v>
      </c>
      <c r="S1014" s="1">
        <v>46045</v>
      </c>
      <c r="V1014" s="1">
        <v>46041</v>
      </c>
      <c r="W1014" s="1">
        <v>32398</v>
      </c>
      <c r="X1014" t="s">
        <v>5383</v>
      </c>
      <c r="Y1014" t="s">
        <v>5384</v>
      </c>
      <c r="Z1014" t="s">
        <v>3036</v>
      </c>
      <c r="AA1014" t="s">
        <v>1419</v>
      </c>
      <c r="AB1014" t="s">
        <v>5385</v>
      </c>
      <c r="AC1014">
        <v>87996612517</v>
      </c>
    </row>
    <row r="1015" spans="1:29" x14ac:dyDescent="0.3">
      <c r="A1015" t="s">
        <v>1405</v>
      </c>
      <c r="B1015" t="s">
        <v>2302</v>
      </c>
      <c r="C1015" t="s">
        <v>5386</v>
      </c>
      <c r="D1015">
        <v>52791831991</v>
      </c>
      <c r="E1015">
        <v>1675321</v>
      </c>
      <c r="F1015">
        <v>1004000022</v>
      </c>
      <c r="G1015" s="1">
        <v>42767</v>
      </c>
      <c r="H1015" t="s">
        <v>1360</v>
      </c>
      <c r="I1015" t="s">
        <v>1374</v>
      </c>
      <c r="J1015" t="s">
        <v>2308</v>
      </c>
      <c r="K1015" t="s">
        <v>2313</v>
      </c>
      <c r="L1015" t="s">
        <v>2305</v>
      </c>
      <c r="M1015" t="s">
        <v>1409</v>
      </c>
      <c r="N1015" t="s">
        <v>1410</v>
      </c>
      <c r="O1015" t="s">
        <v>1423</v>
      </c>
      <c r="P1015" t="s">
        <v>1423</v>
      </c>
      <c r="Q1015" t="s">
        <v>1412</v>
      </c>
      <c r="S1015" s="1">
        <v>46043</v>
      </c>
      <c r="W1015" s="1">
        <v>23661</v>
      </c>
      <c r="X1015" t="s">
        <v>5387</v>
      </c>
      <c r="Z1015" t="s">
        <v>2724</v>
      </c>
      <c r="AA1015" t="s">
        <v>1419</v>
      </c>
      <c r="AB1015" t="s">
        <v>5388</v>
      </c>
      <c r="AC1015">
        <v>4791401578</v>
      </c>
    </row>
    <row r="1016" spans="1:29" x14ac:dyDescent="0.3">
      <c r="A1016" t="s">
        <v>1405</v>
      </c>
      <c r="B1016" t="s">
        <v>2302</v>
      </c>
      <c r="C1016" t="s">
        <v>5389</v>
      </c>
      <c r="D1016">
        <v>93031785568</v>
      </c>
      <c r="E1016">
        <v>666349703</v>
      </c>
      <c r="F1016">
        <v>1004010577</v>
      </c>
      <c r="G1016" s="1">
        <v>44790</v>
      </c>
      <c r="H1016" t="s">
        <v>1360</v>
      </c>
      <c r="I1016" t="s">
        <v>1349</v>
      </c>
      <c r="J1016" t="s">
        <v>1361</v>
      </c>
      <c r="K1016" t="s">
        <v>2308</v>
      </c>
      <c r="L1016" t="s">
        <v>2305</v>
      </c>
      <c r="M1016" t="s">
        <v>1421</v>
      </c>
      <c r="N1016" t="s">
        <v>1410</v>
      </c>
      <c r="O1016" t="s">
        <v>1462</v>
      </c>
      <c r="P1016" t="s">
        <v>1462</v>
      </c>
      <c r="Q1016" t="s">
        <v>1412</v>
      </c>
      <c r="S1016" s="1">
        <v>46065</v>
      </c>
      <c r="V1016" s="1">
        <v>46064</v>
      </c>
      <c r="W1016" s="1">
        <v>28201</v>
      </c>
      <c r="X1016" t="s">
        <v>2361</v>
      </c>
      <c r="Y1016" t="s">
        <v>2362</v>
      </c>
      <c r="Z1016" t="s">
        <v>2677</v>
      </c>
      <c r="AA1016" t="s">
        <v>1415</v>
      </c>
      <c r="AB1016" t="s">
        <v>5390</v>
      </c>
      <c r="AC1016">
        <v>75981588651</v>
      </c>
    </row>
    <row r="1017" spans="1:29" x14ac:dyDescent="0.3">
      <c r="A1017" t="s">
        <v>1405</v>
      </c>
      <c r="B1017" t="s">
        <v>2302</v>
      </c>
      <c r="C1017" t="s">
        <v>5391</v>
      </c>
      <c r="D1017">
        <v>357556950</v>
      </c>
      <c r="E1017">
        <v>2839911</v>
      </c>
      <c r="F1017">
        <v>42004202197</v>
      </c>
      <c r="G1017" s="1">
        <v>42468</v>
      </c>
      <c r="H1017" t="s">
        <v>1360</v>
      </c>
      <c r="I1017" t="s">
        <v>1374</v>
      </c>
      <c r="J1017" t="s">
        <v>2308</v>
      </c>
      <c r="K1017" t="s">
        <v>2313</v>
      </c>
      <c r="L1017" t="s">
        <v>2305</v>
      </c>
      <c r="M1017" t="s">
        <v>1409</v>
      </c>
      <c r="N1017" t="s">
        <v>1410</v>
      </c>
      <c r="O1017" t="s">
        <v>1423</v>
      </c>
      <c r="P1017" t="s">
        <v>1423</v>
      </c>
      <c r="Q1017" t="s">
        <v>1412</v>
      </c>
      <c r="S1017" s="1">
        <v>46043</v>
      </c>
      <c r="W1017" s="1">
        <v>28947</v>
      </c>
      <c r="X1017" t="s">
        <v>2456</v>
      </c>
      <c r="Y1017" t="s">
        <v>2457</v>
      </c>
      <c r="Z1017" t="s">
        <v>2458</v>
      </c>
      <c r="AA1017" t="s">
        <v>1419</v>
      </c>
      <c r="AB1017" t="s">
        <v>5392</v>
      </c>
    </row>
    <row r="1018" spans="1:29" x14ac:dyDescent="0.3">
      <c r="A1018" t="s">
        <v>1405</v>
      </c>
      <c r="B1018" t="s">
        <v>2302</v>
      </c>
      <c r="C1018" t="s">
        <v>5393</v>
      </c>
      <c r="D1018">
        <v>734812973</v>
      </c>
      <c r="E1018">
        <v>3602955</v>
      </c>
      <c r="F1018">
        <v>1004009262</v>
      </c>
      <c r="G1018" s="1">
        <v>44615</v>
      </c>
      <c r="H1018" t="s">
        <v>1360</v>
      </c>
      <c r="I1018" t="s">
        <v>1374</v>
      </c>
      <c r="J1018" t="s">
        <v>1361</v>
      </c>
      <c r="K1018" t="s">
        <v>2308</v>
      </c>
      <c r="L1018" t="s">
        <v>2305</v>
      </c>
      <c r="M1018" t="s">
        <v>1409</v>
      </c>
      <c r="N1018" t="s">
        <v>1410</v>
      </c>
      <c r="O1018" t="s">
        <v>1423</v>
      </c>
      <c r="P1018" t="s">
        <v>1423</v>
      </c>
      <c r="Q1018" t="s">
        <v>1412</v>
      </c>
      <c r="S1018" s="1">
        <v>46043</v>
      </c>
      <c r="W1018" s="1">
        <v>27810</v>
      </c>
      <c r="X1018" t="s">
        <v>2742</v>
      </c>
      <c r="Y1018" t="s">
        <v>3042</v>
      </c>
      <c r="Z1018" t="s">
        <v>2743</v>
      </c>
      <c r="AA1018" t="s">
        <v>1419</v>
      </c>
      <c r="AB1018" t="s">
        <v>5394</v>
      </c>
      <c r="AC1018">
        <v>49988415301</v>
      </c>
    </row>
    <row r="1019" spans="1:29" x14ac:dyDescent="0.3">
      <c r="A1019" t="s">
        <v>1405</v>
      </c>
      <c r="B1019" t="s">
        <v>2302</v>
      </c>
      <c r="C1019" t="s">
        <v>5395</v>
      </c>
      <c r="D1019">
        <v>94607273520</v>
      </c>
      <c r="E1019">
        <v>6768858</v>
      </c>
      <c r="F1019">
        <v>1004020043</v>
      </c>
      <c r="G1019" s="1">
        <v>45922</v>
      </c>
      <c r="H1019" t="s">
        <v>1360</v>
      </c>
      <c r="I1019" t="s">
        <v>1349</v>
      </c>
      <c r="J1019" t="s">
        <v>2348</v>
      </c>
      <c r="K1019" t="s">
        <v>2308</v>
      </c>
      <c r="L1019" t="s">
        <v>2305</v>
      </c>
      <c r="M1019" t="s">
        <v>1421</v>
      </c>
      <c r="N1019" t="s">
        <v>1422</v>
      </c>
      <c r="O1019" t="s">
        <v>1411</v>
      </c>
      <c r="P1019" t="s">
        <v>1411</v>
      </c>
      <c r="Q1019" t="s">
        <v>1412</v>
      </c>
      <c r="S1019" s="1">
        <v>45936</v>
      </c>
      <c r="V1019" s="1">
        <v>45931</v>
      </c>
      <c r="W1019" s="1">
        <v>28545</v>
      </c>
      <c r="X1019" t="s">
        <v>5396</v>
      </c>
      <c r="Y1019" t="s">
        <v>5397</v>
      </c>
      <c r="Z1019" t="s">
        <v>2681</v>
      </c>
      <c r="AA1019" t="s">
        <v>1419</v>
      </c>
      <c r="AB1019" t="s">
        <v>5398</v>
      </c>
      <c r="AC1019">
        <v>47999363994</v>
      </c>
    </row>
    <row r="1020" spans="1:29" x14ac:dyDescent="0.3">
      <c r="A1020" t="s">
        <v>1405</v>
      </c>
      <c r="B1020" t="s">
        <v>2302</v>
      </c>
      <c r="C1020" t="s">
        <v>5399</v>
      </c>
      <c r="D1020">
        <v>27285162</v>
      </c>
      <c r="E1020">
        <v>1320736</v>
      </c>
      <c r="F1020">
        <v>1004015114</v>
      </c>
      <c r="G1020" s="1">
        <v>45454</v>
      </c>
      <c r="H1020" t="s">
        <v>1360</v>
      </c>
      <c r="I1020" t="s">
        <v>1374</v>
      </c>
      <c r="J1020" t="s">
        <v>1361</v>
      </c>
      <c r="K1020" t="s">
        <v>2308</v>
      </c>
      <c r="L1020" t="s">
        <v>2305</v>
      </c>
      <c r="M1020" t="s">
        <v>1421</v>
      </c>
      <c r="N1020" t="s">
        <v>1422</v>
      </c>
      <c r="O1020" t="s">
        <v>1411</v>
      </c>
      <c r="P1020" t="s">
        <v>1411</v>
      </c>
      <c r="Q1020" t="s">
        <v>1412</v>
      </c>
      <c r="S1020" s="1">
        <v>46069</v>
      </c>
      <c r="W1020" s="1">
        <v>30409</v>
      </c>
      <c r="X1020" t="s">
        <v>2509</v>
      </c>
      <c r="Z1020" t="s">
        <v>2306</v>
      </c>
      <c r="AA1020" t="s">
        <v>1415</v>
      </c>
      <c r="AB1020" t="s">
        <v>5400</v>
      </c>
      <c r="AC1020">
        <v>67999216019</v>
      </c>
    </row>
    <row r="1021" spans="1:29" x14ac:dyDescent="0.3">
      <c r="A1021" t="s">
        <v>1405</v>
      </c>
      <c r="B1021" t="s">
        <v>2302</v>
      </c>
      <c r="C1021" t="s">
        <v>5401</v>
      </c>
      <c r="D1021">
        <v>4590563363</v>
      </c>
      <c r="E1021">
        <v>2006019167113</v>
      </c>
      <c r="F1021">
        <v>1004006046</v>
      </c>
      <c r="G1021" s="1">
        <v>43936</v>
      </c>
      <c r="H1021" t="s">
        <v>1360</v>
      </c>
      <c r="I1021" t="s">
        <v>1349</v>
      </c>
      <c r="J1021" t="s">
        <v>2308</v>
      </c>
      <c r="K1021" t="s">
        <v>2313</v>
      </c>
      <c r="L1021" t="s">
        <v>2305</v>
      </c>
      <c r="M1021" t="s">
        <v>1421</v>
      </c>
      <c r="N1021" t="s">
        <v>1422</v>
      </c>
      <c r="O1021" t="s">
        <v>1423</v>
      </c>
      <c r="P1021" t="s">
        <v>1423</v>
      </c>
      <c r="Q1021" t="s">
        <v>1412</v>
      </c>
      <c r="S1021" s="1">
        <v>46042</v>
      </c>
      <c r="T1021" s="1">
        <v>45454</v>
      </c>
      <c r="V1021" s="1">
        <v>46038</v>
      </c>
      <c r="W1021" s="1">
        <v>33358</v>
      </c>
      <c r="X1021" t="s">
        <v>1507</v>
      </c>
      <c r="Y1021" t="s">
        <v>2336</v>
      </c>
      <c r="Z1021" t="s">
        <v>2506</v>
      </c>
      <c r="AA1021" t="s">
        <v>1419</v>
      </c>
      <c r="AB1021" t="s">
        <v>5402</v>
      </c>
      <c r="AC1021">
        <v>88999100705</v>
      </c>
    </row>
    <row r="1022" spans="1:29" x14ac:dyDescent="0.3">
      <c r="A1022" t="s">
        <v>1405</v>
      </c>
      <c r="B1022" t="s">
        <v>2302</v>
      </c>
      <c r="C1022" t="s">
        <v>5403</v>
      </c>
      <c r="D1022">
        <v>65250591949</v>
      </c>
      <c r="E1022">
        <v>1759308</v>
      </c>
      <c r="F1022">
        <v>1004000853</v>
      </c>
      <c r="G1022" s="1">
        <v>42968</v>
      </c>
      <c r="H1022" t="s">
        <v>1360</v>
      </c>
      <c r="I1022" t="s">
        <v>1374</v>
      </c>
      <c r="J1022" t="s">
        <v>2308</v>
      </c>
      <c r="K1022" t="s">
        <v>2313</v>
      </c>
      <c r="L1022" t="s">
        <v>2305</v>
      </c>
      <c r="M1022" t="s">
        <v>1409</v>
      </c>
      <c r="N1022" t="s">
        <v>1410</v>
      </c>
      <c r="O1022" t="s">
        <v>1462</v>
      </c>
      <c r="P1022" t="s">
        <v>1462</v>
      </c>
      <c r="Q1022" t="s">
        <v>1412</v>
      </c>
      <c r="S1022" s="1">
        <v>46043</v>
      </c>
      <c r="W1022" s="1">
        <v>24080</v>
      </c>
      <c r="X1022" t="s">
        <v>5404</v>
      </c>
      <c r="Y1022" t="s">
        <v>2900</v>
      </c>
      <c r="Z1022" t="s">
        <v>2601</v>
      </c>
      <c r="AA1022" t="s">
        <v>1419</v>
      </c>
      <c r="AB1022" t="s">
        <v>5405</v>
      </c>
      <c r="AC1022">
        <v>4930186777</v>
      </c>
    </row>
    <row r="1023" spans="1:29" x14ac:dyDescent="0.3">
      <c r="A1023" t="s">
        <v>1405</v>
      </c>
      <c r="B1023" t="s">
        <v>2302</v>
      </c>
      <c r="C1023" t="s">
        <v>5406</v>
      </c>
      <c r="D1023">
        <v>91635080282</v>
      </c>
      <c r="E1023">
        <v>6443743</v>
      </c>
      <c r="F1023">
        <v>1004009303</v>
      </c>
      <c r="G1023" s="1">
        <v>44616</v>
      </c>
      <c r="H1023" t="s">
        <v>1360</v>
      </c>
      <c r="I1023" t="s">
        <v>5017</v>
      </c>
      <c r="J1023" t="s">
        <v>2348</v>
      </c>
      <c r="K1023" t="s">
        <v>2308</v>
      </c>
      <c r="L1023" t="s">
        <v>2305</v>
      </c>
      <c r="M1023" t="s">
        <v>1421</v>
      </c>
      <c r="N1023" t="s">
        <v>1422</v>
      </c>
      <c r="O1023" t="s">
        <v>1411</v>
      </c>
      <c r="P1023" t="s">
        <v>1411</v>
      </c>
      <c r="Q1023" t="s">
        <v>1412</v>
      </c>
      <c r="S1023" s="1">
        <v>45365</v>
      </c>
      <c r="T1023" s="1">
        <v>45352</v>
      </c>
      <c r="W1023" s="1">
        <v>32789</v>
      </c>
      <c r="X1023" t="s">
        <v>5407</v>
      </c>
      <c r="Y1023" t="s">
        <v>5408</v>
      </c>
      <c r="Z1023" t="s">
        <v>3256</v>
      </c>
      <c r="AA1023" t="s">
        <v>1415</v>
      </c>
      <c r="AB1023" t="s">
        <v>5409</v>
      </c>
      <c r="AC1023">
        <v>9134232791</v>
      </c>
    </row>
    <row r="1024" spans="1:29" x14ac:dyDescent="0.3">
      <c r="A1024" t="s">
        <v>1405</v>
      </c>
      <c r="B1024" t="s">
        <v>2302</v>
      </c>
      <c r="C1024" t="s">
        <v>5410</v>
      </c>
      <c r="D1024">
        <v>3088541285</v>
      </c>
      <c r="E1024">
        <v>7852586</v>
      </c>
      <c r="F1024">
        <v>1004014723</v>
      </c>
      <c r="G1024" s="1">
        <v>45405</v>
      </c>
      <c r="H1024" t="s">
        <v>1360</v>
      </c>
      <c r="I1024" t="s">
        <v>1349</v>
      </c>
      <c r="J1024" t="s">
        <v>2348</v>
      </c>
      <c r="K1024" t="s">
        <v>2308</v>
      </c>
      <c r="L1024" t="s">
        <v>2305</v>
      </c>
      <c r="M1024" t="s">
        <v>1409</v>
      </c>
      <c r="N1024" t="s">
        <v>1410</v>
      </c>
      <c r="O1024" t="s">
        <v>1411</v>
      </c>
      <c r="P1024" t="s">
        <v>1411</v>
      </c>
      <c r="Q1024" t="s">
        <v>1412</v>
      </c>
      <c r="S1024" s="1">
        <v>45855</v>
      </c>
      <c r="V1024" s="1">
        <v>45854</v>
      </c>
      <c r="W1024" s="1">
        <v>35434</v>
      </c>
      <c r="X1024" t="s">
        <v>5411</v>
      </c>
      <c r="Z1024" t="s">
        <v>4908</v>
      </c>
      <c r="AA1024" t="s">
        <v>1419</v>
      </c>
      <c r="AB1024" t="s">
        <v>5412</v>
      </c>
      <c r="AC1024">
        <v>91985462054</v>
      </c>
    </row>
    <row r="1025" spans="1:29" x14ac:dyDescent="0.3">
      <c r="A1025" t="s">
        <v>1405</v>
      </c>
      <c r="B1025" t="s">
        <v>2302</v>
      </c>
      <c r="C1025" t="s">
        <v>5413</v>
      </c>
      <c r="D1025">
        <v>1108245048</v>
      </c>
      <c r="E1025">
        <v>1090334226</v>
      </c>
      <c r="F1025">
        <v>1004003365</v>
      </c>
      <c r="G1025" s="1">
        <v>43558</v>
      </c>
      <c r="H1025" t="s">
        <v>1360</v>
      </c>
      <c r="I1025" t="s">
        <v>1374</v>
      </c>
      <c r="J1025" t="s">
        <v>2308</v>
      </c>
      <c r="K1025" t="s">
        <v>2313</v>
      </c>
      <c r="L1025" t="s">
        <v>2305</v>
      </c>
      <c r="M1025" t="s">
        <v>1442</v>
      </c>
      <c r="N1025" t="s">
        <v>1443</v>
      </c>
      <c r="O1025" t="s">
        <v>1423</v>
      </c>
      <c r="P1025" t="s">
        <v>1423</v>
      </c>
      <c r="Q1025" t="s">
        <v>1412</v>
      </c>
      <c r="S1025" s="1">
        <v>46043</v>
      </c>
      <c r="W1025" s="1">
        <v>31678</v>
      </c>
      <c r="X1025" t="s">
        <v>4616</v>
      </c>
      <c r="Y1025" t="s">
        <v>5098</v>
      </c>
      <c r="Z1025" t="s">
        <v>2640</v>
      </c>
      <c r="AA1025" t="s">
        <v>1419</v>
      </c>
      <c r="AB1025" t="s">
        <v>5414</v>
      </c>
      <c r="AC1025">
        <v>55999996050</v>
      </c>
    </row>
    <row r="1026" spans="1:29" x14ac:dyDescent="0.3">
      <c r="A1026" t="s">
        <v>1405</v>
      </c>
      <c r="B1026" t="s">
        <v>2302</v>
      </c>
      <c r="C1026" t="s">
        <v>5415</v>
      </c>
      <c r="D1026">
        <v>2174970201</v>
      </c>
      <c r="E1026">
        <v>6978010</v>
      </c>
      <c r="F1026">
        <v>1004014966</v>
      </c>
      <c r="G1026" s="1">
        <v>45428</v>
      </c>
      <c r="H1026" t="s">
        <v>1360</v>
      </c>
      <c r="I1026" t="s">
        <v>1374</v>
      </c>
      <c r="J1026" t="s">
        <v>1361</v>
      </c>
      <c r="K1026" t="s">
        <v>2308</v>
      </c>
      <c r="L1026" t="s">
        <v>2305</v>
      </c>
      <c r="M1026" t="s">
        <v>1421</v>
      </c>
      <c r="N1026" t="s">
        <v>1422</v>
      </c>
      <c r="O1026" t="s">
        <v>1423</v>
      </c>
      <c r="P1026" t="s">
        <v>1411</v>
      </c>
      <c r="Q1026" t="s">
        <v>1412</v>
      </c>
      <c r="S1026" s="1">
        <v>46043</v>
      </c>
      <c r="W1026" s="1">
        <v>35053</v>
      </c>
      <c r="X1026" t="s">
        <v>5416</v>
      </c>
      <c r="Y1026" t="s">
        <v>5417</v>
      </c>
      <c r="Z1026" t="s">
        <v>5418</v>
      </c>
      <c r="AA1026" t="s">
        <v>1419</v>
      </c>
      <c r="AB1026" t="s">
        <v>5419</v>
      </c>
      <c r="AC1026">
        <v>91992012031</v>
      </c>
    </row>
    <row r="1027" spans="1:29" x14ac:dyDescent="0.3">
      <c r="A1027" t="s">
        <v>1405</v>
      </c>
      <c r="B1027" t="s">
        <v>2302</v>
      </c>
      <c r="C1027" t="s">
        <v>5420</v>
      </c>
      <c r="D1027">
        <v>398418209</v>
      </c>
      <c r="E1027" t="s">
        <v>5421</v>
      </c>
      <c r="F1027">
        <v>1004019835</v>
      </c>
      <c r="G1027" s="1">
        <v>45915</v>
      </c>
      <c r="H1027" t="s">
        <v>1360</v>
      </c>
      <c r="I1027" t="s">
        <v>1374</v>
      </c>
      <c r="J1027" t="s">
        <v>1361</v>
      </c>
      <c r="K1027" t="s">
        <v>2308</v>
      </c>
      <c r="L1027" t="s">
        <v>2305</v>
      </c>
      <c r="M1027" t="s">
        <v>1409</v>
      </c>
      <c r="N1027" t="s">
        <v>1410</v>
      </c>
      <c r="O1027" t="s">
        <v>1411</v>
      </c>
      <c r="P1027" t="s">
        <v>1411</v>
      </c>
      <c r="Q1027" t="s">
        <v>1412</v>
      </c>
      <c r="S1027" s="1">
        <v>46043</v>
      </c>
      <c r="W1027" s="1">
        <v>34301</v>
      </c>
      <c r="X1027" t="s">
        <v>5422</v>
      </c>
      <c r="Y1027" t="s">
        <v>5423</v>
      </c>
      <c r="Z1027" t="s">
        <v>4183</v>
      </c>
      <c r="AA1027" t="s">
        <v>1419</v>
      </c>
      <c r="AB1027" t="s">
        <v>5424</v>
      </c>
      <c r="AC1027">
        <v>68992209191</v>
      </c>
    </row>
    <row r="1028" spans="1:29" x14ac:dyDescent="0.3">
      <c r="A1028" t="s">
        <v>1405</v>
      </c>
      <c r="B1028" t="s">
        <v>2302</v>
      </c>
      <c r="C1028" t="s">
        <v>5425</v>
      </c>
      <c r="D1028">
        <v>3862687970</v>
      </c>
      <c r="E1028">
        <v>3891916</v>
      </c>
      <c r="F1028">
        <v>1004005740</v>
      </c>
      <c r="G1028" s="1">
        <v>43910</v>
      </c>
      <c r="H1028" t="s">
        <v>1360</v>
      </c>
      <c r="I1028" t="s">
        <v>1349</v>
      </c>
      <c r="J1028" t="s">
        <v>2308</v>
      </c>
      <c r="K1028" t="s">
        <v>2313</v>
      </c>
      <c r="L1028" t="s">
        <v>2305</v>
      </c>
      <c r="M1028" t="s">
        <v>1409</v>
      </c>
      <c r="N1028" t="s">
        <v>1410</v>
      </c>
      <c r="O1028" t="s">
        <v>1423</v>
      </c>
      <c r="P1028" t="s">
        <v>1423</v>
      </c>
      <c r="Q1028" t="s">
        <v>1412</v>
      </c>
      <c r="S1028" s="1">
        <v>45756</v>
      </c>
      <c r="V1028" s="1">
        <v>45754</v>
      </c>
      <c r="W1028" s="1">
        <v>30164</v>
      </c>
      <c r="X1028" t="s">
        <v>1563</v>
      </c>
      <c r="Y1028" t="s">
        <v>1564</v>
      </c>
      <c r="Z1028" t="s">
        <v>2630</v>
      </c>
      <c r="AA1028" t="s">
        <v>1419</v>
      </c>
      <c r="AB1028" t="s">
        <v>5426</v>
      </c>
      <c r="AC1028">
        <v>47997470015</v>
      </c>
    </row>
    <row r="1029" spans="1:29" x14ac:dyDescent="0.3">
      <c r="A1029" t="s">
        <v>1405</v>
      </c>
      <c r="B1029" t="s">
        <v>2302</v>
      </c>
      <c r="C1029" t="s">
        <v>5427</v>
      </c>
      <c r="D1029">
        <v>6958535979</v>
      </c>
      <c r="E1029">
        <v>4626412</v>
      </c>
      <c r="F1029">
        <v>1004009176</v>
      </c>
      <c r="G1029" s="1">
        <v>44614</v>
      </c>
      <c r="H1029" t="s">
        <v>1360</v>
      </c>
      <c r="I1029" t="s">
        <v>1349</v>
      </c>
      <c r="J1029" t="s">
        <v>2348</v>
      </c>
      <c r="K1029" t="s">
        <v>2308</v>
      </c>
      <c r="L1029" t="s">
        <v>2305</v>
      </c>
      <c r="M1029" t="s">
        <v>1409</v>
      </c>
      <c r="N1029" t="s">
        <v>1410</v>
      </c>
      <c r="O1029" t="s">
        <v>1423</v>
      </c>
      <c r="P1029" t="s">
        <v>1423</v>
      </c>
      <c r="Q1029" t="s">
        <v>1412</v>
      </c>
      <c r="S1029" s="1">
        <v>46087</v>
      </c>
      <c r="T1029" s="1">
        <v>45962</v>
      </c>
      <c r="V1029" s="1">
        <v>46084</v>
      </c>
      <c r="W1029" s="1">
        <v>32772</v>
      </c>
      <c r="X1029" t="s">
        <v>3570</v>
      </c>
      <c r="Y1029" t="s">
        <v>3571</v>
      </c>
      <c r="Z1029" t="s">
        <v>3770</v>
      </c>
      <c r="AA1029" t="s">
        <v>1415</v>
      </c>
      <c r="AB1029" t="s">
        <v>5428</v>
      </c>
      <c r="AC1029">
        <v>47996321774</v>
      </c>
    </row>
    <row r="1030" spans="1:29" x14ac:dyDescent="0.3">
      <c r="A1030" t="s">
        <v>1405</v>
      </c>
      <c r="B1030" t="s">
        <v>2302</v>
      </c>
      <c r="C1030" t="s">
        <v>5429</v>
      </c>
      <c r="D1030">
        <v>39213838204</v>
      </c>
      <c r="E1030">
        <v>2210008</v>
      </c>
      <c r="F1030">
        <v>1004006062</v>
      </c>
      <c r="G1030" s="1">
        <v>43938</v>
      </c>
      <c r="H1030" t="s">
        <v>1360</v>
      </c>
      <c r="I1030" t="s">
        <v>1349</v>
      </c>
      <c r="J1030" t="s">
        <v>2308</v>
      </c>
      <c r="K1030" t="s">
        <v>2313</v>
      </c>
      <c r="L1030" t="s">
        <v>2305</v>
      </c>
      <c r="M1030" t="s">
        <v>1409</v>
      </c>
      <c r="N1030" t="s">
        <v>1410</v>
      </c>
      <c r="O1030" t="s">
        <v>1423</v>
      </c>
      <c r="P1030" t="s">
        <v>1423</v>
      </c>
      <c r="Q1030" t="s">
        <v>1412</v>
      </c>
      <c r="S1030" s="1">
        <v>46126</v>
      </c>
      <c r="V1030" s="1">
        <v>46123</v>
      </c>
      <c r="W1030" s="1">
        <v>26536</v>
      </c>
      <c r="X1030" t="s">
        <v>5430</v>
      </c>
      <c r="Y1030" t="s">
        <v>5431</v>
      </c>
      <c r="Z1030" t="s">
        <v>2770</v>
      </c>
      <c r="AA1030" t="s">
        <v>1419</v>
      </c>
      <c r="AB1030" t="s">
        <v>5432</v>
      </c>
      <c r="AC1030">
        <v>94981990297</v>
      </c>
    </row>
    <row r="1031" spans="1:29" x14ac:dyDescent="0.3">
      <c r="A1031" t="s">
        <v>1405</v>
      </c>
      <c r="B1031" t="s">
        <v>2302</v>
      </c>
      <c r="C1031" t="s">
        <v>5433</v>
      </c>
      <c r="D1031">
        <v>51321548168</v>
      </c>
      <c r="E1031">
        <v>797283</v>
      </c>
      <c r="F1031">
        <v>1004011350</v>
      </c>
      <c r="G1031" s="1">
        <v>44985</v>
      </c>
      <c r="H1031" t="s">
        <v>1360</v>
      </c>
      <c r="I1031" t="s">
        <v>1374</v>
      </c>
      <c r="J1031" t="s">
        <v>1361</v>
      </c>
      <c r="K1031" t="s">
        <v>2308</v>
      </c>
      <c r="L1031" t="s">
        <v>2305</v>
      </c>
      <c r="M1031" t="s">
        <v>1421</v>
      </c>
      <c r="N1031" t="s">
        <v>1410</v>
      </c>
      <c r="O1031" t="s">
        <v>1423</v>
      </c>
      <c r="P1031" t="s">
        <v>1423</v>
      </c>
      <c r="Q1031" t="s">
        <v>1412</v>
      </c>
      <c r="S1031" s="1">
        <v>46043</v>
      </c>
      <c r="W1031" s="1">
        <v>27428</v>
      </c>
      <c r="X1031" t="s">
        <v>1456</v>
      </c>
      <c r="Y1031" t="s">
        <v>5434</v>
      </c>
      <c r="Z1031" t="s">
        <v>2873</v>
      </c>
      <c r="AA1031" t="s">
        <v>1419</v>
      </c>
      <c r="AB1031" t="s">
        <v>5435</v>
      </c>
      <c r="AC1031">
        <v>65999007075</v>
      </c>
    </row>
    <row r="1032" spans="1:29" x14ac:dyDescent="0.3">
      <c r="A1032" t="s">
        <v>1405</v>
      </c>
      <c r="B1032" t="s">
        <v>2302</v>
      </c>
      <c r="C1032" t="s">
        <v>5436</v>
      </c>
      <c r="D1032">
        <v>56335822504</v>
      </c>
      <c r="E1032">
        <v>323544100</v>
      </c>
      <c r="F1032">
        <v>1004000570</v>
      </c>
      <c r="G1032" s="1">
        <v>42935</v>
      </c>
      <c r="H1032" t="s">
        <v>1360</v>
      </c>
      <c r="I1032" t="s">
        <v>1349</v>
      </c>
      <c r="J1032" t="s">
        <v>2308</v>
      </c>
      <c r="K1032" t="s">
        <v>2313</v>
      </c>
      <c r="L1032" t="s">
        <v>2305</v>
      </c>
      <c r="M1032" t="s">
        <v>1409</v>
      </c>
      <c r="N1032" t="s">
        <v>1410</v>
      </c>
      <c r="O1032" t="s">
        <v>1411</v>
      </c>
      <c r="P1032" t="s">
        <v>1411</v>
      </c>
      <c r="Q1032" t="s">
        <v>1412</v>
      </c>
      <c r="S1032" s="1">
        <v>45849</v>
      </c>
      <c r="V1032" s="1">
        <v>45847</v>
      </c>
      <c r="W1032" s="1">
        <v>25335</v>
      </c>
      <c r="X1032" t="s">
        <v>2361</v>
      </c>
      <c r="Z1032" t="s">
        <v>2363</v>
      </c>
      <c r="AA1032" t="s">
        <v>1419</v>
      </c>
      <c r="AB1032" t="s">
        <v>5437</v>
      </c>
    </row>
    <row r="1033" spans="1:29" x14ac:dyDescent="0.3">
      <c r="A1033" t="s">
        <v>1405</v>
      </c>
      <c r="B1033" t="s">
        <v>2302</v>
      </c>
      <c r="C1033" t="s">
        <v>5438</v>
      </c>
      <c r="D1033">
        <v>1272208281</v>
      </c>
      <c r="E1033">
        <v>25888110</v>
      </c>
      <c r="F1033">
        <v>1004001034</v>
      </c>
      <c r="G1033" s="1">
        <v>43000</v>
      </c>
      <c r="H1033" t="s">
        <v>1360</v>
      </c>
      <c r="I1033" t="s">
        <v>1374</v>
      </c>
      <c r="J1033" t="s">
        <v>2308</v>
      </c>
      <c r="K1033" t="s">
        <v>2313</v>
      </c>
      <c r="L1033" t="s">
        <v>2305</v>
      </c>
      <c r="M1033" t="s">
        <v>1409</v>
      </c>
      <c r="N1033" t="s">
        <v>1410</v>
      </c>
      <c r="O1033" t="s">
        <v>1423</v>
      </c>
      <c r="P1033" t="s">
        <v>1423</v>
      </c>
      <c r="Q1033" t="s">
        <v>1412</v>
      </c>
      <c r="S1033" s="1">
        <v>46043</v>
      </c>
      <c r="T1033" s="1">
        <v>45845</v>
      </c>
      <c r="W1033" s="1">
        <v>33319</v>
      </c>
      <c r="X1033" t="s">
        <v>1825</v>
      </c>
      <c r="Z1033" t="s">
        <v>2997</v>
      </c>
      <c r="AA1033" t="s">
        <v>1419</v>
      </c>
      <c r="AB1033" t="s">
        <v>5439</v>
      </c>
    </row>
    <row r="1034" spans="1:29" x14ac:dyDescent="0.3">
      <c r="A1034" t="s">
        <v>1405</v>
      </c>
      <c r="B1034" t="s">
        <v>2302</v>
      </c>
      <c r="C1034" t="s">
        <v>5440</v>
      </c>
      <c r="D1034">
        <v>62110845368</v>
      </c>
      <c r="E1034">
        <v>62110845368</v>
      </c>
      <c r="F1034">
        <v>1004017444</v>
      </c>
      <c r="G1034" s="1">
        <v>45749</v>
      </c>
      <c r="H1034" t="s">
        <v>1360</v>
      </c>
      <c r="I1034" t="s">
        <v>1349</v>
      </c>
      <c r="J1034" t="s">
        <v>2348</v>
      </c>
      <c r="K1034" t="s">
        <v>2308</v>
      </c>
      <c r="L1034" t="s">
        <v>2305</v>
      </c>
      <c r="M1034" t="s">
        <v>1447</v>
      </c>
      <c r="N1034" t="s">
        <v>1448</v>
      </c>
      <c r="O1034" t="s">
        <v>1411</v>
      </c>
      <c r="P1034" t="s">
        <v>1417</v>
      </c>
      <c r="Q1034" t="s">
        <v>1412</v>
      </c>
      <c r="S1034" s="1">
        <v>45883</v>
      </c>
      <c r="V1034" s="1">
        <v>45882</v>
      </c>
      <c r="W1034" s="1">
        <v>28042</v>
      </c>
      <c r="X1034" t="s">
        <v>5441</v>
      </c>
      <c r="Z1034" t="s">
        <v>4668</v>
      </c>
      <c r="AA1034" t="s">
        <v>1419</v>
      </c>
      <c r="AB1034" t="s">
        <v>5442</v>
      </c>
      <c r="AC1034">
        <v>98984017747</v>
      </c>
    </row>
    <row r="1035" spans="1:29" x14ac:dyDescent="0.3">
      <c r="A1035" t="s">
        <v>1405</v>
      </c>
      <c r="B1035" t="s">
        <v>2302</v>
      </c>
      <c r="C1035" t="s">
        <v>5443</v>
      </c>
      <c r="D1035">
        <v>81940246172</v>
      </c>
      <c r="E1035">
        <v>11188421</v>
      </c>
      <c r="F1035">
        <v>1004017443</v>
      </c>
      <c r="G1035" s="1">
        <v>45749</v>
      </c>
      <c r="H1035" t="s">
        <v>1360</v>
      </c>
      <c r="I1035" t="s">
        <v>1374</v>
      </c>
      <c r="J1035" t="s">
        <v>1354</v>
      </c>
      <c r="K1035" t="s">
        <v>1361</v>
      </c>
      <c r="L1035" t="s">
        <v>2305</v>
      </c>
      <c r="M1035" t="s">
        <v>1421</v>
      </c>
      <c r="N1035" t="s">
        <v>1410</v>
      </c>
      <c r="O1035" t="s">
        <v>1423</v>
      </c>
      <c r="P1035" t="s">
        <v>1423</v>
      </c>
      <c r="Q1035" t="s">
        <v>1412</v>
      </c>
      <c r="S1035" s="1">
        <v>46043</v>
      </c>
      <c r="W1035" s="1">
        <v>28737</v>
      </c>
      <c r="X1035" t="s">
        <v>1589</v>
      </c>
      <c r="Y1035" t="s">
        <v>1590</v>
      </c>
      <c r="Z1035" t="s">
        <v>2333</v>
      </c>
      <c r="AA1035" t="s">
        <v>1419</v>
      </c>
      <c r="AB1035" t="s">
        <v>5444</v>
      </c>
      <c r="AC1035">
        <v>66999845173</v>
      </c>
    </row>
    <row r="1036" spans="1:29" x14ac:dyDescent="0.3">
      <c r="A1036" t="s">
        <v>1405</v>
      </c>
      <c r="B1036" t="s">
        <v>2302</v>
      </c>
      <c r="C1036" t="s">
        <v>5445</v>
      </c>
      <c r="D1036">
        <v>4686890365</v>
      </c>
      <c r="E1036">
        <v>2004098107368</v>
      </c>
      <c r="F1036">
        <v>1004007133</v>
      </c>
      <c r="G1036" s="1">
        <v>44131</v>
      </c>
      <c r="H1036" t="s">
        <v>1360</v>
      </c>
      <c r="I1036" t="s">
        <v>1374</v>
      </c>
      <c r="J1036" t="s">
        <v>2308</v>
      </c>
      <c r="K1036" t="s">
        <v>2313</v>
      </c>
      <c r="L1036" t="s">
        <v>2305</v>
      </c>
      <c r="M1036" t="s">
        <v>1409</v>
      </c>
      <c r="N1036" t="s">
        <v>1410</v>
      </c>
      <c r="O1036" t="s">
        <v>1411</v>
      </c>
      <c r="P1036" t="s">
        <v>1411</v>
      </c>
      <c r="Q1036" t="s">
        <v>1412</v>
      </c>
      <c r="S1036" s="1">
        <v>46043</v>
      </c>
      <c r="W1036" s="1">
        <v>32873</v>
      </c>
      <c r="X1036" t="s">
        <v>1561</v>
      </c>
      <c r="Z1036" t="s">
        <v>2473</v>
      </c>
      <c r="AA1036" t="s">
        <v>1419</v>
      </c>
      <c r="AB1036" t="s">
        <v>5446</v>
      </c>
      <c r="AC1036">
        <v>88981343581</v>
      </c>
    </row>
    <row r="1037" spans="1:29" x14ac:dyDescent="0.3">
      <c r="A1037" t="s">
        <v>1405</v>
      </c>
      <c r="B1037" t="s">
        <v>2302</v>
      </c>
      <c r="C1037" t="s">
        <v>5447</v>
      </c>
      <c r="D1037">
        <v>7595068339</v>
      </c>
      <c r="E1037">
        <v>2008620263</v>
      </c>
      <c r="F1037">
        <v>1004013663</v>
      </c>
      <c r="G1037" s="1">
        <v>45344</v>
      </c>
      <c r="H1037" t="s">
        <v>1360</v>
      </c>
      <c r="I1037" t="s">
        <v>1374</v>
      </c>
      <c r="J1037" t="s">
        <v>1361</v>
      </c>
      <c r="K1037" t="s">
        <v>2308</v>
      </c>
      <c r="L1037" t="s">
        <v>2305</v>
      </c>
      <c r="M1037" t="s">
        <v>1409</v>
      </c>
      <c r="N1037" t="s">
        <v>1410</v>
      </c>
      <c r="O1037" t="s">
        <v>1411</v>
      </c>
      <c r="P1037" t="s">
        <v>1423</v>
      </c>
      <c r="Q1037" t="s">
        <v>1412</v>
      </c>
      <c r="S1037" s="1">
        <v>46043</v>
      </c>
      <c r="W1037" s="1">
        <v>36353</v>
      </c>
      <c r="X1037" t="s">
        <v>2851</v>
      </c>
      <c r="Y1037" t="s">
        <v>2852</v>
      </c>
      <c r="Z1037" t="s">
        <v>2853</v>
      </c>
      <c r="AA1037" t="s">
        <v>1419</v>
      </c>
      <c r="AB1037" t="s">
        <v>5448</v>
      </c>
      <c r="AC1037">
        <v>88998474501</v>
      </c>
    </row>
    <row r="1038" spans="1:29" x14ac:dyDescent="0.3">
      <c r="A1038" t="s">
        <v>1405</v>
      </c>
      <c r="B1038" t="s">
        <v>2302</v>
      </c>
      <c r="C1038" t="s">
        <v>5449</v>
      </c>
      <c r="D1038">
        <v>6881852908</v>
      </c>
      <c r="E1038">
        <v>5354458</v>
      </c>
      <c r="F1038">
        <v>1004007331</v>
      </c>
      <c r="G1038" s="1">
        <v>44256</v>
      </c>
      <c r="H1038" t="s">
        <v>1360</v>
      </c>
      <c r="I1038" t="s">
        <v>1349</v>
      </c>
      <c r="J1038" t="s">
        <v>2308</v>
      </c>
      <c r="K1038" t="s">
        <v>2313</v>
      </c>
      <c r="L1038" t="s">
        <v>2305</v>
      </c>
      <c r="M1038" t="s">
        <v>1409</v>
      </c>
      <c r="N1038" t="s">
        <v>1410</v>
      </c>
      <c r="O1038" t="s">
        <v>1423</v>
      </c>
      <c r="P1038" t="s">
        <v>1423</v>
      </c>
      <c r="Q1038" t="s">
        <v>1412</v>
      </c>
      <c r="S1038" s="1">
        <v>46059</v>
      </c>
      <c r="V1038" s="1">
        <v>46055</v>
      </c>
      <c r="W1038" s="1">
        <v>33884</v>
      </c>
      <c r="X1038" t="s">
        <v>5450</v>
      </c>
      <c r="Y1038" t="s">
        <v>5451</v>
      </c>
      <c r="Z1038" t="s">
        <v>2724</v>
      </c>
      <c r="AA1038" t="s">
        <v>1419</v>
      </c>
      <c r="AB1038" t="s">
        <v>5452</v>
      </c>
      <c r="AC1038">
        <v>47996315174</v>
      </c>
    </row>
    <row r="1039" spans="1:29" x14ac:dyDescent="0.3">
      <c r="A1039" t="s">
        <v>1405</v>
      </c>
      <c r="B1039" t="s">
        <v>2302</v>
      </c>
      <c r="C1039" t="s">
        <v>5453</v>
      </c>
      <c r="D1039">
        <v>60748901370</v>
      </c>
      <c r="E1039">
        <v>415352920111</v>
      </c>
      <c r="F1039">
        <v>1004010471</v>
      </c>
      <c r="G1039" s="1">
        <v>44781</v>
      </c>
      <c r="H1039" t="s">
        <v>1360</v>
      </c>
      <c r="I1039" t="s">
        <v>1349</v>
      </c>
      <c r="J1039" t="s">
        <v>2348</v>
      </c>
      <c r="K1039" t="s">
        <v>2308</v>
      </c>
      <c r="L1039" t="s">
        <v>2305</v>
      </c>
      <c r="M1039" t="s">
        <v>1421</v>
      </c>
      <c r="N1039" t="s">
        <v>1422</v>
      </c>
      <c r="O1039" t="s">
        <v>1411</v>
      </c>
      <c r="P1039" t="s">
        <v>1411</v>
      </c>
      <c r="Q1039" t="s">
        <v>1412</v>
      </c>
      <c r="S1039" s="1">
        <v>45887</v>
      </c>
      <c r="V1039" s="1">
        <v>45882</v>
      </c>
      <c r="W1039" s="1">
        <v>35329</v>
      </c>
      <c r="X1039" t="s">
        <v>1519</v>
      </c>
      <c r="Y1039" t="s">
        <v>1823</v>
      </c>
      <c r="Z1039" t="s">
        <v>3132</v>
      </c>
      <c r="AA1039" t="s">
        <v>1419</v>
      </c>
      <c r="AB1039" t="s">
        <v>5454</v>
      </c>
      <c r="AC1039">
        <v>98988547165</v>
      </c>
    </row>
    <row r="1040" spans="1:29" x14ac:dyDescent="0.3">
      <c r="A1040" t="s">
        <v>1405</v>
      </c>
      <c r="B1040" t="s">
        <v>2302</v>
      </c>
      <c r="C1040" t="s">
        <v>5455</v>
      </c>
      <c r="D1040">
        <v>9568370692</v>
      </c>
      <c r="E1040" s="3">
        <v>17928663</v>
      </c>
      <c r="F1040">
        <v>1004017045</v>
      </c>
      <c r="G1040" s="1">
        <v>45726</v>
      </c>
      <c r="H1040" t="s">
        <v>1360</v>
      </c>
      <c r="I1040" t="s">
        <v>1374</v>
      </c>
      <c r="J1040" t="s">
        <v>1361</v>
      </c>
      <c r="K1040" t="s">
        <v>2308</v>
      </c>
      <c r="L1040" t="s">
        <v>2305</v>
      </c>
      <c r="M1040" t="s">
        <v>1447</v>
      </c>
      <c r="N1040" t="s">
        <v>1448</v>
      </c>
      <c r="O1040" t="s">
        <v>1423</v>
      </c>
      <c r="P1040" t="s">
        <v>1423</v>
      </c>
      <c r="Q1040" t="s">
        <v>1412</v>
      </c>
      <c r="S1040" s="1">
        <v>46043</v>
      </c>
      <c r="W1040" s="1">
        <v>33580</v>
      </c>
      <c r="X1040" t="s">
        <v>5456</v>
      </c>
      <c r="Z1040" t="s">
        <v>4564</v>
      </c>
      <c r="AA1040" t="s">
        <v>1415</v>
      </c>
      <c r="AB1040" t="s">
        <v>5457</v>
      </c>
      <c r="AC1040">
        <v>3799952271</v>
      </c>
    </row>
    <row r="1041" spans="1:29" x14ac:dyDescent="0.3">
      <c r="A1041" t="s">
        <v>1405</v>
      </c>
      <c r="B1041" t="s">
        <v>2302</v>
      </c>
      <c r="C1041" t="s">
        <v>5458</v>
      </c>
      <c r="D1041">
        <v>5424611370</v>
      </c>
      <c r="E1041">
        <v>5609206041</v>
      </c>
      <c r="F1041">
        <v>1004014564</v>
      </c>
      <c r="G1041" s="1">
        <v>45402</v>
      </c>
      <c r="H1041" t="s">
        <v>1360</v>
      </c>
      <c r="I1041" t="s">
        <v>1349</v>
      </c>
      <c r="J1041" t="s">
        <v>2348</v>
      </c>
      <c r="K1041" t="s">
        <v>2308</v>
      </c>
      <c r="L1041" t="s">
        <v>2305</v>
      </c>
      <c r="M1041" t="s">
        <v>1409</v>
      </c>
      <c r="N1041" t="s">
        <v>1410</v>
      </c>
      <c r="O1041" t="s">
        <v>1411</v>
      </c>
      <c r="P1041" t="s">
        <v>1417</v>
      </c>
      <c r="Q1041" t="s">
        <v>1412</v>
      </c>
      <c r="S1041" s="1">
        <v>46087</v>
      </c>
      <c r="V1041" s="1">
        <v>46084</v>
      </c>
      <c r="W1041" s="1">
        <v>33809</v>
      </c>
      <c r="X1041" t="s">
        <v>3609</v>
      </c>
      <c r="Z1041" t="s">
        <v>2393</v>
      </c>
      <c r="AA1041" t="s">
        <v>1415</v>
      </c>
      <c r="AB1041" t="s">
        <v>372</v>
      </c>
      <c r="AC1041">
        <v>85999508498</v>
      </c>
    </row>
    <row r="1042" spans="1:29" x14ac:dyDescent="0.3">
      <c r="A1042" t="s">
        <v>1405</v>
      </c>
      <c r="B1042" t="s">
        <v>2302</v>
      </c>
      <c r="C1042" t="s">
        <v>5459</v>
      </c>
      <c r="D1042">
        <v>6915018581</v>
      </c>
      <c r="E1042">
        <v>1275487262</v>
      </c>
      <c r="F1042">
        <v>1004016953</v>
      </c>
      <c r="G1042" s="1">
        <v>45721</v>
      </c>
      <c r="H1042" t="s">
        <v>1360</v>
      </c>
      <c r="I1042" t="s">
        <v>1374</v>
      </c>
      <c r="J1042" t="s">
        <v>1361</v>
      </c>
      <c r="K1042" t="s">
        <v>2308</v>
      </c>
      <c r="L1042" t="s">
        <v>2305</v>
      </c>
      <c r="M1042" t="s">
        <v>1409</v>
      </c>
      <c r="N1042" t="s">
        <v>1410</v>
      </c>
      <c r="O1042" t="s">
        <v>1411</v>
      </c>
      <c r="P1042" t="s">
        <v>1411</v>
      </c>
      <c r="Q1042" t="s">
        <v>1412</v>
      </c>
      <c r="S1042" s="1">
        <v>46043</v>
      </c>
      <c r="W1042" s="1">
        <v>35413</v>
      </c>
      <c r="X1042" t="s">
        <v>4998</v>
      </c>
      <c r="Y1042" t="s">
        <v>4999</v>
      </c>
      <c r="Z1042" t="s">
        <v>3838</v>
      </c>
      <c r="AA1042" t="s">
        <v>1415</v>
      </c>
      <c r="AB1042" t="s">
        <v>5460</v>
      </c>
      <c r="AC1042">
        <v>75981713889</v>
      </c>
    </row>
    <row r="1043" spans="1:29" x14ac:dyDescent="0.3">
      <c r="A1043" t="s">
        <v>1405</v>
      </c>
      <c r="B1043" t="s">
        <v>2302</v>
      </c>
      <c r="C1043" t="s">
        <v>5461</v>
      </c>
      <c r="D1043">
        <v>89817150259</v>
      </c>
      <c r="E1043">
        <v>187639</v>
      </c>
      <c r="F1043">
        <v>1004018154</v>
      </c>
      <c r="G1043" s="1">
        <v>45796</v>
      </c>
      <c r="H1043" t="s">
        <v>1360</v>
      </c>
      <c r="I1043" t="s">
        <v>1374</v>
      </c>
      <c r="J1043" t="s">
        <v>2348</v>
      </c>
      <c r="K1043" t="s">
        <v>2308</v>
      </c>
      <c r="L1043" t="s">
        <v>2305</v>
      </c>
      <c r="M1043" t="s">
        <v>1447</v>
      </c>
      <c r="N1043" t="s">
        <v>1448</v>
      </c>
      <c r="O1043" t="s">
        <v>2027</v>
      </c>
      <c r="P1043" t="s">
        <v>1411</v>
      </c>
      <c r="Q1043" t="s">
        <v>1412</v>
      </c>
      <c r="S1043" s="1">
        <v>46043</v>
      </c>
      <c r="W1043" s="1">
        <v>32003</v>
      </c>
      <c r="X1043" t="s">
        <v>2028</v>
      </c>
      <c r="Y1043" t="s">
        <v>3892</v>
      </c>
      <c r="Z1043" t="s">
        <v>5462</v>
      </c>
      <c r="AA1043" t="s">
        <v>1415</v>
      </c>
      <c r="AB1043" t="s">
        <v>5463</v>
      </c>
      <c r="AC1043">
        <v>92982219045</v>
      </c>
    </row>
    <row r="1044" spans="1:29" x14ac:dyDescent="0.3">
      <c r="A1044" t="s">
        <v>1405</v>
      </c>
      <c r="B1044" t="s">
        <v>2302</v>
      </c>
      <c r="C1044" t="s">
        <v>5464</v>
      </c>
      <c r="D1044">
        <v>80746802900</v>
      </c>
      <c r="E1044">
        <v>4197536455</v>
      </c>
      <c r="F1044">
        <v>1004015459</v>
      </c>
      <c r="G1044" s="1">
        <v>45518</v>
      </c>
      <c r="H1044" t="s">
        <v>1360</v>
      </c>
      <c r="I1044" t="s">
        <v>1349</v>
      </c>
      <c r="J1044" t="s">
        <v>1361</v>
      </c>
      <c r="K1044" t="s">
        <v>2308</v>
      </c>
      <c r="L1044" t="s">
        <v>2305</v>
      </c>
      <c r="M1044" t="s">
        <v>1447</v>
      </c>
      <c r="N1044" t="s">
        <v>1448</v>
      </c>
      <c r="O1044" t="s">
        <v>1411</v>
      </c>
      <c r="P1044" t="s">
        <v>1417</v>
      </c>
      <c r="Q1044" t="s">
        <v>1412</v>
      </c>
      <c r="S1044" s="1">
        <v>46059</v>
      </c>
      <c r="V1044" s="1">
        <v>46055</v>
      </c>
      <c r="W1044" s="1">
        <v>25709</v>
      </c>
      <c r="X1044" t="s">
        <v>1669</v>
      </c>
      <c r="Y1044" t="s">
        <v>3115</v>
      </c>
      <c r="Z1044" t="s">
        <v>2876</v>
      </c>
      <c r="AA1044" t="s">
        <v>1415</v>
      </c>
      <c r="AB1044" t="s">
        <v>5465</v>
      </c>
      <c r="AC1044">
        <v>48996391077</v>
      </c>
    </row>
    <row r="1045" spans="1:29" x14ac:dyDescent="0.3">
      <c r="A1045" t="s">
        <v>1405</v>
      </c>
      <c r="B1045" t="s">
        <v>2302</v>
      </c>
      <c r="C1045" t="s">
        <v>5466</v>
      </c>
      <c r="D1045">
        <v>48937819953</v>
      </c>
      <c r="E1045">
        <v>1462327</v>
      </c>
      <c r="F1045">
        <v>1004001253</v>
      </c>
      <c r="G1045" s="1">
        <v>43155</v>
      </c>
      <c r="H1045" t="s">
        <v>1360</v>
      </c>
      <c r="I1045" t="s">
        <v>1374</v>
      </c>
      <c r="J1045" t="s">
        <v>2308</v>
      </c>
      <c r="K1045" t="s">
        <v>2313</v>
      </c>
      <c r="L1045" t="s">
        <v>2305</v>
      </c>
      <c r="M1045" t="s">
        <v>1442</v>
      </c>
      <c r="N1045" t="s">
        <v>1443</v>
      </c>
      <c r="O1045" t="s">
        <v>1423</v>
      </c>
      <c r="P1045" t="s">
        <v>1417</v>
      </c>
      <c r="Q1045" t="s">
        <v>1412</v>
      </c>
      <c r="S1045" s="1">
        <v>46043</v>
      </c>
      <c r="W1045" s="1">
        <v>23514</v>
      </c>
      <c r="X1045" t="s">
        <v>5467</v>
      </c>
      <c r="Y1045" t="s">
        <v>2753</v>
      </c>
      <c r="Z1045" t="s">
        <v>2754</v>
      </c>
      <c r="AA1045" t="s">
        <v>1415</v>
      </c>
      <c r="AB1045" t="s">
        <v>5468</v>
      </c>
      <c r="AC1045">
        <v>48988074774</v>
      </c>
    </row>
    <row r="1046" spans="1:29" x14ac:dyDescent="0.3">
      <c r="A1046" t="s">
        <v>1405</v>
      </c>
      <c r="B1046" t="s">
        <v>2302</v>
      </c>
      <c r="C1046" t="s">
        <v>5469</v>
      </c>
      <c r="D1046">
        <v>7764174874</v>
      </c>
      <c r="E1046">
        <v>161134245</v>
      </c>
      <c r="F1046">
        <v>1004008093</v>
      </c>
      <c r="G1046" s="1">
        <v>44349</v>
      </c>
      <c r="H1046" t="s">
        <v>1360</v>
      </c>
      <c r="I1046" t="s">
        <v>2317</v>
      </c>
      <c r="J1046" t="s">
        <v>2348</v>
      </c>
      <c r="K1046" t="s">
        <v>2308</v>
      </c>
      <c r="L1046" t="s">
        <v>2305</v>
      </c>
      <c r="M1046" t="s">
        <v>1421</v>
      </c>
      <c r="N1046" t="s">
        <v>1422</v>
      </c>
      <c r="O1046" t="s">
        <v>1423</v>
      </c>
      <c r="P1046" t="s">
        <v>1423</v>
      </c>
      <c r="Q1046" t="s">
        <v>1412</v>
      </c>
      <c r="S1046" s="1">
        <v>45876</v>
      </c>
      <c r="T1046" s="1">
        <v>45874</v>
      </c>
      <c r="W1046" s="1">
        <v>23130</v>
      </c>
      <c r="X1046" t="s">
        <v>1510</v>
      </c>
      <c r="Z1046" t="s">
        <v>2747</v>
      </c>
      <c r="AA1046" t="s">
        <v>1415</v>
      </c>
      <c r="AB1046" t="s">
        <v>5470</v>
      </c>
      <c r="AC1046">
        <v>19997932250</v>
      </c>
    </row>
    <row r="1047" spans="1:29" x14ac:dyDescent="0.3">
      <c r="A1047" t="s">
        <v>1405</v>
      </c>
      <c r="B1047" t="s">
        <v>2302</v>
      </c>
      <c r="C1047" t="s">
        <v>5471</v>
      </c>
      <c r="D1047">
        <v>99125218204</v>
      </c>
      <c r="E1047">
        <v>6454997</v>
      </c>
      <c r="F1047">
        <v>1004011870</v>
      </c>
      <c r="G1047" s="1">
        <v>45036</v>
      </c>
      <c r="H1047" t="s">
        <v>1360</v>
      </c>
      <c r="I1047" t="s">
        <v>1349</v>
      </c>
      <c r="J1047" t="s">
        <v>1361</v>
      </c>
      <c r="K1047" t="s">
        <v>2308</v>
      </c>
      <c r="L1047" t="s">
        <v>2305</v>
      </c>
      <c r="M1047" t="s">
        <v>1409</v>
      </c>
      <c r="N1047" t="s">
        <v>1410</v>
      </c>
      <c r="O1047" t="s">
        <v>1462</v>
      </c>
      <c r="P1047" t="s">
        <v>1462</v>
      </c>
      <c r="Q1047" t="s">
        <v>1412</v>
      </c>
      <c r="S1047" s="1">
        <v>45750</v>
      </c>
      <c r="V1047" s="1">
        <v>45748</v>
      </c>
      <c r="W1047" s="1">
        <v>32694</v>
      </c>
      <c r="X1047" t="s">
        <v>3414</v>
      </c>
      <c r="Y1047" t="s">
        <v>5472</v>
      </c>
      <c r="Z1047" t="s">
        <v>2770</v>
      </c>
      <c r="AA1047" t="s">
        <v>1415</v>
      </c>
      <c r="AB1047" t="s">
        <v>5473</v>
      </c>
      <c r="AC1047">
        <v>94992850667</v>
      </c>
    </row>
    <row r="1048" spans="1:29" x14ac:dyDescent="0.3">
      <c r="A1048" t="s">
        <v>1405</v>
      </c>
      <c r="B1048" t="s">
        <v>2302</v>
      </c>
      <c r="C1048" t="s">
        <v>5474</v>
      </c>
      <c r="D1048">
        <v>918507200</v>
      </c>
      <c r="E1048" t="s">
        <v>5475</v>
      </c>
      <c r="F1048">
        <v>1004014964</v>
      </c>
      <c r="G1048" s="1">
        <v>45427</v>
      </c>
      <c r="H1048" t="s">
        <v>1360</v>
      </c>
      <c r="I1048" t="s">
        <v>1349</v>
      </c>
      <c r="J1048" t="s">
        <v>1361</v>
      </c>
      <c r="K1048" t="s">
        <v>2308</v>
      </c>
      <c r="L1048" t="s">
        <v>2305</v>
      </c>
      <c r="M1048" t="s">
        <v>1409</v>
      </c>
      <c r="N1048" t="s">
        <v>1410</v>
      </c>
      <c r="O1048" t="s">
        <v>1411</v>
      </c>
      <c r="P1048" t="s">
        <v>1411</v>
      </c>
      <c r="Q1048" t="s">
        <v>1412</v>
      </c>
      <c r="S1048" s="1">
        <v>46118</v>
      </c>
      <c r="V1048" s="1">
        <v>46113</v>
      </c>
      <c r="W1048" s="1">
        <v>33227</v>
      </c>
      <c r="X1048" t="s">
        <v>5476</v>
      </c>
      <c r="Z1048" t="s">
        <v>3893</v>
      </c>
      <c r="AA1048" t="s">
        <v>1419</v>
      </c>
      <c r="AB1048" t="s">
        <v>5477</v>
      </c>
      <c r="AC1048">
        <v>92992978767</v>
      </c>
    </row>
    <row r="1049" spans="1:29" x14ac:dyDescent="0.3">
      <c r="A1049" t="s">
        <v>1405</v>
      </c>
      <c r="B1049" t="s">
        <v>2302</v>
      </c>
      <c r="C1049" t="s">
        <v>5478</v>
      </c>
      <c r="D1049">
        <v>74349872272</v>
      </c>
      <c r="E1049">
        <v>3732572</v>
      </c>
      <c r="F1049">
        <v>1004009520</v>
      </c>
      <c r="G1049" s="1">
        <v>44643</v>
      </c>
      <c r="H1049" t="s">
        <v>1360</v>
      </c>
      <c r="I1049" t="s">
        <v>1374</v>
      </c>
      <c r="J1049" t="s">
        <v>1361</v>
      </c>
      <c r="K1049" t="s">
        <v>2308</v>
      </c>
      <c r="L1049" t="s">
        <v>2305</v>
      </c>
      <c r="M1049" t="s">
        <v>1409</v>
      </c>
      <c r="N1049" t="s">
        <v>1410</v>
      </c>
      <c r="O1049" t="s">
        <v>1411</v>
      </c>
      <c r="P1049" t="s">
        <v>1411</v>
      </c>
      <c r="Q1049" t="s">
        <v>1412</v>
      </c>
      <c r="R1049" t="s">
        <v>5479</v>
      </c>
      <c r="S1049" s="1">
        <v>46043</v>
      </c>
      <c r="W1049" s="1">
        <v>29056</v>
      </c>
      <c r="X1049" t="s">
        <v>2288</v>
      </c>
      <c r="Y1049" t="s">
        <v>2553</v>
      </c>
      <c r="Z1049" t="s">
        <v>2532</v>
      </c>
      <c r="AA1049" t="s">
        <v>1419</v>
      </c>
      <c r="AB1049" t="s">
        <v>5480</v>
      </c>
      <c r="AC1049">
        <v>91993770122</v>
      </c>
    </row>
    <row r="1050" spans="1:29" x14ac:dyDescent="0.3">
      <c r="A1050" t="s">
        <v>1405</v>
      </c>
      <c r="B1050" t="s">
        <v>2302</v>
      </c>
      <c r="C1050" t="s">
        <v>5481</v>
      </c>
      <c r="D1050">
        <v>96775343272</v>
      </c>
      <c r="E1050">
        <v>22014713</v>
      </c>
      <c r="F1050">
        <v>1004013272</v>
      </c>
      <c r="G1050" s="1">
        <v>45224</v>
      </c>
      <c r="H1050" t="s">
        <v>1360</v>
      </c>
      <c r="I1050" t="s">
        <v>1349</v>
      </c>
      <c r="J1050" t="s">
        <v>1354</v>
      </c>
      <c r="K1050" t="s">
        <v>1361</v>
      </c>
      <c r="L1050" t="s">
        <v>2305</v>
      </c>
      <c r="M1050" t="s">
        <v>1421</v>
      </c>
      <c r="N1050" t="s">
        <v>1422</v>
      </c>
      <c r="O1050" t="s">
        <v>1411</v>
      </c>
      <c r="P1050" t="s">
        <v>1411</v>
      </c>
      <c r="Q1050" t="s">
        <v>1412</v>
      </c>
      <c r="S1050" s="1">
        <v>45812</v>
      </c>
      <c r="V1050" s="1">
        <v>45812</v>
      </c>
      <c r="W1050" s="1">
        <v>32234</v>
      </c>
      <c r="X1050" t="s">
        <v>4551</v>
      </c>
      <c r="Y1050" t="s">
        <v>4552</v>
      </c>
      <c r="Z1050" t="s">
        <v>4726</v>
      </c>
      <c r="AA1050" t="s">
        <v>1415</v>
      </c>
      <c r="AB1050" t="s">
        <v>5482</v>
      </c>
      <c r="AC1050">
        <v>97984426486</v>
      </c>
    </row>
    <row r="1051" spans="1:29" x14ac:dyDescent="0.3">
      <c r="A1051" t="s">
        <v>1405</v>
      </c>
      <c r="B1051" t="s">
        <v>2302</v>
      </c>
      <c r="C1051" t="s">
        <v>5483</v>
      </c>
      <c r="D1051">
        <v>90730860949</v>
      </c>
      <c r="E1051">
        <v>2818844</v>
      </c>
      <c r="F1051">
        <v>42004201316</v>
      </c>
      <c r="G1051" s="1">
        <v>42065</v>
      </c>
      <c r="H1051" t="s">
        <v>1360</v>
      </c>
      <c r="I1051" t="s">
        <v>1374</v>
      </c>
      <c r="J1051" t="s">
        <v>2308</v>
      </c>
      <c r="K1051" t="s">
        <v>2313</v>
      </c>
      <c r="L1051" t="s">
        <v>2305</v>
      </c>
      <c r="M1051" t="s">
        <v>1421</v>
      </c>
      <c r="N1051" t="s">
        <v>1410</v>
      </c>
      <c r="O1051" t="s">
        <v>1423</v>
      </c>
      <c r="P1051" t="s">
        <v>1423</v>
      </c>
      <c r="Q1051" t="s">
        <v>1412</v>
      </c>
      <c r="S1051" s="1">
        <v>46043</v>
      </c>
      <c r="W1051" s="1">
        <v>27415</v>
      </c>
      <c r="X1051" t="s">
        <v>5484</v>
      </c>
      <c r="Y1051" t="s">
        <v>4159</v>
      </c>
      <c r="Z1051" t="s">
        <v>2652</v>
      </c>
      <c r="AA1051" t="s">
        <v>1419</v>
      </c>
      <c r="AB1051" t="s">
        <v>5485</v>
      </c>
      <c r="AC1051">
        <v>4935541984</v>
      </c>
    </row>
    <row r="1052" spans="1:29" x14ac:dyDescent="0.3">
      <c r="A1052" t="s">
        <v>1405</v>
      </c>
      <c r="B1052" t="s">
        <v>2302</v>
      </c>
      <c r="C1052" t="s">
        <v>5486</v>
      </c>
      <c r="D1052">
        <v>953527247</v>
      </c>
      <c r="E1052">
        <v>6027062</v>
      </c>
      <c r="F1052">
        <v>1004007797</v>
      </c>
      <c r="G1052" s="1">
        <v>44303</v>
      </c>
      <c r="H1052" t="s">
        <v>1360</v>
      </c>
      <c r="I1052" t="s">
        <v>1349</v>
      </c>
      <c r="J1052" t="s">
        <v>2308</v>
      </c>
      <c r="K1052" t="s">
        <v>2313</v>
      </c>
      <c r="L1052" t="s">
        <v>2305</v>
      </c>
      <c r="M1052" t="s">
        <v>1421</v>
      </c>
      <c r="N1052" t="s">
        <v>1422</v>
      </c>
      <c r="O1052" t="s">
        <v>1423</v>
      </c>
      <c r="P1052" t="s">
        <v>1417</v>
      </c>
      <c r="Q1052" t="s">
        <v>1412</v>
      </c>
      <c r="S1052" s="1">
        <v>45848</v>
      </c>
      <c r="V1052" s="1">
        <v>45846</v>
      </c>
      <c r="W1052" s="1">
        <v>32958</v>
      </c>
      <c r="X1052" t="s">
        <v>3262</v>
      </c>
      <c r="Y1052" t="s">
        <v>3623</v>
      </c>
      <c r="Z1052" t="s">
        <v>5487</v>
      </c>
      <c r="AA1052" t="s">
        <v>1415</v>
      </c>
      <c r="AB1052" t="s">
        <v>5488</v>
      </c>
      <c r="AC1052">
        <v>91982745939</v>
      </c>
    </row>
    <row r="1053" spans="1:29" x14ac:dyDescent="0.3">
      <c r="A1053" t="s">
        <v>1405</v>
      </c>
      <c r="B1053" t="s">
        <v>2302</v>
      </c>
      <c r="C1053" t="s">
        <v>5489</v>
      </c>
      <c r="D1053">
        <v>70818738049</v>
      </c>
      <c r="E1053">
        <v>9076110841</v>
      </c>
      <c r="F1053">
        <v>1004017049</v>
      </c>
      <c r="G1053" s="1">
        <v>45726</v>
      </c>
      <c r="H1053" t="s">
        <v>1360</v>
      </c>
      <c r="I1053" t="s">
        <v>1349</v>
      </c>
      <c r="J1053" t="s">
        <v>1361</v>
      </c>
      <c r="K1053" t="s">
        <v>2308</v>
      </c>
      <c r="L1053" t="s">
        <v>2305</v>
      </c>
      <c r="M1053" t="s">
        <v>1409</v>
      </c>
      <c r="N1053" t="s">
        <v>1410</v>
      </c>
      <c r="O1053" t="s">
        <v>1423</v>
      </c>
      <c r="P1053" t="s">
        <v>1423</v>
      </c>
      <c r="Q1053" t="s">
        <v>1412</v>
      </c>
      <c r="S1053" s="1">
        <v>45848</v>
      </c>
      <c r="V1053" s="1">
        <v>45846</v>
      </c>
      <c r="W1053" s="1">
        <v>28405</v>
      </c>
      <c r="X1053" t="s">
        <v>5490</v>
      </c>
      <c r="Y1053" t="s">
        <v>5491</v>
      </c>
      <c r="Z1053" t="s">
        <v>2430</v>
      </c>
      <c r="AA1053" t="s">
        <v>1419</v>
      </c>
      <c r="AB1053" t="s">
        <v>5492</v>
      </c>
      <c r="AC1053">
        <v>51991432907</v>
      </c>
    </row>
    <row r="1054" spans="1:29" x14ac:dyDescent="0.3">
      <c r="A1054" t="s">
        <v>1405</v>
      </c>
      <c r="B1054" t="s">
        <v>2302</v>
      </c>
      <c r="C1054" t="s">
        <v>5493</v>
      </c>
      <c r="D1054">
        <v>44322321291</v>
      </c>
      <c r="E1054">
        <v>1912261</v>
      </c>
      <c r="F1054">
        <v>1004009775</v>
      </c>
      <c r="G1054" s="1">
        <v>44671</v>
      </c>
      <c r="H1054" t="s">
        <v>1360</v>
      </c>
      <c r="I1054" t="s">
        <v>1374</v>
      </c>
      <c r="J1054" t="s">
        <v>1361</v>
      </c>
      <c r="K1054" t="s">
        <v>2308</v>
      </c>
      <c r="L1054" t="s">
        <v>2305</v>
      </c>
      <c r="M1054" t="s">
        <v>1421</v>
      </c>
      <c r="N1054" t="s">
        <v>1422</v>
      </c>
      <c r="O1054" t="s">
        <v>1411</v>
      </c>
      <c r="P1054" t="s">
        <v>1411</v>
      </c>
      <c r="Q1054" t="s">
        <v>1412</v>
      </c>
      <c r="S1054" s="1">
        <v>46043</v>
      </c>
      <c r="W1054" s="1">
        <v>25611</v>
      </c>
      <c r="X1054" t="s">
        <v>1492</v>
      </c>
      <c r="Y1054" t="s">
        <v>2058</v>
      </c>
      <c r="Z1054" t="s">
        <v>3263</v>
      </c>
      <c r="AA1054" t="s">
        <v>1419</v>
      </c>
      <c r="AB1054" t="s">
        <v>5494</v>
      </c>
      <c r="AC1054">
        <v>91988737011</v>
      </c>
    </row>
    <row r="1055" spans="1:29" x14ac:dyDescent="0.3">
      <c r="A1055" t="s">
        <v>1405</v>
      </c>
      <c r="B1055" t="s">
        <v>2302</v>
      </c>
      <c r="C1055" t="s">
        <v>5495</v>
      </c>
      <c r="D1055">
        <v>65225660010</v>
      </c>
      <c r="E1055">
        <v>3275263</v>
      </c>
      <c r="F1055">
        <v>1004012892</v>
      </c>
      <c r="G1055" s="1">
        <v>45182</v>
      </c>
      <c r="H1055" t="s">
        <v>1360</v>
      </c>
      <c r="I1055" t="s">
        <v>1374</v>
      </c>
      <c r="J1055" t="s">
        <v>1361</v>
      </c>
      <c r="K1055" t="s">
        <v>2308</v>
      </c>
      <c r="L1055" t="s">
        <v>2305</v>
      </c>
      <c r="M1055" t="s">
        <v>1409</v>
      </c>
      <c r="N1055" t="s">
        <v>1410</v>
      </c>
      <c r="O1055" t="s">
        <v>1423</v>
      </c>
      <c r="P1055" t="s">
        <v>1411</v>
      </c>
      <c r="Q1055" t="s">
        <v>1412</v>
      </c>
      <c r="S1055" s="1">
        <v>46043</v>
      </c>
      <c r="W1055" s="1">
        <v>27062</v>
      </c>
      <c r="X1055" t="s">
        <v>5496</v>
      </c>
      <c r="Y1055" t="s">
        <v>5076</v>
      </c>
      <c r="Z1055" t="s">
        <v>2448</v>
      </c>
      <c r="AA1055" t="s">
        <v>1419</v>
      </c>
      <c r="AB1055" t="s">
        <v>5497</v>
      </c>
      <c r="AC1055">
        <v>51999225868</v>
      </c>
    </row>
    <row r="1056" spans="1:29" x14ac:dyDescent="0.3">
      <c r="A1056" t="s">
        <v>1405</v>
      </c>
      <c r="B1056" t="s">
        <v>2302</v>
      </c>
      <c r="C1056" t="s">
        <v>5498</v>
      </c>
      <c r="D1056">
        <v>91033195987</v>
      </c>
      <c r="E1056">
        <v>3185653</v>
      </c>
      <c r="F1056">
        <v>1004012903</v>
      </c>
      <c r="G1056" s="1">
        <v>45183</v>
      </c>
      <c r="H1056" t="s">
        <v>1360</v>
      </c>
      <c r="I1056" t="s">
        <v>1349</v>
      </c>
      <c r="J1056" t="s">
        <v>1361</v>
      </c>
      <c r="K1056" t="s">
        <v>2308</v>
      </c>
      <c r="L1056" t="s">
        <v>2305</v>
      </c>
      <c r="M1056" t="s">
        <v>1421</v>
      </c>
      <c r="N1056" t="s">
        <v>1422</v>
      </c>
      <c r="O1056" t="s">
        <v>1423</v>
      </c>
      <c r="P1056" t="s">
        <v>1423</v>
      </c>
      <c r="Q1056" t="s">
        <v>1412</v>
      </c>
      <c r="S1056" s="1">
        <v>45789</v>
      </c>
      <c r="V1056" s="1">
        <v>45785</v>
      </c>
      <c r="W1056" s="1">
        <v>27734</v>
      </c>
      <c r="X1056" t="s">
        <v>1669</v>
      </c>
      <c r="Y1056" t="s">
        <v>3115</v>
      </c>
      <c r="Z1056" t="s">
        <v>2876</v>
      </c>
      <c r="AA1056" t="s">
        <v>1419</v>
      </c>
      <c r="AB1056" t="s">
        <v>5499</v>
      </c>
      <c r="AC1056">
        <v>48996135110</v>
      </c>
    </row>
    <row r="1057" spans="1:29" x14ac:dyDescent="0.3">
      <c r="A1057" t="s">
        <v>1405</v>
      </c>
      <c r="B1057" t="s">
        <v>2302</v>
      </c>
      <c r="C1057" t="s">
        <v>5500</v>
      </c>
      <c r="D1057">
        <v>95013806968</v>
      </c>
      <c r="E1057">
        <v>3041658</v>
      </c>
      <c r="F1057">
        <v>1004020145</v>
      </c>
      <c r="G1057" s="1">
        <v>45931</v>
      </c>
      <c r="H1057" t="s">
        <v>1360</v>
      </c>
      <c r="I1057" t="s">
        <v>1349</v>
      </c>
      <c r="J1057" t="s">
        <v>1361</v>
      </c>
      <c r="K1057" t="s">
        <v>2308</v>
      </c>
      <c r="L1057" t="s">
        <v>2305</v>
      </c>
      <c r="M1057" t="s">
        <v>1447</v>
      </c>
      <c r="N1057" t="s">
        <v>1448</v>
      </c>
      <c r="O1057" t="s">
        <v>1423</v>
      </c>
      <c r="P1057" t="s">
        <v>1423</v>
      </c>
      <c r="Q1057" t="s">
        <v>1412</v>
      </c>
      <c r="S1057" s="1">
        <v>45953</v>
      </c>
      <c r="V1057" s="1">
        <v>45952</v>
      </c>
      <c r="W1057" s="1">
        <v>27039</v>
      </c>
      <c r="X1057" t="s">
        <v>5501</v>
      </c>
      <c r="Z1057" t="s">
        <v>3374</v>
      </c>
      <c r="AA1057" t="s">
        <v>1419</v>
      </c>
      <c r="AB1057" t="s">
        <v>5502</v>
      </c>
      <c r="AC1057">
        <v>4999178915</v>
      </c>
    </row>
    <row r="1058" spans="1:29" x14ac:dyDescent="0.3">
      <c r="A1058" t="s">
        <v>1405</v>
      </c>
      <c r="B1058" t="s">
        <v>2302</v>
      </c>
      <c r="C1058" t="s">
        <v>5503</v>
      </c>
      <c r="D1058">
        <v>91790727120</v>
      </c>
      <c r="E1058">
        <v>10452184</v>
      </c>
      <c r="F1058">
        <v>1004010187</v>
      </c>
      <c r="G1058" s="1">
        <v>44725</v>
      </c>
      <c r="H1058" t="s">
        <v>1360</v>
      </c>
      <c r="I1058" t="s">
        <v>1374</v>
      </c>
      <c r="J1058" t="s">
        <v>1354</v>
      </c>
      <c r="K1058" t="s">
        <v>1361</v>
      </c>
      <c r="L1058" t="s">
        <v>2305</v>
      </c>
      <c r="M1058" t="s">
        <v>1409</v>
      </c>
      <c r="N1058" t="s">
        <v>1410</v>
      </c>
      <c r="O1058" t="s">
        <v>1411</v>
      </c>
      <c r="P1058" t="s">
        <v>1411</v>
      </c>
      <c r="Q1058" t="s">
        <v>1412</v>
      </c>
      <c r="S1058" s="1">
        <v>46043</v>
      </c>
      <c r="W1058" s="1">
        <v>28186</v>
      </c>
      <c r="X1058" t="s">
        <v>1858</v>
      </c>
      <c r="Z1058" t="s">
        <v>3088</v>
      </c>
      <c r="AA1058" t="s">
        <v>1419</v>
      </c>
      <c r="AB1058" t="s">
        <v>5504</v>
      </c>
      <c r="AC1058">
        <v>6684365390</v>
      </c>
    </row>
    <row r="1059" spans="1:29" x14ac:dyDescent="0.3">
      <c r="A1059" t="s">
        <v>1405</v>
      </c>
      <c r="B1059" t="s">
        <v>2302</v>
      </c>
      <c r="C1059" t="s">
        <v>5505</v>
      </c>
      <c r="D1059">
        <v>2479930343</v>
      </c>
      <c r="E1059">
        <v>2004021008594</v>
      </c>
      <c r="F1059">
        <v>1004013283</v>
      </c>
      <c r="G1059" s="1">
        <v>45224</v>
      </c>
      <c r="H1059" t="s">
        <v>1360</v>
      </c>
      <c r="I1059" t="s">
        <v>1349</v>
      </c>
      <c r="J1059" t="s">
        <v>2348</v>
      </c>
      <c r="K1059" t="s">
        <v>2308</v>
      </c>
      <c r="L1059" t="s">
        <v>2305</v>
      </c>
      <c r="M1059" t="s">
        <v>1421</v>
      </c>
      <c r="N1059" t="s">
        <v>1422</v>
      </c>
      <c r="O1059" t="s">
        <v>1411</v>
      </c>
      <c r="P1059" t="s">
        <v>1411</v>
      </c>
      <c r="Q1059" t="s">
        <v>1412</v>
      </c>
      <c r="S1059" s="1">
        <v>45856</v>
      </c>
      <c r="V1059" s="1">
        <v>45854</v>
      </c>
      <c r="W1059" s="1">
        <v>35728</v>
      </c>
      <c r="X1059" t="s">
        <v>1507</v>
      </c>
      <c r="Z1059" t="s">
        <v>3138</v>
      </c>
      <c r="AA1059" t="s">
        <v>1419</v>
      </c>
      <c r="AB1059" t="s">
        <v>5506</v>
      </c>
      <c r="AC1059">
        <v>88993029370</v>
      </c>
    </row>
    <row r="1060" spans="1:29" x14ac:dyDescent="0.3">
      <c r="A1060" t="s">
        <v>1405</v>
      </c>
      <c r="B1060" t="s">
        <v>2302</v>
      </c>
      <c r="C1060" t="s">
        <v>5507</v>
      </c>
      <c r="D1060">
        <v>92273696515</v>
      </c>
      <c r="E1060">
        <v>762889004</v>
      </c>
      <c r="F1060">
        <v>1004021359</v>
      </c>
      <c r="G1060" s="1">
        <v>46076</v>
      </c>
      <c r="H1060" t="s">
        <v>1360</v>
      </c>
      <c r="I1060" t="s">
        <v>1374</v>
      </c>
      <c r="J1060" t="s">
        <v>2308</v>
      </c>
      <c r="K1060" t="s">
        <v>2313</v>
      </c>
      <c r="L1060" t="s">
        <v>2305</v>
      </c>
      <c r="M1060" t="s">
        <v>1409</v>
      </c>
      <c r="N1060" t="s">
        <v>1410</v>
      </c>
      <c r="O1060" t="s">
        <v>1411</v>
      </c>
      <c r="P1060" t="s">
        <v>1411</v>
      </c>
      <c r="Q1060" t="s">
        <v>1412</v>
      </c>
      <c r="S1060" s="1">
        <v>46071</v>
      </c>
      <c r="W1060" s="1">
        <v>28707</v>
      </c>
      <c r="X1060" t="s">
        <v>2661</v>
      </c>
      <c r="Z1060" t="s">
        <v>2663</v>
      </c>
      <c r="AA1060" t="s">
        <v>1419</v>
      </c>
      <c r="AB1060" t="s">
        <v>5508</v>
      </c>
      <c r="AC1060">
        <v>73999822432</v>
      </c>
    </row>
    <row r="1061" spans="1:29" x14ac:dyDescent="0.3">
      <c r="A1061" t="s">
        <v>1405</v>
      </c>
      <c r="B1061" t="s">
        <v>2302</v>
      </c>
      <c r="C1061" t="s">
        <v>5509</v>
      </c>
      <c r="D1061">
        <v>85091413987</v>
      </c>
      <c r="E1061">
        <v>2984181</v>
      </c>
      <c r="F1061">
        <v>1004009642</v>
      </c>
      <c r="G1061" s="1">
        <v>44657</v>
      </c>
      <c r="H1061" t="s">
        <v>1360</v>
      </c>
      <c r="I1061" t="s">
        <v>1374</v>
      </c>
      <c r="J1061" t="s">
        <v>1361</v>
      </c>
      <c r="K1061" t="s">
        <v>2308</v>
      </c>
      <c r="L1061" t="s">
        <v>2305</v>
      </c>
      <c r="M1061" t="s">
        <v>1409</v>
      </c>
      <c r="N1061" t="s">
        <v>1410</v>
      </c>
      <c r="O1061" t="s">
        <v>1423</v>
      </c>
      <c r="P1061" t="s">
        <v>1423</v>
      </c>
      <c r="Q1061" t="s">
        <v>1412</v>
      </c>
      <c r="S1061" s="1">
        <v>46043</v>
      </c>
      <c r="W1061" s="1">
        <v>27757</v>
      </c>
      <c r="X1061" t="s">
        <v>1676</v>
      </c>
      <c r="Y1061" t="s">
        <v>2900</v>
      </c>
      <c r="Z1061" t="s">
        <v>3554</v>
      </c>
      <c r="AA1061" t="s">
        <v>1419</v>
      </c>
      <c r="AB1061" t="s">
        <v>5510</v>
      </c>
      <c r="AC1061">
        <v>47988251053</v>
      </c>
    </row>
    <row r="1062" spans="1:29" x14ac:dyDescent="0.3">
      <c r="A1062" t="s">
        <v>1405</v>
      </c>
      <c r="B1062" t="s">
        <v>2302</v>
      </c>
      <c r="C1062" t="s">
        <v>5511</v>
      </c>
      <c r="D1062">
        <v>71236619234</v>
      </c>
      <c r="E1062" t="s">
        <v>5512</v>
      </c>
      <c r="F1062">
        <v>1004013965</v>
      </c>
      <c r="G1062" s="1">
        <v>45348</v>
      </c>
      <c r="H1062" t="s">
        <v>1360</v>
      </c>
      <c r="I1062" t="s">
        <v>1349</v>
      </c>
      <c r="J1062" t="s">
        <v>2348</v>
      </c>
      <c r="K1062" t="s">
        <v>2308</v>
      </c>
      <c r="L1062" t="s">
        <v>2305</v>
      </c>
      <c r="M1062" t="s">
        <v>1646</v>
      </c>
      <c r="N1062" t="s">
        <v>1647</v>
      </c>
      <c r="O1062" t="s">
        <v>1411</v>
      </c>
      <c r="P1062" t="s">
        <v>1411</v>
      </c>
      <c r="Q1062" t="s">
        <v>1412</v>
      </c>
      <c r="S1062" s="1">
        <v>45855</v>
      </c>
      <c r="V1062" s="1">
        <v>45854</v>
      </c>
      <c r="W1062" s="1">
        <v>29678</v>
      </c>
      <c r="X1062" t="s">
        <v>5513</v>
      </c>
      <c r="Z1062" t="s">
        <v>2371</v>
      </c>
      <c r="AA1062" t="s">
        <v>1419</v>
      </c>
      <c r="AB1062" t="s">
        <v>5514</v>
      </c>
      <c r="AC1062">
        <v>92984630491</v>
      </c>
    </row>
    <row r="1063" spans="1:29" x14ac:dyDescent="0.3">
      <c r="A1063" t="s">
        <v>1405</v>
      </c>
      <c r="B1063" t="s">
        <v>2302</v>
      </c>
      <c r="C1063" t="s">
        <v>5515</v>
      </c>
      <c r="D1063">
        <v>77714520272</v>
      </c>
      <c r="E1063">
        <v>16827244</v>
      </c>
      <c r="F1063">
        <v>1004018666</v>
      </c>
      <c r="G1063" s="1">
        <v>45847</v>
      </c>
      <c r="H1063" t="s">
        <v>1360</v>
      </c>
      <c r="I1063" t="s">
        <v>1374</v>
      </c>
      <c r="J1063" t="s">
        <v>2308</v>
      </c>
      <c r="K1063" t="s">
        <v>2313</v>
      </c>
      <c r="L1063" t="s">
        <v>2305</v>
      </c>
      <c r="M1063" t="s">
        <v>1409</v>
      </c>
      <c r="N1063" t="s">
        <v>1410</v>
      </c>
      <c r="O1063" t="s">
        <v>1411</v>
      </c>
      <c r="P1063" t="s">
        <v>1411</v>
      </c>
      <c r="Q1063" t="s">
        <v>1412</v>
      </c>
      <c r="S1063" s="1">
        <v>46043</v>
      </c>
      <c r="W1063" s="1">
        <v>30495</v>
      </c>
      <c r="X1063" t="s">
        <v>2549</v>
      </c>
      <c r="Y1063" t="s">
        <v>2550</v>
      </c>
      <c r="Z1063" t="s">
        <v>2314</v>
      </c>
      <c r="AA1063" t="s">
        <v>1419</v>
      </c>
      <c r="AB1063" t="s">
        <v>5516</v>
      </c>
      <c r="AC1063">
        <v>92981844071</v>
      </c>
    </row>
    <row r="1064" spans="1:29" x14ac:dyDescent="0.3">
      <c r="A1064" t="s">
        <v>1405</v>
      </c>
      <c r="B1064" t="s">
        <v>2302</v>
      </c>
      <c r="C1064" t="s">
        <v>5517</v>
      </c>
      <c r="D1064">
        <v>6663744909</v>
      </c>
      <c r="E1064" t="s">
        <v>5518</v>
      </c>
      <c r="F1064">
        <v>1004022501</v>
      </c>
      <c r="G1064" s="1">
        <v>46125</v>
      </c>
      <c r="H1064" t="s">
        <v>1360</v>
      </c>
      <c r="I1064" t="s">
        <v>1374</v>
      </c>
      <c r="J1064" t="s">
        <v>2308</v>
      </c>
      <c r="K1064" t="s">
        <v>2313</v>
      </c>
      <c r="L1064" t="s">
        <v>2305</v>
      </c>
      <c r="M1064" t="s">
        <v>1421</v>
      </c>
      <c r="N1064" t="s">
        <v>1422</v>
      </c>
      <c r="O1064" t="s">
        <v>1411</v>
      </c>
      <c r="P1064" t="s">
        <v>1411</v>
      </c>
      <c r="Q1064" t="s">
        <v>1412</v>
      </c>
      <c r="S1064" s="1">
        <v>46121</v>
      </c>
      <c r="W1064" s="1">
        <v>32364</v>
      </c>
      <c r="X1064" t="s">
        <v>5519</v>
      </c>
      <c r="Y1064" t="s">
        <v>5520</v>
      </c>
      <c r="Z1064" t="s">
        <v>2587</v>
      </c>
      <c r="AA1064" t="s">
        <v>1419</v>
      </c>
      <c r="AB1064" t="s">
        <v>5521</v>
      </c>
      <c r="AC1064">
        <v>47996063435</v>
      </c>
    </row>
    <row r="1065" spans="1:29" x14ac:dyDescent="0.3">
      <c r="A1065" t="s">
        <v>1405</v>
      </c>
      <c r="B1065" t="s">
        <v>2302</v>
      </c>
      <c r="C1065" t="s">
        <v>5522</v>
      </c>
      <c r="D1065">
        <v>7087059955</v>
      </c>
      <c r="E1065">
        <v>4895043</v>
      </c>
      <c r="F1065">
        <v>1004003221</v>
      </c>
      <c r="G1065" s="1">
        <v>43545</v>
      </c>
      <c r="H1065" t="s">
        <v>1360</v>
      </c>
      <c r="I1065" t="s">
        <v>1349</v>
      </c>
      <c r="J1065" t="s">
        <v>2308</v>
      </c>
      <c r="K1065" t="s">
        <v>2313</v>
      </c>
      <c r="L1065" t="s">
        <v>2305</v>
      </c>
      <c r="M1065" t="s">
        <v>1409</v>
      </c>
      <c r="N1065" t="s">
        <v>1410</v>
      </c>
      <c r="O1065" t="s">
        <v>1423</v>
      </c>
      <c r="P1065" t="s">
        <v>1423</v>
      </c>
      <c r="Q1065" t="s">
        <v>1412</v>
      </c>
      <c r="S1065" s="1">
        <v>45740</v>
      </c>
      <c r="V1065" s="1">
        <v>45737</v>
      </c>
      <c r="W1065" s="1">
        <v>32832</v>
      </c>
      <c r="X1065" t="s">
        <v>1563</v>
      </c>
      <c r="Y1065" t="s">
        <v>1564</v>
      </c>
      <c r="Z1065" t="s">
        <v>4561</v>
      </c>
      <c r="AA1065" t="s">
        <v>1419</v>
      </c>
      <c r="AB1065" t="s">
        <v>5523</v>
      </c>
      <c r="AC1065">
        <v>47984712273</v>
      </c>
    </row>
    <row r="1066" spans="1:29" x14ac:dyDescent="0.3">
      <c r="A1066" t="s">
        <v>1405</v>
      </c>
      <c r="B1066" t="s">
        <v>2302</v>
      </c>
      <c r="C1066" t="s">
        <v>5524</v>
      </c>
      <c r="D1066">
        <v>8022533777</v>
      </c>
      <c r="E1066" t="s">
        <v>5525</v>
      </c>
      <c r="F1066">
        <v>1004013891</v>
      </c>
      <c r="G1066" s="1">
        <v>45343</v>
      </c>
      <c r="H1066" t="s">
        <v>1360</v>
      </c>
      <c r="I1066" t="s">
        <v>1349</v>
      </c>
      <c r="J1066" t="s">
        <v>1361</v>
      </c>
      <c r="K1066" t="s">
        <v>2308</v>
      </c>
      <c r="L1066" t="s">
        <v>2305</v>
      </c>
      <c r="M1066" t="s">
        <v>1646</v>
      </c>
      <c r="N1066" t="s">
        <v>1647</v>
      </c>
      <c r="O1066" t="s">
        <v>1411</v>
      </c>
      <c r="P1066" t="s">
        <v>1411</v>
      </c>
      <c r="Q1066" t="s">
        <v>1412</v>
      </c>
      <c r="S1066" s="1">
        <v>45887</v>
      </c>
      <c r="V1066" s="1">
        <v>45882</v>
      </c>
      <c r="W1066" s="1">
        <v>28217</v>
      </c>
      <c r="X1066" t="s">
        <v>1721</v>
      </c>
      <c r="Z1066" t="s">
        <v>5526</v>
      </c>
      <c r="AA1066" t="s">
        <v>1419</v>
      </c>
      <c r="AB1066" t="s">
        <v>5527</v>
      </c>
      <c r="AC1066">
        <v>48988608922</v>
      </c>
    </row>
    <row r="1067" spans="1:29" x14ac:dyDescent="0.3">
      <c r="A1067" t="s">
        <v>1405</v>
      </c>
      <c r="B1067" t="s">
        <v>2302</v>
      </c>
      <c r="C1067" t="s">
        <v>5528</v>
      </c>
      <c r="D1067">
        <v>1177422280</v>
      </c>
      <c r="E1067">
        <v>28779029</v>
      </c>
      <c r="F1067">
        <v>1004010624</v>
      </c>
      <c r="G1067" s="1">
        <v>44791</v>
      </c>
      <c r="H1067" t="s">
        <v>1360</v>
      </c>
      <c r="I1067" t="s">
        <v>1374</v>
      </c>
      <c r="J1067" t="s">
        <v>1361</v>
      </c>
      <c r="K1067" t="s">
        <v>2308</v>
      </c>
      <c r="L1067" t="s">
        <v>2305</v>
      </c>
      <c r="M1067" t="s">
        <v>1409</v>
      </c>
      <c r="N1067" t="s">
        <v>1410</v>
      </c>
      <c r="O1067" t="s">
        <v>1411</v>
      </c>
      <c r="P1067" t="s">
        <v>1411</v>
      </c>
      <c r="Q1067" t="s">
        <v>1412</v>
      </c>
      <c r="S1067" s="1">
        <v>46043</v>
      </c>
      <c r="W1067" s="1">
        <v>35293</v>
      </c>
      <c r="X1067" t="s">
        <v>1825</v>
      </c>
      <c r="Y1067" t="s">
        <v>1920</v>
      </c>
      <c r="Z1067" t="s">
        <v>2903</v>
      </c>
      <c r="AA1067" t="s">
        <v>1419</v>
      </c>
      <c r="AB1067" t="s">
        <v>461</v>
      </c>
      <c r="AC1067">
        <v>92994619601</v>
      </c>
    </row>
    <row r="1068" spans="1:29" x14ac:dyDescent="0.3">
      <c r="A1068" t="s">
        <v>1405</v>
      </c>
      <c r="B1068" t="s">
        <v>2302</v>
      </c>
      <c r="C1068" t="s">
        <v>5529</v>
      </c>
      <c r="D1068">
        <v>96430486591</v>
      </c>
      <c r="E1068">
        <v>1490016</v>
      </c>
      <c r="F1068">
        <v>1004012642</v>
      </c>
      <c r="G1068" s="1">
        <v>45152</v>
      </c>
      <c r="H1068" t="s">
        <v>1360</v>
      </c>
      <c r="I1068" t="s">
        <v>1374</v>
      </c>
      <c r="J1068" t="s">
        <v>2348</v>
      </c>
      <c r="K1068" t="s">
        <v>2308</v>
      </c>
      <c r="L1068" t="s">
        <v>2305</v>
      </c>
      <c r="M1068" t="s">
        <v>1409</v>
      </c>
      <c r="N1068" t="s">
        <v>1422</v>
      </c>
      <c r="O1068" t="s">
        <v>1411</v>
      </c>
      <c r="P1068" t="s">
        <v>1411</v>
      </c>
      <c r="Q1068" t="s">
        <v>1412</v>
      </c>
      <c r="S1068" s="1">
        <v>46043</v>
      </c>
      <c r="W1068" s="1">
        <v>28159</v>
      </c>
      <c r="X1068" t="s">
        <v>5530</v>
      </c>
      <c r="Z1068" t="s">
        <v>3319</v>
      </c>
      <c r="AA1068" t="s">
        <v>1419</v>
      </c>
      <c r="AB1068" t="s">
        <v>5531</v>
      </c>
      <c r="AC1068">
        <v>7999197120</v>
      </c>
    </row>
    <row r="1069" spans="1:29" x14ac:dyDescent="0.3">
      <c r="A1069" t="s">
        <v>1405</v>
      </c>
      <c r="B1069" t="s">
        <v>2302</v>
      </c>
      <c r="C1069" t="s">
        <v>5532</v>
      </c>
      <c r="D1069">
        <v>4398551107</v>
      </c>
      <c r="E1069">
        <v>2872657</v>
      </c>
      <c r="F1069">
        <v>1004005687</v>
      </c>
      <c r="G1069" s="1">
        <v>43909</v>
      </c>
      <c r="H1069" t="s">
        <v>1360</v>
      </c>
      <c r="I1069" t="s">
        <v>1349</v>
      </c>
      <c r="J1069" t="s">
        <v>2308</v>
      </c>
      <c r="K1069" t="s">
        <v>2313</v>
      </c>
      <c r="L1069" t="s">
        <v>2305</v>
      </c>
      <c r="M1069" t="s">
        <v>1421</v>
      </c>
      <c r="N1069" t="s">
        <v>1422</v>
      </c>
      <c r="O1069" t="s">
        <v>1411</v>
      </c>
      <c r="P1069" t="s">
        <v>1411</v>
      </c>
      <c r="Q1069" t="s">
        <v>1412</v>
      </c>
      <c r="S1069" s="1">
        <v>45737</v>
      </c>
      <c r="V1069" s="1">
        <v>45735</v>
      </c>
      <c r="W1069" s="1">
        <v>34007</v>
      </c>
      <c r="X1069" t="s">
        <v>1617</v>
      </c>
      <c r="Y1069" t="s">
        <v>5533</v>
      </c>
      <c r="Z1069" t="s">
        <v>2864</v>
      </c>
      <c r="AA1069" t="s">
        <v>1419</v>
      </c>
      <c r="AB1069" t="s">
        <v>5534</v>
      </c>
      <c r="AC1069">
        <v>65996687943</v>
      </c>
    </row>
    <row r="1070" spans="1:29" x14ac:dyDescent="0.3">
      <c r="A1070" t="s">
        <v>1405</v>
      </c>
      <c r="B1070" t="s">
        <v>2302</v>
      </c>
      <c r="C1070" t="s">
        <v>5535</v>
      </c>
      <c r="D1070">
        <v>5670630548</v>
      </c>
      <c r="E1070">
        <v>1282299344</v>
      </c>
      <c r="F1070">
        <v>1004015721</v>
      </c>
      <c r="G1070" s="1">
        <v>45549</v>
      </c>
      <c r="H1070" t="s">
        <v>1360</v>
      </c>
      <c r="I1070" t="s">
        <v>1374</v>
      </c>
      <c r="J1070" t="s">
        <v>1361</v>
      </c>
      <c r="K1070" t="s">
        <v>2308</v>
      </c>
      <c r="L1070" t="s">
        <v>2305</v>
      </c>
      <c r="M1070" t="s">
        <v>1447</v>
      </c>
      <c r="N1070" t="s">
        <v>1448</v>
      </c>
      <c r="O1070" t="s">
        <v>1411</v>
      </c>
      <c r="P1070" t="s">
        <v>1411</v>
      </c>
      <c r="Q1070" t="s">
        <v>1412</v>
      </c>
      <c r="S1070" s="1">
        <v>46043</v>
      </c>
      <c r="W1070" s="1">
        <v>33148</v>
      </c>
      <c r="X1070" t="s">
        <v>1430</v>
      </c>
      <c r="Y1070" t="s">
        <v>2906</v>
      </c>
      <c r="Z1070" t="s">
        <v>2363</v>
      </c>
      <c r="AA1070" t="s">
        <v>1419</v>
      </c>
      <c r="AB1070" t="s">
        <v>5536</v>
      </c>
      <c r="AC1070">
        <v>75981888762</v>
      </c>
    </row>
    <row r="1071" spans="1:29" x14ac:dyDescent="0.3">
      <c r="A1071" t="s">
        <v>1405</v>
      </c>
      <c r="B1071" t="s">
        <v>2302</v>
      </c>
      <c r="C1071" t="s">
        <v>5537</v>
      </c>
      <c r="D1071">
        <v>1219534080</v>
      </c>
      <c r="E1071">
        <v>7090062741</v>
      </c>
      <c r="F1071">
        <v>1004001421</v>
      </c>
      <c r="G1071" s="1">
        <v>43150</v>
      </c>
      <c r="H1071" t="s">
        <v>1360</v>
      </c>
      <c r="I1071" t="s">
        <v>1349</v>
      </c>
      <c r="J1071" t="s">
        <v>2308</v>
      </c>
      <c r="K1071" t="s">
        <v>2313</v>
      </c>
      <c r="L1071" t="s">
        <v>2305</v>
      </c>
      <c r="M1071" t="s">
        <v>1409</v>
      </c>
      <c r="N1071" t="s">
        <v>1410</v>
      </c>
      <c r="O1071" t="s">
        <v>1423</v>
      </c>
      <c r="P1071" t="s">
        <v>1423</v>
      </c>
      <c r="Q1071" t="s">
        <v>1412</v>
      </c>
      <c r="S1071" s="1">
        <v>45824</v>
      </c>
      <c r="V1071" s="1">
        <v>45819</v>
      </c>
      <c r="W1071" s="1">
        <v>31743</v>
      </c>
      <c r="X1071" t="s">
        <v>5538</v>
      </c>
      <c r="Y1071" t="s">
        <v>1445</v>
      </c>
      <c r="Z1071" t="s">
        <v>5539</v>
      </c>
      <c r="AA1071" t="s">
        <v>1419</v>
      </c>
      <c r="AB1071" t="s">
        <v>5540</v>
      </c>
      <c r="AC1071">
        <v>53991179062</v>
      </c>
    </row>
    <row r="1072" spans="1:29" x14ac:dyDescent="0.3">
      <c r="A1072" t="s">
        <v>1405</v>
      </c>
      <c r="B1072" t="s">
        <v>2302</v>
      </c>
      <c r="C1072" t="s">
        <v>5541</v>
      </c>
      <c r="D1072">
        <v>1246559390</v>
      </c>
      <c r="E1072">
        <v>205548</v>
      </c>
      <c r="F1072">
        <v>1004011582</v>
      </c>
      <c r="G1072" s="1">
        <v>44998</v>
      </c>
      <c r="H1072" t="s">
        <v>1360</v>
      </c>
      <c r="I1072" t="s">
        <v>1374</v>
      </c>
      <c r="J1072" t="s">
        <v>2348</v>
      </c>
      <c r="K1072" t="s">
        <v>2308</v>
      </c>
      <c r="L1072" t="s">
        <v>2305</v>
      </c>
      <c r="M1072" t="s">
        <v>1409</v>
      </c>
      <c r="N1072" t="s">
        <v>1410</v>
      </c>
      <c r="O1072" t="s">
        <v>1423</v>
      </c>
      <c r="P1072" t="s">
        <v>1423</v>
      </c>
      <c r="Q1072" t="s">
        <v>1412</v>
      </c>
      <c r="S1072" s="1">
        <v>46043</v>
      </c>
      <c r="W1072" s="1">
        <v>31565</v>
      </c>
      <c r="X1072" t="s">
        <v>5542</v>
      </c>
      <c r="Y1072" t="s">
        <v>5543</v>
      </c>
      <c r="Z1072" t="s">
        <v>2393</v>
      </c>
      <c r="AA1072" t="s">
        <v>1419</v>
      </c>
      <c r="AB1072" t="s">
        <v>5544</v>
      </c>
      <c r="AC1072">
        <v>85991970872</v>
      </c>
    </row>
    <row r="1073" spans="1:29" x14ac:dyDescent="0.3">
      <c r="A1073" t="s">
        <v>1405</v>
      </c>
      <c r="B1073" t="s">
        <v>2302</v>
      </c>
      <c r="C1073" t="s">
        <v>5545</v>
      </c>
      <c r="D1073">
        <v>5737199185</v>
      </c>
      <c r="E1073" t="s">
        <v>5546</v>
      </c>
      <c r="F1073">
        <v>1004013779</v>
      </c>
      <c r="G1073" s="1">
        <v>45341</v>
      </c>
      <c r="H1073" t="s">
        <v>1360</v>
      </c>
      <c r="I1073" t="s">
        <v>1349</v>
      </c>
      <c r="J1073" t="s">
        <v>1361</v>
      </c>
      <c r="K1073" t="s">
        <v>2308</v>
      </c>
      <c r="L1073" t="s">
        <v>2305</v>
      </c>
      <c r="M1073" t="s">
        <v>1421</v>
      </c>
      <c r="N1073" t="s">
        <v>1422</v>
      </c>
      <c r="O1073" t="s">
        <v>1411</v>
      </c>
      <c r="P1073" t="s">
        <v>1411</v>
      </c>
      <c r="Q1073" t="s">
        <v>1412</v>
      </c>
      <c r="S1073" s="1">
        <v>45833</v>
      </c>
      <c r="V1073" s="1">
        <v>45826</v>
      </c>
      <c r="W1073" s="1">
        <v>35390</v>
      </c>
      <c r="X1073" t="s">
        <v>1589</v>
      </c>
      <c r="Z1073" t="s">
        <v>3564</v>
      </c>
      <c r="AA1073" t="s">
        <v>1419</v>
      </c>
      <c r="AB1073" t="s">
        <v>5547</v>
      </c>
      <c r="AC1073">
        <v>66999667114</v>
      </c>
    </row>
    <row r="1074" spans="1:29" x14ac:dyDescent="0.3">
      <c r="A1074" t="s">
        <v>1405</v>
      </c>
      <c r="B1074" t="s">
        <v>2302</v>
      </c>
      <c r="C1074" t="s">
        <v>5548</v>
      </c>
      <c r="D1074">
        <v>858251906</v>
      </c>
      <c r="E1074">
        <v>4648295</v>
      </c>
      <c r="F1074">
        <v>42004202427</v>
      </c>
      <c r="G1074" s="1">
        <v>42569</v>
      </c>
      <c r="H1074" t="s">
        <v>1360</v>
      </c>
      <c r="I1074" t="s">
        <v>1374</v>
      </c>
      <c r="J1074" t="s">
        <v>2308</v>
      </c>
      <c r="K1074" t="s">
        <v>2313</v>
      </c>
      <c r="L1074" t="s">
        <v>2305</v>
      </c>
      <c r="M1074" t="s">
        <v>1409</v>
      </c>
      <c r="N1074" t="s">
        <v>1410</v>
      </c>
      <c r="O1074" t="s">
        <v>1423</v>
      </c>
      <c r="P1074" t="s">
        <v>1423</v>
      </c>
      <c r="Q1074" t="s">
        <v>1412</v>
      </c>
      <c r="S1074" s="1">
        <v>46043</v>
      </c>
      <c r="W1074" s="1">
        <v>30836</v>
      </c>
      <c r="X1074" t="s">
        <v>5549</v>
      </c>
      <c r="Z1074" t="s">
        <v>2818</v>
      </c>
      <c r="AA1074" t="s">
        <v>1419</v>
      </c>
      <c r="AB1074" t="s">
        <v>5550</v>
      </c>
    </row>
    <row r="1075" spans="1:29" x14ac:dyDescent="0.3">
      <c r="A1075" t="s">
        <v>1405</v>
      </c>
      <c r="B1075" t="s">
        <v>2302</v>
      </c>
      <c r="C1075" t="s">
        <v>5551</v>
      </c>
      <c r="D1075">
        <v>5224618592</v>
      </c>
      <c r="E1075">
        <v>200320132411503</v>
      </c>
      <c r="F1075">
        <v>1004011042</v>
      </c>
      <c r="G1075" s="1">
        <v>44868</v>
      </c>
      <c r="H1075" t="s">
        <v>1360</v>
      </c>
      <c r="I1075" t="s">
        <v>1374</v>
      </c>
      <c r="J1075" t="s">
        <v>2348</v>
      </c>
      <c r="K1075" t="s">
        <v>2308</v>
      </c>
      <c r="L1075" t="s">
        <v>2305</v>
      </c>
      <c r="M1075" t="s">
        <v>1409</v>
      </c>
      <c r="N1075" t="s">
        <v>1410</v>
      </c>
      <c r="O1075" t="s">
        <v>1411</v>
      </c>
      <c r="P1075" t="s">
        <v>1411</v>
      </c>
      <c r="Q1075" t="s">
        <v>1412</v>
      </c>
      <c r="S1075" s="1">
        <v>46043</v>
      </c>
      <c r="W1075" s="1">
        <v>34109</v>
      </c>
      <c r="X1075" t="s">
        <v>1428</v>
      </c>
      <c r="Y1075" t="s">
        <v>4894</v>
      </c>
      <c r="Z1075" t="s">
        <v>5552</v>
      </c>
      <c r="AA1075" t="s">
        <v>1419</v>
      </c>
      <c r="AB1075" t="s">
        <v>5553</v>
      </c>
      <c r="AC1075">
        <v>79996842134</v>
      </c>
    </row>
    <row r="1076" spans="1:29" x14ac:dyDescent="0.3">
      <c r="A1076" t="s">
        <v>1405</v>
      </c>
      <c r="B1076" t="s">
        <v>2302</v>
      </c>
      <c r="C1076" t="s">
        <v>5554</v>
      </c>
      <c r="D1076">
        <v>6100057310</v>
      </c>
      <c r="E1076">
        <v>20078332162</v>
      </c>
      <c r="F1076">
        <v>1004011423</v>
      </c>
      <c r="G1076" s="1">
        <v>44985</v>
      </c>
      <c r="H1076" t="s">
        <v>1360</v>
      </c>
      <c r="I1076" t="s">
        <v>1374</v>
      </c>
      <c r="J1076" t="s">
        <v>1354</v>
      </c>
      <c r="K1076" t="s">
        <v>1361</v>
      </c>
      <c r="L1076" t="s">
        <v>2305</v>
      </c>
      <c r="M1076" t="s">
        <v>1409</v>
      </c>
      <c r="N1076" t="s">
        <v>1410</v>
      </c>
      <c r="O1076" t="s">
        <v>1411</v>
      </c>
      <c r="P1076" t="s">
        <v>1411</v>
      </c>
      <c r="Q1076" t="s">
        <v>1412</v>
      </c>
      <c r="S1076" s="1">
        <v>46043</v>
      </c>
      <c r="W1076" s="1">
        <v>34206</v>
      </c>
      <c r="X1076" t="s">
        <v>1561</v>
      </c>
      <c r="Y1076" t="s">
        <v>3509</v>
      </c>
      <c r="Z1076" t="s">
        <v>2473</v>
      </c>
      <c r="AA1076" t="s">
        <v>1419</v>
      </c>
      <c r="AB1076" t="s">
        <v>378</v>
      </c>
      <c r="AC1076">
        <v>88999677356</v>
      </c>
    </row>
    <row r="1077" spans="1:29" x14ac:dyDescent="0.3">
      <c r="A1077" t="s">
        <v>1405</v>
      </c>
      <c r="B1077" t="s">
        <v>2302</v>
      </c>
      <c r="C1077" t="s">
        <v>5555</v>
      </c>
      <c r="D1077">
        <v>6881869983</v>
      </c>
      <c r="E1077">
        <v>4327445</v>
      </c>
      <c r="F1077">
        <v>1004012515</v>
      </c>
      <c r="G1077" s="1">
        <v>45148</v>
      </c>
      <c r="H1077" t="s">
        <v>1360</v>
      </c>
      <c r="I1077" t="s">
        <v>1349</v>
      </c>
      <c r="J1077" t="s">
        <v>2348</v>
      </c>
      <c r="K1077" t="s">
        <v>2308</v>
      </c>
      <c r="L1077" t="s">
        <v>2305</v>
      </c>
      <c r="M1077" t="s">
        <v>1447</v>
      </c>
      <c r="N1077" t="s">
        <v>1448</v>
      </c>
      <c r="O1077" t="s">
        <v>1423</v>
      </c>
      <c r="P1077" t="s">
        <v>1423</v>
      </c>
      <c r="Q1077" t="s">
        <v>1412</v>
      </c>
      <c r="S1077" s="1">
        <v>45861</v>
      </c>
      <c r="V1077" s="1">
        <v>45839</v>
      </c>
      <c r="W1077" s="1">
        <v>32590</v>
      </c>
      <c r="X1077" t="s">
        <v>5556</v>
      </c>
      <c r="Z1077" t="s">
        <v>2353</v>
      </c>
      <c r="AA1077" t="s">
        <v>1419</v>
      </c>
      <c r="AB1077" t="s">
        <v>5557</v>
      </c>
      <c r="AC1077">
        <v>47997747909</v>
      </c>
    </row>
    <row r="1078" spans="1:29" x14ac:dyDescent="0.3">
      <c r="A1078" t="s">
        <v>1405</v>
      </c>
      <c r="B1078" t="s">
        <v>2302</v>
      </c>
      <c r="C1078" t="s">
        <v>5558</v>
      </c>
      <c r="D1078">
        <v>58885080472</v>
      </c>
      <c r="E1078" t="s">
        <v>5559</v>
      </c>
      <c r="F1078">
        <v>1004004672</v>
      </c>
      <c r="G1078" s="1">
        <v>43719</v>
      </c>
      <c r="H1078" t="s">
        <v>1360</v>
      </c>
      <c r="I1078" t="s">
        <v>1374</v>
      </c>
      <c r="J1078" t="s">
        <v>2308</v>
      </c>
      <c r="K1078" t="s">
        <v>2313</v>
      </c>
      <c r="L1078" t="s">
        <v>2305</v>
      </c>
      <c r="M1078" t="s">
        <v>1409</v>
      </c>
      <c r="N1078" t="s">
        <v>1410</v>
      </c>
      <c r="O1078" t="s">
        <v>1411</v>
      </c>
      <c r="P1078" t="s">
        <v>1411</v>
      </c>
      <c r="Q1078" t="s">
        <v>1412</v>
      </c>
      <c r="S1078" s="1">
        <v>46043</v>
      </c>
      <c r="W1078" s="1">
        <v>28069</v>
      </c>
      <c r="X1078" t="s">
        <v>4239</v>
      </c>
      <c r="Y1078" t="s">
        <v>4240</v>
      </c>
      <c r="Z1078" t="s">
        <v>4241</v>
      </c>
      <c r="AA1078" t="s">
        <v>1419</v>
      </c>
      <c r="AB1078" t="s">
        <v>5560</v>
      </c>
      <c r="AC1078">
        <v>87992053737</v>
      </c>
    </row>
    <row r="1079" spans="1:29" x14ac:dyDescent="0.3">
      <c r="A1079" t="s">
        <v>1405</v>
      </c>
      <c r="B1079" t="s">
        <v>2302</v>
      </c>
      <c r="C1079" t="s">
        <v>5561</v>
      </c>
      <c r="D1079">
        <v>3930977575</v>
      </c>
      <c r="E1079">
        <v>1291032339</v>
      </c>
      <c r="F1079">
        <v>42004201031</v>
      </c>
      <c r="G1079" s="1">
        <v>41883</v>
      </c>
      <c r="H1079" t="s">
        <v>1360</v>
      </c>
      <c r="I1079" t="s">
        <v>1349</v>
      </c>
      <c r="J1079" t="s">
        <v>2308</v>
      </c>
      <c r="K1079" t="s">
        <v>2313</v>
      </c>
      <c r="L1079" t="s">
        <v>2305</v>
      </c>
      <c r="M1079" t="s">
        <v>1447</v>
      </c>
      <c r="N1079" t="s">
        <v>1448</v>
      </c>
      <c r="O1079" t="s">
        <v>1423</v>
      </c>
      <c r="P1079" t="s">
        <v>1423</v>
      </c>
      <c r="Q1079" t="s">
        <v>1412</v>
      </c>
      <c r="S1079" s="1">
        <v>45848</v>
      </c>
      <c r="V1079" s="1">
        <v>45846</v>
      </c>
      <c r="W1079" s="1">
        <v>32395</v>
      </c>
      <c r="X1079" t="s">
        <v>5562</v>
      </c>
      <c r="Y1079" t="s">
        <v>5563</v>
      </c>
      <c r="Z1079" t="s">
        <v>3061</v>
      </c>
      <c r="AA1079" t="s">
        <v>1415</v>
      </c>
      <c r="AB1079" t="s">
        <v>5564</v>
      </c>
      <c r="AC1079">
        <v>75982253535</v>
      </c>
    </row>
    <row r="1080" spans="1:29" x14ac:dyDescent="0.3">
      <c r="A1080" t="s">
        <v>1405</v>
      </c>
      <c r="B1080" t="s">
        <v>2302</v>
      </c>
      <c r="C1080" t="s">
        <v>5565</v>
      </c>
      <c r="D1080">
        <v>2577378556</v>
      </c>
      <c r="E1080">
        <v>993809006</v>
      </c>
      <c r="F1080">
        <v>1004001518</v>
      </c>
      <c r="G1080" s="1">
        <v>43165</v>
      </c>
      <c r="H1080" t="s">
        <v>1360</v>
      </c>
      <c r="I1080" t="s">
        <v>1374</v>
      </c>
      <c r="J1080" t="s">
        <v>2308</v>
      </c>
      <c r="K1080" t="s">
        <v>2313</v>
      </c>
      <c r="L1080" t="s">
        <v>2305</v>
      </c>
      <c r="M1080" t="s">
        <v>1409</v>
      </c>
      <c r="N1080" t="s">
        <v>1410</v>
      </c>
      <c r="O1080" t="s">
        <v>1462</v>
      </c>
      <c r="P1080" t="s">
        <v>1462</v>
      </c>
      <c r="Q1080" t="s">
        <v>1412</v>
      </c>
      <c r="S1080" s="1">
        <v>46043</v>
      </c>
      <c r="W1080" s="1">
        <v>32170</v>
      </c>
      <c r="X1080" t="s">
        <v>1430</v>
      </c>
      <c r="Y1080" t="s">
        <v>2906</v>
      </c>
      <c r="Z1080" t="s">
        <v>2513</v>
      </c>
      <c r="AA1080" t="s">
        <v>1415</v>
      </c>
      <c r="AB1080" t="s">
        <v>5566</v>
      </c>
      <c r="AC1080">
        <v>75981527153</v>
      </c>
    </row>
    <row r="1081" spans="1:29" x14ac:dyDescent="0.3">
      <c r="A1081" t="s">
        <v>1405</v>
      </c>
      <c r="B1081" t="s">
        <v>2302</v>
      </c>
      <c r="C1081" t="s">
        <v>5567</v>
      </c>
      <c r="D1081">
        <v>28714369249</v>
      </c>
      <c r="E1081">
        <v>1663444</v>
      </c>
      <c r="F1081">
        <v>1004012810</v>
      </c>
      <c r="G1081" s="1">
        <v>45173</v>
      </c>
      <c r="H1081" t="s">
        <v>1360</v>
      </c>
      <c r="I1081" t="s">
        <v>1374</v>
      </c>
      <c r="J1081">
        <v>3</v>
      </c>
      <c r="K1081" t="s">
        <v>2444</v>
      </c>
      <c r="L1081" t="s">
        <v>2305</v>
      </c>
      <c r="M1081" t="s">
        <v>1409</v>
      </c>
      <c r="N1081" t="s">
        <v>1410</v>
      </c>
      <c r="O1081" t="s">
        <v>1423</v>
      </c>
      <c r="P1081" t="s">
        <v>1423</v>
      </c>
      <c r="Q1081" t="s">
        <v>1412</v>
      </c>
      <c r="S1081" s="1">
        <v>46043</v>
      </c>
      <c r="W1081" s="1">
        <v>26002</v>
      </c>
      <c r="X1081" t="s">
        <v>1492</v>
      </c>
      <c r="Y1081" t="s">
        <v>2058</v>
      </c>
      <c r="Z1081" t="s">
        <v>2633</v>
      </c>
      <c r="AA1081" t="s">
        <v>1419</v>
      </c>
      <c r="AB1081" t="s">
        <v>5568</v>
      </c>
      <c r="AC1081">
        <v>91988818355</v>
      </c>
    </row>
    <row r="1082" spans="1:29" x14ac:dyDescent="0.3">
      <c r="A1082" t="s">
        <v>1405</v>
      </c>
      <c r="B1082" t="s">
        <v>2302</v>
      </c>
      <c r="C1082" t="s">
        <v>5569</v>
      </c>
      <c r="D1082">
        <v>97663298500</v>
      </c>
      <c r="E1082">
        <v>97663298500</v>
      </c>
      <c r="F1082">
        <v>1004021340</v>
      </c>
      <c r="G1082" s="1">
        <v>46071</v>
      </c>
      <c r="H1082" t="s">
        <v>1360</v>
      </c>
      <c r="I1082" t="s">
        <v>1374</v>
      </c>
      <c r="J1082" t="s">
        <v>2308</v>
      </c>
      <c r="K1082" t="s">
        <v>2313</v>
      </c>
      <c r="L1082" t="s">
        <v>2305</v>
      </c>
      <c r="M1082" t="s">
        <v>1447</v>
      </c>
      <c r="N1082" t="s">
        <v>1448</v>
      </c>
      <c r="O1082" t="s">
        <v>1423</v>
      </c>
      <c r="P1082" t="s">
        <v>1423</v>
      </c>
      <c r="Q1082" t="s">
        <v>1412</v>
      </c>
      <c r="S1082" s="1">
        <v>46065</v>
      </c>
      <c r="W1082" s="1">
        <v>29495</v>
      </c>
      <c r="X1082" t="s">
        <v>1430</v>
      </c>
      <c r="Z1082" t="s">
        <v>2610</v>
      </c>
      <c r="AA1082" t="s">
        <v>1419</v>
      </c>
      <c r="AB1082" t="s">
        <v>5570</v>
      </c>
      <c r="AC1082">
        <v>4799745978</v>
      </c>
    </row>
    <row r="1083" spans="1:29" x14ac:dyDescent="0.3">
      <c r="A1083" t="s">
        <v>1405</v>
      </c>
      <c r="B1083" t="s">
        <v>2302</v>
      </c>
      <c r="C1083" t="s">
        <v>5571</v>
      </c>
      <c r="D1083">
        <v>5149760986</v>
      </c>
      <c r="E1083">
        <v>4374090</v>
      </c>
      <c r="F1083">
        <v>1004009605</v>
      </c>
      <c r="G1083" s="1">
        <v>44655</v>
      </c>
      <c r="H1083" t="s">
        <v>1360</v>
      </c>
      <c r="I1083" t="s">
        <v>1349</v>
      </c>
      <c r="J1083" t="s">
        <v>1361</v>
      </c>
      <c r="K1083" t="s">
        <v>2308</v>
      </c>
      <c r="L1083" t="s">
        <v>2305</v>
      </c>
      <c r="M1083" t="s">
        <v>1409</v>
      </c>
      <c r="N1083" t="s">
        <v>1410</v>
      </c>
      <c r="O1083" t="s">
        <v>1423</v>
      </c>
      <c r="P1083" t="s">
        <v>1423</v>
      </c>
      <c r="Q1083" t="s">
        <v>1412</v>
      </c>
      <c r="S1083" s="1">
        <v>46061</v>
      </c>
      <c r="V1083" s="1">
        <v>46055</v>
      </c>
      <c r="W1083" s="1">
        <v>31209</v>
      </c>
      <c r="X1083" t="s">
        <v>2722</v>
      </c>
      <c r="Y1083" t="s">
        <v>2723</v>
      </c>
      <c r="Z1083" t="s">
        <v>3049</v>
      </c>
      <c r="AA1083" t="s">
        <v>1419</v>
      </c>
      <c r="AB1083" t="s">
        <v>5572</v>
      </c>
      <c r="AC1083">
        <v>47991817881</v>
      </c>
    </row>
    <row r="1084" spans="1:29" x14ac:dyDescent="0.3">
      <c r="A1084" t="s">
        <v>1405</v>
      </c>
      <c r="B1084" t="s">
        <v>2302</v>
      </c>
      <c r="C1084" t="s">
        <v>5573</v>
      </c>
      <c r="D1084">
        <v>657452998</v>
      </c>
      <c r="E1084">
        <v>4217913</v>
      </c>
      <c r="F1084">
        <v>1004003537</v>
      </c>
      <c r="G1084" s="1">
        <v>43572</v>
      </c>
      <c r="H1084" t="s">
        <v>1360</v>
      </c>
      <c r="I1084" t="s">
        <v>1374</v>
      </c>
      <c r="J1084" t="s">
        <v>2308</v>
      </c>
      <c r="K1084" t="s">
        <v>2313</v>
      </c>
      <c r="L1084" t="s">
        <v>2305</v>
      </c>
      <c r="M1084" t="s">
        <v>1409</v>
      </c>
      <c r="N1084" t="s">
        <v>1410</v>
      </c>
      <c r="O1084" t="s">
        <v>1423</v>
      </c>
      <c r="P1084" t="s">
        <v>1423</v>
      </c>
      <c r="Q1084" t="s">
        <v>1412</v>
      </c>
      <c r="S1084" s="1">
        <v>46043</v>
      </c>
      <c r="W1084" s="1">
        <v>30380</v>
      </c>
      <c r="X1084" t="s">
        <v>2560</v>
      </c>
      <c r="Z1084" t="s">
        <v>5574</v>
      </c>
      <c r="AA1084" t="s">
        <v>1419</v>
      </c>
      <c r="AB1084" t="s">
        <v>5575</v>
      </c>
      <c r="AC1084">
        <v>48999110841</v>
      </c>
    </row>
    <row r="1085" spans="1:29" x14ac:dyDescent="0.3">
      <c r="A1085" t="s">
        <v>1405</v>
      </c>
      <c r="B1085" t="s">
        <v>2302</v>
      </c>
      <c r="C1085" t="s">
        <v>5576</v>
      </c>
      <c r="D1085">
        <v>95186930210</v>
      </c>
      <c r="E1085">
        <v>611270420177</v>
      </c>
      <c r="F1085">
        <v>1004011612</v>
      </c>
      <c r="G1085" s="1">
        <v>45009</v>
      </c>
      <c r="H1085" t="s">
        <v>1360</v>
      </c>
      <c r="I1085" t="s">
        <v>1374</v>
      </c>
      <c r="J1085" t="s">
        <v>1361</v>
      </c>
      <c r="K1085" t="s">
        <v>2308</v>
      </c>
      <c r="L1085" t="s">
        <v>2305</v>
      </c>
      <c r="M1085" t="s">
        <v>1447</v>
      </c>
      <c r="N1085" t="s">
        <v>1448</v>
      </c>
      <c r="O1085" t="s">
        <v>1423</v>
      </c>
      <c r="P1085" t="s">
        <v>1423</v>
      </c>
      <c r="Q1085" t="s">
        <v>1412</v>
      </c>
      <c r="S1085" s="1">
        <v>46043</v>
      </c>
      <c r="W1085" s="1">
        <v>32624</v>
      </c>
      <c r="X1085" t="s">
        <v>3692</v>
      </c>
      <c r="Y1085" t="s">
        <v>3693</v>
      </c>
      <c r="Z1085" t="s">
        <v>2518</v>
      </c>
      <c r="AA1085" t="s">
        <v>1419</v>
      </c>
      <c r="AB1085" t="s">
        <v>5577</v>
      </c>
      <c r="AC1085">
        <v>91982529939</v>
      </c>
    </row>
    <row r="1086" spans="1:29" x14ac:dyDescent="0.3">
      <c r="A1086" t="s">
        <v>1405</v>
      </c>
      <c r="B1086" t="s">
        <v>2302</v>
      </c>
      <c r="C1086" t="s">
        <v>5578</v>
      </c>
      <c r="D1086">
        <v>86970208400</v>
      </c>
      <c r="E1086">
        <v>4527204</v>
      </c>
      <c r="F1086">
        <v>1004013241</v>
      </c>
      <c r="G1086" s="1">
        <v>45222</v>
      </c>
      <c r="H1086" t="s">
        <v>1360</v>
      </c>
      <c r="I1086" t="s">
        <v>1374</v>
      </c>
      <c r="J1086" t="s">
        <v>1354</v>
      </c>
      <c r="K1086" t="s">
        <v>1361</v>
      </c>
      <c r="L1086" t="s">
        <v>2305</v>
      </c>
      <c r="M1086" t="s">
        <v>1421</v>
      </c>
      <c r="N1086" t="s">
        <v>1410</v>
      </c>
      <c r="O1086" t="s">
        <v>1423</v>
      </c>
      <c r="P1086" t="s">
        <v>1423</v>
      </c>
      <c r="Q1086" t="s">
        <v>1412</v>
      </c>
      <c r="S1086" s="1">
        <v>46043</v>
      </c>
      <c r="W1086" s="1">
        <v>27150</v>
      </c>
      <c r="X1086" t="s">
        <v>1811</v>
      </c>
      <c r="Z1086" t="s">
        <v>4183</v>
      </c>
      <c r="AA1086" t="s">
        <v>1419</v>
      </c>
      <c r="AB1086" t="s">
        <v>5579</v>
      </c>
      <c r="AC1086">
        <v>68920008057</v>
      </c>
    </row>
    <row r="1087" spans="1:29" x14ac:dyDescent="0.3">
      <c r="A1087" t="s">
        <v>1405</v>
      </c>
      <c r="B1087" t="s">
        <v>2302</v>
      </c>
      <c r="C1087" t="s">
        <v>5580</v>
      </c>
      <c r="D1087">
        <v>9738432928</v>
      </c>
      <c r="E1087">
        <v>9738432928</v>
      </c>
      <c r="F1087">
        <v>1004009833</v>
      </c>
      <c r="G1087" s="1">
        <v>44677</v>
      </c>
      <c r="H1087" t="s">
        <v>1360</v>
      </c>
      <c r="I1087" t="s">
        <v>1349</v>
      </c>
      <c r="J1087" t="s">
        <v>1361</v>
      </c>
      <c r="K1087" t="s">
        <v>2308</v>
      </c>
      <c r="L1087" t="s">
        <v>2305</v>
      </c>
      <c r="M1087" t="s">
        <v>1421</v>
      </c>
      <c r="N1087" t="s">
        <v>1422</v>
      </c>
      <c r="O1087" t="s">
        <v>1423</v>
      </c>
      <c r="P1087" t="s">
        <v>1423</v>
      </c>
      <c r="Q1087" t="s">
        <v>1412</v>
      </c>
      <c r="S1087" s="1">
        <v>45818</v>
      </c>
      <c r="V1087" s="1">
        <v>45817</v>
      </c>
      <c r="W1087" s="1">
        <v>34659</v>
      </c>
      <c r="X1087" t="s">
        <v>1576</v>
      </c>
      <c r="Y1087" t="s">
        <v>1577</v>
      </c>
      <c r="Z1087" t="s">
        <v>4564</v>
      </c>
      <c r="AA1087" t="s">
        <v>1419</v>
      </c>
      <c r="AB1087" t="s">
        <v>5581</v>
      </c>
      <c r="AC1087">
        <v>47991691546</v>
      </c>
    </row>
    <row r="1088" spans="1:29" x14ac:dyDescent="0.3">
      <c r="A1088" t="s">
        <v>1405</v>
      </c>
      <c r="B1088" t="s">
        <v>2302</v>
      </c>
      <c r="C1088" t="s">
        <v>5582</v>
      </c>
      <c r="D1088">
        <v>3375766025</v>
      </c>
      <c r="E1088">
        <v>3375766025</v>
      </c>
      <c r="F1088">
        <v>1004011698</v>
      </c>
      <c r="G1088" s="1">
        <v>45013</v>
      </c>
      <c r="H1088" t="s">
        <v>1360</v>
      </c>
      <c r="I1088" t="s">
        <v>1349</v>
      </c>
      <c r="J1088" t="s">
        <v>2348</v>
      </c>
      <c r="K1088" t="s">
        <v>2308</v>
      </c>
      <c r="L1088" t="s">
        <v>2305</v>
      </c>
      <c r="M1088" t="s">
        <v>1409</v>
      </c>
      <c r="N1088" t="s">
        <v>1422</v>
      </c>
      <c r="O1088" t="s">
        <v>1423</v>
      </c>
      <c r="P1088" t="s">
        <v>1423</v>
      </c>
      <c r="Q1088" t="s">
        <v>1412</v>
      </c>
      <c r="S1088" s="1">
        <v>46093</v>
      </c>
      <c r="T1088" s="1">
        <v>45845</v>
      </c>
      <c r="U1088" s="1">
        <v>45964</v>
      </c>
      <c r="V1088" s="1">
        <v>46091</v>
      </c>
      <c r="W1088" s="1">
        <v>34076</v>
      </c>
      <c r="X1088" t="s">
        <v>2022</v>
      </c>
      <c r="Y1088" t="s">
        <v>5583</v>
      </c>
      <c r="Z1088" t="s">
        <v>5243</v>
      </c>
      <c r="AA1088" t="s">
        <v>1419</v>
      </c>
      <c r="AB1088" t="s">
        <v>5584</v>
      </c>
      <c r="AC1088">
        <v>49998130047</v>
      </c>
    </row>
    <row r="1089" spans="1:29" x14ac:dyDescent="0.3">
      <c r="A1089" t="s">
        <v>1405</v>
      </c>
      <c r="B1089" t="s">
        <v>2302</v>
      </c>
      <c r="C1089" t="s">
        <v>5585</v>
      </c>
      <c r="D1089">
        <v>5211142179</v>
      </c>
      <c r="E1089">
        <v>21902020</v>
      </c>
      <c r="F1089">
        <v>1004010503</v>
      </c>
      <c r="G1089" s="1">
        <v>44781</v>
      </c>
      <c r="H1089" t="s">
        <v>1360</v>
      </c>
      <c r="I1089" t="s">
        <v>1349</v>
      </c>
      <c r="J1089" t="s">
        <v>2348</v>
      </c>
      <c r="K1089" t="s">
        <v>2308</v>
      </c>
      <c r="L1089" t="s">
        <v>2305</v>
      </c>
      <c r="M1089" t="s">
        <v>1409</v>
      </c>
      <c r="N1089" t="s">
        <v>1410</v>
      </c>
      <c r="O1089" t="s">
        <v>1411</v>
      </c>
      <c r="P1089" t="s">
        <v>1411</v>
      </c>
      <c r="Q1089" t="s">
        <v>1412</v>
      </c>
      <c r="S1089" s="1">
        <v>45890</v>
      </c>
      <c r="V1089" s="1">
        <v>45888</v>
      </c>
      <c r="W1089" s="1">
        <v>34829</v>
      </c>
      <c r="X1089" t="s">
        <v>5586</v>
      </c>
      <c r="Z1089" t="s">
        <v>5587</v>
      </c>
      <c r="AA1089" t="s">
        <v>1419</v>
      </c>
      <c r="AB1089" t="s">
        <v>5588</v>
      </c>
      <c r="AC1089">
        <v>66992448464</v>
      </c>
    </row>
    <row r="1090" spans="1:29" x14ac:dyDescent="0.3">
      <c r="A1090" t="s">
        <v>1405</v>
      </c>
      <c r="B1090" t="s">
        <v>2302</v>
      </c>
      <c r="C1090" t="s">
        <v>5589</v>
      </c>
      <c r="D1090">
        <v>1625014201</v>
      </c>
      <c r="E1090" t="s">
        <v>5590</v>
      </c>
      <c r="F1090">
        <v>1004015086</v>
      </c>
      <c r="G1090" s="1">
        <v>45453</v>
      </c>
      <c r="H1090" t="s">
        <v>1360</v>
      </c>
      <c r="I1090" t="s">
        <v>1349</v>
      </c>
      <c r="J1090" t="s">
        <v>1361</v>
      </c>
      <c r="K1090" t="s">
        <v>2308</v>
      </c>
      <c r="L1090" t="s">
        <v>2305</v>
      </c>
      <c r="M1090" t="s">
        <v>1421</v>
      </c>
      <c r="N1090" t="s">
        <v>1422</v>
      </c>
      <c r="O1090" t="s">
        <v>1411</v>
      </c>
      <c r="P1090" t="s">
        <v>1411</v>
      </c>
      <c r="Q1090" t="s">
        <v>1412</v>
      </c>
      <c r="S1090" s="1">
        <v>46065</v>
      </c>
      <c r="V1090" s="1">
        <v>46059</v>
      </c>
      <c r="W1090" s="1">
        <v>34669</v>
      </c>
      <c r="X1090" t="s">
        <v>5476</v>
      </c>
      <c r="Y1090" t="s">
        <v>5591</v>
      </c>
      <c r="Z1090" t="s">
        <v>3893</v>
      </c>
      <c r="AA1090" t="s">
        <v>1415</v>
      </c>
      <c r="AB1090" t="s">
        <v>5592</v>
      </c>
      <c r="AC1090">
        <v>97984046682</v>
      </c>
    </row>
    <row r="1091" spans="1:29" x14ac:dyDescent="0.3">
      <c r="A1091" t="s">
        <v>1405</v>
      </c>
      <c r="B1091" t="s">
        <v>2302</v>
      </c>
      <c r="C1091" t="s">
        <v>5593</v>
      </c>
      <c r="D1091">
        <v>5793448357</v>
      </c>
      <c r="E1091">
        <v>329650720078</v>
      </c>
      <c r="F1091">
        <v>1004003222</v>
      </c>
      <c r="G1091" s="1">
        <v>43545</v>
      </c>
      <c r="H1091" t="s">
        <v>1360</v>
      </c>
      <c r="I1091" t="s">
        <v>1374</v>
      </c>
      <c r="J1091" t="s">
        <v>2308</v>
      </c>
      <c r="K1091" t="s">
        <v>2313</v>
      </c>
      <c r="L1091" t="s">
        <v>2305</v>
      </c>
      <c r="M1091" t="s">
        <v>1409</v>
      </c>
      <c r="N1091" t="s">
        <v>1410</v>
      </c>
      <c r="O1091" t="s">
        <v>1411</v>
      </c>
      <c r="P1091" t="s">
        <v>1411</v>
      </c>
      <c r="Q1091" t="s">
        <v>1412</v>
      </c>
      <c r="S1091" s="1">
        <v>46069</v>
      </c>
      <c r="W1091" s="1">
        <v>33996</v>
      </c>
      <c r="X1091" t="s">
        <v>5594</v>
      </c>
      <c r="Y1091" t="s">
        <v>5595</v>
      </c>
      <c r="Z1091" t="s">
        <v>2482</v>
      </c>
      <c r="AA1091" t="s">
        <v>1419</v>
      </c>
      <c r="AB1091" t="s">
        <v>5596</v>
      </c>
      <c r="AC1091">
        <v>98984272434</v>
      </c>
    </row>
    <row r="1092" spans="1:29" x14ac:dyDescent="0.3">
      <c r="A1092" t="s">
        <v>1405</v>
      </c>
      <c r="B1092" t="s">
        <v>2302</v>
      </c>
      <c r="C1092" t="s">
        <v>5597</v>
      </c>
      <c r="D1092">
        <v>4742836316</v>
      </c>
      <c r="E1092">
        <v>20071096706</v>
      </c>
      <c r="F1092">
        <v>1004010008</v>
      </c>
      <c r="G1092" s="1">
        <v>44698</v>
      </c>
      <c r="H1092" t="s">
        <v>1360</v>
      </c>
      <c r="I1092" t="s">
        <v>1374</v>
      </c>
      <c r="J1092" t="s">
        <v>1361</v>
      </c>
      <c r="K1092" t="s">
        <v>2308</v>
      </c>
      <c r="L1092" t="s">
        <v>2305</v>
      </c>
      <c r="M1092" t="s">
        <v>1409</v>
      </c>
      <c r="N1092" t="s">
        <v>1410</v>
      </c>
      <c r="O1092" t="s">
        <v>1411</v>
      </c>
      <c r="P1092" t="s">
        <v>1411</v>
      </c>
      <c r="Q1092" t="s">
        <v>1412</v>
      </c>
      <c r="S1092" s="1">
        <v>46043</v>
      </c>
      <c r="W1092" s="1">
        <v>33832</v>
      </c>
      <c r="X1092" t="s">
        <v>2504</v>
      </c>
      <c r="Y1092" t="s">
        <v>4083</v>
      </c>
      <c r="Z1092" t="s">
        <v>2506</v>
      </c>
      <c r="AA1092" t="s">
        <v>1419</v>
      </c>
      <c r="AB1092" t="s">
        <v>5598</v>
      </c>
      <c r="AC1092">
        <v>88999141497</v>
      </c>
    </row>
    <row r="1093" spans="1:29" x14ac:dyDescent="0.3">
      <c r="A1093" t="s">
        <v>1405</v>
      </c>
      <c r="B1093" t="s">
        <v>2302</v>
      </c>
      <c r="C1093" t="s">
        <v>5599</v>
      </c>
      <c r="D1093">
        <v>5207235389</v>
      </c>
      <c r="E1093">
        <v>3600040</v>
      </c>
      <c r="F1093">
        <v>1004005812</v>
      </c>
      <c r="G1093" s="1">
        <v>43914</v>
      </c>
      <c r="H1093" t="s">
        <v>1360</v>
      </c>
      <c r="I1093" t="s">
        <v>1349</v>
      </c>
      <c r="J1093" t="s">
        <v>2308</v>
      </c>
      <c r="K1093" t="s">
        <v>2313</v>
      </c>
      <c r="L1093" t="s">
        <v>2305</v>
      </c>
      <c r="M1093" t="s">
        <v>1409</v>
      </c>
      <c r="N1093" t="s">
        <v>1410</v>
      </c>
      <c r="O1093" t="s">
        <v>1411</v>
      </c>
      <c r="P1093" t="s">
        <v>1411</v>
      </c>
      <c r="Q1093" t="s">
        <v>1412</v>
      </c>
      <c r="S1093" s="1">
        <v>46057</v>
      </c>
      <c r="V1093" s="1">
        <v>46055</v>
      </c>
      <c r="W1093" s="1">
        <v>34850</v>
      </c>
      <c r="X1093" t="s">
        <v>5600</v>
      </c>
      <c r="Y1093" t="s">
        <v>3689</v>
      </c>
      <c r="Z1093" t="s">
        <v>5601</v>
      </c>
      <c r="AA1093" t="s">
        <v>1419</v>
      </c>
      <c r="AB1093" t="s">
        <v>5602</v>
      </c>
      <c r="AC1093">
        <v>86999945621</v>
      </c>
    </row>
    <row r="1094" spans="1:29" x14ac:dyDescent="0.3">
      <c r="A1094" t="s">
        <v>1405</v>
      </c>
      <c r="B1094" t="s">
        <v>2302</v>
      </c>
      <c r="C1094" t="s">
        <v>5603</v>
      </c>
      <c r="D1094">
        <v>249868105</v>
      </c>
      <c r="E1094">
        <v>22035513</v>
      </c>
      <c r="F1094">
        <v>1004006006</v>
      </c>
      <c r="G1094" s="1">
        <v>43936</v>
      </c>
      <c r="H1094" t="s">
        <v>1360</v>
      </c>
      <c r="I1094" t="s">
        <v>1349</v>
      </c>
      <c r="J1094" t="s">
        <v>2308</v>
      </c>
      <c r="K1094" t="s">
        <v>2313</v>
      </c>
      <c r="L1094" t="s">
        <v>2305</v>
      </c>
      <c r="M1094" t="s">
        <v>1421</v>
      </c>
      <c r="N1094" t="s">
        <v>1422</v>
      </c>
      <c r="O1094" t="s">
        <v>1423</v>
      </c>
      <c r="P1094" t="s">
        <v>1423</v>
      </c>
      <c r="Q1094" t="s">
        <v>1412</v>
      </c>
      <c r="S1094" s="1">
        <v>45875</v>
      </c>
      <c r="V1094" s="1">
        <v>45873</v>
      </c>
      <c r="W1094" s="1">
        <v>30377</v>
      </c>
      <c r="X1094" t="s">
        <v>1986</v>
      </c>
      <c r="Y1094" t="s">
        <v>3847</v>
      </c>
      <c r="Z1094" t="s">
        <v>2758</v>
      </c>
      <c r="AA1094" t="s">
        <v>1419</v>
      </c>
      <c r="AB1094" t="s">
        <v>5604</v>
      </c>
      <c r="AC1094">
        <v>34991952571</v>
      </c>
    </row>
    <row r="1095" spans="1:29" x14ac:dyDescent="0.3">
      <c r="A1095" t="s">
        <v>1405</v>
      </c>
      <c r="B1095" t="s">
        <v>2302</v>
      </c>
      <c r="C1095" t="s">
        <v>5605</v>
      </c>
      <c r="D1095">
        <v>5436963323</v>
      </c>
      <c r="E1095">
        <v>2001098134441</v>
      </c>
      <c r="F1095">
        <v>1004019806</v>
      </c>
      <c r="G1095" s="1">
        <v>45910</v>
      </c>
      <c r="H1095" t="s">
        <v>1360</v>
      </c>
      <c r="I1095" t="s">
        <v>1374</v>
      </c>
      <c r="J1095" t="s">
        <v>2572</v>
      </c>
      <c r="K1095" t="s">
        <v>2573</v>
      </c>
      <c r="L1095" t="s">
        <v>2305</v>
      </c>
      <c r="M1095" t="s">
        <v>1409</v>
      </c>
      <c r="N1095" t="s">
        <v>1410</v>
      </c>
      <c r="O1095" t="s">
        <v>1411</v>
      </c>
      <c r="P1095" t="s">
        <v>1411</v>
      </c>
      <c r="Q1095" t="s">
        <v>1412</v>
      </c>
      <c r="S1095" s="1">
        <v>46043</v>
      </c>
      <c r="W1095" s="1">
        <v>34173</v>
      </c>
      <c r="X1095" t="s">
        <v>5606</v>
      </c>
      <c r="Z1095" t="s">
        <v>2452</v>
      </c>
      <c r="AA1095" t="s">
        <v>1419</v>
      </c>
      <c r="AB1095" t="s">
        <v>5607</v>
      </c>
      <c r="AC1095">
        <v>85982027650</v>
      </c>
    </row>
    <row r="1096" spans="1:29" x14ac:dyDescent="0.3">
      <c r="A1096" t="s">
        <v>1405</v>
      </c>
      <c r="B1096" t="s">
        <v>2302</v>
      </c>
      <c r="C1096" t="s">
        <v>5608</v>
      </c>
      <c r="D1096">
        <v>4125220123</v>
      </c>
      <c r="E1096">
        <v>3042740</v>
      </c>
      <c r="F1096">
        <v>1004007838</v>
      </c>
      <c r="G1096" s="1">
        <v>44314</v>
      </c>
      <c r="H1096" t="s">
        <v>1360</v>
      </c>
      <c r="I1096" t="s">
        <v>1374</v>
      </c>
      <c r="J1096" t="s">
        <v>2308</v>
      </c>
      <c r="K1096" t="s">
        <v>2313</v>
      </c>
      <c r="L1096" t="s">
        <v>2305</v>
      </c>
      <c r="M1096" t="s">
        <v>1409</v>
      </c>
      <c r="N1096" t="s">
        <v>1410</v>
      </c>
      <c r="O1096" t="s">
        <v>1423</v>
      </c>
      <c r="P1096" t="s">
        <v>1423</v>
      </c>
      <c r="Q1096" t="s">
        <v>1412</v>
      </c>
      <c r="S1096" s="1">
        <v>46085</v>
      </c>
      <c r="T1096" s="1">
        <v>45915</v>
      </c>
      <c r="U1096" s="1">
        <v>46034</v>
      </c>
      <c r="W1096" s="1">
        <v>34389</v>
      </c>
      <c r="X1096" t="s">
        <v>1617</v>
      </c>
      <c r="Z1096" t="s">
        <v>3578</v>
      </c>
      <c r="AA1096" t="s">
        <v>1419</v>
      </c>
      <c r="AB1096" t="s">
        <v>5609</v>
      </c>
      <c r="AC1096">
        <v>61983740952</v>
      </c>
    </row>
    <row r="1097" spans="1:29" x14ac:dyDescent="0.3">
      <c r="A1097" t="s">
        <v>1405</v>
      </c>
      <c r="B1097" t="s">
        <v>2302</v>
      </c>
      <c r="C1097" t="s">
        <v>5610</v>
      </c>
      <c r="D1097">
        <v>5329532310</v>
      </c>
      <c r="E1097">
        <v>380821320097</v>
      </c>
      <c r="F1097">
        <v>1004015386</v>
      </c>
      <c r="G1097" s="1">
        <v>45509</v>
      </c>
      <c r="H1097" t="s">
        <v>1360</v>
      </c>
      <c r="I1097" t="s">
        <v>1374</v>
      </c>
      <c r="J1097" t="s">
        <v>2348</v>
      </c>
      <c r="K1097" t="s">
        <v>2308</v>
      </c>
      <c r="L1097" t="s">
        <v>2305</v>
      </c>
      <c r="M1097" t="s">
        <v>1447</v>
      </c>
      <c r="N1097" t="s">
        <v>1448</v>
      </c>
      <c r="O1097" t="s">
        <v>1423</v>
      </c>
      <c r="P1097" t="s">
        <v>1423</v>
      </c>
      <c r="Q1097" t="s">
        <v>1412</v>
      </c>
      <c r="S1097" s="1">
        <v>46069</v>
      </c>
      <c r="W1097" s="1">
        <v>34283</v>
      </c>
      <c r="X1097" t="s">
        <v>2946</v>
      </c>
      <c r="Z1097" t="s">
        <v>2947</v>
      </c>
      <c r="AA1097" t="s">
        <v>1419</v>
      </c>
      <c r="AB1097" t="s">
        <v>5611</v>
      </c>
      <c r="AC1097">
        <v>99981042223</v>
      </c>
    </row>
    <row r="1098" spans="1:29" x14ac:dyDescent="0.3">
      <c r="A1098" t="s">
        <v>1405</v>
      </c>
      <c r="B1098" t="s">
        <v>2302</v>
      </c>
      <c r="C1098" t="s">
        <v>5612</v>
      </c>
      <c r="D1098">
        <v>3647563226</v>
      </c>
      <c r="E1098">
        <v>7645787</v>
      </c>
      <c r="F1098">
        <v>1004018108</v>
      </c>
      <c r="G1098" s="1">
        <v>45791</v>
      </c>
      <c r="H1098" t="s">
        <v>1360</v>
      </c>
      <c r="I1098" t="s">
        <v>1349</v>
      </c>
      <c r="J1098" t="s">
        <v>1361</v>
      </c>
      <c r="K1098" t="s">
        <v>2308</v>
      </c>
      <c r="L1098" t="s">
        <v>2305</v>
      </c>
      <c r="M1098" t="s">
        <v>1409</v>
      </c>
      <c r="N1098" t="s">
        <v>1410</v>
      </c>
      <c r="O1098" t="s">
        <v>1411</v>
      </c>
      <c r="P1098" t="s">
        <v>1411</v>
      </c>
      <c r="Q1098" t="s">
        <v>1412</v>
      </c>
      <c r="S1098" s="1">
        <v>46107</v>
      </c>
      <c r="V1098" s="1">
        <v>46106</v>
      </c>
      <c r="W1098" s="1">
        <v>35586</v>
      </c>
      <c r="X1098" t="s">
        <v>1492</v>
      </c>
      <c r="Y1098" t="s">
        <v>2058</v>
      </c>
      <c r="Z1098" t="s">
        <v>5418</v>
      </c>
      <c r="AA1098" t="s">
        <v>1419</v>
      </c>
      <c r="AB1098" t="s">
        <v>5613</v>
      </c>
      <c r="AC1098">
        <v>91985827177</v>
      </c>
    </row>
    <row r="1099" spans="1:29" x14ac:dyDescent="0.3">
      <c r="A1099" t="s">
        <v>1405</v>
      </c>
      <c r="B1099" t="s">
        <v>2302</v>
      </c>
      <c r="C1099" t="s">
        <v>5614</v>
      </c>
      <c r="D1099">
        <v>2646466064</v>
      </c>
      <c r="E1099">
        <v>6108139566</v>
      </c>
      <c r="F1099">
        <v>1004009573</v>
      </c>
      <c r="G1099" s="1">
        <v>44648</v>
      </c>
      <c r="H1099" t="s">
        <v>1360</v>
      </c>
      <c r="I1099" t="s">
        <v>1374</v>
      </c>
      <c r="J1099" t="s">
        <v>2348</v>
      </c>
      <c r="K1099" t="s">
        <v>2308</v>
      </c>
      <c r="L1099" t="s">
        <v>2305</v>
      </c>
      <c r="M1099" t="s">
        <v>1421</v>
      </c>
      <c r="N1099" t="s">
        <v>1422</v>
      </c>
      <c r="O1099" t="s">
        <v>1423</v>
      </c>
      <c r="P1099" t="s">
        <v>1423</v>
      </c>
      <c r="Q1099" t="s">
        <v>1412</v>
      </c>
      <c r="S1099" s="1">
        <v>46043</v>
      </c>
      <c r="W1099" s="1">
        <v>33387</v>
      </c>
      <c r="X1099" t="s">
        <v>1631</v>
      </c>
      <c r="Y1099" t="s">
        <v>2447</v>
      </c>
      <c r="Z1099" t="s">
        <v>2448</v>
      </c>
      <c r="AA1099" t="s">
        <v>1415</v>
      </c>
      <c r="AB1099" t="s">
        <v>5615</v>
      </c>
      <c r="AC1099">
        <v>51992790939</v>
      </c>
    </row>
    <row r="1100" spans="1:29" x14ac:dyDescent="0.3">
      <c r="A1100" t="s">
        <v>1405</v>
      </c>
      <c r="B1100" t="s">
        <v>2302</v>
      </c>
      <c r="C1100" t="s">
        <v>5616</v>
      </c>
      <c r="D1100">
        <v>7184061330</v>
      </c>
      <c r="E1100">
        <v>269445620034</v>
      </c>
      <c r="F1100">
        <v>1004008505</v>
      </c>
      <c r="G1100" s="1">
        <v>44445</v>
      </c>
      <c r="H1100" t="s">
        <v>1360</v>
      </c>
      <c r="I1100" t="s">
        <v>1349</v>
      </c>
      <c r="J1100" t="s">
        <v>2348</v>
      </c>
      <c r="K1100" t="s">
        <v>2308</v>
      </c>
      <c r="L1100" t="s">
        <v>2305</v>
      </c>
      <c r="M1100" t="s">
        <v>1409</v>
      </c>
      <c r="N1100" t="s">
        <v>1410</v>
      </c>
      <c r="O1100" t="s">
        <v>1462</v>
      </c>
      <c r="P1100" t="s">
        <v>1417</v>
      </c>
      <c r="Q1100" t="s">
        <v>1412</v>
      </c>
      <c r="S1100" s="1">
        <v>45849</v>
      </c>
      <c r="V1100" s="1">
        <v>45848</v>
      </c>
      <c r="W1100" s="1">
        <v>35392</v>
      </c>
      <c r="X1100" t="s">
        <v>1613</v>
      </c>
      <c r="Z1100" t="s">
        <v>3132</v>
      </c>
      <c r="AA1100" t="s">
        <v>1419</v>
      </c>
      <c r="AB1100" t="s">
        <v>5617</v>
      </c>
      <c r="AC1100">
        <v>98982490154</v>
      </c>
    </row>
    <row r="1101" spans="1:29" x14ac:dyDescent="0.3">
      <c r="A1101" t="s">
        <v>1405</v>
      </c>
      <c r="B1101" t="s">
        <v>2302</v>
      </c>
      <c r="C1101" t="s">
        <v>5618</v>
      </c>
      <c r="D1101">
        <v>7669942606</v>
      </c>
      <c r="E1101">
        <v>14627904</v>
      </c>
      <c r="F1101">
        <v>1004004699</v>
      </c>
      <c r="G1101" s="1">
        <v>43722</v>
      </c>
      <c r="H1101" t="s">
        <v>1360</v>
      </c>
      <c r="I1101" t="s">
        <v>1349</v>
      </c>
      <c r="J1101" t="s">
        <v>2308</v>
      </c>
      <c r="K1101" t="s">
        <v>2313</v>
      </c>
      <c r="L1101" t="s">
        <v>2305</v>
      </c>
      <c r="M1101" t="s">
        <v>1409</v>
      </c>
      <c r="N1101" t="s">
        <v>1410</v>
      </c>
      <c r="O1101" t="s">
        <v>1411</v>
      </c>
      <c r="P1101" t="s">
        <v>1411</v>
      </c>
      <c r="Q1101" t="s">
        <v>1412</v>
      </c>
      <c r="S1101" s="1">
        <v>45737</v>
      </c>
      <c r="V1101" s="1">
        <v>45734</v>
      </c>
      <c r="W1101" s="1">
        <v>31892</v>
      </c>
      <c r="X1101" t="s">
        <v>2412</v>
      </c>
      <c r="Y1101" t="s">
        <v>2171</v>
      </c>
      <c r="Z1101" t="s">
        <v>5619</v>
      </c>
      <c r="AA1101" t="s">
        <v>1419</v>
      </c>
      <c r="AB1101" t="s">
        <v>5620</v>
      </c>
      <c r="AC1101">
        <v>33999031093</v>
      </c>
    </row>
    <row r="1102" spans="1:29" x14ac:dyDescent="0.3">
      <c r="A1102" t="s">
        <v>1405</v>
      </c>
      <c r="B1102" t="s">
        <v>2302</v>
      </c>
      <c r="C1102" t="s">
        <v>5621</v>
      </c>
      <c r="D1102">
        <v>8141879944</v>
      </c>
      <c r="E1102">
        <v>124040205</v>
      </c>
      <c r="F1102">
        <v>1004007963</v>
      </c>
      <c r="G1102" s="1">
        <v>44327</v>
      </c>
      <c r="H1102" t="s">
        <v>1360</v>
      </c>
      <c r="I1102" t="s">
        <v>1374</v>
      </c>
      <c r="J1102" t="s">
        <v>2572</v>
      </c>
      <c r="K1102" t="s">
        <v>2573</v>
      </c>
      <c r="L1102" t="s">
        <v>2305</v>
      </c>
      <c r="M1102" t="s">
        <v>1409</v>
      </c>
      <c r="N1102" t="s">
        <v>1410</v>
      </c>
      <c r="O1102" t="s">
        <v>1423</v>
      </c>
      <c r="P1102" t="s">
        <v>1423</v>
      </c>
      <c r="Q1102" t="s">
        <v>1412</v>
      </c>
      <c r="S1102" s="1">
        <v>46043</v>
      </c>
      <c r="W1102" s="1">
        <v>33288</v>
      </c>
      <c r="X1102" t="s">
        <v>4244</v>
      </c>
      <c r="Y1102" t="s">
        <v>2619</v>
      </c>
      <c r="Z1102" t="s">
        <v>4246</v>
      </c>
      <c r="AA1102" t="s">
        <v>1419</v>
      </c>
      <c r="AB1102" t="s">
        <v>5622</v>
      </c>
      <c r="AC1102">
        <v>41995549806</v>
      </c>
    </row>
    <row r="1103" spans="1:29" x14ac:dyDescent="0.3">
      <c r="A1103" t="s">
        <v>1405</v>
      </c>
      <c r="B1103" t="s">
        <v>2302</v>
      </c>
      <c r="C1103" t="s">
        <v>5623</v>
      </c>
      <c r="D1103">
        <v>60395205310</v>
      </c>
      <c r="E1103">
        <v>2009010292165</v>
      </c>
      <c r="F1103">
        <v>1004019468</v>
      </c>
      <c r="G1103" s="1">
        <v>45901</v>
      </c>
      <c r="H1103" t="s">
        <v>1360</v>
      </c>
      <c r="I1103" t="s">
        <v>1374</v>
      </c>
      <c r="J1103" t="s">
        <v>1361</v>
      </c>
      <c r="K1103" t="s">
        <v>2308</v>
      </c>
      <c r="L1103" t="s">
        <v>2305</v>
      </c>
      <c r="M1103" t="s">
        <v>1409</v>
      </c>
      <c r="N1103" t="s">
        <v>1410</v>
      </c>
      <c r="O1103" t="s">
        <v>1411</v>
      </c>
      <c r="P1103" t="s">
        <v>1411</v>
      </c>
      <c r="Q1103" t="s">
        <v>1412</v>
      </c>
      <c r="S1103" s="1">
        <v>46043</v>
      </c>
      <c r="W1103" s="1">
        <v>35771</v>
      </c>
      <c r="X1103" t="s">
        <v>3394</v>
      </c>
      <c r="Y1103" t="s">
        <v>2424</v>
      </c>
      <c r="Z1103" t="s">
        <v>2425</v>
      </c>
      <c r="AA1103" t="s">
        <v>1419</v>
      </c>
      <c r="AB1103" t="s">
        <v>5624</v>
      </c>
      <c r="AC1103">
        <v>85997018450</v>
      </c>
    </row>
    <row r="1104" spans="1:29" x14ac:dyDescent="0.3">
      <c r="A1104" t="s">
        <v>1405</v>
      </c>
      <c r="B1104" t="s">
        <v>2302</v>
      </c>
      <c r="C1104" t="s">
        <v>5625</v>
      </c>
      <c r="D1104">
        <v>16782179725</v>
      </c>
      <c r="E1104">
        <v>275440378</v>
      </c>
      <c r="F1104">
        <v>1004010977</v>
      </c>
      <c r="G1104" s="1">
        <v>44859</v>
      </c>
      <c r="H1104" t="s">
        <v>1360</v>
      </c>
      <c r="I1104" t="s">
        <v>1374</v>
      </c>
      <c r="J1104" t="s">
        <v>2348</v>
      </c>
      <c r="K1104" t="s">
        <v>2308</v>
      </c>
      <c r="L1104" t="s">
        <v>2305</v>
      </c>
      <c r="M1104" t="s">
        <v>1421</v>
      </c>
      <c r="N1104" t="s">
        <v>1422</v>
      </c>
      <c r="O1104" t="s">
        <v>1423</v>
      </c>
      <c r="P1104" t="s">
        <v>1423</v>
      </c>
      <c r="Q1104" t="s">
        <v>1412</v>
      </c>
      <c r="S1104" s="1">
        <v>46028</v>
      </c>
      <c r="T1104" s="1">
        <v>45854</v>
      </c>
      <c r="U1104" s="1">
        <v>45973</v>
      </c>
      <c r="W1104" s="1">
        <v>34315</v>
      </c>
      <c r="X1104" t="s">
        <v>1602</v>
      </c>
      <c r="Z1104" t="s">
        <v>3006</v>
      </c>
      <c r="AA1104" t="s">
        <v>1419</v>
      </c>
      <c r="AB1104" t="s">
        <v>5626</v>
      </c>
      <c r="AC1104">
        <v>22992035478</v>
      </c>
    </row>
    <row r="1105" spans="1:29" x14ac:dyDescent="0.3">
      <c r="A1105" t="s">
        <v>1405</v>
      </c>
      <c r="B1105" t="s">
        <v>2302</v>
      </c>
      <c r="C1105" t="s">
        <v>5627</v>
      </c>
      <c r="D1105">
        <v>5208881110</v>
      </c>
      <c r="E1105">
        <v>20518129</v>
      </c>
      <c r="F1105">
        <v>1004010170</v>
      </c>
      <c r="G1105" s="1">
        <v>44719</v>
      </c>
      <c r="H1105" t="s">
        <v>1360</v>
      </c>
      <c r="I1105" t="s">
        <v>1349</v>
      </c>
      <c r="J1105" t="s">
        <v>2572</v>
      </c>
      <c r="K1105" t="s">
        <v>2573</v>
      </c>
      <c r="L1105" t="s">
        <v>2305</v>
      </c>
      <c r="M1105" t="s">
        <v>1409</v>
      </c>
      <c r="N1105" t="s">
        <v>1410</v>
      </c>
      <c r="O1105" t="s">
        <v>1423</v>
      </c>
      <c r="P1105" t="s">
        <v>1423</v>
      </c>
      <c r="Q1105" t="s">
        <v>1412</v>
      </c>
      <c r="S1105" s="1">
        <v>45880</v>
      </c>
      <c r="V1105" s="1">
        <v>45879</v>
      </c>
      <c r="W1105" s="1">
        <v>35044</v>
      </c>
      <c r="X1105" t="s">
        <v>1492</v>
      </c>
      <c r="Y1105" t="s">
        <v>2058</v>
      </c>
      <c r="Z1105" t="s">
        <v>2873</v>
      </c>
      <c r="AA1105" t="s">
        <v>1419</v>
      </c>
      <c r="AB1105" t="s">
        <v>5628</v>
      </c>
      <c r="AC1105">
        <v>65993480892</v>
      </c>
    </row>
    <row r="1106" spans="1:29" x14ac:dyDescent="0.3">
      <c r="A1106" t="s">
        <v>1405</v>
      </c>
      <c r="B1106" t="s">
        <v>2302</v>
      </c>
      <c r="C1106" t="s">
        <v>5629</v>
      </c>
      <c r="D1106">
        <v>60966917308</v>
      </c>
      <c r="E1106" s="3">
        <v>43616972011</v>
      </c>
      <c r="F1106">
        <v>1004014968</v>
      </c>
      <c r="G1106" s="1">
        <v>45427</v>
      </c>
      <c r="H1106" t="s">
        <v>1360</v>
      </c>
      <c r="I1106" t="s">
        <v>1374</v>
      </c>
      <c r="J1106" t="s">
        <v>2348</v>
      </c>
      <c r="K1106" t="s">
        <v>2308</v>
      </c>
      <c r="L1106" t="s">
        <v>2305</v>
      </c>
      <c r="M1106" t="s">
        <v>1421</v>
      </c>
      <c r="N1106" t="s">
        <v>1422</v>
      </c>
      <c r="O1106" t="s">
        <v>1423</v>
      </c>
      <c r="P1106" t="s">
        <v>1423</v>
      </c>
      <c r="Q1106" t="s">
        <v>1412</v>
      </c>
      <c r="S1106" s="1">
        <v>46069</v>
      </c>
      <c r="W1106" s="1">
        <v>35171</v>
      </c>
      <c r="X1106" t="s">
        <v>5630</v>
      </c>
      <c r="Z1106" t="s">
        <v>3399</v>
      </c>
      <c r="AA1106" t="s">
        <v>1419</v>
      </c>
      <c r="AB1106" t="s">
        <v>153</v>
      </c>
      <c r="AC1106">
        <v>98985054070</v>
      </c>
    </row>
    <row r="1107" spans="1:29" x14ac:dyDescent="0.3">
      <c r="A1107" t="s">
        <v>1405</v>
      </c>
      <c r="B1107" t="s">
        <v>2302</v>
      </c>
      <c r="C1107" t="s">
        <v>5631</v>
      </c>
      <c r="D1107">
        <v>2964310017</v>
      </c>
      <c r="E1107">
        <v>7090313847</v>
      </c>
      <c r="F1107">
        <v>1004012240</v>
      </c>
      <c r="G1107" s="1">
        <v>45082</v>
      </c>
      <c r="H1107" t="s">
        <v>1360</v>
      </c>
      <c r="I1107" t="s">
        <v>1374</v>
      </c>
      <c r="J1107" t="s">
        <v>2348</v>
      </c>
      <c r="K1107" t="s">
        <v>2308</v>
      </c>
      <c r="L1107" t="s">
        <v>2305</v>
      </c>
      <c r="M1107" t="s">
        <v>1409</v>
      </c>
      <c r="N1107" t="s">
        <v>1410</v>
      </c>
      <c r="O1107" t="s">
        <v>1423</v>
      </c>
      <c r="P1107" t="s">
        <v>1423</v>
      </c>
      <c r="Q1107" t="s">
        <v>1412</v>
      </c>
      <c r="S1107" s="1">
        <v>46043</v>
      </c>
      <c r="W1107" s="1">
        <v>32921</v>
      </c>
      <c r="X1107" t="s">
        <v>1631</v>
      </c>
      <c r="Y1107" t="s">
        <v>2447</v>
      </c>
      <c r="Z1107" t="s">
        <v>2448</v>
      </c>
      <c r="AA1107" t="s">
        <v>1419</v>
      </c>
      <c r="AB1107" t="s">
        <v>163</v>
      </c>
      <c r="AC1107">
        <v>51995335917</v>
      </c>
    </row>
    <row r="1108" spans="1:29" x14ac:dyDescent="0.3">
      <c r="A1108" t="s">
        <v>1405</v>
      </c>
      <c r="B1108" t="s">
        <v>2302</v>
      </c>
      <c r="C1108" t="s">
        <v>5632</v>
      </c>
      <c r="D1108">
        <v>6520059340</v>
      </c>
      <c r="E1108">
        <v>2001029165082</v>
      </c>
      <c r="F1108">
        <v>1004009655</v>
      </c>
      <c r="G1108" s="1">
        <v>44662</v>
      </c>
      <c r="H1108" t="s">
        <v>1360</v>
      </c>
      <c r="I1108" t="s">
        <v>1349</v>
      </c>
      <c r="J1108" t="s">
        <v>2572</v>
      </c>
      <c r="K1108" t="s">
        <v>2573</v>
      </c>
      <c r="L1108" t="s">
        <v>2305</v>
      </c>
      <c r="M1108" t="s">
        <v>1421</v>
      </c>
      <c r="N1108" t="s">
        <v>1422</v>
      </c>
      <c r="O1108" t="s">
        <v>1411</v>
      </c>
      <c r="P1108" t="s">
        <v>1411</v>
      </c>
      <c r="Q1108" t="s">
        <v>1412</v>
      </c>
      <c r="S1108" s="1">
        <v>45831</v>
      </c>
      <c r="V1108" s="1">
        <v>45824</v>
      </c>
      <c r="W1108" s="1">
        <v>35344</v>
      </c>
      <c r="X1108" t="s">
        <v>3336</v>
      </c>
      <c r="Z1108" t="s">
        <v>3706</v>
      </c>
      <c r="AA1108" t="s">
        <v>1419</v>
      </c>
      <c r="AB1108" t="s">
        <v>5633</v>
      </c>
      <c r="AC1108">
        <v>8835127654</v>
      </c>
    </row>
    <row r="1109" spans="1:29" x14ac:dyDescent="0.3">
      <c r="A1109" t="s">
        <v>1405</v>
      </c>
      <c r="B1109" t="s">
        <v>2302</v>
      </c>
      <c r="C1109" t="s">
        <v>5634</v>
      </c>
      <c r="D1109">
        <v>60064993043</v>
      </c>
      <c r="E1109">
        <v>7132068185</v>
      </c>
      <c r="F1109">
        <v>1004018302</v>
      </c>
      <c r="G1109" s="1">
        <v>45810</v>
      </c>
      <c r="H1109" t="s">
        <v>1360</v>
      </c>
      <c r="I1109" t="s">
        <v>1349</v>
      </c>
      <c r="J1109" t="s">
        <v>1361</v>
      </c>
      <c r="K1109" t="s">
        <v>2308</v>
      </c>
      <c r="L1109" t="s">
        <v>2305</v>
      </c>
      <c r="M1109" t="s">
        <v>1409</v>
      </c>
      <c r="N1109" t="s">
        <v>1410</v>
      </c>
      <c r="O1109" t="s">
        <v>1423</v>
      </c>
      <c r="P1109" t="s">
        <v>1423</v>
      </c>
      <c r="Q1109" t="s">
        <v>1412</v>
      </c>
      <c r="S1109" s="1">
        <v>46087</v>
      </c>
      <c r="V1109" s="1">
        <v>46084</v>
      </c>
      <c r="W1109" s="1">
        <v>37325</v>
      </c>
      <c r="X1109" t="s">
        <v>1485</v>
      </c>
      <c r="Y1109" t="s">
        <v>1756</v>
      </c>
      <c r="Z1109" t="s">
        <v>2430</v>
      </c>
      <c r="AA1109" t="s">
        <v>1419</v>
      </c>
      <c r="AB1109" t="s">
        <v>5635</v>
      </c>
      <c r="AC1109">
        <v>51982066849</v>
      </c>
    </row>
    <row r="1110" spans="1:29" x14ac:dyDescent="0.3">
      <c r="A1110" t="s">
        <v>1405</v>
      </c>
      <c r="B1110" t="s">
        <v>2302</v>
      </c>
      <c r="C1110" t="s">
        <v>5636</v>
      </c>
      <c r="D1110">
        <v>1485937043</v>
      </c>
      <c r="E1110">
        <v>9113751532</v>
      </c>
      <c r="F1110">
        <v>1004010531</v>
      </c>
      <c r="G1110" s="1">
        <v>44782</v>
      </c>
      <c r="H1110" t="s">
        <v>1360</v>
      </c>
      <c r="I1110" t="s">
        <v>1374</v>
      </c>
      <c r="J1110" t="s">
        <v>1361</v>
      </c>
      <c r="K1110" t="s">
        <v>2308</v>
      </c>
      <c r="L1110" t="s">
        <v>2305</v>
      </c>
      <c r="M1110" t="s">
        <v>1442</v>
      </c>
      <c r="N1110" t="s">
        <v>1443</v>
      </c>
      <c r="O1110" t="s">
        <v>1423</v>
      </c>
      <c r="P1110" t="s">
        <v>1423</v>
      </c>
      <c r="Q1110" t="s">
        <v>1412</v>
      </c>
      <c r="S1110" s="1">
        <v>46043</v>
      </c>
      <c r="W1110" s="1">
        <v>32126</v>
      </c>
      <c r="X1110" t="s">
        <v>1485</v>
      </c>
      <c r="Y1110" t="s">
        <v>1756</v>
      </c>
      <c r="Z1110" t="s">
        <v>2378</v>
      </c>
      <c r="AA1110" t="s">
        <v>1415</v>
      </c>
      <c r="AB1110" t="s">
        <v>5637</v>
      </c>
      <c r="AC1110">
        <v>51992031971</v>
      </c>
    </row>
    <row r="1111" spans="1:29" x14ac:dyDescent="0.3">
      <c r="A1111" t="s">
        <v>1405</v>
      </c>
      <c r="B1111" t="s">
        <v>2302</v>
      </c>
      <c r="C1111" t="s">
        <v>5638</v>
      </c>
      <c r="D1111">
        <v>473494337</v>
      </c>
      <c r="E1111" t="s">
        <v>5639</v>
      </c>
      <c r="F1111">
        <v>1004013741</v>
      </c>
      <c r="G1111" s="1">
        <v>45342</v>
      </c>
      <c r="H1111" t="s">
        <v>1360</v>
      </c>
      <c r="I1111" t="s">
        <v>1374</v>
      </c>
      <c r="J1111" t="s">
        <v>1361</v>
      </c>
      <c r="K1111" t="s">
        <v>2308</v>
      </c>
      <c r="L1111" t="s">
        <v>2305</v>
      </c>
      <c r="M1111" t="s">
        <v>1409</v>
      </c>
      <c r="N1111" t="s">
        <v>1410</v>
      </c>
      <c r="O1111" t="s">
        <v>1411</v>
      </c>
      <c r="P1111" t="s">
        <v>1411</v>
      </c>
      <c r="Q1111" t="s">
        <v>1412</v>
      </c>
      <c r="S1111" s="1">
        <v>46043</v>
      </c>
      <c r="W1111" s="1">
        <v>33128</v>
      </c>
      <c r="X1111" t="s">
        <v>1510</v>
      </c>
      <c r="Y1111" t="s">
        <v>2336</v>
      </c>
      <c r="Z1111" t="s">
        <v>2393</v>
      </c>
      <c r="AA1111" t="s">
        <v>1415</v>
      </c>
      <c r="AB1111" t="s">
        <v>5640</v>
      </c>
      <c r="AC1111">
        <v>85982192633</v>
      </c>
    </row>
    <row r="1112" spans="1:29" x14ac:dyDescent="0.3">
      <c r="A1112" t="s">
        <v>1405</v>
      </c>
      <c r="B1112" t="s">
        <v>2302</v>
      </c>
      <c r="C1112" t="s">
        <v>5641</v>
      </c>
      <c r="D1112">
        <v>60559135343</v>
      </c>
      <c r="E1112">
        <v>392220020104</v>
      </c>
      <c r="F1112">
        <v>1004022498</v>
      </c>
      <c r="G1112" s="1">
        <v>46125</v>
      </c>
      <c r="H1112" t="s">
        <v>1360</v>
      </c>
      <c r="I1112" t="s">
        <v>1374</v>
      </c>
      <c r="J1112" t="s">
        <v>2308</v>
      </c>
      <c r="K1112" t="s">
        <v>2313</v>
      </c>
      <c r="L1112" t="s">
        <v>2305</v>
      </c>
      <c r="M1112" t="s">
        <v>1421</v>
      </c>
      <c r="N1112" t="s">
        <v>1422</v>
      </c>
      <c r="O1112" t="s">
        <v>1411</v>
      </c>
      <c r="P1112" t="s">
        <v>1411</v>
      </c>
      <c r="Q1112" t="s">
        <v>1412</v>
      </c>
      <c r="S1112" s="1">
        <v>46121</v>
      </c>
      <c r="W1112" s="1">
        <v>34845</v>
      </c>
      <c r="X1112" t="s">
        <v>2535</v>
      </c>
      <c r="Z1112" t="s">
        <v>2763</v>
      </c>
      <c r="AA1112" t="s">
        <v>1415</v>
      </c>
      <c r="AB1112" t="s">
        <v>5642</v>
      </c>
      <c r="AC1112">
        <v>98970278421</v>
      </c>
    </row>
    <row r="1113" spans="1:29" x14ac:dyDescent="0.3">
      <c r="A1113" t="s">
        <v>1405</v>
      </c>
      <c r="B1113" t="s">
        <v>2302</v>
      </c>
      <c r="C1113" t="s">
        <v>5643</v>
      </c>
      <c r="D1113">
        <v>4504889188</v>
      </c>
      <c r="E1113" t="s">
        <v>5644</v>
      </c>
      <c r="F1113">
        <v>1004009783</v>
      </c>
      <c r="G1113" s="1">
        <v>44671</v>
      </c>
      <c r="H1113" t="s">
        <v>1360</v>
      </c>
      <c r="I1113" t="s">
        <v>1349</v>
      </c>
      <c r="J1113" t="s">
        <v>2308</v>
      </c>
      <c r="K1113" t="s">
        <v>2313</v>
      </c>
      <c r="L1113" t="s">
        <v>2305</v>
      </c>
      <c r="M1113" t="s">
        <v>1421</v>
      </c>
      <c r="N1113" t="s">
        <v>1422</v>
      </c>
      <c r="O1113" t="s">
        <v>1462</v>
      </c>
      <c r="P1113" t="s">
        <v>1462</v>
      </c>
      <c r="Q1113" t="s">
        <v>1412</v>
      </c>
      <c r="S1113" s="1">
        <v>46119</v>
      </c>
      <c r="V1113" s="1">
        <v>46113</v>
      </c>
      <c r="W1113" s="1">
        <v>34697</v>
      </c>
      <c r="X1113" t="s">
        <v>1858</v>
      </c>
      <c r="Y1113" t="s">
        <v>1762</v>
      </c>
      <c r="Z1113" t="s">
        <v>2864</v>
      </c>
      <c r="AA1113" t="s">
        <v>1415</v>
      </c>
      <c r="AB1113" t="s">
        <v>5645</v>
      </c>
      <c r="AC1113">
        <v>65992429391</v>
      </c>
    </row>
    <row r="1114" spans="1:29" x14ac:dyDescent="0.3">
      <c r="A1114" t="s">
        <v>1405</v>
      </c>
      <c r="B1114" t="s">
        <v>2302</v>
      </c>
      <c r="C1114" t="s">
        <v>5646</v>
      </c>
      <c r="D1114">
        <v>631758941</v>
      </c>
      <c r="E1114">
        <v>3226957</v>
      </c>
      <c r="F1114">
        <v>1004018232</v>
      </c>
      <c r="G1114" s="1">
        <v>45810</v>
      </c>
      <c r="H1114" t="s">
        <v>1360</v>
      </c>
      <c r="I1114" t="s">
        <v>1374</v>
      </c>
      <c r="J1114" t="s">
        <v>1361</v>
      </c>
      <c r="K1114" t="s">
        <v>2308</v>
      </c>
      <c r="L1114" t="s">
        <v>2305</v>
      </c>
      <c r="M1114" t="s">
        <v>1447</v>
      </c>
      <c r="N1114" t="s">
        <v>1448</v>
      </c>
      <c r="O1114" t="s">
        <v>1423</v>
      </c>
      <c r="P1114" t="s">
        <v>1423</v>
      </c>
      <c r="Q1114" t="s">
        <v>1412</v>
      </c>
      <c r="S1114" s="1">
        <v>46043</v>
      </c>
      <c r="W1114" s="1">
        <v>29473</v>
      </c>
      <c r="X1114" t="s">
        <v>1946</v>
      </c>
      <c r="Y1114" t="s">
        <v>4859</v>
      </c>
      <c r="Z1114" t="s">
        <v>3000</v>
      </c>
      <c r="AA1114" t="s">
        <v>1415</v>
      </c>
      <c r="AB1114" t="s">
        <v>5647</v>
      </c>
      <c r="AC1114">
        <v>4784170900</v>
      </c>
    </row>
    <row r="1115" spans="1:29" x14ac:dyDescent="0.3">
      <c r="A1115" t="s">
        <v>1405</v>
      </c>
      <c r="B1115" t="s">
        <v>2302</v>
      </c>
      <c r="C1115" t="s">
        <v>5648</v>
      </c>
      <c r="D1115">
        <v>990664244</v>
      </c>
      <c r="E1115">
        <v>6125316</v>
      </c>
      <c r="F1115">
        <v>1004020560</v>
      </c>
      <c r="G1115" s="1">
        <v>45964</v>
      </c>
      <c r="H1115" t="s">
        <v>1360</v>
      </c>
      <c r="I1115" t="s">
        <v>1374</v>
      </c>
      <c r="J1115" t="s">
        <v>1361</v>
      </c>
      <c r="K1115" t="s">
        <v>2308</v>
      </c>
      <c r="L1115" t="s">
        <v>2305</v>
      </c>
      <c r="M1115" t="s">
        <v>1409</v>
      </c>
      <c r="N1115" t="s">
        <v>1410</v>
      </c>
      <c r="O1115" t="s">
        <v>1462</v>
      </c>
      <c r="P1115" t="s">
        <v>1462</v>
      </c>
      <c r="Q1115" t="s">
        <v>1412</v>
      </c>
      <c r="S1115" s="1">
        <v>46043</v>
      </c>
      <c r="W1115" s="1">
        <v>32940</v>
      </c>
      <c r="X1115" t="s">
        <v>5649</v>
      </c>
      <c r="Z1115" t="s">
        <v>3468</v>
      </c>
      <c r="AA1115" t="s">
        <v>1419</v>
      </c>
      <c r="AB1115" t="s">
        <v>5650</v>
      </c>
      <c r="AC1115">
        <v>9193920016</v>
      </c>
    </row>
    <row r="1116" spans="1:29" x14ac:dyDescent="0.3">
      <c r="A1116" t="s">
        <v>1405</v>
      </c>
      <c r="B1116" t="s">
        <v>2302</v>
      </c>
      <c r="C1116" t="s">
        <v>5651</v>
      </c>
      <c r="D1116">
        <v>5137034118</v>
      </c>
      <c r="E1116">
        <v>15287566</v>
      </c>
      <c r="F1116">
        <v>1004014920</v>
      </c>
      <c r="G1116" s="1">
        <v>45425</v>
      </c>
      <c r="H1116" t="s">
        <v>1360</v>
      </c>
      <c r="I1116" t="s">
        <v>1374</v>
      </c>
      <c r="J1116" t="s">
        <v>1354</v>
      </c>
      <c r="K1116" t="s">
        <v>1361</v>
      </c>
      <c r="L1116" t="s">
        <v>2305</v>
      </c>
      <c r="M1116" t="s">
        <v>1421</v>
      </c>
      <c r="N1116" t="s">
        <v>1422</v>
      </c>
      <c r="O1116" t="s">
        <v>1423</v>
      </c>
      <c r="P1116" t="s">
        <v>1423</v>
      </c>
      <c r="Q1116" t="s">
        <v>1412</v>
      </c>
      <c r="S1116" s="1">
        <v>46043</v>
      </c>
      <c r="W1116" s="1">
        <v>36828</v>
      </c>
      <c r="X1116" t="s">
        <v>5652</v>
      </c>
      <c r="Z1116" t="s">
        <v>2758</v>
      </c>
      <c r="AA1116" t="s">
        <v>1419</v>
      </c>
      <c r="AB1116" t="s">
        <v>5653</v>
      </c>
      <c r="AC1116">
        <v>61998282842</v>
      </c>
    </row>
    <row r="1117" spans="1:29" x14ac:dyDescent="0.3">
      <c r="A1117" t="s">
        <v>1405</v>
      </c>
      <c r="B1117" t="s">
        <v>2302</v>
      </c>
      <c r="C1117" t="s">
        <v>5654</v>
      </c>
      <c r="D1117">
        <v>6567687975</v>
      </c>
      <c r="E1117">
        <v>4268093</v>
      </c>
      <c r="F1117">
        <v>1004005410</v>
      </c>
      <c r="G1117" s="1">
        <v>43880</v>
      </c>
      <c r="H1117" t="s">
        <v>1360</v>
      </c>
      <c r="I1117" t="s">
        <v>5017</v>
      </c>
      <c r="J1117" t="s">
        <v>2308</v>
      </c>
      <c r="K1117" t="s">
        <v>2313</v>
      </c>
      <c r="L1117" t="s">
        <v>2305</v>
      </c>
      <c r="M1117" t="s">
        <v>1421</v>
      </c>
      <c r="N1117" t="s">
        <v>1422</v>
      </c>
      <c r="O1117" t="s">
        <v>1423</v>
      </c>
      <c r="P1117" t="s">
        <v>1423</v>
      </c>
      <c r="Q1117" t="s">
        <v>1412</v>
      </c>
      <c r="S1117" s="1">
        <v>45803</v>
      </c>
      <c r="T1117" s="1">
        <v>45778</v>
      </c>
      <c r="W1117" s="1">
        <v>32035</v>
      </c>
      <c r="X1117" t="s">
        <v>5655</v>
      </c>
      <c r="Y1117" t="s">
        <v>5656</v>
      </c>
      <c r="Z1117" t="s">
        <v>2743</v>
      </c>
      <c r="AA1117" t="s">
        <v>1415</v>
      </c>
      <c r="AB1117" t="s">
        <v>5657</v>
      </c>
      <c r="AC1117">
        <v>49988764555</v>
      </c>
    </row>
    <row r="1118" spans="1:29" x14ac:dyDescent="0.3">
      <c r="A1118" t="s">
        <v>1405</v>
      </c>
      <c r="B1118" t="s">
        <v>2302</v>
      </c>
      <c r="C1118" t="s">
        <v>5658</v>
      </c>
      <c r="D1118">
        <v>1838926070</v>
      </c>
      <c r="E1118">
        <v>1095320618</v>
      </c>
      <c r="F1118">
        <v>1004004903</v>
      </c>
      <c r="G1118" s="1">
        <v>43747</v>
      </c>
      <c r="H1118" t="s">
        <v>1360</v>
      </c>
      <c r="I1118" t="s">
        <v>1374</v>
      </c>
      <c r="J1118" t="s">
        <v>2308</v>
      </c>
      <c r="K1118" t="s">
        <v>2313</v>
      </c>
      <c r="L1118" t="s">
        <v>2305</v>
      </c>
      <c r="M1118" t="s">
        <v>1409</v>
      </c>
      <c r="N1118" t="s">
        <v>1410</v>
      </c>
      <c r="O1118" t="s">
        <v>1423</v>
      </c>
      <c r="P1118" t="s">
        <v>1423</v>
      </c>
      <c r="Q1118" t="s">
        <v>1412</v>
      </c>
      <c r="S1118" s="1">
        <v>46043</v>
      </c>
      <c r="W1118" s="1">
        <v>32423</v>
      </c>
      <c r="X1118" t="s">
        <v>5538</v>
      </c>
      <c r="Y1118" t="s">
        <v>1445</v>
      </c>
      <c r="Z1118" t="s">
        <v>5539</v>
      </c>
      <c r="AA1118" t="s">
        <v>1419</v>
      </c>
      <c r="AB1118" t="s">
        <v>5659</v>
      </c>
      <c r="AC1118">
        <v>53984320008</v>
      </c>
    </row>
    <row r="1119" spans="1:29" x14ac:dyDescent="0.3">
      <c r="A1119" t="s">
        <v>1405</v>
      </c>
      <c r="B1119" t="s">
        <v>2302</v>
      </c>
      <c r="C1119" t="s">
        <v>5660</v>
      </c>
      <c r="D1119">
        <v>4475080592</v>
      </c>
      <c r="E1119">
        <v>1260371247</v>
      </c>
      <c r="F1119">
        <v>1004011532</v>
      </c>
      <c r="G1119" s="1">
        <v>44992</v>
      </c>
      <c r="H1119" t="s">
        <v>1360</v>
      </c>
      <c r="I1119" t="s">
        <v>1349</v>
      </c>
      <c r="J1119" t="s">
        <v>1361</v>
      </c>
      <c r="K1119" t="s">
        <v>2308</v>
      </c>
      <c r="L1119" t="s">
        <v>2305</v>
      </c>
      <c r="M1119" t="s">
        <v>1421</v>
      </c>
      <c r="N1119" t="s">
        <v>1422</v>
      </c>
      <c r="O1119" t="s">
        <v>1411</v>
      </c>
      <c r="P1119" t="s">
        <v>1411</v>
      </c>
      <c r="Q1119" t="s">
        <v>1412</v>
      </c>
      <c r="S1119" s="1">
        <v>45875</v>
      </c>
      <c r="V1119" s="1">
        <v>45873</v>
      </c>
      <c r="W1119" s="1">
        <v>33158</v>
      </c>
      <c r="X1119" t="s">
        <v>3997</v>
      </c>
      <c r="Z1119" t="s">
        <v>2615</v>
      </c>
      <c r="AA1119" t="s">
        <v>1419</v>
      </c>
      <c r="AB1119" t="s">
        <v>5661</v>
      </c>
      <c r="AC1119">
        <v>75981606104</v>
      </c>
    </row>
    <row r="1120" spans="1:29" x14ac:dyDescent="0.3">
      <c r="A1120" t="s">
        <v>1405</v>
      </c>
      <c r="B1120" t="s">
        <v>2302</v>
      </c>
      <c r="C1120" t="s">
        <v>5662</v>
      </c>
      <c r="D1120">
        <v>10233038418</v>
      </c>
      <c r="E1120">
        <v>8813384</v>
      </c>
      <c r="F1120">
        <v>1004015571</v>
      </c>
      <c r="G1120" s="1">
        <v>45537</v>
      </c>
      <c r="H1120" t="s">
        <v>1360</v>
      </c>
      <c r="I1120" t="s">
        <v>1349</v>
      </c>
      <c r="J1120" t="s">
        <v>1361</v>
      </c>
      <c r="K1120" t="s">
        <v>2308</v>
      </c>
      <c r="L1120" t="s">
        <v>2305</v>
      </c>
      <c r="M1120" t="s">
        <v>1409</v>
      </c>
      <c r="N1120" t="s">
        <v>1410</v>
      </c>
      <c r="O1120" t="s">
        <v>1411</v>
      </c>
      <c r="P1120" t="s">
        <v>1411</v>
      </c>
      <c r="Q1120" t="s">
        <v>1412</v>
      </c>
      <c r="S1120" s="1">
        <v>45847</v>
      </c>
      <c r="V1120" s="1">
        <v>45847</v>
      </c>
      <c r="W1120" s="1">
        <v>34174</v>
      </c>
      <c r="X1120" t="s">
        <v>5663</v>
      </c>
      <c r="Y1120" t="s">
        <v>4179</v>
      </c>
      <c r="Z1120" t="s">
        <v>4180</v>
      </c>
      <c r="AA1120" t="s">
        <v>1415</v>
      </c>
      <c r="AB1120" t="s">
        <v>5664</v>
      </c>
      <c r="AC1120">
        <v>81982251662</v>
      </c>
    </row>
    <row r="1121" spans="1:29" x14ac:dyDescent="0.3">
      <c r="A1121" t="s">
        <v>1405</v>
      </c>
      <c r="B1121" t="s">
        <v>2302</v>
      </c>
      <c r="C1121" t="s">
        <v>5665</v>
      </c>
      <c r="D1121">
        <v>81787898091</v>
      </c>
      <c r="E1121">
        <v>6073950021</v>
      </c>
      <c r="F1121">
        <v>1004004913</v>
      </c>
      <c r="G1121" s="1">
        <v>43747</v>
      </c>
      <c r="H1121" t="s">
        <v>1360</v>
      </c>
      <c r="I1121" t="s">
        <v>1374</v>
      </c>
      <c r="J1121" t="s">
        <v>2308</v>
      </c>
      <c r="K1121" t="s">
        <v>2313</v>
      </c>
      <c r="L1121" t="s">
        <v>2305</v>
      </c>
      <c r="M1121" t="s">
        <v>1421</v>
      </c>
      <c r="N1121" t="s">
        <v>1422</v>
      </c>
      <c r="O1121" t="s">
        <v>1423</v>
      </c>
      <c r="P1121" t="s">
        <v>1423</v>
      </c>
      <c r="Q1121" t="s">
        <v>1412</v>
      </c>
      <c r="S1121" s="1">
        <v>46043</v>
      </c>
      <c r="W1121" s="1">
        <v>29403</v>
      </c>
      <c r="X1121" t="s">
        <v>5666</v>
      </c>
      <c r="Y1121" t="s">
        <v>5667</v>
      </c>
      <c r="Z1121" t="s">
        <v>2448</v>
      </c>
      <c r="AA1121" t="s">
        <v>1415</v>
      </c>
      <c r="AB1121" t="s">
        <v>5668</v>
      </c>
      <c r="AC1121">
        <v>51999488584</v>
      </c>
    </row>
    <row r="1122" spans="1:29" x14ac:dyDescent="0.3">
      <c r="A1122" t="s">
        <v>1405</v>
      </c>
      <c r="B1122" t="s">
        <v>2302</v>
      </c>
      <c r="C1122" t="s">
        <v>5669</v>
      </c>
      <c r="D1122">
        <v>81250479991</v>
      </c>
      <c r="E1122">
        <v>2259528</v>
      </c>
      <c r="F1122">
        <v>1004016808</v>
      </c>
      <c r="G1122" s="1">
        <v>45705</v>
      </c>
      <c r="H1122" t="s">
        <v>1360</v>
      </c>
      <c r="I1122" t="s">
        <v>1349</v>
      </c>
      <c r="J1122" t="s">
        <v>1361</v>
      </c>
      <c r="K1122" t="s">
        <v>2308</v>
      </c>
      <c r="L1122" t="s">
        <v>2305</v>
      </c>
      <c r="M1122" t="s">
        <v>1409</v>
      </c>
      <c r="N1122" t="s">
        <v>1410</v>
      </c>
      <c r="O1122" t="s">
        <v>1423</v>
      </c>
      <c r="P1122" t="s">
        <v>1423</v>
      </c>
      <c r="Q1122" t="s">
        <v>1412</v>
      </c>
      <c r="S1122" s="1">
        <v>46122</v>
      </c>
      <c r="V1122" s="1">
        <v>46118</v>
      </c>
      <c r="W1122" s="1">
        <v>25508</v>
      </c>
      <c r="X1122" t="s">
        <v>4499</v>
      </c>
      <c r="Y1122" t="s">
        <v>4500</v>
      </c>
      <c r="Z1122" t="s">
        <v>5670</v>
      </c>
      <c r="AA1122" t="s">
        <v>1419</v>
      </c>
      <c r="AB1122" t="s">
        <v>5671</v>
      </c>
      <c r="AC1122">
        <v>47988068381</v>
      </c>
    </row>
    <row r="1123" spans="1:29" x14ac:dyDescent="0.3">
      <c r="A1123" t="s">
        <v>1405</v>
      </c>
      <c r="B1123" t="s">
        <v>2302</v>
      </c>
      <c r="C1123" t="s">
        <v>5672</v>
      </c>
      <c r="D1123">
        <v>89770110353</v>
      </c>
      <c r="E1123">
        <v>99002062746</v>
      </c>
      <c r="F1123">
        <v>1004017674</v>
      </c>
      <c r="G1123" s="1">
        <v>45761</v>
      </c>
      <c r="H1123" t="s">
        <v>1360</v>
      </c>
      <c r="I1123" t="s">
        <v>1374</v>
      </c>
      <c r="J1123" t="s">
        <v>1361</v>
      </c>
      <c r="K1123" t="s">
        <v>2308</v>
      </c>
      <c r="L1123" t="s">
        <v>2305</v>
      </c>
      <c r="M1123" t="s">
        <v>1409</v>
      </c>
      <c r="N1123" t="s">
        <v>1410</v>
      </c>
      <c r="O1123" t="s">
        <v>1411</v>
      </c>
      <c r="P1123" t="s">
        <v>1411</v>
      </c>
      <c r="Q1123" t="s">
        <v>1412</v>
      </c>
      <c r="S1123" s="1">
        <v>46043</v>
      </c>
      <c r="W1123" s="1">
        <v>30255</v>
      </c>
      <c r="X1123" t="s">
        <v>1507</v>
      </c>
      <c r="Z1123" t="s">
        <v>5673</v>
      </c>
      <c r="AA1123" t="s">
        <v>1419</v>
      </c>
      <c r="AB1123" t="s">
        <v>5674</v>
      </c>
      <c r="AC1123">
        <v>85981895025</v>
      </c>
    </row>
    <row r="1124" spans="1:29" x14ac:dyDescent="0.3">
      <c r="A1124" t="s">
        <v>1405</v>
      </c>
      <c r="B1124" t="s">
        <v>2302</v>
      </c>
      <c r="C1124" t="s">
        <v>5675</v>
      </c>
      <c r="D1124">
        <v>1360890203</v>
      </c>
      <c r="E1124">
        <v>6667648</v>
      </c>
      <c r="F1124">
        <v>1004008599</v>
      </c>
      <c r="G1124" s="1">
        <v>44454</v>
      </c>
      <c r="H1124" t="s">
        <v>1360</v>
      </c>
      <c r="I1124" t="s">
        <v>1374</v>
      </c>
      <c r="J1124" t="s">
        <v>2308</v>
      </c>
      <c r="K1124" t="s">
        <v>2313</v>
      </c>
      <c r="L1124" t="s">
        <v>2305</v>
      </c>
      <c r="M1124" t="s">
        <v>1409</v>
      </c>
      <c r="N1124" t="s">
        <v>1410</v>
      </c>
      <c r="O1124" t="s">
        <v>1423</v>
      </c>
      <c r="P1124" t="s">
        <v>1411</v>
      </c>
      <c r="Q1124" t="s">
        <v>1412</v>
      </c>
      <c r="S1124" s="1">
        <v>46043</v>
      </c>
      <c r="W1124" s="1">
        <v>33290</v>
      </c>
      <c r="X1124" t="s">
        <v>5676</v>
      </c>
      <c r="Y1124" t="s">
        <v>1874</v>
      </c>
      <c r="Z1124" t="s">
        <v>5418</v>
      </c>
      <c r="AA1124" t="s">
        <v>1419</v>
      </c>
      <c r="AB1124" t="s">
        <v>5677</v>
      </c>
      <c r="AC1124">
        <v>91991032948</v>
      </c>
    </row>
    <row r="1125" spans="1:29" x14ac:dyDescent="0.3">
      <c r="A1125" t="s">
        <v>1405</v>
      </c>
      <c r="B1125" t="s">
        <v>2302</v>
      </c>
      <c r="C1125" t="s">
        <v>5678</v>
      </c>
      <c r="D1125">
        <v>53251199900</v>
      </c>
      <c r="E1125">
        <v>18131514</v>
      </c>
      <c r="F1125">
        <v>1004007406</v>
      </c>
      <c r="G1125" s="1">
        <v>44257</v>
      </c>
      <c r="H1125" t="s">
        <v>1360</v>
      </c>
      <c r="I1125" t="s">
        <v>1374</v>
      </c>
      <c r="J1125" t="s">
        <v>2308</v>
      </c>
      <c r="K1125" t="s">
        <v>2313</v>
      </c>
      <c r="L1125" t="s">
        <v>2305</v>
      </c>
      <c r="M1125" t="s">
        <v>1409</v>
      </c>
      <c r="N1125" t="s">
        <v>1410</v>
      </c>
      <c r="O1125" t="s">
        <v>1423</v>
      </c>
      <c r="P1125" t="s">
        <v>1423</v>
      </c>
      <c r="Q1125" t="s">
        <v>1412</v>
      </c>
      <c r="S1125" s="1">
        <v>45679</v>
      </c>
      <c r="T1125" s="1">
        <v>45775</v>
      </c>
      <c r="W1125" s="1">
        <v>24629</v>
      </c>
      <c r="X1125" t="s">
        <v>5679</v>
      </c>
      <c r="Y1125" t="s">
        <v>5680</v>
      </c>
      <c r="Z1125" t="s">
        <v>4295</v>
      </c>
      <c r="AA1125" t="s">
        <v>1415</v>
      </c>
      <c r="AB1125" t="s">
        <v>5681</v>
      </c>
      <c r="AC1125">
        <v>48988346677</v>
      </c>
    </row>
    <row r="1126" spans="1:29" x14ac:dyDescent="0.3">
      <c r="A1126" t="s">
        <v>1405</v>
      </c>
      <c r="B1126" t="s">
        <v>2302</v>
      </c>
      <c r="C1126" t="s">
        <v>5682</v>
      </c>
      <c r="D1126">
        <v>2934436020</v>
      </c>
      <c r="E1126">
        <v>8103840446</v>
      </c>
      <c r="F1126">
        <v>42004202017</v>
      </c>
      <c r="G1126" s="1">
        <v>42401</v>
      </c>
      <c r="H1126" t="s">
        <v>1360</v>
      </c>
      <c r="I1126" t="s">
        <v>1349</v>
      </c>
      <c r="J1126" t="s">
        <v>2308</v>
      </c>
      <c r="K1126" t="s">
        <v>2313</v>
      </c>
      <c r="L1126" t="s">
        <v>2305</v>
      </c>
      <c r="M1126" t="s">
        <v>1409</v>
      </c>
      <c r="N1126" t="s">
        <v>1410</v>
      </c>
      <c r="O1126" t="s">
        <v>1423</v>
      </c>
      <c r="P1126" t="s">
        <v>1423</v>
      </c>
      <c r="Q1126" t="s">
        <v>1412</v>
      </c>
      <c r="S1126" s="1">
        <v>45813</v>
      </c>
      <c r="V1126" s="1">
        <v>45812</v>
      </c>
      <c r="W1126" s="1">
        <v>34146</v>
      </c>
      <c r="X1126" t="s">
        <v>2692</v>
      </c>
      <c r="Y1126" t="s">
        <v>1454</v>
      </c>
      <c r="Z1126" t="s">
        <v>2607</v>
      </c>
      <c r="AA1126" t="s">
        <v>1419</v>
      </c>
      <c r="AB1126" t="s">
        <v>5683</v>
      </c>
    </row>
    <row r="1127" spans="1:29" x14ac:dyDescent="0.3">
      <c r="A1127" t="s">
        <v>1405</v>
      </c>
      <c r="B1127" t="s">
        <v>2302</v>
      </c>
      <c r="C1127" t="s">
        <v>5684</v>
      </c>
      <c r="D1127">
        <v>3437404199</v>
      </c>
      <c r="E1127">
        <v>1716994</v>
      </c>
      <c r="F1127">
        <v>1004011411</v>
      </c>
      <c r="G1127" s="1">
        <v>44984</v>
      </c>
      <c r="H1127" t="s">
        <v>1360</v>
      </c>
      <c r="I1127" t="s">
        <v>1374</v>
      </c>
      <c r="J1127" t="s">
        <v>2348</v>
      </c>
      <c r="K1127" t="s">
        <v>2308</v>
      </c>
      <c r="L1127" t="s">
        <v>2305</v>
      </c>
      <c r="M1127" t="s">
        <v>1447</v>
      </c>
      <c r="N1127" t="s">
        <v>1448</v>
      </c>
      <c r="O1127" t="s">
        <v>1411</v>
      </c>
      <c r="P1127" t="s">
        <v>1423</v>
      </c>
      <c r="Q1127" t="s">
        <v>1412</v>
      </c>
      <c r="S1127" s="1">
        <v>46069</v>
      </c>
      <c r="W1127" s="1">
        <v>32789</v>
      </c>
      <c r="X1127" t="s">
        <v>2153</v>
      </c>
      <c r="Y1127" t="s">
        <v>5685</v>
      </c>
      <c r="Z1127" t="s">
        <v>3626</v>
      </c>
      <c r="AA1127" t="s">
        <v>1415</v>
      </c>
      <c r="AB1127" t="s">
        <v>5686</v>
      </c>
      <c r="AC1127">
        <v>67992257933</v>
      </c>
    </row>
    <row r="1128" spans="1:29" x14ac:dyDescent="0.3">
      <c r="A1128" t="s">
        <v>1405</v>
      </c>
      <c r="B1128" t="s">
        <v>2302</v>
      </c>
      <c r="C1128" t="s">
        <v>5687</v>
      </c>
      <c r="D1128">
        <v>3928909177</v>
      </c>
      <c r="E1128">
        <v>22593330</v>
      </c>
      <c r="F1128">
        <v>1004011797</v>
      </c>
      <c r="G1128" s="1">
        <v>45027</v>
      </c>
      <c r="H1128" t="s">
        <v>1360</v>
      </c>
      <c r="I1128" t="s">
        <v>1374</v>
      </c>
      <c r="J1128" t="s">
        <v>2348</v>
      </c>
      <c r="K1128" t="s">
        <v>2308</v>
      </c>
      <c r="L1128" t="s">
        <v>2305</v>
      </c>
      <c r="M1128" t="s">
        <v>1421</v>
      </c>
      <c r="N1128" t="s">
        <v>1422</v>
      </c>
      <c r="O1128" t="s">
        <v>1411</v>
      </c>
      <c r="P1128" t="s">
        <v>1411</v>
      </c>
      <c r="Q1128" t="s">
        <v>1412</v>
      </c>
      <c r="S1128" s="1">
        <v>46043</v>
      </c>
      <c r="W1128" s="1">
        <v>33843</v>
      </c>
      <c r="X1128" t="s">
        <v>3853</v>
      </c>
      <c r="Z1128" t="s">
        <v>4029</v>
      </c>
      <c r="AA1128" t="s">
        <v>1419</v>
      </c>
      <c r="AB1128" t="s">
        <v>160</v>
      </c>
      <c r="AC1128">
        <v>65996323821</v>
      </c>
    </row>
    <row r="1129" spans="1:29" x14ac:dyDescent="0.3">
      <c r="A1129" t="s">
        <v>1405</v>
      </c>
      <c r="B1129" t="s">
        <v>2302</v>
      </c>
      <c r="C1129" t="s">
        <v>5688</v>
      </c>
      <c r="D1129">
        <v>2356263500</v>
      </c>
      <c r="E1129">
        <v>1346580944</v>
      </c>
      <c r="F1129">
        <v>1004004363</v>
      </c>
      <c r="G1129" s="1">
        <v>43689</v>
      </c>
      <c r="H1129" t="s">
        <v>1360</v>
      </c>
      <c r="I1129" t="s">
        <v>1349</v>
      </c>
      <c r="J1129" t="s">
        <v>2308</v>
      </c>
      <c r="K1129" t="s">
        <v>2313</v>
      </c>
      <c r="L1129" t="s">
        <v>2305</v>
      </c>
      <c r="M1129" t="s">
        <v>1421</v>
      </c>
      <c r="N1129" t="s">
        <v>1422</v>
      </c>
      <c r="O1129" t="s">
        <v>1411</v>
      </c>
      <c r="P1129" t="s">
        <v>1411</v>
      </c>
      <c r="Q1129" t="s">
        <v>1412</v>
      </c>
      <c r="S1129" s="1">
        <v>45859</v>
      </c>
      <c r="V1129" s="1">
        <v>45856</v>
      </c>
      <c r="W1129" s="1">
        <v>32146</v>
      </c>
      <c r="X1129" t="s">
        <v>5689</v>
      </c>
      <c r="Y1129" t="s">
        <v>5690</v>
      </c>
      <c r="Z1129" t="s">
        <v>3152</v>
      </c>
      <c r="AA1129" t="s">
        <v>1419</v>
      </c>
      <c r="AB1129" t="s">
        <v>5691</v>
      </c>
      <c r="AC1129">
        <v>74991415754</v>
      </c>
    </row>
    <row r="1130" spans="1:29" x14ac:dyDescent="0.3">
      <c r="A1130" t="s">
        <v>1405</v>
      </c>
      <c r="B1130" t="s">
        <v>2302</v>
      </c>
      <c r="C1130" t="s">
        <v>5692</v>
      </c>
      <c r="D1130">
        <v>1180064011</v>
      </c>
      <c r="E1130" t="s">
        <v>5693</v>
      </c>
      <c r="F1130">
        <v>1004013970</v>
      </c>
      <c r="G1130" s="1">
        <v>45343</v>
      </c>
      <c r="H1130" t="s">
        <v>1360</v>
      </c>
      <c r="I1130" t="s">
        <v>1349</v>
      </c>
      <c r="J1130" t="s">
        <v>2348</v>
      </c>
      <c r="K1130" t="s">
        <v>2308</v>
      </c>
      <c r="L1130" t="s">
        <v>2305</v>
      </c>
      <c r="M1130" t="s">
        <v>1409</v>
      </c>
      <c r="N1130" t="s">
        <v>1410</v>
      </c>
      <c r="O1130" t="s">
        <v>1411</v>
      </c>
      <c r="P1130" t="s">
        <v>1411</v>
      </c>
      <c r="Q1130" t="s">
        <v>1412</v>
      </c>
      <c r="S1130" s="1">
        <v>45789</v>
      </c>
      <c r="V1130" s="1">
        <v>45785</v>
      </c>
      <c r="W1130" s="1">
        <v>31403</v>
      </c>
      <c r="X1130" t="s">
        <v>3804</v>
      </c>
      <c r="Z1130" t="s">
        <v>3102</v>
      </c>
      <c r="AA1130" t="s">
        <v>1419</v>
      </c>
      <c r="AB1130" t="s">
        <v>5694</v>
      </c>
      <c r="AC1130">
        <v>64999511840</v>
      </c>
    </row>
    <row r="1131" spans="1:29" x14ac:dyDescent="0.3">
      <c r="A1131" t="s">
        <v>1405</v>
      </c>
      <c r="B1131" t="s">
        <v>2302</v>
      </c>
      <c r="C1131" t="s">
        <v>5695</v>
      </c>
      <c r="D1131">
        <v>3285509570</v>
      </c>
      <c r="E1131">
        <v>1148843825</v>
      </c>
      <c r="F1131">
        <v>1004010896</v>
      </c>
      <c r="G1131" s="1">
        <v>44842</v>
      </c>
      <c r="H1131" t="s">
        <v>1360</v>
      </c>
      <c r="I1131" t="s">
        <v>1374</v>
      </c>
      <c r="J1131" t="s">
        <v>1361</v>
      </c>
      <c r="K1131" t="s">
        <v>2308</v>
      </c>
      <c r="L1131" t="s">
        <v>2305</v>
      </c>
      <c r="M1131" t="s">
        <v>1409</v>
      </c>
      <c r="N1131" t="s">
        <v>1410</v>
      </c>
      <c r="O1131" t="s">
        <v>1411</v>
      </c>
      <c r="P1131" t="s">
        <v>1411</v>
      </c>
      <c r="Q1131" t="s">
        <v>1412</v>
      </c>
      <c r="S1131" s="1">
        <v>46043</v>
      </c>
      <c r="W1131" s="1">
        <v>33221</v>
      </c>
      <c r="X1131" t="s">
        <v>2361</v>
      </c>
      <c r="Y1131" t="s">
        <v>2362</v>
      </c>
      <c r="Z1131" t="s">
        <v>2363</v>
      </c>
      <c r="AA1131" t="s">
        <v>1419</v>
      </c>
      <c r="AB1131" t="s">
        <v>5696</v>
      </c>
      <c r="AC1131">
        <v>75992851631</v>
      </c>
    </row>
    <row r="1132" spans="1:29" x14ac:dyDescent="0.3">
      <c r="A1132" t="s">
        <v>1405</v>
      </c>
      <c r="B1132" t="s">
        <v>2302</v>
      </c>
      <c r="C1132" t="s">
        <v>5697</v>
      </c>
      <c r="D1132">
        <v>2899441043</v>
      </c>
      <c r="E1132">
        <v>4093241604</v>
      </c>
      <c r="F1132">
        <v>1004011132</v>
      </c>
      <c r="G1132" s="1">
        <v>44874</v>
      </c>
      <c r="H1132" t="s">
        <v>1360</v>
      </c>
      <c r="I1132" t="s">
        <v>1349</v>
      </c>
      <c r="J1132" t="s">
        <v>2348</v>
      </c>
      <c r="K1132" t="s">
        <v>2308</v>
      </c>
      <c r="L1132" t="s">
        <v>2305</v>
      </c>
      <c r="M1132" t="s">
        <v>1442</v>
      </c>
      <c r="N1132" t="s">
        <v>1443</v>
      </c>
      <c r="O1132" t="s">
        <v>1423</v>
      </c>
      <c r="P1132" t="s">
        <v>1423</v>
      </c>
      <c r="Q1132" t="s">
        <v>1412</v>
      </c>
      <c r="S1132" s="1">
        <v>45947</v>
      </c>
      <c r="V1132" s="1">
        <v>45945</v>
      </c>
      <c r="W1132" s="1">
        <v>33390</v>
      </c>
      <c r="X1132" t="s">
        <v>1825</v>
      </c>
      <c r="Y1132" t="s">
        <v>1920</v>
      </c>
      <c r="Z1132" t="s">
        <v>3232</v>
      </c>
      <c r="AA1132" t="s">
        <v>1419</v>
      </c>
      <c r="AB1132" t="s">
        <v>5698</v>
      </c>
      <c r="AC1132">
        <v>51980309420</v>
      </c>
    </row>
    <row r="1133" spans="1:29" x14ac:dyDescent="0.3">
      <c r="A1133" t="s">
        <v>1405</v>
      </c>
      <c r="B1133" t="s">
        <v>2302</v>
      </c>
      <c r="C1133" t="s">
        <v>5699</v>
      </c>
      <c r="D1133">
        <v>619649305</v>
      </c>
      <c r="E1133">
        <v>2002002199863</v>
      </c>
      <c r="F1133">
        <v>1004001629</v>
      </c>
      <c r="G1133" s="1">
        <v>43179</v>
      </c>
      <c r="H1133" t="s">
        <v>1360</v>
      </c>
      <c r="I1133" t="s">
        <v>1374</v>
      </c>
      <c r="J1133" t="s">
        <v>2308</v>
      </c>
      <c r="K1133" t="s">
        <v>2313</v>
      </c>
      <c r="L1133" t="s">
        <v>2305</v>
      </c>
      <c r="M1133" t="s">
        <v>1409</v>
      </c>
      <c r="N1133" t="s">
        <v>1410</v>
      </c>
      <c r="O1133" t="s">
        <v>1423</v>
      </c>
      <c r="P1133" t="s">
        <v>1423</v>
      </c>
      <c r="Q1133" t="s">
        <v>1412</v>
      </c>
      <c r="S1133" s="1">
        <v>46043</v>
      </c>
      <c r="W1133" s="1">
        <v>30800</v>
      </c>
      <c r="X1133" t="s">
        <v>3609</v>
      </c>
      <c r="Y1133" t="s">
        <v>2392</v>
      </c>
      <c r="Z1133" t="s">
        <v>2393</v>
      </c>
      <c r="AA1133" t="s">
        <v>1419</v>
      </c>
      <c r="AB1133" t="s">
        <v>5700</v>
      </c>
      <c r="AC1133">
        <v>88996203651</v>
      </c>
    </row>
    <row r="1134" spans="1:29" x14ac:dyDescent="0.3">
      <c r="A1134" t="s">
        <v>1405</v>
      </c>
      <c r="B1134" t="s">
        <v>2302</v>
      </c>
      <c r="C1134" t="s">
        <v>5701</v>
      </c>
      <c r="D1134">
        <v>2828150070</v>
      </c>
      <c r="E1134">
        <v>612148256</v>
      </c>
      <c r="F1134">
        <v>1004014340</v>
      </c>
      <c r="G1134" s="1">
        <v>45370</v>
      </c>
      <c r="H1134" t="s">
        <v>1360</v>
      </c>
      <c r="I1134" t="s">
        <v>1349</v>
      </c>
      <c r="J1134" t="s">
        <v>1361</v>
      </c>
      <c r="K1134" t="s">
        <v>2308</v>
      </c>
      <c r="L1134" t="s">
        <v>2305</v>
      </c>
      <c r="M1134" t="s">
        <v>1409</v>
      </c>
      <c r="N1134" t="s">
        <v>1410</v>
      </c>
      <c r="O1134" t="s">
        <v>1423</v>
      </c>
      <c r="P1134" t="s">
        <v>1423</v>
      </c>
      <c r="Q1134" t="s">
        <v>1593</v>
      </c>
      <c r="R1134" t="s">
        <v>2476</v>
      </c>
      <c r="S1134" s="1">
        <v>45737</v>
      </c>
      <c r="V1134" s="1">
        <v>45743</v>
      </c>
      <c r="W1134" s="1">
        <v>33574</v>
      </c>
      <c r="X1134" t="s">
        <v>2357</v>
      </c>
      <c r="Y1134" t="s">
        <v>5702</v>
      </c>
      <c r="Z1134" t="s">
        <v>2358</v>
      </c>
      <c r="AA1134" t="s">
        <v>1419</v>
      </c>
      <c r="AB1134" t="s">
        <v>5703</v>
      </c>
      <c r="AC1134">
        <v>51996948910</v>
      </c>
    </row>
    <row r="1135" spans="1:29" x14ac:dyDescent="0.3">
      <c r="A1135" t="s">
        <v>1405</v>
      </c>
      <c r="B1135" t="s">
        <v>2302</v>
      </c>
      <c r="C1135" t="s">
        <v>5704</v>
      </c>
      <c r="D1135">
        <v>95303405915</v>
      </c>
      <c r="E1135">
        <v>3465218</v>
      </c>
      <c r="F1135">
        <v>1004009922</v>
      </c>
      <c r="G1135" s="1">
        <v>44690</v>
      </c>
      <c r="H1135" t="s">
        <v>1360</v>
      </c>
      <c r="I1135" t="s">
        <v>1374</v>
      </c>
      <c r="J1135" t="s">
        <v>1361</v>
      </c>
      <c r="K1135" t="s">
        <v>2308</v>
      </c>
      <c r="L1135" t="s">
        <v>2305</v>
      </c>
      <c r="M1135" t="s">
        <v>1447</v>
      </c>
      <c r="N1135" t="s">
        <v>1448</v>
      </c>
      <c r="O1135" t="s">
        <v>1423</v>
      </c>
      <c r="P1135" t="s">
        <v>1423</v>
      </c>
      <c r="Q1135" t="s">
        <v>1412</v>
      </c>
      <c r="S1135" s="1">
        <v>46043</v>
      </c>
      <c r="W1135" s="1">
        <v>28244</v>
      </c>
      <c r="X1135" t="s">
        <v>1717</v>
      </c>
      <c r="Y1135" t="s">
        <v>1718</v>
      </c>
      <c r="Z1135" t="s">
        <v>2340</v>
      </c>
      <c r="AA1135" t="s">
        <v>1419</v>
      </c>
      <c r="AB1135" t="s">
        <v>5705</v>
      </c>
      <c r="AC1135">
        <v>47991412130</v>
      </c>
    </row>
    <row r="1136" spans="1:29" x14ac:dyDescent="0.3">
      <c r="A1136" t="s">
        <v>1405</v>
      </c>
      <c r="B1136" t="s">
        <v>2302</v>
      </c>
      <c r="C1136" t="s">
        <v>5706</v>
      </c>
      <c r="D1136">
        <v>47512610025</v>
      </c>
      <c r="E1136">
        <v>9037122141</v>
      </c>
      <c r="F1136">
        <v>42004202565</v>
      </c>
      <c r="G1136" s="1">
        <v>42593</v>
      </c>
      <c r="H1136" t="s">
        <v>1360</v>
      </c>
      <c r="I1136" t="s">
        <v>1349</v>
      </c>
      <c r="J1136" t="s">
        <v>2308</v>
      </c>
      <c r="K1136" t="s">
        <v>2313</v>
      </c>
      <c r="L1136" t="s">
        <v>2305</v>
      </c>
      <c r="M1136" t="s">
        <v>1421</v>
      </c>
      <c r="N1136" t="s">
        <v>1422</v>
      </c>
      <c r="O1136" t="s">
        <v>1423</v>
      </c>
      <c r="P1136" t="s">
        <v>1423</v>
      </c>
      <c r="Q1136" t="s">
        <v>1412</v>
      </c>
      <c r="S1136" s="1">
        <v>46087</v>
      </c>
      <c r="V1136" s="1">
        <v>46084</v>
      </c>
      <c r="W1136" s="1">
        <v>25193</v>
      </c>
      <c r="X1136" t="s">
        <v>2650</v>
      </c>
      <c r="Y1136" t="s">
        <v>2651</v>
      </c>
      <c r="Z1136" t="s">
        <v>5707</v>
      </c>
      <c r="AA1136" t="s">
        <v>1419</v>
      </c>
      <c r="AB1136" t="s">
        <v>5708</v>
      </c>
      <c r="AC1136">
        <v>54999763939</v>
      </c>
    </row>
    <row r="1137" spans="1:29" x14ac:dyDescent="0.3">
      <c r="A1137" t="s">
        <v>1405</v>
      </c>
      <c r="B1137" t="s">
        <v>2302</v>
      </c>
      <c r="C1137" t="s">
        <v>5709</v>
      </c>
      <c r="D1137">
        <v>4894443503</v>
      </c>
      <c r="E1137">
        <v>1390564754</v>
      </c>
      <c r="F1137">
        <v>1004017441</v>
      </c>
      <c r="G1137" s="1">
        <v>45749</v>
      </c>
      <c r="H1137" t="s">
        <v>1360</v>
      </c>
      <c r="I1137" t="s">
        <v>1374</v>
      </c>
      <c r="J1137" t="s">
        <v>1361</v>
      </c>
      <c r="K1137" t="s">
        <v>2308</v>
      </c>
      <c r="L1137" t="s">
        <v>2305</v>
      </c>
      <c r="M1137" t="s">
        <v>1409</v>
      </c>
      <c r="N1137" t="s">
        <v>1410</v>
      </c>
      <c r="O1137" t="s">
        <v>1411</v>
      </c>
      <c r="P1137" t="s">
        <v>1423</v>
      </c>
      <c r="Q1137" t="s">
        <v>1412</v>
      </c>
      <c r="S1137" s="1">
        <v>46043</v>
      </c>
      <c r="W1137" s="1">
        <v>31865</v>
      </c>
      <c r="X1137" t="s">
        <v>5710</v>
      </c>
      <c r="Z1137" t="s">
        <v>5711</v>
      </c>
      <c r="AA1137" t="s">
        <v>1419</v>
      </c>
      <c r="AB1137" t="s">
        <v>5712</v>
      </c>
      <c r="AC1137">
        <v>75999780553</v>
      </c>
    </row>
    <row r="1138" spans="1:29" x14ac:dyDescent="0.3">
      <c r="A1138" t="s">
        <v>1405</v>
      </c>
      <c r="B1138" t="s">
        <v>2302</v>
      </c>
      <c r="C1138" t="s">
        <v>5713</v>
      </c>
      <c r="D1138">
        <v>38583658072</v>
      </c>
      <c r="E1138">
        <v>1070929672</v>
      </c>
      <c r="F1138">
        <v>42004101205</v>
      </c>
      <c r="G1138" s="1">
        <v>39846</v>
      </c>
      <c r="H1138" t="s">
        <v>1360</v>
      </c>
      <c r="I1138" t="s">
        <v>2604</v>
      </c>
      <c r="J1138" t="s">
        <v>2308</v>
      </c>
      <c r="K1138" t="s">
        <v>2313</v>
      </c>
      <c r="L1138" t="s">
        <v>2305</v>
      </c>
      <c r="M1138" t="s">
        <v>1409</v>
      </c>
      <c r="N1138" t="s">
        <v>1410</v>
      </c>
      <c r="O1138" t="s">
        <v>1423</v>
      </c>
      <c r="P1138" t="s">
        <v>1423</v>
      </c>
      <c r="Q1138" t="s">
        <v>1412</v>
      </c>
      <c r="S1138" s="1">
        <v>45316</v>
      </c>
      <c r="W1138" s="1">
        <v>23107</v>
      </c>
      <c r="X1138" t="s">
        <v>4673</v>
      </c>
      <c r="Y1138" t="s">
        <v>4674</v>
      </c>
      <c r="Z1138" t="s">
        <v>4675</v>
      </c>
      <c r="AA1138" t="s">
        <v>1415</v>
      </c>
      <c r="AB1138" t="s">
        <v>5714</v>
      </c>
      <c r="AC1138">
        <v>5435411304</v>
      </c>
    </row>
    <row r="1139" spans="1:29" x14ac:dyDescent="0.3">
      <c r="A1139" t="s">
        <v>1405</v>
      </c>
      <c r="B1139" t="s">
        <v>2302</v>
      </c>
      <c r="C1139" t="s">
        <v>5715</v>
      </c>
      <c r="D1139">
        <v>48000035987</v>
      </c>
      <c r="E1139">
        <v>13325353</v>
      </c>
      <c r="F1139">
        <v>1004007636</v>
      </c>
      <c r="G1139" s="1">
        <v>44291</v>
      </c>
      <c r="H1139" t="s">
        <v>1360</v>
      </c>
      <c r="I1139" t="s">
        <v>1374</v>
      </c>
      <c r="J1139" t="s">
        <v>2308</v>
      </c>
      <c r="K1139" t="s">
        <v>2313</v>
      </c>
      <c r="L1139" t="s">
        <v>2305</v>
      </c>
      <c r="M1139" t="s">
        <v>1409</v>
      </c>
      <c r="N1139" t="s">
        <v>1410</v>
      </c>
      <c r="O1139" t="s">
        <v>1423</v>
      </c>
      <c r="P1139" t="s">
        <v>1423</v>
      </c>
      <c r="Q1139" t="s">
        <v>1412</v>
      </c>
      <c r="S1139" s="1">
        <v>46043</v>
      </c>
      <c r="W1139" s="1">
        <v>23253</v>
      </c>
      <c r="X1139" t="s">
        <v>5716</v>
      </c>
      <c r="Y1139" t="s">
        <v>3042</v>
      </c>
      <c r="Z1139" t="s">
        <v>2743</v>
      </c>
      <c r="AA1139" t="s">
        <v>1415</v>
      </c>
      <c r="AB1139" t="s">
        <v>5717</v>
      </c>
      <c r="AC1139">
        <v>49991152501</v>
      </c>
    </row>
    <row r="1140" spans="1:29" x14ac:dyDescent="0.3">
      <c r="A1140" t="s">
        <v>1405</v>
      </c>
      <c r="B1140" t="s">
        <v>2302</v>
      </c>
      <c r="C1140" t="s">
        <v>5718</v>
      </c>
      <c r="D1140">
        <v>5930836108</v>
      </c>
      <c r="E1140">
        <v>1091077</v>
      </c>
      <c r="F1140">
        <v>1004015120</v>
      </c>
      <c r="G1140" s="1">
        <v>45455</v>
      </c>
      <c r="H1140" t="s">
        <v>1360</v>
      </c>
      <c r="I1140" t="s">
        <v>1349</v>
      </c>
      <c r="J1140" t="s">
        <v>1361</v>
      </c>
      <c r="K1140" t="s">
        <v>2308</v>
      </c>
      <c r="L1140" t="s">
        <v>2305</v>
      </c>
      <c r="M1140" t="s">
        <v>1646</v>
      </c>
      <c r="N1140" t="s">
        <v>1410</v>
      </c>
      <c r="O1140" t="s">
        <v>1462</v>
      </c>
      <c r="P1140" t="s">
        <v>1462</v>
      </c>
      <c r="Q1140" t="s">
        <v>1412</v>
      </c>
      <c r="S1140" s="1">
        <v>45849</v>
      </c>
      <c r="V1140" s="1">
        <v>45848</v>
      </c>
      <c r="W1140" s="1">
        <v>35929</v>
      </c>
      <c r="X1140" t="s">
        <v>5719</v>
      </c>
      <c r="Z1140" t="s">
        <v>5720</v>
      </c>
      <c r="AA1140" t="s">
        <v>1415</v>
      </c>
      <c r="AB1140" t="s">
        <v>5721</v>
      </c>
      <c r="AC1140">
        <v>63985036042</v>
      </c>
    </row>
    <row r="1141" spans="1:29" x14ac:dyDescent="0.3">
      <c r="A1141" t="s">
        <v>1405</v>
      </c>
      <c r="B1141" t="s">
        <v>2302</v>
      </c>
      <c r="C1141" t="s">
        <v>5722</v>
      </c>
      <c r="D1141">
        <v>4641063540</v>
      </c>
      <c r="E1141">
        <v>1175595713</v>
      </c>
      <c r="F1141">
        <v>1004011879</v>
      </c>
      <c r="G1141" s="1">
        <v>45040</v>
      </c>
      <c r="H1141" t="s">
        <v>1360</v>
      </c>
      <c r="I1141" t="s">
        <v>1349</v>
      </c>
      <c r="J1141" t="s">
        <v>2348</v>
      </c>
      <c r="K1141" t="s">
        <v>2308</v>
      </c>
      <c r="L1141" t="s">
        <v>2305</v>
      </c>
      <c r="M1141" t="s">
        <v>1409</v>
      </c>
      <c r="N1141" t="s">
        <v>1410</v>
      </c>
      <c r="O1141" t="s">
        <v>1423</v>
      </c>
      <c r="P1141" t="s">
        <v>1423</v>
      </c>
      <c r="Q1141" t="s">
        <v>1412</v>
      </c>
      <c r="S1141" s="1">
        <v>46057</v>
      </c>
      <c r="V1141" s="1">
        <v>46055</v>
      </c>
      <c r="W1141" s="1">
        <v>33091</v>
      </c>
      <c r="X1141" t="s">
        <v>5723</v>
      </c>
      <c r="Y1141" t="s">
        <v>5724</v>
      </c>
      <c r="Z1141" t="s">
        <v>2806</v>
      </c>
      <c r="AA1141" t="s">
        <v>1415</v>
      </c>
      <c r="AB1141" t="s">
        <v>5725</v>
      </c>
      <c r="AC1141">
        <v>73991915884</v>
      </c>
    </row>
    <row r="1142" spans="1:29" x14ac:dyDescent="0.3">
      <c r="A1142" t="s">
        <v>1405</v>
      </c>
      <c r="B1142" t="s">
        <v>2302</v>
      </c>
      <c r="C1142" t="s">
        <v>5726</v>
      </c>
      <c r="D1142">
        <v>60623547317</v>
      </c>
      <c r="E1142">
        <v>20076317859</v>
      </c>
      <c r="F1142">
        <v>1004012635</v>
      </c>
      <c r="G1142" s="1">
        <v>45149</v>
      </c>
      <c r="H1142" t="s">
        <v>1360</v>
      </c>
      <c r="I1142" t="s">
        <v>1374</v>
      </c>
      <c r="J1142" t="s">
        <v>1354</v>
      </c>
      <c r="K1142" t="s">
        <v>1361</v>
      </c>
      <c r="L1142" t="s">
        <v>2305</v>
      </c>
      <c r="M1142" t="s">
        <v>1409</v>
      </c>
      <c r="N1142" t="s">
        <v>1410</v>
      </c>
      <c r="O1142" t="s">
        <v>1411</v>
      </c>
      <c r="P1142" t="s">
        <v>1411</v>
      </c>
      <c r="Q1142" t="s">
        <v>1412</v>
      </c>
      <c r="S1142" s="1">
        <v>46043</v>
      </c>
      <c r="W1142" s="1">
        <v>35206</v>
      </c>
      <c r="X1142" t="s">
        <v>1869</v>
      </c>
      <c r="Z1142" t="s">
        <v>4374</v>
      </c>
      <c r="AA1142" t="s">
        <v>1419</v>
      </c>
      <c r="AB1142" t="s">
        <v>5727</v>
      </c>
      <c r="AC1142">
        <v>85998615251</v>
      </c>
    </row>
    <row r="1143" spans="1:29" x14ac:dyDescent="0.3">
      <c r="A1143" t="s">
        <v>1405</v>
      </c>
      <c r="B1143" t="s">
        <v>2302</v>
      </c>
      <c r="C1143" t="s">
        <v>5728</v>
      </c>
      <c r="D1143">
        <v>2358144231</v>
      </c>
      <c r="E1143">
        <v>8074539</v>
      </c>
      <c r="F1143">
        <v>1004017189</v>
      </c>
      <c r="G1143" s="1">
        <v>45735</v>
      </c>
      <c r="H1143" t="s">
        <v>1360</v>
      </c>
      <c r="I1143" t="s">
        <v>1349</v>
      </c>
      <c r="J1143" t="s">
        <v>1361</v>
      </c>
      <c r="K1143" t="s">
        <v>2308</v>
      </c>
      <c r="L1143" t="s">
        <v>2305</v>
      </c>
      <c r="M1143" t="s">
        <v>1409</v>
      </c>
      <c r="N1143" t="s">
        <v>1410</v>
      </c>
      <c r="O1143" t="s">
        <v>1423</v>
      </c>
      <c r="P1143" t="s">
        <v>1423</v>
      </c>
      <c r="Q1143" t="s">
        <v>1412</v>
      </c>
      <c r="S1143" s="1">
        <v>45783</v>
      </c>
      <c r="V1143" s="1">
        <v>45779</v>
      </c>
      <c r="W1143" s="1">
        <v>37018</v>
      </c>
      <c r="X1143" t="s">
        <v>3110</v>
      </c>
      <c r="Z1143" t="s">
        <v>5729</v>
      </c>
      <c r="AA1143" t="s">
        <v>1419</v>
      </c>
      <c r="AB1143" t="s">
        <v>5730</v>
      </c>
      <c r="AC1143">
        <v>94992766924</v>
      </c>
    </row>
    <row r="1144" spans="1:29" x14ac:dyDescent="0.3">
      <c r="A1144" t="s">
        <v>1405</v>
      </c>
      <c r="B1144" t="s">
        <v>2302</v>
      </c>
      <c r="C1144" t="s">
        <v>5731</v>
      </c>
      <c r="D1144">
        <v>86155083991</v>
      </c>
      <c r="E1144">
        <v>2174494</v>
      </c>
      <c r="F1144">
        <v>42004201950</v>
      </c>
      <c r="G1144" s="1">
        <v>42401</v>
      </c>
      <c r="H1144" t="s">
        <v>1360</v>
      </c>
      <c r="I1144" t="s">
        <v>1374</v>
      </c>
      <c r="J1144" t="s">
        <v>2308</v>
      </c>
      <c r="K1144" t="s">
        <v>2313</v>
      </c>
      <c r="L1144" t="s">
        <v>2305</v>
      </c>
      <c r="M1144" t="s">
        <v>1409</v>
      </c>
      <c r="N1144" t="s">
        <v>1410</v>
      </c>
      <c r="O1144" t="s">
        <v>1423</v>
      </c>
      <c r="P1144" t="s">
        <v>1423</v>
      </c>
      <c r="Q1144" t="s">
        <v>1412</v>
      </c>
      <c r="S1144" s="1">
        <v>46043</v>
      </c>
      <c r="W1144" s="1">
        <v>26049</v>
      </c>
      <c r="X1144" t="s">
        <v>1563</v>
      </c>
      <c r="Y1144" t="s">
        <v>1564</v>
      </c>
      <c r="Z1144" t="s">
        <v>2610</v>
      </c>
      <c r="AA1144" t="s">
        <v>1419</v>
      </c>
      <c r="AB1144" t="s">
        <v>5732</v>
      </c>
      <c r="AC1144">
        <v>47999124701</v>
      </c>
    </row>
    <row r="1145" spans="1:29" x14ac:dyDescent="0.3">
      <c r="A1145" t="s">
        <v>1405</v>
      </c>
      <c r="B1145" t="s">
        <v>2302</v>
      </c>
      <c r="C1145" t="s">
        <v>5733</v>
      </c>
      <c r="D1145">
        <v>5081663301</v>
      </c>
      <c r="E1145" s="3">
        <v>3252561</v>
      </c>
      <c r="F1145">
        <v>1004021943</v>
      </c>
      <c r="G1145" s="1">
        <v>46104</v>
      </c>
      <c r="H1145" t="s">
        <v>1360</v>
      </c>
      <c r="I1145" t="s">
        <v>1374</v>
      </c>
      <c r="J1145" t="s">
        <v>2308</v>
      </c>
      <c r="K1145" t="s">
        <v>2313</v>
      </c>
      <c r="L1145" t="s">
        <v>2305</v>
      </c>
      <c r="M1145" t="s">
        <v>1409</v>
      </c>
      <c r="N1145" t="s">
        <v>1410</v>
      </c>
      <c r="O1145" t="s">
        <v>1423</v>
      </c>
      <c r="P1145" t="s">
        <v>1423</v>
      </c>
      <c r="Q1145" t="s">
        <v>1412</v>
      </c>
      <c r="S1145" s="1">
        <v>46099</v>
      </c>
      <c r="W1145" s="1">
        <v>34301</v>
      </c>
      <c r="X1145" t="s">
        <v>1847</v>
      </c>
      <c r="Y1145" t="s">
        <v>5734</v>
      </c>
      <c r="AA1145" t="s">
        <v>1419</v>
      </c>
      <c r="AB1145" t="s">
        <v>5735</v>
      </c>
      <c r="AC1145">
        <v>89999929208</v>
      </c>
    </row>
    <row r="1146" spans="1:29" x14ac:dyDescent="0.3">
      <c r="A1146" t="s">
        <v>1405</v>
      </c>
      <c r="B1146" t="s">
        <v>2302</v>
      </c>
      <c r="C1146" t="s">
        <v>5733</v>
      </c>
      <c r="D1146">
        <v>5081663301</v>
      </c>
      <c r="E1146" s="3">
        <v>3252561</v>
      </c>
      <c r="F1146">
        <v>1004021945</v>
      </c>
      <c r="G1146" s="1">
        <v>46104</v>
      </c>
      <c r="H1146" t="s">
        <v>1360</v>
      </c>
      <c r="I1146" t="s">
        <v>1374</v>
      </c>
      <c r="J1146" t="s">
        <v>2308</v>
      </c>
      <c r="K1146" t="s">
        <v>2313</v>
      </c>
      <c r="L1146" t="s">
        <v>2305</v>
      </c>
      <c r="M1146" t="s">
        <v>1409</v>
      </c>
      <c r="N1146" t="s">
        <v>1410</v>
      </c>
      <c r="O1146" t="s">
        <v>1423</v>
      </c>
      <c r="P1146" t="s">
        <v>1423</v>
      </c>
      <c r="Q1146" t="s">
        <v>1412</v>
      </c>
      <c r="S1146" s="1">
        <v>46099</v>
      </c>
      <c r="W1146" s="1">
        <v>34301</v>
      </c>
      <c r="X1146" t="s">
        <v>1847</v>
      </c>
      <c r="Y1146" t="s">
        <v>5734</v>
      </c>
      <c r="Z1146" t="s">
        <v>3333</v>
      </c>
      <c r="AA1146" t="s">
        <v>1419</v>
      </c>
      <c r="AB1146" t="s">
        <v>5735</v>
      </c>
      <c r="AC1146">
        <v>89999929208</v>
      </c>
    </row>
    <row r="1147" spans="1:29" x14ac:dyDescent="0.3">
      <c r="A1147" t="s">
        <v>1405</v>
      </c>
      <c r="B1147" t="s">
        <v>2302</v>
      </c>
      <c r="C1147" t="s">
        <v>5736</v>
      </c>
      <c r="D1147">
        <v>93473290530</v>
      </c>
      <c r="E1147">
        <v>703187430</v>
      </c>
      <c r="F1147">
        <v>1004004357</v>
      </c>
      <c r="G1147" s="1">
        <v>43687</v>
      </c>
      <c r="H1147" t="s">
        <v>1360</v>
      </c>
      <c r="I1147" t="s">
        <v>1374</v>
      </c>
      <c r="J1147" t="s">
        <v>2308</v>
      </c>
      <c r="K1147" t="s">
        <v>2313</v>
      </c>
      <c r="L1147" t="s">
        <v>2305</v>
      </c>
      <c r="M1147" t="s">
        <v>1409</v>
      </c>
      <c r="N1147" t="s">
        <v>1410</v>
      </c>
      <c r="O1147" t="s">
        <v>1411</v>
      </c>
      <c r="P1147" t="s">
        <v>1411</v>
      </c>
      <c r="Q1147" t="s">
        <v>1412</v>
      </c>
      <c r="S1147" s="1">
        <v>46043</v>
      </c>
      <c r="W1147" s="1">
        <v>28434</v>
      </c>
      <c r="X1147" t="s">
        <v>2361</v>
      </c>
      <c r="Y1147" t="s">
        <v>2362</v>
      </c>
      <c r="Z1147" t="s">
        <v>2363</v>
      </c>
      <c r="AA1147" t="s">
        <v>1419</v>
      </c>
      <c r="AB1147" t="s">
        <v>5737</v>
      </c>
      <c r="AC1147">
        <v>7536230529</v>
      </c>
    </row>
    <row r="1148" spans="1:29" x14ac:dyDescent="0.3">
      <c r="A1148" t="s">
        <v>1405</v>
      </c>
      <c r="B1148" t="s">
        <v>2302</v>
      </c>
      <c r="C1148" t="s">
        <v>5738</v>
      </c>
      <c r="D1148">
        <v>11510981756</v>
      </c>
      <c r="E1148">
        <v>215937878</v>
      </c>
      <c r="F1148">
        <v>1004010538</v>
      </c>
      <c r="G1148" s="1">
        <v>44781</v>
      </c>
      <c r="H1148" t="s">
        <v>1360</v>
      </c>
      <c r="I1148" t="s">
        <v>1349</v>
      </c>
      <c r="J1148" t="s">
        <v>2572</v>
      </c>
      <c r="K1148" t="s">
        <v>2573</v>
      </c>
      <c r="L1148" t="s">
        <v>2305</v>
      </c>
      <c r="M1148" t="s">
        <v>1409</v>
      </c>
      <c r="N1148" t="s">
        <v>1410</v>
      </c>
      <c r="O1148" t="s">
        <v>1462</v>
      </c>
      <c r="P1148" t="s">
        <v>1462</v>
      </c>
      <c r="Q1148" t="s">
        <v>1412</v>
      </c>
      <c r="S1148" s="1">
        <v>45750</v>
      </c>
      <c r="V1148" s="1">
        <v>45749</v>
      </c>
      <c r="W1148" s="1">
        <v>31983</v>
      </c>
      <c r="X1148" t="s">
        <v>5739</v>
      </c>
      <c r="Y1148" t="s">
        <v>5740</v>
      </c>
      <c r="Z1148" t="s">
        <v>2926</v>
      </c>
      <c r="AA1148" t="s">
        <v>1419</v>
      </c>
      <c r="AB1148" t="s">
        <v>5741</v>
      </c>
      <c r="AC1148">
        <v>21987084409</v>
      </c>
    </row>
    <row r="1149" spans="1:29" x14ac:dyDescent="0.3">
      <c r="A1149" t="s">
        <v>1405</v>
      </c>
      <c r="B1149" t="s">
        <v>2302</v>
      </c>
      <c r="C1149" t="s">
        <v>5742</v>
      </c>
      <c r="D1149">
        <v>1914310284</v>
      </c>
      <c r="E1149">
        <v>6971988</v>
      </c>
      <c r="F1149">
        <v>1004002007</v>
      </c>
      <c r="G1149" s="1">
        <v>43225</v>
      </c>
      <c r="H1149" t="s">
        <v>1360</v>
      </c>
      <c r="I1149" t="s">
        <v>1374</v>
      </c>
      <c r="J1149" t="s">
        <v>2308</v>
      </c>
      <c r="K1149" t="s">
        <v>2313</v>
      </c>
      <c r="L1149" t="s">
        <v>2305</v>
      </c>
      <c r="M1149" t="s">
        <v>1409</v>
      </c>
      <c r="N1149" t="s">
        <v>1410</v>
      </c>
      <c r="O1149" t="s">
        <v>1423</v>
      </c>
      <c r="P1149" t="s">
        <v>1423</v>
      </c>
      <c r="Q1149" t="s">
        <v>1412</v>
      </c>
      <c r="S1149" s="1">
        <v>46043</v>
      </c>
      <c r="W1149" s="1">
        <v>34302</v>
      </c>
      <c r="X1149" t="s">
        <v>2288</v>
      </c>
      <c r="Y1149" t="s">
        <v>2553</v>
      </c>
      <c r="Z1149" t="s">
        <v>2532</v>
      </c>
      <c r="AA1149" t="s">
        <v>1419</v>
      </c>
      <c r="AB1149" t="s">
        <v>5743</v>
      </c>
      <c r="AC1149">
        <v>91992880849</v>
      </c>
    </row>
    <row r="1150" spans="1:29" x14ac:dyDescent="0.3">
      <c r="A1150" t="s">
        <v>1405</v>
      </c>
      <c r="B1150" t="s">
        <v>2302</v>
      </c>
      <c r="C1150" t="s">
        <v>5744</v>
      </c>
      <c r="D1150">
        <v>30214452840</v>
      </c>
      <c r="E1150">
        <v>336852708</v>
      </c>
      <c r="F1150">
        <v>1004017059</v>
      </c>
      <c r="G1150" s="1">
        <v>45728</v>
      </c>
      <c r="H1150" t="s">
        <v>1360</v>
      </c>
      <c r="I1150" t="s">
        <v>1374</v>
      </c>
      <c r="J1150" t="s">
        <v>1361</v>
      </c>
      <c r="K1150" t="s">
        <v>2308</v>
      </c>
      <c r="L1150" t="s">
        <v>2305</v>
      </c>
      <c r="M1150" t="s">
        <v>1409</v>
      </c>
      <c r="N1150" t="s">
        <v>1410</v>
      </c>
      <c r="O1150" t="s">
        <v>1423</v>
      </c>
      <c r="P1150" t="s">
        <v>1423</v>
      </c>
      <c r="Q1150" t="s">
        <v>1412</v>
      </c>
      <c r="S1150" s="1">
        <v>46043</v>
      </c>
      <c r="W1150" s="1">
        <v>29399</v>
      </c>
      <c r="X1150" t="s">
        <v>5745</v>
      </c>
      <c r="Z1150" t="s">
        <v>2837</v>
      </c>
      <c r="AA1150" t="s">
        <v>1419</v>
      </c>
      <c r="AB1150" t="s">
        <v>5746</v>
      </c>
      <c r="AC1150">
        <v>61998600092</v>
      </c>
    </row>
    <row r="1151" spans="1:29" x14ac:dyDescent="0.3">
      <c r="A1151" t="s">
        <v>1405</v>
      </c>
      <c r="B1151" t="s">
        <v>2302</v>
      </c>
      <c r="C1151" t="s">
        <v>5747</v>
      </c>
      <c r="D1151">
        <v>2857181930</v>
      </c>
      <c r="E1151">
        <v>33766495</v>
      </c>
      <c r="F1151">
        <v>1004001006</v>
      </c>
      <c r="G1151" s="1">
        <v>42997</v>
      </c>
      <c r="H1151" t="s">
        <v>1360</v>
      </c>
      <c r="I1151" t="s">
        <v>1374</v>
      </c>
      <c r="J1151" t="s">
        <v>2308</v>
      </c>
      <c r="K1151" t="s">
        <v>2313</v>
      </c>
      <c r="L1151" t="s">
        <v>2305</v>
      </c>
      <c r="M1151" t="s">
        <v>1409</v>
      </c>
      <c r="N1151" t="s">
        <v>1410</v>
      </c>
      <c r="O1151" t="s">
        <v>1423</v>
      </c>
      <c r="P1151" t="s">
        <v>1423</v>
      </c>
      <c r="Q1151" t="s">
        <v>1412</v>
      </c>
      <c r="S1151" s="1">
        <v>46043</v>
      </c>
      <c r="W1151" s="1">
        <v>29468</v>
      </c>
      <c r="X1151" t="s">
        <v>5748</v>
      </c>
      <c r="Z1151" t="s">
        <v>3085</v>
      </c>
      <c r="AA1151" t="s">
        <v>1415</v>
      </c>
      <c r="AB1151" t="s">
        <v>5749</v>
      </c>
      <c r="AC1151">
        <v>48984847144</v>
      </c>
    </row>
    <row r="1152" spans="1:29" x14ac:dyDescent="0.3">
      <c r="A1152" t="s">
        <v>1405</v>
      </c>
      <c r="B1152" t="s">
        <v>2302</v>
      </c>
      <c r="C1152" t="s">
        <v>5750</v>
      </c>
      <c r="D1152">
        <v>82908141191</v>
      </c>
      <c r="E1152">
        <v>1703066</v>
      </c>
      <c r="F1152">
        <v>1004002956</v>
      </c>
      <c r="G1152" s="1">
        <v>43516</v>
      </c>
      <c r="H1152" t="s">
        <v>1360</v>
      </c>
      <c r="I1152" t="s">
        <v>1374</v>
      </c>
      <c r="J1152" t="s">
        <v>2308</v>
      </c>
      <c r="K1152" t="s">
        <v>2313</v>
      </c>
      <c r="L1152" t="s">
        <v>2305</v>
      </c>
      <c r="M1152" t="s">
        <v>1421</v>
      </c>
      <c r="N1152" t="s">
        <v>1422</v>
      </c>
      <c r="O1152" t="s">
        <v>1462</v>
      </c>
      <c r="P1152" t="s">
        <v>1462</v>
      </c>
      <c r="Q1152" t="s">
        <v>1593</v>
      </c>
      <c r="R1152" t="s">
        <v>2417</v>
      </c>
      <c r="S1152" s="1">
        <v>46069</v>
      </c>
      <c r="W1152" s="1">
        <v>27646</v>
      </c>
      <c r="X1152" t="s">
        <v>1617</v>
      </c>
      <c r="Z1152" t="s">
        <v>5751</v>
      </c>
      <c r="AA1152" t="s">
        <v>1415</v>
      </c>
      <c r="AB1152" t="s">
        <v>5752</v>
      </c>
      <c r="AC1152">
        <v>61999483552</v>
      </c>
    </row>
    <row r="1153" spans="1:29" x14ac:dyDescent="0.3">
      <c r="A1153" t="s">
        <v>1405</v>
      </c>
      <c r="B1153" t="s">
        <v>2302</v>
      </c>
      <c r="C1153" t="s">
        <v>5753</v>
      </c>
      <c r="D1153">
        <v>31722296291</v>
      </c>
      <c r="E1153">
        <v>8567000</v>
      </c>
      <c r="F1153">
        <v>1004007011</v>
      </c>
      <c r="G1153" s="1">
        <v>44106</v>
      </c>
      <c r="H1153" t="s">
        <v>1360</v>
      </c>
      <c r="I1153" t="s">
        <v>1349</v>
      </c>
      <c r="J1153" t="s">
        <v>2308</v>
      </c>
      <c r="K1153" t="s">
        <v>2313</v>
      </c>
      <c r="L1153" t="s">
        <v>2305</v>
      </c>
      <c r="M1153" t="s">
        <v>1409</v>
      </c>
      <c r="N1153" t="s">
        <v>1410</v>
      </c>
      <c r="O1153" t="s">
        <v>1411</v>
      </c>
      <c r="P1153" t="s">
        <v>1411</v>
      </c>
      <c r="Q1153" t="s">
        <v>1412</v>
      </c>
      <c r="S1153" s="1">
        <v>46059</v>
      </c>
      <c r="T1153" s="1">
        <v>45589</v>
      </c>
      <c r="V1153" s="1">
        <v>46055</v>
      </c>
      <c r="W1153" s="1">
        <v>25170</v>
      </c>
      <c r="X1153" t="s">
        <v>1950</v>
      </c>
      <c r="Y1153" t="s">
        <v>2000</v>
      </c>
      <c r="Z1153" t="s">
        <v>5754</v>
      </c>
      <c r="AA1153" t="s">
        <v>1419</v>
      </c>
      <c r="AB1153" t="s">
        <v>5755</v>
      </c>
      <c r="AC1153">
        <v>92991967928</v>
      </c>
    </row>
    <row r="1154" spans="1:29" x14ac:dyDescent="0.3">
      <c r="A1154" t="s">
        <v>1405</v>
      </c>
      <c r="B1154" t="s">
        <v>2302</v>
      </c>
      <c r="C1154" t="s">
        <v>5756</v>
      </c>
      <c r="D1154">
        <v>83877290</v>
      </c>
      <c r="E1154">
        <v>20717482</v>
      </c>
      <c r="F1154">
        <v>1004018106</v>
      </c>
      <c r="G1154" s="1">
        <v>45791</v>
      </c>
      <c r="H1154" t="s">
        <v>1360</v>
      </c>
      <c r="I1154" t="s">
        <v>1374</v>
      </c>
      <c r="J1154" t="s">
        <v>2348</v>
      </c>
      <c r="K1154" t="s">
        <v>2308</v>
      </c>
      <c r="L1154" t="s">
        <v>2305</v>
      </c>
      <c r="M1154" t="s">
        <v>1409</v>
      </c>
      <c r="N1154" t="s">
        <v>1410</v>
      </c>
      <c r="O1154" t="s">
        <v>1411</v>
      </c>
      <c r="P1154" t="s">
        <v>1411</v>
      </c>
      <c r="Q1154" t="s">
        <v>1412</v>
      </c>
      <c r="S1154" s="1">
        <v>46043</v>
      </c>
      <c r="W1154" s="1">
        <v>32273</v>
      </c>
      <c r="X1154" t="s">
        <v>1825</v>
      </c>
      <c r="Y1154" t="s">
        <v>1920</v>
      </c>
      <c r="Z1154" t="s">
        <v>4266</v>
      </c>
      <c r="AA1154" t="s">
        <v>1415</v>
      </c>
      <c r="AB1154" t="s">
        <v>5757</v>
      </c>
      <c r="AC1154">
        <v>92991296270</v>
      </c>
    </row>
    <row r="1155" spans="1:29" x14ac:dyDescent="0.3">
      <c r="A1155" t="s">
        <v>1405</v>
      </c>
      <c r="B1155" t="s">
        <v>2302</v>
      </c>
      <c r="C1155" t="s">
        <v>5758</v>
      </c>
      <c r="D1155">
        <v>3614857433</v>
      </c>
      <c r="E1155">
        <v>5978264</v>
      </c>
      <c r="F1155">
        <v>1004005530</v>
      </c>
      <c r="G1155" s="1">
        <v>43895</v>
      </c>
      <c r="H1155" t="s">
        <v>1360</v>
      </c>
      <c r="I1155" t="s">
        <v>1374</v>
      </c>
      <c r="J1155" t="s">
        <v>2308</v>
      </c>
      <c r="K1155" t="s">
        <v>2313</v>
      </c>
      <c r="L1155" t="s">
        <v>2305</v>
      </c>
      <c r="M1155" t="s">
        <v>1409</v>
      </c>
      <c r="N1155" t="s">
        <v>1410</v>
      </c>
      <c r="O1155" t="s">
        <v>1411</v>
      </c>
      <c r="P1155" t="s">
        <v>1411</v>
      </c>
      <c r="Q1155" t="s">
        <v>1412</v>
      </c>
      <c r="S1155" s="1">
        <v>46043</v>
      </c>
      <c r="W1155" s="1">
        <v>29736</v>
      </c>
      <c r="X1155" t="s">
        <v>1811</v>
      </c>
      <c r="Y1155" t="s">
        <v>3574</v>
      </c>
      <c r="Z1155" t="s">
        <v>3575</v>
      </c>
      <c r="AA1155" t="s">
        <v>1419</v>
      </c>
      <c r="AB1155" t="s">
        <v>5759</v>
      </c>
      <c r="AC1155">
        <v>81997736182</v>
      </c>
    </row>
    <row r="1156" spans="1:29" x14ac:dyDescent="0.3">
      <c r="A1156" t="s">
        <v>1405</v>
      </c>
      <c r="B1156" t="s">
        <v>2302</v>
      </c>
      <c r="C1156" t="s">
        <v>5760</v>
      </c>
      <c r="D1156">
        <v>7935656428</v>
      </c>
      <c r="E1156">
        <v>320888108</v>
      </c>
      <c r="F1156">
        <v>1004010431</v>
      </c>
      <c r="G1156" s="1">
        <v>44764</v>
      </c>
      <c r="H1156" t="s">
        <v>1360</v>
      </c>
      <c r="I1156" t="s">
        <v>1374</v>
      </c>
      <c r="J1156" t="s">
        <v>2348</v>
      </c>
      <c r="K1156" t="s">
        <v>2308</v>
      </c>
      <c r="L1156" t="s">
        <v>2305</v>
      </c>
      <c r="M1156" t="s">
        <v>1442</v>
      </c>
      <c r="N1156" t="s">
        <v>1443</v>
      </c>
      <c r="O1156" t="s">
        <v>1423</v>
      </c>
      <c r="P1156" t="s">
        <v>1423</v>
      </c>
      <c r="Q1156" t="s">
        <v>1412</v>
      </c>
      <c r="S1156" s="1">
        <v>46069</v>
      </c>
      <c r="W1156" s="1">
        <v>33049</v>
      </c>
      <c r="X1156" t="s">
        <v>4330</v>
      </c>
      <c r="Y1156" t="s">
        <v>4331</v>
      </c>
      <c r="Z1156" t="s">
        <v>5761</v>
      </c>
      <c r="AA1156" t="s">
        <v>1415</v>
      </c>
      <c r="AB1156" t="s">
        <v>5762</v>
      </c>
      <c r="AC1156">
        <v>82996652540</v>
      </c>
    </row>
    <row r="1157" spans="1:29" x14ac:dyDescent="0.3">
      <c r="A1157" t="s">
        <v>1405</v>
      </c>
      <c r="B1157" t="s">
        <v>2302</v>
      </c>
      <c r="C1157" t="s">
        <v>5763</v>
      </c>
      <c r="D1157">
        <v>14899286775</v>
      </c>
      <c r="E1157">
        <v>14899286775</v>
      </c>
      <c r="F1157">
        <v>1004019567</v>
      </c>
      <c r="G1157" s="1">
        <v>45901</v>
      </c>
      <c r="H1157" t="s">
        <v>1360</v>
      </c>
      <c r="I1157" t="s">
        <v>1374</v>
      </c>
      <c r="J1157" t="s">
        <v>1361</v>
      </c>
      <c r="K1157" t="s">
        <v>2308</v>
      </c>
      <c r="L1157" t="s">
        <v>2305</v>
      </c>
      <c r="M1157" t="s">
        <v>1409</v>
      </c>
      <c r="N1157" t="s">
        <v>1410</v>
      </c>
      <c r="O1157" t="s">
        <v>1462</v>
      </c>
      <c r="P1157" t="s">
        <v>1462</v>
      </c>
      <c r="Q1157" t="s">
        <v>1412</v>
      </c>
      <c r="S1157" s="1">
        <v>46069</v>
      </c>
      <c r="W1157" s="1">
        <v>34208</v>
      </c>
      <c r="X1157" t="s">
        <v>1458</v>
      </c>
      <c r="Y1157" t="s">
        <v>2171</v>
      </c>
      <c r="Z1157" t="s">
        <v>2306</v>
      </c>
      <c r="AA1157" t="s">
        <v>1415</v>
      </c>
      <c r="AB1157" t="s">
        <v>5764</v>
      </c>
      <c r="AC1157">
        <v>21981088605</v>
      </c>
    </row>
    <row r="1158" spans="1:29" x14ac:dyDescent="0.3">
      <c r="A1158" t="s">
        <v>1405</v>
      </c>
      <c r="B1158" t="s">
        <v>2302</v>
      </c>
      <c r="C1158" t="s">
        <v>5765</v>
      </c>
      <c r="D1158">
        <v>5671101174</v>
      </c>
      <c r="E1158">
        <v>2032221</v>
      </c>
      <c r="F1158">
        <v>1004014403</v>
      </c>
      <c r="G1158" s="1">
        <v>45372</v>
      </c>
      <c r="H1158" t="s">
        <v>1360</v>
      </c>
      <c r="I1158" t="s">
        <v>1374</v>
      </c>
      <c r="J1158" t="s">
        <v>1361</v>
      </c>
      <c r="K1158" t="s">
        <v>2308</v>
      </c>
      <c r="L1158" t="s">
        <v>2305</v>
      </c>
      <c r="M1158" t="s">
        <v>1409</v>
      </c>
      <c r="N1158" t="s">
        <v>1410</v>
      </c>
      <c r="O1158" t="s">
        <v>1411</v>
      </c>
      <c r="P1158" t="s">
        <v>1411</v>
      </c>
      <c r="Q1158" t="s">
        <v>1412</v>
      </c>
      <c r="S1158" s="1">
        <v>46069</v>
      </c>
      <c r="W1158" s="1">
        <v>35345</v>
      </c>
      <c r="X1158" t="s">
        <v>2509</v>
      </c>
      <c r="Y1158" t="s">
        <v>2557</v>
      </c>
      <c r="Z1158" t="s">
        <v>2306</v>
      </c>
      <c r="AA1158" t="s">
        <v>1415</v>
      </c>
      <c r="AB1158" t="s">
        <v>5766</v>
      </c>
      <c r="AC1158">
        <v>67996393219</v>
      </c>
    </row>
    <row r="1159" spans="1:29" x14ac:dyDescent="0.3">
      <c r="A1159" t="s">
        <v>1405</v>
      </c>
      <c r="B1159" t="s">
        <v>2302</v>
      </c>
      <c r="C1159" t="s">
        <v>5767</v>
      </c>
      <c r="D1159">
        <v>932106390</v>
      </c>
      <c r="E1159">
        <v>155847020001</v>
      </c>
      <c r="F1159">
        <v>1004011403</v>
      </c>
      <c r="G1159" s="1">
        <v>44987</v>
      </c>
      <c r="H1159" t="s">
        <v>1360</v>
      </c>
      <c r="I1159" t="s">
        <v>1349</v>
      </c>
      <c r="J1159" t="s">
        <v>1361</v>
      </c>
      <c r="K1159" t="s">
        <v>2308</v>
      </c>
      <c r="L1159" t="s">
        <v>2305</v>
      </c>
      <c r="M1159" t="s">
        <v>1409</v>
      </c>
      <c r="N1159" t="s">
        <v>1410</v>
      </c>
      <c r="O1159" t="s">
        <v>1423</v>
      </c>
      <c r="P1159" t="s">
        <v>1423</v>
      </c>
      <c r="Q1159" t="s">
        <v>1412</v>
      </c>
      <c r="S1159" s="1">
        <v>45855</v>
      </c>
      <c r="V1159" s="1">
        <v>45854</v>
      </c>
      <c r="W1159" s="1">
        <v>31554</v>
      </c>
      <c r="X1159" t="s">
        <v>4059</v>
      </c>
      <c r="Y1159" t="s">
        <v>4060</v>
      </c>
      <c r="Z1159" t="s">
        <v>3637</v>
      </c>
      <c r="AA1159" t="s">
        <v>1419</v>
      </c>
      <c r="AB1159" t="s">
        <v>5768</v>
      </c>
      <c r="AC1159">
        <v>99992178302</v>
      </c>
    </row>
    <row r="1160" spans="1:29" x14ac:dyDescent="0.3">
      <c r="A1160" t="s">
        <v>1405</v>
      </c>
      <c r="B1160" t="s">
        <v>2302</v>
      </c>
      <c r="C1160" t="s">
        <v>5769</v>
      </c>
      <c r="D1160">
        <v>3677454530</v>
      </c>
      <c r="E1160">
        <v>23284781</v>
      </c>
      <c r="F1160">
        <v>1004005897</v>
      </c>
      <c r="G1160" s="1">
        <v>43924</v>
      </c>
      <c r="H1160" t="s">
        <v>1360</v>
      </c>
      <c r="I1160" t="s">
        <v>1374</v>
      </c>
      <c r="J1160" t="s">
        <v>2308</v>
      </c>
      <c r="K1160" t="s">
        <v>2313</v>
      </c>
      <c r="L1160" t="s">
        <v>2305</v>
      </c>
      <c r="M1160" t="s">
        <v>1409</v>
      </c>
      <c r="N1160" t="s">
        <v>1410</v>
      </c>
      <c r="O1160" t="s">
        <v>1411</v>
      </c>
      <c r="P1160" t="s">
        <v>1411</v>
      </c>
      <c r="Q1160" t="s">
        <v>1412</v>
      </c>
      <c r="S1160" s="1">
        <v>46043</v>
      </c>
      <c r="W1160" s="1">
        <v>32826</v>
      </c>
      <c r="X1160" t="s">
        <v>5770</v>
      </c>
      <c r="Y1160" t="s">
        <v>5771</v>
      </c>
      <c r="Z1160" t="s">
        <v>3319</v>
      </c>
      <c r="AA1160" t="s">
        <v>1415</v>
      </c>
      <c r="AB1160" t="s">
        <v>5772</v>
      </c>
      <c r="AC1160">
        <v>79999983975</v>
      </c>
    </row>
    <row r="1161" spans="1:29" x14ac:dyDescent="0.3">
      <c r="A1161" t="s">
        <v>1405</v>
      </c>
      <c r="B1161" t="s">
        <v>2302</v>
      </c>
      <c r="C1161" t="s">
        <v>5773</v>
      </c>
      <c r="D1161">
        <v>1591453763</v>
      </c>
      <c r="E1161">
        <v>80194335</v>
      </c>
      <c r="F1161">
        <v>1004009346</v>
      </c>
      <c r="G1161" s="1">
        <v>44620</v>
      </c>
      <c r="H1161" t="s">
        <v>1360</v>
      </c>
      <c r="I1161" t="s">
        <v>1374</v>
      </c>
      <c r="J1161" t="s">
        <v>1361</v>
      </c>
      <c r="K1161" t="s">
        <v>2308</v>
      </c>
      <c r="L1161" t="s">
        <v>2305</v>
      </c>
      <c r="M1161" t="s">
        <v>1447</v>
      </c>
      <c r="N1161" t="s">
        <v>1448</v>
      </c>
      <c r="O1161" t="s">
        <v>1411</v>
      </c>
      <c r="P1161" t="s">
        <v>1411</v>
      </c>
      <c r="Q1161" t="s">
        <v>1412</v>
      </c>
      <c r="S1161" s="1">
        <v>46043</v>
      </c>
      <c r="W1161" s="1">
        <v>25929</v>
      </c>
      <c r="X1161" t="s">
        <v>2412</v>
      </c>
      <c r="Y1161" t="s">
        <v>2033</v>
      </c>
      <c r="Z1161" t="s">
        <v>5234</v>
      </c>
      <c r="AA1161" t="s">
        <v>1415</v>
      </c>
      <c r="AB1161" t="s">
        <v>1063</v>
      </c>
      <c r="AC1161">
        <v>21996750870</v>
      </c>
    </row>
    <row r="1162" spans="1:29" x14ac:dyDescent="0.3">
      <c r="A1162" t="s">
        <v>1405</v>
      </c>
      <c r="B1162" t="s">
        <v>2302</v>
      </c>
      <c r="C1162" t="s">
        <v>5774</v>
      </c>
      <c r="D1162">
        <v>5524400940</v>
      </c>
      <c r="E1162" t="s">
        <v>5775</v>
      </c>
      <c r="F1162">
        <v>1004013711</v>
      </c>
      <c r="G1162" s="1">
        <v>45341</v>
      </c>
      <c r="H1162" t="s">
        <v>1360</v>
      </c>
      <c r="I1162" t="s">
        <v>1374</v>
      </c>
      <c r="J1162" t="s">
        <v>1361</v>
      </c>
      <c r="K1162" t="s">
        <v>2308</v>
      </c>
      <c r="L1162" t="s">
        <v>2305</v>
      </c>
      <c r="M1162" t="s">
        <v>1447</v>
      </c>
      <c r="N1162" t="s">
        <v>1448</v>
      </c>
      <c r="O1162" t="s">
        <v>1411</v>
      </c>
      <c r="P1162" t="s">
        <v>1411</v>
      </c>
      <c r="Q1162" t="s">
        <v>1412</v>
      </c>
      <c r="S1162" s="1">
        <v>46043</v>
      </c>
      <c r="W1162" s="1">
        <v>32573</v>
      </c>
      <c r="X1162" t="s">
        <v>3570</v>
      </c>
      <c r="Y1162" t="s">
        <v>3571</v>
      </c>
      <c r="Z1162" t="s">
        <v>2754</v>
      </c>
      <c r="AA1162" t="s">
        <v>1415</v>
      </c>
      <c r="AB1162" t="s">
        <v>5776</v>
      </c>
      <c r="AC1162">
        <v>47992487100</v>
      </c>
    </row>
    <row r="1163" spans="1:29" x14ac:dyDescent="0.3">
      <c r="A1163" t="s">
        <v>1405</v>
      </c>
      <c r="B1163" t="s">
        <v>2302</v>
      </c>
      <c r="C1163" t="s">
        <v>5777</v>
      </c>
      <c r="D1163">
        <v>5379064957</v>
      </c>
      <c r="E1163">
        <v>4831731</v>
      </c>
      <c r="F1163">
        <v>1004010003</v>
      </c>
      <c r="G1163" s="1">
        <v>44698</v>
      </c>
      <c r="H1163" t="s">
        <v>1360</v>
      </c>
      <c r="I1163" t="s">
        <v>1374</v>
      </c>
      <c r="J1163" t="s">
        <v>1361</v>
      </c>
      <c r="K1163" t="s">
        <v>2308</v>
      </c>
      <c r="L1163" t="s">
        <v>2305</v>
      </c>
      <c r="M1163" t="s">
        <v>1409</v>
      </c>
      <c r="N1163" t="s">
        <v>1410</v>
      </c>
      <c r="O1163" t="s">
        <v>1423</v>
      </c>
      <c r="P1163" t="s">
        <v>1423</v>
      </c>
      <c r="Q1163" t="s">
        <v>1412</v>
      </c>
      <c r="S1163" s="1">
        <v>46043</v>
      </c>
      <c r="W1163" s="1">
        <v>31654</v>
      </c>
      <c r="X1163" t="s">
        <v>1563</v>
      </c>
      <c r="Y1163" t="s">
        <v>1564</v>
      </c>
      <c r="Z1163" t="s">
        <v>2610</v>
      </c>
      <c r="AA1163" t="s">
        <v>1415</v>
      </c>
      <c r="AB1163" t="s">
        <v>5778</v>
      </c>
      <c r="AC1163">
        <v>47991099609</v>
      </c>
    </row>
    <row r="1164" spans="1:29" x14ac:dyDescent="0.3">
      <c r="A1164" t="s">
        <v>1405</v>
      </c>
      <c r="B1164" t="s">
        <v>2302</v>
      </c>
      <c r="C1164" t="s">
        <v>5779</v>
      </c>
      <c r="D1164">
        <v>35173070846</v>
      </c>
      <c r="E1164">
        <v>451507253</v>
      </c>
      <c r="F1164">
        <v>1004016968</v>
      </c>
      <c r="G1164" s="1">
        <v>45721</v>
      </c>
      <c r="H1164" t="s">
        <v>1360</v>
      </c>
      <c r="I1164" t="s">
        <v>1374</v>
      </c>
      <c r="J1164" t="s">
        <v>1361</v>
      </c>
      <c r="K1164" t="s">
        <v>2308</v>
      </c>
      <c r="L1164" t="s">
        <v>2305</v>
      </c>
      <c r="M1164" t="s">
        <v>1409</v>
      </c>
      <c r="N1164" t="s">
        <v>1410</v>
      </c>
      <c r="O1164" t="s">
        <v>1411</v>
      </c>
      <c r="P1164" t="s">
        <v>1423</v>
      </c>
      <c r="Q1164" t="s">
        <v>1412</v>
      </c>
      <c r="S1164" s="1">
        <v>46043</v>
      </c>
      <c r="W1164" s="1">
        <v>33464</v>
      </c>
      <c r="X1164" t="s">
        <v>5780</v>
      </c>
      <c r="Y1164" t="s">
        <v>5781</v>
      </c>
      <c r="Z1164" t="s">
        <v>3189</v>
      </c>
      <c r="AA1164" t="s">
        <v>1415</v>
      </c>
      <c r="AB1164" t="s">
        <v>5782</v>
      </c>
      <c r="AC1164">
        <v>4799423133</v>
      </c>
    </row>
    <row r="1165" spans="1:29" x14ac:dyDescent="0.3">
      <c r="A1165" t="s">
        <v>1405</v>
      </c>
      <c r="B1165" t="s">
        <v>2302</v>
      </c>
      <c r="C1165" t="s">
        <v>5783</v>
      </c>
      <c r="D1165">
        <v>73334561100</v>
      </c>
      <c r="E1165">
        <v>16432690</v>
      </c>
      <c r="F1165">
        <v>1004013838</v>
      </c>
      <c r="G1165" s="1">
        <v>45344</v>
      </c>
      <c r="H1165" t="s">
        <v>1360</v>
      </c>
      <c r="I1165" t="s">
        <v>1349</v>
      </c>
      <c r="J1165" t="s">
        <v>1361</v>
      </c>
      <c r="K1165" t="s">
        <v>2308</v>
      </c>
      <c r="L1165" t="s">
        <v>2305</v>
      </c>
      <c r="M1165" t="s">
        <v>1409</v>
      </c>
      <c r="N1165" t="s">
        <v>1410</v>
      </c>
      <c r="O1165" t="s">
        <v>1411</v>
      </c>
      <c r="P1165" t="s">
        <v>1411</v>
      </c>
      <c r="Q1165" t="s">
        <v>1412</v>
      </c>
      <c r="S1165" s="1">
        <v>45862</v>
      </c>
      <c r="V1165" s="1">
        <v>45860</v>
      </c>
      <c r="W1165" s="1">
        <v>32096</v>
      </c>
      <c r="X1165" t="s">
        <v>2229</v>
      </c>
      <c r="Y1165" t="s">
        <v>5784</v>
      </c>
      <c r="Z1165" t="s">
        <v>3352</v>
      </c>
      <c r="AA1165" t="s">
        <v>1415</v>
      </c>
      <c r="AB1165" t="s">
        <v>5785</v>
      </c>
      <c r="AC1165">
        <v>65992599853</v>
      </c>
    </row>
    <row r="1166" spans="1:29" x14ac:dyDescent="0.3">
      <c r="A1166" t="s">
        <v>1405</v>
      </c>
      <c r="B1166" t="s">
        <v>2302</v>
      </c>
      <c r="C1166" t="s">
        <v>5786</v>
      </c>
      <c r="D1166">
        <v>21959986287</v>
      </c>
      <c r="E1166">
        <v>2255344</v>
      </c>
      <c r="F1166">
        <v>1004004401</v>
      </c>
      <c r="G1166" s="1">
        <v>43691</v>
      </c>
      <c r="H1166" t="s">
        <v>1360</v>
      </c>
      <c r="I1166" t="s">
        <v>1374</v>
      </c>
      <c r="J1166" t="s">
        <v>2308</v>
      </c>
      <c r="K1166" t="s">
        <v>2313</v>
      </c>
      <c r="L1166" t="s">
        <v>2305</v>
      </c>
      <c r="M1166" t="s">
        <v>1409</v>
      </c>
      <c r="N1166" t="s">
        <v>1410</v>
      </c>
      <c r="O1166" t="s">
        <v>1423</v>
      </c>
      <c r="P1166" t="s">
        <v>1423</v>
      </c>
      <c r="Q1166" t="s">
        <v>1412</v>
      </c>
      <c r="S1166" s="1">
        <v>46043</v>
      </c>
      <c r="W1166" s="1">
        <v>25150</v>
      </c>
      <c r="X1166" t="s">
        <v>1492</v>
      </c>
      <c r="Y1166" t="s">
        <v>2058</v>
      </c>
      <c r="Z1166" t="s">
        <v>2397</v>
      </c>
      <c r="AA1166" t="s">
        <v>1415</v>
      </c>
      <c r="AB1166" t="s">
        <v>5787</v>
      </c>
      <c r="AC1166">
        <v>91988040277</v>
      </c>
    </row>
    <row r="1167" spans="1:29" x14ac:dyDescent="0.3">
      <c r="A1167" t="s">
        <v>1405</v>
      </c>
      <c r="B1167" t="s">
        <v>2302</v>
      </c>
      <c r="C1167" t="s">
        <v>5788</v>
      </c>
      <c r="D1167">
        <v>39882080510</v>
      </c>
      <c r="E1167">
        <v>244474125</v>
      </c>
      <c r="F1167">
        <v>42004202517</v>
      </c>
      <c r="G1167" s="1">
        <v>42583</v>
      </c>
      <c r="H1167" t="s">
        <v>1360</v>
      </c>
      <c r="I1167" t="s">
        <v>1349</v>
      </c>
      <c r="J1167" t="s">
        <v>2308</v>
      </c>
      <c r="K1167" t="s">
        <v>2313</v>
      </c>
      <c r="L1167" t="s">
        <v>2305</v>
      </c>
      <c r="M1167" t="s">
        <v>1409</v>
      </c>
      <c r="N1167" t="s">
        <v>1410</v>
      </c>
      <c r="O1167" t="s">
        <v>1411</v>
      </c>
      <c r="P1167" t="s">
        <v>1411</v>
      </c>
      <c r="Q1167" t="s">
        <v>1412</v>
      </c>
      <c r="S1167" s="1">
        <v>46057</v>
      </c>
      <c r="V1167" s="1">
        <v>46055</v>
      </c>
      <c r="W1167" s="1">
        <v>24586</v>
      </c>
      <c r="X1167" t="s">
        <v>5789</v>
      </c>
      <c r="Y1167" t="s">
        <v>2362</v>
      </c>
      <c r="Z1167" t="s">
        <v>2363</v>
      </c>
      <c r="AA1167" t="s">
        <v>1419</v>
      </c>
      <c r="AB1167" t="s">
        <v>5790</v>
      </c>
      <c r="AC1167">
        <v>75983622992</v>
      </c>
    </row>
    <row r="1168" spans="1:29" x14ac:dyDescent="0.3">
      <c r="A1168" t="s">
        <v>1405</v>
      </c>
      <c r="B1168" t="s">
        <v>2302</v>
      </c>
      <c r="C1168" t="s">
        <v>5791</v>
      </c>
      <c r="D1168">
        <v>1979747326</v>
      </c>
      <c r="E1168" s="3">
        <v>200601402326</v>
      </c>
      <c r="F1168">
        <v>1004013888</v>
      </c>
      <c r="G1168" s="1">
        <v>45342</v>
      </c>
      <c r="H1168" t="s">
        <v>1360</v>
      </c>
      <c r="I1168" t="s">
        <v>1349</v>
      </c>
      <c r="J1168" t="s">
        <v>2348</v>
      </c>
      <c r="K1168" t="s">
        <v>2308</v>
      </c>
      <c r="L1168" t="s">
        <v>2305</v>
      </c>
      <c r="M1168" t="s">
        <v>1409</v>
      </c>
      <c r="N1168" t="s">
        <v>1410</v>
      </c>
      <c r="O1168" t="s">
        <v>1411</v>
      </c>
      <c r="P1168" t="s">
        <v>1411</v>
      </c>
      <c r="Q1168" t="s">
        <v>1412</v>
      </c>
      <c r="S1168" s="1">
        <v>45855</v>
      </c>
      <c r="V1168" s="1">
        <v>45854</v>
      </c>
      <c r="W1168" s="1">
        <v>34295</v>
      </c>
      <c r="X1168" t="s">
        <v>1561</v>
      </c>
      <c r="Y1168" t="s">
        <v>3509</v>
      </c>
      <c r="Z1168" t="s">
        <v>2393</v>
      </c>
      <c r="AA1168" t="s">
        <v>1419</v>
      </c>
      <c r="AB1168" t="s">
        <v>5792</v>
      </c>
      <c r="AC1168">
        <v>85996425781</v>
      </c>
    </row>
    <row r="1169" spans="1:29" x14ac:dyDescent="0.3">
      <c r="A1169" t="s">
        <v>1405</v>
      </c>
      <c r="B1169" t="s">
        <v>2302</v>
      </c>
      <c r="C1169" t="s">
        <v>5793</v>
      </c>
      <c r="D1169">
        <v>1532419180</v>
      </c>
      <c r="E1169">
        <v>4845345</v>
      </c>
      <c r="F1169">
        <v>1004015904</v>
      </c>
      <c r="G1169" s="1">
        <v>45567</v>
      </c>
      <c r="H1169" t="s">
        <v>1360</v>
      </c>
      <c r="I1169" t="s">
        <v>1349</v>
      </c>
      <c r="J1169" t="s">
        <v>2348</v>
      </c>
      <c r="K1169" t="s">
        <v>2308</v>
      </c>
      <c r="L1169" t="s">
        <v>2305</v>
      </c>
      <c r="M1169" t="s">
        <v>1421</v>
      </c>
      <c r="N1169" t="s">
        <v>1422</v>
      </c>
      <c r="O1169" t="s">
        <v>1423</v>
      </c>
      <c r="P1169" t="s">
        <v>1423</v>
      </c>
      <c r="Q1169" t="s">
        <v>1412</v>
      </c>
      <c r="S1169" s="1">
        <v>45733</v>
      </c>
      <c r="V1169" s="1">
        <v>45735</v>
      </c>
      <c r="W1169" s="1">
        <v>34895</v>
      </c>
      <c r="X1169" t="s">
        <v>1424</v>
      </c>
      <c r="Z1169" t="s">
        <v>3206</v>
      </c>
      <c r="AA1169" t="s">
        <v>1415</v>
      </c>
      <c r="AB1169" t="s">
        <v>5794</v>
      </c>
      <c r="AC1169">
        <v>66999631185</v>
      </c>
    </row>
    <row r="1170" spans="1:29" x14ac:dyDescent="0.3">
      <c r="A1170" t="s">
        <v>1405</v>
      </c>
      <c r="B1170" t="s">
        <v>2302</v>
      </c>
      <c r="C1170" t="s">
        <v>5795</v>
      </c>
      <c r="D1170">
        <v>60617439397</v>
      </c>
      <c r="E1170">
        <v>398801320102</v>
      </c>
      <c r="F1170">
        <v>1004014224</v>
      </c>
      <c r="G1170" s="1">
        <v>45369</v>
      </c>
      <c r="H1170" t="s">
        <v>1360</v>
      </c>
      <c r="I1170" t="s">
        <v>1374</v>
      </c>
      <c r="J1170" t="s">
        <v>2348</v>
      </c>
      <c r="K1170" t="s">
        <v>2308</v>
      </c>
      <c r="L1170" t="s">
        <v>2305</v>
      </c>
      <c r="M1170" t="s">
        <v>1421</v>
      </c>
      <c r="N1170" t="s">
        <v>1422</v>
      </c>
      <c r="O1170" t="s">
        <v>1411</v>
      </c>
      <c r="P1170" t="s">
        <v>1411</v>
      </c>
      <c r="Q1170" t="s">
        <v>1412</v>
      </c>
      <c r="S1170" s="1">
        <v>46069</v>
      </c>
      <c r="W1170" s="1">
        <v>35888</v>
      </c>
      <c r="X1170" t="s">
        <v>2761</v>
      </c>
      <c r="Y1170" t="s">
        <v>2762</v>
      </c>
      <c r="Z1170" t="s">
        <v>3132</v>
      </c>
      <c r="AA1170" t="s">
        <v>1415</v>
      </c>
      <c r="AB1170" t="s">
        <v>934</v>
      </c>
      <c r="AC1170">
        <v>98984387401</v>
      </c>
    </row>
    <row r="1171" spans="1:29" x14ac:dyDescent="0.3">
      <c r="A1171" t="s">
        <v>1405</v>
      </c>
      <c r="B1171" t="s">
        <v>2302</v>
      </c>
      <c r="C1171" t="s">
        <v>5796</v>
      </c>
      <c r="D1171">
        <v>4230691521</v>
      </c>
      <c r="E1171">
        <v>1295890631</v>
      </c>
      <c r="F1171">
        <v>1004006789</v>
      </c>
      <c r="G1171" s="1">
        <v>44065</v>
      </c>
      <c r="H1171" t="s">
        <v>1360</v>
      </c>
      <c r="I1171" t="s">
        <v>1374</v>
      </c>
      <c r="J1171" t="s">
        <v>2308</v>
      </c>
      <c r="K1171" t="s">
        <v>2313</v>
      </c>
      <c r="L1171" t="s">
        <v>2305</v>
      </c>
      <c r="M1171" t="s">
        <v>1409</v>
      </c>
      <c r="N1171" t="s">
        <v>1410</v>
      </c>
      <c r="O1171" t="s">
        <v>1462</v>
      </c>
      <c r="P1171" t="s">
        <v>1462</v>
      </c>
      <c r="Q1171" t="s">
        <v>1412</v>
      </c>
      <c r="S1171" s="1">
        <v>46043</v>
      </c>
      <c r="T1171" s="1">
        <v>45856</v>
      </c>
      <c r="U1171" s="1">
        <v>45975</v>
      </c>
      <c r="W1171" s="1">
        <v>33518</v>
      </c>
      <c r="X1171" t="s">
        <v>5797</v>
      </c>
      <c r="Y1171" t="s">
        <v>5798</v>
      </c>
      <c r="Z1171" t="s">
        <v>2815</v>
      </c>
      <c r="AA1171" t="s">
        <v>1419</v>
      </c>
      <c r="AB1171" t="s">
        <v>5799</v>
      </c>
      <c r="AC1171">
        <v>75032515340</v>
      </c>
    </row>
    <row r="1172" spans="1:29" x14ac:dyDescent="0.3">
      <c r="A1172" t="s">
        <v>1405</v>
      </c>
      <c r="B1172" t="s">
        <v>2302</v>
      </c>
      <c r="C1172" t="s">
        <v>5800</v>
      </c>
      <c r="D1172">
        <v>892073195</v>
      </c>
      <c r="E1172">
        <v>4916669</v>
      </c>
      <c r="F1172">
        <v>1004016788</v>
      </c>
      <c r="G1172" s="1">
        <v>45705</v>
      </c>
      <c r="H1172" t="s">
        <v>1360</v>
      </c>
      <c r="I1172" t="s">
        <v>1374</v>
      </c>
      <c r="J1172" t="s">
        <v>2572</v>
      </c>
      <c r="K1172" t="s">
        <v>2573</v>
      </c>
      <c r="L1172" t="s">
        <v>2305</v>
      </c>
      <c r="M1172" t="s">
        <v>1421</v>
      </c>
      <c r="N1172" t="s">
        <v>1443</v>
      </c>
      <c r="O1172" t="s">
        <v>1462</v>
      </c>
      <c r="P1172" t="s">
        <v>1462</v>
      </c>
      <c r="Q1172" t="s">
        <v>1412</v>
      </c>
      <c r="S1172" s="1">
        <v>46043</v>
      </c>
      <c r="W1172" s="1">
        <v>33296</v>
      </c>
      <c r="X1172" t="s">
        <v>5801</v>
      </c>
      <c r="Z1172" t="s">
        <v>2494</v>
      </c>
      <c r="AA1172" t="s">
        <v>1415</v>
      </c>
      <c r="AB1172" t="s">
        <v>5802</v>
      </c>
      <c r="AC1172">
        <v>62991619881</v>
      </c>
    </row>
    <row r="1173" spans="1:29" x14ac:dyDescent="0.3">
      <c r="A1173" t="s">
        <v>1405</v>
      </c>
      <c r="B1173" t="s">
        <v>2302</v>
      </c>
      <c r="C1173" t="s">
        <v>5803</v>
      </c>
      <c r="D1173">
        <v>5348827657</v>
      </c>
      <c r="E1173">
        <v>9266764</v>
      </c>
      <c r="F1173">
        <v>1004007923</v>
      </c>
      <c r="G1173" s="1">
        <v>44319</v>
      </c>
      <c r="H1173" t="s">
        <v>1360</v>
      </c>
      <c r="I1173" t="s">
        <v>1374</v>
      </c>
      <c r="J1173" t="s">
        <v>2348</v>
      </c>
      <c r="K1173" t="s">
        <v>2308</v>
      </c>
      <c r="L1173" t="s">
        <v>2305</v>
      </c>
      <c r="M1173" t="s">
        <v>1421</v>
      </c>
      <c r="N1173" t="s">
        <v>1410</v>
      </c>
      <c r="O1173" t="s">
        <v>1462</v>
      </c>
      <c r="P1173" t="s">
        <v>1462</v>
      </c>
      <c r="Q1173" t="s">
        <v>1412</v>
      </c>
      <c r="S1173" s="1">
        <v>46043</v>
      </c>
      <c r="W1173" s="1">
        <v>27749</v>
      </c>
      <c r="X1173" t="s">
        <v>5804</v>
      </c>
      <c r="Y1173" t="s">
        <v>5805</v>
      </c>
      <c r="Z1173" t="s">
        <v>4183</v>
      </c>
      <c r="AA1173" t="s">
        <v>1419</v>
      </c>
      <c r="AB1173" t="s">
        <v>5806</v>
      </c>
      <c r="AC1173">
        <v>68992223130</v>
      </c>
    </row>
  </sheetData>
  <autoFilter ref="A1:AC1173" xr:uid="{98FD3091-3AC2-4C79-8619-B51F6C46EF51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8610-6927-42AC-9CCE-9FC0C23645C8}">
  <dimension ref="A1:D619"/>
  <sheetViews>
    <sheetView workbookViewId="0">
      <selection activeCell="D10" sqref="D10"/>
    </sheetView>
  </sheetViews>
  <sheetFormatPr defaultRowHeight="17.399999999999999" x14ac:dyDescent="0.3"/>
  <cols>
    <col min="1" max="1" width="77.6640625" bestFit="1" customWidth="1"/>
    <col min="2" max="2" width="25.5546875" bestFit="1" customWidth="1"/>
    <col min="3" max="3" width="43" style="2" bestFit="1" customWidth="1"/>
    <col min="4" max="4" width="212" bestFit="1" customWidth="1"/>
  </cols>
  <sheetData>
    <row r="1" spans="1:4" s="24" customFormat="1" x14ac:dyDescent="0.3">
      <c r="A1" s="25" t="s">
        <v>2</v>
      </c>
      <c r="B1" s="25" t="s">
        <v>5807</v>
      </c>
      <c r="C1" s="25" t="s">
        <v>7</v>
      </c>
      <c r="D1" s="25" t="s">
        <v>5808</v>
      </c>
    </row>
    <row r="2" spans="1:4" s="24" customFormat="1" ht="14.4" x14ac:dyDescent="0.3">
      <c r="A2" s="5" t="str">
        <f>B2&amp;C2</f>
        <v>BIO-FAR (Multidisciplinar I)BFR</v>
      </c>
      <c r="B2" s="5" t="s">
        <v>771</v>
      </c>
      <c r="C2" s="5" t="s">
        <v>772</v>
      </c>
      <c r="D2" s="5" t="s">
        <v>5809</v>
      </c>
    </row>
    <row r="3" spans="1:4" ht="14.4" x14ac:dyDescent="0.3">
      <c r="A3" s="5" t="str">
        <f>B3&amp;C3</f>
        <v>BIO-FAR (Multidisciplinar I)BBI</v>
      </c>
      <c r="B3" s="5" t="s">
        <v>771</v>
      </c>
      <c r="C3" s="5" t="s">
        <v>1339</v>
      </c>
      <c r="D3" s="5" t="s">
        <v>5810</v>
      </c>
    </row>
    <row r="4" spans="1:4" ht="14.4" x14ac:dyDescent="0.3">
      <c r="A4" s="5" t="str">
        <f t="shared" ref="A4:A13" si="0">B4&amp;C4</f>
        <v>BIO-FISIO-EST-TO (Multidisciplinar III)BFI</v>
      </c>
      <c r="B4" s="5" t="s">
        <v>757</v>
      </c>
      <c r="C4" s="5" t="s">
        <v>758</v>
      </c>
      <c r="D4" s="5" t="s">
        <v>5811</v>
      </c>
    </row>
    <row r="5" spans="1:4" ht="14.4" x14ac:dyDescent="0.3">
      <c r="A5" s="5" t="str">
        <f t="shared" si="0"/>
        <v>BIO-FISIO-EST-TO (Multidisciplinar III)BBI</v>
      </c>
      <c r="B5" s="5" t="s">
        <v>757</v>
      </c>
      <c r="C5" s="5" t="s">
        <v>1339</v>
      </c>
      <c r="D5" s="5" t="s">
        <v>5810</v>
      </c>
    </row>
    <row r="6" spans="1:4" ht="14.4" x14ac:dyDescent="0.3">
      <c r="A6" s="5" t="str">
        <f t="shared" si="0"/>
        <v>BIO-FISIO-EST-TO (Multidisciplinar III)COS-TIP</v>
      </c>
      <c r="B6" s="5" t="s">
        <v>757</v>
      </c>
      <c r="C6" s="5" t="s">
        <v>900</v>
      </c>
      <c r="D6" s="5" t="s">
        <v>5812</v>
      </c>
    </row>
    <row r="7" spans="1:4" ht="14.4" x14ac:dyDescent="0.3">
      <c r="A7" s="5" t="str">
        <f t="shared" si="0"/>
        <v>BIO-FISIO-EST-TO (Multidisciplinar III)BTO</v>
      </c>
      <c r="B7" s="5" t="s">
        <v>757</v>
      </c>
      <c r="C7" s="5" t="s">
        <v>987</v>
      </c>
      <c r="D7" s="5" t="s">
        <v>5813</v>
      </c>
    </row>
    <row r="8" spans="1:4" ht="14.4" x14ac:dyDescent="0.3">
      <c r="A8" s="5" t="str">
        <f t="shared" si="0"/>
        <v>ENF-INS (Multidisciplinar II)EMF-ISN</v>
      </c>
      <c r="B8" s="5" t="s">
        <v>21</v>
      </c>
      <c r="C8" s="5" t="s">
        <v>22</v>
      </c>
      <c r="D8" s="5" t="s">
        <v>5814</v>
      </c>
    </row>
    <row r="9" spans="1:4" ht="14.4" x14ac:dyDescent="0.3">
      <c r="A9" s="5" t="str">
        <f t="shared" si="0"/>
        <v>ENGMAKERBAU</v>
      </c>
      <c r="B9" s="5" t="s">
        <v>1160</v>
      </c>
      <c r="C9" s="5" t="s">
        <v>1161</v>
      </c>
      <c r="D9" s="5" t="s">
        <v>5815</v>
      </c>
    </row>
    <row r="10" spans="1:4" ht="14.4" x14ac:dyDescent="0.3">
      <c r="A10" s="5" t="str">
        <f t="shared" si="0"/>
        <v>ENGMAKER+QUÍMICA E FÍSICAECE-ENM-ENS-ENG-EEA-GPI-CDE-OBR-SAN-TER-FSA-SLF-QUI</v>
      </c>
      <c r="B10" s="5" t="s">
        <v>125</v>
      </c>
      <c r="C10" s="5" t="s">
        <v>126</v>
      </c>
      <c r="D10" s="5" t="s">
        <v>5816</v>
      </c>
    </row>
    <row r="11" spans="1:4" ht="14.4" x14ac:dyDescent="0.3">
      <c r="A11" s="5" t="str">
        <f t="shared" si="0"/>
        <v>ENGMAKER+QUÍMICA E FÍSICAECE-ENM-ENS-ENG-EEA-GPI-CDE-OBR-SAN-TER-FSA-SLF-QUI</v>
      </c>
      <c r="B11" s="5" t="s">
        <v>125</v>
      </c>
      <c r="C11" s="5" t="s">
        <v>126</v>
      </c>
      <c r="D11" s="5" t="s">
        <v>5817</v>
      </c>
    </row>
    <row r="12" spans="1:4" ht="14.4" x14ac:dyDescent="0.3">
      <c r="A12" s="5" t="str">
        <f t="shared" si="0"/>
        <v>NUTRI (Multidisciplinar IV)NTR</v>
      </c>
      <c r="B12" s="5" t="s">
        <v>730</v>
      </c>
      <c r="C12" s="5" t="s">
        <v>731</v>
      </c>
      <c r="D12" s="5" t="s">
        <v>5818</v>
      </c>
    </row>
    <row r="13" spans="1:4" ht="14.4" x14ac:dyDescent="0.3">
      <c r="A13" s="5" t="str">
        <f t="shared" si="0"/>
        <v>QUÍMICA E FÍSICAAGM</v>
      </c>
      <c r="B13" s="5" t="s">
        <v>734</v>
      </c>
      <c r="C13" s="5" t="s">
        <v>735</v>
      </c>
      <c r="D13" s="5" t="s">
        <v>5819</v>
      </c>
    </row>
    <row r="14" spans="1:4" ht="14.4" x14ac:dyDescent="0.3">
      <c r="A14" s="5" t="str">
        <f t="shared" ref="A14" si="1">B14&amp;C14</f>
        <v>ENF-INS (Multidisciplinar II)EMF-ISN2</v>
      </c>
      <c r="B14" s="5" t="s">
        <v>21</v>
      </c>
      <c r="C14" s="5" t="s">
        <v>582</v>
      </c>
      <c r="D14" s="5" t="s">
        <v>5820</v>
      </c>
    </row>
    <row r="16" spans="1:4" ht="14.4" x14ac:dyDescent="0.3">
      <c r="C16"/>
    </row>
    <row r="17" spans="3:3" ht="14.4" x14ac:dyDescent="0.3">
      <c r="C17"/>
    </row>
    <row r="18" spans="3:3" ht="14.4" x14ac:dyDescent="0.3">
      <c r="C18"/>
    </row>
    <row r="19" spans="3:3" ht="14.4" x14ac:dyDescent="0.3">
      <c r="C19"/>
    </row>
    <row r="20" spans="3:3" ht="14.4" x14ac:dyDescent="0.3">
      <c r="C20"/>
    </row>
    <row r="21" spans="3:3" ht="14.4" x14ac:dyDescent="0.3">
      <c r="C21"/>
    </row>
    <row r="22" spans="3:3" ht="14.4" x14ac:dyDescent="0.3">
      <c r="C22"/>
    </row>
    <row r="23" spans="3:3" ht="14.4" x14ac:dyDescent="0.3">
      <c r="C23"/>
    </row>
    <row r="24" spans="3:3" ht="14.4" x14ac:dyDescent="0.3">
      <c r="C24"/>
    </row>
    <row r="25" spans="3:3" ht="14.4" x14ac:dyDescent="0.3">
      <c r="C25"/>
    </row>
    <row r="26" spans="3:3" ht="14.4" x14ac:dyDescent="0.3">
      <c r="C26"/>
    </row>
    <row r="27" spans="3:3" ht="14.4" x14ac:dyDescent="0.3">
      <c r="C27"/>
    </row>
    <row r="28" spans="3:3" ht="14.4" x14ac:dyDescent="0.3">
      <c r="C28"/>
    </row>
    <row r="29" spans="3:3" ht="14.4" x14ac:dyDescent="0.3">
      <c r="C29"/>
    </row>
    <row r="30" spans="3:3" ht="14.4" x14ac:dyDescent="0.3">
      <c r="C30"/>
    </row>
    <row r="31" spans="3:3" ht="14.4" x14ac:dyDescent="0.3">
      <c r="C31"/>
    </row>
    <row r="32" spans="3:3" ht="14.4" x14ac:dyDescent="0.3">
      <c r="C32"/>
    </row>
    <row r="33" spans="3:3" ht="14.4" x14ac:dyDescent="0.3">
      <c r="C33"/>
    </row>
    <row r="34" spans="3:3" ht="14.4" x14ac:dyDescent="0.3">
      <c r="C34"/>
    </row>
    <row r="35" spans="3:3" ht="14.4" x14ac:dyDescent="0.3">
      <c r="C35"/>
    </row>
    <row r="36" spans="3:3" ht="14.4" x14ac:dyDescent="0.3">
      <c r="C36"/>
    </row>
    <row r="37" spans="3:3" ht="14.4" x14ac:dyDescent="0.3">
      <c r="C37"/>
    </row>
    <row r="38" spans="3:3" ht="14.4" x14ac:dyDescent="0.3">
      <c r="C38"/>
    </row>
    <row r="39" spans="3:3" ht="14.4" x14ac:dyDescent="0.3">
      <c r="C39"/>
    </row>
    <row r="40" spans="3:3" ht="14.4" x14ac:dyDescent="0.3">
      <c r="C40"/>
    </row>
    <row r="41" spans="3:3" ht="14.4" x14ac:dyDescent="0.3">
      <c r="C41"/>
    </row>
    <row r="42" spans="3:3" ht="14.4" x14ac:dyDescent="0.3">
      <c r="C42"/>
    </row>
    <row r="43" spans="3:3" ht="14.4" x14ac:dyDescent="0.3">
      <c r="C43"/>
    </row>
    <row r="44" spans="3:3" ht="14.4" x14ac:dyDescent="0.3">
      <c r="C44"/>
    </row>
    <row r="45" spans="3:3" ht="14.4" x14ac:dyDescent="0.3">
      <c r="C45"/>
    </row>
    <row r="46" spans="3:3" ht="14.4" x14ac:dyDescent="0.3">
      <c r="C46"/>
    </row>
    <row r="47" spans="3:3" ht="14.4" x14ac:dyDescent="0.3">
      <c r="C47"/>
    </row>
    <row r="48" spans="3:3" ht="14.4" x14ac:dyDescent="0.3">
      <c r="C48"/>
    </row>
    <row r="49" spans="3:3" ht="14.4" x14ac:dyDescent="0.3">
      <c r="C49"/>
    </row>
    <row r="50" spans="3:3" ht="14.4" x14ac:dyDescent="0.3">
      <c r="C50"/>
    </row>
    <row r="51" spans="3:3" ht="14.4" x14ac:dyDescent="0.3">
      <c r="C51"/>
    </row>
    <row r="52" spans="3:3" ht="14.4" x14ac:dyDescent="0.3">
      <c r="C52"/>
    </row>
    <row r="53" spans="3:3" ht="14.4" x14ac:dyDescent="0.3">
      <c r="C53"/>
    </row>
    <row r="54" spans="3:3" ht="14.4" x14ac:dyDescent="0.3">
      <c r="C54"/>
    </row>
    <row r="55" spans="3:3" ht="14.4" x14ac:dyDescent="0.3">
      <c r="C55"/>
    </row>
    <row r="56" spans="3:3" ht="14.4" x14ac:dyDescent="0.3">
      <c r="C56"/>
    </row>
    <row r="57" spans="3:3" ht="14.4" x14ac:dyDescent="0.3">
      <c r="C57"/>
    </row>
    <row r="58" spans="3:3" ht="14.4" x14ac:dyDescent="0.3">
      <c r="C58"/>
    </row>
    <row r="59" spans="3:3" ht="14.4" x14ac:dyDescent="0.3">
      <c r="C59"/>
    </row>
    <row r="60" spans="3:3" ht="14.4" x14ac:dyDescent="0.3">
      <c r="C60"/>
    </row>
    <row r="61" spans="3:3" ht="14.4" x14ac:dyDescent="0.3">
      <c r="C61"/>
    </row>
    <row r="62" spans="3:3" ht="14.4" x14ac:dyDescent="0.3">
      <c r="C62"/>
    </row>
    <row r="63" spans="3:3" ht="14.4" x14ac:dyDescent="0.3">
      <c r="C63"/>
    </row>
    <row r="64" spans="3:3" ht="14.4" x14ac:dyDescent="0.3">
      <c r="C64"/>
    </row>
    <row r="65" spans="3:3" ht="14.4" x14ac:dyDescent="0.3">
      <c r="C65"/>
    </row>
    <row r="66" spans="3:3" ht="14.4" x14ac:dyDescent="0.3">
      <c r="C66"/>
    </row>
    <row r="67" spans="3:3" ht="14.4" x14ac:dyDescent="0.3">
      <c r="C67"/>
    </row>
    <row r="68" spans="3:3" ht="14.4" x14ac:dyDescent="0.3">
      <c r="C68"/>
    </row>
    <row r="69" spans="3:3" ht="14.4" x14ac:dyDescent="0.3">
      <c r="C69"/>
    </row>
    <row r="70" spans="3:3" ht="14.4" x14ac:dyDescent="0.3">
      <c r="C70"/>
    </row>
    <row r="71" spans="3:3" ht="14.4" x14ac:dyDescent="0.3">
      <c r="C71"/>
    </row>
    <row r="72" spans="3:3" ht="14.4" x14ac:dyDescent="0.3">
      <c r="C72"/>
    </row>
    <row r="73" spans="3:3" ht="14.4" x14ac:dyDescent="0.3">
      <c r="C73"/>
    </row>
    <row r="74" spans="3:3" ht="14.4" x14ac:dyDescent="0.3">
      <c r="C74"/>
    </row>
    <row r="75" spans="3:3" ht="14.4" x14ac:dyDescent="0.3">
      <c r="C75"/>
    </row>
    <row r="76" spans="3:3" ht="14.4" x14ac:dyDescent="0.3">
      <c r="C76"/>
    </row>
    <row r="77" spans="3:3" ht="14.4" x14ac:dyDescent="0.3">
      <c r="C77"/>
    </row>
    <row r="78" spans="3:3" ht="14.4" x14ac:dyDescent="0.3">
      <c r="C78"/>
    </row>
    <row r="79" spans="3:3" ht="14.4" x14ac:dyDescent="0.3">
      <c r="C79"/>
    </row>
    <row r="80" spans="3:3" ht="14.4" x14ac:dyDescent="0.3">
      <c r="C80"/>
    </row>
    <row r="81" spans="3:3" ht="14.4" x14ac:dyDescent="0.3">
      <c r="C81"/>
    </row>
    <row r="82" spans="3:3" ht="14.4" x14ac:dyDescent="0.3">
      <c r="C82"/>
    </row>
    <row r="83" spans="3:3" ht="14.4" x14ac:dyDescent="0.3">
      <c r="C83"/>
    </row>
    <row r="84" spans="3:3" ht="14.4" x14ac:dyDescent="0.3">
      <c r="C84"/>
    </row>
    <row r="85" spans="3:3" ht="14.4" x14ac:dyDescent="0.3">
      <c r="C85"/>
    </row>
    <row r="86" spans="3:3" ht="14.4" x14ac:dyDescent="0.3">
      <c r="C86"/>
    </row>
    <row r="87" spans="3:3" ht="14.4" x14ac:dyDescent="0.3">
      <c r="C87"/>
    </row>
    <row r="88" spans="3:3" ht="14.4" x14ac:dyDescent="0.3">
      <c r="C88"/>
    </row>
    <row r="89" spans="3:3" ht="14.4" x14ac:dyDescent="0.3">
      <c r="C89"/>
    </row>
    <row r="90" spans="3:3" ht="14.4" x14ac:dyDescent="0.3">
      <c r="C90"/>
    </row>
    <row r="91" spans="3:3" ht="14.4" x14ac:dyDescent="0.3">
      <c r="C91"/>
    </row>
    <row r="92" spans="3:3" ht="14.4" x14ac:dyDescent="0.3">
      <c r="C92"/>
    </row>
    <row r="93" spans="3:3" ht="14.4" x14ac:dyDescent="0.3">
      <c r="C93"/>
    </row>
    <row r="94" spans="3:3" ht="14.4" x14ac:dyDescent="0.3">
      <c r="C94"/>
    </row>
    <row r="95" spans="3:3" ht="14.4" x14ac:dyDescent="0.3">
      <c r="C95"/>
    </row>
    <row r="96" spans="3:3" ht="14.4" x14ac:dyDescent="0.3">
      <c r="C96"/>
    </row>
    <row r="97" spans="3:3" ht="14.4" x14ac:dyDescent="0.3">
      <c r="C97"/>
    </row>
    <row r="98" spans="3:3" ht="14.4" x14ac:dyDescent="0.3">
      <c r="C98"/>
    </row>
    <row r="99" spans="3:3" ht="14.4" x14ac:dyDescent="0.3">
      <c r="C99"/>
    </row>
    <row r="100" spans="3:3" ht="14.4" x14ac:dyDescent="0.3">
      <c r="C100"/>
    </row>
    <row r="101" spans="3:3" ht="14.4" x14ac:dyDescent="0.3">
      <c r="C101"/>
    </row>
    <row r="102" spans="3:3" ht="14.4" x14ac:dyDescent="0.3">
      <c r="C102"/>
    </row>
    <row r="103" spans="3:3" ht="14.4" x14ac:dyDescent="0.3">
      <c r="C103"/>
    </row>
    <row r="104" spans="3:3" ht="14.4" x14ac:dyDescent="0.3">
      <c r="C104"/>
    </row>
    <row r="105" spans="3:3" ht="14.4" x14ac:dyDescent="0.3">
      <c r="C105"/>
    </row>
    <row r="106" spans="3:3" ht="14.4" x14ac:dyDescent="0.3">
      <c r="C106"/>
    </row>
    <row r="107" spans="3:3" ht="14.4" x14ac:dyDescent="0.3">
      <c r="C107"/>
    </row>
    <row r="108" spans="3:3" ht="14.4" x14ac:dyDescent="0.3">
      <c r="C108"/>
    </row>
    <row r="109" spans="3:3" ht="14.4" x14ac:dyDescent="0.3">
      <c r="C109"/>
    </row>
    <row r="110" spans="3:3" ht="14.4" x14ac:dyDescent="0.3">
      <c r="C110"/>
    </row>
    <row r="111" spans="3:3" ht="14.4" x14ac:dyDescent="0.3">
      <c r="C111"/>
    </row>
    <row r="112" spans="3:3" ht="14.4" x14ac:dyDescent="0.3">
      <c r="C112"/>
    </row>
    <row r="113" spans="3:3" ht="14.4" x14ac:dyDescent="0.3">
      <c r="C113"/>
    </row>
    <row r="114" spans="3:3" ht="14.4" x14ac:dyDescent="0.3">
      <c r="C114"/>
    </row>
    <row r="115" spans="3:3" ht="14.4" x14ac:dyDescent="0.3">
      <c r="C115"/>
    </row>
    <row r="116" spans="3:3" ht="14.4" x14ac:dyDescent="0.3">
      <c r="C116"/>
    </row>
    <row r="117" spans="3:3" ht="14.4" x14ac:dyDescent="0.3">
      <c r="C117"/>
    </row>
    <row r="118" spans="3:3" ht="14.4" x14ac:dyDescent="0.3">
      <c r="C118"/>
    </row>
    <row r="119" spans="3:3" ht="14.4" x14ac:dyDescent="0.3">
      <c r="C119"/>
    </row>
    <row r="120" spans="3:3" ht="14.4" x14ac:dyDescent="0.3">
      <c r="C120"/>
    </row>
    <row r="121" spans="3:3" ht="14.4" x14ac:dyDescent="0.3">
      <c r="C121"/>
    </row>
    <row r="122" spans="3:3" ht="14.4" x14ac:dyDescent="0.3">
      <c r="C122"/>
    </row>
    <row r="123" spans="3:3" ht="14.4" x14ac:dyDescent="0.3">
      <c r="C123"/>
    </row>
    <row r="124" spans="3:3" ht="14.4" x14ac:dyDescent="0.3">
      <c r="C124"/>
    </row>
    <row r="125" spans="3:3" ht="14.4" x14ac:dyDescent="0.3">
      <c r="C125"/>
    </row>
    <row r="126" spans="3:3" ht="14.4" x14ac:dyDescent="0.3">
      <c r="C126"/>
    </row>
    <row r="127" spans="3:3" ht="14.4" x14ac:dyDescent="0.3">
      <c r="C127"/>
    </row>
    <row r="128" spans="3:3" ht="14.4" x14ac:dyDescent="0.3">
      <c r="C128"/>
    </row>
    <row r="129" spans="3:3" ht="14.4" x14ac:dyDescent="0.3">
      <c r="C129"/>
    </row>
    <row r="130" spans="3:3" ht="14.4" x14ac:dyDescent="0.3">
      <c r="C130"/>
    </row>
    <row r="131" spans="3:3" ht="14.4" x14ac:dyDescent="0.3">
      <c r="C131"/>
    </row>
    <row r="132" spans="3:3" ht="14.4" x14ac:dyDescent="0.3">
      <c r="C132"/>
    </row>
    <row r="133" spans="3:3" ht="14.4" x14ac:dyDescent="0.3">
      <c r="C133"/>
    </row>
    <row r="134" spans="3:3" ht="14.4" x14ac:dyDescent="0.3">
      <c r="C134"/>
    </row>
    <row r="135" spans="3:3" ht="14.4" x14ac:dyDescent="0.3">
      <c r="C135"/>
    </row>
    <row r="136" spans="3:3" ht="14.4" x14ac:dyDescent="0.3">
      <c r="C136"/>
    </row>
    <row r="137" spans="3:3" ht="14.4" x14ac:dyDescent="0.3">
      <c r="C137"/>
    </row>
    <row r="138" spans="3:3" ht="14.4" x14ac:dyDescent="0.3">
      <c r="C138"/>
    </row>
    <row r="139" spans="3:3" ht="14.4" x14ac:dyDescent="0.3">
      <c r="C139"/>
    </row>
    <row r="140" spans="3:3" ht="14.4" x14ac:dyDescent="0.3">
      <c r="C140"/>
    </row>
    <row r="141" spans="3:3" ht="14.4" x14ac:dyDescent="0.3">
      <c r="C141"/>
    </row>
    <row r="142" spans="3:3" ht="14.4" x14ac:dyDescent="0.3">
      <c r="C142"/>
    </row>
    <row r="143" spans="3:3" ht="14.4" x14ac:dyDescent="0.3">
      <c r="C143"/>
    </row>
    <row r="144" spans="3:3" ht="14.4" x14ac:dyDescent="0.3">
      <c r="C144"/>
    </row>
    <row r="145" spans="3:3" ht="14.4" x14ac:dyDescent="0.3">
      <c r="C145"/>
    </row>
    <row r="146" spans="3:3" ht="14.4" x14ac:dyDescent="0.3">
      <c r="C146"/>
    </row>
    <row r="147" spans="3:3" ht="14.4" x14ac:dyDescent="0.3">
      <c r="C147"/>
    </row>
    <row r="148" spans="3:3" ht="14.4" x14ac:dyDescent="0.3">
      <c r="C148"/>
    </row>
    <row r="149" spans="3:3" ht="14.4" x14ac:dyDescent="0.3">
      <c r="C149"/>
    </row>
    <row r="150" spans="3:3" ht="14.4" x14ac:dyDescent="0.3">
      <c r="C150"/>
    </row>
    <row r="151" spans="3:3" ht="14.4" x14ac:dyDescent="0.3">
      <c r="C151"/>
    </row>
    <row r="152" spans="3:3" ht="14.4" x14ac:dyDescent="0.3">
      <c r="C152"/>
    </row>
    <row r="153" spans="3:3" ht="14.4" x14ac:dyDescent="0.3">
      <c r="C153"/>
    </row>
    <row r="154" spans="3:3" ht="14.4" x14ac:dyDescent="0.3">
      <c r="C154"/>
    </row>
    <row r="155" spans="3:3" ht="14.4" x14ac:dyDescent="0.3">
      <c r="C155"/>
    </row>
    <row r="156" spans="3:3" ht="14.4" x14ac:dyDescent="0.3">
      <c r="C156"/>
    </row>
    <row r="157" spans="3:3" ht="14.4" x14ac:dyDescent="0.3">
      <c r="C157"/>
    </row>
    <row r="158" spans="3:3" ht="14.4" x14ac:dyDescent="0.3">
      <c r="C158"/>
    </row>
    <row r="159" spans="3:3" ht="14.4" x14ac:dyDescent="0.3">
      <c r="C159"/>
    </row>
    <row r="160" spans="3:3" ht="14.4" x14ac:dyDescent="0.3">
      <c r="C160"/>
    </row>
    <row r="161" spans="3:3" ht="14.4" x14ac:dyDescent="0.3">
      <c r="C161"/>
    </row>
    <row r="162" spans="3:3" ht="14.4" x14ac:dyDescent="0.3">
      <c r="C162"/>
    </row>
    <row r="163" spans="3:3" ht="14.4" x14ac:dyDescent="0.3">
      <c r="C163"/>
    </row>
    <row r="164" spans="3:3" ht="14.4" x14ac:dyDescent="0.3">
      <c r="C164"/>
    </row>
    <row r="165" spans="3:3" ht="14.4" x14ac:dyDescent="0.3">
      <c r="C165"/>
    </row>
    <row r="166" spans="3:3" ht="14.4" x14ac:dyDescent="0.3">
      <c r="C166"/>
    </row>
    <row r="167" spans="3:3" ht="14.4" x14ac:dyDescent="0.3">
      <c r="C167"/>
    </row>
    <row r="168" spans="3:3" ht="14.4" x14ac:dyDescent="0.3">
      <c r="C168"/>
    </row>
    <row r="169" spans="3:3" ht="14.4" x14ac:dyDescent="0.3">
      <c r="C169"/>
    </row>
    <row r="170" spans="3:3" ht="14.4" x14ac:dyDescent="0.3">
      <c r="C170"/>
    </row>
    <row r="171" spans="3:3" ht="14.4" x14ac:dyDescent="0.3">
      <c r="C171"/>
    </row>
    <row r="172" spans="3:3" ht="14.4" x14ac:dyDescent="0.3">
      <c r="C172"/>
    </row>
    <row r="173" spans="3:3" ht="14.4" x14ac:dyDescent="0.3">
      <c r="C173"/>
    </row>
    <row r="174" spans="3:3" ht="14.4" x14ac:dyDescent="0.3">
      <c r="C174"/>
    </row>
    <row r="175" spans="3:3" ht="14.4" x14ac:dyDescent="0.3">
      <c r="C175"/>
    </row>
    <row r="176" spans="3:3" ht="14.4" x14ac:dyDescent="0.3">
      <c r="C176"/>
    </row>
    <row r="177" spans="3:3" ht="14.4" x14ac:dyDescent="0.3">
      <c r="C177"/>
    </row>
    <row r="178" spans="3:3" ht="14.4" x14ac:dyDescent="0.3">
      <c r="C178"/>
    </row>
    <row r="179" spans="3:3" ht="14.4" x14ac:dyDescent="0.3">
      <c r="C179"/>
    </row>
    <row r="180" spans="3:3" ht="14.4" x14ac:dyDescent="0.3">
      <c r="C180"/>
    </row>
    <row r="181" spans="3:3" ht="14.4" x14ac:dyDescent="0.3">
      <c r="C181"/>
    </row>
    <row r="182" spans="3:3" ht="14.4" x14ac:dyDescent="0.3">
      <c r="C182"/>
    </row>
    <row r="183" spans="3:3" ht="14.4" x14ac:dyDescent="0.3">
      <c r="C183"/>
    </row>
    <row r="184" spans="3:3" ht="14.4" x14ac:dyDescent="0.3">
      <c r="C184"/>
    </row>
    <row r="185" spans="3:3" ht="14.4" x14ac:dyDescent="0.3">
      <c r="C185"/>
    </row>
    <row r="186" spans="3:3" ht="14.4" x14ac:dyDescent="0.3">
      <c r="C186"/>
    </row>
    <row r="187" spans="3:3" ht="14.4" x14ac:dyDescent="0.3">
      <c r="C187"/>
    </row>
    <row r="188" spans="3:3" ht="14.4" x14ac:dyDescent="0.3">
      <c r="C188"/>
    </row>
    <row r="189" spans="3:3" ht="14.4" x14ac:dyDescent="0.3">
      <c r="C189"/>
    </row>
    <row r="190" spans="3:3" ht="14.4" x14ac:dyDescent="0.3">
      <c r="C190"/>
    </row>
    <row r="191" spans="3:3" ht="14.4" x14ac:dyDescent="0.3">
      <c r="C191"/>
    </row>
    <row r="192" spans="3:3" ht="14.4" x14ac:dyDescent="0.3">
      <c r="C192"/>
    </row>
    <row r="193" spans="3:3" ht="14.4" x14ac:dyDescent="0.3">
      <c r="C193"/>
    </row>
    <row r="194" spans="3:3" ht="14.4" x14ac:dyDescent="0.3">
      <c r="C194"/>
    </row>
    <row r="195" spans="3:3" ht="14.4" x14ac:dyDescent="0.3">
      <c r="C195"/>
    </row>
    <row r="196" spans="3:3" ht="14.4" x14ac:dyDescent="0.3">
      <c r="C196"/>
    </row>
    <row r="197" spans="3:3" ht="14.4" x14ac:dyDescent="0.3">
      <c r="C197"/>
    </row>
    <row r="198" spans="3:3" ht="14.4" x14ac:dyDescent="0.3">
      <c r="C198"/>
    </row>
    <row r="199" spans="3:3" ht="14.4" x14ac:dyDescent="0.3">
      <c r="C199"/>
    </row>
    <row r="200" spans="3:3" ht="14.4" x14ac:dyDescent="0.3">
      <c r="C200"/>
    </row>
    <row r="201" spans="3:3" ht="14.4" x14ac:dyDescent="0.3">
      <c r="C201"/>
    </row>
    <row r="202" spans="3:3" ht="14.4" x14ac:dyDescent="0.3">
      <c r="C202"/>
    </row>
    <row r="203" spans="3:3" ht="14.4" x14ac:dyDescent="0.3">
      <c r="C203"/>
    </row>
    <row r="204" spans="3:3" ht="14.4" x14ac:dyDescent="0.3">
      <c r="C204"/>
    </row>
    <row r="205" spans="3:3" ht="14.4" x14ac:dyDescent="0.3">
      <c r="C205"/>
    </row>
    <row r="206" spans="3:3" ht="14.4" x14ac:dyDescent="0.3">
      <c r="C206"/>
    </row>
    <row r="207" spans="3:3" ht="14.4" x14ac:dyDescent="0.3">
      <c r="C207"/>
    </row>
    <row r="208" spans="3:3" ht="14.4" x14ac:dyDescent="0.3">
      <c r="C208"/>
    </row>
    <row r="209" spans="3:3" ht="14.4" x14ac:dyDescent="0.3">
      <c r="C209"/>
    </row>
    <row r="210" spans="3:3" ht="14.4" x14ac:dyDescent="0.3">
      <c r="C210"/>
    </row>
    <row r="211" spans="3:3" ht="14.4" x14ac:dyDescent="0.3">
      <c r="C211"/>
    </row>
    <row r="212" spans="3:3" ht="14.4" x14ac:dyDescent="0.3">
      <c r="C212"/>
    </row>
    <row r="213" spans="3:3" ht="14.4" x14ac:dyDescent="0.3">
      <c r="C213"/>
    </row>
    <row r="214" spans="3:3" ht="14.4" x14ac:dyDescent="0.3">
      <c r="C214"/>
    </row>
    <row r="215" spans="3:3" ht="14.4" x14ac:dyDescent="0.3">
      <c r="C215"/>
    </row>
    <row r="216" spans="3:3" ht="14.4" x14ac:dyDescent="0.3">
      <c r="C216"/>
    </row>
    <row r="217" spans="3:3" ht="14.4" x14ac:dyDescent="0.3">
      <c r="C217"/>
    </row>
    <row r="218" spans="3:3" ht="14.4" x14ac:dyDescent="0.3">
      <c r="C218"/>
    </row>
    <row r="219" spans="3:3" ht="14.4" x14ac:dyDescent="0.3">
      <c r="C219"/>
    </row>
    <row r="220" spans="3:3" ht="14.4" x14ac:dyDescent="0.3">
      <c r="C220"/>
    </row>
    <row r="221" spans="3:3" ht="14.4" x14ac:dyDescent="0.3">
      <c r="C221"/>
    </row>
    <row r="222" spans="3:3" ht="14.4" x14ac:dyDescent="0.3">
      <c r="C222"/>
    </row>
    <row r="223" spans="3:3" ht="14.4" x14ac:dyDescent="0.3">
      <c r="C223"/>
    </row>
    <row r="224" spans="3:3" ht="14.4" x14ac:dyDescent="0.3">
      <c r="C224"/>
    </row>
    <row r="225" spans="3:3" ht="14.4" x14ac:dyDescent="0.3">
      <c r="C225"/>
    </row>
    <row r="226" spans="3:3" ht="14.4" x14ac:dyDescent="0.3">
      <c r="C226"/>
    </row>
    <row r="227" spans="3:3" ht="14.4" x14ac:dyDescent="0.3">
      <c r="C227"/>
    </row>
    <row r="228" spans="3:3" ht="14.4" x14ac:dyDescent="0.3">
      <c r="C228"/>
    </row>
    <row r="229" spans="3:3" ht="14.4" x14ac:dyDescent="0.3">
      <c r="C229"/>
    </row>
    <row r="230" spans="3:3" ht="14.4" x14ac:dyDescent="0.3">
      <c r="C230"/>
    </row>
    <row r="231" spans="3:3" ht="14.4" x14ac:dyDescent="0.3">
      <c r="C231"/>
    </row>
    <row r="232" spans="3:3" ht="14.4" x14ac:dyDescent="0.3">
      <c r="C232"/>
    </row>
    <row r="233" spans="3:3" ht="14.4" x14ac:dyDescent="0.3">
      <c r="C233"/>
    </row>
    <row r="234" spans="3:3" ht="14.4" x14ac:dyDescent="0.3">
      <c r="C234"/>
    </row>
    <row r="235" spans="3:3" ht="14.4" x14ac:dyDescent="0.3">
      <c r="C235"/>
    </row>
    <row r="236" spans="3:3" ht="14.4" x14ac:dyDescent="0.3">
      <c r="C236"/>
    </row>
    <row r="237" spans="3:3" ht="14.4" x14ac:dyDescent="0.3">
      <c r="C237"/>
    </row>
    <row r="238" spans="3:3" ht="14.4" x14ac:dyDescent="0.3">
      <c r="C238"/>
    </row>
    <row r="239" spans="3:3" ht="14.4" x14ac:dyDescent="0.3">
      <c r="C239"/>
    </row>
    <row r="240" spans="3:3" ht="14.4" x14ac:dyDescent="0.3">
      <c r="C240"/>
    </row>
    <row r="241" spans="3:3" ht="14.4" x14ac:dyDescent="0.3">
      <c r="C241"/>
    </row>
    <row r="242" spans="3:3" ht="14.4" x14ac:dyDescent="0.3">
      <c r="C242"/>
    </row>
    <row r="243" spans="3:3" ht="14.4" x14ac:dyDescent="0.3">
      <c r="C243"/>
    </row>
    <row r="244" spans="3:3" ht="14.4" x14ac:dyDescent="0.3">
      <c r="C244"/>
    </row>
    <row r="245" spans="3:3" ht="14.4" x14ac:dyDescent="0.3">
      <c r="C245"/>
    </row>
    <row r="246" spans="3:3" ht="14.4" x14ac:dyDescent="0.3">
      <c r="C246"/>
    </row>
    <row r="247" spans="3:3" ht="14.4" x14ac:dyDescent="0.3">
      <c r="C247"/>
    </row>
    <row r="248" spans="3:3" ht="14.4" x14ac:dyDescent="0.3">
      <c r="C248"/>
    </row>
    <row r="249" spans="3:3" ht="14.4" x14ac:dyDescent="0.3">
      <c r="C249"/>
    </row>
    <row r="250" spans="3:3" ht="14.4" x14ac:dyDescent="0.3">
      <c r="C250"/>
    </row>
    <row r="251" spans="3:3" ht="14.4" x14ac:dyDescent="0.3">
      <c r="C251"/>
    </row>
    <row r="252" spans="3:3" ht="14.4" x14ac:dyDescent="0.3">
      <c r="C252"/>
    </row>
    <row r="253" spans="3:3" ht="14.4" x14ac:dyDescent="0.3">
      <c r="C253"/>
    </row>
    <row r="254" spans="3:3" ht="14.4" x14ac:dyDescent="0.3">
      <c r="C254"/>
    </row>
    <row r="255" spans="3:3" ht="14.4" x14ac:dyDescent="0.3">
      <c r="C255"/>
    </row>
    <row r="256" spans="3:3" ht="14.4" x14ac:dyDescent="0.3">
      <c r="C256"/>
    </row>
    <row r="257" spans="3:3" ht="14.4" x14ac:dyDescent="0.3">
      <c r="C257"/>
    </row>
    <row r="258" spans="3:3" ht="14.4" x14ac:dyDescent="0.3">
      <c r="C258"/>
    </row>
    <row r="259" spans="3:3" ht="14.4" x14ac:dyDescent="0.3">
      <c r="C259"/>
    </row>
    <row r="260" spans="3:3" ht="14.4" x14ac:dyDescent="0.3">
      <c r="C260"/>
    </row>
    <row r="261" spans="3:3" ht="14.4" x14ac:dyDescent="0.3">
      <c r="C261"/>
    </row>
    <row r="262" spans="3:3" ht="14.4" x14ac:dyDescent="0.3">
      <c r="C262"/>
    </row>
    <row r="263" spans="3:3" ht="14.4" x14ac:dyDescent="0.3">
      <c r="C263"/>
    </row>
    <row r="264" spans="3:3" ht="14.4" x14ac:dyDescent="0.3">
      <c r="C264"/>
    </row>
    <row r="265" spans="3:3" ht="14.4" x14ac:dyDescent="0.3">
      <c r="C265"/>
    </row>
    <row r="266" spans="3:3" ht="14.4" x14ac:dyDescent="0.3">
      <c r="C266"/>
    </row>
    <row r="267" spans="3:3" ht="14.4" x14ac:dyDescent="0.3">
      <c r="C267"/>
    </row>
    <row r="268" spans="3:3" ht="14.4" x14ac:dyDescent="0.3">
      <c r="C268"/>
    </row>
    <row r="269" spans="3:3" ht="14.4" x14ac:dyDescent="0.3">
      <c r="C269"/>
    </row>
    <row r="270" spans="3:3" ht="14.4" x14ac:dyDescent="0.3">
      <c r="C270"/>
    </row>
    <row r="271" spans="3:3" ht="14.4" x14ac:dyDescent="0.3">
      <c r="C271"/>
    </row>
    <row r="272" spans="3:3" ht="14.4" x14ac:dyDescent="0.3">
      <c r="C272"/>
    </row>
    <row r="273" spans="3:3" ht="14.4" x14ac:dyDescent="0.3">
      <c r="C273"/>
    </row>
    <row r="274" spans="3:3" ht="14.4" x14ac:dyDescent="0.3">
      <c r="C274"/>
    </row>
    <row r="275" spans="3:3" ht="14.4" x14ac:dyDescent="0.3">
      <c r="C275"/>
    </row>
    <row r="276" spans="3:3" ht="14.4" x14ac:dyDescent="0.3">
      <c r="C276"/>
    </row>
    <row r="277" spans="3:3" ht="14.4" x14ac:dyDescent="0.3">
      <c r="C277"/>
    </row>
    <row r="278" spans="3:3" ht="14.4" x14ac:dyDescent="0.3">
      <c r="C278"/>
    </row>
    <row r="279" spans="3:3" ht="14.4" x14ac:dyDescent="0.3">
      <c r="C279"/>
    </row>
    <row r="280" spans="3:3" ht="14.4" x14ac:dyDescent="0.3">
      <c r="C280"/>
    </row>
    <row r="281" spans="3:3" ht="14.4" x14ac:dyDescent="0.3">
      <c r="C281"/>
    </row>
    <row r="282" spans="3:3" ht="14.4" x14ac:dyDescent="0.3">
      <c r="C282"/>
    </row>
    <row r="283" spans="3:3" ht="14.4" x14ac:dyDescent="0.3">
      <c r="C283"/>
    </row>
    <row r="284" spans="3:3" ht="14.4" x14ac:dyDescent="0.3">
      <c r="C284"/>
    </row>
    <row r="285" spans="3:3" ht="14.4" x14ac:dyDescent="0.3">
      <c r="C285"/>
    </row>
    <row r="286" spans="3:3" ht="14.4" x14ac:dyDescent="0.3">
      <c r="C286"/>
    </row>
    <row r="287" spans="3:3" ht="14.4" x14ac:dyDescent="0.3">
      <c r="C287"/>
    </row>
    <row r="288" spans="3:3" ht="14.4" x14ac:dyDescent="0.3">
      <c r="C288"/>
    </row>
    <row r="289" spans="3:3" ht="14.4" x14ac:dyDescent="0.3">
      <c r="C289"/>
    </row>
    <row r="290" spans="3:3" ht="14.4" x14ac:dyDescent="0.3">
      <c r="C290"/>
    </row>
    <row r="291" spans="3:3" ht="14.4" x14ac:dyDescent="0.3">
      <c r="C291"/>
    </row>
    <row r="292" spans="3:3" ht="14.4" x14ac:dyDescent="0.3">
      <c r="C292"/>
    </row>
    <row r="293" spans="3:3" ht="14.4" x14ac:dyDescent="0.3">
      <c r="C293"/>
    </row>
    <row r="294" spans="3:3" ht="14.4" x14ac:dyDescent="0.3">
      <c r="C294"/>
    </row>
    <row r="295" spans="3:3" ht="14.4" x14ac:dyDescent="0.3">
      <c r="C295"/>
    </row>
    <row r="296" spans="3:3" ht="14.4" x14ac:dyDescent="0.3">
      <c r="C296"/>
    </row>
    <row r="297" spans="3:3" ht="14.4" x14ac:dyDescent="0.3">
      <c r="C297"/>
    </row>
    <row r="298" spans="3:3" ht="14.4" x14ac:dyDescent="0.3">
      <c r="C298"/>
    </row>
    <row r="299" spans="3:3" ht="14.4" x14ac:dyDescent="0.3">
      <c r="C299"/>
    </row>
    <row r="300" spans="3:3" ht="14.4" x14ac:dyDescent="0.3">
      <c r="C300"/>
    </row>
    <row r="301" spans="3:3" ht="14.4" x14ac:dyDescent="0.3">
      <c r="C301"/>
    </row>
    <row r="302" spans="3:3" ht="14.4" x14ac:dyDescent="0.3">
      <c r="C302"/>
    </row>
    <row r="303" spans="3:3" ht="14.4" x14ac:dyDescent="0.3">
      <c r="C303"/>
    </row>
    <row r="304" spans="3:3" ht="14.4" x14ac:dyDescent="0.3">
      <c r="C304"/>
    </row>
    <row r="305" spans="3:3" ht="14.4" x14ac:dyDescent="0.3">
      <c r="C305"/>
    </row>
    <row r="306" spans="3:3" ht="14.4" x14ac:dyDescent="0.3">
      <c r="C306"/>
    </row>
    <row r="307" spans="3:3" ht="14.4" x14ac:dyDescent="0.3">
      <c r="C307"/>
    </row>
    <row r="308" spans="3:3" ht="14.4" x14ac:dyDescent="0.3">
      <c r="C308"/>
    </row>
    <row r="309" spans="3:3" ht="14.4" x14ac:dyDescent="0.3">
      <c r="C309"/>
    </row>
    <row r="310" spans="3:3" ht="14.4" x14ac:dyDescent="0.3">
      <c r="C310"/>
    </row>
    <row r="311" spans="3:3" ht="14.4" x14ac:dyDescent="0.3">
      <c r="C311"/>
    </row>
    <row r="312" spans="3:3" ht="14.4" x14ac:dyDescent="0.3">
      <c r="C312"/>
    </row>
    <row r="313" spans="3:3" ht="14.4" x14ac:dyDescent="0.3">
      <c r="C313"/>
    </row>
    <row r="314" spans="3:3" ht="14.4" x14ac:dyDescent="0.3">
      <c r="C314"/>
    </row>
    <row r="315" spans="3:3" ht="14.4" x14ac:dyDescent="0.3">
      <c r="C315"/>
    </row>
    <row r="316" spans="3:3" ht="14.4" x14ac:dyDescent="0.3">
      <c r="C316"/>
    </row>
    <row r="317" spans="3:3" ht="14.4" x14ac:dyDescent="0.3">
      <c r="C317"/>
    </row>
    <row r="318" spans="3:3" ht="14.4" x14ac:dyDescent="0.3">
      <c r="C318"/>
    </row>
    <row r="319" spans="3:3" ht="14.4" x14ac:dyDescent="0.3">
      <c r="C319"/>
    </row>
    <row r="320" spans="3:3" ht="14.4" x14ac:dyDescent="0.3">
      <c r="C320"/>
    </row>
    <row r="321" spans="3:3" ht="14.4" x14ac:dyDescent="0.3">
      <c r="C321"/>
    </row>
    <row r="322" spans="3:3" ht="14.4" x14ac:dyDescent="0.3">
      <c r="C322"/>
    </row>
    <row r="323" spans="3:3" ht="14.4" x14ac:dyDescent="0.3">
      <c r="C323"/>
    </row>
    <row r="324" spans="3:3" ht="14.4" x14ac:dyDescent="0.3">
      <c r="C324"/>
    </row>
    <row r="325" spans="3:3" ht="14.4" x14ac:dyDescent="0.3">
      <c r="C325"/>
    </row>
    <row r="326" spans="3:3" ht="14.4" x14ac:dyDescent="0.3">
      <c r="C326"/>
    </row>
    <row r="327" spans="3:3" ht="14.4" x14ac:dyDescent="0.3">
      <c r="C327"/>
    </row>
    <row r="328" spans="3:3" ht="14.4" x14ac:dyDescent="0.3">
      <c r="C328"/>
    </row>
    <row r="329" spans="3:3" ht="14.4" x14ac:dyDescent="0.3">
      <c r="C329"/>
    </row>
    <row r="330" spans="3:3" ht="14.4" x14ac:dyDescent="0.3">
      <c r="C330"/>
    </row>
    <row r="331" spans="3:3" ht="14.4" x14ac:dyDescent="0.3">
      <c r="C331"/>
    </row>
    <row r="332" spans="3:3" ht="14.4" x14ac:dyDescent="0.3">
      <c r="C332"/>
    </row>
    <row r="333" spans="3:3" ht="14.4" x14ac:dyDescent="0.3">
      <c r="C333"/>
    </row>
    <row r="334" spans="3:3" ht="14.4" x14ac:dyDescent="0.3">
      <c r="C334"/>
    </row>
    <row r="335" spans="3:3" ht="14.4" x14ac:dyDescent="0.3">
      <c r="C335"/>
    </row>
    <row r="336" spans="3:3" ht="14.4" x14ac:dyDescent="0.3">
      <c r="C336"/>
    </row>
    <row r="337" spans="3:3" ht="14.4" x14ac:dyDescent="0.3">
      <c r="C337"/>
    </row>
    <row r="338" spans="3:3" ht="14.4" x14ac:dyDescent="0.3">
      <c r="C338"/>
    </row>
    <row r="339" spans="3:3" ht="14.4" x14ac:dyDescent="0.3">
      <c r="C339"/>
    </row>
    <row r="340" spans="3:3" ht="14.4" x14ac:dyDescent="0.3">
      <c r="C340"/>
    </row>
    <row r="341" spans="3:3" ht="14.4" x14ac:dyDescent="0.3">
      <c r="C341"/>
    </row>
    <row r="342" spans="3:3" ht="14.4" x14ac:dyDescent="0.3">
      <c r="C342"/>
    </row>
    <row r="343" spans="3:3" ht="14.4" x14ac:dyDescent="0.3">
      <c r="C343"/>
    </row>
    <row r="344" spans="3:3" ht="14.4" x14ac:dyDescent="0.3">
      <c r="C344"/>
    </row>
    <row r="345" spans="3:3" ht="14.4" x14ac:dyDescent="0.3">
      <c r="C345"/>
    </row>
    <row r="346" spans="3:3" ht="14.4" x14ac:dyDescent="0.3">
      <c r="C346"/>
    </row>
    <row r="347" spans="3:3" ht="14.4" x14ac:dyDescent="0.3">
      <c r="C347"/>
    </row>
    <row r="348" spans="3:3" ht="14.4" x14ac:dyDescent="0.3">
      <c r="C348"/>
    </row>
    <row r="349" spans="3:3" ht="14.4" x14ac:dyDescent="0.3">
      <c r="C349"/>
    </row>
    <row r="350" spans="3:3" ht="14.4" x14ac:dyDescent="0.3">
      <c r="C350"/>
    </row>
    <row r="351" spans="3:3" ht="14.4" x14ac:dyDescent="0.3">
      <c r="C351"/>
    </row>
    <row r="352" spans="3:3" ht="14.4" x14ac:dyDescent="0.3">
      <c r="C352"/>
    </row>
    <row r="353" spans="3:3" ht="14.4" x14ac:dyDescent="0.3">
      <c r="C353"/>
    </row>
    <row r="354" spans="3:3" ht="14.4" x14ac:dyDescent="0.3">
      <c r="C354"/>
    </row>
    <row r="355" spans="3:3" ht="14.4" x14ac:dyDescent="0.3">
      <c r="C355"/>
    </row>
    <row r="356" spans="3:3" ht="14.4" x14ac:dyDescent="0.3">
      <c r="C356"/>
    </row>
    <row r="357" spans="3:3" ht="14.4" x14ac:dyDescent="0.3">
      <c r="C357"/>
    </row>
    <row r="358" spans="3:3" ht="14.4" x14ac:dyDescent="0.3">
      <c r="C358"/>
    </row>
    <row r="359" spans="3:3" ht="14.4" x14ac:dyDescent="0.3">
      <c r="C359"/>
    </row>
    <row r="360" spans="3:3" ht="14.4" x14ac:dyDescent="0.3">
      <c r="C360"/>
    </row>
    <row r="361" spans="3:3" ht="14.4" x14ac:dyDescent="0.3">
      <c r="C361"/>
    </row>
    <row r="362" spans="3:3" ht="14.4" x14ac:dyDescent="0.3">
      <c r="C362"/>
    </row>
    <row r="363" spans="3:3" ht="14.4" x14ac:dyDescent="0.3">
      <c r="C363"/>
    </row>
    <row r="364" spans="3:3" ht="14.4" x14ac:dyDescent="0.3">
      <c r="C364"/>
    </row>
    <row r="365" spans="3:3" ht="14.4" x14ac:dyDescent="0.3">
      <c r="C365"/>
    </row>
    <row r="366" spans="3:3" ht="14.4" x14ac:dyDescent="0.3">
      <c r="C366"/>
    </row>
    <row r="367" spans="3:3" ht="14.4" x14ac:dyDescent="0.3">
      <c r="C367"/>
    </row>
    <row r="368" spans="3:3" ht="14.4" x14ac:dyDescent="0.3">
      <c r="C368"/>
    </row>
    <row r="369" spans="3:3" ht="14.4" x14ac:dyDescent="0.3">
      <c r="C369"/>
    </row>
    <row r="370" spans="3:3" ht="14.4" x14ac:dyDescent="0.3">
      <c r="C370"/>
    </row>
    <row r="371" spans="3:3" ht="14.4" x14ac:dyDescent="0.3">
      <c r="C371"/>
    </row>
    <row r="372" spans="3:3" ht="14.4" x14ac:dyDescent="0.3">
      <c r="C372"/>
    </row>
    <row r="373" spans="3:3" ht="14.4" x14ac:dyDescent="0.3">
      <c r="C373"/>
    </row>
    <row r="374" spans="3:3" ht="14.4" x14ac:dyDescent="0.3">
      <c r="C374"/>
    </row>
    <row r="375" spans="3:3" ht="14.4" x14ac:dyDescent="0.3">
      <c r="C375"/>
    </row>
    <row r="376" spans="3:3" ht="14.4" x14ac:dyDescent="0.3">
      <c r="C376"/>
    </row>
    <row r="377" spans="3:3" ht="14.4" x14ac:dyDescent="0.3">
      <c r="C377"/>
    </row>
    <row r="378" spans="3:3" ht="14.4" x14ac:dyDescent="0.3">
      <c r="C378"/>
    </row>
    <row r="379" spans="3:3" ht="14.4" x14ac:dyDescent="0.3">
      <c r="C379"/>
    </row>
    <row r="380" spans="3:3" ht="14.4" x14ac:dyDescent="0.3">
      <c r="C380"/>
    </row>
    <row r="381" spans="3:3" ht="14.4" x14ac:dyDescent="0.3">
      <c r="C381"/>
    </row>
    <row r="382" spans="3:3" ht="14.4" x14ac:dyDescent="0.3">
      <c r="C382"/>
    </row>
    <row r="383" spans="3:3" ht="14.4" x14ac:dyDescent="0.3">
      <c r="C383"/>
    </row>
    <row r="384" spans="3:3" ht="14.4" x14ac:dyDescent="0.3">
      <c r="C384"/>
    </row>
    <row r="385" spans="3:3" ht="14.4" x14ac:dyDescent="0.3">
      <c r="C385"/>
    </row>
    <row r="386" spans="3:3" ht="14.4" x14ac:dyDescent="0.3">
      <c r="C386"/>
    </row>
    <row r="387" spans="3:3" ht="14.4" x14ac:dyDescent="0.3">
      <c r="C387"/>
    </row>
    <row r="388" spans="3:3" ht="14.4" x14ac:dyDescent="0.3">
      <c r="C388"/>
    </row>
    <row r="389" spans="3:3" ht="14.4" x14ac:dyDescent="0.3">
      <c r="C389"/>
    </row>
    <row r="390" spans="3:3" ht="14.4" x14ac:dyDescent="0.3">
      <c r="C390"/>
    </row>
    <row r="391" spans="3:3" ht="14.4" x14ac:dyDescent="0.3">
      <c r="C391"/>
    </row>
    <row r="392" spans="3:3" ht="14.4" x14ac:dyDescent="0.3">
      <c r="C392"/>
    </row>
    <row r="393" spans="3:3" ht="14.4" x14ac:dyDescent="0.3">
      <c r="C393"/>
    </row>
    <row r="394" spans="3:3" ht="14.4" x14ac:dyDescent="0.3">
      <c r="C394"/>
    </row>
    <row r="395" spans="3:3" ht="14.4" x14ac:dyDescent="0.3">
      <c r="C395"/>
    </row>
    <row r="396" spans="3:3" ht="14.4" x14ac:dyDescent="0.3">
      <c r="C396"/>
    </row>
    <row r="397" spans="3:3" ht="14.4" x14ac:dyDescent="0.3">
      <c r="C397"/>
    </row>
    <row r="398" spans="3:3" ht="14.4" x14ac:dyDescent="0.3">
      <c r="C398"/>
    </row>
    <row r="399" spans="3:3" ht="14.4" x14ac:dyDescent="0.3">
      <c r="C399"/>
    </row>
    <row r="400" spans="3:3" ht="14.4" x14ac:dyDescent="0.3">
      <c r="C400"/>
    </row>
    <row r="401" spans="3:3" ht="14.4" x14ac:dyDescent="0.3">
      <c r="C401"/>
    </row>
    <row r="402" spans="3:3" ht="14.4" x14ac:dyDescent="0.3">
      <c r="C402"/>
    </row>
    <row r="403" spans="3:3" ht="14.4" x14ac:dyDescent="0.3">
      <c r="C403"/>
    </row>
    <row r="404" spans="3:3" ht="14.4" x14ac:dyDescent="0.3">
      <c r="C404"/>
    </row>
    <row r="405" spans="3:3" ht="14.4" x14ac:dyDescent="0.3">
      <c r="C405"/>
    </row>
    <row r="406" spans="3:3" ht="14.4" x14ac:dyDescent="0.3">
      <c r="C406"/>
    </row>
    <row r="407" spans="3:3" ht="14.4" x14ac:dyDescent="0.3">
      <c r="C407"/>
    </row>
    <row r="408" spans="3:3" ht="14.4" x14ac:dyDescent="0.3">
      <c r="C408"/>
    </row>
    <row r="409" spans="3:3" ht="14.4" x14ac:dyDescent="0.3">
      <c r="C409"/>
    </row>
    <row r="410" spans="3:3" ht="14.4" x14ac:dyDescent="0.3">
      <c r="C410"/>
    </row>
    <row r="411" spans="3:3" ht="14.4" x14ac:dyDescent="0.3">
      <c r="C411"/>
    </row>
    <row r="412" spans="3:3" ht="14.4" x14ac:dyDescent="0.3">
      <c r="C412"/>
    </row>
    <row r="413" spans="3:3" ht="14.4" x14ac:dyDescent="0.3">
      <c r="C413"/>
    </row>
    <row r="414" spans="3:3" ht="14.4" x14ac:dyDescent="0.3">
      <c r="C414"/>
    </row>
    <row r="415" spans="3:3" ht="14.4" x14ac:dyDescent="0.3">
      <c r="C415"/>
    </row>
    <row r="416" spans="3:3" ht="14.4" x14ac:dyDescent="0.3">
      <c r="C416"/>
    </row>
    <row r="417" spans="3:3" ht="14.4" x14ac:dyDescent="0.3">
      <c r="C417"/>
    </row>
    <row r="418" spans="3:3" ht="14.4" x14ac:dyDescent="0.3">
      <c r="C418"/>
    </row>
    <row r="419" spans="3:3" ht="14.4" x14ac:dyDescent="0.3">
      <c r="C419"/>
    </row>
    <row r="420" spans="3:3" ht="14.4" x14ac:dyDescent="0.3">
      <c r="C420"/>
    </row>
    <row r="421" spans="3:3" ht="14.4" x14ac:dyDescent="0.3">
      <c r="C421"/>
    </row>
    <row r="422" spans="3:3" ht="14.4" x14ac:dyDescent="0.3">
      <c r="C422"/>
    </row>
    <row r="423" spans="3:3" ht="14.4" x14ac:dyDescent="0.3">
      <c r="C423"/>
    </row>
    <row r="424" spans="3:3" ht="14.4" x14ac:dyDescent="0.3">
      <c r="C424"/>
    </row>
    <row r="425" spans="3:3" ht="14.4" x14ac:dyDescent="0.3">
      <c r="C425"/>
    </row>
    <row r="426" spans="3:3" ht="14.4" x14ac:dyDescent="0.3">
      <c r="C426"/>
    </row>
    <row r="427" spans="3:3" ht="14.4" x14ac:dyDescent="0.3">
      <c r="C427"/>
    </row>
    <row r="428" spans="3:3" ht="14.4" x14ac:dyDescent="0.3">
      <c r="C428"/>
    </row>
    <row r="429" spans="3:3" ht="14.4" x14ac:dyDescent="0.3">
      <c r="C429"/>
    </row>
    <row r="430" spans="3:3" ht="14.4" x14ac:dyDescent="0.3">
      <c r="C430"/>
    </row>
    <row r="431" spans="3:3" ht="14.4" x14ac:dyDescent="0.3">
      <c r="C431"/>
    </row>
    <row r="432" spans="3:3" ht="14.4" x14ac:dyDescent="0.3">
      <c r="C432"/>
    </row>
    <row r="433" spans="3:3" ht="14.4" x14ac:dyDescent="0.3">
      <c r="C433"/>
    </row>
    <row r="434" spans="3:3" ht="14.4" x14ac:dyDescent="0.3">
      <c r="C434"/>
    </row>
    <row r="435" spans="3:3" ht="14.4" x14ac:dyDescent="0.3">
      <c r="C435"/>
    </row>
    <row r="436" spans="3:3" ht="14.4" x14ac:dyDescent="0.3">
      <c r="C436"/>
    </row>
    <row r="437" spans="3:3" ht="14.4" x14ac:dyDescent="0.3">
      <c r="C437"/>
    </row>
    <row r="438" spans="3:3" ht="14.4" x14ac:dyDescent="0.3">
      <c r="C438"/>
    </row>
    <row r="439" spans="3:3" ht="14.4" x14ac:dyDescent="0.3">
      <c r="C439"/>
    </row>
    <row r="440" spans="3:3" ht="14.4" x14ac:dyDescent="0.3">
      <c r="C440"/>
    </row>
    <row r="441" spans="3:3" ht="14.4" x14ac:dyDescent="0.3">
      <c r="C441"/>
    </row>
    <row r="442" spans="3:3" ht="14.4" x14ac:dyDescent="0.3">
      <c r="C442"/>
    </row>
    <row r="443" spans="3:3" ht="14.4" x14ac:dyDescent="0.3">
      <c r="C443"/>
    </row>
    <row r="444" spans="3:3" ht="14.4" x14ac:dyDescent="0.3">
      <c r="C444"/>
    </row>
    <row r="445" spans="3:3" ht="14.4" x14ac:dyDescent="0.3">
      <c r="C445"/>
    </row>
    <row r="446" spans="3:3" ht="14.4" x14ac:dyDescent="0.3">
      <c r="C446"/>
    </row>
    <row r="447" spans="3:3" ht="14.4" x14ac:dyDescent="0.3">
      <c r="C447"/>
    </row>
    <row r="448" spans="3:3" ht="14.4" x14ac:dyDescent="0.3">
      <c r="C448"/>
    </row>
    <row r="449" spans="3:3" ht="14.4" x14ac:dyDescent="0.3">
      <c r="C449"/>
    </row>
    <row r="450" spans="3:3" ht="14.4" x14ac:dyDescent="0.3">
      <c r="C450"/>
    </row>
    <row r="451" spans="3:3" ht="14.4" x14ac:dyDescent="0.3">
      <c r="C451"/>
    </row>
    <row r="452" spans="3:3" ht="14.4" x14ac:dyDescent="0.3">
      <c r="C452"/>
    </row>
    <row r="453" spans="3:3" ht="14.4" x14ac:dyDescent="0.3">
      <c r="C453"/>
    </row>
    <row r="454" spans="3:3" ht="14.4" x14ac:dyDescent="0.3">
      <c r="C454"/>
    </row>
    <row r="455" spans="3:3" ht="14.4" x14ac:dyDescent="0.3">
      <c r="C455"/>
    </row>
    <row r="456" spans="3:3" ht="14.4" x14ac:dyDescent="0.3">
      <c r="C456"/>
    </row>
    <row r="457" spans="3:3" ht="14.4" x14ac:dyDescent="0.3">
      <c r="C457"/>
    </row>
    <row r="458" spans="3:3" ht="14.4" x14ac:dyDescent="0.3">
      <c r="C458"/>
    </row>
    <row r="459" spans="3:3" ht="14.4" x14ac:dyDescent="0.3">
      <c r="C459"/>
    </row>
    <row r="460" spans="3:3" ht="14.4" x14ac:dyDescent="0.3">
      <c r="C460"/>
    </row>
    <row r="461" spans="3:3" ht="14.4" x14ac:dyDescent="0.3">
      <c r="C461"/>
    </row>
    <row r="462" spans="3:3" ht="14.4" x14ac:dyDescent="0.3">
      <c r="C462"/>
    </row>
    <row r="463" spans="3:3" ht="14.4" x14ac:dyDescent="0.3">
      <c r="C463"/>
    </row>
    <row r="464" spans="3:3" ht="14.4" x14ac:dyDescent="0.3">
      <c r="C464"/>
    </row>
    <row r="465" spans="3:3" ht="14.4" x14ac:dyDescent="0.3">
      <c r="C465"/>
    </row>
    <row r="466" spans="3:3" ht="14.4" x14ac:dyDescent="0.3">
      <c r="C466"/>
    </row>
    <row r="467" spans="3:3" ht="14.4" x14ac:dyDescent="0.3">
      <c r="C467"/>
    </row>
    <row r="468" spans="3:3" ht="14.4" x14ac:dyDescent="0.3">
      <c r="C468"/>
    </row>
    <row r="469" spans="3:3" ht="14.4" x14ac:dyDescent="0.3">
      <c r="C469"/>
    </row>
    <row r="470" spans="3:3" ht="14.4" x14ac:dyDescent="0.3">
      <c r="C470"/>
    </row>
    <row r="471" spans="3:3" ht="14.4" x14ac:dyDescent="0.3">
      <c r="C471"/>
    </row>
    <row r="472" spans="3:3" ht="14.4" x14ac:dyDescent="0.3">
      <c r="C472"/>
    </row>
    <row r="473" spans="3:3" ht="14.4" x14ac:dyDescent="0.3">
      <c r="C473"/>
    </row>
    <row r="474" spans="3:3" ht="14.4" x14ac:dyDescent="0.3">
      <c r="C474"/>
    </row>
    <row r="475" spans="3:3" ht="14.4" x14ac:dyDescent="0.3">
      <c r="C475"/>
    </row>
    <row r="476" spans="3:3" ht="14.4" x14ac:dyDescent="0.3">
      <c r="C476"/>
    </row>
    <row r="477" spans="3:3" ht="14.4" x14ac:dyDescent="0.3">
      <c r="C477"/>
    </row>
    <row r="478" spans="3:3" ht="14.4" x14ac:dyDescent="0.3">
      <c r="C478"/>
    </row>
    <row r="479" spans="3:3" ht="14.4" x14ac:dyDescent="0.3">
      <c r="C479"/>
    </row>
    <row r="480" spans="3:3" ht="14.4" x14ac:dyDescent="0.3">
      <c r="C480"/>
    </row>
    <row r="481" spans="3:3" ht="14.4" x14ac:dyDescent="0.3">
      <c r="C481"/>
    </row>
    <row r="482" spans="3:3" ht="14.4" x14ac:dyDescent="0.3">
      <c r="C482"/>
    </row>
    <row r="483" spans="3:3" ht="14.4" x14ac:dyDescent="0.3">
      <c r="C483"/>
    </row>
    <row r="484" spans="3:3" ht="14.4" x14ac:dyDescent="0.3">
      <c r="C484"/>
    </row>
    <row r="485" spans="3:3" ht="14.4" x14ac:dyDescent="0.3">
      <c r="C485"/>
    </row>
    <row r="486" spans="3:3" ht="14.4" x14ac:dyDescent="0.3">
      <c r="C486"/>
    </row>
    <row r="487" spans="3:3" ht="14.4" x14ac:dyDescent="0.3">
      <c r="C487"/>
    </row>
    <row r="488" spans="3:3" ht="14.4" x14ac:dyDescent="0.3">
      <c r="C488"/>
    </row>
    <row r="489" spans="3:3" ht="14.4" x14ac:dyDescent="0.3">
      <c r="C489"/>
    </row>
    <row r="490" spans="3:3" ht="14.4" x14ac:dyDescent="0.3">
      <c r="C490"/>
    </row>
    <row r="491" spans="3:3" ht="14.4" x14ac:dyDescent="0.3">
      <c r="C491"/>
    </row>
    <row r="492" spans="3:3" ht="14.4" x14ac:dyDescent="0.3">
      <c r="C492"/>
    </row>
    <row r="493" spans="3:3" ht="14.4" x14ac:dyDescent="0.3">
      <c r="C493"/>
    </row>
    <row r="494" spans="3:3" ht="14.4" x14ac:dyDescent="0.3">
      <c r="C494"/>
    </row>
    <row r="495" spans="3:3" ht="14.4" x14ac:dyDescent="0.3">
      <c r="C495"/>
    </row>
    <row r="496" spans="3:3" ht="14.4" x14ac:dyDescent="0.3">
      <c r="C496"/>
    </row>
    <row r="497" spans="3:3" ht="14.4" x14ac:dyDescent="0.3">
      <c r="C497"/>
    </row>
    <row r="498" spans="3:3" ht="14.4" x14ac:dyDescent="0.3">
      <c r="C498"/>
    </row>
    <row r="499" spans="3:3" ht="14.4" x14ac:dyDescent="0.3">
      <c r="C499"/>
    </row>
    <row r="500" spans="3:3" ht="14.4" x14ac:dyDescent="0.3">
      <c r="C500"/>
    </row>
    <row r="501" spans="3:3" ht="14.4" x14ac:dyDescent="0.3">
      <c r="C501"/>
    </row>
    <row r="502" spans="3:3" ht="14.4" x14ac:dyDescent="0.3">
      <c r="C502"/>
    </row>
    <row r="503" spans="3:3" ht="14.4" x14ac:dyDescent="0.3">
      <c r="C503"/>
    </row>
    <row r="504" spans="3:3" ht="14.4" x14ac:dyDescent="0.3">
      <c r="C504"/>
    </row>
    <row r="505" spans="3:3" ht="14.4" x14ac:dyDescent="0.3">
      <c r="C505"/>
    </row>
    <row r="506" spans="3:3" ht="14.4" x14ac:dyDescent="0.3">
      <c r="C506"/>
    </row>
    <row r="507" spans="3:3" ht="14.4" x14ac:dyDescent="0.3">
      <c r="C507"/>
    </row>
    <row r="508" spans="3:3" ht="14.4" x14ac:dyDescent="0.3">
      <c r="C508"/>
    </row>
    <row r="509" spans="3:3" ht="14.4" x14ac:dyDescent="0.3">
      <c r="C509"/>
    </row>
    <row r="510" spans="3:3" ht="14.4" x14ac:dyDescent="0.3">
      <c r="C510"/>
    </row>
    <row r="511" spans="3:3" ht="14.4" x14ac:dyDescent="0.3">
      <c r="C511"/>
    </row>
    <row r="512" spans="3:3" ht="14.4" x14ac:dyDescent="0.3">
      <c r="C512"/>
    </row>
    <row r="513" spans="3:3" ht="14.4" x14ac:dyDescent="0.3">
      <c r="C513"/>
    </row>
    <row r="514" spans="3:3" ht="14.4" x14ac:dyDescent="0.3">
      <c r="C514"/>
    </row>
    <row r="515" spans="3:3" ht="14.4" x14ac:dyDescent="0.3">
      <c r="C515"/>
    </row>
    <row r="516" spans="3:3" ht="14.4" x14ac:dyDescent="0.3">
      <c r="C516"/>
    </row>
    <row r="517" spans="3:3" ht="14.4" x14ac:dyDescent="0.3">
      <c r="C517"/>
    </row>
    <row r="518" spans="3:3" ht="14.4" x14ac:dyDescent="0.3">
      <c r="C518"/>
    </row>
    <row r="519" spans="3:3" ht="14.4" x14ac:dyDescent="0.3">
      <c r="C519"/>
    </row>
    <row r="520" spans="3:3" ht="14.4" x14ac:dyDescent="0.3">
      <c r="C520"/>
    </row>
    <row r="521" spans="3:3" ht="14.4" x14ac:dyDescent="0.3">
      <c r="C521"/>
    </row>
    <row r="522" spans="3:3" ht="14.4" x14ac:dyDescent="0.3">
      <c r="C522"/>
    </row>
    <row r="523" spans="3:3" ht="14.4" x14ac:dyDescent="0.3">
      <c r="C523"/>
    </row>
    <row r="524" spans="3:3" ht="14.4" x14ac:dyDescent="0.3">
      <c r="C524"/>
    </row>
    <row r="525" spans="3:3" ht="14.4" x14ac:dyDescent="0.3">
      <c r="C525"/>
    </row>
    <row r="526" spans="3:3" ht="14.4" x14ac:dyDescent="0.3">
      <c r="C526"/>
    </row>
    <row r="527" spans="3:3" ht="14.4" x14ac:dyDescent="0.3">
      <c r="C527"/>
    </row>
    <row r="528" spans="3:3" ht="14.4" x14ac:dyDescent="0.3">
      <c r="C528"/>
    </row>
    <row r="529" spans="3:3" ht="14.4" x14ac:dyDescent="0.3">
      <c r="C529"/>
    </row>
    <row r="530" spans="3:3" ht="14.4" x14ac:dyDescent="0.3">
      <c r="C530"/>
    </row>
    <row r="531" spans="3:3" ht="14.4" x14ac:dyDescent="0.3">
      <c r="C531"/>
    </row>
    <row r="532" spans="3:3" ht="14.4" x14ac:dyDescent="0.3">
      <c r="C532"/>
    </row>
    <row r="533" spans="3:3" ht="14.4" x14ac:dyDescent="0.3">
      <c r="C533"/>
    </row>
    <row r="534" spans="3:3" ht="14.4" x14ac:dyDescent="0.3">
      <c r="C534"/>
    </row>
    <row r="535" spans="3:3" ht="14.4" x14ac:dyDescent="0.3">
      <c r="C535"/>
    </row>
    <row r="536" spans="3:3" ht="14.4" x14ac:dyDescent="0.3">
      <c r="C536"/>
    </row>
    <row r="537" spans="3:3" ht="14.4" x14ac:dyDescent="0.3">
      <c r="C537"/>
    </row>
    <row r="538" spans="3:3" ht="14.4" x14ac:dyDescent="0.3">
      <c r="C538"/>
    </row>
    <row r="539" spans="3:3" ht="14.4" x14ac:dyDescent="0.3">
      <c r="C539"/>
    </row>
    <row r="540" spans="3:3" ht="14.4" x14ac:dyDescent="0.3">
      <c r="C540"/>
    </row>
    <row r="541" spans="3:3" ht="14.4" x14ac:dyDescent="0.3">
      <c r="C541"/>
    </row>
    <row r="542" spans="3:3" ht="14.4" x14ac:dyDescent="0.3">
      <c r="C542"/>
    </row>
    <row r="543" spans="3:3" ht="14.4" x14ac:dyDescent="0.3">
      <c r="C543"/>
    </row>
    <row r="544" spans="3:3" ht="14.4" x14ac:dyDescent="0.3">
      <c r="C544"/>
    </row>
    <row r="545" spans="3:3" ht="14.4" x14ac:dyDescent="0.3">
      <c r="C545"/>
    </row>
    <row r="546" spans="3:3" ht="14.4" x14ac:dyDescent="0.3">
      <c r="C546"/>
    </row>
    <row r="547" spans="3:3" ht="14.4" x14ac:dyDescent="0.3">
      <c r="C547"/>
    </row>
    <row r="548" spans="3:3" ht="14.4" x14ac:dyDescent="0.3">
      <c r="C548"/>
    </row>
    <row r="549" spans="3:3" ht="14.4" x14ac:dyDescent="0.3">
      <c r="C549"/>
    </row>
    <row r="550" spans="3:3" ht="14.4" x14ac:dyDescent="0.3">
      <c r="C550"/>
    </row>
    <row r="551" spans="3:3" ht="14.4" x14ac:dyDescent="0.3">
      <c r="C551"/>
    </row>
    <row r="552" spans="3:3" ht="14.4" x14ac:dyDescent="0.3">
      <c r="C552"/>
    </row>
    <row r="553" spans="3:3" ht="14.4" x14ac:dyDescent="0.3">
      <c r="C553"/>
    </row>
    <row r="554" spans="3:3" ht="14.4" x14ac:dyDescent="0.3">
      <c r="C554"/>
    </row>
    <row r="555" spans="3:3" ht="14.4" x14ac:dyDescent="0.3">
      <c r="C555"/>
    </row>
    <row r="556" spans="3:3" ht="14.4" x14ac:dyDescent="0.3">
      <c r="C556"/>
    </row>
    <row r="557" spans="3:3" ht="14.4" x14ac:dyDescent="0.3">
      <c r="C557"/>
    </row>
    <row r="558" spans="3:3" ht="14.4" x14ac:dyDescent="0.3">
      <c r="C558"/>
    </row>
    <row r="559" spans="3:3" ht="14.4" x14ac:dyDescent="0.3">
      <c r="C559"/>
    </row>
    <row r="560" spans="3:3" ht="14.4" x14ac:dyDescent="0.3">
      <c r="C560"/>
    </row>
    <row r="561" spans="3:3" ht="14.4" x14ac:dyDescent="0.3">
      <c r="C561"/>
    </row>
    <row r="562" spans="3:3" ht="14.4" x14ac:dyDescent="0.3">
      <c r="C562"/>
    </row>
    <row r="563" spans="3:3" ht="14.4" x14ac:dyDescent="0.3">
      <c r="C563"/>
    </row>
    <row r="564" spans="3:3" ht="14.4" x14ac:dyDescent="0.3">
      <c r="C564"/>
    </row>
    <row r="565" spans="3:3" ht="14.4" x14ac:dyDescent="0.3">
      <c r="C565"/>
    </row>
    <row r="566" spans="3:3" ht="14.4" x14ac:dyDescent="0.3">
      <c r="C566"/>
    </row>
    <row r="567" spans="3:3" ht="14.4" x14ac:dyDescent="0.3">
      <c r="C567"/>
    </row>
    <row r="568" spans="3:3" ht="14.4" x14ac:dyDescent="0.3">
      <c r="C568"/>
    </row>
    <row r="569" spans="3:3" ht="14.4" x14ac:dyDescent="0.3">
      <c r="C569"/>
    </row>
    <row r="570" spans="3:3" ht="14.4" x14ac:dyDescent="0.3">
      <c r="C570"/>
    </row>
    <row r="571" spans="3:3" ht="14.4" x14ac:dyDescent="0.3">
      <c r="C571"/>
    </row>
    <row r="572" spans="3:3" ht="14.4" x14ac:dyDescent="0.3">
      <c r="C572"/>
    </row>
    <row r="573" spans="3:3" ht="14.4" x14ac:dyDescent="0.3">
      <c r="C573"/>
    </row>
    <row r="574" spans="3:3" ht="14.4" x14ac:dyDescent="0.3">
      <c r="C574"/>
    </row>
    <row r="575" spans="3:3" ht="14.4" x14ac:dyDescent="0.3">
      <c r="C575"/>
    </row>
    <row r="576" spans="3:3" ht="14.4" x14ac:dyDescent="0.3">
      <c r="C576"/>
    </row>
    <row r="577" spans="3:3" ht="14.4" x14ac:dyDescent="0.3">
      <c r="C577"/>
    </row>
    <row r="578" spans="3:3" ht="14.4" x14ac:dyDescent="0.3">
      <c r="C578"/>
    </row>
    <row r="579" spans="3:3" ht="14.4" x14ac:dyDescent="0.3">
      <c r="C579"/>
    </row>
    <row r="580" spans="3:3" ht="14.4" x14ac:dyDescent="0.3">
      <c r="C580"/>
    </row>
    <row r="581" spans="3:3" ht="14.4" x14ac:dyDescent="0.3">
      <c r="C581"/>
    </row>
    <row r="582" spans="3:3" ht="14.4" x14ac:dyDescent="0.3">
      <c r="C582"/>
    </row>
    <row r="583" spans="3:3" ht="14.4" x14ac:dyDescent="0.3">
      <c r="C583"/>
    </row>
    <row r="584" spans="3:3" ht="14.4" x14ac:dyDescent="0.3">
      <c r="C584"/>
    </row>
    <row r="585" spans="3:3" ht="14.4" x14ac:dyDescent="0.3">
      <c r="C585"/>
    </row>
    <row r="586" spans="3:3" ht="14.4" x14ac:dyDescent="0.3">
      <c r="C586"/>
    </row>
    <row r="587" spans="3:3" ht="14.4" x14ac:dyDescent="0.3">
      <c r="C587"/>
    </row>
    <row r="588" spans="3:3" ht="14.4" x14ac:dyDescent="0.3">
      <c r="C588"/>
    </row>
    <row r="589" spans="3:3" ht="14.4" x14ac:dyDescent="0.3">
      <c r="C589"/>
    </row>
    <row r="590" spans="3:3" ht="14.4" x14ac:dyDescent="0.3">
      <c r="C590"/>
    </row>
    <row r="591" spans="3:3" ht="14.4" x14ac:dyDescent="0.3">
      <c r="C591"/>
    </row>
    <row r="592" spans="3:3" ht="14.4" x14ac:dyDescent="0.3">
      <c r="C592"/>
    </row>
    <row r="593" spans="3:3" ht="14.4" x14ac:dyDescent="0.3">
      <c r="C593"/>
    </row>
    <row r="594" spans="3:3" ht="14.4" x14ac:dyDescent="0.3">
      <c r="C594"/>
    </row>
    <row r="595" spans="3:3" ht="14.4" x14ac:dyDescent="0.3">
      <c r="C595"/>
    </row>
    <row r="596" spans="3:3" ht="14.4" x14ac:dyDescent="0.3">
      <c r="C596"/>
    </row>
    <row r="597" spans="3:3" ht="14.4" x14ac:dyDescent="0.3">
      <c r="C597"/>
    </row>
    <row r="598" spans="3:3" ht="14.4" x14ac:dyDescent="0.3">
      <c r="C598"/>
    </row>
    <row r="599" spans="3:3" ht="14.4" x14ac:dyDescent="0.3">
      <c r="C599"/>
    </row>
    <row r="600" spans="3:3" ht="14.4" x14ac:dyDescent="0.3">
      <c r="C600"/>
    </row>
    <row r="601" spans="3:3" ht="14.4" x14ac:dyDescent="0.3">
      <c r="C601"/>
    </row>
    <row r="602" spans="3:3" ht="14.4" x14ac:dyDescent="0.3">
      <c r="C602"/>
    </row>
    <row r="603" spans="3:3" ht="14.4" x14ac:dyDescent="0.3">
      <c r="C603"/>
    </row>
    <row r="604" spans="3:3" ht="14.4" x14ac:dyDescent="0.3">
      <c r="C604"/>
    </row>
    <row r="605" spans="3:3" ht="14.4" x14ac:dyDescent="0.3">
      <c r="C605"/>
    </row>
    <row r="606" spans="3:3" ht="14.4" x14ac:dyDescent="0.3">
      <c r="C606"/>
    </row>
    <row r="607" spans="3:3" ht="14.4" x14ac:dyDescent="0.3">
      <c r="C607"/>
    </row>
    <row r="608" spans="3:3" ht="14.4" x14ac:dyDescent="0.3">
      <c r="C608"/>
    </row>
    <row r="609" spans="3:3" ht="14.4" x14ac:dyDescent="0.3">
      <c r="C609"/>
    </row>
    <row r="610" spans="3:3" ht="14.4" x14ac:dyDescent="0.3">
      <c r="C610"/>
    </row>
    <row r="611" spans="3:3" ht="14.4" x14ac:dyDescent="0.3">
      <c r="C611"/>
    </row>
    <row r="612" spans="3:3" ht="14.4" x14ac:dyDescent="0.3">
      <c r="C612"/>
    </row>
    <row r="613" spans="3:3" ht="14.4" x14ac:dyDescent="0.3">
      <c r="C613"/>
    </row>
    <row r="614" spans="3:3" ht="14.4" x14ac:dyDescent="0.3">
      <c r="C614"/>
    </row>
    <row r="615" spans="3:3" ht="14.4" x14ac:dyDescent="0.3">
      <c r="C615"/>
    </row>
    <row r="616" spans="3:3" ht="14.4" x14ac:dyDescent="0.3">
      <c r="C616"/>
    </row>
    <row r="617" spans="3:3" ht="14.4" x14ac:dyDescent="0.3">
      <c r="C617"/>
    </row>
    <row r="618" spans="3:3" ht="14.4" x14ac:dyDescent="0.3">
      <c r="C618"/>
    </row>
    <row r="619" spans="3:3" ht="14.4" x14ac:dyDescent="0.3">
      <c r="C619"/>
    </row>
  </sheetData>
  <sortState xmlns:xlrd2="http://schemas.microsoft.com/office/spreadsheetml/2017/richdata2" ref="B3:D13">
    <sortCondition ref="B1:B13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98DC-3E67-44C0-9F30-7138C6E35B46}">
  <dimension ref="A1:C51"/>
  <sheetViews>
    <sheetView workbookViewId="0">
      <selection activeCell="C2" sqref="C2"/>
    </sheetView>
  </sheetViews>
  <sheetFormatPr defaultRowHeight="14.4" x14ac:dyDescent="0.3"/>
  <cols>
    <col min="1" max="1" width="39.6640625" bestFit="1" customWidth="1"/>
    <col min="2" max="2" width="50.44140625" bestFit="1" customWidth="1"/>
    <col min="3" max="3" width="7" customWidth="1"/>
  </cols>
  <sheetData>
    <row r="1" spans="1:3" x14ac:dyDescent="0.3">
      <c r="A1" t="s">
        <v>1380</v>
      </c>
      <c r="B1" t="s">
        <v>1402</v>
      </c>
      <c r="C1" t="s">
        <v>5821</v>
      </c>
    </row>
    <row r="2" spans="1:3" x14ac:dyDescent="0.3">
      <c r="A2" t="s">
        <v>28</v>
      </c>
      <c r="B2" t="s">
        <v>29</v>
      </c>
      <c r="C2" t="s">
        <v>1356</v>
      </c>
    </row>
    <row r="3" spans="1:3" x14ac:dyDescent="0.3">
      <c r="A3" t="s">
        <v>37</v>
      </c>
      <c r="B3" t="s">
        <v>39</v>
      </c>
      <c r="C3" t="s">
        <v>1353</v>
      </c>
    </row>
    <row r="4" spans="1:3" x14ac:dyDescent="0.3">
      <c r="A4" t="s">
        <v>46</v>
      </c>
      <c r="B4" t="s">
        <v>47</v>
      </c>
      <c r="C4" t="s">
        <v>1354</v>
      </c>
    </row>
    <row r="5" spans="1:3" x14ac:dyDescent="0.3">
      <c r="A5" t="s">
        <v>51</v>
      </c>
      <c r="B5" t="s">
        <v>52</v>
      </c>
      <c r="C5" t="s">
        <v>1353</v>
      </c>
    </row>
    <row r="6" spans="1:3" x14ac:dyDescent="0.3">
      <c r="A6" t="s">
        <v>102</v>
      </c>
      <c r="B6" t="s">
        <v>103</v>
      </c>
      <c r="C6" t="s">
        <v>1353</v>
      </c>
    </row>
    <row r="7" spans="1:3" x14ac:dyDescent="0.3">
      <c r="A7" t="s">
        <v>133</v>
      </c>
      <c r="B7" t="s">
        <v>134</v>
      </c>
      <c r="C7" t="s">
        <v>1353</v>
      </c>
    </row>
    <row r="8" spans="1:3" x14ac:dyDescent="0.3">
      <c r="A8" t="s">
        <v>140</v>
      </c>
      <c r="B8" t="s">
        <v>141</v>
      </c>
      <c r="C8" t="s">
        <v>1353</v>
      </c>
    </row>
    <row r="9" spans="1:3" x14ac:dyDescent="0.3">
      <c r="A9" t="s">
        <v>146</v>
      </c>
      <c r="B9" t="s">
        <v>148</v>
      </c>
      <c r="C9" t="s">
        <v>1353</v>
      </c>
    </row>
    <row r="10" spans="1:3" x14ac:dyDescent="0.3">
      <c r="A10" t="s">
        <v>151</v>
      </c>
      <c r="B10" t="s">
        <v>153</v>
      </c>
      <c r="C10" t="s">
        <v>1353</v>
      </c>
    </row>
    <row r="11" spans="1:3" x14ac:dyDescent="0.3">
      <c r="A11" t="s">
        <v>155</v>
      </c>
      <c r="B11" t="s">
        <v>156</v>
      </c>
      <c r="C11" t="s">
        <v>1356</v>
      </c>
    </row>
    <row r="12" spans="1:3" x14ac:dyDescent="0.3">
      <c r="A12" t="s">
        <v>159</v>
      </c>
      <c r="B12" t="s">
        <v>160</v>
      </c>
      <c r="C12" t="s">
        <v>1353</v>
      </c>
    </row>
    <row r="13" spans="1:3" x14ac:dyDescent="0.3">
      <c r="A13" t="s">
        <v>162</v>
      </c>
      <c r="B13" t="s">
        <v>163</v>
      </c>
      <c r="C13" t="s">
        <v>1353</v>
      </c>
    </row>
    <row r="14" spans="1:3" x14ac:dyDescent="0.3">
      <c r="A14" t="s">
        <v>165</v>
      </c>
      <c r="B14" t="s">
        <v>167</v>
      </c>
      <c r="C14" t="s">
        <v>1353</v>
      </c>
    </row>
    <row r="15" spans="1:3" x14ac:dyDescent="0.3">
      <c r="A15" t="s">
        <v>207</v>
      </c>
      <c r="B15" t="s">
        <v>208</v>
      </c>
      <c r="C15" t="s">
        <v>1353</v>
      </c>
    </row>
    <row r="16" spans="1:3" x14ac:dyDescent="0.3">
      <c r="A16" t="s">
        <v>230</v>
      </c>
      <c r="B16" t="s">
        <v>231</v>
      </c>
      <c r="C16" t="s">
        <v>1353</v>
      </c>
    </row>
    <row r="17" spans="1:3" x14ac:dyDescent="0.3">
      <c r="A17" t="s">
        <v>236</v>
      </c>
      <c r="B17" t="s">
        <v>237</v>
      </c>
      <c r="C17" t="s">
        <v>1353</v>
      </c>
    </row>
    <row r="18" spans="1:3" x14ac:dyDescent="0.3">
      <c r="A18" t="s">
        <v>263</v>
      </c>
      <c r="B18" t="s">
        <v>264</v>
      </c>
      <c r="C18" t="s">
        <v>1353</v>
      </c>
    </row>
    <row r="19" spans="1:3" x14ac:dyDescent="0.3">
      <c r="A19" t="s">
        <v>288</v>
      </c>
      <c r="B19" t="s">
        <v>289</v>
      </c>
      <c r="C19" t="s">
        <v>1354</v>
      </c>
    </row>
    <row r="20" spans="1:3" x14ac:dyDescent="0.3">
      <c r="A20" t="s">
        <v>311</v>
      </c>
      <c r="B20" t="s">
        <v>313</v>
      </c>
      <c r="C20" t="s">
        <v>1353</v>
      </c>
    </row>
    <row r="21" spans="1:3" x14ac:dyDescent="0.3">
      <c r="A21" t="s">
        <v>318</v>
      </c>
      <c r="B21" t="s">
        <v>319</v>
      </c>
      <c r="C21" t="s">
        <v>1353</v>
      </c>
    </row>
    <row r="22" spans="1:3" x14ac:dyDescent="0.3">
      <c r="A22" t="s">
        <v>339</v>
      </c>
      <c r="B22" t="s">
        <v>340</v>
      </c>
      <c r="C22" t="s">
        <v>1353</v>
      </c>
    </row>
    <row r="23" spans="1:3" x14ac:dyDescent="0.3">
      <c r="A23" t="s">
        <v>342</v>
      </c>
      <c r="B23" t="s">
        <v>343</v>
      </c>
      <c r="C23" t="s">
        <v>1353</v>
      </c>
    </row>
    <row r="24" spans="1:3" x14ac:dyDescent="0.3">
      <c r="A24" t="s">
        <v>348</v>
      </c>
      <c r="B24" t="s">
        <v>349</v>
      </c>
      <c r="C24" t="s">
        <v>1356</v>
      </c>
    </row>
    <row r="25" spans="1:3" x14ac:dyDescent="0.3">
      <c r="A25" t="s">
        <v>371</v>
      </c>
      <c r="B25" t="s">
        <v>372</v>
      </c>
      <c r="C25" t="s">
        <v>1353</v>
      </c>
    </row>
    <row r="26" spans="1:3" x14ac:dyDescent="0.3">
      <c r="A26" t="s">
        <v>377</v>
      </c>
      <c r="B26" t="s">
        <v>378</v>
      </c>
      <c r="C26" t="s">
        <v>1353</v>
      </c>
    </row>
    <row r="27" spans="1:3" x14ac:dyDescent="0.3">
      <c r="A27" t="s">
        <v>423</v>
      </c>
      <c r="B27" t="s">
        <v>424</v>
      </c>
      <c r="C27" t="s">
        <v>1354</v>
      </c>
    </row>
    <row r="28" spans="1:3" x14ac:dyDescent="0.3">
      <c r="A28" t="s">
        <v>460</v>
      </c>
      <c r="B28" t="s">
        <v>461</v>
      </c>
      <c r="C28" t="s">
        <v>1354</v>
      </c>
    </row>
    <row r="29" spans="1:3" x14ac:dyDescent="0.3">
      <c r="A29" t="s">
        <v>469</v>
      </c>
      <c r="B29" t="s">
        <v>471</v>
      </c>
      <c r="C29" t="s">
        <v>1353</v>
      </c>
    </row>
    <row r="30" spans="1:3" x14ac:dyDescent="0.3">
      <c r="A30" t="s">
        <v>473</v>
      </c>
      <c r="B30" t="s">
        <v>474</v>
      </c>
      <c r="C30" t="s">
        <v>1353</v>
      </c>
    </row>
    <row r="31" spans="1:3" x14ac:dyDescent="0.3">
      <c r="A31" t="s">
        <v>486</v>
      </c>
      <c r="B31" t="s">
        <v>487</v>
      </c>
      <c r="C31" t="s">
        <v>1353</v>
      </c>
    </row>
    <row r="32" spans="1:3" x14ac:dyDescent="0.3">
      <c r="A32" t="s">
        <v>511</v>
      </c>
      <c r="B32" t="s">
        <v>512</v>
      </c>
      <c r="C32" t="s">
        <v>1353</v>
      </c>
    </row>
    <row r="33" spans="1:3" x14ac:dyDescent="0.3">
      <c r="A33" t="s">
        <v>609</v>
      </c>
      <c r="B33" t="s">
        <v>610</v>
      </c>
      <c r="C33" t="s">
        <v>1356</v>
      </c>
    </row>
    <row r="34" spans="1:3" x14ac:dyDescent="0.3">
      <c r="A34" t="s">
        <v>621</v>
      </c>
      <c r="B34" t="s">
        <v>623</v>
      </c>
      <c r="C34" t="s">
        <v>1353</v>
      </c>
    </row>
    <row r="35" spans="1:3" x14ac:dyDescent="0.3">
      <c r="A35" t="s">
        <v>650</v>
      </c>
      <c r="B35" t="s">
        <v>652</v>
      </c>
      <c r="C35" t="s">
        <v>1353</v>
      </c>
    </row>
    <row r="36" spans="1:3" x14ac:dyDescent="0.3">
      <c r="A36" t="s">
        <v>662</v>
      </c>
      <c r="B36" t="s">
        <v>663</v>
      </c>
      <c r="C36" t="s">
        <v>1353</v>
      </c>
    </row>
    <row r="37" spans="1:3" x14ac:dyDescent="0.3">
      <c r="A37" t="s">
        <v>678</v>
      </c>
      <c r="B37" t="s">
        <v>679</v>
      </c>
      <c r="C37" t="s">
        <v>1353</v>
      </c>
    </row>
    <row r="38" spans="1:3" x14ac:dyDescent="0.3">
      <c r="A38" t="s">
        <v>685</v>
      </c>
      <c r="B38" t="s">
        <v>687</v>
      </c>
      <c r="C38" t="s">
        <v>1353</v>
      </c>
    </row>
    <row r="39" spans="1:3" x14ac:dyDescent="0.3">
      <c r="A39" t="s">
        <v>689</v>
      </c>
      <c r="B39" t="s">
        <v>690</v>
      </c>
      <c r="C39" t="s">
        <v>1356</v>
      </c>
    </row>
    <row r="40" spans="1:3" x14ac:dyDescent="0.3">
      <c r="A40" t="s">
        <v>704</v>
      </c>
      <c r="B40" t="s">
        <v>705</v>
      </c>
      <c r="C40" t="s">
        <v>1353</v>
      </c>
    </row>
    <row r="41" spans="1:3" x14ac:dyDescent="0.3">
      <c r="A41" t="s">
        <v>724</v>
      </c>
      <c r="B41" t="s">
        <v>726</v>
      </c>
      <c r="C41" t="s">
        <v>1353</v>
      </c>
    </row>
    <row r="42" spans="1:3" x14ac:dyDescent="0.3">
      <c r="A42" t="s">
        <v>739</v>
      </c>
      <c r="B42" t="s">
        <v>740</v>
      </c>
      <c r="C42" t="s">
        <v>1356</v>
      </c>
    </row>
    <row r="43" spans="1:3" x14ac:dyDescent="0.3">
      <c r="A43" t="s">
        <v>926</v>
      </c>
      <c r="B43" t="s">
        <v>927</v>
      </c>
      <c r="C43" t="s">
        <v>1353</v>
      </c>
    </row>
    <row r="44" spans="1:3" x14ac:dyDescent="0.3">
      <c r="A44" t="s">
        <v>932</v>
      </c>
      <c r="B44" t="s">
        <v>934</v>
      </c>
      <c r="C44" t="s">
        <v>1363</v>
      </c>
    </row>
    <row r="45" spans="1:3" x14ac:dyDescent="0.3">
      <c r="A45" t="s">
        <v>1062</v>
      </c>
      <c r="B45" t="s">
        <v>1063</v>
      </c>
      <c r="C45" t="s">
        <v>1356</v>
      </c>
    </row>
    <row r="46" spans="1:3" x14ac:dyDescent="0.3">
      <c r="A46" t="s">
        <v>1112</v>
      </c>
      <c r="B46" t="s">
        <v>1113</v>
      </c>
      <c r="C46" t="s">
        <v>1353</v>
      </c>
    </row>
    <row r="47" spans="1:3" x14ac:dyDescent="0.3">
      <c r="A47" t="s">
        <v>1130</v>
      </c>
      <c r="B47" t="s">
        <v>1131</v>
      </c>
      <c r="C47" t="s">
        <v>1353</v>
      </c>
    </row>
    <row r="48" spans="1:3" x14ac:dyDescent="0.3">
      <c r="A48" t="s">
        <v>128</v>
      </c>
      <c r="B48" t="s">
        <v>130</v>
      </c>
      <c r="C48" t="s">
        <v>1353</v>
      </c>
    </row>
    <row r="49" spans="1:3" x14ac:dyDescent="0.3">
      <c r="A49" t="s">
        <v>1211</v>
      </c>
      <c r="B49" t="s">
        <v>1212</v>
      </c>
      <c r="C49" t="s">
        <v>1353</v>
      </c>
    </row>
    <row r="50" spans="1:3" x14ac:dyDescent="0.3">
      <c r="A50" t="s">
        <v>1322</v>
      </c>
      <c r="B50" t="s">
        <v>1323</v>
      </c>
      <c r="C50" t="s">
        <v>1353</v>
      </c>
    </row>
    <row r="51" spans="1:3" x14ac:dyDescent="0.3">
      <c r="A51" t="s">
        <v>1329</v>
      </c>
      <c r="B51" t="s">
        <v>1330</v>
      </c>
      <c r="C51" t="s">
        <v>1353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ed91d6-5992-4b37-908c-5556404bd4fe">
      <Terms xmlns="http://schemas.microsoft.com/office/infopath/2007/PartnerControls"/>
    </lcf76f155ced4ddcb4097134ff3c332f>
    <TaxCatchAll xmlns="8e03ab8c-8eac-4e19-98e6-343e280ee429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E993BB5363641A3E19205BC413B02" ma:contentTypeVersion="12" ma:contentTypeDescription="Create a new document." ma:contentTypeScope="" ma:versionID="afc6bf3fdabc46efec021bc5ee825bb3">
  <xsd:schema xmlns:xsd="http://www.w3.org/2001/XMLSchema" xmlns:xs="http://www.w3.org/2001/XMLSchema" xmlns:p="http://schemas.microsoft.com/office/2006/metadata/properties" xmlns:ns2="eeed91d6-5992-4b37-908c-5556404bd4fe" xmlns:ns3="8e03ab8c-8eac-4e19-98e6-343e280ee429" targetNamespace="http://schemas.microsoft.com/office/2006/metadata/properties" ma:root="true" ma:fieldsID="c909a37e3e7422c6821769266fd33298" ns2:_="" ns3:_="">
    <xsd:import namespace="eeed91d6-5992-4b37-908c-5556404bd4fe"/>
    <xsd:import namespace="8e03ab8c-8eac-4e19-98e6-343e280ee4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ed91d6-5992-4b37-908c-5556404bd4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de64d7e-c147-4806-b092-5431f86dbb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03ab8c-8eac-4e19-98e6-343e280ee42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4a4724a-dd4c-4912-873b-e101dd6a558b}" ma:internalName="TaxCatchAll" ma:showField="CatchAllData" ma:web="8e03ab8c-8eac-4e19-98e6-343e280ee4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8B2F55-C7DA-478D-881C-C027498EC5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762FAA-F7AF-4613-ACA9-02C4E7F55D7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EE9B80B-9BD1-4AB8-8763-8C0E7293CB15}">
  <ds:schemaRefs>
    <ds:schemaRef ds:uri="http://schemas.microsoft.com/office/2006/metadata/properties"/>
    <ds:schemaRef ds:uri="http://schemas.microsoft.com/office/infopath/2007/PartnerControls"/>
    <ds:schemaRef ds:uri="eeed91d6-5992-4b37-908c-5556404bd4fe"/>
    <ds:schemaRef ds:uri="8e03ab8c-8eac-4e19-98e6-343e280ee429"/>
  </ds:schemaRefs>
</ds:datastoreItem>
</file>

<file path=customXml/itemProps4.xml><?xml version="1.0" encoding="utf-8"?>
<ds:datastoreItem xmlns:ds="http://schemas.openxmlformats.org/officeDocument/2006/customXml" ds:itemID="{52F33774-2F2E-4298-A6DE-D9CF3FC5C4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ed91d6-5992-4b37-908c-5556404bd4fe"/>
    <ds:schemaRef ds:uri="8e03ab8c-8eac-4e19-98e6-343e280ee4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 de Tutores</vt:lpstr>
      <vt:lpstr>Demissional</vt:lpstr>
      <vt:lpstr>Transferência</vt:lpstr>
      <vt:lpstr>TUT.CONTROL</vt:lpstr>
      <vt:lpstr>REG.CONTROL</vt:lpstr>
      <vt:lpstr>CHAVE</vt:lpstr>
      <vt:lpstr>REGENTE 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Elienai Morgado Cesar</dc:creator>
  <cp:keywords/>
  <dc:description/>
  <cp:lastModifiedBy>Elienai Morgado Cesar</cp:lastModifiedBy>
  <cp:revision/>
  <dcterms:created xsi:type="dcterms:W3CDTF">2025-05-15T19:02:29Z</dcterms:created>
  <dcterms:modified xsi:type="dcterms:W3CDTF">2026-04-28T20:37:38Z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0x010100CF4E993BB5363641A3E19205BC413B02</vt:lpwstr>
  </property>
</Properties>
</file>