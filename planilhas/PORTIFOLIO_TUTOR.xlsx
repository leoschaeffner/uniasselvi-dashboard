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updateLinks="always"/>
  <mc:AlternateContent xmlns:mc="http://schemas.openxmlformats.org/markup-compatibility/2006">
    <mc:Choice Requires="x15">
      <x15ac:absPath xmlns:x15ac="http://schemas.microsoft.com/office/spreadsheetml/2010/11/ac" url="https://uniasselvi01-my.sharepoint.com/personal/elienai_cesar_uniasselvi_com_br1/Documents/"/>
    </mc:Choice>
  </mc:AlternateContent>
  <xr:revisionPtr revIDLastSave="397" documentId="13_ncr:1_{AD74628D-BE06-4FC1-BE04-2187DD70E9AC}" xr6:coauthVersionLast="47" xr6:coauthVersionMax="47" xr10:uidLastSave="{4EDF9EE7-B2CF-461A-A2C8-0275E22FA1D5}"/>
  <bookViews>
    <workbookView minimized="1" xWindow="3000" yWindow="3000" windowWidth="17280" windowHeight="8880" xr2:uid="{00000000-000D-0000-FFFF-FFFF00000000}"/>
  </bookViews>
  <sheets>
    <sheet name="Sheet1" sheetId="1" r:id="rId1"/>
    <sheet name="Planilha1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900" i="1" l="1"/>
  <c r="DS901" i="1"/>
  <c r="DS902" i="1"/>
  <c r="DS903" i="1"/>
  <c r="DS904" i="1"/>
  <c r="DS905" i="1"/>
  <c r="DS906" i="1"/>
  <c r="DS907" i="1"/>
  <c r="DS908" i="1"/>
  <c r="DS909" i="1"/>
  <c r="DS910" i="1"/>
  <c r="DS911" i="1"/>
  <c r="DS912" i="1"/>
  <c r="DS913" i="1"/>
  <c r="DS914" i="1"/>
  <c r="DS915" i="1"/>
  <c r="DT900" i="1"/>
  <c r="DT901" i="1"/>
  <c r="DT902" i="1"/>
  <c r="DT903" i="1"/>
  <c r="DT904" i="1"/>
  <c r="DT905" i="1"/>
  <c r="DT906" i="1"/>
  <c r="DT907" i="1"/>
  <c r="DT908" i="1"/>
  <c r="DT909" i="1"/>
  <c r="DT910" i="1"/>
  <c r="DT911" i="1"/>
  <c r="DT912" i="1"/>
  <c r="DT913" i="1"/>
  <c r="DT914" i="1"/>
  <c r="DT915" i="1"/>
  <c r="DU900" i="1"/>
  <c r="DU901" i="1"/>
  <c r="DU902" i="1"/>
  <c r="DU903" i="1"/>
  <c r="DU904" i="1"/>
  <c r="DU905" i="1"/>
  <c r="DU906" i="1"/>
  <c r="DU907" i="1"/>
  <c r="DU908" i="1"/>
  <c r="DU909" i="1"/>
  <c r="DU910" i="1"/>
  <c r="DU911" i="1"/>
  <c r="DU912" i="1"/>
  <c r="DU913" i="1"/>
  <c r="DU914" i="1"/>
  <c r="DU915" i="1"/>
  <c r="DV900" i="1"/>
  <c r="DV901" i="1"/>
  <c r="DV902" i="1"/>
  <c r="DV903" i="1"/>
  <c r="DV904" i="1"/>
  <c r="DV905" i="1"/>
  <c r="DV906" i="1"/>
  <c r="DV907" i="1"/>
  <c r="DV908" i="1"/>
  <c r="DV909" i="1"/>
  <c r="DV910" i="1"/>
  <c r="DV911" i="1"/>
  <c r="DV912" i="1"/>
  <c r="DV913" i="1"/>
  <c r="DV914" i="1"/>
  <c r="DV915" i="1"/>
  <c r="DW900" i="1"/>
  <c r="DW901" i="1"/>
  <c r="DW902" i="1"/>
  <c r="DW903" i="1"/>
  <c r="DW904" i="1"/>
  <c r="DW905" i="1"/>
  <c r="DW906" i="1"/>
  <c r="DW907" i="1"/>
  <c r="DW908" i="1"/>
  <c r="DW909" i="1"/>
  <c r="DW910" i="1"/>
  <c r="DW911" i="1"/>
  <c r="DW912" i="1"/>
  <c r="DW913" i="1"/>
  <c r="DW914" i="1"/>
  <c r="DW915" i="1"/>
  <c r="DX900" i="1"/>
  <c r="DX901" i="1"/>
  <c r="DX902" i="1"/>
  <c r="DX903" i="1"/>
  <c r="DX904" i="1"/>
  <c r="DX905" i="1"/>
  <c r="DX906" i="1"/>
  <c r="DX907" i="1"/>
  <c r="DX908" i="1"/>
  <c r="DX909" i="1"/>
  <c r="DX910" i="1"/>
  <c r="DX911" i="1"/>
  <c r="DX912" i="1"/>
  <c r="DX913" i="1"/>
  <c r="DX914" i="1"/>
  <c r="DX915" i="1"/>
  <c r="DY900" i="1"/>
  <c r="DY901" i="1"/>
  <c r="DY902" i="1"/>
  <c r="DY903" i="1"/>
  <c r="DY904" i="1"/>
  <c r="DY905" i="1"/>
  <c r="DY906" i="1"/>
  <c r="DY907" i="1"/>
  <c r="DY908" i="1"/>
  <c r="DY909" i="1"/>
  <c r="DY910" i="1"/>
  <c r="DY911" i="1"/>
  <c r="DY912" i="1"/>
  <c r="DY913" i="1"/>
  <c r="DY914" i="1"/>
  <c r="DY915" i="1"/>
  <c r="DS875" i="1"/>
  <c r="DS876" i="1"/>
  <c r="DS877" i="1"/>
  <c r="DS878" i="1"/>
  <c r="DS879" i="1"/>
  <c r="DS880" i="1"/>
  <c r="DS881" i="1"/>
  <c r="DS882" i="1"/>
  <c r="DS883" i="1"/>
  <c r="DT883" i="1" s="1"/>
  <c r="DX883" i="1" s="1"/>
  <c r="DS884" i="1"/>
  <c r="DS885" i="1"/>
  <c r="DS886" i="1"/>
  <c r="DS887" i="1"/>
  <c r="DS888" i="1"/>
  <c r="DS889" i="1"/>
  <c r="DS890" i="1"/>
  <c r="DS891" i="1"/>
  <c r="DS892" i="1"/>
  <c r="DS893" i="1"/>
  <c r="DS894" i="1"/>
  <c r="DS895" i="1"/>
  <c r="DS896" i="1"/>
  <c r="DS897" i="1"/>
  <c r="DS898" i="1"/>
  <c r="DS899" i="1"/>
  <c r="DT875" i="1"/>
  <c r="DT876" i="1"/>
  <c r="DT877" i="1"/>
  <c r="DT878" i="1"/>
  <c r="DT879" i="1"/>
  <c r="DT880" i="1"/>
  <c r="DT881" i="1"/>
  <c r="DT882" i="1"/>
  <c r="DT884" i="1"/>
  <c r="DT885" i="1"/>
  <c r="DT886" i="1"/>
  <c r="DT887" i="1"/>
  <c r="DT888" i="1"/>
  <c r="DT889" i="1"/>
  <c r="DT890" i="1"/>
  <c r="DT891" i="1"/>
  <c r="DT892" i="1"/>
  <c r="DT893" i="1"/>
  <c r="DT894" i="1"/>
  <c r="DT895" i="1"/>
  <c r="DT896" i="1"/>
  <c r="DT897" i="1"/>
  <c r="DT898" i="1"/>
  <c r="DT899" i="1"/>
  <c r="DU875" i="1"/>
  <c r="DU876" i="1"/>
  <c r="DU877" i="1"/>
  <c r="DU878" i="1"/>
  <c r="DU879" i="1"/>
  <c r="DU880" i="1"/>
  <c r="DU881" i="1"/>
  <c r="DU882" i="1"/>
  <c r="DU883" i="1"/>
  <c r="DU884" i="1"/>
  <c r="DU885" i="1"/>
  <c r="DU886" i="1"/>
  <c r="DU887" i="1"/>
  <c r="DU888" i="1"/>
  <c r="DU889" i="1"/>
  <c r="DU890" i="1"/>
  <c r="DU891" i="1"/>
  <c r="DU892" i="1"/>
  <c r="DU893" i="1"/>
  <c r="DU894" i="1"/>
  <c r="DU895" i="1"/>
  <c r="DU896" i="1"/>
  <c r="DU897" i="1"/>
  <c r="DU898" i="1"/>
  <c r="DU899" i="1"/>
  <c r="DV875" i="1"/>
  <c r="DV876" i="1"/>
  <c r="DV877" i="1"/>
  <c r="DV878" i="1"/>
  <c r="DV879" i="1"/>
  <c r="DV880" i="1"/>
  <c r="DV881" i="1"/>
  <c r="DV882" i="1"/>
  <c r="DV883" i="1"/>
  <c r="DV884" i="1"/>
  <c r="DV885" i="1"/>
  <c r="DV886" i="1"/>
  <c r="DV887" i="1"/>
  <c r="DV888" i="1"/>
  <c r="DV889" i="1"/>
  <c r="DV890" i="1"/>
  <c r="DV891" i="1"/>
  <c r="DV892" i="1"/>
  <c r="DV893" i="1"/>
  <c r="DV894" i="1"/>
  <c r="DV895" i="1"/>
  <c r="DV896" i="1"/>
  <c r="DV897" i="1"/>
  <c r="DV898" i="1"/>
  <c r="DV899" i="1"/>
  <c r="DW875" i="1"/>
  <c r="DW876" i="1"/>
  <c r="DW877" i="1"/>
  <c r="DW878" i="1"/>
  <c r="DW879" i="1"/>
  <c r="DW880" i="1"/>
  <c r="DW881" i="1"/>
  <c r="DW882" i="1"/>
  <c r="DW883" i="1"/>
  <c r="DW884" i="1"/>
  <c r="DW885" i="1"/>
  <c r="DW886" i="1"/>
  <c r="DW887" i="1"/>
  <c r="DW888" i="1"/>
  <c r="DW889" i="1"/>
  <c r="DW890" i="1"/>
  <c r="DW891" i="1"/>
  <c r="DW892" i="1"/>
  <c r="DW893" i="1"/>
  <c r="DW894" i="1"/>
  <c r="DW895" i="1"/>
  <c r="DW896" i="1"/>
  <c r="DW897" i="1"/>
  <c r="DW898" i="1"/>
  <c r="DW899" i="1"/>
  <c r="DX875" i="1"/>
  <c r="DX876" i="1"/>
  <c r="DX877" i="1"/>
  <c r="DX878" i="1"/>
  <c r="DX879" i="1"/>
  <c r="DX880" i="1"/>
  <c r="DX881" i="1"/>
  <c r="DX882" i="1"/>
  <c r="DX884" i="1"/>
  <c r="DX885" i="1"/>
  <c r="DX886" i="1"/>
  <c r="DX887" i="1"/>
  <c r="DX888" i="1"/>
  <c r="DX889" i="1"/>
  <c r="DX890" i="1"/>
  <c r="DX891" i="1"/>
  <c r="DX892" i="1"/>
  <c r="DX893" i="1"/>
  <c r="DX894" i="1"/>
  <c r="DX895" i="1"/>
  <c r="DX896" i="1"/>
  <c r="DX897" i="1"/>
  <c r="DX898" i="1"/>
  <c r="DX899" i="1"/>
  <c r="DY875" i="1"/>
  <c r="DY876" i="1"/>
  <c r="DY877" i="1"/>
  <c r="DY878" i="1"/>
  <c r="DY879" i="1"/>
  <c r="DY880" i="1"/>
  <c r="DY881" i="1"/>
  <c r="DY882" i="1"/>
  <c r="DY883" i="1"/>
  <c r="DY884" i="1"/>
  <c r="DY885" i="1"/>
  <c r="DY886" i="1"/>
  <c r="DY887" i="1"/>
  <c r="DY888" i="1"/>
  <c r="DY889" i="1"/>
  <c r="DY890" i="1"/>
  <c r="DY891" i="1"/>
  <c r="DY892" i="1"/>
  <c r="DY893" i="1"/>
  <c r="DY894" i="1"/>
  <c r="DY895" i="1"/>
  <c r="DY896" i="1"/>
  <c r="DY897" i="1"/>
  <c r="DY898" i="1"/>
  <c r="DY899" i="1"/>
  <c r="DS850" i="1"/>
  <c r="DT850" i="1" s="1"/>
  <c r="DX850" i="1" s="1"/>
  <c r="DS851" i="1"/>
  <c r="DT851" i="1" s="1"/>
  <c r="DX851" i="1" s="1"/>
  <c r="DS852" i="1"/>
  <c r="DT852" i="1" s="1"/>
  <c r="DX852" i="1" s="1"/>
  <c r="DS853" i="1"/>
  <c r="DT853" i="1" s="1"/>
  <c r="DX853" i="1" s="1"/>
  <c r="DS854" i="1"/>
  <c r="DT854" i="1" s="1"/>
  <c r="DX854" i="1" s="1"/>
  <c r="DS855" i="1"/>
  <c r="DT855" i="1" s="1"/>
  <c r="DX855" i="1" s="1"/>
  <c r="DS856" i="1"/>
  <c r="DT856" i="1" s="1"/>
  <c r="DX856" i="1" s="1"/>
  <c r="DS857" i="1"/>
  <c r="DT857" i="1" s="1"/>
  <c r="DX857" i="1" s="1"/>
  <c r="DS858" i="1"/>
  <c r="DT858" i="1" s="1"/>
  <c r="DX858" i="1" s="1"/>
  <c r="DS859" i="1"/>
  <c r="DT859" i="1" s="1"/>
  <c r="DX859" i="1" s="1"/>
  <c r="DS860" i="1"/>
  <c r="DT860" i="1" s="1"/>
  <c r="DX860" i="1" s="1"/>
  <c r="DS861" i="1"/>
  <c r="DT861" i="1" s="1"/>
  <c r="DX861" i="1" s="1"/>
  <c r="DS862" i="1"/>
  <c r="DT862" i="1" s="1"/>
  <c r="DX862" i="1" s="1"/>
  <c r="DS863" i="1"/>
  <c r="DT863" i="1" s="1"/>
  <c r="DX863" i="1" s="1"/>
  <c r="DS864" i="1"/>
  <c r="DT864" i="1" s="1"/>
  <c r="DX864" i="1" s="1"/>
  <c r="DS865" i="1"/>
  <c r="DT865" i="1" s="1"/>
  <c r="DX865" i="1" s="1"/>
  <c r="DS866" i="1"/>
  <c r="DT866" i="1" s="1"/>
  <c r="DX866" i="1" s="1"/>
  <c r="DS867" i="1"/>
  <c r="DS868" i="1"/>
  <c r="DT868" i="1" s="1"/>
  <c r="DX868" i="1" s="1"/>
  <c r="DS869" i="1"/>
  <c r="DT869" i="1" s="1"/>
  <c r="DX869" i="1" s="1"/>
  <c r="DS870" i="1"/>
  <c r="DT870" i="1" s="1"/>
  <c r="DX870" i="1" s="1"/>
  <c r="DS871" i="1"/>
  <c r="DT871" i="1" s="1"/>
  <c r="DX871" i="1" s="1"/>
  <c r="DS872" i="1"/>
  <c r="DT872" i="1" s="1"/>
  <c r="DX872" i="1" s="1"/>
  <c r="DS873" i="1"/>
  <c r="DT873" i="1" s="1"/>
  <c r="DX873" i="1" s="1"/>
  <c r="DS874" i="1"/>
  <c r="DT874" i="1" s="1"/>
  <c r="DX874" i="1" s="1"/>
  <c r="DT867" i="1"/>
  <c r="DX867" i="1" s="1"/>
  <c r="DU850" i="1"/>
  <c r="DU851" i="1"/>
  <c r="DU852" i="1"/>
  <c r="DU853" i="1"/>
  <c r="DU854" i="1"/>
  <c r="DU855" i="1"/>
  <c r="DU856" i="1"/>
  <c r="DU857" i="1"/>
  <c r="DU858" i="1"/>
  <c r="DU859" i="1"/>
  <c r="DU860" i="1"/>
  <c r="DU861" i="1"/>
  <c r="DU862" i="1"/>
  <c r="DU863" i="1"/>
  <c r="DU864" i="1"/>
  <c r="DU865" i="1"/>
  <c r="DU866" i="1"/>
  <c r="DU867" i="1"/>
  <c r="DU868" i="1"/>
  <c r="DU869" i="1"/>
  <c r="DU870" i="1"/>
  <c r="DU871" i="1"/>
  <c r="DU872" i="1"/>
  <c r="DU873" i="1"/>
  <c r="DU874" i="1"/>
  <c r="DV850" i="1"/>
  <c r="DV851" i="1"/>
  <c r="DV852" i="1"/>
  <c r="DV853" i="1"/>
  <c r="DV854" i="1"/>
  <c r="DV855" i="1"/>
  <c r="DV856" i="1"/>
  <c r="DV857" i="1"/>
  <c r="DV858" i="1"/>
  <c r="DV859" i="1"/>
  <c r="DV860" i="1"/>
  <c r="DV861" i="1"/>
  <c r="DV862" i="1"/>
  <c r="DV863" i="1"/>
  <c r="DV864" i="1"/>
  <c r="DV865" i="1"/>
  <c r="DV866" i="1"/>
  <c r="DV867" i="1"/>
  <c r="DV868" i="1"/>
  <c r="DV869" i="1"/>
  <c r="DV870" i="1"/>
  <c r="DV871" i="1"/>
  <c r="DV872" i="1"/>
  <c r="DV873" i="1"/>
  <c r="DV874" i="1"/>
  <c r="DW850" i="1"/>
  <c r="DW851" i="1"/>
  <c r="DW852" i="1"/>
  <c r="DW853" i="1"/>
  <c r="DW854" i="1"/>
  <c r="DW855" i="1"/>
  <c r="DW856" i="1"/>
  <c r="DW857" i="1"/>
  <c r="DW858" i="1"/>
  <c r="DW859" i="1"/>
  <c r="DW860" i="1"/>
  <c r="DW861" i="1"/>
  <c r="DW862" i="1"/>
  <c r="DW863" i="1"/>
  <c r="DW864" i="1"/>
  <c r="DW865" i="1"/>
  <c r="DW866" i="1"/>
  <c r="DW867" i="1"/>
  <c r="DW868" i="1"/>
  <c r="DW869" i="1"/>
  <c r="DW870" i="1"/>
  <c r="DW871" i="1"/>
  <c r="DW872" i="1"/>
  <c r="DW873" i="1"/>
  <c r="DW874" i="1"/>
  <c r="DY850" i="1"/>
  <c r="DY851" i="1"/>
  <c r="DY852" i="1"/>
  <c r="DY853" i="1"/>
  <c r="DY854" i="1"/>
  <c r="DY855" i="1"/>
  <c r="DY856" i="1"/>
  <c r="DY857" i="1"/>
  <c r="DY858" i="1"/>
  <c r="DY859" i="1"/>
  <c r="DY860" i="1"/>
  <c r="DY861" i="1"/>
  <c r="DY862" i="1"/>
  <c r="DY863" i="1"/>
  <c r="DY864" i="1"/>
  <c r="DY865" i="1"/>
  <c r="DY866" i="1"/>
  <c r="DY867" i="1"/>
  <c r="DY868" i="1"/>
  <c r="DY869" i="1"/>
  <c r="DY870" i="1"/>
  <c r="DY871" i="1"/>
  <c r="DY872" i="1"/>
  <c r="DY873" i="1"/>
  <c r="DY874" i="1"/>
  <c r="DS825" i="1"/>
  <c r="DT825" i="1" s="1"/>
  <c r="DX825" i="1" s="1"/>
  <c r="DS826" i="1"/>
  <c r="DT826" i="1" s="1"/>
  <c r="DX826" i="1" s="1"/>
  <c r="DS827" i="1"/>
  <c r="DT827" i="1" s="1"/>
  <c r="DX827" i="1" s="1"/>
  <c r="DS828" i="1"/>
  <c r="DT828" i="1" s="1"/>
  <c r="DX828" i="1" s="1"/>
  <c r="DS829" i="1"/>
  <c r="DT829" i="1" s="1"/>
  <c r="DX829" i="1" s="1"/>
  <c r="DS830" i="1"/>
  <c r="DT830" i="1" s="1"/>
  <c r="DX830" i="1" s="1"/>
  <c r="DS831" i="1"/>
  <c r="DT831" i="1" s="1"/>
  <c r="DX831" i="1" s="1"/>
  <c r="DS832" i="1"/>
  <c r="DT832" i="1" s="1"/>
  <c r="DX832" i="1" s="1"/>
  <c r="DS833" i="1"/>
  <c r="DT833" i="1" s="1"/>
  <c r="DX833" i="1" s="1"/>
  <c r="DS834" i="1"/>
  <c r="DT834" i="1" s="1"/>
  <c r="DX834" i="1" s="1"/>
  <c r="DS835" i="1"/>
  <c r="DT835" i="1" s="1"/>
  <c r="DX835" i="1" s="1"/>
  <c r="DS836" i="1"/>
  <c r="DT836" i="1" s="1"/>
  <c r="DX836" i="1" s="1"/>
  <c r="DS837" i="1"/>
  <c r="DT837" i="1" s="1"/>
  <c r="DX837" i="1" s="1"/>
  <c r="DS838" i="1"/>
  <c r="DT838" i="1" s="1"/>
  <c r="DX838" i="1" s="1"/>
  <c r="DS839" i="1"/>
  <c r="DT839" i="1" s="1"/>
  <c r="DX839" i="1" s="1"/>
  <c r="DS840" i="1"/>
  <c r="DT840" i="1" s="1"/>
  <c r="DX840" i="1" s="1"/>
  <c r="DS841" i="1"/>
  <c r="DT841" i="1" s="1"/>
  <c r="DX841" i="1" s="1"/>
  <c r="DS842" i="1"/>
  <c r="DT842" i="1" s="1"/>
  <c r="DX842" i="1" s="1"/>
  <c r="DS843" i="1"/>
  <c r="DT843" i="1" s="1"/>
  <c r="DX843" i="1" s="1"/>
  <c r="DS844" i="1"/>
  <c r="DT844" i="1" s="1"/>
  <c r="DX844" i="1" s="1"/>
  <c r="DS845" i="1"/>
  <c r="DT845" i="1" s="1"/>
  <c r="DX845" i="1" s="1"/>
  <c r="DS846" i="1"/>
  <c r="DT846" i="1" s="1"/>
  <c r="DX846" i="1" s="1"/>
  <c r="DS847" i="1"/>
  <c r="DT847" i="1" s="1"/>
  <c r="DX847" i="1" s="1"/>
  <c r="DS848" i="1"/>
  <c r="DT848" i="1" s="1"/>
  <c r="DX848" i="1" s="1"/>
  <c r="DS849" i="1"/>
  <c r="DT849" i="1" s="1"/>
  <c r="DX849" i="1" s="1"/>
  <c r="DU825" i="1"/>
  <c r="DU826" i="1"/>
  <c r="DU827" i="1"/>
  <c r="DU828" i="1"/>
  <c r="DU829" i="1"/>
  <c r="DU830" i="1"/>
  <c r="DU831" i="1"/>
  <c r="DU832" i="1"/>
  <c r="DU833" i="1"/>
  <c r="DU834" i="1"/>
  <c r="DU835" i="1"/>
  <c r="DU836" i="1"/>
  <c r="DU837" i="1"/>
  <c r="DU838" i="1"/>
  <c r="DU839" i="1"/>
  <c r="DU840" i="1"/>
  <c r="DU841" i="1"/>
  <c r="DU842" i="1"/>
  <c r="DU843" i="1"/>
  <c r="DU844" i="1"/>
  <c r="DU845" i="1"/>
  <c r="DU846" i="1"/>
  <c r="DU847" i="1"/>
  <c r="DU848" i="1"/>
  <c r="DU849" i="1"/>
  <c r="DV825" i="1"/>
  <c r="DV826" i="1"/>
  <c r="DV827" i="1"/>
  <c r="DV828" i="1"/>
  <c r="DV829" i="1"/>
  <c r="DV830" i="1"/>
  <c r="DV831" i="1"/>
  <c r="DV832" i="1"/>
  <c r="DV833" i="1"/>
  <c r="DV834" i="1"/>
  <c r="DV835" i="1"/>
  <c r="DV836" i="1"/>
  <c r="DV837" i="1"/>
  <c r="DV838" i="1"/>
  <c r="DV839" i="1"/>
  <c r="DV840" i="1"/>
  <c r="DV841" i="1"/>
  <c r="DV842" i="1"/>
  <c r="DV843" i="1"/>
  <c r="DV844" i="1"/>
  <c r="DV845" i="1"/>
  <c r="DV846" i="1"/>
  <c r="DV847" i="1"/>
  <c r="DV848" i="1"/>
  <c r="DV849" i="1"/>
  <c r="DW825" i="1"/>
  <c r="DW826" i="1"/>
  <c r="DW827" i="1"/>
  <c r="DW828" i="1"/>
  <c r="DW829" i="1"/>
  <c r="DW830" i="1"/>
  <c r="DW831" i="1"/>
  <c r="DW832" i="1"/>
  <c r="DW833" i="1"/>
  <c r="DW834" i="1"/>
  <c r="DW835" i="1"/>
  <c r="DW836" i="1"/>
  <c r="DW837" i="1"/>
  <c r="DW838" i="1"/>
  <c r="DW839" i="1"/>
  <c r="DW840" i="1"/>
  <c r="DW841" i="1"/>
  <c r="DW842" i="1"/>
  <c r="DW843" i="1"/>
  <c r="DW844" i="1"/>
  <c r="DW845" i="1"/>
  <c r="DW846" i="1"/>
  <c r="DW847" i="1"/>
  <c r="DW848" i="1"/>
  <c r="DW849" i="1"/>
  <c r="DY825" i="1"/>
  <c r="DY826" i="1"/>
  <c r="DY827" i="1"/>
  <c r="DY828" i="1"/>
  <c r="DY829" i="1"/>
  <c r="DY830" i="1"/>
  <c r="DY831" i="1"/>
  <c r="DY832" i="1"/>
  <c r="DY833" i="1"/>
  <c r="DY834" i="1"/>
  <c r="DY835" i="1"/>
  <c r="DY836" i="1"/>
  <c r="DY837" i="1"/>
  <c r="DY838" i="1"/>
  <c r="DY839" i="1"/>
  <c r="DY840" i="1"/>
  <c r="DY841" i="1"/>
  <c r="DY842" i="1"/>
  <c r="DY843" i="1"/>
  <c r="DY844" i="1"/>
  <c r="DY845" i="1"/>
  <c r="DY846" i="1"/>
  <c r="DY847" i="1"/>
  <c r="DY848" i="1"/>
  <c r="DY849" i="1"/>
  <c r="DS800" i="1"/>
  <c r="DT800" i="1" s="1"/>
  <c r="DX800" i="1" s="1"/>
  <c r="DS801" i="1"/>
  <c r="DT801" i="1" s="1"/>
  <c r="DX801" i="1" s="1"/>
  <c r="DS802" i="1"/>
  <c r="DT802" i="1" s="1"/>
  <c r="DX802" i="1" s="1"/>
  <c r="DS803" i="1"/>
  <c r="DT803" i="1" s="1"/>
  <c r="DX803" i="1" s="1"/>
  <c r="DS804" i="1"/>
  <c r="DT804" i="1" s="1"/>
  <c r="DX804" i="1" s="1"/>
  <c r="DS805" i="1"/>
  <c r="DT805" i="1" s="1"/>
  <c r="DX805" i="1" s="1"/>
  <c r="DS806" i="1"/>
  <c r="DT806" i="1" s="1"/>
  <c r="DX806" i="1" s="1"/>
  <c r="DS807" i="1"/>
  <c r="DT807" i="1" s="1"/>
  <c r="DX807" i="1" s="1"/>
  <c r="DS808" i="1"/>
  <c r="DT808" i="1" s="1"/>
  <c r="DX808" i="1" s="1"/>
  <c r="DS809" i="1"/>
  <c r="DT809" i="1" s="1"/>
  <c r="DX809" i="1" s="1"/>
  <c r="DS810" i="1"/>
  <c r="DT810" i="1" s="1"/>
  <c r="DX810" i="1" s="1"/>
  <c r="DS811" i="1"/>
  <c r="DT811" i="1" s="1"/>
  <c r="DX811" i="1" s="1"/>
  <c r="DS812" i="1"/>
  <c r="DT812" i="1" s="1"/>
  <c r="DX812" i="1" s="1"/>
  <c r="DS813" i="1"/>
  <c r="DT813" i="1" s="1"/>
  <c r="DX813" i="1" s="1"/>
  <c r="DS814" i="1"/>
  <c r="DT814" i="1" s="1"/>
  <c r="DX814" i="1" s="1"/>
  <c r="DS815" i="1"/>
  <c r="DT815" i="1" s="1"/>
  <c r="DX815" i="1" s="1"/>
  <c r="DS816" i="1"/>
  <c r="DT816" i="1" s="1"/>
  <c r="DX816" i="1" s="1"/>
  <c r="DS817" i="1"/>
  <c r="DT817" i="1" s="1"/>
  <c r="DX817" i="1" s="1"/>
  <c r="DS818" i="1"/>
  <c r="DT818" i="1" s="1"/>
  <c r="DX818" i="1" s="1"/>
  <c r="DS819" i="1"/>
  <c r="DT819" i="1" s="1"/>
  <c r="DX819" i="1" s="1"/>
  <c r="DS820" i="1"/>
  <c r="DT820" i="1" s="1"/>
  <c r="DX820" i="1" s="1"/>
  <c r="DS821" i="1"/>
  <c r="DT821" i="1" s="1"/>
  <c r="DX821" i="1" s="1"/>
  <c r="DS822" i="1"/>
  <c r="DT822" i="1" s="1"/>
  <c r="DX822" i="1" s="1"/>
  <c r="DS823" i="1"/>
  <c r="DT823" i="1" s="1"/>
  <c r="DX823" i="1" s="1"/>
  <c r="DS824" i="1"/>
  <c r="DT824" i="1" s="1"/>
  <c r="DX824" i="1" s="1"/>
  <c r="DU800" i="1"/>
  <c r="DU801" i="1"/>
  <c r="DU802" i="1"/>
  <c r="DU803" i="1"/>
  <c r="DU804" i="1"/>
  <c r="DU805" i="1"/>
  <c r="DU806" i="1"/>
  <c r="DU807" i="1"/>
  <c r="DU808" i="1"/>
  <c r="DU809" i="1"/>
  <c r="DU810" i="1"/>
  <c r="DU811" i="1"/>
  <c r="DU812" i="1"/>
  <c r="DU813" i="1"/>
  <c r="DU814" i="1"/>
  <c r="DU815" i="1"/>
  <c r="DU816" i="1"/>
  <c r="DU817" i="1"/>
  <c r="DU818" i="1"/>
  <c r="DU819" i="1"/>
  <c r="DU820" i="1"/>
  <c r="DU821" i="1"/>
  <c r="DU822" i="1"/>
  <c r="DU823" i="1"/>
  <c r="DU824" i="1"/>
  <c r="DV800" i="1"/>
  <c r="DV801" i="1"/>
  <c r="DV802" i="1"/>
  <c r="DV803" i="1"/>
  <c r="DV804" i="1"/>
  <c r="DV805" i="1"/>
  <c r="DV806" i="1"/>
  <c r="DV807" i="1"/>
  <c r="DV808" i="1"/>
  <c r="DV809" i="1"/>
  <c r="DV810" i="1"/>
  <c r="DV811" i="1"/>
  <c r="DV812" i="1"/>
  <c r="DV813" i="1"/>
  <c r="DV814" i="1"/>
  <c r="DV815" i="1"/>
  <c r="DV816" i="1"/>
  <c r="DV817" i="1"/>
  <c r="DV818" i="1"/>
  <c r="DV819" i="1"/>
  <c r="DV820" i="1"/>
  <c r="DV821" i="1"/>
  <c r="DV822" i="1"/>
  <c r="DV823" i="1"/>
  <c r="DV824" i="1"/>
  <c r="DW800" i="1"/>
  <c r="DW801" i="1"/>
  <c r="DW802" i="1"/>
  <c r="DW803" i="1"/>
  <c r="DW804" i="1"/>
  <c r="DW805" i="1"/>
  <c r="DW806" i="1"/>
  <c r="DW807" i="1"/>
  <c r="DW808" i="1"/>
  <c r="DW809" i="1"/>
  <c r="DW810" i="1"/>
  <c r="DW811" i="1"/>
  <c r="DW812" i="1"/>
  <c r="DW813" i="1"/>
  <c r="DW814" i="1"/>
  <c r="DW815" i="1"/>
  <c r="DW816" i="1"/>
  <c r="DW817" i="1"/>
  <c r="DW818" i="1"/>
  <c r="DW819" i="1"/>
  <c r="DW820" i="1"/>
  <c r="DW821" i="1"/>
  <c r="DW822" i="1"/>
  <c r="DW823" i="1"/>
  <c r="DW824" i="1"/>
  <c r="DY800" i="1"/>
  <c r="DY801" i="1"/>
  <c r="DY802" i="1"/>
  <c r="DY803" i="1"/>
  <c r="DY804" i="1"/>
  <c r="DY805" i="1"/>
  <c r="DY806" i="1"/>
  <c r="DY807" i="1"/>
  <c r="DY808" i="1"/>
  <c r="DY809" i="1"/>
  <c r="DY810" i="1"/>
  <c r="DY811" i="1"/>
  <c r="DY812" i="1"/>
  <c r="DY813" i="1"/>
  <c r="DY814" i="1"/>
  <c r="DY815" i="1"/>
  <c r="DY816" i="1"/>
  <c r="DY817" i="1"/>
  <c r="DY818" i="1"/>
  <c r="DY819" i="1"/>
  <c r="DY820" i="1"/>
  <c r="DY821" i="1"/>
  <c r="DY822" i="1"/>
  <c r="DY823" i="1"/>
  <c r="DY824" i="1"/>
  <c r="DS775" i="1"/>
  <c r="DT775" i="1" s="1"/>
  <c r="DX775" i="1" s="1"/>
  <c r="DS776" i="1"/>
  <c r="DS777" i="1"/>
  <c r="DT777" i="1" s="1"/>
  <c r="DX777" i="1" s="1"/>
  <c r="DS778" i="1"/>
  <c r="DT778" i="1" s="1"/>
  <c r="DX778" i="1" s="1"/>
  <c r="DS779" i="1"/>
  <c r="DT779" i="1" s="1"/>
  <c r="DX779" i="1" s="1"/>
  <c r="DS780" i="1"/>
  <c r="DT780" i="1" s="1"/>
  <c r="DX780" i="1" s="1"/>
  <c r="DS781" i="1"/>
  <c r="DT781" i="1" s="1"/>
  <c r="DX781" i="1" s="1"/>
  <c r="DS782" i="1"/>
  <c r="DT782" i="1" s="1"/>
  <c r="DX782" i="1" s="1"/>
  <c r="DS783" i="1"/>
  <c r="DT783" i="1" s="1"/>
  <c r="DX783" i="1" s="1"/>
  <c r="DS784" i="1"/>
  <c r="DT784" i="1" s="1"/>
  <c r="DX784" i="1" s="1"/>
  <c r="DS785" i="1"/>
  <c r="DT785" i="1" s="1"/>
  <c r="DX785" i="1" s="1"/>
  <c r="DS786" i="1"/>
  <c r="DT786" i="1" s="1"/>
  <c r="DX786" i="1" s="1"/>
  <c r="DS787" i="1"/>
  <c r="DT787" i="1" s="1"/>
  <c r="DX787" i="1" s="1"/>
  <c r="DS788" i="1"/>
  <c r="DT788" i="1" s="1"/>
  <c r="DX788" i="1" s="1"/>
  <c r="DS789" i="1"/>
  <c r="DT789" i="1" s="1"/>
  <c r="DX789" i="1" s="1"/>
  <c r="DS790" i="1"/>
  <c r="DT790" i="1" s="1"/>
  <c r="DX790" i="1" s="1"/>
  <c r="DS791" i="1"/>
  <c r="DT791" i="1" s="1"/>
  <c r="DX791" i="1" s="1"/>
  <c r="DS792" i="1"/>
  <c r="DT792" i="1" s="1"/>
  <c r="DX792" i="1" s="1"/>
  <c r="DS793" i="1"/>
  <c r="DT793" i="1" s="1"/>
  <c r="DX793" i="1" s="1"/>
  <c r="DS794" i="1"/>
  <c r="DT794" i="1" s="1"/>
  <c r="DX794" i="1" s="1"/>
  <c r="DS795" i="1"/>
  <c r="DT795" i="1" s="1"/>
  <c r="DX795" i="1" s="1"/>
  <c r="DS796" i="1"/>
  <c r="DT796" i="1" s="1"/>
  <c r="DX796" i="1" s="1"/>
  <c r="DS797" i="1"/>
  <c r="DT797" i="1" s="1"/>
  <c r="DX797" i="1" s="1"/>
  <c r="DS798" i="1"/>
  <c r="DT798" i="1" s="1"/>
  <c r="DX798" i="1" s="1"/>
  <c r="DS799" i="1"/>
  <c r="DT799" i="1" s="1"/>
  <c r="DX799" i="1" s="1"/>
  <c r="DT776" i="1"/>
  <c r="DX776" i="1" s="1"/>
  <c r="DU775" i="1"/>
  <c r="DU776" i="1"/>
  <c r="DU777" i="1"/>
  <c r="DU778" i="1"/>
  <c r="DU779" i="1"/>
  <c r="DU780" i="1"/>
  <c r="DU781" i="1"/>
  <c r="DU782" i="1"/>
  <c r="DU783" i="1"/>
  <c r="DU784" i="1"/>
  <c r="DU785" i="1"/>
  <c r="DU786" i="1"/>
  <c r="DU787" i="1"/>
  <c r="DU788" i="1"/>
  <c r="DU789" i="1"/>
  <c r="DU790" i="1"/>
  <c r="DU791" i="1"/>
  <c r="DU792" i="1"/>
  <c r="DU793" i="1"/>
  <c r="DU794" i="1"/>
  <c r="DU795" i="1"/>
  <c r="DU796" i="1"/>
  <c r="DU797" i="1"/>
  <c r="DU798" i="1"/>
  <c r="DU799" i="1"/>
  <c r="DV775" i="1"/>
  <c r="DV776" i="1"/>
  <c r="DV777" i="1"/>
  <c r="DV778" i="1"/>
  <c r="DV779" i="1"/>
  <c r="DV780" i="1"/>
  <c r="DV781" i="1"/>
  <c r="DV782" i="1"/>
  <c r="DV783" i="1"/>
  <c r="DV784" i="1"/>
  <c r="DV785" i="1"/>
  <c r="DV786" i="1"/>
  <c r="DV787" i="1"/>
  <c r="DV788" i="1"/>
  <c r="DV789" i="1"/>
  <c r="DV790" i="1"/>
  <c r="DV791" i="1"/>
  <c r="DV792" i="1"/>
  <c r="DV793" i="1"/>
  <c r="DV794" i="1"/>
  <c r="DV795" i="1"/>
  <c r="DV796" i="1"/>
  <c r="DV797" i="1"/>
  <c r="DV798" i="1"/>
  <c r="DV799" i="1"/>
  <c r="DW775" i="1"/>
  <c r="DW776" i="1"/>
  <c r="DW777" i="1"/>
  <c r="DW778" i="1"/>
  <c r="DW779" i="1"/>
  <c r="DW780" i="1"/>
  <c r="DW781" i="1"/>
  <c r="DW782" i="1"/>
  <c r="DW783" i="1"/>
  <c r="DW784" i="1"/>
  <c r="DW785" i="1"/>
  <c r="DW786" i="1"/>
  <c r="DW787" i="1"/>
  <c r="DW788" i="1"/>
  <c r="DW789" i="1"/>
  <c r="DW790" i="1"/>
  <c r="DW791" i="1"/>
  <c r="DW792" i="1"/>
  <c r="DW793" i="1"/>
  <c r="DW794" i="1"/>
  <c r="DW795" i="1"/>
  <c r="DW796" i="1"/>
  <c r="DW797" i="1"/>
  <c r="DW798" i="1"/>
  <c r="DW799" i="1"/>
  <c r="DY775" i="1"/>
  <c r="DY776" i="1"/>
  <c r="DY777" i="1"/>
  <c r="DY778" i="1"/>
  <c r="DY779" i="1"/>
  <c r="DY780" i="1"/>
  <c r="DY781" i="1"/>
  <c r="DY782" i="1"/>
  <c r="DY783" i="1"/>
  <c r="DY784" i="1"/>
  <c r="DY785" i="1"/>
  <c r="DY786" i="1"/>
  <c r="DY787" i="1"/>
  <c r="DY788" i="1"/>
  <c r="DY789" i="1"/>
  <c r="DY790" i="1"/>
  <c r="DY791" i="1"/>
  <c r="DY792" i="1"/>
  <c r="DY793" i="1"/>
  <c r="DY794" i="1"/>
  <c r="DY795" i="1"/>
  <c r="DY796" i="1"/>
  <c r="DY797" i="1"/>
  <c r="DY798" i="1"/>
  <c r="DY799" i="1"/>
  <c r="DS750" i="1"/>
  <c r="DT750" i="1" s="1"/>
  <c r="DX750" i="1" s="1"/>
  <c r="DS751" i="1"/>
  <c r="DT751" i="1" s="1"/>
  <c r="DX751" i="1" s="1"/>
  <c r="DS752" i="1"/>
  <c r="DT752" i="1" s="1"/>
  <c r="DX752" i="1" s="1"/>
  <c r="DS753" i="1"/>
  <c r="DT753" i="1" s="1"/>
  <c r="DX753" i="1" s="1"/>
  <c r="DS754" i="1"/>
  <c r="DT754" i="1" s="1"/>
  <c r="DX754" i="1" s="1"/>
  <c r="DS755" i="1"/>
  <c r="DT755" i="1" s="1"/>
  <c r="DX755" i="1" s="1"/>
  <c r="DS756" i="1"/>
  <c r="DT756" i="1" s="1"/>
  <c r="DX756" i="1" s="1"/>
  <c r="DS757" i="1"/>
  <c r="DT757" i="1" s="1"/>
  <c r="DX757" i="1" s="1"/>
  <c r="DS758" i="1"/>
  <c r="DT758" i="1" s="1"/>
  <c r="DX758" i="1" s="1"/>
  <c r="DS759" i="1"/>
  <c r="DT759" i="1" s="1"/>
  <c r="DX759" i="1" s="1"/>
  <c r="DS760" i="1"/>
  <c r="DT760" i="1" s="1"/>
  <c r="DX760" i="1" s="1"/>
  <c r="DS761" i="1"/>
  <c r="DT761" i="1" s="1"/>
  <c r="DX761" i="1" s="1"/>
  <c r="DS762" i="1"/>
  <c r="DT762" i="1" s="1"/>
  <c r="DX762" i="1" s="1"/>
  <c r="DS763" i="1"/>
  <c r="DT763" i="1" s="1"/>
  <c r="DX763" i="1" s="1"/>
  <c r="DS764" i="1"/>
  <c r="DT764" i="1" s="1"/>
  <c r="DX764" i="1" s="1"/>
  <c r="DS765" i="1"/>
  <c r="DT765" i="1" s="1"/>
  <c r="DX765" i="1" s="1"/>
  <c r="DS766" i="1"/>
  <c r="DT766" i="1" s="1"/>
  <c r="DX766" i="1" s="1"/>
  <c r="DS767" i="1"/>
  <c r="DT767" i="1" s="1"/>
  <c r="DX767" i="1" s="1"/>
  <c r="DS768" i="1"/>
  <c r="DT768" i="1" s="1"/>
  <c r="DX768" i="1" s="1"/>
  <c r="DS769" i="1"/>
  <c r="DT769" i="1" s="1"/>
  <c r="DX769" i="1" s="1"/>
  <c r="DS770" i="1"/>
  <c r="DT770" i="1" s="1"/>
  <c r="DX770" i="1" s="1"/>
  <c r="DS771" i="1"/>
  <c r="DT771" i="1" s="1"/>
  <c r="DX771" i="1" s="1"/>
  <c r="DS772" i="1"/>
  <c r="DT772" i="1" s="1"/>
  <c r="DX772" i="1" s="1"/>
  <c r="DS773" i="1"/>
  <c r="DT773" i="1" s="1"/>
  <c r="DX773" i="1" s="1"/>
  <c r="DS774" i="1"/>
  <c r="DT774" i="1" s="1"/>
  <c r="DX774" i="1" s="1"/>
  <c r="DU750" i="1"/>
  <c r="DU751" i="1"/>
  <c r="DU752" i="1"/>
  <c r="DU753" i="1"/>
  <c r="DU754" i="1"/>
  <c r="DU755" i="1"/>
  <c r="DU756" i="1"/>
  <c r="DU757" i="1"/>
  <c r="DU758" i="1"/>
  <c r="DU759" i="1"/>
  <c r="DU760" i="1"/>
  <c r="DU761" i="1"/>
  <c r="DU762" i="1"/>
  <c r="DU763" i="1"/>
  <c r="DU764" i="1"/>
  <c r="DU765" i="1"/>
  <c r="DU766" i="1"/>
  <c r="DU767" i="1"/>
  <c r="DU768" i="1"/>
  <c r="DU769" i="1"/>
  <c r="DU770" i="1"/>
  <c r="DU771" i="1"/>
  <c r="DU772" i="1"/>
  <c r="DU773" i="1"/>
  <c r="DU774" i="1"/>
  <c r="DV750" i="1"/>
  <c r="DV751" i="1"/>
  <c r="DV752" i="1"/>
  <c r="DV753" i="1"/>
  <c r="DV754" i="1"/>
  <c r="DV755" i="1"/>
  <c r="DV756" i="1"/>
  <c r="DV757" i="1"/>
  <c r="DV758" i="1"/>
  <c r="DV759" i="1"/>
  <c r="DV760" i="1"/>
  <c r="DV761" i="1"/>
  <c r="DV762" i="1"/>
  <c r="DV763" i="1"/>
  <c r="DV764" i="1"/>
  <c r="DV765" i="1"/>
  <c r="DV766" i="1"/>
  <c r="DV767" i="1"/>
  <c r="DV768" i="1"/>
  <c r="DV769" i="1"/>
  <c r="DV770" i="1"/>
  <c r="DV771" i="1"/>
  <c r="DV772" i="1"/>
  <c r="DV773" i="1"/>
  <c r="DV774" i="1"/>
  <c r="DW750" i="1"/>
  <c r="DW751" i="1"/>
  <c r="DW752" i="1"/>
  <c r="DW753" i="1"/>
  <c r="DW754" i="1"/>
  <c r="DW755" i="1"/>
  <c r="DW756" i="1"/>
  <c r="DW757" i="1"/>
  <c r="DW758" i="1"/>
  <c r="DW759" i="1"/>
  <c r="DW760" i="1"/>
  <c r="DW761" i="1"/>
  <c r="DW762" i="1"/>
  <c r="DW763" i="1"/>
  <c r="DW764" i="1"/>
  <c r="DW765" i="1"/>
  <c r="DW766" i="1"/>
  <c r="DW767" i="1"/>
  <c r="DW768" i="1"/>
  <c r="DW769" i="1"/>
  <c r="DW770" i="1"/>
  <c r="DW771" i="1"/>
  <c r="DW772" i="1"/>
  <c r="DW773" i="1"/>
  <c r="DW774" i="1"/>
  <c r="DY750" i="1"/>
  <c r="DY751" i="1"/>
  <c r="DY752" i="1"/>
  <c r="DY753" i="1"/>
  <c r="DY754" i="1"/>
  <c r="DY755" i="1"/>
  <c r="DY756" i="1"/>
  <c r="DY757" i="1"/>
  <c r="DY758" i="1"/>
  <c r="DY759" i="1"/>
  <c r="DY760" i="1"/>
  <c r="DY761" i="1"/>
  <c r="DY762" i="1"/>
  <c r="DY763" i="1"/>
  <c r="DY764" i="1"/>
  <c r="DY765" i="1"/>
  <c r="DY766" i="1"/>
  <c r="DY767" i="1"/>
  <c r="DY768" i="1"/>
  <c r="DY769" i="1"/>
  <c r="DY770" i="1"/>
  <c r="DY771" i="1"/>
  <c r="DY772" i="1"/>
  <c r="DY773" i="1"/>
  <c r="DY774" i="1"/>
  <c r="DS725" i="1"/>
  <c r="DT725" i="1" s="1"/>
  <c r="DX725" i="1" s="1"/>
  <c r="DS726" i="1"/>
  <c r="DT726" i="1" s="1"/>
  <c r="DX726" i="1" s="1"/>
  <c r="DS727" i="1"/>
  <c r="DT727" i="1" s="1"/>
  <c r="DX727" i="1" s="1"/>
  <c r="DS728" i="1"/>
  <c r="DT728" i="1" s="1"/>
  <c r="DX728" i="1" s="1"/>
  <c r="DS729" i="1"/>
  <c r="DT729" i="1" s="1"/>
  <c r="DX729" i="1" s="1"/>
  <c r="DS730" i="1"/>
  <c r="DT730" i="1" s="1"/>
  <c r="DX730" i="1" s="1"/>
  <c r="DS731" i="1"/>
  <c r="DT731" i="1" s="1"/>
  <c r="DX731" i="1" s="1"/>
  <c r="DS732" i="1"/>
  <c r="DT732" i="1" s="1"/>
  <c r="DX732" i="1" s="1"/>
  <c r="DS733" i="1"/>
  <c r="DT733" i="1" s="1"/>
  <c r="DX733" i="1" s="1"/>
  <c r="DS734" i="1"/>
  <c r="DT734" i="1" s="1"/>
  <c r="DX734" i="1" s="1"/>
  <c r="DS735" i="1"/>
  <c r="DT735" i="1" s="1"/>
  <c r="DX735" i="1" s="1"/>
  <c r="DS736" i="1"/>
  <c r="DT736" i="1" s="1"/>
  <c r="DX736" i="1" s="1"/>
  <c r="DS737" i="1"/>
  <c r="DT737" i="1" s="1"/>
  <c r="DX737" i="1" s="1"/>
  <c r="DS738" i="1"/>
  <c r="DT738" i="1" s="1"/>
  <c r="DX738" i="1" s="1"/>
  <c r="DS739" i="1"/>
  <c r="DT739" i="1" s="1"/>
  <c r="DX739" i="1" s="1"/>
  <c r="DS740" i="1"/>
  <c r="DT740" i="1" s="1"/>
  <c r="DX740" i="1" s="1"/>
  <c r="DS741" i="1"/>
  <c r="DT741" i="1" s="1"/>
  <c r="DX741" i="1" s="1"/>
  <c r="DS742" i="1"/>
  <c r="DT742" i="1" s="1"/>
  <c r="DX742" i="1" s="1"/>
  <c r="DS743" i="1"/>
  <c r="DT743" i="1" s="1"/>
  <c r="DX743" i="1" s="1"/>
  <c r="DS744" i="1"/>
  <c r="DT744" i="1" s="1"/>
  <c r="DX744" i="1" s="1"/>
  <c r="DS745" i="1"/>
  <c r="DT745" i="1" s="1"/>
  <c r="DX745" i="1" s="1"/>
  <c r="DS746" i="1"/>
  <c r="DT746" i="1" s="1"/>
  <c r="DX746" i="1" s="1"/>
  <c r="DS747" i="1"/>
  <c r="DT747" i="1" s="1"/>
  <c r="DX747" i="1" s="1"/>
  <c r="DS748" i="1"/>
  <c r="DT748" i="1" s="1"/>
  <c r="DX748" i="1" s="1"/>
  <c r="DS749" i="1"/>
  <c r="DT749" i="1" s="1"/>
  <c r="DX749" i="1" s="1"/>
  <c r="DU725" i="1"/>
  <c r="DU726" i="1"/>
  <c r="DU727" i="1"/>
  <c r="DU728" i="1"/>
  <c r="DU729" i="1"/>
  <c r="DU730" i="1"/>
  <c r="DU731" i="1"/>
  <c r="DU732" i="1"/>
  <c r="DU733" i="1"/>
  <c r="DU734" i="1"/>
  <c r="DU735" i="1"/>
  <c r="DU736" i="1"/>
  <c r="DU737" i="1"/>
  <c r="DU738" i="1"/>
  <c r="DU739" i="1"/>
  <c r="DU740" i="1"/>
  <c r="DU741" i="1"/>
  <c r="DU742" i="1"/>
  <c r="DU743" i="1"/>
  <c r="DU744" i="1"/>
  <c r="DU745" i="1"/>
  <c r="DU746" i="1"/>
  <c r="DU747" i="1"/>
  <c r="DU748" i="1"/>
  <c r="DU749" i="1"/>
  <c r="DV725" i="1"/>
  <c r="DV726" i="1"/>
  <c r="DV727" i="1"/>
  <c r="DV728" i="1"/>
  <c r="DV729" i="1"/>
  <c r="DV730" i="1"/>
  <c r="DV731" i="1"/>
  <c r="DV732" i="1"/>
  <c r="DV733" i="1"/>
  <c r="DV734" i="1"/>
  <c r="DV735" i="1"/>
  <c r="DV736" i="1"/>
  <c r="DV737" i="1"/>
  <c r="DV738" i="1"/>
  <c r="DV739" i="1"/>
  <c r="DV740" i="1"/>
  <c r="DV741" i="1"/>
  <c r="DV742" i="1"/>
  <c r="DV743" i="1"/>
  <c r="DV744" i="1"/>
  <c r="DV745" i="1"/>
  <c r="DV746" i="1"/>
  <c r="DV747" i="1"/>
  <c r="DV748" i="1"/>
  <c r="DV749" i="1"/>
  <c r="DW725" i="1"/>
  <c r="DW726" i="1"/>
  <c r="DW727" i="1"/>
  <c r="DW728" i="1"/>
  <c r="DW729" i="1"/>
  <c r="DW730" i="1"/>
  <c r="DW731" i="1"/>
  <c r="DW732" i="1"/>
  <c r="DW733" i="1"/>
  <c r="DW734" i="1"/>
  <c r="DW735" i="1"/>
  <c r="DW736" i="1"/>
  <c r="DW737" i="1"/>
  <c r="DW738" i="1"/>
  <c r="DW739" i="1"/>
  <c r="DW740" i="1"/>
  <c r="DW741" i="1"/>
  <c r="DW742" i="1"/>
  <c r="DW743" i="1"/>
  <c r="DW744" i="1"/>
  <c r="DW745" i="1"/>
  <c r="DW746" i="1"/>
  <c r="DW747" i="1"/>
  <c r="DW748" i="1"/>
  <c r="DW749" i="1"/>
  <c r="DY725" i="1"/>
  <c r="DY726" i="1"/>
  <c r="DY727" i="1"/>
  <c r="DY728" i="1"/>
  <c r="DY729" i="1"/>
  <c r="DY730" i="1"/>
  <c r="DY731" i="1"/>
  <c r="DY732" i="1"/>
  <c r="DY733" i="1"/>
  <c r="DY734" i="1"/>
  <c r="DY735" i="1"/>
  <c r="DY736" i="1"/>
  <c r="DY737" i="1"/>
  <c r="DY738" i="1"/>
  <c r="DY739" i="1"/>
  <c r="DY740" i="1"/>
  <c r="DY741" i="1"/>
  <c r="DY742" i="1"/>
  <c r="DY743" i="1"/>
  <c r="DY744" i="1"/>
  <c r="DY745" i="1"/>
  <c r="DY746" i="1"/>
  <c r="DY747" i="1"/>
  <c r="DY748" i="1"/>
  <c r="DY749" i="1"/>
  <c r="DS724" i="1"/>
  <c r="DT724" i="1" s="1"/>
  <c r="DU724" i="1"/>
  <c r="DV724" i="1"/>
  <c r="DW724" i="1"/>
  <c r="DY724" i="1"/>
  <c r="DS723" i="1"/>
  <c r="DT723" i="1" s="1"/>
  <c r="DU723" i="1"/>
  <c r="DV723" i="1"/>
  <c r="DW723" i="1"/>
  <c r="DY723" i="1"/>
  <c r="DS722" i="1"/>
  <c r="DT722" i="1" s="1"/>
  <c r="DU722" i="1"/>
  <c r="DV722" i="1"/>
  <c r="DW722" i="1"/>
  <c r="DY722" i="1"/>
  <c r="DW721" i="1"/>
  <c r="DW720" i="1"/>
  <c r="DW719" i="1"/>
  <c r="DW718" i="1"/>
  <c r="DW717" i="1"/>
  <c r="DW716" i="1"/>
  <c r="DW715" i="1"/>
  <c r="DW714" i="1"/>
  <c r="DW713" i="1"/>
  <c r="DW712" i="1"/>
  <c r="DW711" i="1"/>
  <c r="DW710" i="1"/>
  <c r="DW709" i="1"/>
  <c r="DW708" i="1"/>
  <c r="DW707" i="1"/>
  <c r="DW706" i="1"/>
  <c r="DW705" i="1"/>
  <c r="DW704" i="1"/>
  <c r="DW703" i="1"/>
  <c r="DW702" i="1"/>
  <c r="DW701" i="1"/>
  <c r="DW700" i="1"/>
  <c r="DW699" i="1"/>
  <c r="DW698" i="1"/>
  <c r="DW697" i="1"/>
  <c r="DW696" i="1"/>
  <c r="DW695" i="1"/>
  <c r="DW694" i="1"/>
  <c r="DW693" i="1"/>
  <c r="DW692" i="1"/>
  <c r="DW691" i="1"/>
  <c r="DW690" i="1"/>
  <c r="DW689" i="1"/>
  <c r="DW688" i="1"/>
  <c r="DW687" i="1"/>
  <c r="DW686" i="1"/>
  <c r="DW685" i="1"/>
  <c r="DW684" i="1"/>
  <c r="DW683" i="1"/>
  <c r="DW682" i="1"/>
  <c r="DW681" i="1"/>
  <c r="DW680" i="1"/>
  <c r="DW679" i="1"/>
  <c r="DW678" i="1"/>
  <c r="DW677" i="1"/>
  <c r="DW676" i="1"/>
  <c r="DW675" i="1"/>
  <c r="DW674" i="1"/>
  <c r="DW673" i="1"/>
  <c r="DW672" i="1"/>
  <c r="DW671" i="1"/>
  <c r="DW670" i="1"/>
  <c r="DW669" i="1"/>
  <c r="DW668" i="1"/>
  <c r="DW667" i="1"/>
  <c r="DW666" i="1"/>
  <c r="DW665" i="1"/>
  <c r="DW664" i="1"/>
  <c r="DW663" i="1"/>
  <c r="DW662" i="1"/>
  <c r="DW661" i="1"/>
  <c r="DW660" i="1"/>
  <c r="DW659" i="1"/>
  <c r="DW658" i="1"/>
  <c r="DW657" i="1"/>
  <c r="DW656" i="1"/>
  <c r="DW655" i="1"/>
  <c r="DW654" i="1"/>
  <c r="DW653" i="1"/>
  <c r="DW652" i="1"/>
  <c r="DW651" i="1"/>
  <c r="DW650" i="1"/>
  <c r="DW649" i="1"/>
  <c r="DW648" i="1"/>
  <c r="DW647" i="1"/>
  <c r="DW646" i="1"/>
  <c r="DW645" i="1"/>
  <c r="DW644" i="1"/>
  <c r="DW643" i="1"/>
  <c r="DW642" i="1"/>
  <c r="DW641" i="1"/>
  <c r="DW640" i="1"/>
  <c r="DW639" i="1"/>
  <c r="DW638" i="1"/>
  <c r="DW637" i="1"/>
  <c r="DW636" i="1"/>
  <c r="DW635" i="1"/>
  <c r="DW634" i="1"/>
  <c r="DW633" i="1"/>
  <c r="DW632" i="1"/>
  <c r="DW631" i="1"/>
  <c r="DW630" i="1"/>
  <c r="DW629" i="1"/>
  <c r="DW628" i="1"/>
  <c r="DW627" i="1"/>
  <c r="DW626" i="1"/>
  <c r="DW625" i="1"/>
  <c r="DW624" i="1"/>
  <c r="DW623" i="1"/>
  <c r="DW622" i="1"/>
  <c r="DW621" i="1"/>
  <c r="DW620" i="1"/>
  <c r="DW619" i="1"/>
  <c r="DW618" i="1"/>
  <c r="DW617" i="1"/>
  <c r="DW616" i="1"/>
  <c r="DW615" i="1"/>
  <c r="DW614" i="1"/>
  <c r="DW613" i="1"/>
  <c r="DW612" i="1"/>
  <c r="DW611" i="1"/>
  <c r="DW610" i="1"/>
  <c r="DW609" i="1"/>
  <c r="DW608" i="1"/>
  <c r="DW607" i="1"/>
  <c r="DW606" i="1"/>
  <c r="DW605" i="1"/>
  <c r="DW604" i="1"/>
  <c r="DW603" i="1"/>
  <c r="DW602" i="1"/>
  <c r="DW601" i="1"/>
  <c r="DW600" i="1"/>
  <c r="DW599" i="1"/>
  <c r="DW598" i="1"/>
  <c r="DW597" i="1"/>
  <c r="DW596" i="1"/>
  <c r="DW595" i="1"/>
  <c r="DW594" i="1"/>
  <c r="DW593" i="1"/>
  <c r="DW592" i="1"/>
  <c r="DW591" i="1"/>
  <c r="DW590" i="1"/>
  <c r="DW589" i="1"/>
  <c r="DW588" i="1"/>
  <c r="DW587" i="1"/>
  <c r="DW586" i="1"/>
  <c r="DW585" i="1"/>
  <c r="DW584" i="1"/>
  <c r="DW583" i="1"/>
  <c r="DW582" i="1"/>
  <c r="DW581" i="1"/>
  <c r="DW580" i="1"/>
  <c r="DW579" i="1"/>
  <c r="DW578" i="1"/>
  <c r="DW577" i="1"/>
  <c r="DW576" i="1"/>
  <c r="DW575" i="1"/>
  <c r="DW574" i="1"/>
  <c r="DW573" i="1"/>
  <c r="DW572" i="1"/>
  <c r="DW571" i="1"/>
  <c r="DW570" i="1"/>
  <c r="DW569" i="1"/>
  <c r="DW568" i="1"/>
  <c r="DW567" i="1"/>
  <c r="DW566" i="1"/>
  <c r="DW565" i="1"/>
  <c r="DW564" i="1"/>
  <c r="DW563" i="1"/>
  <c r="DW562" i="1"/>
  <c r="DW561" i="1"/>
  <c r="DW560" i="1"/>
  <c r="DW559" i="1"/>
  <c r="DW558" i="1"/>
  <c r="DW557" i="1"/>
  <c r="DW556" i="1"/>
  <c r="DW555" i="1"/>
  <c r="DW554" i="1"/>
  <c r="DW553" i="1"/>
  <c r="DW552" i="1"/>
  <c r="DW551" i="1"/>
  <c r="DW550" i="1"/>
  <c r="DW549" i="1"/>
  <c r="DW548" i="1"/>
  <c r="DW547" i="1"/>
  <c r="DW546" i="1"/>
  <c r="DW545" i="1"/>
  <c r="DW544" i="1"/>
  <c r="DW543" i="1"/>
  <c r="DW542" i="1"/>
  <c r="DW541" i="1"/>
  <c r="DW540" i="1"/>
  <c r="DW539" i="1"/>
  <c r="DW538" i="1"/>
  <c r="DW537" i="1"/>
  <c r="DW536" i="1"/>
  <c r="DW535" i="1"/>
  <c r="DW534" i="1"/>
  <c r="DW533" i="1"/>
  <c r="DW532" i="1"/>
  <c r="DW531" i="1"/>
  <c r="DW530" i="1"/>
  <c r="DW529" i="1"/>
  <c r="DW528" i="1"/>
  <c r="DW527" i="1"/>
  <c r="DW526" i="1"/>
  <c r="DW525" i="1"/>
  <c r="DW524" i="1"/>
  <c r="DW523" i="1"/>
  <c r="DW522" i="1"/>
  <c r="DW521" i="1"/>
  <c r="DW520" i="1"/>
  <c r="DW519" i="1"/>
  <c r="DW518" i="1"/>
  <c r="DW517" i="1"/>
  <c r="DW516" i="1"/>
  <c r="DW515" i="1"/>
  <c r="DW514" i="1"/>
  <c r="DW513" i="1"/>
  <c r="DW512" i="1"/>
  <c r="DW511" i="1"/>
  <c r="DW510" i="1"/>
  <c r="DW509" i="1"/>
  <c r="DW508" i="1"/>
  <c r="DW507" i="1"/>
  <c r="DW506" i="1"/>
  <c r="DW505" i="1"/>
  <c r="DW504" i="1"/>
  <c r="DW503" i="1"/>
  <c r="DW502" i="1"/>
  <c r="DW501" i="1"/>
  <c r="DW500" i="1"/>
  <c r="DW499" i="1"/>
  <c r="DW498" i="1"/>
  <c r="DW497" i="1"/>
  <c r="DW496" i="1"/>
  <c r="DW495" i="1"/>
  <c r="DW494" i="1"/>
  <c r="DW493" i="1"/>
  <c r="DW492" i="1"/>
  <c r="DW491" i="1"/>
  <c r="DW490" i="1"/>
  <c r="DW489" i="1"/>
  <c r="DW488" i="1"/>
  <c r="DW487" i="1"/>
  <c r="DW486" i="1"/>
  <c r="DW485" i="1"/>
  <c r="DW484" i="1"/>
  <c r="DW483" i="1"/>
  <c r="DW482" i="1"/>
  <c r="DW481" i="1"/>
  <c r="DW480" i="1"/>
  <c r="DW479" i="1"/>
  <c r="DW478" i="1"/>
  <c r="DW477" i="1"/>
  <c r="DW476" i="1"/>
  <c r="DW475" i="1"/>
  <c r="DW474" i="1"/>
  <c r="DW473" i="1"/>
  <c r="DW472" i="1"/>
  <c r="DW471" i="1"/>
  <c r="DW470" i="1"/>
  <c r="DW469" i="1"/>
  <c r="DW468" i="1"/>
  <c r="DW467" i="1"/>
  <c r="DW466" i="1"/>
  <c r="DW465" i="1"/>
  <c r="DW464" i="1"/>
  <c r="DW463" i="1"/>
  <c r="DW462" i="1"/>
  <c r="DW461" i="1"/>
  <c r="DW460" i="1"/>
  <c r="DW459" i="1"/>
  <c r="DW458" i="1"/>
  <c r="DW457" i="1"/>
  <c r="DW456" i="1"/>
  <c r="DW455" i="1"/>
  <c r="DW454" i="1"/>
  <c r="DW453" i="1"/>
  <c r="DW452" i="1"/>
  <c r="DW451" i="1"/>
  <c r="DW450" i="1"/>
  <c r="DW449" i="1"/>
  <c r="DW448" i="1"/>
  <c r="DW447" i="1"/>
  <c r="DW446" i="1"/>
  <c r="DW445" i="1"/>
  <c r="DW444" i="1"/>
  <c r="DW443" i="1"/>
  <c r="DW442" i="1"/>
  <c r="DW441" i="1"/>
  <c r="DW440" i="1"/>
  <c r="DW439" i="1"/>
  <c r="DW438" i="1"/>
  <c r="DW437" i="1"/>
  <c r="DW436" i="1"/>
  <c r="DW435" i="1"/>
  <c r="DW434" i="1"/>
  <c r="DW433" i="1"/>
  <c r="DW432" i="1"/>
  <c r="DW431" i="1"/>
  <c r="DW430" i="1"/>
  <c r="DW429" i="1"/>
  <c r="DW428" i="1"/>
  <c r="DW427" i="1"/>
  <c r="DW426" i="1"/>
  <c r="DW425" i="1"/>
  <c r="DW424" i="1"/>
  <c r="DW423" i="1"/>
  <c r="DW422" i="1"/>
  <c r="DW421" i="1"/>
  <c r="DW420" i="1"/>
  <c r="DW419" i="1"/>
  <c r="DW418" i="1"/>
  <c r="DW417" i="1"/>
  <c r="DW416" i="1"/>
  <c r="DW415" i="1"/>
  <c r="DW414" i="1"/>
  <c r="DW413" i="1"/>
  <c r="DW412" i="1"/>
  <c r="DW411" i="1"/>
  <c r="DW410" i="1"/>
  <c r="DW409" i="1"/>
  <c r="DW408" i="1"/>
  <c r="DW407" i="1"/>
  <c r="DW406" i="1"/>
  <c r="DW405" i="1"/>
  <c r="DW404" i="1"/>
  <c r="DW403" i="1"/>
  <c r="DW402" i="1"/>
  <c r="DW401" i="1"/>
  <c r="DW400" i="1"/>
  <c r="DW399" i="1"/>
  <c r="DW398" i="1"/>
  <c r="DW397" i="1"/>
  <c r="DW396" i="1"/>
  <c r="DW395" i="1"/>
  <c r="DW394" i="1"/>
  <c r="DW393" i="1"/>
  <c r="DW392" i="1"/>
  <c r="DW391" i="1"/>
  <c r="DW390" i="1"/>
  <c r="DW389" i="1"/>
  <c r="DW388" i="1"/>
  <c r="DW387" i="1"/>
  <c r="DW386" i="1"/>
  <c r="DW385" i="1"/>
  <c r="DW384" i="1"/>
  <c r="DW383" i="1"/>
  <c r="DW382" i="1"/>
  <c r="DW381" i="1"/>
  <c r="DW380" i="1"/>
  <c r="DW379" i="1"/>
  <c r="DW378" i="1"/>
  <c r="DW377" i="1"/>
  <c r="DW376" i="1"/>
  <c r="DW375" i="1"/>
  <c r="DW374" i="1"/>
  <c r="DW373" i="1"/>
  <c r="DW372" i="1"/>
  <c r="DW371" i="1"/>
  <c r="DW370" i="1"/>
  <c r="DW369" i="1"/>
  <c r="DW368" i="1"/>
  <c r="DW367" i="1"/>
  <c r="DW366" i="1"/>
  <c r="DW365" i="1"/>
  <c r="DW364" i="1"/>
  <c r="DW363" i="1"/>
  <c r="DW362" i="1"/>
  <c r="DW361" i="1"/>
  <c r="DW360" i="1"/>
  <c r="DW359" i="1"/>
  <c r="DW358" i="1"/>
  <c r="DW357" i="1"/>
  <c r="DW356" i="1"/>
  <c r="DW355" i="1"/>
  <c r="DW354" i="1"/>
  <c r="DW353" i="1"/>
  <c r="DW352" i="1"/>
  <c r="DW351" i="1"/>
  <c r="DW350" i="1"/>
  <c r="DW349" i="1"/>
  <c r="DW348" i="1"/>
  <c r="DW347" i="1"/>
  <c r="DW346" i="1"/>
  <c r="DW345" i="1"/>
  <c r="DW344" i="1"/>
  <c r="DW343" i="1"/>
  <c r="DW342" i="1"/>
  <c r="DW341" i="1"/>
  <c r="DW340" i="1"/>
  <c r="DW339" i="1"/>
  <c r="DW338" i="1"/>
  <c r="DW337" i="1"/>
  <c r="DW336" i="1"/>
  <c r="DW335" i="1"/>
  <c r="DW334" i="1"/>
  <c r="DW333" i="1"/>
  <c r="DW332" i="1"/>
  <c r="DW331" i="1"/>
  <c r="DW330" i="1"/>
  <c r="DW329" i="1"/>
  <c r="DW328" i="1"/>
  <c r="DW327" i="1"/>
  <c r="DW326" i="1"/>
  <c r="DW325" i="1"/>
  <c r="DW324" i="1"/>
  <c r="DW323" i="1"/>
  <c r="DW322" i="1"/>
  <c r="DW321" i="1"/>
  <c r="DW320" i="1"/>
  <c r="DW319" i="1"/>
  <c r="DW318" i="1"/>
  <c r="DW317" i="1"/>
  <c r="DW316" i="1"/>
  <c r="DW315" i="1"/>
  <c r="DW314" i="1"/>
  <c r="DW313" i="1"/>
  <c r="DW312" i="1"/>
  <c r="DW311" i="1"/>
  <c r="DW310" i="1"/>
  <c r="DW309" i="1"/>
  <c r="DW308" i="1"/>
  <c r="DW307" i="1"/>
  <c r="DW306" i="1"/>
  <c r="DW305" i="1"/>
  <c r="DW304" i="1"/>
  <c r="DW303" i="1"/>
  <c r="DW302" i="1"/>
  <c r="DW301" i="1"/>
  <c r="DW300" i="1"/>
  <c r="DW299" i="1"/>
  <c r="DW298" i="1"/>
  <c r="DW297" i="1"/>
  <c r="DW296" i="1"/>
  <c r="DW295" i="1"/>
  <c r="DW294" i="1"/>
  <c r="DW293" i="1"/>
  <c r="DW292" i="1"/>
  <c r="DW291" i="1"/>
  <c r="DW290" i="1"/>
  <c r="DW289" i="1"/>
  <c r="DW288" i="1"/>
  <c r="DW287" i="1"/>
  <c r="DW286" i="1"/>
  <c r="DW285" i="1"/>
  <c r="DW284" i="1"/>
  <c r="DW283" i="1"/>
  <c r="DW282" i="1"/>
  <c r="DW281" i="1"/>
  <c r="DW280" i="1"/>
  <c r="DW279" i="1"/>
  <c r="DW278" i="1"/>
  <c r="DW277" i="1"/>
  <c r="DW276" i="1"/>
  <c r="DW275" i="1"/>
  <c r="DW274" i="1"/>
  <c r="DW273" i="1"/>
  <c r="DW272" i="1"/>
  <c r="DW271" i="1"/>
  <c r="DW270" i="1"/>
  <c r="DW269" i="1"/>
  <c r="DW268" i="1"/>
  <c r="DW267" i="1"/>
  <c r="DW266" i="1"/>
  <c r="DW265" i="1"/>
  <c r="DW264" i="1"/>
  <c r="DW263" i="1"/>
  <c r="DW262" i="1"/>
  <c r="DW261" i="1"/>
  <c r="DW260" i="1"/>
  <c r="DW259" i="1"/>
  <c r="DW258" i="1"/>
  <c r="DW257" i="1"/>
  <c r="DW256" i="1"/>
  <c r="DW255" i="1"/>
  <c r="DW254" i="1"/>
  <c r="DW253" i="1"/>
  <c r="DW252" i="1"/>
  <c r="DW251" i="1"/>
  <c r="DW250" i="1"/>
  <c r="DW249" i="1"/>
  <c r="DW248" i="1"/>
  <c r="DW247" i="1"/>
  <c r="DW246" i="1"/>
  <c r="DW245" i="1"/>
  <c r="DW244" i="1"/>
  <c r="DW243" i="1"/>
  <c r="DW242" i="1"/>
  <c r="DW241" i="1"/>
  <c r="DW240" i="1"/>
  <c r="DW239" i="1"/>
  <c r="DW238" i="1"/>
  <c r="DW237" i="1"/>
  <c r="DW236" i="1"/>
  <c r="DW235" i="1"/>
  <c r="DW234" i="1"/>
  <c r="DW233" i="1"/>
  <c r="DW232" i="1"/>
  <c r="DW231" i="1"/>
  <c r="DW230" i="1"/>
  <c r="DW229" i="1"/>
  <c r="DW228" i="1"/>
  <c r="DW227" i="1"/>
  <c r="DW226" i="1"/>
  <c r="DW225" i="1"/>
  <c r="DW224" i="1"/>
  <c r="DW223" i="1"/>
  <c r="DW222" i="1"/>
  <c r="DW221" i="1"/>
  <c r="DW220" i="1"/>
  <c r="DW219" i="1"/>
  <c r="DW218" i="1"/>
  <c r="DW217" i="1"/>
  <c r="DW216" i="1"/>
  <c r="DW215" i="1"/>
  <c r="DW214" i="1"/>
  <c r="DW213" i="1"/>
  <c r="DW212" i="1"/>
  <c r="DW211" i="1"/>
  <c r="DW210" i="1"/>
  <c r="DW209" i="1"/>
  <c r="DW208" i="1"/>
  <c r="DW207" i="1"/>
  <c r="DW206" i="1"/>
  <c r="DW205" i="1"/>
  <c r="DW204" i="1"/>
  <c r="DW203" i="1"/>
  <c r="DW202" i="1"/>
  <c r="DW201" i="1"/>
  <c r="DW200" i="1"/>
  <c r="DW199" i="1"/>
  <c r="DW198" i="1"/>
  <c r="DW197" i="1"/>
  <c r="DW196" i="1"/>
  <c r="DW195" i="1"/>
  <c r="DW194" i="1"/>
  <c r="DW193" i="1"/>
  <c r="DW192" i="1"/>
  <c r="DW191" i="1"/>
  <c r="DW190" i="1"/>
  <c r="DW189" i="1"/>
  <c r="DW188" i="1"/>
  <c r="DW187" i="1"/>
  <c r="DW186" i="1"/>
  <c r="DW185" i="1"/>
  <c r="DW184" i="1"/>
  <c r="DW183" i="1"/>
  <c r="DW182" i="1"/>
  <c r="DW181" i="1"/>
  <c r="DW180" i="1"/>
  <c r="DW179" i="1"/>
  <c r="DW178" i="1"/>
  <c r="DW177" i="1"/>
  <c r="DW176" i="1"/>
  <c r="DW175" i="1"/>
  <c r="DW174" i="1"/>
  <c r="DW173" i="1"/>
  <c r="DW172" i="1"/>
  <c r="DW171" i="1"/>
  <c r="DW170" i="1"/>
  <c r="DW169" i="1"/>
  <c r="DW168" i="1"/>
  <c r="DW167" i="1"/>
  <c r="DW166" i="1"/>
  <c r="DW165" i="1"/>
  <c r="DW164" i="1"/>
  <c r="DW163" i="1"/>
  <c r="DW162" i="1"/>
  <c r="DW161" i="1"/>
  <c r="DW160" i="1"/>
  <c r="DW159" i="1"/>
  <c r="DW158" i="1"/>
  <c r="DW157" i="1"/>
  <c r="DW156" i="1"/>
  <c r="DW155" i="1"/>
  <c r="DW154" i="1"/>
  <c r="DW153" i="1"/>
  <c r="DW152" i="1"/>
  <c r="DW151" i="1"/>
  <c r="DW150" i="1"/>
  <c r="DW149" i="1"/>
  <c r="DW148" i="1"/>
  <c r="DW147" i="1"/>
  <c r="DW146" i="1"/>
  <c r="DW145" i="1"/>
  <c r="DW144" i="1"/>
  <c r="DW143" i="1"/>
  <c r="DW142" i="1"/>
  <c r="DW141" i="1"/>
  <c r="DW140" i="1"/>
  <c r="DW139" i="1"/>
  <c r="DW138" i="1"/>
  <c r="DW137" i="1"/>
  <c r="DW136" i="1"/>
  <c r="DW135" i="1"/>
  <c r="DW134" i="1"/>
  <c r="DW133" i="1"/>
  <c r="DW132" i="1"/>
  <c r="DW131" i="1"/>
  <c r="DW130" i="1"/>
  <c r="DW129" i="1"/>
  <c r="DW128" i="1"/>
  <c r="DW127" i="1"/>
  <c r="DW126" i="1"/>
  <c r="DW125" i="1"/>
  <c r="DW124" i="1"/>
  <c r="DW123" i="1"/>
  <c r="DW122" i="1"/>
  <c r="DW121" i="1"/>
  <c r="DW120" i="1"/>
  <c r="DW119" i="1"/>
  <c r="DW118" i="1"/>
  <c r="DW117" i="1"/>
  <c r="DW116" i="1"/>
  <c r="DW115" i="1"/>
  <c r="DW114" i="1"/>
  <c r="DW113" i="1"/>
  <c r="DW112" i="1"/>
  <c r="DW111" i="1"/>
  <c r="DW110" i="1"/>
  <c r="DW109" i="1"/>
  <c r="DW108" i="1"/>
  <c r="DW107" i="1"/>
  <c r="DW106" i="1"/>
  <c r="DW105" i="1"/>
  <c r="DW104" i="1"/>
  <c r="DW103" i="1"/>
  <c r="DW102" i="1"/>
  <c r="DW101" i="1"/>
  <c r="DW100" i="1"/>
  <c r="DW99" i="1"/>
  <c r="DW98" i="1"/>
  <c r="DW97" i="1"/>
  <c r="DW96" i="1"/>
  <c r="DW95" i="1"/>
  <c r="DW94" i="1"/>
  <c r="DW93" i="1"/>
  <c r="DW92" i="1"/>
  <c r="DW91" i="1"/>
  <c r="DW90" i="1"/>
  <c r="DW89" i="1"/>
  <c r="DW88" i="1"/>
  <c r="DW87" i="1"/>
  <c r="DW86" i="1"/>
  <c r="DW85" i="1"/>
  <c r="DW84" i="1"/>
  <c r="DW83" i="1"/>
  <c r="DW82" i="1"/>
  <c r="DW81" i="1"/>
  <c r="DW80" i="1"/>
  <c r="DW79" i="1"/>
  <c r="DW78" i="1"/>
  <c r="DW77" i="1"/>
  <c r="DW76" i="1"/>
  <c r="DW75" i="1"/>
  <c r="DW74" i="1"/>
  <c r="DW73" i="1"/>
  <c r="DW72" i="1"/>
  <c r="DW71" i="1"/>
  <c r="DW70" i="1"/>
  <c r="DW69" i="1"/>
  <c r="DW68" i="1"/>
  <c r="DW67" i="1"/>
  <c r="DW66" i="1"/>
  <c r="DW65" i="1"/>
  <c r="DW64" i="1"/>
  <c r="DW63" i="1"/>
  <c r="DW62" i="1"/>
  <c r="DW61" i="1"/>
  <c r="DW60" i="1"/>
  <c r="DW59" i="1"/>
  <c r="DW58" i="1"/>
  <c r="DW57" i="1"/>
  <c r="DW56" i="1"/>
  <c r="DW55" i="1"/>
  <c r="DW54" i="1"/>
  <c r="DW53" i="1"/>
  <c r="DW52" i="1"/>
  <c r="DW51" i="1"/>
  <c r="DW50" i="1"/>
  <c r="DW49" i="1"/>
  <c r="DW48" i="1"/>
  <c r="DW47" i="1"/>
  <c r="DW46" i="1"/>
  <c r="DW45" i="1"/>
  <c r="DW44" i="1"/>
  <c r="DW43" i="1"/>
  <c r="DW42" i="1"/>
  <c r="DW41" i="1"/>
  <c r="DW40" i="1"/>
  <c r="DW39" i="1"/>
  <c r="DW38" i="1"/>
  <c r="DW37" i="1"/>
  <c r="DW36" i="1"/>
  <c r="DW35" i="1"/>
  <c r="DW34" i="1"/>
  <c r="DW33" i="1"/>
  <c r="DW32" i="1"/>
  <c r="DW31" i="1"/>
  <c r="DW30" i="1"/>
  <c r="DW29" i="1"/>
  <c r="DW28" i="1"/>
  <c r="DW27" i="1"/>
  <c r="DW26" i="1"/>
  <c r="DW25" i="1"/>
  <c r="DW24" i="1"/>
  <c r="DW23" i="1"/>
  <c r="DW22" i="1"/>
  <c r="DW21" i="1"/>
  <c r="DW20" i="1"/>
  <c r="DW19" i="1"/>
  <c r="DW18" i="1"/>
  <c r="DW17" i="1"/>
  <c r="DW16" i="1"/>
  <c r="DW15" i="1"/>
  <c r="DW14" i="1"/>
  <c r="DW13" i="1"/>
  <c r="DW12" i="1"/>
  <c r="DW11" i="1"/>
  <c r="DW10" i="1"/>
  <c r="DW9" i="1"/>
  <c r="DW8" i="1"/>
  <c r="DW7" i="1"/>
  <c r="DW6" i="1"/>
  <c r="DW5" i="1"/>
  <c r="DW4" i="1"/>
  <c r="DW3" i="1"/>
  <c r="DW2" i="1"/>
  <c r="DS463" i="1"/>
  <c r="DT463" i="1" s="1"/>
  <c r="DS721" i="1"/>
  <c r="DT721" i="1" s="1"/>
  <c r="DS720" i="1"/>
  <c r="DT720" i="1" s="1"/>
  <c r="DS719" i="1"/>
  <c r="DT719" i="1" s="1"/>
  <c r="DS718" i="1"/>
  <c r="DT718" i="1" s="1"/>
  <c r="DS717" i="1"/>
  <c r="DT717" i="1" s="1"/>
  <c r="DS716" i="1"/>
  <c r="DT716" i="1" s="1"/>
  <c r="DS715" i="1"/>
  <c r="DT715" i="1" s="1"/>
  <c r="DS714" i="1"/>
  <c r="DT714" i="1" s="1"/>
  <c r="DS713" i="1"/>
  <c r="DT713" i="1" s="1"/>
  <c r="DS712" i="1"/>
  <c r="DT712" i="1" s="1"/>
  <c r="DS711" i="1"/>
  <c r="DT711" i="1" s="1"/>
  <c r="DS710" i="1"/>
  <c r="DT710" i="1" s="1"/>
  <c r="DS709" i="1"/>
  <c r="DT709" i="1" s="1"/>
  <c r="DS708" i="1"/>
  <c r="DT708" i="1" s="1"/>
  <c r="DS707" i="1"/>
  <c r="DT707" i="1" s="1"/>
  <c r="DS706" i="1"/>
  <c r="DT706" i="1" s="1"/>
  <c r="DS705" i="1"/>
  <c r="DT705" i="1" s="1"/>
  <c r="DS704" i="1"/>
  <c r="DT704" i="1" s="1"/>
  <c r="DS703" i="1"/>
  <c r="DT703" i="1" s="1"/>
  <c r="DS702" i="1"/>
  <c r="DT702" i="1" s="1"/>
  <c r="DS701" i="1"/>
  <c r="DT701" i="1" s="1"/>
  <c r="DS700" i="1"/>
  <c r="DT700" i="1" s="1"/>
  <c r="DS699" i="1"/>
  <c r="DT699" i="1" s="1"/>
  <c r="DS698" i="1"/>
  <c r="DT698" i="1" s="1"/>
  <c r="DS697" i="1"/>
  <c r="DT697" i="1" s="1"/>
  <c r="DS696" i="1"/>
  <c r="DT696" i="1" s="1"/>
  <c r="DS695" i="1"/>
  <c r="DT695" i="1" s="1"/>
  <c r="DS694" i="1"/>
  <c r="DT694" i="1" s="1"/>
  <c r="DS693" i="1"/>
  <c r="DT693" i="1" s="1"/>
  <c r="DS692" i="1"/>
  <c r="DT692" i="1" s="1"/>
  <c r="DS691" i="1"/>
  <c r="DT691" i="1" s="1"/>
  <c r="DS690" i="1"/>
  <c r="DT690" i="1" s="1"/>
  <c r="DS689" i="1"/>
  <c r="DT689" i="1" s="1"/>
  <c r="DS688" i="1"/>
  <c r="DT688" i="1" s="1"/>
  <c r="DS687" i="1"/>
  <c r="DT687" i="1" s="1"/>
  <c r="DS686" i="1"/>
  <c r="DT686" i="1" s="1"/>
  <c r="DS685" i="1"/>
  <c r="DT685" i="1" s="1"/>
  <c r="DS684" i="1"/>
  <c r="DT684" i="1" s="1"/>
  <c r="DS683" i="1"/>
  <c r="DT683" i="1" s="1"/>
  <c r="DS682" i="1"/>
  <c r="DT682" i="1" s="1"/>
  <c r="DS681" i="1"/>
  <c r="DT681" i="1" s="1"/>
  <c r="DS680" i="1"/>
  <c r="DT680" i="1" s="1"/>
  <c r="DS679" i="1"/>
  <c r="DT679" i="1" s="1"/>
  <c r="DS678" i="1"/>
  <c r="DT678" i="1" s="1"/>
  <c r="DS677" i="1"/>
  <c r="DT677" i="1" s="1"/>
  <c r="DS676" i="1"/>
  <c r="DT676" i="1" s="1"/>
  <c r="DS675" i="1"/>
  <c r="DT675" i="1" s="1"/>
  <c r="DS674" i="1"/>
  <c r="DT674" i="1" s="1"/>
  <c r="DS673" i="1"/>
  <c r="DT673" i="1" s="1"/>
  <c r="DS672" i="1"/>
  <c r="DT672" i="1" s="1"/>
  <c r="DS671" i="1"/>
  <c r="DT671" i="1" s="1"/>
  <c r="DS670" i="1"/>
  <c r="DT670" i="1" s="1"/>
  <c r="DS669" i="1"/>
  <c r="DT669" i="1" s="1"/>
  <c r="DS668" i="1"/>
  <c r="DT668" i="1" s="1"/>
  <c r="DS667" i="1"/>
  <c r="DT667" i="1" s="1"/>
  <c r="DS666" i="1"/>
  <c r="DT666" i="1" s="1"/>
  <c r="DS665" i="1"/>
  <c r="DT665" i="1" s="1"/>
  <c r="DS664" i="1"/>
  <c r="DT664" i="1" s="1"/>
  <c r="DS663" i="1"/>
  <c r="DT663" i="1" s="1"/>
  <c r="DS662" i="1"/>
  <c r="DT662" i="1" s="1"/>
  <c r="DS661" i="1"/>
  <c r="DT661" i="1" s="1"/>
  <c r="DS660" i="1"/>
  <c r="DT660" i="1" s="1"/>
  <c r="DS659" i="1"/>
  <c r="DT659" i="1" s="1"/>
  <c r="DS658" i="1"/>
  <c r="DT658" i="1" s="1"/>
  <c r="DS657" i="1"/>
  <c r="DT657" i="1" s="1"/>
  <c r="DS656" i="1"/>
  <c r="DT656" i="1" s="1"/>
  <c r="DS655" i="1"/>
  <c r="DT655" i="1" s="1"/>
  <c r="DS654" i="1"/>
  <c r="DT654" i="1" s="1"/>
  <c r="DS653" i="1"/>
  <c r="DT653" i="1" s="1"/>
  <c r="DS652" i="1"/>
  <c r="DT652" i="1" s="1"/>
  <c r="DS651" i="1"/>
  <c r="DT651" i="1" s="1"/>
  <c r="DS650" i="1"/>
  <c r="DT650" i="1" s="1"/>
  <c r="DS649" i="1"/>
  <c r="DT649" i="1" s="1"/>
  <c r="DS648" i="1"/>
  <c r="DT648" i="1" s="1"/>
  <c r="DS647" i="1"/>
  <c r="DT647" i="1" s="1"/>
  <c r="DS646" i="1"/>
  <c r="DT646" i="1" s="1"/>
  <c r="DS645" i="1"/>
  <c r="DT645" i="1" s="1"/>
  <c r="DS644" i="1"/>
  <c r="DT644" i="1" s="1"/>
  <c r="DS643" i="1"/>
  <c r="DT643" i="1" s="1"/>
  <c r="DS642" i="1"/>
  <c r="DT642" i="1" s="1"/>
  <c r="DS641" i="1"/>
  <c r="DT641" i="1" s="1"/>
  <c r="DS640" i="1"/>
  <c r="DT640" i="1" s="1"/>
  <c r="DS639" i="1"/>
  <c r="DT639" i="1" s="1"/>
  <c r="DS638" i="1"/>
  <c r="DT638" i="1" s="1"/>
  <c r="DS637" i="1"/>
  <c r="DT637" i="1" s="1"/>
  <c r="DS636" i="1"/>
  <c r="DT636" i="1" s="1"/>
  <c r="DS635" i="1"/>
  <c r="DT635" i="1" s="1"/>
  <c r="DS634" i="1"/>
  <c r="DT634" i="1" s="1"/>
  <c r="DS633" i="1"/>
  <c r="DT633" i="1" s="1"/>
  <c r="DS632" i="1"/>
  <c r="DT632" i="1" s="1"/>
  <c r="DS631" i="1"/>
  <c r="DT631" i="1" s="1"/>
  <c r="DS630" i="1"/>
  <c r="DT630" i="1" s="1"/>
  <c r="DS629" i="1"/>
  <c r="DT629" i="1" s="1"/>
  <c r="DS628" i="1"/>
  <c r="DT628" i="1" s="1"/>
  <c r="DS627" i="1"/>
  <c r="DT627" i="1" s="1"/>
  <c r="DS626" i="1"/>
  <c r="DT626" i="1" s="1"/>
  <c r="DS625" i="1"/>
  <c r="DT625" i="1" s="1"/>
  <c r="DS624" i="1"/>
  <c r="DT624" i="1" s="1"/>
  <c r="DS623" i="1"/>
  <c r="DT623" i="1" s="1"/>
  <c r="DS622" i="1"/>
  <c r="DT622" i="1" s="1"/>
  <c r="DS621" i="1"/>
  <c r="DT621" i="1" s="1"/>
  <c r="DS620" i="1"/>
  <c r="DT620" i="1" s="1"/>
  <c r="DS619" i="1"/>
  <c r="DT619" i="1" s="1"/>
  <c r="DS618" i="1"/>
  <c r="DT618" i="1" s="1"/>
  <c r="DS617" i="1"/>
  <c r="DT617" i="1" s="1"/>
  <c r="DS616" i="1"/>
  <c r="DT616" i="1" s="1"/>
  <c r="DS615" i="1"/>
  <c r="DT615" i="1" s="1"/>
  <c r="DS614" i="1"/>
  <c r="DT614" i="1" s="1"/>
  <c r="DS613" i="1"/>
  <c r="DT613" i="1" s="1"/>
  <c r="DS612" i="1"/>
  <c r="DT612" i="1" s="1"/>
  <c r="DS611" i="1"/>
  <c r="DT611" i="1" s="1"/>
  <c r="DS610" i="1"/>
  <c r="DT610" i="1" s="1"/>
  <c r="DS609" i="1"/>
  <c r="DT609" i="1" s="1"/>
  <c r="DS608" i="1"/>
  <c r="DT608" i="1" s="1"/>
  <c r="DS607" i="1"/>
  <c r="DT607" i="1" s="1"/>
  <c r="DS606" i="1"/>
  <c r="DT606" i="1" s="1"/>
  <c r="DS605" i="1"/>
  <c r="DT605" i="1" s="1"/>
  <c r="DS604" i="1"/>
  <c r="DT604" i="1" s="1"/>
  <c r="DS603" i="1"/>
  <c r="DT603" i="1" s="1"/>
  <c r="DS602" i="1"/>
  <c r="DT602" i="1" s="1"/>
  <c r="DS601" i="1"/>
  <c r="DT601" i="1" s="1"/>
  <c r="DS600" i="1"/>
  <c r="DT600" i="1" s="1"/>
  <c r="DS599" i="1"/>
  <c r="DT599" i="1" s="1"/>
  <c r="DS598" i="1"/>
  <c r="DT598" i="1" s="1"/>
  <c r="DS597" i="1"/>
  <c r="DT597" i="1" s="1"/>
  <c r="DS596" i="1"/>
  <c r="DT596" i="1" s="1"/>
  <c r="DS595" i="1"/>
  <c r="DT595" i="1" s="1"/>
  <c r="DS594" i="1"/>
  <c r="DT594" i="1" s="1"/>
  <c r="DS593" i="1"/>
  <c r="DT593" i="1" s="1"/>
  <c r="DS592" i="1"/>
  <c r="DT592" i="1" s="1"/>
  <c r="DS591" i="1"/>
  <c r="DT591" i="1" s="1"/>
  <c r="DS590" i="1"/>
  <c r="DT590" i="1" s="1"/>
  <c r="DS589" i="1"/>
  <c r="DT589" i="1" s="1"/>
  <c r="DS588" i="1"/>
  <c r="DT588" i="1" s="1"/>
  <c r="DS587" i="1"/>
  <c r="DT587" i="1" s="1"/>
  <c r="DS586" i="1"/>
  <c r="DT586" i="1" s="1"/>
  <c r="DS585" i="1"/>
  <c r="DT585" i="1" s="1"/>
  <c r="DS584" i="1"/>
  <c r="DT584" i="1" s="1"/>
  <c r="DS583" i="1"/>
  <c r="DT583" i="1" s="1"/>
  <c r="DS582" i="1"/>
  <c r="DT582" i="1" s="1"/>
  <c r="DS581" i="1"/>
  <c r="DT581" i="1" s="1"/>
  <c r="DS580" i="1"/>
  <c r="DT580" i="1" s="1"/>
  <c r="DS579" i="1"/>
  <c r="DT579" i="1" s="1"/>
  <c r="DS578" i="1"/>
  <c r="DT578" i="1" s="1"/>
  <c r="DS577" i="1"/>
  <c r="DT577" i="1" s="1"/>
  <c r="DS576" i="1"/>
  <c r="DT576" i="1" s="1"/>
  <c r="DS575" i="1"/>
  <c r="DT575" i="1" s="1"/>
  <c r="DS574" i="1"/>
  <c r="DT574" i="1" s="1"/>
  <c r="DS573" i="1"/>
  <c r="DT573" i="1" s="1"/>
  <c r="DS572" i="1"/>
  <c r="DT572" i="1" s="1"/>
  <c r="DS571" i="1"/>
  <c r="DT571" i="1" s="1"/>
  <c r="DS570" i="1"/>
  <c r="DT570" i="1" s="1"/>
  <c r="DS569" i="1"/>
  <c r="DT569" i="1" s="1"/>
  <c r="DS568" i="1"/>
  <c r="DT568" i="1" s="1"/>
  <c r="DS567" i="1"/>
  <c r="DT567" i="1" s="1"/>
  <c r="DS566" i="1"/>
  <c r="DT566" i="1" s="1"/>
  <c r="DS565" i="1"/>
  <c r="DT565" i="1" s="1"/>
  <c r="DS564" i="1"/>
  <c r="DT564" i="1" s="1"/>
  <c r="DS563" i="1"/>
  <c r="DT563" i="1" s="1"/>
  <c r="DS562" i="1"/>
  <c r="DT562" i="1" s="1"/>
  <c r="DS561" i="1"/>
  <c r="DT561" i="1" s="1"/>
  <c r="DS560" i="1"/>
  <c r="DT560" i="1" s="1"/>
  <c r="DS559" i="1"/>
  <c r="DT559" i="1" s="1"/>
  <c r="DS558" i="1"/>
  <c r="DT558" i="1" s="1"/>
  <c r="DS557" i="1"/>
  <c r="DT557" i="1" s="1"/>
  <c r="DS556" i="1"/>
  <c r="DT556" i="1" s="1"/>
  <c r="DS555" i="1"/>
  <c r="DT555" i="1" s="1"/>
  <c r="DS554" i="1"/>
  <c r="DT554" i="1" s="1"/>
  <c r="DS553" i="1"/>
  <c r="DT553" i="1" s="1"/>
  <c r="DS552" i="1"/>
  <c r="DT552" i="1" s="1"/>
  <c r="DS551" i="1"/>
  <c r="DT551" i="1" s="1"/>
  <c r="DS550" i="1"/>
  <c r="DT550" i="1" s="1"/>
  <c r="DS549" i="1"/>
  <c r="DT549" i="1" s="1"/>
  <c r="DS548" i="1"/>
  <c r="DT548" i="1" s="1"/>
  <c r="DS547" i="1"/>
  <c r="DT547" i="1" s="1"/>
  <c r="DS546" i="1"/>
  <c r="DT546" i="1" s="1"/>
  <c r="DS545" i="1"/>
  <c r="DT545" i="1" s="1"/>
  <c r="DS544" i="1"/>
  <c r="DT544" i="1" s="1"/>
  <c r="DS543" i="1"/>
  <c r="DT543" i="1" s="1"/>
  <c r="DS542" i="1"/>
  <c r="DT542" i="1" s="1"/>
  <c r="DS541" i="1"/>
  <c r="DT541" i="1" s="1"/>
  <c r="DS540" i="1"/>
  <c r="DT540" i="1" s="1"/>
  <c r="DS539" i="1"/>
  <c r="DT539" i="1" s="1"/>
  <c r="DS538" i="1"/>
  <c r="DT538" i="1" s="1"/>
  <c r="DS537" i="1"/>
  <c r="DT537" i="1" s="1"/>
  <c r="DS536" i="1"/>
  <c r="DT536" i="1" s="1"/>
  <c r="DS535" i="1"/>
  <c r="DT535" i="1" s="1"/>
  <c r="DS534" i="1"/>
  <c r="DT534" i="1" s="1"/>
  <c r="DS533" i="1"/>
  <c r="DT533" i="1" s="1"/>
  <c r="DS532" i="1"/>
  <c r="DT532" i="1" s="1"/>
  <c r="DS531" i="1"/>
  <c r="DT531" i="1" s="1"/>
  <c r="DS530" i="1"/>
  <c r="DT530" i="1" s="1"/>
  <c r="DS529" i="1"/>
  <c r="DT529" i="1" s="1"/>
  <c r="DS528" i="1"/>
  <c r="DT528" i="1" s="1"/>
  <c r="DS527" i="1"/>
  <c r="DT527" i="1" s="1"/>
  <c r="DS526" i="1"/>
  <c r="DT526" i="1" s="1"/>
  <c r="DS525" i="1"/>
  <c r="DT525" i="1" s="1"/>
  <c r="DS524" i="1"/>
  <c r="DT524" i="1" s="1"/>
  <c r="DS523" i="1"/>
  <c r="DT523" i="1" s="1"/>
  <c r="DS522" i="1"/>
  <c r="DT522" i="1" s="1"/>
  <c r="DS521" i="1"/>
  <c r="DT521" i="1" s="1"/>
  <c r="DS520" i="1"/>
  <c r="DT520" i="1" s="1"/>
  <c r="DS519" i="1"/>
  <c r="DT519" i="1" s="1"/>
  <c r="DS518" i="1"/>
  <c r="DT518" i="1" s="1"/>
  <c r="DS517" i="1"/>
  <c r="DT517" i="1" s="1"/>
  <c r="DS516" i="1"/>
  <c r="DT516" i="1" s="1"/>
  <c r="DS515" i="1"/>
  <c r="DT515" i="1" s="1"/>
  <c r="DS514" i="1"/>
  <c r="DT514" i="1" s="1"/>
  <c r="DS513" i="1"/>
  <c r="DT513" i="1" s="1"/>
  <c r="DS512" i="1"/>
  <c r="DT512" i="1" s="1"/>
  <c r="DS511" i="1"/>
  <c r="DT511" i="1" s="1"/>
  <c r="DS510" i="1"/>
  <c r="DT510" i="1" s="1"/>
  <c r="DS509" i="1"/>
  <c r="DT509" i="1" s="1"/>
  <c r="DS508" i="1"/>
  <c r="DT508" i="1" s="1"/>
  <c r="DS507" i="1"/>
  <c r="DT507" i="1" s="1"/>
  <c r="DS506" i="1"/>
  <c r="DT506" i="1" s="1"/>
  <c r="DS505" i="1"/>
  <c r="DT505" i="1" s="1"/>
  <c r="DS504" i="1"/>
  <c r="DT504" i="1" s="1"/>
  <c r="DS503" i="1"/>
  <c r="DT503" i="1" s="1"/>
  <c r="DS502" i="1"/>
  <c r="DT502" i="1" s="1"/>
  <c r="DS501" i="1"/>
  <c r="DT501" i="1" s="1"/>
  <c r="DS500" i="1"/>
  <c r="DT500" i="1" s="1"/>
  <c r="DS499" i="1"/>
  <c r="DT499" i="1" s="1"/>
  <c r="DS498" i="1"/>
  <c r="DT498" i="1" s="1"/>
  <c r="DS497" i="1"/>
  <c r="DT497" i="1" s="1"/>
  <c r="DS496" i="1"/>
  <c r="DT496" i="1" s="1"/>
  <c r="DS495" i="1"/>
  <c r="DT495" i="1" s="1"/>
  <c r="DS494" i="1"/>
  <c r="DT494" i="1" s="1"/>
  <c r="DS493" i="1"/>
  <c r="DT493" i="1" s="1"/>
  <c r="DS492" i="1"/>
  <c r="DT492" i="1" s="1"/>
  <c r="DS491" i="1"/>
  <c r="DT491" i="1" s="1"/>
  <c r="DS490" i="1"/>
  <c r="DT490" i="1" s="1"/>
  <c r="DS489" i="1"/>
  <c r="DT489" i="1" s="1"/>
  <c r="DS488" i="1"/>
  <c r="DT488" i="1" s="1"/>
  <c r="DS487" i="1"/>
  <c r="DT487" i="1" s="1"/>
  <c r="DS486" i="1"/>
  <c r="DT486" i="1" s="1"/>
  <c r="DS485" i="1"/>
  <c r="DT485" i="1" s="1"/>
  <c r="DS484" i="1"/>
  <c r="DT484" i="1" s="1"/>
  <c r="DS483" i="1"/>
  <c r="DT483" i="1" s="1"/>
  <c r="DS482" i="1"/>
  <c r="DT482" i="1" s="1"/>
  <c r="DS481" i="1"/>
  <c r="DT481" i="1" s="1"/>
  <c r="DS480" i="1"/>
  <c r="DT480" i="1" s="1"/>
  <c r="DS479" i="1"/>
  <c r="DT479" i="1" s="1"/>
  <c r="DS478" i="1"/>
  <c r="DT478" i="1" s="1"/>
  <c r="DS477" i="1"/>
  <c r="DT477" i="1" s="1"/>
  <c r="DS476" i="1"/>
  <c r="DT476" i="1" s="1"/>
  <c r="DS475" i="1"/>
  <c r="DT475" i="1" s="1"/>
  <c r="DS474" i="1"/>
  <c r="DT474" i="1" s="1"/>
  <c r="DS473" i="1"/>
  <c r="DT473" i="1" s="1"/>
  <c r="DS472" i="1"/>
  <c r="DT472" i="1" s="1"/>
  <c r="DS471" i="1"/>
  <c r="DT471" i="1" s="1"/>
  <c r="DS470" i="1"/>
  <c r="DT470" i="1" s="1"/>
  <c r="DS469" i="1"/>
  <c r="DT469" i="1" s="1"/>
  <c r="DS468" i="1"/>
  <c r="DT468" i="1" s="1"/>
  <c r="DS467" i="1"/>
  <c r="DT467" i="1" s="1"/>
  <c r="DS466" i="1"/>
  <c r="DT466" i="1" s="1"/>
  <c r="DS465" i="1"/>
  <c r="DT465" i="1" s="1"/>
  <c r="DS464" i="1"/>
  <c r="DT464" i="1" s="1"/>
  <c r="DS462" i="1"/>
  <c r="DT462" i="1" s="1"/>
  <c r="DS461" i="1"/>
  <c r="DT461" i="1" s="1"/>
  <c r="DS460" i="1"/>
  <c r="DT460" i="1" s="1"/>
  <c r="DS459" i="1"/>
  <c r="DT459" i="1" s="1"/>
  <c r="DS458" i="1"/>
  <c r="DT458" i="1" s="1"/>
  <c r="DS457" i="1"/>
  <c r="DT457" i="1" s="1"/>
  <c r="DS456" i="1"/>
  <c r="DT456" i="1" s="1"/>
  <c r="DS455" i="1"/>
  <c r="DT455" i="1" s="1"/>
  <c r="DS454" i="1"/>
  <c r="DT454" i="1" s="1"/>
  <c r="DS453" i="1"/>
  <c r="DT453" i="1" s="1"/>
  <c r="DS452" i="1"/>
  <c r="DT452" i="1" s="1"/>
  <c r="DS451" i="1"/>
  <c r="DT451" i="1" s="1"/>
  <c r="DS450" i="1"/>
  <c r="DT450" i="1" s="1"/>
  <c r="DS449" i="1"/>
  <c r="DT449" i="1" s="1"/>
  <c r="DS448" i="1"/>
  <c r="DT448" i="1" s="1"/>
  <c r="DS447" i="1"/>
  <c r="DT447" i="1" s="1"/>
  <c r="DS446" i="1"/>
  <c r="DT446" i="1" s="1"/>
  <c r="DS445" i="1"/>
  <c r="DT445" i="1" s="1"/>
  <c r="DS444" i="1"/>
  <c r="DT444" i="1" s="1"/>
  <c r="DS443" i="1"/>
  <c r="DT443" i="1" s="1"/>
  <c r="DS442" i="1"/>
  <c r="DT442" i="1" s="1"/>
  <c r="DS441" i="1"/>
  <c r="DT441" i="1" s="1"/>
  <c r="DS440" i="1"/>
  <c r="DT440" i="1" s="1"/>
  <c r="DS439" i="1"/>
  <c r="DT439" i="1" s="1"/>
  <c r="DS438" i="1"/>
  <c r="DT438" i="1" s="1"/>
  <c r="DS437" i="1"/>
  <c r="DT437" i="1" s="1"/>
  <c r="DS436" i="1"/>
  <c r="DT436" i="1" s="1"/>
  <c r="DS435" i="1"/>
  <c r="DT435" i="1" s="1"/>
  <c r="DS434" i="1"/>
  <c r="DT434" i="1" s="1"/>
  <c r="DS433" i="1"/>
  <c r="DT433" i="1" s="1"/>
  <c r="DS432" i="1"/>
  <c r="DT432" i="1" s="1"/>
  <c r="DS431" i="1"/>
  <c r="DT431" i="1" s="1"/>
  <c r="DS430" i="1"/>
  <c r="DT430" i="1" s="1"/>
  <c r="DS429" i="1"/>
  <c r="DT429" i="1" s="1"/>
  <c r="DS428" i="1"/>
  <c r="DT428" i="1" s="1"/>
  <c r="DS427" i="1"/>
  <c r="DT427" i="1" s="1"/>
  <c r="DS426" i="1"/>
  <c r="DT426" i="1" s="1"/>
  <c r="DS425" i="1"/>
  <c r="DT425" i="1" s="1"/>
  <c r="DS424" i="1"/>
  <c r="DT424" i="1" s="1"/>
  <c r="DS423" i="1"/>
  <c r="DT423" i="1" s="1"/>
  <c r="DS422" i="1"/>
  <c r="DT422" i="1" s="1"/>
  <c r="DS421" i="1"/>
  <c r="DT421" i="1" s="1"/>
  <c r="DS420" i="1"/>
  <c r="DT420" i="1" s="1"/>
  <c r="DS419" i="1"/>
  <c r="DT419" i="1" s="1"/>
  <c r="DS418" i="1"/>
  <c r="DT418" i="1" s="1"/>
  <c r="DS417" i="1"/>
  <c r="DT417" i="1" s="1"/>
  <c r="DS416" i="1"/>
  <c r="DT416" i="1" s="1"/>
  <c r="DS415" i="1"/>
  <c r="DT415" i="1" s="1"/>
  <c r="DS414" i="1"/>
  <c r="DT414" i="1" s="1"/>
  <c r="DS413" i="1"/>
  <c r="DT413" i="1" s="1"/>
  <c r="DS412" i="1"/>
  <c r="DT412" i="1" s="1"/>
  <c r="DS411" i="1"/>
  <c r="DT411" i="1" s="1"/>
  <c r="DS410" i="1"/>
  <c r="DT410" i="1" s="1"/>
  <c r="DS409" i="1"/>
  <c r="DT409" i="1" s="1"/>
  <c r="DS408" i="1"/>
  <c r="DT408" i="1" s="1"/>
  <c r="DS407" i="1"/>
  <c r="DT407" i="1" s="1"/>
  <c r="DS406" i="1"/>
  <c r="DT406" i="1" s="1"/>
  <c r="DS405" i="1"/>
  <c r="DT405" i="1" s="1"/>
  <c r="DS404" i="1"/>
  <c r="DT404" i="1" s="1"/>
  <c r="DS403" i="1"/>
  <c r="DT403" i="1" s="1"/>
  <c r="DS402" i="1"/>
  <c r="DT402" i="1" s="1"/>
  <c r="DS401" i="1"/>
  <c r="DT401" i="1" s="1"/>
  <c r="DS400" i="1"/>
  <c r="DT400" i="1" s="1"/>
  <c r="DS399" i="1"/>
  <c r="DT399" i="1" s="1"/>
  <c r="DS398" i="1"/>
  <c r="DT398" i="1" s="1"/>
  <c r="DS397" i="1"/>
  <c r="DT397" i="1" s="1"/>
  <c r="DS396" i="1"/>
  <c r="DT396" i="1" s="1"/>
  <c r="DS395" i="1"/>
  <c r="DT395" i="1" s="1"/>
  <c r="DS394" i="1"/>
  <c r="DT394" i="1" s="1"/>
  <c r="DS393" i="1"/>
  <c r="DT393" i="1" s="1"/>
  <c r="DS392" i="1"/>
  <c r="DT392" i="1" s="1"/>
  <c r="DS391" i="1"/>
  <c r="DT391" i="1" s="1"/>
  <c r="DS390" i="1"/>
  <c r="DT390" i="1" s="1"/>
  <c r="DS389" i="1"/>
  <c r="DT389" i="1" s="1"/>
  <c r="DS388" i="1"/>
  <c r="DT388" i="1" s="1"/>
  <c r="DS387" i="1"/>
  <c r="DT387" i="1" s="1"/>
  <c r="DS386" i="1"/>
  <c r="DT386" i="1" s="1"/>
  <c r="DS385" i="1"/>
  <c r="DT385" i="1" s="1"/>
  <c r="DS384" i="1"/>
  <c r="DT384" i="1" s="1"/>
  <c r="DS383" i="1"/>
  <c r="DT383" i="1" s="1"/>
  <c r="DS382" i="1"/>
  <c r="DT382" i="1" s="1"/>
  <c r="DS381" i="1"/>
  <c r="DT381" i="1" s="1"/>
  <c r="DS380" i="1"/>
  <c r="DT380" i="1" s="1"/>
  <c r="DS379" i="1"/>
  <c r="DT379" i="1" s="1"/>
  <c r="DS378" i="1"/>
  <c r="DT378" i="1" s="1"/>
  <c r="DS377" i="1"/>
  <c r="DT377" i="1" s="1"/>
  <c r="DS376" i="1"/>
  <c r="DT376" i="1" s="1"/>
  <c r="DS375" i="1"/>
  <c r="DT375" i="1" s="1"/>
  <c r="DS374" i="1"/>
  <c r="DT374" i="1" s="1"/>
  <c r="DS373" i="1"/>
  <c r="DT373" i="1" s="1"/>
  <c r="DS372" i="1"/>
  <c r="DT372" i="1" s="1"/>
  <c r="DS371" i="1"/>
  <c r="DT371" i="1" s="1"/>
  <c r="DS370" i="1"/>
  <c r="DT370" i="1" s="1"/>
  <c r="DS369" i="1"/>
  <c r="DT369" i="1" s="1"/>
  <c r="DS368" i="1"/>
  <c r="DT368" i="1" s="1"/>
  <c r="DS367" i="1"/>
  <c r="DT367" i="1" s="1"/>
  <c r="DS366" i="1"/>
  <c r="DT366" i="1" s="1"/>
  <c r="DS365" i="1"/>
  <c r="DT365" i="1" s="1"/>
  <c r="DS364" i="1"/>
  <c r="DT364" i="1" s="1"/>
  <c r="DS363" i="1"/>
  <c r="DT363" i="1" s="1"/>
  <c r="DS362" i="1"/>
  <c r="DT362" i="1" s="1"/>
  <c r="DS361" i="1"/>
  <c r="DT361" i="1" s="1"/>
  <c r="DS360" i="1"/>
  <c r="DT360" i="1" s="1"/>
  <c r="DS359" i="1"/>
  <c r="DT359" i="1" s="1"/>
  <c r="DS358" i="1"/>
  <c r="DT358" i="1" s="1"/>
  <c r="DS357" i="1"/>
  <c r="DT357" i="1" s="1"/>
  <c r="DS356" i="1"/>
  <c r="DT356" i="1" s="1"/>
  <c r="DS355" i="1"/>
  <c r="DT355" i="1" s="1"/>
  <c r="DS354" i="1"/>
  <c r="DT354" i="1" s="1"/>
  <c r="DS353" i="1"/>
  <c r="DT353" i="1" s="1"/>
  <c r="DS352" i="1"/>
  <c r="DT352" i="1" s="1"/>
  <c r="DS351" i="1"/>
  <c r="DT351" i="1" s="1"/>
  <c r="DS350" i="1"/>
  <c r="DT350" i="1" s="1"/>
  <c r="DS349" i="1"/>
  <c r="DT349" i="1" s="1"/>
  <c r="DS348" i="1"/>
  <c r="DT348" i="1" s="1"/>
  <c r="DS347" i="1"/>
  <c r="DT347" i="1" s="1"/>
  <c r="DS346" i="1"/>
  <c r="DT346" i="1" s="1"/>
  <c r="DS345" i="1"/>
  <c r="DT345" i="1" s="1"/>
  <c r="DS344" i="1"/>
  <c r="DT344" i="1" s="1"/>
  <c r="DS343" i="1"/>
  <c r="DT343" i="1" s="1"/>
  <c r="DS342" i="1"/>
  <c r="DT342" i="1" s="1"/>
  <c r="DS341" i="1"/>
  <c r="DT341" i="1" s="1"/>
  <c r="DS340" i="1"/>
  <c r="DT340" i="1" s="1"/>
  <c r="DS339" i="1"/>
  <c r="DT339" i="1" s="1"/>
  <c r="DS338" i="1"/>
  <c r="DT338" i="1" s="1"/>
  <c r="DS337" i="1"/>
  <c r="DT337" i="1" s="1"/>
  <c r="DS336" i="1"/>
  <c r="DT336" i="1" s="1"/>
  <c r="DS335" i="1"/>
  <c r="DT335" i="1" s="1"/>
  <c r="DS334" i="1"/>
  <c r="DT334" i="1" s="1"/>
  <c r="DS333" i="1"/>
  <c r="DT333" i="1" s="1"/>
  <c r="DS332" i="1"/>
  <c r="DT332" i="1" s="1"/>
  <c r="DS331" i="1"/>
  <c r="DT331" i="1" s="1"/>
  <c r="DS330" i="1"/>
  <c r="DT330" i="1" s="1"/>
  <c r="DS329" i="1"/>
  <c r="DT329" i="1" s="1"/>
  <c r="DS328" i="1"/>
  <c r="DT328" i="1" s="1"/>
  <c r="DS327" i="1"/>
  <c r="DT327" i="1" s="1"/>
  <c r="DS326" i="1"/>
  <c r="DT326" i="1" s="1"/>
  <c r="DS325" i="1"/>
  <c r="DT325" i="1" s="1"/>
  <c r="DS324" i="1"/>
  <c r="DT324" i="1" s="1"/>
  <c r="DS323" i="1"/>
  <c r="DT323" i="1" s="1"/>
  <c r="DS322" i="1"/>
  <c r="DT322" i="1" s="1"/>
  <c r="DS321" i="1"/>
  <c r="DT321" i="1" s="1"/>
  <c r="DS320" i="1"/>
  <c r="DT320" i="1" s="1"/>
  <c r="DS319" i="1"/>
  <c r="DT319" i="1" s="1"/>
  <c r="DS318" i="1"/>
  <c r="DT318" i="1" s="1"/>
  <c r="DS317" i="1"/>
  <c r="DT317" i="1" s="1"/>
  <c r="DS316" i="1"/>
  <c r="DT316" i="1" s="1"/>
  <c r="DS315" i="1"/>
  <c r="DT315" i="1" s="1"/>
  <c r="DS314" i="1"/>
  <c r="DT314" i="1" s="1"/>
  <c r="DS313" i="1"/>
  <c r="DT313" i="1" s="1"/>
  <c r="DS312" i="1"/>
  <c r="DT312" i="1" s="1"/>
  <c r="DS311" i="1"/>
  <c r="DT311" i="1" s="1"/>
  <c r="DS310" i="1"/>
  <c r="DT310" i="1" s="1"/>
  <c r="DS309" i="1"/>
  <c r="DT309" i="1" s="1"/>
  <c r="DS308" i="1"/>
  <c r="DT308" i="1" s="1"/>
  <c r="DS307" i="1"/>
  <c r="DT307" i="1" s="1"/>
  <c r="DS306" i="1"/>
  <c r="DT306" i="1" s="1"/>
  <c r="DS305" i="1"/>
  <c r="DT305" i="1" s="1"/>
  <c r="DS304" i="1"/>
  <c r="DT304" i="1" s="1"/>
  <c r="DS303" i="1"/>
  <c r="DT303" i="1" s="1"/>
  <c r="DS302" i="1"/>
  <c r="DT302" i="1" s="1"/>
  <c r="DS301" i="1"/>
  <c r="DT301" i="1" s="1"/>
  <c r="DS300" i="1"/>
  <c r="DT300" i="1" s="1"/>
  <c r="DS299" i="1"/>
  <c r="DT299" i="1" s="1"/>
  <c r="DS298" i="1"/>
  <c r="DT298" i="1" s="1"/>
  <c r="DS297" i="1"/>
  <c r="DT297" i="1" s="1"/>
  <c r="DS296" i="1"/>
  <c r="DT296" i="1" s="1"/>
  <c r="DS295" i="1"/>
  <c r="DT295" i="1" s="1"/>
  <c r="DS294" i="1"/>
  <c r="DT294" i="1" s="1"/>
  <c r="DS293" i="1"/>
  <c r="DT293" i="1" s="1"/>
  <c r="DS292" i="1"/>
  <c r="DT292" i="1" s="1"/>
  <c r="DS291" i="1"/>
  <c r="DT291" i="1" s="1"/>
  <c r="DS290" i="1"/>
  <c r="DT290" i="1" s="1"/>
  <c r="DS289" i="1"/>
  <c r="DT289" i="1" s="1"/>
  <c r="DS288" i="1"/>
  <c r="DT288" i="1" s="1"/>
  <c r="DS287" i="1"/>
  <c r="DT287" i="1" s="1"/>
  <c r="DS286" i="1"/>
  <c r="DT286" i="1" s="1"/>
  <c r="DS285" i="1"/>
  <c r="DT285" i="1" s="1"/>
  <c r="DS284" i="1"/>
  <c r="DT284" i="1" s="1"/>
  <c r="DS283" i="1"/>
  <c r="DT283" i="1" s="1"/>
  <c r="DS282" i="1"/>
  <c r="DT282" i="1" s="1"/>
  <c r="DS281" i="1"/>
  <c r="DT281" i="1" s="1"/>
  <c r="DS280" i="1"/>
  <c r="DT280" i="1" s="1"/>
  <c r="DS279" i="1"/>
  <c r="DT279" i="1" s="1"/>
  <c r="DS278" i="1"/>
  <c r="DT278" i="1" s="1"/>
  <c r="DS277" i="1"/>
  <c r="DT277" i="1" s="1"/>
  <c r="DS276" i="1"/>
  <c r="DT276" i="1" s="1"/>
  <c r="DS275" i="1"/>
  <c r="DT275" i="1" s="1"/>
  <c r="DS274" i="1"/>
  <c r="DT274" i="1" s="1"/>
  <c r="DS273" i="1"/>
  <c r="DT273" i="1" s="1"/>
  <c r="DS272" i="1"/>
  <c r="DT272" i="1" s="1"/>
  <c r="DS271" i="1"/>
  <c r="DT271" i="1" s="1"/>
  <c r="DS270" i="1"/>
  <c r="DT270" i="1" s="1"/>
  <c r="DS269" i="1"/>
  <c r="DT269" i="1" s="1"/>
  <c r="DS268" i="1"/>
  <c r="DT268" i="1" s="1"/>
  <c r="DS267" i="1"/>
  <c r="DT267" i="1" s="1"/>
  <c r="DS266" i="1"/>
  <c r="DT266" i="1" s="1"/>
  <c r="DS265" i="1"/>
  <c r="DT265" i="1" s="1"/>
  <c r="DS264" i="1"/>
  <c r="DT264" i="1" s="1"/>
  <c r="DS263" i="1"/>
  <c r="DT263" i="1" s="1"/>
  <c r="DS262" i="1"/>
  <c r="DT262" i="1" s="1"/>
  <c r="DS261" i="1"/>
  <c r="DT261" i="1" s="1"/>
  <c r="DS260" i="1"/>
  <c r="DT260" i="1" s="1"/>
  <c r="DS259" i="1"/>
  <c r="DT259" i="1" s="1"/>
  <c r="DS258" i="1"/>
  <c r="DT258" i="1" s="1"/>
  <c r="DS257" i="1"/>
  <c r="DT257" i="1" s="1"/>
  <c r="DS256" i="1"/>
  <c r="DT256" i="1" s="1"/>
  <c r="DS255" i="1"/>
  <c r="DT255" i="1" s="1"/>
  <c r="DS254" i="1"/>
  <c r="DT254" i="1" s="1"/>
  <c r="DS253" i="1"/>
  <c r="DT253" i="1" s="1"/>
  <c r="DS252" i="1"/>
  <c r="DT252" i="1" s="1"/>
  <c r="DS251" i="1"/>
  <c r="DT251" i="1" s="1"/>
  <c r="DS250" i="1"/>
  <c r="DT250" i="1" s="1"/>
  <c r="DS249" i="1"/>
  <c r="DT249" i="1" s="1"/>
  <c r="DS248" i="1"/>
  <c r="DT248" i="1" s="1"/>
  <c r="DS247" i="1"/>
  <c r="DT247" i="1" s="1"/>
  <c r="DS246" i="1"/>
  <c r="DT246" i="1" s="1"/>
  <c r="DS245" i="1"/>
  <c r="DT245" i="1" s="1"/>
  <c r="DS244" i="1"/>
  <c r="DT244" i="1" s="1"/>
  <c r="DS243" i="1"/>
  <c r="DT243" i="1" s="1"/>
  <c r="DS242" i="1"/>
  <c r="DT242" i="1" s="1"/>
  <c r="DS241" i="1"/>
  <c r="DT241" i="1" s="1"/>
  <c r="DS240" i="1"/>
  <c r="DT240" i="1" s="1"/>
  <c r="DS239" i="1"/>
  <c r="DT239" i="1" s="1"/>
  <c r="DS238" i="1"/>
  <c r="DT238" i="1" s="1"/>
  <c r="DS237" i="1"/>
  <c r="DT237" i="1" s="1"/>
  <c r="DS236" i="1"/>
  <c r="DT236" i="1" s="1"/>
  <c r="DS235" i="1"/>
  <c r="DT235" i="1" s="1"/>
  <c r="DS234" i="1"/>
  <c r="DT234" i="1" s="1"/>
  <c r="DS233" i="1"/>
  <c r="DT233" i="1" s="1"/>
  <c r="DS232" i="1"/>
  <c r="DT232" i="1" s="1"/>
  <c r="DS231" i="1"/>
  <c r="DT231" i="1" s="1"/>
  <c r="DS230" i="1"/>
  <c r="DT230" i="1" s="1"/>
  <c r="DS229" i="1"/>
  <c r="DT229" i="1" s="1"/>
  <c r="DS228" i="1"/>
  <c r="DT228" i="1" s="1"/>
  <c r="DS227" i="1"/>
  <c r="DT227" i="1" s="1"/>
  <c r="DS226" i="1"/>
  <c r="DT226" i="1" s="1"/>
  <c r="DS225" i="1"/>
  <c r="DT225" i="1" s="1"/>
  <c r="DS224" i="1"/>
  <c r="DT224" i="1" s="1"/>
  <c r="DS223" i="1"/>
  <c r="DT223" i="1" s="1"/>
  <c r="DS222" i="1"/>
  <c r="DT222" i="1" s="1"/>
  <c r="DS221" i="1"/>
  <c r="DT221" i="1" s="1"/>
  <c r="DS220" i="1"/>
  <c r="DT220" i="1" s="1"/>
  <c r="DS219" i="1"/>
  <c r="DT219" i="1" s="1"/>
  <c r="DS218" i="1"/>
  <c r="DT218" i="1" s="1"/>
  <c r="DS217" i="1"/>
  <c r="DT217" i="1" s="1"/>
  <c r="DS216" i="1"/>
  <c r="DT216" i="1" s="1"/>
  <c r="DS215" i="1"/>
  <c r="DT215" i="1" s="1"/>
  <c r="DS214" i="1"/>
  <c r="DT214" i="1" s="1"/>
  <c r="DS213" i="1"/>
  <c r="DT213" i="1" s="1"/>
  <c r="DS212" i="1"/>
  <c r="DT212" i="1" s="1"/>
  <c r="DS211" i="1"/>
  <c r="DT211" i="1" s="1"/>
  <c r="DS210" i="1"/>
  <c r="DT210" i="1" s="1"/>
  <c r="DS209" i="1"/>
  <c r="DT209" i="1" s="1"/>
  <c r="DS208" i="1"/>
  <c r="DT208" i="1" s="1"/>
  <c r="DS207" i="1"/>
  <c r="DT207" i="1" s="1"/>
  <c r="DS206" i="1"/>
  <c r="DT206" i="1" s="1"/>
  <c r="DS205" i="1"/>
  <c r="DT205" i="1" s="1"/>
  <c r="DS204" i="1"/>
  <c r="DT204" i="1" s="1"/>
  <c r="DS203" i="1"/>
  <c r="DT203" i="1" s="1"/>
  <c r="DS202" i="1"/>
  <c r="DT202" i="1" s="1"/>
  <c r="DS201" i="1"/>
  <c r="DT201" i="1" s="1"/>
  <c r="DS200" i="1"/>
  <c r="DT200" i="1" s="1"/>
  <c r="DS199" i="1"/>
  <c r="DT199" i="1" s="1"/>
  <c r="DS198" i="1"/>
  <c r="DT198" i="1" s="1"/>
  <c r="DS197" i="1"/>
  <c r="DT197" i="1" s="1"/>
  <c r="DS196" i="1"/>
  <c r="DT196" i="1" s="1"/>
  <c r="DS195" i="1"/>
  <c r="DT195" i="1" s="1"/>
  <c r="DS194" i="1"/>
  <c r="DT194" i="1" s="1"/>
  <c r="DS193" i="1"/>
  <c r="DT193" i="1" s="1"/>
  <c r="DS192" i="1"/>
  <c r="DT192" i="1" s="1"/>
  <c r="DS191" i="1"/>
  <c r="DT191" i="1" s="1"/>
  <c r="DS190" i="1"/>
  <c r="DT190" i="1" s="1"/>
  <c r="DS189" i="1"/>
  <c r="DT189" i="1" s="1"/>
  <c r="DS188" i="1"/>
  <c r="DT188" i="1" s="1"/>
  <c r="DS187" i="1"/>
  <c r="DT187" i="1" s="1"/>
  <c r="DS186" i="1"/>
  <c r="DT186" i="1" s="1"/>
  <c r="DS185" i="1"/>
  <c r="DT185" i="1" s="1"/>
  <c r="DS184" i="1"/>
  <c r="DT184" i="1" s="1"/>
  <c r="DS183" i="1"/>
  <c r="DT183" i="1" s="1"/>
  <c r="DS182" i="1"/>
  <c r="DT182" i="1" s="1"/>
  <c r="DS181" i="1"/>
  <c r="DT181" i="1" s="1"/>
  <c r="DS180" i="1"/>
  <c r="DT180" i="1" s="1"/>
  <c r="DS179" i="1"/>
  <c r="DT179" i="1" s="1"/>
  <c r="DS178" i="1"/>
  <c r="DT178" i="1" s="1"/>
  <c r="DS177" i="1"/>
  <c r="DT177" i="1" s="1"/>
  <c r="DS176" i="1"/>
  <c r="DT176" i="1" s="1"/>
  <c r="DS175" i="1"/>
  <c r="DT175" i="1" s="1"/>
  <c r="DS174" i="1"/>
  <c r="DT174" i="1" s="1"/>
  <c r="DS173" i="1"/>
  <c r="DT173" i="1" s="1"/>
  <c r="DS172" i="1"/>
  <c r="DT172" i="1" s="1"/>
  <c r="DS171" i="1"/>
  <c r="DT171" i="1" s="1"/>
  <c r="DS170" i="1"/>
  <c r="DT170" i="1" s="1"/>
  <c r="DS169" i="1"/>
  <c r="DT169" i="1" s="1"/>
  <c r="DS168" i="1"/>
  <c r="DT168" i="1" s="1"/>
  <c r="DS167" i="1"/>
  <c r="DT167" i="1" s="1"/>
  <c r="DS166" i="1"/>
  <c r="DT166" i="1" s="1"/>
  <c r="DS165" i="1"/>
  <c r="DT165" i="1" s="1"/>
  <c r="DS164" i="1"/>
  <c r="DT164" i="1" s="1"/>
  <c r="DS163" i="1"/>
  <c r="DT163" i="1" s="1"/>
  <c r="DS162" i="1"/>
  <c r="DT162" i="1" s="1"/>
  <c r="DS161" i="1"/>
  <c r="DT161" i="1" s="1"/>
  <c r="DS160" i="1"/>
  <c r="DT160" i="1" s="1"/>
  <c r="DS159" i="1"/>
  <c r="DT159" i="1" s="1"/>
  <c r="DS158" i="1"/>
  <c r="DT158" i="1" s="1"/>
  <c r="DS157" i="1"/>
  <c r="DT157" i="1" s="1"/>
  <c r="DS156" i="1"/>
  <c r="DT156" i="1" s="1"/>
  <c r="DS155" i="1"/>
  <c r="DT155" i="1" s="1"/>
  <c r="DS154" i="1"/>
  <c r="DT154" i="1" s="1"/>
  <c r="DS153" i="1"/>
  <c r="DT153" i="1" s="1"/>
  <c r="DS152" i="1"/>
  <c r="DT152" i="1" s="1"/>
  <c r="DS151" i="1"/>
  <c r="DT151" i="1" s="1"/>
  <c r="DS150" i="1"/>
  <c r="DT150" i="1" s="1"/>
  <c r="DS149" i="1"/>
  <c r="DT149" i="1" s="1"/>
  <c r="DS148" i="1"/>
  <c r="DT148" i="1" s="1"/>
  <c r="DS147" i="1"/>
  <c r="DT147" i="1" s="1"/>
  <c r="DS146" i="1"/>
  <c r="DT146" i="1" s="1"/>
  <c r="DS145" i="1"/>
  <c r="DT145" i="1" s="1"/>
  <c r="DS144" i="1"/>
  <c r="DT144" i="1" s="1"/>
  <c r="DS143" i="1"/>
  <c r="DT143" i="1" s="1"/>
  <c r="DS142" i="1"/>
  <c r="DT142" i="1" s="1"/>
  <c r="DS141" i="1"/>
  <c r="DT141" i="1" s="1"/>
  <c r="DS140" i="1"/>
  <c r="DT140" i="1" s="1"/>
  <c r="DS139" i="1"/>
  <c r="DT139" i="1" s="1"/>
  <c r="DS138" i="1"/>
  <c r="DT138" i="1" s="1"/>
  <c r="DS137" i="1"/>
  <c r="DT137" i="1" s="1"/>
  <c r="DS136" i="1"/>
  <c r="DT136" i="1" s="1"/>
  <c r="DS135" i="1"/>
  <c r="DT135" i="1" s="1"/>
  <c r="DS134" i="1"/>
  <c r="DT134" i="1" s="1"/>
  <c r="DS133" i="1"/>
  <c r="DT133" i="1" s="1"/>
  <c r="DS132" i="1"/>
  <c r="DT132" i="1" s="1"/>
  <c r="DS131" i="1"/>
  <c r="DT131" i="1" s="1"/>
  <c r="DS130" i="1"/>
  <c r="DT130" i="1" s="1"/>
  <c r="DS129" i="1"/>
  <c r="DT129" i="1" s="1"/>
  <c r="DS128" i="1"/>
  <c r="DT128" i="1" s="1"/>
  <c r="DS127" i="1"/>
  <c r="DT127" i="1" s="1"/>
  <c r="DS126" i="1"/>
  <c r="DT126" i="1" s="1"/>
  <c r="DS125" i="1"/>
  <c r="DT125" i="1" s="1"/>
  <c r="DS124" i="1"/>
  <c r="DT124" i="1" s="1"/>
  <c r="DS123" i="1"/>
  <c r="DT123" i="1" s="1"/>
  <c r="DS122" i="1"/>
  <c r="DT122" i="1" s="1"/>
  <c r="DS121" i="1"/>
  <c r="DT121" i="1" s="1"/>
  <c r="DS120" i="1"/>
  <c r="DT120" i="1" s="1"/>
  <c r="DS119" i="1"/>
  <c r="DT119" i="1" s="1"/>
  <c r="DS118" i="1"/>
  <c r="DT118" i="1" s="1"/>
  <c r="DS117" i="1"/>
  <c r="DT117" i="1" s="1"/>
  <c r="DS116" i="1"/>
  <c r="DT116" i="1" s="1"/>
  <c r="DS115" i="1"/>
  <c r="DT115" i="1" s="1"/>
  <c r="DS114" i="1"/>
  <c r="DT114" i="1" s="1"/>
  <c r="DS113" i="1"/>
  <c r="DT113" i="1" s="1"/>
  <c r="DS112" i="1"/>
  <c r="DT112" i="1" s="1"/>
  <c r="DS111" i="1"/>
  <c r="DT111" i="1" s="1"/>
  <c r="DS110" i="1"/>
  <c r="DT110" i="1" s="1"/>
  <c r="DS109" i="1"/>
  <c r="DT109" i="1" s="1"/>
  <c r="DS108" i="1"/>
  <c r="DT108" i="1" s="1"/>
  <c r="DS107" i="1"/>
  <c r="DT107" i="1" s="1"/>
  <c r="DS106" i="1"/>
  <c r="DT106" i="1" s="1"/>
  <c r="DS105" i="1"/>
  <c r="DT105" i="1" s="1"/>
  <c r="DS104" i="1"/>
  <c r="DT104" i="1" s="1"/>
  <c r="DS103" i="1"/>
  <c r="DT103" i="1" s="1"/>
  <c r="DS102" i="1"/>
  <c r="DT102" i="1" s="1"/>
  <c r="DS101" i="1"/>
  <c r="DT101" i="1" s="1"/>
  <c r="DS100" i="1"/>
  <c r="DT100" i="1" s="1"/>
  <c r="DS99" i="1"/>
  <c r="DT99" i="1" s="1"/>
  <c r="DS98" i="1"/>
  <c r="DT98" i="1" s="1"/>
  <c r="DS97" i="1"/>
  <c r="DT97" i="1" s="1"/>
  <c r="DS96" i="1"/>
  <c r="DT96" i="1" s="1"/>
  <c r="DS95" i="1"/>
  <c r="DT95" i="1" s="1"/>
  <c r="DS94" i="1"/>
  <c r="DT94" i="1" s="1"/>
  <c r="DS93" i="1"/>
  <c r="DT93" i="1" s="1"/>
  <c r="DS92" i="1"/>
  <c r="DT92" i="1" s="1"/>
  <c r="DS91" i="1"/>
  <c r="DT91" i="1" s="1"/>
  <c r="DS90" i="1"/>
  <c r="DT90" i="1" s="1"/>
  <c r="DS89" i="1"/>
  <c r="DT89" i="1" s="1"/>
  <c r="DS88" i="1"/>
  <c r="DT88" i="1" s="1"/>
  <c r="DS87" i="1"/>
  <c r="DT87" i="1" s="1"/>
  <c r="DS86" i="1"/>
  <c r="DT86" i="1" s="1"/>
  <c r="DS85" i="1"/>
  <c r="DT85" i="1" s="1"/>
  <c r="DS84" i="1"/>
  <c r="DT84" i="1" s="1"/>
  <c r="DS83" i="1"/>
  <c r="DT83" i="1" s="1"/>
  <c r="DS82" i="1"/>
  <c r="DT82" i="1" s="1"/>
  <c r="DS81" i="1"/>
  <c r="DT81" i="1" s="1"/>
  <c r="DS80" i="1"/>
  <c r="DT80" i="1" s="1"/>
  <c r="DS79" i="1"/>
  <c r="DT79" i="1" s="1"/>
  <c r="DS78" i="1"/>
  <c r="DT78" i="1" s="1"/>
  <c r="DS77" i="1"/>
  <c r="DT77" i="1" s="1"/>
  <c r="DS76" i="1"/>
  <c r="DT76" i="1" s="1"/>
  <c r="DS75" i="1"/>
  <c r="DT75" i="1" s="1"/>
  <c r="DS74" i="1"/>
  <c r="DT74" i="1" s="1"/>
  <c r="DS73" i="1"/>
  <c r="DT73" i="1" s="1"/>
  <c r="DS72" i="1"/>
  <c r="DT72" i="1" s="1"/>
  <c r="DS71" i="1"/>
  <c r="DT71" i="1" s="1"/>
  <c r="DS70" i="1"/>
  <c r="DT70" i="1" s="1"/>
  <c r="DS69" i="1"/>
  <c r="DT69" i="1" s="1"/>
  <c r="DS68" i="1"/>
  <c r="DT68" i="1" s="1"/>
  <c r="DS67" i="1"/>
  <c r="DT67" i="1" s="1"/>
  <c r="DS66" i="1"/>
  <c r="DT66" i="1" s="1"/>
  <c r="DS65" i="1"/>
  <c r="DT65" i="1" s="1"/>
  <c r="DS64" i="1"/>
  <c r="DT64" i="1" s="1"/>
  <c r="DS63" i="1"/>
  <c r="DT63" i="1" s="1"/>
  <c r="DS62" i="1"/>
  <c r="DT62" i="1" s="1"/>
  <c r="DS61" i="1"/>
  <c r="DT61" i="1" s="1"/>
  <c r="DS60" i="1"/>
  <c r="DT60" i="1" s="1"/>
  <c r="DS59" i="1"/>
  <c r="DT59" i="1" s="1"/>
  <c r="DS58" i="1"/>
  <c r="DT58" i="1" s="1"/>
  <c r="DS57" i="1"/>
  <c r="DT57" i="1" s="1"/>
  <c r="DS56" i="1"/>
  <c r="DT56" i="1" s="1"/>
  <c r="DS55" i="1"/>
  <c r="DT55" i="1" s="1"/>
  <c r="DS54" i="1"/>
  <c r="DT54" i="1" s="1"/>
  <c r="DS53" i="1"/>
  <c r="DT53" i="1" s="1"/>
  <c r="DS52" i="1"/>
  <c r="DT52" i="1" s="1"/>
  <c r="DS51" i="1"/>
  <c r="DT51" i="1" s="1"/>
  <c r="DS50" i="1"/>
  <c r="DT50" i="1" s="1"/>
  <c r="DS49" i="1"/>
  <c r="DT49" i="1" s="1"/>
  <c r="DS48" i="1"/>
  <c r="DT48" i="1" s="1"/>
  <c r="DS47" i="1"/>
  <c r="DT47" i="1" s="1"/>
  <c r="DS46" i="1"/>
  <c r="DT46" i="1" s="1"/>
  <c r="DS45" i="1"/>
  <c r="DT45" i="1" s="1"/>
  <c r="DS44" i="1"/>
  <c r="DT44" i="1" s="1"/>
  <c r="DS43" i="1"/>
  <c r="DT43" i="1" s="1"/>
  <c r="DS42" i="1"/>
  <c r="DT42" i="1" s="1"/>
  <c r="DS41" i="1"/>
  <c r="DT41" i="1" s="1"/>
  <c r="DS40" i="1"/>
  <c r="DT40" i="1" s="1"/>
  <c r="DS39" i="1"/>
  <c r="DT39" i="1" s="1"/>
  <c r="DS38" i="1"/>
  <c r="DT38" i="1" s="1"/>
  <c r="DS37" i="1"/>
  <c r="DT37" i="1" s="1"/>
  <c r="DS36" i="1"/>
  <c r="DT36" i="1" s="1"/>
  <c r="DS35" i="1"/>
  <c r="DT35" i="1" s="1"/>
  <c r="DS34" i="1"/>
  <c r="DT34" i="1" s="1"/>
  <c r="DS33" i="1"/>
  <c r="DT33" i="1" s="1"/>
  <c r="DS32" i="1"/>
  <c r="DT32" i="1" s="1"/>
  <c r="DS31" i="1"/>
  <c r="DT31" i="1" s="1"/>
  <c r="DS30" i="1"/>
  <c r="DT30" i="1" s="1"/>
  <c r="DS29" i="1"/>
  <c r="DT29" i="1" s="1"/>
  <c r="DS28" i="1"/>
  <c r="DT28" i="1" s="1"/>
  <c r="DS27" i="1"/>
  <c r="DT27" i="1" s="1"/>
  <c r="DS26" i="1"/>
  <c r="DT26" i="1" s="1"/>
  <c r="DS25" i="1"/>
  <c r="DT25" i="1" s="1"/>
  <c r="DS24" i="1"/>
  <c r="DT24" i="1" s="1"/>
  <c r="DS23" i="1"/>
  <c r="DT23" i="1" s="1"/>
  <c r="DS22" i="1"/>
  <c r="DT22" i="1" s="1"/>
  <c r="DS21" i="1"/>
  <c r="DT21" i="1" s="1"/>
  <c r="DS20" i="1"/>
  <c r="DT20" i="1" s="1"/>
  <c r="DS19" i="1"/>
  <c r="DT19" i="1" s="1"/>
  <c r="DS18" i="1"/>
  <c r="DT18" i="1" s="1"/>
  <c r="DS17" i="1"/>
  <c r="DT17" i="1" s="1"/>
  <c r="DS16" i="1"/>
  <c r="DT16" i="1" s="1"/>
  <c r="DS15" i="1"/>
  <c r="DT15" i="1" s="1"/>
  <c r="DS14" i="1"/>
  <c r="DT14" i="1" s="1"/>
  <c r="DS13" i="1"/>
  <c r="DT13" i="1" s="1"/>
  <c r="DS12" i="1"/>
  <c r="DT12" i="1" s="1"/>
  <c r="DS11" i="1"/>
  <c r="DT11" i="1" s="1"/>
  <c r="DS10" i="1"/>
  <c r="DT10" i="1" s="1"/>
  <c r="DS9" i="1"/>
  <c r="DT9" i="1" s="1"/>
  <c r="DS8" i="1"/>
  <c r="DT8" i="1" s="1"/>
  <c r="DS7" i="1"/>
  <c r="DT7" i="1" s="1"/>
  <c r="DS6" i="1"/>
  <c r="DT6" i="1" s="1"/>
  <c r="DS5" i="1"/>
  <c r="DT5" i="1" s="1"/>
  <c r="DS4" i="1"/>
  <c r="DT4" i="1" s="1"/>
  <c r="DS3" i="1"/>
  <c r="DT3" i="1" s="1"/>
  <c r="DY719" i="1"/>
  <c r="DY720" i="1"/>
  <c r="DY721" i="1"/>
  <c r="DV719" i="1"/>
  <c r="DV720" i="1"/>
  <c r="DV721" i="1"/>
  <c r="DU719" i="1"/>
  <c r="DU720" i="1"/>
  <c r="DU721" i="1"/>
  <c r="DY694" i="1"/>
  <c r="DY695" i="1"/>
  <c r="DY696" i="1"/>
  <c r="DY697" i="1"/>
  <c r="DY698" i="1"/>
  <c r="DY699" i="1"/>
  <c r="DY700" i="1"/>
  <c r="DY701" i="1"/>
  <c r="DY702" i="1"/>
  <c r="DY703" i="1"/>
  <c r="DY704" i="1"/>
  <c r="DY705" i="1"/>
  <c r="DY706" i="1"/>
  <c r="DY707" i="1"/>
  <c r="DY708" i="1"/>
  <c r="DY709" i="1"/>
  <c r="DY710" i="1"/>
  <c r="DY711" i="1"/>
  <c r="DY712" i="1"/>
  <c r="DY713" i="1"/>
  <c r="DY714" i="1"/>
  <c r="DY715" i="1"/>
  <c r="DY716" i="1"/>
  <c r="DY717" i="1"/>
  <c r="DY718" i="1"/>
  <c r="DV694" i="1"/>
  <c r="DV695" i="1"/>
  <c r="DV696" i="1"/>
  <c r="DV697" i="1"/>
  <c r="DV698" i="1"/>
  <c r="DV699" i="1"/>
  <c r="DV700" i="1"/>
  <c r="DV701" i="1"/>
  <c r="DV702" i="1"/>
  <c r="DV703" i="1"/>
  <c r="DV704" i="1"/>
  <c r="DV705" i="1"/>
  <c r="DV706" i="1"/>
  <c r="DV707" i="1"/>
  <c r="DV708" i="1"/>
  <c r="DV709" i="1"/>
  <c r="DV710" i="1"/>
  <c r="DV711" i="1"/>
  <c r="DV712" i="1"/>
  <c r="DV713" i="1"/>
  <c r="DV714" i="1"/>
  <c r="DV715" i="1"/>
  <c r="DV716" i="1"/>
  <c r="DV717" i="1"/>
  <c r="DV718" i="1"/>
  <c r="DU694" i="1"/>
  <c r="DU695" i="1"/>
  <c r="DU696" i="1"/>
  <c r="DU697" i="1"/>
  <c r="DU698" i="1"/>
  <c r="DU699" i="1"/>
  <c r="DU700" i="1"/>
  <c r="DU701" i="1"/>
  <c r="DU702" i="1"/>
  <c r="DU703" i="1"/>
  <c r="DU704" i="1"/>
  <c r="DU705" i="1"/>
  <c r="DU706" i="1"/>
  <c r="DU707" i="1"/>
  <c r="DU708" i="1"/>
  <c r="DU709" i="1"/>
  <c r="DU710" i="1"/>
  <c r="DU711" i="1"/>
  <c r="DU712" i="1"/>
  <c r="DU713" i="1"/>
  <c r="DU714" i="1"/>
  <c r="DU715" i="1"/>
  <c r="DU716" i="1"/>
  <c r="DU717" i="1"/>
  <c r="DU718" i="1"/>
  <c r="DY669" i="1"/>
  <c r="DY670" i="1"/>
  <c r="DY671" i="1"/>
  <c r="DY672" i="1"/>
  <c r="DY673" i="1"/>
  <c r="DY674" i="1"/>
  <c r="DY675" i="1"/>
  <c r="DY676" i="1"/>
  <c r="DY677" i="1"/>
  <c r="DY678" i="1"/>
  <c r="DY679" i="1"/>
  <c r="DY680" i="1"/>
  <c r="DY681" i="1"/>
  <c r="DY682" i="1"/>
  <c r="DY683" i="1"/>
  <c r="DY684" i="1"/>
  <c r="DY685" i="1"/>
  <c r="DY686" i="1"/>
  <c r="DY687" i="1"/>
  <c r="DY688" i="1"/>
  <c r="DY689" i="1"/>
  <c r="DY690" i="1"/>
  <c r="DY691" i="1"/>
  <c r="DY692" i="1"/>
  <c r="DY693" i="1"/>
  <c r="DV669" i="1"/>
  <c r="DV670" i="1"/>
  <c r="DV671" i="1"/>
  <c r="DV672" i="1"/>
  <c r="DV673" i="1"/>
  <c r="DV674" i="1"/>
  <c r="DV675" i="1"/>
  <c r="DV676" i="1"/>
  <c r="DV677" i="1"/>
  <c r="DV678" i="1"/>
  <c r="DV679" i="1"/>
  <c r="DV680" i="1"/>
  <c r="DV681" i="1"/>
  <c r="DV682" i="1"/>
  <c r="DV683" i="1"/>
  <c r="DV684" i="1"/>
  <c r="DV685" i="1"/>
  <c r="DV686" i="1"/>
  <c r="DV687" i="1"/>
  <c r="DV688" i="1"/>
  <c r="DV689" i="1"/>
  <c r="DV690" i="1"/>
  <c r="DV691" i="1"/>
  <c r="DV692" i="1"/>
  <c r="DV693" i="1"/>
  <c r="DU669" i="1"/>
  <c r="DU670" i="1"/>
  <c r="DU671" i="1"/>
  <c r="DU672" i="1"/>
  <c r="DU673" i="1"/>
  <c r="DU674" i="1"/>
  <c r="DU675" i="1"/>
  <c r="DU676" i="1"/>
  <c r="DU677" i="1"/>
  <c r="DU678" i="1"/>
  <c r="DU679" i="1"/>
  <c r="DU680" i="1"/>
  <c r="DU681" i="1"/>
  <c r="DU682" i="1"/>
  <c r="DU683" i="1"/>
  <c r="DU684" i="1"/>
  <c r="DU685" i="1"/>
  <c r="DU686" i="1"/>
  <c r="DU687" i="1"/>
  <c r="DU688" i="1"/>
  <c r="DU689" i="1"/>
  <c r="DU690" i="1"/>
  <c r="DU691" i="1"/>
  <c r="DU692" i="1"/>
  <c r="DU693" i="1"/>
  <c r="DY2" i="1"/>
  <c r="DY3" i="1"/>
  <c r="DY4" i="1"/>
  <c r="DY5" i="1"/>
  <c r="DY6" i="1"/>
  <c r="DY7" i="1"/>
  <c r="DY8" i="1"/>
  <c r="DY9" i="1"/>
  <c r="DY10" i="1"/>
  <c r="DY11" i="1"/>
  <c r="DY12" i="1"/>
  <c r="DY13" i="1"/>
  <c r="DY14" i="1"/>
  <c r="DY15" i="1"/>
  <c r="DY16" i="1"/>
  <c r="DY17" i="1"/>
  <c r="DY18" i="1"/>
  <c r="DY19" i="1"/>
  <c r="DY20" i="1"/>
  <c r="DY21" i="1"/>
  <c r="DY22" i="1"/>
  <c r="DY23" i="1"/>
  <c r="DY24" i="1"/>
  <c r="DY25" i="1"/>
  <c r="DY26" i="1"/>
  <c r="DY27" i="1"/>
  <c r="DY28" i="1"/>
  <c r="DY29" i="1"/>
  <c r="DY30" i="1"/>
  <c r="DY31" i="1"/>
  <c r="DY32" i="1"/>
  <c r="DY33" i="1"/>
  <c r="DY34" i="1"/>
  <c r="DY35" i="1"/>
  <c r="DY36" i="1"/>
  <c r="DY37" i="1"/>
  <c r="DY38" i="1"/>
  <c r="DY39" i="1"/>
  <c r="DY40" i="1"/>
  <c r="DY41" i="1"/>
  <c r="DY42" i="1"/>
  <c r="DY43" i="1"/>
  <c r="DY44" i="1"/>
  <c r="DY45" i="1"/>
  <c r="DY46" i="1"/>
  <c r="DY47" i="1"/>
  <c r="DY48" i="1"/>
  <c r="DY49" i="1"/>
  <c r="DY50" i="1"/>
  <c r="DY51" i="1"/>
  <c r="DY52" i="1"/>
  <c r="DY53" i="1"/>
  <c r="DY54" i="1"/>
  <c r="DY55" i="1"/>
  <c r="DY56" i="1"/>
  <c r="DY57" i="1"/>
  <c r="DY58" i="1"/>
  <c r="DY59" i="1"/>
  <c r="DY60" i="1"/>
  <c r="DY61" i="1"/>
  <c r="DY62" i="1"/>
  <c r="DY63" i="1"/>
  <c r="DY64" i="1"/>
  <c r="DY65" i="1"/>
  <c r="DY66" i="1"/>
  <c r="DY67" i="1"/>
  <c r="DY68" i="1"/>
  <c r="DY69" i="1"/>
  <c r="DY70" i="1"/>
  <c r="DY71" i="1"/>
  <c r="DY72" i="1"/>
  <c r="DY73" i="1"/>
  <c r="DY74" i="1"/>
  <c r="DY75" i="1"/>
  <c r="DY76" i="1"/>
  <c r="DY77" i="1"/>
  <c r="DY78" i="1"/>
  <c r="DY79" i="1"/>
  <c r="DY80" i="1"/>
  <c r="DY81" i="1"/>
  <c r="DY82" i="1"/>
  <c r="DY83" i="1"/>
  <c r="DY84" i="1"/>
  <c r="DY85" i="1"/>
  <c r="DY86" i="1"/>
  <c r="DY87" i="1"/>
  <c r="DY88" i="1"/>
  <c r="DY89" i="1"/>
  <c r="DY90" i="1"/>
  <c r="DY91" i="1"/>
  <c r="DY92" i="1"/>
  <c r="DY93" i="1"/>
  <c r="DY94" i="1"/>
  <c r="DY95" i="1"/>
  <c r="DY96" i="1"/>
  <c r="DY97" i="1"/>
  <c r="DY98" i="1"/>
  <c r="DY99" i="1"/>
  <c r="DY100" i="1"/>
  <c r="DY101" i="1"/>
  <c r="DY102" i="1"/>
  <c r="DY103" i="1"/>
  <c r="DY104" i="1"/>
  <c r="DY105" i="1"/>
  <c r="DY106" i="1"/>
  <c r="DY107" i="1"/>
  <c r="DY108" i="1"/>
  <c r="DY109" i="1"/>
  <c r="DY110" i="1"/>
  <c r="DY111" i="1"/>
  <c r="DY112" i="1"/>
  <c r="DY113" i="1"/>
  <c r="DY114" i="1"/>
  <c r="DY115" i="1"/>
  <c r="DY116" i="1"/>
  <c r="DY117" i="1"/>
  <c r="DY118" i="1"/>
  <c r="DY119" i="1"/>
  <c r="DY120" i="1"/>
  <c r="DY121" i="1"/>
  <c r="DY122" i="1"/>
  <c r="DY123" i="1"/>
  <c r="DY124" i="1"/>
  <c r="DY125" i="1"/>
  <c r="DY126" i="1"/>
  <c r="DY127" i="1"/>
  <c r="DY128" i="1"/>
  <c r="DY129" i="1"/>
  <c r="DY130" i="1"/>
  <c r="DY131" i="1"/>
  <c r="DY132" i="1"/>
  <c r="DY133" i="1"/>
  <c r="DY134" i="1"/>
  <c r="DY135" i="1"/>
  <c r="DY136" i="1"/>
  <c r="DY137" i="1"/>
  <c r="DY138" i="1"/>
  <c r="DY139" i="1"/>
  <c r="DY140" i="1"/>
  <c r="DY141" i="1"/>
  <c r="DY142" i="1"/>
  <c r="DY143" i="1"/>
  <c r="DY144" i="1"/>
  <c r="DY145" i="1"/>
  <c r="DY146" i="1"/>
  <c r="DY147" i="1"/>
  <c r="DY148" i="1"/>
  <c r="DY149" i="1"/>
  <c r="DY150" i="1"/>
  <c r="DY151" i="1"/>
  <c r="DY152" i="1"/>
  <c r="DY153" i="1"/>
  <c r="DY154" i="1"/>
  <c r="DY155" i="1"/>
  <c r="DY156" i="1"/>
  <c r="DY157" i="1"/>
  <c r="DY158" i="1"/>
  <c r="DY159" i="1"/>
  <c r="DY160" i="1"/>
  <c r="DY161" i="1"/>
  <c r="DY162" i="1"/>
  <c r="DY163" i="1"/>
  <c r="DY164" i="1"/>
  <c r="DY165" i="1"/>
  <c r="DY166" i="1"/>
  <c r="DY167" i="1"/>
  <c r="DY168" i="1"/>
  <c r="DY169" i="1"/>
  <c r="DY170" i="1"/>
  <c r="DY171" i="1"/>
  <c r="DY172" i="1"/>
  <c r="DY173" i="1"/>
  <c r="DY174" i="1"/>
  <c r="DY175" i="1"/>
  <c r="DY176" i="1"/>
  <c r="DY177" i="1"/>
  <c r="DY178" i="1"/>
  <c r="DY179" i="1"/>
  <c r="DY180" i="1"/>
  <c r="DY181" i="1"/>
  <c r="DY182" i="1"/>
  <c r="DY183" i="1"/>
  <c r="DY184" i="1"/>
  <c r="DY185" i="1"/>
  <c r="DY186" i="1"/>
  <c r="DY187" i="1"/>
  <c r="DY188" i="1"/>
  <c r="DY189" i="1"/>
  <c r="DY190" i="1"/>
  <c r="DY191" i="1"/>
  <c r="DY192" i="1"/>
  <c r="DY193" i="1"/>
  <c r="DY194" i="1"/>
  <c r="DY195" i="1"/>
  <c r="DY196" i="1"/>
  <c r="DY197" i="1"/>
  <c r="DY198" i="1"/>
  <c r="DY199" i="1"/>
  <c r="DY200" i="1"/>
  <c r="DY201" i="1"/>
  <c r="DY202" i="1"/>
  <c r="DY203" i="1"/>
  <c r="DY204" i="1"/>
  <c r="DY205" i="1"/>
  <c r="DY206" i="1"/>
  <c r="DY207" i="1"/>
  <c r="DY208" i="1"/>
  <c r="DY209" i="1"/>
  <c r="DY210" i="1"/>
  <c r="DY211" i="1"/>
  <c r="DY212" i="1"/>
  <c r="DY213" i="1"/>
  <c r="DY214" i="1"/>
  <c r="DY215" i="1"/>
  <c r="DY216" i="1"/>
  <c r="DY217" i="1"/>
  <c r="DY218" i="1"/>
  <c r="DY219" i="1"/>
  <c r="DY220" i="1"/>
  <c r="DY221" i="1"/>
  <c r="DY222" i="1"/>
  <c r="DY223" i="1"/>
  <c r="DY224" i="1"/>
  <c r="DY225" i="1"/>
  <c r="DY226" i="1"/>
  <c r="DY227" i="1"/>
  <c r="DY228" i="1"/>
  <c r="DY229" i="1"/>
  <c r="DY230" i="1"/>
  <c r="DY231" i="1"/>
  <c r="DY232" i="1"/>
  <c r="DY233" i="1"/>
  <c r="DY234" i="1"/>
  <c r="DY235" i="1"/>
  <c r="DY236" i="1"/>
  <c r="DY237" i="1"/>
  <c r="DY238" i="1"/>
  <c r="DY239" i="1"/>
  <c r="DY240" i="1"/>
  <c r="DY241" i="1"/>
  <c r="DY242" i="1"/>
  <c r="DY243" i="1"/>
  <c r="DY244" i="1"/>
  <c r="DY245" i="1"/>
  <c r="DY246" i="1"/>
  <c r="DY247" i="1"/>
  <c r="DY248" i="1"/>
  <c r="DY249" i="1"/>
  <c r="DY250" i="1"/>
  <c r="DY251" i="1"/>
  <c r="DY252" i="1"/>
  <c r="DY253" i="1"/>
  <c r="DY254" i="1"/>
  <c r="DY255" i="1"/>
  <c r="DY256" i="1"/>
  <c r="DY257" i="1"/>
  <c r="DY258" i="1"/>
  <c r="DY259" i="1"/>
  <c r="DY260" i="1"/>
  <c r="DY261" i="1"/>
  <c r="DY262" i="1"/>
  <c r="DY263" i="1"/>
  <c r="DY264" i="1"/>
  <c r="DY265" i="1"/>
  <c r="DY266" i="1"/>
  <c r="DY267" i="1"/>
  <c r="DY268" i="1"/>
  <c r="DY269" i="1"/>
  <c r="DY270" i="1"/>
  <c r="DY271" i="1"/>
  <c r="DY272" i="1"/>
  <c r="DY273" i="1"/>
  <c r="DY274" i="1"/>
  <c r="DY275" i="1"/>
  <c r="DY276" i="1"/>
  <c r="DY277" i="1"/>
  <c r="DY278" i="1"/>
  <c r="DY279" i="1"/>
  <c r="DY280" i="1"/>
  <c r="DY281" i="1"/>
  <c r="DY282" i="1"/>
  <c r="DY283" i="1"/>
  <c r="DY284" i="1"/>
  <c r="DY285" i="1"/>
  <c r="DY286" i="1"/>
  <c r="DY287" i="1"/>
  <c r="DY288" i="1"/>
  <c r="DY289" i="1"/>
  <c r="DY290" i="1"/>
  <c r="DY291" i="1"/>
  <c r="DY292" i="1"/>
  <c r="DY293" i="1"/>
  <c r="DY294" i="1"/>
  <c r="DY295" i="1"/>
  <c r="DY296" i="1"/>
  <c r="DY297" i="1"/>
  <c r="DY298" i="1"/>
  <c r="DY299" i="1"/>
  <c r="DY300" i="1"/>
  <c r="DY301" i="1"/>
  <c r="DY302" i="1"/>
  <c r="DY303" i="1"/>
  <c r="DY304" i="1"/>
  <c r="DY305" i="1"/>
  <c r="DY306" i="1"/>
  <c r="DY307" i="1"/>
  <c r="DY308" i="1"/>
  <c r="DY309" i="1"/>
  <c r="DY310" i="1"/>
  <c r="DY311" i="1"/>
  <c r="DY312" i="1"/>
  <c r="DY313" i="1"/>
  <c r="DY314" i="1"/>
  <c r="DY315" i="1"/>
  <c r="DY316" i="1"/>
  <c r="DY317" i="1"/>
  <c r="DY318" i="1"/>
  <c r="DY319" i="1"/>
  <c r="DY320" i="1"/>
  <c r="DY321" i="1"/>
  <c r="DY322" i="1"/>
  <c r="DY323" i="1"/>
  <c r="DY324" i="1"/>
  <c r="DY325" i="1"/>
  <c r="DY326" i="1"/>
  <c r="DY327" i="1"/>
  <c r="DY328" i="1"/>
  <c r="DY329" i="1"/>
  <c r="DY330" i="1"/>
  <c r="DY331" i="1"/>
  <c r="DY332" i="1"/>
  <c r="DY333" i="1"/>
  <c r="DY334" i="1"/>
  <c r="DY335" i="1"/>
  <c r="DY336" i="1"/>
  <c r="DY337" i="1"/>
  <c r="DY338" i="1"/>
  <c r="DY339" i="1"/>
  <c r="DY340" i="1"/>
  <c r="DY341" i="1"/>
  <c r="DY342" i="1"/>
  <c r="DY343" i="1"/>
  <c r="DY344" i="1"/>
  <c r="DY345" i="1"/>
  <c r="DY346" i="1"/>
  <c r="DY347" i="1"/>
  <c r="DY348" i="1"/>
  <c r="DY349" i="1"/>
  <c r="DY350" i="1"/>
  <c r="DY351" i="1"/>
  <c r="DY352" i="1"/>
  <c r="DY353" i="1"/>
  <c r="DY354" i="1"/>
  <c r="DY355" i="1"/>
  <c r="DY356" i="1"/>
  <c r="DY357" i="1"/>
  <c r="DY358" i="1"/>
  <c r="DY359" i="1"/>
  <c r="DY360" i="1"/>
  <c r="DY361" i="1"/>
  <c r="DY362" i="1"/>
  <c r="DY363" i="1"/>
  <c r="DY364" i="1"/>
  <c r="DY365" i="1"/>
  <c r="DY366" i="1"/>
  <c r="DY367" i="1"/>
  <c r="DY368" i="1"/>
  <c r="DY369" i="1"/>
  <c r="DY370" i="1"/>
  <c r="DY371" i="1"/>
  <c r="DY372" i="1"/>
  <c r="DY373" i="1"/>
  <c r="DY374" i="1"/>
  <c r="DY375" i="1"/>
  <c r="DY376" i="1"/>
  <c r="DY377" i="1"/>
  <c r="DY378" i="1"/>
  <c r="DY379" i="1"/>
  <c r="DY380" i="1"/>
  <c r="DY381" i="1"/>
  <c r="DY382" i="1"/>
  <c r="DY383" i="1"/>
  <c r="DY384" i="1"/>
  <c r="DY385" i="1"/>
  <c r="DY386" i="1"/>
  <c r="DY387" i="1"/>
  <c r="DY388" i="1"/>
  <c r="DY389" i="1"/>
  <c r="DY390" i="1"/>
  <c r="DY391" i="1"/>
  <c r="DY392" i="1"/>
  <c r="DY393" i="1"/>
  <c r="DY394" i="1"/>
  <c r="DY395" i="1"/>
  <c r="DY396" i="1"/>
  <c r="DY397" i="1"/>
  <c r="DY398" i="1"/>
  <c r="DY399" i="1"/>
  <c r="DY400" i="1"/>
  <c r="DY401" i="1"/>
  <c r="DY402" i="1"/>
  <c r="DY403" i="1"/>
  <c r="DY404" i="1"/>
  <c r="DY405" i="1"/>
  <c r="DY406" i="1"/>
  <c r="DY407" i="1"/>
  <c r="DY408" i="1"/>
  <c r="DY409" i="1"/>
  <c r="DY410" i="1"/>
  <c r="DY411" i="1"/>
  <c r="DY412" i="1"/>
  <c r="DY413" i="1"/>
  <c r="DY414" i="1"/>
  <c r="DY415" i="1"/>
  <c r="DY416" i="1"/>
  <c r="DY417" i="1"/>
  <c r="DY418" i="1"/>
  <c r="DY419" i="1"/>
  <c r="DY420" i="1"/>
  <c r="DY421" i="1"/>
  <c r="DY422" i="1"/>
  <c r="DY423" i="1"/>
  <c r="DY424" i="1"/>
  <c r="DY425" i="1"/>
  <c r="DY426" i="1"/>
  <c r="DY427" i="1"/>
  <c r="DY428" i="1"/>
  <c r="DY429" i="1"/>
  <c r="DY430" i="1"/>
  <c r="DY431" i="1"/>
  <c r="DY432" i="1"/>
  <c r="DY433" i="1"/>
  <c r="DY434" i="1"/>
  <c r="DY435" i="1"/>
  <c r="DY436" i="1"/>
  <c r="DY437" i="1"/>
  <c r="DY438" i="1"/>
  <c r="DY439" i="1"/>
  <c r="DY440" i="1"/>
  <c r="DY441" i="1"/>
  <c r="DY442" i="1"/>
  <c r="DY443" i="1"/>
  <c r="DY444" i="1"/>
  <c r="DY445" i="1"/>
  <c r="DY446" i="1"/>
  <c r="DY447" i="1"/>
  <c r="DY448" i="1"/>
  <c r="DY449" i="1"/>
  <c r="DY450" i="1"/>
  <c r="DY451" i="1"/>
  <c r="DY452" i="1"/>
  <c r="DY453" i="1"/>
  <c r="DY454" i="1"/>
  <c r="DY455" i="1"/>
  <c r="DY456" i="1"/>
  <c r="DY457" i="1"/>
  <c r="DY458" i="1"/>
  <c r="DY459" i="1"/>
  <c r="DY460" i="1"/>
  <c r="DY461" i="1"/>
  <c r="DY462" i="1"/>
  <c r="DY463" i="1"/>
  <c r="DY464" i="1"/>
  <c r="DY465" i="1"/>
  <c r="DY466" i="1"/>
  <c r="DY467" i="1"/>
  <c r="DY468" i="1"/>
  <c r="DY469" i="1"/>
  <c r="DY470" i="1"/>
  <c r="DY471" i="1"/>
  <c r="DY472" i="1"/>
  <c r="DY473" i="1"/>
  <c r="DY474" i="1"/>
  <c r="DY475" i="1"/>
  <c r="DY476" i="1"/>
  <c r="DY477" i="1"/>
  <c r="DY478" i="1"/>
  <c r="DY479" i="1"/>
  <c r="DY480" i="1"/>
  <c r="DY481" i="1"/>
  <c r="DY482" i="1"/>
  <c r="DY483" i="1"/>
  <c r="DY484" i="1"/>
  <c r="DY485" i="1"/>
  <c r="DY486" i="1"/>
  <c r="DY487" i="1"/>
  <c r="DY488" i="1"/>
  <c r="DY489" i="1"/>
  <c r="DY490" i="1"/>
  <c r="DY491" i="1"/>
  <c r="DY492" i="1"/>
  <c r="DY493" i="1"/>
  <c r="DY494" i="1"/>
  <c r="DY495" i="1"/>
  <c r="DY496" i="1"/>
  <c r="DY497" i="1"/>
  <c r="DY498" i="1"/>
  <c r="DY499" i="1"/>
  <c r="DY500" i="1"/>
  <c r="DY501" i="1"/>
  <c r="DY502" i="1"/>
  <c r="DY503" i="1"/>
  <c r="DY504" i="1"/>
  <c r="DY505" i="1"/>
  <c r="DY506" i="1"/>
  <c r="DY507" i="1"/>
  <c r="DY508" i="1"/>
  <c r="DY509" i="1"/>
  <c r="DY510" i="1"/>
  <c r="DY511" i="1"/>
  <c r="DY512" i="1"/>
  <c r="DY513" i="1"/>
  <c r="DY514" i="1"/>
  <c r="DY515" i="1"/>
  <c r="DY516" i="1"/>
  <c r="DY517" i="1"/>
  <c r="DY518" i="1"/>
  <c r="DY519" i="1"/>
  <c r="DY520" i="1"/>
  <c r="DY521" i="1"/>
  <c r="DY522" i="1"/>
  <c r="DY523" i="1"/>
  <c r="DY524" i="1"/>
  <c r="DY525" i="1"/>
  <c r="DY526" i="1"/>
  <c r="DY527" i="1"/>
  <c r="DY528" i="1"/>
  <c r="DY529" i="1"/>
  <c r="DY530" i="1"/>
  <c r="DY531" i="1"/>
  <c r="DY532" i="1"/>
  <c r="DY533" i="1"/>
  <c r="DY534" i="1"/>
  <c r="DY535" i="1"/>
  <c r="DY536" i="1"/>
  <c r="DY537" i="1"/>
  <c r="DY538" i="1"/>
  <c r="DY539" i="1"/>
  <c r="DY540" i="1"/>
  <c r="DY541" i="1"/>
  <c r="DY542" i="1"/>
  <c r="DY543" i="1"/>
  <c r="DY544" i="1"/>
  <c r="DY545" i="1"/>
  <c r="DY546" i="1"/>
  <c r="DY547" i="1"/>
  <c r="DY548" i="1"/>
  <c r="DY549" i="1"/>
  <c r="DY550" i="1"/>
  <c r="DY551" i="1"/>
  <c r="DY552" i="1"/>
  <c r="DY553" i="1"/>
  <c r="DY554" i="1"/>
  <c r="DY555" i="1"/>
  <c r="DY556" i="1"/>
  <c r="DY557" i="1"/>
  <c r="DY558" i="1"/>
  <c r="DY559" i="1"/>
  <c r="DY560" i="1"/>
  <c r="DY561" i="1"/>
  <c r="DY562" i="1"/>
  <c r="DY563" i="1"/>
  <c r="DY564" i="1"/>
  <c r="DY565" i="1"/>
  <c r="DY566" i="1"/>
  <c r="DY567" i="1"/>
  <c r="DY568" i="1"/>
  <c r="DY569" i="1"/>
  <c r="DY570" i="1"/>
  <c r="DY571" i="1"/>
  <c r="DY572" i="1"/>
  <c r="DY573" i="1"/>
  <c r="DY574" i="1"/>
  <c r="DY575" i="1"/>
  <c r="DY576" i="1"/>
  <c r="DY577" i="1"/>
  <c r="DY578" i="1"/>
  <c r="DY579" i="1"/>
  <c r="DY580" i="1"/>
  <c r="DY581" i="1"/>
  <c r="DY582" i="1"/>
  <c r="DY583" i="1"/>
  <c r="DY584" i="1"/>
  <c r="DY585" i="1"/>
  <c r="DY586" i="1"/>
  <c r="DY587" i="1"/>
  <c r="DY588" i="1"/>
  <c r="DY589" i="1"/>
  <c r="DY590" i="1"/>
  <c r="DY591" i="1"/>
  <c r="DY592" i="1"/>
  <c r="DY593" i="1"/>
  <c r="DY594" i="1"/>
  <c r="DY595" i="1"/>
  <c r="DY596" i="1"/>
  <c r="DY597" i="1"/>
  <c r="DY598" i="1"/>
  <c r="DY599" i="1"/>
  <c r="DY600" i="1"/>
  <c r="DY601" i="1"/>
  <c r="DY602" i="1"/>
  <c r="DY603" i="1"/>
  <c r="DY604" i="1"/>
  <c r="DY605" i="1"/>
  <c r="DY606" i="1"/>
  <c r="DY607" i="1"/>
  <c r="DY608" i="1"/>
  <c r="DY609" i="1"/>
  <c r="DY610" i="1"/>
  <c r="DY611" i="1"/>
  <c r="DY612" i="1"/>
  <c r="DY613" i="1"/>
  <c r="DY614" i="1"/>
  <c r="DY615" i="1"/>
  <c r="DY616" i="1"/>
  <c r="DY617" i="1"/>
  <c r="DY618" i="1"/>
  <c r="DY619" i="1"/>
  <c r="DY620" i="1"/>
  <c r="DY621" i="1"/>
  <c r="DY622" i="1"/>
  <c r="DY623" i="1"/>
  <c r="DY624" i="1"/>
  <c r="DY625" i="1"/>
  <c r="DY626" i="1"/>
  <c r="DY627" i="1"/>
  <c r="DY628" i="1"/>
  <c r="DY629" i="1"/>
  <c r="DY630" i="1"/>
  <c r="DY631" i="1"/>
  <c r="DY632" i="1"/>
  <c r="DY633" i="1"/>
  <c r="DY634" i="1"/>
  <c r="DY635" i="1"/>
  <c r="DY636" i="1"/>
  <c r="DY637" i="1"/>
  <c r="DY638" i="1"/>
  <c r="DY639" i="1"/>
  <c r="DY640" i="1"/>
  <c r="DY641" i="1"/>
  <c r="DY642" i="1"/>
  <c r="DY643" i="1"/>
  <c r="DY644" i="1"/>
  <c r="DY645" i="1"/>
  <c r="DY646" i="1"/>
  <c r="DY647" i="1"/>
  <c r="DY648" i="1"/>
  <c r="DY649" i="1"/>
  <c r="DY650" i="1"/>
  <c r="DY651" i="1"/>
  <c r="DY652" i="1"/>
  <c r="DY653" i="1"/>
  <c r="DY654" i="1"/>
  <c r="DY655" i="1"/>
  <c r="DY656" i="1"/>
  <c r="DY657" i="1"/>
  <c r="DY658" i="1"/>
  <c r="DY659" i="1"/>
  <c r="DY660" i="1"/>
  <c r="DY661" i="1"/>
  <c r="DY662" i="1"/>
  <c r="DY663" i="1"/>
  <c r="DY664" i="1"/>
  <c r="DY665" i="1"/>
  <c r="DY666" i="1"/>
  <c r="DY667" i="1"/>
  <c r="DY668" i="1"/>
  <c r="DU667" i="1"/>
  <c r="DU668" i="1"/>
  <c r="DV667" i="1"/>
  <c r="DV668" i="1"/>
  <c r="DU642" i="1"/>
  <c r="DU643" i="1"/>
  <c r="DU644" i="1"/>
  <c r="DU645" i="1"/>
  <c r="DU646" i="1"/>
  <c r="DU647" i="1"/>
  <c r="DU648" i="1"/>
  <c r="DU649" i="1"/>
  <c r="DU650" i="1"/>
  <c r="DU651" i="1"/>
  <c r="DU652" i="1"/>
  <c r="DU653" i="1"/>
  <c r="DU654" i="1"/>
  <c r="DU655" i="1"/>
  <c r="DU656" i="1"/>
  <c r="DU657" i="1"/>
  <c r="DU658" i="1"/>
  <c r="DU659" i="1"/>
  <c r="DU660" i="1"/>
  <c r="DU661" i="1"/>
  <c r="DU662" i="1"/>
  <c r="DU663" i="1"/>
  <c r="DU664" i="1"/>
  <c r="DU665" i="1"/>
  <c r="DU666" i="1"/>
  <c r="DV642" i="1"/>
  <c r="DV643" i="1"/>
  <c r="DV644" i="1"/>
  <c r="DV645" i="1"/>
  <c r="DV646" i="1"/>
  <c r="DV647" i="1"/>
  <c r="DV648" i="1"/>
  <c r="DV649" i="1"/>
  <c r="DV650" i="1"/>
  <c r="DV651" i="1"/>
  <c r="DV652" i="1"/>
  <c r="DV653" i="1"/>
  <c r="DV654" i="1"/>
  <c r="DV655" i="1"/>
  <c r="DV656" i="1"/>
  <c r="DV657" i="1"/>
  <c r="DV658" i="1"/>
  <c r="DV659" i="1"/>
  <c r="DV660" i="1"/>
  <c r="DV661" i="1"/>
  <c r="DV662" i="1"/>
  <c r="DV663" i="1"/>
  <c r="DV664" i="1"/>
  <c r="DV665" i="1"/>
  <c r="DV666" i="1"/>
  <c r="DU641" i="1"/>
  <c r="DV641" i="1"/>
  <c r="DU640" i="1"/>
  <c r="DV640" i="1"/>
  <c r="DU639" i="1"/>
  <c r="DV639" i="1"/>
  <c r="DU614" i="1"/>
  <c r="DU615" i="1"/>
  <c r="DU616" i="1"/>
  <c r="DU617" i="1"/>
  <c r="DU618" i="1"/>
  <c r="DU619" i="1"/>
  <c r="DU620" i="1"/>
  <c r="DU621" i="1"/>
  <c r="DU622" i="1"/>
  <c r="DU623" i="1"/>
  <c r="DU624" i="1"/>
  <c r="DU625" i="1"/>
  <c r="DU626" i="1"/>
  <c r="DU627" i="1"/>
  <c r="DU628" i="1"/>
  <c r="DU629" i="1"/>
  <c r="DU630" i="1"/>
  <c r="DU631" i="1"/>
  <c r="DU632" i="1"/>
  <c r="DU633" i="1"/>
  <c r="DU634" i="1"/>
  <c r="DU635" i="1"/>
  <c r="DU636" i="1"/>
  <c r="DU637" i="1"/>
  <c r="DU638" i="1"/>
  <c r="DV614" i="1"/>
  <c r="DV615" i="1"/>
  <c r="DV616" i="1"/>
  <c r="DV617" i="1"/>
  <c r="DV618" i="1"/>
  <c r="DV619" i="1"/>
  <c r="DV620" i="1"/>
  <c r="DV621" i="1"/>
  <c r="DV622" i="1"/>
  <c r="DV623" i="1"/>
  <c r="DV624" i="1"/>
  <c r="DV625" i="1"/>
  <c r="DV626" i="1"/>
  <c r="DV627" i="1"/>
  <c r="DV628" i="1"/>
  <c r="DV629" i="1"/>
  <c r="DV630" i="1"/>
  <c r="DV631" i="1"/>
  <c r="DV632" i="1"/>
  <c r="DV633" i="1"/>
  <c r="DV634" i="1"/>
  <c r="DV635" i="1"/>
  <c r="DV636" i="1"/>
  <c r="DV637" i="1"/>
  <c r="DV638" i="1"/>
  <c r="DU589" i="1"/>
  <c r="DU590" i="1"/>
  <c r="DU591" i="1"/>
  <c r="DU592" i="1"/>
  <c r="DU593" i="1"/>
  <c r="DU594" i="1"/>
  <c r="DU595" i="1"/>
  <c r="DU596" i="1"/>
  <c r="DU597" i="1"/>
  <c r="DU598" i="1"/>
  <c r="DU599" i="1"/>
  <c r="DU600" i="1"/>
  <c r="DU601" i="1"/>
  <c r="DU602" i="1"/>
  <c r="DU603" i="1"/>
  <c r="DU604" i="1"/>
  <c r="DU605" i="1"/>
  <c r="DU606" i="1"/>
  <c r="DU607" i="1"/>
  <c r="DU608" i="1"/>
  <c r="DU609" i="1"/>
  <c r="DU610" i="1"/>
  <c r="DU611" i="1"/>
  <c r="DU612" i="1"/>
  <c r="DU613" i="1"/>
  <c r="DV589" i="1"/>
  <c r="DV590" i="1"/>
  <c r="DV591" i="1"/>
  <c r="DV592" i="1"/>
  <c r="DV593" i="1"/>
  <c r="DV594" i="1"/>
  <c r="DV595" i="1"/>
  <c r="DV596" i="1"/>
  <c r="DV597" i="1"/>
  <c r="DV598" i="1"/>
  <c r="DV599" i="1"/>
  <c r="DV600" i="1"/>
  <c r="DV601" i="1"/>
  <c r="DV602" i="1"/>
  <c r="DV603" i="1"/>
  <c r="DV604" i="1"/>
  <c r="DV605" i="1"/>
  <c r="DV606" i="1"/>
  <c r="DV607" i="1"/>
  <c r="DV608" i="1"/>
  <c r="DV609" i="1"/>
  <c r="DV610" i="1"/>
  <c r="DV611" i="1"/>
  <c r="DV612" i="1"/>
  <c r="DV613" i="1"/>
  <c r="DU564" i="1"/>
  <c r="DU565" i="1"/>
  <c r="DU566" i="1"/>
  <c r="DU567" i="1"/>
  <c r="DU568" i="1"/>
  <c r="DU569" i="1"/>
  <c r="DU570" i="1"/>
  <c r="DU571" i="1"/>
  <c r="DU572" i="1"/>
  <c r="DU573" i="1"/>
  <c r="DU574" i="1"/>
  <c r="DU575" i="1"/>
  <c r="DU576" i="1"/>
  <c r="DU577" i="1"/>
  <c r="DU578" i="1"/>
  <c r="DU579" i="1"/>
  <c r="DU580" i="1"/>
  <c r="DU581" i="1"/>
  <c r="DU582" i="1"/>
  <c r="DU583" i="1"/>
  <c r="DU584" i="1"/>
  <c r="DU585" i="1"/>
  <c r="DU586" i="1"/>
  <c r="DU587" i="1"/>
  <c r="DU588" i="1"/>
  <c r="DV564" i="1"/>
  <c r="DV565" i="1"/>
  <c r="DV566" i="1"/>
  <c r="DV567" i="1"/>
  <c r="DV568" i="1"/>
  <c r="DV569" i="1"/>
  <c r="DV570" i="1"/>
  <c r="DV571" i="1"/>
  <c r="DV572" i="1"/>
  <c r="DV573" i="1"/>
  <c r="DV574" i="1"/>
  <c r="DV575" i="1"/>
  <c r="DV576" i="1"/>
  <c r="DV577" i="1"/>
  <c r="DV578" i="1"/>
  <c r="DV579" i="1"/>
  <c r="DV580" i="1"/>
  <c r="DV581" i="1"/>
  <c r="DV582" i="1"/>
  <c r="DV583" i="1"/>
  <c r="DV584" i="1"/>
  <c r="DV585" i="1"/>
  <c r="DV586" i="1"/>
  <c r="DV587" i="1"/>
  <c r="DV588" i="1"/>
  <c r="DU554" i="1"/>
  <c r="DU555" i="1"/>
  <c r="DU556" i="1"/>
  <c r="DU557" i="1"/>
  <c r="DU558" i="1"/>
  <c r="DU559" i="1"/>
  <c r="DU560" i="1"/>
  <c r="DU561" i="1"/>
  <c r="DU562" i="1"/>
  <c r="DU563" i="1"/>
  <c r="DV554" i="1"/>
  <c r="DV555" i="1"/>
  <c r="DV556" i="1"/>
  <c r="DV557" i="1"/>
  <c r="DV558" i="1"/>
  <c r="DV559" i="1"/>
  <c r="DV560" i="1"/>
  <c r="DV561" i="1"/>
  <c r="DV562" i="1"/>
  <c r="DV563" i="1"/>
  <c r="DU552" i="1"/>
  <c r="DU553" i="1"/>
  <c r="DV552" i="1"/>
  <c r="DV553" i="1"/>
  <c r="DU527" i="1"/>
  <c r="DU528" i="1"/>
  <c r="DU529" i="1"/>
  <c r="DU530" i="1"/>
  <c r="DU531" i="1"/>
  <c r="DU532" i="1"/>
  <c r="DU533" i="1"/>
  <c r="DU534" i="1"/>
  <c r="DU535" i="1"/>
  <c r="DU536" i="1"/>
  <c r="DU537" i="1"/>
  <c r="DU538" i="1"/>
  <c r="DU539" i="1"/>
  <c r="DU540" i="1"/>
  <c r="DU541" i="1"/>
  <c r="DU542" i="1"/>
  <c r="DU543" i="1"/>
  <c r="DU544" i="1"/>
  <c r="DU545" i="1"/>
  <c r="DU546" i="1"/>
  <c r="DU547" i="1"/>
  <c r="DU548" i="1"/>
  <c r="DU549" i="1"/>
  <c r="DU550" i="1"/>
  <c r="DU551" i="1"/>
  <c r="DV527" i="1"/>
  <c r="DV528" i="1"/>
  <c r="DV529" i="1"/>
  <c r="DV530" i="1"/>
  <c r="DV531" i="1"/>
  <c r="DV532" i="1"/>
  <c r="DV533" i="1"/>
  <c r="DV534" i="1"/>
  <c r="DV535" i="1"/>
  <c r="DV536" i="1"/>
  <c r="DV537" i="1"/>
  <c r="DV538" i="1"/>
  <c r="DV539" i="1"/>
  <c r="DV540" i="1"/>
  <c r="DV541" i="1"/>
  <c r="DV542" i="1"/>
  <c r="DV543" i="1"/>
  <c r="DV544" i="1"/>
  <c r="DV545" i="1"/>
  <c r="DV546" i="1"/>
  <c r="DV547" i="1"/>
  <c r="DV548" i="1"/>
  <c r="DV549" i="1"/>
  <c r="DV550" i="1"/>
  <c r="DV551" i="1"/>
  <c r="DU502" i="1"/>
  <c r="DU503" i="1"/>
  <c r="DU504" i="1"/>
  <c r="DU505" i="1"/>
  <c r="DU506" i="1"/>
  <c r="DU507" i="1"/>
  <c r="DU508" i="1"/>
  <c r="DU509" i="1"/>
  <c r="DU510" i="1"/>
  <c r="DU511" i="1"/>
  <c r="DU512" i="1"/>
  <c r="DU513" i="1"/>
  <c r="DU514" i="1"/>
  <c r="DU515" i="1"/>
  <c r="DU516" i="1"/>
  <c r="DU517" i="1"/>
  <c r="DU518" i="1"/>
  <c r="DU519" i="1"/>
  <c r="DU520" i="1"/>
  <c r="DU521" i="1"/>
  <c r="DU522" i="1"/>
  <c r="DU523" i="1"/>
  <c r="DU524" i="1"/>
  <c r="DU525" i="1"/>
  <c r="DU526" i="1"/>
  <c r="DV502" i="1"/>
  <c r="DV503" i="1"/>
  <c r="DV504" i="1"/>
  <c r="DV505" i="1"/>
  <c r="DV506" i="1"/>
  <c r="DV507" i="1"/>
  <c r="DV508" i="1"/>
  <c r="DV509" i="1"/>
  <c r="DV510" i="1"/>
  <c r="DV511" i="1"/>
  <c r="DV512" i="1"/>
  <c r="DV513" i="1"/>
  <c r="DV514" i="1"/>
  <c r="DV515" i="1"/>
  <c r="DV516" i="1"/>
  <c r="DV517" i="1"/>
  <c r="DV518" i="1"/>
  <c r="DV519" i="1"/>
  <c r="DV520" i="1"/>
  <c r="DV521" i="1"/>
  <c r="DV522" i="1"/>
  <c r="DV523" i="1"/>
  <c r="DV524" i="1"/>
  <c r="DV525" i="1"/>
  <c r="DV526" i="1"/>
  <c r="DU477" i="1"/>
  <c r="DU478" i="1"/>
  <c r="DU479" i="1"/>
  <c r="DU480" i="1"/>
  <c r="DU481" i="1"/>
  <c r="DU482" i="1"/>
  <c r="DU483" i="1"/>
  <c r="DU484" i="1"/>
  <c r="DU485" i="1"/>
  <c r="DU486" i="1"/>
  <c r="DU487" i="1"/>
  <c r="DU488" i="1"/>
  <c r="DU489" i="1"/>
  <c r="DU490" i="1"/>
  <c r="DU491" i="1"/>
  <c r="DU492" i="1"/>
  <c r="DU493" i="1"/>
  <c r="DU494" i="1"/>
  <c r="DU495" i="1"/>
  <c r="DU496" i="1"/>
  <c r="DU497" i="1"/>
  <c r="DU498" i="1"/>
  <c r="DU499" i="1"/>
  <c r="DU500" i="1"/>
  <c r="DU501" i="1"/>
  <c r="DV477" i="1"/>
  <c r="DV478" i="1"/>
  <c r="DV479" i="1"/>
  <c r="DV480" i="1"/>
  <c r="DV481" i="1"/>
  <c r="DV482" i="1"/>
  <c r="DV483" i="1"/>
  <c r="DV484" i="1"/>
  <c r="DV485" i="1"/>
  <c r="DV486" i="1"/>
  <c r="DV487" i="1"/>
  <c r="DV488" i="1"/>
  <c r="DV489" i="1"/>
  <c r="DV490" i="1"/>
  <c r="DV491" i="1"/>
  <c r="DV492" i="1"/>
  <c r="DV493" i="1"/>
  <c r="DV494" i="1"/>
  <c r="DV495" i="1"/>
  <c r="DV496" i="1"/>
  <c r="DV497" i="1"/>
  <c r="DV498" i="1"/>
  <c r="DV499" i="1"/>
  <c r="DV500" i="1"/>
  <c r="DV501" i="1"/>
  <c r="DU452" i="1"/>
  <c r="DU453" i="1"/>
  <c r="DU454" i="1"/>
  <c r="DU455" i="1"/>
  <c r="DU456" i="1"/>
  <c r="DU457" i="1"/>
  <c r="DU458" i="1"/>
  <c r="DU459" i="1"/>
  <c r="DU460" i="1"/>
  <c r="DU461" i="1"/>
  <c r="DU462" i="1"/>
  <c r="DU463" i="1"/>
  <c r="DU464" i="1"/>
  <c r="DU465" i="1"/>
  <c r="DU466" i="1"/>
  <c r="DU467" i="1"/>
  <c r="DU468" i="1"/>
  <c r="DU469" i="1"/>
  <c r="DU470" i="1"/>
  <c r="DU471" i="1"/>
  <c r="DU472" i="1"/>
  <c r="DU473" i="1"/>
  <c r="DU474" i="1"/>
  <c r="DU475" i="1"/>
  <c r="DU476" i="1"/>
  <c r="DV452" i="1"/>
  <c r="DV453" i="1"/>
  <c r="DV454" i="1"/>
  <c r="DV455" i="1"/>
  <c r="DV456" i="1"/>
  <c r="DV457" i="1"/>
  <c r="DV458" i="1"/>
  <c r="DV459" i="1"/>
  <c r="DV460" i="1"/>
  <c r="DV461" i="1"/>
  <c r="DV462" i="1"/>
  <c r="DV463" i="1"/>
  <c r="DV464" i="1"/>
  <c r="DV465" i="1"/>
  <c r="DV466" i="1"/>
  <c r="DV467" i="1"/>
  <c r="DV468" i="1"/>
  <c r="DV469" i="1"/>
  <c r="DV470" i="1"/>
  <c r="DV471" i="1"/>
  <c r="DV472" i="1"/>
  <c r="DV473" i="1"/>
  <c r="DV474" i="1"/>
  <c r="DV475" i="1"/>
  <c r="DV476" i="1"/>
  <c r="DU427" i="1"/>
  <c r="DU428" i="1"/>
  <c r="DU429" i="1"/>
  <c r="DU430" i="1"/>
  <c r="DU431" i="1"/>
  <c r="DU432" i="1"/>
  <c r="DU433" i="1"/>
  <c r="DU434" i="1"/>
  <c r="DU435" i="1"/>
  <c r="DU436" i="1"/>
  <c r="DU437" i="1"/>
  <c r="DU438" i="1"/>
  <c r="DU439" i="1"/>
  <c r="DU440" i="1"/>
  <c r="DU441" i="1"/>
  <c r="DU442" i="1"/>
  <c r="DU443" i="1"/>
  <c r="DU444" i="1"/>
  <c r="DU445" i="1"/>
  <c r="DU446" i="1"/>
  <c r="DU447" i="1"/>
  <c r="DU448" i="1"/>
  <c r="DU449" i="1"/>
  <c r="DU450" i="1"/>
  <c r="DU451" i="1"/>
  <c r="DV427" i="1"/>
  <c r="DV428" i="1"/>
  <c r="DV429" i="1"/>
  <c r="DV430" i="1"/>
  <c r="DV431" i="1"/>
  <c r="DV432" i="1"/>
  <c r="DV433" i="1"/>
  <c r="DV434" i="1"/>
  <c r="DV435" i="1"/>
  <c r="DV436" i="1"/>
  <c r="DV437" i="1"/>
  <c r="DV438" i="1"/>
  <c r="DV439" i="1"/>
  <c r="DV440" i="1"/>
  <c r="DV441" i="1"/>
  <c r="DV442" i="1"/>
  <c r="DV443" i="1"/>
  <c r="DV444" i="1"/>
  <c r="DV445" i="1"/>
  <c r="DV446" i="1"/>
  <c r="DV447" i="1"/>
  <c r="DV448" i="1"/>
  <c r="DV449" i="1"/>
  <c r="DV450" i="1"/>
  <c r="DV451" i="1"/>
  <c r="DU402" i="1"/>
  <c r="DU403" i="1"/>
  <c r="DU404" i="1"/>
  <c r="DU405" i="1"/>
  <c r="DU406" i="1"/>
  <c r="DU407" i="1"/>
  <c r="DU408" i="1"/>
  <c r="DU409" i="1"/>
  <c r="DU410" i="1"/>
  <c r="DU411" i="1"/>
  <c r="DU412" i="1"/>
  <c r="DU413" i="1"/>
  <c r="DU414" i="1"/>
  <c r="DU415" i="1"/>
  <c r="DU416" i="1"/>
  <c r="DU417" i="1"/>
  <c r="DU418" i="1"/>
  <c r="DU419" i="1"/>
  <c r="DU420" i="1"/>
  <c r="DU421" i="1"/>
  <c r="DU422" i="1"/>
  <c r="DU423" i="1"/>
  <c r="DU424" i="1"/>
  <c r="DU425" i="1"/>
  <c r="DU426" i="1"/>
  <c r="DV402" i="1"/>
  <c r="DV403" i="1"/>
  <c r="DV404" i="1"/>
  <c r="DV405" i="1"/>
  <c r="DV406" i="1"/>
  <c r="DV407" i="1"/>
  <c r="DV408" i="1"/>
  <c r="DV409" i="1"/>
  <c r="DV410" i="1"/>
  <c r="DV411" i="1"/>
  <c r="DV412" i="1"/>
  <c r="DV413" i="1"/>
  <c r="DV414" i="1"/>
  <c r="DV415" i="1"/>
  <c r="DV416" i="1"/>
  <c r="DV417" i="1"/>
  <c r="DV418" i="1"/>
  <c r="DV419" i="1"/>
  <c r="DV420" i="1"/>
  <c r="DV421" i="1"/>
  <c r="DV422" i="1"/>
  <c r="DV423" i="1"/>
  <c r="DV424" i="1"/>
  <c r="DV425" i="1"/>
  <c r="DV426" i="1"/>
  <c r="DU377" i="1"/>
  <c r="DU378" i="1"/>
  <c r="DU379" i="1"/>
  <c r="DU380" i="1"/>
  <c r="DU381" i="1"/>
  <c r="DU382" i="1"/>
  <c r="DU383" i="1"/>
  <c r="DU384" i="1"/>
  <c r="DU385" i="1"/>
  <c r="DU386" i="1"/>
  <c r="DU387" i="1"/>
  <c r="DU388" i="1"/>
  <c r="DU389" i="1"/>
  <c r="DU390" i="1"/>
  <c r="DU391" i="1"/>
  <c r="DU392" i="1"/>
  <c r="DU393" i="1"/>
  <c r="DU394" i="1"/>
  <c r="DU395" i="1"/>
  <c r="DU396" i="1"/>
  <c r="DU397" i="1"/>
  <c r="DU398" i="1"/>
  <c r="DU399" i="1"/>
  <c r="DU400" i="1"/>
  <c r="DU401" i="1"/>
  <c r="DV377" i="1"/>
  <c r="DV378" i="1"/>
  <c r="DV379" i="1"/>
  <c r="DV380" i="1"/>
  <c r="DV381" i="1"/>
  <c r="DV382" i="1"/>
  <c r="DV383" i="1"/>
  <c r="DV384" i="1"/>
  <c r="DV385" i="1"/>
  <c r="DV386" i="1"/>
  <c r="DV387" i="1"/>
  <c r="DV388" i="1"/>
  <c r="DV389" i="1"/>
  <c r="DV390" i="1"/>
  <c r="DV391" i="1"/>
  <c r="DV392" i="1"/>
  <c r="DV393" i="1"/>
  <c r="DV394" i="1"/>
  <c r="DV395" i="1"/>
  <c r="DV396" i="1"/>
  <c r="DV397" i="1"/>
  <c r="DV398" i="1"/>
  <c r="DV399" i="1"/>
  <c r="DV400" i="1"/>
  <c r="DV401" i="1"/>
  <c r="DU376" i="1"/>
  <c r="DV376" i="1"/>
  <c r="DU375" i="1"/>
  <c r="DV375" i="1"/>
  <c r="DU374" i="1"/>
  <c r="DV374" i="1"/>
  <c r="DU373" i="1"/>
  <c r="DV373" i="1"/>
  <c r="DU2" i="1"/>
  <c r="DU350" i="1"/>
  <c r="DU351" i="1"/>
  <c r="DU352" i="1"/>
  <c r="DU353" i="1"/>
  <c r="DU354" i="1"/>
  <c r="DU355" i="1"/>
  <c r="DU356" i="1"/>
  <c r="DU357" i="1"/>
  <c r="DU358" i="1"/>
  <c r="DU359" i="1"/>
  <c r="DU360" i="1"/>
  <c r="DU361" i="1"/>
  <c r="DU362" i="1"/>
  <c r="DU363" i="1"/>
  <c r="DU364" i="1"/>
  <c r="DU365" i="1"/>
  <c r="DU366" i="1"/>
  <c r="DU367" i="1"/>
  <c r="DU368" i="1"/>
  <c r="DU369" i="1"/>
  <c r="DU370" i="1"/>
  <c r="DU371" i="1"/>
  <c r="DU372" i="1"/>
  <c r="DV350" i="1"/>
  <c r="DV351" i="1"/>
  <c r="DV352" i="1"/>
  <c r="DV353" i="1"/>
  <c r="DV354" i="1"/>
  <c r="DV355" i="1"/>
  <c r="DV356" i="1"/>
  <c r="DV357" i="1"/>
  <c r="DV358" i="1"/>
  <c r="DV359" i="1"/>
  <c r="DV360" i="1"/>
  <c r="DV361" i="1"/>
  <c r="DV362" i="1"/>
  <c r="DV363" i="1"/>
  <c r="DV364" i="1"/>
  <c r="DV365" i="1"/>
  <c r="DV366" i="1"/>
  <c r="DV367" i="1"/>
  <c r="DV368" i="1"/>
  <c r="DV369" i="1"/>
  <c r="DV370" i="1"/>
  <c r="DV371" i="1"/>
  <c r="DV372" i="1"/>
  <c r="DU349" i="1"/>
  <c r="DV349" i="1"/>
  <c r="DU348" i="1"/>
  <c r="DV348" i="1"/>
  <c r="DU347" i="1"/>
  <c r="DV347" i="1"/>
  <c r="DU346" i="1"/>
  <c r="DV346" i="1"/>
  <c r="DU345" i="1"/>
  <c r="DV345" i="1"/>
  <c r="DU344" i="1"/>
  <c r="DV344" i="1"/>
  <c r="DU343" i="1"/>
  <c r="DV343" i="1"/>
  <c r="DU342" i="1"/>
  <c r="DV342" i="1"/>
  <c r="DU341" i="1"/>
  <c r="DV341" i="1"/>
  <c r="DU340" i="1"/>
  <c r="DV340" i="1"/>
  <c r="DU337" i="1"/>
  <c r="DU338" i="1"/>
  <c r="DU339" i="1"/>
  <c r="DV337" i="1"/>
  <c r="DV338" i="1"/>
  <c r="DV339" i="1"/>
  <c r="DU336" i="1"/>
  <c r="DV336" i="1"/>
  <c r="DU334" i="1"/>
  <c r="DU335" i="1"/>
  <c r="DV334" i="1"/>
  <c r="DV335" i="1"/>
  <c r="DV333" i="1"/>
  <c r="DU333" i="1"/>
  <c r="DV324" i="1"/>
  <c r="DV325" i="1"/>
  <c r="DV326" i="1"/>
  <c r="DV327" i="1"/>
  <c r="DV328" i="1"/>
  <c r="DV329" i="1"/>
  <c r="DV330" i="1"/>
  <c r="DV331" i="1"/>
  <c r="DV332" i="1"/>
  <c r="DU324" i="1"/>
  <c r="DU325" i="1"/>
  <c r="DU326" i="1"/>
  <c r="DU327" i="1"/>
  <c r="DU328" i="1"/>
  <c r="DU329" i="1"/>
  <c r="DU330" i="1"/>
  <c r="DU331" i="1"/>
  <c r="DU332" i="1"/>
  <c r="DV299" i="1"/>
  <c r="DV300" i="1"/>
  <c r="DV301" i="1"/>
  <c r="DV302" i="1"/>
  <c r="DV303" i="1"/>
  <c r="DV304" i="1"/>
  <c r="DV305" i="1"/>
  <c r="DV306" i="1"/>
  <c r="DV307" i="1"/>
  <c r="DV308" i="1"/>
  <c r="DV309" i="1"/>
  <c r="DV310" i="1"/>
  <c r="DV311" i="1"/>
  <c r="DV312" i="1"/>
  <c r="DV313" i="1"/>
  <c r="DV314" i="1"/>
  <c r="DV315" i="1"/>
  <c r="DV316" i="1"/>
  <c r="DV317" i="1"/>
  <c r="DV318" i="1"/>
  <c r="DV319" i="1"/>
  <c r="DV320" i="1"/>
  <c r="DV321" i="1"/>
  <c r="DV322" i="1"/>
  <c r="DV323" i="1"/>
  <c r="DU299" i="1"/>
  <c r="DU300" i="1"/>
  <c r="DU301" i="1"/>
  <c r="DU302" i="1"/>
  <c r="DU303" i="1"/>
  <c r="DU304" i="1"/>
  <c r="DU305" i="1"/>
  <c r="DU306" i="1"/>
  <c r="DU307" i="1"/>
  <c r="DU308" i="1"/>
  <c r="DU309" i="1"/>
  <c r="DU310" i="1"/>
  <c r="DU311" i="1"/>
  <c r="DU312" i="1"/>
  <c r="DU313" i="1"/>
  <c r="DU314" i="1"/>
  <c r="DU315" i="1"/>
  <c r="DU316" i="1"/>
  <c r="DU317" i="1"/>
  <c r="DU318" i="1"/>
  <c r="DU319" i="1"/>
  <c r="DU320" i="1"/>
  <c r="DU321" i="1"/>
  <c r="DU322" i="1"/>
  <c r="DU323" i="1"/>
  <c r="DV274" i="1"/>
  <c r="DV275" i="1"/>
  <c r="DV276" i="1"/>
  <c r="DV277" i="1"/>
  <c r="DV278" i="1"/>
  <c r="DV279" i="1"/>
  <c r="DV280" i="1"/>
  <c r="DV281" i="1"/>
  <c r="DV282" i="1"/>
  <c r="DV283" i="1"/>
  <c r="DV284" i="1"/>
  <c r="DV285" i="1"/>
  <c r="DV286" i="1"/>
  <c r="DV287" i="1"/>
  <c r="DV288" i="1"/>
  <c r="DV289" i="1"/>
  <c r="DV290" i="1"/>
  <c r="DV291" i="1"/>
  <c r="DV292" i="1"/>
  <c r="DV293" i="1"/>
  <c r="DV294" i="1"/>
  <c r="DV295" i="1"/>
  <c r="DV296" i="1"/>
  <c r="DV297" i="1"/>
  <c r="DV298" i="1"/>
  <c r="DU274" i="1"/>
  <c r="DU275" i="1"/>
  <c r="DU276" i="1"/>
  <c r="DU277" i="1"/>
  <c r="DU278" i="1"/>
  <c r="DU279" i="1"/>
  <c r="DU280" i="1"/>
  <c r="DU281" i="1"/>
  <c r="DU282" i="1"/>
  <c r="DU283" i="1"/>
  <c r="DU284" i="1"/>
  <c r="DU285" i="1"/>
  <c r="DU286" i="1"/>
  <c r="DU287" i="1"/>
  <c r="DU288" i="1"/>
  <c r="DU289" i="1"/>
  <c r="DU290" i="1"/>
  <c r="DU291" i="1"/>
  <c r="DU292" i="1"/>
  <c r="DU293" i="1"/>
  <c r="DU294" i="1"/>
  <c r="DU295" i="1"/>
  <c r="DU296" i="1"/>
  <c r="DU297" i="1"/>
  <c r="DU298" i="1"/>
  <c r="DV249" i="1"/>
  <c r="DV250" i="1"/>
  <c r="DV251" i="1"/>
  <c r="DV252" i="1"/>
  <c r="DV253" i="1"/>
  <c r="DV254" i="1"/>
  <c r="DV255" i="1"/>
  <c r="DV256" i="1"/>
  <c r="DV257" i="1"/>
  <c r="DV258" i="1"/>
  <c r="DV259" i="1"/>
  <c r="DV260" i="1"/>
  <c r="DV261" i="1"/>
  <c r="DV262" i="1"/>
  <c r="DV263" i="1"/>
  <c r="DV264" i="1"/>
  <c r="DV265" i="1"/>
  <c r="DV266" i="1"/>
  <c r="DV267" i="1"/>
  <c r="DV268" i="1"/>
  <c r="DV269" i="1"/>
  <c r="DV270" i="1"/>
  <c r="DV271" i="1"/>
  <c r="DV272" i="1"/>
  <c r="DV273" i="1"/>
  <c r="DU249" i="1"/>
  <c r="DU250" i="1"/>
  <c r="DU251" i="1"/>
  <c r="DU252" i="1"/>
  <c r="DU253" i="1"/>
  <c r="DU254" i="1"/>
  <c r="DU255" i="1"/>
  <c r="DU256" i="1"/>
  <c r="DU257" i="1"/>
  <c r="DU258" i="1"/>
  <c r="DU259" i="1"/>
  <c r="DU260" i="1"/>
  <c r="DU261" i="1"/>
  <c r="DU262" i="1"/>
  <c r="DU263" i="1"/>
  <c r="DU264" i="1"/>
  <c r="DU265" i="1"/>
  <c r="DU266" i="1"/>
  <c r="DU267" i="1"/>
  <c r="DU268" i="1"/>
  <c r="DU269" i="1"/>
  <c r="DU270" i="1"/>
  <c r="DU271" i="1"/>
  <c r="DU272" i="1"/>
  <c r="DU273" i="1"/>
  <c r="DV224" i="1"/>
  <c r="DV225" i="1"/>
  <c r="DV226" i="1"/>
  <c r="DV227" i="1"/>
  <c r="DV228" i="1"/>
  <c r="DV229" i="1"/>
  <c r="DV230" i="1"/>
  <c r="DV231" i="1"/>
  <c r="DV232" i="1"/>
  <c r="DV233" i="1"/>
  <c r="DV234" i="1"/>
  <c r="DV235" i="1"/>
  <c r="DV236" i="1"/>
  <c r="DV237" i="1"/>
  <c r="DV238" i="1"/>
  <c r="DV239" i="1"/>
  <c r="DV240" i="1"/>
  <c r="DV241" i="1"/>
  <c r="DV242" i="1"/>
  <c r="DV243" i="1"/>
  <c r="DV244" i="1"/>
  <c r="DV245" i="1"/>
  <c r="DV246" i="1"/>
  <c r="DV247" i="1"/>
  <c r="DV248" i="1"/>
  <c r="DU224" i="1"/>
  <c r="DU225" i="1"/>
  <c r="DU226" i="1"/>
  <c r="DU227" i="1"/>
  <c r="DU228" i="1"/>
  <c r="DU229" i="1"/>
  <c r="DU230" i="1"/>
  <c r="DU231" i="1"/>
  <c r="DU232" i="1"/>
  <c r="DU233" i="1"/>
  <c r="DU234" i="1"/>
  <c r="DU235" i="1"/>
  <c r="DU236" i="1"/>
  <c r="DU237" i="1"/>
  <c r="DU238" i="1"/>
  <c r="DU239" i="1"/>
  <c r="DU240" i="1"/>
  <c r="DU241" i="1"/>
  <c r="DU242" i="1"/>
  <c r="DU243" i="1"/>
  <c r="DU244" i="1"/>
  <c r="DU245" i="1"/>
  <c r="DU246" i="1"/>
  <c r="DU247" i="1"/>
  <c r="DU248" i="1"/>
  <c r="DV199" i="1"/>
  <c r="DV200" i="1"/>
  <c r="DV201" i="1"/>
  <c r="DV202" i="1"/>
  <c r="DV203" i="1"/>
  <c r="DV204" i="1"/>
  <c r="DV205" i="1"/>
  <c r="DV206" i="1"/>
  <c r="DV207" i="1"/>
  <c r="DV208" i="1"/>
  <c r="DV209" i="1"/>
  <c r="DV210" i="1"/>
  <c r="DV211" i="1"/>
  <c r="DV212" i="1"/>
  <c r="DV213" i="1"/>
  <c r="DV214" i="1"/>
  <c r="DV215" i="1"/>
  <c r="DV216" i="1"/>
  <c r="DV217" i="1"/>
  <c r="DV218" i="1"/>
  <c r="DV219" i="1"/>
  <c r="DV220" i="1"/>
  <c r="DV221" i="1"/>
  <c r="DV222" i="1"/>
  <c r="DV223" i="1"/>
  <c r="DU199" i="1"/>
  <c r="DU200" i="1"/>
  <c r="DU201" i="1"/>
  <c r="DU202" i="1"/>
  <c r="DU203" i="1"/>
  <c r="DU204" i="1"/>
  <c r="DU205" i="1"/>
  <c r="DU206" i="1"/>
  <c r="DU207" i="1"/>
  <c r="DU208" i="1"/>
  <c r="DU209" i="1"/>
  <c r="DU210" i="1"/>
  <c r="DU211" i="1"/>
  <c r="DU212" i="1"/>
  <c r="DU213" i="1"/>
  <c r="DU214" i="1"/>
  <c r="DU215" i="1"/>
  <c r="DU216" i="1"/>
  <c r="DU217" i="1"/>
  <c r="DU218" i="1"/>
  <c r="DU219" i="1"/>
  <c r="DU220" i="1"/>
  <c r="DU221" i="1"/>
  <c r="DU222" i="1"/>
  <c r="DU223" i="1"/>
  <c r="DU194" i="1"/>
  <c r="DU195" i="1"/>
  <c r="DU196" i="1"/>
  <c r="DU197" i="1"/>
  <c r="DU198" i="1"/>
  <c r="DV194" i="1"/>
  <c r="DV195" i="1"/>
  <c r="DV196" i="1"/>
  <c r="DV197" i="1"/>
  <c r="DV198" i="1"/>
  <c r="DU169" i="1"/>
  <c r="DU170" i="1"/>
  <c r="DU171" i="1"/>
  <c r="DU172" i="1"/>
  <c r="DU173" i="1"/>
  <c r="DU174" i="1"/>
  <c r="DU175" i="1"/>
  <c r="DU176" i="1"/>
  <c r="DU177" i="1"/>
  <c r="DU178" i="1"/>
  <c r="DU179" i="1"/>
  <c r="DU180" i="1"/>
  <c r="DU181" i="1"/>
  <c r="DU182" i="1"/>
  <c r="DU183" i="1"/>
  <c r="DU184" i="1"/>
  <c r="DU185" i="1"/>
  <c r="DU186" i="1"/>
  <c r="DU187" i="1"/>
  <c r="DU188" i="1"/>
  <c r="DU189" i="1"/>
  <c r="DU190" i="1"/>
  <c r="DU191" i="1"/>
  <c r="DU192" i="1"/>
  <c r="DU193" i="1"/>
  <c r="DV169" i="1"/>
  <c r="DV170" i="1"/>
  <c r="DV171" i="1"/>
  <c r="DV172" i="1"/>
  <c r="DV173" i="1"/>
  <c r="DV174" i="1"/>
  <c r="DV175" i="1"/>
  <c r="DV176" i="1"/>
  <c r="DV177" i="1"/>
  <c r="DV178" i="1"/>
  <c r="DV179" i="1"/>
  <c r="DV180" i="1"/>
  <c r="DV181" i="1"/>
  <c r="DV182" i="1"/>
  <c r="DV183" i="1"/>
  <c r="DV184" i="1"/>
  <c r="DV185" i="1"/>
  <c r="DV186" i="1"/>
  <c r="DV187" i="1"/>
  <c r="DV188" i="1"/>
  <c r="DV189" i="1"/>
  <c r="DV190" i="1"/>
  <c r="DV191" i="1"/>
  <c r="DV192" i="1"/>
  <c r="DV193" i="1"/>
  <c r="DU144" i="1"/>
  <c r="DU145" i="1"/>
  <c r="DU146" i="1"/>
  <c r="DU147" i="1"/>
  <c r="DU148" i="1"/>
  <c r="DU149" i="1"/>
  <c r="DU150" i="1"/>
  <c r="DU151" i="1"/>
  <c r="DU152" i="1"/>
  <c r="DU153" i="1"/>
  <c r="DU154" i="1"/>
  <c r="DU155" i="1"/>
  <c r="DU156" i="1"/>
  <c r="DU157" i="1"/>
  <c r="DU158" i="1"/>
  <c r="DU159" i="1"/>
  <c r="DU160" i="1"/>
  <c r="DU161" i="1"/>
  <c r="DU162" i="1"/>
  <c r="DU163" i="1"/>
  <c r="DU164" i="1"/>
  <c r="DU165" i="1"/>
  <c r="DU166" i="1"/>
  <c r="DU167" i="1"/>
  <c r="DU168" i="1"/>
  <c r="DV144" i="1"/>
  <c r="DV145" i="1"/>
  <c r="DV146" i="1"/>
  <c r="DV147" i="1"/>
  <c r="DV148" i="1"/>
  <c r="DV149" i="1"/>
  <c r="DV150" i="1"/>
  <c r="DV151" i="1"/>
  <c r="DV152" i="1"/>
  <c r="DV153" i="1"/>
  <c r="DV154" i="1"/>
  <c r="DV155" i="1"/>
  <c r="DV156" i="1"/>
  <c r="DV157" i="1"/>
  <c r="DV158" i="1"/>
  <c r="DV159" i="1"/>
  <c r="DV160" i="1"/>
  <c r="DV161" i="1"/>
  <c r="DV162" i="1"/>
  <c r="DV163" i="1"/>
  <c r="DV164" i="1"/>
  <c r="DV165" i="1"/>
  <c r="DV166" i="1"/>
  <c r="DV167" i="1"/>
  <c r="DV168" i="1"/>
  <c r="DU143" i="1"/>
  <c r="DV143" i="1"/>
  <c r="DU142" i="1" l="1"/>
  <c r="DV142" i="1"/>
  <c r="DU141" i="1"/>
  <c r="DV141" i="1"/>
  <c r="DV2" i="1"/>
  <c r="DV3" i="1"/>
  <c r="DV4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70" i="1"/>
  <c r="DV71" i="1"/>
  <c r="DV72" i="1"/>
  <c r="DV73" i="1"/>
  <c r="DV74" i="1"/>
  <c r="DV75" i="1"/>
  <c r="DV76" i="1"/>
  <c r="DV77" i="1"/>
  <c r="DV78" i="1"/>
  <c r="DV79" i="1"/>
  <c r="DV80" i="1"/>
  <c r="DV81" i="1"/>
  <c r="DV82" i="1"/>
  <c r="DV83" i="1"/>
  <c r="DV84" i="1"/>
  <c r="DV85" i="1"/>
  <c r="DV86" i="1"/>
  <c r="DV87" i="1"/>
  <c r="DV88" i="1"/>
  <c r="DV89" i="1"/>
  <c r="DV90" i="1"/>
  <c r="DV91" i="1"/>
  <c r="DV92" i="1"/>
  <c r="DV93" i="1"/>
  <c r="DV94" i="1"/>
  <c r="DV95" i="1"/>
  <c r="DV96" i="1"/>
  <c r="DV97" i="1"/>
  <c r="DV98" i="1"/>
  <c r="DV99" i="1"/>
  <c r="DV100" i="1"/>
  <c r="DV101" i="1"/>
  <c r="DV102" i="1"/>
  <c r="DV103" i="1"/>
  <c r="DV104" i="1"/>
  <c r="DV105" i="1"/>
  <c r="DV106" i="1"/>
  <c r="DV107" i="1"/>
  <c r="DV108" i="1"/>
  <c r="DV109" i="1"/>
  <c r="DV110" i="1"/>
  <c r="DV111" i="1"/>
  <c r="DV112" i="1"/>
  <c r="DV113" i="1"/>
  <c r="DV114" i="1"/>
  <c r="DV115" i="1"/>
  <c r="DV116" i="1"/>
  <c r="DV117" i="1"/>
  <c r="DV118" i="1"/>
  <c r="DV119" i="1"/>
  <c r="DV120" i="1"/>
  <c r="DV121" i="1"/>
  <c r="DV122" i="1"/>
  <c r="DV123" i="1"/>
  <c r="DV124" i="1"/>
  <c r="DV125" i="1"/>
  <c r="DV126" i="1"/>
  <c r="DV127" i="1"/>
  <c r="DV128" i="1"/>
  <c r="DV129" i="1"/>
  <c r="DV130" i="1"/>
  <c r="DV131" i="1"/>
  <c r="DV132" i="1"/>
  <c r="DV133" i="1"/>
  <c r="DV134" i="1"/>
  <c r="DV135" i="1"/>
  <c r="DV136" i="1"/>
  <c r="DV137" i="1"/>
  <c r="DV138" i="1"/>
  <c r="DV139" i="1"/>
  <c r="DV140" i="1"/>
  <c r="DU3" i="1"/>
  <c r="DU4" i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73" i="1"/>
  <c r="DU74" i="1"/>
  <c r="DU75" i="1"/>
  <c r="DU76" i="1"/>
  <c r="DU77" i="1"/>
  <c r="DU78" i="1"/>
  <c r="DU79" i="1"/>
  <c r="DU80" i="1"/>
  <c r="DU81" i="1"/>
  <c r="DU82" i="1"/>
  <c r="DU83" i="1"/>
  <c r="DU84" i="1"/>
  <c r="DU85" i="1"/>
  <c r="DU86" i="1"/>
  <c r="DU87" i="1"/>
  <c r="DU88" i="1"/>
  <c r="DU89" i="1"/>
  <c r="DU90" i="1"/>
  <c r="DU91" i="1"/>
  <c r="DU92" i="1"/>
  <c r="DU93" i="1"/>
  <c r="DU94" i="1"/>
  <c r="DU95" i="1"/>
  <c r="DU96" i="1"/>
  <c r="DU97" i="1"/>
  <c r="DU98" i="1"/>
  <c r="DU99" i="1"/>
  <c r="DU100" i="1"/>
  <c r="DU101" i="1"/>
  <c r="DU102" i="1"/>
  <c r="DU103" i="1"/>
  <c r="DU104" i="1"/>
  <c r="DU105" i="1"/>
  <c r="DU106" i="1"/>
  <c r="DU107" i="1"/>
  <c r="DU108" i="1"/>
  <c r="DU109" i="1"/>
  <c r="DU110" i="1"/>
  <c r="DU111" i="1"/>
  <c r="DU112" i="1"/>
  <c r="DU113" i="1"/>
  <c r="DU114" i="1"/>
  <c r="DU115" i="1"/>
  <c r="DU116" i="1"/>
  <c r="DU117" i="1"/>
  <c r="DU118" i="1"/>
  <c r="DU119" i="1"/>
  <c r="DU120" i="1"/>
  <c r="DU121" i="1"/>
  <c r="DU122" i="1"/>
  <c r="DU123" i="1"/>
  <c r="DU124" i="1"/>
  <c r="DU125" i="1"/>
  <c r="DU126" i="1"/>
  <c r="DU127" i="1"/>
  <c r="DU128" i="1"/>
  <c r="DU129" i="1"/>
  <c r="DU130" i="1"/>
  <c r="DU131" i="1"/>
  <c r="DU132" i="1"/>
  <c r="DU133" i="1"/>
  <c r="DU134" i="1"/>
  <c r="DU135" i="1"/>
  <c r="DU136" i="1"/>
  <c r="DU137" i="1"/>
  <c r="DU138" i="1"/>
  <c r="DU139" i="1"/>
  <c r="DU140" i="1"/>
  <c r="DS2" i="1"/>
  <c r="DT2" i="1" s="1"/>
  <c r="DX447" i="1" l="1"/>
  <c r="DX160" i="1"/>
  <c r="DX201" i="1"/>
  <c r="DX346" i="1"/>
  <c r="DX236" i="1"/>
  <c r="DX253" i="1"/>
  <c r="DX232" i="1"/>
  <c r="DX249" i="1"/>
  <c r="DX143" i="1"/>
  <c r="DX252" i="1"/>
  <c r="DX485" i="1"/>
  <c r="DX140" i="1"/>
  <c r="DX328" i="1"/>
  <c r="DX602" i="1"/>
  <c r="DX239" i="1"/>
  <c r="DX645" i="1"/>
  <c r="DX368" i="1"/>
  <c r="DX666" i="1"/>
  <c r="DX203" i="1"/>
  <c r="DX245" i="1"/>
  <c r="DX563" i="1"/>
  <c r="DX117" i="1"/>
  <c r="DX719" i="1"/>
  <c r="DX720" i="1"/>
  <c r="DX242" i="1"/>
  <c r="DX718" i="1"/>
  <c r="DX118" i="1"/>
  <c r="DX139" i="1"/>
  <c r="DX400" i="1"/>
  <c r="DX159" i="1"/>
  <c r="DX251" i="1"/>
  <c r="DX622" i="1"/>
  <c r="DX94" i="1"/>
  <c r="DX624" i="1"/>
  <c r="DX721" i="1"/>
  <c r="DX516" i="1"/>
  <c r="DX95" i="1"/>
  <c r="DX158" i="1"/>
  <c r="DX202" i="1"/>
  <c r="DX564" i="1"/>
  <c r="DX620" i="1"/>
  <c r="DX482" i="1" l="1"/>
  <c r="DX226" i="1"/>
  <c r="DX711" i="1"/>
  <c r="DX120" i="1"/>
  <c r="DX653" i="1"/>
  <c r="DX310" i="1"/>
  <c r="DX724" i="1"/>
  <c r="DX702" i="1"/>
  <c r="DX722" i="1" l="1"/>
  <c r="DX723" i="1"/>
  <c r="DX647" i="1"/>
  <c r="DX418" i="1"/>
  <c r="DX646" i="1"/>
  <c r="DX35" i="1"/>
  <c r="DX419" i="1"/>
  <c r="DX420" i="1"/>
  <c r="DX417" i="1"/>
  <c r="DX472" i="1"/>
  <c r="DX473" i="1"/>
  <c r="DX444" i="1"/>
  <c r="DX471" i="1"/>
  <c r="DX684" i="1"/>
  <c r="DX685" i="1"/>
  <c r="DX7" i="1"/>
  <c r="DX229" i="1"/>
  <c r="DX79" i="1"/>
  <c r="DX190" i="1"/>
  <c r="DX8" i="1"/>
  <c r="DX191" i="1"/>
  <c r="DX452" i="1"/>
  <c r="DX600" i="1"/>
  <c r="DX369" i="1"/>
  <c r="DX230" i="1"/>
  <c r="DX78" i="1"/>
  <c r="DX370" i="1"/>
  <c r="DX451" i="1"/>
  <c r="DX601" i="1"/>
  <c r="DX30" i="1"/>
  <c r="DX503" i="1"/>
  <c r="DX507" i="1"/>
  <c r="DX673" i="1"/>
  <c r="DX708" i="1"/>
  <c r="DX109" i="1"/>
  <c r="DX401" i="1"/>
  <c r="DX534" i="1"/>
  <c r="DX615" i="1"/>
  <c r="DX37" i="1"/>
  <c r="DX211" i="1"/>
  <c r="DX658" i="1"/>
  <c r="DX39" i="1"/>
  <c r="DX520" i="1"/>
  <c r="DX518" i="1"/>
  <c r="DX393" i="1"/>
  <c r="DX38" i="1"/>
  <c r="DX13" i="1"/>
  <c r="DX392" i="1"/>
  <c r="DX99" i="1"/>
  <c r="DX318" i="1"/>
  <c r="DX561" i="1"/>
  <c r="DX97" i="1"/>
  <c r="DX562" i="1"/>
  <c r="DX36" i="1"/>
  <c r="DX41" i="1"/>
  <c r="DX628" i="1"/>
  <c r="DX586" i="1"/>
  <c r="DX398" i="1"/>
  <c r="DX549" i="1"/>
  <c r="DX122" i="1"/>
  <c r="DX72" i="1"/>
  <c r="DX286" i="1"/>
  <c r="DX399" i="1"/>
  <c r="DX681" i="1"/>
  <c r="DX680" i="1"/>
  <c r="DX682" i="1"/>
  <c r="DX679" i="1"/>
  <c r="DX193" i="1"/>
  <c r="DX194" i="1"/>
  <c r="DX192" i="1"/>
  <c r="DX705" i="1"/>
  <c r="DX703" i="1"/>
  <c r="DX609" i="1"/>
  <c r="DX505" i="1"/>
  <c r="DX506" i="1"/>
  <c r="DX500" i="1"/>
  <c r="DX496" i="1"/>
  <c r="DX497" i="1"/>
  <c r="DX498" i="1"/>
  <c r="DX268" i="1"/>
  <c r="DX270" i="1"/>
  <c r="DX269" i="1"/>
  <c r="DX292" i="1"/>
  <c r="DX291" i="1"/>
  <c r="DX572" i="1"/>
  <c r="DX569" i="1"/>
  <c r="DX565" i="1"/>
  <c r="DX574" i="1"/>
  <c r="DX576" i="1"/>
  <c r="DX570" i="1"/>
  <c r="DX566" i="1"/>
  <c r="DX575" i="1"/>
  <c r="DX571" i="1"/>
  <c r="DX568" i="1"/>
  <c r="DX573" i="1"/>
  <c r="DX567" i="1"/>
  <c r="DX688" i="1"/>
  <c r="DX689" i="1"/>
  <c r="DX686" i="1"/>
  <c r="DX687" i="1"/>
  <c r="DX604" i="1"/>
  <c r="DX283" i="1"/>
  <c r="DX47" i="1"/>
  <c r="DX6" i="1"/>
  <c r="DX424" i="1"/>
  <c r="DX423" i="1"/>
  <c r="DX415" i="1"/>
  <c r="DX425" i="1"/>
  <c r="DX709" i="1"/>
  <c r="DX123" i="1"/>
  <c r="DX629" i="1"/>
  <c r="DX545" i="1"/>
  <c r="DX649" i="1"/>
  <c r="DX189" i="1"/>
  <c r="DX580" i="1"/>
  <c r="DX316" i="1"/>
  <c r="DX108" i="1"/>
  <c r="DX546" i="1"/>
  <c r="DX547" i="1"/>
  <c r="DX442" i="1"/>
  <c r="DX317" i="1"/>
  <c r="DX715" i="1"/>
  <c r="DX712" i="1"/>
  <c r="DX714" i="1"/>
  <c r="DX216" i="1"/>
  <c r="DX215" i="1"/>
  <c r="DX212" i="1"/>
  <c r="DX213" i="1"/>
  <c r="DX214" i="1"/>
  <c r="DX701" i="1"/>
  <c r="DX169" i="1"/>
  <c r="DX605" i="1"/>
  <c r="DX592" i="1"/>
  <c r="DX14" i="1"/>
  <c r="DX70" i="1"/>
  <c r="DX443" i="1"/>
  <c r="DX281" i="1"/>
  <c r="DX231" i="1"/>
  <c r="DX282" i="1"/>
  <c r="DX280" i="1"/>
  <c r="DX683" i="1"/>
  <c r="DX336" i="1"/>
  <c r="DX636" i="1"/>
  <c r="DX337" i="1"/>
  <c r="DX637" i="1"/>
  <c r="DX338" i="1"/>
  <c r="DX335" i="1"/>
  <c r="DX696" i="1"/>
  <c r="DX695" i="1"/>
  <c r="DX693" i="1"/>
  <c r="DX697" i="1"/>
  <c r="DX694" i="1"/>
  <c r="DX700" i="1"/>
  <c r="DX698" i="1"/>
  <c r="DX699" i="1"/>
  <c r="DX349" i="1"/>
  <c r="DX347" i="1"/>
  <c r="DX342" i="1"/>
  <c r="DX340" i="1"/>
  <c r="DX344" i="1"/>
  <c r="DX348" i="1"/>
  <c r="DX341" i="1"/>
  <c r="DX343" i="1"/>
  <c r="DX345" i="1"/>
  <c r="DX128" i="1"/>
  <c r="DX129" i="1"/>
  <c r="DX535" i="1"/>
  <c r="DX351" i="1"/>
  <c r="DX27" i="1"/>
  <c r="DX352" i="1"/>
  <c r="DX713" i="1"/>
  <c r="DX716" i="1"/>
  <c r="DX60" i="1"/>
  <c r="DX224" i="1"/>
  <c r="DX223" i="1"/>
  <c r="DX539" i="1"/>
  <c r="DX654" i="1"/>
  <c r="DX655" i="1"/>
  <c r="DX657" i="1"/>
  <c r="DX656" i="1"/>
  <c r="DX463" i="1"/>
  <c r="DX464" i="1"/>
  <c r="DX508" i="1"/>
  <c r="DX510" i="1"/>
  <c r="DX511" i="1"/>
  <c r="DX509" i="1"/>
  <c r="DX28" i="1"/>
  <c r="DX157" i="1"/>
  <c r="DX155" i="1"/>
  <c r="DX154" i="1"/>
  <c r="DX607" i="1"/>
  <c r="DX606" i="1"/>
  <c r="DX608" i="1"/>
  <c r="DX294" i="1"/>
  <c r="DX295" i="1"/>
  <c r="DX250" i="1"/>
  <c r="DX254" i="1"/>
  <c r="DX255" i="1"/>
  <c r="DX145" i="1"/>
  <c r="DX625" i="1"/>
  <c r="DX73" i="1"/>
  <c r="DX22" i="1"/>
  <c r="DX376" i="1"/>
  <c r="DX540" i="1"/>
  <c r="DX146" i="1"/>
  <c r="DX671" i="1"/>
  <c r="DX519" i="1"/>
  <c r="DX21" i="1"/>
  <c r="DX121" i="1"/>
  <c r="DX71" i="1"/>
  <c r="DX119" i="1"/>
  <c r="DX225" i="1"/>
  <c r="DX391" i="1"/>
  <c r="DX339" i="1"/>
  <c r="DX350" i="1"/>
  <c r="DX218" i="1"/>
  <c r="DX326" i="1"/>
  <c r="DX161" i="1"/>
  <c r="DX130" i="1"/>
  <c r="DX322" i="1"/>
  <c r="DX323" i="1"/>
  <c r="DX324" i="1"/>
  <c r="DX321" i="1"/>
  <c r="DX127" i="1"/>
  <c r="DX273" i="1"/>
  <c r="DX276" i="1"/>
  <c r="DX278" i="1"/>
  <c r="DX126" i="1"/>
  <c r="DX277" i="1"/>
  <c r="DX272" i="1"/>
  <c r="DX271" i="1"/>
  <c r="DX707" i="1"/>
  <c r="DX107" i="1"/>
  <c r="DX626" i="1"/>
  <c r="DX543" i="1"/>
  <c r="DX45" i="1"/>
  <c r="DX627" i="1"/>
  <c r="DX31" i="1"/>
  <c r="DX135" i="1"/>
  <c r="DX106" i="1"/>
  <c r="DX437" i="1"/>
  <c r="DX258" i="1"/>
  <c r="DX296" i="1"/>
  <c r="DX257" i="1"/>
  <c r="DX438" i="1"/>
  <c r="DX532" i="1"/>
  <c r="DX435" i="1"/>
  <c r="DX533" i="1"/>
  <c r="DX44" i="1"/>
  <c r="DX436" i="1"/>
  <c r="DX136" i="1"/>
  <c r="DX514" i="1"/>
  <c r="DX517" i="1"/>
  <c r="DX515" i="1"/>
  <c r="DX206" i="1"/>
  <c r="DX479" i="1"/>
  <c r="DX478" i="1"/>
  <c r="DX238" i="1"/>
  <c r="DX247" i="1"/>
  <c r="DX241" i="1"/>
  <c r="DX240" i="1"/>
  <c r="DX248" i="1"/>
  <c r="DX246" i="1"/>
  <c r="DX80" i="1"/>
  <c r="DX538" i="1"/>
  <c r="DX10" i="1"/>
  <c r="DX667" i="1"/>
  <c r="DX371" i="1"/>
  <c r="DX279" i="1"/>
  <c r="DX690" i="1"/>
  <c r="DX587" i="1"/>
  <c r="DX148" i="1"/>
  <c r="DX98" i="1"/>
  <c r="DX266" i="1"/>
  <c r="DX267" i="1"/>
  <c r="DX315" i="1"/>
  <c r="DX314" i="1"/>
  <c r="DX100" i="1"/>
  <c r="DX112" i="1"/>
  <c r="DX74" i="1"/>
  <c r="DX522" i="1"/>
  <c r="DX521" i="1"/>
  <c r="DX75" i="1"/>
  <c r="DX77" i="1"/>
  <c r="DX457" i="1"/>
  <c r="DX456" i="1"/>
  <c r="DX180" i="1"/>
  <c r="DX182" i="1"/>
  <c r="DX55" i="1"/>
  <c r="DX596" i="1"/>
  <c r="DX181" i="1"/>
  <c r="DX183" i="1"/>
  <c r="DX598" i="1"/>
  <c r="DX56" i="1"/>
  <c r="DX184" i="1"/>
  <c r="DX595" i="1"/>
  <c r="DX594" i="1"/>
  <c r="DX597" i="1"/>
  <c r="DX676" i="1"/>
  <c r="DX678" i="1"/>
  <c r="DX677" i="1"/>
  <c r="DX467" i="1"/>
  <c r="DX470" i="1"/>
  <c r="DX186" i="1"/>
  <c r="DX185" i="1"/>
  <c r="DX52" i="1"/>
  <c r="DX132" i="1"/>
  <c r="DX469" i="1"/>
  <c r="DX131" i="1"/>
  <c r="DX499" i="1"/>
  <c r="DX661" i="1"/>
  <c r="DX664" i="1"/>
  <c r="DX501" i="1"/>
  <c r="DX504" i="1"/>
  <c r="DX502" i="1"/>
  <c r="DX483" i="1"/>
  <c r="DX356" i="1"/>
  <c r="DX200" i="1"/>
  <c r="DX114" i="1"/>
  <c r="DX54" i="1"/>
  <c r="DX603" i="1"/>
  <c r="DX50" i="1"/>
  <c r="DX115" i="1"/>
  <c r="DX4" i="1"/>
  <c r="DX378" i="1"/>
  <c r="DX3" i="1"/>
  <c r="DX367" i="1"/>
  <c r="DX51" i="1"/>
  <c r="DX448" i="1"/>
  <c r="DX308" i="1"/>
  <c r="DX395" i="1"/>
  <c r="DX91" i="1"/>
  <c r="DX704" i="1"/>
  <c r="DX706" i="1"/>
  <c r="DX259" i="1"/>
  <c r="DX527" i="1"/>
  <c r="DX23" i="1"/>
  <c r="DX526" i="1"/>
  <c r="DX525" i="1"/>
  <c r="DX26" i="1"/>
  <c r="DX20" i="1"/>
  <c r="DX96" i="1"/>
  <c r="DX544" i="1"/>
  <c r="DX642" i="1"/>
  <c r="DX523" i="1"/>
  <c r="DX524" i="1"/>
  <c r="DX88" i="1"/>
  <c r="DX177" i="1"/>
  <c r="DX301" i="1"/>
  <c r="DX300" i="1"/>
  <c r="DX298" i="1"/>
  <c r="DX297" i="1"/>
  <c r="DX293" i="1"/>
  <c r="DX299" i="1"/>
  <c r="DX599" i="1"/>
  <c r="DX219" i="1"/>
  <c r="DX474" i="1"/>
  <c r="DX101" i="1"/>
  <c r="DX222" i="1"/>
  <c r="DX220" i="1"/>
  <c r="DX147" i="1"/>
  <c r="DX494" i="1"/>
  <c r="DX495" i="1"/>
  <c r="DX660" i="1"/>
  <c r="DX40" i="1"/>
  <c r="DX105" i="1"/>
  <c r="DX188" i="1"/>
  <c r="DX221" i="1"/>
  <c r="DX325" i="1"/>
  <c r="DX692" i="1"/>
  <c r="DX691" i="1"/>
  <c r="DX46" i="1"/>
  <c r="DX179" i="1"/>
  <c r="DX207" i="1"/>
  <c r="DX670" i="1"/>
  <c r="DX669" i="1"/>
  <c r="DX64" i="1"/>
  <c r="DX542" i="1"/>
  <c r="DX167" i="1"/>
  <c r="DX62" i="1"/>
  <c r="DX256" i="1"/>
  <c r="DX541" i="1"/>
  <c r="DX584" i="1"/>
  <c r="DX303" i="1"/>
  <c r="DX113" i="1"/>
  <c r="DX306" i="1"/>
  <c r="DX150" i="1"/>
  <c r="DX153" i="1"/>
  <c r="DX583" i="1"/>
  <c r="DX585" i="1"/>
  <c r="DX304" i="1"/>
  <c r="DX151" i="1"/>
  <c r="DX152" i="1"/>
  <c r="DX305" i="1"/>
  <c r="DX581" i="1"/>
  <c r="DX149" i="1"/>
  <c r="DX582" i="1"/>
  <c r="DX672" i="1"/>
  <c r="DX260" i="1"/>
  <c r="DX491" i="1"/>
  <c r="DX490" i="1"/>
  <c r="DX493" i="1"/>
  <c r="DX173" i="1"/>
  <c r="DX19" i="1"/>
  <c r="DX228" i="1"/>
  <c r="DX18" i="1"/>
  <c r="DX170" i="1"/>
  <c r="DX492" i="1"/>
  <c r="DX227" i="1"/>
  <c r="DX172" i="1"/>
  <c r="DX171" i="1"/>
  <c r="DX428" i="1"/>
  <c r="DX430" i="1"/>
  <c r="DX429" i="1"/>
  <c r="DX426" i="1"/>
  <c r="DX427" i="1"/>
  <c r="DX717" i="1"/>
  <c r="DX162" i="1"/>
  <c r="DX619" i="1"/>
  <c r="DX84" i="1"/>
  <c r="DX156" i="1"/>
  <c r="DX29" i="1"/>
  <c r="DX285" i="1"/>
  <c r="DX416" i="1"/>
  <c r="DX83" i="1"/>
  <c r="DX86" i="1"/>
  <c r="DX87" i="1"/>
  <c r="DX32" i="1"/>
  <c r="DX284" i="1"/>
  <c r="DX358" i="1"/>
  <c r="DX359" i="1"/>
  <c r="DX366" i="1"/>
  <c r="DX357" i="1"/>
  <c r="DX365" i="1"/>
  <c r="DX668" i="1"/>
  <c r="DX61" i="1"/>
  <c r="DX414" i="1"/>
  <c r="DX413" i="1"/>
  <c r="DX403" i="1"/>
  <c r="DX589" i="1"/>
  <c r="DX402" i="1"/>
  <c r="DX590" i="1"/>
  <c r="DX404" i="1"/>
  <c r="DX92" i="1"/>
  <c r="DX290" i="1"/>
  <c r="DX144" i="1"/>
  <c r="DX289" i="1"/>
  <c r="DX90" i="1"/>
  <c r="DX623" i="1"/>
  <c r="DX621" i="1"/>
  <c r="DX434" i="1"/>
  <c r="DX93" i="1"/>
  <c r="DX89" i="1"/>
  <c r="DX42" i="1"/>
  <c r="DX66" i="1"/>
  <c r="DX453" i="1"/>
  <c r="DX104" i="1"/>
  <c r="DX422" i="1"/>
  <c r="DX327" i="1"/>
  <c r="DX466" i="1"/>
  <c r="DX450" i="1"/>
  <c r="DX383" i="1"/>
  <c r="DX382" i="1"/>
  <c r="DX379" i="1"/>
  <c r="DX380" i="1"/>
  <c r="DX381" i="1"/>
  <c r="DX651" i="1"/>
  <c r="DX465" i="1"/>
  <c r="DX652" i="1"/>
  <c r="DX377" i="1"/>
  <c r="DX449" i="1"/>
  <c r="DX650" i="1"/>
  <c r="DX445" i="1"/>
  <c r="DX49" i="1"/>
  <c r="DX65" i="1"/>
  <c r="DX446" i="1"/>
  <c r="DX639" i="1"/>
  <c r="DX142" i="1"/>
  <c r="DX275" i="1"/>
  <c r="DX63" i="1"/>
  <c r="DX175" i="1"/>
  <c r="DX484" i="1"/>
  <c r="DX174" i="1"/>
  <c r="DX486" i="1"/>
  <c r="DX373" i="1"/>
  <c r="DX372" i="1"/>
  <c r="DX630" i="1"/>
  <c r="DX361" i="1"/>
  <c r="DX363" i="1"/>
  <c r="DX638" i="1"/>
  <c r="DX360" i="1"/>
  <c r="DX362" i="1"/>
  <c r="DX634" i="1"/>
  <c r="DX631" i="1"/>
  <c r="DX364" i="1"/>
  <c r="DX632" i="1"/>
  <c r="DX635" i="1"/>
  <c r="DX633" i="1"/>
  <c r="DX53" i="1"/>
  <c r="DX560" i="1"/>
  <c r="DX244" i="1"/>
  <c r="DX577" i="1"/>
  <c r="DX243" i="1"/>
  <c r="DX81" i="1"/>
  <c r="DX15" i="1"/>
  <c r="DX17" i="1"/>
  <c r="DX195" i="1"/>
  <c r="DX69" i="1"/>
  <c r="DX16" i="1"/>
  <c r="DX394" i="1"/>
  <c r="DX196" i="1"/>
  <c r="DX397" i="1"/>
  <c r="DX396" i="1"/>
  <c r="DX5" i="1"/>
  <c r="DX536" i="1"/>
  <c r="DX616" i="1"/>
  <c r="DX537" i="1"/>
  <c r="DX302" i="1"/>
  <c r="DX133" i="1"/>
  <c r="DX134" i="1"/>
  <c r="DX618" i="1"/>
  <c r="DX237" i="1"/>
  <c r="DX617" i="1"/>
  <c r="DX411" i="1"/>
  <c r="DX138" i="1"/>
  <c r="DX412" i="1"/>
  <c r="DX24" i="1"/>
  <c r="DX406" i="1"/>
  <c r="DX410" i="1"/>
  <c r="DX409" i="1"/>
  <c r="DX408" i="1"/>
  <c r="DX25" i="1"/>
  <c r="DX137" i="1"/>
  <c r="DX405" i="1"/>
  <c r="DX407" i="1"/>
  <c r="DX461" i="1"/>
  <c r="DX460" i="1"/>
  <c r="DX458" i="1"/>
  <c r="DX459" i="1"/>
  <c r="DX462" i="1"/>
  <c r="DX319" i="1"/>
  <c r="DX481" i="1"/>
  <c r="DX320" i="1"/>
  <c r="DX204" i="1"/>
  <c r="DX480" i="1"/>
  <c r="DX274" i="1"/>
  <c r="DX593" i="1"/>
  <c r="DX187" i="1"/>
  <c r="DX329" i="1"/>
  <c r="DX330" i="1"/>
  <c r="DX331" i="1"/>
  <c r="DX34" i="1"/>
  <c r="DX579" i="1"/>
  <c r="DX176" i="1"/>
  <c r="DX454" i="1"/>
  <c r="DX648" i="1"/>
  <c r="DX375" i="1"/>
  <c r="DX374" i="1"/>
  <c r="DX455" i="1"/>
  <c r="DX578" i="1"/>
  <c r="DX116" i="1"/>
  <c r="DX33" i="1"/>
  <c r="DX610" i="1"/>
  <c r="DX441" i="1"/>
  <c r="DX591" i="1"/>
  <c r="DX439" i="1"/>
  <c r="DX440" i="1"/>
  <c r="DX488" i="1"/>
  <c r="DX487" i="1"/>
  <c r="DX614" i="1"/>
  <c r="DX85" i="1"/>
  <c r="DX205" i="1"/>
  <c r="DX82" i="1"/>
  <c r="DX178" i="1"/>
  <c r="DX209" i="1"/>
  <c r="DX644" i="1"/>
  <c r="DX643" i="1"/>
  <c r="DX208" i="1"/>
  <c r="DX11" i="1"/>
  <c r="DX210" i="1"/>
  <c r="DX288" i="1"/>
  <c r="DX432" i="1"/>
  <c r="DX559" i="1"/>
  <c r="DX433" i="1"/>
  <c r="DX431" i="1"/>
  <c r="DX287" i="1"/>
  <c r="DX710" i="1"/>
  <c r="DX48" i="1"/>
  <c r="DX141" i="1"/>
  <c r="DX548" i="1"/>
  <c r="DX312" i="1"/>
  <c r="DX309" i="1"/>
  <c r="DX313" i="1"/>
  <c r="DX311" i="1"/>
  <c r="DX307" i="1"/>
  <c r="DX353" i="1"/>
  <c r="DX354" i="1"/>
  <c r="DX355" i="1"/>
  <c r="DX43" i="1"/>
  <c r="DX468" i="1"/>
  <c r="DX59" i="1"/>
  <c r="DX199" i="1"/>
  <c r="DX665" i="1"/>
  <c r="DX9" i="1"/>
  <c r="DX659" i="1"/>
  <c r="DX489" i="1"/>
  <c r="DX264" i="1"/>
  <c r="DX265" i="1"/>
  <c r="DX613" i="1"/>
  <c r="DX612" i="1"/>
  <c r="DX76" i="1"/>
  <c r="DX611" i="1"/>
  <c r="DX262" i="1"/>
  <c r="DX421" i="1"/>
  <c r="DX263" i="1"/>
  <c r="DX261" i="1"/>
  <c r="DX58" i="1"/>
  <c r="DX662" i="1"/>
  <c r="DX110" i="1"/>
  <c r="DX333" i="1"/>
  <c r="DX111" i="1"/>
  <c r="DX476" i="1"/>
  <c r="DX2" i="1"/>
  <c r="DX477" i="1"/>
  <c r="DX198" i="1"/>
  <c r="DX197" i="1"/>
  <c r="DX12" i="1"/>
  <c r="DX640" i="1"/>
  <c r="DX57" i="1"/>
  <c r="DX334" i="1"/>
  <c r="DX663" i="1"/>
  <c r="DX641" i="1"/>
  <c r="DX384" i="1"/>
  <c r="DX217" i="1"/>
  <c r="DX385" i="1"/>
  <c r="DX125" i="1"/>
  <c r="DX67" i="1"/>
  <c r="DX68" i="1"/>
  <c r="DX124" i="1"/>
  <c r="DX512" i="1"/>
  <c r="DX513" i="1"/>
  <c r="DX555" i="1"/>
  <c r="DX556" i="1"/>
  <c r="DX552" i="1"/>
  <c r="DX234" i="1"/>
  <c r="DX558" i="1"/>
  <c r="DX550" i="1"/>
  <c r="DX553" i="1"/>
  <c r="DX233" i="1"/>
  <c r="DX554" i="1"/>
  <c r="DX235" i="1"/>
  <c r="DX551" i="1"/>
  <c r="DX557" i="1"/>
  <c r="DX388" i="1"/>
  <c r="DX390" i="1"/>
  <c r="DX387" i="1"/>
  <c r="DX389" i="1"/>
  <c r="DX386" i="1"/>
  <c r="DX674" i="1"/>
  <c r="DX675" i="1"/>
  <c r="DX528" i="1"/>
  <c r="DX164" i="1"/>
  <c r="DX165" i="1"/>
  <c r="DX530" i="1"/>
  <c r="DX529" i="1"/>
  <c r="DX531" i="1"/>
  <c r="DX166" i="1"/>
  <c r="DX163" i="1"/>
  <c r="DX103" i="1"/>
  <c r="DX168" i="1"/>
  <c r="DX475" i="1"/>
  <c r="DX588" i="1"/>
  <c r="DX102" i="1"/>
  <c r="DX332" i="1"/>
</calcChain>
</file>

<file path=xl/sharedStrings.xml><?xml version="1.0" encoding="utf-8"?>
<sst xmlns="http://schemas.openxmlformats.org/spreadsheetml/2006/main" count="7461" uniqueCount="2577">
  <si>
    <t>Id</t>
  </si>
  <si>
    <t>Hora de início</t>
  </si>
  <si>
    <t>Hora de conclusão</t>
  </si>
  <si>
    <t>Email</t>
  </si>
  <si>
    <t>Nome</t>
  </si>
  <si>
    <t>Total de pontos</t>
  </si>
  <si>
    <t>Comentários do teste</t>
  </si>
  <si>
    <t>Hora de postagem da nota</t>
  </si>
  <si>
    <t>Selecione seu Polo Laboratório de Atividades Presenciais:</t>
  </si>
  <si>
    <t>Pontos – Selecione seu Polo Laboratório de Atividades Presenciais:</t>
  </si>
  <si>
    <t>Comentários – Selecione seu Polo Laboratório de Atividades Presenciais:</t>
  </si>
  <si>
    <t>Selecione a Ordem de Disciplina</t>
  </si>
  <si>
    <t>Pontos – Selecione a Ordem de Disciplina</t>
  </si>
  <si>
    <t>Comentários – Selecione a Ordem de Disciplina</t>
  </si>
  <si>
    <t>Selecione a Categoria do Laboratório desta atividade prática:</t>
  </si>
  <si>
    <t>Pontos – Selecione a Categoria do Laboratório desta atividade prática:</t>
  </si>
  <si>
    <t>Comentários – Selecione a Categoria do Laboratório desta atividade prática:</t>
  </si>
  <si>
    <t>Selecione quais Protocolos de Atividades Práticas foram realizados no laboratório:</t>
  </si>
  <si>
    <t>Pontos – Selecione quais Protocolos de Atividades Práticas foram realizados no laboratório:</t>
  </si>
  <si>
    <t>Comentários – Selecione quais Protocolos de Atividades Práticas foram realizados no laboratório:</t>
  </si>
  <si>
    <t>Data da aplicação do Protocolo de Prática:</t>
  </si>
  <si>
    <t>Pontos – Data da aplicação do Protocolo de Prática:</t>
  </si>
  <si>
    <t>Comentários – Data da aplicação do Protocolo de Prática:</t>
  </si>
  <si>
    <t>Quantos Estudantes presentes neste Experimento?</t>
  </si>
  <si>
    <t>Pontos – Quantos Estudantes presentes neste Experimento?</t>
  </si>
  <si>
    <t>Comentários – Quantos Estudantes presentes neste Experimento?</t>
  </si>
  <si>
    <t>Envio da Lista de Presença:</t>
  </si>
  <si>
    <t>Pontos – Envio da Lista de Presença:</t>
  </si>
  <si>
    <t>Comentários – Envio da Lista de Presença:</t>
  </si>
  <si>
    <t>Envio do Portfólio em PDF:</t>
  </si>
  <si>
    <t>Pontos – Envio do Portfólio em PDF:</t>
  </si>
  <si>
    <t>Comentários – Envio do Portfólio em PDF:</t>
  </si>
  <si>
    <t>Selecione quais Protocolos de Atividades Práticas foram realizados no laboratório:1</t>
  </si>
  <si>
    <t>Pontos – Selecione quais Protocolos de Atividades Práticas foram realizados no laboratório:1</t>
  </si>
  <si>
    <t>Comentários – Selecione quais Protocolos de Atividades Práticas foram realizados no laboratório:1</t>
  </si>
  <si>
    <t>Data da aplicação do Protocolo de Prática:1</t>
  </si>
  <si>
    <t>Pontos – Data da aplicação do Protocolo de Prática:1</t>
  </si>
  <si>
    <t>Comentários – Data da aplicação do Protocolo de Prática:1</t>
  </si>
  <si>
    <t>Quantos Estudantes presentes neste Experimento?1</t>
  </si>
  <si>
    <t>Pontos – Quantos Estudantes presentes neste Experimento?1</t>
  </si>
  <si>
    <t>Comentários – Quantos Estudantes presentes neste Experimento?1</t>
  </si>
  <si>
    <t>Envio da Lista de Presença:1</t>
  </si>
  <si>
    <t>Pontos – Envio da Lista de Presença:1</t>
  </si>
  <si>
    <t>Comentários – Envio da Lista de Presença:1</t>
  </si>
  <si>
    <t>Envio do Portfólio em PDF:1</t>
  </si>
  <si>
    <t>Pontos – Envio do Portfólio em PDF:1</t>
  </si>
  <si>
    <t>Comentários – Envio do Portfólio em PDF:1</t>
  </si>
  <si>
    <t>Selecione quais Protocolos de Atividades Práticas foram realizados no laboratório:2</t>
  </si>
  <si>
    <t>Pontos – Selecione quais Protocolos de Atividades Práticas foram realizados no laboratório:2</t>
  </si>
  <si>
    <t>Comentários – Selecione quais Protocolos de Atividades Práticas foram realizados no laboratório:2</t>
  </si>
  <si>
    <t>Data da aplicação do Protocolo de Prática:2</t>
  </si>
  <si>
    <t>Pontos – Data da aplicação do Protocolo de Prática:2</t>
  </si>
  <si>
    <t>Comentários – Data da aplicação do Protocolo de Prática:2</t>
  </si>
  <si>
    <t>Quantos Estudantes presentes neste Experimento?2</t>
  </si>
  <si>
    <t>Pontos – Quantos Estudantes presentes neste Experimento?2</t>
  </si>
  <si>
    <t>Comentários – Quantos Estudantes presentes neste Experimento?2</t>
  </si>
  <si>
    <t>Envio da Lista de Presença:2</t>
  </si>
  <si>
    <t>Pontos – Envio da Lista de Presença:2</t>
  </si>
  <si>
    <t>Comentários – Envio da Lista de Presença:2</t>
  </si>
  <si>
    <t>Envio do Portfólio em PDF:2</t>
  </si>
  <si>
    <t>Pontos – Envio do Portfólio em PDF:2</t>
  </si>
  <si>
    <t>Comentários – Envio do Portfólio em PDF:2</t>
  </si>
  <si>
    <t>Selecione quais Protocolos de Atividades Práticas foram realizados no laboratório:3</t>
  </si>
  <si>
    <t>Pontos – Selecione quais Protocolos de Atividades Práticas foram realizados no laboratório:3</t>
  </si>
  <si>
    <t>Comentários – Selecione quais Protocolos de Atividades Práticas foram realizados no laboratório:3</t>
  </si>
  <si>
    <t>Data da aplicação do Protocolo de Prática:3</t>
  </si>
  <si>
    <t>Pontos – Data da aplicação do Protocolo de Prática:3</t>
  </si>
  <si>
    <t>Comentários – Data da aplicação do Protocolo de Prática:3</t>
  </si>
  <si>
    <t>Quantos Estudantes presentes neste Experimento?3</t>
  </si>
  <si>
    <t>Pontos – Quantos Estudantes presentes neste Experimento?3</t>
  </si>
  <si>
    <t>Comentários – Quantos Estudantes presentes neste Experimento?3</t>
  </si>
  <si>
    <t>Envio da Lista de Presença:3</t>
  </si>
  <si>
    <t>Pontos – Envio da Lista de Presença:3</t>
  </si>
  <si>
    <t>Comentários – Envio da Lista de Presença:3</t>
  </si>
  <si>
    <t>Envio do Portfólio em PDF:3</t>
  </si>
  <si>
    <t>Pontos – Envio do Portfólio em PDF:3</t>
  </si>
  <si>
    <t>Comentários – Envio do Portfólio em PDF:3</t>
  </si>
  <si>
    <t>Selecione quais Protocolos de Atividades Práticas foram realizados no laboratório:4</t>
  </si>
  <si>
    <t>Pontos – Selecione quais Protocolos de Atividades Práticas foram realizados no laboratório:4</t>
  </si>
  <si>
    <t>Comentários – Selecione quais Protocolos de Atividades Práticas foram realizados no laboratório:4</t>
  </si>
  <si>
    <t>Data da aplicação do Protocolo de Prática:4</t>
  </si>
  <si>
    <t>Pontos – Data da aplicação do Protocolo de Prática:4</t>
  </si>
  <si>
    <t>Comentários – Data da aplicação do Protocolo de Prática:4</t>
  </si>
  <si>
    <t>Quantos Estudantes presentes neste Experimento?4</t>
  </si>
  <si>
    <t>Pontos – Quantos Estudantes presentes neste Experimento?4</t>
  </si>
  <si>
    <t>Comentários – Quantos Estudantes presentes neste Experimento?4</t>
  </si>
  <si>
    <t>Envio da Lista de Presença:4</t>
  </si>
  <si>
    <t>Pontos – Envio da Lista de Presença:4</t>
  </si>
  <si>
    <t>Comentários – Envio da Lista de Presença:4</t>
  </si>
  <si>
    <t>Envio do Portfólio em PDF:4</t>
  </si>
  <si>
    <t>Pontos – Envio do Portfólio em PDF:4</t>
  </si>
  <si>
    <t>Comentários – Envio do Portfólio em PDF:4</t>
  </si>
  <si>
    <t>Selecione quais Protocolos de Atividades Práticas foram realizados no laboratório:5</t>
  </si>
  <si>
    <t>Pontos – Selecione quais Protocolos de Atividades Práticas foram realizados no laboratório:5</t>
  </si>
  <si>
    <t>Comentários – Selecione quais Protocolos de Atividades Práticas foram realizados no laboratório:5</t>
  </si>
  <si>
    <t>Data da aplicação do Protocolo de Prática:5</t>
  </si>
  <si>
    <t>Pontos – Data da aplicação do Protocolo de Prática:5</t>
  </si>
  <si>
    <t>Comentários – Data da aplicação do Protocolo de Prática:5</t>
  </si>
  <si>
    <t>Quantos Estudantes presentes neste Experimento?5</t>
  </si>
  <si>
    <t>Pontos – Quantos Estudantes presentes neste Experimento?5</t>
  </si>
  <si>
    <t>Comentários – Quantos Estudantes presentes neste Experimento?5</t>
  </si>
  <si>
    <t>Envio da Lista de Presença:5</t>
  </si>
  <si>
    <t>Pontos – Envio da Lista de Presença:5</t>
  </si>
  <si>
    <t>Comentários – Envio da Lista de Presença:5</t>
  </si>
  <si>
    <t>Envio do Portfólio em PDF:5</t>
  </si>
  <si>
    <t>Pontos – Envio do Portfólio em PDF:5</t>
  </si>
  <si>
    <t>Comentários – Envio do Portfólio em PDF:5</t>
  </si>
  <si>
    <t>Selecione quais Protocolos de Atividades Práticas foram realizados no laboratório:6</t>
  </si>
  <si>
    <t>Pontos – Selecione quais Protocolos de Atividades Práticas foram realizados no laboratório:6</t>
  </si>
  <si>
    <t>Comentários – Selecione quais Protocolos de Atividades Práticas foram realizados no laboratório:6</t>
  </si>
  <si>
    <t>Data da aplicação do Protocolo de Prática:6</t>
  </si>
  <si>
    <t>Pontos – Data da aplicação do Protocolo de Prática:6</t>
  </si>
  <si>
    <t>Comentários – Data da aplicação do Protocolo de Prática:6</t>
  </si>
  <si>
    <t>Quantos Estudantes presentes neste Experimento?6</t>
  </si>
  <si>
    <t>Pontos – Quantos Estudantes presentes neste Experimento?6</t>
  </si>
  <si>
    <t>Comentários – Quantos Estudantes presentes neste Experimento?6</t>
  </si>
  <si>
    <t>Envio da Lista de Presença:6</t>
  </si>
  <si>
    <t>Pontos – Envio da Lista de Presença:6</t>
  </si>
  <si>
    <t>Comentários – Envio da Lista de Presença:6</t>
  </si>
  <si>
    <t>Envio do Portfólio em PDF:6</t>
  </si>
  <si>
    <t>Pontos – Envio do Portfólio em PDF:6</t>
  </si>
  <si>
    <t>Comentários – Envio do Portfólio em PDF:6</t>
  </si>
  <si>
    <t>CHAVE CONVERSÃO</t>
  </si>
  <si>
    <t>CHAVE LINK POLO</t>
  </si>
  <si>
    <t>Selecione quais Protocolos de Atividades Práticas foram realizados no laboratório:7</t>
  </si>
  <si>
    <t>Data da aplicação do Protocolo de Prática:7</t>
  </si>
  <si>
    <t>Quantos Estudantes presentes neste Experimento?72</t>
  </si>
  <si>
    <t>Nome do tutor</t>
  </si>
  <si>
    <t>Ordem da prática</t>
  </si>
  <si>
    <t>lucas.medeiros@tutorpratica.uniasselvi.com.br</t>
  </si>
  <si>
    <t>Lucas Medeiros</t>
  </si>
  <si>
    <t>Guarujá/SP</t>
  </si>
  <si>
    <t>Ordem 1</t>
  </si>
  <si>
    <t>Multidisciplinar III - Biomedicina Estética, Fisioterapia, Terapia Ocupacional e Estética e Cosmética</t>
  </si>
  <si>
    <t>Massagem Geral Terapêutica: Técnicas e Aplicações em Recursos Manuais</t>
  </si>
  <si>
    <t>https://uniasselvi01-my.sharepoint.com/personal/elienai_cesar_uniasselvi_com_br1/Documents/Aplicativos/Microsoft%20Forms/Question%C3%A1rio%20sem%20t%C3%ADtulo/Envio%20da%20Lista%20de%20Presen%C3%A7a%201/IMG_0809_Lucas%20Medeiros.PNG</t>
  </si>
  <si>
    <t>https://uniasselvi01-my.sharepoint.com/personal/elienai_cesar_uniasselvi_com_br1/Documents/Aplicativos/Microsoft%20Forms/Question%C3%A1rio%20sem%20t%C3%ADtulo/Envio%20do%20Portf%C3%B3lio%20em%20PDF%201/massagem%201_Lucas%20Medeiros.pdf</t>
  </si>
  <si>
    <t>gabriela.santos@tutorpratica.uniasselvi.com.br</t>
  </si>
  <si>
    <t>Gabriela Santos</t>
  </si>
  <si>
    <t>Chapecó/SC - Centro</t>
  </si>
  <si>
    <t>EngeMaker | Química e Física - Engenharias e Licenciaturas</t>
  </si>
  <si>
    <t>ENGMAKER - Medição da resistência elétrica</t>
  </si>
  <si>
    <t>https://uniasselvi01-my.sharepoint.com/personal/elienai_cesar_uniasselvi_com_br1/Documents/Aplicativos/Microsoft%20Forms/Question%C3%A1rio%20sem%20t%C3%ADtulo/Envio%20da%20Lista%20de%20Presen%C3%A7a%203/MODELO_Lista%20de%20Presen%C3%A7a%20das%20Pr%C3%A1ticas_Gabriela%20Santos.pdf</t>
  </si>
  <si>
    <t>https://uniasselvi01-my.sharepoint.com/personal/elienai_cesar_uniasselvi_com_br1/Documents/Aplicativos/Microsoft%20Forms/Question%C3%A1rio%20sem%20t%C3%ADtulo/Envio%20do%20Portf%C3%B3lio%20em%20PDF%203/Portf%C3%B3lio%20pratica%20Medindo%20valores%20de%20resist%C3%AAn_Gabriela%20Santos.pdf</t>
  </si>
  <si>
    <t>QUÍMICA E FÍSICA - Associação De Resistores Em Série e Paralelo</t>
  </si>
  <si>
    <t>https://uniasselvi01-my.sharepoint.com/personal/elienai_cesar_uniasselvi_com_br1/Documents/Aplicativos/Microsoft%20Forms/Question%C3%A1rio%20sem%20t%C3%ADtulo/Envio%20da%20Lista%20de%20Presen%C3%A7a%203/MODELO_Lista%20de%20Presen%C3%A7a%20das%20Pr%C3%A1ticas_Gabriela%20Santos%201.pdf</t>
  </si>
  <si>
    <t>https://uniasselvi01-my.sharepoint.com/personal/elienai_cesar_uniasselvi_com_br1/Documents/Aplicativos/Microsoft%20Forms/Question%C3%A1rio%20sem%20t%C3%ADtulo/Envio%20do%20Portf%C3%B3lio%20em%20PDF%203/Associa%C3%A7%C3%A3o%20De%20Resistores%20Em%20S%C3%A9rie%20e%20Paralelo_Gabriela%20Santos.pdf</t>
  </si>
  <si>
    <t>paulo.silva@tutorpratica.uniasselvi.com.br</t>
  </si>
  <si>
    <t>Paulo Silva</t>
  </si>
  <si>
    <t>Itajaí/SC - São Vicente</t>
  </si>
  <si>
    <t>Pontos cardeais</t>
  </si>
  <si>
    <t>https://uniasselvi01-my.sharepoint.com/personal/elienai_cesar_uniasselvi_com_br1/Documents/Aplicativos/Microsoft%20Forms/Question%C3%A1rio%20sem%20t%C3%ADtulo/Envio%20da%20Lista%20de%20Presen%C3%A7a%201/CamScanner%2020-02-2026%2010.06_Paulo%20Silva.pdf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</si>
  <si>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-mes_Paulo%20Silva.pdf</t>
  </si>
  <si>
    <t>juliana.berger@tutorpratica.uniasselvi.com.br</t>
  </si>
  <si>
    <t>Juliana Berger</t>
  </si>
  <si>
    <t>Novo Hamburgo/RS - Centro</t>
  </si>
  <si>
    <t>Multidisciplinar IV - Nutrição</t>
  </si>
  <si>
    <t>Avaliação nutricional de gestante I: Antropometria</t>
  </si>
  <si>
    <t>https://uniasselvi01-my.sharepoint.com/personal/elienai_cesar_uniasselvi_com_br1/Documents/Aplicativos/Microsoft%20Forms/Question%C3%A1rio%20sem%20t%C3%ADtulo/Envio%20da%20Lista%20de%20Presen%C3%A7a%202/WhatsApp%20Image%202026-02-20%20at%2011.06.32_Juliana%20Berger.jpeg; https://uniasselvi01-my.sharepoint.com/personal/elienai_cesar_uniasselvi_com_br1/Documents/Aplicativos/Microsoft%20Forms/Question%C3%A1rio%20sem%20t%C3%ADtulo/Envio%20da%20Lista%20de%20Presen%C3%A7a%202/WhatsApp%20Image%202026-02-20%20at%2011.06.31_Juliana%20Berger.jpeg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</si>
  <si>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_avalia%C3%A7%C3%A3o%20n_Juliana%20Berger.pdf</t>
  </si>
  <si>
    <t>laura.volpato@tutorpratica.uniasselvi.com.br</t>
  </si>
  <si>
    <t>Laura Volpato</t>
  </si>
  <si>
    <t>Florianópolis/SC - Centro</t>
  </si>
  <si>
    <t>https://uniasselvi01-my.sharepoint.com/personal/elienai_cesar_uniasselvi_com_br1/Documents/Aplicativos/Microsoft%20Forms/Question%C3%A1rio%20sem%20t%C3%ADtulo/Envio%20da%20Lista%20de%20Presen%C3%A7a%202/IMG_20260219_193949_Laura%20Volpato.jpg</t>
  </si>
  <si>
    <t>https://uniasselvi01-my.sharepoint.com/personal/elienai_cesar_uniasselvi_com_br1/Documents/Aplicativos/Microsoft%20Forms/Question%C3%A1rio%20sem%20t%C3%ADtulo/Envio%20do%20Portf%C3%B3lio%20em%20PDF%202/1%20Portf%C3%B3lio%20das%20Atividades%20Pr%C3%A1ticas.docx%20(1)_Laura%20Volpato.pdf</t>
  </si>
  <si>
    <t>Avaliação nutricional de gestante II: Anamnese e diagnóstico</t>
  </si>
  <si>
    <t>https://uniasselvi01-my.sharepoint.com/personal/elienai_cesar_uniasselvi_com_br1/Documents/Aplicativos/Microsoft%20Forms/Question%C3%A1rio%20sem%20t%C3%ADtulo/Envio%20da%20Lista%20de%20Presen%C3%A7a%202/IMG_20260219_203429_Laura%20Volpato.jpg</t>
  </si>
  <si>
    <t>https://uniasselvi01-my.sharepoint.com/personal/elienai_cesar_uniasselvi_com_br1/Documents/Aplicativos/Microsoft%20Forms/Question%C3%A1rio%20sem%20t%C3%ADtulo/Envio%20do%20Portf%C3%B3lio%20em%20PDF%202/2%20Portf%C3%B3lio%20das%20Atividades%20Pr%C3%A1ticas.docx_Laura%20Volpato.pdf</t>
  </si>
  <si>
    <t>vanessa.varjao@tutorpratica.uniasselvi.com.br</t>
  </si>
  <si>
    <t>Vanessa Varjao</t>
  </si>
  <si>
    <t>Paulo Afonso/BA - Tancredo Neves II</t>
  </si>
  <si>
    <t>Prática Terapêutica com Órteses: Abordagens Funcionais na Reabilitação Musculoesquelética;Fisioterapia com Próteses: Reabilitação Funcional e Adaptação ao Uso de Próteses</t>
  </si>
  <si>
    <t>https://uniasselvi01-my.sharepoint.com/personal/elienai_cesar_uniasselvi_com_br1/_layouts/15/Doc.aspx?sourcedoc=%7BBCA3181A-6644-47B4-8DFE-8DCE796C7622%7D&amp;file=Lista%20de%20presen%C3%A7a%20Fevereiro_Vanessa%20Varjao.docx&amp;action=default&amp;mobileredirect=true</t>
  </si>
  <si>
    <t>https://uniasselvi01-my.sharepoint.com/personal/elienai_cesar_uniasselvi_com_br1/_layouts/15/Doc.aspx?sourcedoc=%7BCC3E2066-442C-4F51-8FC1-FC5805E7E738%7D&amp;file=Portf%C3%B3lio%20Fevereiro_Vanessa%20Varjao.docx&amp;action=default&amp;mobileredirect=true</t>
  </si>
  <si>
    <t>marla.souza@tutorpratica.uniasselvi.com.br</t>
  </si>
  <si>
    <t>Marla Souza</t>
  </si>
  <si>
    <t>Catalão/GO</t>
  </si>
  <si>
    <t>Química e Física - Agronomia</t>
  </si>
  <si>
    <t>Técnicas de propagação de plantas</t>
  </si>
  <si>
    <t>https://uniasselvi01-my.sharepoint.com/personal/elienai_cesar_uniasselvi_com_br1/Documents/Aplicativos/Microsoft%20Forms/Question%C3%A1rio%20sem%20t%C3%ADtulo/Envio%20da%20Lista%20de%20Presen%C3%A7a%205/Lista%20de%20Presen%C3%A7a_Marla%20Souza.pdf</t>
  </si>
  <si>
    <t>https://uniasselvi01-my.sharepoint.com/personal/elienai_cesar_uniasselvi_com_br1/Documents/Aplicativos/Microsoft%20Forms/Question%C3%A1rio%20sem%20t%C3%ADtulo/Envio%20do%20Portf%C3%B3lio%20em%20PDF%205/Aula%20Pratica%20-%20Entomologia%20Agricola_Marla%20Souza.pdf</t>
  </si>
  <si>
    <t>maksllene.cavalcanti@tutorpratica.uniasselvi.com.br</t>
  </si>
  <si>
    <t>Maksllene Spessatto</t>
  </si>
  <si>
    <t>Herval D'Oeste/SC</t>
  </si>
  <si>
    <t>Multidisciplinar II - Enfermagem e Instrumentação Cirúrgica</t>
  </si>
  <si>
    <t>Administração  de medicamento por Cateter Venoso Central + Monitorização hemodinâmica  do paciente</t>
  </si>
  <si>
    <t>https://uniasselvi01-my.sharepoint.com/personal/elienai_cesar_uniasselvi_com_br1/Documents/Aplicativos/Microsoft%20Forms/Question%C3%A1rio%20sem%20t%C3%ADtulo/Envio%20da%20Lista%20de%20Presen%C3%A7a/e780b836-baca-4cb8-8844-3647738bfd0d.pdf_Maksllene%20Spessatto.pdf</t>
  </si>
  <si>
    <t>https://uniasselvi01-my.sharepoint.com/personal/elienai_cesar_uniasselvi_com_br1/Documents/Aplicativos/Microsoft%20Forms/Question%C3%A1rio%20sem%20t%C3%ADtulo/Envio%20do%20Portf%C3%B3lio%20em%20PDF/Portfolio%20(2)_Maksllene%20Spessatto.pdf; https://uniasselvi01-my.sharepoint.com/personal/elienai_cesar_uniasselvi_com_br1/Documents/Aplicativos/Microsoft%20Forms/Question%C3%A1rio%20sem%20t%C3%ADtulo/Envio%20do%20Portf%C3%B3lio%20em%20PDF/Portfolio%20(2)%202_Maksllene%20Spessatto.pdf</t>
  </si>
  <si>
    <t>Drenagem Linfática</t>
  </si>
  <si>
    <t>https://uniasselvi01-my.sharepoint.com/personal/elienai_cesar_uniasselvi_com_br1/Documents/Aplicativos/Microsoft%20Forms/Question%C3%A1rio%20sem%20t%C3%ADtulo/Envio%20da%20Lista%20de%20Presen%C3%A7a%201/IMG_0808_Lucas%20Medeiros.PNG</t>
  </si>
  <si>
    <t>https://uniasselvi01-my.sharepoint.com/personal/elienai_cesar_uniasselvi_com_br1/Documents/Aplicativos/Microsoft%20Forms/Question%C3%A1rio%20sem%20t%C3%ADtulo/Envio%20do%20Portf%C3%B3lio%20em%20PDF%201/massagem%202_Lucas%20Medeiros.pdf</t>
  </si>
  <si>
    <t>alina.silva@regentedepolo.uniasselvi.com.br</t>
  </si>
  <si>
    <t>Alina Silva</t>
  </si>
  <si>
    <t>Ananindeua/PA - Cidade Nova</t>
  </si>
  <si>
    <t>Trabalho de parto natural + Emergências obstétricas</t>
  </si>
  <si>
    <t>https://uniasselvi01-my.sharepoint.com/personal/elienai_cesar_uniasselvi_com_br1/Documents/Aplicativos/Microsoft%20Forms/Question%C3%A1rio%20sem%20t%C3%ADtulo/Envio%20da%20Lista%20de%20Presen%C3%A7a/Freque%CC%82ncia%20dia%2021-02_Alina%20Silva.pdf</t>
  </si>
  <si>
    <t>https://uniasselvi01-my.sharepoint.com/personal/elienai_cesar_uniasselvi_com_br1/Documents/Aplicativos/Microsoft%20Forms/Question%C3%A1rio%20sem%20t%C3%ADtulo/Envio%20do%20Portf%C3%B3lio%20em%20PDF/Trabalho%20de%20parto%20natural%20+%20Emerg%C3%AAncias%20Obst%C3%A9_Alina%20Silva.pdf</t>
  </si>
  <si>
    <t>vitor.pinheiro@tutorpratica.uniasselvi.com.br</t>
  </si>
  <si>
    <t>Vitor Pinheiro</t>
  </si>
  <si>
    <t>Alagoinhas/BA</t>
  </si>
  <si>
    <t>Métodos de determinação da fertilidade do solo</t>
  </si>
  <si>
    <t>https://uniasselvi01-my.sharepoint.com/personal/elienai_cesar_uniasselvi_com_br1/Documents/Aplicativos/Microsoft%20Forms/Question%C3%A1rio%20sem%20t%C3%ADtulo/Envio%20da%20Lista%20de%20Presen%C3%A7a%205/WhatsApp%20Image%202026-02-21%20at%2011.21.51%20AM_Vitor%20Pinheiro.jpeg</t>
  </si>
  <si>
    <t>https://uniasselvi01-my.sharepoint.com/personal/elienai_cesar_uniasselvi_com_br1/_layouts/15/Doc.aspx?sourcedoc=%7BF12AC8C2-45E5-4775-92E0-C3AB5053814E%7D&amp;file=Portf%C3%B3lio%20das%20Atividades%20Pr%C3%A1ticas%20-%20Fertilida_Vitor%20Pinheiro.docx&amp;action=default&amp;mobileredirect=true</t>
  </si>
  <si>
    <t>quezia.silva@regentedepolo.uniasselvi.com.br</t>
  </si>
  <si>
    <t>Quezia Silva</t>
  </si>
  <si>
    <t>Rolim de Moura/RO</t>
  </si>
  <si>
    <t>Aspiração de vias aéreas (com e sem TOT)</t>
  </si>
  <si>
    <t>https://uniasselvi01-my.sharepoint.com/personal/elienai_cesar_uniasselvi_com_br1/_layouts/15/Doc.aspx?sourcedoc=%7B2DD41765-8283-455F-A963-228BCA33EE95%7D&amp;file=_Lista%20de%20Presen%C3%A7a%20das%20Pr%C3%A1ticas%2019.02.26_Quezia%20Silva.docx&amp;action=default&amp;mobileredirect=true</t>
  </si>
  <si>
    <t>https://uniasselvi01-my.sharepoint.com/personal/elienai_cesar_uniasselvi_com_br1/_layouts/15/Doc.aspx?sourcedoc=%7B78B147B4-AB01-42B2-8EDE-2DF5436F4BD4%7D&amp;file=portifolio%20Quezia%20vias%20aeria%2019.02.26_Quezia%20Silva.docx&amp;action=default&amp;mobileredirect=true</t>
  </si>
  <si>
    <t>https://uniasselvi01-my.sharepoint.com/personal/elienai_cesar_uniasselvi_com_br1/_layouts/15/Doc.aspx?sourcedoc=%7B6D658BFE-3F68-41D2-B88E-E4C66B155B10%7D&amp;file=_Lista%20de%20Presen%C3%A7a%20das%20Pr%C3%A1ticas%2019.02.26_Quezia%20Silva%201.docx&amp;action=default&amp;mobileredirect=true</t>
  </si>
  <si>
    <t>https://uniasselvi01-my.sharepoint.com/personal/elienai_cesar_uniasselvi_com_br1/_layouts/15/Doc.aspx?sourcedoc=%7B3E2A5646-FA86-4540-92BF-E0B24B69AB33%7D&amp;file=Portf%C3%B3lio%20das%20Atividades%20Pr%C3%A1ticas%20hemodin%C3%A2mic_Quezia%20Silva.docx&amp;action=default&amp;mobileredirect=true</t>
  </si>
  <si>
    <t>Administração de medicamento pela via subcutânea + Administração de medicamento pela via oral</t>
  </si>
  <si>
    <t>https://uniasselvi01-my.sharepoint.com/personal/elienai_cesar_uniasselvi_com_br1/_layouts/15/Doc.aspx?sourcedoc=%7B5428E8C1-8277-48EF-9257-1297D7692561%7D&amp;file=_Lista%20de%20Presen%C3%A7a%20das%20Pr%C3%A1ticas%2019.02.26_Quezia%20Silva%202.docx&amp;action=default&amp;mobileredirect=true</t>
  </si>
  <si>
    <t>https://uniasselvi01-my.sharepoint.com/personal/elienai_cesar_uniasselvi_com_br1/_layouts/15/Doc.aspx?sourcedoc=%7BAF353D41-A272-4DA3-B707-E84A15A84D4B%7D&amp;file=portifolio%20cateter%20venoso%20central%20%2019.02.26_Quezia%20Silva.docx&amp;action=default&amp;mobileredirect=true</t>
  </si>
  <si>
    <t>clara.oliveira@tutorpratica.uniasselvi.com.br</t>
  </si>
  <si>
    <t>Clara Oliveira</t>
  </si>
  <si>
    <t>Feira De Santana/BA - Centro</t>
  </si>
  <si>
    <t>https://uniasselvi01-my.sharepoint.com/personal/elienai_cesar_uniasselvi_com_br1/Documents/Aplicativos/Microsoft%20Forms/Question%C3%A1rio%20sem%20t%C3%ADtulo/Envio%20da%20Lista%20de%20Presen%C3%A7a%201/WhatsApp%20Image%202026-02-21%20at%2018.48.18_Clara%20Oliveira.jpeg</t>
  </si>
  <si>
    <t>https://uniasselvi01-my.sharepoint.com/personal/elienai_cesar_uniasselvi_com_br1/_layouts/15/Doc.aspx?sourcedoc=%7BBA2EA71D-DECB-4269-8805-DD51CDE67E0A%7D&amp;file=Portfo%CC%81lio%20das%20Atividades%20Pra%CC%81ticas%2018.02_Clara%20Oliveira.docx&amp;action=default&amp;mobileredirect=true</t>
  </si>
  <si>
    <t>https://uniasselvi01-my.sharepoint.com/personal/elienai_cesar_uniasselvi_com_br1/Documents/Aplicativos/Microsoft%20Forms/Question%C3%A1rio%20sem%20t%C3%ADtulo/Envio%20da%20Lista%20de%20Presen%C3%A7a%201/WhatsApp%20Image%202026-02-21%20at%2018.48.18_Clara%20Oliveira%201.jpeg</t>
  </si>
  <si>
    <t>https://uniasselvi01-my.sharepoint.com/personal/elienai_cesar_uniasselvi_com_br1/_layouts/15/Doc.aspx?sourcedoc=%7B2B7D4AE5-6492-4D98-B0CC-964B0290CE1B%7D&amp;file=Portfo%CC%81lio%20das%20Atividades%20Pra%CC%81ticas%2018.02_Clara%20Oliveira%201.docx&amp;action=default&amp;mobileredirect=true</t>
  </si>
  <si>
    <t>aquiles.andrade@tutorpratica.uniasselvi.com.br</t>
  </si>
  <si>
    <t>Aquiles Andrade</t>
  </si>
  <si>
    <t>Presidente Prudente/SP - Jardim Guanabara</t>
  </si>
  <si>
    <t>Administração  de medicamento por Cateter Venoso Central + Monitorização hemodinâmica  do paciente;Aspiração de vias aéreas (com e sem TOT)</t>
  </si>
  <si>
    <t>https://uniasselvi01-my.sharepoint.com/personal/elienai_cesar_uniasselvi_com_br1/Documents/Aplicativos/Microsoft%20Forms/Question%C3%A1rio%20sem%20t%C3%ADtulo/Envio%20da%20Lista%20de%20Presen%C3%A7a/18-02-26-1-%20Lista%20de%20Presen%C3%A7a%20-%20Polo%20Hub%20Pres_Aquiles%20Andrade.pdf; https://uniasselvi01-my.sharepoint.com/personal/elienai_cesar_uniasselvi_com_br1/Documents/Aplicativos/Microsoft%20Forms/Question%C3%A1rio%20sem%20t%C3%ADtulo/Envio%20da%20Lista%20de%20Presen%C3%A7a/18-02-26-2-%20Lista%20de%20Presen%C3%A7a%20-%20Polo%20Hub%20Pres_Aquiles%20Andrade.pdf</t>
  </si>
  <si>
    <t>https://uniasselvi01-my.sharepoint.com/personal/elienai_cesar_uniasselvi_com_br1/Documents/Aplicativos/Microsoft%20Forms/Question%C3%A1rio%20sem%20t%C3%ADtulo/Envio%20do%20Portf%C3%B3lio%20em%20PDF/1.Tutor%20-%2018-02-26%20-%20Aquiles%20Andrade_Aquiles%20Andrade.pdf; https://uniasselvi01-my.sharepoint.com/personal/elienai_cesar_uniasselvi_com_br1/Documents/Aplicativos/Microsoft%20Forms/Question%C3%A1rio%20sem%20t%C3%ADtulo/Envio%20do%20Portf%C3%B3lio%20em%20PDF/2.Tutor%20-%2018-02-26%20-%20Aquiles%20Andrade_Aquiles%20Andrade.pdf; https://uniasselvi01-my.sharepoint.com/personal/elienai_cesar_uniasselvi_com_br1/Documents/Aplicativos/Microsoft%20Forms/Question%C3%A1rio%20sem%20t%C3%ADtulo/Envio%20do%20Portf%C3%B3lio%20em%20PDF/3.Tutor%20-%2018-02-26%20-%20Aquiles%20Andrade_Aquiles%20Andrade.pdf</t>
  </si>
  <si>
    <t>daniela.madruga@tutorpratica.uniasselvi.com.br</t>
  </si>
  <si>
    <t>Daniela Madruga</t>
  </si>
  <si>
    <t>Lages/SC - Centro</t>
  </si>
  <si>
    <t>https://uniasselvi01-my.sharepoint.com/personal/elienai_cesar_uniasselvi_com_br1/Documents/Aplicativos/Microsoft%20Forms/Question%C3%A1rio%20sem%20t%C3%ADtulo/Envio%20da%20Lista%20de%20Presen%C3%A7a/lista%20de%20presen%C3%A7a%2021.02.26_Daniela%20Madruga.jpg</t>
  </si>
  <si>
    <t>https://uniasselvi01-my.sharepoint.com/personal/elienai_cesar_uniasselvi_com_br1/_layouts/15/Doc.aspx?sourcedoc=%7BB12702DE-0E7C-4CBA-9FA9-4CB160EC88A1%7D&amp;file=relat%C3%B3rio%20de%20pr%C3%A1tica%20UTI%2021.02_Daniela%20Madruga.docx&amp;action=default&amp;mobileredirect=true</t>
  </si>
  <si>
    <t>mariana.correia@regentedepolo.uniasselvi.com.br</t>
  </si>
  <si>
    <t>Mariana Correia</t>
  </si>
  <si>
    <t>Santa Fé do Sul/SP</t>
  </si>
  <si>
    <t>https://uniasselvi01-my.sharepoint.com/personal/elienai_cesar_uniasselvi_com_br1/Documents/Aplicativos/Microsoft%20Forms/Question%C3%A1rio%20sem%20t%C3%ADtulo/Envio%20da%20Lista%20de%20Presen%C3%A7a/Lista%20treinamento%20CVC+MH+aspira%C3%A7%C3%A3o_Mariana%20Correia.jpeg</t>
  </si>
  <si>
    <t>https://uniasselvi01-my.sharepoint.com/personal/elienai_cesar_uniasselvi_com_br1/Documents/Aplicativos/Microsoft%20Forms/Question%C3%A1rio%20sem%20t%C3%ADtulo/Envio%20do%20Portf%C3%B3lio%20em%20PDF/Portf%C3%B3lio%20-%20Aspira%C3%A7%C3%A3o%20de%20vias%20a%C3%A9reas%20(com%20e%20s_Mariana%20Correia.pdf; https://uniasselvi01-my.sharepoint.com/personal/elienai_cesar_uniasselvi_com_br1/Documents/Aplicativos/Microsoft%20Forms/Question%C3%A1rio%20sem%20t%C3%ADtulo/Envio%20do%20Portf%C3%B3lio%20em%20PDF/Portf%C3%B3lio%20-%20Medicamentos%20Cateter%20Venoso%20+MH_Mariana%20Correia.pdf</t>
  </si>
  <si>
    <t>deborah.vasconcelos@tutorpratica.uniasselvi.com.br</t>
  </si>
  <si>
    <t>Deborah Ewerton</t>
  </si>
  <si>
    <t>Itapecuru Mirim/MA</t>
  </si>
  <si>
    <t>Curativo;Avaliação corporal + Ausculta pulmonar + Ausculta cardiaca + Verificação de sinais vitais</t>
  </si>
  <si>
    <t>https://uniasselvi01-my.sharepoint.com/personal/elienai_cesar_uniasselvi_com_br1/Documents/Aplicativos/Microsoft%20Forms/Question%C3%A1rio%20sem%20t%C3%ADtulo/Envio%20da%20Lista%20de%20Presen%C3%A7a/lista%20alunos%20fevereiro_Deborah%20Ewerton.pdf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</si>
  <si>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FUN_Deborah%20Ewerton.pdf</t>
  </si>
  <si>
    <t>larissa.silva@tutorpratica.uniasselvi.com.br</t>
  </si>
  <si>
    <t>Larissa Ventura</t>
  </si>
  <si>
    <t>Avaré/SP</t>
  </si>
  <si>
    <t>https://uniasselvi01-my.sharepoint.com/personal/elienai_cesar_uniasselvi_com_br1/Documents/Aplicativos/Microsoft%20Forms/Question%C3%A1rio%20sem%20t%C3%ADtulo/Envio%20da%20Lista%20de%20Presen%C3%A7a/lista%20de%20presen%C3%A7a%2021.02.26%20uti_Larissa%20Ventura.jpg</t>
  </si>
  <si>
    <t>https://uniasselvi01-my.sharepoint.com/personal/elienai_cesar_uniasselvi_com_br1/Documents/Aplicativos/Microsoft%20Forms/Question%C3%A1rio%20sem%20t%C3%ADtulo/Envio%20do%20Portf%C3%B3lio%20em%20PDF/adm%20de%20medicamento%20cvc,%20monitoriza%C3%A7%C3%A3o%20hemodin_Larissa%20Ventura.pdf</t>
  </si>
  <si>
    <t>https://uniasselvi01-my.sharepoint.com/personal/elienai_cesar_uniasselvi_com_br1/Documents/Aplicativos/Microsoft%20Forms/Question%C3%A1rio%20sem%20t%C3%ADtulo/Envio%20da%20Lista%20de%20Presen%C3%A7a/lista%20de%20presen%C3%A7a%2021.02.26%20uti_Larissa%20Ventura%201.jpg</t>
  </si>
  <si>
    <t>https://uniasselvi01-my.sharepoint.com/personal/elienai_cesar_uniasselvi_com_br1/Documents/Aplicativos/Microsoft%20Forms/Question%C3%A1rio%20sem%20t%C3%ADtulo/Envio%20do%20Portf%C3%B3lio%20em%20PDF/Aspira%C3%A7%C3%A3o%20de%20vias%20a%C3%A9reas%20com%20e%20sem%20TOT_Larissa%20Ventura.pdf</t>
  </si>
  <si>
    <t>https://uniasselvi01-my.sharepoint.com/personal/elienai_cesar_uniasselvi_com_br1/Documents/Aplicativos/Microsoft%20Forms/Question%C3%A1rio%20sem%20t%C3%ADtulo/Envio%20da%20Lista%20de%20Presen%C3%A7a/listagem%20de%20Obstetr%C3%ADcia_Deborah%20Ewerton.pdf</t>
  </si>
  <si>
    <t>https://uniasselvi01-my.sharepoint.com/personal/elienai_cesar_uniasselvi_com_br1/Documents/Aplicativos/Microsoft%20Forms/Question%C3%A1rio%20sem%20t%C3%ADtulo/Envio%20do%20Portf%C3%B3lio%20em%20PDF/PORTIFOLIO%20CENTRO%20OBSTETRICO%202026_Deborah%20Ewerton.pdf</t>
  </si>
  <si>
    <t>clademir.silva@regentedepolo.uniasselvi.com.br</t>
  </si>
  <si>
    <t>Clademir Silva</t>
  </si>
  <si>
    <t>Curitibanos/SC</t>
  </si>
  <si>
    <t>https://uniasselvi01-my.sharepoint.com/personal/elienai_cesar_uniasselvi_com_br1/Documents/Aplicativos/Microsoft%20Forms/Question%C3%A1rio%20sem%20t%C3%ADtulo/Envio%20da%20Lista%20de%20Presen%C3%A7a/Listadepresencapraticadeaspiracao_Clademir%20Silva.pdf</t>
  </si>
  <si>
    <t>https://uniasselvi01-my.sharepoint.com/personal/elienai_cesar_uniasselvi_com_br1/Documents/Aplicativos/Microsoft%20Forms/Question%C3%A1rio%20sem%20t%C3%ADtulo/Envio%20do%20Portf%C3%B3lio%20em%20PDF/pratica_aspiracao2026_Clademir%20Silva.pdf</t>
  </si>
  <si>
    <t>ana.sedrez@tutorpratica.uniasselvi.com.br</t>
  </si>
  <si>
    <t>Ana Sedrez</t>
  </si>
  <si>
    <t>Capão Da Canoa/RS</t>
  </si>
  <si>
    <t>Terapia nutricional enteral e suplementação oral</t>
  </si>
  <si>
    <t>https://uniasselvi01-my.sharepoint.com/personal/elienai_cesar_uniasselvi_com_br1/Documents/Aplicativos/Microsoft%20Forms/Question%C3%A1rio%20sem%20t%C3%ADtulo/Envio%20da%20Lista%20de%20Presen%C3%A7a%202/MODELO_Lista%20de%20Presen%C3%A7a%20das%20Pr%C3%A1ticas_Ana%20Sedrez.pdf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</si>
  <si>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_Ana%20Sedrez.pdf</t>
  </si>
  <si>
    <t>fabio.rosa@regentedepolo.uniasselvi.com.br</t>
  </si>
  <si>
    <t>Fabio Rosa</t>
  </si>
  <si>
    <t>Brusque/SC</t>
  </si>
  <si>
    <t>https://uniasselvi01-my.sharepoint.com/personal/elienai_cesar_uniasselvi_com_br1/Documents/Aplicativos/Microsoft%20Forms/Question%C3%A1rio%20sem%20t%C3%ADtulo/Envio%20da%20Lista%20de%20Presen%C3%A7a/Fabio_Fabio%20Rosa.pdf</t>
  </si>
  <si>
    <t>https://uniasselvi01-my.sharepoint.com/personal/elienai_cesar_uniasselvi_com_br1/Documents/Aplicativos/Microsoft%20Forms/Question%C3%A1rio%20sem%20t%C3%ADtulo/Envio%20do%20Portf%C3%B3lio%20em%20PDF/Fabio_Fabio%20Rosa.pdf</t>
  </si>
  <si>
    <t>amanda.santos@tutorpratica.uniasselvi.com.br</t>
  </si>
  <si>
    <t>Amanda Santos</t>
  </si>
  <si>
    <t>Nossa Senhora da Glória/SE</t>
  </si>
  <si>
    <t>https://uniasselvi01-my.sharepoint.com/personal/elienai_cesar_uniasselvi_com_br1/Documents/Aplicativos/Microsoft%20Forms/Question%C3%A1rio%20sem%20t%C3%ADtulo/Envio%20da%20Lista%20de%20Presen%C3%A7a/17718621695208871535145816774291_Amanda%20Santos.jpg</t>
  </si>
  <si>
    <t>https://uniasselvi01-my.sharepoint.com/personal/elienai_cesar_uniasselvi_com_br1/_layouts/15/Doc.aspx?sourcedoc=%7BEA62B3D0-BFE1-4B6C-AF02-637643C17D84%7D&amp;file=Tutor%20-%20Portf%C3%B3lio%20das%20Atividades%20Pr%C3%A1ticas%20-%20C_Amanda%20Santos.docx&amp;action=default&amp;mobileredirect=true; https://uniasselvi01-my.sharepoint.com/personal/elienai_cesar_uniasselvi_com_br1/Documents/Aplicativos/Microsoft%20Forms/Question%C3%A1rio%20sem%20t%C3%ADtulo/Envio%20do%20Portf%C3%B3lio%20em%20PDF/IMG-20260223-WA0103_Amanda%20Santos.jpg; https://uniasselvi01-my.sharepoint.com/personal/elienai_cesar_uniasselvi_com_br1/Documents/Aplicativos/Microsoft%20Forms/Question%C3%A1rio%20sem%20t%C3%ADtulo/Envio%20do%20Portf%C3%B3lio%20em%20PDF/IMG-20260223-WA0105_Amanda%20Santos.jpg; https://uniasselvi01-my.sharepoint.com/personal/elienai_cesar_uniasselvi_com_br1/Documents/Aplicativos/Microsoft%20Forms/Question%C3%A1rio%20sem%20t%C3%ADtulo/Envio%20do%20Portf%C3%B3lio%20em%20PDF/IMG-20260223-WA0104_Amanda%20Santos.jpg</t>
  </si>
  <si>
    <t>vanessa.fachini@tutorpratica.uniasselvi.com.br</t>
  </si>
  <si>
    <t>Vanessa Fachini</t>
  </si>
  <si>
    <t>Porto Alegre/RS - Zona Norte</t>
  </si>
  <si>
    <t>Limpeza de Pele Facial e avaliação facial</t>
  </si>
  <si>
    <t>https://uniasselvi01-my.sharepoint.com/personal/elienai_cesar_uniasselvi_com_br1/Documents/Aplicativos/Microsoft%20Forms/Question%C3%A1rio%20sem%20t%C3%ADtulo/Envio%20da%20Lista%20de%20Presen%C3%A7a%201/MODELO_Lista%20de%20Presen%C3%A7a%20das%20Pr%C3%A1ticas%20preench_Vanessa%20Fachini.pdf</t>
  </si>
  <si>
    <t>https://uniasselvi01-my.sharepoint.com/personal/elienai_cesar_uniasselvi_com_br1/Documents/Aplicativos/Microsoft%20Forms/Question%C3%A1rio%20sem%20t%C3%ADtulo/Envio%20do%20Portf%C3%B3lio%20em%20PDF%201/IMG_0018_Vanessa%20Fachini.jpg; https://uniasselvi01-my.sharepoint.com/personal/elienai_cesar_uniasselvi_com_br1/Documents/Aplicativos/Microsoft%20Forms/Question%C3%A1rio%20sem%20t%C3%ADtulo/Envio%20do%20Portf%C3%B3lio%20em%20PDF%201/IMG_0019_Vanessa%20Fachini.jpg; https://uniasselvi01-my.sharepoint.com/personal/elienai_cesar_uniasselvi_com_br1/Documents/Aplicativos/Microsoft%20Forms/Question%C3%A1rio%20sem%20t%C3%ADtulo/Envio%20do%20Portf%C3%B3lio%20em%20PDF%201/Tutor%20-%20Portf%C3%B3lio%20das%20Atividades%20Pr%C3%A1ticas%20pre_Vanessa%20Fachini.pdf</t>
  </si>
  <si>
    <t>https://uniasselvi01-my.sharepoint.com/personal/elienai_cesar_uniasselvi_com_br1/Documents/Aplicativos/Microsoft%20Forms/Question%C3%A1rio%20sem%20t%C3%ADtulo/Envio%20da%20Lista%20de%20Presen%C3%A7a/Fabio%2024_Fabio%20Rosa.pdf</t>
  </si>
  <si>
    <t>https://uniasselvi01-my.sharepoint.com/personal/elienai_cesar_uniasselvi_com_br1/Documents/Aplicativos/Microsoft%20Forms/Question%C3%A1rio%20sem%20t%C3%ADtulo/Envio%20do%20Portf%C3%B3lio%20em%20PDF/Fabio%2024_Fabio%20Rosa.pdf</t>
  </si>
  <si>
    <t>izabela.biela@tutorpratica.uniasselvi.com.br</t>
  </si>
  <si>
    <t>Izabela Biela</t>
  </si>
  <si>
    <t>Criciúma/SC</t>
  </si>
  <si>
    <t>https://uniasselvi01-my.sharepoint.com/personal/elienai_cesar_uniasselvi_com_br1/Documents/Aplicativos/Microsoft%20Forms/Question%C3%A1rio%20sem%20t%C3%ADtulo/Envio%20da%20Lista%20de%20Presen%C3%A7a%202/Lista%20de%20presen%C3%A7a%20-%20Avalia%C3%A7%C3%A3o%20nutricional%20de_Izabela%20Biela.jpg</t>
  </si>
  <si>
    <t>https://uniasselvi01-my.sharepoint.com/personal/elienai_cesar_uniasselvi_com_br1/Documents/Aplicativos/Microsoft%20Forms/Question%C3%A1rio%20sem%20t%C3%ADtulo/Envio%20do%20Portf%C3%B3lio%20em%20PDF%202/Portf%C3%B3lio%20Avalia%C3%A7%C3%A3o%20nutricional%20de%20gestante%201_Izabela%20Biela.pdf</t>
  </si>
  <si>
    <t>https://uniasselvi01-my.sharepoint.com/personal/elienai_cesar_uniasselvi_com_br1/Documents/Aplicativos/Microsoft%20Forms/Question%C3%A1rio%20sem%20t%C3%ADtulo/Envio%20da%20Lista%20de%20Presen%C3%A7a%202/Lista%20de%20presen%C3%A7a%20-%20Avalia%C3%A7%C3%A3o%20nutricional%20de_Izabela%20Biela%201.jpg</t>
  </si>
  <si>
    <t>https://uniasselvi01-my.sharepoint.com/personal/elienai_cesar_uniasselvi_com_br1/Documents/Aplicativos/Microsoft%20Forms/Question%C3%A1rio%20sem%20t%C3%ADtulo/Envio%20do%20Portf%C3%B3lio%20em%20PDF%202/Portf%C3%B3lio%20Avalia%C3%A7%C3%A3o%20nutricional%20de%20gestante%201_Izabela%20Biela%201.pdf</t>
  </si>
  <si>
    <t>daiane.ferreira@tutorpratica.uniasselvi.com.br</t>
  </si>
  <si>
    <t>Daiane Ferreira</t>
  </si>
  <si>
    <t>https://uniasselvi01-my.sharepoint.com/personal/elienai_cesar_uniasselvi_com_br1/Documents/Aplicativos/Microsoft%20Forms/Question%C3%A1rio%20sem%20t%C3%ADtulo/Envio%20da%20Lista%20de%20Presen%C3%A7a%202/WhatsApp%20Image%202026-02-25%20at%2019.38.15_Daiane%20Ferreira.jpeg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</si>
  <si>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2019-_Daiane%20Ferreira.pdf</t>
  </si>
  <si>
    <t>lorena.ribeiro@tutorpratica.uniasselvi.com.br</t>
  </si>
  <si>
    <t>Lorena Ribeiro</t>
  </si>
  <si>
    <t>Ituiutaba/MG</t>
  </si>
  <si>
    <t>https://uniasselvi01-my.sharepoint.com/personal/elienai_cesar_uniasselvi_com_br1/Documents/Aplicativos/Microsoft%20Forms/Question%C3%A1rio%20sem%20t%C3%ADtulo/Envio%20da%20Lista%20de%20Presen%C3%A7a/LISTA%20DE%20PRESEN%C3%87A%20UTI_Lorena%20Ribeiro.pdf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</si>
  <si>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UTI_Lorena%20Ribeiro.pdf</t>
  </si>
  <si>
    <t>bruna.hack@tutorpratica.uniasselvi.com.br</t>
  </si>
  <si>
    <t>Bruna Hack</t>
  </si>
  <si>
    <t>Indaial/SC - Vitória Regia ( Centro Universitário  Leonardo da Vinci)</t>
  </si>
  <si>
    <t>https://uniasselvi01-my.sharepoint.com/personal/elienai_cesar_uniasselvi_com_br1/Documents/Aplicativos/Microsoft%20Forms/Question%C3%A1rio%20sem%20t%C3%ADtulo/Envio%20da%20Lista%20de%20Presen%C3%A7a%202/WhatsApp%20Image%202026-02-25%20at%2020.55.36_Bruna%20Hack.jpeg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</si>
  <si>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Ava_Bruna%20Hack.pdf</t>
  </si>
  <si>
    <t>https://uniasselvi01-my.sharepoint.com/personal/elienai_cesar_uniasselvi_com_br1/Documents/Aplicativos/Microsoft%20Forms/Question%C3%A1rio%20sem%20t%C3%ADtulo/Envio%20da%20Lista%20de%20Presen%C3%A7a/WhatsApp%20Image%202026-02-25%20at%2021.02.24_Alina%20Silva.jpeg</t>
  </si>
  <si>
    <t>https://uniasselvi01-my.sharepoint.com/personal/elienai_cesar_uniasselvi_com_br1/Documents/Aplicativos/Microsoft%20Forms/Question%C3%A1rio%20sem%20t%C3%ADtulo/Envio%20do%20Portf%C3%B3lio%20em%20PDF/Monitoriza%C3%A7%C3%A3o%20hemodin%C3%A2mica%20do%20paciente%20+%20Admi_Alina%20Silva.pdf</t>
  </si>
  <si>
    <t>https://uniasselvi01-my.sharepoint.com/personal/elienai_cesar_uniasselvi_com_br1/Documents/Aplicativos/Microsoft%20Forms/Question%C3%A1rio%20sem%20t%C3%ADtulo/Envio%20da%20Lista%20de%20Presen%C3%A7a/WhatsApp%20Image%202026-02-25%20at%2021.17.32_Alina%20Silva.jpeg</t>
  </si>
  <si>
    <t>https://uniasselvi01-my.sharepoint.com/personal/elienai_cesar_uniasselvi_com_br1/Documents/Aplicativos/Microsoft%20Forms/Question%C3%A1rio%20sem%20t%C3%ADtulo/Envio%20do%20Portf%C3%B3lio%20em%20PDF/aspira%C3%A7%C3%A3o%20de%20vias%20a%C3%A9reas%20com%20e%20sem%20TOT%20relato_Alina%20Silva.pdf</t>
  </si>
  <si>
    <t>lorrine.silva@tutorpratica.uniasselvi.com.br</t>
  </si>
  <si>
    <t>Lorrine Silva</t>
  </si>
  <si>
    <t>Salvador/BA - Caminho das Árvores</t>
  </si>
  <si>
    <t>https://uniasselvi01-my.sharepoint.com/personal/elienai_cesar_uniasselvi_com_br1/Documents/Aplicativos/Microsoft%20Forms/Question%C3%A1rio%20sem%20t%C3%ADtulo/Envio%20da%20Lista%20de%20Presen%C3%A7a%201/IMG_2981_Lorrine%20Silva.jpeg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</si>
  <si>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.%20Avaliac%CC%A7_Lorrine%20Silva.pdf</t>
  </si>
  <si>
    <t>https://uniasselvi01-my.sharepoint.com/personal/elienai_cesar_uniasselvi_com_br1/Documents/Aplicativos/Microsoft%20Forms/Question%C3%A1rio%20sem%20t%C3%ADtulo/Envio%20da%20Lista%20de%20Presen%C3%A7a/LISTA%20DE%20PRESEN%C3%87A%20UTI%20ASPIRA%C3%87%C3%83O_Lorena%20Ribeiro.pdf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</si>
  <si>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UTI_Lorena%20Ribeiro%201.pdf</t>
  </si>
  <si>
    <t>ana.souza@regentedepolo.uniasselvi.com.br</t>
  </si>
  <si>
    <t>Ana Souza</t>
  </si>
  <si>
    <t>Alenquer/PA</t>
  </si>
  <si>
    <t>Curativo</t>
  </si>
  <si>
    <t>https://uniasselvi01-my.sharepoint.com/personal/elienai_cesar_uniasselvi_com_br1/Documents/Aplicativos/Microsoft%20Forms/Question%C3%A1rio%20sem%20t%C3%ADtulo/Envio%20da%20Lista%20de%20Presen%C3%A7a/FREQUENCIA%20CURATIVO_Ana%20Souza.jpeg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</si>
  <si>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C_Ana%20Souza.pdf</t>
  </si>
  <si>
    <t>eliana.goncalves@regentedepolo.uniasselvi.com.br</t>
  </si>
  <si>
    <t>Eliana Goncalves</t>
  </si>
  <si>
    <t>Praia Grande/SP</t>
  </si>
  <si>
    <t>Avaliação corporal + Ausculta pulmonar + Ausculta cardiaca + Verificação de sinais vitais;Curativo</t>
  </si>
  <si>
    <t>https://uniasselvi01-my.sharepoint.com/personal/elienai_cesar_uniasselvi_com_br1/Documents/Aplicativos/Microsoft%20Forms/Question%C3%A1rio%20sem%20t%C3%ADtulo/Envio%20da%20Lista%20de%20Presen%C3%A7a/Lista%20presen%C3%A7a%20Uniasselvi%2025.02_Eliana%20Goncalves.pdf</t>
  </si>
  <si>
    <t>https://uniasselvi01-my.sharepoint.com/personal/elienai_cesar_uniasselvi_com_br1/Documents/Aplicativos/Microsoft%20Forms/Question%C3%A1rio%20sem%20t%C3%ADtulo/Envio%20do%20Portf%C3%B3lio%20em%20PDF/25.02.26%20Rel.%20Fund.%20Curativo_Eliana%20Goncalves.pdf; https://uniasselvi01-my.sharepoint.com/personal/elienai_cesar_uniasselvi_com_br1/Documents/Aplicativos/Microsoft%20Forms/Question%C3%A1rio%20sem%20t%C3%ADtulo/Envio%20do%20Portf%C3%B3lio%20em%20PDF/25.02.26%20Rela.%20Fund.%20Av%20corporal%20auscult%20card_Eliana%20Goncalves.pdf</t>
  </si>
  <si>
    <t>fabiano.bartmann@tutorpratica.uniasselvi.com.br</t>
  </si>
  <si>
    <t>Fabiano Bartmann</t>
  </si>
  <si>
    <t>Avaliação e Reabilitação Funcional dos Membros Inferiores : Prática em Fisioterapia Traumato-Ortopédica</t>
  </si>
  <si>
    <t>https://uniasselvi01-my.sharepoint.com/personal/elienai_cesar_uniasselvi_com_br1/Documents/Aplicativos/Microsoft%20Forms/Question%C3%A1rio%20sem%20t%C3%ADtulo/Envio%20da%20Lista%20de%20Presen%C3%A7a%201/presen%C3%A7a%201_Fabiano%20Bartmann.jpeg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</si>
  <si>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.pdf</t>
  </si>
  <si>
    <t>Avaliação e Reabilitação Funcional dos Membros Superiores: Prática em Fisioterapia Traumato-Ortopédica</t>
  </si>
  <si>
    <t>https://uniasselvi01-my.sharepoint.com/personal/elienai_cesar_uniasselvi_com_br1/Documents/Aplicativos/Microsoft%20Forms/Question%C3%A1rio%20sem%20t%C3%ADtulo/Envio%20da%20Lista%20de%20Presen%C3%A7a%201/presen%C3%A7a%202_Fabiano%20Bartmann.jpeg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</si>
  <si>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201.pdf</t>
  </si>
  <si>
    <t>cristiane.maciel@tutorpratica.uniasselvi.com.br</t>
  </si>
  <si>
    <t>Cristiane Maciel</t>
  </si>
  <si>
    <t>https://uniasselvi01-my.sharepoint.com/personal/elienai_cesar_uniasselvi_com_br1/Documents/Aplicativos/Microsoft%20Forms/Question%C3%A1rio%20sem%20t%C3%ADtulo/Envio%20da%20Lista%20de%20Presen%C3%A7a/20260224_135608_Cristiane%20Maciel.jpg; https://uniasselvi01-my.sharepoint.com/personal/elienai_cesar_uniasselvi_com_br1/Documents/Aplicativos/Microsoft%20Forms/Question%C3%A1rio%20sem%20t%C3%ADtulo/Envio%20da%20Lista%20de%20Presen%C3%A7a/20260224_135615_Cristiane%20Maciel.jpg</t>
  </si>
  <si>
    <t>https://uniasselvi01-my.sharepoint.com/personal/elienai_cesar_uniasselvi_com_br1/Documents/Aplicativos/Microsoft%20Forms/Question%C3%A1rio%20sem%20t%C3%ADtulo/Envio%20do%20Portf%C3%B3lio%20em%20PDF/20260224_113441_Cristiane%20Maciel.jpg</t>
  </si>
  <si>
    <t>https://uniasselvi01-my.sharepoint.com/personal/elienai_cesar_uniasselvi_com_br1/Documents/Aplicativos/Microsoft%20Forms/Question%C3%A1rio%20sem%20t%C3%ADtulo/Envio%20da%20Lista%20de%20Presen%C3%A7a%202/Lista%20de%20presen%C3%A7a%20250226%20pratica%2018h30min_Juliana%20Berger.jpeg; https://uniasselvi01-my.sharepoint.com/personal/elienai_cesar_uniasselvi_com_br1/Documents/Aplicativos/Microsoft%20Forms/Question%C3%A1rio%20sem%20t%C3%ADtulo/Envio%20da%20Lista%20de%20Presen%C3%A7a%202/Lista%20de%20presen%C3%A7a%20250226%20pratica%2020h_Juliana%20Berger.jpeg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</si>
  <si>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_avalia%C3%A7%C3%A3o%20n_Juliana%20Berger%201.pdf</t>
  </si>
  <si>
    <t>michelle.pantoja@tutorpratica.uniasselvi.com.br</t>
  </si>
  <si>
    <t>Michelle Pantoja</t>
  </si>
  <si>
    <t>Caracterização bioquímica de bactérias</t>
  </si>
  <si>
    <t>https://uniasselvi01-my.sharepoint.com/personal/elienai_cesar_uniasselvi_com_br1/Documents/Aplicativos/Microsoft%20Forms/Question%C3%A1rio%20sem%20t%C3%ADtulo/Envio%20da%20Lista%20de%20Presen%C3%A7a%205/MODELO_Lista%20de%20Presen%C3%A7a%20das%20Pr%C3%A1ticas_Michelle%20Pantoja.pdf</t>
  </si>
  <si>
    <t>https://uniasselvi01-my.sharepoint.com/personal/elienai_cesar_uniasselvi_com_br1/Documents/Aplicativos/Microsoft%20Forms/Question%C3%A1rio%20sem%20t%C3%ADtulo/Envio%20do%20Portf%C3%B3lio%20em%20PDF%205/Tutor%20-%20Portf%C3%B3lio%20das%20Atividades%20Pr%C3%A1ticas_Michelle%20Pantoja.pdf</t>
  </si>
  <si>
    <t>airton.farias@tutorpratica.uniasselvi.com.br</t>
  </si>
  <si>
    <t>Airton Farias</t>
  </si>
  <si>
    <t>Boa Viagem/CE</t>
  </si>
  <si>
    <t>https://uniasselvi01-my.sharepoint.com/personal/elienai_cesar_uniasselvi_com_br1/Documents/Aplicativos/Microsoft%20Forms/Question%C3%A1rio%20sem%20t%C3%ADtulo/Envio%20da%20Lista%20de%20Presen%C3%A7a%201/Document_260226_165754_Airton%20Farias.pdf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</si>
  <si>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RTM_Airton%20Farias.pdf</t>
  </si>
  <si>
    <t>QUÍMICA E FÍSICA - Conexões elétricas simples + Verificação da Primeira Lei de Ohm e da Lei de Joule</t>
  </si>
  <si>
    <t>https://uniasselvi01-my.sharepoint.com/personal/elienai_cesar_uniasselvi_com_br1/Documents/Aplicativos/Microsoft%20Forms/Question%C3%A1rio%20sem%20t%C3%ADtulo/Envio%20da%20Lista%20de%20Presen%C3%A7a%203/MODELO_Lista%20de%20Presen%C3%A7a%20das%20Pr%C3%A1ticas_Gabriela%20Santos%202.pdf</t>
  </si>
  <si>
    <t>https://uniasselvi01-my.sharepoint.com/personal/elienai_cesar_uniasselvi_com_br1/Documents/Aplicativos/Microsoft%20Forms/Question%C3%A1rio%20sem%20t%C3%ADtulo/Envio%20do%20Portf%C3%B3lio%20em%20PDF%203/Conex%C3%B5es%20el%C3%A9tricas%20simples%20+%20Verifica%C3%A7%C3%A3o%20da%20P_Gabriela%20Santos.pdf</t>
  </si>
  <si>
    <t>william.coimbra@regentedepolo.uniasselvi.com.br</t>
  </si>
  <si>
    <t>William Coimbra</t>
  </si>
  <si>
    <t>São Gonçalo/RJ - Partage Shopping</t>
  </si>
  <si>
    <t>https://uniasselvi01-my.sharepoint.com/personal/elienai_cesar_uniasselvi_com_br1/Documents/Aplicativos/Microsoft%20Forms/Question%C3%A1rio%20sem%20t%C3%ADtulo/Envio%20da%20Lista%20de%20Presen%C3%A7a/LISTA%20DE%20FREQU%C3%8ANCIA_William%20Coimbra.jpeg</t>
  </si>
  <si>
    <t>https://uniasselvi01-my.sharepoint.com/personal/elienai_cesar_uniasselvi_com_br1/_layouts/15/Doc.aspx?sourcedoc=%7B6913F786-8C52-46F8-95DB-7BF21BA84A42%7D&amp;file=Tutor%20-%20Portf%C3%B3lio%20das%20Atividades%20Pr%C3%A1ticas_William%20Coimbra.docx&amp;action=default&amp;mobileredirect=true; https://uniasselvi01-my.sharepoint.com/personal/elienai_cesar_uniasselvi_com_br1/Documents/Aplicativos/Microsoft%20Forms/Question%C3%A1rio%20sem%20t%C3%ADtulo/Envio%20do%20Portf%C3%B3lio%20em%20PDF/FOTO%201_William%20Coimbra.png; https://uniasselvi01-my.sharepoint.com/personal/elienai_cesar_uniasselvi_com_br1/Documents/Aplicativos/Microsoft%20Forms/Question%C3%A1rio%20sem%20t%C3%ADtulo/Envio%20do%20Portf%C3%B3lio%20em%20PDF/FOTO%202_William%20Coimbra.jpeg</t>
  </si>
  <si>
    <t>natalia.mattos@tutorpratica.uniasselvi.com.br</t>
  </si>
  <si>
    <t>Natalia Mattos</t>
  </si>
  <si>
    <t>São Pedro da Aldeia/RJ</t>
  </si>
  <si>
    <t>https://uniasselvi01-my.sharepoint.com/personal/elienai_cesar_uniasselvi_com_br1/Documents/Aplicativos/Microsoft%20Forms/Question%C3%A1rio%20sem%20t%C3%ADtulo/Envio%20da%20Lista%20de%20Presen%C3%A7a%202/WhatsApp%20Image%202026-02-26%20at%2020.14.21%20(1)_Natalia%20Mattos.jpeg; https://uniasselvi01-my.sharepoint.com/personal/elienai_cesar_uniasselvi_com_br1/Documents/Aplicativos/Microsoft%20Forms/Question%C3%A1rio%20sem%20t%C3%ADtulo/Envio%20da%20Lista%20de%20Presen%C3%A7a%202/WhatsApp%20Image%202026-02-26%20at%2020.14.21_Natalia%20Mattos.jpeg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</si>
  <si>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ges_Natalia%20Mattos.pdf</t>
  </si>
  <si>
    <t>nelma.martins@regentedepolo.uniasselvi.com.br</t>
  </si>
  <si>
    <t>Nelma Martins</t>
  </si>
  <si>
    <t>Maués/AM</t>
  </si>
  <si>
    <t>https://uniasselvi01-my.sharepoint.com/personal/elienai_cesar_uniasselvi_com_br1/Documents/Aplicativos/Microsoft%20Forms/Question%C3%A1rio%20sem%20t%C3%ADtulo/Envio%20da%20Lista%20de%20Presen%C3%A7a/lista%20de%20presen%C3%A7a_Nelma%20Martins.pdf</t>
  </si>
  <si>
    <t>https://uniasselvi01-my.sharepoint.com/personal/elienai_cesar_uniasselvi_com_br1/_layouts/15/Doc.aspx?sourcedoc=%7B965512EA-9CD2-4F35-906D-39852E9E36A2%7D&amp;file=PORTIFOLIO_Nelma%20Martins.docx&amp;action=default&amp;mobileredirect=true</t>
  </si>
  <si>
    <t>conceicao.delphino@tutorpratica.uniasselvi.com.br</t>
  </si>
  <si>
    <t>Conceicao Delphino</t>
  </si>
  <si>
    <t>Niterói/RJ - Ingá</t>
  </si>
  <si>
    <t>Aspiração de vias aéreas (com e sem TOT);Administração  de medicamento por Cateter Venoso Central + Monitorização hemodinâmica  do paciente</t>
  </si>
  <si>
    <t>https://uniasselvi01-my.sharepoint.com/personal/elienai_cesar_uniasselvi_com_br1/Documents/Aplicativos/Microsoft%20Forms/Question%C3%A1rio%20sem%20t%C3%ADtulo/Envio%20da%20Lista%20de%20Presen%C3%A7a/WhatsApp%20Image%202026-02-26%20at%2021.54.14_Conceicao%20Delphino.jpeg</t>
  </si>
  <si>
    <t>https://uniasselvi01-my.sharepoint.com/personal/elienai_cesar_uniasselvi_com_br1/Documents/Aplicativos/Microsoft%20Forms/Question%C3%A1rio%20sem%20t%C3%ADtulo/Envio%20do%20Portf%C3%B3lio%20em%20PDF/WhatsApp%20Image%202026-02-26%20at%2020.21.12_Conceicao%20Delphino.jpeg; https://uniasselvi01-my.sharepoint.com/personal/elienai_cesar_uniasselvi_com_br1/Documents/Aplicativos/Microsoft%20Forms/Question%C3%A1rio%20sem%20t%C3%ADtulo/Envio%20do%20Portf%C3%B3lio%20em%20PDF/WhatsApp%20Image%202026-02-26%20at%2021.54.13_Conceicao%20Delphino.jpeg; https://uniasselvi01-my.sharepoint.com/personal/elienai_cesar_uniasselvi_com_br1/Documents/Aplicativos/Microsoft%20Forms/Question%C3%A1rio%20sem%20t%C3%ADtulo/Envio%20do%20Portf%C3%B3lio%20em%20PDF/Portf%C3%B3lio%20das%20Atividades%20Pr%C3%A1ticas%20Uniasselvi_Conceicao%20Delphino.pdf</t>
  </si>
  <si>
    <t>tatiane.rodrigues@tutorpratica.uniasselvi.com.br</t>
  </si>
  <si>
    <t>Tatiane Rodrigues</t>
  </si>
  <si>
    <t>Brasília/DF - Taguatinga</t>
  </si>
  <si>
    <t>https://uniasselvi01-my.sharepoint.com/personal/elienai_cesar_uniasselvi_com_br1/Documents/Aplicativos/Microsoft%20Forms/Question%C3%A1rio%20sem%20t%C3%ADtulo/Envio%20da%20Lista%20de%20Presen%C3%A7a/Presen%C3%A7a%2024-02_Tatiane%20Rodrigues.jpeg</t>
  </si>
  <si>
    <t>https://uniasselvi01-my.sharepoint.com/personal/elienai_cesar_uniasselvi_com_br1/Documents/Aplicativos/Microsoft%20Forms/Question%C3%A1rio%20sem%20t%C3%ADtulo/Envio%20do%20Portf%C3%B3lio%20em%20PDF/Portf%C3%B3lio%20-%20Fundamentos%20de%20Enfermagem%20(curati_Tatiane%20Rodrigues.pdf</t>
  </si>
  <si>
    <t>https://uniasselvi01-my.sharepoint.com/personal/elienai_cesar_uniasselvi_com_br1/Documents/Aplicativos/Microsoft%20Forms/Question%C3%A1rio%20sem%20t%C3%ADtulo/Envio%20da%20Lista%20de%20Presen%C3%A7a/Presen%C3%A7a%2025-02_Tatiane%20Rodrigues.jpeg</t>
  </si>
  <si>
    <t>https://uniasselvi01-my.sharepoint.com/personal/elienai_cesar_uniasselvi_com_br1/Documents/Aplicativos/Microsoft%20Forms/Question%C3%A1rio%20sem%20t%C3%ADtulo/Envio%20do%20Portf%C3%B3lio%20em%20PDF/Portf%C3%B3lio%20-%20Centro%20Obst%C3%A9trico_Tatiane%20Rodrigues.pdf</t>
  </si>
  <si>
    <t>Mobilização Articular na Cinesioterapia: Avaliação e Intervenção Funcional</t>
  </si>
  <si>
    <t>https://uniasselvi01-my.sharepoint.com/personal/elienai_cesar_uniasselvi_com_br1/Documents/Aplicativos/Microsoft%20Forms/Question%C3%A1rio%20sem%20t%C3%ADtulo/Envio%20da%20Lista%20de%20Presen%C3%A7a%201/IMG_0866_Lucas%20Medeiros.PNG</t>
  </si>
  <si>
    <t>https://uniasselvi01-my.sharepoint.com/personal/elienai_cesar_uniasselvi_com_br1/Documents/Aplicativos/Microsoft%20Forms/Question%C3%A1rio%20sem%20t%C3%ADtulo/Envio%20do%20Portf%C3%B3lio%20em%20PDF%201/massagem%203_Lucas%20Medeiros.pdf</t>
  </si>
  <si>
    <t>https://uniasselvi01-my.sharepoint.com/personal/elienai_cesar_uniasselvi_com_br1/Documents/Aplicativos/Microsoft%20Forms/Question%C3%A1rio%20sem%20t%C3%ADtulo/Envio%20da%20Lista%20de%20Presen%C3%A7a%201/IMG_0865_Lucas%20Medeiros.PNG</t>
  </si>
  <si>
    <t>https://uniasselvi01-my.sharepoint.com/personal/elienai_cesar_uniasselvi_com_br1/_layouts/15/Doc.aspx?sourcedoc=%7B2C368662-1DA5-44E4-9572-3AAF77D7A8AB%7D&amp;file=orto1_Lucas%20Medeiros.docx&amp;action=default&amp;mobileredirect=true</t>
  </si>
  <si>
    <t>Massagem Geral Terapêutica: Técnicas e Aplicações em Recursos Manuais;Prática de Drenagem Linfática Manual: Estímulo à Circulação Linfática e Redução de Edema</t>
  </si>
  <si>
    <t>https://uniasselvi01-my.sharepoint.com/personal/elienai_cesar_uniasselvi_com_br1/_layouts/15/Doc.aspx?sourcedoc=%7B2BCFBAC9-0987-4C17-86B6-200E2DC44D52%7D&amp;file=Lista%20de%20presen%C3%A7a%20Recursos_Vanessa%20Varjao.docx&amp;action=default&amp;mobileredirect=true</t>
  </si>
  <si>
    <t>https://uniasselvi01-my.sharepoint.com/personal/elienai_cesar_uniasselvi_com_br1/Documents/Aplicativos/Microsoft%20Forms/Question%C3%A1rio%20sem%20t%C3%ADtulo/Envio%20do%20Portf%C3%B3lio%20em%20PDF%201/C%C3%B3pia%20de%20Tutor%20-%20Portf%C3%B3lio%20das%20Atividades%20Pr%C3%A1_Vanessa%20Varjao.pdf</t>
  </si>
  <si>
    <t>jean.santos@tutorpratica.uniasselvi.com.br</t>
  </si>
  <si>
    <t>Jean Santos</t>
  </si>
  <si>
    <t>Salinópolis/PA</t>
  </si>
  <si>
    <t>Administração  de medicamento por Cateter Venoso Central + Monitorização hemodinâmica  do paciente;Aspiração de vias aéreas (com e sem TOT);Punção e manutenção de cateter de longa permanência + Troca de bolsa de ostomia</t>
  </si>
  <si>
    <t>https://uniasselvi01-my.sharepoint.com/personal/elienai_cesar_uniasselvi_com_br1/Documents/Aplicativos/Microsoft%20Forms/Question%C3%A1rio%20sem%20t%C3%ADtulo/Envio%20da%20Lista%20de%20Presen%C3%A7a/a0fc1233-8d0d-4f18-b336-c31197e3907b_Jean%20Santos.jpg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</si>
  <si>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https://uniasselvi01-my.sharepoint.com/personal/elienai_cesar_uniasselvi_com_br1/Documents/Aplicativos/Microsoft%20Forms/Question%C3%A1rio%20sem%20t%C3%ADtulo/Envio%20do%20Portf%C3%B3lio%20em%20PDF/Tutor%20-%20Portf%C3%B3lio%20das%20Atividades%20Pr%C3%A1ticas_Jean%20Santos.pdf</t>
  </si>
  <si>
    <t>beatriz.henkels@tutorpratica.uniasselvi.com.br</t>
  </si>
  <si>
    <t>Beatriz Henkels</t>
  </si>
  <si>
    <t>Blumenau/SC - Salto Do Norte (Centro Universitário Dante)</t>
  </si>
  <si>
    <t>https://uniasselvi01-my.sharepoint.com/personal/elienai_cesar_uniasselvi_com_br1/Documents/Aplicativos/Microsoft%20Forms/Question%C3%A1rio%20sem%20t%C3%ADtulo/Envio%20da%20Lista%20de%20Presen%C3%A7a%201/IMG_1183_Beatriz%20Henkels.JPEG</t>
  </si>
  <si>
    <t>https://uniasselvi01-my.sharepoint.com/personal/elienai_cesar_uniasselvi_com_br1/_layouts/15/Doc.aspx?sourcedoc=%7B753EFD20-A7F8-46B1-8204-5F9898F98DB3%7D&amp;file=Tutor%20-%20Portf%C3%B3lio%20das%20Atividades%20Pr%C3%A1ticas_Beatriz%20Henkels.docx&amp;action=default&amp;mobileredirect=true</t>
  </si>
  <si>
    <t>patricia.trasmontano@tutorpratica.uniasselvi.com.br</t>
  </si>
  <si>
    <t>Patricia Trasmontano</t>
  </si>
  <si>
    <t>Itaboraí/RJ</t>
  </si>
  <si>
    <t>https://uniasselvi01-my.sharepoint.com/personal/elienai_cesar_uniasselvi_com_br1/Documents/Aplicativos/Microsoft%20Forms/Question%C3%A1rio%20sem%20t%C3%ADtulo/Envio%20da%20Lista%20de%20Presen%C3%A7a/Lista.CentroObstetrico.25.02.26_Patricia%20Trasmontano.JPG</t>
  </si>
  <si>
    <t>https://uniasselvi01-my.sharepoint.com/personal/elienai_cesar_uniasselvi_com_br1/Documents/Aplicativos/Microsoft%20Forms/Question%C3%A1rio%20sem%20t%C3%ADtulo/Envio%20do%20Portf%C3%B3lio%20em%20PDF/Portf%C3%B3lio%2025.02.26.Obst%C3%A9tricoCentro_Patricia%20Trasmontano.pdf</t>
  </si>
  <si>
    <t>aline.costa@tutorpratica.uniasselvi.com.br</t>
  </si>
  <si>
    <t>Aline Costa</t>
  </si>
  <si>
    <t>Conselheiro Lafaiete/MG</t>
  </si>
  <si>
    <t>https://uniasselvi01-my.sharepoint.com/personal/elienai_cesar_uniasselvi_com_br1/Documents/Aplicativos/Microsoft%20Forms/Question%C3%A1rio%20sem%20t%C3%ADtulo/Envio%20da%20Lista%20de%20Presen%C3%A7a/WhatsApp%20Image%202026-02-27%20at%2012.58.50_Aline%20Costa.jpeg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</si>
  <si>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20-%20agendamen_Aline%20Costa.pdf</t>
  </si>
  <si>
    <t>https://uniasselvi01-my.sharepoint.com/personal/elienai_cesar_uniasselvi_com_br1/Documents/Aplicativos/Microsoft%20Forms/Question%C3%A1rio%20sem%20t%C3%ADtulo/Envio%20da%20Lista%20de%20Presen%C3%A7a/Lista.TerapiaIntensiva.26.02.26_Patricia%20Trasmontano.JPG</t>
  </si>
  <si>
    <t>https://uniasselvi01-my.sharepoint.com/personal/elienai_cesar_uniasselvi_com_br1/Documents/Aplicativos/Microsoft%20Forms/Question%C3%A1rio%20sem%20t%C3%ADtulo/Envio%20do%20Portf%C3%B3lio%20em%20PDF/Portf%C3%B3lio%2026.02.26.TerapiaIntensiva_Patricia%20Trasmontano.pdf</t>
  </si>
  <si>
    <t>Prática de Drenagem Linfática Manual: Estímulo à Circulação Linfática e Redução de Edema</t>
  </si>
  <si>
    <t>https://uniasselvi01-my.sharepoint.com/personal/elienai_cesar_uniasselvi_com_br1/Documents/Aplicativos/Microsoft%20Forms/Question%C3%A1rio%20sem%20t%C3%ADtulo/Envio%20da%20Lista%20de%20Presen%C3%A7a%201/Document_260227_155241_Airton%20Farias.pdf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</si>
  <si>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RTM_Airton%20Farias%201.pdf</t>
  </si>
  <si>
    <t>Avaliação corporal + Ausculta pulmonar + Ausculta cardiaca + Verificação de sinais vitais</t>
  </si>
  <si>
    <t>https://uniasselvi01-my.sharepoint.com/personal/elienai_cesar_uniasselvi_com_br1/Documents/Aplicativos/Microsoft%20Forms/Question%C3%A1rio%20sem%20t%C3%ADtulo/Envio%20da%20Lista%20de%20Presen%C3%A7a/aula%20avalia%C3%A7%C3%A3o%20corporal%20frequencia_Ana%20Souza.jpeg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</si>
  <si>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A_Ana%20Souza.pdf</t>
  </si>
  <si>
    <t>marilene.silva@tutorpratica.uniasselvi.com.br</t>
  </si>
  <si>
    <t>Marilene Silva</t>
  </si>
  <si>
    <t>https://uniasselvi01-my.sharepoint.com/personal/elienai_cesar_uniasselvi_com_br1/Documents/Aplicativos/Microsoft%20Forms/Question%C3%A1rio%20sem%20t%C3%ADtulo/Envio%20da%20Lista%20de%20Presen%C3%A7a/WhatsApp%20Image%202026-02-27%20at%2021.57.49_Marilene%20Silva.jpeg</t>
  </si>
  <si>
    <t>https://uniasselvi01-my.sharepoint.com/personal/elienai_cesar_uniasselvi_com_br1/_layouts/15/Doc.aspx?sourcedoc=%7B05743724-BE4D-4D2D-BE61-FFAA9F3418A5%7D&amp;file=Tutor%20-%20Portf%C3%B3lio%20das%20Atividades%20Pr%C3%A1ticas%201_Marilene%20Silva.docx&amp;action=default&amp;mobileredirect=true</t>
  </si>
  <si>
    <t>https://uniasselvi01-my.sharepoint.com/personal/elienai_cesar_uniasselvi_com_br1/Documents/Aplicativos/Microsoft%20Forms/Question%C3%A1rio%20sem%20t%C3%ADtulo/Envio%20da%20Lista%20de%20Presen%C3%A7a/WhatsApp%20Image%202026-02-27%20at%2021.58.10_Marilene%20Silva.jpeg</t>
  </si>
  <si>
    <t>https://uniasselvi01-my.sharepoint.com/personal/elienai_cesar_uniasselvi_com_br1/_layouts/15/Doc.aspx?sourcedoc=%7BEBDBF853-DADA-4ED6-BFB6-EDC0368F082F%7D&amp;file=Tutor%20-%20Portf%C3%B3lio%20das%20Atividades%20Pr%C3%A1ticas%202_Marilene%20Silva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</si>
  <si>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https://uniasselvi01-my.sharepoint.com/personal/elienai_cesar_uniasselvi_com_br1/Documents/Aplicativos/Microsoft%20Forms/Question%C3%A1rio%20sem%20t%C3%ADtulo/Envio%20da%20Lista%20de%20Presen%C3%A7a/LISTA%20DE%20FREQUENCIA%2027.02.26_Quezia%20Silva.jpeg</t>
  </si>
  <si>
    <t>https://uniasselvi01-my.sharepoint.com/personal/elienai_cesar_uniasselvi_com_br1/_layouts/15/Doc.aspx?sourcedoc=%7B7812AF28-0EE3-4697-B8B8-40132630B949%7D&amp;file=Tutor%20-%20Portf%C3%B3lio%20das%20Atividades%20Pr%C3%A1ticas%20(1)_Quezia%20Silva.docx&amp;action=default&amp;mobileredirect=true</t>
  </si>
  <si>
    <t>https://uniasselvi01-my.sharepoint.com/personal/elienai_cesar_uniasselvi_com_br1/Documents/Aplicativos/Microsoft%20Forms/Question%C3%A1rio%20sem%20t%C3%ADtulo/Envio%20da%20Lista%20de%20Presen%C3%A7a%205/Lista%20de%20Presen%C3%A7a%20das%20Pr%C3%A1ticas%20-%20Microbiologi_Vitor%20Pinheiro.pdf</t>
  </si>
  <si>
    <t>https://uniasselvi01-my.sharepoint.com/personal/elienai_cesar_uniasselvi_com_br1/Documents/Aplicativos/Microsoft%20Forms/Question%C3%A1rio%20sem%20t%C3%ADtulo/Envio%20do%20Portf%C3%B3lio%20em%20PDF%205/Portf%C3%B3lio%20das%20Atividades%20Pr%C3%A1ticas%20-%20Microbiol_Vitor%20Pinheiro.pdf</t>
  </si>
  <si>
    <t>https://uniasselvi01-my.sharepoint.com/personal/elienai_cesar_uniasselvi_com_br1/Documents/Aplicativos/Microsoft%20Forms/Question%C3%A1rio%20sem%20t%C3%ADtulo/Envio%20da%20Lista%20de%20Presen%C3%A7a/20260228_112010_Daniela%20Madruga.jpg</t>
  </si>
  <si>
    <t>https://uniasselvi01-my.sharepoint.com/personal/elienai_cesar_uniasselvi_com_br1/_layouts/15/Doc.aspx?sourcedoc=%7B779CC39A-BA20-49C5-AE6B-D0425F0A50CC%7D&amp;file=relat%C3%B3rio%20de%20pr%C3%A1tica%20UTI%2021.02_Daniela%20Madruga%201.docx&amp;action=default&amp;mobileredirect=true</t>
  </si>
  <si>
    <t>romulo.pinto@tutorpratica.uniasselvi.com.br</t>
  </si>
  <si>
    <t>Romulo Pinto</t>
  </si>
  <si>
    <t>Assú/RN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</si>
  <si>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https://uniasselvi01-my.sharepoint.com/personal/elienai_cesar_uniasselvi_com_br1/Documents/Aplicativos/Microsoft%20Forms/Question%C3%A1rio%20sem%20t%C3%ADtulo/Envio%20da%20Lista%20de%20Presen%C3%A7a/Tutor%20-%20Portf%C3%B3lio%20das%20Atividades%20Pr%C3%A1ticas_Romulo%20Pinto.pdf</t>
  </si>
  <si>
    <t>https://uniasselvi01-my.sharepoint.com/personal/elienai_cesar_uniasselvi_com_br1/Documents/Aplicativos/Microsoft%20Forms/Question%C3%A1rio%20sem%20t%C3%ADtulo/Envio%20do%20Portf%C3%B3lio%20em%20PDF/IMG_20260225_190620872_MF_PORTRAIT_Romulo%20Pinto.jpg; https://uniasselvi01-my.sharepoint.com/personal/elienai_cesar_uniasselvi_com_br1/Documents/Aplicativos/Microsoft%20Forms/Question%C3%A1rio%20sem%20t%C3%ADtulo/Envio%20do%20Portf%C3%B3lio%20em%20PDF/IMG_20260225_190610734_MF_PORTRAIT_Romulo%20Pinto.jpg; https://uniasselvi01-my.sharepoint.com/personal/elienai_cesar_uniasselvi_com_br1/Documents/Aplicativos/Microsoft%20Forms/Question%C3%A1rio%20sem%20t%C3%ADtulo/Envio%20do%20Portf%C3%B3lio%20em%20PDF/IMG-20260225-WA0061_Romulo%20Pinto.jpg; https://uniasselvi01-my.sharepoint.com/personal/elienai_cesar_uniasselvi_com_br1/Documents/Aplicativos/Microsoft%20Forms/Question%C3%A1rio%20sem%20t%C3%ADtulo/Envio%20do%20Portf%C3%B3lio%20em%20PDF/IMG-20260225-WA0054_Romulo%20Pinto.jpg; https://uniasselvi01-my.sharepoint.com/personal/elienai_cesar_uniasselvi_com_br1/Documents/Aplicativos/Microsoft%20Forms/Question%C3%A1rio%20sem%20t%C3%ADtulo/Envio%20do%20Portf%C3%B3lio%20em%20PDF/IMG-20260225-WA0048_Romulo%20Pinto.jpg; https://uniasselvi01-my.sharepoint.com/personal/elienai_cesar_uniasselvi_com_br1/Documents/Aplicativos/Microsoft%20Forms/Question%C3%A1rio%20sem%20t%C3%ADtulo/Envio%20do%20Portf%C3%B3lio%20em%20PDF/IMG-20260225-WA0051_Romulo%20Pinto.jpg; https://uniasselvi01-my.sharepoint.com/personal/elienai_cesar_uniasselvi_com_br1/Documents/Aplicativos/Microsoft%20Forms/Question%C3%A1rio%20sem%20t%C3%ADtulo/Envio%20do%20Portf%C3%B3lio%20em%20PDF/IMG-20260225-WA0053_Romulo%20Pinto.jpg; https://uniasselvi01-my.sharepoint.com/personal/elienai_cesar_uniasselvi_com_br1/Documents/Aplicativos/Microsoft%20Forms/Question%C3%A1rio%20sem%20t%C3%ADtulo/Envio%20do%20Portf%C3%B3lio%20em%20PDF/IMG-20260225-WA0059_Romulo%20Pinto.jpg; https://uniasselvi01-my.sharepoint.com/personal/elienai_cesar_uniasselvi_com_br1/Documents/Aplicativos/Microsoft%20Forms/Question%C3%A1rio%20sem%20t%C3%ADtulo/Envio%20do%20Portf%C3%B3lio%20em%20PDF/IMG-20260225-WA0050_Romulo%20Pinto.jpg; https://uniasselvi01-my.sharepoint.com/personal/elienai_cesar_uniasselvi_com_br1/Documents/Aplicativos/Microsoft%20Forms/Question%C3%A1rio%20sem%20t%C3%ADtulo/Envio%20do%20Portf%C3%B3lio%20em%20PDF/Tutor%20-%20Portf%C3%B3lio%20das%20Atividades%20Pr%C3%A1ticas_Romulo%20Pinto.pdf</t>
  </si>
  <si>
    <t>https://uniasselvi01-my.sharepoint.com/personal/elienai_cesar_uniasselvi_com_br1/_layouts/15/Doc.aspx?sourcedoc=%7B3D8B22C1-F177-4C06-AE3F-46891C8E26B4%7D&amp;file=_Lista%20de%20Presen%C3%A7a%20-%20Fundamentos%20de%20Enfermage_Mariana%20Correia.docx&amp;action=default&amp;mobileredirect=true</t>
  </si>
  <si>
    <t>https://uniasselvi01-my.sharepoint.com/personal/elienai_cesar_uniasselvi_com_br1/Documents/Aplicativos/Microsoft%20Forms/Question%C3%A1rio%20sem%20t%C3%ADtulo/Envio%20do%20Portf%C3%B3lio%20em%20PDF/Portf%C3%B3lio%20-%20Sinais%20Vitais%20e%20Avalia%C3%A7%C3%A3o%20Corpora_Mariana%20Correia.pdf</t>
  </si>
  <si>
    <t>maria.lopes@tutorpratica.uniasselvi.com.br</t>
  </si>
  <si>
    <t>Maria Lopes</t>
  </si>
  <si>
    <t>MÃE DO RIO/PA</t>
  </si>
  <si>
    <t>https://uniasselvi01-my.sharepoint.com/personal/elienai_cesar_uniasselvi_com_br1/Documents/Aplicativos/Microsoft%20Forms/Question%C3%A1rio%20sem%20t%C3%ADtulo/Envio%20da%20Lista%20de%20Presen%C3%A7a/Foto%20(1)_Maria%20Lopes.pdf</t>
  </si>
  <si>
    <t>https://uniasselvi01-my.sharepoint.com/personal/elienai_cesar_uniasselvi_com_br1/Documents/Aplicativos/Microsoft%20Forms/Question%C3%A1rio%20sem%20t%C3%ADtulo/Envio%20do%20Portf%C3%B3lio%20em%20PDF/portifolio%20uniasselvi_Maria%20Lopes.pdf</t>
  </si>
  <si>
    <t>https://uniasselvi01-my.sharepoint.com/personal/elienai_cesar_uniasselvi_com_br1/Documents/Aplicativos/Microsoft%20Forms/Question%C3%A1rio%20sem%20t%C3%ADtulo/Envio%20da%20Lista%20de%20Presen%C3%A7a/Foto%20de%20Nivaldo%20Lopes%20(1)_Maria%20Lopes.jpg</t>
  </si>
  <si>
    <t>https://uniasselvi01-my.sharepoint.com/personal/elienai_cesar_uniasselvi_com_br1/Documents/Aplicativos/Microsoft%20Forms/Question%C3%A1rio%20sem%20t%C3%ADtulo/Envio%20do%20Portf%C3%B3lio%20em%20PDF/portifolio%20uniasselvi%2023.02_Maria%20Lopes.pdf; https://uniasselvi01-my.sharepoint.com/personal/elienai_cesar_uniasselvi_com_br1/Documents/Aplicativos/Microsoft%20Forms/Question%C3%A1rio%20sem%20t%C3%ADtulo/Envio%20do%20Portf%C3%B3lio%20em%20PDF/WhatsApp%20Video%202026-03-01%20at%2014.27.47_Maria%20Lopes.mp4; https://uniasselvi01-my.sharepoint.com/personal/elienai_cesar_uniasselvi_com_br1/Documents/Aplicativos/Microsoft%20Forms/Question%C3%A1rio%20sem%20t%C3%ADtulo/Envio%20do%20Portf%C3%B3lio%20em%20PDF/WhatsApp%20Video%202026-03-01%20at%2014.28.34%20(1)_Maria%20Lopes.mp4</t>
  </si>
  <si>
    <t>luiza.brito@tutorpratica.uniasselvi.com.br</t>
  </si>
  <si>
    <t>Luiza Brito</t>
  </si>
  <si>
    <t>Goiânia/GO - Jardim Europa</t>
  </si>
  <si>
    <t>https://uniasselvi01-my.sharepoint.com/personal/elienai_cesar_uniasselvi_com_br1/Documents/Aplicativos/Microsoft%20Forms/Question%C3%A1rio%20sem%20t%C3%ADtulo/Envio%20da%20Lista%20de%20Presen%C3%A7a%201/WhatsApp%20Image%202026-03-01%20at%2017.25.23_Luiza%20Brito.jpeg</t>
  </si>
  <si>
    <t>https://uniasselvi01-my.sharepoint.com/personal/elienai_cesar_uniasselvi_com_br1/Documents/Aplicativos/Microsoft%20Forms/Question%C3%A1rio%20sem%20t%C3%ADtulo/Envio%20do%20Portf%C3%B3lio%20em%20PDF%201/pr%C3%A1tica%20de%20RTM_Luiza%20Brito.pdf</t>
  </si>
  <si>
    <t>izabel.silva@tutorpratica.uniasselvi.com.br</t>
  </si>
  <si>
    <t>Izabel Silva</t>
  </si>
  <si>
    <t>Montes Claros/MG - Centro</t>
  </si>
  <si>
    <t>https://uniasselvi01-my.sharepoint.com/personal/elienai_cesar_uniasselvi_com_br1/Documents/Aplicativos/Microsoft%20Forms/Question%C3%A1rio%20sem%20t%C3%ADtulo/Envio%20da%20Lista%20de%20Presen%C3%A7a/WhatsApp%20Image%202026-03-01%20at%2020.52.13_Izabel%20Silva.jpeg</t>
  </si>
  <si>
    <t>https://uniasselvi01-my.sharepoint.com/personal/elienai_cesar_uniasselvi_com_br1/Documents/Aplicativos/Microsoft%20Forms/Question%C3%A1rio%20sem%20t%C3%ADtulo/Envio%20do%20Portf%C3%B3lio%20em%20PDF/WhatsApp%20Image%202026-03-01%20at%2020.55.09_Izabel%20Silva.jpeg; https://uniasselvi01-my.sharepoint.com/personal/elienai_cesar_uniasselvi_com_br1/Documents/Aplicativos/Microsoft%20Forms/Question%C3%A1rio%20sem%20t%C3%ADtulo/Envio%20do%20Portf%C3%B3lio%20em%20PDF/WhatsApp%20Image%202026-03-01_Izabel%20Silva.jpeg; https://uniasselvi01-my.sharepoint.com/personal/elienai_cesar_uniasselvi_com_br1/Documents/Aplicativos/Microsoft%20Forms/Question%C3%A1rio%20sem%20t%C3%ADtulo/Envio%20do%20Portf%C3%B3lio%20em%20PDF/WhatsApp%20Image%202026-03-01%20at%2020.52.13%20(1)_Izabel%20Silva.jpeg; https://uniasselvi01-my.sharepoint.com/personal/elienai_cesar_uniasselvi_com_br1/Documents/Aplicativos/Microsoft%20Forms/Question%C3%A1rio%20sem%20t%C3%ADtulo/Envio%20do%20Portf%C3%B3lio%20em%20PDF/WhatsApp%20Image%202026-03-01%20at%2020.52.13%20(2)_Izabel%20Silva.jpeg; https://uniasselvi01-my.sharepoint.com/personal/elienai_cesar_uniasselvi_com_br1/Documents/Aplicativos/Microsoft%20Forms/Question%C3%A1rio%20sem%20t%C3%ADtulo/Envio%20do%20Portf%C3%B3lio%20em%20PDF/WhatsApp%20Image%202026-03-01%20at%2020.52.13%20(3)_Izabel%20Silva.jpeg</t>
  </si>
  <si>
    <t>https://uniasselvi01-my.sharepoint.com/personal/elienai_cesar_uniasselvi_com_br1/Documents/Aplicativos/Microsoft%20Forms/Question%C3%A1rio%20sem%20t%C3%ADtulo/Envio%20da%20Lista%20de%20Presen%C3%A7a%202/IMG_20260226_193519_Laura%20Volpato.jpg</t>
  </si>
  <si>
    <t>https://uniasselvi01-my.sharepoint.com/personal/elienai_cesar_uniasselvi_com_br1/Documents/Aplicativos/Microsoft%20Forms/Question%C3%A1rio%20sem%20t%C3%ADtulo/Envio%20do%20Portf%C3%B3lio%20em%20PDF%202/3%20Portf%C3%B3lio%20das%20Atividades%20Pr%C3%A1ticas.docx_Laura%20Volpato.pdf</t>
  </si>
  <si>
    <t>Avaliação nutricional de atleta e desportista II: Anamnese e diagnóstico</t>
  </si>
  <si>
    <t>https://uniasselvi01-my.sharepoint.com/personal/elienai_cesar_uniasselvi_com_br1/Documents/Aplicativos/Microsoft%20Forms/Question%C3%A1rio%20sem%20t%C3%ADtulo/Envio%20da%20Lista%20de%20Presen%C3%A7a%202/IMG_20260226_204624_Laura%20Volpato.jpg; https://uniasselvi01-my.sharepoint.com/personal/elienai_cesar_uniasselvi_com_br1/Documents/Aplicativos/Microsoft%20Forms/Question%C3%A1rio%20sem%20t%C3%ADtulo/Envio%20da%20Lista%20de%20Presen%C3%A7a%202/IMG_20260226_204621_Laura%20Volpato.jpg</t>
  </si>
  <si>
    <t>https://uniasselvi01-my.sharepoint.com/personal/elienai_cesar_uniasselvi_com_br1/Documents/Aplicativos/Microsoft%20Forms/Question%C3%A1rio%20sem%20t%C3%ADtulo/Envio%20do%20Portf%C3%B3lio%20em%20PDF%202/4%20Portf%C3%B3lio%20das%20Atividades%20Pr%C3%A1ticas.docx_Laura%20Volpato.pdf</t>
  </si>
  <si>
    <t>Diagnóstico de Doenças de Plantas em laboratório: Identificação de Sintomas, Sinais e Estruturas Patogênicas</t>
  </si>
  <si>
    <t>https://uniasselvi01-my.sharepoint.com/personal/elienai_cesar_uniasselvi_com_br1/Documents/Aplicativos/Microsoft%20Forms/Question%C3%A1rio%20sem%20t%C3%ADtulo/Envio%20da%20Lista%20de%20Presen%C3%A7a%205/Lista%20de%20Presenca%20-%20Microbiologia%20Agricola_Marla%20Souza.pdf</t>
  </si>
  <si>
    <t>https://uniasselvi01-my.sharepoint.com/personal/elienai_cesar_uniasselvi_com_br1/Documents/Aplicativos/Microsoft%20Forms/Question%C3%A1rio%20sem%20t%C3%ADtulo/Envio%20do%20Portf%C3%B3lio%20em%20PDF%205/Aula%20Pratica%20-%20Microbiologia%20Agricola_Marla%20Souza.pdf</t>
  </si>
  <si>
    <t>https://uniasselvi01-my.sharepoint.com/personal/elienai_cesar_uniasselvi_com_br1/Documents/Aplicativos/Microsoft%20Forms/Question%C3%A1rio%20sem%20t%C3%ADtulo/Envio%20da%20Lista%20de%20Presen%C3%A7a/aula%20pr%C3%A1tica%202802_Nelma%20Martins.pdf</t>
  </si>
  <si>
    <t>https://uniasselvi01-my.sharepoint.com/personal/elienai_cesar_uniasselvi_com_br1/_layouts/15/Doc.aspx?sourcedoc=%7B7920A87E-0EF7-4AA4-A517-1039C3F67D00%7D&amp;file=PORTIFOLIO_Nelma%20Martins%201.docx&amp;action=default&amp;mobileredirect=true</t>
  </si>
  <si>
    <t>kellen.nascimento@tutorpratica.uniasselvi.com.br</t>
  </si>
  <si>
    <t>Kellen Nascimento</t>
  </si>
  <si>
    <t>Avaliação nutricional de gestante I: Antropometria;Avaliação nutricional de gestante II: Anamnese e diagnóstico</t>
  </si>
  <si>
    <t>https://uniasselvi01-my.sharepoint.com/personal/elienai_cesar_uniasselvi_com_br1/Documents/Aplicativos/Microsoft%20Forms/Question%C3%A1rio%20sem%20t%C3%ADtulo/Envio%20da%20Lista%20de%20Presen%C3%A7a%202/Presen%C3%A7a%20aula%2011_Kellen%20Nascimento.pdf</t>
  </si>
  <si>
    <t>https://uniasselvi01-my.sharepoint.com/personal/elienai_cesar_uniasselvi_com_br1/Documents/Aplicativos/Microsoft%20Forms/Question%C3%A1rio%20sem%20t%C3%ADtulo/Envio%20do%20Portf%C3%B3lio%20em%20PDF%202/Nutri%C3%A7%C3%A3o%20da%20gesta%C3%A7%C3%A3o%201_Kellen%20Nascimento.pdf</t>
  </si>
  <si>
    <t>https://uniasselvi01-my.sharepoint.com/personal/elienai_cesar_uniasselvi_com_br1/Documents/Aplicativos/Microsoft%20Forms/Question%C3%A1rio%20sem%20t%C3%ADtulo/Envio%20da%20Lista%20de%20Presen%C3%A7a/Card%C3%ADaca_260302_175848_Fabio%20Rosa.pdf</t>
  </si>
  <si>
    <t>https://uniasselvi01-my.sharepoint.com/personal/elienai_cesar_uniasselvi_com_br1/Documents/Aplicativos/Microsoft%20Forms/Question%C3%A1rio%20sem%20t%C3%ADtulo/Envio%20do%20Portf%C3%B3lio%20em%20PDF/Card%C3%ADaca_260302_175848_Fabio%20Rosa.pdf</t>
  </si>
  <si>
    <t>https://uniasselvi01-my.sharepoint.com/personal/elienai_cesar_uniasselvi_com_br1/Documents/Aplicativos/Microsoft%20Forms/Question%C3%A1rio%20sem%20t%C3%ADtulo/Envio%20da%20Lista%20de%20Presen%C3%A7a/Curativos_260302_175747_Fabio%20Rosa.pdf</t>
  </si>
  <si>
    <t>https://uniasselvi01-my.sharepoint.com/personal/elienai_cesar_uniasselvi_com_br1/Documents/Aplicativos/Microsoft%20Forms/Question%C3%A1rio%20sem%20t%C3%ADtulo/Envio%20do%20Portf%C3%B3lio%20em%20PDF/Curativos_260302_175747_Fabio%20Rosa.pdf</t>
  </si>
  <si>
    <t>https://uniasselvi01-my.sharepoint.com/personal/elienai_cesar_uniasselvi_com_br1/Documents/Aplicativos/Microsoft%20Forms/Question%C3%A1rio%20sem%20t%C3%ADtulo/Envio%20da%20Lista%20de%20Presen%C3%A7a%202/Presen%C3%A7a%20aula%202_Kellen%20Nascimento.pdf</t>
  </si>
  <si>
    <t>https://uniasselvi01-my.sharepoint.com/personal/elienai_cesar_uniasselvi_com_br1/Documents/Aplicativos/Microsoft%20Forms/Question%C3%A1rio%20sem%20t%C3%ADtulo/Envio%20do%20Portf%C3%B3lio%20em%20PDF%202/Nutri%C3%A7%C3%A3o%20da%20gesta%C3%A7%C3%A3o%202_Kellen%20Nascimento.pdf</t>
  </si>
  <si>
    <t>https://uniasselvi01-my.sharepoint.com/personal/elienai_cesar_uniasselvi_com_br1/Documents/Aplicativos/Microsoft%20Forms/Question%C3%A1rio%20sem%20t%C3%ADtulo/Envio%20da%20Lista%20de%20Presen%C3%A7a/Card%C3%ADaca_260302_175848_Fabio%20Rosa%201.pdf</t>
  </si>
  <si>
    <t>https://uniasselvi01-my.sharepoint.com/personal/elienai_cesar_uniasselvi_com_br1/Documents/Aplicativos/Microsoft%20Forms/Question%C3%A1rio%20sem%20t%C3%ADtulo/Envio%20do%20Portf%C3%B3lio%20em%20PDF/Card%C3%ADaca_260302_175848_Fabio%20Rosa%201.pdf</t>
  </si>
  <si>
    <t>https://uniasselvi01-my.sharepoint.com/personal/elienai_cesar_uniasselvi_com_br1/Documents/Aplicativos/Microsoft%20Forms/Question%C3%A1rio%20sem%20t%C3%ADtulo/Envio%20da%20Lista%20de%20Presen%C3%A7a/TOT_260302_175818_Fabio%20Rosa.pdf</t>
  </si>
  <si>
    <t>https://uniasselvi01-my.sharepoint.com/personal/elienai_cesar_uniasselvi_com_br1/Documents/Aplicativos/Microsoft%20Forms/Question%C3%A1rio%20sem%20t%C3%ADtulo/Envio%20do%20Portf%C3%B3lio%20em%20PDF/TOT_260302_175818_Fabio%20Rosa.pdf</t>
  </si>
  <si>
    <t>https://uniasselvi01-my.sharepoint.com/personal/elienai_cesar_uniasselvi_com_br1/Documents/Aplicativos/Microsoft%20Forms/Question%C3%A1rio%20sem%20t%C3%ADtulo/Envio%20da%20Lista%20de%20Presen%C3%A7a/23-02-26-1-%20Lista%20de%20Presen%C3%A7a%20-%201%C2%BA%20momento_Aquiles%20Andrade.pdf; https://uniasselvi01-my.sharepoint.com/personal/elienai_cesar_uniasselvi_com_br1/Documents/Aplicativos/Microsoft%20Forms/Question%C3%A1rio%20sem%20t%C3%ADtulo/Envio%20da%20Lista%20de%20Presen%C3%A7a/23-02-26-2-%20Lista%20de%20Presen%C3%A7a%20-%202%C2%BA%20momento_Aquiles%20Andrade.pdf</t>
  </si>
  <si>
    <t>https://uniasselvi01-my.sharepoint.com/personal/elienai_cesar_uniasselvi_com_br1/Documents/Aplicativos/Microsoft%20Forms/Question%C3%A1rio%20sem%20t%C3%ADtulo/Envio%20do%20Portf%C3%B3lio%20em%20PDF/1.Tutor%20-%2023-02-26%20-%20Aquiles%20Andrade_Aquiles%20Andrade.pdf; https://uniasselvi01-my.sharepoint.com/personal/elienai_cesar_uniasselvi_com_br1/Documents/Aplicativos/Microsoft%20Forms/Question%C3%A1rio%20sem%20t%C3%ADtulo/Envio%20do%20Portf%C3%B3lio%20em%20PDF/2.Tutor%20-%2023-02-26%20-%20Aquiles%20Andrade_Aquiles%20Andrade.pdf</t>
  </si>
  <si>
    <t>gilberto.filho@tutorpratica.uniasselvi.com.br</t>
  </si>
  <si>
    <t>Gilberto Filho</t>
  </si>
  <si>
    <t>Três Lagoas/MS</t>
  </si>
  <si>
    <t>https://uniasselvi01-my.sharepoint.com/personal/elienai_cesar_uniasselvi_com_br1/Documents/Aplicativos/Microsoft%20Forms/Question%C3%A1rio%20sem%20t%C3%ADtulo/Envio%20da%20Lista%20de%20Presen%C3%A7a/20260223%20-%20PR%C3%81TICA%20-%20I_Gilberto%20Filho.pdf</t>
  </si>
  <si>
    <t>https://uniasselvi01-my.sharepoint.com/personal/elienai_cesar_uniasselvi_com_br1/Documents/Aplicativos/Microsoft%20Forms/Question%C3%A1rio%20sem%20t%C3%ADtulo/Envio%20do%20Portf%C3%B3lio%20em%20PDF/PORTIF%C3%93LIO%20-%2020260223%20-%20I_Gilberto%20Filho.pdf</t>
  </si>
  <si>
    <t>https://uniasselvi01-my.sharepoint.com/personal/elienai_cesar_uniasselvi_com_br1/Documents/Aplicativos/Microsoft%20Forms/Question%C3%A1rio%20sem%20t%C3%ADtulo/Envio%20da%20Lista%20de%20Presen%C3%A7a/20260223%20-%20PR%C3%81TICA%20-%20II_Gilberto%20Filho.pdf</t>
  </si>
  <si>
    <t>https://uniasselvi01-my.sharepoint.com/personal/elienai_cesar_uniasselvi_com_br1/Documents/Aplicativos/Microsoft%20Forms/Question%C3%A1rio%20sem%20t%C3%ADtulo/Envio%20do%20Portf%C3%B3lio%20em%20PDF/PORTIF%C3%93LIO%20-%2020260223%20-%20II_Gilberto%20Filho.pdf</t>
  </si>
  <si>
    <t>Saúde da mulher no período gravídico-puerperal;Trabalho de parto natural + Emergências obstétricas</t>
  </si>
  <si>
    <t>https://uniasselvi01-my.sharepoint.com/personal/elienai_cesar_uniasselvi_com_br1/Documents/Aplicativos/Microsoft%20Forms/Question%C3%A1rio%20sem%20t%C3%ADtulo/Envio%20da%20Lista%20de%20Presen%C3%A7a/presen%C3%A7a%20dia%2002-03_William%20Coimbra.jpeg</t>
  </si>
  <si>
    <t>https://uniasselvi01-my.sharepoint.com/personal/elienai_cesar_uniasselvi_com_br1/Documents/Aplicativos/Microsoft%20Forms/Question%C3%A1rio%20sem%20t%C3%ADtulo/Envio%20do%20Portf%C3%B3lio%20em%20PDF/foto%2002-03_William%20Coimbra.jpeg; https://uniasselvi01-my.sharepoint.com/personal/elienai_cesar_uniasselvi_com_br1/Documents/Aplicativos/Microsoft%20Forms/Question%C3%A1rio%20sem%20t%C3%ADtulo/Envio%20do%20Portf%C3%B3lio%20em%20PDF/fotov02-03%202_William%20Coimbra.jpeg</t>
  </si>
  <si>
    <t>https://uniasselvi01-my.sharepoint.com/personal/elienai_cesar_uniasselvi_com_br1/Documents/Aplicativos/Microsoft%20Forms/Question%C3%A1rio%20sem%20t%C3%ADtulo/Envio%20da%20Lista%20de%20Presen%C3%A7a/20260302%20-%20PR%C3%81TICA%20-%20I_Gilberto%20Filho.pdf</t>
  </si>
  <si>
    <t>https://uniasselvi01-my.sharepoint.com/personal/elienai_cesar_uniasselvi_com_br1/Documents/Aplicativos/Microsoft%20Forms/Question%C3%A1rio%20sem%20t%C3%ADtulo/Envio%20do%20Portf%C3%B3lio%20em%20PDF/PORTIF%C3%93LIO%20-%2020260302%20-%20I_Gilberto%20Filho.pdf</t>
  </si>
  <si>
    <t>https://uniasselvi01-my.sharepoint.com/personal/elienai_cesar_uniasselvi_com_br1/Documents/Aplicativos/Microsoft%20Forms/Question%C3%A1rio%20sem%20t%C3%ADtulo/Envio%20da%20Lista%20de%20Presen%C3%A7a/20260302%20-%20PR%C3%81TICA%20-%20II_Gilberto%20Filho.pdf</t>
  </si>
  <si>
    <t>https://uniasselvi01-my.sharepoint.com/personal/elienai_cesar_uniasselvi_com_br1/Documents/Aplicativos/Microsoft%20Forms/Question%C3%A1rio%20sem%20t%C3%ADtulo/Envio%20do%20Portf%C3%B3lio%20em%20PDF/PORTIF%C3%93LIO%20-%2020260302%20-%20II_Gilberto%20Filho.pdf</t>
  </si>
  <si>
    <t>giovana.nascimento@tutorpratica.uniasselvi.com.br</t>
  </si>
  <si>
    <t>Giovana Nascimento</t>
  </si>
  <si>
    <t>Campo Grande/MS - Santo Antonio</t>
  </si>
  <si>
    <t>Multidisciplinar I - Biomedicina e Farmácia</t>
  </si>
  <si>
    <t>Coleta de Sangue</t>
  </si>
  <si>
    <t>https://uniasselvi01-my.sharepoint.com/personal/elienai_cesar_uniasselvi_com_br1/Documents/Aplicativos/Microsoft%20Forms/Question%C3%A1rio%20sem%20t%C3%ADtulo/Pergunta/WhatsApp%20Image%202026-03-02%20at%2020.52.07_Giovana%20Nascimento.jpeg</t>
  </si>
  <si>
    <t>https://uniasselvi01-my.sharepoint.com/personal/elienai_cesar_uniasselvi_com_br1/Documents/Aplicativos/Microsoft%20Forms/Question%C3%A1rio%20sem%20t%C3%ADtulo/Pergunta%201/WhatsApp%20Video%202026-02-21%20at%2010.53.05_Giovana%20Nascimento.mp4</t>
  </si>
  <si>
    <t>Esfregaço e coloração de GRAM</t>
  </si>
  <si>
    <t>https://uniasselvi01-my.sharepoint.com/personal/elienai_cesar_uniasselvi_com_br1/_layouts/15/Doc.aspx?sourcedoc=%7B02AAEDF4-82EA-43C4-9647-692FE2DC147F%7D&amp;file=Lista%20de%20Presen%C3%A7a%20das%20Pr%C3%A1ticas%2028022026_Giovana%20Nascimento.docx&amp;action=default&amp;mobileredirect=true</t>
  </si>
  <si>
    <t>https://uniasselvi01-my.sharepoint.com/personal/elienai_cesar_uniasselvi_com_br1/_layouts/15/Doc.aspx?sourcedoc=%7B8A11DB22-80D4-4DE6-A42E-B2704C13DD26%7D&amp;file=Tutor%20-%20Portf%C3%B3lio%20das%20Atividades%20Pr%C3%A1ticas%20280_Giovana%20Nascimento.docx&amp;action=default&amp;mobileredirect=true</t>
  </si>
  <si>
    <t>https://uniasselvi01-my.sharepoint.com/personal/elienai_cesar_uniasselvi_com_br1/Documents/Aplicativos/Microsoft%20Forms/Question%C3%A1rio%20sem%20t%C3%ADtulo/Envio%20da%20Lista%20de%20Presen%C3%A7a/02-03-26-%20Lista%20de%20Presen%C3%A7a_Aquiles%20Andrade.pdf</t>
  </si>
  <si>
    <t>https://uniasselvi01-my.sharepoint.com/personal/elienai_cesar_uniasselvi_com_br1/Documents/Aplicativos/Microsoft%20Forms/Question%C3%A1rio%20sem%20t%C3%ADtulo/Envio%20do%20Portf%C3%B3lio%20em%20PDF/Tutor%20-%20Portf%C3%B3lio%20-%20Aquiles%20Andrade%20-%2002-03-2_Aquiles%20Andrade.pdf</t>
  </si>
  <si>
    <t>nathane.ramos@tutorpratica.uniasselvi.com.br</t>
  </si>
  <si>
    <t>Nathane Ramos</t>
  </si>
  <si>
    <t>Rondonópolis/MT</t>
  </si>
  <si>
    <t>https://uniasselvi01-my.sharepoint.com/personal/elienai_cesar_uniasselvi_com_br1/Documents/Aplicativos/Microsoft%20Forms/Question%C3%A1rio%20sem%20t%C3%ADtulo/Envio%20da%20Lista%20de%20Presen%C3%A7a%202/WhatsApp%20Image%202026-03-03%20at%2009.26.26_Nathane%20Ramos.jpeg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</si>
  <si>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%20Terapia%20nut_Nathane%20Ramos.pdf</t>
  </si>
  <si>
    <t>caio.oliveira@tutorpratica.uniasselvi.com.br</t>
  </si>
  <si>
    <t>Caio Oliveira</t>
  </si>
  <si>
    <t>Aracaju/SE - Ponto Novo</t>
  </si>
  <si>
    <t>https://uniasselvi01-my.sharepoint.com/personal/elienai_cesar_uniasselvi_com_br1/Documents/Aplicativos/Microsoft%20Forms/Question%C3%A1rio%20sem%20t%C3%ADtulo/Envio%20da%20Lista%20de%20Presen%C3%A7a/uniasselvi_Caio%20Oliveira.pdf</t>
  </si>
  <si>
    <t>https://uniasselvi01-my.sharepoint.com/personal/elienai_cesar_uniasselvi_com_br1/Documents/Aplicativos/Microsoft%20Forms/Question%C3%A1rio%20sem%20t%C3%ADtulo/Envio%20do%20Portf%C3%B3lio%20em%20PDF/caio_Caio%20Oliveira.pdf</t>
  </si>
  <si>
    <t>https://uniasselvi01-my.sharepoint.com/personal/elienai_cesar_uniasselvi_com_br1/Documents/Aplicativos/Microsoft%20Forms/Question%C3%A1rio%20sem%20t%C3%ADtulo/Envio%20da%20Lista%20de%20Presen%C3%A7a/WhatsApp%20Image%202026-03-03%20at%2021.32.25_Alina%20Silva.jpeg</t>
  </si>
  <si>
    <t>https://uniasselvi01-my.sharepoint.com/personal/elienai_cesar_uniasselvi_com_br1/Documents/Aplicativos/Microsoft%20Forms/Question%C3%A1rio%20sem%20t%C3%ADtulo/Envio%20do%20Portf%C3%B3lio%20em%20PDF/Avalia%C3%A7%C3%A3o%20corporal%20Ausculta%20pulmonar%20Ausculta_Alina%20Silva.pdf</t>
  </si>
  <si>
    <t>francine.cruvinel@tutorpratica.uniasselvi.com.br</t>
  </si>
  <si>
    <t>Francine Guterres</t>
  </si>
  <si>
    <t>https://uniasselvi01-my.sharepoint.com/personal/elienai_cesar_uniasselvi_com_br1/Documents/Aplicativos/Microsoft%20Forms/Question%C3%A1rio%20sem%20t%C3%ADtulo/Envio%20da%20Lista%20de%20Presen%C3%A7a/03.03_Francine%20Guterres.jpeg</t>
  </si>
  <si>
    <t>https://uniasselvi01-my.sharepoint.com/personal/elienai_cesar_uniasselvi_com_br1/_layouts/15/Doc.aspx?sourcedoc=%7B6589FC6D-1132-4059-816E-D6B21025948E%7D&amp;file=Portf%C3%B3lio%20Centro%20Obst%C3%A9trico_Francine%20Guterres.docx&amp;action=default&amp;mobileredirect=true</t>
  </si>
  <si>
    <t>helenice.melo@tutorpratica.uniasselvi.com.br</t>
  </si>
  <si>
    <t>Helenice Melo</t>
  </si>
  <si>
    <t>https://uniasselvi01-my.sharepoint.com/personal/elienai_cesar_uniasselvi_com_br1/Documents/Aplicativos/Microsoft%20Forms/Question%C3%A1rio%20sem%20t%C3%ADtulo/Envio%20da%20Lista%20de%20Presen%C3%A7a%201/WhatsApp%20Image%202026-03-04%20at%2013.14.24_Helenice%20Melo.jpeg</t>
  </si>
  <si>
    <t>https://uniasselvi01-my.sharepoint.com/personal/elienai_cesar_uniasselvi_com_br1/_layouts/15/Doc.aspx?sourcedoc=%7B481E3E07-531D-4A65-BCF1-BAB49AC95D84%7D&amp;file=Portf%C3%B3lio%20das%20Atividades%20Pr%C3%A1ticas%20%C3%93rtese%20e%20Pr_Helenice%20Melo.docx&amp;action=default&amp;mobileredirect=true</t>
  </si>
  <si>
    <t>sara.amann@tutorpratica.uniasselvi.com.br</t>
  </si>
  <si>
    <t>Sara Amann</t>
  </si>
  <si>
    <t>Sinop/MT</t>
  </si>
  <si>
    <t>https://uniasselvi01-my.sharepoint.com/personal/elienai_cesar_uniasselvi_com_br1/Documents/Aplicativos/Microsoft%20Forms/Question%C3%A1rio%20sem%20t%C3%ADtulo/Envio%20da%20Lista%20de%20Presen%C3%A7a/Presen%C3%A7a%2003.03.2026_Sara%20Amann.jpeg</t>
  </si>
  <si>
    <t>https://uniasselvi01-my.sharepoint.com/personal/elienai_cesar_uniasselvi_com_br1/_layouts/15/Doc.aspx?sourcedoc=%7B1057EA07-612C-4C27-B97A-9485E3EC0E6C%7D&amp;file=2026.03.03%20-%20Assist%C3%AAncia%20de%20Enfermagem%20em%20Ter_Sara%20Amann.docx&amp;action=default&amp;mobileredirect=true</t>
  </si>
  <si>
    <t>https://uniasselvi01-my.sharepoint.com/personal/elienai_cesar_uniasselvi_com_br1/Documents/Aplicativos/Microsoft%20Forms/Question%C3%A1rio%20sem%20t%C3%ADtulo/Envio%20da%20Lista%20de%20Presen%C3%A7a/Presen%C3%A7a%2024.02.2026_Sara%20Amann.jpeg</t>
  </si>
  <si>
    <t>https://uniasselvi01-my.sharepoint.com/personal/elienai_cesar_uniasselvi_com_br1/_layouts/15/Doc.aspx?sourcedoc=%7BF81993B9-311B-418C-9F64-F5003AD8546C%7D&amp;file=2026.02.24%20-%20Fundamentos%20de%20Enfermagem_Sara%20Amann.docx&amp;action=default&amp;mobileredirect=true</t>
  </si>
  <si>
    <t>https://uniasselvi01-my.sharepoint.com/personal/elienai_cesar_uniasselvi_com_br1/Documents/Aplicativos/Microsoft%20Forms/Question%C3%A1rio%20sem%20t%C3%ADtulo/Envio%20da%20Lista%20de%20Presen%C3%A7a/FREQUENCIA%20ASPIRA%C3%87%C3%83O%20DE%20VIAS%20A%C3%89REAS%20COM%20E%20SME_Ana%20Souz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</si>
  <si>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SP_Ana%20Souza.pdf</t>
  </si>
  <si>
    <t>https://uniasselvi01-my.sharepoint.com/personal/elienai_cesar_uniasselvi_com_br1/Documents/Aplicativos/Microsoft%20Forms/Question%C3%A1rio%20sem%20t%C3%ADtulo/Envio%20da%20Lista%20de%20Presen%C3%A7a%201/IMG_3007_Lorrine%20Silva.jpeg</t>
  </si>
  <si>
    <t>https://uniasselvi01-my.sharepoint.com/personal/elienai_cesar_uniasselvi_com_br1/Documents/Aplicativos/Microsoft%20Forms/Question%C3%A1rio%20sem%20t%C3%ADtulo/Envio%20do%20Portf%C3%B3lio%20em%20PDF%201/Portfo%CC%81lio%2004032026_Lorrine%20Silva.pdf</t>
  </si>
  <si>
    <t>Prática Traumato-Ortopédica em Coluna Vertebral: Manejo de Disfunções Cervicais, Torácicas e Lombares</t>
  </si>
  <si>
    <t>https://uniasselvi01-my.sharepoint.com/personal/elienai_cesar_uniasselvi_com_br1/Documents/Aplicativos/Microsoft%20Forms/Question%C3%A1rio%20sem%20t%C3%ADtulo/Envio%20da%20Lista%20de%20Presen%C3%A7a%201/26.02%20-%20chamada_Fabiano%20Bartmann.pdf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</si>
  <si>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202.pdf</t>
  </si>
  <si>
    <t>Prática de Mobilização Articular: Abordagens Terapêuticas em Recursos Manuais</t>
  </si>
  <si>
    <t>https://uniasselvi01-my.sharepoint.com/personal/elienai_cesar_uniasselvi_com_br1/Documents/Aplicativos/Microsoft%20Forms/Question%C3%A1rio%20sem%20t%C3%ADtulo/Envio%20da%20Lista%20de%20Presen%C3%A7a%201/26.02%20-%20chamada_Fabiano%20Bartmann%201.pdf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</si>
  <si>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203.pdf</t>
  </si>
  <si>
    <t>silvestre.assumpcao@tutorpratica.uniasselvi.com.br</t>
  </si>
  <si>
    <t>Silvestre Assumpcao</t>
  </si>
  <si>
    <t>Porto Alegre/RS - Centro Histórico</t>
  </si>
  <si>
    <t>QUÍMICA E FÍSICA - Condições de equilíbrio de um corpo rígido;QUÍMICA E FÍSICA - Conexões elétricas simples + Verificação da Primeira Lei de Ohm e da Lei de Joule</t>
  </si>
  <si>
    <t>https://uniasselvi01-my.sharepoint.com/personal/elienai_cesar_uniasselvi_com_br1/Documents/Aplicativos/Microsoft%20Forms/Question%C3%A1rio%20sem%20t%C3%ADtulo/Envio%20da%20Lista%20de%20Presen%C3%A7a%203/LIST.%20PRES.20260304_214401%20-%20Copiar_Silvestre%20Assumpcao.PDF; https://uniasselvi01-my.sharepoint.com/personal/elienai_cesar_uniasselvi_com_br1/Documents/Aplicativos/Microsoft%20Forms/Question%C3%A1rio%20sem%20t%C3%ADtulo/Envio%20da%20Lista%20de%20Presen%C3%A7a%203/LIST.%20PRES.20260304_214409_Silvestre%20Assumpcao.PDF</t>
  </si>
  <si>
    <t>https://uniasselvi01-my.sharepoint.com/personal/elienai_cesar_uniasselvi_com_br1/Documents/Aplicativos/Microsoft%20Forms/Question%C3%A1rio%20sem%20t%C3%ADtulo/Envio%20do%20Portf%C3%B3lio%20em%20PDF%203/20260304_205449_Silvestre%20Assumpcao.PDF; https://uniasselvi01-my.sharepoint.com/personal/elienai_cesar_uniasselvi_com_br1/Documents/Aplicativos/Microsoft%20Forms/Question%C3%A1rio%20sem%20t%C3%ADtulo/Envio%20do%20Portf%C3%B3lio%20em%20PDF%203/20260304_193704_Silvestre%20Assumpcao.PDF; https://uniasselvi01-my.sharepoint.com/personal/elienai_cesar_uniasselvi_com_br1/Documents/Aplicativos/Microsoft%20Forms/Question%C3%A1rio%20sem%20t%C3%ADtulo/Envio%20do%20Portf%C3%B3lio%20em%20PDF%203/20260304_184308_Silvestre%20Assumpcao.PDF</t>
  </si>
  <si>
    <t>https://uniasselvi01-my.sharepoint.com/personal/elienai_cesar_uniasselvi_com_br1/Documents/Aplicativos/Microsoft%20Forms/Question%C3%A1rio%20sem%20t%C3%ADtulo/Envio%20da%20Lista%20de%20Presen%C3%A7a%202/WhatsApp%20Image%202026-03-05%20at%2013.06.39_Bruna%20Hack.jpeg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</si>
  <si>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20-%20A_Bruna%20Hack.pdf</t>
  </si>
  <si>
    <t>https://uniasselvi01-my.sharepoint.com/personal/elienai_cesar_uniasselvi_com_br1/Documents/Aplicativos/Microsoft%20Forms/Question%C3%A1rio%20sem%20t%C3%ADtulo/Envio%20da%20Lista%20de%20Presen%C3%A7a%201/IMG_0927_Lucas%20Medeiros.PNG</t>
  </si>
  <si>
    <t>https://uniasselvi01-my.sharepoint.com/personal/elienai_cesar_uniasselvi_com_br1/Documents/Aplicativos/Microsoft%20Forms/Question%C3%A1rio%20sem%20t%C3%ADtulo/Envio%20do%20Portf%C3%B3lio%20em%20PDF%201/orto2_Lucas%20Medeiros.pdf</t>
  </si>
  <si>
    <t>https://uniasselvi01-my.sharepoint.com/personal/elienai_cesar_uniasselvi_com_br1/Documents/Aplicativos/Microsoft%20Forms/Question%C3%A1rio%20sem%20t%C3%ADtulo/Envio%20da%20Lista%20de%20Presen%C3%A7a%201/IMG_0928_Lucas%20Medeiros.PNG</t>
  </si>
  <si>
    <t>https://uniasselvi01-my.sharepoint.com/personal/elienai_cesar_uniasselvi_com_br1/Documents/Aplicativos/Microsoft%20Forms/Question%C3%A1rio%20sem%20t%C3%ADtulo/Envio%20do%20Portf%C3%B3lio%20em%20PDF%201/IMG_0929_Lucas%20Medeiros.PNG</t>
  </si>
  <si>
    <t>https://uniasselvi01-my.sharepoint.com/personal/elienai_cesar_uniasselvi_com_br1/Documents/Aplicativos/Microsoft%20Forms/Question%C3%A1rio%20sem%20t%C3%ADtulo/Envio%20da%20Lista%20de%20Presen%C3%A7a/04.03_Francine%20Guterres.jpeg</t>
  </si>
  <si>
    <t>https://uniasselvi01-my.sharepoint.com/personal/elienai_cesar_uniasselvi_com_br1/_layouts/15/Doc.aspx?sourcedoc=%7BAC7E7F77-73FC-408C-8E70-0009B6EC60B9%7D&amp;file=Portf%C3%B3lio%20das%20Atividades%20Pr%C3%A1ticas%20-%20Fundament_Francine%20Guterres.dot&amp;action=default&amp;mobileredirect=true</t>
  </si>
  <si>
    <t>sara.gomes@tutorpratica.uniasselvi.com.br</t>
  </si>
  <si>
    <t>Sara Gomes</t>
  </si>
  <si>
    <t>Sapé/PB</t>
  </si>
  <si>
    <t>https://uniasselvi01-my.sharepoint.com/personal/elienai_cesar_uniasselvi_com_br1/Documents/Aplicativos/Microsoft%20Forms/Question%C3%A1rio%20sem%20t%C3%ADtulo/Envio%20da%20Lista%20de%20Presen%C3%A7a/lista%20de%20presen%C3%A7a%20sape_Sara%20Gomes.pdf</t>
  </si>
  <si>
    <t>https://uniasselvi01-my.sharepoint.com/personal/elienai_cesar_uniasselvi_com_br1/_layouts/15/Doc.aspx?sourcedoc=%7B6B396F35-F496-41B6-8DF4-2F8E2256C123%7D&amp;file=RELATORIO%20FUNDAMENTOS%20DE%20ENFERMAGEM%204%20PERIODO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</si>
  <si>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https://uniasselvi01-my.sharepoint.com/personal/elienai_cesar_uniasselvi_com_br1/Documents/Aplicativos/Microsoft%20Forms/Question%C3%A1rio%20sem%20t%C3%ADtulo/Envio%20da%20Lista%20de%20Presen%C3%A7a/WhatsApp%20Image%202026-03-05%20at%2021.07.13_Conceicao%20Delphino.jpeg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</si>
  <si>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Uniasselvi_Conceicao%20Delphino%201.pdf; https://uniasselvi01-my.sharepoint.com/personal/elienai_cesar_uniasselvi_com_br1/Documents/Aplicativos/Microsoft%20Forms/Question%C3%A1rio%20sem%20t%C3%ADtulo/Envio%20do%20Portf%C3%B3lio%20em%20PDF/WhatsApp%20Image%202026-03-05%20at%2020.33.33_Conceicao%20Delphino.jpeg; https://uniasselvi01-my.sharepoint.com/personal/elienai_cesar_uniasselvi_com_br1/Documents/Aplicativos/Microsoft%20Forms/Question%C3%A1rio%20sem%20t%C3%ADtulo/Envio%20do%20Portf%C3%B3lio%20em%20PDF/WhatsApp%20Image%202026-03-05%20at%2021.07.32_Conceicao%20Delphino.jpeg; https://uniasselvi01-my.sharepoint.com/personal/elienai_cesar_uniasselvi_com_br1/Documents/Aplicativos/Microsoft%20Forms/Question%C3%A1rio%20sem%20t%C3%ADtulo/Envio%20do%20Portf%C3%B3lio%20em%20PDF/WhatsApp%20Image%202026-03-05%20at%2021.07.32%20(1)_Conceicao%20Delphino.jpeg</t>
  </si>
  <si>
    <t>ENGMAKER - Simulação e análise de um circuito RLC série</t>
  </si>
  <si>
    <t>https://uniasselvi01-my.sharepoint.com/personal/elienai_cesar_uniasselvi_com_br1/Documents/Aplicativos/Microsoft%20Forms/Question%C3%A1rio%20sem%20t%C3%ADtulo/Envio%20da%20Lista%20de%20Presen%C3%A7a%203/MODELO_Lista%20de%20Presen%C3%A7a%20das%20Pr%C3%A1ticas_Gabriela%20Santos%203.pdf</t>
  </si>
  <si>
    <t>https://uniasselvi01-my.sharepoint.com/personal/elienai_cesar_uniasselvi_com_br1/Documents/Aplicativos/Microsoft%20Forms/Question%C3%A1rio%20sem%20t%C3%ADtulo/Envio%20do%20Portf%C3%B3lio%20em%20PDF%203/Portf%C3%B3lio%20pratica%20Simula%C3%A7%C3%A3o%20e%20an%C3%A1lise%20de%20um%20c_Gabriela%20Santos.pdf</t>
  </si>
  <si>
    <t>https://uniasselvi01-my.sharepoint.com/personal/elienai_cesar_uniasselvi_com_br1/Documents/Aplicativos/Microsoft%20Forms/Question%C3%A1rio%20sem%20t%C3%ADtulo/Envio%20da%20Lista%20de%20Presen%C3%A7a%202/Lista%20de%20presen%C3%A7a_Izabela%20Biela.jpeg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</si>
  <si>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20-%20A_Izabela%20Biela.pdf</t>
  </si>
  <si>
    <t>Paulo Afonso/BA</t>
  </si>
  <si>
    <t>https://uniasselvi01-my.sharepoint.com/personal/elienai_cesar_uniasselvi_com_br1/_layouts/15/Doc.aspx?sourcedoc=%7B4D7B0697-2BC9-40F5-863E-C30C6865E9EC%7D&amp;file=Lista%20de%20presen%C3%A7a%20Recursos%20Mobiliza%C3%A7%C3%A3o%20Articu_Vanessa%20Varjao.docx&amp;action=default&amp;mobileredirect=true</t>
  </si>
  <si>
    <t>https://uniasselvi01-my.sharepoint.com/personal/elienai_cesar_uniasselvi_com_br1/_layouts/15/Doc.aspx?sourcedoc=%7B39C87CCB-BCD0-4835-A5D2-C1079FA01A52%7D&amp;file=Portf%C3%B3lio%20Mobiliza%C3%A7%C3%A3o%20articular_Vanessa%20Varjao.docx&amp;action=default&amp;mobileredirect=true</t>
  </si>
  <si>
    <t>https://uniasselvi01-my.sharepoint.com/personal/elienai_cesar_uniasselvi_com_br1/_layouts/15/Doc.aspx?sourcedoc=%7B2B355688-05D8-4B5A-8167-5BD5956EDC1D%7D&amp;file=Lista%20de%20presen%C3%A7a%20Traumato,Disfun%C3%A7oes%20coluna_Vanessa%20Varjao.docx&amp;action=default&amp;mobileredirect=true</t>
  </si>
  <si>
    <t>https://uniasselvi01-my.sharepoint.com/personal/elienai_cesar_uniasselvi_com_br1/_layouts/15/Doc.aspx?sourcedoc=%7BF6BAF8A9-9A06-46CF-8CF8-6A8B43934419%7D&amp;file=Portf%C3%B3lio%20Traumato%20disfun%C3%A7oes_Vanessa%20Varjao.docx&amp;action=default&amp;mobileredirect=true</t>
  </si>
  <si>
    <t>https://uniasselvi01-my.sharepoint.com/personal/elienai_cesar_uniasselvi_com_br1/Documents/Aplicativos/Microsoft%20Forms/Question%C3%A1rio%20sem%20t%C3%ADtulo/Envio%20da%20Lista%20de%20Presen%C3%A7a/20260307_085409_Daniela%20Madruga.jpg</t>
  </si>
  <si>
    <t>https://uniasselvi01-my.sharepoint.com/personal/elienai_cesar_uniasselvi_com_br1/_layouts/15/Doc.aspx?sourcedoc=%7BA6BA731D-14CD-4836-A318-3C6F47F712CC%7D&amp;file=Tutor%20-%20assitencia%20de%20enfermagem%20em%20centro%20ob_Daniela%20Madruga.docx&amp;action=default&amp;mobileredirect=true</t>
  </si>
  <si>
    <t>geonice.baratieri@regentedepolo.uniasselvi.com.br</t>
  </si>
  <si>
    <t>Geonice Baratieri</t>
  </si>
  <si>
    <t>Cascavel/PR</t>
  </si>
  <si>
    <t>Aspiração de vias aéreas (com e sem TOT);Administração  de medicamento por Cateter Venoso Central + Monitorização hemodinâmica  do paciente;Trabalho de parto natural + Emergências obstétricas</t>
  </si>
  <si>
    <t>https://uniasselvi01-my.sharepoint.com/personal/elienai_cesar_uniasselvi_com_br1/Documents/Aplicativos/Microsoft%20Forms/Question%C3%A1rio%20sem%20t%C3%ADtulo/Envio%20da%20Lista%20de%20Presen%C3%A7a/Coscovel%20-%20PR%20LISTA%20DE%20PRESENCA_Geonice%20Baratieri.pdf</t>
  </si>
  <si>
    <t>https://uniasselvi01-my.sharepoint.com/personal/elienai_cesar_uniasselvi_com_br1/_layouts/15/Doc.aspx?sourcedoc=%7B488D2644-E826-4112-9687-F740D82E18FA%7D&amp;file=Tutor%20-%20Portf%C3%B3lio%20das%20Atividades%20Pr%C3%A1ticas_Geonice%20Baratieri.docx&amp;action=default&amp;mobileredirect=true</t>
  </si>
  <si>
    <t>https://uniasselvi01-my.sharepoint.com/personal/elienai_cesar_uniasselvi_com_br1/Documents/Aplicativos/Microsoft%20Forms/Question%C3%A1rio%20sem%20t%C3%ADtulo/Envio%20da%20Lista%20de%20Presen%C3%A7a/20260307_110700%20(1)_Daniela%20Madruga.jpg</t>
  </si>
  <si>
    <t>https://uniasselvi01-my.sharepoint.com/personal/elienai_cesar_uniasselvi_com_br1/_layouts/15/Doc.aspx?sourcedoc=%7B3F853719-005F-409E-9FBC-07ECB66E8666%7D&amp;file=Tutor%20-%20assitencia%20de%20enfermagem%20-%20fundamento_Daniela%20Madruga.docx&amp;action=default&amp;mobileredirect=true</t>
  </si>
  <si>
    <t>https://uniasselvi01-my.sharepoint.com/personal/elienai_cesar_uniasselvi_com_br1/Documents/Aplicativos/Microsoft%20Forms/Question%C3%A1rio%20sem%20t%C3%ADtulo/Envio%20da%20Lista%20de%20Presen%C3%A7a/CamScanner%2007-03-2026%2009.35_1_Romulo%20Pinto.jpg; https://uniasselvi01-my.sharepoint.com/personal/elienai_cesar_uniasselvi_com_br1/Documents/Aplicativos/Microsoft%20Forms/Question%C3%A1rio%20sem%20t%C3%ADtulo/Envio%20da%20Lista%20de%20Presen%C3%A7a/CamScanner%2007-03-2026%2009.35_2_Romulo%20Pinto.jpg</t>
  </si>
  <si>
    <t>https://uniasselvi01-my.sharepoint.com/personal/elienai_cesar_uniasselvi_com_br1/Documents/Aplicativos/Microsoft%20Forms/Question%C3%A1rio%20sem%20t%C3%ADtulo/Envio%20do%20Portf%C3%B3lio%20em%20PDF/02%20-%20Tutor%20-%20Portf%C3%B3lio%20das%20Atividades%20Pr%C3%A1tica_Romulo%20Pinto.pdf</t>
  </si>
  <si>
    <t>QUÍMICA E FÍSICA - Associação De Resistores Em Série e Paralelo;QUÍMICA E FÍSICA - Experimento de Oersted</t>
  </si>
  <si>
    <t>https://uniasselvi01-my.sharepoint.com/personal/elienai_cesar_uniasselvi_com_br1/Documents/Aplicativos/Microsoft%20Forms/Question%C3%A1rio%20sem%20t%C3%ADtulo/Envio%20da%20Lista%20de%20Presen%C3%A7a%203/20260304_214401%20-%20Copiar_Silvestre%20Assumpcao.PDF; https://uniasselvi01-my.sharepoint.com/personal/elienai_cesar_uniasselvi_com_br1/Documents/Aplicativos/Microsoft%20Forms/Question%C3%A1rio%20sem%20t%C3%ADtulo/Envio%20da%20Lista%20de%20Presen%C3%A7a%203/20260306_210648_Silvestre%20Assumpcao.PDF</t>
  </si>
  <si>
    <t>https://uniasselvi01-my.sharepoint.com/personal/elienai_cesar_uniasselvi_com_br1/Documents/Aplicativos/Microsoft%20Forms/Question%C3%A1rio%20sem%20t%C3%ADtulo/Envio%20do%20Portf%C3%B3lio%20em%20PDF%203/20260306_210614_Silvestre%20Assumpcao.PDF; https://uniasselvi01-my.sharepoint.com/personal/elienai_cesar_uniasselvi_com_br1/Documents/Aplicativos/Microsoft%20Forms/Question%C3%A1rio%20sem%20t%C3%ADtulo/Envio%20do%20Portf%C3%B3lio%20em%20PDF%203/20260306_210648_Silvestre%20Assumpcao.PDF</t>
  </si>
  <si>
    <t>https://uniasselvi01-my.sharepoint.com/personal/elienai_cesar_uniasselvi_com_br1/Documents/Aplicativos/Microsoft%20Forms/Question%C3%A1rio%20sem%20t%C3%ADtulo/Envio%20da%20Lista%20de%20Presen%C3%A7a/IMG-20260307-WA0256_Marilene%20Silva.jpeg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</si>
  <si>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201_Marilene%20Silva.pdf</t>
  </si>
  <si>
    <t>https://uniasselvi01-my.sharepoint.com/personal/elienai_cesar_uniasselvi_com_br1/Documents/Aplicativos/Microsoft%20Forms/Question%C3%A1rio%20sem%20t%C3%ADtulo/Envio%20da%20Lista%20de%20Presen%C3%A7a/lista%202_Marilene%20Silva.jpeg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</si>
  <si>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202_Marilene%20Silva.pdf</t>
  </si>
  <si>
    <t>mariana.oliveira@tutorpratica.uniasselvi.com.br</t>
  </si>
  <si>
    <t>Mariana Oliveira</t>
  </si>
  <si>
    <t>Canoas/RS - Centro</t>
  </si>
  <si>
    <t>https://uniasselvi01-my.sharepoint.com/personal/elienai_cesar_uniasselvi_com_br1/Documents/Aplicativos/Microsoft%20Forms/Question%C3%A1rio%20sem%20t%C3%ADtulo/Envio%20da%20Lista%20de%20Presen%C3%A7a/LISTA%20DE%20PRESENC%CC%A7A%20CURATIVO%2026.02.2026_Mariana%20Oliveira.pdf</t>
  </si>
  <si>
    <t>https://uniasselvi01-my.sharepoint.com/personal/elienai_cesar_uniasselvi_com_br1/Documents/Aplicativos/Microsoft%20Forms/Question%C3%A1rio%20sem%20t%C3%ADtulo/Envio%20do%20Portf%C3%B3lio%20em%20PDF/AULA%20CURATIVO%2026.02.2026_Mariana%20Oliveira.pdf</t>
  </si>
  <si>
    <t>https://uniasselvi01-my.sharepoint.com/personal/elienai_cesar_uniasselvi_com_br1/Documents/Aplicativos/Microsoft%20Forms/Question%C3%A1rio%20sem%20t%C3%ADtulo/Envio%20da%20Lista%20de%20Presen%C3%A7a/LISTA%20DE%20PRESENCA%20AULA%20AUSCULTAS%20CARDIO%20E%20PUL_Mariana%20Oliveira.pdf</t>
  </si>
  <si>
    <t>https://uniasselvi01-my.sharepoint.com/personal/elienai_cesar_uniasselvi_com_br1/Documents/Aplicativos/Microsoft%20Forms/Question%C3%A1rio%20sem%20t%C3%ADtulo/Envio%20do%20Portf%C3%B3lio%20em%20PDF/AULA%20AVAL.CORPORAL,%20AUSCULTAS%20CARDIO%20E%20PULM._Mariana%20Oliveira.pdf</t>
  </si>
  <si>
    <t>elaine.oliveira@regentedepolo.uniasselvi.com.br</t>
  </si>
  <si>
    <t>Elaine Oliveira</t>
  </si>
  <si>
    <t>Colíder/MT</t>
  </si>
  <si>
    <t>https://uniasselvi01-my.sharepoint.com/personal/elienai_cesar_uniasselvi_com_br1/Documents/Aplicativos/Microsoft%20Forms/Question%C3%A1rio%20sem%20t%C3%ADtulo/Envio%20da%20Lista%20de%20Presen%C3%A7a/1%20lista%20de%20presen%C3%A7a%20UTI%20aula%20pratica%20polo%20col_Elaine%20Oliveira.pdf; https://uniasselvi01-my.sharepoint.com/personal/elienai_cesar_uniasselvi_com_br1/Documents/Aplicativos/Microsoft%20Forms/Question%C3%A1rio%20sem%20t%C3%ADtulo/Envio%20da%20Lista%20de%20Presen%C3%A7a/2%20lista%20%20de%20presen%C3%A7a%20UTI%20aula%20pratica%20polo%20co_Elaine%20Oliveira.pdf</t>
  </si>
  <si>
    <t>https://uniasselvi01-my.sharepoint.com/personal/elienai_cesar_uniasselvi_com_br1/Documents/Aplicativos/Microsoft%20Forms/Question%C3%A1rio%20sem%20t%C3%ADtulo/Envio%20do%20Portf%C3%B3lio%20em%20PDF/PRATICA%20UTI%20UNIASSELVI%20COLIDER%20MT%202026_Elaine%20Oliveira.pdf</t>
  </si>
  <si>
    <t>https://uniasselvi01-my.sharepoint.com/personal/elienai_cesar_uniasselvi_com_br1/Documents/Aplicativos/Microsoft%20Forms/Question%C3%A1rio%20sem%20t%C3%ADtulo/Envio%20da%20Lista%20de%20Presen%C3%A7a/lista%20de%20presen%C3%A7a%20pratica%20centro%20obstetrico_Elaine%20Oliveira.pdf</t>
  </si>
  <si>
    <t>https://uniasselvi01-my.sharepoint.com/personal/elienai_cesar_uniasselvi_com_br1/Documents/Aplicativos/Microsoft%20Forms/Question%C3%A1rio%20sem%20t%C3%ADtulo/Envio%20do%20Portf%C3%B3lio%20em%20PDF/PRATICA%20CENTRO%20OBSTETRICO%20LABORATORIO%20%20UNIASS_Elaine%20Oliveira.pdf</t>
  </si>
  <si>
    <t>laurilene.mota@tutorpratica.uniasselvi.com.br</t>
  </si>
  <si>
    <t>Laurilene Mota</t>
  </si>
  <si>
    <t>Novo Progresso/PA</t>
  </si>
  <si>
    <t>https://uniasselvi01-my.sharepoint.com/personal/elienai_cesar_uniasselvi_com_br1/Documents/Aplicativos/Microsoft%20Forms/Question%C3%A1rio%20sem%20t%C3%ADtulo/Envio%20da%20Lista%20de%20Presen%C3%A7a/WhatsApp%20Image%202026-03-08%20at%2017.30.37_Laurilene%20Mota.jpeg</t>
  </si>
  <si>
    <t>https://uniasselvi01-my.sharepoint.com/personal/elienai_cesar_uniasselvi_com_br1/_layouts/15/Doc.aspx?sourcedoc=%7B801C7DD5-DCD3-44F9-826F-EB6740B9F6DA%7D&amp;file=Aula%20de%20cuativos%20dia%2004%20Uniasselvil_Laurilene%20Mota.docx&amp;action=default&amp;mobileredirect=true</t>
  </si>
  <si>
    <t>https://uniasselvi01-my.sharepoint.com/personal/elienai_cesar_uniasselvi_com_br1/Documents/Aplicativos/Microsoft%20Forms/Question%C3%A1rio%20sem%20t%C3%ADtulo/Envio%20da%20Lista%20de%20Presen%C3%A7a%202/WhatsApp%20Image%202026-03-08%20at%2021.14.29%20(2)_Natalia%20Mattos.jpeg; https://uniasselvi01-my.sharepoint.com/personal/elienai_cesar_uniasselvi_com_br1/Documents/Aplicativos/Microsoft%20Forms/Question%C3%A1rio%20sem%20t%C3%ADtulo/Envio%20da%20Lista%20de%20Presen%C3%A7a%202/WhatsApp%20Image%202026-03-08%20at%2021.14.29%20(1)_Natalia%20Mattos.jpeg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</si>
  <si>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.doc_Natalia%20Mattos.pdf</t>
  </si>
  <si>
    <t>https://uniasselvi01-my.sharepoint.com/personal/elienai_cesar_uniasselvi_com_br1/Documents/Aplicativos/Microsoft%20Forms/Question%C3%A1rio%20sem%20t%C3%ADtulo/Envio%20da%20Lista%20de%20Presen%C3%A7a%202/WhatsApp%20Image%202026-03-08%20at%2021.14.29_Natalia%20Mattos.jpeg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</si>
  <si>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.doc_Natalia%20Mattos%201.pdf</t>
  </si>
  <si>
    <t>kamila.sena@tutorpratica.uniasselvi.com.br</t>
  </si>
  <si>
    <t>Kamila Sena</t>
  </si>
  <si>
    <t>Santo André/SP</t>
  </si>
  <si>
    <t>https://uniasselvi01-my.sharepoint.com/personal/elienai_cesar_uniasselvi_com_br1/Documents/Aplicativos/Microsoft%20Forms/Question%C3%A1rio%20sem%20t%C3%ADtulo/Envio%20da%20Lista%20de%20Presen%C3%A7a/IMG_20260223_214651957_MP_AE_Kamila%20Sena.jpg</t>
  </si>
  <si>
    <t>https://uniasselvi01-my.sharepoint.com/personal/elienai_cesar_uniasselvi_com_br1/Documents/Aplicativos/Microsoft%20Forms/Question%C3%A1rio%20sem%20t%C3%ADtulo/Envio%20do%20Portf%C3%B3lio%20em%20PDF/IMG_20260223_214358474_MP_AE_Kamila%20Sena.jpg</t>
  </si>
  <si>
    <t>Aspiração de vias aéreas (com e sem TOT);Trabalho de parto natural + Emergências obstétricas</t>
  </si>
  <si>
    <t>https://uniasselvi01-my.sharepoint.com/personal/elienai_cesar_uniasselvi_com_br1/Documents/Aplicativos/Microsoft%20Forms/Question%C3%A1rio%20sem%20t%C3%ADtulo/Envio%20da%20Lista%20de%20Presen%C3%A7a/IMG_20260302_205332889_MP_AE_Kamila%20Sena.jpg</t>
  </si>
  <si>
    <t>https://uniasselvi01-my.sharepoint.com/personal/elienai_cesar_uniasselvi_com_br1/Documents/Aplicativos/Microsoft%20Forms/Question%C3%A1rio%20sem%20t%C3%ADtulo/Envio%20do%20Portf%C3%B3lio%20em%20PDF/IMG_20260302_204226636_MP_AE_Kamila%20Sena.jpg; https://uniasselvi01-my.sharepoint.com/personal/elienai_cesar_uniasselvi_com_br1/Documents/Aplicativos/Microsoft%20Forms/Question%C3%A1rio%20sem%20t%C3%ADtulo/Envio%20do%20Portf%C3%B3lio%20em%20PDF/IMG_20260302_204147997_MP_AE_Kamila%20Sena.jpg; https://uniasselvi01-my.sharepoint.com/personal/elienai_cesar_uniasselvi_com_br1/Documents/Aplicativos/Microsoft%20Forms/Question%C3%A1rio%20sem%20t%C3%ADtulo/Envio%20do%20Portf%C3%B3lio%20em%20PDF/IMG_20260302_201626837_MP_AE_Kamila%20Sena.jpg; https://uniasselvi01-my.sharepoint.com/personal/elienai_cesar_uniasselvi_com_br1/Documents/Aplicativos/Microsoft%20Forms/Question%C3%A1rio%20sem%20t%C3%ADtulo/Envio%20do%20Portf%C3%B3lio%20em%20PDF/IMG_20260302_201634159_MP_AE_Kamila%20Sena.jpg; https://uniasselvi01-my.sharepoint.com/personal/elienai_cesar_uniasselvi_com_br1/Documents/Aplicativos/Microsoft%20Forms/Question%C3%A1rio%20sem%20t%C3%ADtulo/Envio%20do%20Portf%C3%B3lio%20em%20PDF/IMG_20260302_202140489_MP_AE_Kamila%20Sena.jpg</t>
  </si>
  <si>
    <t>https://uniasselvi01-my.sharepoint.com/personal/elienai_cesar_uniasselvi_com_br1/Documents/Aplicativos/Microsoft%20Forms/Question%C3%A1rio%20sem%20t%C3%ADtulo/Envio%20da%20Lista%20de%20Presen%C3%A7a%201/turma%201_Fabiano%20Bartmann.pdf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</si>
  <si>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204.pdf</t>
  </si>
  <si>
    <t>https://uniasselvi01-my.sharepoint.com/personal/elienai_cesar_uniasselvi_com_br1/Documents/Aplicativos/Microsoft%20Forms/Question%C3%A1rio%20sem%20t%C3%ADtulo/Envio%20da%20Lista%20de%20Presen%C3%A7a%201/turma%202%20unido_Fabiano%20Bartmann.pdf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</si>
  <si>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205.pdf</t>
  </si>
  <si>
    <t>https://uniasselvi01-my.sharepoint.com/personal/elienai_cesar_uniasselvi_com_br1/Documents/Aplicativos/Microsoft%20Forms/Question%C3%A1rio%20sem%20t%C3%ADtulo/Envio%20da%20Lista%20de%20Presen%C3%A7a/20260309_105629_Larissa%20Ventura.jpg</t>
  </si>
  <si>
    <t>https://uniasselvi01-my.sharepoint.com/personal/elienai_cesar_uniasselvi_com_br1/Documents/Aplicativos/Microsoft%20Forms/Question%C3%A1rio%20sem%20t%C3%ADtulo/Envio%20do%20Portf%C3%B3lio%20em%20PDF/portfolio%20curativo_Larissa%20Ventura.pdf; https://uniasselvi01-my.sharepoint.com/personal/elienai_cesar_uniasselvi_com_br1/Documents/Aplicativos/Microsoft%20Forms/Question%C3%A1rio%20sem%20t%C3%ADtulo/Envio%20do%20Portf%C3%B3lio%20em%20PDF/portfolio%20avalia%C3%A7%C3%A3o%20corporal_Larissa%20Ventura.pdf</t>
  </si>
  <si>
    <t>https://uniasselvi01-my.sharepoint.com/personal/elienai_cesar_uniasselvi_com_br1/Documents/Aplicativos/Microsoft%20Forms/Question%C3%A1rio%20sem%20t%C3%ADtulo/Envio%20da%20Lista%20de%20Presen%C3%A7a/20260309_105655_Larissa%20Ventura.jpg</t>
  </si>
  <si>
    <t>https://uniasselvi01-my.sharepoint.com/personal/elienai_cesar_uniasselvi_com_br1/Documents/Aplicativos/Microsoft%20Forms/Question%C3%A1rio%20sem%20t%C3%ADtulo/Envio%20do%20Portf%C3%B3lio%20em%20PDF/portfolio%20%20Trabalho%20de%20parto%20natural%20+%20Emerg%C3%AA_Larissa%20Ventura.pdf</t>
  </si>
  <si>
    <t>william.acarini@tutorpratica.uniasselvi.com.br</t>
  </si>
  <si>
    <t>William Acarini</t>
  </si>
  <si>
    <t>Palhoça/SC</t>
  </si>
  <si>
    <t>Coleta de Sangue;Contagem diferencial de leucócitos;Esfregaço e coloração de GRAM;Esfregaço sanguíneo e colorações  (contagem diferencial de leucócitos)</t>
  </si>
  <si>
    <t>https://uniasselvi01-my.sharepoint.com/personal/elienai_cesar_uniasselvi_com_br1/Documents/Aplicativos/Microsoft%20Forms/Question%C3%A1rio%20sem%20t%C3%ADtulo/Pergunta/LISTA%20DE%20PRESENCA%2019-02_William%20Acarini.jpg</t>
  </si>
  <si>
    <t>https://uniasselvi01-my.sharepoint.com/personal/elienai_cesar_uniasselvi_com_br1/Documents/Aplicativos/Microsoft%20Forms/Question%C3%A1rio%20sem%20t%C3%ADtulo/Pergunta%201/COLETA%20DE%20SANGUE%20E%20ESFREGA%C3%87O%20SANGUINEO%20202601_William%20Acarini.pdf</t>
  </si>
  <si>
    <t>Preparo de meio de cultura II;Técnicas de inoculação;Preparo de meio de cultura I</t>
  </si>
  <si>
    <t>https://uniasselvi01-my.sharepoint.com/personal/elienai_cesar_uniasselvi_com_br1/Documents/Aplicativos/Microsoft%20Forms/Question%C3%A1rio%20sem%20t%C3%ADtulo/Pergunta/66986_William%20Acarini.jpg</t>
  </si>
  <si>
    <t>https://uniasselvi01-my.sharepoint.com/personal/elienai_cesar_uniasselvi_com_br1/Documents/Aplicativos/Microsoft%20Forms/Question%C3%A1rio%20sem%20t%C3%ADtulo/Pergunta%201/preparo%20e%20tecnicas%20de%20inocula%C3%A7ao_William%20Acarini.pdf</t>
  </si>
  <si>
    <t>https://uniasselvi01-my.sharepoint.com/personal/elienai_cesar_uniasselvi_com_br1/Documents/Aplicativos/Microsoft%20Forms/Question%C3%A1rio%20sem%20t%C3%ADtulo/Envio%20da%20Lista%20de%20Presen%C3%A7a%205/Lista%20de%20presen%C3%A7a_Michelle%20Pantoja.pdf</t>
  </si>
  <si>
    <t>https://uniasselvi01-my.sharepoint.com/personal/elienai_cesar_uniasselvi_com_br1/Documents/Aplicativos/Microsoft%20Forms/Question%C3%A1rio%20sem%20t%C3%ADtulo/Envio%20do%20Portf%C3%B3lio%20em%20PDF%205/Tutor%20-%20Portf%C3%B3lio%20das%20Atividades%20Pr%C3%A1ticas_Michelle%20Pantoja%201.pdf</t>
  </si>
  <si>
    <t>https://uniasselvi01-my.sharepoint.com/personal/elienai_cesar_uniasselvi_com_br1/Documents/Aplicativos/Microsoft%20Forms/Question%C3%A1rio%20sem%20t%C3%ADtulo/Envio%20da%20Lista%20de%20Presen%C3%A7a%201/Document_260309_152741_Airton%20Farias.pdf</t>
  </si>
  <si>
    <t>https://uniasselvi01-my.sharepoint.com/personal/elienai_cesar_uniasselvi_com_br1/Documents/Aplicativos/Microsoft%20Forms/Question%C3%A1rio%20sem%20t%C3%ADtulo/Envio%20do%20Portf%C3%B3lio%20em%20PDF%201/RTM%2003_Airton%20Farias.pdf</t>
  </si>
  <si>
    <t>elienai.cesar@uniasselvi.com.br</t>
  </si>
  <si>
    <t>Elienai Morgado Cesar</t>
  </si>
  <si>
    <t>Abaetetuba/PA</t>
  </si>
  <si>
    <t>Alterações de tamanho e coloração eritrocitária + Pesquisa de antígeno Covid-19</t>
  </si>
  <si>
    <t>https://uniasselvi01-my.sharepoint.com/personal/elienai_cesar_uniasselvi_com_br1/Documents/Aplicativos/Microsoft%20Forms/Question%C3%A1rio%20sem%20t%C3%ADtulo/Pergunta/66C313BC-5E5B-435B-AF4A-316724310A60_Elienai%20Morgado%20Cesa.png</t>
  </si>
  <si>
    <t>https://uniasselvi01-my.sharepoint.com/personal/elienai_cesar_uniasselvi_com_br1/Documents/Aplicativos/Microsoft%20Forms/Question%C3%A1rio%20sem%20t%C3%ADtulo/Pergunta%201/66C313BC-5E5B-435B-AF4A-316724310A60_Elienai%20Morgado%20Cesa.png</t>
  </si>
  <si>
    <t>https://uniasselvi01-my.sharepoint.com/personal/elienai_cesar_uniasselvi_com_br1/Documents/Aplicativos/Microsoft%20Forms/Question%C3%A1rio%20sem%20t%C3%ADtulo/Envio%20da%20Lista%20de%20Presen%C3%A7a/20260309%20-%20AGENDAMENTO%20-%20I_Gilberto%20Filho.pdf</t>
  </si>
  <si>
    <t>https://uniasselvi01-my.sharepoint.com/personal/elienai_cesar_uniasselvi_com_br1/Documents/Aplicativos/Microsoft%20Forms/Question%C3%A1rio%20sem%20t%C3%ADtulo/Envio%20do%20Portf%C3%B3lio%20em%20PDF/PORTIF%C3%93LIO%20-%2020260309%20-%20I_Gilberto%20Filho.pdf</t>
  </si>
  <si>
    <t>https://uniasselvi01-my.sharepoint.com/personal/elienai_cesar_uniasselvi_com_br1/Documents/Aplicativos/Microsoft%20Forms/Question%C3%A1rio%20sem%20t%C3%ADtulo/Envio%20da%20Lista%20de%20Presen%C3%A7a/Lista%20presen%C3%A7a%20-%20Parto%20e%20Emerg%C3%AAncias_Mariana%20Correia.jpeg</t>
  </si>
  <si>
    <t>https://uniasselvi01-my.sharepoint.com/personal/elienai_cesar_uniasselvi_com_br1/Documents/Aplicativos/Microsoft%20Forms/Question%C3%A1rio%20sem%20t%C3%ADtulo/Envio%20do%20Portf%C3%B3lio%20em%20PDF/Portf%C3%B3lio%20-%20Emerg%C3%AAncias%20Obst%C3%A9tricas%20e%20Parto%20N_Mariana%20Correia.pdf</t>
  </si>
  <si>
    <t>Consulta de enfermagem no pré-natal de baixo risco + Administração de medicamento pela via intramuscular</t>
  </si>
  <si>
    <t>https://uniasselvi01-my.sharepoint.com/personal/elienai_cesar_uniasselvi_com_br1/_layouts/15/Doc.aspx?sourcedoc=%7B12170E4F-B408-4AAC-A960-925ABC770672%7D&amp;file=_Lista%20de%20Presen%C3%A7a%20-%20Consulta%20de%20Enfermagem%20e_Mariana%20Correia.docx&amp;action=default&amp;mobileredirect=true</t>
  </si>
  <si>
    <t>https://uniasselvi01-my.sharepoint.com/personal/elienai_cesar_uniasselvi_com_br1/Documents/Aplicativos/Microsoft%20Forms/Question%C3%A1rio%20sem%20t%C3%ADtulo/Envio%20do%20Portf%C3%B3lio%20em%20PDF/Portf%C3%B3lio%20Consulta%20de%20enfermagem%20%20no%20pr%C3%A9%20nata_Mariana%20Correia.pdf</t>
  </si>
  <si>
    <t>beatriz.silva@tutorpratica.uniasselvi.com.br</t>
  </si>
  <si>
    <t>Beatriz Silva</t>
  </si>
  <si>
    <t>https://uniasselvi01-my.sharepoint.com/personal/elienai_cesar_uniasselvi_com_br1/Documents/Aplicativos/Microsoft%20Forms/Question%C3%A1rio%20sem%20t%C3%ADtulo/Envio%20da%20Lista%20de%20Presen%C3%A7a%201/lista%20frequencia%20pontos%20cardeais%2025%20fev%202026_Beatriz%20Silva.jpeg</t>
  </si>
  <si>
    <t>https://uniasselvi01-my.sharepoint.com/personal/elienai_cesar_uniasselvi_com_br1/Documents/Aplicativos/Microsoft%20Forms/Question%C3%A1rio%20sem%20t%C3%ADtulo/Envio%20do%20Portf%C3%B3lio%20em%20PDF%201/PORTIFOLIO%20saude%20do%20trabalhador%20aula%201%2025%20fev_Beatriz%20Silva.pdf</t>
  </si>
  <si>
    <t>https://uniasselvi01-my.sharepoint.com/personal/elienai_cesar_uniasselvi_com_br1/Documents/Aplicativos/Microsoft%20Forms/Question%C3%A1rio%20sem%20t%C3%ADtulo/Envio%20da%20Lista%20de%20Presen%C3%A7a/Chamada_Caio%20Oliveira.pdf</t>
  </si>
  <si>
    <t>https://uniasselvi01-my.sharepoint.com/personal/elienai_cesar_uniasselvi_com_br1/Documents/Aplicativos/Microsoft%20Forms/Question%C3%A1rio%20sem%20t%C3%ADtulo/Envio%20do%20Portf%C3%B3lio%20em%20PDF/Registro_Caio%20Oliveira.pdf</t>
  </si>
  <si>
    <t>https://uniasselvi01-my.sharepoint.com/personal/elienai_cesar_uniasselvi_com_br1/Documents/Aplicativos/Microsoft%20Forms/Question%C3%A1rio%20sem%20t%C3%ADtulo/Envio%20da%20Lista%20de%20Presen%C3%A7a/administra%C3%A7ao_Sara%20Gomes.jpg</t>
  </si>
  <si>
    <t>https://uniasselvi01-my.sharepoint.com/personal/elienai_cesar_uniasselvi_com_br1/_layouts/15/Doc.aspx?sourcedoc=%7BE4389B51-54A8-4493-B670-7C5BCE6B2528%7D&amp;file=RELATORIO%20administra%C3%A7ao%20de%20medicamento%20V_Sara%20Gomes.docx&amp;action=default&amp;mobileredirect=true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</si>
  <si>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https://uniasselvi01-my.sharepoint.com/personal/elienai_cesar_uniasselvi_com_br1/Documents/Aplicativos/Microsoft%20Forms/Question%C3%A1rio%20sem%20t%C3%ADtulo/Envio%20da%20Lista%20de%20Presen%C3%A7a/administra%C3%A7ao_Sara%20Gomes%201.jpg</t>
  </si>
  <si>
    <t>https://uniasselvi01-my.sharepoint.com/personal/elienai_cesar_uniasselvi_com_br1/_layouts/15/Doc.aspx?sourcedoc=%7B8624D773-63A4-42D1-AE87-66455422E578%7D&amp;file=RELATORIO%20MONITORIAZA%C3%87AO%20V_Sara%20Gomes.docx&amp;action=default&amp;mobileredirect=true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</si>
  <si>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https://uniasselvi01-my.sharepoint.com/personal/elienai_cesar_uniasselvi_com_br1/Documents/Aplicativos/Microsoft%20Forms/Question%C3%A1rio%20sem%20t%C3%ADtulo/Envio%20da%20Lista%20de%20Presen%C3%A7a/aspira%C3%A7ao_Sara%20Gomes.jpg</t>
  </si>
  <si>
    <t>https://uniasselvi01-my.sharepoint.com/personal/elienai_cesar_uniasselvi_com_br1/_layouts/15/Doc.aspx?sourcedoc=%7B1B1E2C03-9636-4808-8C76-13C4D8C1727C%7D&amp;file=RELATORIO%20ASPIRA%C3%87AO%20COM%20E%20SEM%20TOT%20%20V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</si>
  <si>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https://uniasselvi01-my.sharepoint.com/personal/elienai_cesar_uniasselvi_com_br1/Documents/Aplicativos/Microsoft%20Forms/Question%C3%A1rio%20sem%20t%C3%ADtulo/Envio%20da%20Lista%20de%20Presen%C3%A7a/trabalho%20de%20parto_Sara%20Gomes.jpg</t>
  </si>
  <si>
    <t>https://uniasselvi01-my.sharepoint.com/personal/elienai_cesar_uniasselvi_com_br1/_layouts/15/Doc.aspx?sourcedoc=%7B4E6666F9-E62C-4E23-9AB1-1A2D4D22C36B%7D&amp;file=RELATORIO%20PARTO%20NATURAL%20D_Sara%20Gomes.docx&amp;action=default&amp;mobileredirect=true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</si>
  <si>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https://uniasselvi01-my.sharepoint.com/personal/elienai_cesar_uniasselvi_com_br1/Documents/Aplicativos/Microsoft%20Forms/Question%C3%A1rio%20sem%20t%C3%ADtulo/Envio%20da%20Lista%20de%20Presen%C3%A7a/emergencias%20obstetricas_Sara%20Gomes.jpg</t>
  </si>
  <si>
    <t>https://uniasselvi01-my.sharepoint.com/personal/elienai_cesar_uniasselvi_com_br1/_layouts/15/Doc.aspx?sourcedoc=%7B8B371BCB-B660-445C-AB20-0BDA190FC8D0%7D&amp;file=RELATORIO%20PARTO%20NATURAL%20D_Sara%20Gomes%201.docx&amp;action=default&amp;mobileredirect=true</t>
  </si>
  <si>
    <t>https://uniasselvi01-my.sharepoint.com/personal/elienai_cesar_uniasselvi_com_br1/Documents/Aplicativos/Microsoft%20Forms/Question%C3%A1rio%20sem%20t%C3%ADtulo/Envio%20da%20Lista%20de%20Presen%C3%A7a%202/WhatsApp%20Image%202026-03-10%20at%2014.08.49_Ana%20Sedrez.jpeg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</si>
  <si>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_Ana%20Sedrez%201.pdf</t>
  </si>
  <si>
    <t>https://uniasselvi01-my.sharepoint.com/personal/elienai_cesar_uniasselvi_com_br1/Documents/Aplicativos/Microsoft%20Forms/Question%C3%A1rio%20sem%20t%C3%ADtulo/Envio%20da%20Lista%20de%20Presen%C3%A7a%202/WhatsApp%20Image%202026-03-10%20at%2014.55.39_Ana%20Sedrez.jpeg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</si>
  <si>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(1)_Ana%20Sedrez.pdf</t>
  </si>
  <si>
    <t>Ordem 2</t>
  </si>
  <si>
    <t>https://uniasselvi01-my.sharepoint.com/personal/elienai_cesar_uniasselvi_com_br1/Documents/Aplicativos/Microsoft%20Forms/Question%C3%A1rio%20sem%20t%C3%ADtulo/Envio%20da%20Lista%20de%20Presen%C3%A7a/Joao_Fabio%20Rosa.pdf</t>
  </si>
  <si>
    <t>https://uniasselvi01-my.sharepoint.com/personal/elienai_cesar_uniasselvi_com_br1/Documents/Aplicativos/Microsoft%20Forms/Question%C3%A1rio%20sem%20t%C3%ADtulo/Envio%20do%20Portf%C3%B3lio%20em%20PDF/Joao_Fabio%20Rosa.pdf</t>
  </si>
  <si>
    <t>https://uniasselvi01-my.sharepoint.com/personal/elienai_cesar_uniasselvi_com_br1/Documents/Aplicativos/Microsoft%20Forms/Question%C3%A1rio%20sem%20t%C3%ADtulo/Envio%20da%20Lista%20de%20Presen%C3%A7a%202/WhatsApp%20Image%202026-03-10%20at%2014.55.39%20(1)_Ana%20Sedrez.jpeg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</si>
  <si>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(2)_Ana%20Sedrez.pdf</t>
  </si>
  <si>
    <t>leonardo.lage@tutorpratica.uniasselvi.com.br</t>
  </si>
  <si>
    <t>Leonardo Lage</t>
  </si>
  <si>
    <t>Coleta de Sangue;Esfregaço sanguíneo e colorações  (contagem diferencial de leucócitos);Preparo de meio de cultura II</t>
  </si>
  <si>
    <t>https://uniasselvi01-my.sharepoint.com/personal/elienai_cesar_uniasselvi_com_br1/Documents/Aplicativos/Microsoft%20Forms/Question%C3%A1rio%20sem%20t%C3%ADtulo/Pergunta/WhatsApp%20Scan%202026-03-10%20at%2015.06.21_Leonardo%20Lage.pdf</t>
  </si>
  <si>
    <t>https://uniasselvi01-my.sharepoint.com/personal/elienai_cesar_uniasselvi_com_br1/Documents/Aplicativos/Microsoft%20Forms/Question%C3%A1rio%20sem%20t%C3%ADtulo/Pergunta%201/PortF%C3%B3lio%20Preparo%20de%20meio%20de%20cultura%20II_Leonardo%20Lage.pdf</t>
  </si>
  <si>
    <t>https://uniasselvi01-my.sharepoint.com/personal/elienai_cesar_uniasselvi_com_br1/Documents/Aplicativos/Microsoft%20Forms/Question%C3%A1rio%20sem%20t%C3%ADtulo/Pergunta/WhatsApp%20Scan%202026-03-10%20at%2015.16.37_Leonardo%20Lage.pdf</t>
  </si>
  <si>
    <t>https://uniasselvi01-my.sharepoint.com/personal/elienai_cesar_uniasselvi_com_br1/Documents/Aplicativos/Microsoft%20Forms/Question%C3%A1rio%20sem%20t%C3%ADtulo/Pergunta%201/Portf%C3%B3lio%20Coleta%20de%20Sangue_Leonardo%20Lage.pdf</t>
  </si>
  <si>
    <t>Esfregaço sanguíneo e colorações  (contagem diferencial de leucócitos)</t>
  </si>
  <si>
    <t>https://uniasselvi01-my.sharepoint.com/personal/elienai_cesar_uniasselvi_com_br1/Documents/Aplicativos/Microsoft%20Forms/Question%C3%A1rio%20sem%20t%C3%ADtulo/Pergunta/WhatsApp%20Scan%202026-03-10%20at%2015.21.03_Leonardo%20Lage.pdf</t>
  </si>
  <si>
    <t>https://uniasselvi01-my.sharepoint.com/personal/elienai_cesar_uniasselvi_com_br1/Documents/Aplicativos/Microsoft%20Forms/Question%C3%A1rio%20sem%20t%C3%ADtulo/Pergunta%201/Portf%C3%B3lio%20Esfrega%C3%A7o%20sangu%C3%ADneo%20e%20colora%C3%A7%C3%B5es%20(c_Leonardo%20Lage.pdf</t>
  </si>
  <si>
    <t>https://uniasselvi01-my.sharepoint.com/personal/elienai_cesar_uniasselvi_com_br1/Documents/Aplicativos/Microsoft%20Forms/Question%C3%A1rio%20sem%20t%C3%ADtulo/Envio%20da%20Lista%20de%20Presen%C3%A7a/WhatsApp%20Image%202026-03-08%20at%2017.30.37_Laurilene%20Mota%201.jpeg</t>
  </si>
  <si>
    <t>https://uniasselvi01-my.sharepoint.com/personal/elienai_cesar_uniasselvi_com_br1/_layouts/15/Doc.aspx?sourcedoc=%7B6F158E54-61A2-45B8-9966-35BC6202972C%7D&amp;file=relatorio%20%20de%20ausculta%20dia%2026%20Uniasselvil_Laurilene%20Mota.docx&amp;action=default&amp;mobileredirect=true</t>
  </si>
  <si>
    <t>https://uniasselvi01-my.sharepoint.com/personal/elienai_cesar_uniasselvi_com_br1/Documents/Aplicativos/Microsoft%20Forms/Question%C3%A1rio%20sem%20t%C3%ADtulo/Envio%20da%20Lista%20de%20Presen%C3%A7a/Aula%20pra%CC%81tica%201003_Fabio%20Rosa.pdf</t>
  </si>
  <si>
    <t>https://uniasselvi01-my.sharepoint.com/personal/elienai_cesar_uniasselvi_com_br1/Documents/Aplicativos/Microsoft%20Forms/Question%C3%A1rio%20sem%20t%C3%ADtulo/Envio%20do%20Portf%C3%B3lio%20em%20PDF/Aula%20pra%CC%81tica%201003_Fabio%20Rosa.pdf</t>
  </si>
  <si>
    <t>fadia.baitala@tutorpratica.uniasselvi.com.br</t>
  </si>
  <si>
    <t>Fadia Baitala</t>
  </si>
  <si>
    <t>Curitiba/PR - Boqueirão</t>
  </si>
  <si>
    <t>https://uniasselvi01-my.sharepoint.com/personal/elienai_cesar_uniasselvi_com_br1/_layouts/15/Doc.aspx?sourcedoc=%7B0E94A919-F0B5-4F0F-A4BA-DE2175BD01C0%7D&amp;file=MODELO_Lista%20de%20Presen%C3%A7a%20das%20Pr%C3%A1ticas_Fadia%20Baitala.docx&amp;action=default&amp;mobileredirect=true</t>
  </si>
  <si>
    <t>https://uniasselvi01-my.sharepoint.com/personal/elienai_cesar_uniasselvi_com_br1/_layouts/15/Doc.aspx?sourcedoc=%7B2D4252C2-7CF6-452E-BE88-EA5CD2EB0EAE%7D&amp;file=M%C3%B3dulo%204%20-%20Curativo_Fadia%20Baitala.docx&amp;action=default&amp;mobileredirect=true</t>
  </si>
  <si>
    <t>https://uniasselvi01-my.sharepoint.com/personal/elienai_cesar_uniasselvi_com_br1/_layouts/15/Doc.aspx?sourcedoc=%7B1158E5F5-64DD-48C6-AE3D-D50C2AD77D5F%7D&amp;file=MODELO_Lista%20de%20Presen%C3%A7a%20das%20Pr%C3%A1ticas_Fadia%20Baitala%201.docx&amp;action=default&amp;mobileredirect=true</t>
  </si>
  <si>
    <t>https://uniasselvi01-my.sharepoint.com/personal/elienai_cesar_uniasselvi_com_br1/_layouts/15/Doc.aspx?sourcedoc=%7B00953FF2-71A1-4BD9-B237-2ED0552B10ED%7D&amp;file=M%C3%B3dulo%206%20-%20Trabalho%20de%20Parto%20e%20Emerg%C3%AAncias%20Ob_Fadia%20Baitala.docx&amp;action=default&amp;mobileredirect=true</t>
  </si>
  <si>
    <t>https://uniasselvi01-my.sharepoint.com/personal/elienai_cesar_uniasselvi_com_br1/_layouts/15/Doc.aspx?sourcedoc=%7B45B205B4-F968-490C-ACA1-545DDB8AA0EB%7D&amp;file=MODELO_Lista%20de%20Presen%C3%A7a%20das%20Pr%C3%A1ticas_Fadia%20Baitala%202.docx&amp;action=default&amp;mobileredirect=true</t>
  </si>
  <si>
    <t>https://uniasselvi01-my.sharepoint.com/personal/elienai_cesar_uniasselvi_com_br1/_layouts/15/Doc.aspx?sourcedoc=%7BB030EF5F-F137-4AA7-867D-EB31DA16BE4E%7D&amp;file=M%C3%B3dulo%204%20-%20Avalia%C3%A7%E2%95%9Eo%20Corporal,%20ausculta%20card%C3%AD_Fadia%20Baitala.docx&amp;action=default&amp;mobileredirect=true</t>
  </si>
  <si>
    <t>https://uniasselvi01-my.sharepoint.com/personal/elienai_cesar_uniasselvi_com_br1/_layouts/15/Doc.aspx?sourcedoc=%7B42121AB2-E55C-418C-AA0B-3DB921E395DE%7D&amp;file=MODELO_Lista%20de%20Presen%C3%A7a%20das%20Pr%C3%A1ticas_Fadia%20Baitala%203.docx&amp;action=default&amp;mobileredirect=true</t>
  </si>
  <si>
    <t>https://uniasselvi01-my.sharepoint.com/personal/elienai_cesar_uniasselvi_com_br1/_layouts/15/Doc.aspx?sourcedoc=%7BB3491A17-09D6-4D9D-AEC5-CA4F926D0995%7D&amp;file=M%C3%B3dulo%209%20-%20Aspira%C3%A7%E2%95%9Eo%20de%20Vias%20A%C3%A9reas,%20Administ_Fadia%20Baitala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</si>
  <si>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https://uniasselvi01-my.sharepoint.com/personal/elienai_cesar_uniasselvi_com_br1/Documents/Aplicativos/Microsoft%20Forms/Question%C3%A1rio%20sem%20t%C3%ADtulo/Envio%20da%20Lista%20de%20Presen%C3%A7a/Lista%2005.03.26_Patricia%20Trasmontano.pdf</t>
  </si>
  <si>
    <t>https://uniasselvi01-my.sharepoint.com/personal/elienai_cesar_uniasselvi_com_br1/Documents/Aplicativos/Microsoft%20Forms/Question%C3%A1rio%20sem%20t%C3%ADtulo/Envio%20do%20Portf%C3%B3lio%20em%20PDF/Portf%C3%B3lio%2005.03.26.TerapiaIntensiva_Patricia%20Trasmontano.pdf</t>
  </si>
  <si>
    <t>Ordem 5</t>
  </si>
  <si>
    <t>Administração de medicamento pela via subcutânea + Administração de medicamento pela via oral;Consulta de enfermagem no pré-natal de baixo risco + Administração de medicamento pela via intramuscular</t>
  </si>
  <si>
    <t>https://uniasselvi01-my.sharepoint.com/personal/elienai_cesar_uniasselvi_com_br1/Documents/Aplicativos/Microsoft%20Forms/Question%C3%A1rio%20sem%20t%C3%ADtulo/Envio%20da%20Lista%20de%20Presen%C3%A7a/Presen%C3%A7a%2010.03.2026_Sara%20Amann.jpeg</t>
  </si>
  <si>
    <t>https://uniasselvi01-my.sharepoint.com/personal/elienai_cesar_uniasselvi_com_br1/Documents/Aplicativos/Microsoft%20Forms/Question%C3%A1rio%20sem%20t%C3%ADtulo/Envio%20do%20Portf%C3%B3lio%20em%20PDF/2026.03.10%20-%20Administra%C3%A7%C3%A3o%20de%20Medicamentos_Sara%20Amann.pdf</t>
  </si>
  <si>
    <t>https://uniasselvi01-my.sharepoint.com/personal/elienai_cesar_uniasselvi_com_br1/Documents/Aplicativos/Microsoft%20Forms/Question%C3%A1rio%20sem%20t%C3%ADtulo/Envio%20da%20Lista%20de%20Presen%C3%A7a%205/MODELO_Lista%20de%20Presen%C3%A7a%20das%20Pr%C3%A1ticas%20(1)_Vitor%20Pinheiro.pdf</t>
  </si>
  <si>
    <t>https://uniasselvi01-my.sharepoint.com/personal/elienai_cesar_uniasselvi_com_br1/Documents/Aplicativos/Microsoft%20Forms/Question%C3%A1rio%20sem%20t%C3%ADtulo/Envio%20do%20Portf%C3%B3lio%20em%20PDF%205/Portifolio%20de%20Praticas%20-%20Fertilidade%20do%20solo_Vitor%20Pinheiro.pdf</t>
  </si>
  <si>
    <t>https://uniasselvi01-my.sharepoint.com/personal/elienai_cesar_uniasselvi_com_br1/Documents/Aplicativos/Microsoft%20Forms/Question%C3%A1rio%20sem%20t%C3%ADtulo/Envio%20da%20Lista%20de%20Presen%C3%A7a%201/WhatsApp%20Image%202026-03-11%20at%2013.23.45_Clara%20Oliveira.jpeg</t>
  </si>
  <si>
    <t>https://uniasselvi01-my.sharepoint.com/personal/elienai_cesar_uniasselvi_com_br1/Documents/Aplicativos/Microsoft%20Forms/Question%C3%A1rio%20sem%20t%C3%ADtulo/Envio%20do%20Portf%C3%B3lio%20em%20PDF%201/Tutor%20-%20Portfo%CC%81lio%20das%20Atividades%20Pra%CC%81ticas-5_Clara%20Oliveira.pdf</t>
  </si>
  <si>
    <t>https://uniasselvi01-my.sharepoint.com/personal/elienai_cesar_uniasselvi_com_br1/Documents/Aplicativos/Microsoft%20Forms/Question%C3%A1rio%20sem%20t%C3%ADtulo/Envio%20da%20Lista%20de%20Presen%C3%A7a%201/WhatsApp%20Image%202026-03-11%20at%2013.23.45_Clara%20Oliveira%201.jpeg</t>
  </si>
  <si>
    <t>https://uniasselvi01-my.sharepoint.com/personal/elienai_cesar_uniasselvi_com_br1/Documents/Aplicativos/Microsoft%20Forms/Question%C3%A1rio%20sem%20t%C3%ADtulo/Envio%20do%20Portf%C3%B3lio%20em%20PDF%201/Tutor%20-%20Portfo%CC%81lio%20das%20Atividades%20Pra%CC%81ticas-5_Clara%20Oliveira%201.pdf</t>
  </si>
  <si>
    <t>https://uniasselvi01-my.sharepoint.com/personal/elienai_cesar_uniasselvi_com_br1/Documents/Aplicativos/Microsoft%20Forms/Question%C3%A1rio%20sem%20t%C3%ADtulo/Envio%20da%20Lista%20de%20Presen%C3%A7a%201/WhatsApp%20Image%202026-03-11%20at%2013.36.57_Clara%20Oliveira.jpeg</t>
  </si>
  <si>
    <t>https://uniasselvi01-my.sharepoint.com/personal/elienai_cesar_uniasselvi_com_br1/Documents/Aplicativos/Microsoft%20Forms/Question%C3%A1rio%20sem%20t%C3%ADtulo/Envio%20do%20Portf%C3%B3lio%20em%20PDF%201/Tutor%20-%20Portfo%CC%81lio%20das%20Atividades%20Pra%CC%81ticas-5_Clara%20Oliveira%202.pdf</t>
  </si>
  <si>
    <t>https://uniasselvi01-my.sharepoint.com/personal/elienai_cesar_uniasselvi_com_br1/Documents/Aplicativos/Microsoft%20Forms/Question%C3%A1rio%20sem%20t%C3%ADtulo/Envio%20da%20Lista%20de%20Presen%C3%A7a%201/WhatsApp%20Image%202026-03-11%20at%2013.36.57_Clara%20Oliveira%201.jpeg</t>
  </si>
  <si>
    <t>https://uniasselvi01-my.sharepoint.com/personal/elienai_cesar_uniasselvi_com_br1/Documents/Aplicativos/Microsoft%20Forms/Question%C3%A1rio%20sem%20t%C3%ADtulo/Envio%20do%20Portf%C3%B3lio%20em%20PDF%201/Tutor%20-%20Portfo%CC%81lio%20das%20Atividades%20Pra%CC%81ticas-5_Clara%20Oliveira%203.pdf</t>
  </si>
  <si>
    <t>https://uniasselvi01-my.sharepoint.com/personal/elienai_cesar_uniasselvi_com_br1/Documents/Aplicativos/Microsoft%20Forms/Question%C3%A1rio%20sem%20t%C3%ADtulo/Envio%20da%20Lista%20de%20Presen%C3%A7a/WhatsApp%20Image%202026-03-11%20at%2014.29.38_Aline%20Costa.jpeg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</si>
  <si>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20-%20agendamen_Aline%20Costa%201.pdf</t>
  </si>
  <si>
    <t>https://uniasselvi01-my.sharepoint.com/personal/elienai_cesar_uniasselvi_com_br1/Documents/Aplicativos/Microsoft%20Forms/Question%C3%A1rio%20sem%20t%C3%ADtulo/Envio%20da%20Lista%20de%20Presen%C3%A7a/WhatsApp%20Image%202026-03-11%20at%2014.30.01_Aline%20Costa.jpeg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</si>
  <si>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20-%20agendamen_Aline%20Costa%202.pdf</t>
  </si>
  <si>
    <t>https://uniasselvi01-my.sharepoint.com/personal/elienai_cesar_uniasselvi_com_br1/Documents/Aplicativos/Microsoft%20Forms/Question%C3%A1rio%20sem%20t%C3%ADtulo/Envio%20da%20Lista%20de%20Presen%C3%A7a%202/WhatsApp%20Image%202026-03-11%20at%2014.06.06_Izabela%20Biela.jpeg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</si>
  <si>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_Izabela%20Biela.pdf</t>
  </si>
  <si>
    <t>https://uniasselvi01-my.sharepoint.com/personal/elienai_cesar_uniasselvi_com_br1/Documents/Aplicativos/Microsoft%20Forms/Question%C3%A1rio%20sem%20t%C3%ADtulo/Envio%20da%20Lista%20de%20Presen%C3%A7a/09-03-26-1-%20Lista%20de%20Presen%C3%A7a_Aquiles%20Andrade.pdf; https://uniasselvi01-my.sharepoint.com/personal/elienai_cesar_uniasselvi_com_br1/Documents/Aplicativos/Microsoft%20Forms/Question%C3%A1rio%20sem%20t%C3%ADtulo/Envio%20da%20Lista%20de%20Presen%C3%A7a/09-03-26-2-%20Lista%20de%20Presen%C3%A7a_Aquiles%20Andrade.pdf</t>
  </si>
  <si>
    <t>https://uniasselvi01-my.sharepoint.com/personal/elienai_cesar_uniasselvi_com_br1/Documents/Aplicativos/Microsoft%20Forms/Question%C3%A1rio%20sem%20t%C3%ADtulo/Envio%20do%20Portf%C3%B3lio%20em%20PDF/1.Tutor%20-%2009-03-26%20-%20Aquiles%20Andrade_Aquiles%20Andrade.pdf; https://uniasselvi01-my.sharepoint.com/personal/elienai_cesar_uniasselvi_com_br1/Documents/Aplicativos/Microsoft%20Forms/Question%C3%A1rio%20sem%20t%C3%ADtulo/Envio%20do%20Portf%C3%B3lio%20em%20PDF/2.Tutor%20-%2009-03-26%20-%20Aquiles%20Andrade_Aquiles%20Andrade.pdf</t>
  </si>
  <si>
    <t>https://uniasselvi01-my.sharepoint.com/personal/elienai_cesar_uniasselvi_com_br1/Documents/Aplicativos/Microsoft%20Forms/Question%C3%A1rio%20sem%20t%C3%ADtulo/Envio%20da%20Lista%20de%20Presen%C3%A7a%202/WhatsApp%20Image%202026-03-11%20at%2016.40.05_Kellen%20Nascimento.jpeg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</si>
  <si>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20202_Kellen%20Nascimento.pdf</t>
  </si>
  <si>
    <t>https://uniasselvi01-my.sharepoint.com/personal/elienai_cesar_uniasselvi_com_br1/Documents/Aplicativos/Microsoft%20Forms/Question%C3%A1rio%20sem%20t%C3%ADtulo/Envio%20da%20Lista%20de%20Presen%C3%A7a/20260303_145555_Cristiane%20Maciel.jpg</t>
  </si>
  <si>
    <t>https://uniasselvi01-my.sharepoint.com/personal/elienai_cesar_uniasselvi_com_br1/Documents/Aplicativos/Microsoft%20Forms/Question%C3%A1rio%20sem%20t%C3%ADtulo/Envio%20do%20Portf%C3%B3lio%20em%20PDF/20260303_100631_Cristiane%20Maciel.jpg</t>
  </si>
  <si>
    <t>https://uniasselvi01-my.sharepoint.com/personal/elienai_cesar_uniasselvi_com_br1/Documents/Aplicativos/Microsoft%20Forms/Question%C3%A1rio%20sem%20t%C3%ADtulo/Envio%20da%20Lista%20de%20Presen%C3%A7a/Presen%C3%A7a%2003-03_Tatiane%20Rodrigues.jpeg</t>
  </si>
  <si>
    <t>https://uniasselvi01-my.sharepoint.com/personal/elienai_cesar_uniasselvi_com_br1/Documents/Aplicativos/Microsoft%20Forms/Question%C3%A1rio%20sem%20t%C3%ADtulo/Envio%20do%20Portf%C3%B3lio%20em%20PDF/Portf%C3%B3lio%20-%20SSVV_Tatiane%20Rodrigues.pdf</t>
  </si>
  <si>
    <t>https://uniasselvi01-my.sharepoint.com/personal/elienai_cesar_uniasselvi_com_br1/Documents/Aplicativos/Microsoft%20Forms/Question%C3%A1rio%20sem%20t%C3%ADtulo/Envio%20da%20Lista%20de%20Presen%C3%A7a/Presen%C3%A7a%2010-03_Tatiane%20Rodrigues.jpeg</t>
  </si>
  <si>
    <t>https://uniasselvi01-my.sharepoint.com/personal/elienai_cesar_uniasselvi_com_br1/Documents/Aplicativos/Microsoft%20Forms/Question%C3%A1rio%20sem%20t%C3%ADtulo/Envio%20do%20Portf%C3%B3lio%20em%20PDF/Portf%C3%B3lio%20-%20Terapia%20Intensiva%20PDF_Tatiane%20Rodrigues.pdf</t>
  </si>
  <si>
    <t>https://uniasselvi01-my.sharepoint.com/personal/elienai_cesar_uniasselvi_com_br1/Documents/Aplicativos/Microsoft%20Forms/Question%C3%A1rio%20sem%20t%C3%ADtulo/Envio%20da%20Lista%20de%20Presen%C3%A7a/Presen%C3%A7a%2004-03_Tatiane%20Rodrigues.jpeg</t>
  </si>
  <si>
    <t>https://uniasselvi01-my.sharepoint.com/personal/elienai_cesar_uniasselvi_com_br1/Documents/Aplicativos/Microsoft%20Forms/Question%C3%A1rio%20sem%20t%C3%ADtulo/Envio%20do%20Portf%C3%B3lio%20em%20PDF/Portf%C3%B3lio%20-%20Terapia%20Intensiva%2004-03_Tatiane%20Rodrigues.pdf</t>
  </si>
  <si>
    <t>https://uniasselvi01-my.sharepoint.com/personal/elienai_cesar_uniasselvi_com_br1/Documents/Aplicativos/Microsoft%20Forms/Question%C3%A1rio%20sem%20t%C3%ADtulo/Envio%20da%20Lista%20de%20Presen%C3%A7a/Presen%C3%A7a%2005-03_Tatiane%20Rodrigues.jpeg</t>
  </si>
  <si>
    <t>https://uniasselvi01-my.sharepoint.com/personal/elienai_cesar_uniasselvi_com_br1/Documents/Aplicativos/Microsoft%20Forms/Question%C3%A1rio%20sem%20t%C3%ADtulo/Envio%20do%20Portf%C3%B3lio%20em%20PDF/Portf%C3%B3lio%20-%20Terapia%20Intensiva%2005-03_Tatiane%20Rodrigues.pdf</t>
  </si>
  <si>
    <t>https://uniasselvi01-my.sharepoint.com/personal/elienai_cesar_uniasselvi_com_br1/Documents/Aplicativos/Microsoft%20Forms/Question%C3%A1rio%20sem%20t%C3%ADtulo/Envio%20da%20Lista%20de%20Presen%C3%A7a/Presen%C3%A7a%2010-03_Tatiane%20Rodrigues%201.jpeg</t>
  </si>
  <si>
    <t>https://uniasselvi01-my.sharepoint.com/personal/elienai_cesar_uniasselvi_com_br1/Documents/Aplicativos/Microsoft%20Forms/Question%C3%A1rio%20sem%20t%C3%ADtulo/Envio%20do%20Portf%C3%B3lio%20em%20PDF/Portf%C3%B3lio%20-%20Terapia%20Intensiva%20PDF_Tatiane%20Rodrigues%201.pdf</t>
  </si>
  <si>
    <t>https://uniasselvi01-my.sharepoint.com/personal/elienai_cesar_uniasselvi_com_br1/Documents/Aplicativos/Microsoft%20Forms/Question%C3%A1rio%20sem%20t%C3%ADtulo/Envio%20da%20Lista%20de%20Presen%C3%A7a%202/WhatsApp%20Image%202026-03-11%20at%2022.15.04_Natalia%20Mattos.jpeg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</si>
  <si>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.doc_Natalia%20Mattos%202.pdf</t>
  </si>
  <si>
    <t>Dietas hospitalares</t>
  </si>
  <si>
    <t>https://uniasselvi01-my.sharepoint.com/personal/elienai_cesar_uniasselvi_com_br1/Documents/Aplicativos/Microsoft%20Forms/Question%C3%A1rio%20sem%20t%C3%ADtulo/Envio%20da%20Lista%20de%20Presen%C3%A7a%202/WhatsApp%20Image%202026-03-11%20at%2022.45.17_Natalia%20Mattos.jpeg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</si>
  <si>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.doc_Natalia%20Mattos%203.pdf</t>
  </si>
  <si>
    <t>luiz.silva@regentedepolo.uniasselvi.com.br</t>
  </si>
  <si>
    <t>Luiz Silva</t>
  </si>
  <si>
    <t>São Paulo/SP - Tatuapé</t>
  </si>
  <si>
    <t>https://uniasselvi01-my.sharepoint.com/personal/elienai_cesar_uniasselvi_com_br1/_layouts/15/Doc.aspx?sourcedoc=%7B5C7A3679-9447-490E-B6CD-BE01337AC199%7D&amp;file=Relat%C3%B3rio%20de%20Laborat%C3%B3rio%2010.03.2026_Luiz%20Silva.docx&amp;action=default&amp;mobileredirect=true</t>
  </si>
  <si>
    <t>https://uniasselvi01-my.sharepoint.com/personal/elienai_cesar_uniasselvi_com_br1/Documents/Aplicativos/Microsoft%20Forms/Question%C3%A1rio%20sem%20t%C3%ADtulo/Envio%20do%20Portf%C3%B3lio%20em%20PDF/foto%20(1)_Luiz%20Silva.jpeg; https://uniasselvi01-my.sharepoint.com/personal/elienai_cesar_uniasselvi_com_br1/Documents/Aplicativos/Microsoft%20Forms/Question%C3%A1rio%20sem%20t%C3%ADtulo/Envio%20do%20Portf%C3%B3lio%20em%20PDF/foto%20(2)_Luiz%20Silva.jpeg; https://uniasselvi01-my.sharepoint.com/personal/elienai_cesar_uniasselvi_com_br1/Documents/Aplicativos/Microsoft%20Forms/Question%C3%A1rio%20sem%20t%C3%ADtulo/Envio%20do%20Portf%C3%B3lio%20em%20PDF/foto%20(4)_Luiz%20Silva.jpeg; https://uniasselvi01-my.sharepoint.com/personal/elienai_cesar_uniasselvi_com_br1/Documents/Aplicativos/Microsoft%20Forms/Question%C3%A1rio%20sem%20t%C3%ADtulo/Envio%20do%20Portf%C3%B3lio%20em%20PDF/foto%20(5)_Luiz%20Silva.jpeg; https://uniasselvi01-my.sharepoint.com/personal/elienai_cesar_uniasselvi_com_br1/_layouts/15/Doc.aspx?sourcedoc=%7BD7A75FD5-7658-42BF-8680-27EB4B7A1043%7D&amp;file=Relat%C3%B3rio%20de%20Laborat%C3%B3rio%2010.03.2026_Luiz%20Silva.docx&amp;action=default&amp;mobileredirect=true</t>
  </si>
  <si>
    <t>https://uniasselvi01-my.sharepoint.com/personal/elienai_cesar_uniasselvi_com_br1/Documents/Aplicativos/Microsoft%20Forms/Question%C3%A1rio%20sem%20t%C3%ADtulo/Envio%20da%20Lista%20de%20Presen%C3%A7a%201/IMG_3024_Lorrine%20Silva.png</t>
  </si>
  <si>
    <t>https://uniasselvi01-my.sharepoint.com/personal/elienai_cesar_uniasselvi_com_br1/Documents/Aplicativos/Microsoft%20Forms/Question%C3%A1rio%20sem%20t%C3%ADtulo/Envio%20do%20Portf%C3%B3lio%20em%20PDF%201/Portfo%CC%81lio%2011.03_Lorrine%20Silva.pdf</t>
  </si>
  <si>
    <t>QUÍMICA E FÍSICA - Índice De Refração Relativo De Um Par De Meios</t>
  </si>
  <si>
    <t>https://uniasselvi01-my.sharepoint.com/personal/elienai_cesar_uniasselvi_com_br1/Documents/Aplicativos/Microsoft%20Forms/Question%C3%A1rio%20sem%20t%C3%ADtulo/Envio%20da%20Lista%20de%20Presen%C3%A7a%203/20260312_083032_Silvestre%20Assumpcao.PDF</t>
  </si>
  <si>
    <t>https://uniasselvi01-my.sharepoint.com/personal/elienai_cesar_uniasselvi_com_br1/Documents/Aplicativos/Microsoft%20Forms/Question%C3%A1rio%20sem%20t%C3%ADtulo/Envio%20do%20Portf%C3%B3lio%20em%20PDF%203/20260311_193119_Silvestre%20Assumpcao.PDF; https://uniasselvi01-my.sharepoint.com/personal/elienai_cesar_uniasselvi_com_br1/Documents/Aplicativos/Microsoft%20Forms/Question%C3%A1rio%20sem%20t%C3%ADtulo/Envio%20do%20Portf%C3%B3lio%20em%20PDF%203/20260311_202122_Silvestre%20Assumpcao.PDF; https://uniasselvi01-my.sharepoint.com/personal/elienai_cesar_uniasselvi_com_br1/Documents/Aplicativos/Microsoft%20Forms/Question%C3%A1rio%20sem%20t%C3%ADtulo/Envio%20do%20Portf%C3%B3lio%20em%20PDF%203/20260311_193119%202_Silvestre%20Assumpcao.PDF</t>
  </si>
  <si>
    <t>https://uniasselvi01-my.sharepoint.com/personal/elienai_cesar_uniasselvi_com_br1/Documents/Aplicativos/Microsoft%20Forms/Question%C3%A1rio%20sem%20t%C3%ADtulo/Envio%20da%20Lista%20de%20Presen%C3%A7a%202/IMG_20260305_200904_Laura%20Volpato.jpg</t>
  </si>
  <si>
    <t>https://uniasselvi01-my.sharepoint.com/personal/elienai_cesar_uniasselvi_com_br1/Documents/Aplicativos/Microsoft%20Forms/Question%C3%A1rio%20sem%20t%C3%ADtulo/Envio%20do%20Portf%C3%B3lio%20em%20PDF%202/5%20Portf%C3%B3lio%20das%20Atividades%20Pr%C3%A1ticas.docx_Laura%20Volpato.pdf</t>
  </si>
  <si>
    <t>https://uniasselvi01-my.sharepoint.com/personal/elienai_cesar_uniasselvi_com_br1/Documents/Aplicativos/Microsoft%20Forms/Question%C3%A1rio%20sem%20t%C3%ADtulo/Envio%20da%20Lista%20de%20Presen%C3%A7a%202/IMG_20260305_201604_Laura%20Volpato.jpg</t>
  </si>
  <si>
    <t>https://uniasselvi01-my.sharepoint.com/personal/elienai_cesar_uniasselvi_com_br1/Documents/Aplicativos/Microsoft%20Forms/Question%C3%A1rio%20sem%20t%C3%ADtulo/Envio%20do%20Portf%C3%B3lio%20em%20PDF%202/6%20Portf%C3%B3lio%20das%20Atividades%20Pr%C3%A1ticas.docx_Laura%20Volpato.pdf</t>
  </si>
  <si>
    <t>nadia.azevedo@uniasselvi.com.br</t>
  </si>
  <si>
    <t>Nadia Carla Rodrigues Azevedo</t>
  </si>
  <si>
    <t>Livramento de Nossa Senhora/BA</t>
  </si>
  <si>
    <t>https://uniasselvi01-my.sharepoint.com/personal/elienai_cesar_uniasselvi_com_br1/_layouts/15/Doc.aspx?sourcedoc=%7B057AB785-0312-41E5-B736-A81AA8012F0A%7D&amp;file=Tutor%20-%20Portf%C3%B3lio%20das%20Atividades%20Pr%C3%A1ticas%20-%20A_Nadia%20Carla%20Rodrigue.docx&amp;action=default&amp;mobileredirect=true</t>
  </si>
  <si>
    <t>https://uniasselvi01-my.sharepoint.com/personal/elienai_cesar_uniasselvi_com_br1/_layouts/15/Doc.aspx?sourcedoc=%7B5981B200-5EE1-4264-B070-33648F0064CF%7D&amp;file=Tutor%20-%20Portf%C3%B3lio%20das%20Atividades%20Pr%C3%A1ticas%20-%20A_Nadia%20Carla%20Rodrigue.docx&amp;action=default&amp;mobileredirect=true</t>
  </si>
  <si>
    <t>https://uniasselvi01-my.sharepoint.com/personal/elienai_cesar_uniasselvi_com_br1/_layouts/15/Doc.aspx?sourcedoc=%7BFE295A85-B281-4422-B92A-714CB998EC85%7D&amp;file=Tutor%20-%20Portf%C3%B3lio%20das%20Atividades%20Pr%C3%A1ticas%20-%20A_Nadia%20Carla%20Rodrigue%201.docx&amp;action=default&amp;mobileredirect=true</t>
  </si>
  <si>
    <t>https://uniasselvi01-my.sharepoint.com/personal/elienai_cesar_uniasselvi_com_br1/_layouts/15/Doc.aspx?sourcedoc=%7B29D4F59E-138F-4049-B419-7849D072898B%7D&amp;file=Tutor%20-%20Portf%C3%B3lio%20das%20Atividades%20Pr%C3%A1ticas%20-%20A_Nadia%20Carla%20Rodrigue%201.docx&amp;action=default&amp;mobileredirect=true</t>
  </si>
  <si>
    <t>https://uniasselvi01-my.sharepoint.com/personal/elienai_cesar_uniasselvi_com_br1/_layouts/15/Doc.aspx?sourcedoc=%7BD3F8F719-302C-4118-B2BE-F8F1ED3CD799%7D&amp;file=Tutor%20-%20Portf%C3%B3lio%20das%20Atividades%20Pr%C3%A1ticas%20-%20F_Nadia%20Carla%20Rodrigue.docx&amp;action=default&amp;mobileredirect=true</t>
  </si>
  <si>
    <t>https://uniasselvi01-my.sharepoint.com/personal/elienai_cesar_uniasselvi_com_br1/_layouts/15/Doc.aspx?sourcedoc=%7B89E5242A-4F48-49AA-BFE4-DC7329AC1A07%7D&amp;file=Tutor%20-%20Portf%C3%B3lio%20das%20Atividades%20Pr%C3%A1ticas%20-%20F_Nadia%20Carla%20Rodrigue.docx&amp;action=default&amp;mobileredirect=true</t>
  </si>
  <si>
    <t>https://uniasselvi01-my.sharepoint.com/personal/elienai_cesar_uniasselvi_com_br1/_layouts/15/Doc.aspx?sourcedoc=%7B395749CC-4AD3-447B-A4D2-8519DBFF8FE0%7D&amp;file=MODELO_Lista%20de%20Presen%C3%A7a%20das%20Pr%C3%A1ticas05.03.26_Quezia%20Silva.docx&amp;action=default&amp;mobileredirect=true</t>
  </si>
  <si>
    <t>https://uniasselvi01-my.sharepoint.com/personal/elienai_cesar_uniasselvi_com_br1/_layouts/15/Doc.aspx?sourcedoc=%7BFE8BAFDE-F404-483D-9C17-4D52071AD71C%7D&amp;file=portifoilio%20Quezia%20ausculta%20pulmonar_Quezia%20Silva.docx&amp;action=default&amp;mobileredirect=true</t>
  </si>
  <si>
    <t>https://uniasselvi01-my.sharepoint.com/personal/elienai_cesar_uniasselvi_com_br1/_layouts/15/Doc.aspx?sourcedoc=%7B77CDDA5B-F290-4ADE-9CF3-52A5505A6E78%7D&amp;file=MODELO_Lista%20de%20Presen%C3%A7a%20das%20Pr%C3%A1ticas05.03.26_Quezia%20Silva%201.docx&amp;action=default&amp;mobileredirect=true</t>
  </si>
  <si>
    <t>https://uniasselvi01-my.sharepoint.com/personal/elienai_cesar_uniasselvi_com_br1/_layouts/15/Doc.aspx?sourcedoc=%7B06697182-8E77-4705-9C27-2822EDCF6EC0%7D&amp;file=portifolio%20Quezia%20curativo_Quezia%20Silva.docx&amp;action=default&amp;mobileredirect=true</t>
  </si>
  <si>
    <t>Fisioterapia com Próteses: Reabilitação Funcional e Adaptação ao Uso de Próteses</t>
  </si>
  <si>
    <t>https://uniasselvi01-my.sharepoint.com/personal/elienai_cesar_uniasselvi_com_br1/Documents/Aplicativos/Microsoft%20Forms/Question%C3%A1rio%20sem%20t%C3%ADtulo/Envio%20da%20Lista%20de%20Presen%C3%A7a%201/IMG_1029_Lucas%20Medeiros.PNG</t>
  </si>
  <si>
    <t>https://uniasselvi01-my.sharepoint.com/personal/elienai_cesar_uniasselvi_com_br1/Documents/Aplicativos/Microsoft%20Forms/Question%C3%A1rio%20sem%20t%C3%ADtulo/Envio%20do%20Portf%C3%B3lio%20em%20PDF%201/protese2_Lucas%20Medeiros.pdf</t>
  </si>
  <si>
    <t>Prática Terapêutica com Órteses: Abordagens Funcionais na Reabilitação Musculoesquelética</t>
  </si>
  <si>
    <t>https://uniasselvi01-my.sharepoint.com/personal/elienai_cesar_uniasselvi_com_br1/Documents/Aplicativos/Microsoft%20Forms/Question%C3%A1rio%20sem%20t%C3%ADtulo/Envio%20da%20Lista%20de%20Presen%C3%A7a%201/IMG_1026_Lucas%20Medeiros.jpg</t>
  </si>
  <si>
    <t>https://uniasselvi01-my.sharepoint.com/personal/elienai_cesar_uniasselvi_com_br1/Documents/Aplicativos/Microsoft%20Forms/Question%C3%A1rio%20sem%20t%C3%ADtulo/Envio%20do%20Portf%C3%B3lio%20em%20PDF%201/ortese1_Lucas%20Medeiros.pdf</t>
  </si>
  <si>
    <t>Avaliação e Reabilitação Funcional dos Membros Superiores: Prática em Fisioterapia Traumato-Ortopédica;Avaliação e Reabilitação Funcional dos Membros Inferiores : Prática em Fisioterapia Traumato-Ortopédica</t>
  </si>
  <si>
    <t>https://uniasselvi01-my.sharepoint.com/personal/elienai_cesar_uniasselvi_com_br1/_layouts/15/Doc.aspx?sourcedoc=%7B76A8A801-DC4B-4B38-8B35-884E315F3551%7D&amp;file=Lista%20de%20presen%C3%A7a%20Traumato,Disfun%C3%A7oes%20coluna_Vanessa%20Varjao%201.docx&amp;action=default&amp;mobileredirect=true</t>
  </si>
  <si>
    <t>https://uniasselvi01-my.sharepoint.com/personal/elienai_cesar_uniasselvi_com_br1/_layouts/15/Doc.aspx?sourcedoc=%7BC97897C0-651D-4BCB-8261-94F525D4B011%7D&amp;file=Portf%C3%B3lio%20Traumato%20disfun%C3%A7oes_Vanessa%20Varjao%201.docx&amp;action=default&amp;mobileredirect=true</t>
  </si>
  <si>
    <t>https://uniasselvi01-my.sharepoint.com/personal/elienai_cesar_uniasselvi_com_br1/Documents/Aplicativos/Microsoft%20Forms/Question%C3%A1rio%20sem%20t%C3%ADtulo/Envio%20da%20Lista%20de%20Presen%C3%A7a/WhatsApp%20Image%202026-03-12%20at%2022.12.37_Conceicao%20Delphino.jpeg</t>
  </si>
  <si>
    <t>https://uniasselvi01-my.sharepoint.com/personal/elienai_cesar_uniasselvi_com_br1/Documents/Aplicativos/Microsoft%20Forms/Question%C3%A1rio%20sem%20t%C3%ADtulo/Envio%20do%20Portf%C3%B3lio%20em%20PDF/WhatsApp%20Image%202026-03-12%20at%2022.12.50_Conceicao%20Delphino.jpeg; https://uniasselvi01-my.sharepoint.com/personal/elienai_cesar_uniasselvi_com_br1/Documents/Aplicativos/Microsoft%20Forms/Question%C3%A1rio%20sem%20t%C3%ADtulo/Envio%20do%20Portf%C3%B3lio%20em%20PDF/WhatsApp%20Image%202026-03-12%20at%2022.12.49_Conceicao%20Delphino.jpeg; https://uniasselvi01-my.sharepoint.com/personal/elienai_cesar_uniasselvi_com_br1/Documents/Aplicativos/Microsoft%20Forms/Question%C3%A1rio%20sem%20t%C3%ADtulo/Envio%20do%20Portf%C3%B3lio%20em%20PDF/WhatsApp%20Image%202026-03-12%20at%2022.12.38_Conceicao%20Delphino.jpeg; https://uniasselvi01-my.sharepoint.com/personal/elienai_cesar_uniasselvi_com_br1/Documents/Aplicativos/Microsoft%20Forms/Question%C3%A1rio%20sem%20t%C3%ADtulo/Envio%20do%20Portf%C3%B3lio%20em%20PDF/Portf%C3%B3lio%20das%20Atividades%20Pr%C3%A1ticas%20Uniasselvi_Conceicao%20Delphino%202.pdf</t>
  </si>
  <si>
    <t>simone.rodrigues@uniasselvi.com.br</t>
  </si>
  <si>
    <t>Simone Mendonca Rodrigues</t>
  </si>
  <si>
    <t>São Caetano do Sul/SP</t>
  </si>
  <si>
    <t>Abordagens Integradas para Revitalização Facial: Peeling Mecânico e Químico;Limpeza de pele e hidratação facial</t>
  </si>
  <si>
    <t>https://uniasselvi01-my.sharepoint.com/personal/elienai_cesar_uniasselvi_com_br1/Documents/Aplicativos/Microsoft%20Forms/Question%C3%A1rio%20sem%20t%C3%ADtulo/Pergunta/WhatsApp%20Image%202026-03-13%20at%2010.59.55%20AM_Simone%20Mendonca%20Rodr.jpeg; https://uniasselvi01-my.sharepoint.com/personal/elienai_cesar_uniasselvi_com_br1/Documents/Aplicativos/Microsoft%20Forms/Question%C3%A1rio%20sem%20t%C3%ADtulo/Pergunta/WhatsApp%20Image%202026-03-13%20at%2010.59.54%20AM%20(1)_Simone%20Mendonca%20Rodr.jpeg; https://uniasselvi01-my.sharepoint.com/personal/elienai_cesar_uniasselvi_com_br1/Documents/Aplicativos/Microsoft%20Forms/Question%C3%A1rio%20sem%20t%C3%ADtulo/Pergunta/WhatsApp%20Image%202026-03-13%20at%2010.59.54%20AM_Simone%20Mendonca%20Rodr.jpeg; https://uniasselvi01-my.sharepoint.com/personal/elienai_cesar_uniasselvi_com_br1/Documents/Aplicativos/Microsoft%20Forms/Question%C3%A1rio%20sem%20t%C3%ADtulo/Pergunta/WhatsApp%20Image%202026-03-13%20at%2010.59.53%20AM_Simone%20Mendonca%20Rodr.jpeg</t>
  </si>
  <si>
    <t>https://uniasselvi01-my.sharepoint.com/personal/elienai_cesar_uniasselvi_com_br1/Documents/Aplicativos/Microsoft%20Forms/Question%C3%A1rio%20sem%20t%C3%ADtulo/Pergunta%201/Ordem%201%2025%20fevereiro%202016%20-%20Portf%C3%B3lio%20das%20Ati_Simone%20Mendonca%20Rodr.pdf</t>
  </si>
  <si>
    <t>Avaliação Corporal e avaliação facial;Tratamento de Flacidez Tissular (corporal e facial) e Gordura Localizada</t>
  </si>
  <si>
    <t>https://uniasselvi01-my.sharepoint.com/personal/elienai_cesar_uniasselvi_com_br1/Documents/Aplicativos/Microsoft%20Forms/Question%C3%A1rio%20sem%20t%C3%ADtulo/Envio%20da%20Lista%20de%20Presen%C3%A7a%201/WhatsApp%20Image%202026-03-13%20at%2011.10.56%20AM%20(1)_Simone%20Mendonca%20Rodr.jpeg; https://uniasselvi01-my.sharepoint.com/personal/elienai_cesar_uniasselvi_com_br1/Documents/Aplicativos/Microsoft%20Forms/Question%C3%A1rio%20sem%20t%C3%ADtulo/Envio%20da%20Lista%20de%20Presen%C3%A7a%201/WhatsApp%20Image%202026-03-13%20at%2011.10.56%20AM_Simone%20Mendonca%20Rodr.jpeg</t>
  </si>
  <si>
    <t>https://uniasselvi01-my.sharepoint.com/personal/elienai_cesar_uniasselvi_com_br1/Documents/Aplicativos/Microsoft%20Forms/Question%C3%A1rio%20sem%20t%C3%ADtulo/Envio%20do%20Portf%C3%B3lio%20em%20PDF%201/Ordem%201%20-%2004%20Mar%C3%A7o%202026%20-%20Portf%C3%B3lio%20das%20Ativi_Simone%20Mendonca%20Rodr.pdf</t>
  </si>
  <si>
    <t>Esfregaço e coloração de GRAM;Preparo de meio de cultura II</t>
  </si>
  <si>
    <t>https://uniasselvi01-my.sharepoint.com/personal/elienai_cesar_uniasselvi_com_br1/Documents/Aplicativos/Microsoft%20Forms/Question%C3%A1rio%20sem%20t%C3%ADtulo/Pergunta/WhatsApp%20Image%202026-03-13%20at%2011.20.29%20AM%20(1)_Simone%20Mendonca%20Rodr.jpeg; https://uniasselvi01-my.sharepoint.com/personal/elienai_cesar_uniasselvi_com_br1/Documents/Aplicativos/Microsoft%20Forms/Question%C3%A1rio%20sem%20t%C3%ADtulo/Pergunta/WhatsApp%20Image%202026-03-13%20at%2011.20.29%20AM_Simone%20Mendonca%20Rodr.jpeg</t>
  </si>
  <si>
    <t>https://uniasselvi01-my.sharepoint.com/personal/elienai_cesar_uniasselvi_com_br1/Documents/Aplicativos/Microsoft%20Forms/Question%C3%A1rio%20sem%20t%C3%ADtulo/Pergunta%201/Ordem%201%20-%2011%20Mar%C3%A7o%202026%20-%20Portf%C3%B3lio%20das%20Ativi_Simone%20Mendonca%20Rodr.pdf</t>
  </si>
  <si>
    <t>https://uniasselvi01-my.sharepoint.com/personal/elienai_cesar_uniasselvi_com_br1/_layouts/15/Doc.aspx?sourcedoc=%7B8200555E-676C-4245-BB95-3D1116D4DA76%7D&amp;file=Relat%C3%B3rio%20de%20Laborat%C3%B3rio%2012.03.2026_Luiz%20Silva.docx&amp;action=default&amp;mobileredirect=true</t>
  </si>
  <si>
    <t>https://uniasselvi01-my.sharepoint.com/personal/elienai_cesar_uniasselvi_com_br1/Documents/Aplicativos/Microsoft%20Forms/Question%C3%A1rio%20sem%20t%C3%ADtulo/Envio%20do%20Portf%C3%B3lio%20em%20PDF/Foto%201%20_%2012.03.2026_Luiz%20Silva.jpeg; https://uniasselvi01-my.sharepoint.com/personal/elienai_cesar_uniasselvi_com_br1/Documents/Aplicativos/Microsoft%20Forms/Question%C3%A1rio%20sem%20t%C3%ADtulo/Envio%20do%20Portf%C3%B3lio%20em%20PDF/Foto%202%20_%2012.03.2026_Luiz%20Silva.jpeg; https://uniasselvi01-my.sharepoint.com/personal/elienai_cesar_uniasselvi_com_br1/Documents/Aplicativos/Microsoft%20Forms/Question%C3%A1rio%20sem%20t%C3%ADtulo/Envio%20do%20Portf%C3%B3lio%20em%20PDF/Foto%203%20_%2012.03.2026_Luiz%20Silva.jpeg; https://uniasselvi01-my.sharepoint.com/personal/elienai_cesar_uniasselvi_com_br1/Documents/Aplicativos/Microsoft%20Forms/Question%C3%A1rio%20sem%20t%C3%ADtulo/Envio%20do%20Portf%C3%B3lio%20em%20PDF/Foto%204%20_%2012.03.2026_Luiz%20Silva.jpeg; https://uniasselvi01-my.sharepoint.com/personal/elienai_cesar_uniasselvi_com_br1/Documents/Aplicativos/Microsoft%20Forms/Question%C3%A1rio%20sem%20t%C3%ADtulo/Envio%20do%20Portf%C3%B3lio%20em%20PDF/Foto%205%20_%2012.03.2026_Luiz%20Silva.jpeg; https://uniasselvi01-my.sharepoint.com/personal/elienai_cesar_uniasselvi_com_br1/Documents/Aplicativos/Microsoft%20Forms/Question%C3%A1rio%20sem%20t%C3%ADtulo/Envio%20do%20Portf%C3%B3lio%20em%20PDF/Foto%206%20_%2012.03.2026_Luiz%20Silva.jpeg</t>
  </si>
  <si>
    <t>https://uniasselvi01-my.sharepoint.com/personal/elienai_cesar_uniasselvi_com_br1/Documents/Aplicativos/Microsoft%20Forms/Question%C3%A1rio%20sem%20t%C3%ADtulo/Envio%20da%20Lista%20de%20Presen%C3%A7a%202/Presen%C3%A7a_Kellen%20Nascimento.jpeg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</si>
  <si>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20-%20F_Kellen%20Nascimento.pdf</t>
  </si>
  <si>
    <t>maria.meirelles@regentedepolo.uniasselvi.com.br</t>
  </si>
  <si>
    <t>Maria Meirelles</t>
  </si>
  <si>
    <t>Sidrolândia/MS</t>
  </si>
  <si>
    <t>https://uniasselvi01-my.sharepoint.com/personal/elienai_cesar_uniasselvi_com_br1/Documents/Aplicativos/Microsoft%20Forms/Question%C3%A1rio%20sem%20t%C3%ADtulo/Envio%20da%20Lista%20de%20Presen%C3%A7a/MODELO_Lista%20de%20Presen%C3%A7a%20das%20Pr%C3%A1ticas%20curativ_Maria%20Meirelles.pdf; https://uniasselvi01-my.sharepoint.com/personal/elienai_cesar_uniasselvi_com_br1/Documents/Aplicativos/Microsoft%20Forms/Question%C3%A1rio%20sem%20t%C3%ADtulo/Envio%20da%20Lista%20de%20Presen%C3%A7a/MODELO_Lista%20de%20Presen%C3%A7a%20das%20Pr%C3%A1ticas%20fundame_Maria%20Meirelles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</si>
  <si>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20%20fu_Maria%20Meirelles.pdf</t>
  </si>
  <si>
    <t>marcella.leivas@tutorpratica.uniasselvi.com.br</t>
  </si>
  <si>
    <t>Marcella Leivas</t>
  </si>
  <si>
    <t>https://uniasselvi01-my.sharepoint.com/personal/elienai_cesar_uniasselvi_com_br1/Documents/Aplicativos/Microsoft%20Forms/Question%C3%A1rio%20sem%20t%C3%ADtulo/Envio%20da%20Lista%20de%20Presen%C3%A7a/chamada%2012.03.26%20-%20Noite_Marcella%20Leivas.jpeg</t>
  </si>
  <si>
    <t>https://uniasselvi01-my.sharepoint.com/personal/elienai_cesar_uniasselvi_com_br1/_layouts/15/Doc.aspx?sourcedoc=%7B19866D44-DF08-431A-932D-50BA65656480%7D&amp;file=Portf%C3%B3lio%20das%20Atividades%20Pr%C3%A1ticas%20-%20Vias%20a%C3%A9re_Marcella%20Leivas.docx&amp;action=default&amp;mobileredirect=true</t>
  </si>
  <si>
    <t>https://uniasselvi01-my.sharepoint.com/personal/elienai_cesar_uniasselvi_com_br1/Documents/Aplicativos/Microsoft%20Forms/Question%C3%A1rio%20sem%20t%C3%ADtulo/Envio%20da%20Lista%20de%20Presen%C3%A7a/Portfolio%20(3)_Maksllene%20Spessatto.pdf; https://uniasselvi01-my.sharepoint.com/personal/elienai_cesar_uniasselvi_com_br1/Documents/Aplicativos/Microsoft%20Forms/Question%C3%A1rio%20sem%20t%C3%ADtulo/Envio%20da%20Lista%20de%20Presen%C3%A7a/Lista%20de%20presenc%CC%A7a%20de%20Farmacologia_Maksllene%20Spessatto.pdf</t>
  </si>
  <si>
    <t>https://uniasselvi01-my.sharepoint.com/personal/elienai_cesar_uniasselvi_com_br1/Documents/Aplicativos/Microsoft%20Forms/Question%C3%A1rio%20sem%20t%C3%ADtulo/Envio%20do%20Portf%C3%B3lio%20em%20PDF/Portfolio%20(3)_Maksllene%20Spessatto.pdf</t>
  </si>
  <si>
    <t>Banho de leito + Lavagem gástrica</t>
  </si>
  <si>
    <t>https://uniasselvi01-my.sharepoint.com/personal/elienai_cesar_uniasselvi_com_br1/Documents/Aplicativos/Microsoft%20Forms/Question%C3%A1rio%20sem%20t%C3%ADtulo/Envio%20da%20Lista%20de%20Presen%C3%A7a/lista%20de%20presenc%CC%A7a%20Saude%20do%20adulto_Maksllene%20Spessatto.pdf</t>
  </si>
  <si>
    <t>https://uniasselvi01-my.sharepoint.com/personal/elienai_cesar_uniasselvi_com_br1/Documents/Aplicativos/Microsoft%20Forms/Question%C3%A1rio%20sem%20t%C3%ADtulo/Envio%20do%20Portf%C3%B3lio%20em%20PDF/Portfolio%20(4)_Maksllene%20Spessatto.pdf</t>
  </si>
  <si>
    <t>https://uniasselvi01-my.sharepoint.com/personal/elienai_cesar_uniasselvi_com_br1/Documents/Aplicativos/Microsoft%20Forms/Question%C3%A1rio%20sem%20t%C3%ADtulo/Envio%20da%20Lista%20de%20Presen%C3%A7a/Aula%20dia%2013_Maksllene%20Spessatto.pdf</t>
  </si>
  <si>
    <t>https://uniasselvi01-my.sharepoint.com/personal/elienai_cesar_uniasselvi_com_br1/Documents/Aplicativos/Microsoft%20Forms/Question%C3%A1rio%20sem%20t%C3%ADtulo/Envio%20do%20Portf%C3%B3lio%20em%20PDF/Portfolio%20(5)_Maksllene%20Spessatto.pdf; https://uniasselvi01-my.sharepoint.com/personal/elienai_cesar_uniasselvi_com_br1/Documents/Aplicativos/Microsoft%20Forms/Question%C3%A1rio%20sem%20t%C3%ADtulo/Envio%20do%20Portf%C3%B3lio%20em%20PDF/Portfolio%20(6)_Maksllene%20Spessatto.pdf</t>
  </si>
  <si>
    <t>https://uniasselvi01-my.sharepoint.com/personal/elienai_cesar_uniasselvi_com_br1/Documents/Aplicativos/Microsoft%20Forms/Question%C3%A1rio%20sem%20t%C3%ADtulo/Envio%20da%20Lista%20de%20Presen%C3%A7a%202/Lista%20de%20Presen%C3%A7a%20assinada_Bruna%20Hack.jpeg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</si>
  <si>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Ter_Bruna%20Hack.pdf</t>
  </si>
  <si>
    <t>sancha.cardoso@tutorpratica.uniasselvi.com.br</t>
  </si>
  <si>
    <t>Sancha Cardoso</t>
  </si>
  <si>
    <t>Manaus/AM - Cidade Nova</t>
  </si>
  <si>
    <t>Prática de Mobilização Articular: Abordagens Terapêuticas em Recursos Manuais;Massagem Geral Terapêutica: Técnicas e Aplicações em Recursos Manuais</t>
  </si>
  <si>
    <t>https://uniasselvi01-my.sharepoint.com/personal/elienai_cesar_uniasselvi_com_br1/_layouts/15/Doc.aspx?sourcedoc=%7BDDDD6A08-4C6A-4B0A-8435-01BEA2670B91%7D&amp;file=MODELO_Lista%20de%20Presen%C3%A7a%20das%20Pr%C3%A1ticas_Sancha%20Cardoso.docx&amp;action=default&amp;mobileredirect=true</t>
  </si>
  <si>
    <t>https://uniasselvi01-my.sharepoint.com/personal/elienai_cesar_uniasselvi_com_br1/_layouts/15/Doc.aspx?sourcedoc=%7B6FFED46D-23CC-479B-AFD6-840EB52D1F81%7D&amp;file=Tutor%20-%20Portf%C3%B3lio%20das%20Atividades%20Pr%C3%A1ticas_Sancha%20Cardoso.docx&amp;action=default&amp;mobileredirect=true</t>
  </si>
  <si>
    <t>Avaliação Semiológica Cardiorrespiratória: Técnicas e Protocolos na Fisioterapia Cardiovascular</t>
  </si>
  <si>
    <t>https://uniasselvi01-my.sharepoint.com/personal/elienai_cesar_uniasselvi_com_br1/_layouts/15/Doc.aspx?sourcedoc=%7BE200E8B5-78F1-4FA4-B428-4587B3A31C77%7D&amp;file=MODELO_Lista%20de%20Presen%C3%A7a%20das%20Pr%C3%A1ticas_Sancha%20Cardoso%201.docx&amp;action=default&amp;mobileredirect=true</t>
  </si>
  <si>
    <t>https://uniasselvi01-my.sharepoint.com/personal/elienai_cesar_uniasselvi_com_br1/_layouts/15/Doc.aspx?sourcedoc=%7BF8CD1441-1144-4B1E-9597-EE94256F1CC8%7D&amp;file=Tutor%20-%20Portf%C3%B3lio%20das%20Atividades%20Pr%C3%A1ticas_Sancha%20Cardoso%201.docx&amp;action=default&amp;mobileredirect=true</t>
  </si>
  <si>
    <t>https://uniasselvi01-my.sharepoint.com/personal/elienai_cesar_uniasselvi_com_br1/_layouts/15/Doc.aspx?sourcedoc=%7B38AA2289-8540-4685-9BC8-20DC1100A369%7D&amp;file=MODELO_Lista%20de%20Presen%C3%A7a%20das%20Pr%C3%A1ticas_Sancha%20Cardoso%202.docx&amp;action=default&amp;mobileredirect=true</t>
  </si>
  <si>
    <t>https://uniasselvi01-my.sharepoint.com/personal/elienai_cesar_uniasselvi_com_br1/_layouts/15/Doc.aspx?sourcedoc=%7B6A09E5FB-4E30-492F-BFA6-F7B8BC82B8E0%7D&amp;file=Tutor%20-%20Portf%C3%B3lio%20das%20Atividades%20Pr%C3%A1ticas_Sancha%20Cardoso%202.docx&amp;action=default&amp;mobileredirect=true</t>
  </si>
  <si>
    <t>Fisioterapia com Próteses: Reabilitação Funcional e Adaptação ao Uso de Próteses;Prática Terapêutica com Órteses: Abordagens Funcionais na Reabilitação Musculoesquelética</t>
  </si>
  <si>
    <t>https://uniasselvi01-my.sharepoint.com/personal/elienai_cesar_uniasselvi_com_br1/_layouts/15/Doc.aspx?sourcedoc=%7B5C2F3819-3C39-46B2-A38A-ADB8E269B8D9%7D&amp;file=MODELO_Lista%20de%20Presen%C3%A7a%20das%20Pr%C3%A1ticas_Sancha%20Cardoso%203.docx&amp;action=default&amp;mobileredirect=true</t>
  </si>
  <si>
    <t>https://uniasselvi01-my.sharepoint.com/personal/elienai_cesar_uniasselvi_com_br1/_layouts/15/Doc.aspx?sourcedoc=%7BEF72237E-E360-4658-A172-B7AFF6FA3310%7D&amp;file=Tutor%20-%20Portf%C3%B3lio%20das%20Atividades%20Pr%C3%A1ticas_Sancha%20Cardoso%203.docx&amp;action=default&amp;mobileredirect=true</t>
  </si>
  <si>
    <t>Prática Traumato-Ortopédica em Coluna Vertebral: Manejo de Disfunções Cervicais, Torácicas e Lombares;Avaliação e Reabilitação Funcional dos Membros Superiores: Prática em Fisioterapia Traumato-Ortopédica</t>
  </si>
  <si>
    <t>https://uniasselvi01-my.sharepoint.com/personal/elienai_cesar_uniasselvi_com_br1/_layouts/15/Doc.aspx?sourcedoc=%7B722F6146-2B56-43A0-B421-DAFAAF282BF5%7D&amp;file=MODELO_Lista%20de%20Presen%C3%A7a%20das%20Pr%C3%A1ticas_Sancha%20Cardoso%204.docx&amp;action=default&amp;mobileredirect=true</t>
  </si>
  <si>
    <t>https://uniasselvi01-my.sharepoint.com/personal/elienai_cesar_uniasselvi_com_br1/_layouts/15/Doc.aspx?sourcedoc=%7B41DBE729-1908-49B4-9DDA-6DDAD3A82DC0%7D&amp;file=Tutor%20-%20Portf%C3%B3lio%20das%20Atividades%20Pr%C3%A1ticas_Sancha%20Cardoso%204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</si>
  <si>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https://uniasselvi01-my.sharepoint.com/personal/elienai_cesar_uniasselvi_com_br1/Documents/Aplicativos/Microsoft%20Forms/Question%C3%A1rio%20sem%20t%C3%ADtulo/Envio%20da%20Lista%20de%20Presen%C3%A7a/lista%20de%20presen%C3%A7a_Marilene%20Silva.jpg</t>
  </si>
  <si>
    <t>https://uniasselvi01-my.sharepoint.com/personal/elienai_cesar_uniasselvi_com_br1/_layouts/15/Doc.aspx?sourcedoc=%7B34B8169B-F5B9-43DD-8873-2782E92B4657%7D&amp;file=portfolio%20de%20praticas%2013.03_Marilene%20Silva.docx&amp;action=default&amp;mobileredirect=true</t>
  </si>
  <si>
    <t>salete.cruz@tutorpratica.uniasselvi.com.br</t>
  </si>
  <si>
    <t>Salete Cruz</t>
  </si>
  <si>
    <t>Administração  de medicamento por Cateter Venoso Central + Monitorização hemodinâmica  do paciente;Curativo;Avaliação corporal + Ausculta pulmonar + Ausculta cardiaca + Verificação de sinais vitais;Aspiração de vias aéreas (com e sem TOT)</t>
  </si>
  <si>
    <t>https://uniasselvi01-my.sharepoint.com/personal/elienai_cesar_uniasselvi_com_br1/Documents/Aplicativos/Microsoft%20Forms/Question%C3%A1rio%20sem%20t%C3%ADtulo/Envio%20da%20Lista%20de%20Presen%C3%A7a/LISTA%20DE%20PRESEN%C3%87A_Salete%20Cruz.pdf</t>
  </si>
  <si>
    <t>https://uniasselvi01-my.sharepoint.com/personal/elienai_cesar_uniasselvi_com_br1/_layouts/15/Doc.aspx?sourcedoc=%7B3D674030-7743-4A14-8963-BAA8341AB8F2%7D&amp;file=Portf%C3%B3lio%20das%20Atividades%20Pr%C3%A1ticas%20ADM%20MEDICAM_Salete%20Cruz.docx&amp;action=default&amp;mobileredirect=true; https://uniasselvi01-my.sharepoint.com/personal/elienai_cesar_uniasselvi_com_br1/_layouts/15/Doc.aspx?sourcedoc=%7B64E38036-D24F-49DC-AF12-534C2B5D12AE%7D&amp;file=Portf%C3%B3lio%20das%20Atividades%20Pr%C3%A1ticas%20CURATIVOS_Salete%20Cruz.docx&amp;action=default&amp;mobileredirect=true; https://uniasselvi01-my.sharepoint.com/personal/elienai_cesar_uniasselvi_com_br1/_layouts/15/Doc.aspx?sourcedoc=%7BEC1BF389-9666-44BF-B146-1710F7CC3F4B%7D&amp;file=Portf%C3%B3lio%20das%20Atividades%20Pr%C3%A1ticas%20ASPIRA%C3%87%C3%83O%20T_Salete%20Cruz.docx&amp;action=default&amp;mobileredirect=true; https://uniasselvi01-my.sharepoint.com/personal/elienai_cesar_uniasselvi_com_br1/_layouts/15/Doc.aspx?sourcedoc=%7B72C405A8-D7BC-4386-B41E-867627BE057F%7D&amp;file=Portf%C3%B3lio%20das%20Atividades%20Pr%C3%A1ticas%20AUSCULTA_Salete%20Cruz.docx&amp;action=default&amp;mobileredirect=true</t>
  </si>
  <si>
    <t>Massagem Geral Terapêutica: Técnicas e Aplicações em Recursos Manuais;Drenagem Linfática</t>
  </si>
  <si>
    <t>https://uniasselvi01-my.sharepoint.com/personal/elienai_cesar_uniasselvi_com_br1/Documents/Aplicativos/Microsoft%20Forms/Question%C3%A1rio%20sem%20t%C3%ADtulo/Envio%20da%20Lista%20de%20Presen%C3%A7a%201/lista%20de%20presen%C3%A7a27-02_Helenice%20Melo.jpeg</t>
  </si>
  <si>
    <t>https://uniasselvi01-my.sharepoint.com/personal/elienai_cesar_uniasselvi_com_br1/Documents/Aplicativos/Microsoft%20Forms/Question%C3%A1rio%20sem%20t%C3%ADtulo/Envio%20do%20Portf%C3%B3lio%20em%20PDF%201/Portf%C3%B3lio%20das%20Atividades%20Pr%C3%A1ticas%20RTM%202702_Helenice%20Melo.pdf</t>
  </si>
  <si>
    <t>https://uniasselvi01-my.sharepoint.com/personal/elienai_cesar_uniasselvi_com_br1/Documents/Aplicativos/Microsoft%20Forms/Question%C3%A1rio%20sem%20t%C3%ADtulo/Envio%20da%20Lista%20de%20Presen%C3%A7a%201/0603%20lista_Helenice%20Melo.jpeg</t>
  </si>
  <si>
    <t>https://uniasselvi01-my.sharepoint.com/personal/elienai_cesar_uniasselvi_com_br1/Documents/Aplicativos/Microsoft%20Forms/Question%C3%A1rio%20sem%20t%C3%ADtulo/Envio%20do%20Portf%C3%B3lio%20em%20PDF%201/Portf%C3%B3lio%20das%20Atividades%20Pr%C3%A1ticas%20RTM%200603_Helenice%20Melo.pdf</t>
  </si>
  <si>
    <t>https://uniasselvi01-my.sharepoint.com/personal/elienai_cesar_uniasselvi_com_br1/Documents/Aplicativos/Microsoft%20Forms/Question%C3%A1rio%20sem%20t%C3%ADtulo/Envio%20da%20Lista%20de%20Presen%C3%A7a%201/0603%20orto_Helenice%20Melo.jpeg</t>
  </si>
  <si>
    <t>https://uniasselvi01-my.sharepoint.com/personal/elienai_cesar_uniasselvi_com_br1/Documents/Aplicativos/Microsoft%20Forms/Question%C3%A1rio%20sem%20t%C3%ADtulo/Envio%20do%20Portf%C3%B3lio%20em%20PDF%201/Portf%C3%B3lio%20das%20Atividades%20Pr%C3%A1ticas%20ORTOTRAUMA_Helenice%20Melo.pdf</t>
  </si>
  <si>
    <t>https://uniasselvi01-my.sharepoint.com/personal/elienai_cesar_uniasselvi_com_br1/Documents/Aplicativos/Microsoft%20Forms/Question%C3%A1rio%20sem%20t%C3%ADtulo/Envio%20da%20Lista%20de%20Presen%C3%A7a%201/WhatsApp%20Image%202026-03-14%20at%2002.17li.22_Helenice%20Melo.jpeg</t>
  </si>
  <si>
    <t>https://uniasselvi01-my.sharepoint.com/personal/elienai_cesar_uniasselvi_com_br1/Documents/Aplicativos/Microsoft%20Forms/Question%C3%A1rio%20sem%20t%C3%ADtulo/Envio%20do%20Portf%C3%B3lio%20em%20PDF%201/Portf%C3%B3lio%20das%20Atividades%20Pr%C3%A1ticas%20ortotrauma2_Helenice%20Melo.pdf</t>
  </si>
  <si>
    <t>https://uniasselvi01-my.sharepoint.com/personal/elienai_cesar_uniasselvi_com_br1/Documents/Aplicativos/Microsoft%20Forms/Question%C3%A1rio%20sem%20t%C3%ADtulo/Envio%20da%20Lista%20de%20Presen%C3%A7a/fundamentos_Jean%20Santos.pdf</t>
  </si>
  <si>
    <t>https://uniasselvi01-my.sharepoint.com/personal/elienai_cesar_uniasselvi_com_br1/Documents/Aplicativos/Microsoft%20Forms/Question%C3%A1rio%20sem%20t%C3%ADtulo/Envio%20do%20Portf%C3%B3lio%20em%20PDF/fundamentos_Jean%20Santos.pdf</t>
  </si>
  <si>
    <t>https://uniasselvi01-my.sharepoint.com/personal/elienai_cesar_uniasselvi_com_br1/Documents/Aplicativos/Microsoft%20Forms/Question%C3%A1rio%20sem%20t%C3%ADtulo/Envio%20da%20Lista%20de%20Presen%C3%A7a/curativos_Jean%20Santos.pdf</t>
  </si>
  <si>
    <t>https://uniasselvi01-my.sharepoint.com/personal/elienai_cesar_uniasselvi_com_br1/Documents/Aplicativos/Microsoft%20Forms/Question%C3%A1rio%20sem%20t%C3%ADtulo/Envio%20do%20Portf%C3%B3lio%20em%20PDF/curativos_Jean%20Santos.pdf</t>
  </si>
  <si>
    <t>Avaliação de enfermagem ao paciente com queimadura + Escala de Coma de Glasgow;Administração de medicamento pela via subcutânea + Administração de medicamento pela via oral</t>
  </si>
  <si>
    <t>https://uniasselvi01-my.sharepoint.com/personal/elienai_cesar_uniasselvi_com_br1/_layouts/15/Doc.aspx?sourcedoc=%7BC7B7DE8D-4057-474D-B6F8-8D2EE6346D09%7D&amp;file=tutor_Daniela%20Madruga.docx&amp;action=default&amp;mobileredirect=true</t>
  </si>
  <si>
    <t>https://uniasselvi01-my.sharepoint.com/personal/elienai_cesar_uniasselvi_com_br1/_layouts/15/Doc.aspx?sourcedoc=%7BEB2C3A9E-A57A-47F9-97F0-AFED66A1442F%7D&amp;file=tutor_Daniela%20Madruga.docx&amp;action=default&amp;mobileredirect=true</t>
  </si>
  <si>
    <t>noemia.queiroz@tutorpratica.uniasselvi.com.br</t>
  </si>
  <si>
    <t>Noemia Queiroz</t>
  </si>
  <si>
    <t>Manacapuru/AM - Terra Preta</t>
  </si>
  <si>
    <t>https://uniasselvi01-my.sharepoint.com/personal/elienai_cesar_uniasselvi_com_br1/Documents/Aplicativos/Microsoft%20Forms/Question%C3%A1rio%20sem%20t%C3%ADtulo/Envio%20da%20Lista%20de%20Presen%C3%A7a/CamScanner%2014-03-2026%2009.31%20(1)_Noemia%20Queiroz.pdf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</si>
  <si>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fun_Noemia%20Queiroz.pdf</t>
  </si>
  <si>
    <t>https://uniasselvi01-my.sharepoint.com/personal/elienai_cesar_uniasselvi_com_br1/Documents/Aplicativos/Microsoft%20Forms/Question%C3%A1rio%20sem%20t%C3%ADtulo/Envio%20da%20Lista%20de%20Presen%C3%A7a%201/WhatsApp%20Image%202026-03-14%20at%2011.07.13_Clara%20Oliveira.jpeg; https://uniasselvi01-my.sharepoint.com/personal/elienai_cesar_uniasselvi_com_br1/Documents/Aplicativos/Microsoft%20Forms/Question%C3%A1rio%20sem%20t%C3%ADtulo/Envio%20da%20Lista%20de%20Presen%C3%A7a%201/WhatsApp%20Image%202026-03-14%20at%2011.07.13-2_Clara%20Oliveira.jpeg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</si>
  <si>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,%2011.03_Clara%20Oliveira.pdf</t>
  </si>
  <si>
    <t>https://uniasselvi01-my.sharepoint.com/personal/elienai_cesar_uniasselvi_com_br1/Documents/Aplicativos/Microsoft%20Forms/Question%C3%A1rio%20sem%20t%C3%ADtulo/Envio%20da%20Lista%20de%20Presen%C3%A7a%201/WhatsApp%20Image%202026-03-14%20at%2011.07.13-2_Clara%20Oliveira%201.jpeg; https://uniasselvi01-my.sharepoint.com/personal/elienai_cesar_uniasselvi_com_br1/Documents/Aplicativos/Microsoft%20Forms/Question%C3%A1rio%20sem%20t%C3%ADtulo/Envio%20da%20Lista%20de%20Presen%C3%A7a%201/WhatsApp%20Image%202026-03-14%20at%2011.07.13_Clara%20Oliveira%201.jpeg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</si>
  <si>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%20Pro%CC%81teses_Clara%20Oliveira.pdf</t>
  </si>
  <si>
    <t>https://uniasselvi01-my.sharepoint.com/personal/elienai_cesar_uniasselvi_com_br1/Documents/Aplicativos/Microsoft%20Forms/Question%C3%A1rio%20sem%20t%C3%ADtulo/Envio%20da%20Lista%20de%20Presen%C3%A7a%202/IMG_20260312_212839_Laura%20Volpato.jpg</t>
  </si>
  <si>
    <t>https://uniasselvi01-my.sharepoint.com/personal/elienai_cesar_uniasselvi_com_br1/Documents/Aplicativos/Microsoft%20Forms/Question%C3%A1rio%20sem%20t%C3%ADtulo/Envio%20do%20Portf%C3%B3lio%20em%20PDF%202/8%20Portf%C3%B3lio%20das%20Atividades%20Pr%C3%A1ticas.docx_Laura%20Volpato.pdf</t>
  </si>
  <si>
    <t>https://uniasselvi01-my.sharepoint.com/personal/elienai_cesar_uniasselvi_com_br1/Documents/Aplicativos/Microsoft%20Forms/Question%C3%A1rio%20sem%20t%C3%ADtulo/Envio%20da%20Lista%20de%20Presen%C3%A7a%202/IMG_20260312_212848_Laura%20Volpato.jpg</t>
  </si>
  <si>
    <t>https://uniasselvi01-my.sharepoint.com/personal/elienai_cesar_uniasselvi_com_br1/Documents/Aplicativos/Microsoft%20Forms/Question%C3%A1rio%20sem%20t%C3%ADtulo/Envio%20do%20Portf%C3%B3lio%20em%20PDF%202/7%20Portf%C3%B3lio%20das%20Atividades%20Pr%C3%A1ticas.docx_Laura%20Volpato.pdf</t>
  </si>
  <si>
    <t>Mamanguape/PB</t>
  </si>
  <si>
    <t>https://uniasselvi01-my.sharepoint.com/personal/elienai_cesar_uniasselvi_com_br1/_layouts/15/Doc.aspx?sourcedoc=%7BFFF8F667-FB56-448E-AF64-96DD57F3736A%7D&amp;file=pratica%20administra%C3%A7ao%20via%20oral_Sara%20Gomes.docx&amp;action=default&amp;mobileredirect=true</t>
  </si>
  <si>
    <t>https://uniasselvi01-my.sharepoint.com/personal/elienai_cesar_uniasselvi_com_br1/_layouts/15/Doc.aspx?sourcedoc=%7B4AD04F29-4E13-4696-8FDF-C1AC62F8A78A%7D&amp;file=pratica%20administra%C3%A7ao%20via%20oral_Sara%20Gomes.docx&amp;action=default&amp;mobileredirect=true</t>
  </si>
  <si>
    <t>Contagem diferencial de leucócitos</t>
  </si>
  <si>
    <t>https://uniasselvi01-my.sharepoint.com/personal/elienai_cesar_uniasselvi_com_br1/_layouts/15/Doc.aspx?sourcedoc=%7BFF79307E-B86C-4A62-97E3-7DF2E51A5ED0%7D&amp;file=Lista%20de%20presen%C3%A7a%2007022026_Giovana%20Nascimento.docx&amp;action=default&amp;mobileredirect=true</t>
  </si>
  <si>
    <t>https://uniasselvi01-my.sharepoint.com/personal/elienai_cesar_uniasselvi_com_br1/_layouts/15/Doc.aspx?sourcedoc=%7BFC12ECA3-CF3D-4956-BAC0-FE2FF0643FE4%7D&amp;file=Tutor%20-%20Portf%C3%B3lio%20das%20Atividades%20Pr%C3%A1ticas%20070_Giovana%20Nascimento.docx&amp;action=default&amp;mobileredirect=true</t>
  </si>
  <si>
    <t>rafaela.hilariao@tutorpratica.uniasselvi.com.br</t>
  </si>
  <si>
    <t>Rafaela Hilariao</t>
  </si>
  <si>
    <t>Juazeiro/BA</t>
  </si>
  <si>
    <t>https://uniasselvi01-my.sharepoint.com/personal/elienai_cesar_uniasselvi_com_br1/_layouts/15/Doc.aspx?sourcedoc=%7B28156824-74A5-4E7A-8742-A5E13BDE6E09%7D&amp;file=19.02.26_Rafaela%20Hilariao.docx&amp;action=default&amp;mobileredirect=true</t>
  </si>
  <si>
    <t>https://uniasselvi01-my.sharepoint.com/personal/elienai_cesar_uniasselvi_com_br1/_layouts/15/Doc.aspx?sourcedoc=%7B09D9C997-339A-4119-AAD8-C60178057A45%7D&amp;file=Trabalho%20de%20parto%20natural_Rafaela%20Hilariao.docx&amp;action=default&amp;mobileredirect=true</t>
  </si>
  <si>
    <t>https://uniasselvi01-my.sharepoint.com/personal/elienai_cesar_uniasselvi_com_br1/_layouts/15/Doc.aspx?sourcedoc=%7B4A9F3222-D4DA-467D-9E1F-76B655ECAFFD%7D&amp;file=23.02.26_Rafaela%20Hilariao.docx&amp;action=default&amp;mobileredirect=true</t>
  </si>
  <si>
    <t>https://uniasselvi01-my.sharepoint.com/personal/elienai_cesar_uniasselvi_com_br1/_layouts/15/Doc.aspx?sourcedoc=%7BF945AD96-1146-4B69-BE15-A42509463695%7D&amp;file=UTI_Rafaela%20Hilariao.docx&amp;action=default&amp;mobileredirect=true</t>
  </si>
  <si>
    <t>https://uniasselvi01-my.sharepoint.com/personal/elienai_cesar_uniasselvi_com_br1/_layouts/15/Doc.aspx?sourcedoc=%7B66EEE141-AE8A-43C7-B3EE-E2FB1B9A37FC%7D&amp;file=23.02.26_Rafaela%20Hilariao%201.docx&amp;action=default&amp;mobileredirect=true</t>
  </si>
  <si>
    <t>https://uniasselvi01-my.sharepoint.com/personal/elienai_cesar_uniasselvi_com_br1/_layouts/15/Doc.aspx?sourcedoc=%7B926CCDC4-AE94-485A-94D5-38CC78E078A3%7D&amp;file=UTI_Rafaela%20Hilariao%201.docx&amp;action=default&amp;mobileredirect=true</t>
  </si>
  <si>
    <t>Abordagens Integradas para Revitalização Facial: Peeling Mecânico e Químico;Avaliação Corporal e avaliação facial;Limpeza de pele e hidratação facial</t>
  </si>
  <si>
    <t>https://uniasselvi01-my.sharepoint.com/personal/elienai_cesar_uniasselvi_com_br1/Documents/Aplicativos/Microsoft%20Forms/Question%C3%A1rio%20sem%20t%C3%ADtulo/Pergunta/lista%20de%20presenca%2012-03_William%20Acarini.jpg</t>
  </si>
  <si>
    <t>https://uniasselvi01-my.sharepoint.com/personal/elienai_cesar_uniasselvi_com_br1/Documents/Aplicativos/Microsoft%20Forms/Question%C3%A1rio%20sem%20t%C3%ADtulo/Pergunta%201/portifolio%20avalia%C3%A7%C3%A3o%20facial_William%20Acarini.pdf</t>
  </si>
  <si>
    <t>https://uniasselvi01-my.sharepoint.com/personal/elienai_cesar_uniasselvi_com_br1/Documents/Aplicativos/Microsoft%20Forms/Question%C3%A1rio%20sem%20t%C3%ADtulo/Envio%20da%20Lista%20de%20Presen%C3%A7a/IMG_20260309_203611871_MP_AE_Kamila%20Sena.jpg; https://uniasselvi01-my.sharepoint.com/personal/elienai_cesar_uniasselvi_com_br1/Documents/Aplicativos/Microsoft%20Forms/Question%C3%A1rio%20sem%20t%C3%ADtulo/Envio%20da%20Lista%20de%20Presen%C3%A7a/IMG_20260309_205834283_MP_AE_Kamila%20Sena.jpg; https://uniasselvi01-my.sharepoint.com/personal/elienai_cesar_uniasselvi_com_br1/Documents/Aplicativos/Microsoft%20Forms/Question%C3%A1rio%20sem%20t%C3%ADtulo/Envio%20da%20Lista%20de%20Presen%C3%A7a/IMG_20260309_205607717_MP_AE_Kamila%20Sena.jpg; https://uniasselvi01-my.sharepoint.com/personal/elienai_cesar_uniasselvi_com_br1/Documents/Aplicativos/Microsoft%20Forms/Question%C3%A1rio%20sem%20t%C3%ADtulo/Envio%20da%20Lista%20de%20Presen%C3%A7a/IMG_20260309_205531064_MP_AE_Kamila%20Sena.jpg</t>
  </si>
  <si>
    <t>https://uniasselvi01-my.sharepoint.com/personal/elienai_cesar_uniasselvi_com_br1/Documents/Aplicativos/Microsoft%20Forms/Question%C3%A1rio%20sem%20t%C3%ADtulo/Envio%20do%20Portf%C3%B3lio%20em%20PDF/IMG_20260309_203611871_MP_AE_Kamila%20Sena.jpg; https://uniasselvi01-my.sharepoint.com/personal/elienai_cesar_uniasselvi_com_br1/Documents/Aplicativos/Microsoft%20Forms/Question%C3%A1rio%20sem%20t%C3%ADtulo/Envio%20do%20Portf%C3%B3lio%20em%20PDF/IMG_20260309_205834283_MP_AE_Kamila%20Sena.jpg; https://uniasselvi01-my.sharepoint.com/personal/elienai_cesar_uniasselvi_com_br1/Documents/Aplicativos/Microsoft%20Forms/Question%C3%A1rio%20sem%20t%C3%ADtulo/Envio%20do%20Portf%C3%B3lio%20em%20PDF/IMG_20260309_205607717_MP_AE_Kamila%20Sena.jpg; https://uniasselvi01-my.sharepoint.com/personal/elienai_cesar_uniasselvi_com_br1/Documents/Aplicativos/Microsoft%20Forms/Question%C3%A1rio%20sem%20t%C3%ADtulo/Envio%20do%20Portf%C3%B3lio%20em%20PDF/IMG_20260309_205531064_MP_AE_Kamila%20Sena.jpg</t>
  </si>
  <si>
    <t>magno.rosa@tutorpratica.uniasselvi.com.br</t>
  </si>
  <si>
    <t>Magno Rosa</t>
  </si>
  <si>
    <t>Duque de Caxias/RJ - 25 de Agosto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</si>
  <si>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20%20AC_Magno%20Rosa.pdf; https://uniasselvi01-my.sharepoint.com/personal/elienai_cesar_uniasselvi_com_br1/Documents/Aplicativos/Microsoft%20Forms/Question%C3%A1rio%20sem%20t%C3%ADtulo/Envio%20da%20Lista%20de%20Presen%C3%A7a/Tutor%20-%20Portf%C3%B3lio%20das%20Atividades%20Pr%C3%A1ticas%20%20MO_Magno%20Ros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</si>
  <si>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20%20AC_Magno%20Rosa.pdf; https://uniasselvi01-my.sharepoint.com/personal/elienai_cesar_uniasselvi_com_br1/Documents/Aplicativos/Microsoft%20Forms/Question%C3%A1rio%20sem%20t%C3%ADtulo/Envio%20do%20Portf%C3%B3lio%20em%20PDF/Tutor%20-%20Portf%C3%B3lio%20das%20Atividades%20Pr%C3%A1ticas%20%20MO_Magno%20Rosa.pdf</t>
  </si>
  <si>
    <t>Coleta de Sangue;Contagem diferencial de leucócitos;Esfregaço sanguíneo e colorações  (contagem diferencial de leucócitos);Esfregaço e coloração de GRAM;Tipagem sanguínea em lâminas</t>
  </si>
  <si>
    <t>https://uniasselvi01-my.sharepoint.com/personal/elienai_cesar_uniasselvi_com_br1/Documents/Aplicativos/Microsoft%20Forms/Question%C3%A1rio%20sem%20t%C3%ADtulo/Pergunta/73235_William%20Acarini.jpg</t>
  </si>
  <si>
    <t>https://uniasselvi01-my.sharepoint.com/personal/elienai_cesar_uniasselvi_com_br1/Documents/Aplicativos/Microsoft%20Forms/Question%C3%A1rio%20sem%20t%C3%ADtulo/Pergunta%201/PORTIFOLIO%20CONTAGEM%20E%20DIFERENCIAL%2009-03_William%20Acarini.pdf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</si>
  <si>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ASP_Magno%20Ros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</si>
  <si>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SP_Magno%20Rosa.pdf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</si>
  <si>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ASP_Magno%20Rosa%201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</si>
  <si>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SP_Magno%20Rosa%201.pdf</t>
  </si>
  <si>
    <t>https://uniasselvi01-my.sharepoint.com/personal/elienai_cesar_uniasselvi_com_br1/Documents/Aplicativos/Microsoft%20Forms/Question%C3%A1rio%20sem%20t%C3%ADtulo/Pergunta/73235_William%20Acarini%201.jpg</t>
  </si>
  <si>
    <t>https://uniasselvi01-my.sharepoint.com/personal/elienai_cesar_uniasselvi_com_br1/Documents/Aplicativos/Microsoft%20Forms/Question%C3%A1rio%20sem%20t%C3%ADtulo/Pergunta%201/PORTIFOLIO%20CONTAGEM%20E%20DIFERENCIAL%2009-03_William%20Acarini%201.pdf</t>
  </si>
  <si>
    <t>https://uniasselvi01-my.sharepoint.com/personal/elienai_cesar_uniasselvi_com_br1/Documents/Aplicativos/Microsoft%20Forms/Question%C3%A1rio%20sem%20t%C3%ADtulo/Envio%20da%20Lista%20de%20Presen%C3%A7a/cateter%20venoso%20central_Nelma%20Martins.pdf</t>
  </si>
  <si>
    <t>https://uniasselvi01-my.sharepoint.com/personal/elienai_cesar_uniasselvi_com_br1/_layouts/15/Doc.aspx?sourcedoc=%7B8B81921A-E6BD-46E0-8487-9232CC1FEE60%7D&amp;file=PORTIFOLIO_Nelma%20Martins%202.docx&amp;action=default&amp;mobileredirect=true</t>
  </si>
  <si>
    <t>https://uniasselvi01-my.sharepoint.com/personal/elienai_cesar_uniasselvi_com_br1/Documents/Aplicativos/Microsoft%20Forms/Question%C3%A1rio%20sem%20t%C3%ADtulo/Envio%20da%20Lista%20de%20Presen%C3%A7a/aspira%C3%A7%C3%A3o%20de%20vias%20a%C3%A9reas_Nelma%20Martins.pdf</t>
  </si>
  <si>
    <t>https://uniasselvi01-my.sharepoint.com/personal/elienai_cesar_uniasselvi_com_br1/_layouts/15/Doc.aspx?sourcedoc=%7B53BB958D-2301-4C43-A8AD-0865B8ADE8EB%7D&amp;file=PORTIFOLIO_Nelma%20Martins%203.docx&amp;action=default&amp;mobileredirect=true</t>
  </si>
  <si>
    <t>barbara.sousa@tutorpratica.uniasselvi.com.br</t>
  </si>
  <si>
    <t>Barbara Sousa</t>
  </si>
  <si>
    <t>Itapipoca/CE</t>
  </si>
  <si>
    <t>Histologia vegetal;Identificação de estreptococos</t>
  </si>
  <si>
    <t>https://uniasselvi01-my.sharepoint.com/personal/elienai_cesar_uniasselvi_com_br1/Documents/Aplicativos/Microsoft%20Forms/Question%C3%A1rio%20sem%20t%C3%ADtulo/Pergunta/PRESEN%C3%87A_Barbara%20Sousa.pdf</t>
  </si>
  <si>
    <t>https://uniasselvi01-my.sharepoint.com/personal/elienai_cesar_uniasselvi_com_br1/Documents/Aplicativos/Microsoft%20Forms/Question%C3%A1rio%20sem%20t%C3%ADtulo/Pergunta%201/PORTIF%C3%93LIO%20DOS%20PROTOCOLOS%20DE%20PR%C3%81TICA%201%20e%202%20AU_Barbara%20Sousa.pdf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</si>
  <si>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CUR_Magno%20Rosa.pdf; https://uniasselvi01-my.sharepoint.com/personal/elienai_cesar_uniasselvi_com_br1/Documents/Aplicativos/Microsoft%20Forms/Question%C3%A1rio%20sem%20t%C3%ADtulo/Envio%20da%20Lista%20de%20Presen%C3%A7a/Tutor%20-%20Portf%C3%B3lio%20das%20Atividades%20Pr%C3%A1ticas%20AUS_Magno%20Rosa.pdf; https://uniasselvi01-my.sharepoint.com/personal/elienai_cesar_uniasselvi_com_br1/Documents/Aplicativos/Microsoft%20Forms/Question%C3%A1rio%20sem%20t%C3%ADtulo/Envio%20da%20Lista%20de%20Presen%C3%A7a/Tutor%20-%20Portf%C3%B3lio%20das%20Atividades%20Pr%C3%A1ticas%20AUS%202_Magno%20Ros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</si>
  <si>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US_Magno%20Rosa.pdf; https://uniasselvi01-my.sharepoint.com/personal/elienai_cesar_uniasselvi_com_br1/Documents/Aplicativos/Microsoft%20Forms/Question%C3%A1rio%20sem%20t%C3%ADtulo/Envio%20do%20Portf%C3%B3lio%20em%20PDF/Tutor%20-%20Portf%C3%B3lio%20das%20Atividades%20Pr%C3%A1ticas%20CUR_Magno%20Rosa.pdf; https://uniasselvi01-my.sharepoint.com/personal/elienai_cesar_uniasselvi_com_br1/Documents/Aplicativos/Microsoft%20Forms/Question%C3%A1rio%20sem%20t%C3%ADtulo/Envio%20do%20Portf%C3%B3lio%20em%20PDF/Tutor%20-%20Portf%C3%B3lio%20das%20Atividades%20Pr%C3%A1ticas%20AUS%202_Magno%20Rosa.pdf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</si>
  <si>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AVA_Magno%20Ros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</si>
  <si>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US_Magno%20Rosa%201.pdf; https://uniasselvi01-my.sharepoint.com/personal/elienai_cesar_uniasselvi_com_br1/Documents/Aplicativos/Microsoft%20Forms/Question%C3%A1rio%20sem%20t%C3%ADtulo/Envio%20do%20Portf%C3%B3lio%20em%20PDF/Tutor%20-%20Portf%C3%B3lio%20das%20Atividades%20Pr%C3%A1ticas%20AUS%202_Magno%20Rosa%201.pdf; https://uniasselvi01-my.sharepoint.com/personal/elienai_cesar_uniasselvi_com_br1/Documents/Aplicativos/Microsoft%20Forms/Question%C3%A1rio%20sem%20t%C3%ADtulo/Envio%20do%20Portf%C3%B3lio%20em%20PDF/Tutor%20-%20Portf%C3%B3lio%20das%20Atividades%20Pr%C3%A1ticas%20AVA_Magno%20Rosa.pdf; https://uniasselvi01-my.sharepoint.com/personal/elienai_cesar_uniasselvi_com_br1/Documents/Aplicativos/Microsoft%20Forms/Question%C3%A1rio%20sem%20t%C3%ADtulo/Envio%20do%20Portf%C3%B3lio%20em%20PDF/Tutor%20-%20Portf%C3%B3lio%20das%20Atividades%20Pr%C3%A1ticas%20CUR_Magno%20Rosa%201.pdf; https://uniasselvi01-my.sharepoint.com/personal/elienai_cesar_uniasselvi_com_br1/Documents/Aplicativos/Microsoft%20Forms/Question%C3%A1rio%20sem%20t%C3%ADtulo/Envio%20do%20Portf%C3%B3lio%20em%20PDF/Tutor%20-%20Portf%C3%B3lio%20das%20Atividades%20Pr%C3%A1ticas%20VER_Magno%20Rosa.pdf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</si>
  <si>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AUS_Magno%20Rosa%201.pdf; https://uniasselvi01-my.sharepoint.com/personal/elienai_cesar_uniasselvi_com_br1/Documents/Aplicativos/Microsoft%20Forms/Question%C3%A1rio%20sem%20t%C3%ADtulo/Envio%20da%20Lista%20de%20Presen%C3%A7a/Tutor%20-%20Portf%C3%B3lio%20das%20Atividades%20Pr%C3%A1ticas%20AUS%202_Magno%20Rosa%201.pdf; https://uniasselvi01-my.sharepoint.com/personal/elienai_cesar_uniasselvi_com_br1/Documents/Aplicativos/Microsoft%20Forms/Question%C3%A1rio%20sem%20t%C3%ADtulo/Envio%20da%20Lista%20de%20Presen%C3%A7a/Tutor%20-%20Portf%C3%B3lio%20das%20Atividades%20Pr%C3%A1ticas%20AVA_Magno%20Rosa%201.pdf; https://uniasselvi01-my.sharepoint.com/personal/elienai_cesar_uniasselvi_com_br1/Documents/Aplicativos/Microsoft%20Forms/Question%C3%A1rio%20sem%20t%C3%ADtulo/Envio%20da%20Lista%20de%20Presen%C3%A7a/Tutor%20-%20Portf%C3%B3lio%20das%20Atividades%20Pr%C3%A1ticas%20VER_Magno%20Ros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</si>
  <si>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US_Magno%20Rosa%202.pdf; https://uniasselvi01-my.sharepoint.com/personal/elienai_cesar_uniasselvi_com_br1/Documents/Aplicativos/Microsoft%20Forms/Question%C3%A1rio%20sem%20t%C3%ADtulo/Envio%20do%20Portf%C3%B3lio%20em%20PDF/Tutor%20-%20Portf%C3%B3lio%20das%20Atividades%20Pr%C3%A1ticas%20VER_Magno%20Rosa%201.pdf; https://uniasselvi01-my.sharepoint.com/personal/elienai_cesar_uniasselvi_com_br1/Documents/Aplicativos/Microsoft%20Forms/Question%C3%A1rio%20sem%20t%C3%ADtulo/Envio%20do%20Portf%C3%B3lio%20em%20PDF/Tutor%20-%20Portf%C3%B3lio%20das%20Atividades%20Pr%C3%A1ticas%20AVA_Magno%20Rosa%201.pdf</t>
  </si>
  <si>
    <t>Preparo de meio de cultura II;Técnicas de inoculação</t>
  </si>
  <si>
    <t>https://uniasselvi01-my.sharepoint.com/personal/elienai_cesar_uniasselvi_com_br1/Documents/Aplicativos/Microsoft%20Forms/Question%C3%A1rio%20sem%20t%C3%ADtulo/Pergunta/PRESEN%C3%87A_Barbara%20Sousa%201.pdf</t>
  </si>
  <si>
    <t>https://uniasselvi01-my.sharepoint.com/personal/elienai_cesar_uniasselvi_com_br1/Documents/Aplicativos/Microsoft%20Forms/Question%C3%A1rio%20sem%20t%C3%ADtulo/Pergunta%201/PORTIF%C3%93LIO%20DOS%20PROTOCOLOS%20DE%20PR%C3%81TICA%201%20e%202%20AU_Barbara%20Sousa%201.pdf</t>
  </si>
  <si>
    <t>Rio de Janeiro/RJ - Ilha do Governador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</si>
  <si>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AUS_Magno%20Rosa%202.pdf; https://uniasselvi01-my.sharepoint.com/personal/elienai_cesar_uniasselvi_com_br1/Documents/Aplicativos/Microsoft%20Forms/Question%C3%A1rio%20sem%20t%C3%ADtulo/Envio%20da%20Lista%20de%20Presen%C3%A7a/Tutor%20-%20Portf%C3%B3lio%20das%20Atividades%20Pr%C3%A1ticas%20AUS%202_Magno%20Rosa%202.pdf; https://uniasselvi01-my.sharepoint.com/personal/elienai_cesar_uniasselvi_com_br1/Documents/Aplicativos/Microsoft%20Forms/Question%C3%A1rio%20sem%20t%C3%ADtulo/Envio%20da%20Lista%20de%20Presen%C3%A7a/Tutor%20-%20Portf%C3%B3lio%20das%20Atividades%20Pr%C3%A1ticas%20AVA_Magno%20Rosa%202.pdf; https://uniasselvi01-my.sharepoint.com/personal/elienai_cesar_uniasselvi_com_br1/Documents/Aplicativos/Microsoft%20Forms/Question%C3%A1rio%20sem%20t%C3%ADtulo/Envio%20da%20Lista%20de%20Presen%C3%A7a/Tutor%20-%20Portf%C3%B3lio%20das%20Atividades%20Pr%C3%A1ticas%20AUS%203_Magno%20Rosa.pdf; https://uniasselvi01-my.sharepoint.com/personal/elienai_cesar_uniasselvi_com_br1/Documents/Aplicativos/Microsoft%20Forms/Question%C3%A1rio%20sem%20t%C3%ADtulo/Envio%20da%20Lista%20de%20Presen%C3%A7a/Tutor%20-%20Portf%C3%B3lio%20das%20Atividades%20Pr%C3%A1ticas%20CUR_Magno%20Rosa%201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</si>
  <si>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US_Magno%20Rosa%203.pdf; https://uniasselvi01-my.sharepoint.com/personal/elienai_cesar_uniasselvi_com_br1/Documents/Aplicativos/Microsoft%20Forms/Question%C3%A1rio%20sem%20t%C3%ADtulo/Envio%20do%20Portf%C3%B3lio%20em%20PDF/Tutor%20-%20Portf%C3%B3lio%20das%20Atividades%20Pr%C3%A1ticas%20AUS%202_Magno%20Rosa%202.pdf; https://uniasselvi01-my.sharepoint.com/personal/elienai_cesar_uniasselvi_com_br1/Documents/Aplicativos/Microsoft%20Forms/Question%C3%A1rio%20sem%20t%C3%ADtulo/Envio%20do%20Portf%C3%B3lio%20em%20PDF/Tutor%20-%20Portf%C3%B3lio%20das%20Atividades%20Pr%C3%A1ticas%20AVA_Magno%20Rosa%202.pdf; https://uniasselvi01-my.sharepoint.com/personal/elienai_cesar_uniasselvi_com_br1/Documents/Aplicativos/Microsoft%20Forms/Question%C3%A1rio%20sem%20t%C3%ADtulo/Envio%20do%20Portf%C3%B3lio%20em%20PDF/Tutor%20-%20Portf%C3%B3lio%20das%20Atividades%20Pr%C3%A1ticas%20CUR_Magno%20Rosa%202.pdf; https://uniasselvi01-my.sharepoint.com/personal/elienai_cesar_uniasselvi_com_br1/Documents/Aplicativos/Microsoft%20Forms/Question%C3%A1rio%20sem%20t%C3%ADtulo/Envio%20do%20Portf%C3%B3lio%20em%20PDF/Tutor%20-%20Portf%C3%B3lio%20das%20Atividades%20Pr%C3%A1ticas%20VER_Magno%20Rosa%202.pdf</t>
  </si>
  <si>
    <t>Esfregaço e coloração de GRAM;Esfregaço sanguíneo e colorações  (contagem diferencial de leucócitos)</t>
  </si>
  <si>
    <t>https://uniasselvi01-my.sharepoint.com/personal/elienai_cesar_uniasselvi_com_br1/Documents/Aplicativos/Microsoft%20Forms/Question%C3%A1rio%20sem%20t%C3%ADtulo/Pergunta/PRESEN%C3%87A_Barbara%20Sousa%202.pdf</t>
  </si>
  <si>
    <t>https://uniasselvi01-my.sharepoint.com/personal/elienai_cesar_uniasselvi_com_br1/Documents/Aplicativos/Microsoft%20Forms/Question%C3%A1rio%20sem%20t%C3%ADtulo/Pergunta%201/PORTIF%C3%93LIO%20DOS%20PROTOCOLOS%20DE%20PR%C3%81TICA%205%20e%206%20AU_Barbara%20Sousa.pdf</t>
  </si>
  <si>
    <t>Encapsulamento de pós;Desenvolvendo um Xampu</t>
  </si>
  <si>
    <t>https://uniasselvi01-my.sharepoint.com/personal/elienai_cesar_uniasselvi_com_br1/Documents/Aplicativos/Microsoft%20Forms/Question%C3%A1rio%20sem%20t%C3%ADtulo/Pergunta/ALERTA%20SOBRE%20SISTEMA_Barbara%20Sousa.pdf</t>
  </si>
  <si>
    <t>https://uniasselvi01-my.sharepoint.com/personal/elienai_cesar_uniasselvi_com_br1/Documents/Aplicativos/Microsoft%20Forms/Question%C3%A1rio%20sem%20t%C3%ADtulo/Pergunta%201/PORTIF%C3%93LIO%20DOS%20PROTOCOLOS%20DE%20PR%C3%81TICA_Barbara%20Sousa.pdf</t>
  </si>
  <si>
    <t>https://uniasselvi01-my.sharepoint.com/personal/elienai_cesar_uniasselvi_com_br1/Documents/Aplicativos/Microsoft%20Forms/Question%C3%A1rio%20sem%20t%C3%ADtulo/Pergunta/ALERTA%20SOBRE%20SISTEMA_Barbara%20Sousa%201.pdf</t>
  </si>
  <si>
    <t>https://uniasselvi01-my.sharepoint.com/personal/elienai_cesar_uniasselvi_com_br1/Documents/Aplicativos/Microsoft%20Forms/Question%C3%A1rio%20sem%20t%C3%ADtulo/Pergunta%201/PORTIF%C3%93LIO%20DOS%20PROTOCOLOS%20DE%20PR%C3%81TICA_Barbara%20Sousa%201.pdf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</si>
  <si>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20%20AC_Magno%20Rosa%201.pdf; https://uniasselvi01-my.sharepoint.com/personal/elienai_cesar_uniasselvi_com_br1/Documents/Aplicativos/Microsoft%20Forms/Question%C3%A1rio%20sem%20t%C3%ADtulo/Envio%20da%20Lista%20de%20Presen%C3%A7a/Tutor%20-%20Portf%C3%B3lio%20das%20Atividades%20Pr%C3%A1ticas%20%20MO_Magno%20Rosa%201.pdf; https://uniasselvi01-my.sharepoint.com/personal/elienai_cesar_uniasselvi_com_br1/Documents/Aplicativos/Microsoft%20Forms/Question%C3%A1rio%20sem%20t%C3%ADtulo/Envio%20da%20Lista%20de%20Presen%C3%A7a/Tutor%20-%20Portf%C3%B3lio%20das%20Atividades%20Pr%C3%A1ticas%20ASP_Magno%20Rosa%202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</si>
  <si>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20%20AC_Magno%20Rosa%201.pdf; https://uniasselvi01-my.sharepoint.com/personal/elienai_cesar_uniasselvi_com_br1/Documents/Aplicativos/Microsoft%20Forms/Question%C3%A1rio%20sem%20t%C3%ADtulo/Envio%20do%20Portf%C3%B3lio%20em%20PDF/Tutor%20-%20Portf%C3%B3lio%20das%20Atividades%20Pr%C3%A1ticas%20%20MO_Magno%20Rosa%201.pdf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</si>
  <si>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20%20AC_Magno%20Rosa%202.pdf; https://uniasselvi01-my.sharepoint.com/personal/elienai_cesar_uniasselvi_com_br1/Documents/Aplicativos/Microsoft%20Forms/Question%C3%A1rio%20sem%20t%C3%ADtulo/Envio%20da%20Lista%20de%20Presen%C3%A7a/Tutor%20-%20Portf%C3%B3lio%20das%20Atividades%20Pr%C3%A1ticas%20%20MO_Magno%20Rosa%202.pdf; https://uniasselvi01-my.sharepoint.com/personal/elienai_cesar_uniasselvi_com_br1/Documents/Aplicativos/Microsoft%20Forms/Question%C3%A1rio%20sem%20t%C3%ADtulo/Envio%20da%20Lista%20de%20Presen%C3%A7a/Tutor%20-%20Portf%C3%B3lio%20das%20Atividades%20Pr%C3%A1ticas%20ASP_Magno%20Rosa%203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</si>
  <si>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20%20AC_Magno%20Rosa%202.pdf; https://uniasselvi01-my.sharepoint.com/personal/elienai_cesar_uniasselvi_com_br1/Documents/Aplicativos/Microsoft%20Forms/Question%C3%A1rio%20sem%20t%C3%ADtulo/Envio%20do%20Portf%C3%B3lio%20em%20PDF/Tutor%20-%20Portf%C3%B3lio%20das%20Atividades%20Pr%C3%A1ticas%20%20MO_Magno%20Rosa%202.pdf; https://uniasselvi01-my.sharepoint.com/personal/elienai_cesar_uniasselvi_com_br1/Documents/Aplicativos/Microsoft%20Forms/Question%C3%A1rio%20sem%20t%C3%ADtulo/Envio%20do%20Portf%C3%B3lio%20em%20PDF/Tutor%20-%20Portf%C3%B3lio%20das%20Atividades%20Pr%C3%A1ticas%20ASP_Magno%20Rosa%202.pdf</t>
  </si>
  <si>
    <t>https://uniasselvi01-my.sharepoint.com/personal/elienai_cesar_uniasselvi_com_br1/Documents/Aplicativos/Microsoft%20Forms/Question%C3%A1rio%20sem%20t%C3%ADtulo/Envio%20da%20Lista%20de%20Presen%C3%A7a/Lista.12.03.26_Patricia%20Trasmontano.jpeg</t>
  </si>
  <si>
    <t>https://uniasselvi01-my.sharepoint.com/personal/elienai_cesar_uniasselvi_com_br1/Documents/Aplicativos/Microsoft%20Forms/Question%C3%A1rio%20sem%20t%C3%ADtulo/Envio%20do%20Portf%C3%B3lio%20em%20PDF/Portf%C3%B3lio%2012.03.26.Fundamentos_Patricia%20Trasmontano.pdf</t>
  </si>
  <si>
    <t>https://uniasselvi01-my.sharepoint.com/personal/elienai_cesar_uniasselvi_com_br1/Documents/Aplicativos/Microsoft%20Forms/Question%C3%A1rio%20sem%20t%C3%ADtulo/Envio%20da%20Lista%20de%20Presen%C3%A7a%201/a_Fabiano%20Bartmann.jpeg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</si>
  <si>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206.pdf</t>
  </si>
  <si>
    <t>https://uniasselvi01-my.sharepoint.com/personal/elienai_cesar_uniasselvi_com_br1/Documents/Aplicativos/Microsoft%20Forms/Question%C3%A1rio%20sem%20t%C3%ADtulo/Envio%20da%20Lista%20de%20Presen%C3%A7a%201/b_Fabiano%20Bartmann.jpeg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</si>
  <si>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207.pdf</t>
  </si>
  <si>
    <t>https://uniasselvi01-my.sharepoint.com/personal/elienai_cesar_uniasselvi_com_br1/Documents/Aplicativos/Microsoft%20Forms/Question%C3%A1rio%20sem%20t%C3%ADtulo/Envio%20da%20Lista%20de%20Presen%C3%A7a/Frequ%C3%AAncia%20UTI%201e2_Deborah%20Ewerton.pdf</t>
  </si>
  <si>
    <t>https://uniasselvi01-my.sharepoint.com/personal/elienai_cesar_uniasselvi_com_br1/Documents/Aplicativos/Microsoft%20Forms/Question%C3%A1rio%20sem%20t%C3%ADtulo/Envio%20do%20Portf%C3%B3lio%20em%20PDF/PORTIFOLIO%20uti%202026_Deborah%20Ewerton.pdf; https://uniasselvi01-my.sharepoint.com/personal/elienai_cesar_uniasselvi_com_br1/Documents/Aplicativos/Microsoft%20Forms/Question%C3%A1rio%20sem%20t%C3%ADtulo/Envio%20do%20Portf%C3%B3lio%20em%20PDF/PORTIFOLIO%20uti%202%202026_Deborah%20Ewerton.pdf</t>
  </si>
  <si>
    <t>hozana.evangelista@tutorpratica.uniasselvi.com.br</t>
  </si>
  <si>
    <t>Hozana Evangelista</t>
  </si>
  <si>
    <t>Barreirinhas/MA</t>
  </si>
  <si>
    <t>https://uniasselvi01-my.sharepoint.com/personal/elienai_cesar_uniasselvi_com_br1/Documents/Aplicativos/Microsoft%20Forms/Question%C3%A1rio%20sem%20t%C3%ADtulo/Envio%20da%20Lista%20de%20Presen%C3%A7a/Adobe%20Scan%2015%20de%20mar.%20de%202026_Hozana%20Evangelista.pdf</t>
  </si>
  <si>
    <t>https://uniasselvi01-my.sharepoint.com/personal/elienai_cesar_uniasselvi_com_br1/Documents/Aplicativos/Microsoft%20Forms/Question%C3%A1rio%20sem%20t%C3%ADtulo/Envio%20do%20Portf%C3%B3lio%20em%20PDF/Aspira%C3%A7%C3%A3o%20de%20vias%20aereas%20Monitoriza%C3%A7%C3%A3oAdminis_Hozana%20Evangelista.pdf</t>
  </si>
  <si>
    <t>https://uniasselvi01-my.sharepoint.com/personal/elienai_cesar_uniasselvi_com_br1/Documents/Aplicativos/Microsoft%20Forms/Question%C3%A1rio%20sem%20t%C3%ADtulo/Envio%20da%20Lista%20de%20Presen%C3%A7a%201/WhatsApp%20Image%202026-03-15%20at%2018.22.10_Luiza%20Brito.jpeg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</si>
  <si>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MS_Luiza%20Brito.pdf</t>
  </si>
  <si>
    <t>https://uniasselvi01-my.sharepoint.com/personal/elienai_cesar_uniasselvi_com_br1/Documents/Aplicativos/Microsoft%20Forms/Question%C3%A1rio%20sem%20t%C3%ADtulo/Envio%20da%20Lista%20de%20Presen%C3%A7a%201/WhatsApp%20Image%202026-03-15%20at%2018.22.18_Luiza%20Brito.jpeg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</si>
  <si>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MI_Luiza%20Brito.pdf</t>
  </si>
  <si>
    <t>https://uniasselvi01-my.sharepoint.com/personal/elienai_cesar_uniasselvi_com_br1/Documents/Aplicativos/Microsoft%20Forms/Question%C3%A1rio%20sem%20t%C3%ADtulo/Envio%20da%20Lista%20de%20Presen%C3%A7a%201/WhatsApp%20Image%202026-03-15%20at%2018.22.26_Luiza%20Brito.jpeg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</si>
  <si>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col_Luiza%20Brito.pdf</t>
  </si>
  <si>
    <t>leticia.santos@tutorpratica.uniasselvi.com.br</t>
  </si>
  <si>
    <t>Leticia Santos</t>
  </si>
  <si>
    <t>Vigia/PA</t>
  </si>
  <si>
    <t>https://uniasselvi01-my.sharepoint.com/personal/elienai_cesar_uniasselvi_com_br1/Documents/Aplicativos/Microsoft%20Forms/Question%C3%A1rio%20sem%20t%C3%ADtulo/Envio%20da%20Lista%20de%20Presen%C3%A7a/presen%C3%A7a_Leticia%20Santos.pdf</t>
  </si>
  <si>
    <t>https://uniasselvi01-my.sharepoint.com/personal/elienai_cesar_uniasselvi_com_br1/Documents/Aplicativos/Microsoft%20Forms/Question%C3%A1rio%20sem%20t%C3%ADtulo/Envio%20do%20Portf%C3%B3lio%20em%20PDF/curativos%20PDF_Leticia%20Santos.pdf</t>
  </si>
  <si>
    <t>https://uniasselvi01-my.sharepoint.com/personal/elienai_cesar_uniasselvi_com_br1/Documents/Aplicativos/Microsoft%20Forms/Question%C3%A1rio%20sem%20t%C3%ADtulo/Envio%20da%20Lista%20de%20Presen%C3%A7a/presen%C3%A7a_Leticia%20Santos%201.pdf</t>
  </si>
  <si>
    <t>https://uniasselvi01-my.sharepoint.com/personal/elienai_cesar_uniasselvi_com_br1/Documents/Aplicativos/Microsoft%20Forms/Question%C3%A1rio%20sem%20t%C3%ADtulo/Envio%20do%20Portf%C3%B3lio%20em%20PDF/SSVV_Leticia%20Santos.pdf</t>
  </si>
  <si>
    <t>ygor.nunes@regentedepolo.uniasselvi.com.br</t>
  </si>
  <si>
    <t>Ygor Nunes</t>
  </si>
  <si>
    <t>Santa Inês/MA</t>
  </si>
  <si>
    <t>https://uniasselvi01-my.sharepoint.com/personal/elienai_cesar_uniasselvi_com_br1/Documents/Aplicativos/Microsoft%20Forms/Question%C3%A1rio%20sem%20t%C3%ADtulo/Envio%20da%20Lista%20de%20Presen%C3%A7a/CamScanner%2015-03-2026%2020.57_Ygor%20Nunes.pdf</t>
  </si>
  <si>
    <t>https://uniasselvi01-my.sharepoint.com/personal/elienai_cesar_uniasselvi_com_br1/Documents/Aplicativos/Microsoft%20Forms/Question%C3%A1rio%20sem%20t%C3%ADtulo/Envio%20do%20Portf%C3%B3lio%20em%20PDF/Curativos_Ygor%20Nunes.pdf</t>
  </si>
  <si>
    <t>https://uniasselvi01-my.sharepoint.com/personal/elienai_cesar_uniasselvi_com_br1/Documents/Aplicativos/Microsoft%20Forms/Question%C3%A1rio%20sem%20t%C3%ADtulo/Envio%20da%20Lista%20de%20Presen%C3%A7a/CamScanner%2015-03-2026%2020.59_Ygor%20Nunes.pdf</t>
  </si>
  <si>
    <t>https://uniasselvi01-my.sharepoint.com/personal/elienai_cesar_uniasselvi_com_br1/Documents/Aplicativos/Microsoft%20Forms/Question%C3%A1rio%20sem%20t%C3%ADtulo/Envio%20do%20Portf%C3%B3lio%20em%20PDF/Sinais%20Vitais%20e%20Avalia%C3%A7%C3%A3o%20corporal_Ygor%20Nunes.pdf</t>
  </si>
  <si>
    <t>suzanne.lima@regentedepolo.uniasselvi.com.br</t>
  </si>
  <si>
    <t>Suzanne Lima</t>
  </si>
  <si>
    <t>https://uniasselvi01-my.sharepoint.com/personal/elienai_cesar_uniasselvi_com_br1/Documents/Aplicativos/Microsoft%20Forms/Question%C3%A1rio%20sem%20t%C3%ADtulo/Envio%20da%20Lista%20de%20Presen%C3%A7a/Frequ%C3%AAncia_Pr%C3%A1tica%20UTI_Suzanne%20Lima.pdf</t>
  </si>
  <si>
    <t>https://uniasselvi01-my.sharepoint.com/personal/elienai_cesar_uniasselvi_com_br1/Documents/Aplicativos/Microsoft%20Forms/Question%C3%A1rio%20sem%20t%C3%ADtulo/Envio%20do%20Portf%C3%B3lio%20em%20PDF/Tutor%20-%20Assist%20Sa%C3%BAde%20da%20UTI_%20Portf%C3%B3lio%20das%20At_Suzanne%20Lima.pdf</t>
  </si>
  <si>
    <t>https://uniasselvi01-my.sharepoint.com/personal/elienai_cesar_uniasselvi_com_br1/Documents/Aplicativos/Microsoft%20Forms/Question%C3%A1rio%20sem%20t%C3%ADtulo/Envio%20da%20Lista%20de%20Presen%C3%A7a/Frequ%C3%AAncia_Fundamentos%20de%20Enfermagem_Suzanne%20Lima.pdf</t>
  </si>
  <si>
    <t>https://uniasselvi01-my.sharepoint.com/personal/elienai_cesar_uniasselvi_com_br1/Documents/Aplicativos/Microsoft%20Forms/Question%C3%A1rio%20sem%20t%C3%ADtulo/Envio%20do%20Portf%C3%B3lio%20em%20PDF/Tutor%20-%20Assist%20Sa%C3%BAde%20a%20Fundamentos%20de%20Enferma_Suzanne%20Lima.pdf</t>
  </si>
  <si>
    <t>https://uniasselvi01-my.sharepoint.com/personal/elienai_cesar_uniasselvi_com_br1/Documents/Aplicativos/Microsoft%20Forms/Question%C3%A1rio%20sem%20t%C3%ADtulo/Envio%20da%20Lista%20de%20Presen%C3%A7a/Frequ%C3%AAncia_Obst%C3%A9trica_Suzanne%20Lima.pdf</t>
  </si>
  <si>
    <t>https://uniasselvi01-my.sharepoint.com/personal/elienai_cesar_uniasselvi_com_br1/Documents/Aplicativos/Microsoft%20Forms/Question%C3%A1rio%20sem%20t%C3%ADtulo/Envio%20do%20Portf%C3%B3lio%20em%20PDF/Tutor%20-%20Assist%20Sa%C3%BAde%20Obst%C3%A9trica%20_%20Portf%C3%B3lio%20d_Suzanne%20Lima.pdf</t>
  </si>
  <si>
    <t>https://uniasselvi01-my.sharepoint.com/personal/elienai_cesar_uniasselvi_com_br1/Documents/Aplicativos/Microsoft%20Forms/Question%C3%A1rio%20sem%20t%C3%ADtulo/Envio%20da%20Lista%20de%20Presen%C3%A7a/LISTA%20DE%20PRESEN%C3%87A%20PRATICA%20DE%20CVC%20E%20MONIT.HEMO_Mariana%20Oliveira.pdf</t>
  </si>
  <si>
    <t>https://uniasselvi01-my.sharepoint.com/personal/elienai_cesar_uniasselvi_com_br1/Documents/Aplicativos/Microsoft%20Forms/Question%C3%A1rio%20sem%20t%C3%ADtulo/Envio%20do%20Portf%C3%B3lio%20em%20PDF/AULA%20ADM%20MED.%20POR%20CVC%20E%20MONIT.HEMOD.%2024.02.20_Mariana%20Oliveira.pdf</t>
  </si>
  <si>
    <t>https://uniasselvi01-my.sharepoint.com/personal/elienai_cesar_uniasselvi_com_br1/Documents/Aplicativos/Microsoft%20Forms/Question%C3%A1rio%20sem%20t%C3%ADtulo/Envio%20da%20Lista%20de%20Presen%C3%A7a/LISTA%20DE%20PRESENC%CC%A7A%20CURATIVO%2026.02.2026_Mariana%20Oliveira%201.pdf</t>
  </si>
  <si>
    <t>https://uniasselvi01-my.sharepoint.com/personal/elienai_cesar_uniasselvi_com_br1/Documents/Aplicativos/Microsoft%20Forms/Question%C3%A1rio%20sem%20t%C3%ADtulo/Envio%20do%20Portf%C3%B3lio%20em%20PDF/AULA%20CURATIVO%2026.02.2026_Mariana%20Oliveira%201.pdf</t>
  </si>
  <si>
    <t>https://uniasselvi01-my.sharepoint.com/personal/elienai_cesar_uniasselvi_com_br1/Documents/Aplicativos/Microsoft%20Forms/Question%C3%A1rio%20sem%20t%C3%ADtulo/Envio%20da%20Lista%20de%20Presen%C3%A7a/LISTA%20DE%20PRESENCA%20AULA%20AUSCULTAS%20CARDIO%20E%20PUL_Mariana%20Oliveira%201.pdf</t>
  </si>
  <si>
    <t>https://uniasselvi01-my.sharepoint.com/personal/elienai_cesar_uniasselvi_com_br1/Documents/Aplicativos/Microsoft%20Forms/Question%C3%A1rio%20sem%20t%C3%ADtulo/Envio%20do%20Portf%C3%B3lio%20em%20PDF/AULA%20AVAL.CORPORAL,%20AUSCULTAS%20CARDIO%20E%20PULM._Mariana%20Oliveira%201.pdf</t>
  </si>
  <si>
    <t>https://uniasselvi01-my.sharepoint.com/personal/elienai_cesar_uniasselvi_com_br1/_layouts/15/Doc.aspx?sourcedoc=%7BFE81C1E4-C6E0-40A6-8052-E836427B97DF%7D&amp;file=Relat%C3%B3rio%20de%20Laborat%C3%B3rio%2013.03.2026_Luiz%20Silva.docx&amp;action=default&amp;mobileredirect=true</t>
  </si>
  <si>
    <t>https://uniasselvi01-my.sharepoint.com/personal/elienai_cesar_uniasselvi_com_br1/Documents/Aplicativos/Microsoft%20Forms/Question%C3%A1rio%20sem%20t%C3%ADtulo/Envio%20do%20Portf%C3%B3lio%20em%20PDF/Foto%201%20_%2013.03.2026_Luiz%20Silva.jpeg; https://uniasselvi01-my.sharepoint.com/personal/elienai_cesar_uniasselvi_com_br1/_layouts/15/Doc.aspx?sourcedoc=%7B2C1F37F8-E744-4C8C-A6E3-455A5FA17470%7D&amp;file=Relat%C3%B3rio%20de%20Laborat%C3%B3rio%2013.03.2026_Luiz%20Silva.docx&amp;action=default&amp;mobileredirect=true</t>
  </si>
  <si>
    <t>Avaliação e Reabilitação Funcional dos Membros Inferiores : Prática em Fisioterapia Traumato-Ortopédica;Avaliação e Reabilitação Funcional dos Membros Superiores: Prática em Fisioterapia Traumato-Ortopédica</t>
  </si>
  <si>
    <t>https://uniasselvi01-my.sharepoint.com/personal/elienai_cesar_uniasselvi_com_br1/Documents/Aplicativos/Microsoft%20Forms/Question%C3%A1rio%20sem%20t%C3%ADtulo/Envio%20da%20Lista%20de%20Presen%C3%A7a%201/MODELO_Lista%20de%20Presen%C3%A7a%20das%20Pr%C3%A1ticasOK_Airton%20Farias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</si>
  <si>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HOJ_Airton%20Farias.pdf</t>
  </si>
  <si>
    <t>https://uniasselvi01-my.sharepoint.com/personal/elienai_cesar_uniasselvi_com_br1/Documents/Aplicativos/Microsoft%20Forms/Question%C3%A1rio%20sem%20t%C3%ADtulo/Envio%20da%20Lista%20de%20Presen%C3%A7a/LISTA%20DE%20PRESENC%CC%A7A%20TRABALHO%20DE%20PARTO%20NATURAL_Mariana%20Oliveira.pdf</t>
  </si>
  <si>
    <t>https://uniasselvi01-my.sharepoint.com/personal/elienai_cesar_uniasselvi_com_br1/Documents/Aplicativos/Microsoft%20Forms/Question%C3%A1rio%20sem%20t%C3%ADtulo/Envio%20do%20Portf%C3%B3lio%20em%20PDF/TRABALHO%20DE%20PARTO%20NATURAL%20+%20EMERG.OBST.%2005.03_Mariana%20Oliveira.pdf</t>
  </si>
  <si>
    <t>https://uniasselvi01-my.sharepoint.com/personal/elienai_cesar_uniasselvi_com_br1/Documents/Aplicativos/Microsoft%20Forms/Question%C3%A1rio%20sem%20t%C3%ADtulo/Envio%20da%20Lista%20de%20Presen%C3%A7a/LISTA%20DE%20PRESENC%CC%A7A%20ASP.VIAS%20AEREAS%20C%20OU%20S%20TOT_Mariana%20Oliveira.pdf</t>
  </si>
  <si>
    <t>https://uniasselvi01-my.sharepoint.com/personal/elienai_cesar_uniasselvi_com_br1/Documents/Aplicativos/Microsoft%20Forms/Question%C3%A1rio%20sem%20t%C3%ADtulo/Envio%20do%20Portf%C3%B3lio%20em%20PDF/RELAT%C3%93RIO%20ASP.DE%20VIAS%20AEREAS%2010.03.2026_Mariana%20Oliveira.pdf</t>
  </si>
  <si>
    <t>https://uniasselvi01-my.sharepoint.com/personal/elienai_cesar_uniasselvi_com_br1/Documents/Aplicativos/Microsoft%20Forms/Question%C3%A1rio%20sem%20t%C3%ADtulo/Envio%20da%20Lista%20de%20Presen%C3%A7a/LISTA%20DE%20PRESEN%C3%87A%20-REPOSI%C3%87AO%20CURATIVO%2012.03.2_Mariana%20Oliveira.pdf</t>
  </si>
  <si>
    <t>https://uniasselvi01-my.sharepoint.com/personal/elienai_cesar_uniasselvi_com_br1/Documents/Aplicativos/Microsoft%20Forms/Question%C3%A1rio%20sem%20t%C3%ADtulo/Envio%20do%20Portf%C3%B3lio%20em%20PDF/PORTIF%C3%93LIO%20CURATIVO%2012.03.2026_Mariana%20Oliveira.pdf</t>
  </si>
  <si>
    <t>Análise de Dados experimentais através de software estatístico</t>
  </si>
  <si>
    <t>https://uniasselvi01-my.sharepoint.com/personal/elienai_cesar_uniasselvi_com_br1/Documents/Aplicativos/Microsoft%20Forms/Question%C3%A1rio%20sem%20t%C3%ADtulo/Envio%20da%20Lista%20de%20Presen%C3%A7a%205/Lista%20de%20Presenca%20-%20Estatistica_Marla%20Souza.pdf</t>
  </si>
  <si>
    <t>https://uniasselvi01-my.sharepoint.com/personal/elienai_cesar_uniasselvi_com_br1/Documents/Aplicativos/Microsoft%20Forms/Question%C3%A1rio%20sem%20t%C3%ADtulo/Envio%20do%20Portf%C3%B3lio%20em%20PDF%205/Aula%20Pratica%20-%20Estatistica_Marla%20Souza.pdf</t>
  </si>
  <si>
    <t>https://uniasselvi01-my.sharepoint.com/personal/elienai_cesar_uniasselvi_com_br1/Documents/Aplicativos/Microsoft%20Forms/Question%C3%A1rio%20sem%20t%C3%ADtulo/Envio%20da%20Lista%20de%20Presen%C3%A7a/aluno%20siliony_Sara%20Gomes.jpg</t>
  </si>
  <si>
    <t>https://uniasselvi01-my.sharepoint.com/personal/elienai_cesar_uniasselvi_com_br1/_layouts/15/Doc.aspx?sourcedoc=%7BB4E7649E-080B-4124-911B-CEC6230FDF8C%7D&amp;file=pratica%20administra%C3%A7ao%20via%20subcutanea_Sara%20Gomes.docx&amp;action=default&amp;mobileredirect=true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</si>
  <si>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https://uniasselvi01-my.sharepoint.com/personal/elienai_cesar_uniasselvi_com_br1/Documents/Aplicativos/Microsoft%20Forms/Question%C3%A1rio%20sem%20t%C3%ADtulo/Envio%20da%20Lista%20de%20Presen%C3%A7a/aluno%20siliony_Sara%20Gomes%201.jpg</t>
  </si>
  <si>
    <t>https://uniasselvi01-my.sharepoint.com/personal/elienai_cesar_uniasselvi_com_br1/_layouts/15/Doc.aspx?sourcedoc=%7B20762594-BEAA-4E34-9845-7A07DC7F2D8A%7D&amp;file=pratica%20trabalho%20de%20parto%20centro%20obstetrico_Sara%20Gomes.docx&amp;action=default&amp;mobileredirect=true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</si>
  <si>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https://uniasselvi01-my.sharepoint.com/personal/elienai_cesar_uniasselvi_com_br1/Documents/Aplicativos/Microsoft%20Forms/Question%C3%A1rio%20sem%20t%C3%ADtulo/Envio%20da%20Lista%20de%20Presen%C3%A7a/aluno%20siliony_Sara%20Gomes%202.jpg</t>
  </si>
  <si>
    <t>https://uniasselvi01-my.sharepoint.com/personal/elienai_cesar_uniasselvi_com_br1/_layouts/15/Doc.aspx?sourcedoc=%7BF784D9BA-D1A7-4FFE-B16A-0A495832ED1E%7D&amp;file=pratica%20emergencias%20obstetricas_Sara%20Gomes.docx&amp;action=default&amp;mobileredirect=true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</si>
  <si>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https://uniasselvi01-my.sharepoint.com/personal/elienai_cesar_uniasselvi_com_br1/Documents/Aplicativos/Microsoft%20Forms/Question%C3%A1rio%20sem%20t%C3%ADtulo/Envio%20da%20Lista%20de%20Presen%C3%A7a%202/WhatsApp%20Image%202026-03-16%20at%2016.09.23_Juliana%20Berger.jpeg; https://uniasselvi01-my.sharepoint.com/personal/elienai_cesar_uniasselvi_com_br1/Documents/Aplicativos/Microsoft%20Forms/Question%C3%A1rio%20sem%20t%C3%ADtulo/Envio%20da%20Lista%20de%20Presen%C3%A7a%202/WhatsApp%20Image%202026-03-16%20at%2016.09.22_Juliana%20Berger.jpeg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</si>
  <si>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_avalia%C3%A7%C3%A3o%20n_Juliana%20Berger%202.pdf</t>
  </si>
  <si>
    <t>Punção e manutenção de cateter de longa permanência + Troca de bolsa de ostomia</t>
  </si>
  <si>
    <t>https://uniasselvi01-my.sharepoint.com/personal/elienai_cesar_uniasselvi_com_br1/Documents/Aplicativos/Microsoft%20Forms/Question%C3%A1rio%20sem%20t%C3%ADtulo/Envio%20da%20Lista%20de%20Presen%C3%A7a/Sonia_Fabio%20Rosa.pdf</t>
  </si>
  <si>
    <t>https://uniasselvi01-my.sharepoint.com/personal/elienai_cesar_uniasselvi_com_br1/Documents/Aplicativos/Microsoft%20Forms/Question%C3%A1rio%20sem%20t%C3%ADtulo/Envio%20do%20Portf%C3%B3lio%20em%20PDF/Sonia_Fabio%20Rosa.pdf</t>
  </si>
  <si>
    <t>Manobra de Suporte Básico de Vida</t>
  </si>
  <si>
    <t>https://uniasselvi01-my.sharepoint.com/personal/elienai_cesar_uniasselvi_com_br1/Documents/Aplicativos/Microsoft%20Forms/Question%C3%A1rio%20sem%20t%C3%ADtulo/Envio%20da%20Lista%20de%20Presen%C3%A7a/Taimara_Fabio%20Rosa.pdf</t>
  </si>
  <si>
    <t>https://uniasselvi01-my.sharepoint.com/personal/elienai_cesar_uniasselvi_com_br1/Documents/Aplicativos/Microsoft%20Forms/Question%C3%A1rio%20sem%20t%C3%ADtulo/Envio%20do%20Portf%C3%B3lio%20em%20PDF/Taimara_Fabio%20Rosa.pdf</t>
  </si>
  <si>
    <t>https://uniasselvi01-my.sharepoint.com/personal/elienai_cesar_uniasselvi_com_br1/Documents/Aplicativos/Microsoft%20Forms/Question%C3%A1rio%20sem%20t%C3%ADtulo/Envio%20da%20Lista%20de%20Presen%C3%A7a/Frequ%C3%AAncia_Romulo%20Pinto.pdf</t>
  </si>
  <si>
    <t>https://uniasselvi01-my.sharepoint.com/personal/elienai_cesar_uniasselvi_com_br1/Documents/Aplicativos/Microsoft%20Forms/Question%C3%A1rio%20sem%20t%C3%ADtulo/Envio%20do%20Portf%C3%B3lio%20em%20PDF/03%20-%20Tutor%20-%20Portf%C3%B3lio%20das%20Atividades%20Pr%C3%A1tica_Romulo%20Pinto.pdf</t>
  </si>
  <si>
    <t>adalci.dias@uniasselvi.com.br</t>
  </si>
  <si>
    <t>Adalci Rosana Goncalves Dias</t>
  </si>
  <si>
    <t>Janaúba/MG- Padre Eustáquio</t>
  </si>
  <si>
    <t>https://uniasselvi01-my.sharepoint.com/personal/elienai_cesar_uniasselvi_com_br1/Documents/Aplicativos/Microsoft%20Forms/Question%C3%A1rio%20sem%20t%C3%ADtulo/Envio%20da%20Lista%20de%20Presen%C3%A7a/WhatsApp%20Image%202026-03-14%20at%2019.33.25_Adalci%20Rosana%20Goncal.jpeg</t>
  </si>
  <si>
    <t>https://uniasselvi01-my.sharepoint.com/personal/elienai_cesar_uniasselvi_com_br1/Documents/Aplicativos/Microsoft%20Forms/Question%C3%A1rio%20sem%20t%C3%ADtulo/Envio%20do%20Portf%C3%B3lio%20em%20PDF/%C2%B4%C2%B4Pr%C3%A1ticas%20Assistencia%20de%20Enfermagem%20a%20Pacien_Adalci%20Rosana%20Goncal.pdf</t>
  </si>
  <si>
    <t>Consulta de enfermagem no pré-natal de baixo risco + Administração de medicamento pela via intramuscular;Trabalho de parto natural + Emergências obstétricas</t>
  </si>
  <si>
    <t>https://uniasselvi01-my.sharepoint.com/personal/elienai_cesar_uniasselvi_com_br1/Documents/Aplicativos/Microsoft%20Forms/Question%C3%A1rio%20sem%20t%C3%ADtulo/Envio%20da%20Lista%20de%20Presen%C3%A7a/lista%20presen%C3%A7a_Adalci%20Rosana%20Goncal.pdf</t>
  </si>
  <si>
    <t>https://uniasselvi01-my.sharepoint.com/personal/elienai_cesar_uniasselvi_com_br1/Documents/Aplicativos/Microsoft%20Forms/Question%C3%A1rio%20sem%20t%C3%ADtulo/Envio%20do%20Portf%C3%B3lio%20em%20PDF/Portf%C3%B3lio%20Assist%C3%AAncia%20de%20Enfermagem%20%20a%20Gestan_Adalci%20Rosana%20Goncal.pdf; https://uniasselvi01-my.sharepoint.com/personal/elienai_cesar_uniasselvi_com_br1/Documents/Aplicativos/Microsoft%20Forms/Question%C3%A1rio%20sem%20t%C3%ADtulo/Envio%20do%20Portf%C3%B3lio%20em%20PDF/Portf%C3%B3lio%20Trabalho%20de%20Parto%20NAtural%2025-02-26_Adalci%20Rosana%20Goncal.pdf</t>
  </si>
  <si>
    <t>https://uniasselvi01-my.sharepoint.com/personal/elienai_cesar_uniasselvi_com_br1/Documents/Aplicativos/Microsoft%20Forms/Question%C3%A1rio%20sem%20t%C3%ADtulo/Envio%20da%20Lista%20de%20Presen%C3%A7a/20260316%20-%20AGENDAMENTO%20-%20I_Gilberto%20Filho.pdf</t>
  </si>
  <si>
    <t>https://uniasselvi01-my.sharepoint.com/personal/elienai_cesar_uniasselvi_com_br1/Documents/Aplicativos/Microsoft%20Forms/Question%C3%A1rio%20sem%20t%C3%ADtulo/Envio%20do%20Portf%C3%B3lio%20em%20PDF/PORTIF%C3%93LIO%20-%2020260316%20-%20I_Gilberto%20Filho.pdf</t>
  </si>
  <si>
    <t>Avaliação de enfermagem ao paciente com queimadura + Escala de Coma de Glasgow</t>
  </si>
  <si>
    <t>https://uniasselvi01-my.sharepoint.com/personal/elienai_cesar_uniasselvi_com_br1/Documents/Aplicativos/Microsoft%20Forms/Question%C3%A1rio%20sem%20t%C3%ADtulo/Envio%20da%20Lista%20de%20Presen%C3%A7a/20260316%20-%20AGENDAMENTO%20-%20II_Gilberto%20Filho.pdf</t>
  </si>
  <si>
    <t>https://uniasselvi01-my.sharepoint.com/personal/elienai_cesar_uniasselvi_com_br1/Documents/Aplicativos/Microsoft%20Forms/Question%C3%A1rio%20sem%20t%C3%ADtulo/Envio%20do%20Portf%C3%B3lio%20em%20PDF/PORTIF%C3%93LIO%20-%2020260316%20-%20II_Gilberto%20Filho.pdf</t>
  </si>
  <si>
    <t>bianca.silva@tutorpratica.uniasselvi.com.br</t>
  </si>
  <si>
    <t>Bianca Silva</t>
  </si>
  <si>
    <t>https://uniasselvi01-my.sharepoint.com/personal/elienai_cesar_uniasselvi_com_br1/Documents/Aplicativos/Microsoft%20Forms/Question%C3%A1rio%20sem%20t%C3%ADtulo/Envio%20da%20Lista%20de%20Presen%C3%A7a%201/aula%2005_03_26%20(1)%20lista_Bianca%20Silva.jpeg</t>
  </si>
  <si>
    <t>https://uniasselvi01-my.sharepoint.com/personal/elienai_cesar_uniasselvi_com_br1/Documents/Aplicativos/Microsoft%20Forms/Question%C3%A1rio%20sem%20t%C3%ADtulo/Envio%20do%20Portf%C3%B3lio%20em%20PDF%201/Portf%C3%B3lio%20das%20Atividades%20Pr%C3%A1ticas%2005_03_26%20(1_Bianca%20Silva.pdf</t>
  </si>
  <si>
    <t>https://uniasselvi01-my.sharepoint.com/personal/elienai_cesar_uniasselvi_com_br1/Documents/Aplicativos/Microsoft%20Forms/Question%C3%A1rio%20sem%20t%C3%ADtulo/Envio%20da%20Lista%20de%20Presen%C3%A7a%201/aula%2005_03_26%20(2)%20lista_Bianca%20Silva.jpeg</t>
  </si>
  <si>
    <t>https://uniasselvi01-my.sharepoint.com/personal/elienai_cesar_uniasselvi_com_br1/Documents/Aplicativos/Microsoft%20Forms/Question%C3%A1rio%20sem%20t%C3%ADtulo/Envio%20do%20Portf%C3%B3lio%20em%20PDF%201/Portf%C3%B3lio%20das%20Atividades%20Pr%C3%A1ticas%2005_03_26%20(2_Bianca%20Silva.pdf</t>
  </si>
  <si>
    <t>leticia.ciritelli@regentedepolo.uniasselvi.com.br</t>
  </si>
  <si>
    <t>Leticia Ciritelli</t>
  </si>
  <si>
    <t>Pontes e Lacerda/MT</t>
  </si>
  <si>
    <t>https://uniasselvi01-my.sharepoint.com/personal/elienai_cesar_uniasselvi_com_br1/_layouts/15/Doc.aspx?sourcedoc=%7B8CE5A097-5352-4D42-89A7-E1898B7CCEC9%7D&amp;file=relatorio_20260317003417.csv_Leticia%20Ciritelli.xlsx&amp;action=default&amp;mobileredirect=true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</si>
  <si>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t_Leticia%20Ciritelli.pdf</t>
  </si>
  <si>
    <t>https://uniasselvi01-my.sharepoint.com/personal/elienai_cesar_uniasselvi_com_br1/Documents/Aplicativos/Microsoft%20Forms/Question%C3%A1rio%20sem%20t%C3%ADtulo/Envio%20da%20Lista%20de%20Presen%C3%A7a%202/WhatsApp%20Image%202026-03-17%20at%2008.49.09_Ana%20Sedrez.jpeg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</si>
  <si>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_Ana%20Sedrez%202.pdf</t>
  </si>
  <si>
    <t>https://uniasselvi01-my.sharepoint.com/personal/elienai_cesar_uniasselvi_com_br1/Documents/Aplicativos/Microsoft%20Forms/Question%C3%A1rio%20sem%20t%C3%ADtulo/Envio%20da%20Lista%20de%20Presen%C3%A7a%202/WhatsApp%20Image%202026-03-17%20at%2008.49.08_Ana%20Sedrez.jpeg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</si>
  <si>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(1)_Ana%20Sedrez%201.pdf</t>
  </si>
  <si>
    <t>Tratamento de Redução de Medida;Tratamento Flacidez dérmica</t>
  </si>
  <si>
    <t>https://uniasselvi01-my.sharepoint.com/personal/elienai_cesar_uniasselvi_com_br1/Documents/Aplicativos/Microsoft%20Forms/Question%C3%A1rio%20sem%20t%C3%ADtulo/Envio%20da%20Lista%20de%20Presen%C3%A7a%201/Portf%C3%B3lio%20das%20Atividades%20Pr%C3%A1ticas%2016.03_Vanessa%20Fachini.pdf</t>
  </si>
  <si>
    <t>https://uniasselvi01-my.sharepoint.com/personal/elienai_cesar_uniasselvi_com_br1/Documents/Aplicativos/Microsoft%20Forms/Question%C3%A1rio%20sem%20t%C3%ADtulo/Envio%20do%20Portf%C3%B3lio%20em%20PDF%201/Portf%C3%B3lio%20das%20Atividades%20Pr%C3%A1ticas%2016.03_Vanessa%20Fachini.pdf</t>
  </si>
  <si>
    <t>https://uniasselvi01-my.sharepoint.com/personal/elienai_cesar_uniasselvi_com_br1/Documents/Aplicativos/Microsoft%20Forms/Question%C3%A1rio%20sem%20t%C3%ADtulo/Envio%20da%20Lista%20de%20Presen%C3%A7a/ssvv_Leticia%20Ciritelli.pdf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</si>
  <si>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f_Leticia%20Ciritelli.pdf</t>
  </si>
  <si>
    <t>https://uniasselvi01-my.sharepoint.com/personal/elienai_cesar_uniasselvi_com_br1/Documents/Aplicativos/Microsoft%20Forms/Question%C3%A1rio%20sem%20t%C3%ADtulo/Envio%20da%20Lista%20de%20Presen%C3%A7a/curativo_Leticia%20Ciritelli.pdf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</si>
  <si>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f_Leticia%20Ciritelli%201.pdf</t>
  </si>
  <si>
    <t>https://uniasselvi01-my.sharepoint.com/personal/elienai_cesar_uniasselvi_com_br1/Documents/Aplicativos/Microsoft%20Forms/Question%C3%A1rio%20sem%20t%C3%ADtulo/Envio%20da%20Lista%20de%20Presen%C3%A7a/gestante%20e%20parturiente_Leticia%20Ciritelli.pdf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</si>
  <si>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g_Leticia%20Ciritelli.pdf</t>
  </si>
  <si>
    <t>https://uniasselvi01-my.sharepoint.com/personal/elienai_cesar_uniasselvi_com_br1/Documents/Aplicativos/Microsoft%20Forms/Question%C3%A1rio%20sem%20t%C3%ADtulo/Envio%20da%20Lista%20de%20Presen%C3%A7a/centroobstetrico_Leticia%20Ciritelli.pdf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</si>
  <si>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c_Leticia%20Ciritelli.pdf</t>
  </si>
  <si>
    <t>https://uniasselvi01-my.sharepoint.com/personal/elienai_cesar_uniasselvi_com_br1/Documents/Aplicativos/Microsoft%20Forms/Question%C3%A1rio%20sem%20t%C3%ADtulo/Envio%20da%20Lista%20de%20Presen%C3%A7a/aspira%C3%A7%C3%A3o%20de%20vias%20a%C3%A9reas_Leticia%20Ciritelli.pdf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</si>
  <si>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t_Leticia%20Ciritelli%201.pdf</t>
  </si>
  <si>
    <t>Triagem de paciente com transtorno neurológico e risco de suicídio;Abordagem e cuidados de enfermagem em episódio de surto psicótico</t>
  </si>
  <si>
    <t>https://uniasselvi01-my.sharepoint.com/personal/elienai_cesar_uniasselvi_com_br1/Documents/Aplicativos/Microsoft%20Forms/Question%C3%A1rio%20sem%20t%C3%ADtulo/Envio%20da%20Lista%20de%20Presen%C3%A7a/IMG_20260317_162248801_Kamila%20Sena.jpg; https://uniasselvi01-my.sharepoint.com/personal/elienai_cesar_uniasselvi_com_br1/Documents/Aplicativos/Microsoft%20Forms/Question%C3%A1rio%20sem%20t%C3%ADtulo/Envio%20da%20Lista%20de%20Presen%C3%A7a/IMG_20260316_211307031_HDR_AE_Kamila%20Sena.jpg</t>
  </si>
  <si>
    <t>https://uniasselvi01-my.sharepoint.com/personal/elienai_cesar_uniasselvi_com_br1/_layouts/15/Doc.aspx?sourcedoc=%7BE21725A4-6E54-4097-9EC2-FAF0663DD2D9%7D&amp;file=16_03%20Tutor%20-%20Portf%C3%B3lio%20das%20Atividades%20Pr%C3%A1tic_Kamila%20Sena.docx&amp;action=default&amp;mobileredirect=true</t>
  </si>
  <si>
    <t>https://uniasselvi01-my.sharepoint.com/personal/elienai_cesar_uniasselvi_com_br1/Documents/Aplicativos/Microsoft%20Forms/Question%C3%A1rio%20sem%20t%C3%ADtulo/Envio%20da%20Lista%20de%20Presen%C3%A7a/presen%C3%A7a%20Daniela_Sara%20Gomes.pdf</t>
  </si>
  <si>
    <t>https://uniasselvi01-my.sharepoint.com/personal/elienai_cesar_uniasselvi_com_br1/_layouts/15/Doc.aspx?sourcedoc=%7BC62B415D-ECA9-4E69-B85C-7C0FD54C9884%7D&amp;file=praticas%20sinais%20vitais%20da_Sara%20Gomes.docx&amp;action=default&amp;mobileredirect=true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</si>
  <si>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https://uniasselvi01-my.sharepoint.com/personal/elienai_cesar_uniasselvi_com_br1/Documents/Aplicativos/Microsoft%20Forms/Question%C3%A1rio%20sem%20t%C3%ADtulo/Envio%20da%20Lista%20de%20Presen%C3%A7a/presen%C3%A7a%20Daniela_Sara%20Gomes%201.pdf</t>
  </si>
  <si>
    <t>https://uniasselvi01-my.sharepoint.com/personal/elienai_cesar_uniasselvi_com_br1/_layouts/15/Doc.aspx?sourcedoc=%7BDD80BD9B-BD40-413F-B70C-D932059C555B%7D&amp;file=praticas%20avaliacao%20cadiaca%20%20da_Sara%20Gomes.docx&amp;action=default&amp;mobileredirect=true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</si>
  <si>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https://uniasselvi01-my.sharepoint.com/personal/elienai_cesar_uniasselvi_com_br1/Documents/Aplicativos/Microsoft%20Forms/Question%C3%A1rio%20sem%20t%C3%ADtulo/Envio%20da%20Lista%20de%20Presen%C3%A7a/presen%C3%A7a%20Daniela_Sara%20Gomes%202.pdf</t>
  </si>
  <si>
    <t>https://uniasselvi01-my.sharepoint.com/personal/elienai_cesar_uniasselvi_com_br1/_layouts/15/Doc.aspx?sourcedoc=%7B1C26216A-BF64-4BB9-BEF4-95F47952F4B6%7D&amp;file=praticas%20avaliacao%20pulmonar%20da_Sara%20Gomes.docx&amp;action=default&amp;mobileredirect=true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</si>
  <si>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https://uniasselvi01-my.sharepoint.com/personal/elienai_cesar_uniasselvi_com_br1/Documents/Aplicativos/Microsoft%20Forms/Question%C3%A1rio%20sem%20t%C3%ADtulo/Envio%20da%20Lista%20de%20Presen%C3%A7a/presen%C3%A7a%20Daniela_Sara%20Gomes%203.pdf</t>
  </si>
  <si>
    <t>https://uniasselvi01-my.sharepoint.com/personal/elienai_cesar_uniasselvi_com_br1/_layouts/15/Doc.aspx?sourcedoc=%7B0085A338-5F12-4C3C-A6E4-2A1FE600FE97%7D&amp;file=praticas%20avaliacao%20corporal%20da_Sara%20Gomes.docx&amp;action=default&amp;mobileredirect=true</t>
  </si>
  <si>
    <t>maria.torre@regentedepolo.uniasselvi.com.br</t>
  </si>
  <si>
    <t>Maria Torre</t>
  </si>
  <si>
    <t>Marcelândia/MT</t>
  </si>
  <si>
    <t>https://uniasselvi01-my.sharepoint.com/personal/elienai_cesar_uniasselvi_com_br1/Documents/Aplicativos/Microsoft%20Forms/Question%C3%A1rio%20sem%20t%C3%ADtulo/Envio%20da%20Lista%20de%20Presen%C3%A7a/LISTA%20DE%20ALUNOS_Maria%20Torre.pdf</t>
  </si>
  <si>
    <t>https://uniasselvi01-my.sharepoint.com/personal/elienai_cesar_uniasselvi_com_br1/_layouts/15/Doc.aspx?sourcedoc=%7BF12D1CFF-3399-489F-BB88-AAE22637FFCC%7D&amp;file=Tutor%20-%20Portf%C3%B3lio%20das%20Atividades%20Pr%C3%A1ticas%20ter_Maria%20Torre.docx&amp;action=default&amp;mobileredirect=true</t>
  </si>
  <si>
    <t>Administração de medicamento pela via subcutânea + Administração de medicamento pela via oral;Punção e manutenção de cateter de longa permanência + Troca de bolsa de ostomia</t>
  </si>
  <si>
    <t>https://uniasselvi01-my.sharepoint.com/personal/elienai_cesar_uniasselvi_com_br1/Documents/Aplicativos/Microsoft%20Forms/Question%C3%A1rio%20sem%20t%C3%ADtulo/Envio%20da%20Lista%20de%20Presen%C3%A7a/Lista%20de%20Frequ%C3%AAncia%20Onco%2016-3_William%20Coimbra.jpeg; https://uniasselvi01-my.sharepoint.com/personal/elienai_cesar_uniasselvi_com_br1/Documents/Aplicativos/Microsoft%20Forms/Question%C3%A1rio%20sem%20t%C3%ADtulo/Envio%20da%20Lista%20de%20Presen%C3%A7a/Lista%20de%20Frequ%C3%AAncia%20RN%2016-03_William%20Coimbra.jpeg</t>
  </si>
  <si>
    <t>https://uniasselvi01-my.sharepoint.com/personal/elienai_cesar_uniasselvi_com_br1/_layouts/15/Doc.aspx?sourcedoc=%7BFFA04AB1-982C-4EA4-9A94-4DD34B5C1F45%7D&amp;file=Tutor%20-%20Portf%C3%B3lio%20das%20Atividades%20Pr%C3%A1ticas_William%20Coimbra%201.docx&amp;action=default&amp;mobileredirect=true; https://uniasselvi01-my.sharepoint.com/personal/elienai_cesar_uniasselvi_com_br1/Documents/Aplicativos/Microsoft%20Forms/Question%C3%A1rio%20sem%20t%C3%ADtulo/Envio%20do%20Portf%C3%B3lio%20em%20PDF/Foto%201%20RN_William%20Coimbra.jpeg; https://uniasselvi01-my.sharepoint.com/personal/elienai_cesar_uniasselvi_com_br1/Documents/Aplicativos/Microsoft%20Forms/Question%C3%A1rio%20sem%20t%C3%ADtulo/Envio%20do%20Portf%C3%B3lio%20em%20PDF/Foto%203%20RN_William%20Coimbra.jpeg; https://uniasselvi01-my.sharepoint.com/personal/elienai_cesar_uniasselvi_com_br1/Documents/Aplicativos/Microsoft%20Forms/Question%C3%A1rio%20sem%20t%C3%ADtulo/Envio%20do%20Portf%C3%B3lio%20em%20PDF/Foto%201%20Onco._William%20Coimbra.jpeg; https://uniasselvi01-my.sharepoint.com/personal/elienai_cesar_uniasselvi_com_br1/Documents/Aplicativos/Microsoft%20Forms/Question%C3%A1rio%20sem%20t%C3%ADtulo/Envio%20do%20Portf%C3%B3lio%20em%20PDF/Foto%202%20Onco._William%20Coimbra.jpeg; https://uniasselvi01-my.sharepoint.com/personal/elienai_cesar_uniasselvi_com_br1/Documents/Aplicativos/Microsoft%20Forms/Question%C3%A1rio%20sem%20t%C3%ADtulo/Envio%20do%20Portf%C3%B3lio%20em%20PDF/Foto%203%20Onco_William%20Coimbra.jpeg</t>
  </si>
  <si>
    <t>https://uniasselvi01-my.sharepoint.com/personal/elienai_cesar_uniasselvi_com_br1/Documents/Aplicativos/Microsoft%20Forms/Question%C3%A1rio%20sem%20t%C3%ADtulo/Envio%20da%20Lista%20de%20Presen%C3%A7a/LISTA%20DE%20ALUNOS_Maria%20Torre%201.pdf</t>
  </si>
  <si>
    <t>https://uniasselvi01-my.sharepoint.com/personal/elienai_cesar_uniasselvi_com_br1/_layouts/15/Doc.aspx?sourcedoc=%7BFE298999-C8AF-4C72-8BAD-90901CF2BB86%7D&amp;file=Tutor%20-%20Portf%C3%B3lio%20das%20Atividades%20Pr%C3%A1ticas%20ter_Maria%20Torre%201.docx&amp;action=default&amp;mobileredirect=true</t>
  </si>
  <si>
    <t>rosirene.castro@tutorpratica.uniasselvi.com.br</t>
  </si>
  <si>
    <t>Rosirene Castro</t>
  </si>
  <si>
    <t>Nova Iguaçu/RJ</t>
  </si>
  <si>
    <t>https://uniasselvi01-my.sharepoint.com/personal/elienai_cesar_uniasselvi_com_br1/Documents/Aplicativos/Microsoft%20Forms/Question%C3%A1rio%20sem%20t%C3%ADtulo/Envio%20da%20Lista%20de%20Presen%C3%A7a/SAVE_20260317_204647_Rosirene%20Castro.jpg</t>
  </si>
  <si>
    <t>https://uniasselvi01-my.sharepoint.com/personal/elienai_cesar_uniasselvi_com_br1/Documents/Aplicativos/Microsoft%20Forms/Question%C3%A1rio%20sem%20t%C3%ADtulo/Envio%20do%20Portf%C3%B3lio%20em%20PDF/Estou%20compartilhando%20o%20arquivo%20%27Tutor%20-%20Portf_Rosirene%20Castro.pdf</t>
  </si>
  <si>
    <t>https://uniasselvi01-my.sharepoint.com/personal/elienai_cesar_uniasselvi_com_br1/Documents/Aplicativos/Microsoft%20Forms/Question%C3%A1rio%20sem%20t%C3%ADtulo/Envio%20da%20Lista%20de%20Presen%C3%A7a/lista%20aluna%20aula%20pratica_Maria%20Torre.pdf</t>
  </si>
  <si>
    <t>https://uniasselvi01-my.sharepoint.com/personal/elienai_cesar_uniasselvi_com_br1/_layouts/15/Doc.aspx?sourcedoc=%7BF9B25E43-25E9-48ED-B08F-531A54DC7565%7D&amp;file=Tutor%20-%20Portf%C3%B3lio%20das%20Atividades%20centro%20obste_Maria%20Torre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</si>
  <si>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https://uniasselvi01-my.sharepoint.com/personal/elienai_cesar_uniasselvi_com_br1/Documents/Aplicativos/Microsoft%20Forms/Question%C3%A1rio%20sem%20t%C3%ADtulo/Envio%20da%20Lista%20de%20Presen%C3%A7a/lista%20alunas,aula%20de%20curativo_Maria%20Torre.pdf</t>
  </si>
  <si>
    <t>https://uniasselvi01-my.sharepoint.com/personal/elienai_cesar_uniasselvi_com_br1/_layouts/15/Doc.aspx?sourcedoc=%7B93258F9F-766F-46D9-B2B5-4BFC2F919054%7D&amp;file=Tutor%20-%20Portf%C3%B3lio%20das%20Atividades%20curativo_Maria%20Torre.docx&amp;action=default&amp;mobileredirect=true</t>
  </si>
  <si>
    <t>https://uniasselvi01-my.sharepoint.com/personal/elienai_cesar_uniasselvi_com_br1/Documents/Aplicativos/Microsoft%20Forms/Question%C3%A1rio%20sem%20t%C3%ADtulo/Envio%20da%20Lista%20de%20Presen%C3%A7a/WhatsApp%20Image%202026-03-17%20at%2020.25.59%20(1)(1)_Maria%20Torre.jpeg</t>
  </si>
  <si>
    <t>https://uniasselvi01-my.sharepoint.com/personal/elienai_cesar_uniasselvi_com_br1/_layouts/15/Doc.aspx?sourcedoc=%7BFA74EEB5-6E83-47F2-812B-DB4FCCD637B4%7D&amp;file=Tutor%20-%20Portf%C3%B3lio%20das%20Atividades%20cuidados%20pal_Maria%20Torre.docx&amp;action=default&amp;mobileredirect=true</t>
  </si>
  <si>
    <t>https://uniasselvi01-my.sharepoint.com/personal/elienai_cesar_uniasselvi_com_br1/Documents/Aplicativos/Microsoft%20Forms/Question%C3%A1rio%20sem%20t%C3%ADtulo/Envio%20da%20Lista%20de%20Presen%C3%A7a/1.2_Francine%20Guterres.jpeg; https://uniasselvi01-my.sharepoint.com/personal/elienai_cesar_uniasselvi_com_br1/Documents/Aplicativos/Microsoft%20Forms/Question%C3%A1rio%20sem%20t%C3%ADtulo/Envio%20da%20Lista%20de%20Presen%C3%A7a/2.2_Francine%20Guterres.jpeg</t>
  </si>
  <si>
    <t>https://uniasselvi01-my.sharepoint.com/personal/elienai_cesar_uniasselvi_com_br1/Documents/Aplicativos/Microsoft%20Forms/Question%C3%A1rio%20sem%20t%C3%ADtulo/Envio%20do%20Portf%C3%B3lio%20em%20PDF/1_Francine%20Guterres.pdf</t>
  </si>
  <si>
    <t>https://uniasselvi01-my.sharepoint.com/personal/elienai_cesar_uniasselvi_com_br1/Documents/Aplicativos/Microsoft%20Forms/Question%C3%A1rio%20sem%20t%C3%ADtulo/Envio%20da%20Lista%20de%20Presen%C3%A7a/1.2_Francine%20Guterres%201.jpeg; https://uniasselvi01-my.sharepoint.com/personal/elienai_cesar_uniasselvi_com_br1/Documents/Aplicativos/Microsoft%20Forms/Question%C3%A1rio%20sem%20t%C3%ADtulo/Envio%20da%20Lista%20de%20Presen%C3%A7a/2.2_Francine%20Guterres%201.jpeg</t>
  </si>
  <si>
    <t>https://uniasselvi01-my.sharepoint.com/personal/elienai_cesar_uniasselvi_com_br1/Documents/Aplicativos/Microsoft%20Forms/Question%C3%A1rio%20sem%20t%C3%ADtulo/Envio%20do%20Portf%C3%B3lio%20em%20PDF/2_Francine%20Guterres.pdf</t>
  </si>
  <si>
    <t>QUÍMICA E FÍSICA - Experimento de Oersted</t>
  </si>
  <si>
    <t>https://uniasselvi01-my.sharepoint.com/personal/elienai_cesar_uniasselvi_com_br1/Documents/Aplicativos/Microsoft%20Forms/Question%C3%A1rio%20sem%20t%C3%ADtulo/Envio%20da%20Lista%20de%20Presen%C3%A7a%203/20260318_075256_Silvestre%20Assumpcao.PDF</t>
  </si>
  <si>
    <t>https://uniasselvi01-my.sharepoint.com/personal/elienai_cesar_uniasselvi_com_br1/Documents/Aplicativos/Microsoft%20Forms/Question%C3%A1rio%20sem%20t%C3%ADtulo/Envio%20do%20Portf%C3%B3lio%20em%20PDF%203/20260316_185502_Silvestre%20Assumpcao.PDF; https://uniasselvi01-my.sharepoint.com/personal/elienai_cesar_uniasselvi_com_br1/Documents/Aplicativos/Microsoft%20Forms/Question%C3%A1rio%20sem%20t%C3%ADtulo/Envio%20do%20Portf%C3%B3lio%20em%20PDF%203/20260316_185531_Silvestre%20Assumpcao.PDF; https://uniasselvi01-my.sharepoint.com/personal/elienai_cesar_uniasselvi_com_br1/Documents/Aplicativos/Microsoft%20Forms/Question%C3%A1rio%20sem%20t%C3%ADtulo/Envio%20do%20Portf%C3%B3lio%20em%20PDF%203/20260316_185538_Silvestre%20Assumpcao.PDF</t>
  </si>
  <si>
    <t>https://uniasselvi01-my.sharepoint.com/personal/elienai_cesar_uniasselvi_com_br1/Documents/Aplicativos/Microsoft%20Forms/Question%C3%A1rio%20sem%20t%C3%ADtulo/Envio%20da%20Lista%20de%20Presen%C3%A7a%203/20260318_075256_Silvestre%20Assumpcao%201.PDF</t>
  </si>
  <si>
    <t>https://uniasselvi01-my.sharepoint.com/personal/elienai_cesar_uniasselvi_com_br1/Documents/Aplicativos/Microsoft%20Forms/Question%C3%A1rio%20sem%20t%C3%ADtulo/Envio%20do%20Portf%C3%B3lio%20em%20PDF%203/20260317_145849_Silvestre%20Assumpcao.PDF; https://uniasselvi01-my.sharepoint.com/personal/elienai_cesar_uniasselvi_com_br1/Documents/Aplicativos/Microsoft%20Forms/Question%C3%A1rio%20sem%20t%C3%ADtulo/Envio%20do%20Portf%C3%B3lio%20em%20PDF%203/20260311_202255_Silvestre%20Assumpcao.PDF; https://uniasselvi01-my.sharepoint.com/personal/elienai_cesar_uniasselvi_com_br1/Documents/Aplicativos/Microsoft%20Forms/Question%C3%A1rio%20sem%20t%C3%ADtulo/Envio%20do%20Portf%C3%B3lio%20em%20PDF%203/20260311_202122(1)_Silvestre%20Assumpcao.PDF</t>
  </si>
  <si>
    <t>https://uniasselvi01-my.sharepoint.com/personal/elienai_cesar_uniasselvi_com_br1/Documents/Aplicativos/Microsoft%20Forms/Question%C3%A1rio%20sem%20t%C3%ADtulo/Envio%20da%20Lista%20de%20Presen%C3%A7a%202/WhatsApp%20Image%202026-03-17%20at%2018.50.20_Nathane%20Ramos.jpeg; https://uniasselvi01-my.sharepoint.com/personal/elienai_cesar_uniasselvi_com_br1/Documents/Aplicativos/Microsoft%20Forms/Question%C3%A1rio%20sem%20t%C3%ADtulo/Envio%20da%20Lista%20de%20Presen%C3%A7a%202/WhatsApp%20Image%202026-03-17%20at%2018.50.19_Nathane%20Ramos.jpeg</t>
  </si>
  <si>
    <t>https://uniasselvi01-my.sharepoint.com/personal/elienai_cesar_uniasselvi_com_br1/Documents/Aplicativos/Microsoft%20Forms/Question%C3%A1rio%20sem%20t%C3%ADtulo/Envio%20do%20Portf%C3%B3lio%20em%20PDF%202/Portf%C3%B3lio%20avalia%C3%A7%C3%A3o%20de%20gestante%20I%20-%20antropome_Nathane%20Ramos.pdf; https://uniasselvi01-my.sharepoint.com/personal/elienai_cesar_uniasselvi_com_br1/Documents/Aplicativos/Microsoft%20Forms/Question%C3%A1rio%20sem%20t%C3%ADtulo/Envio%20do%20Portf%C3%B3lio%20em%20PDF%202/Portf%C3%B3lio%20avalia%C3%A7%C3%A3o%20de%20gestante%20II%20-%20anamnese_Nathane%20Ramos.pdf</t>
  </si>
  <si>
    <t>Abordagem e cuidados de enfermagem em episódio de surto psicótico</t>
  </si>
  <si>
    <t>https://uniasselvi01-my.sharepoint.com/personal/elienai_cesar_uniasselvi_com_br1/_layouts/15/Doc.aspx?sourcedoc=%7B8B9C0CCA-B038-4182-9B48-1E21FE00C77A%7D&amp;file=Relat%C3%B3rio%20de%20Laborat%C3%B3rio%2017.03.2026%20aula%201_Luiz%20Silva.docx&amp;action=default&amp;mobileredirect=true</t>
  </si>
  <si>
    <t>https://uniasselvi01-my.sharepoint.com/personal/elienai_cesar_uniasselvi_com_br1/Documents/Aplicativos/Microsoft%20Forms/Question%C3%A1rio%20sem%20t%C3%ADtulo/Envio%20do%20Portf%C3%B3lio%20em%20PDF/Foto%2017.03.226%20aula%201_Luiz%20Silva.jpeg</t>
  </si>
  <si>
    <t>https://uniasselvi01-my.sharepoint.com/personal/elienai_cesar_uniasselvi_com_br1/_layouts/15/Doc.aspx?sourcedoc=%7B4CEA3C3F-13CF-491D-B6D4-D86A90DDE939%7D&amp;file=Relat%C3%B3rio%20de%20Laborat%C3%B3rio%2017.03.2026%20aula%202_Luiz%20Silva.docx&amp;action=default&amp;mobileredirect=true</t>
  </si>
  <si>
    <t>https://uniasselvi01-my.sharepoint.com/personal/elienai_cesar_uniasselvi_com_br1/Documents/Aplicativos/Microsoft%20Forms/Question%C3%A1rio%20sem%20t%C3%ADtulo/Envio%20do%20Portf%C3%B3lio%20em%20PDF/Foto%2017.03.2026%20_Aula%202_Luiz%20Silva.jpeg; https://uniasselvi01-my.sharepoint.com/personal/elienai_cesar_uniasselvi_com_br1/Documents/Aplicativos/Microsoft%20Forms/Question%C3%A1rio%20sem%20t%C3%ADtulo/Envio%20do%20Portf%C3%B3lio%20em%20PDF/Foto%2017.03.2026%20Aula%202_Luiz%20Silva.jpeg</t>
  </si>
  <si>
    <t>amanda.oliveira@tutorpratica.uniasselvi.com.br</t>
  </si>
  <si>
    <t>Amanda Oliveira</t>
  </si>
  <si>
    <t>https://uniasselvi01-my.sharepoint.com/personal/elienai_cesar_uniasselvi_com_br1/Documents/Aplicativos/Microsoft%20Forms/Question%C3%A1rio%20sem%20t%C3%ADtulo/Envio%20da%20Lista%20de%20Presen%C3%A7a%203/Presenca_18.02.2026_Amanda%20Oliveira.pdf</t>
  </si>
  <si>
    <t>https://uniasselvi01-my.sharepoint.com/personal/elienai_cesar_uniasselvi_com_br1/Documents/Aplicativos/Microsoft%20Forms/Question%C3%A1rio%20sem%20t%C3%ADtulo/Envio%20do%20Portf%C3%B3lio%20em%20PDF%203/Portf%C3%B3lio%2018.02.2026_Amanda%20Oliveira.pdf</t>
  </si>
  <si>
    <t>https://uniasselvi01-my.sharepoint.com/personal/elienai_cesar_uniasselvi_com_br1/Documents/Aplicativos/Microsoft%20Forms/Question%C3%A1rio%20sem%20t%C3%ADtulo/Envio%20da%20Lista%20de%20Presen%C3%A7a%203/Presenca_25.02.2026_Amanda%20Oliveira.pdf</t>
  </si>
  <si>
    <t>https://uniasselvi01-my.sharepoint.com/personal/elienai_cesar_uniasselvi_com_br1/Documents/Aplicativos/Microsoft%20Forms/Question%C3%A1rio%20sem%20t%C3%ADtulo/Envio%20do%20Portf%C3%B3lio%20em%20PDF%203/Portf%C3%B3lio%2025.02.2026_Amanda%20Oliveira.pdf</t>
  </si>
  <si>
    <t>https://uniasselvi01-my.sharepoint.com/personal/elienai_cesar_uniasselvi_com_br1/Documents/Aplicativos/Microsoft%20Forms/Question%C3%A1rio%20sem%20t%C3%ADtulo/Envio%20da%20Lista%20de%20Presen%C3%A7a%203/Presenca_04.03.2026_Amanda%20Oliveira.pdf</t>
  </si>
  <si>
    <t>https://uniasselvi01-my.sharepoint.com/personal/elienai_cesar_uniasselvi_com_br1/Documents/Aplicativos/Microsoft%20Forms/Question%C3%A1rio%20sem%20t%C3%ADtulo/Envio%20do%20Portf%C3%B3lio%20em%20PDF%203/Portf%C3%B3lio%2004.03.2026_Amanda%20Oliveira.pdf</t>
  </si>
  <si>
    <t>https://uniasselvi01-my.sharepoint.com/personal/elienai_cesar_uniasselvi_com_br1/Documents/Aplicativos/Microsoft%20Forms/Question%C3%A1rio%20sem%20t%C3%ADtulo/Envio%20da%20Lista%20de%20Presen%C3%A7a%203/Presenca_11.03.2026_Amanda%20Oliveira.pdf</t>
  </si>
  <si>
    <t>https://uniasselvi01-my.sharepoint.com/personal/elienai_cesar_uniasselvi_com_br1/Documents/Aplicativos/Microsoft%20Forms/Question%C3%A1rio%20sem%20t%C3%ADtulo/Envio%20do%20Portf%C3%B3lio%20em%20PDF%203/Portf%C3%B3lio%2011.03.2026_Amanda%20Oliveira.pdf</t>
  </si>
  <si>
    <t>Escalda Pés;Auriculoterapia</t>
  </si>
  <si>
    <t>https://uniasselvi01-my.sharepoint.com/personal/elienai_cesar_uniasselvi_com_br1/Documents/Aplicativos/Microsoft%20Forms/Question%C3%A1rio%20sem%20t%C3%ADtulo/Envio%20da%20Lista%20de%20Presen%C3%A7a%201/IMG_3050_Lorrine%20Silva.jpeg</t>
  </si>
  <si>
    <t>https://uniasselvi01-my.sharepoint.com/personal/elienai_cesar_uniasselvi_com_br1/Documents/Aplicativos/Microsoft%20Forms/Question%C3%A1rio%20sem%20t%C3%ADtulo/Envio%20do%20Portf%C3%B3lio%20em%20PDF%201/Co%CC%81pia%20de%20Co%CC%81pia%20de%20Tutor%20-%20Portfo%CC%81lio%20Escald_Lorrine%20Silva.pdf</t>
  </si>
  <si>
    <t>https://uniasselvi01-my.sharepoint.com/personal/elienai_cesar_uniasselvi_com_br1/Documents/Aplicativos/Microsoft%20Forms/Question%C3%A1rio%20sem%20t%C3%ADtulo/Envio%20da%20Lista%20de%20Presen%C3%A7a/WhatsApp%20Image%202026-03-08%20at%2017.30.37_Laurilene%20Mota%202.jpeg</t>
  </si>
  <si>
    <t>https://uniasselvi01-my.sharepoint.com/personal/elienai_cesar_uniasselvi_com_br1/_layouts/15/Doc.aspx?sourcedoc=%7BF1727990-2800-44C4-AEBE-BA5EE4B326BA%7D&amp;file=relatorio%20%20de%20ausculta%20dia%2026%20Uniasselvil_Laurilene%20Mota%201.docx&amp;action=default&amp;mobileredirect=true</t>
  </si>
  <si>
    <t>https://uniasselvi01-my.sharepoint.com/personal/elienai_cesar_uniasselvi_com_br1/Documents/Aplicativos/Microsoft%20Forms/Question%C3%A1rio%20sem%20t%C3%ADtulo/Envio%20da%20Lista%20de%20Presen%C3%A7a/FREQUENCIA%20MANOBRA%20DE%20SUPORTE%20BASICO_Ana%20Souza.jpeg</t>
  </si>
  <si>
    <t>https://uniasselvi01-my.sharepoint.com/personal/elienai_cesar_uniasselvi_com_br1/_layouts/15/Doc.aspx?sourcedoc=%7B0DCC8F2E-0F87-42B0-AA5C-712C66886CBA%7D&amp;file=Tutor%20-%20Portf%C3%B3lio%20das%20Atividades%20Pr%C3%A1ticas_Ana%20Souza.docx&amp;action=default&amp;mobileredirect=true</t>
  </si>
  <si>
    <t>andre.oliveira@tutorpratica.uniasselvi.com.br</t>
  </si>
  <si>
    <t>Andre Oliveira</t>
  </si>
  <si>
    <t>Campina Grande/PB</t>
  </si>
  <si>
    <t>Análise físico-química da urina;Análise de sedimento urinário</t>
  </si>
  <si>
    <t>https://uniasselvi01-my.sharepoint.com/personal/elienai_cesar_uniasselvi_com_br1/Documents/Aplicativos/Microsoft%20Forms/Question%C3%A1rio%20sem%20t%C3%ADtulo/Pergunta/img20260319_09041047_Andre%20Oliveira.jpg</t>
  </si>
  <si>
    <t>https://uniasselvi01-my.sharepoint.com/personal/elienai_cesar_uniasselvi_com_br1/Documents/Aplicativos/Microsoft%20Forms/Question%C3%A1rio%20sem%20t%C3%ADtulo/Pergunta%201/Tutor%20-%20Portf%C3%B3lio%20das%20Atividades%20Pr%C3%A1ticas_Andre%20Oliveira.pdf</t>
  </si>
  <si>
    <t>caio.vieira@tutorpratica.uniasselvi.com.br</t>
  </si>
  <si>
    <t>Caio Vieira</t>
  </si>
  <si>
    <t>Videira/SC</t>
  </si>
  <si>
    <t>https://uniasselvi01-my.sharepoint.com/personal/elienai_cesar_uniasselvi_com_br1/Documents/Aplicativos/Microsoft%20Forms/Question%C3%A1rio%20sem%20t%C3%ADtulo/Envio%20da%20Lista%20de%20Presen%C3%A7a/Captura%20de%20tela%202026-03-19%20100145_Caio%20Vieira.png; https://uniasselvi01-my.sharepoint.com/personal/elienai_cesar_uniasselvi_com_br1/Documents/Aplicativos/Microsoft%20Forms/Question%C3%A1rio%20sem%20t%C3%ADtulo/Envio%20da%20Lista%20de%20Presen%C3%A7a/Captura%20de%20tela%202026-03-19%20100253_Caio%20Vieira.png</t>
  </si>
  <si>
    <t>https://uniasselvi01-my.sharepoint.com/personal/elienai_cesar_uniasselvi_com_br1/_layouts/15/Doc.aspx?sourcedoc=%7BE7E7274B-FFC0-4006-AFC9-69EF6B891A1C%7D&amp;file=1.%20portf%C3%B3lio%20curativo_Caio%20Vieira.docx&amp;action=default&amp;mobileredirect=true; https://uniasselvi01-my.sharepoint.com/personal/elienai_cesar_uniasselvi_com_br1/_layouts/15/Doc.aspx?sourcedoc=%7BE5056E60-F4F0-41DA-BF86-1DA3336E7F1C%7D&amp;file=2.%20Avalia%C3%A7%C3%A3o%20corporal%20%2B%20auscutas_Caio%20Vieira.docx&amp;action=default&amp;mobileredirect=true</t>
  </si>
  <si>
    <t>https://uniasselvi01-my.sharepoint.com/personal/elienai_cesar_uniasselvi_com_br1/Documents/Aplicativos/Microsoft%20Forms/Question%C3%A1rio%20sem%20t%C3%ADtulo/Envio%20da%20Lista%20de%20Presen%C3%A7a/Captura%20de%20tela%202026-03-19%20102007_Caio%20Vieira.png; https://uniasselvi01-my.sharepoint.com/personal/elienai_cesar_uniasselvi_com_br1/Documents/Aplicativos/Microsoft%20Forms/Question%C3%A1rio%20sem%20t%C3%ADtulo/Envio%20da%20Lista%20de%20Presen%C3%A7a/Captura%20de%20tela%202026-03-19%20102110_Caio%20Vieira.png</t>
  </si>
  <si>
    <t>https://uniasselvi01-my.sharepoint.com/personal/elienai_cesar_uniasselvi_com_br1/_layouts/15/Doc.aspx?sourcedoc=%7BBFC5F9B4-1AAC-41CF-A106-A4ADE40AF788%7D&amp;file=3.%20Medica%C3%A7%C3%A3o%20por%20CVC%20%2B%20Monitoriza%C3%A7%C3%A3o%20hemodina_Caio%20Vieira.docx&amp;action=default&amp;mobileredirect=true; https://uniasselvi01-my.sharepoint.com/personal/elienai_cesar_uniasselvi_com_br1/_layouts/15/Doc.aspx?sourcedoc=%7B10C617FF-A590-4256-AFA9-8533C134112C%7D&amp;file=4.%20Aspira%C3%A7%C3%A3o%20de%20vias%20a%C3%A9reas_Caio%20Vieira.docx&amp;action=default&amp;mobileredirect=true</t>
  </si>
  <si>
    <t>https://uniasselvi01-my.sharepoint.com/personal/elienai_cesar_uniasselvi_com_br1/Documents/Aplicativos/Microsoft%20Forms/Question%C3%A1rio%20sem%20t%C3%ADtulo/Envio%20da%20Lista%20de%20Presen%C3%A7a/Captura%20de%20tela%202026-03-19%20102641_Caio%20Vieira.png</t>
  </si>
  <si>
    <t>https://uniasselvi01-my.sharepoint.com/personal/elienai_cesar_uniasselvi_com_br1/_layouts/15/Doc.aspx?sourcedoc=%7BBBCF28A2-4C2D-4C11-878D-15FB5F703700%7D&amp;file=1.5%20-%20Trabalho%20de%20parto%20natural%20e%20emergencia_Caio%20Vieira.docx&amp;action=default&amp;mobileredirect=true</t>
  </si>
  <si>
    <t>Abordagem e cuidados de enfermagem em episódio de surto psicótico;Punção Venosa + Retirada de pontos;Triagem de paciente com transtorno neurológico e risco de suicídio</t>
  </si>
  <si>
    <t>https://uniasselvi01-my.sharepoint.com/personal/elienai_cesar_uniasselvi_com_br1/Documents/Aplicativos/Microsoft%20Forms/Question%C3%A1rio%20sem%20t%C3%ADtulo/Envio%20da%20Lista%20de%20Presen%C3%A7a/Presen%C3%A7a%2017.03.2026_Sara%20Amann.jpeg</t>
  </si>
  <si>
    <t>https://uniasselvi01-my.sharepoint.com/personal/elienai_cesar_uniasselvi_com_br1/Documents/Aplicativos/Microsoft%20Forms/Question%C3%A1rio%20sem%20t%C3%ADtulo/Envio%20do%20Portf%C3%B3lio%20em%20PDF/2026.03.17%20-%20Sa%C3%BAde%20Mental%20e%20Pun%C3%A7%C3%A3o%20Venosa_Sara%20Amann.pdf</t>
  </si>
  <si>
    <t>Revisão de Anatomorfofisiologia</t>
  </si>
  <si>
    <t>https://uniasselvi01-my.sharepoint.com/personal/elienai_cesar_uniasselvi_com_br1/Documents/Aplicativos/Microsoft%20Forms/Question%C3%A1rio%20sem%20t%C3%ADtulo/Envio%20da%20Lista%20de%20Presen%C3%A7a%201/IMG_1111_Lucas%20Medeiros.PNG</t>
  </si>
  <si>
    <t>https://uniasselvi01-my.sharepoint.com/personal/elienai_cesar_uniasselvi_com_br1/Documents/Aplicativos/Microsoft%20Forms/Question%C3%A1rio%20sem%20t%C3%ADtulo/Envio%20do%20Portf%C3%B3lio%20em%20PDF%201/movimento%20humano%201_Lucas%20Medeiros.pdf</t>
  </si>
  <si>
    <t>Estudo Prático da Biomecânica Articular e Muscular no Movimento Funcional Humano</t>
  </si>
  <si>
    <t>https://uniasselvi01-my.sharepoint.com/personal/elienai_cesar_uniasselvi_com_br1/Documents/Aplicativos/Microsoft%20Forms/Question%C3%A1rio%20sem%20t%C3%ADtulo/Envio%20da%20Lista%20de%20Presen%C3%A7a%201/IMG_1112_Lucas%20Medeiros.PNG</t>
  </si>
  <si>
    <t>https://uniasselvi01-my.sharepoint.com/personal/elienai_cesar_uniasselvi_com_br1/Documents/Aplicativos/Microsoft%20Forms/Question%C3%A1rio%20sem%20t%C3%ADtulo/Envio%20do%20Portf%C3%B3lio%20em%20PDF%201/movimento%20humano%202_Lucas%20Medeiros.pdf</t>
  </si>
  <si>
    <t>thecica.santos@tutorpratica.uniasselvi.com.br</t>
  </si>
  <si>
    <t>Thecica Santos</t>
  </si>
  <si>
    <t>Formosa/GO</t>
  </si>
  <si>
    <t>https://uniasselvi01-my.sharepoint.com/personal/elienai_cesar_uniasselvi_com_br1/Documents/Aplicativos/Microsoft%20Forms/Question%C3%A1rio%20sem%20t%C3%ADtulo/Envio%20da%20Lista%20de%20Presen%C3%A7a%205/IMG_3869_Thecica%20Santos.jpeg</t>
  </si>
  <si>
    <t>https://uniasselvi01-my.sharepoint.com/personal/elienai_cesar_uniasselvi_com_br1/_layouts/15/Doc.aspx?sourcedoc=%7B0FC8E26E-0FA6-4E18-8BC5-996F78CEEB3E%7D&amp;file=Tutor%20-%20Portfo%CC%81lio%20das%20Atividades%20Pra%CC%81ticas%20e_Thecica%20Santos.docx&amp;action=default&amp;mobileredirect=true</t>
  </si>
  <si>
    <t>https://uniasselvi01-my.sharepoint.com/personal/elienai_cesar_uniasselvi_com_br1/Documents/Aplicativos/Microsoft%20Forms/Question%C3%A1rio%20sem%20t%C3%ADtulo/Envio%20da%20Lista%20de%20Presen%C3%A7a%205/IMG_3872_Thecica%20Santos.jpeg</t>
  </si>
  <si>
    <t>https://uniasselvi01-my.sharepoint.com/personal/elienai_cesar_uniasselvi_com_br1/_layouts/15/Doc.aspx?sourcedoc=%7BFD6E0EAB-31B8-4394-9A86-3F43E549524A%7D&amp;file=Tutor%20-%20Portfo%CC%81lio%20das%20Atividades%20Pra%CC%81ticas%20m_Thecica%20Santos.docx&amp;action=default&amp;mobileredirect=true</t>
  </si>
  <si>
    <t>https://uniasselvi01-my.sharepoint.com/personal/elienai_cesar_uniasselvi_com_br1/Documents/Aplicativos/Microsoft%20Forms/Question%C3%A1rio%20sem%20t%C3%ADtulo/Envio%20da%20Lista%20de%20Presen%C3%A7a%205/IMG_3873_Thecica%20Santos.jpeg</t>
  </si>
  <si>
    <t>https://uniasselvi01-my.sharepoint.com/personal/elienai_cesar_uniasselvi_com_br1/_layouts/15/Doc.aspx?sourcedoc=%7BABA27D69-9694-4198-A255-C073503CE0A1%7D&amp;file=Tutor%20-%20Portfo%CC%81lio%20das%20Atividades%20Pra%CC%81ticas%20f_Thecica%20Santos.docx&amp;action=default&amp;mobileredirect=true</t>
  </si>
  <si>
    <t>Identificação de plantas daninhas de interesse agronômico</t>
  </si>
  <si>
    <t>https://uniasselvi01-my.sharepoint.com/personal/elienai_cesar_uniasselvi_com_br1/Documents/Aplicativos/Microsoft%20Forms/Question%C3%A1rio%20sem%20t%C3%ADtulo/Envio%20da%20Lista%20de%20Presen%C3%A7a%205/IMG_3874_Thecica%20Santos.jpeg</t>
  </si>
  <si>
    <t>https://uniasselvi01-my.sharepoint.com/personal/elienai_cesar_uniasselvi_com_br1/_layouts/15/Doc.aspx?sourcedoc=%7BF2BB9028-3C28-4642-8F6C-07648C8A03EE%7D&amp;file=Tutor%20-%20Portfo%CC%81lio%20das%20Atividades%20Pra%CC%81ticas%20P_Thecica%20Santos.docx&amp;action=default&amp;mobileredirect=true</t>
  </si>
  <si>
    <t>ester.borba@tutorpratica.uniasselvi.com.br</t>
  </si>
  <si>
    <t>Ester Borba</t>
  </si>
  <si>
    <t>https://uniasselvi01-my.sharepoint.com/personal/elienai_cesar_uniasselvi_com_br1/_layouts/15/Doc.aspx?sourcedoc=%7B62BA939E-0783-400A-8998-6DDD12194AE6%7D&amp;file=Tutor%20-%20Portfo%CC%81lio%20das%20Atividades%20Pra%CC%81ticas_Ester%20Borba.docx&amp;action=default&amp;mobileredirect=true</t>
  </si>
  <si>
    <t>https://uniasselvi01-my.sharepoint.com/personal/elienai_cesar_uniasselvi_com_br1/_layouts/15/Doc.aspx?sourcedoc=%7BA98B429A-4940-40DB-8BD5-1A1A7CE4120D%7D&amp;file=Tutor%20-%20Portfo%CC%81lio%20das%20Atividades%20Pra%CC%81ticas_Ester%20Borba.docx&amp;action=default&amp;mobileredirect=true</t>
  </si>
  <si>
    <t>karine.borges@tutorpratica.uniasselvi.com.br</t>
  </si>
  <si>
    <t>Karine Borges</t>
  </si>
  <si>
    <t>https://uniasselvi01-my.sharepoint.com/personal/elienai_cesar_uniasselvi_com_br1/Documents/Aplicativos/Microsoft%20Forms/Question%C3%A1rio%20sem%20t%C3%ADtulo/Envio%20da%20Lista%20de%20Presen%C3%A7a/Fundamentos%201802_Karine%20Borges.pdf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</si>
  <si>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200_Karine%20Borges.pdf</t>
  </si>
  <si>
    <t>https://uniasselvi01-my.sharepoint.com/personal/elienai_cesar_uniasselvi_com_br1/Documents/Aplicativos/Microsoft%20Forms/Question%C3%A1rio%20sem%20t%C3%ADtulo/Envio%20da%20Lista%20de%20Presen%C3%A7a/Terapia%20intensiva%202502_Karine%20Borges.pdf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</si>
  <si>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200_Karine%20Borges%201.pdf</t>
  </si>
  <si>
    <t>https://uniasselvi01-my.sharepoint.com/personal/elienai_cesar_uniasselvi_com_br1/Documents/Aplicativos/Microsoft%20Forms/Question%C3%A1rio%20sem%20t%C3%ADtulo/Envio%20da%20Lista%20de%20Presen%C3%A7a/Terapia%20intensiva%202802_Karine%20Borges.pdf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</si>
  <si>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200_Karine%20Borges%202.pdf</t>
  </si>
  <si>
    <t>https://uniasselvi01-my.sharepoint.com/personal/elienai_cesar_uniasselvi_com_br1/Documents/Aplicativos/Microsoft%20Forms/Question%C3%A1rio%20sem%20t%C3%ADtulo/Envio%20da%20Lista%20de%20Presen%C3%A7a/Centro%20obstetrico%200703_Karine%20Borges.pdf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</si>
  <si>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200_Karine%20Borges%203.pdf</t>
  </si>
  <si>
    <t>https://uniasselvi01-my.sharepoint.com/personal/elienai_cesar_uniasselvi_com_br1/Documents/Aplicativos/Microsoft%20Forms/Question%C3%A1rio%20sem%20t%C3%ADtulo/Envio%20da%20Lista%20de%20Presen%C3%A7a/Centro%20obstetrico%201103_Karine%20Borges.pdf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</si>
  <si>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200_Karine%20Borges%204.pdf</t>
  </si>
  <si>
    <t>https://uniasselvi01-my.sharepoint.com/personal/elienai_cesar_uniasselvi_com_br1/Documents/Aplicativos/Microsoft%20Forms/Question%C3%A1rio%20sem%20t%C3%ADtulo/Envio%20da%20Lista%20de%20Presen%C3%A7a/Centro%20obstetrico%201403_Karine%20Borges.pdf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</si>
  <si>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200_Karine%20Borges%205.pdf</t>
  </si>
  <si>
    <t>Tipagem sanguínea em lâminas</t>
  </si>
  <si>
    <t>https://uniasselvi01-my.sharepoint.com/personal/elienai_cesar_uniasselvi_com_br1/Documents/Aplicativos/Microsoft%20Forms/Question%C3%A1rio%20sem%20t%C3%ADtulo/Pergunta/WhatsApp%20Scan%202026-03-19%20at%2015.51.50_Leonardo%20Lage.pdf</t>
  </si>
  <si>
    <t>https://uniasselvi01-my.sharepoint.com/personal/elienai_cesar_uniasselvi_com_br1/Documents/Aplicativos/Microsoft%20Forms/Question%C3%A1rio%20sem%20t%C3%ADtulo/Pergunta%201/Portf%C3%B3lio%20das%20Atividades%20Pr%C3%A1ticas%20-Tipagem%20Sa_Leonardo%20Lage.pdf</t>
  </si>
  <si>
    <t>https://uniasselvi01-my.sharepoint.com/personal/elienai_cesar_uniasselvi_com_br1/Documents/Aplicativos/Microsoft%20Forms/Question%C3%A1rio%20sem%20t%C3%ADtulo/Envio%20da%20Lista%20de%20Presen%C3%A7a/Cuidados%20paliativos%201403_Karine%20Borges.pdf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</si>
  <si>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200_Karine%20Borges%206.pdf</t>
  </si>
  <si>
    <t>https://uniasselvi01-my.sharepoint.com/personal/elienai_cesar_uniasselvi_com_br1/Documents/Aplicativos/Microsoft%20Forms/Question%C3%A1rio%20sem%20t%C3%ADtulo/Envio%20da%20Lista%20de%20Presen%C3%A7a/Cuidados%20paliativos%201803_Karine%20Borges.pdf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</si>
  <si>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200_Karine%20Borges%207.pdf</t>
  </si>
  <si>
    <t>https://uniasselvi01-my.sharepoint.com/personal/elienai_cesar_uniasselvi_com_br1/Documents/Aplicativos/Microsoft%20Forms/Question%C3%A1rio%20sem%20t%C3%ADtulo/Envio%20da%20Lista%20de%20Presen%C3%A7a/Fundamentos%202102_Karine%20Borges.pdf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</si>
  <si>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200_Karine%20Borges%208.pdf</t>
  </si>
  <si>
    <t>https://uniasselvi01-my.sharepoint.com/personal/elienai_cesar_uniasselvi_com_br1/_layouts/15/Doc.aspx?sourcedoc=%7B56B9B2E2-C6EE-4EBE-885F-FE3403A440AE%7D&amp;file=Tutor%20-%20Portfo%CC%81lio%20das%20Atividades%20Pra%CC%81ticas_Ester%20Borba%201.docx&amp;action=default&amp;mobileredirect=true</t>
  </si>
  <si>
    <t>https://uniasselvi01-my.sharepoint.com/personal/elienai_cesar_uniasselvi_com_br1/_layouts/15/Doc.aspx?sourcedoc=%7BF346CFD9-80EE-4045-B7CA-BEE22F11B8BD%7D&amp;file=Tutor%20-%20Portfo%CC%81lio%20das%20Atividades%20Pra%CC%81ticas_Ester%20Borba%201.docx&amp;action=default&amp;mobileredirect=true</t>
  </si>
  <si>
    <t>https://uniasselvi01-my.sharepoint.com/personal/elienai_cesar_uniasselvi_com_br1/Documents/Aplicativos/Microsoft%20Forms/Question%C3%A1rio%20sem%20t%C3%ADtulo/Envio%20da%20Lista%20de%20Presen%C3%A7a/lista_presenca_25_fev_Clademir%20Silva.pdf</t>
  </si>
  <si>
    <t>https://uniasselvi01-my.sharepoint.com/personal/elienai_cesar_uniasselvi_com_br1/Documents/Aplicativos/Microsoft%20Forms/Question%C3%A1rio%20sem%20t%C3%ADtulo/Envio%20do%20Portf%C3%B3lio%20em%20PDF/lista_presenca_25_fev_Clademir%20Silva.pdf</t>
  </si>
  <si>
    <t>https://uniasselvi01-my.sharepoint.com/personal/elienai_cesar_uniasselvi_com_br1/Documents/Aplicativos/Microsoft%20Forms/Question%C3%A1rio%20sem%20t%C3%ADtulo/Envio%20da%20Lista%20de%20Presen%C3%A7a/lista_presenca_25_fev_Clademir%20Silva%201.pdf</t>
  </si>
  <si>
    <t>https://uniasselvi01-my.sharepoint.com/personal/elienai_cesar_uniasselvi_com_br1/Documents/Aplicativos/Microsoft%20Forms/Question%C3%A1rio%20sem%20t%C3%ADtulo/Envio%20do%20Portf%C3%B3lio%20em%20PDF/Portifolio_academicos_admCVC_Clademir%20Silva.pdf</t>
  </si>
  <si>
    <t>https://uniasselvi01-my.sharepoint.com/personal/elienai_cesar_uniasselvi_com_br1/Documents/Aplicativos/Microsoft%20Forms/Question%C3%A1rio%20sem%20t%C3%ADtulo/Envio%20da%20Lista%20de%20Presen%C3%A7a/Lista%20presen%C3%A7a%2004.03.26_Eliana%20Goncalves.jpeg</t>
  </si>
  <si>
    <t>https://uniasselvi01-my.sharepoint.com/personal/elienai_cesar_uniasselvi_com_br1/_layouts/15/Doc.aspx?sourcedoc=%7BEDBBB0E8-F978-4E6F-AA24-123F47B16DDC%7D&amp;file=04.03.26%20Aspira%C3%A7%C3%A3o%20de%20Vias%20A%C3%A9reas%20(com%20e%20sem_Eliana%20Goncalves.docx&amp;action=default&amp;mobileredirect=true; https://uniasselvi01-my.sharepoint.com/personal/elienai_cesar_uniasselvi_com_br1/_layouts/15/Doc.aspx?sourcedoc=%7BF960FB8D-F38B-4FD6-95F1-1AC8A4BFFD96%7D&amp;file=04.03.26%20Monitora%C3%A7%C3%A3o%20Hemodin%C3%A2mica%20do%20Paciente_Eliana%20Goncalves.docx&amp;action=default&amp;mobileredirect=true; https://uniasselvi01-my.sharepoint.com/personal/elienai_cesar_uniasselvi_com_br1/_layouts/15/Doc.aspx?sourcedoc=%7B54324367-7119-4BA9-9B10-FC858FDE29D3%7D&amp;file=04.03.26%20%20Adm%20med%20CVC_Eliana%20Goncalves.docx&amp;action=default&amp;mobileredirect=true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</si>
  <si>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https://uniasselvi01-my.sharepoint.com/personal/elienai_cesar_uniasselvi_com_br1/Documents/Aplicativos/Microsoft%20Forms/Question%C3%A1rio%20sem%20t%C3%ADtulo/Envio%20da%20Lista%20de%20Presen%C3%A7a/Lista%20de%20presen%C3%A7a%2011.03.26_Eliana%20Goncalves.jpeg</t>
  </si>
  <si>
    <t>https://uniasselvi01-my.sharepoint.com/personal/elienai_cesar_uniasselvi_com_br1/_layouts/15/Doc.aspx?sourcedoc=%7B289E3858-E9E4-42AB-99B2-6F4C819DAF2E%7D&amp;file=11.03.26%20Emerg%C3%AAncias%20Obst%C3%A9tricas_Eliana%20Goncalves.docx&amp;action=default&amp;mobileredirect=true; https://uniasselvi01-my.sharepoint.com/personal/elienai_cesar_uniasselvi_com_br1/_layouts/15/Doc.aspx?sourcedoc=%7B4A84833B-1CB4-4BBB-8936-51F09013CB04%7D&amp;file=11.03.26%20Trabalho%20de%20parto%20natural_Eliana%20Goncalves.docx&amp;action=default&amp;mobileredirect=true</t>
  </si>
  <si>
    <t>Abordagem e cuidados de enfermagem em episódio de surto psicótico;Triagem de paciente com transtorno neurológico e risco de suicídio</t>
  </si>
  <si>
    <t>https://uniasselvi01-my.sharepoint.com/personal/elienai_cesar_uniasselvi_com_br1/Documents/Aplicativos/Microsoft%20Forms/Question%C3%A1rio%20sem%20t%C3%ADtulo/Envio%20da%20Lista%20de%20Presen%C3%A7a/Lista%20de%20presen%C3%A7a%2018.03.26_Eliana%20Goncalves.jpeg</t>
  </si>
  <si>
    <t>https://uniasselvi01-my.sharepoint.com/personal/elienai_cesar_uniasselvi_com_br1/_layouts/15/Doc.aspx?sourcedoc=%7B664D7C15-C915-4306-884B-5E9AF334D808%7D&amp;file=18.03.26%20Relat%C3%B3rio%20AE%20SD%20Mental%20surto%20psic%C3%B3ti_Eliana%20Goncalves.docx&amp;action=default&amp;mobileredirect=true; https://uniasselvi01-my.sharepoint.com/personal/elienai_cesar_uniasselvi_com_br1/_layouts/15/Doc.aspx?sourcedoc=%7B6E804940-46AD-4C8A-9489-84F6B0AC0A3B%7D&amp;file=18.03.26%20Relat%C3%B3rio%20SM%20triagem%20pc%20transt.%20neur_Eliana%20Goncalves.docx&amp;action=default&amp;mobileredirect=true</t>
  </si>
  <si>
    <t>Abordagem e cuidados de enfermagem em episódio de surto psicótico;Triagem de paciente com transtorno neurológico e risco de suicídio;Punção e manutenção de cateter de longa permanência + Troca de bolsa de ostomia</t>
  </si>
  <si>
    <t>https://uniasselvi01-my.sharepoint.com/personal/elienai_cesar_uniasselvi_com_br1/Documents/Aplicativos/Microsoft%20Forms/Question%C3%A1rio%20sem%20t%C3%ADtulo/Envio%20da%20Lista%20de%20Presen%C3%A7a/WhatsApp%20Image%202026-03-19%20at%2020.57.51_Conceicao%20Delphino.jpeg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</si>
  <si>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Uniasselvi_Conceicao%20Delphino%203.pdf; https://uniasselvi01-my.sharepoint.com/personal/elienai_cesar_uniasselvi_com_br1/Documents/Aplicativos/Microsoft%20Forms/Question%C3%A1rio%20sem%20t%C3%ADtulo/Envio%20do%20Portf%C3%B3lio%20em%20PDF/Portf%C3%B3lio%20das%20Atividades%20Pr%C3%A1ticas%20Uniasselvi%202_Conceicao%20Delphino.pdf; https://uniasselvi01-my.sharepoint.com/personal/elienai_cesar_uniasselvi_com_br1/Documents/Aplicativos/Microsoft%20Forms/Question%C3%A1rio%20sem%20t%C3%ADtulo/Envio%20do%20Portf%C3%B3lio%20em%20PDF/WhatsApp%20Image%202026-03-19%20at%2020.50.54_Conceicao%20Delphino.jpeg; https://uniasselvi01-my.sharepoint.com/personal/elienai_cesar_uniasselvi_com_br1/Documents/Aplicativos/Microsoft%20Forms/Question%C3%A1rio%20sem%20t%C3%ADtulo/Envio%20do%20Portf%C3%B3lio%20em%20PDF/WhatsApp%20Image%202026-03-19%20at%2020.50.54%20(1)_Conceicao%20Delphino.jpeg; https://uniasselvi01-my.sharepoint.com/personal/elienai_cesar_uniasselvi_com_br1/Documents/Aplicativos/Microsoft%20Forms/Question%C3%A1rio%20sem%20t%C3%ADtulo/Envio%20do%20Portf%C3%B3lio%20em%20PDF/WhatsApp%20Image%202026-03-19%20at%2020.50.55_Conceicao%20Delphino.jpeg</t>
  </si>
  <si>
    <t>antonieta.graupe@regentedepolo.uniasselvi.com.br</t>
  </si>
  <si>
    <t>Antonieta Graupe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</si>
  <si>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de_Antonieta%20Graupe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</si>
  <si>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de_Antonieta%20Graupe.pdf</t>
  </si>
  <si>
    <t>https://uniasselvi01-my.sharepoint.com/personal/elienai_cesar_uniasselvi_com_br1/Documents/Aplicativos/Microsoft%20Forms/Question%C3%A1rio%20sem%20t%C3%ADtulo/Envio%20da%20Lista%20de%20Presen%C3%A7a/Administra%C3%A7%C3%A3o%20de%20medica%C3%A7%C3%A3o%20em%20cateter%20central_Antonieta%20Graupe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</si>
  <si>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dm_Antonieta%20Graupe.pdf</t>
  </si>
  <si>
    <t>https://uniasselvi01-my.sharepoint.com/personal/elienai_cesar_uniasselvi_com_br1/Documents/Aplicativos/Microsoft%20Forms/Question%C3%A1rio%20sem%20t%C3%ADtulo/Envio%20da%20Lista%20de%20Presen%C3%A7a/Tutor%20-%20Portf%C3%B3lio%20das%20Atividades%20Pr%C3%A1ticas%20em_Antonieta%20Graupe.pdf</t>
  </si>
  <si>
    <t>https://uniasselvi01-my.sharepoint.com/personal/elienai_cesar_uniasselvi_com_br1/Documents/Aplicativos/Microsoft%20Forms/Question%C3%A1rio%20sem%20t%C3%ADtulo/Envio%20do%20Portf%C3%B3lio%20em%20PDF/rabalho%20de%20parto%20natural%20+%20Emerg%C3%AAncias%20obst%C3%A9t_Antonieta%20Graupe.pdf</t>
  </si>
  <si>
    <t>antonio.sales@tutorpratica.uniasselvi.com.br</t>
  </si>
  <si>
    <t>Antonio Sales</t>
  </si>
  <si>
    <t>Canindé/CE</t>
  </si>
  <si>
    <t>https://uniasselvi01-my.sharepoint.com/personal/elienai_cesar_uniasselvi_com_br1/Documents/Aplicativos/Microsoft%20Forms/Question%C3%A1rio%20sem%20t%C3%ADtulo/Envio%20da%20Lista%20de%20Presen%C3%A7a%201/WhatsApp%20Image%202026-03-19%20at%2023.08.48_Antonio%20Sales.jpeg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</si>
  <si>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20-%20E_Antonio%20Sales.pdf</t>
  </si>
  <si>
    <t>https://uniasselvi01-my.sharepoint.com/personal/elienai_cesar_uniasselvi_com_br1/Documents/Aplicativos/Microsoft%20Forms/Question%C3%A1rio%20sem%20t%C3%ADtulo/Envio%20da%20Lista%20de%20Presen%C3%A7a%201/WhatsApp%20Image%202026-03-19%20at%2023.48.58_Antonio%20Sales.jpeg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</si>
  <si>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ob_Antonio%20Sales.pdf</t>
  </si>
  <si>
    <t>https://uniasselvi01-my.sharepoint.com/personal/elienai_cesar_uniasselvi_com_br1/Documents/Aplicativos/Microsoft%20Forms/Question%C3%A1rio%20sem%20t%C3%ADtulo/Envio%20da%20Lista%20de%20Presen%C3%A7a%201/WhatsApp%20Image%202026-03-20%20at%2000.01.13_Antonio%20Sales.jpeg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</si>
  <si>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as_Antonio%20Sales.pdf</t>
  </si>
  <si>
    <t>https://uniasselvi01-my.sharepoint.com/personal/elienai_cesar_uniasselvi_com_br1/Documents/Aplicativos/Microsoft%20Forms/Question%C3%A1rio%20sem%20t%C3%ADtulo/Envio%20da%20Lista%20de%20Presen%C3%A7a%201/WhatsApp%20Image%202026-03-20%20at%2000.24.54_Antonio%20Sales.jpeg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</si>
  <si>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em_Antonio%20Sales.pdf</t>
  </si>
  <si>
    <t>https://uniasselvi01-my.sharepoint.com/personal/elienai_cesar_uniasselvi_com_br1/Documents/Aplicativos/Microsoft%20Forms/Question%C3%A1rio%20sem%20t%C3%ADtulo/Envio%20da%20Lista%20de%20Presen%C3%A7a%201/WhatsApp%20Image%202026-03-20%20at%2000.37.07_Antonio%20Sales.jpeg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</si>
  <si>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Pro_Antonio%20Sales.pdf</t>
  </si>
  <si>
    <t>https://uniasselvi01-my.sharepoint.com/personal/elienai_cesar_uniasselvi_com_br1/Documents/Aplicativos/Microsoft%20Forms/Question%C3%A1rio%20sem%20t%C3%ADtulo/Envio%20da%20Lista%20de%20Presen%C3%A7a/Curativo_Antonieta%20Graupe.pdf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</si>
  <si>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de_Antonieta%20Graupe%201.pdf</t>
  </si>
  <si>
    <t>https://uniasselvi01-my.sharepoint.com/personal/elienai_cesar_uniasselvi_com_br1/Documents/Aplicativos/Microsoft%20Forms/Question%C3%A1rio%20sem%20t%C3%ADtulo/Envio%20da%20Lista%20de%20Presen%C3%A7a/lista%20de%20presenca%20de%20O.2%20Abordagem%20e%20cuidados_Antonieta%20Graupe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</si>
  <si>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O_Antonieta%20Graupe.pdf</t>
  </si>
  <si>
    <t>ENGMAKER - Introdução a Caligrafia Técnica dentro das normas da ABNT (NBR 6492). +  Introdução aos Primeiros Passos</t>
  </si>
  <si>
    <t>https://uniasselvi01-my.sharepoint.com/personal/elienai_cesar_uniasselvi_com_br1/Documents/Aplicativos/Microsoft%20Forms/Question%C3%A1rio%20sem%20t%C3%ADtulo/Envio%20da%20Lista%20de%20Presen%C3%A7a%203/MODELO_Lista%20de%20Presen%C3%A7a%20das%20Pr%C3%A1ticas_Gabriela%20Santos%204.pdf</t>
  </si>
  <si>
    <t>https://uniasselvi01-my.sharepoint.com/personal/elienai_cesar_uniasselvi_com_br1/Documents/Aplicativos/Microsoft%20Forms/Question%C3%A1rio%20sem%20t%C3%ADtulo/Envio%20do%20Portf%C3%B3lio%20em%20PDF%203/Portf%C3%B3lio%20Introdu%C3%A7%C3%A3o%20a%20Caligrafia%20T%C3%A9cnica%20den_Gabriela%20Santos.pdf</t>
  </si>
  <si>
    <t>Revisão de Anatomorfofisiologia;Estudo Prático da Biomecânica Articular e Muscular no Movimento Funcional Humano</t>
  </si>
  <si>
    <t>https://uniasselvi01-my.sharepoint.com/personal/elienai_cesar_uniasselvi_com_br1/_layouts/15/Doc.aspx?sourcedoc=%7BE28BF74F-D70F-450B-87F4-74ECFE60CF8F%7D&amp;file=Lista%20de%20Presen%C3%A7a%20Movimento%20Funcional%20Humano_Vanessa%20Varjao.docx&amp;action=default&amp;mobileredirect=true</t>
  </si>
  <si>
    <t>https://uniasselvi01-my.sharepoint.com/personal/elienai_cesar_uniasselvi_com_br1/_layouts/15/Doc.aspx?sourcedoc=%7BDE2B73FB-257B-41BF-8EA6-C741BC39BA94%7D&amp;file=Portf%C3%B3lio%20Movimento%20Funcional_Vanessa%20Varjao.docx&amp;action=default&amp;mobileredirect=true</t>
  </si>
  <si>
    <t>Avaliação antropométrico de adulto e de acamado</t>
  </si>
  <si>
    <t>https://uniasselvi01-my.sharepoint.com/personal/elienai_cesar_uniasselvi_com_br1/Documents/Aplicativos/Microsoft%20Forms/Question%C3%A1rio%20sem%20t%C3%ADtulo/Envio%20da%20Lista%20de%20Presen%C3%A7a%202/IMG_20260319_200853_Laura%20Volpato.jpg</t>
  </si>
  <si>
    <t>https://uniasselvi01-my.sharepoint.com/personal/elienai_cesar_uniasselvi_com_br1/_layouts/15/Doc.aspx?sourcedoc=%7BB61DBBC5-4CF0-4844-8155-C6ECAD3E8C14%7D&amp;file=9%20Portf%C3%B3lio%20das%20Atividades%20Pr%C3%A1ticas_Laura%20Volpato.docx&amp;action=default&amp;mobileredirect=true</t>
  </si>
  <si>
    <t>Anamnese nutricional do adulto e Diagnóstico nutricional</t>
  </si>
  <si>
    <t>https://uniasselvi01-my.sharepoint.com/personal/elienai_cesar_uniasselvi_com_br1/Documents/Aplicativos/Microsoft%20Forms/Question%C3%A1rio%20sem%20t%C3%ADtulo/Envio%20da%20Lista%20de%20Presen%C3%A7a%202/IMG_20260319_201854_Laura%20Volpato.jpg</t>
  </si>
  <si>
    <t>https://uniasselvi01-my.sharepoint.com/personal/elienai_cesar_uniasselvi_com_br1/_layouts/15/Doc.aspx?sourcedoc=%7B8C4AE348-15F2-4BB1-843D-923A83D92766%7D&amp;file=10%20Portf%C3%B3lio%20das%20Atividades%20Pr%C3%A1ticas_Laura%20Volpato.docx&amp;action=default&amp;mobileredirect=true</t>
  </si>
  <si>
    <t>https://uniasselvi01-my.sharepoint.com/personal/elienai_cesar_uniasselvi_com_br1/Documents/Aplicativos/Microsoft%20Forms/Question%C3%A1rio%20sem%20t%C3%ADtulo/Envio%20da%20Lista%20de%20Presen%C3%A7a%205/Lista%20de%20Presenca%20-%20Plantas%20daninhas_Marla%20Souza.pdf</t>
  </si>
  <si>
    <t>https://uniasselvi01-my.sharepoint.com/personal/elienai_cesar_uniasselvi_com_br1/Documents/Aplicativos/Microsoft%20Forms/Question%C3%A1rio%20sem%20t%C3%ADtulo/Envio%20do%20Portf%C3%B3lio%20em%20PDF%205/Aula%20Pratica%20-%20Plantas%20daninhas_Marla%20Souza.pdf</t>
  </si>
  <si>
    <t>ana.santos@tutorpratica.uniasselvi.com.br</t>
  </si>
  <si>
    <t>Ana Santos</t>
  </si>
  <si>
    <t>Belo Horizonte/MG - Shopping Estação BH</t>
  </si>
  <si>
    <t>https://uniasselvi01-my.sharepoint.com/personal/elienai_cesar_uniasselvi_com_br1/Documents/Aplicativos/Microsoft%20Forms/Question%C3%A1rio%20sem%20t%C3%ADtulo/Envio%20da%20Lista%20de%20Presen%C3%A7a%205/WhatsApp%20Image%202026-03-20%20at%2014.29.12_Ana%20Santos.jpeg</t>
  </si>
  <si>
    <t>https://uniasselvi01-my.sharepoint.com/personal/elienai_cesar_uniasselvi_com_br1/Documents/Aplicativos/Microsoft%20Forms/Question%C3%A1rio%20sem%20t%C3%ADtulo/Envio%20do%20Portf%C3%B3lio%20em%20PDF%205/Relato%CC%81rio%20Aula%20Pratica%20Agronomia%20_Microbiolo_Ana%20Santos.pdf</t>
  </si>
  <si>
    <t>https://uniasselvi01-my.sharepoint.com/personal/elienai_cesar_uniasselvi_com_br1/Documents/Aplicativos/Microsoft%20Forms/Question%C3%A1rio%20sem%20t%C3%ADtulo/Envio%20da%20Lista%20de%20Presen%C3%A7a%205/Presenca_fertilidade_Ana%20Santos.jpeg</t>
  </si>
  <si>
    <t>https://uniasselvi01-my.sharepoint.com/personal/elienai_cesar_uniasselvi_com_br1/Documents/Aplicativos/Microsoft%20Forms/Question%C3%A1rio%20sem%20t%C3%ADtulo/Envio%20do%20Portf%C3%B3lio%20em%20PDF%205/Relato%CC%81rio%20Aula%20Pratica%20Agronomia%20_Fertilidad_Ana%20Santos.pdf</t>
  </si>
  <si>
    <t>https://uniasselvi01-my.sharepoint.com/personal/elienai_cesar_uniasselvi_com_br1/Documents/Aplicativos/Microsoft%20Forms/Question%C3%A1rio%20sem%20t%C3%ADtulo/Envio%20da%20Lista%20de%20Presen%C3%A7a%202/1_Izabela%20Biela.jpeg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</si>
  <si>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%20-%20Avalia%C3%A7%C3%A3o_Izabela%20Biela.pdf</t>
  </si>
  <si>
    <t>https://uniasselvi01-my.sharepoint.com/personal/elienai_cesar_uniasselvi_com_br1/Documents/Aplicativos/Microsoft%20Forms/Question%C3%A1rio%20sem%20t%C3%ADtulo/Envio%20da%20Lista%20de%20Presen%C3%A7a%202/2_Izabela%20Biela.jpeg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</si>
  <si>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%20-%20Anamnese_Izabela%20Biela.pdf</t>
  </si>
  <si>
    <t>https://uniasselvi01-my.sharepoint.com/personal/elienai_cesar_uniasselvi_com_br1/Documents/Aplicativos/Microsoft%20Forms/Question%C3%A1rio%20sem%20t%C3%ADtulo/Envio%20da%20Lista%20de%20Presen%C3%A7a/Lista%20presen%C3%A7a%20-%20curativo+ausculta%20cardiaca%20e_Mariana%20Correia.jpeg</t>
  </si>
  <si>
    <t>https://uniasselvi01-my.sharepoint.com/personal/elienai_cesar_uniasselvi_com_br1/Documents/Aplicativos/Microsoft%20Forms/Question%C3%A1rio%20sem%20t%C3%ADtulo/Envio%20do%20Portf%C3%B3lio%20em%20PDF/Portf%C3%B3lio%20Curativo+Asculta%20Cardiaca+%20Ausculta_Mariana%20Correia.pdf</t>
  </si>
  <si>
    <t>janaina.pulgatti@tutorpratica.uniasselvi.com.br</t>
  </si>
  <si>
    <t>Janaina Pulgatti</t>
  </si>
  <si>
    <t>https://uniasselvi01-my.sharepoint.com/personal/elienai_cesar_uniasselvi_com_br1/Documents/Aplicativos/Microsoft%20Forms/Question%C3%A1rio%20sem%20t%C3%ADtulo/Envio%20da%20Lista%20de%20Presen%C3%A7a%202/2_Janaina%20Pulgatti.jpeg</t>
  </si>
  <si>
    <t>https://uniasselvi01-my.sharepoint.com/personal/elienai_cesar_uniasselvi_com_br1/Documents/Aplicativos/Microsoft%20Forms/Question%C3%A1rio%20sem%20t%C3%ADtulo/Envio%20do%20Portf%C3%B3lio%20em%20PDF%202/24.02%20-%20Relat%C3%B3rio%20aula%20Avalia%C3%A7%C3%A3o%20Nutricional_Janaina%20Pulgatti.pdf</t>
  </si>
  <si>
    <t>ENGMAKER - Representações do Desenho Técnico + Cotas e Escalas</t>
  </si>
  <si>
    <t>https://uniasselvi01-my.sharepoint.com/personal/elienai_cesar_uniasselvi_com_br1/Documents/Aplicativos/Microsoft%20Forms/Question%C3%A1rio%20sem%20t%C3%ADtulo/Envio%20da%20Lista%20de%20Presen%C3%A7a%203/MODELO_Lista%20de%20Presen%C3%A7a%20das%20Pr%C3%A1ticas_Gabriela%20Santos%205.pdf</t>
  </si>
  <si>
    <t>https://uniasselvi01-my.sharepoint.com/personal/elienai_cesar_uniasselvi_com_br1/Documents/Aplicativos/Microsoft%20Forms/Question%C3%A1rio%20sem%20t%C3%ADtulo/Envio%20do%20Portf%C3%B3lio%20em%20PDF%203/Portfolio%20Representa%C3%A7%C3%B5es%20do%20Desenho%20T%C3%A9cnico%20+_Gabriela%20Santos.pdf</t>
  </si>
  <si>
    <t>https://uniasselvi01-my.sharepoint.com/personal/elienai_cesar_uniasselvi_com_br1/Documents/Aplicativos/Microsoft%20Forms/Question%C3%A1rio%20sem%20t%C3%ADtulo/Envio%20da%20Lista%20de%20Presen%C3%A7a%202/8_Janaina%20Pulgatti.jpeg</t>
  </si>
  <si>
    <t>https://uniasselvi01-my.sharepoint.com/personal/elienai_cesar_uniasselvi_com_br1/Documents/Aplicativos/Microsoft%20Forms/Question%C3%A1rio%20sem%20t%C3%ADtulo/Envio%20do%20Portf%C3%B3lio%20em%20PDF%202/24.02%20-%20Relat%C3%B3rio%20aula%20Avalia%C3%A7%C3%A3o%20Nutricional_Janaina%20Pulgatti%201.pdf</t>
  </si>
  <si>
    <t>https://uniasselvi01-my.sharepoint.com/personal/elienai_cesar_uniasselvi_com_br1/Documents/Aplicativos/Microsoft%20Forms/Question%C3%A1rio%20sem%20t%C3%ADtulo/Envio%20da%20Lista%20de%20Presen%C3%A7a%202/5_Janaina%20Pulgatti.jpeg</t>
  </si>
  <si>
    <t>https://uniasselvi01-my.sharepoint.com/personal/elienai_cesar_uniasselvi_com_br1/Documents/Aplicativos/Microsoft%20Forms/Question%C3%A1rio%20sem%20t%C3%ADtulo/Envio%20do%20Portf%C3%B3lio%20em%20PDF%202/03.03%20-%20Avalia%C3%A7%C3%A3o%20Nutricional%20da%20Gestante%20II_Janaina%20Pulgatti.pdf</t>
  </si>
  <si>
    <t>https://uniasselvi01-my.sharepoint.com/personal/elienai_cesar_uniasselvi_com_br1/Documents/Aplicativos/Microsoft%20Forms/Question%C3%A1rio%20sem%20t%C3%ADtulo/Envio%20da%20Lista%20de%20Presen%C3%A7a%202/1_Janaina%20Pulgatti.jpeg</t>
  </si>
  <si>
    <t>https://uniasselvi01-my.sharepoint.com/personal/elienai_cesar_uniasselvi_com_br1/Documents/Aplicativos/Microsoft%20Forms/Question%C3%A1rio%20sem%20t%C3%ADtulo/Envio%20do%20Portf%C3%B3lio%20em%20PDF%202/03.03%20-%20Avalia%C3%A7%C3%A3o%20Nutricional%20da%20Gestante%20II_Janaina%20Pulgatti%201.pdf</t>
  </si>
  <si>
    <t>https://uniasselvi01-my.sharepoint.com/personal/elienai_cesar_uniasselvi_com_br1/Documents/Aplicativos/Microsoft%20Forms/Question%C3%A1rio%20sem%20t%C3%ADtulo/Envio%20da%20Lista%20de%20Presen%C3%A7a%202/1_Janaina%20Pulgatti%201.jpeg</t>
  </si>
  <si>
    <t>https://uniasselvi01-my.sharepoint.com/personal/elienai_cesar_uniasselvi_com_br1/Documents/Aplicativos/Microsoft%20Forms/Question%C3%A1rio%20sem%20t%C3%ADtulo/Envio%20do%20Portf%C3%B3lio%20em%20PDF%202/10.03%20-%20Relat%C3%B3rio%20palestra%20Biosseguran%C3%A7a%20(Die_Janaina%20Pulgatti.pdf</t>
  </si>
  <si>
    <t>Estudo de caso dirigido  - relacionado ao caso destacado na receita preparada.</t>
  </si>
  <si>
    <t>https://uniasselvi01-my.sharepoint.com/personal/elienai_cesar_uniasselvi_com_br1/Documents/Aplicativos/Microsoft%20Forms/Question%C3%A1rio%20sem%20t%C3%ADtulo/Envio%20da%20Lista%20de%20Presen%C3%A7a%202/1_Janaina%20Pulgatti%202.jpeg</t>
  </si>
  <si>
    <t>https://uniasselvi01-my.sharepoint.com/personal/elienai_cesar_uniasselvi_com_br1/Documents/Aplicativos/Microsoft%20Forms/Question%C3%A1rio%20sem%20t%C3%ADtulo/Envio%20do%20Portf%C3%B3lio%20em%20PDF%202/10.03%20-%20Relat%C3%B3rio%20palestra%20Biosseguran%C3%A7a%20(Est_Janaina%20Pulgatti.pdf</t>
  </si>
  <si>
    <t>https://uniasselvi01-my.sharepoint.com/personal/elienai_cesar_uniasselvi_com_br1/Documents/Aplicativos/Microsoft%20Forms/Question%C3%A1rio%20sem%20t%C3%ADtulo/Envio%20da%20Lista%20de%20Presen%C3%A7a/lista%20presen%C3%A7a%201_Marilene%20Silva.jpg</t>
  </si>
  <si>
    <t>https://uniasselvi01-my.sharepoint.com/personal/elienai_cesar_uniasselvi_com_br1/_layouts/15/Doc.aspx?sourcedoc=%7BB5660A2A-A992-4D56-9E1A-C7DE6F41E568%7D&amp;file=Tutor%20-%20Portf%C3%B3lio%20das%20Atividades%20Pr%C3%A1ticas%201_Marilene%20Silva%201.docx&amp;action=default&amp;mobileredirect=true</t>
  </si>
  <si>
    <t>Triagem de paciente com transtorno neurológico e risco de suicídio</t>
  </si>
  <si>
    <t>https://uniasselvi01-my.sharepoint.com/personal/elienai_cesar_uniasselvi_com_br1/Documents/Aplicativos/Microsoft%20Forms/Question%C3%A1rio%20sem%20t%C3%ADtulo/Envio%20da%20Lista%20de%20Presen%C3%A7a/lista%20de%20presen%C3%A7a%202_Marilene%20Silva.jpg</t>
  </si>
  <si>
    <t>https://uniasselvi01-my.sharepoint.com/personal/elienai_cesar_uniasselvi_com_br1/_layouts/15/Doc.aspx?sourcedoc=%7B9BF3E0F5-B9FD-49C0-A5BF-AC3827CE6715%7D&amp;file=Tutor%20-%20Portf%C3%B3lio%20das%20Atividades%20Pr%C3%A1ticas%202_Marilene%20Silva%201.docx&amp;action=default&amp;mobileredirect=true</t>
  </si>
  <si>
    <t>maraisa.menezes@tutorpratica.uniasselvi.com.br</t>
  </si>
  <si>
    <t>Maraisa Menezes</t>
  </si>
  <si>
    <t>Passo Fundo/RS</t>
  </si>
  <si>
    <t>https://uniasselvi01-my.sharepoint.com/personal/elienai_cesar_uniasselvi_com_br1/_layouts/15/Doc.aspx?sourcedoc=%7BEA4F5643-BC92-41F5-93D4-2FA9438934F2%7D&amp;file=LISTA%20PRESEN%C3%87A%2017.02.2026_Maraisa%20Menezes.docx&amp;action=default&amp;mobileredirect=true</t>
  </si>
  <si>
    <t>https://uniasselvi01-my.sharepoint.com/personal/elienai_cesar_uniasselvi_com_br1/_layouts/15/Doc.aspx?sourcedoc=%7B06E48EC7-D4A2-4F28-8D3B-A2B6D74B5B68%7D&amp;file=PORTIF%C3%93LIO%2017.02.2026_Maraisa%20Menezes.docx&amp;action=default&amp;mobileredirect=true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</si>
  <si>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https://uniasselvi01-my.sharepoint.com/personal/elienai_cesar_uniasselvi_com_br1/Documents/Aplicativos/Microsoft%20Forms/Question%C3%A1rio%20sem%20t%C3%ADtulo/Envio%20da%20Lista%20de%20Presen%C3%A7a/LISTA%20PRESEN%C3%87A%2024.02.2026_Maraisa%20Menezes.jpeg</t>
  </si>
  <si>
    <t>https://uniasselvi01-my.sharepoint.com/personal/elienai_cesar_uniasselvi_com_br1/_layouts/15/Doc.aspx?sourcedoc=%7B00F53F77-CB3B-47E6-9876-859799A64365%7D&amp;file=PORTIF%C3%93LIO%2024.02.2026_Maraisa%20Menezes.docx&amp;action=default&amp;mobileredirect=true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</si>
  <si>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https://uniasselvi01-my.sharepoint.com/personal/elienai_cesar_uniasselvi_com_br1/Documents/Aplicativos/Microsoft%20Forms/Question%C3%A1rio%20sem%20t%C3%ADtulo/Envio%20da%20Lista%20de%20Presen%C3%A7a/LISTA%20PRESEN%C3%87A%2003.03.2026_Maraisa%20Menezes.jpeg</t>
  </si>
  <si>
    <t>https://uniasselvi01-my.sharepoint.com/personal/elienai_cesar_uniasselvi_com_br1/_layouts/15/Doc.aspx?sourcedoc=%7BA5605DB4-8163-4686-9069-8A32A9B864CF%7D&amp;file=PORTIF%C3%93LIO%2003.03.2026_Maraisa%20Menezes.docx&amp;action=default&amp;mobileredirect=true</t>
  </si>
  <si>
    <t>https://uniasselvi01-my.sharepoint.com/personal/elienai_cesar_uniasselvi_com_br1/_layouts/15/Doc.aspx?sourcedoc=%7B242C90C6-8AEB-4663-A81E-B7B884D05DDD%7D&amp;file=LISTA%20PRESEN%C3%87A%2010.03.2026_Maraisa%20Menezes.docx&amp;action=default&amp;mobileredirect=true</t>
  </si>
  <si>
    <t>https://uniasselvi01-my.sharepoint.com/personal/elienai_cesar_uniasselvi_com_br1/_layouts/15/Doc.aspx?sourcedoc=%7B87852BBA-F3CA-474D-A191-8477DAD83F25%7D&amp;file=PORTIF%C3%93LIO%2010.03.2026_Maraisa%20Menezes.docx&amp;action=default&amp;mobileredirect=true</t>
  </si>
  <si>
    <t>https://uniasselvi01-my.sharepoint.com/personal/elienai_cesar_uniasselvi_com_br1/_layouts/15/Doc.aspx?sourcedoc=%7B9DF15CCE-8BFA-4C0E-B514-2D53ACD44822%7D&amp;file=LISTA%20PRESEN%C3%87A%2017.03.2026_Maraisa%20Menezes.docx&amp;action=default&amp;mobileredirect=true</t>
  </si>
  <si>
    <t>https://uniasselvi01-my.sharepoint.com/personal/elienai_cesar_uniasselvi_com_br1/_layouts/15/Doc.aspx?sourcedoc=%7B76A7A1BA-4193-4353-B8F6-D870043054E0%7D&amp;file=PORTIF%C3%93LIO%2017.03.2026_Maraisa%20Menezes.docx&amp;action=default&amp;mobileredirect=true</t>
  </si>
  <si>
    <t>https://uniasselvi01-my.sharepoint.com/personal/elienai_cesar_uniasselvi_com_br1/Documents/Aplicativos/Microsoft%20Forms/Question%C3%A1rio%20sem%20t%C3%ADtulo/Envio%20da%20Lista%20de%20Presen%C3%A7a/20260321_103325_Daniela%20Madruga.jpg</t>
  </si>
  <si>
    <t>https://uniasselvi01-my.sharepoint.com/personal/elienai_cesar_uniasselvi_com_br1/_layouts/15/Doc.aspx?sourcedoc=%7BC9BA9FBA-29CD-4083-BAF0-54C6D4930E7C%7D&amp;file=relat%C3%B3rio%20-%20sa%C3%BAde%20mental_Daniela%20Madruga.docx&amp;action=default&amp;mobileredirect=true</t>
  </si>
  <si>
    <t>https://uniasselvi01-my.sharepoint.com/personal/elienai_cesar_uniasselvi_com_br1/Documents/Aplicativos/Microsoft%20Forms/Question%C3%A1rio%20sem%20t%C3%ADtulo/Envio%20da%20Lista%20de%20Presen%C3%A7a/WhatsApp%20Image%202026-03-21%20at%2010.15.21%20(1)_Alina%20Silva.jpeg</t>
  </si>
  <si>
    <t>https://uniasselvi01-my.sharepoint.com/personal/elienai_cesar_uniasselvi_com_br1/Documents/Aplicativos/Microsoft%20Forms/Question%C3%A1rio%20sem%20t%C3%ADtulo/Envio%20do%20Portf%C3%B3lio%20em%20PDF/Manobra%20de%20Suporte%20B%C3%A1sico%20de%20Vida%20-%20RELATORIO_Alina%20Silva.pdf</t>
  </si>
  <si>
    <t>https://uniasselvi01-my.sharepoint.com/personal/elienai_cesar_uniasselvi_com_br1/Documents/Aplicativos/Microsoft%20Forms/Question%C3%A1rio%20sem%20t%C3%ADtulo/Envio%20da%20Lista%20de%20Presen%C3%A7a/WhatsApp%20Image%202026-03-21%20at%2010.15.18%20(1)_Alina%20Silva.jpeg</t>
  </si>
  <si>
    <t>https://uniasselvi01-my.sharepoint.com/personal/elienai_cesar_uniasselvi_com_br1/Documents/Aplicativos/Microsoft%20Forms/Question%C3%A1rio%20sem%20t%C3%ADtulo/Envio%20do%20Portf%C3%B3lio%20em%20PDF/Pun%C3%A7%C3%A3o%20e%20manuten%C3%A7%C3%A3o%20de%20cateter%20de%20longa%20perma_Alina%20Silva.pdf</t>
  </si>
  <si>
    <t>https://uniasselvi01-my.sharepoint.com/personal/elienai_cesar_uniasselvi_com_br1/_layouts/15/Doc.aspx?sourcedoc=%7BF6773D2C-720B-444B-AC50-EEA3668E0217%7D&amp;file=Tutor%20-%20Portf%C3%B3lio%20das%20Atividades%20Pr%C3%A1ticas%2019._Quezia%20Silva.docx&amp;action=default&amp;mobileredirect=true</t>
  </si>
  <si>
    <t>https://uniasselvi01-my.sharepoint.com/personal/elienai_cesar_uniasselvi_com_br1/_layouts/15/Doc.aspx?sourcedoc=%7B8C000DB0-8563-44E2-A44A-02C2B3FC449D%7D&amp;file=Tutor%20-%20Portf%C3%B3lio%20das%20Atividades%20Pr%C3%A1ticas%2019._Quezia%20Silva.docx&amp;action=default&amp;mobileredirect=true</t>
  </si>
  <si>
    <t>Avaliação de enfermagem ao paciente com queimadura + Escala de Coma de Glasgow;Manobra de Suporte Básico de Vida</t>
  </si>
  <si>
    <t>https://uniasselvi01-my.sharepoint.com/personal/elienai_cesar_uniasselvi_com_br1/Documents/Aplicativos/Microsoft%20Forms/Question%C3%A1rio%20sem%20t%C3%ADtulo/Envio%20da%20Lista%20de%20Presen%C3%A7a/Lista%20de%20Frequ%C3%AAncia%20Urg.%20e%20Emerg.%2018-08_William%20Coimbra.jpeg; https://uniasselvi01-my.sharepoint.com/personal/elienai_cesar_uniasselvi_com_br1/Documents/Aplicativos/Microsoft%20Forms/Question%C3%A1rio%20sem%20t%C3%ADtulo/Envio%20da%20Lista%20de%20Presen%C3%A7a/Urg.%20e%20Emerg.%202_William%20Coimbra.jpeg; https://uniasselvi01-my.sharepoint.com/personal/elienai_cesar_uniasselvi_com_br1/Documents/Aplicativos/Microsoft%20Forms/Question%C3%A1rio%20sem%20t%C3%ADtulo/Envio%20da%20Lista%20de%20Presen%C3%A7a/Urg.%20e%20Emerg._William%20Coimbra.jpeg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</si>
  <si>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2018-_William%20Coimbra.pdf</t>
  </si>
  <si>
    <t>https://uniasselvi01-my.sharepoint.com/personal/elienai_cesar_uniasselvi_com_br1/Documents/Aplicativos/Microsoft%20Forms/Question%C3%A1rio%20sem%20t%C3%ADtulo/Envio%20da%20Lista%20de%20Presen%C3%A7a%201/WhatsApp%20Image%202026-03-21%20at%2023.48.16%20(1)_Paulo%20Silva.jpeg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</si>
  <si>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Paulo%20Silva.pdf</t>
  </si>
  <si>
    <t>Braintom</t>
  </si>
  <si>
    <t>https://uniasselvi01-my.sharepoint.com/personal/elienai_cesar_uniasselvi_com_br1/Documents/Aplicativos/Microsoft%20Forms/Question%C3%A1rio%20sem%20t%C3%ADtulo/Envio%20da%20Lista%20de%20Presen%C3%A7a%201/WhatsApp%20Image%202026-03-21%20at%2023.48.16_Paulo%20Silva.jpeg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</si>
  <si>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Paulo%20Silva%201.pdf</t>
  </si>
  <si>
    <t>https://uniasselvi01-my.sharepoint.com/personal/elienai_cesar_uniasselvi_com_br1/Documents/Aplicativos/Microsoft%20Forms/Question%C3%A1rio%20sem%20t%C3%ADtulo/Envio%20da%20Lista%20de%20Presen%C3%A7a/Frequ%C3%AAncia%20-%2004_Romulo%20Pinto.pdf</t>
  </si>
  <si>
    <t>https://uniasselvi01-my.sharepoint.com/personal/elienai_cesar_uniasselvi_com_br1/Documents/Aplicativos/Microsoft%20Forms/Question%C3%A1rio%20sem%20t%C3%ADtulo/Envio%20do%20Portf%C3%B3lio%20em%20PDF/04%20-%20Tutor%20-%20Portf%C3%B3lio%20das%20Atividades%20Pr%C3%A1tica_Romulo%20Pinto.pdf</t>
  </si>
  <si>
    <t>https://uniasselvi01-my.sharepoint.com/personal/elienai_cesar_uniasselvi_com_br1/Documents/Aplicativos/Microsoft%20Forms/Question%C3%A1rio%20sem%20t%C3%ADtulo/Envio%20da%20Lista%20de%20Presen%C3%A7a/Frequ%C3%AAncia%20-%2004_Romulo%20Pinto%201.pdf</t>
  </si>
  <si>
    <t>https://uniasselvi01-my.sharepoint.com/personal/elienai_cesar_uniasselvi_com_br1/Documents/Aplicativos/Microsoft%20Forms/Question%C3%A1rio%20sem%20t%C3%ADtulo/Envio%20do%20Portf%C3%B3lio%20em%20PDF/04%20-%20Tutor%20-%20Portf%C3%B3lio%20das%20Atividades%20Pr%C3%A1tica_Romulo%20Pinto%201.pdf</t>
  </si>
  <si>
    <t>simone.goliveira@tutorpratica.uniasselvi.com.br</t>
  </si>
  <si>
    <t>Simone Oliveira</t>
  </si>
  <si>
    <t>https://uniasselvi01-my.sharepoint.com/personal/elienai_cesar_uniasselvi_com_br1/Documents/Aplicativos/Microsoft%20Forms/Question%C3%A1rio%20sem%20t%C3%ADtulo/Pergunta/CamScanner%2022-03-2026%2011.53_Simone%20Oliveira.pdf; https://uniasselvi01-my.sharepoint.com/personal/elienai_cesar_uniasselvi_com_br1/Documents/Aplicativos/Microsoft%20Forms/Question%C3%A1rio%20sem%20t%C3%ADtulo/Pergunta/WhatsApp%20Image%202026-03-22%20at%2012.04.27_Simone%20Oliveira.jpeg</t>
  </si>
  <si>
    <t>https://uniasselvi01-my.sharepoint.com/personal/elienai_cesar_uniasselvi_com_br1/Documents/Aplicativos/Microsoft%20Forms/Question%C3%A1rio%20sem%20t%C3%ADtulo/Pergunta%201/CamScanner%2022-03-2026%2011.55_Simone%20Oliveira.pdf</t>
  </si>
  <si>
    <t>https://uniasselvi01-my.sharepoint.com/personal/elienai_cesar_uniasselvi_com_br1/Documents/Aplicativos/Microsoft%20Forms/Question%C3%A1rio%20sem%20t%C3%ADtulo/Envio%20da%20Lista%20de%20Presen%C3%A7a%202/Lista%20de%20presen%C3%A7a%2017-02_Bruna%20Hack.jpeg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</si>
  <si>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20-%20A_Bruna%20Hack%201.pdf</t>
  </si>
  <si>
    <t>cinthia.macedo@tutorpratica.uniasselvi.com.br</t>
  </si>
  <si>
    <t>Cinthia Macedo</t>
  </si>
  <si>
    <t>Itacoatiara/AM</t>
  </si>
  <si>
    <t>https://uniasselvi01-my.sharepoint.com/personal/elienai_cesar_uniasselvi_com_br1/Documents/Aplicativos/Microsoft%20Forms/Question%C3%A1rio%20sem%20t%C3%ADtulo/Envio%20da%20Lista%20de%20Presen%C3%A7a/Verifica%C3%A7%C3%A3o%20dos%20Sinais%20Vitais_Cinthia%20Macedo.pdf</t>
  </si>
  <si>
    <t>https://uniasselvi01-my.sharepoint.com/personal/elienai_cesar_uniasselvi_com_br1/Documents/Aplicativos/Microsoft%20Forms/Question%C3%A1rio%20sem%20t%C3%ADtulo/Envio%20do%20Portf%C3%B3lio%20em%20PDF/Verifica%C3%A7%C3%A3o%20dos%20Sinais%20Vitais_Cinthia%20Macedo.pdf; https://uniasselvi01-my.sharepoint.com/personal/elienai_cesar_uniasselvi_com_br1/Documents/Aplicativos/Microsoft%20Forms/Question%C3%A1rio%20sem%20t%C3%ADtulo/Envio%20do%20Portf%C3%B3lio%20em%20PDF/Ausculta%20Pulmonar_Cinthia%20Macedo.pdf; https://uniasselvi01-my.sharepoint.com/personal/elienai_cesar_uniasselvi_com_br1/Documents/Aplicativos/Microsoft%20Forms/Question%C3%A1rio%20sem%20t%C3%ADtulo/Envio%20do%20Portf%C3%B3lio%20em%20PDF/Ausculta%20Card%C3%ADaca_Cinthia%20Macedo.pdf</t>
  </si>
  <si>
    <t>Ordem 3</t>
  </si>
  <si>
    <t>https://uniasselvi01-my.sharepoint.com/personal/elienai_cesar_uniasselvi_com_br1/Documents/Aplicativos/Microsoft%20Forms/Question%C3%A1rio%20sem%20t%C3%ADtulo/Envio%20da%20Lista%20de%20Presen%C3%A7a/Banho%20de%20Leito_Cinthia%20Macedo.pdf</t>
  </si>
  <si>
    <t>https://uniasselvi01-my.sharepoint.com/personal/elienai_cesar_uniasselvi_com_br1/Documents/Aplicativos/Microsoft%20Forms/Question%C3%A1rio%20sem%20t%C3%ADtulo/Envio%20do%20Portf%C3%B3lio%20em%20PDF/Banho%20de%20Leito_Cinthia%20Macedo.pdf</t>
  </si>
  <si>
    <t>https://uniasselvi01-my.sharepoint.com/personal/elienai_cesar_uniasselvi_com_br1/Documents/Aplicativos/Microsoft%20Forms/Question%C3%A1rio%20sem%20t%C3%ADtulo/Envio%20da%20Lista%20de%20Presen%C3%A7a/Frequ%C3%AAncia%20Andreyna_Cinthia%20Macedo.pdf</t>
  </si>
  <si>
    <t>https://uniasselvi01-my.sharepoint.com/personal/elienai_cesar_uniasselvi_com_br1/Documents/Aplicativos/Microsoft%20Forms/Question%C3%A1rio%20sem%20t%C3%ADtulo/Envio%20do%20Portf%C3%B3lio%20em%20PDF/Troca%20de%20Bolsa%20de%20Ostomia_Cinthia%20Macedo.pdf</t>
  </si>
  <si>
    <t>larissa.ventura@unicesumar.edu.br</t>
  </si>
  <si>
    <t>Larissa Brandolin Ventura</t>
  </si>
  <si>
    <t>https://uniasselvi01-my.sharepoint.com/personal/elienai_cesar_uniasselvi_com_br1/Documents/Aplicativos/Microsoft%20Forms/Question%C3%A1rio%20sem%20t%C3%ADtulo/Envio%20da%20Lista%20de%20Presen%C3%A7a/lista%20de%20presen%C3%A7a%2021.02.26%20uti_Larissa%20Brandolin%20Ve.jpg</t>
  </si>
  <si>
    <t>https://uniasselvi01-my.sharepoint.com/personal/elienai_cesar_uniasselvi_com_br1/Documents/Aplicativos/Microsoft%20Forms/Question%C3%A1rio%20sem%20t%C3%ADtulo/Envio%20do%20Portf%C3%B3lio%20em%20PDF/adm%20de%20medicamento%20cvc,%20monitoriza%C3%A7%C3%A3o%20hemodin_Larissa%20Brandolin%20Ve.pdf</t>
  </si>
  <si>
    <t>https://uniasselvi01-my.sharepoint.com/personal/elienai_cesar_uniasselvi_com_br1/Documents/Aplicativos/Microsoft%20Forms/Question%C3%A1rio%20sem%20t%C3%ADtulo/Envio%20da%20Lista%20de%20Presen%C3%A7a/lista%20de%20presen%C3%A7a%2021.02.26%20uti_Larissa%20Brandolin%20Ve%201.jpg</t>
  </si>
  <si>
    <t>https://uniasselvi01-my.sharepoint.com/personal/elienai_cesar_uniasselvi_com_br1/Documents/Aplicativos/Microsoft%20Forms/Question%C3%A1rio%20sem%20t%C3%ADtulo/Envio%20do%20Portf%C3%B3lio%20em%20PDF/Aspira%C3%A7%C3%A3o%20de%20vias%20a%C3%A9reas%20com%20e%20sem%20TOT_Larissa%20Brandolin%20Ve.pdf</t>
  </si>
  <si>
    <t>https://uniasselvi01-my.sharepoint.com/personal/elienai_cesar_uniasselvi_com_br1/Documents/Aplicativos/Microsoft%20Forms/Question%C3%A1rio%20sem%20t%C3%ADtulo/Envio%20da%20Lista%20de%20Presen%C3%A7a/lista%20de%20presen%C3%A7a%2028_02_Larissa%20Brandolin%20Ve.jpg</t>
  </si>
  <si>
    <t>https://uniasselvi01-my.sharepoint.com/personal/elienai_cesar_uniasselvi_com_br1/Documents/Aplicativos/Microsoft%20Forms/Question%C3%A1rio%20sem%20t%C3%ADtulo/Envio%20do%20Portf%C3%B3lio%20em%20PDF/portfolio%20avalia%C3%A7%C3%A3o%20corporal_Larissa%20Brandolin%20Ve.pdf</t>
  </si>
  <si>
    <t>https://uniasselvi01-my.sharepoint.com/personal/elienai_cesar_uniasselvi_com_br1/Documents/Aplicativos/Microsoft%20Forms/Question%C3%A1rio%20sem%20t%C3%ADtulo/Envio%20da%20Lista%20de%20Presen%C3%A7a/lista%20de%20presen%C3%A7a%2028_02_Larissa%20Brandolin%20Ve%201.jpg</t>
  </si>
  <si>
    <t>https://uniasselvi01-my.sharepoint.com/personal/elienai_cesar_uniasselvi_com_br1/Documents/Aplicativos/Microsoft%20Forms/Question%C3%A1rio%20sem%20t%C3%ADtulo/Envio%20do%20Portf%C3%B3lio%20em%20PDF/portfolio%20curativo_Larissa%20Brandolin%20Ve.pdf</t>
  </si>
  <si>
    <t>https://uniasselvi01-my.sharepoint.com/personal/elienai_cesar_uniasselvi_com_br1/Documents/Aplicativos/Microsoft%20Forms/Question%C3%A1rio%20sem%20t%C3%ADtulo/Envio%20da%20Lista%20de%20Presen%C3%A7a/lista%20de%20presen%C3%A7a%2007_03_Larissa%20Brandolin%20Ve.jpg</t>
  </si>
  <si>
    <t>https://uniasselvi01-my.sharepoint.com/personal/elienai_cesar_uniasselvi_com_br1/Documents/Aplicativos/Microsoft%20Forms/Question%C3%A1rio%20sem%20t%C3%ADtulo/Envio%20do%20Portf%C3%B3lio%20em%20PDF/portfolio%20%20Trabalho%20de%20parto%20natural%20+%20Emerg%C3%AA_Larissa%20Brandolin%20Ve.pdf</t>
  </si>
  <si>
    <t>https://uniasselvi01-my.sharepoint.com/personal/elienai_cesar_uniasselvi_com_br1/Documents/Aplicativos/Microsoft%20Forms/Question%C3%A1rio%20sem%20t%C3%ADtulo/Envio%20da%20Lista%20de%20Presen%C3%A7a/lista%20presen%C3%A7a%2016.03_Larissa%20Brandolin%20Ve.jpg</t>
  </si>
  <si>
    <t>https://uniasselvi01-my.sharepoint.com/personal/elienai_cesar_uniasselvi_com_br1/Documents/Aplicativos/Microsoft%20Forms/Question%C3%A1rio%20sem%20t%C3%ADtulo/Envio%20do%20Portf%C3%B3lio%20em%20PDF/Manobra%20de%20Suporte%20B%C3%A1sico%20de%20vida_Larissa%20Brandolin%20Ve.pdf</t>
  </si>
  <si>
    <t>https://uniasselvi01-my.sharepoint.com/personal/elienai_cesar_uniasselvi_com_br1/Documents/Aplicativos/Microsoft%20Forms/Question%C3%A1rio%20sem%20t%C3%ADtulo/Envio%20da%20Lista%20de%20Presen%C3%A7a/lista%20presen%C3%A7a%2016.03_Larissa%20Brandolin%20Ve%201.jpg</t>
  </si>
  <si>
    <t>https://uniasselvi01-my.sharepoint.com/personal/elienai_cesar_uniasselvi_com_br1/Documents/Aplicativos/Microsoft%20Forms/Question%C3%A1rio%20sem%20t%C3%ADtulo/Envio%20do%20Portf%C3%B3lio%20em%20PDF/Avalia%C3%A7%C3%A3o%20de%20enfermagem%20ao%20paciente%20com%20queim_Larissa%20Brandolin%20Ve.pdf</t>
  </si>
  <si>
    <t>https://uniasselvi01-my.sharepoint.com/personal/elienai_cesar_uniasselvi_com_br1/Documents/Aplicativos/Microsoft%20Forms/Question%C3%A1rio%20sem%20t%C3%ADtulo/Envio%20da%20Lista%20de%20Presen%C3%A7a/lista%20presen%C3%A7a%2021.03_Larissa%20Brandolin%20Ve.jpg</t>
  </si>
  <si>
    <t>https://uniasselvi01-my.sharepoint.com/personal/elienai_cesar_uniasselvi_com_br1/Documents/Aplicativos/Microsoft%20Forms/Question%C3%A1rio%20sem%20t%C3%ADtulo/Envio%20do%20Portf%C3%B3lio%20em%20PDF/Pun%C3%A7%C3%A3o%20e%20manuten%C3%A7%C3%A3o%20de%20cateter%20de%20longa%20perma_Larissa%20Brandolin%20Ve.pdf</t>
  </si>
  <si>
    <t>Auriculoterapia</t>
  </si>
  <si>
    <t>https://uniasselvi01-my.sharepoint.com/personal/elienai_cesar_uniasselvi_com_br1/Documents/Aplicativos/Microsoft%20Forms/Question%C3%A1rio%20sem%20t%C3%ADtulo/Envio%20da%20Lista%20de%20Presen%C3%A7a%201/Auriculoterapia%20-%20lista%20presen%C3%A7a_Beatriz%20Henkels.jpeg</t>
  </si>
  <si>
    <t>https://uniasselvi01-my.sharepoint.com/personal/elienai_cesar_uniasselvi_com_br1/Documents/Aplicativos/Microsoft%20Forms/Question%C3%A1rio%20sem%20t%C3%ADtulo/Envio%20do%20Portf%C3%B3lio%20em%20PDF%201/Auriculoterapia%20-%20Tutor%20-%20Portf%C3%B3lio%20das%20Ativi_Beatriz%20Henkels.pdf</t>
  </si>
  <si>
    <t>Escalda Pés</t>
  </si>
  <si>
    <t>https://uniasselvi01-my.sharepoint.com/personal/elienai_cesar_uniasselvi_com_br1/Documents/Aplicativos/Microsoft%20Forms/Question%C3%A1rio%20sem%20t%C3%ADtulo/Envio%20da%20Lista%20de%20Presen%C3%A7a%201/Escalda%20Pes%20-%20lista%20presen%C3%A7a_Beatriz%20Henkels.jpeg</t>
  </si>
  <si>
    <t>https://uniasselvi01-my.sharepoint.com/personal/elienai_cesar_uniasselvi_com_br1/Documents/Aplicativos/Microsoft%20Forms/Question%C3%A1rio%20sem%20t%C3%ADtulo/Envio%20do%20Portf%C3%B3lio%20em%20PDF%201/Escalda%20pes-%20Tutor%20-%20Portf%C3%B3lio%20das%20Atividades_Beatriz%20Henkels.pdf</t>
  </si>
  <si>
    <t>jackeliny.fonseca@regentedepolo.uniasselvi.com.br</t>
  </si>
  <si>
    <t>Jackeliny Fonseca</t>
  </si>
  <si>
    <t>Nova Mutum/MT</t>
  </si>
  <si>
    <t>https://uniasselvi01-my.sharepoint.com/personal/elienai_cesar_uniasselvi_com_br1/Documents/Aplicativos/Microsoft%20Forms/Question%C3%A1rio%20sem%20t%C3%ADtulo/Envio%20da%20Lista%20de%20Presen%C3%A7a/presen%C3%A7a_Jackeliny%20Fonseca.pdf</t>
  </si>
  <si>
    <t>https://uniasselvi01-my.sharepoint.com/personal/elienai_cesar_uniasselvi_com_br1/Documents/Aplicativos/Microsoft%20Forms/Question%C3%A1rio%20sem%20t%C3%ADtulo/Envio%20do%20Portf%C3%B3lio%20em%20PDF/portifolio_Jackeliny%20Fonseca.pdf</t>
  </si>
  <si>
    <t>14268460@professor.uniasselvi.com.br</t>
  </si>
  <si>
    <t>https://uniasselvi01-my.sharepoint.com/personal/elienai_cesar_uniasselvi_com_br1/Documents/Aplicativos/Microsoft%20Forms/Question%C3%A1rio%20sem%20t%C3%ADtulo/Envio%20da%20Lista%20de%20Presen%C3%A7a/Taimara_Fabio%20Rosa%201.pdf</t>
  </si>
  <si>
    <t>https://uniasselvi01-my.sharepoint.com/personal/elienai_cesar_uniasselvi_com_br1/Documents/Aplicativos/Microsoft%20Forms/Question%C3%A1rio%20sem%20t%C3%ADtulo/Envio%20do%20Portf%C3%B3lio%20em%20PDF/Taimara_Fabio%20Rosa%201.pdf</t>
  </si>
  <si>
    <t>https://uniasselvi01-my.sharepoint.com/personal/elienai_cesar_uniasselvi_com_br1/Documents/Aplicativos/Microsoft%20Forms/Question%C3%A1rio%20sem%20t%C3%ADtulo/Envio%20da%20Lista%20de%20Presen%C3%A7a%202/Documento%20Escaneado%205_Daiane%20Ferreira.pdf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</si>
  <si>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2026-_Daiane%20Ferreira.pdf</t>
  </si>
  <si>
    <t>Dietas hospitalares;Terapia nutricional enteral e suplementação oral</t>
  </si>
  <si>
    <t>https://uniasselvi01-my.sharepoint.com/personal/elienai_cesar_uniasselvi_com_br1/Documents/Aplicativos/Microsoft%20Forms/Question%C3%A1rio%20sem%20t%C3%ADtulo/Envio%20da%20Lista%20de%20Presen%C3%A7a%202/Documento%20Escaneado%206_Daiane%20Ferreira.pdf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</si>
  <si>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2005-_Daiane%20Ferreira.pdf</t>
  </si>
  <si>
    <t>Análise sensorial de dietas hospitalares;Dietas hospitalares</t>
  </si>
  <si>
    <t>https://uniasselvi01-my.sharepoint.com/personal/elienai_cesar_uniasselvi_com_br1/Documents/Aplicativos/Microsoft%20Forms/Question%C3%A1rio%20sem%20t%C3%ADtulo/Envio%20da%20Lista%20de%20Presen%C3%A7a%202/WhatsApp%20Image%202026-03-23%20at%2014.36.22_Daiane%20Ferreira.jpeg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</si>
  <si>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2012-_Daiane%20Ferreira.pdf</t>
  </si>
  <si>
    <t>Avaliação antropométrico de adulto e de acamado;Anamnese nutricional do adulto e Diagnóstico nutricional</t>
  </si>
  <si>
    <t>https://uniasselvi01-my.sharepoint.com/personal/elienai_cesar_uniasselvi_com_br1/Documents/Aplicativos/Microsoft%20Forms/Question%C3%A1rio%20sem%20t%C3%ADtulo/Envio%20da%20Lista%20de%20Presen%C3%A7a%202/Documento%20Escaneado%207_Daiane%20Ferreira.pdf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</si>
  <si>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2017-_Daiane%20Ferreira.pdf</t>
  </si>
  <si>
    <t>anna.barsanulfo@tutorpratica.uniasselvi.com.br</t>
  </si>
  <si>
    <t>Anna Barsanulfo</t>
  </si>
  <si>
    <t>Treino de Atividades da Vida Diária - Membros Superiores</t>
  </si>
  <si>
    <t>https://uniasselvi01-my.sharepoint.com/personal/elienai_cesar_uniasselvi_com_br1/Documents/Aplicativos/Microsoft%20Forms/Question%C3%A1rio%20sem%20t%C3%ADtulo/Envio%20da%20Lista%20de%20Presen%C3%A7a%201/LISTA%20DE%20PRESENTE_Anna%20Barsanulfo.pdf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</si>
  <si>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.doc_Anna%20Barsanulfo.pdf</t>
  </si>
  <si>
    <t>https://uniasselvi01-my.sharepoint.com/personal/elienai_cesar_uniasselvi_com_br1/Documents/Aplicativos/Microsoft%20Forms/Question%C3%A1rio%20sem%20t%C3%ADtulo/Envio%20da%20Lista%20de%20Presen%C3%A7a/FREQU%C3%8ANCIA%20PRATICA%20ESCALA%20DE%20GLASGOW_Ana%20Souza.jpeg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</si>
  <si>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A_Ana%20Souza%201.pdf</t>
  </si>
  <si>
    <t>https://uniasselvi01-my.sharepoint.com/personal/elienai_cesar_uniasselvi_com_br1/Documents/Aplicativos/Microsoft%20Forms/Question%C3%A1rio%20sem%20t%C3%ADtulo/Envio%20da%20Lista%20de%20Presen%C3%A7a/ASPIRA%C3%87%C3%83O%20PRESEN%C3%87A_Jackeliny%20Fonseca.pdf</t>
  </si>
  <si>
    <t>https://uniasselvi01-my.sharepoint.com/personal/elienai_cesar_uniasselvi_com_br1/Documents/Aplicativos/Microsoft%20Forms/Question%C3%A1rio%20sem%20t%C3%ADtulo/Envio%20do%20Portf%C3%B3lio%20em%20PDF/ASPIRA%C3%87%C3%83O%20PORTIFOLIO_Jackeliny%20Fonseca.pdf</t>
  </si>
  <si>
    <t>https://uniasselvi01-my.sharepoint.com/personal/elienai_cesar_uniasselvi_com_br1/Documents/Aplicativos/Microsoft%20Forms/Question%C3%A1rio%20sem%20t%C3%ADtulo/Envio%20da%20Lista%20de%20Presen%C3%A7a/AUSCULTA%20PRESEN%C3%87A_Jackeliny%20Fonseca.pdf</t>
  </si>
  <si>
    <t>https://uniasselvi01-my.sharepoint.com/personal/elienai_cesar_uniasselvi_com_br1/Documents/Aplicativos/Microsoft%20Forms/Question%C3%A1rio%20sem%20t%C3%ADtulo/Envio%20do%20Portf%C3%B3lio%20em%20PDF/AUSCULTA%20PORTIFOLIO_Jackeliny%20Fonseca.pdf</t>
  </si>
  <si>
    <t>https://uniasselvi01-my.sharepoint.com/personal/elienai_cesar_uniasselvi_com_br1/Documents/Aplicativos/Microsoft%20Forms/Question%C3%A1rio%20sem%20t%C3%ADtulo/Envio%20da%20Lista%20de%20Presen%C3%A7a/PARTO%20PRESEN%C3%87A_Jackeliny%20Fonseca.pdf</t>
  </si>
  <si>
    <t>https://uniasselvi01-my.sharepoint.com/personal/elienai_cesar_uniasselvi_com_br1/Documents/Aplicativos/Microsoft%20Forms/Question%C3%A1rio%20sem%20t%C3%ADtulo/Envio%20do%20Portf%C3%B3lio%20em%20PDF/PARTO%20PORTIFOLIO_Jackeliny%20Fonseca.pdf</t>
  </si>
  <si>
    <t>sandro.santos@tutorpratica.uniasselvi.com.br</t>
  </si>
  <si>
    <t>Sandro Santos</t>
  </si>
  <si>
    <t>Aspiração de vias aéreas (com e sem TOT);Avaliação corporal + Ausculta pulmonar + Ausculta cardiaca + Verificação de sinais vitais</t>
  </si>
  <si>
    <t>https://uniasselvi01-my.sharepoint.com/personal/elienai_cesar_uniasselvi_com_br1/Documents/Aplicativos/Microsoft%20Forms/Question%C3%A1rio%20sem%20t%C3%ADtulo/Envio%20da%20Lista%20de%20Presen%C3%A7a/lista%20de%20frequencia%20aula%201%20uniasselvi_Sandro%20Santos.jpeg</t>
  </si>
  <si>
    <t>https://uniasselvi01-my.sharepoint.com/personal/elienai_cesar_uniasselvi_com_br1/_layouts/15/Doc.aspx?sourcedoc=%7B63D22652-7E10-45CC-822E-1627FBFC4D4E%7D&amp;file=Tutor%20-%20Portf%C3%B3lio%20das%20Atividades%20Pr%C3%A1ticas%20(1)_Sandro%20Santos.docx&amp;action=default&amp;mobileredirect=true</t>
  </si>
  <si>
    <t>Administração  de medicamento por Cateter Venoso Central + Monitorização hemodinâmica  do paciente;Aspiração de vias aéreas (com e sem TOT);Avaliação corporal + Ausculta pulmonar + Ausculta cardiaca + Verificação de sinais vitais</t>
  </si>
  <si>
    <t>https://uniasselvi01-my.sharepoint.com/personal/elienai_cesar_uniasselvi_com_br1/Documents/Aplicativos/Microsoft%20Forms/Question%C3%A1rio%20sem%20t%C3%ADtulo/Envio%20da%20Lista%20de%20Presen%C3%A7a/lista%20de%20frequencia%20aula%201%20uniasselvi_Sandro%20Santos%201.jpeg</t>
  </si>
  <si>
    <t>https://uniasselvi01-my.sharepoint.com/personal/elienai_cesar_uniasselvi_com_br1/_layouts/15/Doc.aspx?sourcedoc=%7BC44766FB-5670-4DB8-A483-3F3C45E68C98%7D&amp;file=Tutor%20-%20Portf%C3%B3lio%20das%20Atividades%20Pr%C3%A1ticas%20(1)_Sandro%20Santos%201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</si>
  <si>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https://uniasselvi01-my.sharepoint.com/personal/elienai_cesar_uniasselvi_com_br1/Documents/Aplicativos/Microsoft%20Forms/Question%C3%A1rio%20sem%20t%C3%ADtulo/Envio%20da%20Lista%20de%20Presen%C3%A7a/lista%20de%20frequencia%20aula%202%20uniasselvi_Sandro%20Santos.jpeg</t>
  </si>
  <si>
    <t>https://uniasselvi01-my.sharepoint.com/personal/elienai_cesar_uniasselvi_com_br1/_layouts/15/Doc.aspx?sourcedoc=%7BDAC8D7CA-1FF1-4404-9646-066419BE2C52%7D&amp;file=Tutor%20-%20Portf%C3%B3lio%20das%20Atividades%20Pr%C3%A1ticas%202_Sandro%20Santos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</si>
  <si>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https://uniasselvi01-my.sharepoint.com/personal/elienai_cesar_uniasselvi_com_br1/Documents/Aplicativos/Microsoft%20Forms/Question%C3%A1rio%20sem%20t%C3%ADtulo/Envio%20da%20Lista%20de%20Presen%C3%A7a/lista%20de%20frequencia%20aula%202%20uniasselvi_Sandro%20Santos%201.jpeg</t>
  </si>
  <si>
    <t>https://uniasselvi01-my.sharepoint.com/personal/elienai_cesar_uniasselvi_com_br1/_layouts/15/Doc.aspx?sourcedoc=%7B913F85C3-3BC4-4FBA-8C87-384ADDE81702%7D&amp;file=Tutor%20-%20Portf%C3%B3lio%20das%20Atividades%20Pr%C3%A1ticas%202_Sandro%20Santos%201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</si>
  <si>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https://uniasselvi01-my.sharepoint.com/personal/elienai_cesar_uniasselvi_com_br1/Documents/Aplicativos/Microsoft%20Forms/Question%C3%A1rio%20sem%20t%C3%ADtulo/Envio%20da%20Lista%20de%20Presen%C3%A7a/lista%20de%20frequencia%20aula%203%20uniasselvi_Sandro%20Santos.jpeg</t>
  </si>
  <si>
    <t>https://uniasselvi01-my.sharepoint.com/personal/elienai_cesar_uniasselvi_com_br1/_layouts/15/Doc.aspx?sourcedoc=%7B38D4A010-3066-4338-8264-607B4D56F5AE%7D&amp;file=Tutor%20-%20Portf%C3%B3lio%20das%20Atividades%20Pr%C3%A1ticas%203_Sandro%20Santos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</si>
  <si>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https://uniasselvi01-my.sharepoint.com/personal/elienai_cesar_uniasselvi_com_br1/Documents/Aplicativos/Microsoft%20Forms/Question%C3%A1rio%20sem%20t%C3%ADtulo/Envio%20da%20Lista%20de%20Presen%C3%A7a/LISTA%20DE%20PRESEN%C3%87A.pdf_Adalci%20Rosana%20Goncal.pdf; https://uniasselvi01-my.sharepoint.com/personal/elienai_cesar_uniasselvi_com_br1/Documents/Aplicativos/Microsoft%20Forms/Question%C3%A1rio%20sem%20t%C3%ADtulo/Envio%20da%20Lista%20de%20Presen%C3%A7a/Portf%C3%B3lio%20das%20Atividades%20Pr%C3%A1ticas.Assistencia_Adalci%20Rosana%20Goncal.pdf</t>
  </si>
  <si>
    <t>https://uniasselvi01-my.sharepoint.com/personal/elienai_cesar_uniasselvi_com_br1/Documents/Aplicativos/Microsoft%20Forms/Question%C3%A1rio%20sem%20t%C3%ADtulo/Envio%20do%20Portf%C3%B3lio%20em%20PDF/Portf%C3%B3lio%20das%20Atividades%20Pr%C3%A1ticas.Assistencia_Adalci%20Rosana%20Goncal.pdf</t>
  </si>
  <si>
    <t>https://uniasselvi01-my.sharepoint.com/personal/elienai_cesar_uniasselvi_com_br1/Documents/Aplicativos/Microsoft%20Forms/Question%C3%A1rio%20sem%20t%C3%ADtulo/Envio%20da%20Lista%20de%20Presen%C3%A7a/LISTA%20DE%20PRESEN%C3%87A.%20%2004-03-26_Adalci%20Rosana%20Goncal.pdf</t>
  </si>
  <si>
    <t>https://uniasselvi01-my.sharepoint.com/personal/elienai_cesar_uniasselvi_com_br1/Documents/Aplicativos/Microsoft%20Forms/Question%C3%A1rio%20sem%20t%C3%ADtulo/Envio%20do%20Portf%C3%B3lio%20em%20PDF/Portf%C3%B3lio%20Reposi%C3%A7%C3%A3o%20das%20Pr%C3%A1ticas.%20Assistencia_Adalci%20Rosana%20Goncal.pdf</t>
  </si>
  <si>
    <t>https://uniasselvi01-my.sharepoint.com/personal/elienai_cesar_uniasselvi_com_br1/Documents/Aplicativos/Microsoft%20Forms/Question%C3%A1rio%20sem%20t%C3%ADtulo/Envio%20da%20Lista%20de%20Presen%C3%A7a/LISTA%20DE%20PRESEN%C3%87A%2011-03-26_Adalci%20Rosana%20Goncal.pdf</t>
  </si>
  <si>
    <t>https://uniasselvi01-my.sharepoint.com/personal/elienai_cesar_uniasselvi_com_br1/Documents/Aplicativos/Microsoft%20Forms/Question%C3%A1rio%20sem%20t%C3%ADtulo/Envio%20do%20Portf%C3%B3lio%20em%20PDF/Portf%C3%B3lio%20%20Reposi%C3%A7%C3%A3oAssist%C3%AAncia%20de%20Enfermagem_Adalci%20Rosana%20Goncal.pdf</t>
  </si>
  <si>
    <t>https://uniasselvi01-my.sharepoint.com/personal/elienai_cesar_uniasselvi_com_br1/Documents/Aplicativos/Microsoft%20Forms/Question%C3%A1rio%20sem%20t%C3%ADtulo/Envio%20da%20Lista%20de%20Presen%C3%A7a/20260323%20-%20AGENDAMENTO%20-%20I_Gilberto%20Filho.pdf</t>
  </si>
  <si>
    <t>https://uniasselvi01-my.sharepoint.com/personal/elienai_cesar_uniasselvi_com_br1/Documents/Aplicativos/Microsoft%20Forms/Question%C3%A1rio%20sem%20t%C3%ADtulo/Envio%20do%20Portf%C3%B3lio%20em%20PDF/PORTIF%C3%93LIO%20-%2020260323%20-%20I_Gilberto%20Filho.pdf</t>
  </si>
  <si>
    <t>https://uniasselvi01-my.sharepoint.com/personal/elienai_cesar_uniasselvi_com_br1/Documents/Aplicativos/Microsoft%20Forms/Question%C3%A1rio%20sem%20t%C3%ADtulo/Envio%20da%20Lista%20de%20Presen%C3%A7a%201/1_Fabiano%20Bartmann.pdf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</si>
  <si>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208.pdf</t>
  </si>
  <si>
    <t>Movimento Funcional e Cinesiologia da Marcha: Observação e Análise em Laboratório Prático</t>
  </si>
  <si>
    <t>https://uniasselvi01-my.sharepoint.com/personal/elienai_cesar_uniasselvi_com_br1/Documents/Aplicativos/Microsoft%20Forms/Question%C3%A1rio%20sem%20t%C3%ADtulo/Envio%20da%20Lista%20de%20Presen%C3%A7a%201/2_Fabiano%20Bartmann.pdf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</si>
  <si>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209.pdf</t>
  </si>
  <si>
    <t>https://uniasselvi01-my.sharepoint.com/personal/elienai_cesar_uniasselvi_com_br1/Documents/Aplicativos/Microsoft%20Forms/Question%C3%A1rio%20sem%20t%C3%ADtulo/Envio%20da%20Lista%20de%20Presen%C3%A7a%201/MODELO_Lista%20de%20Presen%C3%A7a%20das%20Pr%C3%A1ticas%20(1)%20-%20C_Vanessa%20Fachini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</si>
  <si>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(1)_Vanessa%20Fachini.pdf</t>
  </si>
  <si>
    <t>https://uniasselvi01-my.sharepoint.com/personal/elienai_cesar_uniasselvi_com_br1/Documents/Aplicativos/Microsoft%20Forms/Question%C3%A1rio%20sem%20t%C3%ADtulo/Envio%20da%20Lista%20de%20Presen%C3%A7a%201/MODELO_Lista%20de%20Presen%C3%A7a%20das%20Pr%C3%A1ticas%20(1)_Vanessa%20Fachini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</si>
  <si>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(1)_Vanessa%20Fachini%201.pdf</t>
  </si>
  <si>
    <t>nayana.flexa@tutorpratica.uniasselvi.com.br</t>
  </si>
  <si>
    <t>Nayana Flexa</t>
  </si>
  <si>
    <t>Macapá/AP</t>
  </si>
  <si>
    <t>https://uniasselvi01-my.sharepoint.com/personal/elienai_cesar_uniasselvi_com_br1/Documents/Aplicativos/Microsoft%20Forms/Question%C3%A1rio%20sem%20t%C3%ADtulo/Envio%20da%20Lista%20de%20Presen%C3%A7a%201/treino%20AVDS%20-%20membro%20superior%2021.03.26_Nayana%20Flexa.pdf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</si>
  <si>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Nayana%20Flexa.pdf</t>
  </si>
  <si>
    <t>https://uniasselvi01-my.sharepoint.com/personal/elienai_cesar_uniasselvi_com_br1/Documents/Aplicativos/Microsoft%20Forms/Question%C3%A1rio%20sem%20t%C3%ADtulo/Envio%20da%20Lista%20de%20Presen%C3%A7a%201/treino%20AVDS%20-%20membro%20superior%2020.03.26_Nayana%20Flexa.pdf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</si>
  <si>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Nayana%20Flexa%201.pdf</t>
  </si>
  <si>
    <t>https://uniasselvi01-my.sharepoint.com/personal/elienai_cesar_uniasselvi_com_br1/Documents/Aplicativos/Microsoft%20Forms/Question%C3%A1rio%20sem%20t%C3%ADtulo/Envio%20da%20Lista%20de%20Presen%C3%A7a%201/pontos%20cardeais%2013.02.26_Nayana%20Flexa.pdf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</si>
  <si>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Nayana%20Flexa%202.pdf</t>
  </si>
  <si>
    <t>QUÍMICA E FÍSICA - Condições de equilíbrio de um corpo rígido</t>
  </si>
  <si>
    <t>https://uniasselvi01-my.sharepoint.com/personal/elienai_cesar_uniasselvi_com_br1/Documents/Aplicativos/Microsoft%20Forms/Question%C3%A1rio%20sem%20t%C3%ADtulo/Envio%20da%20Lista%20de%20Presen%C3%A7a%203/20260324_073523_Silvestre%20Assumpcao.PDF</t>
  </si>
  <si>
    <t>https://uniasselvi01-my.sharepoint.com/personal/elienai_cesar_uniasselvi_com_br1/Documents/Aplicativos/Microsoft%20Forms/Question%C3%A1rio%20sem%20t%C3%ADtulo/Envio%20do%20Portf%C3%B3lio%20em%20PDF%203/20260323_205313_Silvestre%20Assumpcao.PDF</t>
  </si>
  <si>
    <t>https://uniasselvi01-my.sharepoint.com/personal/elienai_cesar_uniasselvi_com_br1/Documents/Aplicativos/Microsoft%20Forms/Question%C3%A1rio%20sem%20t%C3%ADtulo/Envio%20da%20Lista%20de%20Presen%C3%A7a%205/downloadfile_Vitor%20Pinheiro.PDF</t>
  </si>
  <si>
    <t>https://uniasselvi01-my.sharepoint.com/personal/elienai_cesar_uniasselvi_com_br1/Documents/Aplicativos/Microsoft%20Forms/Question%C3%A1rio%20sem%20t%C3%ADtulo/Envio%20do%20Portf%C3%B3lio%20em%20PDF%205/Portfolio_Plantas_Daninhas_Vitor%20Pinheiro.pdf</t>
  </si>
  <si>
    <t>mauro.alves@tutorpratica.uniasselvi.com.br</t>
  </si>
  <si>
    <t>Mauro Alves</t>
  </si>
  <si>
    <t>Análise de Dados experimentais através de software estatístico;Técnicas de propagação de plantas</t>
  </si>
  <si>
    <t>https://uniasselvi01-my.sharepoint.com/personal/elienai_cesar_uniasselvi_com_br1/Documents/Aplicativos/Microsoft%20Forms/Question%C3%A1rio%20sem%20t%C3%ADtulo/Envio%20da%20Lista%20de%20Presen%C3%A7a%205/Freq%20Experimenta%C3%A7%C3%A3o_Mauro%20Alves.pdf</t>
  </si>
  <si>
    <t>https://uniasselvi01-my.sharepoint.com/personal/elienai_cesar_uniasselvi_com_br1/Documents/Aplicativos/Microsoft%20Forms/Question%C3%A1rio%20sem%20t%C3%ADtulo/Envio%20do%20Portf%C3%B3lio%20em%20PDF%205/Portif%C3%B3lio%20pr%C3%A1tica%20experimenta%C3%A7%C3%A3o%20agr%C3%ADcola_Mauro%20Alves.pdf</t>
  </si>
  <si>
    <t>Avaliação Cardiorrespiratória com Testes Incrementais: Protocolos e Interpretação dos Resultados</t>
  </si>
  <si>
    <t>https://uniasselvi01-my.sharepoint.com/personal/elienai_cesar_uniasselvi_com_br1/Documents/Aplicativos/Microsoft%20Forms/Question%C3%A1rio%20sem%20t%C3%ADtulo/Envio%20da%20Lista%20de%20Presen%C3%A7a%201/Document_260324_140128_Airton%20Farias.pdf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</si>
  <si>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20-%20C_Airton%20Farias.pdf</t>
  </si>
  <si>
    <t>Avaliação Semiológica Cardiorrespiratória: Métodos de Inspeção, Palpação e Ausculta no Diagnóstico Cardiovascular</t>
  </si>
  <si>
    <t>https://uniasselvi01-my.sharepoint.com/personal/elienai_cesar_uniasselvi_com_br1/Documents/Aplicativos/Microsoft%20Forms/Question%C3%A1rio%20sem%20t%C3%ADtulo/Envio%20da%20Lista%20de%20Presen%C3%A7a%201/Document_260324_140050_Airton%20Farias.pdf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</si>
  <si>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20-%20C_Airton%20Farias%201.pdf</t>
  </si>
  <si>
    <t>eduarda.ferrandin@tutorpratica.uniasselvi.com.br</t>
  </si>
  <si>
    <t>Eduarda Ferrandin</t>
  </si>
  <si>
    <t>Análise à fresco (exame direto) de fungos dermatófitos e leveduras;Desenvolvendo um Xampu;Desenvolvimento do Creme Lanette N + Xarope simples e composto;Análise macro e micromorfológica de fungos leveduriformes;Esfregaço e coloração de GRAM;Esfregaço sanguíneo e colorações  (contagem diferencial de leucócitos);Identificação de estreptococos;Preparo de meio de cultura I;Preparo de meio de cultura II;Técnicas de inoculação</t>
  </si>
  <si>
    <t>https://uniasselvi01-my.sharepoint.com/personal/elienai_cesar_uniasselvi_com_br1/Documents/Aplicativos/Microsoft%20Forms/Question%C3%A1rio%20sem%20t%C3%ADtulo/Pergunta/MODELO_Lista%20de%20Presen%C3%A7a%20das%20Pr%C3%A1ticas_Eduarda%20Ferrandin.pdf</t>
  </si>
  <si>
    <t>https://uniasselvi01-my.sharepoint.com/personal/elienai_cesar_uniasselvi_com_br1/Documents/Aplicativos/Microsoft%20Forms/Question%C3%A1rio%20sem%20t%C3%ADtulo/Pergunta%201/MODELO_Lista%20de%20Presen%C3%A7a%20das%20Pr%C3%A1ticas_Eduarda%20Ferrandin.pdf</t>
  </si>
  <si>
    <t>https://uniasselvi01-my.sharepoint.com/personal/elienai_cesar_uniasselvi_com_br1/Documents/Aplicativos/Microsoft%20Forms/Question%C3%A1rio%20sem%20t%C3%ADtulo/Envio%20da%20Lista%20de%20Presen%C3%A7a/lista%20de%20frequ%C3%AAncia%2023-03_William%20Coimbra.jpeg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</si>
  <si>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2023-_William%20Coimbra.pdf; https://uniasselvi01-my.sharepoint.com/personal/elienai_cesar_uniasselvi_com_br1/Documents/Aplicativos/Microsoft%20Forms/Question%C3%A1rio%20sem%20t%C3%ADtulo/Envio%20do%20Portf%C3%B3lio%20em%20PDF/Foto%20sa%C3%BAde%20mental%202_William%20Coimbra.jpeg; https://uniasselvi01-my.sharepoint.com/personal/elienai_cesar_uniasselvi_com_br1/Documents/Aplicativos/Microsoft%20Forms/Question%C3%A1rio%20sem%20t%C3%ADtulo/Envio%20do%20Portf%C3%B3lio%20em%20PDF/Foto%20sa%C3%BAde%20Mental_William%20Coimbra.jpeg</t>
  </si>
  <si>
    <t>https://uniasselvi01-my.sharepoint.com/personal/elienai_cesar_uniasselvi_com_br1/Documents/Aplicativos/Microsoft%20Forms/Question%C3%A1rio%20sem%20t%C3%ADtulo/Envio%20da%20Lista%20de%20Presen%C3%A7a%202/2_Janaina%20Pulgatti%201.jpeg</t>
  </si>
  <si>
    <t>https://uniasselvi01-my.sharepoint.com/personal/elienai_cesar_uniasselvi_com_br1/Documents/Aplicativos/Microsoft%20Forms/Question%C3%A1rio%20sem%20t%C3%ADtulo/Envio%20do%20Portf%C3%B3lio%20em%20PDF%202/17.03%20-%20%20Relat%C3%B3rio%20aula%20Avalia%C3%A7%C3%A3o%20Nutricional_Janaina%20Pulgatti.pdf</t>
  </si>
  <si>
    <t>https://uniasselvi01-my.sharepoint.com/personal/elienai_cesar_uniasselvi_com_br1/Documents/Aplicativos/Microsoft%20Forms/Question%C3%A1rio%20sem%20t%C3%ADtulo/Envio%20da%20Lista%20de%20Presen%C3%A7a%202/3_Janaina%20Pulgatti.jpeg</t>
  </si>
  <si>
    <t>https://uniasselvi01-my.sharepoint.com/personal/elienai_cesar_uniasselvi_com_br1/Documents/Aplicativos/Microsoft%20Forms/Question%C3%A1rio%20sem%20t%C3%ADtulo/Envio%20do%20Portf%C3%B3lio%20em%20PDF%202/17.03%20-%20%20Avalia%C3%A7%C3%A3o%20Nutricional%20no%20Adulto%20Aval_Janaina%20Pulgatti.pdf</t>
  </si>
  <si>
    <t>https://uniasselvi01-my.sharepoint.com/personal/elienai_cesar_uniasselvi_com_br1/Documents/Aplicativos/Microsoft%20Forms/Question%C3%A1rio%20sem%20t%C3%ADtulo/Envio%20da%20Lista%20de%20Presen%C3%A7a%202/IMG_20260324_202713_Laura%20Volpato.jpg</t>
  </si>
  <si>
    <t>https://uniasselvi01-my.sharepoint.com/personal/elienai_cesar_uniasselvi_com_br1/Documents/Aplicativos/Microsoft%20Forms/Question%C3%A1rio%20sem%20t%C3%ADtulo/Envio%20do%20Portf%C3%B3lio%20em%20PDF%202/11%20Portf%C3%B3lio%20das%20Atividades%20Pr%C3%A1ticas.docx_Laura%20Volpato.pdf</t>
  </si>
  <si>
    <t>https://uniasselvi01-my.sharepoint.com/personal/elienai_cesar_uniasselvi_com_br1/Documents/Aplicativos/Microsoft%20Forms/Question%C3%A1rio%20sem%20t%C3%ADtulo/Envio%20da%20Lista%20de%20Presen%C3%A7a%202/IMG_20260324_202709_Laura%20Volpato.jpg</t>
  </si>
  <si>
    <t>https://uniasselvi01-my.sharepoint.com/personal/elienai_cesar_uniasselvi_com_br1/Documents/Aplicativos/Microsoft%20Forms/Question%C3%A1rio%20sem%20t%C3%ADtulo/Envio%20do%20Portf%C3%B3lio%20em%20PDF%202/12%20Portf%C3%B3lio%20das%20Atividades%20Pr%C3%A1ticas.docx_Laura%20Volpato.pdf</t>
  </si>
  <si>
    <t>https://uniasselvi01-my.sharepoint.com/personal/elienai_cesar_uniasselvi_com_br1/Documents/Aplicativos/Microsoft%20Forms/Question%C3%A1rio%20sem%20t%C3%ADtulo/Envio%20da%20Lista%20de%20Presen%C3%A7a/LISTA%20DE%20PRESEN%C3%87A%20CATETER%20VENOSO%20CENTRAL%2020.0_Ana%20Souza.pdf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</si>
  <si>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https://uniasselvi01-my.sharepoint.com/personal/elienai_cesar_uniasselvi_com_br1/Documents/Aplicativos/Microsoft%20Forms/Question%C3%A1rio%20sem%20t%C3%ADtulo/Envio%20do%20Portf%C3%B3lio%20em%20PDF/Tutor%20-%20Portf%C3%B3lio%20das%20Atividades%20Pr%C3%A1ticas_Ana%20Souza.pdf</t>
  </si>
  <si>
    <t>https://uniasselvi01-my.sharepoint.com/personal/elienai_cesar_uniasselvi_com_br1/Documents/Aplicativos/Microsoft%20Forms/Question%C3%A1rio%20sem%20t%C3%ADtulo/Envio%20da%20Lista%20de%20Presen%C3%A7a%202/WhatsApp%20Image%202026-03-25%20at%2009.54.56_Izabela%20Biela.jpeg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</si>
  <si>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%20-%20Avalia%C3%A7%C3%A3o_Izabela%20Biela%201.pdf</t>
  </si>
  <si>
    <t>https://uniasselvi01-my.sharepoint.com/personal/elienai_cesar_uniasselvi_com_br1/Documents/Aplicativos/Microsoft%20Forms/Question%C3%A1rio%20sem%20t%C3%ADtulo/Envio%20da%20Lista%20de%20Presen%C3%A7a%202/WhatsApp%20Image%202026-03-25%20at%2009.55.14_Izabela%20Biela.jpeg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</si>
  <si>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%20-%20Anamnese_Izabela%20Biela%201.pdf</t>
  </si>
  <si>
    <t>https://uniasselvi01-my.sharepoint.com/personal/elienai_cesar_uniasselvi_com_br1/Documents/Aplicativos/Microsoft%20Forms/Question%C3%A1rio%20sem%20t%C3%ADtulo/Envio%20da%20Lista%20de%20Presen%C3%A7a/WhatsApp%20Image%202026-03-25%20at%2014.54.54%20NEURO_Izabel%20Silva.jpeg</t>
  </si>
  <si>
    <t>https://uniasselvi01-my.sharepoint.com/personal/elienai_cesar_uniasselvi_com_br1/Documents/Aplicativos/Microsoft%20Forms/Question%C3%A1rio%20sem%20t%C3%ADtulo/Envio%20do%20Portf%C3%B3lio%20em%20PDF/FOTTO_Izabel%20Silva.jpeg; https://uniasselvi01-my.sharepoint.com/personal/elienai_cesar_uniasselvi_com_br1/Documents/Aplicativos/Microsoft%20Forms/Question%C3%A1rio%20sem%20t%C3%ADtulo/Envio%20do%20Portf%C3%B3lio%20em%20PDF/WhatsApp%20Image%202026-03-25%20at%2014.35.50_Izabel%20Silva.jpeg</t>
  </si>
  <si>
    <t>https://uniasselvi01-my.sharepoint.com/personal/elienai_cesar_uniasselvi_com_br1/Documents/Aplicativos/Microsoft%20Forms/Question%C3%A1rio%20sem%20t%C3%ADtulo/Envio%20da%20Lista%20de%20Presen%C3%A7a/LISTA%20PRESEN%C3%87A_Izabel%20Silva.jpeg</t>
  </si>
  <si>
    <t>https://uniasselvi01-my.sharepoint.com/personal/elienai_cesar_uniasselvi_com_br1/Documents/Aplicativos/Microsoft%20Forms/Question%C3%A1rio%20sem%20t%C3%ADtulo/Envio%20do%20Portf%C3%B3lio%20em%20PDF/FOTTO_Izabel%20Silva%201.jpeg; https://uniasselvi01-my.sharepoint.com/personal/elienai_cesar_uniasselvi_com_br1/Documents/Aplicativos/Microsoft%20Forms/Question%C3%A1rio%20sem%20t%C3%ADtulo/Envio%20do%20Portf%C3%B3lio%20em%20PDF/VIDEO%20SIMULA%C3%87%C3%83O_Izabel%20Silva.mp4</t>
  </si>
  <si>
    <t>jaysiane.cunha@regentedepolo.uniasselvi.com.br</t>
  </si>
  <si>
    <t>Jaysiane Cunha</t>
  </si>
  <si>
    <t>Rio Branco/AC - Tangará</t>
  </si>
  <si>
    <t>https://uniasselvi01-my.sharepoint.com/personal/elienai_cesar_uniasselvi_com_br1/Documents/Aplicativos/Microsoft%20Forms/Question%C3%A1rio%20sem%20t%C3%ADtulo/Envio%20da%20Lista%20de%20Presen%C3%A7a/Lista%20de%20%20Chamada%2001_Jaysiane%20Cunha.pdf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</si>
  <si>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-1_Jaysiane%20Cunha.pdf</t>
  </si>
  <si>
    <t>https://uniasselvi01-my.sharepoint.com/personal/elienai_cesar_uniasselvi_com_br1/Documents/Aplicativos/Microsoft%20Forms/Question%C3%A1rio%20sem%20t%C3%ADtulo/Envio%20da%20Lista%20de%20Presen%C3%A7a/Lista%20de%20Chamada%202_Jaysiane%20Cunha.pdf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</si>
  <si>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-2._Jaysiane%20Cunha.pdf</t>
  </si>
  <si>
    <t>https://uniasselvi01-my.sharepoint.com/personal/elienai_cesar_uniasselvi_com_br1/Documents/Aplicativos/Microsoft%20Forms/Question%C3%A1rio%20sem%20t%C3%ADtulo/Envio%20da%20Lista%20de%20Presen%C3%A7a/Lista%20de%20Chamada%203_Jaysiane%20Cunha.pdf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</si>
  <si>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-3._Jaysiane%20Cunha.pdf</t>
  </si>
  <si>
    <t>https://uniasselvi01-my.sharepoint.com/personal/elienai_cesar_uniasselvi_com_br1/Documents/Aplicativos/Microsoft%20Forms/Question%C3%A1rio%20sem%20t%C3%ADtulo/Envio%20da%20Lista%20de%20Presen%C3%A7a/Lista%20de%20Chamada%204_Jaysiane%20Cunha.pdf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</si>
  <si>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-4._Jaysiane%20Cunha.pdf</t>
  </si>
  <si>
    <t>https://uniasselvi01-my.sharepoint.com/personal/elienai_cesar_uniasselvi_com_br1/Documents/Aplicativos/Microsoft%20Forms/Question%C3%A1rio%20sem%20t%C3%ADtulo/Envio%20da%20Lista%20de%20Presen%C3%A7a/Lista%20de%20Chamada%205_Jaysiane%20Cunha.pdf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</si>
  <si>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-5_Jaysiane%20Cunha.pdf</t>
  </si>
  <si>
    <t>maria.guerreiro@tutorpratica.uniasselvi.com.br</t>
  </si>
  <si>
    <t>Maria Guerreiro</t>
  </si>
  <si>
    <t>EngeMaker - Arquitetura</t>
  </si>
  <si>
    <t>Levantamento de cargas;Dimensionamento de Condutores e Dispositivos de Proteção</t>
  </si>
  <si>
    <t>https://uniasselvi01-my.sharepoint.com/personal/elienai_cesar_uniasselvi_com_br1/Documents/Aplicativos/Microsoft%20Forms/Question%C3%A1rio%20sem%20t%C3%ADtulo/Envio%20da%20Lista%20de%20Presen%C3%A7a%204/17_03_Maria%20Guerreiro.jpeg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</si>
  <si>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_%20le_Maria%20Guerreiro.pdf</t>
  </si>
  <si>
    <t>Acionamento de Iluminação;Acionamento de Cargas Remotamente e com sensores</t>
  </si>
  <si>
    <t>https://uniasselvi01-my.sharepoint.com/personal/elienai_cesar_uniasselvi_com_br1/Documents/Aplicativos/Microsoft%20Forms/Question%C3%A1rio%20sem%20t%C3%ADtulo/Envio%20da%20Lista%20de%20Presen%C3%A7a%204/24_3_Maria%20Guerreiro.jpeg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</si>
  <si>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_%20ac_Maria%20Guerreiro.pdf</t>
  </si>
  <si>
    <t>Anamnese nutricional do adulto e Diagnóstico nutricional;Avaliação antropométrico de adulto e de acamado</t>
  </si>
  <si>
    <t>https://uniasselvi01-my.sharepoint.com/personal/elienai_cesar_uniasselvi_com_br1/Documents/Aplicativos/Microsoft%20Forms/Question%C3%A1rio%20sem%20t%C3%ADtulo/Envio%20da%20Lista%20de%20Presen%C3%A7a%202/3_Janaina%20Pulgatti%201.jpeg</t>
  </si>
  <si>
    <t>https://uniasselvi01-my.sharepoint.com/personal/elienai_cesar_uniasselvi_com_br1/Documents/Aplicativos/Microsoft%20Forms/Question%C3%A1rio%20sem%20t%C3%ADtulo/Envio%20do%20Portf%C3%B3lio%20em%20PDF%202/17.03%20-%20%20Avalia%C3%A7%C3%A3o%20Antropom%C3%A9trica%20no%20Adulto%20e_Janaina%20Pulgatti.pdf</t>
  </si>
  <si>
    <t>https://uniasselvi01-my.sharepoint.com/personal/elienai_cesar_uniasselvi_com_br1/Documents/Aplicativos/Microsoft%20Forms/Question%C3%A1rio%20sem%20t%C3%ADtulo/Envio%20da%20Lista%20de%20Presen%C3%A7a%202/2_Janaina%20Pulgatti%202.jpeg</t>
  </si>
  <si>
    <t>https://uniasselvi01-my.sharepoint.com/personal/elienai_cesar_uniasselvi_com_br1/Documents/Aplicativos/Microsoft%20Forms/Question%C3%A1rio%20sem%20t%C3%ADtulo/Envio%20do%20Portf%C3%B3lio%20em%20PDF%202/17.03%20-%20%20Anamnese%20Nutricional%20no%20Adulto%20e%20Dia_Janaina%20Pulgatti.pdf</t>
  </si>
  <si>
    <t>https://uniasselvi01-my.sharepoint.com/personal/elienai_cesar_uniasselvi_com_br1/Documents/Aplicativos/Microsoft%20Forms/Question%C3%A1rio%20sem%20t%C3%ADtulo/Envio%20da%20Lista%20de%20Presen%C3%A7a%202/1703_Natalia%20Mattos.jpeg; https://uniasselvi01-my.sharepoint.com/personal/elienai_cesar_uniasselvi_com_br1/Documents/Aplicativos/Microsoft%20Forms/Question%C3%A1rio%20sem%20t%C3%ADtulo/Envio%20da%20Lista%20de%20Presen%C3%A7a%202/17032_Natalia%20Mattos.jpeg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</si>
  <si>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.doc_Natalia%20Mattos%204.pdf</t>
  </si>
  <si>
    <t>https://uniasselvi01-my.sharepoint.com/personal/elienai_cesar_uniasselvi_com_br1/Documents/Aplicativos/Microsoft%20Forms/Question%C3%A1rio%20sem%20t%C3%ADtulo/Envio%20da%20Lista%20de%20Presen%C3%A7a/Lista%20presen%C3%A7a%2025.03.26_Eliana%20Goncalves.jpeg</t>
  </si>
  <si>
    <t>https://uniasselvi01-my.sharepoint.com/personal/elienai_cesar_uniasselvi_com_br1/Documents/Aplicativos/Microsoft%20Forms/Question%C3%A1rio%20sem%20t%C3%ADtulo/Envio%20do%20Portf%C3%B3lio%20em%20PDF/25.03.26%20Manobra%20de%20Suporte%20B%C3%A1sico%20de%20Vida_Eliana%20Goncalves.pdf</t>
  </si>
  <si>
    <t>https://uniasselvi01-my.sharepoint.com/personal/elienai_cesar_uniasselvi_com_br1/Documents/Aplicativos/Microsoft%20Forms/Question%C3%A1rio%20sem%20t%C3%ADtulo/Envio%20da%20Lista%20de%20Presen%C3%A7a%202/2403_Natalia%20Mattos.jpeg; https://uniasselvi01-my.sharepoint.com/personal/elienai_cesar_uniasselvi_com_br1/Documents/Aplicativos/Microsoft%20Forms/Question%C3%A1rio%20sem%20t%C3%ADtulo/Envio%20da%20Lista%20de%20Presen%C3%A7a%202/24031_Natalia%20Mattos.jpeg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</si>
  <si>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.doc_Natalia%20Mattos%205.pdf</t>
  </si>
  <si>
    <t>Gastronomia pediátrica;Estudo de caso dirigido  - relacionado ao caso destacado na receita preparada.</t>
  </si>
  <si>
    <t>https://uniasselvi01-my.sharepoint.com/personal/elienai_cesar_uniasselvi_com_br1/Documents/Aplicativos/Microsoft%20Forms/Question%C3%A1rio%20sem%20t%C3%ADtulo/Envio%20da%20Lista%20de%20Presen%C3%A7a%202/C%C3%B3pia%20de%20Tutor%20-%20Portf%C3%B3lio%20das%20Atividades%20Pr%C3%A1_Natalia%20Mattos.pdf</t>
  </si>
  <si>
    <t>https://uniasselvi01-my.sharepoint.com/personal/elienai_cesar_uniasselvi_com_br1/Documents/Aplicativos/Microsoft%20Forms/Question%C3%A1rio%20sem%20t%C3%ADtulo/Envio%20do%20Portf%C3%B3lio%20em%20PDF%202/C%C3%B3pia%20de%20Tutor%20-%20Portf%C3%B3lio%20das%20Atividades%20Pr%C3%A1_Natalia%20Mattos.pdf</t>
  </si>
  <si>
    <t>https://uniasselvi01-my.sharepoint.com/personal/elienai_cesar_uniasselvi_com_br1/Documents/Aplicativos/Microsoft%20Forms/Question%C3%A1rio%20sem%20t%C3%ADtulo/Envio%20da%20Lista%20de%20Presen%C3%A7a%205/Frequ%C3%AAncia%20fertilidade_Mauro%20Alves.pdf</t>
  </si>
  <si>
    <t>https://uniasselvi01-my.sharepoint.com/personal/elienai_cesar_uniasselvi_com_br1/Documents/Aplicativos/Microsoft%20Forms/Question%C3%A1rio%20sem%20t%C3%ADtulo/Envio%20do%20Portf%C3%B3lio%20em%20PDF%205/Fortif%C3%B3lio%20Fertilidade_Mauro%20Alves.pdf</t>
  </si>
  <si>
    <t>https://uniasselvi01-my.sharepoint.com/personal/elienai_cesar_uniasselvi_com_br1/Documents/Aplicativos/Microsoft%20Forms/Question%C3%A1rio%20sem%20t%C3%ADtulo/Envio%20da%20Lista%20de%20Presen%C3%A7a%205/Frequ%C3%AAncia%20Microbiologia_Mauro%20Alves.pdf</t>
  </si>
  <si>
    <t>https://uniasselvi01-my.sharepoint.com/personal/elienai_cesar_uniasselvi_com_br1/Documents/Aplicativos/Microsoft%20Forms/Question%C3%A1rio%20sem%20t%C3%ADtulo/Envio%20do%20Portf%C3%B3lio%20em%20PDF%205/Portifolio%20Microbiologia%20agr%C3%ADcola%20aula%201_Mauro%20Alves.pdf</t>
  </si>
  <si>
    <t>https://uniasselvi01-my.sharepoint.com/personal/elienai_cesar_uniasselvi_com_br1/Documents/Aplicativos/Microsoft%20Forms/Question%C3%A1rio%20sem%20t%C3%ADtulo/Envio%20da%20Lista%20de%20Presen%C3%A7a%205/Frequ%C3%AAncia%20Microbiologia_Mauro%20Alves%201.pdf</t>
  </si>
  <si>
    <t>https://uniasselvi01-my.sharepoint.com/personal/elienai_cesar_uniasselvi_com_br1/Documents/Aplicativos/Microsoft%20Forms/Question%C3%A1rio%20sem%20t%C3%ADtulo/Envio%20do%20Portf%C3%B3lio%20em%20PDF%205/Portif%C3%B3lio%20microbiologia%20agr%C3%ADcola%20cont._Mauro%20Alves.pdf</t>
  </si>
  <si>
    <t>https://uniasselvi01-my.sharepoint.com/personal/elienai_cesar_uniasselvi_com_br1/Documents/Aplicativos/Microsoft%20Forms/Question%C3%A1rio%20sem%20t%C3%ADtulo/Envio%20da%20Lista%20de%20Presen%C3%A7a%201/IMG_3080_Lorrine%20Silva.jpeg</t>
  </si>
  <si>
    <t>https://uniasselvi01-my.sharepoint.com/personal/elienai_cesar_uniasselvi_com_br1/Documents/Aplicativos/Microsoft%20Forms/Question%C3%A1rio%20sem%20t%C3%ADtulo/Envio%20do%20Portf%C3%B3lio%20em%20PDF%201/Portfo%CC%81lio%20corporal_Lorrine%20Silva.pdf</t>
  </si>
  <si>
    <t>Sondagem vesical de alívio + Sondagem vesical de demora</t>
  </si>
  <si>
    <t>https://uniasselvi01-my.sharepoint.com/personal/elienai_cesar_uniasselvi_com_br1/Documents/Aplicativos/Microsoft%20Forms/Question%C3%A1rio%20sem%20t%C3%ADtulo/Envio%20da%20Lista%20de%20Presen%C3%A7a/Presen%C3%A7a%2024.03.2026_Sara%20Amann.jpeg</t>
  </si>
  <si>
    <t>https://uniasselvi01-my.sharepoint.com/personal/elienai_cesar_uniasselvi_com_br1/Documents/Aplicativos/Microsoft%20Forms/Question%C3%A1rio%20sem%20t%C3%ADtulo/Envio%20do%20Portf%C3%B3lio%20em%20PDF/2026.03.24%20-%20Sondas%20(vesical,%20enteral%20e%20g%C3%A1str_Sara%20Amann.pdf</t>
  </si>
  <si>
    <t>Movimento Articular e Goniometria: Avaliação Quantitativa na Prática Fisioterapêutica</t>
  </si>
  <si>
    <t>https://uniasselvi01-my.sharepoint.com/personal/elienai_cesar_uniasselvi_com_br1/Documents/Aplicativos/Microsoft%20Forms/Question%C3%A1rio%20sem%20t%C3%ADtulo/Envio%20da%20Lista%20de%20Presen%C3%A7a%201/IMG_1180_Lucas%20Medeiros.PNG</t>
  </si>
  <si>
    <t>https://uniasselvi01-my.sharepoint.com/personal/elienai_cesar_uniasselvi_com_br1/Documents/Aplicativos/Microsoft%20Forms/Question%C3%A1rio%20sem%20t%C3%ADtulo/Envio%20do%20Portf%C3%B3lio%20em%20PDF%201/movimento_Lucas%20Medeiros.pdf</t>
  </si>
  <si>
    <t>https://uniasselvi01-my.sharepoint.com/personal/elienai_cesar_uniasselvi_com_br1/Documents/Aplicativos/Microsoft%20Forms/Question%C3%A1rio%20sem%20t%C3%ADtulo/Envio%20da%20Lista%20de%20Presen%C3%A7a%201/IMG_1175_Lucas%20Medeiros.PNG</t>
  </si>
  <si>
    <t>https://uniasselvi01-my.sharepoint.com/personal/elienai_cesar_uniasselvi_com_br1/Documents/Aplicativos/Microsoft%20Forms/Question%C3%A1rio%20sem%20t%C3%ADtulo/Envio%20do%20Portf%C3%B3lio%20em%20PDF%201/movimento2_Lucas%20Medeiros.pdf</t>
  </si>
  <si>
    <t>https://uniasselvi01-my.sharepoint.com/personal/elienai_cesar_uniasselvi_com_br1/Documents/Aplicativos/Microsoft%20Forms/Question%C3%A1rio%20sem%20t%C3%ADtulo/Envio%20da%20Lista%20de%20Presen%C3%A7a/Listas%20de%20Presen%C3%A7a%20-%20EFM_Maria%20Meirelles.pdf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</si>
  <si>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t_Maria%20Meirelles.pdf; https://uniasselvi01-my.sharepoint.com/personal/elienai_cesar_uniasselvi_com_br1/Documents/Aplicativos/Microsoft%20Forms/Question%C3%A1rio%20sem%20t%C3%ADtulo/Envio%20do%20Portf%C3%B3lio%20em%20PDF/Tutor%20-%20Portf%C3%B3lio%20das%20Atividades%20Pr%C3%A1ticas%20-%20t%202_Maria%20Meirelles.pdf</t>
  </si>
  <si>
    <t>https://uniasselvi01-my.sharepoint.com/personal/elienai_cesar_uniasselvi_com_br1/Documents/Aplicativos/Microsoft%20Forms/Question%C3%A1rio%20sem%20t%C3%ADtulo/Envio%20da%20Lista%20de%20Presen%C3%A7a/UNIASSELVI%20(1)_Maria%20Meirelles.pdf; https://uniasselvi01-my.sharepoint.com/personal/elienai_cesar_uniasselvi_com_br1/Documents/Aplicativos/Microsoft%20Forms/Question%C3%A1rio%20sem%20t%C3%ADtulo/Envio%20da%20Lista%20de%20Presen%C3%A7a/UNIASSELVI_Maria%20Meirelles.pdf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</si>
  <si>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c_Maria%20Meirelles.pdf; https://uniasselvi01-my.sharepoint.com/personal/elienai_cesar_uniasselvi_com_br1/Documents/Aplicativos/Microsoft%20Forms/Question%C3%A1rio%20sem%20t%C3%ADtulo/Envio%20do%20Portf%C3%B3lio%20em%20PDF/Tutor%20-%20Portf%C3%B3lio%20das%20Atividades%20Pr%C3%A1ticas%20-ri_Maria%20Meirelles.pdf</t>
  </si>
  <si>
    <t>https://uniasselvi01-my.sharepoint.com/personal/elienai_cesar_uniasselvi_com_br1/_layouts/15/Doc.aspx?sourcedoc=%7B8C8E01C5-0822-4FBC-9FCA-F96199E28764%7D&amp;file=Relat%C3%B3rio%20de%20Laborat%C3%B3rio%2024.03.2026%20aula%201_Luiz%20Silva.docx&amp;action=default&amp;mobileredirect=true</t>
  </si>
  <si>
    <t>https://uniasselvi01-my.sharepoint.com/personal/elienai_cesar_uniasselvi_com_br1/Documents/Aplicativos/Microsoft%20Forms/Question%C3%A1rio%20sem%20t%C3%ADtulo/Envio%20do%20Portf%C3%B3lio%20em%20PDF/Foto%2024.03.2026_Luiz%20Silva.jpeg</t>
  </si>
  <si>
    <t>https://uniasselvi01-my.sharepoint.com/personal/elienai_cesar_uniasselvi_com_br1/_layouts/15/Doc.aspx?sourcedoc=%7B28205361-3284-4686-A457-AD26F9714C49%7D&amp;file=Relat%C3%B3rio%20de%20Laborat%C3%B3rio%2024.03.2026%20aula%202_Luiz%20Silva.docx&amp;action=default&amp;mobileredirect=true</t>
  </si>
  <si>
    <t>https://uniasselvi01-my.sharepoint.com/personal/elienai_cesar_uniasselvi_com_br1/Documents/Aplicativos/Microsoft%20Forms/Question%C3%A1rio%20sem%20t%C3%ADtulo/Envio%20do%20Portf%C3%B3lio%20em%20PDF/Foto%2024.03.2026_Luiz%20Silva%201.jpeg</t>
  </si>
  <si>
    <t>marcelly.santos@tutorpratica.uniasselvi.com.br</t>
  </si>
  <si>
    <t>Marcelly Santos</t>
  </si>
  <si>
    <t>Itaguaí/RJ - Edifício Manancial</t>
  </si>
  <si>
    <t>Desenho Técnico no AutoCAD: Prática Essencial para Iniciantes.;Conceitos Básicos do Desenho Auxiliado por Computador (AutoCAD)</t>
  </si>
  <si>
    <t>https://uniasselvi01-my.sharepoint.com/personal/elienai_cesar_uniasselvi_com_br1/Documents/Aplicativos/Microsoft%20Forms/Question%C3%A1rio%20sem%20t%C3%ADtulo/Envio%20da%20Lista%20de%20Presen%C3%A7a%204/IMG_20260326_193404042_HDR_Marcelly%20Santos.jpg</t>
  </si>
  <si>
    <t>https://uniasselvi01-my.sharepoint.com/personal/elienai_cesar_uniasselvi_com_br1/Documents/Aplicativos/Microsoft%20Forms/Question%C3%A1rio%20sem%20t%C3%ADtulo/Envio%20do%20Portf%C3%B3lio%20em%20PDF%204/Tutor%20MARCELLY%20MARINHO%20DOS%20SANTOS%20-%20Portf%C3%B3lio_Marcelly%20Santos.pdf</t>
  </si>
  <si>
    <t>https://uniasselvi01-my.sharepoint.com/personal/elienai_cesar_uniasselvi_com_br1/Documents/Aplicativos/Microsoft%20Forms/Question%C3%A1rio%20sem%20t%C3%ADtulo/Envio%20da%20Lista%20de%20Presen%C3%A7a/WhatsApp%20Image%202026-03-26%20at%2020.42.41_Conceicao%20Delphino.jpeg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</si>
  <si>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Uniasselvi_Conceicao%20Delphino%204.pdf; https://uniasselvi01-my.sharepoint.com/personal/elienai_cesar_uniasselvi_com_br1/Documents/Aplicativos/Microsoft%20Forms/Question%C3%A1rio%20sem%20t%C3%ADtulo/Envio%20do%20Portf%C3%B3lio%20em%20PDF/WhatsApp%20Image%202026-03-26%20at%2020.42.21_Conceicao%20Delphino.jpeg</t>
  </si>
  <si>
    <t>https://uniasselvi01-my.sharepoint.com/personal/elienai_cesar_uniasselvi_com_br1/Documents/Aplicativos/Microsoft%20Forms/Question%C3%A1rio%20sem%20t%C3%ADtulo/Envio%20da%20Lista%20de%20Presen%C3%A7a/WhatsApp%20Image%202026-03-26%20at%2021.10.45_Aline%20Costa.jpeg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</si>
  <si>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20-%20agendamen_Aline%20Costa%203.pdf</t>
  </si>
  <si>
    <t>Coleta de Sangue;Esfregaço sanguíneo e colorações  (contagem diferencial de leucócitos)</t>
  </si>
  <si>
    <t>https://uniasselvi01-my.sharepoint.com/personal/elienai_cesar_uniasselvi_com_br1/Documents/Aplicativos/Microsoft%20Forms/Question%C3%A1rio%20sem%20t%C3%ADtulo/Pergunta/img20260326_21174866_Andre%20Oliveira.jpg</t>
  </si>
  <si>
    <t>https://uniasselvi01-my.sharepoint.com/personal/elienai_cesar_uniasselvi_com_br1/Documents/Aplicativos/Microsoft%20Forms/Question%C3%A1rio%20sem%20t%C3%ADtulo/Pergunta%201/Tutor%20-%20Portf%C3%B3lio%20das%20Atividades%20Pr%C3%A1ticas%20(2)_Andre%20Oliveira.pdf</t>
  </si>
  <si>
    <t>https://uniasselvi01-my.sharepoint.com/personal/elienai_cesar_uniasselvi_com_br1/Documents/Aplicativos/Microsoft%20Forms/Question%C3%A1rio%20sem%20t%C3%ADtulo/Envio%20da%20Lista%20de%20Presen%C3%A7a/WhatsApp%20Image%202026-03-26%20at%2021.26.58_Aline%20Costa.jpeg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</si>
  <si>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20-%20agendamen_Aline%20Costa%204.pdf</t>
  </si>
  <si>
    <t>https://uniasselvi01-my.sharepoint.com/personal/elienai_cesar_uniasselvi_com_br1/Documents/Aplicativos/Microsoft%20Forms/Question%C3%A1rio%20sem%20t%C3%ADtulo/Envio%20da%20Lista%20de%20Presen%C3%A7a%202/Presen%C3%A7a%20Avalia%C3%A7%C3%A3o%20Nutricional%201_Kellen%20Nascimento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</si>
  <si>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20-%20A_Kellen%20Nascimento.pdf</t>
  </si>
  <si>
    <t>https://uniasselvi01-my.sharepoint.com/personal/elienai_cesar_uniasselvi_com_br1/Documents/Aplicativos/Microsoft%20Forms/Question%C3%A1rio%20sem%20t%C3%ADtulo/Envio%20da%20Lista%20de%20Presen%C3%A7a%202/Presen%C3%A7a%20Avalia%C3%A7%C3%A3o%20Nutricional%202_Kellen%20Nascimento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</si>
  <si>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20-%20A_Kellen%20Nascimento%201.pdf</t>
  </si>
  <si>
    <t>Movimento Articular e Goniometria: Avaliação Quantitativa na Prática Fisioterapêutica;Movimento Funcional e Cinesiologia da Marcha: Observação e Análise em Laboratório Prático</t>
  </si>
  <si>
    <t>https://uniasselvi01-my.sharepoint.com/personal/elienai_cesar_uniasselvi_com_br1/_layouts/15/Doc.aspx?sourcedoc=%7B7A2BA6BD-6BD9-4D81-BA72-998EB75E5988%7D&amp;file=Lista%20de%20presen%C3%A7a%20%20Cinesiologia_Vanessa%20Varjao.docx&amp;action=default&amp;mobileredirect=true</t>
  </si>
  <si>
    <t>https://uniasselvi01-my.sharepoint.com/personal/elienai_cesar_uniasselvi_com_br1/_layouts/15/Doc.aspx?sourcedoc=%7B8D69B908-074D-4A22-AB48-1912F8B807A8%7D&amp;file=Portf%C3%B3lio%20Cinesiologia_Vanessa%20Varjao.docx&amp;action=default&amp;mobileredirect=true</t>
  </si>
  <si>
    <t>https://uniasselvi01-my.sharepoint.com/personal/elienai_cesar_uniasselvi_com_br1/Documents/Aplicativos/Microsoft%20Forms/Question%C3%A1rio%20sem%20t%C3%ADtulo/Envio%20da%20Lista%20de%20Presen%C3%A7a%201/WhatsApp%20Image%202026-03-27%20at%2014.13.51_Clara%20Oliveira.jpeg; https://uniasselvi01-my.sharepoint.com/personal/elienai_cesar_uniasselvi_com_br1/Documents/Aplicativos/Microsoft%20Forms/Question%C3%A1rio%20sem%20t%C3%ADtulo/Envio%20da%20Lista%20de%20Presen%C3%A7a%201/WhatsApp%20Image%202026-03-27%20at%2014.13.52_Clara%20Oliveira.jpeg</t>
  </si>
  <si>
    <t>https://uniasselvi01-my.sharepoint.com/personal/elienai_cesar_uniasselvi_com_br1/_layouts/15/Doc.aspx?sourcedoc=%7B74B03DCA-C5A8-4A3D-BD6F-575431ACD895%7D&amp;file=Portfo%CC%81lio%20das%20Atividades%20Pra%CC%81ticas,%2018.03_Clara%20Oliveira.docx&amp;action=default&amp;mobileredirect=true; https://uniasselvi01-my.sharepoint.com/personal/elienai_cesar_uniasselvi_com_br1/Documents/Aplicativos/Microsoft%20Forms/Question%C3%A1rio%20sem%20t%C3%ADtulo/Envio%20do%20Portf%C3%B3lio%20em%20PDF%201/Portfo%CC%81lio%20das%20Atividades%20Pra%CC%81ticas,%2018.03_Clara%20Oliveira.pdf</t>
  </si>
  <si>
    <t>https://uniasselvi01-my.sharepoint.com/personal/elienai_cesar_uniasselvi_com_br1/Documents/Aplicativos/Microsoft%20Forms/Question%C3%A1rio%20sem%20t%C3%ADtulo/Envio%20da%20Lista%20de%20Presen%C3%A7a%201/WhatsApp%20Image%202026-03-27%20at%2014.13.51_Clara%20Oliveira%201.jpeg; https://uniasselvi01-my.sharepoint.com/personal/elienai_cesar_uniasselvi_com_br1/Documents/Aplicativos/Microsoft%20Forms/Question%C3%A1rio%20sem%20t%C3%ADtulo/Envio%20da%20Lista%20de%20Presen%C3%A7a%201/WhatsApp%20Image%202026-03-27%20at%2014.13.52_Clara%20Oliveira%201.jpeg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</si>
  <si>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%202,%2018.03_Clara%20Oliveira.pdf</t>
  </si>
  <si>
    <t>https://uniasselvi01-my.sharepoint.com/personal/elienai_cesar_uniasselvi_com_br1/Documents/Aplicativos/Microsoft%20Forms/Question%C3%A1rio%20sem%20t%C3%ADtulo/Envio%20da%20Lista%20de%20Presen%C3%A7a%201/WhatsApp%20Image%202026-03-27%20at%2014.33.28-2_Clara%20Oliveira.jpeg; https://uniasselvi01-my.sharepoint.com/personal/elienai_cesar_uniasselvi_com_br1/Documents/Aplicativos/Microsoft%20Forms/Question%C3%A1rio%20sem%20t%C3%ADtulo/Envio%20da%20Lista%20de%20Presen%C3%A7a%201/WhatsApp%20Image%202026-03-27%20at%2014.33.28_Clara%20Oliveira.jpeg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</si>
  <si>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,%2025.03_Clara%20Oliveira.pdf</t>
  </si>
  <si>
    <t>https://uniasselvi01-my.sharepoint.com/personal/elienai_cesar_uniasselvi_com_br1/Documents/Aplicativos/Microsoft%20Forms/Question%C3%A1rio%20sem%20t%C3%ADtulo/Envio%20da%20Lista%20de%20Presen%C3%A7a%201/WhatsApp%20Image%202026-03-27%20at%2014.33.28-2_Clara%20Oliveira%201.jpeg; https://uniasselvi01-my.sharepoint.com/personal/elienai_cesar_uniasselvi_com_br1/Documents/Aplicativos/Microsoft%20Forms/Question%C3%A1rio%20sem%20t%C3%ADtulo/Envio%20da%20Lista%20de%20Presen%C3%A7a%201/WhatsApp%20Image%202026-03-27%20at%2014.33.28_Clara%20Oliveira%201.jpeg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</si>
  <si>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%202,%2025.03_Clara%20Oliveira.pdf</t>
  </si>
  <si>
    <t>Treino de Atividades da Vida Diária - Membros Inferiores</t>
  </si>
  <si>
    <t>https://uniasselvi01-my.sharepoint.com/personal/elienai_cesar_uniasselvi_com_br1/Documents/Aplicativos/Microsoft%20Forms/Question%C3%A1rio%20sem%20t%C3%ADtulo/Envio%20da%20Lista%20de%20Presen%C3%A7a%201/lista%202%20frequencia%20MOV%20FUNC%20MMII%2018%20mar%C3%A7o%20202_Beatriz%20Silva.jpeg; https://uniasselvi01-my.sharepoint.com/personal/elienai_cesar_uniasselvi_com_br1/Documents/Aplicativos/Microsoft%20Forms/Question%C3%A1rio%20sem%20t%C3%ADtulo/Envio%20da%20Lista%20de%20Presen%C3%A7a%201/lista%20frequencia%20MOV%20FUNC%20MMII%2018%20mar%C3%A7o%202026_Beatriz%20Silva.jpeg</t>
  </si>
  <si>
    <t>https://uniasselvi01-my.sharepoint.com/personal/elienai_cesar_uniasselvi_com_br1/Documents/Aplicativos/Microsoft%20Forms/Question%C3%A1rio%20sem%20t%C3%ADtulo/Envio%20do%20Portf%C3%B3lio%20em%20PDF%201/PORTIFOLIO%20MOV%20FUNC%20HUM%20aula%201%2018%20MAR%C3%87O%2026_Beatriz%20Silva.pdf</t>
  </si>
  <si>
    <t>https://uniasselvi01-my.sharepoint.com/personal/elienai_cesar_uniasselvi_com_br1/Documents/Aplicativos/Microsoft%20Forms/Question%C3%A1rio%20sem%20t%C3%ADtulo/Envio%20da%20Lista%20de%20Presen%C3%A7a%201/lista%202%20frequencia%20MOV%20FUNC%20MMSS%2025%20mar%C3%A7o%20202_Beatriz%20Silva.jpeg; https://uniasselvi01-my.sharepoint.com/personal/elienai_cesar_uniasselvi_com_br1/Documents/Aplicativos/Microsoft%20Forms/Question%C3%A1rio%20sem%20t%C3%ADtulo/Envio%20da%20Lista%20de%20Presen%C3%A7a%201/lista%20frequencia%20MOV%20FUNC%20MMSS%2025%20mar%C3%A7o%202026_Beatriz%20Silva.jpeg</t>
  </si>
  <si>
    <t>https://uniasselvi01-my.sharepoint.com/personal/elienai_cesar_uniasselvi_com_br1/Documents/Aplicativos/Microsoft%20Forms/Question%C3%A1rio%20sem%20t%C3%ADtulo/Envio%20do%20Portf%C3%B3lio%20em%20PDF%201/PORTIFOLIO%20MOV%20FUNC%20HUM%20aula%202%2025%20MAR%C3%87O%2026_Beatriz%20Silva.pdf</t>
  </si>
  <si>
    <t>sandra.massad@tutorpratica.uniasselvi.com.br</t>
  </si>
  <si>
    <t>Sandra Massad</t>
  </si>
  <si>
    <t>Carapicuíba/SP</t>
  </si>
  <si>
    <t>https://uniasselvi01-my.sharepoint.com/personal/elienai_cesar_uniasselvi_com_br1/Documents/Aplicativos/Microsoft%20Forms/Question%C3%A1rio%20sem%20t%C3%ADtulo/Envio%20da%20Lista%20de%20Presen%C3%A7a/Administra%C3%A7%C3%A3o%20de%20med%20cateter%20central%20e%20monito_Sandra%20Massad.pdf</t>
  </si>
  <si>
    <t>https://uniasselvi01-my.sharepoint.com/personal/elienai_cesar_uniasselvi_com_br1/Documents/Aplicativos/Microsoft%20Forms/Question%C3%A1rio%20sem%20t%C3%ADtulo/Envio%20do%20Portf%C3%B3lio%20em%20PDF/Portf%C3%B3lio%20das%20Atividades%20Pr%C3%A1ticas%20-adm%20medica_Sandra%20Massad.pdf</t>
  </si>
  <si>
    <t>https://uniasselvi01-my.sharepoint.com/personal/elienai_cesar_uniasselvi_com_br1/Documents/Aplicativos/Microsoft%20Forms/Question%C3%A1rio%20sem%20t%C3%ADtulo/Envio%20da%20Lista%20de%20Presen%C3%A7a/Ausculta%20pulmonar%20e%20card%C3%ADaca%2026-02_Sandra%20Massad.pdf</t>
  </si>
  <si>
    <t>https://uniasselvi01-my.sharepoint.com/personal/elienai_cesar_uniasselvi_com_br1/Documents/Aplicativos/Microsoft%20Forms/Question%C3%A1rio%20sem%20t%C3%ADtulo/Envio%20do%20Portf%C3%B3lio%20em%20PDF/Portf%C3%B3lio%20asculta%20pulmonar%20e%20card%C3%ADaca_Sandra%20Massad.pdf</t>
  </si>
  <si>
    <t>https://uniasselvi01-my.sharepoint.com/personal/elienai_cesar_uniasselvi_com_br1/Documents/Aplicativos/Microsoft%20Forms/Question%C3%A1rio%20sem%20t%C3%ADtulo/Envio%20da%20Lista%20de%20Presen%C3%A7a/Ausculta%20pulmonar%20e%20card%C3%ADaca%2026-02_Sandra%20Massad%201.pdf</t>
  </si>
  <si>
    <t>https://uniasselvi01-my.sharepoint.com/personal/elienai_cesar_uniasselvi_com_br1/Documents/Aplicativos/Microsoft%20Forms/Question%C3%A1rio%20sem%20t%C3%ADtulo/Envio%20do%20Portf%C3%B3lio%20em%20PDF/Portf%C3%B3lio%20asculta%20pulmonar%20e%20card%C3%ADaca_Sandra%20Massad%201.pdf; https://uniasselvi01-my.sharepoint.com/personal/elienai_cesar_uniasselvi_com_br1/Documents/Aplicativos/Microsoft%20Forms/Question%C3%A1rio%20sem%20t%C3%ADtulo/Envio%20do%20Portf%C3%B3lio%20em%20PDF/Ausculta%20card%C3%ADaca_Sandra%20Massad.jpeg; https://uniasselvi01-my.sharepoint.com/personal/elienai_cesar_uniasselvi_com_br1/Documents/Aplicativos/Microsoft%20Forms/Question%C3%A1rio%20sem%20t%C3%ADtulo/Envio%20do%20Portf%C3%B3lio%20em%20PDF/Ausculta%20pulmonar_Sandra%20Massad.jpeg</t>
  </si>
  <si>
    <t>gilnei.dias@tutorpratica.uniasselvi.com.br</t>
  </si>
  <si>
    <t>Gilnei Dias</t>
  </si>
  <si>
    <t>Camboriú/SC</t>
  </si>
  <si>
    <t>Maquete Física Volumétrica (Parte 1)</t>
  </si>
  <si>
    <t>https://uniasselvi01-my.sharepoint.com/personal/elienai_cesar_uniasselvi_com_br1/Documents/Aplicativos/Microsoft%20Forms/Question%C3%A1rio%20sem%20t%C3%ADtulo/Envio%20da%20Lista%20de%20Presen%C3%A7a%204/lista%20de%20presen%C3%A7a%20-%20maquete%20-%2019-03-2026_Gilnei%20Dias.pdf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</si>
  <si>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%20-%20m_Gilnei%20Dias.pdf</t>
  </si>
  <si>
    <t>https://uniasselvi01-my.sharepoint.com/personal/elienai_cesar_uniasselvi_com_br1/Documents/Aplicativos/Microsoft%20Forms/Question%C3%A1rio%20sem%20t%C3%ADtulo/Envio%20da%20Lista%20de%20Presen%C3%A7a/Trabalho%20de%20parto%20natural%2012-03_Sandra%20Massad.pdf</t>
  </si>
  <si>
    <t>https://uniasselvi01-my.sharepoint.com/personal/elienai_cesar_uniasselvi_com_br1/Documents/Aplicativos/Microsoft%20Forms/Question%C3%A1rio%20sem%20t%C3%ADtulo/Envio%20do%20Portf%C3%B3lio%20em%20PDF/Portf%C3%B3lio%20trabalho%20de%20parto%20natural%20e%20emerg%C3%AAn_Sandra%20Massad.pdf; https://uniasselvi01-my.sharepoint.com/personal/elienai_cesar_uniasselvi_com_br1/Documents/Aplicativos/Microsoft%20Forms/Question%C3%A1rio%20sem%20t%C3%ADtulo/Envio%20do%20Portf%C3%B3lio%20em%20PDF/Parto%20natural_Sandra%20Massad.mp4; https://uniasselvi01-my.sharepoint.com/personal/elienai_cesar_uniasselvi_com_br1/Documents/Aplicativos/Microsoft%20Forms/Question%C3%A1rio%20sem%20t%C3%ADtulo/Envio%20do%20Portf%C3%B3lio%20em%20PDF/Parto%20natural1_Sandra%20Massad.jpeg; https://uniasselvi01-my.sharepoint.com/personal/elienai_cesar_uniasselvi_com_br1/Documents/Aplicativos/Microsoft%20Forms/Question%C3%A1rio%20sem%20t%C3%ADtulo/Envio%20do%20Portf%C3%B3lio%20em%20PDF/Trabalho%20de%20parto%20natural_Sandra%20Massad.jpeg</t>
  </si>
  <si>
    <t>Assessoramento no desenvolvimento da perspectiva arquitetônica (Parte 1)</t>
  </si>
  <si>
    <t>https://uniasselvi01-my.sharepoint.com/personal/elienai_cesar_uniasselvi_com_br1/Documents/Aplicativos/Microsoft%20Forms/Question%C3%A1rio%20sem%20t%C3%ADtulo/Envio%20da%20Lista%20de%20Presen%C3%A7a%204/lista%20de%20presen%C3%A7a%20-%20perspectiva%20-%2019-03-2026_Gilnei%20Dias.pdf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</si>
  <si>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%20-%20p_Gilnei%20Dias.pdf</t>
  </si>
  <si>
    <t>Levantamento de cargas</t>
  </si>
  <si>
    <t>https://uniasselvi01-my.sharepoint.com/personal/elienai_cesar_uniasselvi_com_br1/Documents/Aplicativos/Microsoft%20Forms/Question%C3%A1rio%20sem%20t%C3%ADtulo/Envio%20da%20Lista%20de%20Presen%C3%A7a%204/lista%20de%20presen%C3%A7a%20-%20instala%C3%A7%C3%A3o%20el%C3%A9trica%20-%2026-_Gilnei%20Dias.pdf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</si>
  <si>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%20-%20I_Gilnei%20Dias.pdf</t>
  </si>
  <si>
    <t>https://uniasselvi01-my.sharepoint.com/personal/elienai_cesar_uniasselvi_com_br1/Documents/Aplicativos/Microsoft%20Forms/Question%C3%A1rio%20sem%20t%C3%ADtulo/Envio%20da%20Lista%20de%20Presen%C3%A7a/17746515053943409097681575151648_Amanda%20Santos.jpg</t>
  </si>
  <si>
    <t>https://uniasselvi01-my.sharepoint.com/personal/elienai_cesar_uniasselvi_com_br1/_layouts/15/Doc.aspx?sourcedoc=%7B34F8ADAE-617D-4179-8774-EEE7E5461DFA%7D&amp;file=Tutor%20-%20Portf%C3%B3lio%20das%20Atividades%20Pr%C3%A1ticas%20TER_Amanda%20Santos.docx&amp;action=default&amp;mobileredirect=true</t>
  </si>
  <si>
    <t>Dimensionamento de Condutores e Dispositivos de Proteção</t>
  </si>
  <si>
    <t>https://uniasselvi01-my.sharepoint.com/personal/elienai_cesar_uniasselvi_com_br1/Documents/Aplicativos/Microsoft%20Forms/Question%C3%A1rio%20sem%20t%C3%ADtulo/Envio%20da%20Lista%20de%20Presen%C3%A7a%204/lista%20de%20presen%C3%A7a%20-%20instala%C3%A7%C3%A3o%20el%C3%A9trica%20-%2026-_Gilnei%20Dias%201.pdf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</si>
  <si>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%20-%20I_Gilnei%20Dias%201.pdf</t>
  </si>
  <si>
    <t>https://uniasselvi01-my.sharepoint.com/personal/elienai_cesar_uniasselvi_com_br1/Documents/Aplicativos/Microsoft%20Forms/Question%C3%A1rio%20sem%20t%C3%ADtulo/Envio%20da%20Lista%20de%20Presen%C3%A7a/Surto%20psic%C3%B3tico%2019-03_Sandra%20Massad.pdf</t>
  </si>
  <si>
    <t>https://uniasselvi01-my.sharepoint.com/personal/elienai_cesar_uniasselvi_com_br1/Documents/Aplicativos/Microsoft%20Forms/Question%C3%A1rio%20sem%20t%C3%ADtulo/Envio%20do%20Portf%C3%B3lio%20em%20PDF/Portf%C3%B3lio%20das%20Atividades%20Pr%C3%A1ticas%20-surto%20psic_Sandra%20Massad.pdf; https://uniasselvi01-my.sharepoint.com/personal/elienai_cesar_uniasselvi_com_br1/Documents/Aplicativos/Microsoft%20Forms/Question%C3%A1rio%20sem%20t%C3%ADtulo/Envio%20do%20Portf%C3%B3lio%20em%20PDF/Conten%C3%A7%C3%A3o%20mec%C3%A2nica_Sandra%20Massad.jpeg; https://uniasselvi01-my.sharepoint.com/personal/elienai_cesar_uniasselvi_com_br1/Documents/Aplicativos/Microsoft%20Forms/Question%C3%A1rio%20sem%20t%C3%ADtulo/Envio%20do%20Portf%C3%B3lio%20em%20PDF/Restri%C3%A7%C3%A3o%20em%20surto%20psc%C3%B3tico_Sandra%20Massad.jpeg</t>
  </si>
  <si>
    <t>https://uniasselvi01-my.sharepoint.com/personal/elienai_cesar_uniasselvi_com_br1/Documents/Aplicativos/Microsoft%20Forms/Question%C3%A1rio%20sem%20t%C3%ADtulo/Envio%20da%20Lista%20de%20Presen%C3%A7a/Saude%20mental%2019-03_Sandra%20Massad.pdf</t>
  </si>
  <si>
    <t>https://uniasselvi01-my.sharepoint.com/personal/elienai_cesar_uniasselvi_com_br1/Documents/Aplicativos/Microsoft%20Forms/Question%C3%A1rio%20sem%20t%C3%ADtulo/Envio%20do%20Portf%C3%B3lio%20em%20PDF/Portf%C3%B3lio%20das%20Atividades%20Pr%C3%A1ticas%20-risco%20de%20s_Sandra%20Massad.pdf; https://uniasselvi01-my.sharepoint.com/personal/elienai_cesar_uniasselvi_com_br1/Documents/Aplicativos/Microsoft%20Forms/Question%C3%A1rio%20sem%20t%C3%ADtulo/Envio%20do%20Portf%C3%B3lio%20em%20PDF/Restri%C3%A7%C3%A3o%20em%20surto%20psc%C3%B3tico_Sandra%20Massad%201.jpeg</t>
  </si>
  <si>
    <t>https://uniasselvi01-my.sharepoint.com/personal/elienai_cesar_uniasselvi_com_br1/Documents/Aplicativos/Microsoft%20Forms/Question%C3%A1rio%20sem%20t%C3%ADtulo/Envio%20da%20Lista%20de%20Presen%C3%A7a/17746536706152622538919702520952_Amanda%20Santos.jpg</t>
  </si>
  <si>
    <t>https://uniasselvi01-my.sharepoint.com/personal/elienai_cesar_uniasselvi_com_br1/_layouts/15/Doc.aspx?sourcedoc=%7BF6795602-A78F-41B3-827F-CE16DF2F2065%7D&amp;file=Tutor%20-%20Portf%C3%B3lio%20das%20Atividades%20Pr%C3%A1ticas%20TER_Amanda%20Santos%201.docx&amp;action=default&amp;mobileredirect=true; https://uniasselvi01-my.sharepoint.com/personal/elienai_cesar_uniasselvi_com_br1/Documents/Aplicativos/Microsoft%20Forms/Question%C3%A1rio%20sem%20t%C3%ADtulo/Envio%20do%20Portf%C3%B3lio%20em%20PDF/WhatsApp%20Image%202026-03-27%20at%2020.04.08_Amanda%20Santos.jpeg</t>
  </si>
  <si>
    <t>marco.abreu@tutorpratica.uniasselvi.com.br</t>
  </si>
  <si>
    <t>Marco Abreu</t>
  </si>
  <si>
    <t>Uberlândia/MG</t>
  </si>
  <si>
    <t>https://uniasselvi01-my.sharepoint.com/personal/elienai_cesar_uniasselvi_com_br1/Documents/Aplicativos/Microsoft%20Forms/Question%C3%A1rio%20sem%20t%C3%ADtulo/Envio%20da%20Lista%20de%20Presen%C3%A7a/26.02.26%20ass_Marco%20Abreu.pdf</t>
  </si>
  <si>
    <t>https://uniasselvi01-my.sharepoint.com/personal/elienai_cesar_uniasselvi_com_br1/Documents/Aplicativos/Microsoft%20Forms/Question%C3%A1rio%20sem%20t%C3%ADtulo/Envio%20do%20Portf%C3%B3lio%20em%20PDF/PORTFOLIO%2026.02.26_Marco%20Abreu.pdf</t>
  </si>
  <si>
    <t>https://uniasselvi01-my.sharepoint.com/personal/elienai_cesar_uniasselvi_com_br1/Documents/Aplicativos/Microsoft%20Forms/Question%C3%A1rio%20sem%20t%C3%ADtulo/Envio%20da%20Lista%20de%20Presen%C3%A7a/06.03.26%20ass_Marco%20Abreu.pdf</t>
  </si>
  <si>
    <t>https://uniasselvi01-my.sharepoint.com/personal/elienai_cesar_uniasselvi_com_br1/Documents/Aplicativos/Microsoft%20Forms/Question%C3%A1rio%20sem%20t%C3%ADtulo/Envio%20do%20Portf%C3%B3lio%20em%20PDF/PORTFOLIO%2006.03.26%20%202_Marco%20Abreu.pdf; https://uniasselvi01-my.sharepoint.com/personal/elienai_cesar_uniasselvi_com_br1/Documents/Aplicativos/Microsoft%20Forms/Question%C3%A1rio%20sem%20t%C3%ADtulo/Envio%20do%20Portf%C3%B3lio%20em%20PDF/PORTFOLIO%2006.03.26_Marco%20Abreu.pdf</t>
  </si>
  <si>
    <t>https://uniasselvi01-my.sharepoint.com/personal/elienai_cesar_uniasselvi_com_br1/Documents/Aplicativos/Microsoft%20Forms/Question%C3%A1rio%20sem%20t%C3%ADtulo/Envio%20da%20Lista%20de%20Presen%C3%A7a/10.03.26%20ass_Marco%20Abreu.pdf</t>
  </si>
  <si>
    <t>https://uniasselvi01-my.sharepoint.com/personal/elienai_cesar_uniasselvi_com_br1/Documents/Aplicativos/Microsoft%20Forms/Question%C3%A1rio%20sem%20t%C3%ADtulo/Envio%20do%20Portf%C3%B3lio%20em%20PDF/PORTFOLIO%2010.03.26_Marco%20Abreu.pdf</t>
  </si>
  <si>
    <t>https://uniasselvi01-my.sharepoint.com/personal/elienai_cesar_uniasselvi_com_br1/Documents/Aplicativos/Microsoft%20Forms/Question%C3%A1rio%20sem%20t%C3%ADtulo/Envio%20da%20Lista%20de%20Presen%C3%A7a/12.03.26%20ass_Marco%20Abreu.pdf</t>
  </si>
  <si>
    <t>https://uniasselvi01-my.sharepoint.com/personal/elienai_cesar_uniasselvi_com_br1/Documents/Aplicativos/Microsoft%20Forms/Question%C3%A1rio%20sem%20t%C3%ADtulo/Envio%20do%20Portf%C3%B3lio%20em%20PDF/PORTFOLIO%2012.03.26_Marco%20Abreu.pdf</t>
  </si>
  <si>
    <t>https://uniasselvi01-my.sharepoint.com/personal/elienai_cesar_uniasselvi_com_br1/Documents/Aplicativos/Microsoft%20Forms/Question%C3%A1rio%20sem%20t%C3%ADtulo/Envio%20da%20Lista%20de%20Presen%C3%A7a/lista%20presen%C3%A7a%201_Marilene%20Silva%201.jpg</t>
  </si>
  <si>
    <t>https://uniasselvi01-my.sharepoint.com/personal/elienai_cesar_uniasselvi_com_br1/_layouts/15/Doc.aspx?sourcedoc=%7B6B245856-B6F2-4A36-9482-8AC7D4D163AF%7D&amp;file=Tutor%20-%20Portf%C3%B3lio%20das%20Atividades%20Pr%C3%A1ticas%201_Marilene%20Silva%202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</si>
  <si>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https://uniasselvi01-my.sharepoint.com/personal/elienai_cesar_uniasselvi_com_br1/Documents/Aplicativos/Microsoft%20Forms/Question%C3%A1rio%20sem%20t%C3%ADtulo/Envio%20da%20Lista%20de%20Presen%C3%A7a/lista%20presen%C3%A7a%202_Marilene%20Silva.jpg</t>
  </si>
  <si>
    <t>https://uniasselvi01-my.sharepoint.com/personal/elienai_cesar_uniasselvi_com_br1/_layouts/15/Doc.aspx?sourcedoc=%7B60755C5E-EF48-4B9C-8DF1-584E860DCDD2%7D&amp;file=Tutor%20-%20Portf%C3%B3lio%20das%20Atividades%20Pr%C3%A1ticas%202_Marilene%20Silva%202.docx&amp;action=default&amp;mobileredirect=true</t>
  </si>
  <si>
    <t>lulucha.silva@tutorpratica.uniasselvi.com.br</t>
  </si>
  <si>
    <t>Lulucha Silva</t>
  </si>
  <si>
    <t>Santarém/PA</t>
  </si>
  <si>
    <t>https://uniasselvi01-my.sharepoint.com/personal/elienai_cesar_uniasselvi_com_br1/Documents/Aplicativos/Microsoft%20Forms/Question%C3%A1rio%20sem%20t%C3%ADtulo/Envio%20da%20Lista%20de%20Presen%C3%A7a/Frequ%C3%AAncia%20Uniasselvi%20avalia%C3%A7%C3%A3o%20corporal_Lulucha%20Silv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</si>
  <si>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va_Lulucha%20Silva.pdf</t>
  </si>
  <si>
    <t>https://uniasselvi01-my.sharepoint.com/personal/elienai_cesar_uniasselvi_com_br1/Documents/Aplicativos/Microsoft%20Forms/Question%C3%A1rio%20sem%20t%C3%ADtulo/Envio%20da%20Lista%20de%20Presen%C3%A7a/Frequ%C3%AAncia%20SSVV,%20etc_Lulucha%20Silva.pdf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</si>
  <si>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us_Lulucha%20Silva.pdf</t>
  </si>
  <si>
    <t>nivia.calado@tutorpratica.uniasselvi.com.br</t>
  </si>
  <si>
    <t>Nivia Calado</t>
  </si>
  <si>
    <t>Dourados/MS</t>
  </si>
  <si>
    <t>Preparo de meio de cultura II</t>
  </si>
  <si>
    <t>https://uniasselvi01-my.sharepoint.com/personal/elienai_cesar_uniasselvi_com_br1/_layouts/15/Doc.aspx?sourcedoc=%7BD8A72FE6-9B06-4FCC-9C9E-EBE2B6A4EDFC%7D&amp;file=lista%20presen%C3%A7a%20aula1_Nivia%20Calado.docx&amp;action=default&amp;mobileredirect=true</t>
  </si>
  <si>
    <t>https://uniasselvi01-my.sharepoint.com/personal/elienai_cesar_uniasselvi_com_br1/_layouts/15/Doc.aspx?sourcedoc=%7BB8E6A1FD-EC7A-46C7-8DD4-84D314C37654%7D&amp;file=Tutor%20-%20Portf%C3%B3lio%20das%20Atividades%20Pr%C3%A1ticas%20(1)_Nivia%20Calado.docx&amp;action=default&amp;mobileredirect=true</t>
  </si>
  <si>
    <t>https://uniasselvi01-my.sharepoint.com/personal/elienai_cesar_uniasselvi_com_br1/Documents/Aplicativos/Microsoft%20Forms/Question%C3%A1rio%20sem%20t%C3%ADtulo/Envio%20da%20Lista%20de%20Presen%C3%A7a/Frequ%C3%AAncia%20(TOT)_Lulucha%20Silva.pdf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</si>
  <si>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Asp_Lulucha%20Silva.pdf</t>
  </si>
  <si>
    <t>https://uniasselvi01-my.sharepoint.com/personal/elienai_cesar_uniasselvi_com_br1/Documents/Aplicativos/Microsoft%20Forms/Question%C3%A1rio%20sem%20t%C3%ADtulo/Envio%20da%20Lista%20de%20Presen%C3%A7a/WhatsApp%20Image%202026-03-28%20at%2009.25.02_Alina%20Silva.jpeg</t>
  </si>
  <si>
    <t>https://uniasselvi01-my.sharepoint.com/personal/elienai_cesar_uniasselvi_com_br1/Documents/Aplicativos/Microsoft%20Forms/Question%C3%A1rio%20sem%20t%C3%ADtulo/Envio%20do%20Portf%C3%B3lio%20em%20PDF/relat%C3%B3rio%20professor%20Avalia%C3%A7%C3%A3o%20de%20enfermagem%20a_Alina%20Silva.pdf</t>
  </si>
  <si>
    <t>https://uniasselvi01-my.sharepoint.com/personal/elienai_cesar_uniasselvi_com_br1/Documents/Aplicativos/Microsoft%20Forms/Question%C3%A1rio%20sem%20t%C3%ADtulo/Envio%20da%20Lista%20de%20Presen%C3%A7a/20260328_092425_Daniela%20Madruga.jpg</t>
  </si>
  <si>
    <t>https://uniasselvi01-my.sharepoint.com/personal/elienai_cesar_uniasselvi_com_br1/_layouts/15/Doc.aspx?sourcedoc=%7BDE7D6ADF-7E6A-4F90-B26C-4342FA911B4C%7D&amp;file=PR%C3%81TICA%20SEM%20ALUNOS%2028.03.26_Daniela%20Madruga.docx&amp;action=default&amp;mobileredirect=true</t>
  </si>
  <si>
    <t>https://uniasselvi01-my.sharepoint.com/personal/elienai_cesar_uniasselvi_com_br1/Documents/Aplicativos/Microsoft%20Forms/Question%C3%A1rio%20sem%20t%C3%ADtulo/Envio%20da%20Lista%20de%20Presen%C3%A7a/WhatsApp%20Image%202026-03-28%20at%2010.19.17_Alina%20Silva.jpeg</t>
  </si>
  <si>
    <t>https://uniasselvi01-my.sharepoint.com/personal/elienai_cesar_uniasselvi_com_br1/Documents/Aplicativos/Microsoft%20Forms/Question%C3%A1rio%20sem%20t%C3%ADtulo/Envio%20do%20Portf%C3%B3lio%20em%20PDF/relat%C3%B3rio%20professor%20Administra%C3%A7%C3%A3o%20de%20medicame_Alina%20Silva.pdf</t>
  </si>
  <si>
    <t>https://uniasselvi01-my.sharepoint.com/personal/elienai_cesar_uniasselvi_com_br1/Documents/Aplicativos/Microsoft%20Forms/Question%C3%A1rio%20sem%20t%C3%ADtulo/Envio%20da%20Lista%20de%20Presen%C3%A7a/Doc%20mar.%2029,%202026,%2014.15_01_Maria%20Lopes.pdf</t>
  </si>
  <si>
    <t>https://uniasselvi01-my.sharepoint.com/personal/elienai_cesar_uniasselvi_com_br1/Documents/Aplicativos/Microsoft%20Forms/Question%C3%A1rio%20sem%20t%C3%ADtulo/Envio%20do%20Portf%C3%B3lio%20em%20PDF/portifolio%20uniasselvi%20(4)%20%20curativos%20ordem%2002_Maria%20Lopes.pdf</t>
  </si>
  <si>
    <t>https://uniasselvi01-my.sharepoint.com/personal/elienai_cesar_uniasselvi_com_br1/Documents/Aplicativos/Microsoft%20Forms/Question%C3%A1rio%20sem%20t%C3%ADtulo/Envio%20da%20Lista%20de%20Presen%C3%A7a/Doc%20mar.%2029,%202026,%2014.14_01_Maria%20Lopes.pdf</t>
  </si>
  <si>
    <t>https://uniasselvi01-my.sharepoint.com/personal/elienai_cesar_uniasselvi_com_br1/Documents/Aplicativos/Microsoft%20Forms/Question%C3%A1rio%20sem%20t%C3%ADtulo/Envio%20do%20Portf%C3%B3lio%20em%20PDF/portifolio%20uniasselvi%20%20asculta%20ordem%2002_Maria%20Lopes.pdf</t>
  </si>
  <si>
    <t>https://uniasselvi01-my.sharepoint.com/personal/elienai_cesar_uniasselvi_com_br1/Documents/Aplicativos/Microsoft%20Forms/Question%C3%A1rio%20sem%20t%C3%ADtulo/Envio%20da%20Lista%20de%20Presen%C3%A7a/Lista%20de%20Presen%C3%A7a%20-%20Polo%20Hub%20Pres.%20Pte%20-%2016-0_Aquiles%20Andrade.pdf</t>
  </si>
  <si>
    <t>https://uniasselvi01-my.sharepoint.com/personal/elienai_cesar_uniasselvi_com_br1/Documents/Aplicativos/Microsoft%20Forms/Question%C3%A1rio%20sem%20t%C3%ADtulo/Envio%20do%20Portf%C3%B3lio%20em%20PDF/Tutor%20-%20Pr%C3%A1ticas%20-%20Agendamento%201.1_Aquiles%20Andrade.pdf; https://uniasselvi01-my.sharepoint.com/personal/elienai_cesar_uniasselvi_com_br1/Documents/Aplicativos/Microsoft%20Forms/Question%C3%A1rio%20sem%20t%C3%ADtulo/Envio%20do%20Portf%C3%B3lio%20em%20PDF/Tutor%20-%20Pr%C3%A1ticas%20Agendamento%201.2_Aquiles%20Andrade.pdf</t>
  </si>
  <si>
    <t>Manobra de Suporte Básico de Vida;Avaliação de enfermagem ao paciente com queimadura + Escala de Coma de Glasgow</t>
  </si>
  <si>
    <t>https://uniasselvi01-my.sharepoint.com/personal/elienai_cesar_uniasselvi_com_br1/Documents/Aplicativos/Microsoft%20Forms/Question%C3%A1rio%20sem%20t%C3%ADtulo/Envio%20da%20Lista%20de%20Presen%C3%A7a/1-%20Lista%20de%20Presen%C3%A7a%20-%20Polo%20Hub%20Pres.%20Pte%20-%202_Aquiles%20Andrade.pdf; https://uniasselvi01-my.sharepoint.com/personal/elienai_cesar_uniasselvi_com_br1/Documents/Aplicativos/Microsoft%20Forms/Question%C3%A1rio%20sem%20t%C3%ADtulo/Envio%20da%20Lista%20de%20Presen%C3%A7a/2-%20Lista%20de%20Presen%C3%A7a%20-%20Polo%20Hub%20Pres.%20Pte%20-%202_Aquiles%20Andrade.pdf</t>
  </si>
  <si>
    <t>https://uniasselvi01-my.sharepoint.com/personal/elienai_cesar_uniasselvi_com_br1/Documents/Aplicativos/Microsoft%20Forms/Question%C3%A1rio%20sem%20t%C3%ADtulo/Envio%20do%20Portf%C3%B3lio%20em%20PDF/Tutor%20-%20Pr%C3%A1rticas%202_Aquiles%20Andrade.pdf; https://uniasselvi01-my.sharepoint.com/personal/elienai_cesar_uniasselvi_com_br1/Documents/Aplicativos/Microsoft%20Forms/Question%C3%A1rio%20sem%20t%C3%ADtulo/Envio%20do%20Portf%C3%B3lio%20em%20PDF/Tutor%20-%20Pr%C3%A1ticas%201_Aquiles%20Andrade.pdf</t>
  </si>
  <si>
    <t>https://uniasselvi01-my.sharepoint.com/personal/elienai_cesar_uniasselvi_com_br1/Documents/Aplicativos/Microsoft%20Forms/Question%C3%A1rio%20sem%20t%C3%ADtulo/Envio%20da%20Lista%20de%20Presen%C3%A7a/lista%20sa%C3%BAde%20Mental_Deborah%20Ewerton.pdf</t>
  </si>
  <si>
    <t>https://uniasselvi01-my.sharepoint.com/personal/elienai_cesar_uniasselvi_com_br1/Documents/Aplicativos/Microsoft%20Forms/Question%C3%A1rio%20sem%20t%C3%ADtulo/Envio%20do%20Portf%C3%B3lio%20em%20PDF/PORTIFOLIO%20%20saude%20mental%202026_Deborah%20Ewerton.pdf</t>
  </si>
  <si>
    <t>https://uniasselvi01-my.sharepoint.com/personal/elienai_cesar_uniasselvi_com_br1/Documents/Aplicativos/Microsoft%20Forms/Question%C3%A1rio%20sem%20t%C3%ADtulo/Envio%20da%20Lista%20de%20Presen%C3%A7a/lista%20urgeemerg_Deborah%20Ewerton.pdf</t>
  </si>
  <si>
    <t>https://uniasselvi01-my.sharepoint.com/personal/elienai_cesar_uniasselvi_com_br1/Documents/Aplicativos/Microsoft%20Forms/Question%C3%A1rio%20sem%20t%C3%ADtulo/Envio%20do%20Portf%C3%B3lio%20em%20PDF/PORTIFOLIO%20urgencia%20emergencia%202026_Deborah%20Ewerton.pdf</t>
  </si>
  <si>
    <t>https://uniasselvi01-my.sharepoint.com/personal/elienai_cesar_uniasselvi_com_br1/Documents/Aplicativos/Microsoft%20Forms/Question%C3%A1rio%20sem%20t%C3%ADtulo/Envio%20da%20Lista%20de%20Presen%C3%A7a/lista%20de%20oncol%C3%B3gico%20%20(1)_Deborah%20Ewerton.pdf</t>
  </si>
  <si>
    <t>https://uniasselvi01-my.sharepoint.com/personal/elienai_cesar_uniasselvi_com_br1/Documents/Aplicativos/Microsoft%20Forms/Question%C3%A1rio%20sem%20t%C3%ADtulo/Envio%20do%20Portf%C3%B3lio%20em%20PDF/PORTIFOLIO%20%20PALIATIVOS%202026_Deborah%20Ewerton.pdf</t>
  </si>
  <si>
    <t>https://uniasselvi01-my.sharepoint.com/personal/elienai_cesar_uniasselvi_com_br1/_layouts/15/Doc.aspx?sourcedoc=%7BD7793662-D90E-404C-96B9-F068FAEDDE69%7D&amp;file=MODELO_Lista%20de%20Presen%C3%A7a%20das%20Pr%C3%A1ticas_Fadia%20Baitala%204.docx&amp;action=default&amp;mobileredirect=true</t>
  </si>
  <si>
    <t>https://uniasselvi01-my.sharepoint.com/personal/elienai_cesar_uniasselvi_com_br1/_layouts/15/Doc.aspx?sourcedoc=%7B2AE939F0-4E12-4999-8FBE-085623C447BE%7D&amp;file=Abordagem%20e%20cuidados%20de%20enfermagem%20em%20per%C3%ADodo_Fadia%20Baitala.docx&amp;action=default&amp;mobileredirect=true</t>
  </si>
  <si>
    <t>https://uniasselvi01-my.sharepoint.com/personal/elienai_cesar_uniasselvi_com_br1/_layouts/15/Doc.aspx?sourcedoc=%7B3E8664E0-68DF-4BD0-8F4D-D3B126BF5C2A%7D&amp;file=MODELO_Lista%20de%20Presen%C3%A7a%20das%20Pr%C3%A1ticas_Fadia%20Baitala%205.docx&amp;action=default&amp;mobileredirect=true</t>
  </si>
  <si>
    <t>https://uniasselvi01-my.sharepoint.com/personal/elienai_cesar_uniasselvi_com_br1/_layouts/15/Doc.aspx?sourcedoc=%7BB4A54727-BC3C-426C-83CD-EB02DA8ED744%7D&amp;file=M%C3%B3dulo%206%20-%20Administra%C3%A7%E2%95%9Eo%20de%20medicamento%20pela_Fadia%20Baitala.docx&amp;action=default&amp;mobileredirect=true</t>
  </si>
  <si>
    <t>https://uniasselvi01-my.sharepoint.com/personal/elienai_cesar_uniasselvi_com_br1/_layouts/15/Doc.aspx?sourcedoc=%7BA9F8DA20-5955-4D69-AAFB-1B28FF42B633%7D&amp;file=MODELO_Lista%20de%20Presen%C3%A7a%20das%20Pr%C3%A1ticas_Fadia%20Baitala%206.docx&amp;action=default&amp;mobileredirect=true</t>
  </si>
  <si>
    <t>https://uniasselvi01-my.sharepoint.com/personal/elienai_cesar_uniasselvi_com_br1/_layouts/15/Doc.aspx?sourcedoc=%7B8DDCA4DE-6D1C-4175-B8DD-1BD52F447D4E%7D&amp;file=Pun%C3%A7%C3%A3o%20e%20manuten%C3%A7%C3%A3o%20de%20cateter%20de%20longa%20perma_Fadia%20Baitala.docx&amp;action=default&amp;mobileredirect=true</t>
  </si>
  <si>
    <t>https://uniasselvi01-my.sharepoint.com/personal/elienai_cesar_uniasselvi_com_br1/_layouts/15/Doc.aspx?sourcedoc=%7B74F549DC-25D2-4545-B58B-AE3B1FE69BCB%7D&amp;file=M%C3%B3dulo%204%20-%20Manobras%20de%20suporte%20b%C3%A1sico%20de%20vida_Fadia%20Baitala.docx&amp;action=default&amp;mobileredirect=true</t>
  </si>
  <si>
    <t>https://uniasselvi01-my.sharepoint.com/personal/elienai_cesar_uniasselvi_com_br1/_layouts/15/Doc.aspx?sourcedoc=%7B167200F0-6496-4E9F-983A-2FAE4B0461EF%7D&amp;file=M%C3%B3dulo%204%20-%20Manobras%20de%20suporte%20b%C3%A1sico%20de%20vida_Fadia%20Baitala.docx&amp;action=default&amp;mobileredirect=true</t>
  </si>
  <si>
    <t>https://uniasselvi01-my.sharepoint.com/personal/elienai_cesar_uniasselvi_com_br1/Documents/Aplicativos/Microsoft%20Forms/Question%C3%A1rio%20sem%20t%C3%ADtulo/Envio%20da%20Lista%20de%20Presen%C3%A7a%201/aula%201_Fabiano%20Bartmann.jpeg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</si>
  <si>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2010.pdf</t>
  </si>
  <si>
    <t>Cinesioterapia Aplicada ao Fortalecimento Muscular: Prática de Exercícios</t>
  </si>
  <si>
    <t>https://uniasselvi01-my.sharepoint.com/personal/elienai_cesar_uniasselvi_com_br1/Documents/Aplicativos/Microsoft%20Forms/Question%C3%A1rio%20sem%20t%C3%ADtulo/Envio%20da%20Lista%20de%20Presen%C3%A7a%201/aula%202_Fabiano%20Bartmann.jpeg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</si>
  <si>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2011.pdf</t>
  </si>
  <si>
    <t>https://uniasselvi01-my.sharepoint.com/personal/elienai_cesar_uniasselvi_com_br1/Documents/Aplicativos/Microsoft%20Forms/Question%C3%A1rio%20sem%20t%C3%ADtulo/Envio%20da%20Lista%20de%20Presen%C3%A7a%202/WhatsApp%20Image%202026-03-29%20at%2019.08.11_Bruna%20Hack.jpeg</t>
  </si>
  <si>
    <t>https://uniasselvi01-my.sharepoint.com/personal/elienai_cesar_uniasselvi_com_br1/Documents/Aplicativos/Microsoft%20Forms/Question%C3%A1rio%20sem%20t%C3%ADtulo/Envio%20do%20Portf%C3%B3lio%20em%20PDF%202/Tutor%20Portf%C3%B3lio%20-%20Avalia%C3%A7%C3%A3o%20antropom%C3%A9trica%20de_Bruna%20Hack.pdf</t>
  </si>
  <si>
    <t>https://uniasselvi01-my.sharepoint.com/personal/elienai_cesar_uniasselvi_com_br1/Documents/Aplicativos/Microsoft%20Forms/Question%C3%A1rio%20sem%20t%C3%ADtulo/Envio%20da%20Lista%20de%20Presen%C3%A7a/Lista_presen_28de03_Clademir%20Silva.pdf</t>
  </si>
  <si>
    <t>https://uniasselvi01-my.sharepoint.com/personal/elienai_cesar_uniasselvi_com_br1/Documents/Aplicativos/Microsoft%20Forms/Question%C3%A1rio%20sem%20t%C3%ADtulo/Envio%20do%20Portf%C3%B3lio%20em%20PDF/Pratica_tutor_28deMar_Clademir%20Silva.pdf</t>
  </si>
  <si>
    <t>https://uniasselvi01-my.sharepoint.com/personal/elienai_cesar_uniasselvi_com_br1/Documents/Aplicativos/Microsoft%20Forms/Question%C3%A1rio%20sem%20t%C3%ADtulo/Envio%20da%20Lista%20de%20Presen%C3%A7a%201/WhatsApp%20Image%202026-03-30%20at%2001.21.26%20(1)_Paulo%20Silva.jpeg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</si>
  <si>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MS_Paulo%20Silva.pdf</t>
  </si>
  <si>
    <t>https://uniasselvi01-my.sharepoint.com/personal/elienai_cesar_uniasselvi_com_br1/Documents/Aplicativos/Microsoft%20Forms/Question%C3%A1rio%20sem%20t%C3%ADtulo/Envio%20da%20Lista%20de%20Presen%C3%A7a%201/WhatsApp%20Image%202026-03-30%20at%2001.21.26_Paulo%20Silva.jpeg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</si>
  <si>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MI_Paulo%20Silva.pdf</t>
  </si>
  <si>
    <t>https://uniasselvi01-my.sharepoint.com/personal/elienai_cesar_uniasselvi_com_br1/Documents/Aplicativos/Microsoft%20Forms/Question%C3%A1rio%20sem%20t%C3%ADtulo/Envio%20da%20Lista%20de%20Presen%C3%A7a%205/Lista%20de%20Presenca%20-%20Propaga%C3%A7ao%20de%20Plantas_Marla%20Souza.pdf</t>
  </si>
  <si>
    <t>https://uniasselvi01-my.sharepoint.com/personal/elienai_cesar_uniasselvi_com_br1/Documents/Aplicativos/Microsoft%20Forms/Question%C3%A1rio%20sem%20t%C3%ADtulo/Envio%20do%20Portf%C3%B3lio%20em%20PDF%205/Aula%20Pratica%20-%20Propaga%C3%A7%C3%A3o%20de%20Plantas_Marla%20Souza.pdf</t>
  </si>
  <si>
    <t>https://uniasselvi01-my.sharepoint.com/personal/elienai_cesar_uniasselvi_com_br1/Documents/Aplicativos/Microsoft%20Forms/Question%C3%A1rio%20sem%20t%C3%ADtulo/Envio%20da%20Lista%20de%20Presen%C3%A7a/Adobe%20Scan%2030%20de%20mar.%20de%202026_Jean%20Santos.pdf</t>
  </si>
  <si>
    <t>https://uniasselvi01-my.sharepoint.com/personal/elienai_cesar_uniasselvi_com_br1/Documents/Aplicativos/Microsoft%20Forms/Question%C3%A1rio%20sem%20t%C3%ADtulo/Envio%20do%20Portf%C3%B3lio%20em%20PDF/assistencia%20ao%20rn_Jean%20Santos.pdf</t>
  </si>
  <si>
    <t>https://uniasselvi01-my.sharepoint.com/personal/elienai_cesar_uniasselvi_com_br1/Documents/Aplicativos/Microsoft%20Forms/Question%C3%A1rio%20sem%20t%C3%ADtulo/Envio%20da%20Lista%20de%20Presen%C3%A7a/Lista%20de%20presen%C3%A7a-%20Suporte%20B%C3%A1sico%20de%20Vida_Mariana%20Correia.jpeg</t>
  </si>
  <si>
    <t>https://uniasselvi01-my.sharepoint.com/personal/elienai_cesar_uniasselvi_com_br1/Documents/Aplicativos/Microsoft%20Forms/Question%C3%A1rio%20sem%20t%C3%ADtulo/Envio%20do%20Portf%C3%B3lio%20em%20PDF/Portf%C3%B3lio%20Urg%C3%AAncia%20-%20Suporte%20B%C3%A1sico%20de%20vida_Mariana%20Correia.pdf</t>
  </si>
  <si>
    <t>https://uniasselvi01-my.sharepoint.com/personal/elienai_cesar_uniasselvi_com_br1/Documents/Aplicativos/Microsoft%20Forms/Question%C3%A1rio%20sem%20t%C3%ADtulo/Envio%20da%20Lista%20de%20Presen%C3%A7a/Lista.19.03.26_Patricia%20Trasmontano.jpeg</t>
  </si>
  <si>
    <t>https://uniasselvi01-my.sharepoint.com/personal/elienai_cesar_uniasselvi_com_br1/Documents/Aplicativos/Microsoft%20Forms/Question%C3%A1rio%20sem%20t%C3%ADtulo/Envio%20do%20Portf%C3%B3lio%20em%20PDF/Portf%C3%B3lio%2019.03.26.M02.Urg%C3%AAncia_Patricia%20Trasmontano.pdf</t>
  </si>
  <si>
    <t>https://uniasselvi01-my.sharepoint.com/personal/elienai_cesar_uniasselvi_com_br1/Documents/Aplicativos/Microsoft%20Forms/Question%C3%A1rio%20sem%20t%C3%ADtulo/Envio%20da%20Lista%20de%20Presen%C3%A7a/Lista.26.03.26_Patricia%20Trasmontano.jpeg</t>
  </si>
  <si>
    <t>https://uniasselvi01-my.sharepoint.com/personal/elienai_cesar_uniasselvi_com_br1/Documents/Aplicativos/Microsoft%20Forms/Question%C3%A1rio%20sem%20t%C3%ADtulo/Envio%20do%20Portf%C3%B3lio%20em%20PDF/Portf%C3%B3lio%2026.03.26.M02.SaudeMental_Patricia%20Trasmontano.pdf</t>
  </si>
  <si>
    <t>Preparação da pele para receber a maquiagem;Maquiagem social</t>
  </si>
  <si>
    <t>https://uniasselvi01-my.sharepoint.com/personal/elienai_cesar_uniasselvi_com_br1/Documents/Aplicativos/Microsoft%20Forms/Question%C3%A1rio%20sem%20t%C3%ADtulo/Envio%20da%20Lista%20de%20Presen%C3%A7a%201/MODELO_Lista%20de%20Presen%C3%A7a%20das%20Pr%C3%A1ticas%20(1)%20-%20C_Vanessa%20Fachini%201.pdf; https://uniasselvi01-my.sharepoint.com/personal/elienai_cesar_uniasselvi_com_br1/Documents/Aplicativos/Microsoft%20Forms/Question%C3%A1rio%20sem%20t%C3%ADtulo/Envio%20da%20Lista%20de%20Presen%C3%A7a%201/MODELO_Lista%20de%20Presen%C3%A7a%20das%20Pr%C3%A1ticas%20(1)%20-%20C%202_Vanessa%20Fachini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</si>
  <si>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(1)_Vanessa%20Fachini%202.pdf; https://uniasselvi01-my.sharepoint.com/personal/elienai_cesar_uniasselvi_com_br1/Documents/Aplicativos/Microsoft%20Forms/Question%C3%A1rio%20sem%20t%C3%ADtulo/Envio%20do%20Portf%C3%B3lio%20em%20PDF%201/Tutor%20-%20Portf%C3%B3lio%20das%20Atividades%20Pr%C3%A1ticas%20(1)%202_Vanessa%20Fachini.pdf</t>
  </si>
  <si>
    <t>https://uniasselvi01-my.sharepoint.com/personal/elienai_cesar_uniasselvi_com_br1/Documents/Aplicativos/Microsoft%20Forms/Question%C3%A1rio%20sem%20t%C3%ADtulo/Envio%20da%20Lista%20de%20Presen%C3%A7a/Lista%20de%20Presen%C3%A7a%20-%20Polo%20Hub%20Presidente%20Prude_Aquiles%20Andrade.pdf</t>
  </si>
  <si>
    <t>https://uniasselvi01-my.sharepoint.com/personal/elienai_cesar_uniasselvi_com_br1/Documents/Aplicativos/Microsoft%20Forms/Question%C3%A1rio%20sem%20t%C3%ADtulo/Envio%20do%20Portf%C3%B3lio%20em%20PDF/Tutor%20-%20Pr%C3%A1ticas%201.1_Aquiles%20Andrade.pdf; https://uniasselvi01-my.sharepoint.com/personal/elienai_cesar_uniasselvi_com_br1/Documents/Aplicativos/Microsoft%20Forms/Question%C3%A1rio%20sem%20t%C3%ADtulo/Envio%20do%20Portf%C3%B3lio%20em%20PDF/Tutor%20-%20Pr%C3%A1ticas%201.2_Aquiles%20Andrade.pdf</t>
  </si>
  <si>
    <t>https://uniasselvi01-my.sharepoint.com/personal/elienai_cesar_uniasselvi_com_br1/Documents/Aplicativos/Microsoft%20Forms/Question%C3%A1rio%20sem%20t%C3%ADtulo/Envio%20da%20Lista%20de%20Presen%C3%A7a%203/20260331_080240_Silvestre%20Assumpcao.PDF</t>
  </si>
  <si>
    <t>https://uniasselvi01-my.sharepoint.com/personal/elienai_cesar_uniasselvi_com_br1/Documents/Aplicativos/Microsoft%20Forms/Question%C3%A1rio%20sem%20t%C3%ADtulo/Envio%20do%20Portf%C3%B3lio%20em%20PDF%203/20260323_205313(1)_Silvestre%20Assumpcao.PDF; https://uniasselvi01-my.sharepoint.com/personal/elienai_cesar_uniasselvi_com_br1/Documents/Aplicativos/Microsoft%20Forms/Question%C3%A1rio%20sem%20t%C3%ADtulo/Envio%20do%20Portf%C3%B3lio%20em%20PDF%203/20260324_210343_Silvestre%20Assumpcao.PDF; https://uniasselvi01-my.sharepoint.com/personal/elienai_cesar_uniasselvi_com_br1/Documents/Aplicativos/Microsoft%20Forms/Question%C3%A1rio%20sem%20t%C3%ADtulo/Envio%20do%20Portf%C3%B3lio%20em%20PDF%203/20260324_210418_Silvestre%20Assumpcao.PDF</t>
  </si>
  <si>
    <t>https://uniasselvi01-my.sharepoint.com/personal/elienai_cesar_uniasselvi_com_br1/Documents/Aplicativos/Microsoft%20Forms/Question%C3%A1rio%20sem%20t%C3%ADtulo/Envio%20da%20Lista%20de%20Presen%C3%A7a%203/20260331_080240_Silvestre%20Assumpcao%201.PDF</t>
  </si>
  <si>
    <t>https://uniasselvi01-my.sharepoint.com/personal/elienai_cesar_uniasselvi_com_br1/Documents/Aplicativos/Microsoft%20Forms/Question%C3%A1rio%20sem%20t%C3%ADtulo/Envio%20do%20Portf%C3%B3lio%20em%20PDF%203/20260323_205313(1)_Silvestre%20Assumpcao%201.PDF; https://uniasselvi01-my.sharepoint.com/personal/elienai_cesar_uniasselvi_com_br1/Documents/Aplicativos/Microsoft%20Forms/Question%C3%A1rio%20sem%20t%C3%ADtulo/Envio%20do%20Portf%C3%B3lio%20em%20PDF%203/20260324_210343_Silvestre%20Assumpcao%201.PDF; https://uniasselvi01-my.sharepoint.com/personal/elienai_cesar_uniasselvi_com_br1/Documents/Aplicativos/Microsoft%20Forms/Question%C3%A1rio%20sem%20t%C3%ADtulo/Envio%20do%20Portf%C3%B3lio%20em%20PDF%203/20260324_210418_Silvestre%20Assumpcao%201.PDF</t>
  </si>
  <si>
    <t>QUÍMICA E FÍSICA - Determinação Do Calor Especifíco De Líquidos E Sólidos</t>
  </si>
  <si>
    <t>https://uniasselvi01-my.sharepoint.com/personal/elienai_cesar_uniasselvi_com_br1/Documents/Aplicativos/Microsoft%20Forms/Question%C3%A1rio%20sem%20t%C3%ADtulo/Envio%20da%20Lista%20de%20Presen%C3%A7a%203/20260331_080544_Silvestre%20Assumpcao.PDF</t>
  </si>
  <si>
    <t>https://uniasselvi01-my.sharepoint.com/personal/elienai_cesar_uniasselvi_com_br1/Documents/Aplicativos/Microsoft%20Forms/Question%C3%A1rio%20sem%20t%C3%ADtulo/Envio%20do%20Portf%C3%B3lio%20em%20PDF%203/20260330_185849_Silvestre%20Assumpcao.PDF; https://uniasselvi01-my.sharepoint.com/personal/elienai_cesar_uniasselvi_com_br1/Documents/Aplicativos/Microsoft%20Forms/Question%C3%A1rio%20sem%20t%C3%ADtulo/Envio%20do%20Portf%C3%B3lio%20em%20PDF%203/20260330_185842_Silvestre%20Assumpcao.PDF; https://uniasselvi01-my.sharepoint.com/personal/elienai_cesar_uniasselvi_com_br1/Documents/Aplicativos/Microsoft%20Forms/Question%C3%A1rio%20sem%20t%C3%ADtulo/Envio%20do%20Portf%C3%B3lio%20em%20PDF%203/20260330_204054_Silvestre%20Assumpcao.PDF</t>
  </si>
  <si>
    <t>https://uniasselvi01-my.sharepoint.com/personal/elienai_cesar_uniasselvi_com_br1/Documents/Aplicativos/Microsoft%20Forms/Question%C3%A1rio%20sem%20t%C3%ADtulo/Envio%20da%20Lista%20de%20Presen%C3%A7a%205/MODELO_Lista%20de%20Presen%C3%A7a%20das%20Pr%C3%A1ticas_Michelle%20Pantoja%201.pdf</t>
  </si>
  <si>
    <t>https://uniasselvi01-my.sharepoint.com/personal/elienai_cesar_uniasselvi_com_br1/Documents/Aplicativos/Microsoft%20Forms/Question%C3%A1rio%20sem%20t%C3%ADtulo/Envio%20do%20Portf%C3%B3lio%20em%20PDF%205/Tutor%20-%20Portf%C3%B3lio%20das%20Atividades%20Pr%C3%A1ticas_Michelle%20Pantoja%202.pdf</t>
  </si>
  <si>
    <t>https://uniasselvi01-my.sharepoint.com/personal/elienai_cesar_uniasselvi_com_br1/Documents/Aplicativos/Microsoft%20Forms/Question%C3%A1rio%20sem%20t%C3%ADtulo/Envio%20da%20Lista%20de%20Presen%C3%A7a/Frequ%C3%AAncia%20-%2002_Romulo%20Pinto.pdf</t>
  </si>
  <si>
    <t>https://uniasselvi01-my.sharepoint.com/personal/elienai_cesar_uniasselvi_com_br1/Documents/Aplicativos/Microsoft%20Forms/Question%C3%A1rio%20sem%20t%C3%ADtulo/Envio%20do%20Portf%C3%B3lio%20em%20PDF/02%20-%20Tutor%20-%20Portf%C3%B3lio%20das%20Atividades%20Pr%C3%A1tica_Romulo%20Pinto%201.pdf</t>
  </si>
  <si>
    <t>https://uniasselvi01-my.sharepoint.com/personal/elienai_cesar_uniasselvi_com_br1/_layouts/15/Doc.aspx?sourcedoc=%7B5AC9B59C-A872-436A-ADF0-E3E728FD0A91%7D&amp;file=31.03.26%20LISTA%20DE%20PRESEN%C3%87A_Rafaela%20Hilariao.docx&amp;action=default&amp;mobileredirect=true</t>
  </si>
  <si>
    <t>https://uniasselvi01-my.sharepoint.com/personal/elienai_cesar_uniasselvi_com_br1/_layouts/15/Doc.aspx?sourcedoc=%7B30E0BE68-43B7-4BF3-96CC-7B62241C94C2%7D&amp;file=31.03.26%20Portf%C3%B3lio%20das%20Atividades%20Pr%C3%A1ticas_Rafaela%20Hilariao.docx&amp;action=default&amp;mobileredirect=true</t>
  </si>
  <si>
    <t>https://uniasselvi01-my.sharepoint.com/personal/elienai_cesar_uniasselvi_com_br1/Documents/Aplicativos/Microsoft%20Forms/Question%C3%A1rio%20sem%20t%C3%ADtulo/Envio%20da%20Lista%20de%20Presen%C3%A7a/30.03.26%20Lista%20de%20Presen%C3%A7a_Rafaela%20Hilariao.pdf</t>
  </si>
  <si>
    <t>https://uniasselvi01-my.sharepoint.com/personal/elienai_cesar_uniasselvi_com_br1/_layouts/15/Doc.aspx?sourcedoc=%7B38B4A76E-3E73-468B-AF3B-799E85ECA03B%7D&amp;file=30.03.26%20Portf%C3%B3lio%20das%20Atividades%20Pr%C3%A1ticas_Rafaela%20Hilariao.docx&amp;action=default&amp;mobileredirect=true</t>
  </si>
  <si>
    <t>https://uniasselvi01-my.sharepoint.com/personal/elienai_cesar_uniasselvi_com_br1/Documents/Aplicativos/Microsoft%20Forms/Question%C3%A1rio%20sem%20t%C3%ADtulo/Envio%20da%20Lista%20de%20Presen%C3%A7a/30.03.26%20Lista%20de%20Presen%C3%A7a_Rafaela%20Hilariao%201.pdf</t>
  </si>
  <si>
    <t>https://uniasselvi01-my.sharepoint.com/personal/elienai_cesar_uniasselvi_com_br1/_layouts/15/Doc.aspx?sourcedoc=%7BF212DD3C-75EA-468C-8DA3-C99C13419FC0%7D&amp;file=30.03.26%20Portf%C3%B3lio%20das%20Atividades%20Pr%C3%A1ticas_Rafaela%20Hilariao%201.docx&amp;action=default&amp;mobileredirect=true</t>
  </si>
  <si>
    <t>https://uniasselvi01-my.sharepoint.com/personal/elienai_cesar_uniasselvi_com_br1/Documents/Aplicativos/Microsoft%20Forms/Question%C3%A1rio%20sem%20t%C3%ADtulo/Envio%20da%20Lista%20de%20Presen%C3%A7a/16.03.26%20LISTA%20DE%20PRESEN%C3%87A_Rafaela%20Hilariao.pdf</t>
  </si>
  <si>
    <t>https://uniasselvi01-my.sharepoint.com/personal/elienai_cesar_uniasselvi_com_br1/_layouts/15/Doc.aspx?sourcedoc=%7BCD3A3CEF-2DAF-4BCD-883C-C254CA054939%7D&amp;file=16.03.26%20Portf%C3%B3lio%20das%20Atividades%20Pr%C3%A1ticas_Rafaela%20Hilariao.docx&amp;action=default&amp;mobileredirect=true</t>
  </si>
  <si>
    <t>https://uniasselvi01-my.sharepoint.com/personal/elienai_cesar_uniasselvi_com_br1/Documents/Aplicativos/Microsoft%20Forms/Question%C3%A1rio%20sem%20t%C3%ADtulo/Envio%20da%20Lista%20de%20Presen%C3%A7a/16.03.26%20LISTA%20DE%20PRESEN%C3%87A_Rafaela%20Hilariao%201.pdf</t>
  </si>
  <si>
    <t>https://uniasselvi01-my.sharepoint.com/personal/elienai_cesar_uniasselvi_com_br1/_layouts/15/Doc.aspx?sourcedoc=%7B93B7529B-71E9-4FF0-950A-8C35128A9090%7D&amp;file=16.03.26%20Portf%C3%B3lio%20das%20Atividades%20Pr%C3%A1ticas_Rafaela%20Hilariao%201.docx&amp;action=default&amp;mobileredirect=true</t>
  </si>
  <si>
    <t>https://uniasselvi01-my.sharepoint.com/personal/elienai_cesar_uniasselvi_com_br1/Documents/Aplicativos/Microsoft%20Forms/Question%C3%A1rio%20sem%20t%C3%ADtulo/Envio%20da%20Lista%20de%20Presen%C3%A7a/13.03.26%20LISTA%20DE%20PRESEN%C3%87A_Rafaela%20Hilariao.pdf</t>
  </si>
  <si>
    <t>https://uniasselvi01-my.sharepoint.com/personal/elienai_cesar_uniasselvi_com_br1/_layouts/15/Doc.aspx?sourcedoc=%7BDF461E73-1F92-4DAA-B4D2-DD130409A7BA%7D&amp;file=13.03.26%20Portf%C3%B3lio%20das%20Atividades%20Pr%C3%A1ticas_Rafaela%20Hilariao.docx&amp;action=default&amp;mobileredirect=true</t>
  </si>
  <si>
    <t>https://uniasselvi01-my.sharepoint.com/personal/elienai_cesar_uniasselvi_com_br1/Documents/Aplicativos/Microsoft%20Forms/Question%C3%A1rio%20sem%20t%C3%ADtulo/Envio%20da%20Lista%20de%20Presen%C3%A7a/13.03.26%20LISTA%20DE%20PRESEN%C3%87A_Rafaela%20Hilariao%201.pdf</t>
  </si>
  <si>
    <t>https://uniasselvi01-my.sharepoint.com/personal/elienai_cesar_uniasselvi_com_br1/_layouts/15/Doc.aspx?sourcedoc=%7B47EC0689-E276-4B88-B7F4-BE299188345B%7D&amp;file=13.03.26%20Portf%C3%B3lio%20das%20Atividades%20Pr%C3%A1ticas_Rafaela%20Hilariao%201.docx&amp;action=default&amp;mobileredirect=true</t>
  </si>
  <si>
    <t>https://uniasselvi01-my.sharepoint.com/personal/elienai_cesar_uniasselvi_com_br1/Documents/Aplicativos/Microsoft%20Forms/Question%C3%A1rio%20sem%20t%C3%ADtulo/Envio%20da%20Lista%20de%20Presen%C3%A7a/03.03.26%20LISTA%20DE%20PRESEN%C3%87A_Rafaela%20Hilariao.pdf</t>
  </si>
  <si>
    <t>https://uniasselvi01-my.sharepoint.com/personal/elienai_cesar_uniasselvi_com_br1/_layouts/15/Doc.aspx?sourcedoc=%7B2C3ED7CB-1D8A-4189-9371-B3594538CFEE%7D&amp;file=03.03.26%20Portf%C3%B3lio%20das%20Atividades%20Pr%C3%A1ticas_Rafaela%20Hilariao.docx&amp;action=default&amp;mobileredirect=true</t>
  </si>
  <si>
    <t>https://uniasselvi01-my.sharepoint.com/personal/elienai_cesar_uniasselvi_com_br1/Documents/Aplicativos/Microsoft%20Forms/Question%C3%A1rio%20sem%20t%C3%ADtulo/Envio%20da%20Lista%20de%20Presen%C3%A7a/03.03.26%20LISTA%20DE%20PRESEN%C3%87A_Rafaela%20Hilariao%201.pdf</t>
  </si>
  <si>
    <t>https://uniasselvi01-my.sharepoint.com/personal/elienai_cesar_uniasselvi_com_br1/_layouts/15/Doc.aspx?sourcedoc=%7B6D2A07AA-88B0-45F2-9359-F3C26103D7E5%7D&amp;file=03.03.26%20Portf%C3%B3lio%20das%20Atividades%20Pr%C3%A1ticas_Rafaela%20Hilariao%201.docx&amp;action=default&amp;mobileredirect=true</t>
  </si>
  <si>
    <t>adalci.dias@tutorpratica.uniasselvi.com.br</t>
  </si>
  <si>
    <t>Adalci Dias</t>
  </si>
  <si>
    <t>https://uniasselvi01-my.sharepoint.com/personal/elienai_cesar_uniasselvi_com_br1/Documents/Aplicativos/Microsoft%20Forms/Question%C3%A1rio%20sem%20t%C3%ADtulo/Envio%20da%20Lista%20de%20Presen%C3%A7a/lISTA%20DE%20PRESEN%C3%87A%2025-03-26_Adalci%20Dias.pdf</t>
  </si>
  <si>
    <t>https://uniasselvi01-my.sharepoint.com/personal/elienai_cesar_uniasselvi_com_br1/Documents/Aplicativos/Microsoft%20Forms/Question%C3%A1rio%20sem%20t%C3%ADtulo/Envio%20do%20Portf%C3%B3lio%20em%20PDF/%C2%B4%C2%B4Pr%C3%A1ticas%20Assistencia%20de%20Enfermagem%20a%20Pacien_Adalci%20Dias.pdf</t>
  </si>
  <si>
    <t>https://uniasselvi01-my.sharepoint.com/personal/elienai_cesar_uniasselvi_com_br1/Documents/Aplicativos/Microsoft%20Forms/Question%C3%A1rio%20sem%20t%C3%ADtulo/Envio%20da%20Lista%20de%20Presen%C3%A7a/lista%20de%20presen%C3%A7a_Nelma%20Martins%201.pdf</t>
  </si>
  <si>
    <t>https://uniasselvi01-my.sharepoint.com/personal/elienai_cesar_uniasselvi_com_br1/_layouts/15/Doc.aspx?sourcedoc=%7BF56ADD28-B4B7-4FC9-8868-4AFA18F7A84A%7D&amp;file=PORTIFOLIO_Nelma%20Martins%204.docx&amp;action=default&amp;mobileredirect=true</t>
  </si>
  <si>
    <t>https://uniasselvi01-my.sharepoint.com/personal/elienai_cesar_uniasselvi_com_br1/Documents/Aplicativos/Microsoft%20Forms/Question%C3%A1rio%20sem%20t%C3%ADtulo/Envio%20da%20Lista%20de%20Presen%C3%A7a%202/WhatsApp%20Image%202026-03-21%20at%2011.01.55%20(1)_Nathane%20Ramos.jpeg; https://uniasselvi01-my.sharepoint.com/personal/elienai_cesar_uniasselvi_com_br1/Documents/Aplicativos/Microsoft%20Forms/Question%C3%A1rio%20sem%20t%C3%ADtulo/Envio%20da%20Lista%20de%20Presen%C3%A7a%202/WhatsApp%20Image%202026-03-21%20at%2011.01.55_Nathane%20Ramos.jpeg</t>
  </si>
  <si>
    <t>https://uniasselvi01-my.sharepoint.com/personal/elienai_cesar_uniasselvi_com_br1/Documents/Aplicativos/Microsoft%20Forms/Question%C3%A1rio%20sem%20t%C3%ADtulo/Envio%20do%20Portf%C3%B3lio%20em%20PDF%202/Portf%C3%B3lio%20avalia%C3%A7%C3%A3o%20nutricional%20de%20adulto%20-%20a_Nathane%20Ramos.pdf; https://uniasselvi01-my.sharepoint.com/personal/elienai_cesar_uniasselvi_com_br1/Documents/Aplicativos/Microsoft%20Forms/Question%C3%A1rio%20sem%20t%C3%ADtulo/Envio%20do%20Portf%C3%B3lio%20em%20PDF%202/Portf%C3%B3lio%20avalia%C3%A7%C3%A3o%20nutricional%20de%20adulto%20-%20a%202_Nathane%20Ramos.pdf</t>
  </si>
  <si>
    <t>Avaliação nutricional de atleta e desportista I: Antropometria e Composição corporal;Avaliação nutricional de atleta e desportista II: Anamnese e diagnóstico</t>
  </si>
  <si>
    <t>https://uniasselvi01-my.sharepoint.com/personal/elienai_cesar_uniasselvi_com_br1/Documents/Aplicativos/Microsoft%20Forms/Question%C3%A1rio%20sem%20t%C3%ADtulo/Envio%20da%20Lista%20de%20Presen%C3%A7a%202/WhatsApp%20Image%202026-03-31%20at%2018.12.55%20(1)_Nathane%20Ramos.jpeg</t>
  </si>
  <si>
    <t>https://uniasselvi01-my.sharepoint.com/personal/elienai_cesar_uniasselvi_com_br1/Documents/Aplicativos/Microsoft%20Forms/Question%C3%A1rio%20sem%20t%C3%ADtulo/Envio%20do%20Portf%C3%B3lio%20em%20PDF%202/Portf%C3%B3lio%20avalia%C3%A7%C3%A3o%20nutricional%20de%20atleta%20-%20a_Nathane%20Ramos.pdf; https://uniasselvi01-my.sharepoint.com/personal/elienai_cesar_uniasselvi_com_br1/Documents/Aplicativos/Microsoft%20Forms/Question%C3%A1rio%20sem%20t%C3%ADtulo/Envio%20do%20Portf%C3%B3lio%20em%20PDF%202/Portf%C3%B3lio%20avalia%C3%A7%C3%A3o%20nutricional%20de%20atleta%20-%20a%202_Nathane%20Ramos.pdf</t>
  </si>
  <si>
    <t>https://uniasselvi01-my.sharepoint.com/personal/elienai_cesar_uniasselvi_com_br1/Documents/Aplicativos/Microsoft%20Forms/Question%C3%A1rio%20sem%20t%C3%ADtulo/Pergunta/Lista%20de%20presen%C3%A7a%2017032026_Giovana%20Nascimento.pdf</t>
  </si>
  <si>
    <t>https://uniasselvi01-my.sharepoint.com/personal/elienai_cesar_uniasselvi_com_br1/Documents/Aplicativos/Microsoft%20Forms/Question%C3%A1rio%20sem%20t%C3%ADtulo/Pergunta%201/Tutor%20-%20Portf%C3%B3lio%20das%20Atividades%20Pr%C3%A1ticas%20170_Giovana%20Nascimento.pdf</t>
  </si>
  <si>
    <t>https://uniasselvi01-my.sharepoint.com/personal/elienai_cesar_uniasselvi_com_br1/Documents/Aplicativos/Microsoft%20Forms/Question%C3%A1rio%20sem%20t%C3%ADtulo/Pergunta/Lista%20de%20presen%C3%A7a%2024032026_Giovana%20Nascimento.pdf</t>
  </si>
  <si>
    <t>https://uniasselvi01-my.sharepoint.com/personal/elienai_cesar_uniasselvi_com_br1/Documents/Aplicativos/Microsoft%20Forms/Question%C3%A1rio%20sem%20t%C3%ADtulo/Pergunta%201/Tutor%20-%20Portf%C3%B3lio%20das%20Atividades%20Pr%C3%A1ticas%20240_Giovana%20Nascimento.pdf</t>
  </si>
  <si>
    <t>marina.rodrigues@tutorpratica.uniasselvi.com.br</t>
  </si>
  <si>
    <t>Marina Rodrigues</t>
  </si>
  <si>
    <t>Goiânia/GO - Cerrado</t>
  </si>
  <si>
    <t>https://uniasselvi01-my.sharepoint.com/personal/elienai_cesar_uniasselvi_com_br1/Documents/Aplicativos/Microsoft%20Forms/Question%C3%A1rio%20sem%20t%C3%ADtulo/Envio%20da%20Lista%20de%20Presen%C3%A7a/WhatsApp%20Image%202026-03-30%20at%2023.02.31_Marina%20Rodrigues.jpeg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</si>
  <si>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201_Marina%20Rodrigues.pdf</t>
  </si>
  <si>
    <t>https://uniasselvi01-my.sharepoint.com/personal/elienai_cesar_uniasselvi_com_br1/Documents/Aplicativos/Microsoft%20Forms/Question%C3%A1rio%20sem%20t%C3%ADtulo/Envio%20da%20Lista%20de%20Presen%C3%A7a/WhatsApp%20Image%202026-03-30%20at%2023.07.02_Marina%20Rodrigues.jpeg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</si>
  <si>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202_Marina%20Rodrigues.pdf</t>
  </si>
  <si>
    <t>https://uniasselvi01-my.sharepoint.com/personal/elienai_cesar_uniasselvi_com_br1/Documents/Aplicativos/Microsoft%20Forms/Question%C3%A1rio%20sem%20t%C3%ADtulo/Envio%20da%20Lista%20de%20Presen%C3%A7a/WhatsApp%20Image%202026-03-30%20at%2023.14.42_Marina%20Rodrigues.jpeg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</si>
  <si>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203_Marina%20Rodrigues.pdf</t>
  </si>
  <si>
    <t>https://uniasselvi01-my.sharepoint.com/personal/elienai_cesar_uniasselvi_com_br1/Documents/Aplicativos/Microsoft%20Forms/Question%C3%A1rio%20sem%20t%C3%ADtulo/Envio%20da%20Lista%20de%20Presen%C3%A7a/WhatsApp%20Image%202026-03-30%20at%2023.21.24_Marina%20Rodrigues.jpeg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</si>
  <si>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204_Marina%20Rodrigues.pdf</t>
  </si>
  <si>
    <t>https://uniasselvi01-my.sharepoint.com/personal/elienai_cesar_uniasselvi_com_br1/Documents/Aplicativos/Microsoft%20Forms/Question%C3%A1rio%20sem%20t%C3%ADtulo/Envio%20da%20Lista%20de%20Presen%C3%A7a/WhatsApp%20Image%202026-03-30%20at%2023.25.32_Marina%20Rodrigues.jpeg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</si>
  <si>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205_Marina%20Rodrigues.pdf</t>
  </si>
  <si>
    <t>https://uniasselvi01-my.sharepoint.com/personal/elienai_cesar_uniasselvi_com_br1/Documents/Aplicativos/Microsoft%20Forms/Question%C3%A1rio%20sem%20t%C3%ADtulo/Envio%20da%20Lista%20de%20Presen%C3%A7a/WhatsApp%20Image%202026-03-30%20at%2023.28.08_Marina%20Rodrigues.jpeg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</si>
  <si>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206_Marina%20Rodrigues.pdf</t>
  </si>
  <si>
    <t>https://uniasselvi01-my.sharepoint.com/personal/elienai_cesar_uniasselvi_com_br1/Documents/Aplicativos/Microsoft%20Forms/Question%C3%A1rio%20sem%20t%C3%ADtulo/Envio%20da%20Lista%20de%20Presen%C3%A7a/WhatsApp%20Image%202026-03-31%20at%2022.01.06%20(1)_Marina%20Rodrigues.jpeg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</si>
  <si>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207_Marina%20Rodrigues.pdf</t>
  </si>
  <si>
    <t>https://uniasselvi01-my.sharepoint.com/personal/elienai_cesar_uniasselvi_com_br1/Documents/Aplicativos/Microsoft%20Forms/Question%C3%A1rio%20sem%20t%C3%ADtulo/Envio%20da%20Lista%20de%20Presen%C3%A7a/WhatsApp%20Image%202026-03-31%20at%2022.02.21%20(1)_Marina%20Rodrigues.jpeg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</si>
  <si>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208_Marina%20Rodrigues.pdf</t>
  </si>
  <si>
    <t>https://uniasselvi01-my.sharepoint.com/personal/elienai_cesar_uniasselvi_com_br1/Documents/Aplicativos/Microsoft%20Forms/Question%C3%A1rio%20sem%20t%C3%ADtulo/Envio%20da%20Lista%20de%20Presen%C3%A7a/WhatsApp%20Image%202026-03-31%20at%2022.03.51%20(1)_Marina%20Rodrigues.jpeg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</si>
  <si>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209_Marina%20Rodrigues.pdf</t>
  </si>
  <si>
    <t>https://uniasselvi01-my.sharepoint.com/personal/elienai_cesar_uniasselvi_com_br1/Documents/Aplicativos/Microsoft%20Forms/Question%C3%A1rio%20sem%20t%C3%ADtulo/Envio%20da%20Lista%20de%20Presen%C3%A7a/WhatsApp%20Image%202026-03-31%20at%2022.04.58%20(1)_Marina%20Rodrigues.jpeg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</si>
  <si>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2010_Marina%20Rodrigues.pdf</t>
  </si>
  <si>
    <t>https://uniasselvi01-my.sharepoint.com/personal/elienai_cesar_uniasselvi_com_br1/Documents/Aplicativos/Microsoft%20Forms/Question%C3%A1rio%20sem%20t%C3%ADtulo/Envio%20da%20Lista%20de%20Presen%C3%A7a/WhatsApp%20Image%202026-03-31%20at%2022.06.18%20(1)_Marina%20Rodrigues.jpeg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</si>
  <si>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2011_Marina%20Rodrigues.pdf</t>
  </si>
  <si>
    <t>https://uniasselvi01-my.sharepoint.com/personal/elienai_cesar_uniasselvi_com_br1/Documents/Aplicativos/Microsoft%20Forms/Question%C3%A1rio%20sem%20t%C3%ADtulo/Envio%20da%20Lista%20de%20Presen%C3%A7a/WhatsApp%20Image%202026-03-31%20at%2022.14.23%20(1)_Marina%20Rodrigues.jpeg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</si>
  <si>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2012_Marina%20Rodrigues.pdf</t>
  </si>
  <si>
    <t>https://uniasselvi01-my.sharepoint.com/personal/elienai_cesar_uniasselvi_com_br1/Documents/Aplicativos/Microsoft%20Forms/Question%C3%A1rio%20sem%20t%C3%ADtulo/Envio%20da%20Lista%20de%20Presen%C3%A7a/presen%C3%A7a_Nelma%20Martins.pdf</t>
  </si>
  <si>
    <t>https://uniasselvi01-my.sharepoint.com/personal/elienai_cesar_uniasselvi_com_br1/_layouts/15/Doc.aspx?sourcedoc=%7B5424E881-8B0B-45A1-B178-2C5DF233D49F%7D&amp;file=PORTIFOLIO_Nelma%20Martins%205.docx&amp;action=default&amp;mobileredirect=true</t>
  </si>
  <si>
    <t>Avaliação nutricional de atleta e desportista I: Antropometria e Composição corporal</t>
  </si>
  <si>
    <t>https://uniasselvi01-my.sharepoint.com/personal/elienai_cesar_uniasselvi_com_br1/Documents/Aplicativos/Microsoft%20Forms/Question%C3%A1rio%20sem%20t%C3%ADtulo/Envio%20da%20Lista%20de%20Presen%C3%A7a%202/WhatsApp%20Image%202026-04-01%20at%2008.01.07_Izabela%20Biela.jpeg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</si>
  <si>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%20-%20Avalia%C3%A7%C3%A3o_Izabela%20Biela%202.pdf</t>
  </si>
  <si>
    <t>https://uniasselvi01-my.sharepoint.com/personal/elienai_cesar_uniasselvi_com_br1/Documents/Aplicativos/Microsoft%20Forms/Question%C3%A1rio%20sem%20t%C3%ADtulo/Envio%20da%20Lista%20de%20Presen%C3%A7a%202/WhatsApp%20Image%202026-04-01%20at%2008.01.07%20(1)_Izabela%20Biela.jpeg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</si>
  <si>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%20-%20Avalia%C3%A7%C3%A3o_Izabela%20Biela%203.pdf</t>
  </si>
  <si>
    <t>https://uniasselvi01-my.sharepoint.com/personal/elienai_cesar_uniasselvi_com_br1/Documents/Aplicativos/Microsoft%20Forms/Question%C3%A1rio%20sem%20t%C3%ADtulo/Envio%20da%20Lista%20de%20Presen%C3%A7a%203/20260401_082043_Silvestre%20Assumpcao.PDF</t>
  </si>
  <si>
    <t>https://uniasselvi01-my.sharepoint.com/personal/elienai_cesar_uniasselvi_com_br1/Documents/Aplicativos/Microsoft%20Forms/Question%C3%A1rio%20sem%20t%C3%ADtulo/Envio%20do%20Portf%C3%B3lio%20em%20PDF%203/com.google.android.apps.photos(1)_Silvestre%20Assumpcao.PDF; https://uniasselvi01-my.sharepoint.com/personal/elienai_cesar_uniasselvi_com_br1/Documents/Aplicativos/Microsoft%20Forms/Question%C3%A1rio%20sem%20t%C3%ADtulo/Envio%20do%20Portf%C3%B3lio%20em%20PDF%203/20260331_184213_Silvestre%20Assumpcao.PDF; https://uniasselvi01-my.sharepoint.com/personal/elienai_cesar_uniasselvi_com_br1/Documents/Aplicativos/Microsoft%20Forms/Question%C3%A1rio%20sem%20t%C3%ADtulo/Envio%20do%20Portf%C3%B3lio%20em%20PDF%203/20260331_183642_Silvestre%20Assumpcao.PDF; https://uniasselvi01-my.sharepoint.com/personal/elienai_cesar_uniasselvi_com_br1/Documents/Aplicativos/Microsoft%20Forms/Question%C3%A1rio%20sem%20t%C3%ADtulo/Envio%20do%20Portf%C3%B3lio%20em%20PDF%203/20260331_181645_Silvestre%20Assumpcao.PDF</t>
  </si>
  <si>
    <t>https://uniasselvi01-my.sharepoint.com/personal/elienai_cesar_uniasselvi_com_br1/Documents/Aplicativos/Microsoft%20Forms/Question%C3%A1rio%20sem%20t%C3%ADtulo/Envio%20da%20Lista%20de%20Presen%C3%A7a/lista%20de%20frequ%C3%AAncia_Sara%20Gomes.pdf</t>
  </si>
  <si>
    <t>https://uniasselvi01-my.sharepoint.com/personal/elienai_cesar_uniasselvi_com_br1/_layouts/15/Doc.aspx?sourcedoc=%7B31EC9B8E-F210-44C6-9258-C448B9732370%7D&amp;file=Tutor%20-%20MANOBRA%20RCP%20D%20M_Sara%20Gomes.docx&amp;action=default&amp;mobileredirect=true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</si>
  <si>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https://uniasselvi01-my.sharepoint.com/personal/elienai_cesar_uniasselvi_com_br1/Documents/Aplicativos/Microsoft%20Forms/Question%C3%A1rio%20sem%20t%C3%ADtulo/Envio%20da%20Lista%20de%20Presen%C3%A7a/lista%20de%20frequ%C3%AAncia_Sara%20Gomes%201.pdf</t>
  </si>
  <si>
    <t>https://uniasselvi01-my.sharepoint.com/personal/elienai_cesar_uniasselvi_com_br1/_layouts/15/Doc.aspx?sourcedoc=%7BAFCCD17B-6977-4EC5-836B-01C6447D636E%7D&amp;file=Tutor%20-%20escala%20de%20glasgow%20D%20M_Sara%20Gomes.docx&amp;action=default&amp;mobileredirect=true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</si>
  <si>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https://uniasselvi01-my.sharepoint.com/personal/elienai_cesar_uniasselvi_com_br1/Documents/Aplicativos/Microsoft%20Forms/Question%C3%A1rio%20sem%20t%C3%ADtulo/Envio%20da%20Lista%20de%20Presen%C3%A7a/lista%20de%20frequ%C3%AAncia_Sara%20Gomes%202.pdf</t>
  </si>
  <si>
    <t>https://uniasselvi01-my.sharepoint.com/personal/elienai_cesar_uniasselvi_com_br1/_layouts/15/Doc.aspx?sourcedoc=%7BCB219FDC-7F35-4231-82BD-989761FA0B8A%7D&amp;file=Tutor%20-%20QUEIMADURAS%20%20D%20M_Sara%20Gomes.docx&amp;action=default&amp;mobileredirect=true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</si>
  <si>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https://uniasselvi01-my.sharepoint.com/personal/elienai_cesar_uniasselvi_com_br1/Documents/Aplicativos/Microsoft%20Forms/Question%C3%A1rio%20sem%20t%C3%ADtulo/Envio%20da%20Lista%20de%20Presen%C3%A7a/frequ%C3%AAncia%20Mithis_Sara%20Gomes.pdf</t>
  </si>
  <si>
    <t>https://uniasselvi01-my.sharepoint.com/personal/elienai_cesar_uniasselvi_com_br1/_layouts/15/Doc.aspx?sourcedoc=%7BEB414D47-2D20-4D98-BD00-9F81D75965FB%7D&amp;file=Tutor%20-%20conten%C3%A7ao%20paciente_Sara%20Gomes.docx&amp;action=default&amp;mobileredirect=true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</si>
  <si>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https://uniasselvi01-my.sharepoint.com/personal/elienai_cesar_uniasselvi_com_br1/Documents/Aplicativos/Microsoft%20Forms/Question%C3%A1rio%20sem%20t%C3%ADtulo/Envio%20da%20Lista%20de%20Presen%C3%A7a/frequ%C3%AAncia%20Mithis_Sara%20Gomes%201.pdf</t>
  </si>
  <si>
    <t>https://uniasselvi01-my.sharepoint.com/personal/elienai_cesar_uniasselvi_com_br1/_layouts/15/Doc.aspx?sourcedoc=%7BE49C66CB-BB8F-4171-89DE-3DB8BAFE5F6B%7D&amp;file=Tutor%20-%20Triagem%20de%20paciente%20com_Sara%20Gomes.docx&amp;action=default&amp;mobileredirect=true</t>
  </si>
  <si>
    <t>https://uniasselvi01-my.sharepoint.com/personal/elienai_cesar_uniasselvi_com_br1/Documents/Aplicativos/Microsoft%20Forms/Question%C3%A1rio%20sem%20t%C3%ADtulo/Envio%20da%20Lista%20de%20Presen%C3%A7a/Frequ%C3%AAncia%20-%2003_Romulo%20Pinto.pdf</t>
  </si>
  <si>
    <t>https://uniasselvi01-my.sharepoint.com/personal/elienai_cesar_uniasselvi_com_br1/Documents/Aplicativos/Microsoft%20Forms/Question%C3%A1rio%20sem%20t%C3%ADtulo/Envio%20do%20Portf%C3%B3lio%20em%20PDF/03%20-%20Tutor%20-%20Portf%C3%B3lio%20das%20Atividades%20Pr%C3%A1tica_Romulo%20Pinto%201.pdf</t>
  </si>
  <si>
    <t>https://uniasselvi01-my.sharepoint.com/personal/elienai_cesar_uniasselvi_com_br1/Documents/Aplicativos/Microsoft%20Forms/Question%C3%A1rio%20sem%20t%C3%ADtulo/Envio%20da%20Lista%20de%20Presen%C3%A7a/lista%20de%20presenc%CC%A7a_Caio%20Oliveira.pdf</t>
  </si>
  <si>
    <t>https://uniasselvi01-my.sharepoint.com/personal/elienai_cesar_uniasselvi_com_br1/Documents/Aplicativos/Microsoft%20Forms/Question%C3%A1rio%20sem%20t%C3%ADtulo/Envio%20do%20Portf%C3%B3lio%20em%20PDF/caio%20g_Caio%20Oliveira.pdf</t>
  </si>
  <si>
    <t>Avaliação corporal + Ausculta pulmonar + Ausculta cardiaca + Verificação de sinais vitais;Avaliação de enfermagem ao paciente com queimadura + Escala de Coma de Glasgow;Exame físico - sistema cardiovascular + Atuação de enfermagem nas doenças locomotoras</t>
  </si>
  <si>
    <t>https://uniasselvi01-my.sharepoint.com/personal/elienai_cesar_uniasselvi_com_br1/Documents/Aplicativos/Microsoft%20Forms/Question%C3%A1rio%20sem%20t%C3%ADtulo/Envio%20da%20Lista%20de%20Presen%C3%A7a/Presen%C3%A7a%2031.03.2026_Sara%20Amann.jpeg</t>
  </si>
  <si>
    <t>https://uniasselvi01-my.sharepoint.com/personal/elienai_cesar_uniasselvi_com_br1/Documents/Aplicativos/Microsoft%20Forms/Question%C3%A1rio%20sem%20t%C3%ADtulo/Envio%20do%20Portf%C3%B3lio%20em%20PDF/2026.03.31%20-%20Exame%20f%C3%ADsico%20e%20SSVV_Sara%20Amann.pdf</t>
  </si>
  <si>
    <t>https://uniasselvi01-my.sharepoint.com/personal/elienai_cesar_uniasselvi_com_br1/Documents/Aplicativos/Microsoft%20Forms/Question%C3%A1rio%20sem%20t%C3%ADtulo/Envio%20da%20Lista%20de%20Presen%C3%A7a/Frequ%C3%AAncia%20D%C3%A9bora%20Godoi%2026.02%20-%2014.03%20-%2026.03_Cinthia%20Macedo.pdf</t>
  </si>
  <si>
    <t>https://uniasselvi01-my.sharepoint.com/personal/elienai_cesar_uniasselvi_com_br1/Documents/Aplicativos/Microsoft%20Forms/Question%C3%A1rio%20sem%20t%C3%ADtulo/Envio%20do%20Portf%C3%B3lio%20em%20PDF/LAVAGEM%20G%C3%81STRICA_Cinthia%20Macedo.pdf</t>
  </si>
  <si>
    <t>https://uniasselvi01-my.sharepoint.com/personal/elienai_cesar_uniasselvi_com_br1/Documents/Aplicativos/Microsoft%20Forms/Question%C3%A1rio%20sem%20t%C3%ADtulo/Envio%20da%20Lista%20de%20Presen%C3%A7a/Frequ%C3%AAncia%20D%C3%A9bora%20Godoi%2026.02%20-%2014.03%20-%2026.03_Cinthia%20Macedo%201.pdf</t>
  </si>
  <si>
    <t>https://uniasselvi01-my.sharepoint.com/personal/elienai_cesar_uniasselvi_com_br1/Documents/Aplicativos/Microsoft%20Forms/Question%C3%A1rio%20sem%20t%C3%ADtulo/Envio%20do%20Portf%C3%B3lio%20em%20PDF/SONDAGEM%20VESICAL%20DE%20AL%C3%8DVIO_Cinthia%20Macedo.pdf; https://uniasselvi01-my.sharepoint.com/personal/elienai_cesar_uniasselvi_com_br1/Documents/Aplicativos/Microsoft%20Forms/Question%C3%A1rio%20sem%20t%C3%ADtulo/Envio%20do%20Portf%C3%B3lio%20em%20PDF/SONDAGEM%20VESICAL%20DE%20DEMORA_Cinthia%20Macedo.pdf</t>
  </si>
  <si>
    <t>https://uniasselvi01-my.sharepoint.com/personal/elienai_cesar_uniasselvi_com_br1/Documents/Aplicativos/Microsoft%20Forms/Question%C3%A1rio%20sem%20t%C3%ADtulo/Envio%20da%20Lista%20de%20Presen%C3%A7a%201/31.03.26%20-%20terapia%20ocupacional%20na%20saude%20do%20tr_Nayana%20Flexa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</si>
  <si>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ter_Nayana%20Flexa.pdf</t>
  </si>
  <si>
    <t>https://uniasselvi01-my.sharepoint.com/personal/elienai_cesar_uniasselvi_com_br1/Documents/Aplicativos/Microsoft%20Forms/Question%C3%A1rio%20sem%20t%C3%ADtulo/Envio%20da%20Lista%20de%20Presen%C3%A7a%205/Lista%20de%20Presen%C3%A7a%20das%20Pr%C3%A1ticas%20-%20Biologia%20e%20M_Vitor%20Pinheiro.pdf</t>
  </si>
  <si>
    <t>https://uniasselvi01-my.sharepoint.com/personal/elienai_cesar_uniasselvi_com_br1/Documents/Aplicativos/Microsoft%20Forms/Question%C3%A1rio%20sem%20t%C3%ADtulo/Envio%20do%20Portf%C3%B3lio%20em%20PDF%205/Portfolio_Plantas_Daninhas-1_Vitor%20Pinheiro.pdf</t>
  </si>
  <si>
    <t>https://uniasselvi01-my.sharepoint.com/personal/elienai_cesar_uniasselvi_com_br1/_layouts/15/Doc.aspx?sourcedoc=%7B0D5C21DE-2C4F-4579-92E1-A07DB2FB275A%7D&amp;file=Relat%C3%B3rio%20de%20Laborat%C3%B3rio%2031.03.2026%20aula%201_Luiz%20Silva.docx&amp;action=default&amp;mobileredirect=true</t>
  </si>
  <si>
    <t>https://uniasselvi01-my.sharepoint.com/personal/elienai_cesar_uniasselvi_com_br1/Documents/Aplicativos/Microsoft%20Forms/Question%C3%A1rio%20sem%20t%C3%ADtulo/Envio%20do%20Portf%C3%B3lio%20em%20PDF/Foto%201%20_%2031.03.20226_Luiz%20Silva.jpeg; https://uniasselvi01-my.sharepoint.com/personal/elienai_cesar_uniasselvi_com_br1/Documents/Aplicativos/Microsoft%20Forms/Question%C3%A1rio%20sem%20t%C3%ADtulo/Envio%20do%20Portf%C3%B3lio%20em%20PDF/Foto%202%20_%2031.03.20226_Luiz%20Silva.jpeg; https://uniasselvi01-my.sharepoint.com/personal/elienai_cesar_uniasselvi_com_br1/Documents/Aplicativos/Microsoft%20Forms/Question%C3%A1rio%20sem%20t%C3%ADtulo/Envio%20do%20Portf%C3%B3lio%20em%20PDF/Foto%203%20_%2031.03.20226_Luiz%20Silva.jpeg; https://uniasselvi01-my.sharepoint.com/personal/elienai_cesar_uniasselvi_com_br1/Documents/Aplicativos/Microsoft%20Forms/Question%C3%A1rio%20sem%20t%C3%ADtulo/Envio%20do%20Portf%C3%B3lio%20em%20PDF/Foto%204%20_%2031.03.20226_Luiz%20Silva.jpeg; https://uniasselvi01-my.sharepoint.com/personal/elienai_cesar_uniasselvi_com_br1/Documents/Aplicativos/Microsoft%20Forms/Question%C3%A1rio%20sem%20t%C3%ADtulo/Envio%20do%20Portf%C3%B3lio%20em%20PDF/Foto%205%20_%2031.03.20226_Luiz%20Silva.jpeg; https://uniasselvi01-my.sharepoint.com/personal/elienai_cesar_uniasselvi_com_br1/Documents/Aplicativos/Microsoft%20Forms/Question%C3%A1rio%20sem%20t%C3%ADtulo/Envio%20do%20Portf%C3%B3lio%20em%20PDF/Foto%206%20_%2031.03.20226_Luiz%20Silva.jpeg; https://uniasselvi01-my.sharepoint.com/personal/elienai_cesar_uniasselvi_com_br1/Documents/Aplicativos/Microsoft%20Forms/Question%C3%A1rio%20sem%20t%C3%ADtulo/Envio%20do%20Portf%C3%B3lio%20em%20PDF/Foto%207%20_%2031.03.20226_Luiz%20Silva.jpeg</t>
  </si>
  <si>
    <t>https://uniasselvi01-my.sharepoint.com/personal/elienai_cesar_uniasselvi_com_br1/Documents/Aplicativos/Microsoft%20Forms/Question%C3%A1rio%20sem%20t%C3%ADtulo/Envio%20da%20Lista%20de%20Presen%C3%A7a/Chamada%2017-03_Tatiane%20Rodrigues.jpeg</t>
  </si>
  <si>
    <t>https://uniasselvi01-my.sharepoint.com/personal/elienai_cesar_uniasselvi_com_br1/Documents/Aplicativos/Microsoft%20Forms/Question%C3%A1rio%20sem%20t%C3%ADtulo/Envio%20do%20Portf%C3%B3lio%20em%20PDF/Portf%C3%B3lio%20PDF%20-%20Sa%C3%BAde%20Mental_Tatiane%20Rodrigues.pdf</t>
  </si>
  <si>
    <t>https://uniasselvi01-my.sharepoint.com/personal/elienai_cesar_uniasselvi_com_br1/Documents/Aplicativos/Microsoft%20Forms/Question%C3%A1rio%20sem%20t%C3%ADtulo/Envio%20da%20Lista%20de%20Presen%C3%A7a/Presen%C3%A7a%2024-03_Tatiane%20Rodrigues.jpeg</t>
  </si>
  <si>
    <t>https://uniasselvi01-my.sharepoint.com/personal/elienai_cesar_uniasselvi_com_br1/Documents/Aplicativos/Microsoft%20Forms/Question%C3%A1rio%20sem%20t%C3%ADtulo/Envio%20do%20Portf%C3%B3lio%20em%20PDF/Portf%C3%B3lio%20Sa%C3%BAde%20Mental%2024-03%20PDF_Tatiane%20Rodrigues.pdf</t>
  </si>
  <si>
    <t>https://uniasselvi01-my.sharepoint.com/personal/elienai_cesar_uniasselvi_com_br1/Documents/Aplicativos/Microsoft%20Forms/Question%C3%A1rio%20sem%20t%C3%ADtulo/Envio%20da%20Lista%20de%20Presen%C3%A7a/Presen%C3%A7a%2018-03_Tatiane%20Rodrigues.jpeg</t>
  </si>
  <si>
    <t>https://uniasselvi01-my.sharepoint.com/personal/elienai_cesar_uniasselvi_com_br1/Documents/Aplicativos/Microsoft%20Forms/Question%C3%A1rio%20sem%20t%C3%ADtulo/Envio%20do%20Portf%C3%B3lio%20em%20PDF/Portf%C3%B3lio%20PDF%20-%20Urg%C3%AAncia%20e%20Emerg%C3%AAncia_Tatiane%20Rodrigues.pdf</t>
  </si>
  <si>
    <t>https://uniasselvi01-my.sharepoint.com/personal/elienai_cesar_uniasselvi_com_br1/Documents/Aplicativos/Microsoft%20Forms/Question%C3%A1rio%20sem%20t%C3%ADtulo/Envio%20da%20Lista%20de%20Presen%C3%A7a/Presen%C3%A7a%2019-03_Tatiane%20Rodrigues.jpeg</t>
  </si>
  <si>
    <t>https://uniasselvi01-my.sharepoint.com/personal/elienai_cesar_uniasselvi_com_br1/Documents/Aplicativos/Microsoft%20Forms/Question%C3%A1rio%20sem%20t%C3%ADtulo/Envio%20do%20Portf%C3%B3lio%20em%20PDF/Portf%C3%B3lio%20PDF%20RN%20e%20Lactente_Tatiane%20Rodrigues.pdf</t>
  </si>
  <si>
    <t>https://uniasselvi01-my.sharepoint.com/personal/elienai_cesar_uniasselvi_com_br1/Documents/Aplicativos/Microsoft%20Forms/Question%C3%A1rio%20sem%20t%C3%ADtulo/Envio%20da%20Lista%20de%20Presen%C3%A7a/Presen%C3%A7a%2026-03_Tatiane%20Rodrigues.jpeg</t>
  </si>
  <si>
    <t>https://uniasselvi01-my.sharepoint.com/personal/elienai_cesar_uniasselvi_com_br1/Documents/Aplicativos/Microsoft%20Forms/Question%C3%A1rio%20sem%20t%C3%ADtulo/Envio%20do%20Portf%C3%B3lio%20em%20PDF/Portf%C3%B3lio%20-%20Pacientes%20Oncol%C3%B3gicos%20PDF_Tatiane%20Rodrigues.pdf</t>
  </si>
  <si>
    <t>Maquiagem social;Preparação da pele para receber a maquiagem</t>
  </si>
  <si>
    <t>https://uniasselvi01-my.sharepoint.com/personal/elienai_cesar_uniasselvi_com_br1/Documents/Aplicativos/Microsoft%20Forms/Question%C3%A1rio%20sem%20t%C3%ADtulo/Envio%20da%20Lista%20de%20Presen%C3%A7a%201/IMG_3113_Lorrine%20Silva.jpeg</t>
  </si>
  <si>
    <t>https://uniasselvi01-my.sharepoint.com/personal/elienai_cesar_uniasselvi_com_br1/Documents/Aplicativos/Microsoft%20Forms/Question%C3%A1rio%20sem%20t%C3%ADtulo/Envio%20do%20Portf%C3%B3lio%20em%20PDF%201/Portfo%CC%81lio%20Maquiagem%20e%20Visagismo%201_Lorrine%20Silva.pdf</t>
  </si>
  <si>
    <t>Gastronomia pediátrica</t>
  </si>
  <si>
    <t>https://uniasselvi01-my.sharepoint.com/personal/elienai_cesar_uniasselvi_com_br1/Documents/Aplicativos/Microsoft%20Forms/Question%C3%A1rio%20sem%20t%C3%ADtulo/Envio%20da%20Lista%20de%20Presen%C3%A7a%202/IMG_20260331_194830_Laura%20Volpato.jpg</t>
  </si>
  <si>
    <t>https://uniasselvi01-my.sharepoint.com/personal/elienai_cesar_uniasselvi_com_br1/Documents/Aplicativos/Microsoft%20Forms/Question%C3%A1rio%20sem%20t%C3%ADtulo/Envio%20do%20Portf%C3%B3lio%20em%20PDF%202/13%20Portf%C3%B3lio%20das%20Atividades%20Pr%C3%A1ticas.docx%20(1)_Laura%20Volpato.pdf</t>
  </si>
  <si>
    <t>https://uniasselvi01-my.sharepoint.com/personal/elienai_cesar_uniasselvi_com_br1/Documents/Aplicativos/Microsoft%20Forms/Question%C3%A1rio%20sem%20t%C3%ADtulo/Envio%20da%20Lista%20de%20Presen%C3%A7a%202/IMG_20260331_194832_Laura%20Volpato.jpg</t>
  </si>
  <si>
    <t>https://uniasselvi01-my.sharepoint.com/personal/elienai_cesar_uniasselvi_com_br1/Documents/Aplicativos/Microsoft%20Forms/Question%C3%A1rio%20sem%20t%C3%ADtulo/Envio%20do%20Portf%C3%B3lio%20em%20PDF%202/14%20Portf%C3%B3lio%20das%20Atividades%20Pr%C3%A1ticas.docx%20(1)_Laura%20Volpato.pdf</t>
  </si>
  <si>
    <t>Contagem diferencial de leucócitos;Tipagem sanguínea em lâminas</t>
  </si>
  <si>
    <t>https://uniasselvi01-my.sharepoint.com/personal/elienai_cesar_uniasselvi_com_br1/Documents/Aplicativos/Microsoft%20Forms/Question%C3%A1rio%20sem%20t%C3%ADtulo/Pergunta/IMG_20260402_123310~2_Andre%20Oliveira.jpg</t>
  </si>
  <si>
    <t>https://uniasselvi01-my.sharepoint.com/personal/elienai_cesar_uniasselvi_com_br1/Documents/Aplicativos/Microsoft%20Forms/Question%C3%A1rio%20sem%20t%C3%ADtulo/Pergunta%201/Tutor%20-%20Portf%C3%B3lio%20das%20Atividades%20Pr%C3%A1ticas%20(3)_Andre%20Oliveira.pdf</t>
  </si>
  <si>
    <t>https://uniasselvi01-my.sharepoint.com/personal/elienai_cesar_uniasselvi_com_br1/Documents/Aplicativos/Microsoft%20Forms/Question%C3%A1rio%20sem%20t%C3%ADtulo/Envio%20da%20Lista%20de%20Presen%C3%A7a/WhatsApp%20Image%202026-04-02%20at%2019.57.38_Conceicao%20Delphino.jpeg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</si>
  <si>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Uniasselvi_Conceicao%20Delphino%205.pdf; https://uniasselvi01-my.sharepoint.com/personal/elienai_cesar_uniasselvi_com_br1/Documents/Aplicativos/Microsoft%20Forms/Question%C3%A1rio%20sem%20t%C3%ADtulo/Envio%20do%20Portf%C3%B3lio%20em%20PDF/WhatsApp%20Image%202026-04-02%20at%2019.56.13_Conceicao%20Delphino.jpeg; https://uniasselvi01-my.sharepoint.com/personal/elienai_cesar_uniasselvi_com_br1/Documents/Aplicativos/Microsoft%20Forms/Question%C3%A1rio%20sem%20t%C3%ADtulo/Envio%20do%20Portf%C3%B3lio%20em%20PDF/WhatsApp%20Image%202026-04-02%20at%2019.56.11_Conceicao%20Delphino.jpeg; https://uniasselvi01-my.sharepoint.com/personal/elienai_cesar_uniasselvi_com_br1/Documents/Aplicativos/Microsoft%20Forms/Question%C3%A1rio%20sem%20t%C3%ADtulo/Envio%20do%20Portf%C3%B3lio%20em%20PDF/WhatsApp%20Image%202026-04-02%20at%2019.56.10_Conceicao%20Delphino.jpeg</t>
  </si>
  <si>
    <t>12362752@aluno.uniasselvi.com.br</t>
  </si>
  <si>
    <t>Raíssa Castro</t>
  </si>
  <si>
    <t>https://uniasselvi01-my.sharepoint.com/personal/elienai_cesar_uniasselvi_com_br1/Documents/Aplicativos/Microsoft%20Forms/Question%C3%A1rio%20sem%20t%C3%ADtulo/Envio%20da%20Lista%20de%20Presen%C3%A7a%201/MODELO_Lista%20de%20Presen%C3%A7a%20das%20Pr%C3%A1ticas%20-%20Copia_Ra%C3%ADssa%20Castro.pdf</t>
  </si>
  <si>
    <t>https://uniasselvi01-my.sharepoint.com/personal/elienai_cesar_uniasselvi_com_br1/Documents/Aplicativos/Microsoft%20Forms/Question%C3%A1rio%20sem%20t%C3%ADtulo/Envio%20do%20Portf%C3%B3lio%20em%20PDF%201/RELATAT%C3%93RIO%20DE%20ATIVIDADE%20PR%C3%81TICA%20ANATORMORFOF_Ra%C3%ADssa%20Castro.pdf</t>
  </si>
  <si>
    <t>https://uniasselvi01-my.sharepoint.com/personal/elienai_cesar_uniasselvi_com_br1/Documents/Aplicativos/Microsoft%20Forms/Question%C3%A1rio%20sem%20t%C3%ADtulo/Envio%20da%20Lista%20de%20Presen%C3%A7a%205/Lista%20de%20Presen%C3%A7a%20-%20Tecnicas%20de%20Propaga%C3%A7%C3%A3o%20de_Vitor%20Pinheiro.pdf</t>
  </si>
  <si>
    <t>https://uniasselvi01-my.sharepoint.com/personal/elienai_cesar_uniasselvi_com_br1/Documents/Aplicativos/Microsoft%20Forms/Question%C3%A1rio%20sem%20t%C3%ADtulo/Envio%20do%20Portf%C3%B3lio%20em%20PDF%205/Portifolio%20de%20Praticas%20-%20Propaga%C3%A7%C3%A3o%20agricola_Vitor%20Pinheiro.pdf</t>
  </si>
  <si>
    <t>https://uniasselvi01-my.sharepoint.com/personal/elienai_cesar_uniasselvi_com_br1/Documents/Aplicativos/Microsoft%20Forms/Question%C3%A1rio%20sem%20t%C3%ADtulo/Envio%20da%20Lista%20de%20Presen%C3%A7a%202/WhatsApp%20Image%202026-04-04%20at%2015.50.48_Ana%20Sedrez.jpeg; https://uniasselvi01-my.sharepoint.com/personal/elienai_cesar_uniasselvi_com_br1/Documents/Aplicativos/Microsoft%20Forms/Question%C3%A1rio%20sem%20t%C3%ADtulo/Envio%20da%20Lista%20de%20Presen%C3%A7a%202/WhatsApp%20Image%202026-04-04%20at%2015.50.43_Ana%20Sedrez.jpeg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</si>
  <si>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Ava_Ana%20Sedrez.pdf</t>
  </si>
  <si>
    <t>https://uniasselvi01-my.sharepoint.com/personal/elienai_cesar_uniasselvi_com_br1/Documents/Aplicativos/Microsoft%20Forms/Question%C3%A1rio%20sem%20t%C3%ADtulo/Envio%20da%20Lista%20de%20Presen%C3%A7a%202/WhatsApp%20Image%202026-04-04%20at%2015.59.43_Ana%20Sedrez.jpeg; https://uniasselvi01-my.sharepoint.com/personal/elienai_cesar_uniasselvi_com_br1/Documents/Aplicativos/Microsoft%20Forms/Question%C3%A1rio%20sem%20t%C3%ADtulo/Envio%20da%20Lista%20de%20Presen%C3%A7a%202/WhatsApp%20Image%202026-04-04%20at%2016.00.26_Ana%20Sedrez.jpeg; https://uniasselvi01-my.sharepoint.com/personal/elienai_cesar_uniasselvi_com_br1/Documents/Aplicativos/Microsoft%20Forms/Question%C3%A1rio%20sem%20t%C3%ADtulo/Envio%20da%20Lista%20de%20Presen%C3%A7a%202/WhatsApp%20Image%202026-04-04%20at%2016.00.21_Ana%20Sedrez.jpeg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</si>
  <si>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Ava%202_Ana%20Sedrez.pdf</t>
  </si>
  <si>
    <t>https://uniasselvi01-my.sharepoint.com/personal/elienai_cesar_uniasselvi_com_br1/Documents/Aplicativos/Microsoft%20Forms/Question%C3%A1rio%20sem%20t%C3%ADtulo/Envio%20da%20Lista%20de%20Presen%C3%A7a%202/WhatsApp%20Image%202026-04-04%20at%2016.51.05_Ana%20Sedrez.jpeg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</si>
  <si>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des%203_Ana%20Sedrez.pdf</t>
  </si>
  <si>
    <t>https://uniasselvi01-my.sharepoint.com/personal/elienai_cesar_uniasselvi_com_br1/Documents/Aplicativos/Microsoft%20Forms/Question%C3%A1rio%20sem%20t%C3%ADtulo/Envio%20da%20Lista%20de%20Presen%C3%A7a/Lista%20de%20presen%C3%A7a%20urg%C3%AAncia%20e%20emerg%C3%AAncia2_Sandra%20Massad.pdf; https://uniasselvi01-my.sharepoint.com/personal/elienai_cesar_uniasselvi_com_br1/Documents/Aplicativos/Microsoft%20Forms/Question%C3%A1rio%20sem%20t%C3%ADtulo/Envio%20da%20Lista%20de%20Presen%C3%A7a/Lista%20de%20presen%C3%A7a%20Urg%C3%AAncia%20e%20emerg%C3%AAncias_Sandra%20Massad.pdf</t>
  </si>
  <si>
    <t>https://uniasselvi01-my.sharepoint.com/personal/elienai_cesar_uniasselvi_com_br1/Documents/Aplicativos/Microsoft%20Forms/Question%C3%A1rio%20sem%20t%C3%ADtulo/Envio%20do%20Portf%C3%B3lio%20em%20PDF/Portf%C3%B3lio%20aval.%20paciente%20com%20queimadura_Sandra%20Massad.pdf; https://uniasselvi01-my.sharepoint.com/personal/elienai_cesar_uniasselvi_com_br1/Documents/Aplicativos/Microsoft%20Forms/Question%C3%A1rio%20sem%20t%C3%ADtulo/Envio%20do%20Portf%C3%B3lio%20em%20PDF/Portf%C3%B3lio%20Escala%20de%20Coma%20de%20Glasgow_Sandra%20Massad.pdf; https://uniasselvi01-my.sharepoint.com/personal/elienai_cesar_uniasselvi_com_br1/Documents/Aplicativos/Microsoft%20Forms/Question%C3%A1rio%20sem%20t%C3%ADtulo/Envio%20do%20Portf%C3%B3lio%20em%20PDF/Portf%C3%B3lio%20Manobras%20de%20suporte%20b%C3%A1sico%20de%20vida_Sandra%20Massad.pdf; https://uniasselvi01-my.sharepoint.com/personal/elienai_cesar_uniasselvi_com_br1/Documents/Aplicativos/Microsoft%20Forms/Question%C3%A1rio%20sem%20t%C3%ADtulo/Envio%20do%20Portf%C3%B3lio%20em%20PDF/Avalia%C3%A7ao%20de%20SCQ_Sandra%20Massad.jpeg; https://uniasselvi01-my.sharepoint.com/personal/elienai_cesar_uniasselvi_com_br1/Documents/Aplicativos/Microsoft%20Forms/Question%C3%A1rio%20sem%20t%C3%ADtulo/Envio%20do%20Portf%C3%B3lio%20em%20PDF/Manobras%20de%20RCP_Sandra%20Massad.jpeg; https://uniasselvi01-my.sharepoint.com/personal/elienai_cesar_uniasselvi_com_br1/Documents/Aplicativos/Microsoft%20Forms/Question%C3%A1rio%20sem%20t%C3%ADtulo/Envio%20do%20Portf%C3%B3lio%20em%20PDF/Sporte%20b%C3%A1sico%20com%20DEA_Sandra%20Massad.jpeg; https://uniasselvi01-my.sharepoint.com/personal/elienai_cesar_uniasselvi_com_br1/Documents/Aplicativos/Microsoft%20Forms/Question%C3%A1rio%20sem%20t%C3%ADtulo/Envio%20do%20Portf%C3%B3lio%20em%20PDF/Suporte%20b%C3%A1sico%20de%20vida_Sandra%20Massad.jpeg</t>
  </si>
  <si>
    <t>https://uniasselvi01-my.sharepoint.com/personal/elienai_cesar_uniasselvi_com_br1/Documents/Aplicativos/Microsoft%20Forms/Question%C3%A1rio%20sem%20t%C3%ADtulo/Envio%20da%20Lista%20de%20Presen%C3%A7a%201/lista%20de%20frequencia%20%20Treino%20AVDS%20II%20%E2%80%93%20Membro_Nayana%20Flexa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</si>
  <si>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Tre_Nayana%20Flexa.pdf</t>
  </si>
  <si>
    <t>https://uniasselvi01-my.sharepoint.com/personal/elienai_cesar_uniasselvi_com_br1/Documents/Aplicativos/Microsoft%20Forms/Question%C3%A1rio%20sem%20t%C3%ADtulo/Envio%20da%20Lista%20de%20Presen%C3%A7a%201/WhatsApp%20Image%202026-04-04%20at%2021.29.26%20(1)_Luiza%20Brito.jpeg</t>
  </si>
  <si>
    <t>https://uniasselvi01-my.sharepoint.com/personal/elienai_cesar_uniasselvi_com_br1/Documents/Aplicativos/Microsoft%20Forms/Question%C3%A1rio%20sem%20t%C3%ADtulo/Envio%20do%20Portf%C3%B3lio%20em%20PDF%201/portifolio%20-%20rev%20de%20anatomorfofisiologia_Luiza%20Brito.pdf</t>
  </si>
  <si>
    <t>https://uniasselvi01-my.sharepoint.com/personal/elienai_cesar_uniasselvi_com_br1/Documents/Aplicativos/Microsoft%20Forms/Question%C3%A1rio%20sem%20t%C3%ADtulo/Envio%20da%20Lista%20de%20Presen%C3%A7a%201/WhatsApp%20Image%202026-04-04%20at%2021.22.58_Luiza%20Brito.jpeg</t>
  </si>
  <si>
    <t>https://uniasselvi01-my.sharepoint.com/personal/elienai_cesar_uniasselvi_com_br1/Documents/Aplicativos/Microsoft%20Forms/Question%C3%A1rio%20sem%20t%C3%ADtulo/Envio%20do%20Portf%C3%B3lio%20em%20PDF%201/portifolio%20-%20Estudo%20Pr%C3%A1tico%20da%20Biomec%C3%A2nica%20Ar_Luiza%20Brito.pdf</t>
  </si>
  <si>
    <t>https://uniasselvi01-my.sharepoint.com/personal/elienai_cesar_uniasselvi_com_br1/Documents/Aplicativos/Microsoft%20Forms/Question%C3%A1rio%20sem%20t%C3%ADtulo/Envio%20da%20Lista%20de%20Presen%C3%A7a%201/WhatsApp%20Image%202026-04-04%20at%2021.22.41_Luiza%20Brito.jpeg</t>
  </si>
  <si>
    <t>https://uniasselvi01-my.sharepoint.com/personal/elienai_cesar_uniasselvi_com_br1/Documents/Aplicativos/Microsoft%20Forms/Question%C3%A1rio%20sem%20t%C3%ADtulo/Envio%20do%20Portf%C3%B3lio%20em%20PDF%201/portifolio%20-Movimento%20Articular%20e%20Goniometria_Luiza%20Brito.pdf</t>
  </si>
  <si>
    <t>https://uniasselvi01-my.sharepoint.com/personal/elienai_cesar_uniasselvi_com_br1/Documents/Aplicativos/Microsoft%20Forms/Question%C3%A1rio%20sem%20t%C3%ADtulo/Envio%20da%20Lista%20de%20Presen%C3%A7a%202/WhatsApp%20Image%202026-04-05%20at%2010.45.08_Kellen%20Nascimento.jpeg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</si>
  <si>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20-%20N_Kellen%20Nascimento.pdf</t>
  </si>
  <si>
    <t>https://uniasselvi01-my.sharepoint.com/personal/elienai_cesar_uniasselvi_com_br1/Documents/Aplicativos/Microsoft%20Forms/Question%C3%A1rio%20sem%20t%C3%ADtulo/Envio%20da%20Lista%20de%20Presen%C3%A7a%202/WhatsApp%20Image%202026-04-05%20at%2023.41.02_Bruna%20Hack.jpeg</t>
  </si>
  <si>
    <t>https://uniasselvi01-my.sharepoint.com/personal/elienai_cesar_uniasselvi_com_br1/Documents/Aplicativos/Microsoft%20Forms/Question%C3%A1rio%20sem%20t%C3%ADtulo/Envio%20do%20Portf%C3%B3lio%20em%20PDF%202/Avalia%C3%A7%C3%A3o%20nutricional%20I%20e%20II%20-%20Nutri%C3%A7%C3%A3o%20Espor_Bruna%20Hack.pdf</t>
  </si>
  <si>
    <t>tuani.neves@tutorpratica.uniasselvi.com.br</t>
  </si>
  <si>
    <t>Tuani Neves</t>
  </si>
  <si>
    <t>https://uniasselvi01-my.sharepoint.com/personal/elienai_cesar_uniasselvi_com_br1/Documents/Aplicativos/Microsoft%20Forms/Question%C3%A1rio%20sem%20t%C3%ADtulo/Envio%20da%20Lista%20de%20Presen%C3%A7a%201/IMG-20260406-WA0001_Tuani%20Neves.jpg</t>
  </si>
  <si>
    <t>https://uniasselvi01-my.sharepoint.com/personal/elienai_cesar_uniasselvi_com_br1/Documents/Aplicativos/Microsoft%20Forms/Question%C3%A1rio%20sem%20t%C3%ADtulo/Envio%20do%20Portf%C3%B3lio%20em%20PDF%201/IMG-20260311-WA0005_Tuani%20Neves.jpg; https://uniasselvi01-my.sharepoint.com/personal/elienai_cesar_uniasselvi_com_br1/Documents/Aplicativos/Microsoft%20Forms/Question%C3%A1rio%20sem%20t%C3%ADtulo/Envio%20do%20Portf%C3%B3lio%20em%20PDF%201/IMG-20260311-WA0007_Tuani%20Neves.jpg</t>
  </si>
  <si>
    <t>Administração  de medicamento por Cateter Venoso Central + Monitorização hemodinâmica  do paciente;Administração de medicamento pela via subcutânea + Administração de medicamento pela via oral</t>
  </si>
  <si>
    <t>https://uniasselvi01-my.sharepoint.com/personal/elienai_cesar_uniasselvi_com_br1/Documents/Aplicativos/Microsoft%20Forms/Question%C3%A1rio%20sem%20t%C3%ADtulo/Envio%20da%20Lista%20de%20Presen%C3%A7a/IMG_20260406_105211660_MP_AE_Kamila%20Sena.jpg</t>
  </si>
  <si>
    <t>https://uniasselvi01-my.sharepoint.com/personal/elienai_cesar_uniasselvi_com_br1/_layouts/15/Doc.aspx?sourcedoc=%7BFDBA43A0-8EF7-4647-956B-509CE67E1C7D%7D&amp;file=30_03%20Tutor%20-%20Portf%C3%B3lio%20das%20Atividades%20Pr%C3%A1tic_Kamila%20Sena.docx&amp;action=default&amp;mobileredirect=true</t>
  </si>
  <si>
    <t>https://uniasselvi01-my.sharepoint.com/personal/elienai_cesar_uniasselvi_com_br1/Documents/Aplicativos/Microsoft%20Forms/Question%C3%A1rio%20sem%20t%C3%ADtulo/Envio%20da%20Lista%20de%20Presen%C3%A7a/IMG_20260406_105200503_MP_AE_Kamila%20Sena.jpg; https://uniasselvi01-my.sharepoint.com/personal/elienai_cesar_uniasselvi_com_br1/Documents/Aplicativos/Microsoft%20Forms/Question%C3%A1rio%20sem%20t%C3%ADtulo/Envio%20da%20Lista%20de%20Presen%C3%A7a/IMG_20260323_200930108_MP_AE_Kamila%20Sena.jpg</t>
  </si>
  <si>
    <t>https://uniasselvi01-my.sharepoint.com/personal/elienai_cesar_uniasselvi_com_br1/_layouts/15/Doc.aspx?sourcedoc=%7BED2F0E36-6CCC-4080-BE42-3FB34D689C3E%7D&amp;file=23_03%20Tutor%20-%20Portf%C3%B3lio%20das%20Atividades%20Pr%C3%A1tic_Kamila%20Sena.docx&amp;action=default&amp;mobileredirect=true</t>
  </si>
  <si>
    <t>https://uniasselvi01-my.sharepoint.com/personal/elienai_cesar_uniasselvi_com_br1/Documents/Aplicativos/Microsoft%20Forms/Question%C3%A1rio%20sem%20t%C3%ADtulo/Envio%20da%20Lista%20de%20Presen%C3%A7a/Fabio_Fabio%20Rosa%201.pdf</t>
  </si>
  <si>
    <t>https://uniasselvi01-my.sharepoint.com/personal/elienai_cesar_uniasselvi_com_br1/Documents/Aplicativos/Microsoft%20Forms/Question%C3%A1rio%20sem%20t%C3%ADtulo/Envio%20do%20Portf%C3%B3lio%20em%20PDF/Fabio_Fabio%20Rosa%201.pdf</t>
  </si>
  <si>
    <t>https://uniasselvi01-my.sharepoint.com/personal/elienai_cesar_uniasselvi_com_br1/Documents/Aplicativos/Microsoft%20Forms/Question%C3%A1rio%20sem%20t%C3%ADtulo/Pergunta/CamScanner%2006-04-2026%2017.35_Simone%20Oliveira.pdf</t>
  </si>
  <si>
    <t>https://uniasselvi01-my.sharepoint.com/personal/elienai_cesar_uniasselvi_com_br1/Documents/Aplicativos/Microsoft%20Forms/Question%C3%A1rio%20sem%20t%C3%ADtulo/Pergunta%201/CamScanner%2006-04-2026%2017.35_Simone%20Oliveira.pdf</t>
  </si>
  <si>
    <t>https://uniasselvi01-my.sharepoint.com/personal/elienai_cesar_uniasselvi_com_br1/Documents/Aplicativos/Microsoft%20Forms/Question%C3%A1rio%20sem%20t%C3%ADtulo/Envio%20da%20Lista%20de%20Presen%C3%A7a/20260330%20-%20AGENDAMENTO%20-%20I_Gilberto%20Filho.pdf</t>
  </si>
  <si>
    <t>https://uniasselvi01-my.sharepoint.com/personal/elienai_cesar_uniasselvi_com_br1/Documents/Aplicativos/Microsoft%20Forms/Question%C3%A1rio%20sem%20t%C3%ADtulo/Envio%20do%20Portf%C3%B3lio%20em%20PDF/PORTIF%C3%93LIO%20-%2020260330%20-%20I_Gilberto%20Filho.pdf</t>
  </si>
  <si>
    <t>Velocidade de Hemossedimentação</t>
  </si>
  <si>
    <t>https://uniasselvi01-my.sharepoint.com/personal/elienai_cesar_uniasselvi_com_br1/Documents/Aplicativos/Microsoft%20Forms/Question%C3%A1rio%20sem%20t%C3%ADtulo/Pergunta/CamScanner%2006-04-2026%2017.36_Simone%20Oliveira.pdf</t>
  </si>
  <si>
    <t>https://uniasselvi01-my.sharepoint.com/personal/elienai_cesar_uniasselvi_com_br1/Documents/Aplicativos/Microsoft%20Forms/Question%C3%A1rio%20sem%20t%C3%ADtulo/Pergunta%201/CamScanner%2006-04-2026%2017.36_Simone%20Oliveira.pdf</t>
  </si>
  <si>
    <t>https://uniasselvi01-my.sharepoint.com/personal/elienai_cesar_uniasselvi_com_br1/Documents/Aplicativos/Microsoft%20Forms/Question%C3%A1rio%20sem%20t%C3%ADtulo/Envio%20da%20Lista%20de%20Presen%C3%A7a/20260330%20-%20AGENDAMENTO%20-%20II_Gilberto%20Filho.pdf</t>
  </si>
  <si>
    <t>https://uniasselvi01-my.sharepoint.com/personal/elienai_cesar_uniasselvi_com_br1/Documents/Aplicativos/Microsoft%20Forms/Question%C3%A1rio%20sem%20t%C3%ADtulo/Envio%20do%20Portf%C3%B3lio%20em%20PDF/PORTIF%C3%93LIO%20-%2020260330%20-%20II_Gilberto%20Filho.pdf</t>
  </si>
  <si>
    <t>https://uniasselvi01-my.sharepoint.com/personal/elienai_cesar_uniasselvi_com_br1/Documents/Aplicativos/Microsoft%20Forms/Question%C3%A1rio%20sem%20t%C3%ADtulo/Pergunta/CamScanner%2006-04-2026%2017.37_Simone%20Oliveira.pdf</t>
  </si>
  <si>
    <t>https://uniasselvi01-my.sharepoint.com/personal/elienai_cesar_uniasselvi_com_br1/Documents/Aplicativos/Microsoft%20Forms/Question%C3%A1rio%20sem%20t%C3%ADtulo/Pergunta%201/CamScanner%2006-04-2026%2017.37_Simone%20Oliveira.pdf</t>
  </si>
  <si>
    <t>https://uniasselvi01-my.sharepoint.com/personal/elienai_cesar_uniasselvi_com_br1/Documents/Aplicativos/Microsoft%20Forms/Question%C3%A1rio%20sem%20t%C3%ADtulo/Envio%20da%20Lista%20de%20Presen%C3%A7a/Lista%20presen%C3%A7a%20Saude%20Mental%2025-03-26_Mariana%20Correia.jpeg</t>
  </si>
  <si>
    <t>https://uniasselvi01-my.sharepoint.com/personal/elienai_cesar_uniasselvi_com_br1/Documents/Aplicativos/Microsoft%20Forms/Question%C3%A1rio%20sem%20t%C3%ADtulo/Envio%20do%20Portf%C3%B3lio%20em%20PDF/Portf%C3%B3lio%20Sa%C3%BAde%20mental-%20Triagem%20e%20risco%20de%20su_Mariana%20Correia.pdf</t>
  </si>
  <si>
    <t>https://uniasselvi01-my.sharepoint.com/personal/elienai_cesar_uniasselvi_com_br1/Documents/Aplicativos/Microsoft%20Forms/Question%C3%A1rio%20sem%20t%C3%ADtulo/Envio%20da%20Lista%20de%20Presen%C3%A7a%201/biomec%C3%A2nica_Fabiano%20Bartmann.jpeg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</si>
  <si>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2012.pdf</t>
  </si>
  <si>
    <t>Prática de Alongamento Muscular: Estratégias Cinesioterapêuticas para Ganho de Flexibilidade e Função</t>
  </si>
  <si>
    <t>https://uniasselvi01-my.sharepoint.com/personal/elienai_cesar_uniasselvi_com_br1/Documents/Aplicativos/Microsoft%20Forms/Question%C3%A1rio%20sem%20t%C3%ADtulo/Envio%20da%20Lista%20de%20Presen%C3%A7a%201/alongamento_Fabiano%20Bartmann.jpeg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</si>
  <si>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2013.pdf</t>
  </si>
  <si>
    <t>https://uniasselvi01-my.sharepoint.com/personal/elienai_cesar_uniasselvi_com_br1/Documents/Aplicativos/Microsoft%20Forms/Question%C3%A1rio%20sem%20t%C3%ADtulo/Envio%20da%20Lista%20de%20Presen%C3%A7a/CamScanner%2001-04-2026%2020.42%20(1)_Romulo%20Pinto.jpg</t>
  </si>
  <si>
    <t>https://uniasselvi01-my.sharepoint.com/personal/elienai_cesar_uniasselvi_com_br1/Documents/Aplicativos/Microsoft%20Forms/Question%C3%A1rio%20sem%20t%C3%ADtulo/Envio%20do%20Portf%C3%B3lio%20em%20PDF/04%20-%20Tutor%20-%20Portf%C3%B3lio%20das%20Atividades%20Pr%C3%A1tica_Romulo%20Pinto%202.pdf</t>
  </si>
  <si>
    <t>https://uniasselvi01-my.sharepoint.com/personal/elienai_cesar_uniasselvi_com_br1/Documents/Aplicativos/Microsoft%20Forms/Question%C3%A1rio%20sem%20t%C3%ADtulo/Envio%20da%20Lista%20de%20Presen%C3%A7a%203/20260407_074607_Silvestre%20Assumpcao.PDF</t>
  </si>
  <si>
    <t>https://uniasselvi01-my.sharepoint.com/personal/elienai_cesar_uniasselvi_com_br1/Documents/Aplicativos/Microsoft%20Forms/Question%C3%A1rio%20sem%20t%C3%ADtulo/Envio%20do%20Portf%C3%B3lio%20em%20PDF%203/com.google.android.apps.photos(2)_Silvestre%20Assumpcao.PDF; https://uniasselvi01-my.sharepoint.com/personal/elienai_cesar_uniasselvi_com_br1/Documents/Aplicativos/Microsoft%20Forms/Question%C3%A1rio%20sem%20t%C3%ADtulo/Envio%20do%20Portf%C3%B3lio%20em%20PDF%203/20260406_180513_Silvestre%20Assumpcao.PDF; https://uniasselvi01-my.sharepoint.com/personal/elienai_cesar_uniasselvi_com_br1/Documents/Aplicativos/Microsoft%20Forms/Question%C3%A1rio%20sem%20t%C3%ADtulo/Envio%20do%20Portf%C3%B3lio%20em%20PDF%203/20260406_180456_Silvestre%20Assumpcao.PDF; https://uniasselvi01-my.sharepoint.com/personal/elienai_cesar_uniasselvi_com_br1/Documents/Aplicativos/Microsoft%20Forms/Question%C3%A1rio%20sem%20t%C3%ADtulo/Envio%20do%20Portf%C3%B3lio%20em%20PDF%203/20260406_180124_Silvestre%20Assumpcao.PDF</t>
  </si>
  <si>
    <t>https://uniasselvi01-my.sharepoint.com/personal/elienai_cesar_uniasselvi_com_br1/Documents/Aplicativos/Microsoft%20Forms/Question%C3%A1rio%20sem%20t%C3%ADtulo/Envio%20da%20Lista%20de%20Presen%C3%A7a%201/WhatsApp%20Image%202026-04-07%20at%2011.51.57_Antonio%20Sales.jpeg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</si>
  <si>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=Est%20pratico_Antonio%20Sales.pdf</t>
  </si>
  <si>
    <t>Prática de Mobilização Articular: Abordagens Terapêuticas em Recursos Manuais;Movimento Articular e Goniometria: Avaliação Quantitativa na Prática Fisioterapêutica</t>
  </si>
  <si>
    <t>https://uniasselvi01-my.sharepoint.com/personal/elienai_cesar_uniasselvi_com_br1/Documents/Aplicativos/Microsoft%20Forms/Question%C3%A1rio%20sem%20t%C3%ADtulo/Envio%20da%20Lista%20de%20Presen%C3%A7a%201/WhatsApp%20Image%202026-04-07%20at%2012.14.09_Antonio%20Sales.jpeg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</si>
  <si>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=%20Go_Antonio%20Sales.pdf</t>
  </si>
  <si>
    <t>https://uniasselvi01-my.sharepoint.com/personal/elienai_cesar_uniasselvi_com_br1/Documents/Aplicativos/Microsoft%20Forms/Question%C3%A1rio%20sem%20t%C3%ADtulo/Envio%20da%20Lista%20de%20Presen%C3%A7a%201/WhatsApp%20Image%202026-04-07%20at%2012.41.45_Antonio%20Sales.jpeg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</si>
  <si>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=%20Re_Antonio%20Sales.pdf</t>
  </si>
  <si>
    <t>https://uniasselvi01-my.sharepoint.com/personal/elienai_cesar_uniasselvi_com_br1/Documents/Aplicativos/Microsoft%20Forms/Question%C3%A1rio%20sem%20t%C3%ADtulo/Envio%20da%20Lista%20de%20Presen%C3%A7a%201/WhatsApp%20Image%202026-04-07%20at%2012.49.43_Antonio%20Sales.jpeg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</si>
  <si>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=%20Ci_Antonio%20Sales.pdf</t>
  </si>
  <si>
    <t>https://uniasselvi01-my.sharepoint.com/personal/elienai_cesar_uniasselvi_com_br1/Documents/Aplicativos/Microsoft%20Forms/Question%C3%A1rio%20sem%20t%C3%ADtulo/Envio%20da%20Lista%20de%20Presen%C3%A7a%201/WhatsApp%20Image%202026-04-07%20at%2013.10.24_Antonio%20Sales.jpeg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</si>
  <si>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=%20Av_Antonio%20Sales.pdf</t>
  </si>
  <si>
    <t>https://uniasselvi01-my.sharepoint.com/personal/elienai_cesar_uniasselvi_com_br1/Documents/Aplicativos/Microsoft%20Forms/Question%C3%A1rio%20sem%20t%C3%ADtulo/Envio%20da%20Lista%20de%20Presen%C3%A7a%201/WhatsApp%20Image%202026-04-07%20at%2013.17.00_Antonio%20Sales.jpeg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</si>
  <si>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ATICA=%20PRO_Antonio%20Sales.pdf</t>
  </si>
  <si>
    <t>Técnicas de Extração e Purificação de DNA, Fundamentos, Etapas e Aplicações em Biotecnologia Agrícola</t>
  </si>
  <si>
    <t>https://uniasselvi01-my.sharepoint.com/personal/elienai_cesar_uniasselvi_com_br1/Documents/Aplicativos/Microsoft%20Forms/Question%C3%A1rio%20sem%20t%C3%ADtulo/Envio%20da%20Lista%20de%20Presen%C3%A7a%205/image_Thecica%20Santos.jpg</t>
  </si>
  <si>
    <t>https://uniasselvi01-my.sharepoint.com/personal/elienai_cesar_uniasselvi_com_br1/_layouts/15/Doc.aspx?sourcedoc=%7B52A8298D-743B-4CF4-B069-DE23819961BF%7D&amp;file=Tutor%20-%20Portfo%CC%81lio%20das%20Atividades%20melhorament_Thecica%20Santos.docx&amp;action=default&amp;mobileredirect=true</t>
  </si>
  <si>
    <t>https://uniasselvi01-my.sharepoint.com/personal/elienai_cesar_uniasselvi_com_br1/Documents/Aplicativos/Microsoft%20Forms/Question%C3%A1rio%20sem%20t%C3%ADtulo/Envio%20da%20Lista%20de%20Presen%C3%A7a%205/IMG_4322_Thecica%20Santos.jpeg</t>
  </si>
  <si>
    <t>https://uniasselvi01-my.sharepoint.com/personal/elienai_cesar_uniasselvi_com_br1/_layouts/15/Doc.aspx?sourcedoc=%7B020CC32C-D209-4A29-BB85-D5D65BFAF822%7D&amp;file=Tutor%20-%20Portfo%CC%81lio%20das%20Atividades%20Pra%CC%81ticas%20P_Thecica%20Santos%201.docx&amp;action=default&amp;mobileredirect=true</t>
  </si>
  <si>
    <t>https://uniasselvi01-my.sharepoint.com/personal/elienai_cesar_uniasselvi_com_br1/Documents/Aplicativos/Microsoft%20Forms/Question%C3%A1rio%20sem%20t%C3%ADtulo/Envio%20da%20Lista%20de%20Presen%C3%A7a%201/WhatsApp%20Image%202026-04-07%20at%2014.12.32_Antonio%20Sales.jpeg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</si>
  <si>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=%20M_Antonio%20Sales.pdf</t>
  </si>
  <si>
    <t>https://uniasselvi01-my.sharepoint.com/personal/elienai_cesar_uniasselvi_com_br1/Documents/Aplicativos/Microsoft%20Forms/Question%C3%A1rio%20sem%20t%C3%ADtulo/Envio%20da%20Lista%20de%20Presen%C3%A7a%201/Document_260407_170916_Airton%20Farias.pdf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</si>
  <si>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20-%20C_Airton%20Farias%202.pdf</t>
  </si>
  <si>
    <t>https://uniasselvi01-my.sharepoint.com/personal/elienai_cesar_uniasselvi_com_br1/Documents/Aplicativos/Microsoft%20Forms/Question%C3%A1rio%20sem%20t%C3%ADtulo/Envio%20da%20Lista%20de%20Presen%C3%A7a%201/IMG_1242_Lucas%20Medeiros.PNG</t>
  </si>
  <si>
    <t>https://uniasselvi01-my.sharepoint.com/personal/elienai_cesar_uniasselvi_com_br1/Documents/Aplicativos/Microsoft%20Forms/Question%C3%A1rio%20sem%20t%C3%ADtulo/Envio%20do%20Portf%C3%B3lio%20em%20PDF%201/CINESIOTERAPIA_Lucas%20Medeiros.pdf</t>
  </si>
  <si>
    <t>https://uniasselvi01-my.sharepoint.com/personal/elienai_cesar_uniasselvi_com_br1/Documents/Aplicativos/Microsoft%20Forms/Question%C3%A1rio%20sem%20t%C3%ADtulo/Envio%20da%20Lista%20de%20Presen%C3%A7a%201/IMG_1241_Lucas%20Medeiros.PNG</t>
  </si>
  <si>
    <t>https://uniasselvi01-my.sharepoint.com/personal/elienai_cesar_uniasselvi_com_br1/Documents/Aplicativos/Microsoft%20Forms/Question%C3%A1rio%20sem%20t%C3%ADtulo/Envio%20do%20Portf%C3%B3lio%20em%20PDF%201/CINESIOTERAPIA%20(1)_Lucas%20Medeiros.pdf</t>
  </si>
  <si>
    <t>https://uniasselvi01-my.sharepoint.com/personal/elienai_cesar_uniasselvi_com_br1/Documents/Aplicativos/Microsoft%20Forms/Question%C3%A1rio%20sem%20t%C3%ADtulo/Envio%20da%20Lista%20de%20Presen%C3%A7a/1.1%20Lista%20de%20Presen%C3%A7a%20-%20Polo%20Hub%20Presidente%20P_Aquiles%20Andrade.pdf; https://uniasselvi01-my.sharepoint.com/personal/elienai_cesar_uniasselvi_com_br1/Documents/Aplicativos/Microsoft%20Forms/Question%C3%A1rio%20sem%20t%C3%ADtulo/Envio%20da%20Lista%20de%20Presen%C3%A7a/1.2%20Lista%20de%20Presen%C3%A7a%20-%20Polo%20Hub%20Presidente%20P_Aquiles%20Andrade.pdf</t>
  </si>
  <si>
    <t>https://uniasselvi01-my.sharepoint.com/personal/elienai_cesar_uniasselvi_com_br1/Documents/Aplicativos/Microsoft%20Forms/Question%C3%A1rio%20sem%20t%C3%ADtulo/Envio%20do%20Portf%C3%B3lio%20em%20PDF/Tutor%20-%20Portf%C3%B3lio%20das%20Pr%C3%A1ticas%20-%20agendamento%20%202_Aquiles%20Andrade.pdf; https://uniasselvi01-my.sharepoint.com/personal/elienai_cesar_uniasselvi_com_br1/Documents/Aplicativos/Microsoft%20Forms/Question%C3%A1rio%20sem%20t%C3%ADtulo/Envio%20do%20Portf%C3%B3lio%20em%20PDF/Tutor%20-%20Portf%C3%B3lio%20das%20Pr%C3%A1ticas%20-%20agendamento_Aquiles%20Andrade.pdf</t>
  </si>
  <si>
    <t>https://uniasselvi01-my.sharepoint.com/personal/elienai_cesar_uniasselvi_com_br1/Documents/Aplicativos/Microsoft%20Forms/Question%C3%A1rio%20sem%20t%C3%ADtulo/Envio%20da%20Lista%20de%20Presen%C3%A7a/Portfolio%20(7)_Maksllene%20Spessatto.pdf</t>
  </si>
  <si>
    <t>https://uniasselvi01-my.sharepoint.com/personal/elienai_cesar_uniasselvi_com_br1/Documents/Aplicativos/Microsoft%20Forms/Question%C3%A1rio%20sem%20t%C3%ADtulo/Envio%20do%20Portf%C3%B3lio%20em%20PDF/Portfolio%20(7)_Maksllene%20Spessatto.pdf</t>
  </si>
  <si>
    <t>https://uniasselvi01-my.sharepoint.com/personal/elienai_cesar_uniasselvi_com_br1/Documents/Aplicativos/Microsoft%20Forms/Question%C3%A1rio%20sem%20t%C3%ADtulo/Envio%20da%20Lista%20de%20Presen%C3%A7a/Portfolio%20(8)_Maksllene%20Spessatto.pdf</t>
  </si>
  <si>
    <t>https://uniasselvi01-my.sharepoint.com/personal/elienai_cesar_uniasselvi_com_br1/Documents/Aplicativos/Microsoft%20Forms/Question%C3%A1rio%20sem%20t%C3%ADtulo/Envio%20do%20Portf%C3%B3lio%20em%20PDF/Portfolio%20(8)_Maksllene%20Spessatto.pdf</t>
  </si>
  <si>
    <t>https://uniasselvi01-my.sharepoint.com/personal/elienai_cesar_uniasselvi_com_br1/Documents/Aplicativos/Microsoft%20Forms/Question%C3%A1rio%20sem%20t%C3%ADtulo/Pergunta/Lista%20de%20presen%C3%A7a%2024032026_Giovana%20Nascimento%201.pdf</t>
  </si>
  <si>
    <t>https://uniasselvi01-my.sharepoint.com/personal/elienai_cesar_uniasselvi_com_br1/Documents/Aplicativos/Microsoft%20Forms/Question%C3%A1rio%20sem%20t%C3%ADtulo/Pergunta%201/Tutor%20-%20Portf%C3%B3lio%20das%20Atividades%20Pr%C3%A1ticas%20240_Giovana%20Nascimento%201.pdf</t>
  </si>
  <si>
    <t>https://uniasselvi01-my.sharepoint.com/personal/elienai_cesar_uniasselvi_com_br1/Documents/Aplicativos/Microsoft%20Forms/Question%C3%A1rio%20sem%20t%C3%ADtulo/Envio%20da%20Lista%20de%20Presen%C3%A7a%202/CamScanner%2001-04-2026%2018.42%20(1)_Daiane%20Ferreira.pdf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</si>
  <si>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2031-_Daiane%20Ferreira.pdf</t>
  </si>
  <si>
    <t>https://uniasselvi01-my.sharepoint.com/personal/elienai_cesar_uniasselvi_com_br1/Documents/Aplicativos/Microsoft%20Forms/Question%C3%A1rio%20sem%20t%C3%ADtulo/Envio%20da%20Lista%20de%20Presen%C3%A7a%202/Documento%20Escaneado%208_Daiane%20Ferreira.pdf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</si>
  <si>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2007-_Daiane%20Ferreira.pdf</t>
  </si>
  <si>
    <t>https://uniasselvi01-my.sharepoint.com/personal/elienai_cesar_uniasselvi_com_br1/Documents/Aplicativos/Microsoft%20Forms/Question%C3%A1rio%20sem%20t%C3%ADtulo/Envio%20da%20Lista%20de%20Presen%C3%A7a%202/WhatsApp%20Image%202026-04-08%20at%2008.23.59_Izabela%20Biela.jpeg</t>
  </si>
  <si>
    <t>https://uniasselvi01-my.sharepoint.com/personal/elienai_cesar_uniasselvi_com_br1/Documents/Aplicativos/Microsoft%20Forms/Question%C3%A1rio%20sem%20t%C3%ADtulo/Envio%20do%20Portf%C3%B3lio%20em%20PDF%202/Portf%C3%B3lio%20das%20Atividades%20Pr%C3%A1ticas%20-%20Terapia%20N_Izabela%20Biela.pdf</t>
  </si>
  <si>
    <t>https://uniasselvi01-my.sharepoint.com/personal/elienai_cesar_uniasselvi_com_br1/Documents/Aplicativos/Microsoft%20Forms/Question%C3%A1rio%20sem%20t%C3%ADtulo/Envio%20da%20Lista%20de%20Presen%C3%A7a%203/20260408_085906_Silvestre%20Assumpcao.PDF</t>
  </si>
  <si>
    <t>https://uniasselvi01-my.sharepoint.com/personal/elienai_cesar_uniasselvi_com_br1/Documents/Aplicativos/Microsoft%20Forms/Question%C3%A1rio%20sem%20t%C3%ADtulo/Envio%20do%20Portf%C3%B3lio%20em%20PDF%203/20260407_183750_Silvestre%20Assumpcao.PDF; https://uniasselvi01-my.sharepoint.com/personal/elienai_cesar_uniasselvi_com_br1/Documents/Aplicativos/Microsoft%20Forms/Question%C3%A1rio%20sem%20t%C3%ADtulo/Envio%20do%20Portf%C3%B3lio%20em%20PDF%203/20260407_183736_Silvestre%20Assumpcao.PDF; https://uniasselvi01-my.sharepoint.com/personal/elienai_cesar_uniasselvi_com_br1/Documents/Aplicativos/Microsoft%20Forms/Question%C3%A1rio%20sem%20t%C3%ADtulo/Envio%20do%20Portf%C3%B3lio%20em%20PDF%203/com.google.android.apps.photos(3)_Silvestre%20Assumpcao.PDF</t>
  </si>
  <si>
    <t>https://uniasselvi01-my.sharepoint.com/personal/elienai_cesar_uniasselvi_com_br1/Documents/Aplicativos/Microsoft%20Forms/Question%C3%A1rio%20sem%20t%C3%ADtulo/Envio%20da%20Lista%20de%20Presen%C3%A7a%201/Document_260407_172105_Airton%20Farias.pdf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</si>
  <si>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20-%20a_Airton%20Farias.pdf</t>
  </si>
  <si>
    <t>https://uniasselvi01-my.sharepoint.com/personal/elienai_cesar_uniasselvi_com_br1/Documents/Aplicativos/Microsoft%20Forms/Question%C3%A1rio%20sem%20t%C3%ADtulo/Envio%20da%20Lista%20de%20Presen%C3%A7a%202/5_Janaina%20Pulgatti%201.jpeg</t>
  </si>
  <si>
    <t>https://uniasselvi01-my.sharepoint.com/personal/elienai_cesar_uniasselvi_com_br1/Documents/Aplicativos/Microsoft%20Forms/Question%C3%A1rio%20sem%20t%C3%ADtulo/Envio%20do%20Portf%C3%B3lio%20em%20PDF%202/07.04%20-%20Avalia%C3%A7%C3%A3o%20Nutricional%20Atleta%20Composi%C3%A7_Janaina%20Pulgatti.pdf</t>
  </si>
  <si>
    <t>https://uniasselvi01-my.sharepoint.com/personal/elienai_cesar_uniasselvi_com_br1/Documents/Aplicativos/Microsoft%20Forms/Question%C3%A1rio%20sem%20t%C3%ADtulo/Envio%20da%20Lista%20de%20Presen%C3%A7a%202/3_Janaina%20Pulgatti%202.jpeg</t>
  </si>
  <si>
    <t>https://uniasselvi01-my.sharepoint.com/personal/elienai_cesar_uniasselvi_com_br1/Documents/Aplicativos/Microsoft%20Forms/Question%C3%A1rio%20sem%20t%C3%ADtulo/Envio%20do%20Portf%C3%B3lio%20em%20PDF%202/07.04%20-%20Avalia%C3%A7%C3%A3o%20Nutricional%20Atleta%20Avalia%C3%A7%C3%A3_Janaina%20Pulgatti.pdf</t>
  </si>
  <si>
    <t>karla.oliveira@tutorpratica.uniasselvi.com.br</t>
  </si>
  <si>
    <t>Karla Oliveira</t>
  </si>
  <si>
    <t>Fortaleza/CE - Aguanambi</t>
  </si>
  <si>
    <t>https://uniasselvi01-my.sharepoint.com/personal/elienai_cesar_uniasselvi_com_br1/Documents/Aplicativos/Microsoft%20Forms/Question%C3%A1rio%20sem%20t%C3%ADtulo/Envio%20da%20Lista%20de%20Presen%C3%A7a/IMG-20260408-WA0041_Karla%20Oliveira.pdf; https://uniasselvi01-my.sharepoint.com/personal/elienai_cesar_uniasselvi_com_br1/Documents/Aplicativos/Microsoft%20Forms/Question%C3%A1rio%20sem%20t%C3%ADtulo/Envio%20da%20Lista%20de%20Presen%C3%A7a/IMG-20260408-WA0041_Karla%20Oliveira.jpg</t>
  </si>
  <si>
    <t>https://uniasselvi01-my.sharepoint.com/personal/elienai_cesar_uniasselvi_com_br1/_layouts/15/Doc.aspx?sourcedoc=%7BBDD66D36-AB92-43AC-8008-94C131090C61%7D&amp;file=Tutor%20-%20Portf%C3%B3lio%20das%20Atividades%20Pr%C3%A1ticas_Karla%20Oliveira.docx&amp;action=default&amp;mobileredirect=true</t>
  </si>
  <si>
    <t>Assessoramento do perfil viário e detalhamento técnico de um lote (Parte 1)</t>
  </si>
  <si>
    <t>https://uniasselvi01-my.sharepoint.com/personal/elienai_cesar_uniasselvi_com_br1/Documents/Aplicativos/Microsoft%20Forms/Question%C3%A1rio%20sem%20t%C3%ADtulo/Envio%20da%20Lista%20de%20Presen%C3%A7a%204/MODELO_Lista%20de%20Presen%C3%A7a%20das%20Pr%C3%A1ticas_Perfil_Maria%20Guerreiro.pdf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</si>
  <si>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_%20Pe_Maria%20Guerreiro.pdf</t>
  </si>
  <si>
    <t>https://uniasselvi01-my.sharepoint.com/personal/elienai_cesar_uniasselvi_com_br1/_layouts/15/Doc.aspx?sourcedoc=%7B35199934-E767-40DD-A163-F8FBCBE105CF%7D&amp;file=MODELO_Lista%20de%20Presen%C3%A7a%20das%20Pr%C3%A1ticas_Maquete_Maria%20Guerreiro.docx&amp;action=default&amp;mobileredirect=true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</si>
  <si>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_%20Ma_Maria%20Guerreiro.pdf</t>
  </si>
  <si>
    <t>Conceitos Básicos do Desenho Auxiliado por Computador (AutoCAD)</t>
  </si>
  <si>
    <t>https://uniasselvi01-my.sharepoint.com/personal/elienai_cesar_uniasselvi_com_br1/Documents/Aplicativos/Microsoft%20Forms/Question%C3%A1rio%20sem%20t%C3%ADtulo/Envio%20da%20Lista%20de%20Presen%C3%A7a%204/Chamada_Maria%20Guerreiro.jpg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</si>
  <si>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_%20Au_Maria%20Guerreiro.pdf</t>
  </si>
  <si>
    <t>Desenho Técnico no AutoCAD: Prática Essencial para Iniciantes.</t>
  </si>
  <si>
    <t>https://uniasselvi01-my.sharepoint.com/personal/elienai_cesar_uniasselvi_com_br1/Documents/Aplicativos/Microsoft%20Forms/Question%C3%A1rio%20sem%20t%C3%ADtulo/Envio%20da%20Lista%20de%20Presen%C3%A7a%204/Chamada_Maria%20Guerreiro%201.jpg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</si>
  <si>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_%20Au_Maria%20Guerreiro%201.pdf</t>
  </si>
  <si>
    <t>https://uniasselvi01-my.sharepoint.com/personal/elienai_cesar_uniasselvi_com_br1/Documents/Aplicativos/Microsoft%20Forms/Question%C3%A1rio%20sem%20t%C3%ADtulo/Envio%20da%20Lista%20de%20Presen%C3%A7a%202/Lista%20de%20presen%C3%A7a%2007-04_Bruna%20Hack.jpeg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</si>
  <si>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20-Es_Bruna%20Hack.pdf</t>
  </si>
  <si>
    <t>Técnicas Respiratórias na Fisioterapia Intensiva;Prática de Avaliação Intensiva: Uso de Simuladores para Diagnóstico e Intervenção Respiratória</t>
  </si>
  <si>
    <t>https://uniasselvi01-my.sharepoint.com/personal/elienai_cesar_uniasselvi_com_br1/_layouts/15/Doc.aspx?sourcedoc=%7B96FC1B4B-E13E-4CAD-A6AB-185597A87F93%7D&amp;file=Lista%20de%20presen%C3%A7a%20Respirat%C3%B3ria_Vanessa%20Varjao.docx&amp;action=default&amp;mobileredirect=true</t>
  </si>
  <si>
    <t>https://uniasselvi01-my.sharepoint.com/personal/elienai_cesar_uniasselvi_com_br1/_layouts/15/Doc.aspx?sourcedoc=%7BA42A11DF-4831-4F86-8479-8696FC30C8E4%7D&amp;file=Portf%C3%B3lio%20Respirat%C3%B3ria_Vanessa%20Varjao.docx&amp;action=default&amp;mobileredirect=true</t>
  </si>
  <si>
    <t>https://uniasselvi01-my.sharepoint.com/personal/elienai_cesar_uniasselvi_com_br1/Documents/Aplicativos/Microsoft%20Forms/Question%C3%A1rio%20sem%20t%C3%ADtulo/Envio%20da%20Lista%20de%20Presen%C3%A7a%201/IMG_3137_Lorrine%20Silva.jpeg</t>
  </si>
  <si>
    <t>https://uniasselvi01-my.sharepoint.com/personal/elienai_cesar_uniasselvi_com_br1/Documents/Aplicativos/Microsoft%20Forms/Question%C3%A1rio%20sem%20t%C3%ADtulo/Envio%20do%20Portf%C3%B3lio%20em%20PDF%201/Portfo%CC%81lio%20maquiagem%20social_Lorrine%20Silva.pdf</t>
  </si>
  <si>
    <t>https://uniasselvi01-my.sharepoint.com/personal/elienai_cesar_uniasselvi_com_br1/Documents/Aplicativos/Microsoft%20Forms/Question%C3%A1rio%20sem%20t%C3%ADtulo/Envio%20da%20Lista%20de%20Presen%C3%A7a%204/lista%20de%20presen%C3%A7a%20-%20el%C3%A9trica%20-%2002-04-2026_Gilnei%20Dias.pdf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</si>
  <si>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%20-%20I_Gilnei%20Dias%202.pdf</t>
  </si>
  <si>
    <t>https://uniasselvi01-my.sharepoint.com/personal/elienai_cesar_uniasselvi_com_br1/Documents/Aplicativos/Microsoft%20Forms/Question%C3%A1rio%20sem%20t%C3%ADtulo/Envio%20da%20Lista%20de%20Presen%C3%A7a%201/CINESIOTERAPIA%20(2)_Lucas%20Medeiros.pdf</t>
  </si>
  <si>
    <t>https://uniasselvi01-my.sharepoint.com/personal/elienai_cesar_uniasselvi_com_br1/Documents/Aplicativos/Microsoft%20Forms/Question%C3%A1rio%20sem%20t%C3%ADtulo/Envio%20do%20Portf%C3%B3lio%20em%20PDF%201/IMG_1266_Lucas%20Medeiros.PNG</t>
  </si>
  <si>
    <t>Avaliação e Aplicação de Recursos Eletrotermofototerapeuticos em Disfunções Dermatofuncionais</t>
  </si>
  <si>
    <t>https://uniasselvi01-my.sharepoint.com/personal/elienai_cesar_uniasselvi_com_br1/Documents/Aplicativos/Microsoft%20Forms/Question%C3%A1rio%20sem%20t%C3%ADtulo/Envio%20da%20Lista%20de%20Presen%C3%A7a%201/IMG_1270_Lucas%20Medeiros.PNG</t>
  </si>
  <si>
    <t>https://uniasselvi01-my.sharepoint.com/personal/elienai_cesar_uniasselvi_com_br1/Documents/Aplicativos/Microsoft%20Forms/Question%C3%A1rio%20sem%20t%C3%ADtulo/Envio%20do%20Portf%C3%B3lio%20em%20PDF%201/dermatofuncional_Lucas%20Medeiros.pdf</t>
  </si>
  <si>
    <t>Assessoramento das diretrizes de conforto ambiental (Parte 1);Assessoramento das técnicas de restauro utilizadas e especificações das espécies de vegatação (Parte 1)</t>
  </si>
  <si>
    <t>https://uniasselvi01-my.sharepoint.com/personal/elienai_cesar_uniasselvi_com_br1/Documents/Aplicativos/Microsoft%20Forms/Question%C3%A1rio%20sem%20t%C3%ADtulo/Envio%20da%20Lista%20de%20Presen%C3%A7a%204/lista%20de%20presen%C3%A7a%20-%20paisagismo%20urbano%20-%2009-04_Gilnei%20Dias.pdf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</si>
  <si>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%20-%20p_Gilnei%20Dias%201.pdf</t>
  </si>
  <si>
    <t>Avaliação Cardiorrespiratória com Testes Incrementais: Protocolos e Interpretação dos Resultados;Avaliação Semiológica Cardiorrespiratória: Técnicas e Protocolos na Fisioterapia Cardiovascular</t>
  </si>
  <si>
    <t>https://uniasselvi01-my.sharepoint.com/personal/elienai_cesar_uniasselvi_com_br1/_layouts/15/Doc.aspx?sourcedoc=%7B39685D8B-B14C-4AE2-8C55-BDF2D93D0EEB%7D&amp;file=Lista%20de%20presen%C3%A7a%20Fisiologia%20do%20exercicio%20e%20c_Vanessa%20Varjao.docx&amp;action=default&amp;mobileredirect=true</t>
  </si>
  <si>
    <t>https://uniasselvi01-my.sharepoint.com/personal/elienai_cesar_uniasselvi_com_br1/_layouts/15/Doc.aspx?sourcedoc=%7B431AA392-9EB7-46A1-9F1C-62C493DEF265%7D&amp;file=Fisiologia%20do%20exerc%C3%ADcio%20Portf%C3%B3lio_Vanessa%20Varjao.docx&amp;action=default&amp;mobileredirect=true</t>
  </si>
  <si>
    <t>Exame direto a fresco e gota espessa;Laminário de ovos de helmintos;Método de Hoffman</t>
  </si>
  <si>
    <t>https://uniasselvi01-my.sharepoint.com/personal/elienai_cesar_uniasselvi_com_br1/Documents/Aplicativos/Microsoft%20Forms/Question%C3%A1rio%20sem%20t%C3%ADtulo/Pergunta/1775828420368_Andre%20Oliveira.jpg</t>
  </si>
  <si>
    <t>https://uniasselvi01-my.sharepoint.com/personal/elienai_cesar_uniasselvi_com_br1/Documents/Aplicativos/Microsoft%20Forms/Question%C3%A1rio%20sem%20t%C3%ADtulo/Pergunta%201/Tutor%20-%20Portf%C3%B3lio%20das%20Atividades%20Pr%C3%A1ticas%20(4)_Andre%20Oliveira.pdf</t>
  </si>
  <si>
    <t>https://uniasselvi01-my.sharepoint.com/personal/elienai_cesar_uniasselvi_com_br1/Documents/Aplicativos/Microsoft%20Forms/Question%C3%A1rio%20sem%20t%C3%ADtulo/Envio%20da%20Lista%20de%20Presen%C3%A7a%205/Lista%20de%20Presenca_Marla%20Souza.pdf</t>
  </si>
  <si>
    <t>https://uniasselvi01-my.sharepoint.com/personal/elienai_cesar_uniasselvi_com_br1/Documents/Aplicativos/Microsoft%20Forms/Question%C3%A1rio%20sem%20t%C3%ADtulo/Envio%20do%20Portf%C3%B3lio%20em%20PDF%205/Aula%20Pratica%20-%20Qu%C3%ADmica1_Marla%20Souza.pdf</t>
  </si>
  <si>
    <t>Tratamento Flacidez dérmica;Tratamento de Redução de Medida</t>
  </si>
  <si>
    <t>https://uniasselvi01-my.sharepoint.com/personal/elienai_cesar_uniasselvi_com_br1/Documents/Aplicativos/Microsoft%20Forms/Question%C3%A1rio%20sem%20t%C3%ADtulo/Envio%20da%20Lista%20de%20Presen%C3%A7a%201/IMG_9235_Beatriz%20Henkels.jpeg; https://uniasselvi01-my.sharepoint.com/personal/elienai_cesar_uniasselvi_com_br1/Documents/Aplicativos/Microsoft%20Forms/Question%C3%A1rio%20sem%20t%C3%ADtulo/Envio%20da%20Lista%20de%20Presen%C3%A7a%201/IMG_9236_Beatriz%20Henkels.jpeg</t>
  </si>
  <si>
    <t>https://uniasselvi01-my.sharepoint.com/personal/elienai_cesar_uniasselvi_com_br1/_layouts/15/Doc.aspx?sourcedoc=%7BCA7524D4-8B6D-41C8-BA40-2A6A8AA2C987%7D&amp;file=Tutor%20-%20Portfo%CC%81lio%20das%20Atividades%20Pra%CC%81ticas_Beatriz%20Henkels%201.docx&amp;action=default&amp;mobileredirect=true</t>
  </si>
  <si>
    <t>https://uniasselvi01-my.sharepoint.com/personal/elienai_cesar_uniasselvi_com_br1/Documents/Aplicativos/Microsoft%20Forms/Question%C3%A1rio%20sem%20t%C3%ADtulo/Envio%20da%20Lista%20de%20Presen%C3%A7a/Lista.08.04.26.oncologia_Patricia%20Trasmontano.jpeg</t>
  </si>
  <si>
    <t>https://uniasselvi01-my.sharepoint.com/personal/elienai_cesar_uniasselvi_com_br1/Documents/Aplicativos/Microsoft%20Forms/Question%C3%A1rio%20sem%20t%C3%ADtulo/Envio%20do%20Portf%C3%B3lio%20em%20PDF/Portf%C3%B3lio%2008.04.26.M02.Oncologicos_Patricia%20Trasmontano.pdf</t>
  </si>
  <si>
    <t>https://uniasselvi01-my.sharepoint.com/personal/elienai_cesar_uniasselvi_com_br1/Documents/Aplicativos/Microsoft%20Forms/Question%C3%A1rio%20sem%20t%C3%ADtulo/Envio%20da%20Lista%20de%20Presen%C3%A7a/Lista.10.04.26.RN_Patricia%20Trasmontano.jpeg</t>
  </si>
  <si>
    <t>https://uniasselvi01-my.sharepoint.com/personal/elienai_cesar_uniasselvi_com_br1/Documents/Aplicativos/Microsoft%20Forms/Question%C3%A1rio%20sem%20t%C3%ADtulo/Envio%20do%20Portf%C3%B3lio%20em%20PDF/Lista.10.04.26.RN_Patricia%20Trasmontano.jpeg</t>
  </si>
  <si>
    <t>https://uniasselvi01-my.sharepoint.com/personal/elienai_cesar_uniasselvi_com_br1/Documents/Aplicativos/Microsoft%20Forms/Question%C3%A1rio%20sem%20t%C3%ADtulo/Envio%20da%20Lista%20de%20Presen%C3%A7a/20260411_092457_Daniela%20Madruga.jpg</t>
  </si>
  <si>
    <t>https://uniasselvi01-my.sharepoint.com/personal/elienai_cesar_uniasselvi_com_br1/_layouts/15/Doc.aspx?sourcedoc=%7B2BFD6CFC-CFEF-4D7F-B303-E115D08E38E2%7D&amp;file=tutor%2011-04_Daniela%20Madruga.docx&amp;action=default&amp;mobileredirect=true</t>
  </si>
  <si>
    <t>Manobra de Suporte Básico de Vida;Punção e manutenção de cateter de longa permanência + Troca de bolsa de ostomia</t>
  </si>
  <si>
    <t>https://uniasselvi01-my.sharepoint.com/personal/elienai_cesar_uniasselvi_com_br1/Documents/Aplicativos/Microsoft%20Forms/Question%C3%A1rio%20sem%20t%C3%ADtulo/Envio%20da%20Lista%20de%20Presen%C3%A7a/18marco2026_Hozana%20Evangelista.pdf</t>
  </si>
  <si>
    <t>https://uniasselvi01-my.sharepoint.com/personal/elienai_cesar_uniasselvi_com_br1/_layouts/15/Doc.aspx?sourcedoc=%7BF3176FF7-68D1-4ED2-9808-BCFC40E7BAC6%7D&amp;file=Pun%C3%A7%C3%A3o%20e%20Manuten%C3%A7%C3%A3o%20de%20Cateter%20de%20Longa%20Perma_Hozana%20Evangelista.docx&amp;action=default&amp;mobileredirect=true; https://uniasselvi01-my.sharepoint.com/personal/elienai_cesar_uniasselvi_com_br1/_layouts/15/Doc.aspx?sourcedoc=%7B7CA15C0F-9081-4262-B3A1-CE1B6612CC01%7D&amp;file=suporte%20basico%20de%20vida_Hozana%20Evangelista.docx&amp;action=default&amp;mobileredirect=true; https://uniasselvi01-my.sharepoint.com/personal/elienai_cesar_uniasselvi_com_br1/_layouts/15/Doc.aspx?sourcedoc=%7B4B4911CB-8BDA-488A-9294-BA0ADBDF67BF%7D&amp;file=Troca%20de%20Bolsa%20de%20Ostomia_Hozana%20Evangelista.docx&amp;action=default&amp;mobileredirect=true</t>
  </si>
  <si>
    <t>raul.aguirre@regentedepolo.uniasselvi.com.br</t>
  </si>
  <si>
    <t>Raul Aguirre</t>
  </si>
  <si>
    <t>Porto Velho/RO - Distrito de Extrema</t>
  </si>
  <si>
    <t>https://uniasselvi01-my.sharepoint.com/personal/elienai_cesar_uniasselvi_com_br1/Documents/Aplicativos/Microsoft%20Forms/Question%C3%A1rio%20sem%20t%C3%ADtulo/Envio%20da%20Lista%20de%20Presen%C3%A7a/ListaPresencaAulaPratica10_04_2026_Raul%20Aguirre.pdf</t>
  </si>
  <si>
    <t>https://uniasselvi01-my.sharepoint.com/personal/elienai_cesar_uniasselvi_com_br1/Documents/Aplicativos/Microsoft%20Forms/Question%C3%A1rio%20sem%20t%C3%ADtulo/Envio%20do%20Portf%C3%B3lio%20em%20PDF/PortfolioPraticaTutor_10_04_2026_Raul%20Aguirre.pdf</t>
  </si>
  <si>
    <t>https://uniasselvi01-my.sharepoint.com/personal/elienai_cesar_uniasselvi_com_br1/_layouts/15/Doc.aspx?sourcedoc=%7B3D8988E1-E452-4001-8B5A-F709401EEA36%7D&amp;file=Lista%20de%20Presen%C3%A7a%20das%20Pr%C3%A1ticas%20-%20Triagem%20de%20p_Fadia%20Baitala.docx&amp;action=default&amp;mobileredirect=true</t>
  </si>
  <si>
    <t>https://uniasselvi01-my.sharepoint.com/personal/elienai_cesar_uniasselvi_com_br1/_layouts/15/Doc.aspx?sourcedoc=%7B7D2C7A17-7CC1-4B07-9AD5-93C392055B83%7D&amp;file=M%C3%B3dulo%206%20-Triagem%20de%20Pacientes%20com%20Transtorno_Fadia%20Baitala.docx&amp;action=default&amp;mobileredirect=true</t>
  </si>
  <si>
    <t>https://uniasselvi01-my.sharepoint.com/personal/elienai_cesar_uniasselvi_com_br1/_layouts/15/Doc.aspx?sourcedoc=%7B1C866CE2-B227-4C71-94A9-5FF2BE35B0F2%7D&amp;file=Lista%20de%20Presen%C3%A7a%20das%20Pr%C3%A1ticas%20-%20Assist%C3%AAncia_Fadia%20Baitala.docx&amp;action=default&amp;mobileredirect=true</t>
  </si>
  <si>
    <t>https://uniasselvi01-my.sharepoint.com/personal/elienai_cesar_uniasselvi_com_br1/_layouts/15/Doc.aspx?sourcedoc=%7B43EEAFD6-E12E-4CEA-A20C-723499521920%7D&amp;file=Assist%C3%AAncia%20de%20enfermagem%20ao%20paciente%20queimad_Fadia%20Baitala.docx&amp;action=default&amp;mobileredirect=true</t>
  </si>
  <si>
    <t>https://uniasselvi01-my.sharepoint.com/personal/elienai_cesar_uniasselvi_com_br1/Documents/Aplicativos/Microsoft%20Forms/Question%C3%A1rio%20sem%20t%C3%ADtulo/Envio%20da%20Lista%20de%20Presen%C3%A7a%202/WhatsApp%20Image%202026-04-09%20at%2020.36.34_Natalia%20Mattos.jpeg</t>
  </si>
  <si>
    <t>https://uniasselvi01-my.sharepoint.com/personal/elienai_cesar_uniasselvi_com_br1/Documents/Aplicativos/Microsoft%20Forms/Question%C3%A1rio%20sem%20t%C3%ADtulo/Envio%20do%20Portf%C3%B3lio%20em%20PDF%202/C%C3%B3pia%20de%20Tutor%20-%20Portf%C3%B3lio%20das%20Atividades%20Pr%C3%A1_Natalia%20Mattos%201.pdf</t>
  </si>
  <si>
    <t>https://uniasselvi01-my.sharepoint.com/personal/elienai_cesar_uniasselvi_com_br1/Documents/Aplicativos/Microsoft%20Forms/Question%C3%A1rio%20sem%20t%C3%ADtulo/Envio%20da%20Lista%20de%20Presen%C3%A7a%202/WhatsApp%20Image%202026-04-09%20at%2020.36.47_Natalia%20Mattos.jpeg</t>
  </si>
  <si>
    <t>https://uniasselvi01-my.sharepoint.com/personal/elienai_cesar_uniasselvi_com_br1/Documents/Aplicativos/Microsoft%20Forms/Question%C3%A1rio%20sem%20t%C3%ADtulo/Envio%20do%20Portf%C3%B3lio%20em%20PDF%202/C%C3%B3pia%20de%20Tutor%20-%20Portf%C3%B3lio%20das%20Atividades%20Pr%C3%A1_Natalia%20Mattos%202.pdf</t>
  </si>
  <si>
    <t>https://uniasselvi01-my.sharepoint.com/personal/elienai_cesar_uniasselvi_com_br1/Documents/Aplicativos/Microsoft%20Forms/Question%C3%A1rio%20sem%20t%C3%ADtulo/Envio%20da%20Lista%20de%20Presen%C3%A7a%202/WhatsApp%20Image%202026-04-09%20at%2020.36.34_Natalia%20Mattos%201.jpeg</t>
  </si>
  <si>
    <t>https://uniasselvi01-my.sharepoint.com/personal/elienai_cesar_uniasselvi_com_br1/Documents/Aplicativos/Microsoft%20Forms/Question%C3%A1rio%20sem%20t%C3%ADtulo/Envio%20do%20Portf%C3%B3lio%20em%20PDF%202/C%C3%B3pia%20de%20Tutor%20-%20Portf%C3%B3lio%20das%20Atividades%20Pr%C3%A1_Natalia%20Mattos%203.pdf</t>
  </si>
  <si>
    <t>nadia.azevedo@tutorpratica.uniasselvi.com.br</t>
  </si>
  <si>
    <t>Nadia Azevedo</t>
  </si>
  <si>
    <t>https://uniasselvi01-my.sharepoint.com/personal/elienai_cesar_uniasselvi_com_br1/Documents/Aplicativos/Microsoft%20Forms/Question%C3%A1rio%20sem%20t%C3%ADtulo/Envio%20da%20Lista%20de%20Presen%C3%A7a/Pra%CC%81tica%20-%201CAPS-%20Centro%20de%20Atendimente%20Prico_Nadia%20Azevedo.pdf</t>
  </si>
  <si>
    <t>https://uniasselvi01-my.sharepoint.com/personal/elienai_cesar_uniasselvi_com_br1/_layouts/15/Doc.aspx?sourcedoc=%7B86FB3189-30B9-4AE7-AA6B-DA7DB134BAAC%7D&amp;file=Tutor%20-%20Portf%C3%B3lio%20das%20Atividades%20Pr%C3%A1ticas%20-%20S_Nadia%20Azevedo.docx&amp;action=default&amp;mobileredirect=true</t>
  </si>
  <si>
    <t>https://uniasselvi01-my.sharepoint.com/personal/elienai_cesar_uniasselvi_com_br1/_layouts/15/Doc.aspx?sourcedoc=%7B99136C99-F680-4A91-A5E4-C896C0060BBC%7D&amp;file=Tutor%20-%20Portf%C3%B3lio%20das%20Atividades%20Pr%C3%A1ticas%20-%20U_Nadia%20Azevedo.docx&amp;action=default&amp;mobileredirect=true</t>
  </si>
  <si>
    <t>https://uniasselvi01-my.sharepoint.com/personal/elienai_cesar_uniasselvi_com_br1/_layouts/15/Doc.aspx?sourcedoc=%7B5AC09600-3387-4543-BCEB-A3BBAC0F9B65%7D&amp;file=Tutor%20-%20Portf%C3%B3lio%20das%20Atividades%20Pr%C3%A1ticas%20-%20U_Nadia%20Azevedo.docx&amp;action=default&amp;mobileredirect=true</t>
  </si>
  <si>
    <t>https://uniasselvi01-my.sharepoint.com/personal/elienai_cesar_uniasselvi_com_br1/_layouts/15/Doc.aspx?sourcedoc=%7B3A5909E6-9FF1-411A-97FD-B561F7DEBC91%7D&amp;file=Tutor%20-%20Portf%C3%B3lio%20das%20Atividades%20Pr%C3%A1ticas%20-%20A_Nadia%20Azevedo.docx&amp;action=default&amp;mobileredirect=true</t>
  </si>
  <si>
    <t>https://uniasselvi01-my.sharepoint.com/personal/elienai_cesar_uniasselvi_com_br1/_layouts/15/Doc.aspx?sourcedoc=%7B285D403A-7A37-4156-BFF3-92BB5B02DD7A%7D&amp;file=Tutor%20-%20Portf%C3%B3lio%20das%20Atividades%20Pr%C3%A1ticas%20-%20A_Nadia%20Azevedo.docx&amp;action=default&amp;mobileredirect=true</t>
  </si>
  <si>
    <t>https://uniasselvi01-my.sharepoint.com/personal/elienai_cesar_uniasselvi_com_br1/_layouts/15/Doc.aspx?sourcedoc=%7B2E263300-AA2F-4A24-9A0D-81DEDC7E639D%7D&amp;file=Tutor%20-%20Portf%C3%B3lio%20das%20Atividades%20Pr%C3%A1ticas%20-%20A_Nadia%20Azevedo%201.docx&amp;action=default&amp;mobileredirect=true</t>
  </si>
  <si>
    <t>https://uniasselvi01-my.sharepoint.com/personal/elienai_cesar_uniasselvi_com_br1/_layouts/15/Doc.aspx?sourcedoc=%7BA3B2DABB-DF89-482A-A842-AA00D25C7136%7D&amp;file=Tutor%20-%20Portf%C3%B3lio%20das%20Atividades%20Pr%C3%A1ticas%20-%20A_Nadia%20Azevedo%201.docx&amp;action=default&amp;mobileredirect=true</t>
  </si>
  <si>
    <t>https://uniasselvi01-my.sharepoint.com/personal/elienai_cesar_uniasselvi_com_br1/Documents/Aplicativos/Microsoft%20Forms/Question%C3%A1rio%20sem%20t%C3%ADtulo/Envio%20da%20Lista%20de%20Presen%C3%A7a%205/IMG_4565_Thecica%20Santos.jpeg</t>
  </si>
  <si>
    <t>https://uniasselvi01-my.sharepoint.com/personal/elienai_cesar_uniasselvi_com_br1/_layouts/15/Doc.aspx?sourcedoc=%7BB345E2F3-88EA-4A4F-9067-2CD799633572%7D&amp;file=Tutor%20-%20Portfo%CC%81lio%20das%20Atividades%20Pra%CC%81ticas%20q_Thecica%20Santos.docx&amp;action=default&amp;mobileredirect=true</t>
  </si>
  <si>
    <t>https://uniasselvi01-my.sharepoint.com/personal/elienai_cesar_uniasselvi_com_br1/Documents/Aplicativos/Microsoft%20Forms/Question%C3%A1rio%20sem%20t%C3%ADtulo/Envio%20da%20Lista%20de%20Presen%C3%A7a%202/IMG_20260409_210751_Laura%20Volpato.jpg</t>
  </si>
  <si>
    <t>https://uniasselvi01-my.sharepoint.com/personal/elienai_cesar_uniasselvi_com_br1/Documents/Aplicativos/Microsoft%20Forms/Question%C3%A1rio%20sem%20t%C3%ADtulo/Envio%20do%20Portf%C3%B3lio%20em%20PDF%202/15%20Portf%C3%B3lio%20das%20Atividades%20Pr%C3%A1ticas.docx_Laura%20Volpato.pdf</t>
  </si>
  <si>
    <t>https://uniasselvi01-my.sharepoint.com/personal/elienai_cesar_uniasselvi_com_br1/Documents/Aplicativos/Microsoft%20Forms/Question%C3%A1rio%20sem%20t%C3%ADtulo/Envio%20da%20Lista%20de%20Presen%C3%A7a%202/IMG_20260409_210747_Laura%20Volpato.jpg</t>
  </si>
  <si>
    <t>https://uniasselvi01-my.sharepoint.com/personal/elienai_cesar_uniasselvi_com_br1/Documents/Aplicativos/Microsoft%20Forms/Question%C3%A1rio%20sem%20t%C3%ADtulo/Envio%20do%20Portf%C3%B3lio%20em%20PDF%202/16%20Portf%C3%B3lio%20das%20Atividades%20Pr%C3%A1ticas.docx_Laura%20Volpato.pdf</t>
  </si>
  <si>
    <t>camila.nobre@tutorpratica.uniasselvi.com.br</t>
  </si>
  <si>
    <t>Camila Nobre</t>
  </si>
  <si>
    <t>https://uniasselvi01-my.sharepoint.com/personal/elienai_cesar_uniasselvi_com_br1/Documents/Aplicativos/Microsoft%20Forms/Question%C3%A1rio%20sem%20t%C3%ADtulo/Envio%20da%20Lista%20de%20Presen%C3%A7a%201/WhatsApp%20Image%202026-04-13%20at%2014.40.49_Camila%20Nobre.jpeg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</si>
  <si>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Camila%20Nobre.pdf</t>
  </si>
  <si>
    <t>https://uniasselvi01-my.sharepoint.com/personal/elienai_cesar_uniasselvi_com_br1/Documents/Aplicativos/Microsoft%20Forms/Question%C3%A1rio%20sem%20t%C3%ADtulo/Envio%20da%20Lista%20de%20Presen%C3%A7a%201/presen%C3%A7a_Camila%20Nobre.jpeg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</si>
  <si>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Camila%20Nobre%201.pdf</t>
  </si>
  <si>
    <t>Treino de Atividades da Vida Diária - Membros Inferiores;Treino de Atividades da Vida Diária - Membros Superiores</t>
  </si>
  <si>
    <t>https://uniasselvi01-my.sharepoint.com/personal/elienai_cesar_uniasselvi_com_br1/Documents/Aplicativos/Microsoft%20Forms/Question%C3%A1rio%20sem%20t%C3%ADtulo/Envio%20da%20Lista%20de%20Presen%C3%A7a%201/avd1_Camila%20Nobre.jpeg; https://uniasselvi01-my.sharepoint.com/personal/elienai_cesar_uniasselvi_com_br1/Documents/Aplicativos/Microsoft%20Forms/Question%C3%A1rio%20sem%20t%C3%ADtulo/Envio%20da%20Lista%20de%20Presen%C3%A7a%201/avd2_Camila%20Nobre.jpeg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</si>
  <si>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Camila%20Nobre%202.pdf</t>
  </si>
  <si>
    <t>https://uniasselvi01-my.sharepoint.com/personal/elienai_cesar_uniasselvi_com_br1/Documents/Aplicativos/Microsoft%20Forms/Question%C3%A1rio%20sem%20t%C3%ADtulo/Envio%20da%20Lista%20de%20Presen%C3%A7a%201/WhatsApp%20Image%202026-04-13%20at%2015.07.09_Camila%20Nobre.jpeg; https://uniasselvi01-my.sharepoint.com/personal/elienai_cesar_uniasselvi_com_br1/Documents/Aplicativos/Microsoft%20Forms/Question%C3%A1rio%20sem%20t%C3%ADtulo/Envio%20da%20Lista%20de%20Presen%C3%A7a%201/WhatsApp%20Image%202026-04-13%20at%2015.07.40_Camila%20Nobre.jpeg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</si>
  <si>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Camila%20Nobre%203.pdf</t>
  </si>
  <si>
    <t>https://uniasselvi01-my.sharepoint.com/personal/elienai_cesar_uniasselvi_com_br1/Documents/Aplicativos/Microsoft%20Forms/Question%C3%A1rio%20sem%20t%C3%ADtulo/Envio%20da%20Lista%20de%20Presen%C3%A7a/IMG_9928_Caio%20Oliveira.jpeg</t>
  </si>
  <si>
    <t>https://uniasselvi01-my.sharepoint.com/personal/elienai_cesar_uniasselvi_com_br1/Documents/Aplicativos/Microsoft%20Forms/Question%C3%A1rio%20sem%20t%C3%ADtulo/Envio%20do%20Portf%C3%B3lio%20em%20PDF/caio%20uni_Caio%20Oliveira.pdf</t>
  </si>
  <si>
    <t>https://uniasselvi01-my.sharepoint.com/personal/elienai_cesar_uniasselvi_com_br1/Documents/Aplicativos/Microsoft%20Forms/Question%C3%A1rio%20sem%20t%C3%ADtulo/Envio%20da%20Lista%20de%20Presen%C3%A7a/20260413_151406_Cristiane%20Maciel.jpg</t>
  </si>
  <si>
    <t>https://uniasselvi01-my.sharepoint.com/personal/elienai_cesar_uniasselvi_com_br1/Documents/Aplicativos/Microsoft%20Forms/Question%C3%A1rio%20sem%20t%C3%ADtulo/Envio%20do%20Portf%C3%B3lio%20em%20PDF/20260413_151255_Cristiane%20Maciel.jpg</t>
  </si>
  <si>
    <t>https://uniasselvi01-my.sharepoint.com/personal/elienai_cesar_uniasselvi_com_br1/Documents/Aplicativos/Microsoft%20Forms/Question%C3%A1rio%20sem%20t%C3%ADtulo/Envio%20da%20Lista%20de%20Presen%C3%A7a/20260409_161215_Cristiane%20Maciel.jpg</t>
  </si>
  <si>
    <t>https://uniasselvi01-my.sharepoint.com/personal/elienai_cesar_uniasselvi_com_br1/Documents/Aplicativos/Microsoft%20Forms/Question%C3%A1rio%20sem%20t%C3%ADtulo/Envio%20do%20Portf%C3%B3lio%20em%20PDF/20260409_160011_Cristiane%20Maciel.jpg</t>
  </si>
  <si>
    <t>https://uniasselvi01-my.sharepoint.com/personal/elienai_cesar_uniasselvi_com_br1/Documents/Aplicativos/Microsoft%20Forms/Question%C3%A1rio%20sem%20t%C3%ADtulo/Envio%20da%20Lista%20de%20Presen%C3%A7a/Lista%202103_Karine%20Borges.pdf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</si>
  <si>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U_Karine%20Borges.pdf</t>
  </si>
  <si>
    <t>https://uniasselvi01-my.sharepoint.com/personal/elienai_cesar_uniasselvi_com_br1/Documents/Aplicativos/Microsoft%20Forms/Question%C3%A1rio%20sem%20t%C3%ADtulo/Envio%20da%20Lista%20de%20Presen%C3%A7a/Lista%202503_Karine%20Borges.pdf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</si>
  <si>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%20UE_Karine%20Borges.pdf</t>
  </si>
  <si>
    <t>https://uniasselvi01-my.sharepoint.com/personal/elienai_cesar_uniasselvi_com_br1/Documents/Aplicativos/Microsoft%20Forms/Question%C3%A1rio%20sem%20t%C3%ADtulo/Envio%20da%20Lista%20de%20Presen%C3%A7a/Lista%200104_Karine%20Borges.pdf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</si>
  <si>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R_Karine%20Borges.pdf</t>
  </si>
  <si>
    <t>https://uniasselvi01-my.sharepoint.com/personal/elienai_cesar_uniasselvi_com_br1/Documents/Aplicativos/Microsoft%20Forms/Question%C3%A1rio%20sem%20t%C3%ADtulo/Envio%20da%20Lista%20de%20Presen%C3%A7a/Lista%202803_Karine%20Borges.pdf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</si>
  <si>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https://uniasselvi01-my.sharepoint.com/personal/elienai_cesar_uniasselvi_com_br1/Documents/Aplicativos/Microsoft%20Forms/Question%C3%A1rio%20sem%20t%C3%ADtulo/Envio%20do%20Portf%C3%B3lio%20em%20PDF/Tutor%20-%20Portfo%CC%81lio%20das%20Atividades%20RNL%201_Karine%20Borges.pdf</t>
  </si>
  <si>
    <t>https://uniasselvi01-my.sharepoint.com/personal/elienai_cesar_uniasselvi_com_br1/Documents/Aplicativos/Microsoft%20Forms/Question%C3%A1rio%20sem%20t%C3%ADtulo/Envio%20da%20Lista%20de%20Presen%C3%A7a/Lista%200804_Karine%20Borges.pdf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</si>
  <si>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%20SM_Karine%20Borges.pdf</t>
  </si>
  <si>
    <t>https://uniasselvi01-my.sharepoint.com/personal/elienai_cesar_uniasselvi_com_br1/Documents/Aplicativos/Microsoft%20Forms/Question%C3%A1rio%20sem%20t%C3%ADtulo/Envio%20da%20Lista%20de%20Presen%C3%A7a/Lista%201104_Karine%20Borges.pdf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</si>
  <si>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S_Karine%20Borges.pdf</t>
  </si>
  <si>
    <t>https://uniasselvi01-my.sharepoint.com/personal/elienai_cesar_uniasselvi_com_br1/Documents/Aplicativos/Microsoft%20Forms/Question%C3%A1rio%20sem%20t%C3%ADtulo/Envio%20da%20Lista%20de%20Presen%C3%A7a/Lista%201803_Karine%20Borges.pdf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</si>
  <si>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P_Karine%20Borges.pdf</t>
  </si>
  <si>
    <t>https://uniasselvi01-my.sharepoint.com/personal/elienai_cesar_uniasselvi_com_br1/Documents/Aplicativos/Microsoft%20Forms/Question%C3%A1rio%20sem%20t%C3%ADtulo/Envio%20da%20Lista%20de%20Presen%C3%A7a/Lista%201403_Karine%20Borges.pdf</t>
  </si>
  <si>
    <t>https://uniasselvi01-my.sharepoint.com/personal/elienai_cesar_uniasselvi_com_br1/Documents/Aplicativos/Microsoft%20Forms/Question%C3%A1rio%20sem%20t%C3%ADtulo/Envio%20do%20Portf%C3%B3lio%20em%20PDF/Tutor%20-%20Portfo%CC%81lio%20das%20Atividades%20Pra%CC%81ticas%20P_Karine%20Borges%201.pdf</t>
  </si>
  <si>
    <t>https://uniasselvi01-my.sharepoint.com/personal/elienai_cesar_uniasselvi_com_br1/Documents/Aplicativos/Microsoft%20Forms/Question%C3%A1rio%20sem%20t%C3%ADtulo/Envio%20da%20Lista%20de%20Presen%C3%A7a%205/Lista%20de%20presen%C3%A7a%20Bio%20E%20Manejo%20de%20Ervas%20Danin_Vitor%20Pinheiro.PDF</t>
  </si>
  <si>
    <t>https://uniasselvi01-my.sharepoint.com/personal/elienai_cesar_uniasselvi_com_br1/Documents/Aplicativos/Microsoft%20Forms/Question%C3%A1rio%20sem%20t%C3%ADtulo/Envio%20do%20Portf%C3%B3lio%20em%20PDF%205/Tutor%20-%20Portf%C3%B3lio%20das%20Atividades%20Pr%C3%A1ticas%20-%20B_Vitor%20Pinheiro.PDF</t>
  </si>
  <si>
    <t>leticia.silva@tutorpratica.uniasselvi.com.br</t>
  </si>
  <si>
    <t>Leticia Silva</t>
  </si>
  <si>
    <t>Ponta Grossa/PR - Centro</t>
  </si>
  <si>
    <t>https://uniasselvi01-my.sharepoint.com/personal/elienai_cesar_uniasselvi_com_br1/_layouts/15/Doc.aspx?sourcedoc=%7B35A6BF74-FD44-45E9-97FB-9580758C9524%7D&amp;file=MODELO_Lista%20de%20Presen%C3%A7a%20das%20Pr%C3%A1ticas%2013-04_Leticia%20Silva.docx&amp;action=default&amp;mobileredirect=true</t>
  </si>
  <si>
    <t>https://uniasselvi01-my.sharepoint.com/personal/elienai_cesar_uniasselvi_com_br1/_layouts/15/Doc.aspx?sourcedoc=%7BD88AFC04-C637-429A-A250-8D8E653DE698%7D&amp;file=Tutor%20-%20Portf%C3%B3lio%20das%20Atividades%20Pr%C3%A1ticas%2013-_Leticia%20Silva.docx&amp;action=default&amp;mobileredirect=true</t>
  </si>
  <si>
    <t>amanda.bispo@tutorpratica.uniasselvi.com.br</t>
  </si>
  <si>
    <t>Amanda Bispo</t>
  </si>
  <si>
    <t>Jacobina/BA</t>
  </si>
  <si>
    <t>https://uniasselvi01-my.sharepoint.com/personal/elienai_cesar_uniasselvi_com_br1/Documents/Aplicativos/Microsoft%20Forms/Question%C3%A1rio%20sem%20t%C3%ADtulo/Envio%20da%20Lista%20de%20Presen%C3%A7a/Lista%20de%20Presen%C3%A7a%20das%20Pr%C3%A1ticas_Amanda%20Bispo.pdf</t>
  </si>
  <si>
    <t>https://uniasselvi01-my.sharepoint.com/personal/elienai_cesar_uniasselvi_com_br1/Documents/Aplicativos/Microsoft%20Forms/Question%C3%A1rio%20sem%20t%C3%ADtulo/Envio%20do%20Portf%C3%B3lio%20em%20PDF/Portf%C3%B3lio%20das%20Atividades%20Pr%C3%A1ticas_Amanda%20Bispo.pdf</t>
  </si>
  <si>
    <t>https://uniasselvi01-my.sharepoint.com/personal/elienai_cesar_uniasselvi_com_br1/Documents/Aplicativos/Microsoft%20Forms/Question%C3%A1rio%20sem%20t%C3%ADtulo/Envio%20da%20Lista%20de%20Presen%C3%A7a/frequ%C3%AAncia%20ped%20(1)_Deborah%20Ewerton.pdf</t>
  </si>
  <si>
    <t>https://uniasselvi01-my.sharepoint.com/personal/elienai_cesar_uniasselvi_com_br1/Documents/Aplicativos/Microsoft%20Forms/Question%C3%A1rio%20sem%20t%C3%ADtulo/Envio%20do%20Portf%C3%B3lio%20em%20PDF/PORTIFOLIO%202026%20pedi_Deborah%20Ewerton.pdf</t>
  </si>
  <si>
    <t>https://uniasselvi01-my.sharepoint.com/personal/elienai_cesar_uniasselvi_com_br1/Documents/Aplicativos/Microsoft%20Forms/Question%C3%A1rio%20sem%20t%C3%ADtulo/Envio%20da%20Lista%20de%20Presen%C3%A7a/Lista%20de%20Presen%C3%A7a%20das%20Pr%C3%A1ticas%2013.04%20P02_Amanda%20Bispo.pdf</t>
  </si>
  <si>
    <t>https://uniasselvi01-my.sharepoint.com/personal/elienai_cesar_uniasselvi_com_br1/Documents/Aplicativos/Microsoft%20Forms/Question%C3%A1rio%20sem%20t%C3%ADtulo/Envio%20do%20Portf%C3%B3lio%20em%20PDF/Portf%C3%B3lio%20das%20Atividades%20Pr%C3%A1ticas%2013.04%20P2_Amanda%20Bispo.pdf</t>
  </si>
  <si>
    <t>https://uniasselvi01-my.sharepoint.com/personal/elienai_cesar_uniasselvi_com_br1/Documents/Aplicativos/Microsoft%20Forms/Question%C3%A1rio%20sem%20t%C3%ADtulo/Envio%20da%20Lista%20de%20Presen%C3%A7a/frequ%C3%AAncia%20urg_Deborah%20Ewerton.pdf</t>
  </si>
  <si>
    <t>https://uniasselvi01-my.sharepoint.com/personal/elienai_cesar_uniasselvi_com_br1/Documents/Aplicativos/Microsoft%20Forms/Question%C3%A1rio%20sem%20t%C3%ADtulo/Envio%20do%20Portf%C3%B3lio%20em%20PDF/PORTIFOLIO%202026%20urg_Deborah%20Ewerton.pdf</t>
  </si>
  <si>
    <t>Massagem Relaxante;Massagem Modeladora</t>
  </si>
  <si>
    <t>https://uniasselvi01-my.sharepoint.com/personal/elienai_cesar_uniasselvi_com_br1/Documents/Aplicativos/Microsoft%20Forms/Question%C3%A1rio%20sem%20t%C3%ADtulo/Envio%20da%20Lista%20de%20Presen%C3%A7a%201/MODELO_Lista%20de%20Presen%C3%A7a%20das%20Pr%C3%A1ticas%20%20MASSAG_Vanessa%20Fachini.pdf; https://uniasselvi01-my.sharepoint.com/personal/elienai_cesar_uniasselvi_com_br1/Documents/Aplicativos/Microsoft%20Forms/Question%C3%A1rio%20sem%20t%C3%ADtulo/Envio%20da%20Lista%20de%20Presen%C3%A7a%201/MODELO_Lista%20de%20Presen%C3%A7a%20das%20Pr%C3%A1ticas%20MODELAD_Vanessa%20Fachini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</si>
  <si>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2013._Vanessa%20Fachini.pdf; https://uniasselvi01-my.sharepoint.com/personal/elienai_cesar_uniasselvi_com_br1/Documents/Aplicativos/Microsoft%20Forms/Question%C3%A1rio%20sem%20t%C3%ADtulo/Envio%20do%20Portf%C3%B3lio%20em%20PDF%201/Tutor%20-%20Portf%C3%B3lio%20das%20Atividades%20Pr%C3%A1ticas%2013.%202_Vanessa%20Fachini.pdf</t>
  </si>
  <si>
    <t>https://uniasselvi01-my.sharepoint.com/personal/elienai_cesar_uniasselvi_com_br1/Documents/Aplicativos/Microsoft%20Forms/Question%C3%A1rio%20sem%20t%C3%ADtulo/Envio%20da%20Lista%20de%20Presen%C3%A7a/ListaPresen%C3%A7aPraticasEmergenciaObstetrica_Pro_Raul%20Aguirre.pdf</t>
  </si>
  <si>
    <t>https://uniasselvi01-my.sharepoint.com/personal/elienai_cesar_uniasselvi_com_br1/Documents/Aplicativos/Microsoft%20Forms/Question%C3%A1rio%20sem%20t%C3%ADtulo/Envio%20do%20Portf%C3%B3lio%20em%20PDF/PortfolioPraticaTutor_06_03_2026_Raul%20Aguirre.pdf</t>
  </si>
  <si>
    <t>https://uniasselvi01-my.sharepoint.com/personal/elienai_cesar_uniasselvi_com_br1/Documents/Aplicativos/Microsoft%20Forms/Question%C3%A1rio%20sem%20t%C3%ADtulo/Envio%20da%20Lista%20de%20Presen%C3%A7a%203/20260414_082812_Silvestre%20Assumpcao.PDF</t>
  </si>
  <si>
    <t>https://uniasselvi01-my.sharepoint.com/personal/elienai_cesar_uniasselvi_com_br1/Documents/Aplicativos/Microsoft%20Forms/Question%C3%A1rio%20sem%20t%C3%ADtulo/Envio%20do%20Portf%C3%B3lio%20em%20PDF%203/20260413_183652(1)_Silvestre%20Assumpcao.PDF; https://uniasselvi01-my.sharepoint.com/personal/elienai_cesar_uniasselvi_com_br1/Documents/Aplicativos/Microsoft%20Forms/Question%C3%A1rio%20sem%20t%C3%ADtulo/Envio%20do%20Portf%C3%B3lio%20em%20PDF%203/20260413_183652_Silvestre%20Assumpcao.PDF; https://uniasselvi01-my.sharepoint.com/personal/elienai_cesar_uniasselvi_com_br1/Documents/Aplicativos/Microsoft%20Forms/Question%C3%A1rio%20sem%20t%C3%ADtulo/Envio%20do%20Portf%C3%B3lio%20em%20PDF%203/20260413_204248_Silvestre%20Assumpcao.PDF</t>
  </si>
  <si>
    <t>https://uniasselvi01-my.sharepoint.com/personal/elienai_cesar_uniasselvi_com_br1/Documents/Aplicativos/Microsoft%20Forms/Question%C3%A1rio%20sem%20t%C3%ADtulo/Envio%20da%20Lista%20de%20Presen%C3%A7a%205/Lista%20de%20Presen%C3%A7a%20das%20Pr%C3%A1ticas_Michelle%20Pantoja.pdf</t>
  </si>
  <si>
    <t>https://uniasselvi01-my.sharepoint.com/personal/elienai_cesar_uniasselvi_com_br1/Documents/Aplicativos/Microsoft%20Forms/Question%C3%A1rio%20sem%20t%C3%ADtulo/Envio%20do%20Portf%C3%B3lio%20em%20PDF%205/Tutor%20-%20Portf%C3%B3lio%20das%20Atividades%20Pr%C3%A1ticas_Michelle%20Pantoja%203.pdf</t>
  </si>
  <si>
    <t>priscila.alves@tutorpratica.uniasselvi.com.br</t>
  </si>
  <si>
    <t>Priscila Alves</t>
  </si>
  <si>
    <t>https://uniasselvi01-my.sharepoint.com/personal/elienai_cesar_uniasselvi_com_br1/Documents/Aplicativos/Microsoft%20Forms/Question%C3%A1rio%20sem%20t%C3%ADtulo/Envio%20da%20Lista%20de%20Presen%C3%A7a%201/Lista%20de%20Presen%C3%A7a%20das%20Pr%C3%A1ticas_Priscila%20Alves.pdf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</si>
  <si>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(1)_Priscila%20Alves.pdf</t>
  </si>
  <si>
    <t>https://uniasselvi01-my.sharepoint.com/personal/elienai_cesar_uniasselvi_com_br1/_layouts/15/Doc.aspx?sourcedoc=%7B39D22931-E3F3-4D65-8A93-869B3C491663%7D&amp;file=MODELO_Lista%20de%20Presen%C3%A7a%20das%20Pr%C3%A1ticas_Sancha%20Cardoso%205.docx&amp;action=default&amp;mobileredirect=true</t>
  </si>
  <si>
    <t>https://uniasselvi01-my.sharepoint.com/personal/elienai_cesar_uniasselvi_com_br1/_layouts/15/Doc.aspx?sourcedoc=%7BEEAAF4B9-9CE4-4FB0-AE02-D1D1B1FD5C8F%7D&amp;file=Tutor%20-%20Portf%C3%B3lio%20das%20Atividades%20Pr%C3%A1ticas_Sancha%20Cardoso%205.docx&amp;action=default&amp;mobileredirect=true</t>
  </si>
  <si>
    <t>https://uniasselvi01-my.sharepoint.com/personal/elienai_cesar_uniasselvi_com_br1/Documents/Aplicativos/Microsoft%20Forms/Question%C3%A1rio%20sem%20t%C3%ADtulo/Envio%20da%20Lista%20de%20Presen%C3%A7a/saude%20mental_Jean%20Santos.pdf</t>
  </si>
  <si>
    <t>https://uniasselvi01-my.sharepoint.com/personal/elienai_cesar_uniasselvi_com_br1/Documents/Aplicativos/Microsoft%20Forms/Question%C3%A1rio%20sem%20t%C3%ADtulo/Envio%20do%20Portf%C3%B3lio%20em%20PDF/saude%20mental_Jean%20Santos.pdf</t>
  </si>
  <si>
    <t>Movimento Articular e Goniometria: Avaliação Quantitativa na Prática Fisioterapêutica;Prática de Alongamento Muscular: Estratégias Cinesioterapêuticas para Ganho de Flexibilidade e Função</t>
  </si>
  <si>
    <t>https://uniasselvi01-my.sharepoint.com/personal/elienai_cesar_uniasselvi_com_br1/_layouts/15/Doc.aspx?sourcedoc=%7B759D770B-BCD3-4342-9E3D-A1079740DEB3%7D&amp;file=MODELO_Lista%20de%20Presen%C3%A7a%20das%20Pr%C3%A1ticas_Sancha%20Cardoso%206.docx&amp;action=default&amp;mobileredirect=true</t>
  </si>
  <si>
    <t>https://uniasselvi01-my.sharepoint.com/personal/elienai_cesar_uniasselvi_com_br1/_layouts/15/Doc.aspx?sourcedoc=%7B2C47E872-58E6-4E03-956B-430C9356228D%7D&amp;file=Tutor%20-%20Portf%C3%B3lio%20das%20Atividades%20Pr%C3%A1ticas%202_Sancha%20Cardoso.docx&amp;action=default&amp;mobileredirect=true</t>
  </si>
  <si>
    <t>Técnicas Respiratórias na Fisioterapia Intensiva</t>
  </si>
  <si>
    <t>https://uniasselvi01-my.sharepoint.com/personal/elienai_cesar_uniasselvi_com_br1/_layouts/15/Doc.aspx?sourcedoc=%7B15AA8D29-E13B-418F-9172-B28FF9E34462%7D&amp;file=MODELO_Lista%20de%20Presen%C3%A7a%20das%20Pr%C3%A1ticas_Sancha%20Cardoso%207.docx&amp;action=default&amp;mobileredirect=true</t>
  </si>
  <si>
    <t>https://uniasselvi01-my.sharepoint.com/personal/elienai_cesar_uniasselvi_com_br1/_layouts/15/Doc.aspx?sourcedoc=%7BD453B4D0-A5C8-4983-8CE3-C3F95416DF5D%7D&amp;file=Tutor%20-%20Portf%C3%B3lio%20das%20Atividades%20Pr%C3%A1ticas_Sancha%20Cardoso%206.docx&amp;action=default&amp;mobileredirect=true</t>
  </si>
  <si>
    <t>https://uniasselvi01-my.sharepoint.com/personal/elienai_cesar_uniasselvi_com_br1/_layouts/15/Doc.aspx?sourcedoc=%7B82C9C726-BE5B-49E6-B03B-A00B13AD6616%7D&amp;file=MODELO_Lista%20de%20Presen%C3%A7a%20das%20Pr%C3%A1ticas_Jean%20Santos.docx&amp;action=default&amp;mobileredirect=true</t>
  </si>
  <si>
    <t>https://uniasselvi01-my.sharepoint.com/personal/elienai_cesar_uniasselvi_com_br1/Documents/Aplicativos/Microsoft%20Forms/Question%C3%A1rio%20sem%20t%C3%ADtulo/Envio%20do%20Portf%C3%B3lio%20em%20PDF/urgencia%20e%20emergencia_Jean%20Santos.pdf</t>
  </si>
  <si>
    <t>Saúde da mulher no período gravídico-puerperal</t>
  </si>
  <si>
    <t>https://uniasselvi01-my.sharepoint.com/personal/elienai_cesar_uniasselvi_com_br1/Documents/Aplicativos/Microsoft%20Forms/Question%C3%A1rio%20sem%20t%C3%ADtulo/Envio%20da%20Lista%20de%20Presen%C3%A7a/Pratica%2014-04_Fabio%20Rosa.pdf</t>
  </si>
  <si>
    <t>https://uniasselvi01-my.sharepoint.com/personal/elienai_cesar_uniasselvi_com_br1/Documents/Aplicativos/Microsoft%20Forms/Question%C3%A1rio%20sem%20t%C3%ADtulo/Envio%20do%20Portf%C3%B3lio%20em%20PDF/Pratica%2014-04_Fabio%20Rosa.pdf</t>
  </si>
  <si>
    <t>https://uniasselvi01-my.sharepoint.com/personal/elienai_cesar_uniasselvi_com_br1/Documents/Aplicativos/Microsoft%20Forms/Question%C3%A1rio%20sem%20t%C3%ADtulo/Pergunta/WhatsApp%20Scan%202026-04-14%20at%2011.24.35_Leonardo%20Lage.pdf</t>
  </si>
  <si>
    <t>https://uniasselvi01-my.sharepoint.com/personal/elienai_cesar_uniasselvi_com_br1/Documents/Aplicativos/Microsoft%20Forms/Question%C3%A1rio%20sem%20t%C3%ADtulo/Pergunta%201/Portf%C3%B3lio%20das%20Atividades%20Pr%C3%A1ticas%20Preparo%20de_Leonardo%20Lage.pdf</t>
  </si>
  <si>
    <t>Método de Hoffman;Laminário de ovos de helmintos</t>
  </si>
  <si>
    <t>https://uniasselvi01-my.sharepoint.com/personal/elienai_cesar_uniasselvi_com_br1/Documents/Aplicativos/Microsoft%20Forms/Question%C3%A1rio%20sem%20t%C3%ADtulo/Pergunta/WhatsApp%20Scan%202026-04-14%20at%2011.25.26_Leonardo%20Lage.pdf</t>
  </si>
  <si>
    <t>https://uniasselvi01-my.sharepoint.com/personal/elienai_cesar_uniasselvi_com_br1/Documents/Aplicativos/Microsoft%20Forms/Question%C3%A1rio%20sem%20t%C3%ADtulo/Pergunta%201/Tutor%20-%20Portf%C3%B3lio%20das%20Atividades%20Pr%C3%A1ticas%20M%C3%A9t_Leonardo%20Lage.pdf</t>
  </si>
  <si>
    <t>https://uniasselvi01-my.sharepoint.com/personal/elienai_cesar_uniasselvi_com_br1/Documents/Aplicativos/Microsoft%20Forms/Question%C3%A1rio%20sem%20t%C3%ADtulo/Pergunta/WhatsApp%20Scan%202026-04-14%20at%2011.26.12_Leonardo%20Lage.pdf</t>
  </si>
  <si>
    <t>https://uniasselvi01-my.sharepoint.com/personal/elienai_cesar_uniasselvi_com_br1/Documents/Aplicativos/Microsoft%20Forms/Question%C3%A1rio%20sem%20t%C3%ADtulo/Pergunta%201/Tutor%20-%20Portf%C3%B3lio%20das%20Atividades%20Pr%C3%A1ticas%20An%C3%A1_Leonardo%20Lage.pdf</t>
  </si>
  <si>
    <t>Técnicas de inoculação</t>
  </si>
  <si>
    <t>https://uniasselvi01-my.sharepoint.com/personal/elienai_cesar_uniasselvi_com_br1/Documents/Aplicativos/Microsoft%20Forms/Question%C3%A1rio%20sem%20t%C3%ADtulo/Pergunta/WhatsApp%20Scan%202026-04-14%20at%2011.27.18_Leonardo%20Lage.pdf</t>
  </si>
  <si>
    <t>https://uniasselvi01-my.sharepoint.com/personal/elienai_cesar_uniasselvi_com_br1/Documents/Aplicativos/Microsoft%20Forms/Question%C3%A1rio%20sem%20t%C3%ADtulo/Pergunta%201/Tutor%20-%20Portf%C3%B3lio%20das%20Atividades%20Pr%C3%A1ticas%20T%C3%A9c_Leonardo%20Lage.pdf</t>
  </si>
  <si>
    <t>vania.schuertz@uniasselvi.com.br</t>
  </si>
  <si>
    <t>Vania Carvalho De Oliveira Schuertz</t>
  </si>
  <si>
    <t>Curitiba/PR - Centro</t>
  </si>
  <si>
    <t>https://uniasselvi01-my.sharepoint.com/personal/elienai_cesar_uniasselvi_com_br1/Documents/Aplicativos/Microsoft%20Forms/Question%C3%A1rio%20sem%20t%C3%ADtulo/Envio%20da%20Lista%20de%20Presen%C3%A7a/WhatsApp%20Image%202026-04-14%20at%2016.23.06_Vania%20Carvalho%20De%20Ol.jpeg</t>
  </si>
  <si>
    <t>https://uniasselvi01-my.sharepoint.com/personal/elienai_cesar_uniasselvi_com_br1/Documents/Aplicativos/Microsoft%20Forms/Question%C3%A1rio%20sem%20t%C3%ADtulo/Envio%20do%20Portf%C3%B3lio%20em%20PDF/WhatsApp%20Image%202026-04-14%20at%2016.23.06_Vania%20Carvalho%20De%20Ol.jpeg</t>
  </si>
  <si>
    <t>Lavagem cirúrgica das mãos + Calço de luvas cirúrgicas</t>
  </si>
  <si>
    <t>https://uniasselvi01-my.sharepoint.com/personal/elienai_cesar_uniasselvi_com_br1/Documents/Aplicativos/Microsoft%20Forms/Question%C3%A1rio%20sem%20t%C3%ADtulo/Envio%20da%20Lista%20de%20Presen%C3%A7a/WhatsApp%20Image%202026-04-14%20at%2016.29.17_Vania%20Carvalho%20De%20Ol.jpeg</t>
  </si>
  <si>
    <t>https://uniasselvi01-my.sharepoint.com/personal/elienai_cesar_uniasselvi_com_br1/Documents/Aplicativos/Microsoft%20Forms/Question%C3%A1rio%20sem%20t%C3%ADtulo/Envio%20do%20Portf%C3%B3lio%20em%20PDF/WhatsApp%20Image%202026-04-14%20at%2016.29.24_Vania%20Carvalho%20De%20Ol.jpeg</t>
  </si>
  <si>
    <t>Banho de leito + Lavagem gástrica;Punção Venosa + Retirada de pontos</t>
  </si>
  <si>
    <t>https://uniasselvi01-my.sharepoint.com/personal/elienai_cesar_uniasselvi_com_br1/Documents/Aplicativos/Microsoft%20Forms/Question%C3%A1rio%20sem%20t%C3%ADtulo/Envio%20da%20Lista%20de%20Presen%C3%A7a/Lista%20de%20Frequ%C3%AAncia%2013-04-26_William%20Coimbra.jpeg</t>
  </si>
  <si>
    <t>https://uniasselvi01-my.sharepoint.com/personal/elienai_cesar_uniasselvi_com_br1/_layouts/15/Doc.aspx?sourcedoc=%7B54D8223D-0B93-4A12-BF88-C43B2C0A0538%7D&amp;file=Tutor%20-%20Portf%C3%B3lio%20das%20Atividades%20Pr%C3%A1ticas_William%20Coimbra%202.docx&amp;action=default&amp;mobileredirect=true; https://uniasselvi01-my.sharepoint.com/personal/elienai_cesar_uniasselvi_com_br1/Documents/Aplicativos/Microsoft%20Forms/Question%C3%A1rio%20sem%20t%C3%ADtulo/Envio%20do%20Portf%C3%B3lio%20em%20PDF/Pun%C3%A7%C3%A3o%20Venosa_William%20Coimbra.jpeg; https://uniasselvi01-my.sharepoint.com/personal/elienai_cesar_uniasselvi_com_br1/Documents/Aplicativos/Microsoft%20Forms/Question%C3%A1rio%20sem%20t%C3%ADtulo/Envio%20do%20Portf%C3%B3lio%20em%20PDF/Retirada%20de%20pontos_William%20Coimbra.jpeg; https://uniasselvi01-my.sharepoint.com/personal/elienai_cesar_uniasselvi_com_br1/Documents/Aplicativos/Microsoft%20Forms/Question%C3%A1rio%20sem%20t%C3%ADtulo/Envio%20do%20Portf%C3%B3lio%20em%20PDF/Foto%20da%20Turma_William%20Coimbra.jpeg</t>
  </si>
  <si>
    <t>https://uniasselvi01-my.sharepoint.com/personal/elienai_cesar_uniasselvi_com_br1/_layouts/15/Doc.aspx?sourcedoc=%7BD0EA112F-338F-4E80-8434-E1BDA5DFD793%7D&amp;file=_Lista%20de%20Presen%C3%A7a%20-Urg%C3%AAncia%20-%20queimadura%20esc_Mariana%20Correia.docx&amp;action=default&amp;mobileredirect=true</t>
  </si>
  <si>
    <t>https://uniasselvi01-my.sharepoint.com/personal/elienai_cesar_uniasselvi_com_br1/Documents/Aplicativos/Microsoft%20Forms/Question%C3%A1rio%20sem%20t%C3%ADtulo/Envio%20do%20Portf%C3%B3lio%20em%20PDF/Portf%C3%B3lio%20das%20Atividades%20Pr%C3%A1ticas%20-%20Urg%C3%AAncia_Mariana%20Correia.pdf</t>
  </si>
  <si>
    <t>https://uniasselvi01-my.sharepoint.com/personal/elienai_cesar_uniasselvi_com_br1/_layouts/15/Doc.aspx?sourcedoc=%7B6D1E3102-7A2F-470F-A073-024F03640E52%7D&amp;file=_Lista%20de%20Presen%C3%A7a%20-%20Subcut%C3%A2nea%20e%20Oral_Mariana%20Correia.docx&amp;action=default&amp;mobileredirect=true</t>
  </si>
  <si>
    <t>https://uniasselvi01-my.sharepoint.com/personal/elienai_cesar_uniasselvi_com_br1/Documents/Aplicativos/Microsoft%20Forms/Question%C3%A1rio%20sem%20t%C3%ADtulo/Envio%20do%20Portf%C3%B3lio%20em%20PDF/Portf%C3%B3lio%20-%20%20Rec%C3%A9m%20Nascido%20e%20Lactente%20subcuta_Mariana%20Correia.pdf</t>
  </si>
  <si>
    <t>https://uniasselvi01-my.sharepoint.com/personal/elienai_cesar_uniasselvi_com_br1/Documents/Aplicativos/Microsoft%20Forms/Question%C3%A1rio%20sem%20t%C3%ADtulo/Envio%20da%20Lista%20de%20Presen%C3%A7a%201/Lista%20de%20Presen%C3%A7a%20das%20Pr%C3%A1ticas%20-%201_Fabiano%20Bartmann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</si>
  <si>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2014.pdf</t>
  </si>
  <si>
    <t>https://uniasselvi01-my.sharepoint.com/personal/elienai_cesar_uniasselvi_com_br1/Documents/Aplicativos/Microsoft%20Forms/Question%C3%A1rio%20sem%20t%C3%ADtulo/Envio%20da%20Lista%20de%20Presen%C3%A7a%201/Lista%20de%20Presen%C3%A7a%20das%20Pr%C3%A1ticas%20-%202_Fabiano%20Bartmann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</si>
  <si>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2015.pdf</t>
  </si>
  <si>
    <t>https://uniasselvi01-my.sharepoint.com/personal/elienai_cesar_uniasselvi_com_br1/Documents/Aplicativos/Microsoft%20Forms/Question%C3%A1rio%20sem%20t%C3%ADtulo/Envio%20da%20Lista%20de%20Presen%C3%A7a/Lista%20presen%C3%A7a%20-%20Port%20a%20cath%20e%20Ostomia%2008-04-_Mariana%20Correia.jpeg</t>
  </si>
  <si>
    <t>https://uniasselvi01-my.sharepoint.com/personal/elienai_cesar_uniasselvi_com_br1/Documents/Aplicativos/Microsoft%20Forms/Question%C3%A1rio%20sem%20t%C3%ADtulo/Envio%20do%20Portf%C3%B3lio%20em%20PDF/Portf%C3%B3lio%20-%20%20Cateter%20longa%20perman%C3%AAncia%20e%20bols_Mariana%20Correia.pdf</t>
  </si>
  <si>
    <t>leonardo.felipe@tutorpratica.uniasselvi.com.br</t>
  </si>
  <si>
    <t>Leonardo Felipe</t>
  </si>
  <si>
    <t>Pouso Alegre/MG</t>
  </si>
  <si>
    <t>Saúde da mulher no período gravídico-puerperal;Saúde da mulher reprodutiva + Realização do exame de Papanicolau</t>
  </si>
  <si>
    <t>https://uniasselvi01-my.sharepoint.com/personal/elienai_cesar_uniasselvi_com_br1/Documents/Aplicativos/Microsoft%20Forms/Question%C3%A1rio%20sem%20t%C3%ADtulo/Envio%20da%20Lista%20de%20Presen%C3%A7a/TapScanner%2014-04-2026-21%EA%9E%8931%20(1)_Leonardo%20Felipe.pdf; https://uniasselvi01-my.sharepoint.com/personal/elienai_cesar_uniasselvi_com_br1/Documents/Aplicativos/Microsoft%20Forms/Question%C3%A1rio%20sem%20t%C3%ADtulo/Envio%20da%20Lista%20de%20Presen%C3%A7a/TapScanner%2014-04-2026-21%EA%9E%8931_Leonardo%20Felipe.pdf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</si>
  <si>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_Leonardo%20Felipe.pdf</t>
  </si>
  <si>
    <t>Punção Venosa + Retirada de pontos</t>
  </si>
  <si>
    <t>https://uniasselvi01-my.sharepoint.com/personal/elienai_cesar_uniasselvi_com_br1/_layouts/15/Doc.aspx?sourcedoc=%7BF5CF4F96-EA68-4D33-B265-DAB2FCAFE86C%7D&amp;file=MODELO_Lista%20de%20Presen%C3%A7a%20das%20Pr%C3%A1ticas%2014-04_Leticia%20Silva.docx&amp;action=default&amp;mobileredirect=true</t>
  </si>
  <si>
    <t>https://uniasselvi01-my.sharepoint.com/personal/elienai_cesar_uniasselvi_com_br1/_layouts/15/Doc.aspx?sourcedoc=%7BDB02C1D7-720D-423C-B7FE-17992CEC5DB0%7D&amp;file=Tutor%20-%20Portf%C3%B3lio%20das%20Atividades%20Pr%C3%A1ticas%2014-_Leticia%20Silva.docx&amp;action=default&amp;mobileredirect=true</t>
  </si>
  <si>
    <t>vinicius.asilva@unicesumar.edu.br</t>
  </si>
  <si>
    <t>Vinicius Augusto Da Silva</t>
  </si>
  <si>
    <t>https://uniasselvi01-my.sharepoint.com/personal/elienai_cesar_uniasselvi_com_br1/Documents/Aplicativos/Microsoft%20Forms/Question%C3%A1rio%20sem%20t%C3%ADtulo/Envio%20da%20Lista%20de%20Presen%C3%A7a%202/lista%20de%20presenc%CC%A7a%2014-04_Vinicius%20Augusto%20Da.jpeg</t>
  </si>
  <si>
    <t>https://uniasselvi01-my.sharepoint.com/personal/elienai_cesar_uniasselvi_com_br1/Documents/Aplicativos/Microsoft%20Forms/Question%C3%A1rio%20sem%20t%C3%ADtulo/Envio%20do%20Portf%C3%B3lio%20em%20PDF%202/Tutor%20-%20Portfo%CC%81lio%20das%20Atividades%20Pra%CC%81ticas_Vinicius%20Augusto%20Da.pdf</t>
  </si>
  <si>
    <t>vinicius.silva@tutorpratica.uniasselvi.com.br</t>
  </si>
  <si>
    <t>Vinicius Silva</t>
  </si>
  <si>
    <t>https://uniasselvi01-my.sharepoint.com/personal/elienai_cesar_uniasselvi_com_br1/Documents/Aplicativos/Microsoft%20Forms/Question%C3%A1rio%20sem%20t%C3%ADtulo/Envio%20da%20Lista%20de%20Presen%C3%A7a%202/lista%20de%20presenc%CC%A7a%2014-04_Vinicius%20Silva.jpeg</t>
  </si>
  <si>
    <t>https://uniasselvi01-my.sharepoint.com/personal/elienai_cesar_uniasselvi_com_br1/Documents/Aplicativos/Microsoft%20Forms/Question%C3%A1rio%20sem%20t%C3%ADtulo/Envio%20do%20Portf%C3%B3lio%20em%20PDF%202/Tutor%20-%20Portfo%CC%81lio%20das%20Atividades%20Pra%CC%81ticas_Vinicius%20Silva.pdf</t>
  </si>
  <si>
    <t>Latex (fator reumatoide), ALSO e PCR</t>
  </si>
  <si>
    <t>https://uniasselvi01-my.sharepoint.com/personal/elienai_cesar_uniasselvi_com_br1/Documents/Aplicativos/Microsoft%20Forms/Question%C3%A1rio%20sem%20t%C3%ADtulo/Pergunta/CamScanner%2015-04-2026%2012.17_Simone%20Oliveira.pdf</t>
  </si>
  <si>
    <t>https://uniasselvi01-my.sharepoint.com/personal/elienai_cesar_uniasselvi_com_br1/Documents/Aplicativos/Microsoft%20Forms/Question%C3%A1rio%20sem%20t%C3%ADtulo/Pergunta%201/CamScanner%2015-04-2026%2012.16_Simone%20Oliveira.pdf</t>
  </si>
  <si>
    <t>Medidas antropométricas da criança e adolescente + Acolhimento e escala de Manchester pediatria</t>
  </si>
  <si>
    <t>https://uniasselvi01-my.sharepoint.com/personal/elienai_cesar_uniasselvi_com_br1/_layouts/15/Doc.aspx?sourcedoc=%7B99FBD491-611F-4F70-B19D-5F63C8BF210C%7D&amp;file=Relat%C3%B3rio%20de%20Laborat%C3%B3rio%2014.04.2026%20aula%201_Luiz%20Silva.docx&amp;action=default&amp;mobileredirect=true</t>
  </si>
  <si>
    <t>https://uniasselvi01-my.sharepoint.com/personal/elienai_cesar_uniasselvi_com_br1/_layouts/15/Doc.aspx?sourcedoc=%7B1F0116B0-A315-4409-A074-4224BA2C568D%7D&amp;file=Relat%C3%B3rio%20de%20Laborat%C3%B3rio%2014.04.2026%20aula%201_Luiz%20Silva.docx&amp;action=default&amp;mobileredirect=true</t>
  </si>
  <si>
    <t>antonia.silva@uniasselvi.com.br</t>
  </si>
  <si>
    <t>Antonia Fabricia Martins Da Silva</t>
  </si>
  <si>
    <t>Cruzeiro Do Sul/AC</t>
  </si>
  <si>
    <t>Abordagem e cuidados de enfermagem em episódio de surto psicótico;Administração de medicamento pela via subcutânea + Administração de medicamento pela via oral;Avaliação corporal + Ausculta pulmonar + Ausculta cardiaca + Verificação de sinais vitais;Banho de leito + Lavagem gástrica;Consulta de enfermagem no pré-natal de baixo risco + Administração de medicamento pela via intramuscular;Curativo;Exame físico - sistema cardiovascular + Atuação de enfermagem nas doenças locomotoras;Lavagem cirúrgica das mãos + Calço de luvas cirúrgicas;Manobra de Suporte Básico de Vida;Sondagem vesical de alívio + Sondagem vesical de demora;Saúde da mulher reprodutiva + Realização do exame de Papanicolau;Saúde da mulher no período gravídico-puerperal;Punção Venosa + Retirada de pontos;Punção e manutenção de cateter de longa permanência + Troca de bolsa de ostomia;Paramentação cirúrgica: vestimenta estéril + Colocação de campos cirúrgicos no paciente;Obstrução de vias aéreas + Prática de vacinação</t>
  </si>
  <si>
    <t>https://uniasselvi01-my.sharepoint.com/personal/elienai_cesar_uniasselvi_com_br1/Documents/Aplicativos/Microsoft%20Forms/Question%C3%A1rio%20sem%20t%C3%ADtulo/Envio%20da%20Lista%20de%20Presen%C3%A7a/doc03347020260415145622_Antonia%20Fabricia%20Mar.pdf</t>
  </si>
  <si>
    <t>https://uniasselvi01-my.sharepoint.com/personal/elienai_cesar_uniasselvi_com_br1/Documents/Aplicativos/Microsoft%20Forms/Question%C3%A1rio%20sem%20t%C3%ADtulo/Envio%20do%20Portf%C3%B3lio%20em%20PDF/PORTF%C3%93LIO%20DOS%20PROTOCOLOS%20DAS%20PR%C3%81TICAS_Antonia%20Fabricia%20Mar.pdf</t>
  </si>
  <si>
    <t>https://uniasselvi01-my.sharepoint.com/personal/elienai_cesar_uniasselvi_com_br1/_layouts/15/Doc.aspx?sourcedoc=%7BE37062D2-260F-43E5-8A8A-D311E1F61D57%7D&amp;file=Relat%C3%B3rio%20de%20Laborat%C3%B3rio%2014.04.2026%20aula%202_Luiz%20Silva.docx&amp;action=default&amp;mobileredirect=true</t>
  </si>
  <si>
    <t>https://uniasselvi01-my.sharepoint.com/personal/elienai_cesar_uniasselvi_com_br1/_layouts/15/Doc.aspx?sourcedoc=%7B83AFA2C0-D1EE-4723-A403-E5A597DDD1E2%7D&amp;file=Relat%C3%B3rio%20de%20Laborat%C3%B3rio%2014.04.2026%20aula%202_Luiz%20Silva.docx&amp;action=default&amp;mobileredirect=true</t>
  </si>
  <si>
    <t>Banho de leito + Lavagem gástrica;Curativo;Consulta de enfermagem no pré-natal de baixo risco + Administração de medicamento pela via intramuscular;Lavagem cirúrgica das mãos + Calço de luvas cirúrgicas</t>
  </si>
  <si>
    <t>https://uniasselvi01-my.sharepoint.com/personal/elienai_cesar_uniasselvi_com_br1/Documents/Aplicativos/Microsoft%20Forms/Question%C3%A1rio%20sem%20t%C3%ADtulo/Envio%20da%20Lista%20de%20Presen%C3%A7a/doc03347320260415151013_Antonia%20Fabricia%20Mar.pdf</t>
  </si>
  <si>
    <t>https://uniasselvi01-my.sharepoint.com/personal/elienai_cesar_uniasselvi_com_br1/Documents/Aplicativos/Microsoft%20Forms/Question%C3%A1rio%20sem%20t%C3%ADtulo/Envio%20do%20Portf%C3%B3lio%20em%20PDF/PORTF%C3%93LIO%20DOS%20PROTOCOLOS%20DAS%20PR%C3%81TICAS.docx%20-_Antonia%20Fabricia%20Mar.pdf</t>
  </si>
  <si>
    <t>https://uniasselvi01-my.sharepoint.com/personal/elienai_cesar_uniasselvi_com_br1/Documents/Aplicativos/Microsoft%20Forms/Question%C3%A1rio%20sem%20t%C3%ADtulo/Envio%20da%20Lista%20de%20Presen%C3%A7a/Assiste%20em%20surto%20psicotico_Antonieta%20Graupe.jpeg</t>
  </si>
  <si>
    <t>https://uniasselvi01-my.sharepoint.com/personal/elienai_cesar_uniasselvi_com_br1/Documents/Aplicativos/Microsoft%20Forms/Question%C3%A1rio%20sem%20t%C3%ADtulo/Envio%20do%20Portf%C3%B3lio%20em%20PDF/O%202%20Abordagem%20e%20cuidados%20de%20enfermagem%20em%20epi_Antonieta%20Graupe.pdf</t>
  </si>
  <si>
    <t>https://uniasselvi01-my.sharepoint.com/personal/elienai_cesar_uniasselvi_com_br1/Documents/Aplicativos/Microsoft%20Forms/Question%C3%A1rio%20sem%20t%C3%ADtulo/Envio%20da%20Lista%20de%20Presen%C3%A7a/O%202%20%20Manobra%20de%20Suporte%20B%C3%A1sico%20de%20Vida_Antonieta%20Graupe.pdf; https://uniasselvi01-my.sharepoint.com/personal/elienai_cesar_uniasselvi_com_br1/Documents/Aplicativos/Microsoft%20Forms/Question%C3%A1rio%20sem%20t%C3%ADtulo/Envio%20da%20Lista%20de%20Presen%C3%A7a/suporte%20de%20vida%20basico_Antonieta%20Graupe.jpeg</t>
  </si>
  <si>
    <t>https://uniasselvi01-my.sharepoint.com/personal/elienai_cesar_uniasselvi_com_br1/Documents/Aplicativos/Microsoft%20Forms/Question%C3%A1rio%20sem%20t%C3%ADtulo/Envio%20do%20Portf%C3%B3lio%20em%20PDF/O%202%20%20Manobra%20de%20Suporte%20B%C3%A1sico%20de%20Vida_Antonieta%20Graupe.pdf</t>
  </si>
  <si>
    <t>https://uniasselvi01-my.sharepoint.com/personal/elienai_cesar_uniasselvi_com_br1/Documents/Aplicativos/Microsoft%20Forms/Question%C3%A1rio%20sem%20t%C3%ADtulo/Envio%20da%20Lista%20de%20Presen%C3%A7a/Queimadura%20e%20escala%20de%20glasgow_Antonieta%20Graupe.jpeg</t>
  </si>
  <si>
    <t>https://uniasselvi01-my.sharepoint.com/personal/elienai_cesar_uniasselvi_com_br1/Documents/Aplicativos/Microsoft%20Forms/Question%C3%A1rio%20sem%20t%C3%ADtulo/Envio%20do%20Portf%C3%B3lio%20em%20PDF/O%202%20Avalia%C3%A7%C3%A3o%20de%20paciente%20queimado%20e%20Escala%20d_Antonieta%20Graupe.pdf</t>
  </si>
  <si>
    <t>https://uniasselvi01-my.sharepoint.com/personal/elienai_cesar_uniasselvi_com_br1/Documents/Aplicativos/Microsoft%20Forms/Question%C3%A1rio%20sem%20t%C3%ADtulo/Envio%20da%20Lista%20de%20Presen%C3%A7a/Atendimento%20a%20paciente%20neurologico_Antonieta%20Graupe.jpeg</t>
  </si>
  <si>
    <t>https://uniasselvi01-my.sharepoint.com/personal/elienai_cesar_uniasselvi_com_br1/Documents/Aplicativos/Microsoft%20Forms/Question%C3%A1rio%20sem%20t%C3%ADtulo/Envio%20do%20Portf%C3%B3lio%20em%20PDF/lista%20de%20presenca%20de%20O.2%20Abordagem%20e%20cuidados_Antonieta%20Graupe.pdf</t>
  </si>
  <si>
    <t>https://uniasselvi01-my.sharepoint.com/personal/elienai_cesar_uniasselvi_com_br1/Documents/Aplicativos/Microsoft%20Forms/Question%C3%A1rio%20sem%20t%C3%ADtulo/Envio%20da%20Lista%20de%20Presen%C3%A7a/Assistencia%20pre%20natal%2013%2004%202026_Antonieta%20Graupe.jpeg</t>
  </si>
  <si>
    <t>https://uniasselvi01-my.sharepoint.com/personal/elienai_cesar_uniasselvi_com_br1/Documents/Aplicativos/Microsoft%20Forms/Question%C3%A1rio%20sem%20t%C3%ADtulo/Envio%20do%20Portf%C3%B3lio%20em%20PDF/O%203%20Sa%C3%BAde%20da%20Mulher%20no%20per%C3%ADodo%20grav%C3%ADdico_Antonieta%20Graupe.pdf</t>
  </si>
  <si>
    <t>https://uniasselvi01-my.sharepoint.com/personal/elienai_cesar_uniasselvi_com_br1/_layouts/15/Doc.aspx?sourcedoc=%7B09F980AC-5DAE-42B1-9297-7808B10BB459%7D&amp;file=88fffbaf80d077d503bf535a3e470dfe_Antonieta%20Graupe.docx&amp;action=default&amp;mobileredirect=true</t>
  </si>
  <si>
    <t>https://uniasselvi01-my.sharepoint.com/personal/elienai_cesar_uniasselvi_com_br1/_layouts/15/Doc.aspx?sourcedoc=%7B30330C9A-A42F-4B4D-B096-CC86DF092587%7D&amp;file=88fffbaf80d077d503bf535a3e470dfe_Antonieta%20Graupe.docx&amp;action=default&amp;mobileredirect=true</t>
  </si>
  <si>
    <t>https://uniasselvi01-my.sharepoint.com/personal/elienai_cesar_uniasselvi_com_br1/_layouts/15/Doc.aspx?sourcedoc=%7BE99087C6-1EA3-43C8-8BC0-9E37496FE864%7D&amp;file=88fffbaf80d077d503bf535a3e470dfe_Antonieta%20Graupe%201.docx&amp;action=default&amp;mobileredirect=true</t>
  </si>
  <si>
    <t>https://uniasselvi01-my.sharepoint.com/personal/elienai_cesar_uniasselvi_com_br1/_layouts/15/Doc.aspx?sourcedoc=%7BD869FF58-C8E0-4759-AE25-AA09F2A25FF5%7D&amp;file=88fffbaf80d077d503bf535a3e470dfe_Antonieta%20Graupe%201.docx&amp;action=default&amp;mobileredirect=true</t>
  </si>
  <si>
    <t>Introdução a Caligrafia Técnica dentro das normas da ABNT (NBR 6492). +  Introdução aos Primeiros Passos;Representações do Desenho Técnico + Cotas e Escalas</t>
  </si>
  <si>
    <t>https://uniasselvi01-my.sharepoint.com/personal/elienai_cesar_uniasselvi_com_br1/Documents/Aplicativos/Microsoft%20Forms/Question%C3%A1rio%20sem%20t%C3%ADtulo/Envio%20da%20Lista%20de%20Presen%C3%A7a%204/Chamada.._Maria%20Guerreiro.jpeg; https://uniasselvi01-my.sharepoint.com/personal/elienai_cesar_uniasselvi_com_br1/Documents/Aplicativos/Microsoft%20Forms/Question%C3%A1rio%20sem%20t%C3%ADtulo/Envio%20da%20Lista%20de%20Presen%C3%A7a%204/Chamada._Maria%20Guerreiro.jpeg; https://uniasselvi01-my.sharepoint.com/personal/elienai_cesar_uniasselvi_com_br1/Documents/Aplicativos/Microsoft%20Forms/Question%C3%A1rio%20sem%20t%C3%ADtulo/Envio%20da%20Lista%20de%20Presen%C3%A7a%204/Chamada_Maria%20Guerreiro.jpeg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</si>
  <si>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_%20de_Maria%20Guerreiro.pdf</t>
  </si>
  <si>
    <t>https://uniasselvi01-my.sharepoint.com/personal/elienai_cesar_uniasselvi_com_br1/Documents/Aplicativos/Microsoft%20Forms/Question%C3%A1rio%20sem%20t%C3%ADtulo/Envio%20da%20Lista%20de%20Presen%C3%A7a/WhatsApp%20Image%202026-04-14%20at%2017.58.59_Laurilene%20Mota.jpeg</t>
  </si>
  <si>
    <t>https://uniasselvi01-my.sharepoint.com/personal/elienai_cesar_uniasselvi_com_br1/_layouts/15/Doc.aspx?sourcedoc=%7B700C6A15-C58A-43EF-AF39-9499706FFD57%7D&amp;file=Avalia%C3%A7%C3%A3o%20de%20enfermagem%20paciente%20com%20queimadu_Laurilene%20Mota.docx&amp;action=default&amp;mobileredirect=true</t>
  </si>
  <si>
    <t>https://uniasselvi01-my.sharepoint.com/personal/elienai_cesar_uniasselvi_com_br1/Documents/Aplicativos/Microsoft%20Forms/Question%C3%A1rio%20sem%20t%C3%ADtulo/Envio%20da%20Lista%20de%20Presen%C3%A7a/WhatsApp%20Image%202026-04-14%20at%2017.58.59_Laurilene%20Mota%201.jpeg</t>
  </si>
  <si>
    <t>https://uniasselvi01-my.sharepoint.com/personal/elienai_cesar_uniasselvi_com_br1/_layouts/15/Doc.aspx?sourcedoc=%7B2CF53EBF-04E3-4D89-BC9E-601D0C8D3FFA%7D&amp;file=Aula%20de%20suporte%20basico%20de%20vida%20%20dia%2004%20Uniass_Laurilene%20Mota.docx&amp;action=default&amp;mobileredirect=true</t>
  </si>
  <si>
    <t>https://uniasselvi01-my.sharepoint.com/personal/elienai_cesar_uniasselvi_com_br1/Documents/Aplicativos/Microsoft%20Forms/Question%C3%A1rio%20sem%20t%C3%ADtulo/Envio%20da%20Lista%20de%20Presen%C3%A7a/WhatsApp%20Image%202026-04-14%20at%2017.58.59_Laurilene%20Mota%202.jpeg</t>
  </si>
  <si>
    <t>https://uniasselvi01-my.sharepoint.com/personal/elienai_cesar_uniasselvi_com_br1/_layouts/15/Doc.aspx?sourcedoc=%7B7C72696F-F1D2-43CD-9881-48D50B34B307%7D&amp;file=escala%20goma%20%20de%20glasgw_Laurilene%20Mota.docx&amp;action=default&amp;mobileredirect=true</t>
  </si>
  <si>
    <t>Laser e LED;Ultrassom Terapêutico (UST)</t>
  </si>
  <si>
    <t>https://uniasselvi01-my.sharepoint.com/personal/elienai_cesar_uniasselvi_com_br1/Documents/Aplicativos/Microsoft%20Forms/Question%C3%A1rio%20sem%20t%C3%ADtulo/Envio%20da%20Lista%20de%20Presen%C3%A7a%201/IMG_3150_Lorrine%20Silva.jpeg</t>
  </si>
  <si>
    <t>https://uniasselvi01-my.sharepoint.com/personal/elienai_cesar_uniasselvi_com_br1/Documents/Aplicativos/Microsoft%20Forms/Question%C3%A1rio%20sem%20t%C3%ADtulo/Envio%20do%20Portf%C3%B3lio%20em%20PDF%201/Eletroterapia_Lorrine%20Silva.pdf</t>
  </si>
  <si>
    <t>https://uniasselvi01-my.sharepoint.com/personal/elienai_cesar_uniasselvi_com_br1/Documents/Aplicativos/Microsoft%20Forms/Question%C3%A1rio%20sem%20t%C3%ADtulo/Envio%20da%20Lista%20de%20Presen%C3%A7a%203/20260416_081539_Silvestre%20Assumpcao.PDF</t>
  </si>
  <si>
    <t>https://uniasselvi01-my.sharepoint.com/personal/elienai_cesar_uniasselvi_com_br1/Documents/Aplicativos/Microsoft%20Forms/Question%C3%A1rio%20sem%20t%C3%ADtulo/Envio%20do%20Portf%C3%B3lio%20em%20PDF%203/Screenshot_20260416_081952_Gallery_Silvestre%20Assumpcao.PDF; https://uniasselvi01-my.sharepoint.com/personal/elienai_cesar_uniasselvi_com_br1/Documents/Aplicativos/Microsoft%20Forms/Question%C3%A1rio%20sem%20t%C3%ADtulo/Envio%20do%20Portf%C3%B3lio%20em%20PDF%203/20260413_183709_Silvestre%20Assumpcao.PDF</t>
  </si>
  <si>
    <t>lua.costa@tutorpratica.uniasselvi.com.br</t>
  </si>
  <si>
    <t>Lua Costa</t>
  </si>
  <si>
    <t>https://uniasselvi01-my.sharepoint.com/personal/elienai_cesar_uniasselvi_com_br1/Documents/Aplicativos/Microsoft%20Forms/Question%C3%A1rio%20sem%20t%C3%ADtulo/Envio%20da%20Lista%20de%20Presen%C3%A7a%202/UNIASSELVI_Lua%20Costa.pdf</t>
  </si>
  <si>
    <t>https://uniasselvi01-my.sharepoint.com/personal/elienai_cesar_uniasselvi_com_br1/Documents/Aplicativos/Microsoft%20Forms/Question%C3%A1rio%20sem%20t%C3%ADtulo/Envio%20do%20Portf%C3%B3lio%20em%20PDF%202/18.02%20Avalia%C3%A7%C3%A3o%20nutricional%20de%20gestante%20I%20Ant_Lua%20Costa.pdf</t>
  </si>
  <si>
    <t>https://uniasselvi01-my.sharepoint.com/personal/elienai_cesar_uniasselvi_com_br1/Documents/Aplicativos/Microsoft%20Forms/Question%C3%A1rio%20sem%20t%C3%ADtulo/Envio%20da%20Lista%20de%20Presen%C3%A7a%202/UNIASSELVI%20(1)_Lua%20Costa.pdf</t>
  </si>
  <si>
    <t>https://uniasselvi01-my.sharepoint.com/personal/elienai_cesar_uniasselvi_com_br1/Documents/Aplicativos/Microsoft%20Forms/Question%C3%A1rio%20sem%20t%C3%ADtulo/Envio%20do%20Portf%C3%B3lio%20em%20PDF%202/18.02%20Avalia%C3%A7%C3%A3o%20nutricional%20de%20gestante%20II%20An_Lua%20Costa.pdf</t>
  </si>
  <si>
    <t>https://uniasselvi01-my.sharepoint.com/personal/elienai_cesar_uniasselvi_com_br1/Documents/Aplicativos/Microsoft%20Forms/Question%C3%A1rio%20sem%20t%C3%ADtulo/Envio%20da%20Lista%20de%20Presen%C3%A7a%202/UNIASSELVI%20(2)_Lua%20Costa.pdf</t>
  </si>
  <si>
    <t>https://uniasselvi01-my.sharepoint.com/personal/elienai_cesar_uniasselvi_com_br1/Documents/Aplicativos/Microsoft%20Forms/Question%C3%A1rio%20sem%20t%C3%ADtulo/Envio%20do%20Portf%C3%B3lio%20em%20PDF%202/25.02%20Avalia%C3%A7%C3%A3o%20nutricional%20de%20gestante%20I%20Ant_Lua%20Costa.pdf</t>
  </si>
  <si>
    <t>https://uniasselvi01-my.sharepoint.com/personal/elienai_cesar_uniasselvi_com_br1/Documents/Aplicativos/Microsoft%20Forms/Question%C3%A1rio%20sem%20t%C3%ADtulo/Envio%20da%20Lista%20de%20Presen%C3%A7a%202/UNIASSELVI%20(3)_Lua%20Costa.pdf</t>
  </si>
  <si>
    <t>https://uniasselvi01-my.sharepoint.com/personal/elienai_cesar_uniasselvi_com_br1/Documents/Aplicativos/Microsoft%20Forms/Question%C3%A1rio%20sem%20t%C3%ADtulo/Envio%20do%20Portf%C3%B3lio%20em%20PDF%202/25.02%20Avalia%C3%A7%C3%A3o%20nutricional%20de%20gestante%20II%20An_Lua%20Costa.pdf</t>
  </si>
  <si>
    <t>https://uniasselvi01-my.sharepoint.com/personal/elienai_cesar_uniasselvi_com_br1/Documents/Aplicativos/Microsoft%20Forms/Question%C3%A1rio%20sem%20t%C3%ADtulo/Envio%20da%20Lista%20de%20Presen%C3%A7a%202/UNIASSELVI%20(4)_Lua%20Costa.pdf</t>
  </si>
  <si>
    <t>https://uniasselvi01-my.sharepoint.com/personal/elienai_cesar_uniasselvi_com_br1/Documents/Aplicativos/Microsoft%20Forms/Question%C3%A1rio%20sem%20t%C3%ADtulo/Envio%20do%20Portf%C3%B3lio%20em%20PDF%202/18.03%20Avalia%C3%A7%C3%A3o%20antropom%C3%A9trico%20de%20adulto%20e%20de_Lua%20Costa.pdf</t>
  </si>
  <si>
    <t>https://uniasselvi01-my.sharepoint.com/personal/elienai_cesar_uniasselvi_com_br1/Documents/Aplicativos/Microsoft%20Forms/Question%C3%A1rio%20sem%20t%C3%ADtulo/Envio%20da%20Lista%20de%20Presen%C3%A7a%202/UNLASSELVI_Lua%20Costa.pdf</t>
  </si>
  <si>
    <t>https://uniasselvi01-my.sharepoint.com/personal/elienai_cesar_uniasselvi_com_br1/Documents/Aplicativos/Microsoft%20Forms/Question%C3%A1rio%20sem%20t%C3%ADtulo/Envio%20do%20Portf%C3%B3lio%20em%20PDF%202/18.03%20Anamnese%20nutricional%20do%20adulto%20e%20Diagn%C3%B3_Lua%20Costa.pdf</t>
  </si>
  <si>
    <t>https://uniasselvi01-my.sharepoint.com/personal/elienai_cesar_uniasselvi_com_br1/Documents/Aplicativos/Microsoft%20Forms/Question%C3%A1rio%20sem%20t%C3%ADtulo/Envio%20da%20Lista%20de%20Presen%C3%A7a%202/SOCIEDADE%20EDUCACIONAL%20LEONARDO%20DA%20VINCI%20SS%20LT_Lua%20Costa.pdf</t>
  </si>
  <si>
    <t>https://uniasselvi01-my.sharepoint.com/personal/elienai_cesar_uniasselvi_com_br1/Documents/Aplicativos/Microsoft%20Forms/Question%C3%A1rio%20sem%20t%C3%ADtulo/Envio%20do%20Portf%C3%B3lio%20em%20PDF%202/18.03%20Avalia%C3%A7%C3%A3o%20antropom%C3%A9trico%20de%20adulto%20e%20de_Lua%20Costa%201.pdf</t>
  </si>
  <si>
    <t>https://uniasselvi01-my.sharepoint.com/personal/elienai_cesar_uniasselvi_com_br1/Documents/Aplicativos/Microsoft%20Forms/Question%C3%A1rio%20sem%20t%C3%ADtulo/Envio%20da%20Lista%20de%20Presen%C3%A7a%202/UNIASSELVI%20(5)_Lua%20Costa.pdf</t>
  </si>
  <si>
    <t>https://uniasselvi01-my.sharepoint.com/personal/elienai_cesar_uniasselvi_com_br1/Documents/Aplicativos/Microsoft%20Forms/Question%C3%A1rio%20sem%20t%C3%ADtulo/Envio%20do%20Portf%C3%B3lio%20em%20PDF%202/25.03%20Anamnese%20nutricional%20do%20adulto%20e%20Diagn%C3%B3_Lua%20Costa.pdf</t>
  </si>
  <si>
    <t>https://uniasselvi01-my.sharepoint.com/personal/elienai_cesar_uniasselvi_com_br1/Documents/Aplicativos/Microsoft%20Forms/Question%C3%A1rio%20sem%20t%C3%ADtulo/Envio%20da%20Lista%20de%20Presen%C3%A7a%202/SOCIEDADE%20EDUCACIONAL%20LEONARDO%20DA%20VINCI%20SS%20LT_Lua%20Costa%201.pdf</t>
  </si>
  <si>
    <t>https://uniasselvi01-my.sharepoint.com/personal/elienai_cesar_uniasselvi_com_br1/Documents/Aplicativos/Microsoft%20Forms/Question%C3%A1rio%20sem%20t%C3%ADtulo/Envio%20do%20Portf%C3%B3lio%20em%20PDF%202/25.03%20Avalia%C3%A7%C3%A3o%20antropom%C3%A9trico%20de%20adulto%20e%20de_Lua%20Costa.pdf</t>
  </si>
  <si>
    <t>https://uniasselvi01-my.sharepoint.com/personal/elienai_cesar_uniasselvi_com_br1/Documents/Aplicativos/Microsoft%20Forms/Question%C3%A1rio%20sem%20t%C3%ADtulo/Envio%20da%20Lista%20de%20Presen%C3%A7a%202/SOCIEDADE%20EDUCACIONAL%20LEONARDO%20DA%20VINCI%20SS%20LT_Lua%20Costa%202.pdf</t>
  </si>
  <si>
    <t>https://uniasselvi01-my.sharepoint.com/personal/elienai_cesar_uniasselvi_com_br1/Documents/Aplicativos/Microsoft%20Forms/Question%C3%A1rio%20sem%20t%C3%ADtulo/Envio%20do%20Portf%C3%B3lio%20em%20PDF%202/08.04%20Avalia%C3%A7%C3%A3o%20nutricional%20de%20atleta%20e%20despo_Lua%20Costa.pdf</t>
  </si>
  <si>
    <t>https://uniasselvi01-my.sharepoint.com/personal/elienai_cesar_uniasselvi_com_br1/Documents/Aplicativos/Microsoft%20Forms/Question%C3%A1rio%20sem%20t%C3%ADtulo/Envio%20da%20Lista%20de%20Presen%C3%A7a%202/UNIASSELVI%20(6)_Lua%20Costa.pdf</t>
  </si>
  <si>
    <t>https://uniasselvi01-my.sharepoint.com/personal/elienai_cesar_uniasselvi_com_br1/Documents/Aplicativos/Microsoft%20Forms/Question%C3%A1rio%20sem%20t%C3%ADtulo/Envio%20do%20Portf%C3%B3lio%20em%20PDF%202/08.04%20Avalia%C3%A7%C3%A3o%20nutricional%20de%20atleta%20e%20despo_Lua%20Costa%201.pdf</t>
  </si>
  <si>
    <t>https://uniasselvi01-my.sharepoint.com/personal/elienai_cesar_uniasselvi_com_br1/Documents/Aplicativos/Microsoft%20Forms/Question%C3%A1rio%20sem%20t%C3%ADtulo/Envio%20da%20Lista%20de%20Presen%C3%A7a/WhatsApp%20Image%202026-04-16%20at%2012.12.29_Aline%20Costa.jpeg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</si>
  <si>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20-%20agendamen_Aline%20Costa%205.pdf</t>
  </si>
  <si>
    <t>https://uniasselvi01-my.sharepoint.com/personal/elienai_cesar_uniasselvi_com_br1/Documents/Aplicativos/Microsoft%20Forms/Question%C3%A1rio%20sem%20t%C3%ADtulo/Envio%20da%20Lista%20de%20Presen%C3%A7a/WhatsApp%20Image%202026-04-16%20at%2012.12.29%20(1)_Aline%20Costa.jpeg</t>
  </si>
  <si>
    <t>https://uniasselvi01-my.sharepoint.com/personal/elienai_cesar_uniasselvi_com_br1/Documents/Aplicativos/Microsoft%20Forms/Question%C3%A1rio%20sem%20t%C3%ADtulo/Envio%20do%20Portf%C3%B3lio%20em%20PDF/Portf%C3%B3lio%20das%20Atividades%20Pr%C3%A1ticas%20-%20agendamen_Aline%20Costa%206.pdf</t>
  </si>
  <si>
    <t>https://uniasselvi01-my.sharepoint.com/personal/elienai_cesar_uniasselvi_com_br1/Documents/Aplicativos/Microsoft%20Forms/Question%C3%A1rio%20sem%20t%C3%ADtulo/Envio%20da%20Lista%20de%20Presen%C3%A7a%201/WhatsApp%20Image%202026-04-16%20at%2014.39.08_Clara%20Oliveira.jpeg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</si>
  <si>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,%2001.04_Clara%20Oliveira.pdf</t>
  </si>
  <si>
    <t>https://uniasselvi01-my.sharepoint.com/personal/elienai_cesar_uniasselvi_com_br1/Documents/Aplicativos/Microsoft%20Forms/Question%C3%A1rio%20sem%20t%C3%ADtulo/Envio%20da%20Lista%20de%20Presen%C3%A7a%201/WhatsApp%20Image%202026-04-16%20at%2014.39.08_Clara%20Oliveira%201.jpeg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</si>
  <si>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,%2001.04_Clara%20Oliveira%201.pdf</t>
  </si>
  <si>
    <t>https://uniasselvi01-my.sharepoint.com/personal/elienai_cesar_uniasselvi_com_br1/Documents/Aplicativos/Microsoft%20Forms/Question%C3%A1rio%20sem%20t%C3%ADtulo/Envio%20da%20Lista%20de%20Presen%C3%A7a%201/WhatsApp%20Image%202026-04-16%20at%2014.48.09_Clara%20Oliveira.jpeg; https://uniasselvi01-my.sharepoint.com/personal/elienai_cesar_uniasselvi_com_br1/Documents/Aplicativos/Microsoft%20Forms/Question%C3%A1rio%20sem%20t%C3%ADtulo/Envio%20da%20Lista%20de%20Presen%C3%A7a%201/WhatsApp%20Image%202026-04-16%20at%2014.48.10_Clara%20Oliveira.jpeg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</si>
  <si>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,%2008.04_Clara%20Oliveira.pdf</t>
  </si>
  <si>
    <t>https://uniasselvi01-my.sharepoint.com/personal/elienai_cesar_uniasselvi_com_br1/Documents/Aplicativos/Microsoft%20Forms/Question%C3%A1rio%20sem%20t%C3%ADtulo/Envio%20da%20Lista%20de%20Presen%C3%A7a%201/WhatsApp%20Image%202026-04-16%20at%2014.48.09_Clara%20Oliveira%201.jpeg; https://uniasselvi01-my.sharepoint.com/personal/elienai_cesar_uniasselvi_com_br1/Documents/Aplicativos/Microsoft%20Forms/Question%C3%A1rio%20sem%20t%C3%ADtulo/Envio%20da%20Lista%20de%20Presen%C3%A7a%201/WhatsApp%20Image%202026-04-16%20at%2014.48.10_Clara%20Oliveira%201.jpeg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</si>
  <si>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,%2008.04_Clara%20Oliveira%201.pdf</t>
  </si>
  <si>
    <t>Fundamentos e Aplicações Clínicas da Eletroterapia: Prática em Eletrotermofototerapia</t>
  </si>
  <si>
    <t>https://uniasselvi01-my.sharepoint.com/personal/elienai_cesar_uniasselvi_com_br1/Documents/Aplicativos/Microsoft%20Forms/Question%C3%A1rio%20sem%20t%C3%ADtulo/Envio%20da%20Lista%20de%20Presen%C3%A7a%201/WhatsApp%20Image%202026-04-16%20at%2015.04.10_Clara%20Oliveira.jpeg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</si>
  <si>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,%2015.04_Clara%20Oliveira.pdf</t>
  </si>
  <si>
    <t>Laser e LED</t>
  </si>
  <si>
    <t>https://uniasselvi01-my.sharepoint.com/personal/elienai_cesar_uniasselvi_com_br1/Documents/Aplicativos/Microsoft%20Forms/Question%C3%A1rio%20sem%20t%C3%ADtulo/Envio%20da%20Lista%20de%20Presen%C3%A7a%201/WhatsApp%20Image%202026-04-16%20at%2015.04.10_Clara%20Oliveira%201.jpeg</t>
  </si>
  <si>
    <t>https://uniasselvi01-my.sharepoint.com/personal/elienai_cesar_uniasselvi_com_br1/Documents/Aplicativos/Microsoft%20Forms/Question%C3%A1rio%20sem%20t%C3%ADtulo/Envio%20do%20Portf%C3%B3lio%20em%20PDF%201/Portfo%CC%81lio%20das%20Atividades%20Pra%CC%81ticas,%2015.04_Clara%20Oliveira%201.pdf</t>
  </si>
  <si>
    <t>https://uniasselvi01-my.sharepoint.com/personal/elienai_cesar_uniasselvi_com_br1/Documents/Aplicativos/Microsoft%20Forms/Question%C3%A1rio%20sem%20t%C3%ADtulo/Envio%20da%20Lista%20de%20Presen%C3%A7a/IMG-20260412-WA0011_Romulo%20Pinto.jpg</t>
  </si>
  <si>
    <t>https://uniasselvi01-my.sharepoint.com/personal/elienai_cesar_uniasselvi_com_br1/Documents/Aplicativos/Microsoft%20Forms/Question%C3%A1rio%20sem%20t%C3%ADtulo/Envio%20do%20Portf%C3%B3lio%20em%20PDF/05%20-%20Tutor%20-%20Portf%C3%B3lio%20das%20Atividades%20Pr%C3%A1tica_Romulo%20Pinto.pdf</t>
  </si>
  <si>
    <t>https://uniasselvi01-my.sharepoint.com/personal/elienai_cesar_uniasselvi_com_br1/Documents/Aplicativos/Microsoft%20Forms/Question%C3%A1rio%20sem%20t%C3%ADtulo/Envio%20da%20Lista%20de%20Presen%C3%A7a%201/Lista%20de%20Presen%C3%A7a%2031.03_Priscila%20Alves.pdf</t>
  </si>
  <si>
    <t>https://uniasselvi01-my.sharepoint.com/personal/elienai_cesar_uniasselvi_com_br1/Documents/Aplicativos/Microsoft%20Forms/Question%C3%A1rio%20sem%20t%C3%ADtulo/Envio%20do%20Portf%C3%B3lio%20em%20PDF%201/Tutor%20-%20Portf%C3%B3lio%2031.03_Priscila%20Alves.pdf</t>
  </si>
  <si>
    <t>https://uniasselvi01-my.sharepoint.com/personal/elienai_cesar_uniasselvi_com_br1/Documents/Aplicativos/Microsoft%20Forms/Question%C3%A1rio%20sem%20t%C3%ADtulo/Envio%20da%20Lista%20de%20Presen%C3%A7a%201/Lista%20de%20Presen%C3%A7a%2024.03_Priscila%20Alves.pdf</t>
  </si>
  <si>
    <t>https://uniasselvi01-my.sharepoint.com/personal/elienai_cesar_uniasselvi_com_br1/Documents/Aplicativos/Microsoft%20Forms/Question%C3%A1rio%20sem%20t%C3%ADtulo/Envio%20do%20Portf%C3%B3lio%20em%20PDF%201/Tutor%20-%20Portf%C3%B3lio%2024.03_Priscila%20Alves.pdf</t>
  </si>
  <si>
    <t>Análise à fresco (exame direto) de fungos dermatófitos e leveduras;Preparo de meio de cultura I</t>
  </si>
  <si>
    <t>https://uniasselvi01-my.sharepoint.com/personal/elienai_cesar_uniasselvi_com_br1/Documents/Aplicativos/Microsoft%20Forms/Question%C3%A1rio%20sem%20t%C3%ADtulo/Pergunta/IMG_20260416_204839_Andre%20Oliveira.jpg</t>
  </si>
  <si>
    <t>https://uniasselvi01-my.sharepoint.com/personal/elienai_cesar_uniasselvi_com_br1/Documents/Aplicativos/Microsoft%20Forms/Question%C3%A1rio%20sem%20t%C3%ADtulo/Pergunta%201/Tutor%20-%20Portf%C3%B3lio%20das%20Atividades%20Pr%C3%A1ticas%20(1)_Andre%20Oliveira.pdf</t>
  </si>
  <si>
    <t>https://uniasselvi01-my.sharepoint.com/personal/elienai_cesar_uniasselvi_com_br1/Documents/Aplicativos/Microsoft%20Forms/Question%C3%A1rio%20sem%20t%C3%ADtulo/Envio%20da%20Lista%20de%20Presen%C3%A7a/WhatsApp%20Image%202026-04-16%20at%2020.49.51_Conceicao%20Delphino.jpeg</t>
  </si>
  <si>
    <t>https://uniasselvi01-my.sharepoint.com/personal/elienai_cesar_uniasselvi_com_br1/Documents/Aplicativos/Microsoft%20Forms/Question%C3%A1rio%20sem%20t%C3%ADtulo/Envio%20do%20Portf%C3%B3lio%20em%20PDF/WhatsApp%20Image%202026-04-16%20at%2020.30.28_Conceicao%20Delphino.jpeg; https://uniasselvi01-my.sharepoint.com/personal/elienai_cesar_uniasselvi_com_br1/Documents/Aplicativos/Microsoft%20Forms/Question%C3%A1rio%20sem%20t%C3%ADtulo/Envio%20do%20Portf%C3%B3lio%20em%20PDF/WhatsApp%20Image%202026-04-16%20at%2020.30.12_Conceicao%20Delphino.jpeg; https://uniasselvi01-my.sharepoint.com/personal/elienai_cesar_uniasselvi_com_br1/Documents/Aplicativos/Microsoft%20Forms/Question%C3%A1rio%20sem%20t%C3%ADtulo/Envio%20do%20Portf%C3%B3lio%20em%20PDF/WhatsApp%20Image%202026-04-16%20at%2020.49.48_Conceicao%20Delphino.jpeg; https://uniasselvi01-my.sharepoint.com/personal/elienai_cesar_uniasselvi_com_br1/Documents/Aplicativos/Microsoft%20Forms/Question%C3%A1rio%20sem%20t%C3%ADtulo/Envio%20do%20Portf%C3%B3lio%20em%20PDF/WhatsApp%20Image%202026-04-16%20at%2020.49.48%20(1)_Conceicao%20Delphino.jpeg; https://uniasselvi01-my.sharepoint.com/personal/elienai_cesar_uniasselvi_com_br1/Documents/Aplicativos/Microsoft%20Forms/Question%C3%A1rio%20sem%20t%C3%ADtulo/Envio%20do%20Portf%C3%B3lio%20em%20PDF/Portf%C3%B3lio%20das%20Atividades%20Pr%C3%A1ticas%20Uniasselvi_Conceicao%20Delphino%206.pdf</t>
  </si>
  <si>
    <t>emerson.farias@tutorpratica.uniasselvi.com.br</t>
  </si>
  <si>
    <t>Emerson Farias</t>
  </si>
  <si>
    <t>Arapiraca/AL</t>
  </si>
  <si>
    <t>https://uniasselvi01-my.sharepoint.com/personal/elienai_cesar_uniasselvi_com_br1/Documents/Aplicativos/Microsoft%20Forms/Question%C3%A1rio%20sem%20t%C3%ADtulo/Envio%20da%20Lista%20de%20Presen%C3%A7a%205/Lista%20de%20presen%C3%A7a%20-%20prop%20de%20plantas_Emerson%20Farias.pdf</t>
  </si>
  <si>
    <t>https://uniasselvi01-my.sharepoint.com/personal/elienai_cesar_uniasselvi_com_br1/_layouts/15/Doc.aspx?sourcedoc=%7BAE5300E1-DD28-48BB-8691-88BEBDBAE476%7D&amp;file=Portf%C3%B3lio%20da%20Atividade%20Pr%C3%A1tica%20de%20Propaga%C3%A7%C3%A3o_Emerson%20Farias.docx&amp;action=default&amp;mobileredirect=true</t>
  </si>
  <si>
    <t>Maquete Física Volumétrica (Parte 2);Assessoramento no desenvolvimento da perspectiva arquitetônica (Parte 2)</t>
  </si>
  <si>
    <t>https://uniasselvi01-my.sharepoint.com/personal/elienai_cesar_uniasselvi_com_br1/Documents/Aplicativos/Microsoft%20Forms/Question%C3%A1rio%20sem%20t%C3%ADtulo/Envio%20da%20Lista%20de%20Presen%C3%A7a%204/lista%20de%20presen%C3%A7a%20-%20maquete%202%20-%2016-04-2026_Gilnei%20Dias.pdf; https://uniasselvi01-my.sharepoint.com/personal/elienai_cesar_uniasselvi_com_br1/Documents/Aplicativos/Microsoft%20Forms/Question%C3%A1rio%20sem%20t%C3%ADtulo/Envio%20da%20Lista%20de%20Presen%C3%A7a%204/lista%20de%20presen%C3%A7a%20-%20perspectiva%202%20-%2016-04-202_Gilnei%20Dias.pdf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</si>
  <si>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%20-%20m_Gilnei%20Dias%201.pdf; https://uniasselvi01-my.sharepoint.com/personal/elienai_cesar_uniasselvi_com_br1/Documents/Aplicativos/Microsoft%20Forms/Question%C3%A1rio%20sem%20t%C3%ADtulo/Envio%20do%20Portf%C3%B3lio%20em%20PDF%204/Tutor%20-%20Portf%C3%B3lio%20das%20Atividades%20Pr%C3%A1ticas%20-%20p_Gilnei%20Dias%202.pdf</t>
  </si>
  <si>
    <t>https://uniasselvi01-my.sharepoint.com/personal/elienai_cesar_uniasselvi_com_br1/Documents/Aplicativos/Microsoft%20Forms/Question%C3%A1rio%20sem%20t%C3%ADtulo/Envio%20da%20Lista%20de%20Presen%C3%A7a%201/Lista%20de%20Presen%C3%A7a%2017.03_Priscila%20Alves.pdf</t>
  </si>
  <si>
    <t>https://uniasselvi01-my.sharepoint.com/personal/elienai_cesar_uniasselvi_com_br1/_layouts/15/Doc.aspx?sourcedoc=%7B9ED054CB-361D-44F9-A4AE-6FAEA6F04534%7D&amp;file=Tutor%20-%20Portf%C3%B3lio%2017_Priscila%20Alves.docx&amp;action=default&amp;mobileredirect=true</t>
  </si>
  <si>
    <t>https://uniasselvi01-my.sharepoint.com/personal/elienai_cesar_uniasselvi_com_br1/Documents/Aplicativos/Microsoft%20Forms/Question%C3%A1rio%20sem%20t%C3%ADtulo/Envio%20da%20Lista%20de%20Presen%C3%A7a%202/IMG_20260416_194201_Laura%20Volpato.jpg</t>
  </si>
  <si>
    <t>https://uniasselvi01-my.sharepoint.com/personal/elienai_cesar_uniasselvi_com_br1/Documents/Aplicativos/Microsoft%20Forms/Question%C3%A1rio%20sem%20t%C3%ADtulo/Envio%20do%20Portf%C3%B3lio%20em%20PDF%202/17%20Portf%C3%B3lio%20das%20Atividades%20Pr%C3%A1ticas.docx_Laura%20Volpato.pdf</t>
  </si>
  <si>
    <t>https://uniasselvi01-my.sharepoint.com/personal/elienai_cesar_uniasselvi_com_br1/Documents/Aplicativos/Microsoft%20Forms/Question%C3%A1rio%20sem%20t%C3%ADtulo/Envio%20da%20Lista%20de%20Presen%C3%A7a%202/IMG_20260416_194204_Laura%20Volpato.jpg</t>
  </si>
  <si>
    <t>https://uniasselvi01-my.sharepoint.com/personal/elienai_cesar_uniasselvi_com_br1/Documents/Aplicativos/Microsoft%20Forms/Question%C3%A1rio%20sem%20t%C3%ADtulo/Envio%20do%20Portf%C3%B3lio%20em%20PDF%202/18%20Portf%C3%B3lio%20das%20Atividades%20Pr%C3%A1ticas.docx_Laura%20Volpato.pdf</t>
  </si>
  <si>
    <t>https://uniasselvi01-my.sharepoint.com/personal/elienai_cesar_uniasselvi_com_br1/Documents/Aplicativos/Microsoft%20Forms/Question%C3%A1rio%20sem%20t%C3%ADtulo/Envio%20da%20Lista%20de%20Presen%C3%A7a%201/IMG_9347_Beatriz%20Henkels.jpeg</t>
  </si>
  <si>
    <t>https://uniasselvi01-my.sharepoint.com/personal/elienai_cesar_uniasselvi_com_br1/Documents/Aplicativos/Microsoft%20Forms/Question%C3%A1rio%20sem%20t%C3%ADtulo/Envio%20do%20Portf%C3%B3lio%20em%20PDF%201/Tutor%20-%20Portfo%CC%81lio%20das%20Atividades%20Pra%CC%81ticas_Beatriz%20Henkels.pdf</t>
  </si>
  <si>
    <t>https://uniasselvi01-my.sharepoint.com/personal/elienai_cesar_uniasselvi_com_br1/_layouts/15/Doc.aspx?sourcedoc=%7B2803971F-860D-48B7-9BCA-3583D741A586%7D&amp;file=MODELO_Lista%20de%20Presen%C3%A7a%20das%20Pr%C3%A1ticas%2013.04.2_Quezia%20Silva.docx&amp;action=default&amp;mobileredirect=true</t>
  </si>
  <si>
    <t>https://uniasselvi01-my.sharepoint.com/personal/elienai_cesar_uniasselvi_com_br1/_layouts/15/Doc.aspx?sourcedoc=%7B14C71A59-FE6C-4669-84FC-834EE7FE7327%7D&amp;file=Portf%C3%B3lio%20disciplina%20de%20Assist%C3%AAncia%20de%20Enferm_Quezia%20Silva.docx&amp;action=default&amp;mobileredirect=true</t>
  </si>
  <si>
    <t>https://uniasselvi01-my.sharepoint.com/personal/elienai_cesar_uniasselvi_com_br1/_layouts/15/Doc.aspx?sourcedoc=%7B77F1883F-CEB5-460F-956B-AA5A6A3E541C%7D&amp;file=MODELO_Lista%20de%20Presen%C3%A7a%20das%20Pr%C3%A1ticas%2013.04.2_Quezia%20Silva%201.docx&amp;action=default&amp;mobileredirect=true</t>
  </si>
  <si>
    <t>https://uniasselvi01-my.sharepoint.com/personal/elienai_cesar_uniasselvi_com_br1/_layouts/15/Doc.aspx?sourcedoc=%7B70561CD6-550C-4A19-A668-EAE40C4B29CE%7D&amp;file=Sonda%20vesical%20de%20demora%20sonda%20vesical%20de%20al%C3%ADv_Quezia%20Silva.docx&amp;action=default&amp;mobileredirect=true</t>
  </si>
  <si>
    <t>Abordagens Fisioterapêuticas no Desenvolvimento Neuropsicomotor;Avaliação Motora e Estratégias de Reabilitação em Crianças com Paralisia Cerebral e Síndrome de Down</t>
  </si>
  <si>
    <t>https://uniasselvi01-my.sharepoint.com/personal/elienai_cesar_uniasselvi_com_br1/_layouts/15/Doc.aspx?sourcedoc=%7BC1EF44D5-E141-4F22-A583-BD845E4E22BC%7D&amp;file=Lista%20de%20presen%C3%A7a%20%20Fisio%20sa%C3%BAde%20da%20crian%C3%A7a_Vanessa%20Varjao.docx&amp;action=default&amp;mobileredirect=true</t>
  </si>
  <si>
    <t>https://uniasselvi01-my.sharepoint.com/personal/elienai_cesar_uniasselvi_com_br1/_layouts/15/Doc.aspx?sourcedoc=%7B20DE91FE-6540-4A6E-B1A3-C768C4D55BA6%7D&amp;file=Fisioterapia%20na%20Sa%C3%BAde%20da%20crian%C3%A7a%20Portf%C3%B3lio_Vanessa%20Varjao.docx&amp;action=default&amp;mobileredirect=true</t>
  </si>
  <si>
    <t>https://uniasselvi01-my.sharepoint.com/personal/elienai_cesar_uniasselvi_com_br1/_layouts/15/Doc.aspx?sourcedoc=%7B01E3A6D4-D246-479A-9084-51C24DAA6159%7D&amp;file=fc_Quezia%20Silva.docx&amp;action=default&amp;mobileredirect=true</t>
  </si>
  <si>
    <t>https://uniasselvi01-my.sharepoint.com/personal/elienai_cesar_uniasselvi_com_br1/_layouts/15/Doc.aspx?sourcedoc=%7B0BDECB52-13AB-447B-AD59-33EBADE55095%7D&amp;file=Tutor%20-%20Portf%C3%B3lio%20das%20Atividades%20Pr%C3%A1ticas%2002_Quezia%20Silva.docx&amp;action=default&amp;mobileredirect=true</t>
  </si>
  <si>
    <t>Saúde da mulher reprodutiva + Realização do exame de Papanicolau</t>
  </si>
  <si>
    <t>https://uniasselvi01-my.sharepoint.com/personal/elienai_cesar_uniasselvi_com_br1/_layouts/15/Doc.aspx?sourcedoc=%7B4F21FB29-FB7E-44F3-8BE1-81950DD98A9F%7D&amp;file=fc_Quezia%20Silva%201.docx&amp;action=default&amp;mobileredirect=true</t>
  </si>
  <si>
    <t>https://uniasselvi01-my.sharepoint.com/personal/elienai_cesar_uniasselvi_com_br1/_layouts/15/Doc.aspx?sourcedoc=%7BBFAC8704-8478-4ABC-9285-698B0FA02513%7D&amp;file=Tutor%20-%20Portf%C3%B3lio%20das%20Atividades%20Pr%C3%A1ticas%2003_Quezia%20Silva.docx&amp;action=default&amp;mobileredirect=true</t>
  </si>
  <si>
    <t>https://uniasselvi01-my.sharepoint.com/personal/elienai_cesar_uniasselvi_com_br1/_layouts/15/Doc.aspx?sourcedoc=%7BA34F5872-A626-4ED9-9A36-9EDF36523950%7D&amp;file=MODELO_Lista%20de%20Presen%C3%A7a%20das%20Pr%C3%A1ticas_Maria%20Meirelles.docx&amp;action=default&amp;mobileredirect=true</t>
  </si>
  <si>
    <t>https://uniasselvi01-my.sharepoint.com/personal/elienai_cesar_uniasselvi_com_br1/_layouts/15/Doc.aspx?sourcedoc=%7B268FED38-3B40-43DE-945F-58A0D6084D82%7D&amp;file=Tutor%20-%20Portf%C3%B3lio%20das%20Atividades%20Pr%C3%A1ticas_Maria%20Meirelles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</si>
  <si>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https://uniasselvi01-my.sharepoint.com/personal/elienai_cesar_uniasselvi_com_br1/Documents/Aplicativos/Microsoft%20Forms/Question%C3%A1rio%20sem%20t%C3%ADtulo/Envio%20da%20Lista%20de%20Presen%C3%A7a/lista%20de%20presenc%CC%A7a%20Saude%20do%20adulto_Maksllene%20Spessatto%201.pdf</t>
  </si>
  <si>
    <t>https://uniasselvi01-my.sharepoint.com/personal/elienai_cesar_uniasselvi_com_br1/Documents/Aplicativos/Microsoft%20Forms/Question%C3%A1rio%20sem%20t%C3%ADtulo/Envio%20do%20Portf%C3%B3lio%20em%20PDF/Portfolio%20(9)_Maksllene%20Spessatto.pdf</t>
  </si>
  <si>
    <t>priscila.sousa@tutorpratica.uniasselvi.com.br</t>
  </si>
  <si>
    <t>Priscila Sousa</t>
  </si>
  <si>
    <t>Barcelos/AM</t>
  </si>
  <si>
    <t>https://uniasselvi01-my.sharepoint.com/personal/elienai_cesar_uniasselvi_com_br1/Documents/Aplicativos/Microsoft%20Forms/Question%C3%A1rio%20sem%20t%C3%ADtulo/Envio%20da%20Lista%20de%20Presen%C3%A7a/LISTA%20DE%20PRESEN%C3%87A%20CURATIVO_Priscila%20Sousa.jpeg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</si>
  <si>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ORD_Priscila%20Sousa.pdf</t>
  </si>
  <si>
    <t>https://uniasselvi01-my.sharepoint.com/personal/elienai_cesar_uniasselvi_com_br1/Documents/Aplicativos/Microsoft%20Forms/Question%C3%A1rio%20sem%20t%C3%ADtulo/Envio%20da%20Lista%20de%20Presen%C3%A7a/LISTA%20DE%20PRESEN%C3%87A%20Avalia%C3%A7%C3%A3o%20corporal%20+%20Auscul_Priscila%20Sous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</si>
  <si>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ORD_Priscila%20Sousa%201.pdf</t>
  </si>
  <si>
    <t>https://uniasselvi01-my.sharepoint.com/personal/elienai_cesar_uniasselvi_com_br1/Documents/Aplicativos/Microsoft%20Forms/Question%C3%A1rio%20sem%20t%C3%ADtulo/Envio%20da%20Lista%20de%20Presen%C3%A7a/LISTA%20DE%20PRESEN%C3%87A%20Abordagem%20e%20cuidados%20de%20enf_Priscila%20Sous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</si>
  <si>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ORD_Priscila%20Sousa%202.pdf</t>
  </si>
  <si>
    <t>https://uniasselvi01-my.sharepoint.com/personal/elienai_cesar_uniasselvi_com_br1/Documents/Aplicativos/Microsoft%20Forms/Question%C3%A1rio%20sem%20t%C3%ADtulo/Envio%20da%20Lista%20de%20Presen%C3%A7a/LISTA%20DE%20PRESEN%C3%87A%20Triagem%20de%20paciente%20com%20tra_Priscila%20Sous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</si>
  <si>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ORD_Priscila%20Sousa%203.pdf</t>
  </si>
  <si>
    <t>https://uniasselvi01-my.sharepoint.com/personal/elienai_cesar_uniasselvi_com_br1/Documents/Aplicativos/Microsoft%20Forms/Question%C3%A1rio%20sem%20t%C3%ADtulo/Envio%20da%20Lista%20de%20Presen%C3%A7a%201/lista%20de%20frequ%C3%AAncia%2011.04.26%20brainstorm_Nayana%20Flexa.pdf</t>
  </si>
  <si>
    <t>https://uniasselvi01-my.sharepoint.com/personal/elienai_cesar_uniasselvi_com_br1/Documents/Aplicativos/Microsoft%20Forms/Question%C3%A1rio%20sem%20t%C3%ADtulo/Envio%20do%20Portf%C3%B3lio%20em%20PDF%201/Tutor%20terapia%20ocupacional%20LapAP%20-%20Portf%C3%B3lio%20d_Nayana%20Flexa.pdf</t>
  </si>
  <si>
    <t>https://uniasselvi01-my.sharepoint.com/personal/elienai_cesar_uniasselvi_com_br1/Documents/Aplicativos/Microsoft%20Forms/Question%C3%A1rio%20sem%20t%C3%ADtulo/Envio%20da%20Lista%20de%20Presen%C3%A7a%201/lista%20de%20frequ%C3%AAncia%2007.04.26%20brainstorm_Nayana%20Flexa.pdf</t>
  </si>
  <si>
    <t>https://uniasselvi01-my.sharepoint.com/personal/elienai_cesar_uniasselvi_com_br1/Documents/Aplicativos/Microsoft%20Forms/Question%C3%A1rio%20sem%20t%C3%ADtulo/Envio%20do%20Portf%C3%B3lio%20em%20PDF%201/Tutor%20terapia%20ocupacional%20LapAP%20-%20Portf%C3%B3lio%20d_Nayana%20Flexa%201.pdf</t>
  </si>
  <si>
    <t>https://uniasselvi01-my.sharepoint.com/personal/elienai_cesar_uniasselvi_com_br1/Documents/Aplicativos/Microsoft%20Forms/Question%C3%A1rio%20sem%20t%C3%ADtulo/Envio%20da%20Lista%20de%20Presen%C3%A7a%201/lista%20de%20frequ%C3%AAncia%2011.04.26%20treino%20de%20AVDs%20-_Nayana%20Flexa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</si>
  <si>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ov_Nayana%20Flexa.pdf</t>
  </si>
  <si>
    <t>https://uniasselvi01-my.sharepoint.com/personal/elienai_cesar_uniasselvi_com_br1/Documents/Aplicativos/Microsoft%20Forms/Question%C3%A1rio%20sem%20t%C3%ADtulo/Envio%20da%20Lista%20de%20Presen%C3%A7a%201/lista%20de%20frequ%C3%AAncia%2010.04.26%20treino%20AVDs%20memb_Nayana%20Flexa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</si>
  <si>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ov_Nayana%20Flexa%201.pdf</t>
  </si>
  <si>
    <t>https://uniasselvi01-my.sharepoint.com/personal/elienai_cesar_uniasselvi_com_br1/Documents/Aplicativos/Microsoft%20Forms/Question%C3%A1rio%20sem%20t%C3%ADtulo/Envio%20da%20Lista%20de%20Presen%C3%A7a%201/lista%20de%20frequ%C3%AAncia%20treino%20AVDs%20membro%20superi_Nayana%20Flexa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</si>
  <si>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ov_Nayana%20Flexa%202.pdf</t>
  </si>
  <si>
    <t>https://uniasselvi01-my.sharepoint.com/personal/elienai_cesar_uniasselvi_com_br1/Documents/Aplicativos/Microsoft%20Forms/Question%C3%A1rio%20sem%20t%C3%ADtulo/Envio%20da%20Lista%20de%20Presen%C3%A7a%201/lista%20de%20frequ%C3%AAncia%20treino%20AVDs%20membro%20superi_Nayana%20Flexa%201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</si>
  <si>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Mov_Nayana%20Flexa%203.pdf</t>
  </si>
  <si>
    <t>https://uniasselvi01-my.sharepoint.com/personal/elienai_cesar_uniasselvi_com_br1/_layouts/15/Doc.aspx?sourcedoc=%7BDB94E98C-A15D-47E5-8B88-011E4ADB2E35%7D&amp;file=MODELO_Lista%20de%20Presen%C3%A7a%20Assist%C3%AAncia%20de%20Enfer_Alina%20Silva.docx&amp;action=default&amp;mobileredirect=true</t>
  </si>
  <si>
    <t>https://uniasselvi01-my.sharepoint.com/personal/elienai_cesar_uniasselvi_com_br1/Documents/Aplicativos/Microsoft%20Forms/Question%C3%A1rio%20sem%20t%C3%ADtulo/Envio%20do%20Portf%C3%B3lio%20em%20PDF/relat%C3%B3rio%20Sa%C3%BAde%20da%20mulher%20reprodutiva%20+%20Reali_Alina%20Silva.pdf</t>
  </si>
  <si>
    <t>Saúde da mulher reprodutiva + Realização do exame de Papanicolau;Saúde da mulher no período gravídico-puerperal</t>
  </si>
  <si>
    <t>https://uniasselvi01-my.sharepoint.com/personal/elienai_cesar_uniasselvi_com_br1/Documents/Aplicativos/Microsoft%20Forms/Question%C3%A1rio%20sem%20t%C3%ADtulo/Envio%20da%20Lista%20de%20Presen%C3%A7a/20260418_103857_Daniela%20Madruga.jpg</t>
  </si>
  <si>
    <t>https://uniasselvi01-my.sharepoint.com/personal/elienai_cesar_uniasselvi_com_br1/_layouts/15/Doc.aspx?sourcedoc=%7B88399CFC-BC6A-4073-954B-9B273287225F%7D&amp;file=PR%C3%81TICA%20%20sa%C3%BAde%20da%20mulher_Daniela%20Madruga.docx&amp;action=default&amp;mobileredirect=true</t>
  </si>
  <si>
    <t>https://uniasselvi01-my.sharepoint.com/personal/elienai_cesar_uniasselvi_com_br1/Documents/Aplicativos/Microsoft%20Forms/Question%C3%A1rio%20sem%20t%C3%ADtulo/Envio%20da%20Lista%20de%20Presen%C3%A7a/FREQUENCIA%20BANHO%20NO%20LEITO_Ana%20Souza.jpeg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</si>
  <si>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ban_Ana%20Souza.pdf</t>
  </si>
  <si>
    <t>https://uniasselvi01-my.sharepoint.com/personal/elienai_cesar_uniasselvi_com_br1/Documents/Aplicativos/Microsoft%20Forms/Question%C3%A1rio%20sem%20t%C3%ADtulo/Envio%20da%20Lista%20de%20Presen%C3%A7a/FREQUENCIA%20PUN%C3%87%C3%83O%20VENOSA_Ana%20Souza.jpeg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</si>
  <si>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P_Ana%20Souza.pdf</t>
  </si>
  <si>
    <t>https://uniasselvi01-my.sharepoint.com/personal/elienai_cesar_uniasselvi_com_br1/Documents/Aplicativos/Microsoft%20Forms/Question%C3%A1rio%20sem%20t%C3%ADtulo/Envio%20da%20Lista%20de%20Presen%C3%A7a/Freque%CC%82ncia_Assist.%20Enfermagem%20a%20Sau%CC%81de%20Menta_Suzanne%20Lima.pdf</t>
  </si>
  <si>
    <t>https://uniasselvi01-my.sharepoint.com/personal/elienai_cesar_uniasselvi_com_br1/Documents/Aplicativos/Microsoft%20Forms/Question%C3%A1rio%20sem%20t%C3%ADtulo/Envio%20do%20Portf%C3%B3lio%20em%20PDF/Tutor%20-%20Assist%20Sa%C3%BAde%20Mental_%20Portf%C3%B3lio%20das%20At_Suzanne%20Lima.pdf</t>
  </si>
  <si>
    <t>https://uniasselvi01-my.sharepoint.com/personal/elienai_cesar_uniasselvi_com_br1/Documents/Aplicativos/Microsoft%20Forms/Question%C3%A1rio%20sem%20t%C3%ADtulo/Envio%20da%20Lista%20de%20Presen%C3%A7a/Freque%CC%82ncia_Assist.%20Enfermagem%20ao%20Rece%CC%81m-nasc_Suzanne%20Lima.pdf</t>
  </si>
  <si>
    <t>https://uniasselvi01-my.sharepoint.com/personal/elienai_cesar_uniasselvi_com_br1/Documents/Aplicativos/Microsoft%20Forms/Question%C3%A1rio%20sem%20t%C3%ADtulo/Envio%20do%20Portf%C3%B3lio%20em%20PDF/Tutor%20-%20Assist%20Sa%C3%BAde%20do%20Rec%C3%A9m%20Nascido%20e%20Lacte_Suzanne%20Lima.pdf</t>
  </si>
  <si>
    <t>https://uniasselvi01-my.sharepoint.com/personal/elienai_cesar_uniasselvi_com_br1/Documents/Aplicativos/Microsoft%20Forms/Question%C3%A1rio%20sem%20t%C3%ADtulo/Envio%20da%20Lista%20de%20Presen%C3%A7a/Freque%CC%82ncia_Assist.%20Enfermagem%20a%20Urge%CC%82ncia%20e_Suzanne%20Lima.pdf</t>
  </si>
  <si>
    <t>https://uniasselvi01-my.sharepoint.com/personal/elienai_cesar_uniasselvi_com_br1/Documents/Aplicativos/Microsoft%20Forms/Question%C3%A1rio%20sem%20t%C3%ADtulo/Envio%20do%20Portf%C3%B3lio%20em%20PDF/Tutor%20-%20Assist%20a%20Urg%C3%AAncia%20e%20Emerg%C3%AAnica_%20Portf_Suzanne%20Lima.pdf</t>
  </si>
  <si>
    <t>https://uniasselvi01-my.sharepoint.com/personal/elienai_cesar_uniasselvi_com_br1/Documents/Aplicativos/Microsoft%20Forms/Question%C3%A1rio%20sem%20t%C3%ADtulo/Envio%20da%20Lista%20de%20Presen%C3%A7a/Freque%CC%82ncia_Assist.%20Enfermagem%20Pacientes%20Onco_Suzanne%20Lima.pdf</t>
  </si>
  <si>
    <t>https://uniasselvi01-my.sharepoint.com/personal/elienai_cesar_uniasselvi_com_br1/Documents/Aplicativos/Microsoft%20Forms/Question%C3%A1rio%20sem%20t%C3%ADtulo/Envio%20do%20Portf%C3%B3lio%20em%20PDF/Tutor%20-%20Assist%20Pacientes%20Oncol%C3%B3gicos_%20Portf%C3%B3l_Suzanne%20Lima.pdf</t>
  </si>
  <si>
    <t>Introdução a Caligrafia Técnica dentro das normas da ABNT (NBR 6492). +  Introdução aos Primeiros Passos</t>
  </si>
  <si>
    <t>https://uniasselvi01-my.sharepoint.com/personal/elienai_cesar_uniasselvi_com_br1/Documents/Aplicativos/Microsoft%20Forms/Question%C3%A1rio%20sem%20t%C3%ADtulo/Envio%20da%20Lista%20de%20Presen%C3%A7a%205/Lista%20de%20presenca%20Desenho%20T%C3%A9cnico%2018042026_26_Vitor%20Pinheiro.pdf</t>
  </si>
  <si>
    <t>https://uniasselvi01-my.sharepoint.com/personal/elienai_cesar_uniasselvi_com_br1/Documents/Aplicativos/Microsoft%20Forms/Question%C3%A1rio%20sem%20t%C3%ADtulo/Envio%20do%20Portf%C3%B3lio%20em%20PDF%205/Portifolio%20de%20Praticas%20-%20Desenho%20Tecnico%20ORDE_Vitor%20Pinheiro.pdf</t>
  </si>
  <si>
    <t>Conceitos Básicos do Desenho Auxiliado por Computador (AutoCAD);Desenho Técnico no AutoCAD: Prática Essencial para Iniciantes.</t>
  </si>
  <si>
    <t>https://uniasselvi01-my.sharepoint.com/personal/elienai_cesar_uniasselvi_com_br1/Documents/Aplicativos/Microsoft%20Forms/Question%C3%A1rio%20sem%20t%C3%ADtulo/Envio%20da%20Lista%20de%20Presen%C3%A7a%204/IMG_20260418_214302492_HDR_Marcelly%20Santos.jpg</t>
  </si>
  <si>
    <t>https://uniasselvi01-my.sharepoint.com/personal/elienai_cesar_uniasselvi_com_br1/Documents/Aplicativos/Microsoft%20Forms/Question%C3%A1rio%20sem%20t%C3%ADtulo/Envio%20do%20Portf%C3%B3lio%20em%20PDF%204/Tutor%20MARCELLY%20MARINHO%20DOS%20SANTOS%20-%20Portf%C3%B3lio_Marcelly%20Santos%201.pdf</t>
  </si>
  <si>
    <t>https://uniasselvi01-my.sharepoint.com/personal/elienai_cesar_uniasselvi_com_br1/Documents/Aplicativos/Microsoft%20Forms/Question%C3%A1rio%20sem%20t%C3%ADtulo/Envio%20da%20Lista%20de%20Presen%C3%A7a%204/Tutor%20MARCELLY%20MARINHO%20DOS%20SANTOS%20-%20Portf%C3%B3lio_Marcelly%20Santos.pdf</t>
  </si>
  <si>
    <t>https://uniasselvi01-my.sharepoint.com/personal/elienai_cesar_uniasselvi_com_br1/Documents/Aplicativos/Microsoft%20Forms/Question%C3%A1rio%20sem%20t%C3%ADtulo/Envio%20do%20Portf%C3%B3lio%20em%20PDF%204/Tutor%20MARCELLY%20MARINHO%20DOS%20SANTOS%20-%20Portf%C3%B3lio_Marcelly%20Santos%202.pdf</t>
  </si>
  <si>
    <t>Assessoramento do perfil viário e detalhamento técnico de um lote (Parte 1);Maquete Física Volumétrica (Parte 1);Assessoramento no desenvolvimento da perspectiva arquitetônica (Parte 1)</t>
  </si>
  <si>
    <t>https://uniasselvi01-my.sharepoint.com/personal/elienai_cesar_uniasselvi_com_br1/Documents/Aplicativos/Microsoft%20Forms/Question%C3%A1rio%20sem%20t%C3%ADtulo/Envio%20da%20Lista%20de%20Presen%C3%A7a%204/IMG_20260418_214351845_HDR_Marcelly%20Santos.jpg</t>
  </si>
  <si>
    <t>https://uniasselvi01-my.sharepoint.com/personal/elienai_cesar_uniasselvi_com_br1/Documents/Aplicativos/Microsoft%20Forms/Question%C3%A1rio%20sem%20t%C3%ADtulo/Envio%20do%20Portf%C3%B3lio%20em%20PDF%204/Tutor%20MARCELLY%20MARINHO%20DOS%20SANTOS%20-%20Portf%C3%B3lio_Marcelly%20Santos%203.pdf</t>
  </si>
  <si>
    <t>Representações do Desenho Técnico + Cotas e Escalas;Introdução a Caligrafia Técnica dentro das normas da ABNT (NBR 6492). +  Introdução aos Primeiros Passos</t>
  </si>
  <si>
    <t>https://uniasselvi01-my.sharepoint.com/personal/elienai_cesar_uniasselvi_com_br1/Documents/Aplicativos/Microsoft%20Forms/Question%C3%A1rio%20sem%20t%C3%ADtulo/Envio%20da%20Lista%20de%20Presen%C3%A7a%204/LISTA%20DE%20PRESEN%C3%87A%20PRATICA%20DE%20DESENHO%20TECNICO_Marcelly%20Santos.pdf</t>
  </si>
  <si>
    <t>https://uniasselvi01-my.sharepoint.com/personal/elienai_cesar_uniasselvi_com_br1/Documents/Aplicativos/Microsoft%20Forms/Question%C3%A1rio%20sem%20t%C3%ADtulo/Envio%20do%20Portf%C3%B3lio%20em%20PDF%204/Tutor%20MARCELLY%20MARINHO%20DOS%20SANTOS%20-%20Portf%C3%B3lio_Marcelly%20Santos%204.pdf</t>
  </si>
  <si>
    <t>https://uniasselvi01-my.sharepoint.com/personal/elienai_cesar_uniasselvi_com_br1/Documents/Aplicativos/Microsoft%20Forms/Question%C3%A1rio%20sem%20t%C3%ADtulo/Envio%20da%20Lista%20de%20Presen%C3%A7a/LISTA%20DE%20PRESEN%C3%87A%20AULA%2018%2004%202026_Priscila%20Sousa.jpeg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</si>
  <si>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ORD_Priscila%20Sousa%204.pdf</t>
  </si>
  <si>
    <t>https://uniasselvi01-my.sharepoint.com/personal/elienai_cesar_uniasselvi_com_br1/Documents/Aplicativos/Microsoft%20Forms/Question%C3%A1rio%20sem%20t%C3%ADtulo/Envio%20da%20Lista%20de%20Presen%C3%A7a/LISTA%20DE%20PRESEN%C3%87A%20AULA%2002%2018%2004%202026_Priscila%20Sousa.jpeg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</si>
  <si>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ORD_Priscila%20Sousa%205.pdf</t>
  </si>
  <si>
    <t>https://uniasselvi01-my.sharepoint.com/personal/elienai_cesar_uniasselvi_com_br1/Documents/Aplicativos/Microsoft%20Forms/Question%C3%A1rio%20sem%20t%C3%ADtulo/Envio%20da%20Lista%20de%20Presen%C3%A7a%201/IMG_1364_Lucas%20Medeiros.PNG</t>
  </si>
  <si>
    <t>https://uniasselvi01-my.sharepoint.com/personal/elienai_cesar_uniasselvi_com_br1/Documents/Aplicativos/Microsoft%20Forms/Question%C3%A1rio%20sem%20t%C3%ADtulo/Envio%20do%20Portf%C3%B3lio%20em%20PDF%201/eletroterapia_Lucas%20Medeiros.pdf</t>
  </si>
  <si>
    <t>https://uniasselvi01-my.sharepoint.com/personal/elienai_cesar_uniasselvi_com_br1/Documents/Aplicativos/Microsoft%20Forms/Question%C3%A1rio%20sem%20t%C3%ADtulo/Envio%20da%20Lista%20de%20Presen%C3%A7a/WhatsApp%20Image%202026-04-19%20at%2010.21.15%20lista%20p_Izabel%20Silva.jpeg</t>
  </si>
  <si>
    <t>https://uniasselvi01-my.sharepoint.com/personal/elienai_cesar_uniasselvi_com_br1/Documents/Aplicativos/Microsoft%20Forms/Question%C3%A1rio%20sem%20t%C3%ADtulo/Envio%20do%20Portf%C3%B3lio%20em%20PDF/coletaontem_Izabel%20Silva.jpeg; https://uniasselvi01-my.sharepoint.com/personal/elienai_cesar_uniasselvi_com_br1/Documents/Aplicativos/Microsoft%20Forms/Question%C3%A1rio%20sem%20t%C3%ADtulo/Envio%20do%20Portf%C3%B3lio%20em%20PDF/WhatsApp%20Image%202026-04-19%20at%2010.19.33%20foto%20on_Izabel%20Silva.jpeg; https://uniasselvi01-my.sharepoint.com/personal/elienai_cesar_uniasselvi_com_br1/Documents/Aplicativos/Microsoft%20Forms/Question%C3%A1rio%20sem%20t%C3%ADtulo/Envio%20do%20Portf%C3%B3lio%20em%20PDF/WhatsApp%20Image%202026-04-19%20at%2010.21.15foto%20ont_Izabel%20Silva.jpeg</t>
  </si>
  <si>
    <t>https://uniasselvi01-my.sharepoint.com/personal/elienai_cesar_uniasselvi_com_br1/Documents/Aplicativos/Microsoft%20Forms/Question%C3%A1rio%20sem%20t%C3%ADtulo/Envio%20da%20Lista%20de%20Presen%C3%A7a/WhatsApp%20Image%202026-04-19%20at%2010.21.15%20lista%20o_Izabel%20Silva.jpeg</t>
  </si>
  <si>
    <t>https://uniasselvi01-my.sharepoint.com/personal/elienai_cesar_uniasselvi_com_br1/Documents/Aplicativos/Microsoft%20Forms/Question%C3%A1rio%20sem%20t%C3%ADtulo/Envio%20do%20Portf%C3%B3lio%20em%20PDF/WhatsApp%20Image%202026-04-19%20at%2010.21.fotoontem_Izabel%20Silva.jpeg; https://uniasselvi01-my.sharepoint.com/personal/elienai_cesar_uniasselvi_com_br1/Documents/Aplicativos/Microsoft%20Forms/Question%C3%A1rio%20sem%20t%C3%ADtulo/Envio%20do%20Portf%C3%B3lio%20em%20PDF/WhatsApp%20Image%202026-04-19%20at%2014.17.43%20fotopiu_Izabel%20Silva.jpeg; https://uniasselvi01-my.sharepoint.com/personal/elienai_cesar_uniasselvi_com_br1/Documents/Aplicativos/Microsoft%20Forms/Question%C3%A1rio%20sem%20t%C3%ADtulo/Envio%20do%20Portf%C3%B3lio%20em%20PDF/WhatsApp%20Image%202026-04-19%20at%2010.19.33%20fotoont_Izabel%20Silva.jpeg</t>
  </si>
  <si>
    <t>https://uniasselvi01-my.sharepoint.com/personal/elienai_cesar_uniasselvi_com_br1/Documents/Aplicativos/Microsoft%20Forms/Question%C3%A1rio%20sem%20t%C3%ADtulo/Envio%20da%20Lista%20de%20Presen%C3%A7a%202/WhatsApp%20Image%202026-04-19%20at%2016.52.52_Natalia%20Mattos.jpeg</t>
  </si>
  <si>
    <t>https://uniasselvi01-my.sharepoint.com/personal/elienai_cesar_uniasselvi_com_br1/Documents/Aplicativos/Microsoft%20Forms/Question%C3%A1rio%20sem%20t%C3%ADtulo/Envio%20do%20Portf%C3%B3lio%20em%20PDF%202/C%C3%B3pia%20de%20Tutor%20-%20Portf%C3%B3lio%20das%20Atividades%20Pr%C3%A1_Natalia%20Mattos%204.pdf</t>
  </si>
  <si>
    <t>Mapa Conceitual</t>
  </si>
  <si>
    <t>https://uniasselvi01-my.sharepoint.com/personal/elienai_cesar_uniasselvi_com_br1/Documents/Aplicativos/Microsoft%20Forms/Question%C3%A1rio%20sem%20t%C3%ADtulo/Envio%20da%20Lista%20de%20Presen%C3%A7a%201/WhatsApp%20Image%202026-04-19%20at%2017.57.34_Paulo%20Silva.jpeg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</si>
  <si>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dis_Paulo%20Silva.pdf</t>
  </si>
  <si>
    <t>Aprendizagem</t>
  </si>
  <si>
    <t>https://uniasselvi01-my.sharepoint.com/personal/elienai_cesar_uniasselvi_com_br1/Documents/Aplicativos/Microsoft%20Forms/Question%C3%A1rio%20sem%20t%C3%ADtulo/Envio%20da%20Lista%20de%20Presen%C3%A7a%201/Tutor%20-%20Portf%C3%B3lio%20das%20Atividades%20Pr%C3%A1ticas%20edu_Paulo%20Silva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</si>
  <si>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edu_Paulo%20Silva.pdf</t>
  </si>
  <si>
    <t>https://uniasselvi01-my.sharepoint.com/personal/elienai_cesar_uniasselvi_com_br1/_layouts/15/Doc.aspx?sourcedoc=%7BEBBA5C88-55AA-41A6-A9B9-79C5DAAF0FD5%7D&amp;file=MODELO_Lista%20de%20Presen%C3%A7a%20das%20Pr%C3%A1ticas_Fadia%20Baitala%207.docx&amp;action=default&amp;mobileredirect=true</t>
  </si>
  <si>
    <t>https://uniasselvi01-my.sharepoint.com/personal/elienai_cesar_uniasselvi_com_br1/_layouts/15/Doc.aspx?sourcedoc=%7BCF62C008-24B9-4248-9081-D02F6888C6D5%7D&amp;file=M%C3%B3dulo%204%20-%20Banho%20de%20leito%20e%20lavagem%20g%C3%A1strica_Fadia%20Baitala.docx&amp;action=default&amp;mobileredirect=true</t>
  </si>
  <si>
    <t>https://uniasselvi01-my.sharepoint.com/personal/elienai_cesar_uniasselvi_com_br1/_layouts/15/Doc.aspx?sourcedoc=%7B87E3598E-6DED-44F9-97A4-E6A527FA6831%7D&amp;file=MODELO_Lista%20de%20Presen%C3%A7a%20das%20Pr%C3%A1ticas_Fadia%20Baitala%208.docx&amp;action=default&amp;mobileredirect=true</t>
  </si>
  <si>
    <t>https://uniasselvi01-my.sharepoint.com/personal/elienai_cesar_uniasselvi_com_br1/_layouts/15/Doc.aspx?sourcedoc=%7B8765025B-7525-478B-95C5-C633AF8D62AD%7D&amp;file=M%C3%B3dulo%204%20-%20Pun%C3%A7%C3%A3o%20venosa%20e%20retirada%20de%20pontos_Fadia%20Baitala.docx&amp;action=default&amp;mobileredirect=true</t>
  </si>
  <si>
    <t>https://uniasselvi01-my.sharepoint.com/personal/elienai_cesar_uniasselvi_com_br1/Documents/Aplicativos/Microsoft%20Forms/Question%C3%A1rio%20sem%20t%C3%ADtulo/Envio%20da%20Lista%20de%20Presen%C3%A7a/IMG-20260418-WA0013_Romulo%20Pinto.jpg</t>
  </si>
  <si>
    <t>https://uniasselvi01-my.sharepoint.com/personal/elienai_cesar_uniasselvi_com_br1/Documents/Aplicativos/Microsoft%20Forms/Question%C3%A1rio%20sem%20t%C3%ADtulo/Envio%20do%20Portf%C3%B3lio%20em%20PDF/01%20-%20Tutor%20-%20Portf%C3%B3lio%20das%20Atividades%20Pr%C3%A1tica_Romulo%20Pinto.pdf</t>
  </si>
  <si>
    <t>https://uniasselvi01-my.sharepoint.com/personal/elienai_cesar_uniasselvi_com_br1/Documents/Aplicativos/Microsoft%20Forms/Question%C3%A1rio%20sem%20t%C3%ADtulo/Envio%20da%20Lista%20de%20Presen%C3%A7a/DOC-20260415-WA0031._Romulo%20Pinto.pdf</t>
  </si>
  <si>
    <t>https://uniasselvi01-my.sharepoint.com/personal/elienai_cesar_uniasselvi_com_br1/Documents/Aplicativos/Microsoft%20Forms/Question%C3%A1rio%20sem%20t%C3%ADtulo/Envio%20do%20Portf%C3%B3lio%20em%20PDF/02%20-%20Tutor%20-%20Portf%C3%B3lio%20das%20Atividades%20Pr%C3%A1tica_Romulo%20Pinto%202.pdf</t>
  </si>
  <si>
    <t>Massagem Facial</t>
  </si>
  <si>
    <t>https://uniasselvi01-my.sharepoint.com/personal/elienai_cesar_uniasselvi_com_br1/Documents/Aplicativos/Microsoft%20Forms/Question%C3%A1rio%20sem%20t%C3%ADtulo/Envio%20da%20Lista%20de%20Presen%C3%A7a%201/MODELO_Lista%20de%20Presen%C3%A7a%20das%20Pr%C3%A1ticas%2020.04_Vanessa%20Fachini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</si>
  <si>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2020._Vanessa%20Fachini.pdf</t>
  </si>
  <si>
    <t>https://uniasselvi01-my.sharepoint.com/personal/elienai_cesar_uniasselvi_com_br1/Documents/Aplicativos/Microsoft%20Forms/Question%C3%A1rio%20sem%20t%C3%ADtulo/Envio%20da%20Lista%20de%20Presen%C3%A7a/WhatsApp%20Image%202026-04-20%20at%2021.32.45%20(1)_Karla%20Oliveira.pdf</t>
  </si>
  <si>
    <t>https://uniasselvi01-my.sharepoint.com/personal/elienai_cesar_uniasselvi_com_br1/_layouts/15/Doc.aspx?sourcedoc=%7BE65E1F06-79BB-4012-8BCB-217B50D53137%7D&amp;file=Tutor%20-%20Portf%C3%B3lio%20das%20Atividades%20Pr%C3%A1ticas%20dia_Karla%20Oliveira.docx&amp;action=default&amp;mobileredirect=true</t>
  </si>
  <si>
    <t>https://uniasselvi01-my.sharepoint.com/personal/elienai_cesar_uniasselvi_com_br1/Documents/Aplicativos/Microsoft%20Forms/Question%C3%A1rio%20sem%20t%C3%ADtulo/Envio%20da%20Lista%20de%20Presen%C3%A7a/20.02_Karla%20Oliveira.jpeg</t>
  </si>
  <si>
    <t>https://uniasselvi01-my.sharepoint.com/personal/elienai_cesar_uniasselvi_com_br1/_layouts/15/Doc.aspx?sourcedoc=%7BF9A3C115-28B9-4E3E-88F8-E26FB3805962%7D&amp;file=Tutor%20-%20Portf%C3%B3lio%20das%20Atividades%20Pr%C3%A1ticas%20dia_Karla%20Oliveira%201.docx&amp;action=default&amp;mobileredirect=true</t>
  </si>
  <si>
    <t>https://uniasselvi01-my.sharepoint.com/personal/elienai_cesar_uniasselvi_com_br1/Documents/Aplicativos/Microsoft%20Forms/Question%C3%A1rio%20sem%20t%C3%ADtulo/Envio%20da%20Lista%20de%20Presen%C3%A7a/26.02_Karla%20Oliveira.jpeg</t>
  </si>
  <si>
    <t>https://uniasselvi01-my.sharepoint.com/personal/elienai_cesar_uniasselvi_com_br1/_layouts/15/Doc.aspx?sourcedoc=%7B250AA1DA-618C-4675-88B0-825660C7BD0A%7D&amp;file=Tutor%20-%20Portf%C3%B3lio%20das%20Atividades%20Pr%C3%A1ticas%20dia_Karla%20Oliveira%202.docx&amp;action=default&amp;mobileredirect=true</t>
  </si>
  <si>
    <t>https://uniasselvi01-my.sharepoint.com/personal/elienai_cesar_uniasselvi_com_br1/Documents/Aplicativos/Microsoft%20Forms/Question%C3%A1rio%20sem%20t%C3%ADtulo/Envio%20da%20Lista%20de%20Presen%C3%A7a/27.02_Karla%20Oliveira.jpeg</t>
  </si>
  <si>
    <t>https://uniasselvi01-my.sharepoint.com/personal/elienai_cesar_uniasselvi_com_br1/Documents/Aplicativos/Microsoft%20Forms/Question%C3%A1rio%20sem%20t%C3%ADtulo/Envio%20do%20Portf%C3%B3lio%20em%20PDF/27.02_Karla%20Oliveira.jpeg; https://uniasselvi01-my.sharepoint.com/personal/elienai_cesar_uniasselvi_com_br1/_layouts/15/Doc.aspx?sourcedoc=%7B05F03C65-5803-4BB3-A00B-01B024779F4F%7D&amp;file=Tutor%20-%20Portf%C3%B3lio%20das%20Atividades%20Pr%C3%A1ticas%20dia_Karla%20Oliveira%203.docx&amp;action=default&amp;mobileredirect=true</t>
  </si>
  <si>
    <t>https://uniasselvi01-my.sharepoint.com/personal/elienai_cesar_uniasselvi_com_br1/Documents/Aplicativos/Microsoft%20Forms/Question%C3%A1rio%20sem%20t%C3%ADtulo/Envio%20da%20Lista%20de%20Presen%C3%A7a/16.03_Karla%20Oliveira.jpeg</t>
  </si>
  <si>
    <t>https://uniasselvi01-my.sharepoint.com/personal/elienai_cesar_uniasselvi_com_br1/_layouts/15/Doc.aspx?sourcedoc=%7B43BD51E4-5E7A-44F7-B4F1-D144DAA7A906%7D&amp;file=Tutor%20-%20Portf%C3%B3lio%20das%20Atividades%20Pr%C3%A1ticas%20dia_Karla%20Oliveira%204.docx&amp;action=default&amp;mobileredirect=true</t>
  </si>
  <si>
    <t>https://uniasselvi01-my.sharepoint.com/personal/elienai_cesar_uniasselvi_com_br1/Documents/Aplicativos/Microsoft%20Forms/Question%C3%A1rio%20sem%20t%C3%ADtulo/Envio%20da%20Lista%20de%20Presen%C3%A7a/17.03_Karla%20Oliveira.jpeg</t>
  </si>
  <si>
    <t>https://uniasselvi01-my.sharepoint.com/personal/elienai_cesar_uniasselvi_com_br1/_layouts/15/Doc.aspx?sourcedoc=%7BD9636A4B-D4FE-4CCA-B72B-B980563BD893%7D&amp;file=Tutor%20-%20Portf%C3%B3lio%20das%20Atividades%20Pr%C3%A1ticas%20dia_Karla%20Oliveira%205.docx&amp;action=default&amp;mobileredirect=true</t>
  </si>
  <si>
    <t>Banho de leito + Lavagem gástrica;Punção Venosa + Retirada de pontos;Sondagem vesical de alívio + Sondagem vesical de demora</t>
  </si>
  <si>
    <t>https://uniasselvi01-my.sharepoint.com/personal/elienai_cesar_uniasselvi_com_br1/Documents/Aplicativos/Microsoft%20Forms/Question%C3%A1rio%20sem%20t%C3%ADtulo/Envio%20da%20Lista%20de%20Presen%C3%A7a/Lista.Adulto.16.04.26_Patricia%20Trasmontano.JPG</t>
  </si>
  <si>
    <t>https://uniasselvi01-my.sharepoint.com/personal/elienai_cesar_uniasselvi_com_br1/Documents/Aplicativos/Microsoft%20Forms/Question%C3%A1rio%20sem%20t%C3%ADtulo/Envio%20do%20Portf%C3%B3lio%20em%20PDF/Portf%C3%B3lio%2016.04.26.M03.Adulto_Patricia%20Trasmontano.pdf</t>
  </si>
  <si>
    <t>Banho de leito + Lavagem gástrica;Sondagem vesical de alívio + Sondagem vesical de demora</t>
  </si>
  <si>
    <t>https://uniasselvi01-my.sharepoint.com/personal/elienai_cesar_uniasselvi_com_br1/Documents/Aplicativos/Microsoft%20Forms/Question%C3%A1rio%20sem%20t%C3%ADtulo/Envio%20da%20Lista%20de%20Presen%C3%A7a/20260421_063912_Leonardo%20Felipe.jpg; https://uniasselvi01-my.sharepoint.com/personal/elienai_cesar_uniasselvi_com_br1/Documents/Aplicativos/Microsoft%20Forms/Question%C3%A1rio%20sem%20t%C3%ADtulo/Envio%20da%20Lista%20de%20Presen%C3%A7a/20260421_063925_Leonardo%20Felipe.jpg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</si>
  <si>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_Leonardo%20Felipe%201.pdf</t>
  </si>
  <si>
    <t>https://uniasselvi01-my.sharepoint.com/personal/elienai_cesar_uniasselvi_com_br1/Documents/Aplicativos/Microsoft%20Forms/Question%C3%A1rio%20sem%20t%C3%ADtulo/Envio%20da%20Lista%20de%20Presen%C3%A7a/LISTA%20DE%20PRESENC%CC%A7A%20ADM.MED%20VIA%20SC%20E%20VIA%20ORAL_Mariana%20Oliveira.pdf</t>
  </si>
  <si>
    <t>https://uniasselvi01-my.sharepoint.com/personal/elienai_cesar_uniasselvi_com_br1/Documents/Aplicativos/Microsoft%20Forms/Question%C3%A1rio%20sem%20t%C3%ADtulo/Envio%20do%20Portf%C3%B3lio%20em%20PDF/ADM.%20MED.%20VIA%20SC%20E%20VIA%20ORAL%2024.03.2026_Mariana%20Oliveira.pdf</t>
  </si>
  <si>
    <t>https://uniasselvi01-my.sharepoint.com/personal/elienai_cesar_uniasselvi_com_br1/Documents/Aplicativos/Microsoft%20Forms/Question%C3%A1rio%20sem%20t%C3%ADtulo/Envio%20da%20Lista%20de%20Presen%C3%A7a/LISTA%20DE%20PRESENC%CC%A7A%20MSBV%2019.03.26_Mariana%20Oliveira.pdf</t>
  </si>
  <si>
    <t>https://uniasselvi01-my.sharepoint.com/personal/elienai_cesar_uniasselvi_com_br1/Documents/Aplicativos/Microsoft%20Forms/Question%C3%A1rio%20sem%20t%C3%ADtulo/Envio%20do%20Portf%C3%B3lio%20em%20PDF/MANOBRA%20DO%20SBV%2019.03.2026_Mariana%20Oliveira.pdf</t>
  </si>
  <si>
    <t>https://uniasselvi01-my.sharepoint.com/personal/elienai_cesar_uniasselvi_com_br1/Documents/Aplicativos/Microsoft%20Forms/Question%C3%A1rio%20sem%20t%C3%ADtulo/Envio%20da%20Lista%20de%20Presen%C3%A7a/LISTA%20DE%20PRESENC%CC%A7A%20PUNC%CC%A7A%CC%83O%20E%20MANU.CAT.LONGA_Mariana%20Oliveira.pdf</t>
  </si>
  <si>
    <t>https://uniasselvi01-my.sharepoint.com/personal/elienai_cesar_uniasselvi_com_br1/Documents/Aplicativos/Microsoft%20Forms/Question%C3%A1rio%20sem%20t%C3%ADtulo/Envio%20do%20Portf%C3%B3lio%20em%20PDF/PUN%C3%87%C3%83O%20E%20MANUT.%20CATETER%20LONGA%20PERM.26.03.2026_Mariana%20Oliveira.pdf</t>
  </si>
  <si>
    <t>https://uniasselvi01-my.sharepoint.com/personal/elienai_cesar_uniasselvi_com_br1/Documents/Aplicativos/Microsoft%20Forms/Question%C3%A1rio%20sem%20t%C3%ADtulo/Envio%20da%20Lista%20de%20Presen%C3%A7a/LISTA%20DE%20PRESENC%CC%A7A%20PUNC%CC%A7A%CC%83O%20E%20MANU.CAT.LONGA_Mariana%20Oliveira%201.pdf</t>
  </si>
  <si>
    <t>https://uniasselvi01-my.sharepoint.com/personal/elienai_cesar_uniasselvi_com_br1/Documents/Aplicativos/Microsoft%20Forms/Question%C3%A1rio%20sem%20t%C3%ADtulo/Envio%20do%20Portf%C3%B3lio%20em%20PDF/TROCA%20DE%20OSTOMIA%2026.03.2026_Mariana%20Oliveira.pdf</t>
  </si>
  <si>
    <t>https://uniasselvi01-my.sharepoint.com/personal/elienai_cesar_uniasselvi_com_br1/Documents/Aplicativos/Microsoft%20Forms/Question%C3%A1rio%20sem%20t%C3%ADtulo/Envio%20da%20Lista%20de%20Presen%C3%A7a/Presen%C3%A7a%2031-03_Tatiane%20Rodrigues.jpeg</t>
  </si>
  <si>
    <t>https://uniasselvi01-my.sharepoint.com/personal/elienai_cesar_uniasselvi_com_br1/Documents/Aplicativos/Microsoft%20Forms/Question%C3%A1rio%20sem%20t%C3%ADtulo/Envio%20do%20Portf%C3%B3lio%20em%20PDF/Portf%C3%B3lio%20-%20Pacientes%20Oncol%C3%B3gicos%2031-03_Tatiane%20Rodrigues.pdf</t>
  </si>
  <si>
    <t>https://uniasselvi01-my.sharepoint.com/personal/elienai_cesar_uniasselvi_com_br1/Documents/Aplicativos/Microsoft%20Forms/Question%C3%A1rio%20sem%20t%C3%ADtulo/Envio%20da%20Lista%20de%20Presen%C3%A7a/Presen%C3%A7a%2014-04_Tatiane%20Rodrigues.jpeg</t>
  </si>
  <si>
    <t>https://uniasselvi01-my.sharepoint.com/personal/elienai_cesar_uniasselvi_com_br1/Documents/Aplicativos/Microsoft%20Forms/Question%C3%A1rio%20sem%20t%C3%ADtulo/Envio%20do%20Portf%C3%B3lio%20em%20PDF/Portf%C3%B3lio%20Sa%C3%BAde%20do%20Adulto%2014-04_Tatiane%20Rodrigues.pdf</t>
  </si>
  <si>
    <t>https://uniasselvi01-my.sharepoint.com/personal/elienai_cesar_uniasselvi_com_br1/Documents/Aplicativos/Microsoft%20Forms/Question%C3%A1rio%20sem%20t%C3%ADtulo/Envio%20da%20Lista%20de%20Presen%C3%A7a/Presen%C3%A7a%2015-04_Tatiane%20Rodrigues.jpeg</t>
  </si>
  <si>
    <t>https://uniasselvi01-my.sharepoint.com/personal/elienai_cesar_uniasselvi_com_br1/Documents/Aplicativos/Microsoft%20Forms/Question%C3%A1rio%20sem%20t%C3%ADtulo/Envio%20do%20Portf%C3%B3lio%20em%20PDF/Portf%C3%B3lio%20Sa%C3%BAde%20da%20Mulher%2015-04_Tatiane%20Rodrigues.pdf</t>
  </si>
  <si>
    <t>https://uniasselvi01-my.sharepoint.com/personal/elienai_cesar_uniasselvi_com_br1/_layouts/15/Doc.aspx?sourcedoc=%7BB11F6AF8-B3C2-4DB9-BFFE-D0CE70937AC6%7D&amp;file=_Lista%20de%20Presen%C3%A7a%20das%20Pr%C3%A1ticas%20(1)%20surto%20psi_Leticia%20Ciritelli.docx&amp;action=default&amp;mobileredirect=true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</si>
  <si>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s_Leticia%20Ciritelli.pdf</t>
  </si>
  <si>
    <t>https://uniasselvi01-my.sharepoint.com/personal/elienai_cesar_uniasselvi_com_br1/_layouts/15/Doc.aspx?sourcedoc=%7BCEB7DE17-414E-47FA-814E-615CB50863F5%7D&amp;file=_Lista%20de%20Presen%C3%A7a%20das%20Pr%C3%A1ticas%20(1)%20surto%20psi_Leticia%20Ciritelli%201.docx&amp;action=default&amp;mobileredirect=true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</si>
  <si>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r_Leticia%20Ciritelli.pdf</t>
  </si>
  <si>
    <t>https://uniasselvi01-my.sharepoint.com/personal/elienai_cesar_uniasselvi_com_br1/_layouts/15/Doc.aspx?sourcedoc=%7B0B78574F-8546-4202-91A4-43A3EDE44835%7D&amp;file=_Lista%20de%20Presen%C3%A7a%20das%20Pr%C3%A1ticas%20(1)%20suporte%20b_Leticia%20Ciritelli.docx&amp;action=default&amp;mobileredirect=true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</si>
  <si>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s_Leticia%20Ciritelli%201.pdf</t>
  </si>
  <si>
    <t>https://uniasselvi01-my.sharepoint.com/personal/elienai_cesar_uniasselvi_com_br1/_layouts/15/Doc.aspx?sourcedoc=%7BA5FEFC30-D697-439D-B099-4AE5920EFFAA%7D&amp;file=_Lista%20de%20Presen%C3%A7a%20das%20Pr%C3%A1ticas%20(1)%20recem-nas_Leticia%20Ciritelli.docx&amp;action=default&amp;mobileredirect=true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</si>
  <si>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20-%20a_Leticia%20Ciritelli.pdf</t>
  </si>
  <si>
    <t>https://uniasselvi01-my.sharepoint.com/personal/elienai_cesar_uniasselvi_com_br1/Documents/Aplicativos/Microsoft%20Forms/Question%C3%A1rio%20sem%20t%C3%ADtulo/Envio%20da%20Lista%20de%20Presen%C3%A7a%203/20260422_080757_Silvestre%20Assumpcao.PDF</t>
  </si>
  <si>
    <t>https://uniasselvi01-my.sharepoint.com/personal/elienai_cesar_uniasselvi_com_br1/Documents/Aplicativos/Microsoft%20Forms/Question%C3%A1rio%20sem%20t%C3%ADtulo/Envio%20do%20Portf%C3%B3lio%20em%20PDF%203/20260420_203020_Silvestre%20Assumpcao.PDF; https://uniasselvi01-my.sharepoint.com/personal/elienai_cesar_uniasselvi_com_br1/Documents/Aplicativos/Microsoft%20Forms/Question%C3%A1rio%20sem%20t%C3%ADtulo/Envio%20do%20Portf%C3%B3lio%20em%20PDF%203/20260420_181036_Silvestre%20Assumpcao.PDF</t>
  </si>
  <si>
    <t>Prática de Análise Ergonômica: Identificação e Correção de Riscos Ergonômicos no Local de Trabalho</t>
  </si>
  <si>
    <t>https://uniasselvi01-my.sharepoint.com/personal/elienai_cesar_uniasselvi_com_br1/Documents/Aplicativos/Microsoft%20Forms/Question%C3%A1rio%20sem%20t%C3%ADtulo/Envio%20da%20Lista%20de%20Presen%C3%A7a%201/Lista%20de%20Presen%C3%A7a%20das%20Pr%C3%A1ticas%20-%201_Fabiano%20Bartmann%201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</si>
  <si>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2016.pdf</t>
  </si>
  <si>
    <t>Aplicação da Eletrotermofototerapia em Casos Clínicos Reais</t>
  </si>
  <si>
    <t>https://uniasselvi01-my.sharepoint.com/personal/elienai_cesar_uniasselvi_com_br1/Documents/Aplicativos/Microsoft%20Forms/Question%C3%A1rio%20sem%20t%C3%ADtulo/Envio%20da%20Lista%20de%20Presen%C3%A7a%201/WhatsApp%20Image%202026-04-22%20at%2009.59.30_Fabiano%20Bartmann.jpeg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</si>
  <si>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Fabiano%20Bartmann%2017.pdf</t>
  </si>
  <si>
    <t>https://uniasselvi01-my.sharepoint.com/personal/elienai_cesar_uniasselvi_com_br1/Documents/Aplicativos/Microsoft%20Forms/Question%C3%A1rio%20sem%20t%C3%ADtulo/Envio%20da%20Lista%20de%20Presen%C3%A7a%205/Lista%20de%20frequencia_Michelle%20Pantoja.pdf</t>
  </si>
  <si>
    <t>https://uniasselvi01-my.sharepoint.com/personal/elienai_cesar_uniasselvi_com_br1/Documents/Aplicativos/Microsoft%20Forms/Question%C3%A1rio%20sem%20t%C3%ADtulo/Envio%20do%20Portf%C3%B3lio%20em%20PDF%205/Tutor%20-%20Portf%C3%B3lio%20das%20Atividades%20Pr%C3%A1ticas_Michelle%20Pantoja%204.pdf</t>
  </si>
  <si>
    <t>https://uniasselvi01-my.sharepoint.com/personal/elienai_cesar_uniasselvi_com_br1/Documents/Aplicativos/Microsoft%20Forms/Question%C3%A1rio%20sem%20t%C3%ADtulo/Envio%20da%20Lista%20de%20Presen%C3%A7a%205/Lista%20de%20Presenca_Marla%20Souza%201.pdf</t>
  </si>
  <si>
    <t>https://uniasselvi01-my.sharepoint.com/personal/elienai_cesar_uniasselvi_com_br1/Documents/Aplicativos/Microsoft%20Forms/Question%C3%A1rio%20sem%20t%C3%ADtulo/Envio%20do%20Portf%C3%B3lio%20em%20PDF%205/Aula%20Pratica%20-%20Desenho%20tecnico_Marla%20Souza.pdf</t>
  </si>
  <si>
    <t>Punção Venosa + Retirada de pontos;Curativo;Banho de leito + Lavagem gástrica</t>
  </si>
  <si>
    <t>https://uniasselvi01-my.sharepoint.com/personal/elienai_cesar_uniasselvi_com_br1/Documents/Aplicativos/Microsoft%20Forms/Question%C3%A1rio%20sem%20t%C3%ADtulo/Envio%20da%20Lista%20de%20Presen%C3%A7a/Lista%20de%20Ferequ%C3%AAncia%2015-04_William%20Coimbra.jpeg</t>
  </si>
  <si>
    <t>https://uniasselvi01-my.sharepoint.com/personal/elienai_cesar_uniasselvi_com_br1/_layouts/15/Doc.aspx?sourcedoc=%7BA8F10475-974B-46FB-A891-30102D934053%7D&amp;file=Tutor%20-%20Portf%C3%B3lio%20das%20Atividades%20Pr%C3%A1ticas_William%20Coimbra%203.docx&amp;action=default&amp;mobileredirect=true; https://uniasselvi01-my.sharepoint.com/personal/elienai_cesar_uniasselvi_com_br1/Documents/Aplicativos/Microsoft%20Forms/Question%C3%A1rio%20sem%20t%C3%ADtulo/Envio%20do%20Portf%C3%B3lio%20em%20PDF/Turma_William%20Coimbra.jpeg; https://uniasselvi01-my.sharepoint.com/personal/elienai_cesar_uniasselvi_com_br1/Documents/Aplicativos/Microsoft%20Forms/Question%C3%A1rio%20sem%20t%C3%ADtulo/Envio%20do%20Portf%C3%B3lio%20em%20PDF/Sonda%20Nasog._William%20Coimbra.jpeg; https://uniasselvi01-my.sharepoint.com/personal/elienai_cesar_uniasselvi_com_br1/Documents/Aplicativos/Microsoft%20Forms/Question%C3%A1rio%20sem%20t%C3%ADtulo/Envio%20do%20Portf%C3%B3lio%20em%20PDF/curativo_William%20Coimbra.jpeg</t>
  </si>
  <si>
    <t>https://uniasselvi01-my.sharepoint.com/personal/elienai_cesar_uniasselvi_com_br1/Documents/Aplicativos/Microsoft%20Forms/Question%C3%A1rio%20sem%20t%C3%ADtulo/Envio%20da%20Lista%20de%20Presen%C3%A7a/Doc%20abr.%2022,%202026,%2016.16_01_Maria%20Lopes.pdf</t>
  </si>
  <si>
    <t>https://uniasselvi01-my.sharepoint.com/personal/elienai_cesar_uniasselvi_com_br1/Documents/Aplicativos/Microsoft%20Forms/Question%C3%A1rio%20sem%20t%C3%ADtulo/Envio%20do%20Portf%C3%B3lio%20em%20PDF/portifolio%20uniasselvi%20(5)_Maria%20Lopes.pdf</t>
  </si>
  <si>
    <t>https://uniasselvi01-my.sharepoint.com/personal/elienai_cesar_uniasselvi_com_br1/Documents/Aplicativos/Microsoft%20Forms/Question%C3%A1rio%20sem%20t%C3%ADtulo/Envio%20da%20Lista%20de%20Presen%C3%A7a/1.1-%20Lista%20de%20Presen%C3%A7a%20-%20Polo%20Hub%20Presidente_Aquiles%20Andrade.pdf; https://uniasselvi01-my.sharepoint.com/personal/elienai_cesar_uniasselvi_com_br1/Documents/Aplicativos/Microsoft%20Forms/Question%C3%A1rio%20sem%20t%C3%ADtulo/Envio%20da%20Lista%20de%20Presen%C3%A7a/1.2-%20Lista%20de%20Presen%C3%A7a%20-%20Polo%20Hub%20Presidente_Aquiles%20Andrade.pdf</t>
  </si>
  <si>
    <t>https://uniasselvi01-my.sharepoint.com/personal/elienai_cesar_uniasselvi_com_br1/Documents/Aplicativos/Microsoft%20Forms/Question%C3%A1rio%20sem%20t%C3%ADtulo/Envio%20do%20Portf%C3%B3lio%20em%20PDF/Tutor%20-%20Portf%C3%B3lio%20-%2013-04-26_Aquiles%20Andrade.pdf</t>
  </si>
  <si>
    <t>Sondagem vesical de alívio + Sondagem vesical de demora;Punção Venosa + Retirada de pontos;Banho de leito + Lavagem gástrica</t>
  </si>
  <si>
    <t>https://uniasselvi01-my.sharepoint.com/personal/elienai_cesar_uniasselvi_com_br1/Documents/Aplicativos/Microsoft%20Forms/Question%C3%A1rio%20sem%20t%C3%ADtulo/Envio%20da%20Lista%20de%20Presen%C3%A7a/17768953903829068017200963961025_Amanda%20Santos.jpg</t>
  </si>
  <si>
    <t>https://uniasselvi01-my.sharepoint.com/personal/elienai_cesar_uniasselvi_com_br1/_layouts/15/Doc.aspx?sourcedoc=%7BE45CFD95-B64A-49D5-8916-3CFEB76BCE18%7D&amp;file=portifolio%202_Amanda%20Santos.docx&amp;action=default&amp;mobileredirect=true; https://uniasselvi01-my.sharepoint.com/personal/elienai_cesar_uniasselvi_com_br1/Documents/Aplicativos/Microsoft%20Forms/Question%C3%A1rio%20sem%20t%C3%ADtulo/Envio%20do%20Portf%C3%B3lio%20em%20PDF/WhatsApp%20Image%202026-04-15%20at%2013.58.13_Amanda%20Santos.jpeg; https://uniasselvi01-my.sharepoint.com/personal/elienai_cesar_uniasselvi_com_br1/Documents/Aplicativos/Microsoft%20Forms/Question%C3%A1rio%20sem%20t%C3%ADtulo/Envio%20do%20Portf%C3%B3lio%20em%20PDF/IMG-20260223-WA0105_Amanda%20Santos%201.jpg</t>
  </si>
  <si>
    <t>https://uniasselvi01-my.sharepoint.com/personal/elienai_cesar_uniasselvi_com_br1/Documents/Aplicativos/Microsoft%20Forms/Question%C3%A1rio%20sem%20t%C3%ADtulo/Envio%20da%20Lista%20de%20Presen%C3%A7a/17768965813705781238101778290057_Amanda%20Santos.jpg</t>
  </si>
  <si>
    <t>https://uniasselvi01-my.sharepoint.com/personal/elienai_cesar_uniasselvi_com_br1/_layouts/15/Doc.aspx?sourcedoc=%7B5C9C2417-8574-42A7-9DF0-DCC2D0576A32%7D&amp;file=portifolio%203_Amanda%20Santos.docx&amp;action=default&amp;mobileredirect=true; https://uniasselvi01-my.sharepoint.com/personal/elienai_cesar_uniasselvi_com_br1/Documents/Aplicativos/Microsoft%20Forms/Question%C3%A1rio%20sem%20t%C3%ADtulo/Envio%20do%20Portf%C3%B3lio%20em%20PDF/WhatsApp%20Image%202026-04-15%20at%2013.57.12_Amanda%20Santos.jpeg</t>
  </si>
  <si>
    <t>https://uniasselvi01-my.sharepoint.com/personal/elienai_cesar_uniasselvi_com_br1/Documents/Aplicativos/Microsoft%20Forms/Question%C3%A1rio%20sem%20t%C3%ADtulo/Envio%20da%20Lista%20de%20Presen%C3%A7a/17768970574159057542830791989305_Amanda%20Santos.jpg</t>
  </si>
  <si>
    <t>https://uniasselvi01-my.sharepoint.com/personal/elienai_cesar_uniasselvi_com_br1/_layouts/15/Doc.aspx?sourcedoc=%7BD159321F-438A-4E7E-B544-4199184EA546%7D&amp;file=portifolio%204_Amanda%20Santos.docx&amp;action=default&amp;mobileredirect=true; https://uniasselvi01-my.sharepoint.com/personal/elienai_cesar_uniasselvi_com_br1/Documents/Aplicativos/Microsoft%20Forms/Question%C3%A1rio%20sem%20t%C3%ADtulo/Envio%20do%20Portf%C3%B3lio%20em%20PDF/WhatsApp%20Image%202026-04-15%20at%2013.56.40_Amanda%20Santos.jpeg</t>
  </si>
  <si>
    <t>giseli.souza@tutorpratica.uniasselvi.com.br</t>
  </si>
  <si>
    <t>Giseli Souza</t>
  </si>
  <si>
    <t>https://uniasselvi01-my.sharepoint.com/personal/elienai_cesar_uniasselvi_com_br1/Documents/Aplicativos/Microsoft%20Forms/Question%C3%A1rio%20sem%20t%C3%ADtulo/Pergunta/WhatsApp%20Image%202026-04-22%20at%2019.33.25_Giseli%20Souza.jpeg</t>
  </si>
  <si>
    <t>https://uniasselvi01-my.sharepoint.com/personal/elienai_cesar_uniasselvi_com_br1/_layouts/15/Doc.aspx?sourcedoc=%7B847E132D-927F-40C3-B7B6-DE1FE98880FA%7D&amp;file=Tutor%20-%20Portf%C3%B3lio%20das%20Atividades%20Pr%C3%A1ticas%2013_Giseli%20Souza.docx&amp;action=default&amp;mobileredirect=true</t>
  </si>
  <si>
    <t>https://uniasselvi01-my.sharepoint.com/personal/elienai_cesar_uniasselvi_com_br1/Documents/Aplicativos/Microsoft%20Forms/Question%C3%A1rio%20sem%20t%C3%ADtulo/Envio%20da%20Lista%20de%20Presen%C3%A7a/Presen%C3%A7a%2001.04.26_Eliana%20Goncalves.jpeg</t>
  </si>
  <si>
    <t>https://uniasselvi01-my.sharepoint.com/personal/elienai_cesar_uniasselvi_com_br1/Documents/Aplicativos/Microsoft%20Forms/Question%C3%A1rio%20sem%20t%C3%ADtulo/Envio%20do%20Portf%C3%B3lio%20em%20PDF/01.04.26%20AEUE%20Queimado_Eliana%20Goncalves.pdf; https://uniasselvi01-my.sharepoint.com/personal/elienai_cesar_uniasselvi_com_br1/Documents/Aplicativos/Microsoft%20Forms/Question%C3%A1rio%20sem%20t%C3%ADtulo/Envio%20do%20Portf%C3%B3lio%20em%20PDF/01.04.26%20E.C.Glasgow_Eliana%20Goncalves.pdf</t>
  </si>
  <si>
    <t>Punção e manutenção de cateter de longa permanência + Troca de bolsa de ostomia;Administração de medicamento pela via subcutânea + Administração de medicamento pela via oral</t>
  </si>
  <si>
    <t>https://uniasselvi01-my.sharepoint.com/personal/elienai_cesar_uniasselvi_com_br1/Documents/Aplicativos/Microsoft%20Forms/Question%C3%A1rio%20sem%20t%C3%ADtulo/Envio%20da%20Lista%20de%20Presen%C3%A7a/Presen%C3%A7a%2008.04%2026%20pun%C3%A7%C3%A3%20Cateter%20+%20Troca%20bolsa_Eliana%20Goncalves.jpeg; https://uniasselvi01-my.sharepoint.com/personal/elienai_cesar_uniasselvi_com_br1/Documents/Aplicativos/Microsoft%20Forms/Question%C3%A1rio%20sem%20t%C3%ADtulo/Envio%20da%20Lista%20de%20Presen%C3%A7a/Presen%C3%A7a%2008.04.26%20SC%20e%20VO_Eliana%20Goncalves.jpeg</t>
  </si>
  <si>
    <t>https://uniasselvi01-my.sharepoint.com/personal/elienai_cesar_uniasselvi_com_br1/Documents/Aplicativos/Microsoft%20Forms/Question%C3%A1rio%20sem%20t%C3%ADtulo/Envio%20do%20Portf%C3%B3lio%20em%20PDF/08.04.26%20Cateter%20longa%20perman%C3%AAncia_Eliana%20Goncalves.pdf; https://uniasselvi01-my.sharepoint.com/personal/elienai_cesar_uniasselvi_com_br1/Documents/Aplicativos/Microsoft%20Forms/Question%C3%A1rio%20sem%20t%C3%ADtulo/Envio%20do%20Portf%C3%B3lio%20em%20PDF/08.04.26%20AE%20ao%20RN%20e%20Lactente%20%20SC_Eliana%20Goncalves.pdf; https://uniasselvi01-my.sharepoint.com/personal/elienai_cesar_uniasselvi_com_br1/Documents/Aplicativos/Microsoft%20Forms/Question%C3%A1rio%20sem%20t%C3%ADtulo/Envio%20do%20Portf%C3%B3lio%20em%20PDF/08.04.26%20Troca%20Bolsa%20ostomia_Eliana%20Goncalves.pdf; https://uniasselvi01-my.sharepoint.com/personal/elienai_cesar_uniasselvi_com_br1/Documents/Aplicativos/Microsoft%20Forms/Question%C3%A1rio%20sem%20t%C3%ADtulo/Envio%20do%20Portf%C3%B3lio%20em%20PDF/08.04.26%20%20AE%20ao%20RN%20e%20Lactente%20%20VO_Eliana%20Goncalves.pdf</t>
  </si>
  <si>
    <t>https://uniasselvi01-my.sharepoint.com/personal/elienai_cesar_uniasselvi_com_br1/Documents/Aplicativos/Microsoft%20Forms/Question%C3%A1rio%20sem%20t%C3%ADtulo/Envio%20da%20Lista%20de%20Presen%C3%A7a/Presen%C3%A7a%2015.04.26%20Pun%C3%A7%C3%A3o%20venosa%20e%20ret.pontos_Eliana%20Goncalves.jpeg; https://uniasselvi01-my.sharepoint.com/personal/elienai_cesar_uniasselvi_com_br1/Documents/Aplicativos/Microsoft%20Forms/Question%C3%A1rio%20sem%20t%C3%ADtulo/Envio%20da%20Lista%20de%20Presen%C3%A7a/Presen%C3%A7a%2015.04.26_Eliana%20Goncalves.jpeg</t>
  </si>
  <si>
    <t>https://uniasselvi01-my.sharepoint.com/personal/elienai_cesar_uniasselvi_com_br1/Documents/Aplicativos/Microsoft%20Forms/Question%C3%A1rio%20sem%20t%C3%ADtulo/Envio%20do%20Portf%C3%B3lio%20em%20PDF/15.04.26%20Banho%20no%20leito_Eliana%20Goncalves.pdf; https://uniasselvi01-my.sharepoint.com/personal/elienai_cesar_uniasselvi_com_br1/Documents/Aplicativos/Microsoft%20Forms/Question%C3%A1rio%20sem%20t%C3%ADtulo/Envio%20do%20Portf%C3%B3lio%20em%20PDF/15.04.26%20Lavagem%20g%C3%A1strica_Eliana%20Goncalves.pdf; https://uniasselvi01-my.sharepoint.com/personal/elienai_cesar_uniasselvi_com_br1/Documents/Aplicativos/Microsoft%20Forms/Question%C3%A1rio%20sem%20t%C3%ADtulo/Envio%20do%20Portf%C3%B3lio%20em%20PDF/15.04.26%20Retirada%20de%20pontos_Eliana%20Goncalves.pdf; https://uniasselvi01-my.sharepoint.com/personal/elienai_cesar_uniasselvi_com_br1/Documents/Aplicativos/Microsoft%20Forms/Question%C3%A1rio%20sem%20t%C3%ADtulo/Envio%20do%20Portf%C3%B3lio%20em%20PDF/15.04.26%20%20Pun%C3%A7%C3%A3o%20venosa_Eliana%20Goncalves.pdf</t>
  </si>
  <si>
    <t>Massagem Relaxante</t>
  </si>
  <si>
    <t>https://uniasselvi01-my.sharepoint.com/personal/elienai_cesar_uniasselvi_com_br1/Documents/Aplicativos/Microsoft%20Forms/Question%C3%A1rio%20sem%20t%C3%ADtulo/Envio%20da%20Lista%20de%20Presen%C3%A7a%201/IMG_3170_Lorrine%20Silva.jpeg</t>
  </si>
  <si>
    <t>https://uniasselvi01-my.sharepoint.com/personal/elienai_cesar_uniasselvi_com_br1/Documents/Aplicativos/Microsoft%20Forms/Question%C3%A1rio%20sem%20t%C3%ADtulo/Envio%20do%20Portf%C3%B3lio%20em%20PDF%201/Portfo%CC%81lio%20massagem%20relaxante_Lorrine%20Silva.pdf</t>
  </si>
  <si>
    <t>https://uniasselvi01-my.sharepoint.com/personal/elienai_cesar_uniasselvi_com_br1/Documents/Aplicativos/Microsoft%20Forms/Question%C3%A1rio%20sem%20t%C3%ADtulo/Envio%20da%20Lista%20de%20Presen%C3%A7a/Presen%C3%A7a%2022.04.26%20Sd%20mulher%20grav.%20puerp._Eliana%20Goncalves.jpeg; https://uniasselvi01-my.sharepoint.com/personal/elienai_cesar_uniasselvi_com_br1/Documents/Aplicativos/Microsoft%20Forms/Question%C3%A1rio%20sem%20t%C3%ADtulo/Envio%20da%20Lista%20de%20Presen%C3%A7a/Presen%C3%A7a%2022.04.26%20Papa..._Eliana%20Goncalves.jpeg</t>
  </si>
  <si>
    <t>https://uniasselvi01-my.sharepoint.com/personal/elienai_cesar_uniasselvi_com_br1/Documents/Aplicativos/Microsoft%20Forms/Question%C3%A1rio%20sem%20t%C3%ADtulo/Envio%20do%20Portf%C3%B3lio%20em%20PDF/22.04.26%20Sa%C3%BAde%20da%20mulher%20no%20per%C3%ADodo%20grav%C3%ADdico_Eliana%20Goncalves.pdf; https://uniasselvi01-my.sharepoint.com/personal/elienai_cesar_uniasselvi_com_br1/Documents/Aplicativos/Microsoft%20Forms/Question%C3%A1rio%20sem%20t%C3%ADtulo/Envio%20do%20Portf%C3%B3lio%20em%20PDF/22.04.26%20Mulher%20Rep%20e%20Papa._Eliana%20Goncalves.pdf</t>
  </si>
  <si>
    <t>https://uniasselvi01-my.sharepoint.com/personal/elienai_cesar_uniasselvi_com_br1/Documents/Aplicativos/Microsoft%20Forms/Question%C3%A1rio%20sem%20t%C3%ADtulo/Pergunta/Lista%20de%20Presen%C3%A7a%20das%20Pr%C3%A1ticas%20220426_hematol_Giovana%20Nascimento.pdf</t>
  </si>
  <si>
    <t>https://uniasselvi01-my.sharepoint.com/personal/elienai_cesar_uniasselvi_com_br1/Documents/Aplicativos/Microsoft%20Forms/Question%C3%A1rio%20sem%20t%C3%ADtulo/Pergunta%201/Portf%C3%B3lio%20das%20Atividades%20Pr%C3%A1ticas%20-%20Hematolog_Giovana%20Nascimento.pdf</t>
  </si>
  <si>
    <t>https://uniasselvi01-my.sharepoint.com/personal/elienai_cesar_uniasselvi_com_br1/Documents/Aplicativos/Microsoft%20Forms/Question%C3%A1rio%20sem%20t%C3%ADtulo/Pergunta/Lista%20presen%C3%A7a%20_hematologia%20Clinica%20_%20Velocid_Giovana%20Nascimento.jpeg</t>
  </si>
  <si>
    <t>https://uniasselvi01-my.sharepoint.com/personal/elienai_cesar_uniasselvi_com_br1/Documents/Aplicativos/Microsoft%20Forms/Question%C3%A1rio%20sem%20t%C3%ADtulo/Pergunta%201/Portf%C3%B3lio%20das%20Atividades%20Pr%C3%A1ticas%20-%20Hematolog_Giovana%20Nascimento%201.pdf</t>
  </si>
  <si>
    <t>https://uniasselvi01-my.sharepoint.com/personal/elienai_cesar_uniasselvi_com_br1/Documents/Aplicativos/Microsoft%20Forms/Question%C3%A1rio%20sem%20t%C3%ADtulo/Envio%20da%20Lista%20de%20Presen%C3%A7a%203/IMG_0001_Gabriela%20Santos.pdf</t>
  </si>
  <si>
    <t>https://uniasselvi01-my.sharepoint.com/personal/elienai_cesar_uniasselvi_com_br1/Documents/Aplicativos/Microsoft%20Forms/Question%C3%A1rio%20sem%20t%C3%ADtulo/Envio%20do%20Portf%C3%B3lio%20em%20PDF%203/Tutor%20-%20Portf%C3%B3lio%20das%20Atividades%20Pr%C3%A1ticas%20-%20a_Gabriela%20Santos.pdf</t>
  </si>
  <si>
    <t>https://uniasselvi01-my.sharepoint.com/personal/elienai_cesar_uniasselvi_com_br1/Documents/Aplicativos/Microsoft%20Forms/Question%C3%A1rio%20sem%20t%C3%ADtulo/Envio%20da%20Lista%20de%20Presen%C3%A7a%203/IMG_0002_Gabriela%20Santos.pdf</t>
  </si>
  <si>
    <t>https://uniasselvi01-my.sharepoint.com/personal/elienai_cesar_uniasselvi_com_br1/Documents/Aplicativos/Microsoft%20Forms/Question%C3%A1rio%20sem%20t%C3%ADtulo/Envio%20do%20Portf%C3%B3lio%20em%20PDF%203/Tutor%20-%20Portf%C3%B3lio%20das%20Atividades%20Pr%C3%A1ticas%20-%20a_Gabriela%20Santos%201.pdf</t>
  </si>
  <si>
    <t>https://uniasselvi01-my.sharepoint.com/personal/elienai_cesar_uniasselvi_com_br1/Documents/Aplicativos/Microsoft%20Forms/Question%C3%A1rio%20sem%20t%C3%ADtulo/Envio%20da%20Lista%20de%20Presen%C3%A7a%203/20260422_205116_Silvestre%20Assumpcao.PDF</t>
  </si>
  <si>
    <t>https://uniasselvi01-my.sharepoint.com/personal/elienai_cesar_uniasselvi_com_br1/Documents/Aplicativos/Microsoft%20Forms/Question%C3%A1rio%20sem%20t%C3%ADtulo/Envio%20do%20Portf%C3%B3lio%20em%20PDF%203/20260422_192419_Silvestre%20Assumpcao.PDF</t>
  </si>
  <si>
    <t>https://uniasselvi01-my.sharepoint.com/personal/elienai_cesar_uniasselvi_com_br1/Documents/Aplicativos/Microsoft%20Forms/Question%C3%A1rio%20sem%20t%C3%ADtulo/Envio%20da%20Lista%20de%20Presen%C3%A7a/20260423_110950_Larissa%20Brandolin%20Ve.jpg</t>
  </si>
  <si>
    <t>https://uniasselvi01-my.sharepoint.com/personal/elienai_cesar_uniasselvi_com_br1/Documents/Aplicativos/Microsoft%20Forms/Question%C3%A1rio%20sem%20t%C3%ADtulo/Envio%20do%20Portf%C3%B3lio%20em%20PDF/Banho%20de%20leito%20+%20Lavagem%20g%C3%A1strica%20.docx_Larissa%20Brandolin%20Ve.pdf</t>
  </si>
  <si>
    <t>https://uniasselvi01-my.sharepoint.com/personal/elienai_cesar_uniasselvi_com_br1/Documents/Aplicativos/Microsoft%20Forms/Question%C3%A1rio%20sem%20t%C3%ADtulo/Envio%20da%20Lista%20de%20Presen%C3%A7a/20260423_111050_Larissa%20Brandolin%20Ve.jpg</t>
  </si>
  <si>
    <t>https://uniasselvi01-my.sharepoint.com/personal/elienai_cesar_uniasselvi_com_br1/Documents/Aplicativos/Microsoft%20Forms/Question%C3%A1rio%20sem%20t%C3%ADtulo/Envio%20do%20Portf%C3%B3lio%20em%20PDF/Reposi%C3%A7%C3%A3o%20de%20Aspira%C3%A7%C3%A3o%20de%20vias%20a%C3%A9reas%20com%20e%20s_Larissa%20Brandolin%20Ve.pdf; https://uniasselvi01-my.sharepoint.com/personal/elienai_cesar_uniasselvi_com_br1/Documents/Aplicativos/Microsoft%20Forms/Question%C3%A1rio%20sem%20t%C3%ADtulo/Envio%20do%20Portf%C3%B3lio%20em%20PDF/Reposi%C3%A7%C3%A3o%20adm%20de%20medicamento%20cvc,%20monitoriza%C3%A7_Larissa%20Brandolin%20Ve.pdf</t>
  </si>
  <si>
    <t>Contagem diferencial de leucócitos;Esfregaço sanguíneo e colorações  (contagem diferencial de leucócitos)</t>
  </si>
  <si>
    <t>https://uniasselvi01-my.sharepoint.com/personal/elienai_cesar_uniasselvi_com_br1/Documents/Aplicativos/Microsoft%20Forms/Question%C3%A1rio%20sem%20t%C3%ADtulo/Pergunta/20260423_111119_Barbara%20Sousa.jpg; https://uniasselvi01-my.sharepoint.com/personal/elienai_cesar_uniasselvi_com_br1/Documents/Aplicativos/Microsoft%20Forms/Question%C3%A1rio%20sem%20t%C3%ADtulo/Pergunta/20260423_111119%202_Barbara%20Sousa.jpg</t>
  </si>
  <si>
    <t>https://uniasselvi01-my.sharepoint.com/personal/elienai_cesar_uniasselvi_com_br1/Documents/Aplicativos/Microsoft%20Forms/Question%C3%A1rio%20sem%20t%C3%ADtulo/Pergunta%201/1%C2%B0%20AULA%20-%20ORDEM%203_Barbara%20Sousa.pdf; https://uniasselvi01-my.sharepoint.com/personal/elienai_cesar_uniasselvi_com_br1/Documents/Aplicativos/Microsoft%20Forms/Question%C3%A1rio%20sem%20t%C3%ADtulo/Pergunta%201/1%C2%B0%20AULA%20-%20ORDEM%203%202_Barbara%20Sousa.pdf</t>
  </si>
  <si>
    <t>https://uniasselvi01-my.sharepoint.com/personal/elienai_cesar_uniasselvi_com_br1/Documents/Aplicativos/Microsoft%20Forms/Question%C3%A1rio%20sem%20t%C3%ADtulo/Envio%20da%20Lista%20de%20Presen%C3%A7a%202/Lista%20de%20presenc%CC%A7a%202204_Vinicius%20Silva.jpeg</t>
  </si>
  <si>
    <t>https://uniasselvi01-my.sharepoint.com/personal/elienai_cesar_uniasselvi_com_br1/Documents/Aplicativos/Microsoft%20Forms/Question%C3%A1rio%20sem%20t%C3%ADtulo/Envio%20do%20Portf%C3%B3lio%20em%20PDF%202/Tutor%20-%20Portfo%CC%81lio%20das%20Atividades%20Pra%CC%81ticas-2_Vinicius%20Silva.pdf</t>
  </si>
  <si>
    <t>https://uniasselvi01-my.sharepoint.com/personal/elienai_cesar_uniasselvi_com_br1/Documents/Aplicativos/Microsoft%20Forms/Question%C3%A1rio%20sem%20t%C3%ADtulo/Envio%20da%20Lista%20de%20Presen%C3%A7a/Lista%20de%20presen%C3%A7a%20pun%C3%A7%C3%A3o%20venosa%20e%20retirada%20de_Mariana%20Correia.jpeg</t>
  </si>
  <si>
    <t>https://uniasselvi01-my.sharepoint.com/personal/elienai_cesar_uniasselvi_com_br1/Documents/Aplicativos/Microsoft%20Forms/Question%C3%A1rio%20sem%20t%C3%ADtulo/Envio%20do%20Portf%C3%B3lio%20em%20PDF/Portf%C3%B3lio%20-%20%20Pun%C3%A7%C3%A3o%20Venosa%20e%20Retirada%20de%20Pont_Mariana%20Correia.pdf</t>
  </si>
  <si>
    <t>Método de Hoffman</t>
  </si>
  <si>
    <t>https://uniasselvi01-my.sharepoint.com/personal/elienai_cesar_uniasselvi_com_br1/Documents/Aplicativos/Microsoft%20Forms/Question%C3%A1rio%20sem%20t%C3%ADtulo/Pergunta/17769710806143425040623636858337_Barbara%20Sousa.jpg</t>
  </si>
  <si>
    <t>https://uniasselvi01-my.sharepoint.com/personal/elienai_cesar_uniasselvi_com_br1/Documents/Aplicativos/Microsoft%20Forms/Question%C3%A1rio%20sem%20t%C3%ADtulo/Pergunta%201/2%C2%B0%20AULA%20-%20ORDEM%202_Barbara%20Sousa.pdf</t>
  </si>
  <si>
    <t>Exame direto a fresco e gota espessa</t>
  </si>
  <si>
    <t>https://uniasselvi01-my.sharepoint.com/personal/elienai_cesar_uniasselvi_com_br1/Documents/Aplicativos/Microsoft%20Forms/Question%C3%A1rio%20sem%20t%C3%ADtulo/Pergunta/17769716803028501617118053472346_Barbara%20Sousa.jpg</t>
  </si>
  <si>
    <t>https://uniasselvi01-my.sharepoint.com/personal/elienai_cesar_uniasselvi_com_br1/Documents/Aplicativos/Microsoft%20Forms/Question%C3%A1rio%20sem%20t%C3%ADtulo/Pergunta%201/3%C2%B0%20AULA%20-%20ORDEM%202_Barbara%20Sousa.pdf</t>
  </si>
  <si>
    <t>https://uniasselvi01-my.sharepoint.com/personal/elienai_cesar_uniasselvi_com_br1/Documents/Aplicativos/Microsoft%20Forms/Question%C3%A1rio%20sem%20t%C3%ADtulo/Envio%20da%20Lista%20de%20Presen%C3%A7a/Frequ%C3%AAncia%20D%C3%A9bora%2022-04-2026%2016.29_Cinthia%20Macedo.pdf</t>
  </si>
  <si>
    <t>https://uniasselvi01-my.sharepoint.com/personal/elienai_cesar_uniasselvi_com_br1/Documents/Aplicativos/Microsoft%20Forms/Question%C3%A1rio%20sem%20t%C3%ADtulo/Envio%20do%20Portf%C3%B3lio%20em%20PDF/Portf%C3%B3lio%20-%20Sa%C3%BAde%20da%20Mulher%20Reprodutiva_Cinthia%20Macedo.pdf; https://uniasselvi01-my.sharepoint.com/personal/elienai_cesar_uniasselvi_com_br1/Documents/Aplicativos/Microsoft%20Forms/Question%C3%A1rio%20sem%20t%C3%ADtulo/Envio%20do%20Portf%C3%B3lio%20em%20PDF/Portf%C3%B3lio%20-%20Realiza%C3%A7%C3%A3o%20do%20Exame%20Papanicolau_Cinthia%20Macedo.pdf</t>
  </si>
  <si>
    <t>https://uniasselvi01-my.sharepoint.com/personal/elienai_cesar_uniasselvi_com_br1/Documents/Aplicativos/Microsoft%20Forms/Question%C3%A1rio%20sem%20t%C3%ADtulo/Envio%20da%20Lista%20de%20Presen%C3%A7a/Frequ%C3%AAncia%20D%C3%A9bora%2022-04-2026%2016.29_Cinthia%20Macedo%201.pdf</t>
  </si>
  <si>
    <t>https://uniasselvi01-my.sharepoint.com/personal/elienai_cesar_uniasselvi_com_br1/Documents/Aplicativos/Microsoft%20Forms/Question%C3%A1rio%20sem%20t%C3%ADtulo/Envio%20do%20Portf%C3%B3lio%20em%20PDF/Portf%C3%B3lio%20-%20Sa%C3%BAde%20da%20Mulher%20no%20Per%C3%ADodo%20Grav%C3%ADd_Cinthia%20Macedo.pdf</t>
  </si>
  <si>
    <t>39812196@aluno.uniasselvi.com.br</t>
  </si>
  <si>
    <t>Fototerapia na Reabilitação Fisioterapêutica: Prática em Eletrotermofototerapia</t>
  </si>
  <si>
    <t>https://uniasselvi01-my.sharepoint.com/personal/elienai_cesar_uniasselvi_com_br1/Documents/Aplicativos/Microsoft%20Forms/Question%C3%A1rio%20sem%20t%C3%ADtulo/Envio%20da%20Lista%20de%20Presen%C3%A7a%201/IMG_1365_Lucas%20Medeiros.PNG</t>
  </si>
  <si>
    <t>https://uniasselvi01-my.sharepoint.com/personal/elienai_cesar_uniasselvi_com_br1/Documents/Aplicativos/Microsoft%20Forms/Question%C3%A1rio%20sem%20t%C3%ADtulo/Envio%20do%20Portf%C3%B3lio%20em%20PDF%201/fototerapia.docx_Lucas%20Medeiros.pdf</t>
  </si>
  <si>
    <t>Termoterapia na Reabilitação Fisioterapêutica: Aplicações Práticas e Benefícios Terapêuticos</t>
  </si>
  <si>
    <t>https://uniasselvi01-my.sharepoint.com/personal/elienai_cesar_uniasselvi_com_br1/Documents/Aplicativos/Microsoft%20Forms/Question%C3%A1rio%20sem%20t%C3%ADtulo/Envio%20da%20Lista%20de%20Presen%C3%A7a%201/IMG_1426_Lucas%20Medeiros.PNG</t>
  </si>
  <si>
    <t>https://uniasselvi01-my.sharepoint.com/personal/elienai_cesar_uniasselvi_com_br1/Documents/Aplicativos/Microsoft%20Forms/Question%C3%A1rio%20sem%20t%C3%ADtulo/Envio%20do%20Portf%C3%B3lio%20em%20PDF%201/termo_Lucas%20Medeiros.pdf</t>
  </si>
  <si>
    <t>https://uniasselvi01-my.sharepoint.com/personal/elienai_cesar_uniasselvi_com_br1/Documents/Aplicativos/Microsoft%20Forms/Question%C3%A1rio%20sem%20t%C3%ADtulo/Envio%20da%20Lista%20de%20Presen%C3%A7a%201/IMG_1427_Lucas%20Medeiros.PNG</t>
  </si>
  <si>
    <t>https://uniasselvi01-my.sharepoint.com/personal/elienai_cesar_uniasselvi_com_br1/Documents/Aplicativos/Microsoft%20Forms/Question%C3%A1rio%20sem%20t%C3%ADtulo/Envio%20do%20Portf%C3%B3lio%20em%20PDF%201/casos%20clinicos_Lucas%20Medeiros.pdf</t>
  </si>
  <si>
    <t>Medidas antropométricas da criança e adolescente + Acolhimento e escala de Manchester pediatria;Obstrução de vias aéreas + Prática de vacinação</t>
  </si>
  <si>
    <t>https://uniasselvi01-my.sharepoint.com/personal/elienai_cesar_uniasselvi_com_br1/_layouts/15/Doc.aspx?sourcedoc=%7B7B9ACEFD-C267-48E5-B533-2D223D00A523%7D&amp;file=_Lista%20de%20Presen%C3%A7a%20-%20Medidas%20Antropom%C3%A9tricas_Mariana%20Correia.docx&amp;action=default&amp;mobileredirect=true</t>
  </si>
  <si>
    <t>https://uniasselvi01-my.sharepoint.com/personal/elienai_cesar_uniasselvi_com_br1/Documents/Aplicativos/Microsoft%20Forms/Question%C3%A1rio%20sem%20t%C3%ADtulo/Envio%20do%20Portf%C3%B3lio%20em%20PDF/Portf%C3%B3lio%20das%20Atividades%20Pr%C3%A1ticas-%20Crian%C3%A7a%20e_Mariana%20Correia.pdf</t>
  </si>
  <si>
    <t>Análise macro e micromorfológica de fungos leveduriformes;Velocidade de Hemossedimentação</t>
  </si>
  <si>
    <t>https://uniasselvi01-my.sharepoint.com/personal/elienai_cesar_uniasselvi_com_br1/Documents/Aplicativos/Microsoft%20Forms/Question%C3%A1rio%20sem%20t%C3%ADtulo/Pergunta/IMG_20260423_193205~2_Andre%20Oliveira.jpg</t>
  </si>
  <si>
    <t>https://uniasselvi01-my.sharepoint.com/personal/elienai_cesar_uniasselvi_com_br1/Documents/Aplicativos/Microsoft%20Forms/Question%C3%A1rio%20sem%20t%C3%ADtulo/Pergunta%201/Tutor%20-%20Portf%C3%B3lio%20das%20Atividades%20Pr%C3%A1ticas%20(2)_Andre%20Oliveira%201.pdf</t>
  </si>
  <si>
    <t>https://uniasselvi01-my.sharepoint.com/personal/elienai_cesar_uniasselvi_com_br1/Documents/Aplicativos/Microsoft%20Forms/Question%C3%A1rio%20sem%20t%C3%ADtulo/Envio%20da%20Lista%20de%20Presen%C3%A7a%203/PRESEN%C3%87A_15.04.26_Amanda%20Oliveira.jpeg</t>
  </si>
  <si>
    <t>https://uniasselvi01-my.sharepoint.com/personal/elienai_cesar_uniasselvi_com_br1/_layouts/15/Doc.aspx?sourcedoc=%7B73DFC381-5D8A-4A75-9C69-9592EAECCC3E%7D&amp;file=Portf%C3%B3lio%2015.04.2026_Amanda%20Oliveira.docx&amp;action=default&amp;mobileredirect=true</t>
  </si>
  <si>
    <t>https://uniasselvi01-my.sharepoint.com/personal/elienai_cesar_uniasselvi_com_br1/Documents/Aplicativos/Microsoft%20Forms/Question%C3%A1rio%20sem%20t%C3%ADtulo/Envio%20da%20Lista%20de%20Presen%C3%A7a%203/PRESEN%C3%87A_22.04.26_Amanda%20Oliveira.jpeg</t>
  </si>
  <si>
    <t>https://uniasselvi01-my.sharepoint.com/personal/elienai_cesar_uniasselvi_com_br1/_layouts/15/Doc.aspx?sourcedoc=%7B0239266E-F628-43F0-B4E1-C1D317AA7DD9%7D&amp;file=Portf%C3%B3lio%2022.04.2026_Amanda%20Oliveira.docx&amp;action=default&amp;mobileredirect=true</t>
  </si>
  <si>
    <t>Análise macro e micromorfológica de fungos leveduriformes;Análise à fresco (exame direto) de fungos dermatófitos e leveduras</t>
  </si>
  <si>
    <t>https://uniasselvi01-my.sharepoint.com/personal/elienai_cesar_uniasselvi_com_br1/Documents/Aplicativos/Microsoft%20Forms/Question%C3%A1rio%20sem%20t%C3%ADtulo/Pergunta/17769981197693314687004991233212_Barbara%20Sousa.jpg; https://uniasselvi01-my.sharepoint.com/personal/elienai_cesar_uniasselvi_com_br1/Documents/Aplicativos/Microsoft%20Forms/Question%C3%A1rio%20sem%20t%C3%ADtulo/Pergunta/17769984789971285725398254108310_Barbara%20Sousa.jpg</t>
  </si>
  <si>
    <t>https://uniasselvi01-my.sharepoint.com/personal/elienai_cesar_uniasselvi_com_br1/Documents/Aplicativos/Microsoft%20Forms/Question%C3%A1rio%20sem%20t%C3%ADtulo/Pergunta%201/2%C2%B0%20AULA%20-%20ORDEM%203_Barbara%20Sousa.pdf; https://uniasselvi01-my.sharepoint.com/personal/elienai_cesar_uniasselvi_com_br1/Documents/Aplicativos/Microsoft%20Forms/Question%C3%A1rio%20sem%20t%C3%ADtulo/Pergunta%201/3%C2%B0%20AULA%20-%20ORDEM%203_Barbara%20Sousa.pdf</t>
  </si>
  <si>
    <t>Laminário de ovos de helmintos</t>
  </si>
  <si>
    <t>https://uniasselvi01-my.sharepoint.com/personal/elienai_cesar_uniasselvi_com_br1/Documents/Aplicativos/Microsoft%20Forms/Question%C3%A1rio%20sem%20t%C3%ADtulo/Pergunta/1776999444666572311892251432407_Barbara%20Sousa.jpg</t>
  </si>
  <si>
    <t>https://uniasselvi01-my.sharepoint.com/personal/elienai_cesar_uniasselvi_com_br1/Documents/Aplicativos/Microsoft%20Forms/Question%C3%A1rio%20sem%20t%C3%ADtulo/Pergunta%201/4%C2%B0%20AULA%20-%20ORDEM%202_Barbara%20Sousa.pdf</t>
  </si>
  <si>
    <t>https://uniasselvi01-my.sharepoint.com/personal/elienai_cesar_uniasselvi_com_br1/Documents/Aplicativos/Microsoft%20Forms/Question%C3%A1rio%20sem%20t%C3%ADtulo/Envio%20da%20Lista%20de%20Presen%C3%A7a/18marco2026_Hozana%20Evangelista%201.pdf</t>
  </si>
  <si>
    <t>https://uniasselvi01-my.sharepoint.com/personal/elienai_cesar_uniasselvi_com_br1/_layouts/15/Doc.aspx?sourcedoc=%7B5895B157-5A4D-4731-99B0-D009DF9BAED7%7D&amp;file=suporte%20basico%20de%20vida_Hozana%20Evangelista%201.docx&amp;action=default&amp;mobileredirect=true; https://uniasselvi01-my.sharepoint.com/personal/elienai_cesar_uniasselvi_com_br1/_layouts/15/Doc.aspx?sourcedoc=%7BEC9451DF-6CEB-4920-B784-8692D34543ED%7D&amp;file=Troca%20de%20Bolsa%20de%20Ostomia_Hozana%20Evangelista%201.docx&amp;action=default&amp;mobileredirect=true; https://uniasselvi01-my.sharepoint.com/personal/elienai_cesar_uniasselvi_com_br1/_layouts/15/Doc.aspx?sourcedoc=%7B5C1AE407-933E-4A23-858C-3FAD9A2426A6%7D&amp;file=Pun%C3%A7%C3%A3o%20e%20Manuten%C3%A7%C3%A3o%20de%20Cateter%20de%20Longa%20Perma_Hozana%20Evangelista%201.docx&amp;action=default&amp;mobileredirect=true</t>
  </si>
  <si>
    <t>https://uniasselvi01-my.sharepoint.com/personal/elienai_cesar_uniasselvi_com_br1/Documents/Aplicativos/Microsoft%20Forms/Question%C3%A1rio%20sem%20t%C3%ADtulo/Envio%20da%20Lista%20de%20Presen%C3%A7a/01abril2026_Hozana%20Evangelista.pdf</t>
  </si>
  <si>
    <t>https://uniasselvi01-my.sharepoint.com/personal/elienai_cesar_uniasselvi_com_br1/_layouts/15/Doc.aspx?sourcedoc=%7B9970A910-8073-4C73-8AF9-1B7CBF444432%7D&amp;file=QUEIMADURA_Hozana%20Evangelista.docx&amp;action=default&amp;mobileredirect=true; https://uniasselvi01-my.sharepoint.com/personal/elienai_cesar_uniasselvi_com_br1/_layouts/15/Doc.aspx?sourcedoc=%7B31713D23-D951-4395-A3FB-4CA3D975E13E%7D&amp;file=escala%20de%20coma%20de%20Glasgow_Hozana%20Evangelista.docx&amp;action=default&amp;mobileredirect=true; https://uniasselvi01-my.sharepoint.com/personal/elienai_cesar_uniasselvi_com_br1/_layouts/15/Doc.aspx?sourcedoc=%7B41C23799-11FF-4E2D-8D7F-6C90D86FD618%7D&amp;file=ADMINISTRA%C3%87%C3%83O%20DE%20MEDICA%C3%87%C3%83O%20SC%20%20E%20ORAL_Hozana%20Evangelista.docx&amp;action=default&amp;mobileredirect=true</t>
  </si>
  <si>
    <t>https://uniasselvi01-my.sharepoint.com/personal/elienai_cesar_uniasselvi_com_br1/Documents/Aplicativos/Microsoft%20Forms/Question%C3%A1rio%20sem%20t%C3%ADtulo/Envio%20da%20Lista%20de%20Presen%C3%A7a/ListaPresen%C3%A7aPraticas_ASSINADO_23_04_2026_18__Raul%20Aguirre.pdf</t>
  </si>
  <si>
    <t>https://uniasselvi01-my.sharepoint.com/personal/elienai_cesar_uniasselvi_com_br1/Documents/Aplicativos/Microsoft%20Forms/Question%C3%A1rio%20sem%20t%C3%ADtulo/Envio%20do%20Portf%C3%B3lio%20em%20PDF/PortfolioPraticaTutor_23_04_2026_18_30_Raul%20Aguirre.pdf</t>
  </si>
  <si>
    <t>https://uniasselvi01-my.sharepoint.com/personal/elienai_cesar_uniasselvi_com_br1/Documents/Aplicativos/Microsoft%20Forms/Question%C3%A1rio%20sem%20t%C3%ADtulo/Envio%20da%20Lista%20de%20Presen%C3%A7a/ListaPresen%C3%A7aPraticas_ASSINADO_23_04_2026_20__Raul%20Aguirre.pdf</t>
  </si>
  <si>
    <t>https://uniasselvi01-my.sharepoint.com/personal/elienai_cesar_uniasselvi_com_br1/Documents/Aplicativos/Microsoft%20Forms/Question%C3%A1rio%20sem%20t%C3%ADtulo/Envio%20do%20Portf%C3%B3lio%20em%20PDF/PortfolioPraticaTutor_23_04_2026_20_00_Raul%20Aguirre.pdf</t>
  </si>
  <si>
    <t>patricia.rodrigues@tutorpratica.uniasselvi.com.br</t>
  </si>
  <si>
    <t>Patricia Pereia</t>
  </si>
  <si>
    <t>Contagem diferencial de leucócitos;Velocidade de Hemossedimentação</t>
  </si>
  <si>
    <t>https://uniasselvi01-my.sharepoint.com/personal/elienai_cesar_uniasselvi_com_br1/Documents/Aplicativos/Microsoft%20Forms/Question%C3%A1rio%20sem%20t%C3%ADtulo/Pergunta/CamScanner%2024-04-2026%2012.04_Patricia%20Pereia.pdf; https://uniasselvi01-my.sharepoint.com/personal/elienai_cesar_uniasselvi_com_br1/Documents/Aplicativos/Microsoft%20Forms/Question%C3%A1rio%20sem%20t%C3%ADtulo/Pergunta/CamScanner%2024-04-2026%2012.02_Patricia%20Pereia.pdf</t>
  </si>
  <si>
    <t>https://uniasselvi01-my.sharepoint.com/personal/elienai_cesar_uniasselvi_com_br1/Documents/Aplicativos/Microsoft%20Forms/Question%C3%A1rio%20sem%20t%C3%ADtulo/Pergunta%201/CamScanner%2024-04-2026%2012.11_Patricia%20Pereia.pdf</t>
  </si>
  <si>
    <t>https://uniasselvi01-my.sharepoint.com/personal/elienai_cesar_uniasselvi_com_br1/Documents/Aplicativos/Microsoft%20Forms/Question%C3%A1rio%20sem%20t%C3%ADtulo/Pergunta/CamScanner%2024-04-2026%2012.19_Patricia%20Pereia.pdf</t>
  </si>
  <si>
    <t>https://uniasselvi01-my.sharepoint.com/personal/elienai_cesar_uniasselvi_com_br1/Documents/Aplicativos/Microsoft%20Forms/Question%C3%A1rio%20sem%20t%C3%ADtulo/Pergunta%201/CamScanner%2024-04-2026%2012.20_Patricia%20Pereia.pdf</t>
  </si>
  <si>
    <t>Avaliação Infantil;Circuito de  Intervenções Fisioterapêuticas em Pediatria</t>
  </si>
  <si>
    <t>https://uniasselvi01-my.sharepoint.com/personal/elienai_cesar_uniasselvi_com_br1/_layouts/15/Doc.aspx?sourcedoc=%7B2F7C6993-AECA-43D3-A04D-E74A7007E4FE%7D&amp;file=Lista%20de%20presen%C3%A7a%20%20Fisio%20sa%C3%BAde%20da%20crian%C3%A7a_Vanessa%20Varjao%201.docx&amp;action=default&amp;mobileredirect=true</t>
  </si>
  <si>
    <t>https://uniasselvi01-my.sharepoint.com/personal/elienai_cesar_uniasselvi_com_br1/_layouts/15/Doc.aspx?sourcedoc=%7BED501B85-3BE2-404D-B283-9A7A7B88AED1%7D&amp;file=Fisioterapia%20na%20Sa%C3%BAde%20da%20crian%C3%A7a%20Portf%C3%B3lio_Vanessa%20Varjao%201.docx&amp;action=default&amp;mobileredirect=true</t>
  </si>
  <si>
    <t>Consulta de enfermagem no pré-natal de baixo risco + Administração de medicamento pela via intramuscular;Saúde da mulher no período gravídico-puerperal;Saúde da mulher reprodutiva + Realização do exame de Papanicolau</t>
  </si>
  <si>
    <t>https://uniasselvi01-my.sharepoint.com/personal/elienai_cesar_uniasselvi_com_br1/Documents/Aplicativos/Microsoft%20Forms/Question%C3%A1rio%20sem%20t%C3%ADtulo/Envio%20da%20Lista%20de%20Presen%C3%A7a/Presen%C3%A7a%2022.04.2026_Sara%20Amann.jpeg</t>
  </si>
  <si>
    <t>https://uniasselvi01-my.sharepoint.com/personal/elienai_cesar_uniasselvi_com_br1/Documents/Aplicativos/Microsoft%20Forms/Question%C3%A1rio%20sem%20t%C3%ADtulo/Envio%20do%20Portf%C3%B3lio%20em%20PDF/2026.04.22%20-%20Sa%C3%BAde%20da%20Mulher_Sara%20Amann.pdf</t>
  </si>
  <si>
    <t>https://uniasselvi01-my.sharepoint.com/personal/elienai_cesar_uniasselvi_com_br1/Documents/Aplicativos/Microsoft%20Forms/Question%C3%A1rio%20sem%20t%C3%ADtulo/Envio%20da%20Lista%20de%20Presen%C3%A7a%201/lista%20frequencia%20Trabalho%20em%20grupo%202026.1_Beatriz%20Silva.jpeg</t>
  </si>
  <si>
    <t>https://uniasselvi01-my.sharepoint.com/personal/elienai_cesar_uniasselvi_com_br1/Documents/Aplicativos/Microsoft%20Forms/Question%C3%A1rio%20sem%20t%C3%ADtulo/Envio%20do%20Portf%C3%B3lio%20em%20PDF%201/PORTIFOLIO%20DINAMICAS%20GRUPO%2001%20abril%202026.1%20PD_Beatriz%20Silva.pdf</t>
  </si>
  <si>
    <t>https://uniasselvi01-my.sharepoint.com/personal/elienai_cesar_uniasselvi_com_br1/Documents/Aplicativos/Microsoft%20Forms/Question%C3%A1rio%20sem%20t%C3%ADtulo/Envio%20da%20Lista%20de%20Presen%C3%A7a%201/lista%20frequencia%20Sa%C3%BAde%20do%20trabalhador%202%20-%20202_Beatriz%20Silva.jpeg</t>
  </si>
  <si>
    <t>https://uniasselvi01-my.sharepoint.com/personal/elienai_cesar_uniasselvi_com_br1/Documents/Aplicativos/Microsoft%20Forms/Question%C3%A1rio%20sem%20t%C3%ADtulo/Envio%20do%20Portf%C3%B3lio%20em%20PDF%201/PORTIFOLIO%20saude%20do%20trabalhador%20aula%202%20%20%2008%20A_Beatriz%20Silva.pdf</t>
  </si>
  <si>
    <t>Oficinas de terapia ocupacional na saude mental</t>
  </si>
  <si>
    <t>https://uniasselvi01-my.sharepoint.com/personal/elienai_cesar_uniasselvi_com_br1/Documents/Aplicativos/Microsoft%20Forms/Question%C3%A1rio%20sem%20t%C3%ADtulo/Envio%20da%20Lista%20de%20Presen%C3%A7a%201/lista%20frequencia%20Transtorno%20mental%202026.1_Beatriz%20Silva.jpeg</t>
  </si>
  <si>
    <t>https://uniasselvi01-my.sharepoint.com/personal/elienai_cesar_uniasselvi_com_br1/Documents/Aplicativos/Microsoft%20Forms/Question%C3%A1rio%20sem%20t%C3%ADtulo/Envio%20do%20Portf%C3%B3lio%20em%20PDF%201/PORTIFOLIO%20Comportamento%20Humano%20E%20Transtornos_Beatriz%20Silva.pdf</t>
  </si>
  <si>
    <t>https://uniasselvi01-my.sharepoint.com/personal/elienai_cesar_uniasselvi_com_br1/Documents/Aplicativos/Microsoft%20Forms/Question%C3%A1rio%20sem%20t%C3%ADtulo/Envio%20da%20Lista%20de%20Presen%C3%A7a%201/lista%20frequencia%20Contexto%20social%202026.1_Beatriz%20Silva.jpeg</t>
  </si>
  <si>
    <t>https://uniasselvi01-my.sharepoint.com/personal/elienai_cesar_uniasselvi_com_br1/Documents/Aplicativos/Microsoft%20Forms/Question%C3%A1rio%20sem%20t%C3%ADtulo/Envio%20do%20Portf%C3%B3lio%20em%20PDF%201/PORTIFOLIO%20TO%20SOCIAL%20E%20EDUCACIONAL%202026.1_Beatriz%20Silva.pdf</t>
  </si>
  <si>
    <t>https://uniasselvi01-my.sharepoint.com/personal/elienai_cesar_uniasselvi_com_br1/Documents/Aplicativos/Microsoft%20Forms/Question%C3%A1rio%20sem%20t%C3%ADtulo/Envio%20da%20Lista%20de%20Presen%C3%A7a/lista%20de%20presen%C3%A7a%201_Marilene%20Silva.jpg</t>
  </si>
  <si>
    <t>https://uniasselvi01-my.sharepoint.com/personal/elienai_cesar_uniasselvi_com_br1/_layouts/15/Doc.aspx?sourcedoc=%7B8F05FD4F-3290-4926-8AAB-56C0EE3D9AEA%7D&amp;file=portfolio%20de%20praticas%2022.04%20primeira_Marilene%20Silva.docx&amp;action=default&amp;mobileredirect=true</t>
  </si>
  <si>
    <t>https://uniasselvi01-my.sharepoint.com/personal/elienai_cesar_uniasselvi_com_br1/Documents/Aplicativos/Microsoft%20Forms/Question%C3%A1rio%20sem%20t%C3%ADtulo/Envio%20da%20Lista%20de%20Presen%C3%A7a/lista%20presen%C3%A7a%202_Marilene%20Silva%201.jpg</t>
  </si>
  <si>
    <t>https://uniasselvi01-my.sharepoint.com/personal/elienai_cesar_uniasselvi_com_br1/_layouts/15/Doc.aspx?sourcedoc=%7BD9336638-E325-4DEB-A20D-118E9E15E46F%7D&amp;file=portfolio%20de%20praticas%2022.04%20segunda_Marilene%20Silva.docx&amp;action=default&amp;mobileredirect=true</t>
  </si>
  <si>
    <t>Obstrução de vias aéreas + Prática de vacinação</t>
  </si>
  <si>
    <t>https://uniasselvi01-my.sharepoint.com/personal/elienai_cesar_uniasselvi_com_br1/Documents/Aplicativos/Microsoft%20Forms/Question%C3%A1rio%20sem%20t%C3%ADtulo/Envio%20da%20Lista%20de%20Presen%C3%A7a/ListaPresen%C3%A7aPraticas_ASSINADO_24_04_2026_Raul%20Aguirre.pdf</t>
  </si>
  <si>
    <t>https://uniasselvi01-my.sharepoint.com/personal/elienai_cesar_uniasselvi_com_br1/Documents/Aplicativos/Microsoft%20Forms/Question%C3%A1rio%20sem%20t%C3%ADtulo/Envio%20do%20Portf%C3%B3lio%20em%20PDF/PortfolioPraticaTutor_24_04_2026_Raul%20Aguirre.pdf</t>
  </si>
  <si>
    <t>https://uniasselvi01-my.sharepoint.com/personal/elienai_cesar_uniasselvi_com_br1/Documents/Aplicativos/Microsoft%20Forms/Question%C3%A1rio%20sem%20t%C3%ADtulo/Envio%20da%20Lista%20de%20Presen%C3%A7a/ListaPresen%C3%A7aPraticas_ASSINADO_17_04_2026_Raul%20Aguirre.pdf</t>
  </si>
  <si>
    <t>https://uniasselvi01-my.sharepoint.com/personal/elienai_cesar_uniasselvi_com_br1/Documents/Aplicativos/Microsoft%20Forms/Question%C3%A1rio%20sem%20t%C3%ADtulo/Envio%20do%20Portf%C3%B3lio%20em%20PDF/PortfolioPraticaTutor_17_04_2026_Raul%20Aguirre.pdf</t>
  </si>
  <si>
    <t>https://uniasselvi01-my.sharepoint.com/personal/elienai_cesar_uniasselvi_com_br1/Documents/Aplicativos/Microsoft%20Forms/Question%C3%A1rio%20sem%20t%C3%ADtulo/Envio%20da%20Lista%20de%20Presen%C3%A7a/20260425_102109_Daniela%20Madruga.jpg</t>
  </si>
  <si>
    <t>https://uniasselvi01-my.sharepoint.com/personal/elienai_cesar_uniasselvi_com_br1/_layouts/15/Doc.aspx?sourcedoc=%7B89823F8B-E112-43A1-AC24-45D3BC8829A7%7D&amp;file=pratica%2025.04_Daniela%20Madruga.docx&amp;action=default&amp;mobileredirect=true</t>
  </si>
  <si>
    <t>Técnica Dietética 1: carnes, ovos e leguminosas;Técnica Dietética: pesos e medidas em alimentos e aplicação dos indicadores de preparo dos alimentos</t>
  </si>
  <si>
    <t>https://uniasselvi01-my.sharepoint.com/personal/elienai_cesar_uniasselvi_com_br1/Documents/Aplicativos/Microsoft%20Forms/Question%C3%A1rio%20sem%20t%C3%ADtulo/Envio%20da%20Lista%20de%20Presen%C3%A7a%202/Presen%C3%A7a%20t%C3%A9cnica%20e%20diet%C3%A9tica%201_Kellen%20Nascimento.jpeg</t>
  </si>
  <si>
    <t>https://uniasselvi01-my.sharepoint.com/personal/elienai_cesar_uniasselvi_com_br1/Documents/Aplicativos/Microsoft%20Forms/Question%C3%A1rio%20sem%20t%C3%ADtulo/Envio%20do%20Portf%C3%B3lio%20em%20PDF%202/Tutor%20-%20Portf%C3%B3lio%20das%20Atividades%20Pr%C3%A1ticas%20T%C3%A9c_Kellen%20Nascimento.pdf</t>
  </si>
  <si>
    <t>https://uniasselvi01-my.sharepoint.com/personal/elienai_cesar_uniasselvi_com_br1/Documents/Aplicativos/Microsoft%20Forms/Question%C3%A1rio%20sem%20t%C3%ADtulo/Envio%20da%20Lista%20de%20Presen%C3%A7a/FREQUENCIA%20SVD%20E%20SVA_Ana%20Souza.jpeg</t>
  </si>
  <si>
    <t>https://uniasselvi01-my.sharepoint.com/personal/elienai_cesar_uniasselvi_com_br1/Documents/Aplicativos/Microsoft%20Forms/Question%C3%A1rio%20sem%20t%C3%ADtulo/Envio%20do%20Portf%C3%B3lio%20em%20PDF/Tutor%20-%20Portf%C3%B3lio%20das%20Atividades%20Pr%C3%A1ticas%20SVD_Ana%20Souza.pdf</t>
  </si>
  <si>
    <t>Fototerapia na Reabilitação Fisioterapêutica: Prática em Eletrotermofototerapia;Fundamentos e Aplicações Clínicas da Eletroterapia: Prática em Eletrotermofototerapia</t>
  </si>
  <si>
    <t>https://uniasselvi01-my.sharepoint.com/personal/elienai_cesar_uniasselvi_com_br1/Documents/Aplicativos/Microsoft%20Forms/Question%C3%A1rio%20sem%20t%C3%ADtulo/Envio%20da%20Lista%20de%20Presen%C3%A7a%201/MODELO_Lista%20de%20Presen%C3%A7a%20das%20Pr%C3%A1ticas%20n%C3%A3o%20tev_Airton%20Farias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</si>
  <si>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20-%20N_Airton%20Farias.pdf</t>
  </si>
  <si>
    <t>Termoterapia na Reabilitação Fisioterapêutica: Aplicações Práticas e Benefícios Terapêuticos;Aplicação da Eletrotermofototerapia em Casos Clínicos Reais</t>
  </si>
  <si>
    <t>https://uniasselvi01-my.sharepoint.com/personal/elienai_cesar_uniasselvi_com_br1/Documents/Aplicativos/Microsoft%20Forms/Question%C3%A1rio%20sem%20t%C3%ADtulo/Envio%20da%20Lista%20de%20Presen%C3%A7a%201/MODELO_Lista%20de%20Presen%C3%A7a%20das%20Pr%C3%A1ticas%20naoa_Airton%20Farias.pdf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</si>
  <si>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%20-%20C_Airton%20Farias%203.pdf</t>
  </si>
  <si>
    <t>https://uniasselvi01-my.sharepoint.com/personal/elienai_cesar_uniasselvi_com_br1/Documents/Aplicativos/Microsoft%20Forms/Question%C3%A1rio%20sem%20t%C3%ADtulo/Envio%20da%20Lista%20de%20Presen%C3%A7a%204/22_4.._Maria%20Guerreiro.jpeg; https://uniasselvi01-my.sharepoint.com/personal/elienai_cesar_uniasselvi_com_br1/Documents/Aplicativos/Microsoft%20Forms/Question%C3%A1rio%20sem%20t%C3%ADtulo/Envio%20da%20Lista%20de%20Presen%C3%A7a%204/22_4._Maria%20Guerreiro.jpeg; https://uniasselvi01-my.sharepoint.com/personal/elienai_cesar_uniasselvi_com_br1/Documents/Aplicativos/Microsoft%20Forms/Question%C3%A1rio%20sem%20t%C3%ADtulo/Envio%20da%20Lista%20de%20Presen%C3%A7a%204/22_4_Maria%20Guerreiro.jpeg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</si>
  <si>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_%20de_Maria%20Guerreiro%201.pdf</t>
  </si>
  <si>
    <t>Representações do Desenho Técnico + Cotas e Escalas</t>
  </si>
  <si>
    <t>https://uniasselvi01-my.sharepoint.com/personal/elienai_cesar_uniasselvi_com_br1/Documents/Aplicativos/Microsoft%20Forms/Question%C3%A1rio%20sem%20t%C3%ADtulo/Envio%20da%20Lista%20de%20Presen%C3%A7a%204/22_4.._Maria%20Guerreiro%201.jpeg; https://uniasselvi01-my.sharepoint.com/personal/elienai_cesar_uniasselvi_com_br1/Documents/Aplicativos/Microsoft%20Forms/Question%C3%A1rio%20sem%20t%C3%ADtulo/Envio%20da%20Lista%20de%20Presen%C3%A7a%204/22_4._Maria%20Guerreiro%201.jpeg; https://uniasselvi01-my.sharepoint.com/personal/elienai_cesar_uniasselvi_com_br1/Documents/Aplicativos/Microsoft%20Forms/Question%C3%A1rio%20sem%20t%C3%ADtulo/Envio%20da%20Lista%20de%20Presen%C3%A7a%204/22_4_Maria%20Guerreiro%201.jpeg</t>
  </si>
  <si>
    <t>https://uniasselvi01-my.sharepoint.com/personal/elienai_cesar_uniasselvi_com_br1/Documents/Aplicativos/Microsoft%20Forms/Question%C3%A1rio%20sem%20t%C3%ADtulo/Envio%20do%20Portf%C3%B3lio%20em%20PDF%204/Tutor%20-%20Portf%C3%B3lio%20das%20Atividades%20Pr%C3%A1ticas_%20de_Maria%20Guerreiro%202.pdf</t>
  </si>
  <si>
    <t>alessandra.moreira@tutorpratica.uniasselvi.com.br</t>
  </si>
  <si>
    <t>Alessandra Moreira</t>
  </si>
  <si>
    <t>Guaramirim/SC</t>
  </si>
  <si>
    <t>ENGMAKER - Desenho Técnico no AutoCAD: Prática Essencial para Iniciantes.</t>
  </si>
  <si>
    <t>https://uniasselvi01-my.sharepoint.com/personal/elienai_cesar_uniasselvi_com_br1/Documents/Aplicativos/Microsoft%20Forms/Question%C3%A1rio%20sem%20t%C3%ADtulo/Envio%20da%20Lista%20de%20Presen%C3%A7a%203/Lista%20de%20presen%C3%A7a%2001-04_Alessandra%20Moreira.jpg</t>
  </si>
  <si>
    <t>https://uniasselvi01-my.sharepoint.com/personal/elienai_cesar_uniasselvi_com_br1/Documents/Aplicativos/Microsoft%20Forms/Question%C3%A1rio%20sem%20t%C3%ADtulo/Envio%20do%20Portf%C3%B3lio%20em%20PDF%203/Portf%C3%B3lio%20das%20Atividades%20Pr%C3%A1ticas_%20ordem%202%2001_Alessandra%20Moreira.pdf</t>
  </si>
  <si>
    <t>ENGMAKER - Conceitos Básicos do Desenho Auxiliado por Computador (AutoCAD)</t>
  </si>
  <si>
    <t>https://uniasselvi01-my.sharepoint.com/personal/elienai_cesar_uniasselvi_com_br1/Documents/Aplicativos/Microsoft%20Forms/Question%C3%A1rio%20sem%20t%C3%ADtulo/Envio%20da%20Lista%20de%20Presen%C3%A7a%203/Lista%20de%20presen%C3%A7a%2009-04_Alessandra%20Moreira.jpg</t>
  </si>
  <si>
    <t>https://uniasselvi01-my.sharepoint.com/personal/elienai_cesar_uniasselvi_com_br1/Documents/Aplicativos/Microsoft%20Forms/Question%C3%A1rio%20sem%20t%C3%ADtulo/Envio%20do%20Portf%C3%B3lio%20em%20PDF%203/Portf%C3%B3lio%20das%20Atividades%20Pr%C3%A1ticas_%20ordem%202%2002_Alessandra%20Moreira.pdf</t>
  </si>
  <si>
    <t>https://uniasselvi01-my.sharepoint.com/personal/elienai_cesar_uniasselvi_com_br1/Documents/Aplicativos/Microsoft%20Forms/Question%C3%A1rio%20sem%20t%C3%ADtulo/Envio%20da%20Lista%20de%20Presen%C3%A7a%205/MODELO_Lista%20de%20Presen%C3%A7a%20das%20Pr%C3%A1ticas_Michelle%20Pantoja%202.pdf</t>
  </si>
  <si>
    <t>https://uniasselvi01-my.sharepoint.com/personal/elienai_cesar_uniasselvi_com_br1/Documents/Aplicativos/Microsoft%20Forms/Question%C3%A1rio%20sem%20t%C3%ADtulo/Envio%20do%20Portf%C3%B3lio%20em%20PDF%205/Tutor%20-%20Portf%C3%B3lio%20das%20Atividades%20Pr%C3%A1ticas_Michelle%20Pantoja%205.pdf</t>
  </si>
  <si>
    <t>Técnica Dietética: pesos e medidas em alimentos e aplicação dos indicadores de preparo dos alimentos</t>
  </si>
  <si>
    <t>https://uniasselvi01-my.sharepoint.com/personal/elienai_cesar_uniasselvi_com_br1/Documents/Aplicativos/Microsoft%20Forms/Question%C3%A1rio%20sem%20t%C3%ADtulo/Envio%20da%20Lista%20de%20Presen%C3%A7a%202/IMG_20260423_192119_Laura%20Volpato.jpg</t>
  </si>
  <si>
    <t>https://uniasselvi01-my.sharepoint.com/personal/elienai_cesar_uniasselvi_com_br1/Documents/Aplicativos/Microsoft%20Forms/Question%C3%A1rio%20sem%20t%C3%ADtulo/Envio%20do%20Portf%C3%B3lio%20em%20PDF%202/19%20Portf%C3%B3lio%20das%20Atividades%20Pr%C3%A1ticas.docx%20(1)_Laura%20Volpato.pdf</t>
  </si>
  <si>
    <t>https://uniasselvi01-my.sharepoint.com/personal/elienai_cesar_uniasselvi_com_br1/Documents/Aplicativos/Microsoft%20Forms/Question%C3%A1rio%20sem%20t%C3%ADtulo/Envio%20da%20Lista%20de%20Presen%C3%A7a%202/IMG_20260423_205918_Laura%20Volpato.jpg</t>
  </si>
  <si>
    <t>https://uniasselvi01-my.sharepoint.com/personal/elienai_cesar_uniasselvi_com_br1/Documents/Aplicativos/Microsoft%20Forms/Question%C3%A1rio%20sem%20t%C3%ADtulo/Envio%20do%20Portf%C3%B3lio%20em%20PDF%202/20%20Portf%C3%B3lio%20das%20Atividades%20Pr%C3%A1ticas.docx_Laura%20Volpato.pdf</t>
  </si>
  <si>
    <t>https://uniasselvi01-my.sharepoint.com/personal/elienai_cesar_uniasselvi_com_br1/Documents/Aplicativos/Microsoft%20Forms/Question%C3%A1rio%20sem%20t%C3%ADtulo/Envio%20da%20Lista%20de%20Presen%C3%A7a/WhatsApp%20Image%202026-04-27%20at%2009.35.05_Salete%20Cruz.jpeg; https://uniasselvi01-my.sharepoint.com/personal/elienai_cesar_uniasselvi_com_br1/Documents/Aplicativos/Microsoft%20Forms/Question%C3%A1rio%20sem%20t%C3%ADtulo/Envio%20da%20Lista%20de%20Presen%C3%A7a/WhatsApp%20Image%202026-04-24%20at%2014.41.53_Salete%20Cruz.jpeg; https://uniasselvi01-my.sharepoint.com/personal/elienai_cesar_uniasselvi_com_br1/Documents/Aplicativos/Microsoft%20Forms/Question%C3%A1rio%20sem%20t%C3%ADtulo/Envio%20da%20Lista%20de%20Presen%C3%A7a/WhatsApp%20Image%202026-04-24%20at%2014.41.23_Salete%20Cruz.jpeg</t>
  </si>
  <si>
    <t>https://uniasselvi01-my.sharepoint.com/personal/elienai_cesar_uniasselvi_com_br1/_layouts/15/Doc.aspx?sourcedoc=%7BEE3E250F-4821-4F8F-991C-A004A7A71BF8%7D&amp;file=Tutor%20-%20Portf%C3%B3lio%20das%20Atividades%20Pr%C3%A1ticas%20ORD_Salete%20Cruz.docx&amp;action=default&amp;mobileredirect=true</t>
  </si>
  <si>
    <t>https://uniasselvi01-my.sharepoint.com/personal/elienai_cesar_uniasselvi_com_br1/Documents/Aplicativos/Microsoft%20Forms/Question%C3%A1rio%20sem%20t%C3%ADtulo/Envio%20da%20Lista%20de%20Presen%C3%A7a%201/WhatsApp%20Image%202026-04-27%20at%2011.11.27_Paulo%20Silva.jpeg</t>
  </si>
  <si>
    <t>https://uniasselvi01-my.sharepoint.com/personal/elienai_cesar_uniasselvi_com_br1/Documents/Aplicativos/Microsoft%20Forms/Question%C3%A1rio%20sem%20t%C3%ADtulo/Envio%20do%20Portf%C3%B3lio%20em%20PDF%201/Tutor%20-%20Portf%C3%B3lio%20das%20Atividades%20Pr%C3%A1ticas_Paulo%20Silva%202.pdf</t>
  </si>
  <si>
    <t>Emprego da reação de Benedict para a identificação de açúcares redutores em amostras vegetais</t>
  </si>
  <si>
    <t>https://uniasselvi01-my.sharepoint.com/personal/elienai_cesar_uniasselvi_com_br1/Documents/Aplicativos/Microsoft%20Forms/Question%C3%A1rio%20sem%20t%C3%ADtulo/Envio%20da%20Lista%20de%20Presen%C3%A7a%205/Folha%20de%20Frequecia%20Bioquimica%20-%2025.04.2026_Vitor%20Pinheiro.PDF</t>
  </si>
  <si>
    <t>https://uniasselvi01-my.sharepoint.com/personal/elienai_cesar_uniasselvi_com_br1/Documents/Aplicativos/Microsoft%20Forms/Question%C3%A1rio%20sem%20t%C3%ADtulo/Envio%20do%20Portf%C3%B3lio%20em%20PDF%205/Pratica%20de%20Bioquimica_Vitor%20Pinheiro.pdf</t>
  </si>
  <si>
    <t>https://uniasselvi01-my.sharepoint.com/personal/elienai_cesar_uniasselvi_com_br1/Documents/Aplicativos/Microsoft%20Forms/Question%C3%A1rio%20sem%20t%C3%ADtulo/Envio%20da%20Lista%20de%20Presen%C3%A7a%205/Folha%20de%20Frequecia%20desenho%20tecnico%20-%2025.04.20_Vitor%20Pinheiro.PDF</t>
  </si>
  <si>
    <t>https://uniasselvi01-my.sharepoint.com/personal/elienai_cesar_uniasselvi_com_br1/Documents/Aplicativos/Microsoft%20Forms/Question%C3%A1rio%20sem%20t%C3%ADtulo/Envio%20do%20Portf%C3%B3lio%20em%20PDF%205/Portifolio%20de%20Praticas%20-%20Desenho%20Tecnico%20ORDE_Vitor%20Pinheiro%201.pdf</t>
  </si>
  <si>
    <t>Laboratório</t>
  </si>
  <si>
    <t>Cursos</t>
  </si>
  <si>
    <t>EMF-ISN</t>
  </si>
  <si>
    <t>BFI</t>
  </si>
  <si>
    <t>ECE-ENM-ENS-ENG-EEA-GPI-CDE-OBR-SAN-TER-FSA-SLF-QUI</t>
  </si>
  <si>
    <t>AGM</t>
  </si>
  <si>
    <t>NTR</t>
  </si>
  <si>
    <t>BFR-BBI</t>
  </si>
  <si>
    <t>EngeMaker - Arquitetura</t>
  </si>
  <si>
    <t>BAU</t>
  </si>
  <si>
    <t>Multidisciplinar III - Biomedicina Estética, Fisioterapia, Terapia Ocupacional e Estética e Cosmética</t>
  </si>
  <si>
    <t>COS-TIP</t>
  </si>
  <si>
    <t>BTO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</si>
</sst>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d/mm/yyyy"/>
  </numFmts>
  <fonts count="3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0" borderId="0" xfId="0" applyFont="1"/>
    <xf numFmtId="14" fontId="1" fillId="0" borderId="0" xfId="0" applyNumberFormat="1" applyFont="1" applyAlignment="1">
      <alignment horizontal="left" vertical="center" wrapText="1"/>
    </xf>
    <xf numFmtId="0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131"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;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dd/mm/yy;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asselvi01.sharepoint.com/sites/gestaoped.polos/Shared%20Documents/02.%20Tutoria%20de%20Pr&#225;ticas/1.%20Quadro%20de%20Lota&#231;&#227;o/Lota&#231;&#227;o%20de%20Tutores.xlsm" TargetMode="External"/><Relationship Id="rId1" Type="http://schemas.openxmlformats.org/officeDocument/2006/relationships/externalLinkPath" Target="https://uniasselvi01.sharepoint.com/sites/gestaoped.polos/Shared%20Documents/02.%20Tutoria%20de%20Pr&#225;ticas/1.%20Quadro%20de%20Lota&#231;&#227;o/Lota&#231;&#227;o%20de%20Tutor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adro Geral de Lotação"/>
      <sheetName val="LISTAS"/>
      <sheetName val="HUB X DEPENDENTE"/>
      <sheetName val="CHAVE"/>
      <sheetName val="Chave (2)"/>
      <sheetName val="BIO-FAR PENDENTE"/>
      <sheetName val="SUBS PENDENTE"/>
      <sheetName val="Contagem de alunos"/>
      <sheetName val="Fluxo_Alunos"/>
      <sheetName val="Orçamento2"/>
      <sheetName val="Orçamento"/>
    </sheetNames>
    <sheetDataSet>
      <sheetData sheetId="0">
        <row r="1">
          <cell r="I1" t="str">
            <v>* Nomes em roxo, tutores duplicados</v>
          </cell>
        </row>
        <row r="2">
          <cell r="B2" t="str">
            <v>CHAVE LOTAÇÃO</v>
          </cell>
          <cell r="I2" t="str">
            <v>TUTOR DE PRATICA</v>
          </cell>
        </row>
        <row r="3">
          <cell r="B3" t="str">
            <v>Abaetetuba/PABAU</v>
          </cell>
          <cell r="I3" t="str">
            <v>-</v>
          </cell>
        </row>
        <row r="4">
          <cell r="B4" t="str">
            <v>Abaetetuba/PAECE-ENM-ENS-ENG-EEA-GPI-CDE-OBR-SAN-TER-FSA-SLF-QUI</v>
          </cell>
          <cell r="I4" t="str">
            <v>-</v>
          </cell>
        </row>
        <row r="5">
          <cell r="B5" t="str">
            <v>Abaetetuba/PAEMF-ISN</v>
          </cell>
          <cell r="I5" t="str">
            <v>Sandro Jose Santos Dos Santos</v>
          </cell>
        </row>
        <row r="6">
          <cell r="B6" t="str">
            <v>Acaraú/CEEMF-ISN</v>
          </cell>
          <cell r="I6" t="str">
            <v>Maria Suliana Machado Lima</v>
          </cell>
        </row>
        <row r="7">
          <cell r="B7" t="str">
            <v>Águas Belas/PEEMF-ISN</v>
          </cell>
          <cell r="I7" t="str">
            <v>Jose Cicero Rosendo Da Silva Filho</v>
          </cell>
        </row>
        <row r="8">
          <cell r="B8" t="str">
            <v>Alagoinhas/BABAU</v>
          </cell>
          <cell r="I8" t="str">
            <v>-</v>
          </cell>
        </row>
        <row r="9">
          <cell r="B9" t="str">
            <v>Alagoinhas/BABTO</v>
          </cell>
          <cell r="I9" t="str">
            <v>-</v>
          </cell>
        </row>
        <row r="10">
          <cell r="B10" t="str">
            <v>Alagoinhas/BACOS-TIP</v>
          </cell>
          <cell r="I10" t="str">
            <v>-</v>
          </cell>
        </row>
        <row r="11">
          <cell r="B11" t="e">
            <v>#VALUE!</v>
          </cell>
          <cell r="I11" t="str">
            <v>-</v>
          </cell>
        </row>
        <row r="12">
          <cell r="B12" t="str">
            <v>Alagoinhas/BABFI</v>
          </cell>
          <cell r="I12" t="str">
            <v>Priscila Maria Bittencourt Alves</v>
          </cell>
        </row>
        <row r="13">
          <cell r="B13" t="str">
            <v>Alagoinhas/BAAGM</v>
          </cell>
          <cell r="I13" t="str">
            <v>Vitor Batista Pinheiro</v>
          </cell>
        </row>
        <row r="14">
          <cell r="B14" t="str">
            <v>Alenquer/PAEMF-ISN</v>
          </cell>
          <cell r="I14" t="str">
            <v>Ana Flavia Chaves De Souza</v>
          </cell>
        </row>
        <row r="15">
          <cell r="B15" t="str">
            <v>Alta Floresta/MTBAU</v>
          </cell>
          <cell r="I15" t="str">
            <v>-</v>
          </cell>
        </row>
        <row r="16">
          <cell r="B16" t="str">
            <v>Alta Floresta/MTBBI</v>
          </cell>
          <cell r="I16" t="str">
            <v>-</v>
          </cell>
        </row>
        <row r="17">
          <cell r="B17" t="str">
            <v>Alta Floresta/MTBFR</v>
          </cell>
          <cell r="I17" t="str">
            <v>-</v>
          </cell>
        </row>
        <row r="18">
          <cell r="B18" t="str">
            <v>Alta Floresta/MTEMF-ISN</v>
          </cell>
          <cell r="I18" t="str">
            <v>-</v>
          </cell>
        </row>
        <row r="19">
          <cell r="B19" t="str">
            <v>Alta Floresta/MTECE-ENM-ENS-ENG-EEA-GPI-CDE-OBR-SAN-TER-FSA-SLF-QUI</v>
          </cell>
          <cell r="I19" t="str">
            <v>-</v>
          </cell>
        </row>
        <row r="20">
          <cell r="B20" t="str">
            <v>Altamira/PAEMF-ISN</v>
          </cell>
          <cell r="I20" t="str">
            <v>-</v>
          </cell>
        </row>
        <row r="21">
          <cell r="B21" t="str">
            <v>Amarante do Maranhão/MAEMF-ISN</v>
          </cell>
          <cell r="I21" t="str">
            <v>-</v>
          </cell>
        </row>
        <row r="22">
          <cell r="B22" t="str">
            <v>Ananindeua/PA - Cidade NovaEMF-ISN</v>
          </cell>
          <cell r="I22" t="str">
            <v>Alina Dariane Freitas Da Silva</v>
          </cell>
        </row>
        <row r="23">
          <cell r="B23" t="str">
            <v>Aquidauana/MSEMF-ISN</v>
          </cell>
          <cell r="I23" t="str">
            <v>Erika Martins Leite</v>
          </cell>
        </row>
        <row r="24">
          <cell r="B24" t="str">
            <v>Aracaju/SE - Ponto NovoNTR</v>
          </cell>
          <cell r="I24" t="str">
            <v>-</v>
          </cell>
        </row>
        <row r="25">
          <cell r="B25" t="str">
            <v>Aracaju/SE - Ponto NovoBBI</v>
          </cell>
          <cell r="I25" t="str">
            <v>-</v>
          </cell>
        </row>
        <row r="26">
          <cell r="B26" t="str">
            <v>Aracaju/SE - Ponto NovoEMF-ISN</v>
          </cell>
          <cell r="I26" t="str">
            <v>Caio Guilherme Santos Morais Oliveira</v>
          </cell>
        </row>
        <row r="27">
          <cell r="B27" t="str">
            <v>Aracaju/SE - Ponto NovoBFR</v>
          </cell>
          <cell r="I27" t="str">
            <v>Simone Gabino Barbosa De Oliveira</v>
          </cell>
        </row>
        <row r="28">
          <cell r="B28" t="str">
            <v>Aracati/CEBBI</v>
          </cell>
          <cell r="I28" t="str">
            <v>-</v>
          </cell>
        </row>
        <row r="29">
          <cell r="B29" t="str">
            <v>Aracati/CEBFI</v>
          </cell>
          <cell r="I29" t="str">
            <v>-</v>
          </cell>
        </row>
        <row r="30">
          <cell r="B30" t="str">
            <v>Aracati/CEBFR</v>
          </cell>
          <cell r="I30" t="str">
            <v>-</v>
          </cell>
        </row>
        <row r="31">
          <cell r="B31" t="str">
            <v>Aracati/CEBTO</v>
          </cell>
          <cell r="I31" t="str">
            <v>-</v>
          </cell>
        </row>
        <row r="32">
          <cell r="B32" t="str">
            <v>Aracati/CECOS-TIP</v>
          </cell>
          <cell r="I32" t="str">
            <v>-</v>
          </cell>
        </row>
        <row r="33">
          <cell r="B33" t="str">
            <v>Aracati/CEEMF-ISN</v>
          </cell>
          <cell r="I33" t="str">
            <v>Debora Ferreira Dos Anjos</v>
          </cell>
        </row>
        <row r="34">
          <cell r="B34" t="str">
            <v>Araguaína/TOEMF-ISN</v>
          </cell>
          <cell r="I34" t="str">
            <v>Vanessa De Oliveira Menezes</v>
          </cell>
        </row>
        <row r="35">
          <cell r="B35" t="str">
            <v>Arapiraca/ALBAU</v>
          </cell>
          <cell r="I35" t="str">
            <v>-</v>
          </cell>
        </row>
        <row r="36">
          <cell r="B36" t="e">
            <v>#VALUE!</v>
          </cell>
          <cell r="I36" t="str">
            <v>-</v>
          </cell>
        </row>
        <row r="37">
          <cell r="B37" t="str">
            <v>Arapiraca/ALAGM</v>
          </cell>
          <cell r="I37" t="str">
            <v>Emerson Dos Santos Ferreira Farias</v>
          </cell>
        </row>
        <row r="38">
          <cell r="B38" t="str">
            <v>Aripuanã/MTEMF-ISN</v>
          </cell>
          <cell r="I38" t="str">
            <v>Tarcilio Jose Salles Sampaio Neto</v>
          </cell>
        </row>
        <row r="39">
          <cell r="B39" t="str">
            <v>Assú/RNEMF-ISN</v>
          </cell>
          <cell r="I39" t="str">
            <v>Romulo Freire Pinto</v>
          </cell>
        </row>
        <row r="40">
          <cell r="B40" t="str">
            <v>Avaré/SPEMF-ISN</v>
          </cell>
          <cell r="I40" t="str">
            <v>Larissa Brandolin Ventura</v>
          </cell>
        </row>
        <row r="41">
          <cell r="B41" t="str">
            <v>Barcelos/AMEMF-ISN</v>
          </cell>
          <cell r="I41" t="str">
            <v>Priscila Ferreira De Sousa</v>
          </cell>
        </row>
        <row r="42">
          <cell r="B42" t="str">
            <v>Barra da Estiva/BAEMF-ISN</v>
          </cell>
          <cell r="I42" t="str">
            <v>-</v>
          </cell>
        </row>
        <row r="43">
          <cell r="B43" t="str">
            <v>Barra do Garças/MTEMF-ISN</v>
          </cell>
          <cell r="I43" t="str">
            <v>Gabriella Ribeiro Sousa</v>
          </cell>
        </row>
        <row r="44">
          <cell r="B44" t="str">
            <v>Barreirinhas/MAEMF-ISN</v>
          </cell>
          <cell r="I44" t="str">
            <v>Hozana De Almeida Evangelista</v>
          </cell>
        </row>
        <row r="45">
          <cell r="B45" t="str">
            <v>Baturité/CEEMF-ISN</v>
          </cell>
          <cell r="I45" t="str">
            <v>Aline Camurca Mesquita</v>
          </cell>
        </row>
        <row r="46">
          <cell r="B46" t="str">
            <v>Belém/PA - NazaréBAU</v>
          </cell>
          <cell r="I46" t="str">
            <v>-</v>
          </cell>
        </row>
        <row r="47">
          <cell r="B47" t="str">
            <v>Belém/PA - NazaréBBI</v>
          </cell>
          <cell r="I47" t="str">
            <v>-</v>
          </cell>
        </row>
        <row r="48">
          <cell r="B48" t="str">
            <v>Belém/PA - NazaréBFR</v>
          </cell>
          <cell r="I48" t="str">
            <v>-</v>
          </cell>
        </row>
        <row r="49">
          <cell r="B49" t="str">
            <v>Belém/PA - NazaréECE-ENM-ENS-ENG-EEA-GPI-CDE-OBR-SAN-TER-FSA-SLF-QUI</v>
          </cell>
          <cell r="I49" t="str">
            <v>Sandro Bastos De Moura</v>
          </cell>
        </row>
        <row r="50">
          <cell r="B50" t="str">
            <v>Belém/PA - São BrásBAU</v>
          </cell>
          <cell r="I50" t="str">
            <v>Doralice Vinagre Melo</v>
          </cell>
        </row>
        <row r="51">
          <cell r="B51" t="str">
            <v>Belém/PA - São BrásEMF-ISN</v>
          </cell>
          <cell r="I51" t="str">
            <v>Edenilza Fabiana De Almeida Santos</v>
          </cell>
        </row>
        <row r="52">
          <cell r="B52" t="str">
            <v>Belém/PA - São BrásECE-ENM-ENS-ENG-EEA-GPI-CDE-OBR-SAN-TER-FSA-SLF-QUI</v>
          </cell>
          <cell r="I52" t="str">
            <v>Fred Mauricio Ferreira Da Conceicao</v>
          </cell>
        </row>
        <row r="53">
          <cell r="B53" t="str">
            <v>Belo Horizonte/MG - BarreiroBBI</v>
          </cell>
          <cell r="I53" t="str">
            <v>-</v>
          </cell>
        </row>
        <row r="54">
          <cell r="B54" t="str">
            <v>Belo Horizonte/MG - BarreiroEMF-ISN</v>
          </cell>
          <cell r="I54" t="str">
            <v>Italo Leonardo Fernandes Faria</v>
          </cell>
        </row>
        <row r="55">
          <cell r="B55" t="str">
            <v>Belo Horizonte/MG - BarreiroBFR</v>
          </cell>
          <cell r="I55" t="str">
            <v>Katlen Ribeiro Gadelha</v>
          </cell>
        </row>
        <row r="56">
          <cell r="B56" t="e">
            <v>#VALUE!</v>
          </cell>
          <cell r="I56" t="str">
            <v>-</v>
          </cell>
        </row>
        <row r="57">
          <cell r="B57" t="str">
            <v>Belo Horizonte/MG - Shopping Estação BHBAU</v>
          </cell>
          <cell r="I57" t="str">
            <v>-</v>
          </cell>
        </row>
        <row r="58">
          <cell r="B58" t="str">
            <v>Belo Horizonte/MG - Shopping Estação BHBBI</v>
          </cell>
          <cell r="I58" t="str">
            <v>-</v>
          </cell>
        </row>
        <row r="59">
          <cell r="B59" t="str">
            <v>Belo Horizonte/MG - Shopping Estação BHBFR</v>
          </cell>
          <cell r="I59" t="str">
            <v>-</v>
          </cell>
        </row>
        <row r="60">
          <cell r="B60" t="str">
            <v>Belo Horizonte/MG - Shopping Estação BHEMF-ISN</v>
          </cell>
          <cell r="I60" t="str">
            <v>-</v>
          </cell>
        </row>
        <row r="61">
          <cell r="B61" t="str">
            <v>Belo Horizonte/MG - Shopping Estação BHAGM</v>
          </cell>
          <cell r="I61" t="str">
            <v>Ana Julia Ribeiro Dos Santos</v>
          </cell>
        </row>
        <row r="62">
          <cell r="B62" t="str">
            <v>Belo Horizonte/MG - Shopping Estação BHNTR</v>
          </cell>
          <cell r="I62" t="str">
            <v>Vinicius Augusto Da Silva</v>
          </cell>
        </row>
        <row r="63">
          <cell r="B63" t="str">
            <v>Bento Gonçalves/RSBAU</v>
          </cell>
          <cell r="I63" t="str">
            <v>-</v>
          </cell>
        </row>
        <row r="64">
          <cell r="B64" t="str">
            <v>Bento Gonçalves/RSEMF-ISN</v>
          </cell>
          <cell r="I64" t="str">
            <v>-</v>
          </cell>
        </row>
        <row r="65">
          <cell r="B65" t="str">
            <v>Bento Gonçalves/RSECE-ENM-ENS-ENG-EEA-GPI-CDE-OBR-SAN-TER-FSA-SLF-QUI</v>
          </cell>
          <cell r="I65" t="str">
            <v>-</v>
          </cell>
        </row>
        <row r="66">
          <cell r="B66" t="str">
            <v>Blumenau/SC - Salto Do Norte (Centro Universitário Dante)BAU</v>
          </cell>
          <cell r="I66" t="str">
            <v>-</v>
          </cell>
        </row>
        <row r="67">
          <cell r="B67" t="str">
            <v>Blumenau/SC - Salto Do Norte (Centro Universitário Dante)BFI</v>
          </cell>
          <cell r="I67" t="str">
            <v>-</v>
          </cell>
        </row>
        <row r="68">
          <cell r="B68" t="str">
            <v>Blumenau/SC - Salto Do Norte (Centro Universitário Dante)BTO</v>
          </cell>
          <cell r="I68" t="str">
            <v>-</v>
          </cell>
        </row>
        <row r="69">
          <cell r="B69" t="e">
            <v>#VALUE!</v>
          </cell>
          <cell r="I69" t="str">
            <v>-</v>
          </cell>
        </row>
        <row r="70">
          <cell r="B70" t="str">
            <v>Blumenau/SC - Salto Do Norte (Centro Universitário Dante)EMF-ISN</v>
          </cell>
          <cell r="I70" t="str">
            <v>-</v>
          </cell>
        </row>
        <row r="71">
          <cell r="B71" t="str">
            <v>Blumenau/SC - Salto Do Norte (Centro Universitário Dante)NTR</v>
          </cell>
          <cell r="I71" t="str">
            <v>-</v>
          </cell>
        </row>
        <row r="72">
          <cell r="B72" t="str">
            <v>Blumenau/SC - Salto Do Norte (Centro Universitário Dante)BBI</v>
          </cell>
          <cell r="I72" t="str">
            <v>-</v>
          </cell>
        </row>
        <row r="73">
          <cell r="B73" t="str">
            <v>Blumenau/SC - Salto Do Norte (Centro Universitário Dante)BFR</v>
          </cell>
          <cell r="I73" t="str">
            <v>-</v>
          </cell>
        </row>
        <row r="74">
          <cell r="B74" t="str">
            <v>Blumenau/SC - Salto Do Norte (Centro Universitário Dante)AGM</v>
          </cell>
          <cell r="I74" t="str">
            <v>Ariane Andreola</v>
          </cell>
        </row>
        <row r="75">
          <cell r="B75" t="str">
            <v>Blumenau/SC - Salto Do Norte (Centro Universitário Dante)COS-TIP</v>
          </cell>
          <cell r="I75" t="str">
            <v>Beatriz Henkels</v>
          </cell>
        </row>
        <row r="76">
          <cell r="B76" t="str">
            <v>Boa Viagem/CEBBI</v>
          </cell>
          <cell r="I76" t="str">
            <v>-</v>
          </cell>
        </row>
        <row r="77">
          <cell r="B77" t="str">
            <v>Boa Viagem/CEBFR</v>
          </cell>
          <cell r="I77" t="str">
            <v>-</v>
          </cell>
        </row>
        <row r="78">
          <cell r="B78" t="str">
            <v>Boa Viagem/CEBTO</v>
          </cell>
          <cell r="I78" t="str">
            <v>-</v>
          </cell>
        </row>
        <row r="79">
          <cell r="B79" t="str">
            <v>Boa Viagem/CECOS-TIP</v>
          </cell>
          <cell r="I79" t="str">
            <v>-</v>
          </cell>
        </row>
        <row r="80">
          <cell r="B80" t="str">
            <v>Boa Viagem/CEBFI</v>
          </cell>
          <cell r="I80" t="str">
            <v>Airton Souza Farias</v>
          </cell>
        </row>
        <row r="81">
          <cell r="B81" t="str">
            <v>Boa Viagem/CEEMF-ISN</v>
          </cell>
          <cell r="I81" t="str">
            <v>Aparecida Heliane Cavalcante Oliveira</v>
          </cell>
        </row>
        <row r="82">
          <cell r="B82" t="str">
            <v>Boa Vista/RR - CentroBBI</v>
          </cell>
          <cell r="I82" t="str">
            <v>-</v>
          </cell>
        </row>
        <row r="83">
          <cell r="B83" t="str">
            <v>Boa Vista/RR - CentroBFR</v>
          </cell>
          <cell r="I83" t="str">
            <v>-</v>
          </cell>
        </row>
        <row r="84">
          <cell r="B84" t="str">
            <v>Boa Vista/RR - CentroEMF-ISN</v>
          </cell>
          <cell r="I84" t="str">
            <v>Cleiton Mendes Honorato Sousa</v>
          </cell>
        </row>
        <row r="85">
          <cell r="B85" t="str">
            <v>Bom Jesus das Selvas/MAEMF-ISN</v>
          </cell>
          <cell r="I85" t="str">
            <v>Bruno Moreira Lima</v>
          </cell>
        </row>
        <row r="86">
          <cell r="B86" t="str">
            <v>Brasília/DF - Cruzeiro NovoBTO</v>
          </cell>
          <cell r="I86" t="str">
            <v>-</v>
          </cell>
        </row>
        <row r="87">
          <cell r="B87" t="str">
            <v>Brasília/DF - Cruzeiro NovoBFI</v>
          </cell>
          <cell r="I87" t="str">
            <v>Adriana Felipe Moura</v>
          </cell>
        </row>
        <row r="88">
          <cell r="B88" t="str">
            <v>Brasília/DF - Cruzeiro NovoCOS-TIP</v>
          </cell>
          <cell r="I88" t="str">
            <v>Beatriz Oliveira De Andrade</v>
          </cell>
        </row>
        <row r="89">
          <cell r="B89" t="str">
            <v>Brasília/DF - Núcleo BandeiranteNTR</v>
          </cell>
          <cell r="I89" t="str">
            <v>-</v>
          </cell>
        </row>
        <row r="90">
          <cell r="B90" t="str">
            <v>Brasília/DF - TaguatingaEMF-ISN</v>
          </cell>
          <cell r="I90" t="str">
            <v>Tatiane Da Silva Rodrigues</v>
          </cell>
        </row>
        <row r="91">
          <cell r="B91" t="str">
            <v>Brejo Santo/CEEMF-ISN</v>
          </cell>
          <cell r="I91" t="str">
            <v>-</v>
          </cell>
        </row>
        <row r="92">
          <cell r="B92" t="str">
            <v>Breu Branco/PAEMF-ISN</v>
          </cell>
          <cell r="I92" t="str">
            <v>Eduarda Teixeira Wisoski</v>
          </cell>
        </row>
        <row r="93">
          <cell r="B93" t="str">
            <v>Brusque/SCBAU</v>
          </cell>
          <cell r="I93" t="str">
            <v>-</v>
          </cell>
        </row>
        <row r="94">
          <cell r="B94" t="str">
            <v>Brusque/SCECE-ENM-ENS-ENG-EEA-GPI-CDE-OBR-SAN-TER-FSA-SLF-QUI</v>
          </cell>
          <cell r="I94" t="str">
            <v>-</v>
          </cell>
        </row>
        <row r="95">
          <cell r="B95" t="str">
            <v>Brusque/SCEMF-ISN</v>
          </cell>
          <cell r="I95" t="str">
            <v>Fabio Junior da Rosa</v>
          </cell>
        </row>
        <row r="96">
          <cell r="B96" t="str">
            <v>Buriticupu/MAEMF-ISN</v>
          </cell>
          <cell r="I96" t="str">
            <v>Thayanna Karen Pires Muniz</v>
          </cell>
        </row>
        <row r="97">
          <cell r="B97" t="str">
            <v>Cabo Frio/RJBBI</v>
          </cell>
          <cell r="I97" t="str">
            <v>-</v>
          </cell>
        </row>
        <row r="98">
          <cell r="B98" t="str">
            <v>Cabo Frio/RJBFR</v>
          </cell>
          <cell r="I98" t="str">
            <v>-</v>
          </cell>
        </row>
        <row r="99">
          <cell r="B99" t="str">
            <v>Cabo Frio/RJEMF-ISN</v>
          </cell>
          <cell r="I99" t="str">
            <v>-</v>
          </cell>
        </row>
        <row r="100">
          <cell r="B100" t="str">
            <v>Cabo Frio/RJBFI</v>
          </cell>
          <cell r="I100" t="str">
            <v>-</v>
          </cell>
        </row>
        <row r="101">
          <cell r="B101" t="str">
            <v>Cabo Frio/RJBTO</v>
          </cell>
          <cell r="I101" t="str">
            <v>-</v>
          </cell>
        </row>
        <row r="102">
          <cell r="B102" t="str">
            <v>Cabo Frio/RJCOS-TIP</v>
          </cell>
          <cell r="I102" t="str">
            <v>-</v>
          </cell>
        </row>
        <row r="103">
          <cell r="B103" t="str">
            <v>Cáceres/MTEMF-ISN</v>
          </cell>
          <cell r="I103" t="str">
            <v>Vanessa Accacio Gomes Lopes</v>
          </cell>
        </row>
        <row r="104">
          <cell r="B104" t="str">
            <v>Camaquã/RSAGM</v>
          </cell>
          <cell r="I104" t="str">
            <v>-</v>
          </cell>
        </row>
        <row r="105">
          <cell r="B105" t="str">
            <v>Camaquã/RSBAU</v>
          </cell>
          <cell r="I105" t="str">
            <v>-</v>
          </cell>
        </row>
        <row r="106">
          <cell r="B106" t="str">
            <v>Camaquã/RSBBI</v>
          </cell>
          <cell r="I106" t="str">
            <v>-</v>
          </cell>
        </row>
        <row r="107">
          <cell r="B107" t="str">
            <v>Camaquã/RSBFR</v>
          </cell>
          <cell r="I107" t="str">
            <v>-</v>
          </cell>
        </row>
        <row r="108">
          <cell r="B108" t="e">
            <v>#VALUE!</v>
          </cell>
          <cell r="I108" t="str">
            <v>-</v>
          </cell>
        </row>
        <row r="109">
          <cell r="B109" t="str">
            <v>Camaquã/RSEMF-ISN</v>
          </cell>
          <cell r="I109" t="str">
            <v>Thaylane De Mattos Centeno</v>
          </cell>
        </row>
        <row r="110">
          <cell r="B110" t="str">
            <v>Camboriú/SCECE-ENM-ENS-ENG-EEA-GPI-CDE-OBR-SAN-TER-FSA-SLF-QUI</v>
          </cell>
          <cell r="I110" t="str">
            <v>-</v>
          </cell>
        </row>
        <row r="111">
          <cell r="B111" t="str">
            <v>Camboriú/SCBAU</v>
          </cell>
          <cell r="I111" t="str">
            <v>Gilnei Da Silva Dias</v>
          </cell>
        </row>
        <row r="112">
          <cell r="B112" t="str">
            <v>Cametá/PABBI</v>
          </cell>
          <cell r="I112" t="str">
            <v>-</v>
          </cell>
        </row>
        <row r="113">
          <cell r="B113" t="str">
            <v>Cametá/PABFR</v>
          </cell>
          <cell r="I113" t="str">
            <v>-</v>
          </cell>
        </row>
        <row r="114">
          <cell r="B114" t="str">
            <v>Cametá/PAEMF-ISN</v>
          </cell>
          <cell r="I114" t="str">
            <v>Marcelle Patricia Oliveira Pinto</v>
          </cell>
        </row>
        <row r="115">
          <cell r="B115" t="str">
            <v>Campina Grande/PBBBI</v>
          </cell>
          <cell r="I115" t="str">
            <v>-</v>
          </cell>
        </row>
        <row r="116">
          <cell r="B116" t="str">
            <v>Campina Grande/PBBFR</v>
          </cell>
          <cell r="I116" t="str">
            <v>Andre Carlison De Lima Oliveira</v>
          </cell>
        </row>
        <row r="117">
          <cell r="B117" t="str">
            <v>Campina Grande/PBEMF-ISN</v>
          </cell>
          <cell r="I117" t="str">
            <v>Cassandra Alves De Oliveira Silva</v>
          </cell>
        </row>
        <row r="118">
          <cell r="B118" t="e">
            <v>#VALUE!</v>
          </cell>
          <cell r="I118" t="str">
            <v>-</v>
          </cell>
        </row>
        <row r="119">
          <cell r="B119" t="str">
            <v>Campinas/SP - AboliçãoBAU</v>
          </cell>
          <cell r="I119" t="str">
            <v>-</v>
          </cell>
        </row>
        <row r="120">
          <cell r="B120" t="str">
            <v>Campinas/SP - AboliçãoBFI</v>
          </cell>
          <cell r="I120" t="str">
            <v>-</v>
          </cell>
        </row>
        <row r="121">
          <cell r="B121" t="str">
            <v>Campinas/SP - AboliçãoBTO</v>
          </cell>
          <cell r="I121" t="str">
            <v>-</v>
          </cell>
        </row>
        <row r="122">
          <cell r="B122" t="str">
            <v>Campinas/SP - AboliçãoCOS-TIP</v>
          </cell>
          <cell r="I122" t="str">
            <v>-</v>
          </cell>
        </row>
        <row r="123">
          <cell r="B123" t="str">
            <v>Campinas/SP - AboliçãoEMF-ISN</v>
          </cell>
          <cell r="I123" t="str">
            <v>-</v>
          </cell>
        </row>
        <row r="124">
          <cell r="B124" t="str">
            <v>Campinas/SP - AboliçãoBBI</v>
          </cell>
          <cell r="I124" t="str">
            <v>-</v>
          </cell>
        </row>
        <row r="125">
          <cell r="B125" t="str">
            <v>Campinas/SP - AboliçãoAGM</v>
          </cell>
          <cell r="I125" t="str">
            <v>Marina Pedroso Carneiro</v>
          </cell>
        </row>
        <row r="126">
          <cell r="B126" t="str">
            <v>Campinas/SP - AboliçãoBFR</v>
          </cell>
          <cell r="I126" t="str">
            <v>Rodrigo Cavalheiro Da Silva</v>
          </cell>
        </row>
        <row r="127">
          <cell r="B127" t="str">
            <v>Campinas/SP - AboliçãoNTR</v>
          </cell>
          <cell r="I127" t="str">
            <v>Thaisa Silveira</v>
          </cell>
        </row>
        <row r="128">
          <cell r="B128" t="str">
            <v>Campo Grande/MS - Santo AntonioBBI</v>
          </cell>
          <cell r="I128" t="str">
            <v>-</v>
          </cell>
        </row>
        <row r="129">
          <cell r="B129" t="str">
            <v>Campo Grande/MS - Santo AntonioBFR</v>
          </cell>
          <cell r="I129" t="str">
            <v>Giovana Coutinho Zulin Nascimento</v>
          </cell>
        </row>
        <row r="130">
          <cell r="B130" t="str">
            <v>Campo Grande/MS - Terminal MorenãoEMF-ISN</v>
          </cell>
          <cell r="I130" t="str">
            <v>-</v>
          </cell>
        </row>
        <row r="131">
          <cell r="B131" t="str">
            <v>Campos dos Goytacazes/RJ - PelincaBBI</v>
          </cell>
          <cell r="I131" t="str">
            <v>-</v>
          </cell>
        </row>
        <row r="132">
          <cell r="B132" t="str">
            <v>Campos dos Goytacazes/RJ - PelincaEMF-ISN</v>
          </cell>
          <cell r="I132" t="str">
            <v>-</v>
          </cell>
        </row>
        <row r="133">
          <cell r="B133" t="str">
            <v>Campos dos Goytacazes/RJ - PelincaBFR</v>
          </cell>
          <cell r="I133" t="str">
            <v>Lais Rangel De Souza Azevedo Maia</v>
          </cell>
        </row>
        <row r="134">
          <cell r="B134" t="str">
            <v>Canaã dos Carajás/PAAGM</v>
          </cell>
          <cell r="I134" t="str">
            <v>-</v>
          </cell>
        </row>
        <row r="135">
          <cell r="B135" t="str">
            <v>Canaã dos Carajás/PABAU</v>
          </cell>
          <cell r="I135" t="str">
            <v>-</v>
          </cell>
        </row>
        <row r="136">
          <cell r="B136" t="e">
            <v>#VALUE!</v>
          </cell>
          <cell r="I136" t="str">
            <v>-</v>
          </cell>
        </row>
        <row r="137">
          <cell r="B137" t="str">
            <v>Canindé/CEBTO</v>
          </cell>
          <cell r="I137" t="str">
            <v>-</v>
          </cell>
        </row>
        <row r="138">
          <cell r="B138" t="str">
            <v>Canindé/CECOS-TIP</v>
          </cell>
          <cell r="I138" t="str">
            <v>-</v>
          </cell>
        </row>
        <row r="139">
          <cell r="B139" t="str">
            <v>Canindé/CEBFI</v>
          </cell>
          <cell r="I139" t="str">
            <v>Antonio Elinardo Abreu Sales</v>
          </cell>
        </row>
        <row r="140">
          <cell r="B140" t="str">
            <v>Canindé/CEEMF-ISN</v>
          </cell>
          <cell r="I140" t="str">
            <v>Gauthelly Gomes De Miranda</v>
          </cell>
        </row>
        <row r="141">
          <cell r="B141" t="str">
            <v>Canoas/RS - CentroEMF-ISN</v>
          </cell>
          <cell r="I141" t="str">
            <v>Mariana Kallenbach Oliveira</v>
          </cell>
        </row>
        <row r="142">
          <cell r="B142" t="str">
            <v>Canoinhas/SCBAU</v>
          </cell>
          <cell r="I142" t="str">
            <v>-</v>
          </cell>
        </row>
        <row r="143">
          <cell r="B143" t="str">
            <v>Canoinhas/SCECE-ENM-ENS-ENG-EEA-GPI-CDE-OBR-SAN-TER-FSA-SLF-QUI</v>
          </cell>
          <cell r="I143" t="str">
            <v>-</v>
          </cell>
        </row>
        <row r="144">
          <cell r="B144" t="str">
            <v>Canoinhas/SCEMF-ISN</v>
          </cell>
          <cell r="I144" t="str">
            <v>Diovana Aparecida De Paula Kriginski</v>
          </cell>
        </row>
        <row r="145">
          <cell r="B145" t="e">
            <v>#VALUE!</v>
          </cell>
          <cell r="I145" t="str">
            <v>-</v>
          </cell>
        </row>
        <row r="146">
          <cell r="B146" t="str">
            <v>Capão Da Canoa/RSBAU</v>
          </cell>
          <cell r="I146" t="str">
            <v>-</v>
          </cell>
        </row>
        <row r="147">
          <cell r="B147" t="str">
            <v>Capão Da Canoa/RSAGM</v>
          </cell>
          <cell r="I147" t="str">
            <v>-</v>
          </cell>
        </row>
        <row r="148">
          <cell r="B148" t="str">
            <v>Capão Da Canoa/RSBBI</v>
          </cell>
          <cell r="I148" t="str">
            <v>-</v>
          </cell>
        </row>
        <row r="149">
          <cell r="B149" t="str">
            <v>Capão Da Canoa/RSEMF-ISN</v>
          </cell>
          <cell r="I149" t="str">
            <v>Alessandra Sibele Borges Pedroso</v>
          </cell>
        </row>
        <row r="150">
          <cell r="B150" t="str">
            <v>Capão Da Canoa/RSNTR</v>
          </cell>
          <cell r="I150" t="str">
            <v>Ana Carolina Da Silva Sedrez</v>
          </cell>
        </row>
        <row r="151">
          <cell r="B151" t="str">
            <v>Capão Da Canoa/RSBFR</v>
          </cell>
          <cell r="I151" t="str">
            <v>Ivete Terezinha Machado Da Rocha</v>
          </cell>
        </row>
        <row r="152">
          <cell r="B152" t="str">
            <v>Carapicuíba/SPEMF-ISN</v>
          </cell>
          <cell r="I152" t="str">
            <v>Sandra Fernandes Massad</v>
          </cell>
        </row>
        <row r="153">
          <cell r="B153" t="str">
            <v>Caratinga/MGEMF-ISN</v>
          </cell>
          <cell r="I153" t="str">
            <v>Bruna Ribeiro Tortelote</v>
          </cell>
        </row>
        <row r="154">
          <cell r="B154" t="str">
            <v>Cariacica/ES - Shopping MoxuaraBBI</v>
          </cell>
          <cell r="I154" t="str">
            <v>-</v>
          </cell>
        </row>
        <row r="155">
          <cell r="B155" t="str">
            <v>Cariacica/ES - Shopping MoxuaraBFI</v>
          </cell>
          <cell r="I155" t="str">
            <v>-</v>
          </cell>
        </row>
        <row r="156">
          <cell r="B156" t="str">
            <v>Cariacica/ES - Shopping MoxuaraBFR</v>
          </cell>
          <cell r="I156" t="str">
            <v>-</v>
          </cell>
        </row>
        <row r="157">
          <cell r="B157" t="str">
            <v>Cariacica/ES - Shopping MoxuaraBTO</v>
          </cell>
          <cell r="I157" t="str">
            <v>-</v>
          </cell>
        </row>
        <row r="158">
          <cell r="B158" t="str">
            <v>Cariacica/ES - Shopping MoxuaraCOS-TIP</v>
          </cell>
          <cell r="I158" t="str">
            <v>-</v>
          </cell>
        </row>
        <row r="159">
          <cell r="B159" t="str">
            <v>Cascavel/PREMF-ISN</v>
          </cell>
          <cell r="I159" t="str">
            <v>Geonice Liber Baratieri</v>
          </cell>
        </row>
        <row r="160">
          <cell r="B160" t="str">
            <v>Catalão/GOBAU</v>
          </cell>
          <cell r="I160" t="str">
            <v>-</v>
          </cell>
        </row>
        <row r="161">
          <cell r="B161" t="e">
            <v>#VALUE!</v>
          </cell>
          <cell r="I161" t="str">
            <v>-</v>
          </cell>
        </row>
        <row r="162">
          <cell r="B162" t="str">
            <v>Catalão/GOEMF-ISN</v>
          </cell>
          <cell r="I162" t="str">
            <v>Alessandra Santos Silveira</v>
          </cell>
        </row>
        <row r="163">
          <cell r="B163" t="str">
            <v>Catalão/GOAGM</v>
          </cell>
          <cell r="I163" t="str">
            <v>Marla Maria Ferreira De Souza</v>
          </cell>
        </row>
        <row r="164">
          <cell r="B164" t="str">
            <v>Caxias Do Sul/RS - Shopping VillagioBBI</v>
          </cell>
          <cell r="I164" t="str">
            <v>-</v>
          </cell>
        </row>
        <row r="165">
          <cell r="B165" t="str">
            <v>Caxias Do Sul/RS - Shopping VillagioBFR</v>
          </cell>
          <cell r="I165" t="str">
            <v>Jessica Laiz Carvalho Dos Santos Cunha</v>
          </cell>
        </row>
        <row r="166">
          <cell r="B166" t="str">
            <v>Cedro/CEEMF-ISN</v>
          </cell>
          <cell r="I166" t="str">
            <v>Jaqueline Lima Bezerra Dos Santos</v>
          </cell>
        </row>
        <row r="167">
          <cell r="B167" t="str">
            <v>Chapadinha/MAEMF-ISN</v>
          </cell>
          <cell r="I167" t="str">
            <v>Raquel De Oliveira Rocha Abreu</v>
          </cell>
        </row>
        <row r="168">
          <cell r="B168" t="str">
            <v>Chapecó/SC - CentroBAU</v>
          </cell>
          <cell r="I168" t="str">
            <v>-</v>
          </cell>
        </row>
        <row r="169">
          <cell r="B169" t="str">
            <v>Chapecó/SC - CentroBBI</v>
          </cell>
          <cell r="I169" t="str">
            <v>-</v>
          </cell>
        </row>
        <row r="170">
          <cell r="B170" t="str">
            <v>Chapecó/SC - CentroBFR</v>
          </cell>
          <cell r="I170" t="str">
            <v>-</v>
          </cell>
        </row>
        <row r="171">
          <cell r="B171" t="str">
            <v>Chapecó/SC - CentroECE-ENM-ENS-ENG-EEA-GPI-CDE-OBR-SAN-TER-FSA-SLF-QUI</v>
          </cell>
          <cell r="I171" t="str">
            <v>Gabriela Fanck Dos Santos</v>
          </cell>
        </row>
        <row r="172">
          <cell r="B172" t="str">
            <v>Chapecó/SC - CentroEMF-ISN</v>
          </cell>
          <cell r="I172" t="str">
            <v>Joinice Lineira Oliveira Hippolyte</v>
          </cell>
        </row>
        <row r="173">
          <cell r="B173" t="str">
            <v>Cocos/BAEMF-ISN</v>
          </cell>
          <cell r="I173" t="str">
            <v>-</v>
          </cell>
        </row>
        <row r="174">
          <cell r="B174" t="str">
            <v>Colatina/ESEMF-ISN</v>
          </cell>
          <cell r="I174" t="str">
            <v>-</v>
          </cell>
        </row>
        <row r="175">
          <cell r="B175" t="str">
            <v>Colíder/MTAGM</v>
          </cell>
          <cell r="I175" t="str">
            <v>-</v>
          </cell>
        </row>
        <row r="176">
          <cell r="B176" t="str">
            <v>Colíder/MTBAU</v>
          </cell>
          <cell r="I176" t="str">
            <v>-</v>
          </cell>
        </row>
        <row r="177">
          <cell r="B177" t="e">
            <v>#VALUE!</v>
          </cell>
          <cell r="I177" t="str">
            <v>-</v>
          </cell>
        </row>
        <row r="178">
          <cell r="B178" t="str">
            <v>Colíder/MTEMF-ISN</v>
          </cell>
          <cell r="I178" t="str">
            <v>Elaine Cristina Bianchi De Oliveira</v>
          </cell>
        </row>
        <row r="179">
          <cell r="B179" t="str">
            <v>Conselheiro Lafaiete/MGEMF-ISN</v>
          </cell>
          <cell r="I179" t="str">
            <v>Aline Graziele Goncalves Costa</v>
          </cell>
        </row>
        <row r="180">
          <cell r="B180" t="str">
            <v>Corumbá/MSBAU</v>
          </cell>
          <cell r="I180" t="str">
            <v>-</v>
          </cell>
        </row>
        <row r="181">
          <cell r="B181" t="str">
            <v>Corumbá/MSBBI</v>
          </cell>
          <cell r="I181" t="str">
            <v>-</v>
          </cell>
        </row>
        <row r="182">
          <cell r="B182" t="str">
            <v>Corumbá/MSBFI</v>
          </cell>
          <cell r="I182" t="str">
            <v>-</v>
          </cell>
        </row>
        <row r="183">
          <cell r="B183" t="str">
            <v>Corumbá/MSBFR</v>
          </cell>
          <cell r="I183" t="str">
            <v>-</v>
          </cell>
        </row>
        <row r="184">
          <cell r="B184" t="str">
            <v>Corumbá/MSBTO</v>
          </cell>
          <cell r="I184" t="str">
            <v>-</v>
          </cell>
        </row>
        <row r="185">
          <cell r="B185" t="str">
            <v>Corumbá/MSCOS-TIP</v>
          </cell>
          <cell r="I185" t="str">
            <v>-</v>
          </cell>
        </row>
        <row r="186">
          <cell r="B186" t="str">
            <v>Corumbá/MSECE-ENM-ENS-ENG-EEA-GPI-CDE-OBR-SAN-TER-FSA-SLF-QUI</v>
          </cell>
          <cell r="I186" t="str">
            <v>-</v>
          </cell>
        </row>
        <row r="187">
          <cell r="B187" t="str">
            <v>Corumbá/MSEMF-ISN</v>
          </cell>
          <cell r="I187" t="str">
            <v>Ada Cecilia Gomes Porto</v>
          </cell>
        </row>
        <row r="188">
          <cell r="B188" t="str">
            <v>Criciúma/SCBAU</v>
          </cell>
          <cell r="I188" t="str">
            <v>-</v>
          </cell>
        </row>
        <row r="189">
          <cell r="B189" t="str">
            <v>Criciúma/SCBBI</v>
          </cell>
          <cell r="I189" t="str">
            <v>-</v>
          </cell>
        </row>
        <row r="190">
          <cell r="B190" t="str">
            <v>Criciúma/SCBFI</v>
          </cell>
          <cell r="I190" t="str">
            <v>-</v>
          </cell>
        </row>
        <row r="191">
          <cell r="B191" t="str">
            <v>Criciúma/SCBFR</v>
          </cell>
          <cell r="I191" t="str">
            <v>-</v>
          </cell>
        </row>
        <row r="192">
          <cell r="B192" t="str">
            <v>Criciúma/SCBTO</v>
          </cell>
          <cell r="I192" t="str">
            <v>-</v>
          </cell>
        </row>
        <row r="193">
          <cell r="B193" t="str">
            <v>Criciúma/SCCOS-TIP</v>
          </cell>
          <cell r="I193" t="str">
            <v>-</v>
          </cell>
        </row>
        <row r="194">
          <cell r="B194" t="str">
            <v>Criciúma/SCECE-ENM-ENS-ENG-EEA-GPI-CDE-OBR-SAN-TER-FSA-SLF-QUI</v>
          </cell>
          <cell r="I194" t="str">
            <v>-</v>
          </cell>
        </row>
        <row r="195">
          <cell r="B195" t="str">
            <v>Criciúma/SCNTR</v>
          </cell>
          <cell r="I195" t="str">
            <v>Izabela Cechinel Biela</v>
          </cell>
        </row>
        <row r="196">
          <cell r="B196" t="str">
            <v>Cristalina/GOEMF-ISN</v>
          </cell>
          <cell r="I196" t="str">
            <v>Merielle Fatima Rabelo Alves</v>
          </cell>
        </row>
        <row r="197">
          <cell r="B197" t="str">
            <v>Cruz Alta/RSEMF-ISN</v>
          </cell>
          <cell r="I197" t="str">
            <v>Jessica Lemes Garces</v>
          </cell>
        </row>
        <row r="198">
          <cell r="B198" t="str">
            <v>Cruzeiro Do Sul/ACEMF-ISN</v>
          </cell>
          <cell r="I198" t="str">
            <v>Antonia Fabricia Martins Da Silva</v>
          </cell>
        </row>
        <row r="199">
          <cell r="B199" t="str">
            <v>Cuiabá/MT - CPABBI</v>
          </cell>
          <cell r="I199" t="str">
            <v>-</v>
          </cell>
        </row>
        <row r="200">
          <cell r="B200" t="str">
            <v>Cuiabá/MT - CPABFI</v>
          </cell>
          <cell r="I200" t="str">
            <v>-</v>
          </cell>
        </row>
        <row r="201">
          <cell r="B201" t="str">
            <v>Cuiabá/MT - CPABFR</v>
          </cell>
          <cell r="I201" t="str">
            <v>-</v>
          </cell>
        </row>
        <row r="202">
          <cell r="B202" t="str">
            <v>Cuiabá/MT - CPABTO</v>
          </cell>
          <cell r="I202" t="str">
            <v>-</v>
          </cell>
        </row>
        <row r="203">
          <cell r="B203" t="str">
            <v>Cuiabá/MT - CPACOS-TIP</v>
          </cell>
          <cell r="I203" t="str">
            <v>-</v>
          </cell>
        </row>
        <row r="204">
          <cell r="B204" t="e">
            <v>#VALUE!</v>
          </cell>
          <cell r="I204" t="str">
            <v>-</v>
          </cell>
        </row>
        <row r="205">
          <cell r="B205" t="str">
            <v>Cuiabá/MT - PoçãoAGM</v>
          </cell>
          <cell r="I205" t="str">
            <v>-</v>
          </cell>
        </row>
        <row r="206">
          <cell r="B206" t="str">
            <v>Cuiabá/MT - PoçãoBAU</v>
          </cell>
          <cell r="I206" t="str">
            <v>-</v>
          </cell>
        </row>
        <row r="207">
          <cell r="B207" t="str">
            <v>Cuiabá/MT - PoçãoEMF-ISN</v>
          </cell>
          <cell r="I207" t="str">
            <v>-</v>
          </cell>
        </row>
        <row r="208">
          <cell r="B208" t="str">
            <v>Curitiba/PR - BoqueirãoBAU</v>
          </cell>
          <cell r="I208" t="str">
            <v>-</v>
          </cell>
        </row>
        <row r="209">
          <cell r="B209" t="e">
            <v>#VALUE!</v>
          </cell>
          <cell r="I209" t="str">
            <v>-</v>
          </cell>
        </row>
        <row r="210">
          <cell r="B210" t="str">
            <v>Curitiba/PR - BoqueirãoBBI</v>
          </cell>
          <cell r="I210" t="str">
            <v>-</v>
          </cell>
        </row>
        <row r="211">
          <cell r="B211" t="str">
            <v>Curitiba/PR - BoqueirãoBFR</v>
          </cell>
          <cell r="I211" t="str">
            <v>Aline Margareth Nogueira Maciel</v>
          </cell>
        </row>
        <row r="212">
          <cell r="B212" t="str">
            <v>Curitiba/PR - BoqueirãoEMF-ISN</v>
          </cell>
          <cell r="I212" t="str">
            <v>Fadia Amira Baitala</v>
          </cell>
        </row>
        <row r="213">
          <cell r="B213" t="str">
            <v>Curitiba/PR - BoqueirãoAGM</v>
          </cell>
          <cell r="I213" t="str">
            <v>Thais De Souza</v>
          </cell>
        </row>
        <row r="214">
          <cell r="B214" t="str">
            <v>Curitiba/PR - CentroBFI</v>
          </cell>
          <cell r="I214" t="str">
            <v>-</v>
          </cell>
        </row>
        <row r="215">
          <cell r="B215" t="str">
            <v>Curitiba/PR - CentroBTO</v>
          </cell>
          <cell r="I215" t="str">
            <v>-</v>
          </cell>
        </row>
        <row r="216">
          <cell r="B216" t="str">
            <v>Curitiba/PR - CentroCOS-TIP</v>
          </cell>
          <cell r="I216" t="str">
            <v>-</v>
          </cell>
        </row>
        <row r="217">
          <cell r="B217" t="str">
            <v>Curitiba/PR - CentroBBI</v>
          </cell>
          <cell r="I217" t="str">
            <v>-</v>
          </cell>
        </row>
        <row r="218">
          <cell r="B218" t="str">
            <v>Curitiba/PR - CentroBFR</v>
          </cell>
          <cell r="I218" t="str">
            <v>Paolla Armstrong Marques</v>
          </cell>
        </row>
        <row r="219">
          <cell r="B219" t="str">
            <v>Curitiba/PR - CentroEMF-ISN</v>
          </cell>
          <cell r="I219" t="str">
            <v>Vania Carvalho De Oliveira Schuertz</v>
          </cell>
        </row>
        <row r="220">
          <cell r="B220" t="str">
            <v>Curitibanos/SCBAU</v>
          </cell>
          <cell r="I220" t="str">
            <v>-</v>
          </cell>
        </row>
        <row r="221">
          <cell r="B221" t="str">
            <v>Curitibanos/SCBBI</v>
          </cell>
          <cell r="I221" t="str">
            <v>-</v>
          </cell>
        </row>
        <row r="222">
          <cell r="B222" t="str">
            <v>Curitibanos/SCBFR</v>
          </cell>
          <cell r="I222" t="str">
            <v>-</v>
          </cell>
        </row>
        <row r="223">
          <cell r="B223" t="str">
            <v>Curitibanos/SCECE-ENM-ENS-ENG-EEA-GPI-CDE-OBR-SAN-TER-FSA-SLF-QUI</v>
          </cell>
          <cell r="I223" t="str">
            <v>-</v>
          </cell>
        </row>
        <row r="224">
          <cell r="B224" t="str">
            <v>Curitibanos/SCEMF-ISN</v>
          </cell>
          <cell r="I224" t="str">
            <v>Clademir Jose Fernandes Da Silva</v>
          </cell>
        </row>
        <row r="225">
          <cell r="B225" t="str">
            <v>Curvelo/MGBBI</v>
          </cell>
          <cell r="I225" t="str">
            <v>-</v>
          </cell>
        </row>
        <row r="226">
          <cell r="B226" t="str">
            <v>Curvelo/MGBFR</v>
          </cell>
          <cell r="I226" t="str">
            <v>-</v>
          </cell>
        </row>
        <row r="227">
          <cell r="B227" t="str">
            <v>Diamantina/MGEMF-ISN</v>
          </cell>
          <cell r="I227" t="str">
            <v>Cleya Da Silva Santana Cruz</v>
          </cell>
        </row>
        <row r="228">
          <cell r="B228" t="str">
            <v>Dourados/MSBBI</v>
          </cell>
          <cell r="I228" t="str">
            <v>-</v>
          </cell>
        </row>
        <row r="229">
          <cell r="B229" t="str">
            <v>Dourados/MSBFR</v>
          </cell>
          <cell r="I229" t="str">
            <v>Janaina Colman Clemente</v>
          </cell>
        </row>
        <row r="230">
          <cell r="B230" t="str">
            <v>Dourados/MSEMF-ISN</v>
          </cell>
          <cell r="I230" t="str">
            <v>Nivia Maria Da Silva Calado</v>
          </cell>
        </row>
        <row r="231">
          <cell r="B231" t="str">
            <v>Duque de Caxias/RJ - 25 de AgostoBBI</v>
          </cell>
          <cell r="I231" t="str">
            <v>-</v>
          </cell>
        </row>
        <row r="232">
          <cell r="B232" t="str">
            <v>Duque de Caxias/RJ - 25 de AgostoBFI</v>
          </cell>
          <cell r="I232" t="str">
            <v>-</v>
          </cell>
        </row>
        <row r="233">
          <cell r="B233" t="str">
            <v>Duque de Caxias/RJ - 25 de AgostoBFR</v>
          </cell>
          <cell r="I233" t="str">
            <v>-</v>
          </cell>
        </row>
        <row r="234">
          <cell r="B234" t="str">
            <v>Duque de Caxias/RJ - 25 de AgostoBTO</v>
          </cell>
          <cell r="I234" t="str">
            <v>-</v>
          </cell>
        </row>
        <row r="235">
          <cell r="B235" t="str">
            <v>Duque de Caxias/RJ - 25 de AgostoCOS-TIP</v>
          </cell>
          <cell r="I235" t="str">
            <v>-</v>
          </cell>
        </row>
        <row r="236">
          <cell r="B236" t="str">
            <v>Duque de Caxias/RJ - 25 de AgostoNTR</v>
          </cell>
          <cell r="I236" t="str">
            <v>-</v>
          </cell>
        </row>
        <row r="237">
          <cell r="B237" t="str">
            <v>Duque de Caxias/RJ - 25 de AgostoEMF-ISN</v>
          </cell>
          <cell r="I237" t="str">
            <v>Magno Luis Das Neves Rosa</v>
          </cell>
        </row>
        <row r="238">
          <cell r="B238" t="str">
            <v>Encruzilhada do Sul/RSEMF-ISN</v>
          </cell>
          <cell r="I238" t="str">
            <v>-</v>
          </cell>
        </row>
        <row r="239">
          <cell r="B239" t="str">
            <v>Erval Seco/RSEMF-ISN</v>
          </cell>
          <cell r="I239" t="str">
            <v>Cleoniria Barbosa Pereira</v>
          </cell>
        </row>
        <row r="240">
          <cell r="B240" t="str">
            <v>Fazenda Rio Grande/PREMF-ISN</v>
          </cell>
          <cell r="I240" t="str">
            <v>-</v>
          </cell>
        </row>
        <row r="241">
          <cell r="B241" t="str">
            <v>Feira De Santana/BA - CentroBBI</v>
          </cell>
          <cell r="I241" t="str">
            <v>-</v>
          </cell>
        </row>
        <row r="242">
          <cell r="B242" t="str">
            <v>Feira De Santana/BA - CentroBFR</v>
          </cell>
          <cell r="I242" t="str">
            <v>-</v>
          </cell>
        </row>
        <row r="243">
          <cell r="B243" t="str">
            <v>Feira De Santana/BA - CentroBTO</v>
          </cell>
          <cell r="I243" t="str">
            <v>-</v>
          </cell>
        </row>
        <row r="244">
          <cell r="B244" t="str">
            <v>Feira De Santana/BA - CentroCOS-TIP</v>
          </cell>
          <cell r="I244" t="str">
            <v>-</v>
          </cell>
        </row>
        <row r="245">
          <cell r="B245" t="str">
            <v>Feira De Santana/BA - CentroBFI</v>
          </cell>
          <cell r="I245" t="str">
            <v>Clara Oliveira E Oliveira</v>
          </cell>
        </row>
        <row r="246">
          <cell r="B246" t="str">
            <v>Feira De Santana/BA - CentroNTR</v>
          </cell>
          <cell r="I246" t="str">
            <v>Daiane Dias Ferreira</v>
          </cell>
        </row>
        <row r="247">
          <cell r="B247" t="str">
            <v>Feira De Santana/BA - CentroEMF-ISN</v>
          </cell>
          <cell r="I247" t="str">
            <v>Karine Tosta Souza Borges</v>
          </cell>
        </row>
        <row r="248">
          <cell r="B248" t="str">
            <v>Florianópolis/SC - CentroBFI</v>
          </cell>
          <cell r="I248" t="str">
            <v>-</v>
          </cell>
        </row>
        <row r="249">
          <cell r="B249" t="str">
            <v>Florianópolis/SC - CentroCOS-TIP</v>
          </cell>
          <cell r="I249" t="str">
            <v>-</v>
          </cell>
        </row>
        <row r="250">
          <cell r="B250" t="e">
            <v>#VALUE!</v>
          </cell>
          <cell r="I250" t="str">
            <v>-</v>
          </cell>
        </row>
        <row r="251">
          <cell r="B251" t="str">
            <v>Florianópolis/SC - CentroBBI</v>
          </cell>
          <cell r="I251" t="str">
            <v>-</v>
          </cell>
        </row>
        <row r="252">
          <cell r="B252" t="str">
            <v>Florianópolis/SC - CentroBTO</v>
          </cell>
          <cell r="I252" t="str">
            <v>Ana Paula Ferreira Nagata</v>
          </cell>
        </row>
        <row r="253">
          <cell r="B253" t="str">
            <v>Florianópolis/SC - CentroNTR</v>
          </cell>
          <cell r="I253" t="str">
            <v>Laura Volpato</v>
          </cell>
        </row>
        <row r="254">
          <cell r="B254" t="str">
            <v>Florianópolis/SC - CentroEMF-ISN</v>
          </cell>
          <cell r="I254" t="str">
            <v>Leandro Martins Costa De Araujo</v>
          </cell>
        </row>
        <row r="255">
          <cell r="B255" t="str">
            <v>Florianópolis/SC - CentroBAU</v>
          </cell>
          <cell r="I255" t="str">
            <v>Maryon Brotto Rosado</v>
          </cell>
        </row>
        <row r="256">
          <cell r="B256" t="str">
            <v>Florianópolis/SC - CentroAGM</v>
          </cell>
          <cell r="I256" t="str">
            <v>Michelle Barros Pantoja</v>
          </cell>
        </row>
        <row r="257">
          <cell r="B257" t="str">
            <v>Florianópolis/SC - CentroBFR</v>
          </cell>
          <cell r="I257" t="str">
            <v>Walber Bastos Portilho</v>
          </cell>
        </row>
        <row r="258">
          <cell r="B258" t="str">
            <v>Formosa/GOBAU</v>
          </cell>
          <cell r="I258" t="str">
            <v>-</v>
          </cell>
        </row>
        <row r="259">
          <cell r="B259" t="e">
            <v>#VALUE!</v>
          </cell>
          <cell r="I259" t="str">
            <v>-</v>
          </cell>
        </row>
        <row r="260">
          <cell r="B260" t="str">
            <v>Formosa/GOEMF-ISN</v>
          </cell>
          <cell r="I260" t="str">
            <v>-</v>
          </cell>
        </row>
        <row r="261">
          <cell r="B261" t="str">
            <v>Formosa/GOAGM</v>
          </cell>
          <cell r="I261" t="str">
            <v>Thecica Layme De Sousa Santos</v>
          </cell>
        </row>
        <row r="262">
          <cell r="B262" t="str">
            <v>Fortaleza/CE - AguanambiEMF-ISN</v>
          </cell>
          <cell r="I262" t="str">
            <v>Karla Ingridy Cardoso Oliveira</v>
          </cell>
        </row>
        <row r="263">
          <cell r="B263" t="str">
            <v>Foz do Iguaçu/PRBBI</v>
          </cell>
          <cell r="I263" t="str">
            <v>-</v>
          </cell>
        </row>
        <row r="264">
          <cell r="B264" t="str">
            <v>Foz do Iguaçu/PRBFR</v>
          </cell>
          <cell r="I264" t="str">
            <v>-</v>
          </cell>
        </row>
        <row r="265">
          <cell r="B265" t="str">
            <v>Francisco Beltrão/PREMF-ISN</v>
          </cell>
          <cell r="I265" t="str">
            <v>Angela Ariane Dalzoto Graniska Ribas</v>
          </cell>
        </row>
        <row r="266">
          <cell r="B266" t="str">
            <v>Gandu/BAEMF-ISN</v>
          </cell>
          <cell r="I266" t="str">
            <v>Juliete Santos Santana</v>
          </cell>
        </row>
        <row r="267">
          <cell r="B267" t="str">
            <v>Garanhuns/PEBAU</v>
          </cell>
          <cell r="I267" t="str">
            <v>-</v>
          </cell>
        </row>
        <row r="268">
          <cell r="B268" t="str">
            <v>Garanhuns/PEECE-ENM-ENS-ENG-EEA-GPI-CDE-OBR-SAN-TER-FSA-SLF-QUI</v>
          </cell>
          <cell r="I268" t="str">
            <v>-</v>
          </cell>
        </row>
        <row r="269">
          <cell r="B269" t="str">
            <v>Garanhuns/PEEMF-ISN</v>
          </cell>
          <cell r="I269" t="str">
            <v>Maria Valtania Santos Galdino Brasil</v>
          </cell>
        </row>
        <row r="270">
          <cell r="B270" t="str">
            <v>Goiânia/GO - CentroBAU</v>
          </cell>
          <cell r="I270" t="str">
            <v>-</v>
          </cell>
        </row>
        <row r="271">
          <cell r="B271" t="str">
            <v>Goiânia/GO - CentroAGM</v>
          </cell>
          <cell r="I271" t="str">
            <v>-</v>
          </cell>
        </row>
        <row r="272">
          <cell r="B272" t="e">
            <v>#VALUE!</v>
          </cell>
          <cell r="I272" t="str">
            <v>-</v>
          </cell>
        </row>
        <row r="273">
          <cell r="B273" t="str">
            <v>Goiânia/GO - CerradoEMF-ISN</v>
          </cell>
          <cell r="I273" t="str">
            <v>Marina Almeida Rodrigues</v>
          </cell>
        </row>
        <row r="274">
          <cell r="B274" t="str">
            <v>Goiânia/GO - Jardim EuropaCOS-TIP</v>
          </cell>
          <cell r="I274" t="str">
            <v>-</v>
          </cell>
        </row>
        <row r="275">
          <cell r="B275" t="str">
            <v>Goiânia/GO - Jardim EuropaBBI</v>
          </cell>
          <cell r="I275" t="str">
            <v>-</v>
          </cell>
        </row>
        <row r="276">
          <cell r="B276" t="str">
            <v>Goiânia/GO - Jardim EuropaBTO</v>
          </cell>
          <cell r="I276" t="str">
            <v>Anna Carolina Luli Barsanulfo</v>
          </cell>
        </row>
        <row r="277">
          <cell r="B277" t="str">
            <v>Goiânia/GO - Jardim EuropaBFR</v>
          </cell>
          <cell r="I277" t="str">
            <v>Bruna De Jesus Ramalho Esteves</v>
          </cell>
        </row>
        <row r="278">
          <cell r="B278" t="str">
            <v>Goiânia/GO - Jardim EuropaNTR</v>
          </cell>
          <cell r="I278" t="str">
            <v>Kellen Ferreira Nascimento</v>
          </cell>
        </row>
        <row r="279">
          <cell r="B279" t="str">
            <v>Goiânia/GO - Jardim EuropaBFI</v>
          </cell>
          <cell r="I279" t="str">
            <v>Luiza Rodrigues De Assis Brito</v>
          </cell>
        </row>
        <row r="280">
          <cell r="B280" t="str">
            <v>Guaíba/RSEMF-ISN</v>
          </cell>
          <cell r="I280" t="str">
            <v>Marcia Rosane Silva Dos Santos</v>
          </cell>
        </row>
        <row r="281">
          <cell r="B281" t="str">
            <v>Guaramirim/SCBBI</v>
          </cell>
          <cell r="I281" t="str">
            <v>-</v>
          </cell>
        </row>
        <row r="282">
          <cell r="B282" t="str">
            <v>Guaramirim/SCBFR</v>
          </cell>
          <cell r="I282" t="str">
            <v>-</v>
          </cell>
        </row>
        <row r="283">
          <cell r="B283" t="str">
            <v>Guaramirim/SCAGM</v>
          </cell>
          <cell r="I283" t="str">
            <v>-</v>
          </cell>
        </row>
        <row r="284">
          <cell r="B284" t="e">
            <v>#VALUE!</v>
          </cell>
          <cell r="I284" t="str">
            <v>-</v>
          </cell>
        </row>
        <row r="285">
          <cell r="B285" t="str">
            <v>Guaramirim/SCBAU</v>
          </cell>
          <cell r="I285" t="str">
            <v>Alessandra Branco Moreira</v>
          </cell>
        </row>
        <row r="286">
          <cell r="B286" t="str">
            <v>Guaramirim/SCEMF-ISN</v>
          </cell>
          <cell r="I286" t="str">
            <v>Perla De Souza Andrade</v>
          </cell>
        </row>
        <row r="287">
          <cell r="B287" t="str">
            <v>Guaramirim/SCNTR</v>
          </cell>
          <cell r="I287" t="str">
            <v>Roseli Bastos Grillo</v>
          </cell>
        </row>
        <row r="288">
          <cell r="B288" t="str">
            <v>Guarujá/SPBTO</v>
          </cell>
          <cell r="I288" t="str">
            <v>-</v>
          </cell>
        </row>
        <row r="289">
          <cell r="B289" t="str">
            <v>Guarujá/SPBBI</v>
          </cell>
          <cell r="I289" t="str">
            <v>-</v>
          </cell>
        </row>
        <row r="290">
          <cell r="B290" t="str">
            <v>Guarujá/SPCOS-TIP</v>
          </cell>
          <cell r="I290" t="str">
            <v>Julia Nicole Fontes Arruda</v>
          </cell>
        </row>
        <row r="291">
          <cell r="B291" t="str">
            <v>Guarujá/SPBFI</v>
          </cell>
          <cell r="I291" t="str">
            <v>Lucas Soares De Medeiros</v>
          </cell>
        </row>
        <row r="292">
          <cell r="B292" t="str">
            <v>Guarujá/SPEMF-ISN</v>
          </cell>
          <cell r="I292" t="str">
            <v>Marilene Da Fonseca Magalhaes Silva</v>
          </cell>
        </row>
        <row r="293">
          <cell r="B293" t="str">
            <v>Guarujá/SPBFR</v>
          </cell>
          <cell r="I293" t="str">
            <v>Patricia Freitas Pereira Rodrigues</v>
          </cell>
        </row>
        <row r="294">
          <cell r="B294" t="str">
            <v>Herval D'Oeste/SCBAU</v>
          </cell>
          <cell r="I294" t="str">
            <v>-</v>
          </cell>
        </row>
        <row r="295">
          <cell r="B295" t="str">
            <v>Herval D'Oeste/SCBBI</v>
          </cell>
          <cell r="I295" t="str">
            <v>-</v>
          </cell>
        </row>
        <row r="296">
          <cell r="B296" t="str">
            <v>Herval D'Oeste/SCBFR</v>
          </cell>
          <cell r="I296" t="str">
            <v>-</v>
          </cell>
        </row>
        <row r="297">
          <cell r="B297" t="str">
            <v>Herval D'Oeste/SCECE-ENM-ENS-ENG-EEA-GPI-CDE-OBR-SAN-TER-FSA-SLF-QUI</v>
          </cell>
          <cell r="I297" t="str">
            <v>Emanueli Lottermann</v>
          </cell>
        </row>
        <row r="298">
          <cell r="B298" t="str">
            <v>Herval D'Oeste/SCEMF-ISN</v>
          </cell>
          <cell r="I298" t="str">
            <v>Maksllene Ingrid De Souza Cavalcanti Spessatto</v>
          </cell>
        </row>
        <row r="299">
          <cell r="B299" t="str">
            <v>Igarapé-Miri/PAEMF-ISN</v>
          </cell>
          <cell r="I299" t="str">
            <v>Aline Farias Dos Santos</v>
          </cell>
        </row>
        <row r="300">
          <cell r="B300" t="str">
            <v>Ilhéus/BAEMF-ISN</v>
          </cell>
          <cell r="I300" t="str">
            <v>Isabella Ramos Dos Santos</v>
          </cell>
        </row>
        <row r="301">
          <cell r="B301" t="str">
            <v>Imbituba/SCBAU</v>
          </cell>
          <cell r="I301" t="str">
            <v>-</v>
          </cell>
        </row>
        <row r="302">
          <cell r="B302" t="str">
            <v>Imbituba/SCECE-ENM-ENS-ENG-EEA-GPI-CDE-OBR-SAN-TER-FSA-SLF-QUI</v>
          </cell>
          <cell r="I302" t="str">
            <v>Daniel De Jesus Valentim</v>
          </cell>
        </row>
        <row r="303">
          <cell r="B303" t="str">
            <v>Imbituba/SCEMF-ISN</v>
          </cell>
          <cell r="I303" t="str">
            <v>Ingrid Schroeder Pineiro</v>
          </cell>
        </row>
        <row r="304">
          <cell r="B304" t="str">
            <v>Indaial/SC - Vitória Regia ( Centro Universitário  Leonardo da Vinci)BBI</v>
          </cell>
          <cell r="I304" t="str">
            <v>-</v>
          </cell>
        </row>
        <row r="305">
          <cell r="B305" t="str">
            <v>Indaial/SC - Vitória Regia ( Centro Universitário  Leonardo da Vinci)BFI</v>
          </cell>
          <cell r="I305" t="str">
            <v>-</v>
          </cell>
        </row>
        <row r="306">
          <cell r="B306" t="str">
            <v>Indaial/SC - Vitória Regia ( Centro Universitário  Leonardo da Vinci)EMF-ISN</v>
          </cell>
          <cell r="I306" t="str">
            <v>-</v>
          </cell>
        </row>
        <row r="307">
          <cell r="B307" t="str">
            <v>Indaial/SC - Vitória Regia ( Centro Universitário  Leonardo da Vinci)NTR</v>
          </cell>
          <cell r="I307" t="str">
            <v>-</v>
          </cell>
        </row>
        <row r="308">
          <cell r="B308" t="str">
            <v>Indaial/SC - Vitória Regia ( Centro Universitário  Leonardo da Vinci)BFR</v>
          </cell>
          <cell r="I308" t="str">
            <v>-</v>
          </cell>
        </row>
        <row r="309">
          <cell r="B309" t="str">
            <v>Indaial/SC - Vitória Regia ( Centro Universitário  Leonardo da Vinci)BTO</v>
          </cell>
          <cell r="I309" t="str">
            <v>-</v>
          </cell>
        </row>
        <row r="310">
          <cell r="B310" t="str">
            <v>Indaial/SC - Vitória Regia ( Centro Universitário  Leonardo da Vinci)COS-TIP</v>
          </cell>
          <cell r="I310" t="str">
            <v>-</v>
          </cell>
        </row>
        <row r="311">
          <cell r="B311" t="e">
            <v>#VALUE!</v>
          </cell>
          <cell r="I311" t="str">
            <v>-</v>
          </cell>
        </row>
        <row r="312">
          <cell r="B312" t="str">
            <v>Indaial/SC - Vitória Regia ( Centro Universitário  Leonardo da Vinci)AGM</v>
          </cell>
          <cell r="I312" t="str">
            <v>-</v>
          </cell>
        </row>
        <row r="313">
          <cell r="B313" t="str">
            <v>Indaial/SC - Vitória Regia ( Centro Universitário  Leonardo da Vinci)BAU</v>
          </cell>
          <cell r="I313" t="str">
            <v>-</v>
          </cell>
        </row>
        <row r="314">
          <cell r="B314" t="str">
            <v>Ipatinga/MGEMF-ISN</v>
          </cell>
          <cell r="I314" t="str">
            <v>-</v>
          </cell>
        </row>
        <row r="315">
          <cell r="B315" t="str">
            <v>Ipixuna/AMEMF-ISN</v>
          </cell>
          <cell r="I315" t="str">
            <v>-</v>
          </cell>
        </row>
        <row r="316">
          <cell r="B316" t="str">
            <v>Ipu/CEBAU</v>
          </cell>
          <cell r="I316" t="str">
            <v>-</v>
          </cell>
        </row>
        <row r="317">
          <cell r="B317" t="str">
            <v>Ipu/CEECE-ENM-ENS-ENG-EEA-GPI-CDE-OBR-SAN-TER-FSA-SLF-QUI</v>
          </cell>
          <cell r="I317" t="str">
            <v>-</v>
          </cell>
        </row>
        <row r="318">
          <cell r="B318" t="str">
            <v>Ipueiras/CEBAU</v>
          </cell>
          <cell r="I318" t="str">
            <v>-</v>
          </cell>
        </row>
        <row r="319">
          <cell r="B319" t="str">
            <v>Ipueiras/CEBFI</v>
          </cell>
          <cell r="I319" t="str">
            <v>-</v>
          </cell>
        </row>
        <row r="320">
          <cell r="B320" t="str">
            <v>Ipueiras/CEBTO</v>
          </cell>
          <cell r="I320" t="str">
            <v>-</v>
          </cell>
        </row>
        <row r="321">
          <cell r="B321" t="str">
            <v>Ipueiras/CECOS-TIP</v>
          </cell>
          <cell r="I321" t="str">
            <v>-</v>
          </cell>
        </row>
        <row r="322">
          <cell r="B322" t="str">
            <v>Ipueiras/CEECE-ENM-ENS-ENG-EEA-GPI-CDE-OBR-SAN-TER-FSA-SLF-QUI</v>
          </cell>
          <cell r="I322" t="str">
            <v>-</v>
          </cell>
        </row>
        <row r="323">
          <cell r="B323" t="str">
            <v>Ipueiras/CEEMF-ISN</v>
          </cell>
          <cell r="I323" t="str">
            <v>Lilian Maria De Meneses Bernardo</v>
          </cell>
        </row>
        <row r="324">
          <cell r="B324" t="str">
            <v>Irecê/BAEMF-ISN</v>
          </cell>
          <cell r="I324" t="str">
            <v>Esdras Da Silva Brito</v>
          </cell>
        </row>
        <row r="325">
          <cell r="B325" t="str">
            <v>Itaboraí/RJBBI</v>
          </cell>
          <cell r="I325" t="str">
            <v>-</v>
          </cell>
        </row>
        <row r="326">
          <cell r="B326" t="str">
            <v>Itaboraí/RJBFR</v>
          </cell>
          <cell r="I326" t="str">
            <v>-</v>
          </cell>
        </row>
        <row r="327">
          <cell r="B327" t="str">
            <v>Itaboraí/RJEMF-ISN</v>
          </cell>
          <cell r="I327" t="str">
            <v>Patricia da Silva Trasmontano</v>
          </cell>
        </row>
        <row r="328">
          <cell r="B328" t="str">
            <v>Itabuna/BAEMF-ISN</v>
          </cell>
          <cell r="I328" t="str">
            <v>Leidiana Neri Dos Santos</v>
          </cell>
        </row>
        <row r="329">
          <cell r="B329" t="str">
            <v>Itacoatiara/AMEMF-ISN</v>
          </cell>
          <cell r="I329" t="str">
            <v>Cinthia Clece Dos Santos Macedo</v>
          </cell>
        </row>
        <row r="330">
          <cell r="B330" t="str">
            <v>Itaguaí/RJ - Edifício ManancialBBI</v>
          </cell>
          <cell r="I330" t="str">
            <v>-</v>
          </cell>
        </row>
        <row r="331">
          <cell r="B331" t="e">
            <v>#VALUE!</v>
          </cell>
          <cell r="I331" t="str">
            <v>-</v>
          </cell>
        </row>
        <row r="332">
          <cell r="B332" t="str">
            <v>Itaguaí/RJ - Edifício ManancialBFR</v>
          </cell>
          <cell r="I332" t="str">
            <v>-</v>
          </cell>
        </row>
        <row r="333">
          <cell r="B333" t="str">
            <v>Itaguaí/RJ - Edifício ManancialBAU</v>
          </cell>
          <cell r="I333" t="str">
            <v>Marcelly Marinho Dos Santos</v>
          </cell>
        </row>
        <row r="334">
          <cell r="B334" t="str">
            <v>Itaguaí/RJ - Edifício ManancialAGM</v>
          </cell>
          <cell r="I334" t="str">
            <v>Otavio Augusto Queiroz Dos Santos</v>
          </cell>
        </row>
        <row r="335">
          <cell r="B335" t="str">
            <v>Itajaí/SC - São VicenteCOS-TIP</v>
          </cell>
          <cell r="I335" t="str">
            <v>-</v>
          </cell>
        </row>
        <row r="336">
          <cell r="B336" t="str">
            <v>Itajaí/SC - São VicenteBBI</v>
          </cell>
          <cell r="I336" t="str">
            <v>-</v>
          </cell>
        </row>
        <row r="337">
          <cell r="B337" t="str">
            <v>Itajaí/SC - São VicenteEMF-ISN</v>
          </cell>
          <cell r="I337" t="str">
            <v>Alexandre Ferreira Daltro</v>
          </cell>
        </row>
        <row r="338">
          <cell r="B338" t="str">
            <v>Itajaí/SC - São VicenteBFR</v>
          </cell>
          <cell r="I338" t="str">
            <v>Giseli Penha De Souza</v>
          </cell>
        </row>
        <row r="339">
          <cell r="B339" t="str">
            <v>Itajaí/SC - São VicenteNTR</v>
          </cell>
          <cell r="I339" t="str">
            <v>Lua Augusto De Araujo Costa</v>
          </cell>
        </row>
        <row r="340">
          <cell r="B340" t="str">
            <v>Itajaí/SC - São VicenteBTO</v>
          </cell>
          <cell r="I340" t="str">
            <v>Paulo Vitor Santos Da Silva</v>
          </cell>
        </row>
        <row r="341">
          <cell r="B341" t="str">
            <v>Itajaí/SC - São VicenteBFI</v>
          </cell>
          <cell r="I341" t="str">
            <v>Tuani Rafaela Matana Neves</v>
          </cell>
        </row>
        <row r="342">
          <cell r="B342" t="str">
            <v>Itapajé/CEBAU</v>
          </cell>
          <cell r="I342" t="str">
            <v>-</v>
          </cell>
        </row>
        <row r="343">
          <cell r="B343" t="str">
            <v>Itapajé/CEEMF-ISN</v>
          </cell>
          <cell r="I343" t="str">
            <v>-</v>
          </cell>
        </row>
        <row r="344">
          <cell r="B344" t="str">
            <v>Itapajé/CEECE-ENM-ENS-ENG-EEA-GPI-CDE-OBR-SAN-TER-FSA-SLF-QUI</v>
          </cell>
          <cell r="I344" t="str">
            <v>Thiago Oliveira Silva</v>
          </cell>
        </row>
        <row r="345">
          <cell r="B345" t="str">
            <v>Itapecuru Mirim/MAEMF-ISN</v>
          </cell>
          <cell r="I345" t="str">
            <v>Deborah Da Silva Vasconcelos Ewerton</v>
          </cell>
        </row>
        <row r="346">
          <cell r="B346" t="str">
            <v>Itapipoca/CEBAU</v>
          </cell>
          <cell r="I346" t="str">
            <v>-</v>
          </cell>
        </row>
        <row r="347">
          <cell r="B347" t="str">
            <v>Itapipoca/CEECE-ENM-ENS-ENG-EEA-GPI-CDE-OBR-SAN-TER-FSA-SLF-QUI</v>
          </cell>
          <cell r="I347" t="str">
            <v>-</v>
          </cell>
        </row>
        <row r="348">
          <cell r="B348" t="str">
            <v>Itapipoca/CEBBI</v>
          </cell>
          <cell r="I348" t="str">
            <v>-</v>
          </cell>
        </row>
        <row r="349">
          <cell r="B349" t="str">
            <v>Itapipoca/CEBFR</v>
          </cell>
          <cell r="I349" t="str">
            <v>Barbara Heleodora Rodrigues Sousa</v>
          </cell>
        </row>
        <row r="350">
          <cell r="B350" t="str">
            <v>Itapipoca/CEEMF-ISN</v>
          </cell>
          <cell r="I350" t="str">
            <v>Tamiles Bruna Da Mota Teixeira</v>
          </cell>
        </row>
        <row r="351">
          <cell r="B351" t="str">
            <v>Ituiutaba/MGEMF-ISN</v>
          </cell>
          <cell r="I351" t="str">
            <v>Lorena Tomaz Ribeiro</v>
          </cell>
        </row>
        <row r="352">
          <cell r="B352" t="str">
            <v>Jacobina/BABAU</v>
          </cell>
          <cell r="I352" t="str">
            <v>-</v>
          </cell>
        </row>
        <row r="353">
          <cell r="B353" t="str">
            <v>Jacobina/BAECE-ENM-ENS-ENG-EEA-GPI-CDE-OBR-SAN-TER-FSA-SLF-QUI</v>
          </cell>
          <cell r="I353" t="str">
            <v>-</v>
          </cell>
        </row>
        <row r="354">
          <cell r="B354" t="str">
            <v>Jacobina/BAEMF-ISN</v>
          </cell>
          <cell r="I354" t="str">
            <v>Amanda Jaqueline Chagas Bispo</v>
          </cell>
        </row>
        <row r="355">
          <cell r="B355" t="str">
            <v>Janaúba/MG- Padre EustáquioEMF-ISN</v>
          </cell>
          <cell r="I355" t="str">
            <v>Adalci Rosana Goncalves Dias</v>
          </cell>
        </row>
        <row r="356">
          <cell r="B356" t="str">
            <v>Jaraguá do Sul/SCBBI</v>
          </cell>
          <cell r="I356" t="str">
            <v>-</v>
          </cell>
        </row>
        <row r="357">
          <cell r="B357" t="str">
            <v>Jaraguá do Sul/SCBFR</v>
          </cell>
          <cell r="I357" t="str">
            <v>Menithen Beber Rodrigues</v>
          </cell>
        </row>
        <row r="358">
          <cell r="B358" t="str">
            <v>Jaú/SPEMF-ISN</v>
          </cell>
          <cell r="I358" t="str">
            <v>-</v>
          </cell>
        </row>
        <row r="359">
          <cell r="B359" t="str">
            <v>Jequié/BAEMF-ISN</v>
          </cell>
          <cell r="I359" t="str">
            <v>Ariana Marques Dourado Oliveira</v>
          </cell>
        </row>
        <row r="360">
          <cell r="B360" t="str">
            <v>Ji-Paraná/ROBBI</v>
          </cell>
          <cell r="I360" t="str">
            <v>-</v>
          </cell>
        </row>
        <row r="361">
          <cell r="B361" t="str">
            <v>Ji-Paraná/ROBFR</v>
          </cell>
          <cell r="I361" t="str">
            <v>-</v>
          </cell>
        </row>
        <row r="362">
          <cell r="B362" t="str">
            <v>Joinville/SC - SaguaçuBAU</v>
          </cell>
          <cell r="I362" t="str">
            <v>-</v>
          </cell>
        </row>
        <row r="363">
          <cell r="B363" t="str">
            <v>Joinville/SC - SaguaçuEMF-ISN</v>
          </cell>
          <cell r="I363" t="str">
            <v>Adriana Regina Ferreira Guimaraes</v>
          </cell>
        </row>
        <row r="364">
          <cell r="B364" t="str">
            <v>Joinville/SC - SaguaçuECE-ENM-ENS-ENG-EEA-GPI-CDE-OBR-SAN-TER-FSA-SLF-QUI</v>
          </cell>
          <cell r="I364" t="str">
            <v>Cristiano Feuser</v>
          </cell>
        </row>
        <row r="365">
          <cell r="B365" t="str">
            <v>Juazeiro do Norte/CE - FranciscanosEMF-ISN</v>
          </cell>
          <cell r="I365" t="str">
            <v>Daniel Pereira Barros</v>
          </cell>
        </row>
        <row r="366">
          <cell r="B366" t="str">
            <v>Juazeiro/BAEMF-ISN</v>
          </cell>
          <cell r="I366" t="str">
            <v>Rafaela Carla Da Silva Hilariao</v>
          </cell>
        </row>
        <row r="367">
          <cell r="B367" t="str">
            <v>Juiz de Fora/MGEMF-ISN</v>
          </cell>
          <cell r="I367" t="str">
            <v>Rafaela Patricia Andrade De Oliveira</v>
          </cell>
        </row>
        <row r="368">
          <cell r="B368" t="str">
            <v>Juruá/AMEMF-ISN</v>
          </cell>
          <cell r="I368" t="str">
            <v>Kalison Batista Da Silva</v>
          </cell>
        </row>
        <row r="369">
          <cell r="B369" t="str">
            <v>Lages/SC - CentroEMF-ISN</v>
          </cell>
          <cell r="I369" t="str">
            <v>Daniela Madruga</v>
          </cell>
        </row>
        <row r="370">
          <cell r="B370" t="str">
            <v>Lages/SC - Garden ShoppingBAU</v>
          </cell>
          <cell r="I370" t="str">
            <v>-</v>
          </cell>
        </row>
        <row r="371">
          <cell r="B371" t="str">
            <v>Lages/SC - Garden ShoppingECE-ENM-ENS-ENG-EEA-GPI-CDE-OBR-SAN-TER-FSA-SLF-QUI</v>
          </cell>
          <cell r="I371" t="str">
            <v>Rodrigo Leopoldo Mendes Coelho</v>
          </cell>
        </row>
        <row r="372">
          <cell r="B372" t="str">
            <v>Laranjal do Jari/APBFI</v>
          </cell>
          <cell r="I372" t="str">
            <v>-</v>
          </cell>
        </row>
        <row r="373">
          <cell r="B373" t="str">
            <v>Laranjal do Jari/APEMF-ISN</v>
          </cell>
          <cell r="I373" t="str">
            <v>Risabel Tavares Fernandes</v>
          </cell>
        </row>
        <row r="374">
          <cell r="B374" t="str">
            <v>Livramento de Nossa Senhora/BAEMF-ISN</v>
          </cell>
          <cell r="I374" t="str">
            <v>Nadia Carla Rodrigues Azevedo</v>
          </cell>
        </row>
        <row r="375">
          <cell r="B375" t="str">
            <v>Luís Eduardo Magalhães/BABAU</v>
          </cell>
          <cell r="I375" t="str">
            <v>-</v>
          </cell>
        </row>
        <row r="376">
          <cell r="B376" t="e">
            <v>#VALUE!</v>
          </cell>
          <cell r="I376" t="str">
            <v>-</v>
          </cell>
        </row>
        <row r="377">
          <cell r="B377" t="str">
            <v>Luís Eduardo Magalhães/BAAGM</v>
          </cell>
          <cell r="I377" t="str">
            <v>Flavia Angelica Da Silva</v>
          </cell>
        </row>
        <row r="378">
          <cell r="B378" t="str">
            <v>Luís Eduardo Magalhães/BAEMF-ISN</v>
          </cell>
          <cell r="I378" t="str">
            <v>Vinicius Freire Silva Da Rocha</v>
          </cell>
        </row>
        <row r="379">
          <cell r="B379" t="str">
            <v>Macaé/RJAGM</v>
          </cell>
          <cell r="I379" t="str">
            <v>-</v>
          </cell>
        </row>
        <row r="380">
          <cell r="B380" t="e">
            <v>#VALUE!</v>
          </cell>
          <cell r="I380" t="str">
            <v>-</v>
          </cell>
        </row>
        <row r="381">
          <cell r="B381" t="str">
            <v>Macaé/RJBAU</v>
          </cell>
          <cell r="I381" t="str">
            <v>-</v>
          </cell>
        </row>
        <row r="382">
          <cell r="B382" t="str">
            <v>Macaé/RJBBI</v>
          </cell>
          <cell r="I382" t="str">
            <v>-</v>
          </cell>
        </row>
        <row r="383">
          <cell r="B383" t="str">
            <v>Macaé/RJBFR</v>
          </cell>
          <cell r="I383" t="str">
            <v>-</v>
          </cell>
        </row>
        <row r="384">
          <cell r="B384" t="str">
            <v>Macapá/APBBI</v>
          </cell>
          <cell r="I384" t="str">
            <v>-</v>
          </cell>
        </row>
        <row r="385">
          <cell r="B385" t="str">
            <v>Macapá/APBFI</v>
          </cell>
          <cell r="I385" t="str">
            <v>-</v>
          </cell>
        </row>
        <row r="386">
          <cell r="B386" t="str">
            <v>Macapá/APBFR</v>
          </cell>
          <cell r="I386" t="str">
            <v>-</v>
          </cell>
        </row>
        <row r="387">
          <cell r="B387" t="str">
            <v>Macapá/APCOS-TIP</v>
          </cell>
          <cell r="I387" t="str">
            <v>-</v>
          </cell>
        </row>
        <row r="388">
          <cell r="B388" t="str">
            <v>Macapá/APBTO</v>
          </cell>
          <cell r="I388" t="str">
            <v>Nayana Dos Santos Flexa</v>
          </cell>
        </row>
        <row r="389">
          <cell r="B389" t="str">
            <v>Macapá/APEMF-ISN</v>
          </cell>
          <cell r="I389" t="str">
            <v>Yohanan Reis De Souza</v>
          </cell>
        </row>
        <row r="390">
          <cell r="B390" t="str">
            <v>Maceió/AL - PitanguinhaBBI</v>
          </cell>
          <cell r="I390" t="str">
            <v>-</v>
          </cell>
        </row>
        <row r="391">
          <cell r="B391" t="str">
            <v>Maceió/AL - PitanguinhaBFR</v>
          </cell>
          <cell r="I391" t="str">
            <v>Anderlan Do Nascimento Oliveira</v>
          </cell>
        </row>
        <row r="392">
          <cell r="B392" t="str">
            <v>Maceió/AL - PitanguinhaEMF-ISN</v>
          </cell>
          <cell r="I392" t="str">
            <v>Jean Carlos Firmino Da Silva</v>
          </cell>
        </row>
        <row r="393">
          <cell r="B393" t="str">
            <v>MÃE DO RIO/PAEMF-ISN</v>
          </cell>
          <cell r="I393" t="str">
            <v>Maria Marly De Oliveira Reis Lopes</v>
          </cell>
        </row>
        <row r="394">
          <cell r="B394" t="str">
            <v>Mamanguape/PBEMF-ISN</v>
          </cell>
          <cell r="I394" t="str">
            <v>Sara Luana De Vasconcelos Gomes</v>
          </cell>
        </row>
        <row r="395">
          <cell r="B395" t="str">
            <v>Manacapuru/AM - Terra PretaEMF-ISN</v>
          </cell>
          <cell r="I395" t="str">
            <v>Noemia Jully De Vasconcelos Queiroz</v>
          </cell>
        </row>
        <row r="396">
          <cell r="B396" t="str">
            <v>Manaus/AM - Cidade NovaBAU</v>
          </cell>
          <cell r="I396" t="str">
            <v>-</v>
          </cell>
        </row>
        <row r="397">
          <cell r="B397" t="str">
            <v>Manaus/AM - Cidade NovaBBI</v>
          </cell>
          <cell r="I397" t="str">
            <v>-</v>
          </cell>
        </row>
        <row r="398">
          <cell r="B398" t="e">
            <v>#VALUE!</v>
          </cell>
          <cell r="I398" t="str">
            <v>-</v>
          </cell>
        </row>
        <row r="399">
          <cell r="B399" t="str">
            <v>Manaus/AM - Cidade NovaBFR</v>
          </cell>
          <cell r="I399" t="str">
            <v>-</v>
          </cell>
        </row>
        <row r="400">
          <cell r="B400" t="str">
            <v>Manaus/AM - Cidade NovaBTO</v>
          </cell>
          <cell r="I400" t="str">
            <v>-</v>
          </cell>
        </row>
        <row r="401">
          <cell r="B401" t="str">
            <v>Manaus/AM - Cidade NovaCOS-TIP</v>
          </cell>
          <cell r="I401" t="str">
            <v>-</v>
          </cell>
        </row>
        <row r="402">
          <cell r="B402" t="str">
            <v>Manaus/AM - Cidade NovaAGM</v>
          </cell>
          <cell r="I402" t="str">
            <v>Mauro Da Silva Alves</v>
          </cell>
        </row>
        <row r="403">
          <cell r="B403" t="str">
            <v>Manaus/AM - Cidade NovaBFI</v>
          </cell>
          <cell r="I403" t="str">
            <v>Sancha Victoria Coelho Cardoso</v>
          </cell>
        </row>
        <row r="404">
          <cell r="B404" t="str">
            <v>Manaus/AM - Cidade NovaEMF-ISN</v>
          </cell>
          <cell r="I404" t="str">
            <v>Suzanne Taina Matos De Lima</v>
          </cell>
        </row>
        <row r="405">
          <cell r="B405" t="str">
            <v>Marabá/PA - Cidade NovaBBI</v>
          </cell>
          <cell r="I405" t="str">
            <v>-</v>
          </cell>
        </row>
        <row r="406">
          <cell r="B406" t="str">
            <v>Marabá/PA - Cidade NovaBFR</v>
          </cell>
          <cell r="I406" t="str">
            <v>-</v>
          </cell>
        </row>
        <row r="407">
          <cell r="B407" t="str">
            <v>Marabá/PA - Cidade NovaEMF-ISN</v>
          </cell>
          <cell r="I407" t="str">
            <v>Mariana Gurjao de Jesus</v>
          </cell>
        </row>
        <row r="408">
          <cell r="B408" t="str">
            <v>Marcelândia/MTEMF-ISN</v>
          </cell>
          <cell r="I408" t="str">
            <v>Maria Rosangela Da Gama De La Torre</v>
          </cell>
        </row>
        <row r="409">
          <cell r="B409" t="str">
            <v>Maringá/PR - CentroEMF-ISN</v>
          </cell>
          <cell r="I409" t="str">
            <v>Viviane Yumi Nakahara Da Silva</v>
          </cell>
        </row>
        <row r="410">
          <cell r="B410" t="str">
            <v>Maringá/PR - Zona 01BAU</v>
          </cell>
          <cell r="I410" t="str">
            <v>-</v>
          </cell>
        </row>
        <row r="411">
          <cell r="B411" t="str">
            <v>Maringá/PR - Zona 01BBI</v>
          </cell>
          <cell r="I411" t="str">
            <v>-</v>
          </cell>
        </row>
        <row r="412">
          <cell r="B412" t="str">
            <v>Maringá/PR - Zona 01BFR</v>
          </cell>
          <cell r="I412" t="str">
            <v>-</v>
          </cell>
        </row>
        <row r="413">
          <cell r="B413" t="str">
            <v>Maringá/PR - Zona 01AGM</v>
          </cell>
          <cell r="I413" t="str">
            <v>-</v>
          </cell>
        </row>
        <row r="414">
          <cell r="B414" t="e">
            <v>#VALUE!</v>
          </cell>
          <cell r="I414" t="str">
            <v>-</v>
          </cell>
        </row>
        <row r="415">
          <cell r="B415" t="str">
            <v>Maués/AMEMF-ISN</v>
          </cell>
          <cell r="I415" t="str">
            <v>Nelma Rita Passos Martins</v>
          </cell>
        </row>
        <row r="416">
          <cell r="B416" t="str">
            <v>Montes Claros/MG - CentroEMF-ISN</v>
          </cell>
          <cell r="I416" t="str">
            <v>Izabel Francisca Da Silva</v>
          </cell>
        </row>
        <row r="417">
          <cell r="B417" t="str">
            <v>Natal/RN - Zona NorteEMF-ISN</v>
          </cell>
          <cell r="I417" t="str">
            <v>Ana Luiza Almeida De Azevedo</v>
          </cell>
        </row>
        <row r="418">
          <cell r="B418" t="str">
            <v>Niterói/RJ - IngáBBI</v>
          </cell>
          <cell r="I418" t="str">
            <v>-</v>
          </cell>
        </row>
        <row r="419">
          <cell r="B419" t="str">
            <v>Niterói/RJ - IngáBFR</v>
          </cell>
          <cell r="I419" t="str">
            <v>-</v>
          </cell>
        </row>
        <row r="420">
          <cell r="B420" t="str">
            <v>Niterói/RJ - IngáEMF-ISN</v>
          </cell>
          <cell r="I420" t="str">
            <v>Conceicao Ignacio da Silva Delphino</v>
          </cell>
        </row>
        <row r="421">
          <cell r="B421" t="str">
            <v>Nossa Senhora da Glória/SEEMF-ISN</v>
          </cell>
          <cell r="I421" t="str">
            <v>Amanda Santos</v>
          </cell>
        </row>
        <row r="422">
          <cell r="B422" t="str">
            <v>Nova Iguaçu/RJEMF-ISN</v>
          </cell>
          <cell r="I422" t="str">
            <v>Rosirene De Castro</v>
          </cell>
        </row>
        <row r="423">
          <cell r="B423" t="str">
            <v>Nova Iguaçu/RJ - CentroBBI</v>
          </cell>
          <cell r="I423" t="str">
            <v>-</v>
          </cell>
        </row>
        <row r="424">
          <cell r="B424" t="str">
            <v>Nova Iguaçu/RJ - CentroBFR</v>
          </cell>
          <cell r="I424" t="str">
            <v>Eli Da Trindade Ferreira</v>
          </cell>
        </row>
        <row r="425">
          <cell r="B425" t="str">
            <v>Nova Mutum/MTAGM</v>
          </cell>
          <cell r="I425" t="str">
            <v>-</v>
          </cell>
        </row>
        <row r="426">
          <cell r="B426" t="str">
            <v>Nova Mutum/MTBAU</v>
          </cell>
          <cell r="I426" t="str">
            <v>-</v>
          </cell>
        </row>
        <row r="427">
          <cell r="B427" t="str">
            <v>Nova Mutum/MTBBI</v>
          </cell>
          <cell r="I427" t="str">
            <v>-</v>
          </cell>
        </row>
        <row r="428">
          <cell r="B428" t="str">
            <v>Nova Mutum/MTBFR</v>
          </cell>
          <cell r="I428" t="str">
            <v>-</v>
          </cell>
        </row>
        <row r="429">
          <cell r="B429" t="e">
            <v>#VALUE!</v>
          </cell>
          <cell r="I429" t="str">
            <v>-</v>
          </cell>
        </row>
        <row r="430">
          <cell r="B430" t="str">
            <v>Nova Mutum/MTEMF-ISN</v>
          </cell>
          <cell r="I430" t="str">
            <v>Jackeliny Laurindo Da Fonseca</v>
          </cell>
        </row>
        <row r="431">
          <cell r="B431" t="str">
            <v>Nova Olinda do Norte/AMEMF-ISN</v>
          </cell>
          <cell r="I431" t="str">
            <v>-</v>
          </cell>
        </row>
        <row r="432">
          <cell r="B432" t="str">
            <v>Novo Hamburgo/RS - CentroAGM</v>
          </cell>
          <cell r="I432" t="str">
            <v>-</v>
          </cell>
        </row>
        <row r="433">
          <cell r="B433" t="str">
            <v>Novo Hamburgo/RS - CentroBAU</v>
          </cell>
          <cell r="I433" t="str">
            <v>-</v>
          </cell>
        </row>
        <row r="434">
          <cell r="B434" t="str">
            <v>Novo Hamburgo/RS - CentroBBI</v>
          </cell>
          <cell r="I434" t="str">
            <v>-</v>
          </cell>
        </row>
        <row r="435">
          <cell r="B435" t="str">
            <v>Novo Hamburgo/RS - CentroBFR</v>
          </cell>
          <cell r="I435" t="str">
            <v>-</v>
          </cell>
        </row>
        <row r="436">
          <cell r="B436" t="e">
            <v>#VALUE!</v>
          </cell>
          <cell r="I436" t="str">
            <v>-</v>
          </cell>
        </row>
        <row r="437">
          <cell r="B437" t="str">
            <v>Novo Hamburgo/RS - CentroBTO</v>
          </cell>
          <cell r="I437" t="str">
            <v>Camila Martins Nobre</v>
          </cell>
        </row>
        <row r="438">
          <cell r="B438" t="str">
            <v>Novo Hamburgo/RS - CentroEMF-ISN</v>
          </cell>
          <cell r="I438" t="str">
            <v>Francine Xavier Guterres</v>
          </cell>
        </row>
        <row r="439">
          <cell r="B439" t="str">
            <v>Novo Hamburgo/RS - CentroNTR</v>
          </cell>
          <cell r="I439" t="str">
            <v>Juliana Berger</v>
          </cell>
        </row>
        <row r="440">
          <cell r="B440" t="str">
            <v>Novo Hamburgo/RS - CentroBFI</v>
          </cell>
          <cell r="I440" t="str">
            <v>Stelen Bondan</v>
          </cell>
        </row>
        <row r="441">
          <cell r="B441" t="str">
            <v>Novo Hamburgo/RS - CentroCOS-TIP</v>
          </cell>
          <cell r="I441" t="str">
            <v>Suzieli Alves Rumpel</v>
          </cell>
        </row>
        <row r="442">
          <cell r="B442" t="str">
            <v>Novo Progresso/PABBI</v>
          </cell>
          <cell r="I442" t="str">
            <v>-</v>
          </cell>
        </row>
        <row r="443">
          <cell r="B443" t="str">
            <v>Novo Progresso/PABFR</v>
          </cell>
          <cell r="I443" t="str">
            <v>-</v>
          </cell>
        </row>
        <row r="444">
          <cell r="B444" t="str">
            <v>Novo Progresso/PAEMF-ISN</v>
          </cell>
          <cell r="I444" t="str">
            <v>Laurilene Oliveira Mota</v>
          </cell>
        </row>
        <row r="445">
          <cell r="B445" t="str">
            <v>Oliveira/MGEMF-ISN</v>
          </cell>
          <cell r="I445" t="str">
            <v>-</v>
          </cell>
        </row>
        <row r="446">
          <cell r="B446" t="str">
            <v>Palhoça/SCBBI</v>
          </cell>
          <cell r="I446" t="str">
            <v>-</v>
          </cell>
        </row>
        <row r="447">
          <cell r="B447" t="str">
            <v>Palhoça/SCEMF-ISN</v>
          </cell>
          <cell r="I447" t="str">
            <v>Gean Lucas Paulino Da Conceicao</v>
          </cell>
        </row>
        <row r="448">
          <cell r="B448" t="str">
            <v>Palhoça/SCBFR</v>
          </cell>
          <cell r="I448" t="str">
            <v>William Benjamim Acarini</v>
          </cell>
        </row>
        <row r="449">
          <cell r="B449" t="str">
            <v>Palmas/TO - Plano Diretor SulBBI</v>
          </cell>
          <cell r="I449" t="str">
            <v>-</v>
          </cell>
        </row>
        <row r="450">
          <cell r="B450" t="str">
            <v>Palmas/TO - Plano Diretor SulBFR</v>
          </cell>
          <cell r="I450" t="str">
            <v>Veryluska Marques Sousa</v>
          </cell>
        </row>
        <row r="451">
          <cell r="B451" t="str">
            <v>Palmas/TO - Plano Diretor SulEMF-ISN</v>
          </cell>
          <cell r="I451" t="str">
            <v>Willame Oliveira Ribeiro Junior</v>
          </cell>
        </row>
        <row r="452">
          <cell r="B452" t="str">
            <v>Parauapebas/PAAGM</v>
          </cell>
          <cell r="I452" t="str">
            <v>-</v>
          </cell>
        </row>
        <row r="453">
          <cell r="B453" t="str">
            <v>Parauapebas/PABAU</v>
          </cell>
          <cell r="I453" t="str">
            <v>-</v>
          </cell>
        </row>
        <row r="454">
          <cell r="B454" t="e">
            <v>#VALUE!</v>
          </cell>
          <cell r="I454" t="str">
            <v>-</v>
          </cell>
        </row>
        <row r="455">
          <cell r="B455" t="str">
            <v>Parauapebas/PABBI</v>
          </cell>
          <cell r="I455" t="str">
            <v>-</v>
          </cell>
        </row>
        <row r="456">
          <cell r="B456" t="str">
            <v>Parauapebas/PABFR</v>
          </cell>
          <cell r="I456" t="str">
            <v>-</v>
          </cell>
        </row>
        <row r="457">
          <cell r="B457" t="str">
            <v>Parauapebas/PAEMF-ISN</v>
          </cell>
          <cell r="I457" t="str">
            <v>-</v>
          </cell>
        </row>
        <row r="458">
          <cell r="B458" t="str">
            <v>Parnaíba/PIEMF-ISN</v>
          </cell>
          <cell r="I458" t="str">
            <v>Dhiego De Souza Paixao</v>
          </cell>
        </row>
        <row r="459">
          <cell r="B459" t="str">
            <v>Passo Fundo/RSEMF-ISN</v>
          </cell>
          <cell r="I459" t="str">
            <v>Leonardo Azeredo De Marchi</v>
          </cell>
        </row>
        <row r="460">
          <cell r="B460" t="str">
            <v>Passo Fundo/RSEMF-ISN2</v>
          </cell>
          <cell r="I460" t="str">
            <v>Maraisa Da Rosa Duarte De Medeiros Menezes</v>
          </cell>
        </row>
        <row r="461">
          <cell r="B461" t="str">
            <v>Pato Branco/PRBAU</v>
          </cell>
          <cell r="I461" t="str">
            <v>-</v>
          </cell>
        </row>
        <row r="462">
          <cell r="B462" t="str">
            <v>Pato Branco/PRECE-ENM-ENS-ENG-EEA-GPI-CDE-OBR-SAN-TER-FSA-SLF-QUI</v>
          </cell>
          <cell r="I462" t="str">
            <v>-</v>
          </cell>
        </row>
        <row r="463">
          <cell r="B463" t="str">
            <v>Patos de Minas/MGEMF-ISN</v>
          </cell>
          <cell r="I463" t="str">
            <v>-</v>
          </cell>
        </row>
        <row r="464">
          <cell r="B464" t="str">
            <v>Paulo Afonso/BA - Tancredo Neves IIBAU</v>
          </cell>
          <cell r="I464" t="str">
            <v>-</v>
          </cell>
        </row>
        <row r="465">
          <cell r="B465" t="str">
            <v>Paulo Afonso/BA - Tancredo Neves IIBTO</v>
          </cell>
          <cell r="I465" t="str">
            <v>-</v>
          </cell>
        </row>
        <row r="466">
          <cell r="B466" t="str">
            <v>Paulo Afonso/BA - Tancredo Neves IICOS-TIP</v>
          </cell>
          <cell r="I466" t="str">
            <v>-</v>
          </cell>
        </row>
        <row r="467">
          <cell r="B467" t="str">
            <v>Paulo Afonso/BA - Tancredo Neves IIEMF-ISN</v>
          </cell>
          <cell r="I467" t="str">
            <v>-</v>
          </cell>
        </row>
        <row r="468">
          <cell r="B468" t="str">
            <v>Paulo Afonso/BA - Tancredo Neves IIBBI</v>
          </cell>
          <cell r="I468" t="str">
            <v>-</v>
          </cell>
        </row>
        <row r="469">
          <cell r="B469" t="str">
            <v>Paulo Afonso/BA - Tancredo Neves IIBFR</v>
          </cell>
          <cell r="I469" t="str">
            <v>-</v>
          </cell>
        </row>
        <row r="470">
          <cell r="B470" t="str">
            <v>Paulo Afonso/BA - Tancredo Neves IIECE-ENM-ENS-ENG-EEA-GPI-CDE-OBR-SAN-TER-FSA-SLF-QUI</v>
          </cell>
          <cell r="I470" t="str">
            <v>-</v>
          </cell>
        </row>
        <row r="471">
          <cell r="B471" t="str">
            <v>Paulo Afonso/BA - Tancredo Neves IIBFI</v>
          </cell>
          <cell r="I471" t="str">
            <v>Vanessa Das Neves Varjao</v>
          </cell>
        </row>
        <row r="472">
          <cell r="B472" t="str">
            <v>Pelotas/RS - CentroEMF-ISN</v>
          </cell>
          <cell r="I472" t="str">
            <v>-</v>
          </cell>
        </row>
        <row r="473">
          <cell r="B473" t="str">
            <v>Petrópolis/RJEMF-ISN</v>
          </cell>
          <cell r="I473" t="str">
            <v>Juliana Araujo Pereira Gomes</v>
          </cell>
        </row>
        <row r="474">
          <cell r="B474" t="str">
            <v>Picos/PIEMF-ISN</v>
          </cell>
          <cell r="I474" t="str">
            <v>Izabel Cristina Borges Feitosa Caminha</v>
          </cell>
        </row>
        <row r="475">
          <cell r="B475" t="str">
            <v>Pirapora/MGEMF-ISN</v>
          </cell>
          <cell r="I475" t="str">
            <v>-</v>
          </cell>
        </row>
        <row r="476">
          <cell r="B476" t="str">
            <v>Pitanga/PREMF-ISN</v>
          </cell>
          <cell r="I476" t="str">
            <v>-</v>
          </cell>
        </row>
        <row r="477">
          <cell r="B477" t="str">
            <v>Planaltina/GOBBI</v>
          </cell>
          <cell r="I477" t="str">
            <v>-</v>
          </cell>
        </row>
        <row r="478">
          <cell r="B478" t="str">
            <v>Planaltina/GOBFR</v>
          </cell>
          <cell r="I478" t="str">
            <v>-</v>
          </cell>
        </row>
        <row r="479">
          <cell r="B479" t="str">
            <v>Planaltina/GOEMF-ISN</v>
          </cell>
          <cell r="I479" t="str">
            <v>Naually Rosa De Moura Rodrigues</v>
          </cell>
        </row>
        <row r="480">
          <cell r="B480" t="str">
            <v>Ponta Grossa/PR - CentroEMF-ISN</v>
          </cell>
          <cell r="I480" t="str">
            <v>-</v>
          </cell>
        </row>
        <row r="481">
          <cell r="B481" t="str">
            <v>Ponta Porã/MSBBI</v>
          </cell>
          <cell r="I481" t="str">
            <v>-</v>
          </cell>
        </row>
        <row r="482">
          <cell r="B482" t="str">
            <v>Ponta Porã/MSBFR</v>
          </cell>
          <cell r="I482" t="str">
            <v>Ingrid Ribeiro Carvajal Tota</v>
          </cell>
        </row>
        <row r="483">
          <cell r="B483" t="str">
            <v>Ponta Porã/MSEMF-ISN</v>
          </cell>
          <cell r="I483" t="str">
            <v>Leticia Tavares Viana</v>
          </cell>
        </row>
        <row r="484">
          <cell r="B484" t="str">
            <v>Pontes e Lacerda/MTBBI</v>
          </cell>
          <cell r="I484" t="str">
            <v>-</v>
          </cell>
        </row>
        <row r="485">
          <cell r="B485" t="str">
            <v>Pontes e Lacerda/MTBFR</v>
          </cell>
          <cell r="I485" t="str">
            <v>-</v>
          </cell>
        </row>
        <row r="486">
          <cell r="B486" t="str">
            <v>Pontes e Lacerda/MTEMF-ISN</v>
          </cell>
          <cell r="I486" t="str">
            <v>Leticia De Andrade Ciritelli</v>
          </cell>
        </row>
        <row r="487">
          <cell r="B487" t="str">
            <v>Portel/PAEMF-ISN</v>
          </cell>
          <cell r="I487" t="str">
            <v>Haylla Portal Lima</v>
          </cell>
        </row>
        <row r="488">
          <cell r="B488" t="str">
            <v>Porto Alegre/RS - Centro HistóricoBBI</v>
          </cell>
          <cell r="I488" t="str">
            <v>-</v>
          </cell>
        </row>
        <row r="489">
          <cell r="B489" t="e">
            <v>#VALUE!</v>
          </cell>
          <cell r="I489" t="str">
            <v>-</v>
          </cell>
        </row>
        <row r="490">
          <cell r="B490" t="str">
            <v>Porto Alegre/RS - Centro HistóricoAGM</v>
          </cell>
          <cell r="I490" t="str">
            <v>Albertina Radtke Wieth</v>
          </cell>
        </row>
        <row r="491">
          <cell r="B491" t="str">
            <v>Porto Alegre/RS - Centro HistóricoBFR</v>
          </cell>
          <cell r="I491" t="str">
            <v>Ana Valeria De Oliveira Goncalves Prietsch</v>
          </cell>
        </row>
        <row r="492">
          <cell r="B492" t="str">
            <v>Porto Alegre/RS - Centro HistóricoEMF-ISN</v>
          </cell>
          <cell r="I492" t="str">
            <v>Ester De Melo Borba</v>
          </cell>
        </row>
        <row r="493">
          <cell r="B493" t="str">
            <v>Porto Alegre/RS - Centro HistóricoBAU</v>
          </cell>
          <cell r="I493" t="str">
            <v>Maria Cristina De Freitas Guerreiro</v>
          </cell>
        </row>
        <row r="494">
          <cell r="B494" t="str">
            <v>Porto Alegre/RS - Centro HistóricoEMF-ISN2</v>
          </cell>
          <cell r="I494" t="str">
            <v>Salete Beatriz Lanes Da Cruz</v>
          </cell>
        </row>
        <row r="495">
          <cell r="B495" t="str">
            <v>Porto Alegre/RS - Zona NorteBBI</v>
          </cell>
          <cell r="I495" t="str">
            <v>-</v>
          </cell>
        </row>
        <row r="496">
          <cell r="B496" t="str">
            <v>Porto Alegre/RS - Zona NorteEMF-ISN</v>
          </cell>
          <cell r="I496" t="str">
            <v>Cristiane Ribeiro Maciel</v>
          </cell>
        </row>
        <row r="497">
          <cell r="B497" t="str">
            <v>Porto Alegre/RS - Zona NorteBFI</v>
          </cell>
          <cell r="I497" t="str">
            <v>Fabiano Johnson Duarte Bartmann</v>
          </cell>
        </row>
        <row r="498">
          <cell r="B498" t="str">
            <v>Porto Alegre/RS - Zona NorteNTR</v>
          </cell>
          <cell r="I498" t="str">
            <v>Janaina Pieruccini Pulgatti</v>
          </cell>
        </row>
        <row r="499">
          <cell r="B499" t="str">
            <v>Porto Alegre/RS - Zona NorteBFR</v>
          </cell>
          <cell r="I499" t="str">
            <v>Karenina Tabusa De Godoy</v>
          </cell>
        </row>
        <row r="500">
          <cell r="B500" t="str">
            <v>Porto Alegre/RS - Zona NorteBTO</v>
          </cell>
          <cell r="I500" t="str">
            <v>Lauren Da Rosa De Oliveira</v>
          </cell>
        </row>
        <row r="501">
          <cell r="B501" t="str">
            <v>Porto Alegre/RS - Zona NorteEMF-ISN2</v>
          </cell>
          <cell r="I501" t="str">
            <v>Marcella Silveira Leivas</v>
          </cell>
        </row>
        <row r="502">
          <cell r="B502" t="str">
            <v>Porto Alegre/RS - Zona NorteCOS-TIP</v>
          </cell>
          <cell r="I502" t="str">
            <v>Vanessa Dell Osbel Fachini</v>
          </cell>
        </row>
        <row r="503">
          <cell r="B503" t="str">
            <v>Porto Velho/RO - Distrito de ExtremaEMF-ISN</v>
          </cell>
          <cell r="I503" t="str">
            <v>Raul Dos Santos Aguirre</v>
          </cell>
        </row>
        <row r="504">
          <cell r="B504" t="str">
            <v>Posse/GOAGM</v>
          </cell>
          <cell r="I504" t="str">
            <v>-</v>
          </cell>
        </row>
        <row r="505">
          <cell r="B505" t="str">
            <v>Posse/GOBAU</v>
          </cell>
          <cell r="I505" t="str">
            <v>-</v>
          </cell>
        </row>
        <row r="506">
          <cell r="B506" t="e">
            <v>#VALUE!</v>
          </cell>
          <cell r="I506" t="str">
            <v>-</v>
          </cell>
        </row>
        <row r="507">
          <cell r="B507" t="str">
            <v>Posse/GOEMF-ISN</v>
          </cell>
          <cell r="I507" t="str">
            <v>Anna Caroline Matos Almeida</v>
          </cell>
        </row>
        <row r="508">
          <cell r="B508" t="str">
            <v>Pouso Alegre/MGBAU</v>
          </cell>
          <cell r="I508" t="str">
            <v>-</v>
          </cell>
        </row>
        <row r="509">
          <cell r="B509" t="str">
            <v>Pouso Alegre/MGBBI</v>
          </cell>
          <cell r="I509" t="str">
            <v>-</v>
          </cell>
        </row>
        <row r="510">
          <cell r="B510" t="str">
            <v>Pouso Alegre/MGBFR</v>
          </cell>
          <cell r="I510" t="str">
            <v>-</v>
          </cell>
        </row>
        <row r="511">
          <cell r="B511" t="str">
            <v>Pouso Alegre/MGEMF-ISN</v>
          </cell>
          <cell r="I511" t="str">
            <v>Leonardo Lucio Augusto Felipe</v>
          </cell>
        </row>
        <row r="512">
          <cell r="B512" t="str">
            <v>Pouso Alegre/MGECE-ENM-ENS-ENG-EEA-GPI-CDE-OBR-SAN-TER-FSA-SLF-QUI</v>
          </cell>
          <cell r="I512" t="str">
            <v>Miguel Angelo Damazio Da Costa</v>
          </cell>
        </row>
        <row r="513">
          <cell r="B513" t="str">
            <v>Praia Grande/SPEMF-ISN</v>
          </cell>
          <cell r="I513" t="str">
            <v>Eliana Lazari Vieira Goncalves</v>
          </cell>
        </row>
        <row r="514">
          <cell r="B514" t="str">
            <v>Presidente Dutra/MAEMF-ISN</v>
          </cell>
          <cell r="I514" t="str">
            <v>Romario Cunha Da Rocha</v>
          </cell>
        </row>
        <row r="515">
          <cell r="B515" t="str">
            <v>Presidente Prudente/SP - Jardim GuanabaraEMF-ISN</v>
          </cell>
          <cell r="I515" t="str">
            <v>Aquiles Gonzales De Andrade</v>
          </cell>
        </row>
        <row r="516">
          <cell r="B516" t="str">
            <v>Quixeramobim/CEBAU</v>
          </cell>
          <cell r="I516" t="str">
            <v>-</v>
          </cell>
        </row>
        <row r="517">
          <cell r="B517" t="str">
            <v>Quixeramobim/CEECE-ENM-ENS-ENG-EEA-GPI-CDE-OBR-SAN-TER-FSA-SLF-QUI</v>
          </cell>
          <cell r="I517" t="str">
            <v>Francisco Anderson De Sousa Lima</v>
          </cell>
        </row>
        <row r="518">
          <cell r="B518" t="str">
            <v>Recife/PE - ImbiribeiraEMF-ISN</v>
          </cell>
          <cell r="I518" t="str">
            <v>Guilherme Henrique Santana</v>
          </cell>
        </row>
        <row r="519">
          <cell r="B519" t="str">
            <v>Recife/PE - MadalenaBBI</v>
          </cell>
          <cell r="I519" t="str">
            <v>-</v>
          </cell>
        </row>
        <row r="520">
          <cell r="B520" t="str">
            <v>Recife/PE - MadalenaBFR</v>
          </cell>
          <cell r="I520" t="str">
            <v>-</v>
          </cell>
        </row>
        <row r="521">
          <cell r="B521" t="str">
            <v>Registro/SPEMF-ISN</v>
          </cell>
          <cell r="I521" t="str">
            <v>Rosa Tatiane Dias Mahs</v>
          </cell>
        </row>
        <row r="522">
          <cell r="B522" t="str">
            <v>Ribeirão Preto/SPEMF-ISN</v>
          </cell>
          <cell r="I522" t="str">
            <v>Cristhine Pereira de Sousa</v>
          </cell>
        </row>
        <row r="523">
          <cell r="B523" t="str">
            <v>Rio Branco/AC - TangaráEMF-ISN</v>
          </cell>
          <cell r="I523" t="str">
            <v>Jaysiane Azevedo Da Cunha</v>
          </cell>
        </row>
        <row r="524">
          <cell r="B524" t="str">
            <v>Rio de Janeiro/RJ - Barra da TijucaEMF-ISN</v>
          </cell>
          <cell r="I524" t="str">
            <v>Renata Souza De Silva</v>
          </cell>
        </row>
        <row r="525">
          <cell r="B525" t="str">
            <v>Rio de Janeiro/RJ - Campo GrandeEMF-ISN</v>
          </cell>
          <cell r="I525" t="str">
            <v>-</v>
          </cell>
        </row>
        <row r="526">
          <cell r="B526" t="str">
            <v>Rio de Janeiro/RJ - Campo GrandeBBI</v>
          </cell>
          <cell r="I526" t="str">
            <v>-</v>
          </cell>
        </row>
        <row r="527">
          <cell r="B527" t="str">
            <v>Rio de Janeiro/RJ - Campo GrandeBTO</v>
          </cell>
          <cell r="I527" t="str">
            <v>Edwiges Beatriz Coimbra De Souza</v>
          </cell>
        </row>
        <row r="528">
          <cell r="B528" t="str">
            <v>Rio de Janeiro/RJ - Campo GrandeBFR</v>
          </cell>
          <cell r="I528" t="str">
            <v>Nathalia Goncalves Avelar</v>
          </cell>
        </row>
        <row r="529">
          <cell r="B529" t="str">
            <v>Rio de Janeiro/RJ - Campo GrandeCOS-TIP</v>
          </cell>
          <cell r="I529" t="str">
            <v>Simone Alves Da Silva</v>
          </cell>
        </row>
        <row r="530">
          <cell r="B530" t="str">
            <v>Rio de Janeiro/RJ - Campo GrandeBFI</v>
          </cell>
          <cell r="I530" t="str">
            <v>Tayna Figueira Da Fonseca</v>
          </cell>
        </row>
        <row r="531">
          <cell r="B531" t="str">
            <v>Rio de Janeiro/RJ - Ilha do GovernadorBAU</v>
          </cell>
          <cell r="I531" t="str">
            <v>-</v>
          </cell>
        </row>
        <row r="532">
          <cell r="B532" t="str">
            <v>Rio de Janeiro/RJ - Ilha do GovernadorECE-ENM-ENS-ENG-EEA-GPI-CDE-OBR-SAN-TER-FSA-SLF-QUI</v>
          </cell>
          <cell r="I532" t="str">
            <v>-</v>
          </cell>
        </row>
        <row r="533">
          <cell r="B533" t="str">
            <v>Rio de Janeiro/RJ - Ilha do GovernadorBBI</v>
          </cell>
          <cell r="I533" t="str">
            <v>-</v>
          </cell>
        </row>
        <row r="534">
          <cell r="B534" t="str">
            <v>Rio de Janeiro/RJ - Ilha do GovernadorEMF-ISN</v>
          </cell>
          <cell r="I534" t="str">
            <v>Magno Luis Das Neves Rosa</v>
          </cell>
        </row>
        <row r="535">
          <cell r="B535" t="str">
            <v>Rio de Janeiro/RJ - Ilha do GovernadorBFR</v>
          </cell>
          <cell r="I535" t="str">
            <v>Milene Gomes De Sousa</v>
          </cell>
        </row>
        <row r="536">
          <cell r="B536" t="str">
            <v>Rio de Janeiro/RJ - Ilha do GovernadorNTR</v>
          </cell>
          <cell r="I536" t="str">
            <v>Odine Rosane Dos Santos Alves</v>
          </cell>
        </row>
        <row r="537">
          <cell r="B537" t="str">
            <v>Rio de Janeiro/RJ - Santa CruzEMF-ISN</v>
          </cell>
          <cell r="I537" t="str">
            <v>Giulia Souza Theotonio</v>
          </cell>
        </row>
        <row r="538">
          <cell r="B538" t="str">
            <v>Rio de Janeiro/RJ - TijucaEMF-ISN</v>
          </cell>
          <cell r="I538" t="str">
            <v>Ericles Jardel De Souza Teles</v>
          </cell>
        </row>
        <row r="539">
          <cell r="B539" t="str">
            <v>Rio do Sul/SCBAU</v>
          </cell>
          <cell r="I539" t="str">
            <v>-</v>
          </cell>
        </row>
        <row r="540">
          <cell r="B540" t="str">
            <v>Rio do Sul/SCBBI</v>
          </cell>
          <cell r="I540" t="str">
            <v>-</v>
          </cell>
        </row>
        <row r="541">
          <cell r="B541" t="str">
            <v>Rio do Sul/SCBFR</v>
          </cell>
          <cell r="I541" t="str">
            <v>-</v>
          </cell>
        </row>
        <row r="542">
          <cell r="B542" t="str">
            <v>Rio do Sul/SCEMF-ISN</v>
          </cell>
          <cell r="I542" t="str">
            <v>-</v>
          </cell>
        </row>
        <row r="543">
          <cell r="B543" t="str">
            <v>Rio do Sul/SCECE-ENM-ENS-ENG-EEA-GPI-CDE-OBR-SAN-TER-FSA-SLF-QUI</v>
          </cell>
          <cell r="I543" t="str">
            <v>-</v>
          </cell>
        </row>
        <row r="544">
          <cell r="B544" t="str">
            <v>Rio Verde/GOBAU</v>
          </cell>
          <cell r="I544" t="str">
            <v>-</v>
          </cell>
        </row>
        <row r="545">
          <cell r="B545" t="str">
            <v>Rio Verde/GOBBI</v>
          </cell>
          <cell r="I545" t="str">
            <v>-</v>
          </cell>
        </row>
        <row r="546">
          <cell r="B546" t="str">
            <v>Rio Verde/GOBFR</v>
          </cell>
          <cell r="I546" t="str">
            <v>-</v>
          </cell>
        </row>
        <row r="547">
          <cell r="B547" t="e">
            <v>#VALUE!</v>
          </cell>
          <cell r="I547" t="str">
            <v>-</v>
          </cell>
        </row>
        <row r="548">
          <cell r="B548" t="str">
            <v>Rio Verde/GOAGM</v>
          </cell>
          <cell r="I548" t="str">
            <v>Fellipe Oliveira Da Silva Barbieri</v>
          </cell>
        </row>
        <row r="549">
          <cell r="B549" t="str">
            <v>Rio Verde/GOEMF-ISN</v>
          </cell>
          <cell r="I549" t="str">
            <v>Luiz Felipe Braz Teles</v>
          </cell>
        </row>
        <row r="550">
          <cell r="B550" t="str">
            <v>Rolim de Moura/ROAGM</v>
          </cell>
          <cell r="I550" t="str">
            <v>-</v>
          </cell>
        </row>
        <row r="551">
          <cell r="B551" t="str">
            <v>Rolim de Moura/ROBAU</v>
          </cell>
          <cell r="I551" t="str">
            <v>-</v>
          </cell>
        </row>
        <row r="552">
          <cell r="B552" t="e">
            <v>#VALUE!</v>
          </cell>
          <cell r="I552" t="str">
            <v>-</v>
          </cell>
        </row>
        <row r="553">
          <cell r="B553" t="str">
            <v>Rolim de Moura/ROEMF-ISN</v>
          </cell>
          <cell r="I553" t="str">
            <v>Quezia Da Silva Dos Anjos Da Silva</v>
          </cell>
        </row>
        <row r="554">
          <cell r="B554" t="str">
            <v>Rondonópolis/MTAGM</v>
          </cell>
          <cell r="I554" t="str">
            <v>-</v>
          </cell>
        </row>
        <row r="555">
          <cell r="B555" t="str">
            <v>Rondonópolis/MTBAU</v>
          </cell>
          <cell r="I555" t="str">
            <v>-</v>
          </cell>
        </row>
        <row r="556">
          <cell r="B556" t="str">
            <v>Rondonópolis/MTEMF-ISN</v>
          </cell>
          <cell r="I556" t="str">
            <v>-</v>
          </cell>
        </row>
        <row r="557">
          <cell r="B557" t="e">
            <v>#VALUE!</v>
          </cell>
          <cell r="I557" t="str">
            <v>-</v>
          </cell>
        </row>
        <row r="558">
          <cell r="B558" t="str">
            <v>Rondonópolis/MTBBI</v>
          </cell>
          <cell r="I558" t="str">
            <v>-</v>
          </cell>
        </row>
        <row r="559">
          <cell r="B559" t="str">
            <v>Rondonópolis/MTBFR</v>
          </cell>
          <cell r="I559" t="str">
            <v>Leonardo Teixeira Lage</v>
          </cell>
        </row>
        <row r="560">
          <cell r="B560" t="str">
            <v>Rondonópolis/MTNTR</v>
          </cell>
          <cell r="I560" t="str">
            <v>Nathane Beatrys Dos Santos Ramos</v>
          </cell>
        </row>
        <row r="561">
          <cell r="B561" t="str">
            <v>Rorainópolis/RREMF-ISN</v>
          </cell>
          <cell r="I561" t="str">
            <v>Janailson Da Silva Tavares</v>
          </cell>
        </row>
        <row r="562">
          <cell r="B562" t="str">
            <v>Salinas/MGEMF-ISN</v>
          </cell>
          <cell r="I562" t="str">
            <v>Cristiane De Oliveira Silva</v>
          </cell>
        </row>
        <row r="563">
          <cell r="B563" t="str">
            <v>Salinópolis/PAEMF-ISN</v>
          </cell>
          <cell r="I563" t="str">
            <v>Jean Sousa Dos Santos</v>
          </cell>
        </row>
        <row r="564">
          <cell r="B564" t="str">
            <v>Salvador/BA - Caminho das ÁrvoresBFR</v>
          </cell>
          <cell r="I564" t="str">
            <v>-</v>
          </cell>
        </row>
        <row r="565">
          <cell r="B565" t="str">
            <v>Salvador/BA - Caminho das ÁrvoresBTO</v>
          </cell>
          <cell r="I565" t="str">
            <v>Beatriz Teixeira Da Silva</v>
          </cell>
        </row>
        <row r="566">
          <cell r="B566" t="str">
            <v>Salvador/BA - Caminho das ÁrvoresEMF-ISN</v>
          </cell>
          <cell r="I566" t="str">
            <v>Bruno Jones De Castro</v>
          </cell>
        </row>
        <row r="567">
          <cell r="B567" t="str">
            <v>Salvador/BA - Caminho das ÁrvoresBFI</v>
          </cell>
          <cell r="I567" t="str">
            <v>Helenice Sacramento Souza Melo</v>
          </cell>
        </row>
        <row r="568">
          <cell r="B568" t="str">
            <v>Salvador/BA - Caminho das ÁrvoresBBI</v>
          </cell>
          <cell r="I568" t="str">
            <v>Larissa Islany Franca Rocha</v>
          </cell>
        </row>
        <row r="569">
          <cell r="B569" t="str">
            <v>Salvador/BA - Caminho das ÁrvoresCOS-TIP</v>
          </cell>
          <cell r="I569" t="str">
            <v>Lorrine De Souza Silva</v>
          </cell>
        </row>
        <row r="570">
          <cell r="B570" t="str">
            <v>Santa Cruz do Sul/RSEMF-ISN</v>
          </cell>
          <cell r="I570" t="str">
            <v>-</v>
          </cell>
        </row>
        <row r="571">
          <cell r="B571" t="str">
            <v>Santa Fé do Sul/SPEMF-ISN</v>
          </cell>
          <cell r="I571" t="str">
            <v>Mariana Mirian Correia</v>
          </cell>
        </row>
        <row r="572">
          <cell r="B572" t="str">
            <v>Santa Inês/MABFI</v>
          </cell>
          <cell r="I572" t="str">
            <v>-</v>
          </cell>
        </row>
        <row r="573">
          <cell r="B573" t="str">
            <v>Santa Inês/MACOS-TIP</v>
          </cell>
          <cell r="I573" t="str">
            <v>-</v>
          </cell>
        </row>
        <row r="574">
          <cell r="B574" t="str">
            <v>Santa Inês/MABBI</v>
          </cell>
          <cell r="I574" t="str">
            <v>-</v>
          </cell>
        </row>
        <row r="575">
          <cell r="B575" t="str">
            <v>Santa Inês/MANTR</v>
          </cell>
          <cell r="I575" t="str">
            <v>Amanda Aparecida Campos Oliveira Nogueira</v>
          </cell>
        </row>
        <row r="576">
          <cell r="B576" t="str">
            <v>Santa Inês/MABFR</v>
          </cell>
          <cell r="I576" t="str">
            <v>Camille Graziele Rocha Dos Santos</v>
          </cell>
        </row>
        <row r="577">
          <cell r="B577" t="str">
            <v>Santa Inês/MABTO</v>
          </cell>
          <cell r="I577" t="str">
            <v>David Santos Junior</v>
          </cell>
        </row>
        <row r="578">
          <cell r="B578" t="str">
            <v>Santa Inês/MAEMF-ISN</v>
          </cell>
          <cell r="I578" t="str">
            <v>Ygor Lafaeth Vieira Nunes</v>
          </cell>
        </row>
        <row r="579">
          <cell r="B579" t="str">
            <v>Santa Maria/RS - MedianeiraEMF-ISN</v>
          </cell>
          <cell r="I579" t="str">
            <v>Laura Prestes Moreira</v>
          </cell>
        </row>
        <row r="580">
          <cell r="B580" t="str">
            <v>Santarém/PAEMF-ISN</v>
          </cell>
          <cell r="I580" t="str">
            <v>Lulucha De Fatima Lima Da Silva</v>
          </cell>
        </row>
        <row r="581">
          <cell r="B581" t="str">
            <v>Santo André/SPEMF-ISN</v>
          </cell>
          <cell r="I581" t="str">
            <v>Kamila Cabral Sena</v>
          </cell>
        </row>
        <row r="582">
          <cell r="B582" t="str">
            <v>Santo Antônio de Jesus/BAEMF-ISN</v>
          </cell>
          <cell r="I582" t="str">
            <v>-</v>
          </cell>
        </row>
        <row r="583">
          <cell r="B583" t="str">
            <v>São Bento/MAEMF-ISN</v>
          </cell>
          <cell r="I583" t="str">
            <v>Matheus Campos Silva</v>
          </cell>
        </row>
        <row r="584">
          <cell r="B584" t="str">
            <v>São Caetano do Sul/SPBBI</v>
          </cell>
          <cell r="I584" t="str">
            <v>-</v>
          </cell>
        </row>
        <row r="585">
          <cell r="B585" t="str">
            <v>São Caetano do Sul/SPBFR</v>
          </cell>
          <cell r="I585" t="str">
            <v>Simone Mendonca Rodrigues</v>
          </cell>
        </row>
        <row r="586">
          <cell r="B586" t="str">
            <v>São Félix do Xingu/PAEMF-ISN</v>
          </cell>
          <cell r="I586" t="str">
            <v>Rachel De Brito Ribeiro</v>
          </cell>
        </row>
        <row r="587">
          <cell r="B587" t="str">
            <v>São Gabriel da Cachoeira/AMEMF-ISN</v>
          </cell>
          <cell r="I587" t="str">
            <v>Maria Rosalia Marques Sampaio</v>
          </cell>
        </row>
        <row r="588">
          <cell r="B588" t="str">
            <v>São Gonçalo/RJ - Partage ShoppingBBI</v>
          </cell>
          <cell r="I588" t="str">
            <v>-</v>
          </cell>
        </row>
        <row r="589">
          <cell r="B589" t="str">
            <v>São Gonçalo/RJ - Partage ShoppingBFR</v>
          </cell>
          <cell r="I589" t="str">
            <v>Caio Roberto Siqueira Lamego</v>
          </cell>
        </row>
        <row r="590">
          <cell r="B590" t="str">
            <v>São Gonçalo/RJ - Partage ShoppingEMF-ISN</v>
          </cell>
          <cell r="I590" t="str">
            <v>William Da Silva Coimbra</v>
          </cell>
        </row>
        <row r="591">
          <cell r="B591" t="str">
            <v>São José do Rio Preto/SP - CentroEMF-ISN</v>
          </cell>
          <cell r="I591" t="str">
            <v>-</v>
          </cell>
        </row>
        <row r="592">
          <cell r="B592" t="str">
            <v>São José dos Campos/SPEMF-ISN</v>
          </cell>
          <cell r="I592" t="str">
            <v>Tatiana Cavalcante De Moura</v>
          </cell>
        </row>
        <row r="593">
          <cell r="B593" t="str">
            <v>São Luís/MA - Cidade OperáriaEMF-ISN</v>
          </cell>
          <cell r="I593" t="str">
            <v>Denise Nunes Do Nascimento</v>
          </cell>
        </row>
        <row r="594">
          <cell r="B594" t="str">
            <v>São Luís/MA - Região CentralBBI</v>
          </cell>
          <cell r="I594" t="str">
            <v>-</v>
          </cell>
        </row>
        <row r="595">
          <cell r="B595" t="str">
            <v>São Luís/MA - Região CentralBFR</v>
          </cell>
          <cell r="I595" t="str">
            <v>Andrea Coelho Pereira</v>
          </cell>
        </row>
        <row r="596">
          <cell r="B596" t="str">
            <v>São Luís/MA - Região CentralEMF-ISN</v>
          </cell>
          <cell r="I596" t="str">
            <v>Zuelma Andrade De Oliveira</v>
          </cell>
        </row>
        <row r="597">
          <cell r="B597" t="str">
            <v>São Miguel do Oeste/SCEMF-ISN</v>
          </cell>
          <cell r="I597" t="str">
            <v>-</v>
          </cell>
        </row>
        <row r="598">
          <cell r="B598" t="str">
            <v>São Paulo/SP - SaúdeEMF-ISN</v>
          </cell>
          <cell r="I598" t="str">
            <v>-</v>
          </cell>
        </row>
        <row r="599">
          <cell r="B599" t="str">
            <v>São Paulo/SP - TatuapéBAU</v>
          </cell>
          <cell r="I599" t="str">
            <v>-</v>
          </cell>
        </row>
        <row r="600">
          <cell r="B600" t="str">
            <v>São Paulo/SP - TatuapéBFI</v>
          </cell>
          <cell r="I600" t="str">
            <v>-</v>
          </cell>
        </row>
        <row r="601">
          <cell r="B601" t="str">
            <v>São Paulo/SP - TatuapéBTO</v>
          </cell>
          <cell r="I601" t="str">
            <v>-</v>
          </cell>
        </row>
        <row r="602">
          <cell r="B602" t="str">
            <v>São Paulo/SP - TatuapéBBI</v>
          </cell>
          <cell r="I602" t="str">
            <v>-</v>
          </cell>
        </row>
        <row r="603">
          <cell r="B603" t="e">
            <v>#VALUE!</v>
          </cell>
          <cell r="I603" t="str">
            <v>-</v>
          </cell>
        </row>
        <row r="604">
          <cell r="B604" t="str">
            <v>São Paulo/SP - TatuapéAGM</v>
          </cell>
          <cell r="I604" t="str">
            <v>Barbara Cristina Claro Sabino</v>
          </cell>
        </row>
        <row r="605">
          <cell r="B605" t="str">
            <v>São Paulo/SP - TatuapéCOS-TIP</v>
          </cell>
          <cell r="I605" t="str">
            <v>Bianca Barros Silva</v>
          </cell>
        </row>
        <row r="606">
          <cell r="B606" t="str">
            <v>São Paulo/SP - TatuapéNTR</v>
          </cell>
          <cell r="I606" t="str">
            <v>Lais Lang Silva</v>
          </cell>
        </row>
        <row r="607">
          <cell r="B607" t="str">
            <v>São Paulo/SP - TatuapéEMF-ISN</v>
          </cell>
          <cell r="I607" t="str">
            <v>Luiz Dias Da Silva</v>
          </cell>
        </row>
        <row r="608">
          <cell r="B608" t="str">
            <v>São Paulo/SP - TatuapéBFR</v>
          </cell>
          <cell r="I608" t="str">
            <v>Magda Adriana Mizuoti Al Kabiri</v>
          </cell>
        </row>
        <row r="609">
          <cell r="B609" t="str">
            <v>São Pedro da Aldeia/RJNTR</v>
          </cell>
          <cell r="I609" t="str">
            <v>Natalia Silva De Mattos</v>
          </cell>
        </row>
        <row r="610">
          <cell r="B610" t="str">
            <v>São Raimundo Nonato/PIBAU</v>
          </cell>
          <cell r="I610" t="str">
            <v>-</v>
          </cell>
        </row>
        <row r="611">
          <cell r="B611" t="str">
            <v>São Raimundo Nonato/PIEMF-ISN</v>
          </cell>
          <cell r="I611" t="str">
            <v>Juliane Alves Ribeiro Diogenes</v>
          </cell>
        </row>
        <row r="612">
          <cell r="B612" t="str">
            <v>São Raimundo Nonato/PIECE-ENM-ENS-ENG-EEA-GPI-CDE-OBR-SAN-TER-FSA-SLF-QUI</v>
          </cell>
          <cell r="I612" t="str">
            <v>Romario Vilanova Santana</v>
          </cell>
        </row>
        <row r="613">
          <cell r="B613" t="str">
            <v>Sapé/PBEMF-ISN</v>
          </cell>
          <cell r="I613" t="str">
            <v>Sara Luana De Vasconcelos Gomes</v>
          </cell>
        </row>
        <row r="614">
          <cell r="B614" t="str">
            <v>Sena Madureira/ACEMF-ISN</v>
          </cell>
          <cell r="I614" t="str">
            <v>-</v>
          </cell>
        </row>
        <row r="615">
          <cell r="B615" t="str">
            <v>Senhor do Bonfim/BABBI</v>
          </cell>
          <cell r="I615" t="str">
            <v>-</v>
          </cell>
        </row>
        <row r="616">
          <cell r="B616" t="str">
            <v>Senhor do Bonfim/BABFR</v>
          </cell>
          <cell r="I616" t="str">
            <v>-</v>
          </cell>
        </row>
        <row r="617">
          <cell r="B617" t="str">
            <v>Serrinha/BAEMF-ISN</v>
          </cell>
          <cell r="I617" t="str">
            <v>Adriana Souza De Siqueira Porto</v>
          </cell>
        </row>
        <row r="618">
          <cell r="B618" t="str">
            <v>Sidrolândia/MSEMF-ISN</v>
          </cell>
          <cell r="I618" t="str">
            <v>Maria Ignacia Fabricio Meirelles</v>
          </cell>
        </row>
        <row r="619">
          <cell r="B619" t="str">
            <v>Sinop/MTBAU</v>
          </cell>
          <cell r="I619" t="str">
            <v>-</v>
          </cell>
        </row>
        <row r="620">
          <cell r="B620" t="str">
            <v>Sinop/MTBBI</v>
          </cell>
          <cell r="I620" t="str">
            <v>-</v>
          </cell>
        </row>
        <row r="621">
          <cell r="B621" t="str">
            <v>Sinop/MTBFR</v>
          </cell>
          <cell r="I621" t="str">
            <v>-</v>
          </cell>
        </row>
        <row r="622">
          <cell r="B622" t="e">
            <v>#VALUE!</v>
          </cell>
          <cell r="I622" t="str">
            <v>-</v>
          </cell>
        </row>
        <row r="623">
          <cell r="B623" t="str">
            <v>Sinop/MTAGM</v>
          </cell>
          <cell r="I623" t="str">
            <v>Paulo Roberto Di Filippo</v>
          </cell>
        </row>
        <row r="624">
          <cell r="B624" t="str">
            <v>Sinop/MTEMF-ISN</v>
          </cell>
          <cell r="I624" t="str">
            <v>Sara Jane Amann</v>
          </cell>
        </row>
        <row r="625">
          <cell r="B625" t="str">
            <v>Sobral/CEBAU</v>
          </cell>
          <cell r="I625" t="str">
            <v>-</v>
          </cell>
        </row>
        <row r="626">
          <cell r="B626" t="str">
            <v>Sobral/CEECE-ENM-ENS-ENG-EEA-GPI-CDE-OBR-SAN-TER-FSA-SLF-QUI</v>
          </cell>
          <cell r="I626" t="str">
            <v>-</v>
          </cell>
        </row>
        <row r="627">
          <cell r="B627" t="str">
            <v>Sobral/CEEMF-ISN</v>
          </cell>
          <cell r="I627" t="str">
            <v>Samilly Maranhao Coelho</v>
          </cell>
        </row>
        <row r="628">
          <cell r="B628" t="str">
            <v>Tangará da Serra/MTAGM</v>
          </cell>
          <cell r="I628" t="str">
            <v>-</v>
          </cell>
        </row>
        <row r="629">
          <cell r="B629" t="str">
            <v>Tangará da Serra/MTBAU</v>
          </cell>
          <cell r="I629" t="str">
            <v>-</v>
          </cell>
        </row>
        <row r="630">
          <cell r="B630" t="e">
            <v>#VALUE!</v>
          </cell>
          <cell r="I630" t="str">
            <v>-</v>
          </cell>
        </row>
        <row r="631">
          <cell r="B631" t="str">
            <v>Tangará da Serra/MTEMF-ISN</v>
          </cell>
          <cell r="I631" t="str">
            <v>-</v>
          </cell>
        </row>
        <row r="632">
          <cell r="B632" t="str">
            <v>Tapauá/AMEMF-ISN</v>
          </cell>
          <cell r="I632" t="str">
            <v>Joselia De Andrade De Lima</v>
          </cell>
        </row>
        <row r="633">
          <cell r="B633" t="str">
            <v>Telêmaco Borba/PRBAU</v>
          </cell>
          <cell r="I633" t="str">
            <v>-</v>
          </cell>
        </row>
        <row r="634">
          <cell r="B634" t="str">
            <v>Telêmaco Borba/PRECE-ENM-ENS-ENG-EEA-GPI-CDE-OBR-SAN-TER-FSA-SLF-QUI</v>
          </cell>
          <cell r="I634" t="str">
            <v>-</v>
          </cell>
        </row>
        <row r="635">
          <cell r="B635" t="str">
            <v>Teresina/PI - Frei SerafimEMF-ISN</v>
          </cell>
          <cell r="I635" t="str">
            <v>Raffael Esdras Cavalcante Pinto</v>
          </cell>
        </row>
        <row r="636">
          <cell r="B636" t="str">
            <v>Tomé-Açu/PAEMF-ISN</v>
          </cell>
          <cell r="I636" t="str">
            <v>-</v>
          </cell>
        </row>
        <row r="637">
          <cell r="B637" t="str">
            <v>Três Lagoas/MSBAU</v>
          </cell>
          <cell r="I637" t="str">
            <v>-</v>
          </cell>
        </row>
        <row r="638">
          <cell r="B638" t="str">
            <v>Três Lagoas/MSECE-ENM-ENS-ENG-EEA-GPI-CDE-OBR-SAN-TER-FSA-SLF-QUI</v>
          </cell>
          <cell r="I638" t="str">
            <v>-</v>
          </cell>
        </row>
        <row r="639">
          <cell r="B639" t="str">
            <v>Três Lagoas/MSEMF-ISN</v>
          </cell>
          <cell r="I639" t="str">
            <v>Gilberto Dellai Filho</v>
          </cell>
        </row>
        <row r="640">
          <cell r="B640" t="str">
            <v>Tucumã/PABAU</v>
          </cell>
          <cell r="I640" t="str">
            <v>-</v>
          </cell>
        </row>
        <row r="641">
          <cell r="B641" t="str">
            <v>Tucumã/PAECE-ENM-ENS-ENG-EEA-GPI-CDE-OBR-SAN-TER-FSA-SLF-QUI</v>
          </cell>
          <cell r="I641" t="str">
            <v>-</v>
          </cell>
        </row>
        <row r="642">
          <cell r="B642" t="str">
            <v>Uberlândia/MGEMF-ISN</v>
          </cell>
          <cell r="I642" t="str">
            <v>Marco Aurelio Afonso Abreu</v>
          </cell>
        </row>
        <row r="643">
          <cell r="B643" t="str">
            <v>Umuarama/PREMF-ISN</v>
          </cell>
          <cell r="I643" t="str">
            <v>-</v>
          </cell>
        </row>
        <row r="644">
          <cell r="B644" t="str">
            <v>Unaí/MGBAU</v>
          </cell>
          <cell r="I644" t="str">
            <v>-</v>
          </cell>
        </row>
        <row r="645">
          <cell r="B645" t="e">
            <v>#VALUE!</v>
          </cell>
          <cell r="I645" t="str">
            <v>-</v>
          </cell>
        </row>
        <row r="646">
          <cell r="B646" t="str">
            <v>Unaí/MGAGM</v>
          </cell>
          <cell r="I646" t="str">
            <v>Rannery Camargos Dos Santos</v>
          </cell>
        </row>
        <row r="647">
          <cell r="B647" t="str">
            <v>Várzea da Palma/MGEMF-ISN</v>
          </cell>
          <cell r="I647" t="str">
            <v>Paula Cristina Fernandes Da Silva</v>
          </cell>
        </row>
        <row r="648">
          <cell r="B648" t="str">
            <v>Viçosa/MGEMF-ISN</v>
          </cell>
          <cell r="I648" t="str">
            <v>Dwovany De Oliveira Lacerda</v>
          </cell>
        </row>
        <row r="649">
          <cell r="B649" t="str">
            <v>Videira/SCEMF-ISN</v>
          </cell>
          <cell r="I649" t="str">
            <v>Caio Bruce Barroso Vieira</v>
          </cell>
        </row>
        <row r="650">
          <cell r="B650" t="str">
            <v>Vigia/PAEMF-ISN</v>
          </cell>
          <cell r="I650" t="str">
            <v>Leticia Roberta Modesto Dos Santos</v>
          </cell>
        </row>
        <row r="651">
          <cell r="B651" t="str">
            <v>Vila Velha/ESBAU</v>
          </cell>
          <cell r="I651" t="str">
            <v>-</v>
          </cell>
        </row>
        <row r="652">
          <cell r="B652" t="str">
            <v>Vila Velha/ESECE-ENM-ENS-ENG-EEA-GPI-CDE-OBR-SAN-TER-FSA-SLF-QUI</v>
          </cell>
          <cell r="I652" t="str">
            <v>-</v>
          </cell>
        </row>
        <row r="653">
          <cell r="B653" t="str">
            <v>Vila Velha/ESEMF-ISN</v>
          </cell>
          <cell r="I653" t="str">
            <v>Viviane Aparecida Andrade Silveira</v>
          </cell>
        </row>
        <row r="654">
          <cell r="B654" t="str">
            <v>Viseu/PAEMF-ISN</v>
          </cell>
          <cell r="I654" t="str">
            <v>Natanael Da Silva Teixeira</v>
          </cell>
        </row>
        <row r="655">
          <cell r="B655" t="str">
            <v>Vitória da Conquista/BA - CentroEMF-ISN</v>
          </cell>
          <cell r="I655" t="str">
            <v>-</v>
          </cell>
        </row>
        <row r="656">
          <cell r="B656" t="str">
            <v>Volta Redonda/RJEMF-ISN</v>
          </cell>
          <cell r="I656" t="str">
            <v>Carlos Eduardo Da Rocha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DY915" totalsRowShown="0" headerRowDxfId="130" dataDxfId="129">
  <autoFilter ref="A1:DY915" xr:uid="{00000000-0009-0000-0100-000001000000}"/>
  <tableColumns count="129">
    <tableColumn id="1" xr3:uid="{00000000-0010-0000-0000-000001000000}" name="Id" dataDxfId="12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 dataDxfId="127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 dataDxfId="126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2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12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de pontos" dataDxfId="123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Comentários do teste" dataDxfId="122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Hora de postagem da nota" dataDxfId="121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Selecione seu Polo Laboratório de Atividades Presenciais:" dataDxfId="120">
      <extLst>
        <ext xmlns:xlmsforms="http://schemas.microsoft.com/office/spreadsheetml/2023/msForms" uri="{FCC71383-01E1-4257-9335-427F07BE8D7F}">
          <xlmsforms:question id="r4fe4fbe19b1348e99c3eaf065ca68d68"/>
        </ext>
      </extLst>
    </tableColumn>
    <tableColumn id="10" xr3:uid="{00000000-0010-0000-0000-00000A000000}" name="Pontos – Selecione seu Polo Laboratório de Atividades Presenciais:" dataDxfId="119">
      <extLst>
        <ext xmlns:xlmsforms="http://schemas.microsoft.com/office/spreadsheetml/2023/msForms" uri="{FCC71383-01E1-4257-9335-427F07BE8D7F}">
          <xlmsforms:question id="r4fe4fbe19b1348e99c3eaf065ca68d68-Score"/>
        </ext>
      </extLst>
    </tableColumn>
    <tableColumn id="11" xr3:uid="{00000000-0010-0000-0000-00000B000000}" name="Comentários – Selecione seu Polo Laboratório de Atividades Presenciais:" dataDxfId="118">
      <extLst>
        <ext xmlns:xlmsforms="http://schemas.microsoft.com/office/spreadsheetml/2023/msForms" uri="{FCC71383-01E1-4257-9335-427F07BE8D7F}">
          <xlmsforms:question id="r4fe4fbe19b1348e99c3eaf065ca68d68-Comment"/>
        </ext>
      </extLst>
    </tableColumn>
    <tableColumn id="124" xr3:uid="{C739A241-FB8B-4826-9F80-FFC1892D34C6}" name="Selecione a Ordem de Disciplina" dataDxfId="117">
      <extLst>
        <ext xmlns:xlmsforms="http://schemas.microsoft.com/office/spreadsheetml/2023/msForms" uri="{FCC71383-01E1-4257-9335-427F07BE8D7F}">
          <xlmsforms:question id="rb64e77c85fe54f94b0b2e0de3cf0adcd"/>
        </ext>
      </extLst>
    </tableColumn>
    <tableColumn id="126" xr3:uid="{36A5E24D-177A-48FA-A808-7A4D3274208D}" name="Pontos – Selecione a Ordem de Disciplina" dataDxfId="116">
      <extLst>
        <ext xmlns:xlmsforms="http://schemas.microsoft.com/office/spreadsheetml/2023/msForms" uri="{FCC71383-01E1-4257-9335-427F07BE8D7F}">
          <xlmsforms:question id="rb64e77c85fe54f94b0b2e0de3cf0adcd-Score"/>
        </ext>
      </extLst>
    </tableColumn>
    <tableColumn id="127" xr3:uid="{DEE657AF-427F-4C50-80B7-B00E0DA9624B}" name="Comentários – Selecione a Ordem de Disciplina" dataDxfId="115">
      <extLst>
        <ext xmlns:xlmsforms="http://schemas.microsoft.com/office/spreadsheetml/2023/msForms" uri="{FCC71383-01E1-4257-9335-427F07BE8D7F}">
          <xlmsforms:question id="rb64e77c85fe54f94b0b2e0de3cf0adcd-Comment"/>
        </ext>
      </extLst>
    </tableColumn>
    <tableColumn id="12" xr3:uid="{00000000-0010-0000-0000-00000C000000}" name="Selecione a Categoria do Laboratório desta atividade prática:" dataDxfId="114">
      <extLst>
        <ext xmlns:xlmsforms="http://schemas.microsoft.com/office/spreadsheetml/2023/msForms" uri="{FCC71383-01E1-4257-9335-427F07BE8D7F}">
          <xlmsforms:question id="r8c740f3fd0c04e0cbdfba5e02d924d55"/>
        </ext>
      </extLst>
    </tableColumn>
    <tableColumn id="13" xr3:uid="{00000000-0010-0000-0000-00000D000000}" name="Pontos – Selecione a Categoria do Laboratório desta atividade prática:" dataDxfId="113">
      <extLst>
        <ext xmlns:xlmsforms="http://schemas.microsoft.com/office/spreadsheetml/2023/msForms" uri="{FCC71383-01E1-4257-9335-427F07BE8D7F}">
          <xlmsforms:question id="r8c740f3fd0c04e0cbdfba5e02d924d55-Score"/>
        </ext>
      </extLst>
    </tableColumn>
    <tableColumn id="14" xr3:uid="{00000000-0010-0000-0000-00000E000000}" name="Comentários – Selecione a Categoria do Laboratório desta atividade prática:" dataDxfId="112">
      <extLst>
        <ext xmlns:xlmsforms="http://schemas.microsoft.com/office/spreadsheetml/2023/msForms" uri="{FCC71383-01E1-4257-9335-427F07BE8D7F}">
          <xlmsforms:question id="r8c740f3fd0c04e0cbdfba5e02d924d55-Comment"/>
        </ext>
      </extLst>
    </tableColumn>
    <tableColumn id="15" xr3:uid="{00000000-0010-0000-0000-00000F000000}" name="Selecione quais Protocolos de Atividades Práticas foram realizados no laboratório:" dataDxfId="111">
      <extLst>
        <ext xmlns:xlmsforms="http://schemas.microsoft.com/office/spreadsheetml/2023/msForms" uri="{FCC71383-01E1-4257-9335-427F07BE8D7F}">
          <xlmsforms:question id="r80c8edf927774d31a22e0c8087f52cc3"/>
        </ext>
      </extLst>
    </tableColumn>
    <tableColumn id="16" xr3:uid="{00000000-0010-0000-0000-000010000000}" name="Pontos – Selecione quais Protocolos de Atividades Práticas foram realizados no laboratório:" dataDxfId="110">
      <extLst>
        <ext xmlns:xlmsforms="http://schemas.microsoft.com/office/spreadsheetml/2023/msForms" uri="{FCC71383-01E1-4257-9335-427F07BE8D7F}">
          <xlmsforms:question id="r80c8edf927774d31a22e0c8087f52cc3-Score"/>
        </ext>
      </extLst>
    </tableColumn>
    <tableColumn id="17" xr3:uid="{00000000-0010-0000-0000-000011000000}" name="Comentários – Selecione quais Protocolos de Atividades Práticas foram realizados no laboratório:" dataDxfId="109">
      <extLst>
        <ext xmlns:xlmsforms="http://schemas.microsoft.com/office/spreadsheetml/2023/msForms" uri="{FCC71383-01E1-4257-9335-427F07BE8D7F}">
          <xlmsforms:question id="r80c8edf927774d31a22e0c8087f52cc3-Comment"/>
        </ext>
      </extLst>
    </tableColumn>
    <tableColumn id="18" xr3:uid="{00000000-0010-0000-0000-000012000000}" name="Data da aplicação do Protocolo de Prática:" dataDxfId="108">
      <extLst>
        <ext xmlns:xlmsforms="http://schemas.microsoft.com/office/spreadsheetml/2023/msForms" uri="{FCC71383-01E1-4257-9335-427F07BE8D7F}">
          <xlmsforms:question id="r84201c0a65024be287de9ee8effb52b1"/>
        </ext>
      </extLst>
    </tableColumn>
    <tableColumn id="19" xr3:uid="{00000000-0010-0000-0000-000013000000}" name="Pontos – Data da aplicação do Protocolo de Prática:" dataDxfId="107">
      <extLst>
        <ext xmlns:xlmsforms="http://schemas.microsoft.com/office/spreadsheetml/2023/msForms" uri="{FCC71383-01E1-4257-9335-427F07BE8D7F}">
          <xlmsforms:question id="r84201c0a65024be287de9ee8effb52b1-Score"/>
        </ext>
      </extLst>
    </tableColumn>
    <tableColumn id="20" xr3:uid="{00000000-0010-0000-0000-000014000000}" name="Comentários – Data da aplicação do Protocolo de Prática:" dataDxfId="106">
      <extLst>
        <ext xmlns:xlmsforms="http://schemas.microsoft.com/office/spreadsheetml/2023/msForms" uri="{FCC71383-01E1-4257-9335-427F07BE8D7F}">
          <xlmsforms:question id="r84201c0a65024be287de9ee8effb52b1-Comment"/>
        </ext>
      </extLst>
    </tableColumn>
    <tableColumn id="21" xr3:uid="{00000000-0010-0000-0000-000015000000}" name="Quantos Estudantes presentes neste Experimento?" dataDxfId="105">
      <extLst>
        <ext xmlns:xlmsforms="http://schemas.microsoft.com/office/spreadsheetml/2023/msForms" uri="{FCC71383-01E1-4257-9335-427F07BE8D7F}">
          <xlmsforms:question id="rdeffb0ec47914c0696fafabbf716fbe8"/>
        </ext>
      </extLst>
    </tableColumn>
    <tableColumn id="22" xr3:uid="{00000000-0010-0000-0000-000016000000}" name="Pontos – Quantos Estudantes presentes neste Experimento?" dataDxfId="104">
      <extLst>
        <ext xmlns:xlmsforms="http://schemas.microsoft.com/office/spreadsheetml/2023/msForms" uri="{FCC71383-01E1-4257-9335-427F07BE8D7F}">
          <xlmsforms:question id="rdeffb0ec47914c0696fafabbf716fbe8-Score"/>
        </ext>
      </extLst>
    </tableColumn>
    <tableColumn id="23" xr3:uid="{00000000-0010-0000-0000-000017000000}" name="Comentários – Quantos Estudantes presentes neste Experimento?" dataDxfId="103">
      <extLst>
        <ext xmlns:xlmsforms="http://schemas.microsoft.com/office/spreadsheetml/2023/msForms" uri="{FCC71383-01E1-4257-9335-427F07BE8D7F}">
          <xlmsforms:question id="rdeffb0ec47914c0696fafabbf716fbe8-Comment"/>
        </ext>
      </extLst>
    </tableColumn>
    <tableColumn id="24" xr3:uid="{00000000-0010-0000-0000-000018000000}" name="Envio da Lista de Presença:" dataDxfId="102">
      <extLst>
        <ext xmlns:xlmsforms="http://schemas.microsoft.com/office/spreadsheetml/2023/msForms" uri="{FCC71383-01E1-4257-9335-427F07BE8D7F}">
          <xlmsforms:question id="r01d4ac05be134c669f9a5cd0eea1407d"/>
        </ext>
      </extLst>
    </tableColumn>
    <tableColumn id="25" xr3:uid="{00000000-0010-0000-0000-000019000000}" name="Pontos – Envio da Lista de Presença:" dataDxfId="101">
      <extLst>
        <ext xmlns:xlmsforms="http://schemas.microsoft.com/office/spreadsheetml/2023/msForms" uri="{FCC71383-01E1-4257-9335-427F07BE8D7F}">
          <xlmsforms:question id="r01d4ac05be134c669f9a5cd0eea1407d-Score"/>
        </ext>
      </extLst>
    </tableColumn>
    <tableColumn id="26" xr3:uid="{00000000-0010-0000-0000-00001A000000}" name="Comentários – Envio da Lista de Presença:" dataDxfId="100">
      <extLst>
        <ext xmlns:xlmsforms="http://schemas.microsoft.com/office/spreadsheetml/2023/msForms" uri="{FCC71383-01E1-4257-9335-427F07BE8D7F}">
          <xlmsforms:question id="r01d4ac05be134c669f9a5cd0eea1407d-Comment"/>
        </ext>
      </extLst>
    </tableColumn>
    <tableColumn id="27" xr3:uid="{00000000-0010-0000-0000-00001B000000}" name="Envio do Portfólio em PDF:" dataDxfId="99">
      <extLst>
        <ext xmlns:xlmsforms="http://schemas.microsoft.com/office/spreadsheetml/2023/msForms" uri="{FCC71383-01E1-4257-9335-427F07BE8D7F}">
          <xlmsforms:question id="r9adeeeb3a5264a8d9fadfd4a9d29cdcd"/>
        </ext>
      </extLst>
    </tableColumn>
    <tableColumn id="28" xr3:uid="{00000000-0010-0000-0000-00001C000000}" name="Pontos – Envio do Portfólio em PDF:" dataDxfId="98">
      <extLst>
        <ext xmlns:xlmsforms="http://schemas.microsoft.com/office/spreadsheetml/2023/msForms" uri="{FCC71383-01E1-4257-9335-427F07BE8D7F}">
          <xlmsforms:question id="r9adeeeb3a5264a8d9fadfd4a9d29cdcd-Score"/>
        </ext>
      </extLst>
    </tableColumn>
    <tableColumn id="29" xr3:uid="{00000000-0010-0000-0000-00001D000000}" name="Comentários – Envio do Portfólio em PDF:" dataDxfId="97">
      <extLst>
        <ext xmlns:xlmsforms="http://schemas.microsoft.com/office/spreadsheetml/2023/msForms" uri="{FCC71383-01E1-4257-9335-427F07BE8D7F}">
          <xlmsforms:question id="r9adeeeb3a5264a8d9fadfd4a9d29cdcd-Comment"/>
        </ext>
      </extLst>
    </tableColumn>
    <tableColumn id="30" xr3:uid="{00000000-0010-0000-0000-00001E000000}" name="Selecione quais Protocolos de Atividades Práticas foram realizados no laboratório:1" dataDxfId="96">
      <extLst>
        <ext xmlns:xlmsforms="http://schemas.microsoft.com/office/spreadsheetml/2023/msForms" uri="{FCC71383-01E1-4257-9335-427F07BE8D7F}">
          <xlmsforms:question id="r42081fecaa034d1aaa7b246b083d3ff0"/>
        </ext>
      </extLst>
    </tableColumn>
    <tableColumn id="31" xr3:uid="{00000000-0010-0000-0000-00001F000000}" name="Pontos – Selecione quais Protocolos de Atividades Práticas foram realizados no laboratório:1" dataDxfId="95">
      <extLst>
        <ext xmlns:xlmsforms="http://schemas.microsoft.com/office/spreadsheetml/2023/msForms" uri="{FCC71383-01E1-4257-9335-427F07BE8D7F}">
          <xlmsforms:question id="r42081fecaa034d1aaa7b246b083d3ff0-Score"/>
        </ext>
      </extLst>
    </tableColumn>
    <tableColumn id="32" xr3:uid="{00000000-0010-0000-0000-000020000000}" name="Comentários – Selecione quais Protocolos de Atividades Práticas foram realizados no laboratório:1" dataDxfId="94">
      <extLst>
        <ext xmlns:xlmsforms="http://schemas.microsoft.com/office/spreadsheetml/2023/msForms" uri="{FCC71383-01E1-4257-9335-427F07BE8D7F}">
          <xlmsforms:question id="r42081fecaa034d1aaa7b246b083d3ff0-Comment"/>
        </ext>
      </extLst>
    </tableColumn>
    <tableColumn id="33" xr3:uid="{00000000-0010-0000-0000-000021000000}" name="Data da aplicação do Protocolo de Prática:1" dataDxfId="93">
      <extLst>
        <ext xmlns:xlmsforms="http://schemas.microsoft.com/office/spreadsheetml/2023/msForms" uri="{FCC71383-01E1-4257-9335-427F07BE8D7F}">
          <xlmsforms:question id="r1a9d4e0e2d1a426db8890bbf24324a98"/>
        </ext>
      </extLst>
    </tableColumn>
    <tableColumn id="34" xr3:uid="{00000000-0010-0000-0000-000022000000}" name="Pontos – Data da aplicação do Protocolo de Prática:1" dataDxfId="92">
      <extLst>
        <ext xmlns:xlmsforms="http://schemas.microsoft.com/office/spreadsheetml/2023/msForms" uri="{FCC71383-01E1-4257-9335-427F07BE8D7F}">
          <xlmsforms:question id="r1a9d4e0e2d1a426db8890bbf24324a98-Score"/>
        </ext>
      </extLst>
    </tableColumn>
    <tableColumn id="35" xr3:uid="{00000000-0010-0000-0000-000023000000}" name="Comentários – Data da aplicação do Protocolo de Prática:1" dataDxfId="91">
      <extLst>
        <ext xmlns:xlmsforms="http://schemas.microsoft.com/office/spreadsheetml/2023/msForms" uri="{FCC71383-01E1-4257-9335-427F07BE8D7F}">
          <xlmsforms:question id="r1a9d4e0e2d1a426db8890bbf24324a98-Comment"/>
        </ext>
      </extLst>
    </tableColumn>
    <tableColumn id="36" xr3:uid="{00000000-0010-0000-0000-000024000000}" name="Quantos Estudantes presentes neste Experimento?1" dataDxfId="90">
      <extLst>
        <ext xmlns:xlmsforms="http://schemas.microsoft.com/office/spreadsheetml/2023/msForms" uri="{FCC71383-01E1-4257-9335-427F07BE8D7F}">
          <xlmsforms:question id="r3fa8dd9c870f466c8b3da538a9263145"/>
        </ext>
      </extLst>
    </tableColumn>
    <tableColumn id="37" xr3:uid="{00000000-0010-0000-0000-000025000000}" name="Pontos – Quantos Estudantes presentes neste Experimento?1" dataDxfId="89">
      <extLst>
        <ext xmlns:xlmsforms="http://schemas.microsoft.com/office/spreadsheetml/2023/msForms" uri="{FCC71383-01E1-4257-9335-427F07BE8D7F}">
          <xlmsforms:question id="r3fa8dd9c870f466c8b3da538a9263145-Score"/>
        </ext>
      </extLst>
    </tableColumn>
    <tableColumn id="38" xr3:uid="{00000000-0010-0000-0000-000026000000}" name="Comentários – Quantos Estudantes presentes neste Experimento?1" dataDxfId="88">
      <extLst>
        <ext xmlns:xlmsforms="http://schemas.microsoft.com/office/spreadsheetml/2023/msForms" uri="{FCC71383-01E1-4257-9335-427F07BE8D7F}">
          <xlmsforms:question id="r3fa8dd9c870f466c8b3da538a9263145-Comment"/>
        </ext>
      </extLst>
    </tableColumn>
    <tableColumn id="39" xr3:uid="{00000000-0010-0000-0000-000027000000}" name="Envio da Lista de Presença:1" dataDxfId="87">
      <extLst>
        <ext xmlns:xlmsforms="http://schemas.microsoft.com/office/spreadsheetml/2023/msForms" uri="{FCC71383-01E1-4257-9335-427F07BE8D7F}">
          <xlmsforms:question id="r9e323d7e0aa1433bb25910583875cf67"/>
        </ext>
      </extLst>
    </tableColumn>
    <tableColumn id="40" xr3:uid="{00000000-0010-0000-0000-000028000000}" name="Pontos – Envio da Lista de Presença:1" dataDxfId="86">
      <extLst>
        <ext xmlns:xlmsforms="http://schemas.microsoft.com/office/spreadsheetml/2023/msForms" uri="{FCC71383-01E1-4257-9335-427F07BE8D7F}">
          <xlmsforms:question id="r9e323d7e0aa1433bb25910583875cf67-Score"/>
        </ext>
      </extLst>
    </tableColumn>
    <tableColumn id="41" xr3:uid="{00000000-0010-0000-0000-000029000000}" name="Comentários – Envio da Lista de Presença:1" dataDxfId="85">
      <extLst>
        <ext xmlns:xlmsforms="http://schemas.microsoft.com/office/spreadsheetml/2023/msForms" uri="{FCC71383-01E1-4257-9335-427F07BE8D7F}">
          <xlmsforms:question id="r9e323d7e0aa1433bb25910583875cf67-Comment"/>
        </ext>
      </extLst>
    </tableColumn>
    <tableColumn id="42" xr3:uid="{00000000-0010-0000-0000-00002A000000}" name="Envio do Portfólio em PDF:1" dataDxfId="84">
      <extLst>
        <ext xmlns:xlmsforms="http://schemas.microsoft.com/office/spreadsheetml/2023/msForms" uri="{FCC71383-01E1-4257-9335-427F07BE8D7F}">
          <xlmsforms:question id="r137d92306ae7420691342c00d0882f19"/>
        </ext>
      </extLst>
    </tableColumn>
    <tableColumn id="43" xr3:uid="{00000000-0010-0000-0000-00002B000000}" name="Pontos – Envio do Portfólio em PDF:1" dataDxfId="83">
      <extLst>
        <ext xmlns:xlmsforms="http://schemas.microsoft.com/office/spreadsheetml/2023/msForms" uri="{FCC71383-01E1-4257-9335-427F07BE8D7F}">
          <xlmsforms:question id="r137d92306ae7420691342c00d0882f19-Score"/>
        </ext>
      </extLst>
    </tableColumn>
    <tableColumn id="44" xr3:uid="{00000000-0010-0000-0000-00002C000000}" name="Comentários – Envio do Portfólio em PDF:1" dataDxfId="82">
      <extLst>
        <ext xmlns:xlmsforms="http://schemas.microsoft.com/office/spreadsheetml/2023/msForms" uri="{FCC71383-01E1-4257-9335-427F07BE8D7F}">
          <xlmsforms:question id="r137d92306ae7420691342c00d0882f19-Comment"/>
        </ext>
      </extLst>
    </tableColumn>
    <tableColumn id="45" xr3:uid="{00000000-0010-0000-0000-00002D000000}" name="Selecione quais Protocolos de Atividades Práticas foram realizados no laboratório:2" dataDxfId="81">
      <extLst>
        <ext xmlns:xlmsforms="http://schemas.microsoft.com/office/spreadsheetml/2023/msForms" uri="{FCC71383-01E1-4257-9335-427F07BE8D7F}">
          <xlmsforms:question id="r7a263e0e19fd47aea784abcb1ad27c5c"/>
        </ext>
      </extLst>
    </tableColumn>
    <tableColumn id="46" xr3:uid="{00000000-0010-0000-0000-00002E000000}" name="Pontos – Selecione quais Protocolos de Atividades Práticas foram realizados no laboratório:2" dataDxfId="80">
      <extLst>
        <ext xmlns:xlmsforms="http://schemas.microsoft.com/office/spreadsheetml/2023/msForms" uri="{FCC71383-01E1-4257-9335-427F07BE8D7F}">
          <xlmsforms:question id="r7a263e0e19fd47aea784abcb1ad27c5c-Score"/>
        </ext>
      </extLst>
    </tableColumn>
    <tableColumn id="47" xr3:uid="{00000000-0010-0000-0000-00002F000000}" name="Comentários – Selecione quais Protocolos de Atividades Práticas foram realizados no laboratório:2" dataDxfId="79">
      <extLst>
        <ext xmlns:xlmsforms="http://schemas.microsoft.com/office/spreadsheetml/2023/msForms" uri="{FCC71383-01E1-4257-9335-427F07BE8D7F}">
          <xlmsforms:question id="r7a263e0e19fd47aea784abcb1ad27c5c-Comment"/>
        </ext>
      </extLst>
    </tableColumn>
    <tableColumn id="48" xr3:uid="{00000000-0010-0000-0000-000030000000}" name="Data da aplicação do Protocolo de Prática:2" dataDxfId="78">
      <extLst>
        <ext xmlns:xlmsforms="http://schemas.microsoft.com/office/spreadsheetml/2023/msForms" uri="{FCC71383-01E1-4257-9335-427F07BE8D7F}">
          <xlmsforms:question id="r751e24319e76488f9967e7c536e785f5"/>
        </ext>
      </extLst>
    </tableColumn>
    <tableColumn id="49" xr3:uid="{00000000-0010-0000-0000-000031000000}" name="Pontos – Data da aplicação do Protocolo de Prática:2" dataDxfId="77">
      <extLst>
        <ext xmlns:xlmsforms="http://schemas.microsoft.com/office/spreadsheetml/2023/msForms" uri="{FCC71383-01E1-4257-9335-427F07BE8D7F}">
          <xlmsforms:question id="r751e24319e76488f9967e7c536e785f5-Score"/>
        </ext>
      </extLst>
    </tableColumn>
    <tableColumn id="50" xr3:uid="{00000000-0010-0000-0000-000032000000}" name="Comentários – Data da aplicação do Protocolo de Prática:2" dataDxfId="76">
      <extLst>
        <ext xmlns:xlmsforms="http://schemas.microsoft.com/office/spreadsheetml/2023/msForms" uri="{FCC71383-01E1-4257-9335-427F07BE8D7F}">
          <xlmsforms:question id="r751e24319e76488f9967e7c536e785f5-Comment"/>
        </ext>
      </extLst>
    </tableColumn>
    <tableColumn id="51" xr3:uid="{00000000-0010-0000-0000-000033000000}" name="Quantos Estudantes presentes neste Experimento?2" dataDxfId="75">
      <extLst>
        <ext xmlns:xlmsforms="http://schemas.microsoft.com/office/spreadsheetml/2023/msForms" uri="{FCC71383-01E1-4257-9335-427F07BE8D7F}">
          <xlmsforms:question id="ra7baf1d3647a44d699141ac807e50c67"/>
        </ext>
      </extLst>
    </tableColumn>
    <tableColumn id="52" xr3:uid="{00000000-0010-0000-0000-000034000000}" name="Pontos – Quantos Estudantes presentes neste Experimento?2" dataDxfId="74">
      <extLst>
        <ext xmlns:xlmsforms="http://schemas.microsoft.com/office/spreadsheetml/2023/msForms" uri="{FCC71383-01E1-4257-9335-427F07BE8D7F}">
          <xlmsforms:question id="ra7baf1d3647a44d699141ac807e50c67-Score"/>
        </ext>
      </extLst>
    </tableColumn>
    <tableColumn id="53" xr3:uid="{00000000-0010-0000-0000-000035000000}" name="Comentários – Quantos Estudantes presentes neste Experimento?2" dataDxfId="73">
      <extLst>
        <ext xmlns:xlmsforms="http://schemas.microsoft.com/office/spreadsheetml/2023/msForms" uri="{FCC71383-01E1-4257-9335-427F07BE8D7F}">
          <xlmsforms:question id="ra7baf1d3647a44d699141ac807e50c67-Comment"/>
        </ext>
      </extLst>
    </tableColumn>
    <tableColumn id="54" xr3:uid="{00000000-0010-0000-0000-000036000000}" name="Envio da Lista de Presença:2" dataDxfId="72">
      <extLst>
        <ext xmlns:xlmsforms="http://schemas.microsoft.com/office/spreadsheetml/2023/msForms" uri="{FCC71383-01E1-4257-9335-427F07BE8D7F}">
          <xlmsforms:question id="r14881c9f36e840f1ae26b96c4e9b852d"/>
        </ext>
      </extLst>
    </tableColumn>
    <tableColumn id="55" xr3:uid="{00000000-0010-0000-0000-000037000000}" name="Pontos – Envio da Lista de Presença:2" dataDxfId="71">
      <extLst>
        <ext xmlns:xlmsforms="http://schemas.microsoft.com/office/spreadsheetml/2023/msForms" uri="{FCC71383-01E1-4257-9335-427F07BE8D7F}">
          <xlmsforms:question id="r14881c9f36e840f1ae26b96c4e9b852d-Score"/>
        </ext>
      </extLst>
    </tableColumn>
    <tableColumn id="56" xr3:uid="{00000000-0010-0000-0000-000038000000}" name="Comentários – Envio da Lista de Presença:2" dataDxfId="70">
      <extLst>
        <ext xmlns:xlmsforms="http://schemas.microsoft.com/office/spreadsheetml/2023/msForms" uri="{FCC71383-01E1-4257-9335-427F07BE8D7F}">
          <xlmsforms:question id="r14881c9f36e840f1ae26b96c4e9b852d-Comment"/>
        </ext>
      </extLst>
    </tableColumn>
    <tableColumn id="57" xr3:uid="{00000000-0010-0000-0000-000039000000}" name="Envio do Portfólio em PDF:2" dataDxfId="69">
      <extLst>
        <ext xmlns:xlmsforms="http://schemas.microsoft.com/office/spreadsheetml/2023/msForms" uri="{FCC71383-01E1-4257-9335-427F07BE8D7F}">
          <xlmsforms:question id="re9a6a86296d4438097eca4275b6a5925"/>
        </ext>
      </extLst>
    </tableColumn>
    <tableColumn id="58" xr3:uid="{00000000-0010-0000-0000-00003A000000}" name="Pontos – Envio do Portfólio em PDF:2" dataDxfId="68">
      <extLst>
        <ext xmlns:xlmsforms="http://schemas.microsoft.com/office/spreadsheetml/2023/msForms" uri="{FCC71383-01E1-4257-9335-427F07BE8D7F}">
          <xlmsforms:question id="re9a6a86296d4438097eca4275b6a5925-Score"/>
        </ext>
      </extLst>
    </tableColumn>
    <tableColumn id="59" xr3:uid="{00000000-0010-0000-0000-00003B000000}" name="Comentários – Envio do Portfólio em PDF:2" dataDxfId="67">
      <extLst>
        <ext xmlns:xlmsforms="http://schemas.microsoft.com/office/spreadsheetml/2023/msForms" uri="{FCC71383-01E1-4257-9335-427F07BE8D7F}">
          <xlmsforms:question id="re9a6a86296d4438097eca4275b6a5925-Comment"/>
        </ext>
      </extLst>
    </tableColumn>
    <tableColumn id="60" xr3:uid="{00000000-0010-0000-0000-00003C000000}" name="Selecione quais Protocolos de Atividades Práticas foram realizados no laboratório:3" dataDxfId="66">
      <extLst>
        <ext xmlns:xlmsforms="http://schemas.microsoft.com/office/spreadsheetml/2023/msForms" uri="{FCC71383-01E1-4257-9335-427F07BE8D7F}">
          <xlmsforms:question id="r6b9647b1eb574f749f709318e8eb8dcc"/>
        </ext>
      </extLst>
    </tableColumn>
    <tableColumn id="61" xr3:uid="{00000000-0010-0000-0000-00003D000000}" name="Pontos – Selecione quais Protocolos de Atividades Práticas foram realizados no laboratório:3" dataDxfId="65">
      <extLst>
        <ext xmlns:xlmsforms="http://schemas.microsoft.com/office/spreadsheetml/2023/msForms" uri="{FCC71383-01E1-4257-9335-427F07BE8D7F}">
          <xlmsforms:question id="r6b9647b1eb574f749f709318e8eb8dcc-Score"/>
        </ext>
      </extLst>
    </tableColumn>
    <tableColumn id="62" xr3:uid="{00000000-0010-0000-0000-00003E000000}" name="Comentários – Selecione quais Protocolos de Atividades Práticas foram realizados no laboratório:3" dataDxfId="64">
      <extLst>
        <ext xmlns:xlmsforms="http://schemas.microsoft.com/office/spreadsheetml/2023/msForms" uri="{FCC71383-01E1-4257-9335-427F07BE8D7F}">
          <xlmsforms:question id="r6b9647b1eb574f749f709318e8eb8dcc-Comment"/>
        </ext>
      </extLst>
    </tableColumn>
    <tableColumn id="63" xr3:uid="{00000000-0010-0000-0000-00003F000000}" name="Data da aplicação do Protocolo de Prática:3" dataDxfId="63">
      <extLst>
        <ext xmlns:xlmsforms="http://schemas.microsoft.com/office/spreadsheetml/2023/msForms" uri="{FCC71383-01E1-4257-9335-427F07BE8D7F}">
          <xlmsforms:question id="rfaef1a85737240e38656c3d844631181"/>
        </ext>
      </extLst>
    </tableColumn>
    <tableColumn id="64" xr3:uid="{00000000-0010-0000-0000-000040000000}" name="Pontos – Data da aplicação do Protocolo de Prática:3" dataDxfId="62">
      <extLst>
        <ext xmlns:xlmsforms="http://schemas.microsoft.com/office/spreadsheetml/2023/msForms" uri="{FCC71383-01E1-4257-9335-427F07BE8D7F}">
          <xlmsforms:question id="rfaef1a85737240e38656c3d844631181-Score"/>
        </ext>
      </extLst>
    </tableColumn>
    <tableColumn id="65" xr3:uid="{00000000-0010-0000-0000-000041000000}" name="Comentários – Data da aplicação do Protocolo de Prática:3" dataDxfId="61">
      <extLst>
        <ext xmlns:xlmsforms="http://schemas.microsoft.com/office/spreadsheetml/2023/msForms" uri="{FCC71383-01E1-4257-9335-427F07BE8D7F}">
          <xlmsforms:question id="rfaef1a85737240e38656c3d844631181-Comment"/>
        </ext>
      </extLst>
    </tableColumn>
    <tableColumn id="66" xr3:uid="{00000000-0010-0000-0000-000042000000}" name="Quantos Estudantes presentes neste Experimento?3" dataDxfId="60">
      <extLst>
        <ext xmlns:xlmsforms="http://schemas.microsoft.com/office/spreadsheetml/2023/msForms" uri="{FCC71383-01E1-4257-9335-427F07BE8D7F}">
          <xlmsforms:question id="rd6d337f4f56a4b2ca78c0f0957b76aff"/>
        </ext>
      </extLst>
    </tableColumn>
    <tableColumn id="67" xr3:uid="{00000000-0010-0000-0000-000043000000}" name="Pontos – Quantos Estudantes presentes neste Experimento?3" dataDxfId="59">
      <extLst>
        <ext xmlns:xlmsforms="http://schemas.microsoft.com/office/spreadsheetml/2023/msForms" uri="{FCC71383-01E1-4257-9335-427F07BE8D7F}">
          <xlmsforms:question id="rd6d337f4f56a4b2ca78c0f0957b76aff-Score"/>
        </ext>
      </extLst>
    </tableColumn>
    <tableColumn id="68" xr3:uid="{00000000-0010-0000-0000-000044000000}" name="Comentários – Quantos Estudantes presentes neste Experimento?3" dataDxfId="58">
      <extLst>
        <ext xmlns:xlmsforms="http://schemas.microsoft.com/office/spreadsheetml/2023/msForms" uri="{FCC71383-01E1-4257-9335-427F07BE8D7F}">
          <xlmsforms:question id="rd6d337f4f56a4b2ca78c0f0957b76aff-Comment"/>
        </ext>
      </extLst>
    </tableColumn>
    <tableColumn id="69" xr3:uid="{00000000-0010-0000-0000-000045000000}" name="Envio da Lista de Presença:3" dataDxfId="57">
      <extLst>
        <ext xmlns:xlmsforms="http://schemas.microsoft.com/office/spreadsheetml/2023/msForms" uri="{FCC71383-01E1-4257-9335-427F07BE8D7F}">
          <xlmsforms:question id="r7bfd73dbf3cf4b8293c85e0ec166f939"/>
        </ext>
      </extLst>
    </tableColumn>
    <tableColumn id="70" xr3:uid="{00000000-0010-0000-0000-000046000000}" name="Pontos – Envio da Lista de Presença:3" dataDxfId="56">
      <extLst>
        <ext xmlns:xlmsforms="http://schemas.microsoft.com/office/spreadsheetml/2023/msForms" uri="{FCC71383-01E1-4257-9335-427F07BE8D7F}">
          <xlmsforms:question id="r7bfd73dbf3cf4b8293c85e0ec166f939-Score"/>
        </ext>
      </extLst>
    </tableColumn>
    <tableColumn id="71" xr3:uid="{00000000-0010-0000-0000-000047000000}" name="Comentários – Envio da Lista de Presença:3" dataDxfId="55">
      <extLst>
        <ext xmlns:xlmsforms="http://schemas.microsoft.com/office/spreadsheetml/2023/msForms" uri="{FCC71383-01E1-4257-9335-427F07BE8D7F}">
          <xlmsforms:question id="r7bfd73dbf3cf4b8293c85e0ec166f939-Comment"/>
        </ext>
      </extLst>
    </tableColumn>
    <tableColumn id="72" xr3:uid="{00000000-0010-0000-0000-000048000000}" name="Envio do Portfólio em PDF:3" dataDxfId="54">
      <extLst>
        <ext xmlns:xlmsforms="http://schemas.microsoft.com/office/spreadsheetml/2023/msForms" uri="{FCC71383-01E1-4257-9335-427F07BE8D7F}">
          <xlmsforms:question id="r2e11b4c2cdc047b9ac489dd5868a5eec"/>
        </ext>
      </extLst>
    </tableColumn>
    <tableColumn id="73" xr3:uid="{00000000-0010-0000-0000-000049000000}" name="Pontos – Envio do Portfólio em PDF:3" dataDxfId="53">
      <extLst>
        <ext xmlns:xlmsforms="http://schemas.microsoft.com/office/spreadsheetml/2023/msForms" uri="{FCC71383-01E1-4257-9335-427F07BE8D7F}">
          <xlmsforms:question id="r2e11b4c2cdc047b9ac489dd5868a5eec-Score"/>
        </ext>
      </extLst>
    </tableColumn>
    <tableColumn id="74" xr3:uid="{00000000-0010-0000-0000-00004A000000}" name="Comentários – Envio do Portfólio em PDF:3" dataDxfId="52">
      <extLst>
        <ext xmlns:xlmsforms="http://schemas.microsoft.com/office/spreadsheetml/2023/msForms" uri="{FCC71383-01E1-4257-9335-427F07BE8D7F}">
          <xlmsforms:question id="r2e11b4c2cdc047b9ac489dd5868a5eec-Comment"/>
        </ext>
      </extLst>
    </tableColumn>
    <tableColumn id="75" xr3:uid="{00000000-0010-0000-0000-00004B000000}" name="Selecione quais Protocolos de Atividades Práticas foram realizados no laboratório:4" dataDxfId="51">
      <extLst>
        <ext xmlns:xlmsforms="http://schemas.microsoft.com/office/spreadsheetml/2023/msForms" uri="{FCC71383-01E1-4257-9335-427F07BE8D7F}">
          <xlmsforms:question id="r57ef38a0e1734712a121cb6d95b78e50"/>
        </ext>
      </extLst>
    </tableColumn>
    <tableColumn id="76" xr3:uid="{00000000-0010-0000-0000-00004C000000}" name="Pontos – Selecione quais Protocolos de Atividades Práticas foram realizados no laboratório:4" dataDxfId="50">
      <extLst>
        <ext xmlns:xlmsforms="http://schemas.microsoft.com/office/spreadsheetml/2023/msForms" uri="{FCC71383-01E1-4257-9335-427F07BE8D7F}">
          <xlmsforms:question id="r57ef38a0e1734712a121cb6d95b78e50-Score"/>
        </ext>
      </extLst>
    </tableColumn>
    <tableColumn id="77" xr3:uid="{00000000-0010-0000-0000-00004D000000}" name="Comentários – Selecione quais Protocolos de Atividades Práticas foram realizados no laboratório:4" dataDxfId="49">
      <extLst>
        <ext xmlns:xlmsforms="http://schemas.microsoft.com/office/spreadsheetml/2023/msForms" uri="{FCC71383-01E1-4257-9335-427F07BE8D7F}">
          <xlmsforms:question id="r57ef38a0e1734712a121cb6d95b78e50-Comment"/>
        </ext>
      </extLst>
    </tableColumn>
    <tableColumn id="78" xr3:uid="{00000000-0010-0000-0000-00004E000000}" name="Data da aplicação do Protocolo de Prática:4" dataDxfId="48">
      <extLst>
        <ext xmlns:xlmsforms="http://schemas.microsoft.com/office/spreadsheetml/2023/msForms" uri="{FCC71383-01E1-4257-9335-427F07BE8D7F}">
          <xlmsforms:question id="re4aea3001ca041a8bdbd4aaed7b970f2"/>
        </ext>
      </extLst>
    </tableColumn>
    <tableColumn id="79" xr3:uid="{00000000-0010-0000-0000-00004F000000}" name="Pontos – Data da aplicação do Protocolo de Prática:4" dataDxfId="47">
      <extLst>
        <ext xmlns:xlmsforms="http://schemas.microsoft.com/office/spreadsheetml/2023/msForms" uri="{FCC71383-01E1-4257-9335-427F07BE8D7F}">
          <xlmsforms:question id="re4aea3001ca041a8bdbd4aaed7b970f2-Score"/>
        </ext>
      </extLst>
    </tableColumn>
    <tableColumn id="80" xr3:uid="{00000000-0010-0000-0000-000050000000}" name="Comentários – Data da aplicação do Protocolo de Prática:4" dataDxfId="46">
      <extLst>
        <ext xmlns:xlmsforms="http://schemas.microsoft.com/office/spreadsheetml/2023/msForms" uri="{FCC71383-01E1-4257-9335-427F07BE8D7F}">
          <xlmsforms:question id="re4aea3001ca041a8bdbd4aaed7b970f2-Comment"/>
        </ext>
      </extLst>
    </tableColumn>
    <tableColumn id="81" xr3:uid="{00000000-0010-0000-0000-000051000000}" name="Quantos Estudantes presentes neste Experimento?4" dataDxfId="45">
      <extLst>
        <ext xmlns:xlmsforms="http://schemas.microsoft.com/office/spreadsheetml/2023/msForms" uri="{FCC71383-01E1-4257-9335-427F07BE8D7F}">
          <xlmsforms:question id="r0cf572b985004ca890820a9e9e8dd137"/>
        </ext>
      </extLst>
    </tableColumn>
    <tableColumn id="82" xr3:uid="{00000000-0010-0000-0000-000052000000}" name="Pontos – Quantos Estudantes presentes neste Experimento?4" dataDxfId="44">
      <extLst>
        <ext xmlns:xlmsforms="http://schemas.microsoft.com/office/spreadsheetml/2023/msForms" uri="{FCC71383-01E1-4257-9335-427F07BE8D7F}">
          <xlmsforms:question id="r0cf572b985004ca890820a9e9e8dd137-Score"/>
        </ext>
      </extLst>
    </tableColumn>
    <tableColumn id="83" xr3:uid="{00000000-0010-0000-0000-000053000000}" name="Comentários – Quantos Estudantes presentes neste Experimento?4" dataDxfId="43">
      <extLst>
        <ext xmlns:xlmsforms="http://schemas.microsoft.com/office/spreadsheetml/2023/msForms" uri="{FCC71383-01E1-4257-9335-427F07BE8D7F}">
          <xlmsforms:question id="r0cf572b985004ca890820a9e9e8dd137-Comment"/>
        </ext>
      </extLst>
    </tableColumn>
    <tableColumn id="84" xr3:uid="{00000000-0010-0000-0000-000054000000}" name="Envio da Lista de Presença:4" dataDxfId="42">
      <extLst>
        <ext xmlns:xlmsforms="http://schemas.microsoft.com/office/spreadsheetml/2023/msForms" uri="{FCC71383-01E1-4257-9335-427F07BE8D7F}">
          <xlmsforms:question id="rb4317504b30745a2b989bafc0494347c"/>
        </ext>
      </extLst>
    </tableColumn>
    <tableColumn id="85" xr3:uid="{00000000-0010-0000-0000-000055000000}" name="Pontos – Envio da Lista de Presença:4" dataDxfId="41">
      <extLst>
        <ext xmlns:xlmsforms="http://schemas.microsoft.com/office/spreadsheetml/2023/msForms" uri="{FCC71383-01E1-4257-9335-427F07BE8D7F}">
          <xlmsforms:question id="rb4317504b30745a2b989bafc0494347c-Score"/>
        </ext>
      </extLst>
    </tableColumn>
    <tableColumn id="86" xr3:uid="{00000000-0010-0000-0000-000056000000}" name="Comentários – Envio da Lista de Presença:4" dataDxfId="40">
      <extLst>
        <ext xmlns:xlmsforms="http://schemas.microsoft.com/office/spreadsheetml/2023/msForms" uri="{FCC71383-01E1-4257-9335-427F07BE8D7F}">
          <xlmsforms:question id="rb4317504b30745a2b989bafc0494347c-Comment"/>
        </ext>
      </extLst>
    </tableColumn>
    <tableColumn id="87" xr3:uid="{00000000-0010-0000-0000-000057000000}" name="Envio do Portfólio em PDF:4" dataDxfId="39">
      <extLst>
        <ext xmlns:xlmsforms="http://schemas.microsoft.com/office/spreadsheetml/2023/msForms" uri="{FCC71383-01E1-4257-9335-427F07BE8D7F}">
          <xlmsforms:question id="rfede78ce8f5c4ad8a4b874c951d417fd"/>
        </ext>
      </extLst>
    </tableColumn>
    <tableColumn id="88" xr3:uid="{00000000-0010-0000-0000-000058000000}" name="Pontos – Envio do Portfólio em PDF:4" dataDxfId="38">
      <extLst>
        <ext xmlns:xlmsforms="http://schemas.microsoft.com/office/spreadsheetml/2023/msForms" uri="{FCC71383-01E1-4257-9335-427F07BE8D7F}">
          <xlmsforms:question id="rfede78ce8f5c4ad8a4b874c951d417fd-Score"/>
        </ext>
      </extLst>
    </tableColumn>
    <tableColumn id="89" xr3:uid="{00000000-0010-0000-0000-000059000000}" name="Comentários – Envio do Portfólio em PDF:4" dataDxfId="37">
      <extLst>
        <ext xmlns:xlmsforms="http://schemas.microsoft.com/office/spreadsheetml/2023/msForms" uri="{FCC71383-01E1-4257-9335-427F07BE8D7F}">
          <xlmsforms:question id="rfede78ce8f5c4ad8a4b874c951d417fd-Comment"/>
        </ext>
      </extLst>
    </tableColumn>
    <tableColumn id="90" xr3:uid="{00000000-0010-0000-0000-00005A000000}" name="Selecione quais Protocolos de Atividades Práticas foram realizados no laboratório:5" dataDxfId="36">
      <extLst>
        <ext xmlns:xlmsforms="http://schemas.microsoft.com/office/spreadsheetml/2023/msForms" uri="{FCC71383-01E1-4257-9335-427F07BE8D7F}">
          <xlmsforms:question id="r1dc6697dae6f4d4781e05f7361b6d0c1"/>
        </ext>
      </extLst>
    </tableColumn>
    <tableColumn id="91" xr3:uid="{00000000-0010-0000-0000-00005B000000}" name="Pontos – Selecione quais Protocolos de Atividades Práticas foram realizados no laboratório:5" dataDxfId="35">
      <extLst>
        <ext xmlns:xlmsforms="http://schemas.microsoft.com/office/spreadsheetml/2023/msForms" uri="{FCC71383-01E1-4257-9335-427F07BE8D7F}">
          <xlmsforms:question id="r1dc6697dae6f4d4781e05f7361b6d0c1-Score"/>
        </ext>
      </extLst>
    </tableColumn>
    <tableColumn id="92" xr3:uid="{00000000-0010-0000-0000-00005C000000}" name="Comentários – Selecione quais Protocolos de Atividades Práticas foram realizados no laboratório:5" dataDxfId="34">
      <extLst>
        <ext xmlns:xlmsforms="http://schemas.microsoft.com/office/spreadsheetml/2023/msForms" uri="{FCC71383-01E1-4257-9335-427F07BE8D7F}">
          <xlmsforms:question id="r1dc6697dae6f4d4781e05f7361b6d0c1-Comment"/>
        </ext>
      </extLst>
    </tableColumn>
    <tableColumn id="93" xr3:uid="{00000000-0010-0000-0000-00005D000000}" name="Data da aplicação do Protocolo de Prática:5" dataDxfId="33">
      <extLst>
        <ext xmlns:xlmsforms="http://schemas.microsoft.com/office/spreadsheetml/2023/msForms" uri="{FCC71383-01E1-4257-9335-427F07BE8D7F}">
          <xlmsforms:question id="r3229a9897c1349c2b1cec7a48a483abd"/>
        </ext>
      </extLst>
    </tableColumn>
    <tableColumn id="94" xr3:uid="{00000000-0010-0000-0000-00005E000000}" name="Pontos – Data da aplicação do Protocolo de Prática:5" dataDxfId="32">
      <extLst>
        <ext xmlns:xlmsforms="http://schemas.microsoft.com/office/spreadsheetml/2023/msForms" uri="{FCC71383-01E1-4257-9335-427F07BE8D7F}">
          <xlmsforms:question id="r3229a9897c1349c2b1cec7a48a483abd-Score"/>
        </ext>
      </extLst>
    </tableColumn>
    <tableColumn id="95" xr3:uid="{00000000-0010-0000-0000-00005F000000}" name="Comentários – Data da aplicação do Protocolo de Prática:5" dataDxfId="31">
      <extLst>
        <ext xmlns:xlmsforms="http://schemas.microsoft.com/office/spreadsheetml/2023/msForms" uri="{FCC71383-01E1-4257-9335-427F07BE8D7F}">
          <xlmsforms:question id="r3229a9897c1349c2b1cec7a48a483abd-Comment"/>
        </ext>
      </extLst>
    </tableColumn>
    <tableColumn id="96" xr3:uid="{00000000-0010-0000-0000-000060000000}" name="Quantos Estudantes presentes neste Experimento?5" dataDxfId="30">
      <extLst>
        <ext xmlns:xlmsforms="http://schemas.microsoft.com/office/spreadsheetml/2023/msForms" uri="{FCC71383-01E1-4257-9335-427F07BE8D7F}">
          <xlmsforms:question id="r59a5ce4c7fb74f7798664207762367f7"/>
        </ext>
      </extLst>
    </tableColumn>
    <tableColumn id="97" xr3:uid="{00000000-0010-0000-0000-000061000000}" name="Pontos – Quantos Estudantes presentes neste Experimento?5" dataDxfId="29">
      <extLst>
        <ext xmlns:xlmsforms="http://schemas.microsoft.com/office/spreadsheetml/2023/msForms" uri="{FCC71383-01E1-4257-9335-427F07BE8D7F}">
          <xlmsforms:question id="r59a5ce4c7fb74f7798664207762367f7-Score"/>
        </ext>
      </extLst>
    </tableColumn>
    <tableColumn id="98" xr3:uid="{00000000-0010-0000-0000-000062000000}" name="Comentários – Quantos Estudantes presentes neste Experimento?5" dataDxfId="28">
      <extLst>
        <ext xmlns:xlmsforms="http://schemas.microsoft.com/office/spreadsheetml/2023/msForms" uri="{FCC71383-01E1-4257-9335-427F07BE8D7F}">
          <xlmsforms:question id="r59a5ce4c7fb74f7798664207762367f7-Comment"/>
        </ext>
      </extLst>
    </tableColumn>
    <tableColumn id="99" xr3:uid="{00000000-0010-0000-0000-000063000000}" name="Envio da Lista de Presença:5" dataDxfId="27">
      <extLst>
        <ext xmlns:xlmsforms="http://schemas.microsoft.com/office/spreadsheetml/2023/msForms" uri="{FCC71383-01E1-4257-9335-427F07BE8D7F}">
          <xlmsforms:question id="rc09dc05a57c54ae18640f14b6b85cf9d"/>
        </ext>
      </extLst>
    </tableColumn>
    <tableColumn id="100" xr3:uid="{00000000-0010-0000-0000-000064000000}" name="Pontos – Envio da Lista de Presença:5" dataDxfId="26">
      <extLst>
        <ext xmlns:xlmsforms="http://schemas.microsoft.com/office/spreadsheetml/2023/msForms" uri="{FCC71383-01E1-4257-9335-427F07BE8D7F}">
          <xlmsforms:question id="rc09dc05a57c54ae18640f14b6b85cf9d-Score"/>
        </ext>
      </extLst>
    </tableColumn>
    <tableColumn id="101" xr3:uid="{00000000-0010-0000-0000-000065000000}" name="Comentários – Envio da Lista de Presença:5" dataDxfId="25">
      <extLst>
        <ext xmlns:xlmsforms="http://schemas.microsoft.com/office/spreadsheetml/2023/msForms" uri="{FCC71383-01E1-4257-9335-427F07BE8D7F}">
          <xlmsforms:question id="rc09dc05a57c54ae18640f14b6b85cf9d-Comment"/>
        </ext>
      </extLst>
    </tableColumn>
    <tableColumn id="102" xr3:uid="{00000000-0010-0000-0000-000066000000}" name="Envio do Portfólio em PDF:5" dataDxfId="24">
      <extLst>
        <ext xmlns:xlmsforms="http://schemas.microsoft.com/office/spreadsheetml/2023/msForms" uri="{FCC71383-01E1-4257-9335-427F07BE8D7F}">
          <xlmsforms:question id="r8534a6737b9243b0824d8351db0aa7f6"/>
        </ext>
      </extLst>
    </tableColumn>
    <tableColumn id="103" xr3:uid="{00000000-0010-0000-0000-000067000000}" name="Pontos – Envio do Portfólio em PDF:5" dataDxfId="23">
      <extLst>
        <ext xmlns:xlmsforms="http://schemas.microsoft.com/office/spreadsheetml/2023/msForms" uri="{FCC71383-01E1-4257-9335-427F07BE8D7F}">
          <xlmsforms:question id="r8534a6737b9243b0824d8351db0aa7f6-Score"/>
        </ext>
      </extLst>
    </tableColumn>
    <tableColumn id="104" xr3:uid="{00000000-0010-0000-0000-000068000000}" name="Comentários – Envio do Portfólio em PDF:5" dataDxfId="22">
      <extLst>
        <ext xmlns:xlmsforms="http://schemas.microsoft.com/office/spreadsheetml/2023/msForms" uri="{FCC71383-01E1-4257-9335-427F07BE8D7F}">
          <xlmsforms:question id="r8534a6737b9243b0824d8351db0aa7f6-Comment"/>
        </ext>
      </extLst>
    </tableColumn>
    <tableColumn id="105" xr3:uid="{00000000-0010-0000-0000-000069000000}" name="Selecione quais Protocolos de Atividades Práticas foram realizados no laboratório:6" dataDxfId="21">
      <extLst>
        <ext xmlns:xlmsforms="http://schemas.microsoft.com/office/spreadsheetml/2023/msForms" uri="{FCC71383-01E1-4257-9335-427F07BE8D7F}">
          <xlmsforms:question id="r7543c329166049a9a4bae7c2a614a28a"/>
        </ext>
      </extLst>
    </tableColumn>
    <tableColumn id="106" xr3:uid="{00000000-0010-0000-0000-00006A000000}" name="Pontos – Selecione quais Protocolos de Atividades Práticas foram realizados no laboratório:6" dataDxfId="20">
      <extLst>
        <ext xmlns:xlmsforms="http://schemas.microsoft.com/office/spreadsheetml/2023/msForms" uri="{FCC71383-01E1-4257-9335-427F07BE8D7F}">
          <xlmsforms:question id="r7543c329166049a9a4bae7c2a614a28a-Score"/>
        </ext>
      </extLst>
    </tableColumn>
    <tableColumn id="107" xr3:uid="{00000000-0010-0000-0000-00006B000000}" name="Comentários – Selecione quais Protocolos de Atividades Práticas foram realizados no laboratório:6" dataDxfId="19">
      <extLst>
        <ext xmlns:xlmsforms="http://schemas.microsoft.com/office/spreadsheetml/2023/msForms" uri="{FCC71383-01E1-4257-9335-427F07BE8D7F}">
          <xlmsforms:question id="r7543c329166049a9a4bae7c2a614a28a-Comment"/>
        </ext>
      </extLst>
    </tableColumn>
    <tableColumn id="108" xr3:uid="{00000000-0010-0000-0000-00006C000000}" name="Data da aplicação do Protocolo de Prática:6" dataDxfId="18">
      <extLst>
        <ext xmlns:xlmsforms="http://schemas.microsoft.com/office/spreadsheetml/2023/msForms" uri="{FCC71383-01E1-4257-9335-427F07BE8D7F}">
          <xlmsforms:question id="ree4bf1b4e3f245e28176a19f44ca04f9"/>
        </ext>
      </extLst>
    </tableColumn>
    <tableColumn id="109" xr3:uid="{00000000-0010-0000-0000-00006D000000}" name="Pontos – Data da aplicação do Protocolo de Prática:6" dataDxfId="17">
      <extLst>
        <ext xmlns:xlmsforms="http://schemas.microsoft.com/office/spreadsheetml/2023/msForms" uri="{FCC71383-01E1-4257-9335-427F07BE8D7F}">
          <xlmsforms:question id="ree4bf1b4e3f245e28176a19f44ca04f9-Score"/>
        </ext>
      </extLst>
    </tableColumn>
    <tableColumn id="110" xr3:uid="{00000000-0010-0000-0000-00006E000000}" name="Comentários – Data da aplicação do Protocolo de Prática:6" dataDxfId="16">
      <extLst>
        <ext xmlns:xlmsforms="http://schemas.microsoft.com/office/spreadsheetml/2023/msForms" uri="{FCC71383-01E1-4257-9335-427F07BE8D7F}">
          <xlmsforms:question id="ree4bf1b4e3f245e28176a19f44ca04f9-Comment"/>
        </ext>
      </extLst>
    </tableColumn>
    <tableColumn id="111" xr3:uid="{00000000-0010-0000-0000-00006F000000}" name="Quantos Estudantes presentes neste Experimento?6" dataDxfId="15">
      <extLst>
        <ext xmlns:xlmsforms="http://schemas.microsoft.com/office/spreadsheetml/2023/msForms" uri="{FCC71383-01E1-4257-9335-427F07BE8D7F}">
          <xlmsforms:question id="rde78804cc52444898579246718fea5d2"/>
        </ext>
      </extLst>
    </tableColumn>
    <tableColumn id="112" xr3:uid="{00000000-0010-0000-0000-000070000000}" name="Pontos – Quantos Estudantes presentes neste Experimento?6" dataDxfId="14">
      <extLst>
        <ext xmlns:xlmsforms="http://schemas.microsoft.com/office/spreadsheetml/2023/msForms" uri="{FCC71383-01E1-4257-9335-427F07BE8D7F}">
          <xlmsforms:question id="rde78804cc52444898579246718fea5d2-Score"/>
        </ext>
      </extLst>
    </tableColumn>
    <tableColumn id="113" xr3:uid="{00000000-0010-0000-0000-000071000000}" name="Comentários – Quantos Estudantes presentes neste Experimento?6" dataDxfId="13">
      <extLst>
        <ext xmlns:xlmsforms="http://schemas.microsoft.com/office/spreadsheetml/2023/msForms" uri="{FCC71383-01E1-4257-9335-427F07BE8D7F}">
          <xlmsforms:question id="rde78804cc52444898579246718fea5d2-Comment"/>
        </ext>
      </extLst>
    </tableColumn>
    <tableColumn id="114" xr3:uid="{00000000-0010-0000-0000-000072000000}" name="Envio da Lista de Presença:6" dataDxfId="12">
      <extLst>
        <ext xmlns:xlmsforms="http://schemas.microsoft.com/office/spreadsheetml/2023/msForms" uri="{FCC71383-01E1-4257-9335-427F07BE8D7F}">
          <xlmsforms:question id="r9ff2c1f2a0e648f59a0fe5737f8e9c79"/>
        </ext>
      </extLst>
    </tableColumn>
    <tableColumn id="115" xr3:uid="{00000000-0010-0000-0000-000073000000}" name="Pontos – Envio da Lista de Presença:6" dataDxfId="11">
      <extLst>
        <ext xmlns:xlmsforms="http://schemas.microsoft.com/office/spreadsheetml/2023/msForms" uri="{FCC71383-01E1-4257-9335-427F07BE8D7F}">
          <xlmsforms:question id="r9ff2c1f2a0e648f59a0fe5737f8e9c79-Score"/>
        </ext>
      </extLst>
    </tableColumn>
    <tableColumn id="116" xr3:uid="{00000000-0010-0000-0000-000074000000}" name="Comentários – Envio da Lista de Presença:6" dataDxfId="10">
      <extLst>
        <ext xmlns:xlmsforms="http://schemas.microsoft.com/office/spreadsheetml/2023/msForms" uri="{FCC71383-01E1-4257-9335-427F07BE8D7F}">
          <xlmsforms:question id="r9ff2c1f2a0e648f59a0fe5737f8e9c79-Comment"/>
        </ext>
      </extLst>
    </tableColumn>
    <tableColumn id="117" xr3:uid="{00000000-0010-0000-0000-000075000000}" name="Envio do Portfólio em PDF:6" dataDxfId="9">
      <extLst>
        <ext xmlns:xlmsforms="http://schemas.microsoft.com/office/spreadsheetml/2023/msForms" uri="{FCC71383-01E1-4257-9335-427F07BE8D7F}">
          <xlmsforms:question id="rd1ec816caac64c038d8445963ff59acb"/>
        </ext>
      </extLst>
    </tableColumn>
    <tableColumn id="118" xr3:uid="{00000000-0010-0000-0000-000076000000}" name="Pontos – Envio do Portfólio em PDF:6" dataDxfId="8">
      <extLst>
        <ext xmlns:xlmsforms="http://schemas.microsoft.com/office/spreadsheetml/2023/msForms" uri="{FCC71383-01E1-4257-9335-427F07BE8D7F}">
          <xlmsforms:question id="rd1ec816caac64c038d8445963ff59acb-Score"/>
        </ext>
      </extLst>
    </tableColumn>
    <tableColumn id="119" xr3:uid="{00000000-0010-0000-0000-000077000000}" name="Comentários – Envio do Portfólio em PDF:6" dataDxfId="7">
      <extLst>
        <ext xmlns:xlmsforms="http://schemas.microsoft.com/office/spreadsheetml/2023/msForms" uri="{FCC71383-01E1-4257-9335-427F07BE8D7F}">
          <xlmsforms:question id="rd1ec816caac64c038d8445963ff59acb-Comment"/>
        </ext>
      </extLst>
    </tableColumn>
    <tableColumn id="120" xr3:uid="{DCBE6C7E-6F56-4C2D-8F84-0D29A1C52EBC}" name="CHAVE CONVERSÃO" dataDxfId="6">
      <calculatedColumnFormula>_xlfn.XLOOKUP(OfficeForms.Table[[#This Row],[Selecione a Categoria do Laboratório desta atividade prática:]],Planilha1!A:A,Planilha1!B:B)</calculatedColumnFormula>
    </tableColumn>
    <tableColumn id="121" xr3:uid="{F0B66726-A0E3-4335-B4CE-B9F9F4A2A67C}" name="CHAVE LINK POLO" dataDxfId="5">
      <calculatedColumnFormula>CONCATENATE(OfficeForms.Table[[#This Row],[Selecione seu Polo Laboratório de Atividades Presenciais:]],OfficeForms.Table[[#This Row],[CHAVE CONVERSÃO]])</calculatedColumnFormula>
    </tableColumn>
    <tableColumn id="122" xr3:uid="{F8BF8F73-0048-4BB2-9303-2B034EB695AC}" name="Selecione quais Protocolos de Atividades Práticas foram realizados no laboratório:7" dataDxfId="4">
      <calculatedColumnFormula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calculatedColumnFormula>
    </tableColumn>
    <tableColumn id="123" xr3:uid="{0C813811-BC94-4747-859C-5564447BA076}" name="Data da aplicação do Protocolo de Prática:7" dataDxfId="3">
      <calculatedColumnFormula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calculatedColumnFormula>
    </tableColumn>
    <tableColumn id="125" xr3:uid="{0FDF4E66-0FB2-4BC8-925F-5E40224F2A2F}" name="Quantos Estudantes presentes neste Experimento?72" dataDxfId="2">
      <calculatedColumnFormula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calculatedColumnFormula>
    </tableColumn>
    <tableColumn id="128" xr3:uid="{F56979BC-29FD-4A2F-9000-9C9644CD1328}" name="Nome do tutor" dataDxfId="1">
      <calculatedColumnFormula>_xlfn.XLOOKUP(OfficeForms.Table[[#This Row],[CHAVE LINK POLO]],'[1]Quadro Geral de Lotação'!$B:$B,'[1]Quadro Geral de Lotação'!$I:$I)</calculatedColumnFormula>
    </tableColumn>
    <tableColumn id="129" xr3:uid="{0B9F7351-0DF0-432D-928C-84C9AD820221}" name="Ordem da prática" dataDxfId="0">
      <calculatedColumnFormula>OfficeForms.Table[[#This Row],[Selecione a Ordem de Disciplina]]</calculatedColumnFormula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XzPnsB_9rUaYx1Xm5OIi6kFaCDtFtnVDr5QE7yodbJBUNUg0UkdaUDVKR1JVQ0FXUVBOSlg1N05FQi4u" isFormConnected="1" maxResponseId="915" latestEventMarker="91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r4fe4fbe19b1348e99c3eaf065ca68d68</xlmsforms:syncedQuestionId>
        <xlmsforms:syncedQuestionId>r4fe4fbe19b1348e99c3eaf065ca68d68-Score</xlmsforms:syncedQuestionId>
        <xlmsforms:syncedQuestionId>r4fe4fbe19b1348e99c3eaf065ca68d68-Comment</xlmsforms:syncedQuestionId>
        <xlmsforms:syncedQuestionId>r8c740f3fd0c04e0cbdfba5e02d924d55</xlmsforms:syncedQuestionId>
        <xlmsforms:syncedQuestionId>r8c740f3fd0c04e0cbdfba5e02d924d55-Score</xlmsforms:syncedQuestionId>
        <xlmsforms:syncedQuestionId>r8c740f3fd0c04e0cbdfba5e02d924d55-Comment</xlmsforms:syncedQuestionId>
        <xlmsforms:syncedQuestionId>r80c8edf927774d31a22e0c8087f52cc3</xlmsforms:syncedQuestionId>
        <xlmsforms:syncedQuestionId>r80c8edf927774d31a22e0c8087f52cc3-Score</xlmsforms:syncedQuestionId>
        <xlmsforms:syncedQuestionId>r80c8edf927774d31a22e0c8087f52cc3-Comment</xlmsforms:syncedQuestionId>
        <xlmsforms:syncedQuestionId>r84201c0a65024be287de9ee8effb52b1</xlmsforms:syncedQuestionId>
        <xlmsforms:syncedQuestionId>r84201c0a65024be287de9ee8effb52b1-Score</xlmsforms:syncedQuestionId>
        <xlmsforms:syncedQuestionId>r84201c0a65024be287de9ee8effb52b1-Comment</xlmsforms:syncedQuestionId>
        <xlmsforms:syncedQuestionId>rdeffb0ec47914c0696fafabbf716fbe8</xlmsforms:syncedQuestionId>
        <xlmsforms:syncedQuestionId>rdeffb0ec47914c0696fafabbf716fbe8-Score</xlmsforms:syncedQuestionId>
        <xlmsforms:syncedQuestionId>rdeffb0ec47914c0696fafabbf716fbe8-Comment</xlmsforms:syncedQuestionId>
        <xlmsforms:syncedQuestionId>r01d4ac05be134c669f9a5cd0eea1407d</xlmsforms:syncedQuestionId>
        <xlmsforms:syncedQuestionId>r01d4ac05be134c669f9a5cd0eea1407d-Score</xlmsforms:syncedQuestionId>
        <xlmsforms:syncedQuestionId>r01d4ac05be134c669f9a5cd0eea1407d-Comment</xlmsforms:syncedQuestionId>
        <xlmsforms:syncedQuestionId>r9adeeeb3a5264a8d9fadfd4a9d29cdcd</xlmsforms:syncedQuestionId>
        <xlmsforms:syncedQuestionId>r9adeeeb3a5264a8d9fadfd4a9d29cdcd-Score</xlmsforms:syncedQuestionId>
        <xlmsforms:syncedQuestionId>r9adeeeb3a5264a8d9fadfd4a9d29cdcd-Comment</xlmsforms:syncedQuestionId>
        <xlmsforms:syncedQuestionId>r42081fecaa034d1aaa7b246b083d3ff0</xlmsforms:syncedQuestionId>
        <xlmsforms:syncedQuestionId>r42081fecaa034d1aaa7b246b083d3ff0-Score</xlmsforms:syncedQuestionId>
        <xlmsforms:syncedQuestionId>r42081fecaa034d1aaa7b246b083d3ff0-Comment</xlmsforms:syncedQuestionId>
        <xlmsforms:syncedQuestionId>r1a9d4e0e2d1a426db8890bbf24324a98</xlmsforms:syncedQuestionId>
        <xlmsforms:syncedQuestionId>r1a9d4e0e2d1a426db8890bbf24324a98-Score</xlmsforms:syncedQuestionId>
        <xlmsforms:syncedQuestionId>r1a9d4e0e2d1a426db8890bbf24324a98-Comment</xlmsforms:syncedQuestionId>
        <xlmsforms:syncedQuestionId>r3fa8dd9c870f466c8b3da538a9263145</xlmsforms:syncedQuestionId>
        <xlmsforms:syncedQuestionId>r3fa8dd9c870f466c8b3da538a9263145-Score</xlmsforms:syncedQuestionId>
        <xlmsforms:syncedQuestionId>r3fa8dd9c870f466c8b3da538a9263145-Comment</xlmsforms:syncedQuestionId>
        <xlmsforms:syncedQuestionId>r9e323d7e0aa1433bb25910583875cf67</xlmsforms:syncedQuestionId>
        <xlmsforms:syncedQuestionId>r9e323d7e0aa1433bb25910583875cf67-Score</xlmsforms:syncedQuestionId>
        <xlmsforms:syncedQuestionId>r9e323d7e0aa1433bb25910583875cf67-Comment</xlmsforms:syncedQuestionId>
        <xlmsforms:syncedQuestionId>r137d92306ae7420691342c00d0882f19</xlmsforms:syncedQuestionId>
        <xlmsforms:syncedQuestionId>r137d92306ae7420691342c00d0882f19-Score</xlmsforms:syncedQuestionId>
        <xlmsforms:syncedQuestionId>r137d92306ae7420691342c00d0882f19-Comment</xlmsforms:syncedQuestionId>
        <xlmsforms:syncedQuestionId>r7a263e0e19fd47aea784abcb1ad27c5c</xlmsforms:syncedQuestionId>
        <xlmsforms:syncedQuestionId>r7a263e0e19fd47aea784abcb1ad27c5c-Score</xlmsforms:syncedQuestionId>
        <xlmsforms:syncedQuestionId>r7a263e0e19fd47aea784abcb1ad27c5c-Comment</xlmsforms:syncedQuestionId>
        <xlmsforms:syncedQuestionId>r751e24319e76488f9967e7c536e785f5</xlmsforms:syncedQuestionId>
        <xlmsforms:syncedQuestionId>r751e24319e76488f9967e7c536e785f5-Score</xlmsforms:syncedQuestionId>
        <xlmsforms:syncedQuestionId>r751e24319e76488f9967e7c536e785f5-Comment</xlmsforms:syncedQuestionId>
        <xlmsforms:syncedQuestionId>ra7baf1d3647a44d699141ac807e50c67</xlmsforms:syncedQuestionId>
        <xlmsforms:syncedQuestionId>ra7baf1d3647a44d699141ac807e50c67-Score</xlmsforms:syncedQuestionId>
        <xlmsforms:syncedQuestionId>ra7baf1d3647a44d699141ac807e50c67-Comment</xlmsforms:syncedQuestionId>
        <xlmsforms:syncedQuestionId>r14881c9f36e840f1ae26b96c4e9b852d</xlmsforms:syncedQuestionId>
        <xlmsforms:syncedQuestionId>r14881c9f36e840f1ae26b96c4e9b852d-Score</xlmsforms:syncedQuestionId>
        <xlmsforms:syncedQuestionId>r14881c9f36e840f1ae26b96c4e9b852d-Comment</xlmsforms:syncedQuestionId>
        <xlmsforms:syncedQuestionId>re9a6a86296d4438097eca4275b6a5925</xlmsforms:syncedQuestionId>
        <xlmsforms:syncedQuestionId>re9a6a86296d4438097eca4275b6a5925-Score</xlmsforms:syncedQuestionId>
        <xlmsforms:syncedQuestionId>re9a6a86296d4438097eca4275b6a5925-Comment</xlmsforms:syncedQuestionId>
        <xlmsforms:syncedQuestionId>r6b9647b1eb574f749f709318e8eb8dcc</xlmsforms:syncedQuestionId>
        <xlmsforms:syncedQuestionId>r6b9647b1eb574f749f709318e8eb8dcc-Score</xlmsforms:syncedQuestionId>
        <xlmsforms:syncedQuestionId>r6b9647b1eb574f749f709318e8eb8dcc-Comment</xlmsforms:syncedQuestionId>
        <xlmsforms:syncedQuestionId>rfaef1a85737240e38656c3d844631181</xlmsforms:syncedQuestionId>
        <xlmsforms:syncedQuestionId>rfaef1a85737240e38656c3d844631181-Score</xlmsforms:syncedQuestionId>
        <xlmsforms:syncedQuestionId>rfaef1a85737240e38656c3d844631181-Comment</xlmsforms:syncedQuestionId>
        <xlmsforms:syncedQuestionId>rd6d337f4f56a4b2ca78c0f0957b76aff</xlmsforms:syncedQuestionId>
        <xlmsforms:syncedQuestionId>rd6d337f4f56a4b2ca78c0f0957b76aff-Score</xlmsforms:syncedQuestionId>
        <xlmsforms:syncedQuestionId>rd6d337f4f56a4b2ca78c0f0957b76aff-Comment</xlmsforms:syncedQuestionId>
        <xlmsforms:syncedQuestionId>r7bfd73dbf3cf4b8293c85e0ec166f939</xlmsforms:syncedQuestionId>
        <xlmsforms:syncedQuestionId>r7bfd73dbf3cf4b8293c85e0ec166f939-Score</xlmsforms:syncedQuestionId>
        <xlmsforms:syncedQuestionId>r7bfd73dbf3cf4b8293c85e0ec166f939-Comment</xlmsforms:syncedQuestionId>
        <xlmsforms:syncedQuestionId>r2e11b4c2cdc047b9ac489dd5868a5eec</xlmsforms:syncedQuestionId>
        <xlmsforms:syncedQuestionId>r2e11b4c2cdc047b9ac489dd5868a5eec-Score</xlmsforms:syncedQuestionId>
        <xlmsforms:syncedQuestionId>r2e11b4c2cdc047b9ac489dd5868a5eec-Comment</xlmsforms:syncedQuestionId>
        <xlmsforms:syncedQuestionId>r57ef38a0e1734712a121cb6d95b78e50</xlmsforms:syncedQuestionId>
        <xlmsforms:syncedQuestionId>r57ef38a0e1734712a121cb6d95b78e50-Score</xlmsforms:syncedQuestionId>
        <xlmsforms:syncedQuestionId>r57ef38a0e1734712a121cb6d95b78e50-Comment</xlmsforms:syncedQuestionId>
        <xlmsforms:syncedQuestionId>re4aea3001ca041a8bdbd4aaed7b970f2</xlmsforms:syncedQuestionId>
        <xlmsforms:syncedQuestionId>re4aea3001ca041a8bdbd4aaed7b970f2-Score</xlmsforms:syncedQuestionId>
        <xlmsforms:syncedQuestionId>re4aea3001ca041a8bdbd4aaed7b970f2-Comment</xlmsforms:syncedQuestionId>
        <xlmsforms:syncedQuestionId>r0cf572b985004ca890820a9e9e8dd137</xlmsforms:syncedQuestionId>
        <xlmsforms:syncedQuestionId>r0cf572b985004ca890820a9e9e8dd137-Score</xlmsforms:syncedQuestionId>
        <xlmsforms:syncedQuestionId>r0cf572b985004ca890820a9e9e8dd137-Comment</xlmsforms:syncedQuestionId>
        <xlmsforms:syncedQuestionId>rb4317504b30745a2b989bafc0494347c</xlmsforms:syncedQuestionId>
        <xlmsforms:syncedQuestionId>rb4317504b30745a2b989bafc0494347c-Score</xlmsforms:syncedQuestionId>
        <xlmsforms:syncedQuestionId>rb4317504b30745a2b989bafc0494347c-Comment</xlmsforms:syncedQuestionId>
        <xlmsforms:syncedQuestionId>rfede78ce8f5c4ad8a4b874c951d417fd</xlmsforms:syncedQuestionId>
        <xlmsforms:syncedQuestionId>rfede78ce8f5c4ad8a4b874c951d417fd-Score</xlmsforms:syncedQuestionId>
        <xlmsforms:syncedQuestionId>rfede78ce8f5c4ad8a4b874c951d417fd-Comment</xlmsforms:syncedQuestionId>
        <xlmsforms:syncedQuestionId>r1dc6697dae6f4d4781e05f7361b6d0c1</xlmsforms:syncedQuestionId>
        <xlmsforms:syncedQuestionId>r1dc6697dae6f4d4781e05f7361b6d0c1-Score</xlmsforms:syncedQuestionId>
        <xlmsforms:syncedQuestionId>r1dc6697dae6f4d4781e05f7361b6d0c1-Comment</xlmsforms:syncedQuestionId>
        <xlmsforms:syncedQuestionId>r3229a9897c1349c2b1cec7a48a483abd</xlmsforms:syncedQuestionId>
        <xlmsforms:syncedQuestionId>r3229a9897c1349c2b1cec7a48a483abd-Score</xlmsforms:syncedQuestionId>
        <xlmsforms:syncedQuestionId>r3229a9897c1349c2b1cec7a48a483abd-Comment</xlmsforms:syncedQuestionId>
        <xlmsforms:syncedQuestionId>r59a5ce4c7fb74f7798664207762367f7</xlmsforms:syncedQuestionId>
        <xlmsforms:syncedQuestionId>r59a5ce4c7fb74f7798664207762367f7-Score</xlmsforms:syncedQuestionId>
        <xlmsforms:syncedQuestionId>r59a5ce4c7fb74f7798664207762367f7-Comment</xlmsforms:syncedQuestionId>
        <xlmsforms:syncedQuestionId>rc09dc05a57c54ae18640f14b6b85cf9d</xlmsforms:syncedQuestionId>
        <xlmsforms:syncedQuestionId>rc09dc05a57c54ae18640f14b6b85cf9d-Score</xlmsforms:syncedQuestionId>
        <xlmsforms:syncedQuestionId>rc09dc05a57c54ae18640f14b6b85cf9d-Comment</xlmsforms:syncedQuestionId>
        <xlmsforms:syncedQuestionId>r8534a6737b9243b0824d8351db0aa7f6</xlmsforms:syncedQuestionId>
        <xlmsforms:syncedQuestionId>r8534a6737b9243b0824d8351db0aa7f6-Score</xlmsforms:syncedQuestionId>
        <xlmsforms:syncedQuestionId>r8534a6737b9243b0824d8351db0aa7f6-Comment</xlmsforms:syncedQuestionId>
        <xlmsforms:syncedQuestionId>r7543c329166049a9a4bae7c2a614a28a</xlmsforms:syncedQuestionId>
        <xlmsforms:syncedQuestionId>r7543c329166049a9a4bae7c2a614a28a-Score</xlmsforms:syncedQuestionId>
        <xlmsforms:syncedQuestionId>r7543c329166049a9a4bae7c2a614a28a-Comment</xlmsforms:syncedQuestionId>
        <xlmsforms:syncedQuestionId>ree4bf1b4e3f245e28176a19f44ca04f9</xlmsforms:syncedQuestionId>
        <xlmsforms:syncedQuestionId>ree4bf1b4e3f245e28176a19f44ca04f9-Score</xlmsforms:syncedQuestionId>
        <xlmsforms:syncedQuestionId>ree4bf1b4e3f245e28176a19f44ca04f9-Comment</xlmsforms:syncedQuestionId>
        <xlmsforms:syncedQuestionId>rde78804cc52444898579246718fea5d2</xlmsforms:syncedQuestionId>
        <xlmsforms:syncedQuestionId>rde78804cc52444898579246718fea5d2-Score</xlmsforms:syncedQuestionId>
        <xlmsforms:syncedQuestionId>rde78804cc52444898579246718fea5d2-Comment</xlmsforms:syncedQuestionId>
        <xlmsforms:syncedQuestionId>r9ff2c1f2a0e648f59a0fe5737f8e9c79</xlmsforms:syncedQuestionId>
        <xlmsforms:syncedQuestionId>r9ff2c1f2a0e648f59a0fe5737f8e9c79-Score</xlmsforms:syncedQuestionId>
        <xlmsforms:syncedQuestionId>r9ff2c1f2a0e648f59a0fe5737f8e9c79-Comment</xlmsforms:syncedQuestionId>
        <xlmsforms:syncedQuestionId>rd1ec816caac64c038d8445963ff59acb</xlmsforms:syncedQuestionId>
        <xlmsforms:syncedQuestionId>rd1ec816caac64c038d8445963ff59acb-Score</xlmsforms:syncedQuestionId>
        <xlmsforms:syncedQuestionId>rd1ec816caac64c038d8445963ff59acb-Comment</xlmsforms:syncedQuestionId>
        <xlmsforms:syncedQuestionId>rb64e77c85fe54f94b0b2e0de3cf0adcd</xlmsforms:syncedQuestionId>
        <xlmsforms:syncedQuestionId>rb64e77c85fe54f94b0b2e0de3cf0adcd-Score</xlmsforms:syncedQuestionId>
        <xlmsforms:syncedQuestionId>rb64e77c85fe54f94b0b2e0de3cf0adcd-Comment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915"/>
  <sheetViews>
    <sheetView tabSelected="1" topLeftCell="DQ1" workbookViewId="0">
      <selection activeCell="DU1" sqref="DU1"/>
    </sheetView>
  </sheetViews>
  <sheetFormatPr defaultColWidth="34" defaultRowHeight="34.15" customHeight="1"/>
  <cols>
    <col min="1" max="1" width="4.42578125" style="1" bestFit="1" customWidth="1"/>
    <col min="2" max="2" width="12.140625" style="2" bestFit="1" customWidth="1"/>
    <col min="3" max="3" width="15" style="2" bestFit="1" customWidth="1"/>
    <col min="4" max="5" width="34" style="1"/>
    <col min="6" max="8" width="0" style="1" hidden="1" customWidth="1"/>
    <col min="9" max="9" width="34" style="1"/>
    <col min="10" max="11" width="0" style="1" hidden="1" customWidth="1"/>
    <col min="12" max="12" width="19" style="1" customWidth="1"/>
    <col min="13" max="14" width="19" style="1" hidden="1" customWidth="1"/>
    <col min="15" max="15" width="34" style="1"/>
    <col min="16" max="17" width="0" style="1" hidden="1" customWidth="1"/>
    <col min="18" max="18" width="34" style="1"/>
    <col min="19" max="20" width="0" style="1" hidden="1" customWidth="1"/>
    <col min="21" max="21" width="34" style="1"/>
    <col min="22" max="23" width="0" style="1" hidden="1" customWidth="1"/>
    <col min="24" max="24" width="34" style="1"/>
    <col min="25" max="32" width="0" style="1" hidden="1" customWidth="1"/>
    <col min="33" max="33" width="34" style="1"/>
    <col min="34" max="35" width="0" style="1" hidden="1" customWidth="1"/>
    <col min="36" max="36" width="34" style="5"/>
    <col min="37" max="38" width="0" style="1" hidden="1" customWidth="1"/>
    <col min="39" max="39" width="34" style="1"/>
    <col min="40" max="41" width="0" style="1" hidden="1" customWidth="1"/>
    <col min="42" max="42" width="228.5703125" style="1" hidden="1" customWidth="1"/>
    <col min="43" max="44" width="0" style="1" hidden="1" customWidth="1"/>
    <col min="45" max="45" width="255.7109375" style="1" hidden="1" customWidth="1"/>
    <col min="46" max="47" width="0" style="1" hidden="1" customWidth="1"/>
    <col min="48" max="48" width="34" style="5"/>
    <col min="49" max="50" width="0" style="1" hidden="1" customWidth="1"/>
    <col min="51" max="51" width="34" style="1"/>
    <col min="52" max="53" width="0" style="1" hidden="1" customWidth="1"/>
    <col min="54" max="54" width="34" style="1"/>
    <col min="55" max="62" width="0" style="1" hidden="1" customWidth="1"/>
    <col min="63" max="63" width="34" style="5"/>
    <col min="64" max="65" width="0" style="1" hidden="1" customWidth="1"/>
    <col min="66" max="66" width="34" style="1"/>
    <col min="67" max="68" width="0" style="1" hidden="1" customWidth="1"/>
    <col min="69" max="69" width="34" style="1"/>
    <col min="70" max="77" width="0" style="1" hidden="1" customWidth="1"/>
    <col min="78" max="78" width="34" style="5"/>
    <col min="79" max="80" width="0" style="1" hidden="1" customWidth="1"/>
    <col min="81" max="81" width="34" style="1"/>
    <col min="82" max="83" width="0" style="1" hidden="1" customWidth="1"/>
    <col min="84" max="84" width="34" style="1"/>
    <col min="85" max="92" width="0" style="1" hidden="1" customWidth="1"/>
    <col min="93" max="93" width="34" style="5"/>
    <col min="94" max="95" width="0" style="1" hidden="1" customWidth="1"/>
    <col min="96" max="96" width="34" style="1"/>
    <col min="97" max="98" width="0" style="1" hidden="1" customWidth="1"/>
    <col min="99" max="99" width="34" style="1"/>
    <col min="100" max="107" width="0" style="1" hidden="1" customWidth="1"/>
    <col min="108" max="108" width="34" style="5"/>
    <col min="109" max="110" width="0" style="1" hidden="1" customWidth="1"/>
    <col min="111" max="111" width="34" style="1"/>
    <col min="112" max="113" width="0" style="1" hidden="1" customWidth="1"/>
    <col min="114" max="114" width="34" style="1"/>
    <col min="115" max="120" width="0" style="1" hidden="1" customWidth="1"/>
    <col min="121" max="122" width="34" style="1"/>
    <col min="123" max="123" width="15.28515625" style="5" customWidth="1"/>
    <col min="124" max="124" width="18" style="1" customWidth="1"/>
    <col min="125" max="125" width="34" style="1"/>
    <col min="126" max="126" width="12.42578125" style="1" customWidth="1"/>
    <col min="127" max="127" width="11.28515625" style="1" customWidth="1"/>
    <col min="128" max="16384" width="34" style="1"/>
  </cols>
  <sheetData>
    <row r="1" spans="1:129" ht="34.1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5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5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5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5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5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5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5" t="s">
        <v>125</v>
      </c>
      <c r="DW1" s="1" t="s">
        <v>126</v>
      </c>
      <c r="DX1" s="1" t="s">
        <v>127</v>
      </c>
      <c r="DY1" s="1" t="s">
        <v>128</v>
      </c>
    </row>
    <row r="2" spans="1:129" ht="34.15" customHeight="1">
      <c r="A2" s="1">
        <v>2</v>
      </c>
      <c r="B2" s="2">
        <v>46072.613194444399</v>
      </c>
      <c r="C2" s="2">
        <v>46072.613483796304</v>
      </c>
      <c r="D2" s="3" t="s">
        <v>129</v>
      </c>
      <c r="E2" s="3" t="s">
        <v>130</v>
      </c>
      <c r="G2" s="3"/>
      <c r="I2" s="3" t="s">
        <v>131</v>
      </c>
      <c r="K2" s="3"/>
      <c r="L2" s="1" t="s">
        <v>132</v>
      </c>
      <c r="O2" s="3" t="s">
        <v>133</v>
      </c>
      <c r="Q2" s="3"/>
      <c r="R2" s="3"/>
      <c r="T2" s="3"/>
      <c r="U2" s="5"/>
      <c r="W2" s="3"/>
      <c r="Z2" s="3"/>
      <c r="AA2" s="3"/>
      <c r="AC2" s="3"/>
      <c r="AD2" s="3"/>
      <c r="AF2" s="3"/>
      <c r="AG2" s="3"/>
      <c r="AI2" s="3"/>
      <c r="AJ2" s="1"/>
      <c r="AL2" s="3"/>
      <c r="AO2" s="3"/>
      <c r="AP2" s="3"/>
      <c r="AR2" s="3"/>
      <c r="AS2" s="3"/>
      <c r="AU2" s="3"/>
      <c r="AV2" s="3" t="s">
        <v>134</v>
      </c>
      <c r="AX2" s="3"/>
      <c r="AY2" s="5">
        <v>46071</v>
      </c>
      <c r="BA2" s="3"/>
      <c r="BB2" s="1">
        <v>1</v>
      </c>
      <c r="BD2" s="3"/>
      <c r="BE2" s="3" t="s">
        <v>135</v>
      </c>
      <c r="BG2" s="3"/>
      <c r="BH2" s="3" t="s">
        <v>136</v>
      </c>
      <c r="BJ2" s="3"/>
      <c r="BK2" s="3"/>
      <c r="BM2" s="3"/>
      <c r="BN2" s="5"/>
      <c r="BP2" s="3"/>
      <c r="BS2" s="3"/>
      <c r="BT2" s="3"/>
      <c r="BV2" s="3"/>
      <c r="BW2" s="3"/>
      <c r="BY2" s="3"/>
      <c r="BZ2" s="3"/>
      <c r="CB2" s="3"/>
      <c r="CC2" s="5"/>
      <c r="CE2" s="3"/>
      <c r="CH2" s="3"/>
      <c r="CI2" s="3"/>
      <c r="CK2" s="3"/>
      <c r="CL2" s="3"/>
      <c r="CN2" s="3"/>
      <c r="CO2" s="3"/>
      <c r="CQ2" s="3"/>
      <c r="CR2" s="5"/>
      <c r="CT2" s="3"/>
      <c r="CW2" s="3"/>
      <c r="CX2" s="3"/>
      <c r="CZ2" s="3"/>
      <c r="DA2" s="3"/>
      <c r="DC2" s="3"/>
      <c r="DD2" s="3"/>
      <c r="DF2" s="3"/>
      <c r="DG2" s="5"/>
      <c r="DI2" s="3"/>
      <c r="DL2" s="3"/>
      <c r="DM2" s="3"/>
      <c r="DO2" s="3"/>
      <c r="DP2" s="3"/>
      <c r="DR2" s="3"/>
      <c r="DS2" s="1" t="str">
        <f>_xlfn.XLOOKUP(OfficeForms.Table[[#This Row],[Selecione a Categoria do Laboratório desta atividade prática:]],Planilha1!A:A,Planilha1!B:B)</f>
        <v>BFI</v>
      </c>
      <c r="DT2" s="1" t="str">
        <f>CONCATENATE(OfficeForms.Table[[#This Row],[Selecione seu Polo Laboratório de Atividades Presenciais:]],OfficeForms.Table[[#This Row],[CHAVE CONVERSÃO]])</f>
        <v>Guarujá/SPBFI</v>
      </c>
      <c r="DU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Geral Terapêutica: Técnicas e Aplicações em Recursos Manuais</v>
      </c>
      <c r="DV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" s="1" t="str">
        <f>_xlfn.XLOOKUP(OfficeForms.Table[[#This Row],[CHAVE LINK POLO]],'[1]Quadro Geral de Lotação'!$B:$B,'[1]Quadro Geral de Lotação'!$I:$I)</f>
        <v>Lucas Soares De Medeiros</v>
      </c>
      <c r="DY2" s="1" t="str">
        <f>OfficeForms.Table[[#This Row],[Selecione a Ordem de Disciplina]]</f>
        <v>Ordem 1</v>
      </c>
    </row>
    <row r="3" spans="1:129" ht="34.15" customHeight="1">
      <c r="A3" s="1">
        <v>3</v>
      </c>
      <c r="B3" s="2">
        <v>46072.822719907403</v>
      </c>
      <c r="C3" s="2">
        <v>46072.824814814798</v>
      </c>
      <c r="D3" s="3" t="s">
        <v>137</v>
      </c>
      <c r="E3" s="3" t="s">
        <v>138</v>
      </c>
      <c r="G3" s="3"/>
      <c r="I3" s="3" t="s">
        <v>139</v>
      </c>
      <c r="K3" s="3"/>
      <c r="L3" s="1" t="s">
        <v>132</v>
      </c>
      <c r="O3" s="3" t="s">
        <v>140</v>
      </c>
      <c r="Q3" s="3"/>
      <c r="R3" s="3"/>
      <c r="T3" s="3"/>
      <c r="U3" s="5"/>
      <c r="W3" s="3"/>
      <c r="Z3" s="3"/>
      <c r="AA3" s="3"/>
      <c r="AC3" s="3"/>
      <c r="AD3" s="3"/>
      <c r="AF3" s="3"/>
      <c r="AG3" s="3"/>
      <c r="AI3" s="3"/>
      <c r="AJ3" s="1"/>
      <c r="AL3" s="3"/>
      <c r="AO3" s="3"/>
      <c r="AP3" s="3"/>
      <c r="AR3" s="3"/>
      <c r="AS3" s="3"/>
      <c r="AU3" s="3"/>
      <c r="AV3" s="3"/>
      <c r="AX3" s="3"/>
      <c r="AY3" s="5"/>
      <c r="BA3" s="3"/>
      <c r="BD3" s="3"/>
      <c r="BE3" s="3"/>
      <c r="BG3" s="3"/>
      <c r="BH3" s="3"/>
      <c r="BJ3" s="3"/>
      <c r="BK3" s="3"/>
      <c r="BM3" s="3"/>
      <c r="BN3" s="5"/>
      <c r="BP3" s="3"/>
      <c r="BS3" s="3"/>
      <c r="BT3" s="3"/>
      <c r="BV3" s="3"/>
      <c r="BW3" s="3"/>
      <c r="BY3" s="3"/>
      <c r="BZ3" s="3" t="s">
        <v>141</v>
      </c>
      <c r="CB3" s="3"/>
      <c r="CC3" s="5">
        <v>46072</v>
      </c>
      <c r="CE3" s="3"/>
      <c r="CF3" s="1">
        <v>0</v>
      </c>
      <c r="CH3" s="3"/>
      <c r="CI3" s="3" t="s">
        <v>142</v>
      </c>
      <c r="CK3" s="3"/>
      <c r="CL3" s="3" t="s">
        <v>143</v>
      </c>
      <c r="CN3" s="3"/>
      <c r="CO3" s="3"/>
      <c r="CQ3" s="3"/>
      <c r="CR3" s="5"/>
      <c r="CT3" s="3"/>
      <c r="CW3" s="3"/>
      <c r="CX3" s="3"/>
      <c r="CZ3" s="3"/>
      <c r="DA3" s="3"/>
      <c r="DC3" s="3"/>
      <c r="DD3" s="3"/>
      <c r="DF3" s="3"/>
      <c r="DG3" s="5"/>
      <c r="DI3" s="3"/>
      <c r="DL3" s="3"/>
      <c r="DM3" s="3"/>
      <c r="DO3" s="3"/>
      <c r="DP3" s="3"/>
      <c r="DR3" s="3"/>
      <c r="DS3" s="1" t="str">
        <f>_xlfn.XLOOKUP(OfficeForms.Table[[#This Row],[Selecione a Categoria do Laboratório desta atividade prática:]],Planilha1!A:A,Planilha1!B:B)</f>
        <v>ECE-ENM-ENS-ENG-EEA-GPI-CDE-OBR-SAN-TER-FSA-SLF-QUI</v>
      </c>
      <c r="DT3" s="1" t="str">
        <f>CONCATENATE(OfficeForms.Table[[#This Row],[Selecione seu Polo Laboratório de Atividades Presenciais:]],OfficeForms.Table[[#This Row],[CHAVE CONVERSÃO]])</f>
        <v>Chapecó/SC - CentroECE-ENM-ENS-ENG-EEA-GPI-CDE-OBR-SAN-TER-FSA-SLF-QUI</v>
      </c>
      <c r="DU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 Medição da resistência elétrica</v>
      </c>
      <c r="DV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" s="1" t="str">
        <f>_xlfn.XLOOKUP(OfficeForms.Table[[#This Row],[CHAVE LINK POLO]],'[1]Quadro Geral de Lotação'!$B:$B,'[1]Quadro Geral de Lotação'!$I:$I)</f>
        <v>Gabriela Fanck Dos Santos</v>
      </c>
      <c r="DY3" s="1" t="str">
        <f>OfficeForms.Table[[#This Row],[Selecione a Ordem de Disciplina]]</f>
        <v>Ordem 1</v>
      </c>
    </row>
    <row r="4" spans="1:129" ht="34.15" customHeight="1">
      <c r="A4" s="1">
        <v>4</v>
      </c>
      <c r="B4" s="2">
        <v>46072.825046296297</v>
      </c>
      <c r="C4" s="2">
        <v>46072.827291666697</v>
      </c>
      <c r="D4" s="3" t="s">
        <v>137</v>
      </c>
      <c r="E4" s="3" t="s">
        <v>138</v>
      </c>
      <c r="G4" s="3"/>
      <c r="I4" s="3" t="s">
        <v>139</v>
      </c>
      <c r="K4" s="3"/>
      <c r="L4" s="1" t="s">
        <v>132</v>
      </c>
      <c r="O4" s="3" t="s">
        <v>140</v>
      </c>
      <c r="Q4" s="3"/>
      <c r="R4" s="3"/>
      <c r="T4" s="3"/>
      <c r="U4" s="5"/>
      <c r="W4" s="3"/>
      <c r="Z4" s="3"/>
      <c r="AA4" s="3"/>
      <c r="AC4" s="3"/>
      <c r="AD4" s="3"/>
      <c r="AF4" s="3"/>
      <c r="AG4" s="3"/>
      <c r="AI4" s="3"/>
      <c r="AJ4" s="1"/>
      <c r="AL4" s="3"/>
      <c r="AO4" s="3"/>
      <c r="AP4" s="3"/>
      <c r="AR4" s="3"/>
      <c r="AS4" s="3"/>
      <c r="AU4" s="3"/>
      <c r="AV4" s="3"/>
      <c r="AX4" s="3"/>
      <c r="AY4" s="5"/>
      <c r="BA4" s="3"/>
      <c r="BD4" s="3"/>
      <c r="BE4" s="3"/>
      <c r="BG4" s="3"/>
      <c r="BH4" s="3"/>
      <c r="BJ4" s="3"/>
      <c r="BK4" s="3"/>
      <c r="BM4" s="3"/>
      <c r="BN4" s="5"/>
      <c r="BP4" s="3"/>
      <c r="BS4" s="3"/>
      <c r="BT4" s="3"/>
      <c r="BV4" s="3"/>
      <c r="BW4" s="3"/>
      <c r="BY4" s="3"/>
      <c r="BZ4" s="3" t="s">
        <v>144</v>
      </c>
      <c r="CB4" s="3"/>
      <c r="CC4" s="5">
        <v>46072</v>
      </c>
      <c r="CE4" s="3"/>
      <c r="CF4" s="1">
        <v>0</v>
      </c>
      <c r="CH4" s="3"/>
      <c r="CI4" s="3" t="s">
        <v>145</v>
      </c>
      <c r="CK4" s="3"/>
      <c r="CL4" s="3" t="s">
        <v>146</v>
      </c>
      <c r="CN4" s="3"/>
      <c r="CO4" s="3"/>
      <c r="CQ4" s="3"/>
      <c r="CR4" s="5"/>
      <c r="CT4" s="3"/>
      <c r="CW4" s="3"/>
      <c r="CX4" s="3"/>
      <c r="CZ4" s="3"/>
      <c r="DA4" s="3"/>
      <c r="DC4" s="3"/>
      <c r="DD4" s="3"/>
      <c r="DF4" s="3"/>
      <c r="DG4" s="5"/>
      <c r="DI4" s="3"/>
      <c r="DL4" s="3"/>
      <c r="DM4" s="3"/>
      <c r="DO4" s="3"/>
      <c r="DP4" s="3"/>
      <c r="DR4" s="3"/>
      <c r="DS4" s="1" t="str">
        <f>_xlfn.XLOOKUP(OfficeForms.Table[[#This Row],[Selecione a Categoria do Laboratório desta atividade prática:]],Planilha1!A:A,Planilha1!B:B)</f>
        <v>ECE-ENM-ENS-ENG-EEA-GPI-CDE-OBR-SAN-TER-FSA-SLF-QUI</v>
      </c>
      <c r="DT4" s="1" t="str">
        <f>CONCATENATE(OfficeForms.Table[[#This Row],[Selecione seu Polo Laboratório de Atividades Presenciais:]],OfficeForms.Table[[#This Row],[CHAVE CONVERSÃO]])</f>
        <v>Chapecó/SC - CentroECE-ENM-ENS-ENG-EEA-GPI-CDE-OBR-SAN-TER-FSA-SLF-QUI</v>
      </c>
      <c r="DU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Associação De Resistores Em Série e Paralelo</v>
      </c>
      <c r="DV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" s="1" t="str">
        <f>_xlfn.XLOOKUP(OfficeForms.Table[[#This Row],[CHAVE LINK POLO]],'[1]Quadro Geral de Lotação'!$B:$B,'[1]Quadro Geral de Lotação'!$I:$I)</f>
        <v>Gabriela Fanck Dos Santos</v>
      </c>
      <c r="DY4" s="1" t="str">
        <f>OfficeForms.Table[[#This Row],[Selecione a Ordem de Disciplina]]</f>
        <v>Ordem 1</v>
      </c>
    </row>
    <row r="5" spans="1:129" ht="34.15" customHeight="1">
      <c r="A5" s="1">
        <v>5</v>
      </c>
      <c r="B5" s="2">
        <v>46073.423344907402</v>
      </c>
      <c r="C5" s="2">
        <v>46073.424826388902</v>
      </c>
      <c r="D5" s="3" t="s">
        <v>147</v>
      </c>
      <c r="E5" s="3" t="s">
        <v>148</v>
      </c>
      <c r="G5" s="3"/>
      <c r="I5" s="3" t="s">
        <v>149</v>
      </c>
      <c r="K5" s="3"/>
      <c r="L5" s="1" t="s">
        <v>132</v>
      </c>
      <c r="O5" s="3" t="s">
        <v>133</v>
      </c>
      <c r="Q5" s="3"/>
      <c r="R5" s="3"/>
      <c r="T5" s="3"/>
      <c r="U5" s="5"/>
      <c r="W5" s="3"/>
      <c r="Z5" s="3"/>
      <c r="AA5" s="3"/>
      <c r="AC5" s="3"/>
      <c r="AD5" s="3"/>
      <c r="AF5" s="3"/>
      <c r="AG5" s="3"/>
      <c r="AI5" s="3"/>
      <c r="AJ5" s="1"/>
      <c r="AL5" s="3"/>
      <c r="AO5" s="3"/>
      <c r="AP5" s="3"/>
      <c r="AR5" s="3"/>
      <c r="AS5" s="3"/>
      <c r="AU5" s="3"/>
      <c r="AV5" s="3" t="s">
        <v>150</v>
      </c>
      <c r="AX5" s="3"/>
      <c r="AY5" s="5">
        <v>46072</v>
      </c>
      <c r="BA5" s="3"/>
      <c r="BB5" s="1">
        <v>5</v>
      </c>
      <c r="BD5" s="3"/>
      <c r="BE5" s="3" t="s">
        <v>151</v>
      </c>
      <c r="BG5" s="3"/>
      <c r="BH5" s="3" t="s">
        <v>152</v>
      </c>
      <c r="BJ5" s="3"/>
      <c r="BK5" s="3"/>
      <c r="BM5" s="3"/>
      <c r="BN5" s="5"/>
      <c r="BP5" s="3"/>
      <c r="BS5" s="3"/>
      <c r="BT5" s="3"/>
      <c r="BV5" s="3"/>
      <c r="BW5" s="3"/>
      <c r="BY5" s="3"/>
      <c r="BZ5" s="3"/>
      <c r="CB5" s="3"/>
      <c r="CC5" s="5"/>
      <c r="CE5" s="3"/>
      <c r="CH5" s="3"/>
      <c r="CI5" s="3"/>
      <c r="CK5" s="3"/>
      <c r="CL5" s="3"/>
      <c r="CN5" s="3"/>
      <c r="CO5" s="3"/>
      <c r="CQ5" s="3"/>
      <c r="CR5" s="5"/>
      <c r="CT5" s="3"/>
      <c r="CW5" s="3"/>
      <c r="CX5" s="3"/>
      <c r="CZ5" s="3"/>
      <c r="DA5" s="3"/>
      <c r="DC5" s="3"/>
      <c r="DD5" s="3"/>
      <c r="DF5" s="3"/>
      <c r="DG5" s="5"/>
      <c r="DI5" s="3"/>
      <c r="DL5" s="3"/>
      <c r="DM5" s="3"/>
      <c r="DO5" s="3"/>
      <c r="DP5" s="3"/>
      <c r="DR5" s="3"/>
      <c r="DS5" s="1" t="str">
        <f>_xlfn.XLOOKUP(OfficeForms.Table[[#This Row],[Selecione a Categoria do Laboratório desta atividade prática:]],Planilha1!A:A,Planilha1!B:B)</f>
        <v>BFI</v>
      </c>
      <c r="DT5" s="1" t="str">
        <f>CONCATENATE(OfficeForms.Table[[#This Row],[Selecione seu Polo Laboratório de Atividades Presenciais:]],OfficeForms.Table[[#This Row],[CHAVE CONVERSÃO]])</f>
        <v>Itajaí/SC - São VicenteBFI</v>
      </c>
      <c r="DU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Pontos cardeais</v>
      </c>
      <c r="DV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5" s="1" t="str">
        <f>_xlfn.XLOOKUP(OfficeForms.Table[[#This Row],[CHAVE LINK POLO]],'[1]Quadro Geral de Lotação'!$B:$B,'[1]Quadro Geral de Lotação'!$I:$I)</f>
        <v>Tuani Rafaela Matana Neves</v>
      </c>
      <c r="DY5" s="1" t="str">
        <f>OfficeForms.Table[[#This Row],[Selecione a Ordem de Disciplina]]</f>
        <v>Ordem 1</v>
      </c>
    </row>
    <row r="6" spans="1:129" ht="34.15" customHeight="1">
      <c r="A6" s="1">
        <v>6</v>
      </c>
      <c r="B6" s="2">
        <v>46073.4745833333</v>
      </c>
      <c r="C6" s="2">
        <v>46073.476805555598</v>
      </c>
      <c r="D6" s="3" t="s">
        <v>153</v>
      </c>
      <c r="E6" s="3" t="s">
        <v>154</v>
      </c>
      <c r="G6" s="3"/>
      <c r="I6" s="3" t="s">
        <v>155</v>
      </c>
      <c r="K6" s="3"/>
      <c r="L6" s="1" t="s">
        <v>132</v>
      </c>
      <c r="O6" s="3" t="s">
        <v>156</v>
      </c>
      <c r="Q6" s="3"/>
      <c r="R6" s="3"/>
      <c r="T6" s="3"/>
      <c r="U6" s="5"/>
      <c r="W6" s="3"/>
      <c r="Z6" s="3"/>
      <c r="AA6" s="3"/>
      <c r="AC6" s="3"/>
      <c r="AD6" s="3"/>
      <c r="AF6" s="3"/>
      <c r="AG6" s="3"/>
      <c r="AI6" s="3"/>
      <c r="AJ6" s="1"/>
      <c r="AL6" s="3"/>
      <c r="AO6" s="3"/>
      <c r="AP6" s="3"/>
      <c r="AR6" s="3"/>
      <c r="AS6" s="3"/>
      <c r="AU6" s="3"/>
      <c r="AV6" s="3"/>
      <c r="AX6" s="3"/>
      <c r="AY6" s="5"/>
      <c r="BA6" s="3"/>
      <c r="BD6" s="3"/>
      <c r="BE6" s="3"/>
      <c r="BG6" s="3"/>
      <c r="BH6" s="3"/>
      <c r="BJ6" s="3"/>
      <c r="BK6" s="3" t="s">
        <v>157</v>
      </c>
      <c r="BM6" s="3"/>
      <c r="BN6" s="5">
        <v>46071</v>
      </c>
      <c r="BP6" s="3"/>
      <c r="BQ6" s="1">
        <v>14</v>
      </c>
      <c r="BS6" s="3"/>
      <c r="BT6" s="3" t="s">
        <v>158</v>
      </c>
      <c r="BV6" s="3"/>
      <c r="BW6" s="3" t="s">
        <v>159</v>
      </c>
      <c r="BY6" s="3"/>
      <c r="BZ6" s="3"/>
      <c r="CB6" s="3"/>
      <c r="CC6" s="5"/>
      <c r="CE6" s="3"/>
      <c r="CH6" s="3"/>
      <c r="CI6" s="3"/>
      <c r="CK6" s="3"/>
      <c r="CL6" s="3"/>
      <c r="CN6" s="3"/>
      <c r="CO6" s="3"/>
      <c r="CQ6" s="3"/>
      <c r="CR6" s="5"/>
      <c r="CT6" s="3"/>
      <c r="CW6" s="3"/>
      <c r="CX6" s="3"/>
      <c r="CZ6" s="3"/>
      <c r="DA6" s="3"/>
      <c r="DC6" s="3"/>
      <c r="DD6" s="3"/>
      <c r="DF6" s="3"/>
      <c r="DG6" s="5"/>
      <c r="DI6" s="3"/>
      <c r="DL6" s="3"/>
      <c r="DM6" s="3"/>
      <c r="DO6" s="3"/>
      <c r="DP6" s="3"/>
      <c r="DR6" s="3"/>
      <c r="DS6" s="1" t="str">
        <f>_xlfn.XLOOKUP(OfficeForms.Table[[#This Row],[Selecione a Categoria do Laboratório desta atividade prática:]],Planilha1!A:A,Planilha1!B:B)</f>
        <v>NTR</v>
      </c>
      <c r="DT6" s="1" t="str">
        <f>CONCATENATE(OfficeForms.Table[[#This Row],[Selecione seu Polo Laboratório de Atividades Presenciais:]],OfficeForms.Table[[#This Row],[CHAVE CONVERSÃO]])</f>
        <v>Novo Hamburgo/RS - CentroNTR</v>
      </c>
      <c r="DU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14</v>
      </c>
      <c r="DX6" s="1" t="str">
        <f>_xlfn.XLOOKUP(OfficeForms.Table[[#This Row],[CHAVE LINK POLO]],'[1]Quadro Geral de Lotação'!$B:$B,'[1]Quadro Geral de Lotação'!$I:$I)</f>
        <v>Juliana Berger</v>
      </c>
      <c r="DY6" s="1" t="str">
        <f>OfficeForms.Table[[#This Row],[Selecione a Ordem de Disciplina]]</f>
        <v>Ordem 1</v>
      </c>
    </row>
    <row r="7" spans="1:129" ht="34.15" customHeight="1">
      <c r="A7" s="1">
        <v>7</v>
      </c>
      <c r="B7" s="2">
        <v>46073.488969907397</v>
      </c>
      <c r="C7" s="2">
        <v>46073.492314814801</v>
      </c>
      <c r="D7" s="3" t="s">
        <v>160</v>
      </c>
      <c r="E7" s="3" t="s">
        <v>161</v>
      </c>
      <c r="G7" s="3"/>
      <c r="I7" s="3" t="s">
        <v>162</v>
      </c>
      <c r="K7" s="3"/>
      <c r="L7" s="1" t="s">
        <v>132</v>
      </c>
      <c r="O7" s="3" t="s">
        <v>156</v>
      </c>
      <c r="Q7" s="3"/>
      <c r="R7" s="3"/>
      <c r="T7" s="3"/>
      <c r="U7" s="5"/>
      <c r="W7" s="3"/>
      <c r="Z7" s="3"/>
      <c r="AA7" s="3"/>
      <c r="AC7" s="3"/>
      <c r="AD7" s="3"/>
      <c r="AF7" s="3"/>
      <c r="AG7" s="3"/>
      <c r="AI7" s="3"/>
      <c r="AJ7" s="1"/>
      <c r="AL7" s="3"/>
      <c r="AO7" s="3"/>
      <c r="AP7" s="3"/>
      <c r="AR7" s="3"/>
      <c r="AS7" s="3"/>
      <c r="AU7" s="3"/>
      <c r="AV7" s="3"/>
      <c r="AX7" s="3"/>
      <c r="AY7" s="5"/>
      <c r="BA7" s="3"/>
      <c r="BD7" s="3"/>
      <c r="BE7" s="3"/>
      <c r="BG7" s="3"/>
      <c r="BH7" s="3"/>
      <c r="BJ7" s="3"/>
      <c r="BK7" s="3" t="s">
        <v>157</v>
      </c>
      <c r="BM7" s="3"/>
      <c r="BN7" s="5">
        <v>46072</v>
      </c>
      <c r="BP7" s="3"/>
      <c r="BQ7" s="1">
        <v>8</v>
      </c>
      <c r="BS7" s="3"/>
      <c r="BT7" s="3" t="s">
        <v>163</v>
      </c>
      <c r="BV7" s="3"/>
      <c r="BW7" s="3" t="s">
        <v>164</v>
      </c>
      <c r="BY7" s="3"/>
      <c r="BZ7" s="3"/>
      <c r="CB7" s="3"/>
      <c r="CC7" s="5"/>
      <c r="CE7" s="3"/>
      <c r="CH7" s="3"/>
      <c r="CI7" s="3"/>
      <c r="CK7" s="3"/>
      <c r="CL7" s="3"/>
      <c r="CN7" s="3"/>
      <c r="CO7" s="3"/>
      <c r="CQ7" s="3"/>
      <c r="CR7" s="5"/>
      <c r="CT7" s="3"/>
      <c r="CW7" s="3"/>
      <c r="CX7" s="3"/>
      <c r="CZ7" s="3"/>
      <c r="DA7" s="3"/>
      <c r="DC7" s="3"/>
      <c r="DD7" s="3"/>
      <c r="DF7" s="3"/>
      <c r="DG7" s="5"/>
      <c r="DI7" s="3"/>
      <c r="DL7" s="3"/>
      <c r="DM7" s="3"/>
      <c r="DO7" s="3"/>
      <c r="DP7" s="3"/>
      <c r="DR7" s="3"/>
      <c r="DS7" s="1" t="str">
        <f>_xlfn.XLOOKUP(OfficeForms.Table[[#This Row],[Selecione a Categoria do Laboratório desta atividade prática:]],Planilha1!A:A,Planilha1!B:B)</f>
        <v>NTR</v>
      </c>
      <c r="DT7" s="1" t="str">
        <f>CONCATENATE(OfficeForms.Table[[#This Row],[Selecione seu Polo Laboratório de Atividades Presenciais:]],OfficeForms.Table[[#This Row],[CHAVE CONVERSÃO]])</f>
        <v>Florianópolis/SC - CentroNTR</v>
      </c>
      <c r="DU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7" s="1" t="str">
        <f>_xlfn.XLOOKUP(OfficeForms.Table[[#This Row],[CHAVE LINK POLO]],'[1]Quadro Geral de Lotação'!$B:$B,'[1]Quadro Geral de Lotação'!$I:$I)</f>
        <v>Laura Volpato</v>
      </c>
      <c r="DY7" s="1" t="str">
        <f>OfficeForms.Table[[#This Row],[Selecione a Ordem de Disciplina]]</f>
        <v>Ordem 1</v>
      </c>
    </row>
    <row r="8" spans="1:129" ht="34.15" customHeight="1">
      <c r="A8" s="1">
        <v>8</v>
      </c>
      <c r="B8" s="2">
        <v>46073.492349537002</v>
      </c>
      <c r="C8" s="2">
        <v>46073.493703703702</v>
      </c>
      <c r="D8" s="3" t="s">
        <v>160</v>
      </c>
      <c r="E8" s="3" t="s">
        <v>161</v>
      </c>
      <c r="G8" s="3"/>
      <c r="I8" s="3" t="s">
        <v>162</v>
      </c>
      <c r="K8" s="3"/>
      <c r="L8" s="1" t="s">
        <v>132</v>
      </c>
      <c r="O8" s="3" t="s">
        <v>156</v>
      </c>
      <c r="Q8" s="3"/>
      <c r="R8" s="3"/>
      <c r="T8" s="3"/>
      <c r="U8" s="5"/>
      <c r="W8" s="3"/>
      <c r="Z8" s="3"/>
      <c r="AA8" s="3"/>
      <c r="AC8" s="3"/>
      <c r="AD8" s="3"/>
      <c r="AF8" s="3"/>
      <c r="AG8" s="3"/>
      <c r="AI8" s="3"/>
      <c r="AJ8" s="1"/>
      <c r="AL8" s="3"/>
      <c r="AO8" s="3"/>
      <c r="AP8" s="3"/>
      <c r="AR8" s="3"/>
      <c r="AS8" s="3"/>
      <c r="AU8" s="3"/>
      <c r="AV8" s="3"/>
      <c r="AX8" s="3"/>
      <c r="AY8" s="5"/>
      <c r="BA8" s="3"/>
      <c r="BD8" s="3"/>
      <c r="BE8" s="3"/>
      <c r="BG8" s="3"/>
      <c r="BH8" s="3"/>
      <c r="BJ8" s="3"/>
      <c r="BK8" s="3" t="s">
        <v>165</v>
      </c>
      <c r="BM8" s="3"/>
      <c r="BN8" s="5">
        <v>46072</v>
      </c>
      <c r="BP8" s="3"/>
      <c r="BQ8" s="1">
        <v>7</v>
      </c>
      <c r="BS8" s="3"/>
      <c r="BT8" s="3" t="s">
        <v>166</v>
      </c>
      <c r="BV8" s="3"/>
      <c r="BW8" s="3" t="s">
        <v>167</v>
      </c>
      <c r="BY8" s="3"/>
      <c r="BZ8" s="3"/>
      <c r="CB8" s="3"/>
      <c r="CC8" s="5"/>
      <c r="CE8" s="3"/>
      <c r="CH8" s="3"/>
      <c r="CI8" s="3"/>
      <c r="CK8" s="3"/>
      <c r="CL8" s="3"/>
      <c r="CN8" s="3"/>
      <c r="CO8" s="3"/>
      <c r="CQ8" s="3"/>
      <c r="CR8" s="5"/>
      <c r="CT8" s="3"/>
      <c r="CW8" s="3"/>
      <c r="CX8" s="3"/>
      <c r="CZ8" s="3"/>
      <c r="DA8" s="3"/>
      <c r="DC8" s="3"/>
      <c r="DD8" s="3"/>
      <c r="DF8" s="3"/>
      <c r="DG8" s="5"/>
      <c r="DI8" s="3"/>
      <c r="DL8" s="3"/>
      <c r="DM8" s="3"/>
      <c r="DO8" s="3"/>
      <c r="DP8" s="3"/>
      <c r="DR8" s="3"/>
      <c r="DS8" s="1" t="str">
        <f>_xlfn.XLOOKUP(OfficeForms.Table[[#This Row],[Selecione a Categoria do Laboratório desta atividade prática:]],Planilha1!A:A,Planilha1!B:B)</f>
        <v>NTR</v>
      </c>
      <c r="DT8" s="1" t="str">
        <f>CONCATENATE(OfficeForms.Table[[#This Row],[Selecione seu Polo Laboratório de Atividades Presenciais:]],OfficeForms.Table[[#This Row],[CHAVE CONVERSÃO]])</f>
        <v>Florianópolis/SC - CentroNTR</v>
      </c>
      <c r="DU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8" s="1" t="str">
        <f>_xlfn.XLOOKUP(OfficeForms.Table[[#This Row],[CHAVE LINK POLO]],'[1]Quadro Geral de Lotação'!$B:$B,'[1]Quadro Geral de Lotação'!$I:$I)</f>
        <v>Laura Volpato</v>
      </c>
      <c r="DY8" s="1" t="str">
        <f>OfficeForms.Table[[#This Row],[Selecione a Ordem de Disciplina]]</f>
        <v>Ordem 1</v>
      </c>
    </row>
    <row r="9" spans="1:129" ht="34.15" customHeight="1">
      <c r="A9" s="1">
        <v>9</v>
      </c>
      <c r="B9" s="2">
        <v>46073.578958333303</v>
      </c>
      <c r="C9" s="2">
        <v>46073.597025463001</v>
      </c>
      <c r="D9" s="3" t="s">
        <v>168</v>
      </c>
      <c r="E9" s="3" t="s">
        <v>169</v>
      </c>
      <c r="G9" s="3"/>
      <c r="I9" s="3" t="s">
        <v>170</v>
      </c>
      <c r="K9" s="3"/>
      <c r="L9" s="1" t="s">
        <v>132</v>
      </c>
      <c r="O9" s="3" t="s">
        <v>133</v>
      </c>
      <c r="Q9" s="3"/>
      <c r="R9" s="3"/>
      <c r="T9" s="3"/>
      <c r="U9" s="5"/>
      <c r="W9" s="3"/>
      <c r="Z9" s="3"/>
      <c r="AA9" s="3"/>
      <c r="AC9" s="3"/>
      <c r="AD9" s="3"/>
      <c r="AF9" s="3"/>
      <c r="AG9" s="3"/>
      <c r="AI9" s="3"/>
      <c r="AJ9" s="1"/>
      <c r="AL9" s="3"/>
      <c r="AO9" s="3"/>
      <c r="AP9" s="3"/>
      <c r="AR9" s="3"/>
      <c r="AS9" s="3"/>
      <c r="AU9" s="3"/>
      <c r="AV9" s="3" t="s">
        <v>171</v>
      </c>
      <c r="AX9" s="3"/>
      <c r="AY9" s="5">
        <v>46072</v>
      </c>
      <c r="BA9" s="3"/>
      <c r="BB9" s="1">
        <v>6</v>
      </c>
      <c r="BD9" s="3"/>
      <c r="BE9" s="3" t="s">
        <v>172</v>
      </c>
      <c r="BG9" s="3"/>
      <c r="BH9" s="3" t="s">
        <v>173</v>
      </c>
      <c r="BJ9" s="3"/>
      <c r="BK9" s="3"/>
      <c r="BM9" s="3"/>
      <c r="BN9" s="5"/>
      <c r="BP9" s="3"/>
      <c r="BS9" s="3"/>
      <c r="BT9" s="3"/>
      <c r="BV9" s="3"/>
      <c r="BW9" s="3"/>
      <c r="BY9" s="3"/>
      <c r="BZ9" s="3"/>
      <c r="CB9" s="3"/>
      <c r="CC9" s="5"/>
      <c r="CE9" s="3"/>
      <c r="CH9" s="3"/>
      <c r="CI9" s="3"/>
      <c r="CK9" s="3"/>
      <c r="CL9" s="3"/>
      <c r="CN9" s="3"/>
      <c r="CO9" s="3"/>
      <c r="CQ9" s="3"/>
      <c r="CR9" s="5"/>
      <c r="CT9" s="3"/>
      <c r="CW9" s="3"/>
      <c r="CX9" s="3"/>
      <c r="CZ9" s="3"/>
      <c r="DA9" s="3"/>
      <c r="DC9" s="3"/>
      <c r="DD9" s="3"/>
      <c r="DF9" s="3"/>
      <c r="DG9" s="5"/>
      <c r="DI9" s="3"/>
      <c r="DL9" s="3"/>
      <c r="DM9" s="3"/>
      <c r="DO9" s="3"/>
      <c r="DP9" s="3"/>
      <c r="DR9" s="3"/>
      <c r="DS9" s="1" t="str">
        <f>_xlfn.XLOOKUP(OfficeForms.Table[[#This Row],[Selecione a Categoria do Laboratório desta atividade prática:]],Planilha1!A:A,Planilha1!B:B)</f>
        <v>BFI</v>
      </c>
      <c r="DT9" s="1" t="str">
        <f>CONCATENATE(OfficeForms.Table[[#This Row],[Selecione seu Polo Laboratório de Atividades Presenciais:]],OfficeForms.Table[[#This Row],[CHAVE CONVERSÃO]])</f>
        <v>Paulo Afonso/BA - Tancredo Neves IIBFI</v>
      </c>
      <c r="DU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Terapêutica com Órteses: Abordagens Funcionais na Reabilitação Musculoesquelética;Fisioterapia com Próteses: Reabilitação Funcional e Adaptação ao Uso de Próteses</v>
      </c>
      <c r="DV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9" s="1" t="str">
        <f>_xlfn.XLOOKUP(OfficeForms.Table[[#This Row],[CHAVE LINK POLO]],'[1]Quadro Geral de Lotação'!$B:$B,'[1]Quadro Geral de Lotação'!$I:$I)</f>
        <v>Vanessa Das Neves Varjao</v>
      </c>
      <c r="DY9" s="1" t="str">
        <f>OfficeForms.Table[[#This Row],[Selecione a Ordem de Disciplina]]</f>
        <v>Ordem 1</v>
      </c>
    </row>
    <row r="10" spans="1:129" ht="34.15" customHeight="1">
      <c r="A10" s="1">
        <v>10</v>
      </c>
      <c r="B10" s="2">
        <v>46073.667708333298</v>
      </c>
      <c r="C10" s="2">
        <v>46073.6799537037</v>
      </c>
      <c r="D10" s="3" t="s">
        <v>174</v>
      </c>
      <c r="E10" s="3" t="s">
        <v>175</v>
      </c>
      <c r="G10" s="3"/>
      <c r="I10" s="3" t="s">
        <v>176</v>
      </c>
      <c r="K10" s="3"/>
      <c r="L10" s="1" t="s">
        <v>132</v>
      </c>
      <c r="O10" s="3" t="s">
        <v>177</v>
      </c>
      <c r="Q10" s="3"/>
      <c r="R10" s="3"/>
      <c r="T10" s="3"/>
      <c r="U10" s="5"/>
      <c r="W10" s="3"/>
      <c r="Z10" s="3"/>
      <c r="AA10" s="3"/>
      <c r="AC10" s="3"/>
      <c r="AD10" s="3"/>
      <c r="AF10" s="3"/>
      <c r="AG10" s="3"/>
      <c r="AI10" s="3"/>
      <c r="AJ10" s="1"/>
      <c r="AL10" s="3"/>
      <c r="AO10" s="3"/>
      <c r="AP10" s="3"/>
      <c r="AR10" s="3"/>
      <c r="AS10" s="3"/>
      <c r="AU10" s="3"/>
      <c r="AV10" s="3"/>
      <c r="AX10" s="3"/>
      <c r="AY10" s="5"/>
      <c r="BA10" s="3"/>
      <c r="BD10" s="3"/>
      <c r="BE10" s="3"/>
      <c r="BG10" s="3"/>
      <c r="BH10" s="3"/>
      <c r="BJ10" s="3"/>
      <c r="BK10" s="3"/>
      <c r="BM10" s="3"/>
      <c r="BN10" s="5"/>
      <c r="BP10" s="3"/>
      <c r="BS10" s="3"/>
      <c r="BT10" s="3"/>
      <c r="BV10" s="3"/>
      <c r="BW10" s="3"/>
      <c r="BY10" s="3"/>
      <c r="BZ10" s="3"/>
      <c r="CB10" s="3"/>
      <c r="CC10" s="5"/>
      <c r="CE10" s="3"/>
      <c r="CH10" s="3"/>
      <c r="CI10" s="3"/>
      <c r="CK10" s="3"/>
      <c r="CL10" s="3"/>
      <c r="CN10" s="3"/>
      <c r="CO10" s="3"/>
      <c r="CQ10" s="3"/>
      <c r="CR10" s="5"/>
      <c r="CT10" s="3"/>
      <c r="CW10" s="3"/>
      <c r="CX10" s="3"/>
      <c r="CZ10" s="3"/>
      <c r="DA10" s="3"/>
      <c r="DC10" s="3"/>
      <c r="DD10" s="3" t="s">
        <v>178</v>
      </c>
      <c r="DF10" s="3"/>
      <c r="DG10" s="5">
        <v>46072</v>
      </c>
      <c r="DI10" s="3"/>
      <c r="DJ10" s="1">
        <v>20</v>
      </c>
      <c r="DL10" s="3"/>
      <c r="DM10" s="3" t="s">
        <v>179</v>
      </c>
      <c r="DO10" s="3"/>
      <c r="DP10" s="3" t="s">
        <v>180</v>
      </c>
      <c r="DR10" s="3"/>
      <c r="DS10" s="1" t="str">
        <f>_xlfn.XLOOKUP(OfficeForms.Table[[#This Row],[Selecione a Categoria do Laboratório desta atividade prática:]],Planilha1!A:A,Planilha1!B:B)</f>
        <v>AGM</v>
      </c>
      <c r="DT10" s="1" t="str">
        <f>CONCATENATE(OfficeForms.Table[[#This Row],[Selecione seu Polo Laboratório de Atividades Presenciais:]],OfficeForms.Table[[#This Row],[CHAVE CONVERSÃO]])</f>
        <v>Catalão/GOAGM</v>
      </c>
      <c r="DU1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de propagação de plantas</v>
      </c>
      <c r="DV1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1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20</v>
      </c>
      <c r="DX10" s="1" t="str">
        <f>_xlfn.XLOOKUP(OfficeForms.Table[[#This Row],[CHAVE LINK POLO]],'[1]Quadro Geral de Lotação'!$B:$B,'[1]Quadro Geral de Lotação'!$I:$I)</f>
        <v>Marla Maria Ferreira De Souza</v>
      </c>
      <c r="DY10" s="1" t="str">
        <f>OfficeForms.Table[[#This Row],[Selecione a Ordem de Disciplina]]</f>
        <v>Ordem 1</v>
      </c>
    </row>
    <row r="11" spans="1:129" ht="34.15" customHeight="1">
      <c r="A11" s="1">
        <v>11</v>
      </c>
      <c r="B11" s="2">
        <v>46073.680474537003</v>
      </c>
      <c r="C11" s="2">
        <v>46073.681539351797</v>
      </c>
      <c r="D11" s="3" t="s">
        <v>181</v>
      </c>
      <c r="E11" s="3" t="s">
        <v>182</v>
      </c>
      <c r="G11" s="3"/>
      <c r="I11" s="3" t="s">
        <v>183</v>
      </c>
      <c r="K11" s="3"/>
      <c r="L11" s="1" t="s">
        <v>132</v>
      </c>
      <c r="O11" s="3" t="s">
        <v>184</v>
      </c>
      <c r="Q11" s="3"/>
      <c r="R11" s="3"/>
      <c r="T11" s="3"/>
      <c r="U11" s="5"/>
      <c r="W11" s="3"/>
      <c r="Z11" s="3"/>
      <c r="AA11" s="3"/>
      <c r="AC11" s="3"/>
      <c r="AD11" s="3"/>
      <c r="AF11" s="3"/>
      <c r="AG11" s="3" t="s">
        <v>185</v>
      </c>
      <c r="AI11" s="3"/>
      <c r="AJ11" s="1">
        <v>46066</v>
      </c>
      <c r="AL11" s="3"/>
      <c r="AM11" s="1">
        <v>2</v>
      </c>
      <c r="AO11" s="3"/>
      <c r="AP11" s="3" t="s">
        <v>186</v>
      </c>
      <c r="AR11" s="3"/>
      <c r="AS11" s="3" t="s">
        <v>187</v>
      </c>
      <c r="AU11" s="3"/>
      <c r="AV11" s="3"/>
      <c r="AX11" s="3"/>
      <c r="AY11" s="5"/>
      <c r="BA11" s="3"/>
      <c r="BD11" s="3"/>
      <c r="BE11" s="3"/>
      <c r="BG11" s="3"/>
      <c r="BH11" s="3"/>
      <c r="BJ11" s="3"/>
      <c r="BK11" s="3"/>
      <c r="BM11" s="3"/>
      <c r="BN11" s="5"/>
      <c r="BP11" s="3"/>
      <c r="BS11" s="3"/>
      <c r="BT11" s="3"/>
      <c r="BV11" s="3"/>
      <c r="BW11" s="3"/>
      <c r="BY11" s="3"/>
      <c r="BZ11" s="3"/>
      <c r="CB11" s="3"/>
      <c r="CC11" s="5"/>
      <c r="CE11" s="3"/>
      <c r="CH11" s="3"/>
      <c r="CI11" s="3"/>
      <c r="CK11" s="3"/>
      <c r="CL11" s="3"/>
      <c r="CN11" s="3"/>
      <c r="CO11" s="3"/>
      <c r="CQ11" s="3"/>
      <c r="CR11" s="5"/>
      <c r="CT11" s="3"/>
      <c r="CW11" s="3"/>
      <c r="CX11" s="3"/>
      <c r="CZ11" s="3"/>
      <c r="DA11" s="3"/>
      <c r="DC11" s="3"/>
      <c r="DD11" s="3"/>
      <c r="DF11" s="3"/>
      <c r="DG11" s="5"/>
      <c r="DI11" s="3"/>
      <c r="DL11" s="3"/>
      <c r="DM11" s="3"/>
      <c r="DO11" s="3"/>
      <c r="DP11" s="3"/>
      <c r="DR11" s="3"/>
      <c r="DS11" s="1" t="str">
        <f>_xlfn.XLOOKUP(OfficeForms.Table[[#This Row],[Selecione a Categoria do Laboratório desta atividade prática:]],Planilha1!A:A,Planilha1!B:B)</f>
        <v>EMF-ISN</v>
      </c>
      <c r="DT11" s="1" t="str">
        <f>CONCATENATE(OfficeForms.Table[[#This Row],[Selecione seu Polo Laboratório de Atividades Presenciais:]],OfficeForms.Table[[#This Row],[CHAVE CONVERSÃO]])</f>
        <v>Herval D'Oeste/SCEMF-ISN</v>
      </c>
      <c r="DU1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1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46066</v>
      </c>
      <c r="DW1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1" s="1" t="str">
        <f>_xlfn.XLOOKUP(OfficeForms.Table[[#This Row],[CHAVE LINK POLO]],'[1]Quadro Geral de Lotação'!$B:$B,'[1]Quadro Geral de Lotação'!$I:$I)</f>
        <v>Maksllene Ingrid De Souza Cavalcanti Spessatto</v>
      </c>
      <c r="DY11" s="1" t="str">
        <f>OfficeForms.Table[[#This Row],[Selecione a Ordem de Disciplina]]</f>
        <v>Ordem 1</v>
      </c>
    </row>
    <row r="12" spans="1:129" ht="34.15" customHeight="1">
      <c r="A12" s="1">
        <v>12</v>
      </c>
      <c r="B12" s="2">
        <v>46073.754571759302</v>
      </c>
      <c r="C12" s="2">
        <v>46073.756342592598</v>
      </c>
      <c r="D12" s="3" t="s">
        <v>129</v>
      </c>
      <c r="E12" s="3" t="s">
        <v>130</v>
      </c>
      <c r="G12" s="3"/>
      <c r="I12" s="3" t="s">
        <v>131</v>
      </c>
      <c r="K12" s="3"/>
      <c r="L12" s="1" t="s">
        <v>132</v>
      </c>
      <c r="O12" s="3" t="s">
        <v>133</v>
      </c>
      <c r="Q12" s="3"/>
      <c r="R12" s="3"/>
      <c r="T12" s="3"/>
      <c r="U12" s="5"/>
      <c r="W12" s="3"/>
      <c r="Z12" s="3"/>
      <c r="AA12" s="3"/>
      <c r="AC12" s="3"/>
      <c r="AD12" s="3"/>
      <c r="AF12" s="3"/>
      <c r="AG12" s="3"/>
      <c r="AI12" s="3"/>
      <c r="AJ12" s="1"/>
      <c r="AL12" s="3"/>
      <c r="AO12" s="3"/>
      <c r="AP12" s="3"/>
      <c r="AR12" s="3"/>
      <c r="AS12" s="3"/>
      <c r="AU12" s="3"/>
      <c r="AV12" s="3" t="s">
        <v>188</v>
      </c>
      <c r="AX12" s="3"/>
      <c r="AY12" s="5">
        <v>46071</v>
      </c>
      <c r="BA12" s="3"/>
      <c r="BB12" s="1">
        <v>1</v>
      </c>
      <c r="BD12" s="3"/>
      <c r="BE12" s="3" t="s">
        <v>189</v>
      </c>
      <c r="BG12" s="3"/>
      <c r="BH12" s="3" t="s">
        <v>190</v>
      </c>
      <c r="BJ12" s="3"/>
      <c r="BK12" s="3"/>
      <c r="BM12" s="3"/>
      <c r="BN12" s="5"/>
      <c r="BP12" s="3"/>
      <c r="BS12" s="3"/>
      <c r="BT12" s="3"/>
      <c r="BV12" s="3"/>
      <c r="BW12" s="3"/>
      <c r="BY12" s="3"/>
      <c r="BZ12" s="3"/>
      <c r="CB12" s="3"/>
      <c r="CC12" s="5"/>
      <c r="CE12" s="3"/>
      <c r="CH12" s="3"/>
      <c r="CI12" s="3"/>
      <c r="CK12" s="3"/>
      <c r="CL12" s="3"/>
      <c r="CN12" s="3"/>
      <c r="CO12" s="3"/>
      <c r="CQ12" s="3"/>
      <c r="CR12" s="5"/>
      <c r="CT12" s="3"/>
      <c r="CW12" s="3"/>
      <c r="CX12" s="3"/>
      <c r="CZ12" s="3"/>
      <c r="DA12" s="3"/>
      <c r="DC12" s="3"/>
      <c r="DD12" s="3"/>
      <c r="DF12" s="3"/>
      <c r="DG12" s="5"/>
      <c r="DI12" s="3"/>
      <c r="DL12" s="3"/>
      <c r="DM12" s="3"/>
      <c r="DO12" s="3"/>
      <c r="DP12" s="3"/>
      <c r="DR12" s="3"/>
      <c r="DS12" s="1" t="str">
        <f>_xlfn.XLOOKUP(OfficeForms.Table[[#This Row],[Selecione a Categoria do Laboratório desta atividade prática:]],Planilha1!A:A,Planilha1!B:B)</f>
        <v>BFI</v>
      </c>
      <c r="DT12" s="1" t="str">
        <f>CONCATENATE(OfficeForms.Table[[#This Row],[Selecione seu Polo Laboratório de Atividades Presenciais:]],OfficeForms.Table[[#This Row],[CHAVE CONVERSÃO]])</f>
        <v>Guarujá/SPBFI</v>
      </c>
      <c r="DU1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Drenagem Linfática</v>
      </c>
      <c r="DV1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1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2" s="1" t="str">
        <f>_xlfn.XLOOKUP(OfficeForms.Table[[#This Row],[CHAVE LINK POLO]],'[1]Quadro Geral de Lotação'!$B:$B,'[1]Quadro Geral de Lotação'!$I:$I)</f>
        <v>Lucas Soares De Medeiros</v>
      </c>
      <c r="DY12" s="1" t="str">
        <f>OfficeForms.Table[[#This Row],[Selecione a Ordem de Disciplina]]</f>
        <v>Ordem 1</v>
      </c>
    </row>
    <row r="13" spans="1:129" ht="34.15" customHeight="1">
      <c r="A13" s="1">
        <v>13</v>
      </c>
      <c r="B13" s="2">
        <v>46074.3578472222</v>
      </c>
      <c r="C13" s="2">
        <v>46074.409675925897</v>
      </c>
      <c r="D13" s="3" t="s">
        <v>191</v>
      </c>
      <c r="E13" s="3" t="s">
        <v>192</v>
      </c>
      <c r="G13" s="3"/>
      <c r="I13" s="3" t="s">
        <v>193</v>
      </c>
      <c r="K13" s="3"/>
      <c r="L13" s="1" t="s">
        <v>132</v>
      </c>
      <c r="O13" s="3" t="s">
        <v>184</v>
      </c>
      <c r="Q13" s="3"/>
      <c r="R13" s="3"/>
      <c r="T13" s="3"/>
      <c r="U13" s="5"/>
      <c r="W13" s="3"/>
      <c r="Z13" s="3"/>
      <c r="AA13" s="3"/>
      <c r="AC13" s="3"/>
      <c r="AD13" s="3"/>
      <c r="AF13" s="3"/>
      <c r="AG13" s="3" t="s">
        <v>194</v>
      </c>
      <c r="AI13" s="3"/>
      <c r="AJ13" s="1">
        <v>46074</v>
      </c>
      <c r="AL13" s="3"/>
      <c r="AM13" s="1">
        <v>1</v>
      </c>
      <c r="AO13" s="3"/>
      <c r="AP13" s="3" t="s">
        <v>195</v>
      </c>
      <c r="AR13" s="3"/>
      <c r="AS13" s="3" t="s">
        <v>196</v>
      </c>
      <c r="AU13" s="3"/>
      <c r="AV13" s="3"/>
      <c r="AX13" s="3"/>
      <c r="AY13" s="5"/>
      <c r="BA13" s="3"/>
      <c r="BD13" s="3"/>
      <c r="BE13" s="3"/>
      <c r="BG13" s="3"/>
      <c r="BH13" s="3"/>
      <c r="BJ13" s="3"/>
      <c r="BK13" s="3"/>
      <c r="BM13" s="3"/>
      <c r="BN13" s="5"/>
      <c r="BP13" s="3"/>
      <c r="BS13" s="3"/>
      <c r="BT13" s="3"/>
      <c r="BV13" s="3"/>
      <c r="BW13" s="3"/>
      <c r="BY13" s="3"/>
      <c r="BZ13" s="3"/>
      <c r="CB13" s="3"/>
      <c r="CC13" s="5"/>
      <c r="CE13" s="3"/>
      <c r="CH13" s="3"/>
      <c r="CI13" s="3"/>
      <c r="CK13" s="3"/>
      <c r="CL13" s="3"/>
      <c r="CN13" s="3"/>
      <c r="CO13" s="3"/>
      <c r="CQ13" s="3"/>
      <c r="CR13" s="5"/>
      <c r="CT13" s="3"/>
      <c r="CW13" s="3"/>
      <c r="CX13" s="3"/>
      <c r="CZ13" s="3"/>
      <c r="DA13" s="3"/>
      <c r="DC13" s="3"/>
      <c r="DD13" s="3"/>
      <c r="DF13" s="3"/>
      <c r="DG13" s="5"/>
      <c r="DI13" s="3"/>
      <c r="DL13" s="3"/>
      <c r="DM13" s="3"/>
      <c r="DO13" s="3"/>
      <c r="DP13" s="3"/>
      <c r="DR13" s="3"/>
      <c r="DS13" s="1" t="str">
        <f>_xlfn.XLOOKUP(OfficeForms.Table[[#This Row],[Selecione a Categoria do Laboratório desta atividade prática:]],Planilha1!A:A,Planilha1!B:B)</f>
        <v>EMF-ISN</v>
      </c>
      <c r="DT13" s="1" t="str">
        <f>CONCATENATE(OfficeForms.Table[[#This Row],[Selecione seu Polo Laboratório de Atividades Presenciais:]],OfficeForms.Table[[#This Row],[CHAVE CONVERSÃO]])</f>
        <v>Ananindeua/PA - Cidade NovaEMF-ISN</v>
      </c>
      <c r="DU1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1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3" s="1" t="str">
        <f>_xlfn.XLOOKUP(OfficeForms.Table[[#This Row],[CHAVE LINK POLO]],'[1]Quadro Geral de Lotação'!$B:$B,'[1]Quadro Geral de Lotação'!$I:$I)</f>
        <v>Alina Dariane Freitas Da Silva</v>
      </c>
      <c r="DY13" s="1" t="str">
        <f>OfficeForms.Table[[#This Row],[Selecione a Ordem de Disciplina]]</f>
        <v>Ordem 1</v>
      </c>
    </row>
    <row r="14" spans="1:129" ht="34.15" customHeight="1">
      <c r="A14" s="1">
        <v>14</v>
      </c>
      <c r="B14" s="2">
        <v>46074.472395833298</v>
      </c>
      <c r="C14" s="2">
        <v>46074.4743171296</v>
      </c>
      <c r="D14" s="3" t="s">
        <v>197</v>
      </c>
      <c r="E14" s="3" t="s">
        <v>198</v>
      </c>
      <c r="G14" s="3"/>
      <c r="I14" s="3" t="s">
        <v>199</v>
      </c>
      <c r="K14" s="3"/>
      <c r="L14" s="1" t="s">
        <v>132</v>
      </c>
      <c r="O14" s="3" t="s">
        <v>177</v>
      </c>
      <c r="Q14" s="3"/>
      <c r="R14" s="3"/>
      <c r="T14" s="3"/>
      <c r="U14" s="5"/>
      <c r="W14" s="3"/>
      <c r="Z14" s="3"/>
      <c r="AA14" s="3"/>
      <c r="AC14" s="3"/>
      <c r="AD14" s="3"/>
      <c r="AF14" s="3"/>
      <c r="AG14" s="3"/>
      <c r="AI14" s="3"/>
      <c r="AJ14" s="1"/>
      <c r="AL14" s="3"/>
      <c r="AO14" s="3"/>
      <c r="AP14" s="3"/>
      <c r="AR14" s="3"/>
      <c r="AS14" s="3"/>
      <c r="AU14" s="3"/>
      <c r="AV14" s="3"/>
      <c r="AX14" s="3"/>
      <c r="AY14" s="5"/>
      <c r="BA14" s="3"/>
      <c r="BD14" s="3"/>
      <c r="BE14" s="3"/>
      <c r="BG14" s="3"/>
      <c r="BH14" s="3"/>
      <c r="BJ14" s="3"/>
      <c r="BK14" s="3"/>
      <c r="BM14" s="3"/>
      <c r="BN14" s="5"/>
      <c r="BP14" s="3"/>
      <c r="BS14" s="3"/>
      <c r="BT14" s="3"/>
      <c r="BV14" s="3"/>
      <c r="BW14" s="3"/>
      <c r="BY14" s="3"/>
      <c r="BZ14" s="3"/>
      <c r="CB14" s="3"/>
      <c r="CC14" s="5"/>
      <c r="CE14" s="3"/>
      <c r="CH14" s="3"/>
      <c r="CI14" s="3"/>
      <c r="CK14" s="3"/>
      <c r="CL14" s="3"/>
      <c r="CN14" s="3"/>
      <c r="CO14" s="3"/>
      <c r="CQ14" s="3"/>
      <c r="CR14" s="5"/>
      <c r="CT14" s="3"/>
      <c r="CW14" s="3"/>
      <c r="CX14" s="3"/>
      <c r="CZ14" s="3"/>
      <c r="DA14" s="3"/>
      <c r="DC14" s="3"/>
      <c r="DD14" s="3" t="s">
        <v>200</v>
      </c>
      <c r="DF14" s="3"/>
      <c r="DG14" s="5">
        <v>46074</v>
      </c>
      <c r="DI14" s="3"/>
      <c r="DJ14" s="1">
        <v>1</v>
      </c>
      <c r="DL14" s="3"/>
      <c r="DM14" s="3" t="s">
        <v>201</v>
      </c>
      <c r="DO14" s="3"/>
      <c r="DP14" s="3" t="s">
        <v>202</v>
      </c>
      <c r="DR14" s="3"/>
      <c r="DS14" s="1" t="str">
        <f>_xlfn.XLOOKUP(OfficeForms.Table[[#This Row],[Selecione a Categoria do Laboratório desta atividade prática:]],Planilha1!A:A,Planilha1!B:B)</f>
        <v>AGM</v>
      </c>
      <c r="DT14" s="1" t="str">
        <f>CONCATENATE(OfficeForms.Table[[#This Row],[Selecione seu Polo Laboratório de Atividades Presenciais:]],OfficeForms.Table[[#This Row],[CHAVE CONVERSÃO]])</f>
        <v>Alagoinhas/BAAGM</v>
      </c>
      <c r="DU1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Métodos de determinação da fertilidade do solo</v>
      </c>
      <c r="DV1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1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4" s="1" t="str">
        <f>_xlfn.XLOOKUP(OfficeForms.Table[[#This Row],[CHAVE LINK POLO]],'[1]Quadro Geral de Lotação'!$B:$B,'[1]Quadro Geral de Lotação'!$I:$I)</f>
        <v>Vitor Batista Pinheiro</v>
      </c>
      <c r="DY14" s="1" t="str">
        <f>OfficeForms.Table[[#This Row],[Selecione a Ordem de Disciplina]]</f>
        <v>Ordem 1</v>
      </c>
    </row>
    <row r="15" spans="1:129" ht="34.15" customHeight="1">
      <c r="A15" s="1">
        <v>15</v>
      </c>
      <c r="B15" s="2">
        <v>46074.5672569444</v>
      </c>
      <c r="C15" s="2">
        <v>46074.586412037002</v>
      </c>
      <c r="D15" s="3" t="s">
        <v>203</v>
      </c>
      <c r="E15" s="3" t="s">
        <v>204</v>
      </c>
      <c r="G15" s="3"/>
      <c r="I15" s="3" t="s">
        <v>205</v>
      </c>
      <c r="K15" s="3"/>
      <c r="L15" s="1" t="s">
        <v>132</v>
      </c>
      <c r="O15" s="3" t="s">
        <v>184</v>
      </c>
      <c r="Q15" s="3"/>
      <c r="R15" s="3"/>
      <c r="T15" s="3"/>
      <c r="U15" s="5"/>
      <c r="W15" s="3"/>
      <c r="Z15" s="3"/>
      <c r="AA15" s="3"/>
      <c r="AC15" s="3"/>
      <c r="AD15" s="3"/>
      <c r="AF15" s="3"/>
      <c r="AG15" s="3" t="s">
        <v>206</v>
      </c>
      <c r="AI15" s="3"/>
      <c r="AJ15" s="1">
        <v>46072</v>
      </c>
      <c r="AL15" s="3"/>
      <c r="AM15" s="1">
        <v>4</v>
      </c>
      <c r="AO15" s="3"/>
      <c r="AP15" s="3" t="s">
        <v>207</v>
      </c>
      <c r="AR15" s="3"/>
      <c r="AS15" s="3" t="s">
        <v>208</v>
      </c>
      <c r="AU15" s="3"/>
      <c r="AV15" s="3"/>
      <c r="AX15" s="3"/>
      <c r="AY15" s="5"/>
      <c r="BA15" s="3"/>
      <c r="BD15" s="3"/>
      <c r="BE15" s="3"/>
      <c r="BG15" s="3"/>
      <c r="BH15" s="3"/>
      <c r="BJ15" s="3"/>
      <c r="BK15" s="3"/>
      <c r="BM15" s="3"/>
      <c r="BN15" s="5"/>
      <c r="BP15" s="3"/>
      <c r="BS15" s="3"/>
      <c r="BT15" s="3"/>
      <c r="BV15" s="3"/>
      <c r="BW15" s="3"/>
      <c r="BY15" s="3"/>
      <c r="BZ15" s="3"/>
      <c r="CB15" s="3"/>
      <c r="CC15" s="5"/>
      <c r="CE15" s="3"/>
      <c r="CH15" s="3"/>
      <c r="CI15" s="3"/>
      <c r="CK15" s="3"/>
      <c r="CL15" s="3"/>
      <c r="CN15" s="3"/>
      <c r="CO15" s="3"/>
      <c r="CQ15" s="3"/>
      <c r="CR15" s="5"/>
      <c r="CT15" s="3"/>
      <c r="CW15" s="3"/>
      <c r="CX15" s="3"/>
      <c r="CZ15" s="3"/>
      <c r="DA15" s="3"/>
      <c r="DC15" s="3"/>
      <c r="DD15" s="3"/>
      <c r="DF15" s="3"/>
      <c r="DG15" s="5"/>
      <c r="DI15" s="3"/>
      <c r="DL15" s="3"/>
      <c r="DM15" s="3"/>
      <c r="DO15" s="3"/>
      <c r="DP15" s="3"/>
      <c r="DR15" s="3"/>
      <c r="DS15" s="1" t="str">
        <f>_xlfn.XLOOKUP(OfficeForms.Table[[#This Row],[Selecione a Categoria do Laboratório desta atividade prática:]],Planilha1!A:A,Planilha1!B:B)</f>
        <v>EMF-ISN</v>
      </c>
      <c r="DT15" s="1" t="str">
        <f>CONCATENATE(OfficeForms.Table[[#This Row],[Selecione seu Polo Laboratório de Atividades Presenciais:]],OfficeForms.Table[[#This Row],[CHAVE CONVERSÃO]])</f>
        <v>Rolim de Moura/ROEMF-ISN</v>
      </c>
      <c r="DU1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1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1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15" s="1" t="str">
        <f>_xlfn.XLOOKUP(OfficeForms.Table[[#This Row],[CHAVE LINK POLO]],'[1]Quadro Geral de Lotação'!$B:$B,'[1]Quadro Geral de Lotação'!$I:$I)</f>
        <v>Quezia Da Silva Dos Anjos Da Silva</v>
      </c>
      <c r="DY15" s="1" t="str">
        <f>OfficeForms.Table[[#This Row],[Selecione a Ordem de Disciplina]]</f>
        <v>Ordem 1</v>
      </c>
    </row>
    <row r="16" spans="1:129" ht="34.15" customHeight="1">
      <c r="A16" s="1">
        <v>16</v>
      </c>
      <c r="B16" s="2">
        <v>46074.590196759302</v>
      </c>
      <c r="C16" s="2">
        <v>46074.592071759304</v>
      </c>
      <c r="D16" s="3" t="s">
        <v>203</v>
      </c>
      <c r="E16" s="3" t="s">
        <v>204</v>
      </c>
      <c r="G16" s="3"/>
      <c r="I16" s="3" t="s">
        <v>205</v>
      </c>
      <c r="K16" s="3"/>
      <c r="L16" s="1" t="s">
        <v>132</v>
      </c>
      <c r="O16" s="3" t="s">
        <v>184</v>
      </c>
      <c r="Q16" s="3"/>
      <c r="R16" s="3"/>
      <c r="T16" s="3"/>
      <c r="U16" s="5"/>
      <c r="W16" s="3"/>
      <c r="Z16" s="3"/>
      <c r="AA16" s="3"/>
      <c r="AC16" s="3"/>
      <c r="AD16" s="3"/>
      <c r="AF16" s="3"/>
      <c r="AG16" s="3" t="s">
        <v>185</v>
      </c>
      <c r="AI16" s="3"/>
      <c r="AJ16" s="1">
        <v>46072</v>
      </c>
      <c r="AL16" s="3"/>
      <c r="AM16" s="1">
        <v>4</v>
      </c>
      <c r="AO16" s="3"/>
      <c r="AP16" s="3" t="s">
        <v>209</v>
      </c>
      <c r="AR16" s="3"/>
      <c r="AS16" s="3" t="s">
        <v>210</v>
      </c>
      <c r="AU16" s="3"/>
      <c r="AV16" s="3"/>
      <c r="AX16" s="3"/>
      <c r="AY16" s="5"/>
      <c r="BA16" s="3"/>
      <c r="BD16" s="3"/>
      <c r="BE16" s="3"/>
      <c r="BG16" s="3"/>
      <c r="BH16" s="3"/>
      <c r="BJ16" s="3"/>
      <c r="BK16" s="3"/>
      <c r="BM16" s="3"/>
      <c r="BN16" s="5"/>
      <c r="BP16" s="3"/>
      <c r="BS16" s="3"/>
      <c r="BT16" s="3"/>
      <c r="BV16" s="3"/>
      <c r="BW16" s="3"/>
      <c r="BY16" s="3"/>
      <c r="BZ16" s="3"/>
      <c r="CB16" s="3"/>
      <c r="CC16" s="5"/>
      <c r="CE16" s="3"/>
      <c r="CH16" s="3"/>
      <c r="CI16" s="3"/>
      <c r="CK16" s="3"/>
      <c r="CL16" s="3"/>
      <c r="CN16" s="3"/>
      <c r="CO16" s="3"/>
      <c r="CQ16" s="3"/>
      <c r="CR16" s="5"/>
      <c r="CT16" s="3"/>
      <c r="CW16" s="3"/>
      <c r="CX16" s="3"/>
      <c r="CZ16" s="3"/>
      <c r="DA16" s="3"/>
      <c r="DC16" s="3"/>
      <c r="DD16" s="3"/>
      <c r="DF16" s="3"/>
      <c r="DG16" s="5"/>
      <c r="DI16" s="3"/>
      <c r="DL16" s="3"/>
      <c r="DM16" s="3"/>
      <c r="DO16" s="3"/>
      <c r="DP16" s="3"/>
      <c r="DR16" s="3"/>
      <c r="DS16" s="1" t="str">
        <f>_xlfn.XLOOKUP(OfficeForms.Table[[#This Row],[Selecione a Categoria do Laboratório desta atividade prática:]],Planilha1!A:A,Planilha1!B:B)</f>
        <v>EMF-ISN</v>
      </c>
      <c r="DT16" s="1" t="str">
        <f>CONCATENATE(OfficeForms.Table[[#This Row],[Selecione seu Polo Laboratório de Atividades Presenciais:]],OfficeForms.Table[[#This Row],[CHAVE CONVERSÃO]])</f>
        <v>Rolim de Moura/ROEMF-ISN</v>
      </c>
      <c r="DU1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1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1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16" s="1" t="str">
        <f>_xlfn.XLOOKUP(OfficeForms.Table[[#This Row],[CHAVE LINK POLO]],'[1]Quadro Geral de Lotação'!$B:$B,'[1]Quadro Geral de Lotação'!$I:$I)</f>
        <v>Quezia Da Silva Dos Anjos Da Silva</v>
      </c>
      <c r="DY16" s="1" t="str">
        <f>OfficeForms.Table[[#This Row],[Selecione a Ordem de Disciplina]]</f>
        <v>Ordem 1</v>
      </c>
    </row>
    <row r="17" spans="1:129" ht="34.15" customHeight="1">
      <c r="A17" s="1">
        <v>17</v>
      </c>
      <c r="B17" s="2">
        <v>46074.595879629604</v>
      </c>
      <c r="C17" s="2">
        <v>46074.597569444399</v>
      </c>
      <c r="D17" s="3" t="s">
        <v>203</v>
      </c>
      <c r="E17" s="3" t="s">
        <v>204</v>
      </c>
      <c r="G17" s="3"/>
      <c r="I17" s="3" t="s">
        <v>205</v>
      </c>
      <c r="K17" s="3"/>
      <c r="L17" s="1" t="s">
        <v>132</v>
      </c>
      <c r="O17" s="3" t="s">
        <v>184</v>
      </c>
      <c r="Q17" s="3"/>
      <c r="R17" s="3"/>
      <c r="T17" s="3"/>
      <c r="U17" s="5"/>
      <c r="W17" s="3"/>
      <c r="Z17" s="3"/>
      <c r="AA17" s="3"/>
      <c r="AC17" s="3"/>
      <c r="AD17" s="3"/>
      <c r="AF17" s="3"/>
      <c r="AG17" s="3" t="s">
        <v>211</v>
      </c>
      <c r="AI17" s="3"/>
      <c r="AJ17" s="1">
        <v>46072</v>
      </c>
      <c r="AL17" s="3"/>
      <c r="AM17" s="1">
        <v>4</v>
      </c>
      <c r="AO17" s="3"/>
      <c r="AP17" s="3" t="s">
        <v>212</v>
      </c>
      <c r="AR17" s="3"/>
      <c r="AS17" s="3" t="s">
        <v>213</v>
      </c>
      <c r="AU17" s="3"/>
      <c r="AV17" s="3"/>
      <c r="AX17" s="3"/>
      <c r="AY17" s="5"/>
      <c r="BA17" s="3"/>
      <c r="BD17" s="3"/>
      <c r="BE17" s="3"/>
      <c r="BG17" s="3"/>
      <c r="BH17" s="3"/>
      <c r="BJ17" s="3"/>
      <c r="BK17" s="3"/>
      <c r="BM17" s="3"/>
      <c r="BN17" s="5"/>
      <c r="BP17" s="3"/>
      <c r="BS17" s="3"/>
      <c r="BT17" s="3"/>
      <c r="BV17" s="3"/>
      <c r="BW17" s="3"/>
      <c r="BY17" s="3"/>
      <c r="BZ17" s="3"/>
      <c r="CB17" s="3"/>
      <c r="CC17" s="5"/>
      <c r="CE17" s="3"/>
      <c r="CH17" s="3"/>
      <c r="CI17" s="3"/>
      <c r="CK17" s="3"/>
      <c r="CL17" s="3"/>
      <c r="CN17" s="3"/>
      <c r="CO17" s="3"/>
      <c r="CQ17" s="3"/>
      <c r="CR17" s="5"/>
      <c r="CT17" s="3"/>
      <c r="CW17" s="3"/>
      <c r="CX17" s="3"/>
      <c r="CZ17" s="3"/>
      <c r="DA17" s="3"/>
      <c r="DC17" s="3"/>
      <c r="DD17" s="3"/>
      <c r="DF17" s="3"/>
      <c r="DG17" s="5"/>
      <c r="DI17" s="3"/>
      <c r="DL17" s="3"/>
      <c r="DM17" s="3"/>
      <c r="DO17" s="3"/>
      <c r="DP17" s="3"/>
      <c r="DR17" s="3"/>
      <c r="DS17" s="1" t="str">
        <f>_xlfn.XLOOKUP(OfficeForms.Table[[#This Row],[Selecione a Categoria do Laboratório desta atividade prática:]],Planilha1!A:A,Planilha1!B:B)</f>
        <v>EMF-ISN</v>
      </c>
      <c r="DT17" s="1" t="str">
        <f>CONCATENATE(OfficeForms.Table[[#This Row],[Selecione seu Polo Laboratório de Atividades Presenciais:]],OfficeForms.Table[[#This Row],[CHAVE CONVERSÃO]])</f>
        <v>Rolim de Moura/ROEMF-ISN</v>
      </c>
      <c r="DU1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1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1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17" s="1" t="str">
        <f>_xlfn.XLOOKUP(OfficeForms.Table[[#This Row],[CHAVE LINK POLO]],'[1]Quadro Geral de Lotação'!$B:$B,'[1]Quadro Geral de Lotação'!$I:$I)</f>
        <v>Quezia Da Silva Dos Anjos Da Silva</v>
      </c>
      <c r="DY17" s="1" t="str">
        <f>OfficeForms.Table[[#This Row],[Selecione a Ordem de Disciplina]]</f>
        <v>Ordem 1</v>
      </c>
    </row>
    <row r="18" spans="1:129" ht="34.15" customHeight="1">
      <c r="A18" s="1">
        <v>18</v>
      </c>
      <c r="B18" s="2">
        <v>46074.7811574074</v>
      </c>
      <c r="C18" s="2">
        <v>46074.785300925898</v>
      </c>
      <c r="D18" s="3" t="s">
        <v>214</v>
      </c>
      <c r="E18" s="3" t="s">
        <v>215</v>
      </c>
      <c r="G18" s="3"/>
      <c r="I18" s="3" t="s">
        <v>216</v>
      </c>
      <c r="K18" s="3"/>
      <c r="L18" s="1" t="s">
        <v>132</v>
      </c>
      <c r="O18" s="3" t="s">
        <v>133</v>
      </c>
      <c r="Q18" s="3"/>
      <c r="R18" s="3"/>
      <c r="T18" s="3"/>
      <c r="U18" s="5"/>
      <c r="W18" s="3"/>
      <c r="Z18" s="3"/>
      <c r="AA18" s="3"/>
      <c r="AC18" s="3"/>
      <c r="AD18" s="3"/>
      <c r="AF18" s="3"/>
      <c r="AG18" s="3"/>
      <c r="AI18" s="3"/>
      <c r="AJ18" s="1"/>
      <c r="AL18" s="3"/>
      <c r="AO18" s="3"/>
      <c r="AP18" s="3"/>
      <c r="AR18" s="3"/>
      <c r="AS18" s="3"/>
      <c r="AU18" s="3"/>
      <c r="AV18" s="3" t="s">
        <v>134</v>
      </c>
      <c r="AX18" s="3"/>
      <c r="AY18" s="5">
        <v>46071</v>
      </c>
      <c r="BA18" s="3"/>
      <c r="BB18" s="1">
        <v>2</v>
      </c>
      <c r="BD18" s="3"/>
      <c r="BE18" s="3" t="s">
        <v>217</v>
      </c>
      <c r="BG18" s="3"/>
      <c r="BH18" s="3" t="s">
        <v>218</v>
      </c>
      <c r="BJ18" s="3"/>
      <c r="BK18" s="3"/>
      <c r="BM18" s="3"/>
      <c r="BN18" s="5"/>
      <c r="BP18" s="3"/>
      <c r="BS18" s="3"/>
      <c r="BT18" s="3"/>
      <c r="BV18" s="3"/>
      <c r="BW18" s="3"/>
      <c r="BY18" s="3"/>
      <c r="BZ18" s="3"/>
      <c r="CB18" s="3"/>
      <c r="CC18" s="5"/>
      <c r="CE18" s="3"/>
      <c r="CH18" s="3"/>
      <c r="CI18" s="3"/>
      <c r="CK18" s="3"/>
      <c r="CL18" s="3"/>
      <c r="CN18" s="3"/>
      <c r="CO18" s="3"/>
      <c r="CQ18" s="3"/>
      <c r="CR18" s="5"/>
      <c r="CT18" s="3"/>
      <c r="CW18" s="3"/>
      <c r="CX18" s="3"/>
      <c r="CZ18" s="3"/>
      <c r="DA18" s="3"/>
      <c r="DC18" s="3"/>
      <c r="DD18" s="3"/>
      <c r="DF18" s="3"/>
      <c r="DG18" s="5"/>
      <c r="DI18" s="3"/>
      <c r="DL18" s="3"/>
      <c r="DM18" s="3"/>
      <c r="DO18" s="3"/>
      <c r="DP18" s="3"/>
      <c r="DR18" s="3"/>
      <c r="DS18" s="1" t="str">
        <f>_xlfn.XLOOKUP(OfficeForms.Table[[#This Row],[Selecione a Categoria do Laboratório desta atividade prática:]],Planilha1!A:A,Planilha1!B:B)</f>
        <v>BFI</v>
      </c>
      <c r="DT18" s="1" t="str">
        <f>CONCATENATE(OfficeForms.Table[[#This Row],[Selecione seu Polo Laboratório de Atividades Presenciais:]],OfficeForms.Table[[#This Row],[CHAVE CONVERSÃO]])</f>
        <v>Feira De Santana/BA - CentroBFI</v>
      </c>
      <c r="DU1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Geral Terapêutica: Técnicas e Aplicações em Recursos Manuais</v>
      </c>
      <c r="DV1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1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8" s="1" t="str">
        <f>_xlfn.XLOOKUP(OfficeForms.Table[[#This Row],[CHAVE LINK POLO]],'[1]Quadro Geral de Lotação'!$B:$B,'[1]Quadro Geral de Lotação'!$I:$I)</f>
        <v>Clara Oliveira E Oliveira</v>
      </c>
      <c r="DY18" s="1" t="str">
        <f>OfficeForms.Table[[#This Row],[Selecione a Ordem de Disciplina]]</f>
        <v>Ordem 1</v>
      </c>
    </row>
    <row r="19" spans="1:129" ht="34.15" customHeight="1">
      <c r="A19" s="1">
        <v>19</v>
      </c>
      <c r="B19" s="2">
        <v>46074.790798611102</v>
      </c>
      <c r="C19" s="2">
        <v>46074.792222222197</v>
      </c>
      <c r="D19" s="3" t="s">
        <v>214</v>
      </c>
      <c r="E19" s="3" t="s">
        <v>215</v>
      </c>
      <c r="G19" s="3"/>
      <c r="I19" s="3" t="s">
        <v>216</v>
      </c>
      <c r="K19" s="3"/>
      <c r="L19" s="1" t="s">
        <v>132</v>
      </c>
      <c r="O19" s="3" t="s">
        <v>133</v>
      </c>
      <c r="Q19" s="3"/>
      <c r="R19" s="3"/>
      <c r="T19" s="3"/>
      <c r="U19" s="5"/>
      <c r="W19" s="3"/>
      <c r="Z19" s="3"/>
      <c r="AA19" s="3"/>
      <c r="AC19" s="3"/>
      <c r="AD19" s="3"/>
      <c r="AF19" s="3"/>
      <c r="AG19" s="3"/>
      <c r="AI19" s="3"/>
      <c r="AJ19" s="1"/>
      <c r="AL19" s="3"/>
      <c r="AO19" s="3"/>
      <c r="AP19" s="3"/>
      <c r="AR19" s="3"/>
      <c r="AS19" s="3"/>
      <c r="AU19" s="3"/>
      <c r="AV19" s="3" t="s">
        <v>188</v>
      </c>
      <c r="AX19" s="3"/>
      <c r="AY19" s="5">
        <v>46071</v>
      </c>
      <c r="BA19" s="3"/>
      <c r="BB19" s="1">
        <v>2</v>
      </c>
      <c r="BD19" s="3"/>
      <c r="BE19" s="3" t="s">
        <v>219</v>
      </c>
      <c r="BG19" s="3"/>
      <c r="BH19" s="3" t="s">
        <v>220</v>
      </c>
      <c r="BJ19" s="3"/>
      <c r="BK19" s="3"/>
      <c r="BM19" s="3"/>
      <c r="BN19" s="5"/>
      <c r="BP19" s="3"/>
      <c r="BS19" s="3"/>
      <c r="BT19" s="3"/>
      <c r="BV19" s="3"/>
      <c r="BW19" s="3"/>
      <c r="BY19" s="3"/>
      <c r="BZ19" s="3"/>
      <c r="CB19" s="3"/>
      <c r="CC19" s="5"/>
      <c r="CE19" s="3"/>
      <c r="CH19" s="3"/>
      <c r="CI19" s="3"/>
      <c r="CK19" s="3"/>
      <c r="CL19" s="3"/>
      <c r="CN19" s="3"/>
      <c r="CO19" s="3"/>
      <c r="CQ19" s="3"/>
      <c r="CR19" s="5"/>
      <c r="CT19" s="3"/>
      <c r="CW19" s="3"/>
      <c r="CX19" s="3"/>
      <c r="CZ19" s="3"/>
      <c r="DA19" s="3"/>
      <c r="DC19" s="3"/>
      <c r="DD19" s="3"/>
      <c r="DF19" s="3"/>
      <c r="DG19" s="5"/>
      <c r="DI19" s="3"/>
      <c r="DL19" s="3"/>
      <c r="DM19" s="3"/>
      <c r="DO19" s="3"/>
      <c r="DP19" s="3"/>
      <c r="DR19" s="3"/>
      <c r="DS19" s="1" t="str">
        <f>_xlfn.XLOOKUP(OfficeForms.Table[[#This Row],[Selecione a Categoria do Laboratório desta atividade prática:]],Planilha1!A:A,Planilha1!B:B)</f>
        <v>BFI</v>
      </c>
      <c r="DT19" s="1" t="str">
        <f>CONCATENATE(OfficeForms.Table[[#This Row],[Selecione seu Polo Laboratório de Atividades Presenciais:]],OfficeForms.Table[[#This Row],[CHAVE CONVERSÃO]])</f>
        <v>Feira De Santana/BA - CentroBFI</v>
      </c>
      <c r="DU1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Drenagem Linfática</v>
      </c>
      <c r="DV1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1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9" s="1" t="str">
        <f>_xlfn.XLOOKUP(OfficeForms.Table[[#This Row],[CHAVE LINK POLO]],'[1]Quadro Geral de Lotação'!$B:$B,'[1]Quadro Geral de Lotação'!$I:$I)</f>
        <v>Clara Oliveira E Oliveira</v>
      </c>
      <c r="DY19" s="1" t="str">
        <f>OfficeForms.Table[[#This Row],[Selecione a Ordem de Disciplina]]</f>
        <v>Ordem 1</v>
      </c>
    </row>
    <row r="20" spans="1:129" ht="34.15" customHeight="1">
      <c r="A20" s="1">
        <v>20</v>
      </c>
      <c r="B20" s="2">
        <v>46075.4515972222</v>
      </c>
      <c r="C20" s="2">
        <v>46075.4534837963</v>
      </c>
      <c r="D20" s="3" t="s">
        <v>221</v>
      </c>
      <c r="E20" s="3" t="s">
        <v>222</v>
      </c>
      <c r="G20" s="3"/>
      <c r="I20" s="3" t="s">
        <v>223</v>
      </c>
      <c r="K20" s="3"/>
      <c r="L20" s="1" t="s">
        <v>132</v>
      </c>
      <c r="O20" s="3" t="s">
        <v>184</v>
      </c>
      <c r="Q20" s="3"/>
      <c r="R20" s="3"/>
      <c r="T20" s="3"/>
      <c r="U20" s="5"/>
      <c r="W20" s="3"/>
      <c r="Z20" s="3"/>
      <c r="AA20" s="3"/>
      <c r="AC20" s="3"/>
      <c r="AD20" s="3"/>
      <c r="AF20" s="3"/>
      <c r="AG20" s="3" t="s">
        <v>224</v>
      </c>
      <c r="AI20" s="3"/>
      <c r="AJ20" s="1">
        <v>46071</v>
      </c>
      <c r="AL20" s="3"/>
      <c r="AM20" s="1">
        <v>2</v>
      </c>
      <c r="AO20" s="3"/>
      <c r="AP20" s="3" t="s">
        <v>225</v>
      </c>
      <c r="AR20" s="3"/>
      <c r="AS20" s="3" t="s">
        <v>226</v>
      </c>
      <c r="AU20" s="3"/>
      <c r="AV20" s="3"/>
      <c r="AX20" s="3"/>
      <c r="AY20" s="5"/>
      <c r="BA20" s="3"/>
      <c r="BD20" s="3"/>
      <c r="BE20" s="3"/>
      <c r="BG20" s="3"/>
      <c r="BH20" s="3"/>
      <c r="BJ20" s="3"/>
      <c r="BK20" s="3"/>
      <c r="BM20" s="3"/>
      <c r="BN20" s="5"/>
      <c r="BP20" s="3"/>
      <c r="BS20" s="3"/>
      <c r="BT20" s="3"/>
      <c r="BV20" s="3"/>
      <c r="BW20" s="3"/>
      <c r="BY20" s="3"/>
      <c r="BZ20" s="3"/>
      <c r="CB20" s="3"/>
      <c r="CC20" s="5"/>
      <c r="CE20" s="3"/>
      <c r="CH20" s="3"/>
      <c r="CI20" s="3"/>
      <c r="CK20" s="3"/>
      <c r="CL20" s="3"/>
      <c r="CN20" s="3"/>
      <c r="CO20" s="3"/>
      <c r="CQ20" s="3"/>
      <c r="CR20" s="5"/>
      <c r="CT20" s="3"/>
      <c r="CW20" s="3"/>
      <c r="CX20" s="3"/>
      <c r="CZ20" s="3"/>
      <c r="DA20" s="3"/>
      <c r="DC20" s="3"/>
      <c r="DD20" s="3"/>
      <c r="DF20" s="3"/>
      <c r="DG20" s="5"/>
      <c r="DI20" s="3"/>
      <c r="DL20" s="3"/>
      <c r="DM20" s="3"/>
      <c r="DO20" s="3"/>
      <c r="DP20" s="3"/>
      <c r="DR20" s="3"/>
      <c r="DS20" s="1" t="str">
        <f>_xlfn.XLOOKUP(OfficeForms.Table[[#This Row],[Selecione a Categoria do Laboratório desta atividade prática:]],Planilha1!A:A,Planilha1!B:B)</f>
        <v>EMF-ISN</v>
      </c>
      <c r="DT20" s="1" t="str">
        <f>CONCATENATE(OfficeForms.Table[[#This Row],[Selecione seu Polo Laboratório de Atividades Presenciais:]],OfficeForms.Table[[#This Row],[CHAVE CONVERSÃO]])</f>
        <v>Presidente Prudente/SP - Jardim GuanabaraEMF-ISN</v>
      </c>
      <c r="DU2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2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2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20" s="1" t="str">
        <f>_xlfn.XLOOKUP(OfficeForms.Table[[#This Row],[CHAVE LINK POLO]],'[1]Quadro Geral de Lotação'!$B:$B,'[1]Quadro Geral de Lotação'!$I:$I)</f>
        <v>Aquiles Gonzales De Andrade</v>
      </c>
      <c r="DY20" s="1" t="str">
        <f>OfficeForms.Table[[#This Row],[Selecione a Ordem de Disciplina]]</f>
        <v>Ordem 1</v>
      </c>
    </row>
    <row r="21" spans="1:129" ht="34.15" customHeight="1">
      <c r="A21" s="1">
        <v>21</v>
      </c>
      <c r="B21" s="2">
        <v>46075.519490740699</v>
      </c>
      <c r="C21" s="2">
        <v>46075.5299421296</v>
      </c>
      <c r="D21" s="3" t="s">
        <v>227</v>
      </c>
      <c r="E21" s="3" t="s">
        <v>228</v>
      </c>
      <c r="G21" s="3"/>
      <c r="I21" s="3" t="s">
        <v>229</v>
      </c>
      <c r="K21" s="3"/>
      <c r="L21" s="1" t="s">
        <v>132</v>
      </c>
      <c r="O21" s="3" t="s">
        <v>184</v>
      </c>
      <c r="Q21" s="3"/>
      <c r="R21" s="3"/>
      <c r="T21" s="3"/>
      <c r="U21" s="5"/>
      <c r="W21" s="3"/>
      <c r="Z21" s="3"/>
      <c r="AA21" s="3"/>
      <c r="AC21" s="3"/>
      <c r="AD21" s="3"/>
      <c r="AF21" s="3"/>
      <c r="AG21" s="3" t="s">
        <v>224</v>
      </c>
      <c r="AI21" s="3"/>
      <c r="AJ21" s="1">
        <v>46074</v>
      </c>
      <c r="AL21" s="3"/>
      <c r="AM21" s="1">
        <v>4</v>
      </c>
      <c r="AO21" s="3"/>
      <c r="AP21" s="3" t="s">
        <v>230</v>
      </c>
      <c r="AR21" s="3"/>
      <c r="AS21" s="3" t="s">
        <v>231</v>
      </c>
      <c r="AU21" s="3"/>
      <c r="AV21" s="3"/>
      <c r="AX21" s="3"/>
      <c r="AY21" s="5"/>
      <c r="BA21" s="3"/>
      <c r="BD21" s="3"/>
      <c r="BE21" s="3"/>
      <c r="BG21" s="3"/>
      <c r="BH21" s="3"/>
      <c r="BJ21" s="3"/>
      <c r="BK21" s="3"/>
      <c r="BM21" s="3"/>
      <c r="BN21" s="5"/>
      <c r="BP21" s="3"/>
      <c r="BS21" s="3"/>
      <c r="BT21" s="3"/>
      <c r="BV21" s="3"/>
      <c r="BW21" s="3"/>
      <c r="BY21" s="3"/>
      <c r="BZ21" s="3"/>
      <c r="CB21" s="3"/>
      <c r="CC21" s="5"/>
      <c r="CE21" s="3"/>
      <c r="CH21" s="3"/>
      <c r="CI21" s="3"/>
      <c r="CK21" s="3"/>
      <c r="CL21" s="3"/>
      <c r="CN21" s="3"/>
      <c r="CO21" s="3"/>
      <c r="CQ21" s="3"/>
      <c r="CR21" s="5"/>
      <c r="CT21" s="3"/>
      <c r="CW21" s="3"/>
      <c r="CX21" s="3"/>
      <c r="CZ21" s="3"/>
      <c r="DA21" s="3"/>
      <c r="DC21" s="3"/>
      <c r="DD21" s="3"/>
      <c r="DF21" s="3"/>
      <c r="DG21" s="5"/>
      <c r="DI21" s="3"/>
      <c r="DL21" s="3"/>
      <c r="DM21" s="3"/>
      <c r="DO21" s="3"/>
      <c r="DP21" s="3"/>
      <c r="DR21" s="3"/>
      <c r="DS21" s="1" t="str">
        <f>_xlfn.XLOOKUP(OfficeForms.Table[[#This Row],[Selecione a Categoria do Laboratório desta atividade prática:]],Planilha1!A:A,Planilha1!B:B)</f>
        <v>EMF-ISN</v>
      </c>
      <c r="DT21" s="1" t="str">
        <f>CONCATENATE(OfficeForms.Table[[#This Row],[Selecione seu Polo Laboratório de Atividades Presenciais:]],OfficeForms.Table[[#This Row],[CHAVE CONVERSÃO]])</f>
        <v>Lages/SC - CentroEMF-ISN</v>
      </c>
      <c r="DU2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2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2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1" s="1" t="str">
        <f>_xlfn.XLOOKUP(OfficeForms.Table[[#This Row],[CHAVE LINK POLO]],'[1]Quadro Geral de Lotação'!$B:$B,'[1]Quadro Geral de Lotação'!$I:$I)</f>
        <v>Daniela Madruga</v>
      </c>
      <c r="DY21" s="1" t="str">
        <f>OfficeForms.Table[[#This Row],[Selecione a Ordem de Disciplina]]</f>
        <v>Ordem 1</v>
      </c>
    </row>
    <row r="22" spans="1:129" ht="34.15" customHeight="1">
      <c r="A22" s="1">
        <v>22</v>
      </c>
      <c r="B22" s="2">
        <v>46075.639988425901</v>
      </c>
      <c r="C22" s="2">
        <v>46075.655995370398</v>
      </c>
      <c r="D22" s="3" t="s">
        <v>232</v>
      </c>
      <c r="E22" s="3" t="s">
        <v>233</v>
      </c>
      <c r="G22" s="3"/>
      <c r="I22" s="3" t="s">
        <v>234</v>
      </c>
      <c r="K22" s="3"/>
      <c r="L22" s="1" t="s">
        <v>132</v>
      </c>
      <c r="O22" s="3" t="s">
        <v>184</v>
      </c>
      <c r="Q22" s="3"/>
      <c r="R22" s="3"/>
      <c r="T22" s="3"/>
      <c r="U22" s="5"/>
      <c r="W22" s="3"/>
      <c r="Z22" s="3"/>
      <c r="AA22" s="3"/>
      <c r="AC22" s="3"/>
      <c r="AD22" s="3"/>
      <c r="AF22" s="3"/>
      <c r="AG22" s="3" t="s">
        <v>224</v>
      </c>
      <c r="AI22" s="3"/>
      <c r="AJ22" s="1">
        <v>46071</v>
      </c>
      <c r="AL22" s="3"/>
      <c r="AM22" s="1">
        <v>4</v>
      </c>
      <c r="AO22" s="3"/>
      <c r="AP22" s="3" t="s">
        <v>235</v>
      </c>
      <c r="AR22" s="3"/>
      <c r="AS22" s="3" t="s">
        <v>236</v>
      </c>
      <c r="AU22" s="3"/>
      <c r="AV22" s="3"/>
      <c r="AX22" s="3"/>
      <c r="AY22" s="5"/>
      <c r="BA22" s="3"/>
      <c r="BD22" s="3"/>
      <c r="BE22" s="3"/>
      <c r="BG22" s="3"/>
      <c r="BH22" s="3"/>
      <c r="BJ22" s="3"/>
      <c r="BK22" s="3"/>
      <c r="BM22" s="3"/>
      <c r="BN22" s="5"/>
      <c r="BP22" s="3"/>
      <c r="BS22" s="3"/>
      <c r="BT22" s="3"/>
      <c r="BV22" s="3"/>
      <c r="BW22" s="3"/>
      <c r="BY22" s="3"/>
      <c r="BZ22" s="3"/>
      <c r="CB22" s="3"/>
      <c r="CC22" s="5"/>
      <c r="CE22" s="3"/>
      <c r="CH22" s="3"/>
      <c r="CI22" s="3"/>
      <c r="CK22" s="3"/>
      <c r="CL22" s="3"/>
      <c r="CN22" s="3"/>
      <c r="CO22" s="3"/>
      <c r="CQ22" s="3"/>
      <c r="CR22" s="5"/>
      <c r="CT22" s="3"/>
      <c r="CW22" s="3"/>
      <c r="CX22" s="3"/>
      <c r="CZ22" s="3"/>
      <c r="DA22" s="3"/>
      <c r="DC22" s="3"/>
      <c r="DD22" s="3"/>
      <c r="DF22" s="3"/>
      <c r="DG22" s="5"/>
      <c r="DI22" s="3"/>
      <c r="DL22" s="3"/>
      <c r="DM22" s="3"/>
      <c r="DO22" s="3"/>
      <c r="DP22" s="3"/>
      <c r="DR22" s="3"/>
      <c r="DS22" s="1" t="str">
        <f>_xlfn.XLOOKUP(OfficeForms.Table[[#This Row],[Selecione a Categoria do Laboratório desta atividade prática:]],Planilha1!A:A,Planilha1!B:B)</f>
        <v>EMF-ISN</v>
      </c>
      <c r="DT22" s="1" t="str">
        <f>CONCATENATE(OfficeForms.Table[[#This Row],[Selecione seu Polo Laboratório de Atividades Presenciais:]],OfficeForms.Table[[#This Row],[CHAVE CONVERSÃO]])</f>
        <v>Santa Fé do Sul/SPEMF-ISN</v>
      </c>
      <c r="DU2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2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2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2" s="1" t="str">
        <f>_xlfn.XLOOKUP(OfficeForms.Table[[#This Row],[CHAVE LINK POLO]],'[1]Quadro Geral de Lotação'!$B:$B,'[1]Quadro Geral de Lotação'!$I:$I)</f>
        <v>Mariana Mirian Correia</v>
      </c>
      <c r="DY22" s="1" t="str">
        <f>OfficeForms.Table[[#This Row],[Selecione a Ordem de Disciplina]]</f>
        <v>Ordem 1</v>
      </c>
    </row>
    <row r="23" spans="1:129" ht="34.15" customHeight="1">
      <c r="A23" s="1">
        <v>23</v>
      </c>
      <c r="B23" s="2">
        <v>46076.326967592599</v>
      </c>
      <c r="C23" s="2">
        <v>46076.356377314798</v>
      </c>
      <c r="D23" s="3" t="s">
        <v>237</v>
      </c>
      <c r="E23" s="3" t="s">
        <v>238</v>
      </c>
      <c r="G23" s="3"/>
      <c r="I23" s="3" t="s">
        <v>239</v>
      </c>
      <c r="K23" s="3"/>
      <c r="L23" s="1" t="s">
        <v>132</v>
      </c>
      <c r="O23" s="3" t="s">
        <v>184</v>
      </c>
      <c r="Q23" s="3"/>
      <c r="R23" s="3"/>
      <c r="T23" s="3"/>
      <c r="U23" s="5"/>
      <c r="W23" s="3"/>
      <c r="Z23" s="3"/>
      <c r="AA23" s="3"/>
      <c r="AC23" s="3"/>
      <c r="AD23" s="3"/>
      <c r="AF23" s="3"/>
      <c r="AG23" s="3" t="s">
        <v>240</v>
      </c>
      <c r="AI23" s="3"/>
      <c r="AJ23" s="1">
        <v>46074</v>
      </c>
      <c r="AL23" s="3"/>
      <c r="AM23" s="1">
        <v>4</v>
      </c>
      <c r="AO23" s="3"/>
      <c r="AP23" s="3" t="s">
        <v>241</v>
      </c>
      <c r="AR23" s="3"/>
      <c r="AS23" s="3" t="s">
        <v>242</v>
      </c>
      <c r="AU23" s="3"/>
      <c r="AV23" s="3"/>
      <c r="AX23" s="3"/>
      <c r="AY23" s="5"/>
      <c r="BA23" s="3"/>
      <c r="BD23" s="3"/>
      <c r="BE23" s="3"/>
      <c r="BG23" s="3"/>
      <c r="BH23" s="3"/>
      <c r="BJ23" s="3"/>
      <c r="BK23" s="3"/>
      <c r="BM23" s="3"/>
      <c r="BN23" s="5"/>
      <c r="BP23" s="3"/>
      <c r="BS23" s="3"/>
      <c r="BT23" s="3"/>
      <c r="BV23" s="3"/>
      <c r="BW23" s="3"/>
      <c r="BY23" s="3"/>
      <c r="BZ23" s="3"/>
      <c r="CB23" s="3"/>
      <c r="CC23" s="5"/>
      <c r="CE23" s="3"/>
      <c r="CH23" s="3"/>
      <c r="CI23" s="3"/>
      <c r="CK23" s="3"/>
      <c r="CL23" s="3"/>
      <c r="CN23" s="3"/>
      <c r="CO23" s="3"/>
      <c r="CQ23" s="3"/>
      <c r="CR23" s="5"/>
      <c r="CT23" s="3"/>
      <c r="CW23" s="3"/>
      <c r="CX23" s="3"/>
      <c r="CZ23" s="3"/>
      <c r="DA23" s="3"/>
      <c r="DC23" s="3"/>
      <c r="DD23" s="3"/>
      <c r="DF23" s="3"/>
      <c r="DG23" s="5"/>
      <c r="DI23" s="3"/>
      <c r="DL23" s="3"/>
      <c r="DM23" s="3"/>
      <c r="DO23" s="3"/>
      <c r="DP23" s="3"/>
      <c r="DR23" s="3"/>
      <c r="DS23" s="1" t="str">
        <f>_xlfn.XLOOKUP(OfficeForms.Table[[#This Row],[Selecione a Categoria do Laboratório desta atividade prática:]],Planilha1!A:A,Planilha1!B:B)</f>
        <v>EMF-ISN</v>
      </c>
      <c r="DT23" s="1" t="str">
        <f>CONCATENATE(OfficeForms.Table[[#This Row],[Selecione seu Polo Laboratório de Atividades Presenciais:]],OfficeForms.Table[[#This Row],[CHAVE CONVERSÃO]])</f>
        <v>Itapecuru Mirim/MAEMF-ISN</v>
      </c>
      <c r="DU2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Curativo;Avaliação corporal + Ausculta pulmonar + Ausculta cardiaca + Verificação de sinais vitais</v>
      </c>
      <c r="DV2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2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3" s="1" t="str">
        <f>_xlfn.XLOOKUP(OfficeForms.Table[[#This Row],[CHAVE LINK POLO]],'[1]Quadro Geral de Lotação'!$B:$B,'[1]Quadro Geral de Lotação'!$I:$I)</f>
        <v>Deborah Da Silva Vasconcelos Ewerton</v>
      </c>
      <c r="DY23" s="1" t="str">
        <f>OfficeForms.Table[[#This Row],[Selecione a Ordem de Disciplina]]</f>
        <v>Ordem 1</v>
      </c>
    </row>
    <row r="24" spans="1:129" ht="34.15" customHeight="1">
      <c r="A24" s="1">
        <v>24</v>
      </c>
      <c r="B24" s="2">
        <v>46076.360405092601</v>
      </c>
      <c r="C24" s="2">
        <v>46076.362951388903</v>
      </c>
      <c r="D24" s="3" t="s">
        <v>243</v>
      </c>
      <c r="E24" s="3" t="s">
        <v>244</v>
      </c>
      <c r="G24" s="3"/>
      <c r="I24" s="3" t="s">
        <v>245</v>
      </c>
      <c r="K24" s="3"/>
      <c r="L24" s="1" t="s">
        <v>132</v>
      </c>
      <c r="O24" s="3" t="s">
        <v>184</v>
      </c>
      <c r="Q24" s="3"/>
      <c r="R24" s="3"/>
      <c r="T24" s="3"/>
      <c r="U24" s="5"/>
      <c r="W24" s="3"/>
      <c r="Z24" s="3"/>
      <c r="AA24" s="3"/>
      <c r="AC24" s="3"/>
      <c r="AD24" s="3"/>
      <c r="AF24" s="3"/>
      <c r="AG24" s="3" t="s">
        <v>185</v>
      </c>
      <c r="AI24" s="3"/>
      <c r="AJ24" s="1">
        <v>46074</v>
      </c>
      <c r="AL24" s="3"/>
      <c r="AM24" s="1">
        <v>1</v>
      </c>
      <c r="AO24" s="3"/>
      <c r="AP24" s="3" t="s">
        <v>246</v>
      </c>
      <c r="AR24" s="3"/>
      <c r="AS24" s="3" t="s">
        <v>247</v>
      </c>
      <c r="AU24" s="3"/>
      <c r="AV24" s="3"/>
      <c r="AX24" s="3"/>
      <c r="AY24" s="5"/>
      <c r="BA24" s="3"/>
      <c r="BD24" s="3"/>
      <c r="BE24" s="3"/>
      <c r="BG24" s="3"/>
      <c r="BH24" s="3"/>
      <c r="BJ24" s="3"/>
      <c r="BK24" s="3"/>
      <c r="BM24" s="3"/>
      <c r="BN24" s="5"/>
      <c r="BP24" s="3"/>
      <c r="BS24" s="3"/>
      <c r="BT24" s="3"/>
      <c r="BV24" s="3"/>
      <c r="BW24" s="3"/>
      <c r="BY24" s="3"/>
      <c r="BZ24" s="3"/>
      <c r="CB24" s="3"/>
      <c r="CC24" s="5"/>
      <c r="CE24" s="3"/>
      <c r="CH24" s="3"/>
      <c r="CI24" s="3"/>
      <c r="CK24" s="3"/>
      <c r="CL24" s="3"/>
      <c r="CN24" s="3"/>
      <c r="CO24" s="3"/>
      <c r="CQ24" s="3"/>
      <c r="CR24" s="5"/>
      <c r="CT24" s="3"/>
      <c r="CW24" s="3"/>
      <c r="CX24" s="3"/>
      <c r="CZ24" s="3"/>
      <c r="DA24" s="3"/>
      <c r="DC24" s="3"/>
      <c r="DD24" s="3"/>
      <c r="DF24" s="3"/>
      <c r="DG24" s="5"/>
      <c r="DI24" s="3"/>
      <c r="DL24" s="3"/>
      <c r="DM24" s="3"/>
      <c r="DO24" s="3"/>
      <c r="DP24" s="3"/>
      <c r="DR24" s="3"/>
      <c r="DS24" s="1" t="str">
        <f>_xlfn.XLOOKUP(OfficeForms.Table[[#This Row],[Selecione a Categoria do Laboratório desta atividade prática:]],Planilha1!A:A,Planilha1!B:B)</f>
        <v>EMF-ISN</v>
      </c>
      <c r="DT24" s="1" t="str">
        <f>CONCATENATE(OfficeForms.Table[[#This Row],[Selecione seu Polo Laboratório de Atividades Presenciais:]],OfficeForms.Table[[#This Row],[CHAVE CONVERSÃO]])</f>
        <v>Avaré/SPEMF-ISN</v>
      </c>
      <c r="DU2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2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2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4" s="1" t="str">
        <f>_xlfn.XLOOKUP(OfficeForms.Table[[#This Row],[CHAVE LINK POLO]],'[1]Quadro Geral de Lotação'!$B:$B,'[1]Quadro Geral de Lotação'!$I:$I)</f>
        <v>Larissa Brandolin Ventura</v>
      </c>
      <c r="DY24" s="1" t="str">
        <f>OfficeForms.Table[[#This Row],[Selecione a Ordem de Disciplina]]</f>
        <v>Ordem 1</v>
      </c>
    </row>
    <row r="25" spans="1:129" ht="34.15" customHeight="1">
      <c r="A25" s="1">
        <v>25</v>
      </c>
      <c r="B25" s="2">
        <v>46076.363009259301</v>
      </c>
      <c r="C25" s="2">
        <v>46076.363530092603</v>
      </c>
      <c r="D25" s="3" t="s">
        <v>243</v>
      </c>
      <c r="E25" s="3" t="s">
        <v>244</v>
      </c>
      <c r="G25" s="3"/>
      <c r="I25" s="3" t="s">
        <v>245</v>
      </c>
      <c r="K25" s="3"/>
      <c r="L25" s="1" t="s">
        <v>132</v>
      </c>
      <c r="O25" s="3" t="s">
        <v>184</v>
      </c>
      <c r="Q25" s="3"/>
      <c r="R25" s="3"/>
      <c r="T25" s="3"/>
      <c r="U25" s="5"/>
      <c r="W25" s="3"/>
      <c r="Z25" s="3"/>
      <c r="AA25" s="3"/>
      <c r="AC25" s="3"/>
      <c r="AD25" s="3"/>
      <c r="AF25" s="3"/>
      <c r="AG25" s="3" t="s">
        <v>206</v>
      </c>
      <c r="AI25" s="3"/>
      <c r="AJ25" s="1">
        <v>46074</v>
      </c>
      <c r="AL25" s="3"/>
      <c r="AM25" s="1">
        <v>1</v>
      </c>
      <c r="AO25" s="3"/>
      <c r="AP25" s="3" t="s">
        <v>248</v>
      </c>
      <c r="AR25" s="3"/>
      <c r="AS25" s="3" t="s">
        <v>249</v>
      </c>
      <c r="AU25" s="3"/>
      <c r="AV25" s="3"/>
      <c r="AX25" s="3"/>
      <c r="AY25" s="5"/>
      <c r="BA25" s="3"/>
      <c r="BD25" s="3"/>
      <c r="BE25" s="3"/>
      <c r="BG25" s="3"/>
      <c r="BH25" s="3"/>
      <c r="BJ25" s="3"/>
      <c r="BK25" s="3"/>
      <c r="BM25" s="3"/>
      <c r="BN25" s="5"/>
      <c r="BP25" s="3"/>
      <c r="BS25" s="3"/>
      <c r="BT25" s="3"/>
      <c r="BV25" s="3"/>
      <c r="BW25" s="3"/>
      <c r="BY25" s="3"/>
      <c r="BZ25" s="3"/>
      <c r="CB25" s="3"/>
      <c r="CC25" s="5"/>
      <c r="CE25" s="3"/>
      <c r="CH25" s="3"/>
      <c r="CI25" s="3"/>
      <c r="CK25" s="3"/>
      <c r="CL25" s="3"/>
      <c r="CN25" s="3"/>
      <c r="CO25" s="3"/>
      <c r="CQ25" s="3"/>
      <c r="CR25" s="5"/>
      <c r="CT25" s="3"/>
      <c r="CW25" s="3"/>
      <c r="CX25" s="3"/>
      <c r="CZ25" s="3"/>
      <c r="DA25" s="3"/>
      <c r="DC25" s="3"/>
      <c r="DD25" s="3"/>
      <c r="DF25" s="3"/>
      <c r="DG25" s="5"/>
      <c r="DI25" s="3"/>
      <c r="DL25" s="3"/>
      <c r="DM25" s="3"/>
      <c r="DO25" s="3"/>
      <c r="DP25" s="3"/>
      <c r="DR25" s="3"/>
      <c r="DS25" s="1" t="str">
        <f>_xlfn.XLOOKUP(OfficeForms.Table[[#This Row],[Selecione a Categoria do Laboratório desta atividade prática:]],Planilha1!A:A,Planilha1!B:B)</f>
        <v>EMF-ISN</v>
      </c>
      <c r="DT25" s="1" t="str">
        <f>CONCATENATE(OfficeForms.Table[[#This Row],[Selecione seu Polo Laboratório de Atividades Presenciais:]],OfficeForms.Table[[#This Row],[CHAVE CONVERSÃO]])</f>
        <v>Avaré/SPEMF-ISN</v>
      </c>
      <c r="DU2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2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5" s="1" t="str">
        <f>_xlfn.XLOOKUP(OfficeForms.Table[[#This Row],[CHAVE LINK POLO]],'[1]Quadro Geral de Lotação'!$B:$B,'[1]Quadro Geral de Lotação'!$I:$I)</f>
        <v>Larissa Brandolin Ventura</v>
      </c>
      <c r="DY25" s="1" t="str">
        <f>OfficeForms.Table[[#This Row],[Selecione a Ordem de Disciplina]]</f>
        <v>Ordem 1</v>
      </c>
    </row>
    <row r="26" spans="1:129" ht="34.15" customHeight="1">
      <c r="A26" s="1">
        <v>26</v>
      </c>
      <c r="B26" s="2">
        <v>46076.437476851803</v>
      </c>
      <c r="C26" s="2">
        <v>46076.443611111099</v>
      </c>
      <c r="D26" s="3" t="s">
        <v>237</v>
      </c>
      <c r="E26" s="3" t="s">
        <v>238</v>
      </c>
      <c r="G26" s="3"/>
      <c r="I26" s="3" t="s">
        <v>239</v>
      </c>
      <c r="K26" s="3"/>
      <c r="L26" s="1" t="s">
        <v>132</v>
      </c>
      <c r="O26" s="3" t="s">
        <v>184</v>
      </c>
      <c r="Q26" s="3"/>
      <c r="R26" s="3"/>
      <c r="T26" s="3"/>
      <c r="U26" s="5"/>
      <c r="W26" s="3"/>
      <c r="Z26" s="3"/>
      <c r="AA26" s="3"/>
      <c r="AC26" s="3"/>
      <c r="AD26" s="3"/>
      <c r="AF26" s="3"/>
      <c r="AG26" s="3" t="s">
        <v>194</v>
      </c>
      <c r="AI26" s="3"/>
      <c r="AJ26" s="1">
        <v>46074</v>
      </c>
      <c r="AL26" s="3"/>
      <c r="AM26" s="1">
        <v>21</v>
      </c>
      <c r="AO26" s="3"/>
      <c r="AP26" s="3" t="s">
        <v>250</v>
      </c>
      <c r="AR26" s="3"/>
      <c r="AS26" s="3" t="s">
        <v>251</v>
      </c>
      <c r="AU26" s="3"/>
      <c r="AV26" s="3"/>
      <c r="AX26" s="3"/>
      <c r="AY26" s="5"/>
      <c r="BA26" s="3"/>
      <c r="BD26" s="3"/>
      <c r="BE26" s="3"/>
      <c r="BG26" s="3"/>
      <c r="BH26" s="3"/>
      <c r="BJ26" s="3"/>
      <c r="BK26" s="3"/>
      <c r="BM26" s="3"/>
      <c r="BN26" s="5"/>
      <c r="BP26" s="3"/>
      <c r="BS26" s="3"/>
      <c r="BT26" s="3"/>
      <c r="BV26" s="3"/>
      <c r="BW26" s="3"/>
      <c r="BY26" s="3"/>
      <c r="BZ26" s="3"/>
      <c r="CB26" s="3"/>
      <c r="CC26" s="5"/>
      <c r="CE26" s="3"/>
      <c r="CH26" s="3"/>
      <c r="CI26" s="3"/>
      <c r="CK26" s="3"/>
      <c r="CL26" s="3"/>
      <c r="CN26" s="3"/>
      <c r="CO26" s="3"/>
      <c r="CQ26" s="3"/>
      <c r="CR26" s="5"/>
      <c r="CT26" s="3"/>
      <c r="CW26" s="3"/>
      <c r="CX26" s="3"/>
      <c r="CZ26" s="3"/>
      <c r="DA26" s="3"/>
      <c r="DC26" s="3"/>
      <c r="DD26" s="3"/>
      <c r="DF26" s="3"/>
      <c r="DG26" s="5"/>
      <c r="DI26" s="3"/>
      <c r="DL26" s="3"/>
      <c r="DM26" s="3"/>
      <c r="DO26" s="3"/>
      <c r="DP26" s="3"/>
      <c r="DR26" s="3"/>
      <c r="DS26" s="1" t="str">
        <f>_xlfn.XLOOKUP(OfficeForms.Table[[#This Row],[Selecione a Categoria do Laboratório desta atividade prática:]],Planilha1!A:A,Planilha1!B:B)</f>
        <v>EMF-ISN</v>
      </c>
      <c r="DT26" s="1" t="str">
        <f>CONCATENATE(OfficeForms.Table[[#This Row],[Selecione seu Polo Laboratório de Atividades Presenciais:]],OfficeForms.Table[[#This Row],[CHAVE CONVERSÃO]])</f>
        <v>Itapecuru Mirim/MAEMF-ISN</v>
      </c>
      <c r="DU2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2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2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21</v>
      </c>
      <c r="DX26" s="1" t="str">
        <f>_xlfn.XLOOKUP(OfficeForms.Table[[#This Row],[CHAVE LINK POLO]],'[1]Quadro Geral de Lotação'!$B:$B,'[1]Quadro Geral de Lotação'!$I:$I)</f>
        <v>Deborah Da Silva Vasconcelos Ewerton</v>
      </c>
      <c r="DY26" s="1" t="str">
        <f>OfficeForms.Table[[#This Row],[Selecione a Ordem de Disciplina]]</f>
        <v>Ordem 1</v>
      </c>
    </row>
    <row r="27" spans="1:129" ht="34.15" customHeight="1">
      <c r="A27" s="1">
        <v>27</v>
      </c>
      <c r="B27" s="2">
        <v>46075.922962962999</v>
      </c>
      <c r="C27" s="2">
        <v>46076.459583333301</v>
      </c>
      <c r="D27" s="3" t="s">
        <v>252</v>
      </c>
      <c r="E27" s="3" t="s">
        <v>253</v>
      </c>
      <c r="G27" s="3"/>
      <c r="I27" s="3" t="s">
        <v>254</v>
      </c>
      <c r="K27" s="3"/>
      <c r="L27" s="1" t="s">
        <v>132</v>
      </c>
      <c r="O27" s="3" t="s">
        <v>184</v>
      </c>
      <c r="Q27" s="3"/>
      <c r="R27" s="3"/>
      <c r="T27" s="3"/>
      <c r="U27" s="5"/>
      <c r="W27" s="3"/>
      <c r="Z27" s="3"/>
      <c r="AA27" s="3"/>
      <c r="AC27" s="3"/>
      <c r="AD27" s="3"/>
      <c r="AF27" s="3"/>
      <c r="AG27" s="3" t="s">
        <v>206</v>
      </c>
      <c r="AI27" s="3"/>
      <c r="AJ27" s="1">
        <v>46074</v>
      </c>
      <c r="AL27" s="3"/>
      <c r="AM27" s="1">
        <v>8</v>
      </c>
      <c r="AO27" s="3"/>
      <c r="AP27" s="3" t="s">
        <v>255</v>
      </c>
      <c r="AR27" s="3"/>
      <c r="AS27" s="3" t="s">
        <v>256</v>
      </c>
      <c r="AU27" s="3"/>
      <c r="AV27" s="3"/>
      <c r="AX27" s="3"/>
      <c r="AY27" s="5"/>
      <c r="BA27" s="3"/>
      <c r="BD27" s="3"/>
      <c r="BE27" s="3"/>
      <c r="BG27" s="3"/>
      <c r="BH27" s="3"/>
      <c r="BJ27" s="3"/>
      <c r="BK27" s="3"/>
      <c r="BM27" s="3"/>
      <c r="BN27" s="5"/>
      <c r="BP27" s="3"/>
      <c r="BS27" s="3"/>
      <c r="BT27" s="3"/>
      <c r="BV27" s="3"/>
      <c r="BW27" s="3"/>
      <c r="BY27" s="3"/>
      <c r="BZ27" s="3"/>
      <c r="CB27" s="3"/>
      <c r="CC27" s="5"/>
      <c r="CE27" s="3"/>
      <c r="CH27" s="3"/>
      <c r="CI27" s="3"/>
      <c r="CK27" s="3"/>
      <c r="CL27" s="3"/>
      <c r="CN27" s="3"/>
      <c r="CO27" s="3"/>
      <c r="CQ27" s="3"/>
      <c r="CR27" s="5"/>
      <c r="CT27" s="3"/>
      <c r="CW27" s="3"/>
      <c r="CX27" s="3"/>
      <c r="CZ27" s="3"/>
      <c r="DA27" s="3"/>
      <c r="DC27" s="3"/>
      <c r="DD27" s="3"/>
      <c r="DF27" s="3"/>
      <c r="DG27" s="5"/>
      <c r="DI27" s="3"/>
      <c r="DL27" s="3"/>
      <c r="DM27" s="3"/>
      <c r="DO27" s="3"/>
      <c r="DP27" s="3"/>
      <c r="DR27" s="3"/>
      <c r="DS27" s="1" t="str">
        <f>_xlfn.XLOOKUP(OfficeForms.Table[[#This Row],[Selecione a Categoria do Laboratório desta atividade prática:]],Planilha1!A:A,Planilha1!B:B)</f>
        <v>EMF-ISN</v>
      </c>
      <c r="DT27" s="1" t="str">
        <f>CONCATENATE(OfficeForms.Table[[#This Row],[Selecione seu Polo Laboratório de Atividades Presenciais:]],OfficeForms.Table[[#This Row],[CHAVE CONVERSÃO]])</f>
        <v>Curitibanos/SCEMF-ISN</v>
      </c>
      <c r="DU2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2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27" s="1" t="str">
        <f>_xlfn.XLOOKUP(OfficeForms.Table[[#This Row],[CHAVE LINK POLO]],'[1]Quadro Geral de Lotação'!$B:$B,'[1]Quadro Geral de Lotação'!$I:$I)</f>
        <v>Clademir Jose Fernandes Da Silva</v>
      </c>
      <c r="DY27" s="1" t="str">
        <f>OfficeForms.Table[[#This Row],[Selecione a Ordem de Disciplina]]</f>
        <v>Ordem 1</v>
      </c>
    </row>
    <row r="28" spans="1:129" ht="34.15" customHeight="1">
      <c r="A28" s="1">
        <v>28</v>
      </c>
      <c r="B28" s="2">
        <v>46076.625</v>
      </c>
      <c r="C28" s="2">
        <v>46076.6323611111</v>
      </c>
      <c r="D28" s="3" t="s">
        <v>257</v>
      </c>
      <c r="E28" s="3" t="s">
        <v>258</v>
      </c>
      <c r="G28" s="3"/>
      <c r="I28" s="3" t="s">
        <v>259</v>
      </c>
      <c r="K28" s="3"/>
      <c r="L28" s="1" t="s">
        <v>132</v>
      </c>
      <c r="O28" s="3" t="s">
        <v>156</v>
      </c>
      <c r="Q28" s="3"/>
      <c r="R28" s="3"/>
      <c r="T28" s="3"/>
      <c r="U28" s="5"/>
      <c r="W28" s="3"/>
      <c r="Z28" s="3"/>
      <c r="AA28" s="3"/>
      <c r="AC28" s="3"/>
      <c r="AD28" s="3"/>
      <c r="AF28" s="3"/>
      <c r="AG28" s="3"/>
      <c r="AI28" s="3"/>
      <c r="AJ28" s="1"/>
      <c r="AL28" s="3"/>
      <c r="AO28" s="3"/>
      <c r="AP28" s="3"/>
      <c r="AR28" s="3"/>
      <c r="AS28" s="3"/>
      <c r="AU28" s="3"/>
      <c r="AV28" s="3"/>
      <c r="AX28" s="3"/>
      <c r="AY28" s="5"/>
      <c r="BA28" s="3"/>
      <c r="BD28" s="3"/>
      <c r="BE28" s="3"/>
      <c r="BG28" s="3"/>
      <c r="BH28" s="3"/>
      <c r="BJ28" s="3"/>
      <c r="BK28" s="3" t="s">
        <v>260</v>
      </c>
      <c r="BM28" s="3"/>
      <c r="BN28" s="5">
        <v>46074</v>
      </c>
      <c r="BP28" s="3"/>
      <c r="BQ28" s="1">
        <v>5</v>
      </c>
      <c r="BS28" s="3"/>
      <c r="BT28" s="3" t="s">
        <v>261</v>
      </c>
      <c r="BV28" s="3"/>
      <c r="BW28" s="3" t="s">
        <v>262</v>
      </c>
      <c r="BY28" s="3"/>
      <c r="BZ28" s="3"/>
      <c r="CB28" s="3"/>
      <c r="CC28" s="5"/>
      <c r="CE28" s="3"/>
      <c r="CH28" s="3"/>
      <c r="CI28" s="3"/>
      <c r="CK28" s="3"/>
      <c r="CL28" s="3"/>
      <c r="CN28" s="3"/>
      <c r="CO28" s="3"/>
      <c r="CQ28" s="3"/>
      <c r="CR28" s="5"/>
      <c r="CT28" s="3"/>
      <c r="CW28" s="3"/>
      <c r="CX28" s="3"/>
      <c r="CZ28" s="3"/>
      <c r="DA28" s="3"/>
      <c r="DC28" s="3"/>
      <c r="DD28" s="3"/>
      <c r="DF28" s="3"/>
      <c r="DG28" s="5"/>
      <c r="DI28" s="3"/>
      <c r="DL28" s="3"/>
      <c r="DM28" s="3"/>
      <c r="DO28" s="3"/>
      <c r="DP28" s="3"/>
      <c r="DR28" s="3"/>
      <c r="DS28" s="1" t="str">
        <f>_xlfn.XLOOKUP(OfficeForms.Table[[#This Row],[Selecione a Categoria do Laboratório desta atividade prática:]],Planilha1!A:A,Planilha1!B:B)</f>
        <v>NTR</v>
      </c>
      <c r="DT28" s="1" t="str">
        <f>CONCATENATE(OfficeForms.Table[[#This Row],[Selecione seu Polo Laboratório de Atividades Presenciais:]],OfficeForms.Table[[#This Row],[CHAVE CONVERSÃO]])</f>
        <v>Capão Da Canoa/RSNTR</v>
      </c>
      <c r="DU2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Terapia nutricional enteral e suplementação oral</v>
      </c>
      <c r="DV2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2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28" s="1" t="str">
        <f>_xlfn.XLOOKUP(OfficeForms.Table[[#This Row],[CHAVE LINK POLO]],'[1]Quadro Geral de Lotação'!$B:$B,'[1]Quadro Geral de Lotação'!$I:$I)</f>
        <v>Ana Carolina Da Silva Sedrez</v>
      </c>
      <c r="DY28" s="1" t="str">
        <f>OfficeForms.Table[[#This Row],[Selecione a Ordem de Disciplina]]</f>
        <v>Ordem 1</v>
      </c>
    </row>
    <row r="29" spans="1:129" ht="34.15" customHeight="1">
      <c r="A29" s="1">
        <v>29</v>
      </c>
      <c r="B29" s="2">
        <v>46076.636076388902</v>
      </c>
      <c r="C29" s="2">
        <v>46076.653796296298</v>
      </c>
      <c r="D29" s="3" t="s">
        <v>263</v>
      </c>
      <c r="E29" s="3" t="s">
        <v>264</v>
      </c>
      <c r="G29" s="3"/>
      <c r="I29" s="3" t="s">
        <v>265</v>
      </c>
      <c r="K29" s="3"/>
      <c r="L29" s="1" t="s">
        <v>132</v>
      </c>
      <c r="O29" s="3" t="s">
        <v>184</v>
      </c>
      <c r="Q29" s="3"/>
      <c r="R29" s="3"/>
      <c r="T29" s="3"/>
      <c r="U29" s="5"/>
      <c r="W29" s="3"/>
      <c r="Z29" s="3"/>
      <c r="AA29" s="3"/>
      <c r="AC29" s="3"/>
      <c r="AD29" s="3"/>
      <c r="AF29" s="3"/>
      <c r="AG29" s="3" t="s">
        <v>194</v>
      </c>
      <c r="AI29" s="3"/>
      <c r="AJ29" s="1">
        <v>46076</v>
      </c>
      <c r="AL29" s="3"/>
      <c r="AM29" s="1">
        <v>1</v>
      </c>
      <c r="AO29" s="3"/>
      <c r="AP29" s="3" t="s">
        <v>266</v>
      </c>
      <c r="AR29" s="3"/>
      <c r="AS29" s="3" t="s">
        <v>267</v>
      </c>
      <c r="AU29" s="3"/>
      <c r="AV29" s="3"/>
      <c r="AX29" s="3"/>
      <c r="AY29" s="5"/>
      <c r="BA29" s="3"/>
      <c r="BD29" s="3"/>
      <c r="BE29" s="3"/>
      <c r="BG29" s="3"/>
      <c r="BH29" s="3"/>
      <c r="BJ29" s="3"/>
      <c r="BK29" s="3"/>
      <c r="BM29" s="3"/>
      <c r="BN29" s="5"/>
      <c r="BP29" s="3"/>
      <c r="BS29" s="3"/>
      <c r="BT29" s="3"/>
      <c r="BV29" s="3"/>
      <c r="BW29" s="3"/>
      <c r="BY29" s="3"/>
      <c r="BZ29" s="3"/>
      <c r="CB29" s="3"/>
      <c r="CC29" s="5"/>
      <c r="CE29" s="3"/>
      <c r="CH29" s="3"/>
      <c r="CI29" s="3"/>
      <c r="CK29" s="3"/>
      <c r="CL29" s="3"/>
      <c r="CN29" s="3"/>
      <c r="CO29" s="3"/>
      <c r="CQ29" s="3"/>
      <c r="CR29" s="5"/>
      <c r="CT29" s="3"/>
      <c r="CW29" s="3"/>
      <c r="CX29" s="3"/>
      <c r="CZ29" s="3"/>
      <c r="DA29" s="3"/>
      <c r="DC29" s="3"/>
      <c r="DD29" s="3"/>
      <c r="DF29" s="3"/>
      <c r="DG29" s="5"/>
      <c r="DI29" s="3"/>
      <c r="DL29" s="3"/>
      <c r="DM29" s="3"/>
      <c r="DO29" s="3"/>
      <c r="DP29" s="3"/>
      <c r="DR29" s="3"/>
      <c r="DS29" s="1" t="str">
        <f>_xlfn.XLOOKUP(OfficeForms.Table[[#This Row],[Selecione a Categoria do Laboratório desta atividade prática:]],Planilha1!A:A,Planilha1!B:B)</f>
        <v>EMF-ISN</v>
      </c>
      <c r="DT29" s="1" t="str">
        <f>CONCATENATE(OfficeForms.Table[[#This Row],[Selecione seu Polo Laboratório de Atividades Presenciais:]],OfficeForms.Table[[#This Row],[CHAVE CONVERSÃO]])</f>
        <v>Brusque/SCEMF-ISN</v>
      </c>
      <c r="DU2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2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2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9" s="1" t="str">
        <f>_xlfn.XLOOKUP(OfficeForms.Table[[#This Row],[CHAVE LINK POLO]],'[1]Quadro Geral de Lotação'!$B:$B,'[1]Quadro Geral de Lotação'!$I:$I)</f>
        <v>Fabio Junior da Rosa</v>
      </c>
      <c r="DY29" s="1" t="str">
        <f>OfficeForms.Table[[#This Row],[Selecione a Ordem de Disciplina]]</f>
        <v>Ordem 1</v>
      </c>
    </row>
    <row r="30" spans="1:129" ht="34.15" customHeight="1">
      <c r="A30" s="1">
        <v>30</v>
      </c>
      <c r="B30" s="2">
        <v>46076.835104166697</v>
      </c>
      <c r="C30" s="2">
        <v>46076.854976851901</v>
      </c>
      <c r="D30" s="3" t="s">
        <v>268</v>
      </c>
      <c r="E30" s="3" t="s">
        <v>269</v>
      </c>
      <c r="G30" s="3"/>
      <c r="I30" s="3" t="s">
        <v>270</v>
      </c>
      <c r="K30" s="3"/>
      <c r="L30" s="1" t="s">
        <v>132</v>
      </c>
      <c r="O30" s="3" t="s">
        <v>184</v>
      </c>
      <c r="Q30" s="3"/>
      <c r="R30" s="3"/>
      <c r="T30" s="3"/>
      <c r="U30" s="5"/>
      <c r="W30" s="3"/>
      <c r="Z30" s="3"/>
      <c r="AA30" s="3"/>
      <c r="AC30" s="3"/>
      <c r="AD30" s="3"/>
      <c r="AF30" s="3"/>
      <c r="AG30" s="3" t="s">
        <v>206</v>
      </c>
      <c r="AI30" s="3"/>
      <c r="AJ30" s="1">
        <v>46071</v>
      </c>
      <c r="AL30" s="3"/>
      <c r="AM30" s="1">
        <v>8</v>
      </c>
      <c r="AO30" s="3"/>
      <c r="AP30" s="3" t="s">
        <v>271</v>
      </c>
      <c r="AR30" s="3"/>
      <c r="AS30" s="3" t="s">
        <v>272</v>
      </c>
      <c r="AU30" s="3"/>
      <c r="AV30" s="3"/>
      <c r="AX30" s="3"/>
      <c r="AY30" s="5"/>
      <c r="BA30" s="3"/>
      <c r="BD30" s="3"/>
      <c r="BE30" s="3"/>
      <c r="BG30" s="3"/>
      <c r="BH30" s="3"/>
      <c r="BJ30" s="3"/>
      <c r="BK30" s="3"/>
      <c r="BM30" s="3"/>
      <c r="BN30" s="5"/>
      <c r="BP30" s="3"/>
      <c r="BS30" s="3"/>
      <c r="BT30" s="3"/>
      <c r="BV30" s="3"/>
      <c r="BW30" s="3"/>
      <c r="BY30" s="3"/>
      <c r="BZ30" s="3"/>
      <c r="CB30" s="3"/>
      <c r="CC30" s="5"/>
      <c r="CE30" s="3"/>
      <c r="CH30" s="3"/>
      <c r="CI30" s="3"/>
      <c r="CK30" s="3"/>
      <c r="CL30" s="3"/>
      <c r="CN30" s="3"/>
      <c r="CO30" s="3"/>
      <c r="CQ30" s="3"/>
      <c r="CR30" s="5"/>
      <c r="CT30" s="3"/>
      <c r="CW30" s="3"/>
      <c r="CX30" s="3"/>
      <c r="CZ30" s="3"/>
      <c r="DA30" s="3"/>
      <c r="DC30" s="3"/>
      <c r="DD30" s="3"/>
      <c r="DF30" s="3"/>
      <c r="DG30" s="5"/>
      <c r="DI30" s="3"/>
      <c r="DL30" s="3"/>
      <c r="DM30" s="3"/>
      <c r="DO30" s="3"/>
      <c r="DP30" s="3"/>
      <c r="DR30" s="3"/>
      <c r="DS30" s="1" t="str">
        <f>_xlfn.XLOOKUP(OfficeForms.Table[[#This Row],[Selecione a Categoria do Laboratório desta atividade prática:]],Planilha1!A:A,Planilha1!B:B)</f>
        <v>EMF-ISN</v>
      </c>
      <c r="DT30" s="1" t="str">
        <f>CONCATENATE(OfficeForms.Table[[#This Row],[Selecione seu Polo Laboratório de Atividades Presenciais:]],OfficeForms.Table[[#This Row],[CHAVE CONVERSÃO]])</f>
        <v>Nossa Senhora da Glória/SEEMF-ISN</v>
      </c>
      <c r="DU3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3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3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30" s="1" t="str">
        <f>_xlfn.XLOOKUP(OfficeForms.Table[[#This Row],[CHAVE LINK POLO]],'[1]Quadro Geral de Lotação'!$B:$B,'[1]Quadro Geral de Lotação'!$I:$I)</f>
        <v>Amanda Santos</v>
      </c>
      <c r="DY30" s="1" t="str">
        <f>OfficeForms.Table[[#This Row],[Selecione a Ordem de Disciplina]]</f>
        <v>Ordem 1</v>
      </c>
    </row>
    <row r="31" spans="1:129" ht="34.15" customHeight="1">
      <c r="A31" s="1">
        <v>31</v>
      </c>
      <c r="B31" s="2">
        <v>46076.8588773148</v>
      </c>
      <c r="C31" s="2">
        <v>46076.866145833301</v>
      </c>
      <c r="D31" s="3" t="s">
        <v>273</v>
      </c>
      <c r="E31" s="3" t="s">
        <v>274</v>
      </c>
      <c r="G31" s="3"/>
      <c r="I31" s="3" t="s">
        <v>275</v>
      </c>
      <c r="K31" s="3"/>
      <c r="L31" s="1" t="s">
        <v>132</v>
      </c>
      <c r="O31" s="3" t="s">
        <v>133</v>
      </c>
      <c r="Q31" s="3"/>
      <c r="R31" s="3"/>
      <c r="T31" s="3"/>
      <c r="U31" s="5"/>
      <c r="W31" s="3"/>
      <c r="Z31" s="3"/>
      <c r="AA31" s="3"/>
      <c r="AC31" s="3"/>
      <c r="AD31" s="3"/>
      <c r="AF31" s="3"/>
      <c r="AG31" s="3"/>
      <c r="AI31" s="3"/>
      <c r="AJ31" s="1"/>
      <c r="AL31" s="3"/>
      <c r="AO31" s="3"/>
      <c r="AP31" s="3"/>
      <c r="AR31" s="3"/>
      <c r="AS31" s="3"/>
      <c r="AU31" s="3"/>
      <c r="AV31" s="3" t="s">
        <v>276</v>
      </c>
      <c r="AX31" s="3"/>
      <c r="AY31" s="5">
        <v>46076</v>
      </c>
      <c r="BA31" s="3"/>
      <c r="BB31" s="1">
        <v>0</v>
      </c>
      <c r="BD31" s="3"/>
      <c r="BE31" s="3" t="s">
        <v>277</v>
      </c>
      <c r="BG31" s="3"/>
      <c r="BH31" s="3" t="s">
        <v>278</v>
      </c>
      <c r="BJ31" s="3"/>
      <c r="BK31" s="3"/>
      <c r="BM31" s="3"/>
      <c r="BN31" s="5"/>
      <c r="BP31" s="3"/>
      <c r="BS31" s="3"/>
      <c r="BT31" s="3"/>
      <c r="BV31" s="3"/>
      <c r="BW31" s="3"/>
      <c r="BY31" s="3"/>
      <c r="BZ31" s="3"/>
      <c r="CB31" s="3"/>
      <c r="CC31" s="5"/>
      <c r="CE31" s="3"/>
      <c r="CH31" s="3"/>
      <c r="CI31" s="3"/>
      <c r="CK31" s="3"/>
      <c r="CL31" s="3"/>
      <c r="CN31" s="3"/>
      <c r="CO31" s="3"/>
      <c r="CQ31" s="3"/>
      <c r="CR31" s="5"/>
      <c r="CT31" s="3"/>
      <c r="CW31" s="3"/>
      <c r="CX31" s="3"/>
      <c r="CZ31" s="3"/>
      <c r="DA31" s="3"/>
      <c r="DC31" s="3"/>
      <c r="DD31" s="3"/>
      <c r="DF31" s="3"/>
      <c r="DG31" s="5"/>
      <c r="DI31" s="3"/>
      <c r="DL31" s="3"/>
      <c r="DM31" s="3"/>
      <c r="DO31" s="3"/>
      <c r="DP31" s="3"/>
      <c r="DR31" s="3"/>
      <c r="DS31" s="1" t="str">
        <f>_xlfn.XLOOKUP(OfficeForms.Table[[#This Row],[Selecione a Categoria do Laboratório desta atividade prática:]],Planilha1!A:A,Planilha1!B:B)</f>
        <v>BFI</v>
      </c>
      <c r="DT31" s="1" t="str">
        <f>CONCATENATE(OfficeForms.Table[[#This Row],[Selecione seu Polo Laboratório de Atividades Presenciais:]],OfficeForms.Table[[#This Row],[CHAVE CONVERSÃO]])</f>
        <v>Porto Alegre/RS - Zona NorteBFI</v>
      </c>
      <c r="DU3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Limpeza de Pele Facial e avaliação facial</v>
      </c>
      <c r="DV3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3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1" s="1" t="str">
        <f>_xlfn.XLOOKUP(OfficeForms.Table[[#This Row],[CHAVE LINK POLO]],'[1]Quadro Geral de Lotação'!$B:$B,'[1]Quadro Geral de Lotação'!$I:$I)</f>
        <v>Fabiano Johnson Duarte Bartmann</v>
      </c>
      <c r="DY31" s="1" t="str">
        <f>OfficeForms.Table[[#This Row],[Selecione a Ordem de Disciplina]]</f>
        <v>Ordem 1</v>
      </c>
    </row>
    <row r="32" spans="1:129" ht="34.15" customHeight="1">
      <c r="A32" s="1">
        <v>32</v>
      </c>
      <c r="B32" s="2">
        <v>46077.629178240699</v>
      </c>
      <c r="C32" s="2">
        <v>46077.629664351902</v>
      </c>
      <c r="D32" s="3" t="s">
        <v>263</v>
      </c>
      <c r="E32" s="3" t="s">
        <v>264</v>
      </c>
      <c r="G32" s="3"/>
      <c r="I32" s="3" t="s">
        <v>265</v>
      </c>
      <c r="K32" s="3"/>
      <c r="L32" s="1" t="s">
        <v>132</v>
      </c>
      <c r="O32" s="3" t="s">
        <v>184</v>
      </c>
      <c r="Q32" s="3"/>
      <c r="R32" s="3"/>
      <c r="T32" s="3"/>
      <c r="U32" s="5"/>
      <c r="W32" s="3"/>
      <c r="Z32" s="3"/>
      <c r="AA32" s="3"/>
      <c r="AC32" s="3"/>
      <c r="AD32" s="3"/>
      <c r="AF32" s="3"/>
      <c r="AG32" s="3" t="s">
        <v>224</v>
      </c>
      <c r="AI32" s="3"/>
      <c r="AJ32" s="1">
        <v>46076</v>
      </c>
      <c r="AL32" s="3"/>
      <c r="AM32" s="1">
        <v>2</v>
      </c>
      <c r="AO32" s="3"/>
      <c r="AP32" s="3" t="s">
        <v>279</v>
      </c>
      <c r="AR32" s="3"/>
      <c r="AS32" s="3" t="s">
        <v>280</v>
      </c>
      <c r="AU32" s="3"/>
      <c r="AV32" s="3"/>
      <c r="AX32" s="3"/>
      <c r="AY32" s="5"/>
      <c r="BA32" s="3"/>
      <c r="BD32" s="3"/>
      <c r="BE32" s="3"/>
      <c r="BG32" s="3"/>
      <c r="BH32" s="3"/>
      <c r="BJ32" s="3"/>
      <c r="BK32" s="3"/>
      <c r="BM32" s="3"/>
      <c r="BN32" s="5"/>
      <c r="BP32" s="3"/>
      <c r="BS32" s="3"/>
      <c r="BT32" s="3"/>
      <c r="BV32" s="3"/>
      <c r="BW32" s="3"/>
      <c r="BY32" s="3"/>
      <c r="BZ32" s="3"/>
      <c r="CB32" s="3"/>
      <c r="CC32" s="5"/>
      <c r="CE32" s="3"/>
      <c r="CH32" s="3"/>
      <c r="CI32" s="3"/>
      <c r="CK32" s="3"/>
      <c r="CL32" s="3"/>
      <c r="CN32" s="3"/>
      <c r="CO32" s="3"/>
      <c r="CQ32" s="3"/>
      <c r="CR32" s="5"/>
      <c r="CT32" s="3"/>
      <c r="CW32" s="3"/>
      <c r="CX32" s="3"/>
      <c r="CZ32" s="3"/>
      <c r="DA32" s="3"/>
      <c r="DC32" s="3"/>
      <c r="DD32" s="3"/>
      <c r="DF32" s="3"/>
      <c r="DG32" s="5"/>
      <c r="DI32" s="3"/>
      <c r="DL32" s="3"/>
      <c r="DM32" s="3"/>
      <c r="DO32" s="3"/>
      <c r="DP32" s="3"/>
      <c r="DR32" s="3"/>
      <c r="DS32" s="1" t="str">
        <f>_xlfn.XLOOKUP(OfficeForms.Table[[#This Row],[Selecione a Categoria do Laboratório desta atividade prática:]],Planilha1!A:A,Planilha1!B:B)</f>
        <v>EMF-ISN</v>
      </c>
      <c r="DT32" s="1" t="str">
        <f>CONCATENATE(OfficeForms.Table[[#This Row],[Selecione seu Polo Laboratório de Atividades Presenciais:]],OfficeForms.Table[[#This Row],[CHAVE CONVERSÃO]])</f>
        <v>Brusque/SCEMF-ISN</v>
      </c>
      <c r="DU3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3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3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32" s="1" t="str">
        <f>_xlfn.XLOOKUP(OfficeForms.Table[[#This Row],[CHAVE LINK POLO]],'[1]Quadro Geral de Lotação'!$B:$B,'[1]Quadro Geral de Lotação'!$I:$I)</f>
        <v>Fabio Junior da Rosa</v>
      </c>
      <c r="DY32" s="1" t="str">
        <f>OfficeForms.Table[[#This Row],[Selecione a Ordem de Disciplina]]</f>
        <v>Ordem 1</v>
      </c>
    </row>
    <row r="33" spans="1:129" ht="34.15" customHeight="1">
      <c r="A33" s="1">
        <v>33</v>
      </c>
      <c r="B33" s="2">
        <v>46078.664363425902</v>
      </c>
      <c r="C33" s="2">
        <v>46078.680243055598</v>
      </c>
      <c r="D33" s="3" t="s">
        <v>281</v>
      </c>
      <c r="E33" s="3" t="s">
        <v>282</v>
      </c>
      <c r="G33" s="3"/>
      <c r="I33" s="3" t="s">
        <v>283</v>
      </c>
      <c r="K33" s="3"/>
      <c r="L33" s="1" t="s">
        <v>132</v>
      </c>
      <c r="O33" s="3" t="s">
        <v>156</v>
      </c>
      <c r="Q33" s="3"/>
      <c r="R33" s="3"/>
      <c r="T33" s="3"/>
      <c r="U33" s="5"/>
      <c r="W33" s="3"/>
      <c r="Z33" s="3"/>
      <c r="AA33" s="3"/>
      <c r="AC33" s="3"/>
      <c r="AD33" s="3"/>
      <c r="AF33" s="3"/>
      <c r="AG33" s="3"/>
      <c r="AI33" s="3"/>
      <c r="AJ33" s="1"/>
      <c r="AL33" s="3"/>
      <c r="AO33" s="3"/>
      <c r="AP33" s="3"/>
      <c r="AR33" s="3"/>
      <c r="AS33" s="3"/>
      <c r="AU33" s="3"/>
      <c r="AV33" s="3"/>
      <c r="AX33" s="3"/>
      <c r="AY33" s="5"/>
      <c r="BA33" s="3"/>
      <c r="BD33" s="3"/>
      <c r="BE33" s="3"/>
      <c r="BG33" s="3"/>
      <c r="BH33" s="3"/>
      <c r="BJ33" s="3"/>
      <c r="BK33" s="3" t="s">
        <v>157</v>
      </c>
      <c r="BM33" s="3"/>
      <c r="BN33" s="5">
        <v>46077</v>
      </c>
      <c r="BP33" s="3"/>
      <c r="BQ33" s="1">
        <v>9</v>
      </c>
      <c r="BS33" s="3"/>
      <c r="BT33" s="3" t="s">
        <v>284</v>
      </c>
      <c r="BV33" s="3"/>
      <c r="BW33" s="3" t="s">
        <v>285</v>
      </c>
      <c r="BY33" s="3"/>
      <c r="BZ33" s="3"/>
      <c r="CB33" s="3"/>
      <c r="CC33" s="5"/>
      <c r="CE33" s="3"/>
      <c r="CH33" s="3"/>
      <c r="CI33" s="3"/>
      <c r="CK33" s="3"/>
      <c r="CL33" s="3"/>
      <c r="CN33" s="3"/>
      <c r="CO33" s="3"/>
      <c r="CQ33" s="3"/>
      <c r="CR33" s="5"/>
      <c r="CT33" s="3"/>
      <c r="CW33" s="3"/>
      <c r="CX33" s="3"/>
      <c r="CZ33" s="3"/>
      <c r="DA33" s="3"/>
      <c r="DC33" s="3"/>
      <c r="DD33" s="3"/>
      <c r="DF33" s="3"/>
      <c r="DG33" s="5"/>
      <c r="DI33" s="3"/>
      <c r="DL33" s="3"/>
      <c r="DM33" s="3"/>
      <c r="DO33" s="3"/>
      <c r="DP33" s="3"/>
      <c r="DR33" s="3"/>
      <c r="DS33" s="1" t="str">
        <f>_xlfn.XLOOKUP(OfficeForms.Table[[#This Row],[Selecione a Categoria do Laboratório desta atividade prática:]],Planilha1!A:A,Planilha1!B:B)</f>
        <v>NTR</v>
      </c>
      <c r="DT33" s="1" t="str">
        <f>CONCATENATE(OfficeForms.Table[[#This Row],[Selecione seu Polo Laboratório de Atividades Presenciais:]],OfficeForms.Table[[#This Row],[CHAVE CONVERSÃO]])</f>
        <v>Criciúma/SCNTR</v>
      </c>
      <c r="DU3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3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3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33" s="1" t="str">
        <f>_xlfn.XLOOKUP(OfficeForms.Table[[#This Row],[CHAVE LINK POLO]],'[1]Quadro Geral de Lotação'!$B:$B,'[1]Quadro Geral de Lotação'!$I:$I)</f>
        <v>Izabela Cechinel Biela</v>
      </c>
      <c r="DY33" s="1" t="str">
        <f>OfficeForms.Table[[#This Row],[Selecione a Ordem de Disciplina]]</f>
        <v>Ordem 1</v>
      </c>
    </row>
    <row r="34" spans="1:129" ht="34.15" customHeight="1">
      <c r="A34" s="1">
        <v>34</v>
      </c>
      <c r="B34" s="2">
        <v>46078.680335648103</v>
      </c>
      <c r="C34" s="2">
        <v>46078.682986111096</v>
      </c>
      <c r="D34" s="3" t="s">
        <v>281</v>
      </c>
      <c r="E34" s="3" t="s">
        <v>282</v>
      </c>
      <c r="G34" s="3"/>
      <c r="I34" s="3" t="s">
        <v>283</v>
      </c>
      <c r="K34" s="3"/>
      <c r="L34" s="1" t="s">
        <v>132</v>
      </c>
      <c r="O34" s="3" t="s">
        <v>156</v>
      </c>
      <c r="Q34" s="3"/>
      <c r="R34" s="3"/>
      <c r="T34" s="3"/>
      <c r="U34" s="5"/>
      <c r="W34" s="3"/>
      <c r="Z34" s="3"/>
      <c r="AA34" s="3"/>
      <c r="AC34" s="3"/>
      <c r="AD34" s="3"/>
      <c r="AF34" s="3"/>
      <c r="AG34" s="3"/>
      <c r="AI34" s="3"/>
      <c r="AJ34" s="1"/>
      <c r="AL34" s="3"/>
      <c r="AO34" s="3"/>
      <c r="AP34" s="3"/>
      <c r="AR34" s="3"/>
      <c r="AS34" s="3"/>
      <c r="AU34" s="3"/>
      <c r="AV34" s="3"/>
      <c r="AX34" s="3"/>
      <c r="AY34" s="5"/>
      <c r="BA34" s="3"/>
      <c r="BD34" s="3"/>
      <c r="BE34" s="3"/>
      <c r="BG34" s="3"/>
      <c r="BH34" s="3"/>
      <c r="BJ34" s="3"/>
      <c r="BK34" s="3" t="s">
        <v>157</v>
      </c>
      <c r="BM34" s="3"/>
      <c r="BN34" s="5">
        <v>46077</v>
      </c>
      <c r="BP34" s="3"/>
      <c r="BQ34" s="1">
        <v>1</v>
      </c>
      <c r="BS34" s="3"/>
      <c r="BT34" s="3" t="s">
        <v>286</v>
      </c>
      <c r="BV34" s="3"/>
      <c r="BW34" s="3" t="s">
        <v>287</v>
      </c>
      <c r="BY34" s="3"/>
      <c r="BZ34" s="3"/>
      <c r="CB34" s="3"/>
      <c r="CC34" s="5"/>
      <c r="CE34" s="3"/>
      <c r="CH34" s="3"/>
      <c r="CI34" s="3"/>
      <c r="CK34" s="3"/>
      <c r="CL34" s="3"/>
      <c r="CN34" s="3"/>
      <c r="CO34" s="3"/>
      <c r="CQ34" s="3"/>
      <c r="CR34" s="5"/>
      <c r="CT34" s="3"/>
      <c r="CW34" s="3"/>
      <c r="CX34" s="3"/>
      <c r="CZ34" s="3"/>
      <c r="DA34" s="3"/>
      <c r="DC34" s="3"/>
      <c r="DD34" s="3"/>
      <c r="DF34" s="3"/>
      <c r="DG34" s="5"/>
      <c r="DI34" s="3"/>
      <c r="DL34" s="3"/>
      <c r="DM34" s="3"/>
      <c r="DO34" s="3"/>
      <c r="DP34" s="3"/>
      <c r="DR34" s="3"/>
      <c r="DS34" s="1" t="str">
        <f>_xlfn.XLOOKUP(OfficeForms.Table[[#This Row],[Selecione a Categoria do Laboratório desta atividade prática:]],Planilha1!A:A,Planilha1!B:B)</f>
        <v>NTR</v>
      </c>
      <c r="DT34" s="1" t="str">
        <f>CONCATENATE(OfficeForms.Table[[#This Row],[Selecione seu Polo Laboratório de Atividades Presenciais:]],OfficeForms.Table[[#This Row],[CHAVE CONVERSÃO]])</f>
        <v>Criciúma/SCNTR</v>
      </c>
      <c r="DU3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3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3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4" s="1" t="str">
        <f>_xlfn.XLOOKUP(OfficeForms.Table[[#This Row],[CHAVE LINK POLO]],'[1]Quadro Geral de Lotação'!$B:$B,'[1]Quadro Geral de Lotação'!$I:$I)</f>
        <v>Izabela Cechinel Biela</v>
      </c>
      <c r="DY34" s="1" t="str">
        <f>OfficeForms.Table[[#This Row],[Selecione a Ordem de Disciplina]]</f>
        <v>Ordem 1</v>
      </c>
    </row>
    <row r="35" spans="1:129" ht="34.15" customHeight="1">
      <c r="A35" s="1">
        <v>35</v>
      </c>
      <c r="B35" s="2">
        <v>46078.813425925902</v>
      </c>
      <c r="C35" s="2">
        <v>46078.819918981499</v>
      </c>
      <c r="D35" s="3" t="s">
        <v>288</v>
      </c>
      <c r="E35" s="3" t="s">
        <v>289</v>
      </c>
      <c r="G35" s="3"/>
      <c r="I35" s="3" t="s">
        <v>216</v>
      </c>
      <c r="K35" s="3"/>
      <c r="L35" s="1" t="s">
        <v>132</v>
      </c>
      <c r="O35" s="3" t="s">
        <v>156</v>
      </c>
      <c r="Q35" s="3"/>
      <c r="R35" s="3"/>
      <c r="T35" s="3"/>
      <c r="U35" s="5"/>
      <c r="W35" s="3"/>
      <c r="Z35" s="3"/>
      <c r="AA35" s="3"/>
      <c r="AC35" s="3"/>
      <c r="AD35" s="3"/>
      <c r="AF35" s="3"/>
      <c r="AG35" s="3"/>
      <c r="AI35" s="3"/>
      <c r="AJ35" s="1"/>
      <c r="AL35" s="3"/>
      <c r="AO35" s="3"/>
      <c r="AP35" s="3"/>
      <c r="AR35" s="3"/>
      <c r="AS35" s="3"/>
      <c r="AU35" s="3"/>
      <c r="AV35" s="3"/>
      <c r="AX35" s="3"/>
      <c r="AY35" s="5"/>
      <c r="BA35" s="3"/>
      <c r="BD35" s="3"/>
      <c r="BE35" s="3"/>
      <c r="BG35" s="3"/>
      <c r="BH35" s="3"/>
      <c r="BJ35" s="3"/>
      <c r="BK35" s="3" t="s">
        <v>157</v>
      </c>
      <c r="BM35" s="3"/>
      <c r="BN35" s="5">
        <v>46072</v>
      </c>
      <c r="BP35" s="3"/>
      <c r="BQ35" s="1">
        <v>8</v>
      </c>
      <c r="BS35" s="3"/>
      <c r="BT35" s="3" t="s">
        <v>290</v>
      </c>
      <c r="BV35" s="3"/>
      <c r="BW35" s="3" t="s">
        <v>291</v>
      </c>
      <c r="BY35" s="3"/>
      <c r="BZ35" s="3"/>
      <c r="CB35" s="3"/>
      <c r="CC35" s="5"/>
      <c r="CE35" s="3"/>
      <c r="CH35" s="3"/>
      <c r="CI35" s="3"/>
      <c r="CK35" s="3"/>
      <c r="CL35" s="3"/>
      <c r="CN35" s="3"/>
      <c r="CO35" s="3"/>
      <c r="CQ35" s="3"/>
      <c r="CR35" s="5"/>
      <c r="CT35" s="3"/>
      <c r="CW35" s="3"/>
      <c r="CX35" s="3"/>
      <c r="CZ35" s="3"/>
      <c r="DA35" s="3"/>
      <c r="DC35" s="3"/>
      <c r="DD35" s="3"/>
      <c r="DF35" s="3"/>
      <c r="DG35" s="5"/>
      <c r="DI35" s="3"/>
      <c r="DL35" s="3"/>
      <c r="DM35" s="3"/>
      <c r="DO35" s="3"/>
      <c r="DP35" s="3"/>
      <c r="DR35" s="3"/>
      <c r="DS35" s="1" t="str">
        <f>_xlfn.XLOOKUP(OfficeForms.Table[[#This Row],[Selecione a Categoria do Laboratório desta atividade prática:]],Planilha1!A:A,Planilha1!B:B)</f>
        <v>NTR</v>
      </c>
      <c r="DT35" s="1" t="str">
        <f>CONCATENATE(OfficeForms.Table[[#This Row],[Selecione seu Polo Laboratório de Atividades Presenciais:]],OfficeForms.Table[[#This Row],[CHAVE CONVERSÃO]])</f>
        <v>Feira De Santana/BA - CentroNTR</v>
      </c>
      <c r="DU3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3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3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35" s="1" t="str">
        <f>_xlfn.XLOOKUP(OfficeForms.Table[[#This Row],[CHAVE LINK POLO]],'[1]Quadro Geral de Lotação'!$B:$B,'[1]Quadro Geral de Lotação'!$I:$I)</f>
        <v>Daiane Dias Ferreira</v>
      </c>
      <c r="DY35" s="1" t="str">
        <f>OfficeForms.Table[[#This Row],[Selecione a Ordem de Disciplina]]</f>
        <v>Ordem 1</v>
      </c>
    </row>
    <row r="36" spans="1:129" ht="34.15" customHeight="1">
      <c r="A36" s="1">
        <v>36</v>
      </c>
      <c r="B36" s="2">
        <v>46078.823310185202</v>
      </c>
      <c r="C36" s="2">
        <v>46078.839918981503</v>
      </c>
      <c r="D36" s="3" t="s">
        <v>292</v>
      </c>
      <c r="E36" s="3" t="s">
        <v>293</v>
      </c>
      <c r="G36" s="3"/>
      <c r="I36" s="3" t="s">
        <v>294</v>
      </c>
      <c r="K36" s="3"/>
      <c r="L36" s="1" t="s">
        <v>132</v>
      </c>
      <c r="O36" s="3" t="s">
        <v>184</v>
      </c>
      <c r="Q36" s="3"/>
      <c r="R36" s="3"/>
      <c r="T36" s="3"/>
      <c r="U36" s="5"/>
      <c r="W36" s="3"/>
      <c r="Z36" s="3"/>
      <c r="AA36" s="3"/>
      <c r="AC36" s="3"/>
      <c r="AD36" s="3"/>
      <c r="AF36" s="3"/>
      <c r="AG36" s="3" t="s">
        <v>185</v>
      </c>
      <c r="AI36" s="3"/>
      <c r="AJ36" s="1">
        <v>46071</v>
      </c>
      <c r="AL36" s="3"/>
      <c r="AM36" s="1">
        <v>3</v>
      </c>
      <c r="AO36" s="3"/>
      <c r="AP36" s="3" t="s">
        <v>295</v>
      </c>
      <c r="AR36" s="3"/>
      <c r="AS36" s="3" t="s">
        <v>296</v>
      </c>
      <c r="AU36" s="3"/>
      <c r="AV36" s="3"/>
      <c r="AX36" s="3"/>
      <c r="AY36" s="5"/>
      <c r="BA36" s="3"/>
      <c r="BD36" s="3"/>
      <c r="BE36" s="3"/>
      <c r="BG36" s="3"/>
      <c r="BH36" s="3"/>
      <c r="BJ36" s="3"/>
      <c r="BK36" s="3"/>
      <c r="BM36" s="3"/>
      <c r="BN36" s="5"/>
      <c r="BP36" s="3"/>
      <c r="BS36" s="3"/>
      <c r="BT36" s="3"/>
      <c r="BV36" s="3"/>
      <c r="BW36" s="3"/>
      <c r="BY36" s="3"/>
      <c r="BZ36" s="3"/>
      <c r="CB36" s="3"/>
      <c r="CC36" s="5"/>
      <c r="CE36" s="3"/>
      <c r="CH36" s="3"/>
      <c r="CI36" s="3"/>
      <c r="CK36" s="3"/>
      <c r="CL36" s="3"/>
      <c r="CN36" s="3"/>
      <c r="CO36" s="3"/>
      <c r="CQ36" s="3"/>
      <c r="CR36" s="5"/>
      <c r="CT36" s="3"/>
      <c r="CW36" s="3"/>
      <c r="CX36" s="3"/>
      <c r="CZ36" s="3"/>
      <c r="DA36" s="3"/>
      <c r="DC36" s="3"/>
      <c r="DD36" s="3"/>
      <c r="DF36" s="3"/>
      <c r="DG36" s="5"/>
      <c r="DI36" s="3"/>
      <c r="DL36" s="3"/>
      <c r="DM36" s="3"/>
      <c r="DO36" s="3"/>
      <c r="DP36" s="3"/>
      <c r="DR36" s="3"/>
      <c r="DS36" s="1" t="str">
        <f>_xlfn.XLOOKUP(OfficeForms.Table[[#This Row],[Selecione a Categoria do Laboratório desta atividade prática:]],Planilha1!A:A,Planilha1!B:B)</f>
        <v>EMF-ISN</v>
      </c>
      <c r="DT36" s="1" t="str">
        <f>CONCATENATE(OfficeForms.Table[[#This Row],[Selecione seu Polo Laboratório de Atividades Presenciais:]],OfficeForms.Table[[#This Row],[CHAVE CONVERSÃO]])</f>
        <v>Ituiutaba/MGEMF-ISN</v>
      </c>
      <c r="DU3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3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3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36" s="1" t="str">
        <f>_xlfn.XLOOKUP(OfficeForms.Table[[#This Row],[CHAVE LINK POLO]],'[1]Quadro Geral de Lotação'!$B:$B,'[1]Quadro Geral de Lotação'!$I:$I)</f>
        <v>Lorena Tomaz Ribeiro</v>
      </c>
      <c r="DY36" s="1" t="str">
        <f>OfficeForms.Table[[#This Row],[Selecione a Ordem de Disciplina]]</f>
        <v>Ordem 1</v>
      </c>
    </row>
    <row r="37" spans="1:129" ht="34.15" customHeight="1">
      <c r="A37" s="1">
        <v>37</v>
      </c>
      <c r="B37" s="2">
        <v>46078.837766203702</v>
      </c>
      <c r="C37" s="2">
        <v>46078.873530092598</v>
      </c>
      <c r="D37" s="3" t="s">
        <v>297</v>
      </c>
      <c r="E37" s="3" t="s">
        <v>298</v>
      </c>
      <c r="G37" s="3"/>
      <c r="I37" s="3" t="s">
        <v>299</v>
      </c>
      <c r="K37" s="3"/>
      <c r="L37" s="1" t="s">
        <v>132</v>
      </c>
      <c r="O37" s="3" t="s">
        <v>156</v>
      </c>
      <c r="Q37" s="3"/>
      <c r="R37" s="3"/>
      <c r="T37" s="3"/>
      <c r="U37" s="5"/>
      <c r="W37" s="3"/>
      <c r="Z37" s="3"/>
      <c r="AA37" s="3"/>
      <c r="AC37" s="3"/>
      <c r="AD37" s="3"/>
      <c r="AF37" s="3"/>
      <c r="AG37" s="3"/>
      <c r="AI37" s="3"/>
      <c r="AJ37" s="1"/>
      <c r="AL37" s="3"/>
      <c r="AO37" s="3"/>
      <c r="AP37" s="3"/>
      <c r="AR37" s="3"/>
      <c r="AS37" s="3"/>
      <c r="AU37" s="3"/>
      <c r="AV37" s="3"/>
      <c r="AX37" s="3"/>
      <c r="AY37" s="5"/>
      <c r="BA37" s="3"/>
      <c r="BD37" s="3"/>
      <c r="BE37" s="3"/>
      <c r="BG37" s="3"/>
      <c r="BH37" s="3"/>
      <c r="BJ37" s="3"/>
      <c r="BK37" s="3" t="s">
        <v>165</v>
      </c>
      <c r="BM37" s="3"/>
      <c r="BN37" s="5">
        <v>46077</v>
      </c>
      <c r="BP37" s="3"/>
      <c r="BQ37" s="1">
        <v>10</v>
      </c>
      <c r="BS37" s="3"/>
      <c r="BT37" s="3" t="s">
        <v>300</v>
      </c>
      <c r="BV37" s="3"/>
      <c r="BW37" s="3" t="s">
        <v>301</v>
      </c>
      <c r="BY37" s="3"/>
      <c r="BZ37" s="3"/>
      <c r="CB37" s="3"/>
      <c r="CC37" s="5"/>
      <c r="CE37" s="3"/>
      <c r="CH37" s="3"/>
      <c r="CI37" s="3"/>
      <c r="CK37" s="3"/>
      <c r="CL37" s="3"/>
      <c r="CN37" s="3"/>
      <c r="CO37" s="3"/>
      <c r="CQ37" s="3"/>
      <c r="CR37" s="5"/>
      <c r="CT37" s="3"/>
      <c r="CW37" s="3"/>
      <c r="CX37" s="3"/>
      <c r="CZ37" s="3"/>
      <c r="DA37" s="3"/>
      <c r="DC37" s="3"/>
      <c r="DD37" s="3"/>
      <c r="DF37" s="3"/>
      <c r="DG37" s="5"/>
      <c r="DI37" s="3"/>
      <c r="DL37" s="3"/>
      <c r="DM37" s="3"/>
      <c r="DO37" s="3"/>
      <c r="DP37" s="3"/>
      <c r="DR37" s="3"/>
      <c r="DS37" s="1" t="str">
        <f>_xlfn.XLOOKUP(OfficeForms.Table[[#This Row],[Selecione a Categoria do Laboratório desta atividade prática:]],Planilha1!A:A,Planilha1!B:B)</f>
        <v>NTR</v>
      </c>
      <c r="DT37" s="1" t="str">
        <f>CONCATENATE(OfficeForms.Table[[#This Row],[Selecione seu Polo Laboratório de Atividades Presenciais:]],OfficeForms.Table[[#This Row],[CHAVE CONVERSÃO]])</f>
        <v>Indaial/SC - Vitória Regia ( Centro Universitário  Leonardo da Vinci)NTR</v>
      </c>
      <c r="DU3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3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3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37" s="1" t="str">
        <f>_xlfn.XLOOKUP(OfficeForms.Table[[#This Row],[CHAVE LINK POLO]],'[1]Quadro Geral de Lotação'!$B:$B,'[1]Quadro Geral de Lotação'!$I:$I)</f>
        <v>-</v>
      </c>
      <c r="DY37" s="1" t="str">
        <f>OfficeForms.Table[[#This Row],[Selecione a Ordem de Disciplina]]</f>
        <v>Ordem 1</v>
      </c>
    </row>
    <row r="38" spans="1:129" ht="34.15" customHeight="1">
      <c r="A38" s="1">
        <v>38</v>
      </c>
      <c r="B38" s="2">
        <v>46078.832222222198</v>
      </c>
      <c r="C38" s="2">
        <v>46078.882465277798</v>
      </c>
      <c r="D38" s="3" t="s">
        <v>191</v>
      </c>
      <c r="E38" s="3" t="s">
        <v>192</v>
      </c>
      <c r="G38" s="3"/>
      <c r="I38" s="3" t="s">
        <v>193</v>
      </c>
      <c r="K38" s="3"/>
      <c r="L38" s="1" t="s">
        <v>132</v>
      </c>
      <c r="O38" s="3" t="s">
        <v>184</v>
      </c>
      <c r="Q38" s="3"/>
      <c r="R38" s="3"/>
      <c r="T38" s="3"/>
      <c r="U38" s="5"/>
      <c r="W38" s="3"/>
      <c r="Z38" s="3"/>
      <c r="AA38" s="3"/>
      <c r="AC38" s="3"/>
      <c r="AD38" s="3"/>
      <c r="AF38" s="3"/>
      <c r="AG38" s="3" t="s">
        <v>185</v>
      </c>
      <c r="AI38" s="3"/>
      <c r="AJ38" s="1">
        <v>46078</v>
      </c>
      <c r="AL38" s="3"/>
      <c r="AM38" s="1">
        <v>6</v>
      </c>
      <c r="AO38" s="3"/>
      <c r="AP38" s="3" t="s">
        <v>302</v>
      </c>
      <c r="AR38" s="3"/>
      <c r="AS38" s="3" t="s">
        <v>303</v>
      </c>
      <c r="AU38" s="3"/>
      <c r="AV38" s="3"/>
      <c r="AX38" s="3"/>
      <c r="AY38" s="5"/>
      <c r="BA38" s="3"/>
      <c r="BD38" s="3"/>
      <c r="BE38" s="3"/>
      <c r="BG38" s="3"/>
      <c r="BH38" s="3"/>
      <c r="BJ38" s="3"/>
      <c r="BK38" s="3"/>
      <c r="BM38" s="3"/>
      <c r="BN38" s="5"/>
      <c r="BP38" s="3"/>
      <c r="BS38" s="3"/>
      <c r="BT38" s="3"/>
      <c r="BV38" s="3"/>
      <c r="BW38" s="3"/>
      <c r="BY38" s="3"/>
      <c r="BZ38" s="3"/>
      <c r="CB38" s="3"/>
      <c r="CC38" s="5"/>
      <c r="CE38" s="3"/>
      <c r="CH38" s="3"/>
      <c r="CI38" s="3"/>
      <c r="CK38" s="3"/>
      <c r="CL38" s="3"/>
      <c r="CN38" s="3"/>
      <c r="CO38" s="3"/>
      <c r="CQ38" s="3"/>
      <c r="CR38" s="5"/>
      <c r="CT38" s="3"/>
      <c r="CW38" s="3"/>
      <c r="CX38" s="3"/>
      <c r="CZ38" s="3"/>
      <c r="DA38" s="3"/>
      <c r="DC38" s="3"/>
      <c r="DD38" s="3"/>
      <c r="DF38" s="3"/>
      <c r="DG38" s="5"/>
      <c r="DI38" s="3"/>
      <c r="DL38" s="3"/>
      <c r="DM38" s="3"/>
      <c r="DO38" s="3"/>
      <c r="DP38" s="3"/>
      <c r="DR38" s="3"/>
      <c r="DS38" s="1" t="str">
        <f>_xlfn.XLOOKUP(OfficeForms.Table[[#This Row],[Selecione a Categoria do Laboratório desta atividade prática:]],Planilha1!A:A,Planilha1!B:B)</f>
        <v>EMF-ISN</v>
      </c>
      <c r="DT38" s="1" t="str">
        <f>CONCATENATE(OfficeForms.Table[[#This Row],[Selecione seu Polo Laboratório de Atividades Presenciais:]],OfficeForms.Table[[#This Row],[CHAVE CONVERSÃO]])</f>
        <v>Ananindeua/PA - Cidade NovaEMF-ISN</v>
      </c>
      <c r="DU3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3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3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38" s="1" t="str">
        <f>_xlfn.XLOOKUP(OfficeForms.Table[[#This Row],[CHAVE LINK POLO]],'[1]Quadro Geral de Lotação'!$B:$B,'[1]Quadro Geral de Lotação'!$I:$I)</f>
        <v>Alina Dariane Freitas Da Silva</v>
      </c>
      <c r="DY38" s="1" t="str">
        <f>OfficeForms.Table[[#This Row],[Selecione a Ordem de Disciplina]]</f>
        <v>Ordem 1</v>
      </c>
    </row>
    <row r="39" spans="1:129" ht="34.15" customHeight="1">
      <c r="A39" s="1">
        <v>39</v>
      </c>
      <c r="B39" s="2">
        <v>46078.882511574098</v>
      </c>
      <c r="C39" s="2">
        <v>46078.887962963003</v>
      </c>
      <c r="D39" s="3" t="s">
        <v>191</v>
      </c>
      <c r="E39" s="3" t="s">
        <v>192</v>
      </c>
      <c r="G39" s="3"/>
      <c r="I39" s="3" t="s">
        <v>193</v>
      </c>
      <c r="K39" s="3"/>
      <c r="L39" s="1" t="s">
        <v>132</v>
      </c>
      <c r="O39" s="3" t="s">
        <v>184</v>
      </c>
      <c r="Q39" s="3"/>
      <c r="R39" s="3"/>
      <c r="T39" s="3"/>
      <c r="U39" s="5"/>
      <c r="W39" s="3"/>
      <c r="Z39" s="3"/>
      <c r="AA39" s="3"/>
      <c r="AC39" s="3"/>
      <c r="AD39" s="3"/>
      <c r="AF39" s="3"/>
      <c r="AG39" s="3" t="s">
        <v>206</v>
      </c>
      <c r="AI39" s="3"/>
      <c r="AJ39" s="1">
        <v>46078</v>
      </c>
      <c r="AL39" s="3"/>
      <c r="AM39" s="1">
        <v>9</v>
      </c>
      <c r="AO39" s="3"/>
      <c r="AP39" s="3" t="s">
        <v>304</v>
      </c>
      <c r="AR39" s="3"/>
      <c r="AS39" s="3" t="s">
        <v>305</v>
      </c>
      <c r="AU39" s="3"/>
      <c r="AV39" s="3"/>
      <c r="AX39" s="3"/>
      <c r="AY39" s="5"/>
      <c r="BA39" s="3"/>
      <c r="BD39" s="3"/>
      <c r="BE39" s="3"/>
      <c r="BG39" s="3"/>
      <c r="BH39" s="3"/>
      <c r="BJ39" s="3"/>
      <c r="BK39" s="3"/>
      <c r="BM39" s="3"/>
      <c r="BN39" s="5"/>
      <c r="BP39" s="3"/>
      <c r="BS39" s="3"/>
      <c r="BT39" s="3"/>
      <c r="BV39" s="3"/>
      <c r="BW39" s="3"/>
      <c r="BY39" s="3"/>
      <c r="BZ39" s="3"/>
      <c r="CB39" s="3"/>
      <c r="CC39" s="5"/>
      <c r="CE39" s="3"/>
      <c r="CH39" s="3"/>
      <c r="CI39" s="3"/>
      <c r="CK39" s="3"/>
      <c r="CL39" s="3"/>
      <c r="CN39" s="3"/>
      <c r="CO39" s="3"/>
      <c r="CQ39" s="3"/>
      <c r="CR39" s="5"/>
      <c r="CT39" s="3"/>
      <c r="CW39" s="3"/>
      <c r="CX39" s="3"/>
      <c r="CZ39" s="3"/>
      <c r="DA39" s="3"/>
      <c r="DC39" s="3"/>
      <c r="DD39" s="3"/>
      <c r="DF39" s="3"/>
      <c r="DG39" s="5"/>
      <c r="DI39" s="3"/>
      <c r="DL39" s="3"/>
      <c r="DM39" s="3"/>
      <c r="DO39" s="3"/>
      <c r="DP39" s="3"/>
      <c r="DR39" s="3"/>
      <c r="DS39" s="1" t="str">
        <f>_xlfn.XLOOKUP(OfficeForms.Table[[#This Row],[Selecione a Categoria do Laboratório desta atividade prática:]],Planilha1!A:A,Planilha1!B:B)</f>
        <v>EMF-ISN</v>
      </c>
      <c r="DT39" s="1" t="str">
        <f>CONCATENATE(OfficeForms.Table[[#This Row],[Selecione seu Polo Laboratório de Atividades Presenciais:]],OfficeForms.Table[[#This Row],[CHAVE CONVERSÃO]])</f>
        <v>Ananindeua/PA - Cidade NovaEMF-ISN</v>
      </c>
      <c r="DU3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3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3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39" s="1" t="str">
        <f>_xlfn.XLOOKUP(OfficeForms.Table[[#This Row],[CHAVE LINK POLO]],'[1]Quadro Geral de Lotação'!$B:$B,'[1]Quadro Geral de Lotação'!$I:$I)</f>
        <v>Alina Dariane Freitas Da Silva</v>
      </c>
      <c r="DY39" s="1" t="str">
        <f>OfficeForms.Table[[#This Row],[Selecione a Ordem de Disciplina]]</f>
        <v>Ordem 1</v>
      </c>
    </row>
    <row r="40" spans="1:129" ht="34.15" customHeight="1">
      <c r="A40" s="1">
        <v>40</v>
      </c>
      <c r="B40" s="2">
        <v>46078.892986111103</v>
      </c>
      <c r="C40" s="2">
        <v>46078.903483796297</v>
      </c>
      <c r="D40" s="3" t="s">
        <v>306</v>
      </c>
      <c r="E40" s="3" t="s">
        <v>307</v>
      </c>
      <c r="G40" s="3"/>
      <c r="I40" s="3" t="s">
        <v>308</v>
      </c>
      <c r="K40" s="3"/>
      <c r="L40" s="1" t="s">
        <v>132</v>
      </c>
      <c r="O40" s="3" t="s">
        <v>133</v>
      </c>
      <c r="Q40" s="3"/>
      <c r="R40" s="3"/>
      <c r="T40" s="3"/>
      <c r="U40" s="5"/>
      <c r="W40" s="3"/>
      <c r="Z40" s="3"/>
      <c r="AA40" s="3"/>
      <c r="AC40" s="3"/>
      <c r="AD40" s="3"/>
      <c r="AF40" s="3"/>
      <c r="AG40" s="3"/>
      <c r="AI40" s="3"/>
      <c r="AJ40" s="1"/>
      <c r="AL40" s="3"/>
      <c r="AO40" s="3"/>
      <c r="AP40" s="3"/>
      <c r="AR40" s="3"/>
      <c r="AS40" s="3"/>
      <c r="AU40" s="3"/>
      <c r="AV40" s="3" t="s">
        <v>276</v>
      </c>
      <c r="AX40" s="3"/>
      <c r="AY40" s="5">
        <v>46078</v>
      </c>
      <c r="BA40" s="3"/>
      <c r="BB40" s="1">
        <v>4</v>
      </c>
      <c r="BD40" s="3"/>
      <c r="BE40" s="3" t="s">
        <v>309</v>
      </c>
      <c r="BG40" s="3"/>
      <c r="BH40" s="3" t="s">
        <v>310</v>
      </c>
      <c r="BJ40" s="3"/>
      <c r="BK40" s="3"/>
      <c r="BM40" s="3"/>
      <c r="BN40" s="5"/>
      <c r="BP40" s="3"/>
      <c r="BS40" s="3"/>
      <c r="BT40" s="3"/>
      <c r="BV40" s="3"/>
      <c r="BW40" s="3"/>
      <c r="BY40" s="3"/>
      <c r="BZ40" s="3"/>
      <c r="CB40" s="3"/>
      <c r="CC40" s="5"/>
      <c r="CE40" s="3"/>
      <c r="CH40" s="3"/>
      <c r="CI40" s="3"/>
      <c r="CK40" s="3"/>
      <c r="CL40" s="3"/>
      <c r="CN40" s="3"/>
      <c r="CO40" s="3"/>
      <c r="CQ40" s="3"/>
      <c r="CR40" s="5"/>
      <c r="CT40" s="3"/>
      <c r="CW40" s="3"/>
      <c r="CX40" s="3"/>
      <c r="CZ40" s="3"/>
      <c r="DA40" s="3"/>
      <c r="DC40" s="3"/>
      <c r="DD40" s="3"/>
      <c r="DF40" s="3"/>
      <c r="DG40" s="5"/>
      <c r="DI40" s="3"/>
      <c r="DL40" s="3"/>
      <c r="DM40" s="3"/>
      <c r="DO40" s="3"/>
      <c r="DP40" s="3"/>
      <c r="DR40" s="3"/>
      <c r="DS40" s="1" t="str">
        <f>_xlfn.XLOOKUP(OfficeForms.Table[[#This Row],[Selecione a Categoria do Laboratório desta atividade prática:]],Planilha1!A:A,Planilha1!B:B)</f>
        <v>BFI</v>
      </c>
      <c r="DT40" s="1" t="str">
        <f>CONCATENATE(OfficeForms.Table[[#This Row],[Selecione seu Polo Laboratório de Atividades Presenciais:]],OfficeForms.Table[[#This Row],[CHAVE CONVERSÃO]])</f>
        <v>Salvador/BA - Caminho das ÁrvoresBFI</v>
      </c>
      <c r="DU4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Limpeza de Pele Facial e avaliação facial</v>
      </c>
      <c r="DV4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4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40" s="1" t="str">
        <f>_xlfn.XLOOKUP(OfficeForms.Table[[#This Row],[CHAVE LINK POLO]],'[1]Quadro Geral de Lotação'!$B:$B,'[1]Quadro Geral de Lotação'!$I:$I)</f>
        <v>Helenice Sacramento Souza Melo</v>
      </c>
      <c r="DY40" s="1" t="str">
        <f>OfficeForms.Table[[#This Row],[Selecione a Ordem de Disciplina]]</f>
        <v>Ordem 1</v>
      </c>
    </row>
    <row r="41" spans="1:129" ht="34.15" customHeight="1">
      <c r="A41" s="1">
        <v>41</v>
      </c>
      <c r="B41" s="2">
        <v>46078.947488425903</v>
      </c>
      <c r="C41" s="2">
        <v>46078.951736111099</v>
      </c>
      <c r="D41" s="3" t="s">
        <v>292</v>
      </c>
      <c r="E41" s="3" t="s">
        <v>293</v>
      </c>
      <c r="G41" s="3"/>
      <c r="I41" s="3" t="s">
        <v>294</v>
      </c>
      <c r="K41" s="3"/>
      <c r="L41" s="1" t="s">
        <v>132</v>
      </c>
      <c r="O41" s="3" t="s">
        <v>184</v>
      </c>
      <c r="Q41" s="3"/>
      <c r="R41" s="3"/>
      <c r="T41" s="3"/>
      <c r="U41" s="5"/>
      <c r="W41" s="3"/>
      <c r="Z41" s="3"/>
      <c r="AA41" s="3"/>
      <c r="AC41" s="3"/>
      <c r="AD41" s="3"/>
      <c r="AF41" s="3"/>
      <c r="AG41" s="3" t="s">
        <v>206</v>
      </c>
      <c r="AI41" s="3"/>
      <c r="AJ41" s="1">
        <v>46072</v>
      </c>
      <c r="AL41" s="3"/>
      <c r="AM41" s="1">
        <v>3</v>
      </c>
      <c r="AO41" s="3"/>
      <c r="AP41" s="3" t="s">
        <v>311</v>
      </c>
      <c r="AR41" s="3"/>
      <c r="AS41" s="3" t="s">
        <v>312</v>
      </c>
      <c r="AU41" s="3"/>
      <c r="AV41" s="3"/>
      <c r="AX41" s="3"/>
      <c r="AY41" s="5"/>
      <c r="BA41" s="3"/>
      <c r="BD41" s="3"/>
      <c r="BE41" s="3"/>
      <c r="BG41" s="3"/>
      <c r="BH41" s="3"/>
      <c r="BJ41" s="3"/>
      <c r="BK41" s="3"/>
      <c r="BM41" s="3"/>
      <c r="BN41" s="5"/>
      <c r="BP41" s="3"/>
      <c r="BS41" s="3"/>
      <c r="BT41" s="3"/>
      <c r="BV41" s="3"/>
      <c r="BW41" s="3"/>
      <c r="BY41" s="3"/>
      <c r="BZ41" s="3"/>
      <c r="CB41" s="3"/>
      <c r="CC41" s="5"/>
      <c r="CE41" s="3"/>
      <c r="CH41" s="3"/>
      <c r="CI41" s="3"/>
      <c r="CK41" s="3"/>
      <c r="CL41" s="3"/>
      <c r="CN41" s="3"/>
      <c r="CO41" s="3"/>
      <c r="CQ41" s="3"/>
      <c r="CR41" s="5"/>
      <c r="CT41" s="3"/>
      <c r="CW41" s="3"/>
      <c r="CX41" s="3"/>
      <c r="CZ41" s="3"/>
      <c r="DA41" s="3"/>
      <c r="DC41" s="3"/>
      <c r="DD41" s="3"/>
      <c r="DF41" s="3"/>
      <c r="DG41" s="5"/>
      <c r="DI41" s="3"/>
      <c r="DL41" s="3"/>
      <c r="DM41" s="3"/>
      <c r="DO41" s="3"/>
      <c r="DP41" s="3"/>
      <c r="DR41" s="3"/>
      <c r="DS41" s="1" t="str">
        <f>_xlfn.XLOOKUP(OfficeForms.Table[[#This Row],[Selecione a Categoria do Laboratório desta atividade prática:]],Planilha1!A:A,Planilha1!B:B)</f>
        <v>EMF-ISN</v>
      </c>
      <c r="DT41" s="1" t="str">
        <f>CONCATENATE(OfficeForms.Table[[#This Row],[Selecione seu Polo Laboratório de Atividades Presenciais:]],OfficeForms.Table[[#This Row],[CHAVE CONVERSÃO]])</f>
        <v>Ituiutaba/MGEMF-ISN</v>
      </c>
      <c r="DU4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4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4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41" s="1" t="str">
        <f>_xlfn.XLOOKUP(OfficeForms.Table[[#This Row],[CHAVE LINK POLO]],'[1]Quadro Geral de Lotação'!$B:$B,'[1]Quadro Geral de Lotação'!$I:$I)</f>
        <v>Lorena Tomaz Ribeiro</v>
      </c>
      <c r="DY41" s="1" t="str">
        <f>OfficeForms.Table[[#This Row],[Selecione a Ordem de Disciplina]]</f>
        <v>Ordem 1</v>
      </c>
    </row>
    <row r="42" spans="1:129" ht="34.15" customHeight="1">
      <c r="A42" s="1">
        <v>42</v>
      </c>
      <c r="B42" s="2">
        <v>46078.966481481497</v>
      </c>
      <c r="C42" s="2">
        <v>46078.969675925902</v>
      </c>
      <c r="D42" s="3" t="s">
        <v>313</v>
      </c>
      <c r="E42" s="3" t="s">
        <v>314</v>
      </c>
      <c r="G42" s="3"/>
      <c r="I42" s="3" t="s">
        <v>315</v>
      </c>
      <c r="K42" s="3"/>
      <c r="L42" s="1" t="s">
        <v>132</v>
      </c>
      <c r="O42" s="3" t="s">
        <v>184</v>
      </c>
      <c r="Q42" s="3"/>
      <c r="R42" s="3"/>
      <c r="T42" s="3"/>
      <c r="U42" s="5"/>
      <c r="W42" s="3"/>
      <c r="Z42" s="3"/>
      <c r="AA42" s="3"/>
      <c r="AC42" s="3"/>
      <c r="AD42" s="3"/>
      <c r="AF42" s="3"/>
      <c r="AG42" s="3" t="s">
        <v>316</v>
      </c>
      <c r="AI42" s="3"/>
      <c r="AJ42" s="1">
        <v>46078</v>
      </c>
      <c r="AL42" s="3"/>
      <c r="AM42" s="1">
        <v>8</v>
      </c>
      <c r="AO42" s="3"/>
      <c r="AP42" s="3" t="s">
        <v>317</v>
      </c>
      <c r="AR42" s="3"/>
      <c r="AS42" s="3" t="s">
        <v>318</v>
      </c>
      <c r="AU42" s="3"/>
      <c r="AV42" s="3"/>
      <c r="AX42" s="3"/>
      <c r="AY42" s="5"/>
      <c r="BA42" s="3"/>
      <c r="BD42" s="3"/>
      <c r="BE42" s="3"/>
      <c r="BG42" s="3"/>
      <c r="BH42" s="3"/>
      <c r="BJ42" s="3"/>
      <c r="BK42" s="3"/>
      <c r="BM42" s="3"/>
      <c r="BN42" s="5"/>
      <c r="BP42" s="3"/>
      <c r="BS42" s="3"/>
      <c r="BT42" s="3"/>
      <c r="BV42" s="3"/>
      <c r="BW42" s="3"/>
      <c r="BY42" s="3"/>
      <c r="BZ42" s="3"/>
      <c r="CB42" s="3"/>
      <c r="CC42" s="5"/>
      <c r="CE42" s="3"/>
      <c r="CH42" s="3"/>
      <c r="CI42" s="3"/>
      <c r="CK42" s="3"/>
      <c r="CL42" s="3"/>
      <c r="CN42" s="3"/>
      <c r="CO42" s="3"/>
      <c r="CQ42" s="3"/>
      <c r="CR42" s="5"/>
      <c r="CT42" s="3"/>
      <c r="CW42" s="3"/>
      <c r="CX42" s="3"/>
      <c r="CZ42" s="3"/>
      <c r="DA42" s="3"/>
      <c r="DC42" s="3"/>
      <c r="DD42" s="3"/>
      <c r="DF42" s="3"/>
      <c r="DG42" s="5"/>
      <c r="DI42" s="3"/>
      <c r="DL42" s="3"/>
      <c r="DM42" s="3"/>
      <c r="DO42" s="3"/>
      <c r="DP42" s="3"/>
      <c r="DR42" s="3"/>
      <c r="DS42" s="1" t="str">
        <f>_xlfn.XLOOKUP(OfficeForms.Table[[#This Row],[Selecione a Categoria do Laboratório desta atividade prática:]],Planilha1!A:A,Planilha1!B:B)</f>
        <v>EMF-ISN</v>
      </c>
      <c r="DT42" s="1" t="str">
        <f>CONCATENATE(OfficeForms.Table[[#This Row],[Selecione seu Polo Laboratório de Atividades Presenciais:]],OfficeForms.Table[[#This Row],[CHAVE CONVERSÃO]])</f>
        <v>Alenquer/PAEMF-ISN</v>
      </c>
      <c r="DU4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4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4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42" s="1" t="str">
        <f>_xlfn.XLOOKUP(OfficeForms.Table[[#This Row],[CHAVE LINK POLO]],'[1]Quadro Geral de Lotação'!$B:$B,'[1]Quadro Geral de Lotação'!$I:$I)</f>
        <v>Ana Flavia Chaves De Souza</v>
      </c>
      <c r="DY42" s="1" t="str">
        <f>OfficeForms.Table[[#This Row],[Selecione a Ordem de Disciplina]]</f>
        <v>Ordem 1</v>
      </c>
    </row>
    <row r="43" spans="1:129" ht="34.15" customHeight="1">
      <c r="A43" s="1">
        <v>43</v>
      </c>
      <c r="B43" s="2">
        <v>46079.339131944398</v>
      </c>
      <c r="C43" s="2">
        <v>46079.340636574103</v>
      </c>
      <c r="D43" s="3" t="s">
        <v>319</v>
      </c>
      <c r="E43" s="3" t="s">
        <v>320</v>
      </c>
      <c r="G43" s="3"/>
      <c r="I43" s="3" t="s">
        <v>321</v>
      </c>
      <c r="K43" s="3"/>
      <c r="L43" s="1" t="s">
        <v>132</v>
      </c>
      <c r="O43" s="3" t="s">
        <v>184</v>
      </c>
      <c r="Q43" s="3"/>
      <c r="R43" s="3"/>
      <c r="T43" s="3"/>
      <c r="U43" s="5"/>
      <c r="W43" s="3"/>
      <c r="Z43" s="3"/>
      <c r="AA43" s="3"/>
      <c r="AC43" s="3"/>
      <c r="AD43" s="3"/>
      <c r="AF43" s="3"/>
      <c r="AG43" s="3" t="s">
        <v>322</v>
      </c>
      <c r="AI43" s="3"/>
      <c r="AJ43" s="1">
        <v>46078</v>
      </c>
      <c r="AL43" s="3"/>
      <c r="AM43" s="1">
        <v>0</v>
      </c>
      <c r="AO43" s="3"/>
      <c r="AP43" s="3" t="s">
        <v>323</v>
      </c>
      <c r="AR43" s="3"/>
      <c r="AS43" s="3" t="s">
        <v>324</v>
      </c>
      <c r="AU43" s="3"/>
      <c r="AV43" s="3"/>
      <c r="AX43" s="3"/>
      <c r="AY43" s="5"/>
      <c r="BA43" s="3"/>
      <c r="BD43" s="3"/>
      <c r="BE43" s="3"/>
      <c r="BG43" s="3"/>
      <c r="BH43" s="3"/>
      <c r="BJ43" s="3"/>
      <c r="BK43" s="3"/>
      <c r="BM43" s="3"/>
      <c r="BN43" s="5"/>
      <c r="BP43" s="3"/>
      <c r="BS43" s="3"/>
      <c r="BT43" s="3"/>
      <c r="BV43" s="3"/>
      <c r="BW43" s="3"/>
      <c r="BY43" s="3"/>
      <c r="BZ43" s="3"/>
      <c r="CB43" s="3"/>
      <c r="CC43" s="5"/>
      <c r="CE43" s="3"/>
      <c r="CH43" s="3"/>
      <c r="CI43" s="3"/>
      <c r="CK43" s="3"/>
      <c r="CL43" s="3"/>
      <c r="CN43" s="3"/>
      <c r="CO43" s="3"/>
      <c r="CQ43" s="3"/>
      <c r="CR43" s="5"/>
      <c r="CT43" s="3"/>
      <c r="CW43" s="3"/>
      <c r="CX43" s="3"/>
      <c r="CZ43" s="3"/>
      <c r="DA43" s="3"/>
      <c r="DC43" s="3"/>
      <c r="DD43" s="3"/>
      <c r="DF43" s="3"/>
      <c r="DG43" s="5"/>
      <c r="DI43" s="3"/>
      <c r="DL43" s="3"/>
      <c r="DM43" s="3"/>
      <c r="DO43" s="3"/>
      <c r="DP43" s="3"/>
      <c r="DR43" s="3"/>
      <c r="DS43" s="1" t="str">
        <f>_xlfn.XLOOKUP(OfficeForms.Table[[#This Row],[Selecione a Categoria do Laboratório desta atividade prática:]],Planilha1!A:A,Planilha1!B:B)</f>
        <v>EMF-ISN</v>
      </c>
      <c r="DT43" s="1" t="str">
        <f>CONCATENATE(OfficeForms.Table[[#This Row],[Selecione seu Polo Laboratório de Atividades Presenciais:]],OfficeForms.Table[[#This Row],[CHAVE CONVERSÃO]])</f>
        <v>Praia Grande/SPEMF-ISN</v>
      </c>
      <c r="DU4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4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4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3" s="1" t="str">
        <f>_xlfn.XLOOKUP(OfficeForms.Table[[#This Row],[CHAVE LINK POLO]],'[1]Quadro Geral de Lotação'!$B:$B,'[1]Quadro Geral de Lotação'!$I:$I)</f>
        <v>Eliana Lazari Vieira Goncalves</v>
      </c>
      <c r="DY43" s="1" t="str">
        <f>OfficeForms.Table[[#This Row],[Selecione a Ordem de Disciplina]]</f>
        <v>Ordem 1</v>
      </c>
    </row>
    <row r="44" spans="1:129" ht="34.15" customHeight="1">
      <c r="A44" s="1">
        <v>44</v>
      </c>
      <c r="B44" s="2">
        <v>46079.363275463002</v>
      </c>
      <c r="C44" s="2">
        <v>46079.367881944403</v>
      </c>
      <c r="D44" s="3" t="s">
        <v>325</v>
      </c>
      <c r="E44" s="3" t="s">
        <v>326</v>
      </c>
      <c r="G44" s="3"/>
      <c r="I44" s="3" t="s">
        <v>275</v>
      </c>
      <c r="K44" s="3"/>
      <c r="L44" s="1" t="s">
        <v>132</v>
      </c>
      <c r="O44" s="3" t="s">
        <v>133</v>
      </c>
      <c r="Q44" s="3"/>
      <c r="R44" s="3"/>
      <c r="T44" s="3"/>
      <c r="U44" s="5"/>
      <c r="W44" s="3"/>
      <c r="Z44" s="3"/>
      <c r="AA44" s="3"/>
      <c r="AC44" s="3"/>
      <c r="AD44" s="3"/>
      <c r="AF44" s="3"/>
      <c r="AG44" s="3"/>
      <c r="AI44" s="3"/>
      <c r="AJ44" s="1"/>
      <c r="AL44" s="3"/>
      <c r="AO44" s="3"/>
      <c r="AP44" s="3"/>
      <c r="AR44" s="3"/>
      <c r="AS44" s="3"/>
      <c r="AU44" s="3"/>
      <c r="AV44" s="3" t="s">
        <v>327</v>
      </c>
      <c r="AX44" s="3"/>
      <c r="AY44" s="5">
        <v>46072</v>
      </c>
      <c r="BA44" s="3"/>
      <c r="BB44" s="1">
        <v>2</v>
      </c>
      <c r="BD44" s="3"/>
      <c r="BE44" s="3" t="s">
        <v>328</v>
      </c>
      <c r="BG44" s="3"/>
      <c r="BH44" s="3" t="s">
        <v>329</v>
      </c>
      <c r="BJ44" s="3"/>
      <c r="BK44" s="3"/>
      <c r="BM44" s="3"/>
      <c r="BN44" s="5"/>
      <c r="BP44" s="3"/>
      <c r="BS44" s="3"/>
      <c r="BT44" s="3"/>
      <c r="BV44" s="3"/>
      <c r="BW44" s="3"/>
      <c r="BY44" s="3"/>
      <c r="BZ44" s="3"/>
      <c r="CB44" s="3"/>
      <c r="CC44" s="5"/>
      <c r="CE44" s="3"/>
      <c r="CH44" s="3"/>
      <c r="CI44" s="3"/>
      <c r="CK44" s="3"/>
      <c r="CL44" s="3"/>
      <c r="CN44" s="3"/>
      <c r="CO44" s="3"/>
      <c r="CQ44" s="3"/>
      <c r="CR44" s="5"/>
      <c r="CT44" s="3"/>
      <c r="CW44" s="3"/>
      <c r="CX44" s="3"/>
      <c r="CZ44" s="3"/>
      <c r="DA44" s="3"/>
      <c r="DC44" s="3"/>
      <c r="DD44" s="3"/>
      <c r="DF44" s="3"/>
      <c r="DG44" s="5"/>
      <c r="DI44" s="3"/>
      <c r="DL44" s="3"/>
      <c r="DM44" s="3"/>
      <c r="DO44" s="3"/>
      <c r="DP44" s="3"/>
      <c r="DR44" s="3"/>
      <c r="DS44" s="1" t="str">
        <f>_xlfn.XLOOKUP(OfficeForms.Table[[#This Row],[Selecione a Categoria do Laboratório desta atividade prática:]],Planilha1!A:A,Planilha1!B:B)</f>
        <v>BFI</v>
      </c>
      <c r="DT44" s="1" t="str">
        <f>CONCATENATE(OfficeForms.Table[[#This Row],[Selecione seu Polo Laboratório de Atividades Presenciais:]],OfficeForms.Table[[#This Row],[CHAVE CONVERSÃO]])</f>
        <v>Porto Alegre/RS - Zona NorteBFI</v>
      </c>
      <c r="DU4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Inferiores : Prática em Fisioterapia Traumato-Ortopédica</v>
      </c>
      <c r="DV4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4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4" s="1" t="str">
        <f>_xlfn.XLOOKUP(OfficeForms.Table[[#This Row],[CHAVE LINK POLO]],'[1]Quadro Geral de Lotação'!$B:$B,'[1]Quadro Geral de Lotação'!$I:$I)</f>
        <v>Fabiano Johnson Duarte Bartmann</v>
      </c>
      <c r="DY44" s="1" t="str">
        <f>OfficeForms.Table[[#This Row],[Selecione a Ordem de Disciplina]]</f>
        <v>Ordem 1</v>
      </c>
    </row>
    <row r="45" spans="1:129" ht="34.15" customHeight="1">
      <c r="A45" s="1">
        <v>45</v>
      </c>
      <c r="B45" s="2">
        <v>46079.368379629603</v>
      </c>
      <c r="C45" s="2">
        <v>46079.369039351797</v>
      </c>
      <c r="D45" s="3" t="s">
        <v>325</v>
      </c>
      <c r="E45" s="3" t="s">
        <v>326</v>
      </c>
      <c r="G45" s="3"/>
      <c r="I45" s="3" t="s">
        <v>275</v>
      </c>
      <c r="K45" s="3"/>
      <c r="L45" s="1" t="s">
        <v>132</v>
      </c>
      <c r="O45" s="3" t="s">
        <v>133</v>
      </c>
      <c r="Q45" s="3"/>
      <c r="R45" s="3"/>
      <c r="T45" s="3"/>
      <c r="U45" s="5"/>
      <c r="W45" s="3"/>
      <c r="Z45" s="3"/>
      <c r="AA45" s="3"/>
      <c r="AC45" s="3"/>
      <c r="AD45" s="3"/>
      <c r="AF45" s="3"/>
      <c r="AG45" s="3"/>
      <c r="AI45" s="3"/>
      <c r="AJ45" s="1"/>
      <c r="AL45" s="3"/>
      <c r="AO45" s="3"/>
      <c r="AP45" s="3"/>
      <c r="AR45" s="3"/>
      <c r="AS45" s="3"/>
      <c r="AU45" s="3"/>
      <c r="AV45" s="3" t="s">
        <v>330</v>
      </c>
      <c r="AX45" s="3"/>
      <c r="AY45" s="5">
        <v>46072</v>
      </c>
      <c r="BA45" s="3"/>
      <c r="BB45" s="1">
        <v>3</v>
      </c>
      <c r="BD45" s="3"/>
      <c r="BE45" s="3" t="s">
        <v>331</v>
      </c>
      <c r="BG45" s="3"/>
      <c r="BH45" s="3" t="s">
        <v>332</v>
      </c>
      <c r="BJ45" s="3"/>
      <c r="BK45" s="3"/>
      <c r="BM45" s="3"/>
      <c r="BN45" s="5"/>
      <c r="BP45" s="3"/>
      <c r="BS45" s="3"/>
      <c r="BT45" s="3"/>
      <c r="BV45" s="3"/>
      <c r="BW45" s="3"/>
      <c r="BY45" s="3"/>
      <c r="BZ45" s="3"/>
      <c r="CB45" s="3"/>
      <c r="CC45" s="5"/>
      <c r="CE45" s="3"/>
      <c r="CH45" s="3"/>
      <c r="CI45" s="3"/>
      <c r="CK45" s="3"/>
      <c r="CL45" s="3"/>
      <c r="CN45" s="3"/>
      <c r="CO45" s="3"/>
      <c r="CQ45" s="3"/>
      <c r="CR45" s="5"/>
      <c r="CT45" s="3"/>
      <c r="CW45" s="3"/>
      <c r="CX45" s="3"/>
      <c r="CZ45" s="3"/>
      <c r="DA45" s="3"/>
      <c r="DC45" s="3"/>
      <c r="DD45" s="3"/>
      <c r="DF45" s="3"/>
      <c r="DG45" s="5"/>
      <c r="DI45" s="3"/>
      <c r="DL45" s="3"/>
      <c r="DM45" s="3"/>
      <c r="DO45" s="3"/>
      <c r="DP45" s="3"/>
      <c r="DR45" s="3"/>
      <c r="DS45" s="1" t="str">
        <f>_xlfn.XLOOKUP(OfficeForms.Table[[#This Row],[Selecione a Categoria do Laboratório desta atividade prática:]],Planilha1!A:A,Planilha1!B:B)</f>
        <v>BFI</v>
      </c>
      <c r="DT45" s="1" t="str">
        <f>CONCATENATE(OfficeForms.Table[[#This Row],[Selecione seu Polo Laboratório de Atividades Presenciais:]],OfficeForms.Table[[#This Row],[CHAVE CONVERSÃO]])</f>
        <v>Porto Alegre/RS - Zona NorteBFI</v>
      </c>
      <c r="DU4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Superiores: Prática em Fisioterapia Traumato-Ortopédica</v>
      </c>
      <c r="DV4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4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45" s="1" t="str">
        <f>_xlfn.XLOOKUP(OfficeForms.Table[[#This Row],[CHAVE LINK POLO]],'[1]Quadro Geral de Lotação'!$B:$B,'[1]Quadro Geral de Lotação'!$I:$I)</f>
        <v>Fabiano Johnson Duarte Bartmann</v>
      </c>
      <c r="DY45" s="1" t="str">
        <f>OfficeForms.Table[[#This Row],[Selecione a Ordem de Disciplina]]</f>
        <v>Ordem 1</v>
      </c>
    </row>
    <row r="46" spans="1:129" ht="34.15" customHeight="1">
      <c r="A46" s="1">
        <v>46</v>
      </c>
      <c r="B46" s="2">
        <v>46079.424293981501</v>
      </c>
      <c r="C46" s="2">
        <v>46079.425902777803</v>
      </c>
      <c r="D46" s="3" t="s">
        <v>333</v>
      </c>
      <c r="E46" s="3" t="s">
        <v>334</v>
      </c>
      <c r="G46" s="3"/>
      <c r="I46" s="3" t="s">
        <v>275</v>
      </c>
      <c r="K46" s="3"/>
      <c r="L46" s="1" t="s">
        <v>132</v>
      </c>
      <c r="O46" s="3" t="s">
        <v>184</v>
      </c>
      <c r="Q46" s="3"/>
      <c r="R46" s="3"/>
      <c r="T46" s="3"/>
      <c r="U46" s="5"/>
      <c r="W46" s="3"/>
      <c r="Z46" s="3"/>
      <c r="AA46" s="3"/>
      <c r="AC46" s="3"/>
      <c r="AD46" s="3"/>
      <c r="AF46" s="3"/>
      <c r="AG46" s="3" t="s">
        <v>206</v>
      </c>
      <c r="AI46" s="3"/>
      <c r="AJ46" s="1">
        <v>46077</v>
      </c>
      <c r="AL46" s="3"/>
      <c r="AM46" s="1">
        <v>15</v>
      </c>
      <c r="AO46" s="3"/>
      <c r="AP46" s="3" t="s">
        <v>335</v>
      </c>
      <c r="AR46" s="3"/>
      <c r="AS46" s="3" t="s">
        <v>336</v>
      </c>
      <c r="AU46" s="3"/>
      <c r="AV46" s="3"/>
      <c r="AX46" s="3"/>
      <c r="AY46" s="5"/>
      <c r="BA46" s="3"/>
      <c r="BD46" s="3"/>
      <c r="BE46" s="3"/>
      <c r="BG46" s="3"/>
      <c r="BH46" s="3"/>
      <c r="BJ46" s="3"/>
      <c r="BK46" s="3"/>
      <c r="BM46" s="3"/>
      <c r="BN46" s="5"/>
      <c r="BP46" s="3"/>
      <c r="BS46" s="3"/>
      <c r="BT46" s="3"/>
      <c r="BV46" s="3"/>
      <c r="BW46" s="3"/>
      <c r="BY46" s="3"/>
      <c r="BZ46" s="3"/>
      <c r="CB46" s="3"/>
      <c r="CC46" s="5"/>
      <c r="CE46" s="3"/>
      <c r="CH46" s="3"/>
      <c r="CI46" s="3"/>
      <c r="CK46" s="3"/>
      <c r="CL46" s="3"/>
      <c r="CN46" s="3"/>
      <c r="CO46" s="3"/>
      <c r="CQ46" s="3"/>
      <c r="CR46" s="5"/>
      <c r="CT46" s="3"/>
      <c r="CW46" s="3"/>
      <c r="CX46" s="3"/>
      <c r="CZ46" s="3"/>
      <c r="DA46" s="3"/>
      <c r="DC46" s="3"/>
      <c r="DD46" s="3"/>
      <c r="DF46" s="3"/>
      <c r="DG46" s="5"/>
      <c r="DI46" s="3"/>
      <c r="DL46" s="3"/>
      <c r="DM46" s="3"/>
      <c r="DO46" s="3"/>
      <c r="DP46" s="3"/>
      <c r="DR46" s="3"/>
      <c r="DS46" s="1" t="str">
        <f>_xlfn.XLOOKUP(OfficeForms.Table[[#This Row],[Selecione a Categoria do Laboratório desta atividade prática:]],Planilha1!A:A,Planilha1!B:B)</f>
        <v>EMF-ISN</v>
      </c>
      <c r="DT46" s="1" t="str">
        <f>CONCATENATE(OfficeForms.Table[[#This Row],[Selecione seu Polo Laboratório de Atividades Presenciais:]],OfficeForms.Table[[#This Row],[CHAVE CONVERSÃO]])</f>
        <v>Porto Alegre/RS - Zona NorteEMF-ISN</v>
      </c>
      <c r="DU4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4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4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46" s="1" t="str">
        <f>_xlfn.XLOOKUP(OfficeForms.Table[[#This Row],[CHAVE LINK POLO]],'[1]Quadro Geral de Lotação'!$B:$B,'[1]Quadro Geral de Lotação'!$I:$I)</f>
        <v>Cristiane Ribeiro Maciel</v>
      </c>
      <c r="DY46" s="1" t="str">
        <f>OfficeForms.Table[[#This Row],[Selecione a Ordem de Disciplina]]</f>
        <v>Ordem 1</v>
      </c>
    </row>
    <row r="47" spans="1:129" ht="34.15" customHeight="1">
      <c r="A47" s="1">
        <v>47</v>
      </c>
      <c r="B47" s="2">
        <v>46079.4827083333</v>
      </c>
      <c r="C47" s="2">
        <v>46079.483958333301</v>
      </c>
      <c r="D47" s="3" t="s">
        <v>153</v>
      </c>
      <c r="E47" s="3" t="s">
        <v>154</v>
      </c>
      <c r="G47" s="3"/>
      <c r="I47" s="3" t="s">
        <v>155</v>
      </c>
      <c r="K47" s="3"/>
      <c r="L47" s="1" t="s">
        <v>132</v>
      </c>
      <c r="O47" s="3" t="s">
        <v>156</v>
      </c>
      <c r="Q47" s="3"/>
      <c r="R47" s="3"/>
      <c r="T47" s="3"/>
      <c r="U47" s="5"/>
      <c r="W47" s="3"/>
      <c r="Z47" s="3"/>
      <c r="AA47" s="3"/>
      <c r="AC47" s="3"/>
      <c r="AD47" s="3"/>
      <c r="AF47" s="3"/>
      <c r="AG47" s="3"/>
      <c r="AI47" s="3"/>
      <c r="AJ47" s="1"/>
      <c r="AL47" s="3"/>
      <c r="AO47" s="3"/>
      <c r="AP47" s="3"/>
      <c r="AR47" s="3"/>
      <c r="AS47" s="3"/>
      <c r="AU47" s="3"/>
      <c r="AV47" s="3"/>
      <c r="AX47" s="3"/>
      <c r="AY47" s="5"/>
      <c r="BA47" s="3"/>
      <c r="BD47" s="3"/>
      <c r="BE47" s="3"/>
      <c r="BG47" s="3"/>
      <c r="BH47" s="3"/>
      <c r="BJ47" s="3"/>
      <c r="BK47" s="3" t="s">
        <v>157</v>
      </c>
      <c r="BM47" s="3"/>
      <c r="BN47" s="5">
        <v>46078</v>
      </c>
      <c r="BP47" s="3"/>
      <c r="BQ47" s="1">
        <v>15</v>
      </c>
      <c r="BS47" s="3"/>
      <c r="BT47" s="3" t="s">
        <v>337</v>
      </c>
      <c r="BV47" s="3"/>
      <c r="BW47" s="3" t="s">
        <v>338</v>
      </c>
      <c r="BY47" s="3"/>
      <c r="BZ47" s="3"/>
      <c r="CB47" s="3"/>
      <c r="CC47" s="5"/>
      <c r="CE47" s="3"/>
      <c r="CH47" s="3"/>
      <c r="CI47" s="3"/>
      <c r="CK47" s="3"/>
      <c r="CL47" s="3"/>
      <c r="CN47" s="3"/>
      <c r="CO47" s="3"/>
      <c r="CQ47" s="3"/>
      <c r="CR47" s="5"/>
      <c r="CT47" s="3"/>
      <c r="CW47" s="3"/>
      <c r="CX47" s="3"/>
      <c r="CZ47" s="3"/>
      <c r="DA47" s="3"/>
      <c r="DC47" s="3"/>
      <c r="DD47" s="3"/>
      <c r="DF47" s="3"/>
      <c r="DG47" s="5"/>
      <c r="DI47" s="3"/>
      <c r="DL47" s="3"/>
      <c r="DM47" s="3"/>
      <c r="DO47" s="3"/>
      <c r="DP47" s="3"/>
      <c r="DR47" s="3"/>
      <c r="DS47" s="1" t="str">
        <f>_xlfn.XLOOKUP(OfficeForms.Table[[#This Row],[Selecione a Categoria do Laboratório desta atividade prática:]],Planilha1!A:A,Planilha1!B:B)</f>
        <v>NTR</v>
      </c>
      <c r="DT47" s="1" t="str">
        <f>CONCATENATE(OfficeForms.Table[[#This Row],[Selecione seu Polo Laboratório de Atividades Presenciais:]],OfficeForms.Table[[#This Row],[CHAVE CONVERSÃO]])</f>
        <v>Novo Hamburgo/RS - CentroNTR</v>
      </c>
      <c r="DU4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4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4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47" s="1" t="str">
        <f>_xlfn.XLOOKUP(OfficeForms.Table[[#This Row],[CHAVE LINK POLO]],'[1]Quadro Geral de Lotação'!$B:$B,'[1]Quadro Geral de Lotação'!$I:$I)</f>
        <v>Juliana Berger</v>
      </c>
      <c r="DY47" s="1" t="str">
        <f>OfficeForms.Table[[#This Row],[Selecione a Ordem de Disciplina]]</f>
        <v>Ordem 1</v>
      </c>
    </row>
    <row r="48" spans="1:129" ht="34.15" customHeight="1">
      <c r="A48" s="1">
        <v>48</v>
      </c>
      <c r="B48" s="2">
        <v>46079.389062499999</v>
      </c>
      <c r="C48" s="2">
        <v>46079.594502314802</v>
      </c>
      <c r="D48" s="3" t="s">
        <v>339</v>
      </c>
      <c r="E48" s="3" t="s">
        <v>340</v>
      </c>
      <c r="G48" s="3"/>
      <c r="I48" s="3" t="s">
        <v>162</v>
      </c>
      <c r="K48" s="3"/>
      <c r="L48" s="1" t="s">
        <v>132</v>
      </c>
      <c r="O48" s="3" t="s">
        <v>177</v>
      </c>
      <c r="Q48" s="3"/>
      <c r="R48" s="3"/>
      <c r="T48" s="3"/>
      <c r="U48" s="5"/>
      <c r="W48" s="3"/>
      <c r="Z48" s="3"/>
      <c r="AA48" s="3"/>
      <c r="AC48" s="3"/>
      <c r="AD48" s="3"/>
      <c r="AF48" s="3"/>
      <c r="AG48" s="3"/>
      <c r="AI48" s="3"/>
      <c r="AJ48" s="1"/>
      <c r="AL48" s="3"/>
      <c r="AO48" s="3"/>
      <c r="AP48" s="3"/>
      <c r="AR48" s="3"/>
      <c r="AS48" s="3"/>
      <c r="AU48" s="3"/>
      <c r="AV48" s="3"/>
      <c r="AX48" s="3"/>
      <c r="AY48" s="5"/>
      <c r="BA48" s="3"/>
      <c r="BD48" s="3"/>
      <c r="BE48" s="3"/>
      <c r="BG48" s="3"/>
      <c r="BH48" s="3"/>
      <c r="BJ48" s="3"/>
      <c r="BK48" s="3"/>
      <c r="BM48" s="3"/>
      <c r="BN48" s="5"/>
      <c r="BP48" s="3"/>
      <c r="BS48" s="3"/>
      <c r="BT48" s="3"/>
      <c r="BV48" s="3"/>
      <c r="BW48" s="3"/>
      <c r="BY48" s="3"/>
      <c r="BZ48" s="3"/>
      <c r="CB48" s="3"/>
      <c r="CC48" s="5"/>
      <c r="CE48" s="3"/>
      <c r="CH48" s="3"/>
      <c r="CI48" s="3"/>
      <c r="CK48" s="3"/>
      <c r="CL48" s="3"/>
      <c r="CN48" s="3"/>
      <c r="CO48" s="3"/>
      <c r="CQ48" s="3"/>
      <c r="CR48" s="5"/>
      <c r="CT48" s="3"/>
      <c r="CW48" s="3"/>
      <c r="CX48" s="3"/>
      <c r="CZ48" s="3"/>
      <c r="DA48" s="3"/>
      <c r="DC48" s="3"/>
      <c r="DD48" s="3" t="s">
        <v>341</v>
      </c>
      <c r="DF48" s="3"/>
      <c r="DG48" s="5">
        <v>46078</v>
      </c>
      <c r="DI48" s="3"/>
      <c r="DJ48" s="1">
        <v>0</v>
      </c>
      <c r="DL48" s="3"/>
      <c r="DM48" s="3" t="s">
        <v>342</v>
      </c>
      <c r="DO48" s="3"/>
      <c r="DP48" s="3" t="s">
        <v>343</v>
      </c>
      <c r="DR48" s="3"/>
      <c r="DS48" s="1" t="str">
        <f>_xlfn.XLOOKUP(OfficeForms.Table[[#This Row],[Selecione a Categoria do Laboratório desta atividade prática:]],Planilha1!A:A,Planilha1!B:B)</f>
        <v>AGM</v>
      </c>
      <c r="DT48" s="1" t="str">
        <f>CONCATENATE(OfficeForms.Table[[#This Row],[Selecione seu Polo Laboratório de Atividades Presenciais:]],OfficeForms.Table[[#This Row],[CHAVE CONVERSÃO]])</f>
        <v>Florianópolis/SC - CentroAGM</v>
      </c>
      <c r="DU4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Caracterização bioquímica de bactérias</v>
      </c>
      <c r="DV4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4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8" s="1" t="str">
        <f>_xlfn.XLOOKUP(OfficeForms.Table[[#This Row],[CHAVE LINK POLO]],'[1]Quadro Geral de Lotação'!$B:$B,'[1]Quadro Geral de Lotação'!$I:$I)</f>
        <v>Michelle Barros Pantoja</v>
      </c>
      <c r="DY48" s="1" t="str">
        <f>OfficeForms.Table[[#This Row],[Selecione a Ordem de Disciplina]]</f>
        <v>Ordem 1</v>
      </c>
    </row>
    <row r="49" spans="1:129" ht="34.15" customHeight="1">
      <c r="A49" s="1">
        <v>49</v>
      </c>
      <c r="B49" s="2">
        <v>46079.7035300926</v>
      </c>
      <c r="C49" s="2">
        <v>46079.714652777802</v>
      </c>
      <c r="D49" s="3" t="s">
        <v>344</v>
      </c>
      <c r="E49" s="3" t="s">
        <v>345</v>
      </c>
      <c r="G49" s="3"/>
      <c r="I49" s="3" t="s">
        <v>346</v>
      </c>
      <c r="K49" s="3"/>
      <c r="L49" s="1" t="s">
        <v>132</v>
      </c>
      <c r="O49" s="3" t="s">
        <v>133</v>
      </c>
      <c r="Q49" s="3"/>
      <c r="R49" s="3"/>
      <c r="T49" s="3"/>
      <c r="U49" s="5"/>
      <c r="W49" s="3"/>
      <c r="Z49" s="3"/>
      <c r="AA49" s="3"/>
      <c r="AC49" s="3"/>
      <c r="AD49" s="3"/>
      <c r="AF49" s="3"/>
      <c r="AG49" s="3"/>
      <c r="AI49" s="3"/>
      <c r="AJ49" s="1"/>
      <c r="AL49" s="3"/>
      <c r="AO49" s="3"/>
      <c r="AP49" s="3"/>
      <c r="AR49" s="3"/>
      <c r="AS49" s="3"/>
      <c r="AU49" s="3"/>
      <c r="AV49" s="3" t="s">
        <v>134</v>
      </c>
      <c r="AX49" s="3"/>
      <c r="AY49" s="5">
        <v>46073</v>
      </c>
      <c r="BA49" s="3"/>
      <c r="BB49" s="1">
        <v>25</v>
      </c>
      <c r="BD49" s="3"/>
      <c r="BE49" s="3" t="s">
        <v>347</v>
      </c>
      <c r="BG49" s="3"/>
      <c r="BH49" s="3" t="s">
        <v>348</v>
      </c>
      <c r="BJ49" s="3"/>
      <c r="BK49" s="3"/>
      <c r="BM49" s="3"/>
      <c r="BN49" s="5"/>
      <c r="BP49" s="3"/>
      <c r="BS49" s="3"/>
      <c r="BT49" s="3"/>
      <c r="BV49" s="3"/>
      <c r="BW49" s="3"/>
      <c r="BY49" s="3"/>
      <c r="BZ49" s="3"/>
      <c r="CB49" s="3"/>
      <c r="CC49" s="5"/>
      <c r="CE49" s="3"/>
      <c r="CH49" s="3"/>
      <c r="CI49" s="3"/>
      <c r="CK49" s="3"/>
      <c r="CL49" s="3"/>
      <c r="CN49" s="3"/>
      <c r="CO49" s="3"/>
      <c r="CQ49" s="3"/>
      <c r="CR49" s="5"/>
      <c r="CT49" s="3"/>
      <c r="CW49" s="3"/>
      <c r="CX49" s="3"/>
      <c r="CZ49" s="3"/>
      <c r="DA49" s="3"/>
      <c r="DC49" s="3"/>
      <c r="DD49" s="3"/>
      <c r="DF49" s="3"/>
      <c r="DG49" s="5"/>
      <c r="DI49" s="3"/>
      <c r="DL49" s="3"/>
      <c r="DM49" s="3"/>
      <c r="DO49" s="3"/>
      <c r="DP49" s="3"/>
      <c r="DR49" s="3"/>
      <c r="DS49" s="1" t="str">
        <f>_xlfn.XLOOKUP(OfficeForms.Table[[#This Row],[Selecione a Categoria do Laboratório desta atividade prática:]],Planilha1!A:A,Planilha1!B:B)</f>
        <v>BFI</v>
      </c>
      <c r="DT49" s="1" t="str">
        <f>CONCATENATE(OfficeForms.Table[[#This Row],[Selecione seu Polo Laboratório de Atividades Presenciais:]],OfficeForms.Table[[#This Row],[CHAVE CONVERSÃO]])</f>
        <v>Boa Viagem/CEBFI</v>
      </c>
      <c r="DU4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Geral Terapêutica: Técnicas e Aplicações em Recursos Manuais</v>
      </c>
      <c r="DV4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46073</v>
      </c>
      <c r="DW4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25</v>
      </c>
      <c r="DX49" s="1" t="str">
        <f>_xlfn.XLOOKUP(OfficeForms.Table[[#This Row],[CHAVE LINK POLO]],'[1]Quadro Geral de Lotação'!$B:$B,'[1]Quadro Geral de Lotação'!$I:$I)</f>
        <v>Airton Souza Farias</v>
      </c>
      <c r="DY49" s="1" t="str">
        <f>OfficeForms.Table[[#This Row],[Selecione a Ordem de Disciplina]]</f>
        <v>Ordem 1</v>
      </c>
    </row>
    <row r="50" spans="1:129" ht="34.15" customHeight="1">
      <c r="A50" s="1">
        <v>50</v>
      </c>
      <c r="B50" s="2">
        <v>46079.781412037002</v>
      </c>
      <c r="C50" s="2">
        <v>46079.795694444401</v>
      </c>
      <c r="D50" s="3" t="s">
        <v>137</v>
      </c>
      <c r="E50" s="3" t="s">
        <v>138</v>
      </c>
      <c r="G50" s="3"/>
      <c r="I50" s="3" t="s">
        <v>139</v>
      </c>
      <c r="K50" s="3"/>
      <c r="L50" s="1" t="s">
        <v>132</v>
      </c>
      <c r="O50" s="3" t="s">
        <v>140</v>
      </c>
      <c r="Q50" s="3"/>
      <c r="R50" s="3"/>
      <c r="T50" s="3"/>
      <c r="U50" s="5"/>
      <c r="W50" s="3"/>
      <c r="Z50" s="3"/>
      <c r="AA50" s="3"/>
      <c r="AC50" s="3"/>
      <c r="AD50" s="3"/>
      <c r="AF50" s="3"/>
      <c r="AG50" s="3"/>
      <c r="AI50" s="3"/>
      <c r="AJ50" s="1"/>
      <c r="AL50" s="3"/>
      <c r="AO50" s="3"/>
      <c r="AP50" s="3"/>
      <c r="AR50" s="3"/>
      <c r="AS50" s="3"/>
      <c r="AU50" s="3"/>
      <c r="AV50" s="3"/>
      <c r="AX50" s="3"/>
      <c r="AY50" s="5"/>
      <c r="BA50" s="3"/>
      <c r="BD50" s="3"/>
      <c r="BE50" s="3"/>
      <c r="BG50" s="3"/>
      <c r="BH50" s="3"/>
      <c r="BJ50" s="3"/>
      <c r="BK50" s="3"/>
      <c r="BM50" s="3"/>
      <c r="BN50" s="5"/>
      <c r="BP50" s="3"/>
      <c r="BS50" s="3"/>
      <c r="BT50" s="3"/>
      <c r="BV50" s="3"/>
      <c r="BW50" s="3"/>
      <c r="BY50" s="3"/>
      <c r="BZ50" s="3" t="s">
        <v>349</v>
      </c>
      <c r="CB50" s="3"/>
      <c r="CC50" s="5">
        <v>46079</v>
      </c>
      <c r="CE50" s="3"/>
      <c r="CF50" s="1">
        <v>0</v>
      </c>
      <c r="CH50" s="3"/>
      <c r="CI50" s="3" t="s">
        <v>350</v>
      </c>
      <c r="CK50" s="3"/>
      <c r="CL50" s="3" t="s">
        <v>351</v>
      </c>
      <c r="CN50" s="3"/>
      <c r="CO50" s="3"/>
      <c r="CQ50" s="3"/>
      <c r="CR50" s="5"/>
      <c r="CT50" s="3"/>
      <c r="CW50" s="3"/>
      <c r="CX50" s="3"/>
      <c r="CZ50" s="3"/>
      <c r="DA50" s="3"/>
      <c r="DC50" s="3"/>
      <c r="DD50" s="3"/>
      <c r="DF50" s="3"/>
      <c r="DG50" s="5"/>
      <c r="DI50" s="3"/>
      <c r="DL50" s="3"/>
      <c r="DM50" s="3"/>
      <c r="DO50" s="3"/>
      <c r="DP50" s="3"/>
      <c r="DR50" s="3"/>
      <c r="DS50" s="1" t="str">
        <f>_xlfn.XLOOKUP(OfficeForms.Table[[#This Row],[Selecione a Categoria do Laboratório desta atividade prática:]],Planilha1!A:A,Planilha1!B:B)</f>
        <v>ECE-ENM-ENS-ENG-EEA-GPI-CDE-OBR-SAN-TER-FSA-SLF-QUI</v>
      </c>
      <c r="DT50" s="1" t="str">
        <f>CONCATENATE(OfficeForms.Table[[#This Row],[Selecione seu Polo Laboratório de Atividades Presenciais:]],OfficeForms.Table[[#This Row],[CHAVE CONVERSÃO]])</f>
        <v>Chapecó/SC - CentroECE-ENM-ENS-ENG-EEA-GPI-CDE-OBR-SAN-TER-FSA-SLF-QUI</v>
      </c>
      <c r="DU5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Conexões elétricas simples + Verificação da Primeira Lei de Ohm e da Lei de Joule</v>
      </c>
      <c r="DV5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5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0" s="1" t="str">
        <f>_xlfn.XLOOKUP(OfficeForms.Table[[#This Row],[CHAVE LINK POLO]],'[1]Quadro Geral de Lotação'!$B:$B,'[1]Quadro Geral de Lotação'!$I:$I)</f>
        <v>Gabriela Fanck Dos Santos</v>
      </c>
      <c r="DY50" s="1" t="str">
        <f>OfficeForms.Table[[#This Row],[Selecione a Ordem de Disciplina]]</f>
        <v>Ordem 1</v>
      </c>
    </row>
    <row r="51" spans="1:129" ht="34.15" customHeight="1">
      <c r="A51" s="1">
        <v>51</v>
      </c>
      <c r="B51" s="2">
        <v>46079.798194444404</v>
      </c>
      <c r="C51" s="2">
        <v>46079.834872685198</v>
      </c>
      <c r="D51" s="3" t="s">
        <v>352</v>
      </c>
      <c r="E51" s="3" t="s">
        <v>353</v>
      </c>
      <c r="G51" s="3"/>
      <c r="I51" s="3" t="s">
        <v>354</v>
      </c>
      <c r="K51" s="3"/>
      <c r="L51" s="1" t="s">
        <v>132</v>
      </c>
      <c r="O51" s="3" t="s">
        <v>184</v>
      </c>
      <c r="Q51" s="3"/>
      <c r="R51" s="3"/>
      <c r="T51" s="3"/>
      <c r="U51" s="5"/>
      <c r="W51" s="3"/>
      <c r="Z51" s="3"/>
      <c r="AA51" s="3"/>
      <c r="AC51" s="3"/>
      <c r="AD51" s="3"/>
      <c r="AF51" s="3"/>
      <c r="AG51" s="3" t="s">
        <v>240</v>
      </c>
      <c r="AI51" s="3"/>
      <c r="AJ51" s="1">
        <v>46078</v>
      </c>
      <c r="AL51" s="3"/>
      <c r="AM51" s="1">
        <v>8</v>
      </c>
      <c r="AO51" s="3"/>
      <c r="AP51" s="3" t="s">
        <v>355</v>
      </c>
      <c r="AR51" s="3"/>
      <c r="AS51" s="3" t="s">
        <v>356</v>
      </c>
      <c r="AU51" s="3"/>
      <c r="AV51" s="3"/>
      <c r="AX51" s="3"/>
      <c r="AY51" s="5"/>
      <c r="BA51" s="3"/>
      <c r="BD51" s="3"/>
      <c r="BE51" s="3"/>
      <c r="BG51" s="3"/>
      <c r="BH51" s="3"/>
      <c r="BJ51" s="3"/>
      <c r="BK51" s="3"/>
      <c r="BM51" s="3"/>
      <c r="BN51" s="5"/>
      <c r="BP51" s="3"/>
      <c r="BS51" s="3"/>
      <c r="BT51" s="3"/>
      <c r="BV51" s="3"/>
      <c r="BW51" s="3"/>
      <c r="BY51" s="3"/>
      <c r="BZ51" s="3"/>
      <c r="CB51" s="3"/>
      <c r="CC51" s="5"/>
      <c r="CE51" s="3"/>
      <c r="CH51" s="3"/>
      <c r="CI51" s="3"/>
      <c r="CK51" s="3"/>
      <c r="CL51" s="3"/>
      <c r="CN51" s="3"/>
      <c r="CO51" s="3"/>
      <c r="CQ51" s="3"/>
      <c r="CR51" s="5"/>
      <c r="CT51" s="3"/>
      <c r="CW51" s="3"/>
      <c r="CX51" s="3"/>
      <c r="CZ51" s="3"/>
      <c r="DA51" s="3"/>
      <c r="DC51" s="3"/>
      <c r="DD51" s="3"/>
      <c r="DF51" s="3"/>
      <c r="DG51" s="5"/>
      <c r="DI51" s="3"/>
      <c r="DL51" s="3"/>
      <c r="DM51" s="3"/>
      <c r="DO51" s="3"/>
      <c r="DP51" s="3"/>
      <c r="DR51" s="3"/>
      <c r="DS51" s="1" t="str">
        <f>_xlfn.XLOOKUP(OfficeForms.Table[[#This Row],[Selecione a Categoria do Laboratório desta atividade prática:]],Planilha1!A:A,Planilha1!B:B)</f>
        <v>EMF-ISN</v>
      </c>
      <c r="DT51" s="1" t="str">
        <f>CONCATENATE(OfficeForms.Table[[#This Row],[Selecione seu Polo Laboratório de Atividades Presenciais:]],OfficeForms.Table[[#This Row],[CHAVE CONVERSÃO]])</f>
        <v>São Gonçalo/RJ - Partage ShoppingEMF-ISN</v>
      </c>
      <c r="DU5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Curativo;Avaliação corporal + Ausculta pulmonar + Ausculta cardiaca + Verificação de sinais vitais</v>
      </c>
      <c r="DV5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5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51" s="1" t="str">
        <f>_xlfn.XLOOKUP(OfficeForms.Table[[#This Row],[CHAVE LINK POLO]],'[1]Quadro Geral de Lotação'!$B:$B,'[1]Quadro Geral de Lotação'!$I:$I)</f>
        <v>William Da Silva Coimbra</v>
      </c>
      <c r="DY51" s="1" t="str">
        <f>OfficeForms.Table[[#This Row],[Selecione a Ordem de Disciplina]]</f>
        <v>Ordem 1</v>
      </c>
    </row>
    <row r="52" spans="1:129" ht="34.15" customHeight="1">
      <c r="A52" s="1">
        <v>52</v>
      </c>
      <c r="B52" s="2">
        <v>46079.842245370397</v>
      </c>
      <c r="C52" s="2">
        <v>46079.844537037003</v>
      </c>
      <c r="D52" s="3" t="s">
        <v>357</v>
      </c>
      <c r="E52" s="3" t="s">
        <v>358</v>
      </c>
      <c r="G52" s="3"/>
      <c r="I52" s="3" t="s">
        <v>359</v>
      </c>
      <c r="K52" s="3"/>
      <c r="L52" s="1" t="s">
        <v>132</v>
      </c>
      <c r="O52" s="3" t="s">
        <v>156</v>
      </c>
      <c r="Q52" s="3"/>
      <c r="R52" s="3"/>
      <c r="T52" s="3"/>
      <c r="U52" s="5"/>
      <c r="W52" s="3"/>
      <c r="Z52" s="3"/>
      <c r="AA52" s="3"/>
      <c r="AC52" s="3"/>
      <c r="AD52" s="3"/>
      <c r="AF52" s="3"/>
      <c r="AG52" s="3"/>
      <c r="AI52" s="3"/>
      <c r="AJ52" s="1"/>
      <c r="AL52" s="3"/>
      <c r="AO52" s="3"/>
      <c r="AP52" s="3"/>
      <c r="AR52" s="3"/>
      <c r="AS52" s="3"/>
      <c r="AU52" s="3"/>
      <c r="AV52" s="3"/>
      <c r="AX52" s="3"/>
      <c r="AY52" s="5"/>
      <c r="BA52" s="3"/>
      <c r="BD52" s="3"/>
      <c r="BE52" s="3"/>
      <c r="BG52" s="3"/>
      <c r="BH52" s="3"/>
      <c r="BJ52" s="3"/>
      <c r="BK52" s="3" t="s">
        <v>157</v>
      </c>
      <c r="BM52" s="3"/>
      <c r="BN52" s="5">
        <v>46076</v>
      </c>
      <c r="BP52" s="3"/>
      <c r="BQ52" s="1">
        <v>10</v>
      </c>
      <c r="BS52" s="3"/>
      <c r="BT52" s="3" t="s">
        <v>360</v>
      </c>
      <c r="BV52" s="3"/>
      <c r="BW52" s="3" t="s">
        <v>361</v>
      </c>
      <c r="BY52" s="3"/>
      <c r="BZ52" s="3"/>
      <c r="CB52" s="3"/>
      <c r="CC52" s="5"/>
      <c r="CE52" s="3"/>
      <c r="CH52" s="3"/>
      <c r="CI52" s="3"/>
      <c r="CK52" s="3"/>
      <c r="CL52" s="3"/>
      <c r="CN52" s="3"/>
      <c r="CO52" s="3"/>
      <c r="CQ52" s="3"/>
      <c r="CR52" s="5"/>
      <c r="CT52" s="3"/>
      <c r="CW52" s="3"/>
      <c r="CX52" s="3"/>
      <c r="CZ52" s="3"/>
      <c r="DA52" s="3"/>
      <c r="DC52" s="3"/>
      <c r="DD52" s="3"/>
      <c r="DF52" s="3"/>
      <c r="DG52" s="5"/>
      <c r="DI52" s="3"/>
      <c r="DL52" s="3"/>
      <c r="DM52" s="3"/>
      <c r="DO52" s="3"/>
      <c r="DP52" s="3"/>
      <c r="DR52" s="3"/>
      <c r="DS52" s="1" t="str">
        <f>_xlfn.XLOOKUP(OfficeForms.Table[[#This Row],[Selecione a Categoria do Laboratório desta atividade prática:]],Planilha1!A:A,Planilha1!B:B)</f>
        <v>NTR</v>
      </c>
      <c r="DT52" s="1" t="str">
        <f>CONCATENATE(OfficeForms.Table[[#This Row],[Selecione seu Polo Laboratório de Atividades Presenciais:]],OfficeForms.Table[[#This Row],[CHAVE CONVERSÃO]])</f>
        <v>São Pedro da Aldeia/RJNTR</v>
      </c>
      <c r="DU5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5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5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52" s="1" t="str">
        <f>_xlfn.XLOOKUP(OfficeForms.Table[[#This Row],[CHAVE LINK POLO]],'[1]Quadro Geral de Lotação'!$B:$B,'[1]Quadro Geral de Lotação'!$I:$I)</f>
        <v>Natalia Silva De Mattos</v>
      </c>
      <c r="DY52" s="1" t="str">
        <f>OfficeForms.Table[[#This Row],[Selecione a Ordem de Disciplina]]</f>
        <v>Ordem 1</v>
      </c>
    </row>
    <row r="53" spans="1:129" ht="34.15" customHeight="1">
      <c r="A53" s="1">
        <v>53</v>
      </c>
      <c r="B53" s="2">
        <v>46079.889108796298</v>
      </c>
      <c r="C53" s="2">
        <v>46079.8979861111</v>
      </c>
      <c r="D53" s="3" t="s">
        <v>362</v>
      </c>
      <c r="E53" s="3" t="s">
        <v>363</v>
      </c>
      <c r="G53" s="3"/>
      <c r="I53" s="3" t="s">
        <v>364</v>
      </c>
      <c r="K53" s="3"/>
      <c r="L53" s="1" t="s">
        <v>132</v>
      </c>
      <c r="O53" s="3" t="s">
        <v>184</v>
      </c>
      <c r="Q53" s="3"/>
      <c r="R53" s="3"/>
      <c r="T53" s="3"/>
      <c r="U53" s="5"/>
      <c r="W53" s="3"/>
      <c r="Z53" s="3"/>
      <c r="AA53" s="3"/>
      <c r="AC53" s="3"/>
      <c r="AD53" s="3"/>
      <c r="AF53" s="3"/>
      <c r="AG53" s="3" t="s">
        <v>206</v>
      </c>
      <c r="AI53" s="3"/>
      <c r="AJ53" s="1">
        <v>46074</v>
      </c>
      <c r="AL53" s="3"/>
      <c r="AM53" s="1">
        <v>6</v>
      </c>
      <c r="AO53" s="3"/>
      <c r="AP53" s="3" t="s">
        <v>365</v>
      </c>
      <c r="AR53" s="3"/>
      <c r="AS53" s="3" t="s">
        <v>366</v>
      </c>
      <c r="AU53" s="3"/>
      <c r="AV53" s="3"/>
      <c r="AX53" s="3"/>
      <c r="AY53" s="5"/>
      <c r="BA53" s="3"/>
      <c r="BD53" s="3"/>
      <c r="BE53" s="3"/>
      <c r="BG53" s="3"/>
      <c r="BH53" s="3"/>
      <c r="BJ53" s="3"/>
      <c r="BK53" s="3"/>
      <c r="BM53" s="3"/>
      <c r="BN53" s="5"/>
      <c r="BP53" s="3"/>
      <c r="BS53" s="3"/>
      <c r="BT53" s="3"/>
      <c r="BV53" s="3"/>
      <c r="BW53" s="3"/>
      <c r="BY53" s="3"/>
      <c r="BZ53" s="3"/>
      <c r="CB53" s="3"/>
      <c r="CC53" s="5"/>
      <c r="CE53" s="3"/>
      <c r="CH53" s="3"/>
      <c r="CI53" s="3"/>
      <c r="CK53" s="3"/>
      <c r="CL53" s="3"/>
      <c r="CN53" s="3"/>
      <c r="CO53" s="3"/>
      <c r="CQ53" s="3"/>
      <c r="CR53" s="5"/>
      <c r="CT53" s="3"/>
      <c r="CW53" s="3"/>
      <c r="CX53" s="3"/>
      <c r="CZ53" s="3"/>
      <c r="DA53" s="3"/>
      <c r="DC53" s="3"/>
      <c r="DD53" s="3"/>
      <c r="DF53" s="3"/>
      <c r="DG53" s="5"/>
      <c r="DI53" s="3"/>
      <c r="DL53" s="3"/>
      <c r="DM53" s="3"/>
      <c r="DO53" s="3"/>
      <c r="DP53" s="3"/>
      <c r="DR53" s="3"/>
      <c r="DS53" s="1" t="str">
        <f>_xlfn.XLOOKUP(OfficeForms.Table[[#This Row],[Selecione a Categoria do Laboratório desta atividade prática:]],Planilha1!A:A,Planilha1!B:B)</f>
        <v>EMF-ISN</v>
      </c>
      <c r="DT53" s="1" t="str">
        <f>CONCATENATE(OfficeForms.Table[[#This Row],[Selecione seu Polo Laboratório de Atividades Presenciais:]],OfficeForms.Table[[#This Row],[CHAVE CONVERSÃO]])</f>
        <v>Maués/AMEMF-ISN</v>
      </c>
      <c r="DU5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5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5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53" s="1" t="str">
        <f>_xlfn.XLOOKUP(OfficeForms.Table[[#This Row],[CHAVE LINK POLO]],'[1]Quadro Geral de Lotação'!$B:$B,'[1]Quadro Geral de Lotação'!$I:$I)</f>
        <v>Nelma Rita Passos Martins</v>
      </c>
      <c r="DY53" s="1" t="str">
        <f>OfficeForms.Table[[#This Row],[Selecione a Ordem de Disciplina]]</f>
        <v>Ordem 1</v>
      </c>
    </row>
    <row r="54" spans="1:129" ht="34.15" customHeight="1">
      <c r="A54" s="1">
        <v>54</v>
      </c>
      <c r="B54" s="2">
        <v>46079.820960648103</v>
      </c>
      <c r="C54" s="2">
        <v>46079.916388888902</v>
      </c>
      <c r="D54" s="3" t="s">
        <v>367</v>
      </c>
      <c r="E54" s="3" t="s">
        <v>368</v>
      </c>
      <c r="G54" s="3"/>
      <c r="I54" s="3" t="s">
        <v>369</v>
      </c>
      <c r="K54" s="3"/>
      <c r="L54" s="1" t="s">
        <v>132</v>
      </c>
      <c r="O54" s="3" t="s">
        <v>184</v>
      </c>
      <c r="Q54" s="3"/>
      <c r="R54" s="3"/>
      <c r="T54" s="3"/>
      <c r="U54" s="5"/>
      <c r="W54" s="3"/>
      <c r="Z54" s="3"/>
      <c r="AA54" s="3"/>
      <c r="AC54" s="3"/>
      <c r="AD54" s="3"/>
      <c r="AF54" s="3"/>
      <c r="AG54" s="3" t="s">
        <v>370</v>
      </c>
      <c r="AI54" s="3"/>
      <c r="AJ54" s="1">
        <v>46079</v>
      </c>
      <c r="AL54" s="3"/>
      <c r="AM54" s="1">
        <v>0</v>
      </c>
      <c r="AO54" s="3"/>
      <c r="AP54" s="3" t="s">
        <v>371</v>
      </c>
      <c r="AR54" s="3"/>
      <c r="AS54" s="3" t="s">
        <v>372</v>
      </c>
      <c r="AU54" s="3"/>
      <c r="AV54" s="3"/>
      <c r="AX54" s="3"/>
      <c r="AY54" s="5"/>
      <c r="BA54" s="3"/>
      <c r="BD54" s="3"/>
      <c r="BE54" s="3"/>
      <c r="BG54" s="3"/>
      <c r="BH54" s="3"/>
      <c r="BJ54" s="3"/>
      <c r="BK54" s="3"/>
      <c r="BM54" s="3"/>
      <c r="BN54" s="5"/>
      <c r="BP54" s="3"/>
      <c r="BS54" s="3"/>
      <c r="BT54" s="3"/>
      <c r="BV54" s="3"/>
      <c r="BW54" s="3"/>
      <c r="BY54" s="3"/>
      <c r="BZ54" s="3"/>
      <c r="CB54" s="3"/>
      <c r="CC54" s="5"/>
      <c r="CE54" s="3"/>
      <c r="CH54" s="3"/>
      <c r="CI54" s="3"/>
      <c r="CK54" s="3"/>
      <c r="CL54" s="3"/>
      <c r="CN54" s="3"/>
      <c r="CO54" s="3"/>
      <c r="CQ54" s="3"/>
      <c r="CR54" s="5"/>
      <c r="CT54" s="3"/>
      <c r="CW54" s="3"/>
      <c r="CX54" s="3"/>
      <c r="CZ54" s="3"/>
      <c r="DA54" s="3"/>
      <c r="DC54" s="3"/>
      <c r="DD54" s="3"/>
      <c r="DF54" s="3"/>
      <c r="DG54" s="5"/>
      <c r="DI54" s="3"/>
      <c r="DL54" s="3"/>
      <c r="DM54" s="3"/>
      <c r="DO54" s="3"/>
      <c r="DP54" s="3"/>
      <c r="DR54" s="3"/>
      <c r="DS54" s="1" t="str">
        <f>_xlfn.XLOOKUP(OfficeForms.Table[[#This Row],[Selecione a Categoria do Laboratório desta atividade prática:]],Planilha1!A:A,Planilha1!B:B)</f>
        <v>EMF-ISN</v>
      </c>
      <c r="DT54" s="1" t="str">
        <f>CONCATENATE(OfficeForms.Table[[#This Row],[Selecione seu Polo Laboratório de Atividades Presenciais:]],OfficeForms.Table[[#This Row],[CHAVE CONVERSÃO]])</f>
        <v>Niterói/RJ - IngáEMF-ISN</v>
      </c>
      <c r="DU5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5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5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4" s="1" t="str">
        <f>_xlfn.XLOOKUP(OfficeForms.Table[[#This Row],[CHAVE LINK POLO]],'[1]Quadro Geral de Lotação'!$B:$B,'[1]Quadro Geral de Lotação'!$I:$I)</f>
        <v>Conceicao Ignacio da Silva Delphino</v>
      </c>
      <c r="DY54" s="1" t="str">
        <f>OfficeForms.Table[[#This Row],[Selecione a Ordem de Disciplina]]</f>
        <v>Ordem 1</v>
      </c>
    </row>
    <row r="55" spans="1:129" ht="34.15" customHeight="1">
      <c r="A55" s="1">
        <v>55</v>
      </c>
      <c r="B55" s="2">
        <v>46079.942777777796</v>
      </c>
      <c r="C55" s="2">
        <v>46079.946828703702</v>
      </c>
      <c r="D55" s="3" t="s">
        <v>373</v>
      </c>
      <c r="E55" s="3" t="s">
        <v>374</v>
      </c>
      <c r="G55" s="3"/>
      <c r="I55" s="3" t="s">
        <v>375</v>
      </c>
      <c r="K55" s="3"/>
      <c r="L55" s="1" t="s">
        <v>132</v>
      </c>
      <c r="O55" s="3" t="s">
        <v>184</v>
      </c>
      <c r="Q55" s="3"/>
      <c r="R55" s="3"/>
      <c r="T55" s="3"/>
      <c r="U55" s="5"/>
      <c r="W55" s="3"/>
      <c r="Z55" s="3"/>
      <c r="AA55" s="3"/>
      <c r="AC55" s="3"/>
      <c r="AD55" s="3"/>
      <c r="AF55" s="3"/>
      <c r="AG55" s="3" t="s">
        <v>316</v>
      </c>
      <c r="AI55" s="3"/>
      <c r="AJ55" s="1">
        <v>46077</v>
      </c>
      <c r="AL55" s="3"/>
      <c r="AM55" s="1">
        <v>2</v>
      </c>
      <c r="AO55" s="3"/>
      <c r="AP55" s="3" t="s">
        <v>376</v>
      </c>
      <c r="AR55" s="3"/>
      <c r="AS55" s="3" t="s">
        <v>377</v>
      </c>
      <c r="AU55" s="3"/>
      <c r="AV55" s="3"/>
      <c r="AX55" s="3"/>
      <c r="AY55" s="5"/>
      <c r="BA55" s="3"/>
      <c r="BD55" s="3"/>
      <c r="BE55" s="3"/>
      <c r="BG55" s="3"/>
      <c r="BH55" s="3"/>
      <c r="BJ55" s="3"/>
      <c r="BK55" s="3"/>
      <c r="BM55" s="3"/>
      <c r="BN55" s="5"/>
      <c r="BP55" s="3"/>
      <c r="BS55" s="3"/>
      <c r="BT55" s="3"/>
      <c r="BV55" s="3"/>
      <c r="BW55" s="3"/>
      <c r="BY55" s="3"/>
      <c r="BZ55" s="3"/>
      <c r="CB55" s="3"/>
      <c r="CC55" s="5"/>
      <c r="CE55" s="3"/>
      <c r="CH55" s="3"/>
      <c r="CI55" s="3"/>
      <c r="CK55" s="3"/>
      <c r="CL55" s="3"/>
      <c r="CN55" s="3"/>
      <c r="CO55" s="3"/>
      <c r="CQ55" s="3"/>
      <c r="CR55" s="5"/>
      <c r="CT55" s="3"/>
      <c r="CW55" s="3"/>
      <c r="CX55" s="3"/>
      <c r="CZ55" s="3"/>
      <c r="DA55" s="3"/>
      <c r="DC55" s="3"/>
      <c r="DD55" s="3"/>
      <c r="DF55" s="3"/>
      <c r="DG55" s="5"/>
      <c r="DI55" s="3"/>
      <c r="DL55" s="3"/>
      <c r="DM55" s="3"/>
      <c r="DO55" s="3"/>
      <c r="DP55" s="3"/>
      <c r="DR55" s="3"/>
      <c r="DS55" s="1" t="str">
        <f>_xlfn.XLOOKUP(OfficeForms.Table[[#This Row],[Selecione a Categoria do Laboratório desta atividade prática:]],Planilha1!A:A,Planilha1!B:B)</f>
        <v>EMF-ISN</v>
      </c>
      <c r="DT55" s="1" t="str">
        <f>CONCATENATE(OfficeForms.Table[[#This Row],[Selecione seu Polo Laboratório de Atividades Presenciais:]],OfficeForms.Table[[#This Row],[CHAVE CONVERSÃO]])</f>
        <v>Brasília/DF - TaguatingaEMF-ISN</v>
      </c>
      <c r="DU5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5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5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5" s="1" t="str">
        <f>_xlfn.XLOOKUP(OfficeForms.Table[[#This Row],[CHAVE LINK POLO]],'[1]Quadro Geral de Lotação'!$B:$B,'[1]Quadro Geral de Lotação'!$I:$I)</f>
        <v>Tatiane Da Silva Rodrigues</v>
      </c>
      <c r="DY55" s="1" t="str">
        <f>OfficeForms.Table[[#This Row],[Selecione a Ordem de Disciplina]]</f>
        <v>Ordem 1</v>
      </c>
    </row>
    <row r="56" spans="1:129" ht="34.15" customHeight="1">
      <c r="A56" s="1">
        <v>56</v>
      </c>
      <c r="B56" s="2">
        <v>46079.948506944398</v>
      </c>
      <c r="C56" s="2">
        <v>46079.968356481499</v>
      </c>
      <c r="D56" s="3" t="s">
        <v>373</v>
      </c>
      <c r="E56" s="3" t="s">
        <v>374</v>
      </c>
      <c r="G56" s="3"/>
      <c r="I56" s="3" t="s">
        <v>375</v>
      </c>
      <c r="K56" s="3"/>
      <c r="L56" s="1" t="s">
        <v>132</v>
      </c>
      <c r="O56" s="3" t="s">
        <v>184</v>
      </c>
      <c r="Q56" s="3"/>
      <c r="R56" s="3"/>
      <c r="T56" s="3"/>
      <c r="U56" s="5"/>
      <c r="W56" s="3"/>
      <c r="Z56" s="3"/>
      <c r="AA56" s="3"/>
      <c r="AC56" s="3"/>
      <c r="AD56" s="3"/>
      <c r="AF56" s="3"/>
      <c r="AG56" s="3" t="s">
        <v>194</v>
      </c>
      <c r="AI56" s="3"/>
      <c r="AJ56" s="1">
        <v>46078</v>
      </c>
      <c r="AL56" s="3"/>
      <c r="AM56" s="1">
        <v>3</v>
      </c>
      <c r="AO56" s="3"/>
      <c r="AP56" s="3" t="s">
        <v>378</v>
      </c>
      <c r="AR56" s="3"/>
      <c r="AS56" s="3" t="s">
        <v>379</v>
      </c>
      <c r="AU56" s="3"/>
      <c r="AV56" s="3"/>
      <c r="AX56" s="3"/>
      <c r="AY56" s="5"/>
      <c r="BA56" s="3"/>
      <c r="BD56" s="3"/>
      <c r="BE56" s="3"/>
      <c r="BG56" s="3"/>
      <c r="BH56" s="3"/>
      <c r="BJ56" s="3"/>
      <c r="BK56" s="3"/>
      <c r="BM56" s="3"/>
      <c r="BN56" s="5"/>
      <c r="BP56" s="3"/>
      <c r="BS56" s="3"/>
      <c r="BT56" s="3"/>
      <c r="BV56" s="3"/>
      <c r="BW56" s="3"/>
      <c r="BY56" s="3"/>
      <c r="BZ56" s="3"/>
      <c r="CB56" s="3"/>
      <c r="CC56" s="5"/>
      <c r="CE56" s="3"/>
      <c r="CH56" s="3"/>
      <c r="CI56" s="3"/>
      <c r="CK56" s="3"/>
      <c r="CL56" s="3"/>
      <c r="CN56" s="3"/>
      <c r="CO56" s="3"/>
      <c r="CQ56" s="3"/>
      <c r="CR56" s="5"/>
      <c r="CT56" s="3"/>
      <c r="CW56" s="3"/>
      <c r="CX56" s="3"/>
      <c r="CZ56" s="3"/>
      <c r="DA56" s="3"/>
      <c r="DC56" s="3"/>
      <c r="DD56" s="3"/>
      <c r="DF56" s="3"/>
      <c r="DG56" s="5"/>
      <c r="DI56" s="3"/>
      <c r="DL56" s="3"/>
      <c r="DM56" s="3"/>
      <c r="DO56" s="3"/>
      <c r="DP56" s="3"/>
      <c r="DR56" s="3"/>
      <c r="DS56" s="1" t="str">
        <f>_xlfn.XLOOKUP(OfficeForms.Table[[#This Row],[Selecione a Categoria do Laboratório desta atividade prática:]],Planilha1!A:A,Planilha1!B:B)</f>
        <v>EMF-ISN</v>
      </c>
      <c r="DT56" s="1" t="str">
        <f>CONCATENATE(OfficeForms.Table[[#This Row],[Selecione seu Polo Laboratório de Atividades Presenciais:]],OfficeForms.Table[[#This Row],[CHAVE CONVERSÃO]])</f>
        <v>Brasília/DF - TaguatingaEMF-ISN</v>
      </c>
      <c r="DU5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5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5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6" s="1" t="str">
        <f>_xlfn.XLOOKUP(OfficeForms.Table[[#This Row],[CHAVE LINK POLO]],'[1]Quadro Geral de Lotação'!$B:$B,'[1]Quadro Geral de Lotação'!$I:$I)</f>
        <v>Tatiane Da Silva Rodrigues</v>
      </c>
      <c r="DY56" s="1" t="str">
        <f>OfficeForms.Table[[#This Row],[Selecione a Ordem de Disciplina]]</f>
        <v>Ordem 1</v>
      </c>
    </row>
    <row r="57" spans="1:129" ht="34.15" customHeight="1">
      <c r="A57" s="1">
        <v>57</v>
      </c>
      <c r="B57" s="2">
        <v>46080.379120370402</v>
      </c>
      <c r="C57" s="2">
        <v>46080.380682870396</v>
      </c>
      <c r="D57" s="3" t="s">
        <v>129</v>
      </c>
      <c r="E57" s="3" t="s">
        <v>130</v>
      </c>
      <c r="G57" s="3"/>
      <c r="I57" s="3" t="s">
        <v>131</v>
      </c>
      <c r="K57" s="3"/>
      <c r="L57" s="1" t="s">
        <v>132</v>
      </c>
      <c r="O57" s="3" t="s">
        <v>133</v>
      </c>
      <c r="Q57" s="3"/>
      <c r="R57" s="3"/>
      <c r="T57" s="3"/>
      <c r="U57" s="5"/>
      <c r="W57" s="3"/>
      <c r="Z57" s="3"/>
      <c r="AA57" s="3"/>
      <c r="AC57" s="3"/>
      <c r="AD57" s="3"/>
      <c r="AF57" s="3"/>
      <c r="AG57" s="3"/>
      <c r="AI57" s="3"/>
      <c r="AJ57" s="1"/>
      <c r="AL57" s="3"/>
      <c r="AO57" s="3"/>
      <c r="AP57" s="3"/>
      <c r="AR57" s="3"/>
      <c r="AS57" s="3"/>
      <c r="AU57" s="3"/>
      <c r="AV57" s="3" t="s">
        <v>380</v>
      </c>
      <c r="AX57" s="3"/>
      <c r="AY57" s="5">
        <v>46078</v>
      </c>
      <c r="BA57" s="3"/>
      <c r="BB57" s="1">
        <v>1</v>
      </c>
      <c r="BD57" s="3"/>
      <c r="BE57" s="3" t="s">
        <v>381</v>
      </c>
      <c r="BG57" s="3"/>
      <c r="BH57" s="3" t="s">
        <v>382</v>
      </c>
      <c r="BJ57" s="3"/>
      <c r="BK57" s="3"/>
      <c r="BM57" s="3"/>
      <c r="BN57" s="5"/>
      <c r="BP57" s="3"/>
      <c r="BS57" s="3"/>
      <c r="BT57" s="3"/>
      <c r="BV57" s="3"/>
      <c r="BW57" s="3"/>
      <c r="BY57" s="3"/>
      <c r="BZ57" s="3"/>
      <c r="CB57" s="3"/>
      <c r="CC57" s="5"/>
      <c r="CE57" s="3"/>
      <c r="CH57" s="3"/>
      <c r="CI57" s="3"/>
      <c r="CK57" s="3"/>
      <c r="CL57" s="3"/>
      <c r="CN57" s="3"/>
      <c r="CO57" s="3"/>
      <c r="CQ57" s="3"/>
      <c r="CR57" s="5"/>
      <c r="CT57" s="3"/>
      <c r="CW57" s="3"/>
      <c r="CX57" s="3"/>
      <c r="CZ57" s="3"/>
      <c r="DA57" s="3"/>
      <c r="DC57" s="3"/>
      <c r="DD57" s="3"/>
      <c r="DF57" s="3"/>
      <c r="DG57" s="5"/>
      <c r="DI57" s="3"/>
      <c r="DL57" s="3"/>
      <c r="DM57" s="3"/>
      <c r="DO57" s="3"/>
      <c r="DP57" s="3"/>
      <c r="DR57" s="3"/>
      <c r="DS57" s="1" t="str">
        <f>_xlfn.XLOOKUP(OfficeForms.Table[[#This Row],[Selecione a Categoria do Laboratório desta atividade prática:]],Planilha1!A:A,Planilha1!B:B)</f>
        <v>BFI</v>
      </c>
      <c r="DT57" s="1" t="str">
        <f>CONCATENATE(OfficeForms.Table[[#This Row],[Selecione seu Polo Laboratório de Atividades Presenciais:]],OfficeForms.Table[[#This Row],[CHAVE CONVERSÃO]])</f>
        <v>Guarujá/SPBFI</v>
      </c>
      <c r="DU5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Mobilização Articular na Cinesioterapia: Avaliação e Intervenção Funcional</v>
      </c>
      <c r="DV5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5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7" s="1" t="str">
        <f>_xlfn.XLOOKUP(OfficeForms.Table[[#This Row],[CHAVE LINK POLO]],'[1]Quadro Geral de Lotação'!$B:$B,'[1]Quadro Geral de Lotação'!$I:$I)</f>
        <v>Lucas Soares De Medeiros</v>
      </c>
      <c r="DY57" s="1" t="str">
        <f>OfficeForms.Table[[#This Row],[Selecione a Ordem de Disciplina]]</f>
        <v>Ordem 1</v>
      </c>
    </row>
    <row r="58" spans="1:129" ht="34.15" customHeight="1">
      <c r="A58" s="1">
        <v>58</v>
      </c>
      <c r="B58" s="2">
        <v>46080.380763888897</v>
      </c>
      <c r="C58" s="2">
        <v>46080.381724537001</v>
      </c>
      <c r="D58" s="3" t="s">
        <v>129</v>
      </c>
      <c r="E58" s="3" t="s">
        <v>130</v>
      </c>
      <c r="G58" s="3"/>
      <c r="I58" s="3" t="s">
        <v>131</v>
      </c>
      <c r="K58" s="3"/>
      <c r="L58" s="1" t="s">
        <v>132</v>
      </c>
      <c r="O58" s="3" t="s">
        <v>133</v>
      </c>
      <c r="Q58" s="3"/>
      <c r="R58" s="3"/>
      <c r="T58" s="3"/>
      <c r="U58" s="5"/>
      <c r="W58" s="3"/>
      <c r="Z58" s="3"/>
      <c r="AA58" s="3"/>
      <c r="AC58" s="3"/>
      <c r="AD58" s="3"/>
      <c r="AF58" s="3"/>
      <c r="AG58" s="3"/>
      <c r="AI58" s="3"/>
      <c r="AJ58" s="1"/>
      <c r="AL58" s="3"/>
      <c r="AO58" s="3"/>
      <c r="AP58" s="3"/>
      <c r="AR58" s="3"/>
      <c r="AS58" s="3"/>
      <c r="AU58" s="3"/>
      <c r="AV58" s="3" t="s">
        <v>330</v>
      </c>
      <c r="AX58" s="3"/>
      <c r="AY58" s="5">
        <v>46078</v>
      </c>
      <c r="BA58" s="3"/>
      <c r="BB58" s="1">
        <v>1</v>
      </c>
      <c r="BD58" s="3"/>
      <c r="BE58" s="3" t="s">
        <v>383</v>
      </c>
      <c r="BG58" s="3"/>
      <c r="BH58" s="3" t="s">
        <v>384</v>
      </c>
      <c r="BJ58" s="3"/>
      <c r="BK58" s="3"/>
      <c r="BM58" s="3"/>
      <c r="BN58" s="5"/>
      <c r="BP58" s="3"/>
      <c r="BS58" s="3"/>
      <c r="BT58" s="3"/>
      <c r="BV58" s="3"/>
      <c r="BW58" s="3"/>
      <c r="BY58" s="3"/>
      <c r="BZ58" s="3"/>
      <c r="CB58" s="3"/>
      <c r="CC58" s="5"/>
      <c r="CE58" s="3"/>
      <c r="CH58" s="3"/>
      <c r="CI58" s="3"/>
      <c r="CK58" s="3"/>
      <c r="CL58" s="3"/>
      <c r="CN58" s="3"/>
      <c r="CO58" s="3"/>
      <c r="CQ58" s="3"/>
      <c r="CR58" s="5"/>
      <c r="CT58" s="3"/>
      <c r="CW58" s="3"/>
      <c r="CX58" s="3"/>
      <c r="CZ58" s="3"/>
      <c r="DA58" s="3"/>
      <c r="DC58" s="3"/>
      <c r="DD58" s="3"/>
      <c r="DF58" s="3"/>
      <c r="DG58" s="5"/>
      <c r="DI58" s="3"/>
      <c r="DL58" s="3"/>
      <c r="DM58" s="3"/>
      <c r="DO58" s="3"/>
      <c r="DP58" s="3"/>
      <c r="DR58" s="3"/>
      <c r="DS58" s="1" t="str">
        <f>_xlfn.XLOOKUP(OfficeForms.Table[[#This Row],[Selecione a Categoria do Laboratório desta atividade prática:]],Planilha1!A:A,Planilha1!B:B)</f>
        <v>BFI</v>
      </c>
      <c r="DT58" s="1" t="str">
        <f>CONCATENATE(OfficeForms.Table[[#This Row],[Selecione seu Polo Laboratório de Atividades Presenciais:]],OfficeForms.Table[[#This Row],[CHAVE CONVERSÃO]])</f>
        <v>Guarujá/SPBFI</v>
      </c>
      <c r="DU5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Superiores: Prática em Fisioterapia Traumato-Ortopédica</v>
      </c>
      <c r="DV5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5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8" s="1" t="str">
        <f>_xlfn.XLOOKUP(OfficeForms.Table[[#This Row],[CHAVE LINK POLO]],'[1]Quadro Geral de Lotação'!$B:$B,'[1]Quadro Geral de Lotação'!$I:$I)</f>
        <v>Lucas Soares De Medeiros</v>
      </c>
      <c r="DY58" s="1" t="str">
        <f>OfficeForms.Table[[#This Row],[Selecione a Ordem de Disciplina]]</f>
        <v>Ordem 1</v>
      </c>
    </row>
    <row r="59" spans="1:129" ht="34.15" customHeight="1">
      <c r="A59" s="1">
        <v>59</v>
      </c>
      <c r="B59" s="2">
        <v>46080.404340277797</v>
      </c>
      <c r="C59" s="2">
        <v>46080.4195833333</v>
      </c>
      <c r="D59" s="3" t="s">
        <v>168</v>
      </c>
      <c r="E59" s="3" t="s">
        <v>169</v>
      </c>
      <c r="G59" s="3"/>
      <c r="I59" s="3" t="s">
        <v>170</v>
      </c>
      <c r="K59" s="3"/>
      <c r="L59" s="1" t="s">
        <v>132</v>
      </c>
      <c r="O59" s="3" t="s">
        <v>133</v>
      </c>
      <c r="Q59" s="3"/>
      <c r="R59" s="3"/>
      <c r="T59" s="3"/>
      <c r="U59" s="5"/>
      <c r="W59" s="3"/>
      <c r="Z59" s="3"/>
      <c r="AA59" s="3"/>
      <c r="AC59" s="3"/>
      <c r="AD59" s="3"/>
      <c r="AF59" s="3"/>
      <c r="AG59" s="3"/>
      <c r="AI59" s="3"/>
      <c r="AJ59" s="1"/>
      <c r="AL59" s="3"/>
      <c r="AO59" s="3"/>
      <c r="AP59" s="3"/>
      <c r="AR59" s="3"/>
      <c r="AS59" s="3"/>
      <c r="AU59" s="3"/>
      <c r="AV59" s="3" t="s">
        <v>385</v>
      </c>
      <c r="AX59" s="3"/>
      <c r="AY59" s="5">
        <v>46079</v>
      </c>
      <c r="BA59" s="3"/>
      <c r="BB59" s="1">
        <v>3</v>
      </c>
      <c r="BD59" s="3"/>
      <c r="BE59" s="3" t="s">
        <v>386</v>
      </c>
      <c r="BG59" s="3"/>
      <c r="BH59" s="3" t="s">
        <v>387</v>
      </c>
      <c r="BJ59" s="3"/>
      <c r="BK59" s="3"/>
      <c r="BM59" s="3"/>
      <c r="BN59" s="5"/>
      <c r="BP59" s="3"/>
      <c r="BS59" s="3"/>
      <c r="BT59" s="3"/>
      <c r="BV59" s="3"/>
      <c r="BW59" s="3"/>
      <c r="BY59" s="3"/>
      <c r="BZ59" s="3"/>
      <c r="CB59" s="3"/>
      <c r="CC59" s="5"/>
      <c r="CE59" s="3"/>
      <c r="CH59" s="3"/>
      <c r="CI59" s="3"/>
      <c r="CK59" s="3"/>
      <c r="CL59" s="3"/>
      <c r="CN59" s="3"/>
      <c r="CO59" s="3"/>
      <c r="CQ59" s="3"/>
      <c r="CR59" s="5"/>
      <c r="CT59" s="3"/>
      <c r="CW59" s="3"/>
      <c r="CX59" s="3"/>
      <c r="CZ59" s="3"/>
      <c r="DA59" s="3"/>
      <c r="DC59" s="3"/>
      <c r="DD59" s="3"/>
      <c r="DF59" s="3"/>
      <c r="DG59" s="5"/>
      <c r="DI59" s="3"/>
      <c r="DL59" s="3"/>
      <c r="DM59" s="3"/>
      <c r="DO59" s="3"/>
      <c r="DP59" s="3"/>
      <c r="DR59" s="3"/>
      <c r="DS59" s="1" t="str">
        <f>_xlfn.XLOOKUP(OfficeForms.Table[[#This Row],[Selecione a Categoria do Laboratório desta atividade prática:]],Planilha1!A:A,Planilha1!B:B)</f>
        <v>BFI</v>
      </c>
      <c r="DT59" s="1" t="str">
        <f>CONCATENATE(OfficeForms.Table[[#This Row],[Selecione seu Polo Laboratório de Atividades Presenciais:]],OfficeForms.Table[[#This Row],[CHAVE CONVERSÃO]])</f>
        <v>Paulo Afonso/BA - Tancredo Neves IIBFI</v>
      </c>
      <c r="DU5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Geral Terapêutica: Técnicas e Aplicações em Recursos Manuais;Prática de Drenagem Linfática Manual: Estímulo à Circulação Linfática e Redução de Edema</v>
      </c>
      <c r="DV5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5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9" s="1" t="str">
        <f>_xlfn.XLOOKUP(OfficeForms.Table[[#This Row],[CHAVE LINK POLO]],'[1]Quadro Geral de Lotação'!$B:$B,'[1]Quadro Geral de Lotação'!$I:$I)</f>
        <v>Vanessa Das Neves Varjao</v>
      </c>
      <c r="DY59" s="1" t="str">
        <f>OfficeForms.Table[[#This Row],[Selecione a Ordem de Disciplina]]</f>
        <v>Ordem 1</v>
      </c>
    </row>
    <row r="60" spans="1:129" ht="34.15" customHeight="1">
      <c r="A60" s="1">
        <v>60</v>
      </c>
      <c r="B60" s="2">
        <v>46080.450543981497</v>
      </c>
      <c r="C60" s="2">
        <v>46080.453680555598</v>
      </c>
      <c r="D60" s="3" t="s">
        <v>388</v>
      </c>
      <c r="E60" s="3" t="s">
        <v>389</v>
      </c>
      <c r="G60" s="3"/>
      <c r="I60" s="3" t="s">
        <v>390</v>
      </c>
      <c r="K60" s="3"/>
      <c r="L60" s="1" t="s">
        <v>132</v>
      </c>
      <c r="O60" s="3" t="s">
        <v>184</v>
      </c>
      <c r="Q60" s="3"/>
      <c r="R60" s="3"/>
      <c r="T60" s="3"/>
      <c r="U60" s="5"/>
      <c r="W60" s="3"/>
      <c r="Z60" s="3"/>
      <c r="AA60" s="3"/>
      <c r="AC60" s="3"/>
      <c r="AD60" s="3"/>
      <c r="AF60" s="3"/>
      <c r="AG60" s="3" t="s">
        <v>391</v>
      </c>
      <c r="AI60" s="3"/>
      <c r="AJ60" s="1">
        <v>46071</v>
      </c>
      <c r="AL60" s="3"/>
      <c r="AM60" s="1">
        <v>11</v>
      </c>
      <c r="AO60" s="3"/>
      <c r="AP60" s="3" t="s">
        <v>392</v>
      </c>
      <c r="AR60" s="3"/>
      <c r="AS60" s="3" t="s">
        <v>393</v>
      </c>
      <c r="AU60" s="3"/>
      <c r="AV60" s="3"/>
      <c r="AX60" s="3"/>
      <c r="AY60" s="5"/>
      <c r="BA60" s="3"/>
      <c r="BD60" s="3"/>
      <c r="BE60" s="3"/>
      <c r="BG60" s="3"/>
      <c r="BH60" s="3"/>
      <c r="BJ60" s="3"/>
      <c r="BK60" s="3"/>
      <c r="BM60" s="3"/>
      <c r="BN60" s="5"/>
      <c r="BP60" s="3"/>
      <c r="BS60" s="3"/>
      <c r="BT60" s="3"/>
      <c r="BV60" s="3"/>
      <c r="BW60" s="3"/>
      <c r="BY60" s="3"/>
      <c r="BZ60" s="3"/>
      <c r="CB60" s="3"/>
      <c r="CC60" s="5"/>
      <c r="CE60" s="3"/>
      <c r="CH60" s="3"/>
      <c r="CI60" s="3"/>
      <c r="CK60" s="3"/>
      <c r="CL60" s="3"/>
      <c r="CN60" s="3"/>
      <c r="CO60" s="3"/>
      <c r="CQ60" s="3"/>
      <c r="CR60" s="5"/>
      <c r="CT60" s="3"/>
      <c r="CW60" s="3"/>
      <c r="CX60" s="3"/>
      <c r="CZ60" s="3"/>
      <c r="DA60" s="3"/>
      <c r="DC60" s="3"/>
      <c r="DD60" s="3"/>
      <c r="DF60" s="3"/>
      <c r="DG60" s="5"/>
      <c r="DI60" s="3"/>
      <c r="DL60" s="3"/>
      <c r="DM60" s="3"/>
      <c r="DO60" s="3"/>
      <c r="DP60" s="3"/>
      <c r="DR60" s="3"/>
      <c r="DS60" s="1" t="str">
        <f>_xlfn.XLOOKUP(OfficeForms.Table[[#This Row],[Selecione a Categoria do Laboratório desta atividade prática:]],Planilha1!A:A,Planilha1!B:B)</f>
        <v>EMF-ISN</v>
      </c>
      <c r="DT60" s="1" t="str">
        <f>CONCATENATE(OfficeForms.Table[[#This Row],[Selecione seu Polo Laboratório de Atividades Presenciais:]],OfficeForms.Table[[#This Row],[CHAVE CONVERSÃO]])</f>
        <v>Salinópolis/PAEMF-ISN</v>
      </c>
      <c r="DU6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TOT);Punção e manutenção de cateter de longa permanência + Troca de bolsa de ostomia</v>
      </c>
      <c r="DV6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6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60" s="1" t="str">
        <f>_xlfn.XLOOKUP(OfficeForms.Table[[#This Row],[CHAVE LINK POLO]],'[1]Quadro Geral de Lotação'!$B:$B,'[1]Quadro Geral de Lotação'!$I:$I)</f>
        <v>Jean Sousa Dos Santos</v>
      </c>
      <c r="DY60" s="1" t="str">
        <f>OfficeForms.Table[[#This Row],[Selecione a Ordem de Disciplina]]</f>
        <v>Ordem 1</v>
      </c>
    </row>
    <row r="61" spans="1:129" ht="34.15" customHeight="1">
      <c r="A61" s="1">
        <v>61</v>
      </c>
      <c r="B61" s="2">
        <v>46080.443032407398</v>
      </c>
      <c r="C61" s="2">
        <v>46080.458946759303</v>
      </c>
      <c r="D61" s="3" t="s">
        <v>394</v>
      </c>
      <c r="E61" s="3" t="s">
        <v>395</v>
      </c>
      <c r="G61" s="3"/>
      <c r="I61" s="3" t="s">
        <v>396</v>
      </c>
      <c r="K61" s="3"/>
      <c r="L61" s="1" t="s">
        <v>132</v>
      </c>
      <c r="O61" s="3" t="s">
        <v>133</v>
      </c>
      <c r="Q61" s="3"/>
      <c r="R61" s="3"/>
      <c r="T61" s="3"/>
      <c r="U61" s="5"/>
      <c r="W61" s="3"/>
      <c r="Z61" s="3"/>
      <c r="AA61" s="3"/>
      <c r="AC61" s="3"/>
      <c r="AD61" s="3"/>
      <c r="AF61" s="3"/>
      <c r="AG61" s="3"/>
      <c r="AI61" s="3"/>
      <c r="AJ61" s="1"/>
      <c r="AL61" s="3"/>
      <c r="AO61" s="3"/>
      <c r="AP61" s="3"/>
      <c r="AR61" s="3"/>
      <c r="AS61" s="3"/>
      <c r="AU61" s="3"/>
      <c r="AV61" s="3" t="s">
        <v>276</v>
      </c>
      <c r="AX61" s="3"/>
      <c r="AY61" s="5">
        <v>46079</v>
      </c>
      <c r="BA61" s="3"/>
      <c r="BB61" s="1">
        <v>2</v>
      </c>
      <c r="BD61" s="3"/>
      <c r="BE61" s="3" t="s">
        <v>397</v>
      </c>
      <c r="BG61" s="3"/>
      <c r="BH61" s="3" t="s">
        <v>398</v>
      </c>
      <c r="BJ61" s="3"/>
      <c r="BK61" s="3"/>
      <c r="BM61" s="3"/>
      <c r="BN61" s="5"/>
      <c r="BP61" s="3"/>
      <c r="BS61" s="3"/>
      <c r="BT61" s="3"/>
      <c r="BV61" s="3"/>
      <c r="BW61" s="3"/>
      <c r="BY61" s="3"/>
      <c r="BZ61" s="3"/>
      <c r="CB61" s="3"/>
      <c r="CC61" s="5"/>
      <c r="CE61" s="3"/>
      <c r="CH61" s="3"/>
      <c r="CI61" s="3"/>
      <c r="CK61" s="3"/>
      <c r="CL61" s="3"/>
      <c r="CN61" s="3"/>
      <c r="CO61" s="3"/>
      <c r="CQ61" s="3"/>
      <c r="CR61" s="5"/>
      <c r="CT61" s="3"/>
      <c r="CW61" s="3"/>
      <c r="CX61" s="3"/>
      <c r="CZ61" s="3"/>
      <c r="DA61" s="3"/>
      <c r="DC61" s="3"/>
      <c r="DD61" s="3"/>
      <c r="DF61" s="3"/>
      <c r="DG61" s="5"/>
      <c r="DI61" s="3"/>
      <c r="DL61" s="3"/>
      <c r="DM61" s="3"/>
      <c r="DO61" s="3"/>
      <c r="DP61" s="3"/>
      <c r="DR61" s="3"/>
      <c r="DS61" s="1" t="str">
        <f>_xlfn.XLOOKUP(OfficeForms.Table[[#This Row],[Selecione a Categoria do Laboratório desta atividade prática:]],Planilha1!A:A,Planilha1!B:B)</f>
        <v>BFI</v>
      </c>
      <c r="DT61" s="1" t="str">
        <f>CONCATENATE(OfficeForms.Table[[#This Row],[Selecione seu Polo Laboratório de Atividades Presenciais:]],OfficeForms.Table[[#This Row],[CHAVE CONVERSÃO]])</f>
        <v>Blumenau/SC - Salto Do Norte (Centro Universitário Dante)BFI</v>
      </c>
      <c r="DU6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Limpeza de Pele Facial e avaliação facial</v>
      </c>
      <c r="DV6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6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1" s="1" t="str">
        <f>_xlfn.XLOOKUP(OfficeForms.Table[[#This Row],[CHAVE LINK POLO]],'[1]Quadro Geral de Lotação'!$B:$B,'[1]Quadro Geral de Lotação'!$I:$I)</f>
        <v>-</v>
      </c>
      <c r="DY61" s="1" t="str">
        <f>OfficeForms.Table[[#This Row],[Selecione a Ordem de Disciplina]]</f>
        <v>Ordem 1</v>
      </c>
    </row>
    <row r="62" spans="1:129" ht="34.15" customHeight="1">
      <c r="A62" s="1">
        <v>62</v>
      </c>
      <c r="B62" s="2">
        <v>46080.517141203702</v>
      </c>
      <c r="C62" s="2">
        <v>46080.542141203703</v>
      </c>
      <c r="D62" s="3" t="s">
        <v>399</v>
      </c>
      <c r="E62" s="3" t="s">
        <v>400</v>
      </c>
      <c r="G62" s="3"/>
      <c r="I62" s="3" t="s">
        <v>401</v>
      </c>
      <c r="K62" s="3"/>
      <c r="L62" s="1" t="s">
        <v>132</v>
      </c>
      <c r="O62" s="3" t="s">
        <v>184</v>
      </c>
      <c r="Q62" s="3"/>
      <c r="R62" s="3"/>
      <c r="T62" s="3"/>
      <c r="U62" s="5"/>
      <c r="W62" s="3"/>
      <c r="Z62" s="3"/>
      <c r="AA62" s="3"/>
      <c r="AC62" s="3"/>
      <c r="AD62" s="3"/>
      <c r="AF62" s="3"/>
      <c r="AG62" s="3" t="s">
        <v>194</v>
      </c>
      <c r="AI62" s="3"/>
      <c r="AJ62" s="1">
        <v>46079</v>
      </c>
      <c r="AL62" s="3"/>
      <c r="AM62" s="1">
        <v>2</v>
      </c>
      <c r="AO62" s="3"/>
      <c r="AP62" s="3" t="s">
        <v>402</v>
      </c>
      <c r="AR62" s="3"/>
      <c r="AS62" s="3" t="s">
        <v>403</v>
      </c>
      <c r="AU62" s="3"/>
      <c r="AV62" s="3"/>
      <c r="AX62" s="3"/>
      <c r="AY62" s="5"/>
      <c r="BA62" s="3"/>
      <c r="BD62" s="3"/>
      <c r="BE62" s="3"/>
      <c r="BG62" s="3"/>
      <c r="BH62" s="3"/>
      <c r="BJ62" s="3"/>
      <c r="BK62" s="3"/>
      <c r="BM62" s="3"/>
      <c r="BN62" s="5"/>
      <c r="BP62" s="3"/>
      <c r="BS62" s="3"/>
      <c r="BT62" s="3"/>
      <c r="BV62" s="3"/>
      <c r="BW62" s="3"/>
      <c r="BY62" s="3"/>
      <c r="BZ62" s="3"/>
      <c r="CB62" s="3"/>
      <c r="CC62" s="5"/>
      <c r="CE62" s="3"/>
      <c r="CH62" s="3"/>
      <c r="CI62" s="3"/>
      <c r="CK62" s="3"/>
      <c r="CL62" s="3"/>
      <c r="CN62" s="3"/>
      <c r="CO62" s="3"/>
      <c r="CQ62" s="3"/>
      <c r="CR62" s="5"/>
      <c r="CT62" s="3"/>
      <c r="CW62" s="3"/>
      <c r="CX62" s="3"/>
      <c r="CZ62" s="3"/>
      <c r="DA62" s="3"/>
      <c r="DC62" s="3"/>
      <c r="DD62" s="3"/>
      <c r="DF62" s="3"/>
      <c r="DG62" s="5"/>
      <c r="DI62" s="3"/>
      <c r="DL62" s="3"/>
      <c r="DM62" s="3"/>
      <c r="DO62" s="3"/>
      <c r="DP62" s="3"/>
      <c r="DR62" s="3"/>
      <c r="DS62" s="1" t="str">
        <f>_xlfn.XLOOKUP(OfficeForms.Table[[#This Row],[Selecione a Categoria do Laboratório desta atividade prática:]],Planilha1!A:A,Planilha1!B:B)</f>
        <v>EMF-ISN</v>
      </c>
      <c r="DT62" s="1" t="str">
        <f>CONCATENATE(OfficeForms.Table[[#This Row],[Selecione seu Polo Laboratório de Atividades Presenciais:]],OfficeForms.Table[[#This Row],[CHAVE CONVERSÃO]])</f>
        <v>Itaboraí/RJEMF-ISN</v>
      </c>
      <c r="DU6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6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6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2" s="1" t="str">
        <f>_xlfn.XLOOKUP(OfficeForms.Table[[#This Row],[CHAVE LINK POLO]],'[1]Quadro Geral de Lotação'!$B:$B,'[1]Quadro Geral de Lotação'!$I:$I)</f>
        <v>Patricia da Silva Trasmontano</v>
      </c>
      <c r="DY62" s="1" t="str">
        <f>OfficeForms.Table[[#This Row],[Selecione a Ordem de Disciplina]]</f>
        <v>Ordem 1</v>
      </c>
    </row>
    <row r="63" spans="1:129" ht="34.15" customHeight="1">
      <c r="A63" s="1">
        <v>63</v>
      </c>
      <c r="B63" s="2">
        <v>46080.542962963002</v>
      </c>
      <c r="C63" s="2">
        <v>46080.544386574104</v>
      </c>
      <c r="D63" s="3" t="s">
        <v>404</v>
      </c>
      <c r="E63" s="3" t="s">
        <v>405</v>
      </c>
      <c r="G63" s="3"/>
      <c r="I63" s="3" t="s">
        <v>406</v>
      </c>
      <c r="K63" s="3"/>
      <c r="L63" s="1" t="s">
        <v>132</v>
      </c>
      <c r="O63" s="3" t="s">
        <v>184</v>
      </c>
      <c r="Q63" s="3"/>
      <c r="R63" s="3"/>
      <c r="T63" s="3"/>
      <c r="U63" s="5"/>
      <c r="W63" s="3"/>
      <c r="Z63" s="3"/>
      <c r="AA63" s="3"/>
      <c r="AC63" s="3"/>
      <c r="AD63" s="3"/>
      <c r="AF63" s="3"/>
      <c r="AG63" s="3" t="s">
        <v>194</v>
      </c>
      <c r="AI63" s="3"/>
      <c r="AJ63" s="1">
        <v>46079</v>
      </c>
      <c r="AL63" s="3"/>
      <c r="AM63" s="1">
        <v>2</v>
      </c>
      <c r="AO63" s="3"/>
      <c r="AP63" s="3" t="s">
        <v>407</v>
      </c>
      <c r="AR63" s="3"/>
      <c r="AS63" s="3" t="s">
        <v>408</v>
      </c>
      <c r="AU63" s="3"/>
      <c r="AV63" s="3"/>
      <c r="AX63" s="3"/>
      <c r="AY63" s="5"/>
      <c r="BA63" s="3"/>
      <c r="BD63" s="3"/>
      <c r="BE63" s="3"/>
      <c r="BG63" s="3"/>
      <c r="BH63" s="3"/>
      <c r="BJ63" s="3"/>
      <c r="BK63" s="3"/>
      <c r="BM63" s="3"/>
      <c r="BN63" s="5"/>
      <c r="BP63" s="3"/>
      <c r="BS63" s="3"/>
      <c r="BT63" s="3"/>
      <c r="BV63" s="3"/>
      <c r="BW63" s="3"/>
      <c r="BY63" s="3"/>
      <c r="BZ63" s="3"/>
      <c r="CB63" s="3"/>
      <c r="CC63" s="5"/>
      <c r="CE63" s="3"/>
      <c r="CH63" s="3"/>
      <c r="CI63" s="3"/>
      <c r="CK63" s="3"/>
      <c r="CL63" s="3"/>
      <c r="CN63" s="3"/>
      <c r="CO63" s="3"/>
      <c r="CQ63" s="3"/>
      <c r="CR63" s="5"/>
      <c r="CT63" s="3"/>
      <c r="CW63" s="3"/>
      <c r="CX63" s="3"/>
      <c r="CZ63" s="3"/>
      <c r="DA63" s="3"/>
      <c r="DC63" s="3"/>
      <c r="DD63" s="3"/>
      <c r="DF63" s="3"/>
      <c r="DG63" s="5"/>
      <c r="DI63" s="3"/>
      <c r="DL63" s="3"/>
      <c r="DM63" s="3"/>
      <c r="DO63" s="3"/>
      <c r="DP63" s="3"/>
      <c r="DR63" s="3"/>
      <c r="DS63" s="1" t="str">
        <f>_xlfn.XLOOKUP(OfficeForms.Table[[#This Row],[Selecione a Categoria do Laboratório desta atividade prática:]],Planilha1!A:A,Planilha1!B:B)</f>
        <v>EMF-ISN</v>
      </c>
      <c r="DT63" s="1" t="str">
        <f>CONCATENATE(OfficeForms.Table[[#This Row],[Selecione seu Polo Laboratório de Atividades Presenciais:]],OfficeForms.Table[[#This Row],[CHAVE CONVERSÃO]])</f>
        <v>Conselheiro Lafaiete/MGEMF-ISN</v>
      </c>
      <c r="DU6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6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6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3" s="1" t="str">
        <f>_xlfn.XLOOKUP(OfficeForms.Table[[#This Row],[CHAVE LINK POLO]],'[1]Quadro Geral de Lotação'!$B:$B,'[1]Quadro Geral de Lotação'!$I:$I)</f>
        <v>Aline Graziele Goncalves Costa</v>
      </c>
      <c r="DY63" s="1" t="str">
        <f>OfficeForms.Table[[#This Row],[Selecione a Ordem de Disciplina]]</f>
        <v>Ordem 1</v>
      </c>
    </row>
    <row r="64" spans="1:129" ht="34.15" customHeight="1">
      <c r="A64" s="1">
        <v>64</v>
      </c>
      <c r="B64" s="2">
        <v>46080.542928240699</v>
      </c>
      <c r="C64" s="2">
        <v>46080.565821759301</v>
      </c>
      <c r="D64" s="3" t="s">
        <v>399</v>
      </c>
      <c r="E64" s="3" t="s">
        <v>400</v>
      </c>
      <c r="G64" s="3"/>
      <c r="I64" s="3" t="s">
        <v>401</v>
      </c>
      <c r="K64" s="3"/>
      <c r="L64" s="1" t="s">
        <v>132</v>
      </c>
      <c r="O64" s="3" t="s">
        <v>184</v>
      </c>
      <c r="Q64" s="3"/>
      <c r="R64" s="3"/>
      <c r="T64" s="3"/>
      <c r="U64" s="5"/>
      <c r="W64" s="3"/>
      <c r="Z64" s="3"/>
      <c r="AA64" s="3"/>
      <c r="AC64" s="3"/>
      <c r="AD64" s="3"/>
      <c r="AF64" s="3"/>
      <c r="AG64" s="3" t="s">
        <v>370</v>
      </c>
      <c r="AI64" s="3"/>
      <c r="AJ64" s="1">
        <v>46079</v>
      </c>
      <c r="AL64" s="3"/>
      <c r="AM64" s="1">
        <v>11</v>
      </c>
      <c r="AO64" s="3"/>
      <c r="AP64" s="3" t="s">
        <v>409</v>
      </c>
      <c r="AR64" s="3"/>
      <c r="AS64" s="3" t="s">
        <v>410</v>
      </c>
      <c r="AU64" s="3"/>
      <c r="AV64" s="3"/>
      <c r="AX64" s="3"/>
      <c r="AY64" s="5"/>
      <c r="BA64" s="3"/>
      <c r="BD64" s="3"/>
      <c r="BE64" s="3"/>
      <c r="BG64" s="3"/>
      <c r="BH64" s="3"/>
      <c r="BJ64" s="3"/>
      <c r="BK64" s="3"/>
      <c r="BM64" s="3"/>
      <c r="BN64" s="5"/>
      <c r="BP64" s="3"/>
      <c r="BS64" s="3"/>
      <c r="BT64" s="3"/>
      <c r="BV64" s="3"/>
      <c r="BW64" s="3"/>
      <c r="BY64" s="3"/>
      <c r="BZ64" s="3"/>
      <c r="CB64" s="3"/>
      <c r="CC64" s="5"/>
      <c r="CE64" s="3"/>
      <c r="CH64" s="3"/>
      <c r="CI64" s="3"/>
      <c r="CK64" s="3"/>
      <c r="CL64" s="3"/>
      <c r="CN64" s="3"/>
      <c r="CO64" s="3"/>
      <c r="CQ64" s="3"/>
      <c r="CR64" s="5"/>
      <c r="CT64" s="3"/>
      <c r="CW64" s="3"/>
      <c r="CX64" s="3"/>
      <c r="CZ64" s="3"/>
      <c r="DA64" s="3"/>
      <c r="DC64" s="3"/>
      <c r="DD64" s="3"/>
      <c r="DF64" s="3"/>
      <c r="DG64" s="5"/>
      <c r="DI64" s="3"/>
      <c r="DL64" s="3"/>
      <c r="DM64" s="3"/>
      <c r="DO64" s="3"/>
      <c r="DP64" s="3"/>
      <c r="DR64" s="3"/>
      <c r="DS64" s="1" t="str">
        <f>_xlfn.XLOOKUP(OfficeForms.Table[[#This Row],[Selecione a Categoria do Laboratório desta atividade prática:]],Planilha1!A:A,Planilha1!B:B)</f>
        <v>EMF-ISN</v>
      </c>
      <c r="DT64" s="1" t="str">
        <f>CONCATENATE(OfficeForms.Table[[#This Row],[Selecione seu Polo Laboratório de Atividades Presenciais:]],OfficeForms.Table[[#This Row],[CHAVE CONVERSÃO]])</f>
        <v>Itaboraí/RJEMF-ISN</v>
      </c>
      <c r="DU6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6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6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64" s="1" t="str">
        <f>_xlfn.XLOOKUP(OfficeForms.Table[[#This Row],[CHAVE LINK POLO]],'[1]Quadro Geral de Lotação'!$B:$B,'[1]Quadro Geral de Lotação'!$I:$I)</f>
        <v>Patricia da Silva Trasmontano</v>
      </c>
      <c r="DY64" s="1" t="str">
        <f>OfficeForms.Table[[#This Row],[Selecione a Ordem de Disciplina]]</f>
        <v>Ordem 1</v>
      </c>
    </row>
    <row r="65" spans="1:129" ht="34.15" customHeight="1">
      <c r="A65" s="1">
        <v>65</v>
      </c>
      <c r="B65" s="2">
        <v>46080.6641087963</v>
      </c>
      <c r="C65" s="2">
        <v>46080.667094907403</v>
      </c>
      <c r="D65" s="3" t="s">
        <v>344</v>
      </c>
      <c r="E65" s="3" t="s">
        <v>345</v>
      </c>
      <c r="G65" s="3"/>
      <c r="I65" s="3" t="s">
        <v>346</v>
      </c>
      <c r="K65" s="3"/>
      <c r="L65" s="1" t="s">
        <v>132</v>
      </c>
      <c r="O65" s="3" t="s">
        <v>133</v>
      </c>
      <c r="Q65" s="3"/>
      <c r="R65" s="3"/>
      <c r="T65" s="3"/>
      <c r="U65" s="5"/>
      <c r="W65" s="3"/>
      <c r="Z65" s="3"/>
      <c r="AA65" s="3"/>
      <c r="AC65" s="3"/>
      <c r="AD65" s="3"/>
      <c r="AF65" s="3"/>
      <c r="AG65" s="3"/>
      <c r="AI65" s="3"/>
      <c r="AJ65" s="1"/>
      <c r="AL65" s="3"/>
      <c r="AO65" s="3"/>
      <c r="AP65" s="3"/>
      <c r="AR65" s="3"/>
      <c r="AS65" s="3"/>
      <c r="AU65" s="3"/>
      <c r="AV65" s="3" t="s">
        <v>411</v>
      </c>
      <c r="AX65" s="3"/>
      <c r="AY65" s="5">
        <v>46076</v>
      </c>
      <c r="BA65" s="3"/>
      <c r="BB65" s="1">
        <v>25</v>
      </c>
      <c r="BD65" s="3"/>
      <c r="BE65" s="3" t="s">
        <v>412</v>
      </c>
      <c r="BG65" s="3"/>
      <c r="BH65" s="3" t="s">
        <v>413</v>
      </c>
      <c r="BJ65" s="3"/>
      <c r="BK65" s="3"/>
      <c r="BM65" s="3"/>
      <c r="BN65" s="5"/>
      <c r="BP65" s="3"/>
      <c r="BS65" s="3"/>
      <c r="BT65" s="3"/>
      <c r="BV65" s="3"/>
      <c r="BW65" s="3"/>
      <c r="BY65" s="3"/>
      <c r="BZ65" s="3"/>
      <c r="CB65" s="3"/>
      <c r="CC65" s="5"/>
      <c r="CE65" s="3"/>
      <c r="CH65" s="3"/>
      <c r="CI65" s="3"/>
      <c r="CK65" s="3"/>
      <c r="CL65" s="3"/>
      <c r="CN65" s="3"/>
      <c r="CO65" s="3"/>
      <c r="CQ65" s="3"/>
      <c r="CR65" s="5"/>
      <c r="CT65" s="3"/>
      <c r="CW65" s="3"/>
      <c r="CX65" s="3"/>
      <c r="CZ65" s="3"/>
      <c r="DA65" s="3"/>
      <c r="DC65" s="3"/>
      <c r="DD65" s="3"/>
      <c r="DF65" s="3"/>
      <c r="DG65" s="5"/>
      <c r="DI65" s="3"/>
      <c r="DL65" s="3"/>
      <c r="DM65" s="3"/>
      <c r="DO65" s="3"/>
      <c r="DP65" s="3"/>
      <c r="DR65" s="3"/>
      <c r="DS65" s="1" t="str">
        <f>_xlfn.XLOOKUP(OfficeForms.Table[[#This Row],[Selecione a Categoria do Laboratório desta atividade prática:]],Planilha1!A:A,Planilha1!B:B)</f>
        <v>BFI</v>
      </c>
      <c r="DT65" s="1" t="str">
        <f>CONCATENATE(OfficeForms.Table[[#This Row],[Selecione seu Polo Laboratório de Atividades Presenciais:]],OfficeForms.Table[[#This Row],[CHAVE CONVERSÃO]])</f>
        <v>Boa Viagem/CEBFI</v>
      </c>
      <c r="DU6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Drenagem Linfática Manual: Estímulo à Circulação Linfática e Redução de Edema</v>
      </c>
      <c r="DV6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6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25</v>
      </c>
      <c r="DX65" s="1" t="str">
        <f>_xlfn.XLOOKUP(OfficeForms.Table[[#This Row],[CHAVE LINK POLO]],'[1]Quadro Geral de Lotação'!$B:$B,'[1]Quadro Geral de Lotação'!$I:$I)</f>
        <v>Airton Souza Farias</v>
      </c>
      <c r="DY65" s="1" t="str">
        <f>OfficeForms.Table[[#This Row],[Selecione a Ordem de Disciplina]]</f>
        <v>Ordem 1</v>
      </c>
    </row>
    <row r="66" spans="1:129" ht="34.15" customHeight="1">
      <c r="A66" s="1">
        <v>66</v>
      </c>
      <c r="B66" s="2">
        <v>46080.895590277803</v>
      </c>
      <c r="C66" s="2">
        <v>46080.896539351903</v>
      </c>
      <c r="D66" s="3" t="s">
        <v>313</v>
      </c>
      <c r="E66" s="3" t="s">
        <v>314</v>
      </c>
      <c r="G66" s="3"/>
      <c r="I66" s="3" t="s">
        <v>315</v>
      </c>
      <c r="K66" s="3"/>
      <c r="L66" s="1" t="s">
        <v>132</v>
      </c>
      <c r="O66" s="3" t="s">
        <v>184</v>
      </c>
      <c r="Q66" s="3"/>
      <c r="R66" s="3"/>
      <c r="T66" s="3"/>
      <c r="U66" s="5"/>
      <c r="W66" s="3"/>
      <c r="Z66" s="3"/>
      <c r="AA66" s="3"/>
      <c r="AC66" s="3"/>
      <c r="AD66" s="3"/>
      <c r="AF66" s="3"/>
      <c r="AG66" s="3" t="s">
        <v>414</v>
      </c>
      <c r="AI66" s="3"/>
      <c r="AJ66" s="1">
        <v>46080</v>
      </c>
      <c r="AL66" s="3"/>
      <c r="AM66" s="1">
        <v>9</v>
      </c>
      <c r="AO66" s="3"/>
      <c r="AP66" s="3" t="s">
        <v>415</v>
      </c>
      <c r="AR66" s="3"/>
      <c r="AS66" s="3" t="s">
        <v>416</v>
      </c>
      <c r="AU66" s="3"/>
      <c r="AV66" s="3"/>
      <c r="AX66" s="3"/>
      <c r="AY66" s="5"/>
      <c r="BA66" s="3"/>
      <c r="BD66" s="3"/>
      <c r="BE66" s="3"/>
      <c r="BG66" s="3"/>
      <c r="BH66" s="3"/>
      <c r="BJ66" s="3"/>
      <c r="BK66" s="3"/>
      <c r="BM66" s="3"/>
      <c r="BN66" s="5"/>
      <c r="BP66" s="3"/>
      <c r="BS66" s="3"/>
      <c r="BT66" s="3"/>
      <c r="BV66" s="3"/>
      <c r="BW66" s="3"/>
      <c r="BY66" s="3"/>
      <c r="BZ66" s="3"/>
      <c r="CB66" s="3"/>
      <c r="CC66" s="5"/>
      <c r="CE66" s="3"/>
      <c r="CH66" s="3"/>
      <c r="CI66" s="3"/>
      <c r="CK66" s="3"/>
      <c r="CL66" s="3"/>
      <c r="CN66" s="3"/>
      <c r="CO66" s="3"/>
      <c r="CQ66" s="3"/>
      <c r="CR66" s="5"/>
      <c r="CT66" s="3"/>
      <c r="CW66" s="3"/>
      <c r="CX66" s="3"/>
      <c r="CZ66" s="3"/>
      <c r="DA66" s="3"/>
      <c r="DC66" s="3"/>
      <c r="DD66" s="3"/>
      <c r="DF66" s="3"/>
      <c r="DG66" s="5"/>
      <c r="DI66" s="3"/>
      <c r="DL66" s="3"/>
      <c r="DM66" s="3"/>
      <c r="DO66" s="3"/>
      <c r="DP66" s="3"/>
      <c r="DR66" s="3"/>
      <c r="DS66" s="1" t="str">
        <f>_xlfn.XLOOKUP(OfficeForms.Table[[#This Row],[Selecione a Categoria do Laboratório desta atividade prática:]],Planilha1!A:A,Planilha1!B:B)</f>
        <v>EMF-ISN</v>
      </c>
      <c r="DT66" s="1" t="str">
        <f>CONCATENATE(OfficeForms.Table[[#This Row],[Selecione seu Polo Laboratório de Atividades Presenciais:]],OfficeForms.Table[[#This Row],[CHAVE CONVERSÃO]])</f>
        <v>Alenquer/PAEMF-ISN</v>
      </c>
      <c r="DU6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6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6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66" s="1" t="str">
        <f>_xlfn.XLOOKUP(OfficeForms.Table[[#This Row],[CHAVE LINK POLO]],'[1]Quadro Geral de Lotação'!$B:$B,'[1]Quadro Geral de Lotação'!$I:$I)</f>
        <v>Ana Flavia Chaves De Souza</v>
      </c>
      <c r="DY66" s="1" t="str">
        <f>OfficeForms.Table[[#This Row],[Selecione a Ordem de Disciplina]]</f>
        <v>Ordem 1</v>
      </c>
    </row>
    <row r="67" spans="1:129" ht="34.15" customHeight="1">
      <c r="A67" s="1">
        <v>67</v>
      </c>
      <c r="B67" s="2">
        <v>46080.918090277803</v>
      </c>
      <c r="C67" s="2">
        <v>46080.929027777798</v>
      </c>
      <c r="D67" s="3" t="s">
        <v>417</v>
      </c>
      <c r="E67" s="3" t="s">
        <v>418</v>
      </c>
      <c r="G67" s="3"/>
      <c r="I67" s="3" t="s">
        <v>131</v>
      </c>
      <c r="K67" s="3"/>
      <c r="L67" s="1" t="s">
        <v>132</v>
      </c>
      <c r="O67" s="3" t="s">
        <v>184</v>
      </c>
      <c r="Q67" s="3"/>
      <c r="R67" s="3"/>
      <c r="T67" s="3"/>
      <c r="U67" s="5"/>
      <c r="W67" s="3"/>
      <c r="Z67" s="3"/>
      <c r="AA67" s="3"/>
      <c r="AC67" s="3"/>
      <c r="AD67" s="3"/>
      <c r="AF67" s="3"/>
      <c r="AG67" s="3" t="s">
        <v>185</v>
      </c>
      <c r="AI67" s="3"/>
      <c r="AJ67" s="5">
        <v>46080</v>
      </c>
      <c r="AL67" s="3"/>
      <c r="AM67" s="1">
        <v>6</v>
      </c>
      <c r="AO67" s="3"/>
      <c r="AP67" s="3" t="s">
        <v>419</v>
      </c>
      <c r="AR67" s="3"/>
      <c r="AS67" s="3" t="s">
        <v>420</v>
      </c>
      <c r="AU67" s="3"/>
      <c r="AV67" s="3"/>
      <c r="AX67" s="3"/>
      <c r="AY67" s="5"/>
      <c r="BA67" s="3"/>
      <c r="BD67" s="3"/>
      <c r="BE67" s="3"/>
      <c r="BG67" s="3"/>
      <c r="BH67" s="3"/>
      <c r="BJ67" s="3"/>
      <c r="BK67" s="3"/>
      <c r="BM67" s="3"/>
      <c r="BN67" s="5"/>
      <c r="BP67" s="3"/>
      <c r="BS67" s="3"/>
      <c r="BT67" s="3"/>
      <c r="BV67" s="3"/>
      <c r="BW67" s="3"/>
      <c r="BY67" s="3"/>
      <c r="BZ67" s="3"/>
      <c r="CB67" s="3"/>
      <c r="CC67" s="5"/>
      <c r="CE67" s="3"/>
      <c r="CH67" s="3"/>
      <c r="CI67" s="3"/>
      <c r="CK67" s="3"/>
      <c r="CL67" s="3"/>
      <c r="CN67" s="3"/>
      <c r="CO67" s="3"/>
      <c r="CQ67" s="3"/>
      <c r="CR67" s="5"/>
      <c r="CT67" s="3"/>
      <c r="CW67" s="3"/>
      <c r="CX67" s="3"/>
      <c r="CZ67" s="3"/>
      <c r="DA67" s="3"/>
      <c r="DC67" s="3"/>
      <c r="DD67" s="3"/>
      <c r="DF67" s="3"/>
      <c r="DG67" s="5"/>
      <c r="DI67" s="3"/>
      <c r="DL67" s="3"/>
      <c r="DM67" s="3"/>
      <c r="DO67" s="3"/>
      <c r="DP67" s="3"/>
      <c r="DR67" s="3"/>
      <c r="DS67" s="1" t="str">
        <f>_xlfn.XLOOKUP(OfficeForms.Table[[#This Row],[Selecione a Categoria do Laboratório desta atividade prática:]],Planilha1!A:A,Planilha1!B:B)</f>
        <v>EMF-ISN</v>
      </c>
      <c r="DT67" s="1" t="str">
        <f>CONCATENATE(OfficeForms.Table[[#This Row],[Selecione seu Polo Laboratório de Atividades Presenciais:]],OfficeForms.Table[[#This Row],[CHAVE CONVERSÃO]])</f>
        <v>Guarujá/SPEMF-ISN</v>
      </c>
      <c r="DU6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6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6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67" s="1" t="str">
        <f>_xlfn.XLOOKUP(OfficeForms.Table[[#This Row],[CHAVE LINK POLO]],'[1]Quadro Geral de Lotação'!$B:$B,'[1]Quadro Geral de Lotação'!$I:$I)</f>
        <v>Marilene Da Fonseca Magalhaes Silva</v>
      </c>
      <c r="DY67" s="1" t="str">
        <f>OfficeForms.Table[[#This Row],[Selecione a Ordem de Disciplina]]</f>
        <v>Ordem 1</v>
      </c>
    </row>
    <row r="68" spans="1:129" ht="34.15" customHeight="1">
      <c r="A68" s="1">
        <v>68</v>
      </c>
      <c r="B68" s="2">
        <v>46080.929317129601</v>
      </c>
      <c r="C68" s="2">
        <v>46080.933726851901</v>
      </c>
      <c r="D68" s="3" t="s">
        <v>417</v>
      </c>
      <c r="E68" s="3" t="s">
        <v>418</v>
      </c>
      <c r="G68" s="3"/>
      <c r="I68" s="3" t="s">
        <v>131</v>
      </c>
      <c r="K68" s="3"/>
      <c r="L68" s="1" t="s">
        <v>132</v>
      </c>
      <c r="O68" s="3" t="s">
        <v>184</v>
      </c>
      <c r="Q68" s="3"/>
      <c r="R68" s="3"/>
      <c r="T68" s="3"/>
      <c r="U68" s="5"/>
      <c r="W68" s="3"/>
      <c r="Z68" s="3"/>
      <c r="AA68" s="3"/>
      <c r="AC68" s="3"/>
      <c r="AD68" s="3"/>
      <c r="AF68" s="3"/>
      <c r="AG68" s="3" t="s">
        <v>206</v>
      </c>
      <c r="AI68" s="3"/>
      <c r="AJ68" s="5">
        <v>46080</v>
      </c>
      <c r="AL68" s="3"/>
      <c r="AM68" s="1">
        <v>6</v>
      </c>
      <c r="AO68" s="3"/>
      <c r="AP68" s="3" t="s">
        <v>421</v>
      </c>
      <c r="AR68" s="3"/>
      <c r="AS68" s="3" t="s">
        <v>422</v>
      </c>
      <c r="AU68" s="3"/>
      <c r="AV68" s="3"/>
      <c r="AX68" s="3"/>
      <c r="AY68" s="5"/>
      <c r="BA68" s="3"/>
      <c r="BD68" s="3"/>
      <c r="BE68" s="3"/>
      <c r="BG68" s="3"/>
      <c r="BH68" s="3"/>
      <c r="BJ68" s="3"/>
      <c r="BK68" s="3"/>
      <c r="BM68" s="3"/>
      <c r="BN68" s="5"/>
      <c r="BP68" s="3"/>
      <c r="BS68" s="3"/>
      <c r="BT68" s="3"/>
      <c r="BV68" s="3"/>
      <c r="BW68" s="3"/>
      <c r="BY68" s="3"/>
      <c r="BZ68" s="3"/>
      <c r="CB68" s="3"/>
      <c r="CC68" s="5"/>
      <c r="CE68" s="3"/>
      <c r="CH68" s="3"/>
      <c r="CI68" s="3"/>
      <c r="CK68" s="3"/>
      <c r="CL68" s="3"/>
      <c r="CN68" s="3"/>
      <c r="CO68" s="3"/>
      <c r="CQ68" s="3"/>
      <c r="CR68" s="5"/>
      <c r="CT68" s="3"/>
      <c r="CW68" s="3"/>
      <c r="CX68" s="3"/>
      <c r="CZ68" s="3"/>
      <c r="DA68" s="3"/>
      <c r="DC68" s="3"/>
      <c r="DD68" s="3"/>
      <c r="DF68" s="3"/>
      <c r="DG68" s="5"/>
      <c r="DI68" s="3"/>
      <c r="DL68" s="3"/>
      <c r="DM68" s="3"/>
      <c r="DO68" s="3"/>
      <c r="DP68" s="3"/>
      <c r="DR68" s="3"/>
      <c r="DS68" s="1" t="str">
        <f>_xlfn.XLOOKUP(OfficeForms.Table[[#This Row],[Selecione a Categoria do Laboratório desta atividade prática:]],Planilha1!A:A,Planilha1!B:B)</f>
        <v>EMF-ISN</v>
      </c>
      <c r="DT68" s="1" t="str">
        <f>CONCATENATE(OfficeForms.Table[[#This Row],[Selecione seu Polo Laboratório de Atividades Presenciais:]],OfficeForms.Table[[#This Row],[CHAVE CONVERSÃO]])</f>
        <v>Guarujá/SPEMF-ISN</v>
      </c>
      <c r="DU6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6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6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68" s="1" t="str">
        <f>_xlfn.XLOOKUP(OfficeForms.Table[[#This Row],[CHAVE LINK POLO]],'[1]Quadro Geral de Lotação'!$B:$B,'[1]Quadro Geral de Lotação'!$I:$I)</f>
        <v>Marilene Da Fonseca Magalhaes Silva</v>
      </c>
      <c r="DY68" s="1" t="str">
        <f>OfficeForms.Table[[#This Row],[Selecione a Ordem de Disciplina]]</f>
        <v>Ordem 1</v>
      </c>
    </row>
    <row r="69" spans="1:129" ht="34.15" customHeight="1">
      <c r="A69" s="1">
        <v>69</v>
      </c>
      <c r="B69" s="2">
        <v>46081.389062499999</v>
      </c>
      <c r="C69" s="2">
        <v>46081.398368055598</v>
      </c>
      <c r="D69" s="3" t="s">
        <v>203</v>
      </c>
      <c r="E69" s="3" t="s">
        <v>204</v>
      </c>
      <c r="G69" s="3"/>
      <c r="I69" s="3" t="s">
        <v>205</v>
      </c>
      <c r="K69" s="3"/>
      <c r="L69" s="1" t="s">
        <v>132</v>
      </c>
      <c r="O69" s="3" t="s">
        <v>184</v>
      </c>
      <c r="Q69" s="3"/>
      <c r="R69" s="3"/>
      <c r="T69" s="3"/>
      <c r="U69" s="5"/>
      <c r="W69" s="3"/>
      <c r="Z69" s="3"/>
      <c r="AA69" s="3"/>
      <c r="AC69" s="3"/>
      <c r="AD69" s="3"/>
      <c r="AF69" s="3"/>
      <c r="AG69" s="3" t="s">
        <v>194</v>
      </c>
      <c r="AI69" s="3"/>
      <c r="AJ69" s="1">
        <v>46080</v>
      </c>
      <c r="AL69" s="3"/>
      <c r="AM69" s="1">
        <v>1</v>
      </c>
      <c r="AO69" s="3"/>
      <c r="AP69" s="3" t="s">
        <v>423</v>
      </c>
      <c r="AR69" s="3"/>
      <c r="AS69" s="3" t="s">
        <v>424</v>
      </c>
      <c r="AU69" s="3"/>
      <c r="AV69" s="3"/>
      <c r="AX69" s="3"/>
      <c r="AY69" s="5"/>
      <c r="BA69" s="3"/>
      <c r="BD69" s="3"/>
      <c r="BE69" s="3"/>
      <c r="BG69" s="3"/>
      <c r="BH69" s="3"/>
      <c r="BJ69" s="3"/>
      <c r="BK69" s="3"/>
      <c r="BM69" s="3"/>
      <c r="BN69" s="5"/>
      <c r="BP69" s="3"/>
      <c r="BS69" s="3"/>
      <c r="BT69" s="3"/>
      <c r="BV69" s="3"/>
      <c r="BW69" s="3"/>
      <c r="BY69" s="3"/>
      <c r="BZ69" s="3"/>
      <c r="CB69" s="3"/>
      <c r="CC69" s="5"/>
      <c r="CE69" s="3"/>
      <c r="CH69" s="3"/>
      <c r="CI69" s="3"/>
      <c r="CK69" s="3"/>
      <c r="CL69" s="3"/>
      <c r="CN69" s="3"/>
      <c r="CO69" s="3"/>
      <c r="CQ69" s="3"/>
      <c r="CR69" s="5"/>
      <c r="CT69" s="3"/>
      <c r="CW69" s="3"/>
      <c r="CX69" s="3"/>
      <c r="CZ69" s="3"/>
      <c r="DA69" s="3"/>
      <c r="DC69" s="3"/>
      <c r="DD69" s="3"/>
      <c r="DF69" s="3"/>
      <c r="DG69" s="5"/>
      <c r="DI69" s="3"/>
      <c r="DL69" s="3"/>
      <c r="DM69" s="3"/>
      <c r="DO69" s="3"/>
      <c r="DP69" s="3"/>
      <c r="DR69" s="3"/>
      <c r="DS69" s="1" t="str">
        <f>_xlfn.XLOOKUP(OfficeForms.Table[[#This Row],[Selecione a Categoria do Laboratório desta atividade prática:]],Planilha1!A:A,Planilha1!B:B)</f>
        <v>EMF-ISN</v>
      </c>
      <c r="DT69" s="1" t="str">
        <f>CONCATENATE(OfficeForms.Table[[#This Row],[Selecione seu Polo Laboratório de Atividades Presenciais:]],OfficeForms.Table[[#This Row],[CHAVE CONVERSÃO]])</f>
        <v>Rolim de Moura/ROEMF-ISN</v>
      </c>
      <c r="DU6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6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6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9" s="1" t="str">
        <f>_xlfn.XLOOKUP(OfficeForms.Table[[#This Row],[CHAVE LINK POLO]],'[1]Quadro Geral de Lotação'!$B:$B,'[1]Quadro Geral de Lotação'!$I:$I)</f>
        <v>Quezia Da Silva Dos Anjos Da Silva</v>
      </c>
      <c r="DY69" s="1" t="str">
        <f>OfficeForms.Table[[#This Row],[Selecione a Ordem de Disciplina]]</f>
        <v>Ordem 1</v>
      </c>
    </row>
    <row r="70" spans="1:129" ht="34.15" customHeight="1">
      <c r="A70" s="1">
        <v>70</v>
      </c>
      <c r="B70" s="2">
        <v>46081.388726851903</v>
      </c>
      <c r="C70" s="2">
        <v>46081.412303240701</v>
      </c>
      <c r="D70" s="3" t="s">
        <v>197</v>
      </c>
      <c r="E70" s="3" t="s">
        <v>198</v>
      </c>
      <c r="G70" s="3"/>
      <c r="I70" s="3" t="s">
        <v>199</v>
      </c>
      <c r="K70" s="3"/>
      <c r="L70" s="1" t="s">
        <v>132</v>
      </c>
      <c r="O70" s="3" t="s">
        <v>177</v>
      </c>
      <c r="Q70" s="3"/>
      <c r="R70" s="3"/>
      <c r="T70" s="3"/>
      <c r="U70" s="5"/>
      <c r="W70" s="3"/>
      <c r="Z70" s="3"/>
      <c r="AA70" s="3"/>
      <c r="AC70" s="3"/>
      <c r="AD70" s="3"/>
      <c r="AF70" s="3"/>
      <c r="AG70" s="3"/>
      <c r="AI70" s="3"/>
      <c r="AJ70" s="1"/>
      <c r="AL70" s="3"/>
      <c r="AO70" s="3"/>
      <c r="AP70" s="3"/>
      <c r="AR70" s="3"/>
      <c r="AS70" s="3"/>
      <c r="AU70" s="3"/>
      <c r="AV70" s="3"/>
      <c r="AX70" s="3"/>
      <c r="AY70" s="5"/>
      <c r="BA70" s="3"/>
      <c r="BD70" s="3"/>
      <c r="BE70" s="3"/>
      <c r="BG70" s="3"/>
      <c r="BH70" s="3"/>
      <c r="BJ70" s="3"/>
      <c r="BK70" s="3"/>
      <c r="BM70" s="3"/>
      <c r="BN70" s="5"/>
      <c r="BP70" s="3"/>
      <c r="BS70" s="3"/>
      <c r="BT70" s="3"/>
      <c r="BV70" s="3"/>
      <c r="BW70" s="3"/>
      <c r="BY70" s="3"/>
      <c r="BZ70" s="3"/>
      <c r="CB70" s="3"/>
      <c r="CC70" s="5"/>
      <c r="CE70" s="3"/>
      <c r="CH70" s="3"/>
      <c r="CI70" s="3"/>
      <c r="CK70" s="3"/>
      <c r="CL70" s="3"/>
      <c r="CN70" s="3"/>
      <c r="CO70" s="3"/>
      <c r="CQ70" s="3"/>
      <c r="CR70" s="5"/>
      <c r="CT70" s="3"/>
      <c r="CW70" s="3"/>
      <c r="CX70" s="3"/>
      <c r="CZ70" s="3"/>
      <c r="DA70" s="3"/>
      <c r="DC70" s="3"/>
      <c r="DD70" s="3" t="s">
        <v>341</v>
      </c>
      <c r="DF70" s="3"/>
      <c r="DG70" s="5">
        <v>46080</v>
      </c>
      <c r="DI70" s="3"/>
      <c r="DJ70" s="1">
        <v>0</v>
      </c>
      <c r="DL70" s="3"/>
      <c r="DM70" s="3" t="s">
        <v>425</v>
      </c>
      <c r="DO70" s="3"/>
      <c r="DP70" s="3" t="s">
        <v>426</v>
      </c>
      <c r="DR70" s="3"/>
      <c r="DS70" s="1" t="str">
        <f>_xlfn.XLOOKUP(OfficeForms.Table[[#This Row],[Selecione a Categoria do Laboratório desta atividade prática:]],Planilha1!A:A,Planilha1!B:B)</f>
        <v>AGM</v>
      </c>
      <c r="DT70" s="1" t="str">
        <f>CONCATENATE(OfficeForms.Table[[#This Row],[Selecione seu Polo Laboratório de Atividades Presenciais:]],OfficeForms.Table[[#This Row],[CHAVE CONVERSÃO]])</f>
        <v>Alagoinhas/BAAGM</v>
      </c>
      <c r="DU7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Caracterização bioquímica de bactérias</v>
      </c>
      <c r="DV7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7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0" s="1" t="str">
        <f>_xlfn.XLOOKUP(OfficeForms.Table[[#This Row],[CHAVE LINK POLO]],'[1]Quadro Geral de Lotação'!$B:$B,'[1]Quadro Geral de Lotação'!$I:$I)</f>
        <v>Vitor Batista Pinheiro</v>
      </c>
      <c r="DY70" s="1" t="str">
        <f>OfficeForms.Table[[#This Row],[Selecione a Ordem de Disciplina]]</f>
        <v>Ordem 1</v>
      </c>
    </row>
    <row r="71" spans="1:129" ht="34.15" customHeight="1">
      <c r="A71" s="1">
        <v>71</v>
      </c>
      <c r="B71" s="2">
        <v>46081.471469907403</v>
      </c>
      <c r="C71" s="2">
        <v>46081.474155092597</v>
      </c>
      <c r="D71" s="3" t="s">
        <v>227</v>
      </c>
      <c r="E71" s="3" t="s">
        <v>228</v>
      </c>
      <c r="G71" s="3"/>
      <c r="I71" s="3" t="s">
        <v>229</v>
      </c>
      <c r="K71" s="3"/>
      <c r="L71" s="1" t="s">
        <v>132</v>
      </c>
      <c r="O71" s="3" t="s">
        <v>184</v>
      </c>
      <c r="Q71" s="3"/>
      <c r="R71" s="3"/>
      <c r="T71" s="3"/>
      <c r="U71" s="5"/>
      <c r="W71" s="3"/>
      <c r="Z71" s="3"/>
      <c r="AA71" s="3"/>
      <c r="AC71" s="3"/>
      <c r="AD71" s="3"/>
      <c r="AF71" s="3"/>
      <c r="AG71" s="3" t="s">
        <v>224</v>
      </c>
      <c r="AI71" s="3"/>
      <c r="AJ71" s="1">
        <v>46081</v>
      </c>
      <c r="AL71" s="3"/>
      <c r="AM71" s="1">
        <v>3</v>
      </c>
      <c r="AO71" s="3"/>
      <c r="AP71" s="3" t="s">
        <v>427</v>
      </c>
      <c r="AR71" s="3"/>
      <c r="AS71" s="3" t="s">
        <v>428</v>
      </c>
      <c r="AU71" s="3"/>
      <c r="AV71" s="3"/>
      <c r="AX71" s="3"/>
      <c r="AY71" s="5"/>
      <c r="BA71" s="3"/>
      <c r="BD71" s="3"/>
      <c r="BE71" s="3"/>
      <c r="BG71" s="3"/>
      <c r="BH71" s="3"/>
      <c r="BJ71" s="3"/>
      <c r="BK71" s="3"/>
      <c r="BM71" s="3"/>
      <c r="BN71" s="5"/>
      <c r="BP71" s="3"/>
      <c r="BS71" s="3"/>
      <c r="BT71" s="3"/>
      <c r="BV71" s="3"/>
      <c r="BW71" s="3"/>
      <c r="BY71" s="3"/>
      <c r="BZ71" s="3"/>
      <c r="CB71" s="3"/>
      <c r="CC71" s="5"/>
      <c r="CE71" s="3"/>
      <c r="CH71" s="3"/>
      <c r="CI71" s="3"/>
      <c r="CK71" s="3"/>
      <c r="CL71" s="3"/>
      <c r="CN71" s="3"/>
      <c r="CO71" s="3"/>
      <c r="CQ71" s="3"/>
      <c r="CR71" s="5"/>
      <c r="CT71" s="3"/>
      <c r="CW71" s="3"/>
      <c r="CX71" s="3"/>
      <c r="CZ71" s="3"/>
      <c r="DA71" s="3"/>
      <c r="DC71" s="3"/>
      <c r="DD71" s="3"/>
      <c r="DF71" s="3"/>
      <c r="DG71" s="5"/>
      <c r="DI71" s="3"/>
      <c r="DL71" s="3"/>
      <c r="DM71" s="3"/>
      <c r="DO71" s="3"/>
      <c r="DP71" s="3"/>
      <c r="DR71" s="3"/>
      <c r="DS71" s="1" t="str">
        <f>_xlfn.XLOOKUP(OfficeForms.Table[[#This Row],[Selecione a Categoria do Laboratório desta atividade prática:]],Planilha1!A:A,Planilha1!B:B)</f>
        <v>EMF-ISN</v>
      </c>
      <c r="DT71" s="1" t="str">
        <f>CONCATENATE(OfficeForms.Table[[#This Row],[Selecione seu Polo Laboratório de Atividades Presenciais:]],OfficeForms.Table[[#This Row],[CHAVE CONVERSÃO]])</f>
        <v>Lages/SC - CentroEMF-ISN</v>
      </c>
      <c r="DU7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7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7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1" s="1" t="str">
        <f>_xlfn.XLOOKUP(OfficeForms.Table[[#This Row],[CHAVE LINK POLO]],'[1]Quadro Geral de Lotação'!$B:$B,'[1]Quadro Geral de Lotação'!$I:$I)</f>
        <v>Daniela Madruga</v>
      </c>
      <c r="DY71" s="1" t="str">
        <f>OfficeForms.Table[[#This Row],[Selecione a Ordem de Disciplina]]</f>
        <v>Ordem 1</v>
      </c>
    </row>
    <row r="72" spans="1:129" ht="34.15" customHeight="1">
      <c r="A72" s="1">
        <v>72</v>
      </c>
      <c r="B72" s="2">
        <v>46081.479930555601</v>
      </c>
      <c r="C72" s="2">
        <v>46081.734930555598</v>
      </c>
      <c r="D72" s="3" t="s">
        <v>429</v>
      </c>
      <c r="E72" s="3" t="s">
        <v>430</v>
      </c>
      <c r="G72" s="3"/>
      <c r="I72" s="3" t="s">
        <v>431</v>
      </c>
      <c r="K72" s="3"/>
      <c r="L72" s="1" t="s">
        <v>132</v>
      </c>
      <c r="O72" s="3" t="s">
        <v>184</v>
      </c>
      <c r="Q72" s="3"/>
      <c r="R72" s="3"/>
      <c r="T72" s="3"/>
      <c r="U72" s="5"/>
      <c r="W72" s="3"/>
      <c r="Z72" s="3"/>
      <c r="AA72" s="3"/>
      <c r="AC72" s="3"/>
      <c r="AD72" s="3"/>
      <c r="AF72" s="3"/>
      <c r="AG72" s="3" t="s">
        <v>185</v>
      </c>
      <c r="AI72" s="3"/>
      <c r="AJ72" s="1">
        <v>46078</v>
      </c>
      <c r="AL72" s="3"/>
      <c r="AM72" s="1">
        <v>19</v>
      </c>
      <c r="AO72" s="3"/>
      <c r="AP72" s="3" t="s">
        <v>432</v>
      </c>
      <c r="AR72" s="3"/>
      <c r="AS72" s="3" t="s">
        <v>433</v>
      </c>
      <c r="AU72" s="3"/>
      <c r="AV72" s="3"/>
      <c r="AX72" s="3"/>
      <c r="AY72" s="5"/>
      <c r="BA72" s="3"/>
      <c r="BD72" s="3"/>
      <c r="BE72" s="3"/>
      <c r="BG72" s="3"/>
      <c r="BH72" s="3"/>
      <c r="BJ72" s="3"/>
      <c r="BK72" s="3"/>
      <c r="BM72" s="3"/>
      <c r="BN72" s="5"/>
      <c r="BP72" s="3"/>
      <c r="BS72" s="3"/>
      <c r="BT72" s="3"/>
      <c r="BV72" s="3"/>
      <c r="BW72" s="3"/>
      <c r="BY72" s="3"/>
      <c r="BZ72" s="3"/>
      <c r="CB72" s="3"/>
      <c r="CC72" s="5"/>
      <c r="CE72" s="3"/>
      <c r="CH72" s="3"/>
      <c r="CI72" s="3"/>
      <c r="CK72" s="3"/>
      <c r="CL72" s="3"/>
      <c r="CN72" s="3"/>
      <c r="CO72" s="3"/>
      <c r="CQ72" s="3"/>
      <c r="CR72" s="5"/>
      <c r="CT72" s="3"/>
      <c r="CW72" s="3"/>
      <c r="CX72" s="3"/>
      <c r="CZ72" s="3"/>
      <c r="DA72" s="3"/>
      <c r="DC72" s="3"/>
      <c r="DD72" s="3"/>
      <c r="DF72" s="3"/>
      <c r="DG72" s="5"/>
      <c r="DI72" s="3"/>
      <c r="DL72" s="3"/>
      <c r="DM72" s="3"/>
      <c r="DO72" s="3"/>
      <c r="DP72" s="3"/>
      <c r="DR72" s="3"/>
      <c r="DS72" s="1" t="str">
        <f>_xlfn.XLOOKUP(OfficeForms.Table[[#This Row],[Selecione a Categoria do Laboratório desta atividade prática:]],Planilha1!A:A,Planilha1!B:B)</f>
        <v>EMF-ISN</v>
      </c>
      <c r="DT72" s="1" t="str">
        <f>CONCATENATE(OfficeForms.Table[[#This Row],[Selecione seu Polo Laboratório de Atividades Presenciais:]],OfficeForms.Table[[#This Row],[CHAVE CONVERSÃO]])</f>
        <v>Assú/RNEMF-ISN</v>
      </c>
      <c r="DU7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7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7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19</v>
      </c>
      <c r="DX72" s="1" t="str">
        <f>_xlfn.XLOOKUP(OfficeForms.Table[[#This Row],[CHAVE LINK POLO]],'[1]Quadro Geral de Lotação'!$B:$B,'[1]Quadro Geral de Lotação'!$I:$I)</f>
        <v>Romulo Freire Pinto</v>
      </c>
      <c r="DY72" s="1" t="str">
        <f>OfficeForms.Table[[#This Row],[Selecione a Ordem de Disciplina]]</f>
        <v>Ordem 1</v>
      </c>
    </row>
    <row r="73" spans="1:129" ht="34.15" customHeight="1">
      <c r="A73" s="1">
        <v>73</v>
      </c>
      <c r="B73" s="2">
        <v>46082.450509259303</v>
      </c>
      <c r="C73" s="2">
        <v>46082.452071759297</v>
      </c>
      <c r="D73" s="3" t="s">
        <v>232</v>
      </c>
      <c r="E73" s="3" t="s">
        <v>233</v>
      </c>
      <c r="G73" s="3"/>
      <c r="I73" s="3" t="s">
        <v>234</v>
      </c>
      <c r="K73" s="3"/>
      <c r="L73" s="1" t="s">
        <v>132</v>
      </c>
      <c r="O73" s="3" t="s">
        <v>184</v>
      </c>
      <c r="Q73" s="3"/>
      <c r="R73" s="3"/>
      <c r="T73" s="3"/>
      <c r="U73" s="5"/>
      <c r="W73" s="3"/>
      <c r="Z73" s="3"/>
      <c r="AA73" s="3"/>
      <c r="AC73" s="3"/>
      <c r="AD73" s="3"/>
      <c r="AF73" s="3"/>
      <c r="AG73" s="3" t="s">
        <v>414</v>
      </c>
      <c r="AI73" s="3"/>
      <c r="AJ73" s="1">
        <v>46078</v>
      </c>
      <c r="AL73" s="3"/>
      <c r="AM73" s="1">
        <v>6</v>
      </c>
      <c r="AO73" s="3"/>
      <c r="AP73" s="3" t="s">
        <v>434</v>
      </c>
      <c r="AR73" s="3"/>
      <c r="AS73" s="3" t="s">
        <v>435</v>
      </c>
      <c r="AU73" s="3"/>
      <c r="AV73" s="3"/>
      <c r="AX73" s="3"/>
      <c r="AY73" s="5"/>
      <c r="BA73" s="3"/>
      <c r="BD73" s="3"/>
      <c r="BE73" s="3"/>
      <c r="BG73" s="3"/>
      <c r="BH73" s="3"/>
      <c r="BJ73" s="3"/>
      <c r="BK73" s="3"/>
      <c r="BM73" s="3"/>
      <c r="BN73" s="5"/>
      <c r="BP73" s="3"/>
      <c r="BS73" s="3"/>
      <c r="BT73" s="3"/>
      <c r="BV73" s="3"/>
      <c r="BW73" s="3"/>
      <c r="BY73" s="3"/>
      <c r="BZ73" s="3"/>
      <c r="CB73" s="3"/>
      <c r="CC73" s="5"/>
      <c r="CE73" s="3"/>
      <c r="CH73" s="3"/>
      <c r="CI73" s="3"/>
      <c r="CK73" s="3"/>
      <c r="CL73" s="3"/>
      <c r="CN73" s="3"/>
      <c r="CO73" s="3"/>
      <c r="CQ73" s="3"/>
      <c r="CR73" s="5"/>
      <c r="CT73" s="3"/>
      <c r="CW73" s="3"/>
      <c r="CX73" s="3"/>
      <c r="CZ73" s="3"/>
      <c r="DA73" s="3"/>
      <c r="DC73" s="3"/>
      <c r="DD73" s="3"/>
      <c r="DF73" s="3"/>
      <c r="DG73" s="5"/>
      <c r="DI73" s="3"/>
      <c r="DL73" s="3"/>
      <c r="DM73" s="3"/>
      <c r="DO73" s="3"/>
      <c r="DP73" s="3"/>
      <c r="DR73" s="3"/>
      <c r="DS73" s="1" t="str">
        <f>_xlfn.XLOOKUP(OfficeForms.Table[[#This Row],[Selecione a Categoria do Laboratório desta atividade prática:]],Planilha1!A:A,Planilha1!B:B)</f>
        <v>EMF-ISN</v>
      </c>
      <c r="DT73" s="1" t="str">
        <f>CONCATENATE(OfficeForms.Table[[#This Row],[Selecione seu Polo Laboratório de Atividades Presenciais:]],OfficeForms.Table[[#This Row],[CHAVE CONVERSÃO]])</f>
        <v>Santa Fé do Sul/SPEMF-ISN</v>
      </c>
      <c r="DU7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7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7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73" s="1" t="str">
        <f>_xlfn.XLOOKUP(OfficeForms.Table[[#This Row],[CHAVE LINK POLO]],'[1]Quadro Geral de Lotação'!$B:$B,'[1]Quadro Geral de Lotação'!$I:$I)</f>
        <v>Mariana Mirian Correia</v>
      </c>
      <c r="DY73" s="1" t="str">
        <f>OfficeForms.Table[[#This Row],[Selecione a Ordem de Disciplina]]</f>
        <v>Ordem 1</v>
      </c>
    </row>
    <row r="74" spans="1:129" ht="34.15" customHeight="1">
      <c r="A74" s="1">
        <v>74</v>
      </c>
      <c r="B74" s="2">
        <v>46082.584560185198</v>
      </c>
      <c r="C74" s="2">
        <v>46082.587430555599</v>
      </c>
      <c r="D74" s="3" t="s">
        <v>436</v>
      </c>
      <c r="E74" s="3" t="s">
        <v>437</v>
      </c>
      <c r="G74" s="3"/>
      <c r="I74" s="3" t="s">
        <v>438</v>
      </c>
      <c r="K74" s="3"/>
      <c r="L74" s="1" t="s">
        <v>132</v>
      </c>
      <c r="O74" s="3" t="s">
        <v>184</v>
      </c>
      <c r="Q74" s="3"/>
      <c r="R74" s="3"/>
      <c r="T74" s="3"/>
      <c r="U74" s="5"/>
      <c r="W74" s="3"/>
      <c r="Z74" s="3"/>
      <c r="AA74" s="3"/>
      <c r="AC74" s="3"/>
      <c r="AD74" s="3"/>
      <c r="AF74" s="3"/>
      <c r="AG74" s="3" t="s">
        <v>185</v>
      </c>
      <c r="AI74" s="3"/>
      <c r="AJ74" s="1">
        <v>46108</v>
      </c>
      <c r="AL74" s="3"/>
      <c r="AM74" s="1">
        <v>3</v>
      </c>
      <c r="AO74" s="3"/>
      <c r="AP74" s="3" t="s">
        <v>439</v>
      </c>
      <c r="AR74" s="3"/>
      <c r="AS74" s="3" t="s">
        <v>440</v>
      </c>
      <c r="AU74" s="3"/>
      <c r="AV74" s="3"/>
      <c r="AX74" s="3"/>
      <c r="AY74" s="5"/>
      <c r="BA74" s="3"/>
      <c r="BD74" s="3"/>
      <c r="BE74" s="3"/>
      <c r="BG74" s="3"/>
      <c r="BH74" s="3"/>
      <c r="BJ74" s="3"/>
      <c r="BK74" s="3"/>
      <c r="BM74" s="3"/>
      <c r="BN74" s="5"/>
      <c r="BP74" s="3"/>
      <c r="BS74" s="3"/>
      <c r="BT74" s="3"/>
      <c r="BV74" s="3"/>
      <c r="BW74" s="3"/>
      <c r="BY74" s="3"/>
      <c r="BZ74" s="3"/>
      <c r="CB74" s="3"/>
      <c r="CC74" s="5"/>
      <c r="CE74" s="3"/>
      <c r="CH74" s="3"/>
      <c r="CI74" s="3"/>
      <c r="CK74" s="3"/>
      <c r="CL74" s="3"/>
      <c r="CN74" s="3"/>
      <c r="CO74" s="3"/>
      <c r="CQ74" s="3"/>
      <c r="CR74" s="5"/>
      <c r="CT74" s="3"/>
      <c r="CW74" s="3"/>
      <c r="CX74" s="3"/>
      <c r="CZ74" s="3"/>
      <c r="DA74" s="3"/>
      <c r="DC74" s="3"/>
      <c r="DD74" s="3"/>
      <c r="DF74" s="3"/>
      <c r="DG74" s="5"/>
      <c r="DI74" s="3"/>
      <c r="DL74" s="3"/>
      <c r="DM74" s="3"/>
      <c r="DO74" s="3"/>
      <c r="DP74" s="3"/>
      <c r="DR74" s="3"/>
      <c r="DS74" s="1" t="str">
        <f>_xlfn.XLOOKUP(OfficeForms.Table[[#This Row],[Selecione a Categoria do Laboratório desta atividade prática:]],Planilha1!A:A,Planilha1!B:B)</f>
        <v>EMF-ISN</v>
      </c>
      <c r="DT74" s="1" t="str">
        <f>CONCATENATE(OfficeForms.Table[[#This Row],[Selecione seu Polo Laboratório de Atividades Presenciais:]],OfficeForms.Table[[#This Row],[CHAVE CONVERSÃO]])</f>
        <v>MÃE DO RIO/PAEMF-ISN</v>
      </c>
      <c r="DU7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7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46108</v>
      </c>
      <c r="DW7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4" s="1" t="str">
        <f>_xlfn.XLOOKUP(OfficeForms.Table[[#This Row],[CHAVE LINK POLO]],'[1]Quadro Geral de Lotação'!$B:$B,'[1]Quadro Geral de Lotação'!$I:$I)</f>
        <v>Maria Marly De Oliveira Reis Lopes</v>
      </c>
      <c r="DY74" s="1" t="str">
        <f>OfficeForms.Table[[#This Row],[Selecione a Ordem de Disciplina]]</f>
        <v>Ordem 1</v>
      </c>
    </row>
    <row r="75" spans="1:129" ht="34.15" customHeight="1">
      <c r="A75" s="1">
        <v>75</v>
      </c>
      <c r="B75" s="2">
        <v>46082.616226851896</v>
      </c>
      <c r="C75" s="2">
        <v>46082.626990740697</v>
      </c>
      <c r="D75" s="3" t="s">
        <v>436</v>
      </c>
      <c r="E75" s="3" t="s">
        <v>437</v>
      </c>
      <c r="G75" s="3"/>
      <c r="I75" s="3" t="s">
        <v>438</v>
      </c>
      <c r="K75" s="3"/>
      <c r="L75" s="1" t="s">
        <v>132</v>
      </c>
      <c r="O75" s="3" t="s">
        <v>184</v>
      </c>
      <c r="Q75" s="3"/>
      <c r="R75" s="3"/>
      <c r="T75" s="3"/>
      <c r="U75" s="5"/>
      <c r="W75" s="3"/>
      <c r="Z75" s="3"/>
      <c r="AA75" s="3"/>
      <c r="AC75" s="3"/>
      <c r="AD75" s="3"/>
      <c r="AF75" s="3"/>
      <c r="AG75" s="3" t="s">
        <v>194</v>
      </c>
      <c r="AI75" s="3"/>
      <c r="AJ75" s="1">
        <v>46104</v>
      </c>
      <c r="AL75" s="3"/>
      <c r="AM75" s="1">
        <v>3</v>
      </c>
      <c r="AO75" s="3"/>
      <c r="AP75" s="3" t="s">
        <v>441</v>
      </c>
      <c r="AR75" s="3"/>
      <c r="AS75" s="3" t="s">
        <v>442</v>
      </c>
      <c r="AU75" s="3"/>
      <c r="AV75" s="3"/>
      <c r="AX75" s="3"/>
      <c r="AY75" s="5"/>
      <c r="BA75" s="3"/>
      <c r="BD75" s="3"/>
      <c r="BE75" s="3"/>
      <c r="BG75" s="3"/>
      <c r="BH75" s="3"/>
      <c r="BJ75" s="3"/>
      <c r="BK75" s="3"/>
      <c r="BM75" s="3"/>
      <c r="BN75" s="5"/>
      <c r="BP75" s="3"/>
      <c r="BS75" s="3"/>
      <c r="BT75" s="3"/>
      <c r="BV75" s="3"/>
      <c r="BW75" s="3"/>
      <c r="BY75" s="3"/>
      <c r="BZ75" s="3"/>
      <c r="CB75" s="3"/>
      <c r="CC75" s="5"/>
      <c r="CE75" s="3"/>
      <c r="CH75" s="3"/>
      <c r="CI75" s="3"/>
      <c r="CK75" s="3"/>
      <c r="CL75" s="3"/>
      <c r="CN75" s="3"/>
      <c r="CO75" s="3"/>
      <c r="CQ75" s="3"/>
      <c r="CR75" s="5"/>
      <c r="CT75" s="3"/>
      <c r="CW75" s="3"/>
      <c r="CX75" s="3"/>
      <c r="CZ75" s="3"/>
      <c r="DA75" s="3"/>
      <c r="DC75" s="3"/>
      <c r="DD75" s="3"/>
      <c r="DF75" s="3"/>
      <c r="DG75" s="5"/>
      <c r="DI75" s="3"/>
      <c r="DL75" s="3"/>
      <c r="DM75" s="3"/>
      <c r="DO75" s="3"/>
      <c r="DP75" s="3"/>
      <c r="DR75" s="3"/>
      <c r="DS75" s="1" t="str">
        <f>_xlfn.XLOOKUP(OfficeForms.Table[[#This Row],[Selecione a Categoria do Laboratório desta atividade prática:]],Planilha1!A:A,Planilha1!B:B)</f>
        <v>EMF-ISN</v>
      </c>
      <c r="DT75" s="1" t="str">
        <f>CONCATENATE(OfficeForms.Table[[#This Row],[Selecione seu Polo Laboratório de Atividades Presenciais:]],OfficeForms.Table[[#This Row],[CHAVE CONVERSÃO]])</f>
        <v>MÃE DO RIO/PAEMF-ISN</v>
      </c>
      <c r="DU7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7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7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5" s="1" t="str">
        <f>_xlfn.XLOOKUP(OfficeForms.Table[[#This Row],[CHAVE LINK POLO]],'[1]Quadro Geral de Lotação'!$B:$B,'[1]Quadro Geral de Lotação'!$I:$I)</f>
        <v>Maria Marly De Oliveira Reis Lopes</v>
      </c>
      <c r="DY75" s="1" t="str">
        <f>OfficeForms.Table[[#This Row],[Selecione a Ordem de Disciplina]]</f>
        <v>Ordem 1</v>
      </c>
    </row>
    <row r="76" spans="1:129" ht="34.15" customHeight="1">
      <c r="A76" s="1">
        <v>76</v>
      </c>
      <c r="B76" s="2">
        <v>46082.723356481503</v>
      </c>
      <c r="C76" s="2">
        <v>46082.731087963002</v>
      </c>
      <c r="D76" s="3" t="s">
        <v>443</v>
      </c>
      <c r="E76" s="3" t="s">
        <v>444</v>
      </c>
      <c r="G76" s="3"/>
      <c r="I76" s="3" t="s">
        <v>445</v>
      </c>
      <c r="K76" s="3"/>
      <c r="L76" s="1" t="s">
        <v>132</v>
      </c>
      <c r="O76" s="3" t="s">
        <v>133</v>
      </c>
      <c r="Q76" s="3"/>
      <c r="R76" s="3"/>
      <c r="T76" s="3"/>
      <c r="U76" s="5"/>
      <c r="W76" s="3"/>
      <c r="Z76" s="3"/>
      <c r="AA76" s="3"/>
      <c r="AC76" s="3"/>
      <c r="AD76" s="3"/>
      <c r="AF76" s="3"/>
      <c r="AG76" s="3"/>
      <c r="AI76" s="3"/>
      <c r="AJ76" s="1"/>
      <c r="AL76" s="3"/>
      <c r="AO76" s="3"/>
      <c r="AP76" s="3"/>
      <c r="AR76" s="3"/>
      <c r="AS76" s="3"/>
      <c r="AU76" s="3"/>
      <c r="AV76" s="3" t="s">
        <v>380</v>
      </c>
      <c r="AX76" s="3"/>
      <c r="AY76" s="5">
        <v>46077</v>
      </c>
      <c r="BA76" s="3"/>
      <c r="BB76" s="1">
        <v>1</v>
      </c>
      <c r="BD76" s="3"/>
      <c r="BE76" s="3" t="s">
        <v>446</v>
      </c>
      <c r="BG76" s="3"/>
      <c r="BH76" s="3" t="s">
        <v>447</v>
      </c>
      <c r="BJ76" s="3"/>
      <c r="BK76" s="3"/>
      <c r="BM76" s="3"/>
      <c r="BN76" s="5"/>
      <c r="BP76" s="3"/>
      <c r="BS76" s="3"/>
      <c r="BT76" s="3"/>
      <c r="BV76" s="3"/>
      <c r="BW76" s="3"/>
      <c r="BY76" s="3"/>
      <c r="BZ76" s="3"/>
      <c r="CB76" s="3"/>
      <c r="CC76" s="5"/>
      <c r="CE76" s="3"/>
      <c r="CH76" s="3"/>
      <c r="CI76" s="3"/>
      <c r="CK76" s="3"/>
      <c r="CL76" s="3"/>
      <c r="CN76" s="3"/>
      <c r="CO76" s="3"/>
      <c r="CQ76" s="3"/>
      <c r="CR76" s="5"/>
      <c r="CT76" s="3"/>
      <c r="CW76" s="3"/>
      <c r="CX76" s="3"/>
      <c r="CZ76" s="3"/>
      <c r="DA76" s="3"/>
      <c r="DC76" s="3"/>
      <c r="DD76" s="3"/>
      <c r="DF76" s="3"/>
      <c r="DG76" s="5"/>
      <c r="DI76" s="3"/>
      <c r="DL76" s="3"/>
      <c r="DM76" s="3"/>
      <c r="DO76" s="3"/>
      <c r="DP76" s="3"/>
      <c r="DR76" s="3"/>
      <c r="DS76" s="1" t="str">
        <f>_xlfn.XLOOKUP(OfficeForms.Table[[#This Row],[Selecione a Categoria do Laboratório desta atividade prática:]],Planilha1!A:A,Planilha1!B:B)</f>
        <v>BFI</v>
      </c>
      <c r="DT76" s="1" t="str">
        <f>CONCATENATE(OfficeForms.Table[[#This Row],[Selecione seu Polo Laboratório de Atividades Presenciais:]],OfficeForms.Table[[#This Row],[CHAVE CONVERSÃO]])</f>
        <v>Goiânia/GO - Jardim EuropaBFI</v>
      </c>
      <c r="DU7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Mobilização Articular na Cinesioterapia: Avaliação e Intervenção Funcional</v>
      </c>
      <c r="DV7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7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76" s="1" t="str">
        <f>_xlfn.XLOOKUP(OfficeForms.Table[[#This Row],[CHAVE LINK POLO]],'[1]Quadro Geral de Lotação'!$B:$B,'[1]Quadro Geral de Lotação'!$I:$I)</f>
        <v>Luiza Rodrigues De Assis Brito</v>
      </c>
      <c r="DY76" s="1" t="str">
        <f>OfficeForms.Table[[#This Row],[Selecione a Ordem de Disciplina]]</f>
        <v>Ordem 1</v>
      </c>
    </row>
    <row r="77" spans="1:129" ht="34.15" customHeight="1">
      <c r="A77" s="1">
        <v>77</v>
      </c>
      <c r="B77" s="2">
        <v>46082.864976851903</v>
      </c>
      <c r="C77" s="2">
        <v>46082.876412037003</v>
      </c>
      <c r="D77" s="3" t="s">
        <v>448</v>
      </c>
      <c r="E77" s="3" t="s">
        <v>449</v>
      </c>
      <c r="G77" s="3"/>
      <c r="I77" s="3" t="s">
        <v>450</v>
      </c>
      <c r="K77" s="3"/>
      <c r="L77" s="1" t="s">
        <v>132</v>
      </c>
      <c r="O77" s="3" t="s">
        <v>184</v>
      </c>
      <c r="Q77" s="3"/>
      <c r="R77" s="3"/>
      <c r="T77" s="3"/>
      <c r="U77" s="5"/>
      <c r="W77" s="3"/>
      <c r="Z77" s="3"/>
      <c r="AA77" s="3"/>
      <c r="AC77" s="3"/>
      <c r="AD77" s="3"/>
      <c r="AF77" s="3"/>
      <c r="AG77" s="3" t="s">
        <v>224</v>
      </c>
      <c r="AI77" s="3"/>
      <c r="AJ77" s="1">
        <v>46081</v>
      </c>
      <c r="AL77" s="3"/>
      <c r="AM77" s="1">
        <v>5</v>
      </c>
      <c r="AO77" s="3"/>
      <c r="AP77" s="3" t="s">
        <v>451</v>
      </c>
      <c r="AR77" s="3"/>
      <c r="AS77" s="3" t="s">
        <v>452</v>
      </c>
      <c r="AU77" s="3"/>
      <c r="AV77" s="3"/>
      <c r="AX77" s="3"/>
      <c r="AY77" s="5"/>
      <c r="BA77" s="3"/>
      <c r="BD77" s="3"/>
      <c r="BE77" s="3"/>
      <c r="BG77" s="3"/>
      <c r="BH77" s="3"/>
      <c r="BJ77" s="3"/>
      <c r="BK77" s="3"/>
      <c r="BM77" s="3"/>
      <c r="BN77" s="5"/>
      <c r="BP77" s="3"/>
      <c r="BS77" s="3"/>
      <c r="BT77" s="3"/>
      <c r="BV77" s="3"/>
      <c r="BW77" s="3"/>
      <c r="BY77" s="3"/>
      <c r="BZ77" s="3"/>
      <c r="CB77" s="3"/>
      <c r="CC77" s="5"/>
      <c r="CE77" s="3"/>
      <c r="CH77" s="3"/>
      <c r="CI77" s="3"/>
      <c r="CK77" s="3"/>
      <c r="CL77" s="3"/>
      <c r="CN77" s="3"/>
      <c r="CO77" s="3"/>
      <c r="CQ77" s="3"/>
      <c r="CR77" s="5"/>
      <c r="CT77" s="3"/>
      <c r="CW77" s="3"/>
      <c r="CX77" s="3"/>
      <c r="CZ77" s="3"/>
      <c r="DA77" s="3"/>
      <c r="DC77" s="3"/>
      <c r="DD77" s="3"/>
      <c r="DF77" s="3"/>
      <c r="DG77" s="5"/>
      <c r="DI77" s="3"/>
      <c r="DL77" s="3"/>
      <c r="DM77" s="3"/>
      <c r="DO77" s="3"/>
      <c r="DP77" s="3"/>
      <c r="DR77" s="3"/>
      <c r="DS77" s="1" t="str">
        <f>_xlfn.XLOOKUP(OfficeForms.Table[[#This Row],[Selecione a Categoria do Laboratório desta atividade prática:]],Planilha1!A:A,Planilha1!B:B)</f>
        <v>EMF-ISN</v>
      </c>
      <c r="DT77" s="1" t="str">
        <f>CONCATENATE(OfficeForms.Table[[#This Row],[Selecione seu Polo Laboratório de Atividades Presenciais:]],OfficeForms.Table[[#This Row],[CHAVE CONVERSÃO]])</f>
        <v>Montes Claros/MG - CentroEMF-ISN</v>
      </c>
      <c r="DU7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7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7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77" s="1" t="str">
        <f>_xlfn.XLOOKUP(OfficeForms.Table[[#This Row],[CHAVE LINK POLO]],'[1]Quadro Geral de Lotação'!$B:$B,'[1]Quadro Geral de Lotação'!$I:$I)</f>
        <v>Izabel Francisca Da Silva</v>
      </c>
      <c r="DY77" s="1" t="str">
        <f>OfficeForms.Table[[#This Row],[Selecione a Ordem de Disciplina]]</f>
        <v>Ordem 1</v>
      </c>
    </row>
    <row r="78" spans="1:129" ht="34.15" customHeight="1">
      <c r="A78" s="1">
        <v>78</v>
      </c>
      <c r="B78" s="2">
        <v>46083.341226851902</v>
      </c>
      <c r="C78" s="2">
        <v>46083.3420833333</v>
      </c>
      <c r="D78" s="3" t="s">
        <v>160</v>
      </c>
      <c r="E78" s="3" t="s">
        <v>161</v>
      </c>
      <c r="G78" s="3"/>
      <c r="I78" s="3" t="s">
        <v>162</v>
      </c>
      <c r="K78" s="3"/>
      <c r="L78" s="1" t="s">
        <v>132</v>
      </c>
      <c r="O78" s="3" t="s">
        <v>156</v>
      </c>
      <c r="Q78" s="3"/>
      <c r="R78" s="3"/>
      <c r="T78" s="3"/>
      <c r="U78" s="5"/>
      <c r="W78" s="3"/>
      <c r="Z78" s="3"/>
      <c r="AA78" s="3"/>
      <c r="AC78" s="3"/>
      <c r="AD78" s="3"/>
      <c r="AF78" s="3"/>
      <c r="AG78" s="3"/>
      <c r="AI78" s="3"/>
      <c r="AJ78" s="1"/>
      <c r="AL78" s="3"/>
      <c r="AO78" s="3"/>
      <c r="AP78" s="3"/>
      <c r="AR78" s="3"/>
      <c r="AS78" s="3"/>
      <c r="AU78" s="3"/>
      <c r="AV78" s="3"/>
      <c r="AX78" s="3"/>
      <c r="AY78" s="5"/>
      <c r="BA78" s="3"/>
      <c r="BD78" s="3"/>
      <c r="BE78" s="3"/>
      <c r="BG78" s="3"/>
      <c r="BH78" s="3"/>
      <c r="BJ78" s="3"/>
      <c r="BK78" s="3" t="s">
        <v>157</v>
      </c>
      <c r="BM78" s="3"/>
      <c r="BN78" s="5">
        <v>46079</v>
      </c>
      <c r="BP78" s="3"/>
      <c r="BQ78" s="1">
        <v>9</v>
      </c>
      <c r="BS78" s="3"/>
      <c r="BT78" s="3" t="s">
        <v>453</v>
      </c>
      <c r="BV78" s="3"/>
      <c r="BW78" s="3" t="s">
        <v>454</v>
      </c>
      <c r="BY78" s="3"/>
      <c r="BZ78" s="3"/>
      <c r="CB78" s="3"/>
      <c r="CC78" s="5"/>
      <c r="CE78" s="3"/>
      <c r="CH78" s="3"/>
      <c r="CI78" s="3"/>
      <c r="CK78" s="3"/>
      <c r="CL78" s="3"/>
      <c r="CN78" s="3"/>
      <c r="CO78" s="3"/>
      <c r="CQ78" s="3"/>
      <c r="CR78" s="5"/>
      <c r="CT78" s="3"/>
      <c r="CW78" s="3"/>
      <c r="CX78" s="3"/>
      <c r="CZ78" s="3"/>
      <c r="DA78" s="3"/>
      <c r="DC78" s="3"/>
      <c r="DD78" s="3"/>
      <c r="DF78" s="3"/>
      <c r="DG78" s="5"/>
      <c r="DI78" s="3"/>
      <c r="DL78" s="3"/>
      <c r="DM78" s="3"/>
      <c r="DO78" s="3"/>
      <c r="DP78" s="3"/>
      <c r="DR78" s="3"/>
      <c r="DS78" s="1" t="str">
        <f>_xlfn.XLOOKUP(OfficeForms.Table[[#This Row],[Selecione a Categoria do Laboratório desta atividade prática:]],Planilha1!A:A,Planilha1!B:B)</f>
        <v>NTR</v>
      </c>
      <c r="DT78" s="1" t="str">
        <f>CONCATENATE(OfficeForms.Table[[#This Row],[Selecione seu Polo Laboratório de Atividades Presenciais:]],OfficeForms.Table[[#This Row],[CHAVE CONVERSÃO]])</f>
        <v>Florianópolis/SC - CentroNTR</v>
      </c>
      <c r="DU7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7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7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78" s="1" t="str">
        <f>_xlfn.XLOOKUP(OfficeForms.Table[[#This Row],[CHAVE LINK POLO]],'[1]Quadro Geral de Lotação'!$B:$B,'[1]Quadro Geral de Lotação'!$I:$I)</f>
        <v>Laura Volpato</v>
      </c>
      <c r="DY78" s="1" t="str">
        <f>OfficeForms.Table[[#This Row],[Selecione a Ordem de Disciplina]]</f>
        <v>Ordem 1</v>
      </c>
    </row>
    <row r="79" spans="1:129" ht="34.15" customHeight="1">
      <c r="A79" s="1">
        <v>79</v>
      </c>
      <c r="B79" s="2">
        <v>46083.3421296296</v>
      </c>
      <c r="C79" s="2">
        <v>46083.343634259298</v>
      </c>
      <c r="D79" s="3" t="s">
        <v>160</v>
      </c>
      <c r="E79" s="3" t="s">
        <v>161</v>
      </c>
      <c r="G79" s="3"/>
      <c r="I79" s="3" t="s">
        <v>162</v>
      </c>
      <c r="K79" s="3"/>
      <c r="L79" s="1" t="s">
        <v>132</v>
      </c>
      <c r="O79" s="3" t="s">
        <v>156</v>
      </c>
      <c r="Q79" s="3"/>
      <c r="R79" s="3"/>
      <c r="T79" s="3"/>
      <c r="U79" s="5"/>
      <c r="W79" s="3"/>
      <c r="Z79" s="3"/>
      <c r="AA79" s="3"/>
      <c r="AC79" s="3"/>
      <c r="AD79" s="3"/>
      <c r="AF79" s="3"/>
      <c r="AG79" s="3"/>
      <c r="AI79" s="3"/>
      <c r="AJ79" s="1"/>
      <c r="AL79" s="3"/>
      <c r="AO79" s="3"/>
      <c r="AP79" s="3"/>
      <c r="AR79" s="3"/>
      <c r="AS79" s="3"/>
      <c r="AU79" s="3"/>
      <c r="AV79" s="3"/>
      <c r="AX79" s="3"/>
      <c r="AY79" s="5"/>
      <c r="BA79" s="3"/>
      <c r="BD79" s="3"/>
      <c r="BE79" s="3"/>
      <c r="BG79" s="3"/>
      <c r="BH79" s="3"/>
      <c r="BJ79" s="3"/>
      <c r="BK79" s="3" t="s">
        <v>455</v>
      </c>
      <c r="BM79" s="3"/>
      <c r="BN79" s="5">
        <v>46079</v>
      </c>
      <c r="BP79" s="3"/>
      <c r="BQ79" s="1">
        <v>14</v>
      </c>
      <c r="BS79" s="3"/>
      <c r="BT79" s="3" t="s">
        <v>456</v>
      </c>
      <c r="BV79" s="3"/>
      <c r="BW79" s="3" t="s">
        <v>457</v>
      </c>
      <c r="BY79" s="3"/>
      <c r="BZ79" s="3"/>
      <c r="CB79" s="3"/>
      <c r="CC79" s="5"/>
      <c r="CE79" s="3"/>
      <c r="CH79" s="3"/>
      <c r="CI79" s="3"/>
      <c r="CK79" s="3"/>
      <c r="CL79" s="3"/>
      <c r="CN79" s="3"/>
      <c r="CO79" s="3"/>
      <c r="CQ79" s="3"/>
      <c r="CR79" s="5"/>
      <c r="CT79" s="3"/>
      <c r="CW79" s="3"/>
      <c r="CX79" s="3"/>
      <c r="CZ79" s="3"/>
      <c r="DA79" s="3"/>
      <c r="DC79" s="3"/>
      <c r="DD79" s="3"/>
      <c r="DF79" s="3"/>
      <c r="DG79" s="5"/>
      <c r="DI79" s="3"/>
      <c r="DL79" s="3"/>
      <c r="DM79" s="3"/>
      <c r="DO79" s="3"/>
      <c r="DP79" s="3"/>
      <c r="DR79" s="3"/>
      <c r="DS79" s="1" t="str">
        <f>_xlfn.XLOOKUP(OfficeForms.Table[[#This Row],[Selecione a Categoria do Laboratório desta atividade prática:]],Planilha1!A:A,Planilha1!B:B)</f>
        <v>NTR</v>
      </c>
      <c r="DT79" s="1" t="str">
        <f>CONCATENATE(OfficeForms.Table[[#This Row],[Selecione seu Polo Laboratório de Atividades Presenciais:]],OfficeForms.Table[[#This Row],[CHAVE CONVERSÃO]])</f>
        <v>Florianópolis/SC - CentroNTR</v>
      </c>
      <c r="DU7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II: Anamnese e diagnóstico</v>
      </c>
      <c r="DV7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7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14</v>
      </c>
      <c r="DX79" s="1" t="str">
        <f>_xlfn.XLOOKUP(OfficeForms.Table[[#This Row],[CHAVE LINK POLO]],'[1]Quadro Geral de Lotação'!$B:$B,'[1]Quadro Geral de Lotação'!$I:$I)</f>
        <v>Laura Volpato</v>
      </c>
      <c r="DY79" s="1" t="str">
        <f>OfficeForms.Table[[#This Row],[Selecione a Ordem de Disciplina]]</f>
        <v>Ordem 1</v>
      </c>
    </row>
    <row r="80" spans="1:129" ht="34.15" customHeight="1">
      <c r="A80" s="1">
        <v>80</v>
      </c>
      <c r="B80" s="2">
        <v>46083.518854166701</v>
      </c>
      <c r="C80" s="2">
        <v>46083.520752314798</v>
      </c>
      <c r="D80" s="3" t="s">
        <v>174</v>
      </c>
      <c r="E80" s="3" t="s">
        <v>175</v>
      </c>
      <c r="G80" s="3"/>
      <c r="I80" s="3" t="s">
        <v>176</v>
      </c>
      <c r="K80" s="3"/>
      <c r="L80" s="1" t="s">
        <v>132</v>
      </c>
      <c r="O80" s="3" t="s">
        <v>177</v>
      </c>
      <c r="Q80" s="3"/>
      <c r="R80" s="3"/>
      <c r="T80" s="3"/>
      <c r="U80" s="5"/>
      <c r="W80" s="3"/>
      <c r="Z80" s="3"/>
      <c r="AA80" s="3"/>
      <c r="AC80" s="3"/>
      <c r="AD80" s="3"/>
      <c r="AF80" s="3"/>
      <c r="AG80" s="3"/>
      <c r="AI80" s="3"/>
      <c r="AJ80" s="1"/>
      <c r="AL80" s="3"/>
      <c r="AO80" s="3"/>
      <c r="AP80" s="3"/>
      <c r="AR80" s="3"/>
      <c r="AS80" s="3"/>
      <c r="AU80" s="3"/>
      <c r="AV80" s="3"/>
      <c r="AX80" s="3"/>
      <c r="AY80" s="5"/>
      <c r="BA80" s="3"/>
      <c r="BD80" s="3"/>
      <c r="BE80" s="3"/>
      <c r="BG80" s="3"/>
      <c r="BH80" s="3"/>
      <c r="BJ80" s="3"/>
      <c r="BK80" s="3"/>
      <c r="BM80" s="3"/>
      <c r="BN80" s="5"/>
      <c r="BP80" s="3"/>
      <c r="BS80" s="3"/>
      <c r="BT80" s="3"/>
      <c r="BV80" s="3"/>
      <c r="BW80" s="3"/>
      <c r="BY80" s="3"/>
      <c r="BZ80" s="3"/>
      <c r="CB80" s="3"/>
      <c r="CC80" s="5"/>
      <c r="CE80" s="3"/>
      <c r="CH80" s="3"/>
      <c r="CI80" s="3"/>
      <c r="CK80" s="3"/>
      <c r="CL80" s="3"/>
      <c r="CN80" s="3"/>
      <c r="CO80" s="3"/>
      <c r="CQ80" s="3"/>
      <c r="CR80" s="5"/>
      <c r="CT80" s="3"/>
      <c r="CW80" s="3"/>
      <c r="CX80" s="3"/>
      <c r="CZ80" s="3"/>
      <c r="DA80" s="3"/>
      <c r="DC80" s="3"/>
      <c r="DD80" s="3" t="s">
        <v>458</v>
      </c>
      <c r="DF80" s="3"/>
      <c r="DG80" s="5">
        <v>46079</v>
      </c>
      <c r="DI80" s="3"/>
      <c r="DJ80" s="1">
        <v>13</v>
      </c>
      <c r="DL80" s="3"/>
      <c r="DM80" s="3" t="s">
        <v>459</v>
      </c>
      <c r="DO80" s="3"/>
      <c r="DP80" s="3" t="s">
        <v>460</v>
      </c>
      <c r="DR80" s="3"/>
      <c r="DS80" s="1" t="str">
        <f>_xlfn.XLOOKUP(OfficeForms.Table[[#This Row],[Selecione a Categoria do Laboratório desta atividade prática:]],Planilha1!A:A,Planilha1!B:B)</f>
        <v>AGM</v>
      </c>
      <c r="DT80" s="1" t="str">
        <f>CONCATENATE(OfficeForms.Table[[#This Row],[Selecione seu Polo Laboratório de Atividades Presenciais:]],OfficeForms.Table[[#This Row],[CHAVE CONVERSÃO]])</f>
        <v>Catalão/GOAGM</v>
      </c>
      <c r="DU8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Diagnóstico de Doenças de Plantas em laboratório: Identificação de Sintomas, Sinais e Estruturas Patogênicas</v>
      </c>
      <c r="DV8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8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80" s="1" t="str">
        <f>_xlfn.XLOOKUP(OfficeForms.Table[[#This Row],[CHAVE LINK POLO]],'[1]Quadro Geral de Lotação'!$B:$B,'[1]Quadro Geral de Lotação'!$I:$I)</f>
        <v>Marla Maria Ferreira De Souza</v>
      </c>
      <c r="DY80" s="1" t="str">
        <f>OfficeForms.Table[[#This Row],[Selecione a Ordem de Disciplina]]</f>
        <v>Ordem 1</v>
      </c>
    </row>
    <row r="81" spans="1:129" ht="34.15" customHeight="1">
      <c r="A81" s="1">
        <v>81</v>
      </c>
      <c r="B81" s="2">
        <v>46083.655231481498</v>
      </c>
      <c r="C81" s="2">
        <v>46083.657592592601</v>
      </c>
      <c r="D81" s="3" t="s">
        <v>362</v>
      </c>
      <c r="E81" s="3" t="s">
        <v>363</v>
      </c>
      <c r="G81" s="3"/>
      <c r="I81" s="3" t="s">
        <v>364</v>
      </c>
      <c r="K81" s="3"/>
      <c r="L81" s="1" t="s">
        <v>132</v>
      </c>
      <c r="O81" s="3" t="s">
        <v>184</v>
      </c>
      <c r="Q81" s="3"/>
      <c r="R81" s="3"/>
      <c r="T81" s="3"/>
      <c r="U81" s="5"/>
      <c r="W81" s="3"/>
      <c r="Z81" s="3"/>
      <c r="AA81" s="3"/>
      <c r="AC81" s="3"/>
      <c r="AD81" s="3"/>
      <c r="AF81" s="3"/>
      <c r="AG81" s="3" t="s">
        <v>185</v>
      </c>
      <c r="AI81" s="3"/>
      <c r="AJ81" s="1">
        <v>46081</v>
      </c>
      <c r="AL81" s="3"/>
      <c r="AM81" s="1">
        <v>10</v>
      </c>
      <c r="AO81" s="3"/>
      <c r="AP81" s="3" t="s">
        <v>461</v>
      </c>
      <c r="AR81" s="3"/>
      <c r="AS81" s="3" t="s">
        <v>462</v>
      </c>
      <c r="AU81" s="3"/>
      <c r="AV81" s="3"/>
      <c r="AX81" s="3"/>
      <c r="AY81" s="5"/>
      <c r="BA81" s="3"/>
      <c r="BD81" s="3"/>
      <c r="BE81" s="3"/>
      <c r="BG81" s="3"/>
      <c r="BH81" s="3"/>
      <c r="BJ81" s="3"/>
      <c r="BK81" s="3"/>
      <c r="BM81" s="3"/>
      <c r="BN81" s="5"/>
      <c r="BP81" s="3"/>
      <c r="BS81" s="3"/>
      <c r="BT81" s="3"/>
      <c r="BV81" s="3"/>
      <c r="BW81" s="3"/>
      <c r="BY81" s="3"/>
      <c r="BZ81" s="3"/>
      <c r="CB81" s="3"/>
      <c r="CC81" s="5"/>
      <c r="CE81" s="3"/>
      <c r="CH81" s="3"/>
      <c r="CI81" s="3"/>
      <c r="CK81" s="3"/>
      <c r="CL81" s="3"/>
      <c r="CN81" s="3"/>
      <c r="CO81" s="3"/>
      <c r="CQ81" s="3"/>
      <c r="CR81" s="5"/>
      <c r="CT81" s="3"/>
      <c r="CW81" s="3"/>
      <c r="CX81" s="3"/>
      <c r="CZ81" s="3"/>
      <c r="DA81" s="3"/>
      <c r="DC81" s="3"/>
      <c r="DD81" s="3"/>
      <c r="DF81" s="3"/>
      <c r="DG81" s="5"/>
      <c r="DI81" s="3"/>
      <c r="DL81" s="3"/>
      <c r="DM81" s="3"/>
      <c r="DO81" s="3"/>
      <c r="DP81" s="3"/>
      <c r="DR81" s="3"/>
      <c r="DS81" s="1" t="str">
        <f>_xlfn.XLOOKUP(OfficeForms.Table[[#This Row],[Selecione a Categoria do Laboratório desta atividade prática:]],Planilha1!A:A,Planilha1!B:B)</f>
        <v>EMF-ISN</v>
      </c>
      <c r="DT81" s="1" t="str">
        <f>CONCATENATE(OfficeForms.Table[[#This Row],[Selecione seu Polo Laboratório de Atividades Presenciais:]],OfficeForms.Table[[#This Row],[CHAVE CONVERSÃO]])</f>
        <v>Maués/AMEMF-ISN</v>
      </c>
      <c r="DU8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8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8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81" s="1" t="str">
        <f>_xlfn.XLOOKUP(OfficeForms.Table[[#This Row],[CHAVE LINK POLO]],'[1]Quadro Geral de Lotação'!$B:$B,'[1]Quadro Geral de Lotação'!$I:$I)</f>
        <v>Nelma Rita Passos Martins</v>
      </c>
      <c r="DY81" s="1" t="str">
        <f>OfficeForms.Table[[#This Row],[Selecione a Ordem de Disciplina]]</f>
        <v>Ordem 1</v>
      </c>
    </row>
    <row r="82" spans="1:129" ht="34.15" customHeight="1">
      <c r="A82" s="1">
        <v>82</v>
      </c>
      <c r="B82" s="2">
        <v>46083.7196527778</v>
      </c>
      <c r="C82" s="2">
        <v>46083.735659722202</v>
      </c>
      <c r="D82" s="3" t="s">
        <v>463</v>
      </c>
      <c r="E82" s="3" t="s">
        <v>464</v>
      </c>
      <c r="G82" s="3"/>
      <c r="I82" s="3" t="s">
        <v>445</v>
      </c>
      <c r="K82" s="3"/>
      <c r="L82" s="1" t="s">
        <v>132</v>
      </c>
      <c r="O82" s="3" t="s">
        <v>156</v>
      </c>
      <c r="Q82" s="3"/>
      <c r="R82" s="3"/>
      <c r="T82" s="3"/>
      <c r="U82" s="5"/>
      <c r="W82" s="3"/>
      <c r="Z82" s="3"/>
      <c r="AA82" s="3"/>
      <c r="AC82" s="3"/>
      <c r="AD82" s="3"/>
      <c r="AF82" s="3"/>
      <c r="AG82" s="3"/>
      <c r="AI82" s="3"/>
      <c r="AJ82" s="1"/>
      <c r="AL82" s="3"/>
      <c r="AO82" s="3"/>
      <c r="AP82" s="3"/>
      <c r="AR82" s="3"/>
      <c r="AS82" s="3"/>
      <c r="AU82" s="3"/>
      <c r="AV82" s="3"/>
      <c r="AX82" s="3"/>
      <c r="AY82" s="5"/>
      <c r="BA82" s="3"/>
      <c r="BD82" s="3"/>
      <c r="BE82" s="3"/>
      <c r="BG82" s="3"/>
      <c r="BH82" s="3"/>
      <c r="BJ82" s="3"/>
      <c r="BK82" s="3" t="s">
        <v>465</v>
      </c>
      <c r="BM82" s="3"/>
      <c r="BN82" s="5">
        <v>46072</v>
      </c>
      <c r="BP82" s="3"/>
      <c r="BQ82" s="1">
        <v>2</v>
      </c>
      <c r="BS82" s="3"/>
      <c r="BT82" s="3" t="s">
        <v>466</v>
      </c>
      <c r="BV82" s="3"/>
      <c r="BW82" s="3" t="s">
        <v>467</v>
      </c>
      <c r="BY82" s="3"/>
      <c r="BZ82" s="3"/>
      <c r="CB82" s="3"/>
      <c r="CC82" s="5"/>
      <c r="CE82" s="3"/>
      <c r="CH82" s="3"/>
      <c r="CI82" s="3"/>
      <c r="CK82" s="3"/>
      <c r="CL82" s="3"/>
      <c r="CN82" s="3"/>
      <c r="CO82" s="3"/>
      <c r="CQ82" s="3"/>
      <c r="CR82" s="5"/>
      <c r="CT82" s="3"/>
      <c r="CW82" s="3"/>
      <c r="CX82" s="3"/>
      <c r="CZ82" s="3"/>
      <c r="DA82" s="3"/>
      <c r="DC82" s="3"/>
      <c r="DD82" s="3"/>
      <c r="DF82" s="3"/>
      <c r="DG82" s="5"/>
      <c r="DI82" s="3"/>
      <c r="DL82" s="3"/>
      <c r="DM82" s="3"/>
      <c r="DO82" s="3"/>
      <c r="DP82" s="3"/>
      <c r="DR82" s="3"/>
      <c r="DS82" s="1" t="str">
        <f>_xlfn.XLOOKUP(OfficeForms.Table[[#This Row],[Selecione a Categoria do Laboratório desta atividade prática:]],Planilha1!A:A,Planilha1!B:B)</f>
        <v>NTR</v>
      </c>
      <c r="DT82" s="1" t="str">
        <f>CONCATENATE(OfficeForms.Table[[#This Row],[Selecione seu Polo Laboratório de Atividades Presenciais:]],OfficeForms.Table[[#This Row],[CHAVE CONVERSÃO]])</f>
        <v>Goiânia/GO - Jardim EuropaNTR</v>
      </c>
      <c r="DU8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Antropometria;Avaliação nutricional de gestante II: Anamnese e diagnóstico</v>
      </c>
      <c r="DV8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8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2" s="1" t="str">
        <f>_xlfn.XLOOKUP(OfficeForms.Table[[#This Row],[CHAVE LINK POLO]],'[1]Quadro Geral de Lotação'!$B:$B,'[1]Quadro Geral de Lotação'!$I:$I)</f>
        <v>Kellen Ferreira Nascimento</v>
      </c>
      <c r="DY82" s="1" t="str">
        <f>OfficeForms.Table[[#This Row],[Selecione a Ordem de Disciplina]]</f>
        <v>Ordem 1</v>
      </c>
    </row>
    <row r="83" spans="1:129" ht="34.15" customHeight="1">
      <c r="A83" s="1">
        <v>83</v>
      </c>
      <c r="B83" s="2">
        <v>46083.7366203704</v>
      </c>
      <c r="C83" s="2">
        <v>46083.737222222197</v>
      </c>
      <c r="D83" s="3" t="s">
        <v>263</v>
      </c>
      <c r="E83" s="3" t="s">
        <v>264</v>
      </c>
      <c r="G83" s="3"/>
      <c r="I83" s="3" t="s">
        <v>265</v>
      </c>
      <c r="K83" s="3"/>
      <c r="L83" s="1" t="s">
        <v>132</v>
      </c>
      <c r="O83" s="3" t="s">
        <v>184</v>
      </c>
      <c r="Q83" s="3"/>
      <c r="R83" s="3"/>
      <c r="T83" s="3"/>
      <c r="U83" s="5"/>
      <c r="W83" s="3"/>
      <c r="Z83" s="3"/>
      <c r="AA83" s="3"/>
      <c r="AC83" s="3"/>
      <c r="AD83" s="3"/>
      <c r="AF83" s="3"/>
      <c r="AG83" s="3" t="s">
        <v>370</v>
      </c>
      <c r="AI83" s="3"/>
      <c r="AJ83" s="1">
        <v>46083</v>
      </c>
      <c r="AL83" s="3"/>
      <c r="AM83" s="1">
        <v>2</v>
      </c>
      <c r="AO83" s="3"/>
      <c r="AP83" s="3" t="s">
        <v>468</v>
      </c>
      <c r="AR83" s="3"/>
      <c r="AS83" s="3" t="s">
        <v>469</v>
      </c>
      <c r="AU83" s="3"/>
      <c r="AV83" s="3"/>
      <c r="AX83" s="3"/>
      <c r="AY83" s="5"/>
      <c r="BA83" s="3"/>
      <c r="BD83" s="3"/>
      <c r="BE83" s="3"/>
      <c r="BG83" s="3"/>
      <c r="BH83" s="3"/>
      <c r="BJ83" s="3"/>
      <c r="BK83" s="3"/>
      <c r="BM83" s="3"/>
      <c r="BN83" s="5"/>
      <c r="BP83" s="3"/>
      <c r="BS83" s="3"/>
      <c r="BT83" s="3"/>
      <c r="BV83" s="3"/>
      <c r="BW83" s="3"/>
      <c r="BY83" s="3"/>
      <c r="BZ83" s="3"/>
      <c r="CB83" s="3"/>
      <c r="CC83" s="5"/>
      <c r="CE83" s="3"/>
      <c r="CH83" s="3"/>
      <c r="CI83" s="3"/>
      <c r="CK83" s="3"/>
      <c r="CL83" s="3"/>
      <c r="CN83" s="3"/>
      <c r="CO83" s="3"/>
      <c r="CQ83" s="3"/>
      <c r="CR83" s="5"/>
      <c r="CT83" s="3"/>
      <c r="CW83" s="3"/>
      <c r="CX83" s="3"/>
      <c r="CZ83" s="3"/>
      <c r="DA83" s="3"/>
      <c r="DC83" s="3"/>
      <c r="DD83" s="3"/>
      <c r="DF83" s="3"/>
      <c r="DG83" s="5"/>
      <c r="DI83" s="3"/>
      <c r="DL83" s="3"/>
      <c r="DM83" s="3"/>
      <c r="DO83" s="3"/>
      <c r="DP83" s="3"/>
      <c r="DR83" s="3"/>
      <c r="DS83" s="1" t="str">
        <f>_xlfn.XLOOKUP(OfficeForms.Table[[#This Row],[Selecione a Categoria do Laboratório desta atividade prática:]],Planilha1!A:A,Planilha1!B:B)</f>
        <v>EMF-ISN</v>
      </c>
      <c r="DT83" s="1" t="str">
        <f>CONCATENATE(OfficeForms.Table[[#This Row],[Selecione seu Polo Laboratório de Atividades Presenciais:]],OfficeForms.Table[[#This Row],[CHAVE CONVERSÃO]])</f>
        <v>Brusque/SCEMF-ISN</v>
      </c>
      <c r="DU8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8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8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3" s="1" t="str">
        <f>_xlfn.XLOOKUP(OfficeForms.Table[[#This Row],[CHAVE LINK POLO]],'[1]Quadro Geral de Lotação'!$B:$B,'[1]Quadro Geral de Lotação'!$I:$I)</f>
        <v>Fabio Junior da Rosa</v>
      </c>
      <c r="DY83" s="1" t="str">
        <f>OfficeForms.Table[[#This Row],[Selecione a Ordem de Disciplina]]</f>
        <v>Ordem 1</v>
      </c>
    </row>
    <row r="84" spans="1:129" ht="34.15" customHeight="1">
      <c r="A84" s="1">
        <v>84</v>
      </c>
      <c r="B84" s="2">
        <v>46083.737303240698</v>
      </c>
      <c r="C84" s="2">
        <v>46083.738333333298</v>
      </c>
      <c r="D84" s="3" t="s">
        <v>263</v>
      </c>
      <c r="E84" s="3" t="s">
        <v>264</v>
      </c>
      <c r="G84" s="3"/>
      <c r="I84" s="3" t="s">
        <v>265</v>
      </c>
      <c r="K84" s="3"/>
      <c r="L84" s="1" t="s">
        <v>132</v>
      </c>
      <c r="O84" s="3" t="s">
        <v>184</v>
      </c>
      <c r="Q84" s="3"/>
      <c r="R84" s="3"/>
      <c r="T84" s="3"/>
      <c r="U84" s="5"/>
      <c r="W84" s="3"/>
      <c r="Z84" s="3"/>
      <c r="AA84" s="3"/>
      <c r="AC84" s="3"/>
      <c r="AD84" s="3"/>
      <c r="AF84" s="3"/>
      <c r="AG84" s="3" t="s">
        <v>316</v>
      </c>
      <c r="AI84" s="3"/>
      <c r="AJ84" s="1">
        <v>46083</v>
      </c>
      <c r="AL84" s="3"/>
      <c r="AM84" s="1">
        <v>2</v>
      </c>
      <c r="AO84" s="3"/>
      <c r="AP84" s="3" t="s">
        <v>470</v>
      </c>
      <c r="AR84" s="3"/>
      <c r="AS84" s="3" t="s">
        <v>471</v>
      </c>
      <c r="AU84" s="3"/>
      <c r="AV84" s="3"/>
      <c r="AX84" s="3"/>
      <c r="AY84" s="5"/>
      <c r="BA84" s="3"/>
      <c r="BD84" s="3"/>
      <c r="BE84" s="3"/>
      <c r="BG84" s="3"/>
      <c r="BH84" s="3"/>
      <c r="BJ84" s="3"/>
      <c r="BK84" s="3"/>
      <c r="BM84" s="3"/>
      <c r="BN84" s="5"/>
      <c r="BP84" s="3"/>
      <c r="BS84" s="3"/>
      <c r="BT84" s="3"/>
      <c r="BV84" s="3"/>
      <c r="BW84" s="3"/>
      <c r="BY84" s="3"/>
      <c r="BZ84" s="3"/>
      <c r="CB84" s="3"/>
      <c r="CC84" s="5"/>
      <c r="CE84" s="3"/>
      <c r="CH84" s="3"/>
      <c r="CI84" s="3"/>
      <c r="CK84" s="3"/>
      <c r="CL84" s="3"/>
      <c r="CN84" s="3"/>
      <c r="CO84" s="3"/>
      <c r="CQ84" s="3"/>
      <c r="CR84" s="5"/>
      <c r="CT84" s="3"/>
      <c r="CW84" s="3"/>
      <c r="CX84" s="3"/>
      <c r="CZ84" s="3"/>
      <c r="DA84" s="3"/>
      <c r="DC84" s="3"/>
      <c r="DD84" s="3"/>
      <c r="DF84" s="3"/>
      <c r="DG84" s="5"/>
      <c r="DI84" s="3"/>
      <c r="DL84" s="3"/>
      <c r="DM84" s="3"/>
      <c r="DO84" s="3"/>
      <c r="DP84" s="3"/>
      <c r="DR84" s="3"/>
      <c r="DS84" s="1" t="str">
        <f>_xlfn.XLOOKUP(OfficeForms.Table[[#This Row],[Selecione a Categoria do Laboratório desta atividade prática:]],Planilha1!A:A,Planilha1!B:B)</f>
        <v>EMF-ISN</v>
      </c>
      <c r="DT84" s="1" t="str">
        <f>CONCATENATE(OfficeForms.Table[[#This Row],[Selecione seu Polo Laboratório de Atividades Presenciais:]],OfficeForms.Table[[#This Row],[CHAVE CONVERSÃO]])</f>
        <v>Brusque/SCEMF-ISN</v>
      </c>
      <c r="DU8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8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8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4" s="1" t="str">
        <f>_xlfn.XLOOKUP(OfficeForms.Table[[#This Row],[CHAVE LINK POLO]],'[1]Quadro Geral de Lotação'!$B:$B,'[1]Quadro Geral de Lotação'!$I:$I)</f>
        <v>Fabio Junior da Rosa</v>
      </c>
      <c r="DY84" s="1" t="str">
        <f>OfficeForms.Table[[#This Row],[Selecione a Ordem de Disciplina]]</f>
        <v>Ordem 1</v>
      </c>
    </row>
    <row r="85" spans="1:129" ht="34.15" customHeight="1">
      <c r="A85" s="1">
        <v>85</v>
      </c>
      <c r="B85" s="2">
        <v>46083.735740740703</v>
      </c>
      <c r="C85" s="2">
        <v>46083.739201388897</v>
      </c>
      <c r="D85" s="3" t="s">
        <v>463</v>
      </c>
      <c r="E85" s="3" t="s">
        <v>464</v>
      </c>
      <c r="G85" s="3"/>
      <c r="I85" s="3" t="s">
        <v>445</v>
      </c>
      <c r="K85" s="3"/>
      <c r="L85" s="1" t="s">
        <v>132</v>
      </c>
      <c r="O85" s="3" t="s">
        <v>156</v>
      </c>
      <c r="Q85" s="3"/>
      <c r="R85" s="3"/>
      <c r="T85" s="3"/>
      <c r="U85" s="5"/>
      <c r="W85" s="3"/>
      <c r="Z85" s="3"/>
      <c r="AA85" s="3"/>
      <c r="AC85" s="3"/>
      <c r="AD85" s="3"/>
      <c r="AF85" s="3"/>
      <c r="AG85" s="3"/>
      <c r="AI85" s="3"/>
      <c r="AJ85" s="1"/>
      <c r="AL85" s="3"/>
      <c r="AO85" s="3"/>
      <c r="AP85" s="3"/>
      <c r="AR85" s="3"/>
      <c r="AS85" s="3"/>
      <c r="AU85" s="3"/>
      <c r="AV85" s="3"/>
      <c r="AX85" s="3"/>
      <c r="AY85" s="5"/>
      <c r="BA85" s="3"/>
      <c r="BD85" s="3"/>
      <c r="BE85" s="3"/>
      <c r="BG85" s="3"/>
      <c r="BH85" s="3"/>
      <c r="BJ85" s="3"/>
      <c r="BK85" s="3" t="s">
        <v>465</v>
      </c>
      <c r="BM85" s="3"/>
      <c r="BN85" s="5">
        <v>46079</v>
      </c>
      <c r="BP85" s="3"/>
      <c r="BQ85" s="1">
        <v>5</v>
      </c>
      <c r="BS85" s="3"/>
      <c r="BT85" s="3" t="s">
        <v>472</v>
      </c>
      <c r="BV85" s="3"/>
      <c r="BW85" s="3" t="s">
        <v>473</v>
      </c>
      <c r="BY85" s="3"/>
      <c r="BZ85" s="3"/>
      <c r="CB85" s="3"/>
      <c r="CC85" s="5"/>
      <c r="CE85" s="3"/>
      <c r="CH85" s="3"/>
      <c r="CI85" s="3"/>
      <c r="CK85" s="3"/>
      <c r="CL85" s="3"/>
      <c r="CN85" s="3"/>
      <c r="CO85" s="3"/>
      <c r="CQ85" s="3"/>
      <c r="CR85" s="5"/>
      <c r="CT85" s="3"/>
      <c r="CW85" s="3"/>
      <c r="CX85" s="3"/>
      <c r="CZ85" s="3"/>
      <c r="DA85" s="3"/>
      <c r="DC85" s="3"/>
      <c r="DD85" s="3"/>
      <c r="DF85" s="3"/>
      <c r="DG85" s="5"/>
      <c r="DI85" s="3"/>
      <c r="DL85" s="3"/>
      <c r="DM85" s="3"/>
      <c r="DO85" s="3"/>
      <c r="DP85" s="3"/>
      <c r="DR85" s="3"/>
      <c r="DS85" s="1" t="str">
        <f>_xlfn.XLOOKUP(OfficeForms.Table[[#This Row],[Selecione a Categoria do Laboratório desta atividade prática:]],Planilha1!A:A,Planilha1!B:B)</f>
        <v>NTR</v>
      </c>
      <c r="DT85" s="1" t="str">
        <f>CONCATENATE(OfficeForms.Table[[#This Row],[Selecione seu Polo Laboratório de Atividades Presenciais:]],OfficeForms.Table[[#This Row],[CHAVE CONVERSÃO]])</f>
        <v>Goiânia/GO - Jardim EuropaNTR</v>
      </c>
      <c r="DU8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Antropometria;Avaliação nutricional de gestante II: Anamnese e diagnóstico</v>
      </c>
      <c r="DV8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8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85" s="1" t="str">
        <f>_xlfn.XLOOKUP(OfficeForms.Table[[#This Row],[CHAVE LINK POLO]],'[1]Quadro Geral de Lotação'!$B:$B,'[1]Quadro Geral de Lotação'!$I:$I)</f>
        <v>Kellen Ferreira Nascimento</v>
      </c>
      <c r="DY85" s="1" t="str">
        <f>OfficeForms.Table[[#This Row],[Selecione a Ordem de Disciplina]]</f>
        <v>Ordem 1</v>
      </c>
    </row>
    <row r="86" spans="1:129" ht="34.15" customHeight="1">
      <c r="A86" s="1">
        <v>86</v>
      </c>
      <c r="B86" s="2">
        <v>46083.738402777803</v>
      </c>
      <c r="C86" s="2">
        <v>46083.7394907407</v>
      </c>
      <c r="D86" s="3" t="s">
        <v>263</v>
      </c>
      <c r="E86" s="3" t="s">
        <v>264</v>
      </c>
      <c r="G86" s="3"/>
      <c r="I86" s="3" t="s">
        <v>265</v>
      </c>
      <c r="K86" s="3"/>
      <c r="L86" s="1" t="s">
        <v>132</v>
      </c>
      <c r="O86" s="3" t="s">
        <v>184</v>
      </c>
      <c r="Q86" s="3"/>
      <c r="R86" s="3"/>
      <c r="T86" s="3"/>
      <c r="U86" s="5"/>
      <c r="W86" s="3"/>
      <c r="Z86" s="3"/>
      <c r="AA86" s="3"/>
      <c r="AC86" s="3"/>
      <c r="AD86" s="3"/>
      <c r="AF86" s="3"/>
      <c r="AG86" s="3" t="s">
        <v>414</v>
      </c>
      <c r="AI86" s="3"/>
      <c r="AJ86" s="1">
        <v>46083</v>
      </c>
      <c r="AL86" s="3"/>
      <c r="AM86" s="1">
        <v>2</v>
      </c>
      <c r="AO86" s="3"/>
      <c r="AP86" s="3" t="s">
        <v>474</v>
      </c>
      <c r="AR86" s="3"/>
      <c r="AS86" s="3" t="s">
        <v>475</v>
      </c>
      <c r="AU86" s="3"/>
      <c r="AV86" s="3"/>
      <c r="AX86" s="3"/>
      <c r="AY86" s="5"/>
      <c r="BA86" s="3"/>
      <c r="BD86" s="3"/>
      <c r="BE86" s="3"/>
      <c r="BG86" s="3"/>
      <c r="BH86" s="3"/>
      <c r="BJ86" s="3"/>
      <c r="BK86" s="3"/>
      <c r="BM86" s="3"/>
      <c r="BN86" s="5"/>
      <c r="BP86" s="3"/>
      <c r="BS86" s="3"/>
      <c r="BT86" s="3"/>
      <c r="BV86" s="3"/>
      <c r="BW86" s="3"/>
      <c r="BY86" s="3"/>
      <c r="BZ86" s="3"/>
      <c r="CB86" s="3"/>
      <c r="CC86" s="5"/>
      <c r="CE86" s="3"/>
      <c r="CH86" s="3"/>
      <c r="CI86" s="3"/>
      <c r="CK86" s="3"/>
      <c r="CL86" s="3"/>
      <c r="CN86" s="3"/>
      <c r="CO86" s="3"/>
      <c r="CQ86" s="3"/>
      <c r="CR86" s="5"/>
      <c r="CT86" s="3"/>
      <c r="CW86" s="3"/>
      <c r="CX86" s="3"/>
      <c r="CZ86" s="3"/>
      <c r="DA86" s="3"/>
      <c r="DC86" s="3"/>
      <c r="DD86" s="3"/>
      <c r="DF86" s="3"/>
      <c r="DG86" s="5"/>
      <c r="DI86" s="3"/>
      <c r="DL86" s="3"/>
      <c r="DM86" s="3"/>
      <c r="DO86" s="3"/>
      <c r="DP86" s="3"/>
      <c r="DR86" s="3"/>
      <c r="DS86" s="1" t="str">
        <f>_xlfn.XLOOKUP(OfficeForms.Table[[#This Row],[Selecione a Categoria do Laboratório desta atividade prática:]],Planilha1!A:A,Planilha1!B:B)</f>
        <v>EMF-ISN</v>
      </c>
      <c r="DT86" s="1" t="str">
        <f>CONCATENATE(OfficeForms.Table[[#This Row],[Selecione seu Polo Laboratório de Atividades Presenciais:]],OfficeForms.Table[[#This Row],[CHAVE CONVERSÃO]])</f>
        <v>Brusque/SCEMF-ISN</v>
      </c>
      <c r="DU8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8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8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6" s="1" t="str">
        <f>_xlfn.XLOOKUP(OfficeForms.Table[[#This Row],[CHAVE LINK POLO]],'[1]Quadro Geral de Lotação'!$B:$B,'[1]Quadro Geral de Lotação'!$I:$I)</f>
        <v>Fabio Junior da Rosa</v>
      </c>
      <c r="DY86" s="1" t="str">
        <f>OfficeForms.Table[[#This Row],[Selecione a Ordem de Disciplina]]</f>
        <v>Ordem 1</v>
      </c>
    </row>
    <row r="87" spans="1:129" ht="34.15" customHeight="1">
      <c r="A87" s="1">
        <v>87</v>
      </c>
      <c r="B87" s="2">
        <v>46083.739537037</v>
      </c>
      <c r="C87" s="2">
        <v>46083.739861111098</v>
      </c>
      <c r="D87" s="3" t="s">
        <v>263</v>
      </c>
      <c r="E87" s="3" t="s">
        <v>264</v>
      </c>
      <c r="G87" s="3"/>
      <c r="I87" s="3" t="s">
        <v>265</v>
      </c>
      <c r="K87" s="3"/>
      <c r="L87" s="1" t="s">
        <v>132</v>
      </c>
      <c r="O87" s="3" t="s">
        <v>184</v>
      </c>
      <c r="Q87" s="3"/>
      <c r="R87" s="3"/>
      <c r="T87" s="3"/>
      <c r="U87" s="5"/>
      <c r="W87" s="3"/>
      <c r="Z87" s="3"/>
      <c r="AA87" s="3"/>
      <c r="AC87" s="3"/>
      <c r="AD87" s="3"/>
      <c r="AF87" s="3"/>
      <c r="AG87" s="3" t="s">
        <v>206</v>
      </c>
      <c r="AI87" s="3"/>
      <c r="AJ87" s="1">
        <v>46083</v>
      </c>
      <c r="AL87" s="3"/>
      <c r="AM87" s="1">
        <v>3</v>
      </c>
      <c r="AO87" s="3"/>
      <c r="AP87" s="3" t="s">
        <v>476</v>
      </c>
      <c r="AR87" s="3"/>
      <c r="AS87" s="3" t="s">
        <v>477</v>
      </c>
      <c r="AU87" s="3"/>
      <c r="AV87" s="3"/>
      <c r="AX87" s="3"/>
      <c r="AY87" s="5"/>
      <c r="BA87" s="3"/>
      <c r="BD87" s="3"/>
      <c r="BE87" s="3"/>
      <c r="BG87" s="3"/>
      <c r="BH87" s="3"/>
      <c r="BJ87" s="3"/>
      <c r="BK87" s="3"/>
      <c r="BM87" s="3"/>
      <c r="BN87" s="5"/>
      <c r="BP87" s="3"/>
      <c r="BS87" s="3"/>
      <c r="BT87" s="3"/>
      <c r="BV87" s="3"/>
      <c r="BW87" s="3"/>
      <c r="BY87" s="3"/>
      <c r="BZ87" s="3"/>
      <c r="CB87" s="3"/>
      <c r="CC87" s="5"/>
      <c r="CE87" s="3"/>
      <c r="CH87" s="3"/>
      <c r="CI87" s="3"/>
      <c r="CK87" s="3"/>
      <c r="CL87" s="3"/>
      <c r="CN87" s="3"/>
      <c r="CO87" s="3"/>
      <c r="CQ87" s="3"/>
      <c r="CR87" s="5"/>
      <c r="CT87" s="3"/>
      <c r="CW87" s="3"/>
      <c r="CX87" s="3"/>
      <c r="CZ87" s="3"/>
      <c r="DA87" s="3"/>
      <c r="DC87" s="3"/>
      <c r="DD87" s="3"/>
      <c r="DF87" s="3"/>
      <c r="DG87" s="5"/>
      <c r="DI87" s="3"/>
      <c r="DL87" s="3"/>
      <c r="DM87" s="3"/>
      <c r="DO87" s="3"/>
      <c r="DP87" s="3"/>
      <c r="DR87" s="3"/>
      <c r="DS87" s="1" t="str">
        <f>_xlfn.XLOOKUP(OfficeForms.Table[[#This Row],[Selecione a Categoria do Laboratório desta atividade prática:]],Planilha1!A:A,Planilha1!B:B)</f>
        <v>EMF-ISN</v>
      </c>
      <c r="DT87" s="1" t="str">
        <f>CONCATENATE(OfficeForms.Table[[#This Row],[Selecione seu Polo Laboratório de Atividades Presenciais:]],OfficeForms.Table[[#This Row],[CHAVE CONVERSÃO]])</f>
        <v>Brusque/SCEMF-ISN</v>
      </c>
      <c r="DU8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8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8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7" s="1" t="str">
        <f>_xlfn.XLOOKUP(OfficeForms.Table[[#This Row],[CHAVE LINK POLO]],'[1]Quadro Geral de Lotação'!$B:$B,'[1]Quadro Geral de Lotação'!$I:$I)</f>
        <v>Fabio Junior da Rosa</v>
      </c>
      <c r="DY87" s="1" t="str">
        <f>OfficeForms.Table[[#This Row],[Selecione a Ordem de Disciplina]]</f>
        <v>Ordem 1</v>
      </c>
    </row>
    <row r="88" spans="1:129" ht="34.15" customHeight="1">
      <c r="A88" s="1">
        <v>88</v>
      </c>
      <c r="B88" s="2">
        <v>46083.783958333297</v>
      </c>
      <c r="C88" s="2">
        <v>46083.785486111097</v>
      </c>
      <c r="D88" s="3" t="s">
        <v>221</v>
      </c>
      <c r="E88" s="3" t="s">
        <v>222</v>
      </c>
      <c r="G88" s="3"/>
      <c r="I88" s="3" t="s">
        <v>223</v>
      </c>
      <c r="K88" s="3"/>
      <c r="L88" s="1" t="s">
        <v>132</v>
      </c>
      <c r="O88" s="3" t="s">
        <v>184</v>
      </c>
      <c r="Q88" s="3"/>
      <c r="R88" s="3"/>
      <c r="T88" s="3"/>
      <c r="U88" s="5"/>
      <c r="W88" s="3"/>
      <c r="Z88" s="3"/>
      <c r="AA88" s="3"/>
      <c r="AC88" s="3"/>
      <c r="AD88" s="3"/>
      <c r="AF88" s="3"/>
      <c r="AG88" s="3" t="s">
        <v>322</v>
      </c>
      <c r="AI88" s="3"/>
      <c r="AJ88" s="1">
        <v>46076</v>
      </c>
      <c r="AL88" s="3"/>
      <c r="AM88" s="1">
        <v>1</v>
      </c>
      <c r="AO88" s="3"/>
      <c r="AP88" s="3" t="s">
        <v>478</v>
      </c>
      <c r="AR88" s="3"/>
      <c r="AS88" s="3" t="s">
        <v>479</v>
      </c>
      <c r="AU88" s="3"/>
      <c r="AV88" s="3"/>
      <c r="AX88" s="3"/>
      <c r="AY88" s="5"/>
      <c r="BA88" s="3"/>
      <c r="BD88" s="3"/>
      <c r="BE88" s="3"/>
      <c r="BG88" s="3"/>
      <c r="BH88" s="3"/>
      <c r="BJ88" s="3"/>
      <c r="BK88" s="3"/>
      <c r="BM88" s="3"/>
      <c r="BN88" s="5"/>
      <c r="BP88" s="3"/>
      <c r="BS88" s="3"/>
      <c r="BT88" s="3"/>
      <c r="BV88" s="3"/>
      <c r="BW88" s="3"/>
      <c r="BY88" s="3"/>
      <c r="BZ88" s="3"/>
      <c r="CB88" s="3"/>
      <c r="CC88" s="5"/>
      <c r="CE88" s="3"/>
      <c r="CH88" s="3"/>
      <c r="CI88" s="3"/>
      <c r="CK88" s="3"/>
      <c r="CL88" s="3"/>
      <c r="CN88" s="3"/>
      <c r="CO88" s="3"/>
      <c r="CQ88" s="3"/>
      <c r="CR88" s="5"/>
      <c r="CT88" s="3"/>
      <c r="CW88" s="3"/>
      <c r="CX88" s="3"/>
      <c r="CZ88" s="3"/>
      <c r="DA88" s="3"/>
      <c r="DC88" s="3"/>
      <c r="DD88" s="3"/>
      <c r="DF88" s="3"/>
      <c r="DG88" s="5"/>
      <c r="DI88" s="3"/>
      <c r="DL88" s="3"/>
      <c r="DM88" s="3"/>
      <c r="DO88" s="3"/>
      <c r="DP88" s="3"/>
      <c r="DR88" s="3"/>
      <c r="DS88" s="1" t="str">
        <f>_xlfn.XLOOKUP(OfficeForms.Table[[#This Row],[Selecione a Categoria do Laboratório desta atividade prática:]],Planilha1!A:A,Planilha1!B:B)</f>
        <v>EMF-ISN</v>
      </c>
      <c r="DT88" s="1" t="str">
        <f>CONCATENATE(OfficeForms.Table[[#This Row],[Selecione seu Polo Laboratório de Atividades Presenciais:]],OfficeForms.Table[[#This Row],[CHAVE CONVERSÃO]])</f>
        <v>Presidente Prudente/SP - Jardim GuanabaraEMF-ISN</v>
      </c>
      <c r="DU8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8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8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8" s="1" t="str">
        <f>_xlfn.XLOOKUP(OfficeForms.Table[[#This Row],[CHAVE LINK POLO]],'[1]Quadro Geral de Lotação'!$B:$B,'[1]Quadro Geral de Lotação'!$I:$I)</f>
        <v>Aquiles Gonzales De Andrade</v>
      </c>
      <c r="DY88" s="1" t="str">
        <f>OfficeForms.Table[[#This Row],[Selecione a Ordem de Disciplina]]</f>
        <v>Ordem 1</v>
      </c>
    </row>
    <row r="89" spans="1:129" ht="34.15" customHeight="1">
      <c r="A89" s="1">
        <v>89</v>
      </c>
      <c r="B89" s="2">
        <v>46083.827650462998</v>
      </c>
      <c r="C89" s="2">
        <v>46083.829803240696</v>
      </c>
      <c r="D89" s="3" t="s">
        <v>480</v>
      </c>
      <c r="E89" s="3" t="s">
        <v>481</v>
      </c>
      <c r="G89" s="3"/>
      <c r="I89" s="3" t="s">
        <v>482</v>
      </c>
      <c r="K89" s="3"/>
      <c r="L89" s="1" t="s">
        <v>132</v>
      </c>
      <c r="O89" s="3" t="s">
        <v>184</v>
      </c>
      <c r="Q89" s="3"/>
      <c r="R89" s="3"/>
      <c r="T89" s="3"/>
      <c r="U89" s="5"/>
      <c r="W89" s="3"/>
      <c r="Z89" s="3"/>
      <c r="AA89" s="3"/>
      <c r="AC89" s="3"/>
      <c r="AD89" s="3"/>
      <c r="AF89" s="3"/>
      <c r="AG89" s="3" t="s">
        <v>185</v>
      </c>
      <c r="AI89" s="3"/>
      <c r="AJ89" s="1">
        <v>46076</v>
      </c>
      <c r="AL89" s="3"/>
      <c r="AM89" s="1">
        <v>1</v>
      </c>
      <c r="AO89" s="3"/>
      <c r="AP89" s="3" t="s">
        <v>483</v>
      </c>
      <c r="AR89" s="3"/>
      <c r="AS89" s="3" t="s">
        <v>484</v>
      </c>
      <c r="AU89" s="3"/>
      <c r="AV89" s="3"/>
      <c r="AX89" s="3"/>
      <c r="AY89" s="5"/>
      <c r="BA89" s="3"/>
      <c r="BD89" s="3"/>
      <c r="BE89" s="3"/>
      <c r="BG89" s="3"/>
      <c r="BH89" s="3"/>
      <c r="BJ89" s="3"/>
      <c r="BK89" s="3"/>
      <c r="BM89" s="3"/>
      <c r="BN89" s="5"/>
      <c r="BP89" s="3"/>
      <c r="BS89" s="3"/>
      <c r="BT89" s="3"/>
      <c r="BV89" s="3"/>
      <c r="BW89" s="3"/>
      <c r="BY89" s="3"/>
      <c r="BZ89" s="3"/>
      <c r="CB89" s="3"/>
      <c r="CC89" s="5"/>
      <c r="CE89" s="3"/>
      <c r="CH89" s="3"/>
      <c r="CI89" s="3"/>
      <c r="CK89" s="3"/>
      <c r="CL89" s="3"/>
      <c r="CN89" s="3"/>
      <c r="CO89" s="3"/>
      <c r="CQ89" s="3"/>
      <c r="CR89" s="5"/>
      <c r="CT89" s="3"/>
      <c r="CW89" s="3"/>
      <c r="CX89" s="3"/>
      <c r="CZ89" s="3"/>
      <c r="DA89" s="3"/>
      <c r="DC89" s="3"/>
      <c r="DD89" s="3"/>
      <c r="DF89" s="3"/>
      <c r="DG89" s="5"/>
      <c r="DI89" s="3"/>
      <c r="DL89" s="3"/>
      <c r="DM89" s="3"/>
      <c r="DO89" s="3"/>
      <c r="DP89" s="3"/>
      <c r="DR89" s="3"/>
      <c r="DS89" s="1" t="str">
        <f>_xlfn.XLOOKUP(OfficeForms.Table[[#This Row],[Selecione a Categoria do Laboratório desta atividade prática:]],Planilha1!A:A,Planilha1!B:B)</f>
        <v>EMF-ISN</v>
      </c>
      <c r="DT89" s="1" t="str">
        <f>CONCATENATE(OfficeForms.Table[[#This Row],[Selecione seu Polo Laboratório de Atividades Presenciais:]],OfficeForms.Table[[#This Row],[CHAVE CONVERSÃO]])</f>
        <v>Três Lagoas/MSEMF-ISN</v>
      </c>
      <c r="DU8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8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8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9" s="1" t="str">
        <f>_xlfn.XLOOKUP(OfficeForms.Table[[#This Row],[CHAVE LINK POLO]],'[1]Quadro Geral de Lotação'!$B:$B,'[1]Quadro Geral de Lotação'!$I:$I)</f>
        <v>Gilberto Dellai Filho</v>
      </c>
      <c r="DY89" s="1" t="str">
        <f>OfficeForms.Table[[#This Row],[Selecione a Ordem de Disciplina]]</f>
        <v>Ordem 1</v>
      </c>
    </row>
    <row r="90" spans="1:129" ht="34.15" customHeight="1">
      <c r="A90" s="1">
        <v>90</v>
      </c>
      <c r="B90" s="2">
        <v>46083.830393518503</v>
      </c>
      <c r="C90" s="2">
        <v>46083.831111111103</v>
      </c>
      <c r="D90" s="3" t="s">
        <v>480</v>
      </c>
      <c r="E90" s="3" t="s">
        <v>481</v>
      </c>
      <c r="G90" s="3"/>
      <c r="I90" s="3" t="s">
        <v>482</v>
      </c>
      <c r="K90" s="3"/>
      <c r="L90" s="1" t="s">
        <v>132</v>
      </c>
      <c r="O90" s="3" t="s">
        <v>184</v>
      </c>
      <c r="Q90" s="3"/>
      <c r="R90" s="3"/>
      <c r="T90" s="3"/>
      <c r="U90" s="5"/>
      <c r="W90" s="3"/>
      <c r="Z90" s="3"/>
      <c r="AA90" s="3"/>
      <c r="AC90" s="3"/>
      <c r="AD90" s="3"/>
      <c r="AF90" s="3"/>
      <c r="AG90" s="3" t="s">
        <v>206</v>
      </c>
      <c r="AI90" s="3"/>
      <c r="AJ90" s="1">
        <v>46076</v>
      </c>
      <c r="AL90" s="3"/>
      <c r="AM90" s="1">
        <v>1</v>
      </c>
      <c r="AO90" s="3"/>
      <c r="AP90" s="3" t="s">
        <v>485</v>
      </c>
      <c r="AR90" s="3"/>
      <c r="AS90" s="3" t="s">
        <v>486</v>
      </c>
      <c r="AU90" s="3"/>
      <c r="AV90" s="3"/>
      <c r="AX90" s="3"/>
      <c r="AY90" s="5"/>
      <c r="BA90" s="3"/>
      <c r="BD90" s="3"/>
      <c r="BE90" s="3"/>
      <c r="BG90" s="3"/>
      <c r="BH90" s="3"/>
      <c r="BJ90" s="3"/>
      <c r="BK90" s="3"/>
      <c r="BM90" s="3"/>
      <c r="BN90" s="5"/>
      <c r="BP90" s="3"/>
      <c r="BS90" s="3"/>
      <c r="BT90" s="3"/>
      <c r="BV90" s="3"/>
      <c r="BW90" s="3"/>
      <c r="BY90" s="3"/>
      <c r="BZ90" s="3"/>
      <c r="CB90" s="3"/>
      <c r="CC90" s="5"/>
      <c r="CE90" s="3"/>
      <c r="CH90" s="3"/>
      <c r="CI90" s="3"/>
      <c r="CK90" s="3"/>
      <c r="CL90" s="3"/>
      <c r="CN90" s="3"/>
      <c r="CO90" s="3"/>
      <c r="CQ90" s="3"/>
      <c r="CR90" s="5"/>
      <c r="CT90" s="3"/>
      <c r="CW90" s="3"/>
      <c r="CX90" s="3"/>
      <c r="CZ90" s="3"/>
      <c r="DA90" s="3"/>
      <c r="DC90" s="3"/>
      <c r="DD90" s="3"/>
      <c r="DF90" s="3"/>
      <c r="DG90" s="5"/>
      <c r="DI90" s="3"/>
      <c r="DL90" s="3"/>
      <c r="DM90" s="3"/>
      <c r="DO90" s="3"/>
      <c r="DP90" s="3"/>
      <c r="DR90" s="3"/>
      <c r="DS90" s="1" t="str">
        <f>_xlfn.XLOOKUP(OfficeForms.Table[[#This Row],[Selecione a Categoria do Laboratório desta atividade prática:]],Planilha1!A:A,Planilha1!B:B)</f>
        <v>EMF-ISN</v>
      </c>
      <c r="DT90" s="1" t="str">
        <f>CONCATENATE(OfficeForms.Table[[#This Row],[Selecione seu Polo Laboratório de Atividades Presenciais:]],OfficeForms.Table[[#This Row],[CHAVE CONVERSÃO]])</f>
        <v>Três Lagoas/MSEMF-ISN</v>
      </c>
      <c r="DU9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9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9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90" s="1" t="str">
        <f>_xlfn.XLOOKUP(OfficeForms.Table[[#This Row],[CHAVE LINK POLO]],'[1]Quadro Geral de Lotação'!$B:$B,'[1]Quadro Geral de Lotação'!$I:$I)</f>
        <v>Gilberto Dellai Filho</v>
      </c>
      <c r="DY90" s="1" t="str">
        <f>OfficeForms.Table[[#This Row],[Selecione a Ordem de Disciplina]]</f>
        <v>Ordem 1</v>
      </c>
    </row>
    <row r="91" spans="1:129" ht="34.15" customHeight="1">
      <c r="A91" s="1">
        <v>91</v>
      </c>
      <c r="B91" s="2">
        <v>46083.877685185202</v>
      </c>
      <c r="C91" s="2">
        <v>46083.889259259297</v>
      </c>
      <c r="D91" s="3" t="s">
        <v>352</v>
      </c>
      <c r="E91" s="3" t="s">
        <v>353</v>
      </c>
      <c r="G91" s="3"/>
      <c r="I91" s="3" t="s">
        <v>354</v>
      </c>
      <c r="K91" s="3"/>
      <c r="L91" s="1" t="s">
        <v>132</v>
      </c>
      <c r="O91" s="3" t="s">
        <v>184</v>
      </c>
      <c r="Q91" s="3"/>
      <c r="R91" s="3"/>
      <c r="T91" s="3"/>
      <c r="U91" s="5"/>
      <c r="W91" s="3"/>
      <c r="Z91" s="3"/>
      <c r="AA91" s="3"/>
      <c r="AC91" s="3"/>
      <c r="AD91" s="3"/>
      <c r="AF91" s="3"/>
      <c r="AG91" s="3" t="s">
        <v>487</v>
      </c>
      <c r="AI91" s="3"/>
      <c r="AJ91" s="1">
        <v>46083</v>
      </c>
      <c r="AL91" s="3"/>
      <c r="AM91" s="1">
        <v>6</v>
      </c>
      <c r="AO91" s="3"/>
      <c r="AP91" s="3" t="s">
        <v>488</v>
      </c>
      <c r="AR91" s="3"/>
      <c r="AS91" s="3" t="s">
        <v>489</v>
      </c>
      <c r="AU91" s="3"/>
      <c r="AV91" s="3"/>
      <c r="AX91" s="3"/>
      <c r="AY91" s="5"/>
      <c r="BA91" s="3"/>
      <c r="BD91" s="3"/>
      <c r="BE91" s="3"/>
      <c r="BG91" s="3"/>
      <c r="BH91" s="3"/>
      <c r="BJ91" s="3"/>
      <c r="BK91" s="3"/>
      <c r="BM91" s="3"/>
      <c r="BN91" s="5"/>
      <c r="BP91" s="3"/>
      <c r="BS91" s="3"/>
      <c r="BT91" s="3"/>
      <c r="BV91" s="3"/>
      <c r="BW91" s="3"/>
      <c r="BY91" s="3"/>
      <c r="BZ91" s="3"/>
      <c r="CB91" s="3"/>
      <c r="CC91" s="5"/>
      <c r="CE91" s="3"/>
      <c r="CH91" s="3"/>
      <c r="CI91" s="3"/>
      <c r="CK91" s="3"/>
      <c r="CL91" s="3"/>
      <c r="CN91" s="3"/>
      <c r="CO91" s="3"/>
      <c r="CQ91" s="3"/>
      <c r="CR91" s="5"/>
      <c r="CT91" s="3"/>
      <c r="CW91" s="3"/>
      <c r="CX91" s="3"/>
      <c r="CZ91" s="3"/>
      <c r="DA91" s="3"/>
      <c r="DC91" s="3"/>
      <c r="DD91" s="3"/>
      <c r="DF91" s="3"/>
      <c r="DG91" s="5"/>
      <c r="DI91" s="3"/>
      <c r="DL91" s="3"/>
      <c r="DM91" s="3"/>
      <c r="DO91" s="3"/>
      <c r="DP91" s="3"/>
      <c r="DR91" s="3"/>
      <c r="DS91" s="1" t="str">
        <f>_xlfn.XLOOKUP(OfficeForms.Table[[#This Row],[Selecione a Categoria do Laboratório desta atividade prática:]],Planilha1!A:A,Planilha1!B:B)</f>
        <v>EMF-ISN</v>
      </c>
      <c r="DT91" s="1" t="str">
        <f>CONCATENATE(OfficeForms.Table[[#This Row],[Selecione seu Polo Laboratório de Atividades Presenciais:]],OfficeForms.Table[[#This Row],[CHAVE CONVERSÃO]])</f>
        <v>São Gonçalo/RJ - Partage ShoppingEMF-ISN</v>
      </c>
      <c r="DU9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gravídico-puerperal;Trabalho de parto natural + Emergências obstétricas</v>
      </c>
      <c r="DV9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9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91" s="1" t="str">
        <f>_xlfn.XLOOKUP(OfficeForms.Table[[#This Row],[CHAVE LINK POLO]],'[1]Quadro Geral de Lotação'!$B:$B,'[1]Quadro Geral de Lotação'!$I:$I)</f>
        <v>William Da Silva Coimbra</v>
      </c>
      <c r="DY91" s="1" t="str">
        <f>OfficeForms.Table[[#This Row],[Selecione a Ordem de Disciplina]]</f>
        <v>Ordem 1</v>
      </c>
    </row>
    <row r="92" spans="1:129" ht="34.15" customHeight="1">
      <c r="A92" s="1">
        <v>92</v>
      </c>
      <c r="B92" s="2">
        <v>46083.901469907403</v>
      </c>
      <c r="C92" s="2">
        <v>46083.902291666702</v>
      </c>
      <c r="D92" s="3" t="s">
        <v>480</v>
      </c>
      <c r="E92" s="3" t="s">
        <v>481</v>
      </c>
      <c r="G92" s="3"/>
      <c r="I92" s="3" t="s">
        <v>482</v>
      </c>
      <c r="K92" s="3"/>
      <c r="L92" s="1" t="s">
        <v>132</v>
      </c>
      <c r="O92" s="3" t="s">
        <v>184</v>
      </c>
      <c r="Q92" s="3"/>
      <c r="R92" s="3"/>
      <c r="T92" s="3"/>
      <c r="U92" s="5"/>
      <c r="W92" s="3"/>
      <c r="Z92" s="3"/>
      <c r="AA92" s="3"/>
      <c r="AC92" s="3"/>
      <c r="AD92" s="3"/>
      <c r="AF92" s="3"/>
      <c r="AG92" s="3" t="s">
        <v>316</v>
      </c>
      <c r="AI92" s="3"/>
      <c r="AJ92" s="1">
        <v>46083</v>
      </c>
      <c r="AL92" s="3"/>
      <c r="AM92" s="1">
        <v>0</v>
      </c>
      <c r="AO92" s="3"/>
      <c r="AP92" s="3" t="s">
        <v>490</v>
      </c>
      <c r="AR92" s="3"/>
      <c r="AS92" s="3" t="s">
        <v>491</v>
      </c>
      <c r="AU92" s="3"/>
      <c r="AV92" s="3"/>
      <c r="AX92" s="3"/>
      <c r="AY92" s="5"/>
      <c r="BA92" s="3"/>
      <c r="BD92" s="3"/>
      <c r="BE92" s="3"/>
      <c r="BG92" s="3"/>
      <c r="BH92" s="3"/>
      <c r="BJ92" s="3"/>
      <c r="BK92" s="3"/>
      <c r="BM92" s="3"/>
      <c r="BN92" s="5"/>
      <c r="BP92" s="3"/>
      <c r="BS92" s="3"/>
      <c r="BT92" s="3"/>
      <c r="BV92" s="3"/>
      <c r="BW92" s="3"/>
      <c r="BY92" s="3"/>
      <c r="BZ92" s="3"/>
      <c r="CB92" s="3"/>
      <c r="CC92" s="5"/>
      <c r="CE92" s="3"/>
      <c r="CH92" s="3"/>
      <c r="CI92" s="3"/>
      <c r="CK92" s="3"/>
      <c r="CL92" s="3"/>
      <c r="CN92" s="3"/>
      <c r="CO92" s="3"/>
      <c r="CQ92" s="3"/>
      <c r="CR92" s="5"/>
      <c r="CT92" s="3"/>
      <c r="CW92" s="3"/>
      <c r="CX92" s="3"/>
      <c r="CZ92" s="3"/>
      <c r="DA92" s="3"/>
      <c r="DC92" s="3"/>
      <c r="DD92" s="3"/>
      <c r="DF92" s="3"/>
      <c r="DG92" s="5"/>
      <c r="DI92" s="3"/>
      <c r="DL92" s="3"/>
      <c r="DM92" s="3"/>
      <c r="DO92" s="3"/>
      <c r="DP92" s="3"/>
      <c r="DR92" s="3"/>
      <c r="DS92" s="1" t="str">
        <f>_xlfn.XLOOKUP(OfficeForms.Table[[#This Row],[Selecione a Categoria do Laboratório desta atividade prática:]],Planilha1!A:A,Planilha1!B:B)</f>
        <v>EMF-ISN</v>
      </c>
      <c r="DT92" s="1" t="str">
        <f>CONCATENATE(OfficeForms.Table[[#This Row],[Selecione seu Polo Laboratório de Atividades Presenciais:]],OfficeForms.Table[[#This Row],[CHAVE CONVERSÃO]])</f>
        <v>Três Lagoas/MSEMF-ISN</v>
      </c>
      <c r="DU9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9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9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92" s="1" t="str">
        <f>_xlfn.XLOOKUP(OfficeForms.Table[[#This Row],[CHAVE LINK POLO]],'[1]Quadro Geral de Lotação'!$B:$B,'[1]Quadro Geral de Lotação'!$I:$I)</f>
        <v>Gilberto Dellai Filho</v>
      </c>
      <c r="DY92" s="1" t="str">
        <f>OfficeForms.Table[[#This Row],[Selecione a Ordem de Disciplina]]</f>
        <v>Ordem 1</v>
      </c>
    </row>
    <row r="93" spans="1:129" ht="34.15" customHeight="1">
      <c r="A93" s="1">
        <v>93</v>
      </c>
      <c r="B93" s="2">
        <v>46083.902430555601</v>
      </c>
      <c r="C93" s="2">
        <v>46083.903761574104</v>
      </c>
      <c r="D93" s="3" t="s">
        <v>480</v>
      </c>
      <c r="E93" s="3" t="s">
        <v>481</v>
      </c>
      <c r="G93" s="3"/>
      <c r="I93" s="3" t="s">
        <v>482</v>
      </c>
      <c r="K93" s="3"/>
      <c r="L93" s="1" t="s">
        <v>132</v>
      </c>
      <c r="O93" s="3" t="s">
        <v>184</v>
      </c>
      <c r="Q93" s="3"/>
      <c r="R93" s="3"/>
      <c r="T93" s="3"/>
      <c r="U93" s="5"/>
      <c r="W93" s="3"/>
      <c r="Z93" s="3"/>
      <c r="AA93" s="3"/>
      <c r="AC93" s="3"/>
      <c r="AD93" s="3"/>
      <c r="AF93" s="3"/>
      <c r="AG93" s="3" t="s">
        <v>414</v>
      </c>
      <c r="AI93" s="3"/>
      <c r="AJ93" s="1">
        <v>46083</v>
      </c>
      <c r="AL93" s="3"/>
      <c r="AM93" s="1">
        <v>0</v>
      </c>
      <c r="AO93" s="3"/>
      <c r="AP93" s="3" t="s">
        <v>492</v>
      </c>
      <c r="AR93" s="3"/>
      <c r="AS93" s="3" t="s">
        <v>493</v>
      </c>
      <c r="AU93" s="3"/>
      <c r="AV93" s="3"/>
      <c r="AX93" s="3"/>
      <c r="AY93" s="5"/>
      <c r="BA93" s="3"/>
      <c r="BD93" s="3"/>
      <c r="BE93" s="3"/>
      <c r="BG93" s="3"/>
      <c r="BH93" s="3"/>
      <c r="BJ93" s="3"/>
      <c r="BK93" s="3"/>
      <c r="BM93" s="3"/>
      <c r="BN93" s="5"/>
      <c r="BP93" s="3"/>
      <c r="BS93" s="3"/>
      <c r="BT93" s="3"/>
      <c r="BV93" s="3"/>
      <c r="BW93" s="3"/>
      <c r="BY93" s="3"/>
      <c r="BZ93" s="3"/>
      <c r="CB93" s="3"/>
      <c r="CC93" s="5"/>
      <c r="CE93" s="3"/>
      <c r="CH93" s="3"/>
      <c r="CI93" s="3"/>
      <c r="CK93" s="3"/>
      <c r="CL93" s="3"/>
      <c r="CN93" s="3"/>
      <c r="CO93" s="3"/>
      <c r="CQ93" s="3"/>
      <c r="CR93" s="5"/>
      <c r="CT93" s="3"/>
      <c r="CW93" s="3"/>
      <c r="CX93" s="3"/>
      <c r="CZ93" s="3"/>
      <c r="DA93" s="3"/>
      <c r="DC93" s="3"/>
      <c r="DD93" s="3"/>
      <c r="DF93" s="3"/>
      <c r="DG93" s="5"/>
      <c r="DI93" s="3"/>
      <c r="DL93" s="3"/>
      <c r="DM93" s="3"/>
      <c r="DO93" s="3"/>
      <c r="DP93" s="3"/>
      <c r="DR93" s="3"/>
      <c r="DS93" s="1" t="str">
        <f>_xlfn.XLOOKUP(OfficeForms.Table[[#This Row],[Selecione a Categoria do Laboratório desta atividade prática:]],Planilha1!A:A,Planilha1!B:B)</f>
        <v>EMF-ISN</v>
      </c>
      <c r="DT93" s="1" t="str">
        <f>CONCATENATE(OfficeForms.Table[[#This Row],[Selecione seu Polo Laboratório de Atividades Presenciais:]],OfficeForms.Table[[#This Row],[CHAVE CONVERSÃO]])</f>
        <v>Três Lagoas/MSEMF-ISN</v>
      </c>
      <c r="DU9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9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9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93" s="1" t="str">
        <f>_xlfn.XLOOKUP(OfficeForms.Table[[#This Row],[CHAVE LINK POLO]],'[1]Quadro Geral de Lotação'!$B:$B,'[1]Quadro Geral de Lotação'!$I:$I)</f>
        <v>Gilberto Dellai Filho</v>
      </c>
      <c r="DY93" s="1" t="str">
        <f>OfficeForms.Table[[#This Row],[Selecione a Ordem de Disciplina]]</f>
        <v>Ordem 1</v>
      </c>
    </row>
    <row r="94" spans="1:129" ht="34.15" customHeight="1">
      <c r="A94" s="1">
        <v>94</v>
      </c>
      <c r="B94" s="2">
        <v>46083.917881944399</v>
      </c>
      <c r="C94" s="2">
        <v>46083.9313078704</v>
      </c>
      <c r="D94" s="3" t="s">
        <v>494</v>
      </c>
      <c r="E94" s="3" t="s">
        <v>495</v>
      </c>
      <c r="G94" s="3"/>
      <c r="I94" s="3" t="s">
        <v>496</v>
      </c>
      <c r="K94" s="3"/>
      <c r="L94" s="1" t="s">
        <v>132</v>
      </c>
      <c r="O94" s="3" t="s">
        <v>497</v>
      </c>
      <c r="Q94" s="3"/>
      <c r="R94" s="3" t="s">
        <v>498</v>
      </c>
      <c r="T94" s="3"/>
      <c r="U94" s="5">
        <v>46074</v>
      </c>
      <c r="W94" s="3"/>
      <c r="X94" s="1">
        <v>5</v>
      </c>
      <c r="Z94" s="3"/>
      <c r="AA94" s="3" t="s">
        <v>499</v>
      </c>
      <c r="AC94" s="3"/>
      <c r="AD94" s="3" t="s">
        <v>500</v>
      </c>
      <c r="AF94" s="3"/>
      <c r="AG94" s="3"/>
      <c r="AI94" s="3"/>
      <c r="AJ94" s="1"/>
      <c r="AL94" s="3"/>
      <c r="AO94" s="3"/>
      <c r="AP94" s="3"/>
      <c r="AR94" s="3"/>
      <c r="AS94" s="3"/>
      <c r="AU94" s="3"/>
      <c r="AV94" s="3"/>
      <c r="AX94" s="3"/>
      <c r="AY94" s="5"/>
      <c r="BA94" s="3"/>
      <c r="BD94" s="3"/>
      <c r="BE94" s="3"/>
      <c r="BG94" s="3"/>
      <c r="BH94" s="3"/>
      <c r="BJ94" s="3"/>
      <c r="BK94" s="3"/>
      <c r="BM94" s="3"/>
      <c r="BN94" s="5"/>
      <c r="BP94" s="3"/>
      <c r="BS94" s="3"/>
      <c r="BT94" s="3"/>
      <c r="BV94" s="3"/>
      <c r="BW94" s="3"/>
      <c r="BY94" s="3"/>
      <c r="BZ94" s="3"/>
      <c r="CB94" s="3"/>
      <c r="CC94" s="5"/>
      <c r="CE94" s="3"/>
      <c r="CH94" s="3"/>
      <c r="CI94" s="3"/>
      <c r="CK94" s="3"/>
      <c r="CL94" s="3"/>
      <c r="CN94" s="3"/>
      <c r="CO94" s="3"/>
      <c r="CQ94" s="3"/>
      <c r="CR94" s="5"/>
      <c r="CT94" s="3"/>
      <c r="CW94" s="3"/>
      <c r="CX94" s="3"/>
      <c r="CZ94" s="3"/>
      <c r="DA94" s="3"/>
      <c r="DC94" s="3"/>
      <c r="DD94" s="3"/>
      <c r="DF94" s="3"/>
      <c r="DG94" s="5"/>
      <c r="DI94" s="3"/>
      <c r="DL94" s="3"/>
      <c r="DM94" s="3"/>
      <c r="DO94" s="3"/>
      <c r="DP94" s="3"/>
      <c r="DR94" s="3"/>
      <c r="DS94" s="1" t="str">
        <f>_xlfn.XLOOKUP(OfficeForms.Table[[#This Row],[Selecione a Categoria do Laboratório desta atividade prática:]],Planilha1!A:A,Planilha1!B:B)</f>
        <v>BFR-BBI</v>
      </c>
      <c r="DT94" s="1" t="str">
        <f>CONCATENATE(OfficeForms.Table[[#This Row],[Selecione seu Polo Laboratório de Atividades Presenciais:]],OfficeForms.Table[[#This Row],[CHAVE CONVERSÃO]])</f>
        <v>Campo Grande/MS - Santo AntonioBFR-BBI</v>
      </c>
      <c r="DU9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Coleta de Sangue</v>
      </c>
      <c r="DV9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9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94" s="1" t="e">
        <f>_xlfn.XLOOKUP(OfficeForms.Table[[#This Row],[CHAVE LINK POLO]],'[1]Quadro Geral de Lotação'!$B:$B,'[1]Quadro Geral de Lotação'!$I:$I)</f>
        <v>#N/A</v>
      </c>
      <c r="DY94" s="1" t="str">
        <f>OfficeForms.Table[[#This Row],[Selecione a Ordem de Disciplina]]</f>
        <v>Ordem 1</v>
      </c>
    </row>
    <row r="95" spans="1:129" ht="34.15" customHeight="1">
      <c r="A95" s="1">
        <v>95</v>
      </c>
      <c r="B95" s="2">
        <v>46083.9316203704</v>
      </c>
      <c r="C95" s="2">
        <v>46084.012812499997</v>
      </c>
      <c r="D95" s="3" t="s">
        <v>494</v>
      </c>
      <c r="E95" s="3" t="s">
        <v>495</v>
      </c>
      <c r="G95" s="3"/>
      <c r="I95" s="3" t="s">
        <v>496</v>
      </c>
      <c r="K95" s="3"/>
      <c r="L95" s="1" t="s">
        <v>132</v>
      </c>
      <c r="O95" s="3" t="s">
        <v>497</v>
      </c>
      <c r="Q95" s="3"/>
      <c r="R95" s="3" t="s">
        <v>501</v>
      </c>
      <c r="T95" s="3"/>
      <c r="U95" s="5">
        <v>46081</v>
      </c>
      <c r="W95" s="3"/>
      <c r="X95" s="1">
        <v>5</v>
      </c>
      <c r="Z95" s="3"/>
      <c r="AA95" s="3" t="s">
        <v>502</v>
      </c>
      <c r="AC95" s="3"/>
      <c r="AD95" s="3" t="s">
        <v>503</v>
      </c>
      <c r="AF95" s="3"/>
      <c r="AG95" s="3"/>
      <c r="AI95" s="3"/>
      <c r="AJ95" s="1"/>
      <c r="AL95" s="3"/>
      <c r="AO95" s="3"/>
      <c r="AP95" s="3"/>
      <c r="AR95" s="3"/>
      <c r="AS95" s="3"/>
      <c r="AU95" s="3"/>
      <c r="AV95" s="3"/>
      <c r="AX95" s="3"/>
      <c r="AY95" s="5"/>
      <c r="BA95" s="3"/>
      <c r="BD95" s="3"/>
      <c r="BE95" s="3"/>
      <c r="BG95" s="3"/>
      <c r="BH95" s="3"/>
      <c r="BJ95" s="3"/>
      <c r="BK95" s="3"/>
      <c r="BM95" s="3"/>
      <c r="BN95" s="5"/>
      <c r="BP95" s="3"/>
      <c r="BS95" s="3"/>
      <c r="BT95" s="3"/>
      <c r="BV95" s="3"/>
      <c r="BW95" s="3"/>
      <c r="BY95" s="3"/>
      <c r="BZ95" s="3"/>
      <c r="CB95" s="3"/>
      <c r="CC95" s="5"/>
      <c r="CE95" s="3"/>
      <c r="CH95" s="3"/>
      <c r="CI95" s="3"/>
      <c r="CK95" s="3"/>
      <c r="CL95" s="3"/>
      <c r="CN95" s="3"/>
      <c r="CO95" s="3"/>
      <c r="CQ95" s="3"/>
      <c r="CR95" s="5"/>
      <c r="CT95" s="3"/>
      <c r="CW95" s="3"/>
      <c r="CX95" s="3"/>
      <c r="CZ95" s="3"/>
      <c r="DA95" s="3"/>
      <c r="DC95" s="3"/>
      <c r="DD95" s="3"/>
      <c r="DF95" s="3"/>
      <c r="DG95" s="5"/>
      <c r="DI95" s="3"/>
      <c r="DL95" s="3"/>
      <c r="DM95" s="3"/>
      <c r="DO95" s="3"/>
      <c r="DP95" s="3"/>
      <c r="DR95" s="3"/>
      <c r="DS95" s="1" t="str">
        <f>_xlfn.XLOOKUP(OfficeForms.Table[[#This Row],[Selecione a Categoria do Laboratório desta atividade prática:]],Planilha1!A:A,Planilha1!B:B)</f>
        <v>BFR-BBI</v>
      </c>
      <c r="DT95" s="1" t="str">
        <f>CONCATENATE(OfficeForms.Table[[#This Row],[Selecione seu Polo Laboratório de Atividades Presenciais:]],OfficeForms.Table[[#This Row],[CHAVE CONVERSÃO]])</f>
        <v>Campo Grande/MS - Santo AntonioBFR-BBI</v>
      </c>
      <c r="DU9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Esfregaço e coloração de GRAM</v>
      </c>
      <c r="DV9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9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95" s="1" t="e">
        <f>_xlfn.XLOOKUP(OfficeForms.Table[[#This Row],[CHAVE LINK POLO]],'[1]Quadro Geral de Lotação'!$B:$B,'[1]Quadro Geral de Lotação'!$I:$I)</f>
        <v>#N/A</v>
      </c>
      <c r="DY95" s="1" t="str">
        <f>OfficeForms.Table[[#This Row],[Selecione a Ordem de Disciplina]]</f>
        <v>Ordem 1</v>
      </c>
    </row>
    <row r="96" spans="1:129" ht="34.15" customHeight="1">
      <c r="A96" s="1">
        <v>96</v>
      </c>
      <c r="B96" s="2">
        <v>46084.337326388901</v>
      </c>
      <c r="C96" s="2">
        <v>46084.3386342593</v>
      </c>
      <c r="D96" s="3" t="s">
        <v>221</v>
      </c>
      <c r="E96" s="3" t="s">
        <v>222</v>
      </c>
      <c r="G96" s="3"/>
      <c r="I96" s="3" t="s">
        <v>223</v>
      </c>
      <c r="K96" s="3"/>
      <c r="L96" s="1" t="s">
        <v>132</v>
      </c>
      <c r="O96" s="3" t="s">
        <v>184</v>
      </c>
      <c r="Q96" s="3"/>
      <c r="R96" s="3"/>
      <c r="T96" s="3"/>
      <c r="U96" s="5"/>
      <c r="W96" s="3"/>
      <c r="Z96" s="3"/>
      <c r="AA96" s="3"/>
      <c r="AC96" s="3"/>
      <c r="AD96" s="3"/>
      <c r="AF96" s="3"/>
      <c r="AG96" s="3" t="s">
        <v>194</v>
      </c>
      <c r="AI96" s="3"/>
      <c r="AJ96" s="1">
        <v>46083</v>
      </c>
      <c r="AL96" s="3"/>
      <c r="AM96" s="1">
        <v>0</v>
      </c>
      <c r="AO96" s="3"/>
      <c r="AP96" s="3" t="s">
        <v>504</v>
      </c>
      <c r="AR96" s="3"/>
      <c r="AS96" s="3" t="s">
        <v>505</v>
      </c>
      <c r="AU96" s="3"/>
      <c r="AV96" s="3"/>
      <c r="AX96" s="3"/>
      <c r="AY96" s="5"/>
      <c r="BA96" s="3"/>
      <c r="BD96" s="3"/>
      <c r="BE96" s="3"/>
      <c r="BG96" s="3"/>
      <c r="BH96" s="3"/>
      <c r="BJ96" s="3"/>
      <c r="BK96" s="3"/>
      <c r="BM96" s="3"/>
      <c r="BN96" s="5"/>
      <c r="BP96" s="3"/>
      <c r="BS96" s="3"/>
      <c r="BT96" s="3"/>
      <c r="BV96" s="3"/>
      <c r="BW96" s="3"/>
      <c r="BY96" s="3"/>
      <c r="BZ96" s="3"/>
      <c r="CB96" s="3"/>
      <c r="CC96" s="5"/>
      <c r="CE96" s="3"/>
      <c r="CH96" s="3"/>
      <c r="CI96" s="3"/>
      <c r="CK96" s="3"/>
      <c r="CL96" s="3"/>
      <c r="CN96" s="3"/>
      <c r="CO96" s="3"/>
      <c r="CQ96" s="3"/>
      <c r="CR96" s="5"/>
      <c r="CT96" s="3"/>
      <c r="CW96" s="3"/>
      <c r="CX96" s="3"/>
      <c r="CZ96" s="3"/>
      <c r="DA96" s="3"/>
      <c r="DC96" s="3"/>
      <c r="DD96" s="3"/>
      <c r="DF96" s="3"/>
      <c r="DG96" s="5"/>
      <c r="DI96" s="3"/>
      <c r="DL96" s="3"/>
      <c r="DM96" s="3"/>
      <c r="DO96" s="3"/>
      <c r="DP96" s="3"/>
      <c r="DR96" s="3"/>
      <c r="DS96" s="1" t="str">
        <f>_xlfn.XLOOKUP(OfficeForms.Table[[#This Row],[Selecione a Categoria do Laboratório desta atividade prática:]],Planilha1!A:A,Planilha1!B:B)</f>
        <v>EMF-ISN</v>
      </c>
      <c r="DT96" s="1" t="str">
        <f>CONCATENATE(OfficeForms.Table[[#This Row],[Selecione seu Polo Laboratório de Atividades Presenciais:]],OfficeForms.Table[[#This Row],[CHAVE CONVERSÃO]])</f>
        <v>Presidente Prudente/SP - Jardim GuanabaraEMF-ISN</v>
      </c>
      <c r="DU9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9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9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96" s="1" t="str">
        <f>_xlfn.XLOOKUP(OfficeForms.Table[[#This Row],[CHAVE LINK POLO]],'[1]Quadro Geral de Lotação'!$B:$B,'[1]Quadro Geral de Lotação'!$I:$I)</f>
        <v>Aquiles Gonzales De Andrade</v>
      </c>
      <c r="DY96" s="1" t="str">
        <f>OfficeForms.Table[[#This Row],[Selecione a Ordem de Disciplina]]</f>
        <v>Ordem 1</v>
      </c>
    </row>
    <row r="97" spans="1:129" ht="34.15" customHeight="1">
      <c r="A97" s="1">
        <v>97</v>
      </c>
      <c r="B97" s="2">
        <v>46084.446192129602</v>
      </c>
      <c r="C97" s="2">
        <v>46084.447928240697</v>
      </c>
      <c r="D97" s="3" t="s">
        <v>506</v>
      </c>
      <c r="E97" s="3" t="s">
        <v>507</v>
      </c>
      <c r="G97" s="3"/>
      <c r="I97" s="3" t="s">
        <v>508</v>
      </c>
      <c r="K97" s="3"/>
      <c r="L97" s="1" t="s">
        <v>132</v>
      </c>
      <c r="O97" s="3" t="s">
        <v>156</v>
      </c>
      <c r="Q97" s="3"/>
      <c r="R97" s="3"/>
      <c r="T97" s="3"/>
      <c r="U97" s="5"/>
      <c r="W97" s="3"/>
      <c r="Z97" s="3"/>
      <c r="AA97" s="3"/>
      <c r="AC97" s="3"/>
      <c r="AD97" s="3"/>
      <c r="AF97" s="3"/>
      <c r="AG97" s="3"/>
      <c r="AI97" s="3"/>
      <c r="AJ97" s="1"/>
      <c r="AL97" s="3"/>
      <c r="AO97" s="3"/>
      <c r="AP97" s="3"/>
      <c r="AR97" s="3"/>
      <c r="AS97" s="3"/>
      <c r="AU97" s="3"/>
      <c r="AV97" s="3"/>
      <c r="AX97" s="3"/>
      <c r="AY97" s="5"/>
      <c r="BA97" s="3"/>
      <c r="BD97" s="3"/>
      <c r="BE97" s="3"/>
      <c r="BG97" s="3"/>
      <c r="BH97" s="3"/>
      <c r="BJ97" s="3"/>
      <c r="BK97" s="3" t="s">
        <v>260</v>
      </c>
      <c r="BM97" s="3"/>
      <c r="BN97" s="5">
        <v>46077</v>
      </c>
      <c r="BP97" s="3"/>
      <c r="BQ97" s="1">
        <v>3</v>
      </c>
      <c r="BS97" s="3"/>
      <c r="BT97" s="3" t="s">
        <v>509</v>
      </c>
      <c r="BV97" s="3"/>
      <c r="BW97" s="3" t="s">
        <v>510</v>
      </c>
      <c r="BY97" s="3"/>
      <c r="BZ97" s="3"/>
      <c r="CB97" s="3"/>
      <c r="CC97" s="5"/>
      <c r="CE97" s="3"/>
      <c r="CH97" s="3"/>
      <c r="CI97" s="3"/>
      <c r="CK97" s="3"/>
      <c r="CL97" s="3"/>
      <c r="CN97" s="3"/>
      <c r="CO97" s="3"/>
      <c r="CQ97" s="3"/>
      <c r="CR97" s="5"/>
      <c r="CT97" s="3"/>
      <c r="CW97" s="3"/>
      <c r="CX97" s="3"/>
      <c r="CZ97" s="3"/>
      <c r="DA97" s="3"/>
      <c r="DC97" s="3"/>
      <c r="DD97" s="3"/>
      <c r="DF97" s="3"/>
      <c r="DG97" s="5"/>
      <c r="DI97" s="3"/>
      <c r="DL97" s="3"/>
      <c r="DM97" s="3"/>
      <c r="DO97" s="3"/>
      <c r="DP97" s="3"/>
      <c r="DR97" s="3"/>
      <c r="DS97" s="1" t="str">
        <f>_xlfn.XLOOKUP(OfficeForms.Table[[#This Row],[Selecione a Categoria do Laboratório desta atividade prática:]],Planilha1!A:A,Planilha1!B:B)</f>
        <v>NTR</v>
      </c>
      <c r="DT97" s="1" t="str">
        <f>CONCATENATE(OfficeForms.Table[[#This Row],[Selecione seu Polo Laboratório de Atividades Presenciais:]],OfficeForms.Table[[#This Row],[CHAVE CONVERSÃO]])</f>
        <v>Rondonópolis/MTNTR</v>
      </c>
      <c r="DU9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Terapia nutricional enteral e suplementação oral</v>
      </c>
      <c r="DV9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9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97" s="1" t="str">
        <f>_xlfn.XLOOKUP(OfficeForms.Table[[#This Row],[CHAVE LINK POLO]],'[1]Quadro Geral de Lotação'!$B:$B,'[1]Quadro Geral de Lotação'!$I:$I)</f>
        <v>Nathane Beatrys Dos Santos Ramos</v>
      </c>
      <c r="DY97" s="1" t="str">
        <f>OfficeForms.Table[[#This Row],[Selecione a Ordem de Disciplina]]</f>
        <v>Ordem 1</v>
      </c>
    </row>
    <row r="98" spans="1:129" ht="34.15" customHeight="1">
      <c r="A98" s="1">
        <v>98</v>
      </c>
      <c r="B98" s="2">
        <v>46084.727592592601</v>
      </c>
      <c r="C98" s="2">
        <v>46084.733171296299</v>
      </c>
      <c r="D98" s="3" t="s">
        <v>511</v>
      </c>
      <c r="E98" s="3" t="s">
        <v>512</v>
      </c>
      <c r="G98" s="3"/>
      <c r="I98" s="3" t="s">
        <v>513</v>
      </c>
      <c r="K98" s="3"/>
      <c r="L98" s="1" t="s">
        <v>132</v>
      </c>
      <c r="O98" s="3" t="s">
        <v>184</v>
      </c>
      <c r="Q98" s="3"/>
      <c r="R98" s="3"/>
      <c r="T98" s="3"/>
      <c r="U98" s="5"/>
      <c r="W98" s="3"/>
      <c r="Z98" s="3"/>
      <c r="AA98" s="3"/>
      <c r="AC98" s="3"/>
      <c r="AD98" s="3"/>
      <c r="AF98" s="3"/>
      <c r="AG98" s="3" t="s">
        <v>185</v>
      </c>
      <c r="AI98" s="3"/>
      <c r="AJ98" s="1">
        <v>46083</v>
      </c>
      <c r="AL98" s="3"/>
      <c r="AM98" s="1">
        <v>7</v>
      </c>
      <c r="AO98" s="3"/>
      <c r="AP98" s="3" t="s">
        <v>514</v>
      </c>
      <c r="AR98" s="3"/>
      <c r="AS98" s="3" t="s">
        <v>515</v>
      </c>
      <c r="AU98" s="3"/>
      <c r="AV98" s="3"/>
      <c r="AX98" s="3"/>
      <c r="AY98" s="5"/>
      <c r="BA98" s="3"/>
      <c r="BD98" s="3"/>
      <c r="BE98" s="3"/>
      <c r="BG98" s="3"/>
      <c r="BH98" s="3"/>
      <c r="BJ98" s="3"/>
      <c r="BK98" s="3"/>
      <c r="BM98" s="3"/>
      <c r="BN98" s="5"/>
      <c r="BP98" s="3"/>
      <c r="BS98" s="3"/>
      <c r="BT98" s="3"/>
      <c r="BV98" s="3"/>
      <c r="BW98" s="3"/>
      <c r="BY98" s="3"/>
      <c r="BZ98" s="3"/>
      <c r="CB98" s="3"/>
      <c r="CC98" s="5"/>
      <c r="CE98" s="3"/>
      <c r="CH98" s="3"/>
      <c r="CI98" s="3"/>
      <c r="CK98" s="3"/>
      <c r="CL98" s="3"/>
      <c r="CN98" s="3"/>
      <c r="CO98" s="3"/>
      <c r="CQ98" s="3"/>
      <c r="CR98" s="5"/>
      <c r="CT98" s="3"/>
      <c r="CW98" s="3"/>
      <c r="CX98" s="3"/>
      <c r="CZ98" s="3"/>
      <c r="DA98" s="3"/>
      <c r="DC98" s="3"/>
      <c r="DD98" s="3"/>
      <c r="DF98" s="3"/>
      <c r="DG98" s="5"/>
      <c r="DI98" s="3"/>
      <c r="DL98" s="3"/>
      <c r="DM98" s="3"/>
      <c r="DO98" s="3"/>
      <c r="DP98" s="3"/>
      <c r="DR98" s="3"/>
      <c r="DS98" s="1" t="str">
        <f>_xlfn.XLOOKUP(OfficeForms.Table[[#This Row],[Selecione a Categoria do Laboratório desta atividade prática:]],Planilha1!A:A,Planilha1!B:B)</f>
        <v>EMF-ISN</v>
      </c>
      <c r="DT98" s="1" t="str">
        <f>CONCATENATE(OfficeForms.Table[[#This Row],[Selecione seu Polo Laboratório de Atividades Presenciais:]],OfficeForms.Table[[#This Row],[CHAVE CONVERSÃO]])</f>
        <v>Aracaju/SE - Ponto NovoEMF-ISN</v>
      </c>
      <c r="DU9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9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9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98" s="1" t="str">
        <f>_xlfn.XLOOKUP(OfficeForms.Table[[#This Row],[CHAVE LINK POLO]],'[1]Quadro Geral de Lotação'!$B:$B,'[1]Quadro Geral de Lotação'!$I:$I)</f>
        <v>Caio Guilherme Santos Morais Oliveira</v>
      </c>
      <c r="DY98" s="1" t="str">
        <f>OfficeForms.Table[[#This Row],[Selecione a Ordem de Disciplina]]</f>
        <v>Ordem 1</v>
      </c>
    </row>
    <row r="99" spans="1:129" ht="34.15" customHeight="1">
      <c r="A99" s="1">
        <v>99</v>
      </c>
      <c r="B99" s="2">
        <v>46084.905555555597</v>
      </c>
      <c r="C99" s="2">
        <v>46084.914409722202</v>
      </c>
      <c r="D99" s="3" t="s">
        <v>191</v>
      </c>
      <c r="E99" s="3" t="s">
        <v>192</v>
      </c>
      <c r="G99" s="3"/>
      <c r="I99" s="3" t="s">
        <v>193</v>
      </c>
      <c r="K99" s="3"/>
      <c r="L99" s="1" t="s">
        <v>132</v>
      </c>
      <c r="O99" s="3" t="s">
        <v>184</v>
      </c>
      <c r="Q99" s="3"/>
      <c r="R99" s="3"/>
      <c r="T99" s="3"/>
      <c r="U99" s="5"/>
      <c r="W99" s="3"/>
      <c r="Z99" s="3"/>
      <c r="AA99" s="3"/>
      <c r="AC99" s="3"/>
      <c r="AD99" s="3"/>
      <c r="AF99" s="3"/>
      <c r="AG99" s="3" t="s">
        <v>414</v>
      </c>
      <c r="AI99" s="3"/>
      <c r="AJ99" s="1">
        <v>46084</v>
      </c>
      <c r="AL99" s="3"/>
      <c r="AM99" s="1">
        <v>4</v>
      </c>
      <c r="AO99" s="3"/>
      <c r="AP99" s="3" t="s">
        <v>516</v>
      </c>
      <c r="AR99" s="3"/>
      <c r="AS99" s="3" t="s">
        <v>517</v>
      </c>
      <c r="AU99" s="3"/>
      <c r="AV99" s="3"/>
      <c r="AX99" s="3"/>
      <c r="AY99" s="5"/>
      <c r="BA99" s="3"/>
      <c r="BD99" s="3"/>
      <c r="BE99" s="3"/>
      <c r="BG99" s="3"/>
      <c r="BH99" s="3"/>
      <c r="BJ99" s="3"/>
      <c r="BK99" s="3"/>
      <c r="BM99" s="3"/>
      <c r="BN99" s="5"/>
      <c r="BP99" s="3"/>
      <c r="BS99" s="3"/>
      <c r="BT99" s="3"/>
      <c r="BV99" s="3"/>
      <c r="BW99" s="3"/>
      <c r="BY99" s="3"/>
      <c r="BZ99" s="3"/>
      <c r="CB99" s="3"/>
      <c r="CC99" s="5"/>
      <c r="CE99" s="3"/>
      <c r="CH99" s="3"/>
      <c r="CI99" s="3"/>
      <c r="CK99" s="3"/>
      <c r="CL99" s="3"/>
      <c r="CN99" s="3"/>
      <c r="CO99" s="3"/>
      <c r="CQ99" s="3"/>
      <c r="CR99" s="5"/>
      <c r="CT99" s="3"/>
      <c r="CW99" s="3"/>
      <c r="CX99" s="3"/>
      <c r="CZ99" s="3"/>
      <c r="DA99" s="3"/>
      <c r="DC99" s="3"/>
      <c r="DD99" s="3"/>
      <c r="DF99" s="3"/>
      <c r="DG99" s="5"/>
      <c r="DI99" s="3"/>
      <c r="DL99" s="3"/>
      <c r="DM99" s="3"/>
      <c r="DO99" s="3"/>
      <c r="DP99" s="3"/>
      <c r="DR99" s="3"/>
      <c r="DS99" s="1" t="str">
        <f>_xlfn.XLOOKUP(OfficeForms.Table[[#This Row],[Selecione a Categoria do Laboratório desta atividade prática:]],Planilha1!A:A,Planilha1!B:B)</f>
        <v>EMF-ISN</v>
      </c>
      <c r="DT99" s="1" t="str">
        <f>CONCATENATE(OfficeForms.Table[[#This Row],[Selecione seu Polo Laboratório de Atividades Presenciais:]],OfficeForms.Table[[#This Row],[CHAVE CONVERSÃO]])</f>
        <v>Ananindeua/PA - Cidade NovaEMF-ISN</v>
      </c>
      <c r="DU9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9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9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99" s="1" t="str">
        <f>_xlfn.XLOOKUP(OfficeForms.Table[[#This Row],[CHAVE LINK POLO]],'[1]Quadro Geral de Lotação'!$B:$B,'[1]Quadro Geral de Lotação'!$I:$I)</f>
        <v>Alina Dariane Freitas Da Silva</v>
      </c>
      <c r="DY99" s="1" t="str">
        <f>OfficeForms.Table[[#This Row],[Selecione a Ordem de Disciplina]]</f>
        <v>Ordem 1</v>
      </c>
    </row>
    <row r="100" spans="1:129" ht="34.15" customHeight="1">
      <c r="A100" s="1">
        <v>100</v>
      </c>
      <c r="B100" s="2">
        <v>46085.344942129603</v>
      </c>
      <c r="C100" s="2">
        <v>46085.354571759301</v>
      </c>
      <c r="D100" s="3" t="s">
        <v>518</v>
      </c>
      <c r="E100" s="3" t="s">
        <v>519</v>
      </c>
      <c r="G100" s="3"/>
      <c r="I100" s="3" t="s">
        <v>155</v>
      </c>
      <c r="K100" s="3"/>
      <c r="L100" s="1" t="s">
        <v>132</v>
      </c>
      <c r="O100" s="3" t="s">
        <v>184</v>
      </c>
      <c r="Q100" s="3"/>
      <c r="R100" s="3"/>
      <c r="T100" s="3"/>
      <c r="U100" s="5"/>
      <c r="W100" s="3"/>
      <c r="Z100" s="3"/>
      <c r="AA100" s="3"/>
      <c r="AC100" s="3"/>
      <c r="AD100" s="3"/>
      <c r="AF100" s="3"/>
      <c r="AG100" s="3" t="s">
        <v>194</v>
      </c>
      <c r="AI100" s="3"/>
      <c r="AJ100" s="1">
        <v>46084</v>
      </c>
      <c r="AL100" s="3"/>
      <c r="AM100" s="1">
        <v>12</v>
      </c>
      <c r="AO100" s="3"/>
      <c r="AP100" s="3" t="s">
        <v>520</v>
      </c>
      <c r="AR100" s="3"/>
      <c r="AS100" s="3" t="s">
        <v>521</v>
      </c>
      <c r="AU100" s="3"/>
      <c r="AV100" s="3"/>
      <c r="AX100" s="3"/>
      <c r="AY100" s="5"/>
      <c r="BA100" s="3"/>
      <c r="BD100" s="3"/>
      <c r="BE100" s="3"/>
      <c r="BG100" s="3"/>
      <c r="BH100" s="3"/>
      <c r="BJ100" s="3"/>
      <c r="BK100" s="3"/>
      <c r="BM100" s="3"/>
      <c r="BN100" s="5"/>
      <c r="BP100" s="3"/>
      <c r="BS100" s="3"/>
      <c r="BT100" s="3"/>
      <c r="BV100" s="3"/>
      <c r="BW100" s="3"/>
      <c r="BY100" s="3"/>
      <c r="BZ100" s="3"/>
      <c r="CB100" s="3"/>
      <c r="CC100" s="5"/>
      <c r="CE100" s="3"/>
      <c r="CH100" s="3"/>
      <c r="CI100" s="3"/>
      <c r="CK100" s="3"/>
      <c r="CL100" s="3"/>
      <c r="CN100" s="3"/>
      <c r="CO100" s="3"/>
      <c r="CQ100" s="3"/>
      <c r="CR100" s="5"/>
      <c r="CT100" s="3"/>
      <c r="CW100" s="3"/>
      <c r="CX100" s="3"/>
      <c r="CZ100" s="3"/>
      <c r="DA100" s="3"/>
      <c r="DC100" s="3"/>
      <c r="DD100" s="3"/>
      <c r="DF100" s="3"/>
      <c r="DG100" s="5"/>
      <c r="DI100" s="3"/>
      <c r="DL100" s="3"/>
      <c r="DM100" s="3"/>
      <c r="DO100" s="3"/>
      <c r="DP100" s="3"/>
      <c r="DR100" s="3"/>
      <c r="DS100" s="1" t="str">
        <f>_xlfn.XLOOKUP(OfficeForms.Table[[#This Row],[Selecione a Categoria do Laboratório desta atividade prática:]],Planilha1!A:A,Planilha1!B:B)</f>
        <v>EMF-ISN</v>
      </c>
      <c r="DT100" s="1" t="str">
        <f>CONCATENATE(OfficeForms.Table[[#This Row],[Selecione seu Polo Laboratório de Atividades Presenciais:]],OfficeForms.Table[[#This Row],[CHAVE CONVERSÃO]])</f>
        <v>Novo Hamburgo/RS - CentroEMF-ISN</v>
      </c>
      <c r="DU10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0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0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100" s="1" t="str">
        <f>_xlfn.XLOOKUP(OfficeForms.Table[[#This Row],[CHAVE LINK POLO]],'[1]Quadro Geral de Lotação'!$B:$B,'[1]Quadro Geral de Lotação'!$I:$I)</f>
        <v>Francine Xavier Guterres</v>
      </c>
      <c r="DY100" s="1" t="str">
        <f>OfficeForms.Table[[#This Row],[Selecione a Ordem de Disciplina]]</f>
        <v>Ordem 1</v>
      </c>
    </row>
    <row r="101" spans="1:129" ht="34.15" customHeight="1">
      <c r="A101" s="1">
        <v>101</v>
      </c>
      <c r="B101" s="2">
        <v>46085.533692129597</v>
      </c>
      <c r="C101" s="2">
        <v>46085.552662037</v>
      </c>
      <c r="D101" s="3" t="s">
        <v>522</v>
      </c>
      <c r="E101" s="3" t="s">
        <v>523</v>
      </c>
      <c r="G101" s="3"/>
      <c r="I101" s="3" t="s">
        <v>308</v>
      </c>
      <c r="K101" s="3"/>
      <c r="L101" s="1" t="s">
        <v>132</v>
      </c>
      <c r="O101" s="3" t="s">
        <v>133</v>
      </c>
      <c r="Q101" s="3"/>
      <c r="R101" s="3"/>
      <c r="T101" s="3"/>
      <c r="U101" s="5"/>
      <c r="W101" s="3"/>
      <c r="Z101" s="3"/>
      <c r="AA101" s="3"/>
      <c r="AC101" s="3"/>
      <c r="AD101" s="3"/>
      <c r="AF101" s="3"/>
      <c r="AG101" s="3"/>
      <c r="AI101" s="3"/>
      <c r="AJ101" s="1"/>
      <c r="AL101" s="3"/>
      <c r="AO101" s="3"/>
      <c r="AP101" s="3"/>
      <c r="AR101" s="3"/>
      <c r="AS101" s="3"/>
      <c r="AU101" s="3"/>
      <c r="AV101" s="3" t="s">
        <v>171</v>
      </c>
      <c r="AX101" s="3"/>
      <c r="AY101" s="5">
        <v>46073</v>
      </c>
      <c r="BA101" s="3"/>
      <c r="BB101" s="1">
        <v>2</v>
      </c>
      <c r="BD101" s="3"/>
      <c r="BE101" s="3" t="s">
        <v>524</v>
      </c>
      <c r="BG101" s="3"/>
      <c r="BH101" s="3" t="s">
        <v>525</v>
      </c>
      <c r="BJ101" s="3"/>
      <c r="BK101" s="3"/>
      <c r="BM101" s="3"/>
      <c r="BN101" s="5"/>
      <c r="BP101" s="3"/>
      <c r="BS101" s="3"/>
      <c r="BT101" s="3"/>
      <c r="BV101" s="3"/>
      <c r="BW101" s="3"/>
      <c r="BY101" s="3"/>
      <c r="BZ101" s="3"/>
      <c r="CB101" s="3"/>
      <c r="CC101" s="5"/>
      <c r="CE101" s="3"/>
      <c r="CH101" s="3"/>
      <c r="CI101" s="3"/>
      <c r="CK101" s="3"/>
      <c r="CL101" s="3"/>
      <c r="CN101" s="3"/>
      <c r="CO101" s="3"/>
      <c r="CQ101" s="3"/>
      <c r="CR101" s="5"/>
      <c r="CT101" s="3"/>
      <c r="CW101" s="3"/>
      <c r="CX101" s="3"/>
      <c r="CZ101" s="3"/>
      <c r="DA101" s="3"/>
      <c r="DC101" s="3"/>
      <c r="DD101" s="3"/>
      <c r="DF101" s="3"/>
      <c r="DG101" s="5"/>
      <c r="DI101" s="3"/>
      <c r="DL101" s="3"/>
      <c r="DM101" s="3"/>
      <c r="DO101" s="3"/>
      <c r="DP101" s="3"/>
      <c r="DR101" s="3"/>
      <c r="DS101" s="1" t="str">
        <f>_xlfn.XLOOKUP(OfficeForms.Table[[#This Row],[Selecione a Categoria do Laboratório desta atividade prática:]],Planilha1!A:A,Planilha1!B:B)</f>
        <v>BFI</v>
      </c>
      <c r="DT101" s="1" t="str">
        <f>CONCATENATE(OfficeForms.Table[[#This Row],[Selecione seu Polo Laboratório de Atividades Presenciais:]],OfficeForms.Table[[#This Row],[CHAVE CONVERSÃO]])</f>
        <v>Salvador/BA - Caminho das ÁrvoresBFI</v>
      </c>
      <c r="DU10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Terapêutica com Órteses: Abordagens Funcionais na Reabilitação Musculoesquelética;Fisioterapia com Próteses: Reabilitação Funcional e Adaptação ao Uso de Próteses</v>
      </c>
      <c r="DV10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46073</v>
      </c>
      <c r="DW10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01" s="1" t="str">
        <f>_xlfn.XLOOKUP(OfficeForms.Table[[#This Row],[CHAVE LINK POLO]],'[1]Quadro Geral de Lotação'!$B:$B,'[1]Quadro Geral de Lotação'!$I:$I)</f>
        <v>Helenice Sacramento Souza Melo</v>
      </c>
      <c r="DY101" s="1" t="str">
        <f>OfficeForms.Table[[#This Row],[Selecione a Ordem de Disciplina]]</f>
        <v>Ordem 1</v>
      </c>
    </row>
    <row r="102" spans="1:129" ht="34.15" customHeight="1">
      <c r="A102" s="1">
        <v>102</v>
      </c>
      <c r="B102" s="2">
        <v>46085.611724536997</v>
      </c>
      <c r="C102" s="2">
        <v>46085.612511574102</v>
      </c>
      <c r="D102" s="3" t="s">
        <v>526</v>
      </c>
      <c r="E102" s="3" t="s">
        <v>527</v>
      </c>
      <c r="G102" s="3"/>
      <c r="I102" s="3" t="s">
        <v>528</v>
      </c>
      <c r="K102" s="3"/>
      <c r="L102" s="1" t="s">
        <v>132</v>
      </c>
      <c r="O102" s="3" t="s">
        <v>184</v>
      </c>
      <c r="Q102" s="3"/>
      <c r="R102" s="3"/>
      <c r="T102" s="3"/>
      <c r="U102" s="5"/>
      <c r="W102" s="3"/>
      <c r="Z102" s="3"/>
      <c r="AA102" s="3"/>
      <c r="AC102" s="3"/>
      <c r="AD102" s="3"/>
      <c r="AF102" s="3"/>
      <c r="AG102" s="3" t="s">
        <v>370</v>
      </c>
      <c r="AI102" s="3"/>
      <c r="AJ102" s="1">
        <v>46084</v>
      </c>
      <c r="AL102" s="3"/>
      <c r="AM102" s="1">
        <v>6</v>
      </c>
      <c r="AO102" s="3"/>
      <c r="AP102" s="3" t="s">
        <v>529</v>
      </c>
      <c r="AR102" s="3"/>
      <c r="AS102" s="3" t="s">
        <v>530</v>
      </c>
      <c r="AU102" s="3"/>
      <c r="AV102" s="3"/>
      <c r="AX102" s="3"/>
      <c r="AY102" s="5"/>
      <c r="BA102" s="3"/>
      <c r="BD102" s="3"/>
      <c r="BE102" s="3"/>
      <c r="BG102" s="3"/>
      <c r="BH102" s="3"/>
      <c r="BJ102" s="3"/>
      <c r="BK102" s="3"/>
      <c r="BM102" s="3"/>
      <c r="BN102" s="5"/>
      <c r="BP102" s="3"/>
      <c r="BS102" s="3"/>
      <c r="BT102" s="3"/>
      <c r="BV102" s="3"/>
      <c r="BW102" s="3"/>
      <c r="BY102" s="3"/>
      <c r="BZ102" s="3"/>
      <c r="CB102" s="3"/>
      <c r="CC102" s="5"/>
      <c r="CE102" s="3"/>
      <c r="CH102" s="3"/>
      <c r="CI102" s="3"/>
      <c r="CK102" s="3"/>
      <c r="CL102" s="3"/>
      <c r="CN102" s="3"/>
      <c r="CO102" s="3"/>
      <c r="CQ102" s="3"/>
      <c r="CR102" s="5"/>
      <c r="CT102" s="3"/>
      <c r="CW102" s="3"/>
      <c r="CX102" s="3"/>
      <c r="CZ102" s="3"/>
      <c r="DA102" s="3"/>
      <c r="DC102" s="3"/>
      <c r="DD102" s="3"/>
      <c r="DF102" s="3"/>
      <c r="DG102" s="5"/>
      <c r="DI102" s="3"/>
      <c r="DL102" s="3"/>
      <c r="DM102" s="3"/>
      <c r="DO102" s="3"/>
      <c r="DP102" s="3"/>
      <c r="DR102" s="3"/>
      <c r="DS102" s="1" t="str">
        <f>_xlfn.XLOOKUP(OfficeForms.Table[[#This Row],[Selecione a Categoria do Laboratório desta atividade prática:]],Planilha1!A:A,Planilha1!B:B)</f>
        <v>EMF-ISN</v>
      </c>
      <c r="DT102" s="1" t="str">
        <f>CONCATENATE(OfficeForms.Table[[#This Row],[Selecione seu Polo Laboratório de Atividades Presenciais:]],OfficeForms.Table[[#This Row],[CHAVE CONVERSÃO]])</f>
        <v>Sinop/MTEMF-ISN</v>
      </c>
      <c r="DU10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10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0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102" s="1" t="str">
        <f>_xlfn.XLOOKUP(OfficeForms.Table[[#This Row],[CHAVE LINK POLO]],'[1]Quadro Geral de Lotação'!$B:$B,'[1]Quadro Geral de Lotação'!$I:$I)</f>
        <v>Sara Jane Amann</v>
      </c>
      <c r="DY102" s="1" t="str">
        <f>OfficeForms.Table[[#This Row],[Selecione a Ordem de Disciplina]]</f>
        <v>Ordem 1</v>
      </c>
    </row>
    <row r="103" spans="1:129" ht="34.15" customHeight="1">
      <c r="A103" s="1">
        <v>103</v>
      </c>
      <c r="B103" s="2">
        <v>46085.612557870401</v>
      </c>
      <c r="C103" s="2">
        <v>46085.613622685203</v>
      </c>
      <c r="D103" s="3" t="s">
        <v>526</v>
      </c>
      <c r="E103" s="3" t="s">
        <v>527</v>
      </c>
      <c r="G103" s="3"/>
      <c r="I103" s="3" t="s">
        <v>528</v>
      </c>
      <c r="K103" s="3"/>
      <c r="L103" s="1" t="s">
        <v>132</v>
      </c>
      <c r="O103" s="3" t="s">
        <v>184</v>
      </c>
      <c r="Q103" s="3"/>
      <c r="R103" s="3"/>
      <c r="T103" s="3"/>
      <c r="U103" s="5"/>
      <c r="W103" s="3"/>
      <c r="Z103" s="3"/>
      <c r="AA103" s="3"/>
      <c r="AC103" s="3"/>
      <c r="AD103" s="3"/>
      <c r="AF103" s="3"/>
      <c r="AG103" s="3" t="s">
        <v>322</v>
      </c>
      <c r="AI103" s="3"/>
      <c r="AJ103" s="1">
        <v>46077</v>
      </c>
      <c r="AL103" s="3"/>
      <c r="AM103" s="1">
        <v>1</v>
      </c>
      <c r="AO103" s="3"/>
      <c r="AP103" s="3" t="s">
        <v>531</v>
      </c>
      <c r="AR103" s="3"/>
      <c r="AS103" s="3" t="s">
        <v>532</v>
      </c>
      <c r="AU103" s="3"/>
      <c r="AV103" s="3"/>
      <c r="AX103" s="3"/>
      <c r="AY103" s="5"/>
      <c r="BA103" s="3"/>
      <c r="BD103" s="3"/>
      <c r="BE103" s="3"/>
      <c r="BG103" s="3"/>
      <c r="BH103" s="3"/>
      <c r="BJ103" s="3"/>
      <c r="BK103" s="3"/>
      <c r="BM103" s="3"/>
      <c r="BN103" s="5"/>
      <c r="BP103" s="3"/>
      <c r="BS103" s="3"/>
      <c r="BT103" s="3"/>
      <c r="BV103" s="3"/>
      <c r="BW103" s="3"/>
      <c r="BY103" s="3"/>
      <c r="BZ103" s="3"/>
      <c r="CB103" s="3"/>
      <c r="CC103" s="5"/>
      <c r="CE103" s="3"/>
      <c r="CH103" s="3"/>
      <c r="CI103" s="3"/>
      <c r="CK103" s="3"/>
      <c r="CL103" s="3"/>
      <c r="CN103" s="3"/>
      <c r="CO103" s="3"/>
      <c r="CQ103" s="3"/>
      <c r="CR103" s="5"/>
      <c r="CT103" s="3"/>
      <c r="CW103" s="3"/>
      <c r="CX103" s="3"/>
      <c r="CZ103" s="3"/>
      <c r="DA103" s="3"/>
      <c r="DC103" s="3"/>
      <c r="DD103" s="3"/>
      <c r="DF103" s="3"/>
      <c r="DG103" s="5"/>
      <c r="DI103" s="3"/>
      <c r="DL103" s="3"/>
      <c r="DM103" s="3"/>
      <c r="DO103" s="3"/>
      <c r="DP103" s="3"/>
      <c r="DR103" s="3"/>
      <c r="DS103" s="1" t="str">
        <f>_xlfn.XLOOKUP(OfficeForms.Table[[#This Row],[Selecione a Categoria do Laboratório desta atividade prática:]],Planilha1!A:A,Planilha1!B:B)</f>
        <v>EMF-ISN</v>
      </c>
      <c r="DT103" s="1" t="str">
        <f>CONCATENATE(OfficeForms.Table[[#This Row],[Selecione seu Polo Laboratório de Atividades Presenciais:]],OfficeForms.Table[[#This Row],[CHAVE CONVERSÃO]])</f>
        <v>Sinop/MTEMF-ISN</v>
      </c>
      <c r="DU10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10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10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03" s="1" t="str">
        <f>_xlfn.XLOOKUP(OfficeForms.Table[[#This Row],[CHAVE LINK POLO]],'[1]Quadro Geral de Lotação'!$B:$B,'[1]Quadro Geral de Lotação'!$I:$I)</f>
        <v>Sara Jane Amann</v>
      </c>
      <c r="DY103" s="1" t="str">
        <f>OfficeForms.Table[[#This Row],[Selecione a Ordem de Disciplina]]</f>
        <v>Ordem 1</v>
      </c>
    </row>
    <row r="104" spans="1:129" ht="34.15" customHeight="1">
      <c r="A104" s="1">
        <v>104</v>
      </c>
      <c r="B104" s="2">
        <v>46085.914953703701</v>
      </c>
      <c r="C104" s="2">
        <v>46085.915833333303</v>
      </c>
      <c r="D104" s="3" t="s">
        <v>313</v>
      </c>
      <c r="E104" s="3" t="s">
        <v>314</v>
      </c>
      <c r="G104" s="3"/>
      <c r="I104" s="3" t="s">
        <v>315</v>
      </c>
      <c r="K104" s="3"/>
      <c r="L104" s="1" t="s">
        <v>132</v>
      </c>
      <c r="O104" s="3" t="s">
        <v>184</v>
      </c>
      <c r="Q104" s="3"/>
      <c r="R104" s="3"/>
      <c r="T104" s="3"/>
      <c r="U104" s="5"/>
      <c r="W104" s="3"/>
      <c r="Z104" s="3"/>
      <c r="AA104" s="3"/>
      <c r="AC104" s="3"/>
      <c r="AD104" s="3"/>
      <c r="AF104" s="3"/>
      <c r="AG104" s="3" t="s">
        <v>206</v>
      </c>
      <c r="AI104" s="3"/>
      <c r="AJ104" s="1">
        <v>46085</v>
      </c>
      <c r="AL104" s="3"/>
      <c r="AM104" s="1">
        <v>3</v>
      </c>
      <c r="AO104" s="3"/>
      <c r="AP104" s="3" t="s">
        <v>533</v>
      </c>
      <c r="AR104" s="3"/>
      <c r="AS104" s="3" t="s">
        <v>534</v>
      </c>
      <c r="AU104" s="3"/>
      <c r="AV104" s="3"/>
      <c r="AX104" s="3"/>
      <c r="AY104" s="5"/>
      <c r="BA104" s="3"/>
      <c r="BD104" s="3"/>
      <c r="BE104" s="3"/>
      <c r="BG104" s="3"/>
      <c r="BH104" s="3"/>
      <c r="BJ104" s="3"/>
      <c r="BK104" s="3"/>
      <c r="BM104" s="3"/>
      <c r="BN104" s="5"/>
      <c r="BP104" s="3"/>
      <c r="BS104" s="3"/>
      <c r="BT104" s="3"/>
      <c r="BV104" s="3"/>
      <c r="BW104" s="3"/>
      <c r="BY104" s="3"/>
      <c r="BZ104" s="3"/>
      <c r="CB104" s="3"/>
      <c r="CC104" s="5"/>
      <c r="CE104" s="3"/>
      <c r="CH104" s="3"/>
      <c r="CI104" s="3"/>
      <c r="CK104" s="3"/>
      <c r="CL104" s="3"/>
      <c r="CN104" s="3"/>
      <c r="CO104" s="3"/>
      <c r="CQ104" s="3"/>
      <c r="CR104" s="5"/>
      <c r="CT104" s="3"/>
      <c r="CW104" s="3"/>
      <c r="CX104" s="3"/>
      <c r="CZ104" s="3"/>
      <c r="DA104" s="3"/>
      <c r="DC104" s="3"/>
      <c r="DD104" s="3"/>
      <c r="DF104" s="3"/>
      <c r="DG104" s="5"/>
      <c r="DI104" s="3"/>
      <c r="DL104" s="3"/>
      <c r="DM104" s="3"/>
      <c r="DO104" s="3"/>
      <c r="DP104" s="3"/>
      <c r="DR104" s="3"/>
      <c r="DS104" s="1" t="str">
        <f>_xlfn.XLOOKUP(OfficeForms.Table[[#This Row],[Selecione a Categoria do Laboratório desta atividade prática:]],Planilha1!A:A,Planilha1!B:B)</f>
        <v>EMF-ISN</v>
      </c>
      <c r="DT104" s="1" t="str">
        <f>CONCATENATE(OfficeForms.Table[[#This Row],[Selecione seu Polo Laboratório de Atividades Presenciais:]],OfficeForms.Table[[#This Row],[CHAVE CONVERSÃO]])</f>
        <v>Alenquer/PAEMF-ISN</v>
      </c>
      <c r="DU10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10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0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04" s="1" t="str">
        <f>_xlfn.XLOOKUP(OfficeForms.Table[[#This Row],[CHAVE LINK POLO]],'[1]Quadro Geral de Lotação'!$B:$B,'[1]Quadro Geral de Lotação'!$I:$I)</f>
        <v>Ana Flavia Chaves De Souza</v>
      </c>
      <c r="DY104" s="1" t="str">
        <f>OfficeForms.Table[[#This Row],[Selecione a Ordem de Disciplina]]</f>
        <v>Ordem 1</v>
      </c>
    </row>
    <row r="105" spans="1:129" ht="34.15" customHeight="1">
      <c r="A105" s="1">
        <v>105</v>
      </c>
      <c r="B105" s="2">
        <v>46085.917430555601</v>
      </c>
      <c r="C105" s="2">
        <v>46085.918842592597</v>
      </c>
      <c r="D105" s="3" t="s">
        <v>306</v>
      </c>
      <c r="E105" s="3" t="s">
        <v>307</v>
      </c>
      <c r="G105" s="3"/>
      <c r="I105" s="3" t="s">
        <v>308</v>
      </c>
      <c r="K105" s="3"/>
      <c r="L105" s="1" t="s">
        <v>132</v>
      </c>
      <c r="O105" s="3" t="s">
        <v>133</v>
      </c>
      <c r="Q105" s="3"/>
      <c r="R105" s="3"/>
      <c r="T105" s="3"/>
      <c r="U105" s="5"/>
      <c r="W105" s="3"/>
      <c r="Z105" s="3"/>
      <c r="AA105" s="3"/>
      <c r="AC105" s="3"/>
      <c r="AD105" s="3"/>
      <c r="AF105" s="3"/>
      <c r="AG105" s="3"/>
      <c r="AI105" s="3"/>
      <c r="AJ105" s="1"/>
      <c r="AL105" s="3"/>
      <c r="AO105" s="3"/>
      <c r="AP105" s="3"/>
      <c r="AR105" s="3"/>
      <c r="AS105" s="3"/>
      <c r="AU105" s="3"/>
      <c r="AV105" s="3" t="s">
        <v>276</v>
      </c>
      <c r="AX105" s="3"/>
      <c r="AY105" s="5">
        <v>46085</v>
      </c>
      <c r="BA105" s="3"/>
      <c r="BB105" s="1">
        <v>2</v>
      </c>
      <c r="BD105" s="3"/>
      <c r="BE105" s="3" t="s">
        <v>535</v>
      </c>
      <c r="BG105" s="3"/>
      <c r="BH105" s="3" t="s">
        <v>536</v>
      </c>
      <c r="BJ105" s="3"/>
      <c r="BK105" s="3"/>
      <c r="BM105" s="3"/>
      <c r="BN105" s="5"/>
      <c r="BP105" s="3"/>
      <c r="BS105" s="3"/>
      <c r="BT105" s="3"/>
      <c r="BV105" s="3"/>
      <c r="BW105" s="3"/>
      <c r="BY105" s="3"/>
      <c r="BZ105" s="3"/>
      <c r="CB105" s="3"/>
      <c r="CC105" s="5"/>
      <c r="CE105" s="3"/>
      <c r="CH105" s="3"/>
      <c r="CI105" s="3"/>
      <c r="CK105" s="3"/>
      <c r="CL105" s="3"/>
      <c r="CN105" s="3"/>
      <c r="CO105" s="3"/>
      <c r="CQ105" s="3"/>
      <c r="CR105" s="5"/>
      <c r="CT105" s="3"/>
      <c r="CW105" s="3"/>
      <c r="CX105" s="3"/>
      <c r="CZ105" s="3"/>
      <c r="DA105" s="3"/>
      <c r="DC105" s="3"/>
      <c r="DD105" s="3"/>
      <c r="DF105" s="3"/>
      <c r="DG105" s="5"/>
      <c r="DI105" s="3"/>
      <c r="DL105" s="3"/>
      <c r="DM105" s="3"/>
      <c r="DO105" s="3"/>
      <c r="DP105" s="3"/>
      <c r="DR105" s="3"/>
      <c r="DS105" s="1" t="str">
        <f>_xlfn.XLOOKUP(OfficeForms.Table[[#This Row],[Selecione a Categoria do Laboratório desta atividade prática:]],Planilha1!A:A,Planilha1!B:B)</f>
        <v>BFI</v>
      </c>
      <c r="DT105" s="1" t="str">
        <f>CONCATENATE(OfficeForms.Table[[#This Row],[Selecione seu Polo Laboratório de Atividades Presenciais:]],OfficeForms.Table[[#This Row],[CHAVE CONVERSÃO]])</f>
        <v>Salvador/BA - Caminho das ÁrvoresBFI</v>
      </c>
      <c r="DU10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Limpeza de Pele Facial e avaliação facial</v>
      </c>
      <c r="DV10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0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05" s="1" t="str">
        <f>_xlfn.XLOOKUP(OfficeForms.Table[[#This Row],[CHAVE LINK POLO]],'[1]Quadro Geral de Lotação'!$B:$B,'[1]Quadro Geral de Lotação'!$I:$I)</f>
        <v>Helenice Sacramento Souza Melo</v>
      </c>
      <c r="DY105" s="1" t="str">
        <f>OfficeForms.Table[[#This Row],[Selecione a Ordem de Disciplina]]</f>
        <v>Ordem 1</v>
      </c>
    </row>
    <row r="106" spans="1:129" ht="34.15" customHeight="1">
      <c r="A106" s="1">
        <v>106</v>
      </c>
      <c r="B106" s="2">
        <v>46086.3331481481</v>
      </c>
      <c r="C106" s="2">
        <v>46086.3360763889</v>
      </c>
      <c r="D106" s="3" t="s">
        <v>325</v>
      </c>
      <c r="E106" s="3" t="s">
        <v>326</v>
      </c>
      <c r="G106" s="3"/>
      <c r="I106" s="3" t="s">
        <v>275</v>
      </c>
      <c r="K106" s="3"/>
      <c r="L106" s="1" t="s">
        <v>132</v>
      </c>
      <c r="O106" s="3" t="s">
        <v>133</v>
      </c>
      <c r="Q106" s="3"/>
      <c r="R106" s="3"/>
      <c r="T106" s="3"/>
      <c r="U106" s="5"/>
      <c r="W106" s="3"/>
      <c r="Z106" s="3"/>
      <c r="AA106" s="3"/>
      <c r="AC106" s="3"/>
      <c r="AD106" s="3"/>
      <c r="AF106" s="3"/>
      <c r="AG106" s="3"/>
      <c r="AI106" s="3"/>
      <c r="AJ106" s="1"/>
      <c r="AL106" s="3"/>
      <c r="AO106" s="3"/>
      <c r="AP106" s="3"/>
      <c r="AR106" s="3"/>
      <c r="AS106" s="3"/>
      <c r="AU106" s="3"/>
      <c r="AV106" s="3" t="s">
        <v>537</v>
      </c>
      <c r="AX106" s="3"/>
      <c r="AY106" s="5">
        <v>46079</v>
      </c>
      <c r="BA106" s="3"/>
      <c r="BB106" s="1">
        <v>3</v>
      </c>
      <c r="BD106" s="3"/>
      <c r="BE106" s="3" t="s">
        <v>538</v>
      </c>
      <c r="BG106" s="3"/>
      <c r="BH106" s="3" t="s">
        <v>539</v>
      </c>
      <c r="BJ106" s="3"/>
      <c r="BK106" s="3"/>
      <c r="BM106" s="3"/>
      <c r="BN106" s="5"/>
      <c r="BP106" s="3"/>
      <c r="BS106" s="3"/>
      <c r="BT106" s="3"/>
      <c r="BV106" s="3"/>
      <c r="BW106" s="3"/>
      <c r="BY106" s="3"/>
      <c r="BZ106" s="3"/>
      <c r="CB106" s="3"/>
      <c r="CC106" s="5"/>
      <c r="CE106" s="3"/>
      <c r="CH106" s="3"/>
      <c r="CI106" s="3"/>
      <c r="CK106" s="3"/>
      <c r="CL106" s="3"/>
      <c r="CN106" s="3"/>
      <c r="CO106" s="3"/>
      <c r="CQ106" s="3"/>
      <c r="CR106" s="5"/>
      <c r="CT106" s="3"/>
      <c r="CW106" s="3"/>
      <c r="CX106" s="3"/>
      <c r="CZ106" s="3"/>
      <c r="DA106" s="3"/>
      <c r="DC106" s="3"/>
      <c r="DD106" s="3"/>
      <c r="DF106" s="3"/>
      <c r="DG106" s="5"/>
      <c r="DI106" s="3"/>
      <c r="DL106" s="3"/>
      <c r="DM106" s="3"/>
      <c r="DO106" s="3"/>
      <c r="DP106" s="3"/>
      <c r="DR106" s="3"/>
      <c r="DS106" s="1" t="str">
        <f>_xlfn.XLOOKUP(OfficeForms.Table[[#This Row],[Selecione a Categoria do Laboratório desta atividade prática:]],Planilha1!A:A,Planilha1!B:B)</f>
        <v>BFI</v>
      </c>
      <c r="DT106" s="1" t="str">
        <f>CONCATENATE(OfficeForms.Table[[#This Row],[Selecione seu Polo Laboratório de Atividades Presenciais:]],OfficeForms.Table[[#This Row],[CHAVE CONVERSÃO]])</f>
        <v>Porto Alegre/RS - Zona NorteBFI</v>
      </c>
      <c r="DU10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Traumato-Ortopédica em Coluna Vertebral: Manejo de Disfunções Cervicais, Torácicas e Lombares</v>
      </c>
      <c r="DV10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10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06" s="1" t="str">
        <f>_xlfn.XLOOKUP(OfficeForms.Table[[#This Row],[CHAVE LINK POLO]],'[1]Quadro Geral de Lotação'!$B:$B,'[1]Quadro Geral de Lotação'!$I:$I)</f>
        <v>Fabiano Johnson Duarte Bartmann</v>
      </c>
      <c r="DY106" s="1" t="str">
        <f>OfficeForms.Table[[#This Row],[Selecione a Ordem de Disciplina]]</f>
        <v>Ordem 1</v>
      </c>
    </row>
    <row r="107" spans="1:129" ht="34.15" customHeight="1">
      <c r="A107" s="1">
        <v>107</v>
      </c>
      <c r="B107" s="2">
        <v>46086.336111111101</v>
      </c>
      <c r="C107" s="2">
        <v>46086.337997685201</v>
      </c>
      <c r="D107" s="3" t="s">
        <v>325</v>
      </c>
      <c r="E107" s="3" t="s">
        <v>326</v>
      </c>
      <c r="G107" s="3"/>
      <c r="I107" s="3" t="s">
        <v>275</v>
      </c>
      <c r="K107" s="3"/>
      <c r="L107" s="1" t="s">
        <v>132</v>
      </c>
      <c r="O107" s="3" t="s">
        <v>133</v>
      </c>
      <c r="Q107" s="3"/>
      <c r="R107" s="3"/>
      <c r="T107" s="3"/>
      <c r="U107" s="5"/>
      <c r="W107" s="3"/>
      <c r="Z107" s="3"/>
      <c r="AA107" s="3"/>
      <c r="AC107" s="3"/>
      <c r="AD107" s="3"/>
      <c r="AF107" s="3"/>
      <c r="AG107" s="3"/>
      <c r="AI107" s="3"/>
      <c r="AJ107" s="1"/>
      <c r="AL107" s="3"/>
      <c r="AO107" s="3"/>
      <c r="AP107" s="3"/>
      <c r="AR107" s="3"/>
      <c r="AS107" s="3"/>
      <c r="AU107" s="3"/>
      <c r="AV107" s="3" t="s">
        <v>540</v>
      </c>
      <c r="AX107" s="3"/>
      <c r="AY107" s="5">
        <v>46079</v>
      </c>
      <c r="BA107" s="3"/>
      <c r="BB107" s="1">
        <v>6</v>
      </c>
      <c r="BD107" s="3"/>
      <c r="BE107" s="3" t="s">
        <v>541</v>
      </c>
      <c r="BG107" s="3"/>
      <c r="BH107" s="3" t="s">
        <v>542</v>
      </c>
      <c r="BJ107" s="3"/>
      <c r="BK107" s="3"/>
      <c r="BM107" s="3"/>
      <c r="BN107" s="5"/>
      <c r="BP107" s="3"/>
      <c r="BS107" s="3"/>
      <c r="BT107" s="3"/>
      <c r="BV107" s="3"/>
      <c r="BW107" s="3"/>
      <c r="BY107" s="3"/>
      <c r="BZ107" s="3"/>
      <c r="CB107" s="3"/>
      <c r="CC107" s="5"/>
      <c r="CE107" s="3"/>
      <c r="CH107" s="3"/>
      <c r="CI107" s="3"/>
      <c r="CK107" s="3"/>
      <c r="CL107" s="3"/>
      <c r="CN107" s="3"/>
      <c r="CO107" s="3"/>
      <c r="CQ107" s="3"/>
      <c r="CR107" s="5"/>
      <c r="CT107" s="3"/>
      <c r="CW107" s="3"/>
      <c r="CX107" s="3"/>
      <c r="CZ107" s="3"/>
      <c r="DA107" s="3"/>
      <c r="DC107" s="3"/>
      <c r="DD107" s="3"/>
      <c r="DF107" s="3"/>
      <c r="DG107" s="5"/>
      <c r="DI107" s="3"/>
      <c r="DL107" s="3"/>
      <c r="DM107" s="3"/>
      <c r="DO107" s="3"/>
      <c r="DP107" s="3"/>
      <c r="DR107" s="3"/>
      <c r="DS107" s="1" t="str">
        <f>_xlfn.XLOOKUP(OfficeForms.Table[[#This Row],[Selecione a Categoria do Laboratório desta atividade prática:]],Planilha1!A:A,Planilha1!B:B)</f>
        <v>BFI</v>
      </c>
      <c r="DT107" s="1" t="str">
        <f>CONCATENATE(OfficeForms.Table[[#This Row],[Selecione seu Polo Laboratório de Atividades Presenciais:]],OfficeForms.Table[[#This Row],[CHAVE CONVERSÃO]])</f>
        <v>Porto Alegre/RS - Zona NorteBFI</v>
      </c>
      <c r="DU10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Mobilização Articular: Abordagens Terapêuticas em Recursos Manuais</v>
      </c>
      <c r="DV10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10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107" s="1" t="str">
        <f>_xlfn.XLOOKUP(OfficeForms.Table[[#This Row],[CHAVE LINK POLO]],'[1]Quadro Geral de Lotação'!$B:$B,'[1]Quadro Geral de Lotação'!$I:$I)</f>
        <v>Fabiano Johnson Duarte Bartmann</v>
      </c>
      <c r="DY107" s="1" t="str">
        <f>OfficeForms.Table[[#This Row],[Selecione a Ordem de Disciplina]]</f>
        <v>Ordem 1</v>
      </c>
    </row>
    <row r="108" spans="1:129" ht="34.15" customHeight="1">
      <c r="A108" s="1">
        <v>108</v>
      </c>
      <c r="B108" s="2">
        <v>46086.3816898148</v>
      </c>
      <c r="C108" s="2">
        <v>46086.385740740698</v>
      </c>
      <c r="D108" s="3" t="s">
        <v>543</v>
      </c>
      <c r="E108" s="3" t="s">
        <v>544</v>
      </c>
      <c r="G108" s="3"/>
      <c r="I108" s="3" t="s">
        <v>545</v>
      </c>
      <c r="K108" s="3"/>
      <c r="L108" s="1" t="s">
        <v>132</v>
      </c>
      <c r="O108" s="3" t="s">
        <v>140</v>
      </c>
      <c r="Q108" s="3"/>
      <c r="R108" s="3"/>
      <c r="T108" s="3"/>
      <c r="U108" s="5"/>
      <c r="W108" s="3"/>
      <c r="Z108" s="3"/>
      <c r="AA108" s="3"/>
      <c r="AC108" s="3"/>
      <c r="AD108" s="3"/>
      <c r="AF108" s="3"/>
      <c r="AG108" s="3"/>
      <c r="AI108" s="3"/>
      <c r="AJ108" s="1"/>
      <c r="AL108" s="3"/>
      <c r="AO108" s="3"/>
      <c r="AP108" s="3"/>
      <c r="AR108" s="3"/>
      <c r="AS108" s="3"/>
      <c r="AU108" s="3"/>
      <c r="AV108" s="3"/>
      <c r="AX108" s="3"/>
      <c r="AY108" s="5"/>
      <c r="BA108" s="3"/>
      <c r="BD108" s="3"/>
      <c r="BE108" s="3"/>
      <c r="BG108" s="3"/>
      <c r="BH108" s="3"/>
      <c r="BJ108" s="3"/>
      <c r="BK108" s="3"/>
      <c r="BM108" s="3"/>
      <c r="BN108" s="5"/>
      <c r="BP108" s="3"/>
      <c r="BS108" s="3"/>
      <c r="BT108" s="3"/>
      <c r="BV108" s="3"/>
      <c r="BW108" s="3"/>
      <c r="BY108" s="3"/>
      <c r="BZ108" s="3" t="s">
        <v>546</v>
      </c>
      <c r="CB108" s="3"/>
      <c r="CC108" s="5">
        <v>46085</v>
      </c>
      <c r="CE108" s="3"/>
      <c r="CF108" s="1">
        <v>2</v>
      </c>
      <c r="CH108" s="3"/>
      <c r="CI108" s="3" t="s">
        <v>547</v>
      </c>
      <c r="CK108" s="3"/>
      <c r="CL108" s="3" t="s">
        <v>548</v>
      </c>
      <c r="CN108" s="3"/>
      <c r="CO108" s="3"/>
      <c r="CQ108" s="3"/>
      <c r="CR108" s="5"/>
      <c r="CT108" s="3"/>
      <c r="CW108" s="3"/>
      <c r="CX108" s="3"/>
      <c r="CZ108" s="3"/>
      <c r="DA108" s="3"/>
      <c r="DC108" s="3"/>
      <c r="DD108" s="3"/>
      <c r="DF108" s="3"/>
      <c r="DG108" s="5"/>
      <c r="DI108" s="3"/>
      <c r="DL108" s="3"/>
      <c r="DM108" s="3"/>
      <c r="DO108" s="3"/>
      <c r="DP108" s="3"/>
      <c r="DR108" s="3"/>
      <c r="DS108" s="1" t="str">
        <f>_xlfn.XLOOKUP(OfficeForms.Table[[#This Row],[Selecione a Categoria do Laboratório desta atividade prática:]],Planilha1!A:A,Planilha1!B:B)</f>
        <v>ECE-ENM-ENS-ENG-EEA-GPI-CDE-OBR-SAN-TER-FSA-SLF-QUI</v>
      </c>
      <c r="DT108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10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Condições de equilíbrio de um corpo rígido;QUÍMICA E FÍSICA - Conexões elétricas simples + Verificação da Primeira Lei de Ohm e da Lei de Joule</v>
      </c>
      <c r="DV10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0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08" s="1" t="e">
        <f>_xlfn.XLOOKUP(OfficeForms.Table[[#This Row],[CHAVE LINK POLO]],'[1]Quadro Geral de Lotação'!$B:$B,'[1]Quadro Geral de Lotação'!$I:$I)</f>
        <v>#N/A</v>
      </c>
      <c r="DY108" s="1" t="str">
        <f>OfficeForms.Table[[#This Row],[Selecione a Ordem de Disciplina]]</f>
        <v>Ordem 1</v>
      </c>
    </row>
    <row r="109" spans="1:129" ht="34.15" customHeight="1">
      <c r="A109" s="1">
        <v>109</v>
      </c>
      <c r="B109" s="2">
        <v>46086.547500000001</v>
      </c>
      <c r="C109" s="2">
        <v>46086.548298611102</v>
      </c>
      <c r="D109" s="3" t="s">
        <v>297</v>
      </c>
      <c r="E109" s="3" t="s">
        <v>298</v>
      </c>
      <c r="G109" s="3"/>
      <c r="I109" s="3" t="s">
        <v>299</v>
      </c>
      <c r="K109" s="3"/>
      <c r="L109" s="1" t="s">
        <v>132</v>
      </c>
      <c r="O109" s="3" t="s">
        <v>156</v>
      </c>
      <c r="Q109" s="3"/>
      <c r="R109" s="3"/>
      <c r="T109" s="3"/>
      <c r="U109" s="5"/>
      <c r="W109" s="3"/>
      <c r="Z109" s="3"/>
      <c r="AA109" s="3"/>
      <c r="AC109" s="3"/>
      <c r="AD109" s="3"/>
      <c r="AF109" s="3"/>
      <c r="AG109" s="3"/>
      <c r="AI109" s="3"/>
      <c r="AJ109" s="1"/>
      <c r="AL109" s="3"/>
      <c r="AO109" s="3"/>
      <c r="AP109" s="3"/>
      <c r="AR109" s="3"/>
      <c r="AS109" s="3"/>
      <c r="AU109" s="3"/>
      <c r="AV109" s="3"/>
      <c r="AX109" s="3"/>
      <c r="AY109" s="5"/>
      <c r="BA109" s="3"/>
      <c r="BD109" s="3"/>
      <c r="BE109" s="3"/>
      <c r="BG109" s="3"/>
      <c r="BH109" s="3"/>
      <c r="BJ109" s="3"/>
      <c r="BK109" s="3" t="s">
        <v>157</v>
      </c>
      <c r="BM109" s="3"/>
      <c r="BN109" s="5">
        <v>46084</v>
      </c>
      <c r="BP109" s="3"/>
      <c r="BQ109" s="1">
        <v>6</v>
      </c>
      <c r="BS109" s="3"/>
      <c r="BT109" s="3" t="s">
        <v>549</v>
      </c>
      <c r="BV109" s="3"/>
      <c r="BW109" s="3" t="s">
        <v>550</v>
      </c>
      <c r="BY109" s="3"/>
      <c r="BZ109" s="3"/>
      <c r="CB109" s="3"/>
      <c r="CC109" s="5"/>
      <c r="CE109" s="3"/>
      <c r="CH109" s="3"/>
      <c r="CI109" s="3"/>
      <c r="CK109" s="3"/>
      <c r="CL109" s="3"/>
      <c r="CN109" s="3"/>
      <c r="CO109" s="3"/>
      <c r="CQ109" s="3"/>
      <c r="CR109" s="5"/>
      <c r="CT109" s="3"/>
      <c r="CW109" s="3"/>
      <c r="CX109" s="3"/>
      <c r="CZ109" s="3"/>
      <c r="DA109" s="3"/>
      <c r="DC109" s="3"/>
      <c r="DD109" s="3"/>
      <c r="DF109" s="3"/>
      <c r="DG109" s="5"/>
      <c r="DI109" s="3"/>
      <c r="DL109" s="3"/>
      <c r="DM109" s="3"/>
      <c r="DO109" s="3"/>
      <c r="DP109" s="3"/>
      <c r="DR109" s="3"/>
      <c r="DS109" s="1" t="str">
        <f>_xlfn.XLOOKUP(OfficeForms.Table[[#This Row],[Selecione a Categoria do Laboratório desta atividade prática:]],Planilha1!A:A,Planilha1!B:B)</f>
        <v>NTR</v>
      </c>
      <c r="DT109" s="1" t="str">
        <f>CONCATENATE(OfficeForms.Table[[#This Row],[Selecione seu Polo Laboratório de Atividades Presenciais:]],OfficeForms.Table[[#This Row],[CHAVE CONVERSÃO]])</f>
        <v>Indaial/SC - Vitória Regia ( Centro Universitário  Leonardo da Vinci)NTR</v>
      </c>
      <c r="DU10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10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0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109" s="1" t="str">
        <f>_xlfn.XLOOKUP(OfficeForms.Table[[#This Row],[CHAVE LINK POLO]],'[1]Quadro Geral de Lotação'!$B:$B,'[1]Quadro Geral de Lotação'!$I:$I)</f>
        <v>-</v>
      </c>
      <c r="DY109" s="1" t="str">
        <f>OfficeForms.Table[[#This Row],[Selecione a Ordem de Disciplina]]</f>
        <v>Ordem 1</v>
      </c>
    </row>
    <row r="110" spans="1:129" ht="34.15" customHeight="1">
      <c r="A110" s="1">
        <v>110</v>
      </c>
      <c r="B110" s="2">
        <v>46086.599953703699</v>
      </c>
      <c r="C110" s="2">
        <v>46086.602581018502</v>
      </c>
      <c r="D110" s="3" t="s">
        <v>129</v>
      </c>
      <c r="E110" s="3" t="s">
        <v>130</v>
      </c>
      <c r="G110" s="3"/>
      <c r="I110" s="3" t="s">
        <v>131</v>
      </c>
      <c r="K110" s="3"/>
      <c r="L110" s="1" t="s">
        <v>132</v>
      </c>
      <c r="O110" s="3" t="s">
        <v>133</v>
      </c>
      <c r="Q110" s="3"/>
      <c r="R110" s="3"/>
      <c r="T110" s="3"/>
      <c r="U110" s="5"/>
      <c r="W110" s="3"/>
      <c r="Z110" s="3"/>
      <c r="AA110" s="3"/>
      <c r="AC110" s="3"/>
      <c r="AD110" s="3"/>
      <c r="AF110" s="3"/>
      <c r="AG110" s="3"/>
      <c r="AI110" s="3"/>
      <c r="AJ110" s="1"/>
      <c r="AL110" s="3"/>
      <c r="AO110" s="3"/>
      <c r="AP110" s="3"/>
      <c r="AR110" s="3"/>
      <c r="AS110" s="3"/>
      <c r="AU110" s="3"/>
      <c r="AV110" s="3" t="s">
        <v>327</v>
      </c>
      <c r="AX110" s="3"/>
      <c r="AY110" s="5">
        <v>46085</v>
      </c>
      <c r="BA110" s="3"/>
      <c r="BB110" s="1">
        <v>0</v>
      </c>
      <c r="BD110" s="3"/>
      <c r="BE110" s="3" t="s">
        <v>551</v>
      </c>
      <c r="BG110" s="3"/>
      <c r="BH110" s="3" t="s">
        <v>552</v>
      </c>
      <c r="BJ110" s="3"/>
      <c r="BK110" s="3"/>
      <c r="BM110" s="3"/>
      <c r="BN110" s="5"/>
      <c r="BP110" s="3"/>
      <c r="BS110" s="3"/>
      <c r="BT110" s="3"/>
      <c r="BV110" s="3"/>
      <c r="BW110" s="3"/>
      <c r="BY110" s="3"/>
      <c r="BZ110" s="3"/>
      <c r="CB110" s="3"/>
      <c r="CC110" s="5"/>
      <c r="CE110" s="3"/>
      <c r="CH110" s="3"/>
      <c r="CI110" s="3"/>
      <c r="CK110" s="3"/>
      <c r="CL110" s="3"/>
      <c r="CN110" s="3"/>
      <c r="CO110" s="3"/>
      <c r="CQ110" s="3"/>
      <c r="CR110" s="5"/>
      <c r="CT110" s="3"/>
      <c r="CW110" s="3"/>
      <c r="CX110" s="3"/>
      <c r="CZ110" s="3"/>
      <c r="DA110" s="3"/>
      <c r="DC110" s="3"/>
      <c r="DD110" s="3"/>
      <c r="DF110" s="3"/>
      <c r="DG110" s="5"/>
      <c r="DI110" s="3"/>
      <c r="DL110" s="3"/>
      <c r="DM110" s="3"/>
      <c r="DO110" s="3"/>
      <c r="DP110" s="3"/>
      <c r="DR110" s="3"/>
      <c r="DS110" s="1" t="str">
        <f>_xlfn.XLOOKUP(OfficeForms.Table[[#This Row],[Selecione a Categoria do Laboratório desta atividade prática:]],Planilha1!A:A,Planilha1!B:B)</f>
        <v>BFI</v>
      </c>
      <c r="DT110" s="1" t="str">
        <f>CONCATENATE(OfficeForms.Table[[#This Row],[Selecione seu Polo Laboratório de Atividades Presenciais:]],OfficeForms.Table[[#This Row],[CHAVE CONVERSÃO]])</f>
        <v>Guarujá/SPBFI</v>
      </c>
      <c r="DU11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Inferiores : Prática em Fisioterapia Traumato-Ortopédica</v>
      </c>
      <c r="DV11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1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10" s="1" t="str">
        <f>_xlfn.XLOOKUP(OfficeForms.Table[[#This Row],[CHAVE LINK POLO]],'[1]Quadro Geral de Lotação'!$B:$B,'[1]Quadro Geral de Lotação'!$I:$I)</f>
        <v>Lucas Soares De Medeiros</v>
      </c>
      <c r="DY110" s="1" t="str">
        <f>OfficeForms.Table[[#This Row],[Selecione a Ordem de Disciplina]]</f>
        <v>Ordem 1</v>
      </c>
    </row>
    <row r="111" spans="1:129" ht="34.15" customHeight="1">
      <c r="A111" s="1">
        <v>111</v>
      </c>
      <c r="B111" s="2">
        <v>46086.602708333303</v>
      </c>
      <c r="C111" s="2">
        <v>46086.604004629597</v>
      </c>
      <c r="D111" s="3" t="s">
        <v>129</v>
      </c>
      <c r="E111" s="3" t="s">
        <v>130</v>
      </c>
      <c r="G111" s="3"/>
      <c r="I111" s="3" t="s">
        <v>131</v>
      </c>
      <c r="K111" s="3"/>
      <c r="L111" s="1" t="s">
        <v>132</v>
      </c>
      <c r="O111" s="3" t="s">
        <v>133</v>
      </c>
      <c r="Q111" s="3"/>
      <c r="R111" s="3"/>
      <c r="T111" s="3"/>
      <c r="U111" s="5"/>
      <c r="W111" s="3"/>
      <c r="Z111" s="3"/>
      <c r="AA111" s="3"/>
      <c r="AC111" s="3"/>
      <c r="AD111" s="3"/>
      <c r="AF111" s="3"/>
      <c r="AG111" s="3"/>
      <c r="AI111" s="3"/>
      <c r="AJ111" s="1"/>
      <c r="AL111" s="3"/>
      <c r="AO111" s="3"/>
      <c r="AP111" s="3"/>
      <c r="AR111" s="3"/>
      <c r="AS111" s="3"/>
      <c r="AU111" s="3"/>
      <c r="AV111" s="3" t="s">
        <v>537</v>
      </c>
      <c r="AX111" s="3"/>
      <c r="AY111" s="5">
        <v>46085</v>
      </c>
      <c r="BA111" s="3"/>
      <c r="BB111" s="1">
        <v>1</v>
      </c>
      <c r="BD111" s="3"/>
      <c r="BE111" s="3" t="s">
        <v>553</v>
      </c>
      <c r="BG111" s="3"/>
      <c r="BH111" s="3" t="s">
        <v>554</v>
      </c>
      <c r="BJ111" s="3"/>
      <c r="BK111" s="3"/>
      <c r="BM111" s="3"/>
      <c r="BN111" s="5"/>
      <c r="BP111" s="3"/>
      <c r="BS111" s="3"/>
      <c r="BT111" s="3"/>
      <c r="BV111" s="3"/>
      <c r="BW111" s="3"/>
      <c r="BY111" s="3"/>
      <c r="BZ111" s="3"/>
      <c r="CB111" s="3"/>
      <c r="CC111" s="5"/>
      <c r="CE111" s="3"/>
      <c r="CH111" s="3"/>
      <c r="CI111" s="3"/>
      <c r="CK111" s="3"/>
      <c r="CL111" s="3"/>
      <c r="CN111" s="3"/>
      <c r="CO111" s="3"/>
      <c r="CQ111" s="3"/>
      <c r="CR111" s="5"/>
      <c r="CT111" s="3"/>
      <c r="CW111" s="3"/>
      <c r="CX111" s="3"/>
      <c r="CZ111" s="3"/>
      <c r="DA111" s="3"/>
      <c r="DC111" s="3"/>
      <c r="DD111" s="3"/>
      <c r="DF111" s="3"/>
      <c r="DG111" s="5"/>
      <c r="DI111" s="3"/>
      <c r="DL111" s="3"/>
      <c r="DM111" s="3"/>
      <c r="DO111" s="3"/>
      <c r="DP111" s="3"/>
      <c r="DR111" s="3"/>
      <c r="DS111" s="1" t="str">
        <f>_xlfn.XLOOKUP(OfficeForms.Table[[#This Row],[Selecione a Categoria do Laboratório desta atividade prática:]],Planilha1!A:A,Planilha1!B:B)</f>
        <v>BFI</v>
      </c>
      <c r="DT111" s="1" t="str">
        <f>CONCATENATE(OfficeForms.Table[[#This Row],[Selecione seu Polo Laboratório de Atividades Presenciais:]],OfficeForms.Table[[#This Row],[CHAVE CONVERSÃO]])</f>
        <v>Guarujá/SPBFI</v>
      </c>
      <c r="DU11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Traumato-Ortopédica em Coluna Vertebral: Manejo de Disfunções Cervicais, Torácicas e Lombares</v>
      </c>
      <c r="DV11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1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11" s="1" t="str">
        <f>_xlfn.XLOOKUP(OfficeForms.Table[[#This Row],[CHAVE LINK POLO]],'[1]Quadro Geral de Lotação'!$B:$B,'[1]Quadro Geral de Lotação'!$I:$I)</f>
        <v>Lucas Soares De Medeiros</v>
      </c>
      <c r="DY111" s="1" t="str">
        <f>OfficeForms.Table[[#This Row],[Selecione a Ordem de Disciplina]]</f>
        <v>Ordem 1</v>
      </c>
    </row>
    <row r="112" spans="1:129" ht="34.15" customHeight="1">
      <c r="A112" s="1">
        <v>112</v>
      </c>
      <c r="B112" s="2">
        <v>46086.621527777803</v>
      </c>
      <c r="C112" s="2">
        <v>46086.661840277797</v>
      </c>
      <c r="D112" s="3" t="s">
        <v>518</v>
      </c>
      <c r="E112" s="3" t="s">
        <v>519</v>
      </c>
      <c r="G112" s="3"/>
      <c r="I112" s="3" t="s">
        <v>155</v>
      </c>
      <c r="K112" s="3"/>
      <c r="L112" s="1" t="s">
        <v>132</v>
      </c>
      <c r="O112" s="3" t="s">
        <v>184</v>
      </c>
      <c r="Q112" s="3"/>
      <c r="R112" s="3"/>
      <c r="T112" s="3"/>
      <c r="U112" s="5"/>
      <c r="W112" s="3"/>
      <c r="Z112" s="3"/>
      <c r="AA112" s="3"/>
      <c r="AC112" s="3"/>
      <c r="AD112" s="3"/>
      <c r="AF112" s="3"/>
      <c r="AG112" s="3" t="s">
        <v>414</v>
      </c>
      <c r="AI112" s="3"/>
      <c r="AJ112" s="1">
        <v>46085</v>
      </c>
      <c r="AL112" s="3"/>
      <c r="AM112" s="1">
        <v>6</v>
      </c>
      <c r="AO112" s="3"/>
      <c r="AP112" s="3" t="s">
        <v>555</v>
      </c>
      <c r="AR112" s="3"/>
      <c r="AS112" s="3" t="s">
        <v>556</v>
      </c>
      <c r="AU112" s="3"/>
      <c r="AV112" s="3"/>
      <c r="AX112" s="3"/>
      <c r="AY112" s="5"/>
      <c r="BA112" s="3"/>
      <c r="BD112" s="3"/>
      <c r="BE112" s="3"/>
      <c r="BG112" s="3"/>
      <c r="BH112" s="3"/>
      <c r="BJ112" s="3"/>
      <c r="BK112" s="3"/>
      <c r="BM112" s="3"/>
      <c r="BN112" s="5"/>
      <c r="BP112" s="3"/>
      <c r="BS112" s="3"/>
      <c r="BT112" s="3"/>
      <c r="BV112" s="3"/>
      <c r="BW112" s="3"/>
      <c r="BY112" s="3"/>
      <c r="BZ112" s="3"/>
      <c r="CB112" s="3"/>
      <c r="CC112" s="5"/>
      <c r="CE112" s="3"/>
      <c r="CH112" s="3"/>
      <c r="CI112" s="3"/>
      <c r="CK112" s="3"/>
      <c r="CL112" s="3"/>
      <c r="CN112" s="3"/>
      <c r="CO112" s="3"/>
      <c r="CQ112" s="3"/>
      <c r="CR112" s="5"/>
      <c r="CT112" s="3"/>
      <c r="CW112" s="3"/>
      <c r="CX112" s="3"/>
      <c r="CZ112" s="3"/>
      <c r="DA112" s="3"/>
      <c r="DC112" s="3"/>
      <c r="DD112" s="3"/>
      <c r="DF112" s="3"/>
      <c r="DG112" s="5"/>
      <c r="DI112" s="3"/>
      <c r="DL112" s="3"/>
      <c r="DM112" s="3"/>
      <c r="DO112" s="3"/>
      <c r="DP112" s="3"/>
      <c r="DR112" s="3"/>
      <c r="DS112" s="1" t="str">
        <f>_xlfn.XLOOKUP(OfficeForms.Table[[#This Row],[Selecione a Categoria do Laboratório desta atividade prática:]],Planilha1!A:A,Planilha1!B:B)</f>
        <v>EMF-ISN</v>
      </c>
      <c r="DT112" s="1" t="str">
        <f>CONCATENATE(OfficeForms.Table[[#This Row],[Selecione seu Polo Laboratório de Atividades Presenciais:]],OfficeForms.Table[[#This Row],[CHAVE CONVERSÃO]])</f>
        <v>Novo Hamburgo/RS - CentroEMF-ISN</v>
      </c>
      <c r="DU11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11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1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112" s="1" t="str">
        <f>_xlfn.XLOOKUP(OfficeForms.Table[[#This Row],[CHAVE LINK POLO]],'[1]Quadro Geral de Lotação'!$B:$B,'[1]Quadro Geral de Lotação'!$I:$I)</f>
        <v>Francine Xavier Guterres</v>
      </c>
      <c r="DY112" s="1" t="str">
        <f>OfficeForms.Table[[#This Row],[Selecione a Ordem de Disciplina]]</f>
        <v>Ordem 1</v>
      </c>
    </row>
    <row r="113" spans="1:129" ht="34.15" customHeight="1">
      <c r="A113" s="1">
        <v>113</v>
      </c>
      <c r="B113" s="2">
        <v>46086.759016203701</v>
      </c>
      <c r="C113" s="2">
        <v>46086.761099536998</v>
      </c>
      <c r="D113" s="3" t="s">
        <v>557</v>
      </c>
      <c r="E113" s="3" t="s">
        <v>558</v>
      </c>
      <c r="G113" s="3"/>
      <c r="I113" s="3" t="s">
        <v>559</v>
      </c>
      <c r="K113" s="3"/>
      <c r="L113" s="1" t="s">
        <v>132</v>
      </c>
      <c r="O113" s="3" t="s">
        <v>184</v>
      </c>
      <c r="Q113" s="3"/>
      <c r="R113" s="3"/>
      <c r="T113" s="3"/>
      <c r="U113" s="5"/>
      <c r="W113" s="3"/>
      <c r="Z113" s="3"/>
      <c r="AA113" s="3"/>
      <c r="AC113" s="3"/>
      <c r="AD113" s="3"/>
      <c r="AF113" s="3"/>
      <c r="AG113" s="3" t="s">
        <v>316</v>
      </c>
      <c r="AI113" s="3"/>
      <c r="AJ113" s="1">
        <v>46081</v>
      </c>
      <c r="AL113" s="3"/>
      <c r="AM113" s="1">
        <v>1</v>
      </c>
      <c r="AO113" s="3"/>
      <c r="AP113" s="3" t="s">
        <v>560</v>
      </c>
      <c r="AR113" s="3"/>
      <c r="AS113" s="3" t="s">
        <v>561</v>
      </c>
      <c r="AU113" s="3"/>
      <c r="AV113" s="3"/>
      <c r="AX113" s="3"/>
      <c r="AY113" s="5"/>
      <c r="BA113" s="3"/>
      <c r="BD113" s="3"/>
      <c r="BE113" s="3"/>
      <c r="BG113" s="3"/>
      <c r="BH113" s="3"/>
      <c r="BJ113" s="3"/>
      <c r="BK113" s="3"/>
      <c r="BM113" s="3"/>
      <c r="BN113" s="5"/>
      <c r="BP113" s="3"/>
      <c r="BS113" s="3"/>
      <c r="BT113" s="3"/>
      <c r="BV113" s="3"/>
      <c r="BW113" s="3"/>
      <c r="BY113" s="3"/>
      <c r="BZ113" s="3"/>
      <c r="CB113" s="3"/>
      <c r="CC113" s="5"/>
      <c r="CE113" s="3"/>
      <c r="CH113" s="3"/>
      <c r="CI113" s="3"/>
      <c r="CK113" s="3"/>
      <c r="CL113" s="3"/>
      <c r="CN113" s="3"/>
      <c r="CO113" s="3"/>
      <c r="CQ113" s="3"/>
      <c r="CR113" s="5"/>
      <c r="CT113" s="3"/>
      <c r="CW113" s="3"/>
      <c r="CX113" s="3"/>
      <c r="CZ113" s="3"/>
      <c r="DA113" s="3"/>
      <c r="DC113" s="3"/>
      <c r="DD113" s="3"/>
      <c r="DF113" s="3"/>
      <c r="DG113" s="5"/>
      <c r="DI113" s="3"/>
      <c r="DL113" s="3"/>
      <c r="DM113" s="3"/>
      <c r="DO113" s="3"/>
      <c r="DP113" s="3"/>
      <c r="DR113" s="3"/>
      <c r="DS113" s="1" t="str">
        <f>_xlfn.XLOOKUP(OfficeForms.Table[[#This Row],[Selecione a Categoria do Laboratório desta atividade prática:]],Planilha1!A:A,Planilha1!B:B)</f>
        <v>EMF-ISN</v>
      </c>
      <c r="DT113" s="1" t="str">
        <f>CONCATENATE(OfficeForms.Table[[#This Row],[Selecione seu Polo Laboratório de Atividades Presenciais:]],OfficeForms.Table[[#This Row],[CHAVE CONVERSÃO]])</f>
        <v>Sapé/PBEMF-ISN</v>
      </c>
      <c r="DU11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11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11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13" s="1" t="str">
        <f>_xlfn.XLOOKUP(OfficeForms.Table[[#This Row],[CHAVE LINK POLO]],'[1]Quadro Geral de Lotação'!$B:$B,'[1]Quadro Geral de Lotação'!$I:$I)</f>
        <v>Sara Luana De Vasconcelos Gomes</v>
      </c>
      <c r="DY113" s="1" t="str">
        <f>OfficeForms.Table[[#This Row],[Selecione a Ordem de Disciplina]]</f>
        <v>Ordem 1</v>
      </c>
    </row>
    <row r="114" spans="1:129" ht="34.15" customHeight="1">
      <c r="A114" s="1">
        <v>114</v>
      </c>
      <c r="B114" s="2">
        <v>46086.773958333302</v>
      </c>
      <c r="C114" s="2">
        <v>46086.882581018501</v>
      </c>
      <c r="D114" s="3" t="s">
        <v>367</v>
      </c>
      <c r="E114" s="3" t="s">
        <v>368</v>
      </c>
      <c r="G114" s="3"/>
      <c r="I114" s="3" t="s">
        <v>369</v>
      </c>
      <c r="K114" s="3"/>
      <c r="L114" s="1" t="s">
        <v>132</v>
      </c>
      <c r="O114" s="3" t="s">
        <v>184</v>
      </c>
      <c r="Q114" s="3"/>
      <c r="R114" s="3"/>
      <c r="T114" s="3"/>
      <c r="U114" s="5"/>
      <c r="W114" s="3"/>
      <c r="Z114" s="3"/>
      <c r="AA114" s="3"/>
      <c r="AC114" s="3"/>
      <c r="AD114" s="3"/>
      <c r="AF114" s="3"/>
      <c r="AG114" s="3" t="s">
        <v>224</v>
      </c>
      <c r="AI114" s="3"/>
      <c r="AJ114" s="1">
        <v>46086</v>
      </c>
      <c r="AL114" s="3"/>
      <c r="AM114" s="1">
        <v>5</v>
      </c>
      <c r="AO114" s="3"/>
      <c r="AP114" s="3" t="s">
        <v>562</v>
      </c>
      <c r="AR114" s="3"/>
      <c r="AS114" s="3" t="s">
        <v>563</v>
      </c>
      <c r="AU114" s="3"/>
      <c r="AV114" s="3"/>
      <c r="AX114" s="3"/>
      <c r="AY114" s="5"/>
      <c r="BA114" s="3"/>
      <c r="BD114" s="3"/>
      <c r="BE114" s="3"/>
      <c r="BG114" s="3"/>
      <c r="BH114" s="3"/>
      <c r="BJ114" s="3"/>
      <c r="BK114" s="3"/>
      <c r="BM114" s="3"/>
      <c r="BN114" s="5"/>
      <c r="BP114" s="3"/>
      <c r="BS114" s="3"/>
      <c r="BT114" s="3"/>
      <c r="BV114" s="3"/>
      <c r="BW114" s="3"/>
      <c r="BY114" s="3"/>
      <c r="BZ114" s="3"/>
      <c r="CB114" s="3"/>
      <c r="CC114" s="5"/>
      <c r="CE114" s="3"/>
      <c r="CH114" s="3"/>
      <c r="CI114" s="3"/>
      <c r="CK114" s="3"/>
      <c r="CL114" s="3"/>
      <c r="CN114" s="3"/>
      <c r="CO114" s="3"/>
      <c r="CQ114" s="3"/>
      <c r="CR114" s="5"/>
      <c r="CT114" s="3"/>
      <c r="CW114" s="3"/>
      <c r="CX114" s="3"/>
      <c r="CZ114" s="3"/>
      <c r="DA114" s="3"/>
      <c r="DC114" s="3"/>
      <c r="DD114" s="3"/>
      <c r="DF114" s="3"/>
      <c r="DG114" s="5"/>
      <c r="DI114" s="3"/>
      <c r="DL114" s="3"/>
      <c r="DM114" s="3"/>
      <c r="DO114" s="3"/>
      <c r="DP114" s="3"/>
      <c r="DR114" s="3"/>
      <c r="DS114" s="1" t="str">
        <f>_xlfn.XLOOKUP(OfficeForms.Table[[#This Row],[Selecione a Categoria do Laboratório desta atividade prática:]],Planilha1!A:A,Planilha1!B:B)</f>
        <v>EMF-ISN</v>
      </c>
      <c r="DT114" s="1" t="str">
        <f>CONCATENATE(OfficeForms.Table[[#This Row],[Selecione seu Polo Laboratório de Atividades Presenciais:]],OfficeForms.Table[[#This Row],[CHAVE CONVERSÃO]])</f>
        <v>Niterói/RJ - IngáEMF-ISN</v>
      </c>
      <c r="DU11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11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1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114" s="1" t="str">
        <f>_xlfn.XLOOKUP(OfficeForms.Table[[#This Row],[CHAVE LINK POLO]],'[1]Quadro Geral de Lotação'!$B:$B,'[1]Quadro Geral de Lotação'!$I:$I)</f>
        <v>Conceicao Ignacio da Silva Delphino</v>
      </c>
      <c r="DY114" s="1" t="str">
        <f>OfficeForms.Table[[#This Row],[Selecione a Ordem de Disciplina]]</f>
        <v>Ordem 1</v>
      </c>
    </row>
    <row r="115" spans="1:129" ht="34.15" customHeight="1">
      <c r="A115" s="1">
        <v>115</v>
      </c>
      <c r="B115" s="2">
        <v>46086.911168981504</v>
      </c>
      <c r="C115" s="2">
        <v>46086.9141087963</v>
      </c>
      <c r="D115" s="3" t="s">
        <v>137</v>
      </c>
      <c r="E115" s="3" t="s">
        <v>138</v>
      </c>
      <c r="G115" s="3"/>
      <c r="I115" s="3" t="s">
        <v>139</v>
      </c>
      <c r="K115" s="3"/>
      <c r="L115" s="1" t="s">
        <v>132</v>
      </c>
      <c r="O115" s="3" t="s">
        <v>140</v>
      </c>
      <c r="Q115" s="3"/>
      <c r="R115" s="3"/>
      <c r="T115" s="3"/>
      <c r="U115" s="5"/>
      <c r="W115" s="3"/>
      <c r="Z115" s="3"/>
      <c r="AA115" s="3"/>
      <c r="AC115" s="3"/>
      <c r="AD115" s="3"/>
      <c r="AF115" s="3"/>
      <c r="AG115" s="3"/>
      <c r="AI115" s="3"/>
      <c r="AJ115" s="1"/>
      <c r="AL115" s="3"/>
      <c r="AO115" s="3"/>
      <c r="AP115" s="3"/>
      <c r="AR115" s="3"/>
      <c r="AS115" s="3"/>
      <c r="AU115" s="3"/>
      <c r="AV115" s="3"/>
      <c r="AX115" s="3"/>
      <c r="AY115" s="5"/>
      <c r="BA115" s="3"/>
      <c r="BD115" s="3"/>
      <c r="BE115" s="3"/>
      <c r="BG115" s="3"/>
      <c r="BH115" s="3"/>
      <c r="BJ115" s="3"/>
      <c r="BK115" s="3"/>
      <c r="BM115" s="3"/>
      <c r="BN115" s="5"/>
      <c r="BP115" s="3"/>
      <c r="BS115" s="3"/>
      <c r="BT115" s="3"/>
      <c r="BV115" s="3"/>
      <c r="BW115" s="3"/>
      <c r="BY115" s="3"/>
      <c r="BZ115" s="3" t="s">
        <v>564</v>
      </c>
      <c r="CB115" s="3"/>
      <c r="CC115" s="5">
        <v>46086</v>
      </c>
      <c r="CE115" s="3"/>
      <c r="CF115" s="1">
        <v>0</v>
      </c>
      <c r="CH115" s="3"/>
      <c r="CI115" s="3" t="s">
        <v>565</v>
      </c>
      <c r="CK115" s="3"/>
      <c r="CL115" s="3" t="s">
        <v>566</v>
      </c>
      <c r="CN115" s="3"/>
      <c r="CO115" s="3"/>
      <c r="CQ115" s="3"/>
      <c r="CR115" s="5"/>
      <c r="CT115" s="3"/>
      <c r="CW115" s="3"/>
      <c r="CX115" s="3"/>
      <c r="CZ115" s="3"/>
      <c r="DA115" s="3"/>
      <c r="DC115" s="3"/>
      <c r="DD115" s="3"/>
      <c r="DF115" s="3"/>
      <c r="DG115" s="5"/>
      <c r="DI115" s="3"/>
      <c r="DL115" s="3"/>
      <c r="DM115" s="3"/>
      <c r="DO115" s="3"/>
      <c r="DP115" s="3"/>
      <c r="DR115" s="3"/>
      <c r="DS115" s="1" t="str">
        <f>_xlfn.XLOOKUP(OfficeForms.Table[[#This Row],[Selecione a Categoria do Laboratório desta atividade prática:]],Planilha1!A:A,Planilha1!B:B)</f>
        <v>ECE-ENM-ENS-ENG-EEA-GPI-CDE-OBR-SAN-TER-FSA-SLF-QUI</v>
      </c>
      <c r="DT115" s="1" t="str">
        <f>CONCATENATE(OfficeForms.Table[[#This Row],[Selecione seu Polo Laboratório de Atividades Presenciais:]],OfficeForms.Table[[#This Row],[CHAVE CONVERSÃO]])</f>
        <v>Chapecó/SC - CentroECE-ENM-ENS-ENG-EEA-GPI-CDE-OBR-SAN-TER-FSA-SLF-QUI</v>
      </c>
      <c r="DU11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 Simulação e análise de um circuito RLC série</v>
      </c>
      <c r="DV11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1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15" s="1" t="str">
        <f>_xlfn.XLOOKUP(OfficeForms.Table[[#This Row],[CHAVE LINK POLO]],'[1]Quadro Geral de Lotação'!$B:$B,'[1]Quadro Geral de Lotação'!$I:$I)</f>
        <v>Gabriela Fanck Dos Santos</v>
      </c>
      <c r="DY115" s="1" t="str">
        <f>OfficeForms.Table[[#This Row],[Selecione a Ordem de Disciplina]]</f>
        <v>Ordem 1</v>
      </c>
    </row>
    <row r="116" spans="1:129" ht="34.15" customHeight="1">
      <c r="A116" s="1">
        <v>116</v>
      </c>
      <c r="B116" s="2">
        <v>46087.431898148097</v>
      </c>
      <c r="C116" s="2">
        <v>46087.432870370401</v>
      </c>
      <c r="D116" s="3" t="s">
        <v>281</v>
      </c>
      <c r="E116" s="3" t="s">
        <v>282</v>
      </c>
      <c r="G116" s="3"/>
      <c r="I116" s="3" t="s">
        <v>283</v>
      </c>
      <c r="K116" s="3"/>
      <c r="L116" s="1" t="s">
        <v>132</v>
      </c>
      <c r="O116" s="3" t="s">
        <v>156</v>
      </c>
      <c r="Q116" s="3"/>
      <c r="R116" s="3"/>
      <c r="T116" s="3"/>
      <c r="U116" s="5"/>
      <c r="W116" s="3"/>
      <c r="Z116" s="3"/>
      <c r="AA116" s="3"/>
      <c r="AC116" s="3"/>
      <c r="AD116" s="3"/>
      <c r="AF116" s="3"/>
      <c r="AG116" s="3"/>
      <c r="AI116" s="3"/>
      <c r="AJ116" s="1"/>
      <c r="AL116" s="3"/>
      <c r="AO116" s="3"/>
      <c r="AP116" s="3"/>
      <c r="AR116" s="3"/>
      <c r="AS116" s="3"/>
      <c r="AU116" s="3"/>
      <c r="AV116" s="3"/>
      <c r="AX116" s="3"/>
      <c r="AY116" s="5"/>
      <c r="BA116" s="3"/>
      <c r="BD116" s="3"/>
      <c r="BE116" s="3"/>
      <c r="BG116" s="3"/>
      <c r="BH116" s="3"/>
      <c r="BJ116" s="3"/>
      <c r="BK116" s="3" t="s">
        <v>165</v>
      </c>
      <c r="BM116" s="3"/>
      <c r="BN116" s="5">
        <v>46084</v>
      </c>
      <c r="BP116" s="3"/>
      <c r="BQ116" s="1">
        <v>6</v>
      </c>
      <c r="BS116" s="3"/>
      <c r="BT116" s="3" t="s">
        <v>567</v>
      </c>
      <c r="BV116" s="3"/>
      <c r="BW116" s="3" t="s">
        <v>568</v>
      </c>
      <c r="BY116" s="3"/>
      <c r="BZ116" s="3"/>
      <c r="CB116" s="3"/>
      <c r="CC116" s="5"/>
      <c r="CE116" s="3"/>
      <c r="CH116" s="3"/>
      <c r="CI116" s="3"/>
      <c r="CK116" s="3"/>
      <c r="CL116" s="3"/>
      <c r="CN116" s="3"/>
      <c r="CO116" s="3"/>
      <c r="CQ116" s="3"/>
      <c r="CR116" s="5"/>
      <c r="CT116" s="3"/>
      <c r="CW116" s="3"/>
      <c r="CX116" s="3"/>
      <c r="CZ116" s="3"/>
      <c r="DA116" s="3"/>
      <c r="DC116" s="3"/>
      <c r="DD116" s="3"/>
      <c r="DF116" s="3"/>
      <c r="DG116" s="5"/>
      <c r="DI116" s="3"/>
      <c r="DL116" s="3"/>
      <c r="DM116" s="3"/>
      <c r="DO116" s="3"/>
      <c r="DP116" s="3"/>
      <c r="DR116" s="3"/>
      <c r="DS116" s="1" t="str">
        <f>_xlfn.XLOOKUP(OfficeForms.Table[[#This Row],[Selecione a Categoria do Laboratório desta atividade prática:]],Planilha1!A:A,Planilha1!B:B)</f>
        <v>NTR</v>
      </c>
      <c r="DT116" s="1" t="str">
        <f>CONCATENATE(OfficeForms.Table[[#This Row],[Selecione seu Polo Laboratório de Atividades Presenciais:]],OfficeForms.Table[[#This Row],[CHAVE CONVERSÃO]])</f>
        <v>Criciúma/SCNTR</v>
      </c>
      <c r="DU11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11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1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116" s="1" t="str">
        <f>_xlfn.XLOOKUP(OfficeForms.Table[[#This Row],[CHAVE LINK POLO]],'[1]Quadro Geral de Lotação'!$B:$B,'[1]Quadro Geral de Lotação'!$I:$I)</f>
        <v>Izabela Cechinel Biela</v>
      </c>
      <c r="DY116" s="1" t="str">
        <f>OfficeForms.Table[[#This Row],[Selecione a Ordem de Disciplina]]</f>
        <v>Ordem 1</v>
      </c>
    </row>
    <row r="117" spans="1:129" ht="34.15" customHeight="1">
      <c r="A117" s="1">
        <v>117</v>
      </c>
      <c r="B117" s="2">
        <v>46087.651087963</v>
      </c>
      <c r="C117" s="2">
        <v>46087.6538657407</v>
      </c>
      <c r="D117" s="3" t="s">
        <v>168</v>
      </c>
      <c r="E117" s="3" t="s">
        <v>169</v>
      </c>
      <c r="G117" s="3"/>
      <c r="I117" s="3" t="s">
        <v>569</v>
      </c>
      <c r="K117" s="3"/>
      <c r="L117" s="1" t="s">
        <v>132</v>
      </c>
      <c r="O117" s="3" t="s">
        <v>133</v>
      </c>
      <c r="Q117" s="3"/>
      <c r="R117" s="3"/>
      <c r="T117" s="3"/>
      <c r="U117" s="5"/>
      <c r="W117" s="3"/>
      <c r="Z117" s="3"/>
      <c r="AA117" s="3"/>
      <c r="AC117" s="3"/>
      <c r="AD117" s="3"/>
      <c r="AF117" s="3"/>
      <c r="AG117" s="3"/>
      <c r="AI117" s="3"/>
      <c r="AJ117" s="1"/>
      <c r="AL117" s="3"/>
      <c r="AO117" s="3"/>
      <c r="AP117" s="3"/>
      <c r="AR117" s="3"/>
      <c r="AS117" s="3"/>
      <c r="AU117" s="3"/>
      <c r="AV117" s="3" t="s">
        <v>540</v>
      </c>
      <c r="AX117" s="3"/>
      <c r="AY117" s="5">
        <v>46058</v>
      </c>
      <c r="BA117" s="3"/>
      <c r="BB117" s="1">
        <v>5</v>
      </c>
      <c r="BD117" s="3"/>
      <c r="BE117" s="3" t="s">
        <v>570</v>
      </c>
      <c r="BG117" s="3"/>
      <c r="BH117" s="3" t="s">
        <v>571</v>
      </c>
      <c r="BJ117" s="3"/>
      <c r="BK117" s="3"/>
      <c r="BM117" s="3"/>
      <c r="BN117" s="5"/>
      <c r="BP117" s="3"/>
      <c r="BS117" s="3"/>
      <c r="BT117" s="3"/>
      <c r="BV117" s="3"/>
      <c r="BW117" s="3"/>
      <c r="BY117" s="3"/>
      <c r="BZ117" s="3"/>
      <c r="CB117" s="3"/>
      <c r="CC117" s="5"/>
      <c r="CE117" s="3"/>
      <c r="CH117" s="3"/>
      <c r="CI117" s="3"/>
      <c r="CK117" s="3"/>
      <c r="CL117" s="3"/>
      <c r="CN117" s="3"/>
      <c r="CO117" s="3"/>
      <c r="CQ117" s="3"/>
      <c r="CR117" s="5"/>
      <c r="CT117" s="3"/>
      <c r="CW117" s="3"/>
      <c r="CX117" s="3"/>
      <c r="CZ117" s="3"/>
      <c r="DA117" s="3"/>
      <c r="DC117" s="3"/>
      <c r="DD117" s="3"/>
      <c r="DF117" s="3"/>
      <c r="DG117" s="5"/>
      <c r="DI117" s="3"/>
      <c r="DL117" s="3"/>
      <c r="DM117" s="3"/>
      <c r="DO117" s="3"/>
      <c r="DP117" s="3"/>
      <c r="DR117" s="3"/>
      <c r="DS117" s="1" t="str">
        <f>_xlfn.XLOOKUP(OfficeForms.Table[[#This Row],[Selecione a Categoria do Laboratório desta atividade prática:]],Planilha1!A:A,Planilha1!B:B)</f>
        <v>BFI</v>
      </c>
      <c r="DT117" s="1" t="str">
        <f>CONCATENATE(OfficeForms.Table[[#This Row],[Selecione seu Polo Laboratório de Atividades Presenciais:]],OfficeForms.Table[[#This Row],[CHAVE CONVERSÃO]])</f>
        <v>Paulo Afonso/BABFI</v>
      </c>
      <c r="DU11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Mobilização Articular: Abordagens Terapêuticas em Recursos Manuais</v>
      </c>
      <c r="DV11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46058</v>
      </c>
      <c r="DW11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117" s="1" t="e">
        <f>_xlfn.XLOOKUP(OfficeForms.Table[[#This Row],[CHAVE LINK POLO]],'[1]Quadro Geral de Lotação'!$B:$B,'[1]Quadro Geral de Lotação'!$I:$I)</f>
        <v>#N/A</v>
      </c>
      <c r="DY117" s="1" t="str">
        <f>OfficeForms.Table[[#This Row],[Selecione a Ordem de Disciplina]]</f>
        <v>Ordem 1</v>
      </c>
    </row>
    <row r="118" spans="1:129" ht="34.15" customHeight="1">
      <c r="A118" s="1">
        <v>118</v>
      </c>
      <c r="B118" s="2">
        <v>46087.653946759303</v>
      </c>
      <c r="C118" s="2">
        <v>46087.655381944402</v>
      </c>
      <c r="D118" s="3" t="s">
        <v>168</v>
      </c>
      <c r="E118" s="3" t="s">
        <v>169</v>
      </c>
      <c r="G118" s="3"/>
      <c r="I118" s="3" t="s">
        <v>569</v>
      </c>
      <c r="K118" s="3"/>
      <c r="L118" s="1" t="s">
        <v>132</v>
      </c>
      <c r="O118" s="3" t="s">
        <v>133</v>
      </c>
      <c r="Q118" s="3"/>
      <c r="R118" s="3"/>
      <c r="T118" s="3"/>
      <c r="U118" s="5"/>
      <c r="W118" s="3"/>
      <c r="Z118" s="3"/>
      <c r="AA118" s="3"/>
      <c r="AC118" s="3"/>
      <c r="AD118" s="3"/>
      <c r="AF118" s="3"/>
      <c r="AG118" s="3"/>
      <c r="AI118" s="3"/>
      <c r="AJ118" s="1"/>
      <c r="AL118" s="3"/>
      <c r="AO118" s="3"/>
      <c r="AP118" s="3"/>
      <c r="AR118" s="3"/>
      <c r="AS118" s="3"/>
      <c r="AU118" s="3"/>
      <c r="AV118" s="3" t="s">
        <v>537</v>
      </c>
      <c r="AX118" s="3"/>
      <c r="AY118" s="5">
        <v>46086</v>
      </c>
      <c r="BA118" s="3"/>
      <c r="BB118" s="1">
        <v>3</v>
      </c>
      <c r="BD118" s="3"/>
      <c r="BE118" s="3" t="s">
        <v>572</v>
      </c>
      <c r="BG118" s="3"/>
      <c r="BH118" s="3" t="s">
        <v>573</v>
      </c>
      <c r="BJ118" s="3"/>
      <c r="BK118" s="3"/>
      <c r="BM118" s="3"/>
      <c r="BN118" s="5"/>
      <c r="BP118" s="3"/>
      <c r="BS118" s="3"/>
      <c r="BT118" s="3"/>
      <c r="BV118" s="3"/>
      <c r="BW118" s="3"/>
      <c r="BY118" s="3"/>
      <c r="BZ118" s="3"/>
      <c r="CB118" s="3"/>
      <c r="CC118" s="5"/>
      <c r="CE118" s="3"/>
      <c r="CH118" s="3"/>
      <c r="CI118" s="3"/>
      <c r="CK118" s="3"/>
      <c r="CL118" s="3"/>
      <c r="CN118" s="3"/>
      <c r="CO118" s="3"/>
      <c r="CQ118" s="3"/>
      <c r="CR118" s="5"/>
      <c r="CT118" s="3"/>
      <c r="CW118" s="3"/>
      <c r="CX118" s="3"/>
      <c r="CZ118" s="3"/>
      <c r="DA118" s="3"/>
      <c r="DC118" s="3"/>
      <c r="DD118" s="3"/>
      <c r="DF118" s="3"/>
      <c r="DG118" s="5"/>
      <c r="DI118" s="3"/>
      <c r="DL118" s="3"/>
      <c r="DM118" s="3"/>
      <c r="DO118" s="3"/>
      <c r="DP118" s="3"/>
      <c r="DR118" s="3"/>
      <c r="DS118" s="1" t="str">
        <f>_xlfn.XLOOKUP(OfficeForms.Table[[#This Row],[Selecione a Categoria do Laboratório desta atividade prática:]],Planilha1!A:A,Planilha1!B:B)</f>
        <v>BFI</v>
      </c>
      <c r="DT118" s="1" t="str">
        <f>CONCATENATE(OfficeForms.Table[[#This Row],[Selecione seu Polo Laboratório de Atividades Presenciais:]],OfficeForms.Table[[#This Row],[CHAVE CONVERSÃO]])</f>
        <v>Paulo Afonso/BABFI</v>
      </c>
      <c r="DU11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Traumato-Ortopédica em Coluna Vertebral: Manejo de Disfunções Cervicais, Torácicas e Lombares</v>
      </c>
      <c r="DV11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1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18" s="1" t="e">
        <f>_xlfn.XLOOKUP(OfficeForms.Table[[#This Row],[CHAVE LINK POLO]],'[1]Quadro Geral de Lotação'!$B:$B,'[1]Quadro Geral de Lotação'!$I:$I)</f>
        <v>#N/A</v>
      </c>
      <c r="DY118" s="1" t="str">
        <f>OfficeForms.Table[[#This Row],[Selecione a Ordem de Disciplina]]</f>
        <v>Ordem 1</v>
      </c>
    </row>
    <row r="119" spans="1:129" ht="34.15" customHeight="1">
      <c r="A119" s="1">
        <v>119</v>
      </c>
      <c r="B119" s="2">
        <v>46088.370706018497</v>
      </c>
      <c r="C119" s="2">
        <v>46088.385046296302</v>
      </c>
      <c r="D119" s="3" t="s">
        <v>227</v>
      </c>
      <c r="E119" s="3" t="s">
        <v>228</v>
      </c>
      <c r="G119" s="3"/>
      <c r="I119" s="3" t="s">
        <v>229</v>
      </c>
      <c r="K119" s="3"/>
      <c r="L119" s="1" t="s">
        <v>132</v>
      </c>
      <c r="O119" s="3" t="s">
        <v>184</v>
      </c>
      <c r="Q119" s="3"/>
      <c r="R119" s="3"/>
      <c r="T119" s="3"/>
      <c r="U119" s="5"/>
      <c r="W119" s="3"/>
      <c r="Z119" s="3"/>
      <c r="AA119" s="3"/>
      <c r="AC119" s="3"/>
      <c r="AD119" s="3"/>
      <c r="AF119" s="3"/>
      <c r="AG119" s="3" t="s">
        <v>194</v>
      </c>
      <c r="AI119" s="3"/>
      <c r="AJ119" s="1">
        <v>46081</v>
      </c>
      <c r="AL119" s="3"/>
      <c r="AM119" s="1">
        <v>1</v>
      </c>
      <c r="AO119" s="3"/>
      <c r="AP119" s="3" t="s">
        <v>574</v>
      </c>
      <c r="AR119" s="3"/>
      <c r="AS119" s="3" t="s">
        <v>575</v>
      </c>
      <c r="AU119" s="3"/>
      <c r="AV119" s="3"/>
      <c r="AX119" s="3"/>
      <c r="AY119" s="5"/>
      <c r="BA119" s="3"/>
      <c r="BD119" s="3"/>
      <c r="BE119" s="3"/>
      <c r="BG119" s="3"/>
      <c r="BH119" s="3"/>
      <c r="BJ119" s="3"/>
      <c r="BK119" s="3"/>
      <c r="BM119" s="3"/>
      <c r="BN119" s="5"/>
      <c r="BP119" s="3"/>
      <c r="BS119" s="3"/>
      <c r="BT119" s="3"/>
      <c r="BV119" s="3"/>
      <c r="BW119" s="3"/>
      <c r="BY119" s="3"/>
      <c r="BZ119" s="3"/>
      <c r="CB119" s="3"/>
      <c r="CC119" s="5"/>
      <c r="CE119" s="3"/>
      <c r="CH119" s="3"/>
      <c r="CI119" s="3"/>
      <c r="CK119" s="3"/>
      <c r="CL119" s="3"/>
      <c r="CN119" s="3"/>
      <c r="CO119" s="3"/>
      <c r="CQ119" s="3"/>
      <c r="CR119" s="5"/>
      <c r="CT119" s="3"/>
      <c r="CW119" s="3"/>
      <c r="CX119" s="3"/>
      <c r="CZ119" s="3"/>
      <c r="DA119" s="3"/>
      <c r="DC119" s="3"/>
      <c r="DD119" s="3"/>
      <c r="DF119" s="3"/>
      <c r="DG119" s="5"/>
      <c r="DI119" s="3"/>
      <c r="DL119" s="3"/>
      <c r="DM119" s="3"/>
      <c r="DO119" s="3"/>
      <c r="DP119" s="3"/>
      <c r="DR119" s="3"/>
      <c r="DS119" s="1" t="str">
        <f>_xlfn.XLOOKUP(OfficeForms.Table[[#This Row],[Selecione a Categoria do Laboratório desta atividade prática:]],Planilha1!A:A,Planilha1!B:B)</f>
        <v>EMF-ISN</v>
      </c>
      <c r="DT119" s="1" t="str">
        <f>CONCATENATE(OfficeForms.Table[[#This Row],[Selecione seu Polo Laboratório de Atividades Presenciais:]],OfficeForms.Table[[#This Row],[CHAVE CONVERSÃO]])</f>
        <v>Lages/SC - CentroEMF-ISN</v>
      </c>
      <c r="DU11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1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11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19" s="1" t="str">
        <f>_xlfn.XLOOKUP(OfficeForms.Table[[#This Row],[CHAVE LINK POLO]],'[1]Quadro Geral de Lotação'!$B:$B,'[1]Quadro Geral de Lotação'!$I:$I)</f>
        <v>Daniela Madruga</v>
      </c>
      <c r="DY119" s="1" t="str">
        <f>OfficeForms.Table[[#This Row],[Selecione a Ordem de Disciplina]]</f>
        <v>Ordem 1</v>
      </c>
    </row>
    <row r="120" spans="1:129" ht="34.15" customHeight="1">
      <c r="A120" s="1">
        <v>120</v>
      </c>
      <c r="B120" s="2">
        <v>46088.423877314803</v>
      </c>
      <c r="C120" s="2">
        <v>46088.437928240703</v>
      </c>
      <c r="D120" s="3" t="s">
        <v>576</v>
      </c>
      <c r="E120" s="3" t="s">
        <v>577</v>
      </c>
      <c r="G120" s="3"/>
      <c r="I120" s="3" t="s">
        <v>578</v>
      </c>
      <c r="K120" s="3"/>
      <c r="L120" s="1" t="s">
        <v>132</v>
      </c>
      <c r="O120" s="3" t="s">
        <v>184</v>
      </c>
      <c r="Q120" s="3"/>
      <c r="R120" s="3"/>
      <c r="T120" s="3"/>
      <c r="U120" s="5"/>
      <c r="W120" s="3"/>
      <c r="Z120" s="3"/>
      <c r="AA120" s="3"/>
      <c r="AC120" s="3"/>
      <c r="AD120" s="3"/>
      <c r="AF120" s="3"/>
      <c r="AG120" s="3" t="s">
        <v>579</v>
      </c>
      <c r="AI120" s="3"/>
      <c r="AJ120" s="1">
        <v>46081</v>
      </c>
      <c r="AL120" s="3"/>
      <c r="AM120" s="1">
        <v>7</v>
      </c>
      <c r="AO120" s="3"/>
      <c r="AP120" s="3" t="s">
        <v>580</v>
      </c>
      <c r="AR120" s="3"/>
      <c r="AS120" s="3" t="s">
        <v>581</v>
      </c>
      <c r="AU120" s="3"/>
      <c r="AV120" s="3"/>
      <c r="AX120" s="3"/>
      <c r="AY120" s="5"/>
      <c r="BA120" s="3"/>
      <c r="BD120" s="3"/>
      <c r="BE120" s="3"/>
      <c r="BG120" s="3"/>
      <c r="BH120" s="3"/>
      <c r="BJ120" s="3"/>
      <c r="BK120" s="3"/>
      <c r="BM120" s="3"/>
      <c r="BN120" s="5"/>
      <c r="BP120" s="3"/>
      <c r="BS120" s="3"/>
      <c r="BT120" s="3"/>
      <c r="BV120" s="3"/>
      <c r="BW120" s="3"/>
      <c r="BY120" s="3"/>
      <c r="BZ120" s="3"/>
      <c r="CB120" s="3"/>
      <c r="CC120" s="5"/>
      <c r="CE120" s="3"/>
      <c r="CH120" s="3"/>
      <c r="CI120" s="3"/>
      <c r="CK120" s="3"/>
      <c r="CL120" s="3"/>
      <c r="CN120" s="3"/>
      <c r="CO120" s="3"/>
      <c r="CQ120" s="3"/>
      <c r="CR120" s="5"/>
      <c r="CT120" s="3"/>
      <c r="CW120" s="3"/>
      <c r="CX120" s="3"/>
      <c r="CZ120" s="3"/>
      <c r="DA120" s="3"/>
      <c r="DC120" s="3"/>
      <c r="DD120" s="3"/>
      <c r="DF120" s="3"/>
      <c r="DG120" s="5"/>
      <c r="DI120" s="3"/>
      <c r="DL120" s="3"/>
      <c r="DM120" s="3"/>
      <c r="DO120" s="3"/>
      <c r="DP120" s="3"/>
      <c r="DR120" s="3"/>
      <c r="DS120" s="1" t="str">
        <f>_xlfn.XLOOKUP(OfficeForms.Table[[#This Row],[Selecione a Categoria do Laboratório desta atividade prática:]],Planilha1!A:A,Planilha1!B:B)</f>
        <v>EMF-ISN</v>
      </c>
      <c r="DT120" s="1" t="str">
        <f>CONCATENATE(OfficeForms.Table[[#This Row],[Selecione seu Polo Laboratório de Atividades Presenciais:]],OfficeForms.Table[[#This Row],[CHAVE CONVERSÃO]])</f>
        <v>Cascavel/PREMF-ISN</v>
      </c>
      <c r="DU12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paciente;Trabalho de parto natural + Emergências obstétricas</v>
      </c>
      <c r="DV12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12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120" s="1" t="str">
        <f>_xlfn.XLOOKUP(OfficeForms.Table[[#This Row],[CHAVE LINK POLO]],'[1]Quadro Geral de Lotação'!$B:$B,'[1]Quadro Geral de Lotação'!$I:$I)</f>
        <v>Geonice Liber Baratieri</v>
      </c>
      <c r="DY120" s="1" t="str">
        <f>OfficeForms.Table[[#This Row],[Selecione a Ordem de Disciplina]]</f>
        <v>Ordem 1</v>
      </c>
    </row>
    <row r="121" spans="1:129" ht="34.15" customHeight="1">
      <c r="A121" s="1">
        <v>121</v>
      </c>
      <c r="B121" s="2">
        <v>46088.463831018496</v>
      </c>
      <c r="C121" s="2">
        <v>46088.465833333299</v>
      </c>
      <c r="D121" s="3" t="s">
        <v>227</v>
      </c>
      <c r="E121" s="3" t="s">
        <v>228</v>
      </c>
      <c r="G121" s="3"/>
      <c r="I121" s="3" t="s">
        <v>229</v>
      </c>
      <c r="K121" s="3"/>
      <c r="L121" s="1" t="s">
        <v>132</v>
      </c>
      <c r="O121" s="3" t="s">
        <v>184</v>
      </c>
      <c r="Q121" s="3"/>
      <c r="R121" s="3"/>
      <c r="T121" s="3"/>
      <c r="U121" s="5"/>
      <c r="W121" s="3"/>
      <c r="Z121" s="3"/>
      <c r="AA121" s="3"/>
      <c r="AC121" s="3"/>
      <c r="AD121" s="3"/>
      <c r="AF121" s="3"/>
      <c r="AG121" s="3" t="s">
        <v>240</v>
      </c>
      <c r="AI121" s="3"/>
      <c r="AJ121" s="1">
        <v>46088</v>
      </c>
      <c r="AL121" s="3"/>
      <c r="AM121" s="1">
        <v>1</v>
      </c>
      <c r="AO121" s="3"/>
      <c r="AP121" s="3" t="s">
        <v>582</v>
      </c>
      <c r="AR121" s="3"/>
      <c r="AS121" s="3" t="s">
        <v>583</v>
      </c>
      <c r="AU121" s="3"/>
      <c r="AV121" s="3"/>
      <c r="AX121" s="3"/>
      <c r="AY121" s="5"/>
      <c r="BA121" s="3"/>
      <c r="BD121" s="3"/>
      <c r="BE121" s="3"/>
      <c r="BG121" s="3"/>
      <c r="BH121" s="3"/>
      <c r="BJ121" s="3"/>
      <c r="BK121" s="3"/>
      <c r="BM121" s="3"/>
      <c r="BN121" s="5"/>
      <c r="BP121" s="3"/>
      <c r="BS121" s="3"/>
      <c r="BT121" s="3"/>
      <c r="BV121" s="3"/>
      <c r="BW121" s="3"/>
      <c r="BY121" s="3"/>
      <c r="BZ121" s="3"/>
      <c r="CB121" s="3"/>
      <c r="CC121" s="5"/>
      <c r="CE121" s="3"/>
      <c r="CH121" s="3"/>
      <c r="CI121" s="3"/>
      <c r="CK121" s="3"/>
      <c r="CL121" s="3"/>
      <c r="CN121" s="3"/>
      <c r="CO121" s="3"/>
      <c r="CQ121" s="3"/>
      <c r="CR121" s="5"/>
      <c r="CT121" s="3"/>
      <c r="CW121" s="3"/>
      <c r="CX121" s="3"/>
      <c r="CZ121" s="3"/>
      <c r="DA121" s="3"/>
      <c r="DC121" s="3"/>
      <c r="DD121" s="3"/>
      <c r="DF121" s="3"/>
      <c r="DG121" s="5"/>
      <c r="DI121" s="3"/>
      <c r="DL121" s="3"/>
      <c r="DM121" s="3"/>
      <c r="DO121" s="3"/>
      <c r="DP121" s="3"/>
      <c r="DR121" s="3"/>
      <c r="DS121" s="1" t="str">
        <f>_xlfn.XLOOKUP(OfficeForms.Table[[#This Row],[Selecione a Categoria do Laboratório desta atividade prática:]],Planilha1!A:A,Planilha1!B:B)</f>
        <v>EMF-ISN</v>
      </c>
      <c r="DT121" s="1" t="str">
        <f>CONCATENATE(OfficeForms.Table[[#This Row],[Selecione seu Polo Laboratório de Atividades Presenciais:]],OfficeForms.Table[[#This Row],[CHAVE CONVERSÃO]])</f>
        <v>Lages/SC - CentroEMF-ISN</v>
      </c>
      <c r="DU12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Curativo;Avaliação corporal + Ausculta pulmonar + Ausculta cardiaca + Verificação de sinais vitais</v>
      </c>
      <c r="DV12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12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21" s="1" t="str">
        <f>_xlfn.XLOOKUP(OfficeForms.Table[[#This Row],[CHAVE LINK POLO]],'[1]Quadro Geral de Lotação'!$B:$B,'[1]Quadro Geral de Lotação'!$I:$I)</f>
        <v>Daniela Madruga</v>
      </c>
      <c r="DY121" s="1" t="str">
        <f>OfficeForms.Table[[#This Row],[Selecione a Ordem de Disciplina]]</f>
        <v>Ordem 1</v>
      </c>
    </row>
    <row r="122" spans="1:129" ht="34.15" customHeight="1">
      <c r="A122" s="1">
        <v>122</v>
      </c>
      <c r="B122" s="2">
        <v>46088.772511574098</v>
      </c>
      <c r="C122" s="2">
        <v>46088.780115740701</v>
      </c>
      <c r="D122" s="3" t="s">
        <v>429</v>
      </c>
      <c r="E122" s="3" t="s">
        <v>430</v>
      </c>
      <c r="G122" s="3"/>
      <c r="I122" s="3" t="s">
        <v>431</v>
      </c>
      <c r="K122" s="3"/>
      <c r="L122" s="1" t="s">
        <v>132</v>
      </c>
      <c r="O122" s="3" t="s">
        <v>184</v>
      </c>
      <c r="Q122" s="3"/>
      <c r="R122" s="3"/>
      <c r="T122" s="3"/>
      <c r="U122" s="5"/>
      <c r="W122" s="3"/>
      <c r="Z122" s="3"/>
      <c r="AA122" s="3"/>
      <c r="AC122" s="3"/>
      <c r="AD122" s="3"/>
      <c r="AF122" s="3"/>
      <c r="AG122" s="3" t="s">
        <v>322</v>
      </c>
      <c r="AI122" s="3"/>
      <c r="AJ122" s="1">
        <v>46085</v>
      </c>
      <c r="AL122" s="3"/>
      <c r="AM122" s="1">
        <v>16</v>
      </c>
      <c r="AO122" s="3"/>
      <c r="AP122" s="3" t="s">
        <v>584</v>
      </c>
      <c r="AR122" s="3"/>
      <c r="AS122" s="3" t="s">
        <v>585</v>
      </c>
      <c r="AU122" s="3"/>
      <c r="AV122" s="3"/>
      <c r="AX122" s="3"/>
      <c r="AY122" s="5"/>
      <c r="BA122" s="3"/>
      <c r="BD122" s="3"/>
      <c r="BE122" s="3"/>
      <c r="BG122" s="3"/>
      <c r="BH122" s="3"/>
      <c r="BJ122" s="3"/>
      <c r="BK122" s="3"/>
      <c r="BM122" s="3"/>
      <c r="BN122" s="5"/>
      <c r="BP122" s="3"/>
      <c r="BS122" s="3"/>
      <c r="BT122" s="3"/>
      <c r="BV122" s="3"/>
      <c r="BW122" s="3"/>
      <c r="BY122" s="3"/>
      <c r="BZ122" s="3"/>
      <c r="CB122" s="3"/>
      <c r="CC122" s="5"/>
      <c r="CE122" s="3"/>
      <c r="CH122" s="3"/>
      <c r="CI122" s="3"/>
      <c r="CK122" s="3"/>
      <c r="CL122" s="3"/>
      <c r="CN122" s="3"/>
      <c r="CO122" s="3"/>
      <c r="CQ122" s="3"/>
      <c r="CR122" s="5"/>
      <c r="CT122" s="3"/>
      <c r="CW122" s="3"/>
      <c r="CX122" s="3"/>
      <c r="CZ122" s="3"/>
      <c r="DA122" s="3"/>
      <c r="DC122" s="3"/>
      <c r="DD122" s="3"/>
      <c r="DF122" s="3"/>
      <c r="DG122" s="5"/>
      <c r="DI122" s="3"/>
      <c r="DL122" s="3"/>
      <c r="DM122" s="3"/>
      <c r="DO122" s="3"/>
      <c r="DP122" s="3"/>
      <c r="DR122" s="3"/>
      <c r="DS122" s="1" t="str">
        <f>_xlfn.XLOOKUP(OfficeForms.Table[[#This Row],[Selecione a Categoria do Laboratório desta atividade prática:]],Planilha1!A:A,Planilha1!B:B)</f>
        <v>EMF-ISN</v>
      </c>
      <c r="DT122" s="1" t="str">
        <f>CONCATENATE(OfficeForms.Table[[#This Row],[Selecione seu Polo Laboratório de Atividades Presenciais:]],OfficeForms.Table[[#This Row],[CHAVE CONVERSÃO]])</f>
        <v>Assú/RNEMF-ISN</v>
      </c>
      <c r="DU12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12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2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16</v>
      </c>
      <c r="DX122" s="1" t="str">
        <f>_xlfn.XLOOKUP(OfficeForms.Table[[#This Row],[CHAVE LINK POLO]],'[1]Quadro Geral de Lotação'!$B:$B,'[1]Quadro Geral de Lotação'!$I:$I)</f>
        <v>Romulo Freire Pinto</v>
      </c>
      <c r="DY122" s="1" t="str">
        <f>OfficeForms.Table[[#This Row],[Selecione a Ordem de Disciplina]]</f>
        <v>Ordem 1</v>
      </c>
    </row>
    <row r="123" spans="1:129" ht="34.15" customHeight="1">
      <c r="A123" s="1">
        <v>123</v>
      </c>
      <c r="B123" s="2">
        <v>46088.816203703696</v>
      </c>
      <c r="C123" s="2">
        <v>46088.822500000002</v>
      </c>
      <c r="D123" s="3" t="s">
        <v>543</v>
      </c>
      <c r="E123" s="3" t="s">
        <v>544</v>
      </c>
      <c r="G123" s="3"/>
      <c r="I123" s="3" t="s">
        <v>545</v>
      </c>
      <c r="K123" s="3"/>
      <c r="L123" s="1" t="s">
        <v>132</v>
      </c>
      <c r="O123" s="3" t="s">
        <v>140</v>
      </c>
      <c r="Q123" s="3"/>
      <c r="R123" s="3"/>
      <c r="T123" s="3"/>
      <c r="U123" s="5"/>
      <c r="W123" s="3"/>
      <c r="Z123" s="3"/>
      <c r="AA123" s="3"/>
      <c r="AC123" s="3"/>
      <c r="AD123" s="3"/>
      <c r="AF123" s="3"/>
      <c r="AG123" s="3"/>
      <c r="AI123" s="3"/>
      <c r="AJ123" s="1"/>
      <c r="AL123" s="3"/>
      <c r="AO123" s="3"/>
      <c r="AP123" s="3"/>
      <c r="AR123" s="3"/>
      <c r="AS123" s="3"/>
      <c r="AU123" s="3"/>
      <c r="AV123" s="3"/>
      <c r="AX123" s="3"/>
      <c r="AY123" s="5"/>
      <c r="BA123" s="3"/>
      <c r="BD123" s="3"/>
      <c r="BE123" s="3"/>
      <c r="BG123" s="3"/>
      <c r="BH123" s="3"/>
      <c r="BJ123" s="3"/>
      <c r="BK123" s="3"/>
      <c r="BM123" s="3"/>
      <c r="BN123" s="5"/>
      <c r="BP123" s="3"/>
      <c r="BS123" s="3"/>
      <c r="BT123" s="3"/>
      <c r="BV123" s="3"/>
      <c r="BW123" s="3"/>
      <c r="BY123" s="3"/>
      <c r="BZ123" s="3" t="s">
        <v>586</v>
      </c>
      <c r="CB123" s="3"/>
      <c r="CC123" s="5">
        <v>46087</v>
      </c>
      <c r="CE123" s="3"/>
      <c r="CF123" s="1">
        <v>2</v>
      </c>
      <c r="CH123" s="3"/>
      <c r="CI123" s="3" t="s">
        <v>587</v>
      </c>
      <c r="CK123" s="3"/>
      <c r="CL123" s="3" t="s">
        <v>588</v>
      </c>
      <c r="CN123" s="3"/>
      <c r="CO123" s="3"/>
      <c r="CQ123" s="3"/>
      <c r="CR123" s="5"/>
      <c r="CT123" s="3"/>
      <c r="CW123" s="3"/>
      <c r="CX123" s="3"/>
      <c r="CZ123" s="3"/>
      <c r="DA123" s="3"/>
      <c r="DC123" s="3"/>
      <c r="DD123" s="3"/>
      <c r="DF123" s="3"/>
      <c r="DG123" s="5"/>
      <c r="DI123" s="3"/>
      <c r="DL123" s="3"/>
      <c r="DM123" s="3"/>
      <c r="DO123" s="3"/>
      <c r="DP123" s="3"/>
      <c r="DR123" s="3"/>
      <c r="DS123" s="1" t="str">
        <f>_xlfn.XLOOKUP(OfficeForms.Table[[#This Row],[Selecione a Categoria do Laboratório desta atividade prática:]],Planilha1!A:A,Planilha1!B:B)</f>
        <v>ECE-ENM-ENS-ENG-EEA-GPI-CDE-OBR-SAN-TER-FSA-SLF-QUI</v>
      </c>
      <c r="DT123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12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Associação De Resistores Em Série e Paralelo;QUÍMICA E FÍSICA - Experimento de Oersted</v>
      </c>
      <c r="DV12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12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23" s="1" t="e">
        <f>_xlfn.XLOOKUP(OfficeForms.Table[[#This Row],[CHAVE LINK POLO]],'[1]Quadro Geral de Lotação'!$B:$B,'[1]Quadro Geral de Lotação'!$I:$I)</f>
        <v>#N/A</v>
      </c>
      <c r="DY123" s="1" t="str">
        <f>OfficeForms.Table[[#This Row],[Selecione a Ordem de Disciplina]]</f>
        <v>Ordem 1</v>
      </c>
    </row>
    <row r="124" spans="1:129" ht="34.15" customHeight="1">
      <c r="A124" s="1">
        <v>124</v>
      </c>
      <c r="B124" s="2">
        <v>46088.913773148102</v>
      </c>
      <c r="C124" s="2">
        <v>46088.916701388902</v>
      </c>
      <c r="D124" s="3" t="s">
        <v>417</v>
      </c>
      <c r="E124" s="3" t="s">
        <v>418</v>
      </c>
      <c r="G124" s="3"/>
      <c r="I124" s="3" t="s">
        <v>131</v>
      </c>
      <c r="K124" s="3"/>
      <c r="L124" s="1" t="s">
        <v>132</v>
      </c>
      <c r="O124" s="3" t="s">
        <v>184</v>
      </c>
      <c r="Q124" s="3"/>
      <c r="R124" s="3"/>
      <c r="T124" s="3"/>
      <c r="U124" s="5"/>
      <c r="W124" s="3"/>
      <c r="Z124" s="3"/>
      <c r="AA124" s="3"/>
      <c r="AC124" s="3"/>
      <c r="AD124" s="3"/>
      <c r="AF124" s="3"/>
      <c r="AG124" s="3" t="s">
        <v>194</v>
      </c>
      <c r="AI124" s="3"/>
      <c r="AJ124" s="5">
        <v>46087</v>
      </c>
      <c r="AL124" s="3"/>
      <c r="AM124" s="1">
        <v>5</v>
      </c>
      <c r="AO124" s="3"/>
      <c r="AP124" s="3" t="s">
        <v>589</v>
      </c>
      <c r="AR124" s="3"/>
      <c r="AS124" s="3" t="s">
        <v>590</v>
      </c>
      <c r="AU124" s="3"/>
      <c r="AV124" s="3"/>
      <c r="AX124" s="3"/>
      <c r="AY124" s="5"/>
      <c r="BA124" s="3"/>
      <c r="BD124" s="3"/>
      <c r="BE124" s="3"/>
      <c r="BG124" s="3"/>
      <c r="BH124" s="3"/>
      <c r="BJ124" s="3"/>
      <c r="BK124" s="3"/>
      <c r="BM124" s="3"/>
      <c r="BN124" s="5"/>
      <c r="BP124" s="3"/>
      <c r="BS124" s="3"/>
      <c r="BT124" s="3"/>
      <c r="BV124" s="3"/>
      <c r="BW124" s="3"/>
      <c r="BY124" s="3"/>
      <c r="BZ124" s="3"/>
      <c r="CB124" s="3"/>
      <c r="CC124" s="5"/>
      <c r="CE124" s="3"/>
      <c r="CH124" s="3"/>
      <c r="CI124" s="3"/>
      <c r="CK124" s="3"/>
      <c r="CL124" s="3"/>
      <c r="CN124" s="3"/>
      <c r="CO124" s="3"/>
      <c r="CQ124" s="3"/>
      <c r="CR124" s="5"/>
      <c r="CT124" s="3"/>
      <c r="CW124" s="3"/>
      <c r="CX124" s="3"/>
      <c r="CZ124" s="3"/>
      <c r="DA124" s="3"/>
      <c r="DC124" s="3"/>
      <c r="DD124" s="3"/>
      <c r="DF124" s="3"/>
      <c r="DG124" s="5"/>
      <c r="DI124" s="3"/>
      <c r="DL124" s="3"/>
      <c r="DM124" s="3"/>
      <c r="DO124" s="3"/>
      <c r="DP124" s="3"/>
      <c r="DR124" s="3"/>
      <c r="DS124" s="1" t="str">
        <f>_xlfn.XLOOKUP(OfficeForms.Table[[#This Row],[Selecione a Categoria do Laboratório desta atividade prática:]],Planilha1!A:A,Planilha1!B:B)</f>
        <v>EMF-ISN</v>
      </c>
      <c r="DT124" s="1" t="str">
        <f>CONCATENATE(OfficeForms.Table[[#This Row],[Selecione seu Polo Laboratório de Atividades Presenciais:]],OfficeForms.Table[[#This Row],[CHAVE CONVERSÃO]])</f>
        <v>Guarujá/SPEMF-ISN</v>
      </c>
      <c r="DU12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2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12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124" s="1" t="str">
        <f>_xlfn.XLOOKUP(OfficeForms.Table[[#This Row],[CHAVE LINK POLO]],'[1]Quadro Geral de Lotação'!$B:$B,'[1]Quadro Geral de Lotação'!$I:$I)</f>
        <v>Marilene Da Fonseca Magalhaes Silva</v>
      </c>
      <c r="DY124" s="1" t="str">
        <f>OfficeForms.Table[[#This Row],[Selecione a Ordem de Disciplina]]</f>
        <v>Ordem 1</v>
      </c>
    </row>
    <row r="125" spans="1:129" ht="34.15" customHeight="1">
      <c r="A125" s="1">
        <v>125</v>
      </c>
      <c r="B125" s="2">
        <v>46088.916736111103</v>
      </c>
      <c r="C125" s="2">
        <v>46088.917951388903</v>
      </c>
      <c r="D125" s="3" t="s">
        <v>417</v>
      </c>
      <c r="E125" s="3" t="s">
        <v>418</v>
      </c>
      <c r="G125" s="3"/>
      <c r="I125" s="3" t="s">
        <v>131</v>
      </c>
      <c r="K125" s="3"/>
      <c r="L125" s="1" t="s">
        <v>132</v>
      </c>
      <c r="O125" s="3" t="s">
        <v>184</v>
      </c>
      <c r="Q125" s="3"/>
      <c r="R125" s="3"/>
      <c r="T125" s="3"/>
      <c r="U125" s="5"/>
      <c r="W125" s="3"/>
      <c r="Z125" s="3"/>
      <c r="AA125" s="3"/>
      <c r="AC125" s="3"/>
      <c r="AD125" s="3"/>
      <c r="AF125" s="3"/>
      <c r="AG125" s="3" t="s">
        <v>316</v>
      </c>
      <c r="AI125" s="3"/>
      <c r="AJ125" s="5">
        <v>46087</v>
      </c>
      <c r="AL125" s="3"/>
      <c r="AM125" s="1">
        <v>4</v>
      </c>
      <c r="AO125" s="3"/>
      <c r="AP125" s="3" t="s">
        <v>591</v>
      </c>
      <c r="AR125" s="3"/>
      <c r="AS125" s="3" t="s">
        <v>592</v>
      </c>
      <c r="AU125" s="3"/>
      <c r="AV125" s="3"/>
      <c r="AX125" s="3"/>
      <c r="AY125" s="5"/>
      <c r="BA125" s="3"/>
      <c r="BD125" s="3"/>
      <c r="BE125" s="3"/>
      <c r="BG125" s="3"/>
      <c r="BH125" s="3"/>
      <c r="BJ125" s="3"/>
      <c r="BK125" s="3"/>
      <c r="BM125" s="3"/>
      <c r="BN125" s="5"/>
      <c r="BP125" s="3"/>
      <c r="BS125" s="3"/>
      <c r="BT125" s="3"/>
      <c r="BV125" s="3"/>
      <c r="BW125" s="3"/>
      <c r="BY125" s="3"/>
      <c r="BZ125" s="3"/>
      <c r="CB125" s="3"/>
      <c r="CC125" s="5"/>
      <c r="CE125" s="3"/>
      <c r="CH125" s="3"/>
      <c r="CI125" s="3"/>
      <c r="CK125" s="3"/>
      <c r="CL125" s="3"/>
      <c r="CN125" s="3"/>
      <c r="CO125" s="3"/>
      <c r="CQ125" s="3"/>
      <c r="CR125" s="5"/>
      <c r="CT125" s="3"/>
      <c r="CW125" s="3"/>
      <c r="CX125" s="3"/>
      <c r="CZ125" s="3"/>
      <c r="DA125" s="3"/>
      <c r="DC125" s="3"/>
      <c r="DD125" s="3"/>
      <c r="DF125" s="3"/>
      <c r="DG125" s="5"/>
      <c r="DI125" s="3"/>
      <c r="DL125" s="3"/>
      <c r="DM125" s="3"/>
      <c r="DO125" s="3"/>
      <c r="DP125" s="3"/>
      <c r="DR125" s="3"/>
      <c r="DS125" s="1" t="str">
        <f>_xlfn.XLOOKUP(OfficeForms.Table[[#This Row],[Selecione a Categoria do Laboratório desta atividade prática:]],Planilha1!A:A,Planilha1!B:B)</f>
        <v>EMF-ISN</v>
      </c>
      <c r="DT125" s="1" t="str">
        <f>CONCATENATE(OfficeForms.Table[[#This Row],[Selecione seu Polo Laboratório de Atividades Presenciais:]],OfficeForms.Table[[#This Row],[CHAVE CONVERSÃO]])</f>
        <v>Guarujá/SPEMF-ISN</v>
      </c>
      <c r="DU12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12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12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125" s="1" t="str">
        <f>_xlfn.XLOOKUP(OfficeForms.Table[[#This Row],[CHAVE LINK POLO]],'[1]Quadro Geral de Lotação'!$B:$B,'[1]Quadro Geral de Lotação'!$I:$I)</f>
        <v>Marilene Da Fonseca Magalhaes Silva</v>
      </c>
      <c r="DY125" s="1" t="str">
        <f>OfficeForms.Table[[#This Row],[Selecione a Ordem de Disciplina]]</f>
        <v>Ordem 1</v>
      </c>
    </row>
    <row r="126" spans="1:129" ht="34.15" customHeight="1">
      <c r="A126" s="1">
        <v>126</v>
      </c>
      <c r="B126" s="2">
        <v>46089.391770833303</v>
      </c>
      <c r="C126" s="2">
        <v>46089.392465277801</v>
      </c>
      <c r="D126" s="3" t="s">
        <v>593</v>
      </c>
      <c r="E126" s="3" t="s">
        <v>594</v>
      </c>
      <c r="G126" s="3"/>
      <c r="I126" s="3" t="s">
        <v>595</v>
      </c>
      <c r="K126" s="3"/>
      <c r="L126" s="1" t="s">
        <v>132</v>
      </c>
      <c r="O126" s="3" t="s">
        <v>184</v>
      </c>
      <c r="Q126" s="3"/>
      <c r="R126" s="3"/>
      <c r="T126" s="3"/>
      <c r="U126" s="5"/>
      <c r="W126" s="3"/>
      <c r="Z126" s="3"/>
      <c r="AA126" s="3"/>
      <c r="AC126" s="3"/>
      <c r="AD126" s="3"/>
      <c r="AF126" s="3"/>
      <c r="AG126" s="3" t="s">
        <v>316</v>
      </c>
      <c r="AI126" s="3"/>
      <c r="AJ126" s="1">
        <v>46079</v>
      </c>
      <c r="AL126" s="3"/>
      <c r="AM126" s="1">
        <v>8</v>
      </c>
      <c r="AO126" s="3"/>
      <c r="AP126" s="3" t="s">
        <v>596</v>
      </c>
      <c r="AR126" s="3"/>
      <c r="AS126" s="3" t="s">
        <v>597</v>
      </c>
      <c r="AU126" s="3"/>
      <c r="AV126" s="3"/>
      <c r="AX126" s="3"/>
      <c r="AY126" s="5"/>
      <c r="BA126" s="3"/>
      <c r="BD126" s="3"/>
      <c r="BE126" s="3"/>
      <c r="BG126" s="3"/>
      <c r="BH126" s="3"/>
      <c r="BJ126" s="3"/>
      <c r="BK126" s="3"/>
      <c r="BM126" s="3"/>
      <c r="BN126" s="5"/>
      <c r="BP126" s="3"/>
      <c r="BS126" s="3"/>
      <c r="BT126" s="3"/>
      <c r="BV126" s="3"/>
      <c r="BW126" s="3"/>
      <c r="BY126" s="3"/>
      <c r="BZ126" s="3"/>
      <c r="CB126" s="3"/>
      <c r="CC126" s="5"/>
      <c r="CE126" s="3"/>
      <c r="CH126" s="3"/>
      <c r="CI126" s="3"/>
      <c r="CK126" s="3"/>
      <c r="CL126" s="3"/>
      <c r="CN126" s="3"/>
      <c r="CO126" s="3"/>
      <c r="CQ126" s="3"/>
      <c r="CR126" s="5"/>
      <c r="CT126" s="3"/>
      <c r="CW126" s="3"/>
      <c r="CX126" s="3"/>
      <c r="CZ126" s="3"/>
      <c r="DA126" s="3"/>
      <c r="DC126" s="3"/>
      <c r="DD126" s="3"/>
      <c r="DF126" s="3"/>
      <c r="DG126" s="5"/>
      <c r="DI126" s="3"/>
      <c r="DL126" s="3"/>
      <c r="DM126" s="3"/>
      <c r="DO126" s="3"/>
      <c r="DP126" s="3"/>
      <c r="DR126" s="3"/>
      <c r="DS126" s="1" t="str">
        <f>_xlfn.XLOOKUP(OfficeForms.Table[[#This Row],[Selecione a Categoria do Laboratório desta atividade prática:]],Planilha1!A:A,Planilha1!B:B)</f>
        <v>EMF-ISN</v>
      </c>
      <c r="DT126" s="1" t="str">
        <f>CONCATENATE(OfficeForms.Table[[#This Row],[Selecione seu Polo Laboratório de Atividades Presenciais:]],OfficeForms.Table[[#This Row],[CHAVE CONVERSÃO]])</f>
        <v>Canoas/RS - CentroEMF-ISN</v>
      </c>
      <c r="DU12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12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12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126" s="1" t="str">
        <f>_xlfn.XLOOKUP(OfficeForms.Table[[#This Row],[CHAVE LINK POLO]],'[1]Quadro Geral de Lotação'!$B:$B,'[1]Quadro Geral de Lotação'!$I:$I)</f>
        <v>Mariana Kallenbach Oliveira</v>
      </c>
      <c r="DY126" s="1" t="str">
        <f>OfficeForms.Table[[#This Row],[Selecione a Ordem de Disciplina]]</f>
        <v>Ordem 1</v>
      </c>
    </row>
    <row r="127" spans="1:129" ht="34.15" customHeight="1">
      <c r="A127" s="1">
        <v>127</v>
      </c>
      <c r="B127" s="2">
        <v>46089.392881944397</v>
      </c>
      <c r="C127" s="2">
        <v>46089.394641203697</v>
      </c>
      <c r="D127" s="3" t="s">
        <v>593</v>
      </c>
      <c r="E127" s="3" t="s">
        <v>594</v>
      </c>
      <c r="G127" s="3"/>
      <c r="I127" s="3" t="s">
        <v>595</v>
      </c>
      <c r="K127" s="3"/>
      <c r="L127" s="1" t="s">
        <v>132</v>
      </c>
      <c r="O127" s="3" t="s">
        <v>184</v>
      </c>
      <c r="Q127" s="3"/>
      <c r="R127" s="3"/>
      <c r="T127" s="3"/>
      <c r="U127" s="5"/>
      <c r="W127" s="3"/>
      <c r="Z127" s="3"/>
      <c r="AA127" s="3"/>
      <c r="AC127" s="3"/>
      <c r="AD127" s="3"/>
      <c r="AF127" s="3"/>
      <c r="AG127" s="3" t="s">
        <v>414</v>
      </c>
      <c r="AI127" s="3"/>
      <c r="AJ127" s="1">
        <v>46084</v>
      </c>
      <c r="AL127" s="3"/>
      <c r="AM127" s="1">
        <v>9</v>
      </c>
      <c r="AO127" s="3"/>
      <c r="AP127" s="3" t="s">
        <v>598</v>
      </c>
      <c r="AR127" s="3"/>
      <c r="AS127" s="3" t="s">
        <v>599</v>
      </c>
      <c r="AU127" s="3"/>
      <c r="AV127" s="3"/>
      <c r="AX127" s="3"/>
      <c r="AY127" s="5"/>
      <c r="BA127" s="3"/>
      <c r="BD127" s="3"/>
      <c r="BE127" s="3"/>
      <c r="BG127" s="3"/>
      <c r="BH127" s="3"/>
      <c r="BJ127" s="3"/>
      <c r="BK127" s="3"/>
      <c r="BM127" s="3"/>
      <c r="BN127" s="5"/>
      <c r="BP127" s="3"/>
      <c r="BS127" s="3"/>
      <c r="BT127" s="3"/>
      <c r="BV127" s="3"/>
      <c r="BW127" s="3"/>
      <c r="BY127" s="3"/>
      <c r="BZ127" s="3"/>
      <c r="CB127" s="3"/>
      <c r="CC127" s="5"/>
      <c r="CE127" s="3"/>
      <c r="CH127" s="3"/>
      <c r="CI127" s="3"/>
      <c r="CK127" s="3"/>
      <c r="CL127" s="3"/>
      <c r="CN127" s="3"/>
      <c r="CO127" s="3"/>
      <c r="CQ127" s="3"/>
      <c r="CR127" s="5"/>
      <c r="CT127" s="3"/>
      <c r="CW127" s="3"/>
      <c r="CX127" s="3"/>
      <c r="CZ127" s="3"/>
      <c r="DA127" s="3"/>
      <c r="DC127" s="3"/>
      <c r="DD127" s="3"/>
      <c r="DF127" s="3"/>
      <c r="DG127" s="5"/>
      <c r="DI127" s="3"/>
      <c r="DL127" s="3"/>
      <c r="DM127" s="3"/>
      <c r="DO127" s="3"/>
      <c r="DP127" s="3"/>
      <c r="DR127" s="3"/>
      <c r="DS127" s="1" t="str">
        <f>_xlfn.XLOOKUP(OfficeForms.Table[[#This Row],[Selecione a Categoria do Laboratório desta atividade prática:]],Planilha1!A:A,Planilha1!B:B)</f>
        <v>EMF-ISN</v>
      </c>
      <c r="DT127" s="1" t="str">
        <f>CONCATENATE(OfficeForms.Table[[#This Row],[Selecione seu Polo Laboratório de Atividades Presenciais:]],OfficeForms.Table[[#This Row],[CHAVE CONVERSÃO]])</f>
        <v>Canoas/RS - CentroEMF-ISN</v>
      </c>
      <c r="DU12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12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2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127" s="1" t="str">
        <f>_xlfn.XLOOKUP(OfficeForms.Table[[#This Row],[CHAVE LINK POLO]],'[1]Quadro Geral de Lotação'!$B:$B,'[1]Quadro Geral de Lotação'!$I:$I)</f>
        <v>Mariana Kallenbach Oliveira</v>
      </c>
      <c r="DY127" s="1" t="str">
        <f>OfficeForms.Table[[#This Row],[Selecione a Ordem de Disciplina]]</f>
        <v>Ordem 1</v>
      </c>
    </row>
    <row r="128" spans="1:129" ht="34.15" customHeight="1">
      <c r="A128" s="1">
        <v>128</v>
      </c>
      <c r="B128" s="2">
        <v>46089.548032407401</v>
      </c>
      <c r="C128" s="2">
        <v>46089.550543981502</v>
      </c>
      <c r="D128" s="3" t="s">
        <v>600</v>
      </c>
      <c r="E128" s="3" t="s">
        <v>601</v>
      </c>
      <c r="G128" s="3"/>
      <c r="I128" s="3" t="s">
        <v>602</v>
      </c>
      <c r="K128" s="3"/>
      <c r="L128" s="1" t="s">
        <v>132</v>
      </c>
      <c r="O128" s="3" t="s">
        <v>184</v>
      </c>
      <c r="Q128" s="3"/>
      <c r="R128" s="3"/>
      <c r="T128" s="3"/>
      <c r="U128" s="5"/>
      <c r="W128" s="3"/>
      <c r="Z128" s="3"/>
      <c r="AA128" s="3"/>
      <c r="AC128" s="3"/>
      <c r="AD128" s="3"/>
      <c r="AF128" s="3"/>
      <c r="AG128" s="3" t="s">
        <v>370</v>
      </c>
      <c r="AI128" s="3"/>
      <c r="AJ128" s="1">
        <v>46072</v>
      </c>
      <c r="AL128" s="3"/>
      <c r="AM128" s="1">
        <v>15</v>
      </c>
      <c r="AO128" s="3"/>
      <c r="AP128" s="3" t="s">
        <v>603</v>
      </c>
      <c r="AR128" s="3"/>
      <c r="AS128" s="3" t="s">
        <v>604</v>
      </c>
      <c r="AU128" s="3"/>
      <c r="AV128" s="3"/>
      <c r="AX128" s="3"/>
      <c r="AY128" s="5"/>
      <c r="BA128" s="3"/>
      <c r="BD128" s="3"/>
      <c r="BE128" s="3"/>
      <c r="BG128" s="3"/>
      <c r="BH128" s="3"/>
      <c r="BJ128" s="3"/>
      <c r="BK128" s="3"/>
      <c r="BM128" s="3"/>
      <c r="BN128" s="5"/>
      <c r="BP128" s="3"/>
      <c r="BS128" s="3"/>
      <c r="BT128" s="3"/>
      <c r="BV128" s="3"/>
      <c r="BW128" s="3"/>
      <c r="BY128" s="3"/>
      <c r="BZ128" s="3"/>
      <c r="CB128" s="3"/>
      <c r="CC128" s="5"/>
      <c r="CE128" s="3"/>
      <c r="CH128" s="3"/>
      <c r="CI128" s="3"/>
      <c r="CK128" s="3"/>
      <c r="CL128" s="3"/>
      <c r="CN128" s="3"/>
      <c r="CO128" s="3"/>
      <c r="CQ128" s="3"/>
      <c r="CR128" s="5"/>
      <c r="CT128" s="3"/>
      <c r="CW128" s="3"/>
      <c r="CX128" s="3"/>
      <c r="CZ128" s="3"/>
      <c r="DA128" s="3"/>
      <c r="DC128" s="3"/>
      <c r="DD128" s="3"/>
      <c r="DF128" s="3"/>
      <c r="DG128" s="5"/>
      <c r="DI128" s="3"/>
      <c r="DL128" s="3"/>
      <c r="DM128" s="3"/>
      <c r="DO128" s="3"/>
      <c r="DP128" s="3"/>
      <c r="DR128" s="3"/>
      <c r="DS128" s="1" t="str">
        <f>_xlfn.XLOOKUP(OfficeForms.Table[[#This Row],[Selecione a Categoria do Laboratório desta atividade prática:]],Planilha1!A:A,Planilha1!B:B)</f>
        <v>EMF-ISN</v>
      </c>
      <c r="DT128" s="1" t="str">
        <f>CONCATENATE(OfficeForms.Table[[#This Row],[Selecione seu Polo Laboratório de Atividades Presenciais:]],OfficeForms.Table[[#This Row],[CHAVE CONVERSÃO]])</f>
        <v>Colíder/MTEMF-ISN</v>
      </c>
      <c r="DU12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12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12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128" s="1" t="str">
        <f>_xlfn.XLOOKUP(OfficeForms.Table[[#This Row],[CHAVE LINK POLO]],'[1]Quadro Geral de Lotação'!$B:$B,'[1]Quadro Geral de Lotação'!$I:$I)</f>
        <v>Elaine Cristina Bianchi De Oliveira</v>
      </c>
      <c r="DY128" s="1" t="str">
        <f>OfficeForms.Table[[#This Row],[Selecione a Ordem de Disciplina]]</f>
        <v>Ordem 1</v>
      </c>
    </row>
    <row r="129" spans="1:129" ht="34.15" customHeight="1">
      <c r="A129" s="1">
        <v>129</v>
      </c>
      <c r="B129" s="2">
        <v>46089.566921296297</v>
      </c>
      <c r="C129" s="2">
        <v>46089.569722222201</v>
      </c>
      <c r="D129" s="3" t="s">
        <v>600</v>
      </c>
      <c r="E129" s="3" t="s">
        <v>601</v>
      </c>
      <c r="G129" s="3"/>
      <c r="I129" s="3" t="s">
        <v>602</v>
      </c>
      <c r="K129" s="3"/>
      <c r="L129" s="1" t="s">
        <v>132</v>
      </c>
      <c r="O129" s="3" t="s">
        <v>184</v>
      </c>
      <c r="Q129" s="3"/>
      <c r="R129" s="3"/>
      <c r="T129" s="3"/>
      <c r="U129" s="5"/>
      <c r="W129" s="3"/>
      <c r="Z129" s="3"/>
      <c r="AA129" s="3"/>
      <c r="AC129" s="3"/>
      <c r="AD129" s="3"/>
      <c r="AF129" s="3"/>
      <c r="AG129" s="3" t="s">
        <v>194</v>
      </c>
      <c r="AI129" s="3"/>
      <c r="AJ129" s="1">
        <v>46084</v>
      </c>
      <c r="AL129" s="3"/>
      <c r="AM129" s="1">
        <v>1</v>
      </c>
      <c r="AO129" s="3"/>
      <c r="AP129" s="3" t="s">
        <v>605</v>
      </c>
      <c r="AR129" s="3"/>
      <c r="AS129" s="3" t="s">
        <v>606</v>
      </c>
      <c r="AU129" s="3"/>
      <c r="AV129" s="3"/>
      <c r="AX129" s="3"/>
      <c r="AY129" s="5"/>
      <c r="BA129" s="3"/>
      <c r="BD129" s="3"/>
      <c r="BE129" s="3"/>
      <c r="BG129" s="3"/>
      <c r="BH129" s="3"/>
      <c r="BJ129" s="3"/>
      <c r="BK129" s="3"/>
      <c r="BM129" s="3"/>
      <c r="BN129" s="5"/>
      <c r="BP129" s="3"/>
      <c r="BS129" s="3"/>
      <c r="BT129" s="3"/>
      <c r="BV129" s="3"/>
      <c r="BW129" s="3"/>
      <c r="BY129" s="3"/>
      <c r="BZ129" s="3"/>
      <c r="CB129" s="3"/>
      <c r="CC129" s="5"/>
      <c r="CE129" s="3"/>
      <c r="CH129" s="3"/>
      <c r="CI129" s="3"/>
      <c r="CK129" s="3"/>
      <c r="CL129" s="3"/>
      <c r="CN129" s="3"/>
      <c r="CO129" s="3"/>
      <c r="CQ129" s="3"/>
      <c r="CR129" s="5"/>
      <c r="CT129" s="3"/>
      <c r="CW129" s="3"/>
      <c r="CX129" s="3"/>
      <c r="CZ129" s="3"/>
      <c r="DA129" s="3"/>
      <c r="DC129" s="3"/>
      <c r="DD129" s="3"/>
      <c r="DF129" s="3"/>
      <c r="DG129" s="5"/>
      <c r="DI129" s="3"/>
      <c r="DL129" s="3"/>
      <c r="DM129" s="3"/>
      <c r="DO129" s="3"/>
      <c r="DP129" s="3"/>
      <c r="DR129" s="3"/>
      <c r="DS129" s="1" t="str">
        <f>_xlfn.XLOOKUP(OfficeForms.Table[[#This Row],[Selecione a Categoria do Laboratório desta atividade prática:]],Planilha1!A:A,Planilha1!B:B)</f>
        <v>EMF-ISN</v>
      </c>
      <c r="DT129" s="1" t="str">
        <f>CONCATENATE(OfficeForms.Table[[#This Row],[Selecione seu Polo Laboratório de Atividades Presenciais:]],OfficeForms.Table[[#This Row],[CHAVE CONVERSÃO]])</f>
        <v>Colíder/MTEMF-ISN</v>
      </c>
      <c r="DU12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2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2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29" s="1" t="str">
        <f>_xlfn.XLOOKUP(OfficeForms.Table[[#This Row],[CHAVE LINK POLO]],'[1]Quadro Geral de Lotação'!$B:$B,'[1]Quadro Geral de Lotação'!$I:$I)</f>
        <v>Elaine Cristina Bianchi De Oliveira</v>
      </c>
      <c r="DY129" s="1" t="str">
        <f>OfficeForms.Table[[#This Row],[Selecione a Ordem de Disciplina]]</f>
        <v>Ordem 1</v>
      </c>
    </row>
    <row r="130" spans="1:129" ht="34.15" customHeight="1">
      <c r="A130" s="1">
        <v>130</v>
      </c>
      <c r="B130" s="2">
        <v>46089.725821759297</v>
      </c>
      <c r="C130" s="2">
        <v>46089.741157407399</v>
      </c>
      <c r="D130" s="3" t="s">
        <v>607</v>
      </c>
      <c r="E130" s="3" t="s">
        <v>608</v>
      </c>
      <c r="G130" s="3"/>
      <c r="I130" s="3" t="s">
        <v>609</v>
      </c>
      <c r="K130" s="3"/>
      <c r="L130" s="1" t="s">
        <v>132</v>
      </c>
      <c r="O130" s="3" t="s">
        <v>184</v>
      </c>
      <c r="Q130" s="3"/>
      <c r="R130" s="3"/>
      <c r="T130" s="3"/>
      <c r="U130" s="5"/>
      <c r="W130" s="3"/>
      <c r="Z130" s="3"/>
      <c r="AA130" s="3"/>
      <c r="AC130" s="3"/>
      <c r="AD130" s="3"/>
      <c r="AF130" s="3"/>
      <c r="AG130" s="3" t="s">
        <v>316</v>
      </c>
      <c r="AI130" s="3"/>
      <c r="AJ130" s="1">
        <v>46079</v>
      </c>
      <c r="AL130" s="3"/>
      <c r="AM130" s="1">
        <v>10</v>
      </c>
      <c r="AO130" s="3"/>
      <c r="AP130" s="3" t="s">
        <v>610</v>
      </c>
      <c r="AR130" s="3"/>
      <c r="AS130" s="3" t="s">
        <v>611</v>
      </c>
      <c r="AU130" s="3"/>
      <c r="AV130" s="3"/>
      <c r="AX130" s="3"/>
      <c r="AY130" s="5"/>
      <c r="BA130" s="3"/>
      <c r="BD130" s="3"/>
      <c r="BE130" s="3"/>
      <c r="BG130" s="3"/>
      <c r="BH130" s="3"/>
      <c r="BJ130" s="3"/>
      <c r="BK130" s="3"/>
      <c r="BM130" s="3"/>
      <c r="BN130" s="5"/>
      <c r="BP130" s="3"/>
      <c r="BS130" s="3"/>
      <c r="BT130" s="3"/>
      <c r="BV130" s="3"/>
      <c r="BW130" s="3"/>
      <c r="BY130" s="3"/>
      <c r="BZ130" s="3"/>
      <c r="CB130" s="3"/>
      <c r="CC130" s="5"/>
      <c r="CE130" s="3"/>
      <c r="CH130" s="3"/>
      <c r="CI130" s="3"/>
      <c r="CK130" s="3"/>
      <c r="CL130" s="3"/>
      <c r="CN130" s="3"/>
      <c r="CO130" s="3"/>
      <c r="CQ130" s="3"/>
      <c r="CR130" s="5"/>
      <c r="CT130" s="3"/>
      <c r="CW130" s="3"/>
      <c r="CX130" s="3"/>
      <c r="CZ130" s="3"/>
      <c r="DA130" s="3"/>
      <c r="DC130" s="3"/>
      <c r="DD130" s="3"/>
      <c r="DF130" s="3"/>
      <c r="DG130" s="5"/>
      <c r="DI130" s="3"/>
      <c r="DL130" s="3"/>
      <c r="DM130" s="3"/>
      <c r="DO130" s="3"/>
      <c r="DP130" s="3"/>
      <c r="DR130" s="3"/>
      <c r="DS130" s="1" t="str">
        <f>_xlfn.XLOOKUP(OfficeForms.Table[[#This Row],[Selecione a Categoria do Laboratório desta atividade prática:]],Planilha1!A:A,Planilha1!B:B)</f>
        <v>EMF-ISN</v>
      </c>
      <c r="DT130" s="1" t="str">
        <f>CONCATENATE(OfficeForms.Table[[#This Row],[Selecione seu Polo Laboratório de Atividades Presenciais:]],OfficeForms.Table[[#This Row],[CHAVE CONVERSÃO]])</f>
        <v>Novo Progresso/PAEMF-ISN</v>
      </c>
      <c r="DU13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13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13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130" s="1" t="str">
        <f>_xlfn.XLOOKUP(OfficeForms.Table[[#This Row],[CHAVE LINK POLO]],'[1]Quadro Geral de Lotação'!$B:$B,'[1]Quadro Geral de Lotação'!$I:$I)</f>
        <v>Laurilene Oliveira Mota</v>
      </c>
      <c r="DY130" s="1" t="str">
        <f>OfficeForms.Table[[#This Row],[Selecione a Ordem de Disciplina]]</f>
        <v>Ordem 1</v>
      </c>
    </row>
    <row r="131" spans="1:129" ht="34.15" customHeight="1">
      <c r="A131" s="1">
        <v>131</v>
      </c>
      <c r="B131" s="2">
        <v>46089.892430555599</v>
      </c>
      <c r="C131" s="2">
        <v>46089.894074074102</v>
      </c>
      <c r="D131" s="3" t="s">
        <v>357</v>
      </c>
      <c r="E131" s="3" t="s">
        <v>358</v>
      </c>
      <c r="G131" s="3"/>
      <c r="I131" s="3" t="s">
        <v>359</v>
      </c>
      <c r="K131" s="3"/>
      <c r="L131" s="1" t="s">
        <v>132</v>
      </c>
      <c r="O131" s="3" t="s">
        <v>156</v>
      </c>
      <c r="Q131" s="3"/>
      <c r="R131" s="3"/>
      <c r="T131" s="3"/>
      <c r="U131" s="5"/>
      <c r="W131" s="3"/>
      <c r="Z131" s="3"/>
      <c r="AA131" s="3"/>
      <c r="AC131" s="3"/>
      <c r="AD131" s="3"/>
      <c r="AF131" s="3"/>
      <c r="AG131" s="3"/>
      <c r="AI131" s="3"/>
      <c r="AJ131" s="1"/>
      <c r="AL131" s="3"/>
      <c r="AO131" s="3"/>
      <c r="AP131" s="3"/>
      <c r="AR131" s="3"/>
      <c r="AS131" s="3"/>
      <c r="AU131" s="3"/>
      <c r="AV131" s="3"/>
      <c r="AX131" s="3"/>
      <c r="AY131" s="5"/>
      <c r="BA131" s="3"/>
      <c r="BD131" s="3"/>
      <c r="BE131" s="3"/>
      <c r="BG131" s="3"/>
      <c r="BH131" s="3"/>
      <c r="BJ131" s="3"/>
      <c r="BK131" s="3" t="s">
        <v>165</v>
      </c>
      <c r="BM131" s="3"/>
      <c r="BN131" s="5">
        <v>46084</v>
      </c>
      <c r="BP131" s="3"/>
      <c r="BQ131" s="1">
        <v>13</v>
      </c>
      <c r="BS131" s="3"/>
      <c r="BT131" s="3" t="s">
        <v>612</v>
      </c>
      <c r="BV131" s="3"/>
      <c r="BW131" s="3" t="s">
        <v>613</v>
      </c>
      <c r="BY131" s="3"/>
      <c r="BZ131" s="3"/>
      <c r="CB131" s="3"/>
      <c r="CC131" s="5"/>
      <c r="CE131" s="3"/>
      <c r="CH131" s="3"/>
      <c r="CI131" s="3"/>
      <c r="CK131" s="3"/>
      <c r="CL131" s="3"/>
      <c r="CN131" s="3"/>
      <c r="CO131" s="3"/>
      <c r="CQ131" s="3"/>
      <c r="CR131" s="5"/>
      <c r="CT131" s="3"/>
      <c r="CW131" s="3"/>
      <c r="CX131" s="3"/>
      <c r="CZ131" s="3"/>
      <c r="DA131" s="3"/>
      <c r="DC131" s="3"/>
      <c r="DD131" s="3"/>
      <c r="DF131" s="3"/>
      <c r="DG131" s="5"/>
      <c r="DI131" s="3"/>
      <c r="DL131" s="3"/>
      <c r="DM131" s="3"/>
      <c r="DO131" s="3"/>
      <c r="DP131" s="3"/>
      <c r="DR131" s="3"/>
      <c r="DS131" s="1" t="str">
        <f>_xlfn.XLOOKUP(OfficeForms.Table[[#This Row],[Selecione a Categoria do Laboratório desta atividade prática:]],Planilha1!A:A,Planilha1!B:B)</f>
        <v>NTR</v>
      </c>
      <c r="DT131" s="1" t="str">
        <f>CONCATENATE(OfficeForms.Table[[#This Row],[Selecione seu Polo Laboratório de Atividades Presenciais:]],OfficeForms.Table[[#This Row],[CHAVE CONVERSÃO]])</f>
        <v>São Pedro da Aldeia/RJNTR</v>
      </c>
      <c r="DU13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13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3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131" s="1" t="str">
        <f>_xlfn.XLOOKUP(OfficeForms.Table[[#This Row],[CHAVE LINK POLO]],'[1]Quadro Geral de Lotação'!$B:$B,'[1]Quadro Geral de Lotação'!$I:$I)</f>
        <v>Natalia Silva De Mattos</v>
      </c>
      <c r="DY131" s="1" t="str">
        <f>OfficeForms.Table[[#This Row],[Selecione a Ordem de Disciplina]]</f>
        <v>Ordem 1</v>
      </c>
    </row>
    <row r="132" spans="1:129" ht="34.15" customHeight="1">
      <c r="A132" s="1">
        <v>132</v>
      </c>
      <c r="B132" s="2">
        <v>46089.894189814797</v>
      </c>
      <c r="C132" s="2">
        <v>46089.894756944399</v>
      </c>
      <c r="D132" s="3" t="s">
        <v>357</v>
      </c>
      <c r="E132" s="3" t="s">
        <v>358</v>
      </c>
      <c r="G132" s="3"/>
      <c r="I132" s="3" t="s">
        <v>359</v>
      </c>
      <c r="K132" s="3"/>
      <c r="L132" s="1" t="s">
        <v>132</v>
      </c>
      <c r="O132" s="3" t="s">
        <v>156</v>
      </c>
      <c r="Q132" s="3"/>
      <c r="R132" s="3"/>
      <c r="T132" s="3"/>
      <c r="U132" s="5"/>
      <c r="W132" s="3"/>
      <c r="Z132" s="3"/>
      <c r="AA132" s="3"/>
      <c r="AC132" s="3"/>
      <c r="AD132" s="3"/>
      <c r="AF132" s="3"/>
      <c r="AG132" s="3"/>
      <c r="AI132" s="3"/>
      <c r="AJ132" s="1"/>
      <c r="AL132" s="3"/>
      <c r="AO132" s="3"/>
      <c r="AP132" s="3"/>
      <c r="AR132" s="3"/>
      <c r="AS132" s="3"/>
      <c r="AU132" s="3"/>
      <c r="AV132" s="3"/>
      <c r="AX132" s="3"/>
      <c r="AY132" s="5"/>
      <c r="BA132" s="3"/>
      <c r="BD132" s="3"/>
      <c r="BE132" s="3"/>
      <c r="BG132" s="3"/>
      <c r="BH132" s="3"/>
      <c r="BJ132" s="3"/>
      <c r="BK132" s="3" t="s">
        <v>165</v>
      </c>
      <c r="BM132" s="3"/>
      <c r="BN132" s="5">
        <v>46084</v>
      </c>
      <c r="BP132" s="3"/>
      <c r="BQ132" s="1">
        <v>2</v>
      </c>
      <c r="BS132" s="3"/>
      <c r="BT132" s="3" t="s">
        <v>614</v>
      </c>
      <c r="BV132" s="3"/>
      <c r="BW132" s="3" t="s">
        <v>615</v>
      </c>
      <c r="BY132" s="3"/>
      <c r="BZ132" s="3"/>
      <c r="CB132" s="3"/>
      <c r="CC132" s="5"/>
      <c r="CE132" s="3"/>
      <c r="CH132" s="3"/>
      <c r="CI132" s="3"/>
      <c r="CK132" s="3"/>
      <c r="CL132" s="3"/>
      <c r="CN132" s="3"/>
      <c r="CO132" s="3"/>
      <c r="CQ132" s="3"/>
      <c r="CR132" s="5"/>
      <c r="CT132" s="3"/>
      <c r="CW132" s="3"/>
      <c r="CX132" s="3"/>
      <c r="CZ132" s="3"/>
      <c r="DA132" s="3"/>
      <c r="DC132" s="3"/>
      <c r="DD132" s="3"/>
      <c r="DF132" s="3"/>
      <c r="DG132" s="5"/>
      <c r="DI132" s="3"/>
      <c r="DL132" s="3"/>
      <c r="DM132" s="3"/>
      <c r="DO132" s="3"/>
      <c r="DP132" s="3"/>
      <c r="DR132" s="3"/>
      <c r="DS132" s="1" t="str">
        <f>_xlfn.XLOOKUP(OfficeForms.Table[[#This Row],[Selecione a Categoria do Laboratório desta atividade prática:]],Planilha1!A:A,Planilha1!B:B)</f>
        <v>NTR</v>
      </c>
      <c r="DT132" s="1" t="str">
        <f>CONCATENATE(OfficeForms.Table[[#This Row],[Selecione seu Polo Laboratório de Atividades Presenciais:]],OfficeForms.Table[[#This Row],[CHAVE CONVERSÃO]])</f>
        <v>São Pedro da Aldeia/RJNTR</v>
      </c>
      <c r="DU13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13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3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32" s="1" t="str">
        <f>_xlfn.XLOOKUP(OfficeForms.Table[[#This Row],[CHAVE LINK POLO]],'[1]Quadro Geral de Lotação'!$B:$B,'[1]Quadro Geral de Lotação'!$I:$I)</f>
        <v>Natalia Silva De Mattos</v>
      </c>
      <c r="DY132" s="1" t="str">
        <f>OfficeForms.Table[[#This Row],[Selecione a Ordem de Disciplina]]</f>
        <v>Ordem 1</v>
      </c>
    </row>
    <row r="133" spans="1:129" ht="34.15" customHeight="1">
      <c r="A133" s="1">
        <v>133</v>
      </c>
      <c r="B133" s="2">
        <v>46089.940625000003</v>
      </c>
      <c r="C133" s="2">
        <v>46089.9430208333</v>
      </c>
      <c r="D133" s="3" t="s">
        <v>616</v>
      </c>
      <c r="E133" s="3" t="s">
        <v>617</v>
      </c>
      <c r="G133" s="3"/>
      <c r="I133" s="3" t="s">
        <v>618</v>
      </c>
      <c r="K133" s="3"/>
      <c r="L133" s="1" t="s">
        <v>132</v>
      </c>
      <c r="O133" s="3" t="s">
        <v>184</v>
      </c>
      <c r="Q133" s="3"/>
      <c r="R133" s="3"/>
      <c r="T133" s="3"/>
      <c r="U133" s="5"/>
      <c r="W133" s="3"/>
      <c r="Z133" s="3"/>
      <c r="AA133" s="3"/>
      <c r="AC133" s="3"/>
      <c r="AD133" s="3"/>
      <c r="AF133" s="3"/>
      <c r="AG133" s="3" t="s">
        <v>185</v>
      </c>
      <c r="AI133" s="3"/>
      <c r="AJ133" s="1">
        <v>46076</v>
      </c>
      <c r="AL133" s="3"/>
      <c r="AM133" s="1">
        <v>4</v>
      </c>
      <c r="AO133" s="3"/>
      <c r="AP133" s="3" t="s">
        <v>619</v>
      </c>
      <c r="AR133" s="3"/>
      <c r="AS133" s="3" t="s">
        <v>620</v>
      </c>
      <c r="AU133" s="3"/>
      <c r="AV133" s="3"/>
      <c r="AX133" s="3"/>
      <c r="AY133" s="5"/>
      <c r="BA133" s="3"/>
      <c r="BD133" s="3"/>
      <c r="BE133" s="3"/>
      <c r="BG133" s="3"/>
      <c r="BH133" s="3"/>
      <c r="BJ133" s="3"/>
      <c r="BK133" s="3"/>
      <c r="BM133" s="3"/>
      <c r="BN133" s="5"/>
      <c r="BP133" s="3"/>
      <c r="BS133" s="3"/>
      <c r="BT133" s="3"/>
      <c r="BV133" s="3"/>
      <c r="BW133" s="3"/>
      <c r="BY133" s="3"/>
      <c r="BZ133" s="3"/>
      <c r="CB133" s="3"/>
      <c r="CC133" s="5"/>
      <c r="CE133" s="3"/>
      <c r="CH133" s="3"/>
      <c r="CI133" s="3"/>
      <c r="CK133" s="3"/>
      <c r="CL133" s="3"/>
      <c r="CN133" s="3"/>
      <c r="CO133" s="3"/>
      <c r="CQ133" s="3"/>
      <c r="CR133" s="5"/>
      <c r="CT133" s="3"/>
      <c r="CW133" s="3"/>
      <c r="CX133" s="3"/>
      <c r="CZ133" s="3"/>
      <c r="DA133" s="3"/>
      <c r="DC133" s="3"/>
      <c r="DD133" s="3"/>
      <c r="DF133" s="3"/>
      <c r="DG133" s="5"/>
      <c r="DI133" s="3"/>
      <c r="DL133" s="3"/>
      <c r="DM133" s="3"/>
      <c r="DO133" s="3"/>
      <c r="DP133" s="3"/>
      <c r="DR133" s="3"/>
      <c r="DS133" s="1" t="str">
        <f>_xlfn.XLOOKUP(OfficeForms.Table[[#This Row],[Selecione a Categoria do Laboratório desta atividade prática:]],Planilha1!A:A,Planilha1!B:B)</f>
        <v>EMF-ISN</v>
      </c>
      <c r="DT133" s="1" t="str">
        <f>CONCATENATE(OfficeForms.Table[[#This Row],[Selecione seu Polo Laboratório de Atividades Presenciais:]],OfficeForms.Table[[#This Row],[CHAVE CONVERSÃO]])</f>
        <v>Santo André/SPEMF-ISN</v>
      </c>
      <c r="DU13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13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13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133" s="1" t="str">
        <f>_xlfn.XLOOKUP(OfficeForms.Table[[#This Row],[CHAVE LINK POLO]],'[1]Quadro Geral de Lotação'!$B:$B,'[1]Quadro Geral de Lotação'!$I:$I)</f>
        <v>Kamila Cabral Sena</v>
      </c>
      <c r="DY133" s="1" t="str">
        <f>OfficeForms.Table[[#This Row],[Selecione a Ordem de Disciplina]]</f>
        <v>Ordem 1</v>
      </c>
    </row>
    <row r="134" spans="1:129" ht="34.15" customHeight="1">
      <c r="A134" s="1">
        <v>134</v>
      </c>
      <c r="B134" s="2">
        <v>46089.943090277797</v>
      </c>
      <c r="C134" s="2">
        <v>46089.9442361111</v>
      </c>
      <c r="D134" s="3" t="s">
        <v>616</v>
      </c>
      <c r="E134" s="3" t="s">
        <v>617</v>
      </c>
      <c r="G134" s="3"/>
      <c r="I134" s="3" t="s">
        <v>618</v>
      </c>
      <c r="K134" s="3"/>
      <c r="L134" s="1" t="s">
        <v>132</v>
      </c>
      <c r="O134" s="3" t="s">
        <v>184</v>
      </c>
      <c r="Q134" s="3"/>
      <c r="R134" s="3"/>
      <c r="T134" s="3"/>
      <c r="U134" s="5"/>
      <c r="W134" s="3"/>
      <c r="Z134" s="3"/>
      <c r="AA134" s="3"/>
      <c r="AC134" s="3"/>
      <c r="AD134" s="3"/>
      <c r="AF134" s="3"/>
      <c r="AG134" s="3" t="s">
        <v>621</v>
      </c>
      <c r="AI134" s="3"/>
      <c r="AJ134" s="1">
        <v>46083</v>
      </c>
      <c r="AL134" s="3"/>
      <c r="AM134" s="1">
        <v>3</v>
      </c>
      <c r="AO134" s="3"/>
      <c r="AP134" s="3" t="s">
        <v>622</v>
      </c>
      <c r="AR134" s="3"/>
      <c r="AS134" s="3" t="s">
        <v>623</v>
      </c>
      <c r="AU134" s="3"/>
      <c r="AV134" s="3"/>
      <c r="AX134" s="3"/>
      <c r="AY134" s="5"/>
      <c r="BA134" s="3"/>
      <c r="BD134" s="3"/>
      <c r="BE134" s="3"/>
      <c r="BG134" s="3"/>
      <c r="BH134" s="3"/>
      <c r="BJ134" s="3"/>
      <c r="BK134" s="3"/>
      <c r="BM134" s="3"/>
      <c r="BN134" s="5"/>
      <c r="BP134" s="3"/>
      <c r="BS134" s="3"/>
      <c r="BT134" s="3"/>
      <c r="BV134" s="3"/>
      <c r="BW134" s="3"/>
      <c r="BY134" s="3"/>
      <c r="BZ134" s="3"/>
      <c r="CB134" s="3"/>
      <c r="CC134" s="5"/>
      <c r="CE134" s="3"/>
      <c r="CH134" s="3"/>
      <c r="CI134" s="3"/>
      <c r="CK134" s="3"/>
      <c r="CL134" s="3"/>
      <c r="CN134" s="3"/>
      <c r="CO134" s="3"/>
      <c r="CQ134" s="3"/>
      <c r="CR134" s="5"/>
      <c r="CT134" s="3"/>
      <c r="CW134" s="3"/>
      <c r="CX134" s="3"/>
      <c r="CZ134" s="3"/>
      <c r="DA134" s="3"/>
      <c r="DC134" s="3"/>
      <c r="DD134" s="3"/>
      <c r="DF134" s="3"/>
      <c r="DG134" s="5"/>
      <c r="DI134" s="3"/>
      <c r="DL134" s="3"/>
      <c r="DM134" s="3"/>
      <c r="DO134" s="3"/>
      <c r="DP134" s="3"/>
      <c r="DR134" s="3"/>
      <c r="DS134" s="1" t="str">
        <f>_xlfn.XLOOKUP(OfficeForms.Table[[#This Row],[Selecione a Categoria do Laboratório desta atividade prática:]],Planilha1!A:A,Planilha1!B:B)</f>
        <v>EMF-ISN</v>
      </c>
      <c r="DT134" s="1" t="str">
        <f>CONCATENATE(OfficeForms.Table[[#This Row],[Selecione seu Polo Laboratório de Atividades Presenciais:]],OfficeForms.Table[[#This Row],[CHAVE CONVERSÃO]])</f>
        <v>Santo André/SPEMF-ISN</v>
      </c>
      <c r="DU13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TOT);Trabalho de parto natural + Emergências obstétricas</v>
      </c>
      <c r="DV13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13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34" s="1" t="str">
        <f>_xlfn.XLOOKUP(OfficeForms.Table[[#This Row],[CHAVE LINK POLO]],'[1]Quadro Geral de Lotação'!$B:$B,'[1]Quadro Geral de Lotação'!$I:$I)</f>
        <v>Kamila Cabral Sena</v>
      </c>
      <c r="DY134" s="1" t="str">
        <f>OfficeForms.Table[[#This Row],[Selecione a Ordem de Disciplina]]</f>
        <v>Ordem 1</v>
      </c>
    </row>
    <row r="135" spans="1:129" ht="34.15" customHeight="1">
      <c r="A135" s="1">
        <v>135</v>
      </c>
      <c r="B135" s="2">
        <v>46090.369826388902</v>
      </c>
      <c r="C135" s="2">
        <v>46090.371967592597</v>
      </c>
      <c r="D135" s="3" t="s">
        <v>325</v>
      </c>
      <c r="E135" s="3" t="s">
        <v>326</v>
      </c>
      <c r="G135" s="3"/>
      <c r="I135" s="3" t="s">
        <v>275</v>
      </c>
      <c r="K135" s="3"/>
      <c r="L135" s="1" t="s">
        <v>132</v>
      </c>
      <c r="O135" s="3" t="s">
        <v>133</v>
      </c>
      <c r="Q135" s="3"/>
      <c r="R135" s="3"/>
      <c r="T135" s="3"/>
      <c r="U135" s="5"/>
      <c r="W135" s="3"/>
      <c r="Z135" s="3"/>
      <c r="AA135" s="3"/>
      <c r="AC135" s="3"/>
      <c r="AD135" s="3"/>
      <c r="AF135" s="3"/>
      <c r="AG135" s="3"/>
      <c r="AI135" s="3"/>
      <c r="AJ135" s="1"/>
      <c r="AL135" s="3"/>
      <c r="AO135" s="3"/>
      <c r="AP135" s="3"/>
      <c r="AR135" s="3"/>
      <c r="AS135" s="3"/>
      <c r="AU135" s="3"/>
      <c r="AV135" s="3" t="s">
        <v>540</v>
      </c>
      <c r="AX135" s="3"/>
      <c r="AY135" s="5">
        <v>46086</v>
      </c>
      <c r="BA135" s="3"/>
      <c r="BB135" s="1">
        <v>7</v>
      </c>
      <c r="BD135" s="3"/>
      <c r="BE135" s="3" t="s">
        <v>624</v>
      </c>
      <c r="BG135" s="3"/>
      <c r="BH135" s="3" t="s">
        <v>625</v>
      </c>
      <c r="BJ135" s="3"/>
      <c r="BK135" s="3"/>
      <c r="BM135" s="3"/>
      <c r="BN135" s="5"/>
      <c r="BP135" s="3"/>
      <c r="BS135" s="3"/>
      <c r="BT135" s="3"/>
      <c r="BV135" s="3"/>
      <c r="BW135" s="3"/>
      <c r="BY135" s="3"/>
      <c r="BZ135" s="3"/>
      <c r="CB135" s="3"/>
      <c r="CC135" s="5"/>
      <c r="CE135" s="3"/>
      <c r="CH135" s="3"/>
      <c r="CI135" s="3"/>
      <c r="CK135" s="3"/>
      <c r="CL135" s="3"/>
      <c r="CN135" s="3"/>
      <c r="CO135" s="3"/>
      <c r="CQ135" s="3"/>
      <c r="CR135" s="5"/>
      <c r="CT135" s="3"/>
      <c r="CW135" s="3"/>
      <c r="CX135" s="3"/>
      <c r="CZ135" s="3"/>
      <c r="DA135" s="3"/>
      <c r="DC135" s="3"/>
      <c r="DD135" s="3"/>
      <c r="DF135" s="3"/>
      <c r="DG135" s="5"/>
      <c r="DI135" s="3"/>
      <c r="DL135" s="3"/>
      <c r="DM135" s="3"/>
      <c r="DO135" s="3"/>
      <c r="DP135" s="3"/>
      <c r="DR135" s="3"/>
      <c r="DS135" s="1" t="str">
        <f>_xlfn.XLOOKUP(OfficeForms.Table[[#This Row],[Selecione a Categoria do Laboratório desta atividade prática:]],Planilha1!A:A,Planilha1!B:B)</f>
        <v>BFI</v>
      </c>
      <c r="DT135" s="1" t="str">
        <f>CONCATENATE(OfficeForms.Table[[#This Row],[Selecione seu Polo Laboratório de Atividades Presenciais:]],OfficeForms.Table[[#This Row],[CHAVE CONVERSÃO]])</f>
        <v>Porto Alegre/RS - Zona NorteBFI</v>
      </c>
      <c r="DU13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Mobilização Articular: Abordagens Terapêuticas em Recursos Manuais</v>
      </c>
      <c r="DV13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3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135" s="1" t="str">
        <f>_xlfn.XLOOKUP(OfficeForms.Table[[#This Row],[CHAVE LINK POLO]],'[1]Quadro Geral de Lotação'!$B:$B,'[1]Quadro Geral de Lotação'!$I:$I)</f>
        <v>Fabiano Johnson Duarte Bartmann</v>
      </c>
      <c r="DY135" s="1" t="str">
        <f>OfficeForms.Table[[#This Row],[Selecione a Ordem de Disciplina]]</f>
        <v>Ordem 1</v>
      </c>
    </row>
    <row r="136" spans="1:129" ht="34.15" customHeight="1">
      <c r="A136" s="1">
        <v>136</v>
      </c>
      <c r="B136" s="2">
        <v>46090.372013888897</v>
      </c>
      <c r="C136" s="2">
        <v>46090.375578703701</v>
      </c>
      <c r="D136" s="3" t="s">
        <v>325</v>
      </c>
      <c r="E136" s="3" t="s">
        <v>326</v>
      </c>
      <c r="G136" s="3"/>
      <c r="I136" s="3" t="s">
        <v>275</v>
      </c>
      <c r="K136" s="3"/>
      <c r="L136" s="1" t="s">
        <v>132</v>
      </c>
      <c r="O136" s="3" t="s">
        <v>133</v>
      </c>
      <c r="Q136" s="3"/>
      <c r="R136" s="3"/>
      <c r="T136" s="3"/>
      <c r="U136" s="5"/>
      <c r="W136" s="3"/>
      <c r="Z136" s="3"/>
      <c r="AA136" s="3"/>
      <c r="AC136" s="3"/>
      <c r="AD136" s="3"/>
      <c r="AF136" s="3"/>
      <c r="AG136" s="3"/>
      <c r="AI136" s="3"/>
      <c r="AJ136" s="1"/>
      <c r="AL136" s="3"/>
      <c r="AO136" s="3"/>
      <c r="AP136" s="3"/>
      <c r="AR136" s="3"/>
      <c r="AS136" s="3"/>
      <c r="AU136" s="3"/>
      <c r="AV136" s="3" t="s">
        <v>134</v>
      </c>
      <c r="AX136" s="3"/>
      <c r="AY136" s="5">
        <v>46086</v>
      </c>
      <c r="BA136" s="3"/>
      <c r="BB136" s="1">
        <v>11</v>
      </c>
      <c r="BD136" s="3"/>
      <c r="BE136" s="3" t="s">
        <v>626</v>
      </c>
      <c r="BG136" s="3"/>
      <c r="BH136" s="3" t="s">
        <v>627</v>
      </c>
      <c r="BJ136" s="3"/>
      <c r="BK136" s="3"/>
      <c r="BM136" s="3"/>
      <c r="BN136" s="5"/>
      <c r="BP136" s="3"/>
      <c r="BS136" s="3"/>
      <c r="BT136" s="3"/>
      <c r="BV136" s="3"/>
      <c r="BW136" s="3"/>
      <c r="BY136" s="3"/>
      <c r="BZ136" s="3"/>
      <c r="CB136" s="3"/>
      <c r="CC136" s="5"/>
      <c r="CE136" s="3"/>
      <c r="CH136" s="3"/>
      <c r="CI136" s="3"/>
      <c r="CK136" s="3"/>
      <c r="CL136" s="3"/>
      <c r="CN136" s="3"/>
      <c r="CO136" s="3"/>
      <c r="CQ136" s="3"/>
      <c r="CR136" s="5"/>
      <c r="CT136" s="3"/>
      <c r="CW136" s="3"/>
      <c r="CX136" s="3"/>
      <c r="CZ136" s="3"/>
      <c r="DA136" s="3"/>
      <c r="DC136" s="3"/>
      <c r="DD136" s="3"/>
      <c r="DF136" s="3"/>
      <c r="DG136" s="5"/>
      <c r="DI136" s="3"/>
      <c r="DL136" s="3"/>
      <c r="DM136" s="3"/>
      <c r="DO136" s="3"/>
      <c r="DP136" s="3"/>
      <c r="DR136" s="3"/>
      <c r="DS136" s="1" t="str">
        <f>_xlfn.XLOOKUP(OfficeForms.Table[[#This Row],[Selecione a Categoria do Laboratório desta atividade prática:]],Planilha1!A:A,Planilha1!B:B)</f>
        <v>BFI</v>
      </c>
      <c r="DT136" s="1" t="str">
        <f>CONCATENATE(OfficeForms.Table[[#This Row],[Selecione seu Polo Laboratório de Atividades Presenciais:]],OfficeForms.Table[[#This Row],[CHAVE CONVERSÃO]])</f>
        <v>Porto Alegre/RS - Zona NorteBFI</v>
      </c>
      <c r="DU13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Geral Terapêutica: Técnicas e Aplicações em Recursos Manuais</v>
      </c>
      <c r="DV13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3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136" s="1" t="str">
        <f>_xlfn.XLOOKUP(OfficeForms.Table[[#This Row],[CHAVE LINK POLO]],'[1]Quadro Geral de Lotação'!$B:$B,'[1]Quadro Geral de Lotação'!$I:$I)</f>
        <v>Fabiano Johnson Duarte Bartmann</v>
      </c>
      <c r="DY136" s="1" t="str">
        <f>OfficeForms.Table[[#This Row],[Selecione a Ordem de Disciplina]]</f>
        <v>Ordem 1</v>
      </c>
    </row>
    <row r="137" spans="1:129" ht="34.15" customHeight="1">
      <c r="A137" s="1">
        <v>137</v>
      </c>
      <c r="B137" s="2">
        <v>46090.448842592603</v>
      </c>
      <c r="C137" s="2">
        <v>46090.457604166702</v>
      </c>
      <c r="D137" s="3" t="s">
        <v>243</v>
      </c>
      <c r="E137" s="3" t="s">
        <v>244</v>
      </c>
      <c r="G137" s="3"/>
      <c r="I137" s="3" t="s">
        <v>245</v>
      </c>
      <c r="K137" s="3"/>
      <c r="L137" s="1" t="s">
        <v>132</v>
      </c>
      <c r="O137" s="3" t="s">
        <v>184</v>
      </c>
      <c r="Q137" s="3"/>
      <c r="R137" s="3"/>
      <c r="T137" s="3"/>
      <c r="U137" s="5"/>
      <c r="W137" s="3"/>
      <c r="Z137" s="3"/>
      <c r="AA137" s="3"/>
      <c r="AC137" s="3"/>
      <c r="AD137" s="3"/>
      <c r="AF137" s="3"/>
      <c r="AG137" s="3" t="s">
        <v>322</v>
      </c>
      <c r="AI137" s="3"/>
      <c r="AJ137" s="1">
        <v>46140</v>
      </c>
      <c r="AL137" s="3"/>
      <c r="AM137" s="1">
        <v>0</v>
      </c>
      <c r="AO137" s="3"/>
      <c r="AP137" s="3" t="s">
        <v>628</v>
      </c>
      <c r="AR137" s="3"/>
      <c r="AS137" s="3" t="s">
        <v>629</v>
      </c>
      <c r="AU137" s="3"/>
      <c r="AV137" s="3"/>
      <c r="AX137" s="3"/>
      <c r="AY137" s="5"/>
      <c r="BA137" s="3"/>
      <c r="BD137" s="3"/>
      <c r="BE137" s="3"/>
      <c r="BG137" s="3"/>
      <c r="BH137" s="3"/>
      <c r="BJ137" s="3"/>
      <c r="BK137" s="3"/>
      <c r="BM137" s="3"/>
      <c r="BN137" s="5"/>
      <c r="BP137" s="3"/>
      <c r="BS137" s="3"/>
      <c r="BT137" s="3"/>
      <c r="BV137" s="3"/>
      <c r="BW137" s="3"/>
      <c r="BY137" s="3"/>
      <c r="BZ137" s="3"/>
      <c r="CB137" s="3"/>
      <c r="CC137" s="5"/>
      <c r="CE137" s="3"/>
      <c r="CH137" s="3"/>
      <c r="CI137" s="3"/>
      <c r="CK137" s="3"/>
      <c r="CL137" s="3"/>
      <c r="CN137" s="3"/>
      <c r="CO137" s="3"/>
      <c r="CQ137" s="3"/>
      <c r="CR137" s="5"/>
      <c r="CT137" s="3"/>
      <c r="CW137" s="3"/>
      <c r="CX137" s="3"/>
      <c r="CZ137" s="3"/>
      <c r="DA137" s="3"/>
      <c r="DC137" s="3"/>
      <c r="DD137" s="3"/>
      <c r="DF137" s="3"/>
      <c r="DG137" s="5"/>
      <c r="DI137" s="3"/>
      <c r="DL137" s="3"/>
      <c r="DM137" s="3"/>
      <c r="DO137" s="3"/>
      <c r="DP137" s="3"/>
      <c r="DR137" s="3"/>
      <c r="DS137" s="1" t="str">
        <f>_xlfn.XLOOKUP(OfficeForms.Table[[#This Row],[Selecione a Categoria do Laboratório desta atividade prática:]],Planilha1!A:A,Planilha1!B:B)</f>
        <v>EMF-ISN</v>
      </c>
      <c r="DT137" s="1" t="str">
        <f>CONCATENATE(OfficeForms.Table[[#This Row],[Selecione seu Polo Laboratório de Atividades Presenciais:]],OfficeForms.Table[[#This Row],[CHAVE CONVERSÃO]])</f>
        <v>Avaré/SPEMF-ISN</v>
      </c>
      <c r="DU13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13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46140</v>
      </c>
      <c r="DW13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37" s="1" t="str">
        <f>_xlfn.XLOOKUP(OfficeForms.Table[[#This Row],[CHAVE LINK POLO]],'[1]Quadro Geral de Lotação'!$B:$B,'[1]Quadro Geral de Lotação'!$I:$I)</f>
        <v>Larissa Brandolin Ventura</v>
      </c>
      <c r="DY137" s="1" t="str">
        <f>OfficeForms.Table[[#This Row],[Selecione a Ordem de Disciplina]]</f>
        <v>Ordem 1</v>
      </c>
    </row>
    <row r="138" spans="1:129" ht="34.15" customHeight="1">
      <c r="A138" s="1">
        <v>138</v>
      </c>
      <c r="B138" s="2">
        <v>46090.457650463002</v>
      </c>
      <c r="C138" s="2">
        <v>46090.458483796298</v>
      </c>
      <c r="D138" s="3" t="s">
        <v>243</v>
      </c>
      <c r="E138" s="3" t="s">
        <v>244</v>
      </c>
      <c r="G138" s="3"/>
      <c r="I138" s="3" t="s">
        <v>245</v>
      </c>
      <c r="K138" s="3"/>
      <c r="L138" s="1" t="s">
        <v>132</v>
      </c>
      <c r="O138" s="3" t="s">
        <v>184</v>
      </c>
      <c r="Q138" s="3"/>
      <c r="R138" s="3"/>
      <c r="T138" s="3"/>
      <c r="U138" s="5"/>
      <c r="W138" s="3"/>
      <c r="Z138" s="3"/>
      <c r="AA138" s="3"/>
      <c r="AC138" s="3"/>
      <c r="AD138" s="3"/>
      <c r="AF138" s="3"/>
      <c r="AG138" s="3" t="s">
        <v>194</v>
      </c>
      <c r="AI138" s="3"/>
      <c r="AJ138" s="1">
        <v>46088</v>
      </c>
      <c r="AL138" s="3"/>
      <c r="AM138" s="1">
        <v>1</v>
      </c>
      <c r="AO138" s="3"/>
      <c r="AP138" s="3" t="s">
        <v>630</v>
      </c>
      <c r="AR138" s="3"/>
      <c r="AS138" s="3" t="s">
        <v>631</v>
      </c>
      <c r="AU138" s="3"/>
      <c r="AV138" s="3"/>
      <c r="AX138" s="3"/>
      <c r="AY138" s="5"/>
      <c r="BA138" s="3"/>
      <c r="BD138" s="3"/>
      <c r="BE138" s="3"/>
      <c r="BG138" s="3"/>
      <c r="BH138" s="3"/>
      <c r="BJ138" s="3"/>
      <c r="BK138" s="3"/>
      <c r="BM138" s="3"/>
      <c r="BN138" s="5"/>
      <c r="BP138" s="3"/>
      <c r="BS138" s="3"/>
      <c r="BT138" s="3"/>
      <c r="BV138" s="3"/>
      <c r="BW138" s="3"/>
      <c r="BY138" s="3"/>
      <c r="BZ138" s="3"/>
      <c r="CB138" s="3"/>
      <c r="CC138" s="5"/>
      <c r="CE138" s="3"/>
      <c r="CH138" s="3"/>
      <c r="CI138" s="3"/>
      <c r="CK138" s="3"/>
      <c r="CL138" s="3"/>
      <c r="CN138" s="3"/>
      <c r="CO138" s="3"/>
      <c r="CQ138" s="3"/>
      <c r="CR138" s="5"/>
      <c r="CT138" s="3"/>
      <c r="CW138" s="3"/>
      <c r="CX138" s="3"/>
      <c r="CZ138" s="3"/>
      <c r="DA138" s="3"/>
      <c r="DC138" s="3"/>
      <c r="DD138" s="3"/>
      <c r="DF138" s="3"/>
      <c r="DG138" s="5"/>
      <c r="DI138" s="3"/>
      <c r="DL138" s="3"/>
      <c r="DM138" s="3"/>
      <c r="DO138" s="3"/>
      <c r="DP138" s="3"/>
      <c r="DR138" s="3"/>
      <c r="DS138" s="1" t="str">
        <f>_xlfn.XLOOKUP(OfficeForms.Table[[#This Row],[Selecione a Categoria do Laboratório desta atividade prática:]],Planilha1!A:A,Planilha1!B:B)</f>
        <v>EMF-ISN</v>
      </c>
      <c r="DT138" s="1" t="str">
        <f>CONCATENATE(OfficeForms.Table[[#This Row],[Selecione seu Polo Laboratório de Atividades Presenciais:]],OfficeForms.Table[[#This Row],[CHAVE CONVERSÃO]])</f>
        <v>Avaré/SPEMF-ISN</v>
      </c>
      <c r="DU13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3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13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38" s="1" t="str">
        <f>_xlfn.XLOOKUP(OfficeForms.Table[[#This Row],[CHAVE LINK POLO]],'[1]Quadro Geral de Lotação'!$B:$B,'[1]Quadro Geral de Lotação'!$I:$I)</f>
        <v>Larissa Brandolin Ventura</v>
      </c>
      <c r="DY138" s="1" t="str">
        <f>OfficeForms.Table[[#This Row],[Selecione a Ordem de Disciplina]]</f>
        <v>Ordem 1</v>
      </c>
    </row>
    <row r="139" spans="1:129" ht="34.15" customHeight="1">
      <c r="A139" s="1">
        <v>139</v>
      </c>
      <c r="B139" s="2">
        <v>46090.4903009259</v>
      </c>
      <c r="C139" s="2">
        <v>46090.498483796298</v>
      </c>
      <c r="D139" s="3" t="s">
        <v>632</v>
      </c>
      <c r="E139" s="3" t="s">
        <v>633</v>
      </c>
      <c r="G139" s="3"/>
      <c r="I139" s="3" t="s">
        <v>634</v>
      </c>
      <c r="K139" s="3"/>
      <c r="L139" s="1" t="s">
        <v>132</v>
      </c>
      <c r="O139" s="3" t="s">
        <v>497</v>
      </c>
      <c r="Q139" s="3"/>
      <c r="R139" s="3" t="s">
        <v>635</v>
      </c>
      <c r="T139" s="3"/>
      <c r="U139" s="5">
        <v>46072</v>
      </c>
      <c r="W139" s="3"/>
      <c r="X139" s="1">
        <v>18</v>
      </c>
      <c r="Z139" s="3"/>
      <c r="AA139" s="3" t="s">
        <v>636</v>
      </c>
      <c r="AC139" s="3"/>
      <c r="AD139" s="3" t="s">
        <v>637</v>
      </c>
      <c r="AF139" s="3"/>
      <c r="AG139" s="3"/>
      <c r="AI139" s="3"/>
      <c r="AJ139" s="1"/>
      <c r="AL139" s="3"/>
      <c r="AO139" s="3"/>
      <c r="AP139" s="3"/>
      <c r="AR139" s="3"/>
      <c r="AS139" s="3"/>
      <c r="AU139" s="3"/>
      <c r="AV139" s="3"/>
      <c r="AX139" s="3"/>
      <c r="AY139" s="5"/>
      <c r="BA139" s="3"/>
      <c r="BD139" s="3"/>
      <c r="BE139" s="3"/>
      <c r="BG139" s="3"/>
      <c r="BH139" s="3"/>
      <c r="BJ139" s="3"/>
      <c r="BK139" s="3"/>
      <c r="BM139" s="3"/>
      <c r="BN139" s="5"/>
      <c r="BP139" s="3"/>
      <c r="BS139" s="3"/>
      <c r="BT139" s="3"/>
      <c r="BV139" s="3"/>
      <c r="BW139" s="3"/>
      <c r="BY139" s="3"/>
      <c r="BZ139" s="3"/>
      <c r="CB139" s="3"/>
      <c r="CC139" s="5"/>
      <c r="CE139" s="3"/>
      <c r="CH139" s="3"/>
      <c r="CI139" s="3"/>
      <c r="CK139" s="3"/>
      <c r="CL139" s="3"/>
      <c r="CN139" s="3"/>
      <c r="CO139" s="3"/>
      <c r="CQ139" s="3"/>
      <c r="CR139" s="5"/>
      <c r="CT139" s="3"/>
      <c r="CW139" s="3"/>
      <c r="CX139" s="3"/>
      <c r="CZ139" s="3"/>
      <c r="DA139" s="3"/>
      <c r="DC139" s="3"/>
      <c r="DD139" s="3"/>
      <c r="DF139" s="3"/>
      <c r="DG139" s="5"/>
      <c r="DI139" s="3"/>
      <c r="DL139" s="3"/>
      <c r="DM139" s="3"/>
      <c r="DO139" s="3"/>
      <c r="DP139" s="3"/>
      <c r="DR139" s="3"/>
      <c r="DS139" s="1" t="str">
        <f>_xlfn.XLOOKUP(OfficeForms.Table[[#This Row],[Selecione a Categoria do Laboratório desta atividade prática:]],Planilha1!A:A,Planilha1!B:B)</f>
        <v>BFR-BBI</v>
      </c>
      <c r="DT139" s="1" t="str">
        <f>CONCATENATE(OfficeForms.Table[[#This Row],[Selecione seu Polo Laboratório de Atividades Presenciais:]],OfficeForms.Table[[#This Row],[CHAVE CONVERSÃO]])</f>
        <v>Palhoça/SCBFR-BBI</v>
      </c>
      <c r="DU13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Coleta de Sangue;Contagem diferencial de leucócitos;Esfregaço e coloração de GRAM;Esfregaço sanguíneo e colorações  (contagem diferencial de leucócitos)</v>
      </c>
      <c r="DV13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13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18</v>
      </c>
      <c r="DX139" s="1" t="e">
        <f>_xlfn.XLOOKUP(OfficeForms.Table[[#This Row],[CHAVE LINK POLO]],'[1]Quadro Geral de Lotação'!$B:$B,'[1]Quadro Geral de Lotação'!$I:$I)</f>
        <v>#N/A</v>
      </c>
      <c r="DY139" s="1" t="str">
        <f>OfficeForms.Table[[#This Row],[Selecione a Ordem de Disciplina]]</f>
        <v>Ordem 1</v>
      </c>
    </row>
    <row r="140" spans="1:129" ht="34.15" customHeight="1">
      <c r="A140" s="1">
        <v>140</v>
      </c>
      <c r="B140" s="2">
        <v>46090.498668981498</v>
      </c>
      <c r="C140" s="2">
        <v>46090.502881944398</v>
      </c>
      <c r="D140" s="3" t="s">
        <v>632</v>
      </c>
      <c r="E140" s="3" t="s">
        <v>633</v>
      </c>
      <c r="G140" s="3"/>
      <c r="I140" s="3" t="s">
        <v>634</v>
      </c>
      <c r="K140" s="3"/>
      <c r="L140" s="1" t="s">
        <v>132</v>
      </c>
      <c r="O140" s="3" t="s">
        <v>497</v>
      </c>
      <c r="Q140" s="3"/>
      <c r="R140" s="3" t="s">
        <v>638</v>
      </c>
      <c r="T140" s="3"/>
      <c r="U140" s="5">
        <v>46079</v>
      </c>
      <c r="W140" s="3"/>
      <c r="X140" s="1">
        <v>12</v>
      </c>
      <c r="Z140" s="3"/>
      <c r="AA140" s="3" t="s">
        <v>639</v>
      </c>
      <c r="AC140" s="3"/>
      <c r="AD140" s="3" t="s">
        <v>640</v>
      </c>
      <c r="AF140" s="3"/>
      <c r="AG140" s="3"/>
      <c r="AI140" s="3"/>
      <c r="AJ140" s="1"/>
      <c r="AL140" s="3"/>
      <c r="AO140" s="3"/>
      <c r="AP140" s="3"/>
      <c r="AR140" s="3"/>
      <c r="AS140" s="3"/>
      <c r="AU140" s="3"/>
      <c r="AV140" s="3"/>
      <c r="AX140" s="3"/>
      <c r="AY140" s="5"/>
      <c r="BA140" s="3"/>
      <c r="BD140" s="3"/>
      <c r="BE140" s="3"/>
      <c r="BG140" s="3"/>
      <c r="BH140" s="3"/>
      <c r="BJ140" s="3"/>
      <c r="BK140" s="3"/>
      <c r="BM140" s="3"/>
      <c r="BN140" s="5"/>
      <c r="BP140" s="3"/>
      <c r="BS140" s="3"/>
      <c r="BT140" s="3"/>
      <c r="BV140" s="3"/>
      <c r="BW140" s="3"/>
      <c r="BY140" s="3"/>
      <c r="BZ140" s="3"/>
      <c r="CB140" s="3"/>
      <c r="CC140" s="5"/>
      <c r="CE140" s="3"/>
      <c r="CH140" s="3"/>
      <c r="CI140" s="3"/>
      <c r="CK140" s="3"/>
      <c r="CL140" s="3"/>
      <c r="CN140" s="3"/>
      <c r="CO140" s="3"/>
      <c r="CQ140" s="3"/>
      <c r="CR140" s="5"/>
      <c r="CT140" s="3"/>
      <c r="CW140" s="3"/>
      <c r="CX140" s="3"/>
      <c r="CZ140" s="3"/>
      <c r="DA140" s="3"/>
      <c r="DC140" s="3"/>
      <c r="DD140" s="3"/>
      <c r="DF140" s="3"/>
      <c r="DG140" s="5"/>
      <c r="DI140" s="3"/>
      <c r="DL140" s="3"/>
      <c r="DM140" s="3"/>
      <c r="DO140" s="3"/>
      <c r="DP140" s="3"/>
      <c r="DR140" s="3"/>
      <c r="DS140" s="1" t="str">
        <f>_xlfn.XLOOKUP(OfficeForms.Table[[#This Row],[Selecione a Categoria do Laboratório desta atividade prática:]],Planilha1!A:A,Planilha1!B:B)</f>
        <v>BFR-BBI</v>
      </c>
      <c r="DT140" s="1" t="str">
        <f>CONCATENATE(OfficeForms.Table[[#This Row],[Selecione seu Polo Laboratório de Atividades Presenciais:]],OfficeForms.Table[[#This Row],[CHAVE CONVERSÃO]])</f>
        <v>Palhoça/SCBFR-BBI</v>
      </c>
      <c r="DU14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Preparo de meio de cultura II;Técnicas de inoculação;Preparo de meio de cultura I</v>
      </c>
      <c r="DV14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14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140" s="1" t="e">
        <f>_xlfn.XLOOKUP(OfficeForms.Table[[#This Row],[CHAVE LINK POLO]],'[1]Quadro Geral de Lotação'!$B:$B,'[1]Quadro Geral de Lotação'!$I:$I)</f>
        <v>#N/A</v>
      </c>
      <c r="DY140" s="1" t="str">
        <f>OfficeForms.Table[[#This Row],[Selecione a Ordem de Disciplina]]</f>
        <v>Ordem 1</v>
      </c>
    </row>
    <row r="141" spans="1:129" ht="34.15" customHeight="1">
      <c r="A141" s="1">
        <v>141</v>
      </c>
      <c r="B141" s="2">
        <v>46090.622523148202</v>
      </c>
      <c r="C141" s="2">
        <v>46090.6260763889</v>
      </c>
      <c r="D141" s="3" t="s">
        <v>339</v>
      </c>
      <c r="E141" s="3" t="s">
        <v>340</v>
      </c>
      <c r="G141" s="3"/>
      <c r="I141" s="3" t="s">
        <v>162</v>
      </c>
      <c r="K141" s="3"/>
      <c r="L141" s="1" t="s">
        <v>132</v>
      </c>
      <c r="O141" s="3" t="s">
        <v>177</v>
      </c>
      <c r="Q141" s="3"/>
      <c r="R141" s="3"/>
      <c r="T141" s="3"/>
      <c r="U141" s="5"/>
      <c r="W141" s="3"/>
      <c r="Z141" s="3"/>
      <c r="AA141" s="3"/>
      <c r="AC141" s="3"/>
      <c r="AD141" s="3"/>
      <c r="AF141" s="3"/>
      <c r="AG141" s="3"/>
      <c r="AI141" s="3"/>
      <c r="AJ141" s="1"/>
      <c r="AL141" s="3"/>
      <c r="AO141" s="3"/>
      <c r="AP141" s="3"/>
      <c r="AR141" s="3"/>
      <c r="AS141" s="3"/>
      <c r="AU141" s="3"/>
      <c r="AV141" s="3"/>
      <c r="AX141" s="3"/>
      <c r="AY141" s="5"/>
      <c r="BA141" s="3"/>
      <c r="BD141" s="3"/>
      <c r="BE141" s="3"/>
      <c r="BG141" s="3"/>
      <c r="BH141" s="3"/>
      <c r="BJ141" s="3"/>
      <c r="BK141" s="3"/>
      <c r="BM141" s="3"/>
      <c r="BN141" s="5"/>
      <c r="BP141" s="3"/>
      <c r="BS141" s="3"/>
      <c r="BT141" s="3"/>
      <c r="BV141" s="3"/>
      <c r="BW141" s="3"/>
      <c r="BY141" s="3"/>
      <c r="BZ141" s="3"/>
      <c r="CB141" s="3"/>
      <c r="CC141" s="5"/>
      <c r="CE141" s="3"/>
      <c r="CH141" s="3"/>
      <c r="CI141" s="3"/>
      <c r="CK141" s="3"/>
      <c r="CL141" s="3"/>
      <c r="CN141" s="3"/>
      <c r="CO141" s="3"/>
      <c r="CQ141" s="3"/>
      <c r="CR141" s="5"/>
      <c r="CT141" s="3"/>
      <c r="CW141" s="3"/>
      <c r="CX141" s="3"/>
      <c r="CZ141" s="3"/>
      <c r="DA141" s="3"/>
      <c r="DC141" s="3"/>
      <c r="DD141" s="3" t="s">
        <v>341</v>
      </c>
      <c r="DF141" s="3"/>
      <c r="DG141" s="5">
        <v>46085</v>
      </c>
      <c r="DI141" s="3"/>
      <c r="DJ141" s="1">
        <v>2</v>
      </c>
      <c r="DL141" s="3"/>
      <c r="DM141" s="3" t="s">
        <v>641</v>
      </c>
      <c r="DO141" s="3"/>
      <c r="DP141" s="3" t="s">
        <v>642</v>
      </c>
      <c r="DR141" s="3"/>
      <c r="DS141" s="1" t="str">
        <f>_xlfn.XLOOKUP(OfficeForms.Table[[#This Row],[Selecione a Categoria do Laboratório desta atividade prática:]],Planilha1!A:A,Planilha1!B:B)</f>
        <v>AGM</v>
      </c>
      <c r="DT141" s="1" t="str">
        <f>CONCATENATE(OfficeForms.Table[[#This Row],[Selecione seu Polo Laboratório de Atividades Presenciais:]],OfficeForms.Table[[#This Row],[CHAVE CONVERSÃO]])</f>
        <v>Florianópolis/SC - CentroAGM</v>
      </c>
      <c r="DU14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Caracterização bioquímica de bactérias</v>
      </c>
      <c r="DV14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4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41" s="1" t="str">
        <f>_xlfn.XLOOKUP(OfficeForms.Table[[#This Row],[CHAVE LINK POLO]],'[1]Quadro Geral de Lotação'!$B:$B,'[1]Quadro Geral de Lotação'!$I:$I)</f>
        <v>Michelle Barros Pantoja</v>
      </c>
      <c r="DY141" s="1" t="str">
        <f>OfficeForms.Table[[#This Row],[Selecione a Ordem de Disciplina]]</f>
        <v>Ordem 1</v>
      </c>
    </row>
    <row r="142" spans="1:129" ht="34.15" customHeight="1">
      <c r="A142" s="1">
        <v>142</v>
      </c>
      <c r="B142" s="2">
        <v>46090.639965277798</v>
      </c>
      <c r="C142" s="2">
        <v>46090.6465046296</v>
      </c>
      <c r="D142" s="3" t="s">
        <v>344</v>
      </c>
      <c r="E142" s="3" t="s">
        <v>345</v>
      </c>
      <c r="G142" s="3"/>
      <c r="I142" s="3" t="s">
        <v>346</v>
      </c>
      <c r="K142" s="3"/>
      <c r="L142" s="1" t="s">
        <v>132</v>
      </c>
      <c r="O142" s="3" t="s">
        <v>133</v>
      </c>
      <c r="Q142" s="3"/>
      <c r="R142" s="3"/>
      <c r="T142" s="3"/>
      <c r="U142" s="5"/>
      <c r="W142" s="3"/>
      <c r="Z142" s="3"/>
      <c r="AA142" s="3"/>
      <c r="AC142" s="3"/>
      <c r="AD142" s="3"/>
      <c r="AF142" s="3"/>
      <c r="AG142" s="3"/>
      <c r="AI142" s="3"/>
      <c r="AJ142" s="1"/>
      <c r="AL142" s="3"/>
      <c r="AO142" s="3"/>
      <c r="AP142" s="3"/>
      <c r="AR142" s="3"/>
      <c r="AS142" s="3"/>
      <c r="AU142" s="3"/>
      <c r="AV142" s="3" t="s">
        <v>540</v>
      </c>
      <c r="AX142" s="3"/>
      <c r="AY142" s="5">
        <v>46076</v>
      </c>
      <c r="BA142" s="3"/>
      <c r="BB142" s="1">
        <v>25</v>
      </c>
      <c r="BD142" s="3"/>
      <c r="BE142" s="3" t="s">
        <v>643</v>
      </c>
      <c r="BG142" s="3"/>
      <c r="BH142" s="3" t="s">
        <v>644</v>
      </c>
      <c r="BJ142" s="3"/>
      <c r="BK142" s="3"/>
      <c r="BM142" s="3"/>
      <c r="BN142" s="5"/>
      <c r="BP142" s="3"/>
      <c r="BS142" s="3"/>
      <c r="BT142" s="3"/>
      <c r="BV142" s="3"/>
      <c r="BW142" s="3"/>
      <c r="BY142" s="3"/>
      <c r="BZ142" s="3"/>
      <c r="CB142" s="3"/>
      <c r="CC142" s="5"/>
      <c r="CE142" s="3"/>
      <c r="CH142" s="3"/>
      <c r="CI142" s="3"/>
      <c r="CK142" s="3"/>
      <c r="CL142" s="3"/>
      <c r="CN142" s="3"/>
      <c r="CO142" s="3"/>
      <c r="CQ142" s="3"/>
      <c r="CR142" s="5"/>
      <c r="CT142" s="3"/>
      <c r="CW142" s="3"/>
      <c r="CX142" s="3"/>
      <c r="CZ142" s="3"/>
      <c r="DA142" s="3"/>
      <c r="DC142" s="3"/>
      <c r="DD142" s="3"/>
      <c r="DF142" s="3"/>
      <c r="DG142" s="5"/>
      <c r="DI142" s="3"/>
      <c r="DL142" s="3"/>
      <c r="DM142" s="3"/>
      <c r="DO142" s="3"/>
      <c r="DP142" s="3"/>
      <c r="DR142" s="3"/>
      <c r="DS142" s="1" t="str">
        <f>_xlfn.XLOOKUP(OfficeForms.Table[[#This Row],[Selecione a Categoria do Laboratório desta atividade prática:]],Planilha1!A:A,Planilha1!B:B)</f>
        <v>BFI</v>
      </c>
      <c r="DT142" s="1" t="str">
        <f>CONCATENATE(OfficeForms.Table[[#This Row],[Selecione seu Polo Laboratório de Atividades Presenciais:]],OfficeForms.Table[[#This Row],[CHAVE CONVERSÃO]])</f>
        <v>Boa Viagem/CEBFI</v>
      </c>
      <c r="DU14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Mobilização Articular: Abordagens Terapêuticas em Recursos Manuais</v>
      </c>
      <c r="DV14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14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25</v>
      </c>
      <c r="DX142" s="1" t="str">
        <f>_xlfn.XLOOKUP(OfficeForms.Table[[#This Row],[CHAVE LINK POLO]],'[1]Quadro Geral de Lotação'!$B:$B,'[1]Quadro Geral de Lotação'!$I:$I)</f>
        <v>Airton Souza Farias</v>
      </c>
      <c r="DY142" s="1" t="str">
        <f>OfficeForms.Table[[#This Row],[Selecione a Ordem de Disciplina]]</f>
        <v>Ordem 1</v>
      </c>
    </row>
    <row r="143" spans="1:129" ht="34.15" customHeight="1">
      <c r="A143" s="1">
        <v>143</v>
      </c>
      <c r="B143" s="2">
        <v>46090.748043981497</v>
      </c>
      <c r="C143" s="2">
        <v>46090.7489236111</v>
      </c>
      <c r="D143" s="3" t="s">
        <v>645</v>
      </c>
      <c r="E143" s="3" t="s">
        <v>646</v>
      </c>
      <c r="G143" s="3"/>
      <c r="I143" s="3" t="s">
        <v>647</v>
      </c>
      <c r="K143" s="3"/>
      <c r="L143" s="1" t="s">
        <v>132</v>
      </c>
      <c r="O143" s="3" t="s">
        <v>497</v>
      </c>
      <c r="Q143" s="3"/>
      <c r="R143" s="3" t="s">
        <v>648</v>
      </c>
      <c r="T143" s="3"/>
      <c r="U143" s="5">
        <v>46090</v>
      </c>
      <c r="W143" s="3"/>
      <c r="X143" s="1">
        <v>0</v>
      </c>
      <c r="Z143" s="3"/>
      <c r="AA143" s="3" t="s">
        <v>649</v>
      </c>
      <c r="AC143" s="3"/>
      <c r="AD143" s="3" t="s">
        <v>650</v>
      </c>
      <c r="AF143" s="3"/>
      <c r="AG143" s="3"/>
      <c r="AI143" s="3"/>
      <c r="AJ143" s="1"/>
      <c r="AL143" s="3"/>
      <c r="AO143" s="3"/>
      <c r="AP143" s="3"/>
      <c r="AR143" s="3"/>
      <c r="AS143" s="3"/>
      <c r="AU143" s="3"/>
      <c r="AV143" s="3"/>
      <c r="AX143" s="3"/>
      <c r="AY143" s="5"/>
      <c r="BA143" s="3"/>
      <c r="BD143" s="3"/>
      <c r="BE143" s="3"/>
      <c r="BG143" s="3"/>
      <c r="BH143" s="3"/>
      <c r="BJ143" s="3"/>
      <c r="BK143" s="3"/>
      <c r="BM143" s="3"/>
      <c r="BN143" s="5"/>
      <c r="BP143" s="3"/>
      <c r="BS143" s="3"/>
      <c r="BT143" s="3"/>
      <c r="BV143" s="3"/>
      <c r="BW143" s="3"/>
      <c r="BY143" s="3"/>
      <c r="BZ143" s="3"/>
      <c r="CB143" s="3"/>
      <c r="CC143" s="5"/>
      <c r="CE143" s="3"/>
      <c r="CH143" s="3"/>
      <c r="CI143" s="3"/>
      <c r="CK143" s="3"/>
      <c r="CL143" s="3"/>
      <c r="CN143" s="3"/>
      <c r="CO143" s="3"/>
      <c r="CQ143" s="3"/>
      <c r="CR143" s="5"/>
      <c r="CT143" s="3"/>
      <c r="CW143" s="3"/>
      <c r="CX143" s="3"/>
      <c r="CZ143" s="3"/>
      <c r="DA143" s="3"/>
      <c r="DC143" s="3"/>
      <c r="DD143" s="3"/>
      <c r="DF143" s="3"/>
      <c r="DG143" s="5"/>
      <c r="DI143" s="3"/>
      <c r="DL143" s="3"/>
      <c r="DM143" s="3"/>
      <c r="DO143" s="3"/>
      <c r="DP143" s="3"/>
      <c r="DR143" s="3"/>
      <c r="DS143" s="1" t="str">
        <f>_xlfn.XLOOKUP(OfficeForms.Table[[#This Row],[Selecione a Categoria do Laboratório desta atividade prática:]],Planilha1!A:A,Planilha1!B:B)</f>
        <v>BFR-BBI</v>
      </c>
      <c r="DT143" s="1" t="str">
        <f>CONCATENATE(OfficeForms.Table[[#This Row],[Selecione seu Polo Laboratório de Atividades Presenciais:]],OfficeForms.Table[[#This Row],[CHAVE CONVERSÃO]])</f>
        <v>Abaetetuba/PABFR-BBI</v>
      </c>
      <c r="DU14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Alterações de tamanho e coloração eritrocitária + Pesquisa de antígeno Covid-19</v>
      </c>
      <c r="DV14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14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43" s="1" t="e">
        <f>_xlfn.XLOOKUP(OfficeForms.Table[[#This Row],[CHAVE LINK POLO]],'[1]Quadro Geral de Lotação'!$B:$B,'[1]Quadro Geral de Lotação'!$I:$I)</f>
        <v>#N/A</v>
      </c>
      <c r="DY143" s="1" t="str">
        <f>OfficeForms.Table[[#This Row],[Selecione a Ordem de Disciplina]]</f>
        <v>Ordem 1</v>
      </c>
    </row>
    <row r="144" spans="1:129" ht="34.15" customHeight="1">
      <c r="A144" s="1">
        <v>144</v>
      </c>
      <c r="B144" s="2">
        <v>46090.885300925896</v>
      </c>
      <c r="C144" s="2">
        <v>46090.886539351799</v>
      </c>
      <c r="D144" s="3" t="s">
        <v>480</v>
      </c>
      <c r="E144" s="3" t="s">
        <v>481</v>
      </c>
      <c r="G144" s="3"/>
      <c r="I144" s="3" t="s">
        <v>482</v>
      </c>
      <c r="K144" s="3"/>
      <c r="L144" s="1" t="s">
        <v>132</v>
      </c>
      <c r="O144" s="3" t="s">
        <v>184</v>
      </c>
      <c r="Q144" s="3"/>
      <c r="R144" s="3"/>
      <c r="T144" s="3"/>
      <c r="U144" s="5"/>
      <c r="W144" s="3"/>
      <c r="Z144" s="3"/>
      <c r="AA144" s="3"/>
      <c r="AC144" s="3"/>
      <c r="AD144" s="3"/>
      <c r="AF144" s="3"/>
      <c r="AG144" s="3" t="s">
        <v>194</v>
      </c>
      <c r="AI144" s="3"/>
      <c r="AJ144" s="1">
        <v>46090</v>
      </c>
      <c r="AL144" s="3"/>
      <c r="AM144" s="1">
        <v>0</v>
      </c>
      <c r="AO144" s="3"/>
      <c r="AP144" s="3" t="s">
        <v>651</v>
      </c>
      <c r="AR144" s="3"/>
      <c r="AS144" s="3" t="s">
        <v>652</v>
      </c>
      <c r="AU144" s="3"/>
      <c r="AV144" s="3"/>
      <c r="AX144" s="3"/>
      <c r="AY144" s="5"/>
      <c r="BA144" s="3"/>
      <c r="BD144" s="3"/>
      <c r="BE144" s="3"/>
      <c r="BG144" s="3"/>
      <c r="BH144" s="3"/>
      <c r="BJ144" s="3"/>
      <c r="BK144" s="3"/>
      <c r="BM144" s="3"/>
      <c r="BN144" s="5"/>
      <c r="BP144" s="3"/>
      <c r="BS144" s="3"/>
      <c r="BT144" s="3"/>
      <c r="BV144" s="3"/>
      <c r="BW144" s="3"/>
      <c r="BY144" s="3"/>
      <c r="BZ144" s="3"/>
      <c r="CB144" s="3"/>
      <c r="CC144" s="5"/>
      <c r="CE144" s="3"/>
      <c r="CH144" s="3"/>
      <c r="CI144" s="3"/>
      <c r="CK144" s="3"/>
      <c r="CL144" s="3"/>
      <c r="CN144" s="3"/>
      <c r="CO144" s="3"/>
      <c r="CQ144" s="3"/>
      <c r="CR144" s="5"/>
      <c r="CT144" s="3"/>
      <c r="CW144" s="3"/>
      <c r="CX144" s="3"/>
      <c r="CZ144" s="3"/>
      <c r="DA144" s="3"/>
      <c r="DC144" s="3"/>
      <c r="DD144" s="3"/>
      <c r="DF144" s="3"/>
      <c r="DG144" s="5"/>
      <c r="DI144" s="3"/>
      <c r="DL144" s="3"/>
      <c r="DM144" s="3"/>
      <c r="DO144" s="3"/>
      <c r="DP144" s="3"/>
      <c r="DR144" s="3"/>
      <c r="DS144" s="1" t="str">
        <f>_xlfn.XLOOKUP(OfficeForms.Table[[#This Row],[Selecione a Categoria do Laboratório desta atividade prática:]],Planilha1!A:A,Planilha1!B:B)</f>
        <v>EMF-ISN</v>
      </c>
      <c r="DT144" s="1" t="str">
        <f>CONCATENATE(OfficeForms.Table[[#This Row],[Selecione seu Polo Laboratório de Atividades Presenciais:]],OfficeForms.Table[[#This Row],[CHAVE CONVERSÃO]])</f>
        <v>Três Lagoas/MSEMF-ISN</v>
      </c>
      <c r="DU14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4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14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44" s="1" t="str">
        <f>_xlfn.XLOOKUP(OfficeForms.Table[[#This Row],[CHAVE LINK POLO]],'[1]Quadro Geral de Lotação'!$B:$B,'[1]Quadro Geral de Lotação'!$I:$I)</f>
        <v>Gilberto Dellai Filho</v>
      </c>
      <c r="DY144" s="1" t="str">
        <f>OfficeForms.Table[[#This Row],[Selecione a Ordem de Disciplina]]</f>
        <v>Ordem 1</v>
      </c>
    </row>
    <row r="145" spans="1:129" ht="34.15" customHeight="1">
      <c r="A145" s="1">
        <v>145</v>
      </c>
      <c r="B145" s="2">
        <v>46090.893622685202</v>
      </c>
      <c r="C145" s="2">
        <v>46090.898321759298</v>
      </c>
      <c r="D145" s="3" t="s">
        <v>232</v>
      </c>
      <c r="E145" s="3" t="s">
        <v>233</v>
      </c>
      <c r="G145" s="3"/>
      <c r="I145" s="3" t="s">
        <v>234</v>
      </c>
      <c r="K145" s="3"/>
      <c r="L145" s="1" t="s">
        <v>132</v>
      </c>
      <c r="O145" s="3" t="s">
        <v>184</v>
      </c>
      <c r="Q145" s="3"/>
      <c r="R145" s="3"/>
      <c r="T145" s="3"/>
      <c r="U145" s="5"/>
      <c r="W145" s="3"/>
      <c r="Z145" s="3"/>
      <c r="AA145" s="3"/>
      <c r="AC145" s="3"/>
      <c r="AD145" s="3"/>
      <c r="AF145" s="3"/>
      <c r="AG145" s="3" t="s">
        <v>194</v>
      </c>
      <c r="AI145" s="3"/>
      <c r="AJ145" s="1">
        <v>46085</v>
      </c>
      <c r="AL145" s="3"/>
      <c r="AM145" s="1">
        <v>2</v>
      </c>
      <c r="AO145" s="3"/>
      <c r="AP145" s="3" t="s">
        <v>653</v>
      </c>
      <c r="AR145" s="3"/>
      <c r="AS145" s="3" t="s">
        <v>654</v>
      </c>
      <c r="AU145" s="3"/>
      <c r="AV145" s="3"/>
      <c r="AX145" s="3"/>
      <c r="AY145" s="5"/>
      <c r="BA145" s="3"/>
      <c r="BD145" s="3"/>
      <c r="BE145" s="3"/>
      <c r="BG145" s="3"/>
      <c r="BH145" s="3"/>
      <c r="BJ145" s="3"/>
      <c r="BK145" s="3"/>
      <c r="BM145" s="3"/>
      <c r="BN145" s="5"/>
      <c r="BP145" s="3"/>
      <c r="BS145" s="3"/>
      <c r="BT145" s="3"/>
      <c r="BV145" s="3"/>
      <c r="BW145" s="3"/>
      <c r="BY145" s="3"/>
      <c r="BZ145" s="3"/>
      <c r="CB145" s="3"/>
      <c r="CC145" s="5"/>
      <c r="CE145" s="3"/>
      <c r="CH145" s="3"/>
      <c r="CI145" s="3"/>
      <c r="CK145" s="3"/>
      <c r="CL145" s="3"/>
      <c r="CN145" s="3"/>
      <c r="CO145" s="3"/>
      <c r="CQ145" s="3"/>
      <c r="CR145" s="5"/>
      <c r="CT145" s="3"/>
      <c r="CW145" s="3"/>
      <c r="CX145" s="3"/>
      <c r="CZ145" s="3"/>
      <c r="DA145" s="3"/>
      <c r="DC145" s="3"/>
      <c r="DD145" s="3"/>
      <c r="DF145" s="3"/>
      <c r="DG145" s="5"/>
      <c r="DI145" s="3"/>
      <c r="DL145" s="3"/>
      <c r="DM145" s="3"/>
      <c r="DO145" s="3"/>
      <c r="DP145" s="3"/>
      <c r="DR145" s="3"/>
      <c r="DS145" s="1" t="str">
        <f>_xlfn.XLOOKUP(OfficeForms.Table[[#This Row],[Selecione a Categoria do Laboratório desta atividade prática:]],Planilha1!A:A,Planilha1!B:B)</f>
        <v>EMF-ISN</v>
      </c>
      <c r="DT145" s="1" t="str">
        <f>CONCATENATE(OfficeForms.Table[[#This Row],[Selecione seu Polo Laboratório de Atividades Presenciais:]],OfficeForms.Table[[#This Row],[CHAVE CONVERSÃO]])</f>
        <v>Santa Fé do Sul/SPEMF-ISN</v>
      </c>
      <c r="DU14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4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4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45" s="1" t="str">
        <f>_xlfn.XLOOKUP(OfficeForms.Table[[#This Row],[CHAVE LINK POLO]],'[1]Quadro Geral de Lotação'!$B:$B,'[1]Quadro Geral de Lotação'!$I:$I)</f>
        <v>Mariana Mirian Correia</v>
      </c>
      <c r="DY145" s="1" t="str">
        <f>OfficeForms.Table[[#This Row],[Selecione a Ordem de Disciplina]]</f>
        <v>Ordem 1</v>
      </c>
    </row>
    <row r="146" spans="1:129" ht="34.15" customHeight="1">
      <c r="A146" s="1">
        <v>146</v>
      </c>
      <c r="B146" s="2">
        <v>46090.904108796298</v>
      </c>
      <c r="C146" s="2">
        <v>46090.908171296302</v>
      </c>
      <c r="D146" s="3" t="s">
        <v>232</v>
      </c>
      <c r="E146" s="3" t="s">
        <v>233</v>
      </c>
      <c r="G146" s="3"/>
      <c r="I146" s="3" t="s">
        <v>234</v>
      </c>
      <c r="K146" s="3"/>
      <c r="L146" s="1" t="s">
        <v>132</v>
      </c>
      <c r="O146" s="3" t="s">
        <v>184</v>
      </c>
      <c r="Q146" s="3"/>
      <c r="R146" s="3"/>
      <c r="T146" s="3"/>
      <c r="U146" s="5"/>
      <c r="W146" s="3"/>
      <c r="Z146" s="3"/>
      <c r="AA146" s="3"/>
      <c r="AC146" s="3"/>
      <c r="AD146" s="3"/>
      <c r="AF146" s="3"/>
      <c r="AG146" s="3" t="s">
        <v>655</v>
      </c>
      <c r="AI146" s="3"/>
      <c r="AJ146" s="1">
        <v>46085</v>
      </c>
      <c r="AL146" s="3"/>
      <c r="AM146" s="1">
        <v>0</v>
      </c>
      <c r="AO146" s="3"/>
      <c r="AP146" s="3" t="s">
        <v>656</v>
      </c>
      <c r="AR146" s="3"/>
      <c r="AS146" s="3" t="s">
        <v>657</v>
      </c>
      <c r="AU146" s="3"/>
      <c r="AV146" s="3"/>
      <c r="AX146" s="3"/>
      <c r="AY146" s="5"/>
      <c r="BA146" s="3"/>
      <c r="BD146" s="3"/>
      <c r="BE146" s="3"/>
      <c r="BG146" s="3"/>
      <c r="BH146" s="3"/>
      <c r="BJ146" s="3"/>
      <c r="BK146" s="3"/>
      <c r="BM146" s="3"/>
      <c r="BN146" s="5"/>
      <c r="BP146" s="3"/>
      <c r="BS146" s="3"/>
      <c r="BT146" s="3"/>
      <c r="BV146" s="3"/>
      <c r="BW146" s="3"/>
      <c r="BY146" s="3"/>
      <c r="BZ146" s="3"/>
      <c r="CB146" s="3"/>
      <c r="CC146" s="5"/>
      <c r="CE146" s="3"/>
      <c r="CH146" s="3"/>
      <c r="CI146" s="3"/>
      <c r="CK146" s="3"/>
      <c r="CL146" s="3"/>
      <c r="CN146" s="3"/>
      <c r="CO146" s="3"/>
      <c r="CQ146" s="3"/>
      <c r="CR146" s="5"/>
      <c r="CT146" s="3"/>
      <c r="CW146" s="3"/>
      <c r="CX146" s="3"/>
      <c r="CZ146" s="3"/>
      <c r="DA146" s="3"/>
      <c r="DC146" s="3"/>
      <c r="DD146" s="3"/>
      <c r="DF146" s="3"/>
      <c r="DG146" s="5"/>
      <c r="DI146" s="3"/>
      <c r="DL146" s="3"/>
      <c r="DM146" s="3"/>
      <c r="DO146" s="3"/>
      <c r="DP146" s="3"/>
      <c r="DR146" s="3"/>
      <c r="DS146" s="1" t="str">
        <f>_xlfn.XLOOKUP(OfficeForms.Table[[#This Row],[Selecione a Categoria do Laboratório desta atividade prática:]],Planilha1!A:A,Planilha1!B:B)</f>
        <v>EMF-ISN</v>
      </c>
      <c r="DT146" s="1" t="str">
        <f>CONCATENATE(OfficeForms.Table[[#This Row],[Selecione seu Polo Laboratório de Atividades Presenciais:]],OfficeForms.Table[[#This Row],[CHAVE CONVERSÃO]])</f>
        <v>Santa Fé do Sul/SPEMF-ISN</v>
      </c>
      <c r="DU14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Consulta de enfermagem no pré-natal de baixo risco + Administração de medicamento pela via intramuscular</v>
      </c>
      <c r="DV14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4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46" s="1" t="str">
        <f>_xlfn.XLOOKUP(OfficeForms.Table[[#This Row],[CHAVE LINK POLO]],'[1]Quadro Geral de Lotação'!$B:$B,'[1]Quadro Geral de Lotação'!$I:$I)</f>
        <v>Mariana Mirian Correia</v>
      </c>
      <c r="DY146" s="1" t="str">
        <f>OfficeForms.Table[[#This Row],[Selecione a Ordem de Disciplina]]</f>
        <v>Ordem 1</v>
      </c>
    </row>
    <row r="147" spans="1:129" ht="34.15" customHeight="1">
      <c r="A147" s="1">
        <v>147</v>
      </c>
      <c r="B147" s="2">
        <v>46091.010185185201</v>
      </c>
      <c r="C147" s="2">
        <v>46091.012476851902</v>
      </c>
      <c r="D147" s="3" t="s">
        <v>658</v>
      </c>
      <c r="E147" s="3" t="s">
        <v>659</v>
      </c>
      <c r="G147" s="3"/>
      <c r="I147" s="3" t="s">
        <v>308</v>
      </c>
      <c r="K147" s="3"/>
      <c r="L147" s="1" t="s">
        <v>132</v>
      </c>
      <c r="O147" s="3" t="s">
        <v>133</v>
      </c>
      <c r="Q147" s="3"/>
      <c r="R147" s="3"/>
      <c r="T147" s="3"/>
      <c r="U147" s="5"/>
      <c r="W147" s="3"/>
      <c r="Z147" s="3"/>
      <c r="AA147" s="3"/>
      <c r="AC147" s="3"/>
      <c r="AD147" s="3"/>
      <c r="AF147" s="3"/>
      <c r="AG147" s="3"/>
      <c r="AI147" s="3"/>
      <c r="AJ147" s="1"/>
      <c r="AL147" s="3"/>
      <c r="AO147" s="3"/>
      <c r="AP147" s="3"/>
      <c r="AR147" s="3"/>
      <c r="AS147" s="3"/>
      <c r="AU147" s="3"/>
      <c r="AV147" s="3" t="s">
        <v>150</v>
      </c>
      <c r="AX147" s="3"/>
      <c r="AY147" s="5">
        <v>46078</v>
      </c>
      <c r="BA147" s="3"/>
      <c r="BB147" s="1">
        <v>5</v>
      </c>
      <c r="BD147" s="3"/>
      <c r="BE147" s="3" t="s">
        <v>660</v>
      </c>
      <c r="BG147" s="3"/>
      <c r="BH147" s="3" t="s">
        <v>661</v>
      </c>
      <c r="BJ147" s="3"/>
      <c r="BK147" s="3"/>
      <c r="BM147" s="3"/>
      <c r="BN147" s="5"/>
      <c r="BP147" s="3"/>
      <c r="BS147" s="3"/>
      <c r="BT147" s="3"/>
      <c r="BV147" s="3"/>
      <c r="BW147" s="3"/>
      <c r="BY147" s="3"/>
      <c r="BZ147" s="3"/>
      <c r="CB147" s="3"/>
      <c r="CC147" s="5"/>
      <c r="CE147" s="3"/>
      <c r="CH147" s="3"/>
      <c r="CI147" s="3"/>
      <c r="CK147" s="3"/>
      <c r="CL147" s="3"/>
      <c r="CN147" s="3"/>
      <c r="CO147" s="3"/>
      <c r="CQ147" s="3"/>
      <c r="CR147" s="5"/>
      <c r="CT147" s="3"/>
      <c r="CW147" s="3"/>
      <c r="CX147" s="3"/>
      <c r="CZ147" s="3"/>
      <c r="DA147" s="3"/>
      <c r="DC147" s="3"/>
      <c r="DD147" s="3"/>
      <c r="DF147" s="3"/>
      <c r="DG147" s="5"/>
      <c r="DI147" s="3"/>
      <c r="DL147" s="3"/>
      <c r="DM147" s="3"/>
      <c r="DO147" s="3"/>
      <c r="DP147" s="3"/>
      <c r="DR147" s="3"/>
      <c r="DS147" s="1" t="str">
        <f>_xlfn.XLOOKUP(OfficeForms.Table[[#This Row],[Selecione a Categoria do Laboratório desta atividade prática:]],Planilha1!A:A,Planilha1!B:B)</f>
        <v>BFI</v>
      </c>
      <c r="DT147" s="1" t="str">
        <f>CONCATENATE(OfficeForms.Table[[#This Row],[Selecione seu Polo Laboratório de Atividades Presenciais:]],OfficeForms.Table[[#This Row],[CHAVE CONVERSÃO]])</f>
        <v>Salvador/BA - Caminho das ÁrvoresBFI</v>
      </c>
      <c r="DU14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Pontos cardeais</v>
      </c>
      <c r="DV14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14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147" s="1" t="str">
        <f>_xlfn.XLOOKUP(OfficeForms.Table[[#This Row],[CHAVE LINK POLO]],'[1]Quadro Geral de Lotação'!$B:$B,'[1]Quadro Geral de Lotação'!$I:$I)</f>
        <v>Helenice Sacramento Souza Melo</v>
      </c>
      <c r="DY147" s="1" t="str">
        <f>OfficeForms.Table[[#This Row],[Selecione a Ordem de Disciplina]]</f>
        <v>Ordem 1</v>
      </c>
    </row>
    <row r="148" spans="1:129" ht="34.15" customHeight="1">
      <c r="A148" s="1">
        <v>148</v>
      </c>
      <c r="B148" s="2">
        <v>46091.444085648203</v>
      </c>
      <c r="C148" s="2">
        <v>46091.444872685199</v>
      </c>
      <c r="D148" s="3" t="s">
        <v>511</v>
      </c>
      <c r="E148" s="3" t="s">
        <v>512</v>
      </c>
      <c r="G148" s="3"/>
      <c r="I148" s="3" t="s">
        <v>513</v>
      </c>
      <c r="K148" s="3"/>
      <c r="L148" s="1" t="s">
        <v>132</v>
      </c>
      <c r="O148" s="3" t="s">
        <v>184</v>
      </c>
      <c r="Q148" s="3"/>
      <c r="R148" s="3"/>
      <c r="T148" s="3"/>
      <c r="U148" s="5"/>
      <c r="W148" s="3"/>
      <c r="Z148" s="3"/>
      <c r="AA148" s="3"/>
      <c r="AC148" s="3"/>
      <c r="AD148" s="3"/>
      <c r="AF148" s="3"/>
      <c r="AG148" s="3" t="s">
        <v>414</v>
      </c>
      <c r="AI148" s="3"/>
      <c r="AJ148" s="1">
        <v>46090</v>
      </c>
      <c r="AL148" s="3"/>
      <c r="AM148" s="1">
        <v>2</v>
      </c>
      <c r="AO148" s="3"/>
      <c r="AP148" s="3" t="s">
        <v>662</v>
      </c>
      <c r="AR148" s="3"/>
      <c r="AS148" s="3" t="s">
        <v>663</v>
      </c>
      <c r="AU148" s="3"/>
      <c r="AV148" s="3"/>
      <c r="AX148" s="3"/>
      <c r="AY148" s="5"/>
      <c r="BA148" s="3"/>
      <c r="BD148" s="3"/>
      <c r="BE148" s="3"/>
      <c r="BG148" s="3"/>
      <c r="BH148" s="3"/>
      <c r="BJ148" s="3"/>
      <c r="BK148" s="3"/>
      <c r="BM148" s="3"/>
      <c r="BN148" s="5"/>
      <c r="BP148" s="3"/>
      <c r="BS148" s="3"/>
      <c r="BT148" s="3"/>
      <c r="BV148" s="3"/>
      <c r="BW148" s="3"/>
      <c r="BY148" s="3"/>
      <c r="BZ148" s="3"/>
      <c r="CB148" s="3"/>
      <c r="CC148" s="5"/>
      <c r="CE148" s="3"/>
      <c r="CH148" s="3"/>
      <c r="CI148" s="3"/>
      <c r="CK148" s="3"/>
      <c r="CL148" s="3"/>
      <c r="CN148" s="3"/>
      <c r="CO148" s="3"/>
      <c r="CQ148" s="3"/>
      <c r="CR148" s="5"/>
      <c r="CT148" s="3"/>
      <c r="CW148" s="3"/>
      <c r="CX148" s="3"/>
      <c r="CZ148" s="3"/>
      <c r="DA148" s="3"/>
      <c r="DC148" s="3"/>
      <c r="DD148" s="3"/>
      <c r="DF148" s="3"/>
      <c r="DG148" s="5"/>
      <c r="DI148" s="3"/>
      <c r="DL148" s="3"/>
      <c r="DM148" s="3"/>
      <c r="DO148" s="3"/>
      <c r="DP148" s="3"/>
      <c r="DR148" s="3"/>
      <c r="DS148" s="1" t="str">
        <f>_xlfn.XLOOKUP(OfficeForms.Table[[#This Row],[Selecione a Categoria do Laboratório desta atividade prática:]],Planilha1!A:A,Planilha1!B:B)</f>
        <v>EMF-ISN</v>
      </c>
      <c r="DT148" s="1" t="str">
        <f>CONCATENATE(OfficeForms.Table[[#This Row],[Selecione seu Polo Laboratório de Atividades Presenciais:]],OfficeForms.Table[[#This Row],[CHAVE CONVERSÃO]])</f>
        <v>Aracaju/SE - Ponto NovoEMF-ISN</v>
      </c>
      <c r="DU14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14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14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48" s="1" t="str">
        <f>_xlfn.XLOOKUP(OfficeForms.Table[[#This Row],[CHAVE LINK POLO]],'[1]Quadro Geral de Lotação'!$B:$B,'[1]Quadro Geral de Lotação'!$I:$I)</f>
        <v>Caio Guilherme Santos Morais Oliveira</v>
      </c>
      <c r="DY148" s="1" t="str">
        <f>OfficeForms.Table[[#This Row],[Selecione a Ordem de Disciplina]]</f>
        <v>Ordem 1</v>
      </c>
    </row>
    <row r="149" spans="1:129" ht="34.15" customHeight="1">
      <c r="A149" s="1">
        <v>149</v>
      </c>
      <c r="B149" s="2">
        <v>46091.4684375</v>
      </c>
      <c r="C149" s="2">
        <v>46091.471956018497</v>
      </c>
      <c r="D149" s="3" t="s">
        <v>557</v>
      </c>
      <c r="E149" s="3" t="s">
        <v>558</v>
      </c>
      <c r="G149" s="3"/>
      <c r="I149" s="3" t="s">
        <v>559</v>
      </c>
      <c r="K149" s="3"/>
      <c r="L149" s="1" t="s">
        <v>132</v>
      </c>
      <c r="O149" s="3" t="s">
        <v>184</v>
      </c>
      <c r="Q149" s="3"/>
      <c r="R149" s="3"/>
      <c r="T149" s="3"/>
      <c r="U149" s="5"/>
      <c r="W149" s="3"/>
      <c r="Z149" s="3"/>
      <c r="AA149" s="3"/>
      <c r="AC149" s="3"/>
      <c r="AD149" s="3"/>
      <c r="AF149" s="3"/>
      <c r="AG149" s="3" t="s">
        <v>185</v>
      </c>
      <c r="AI149" s="3"/>
      <c r="AJ149" s="1">
        <v>46081</v>
      </c>
      <c r="AL149" s="3"/>
      <c r="AM149" s="1">
        <v>1</v>
      </c>
      <c r="AO149" s="3"/>
      <c r="AP149" s="3" t="s">
        <v>664</v>
      </c>
      <c r="AR149" s="3"/>
      <c r="AS149" s="3" t="s">
        <v>665</v>
      </c>
      <c r="AU149" s="3"/>
      <c r="AV149" s="3"/>
      <c r="AX149" s="3"/>
      <c r="AY149" s="5"/>
      <c r="BA149" s="3"/>
      <c r="BD149" s="3"/>
      <c r="BE149" s="3"/>
      <c r="BG149" s="3"/>
      <c r="BH149" s="3"/>
      <c r="BJ149" s="3"/>
      <c r="BK149" s="3"/>
      <c r="BM149" s="3"/>
      <c r="BN149" s="5"/>
      <c r="BP149" s="3"/>
      <c r="BS149" s="3"/>
      <c r="BT149" s="3"/>
      <c r="BV149" s="3"/>
      <c r="BW149" s="3"/>
      <c r="BY149" s="3"/>
      <c r="BZ149" s="3"/>
      <c r="CB149" s="3"/>
      <c r="CC149" s="5"/>
      <c r="CE149" s="3"/>
      <c r="CH149" s="3"/>
      <c r="CI149" s="3"/>
      <c r="CK149" s="3"/>
      <c r="CL149" s="3"/>
      <c r="CN149" s="3"/>
      <c r="CO149" s="3"/>
      <c r="CQ149" s="3"/>
      <c r="CR149" s="5"/>
      <c r="CT149" s="3"/>
      <c r="CW149" s="3"/>
      <c r="CX149" s="3"/>
      <c r="CZ149" s="3"/>
      <c r="DA149" s="3"/>
      <c r="DC149" s="3"/>
      <c r="DD149" s="3"/>
      <c r="DF149" s="3"/>
      <c r="DG149" s="5"/>
      <c r="DI149" s="3"/>
      <c r="DL149" s="3"/>
      <c r="DM149" s="3"/>
      <c r="DO149" s="3"/>
      <c r="DP149" s="3"/>
      <c r="DR149" s="3"/>
      <c r="DS149" s="1" t="str">
        <f>_xlfn.XLOOKUP(OfficeForms.Table[[#This Row],[Selecione a Categoria do Laboratório desta atividade prática:]],Planilha1!A:A,Planilha1!B:B)</f>
        <v>EMF-ISN</v>
      </c>
      <c r="DT149" s="1" t="str">
        <f>CONCATENATE(OfficeForms.Table[[#This Row],[Selecione seu Polo Laboratório de Atividades Presenciais:]],OfficeForms.Table[[#This Row],[CHAVE CONVERSÃO]])</f>
        <v>Sapé/PBEMF-ISN</v>
      </c>
      <c r="DU14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14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14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49" s="1" t="str">
        <f>_xlfn.XLOOKUP(OfficeForms.Table[[#This Row],[CHAVE LINK POLO]],'[1]Quadro Geral de Lotação'!$B:$B,'[1]Quadro Geral de Lotação'!$I:$I)</f>
        <v>Sara Luana De Vasconcelos Gomes</v>
      </c>
      <c r="DY149" s="1" t="str">
        <f>OfficeForms.Table[[#This Row],[Selecione a Ordem de Disciplina]]</f>
        <v>Ordem 1</v>
      </c>
    </row>
    <row r="150" spans="1:129" ht="34.15" customHeight="1">
      <c r="A150" s="1">
        <v>150</v>
      </c>
      <c r="B150" s="2">
        <v>46091.472083333298</v>
      </c>
      <c r="C150" s="2">
        <v>46091.474513888897</v>
      </c>
      <c r="D150" s="3" t="s">
        <v>557</v>
      </c>
      <c r="E150" s="3" t="s">
        <v>558</v>
      </c>
      <c r="G150" s="3"/>
      <c r="I150" s="3" t="s">
        <v>559</v>
      </c>
      <c r="K150" s="3"/>
      <c r="L150" s="1" t="s">
        <v>132</v>
      </c>
      <c r="O150" s="3" t="s">
        <v>184</v>
      </c>
      <c r="Q150" s="3"/>
      <c r="R150" s="3"/>
      <c r="T150" s="3"/>
      <c r="U150" s="5"/>
      <c r="W150" s="3"/>
      <c r="Z150" s="3"/>
      <c r="AA150" s="3"/>
      <c r="AC150" s="3"/>
      <c r="AD150" s="3"/>
      <c r="AF150" s="3"/>
      <c r="AG150" s="3" t="s">
        <v>185</v>
      </c>
      <c r="AI150" s="3"/>
      <c r="AJ150" s="1">
        <v>46081</v>
      </c>
      <c r="AL150" s="3"/>
      <c r="AM150" s="1">
        <v>1</v>
      </c>
      <c r="AO150" s="3"/>
      <c r="AP150" s="3" t="s">
        <v>666</v>
      </c>
      <c r="AR150" s="3"/>
      <c r="AS150" s="3" t="s">
        <v>667</v>
      </c>
      <c r="AU150" s="3"/>
      <c r="AV150" s="3"/>
      <c r="AX150" s="3"/>
      <c r="AY150" s="5"/>
      <c r="BA150" s="3"/>
      <c r="BD150" s="3"/>
      <c r="BE150" s="3"/>
      <c r="BG150" s="3"/>
      <c r="BH150" s="3"/>
      <c r="BJ150" s="3"/>
      <c r="BK150" s="3"/>
      <c r="BM150" s="3"/>
      <c r="BN150" s="5"/>
      <c r="BP150" s="3"/>
      <c r="BS150" s="3"/>
      <c r="BT150" s="3"/>
      <c r="BV150" s="3"/>
      <c r="BW150" s="3"/>
      <c r="BY150" s="3"/>
      <c r="BZ150" s="3"/>
      <c r="CB150" s="3"/>
      <c r="CC150" s="5"/>
      <c r="CE150" s="3"/>
      <c r="CH150" s="3"/>
      <c r="CI150" s="3"/>
      <c r="CK150" s="3"/>
      <c r="CL150" s="3"/>
      <c r="CN150" s="3"/>
      <c r="CO150" s="3"/>
      <c r="CQ150" s="3"/>
      <c r="CR150" s="5"/>
      <c r="CT150" s="3"/>
      <c r="CW150" s="3"/>
      <c r="CX150" s="3"/>
      <c r="CZ150" s="3"/>
      <c r="DA150" s="3"/>
      <c r="DC150" s="3"/>
      <c r="DD150" s="3"/>
      <c r="DF150" s="3"/>
      <c r="DG150" s="5"/>
      <c r="DI150" s="3"/>
      <c r="DL150" s="3"/>
      <c r="DM150" s="3"/>
      <c r="DO150" s="3"/>
      <c r="DP150" s="3"/>
      <c r="DR150" s="3"/>
      <c r="DS150" s="1" t="str">
        <f>_xlfn.XLOOKUP(OfficeForms.Table[[#This Row],[Selecione a Categoria do Laboratório desta atividade prática:]],Planilha1!A:A,Planilha1!B:B)</f>
        <v>EMF-ISN</v>
      </c>
      <c r="DT150" s="1" t="str">
        <f>CONCATENATE(OfficeForms.Table[[#This Row],[Selecione seu Polo Laboratório de Atividades Presenciais:]],OfficeForms.Table[[#This Row],[CHAVE CONVERSÃO]])</f>
        <v>Sapé/PBEMF-ISN</v>
      </c>
      <c r="DU15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15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15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50" s="1" t="str">
        <f>_xlfn.XLOOKUP(OfficeForms.Table[[#This Row],[CHAVE LINK POLO]],'[1]Quadro Geral de Lotação'!$B:$B,'[1]Quadro Geral de Lotação'!$I:$I)</f>
        <v>Sara Luana De Vasconcelos Gomes</v>
      </c>
      <c r="DY150" s="1" t="str">
        <f>OfficeForms.Table[[#This Row],[Selecione a Ordem de Disciplina]]</f>
        <v>Ordem 1</v>
      </c>
    </row>
    <row r="151" spans="1:129" ht="34.15" customHeight="1">
      <c r="A151" s="1">
        <v>151</v>
      </c>
      <c r="B151" s="2">
        <v>46091.474560185197</v>
      </c>
      <c r="C151" s="2">
        <v>46091.476585648197</v>
      </c>
      <c r="D151" s="3" t="s">
        <v>557</v>
      </c>
      <c r="E151" s="3" t="s">
        <v>558</v>
      </c>
      <c r="G151" s="3"/>
      <c r="I151" s="3" t="s">
        <v>559</v>
      </c>
      <c r="K151" s="3"/>
      <c r="L151" s="1" t="s">
        <v>132</v>
      </c>
      <c r="O151" s="3" t="s">
        <v>184</v>
      </c>
      <c r="Q151" s="3"/>
      <c r="R151" s="3"/>
      <c r="T151" s="3"/>
      <c r="U151" s="5"/>
      <c r="W151" s="3"/>
      <c r="Z151" s="3"/>
      <c r="AA151" s="3"/>
      <c r="AC151" s="3"/>
      <c r="AD151" s="3"/>
      <c r="AF151" s="3"/>
      <c r="AG151" s="3" t="s">
        <v>206</v>
      </c>
      <c r="AI151" s="3"/>
      <c r="AJ151" s="1">
        <v>46088</v>
      </c>
      <c r="AL151" s="3"/>
      <c r="AM151" s="1">
        <v>1</v>
      </c>
      <c r="AO151" s="3"/>
      <c r="AP151" s="3" t="s">
        <v>668</v>
      </c>
      <c r="AR151" s="3"/>
      <c r="AS151" s="3" t="s">
        <v>669</v>
      </c>
      <c r="AU151" s="3"/>
      <c r="AV151" s="3"/>
      <c r="AX151" s="3"/>
      <c r="AY151" s="5"/>
      <c r="BA151" s="3"/>
      <c r="BD151" s="3"/>
      <c r="BE151" s="3"/>
      <c r="BG151" s="3"/>
      <c r="BH151" s="3"/>
      <c r="BJ151" s="3"/>
      <c r="BK151" s="3"/>
      <c r="BM151" s="3"/>
      <c r="BN151" s="5"/>
      <c r="BP151" s="3"/>
      <c r="BS151" s="3"/>
      <c r="BT151" s="3"/>
      <c r="BV151" s="3"/>
      <c r="BW151" s="3"/>
      <c r="BY151" s="3"/>
      <c r="BZ151" s="3"/>
      <c r="CB151" s="3"/>
      <c r="CC151" s="5"/>
      <c r="CE151" s="3"/>
      <c r="CH151" s="3"/>
      <c r="CI151" s="3"/>
      <c r="CK151" s="3"/>
      <c r="CL151" s="3"/>
      <c r="CN151" s="3"/>
      <c r="CO151" s="3"/>
      <c r="CQ151" s="3"/>
      <c r="CR151" s="5"/>
      <c r="CT151" s="3"/>
      <c r="CW151" s="3"/>
      <c r="CX151" s="3"/>
      <c r="CZ151" s="3"/>
      <c r="DA151" s="3"/>
      <c r="DC151" s="3"/>
      <c r="DD151" s="3"/>
      <c r="DF151" s="3"/>
      <c r="DG151" s="5"/>
      <c r="DI151" s="3"/>
      <c r="DL151" s="3"/>
      <c r="DM151" s="3"/>
      <c r="DO151" s="3"/>
      <c r="DP151" s="3"/>
      <c r="DR151" s="3"/>
      <c r="DS151" s="1" t="str">
        <f>_xlfn.XLOOKUP(OfficeForms.Table[[#This Row],[Selecione a Categoria do Laboratório desta atividade prática:]],Planilha1!A:A,Planilha1!B:B)</f>
        <v>EMF-ISN</v>
      </c>
      <c r="DT151" s="1" t="str">
        <f>CONCATENATE(OfficeForms.Table[[#This Row],[Selecione seu Polo Laboratório de Atividades Presenciais:]],OfficeForms.Table[[#This Row],[CHAVE CONVERSÃO]])</f>
        <v>Sapé/PBEMF-ISN</v>
      </c>
      <c r="DU15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15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15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51" s="1" t="str">
        <f>_xlfn.XLOOKUP(OfficeForms.Table[[#This Row],[CHAVE LINK POLO]],'[1]Quadro Geral de Lotação'!$B:$B,'[1]Quadro Geral de Lotação'!$I:$I)</f>
        <v>Sara Luana De Vasconcelos Gomes</v>
      </c>
      <c r="DY151" s="1" t="str">
        <f>OfficeForms.Table[[#This Row],[Selecione a Ordem de Disciplina]]</f>
        <v>Ordem 1</v>
      </c>
    </row>
    <row r="152" spans="1:129" ht="34.15" customHeight="1">
      <c r="A152" s="1">
        <v>152</v>
      </c>
      <c r="B152" s="2">
        <v>46091.476724537002</v>
      </c>
      <c r="C152" s="2">
        <v>46091.481203703697</v>
      </c>
      <c r="D152" s="3" t="s">
        <v>557</v>
      </c>
      <c r="E152" s="3" t="s">
        <v>558</v>
      </c>
      <c r="G152" s="3"/>
      <c r="I152" s="3" t="s">
        <v>559</v>
      </c>
      <c r="K152" s="3"/>
      <c r="L152" s="1" t="s">
        <v>132</v>
      </c>
      <c r="O152" s="3" t="s">
        <v>184</v>
      </c>
      <c r="Q152" s="3"/>
      <c r="R152" s="3"/>
      <c r="T152" s="3"/>
      <c r="U152" s="5"/>
      <c r="W152" s="3"/>
      <c r="Z152" s="3"/>
      <c r="AA152" s="3"/>
      <c r="AC152" s="3"/>
      <c r="AD152" s="3"/>
      <c r="AF152" s="3"/>
      <c r="AG152" s="3" t="s">
        <v>194</v>
      </c>
      <c r="AI152" s="3"/>
      <c r="AJ152" s="1">
        <v>46088</v>
      </c>
      <c r="AL152" s="3"/>
      <c r="AM152" s="1">
        <v>1</v>
      </c>
      <c r="AO152" s="3"/>
      <c r="AP152" s="3" t="s">
        <v>670</v>
      </c>
      <c r="AR152" s="3"/>
      <c r="AS152" s="3" t="s">
        <v>671</v>
      </c>
      <c r="AU152" s="3"/>
      <c r="AV152" s="3"/>
      <c r="AX152" s="3"/>
      <c r="AY152" s="5"/>
      <c r="BA152" s="3"/>
      <c r="BD152" s="3"/>
      <c r="BE152" s="3"/>
      <c r="BG152" s="3"/>
      <c r="BH152" s="3"/>
      <c r="BJ152" s="3"/>
      <c r="BK152" s="3"/>
      <c r="BM152" s="3"/>
      <c r="BN152" s="5"/>
      <c r="BP152" s="3"/>
      <c r="BS152" s="3"/>
      <c r="BT152" s="3"/>
      <c r="BV152" s="3"/>
      <c r="BW152" s="3"/>
      <c r="BY152" s="3"/>
      <c r="BZ152" s="3"/>
      <c r="CB152" s="3"/>
      <c r="CC152" s="5"/>
      <c r="CE152" s="3"/>
      <c r="CH152" s="3"/>
      <c r="CI152" s="3"/>
      <c r="CK152" s="3"/>
      <c r="CL152" s="3"/>
      <c r="CN152" s="3"/>
      <c r="CO152" s="3"/>
      <c r="CQ152" s="3"/>
      <c r="CR152" s="5"/>
      <c r="CT152" s="3"/>
      <c r="CW152" s="3"/>
      <c r="CX152" s="3"/>
      <c r="CZ152" s="3"/>
      <c r="DA152" s="3"/>
      <c r="DC152" s="3"/>
      <c r="DD152" s="3"/>
      <c r="DF152" s="3"/>
      <c r="DG152" s="5"/>
      <c r="DI152" s="3"/>
      <c r="DL152" s="3"/>
      <c r="DM152" s="3"/>
      <c r="DO152" s="3"/>
      <c r="DP152" s="3"/>
      <c r="DR152" s="3"/>
      <c r="DS152" s="1" t="str">
        <f>_xlfn.XLOOKUP(OfficeForms.Table[[#This Row],[Selecione a Categoria do Laboratório desta atividade prática:]],Planilha1!A:A,Planilha1!B:B)</f>
        <v>EMF-ISN</v>
      </c>
      <c r="DT152" s="1" t="str">
        <f>CONCATENATE(OfficeForms.Table[[#This Row],[Selecione seu Polo Laboratório de Atividades Presenciais:]],OfficeForms.Table[[#This Row],[CHAVE CONVERSÃO]])</f>
        <v>Sapé/PBEMF-ISN</v>
      </c>
      <c r="DU15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5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15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52" s="1" t="str">
        <f>_xlfn.XLOOKUP(OfficeForms.Table[[#This Row],[CHAVE LINK POLO]],'[1]Quadro Geral de Lotação'!$B:$B,'[1]Quadro Geral de Lotação'!$I:$I)</f>
        <v>Sara Luana De Vasconcelos Gomes</v>
      </c>
      <c r="DY152" s="1" t="str">
        <f>OfficeForms.Table[[#This Row],[Selecione a Ordem de Disciplina]]</f>
        <v>Ordem 1</v>
      </c>
    </row>
    <row r="153" spans="1:129" ht="34.15" customHeight="1">
      <c r="A153" s="1">
        <v>153</v>
      </c>
      <c r="B153" s="2">
        <v>46091.481273148202</v>
      </c>
      <c r="C153" s="2">
        <v>46091.4827546296</v>
      </c>
      <c r="D153" s="3" t="s">
        <v>557</v>
      </c>
      <c r="E153" s="3" t="s">
        <v>558</v>
      </c>
      <c r="G153" s="3"/>
      <c r="I153" s="3" t="s">
        <v>559</v>
      </c>
      <c r="K153" s="3"/>
      <c r="L153" s="1" t="s">
        <v>132</v>
      </c>
      <c r="O153" s="3" t="s">
        <v>184</v>
      </c>
      <c r="Q153" s="3"/>
      <c r="R153" s="3"/>
      <c r="T153" s="3"/>
      <c r="U153" s="5"/>
      <c r="W153" s="3"/>
      <c r="Z153" s="3"/>
      <c r="AA153" s="3"/>
      <c r="AC153" s="3"/>
      <c r="AD153" s="3"/>
      <c r="AF153" s="3"/>
      <c r="AG153" s="3" t="s">
        <v>194</v>
      </c>
      <c r="AI153" s="3"/>
      <c r="AJ153" s="1">
        <v>46088</v>
      </c>
      <c r="AL153" s="3"/>
      <c r="AM153" s="1">
        <v>1</v>
      </c>
      <c r="AO153" s="3"/>
      <c r="AP153" s="3" t="s">
        <v>672</v>
      </c>
      <c r="AR153" s="3"/>
      <c r="AS153" s="3" t="s">
        <v>673</v>
      </c>
      <c r="AU153" s="3"/>
      <c r="AV153" s="3"/>
      <c r="AX153" s="3"/>
      <c r="AY153" s="5"/>
      <c r="BA153" s="3"/>
      <c r="BD153" s="3"/>
      <c r="BE153" s="3"/>
      <c r="BG153" s="3"/>
      <c r="BH153" s="3"/>
      <c r="BJ153" s="3"/>
      <c r="BK153" s="3"/>
      <c r="BM153" s="3"/>
      <c r="BN153" s="5"/>
      <c r="BP153" s="3"/>
      <c r="BS153" s="3"/>
      <c r="BT153" s="3"/>
      <c r="BV153" s="3"/>
      <c r="BW153" s="3"/>
      <c r="BY153" s="3"/>
      <c r="BZ153" s="3"/>
      <c r="CB153" s="3"/>
      <c r="CC153" s="5"/>
      <c r="CE153" s="3"/>
      <c r="CH153" s="3"/>
      <c r="CI153" s="3"/>
      <c r="CK153" s="3"/>
      <c r="CL153" s="3"/>
      <c r="CN153" s="3"/>
      <c r="CO153" s="3"/>
      <c r="CQ153" s="3"/>
      <c r="CR153" s="5"/>
      <c r="CT153" s="3"/>
      <c r="CW153" s="3"/>
      <c r="CX153" s="3"/>
      <c r="CZ153" s="3"/>
      <c r="DA153" s="3"/>
      <c r="DC153" s="3"/>
      <c r="DD153" s="3"/>
      <c r="DF153" s="3"/>
      <c r="DG153" s="5"/>
      <c r="DI153" s="3"/>
      <c r="DL153" s="3"/>
      <c r="DM153" s="3"/>
      <c r="DO153" s="3"/>
      <c r="DP153" s="3"/>
      <c r="DR153" s="3"/>
      <c r="DS153" s="1" t="str">
        <f>_xlfn.XLOOKUP(OfficeForms.Table[[#This Row],[Selecione a Categoria do Laboratório desta atividade prática:]],Planilha1!A:A,Planilha1!B:B)</f>
        <v>EMF-ISN</v>
      </c>
      <c r="DT153" s="1" t="str">
        <f>CONCATENATE(OfficeForms.Table[[#This Row],[Selecione seu Polo Laboratório de Atividades Presenciais:]],OfficeForms.Table[[#This Row],[CHAVE CONVERSÃO]])</f>
        <v>Sapé/PBEMF-ISN</v>
      </c>
      <c r="DU15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5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15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53" s="1" t="str">
        <f>_xlfn.XLOOKUP(OfficeForms.Table[[#This Row],[CHAVE LINK POLO]],'[1]Quadro Geral de Lotação'!$B:$B,'[1]Quadro Geral de Lotação'!$I:$I)</f>
        <v>Sara Luana De Vasconcelos Gomes</v>
      </c>
      <c r="DY153" s="1" t="str">
        <f>OfficeForms.Table[[#This Row],[Selecione a Ordem de Disciplina]]</f>
        <v>Ordem 1</v>
      </c>
    </row>
    <row r="154" spans="1:129" ht="34.15" customHeight="1">
      <c r="A154" s="1">
        <v>154</v>
      </c>
      <c r="B154" s="2">
        <v>46091.589930555601</v>
      </c>
      <c r="C154" s="2">
        <v>46091.595787036997</v>
      </c>
      <c r="D154" s="3" t="s">
        <v>257</v>
      </c>
      <c r="E154" s="3" t="s">
        <v>258</v>
      </c>
      <c r="G154" s="3"/>
      <c r="I154" s="3" t="s">
        <v>259</v>
      </c>
      <c r="K154" s="3"/>
      <c r="L154" s="1" t="s">
        <v>132</v>
      </c>
      <c r="O154" s="3" t="s">
        <v>156</v>
      </c>
      <c r="Q154" s="3"/>
      <c r="R154" s="3"/>
      <c r="T154" s="3"/>
      <c r="U154" s="5"/>
      <c r="W154" s="3"/>
      <c r="Z154" s="3"/>
      <c r="AA154" s="3"/>
      <c r="AC154" s="3"/>
      <c r="AD154" s="3"/>
      <c r="AF154" s="3"/>
      <c r="AG154" s="3"/>
      <c r="AI154" s="3"/>
      <c r="AJ154" s="1"/>
      <c r="AL154" s="3"/>
      <c r="AO154" s="3"/>
      <c r="AP154" s="3"/>
      <c r="AR154" s="3"/>
      <c r="AS154" s="3"/>
      <c r="AU154" s="3"/>
      <c r="AV154" s="3"/>
      <c r="AX154" s="3"/>
      <c r="AY154" s="5"/>
      <c r="BA154" s="3"/>
      <c r="BD154" s="3"/>
      <c r="BE154" s="3"/>
      <c r="BG154" s="3"/>
      <c r="BH154" s="3"/>
      <c r="BJ154" s="3"/>
      <c r="BK154" s="3" t="s">
        <v>260</v>
      </c>
      <c r="BM154" s="3"/>
      <c r="BN154" s="5">
        <v>46079</v>
      </c>
      <c r="BP154" s="3"/>
      <c r="BQ154" s="1">
        <v>1</v>
      </c>
      <c r="BS154" s="3"/>
      <c r="BT154" s="3" t="s">
        <v>674</v>
      </c>
      <c r="BV154" s="3"/>
      <c r="BW154" s="3" t="s">
        <v>675</v>
      </c>
      <c r="BY154" s="3"/>
      <c r="BZ154" s="3"/>
      <c r="CB154" s="3"/>
      <c r="CC154" s="5"/>
      <c r="CE154" s="3"/>
      <c r="CH154" s="3"/>
      <c r="CI154" s="3"/>
      <c r="CK154" s="3"/>
      <c r="CL154" s="3"/>
      <c r="CN154" s="3"/>
      <c r="CO154" s="3"/>
      <c r="CQ154" s="3"/>
      <c r="CR154" s="5"/>
      <c r="CT154" s="3"/>
      <c r="CW154" s="3"/>
      <c r="CX154" s="3"/>
      <c r="CZ154" s="3"/>
      <c r="DA154" s="3"/>
      <c r="DC154" s="3"/>
      <c r="DD154" s="3"/>
      <c r="DF154" s="3"/>
      <c r="DG154" s="5"/>
      <c r="DI154" s="3"/>
      <c r="DL154" s="3"/>
      <c r="DM154" s="3"/>
      <c r="DO154" s="3"/>
      <c r="DP154" s="3"/>
      <c r="DR154" s="3"/>
      <c r="DS154" s="1" t="str">
        <f>_xlfn.XLOOKUP(OfficeForms.Table[[#This Row],[Selecione a Categoria do Laboratório desta atividade prática:]],Planilha1!A:A,Planilha1!B:B)</f>
        <v>NTR</v>
      </c>
      <c r="DT154" s="1" t="str">
        <f>CONCATENATE(OfficeForms.Table[[#This Row],[Selecione seu Polo Laboratório de Atividades Presenciais:]],OfficeForms.Table[[#This Row],[CHAVE CONVERSÃO]])</f>
        <v>Capão Da Canoa/RSNTR</v>
      </c>
      <c r="DU15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Terapia nutricional enteral e suplementação oral</v>
      </c>
      <c r="DV15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15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54" s="1" t="str">
        <f>_xlfn.XLOOKUP(OfficeForms.Table[[#This Row],[CHAVE LINK POLO]],'[1]Quadro Geral de Lotação'!$B:$B,'[1]Quadro Geral de Lotação'!$I:$I)</f>
        <v>Ana Carolina Da Silva Sedrez</v>
      </c>
      <c r="DY154" s="1" t="str">
        <f>OfficeForms.Table[[#This Row],[Selecione a Ordem de Disciplina]]</f>
        <v>Ordem 1</v>
      </c>
    </row>
    <row r="155" spans="1:129" ht="34.15" customHeight="1">
      <c r="A155" s="1">
        <v>155</v>
      </c>
      <c r="B155" s="2">
        <v>46091.6238773148</v>
      </c>
      <c r="C155" s="2">
        <v>46091.624525462998</v>
      </c>
      <c r="D155" s="3" t="s">
        <v>257</v>
      </c>
      <c r="E155" s="3" t="s">
        <v>258</v>
      </c>
      <c r="G155" s="3"/>
      <c r="I155" s="3" t="s">
        <v>259</v>
      </c>
      <c r="K155" s="3"/>
      <c r="L155" s="1" t="s">
        <v>132</v>
      </c>
      <c r="O155" s="3" t="s">
        <v>156</v>
      </c>
      <c r="Q155" s="3"/>
      <c r="R155" s="3"/>
      <c r="T155" s="3"/>
      <c r="U155" s="5"/>
      <c r="W155" s="3"/>
      <c r="Z155" s="3"/>
      <c r="AA155" s="3"/>
      <c r="AC155" s="3"/>
      <c r="AD155" s="3"/>
      <c r="AF155" s="3"/>
      <c r="AG155" s="3"/>
      <c r="AI155" s="3"/>
      <c r="AJ155" s="1"/>
      <c r="AL155" s="3"/>
      <c r="AO155" s="3"/>
      <c r="AP155" s="3"/>
      <c r="AR155" s="3"/>
      <c r="AS155" s="3"/>
      <c r="AU155" s="3"/>
      <c r="AV155" s="3"/>
      <c r="AX155" s="3"/>
      <c r="AY155" s="5"/>
      <c r="BA155" s="3"/>
      <c r="BD155" s="3"/>
      <c r="BE155" s="3"/>
      <c r="BG155" s="3"/>
      <c r="BH155" s="3"/>
      <c r="BJ155" s="3"/>
      <c r="BK155" s="3" t="s">
        <v>157</v>
      </c>
      <c r="BM155" s="3"/>
      <c r="BN155" s="5">
        <v>46088</v>
      </c>
      <c r="BP155" s="3"/>
      <c r="BQ155" s="1">
        <v>10</v>
      </c>
      <c r="BS155" s="3"/>
      <c r="BT155" s="3" t="s">
        <v>676</v>
      </c>
      <c r="BV155" s="3"/>
      <c r="BW155" s="3" t="s">
        <v>677</v>
      </c>
      <c r="BY155" s="3"/>
      <c r="BZ155" s="3"/>
      <c r="CB155" s="3"/>
      <c r="CC155" s="5"/>
      <c r="CE155" s="3"/>
      <c r="CH155" s="3"/>
      <c r="CI155" s="3"/>
      <c r="CK155" s="3"/>
      <c r="CL155" s="3"/>
      <c r="CN155" s="3"/>
      <c r="CO155" s="3"/>
      <c r="CQ155" s="3"/>
      <c r="CR155" s="5"/>
      <c r="CT155" s="3"/>
      <c r="CW155" s="3"/>
      <c r="CX155" s="3"/>
      <c r="CZ155" s="3"/>
      <c r="DA155" s="3"/>
      <c r="DC155" s="3"/>
      <c r="DD155" s="3"/>
      <c r="DF155" s="3"/>
      <c r="DG155" s="5"/>
      <c r="DI155" s="3"/>
      <c r="DL155" s="3"/>
      <c r="DM155" s="3"/>
      <c r="DO155" s="3"/>
      <c r="DP155" s="3"/>
      <c r="DR155" s="3"/>
      <c r="DS155" s="1" t="str">
        <f>_xlfn.XLOOKUP(OfficeForms.Table[[#This Row],[Selecione a Categoria do Laboratório desta atividade prática:]],Planilha1!A:A,Planilha1!B:B)</f>
        <v>NTR</v>
      </c>
      <c r="DT155" s="1" t="str">
        <f>CONCATENATE(OfficeForms.Table[[#This Row],[Selecione seu Polo Laboratório de Atividades Presenciais:]],OfficeForms.Table[[#This Row],[CHAVE CONVERSÃO]])</f>
        <v>Capão Da Canoa/RSNTR</v>
      </c>
      <c r="DU15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15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15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155" s="1" t="str">
        <f>_xlfn.XLOOKUP(OfficeForms.Table[[#This Row],[CHAVE LINK POLO]],'[1]Quadro Geral de Lotação'!$B:$B,'[1]Quadro Geral de Lotação'!$I:$I)</f>
        <v>Ana Carolina Da Silva Sedrez</v>
      </c>
      <c r="DY155" s="1" t="str">
        <f>OfficeForms.Table[[#This Row],[Selecione a Ordem de Disciplina]]</f>
        <v>Ordem 1</v>
      </c>
    </row>
    <row r="156" spans="1:129" ht="34.15" customHeight="1">
      <c r="A156" s="1">
        <v>156</v>
      </c>
      <c r="B156" s="2">
        <v>46091.5910532407</v>
      </c>
      <c r="C156" s="2">
        <v>46091.630798611099</v>
      </c>
      <c r="D156" s="3" t="s">
        <v>263</v>
      </c>
      <c r="E156" s="3" t="s">
        <v>264</v>
      </c>
      <c r="G156" s="3"/>
      <c r="I156" s="3" t="s">
        <v>265</v>
      </c>
      <c r="K156" s="3"/>
      <c r="L156" s="1" t="s">
        <v>678</v>
      </c>
      <c r="O156" s="3" t="s">
        <v>184</v>
      </c>
      <c r="Q156" s="3"/>
      <c r="R156" s="3"/>
      <c r="T156" s="3"/>
      <c r="U156" s="5"/>
      <c r="W156" s="3"/>
      <c r="Z156" s="3"/>
      <c r="AA156" s="3"/>
      <c r="AC156" s="3"/>
      <c r="AD156" s="3"/>
      <c r="AF156" s="3"/>
      <c r="AG156" s="3" t="s">
        <v>224</v>
      </c>
      <c r="AI156" s="3"/>
      <c r="AJ156" s="1">
        <v>46090</v>
      </c>
      <c r="AL156" s="3"/>
      <c r="AM156" s="1">
        <v>1</v>
      </c>
      <c r="AO156" s="3"/>
      <c r="AP156" s="3" t="s">
        <v>679</v>
      </c>
      <c r="AR156" s="3"/>
      <c r="AS156" s="3" t="s">
        <v>680</v>
      </c>
      <c r="AU156" s="3"/>
      <c r="AV156" s="3"/>
      <c r="AX156" s="3"/>
      <c r="AY156" s="5"/>
      <c r="BA156" s="3"/>
      <c r="BD156" s="3"/>
      <c r="BE156" s="3"/>
      <c r="BG156" s="3"/>
      <c r="BH156" s="3"/>
      <c r="BJ156" s="3"/>
      <c r="BK156" s="3"/>
      <c r="BM156" s="3"/>
      <c r="BN156" s="5"/>
      <c r="BP156" s="3"/>
      <c r="BS156" s="3"/>
      <c r="BT156" s="3"/>
      <c r="BV156" s="3"/>
      <c r="BW156" s="3"/>
      <c r="BY156" s="3"/>
      <c r="BZ156" s="3"/>
      <c r="CB156" s="3"/>
      <c r="CC156" s="5"/>
      <c r="CE156" s="3"/>
      <c r="CH156" s="3"/>
      <c r="CI156" s="3"/>
      <c r="CK156" s="3"/>
      <c r="CL156" s="3"/>
      <c r="CN156" s="3"/>
      <c r="CO156" s="3"/>
      <c r="CQ156" s="3"/>
      <c r="CR156" s="5"/>
      <c r="CT156" s="3"/>
      <c r="CW156" s="3"/>
      <c r="CX156" s="3"/>
      <c r="CZ156" s="3"/>
      <c r="DA156" s="3"/>
      <c r="DC156" s="3"/>
      <c r="DD156" s="3"/>
      <c r="DF156" s="3"/>
      <c r="DG156" s="5"/>
      <c r="DI156" s="3"/>
      <c r="DL156" s="3"/>
      <c r="DM156" s="3"/>
      <c r="DO156" s="3"/>
      <c r="DP156" s="3"/>
      <c r="DR156" s="3"/>
      <c r="DS156" s="1" t="str">
        <f>_xlfn.XLOOKUP(OfficeForms.Table[[#This Row],[Selecione a Categoria do Laboratório desta atividade prática:]],Planilha1!A:A,Planilha1!B:B)</f>
        <v>EMF-ISN</v>
      </c>
      <c r="DT156" s="1" t="str">
        <f>CONCATENATE(OfficeForms.Table[[#This Row],[Selecione seu Polo Laboratório de Atividades Presenciais:]],OfficeForms.Table[[#This Row],[CHAVE CONVERSÃO]])</f>
        <v>Brusque/SCEMF-ISN</v>
      </c>
      <c r="DU15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15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15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56" s="1" t="str">
        <f>_xlfn.XLOOKUP(OfficeForms.Table[[#This Row],[CHAVE LINK POLO]],'[1]Quadro Geral de Lotação'!$B:$B,'[1]Quadro Geral de Lotação'!$I:$I)</f>
        <v>Fabio Junior da Rosa</v>
      </c>
      <c r="DY156" s="1" t="str">
        <f>OfficeForms.Table[[#This Row],[Selecione a Ordem de Disciplina]]</f>
        <v>Ordem 2</v>
      </c>
    </row>
    <row r="157" spans="1:129" ht="34.15" customHeight="1">
      <c r="A157" s="1">
        <v>157</v>
      </c>
      <c r="B157" s="2">
        <v>46091.633784722202</v>
      </c>
      <c r="C157" s="2">
        <v>46091.634166666699</v>
      </c>
      <c r="D157" s="3" t="s">
        <v>257</v>
      </c>
      <c r="E157" s="3" t="s">
        <v>258</v>
      </c>
      <c r="G157" s="3"/>
      <c r="I157" s="3" t="s">
        <v>259</v>
      </c>
      <c r="K157" s="3"/>
      <c r="L157" s="1" t="s">
        <v>132</v>
      </c>
      <c r="O157" s="3" t="s">
        <v>156</v>
      </c>
      <c r="Q157" s="3"/>
      <c r="R157" s="3"/>
      <c r="T157" s="3"/>
      <c r="U157" s="5"/>
      <c r="W157" s="3"/>
      <c r="Z157" s="3"/>
      <c r="AA157" s="3"/>
      <c r="AC157" s="3"/>
      <c r="AD157" s="3"/>
      <c r="AF157" s="3"/>
      <c r="AG157" s="3"/>
      <c r="AI157" s="3"/>
      <c r="AJ157" s="1"/>
      <c r="AL157" s="3"/>
      <c r="AO157" s="3"/>
      <c r="AP157" s="3"/>
      <c r="AR157" s="3"/>
      <c r="AS157" s="3"/>
      <c r="AU157" s="3"/>
      <c r="AV157" s="3"/>
      <c r="AX157" s="3"/>
      <c r="AY157" s="5"/>
      <c r="BA157" s="3"/>
      <c r="BD157" s="3"/>
      <c r="BE157" s="3"/>
      <c r="BG157" s="3"/>
      <c r="BH157" s="3"/>
      <c r="BJ157" s="3"/>
      <c r="BK157" s="3" t="s">
        <v>165</v>
      </c>
      <c r="BM157" s="3"/>
      <c r="BN157" s="5">
        <v>46088</v>
      </c>
      <c r="BP157" s="3"/>
      <c r="BQ157" s="1">
        <v>9</v>
      </c>
      <c r="BS157" s="3"/>
      <c r="BT157" s="3" t="s">
        <v>681</v>
      </c>
      <c r="BV157" s="3"/>
      <c r="BW157" s="3" t="s">
        <v>682</v>
      </c>
      <c r="BY157" s="3"/>
      <c r="BZ157" s="3"/>
      <c r="CB157" s="3"/>
      <c r="CC157" s="5"/>
      <c r="CE157" s="3"/>
      <c r="CH157" s="3"/>
      <c r="CI157" s="3"/>
      <c r="CK157" s="3"/>
      <c r="CL157" s="3"/>
      <c r="CN157" s="3"/>
      <c r="CO157" s="3"/>
      <c r="CQ157" s="3"/>
      <c r="CR157" s="5"/>
      <c r="CT157" s="3"/>
      <c r="CW157" s="3"/>
      <c r="CX157" s="3"/>
      <c r="CZ157" s="3"/>
      <c r="DA157" s="3"/>
      <c r="DC157" s="3"/>
      <c r="DD157" s="3"/>
      <c r="DF157" s="3"/>
      <c r="DG157" s="5"/>
      <c r="DI157" s="3"/>
      <c r="DL157" s="3"/>
      <c r="DM157" s="3"/>
      <c r="DO157" s="3"/>
      <c r="DP157" s="3"/>
      <c r="DR157" s="3"/>
      <c r="DS157" s="1" t="str">
        <f>_xlfn.XLOOKUP(OfficeForms.Table[[#This Row],[Selecione a Categoria do Laboratório desta atividade prática:]],Planilha1!A:A,Planilha1!B:B)</f>
        <v>NTR</v>
      </c>
      <c r="DT157" s="1" t="str">
        <f>CONCATENATE(OfficeForms.Table[[#This Row],[Selecione seu Polo Laboratório de Atividades Presenciais:]],OfficeForms.Table[[#This Row],[CHAVE CONVERSÃO]])</f>
        <v>Capão Da Canoa/RSNTR</v>
      </c>
      <c r="DU15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15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15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157" s="1" t="str">
        <f>_xlfn.XLOOKUP(OfficeForms.Table[[#This Row],[CHAVE LINK POLO]],'[1]Quadro Geral de Lotação'!$B:$B,'[1]Quadro Geral de Lotação'!$I:$I)</f>
        <v>Ana Carolina Da Silva Sedrez</v>
      </c>
      <c r="DY157" s="1" t="str">
        <f>OfficeForms.Table[[#This Row],[Selecione a Ordem de Disciplina]]</f>
        <v>Ordem 1</v>
      </c>
    </row>
    <row r="158" spans="1:129" ht="34.15" customHeight="1">
      <c r="A158" s="1">
        <v>158</v>
      </c>
      <c r="B158" s="2">
        <v>46091.671643518501</v>
      </c>
      <c r="C158" s="2">
        <v>46091.672256944403</v>
      </c>
      <c r="D158" s="3" t="s">
        <v>683</v>
      </c>
      <c r="E158" s="3" t="s">
        <v>684</v>
      </c>
      <c r="G158" s="3"/>
      <c r="I158" s="3" t="s">
        <v>508</v>
      </c>
      <c r="K158" s="3"/>
      <c r="L158" s="1" t="s">
        <v>132</v>
      </c>
      <c r="O158" s="3" t="s">
        <v>497</v>
      </c>
      <c r="Q158" s="3"/>
      <c r="R158" s="3" t="s">
        <v>685</v>
      </c>
      <c r="T158" s="3"/>
      <c r="U158" s="5">
        <v>46100</v>
      </c>
      <c r="W158" s="3"/>
      <c r="X158" s="1">
        <v>12</v>
      </c>
      <c r="Z158" s="3"/>
      <c r="AA158" s="3" t="s">
        <v>686</v>
      </c>
      <c r="AC158" s="3"/>
      <c r="AD158" s="3" t="s">
        <v>687</v>
      </c>
      <c r="AF158" s="3"/>
      <c r="AG158" s="3"/>
      <c r="AI158" s="3"/>
      <c r="AJ158" s="1"/>
      <c r="AL158" s="3"/>
      <c r="AO158" s="3"/>
      <c r="AP158" s="3"/>
      <c r="AR158" s="3"/>
      <c r="AS158" s="3"/>
      <c r="AU158" s="3"/>
      <c r="AV158" s="3"/>
      <c r="AX158" s="3"/>
      <c r="AY158" s="5"/>
      <c r="BA158" s="3"/>
      <c r="BD158" s="3"/>
      <c r="BE158" s="3"/>
      <c r="BG158" s="3"/>
      <c r="BH158" s="3"/>
      <c r="BJ158" s="3"/>
      <c r="BK158" s="3"/>
      <c r="BM158" s="3"/>
      <c r="BN158" s="5"/>
      <c r="BP158" s="3"/>
      <c r="BS158" s="3"/>
      <c r="BT158" s="3"/>
      <c r="BV158" s="3"/>
      <c r="BW158" s="3"/>
      <c r="BY158" s="3"/>
      <c r="BZ158" s="3"/>
      <c r="CB158" s="3"/>
      <c r="CC158" s="5"/>
      <c r="CE158" s="3"/>
      <c r="CH158" s="3"/>
      <c r="CI158" s="3"/>
      <c r="CK158" s="3"/>
      <c r="CL158" s="3"/>
      <c r="CN158" s="3"/>
      <c r="CO158" s="3"/>
      <c r="CQ158" s="3"/>
      <c r="CR158" s="5"/>
      <c r="CT158" s="3"/>
      <c r="CW158" s="3"/>
      <c r="CX158" s="3"/>
      <c r="CZ158" s="3"/>
      <c r="DA158" s="3"/>
      <c r="DC158" s="3"/>
      <c r="DD158" s="3"/>
      <c r="DF158" s="3"/>
      <c r="DG158" s="5"/>
      <c r="DI158" s="3"/>
      <c r="DL158" s="3"/>
      <c r="DM158" s="3"/>
      <c r="DO158" s="3"/>
      <c r="DP158" s="3"/>
      <c r="DR158" s="3"/>
      <c r="DS158" s="1" t="str">
        <f>_xlfn.XLOOKUP(OfficeForms.Table[[#This Row],[Selecione a Categoria do Laboratório desta atividade prática:]],Planilha1!A:A,Planilha1!B:B)</f>
        <v>BFR-BBI</v>
      </c>
      <c r="DT158" s="1" t="str">
        <f>CONCATENATE(OfficeForms.Table[[#This Row],[Selecione seu Polo Laboratório de Atividades Presenciais:]],OfficeForms.Table[[#This Row],[CHAVE CONVERSÃO]])</f>
        <v>Rondonópolis/MTBFR-BBI</v>
      </c>
      <c r="DU15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Coleta de Sangue;Esfregaço sanguíneo e colorações  (contagem diferencial de leucócitos);Preparo de meio de cultura II</v>
      </c>
      <c r="DV15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15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158" s="1" t="e">
        <f>_xlfn.XLOOKUP(OfficeForms.Table[[#This Row],[CHAVE LINK POLO]],'[1]Quadro Geral de Lotação'!$B:$B,'[1]Quadro Geral de Lotação'!$I:$I)</f>
        <v>#N/A</v>
      </c>
      <c r="DY158" s="1" t="str">
        <f>OfficeForms.Table[[#This Row],[Selecione a Ordem de Disciplina]]</f>
        <v>Ordem 1</v>
      </c>
    </row>
    <row r="159" spans="1:129" ht="34.15" customHeight="1">
      <c r="A159" s="1">
        <v>159</v>
      </c>
      <c r="B159" s="2">
        <v>46091.672303240703</v>
      </c>
      <c r="C159" s="2">
        <v>46091.679895833302</v>
      </c>
      <c r="D159" s="3" t="s">
        <v>683</v>
      </c>
      <c r="E159" s="3" t="s">
        <v>684</v>
      </c>
      <c r="G159" s="3"/>
      <c r="I159" s="3" t="s">
        <v>508</v>
      </c>
      <c r="K159" s="3"/>
      <c r="L159" s="1" t="s">
        <v>132</v>
      </c>
      <c r="O159" s="3" t="s">
        <v>497</v>
      </c>
      <c r="Q159" s="3"/>
      <c r="R159" s="3" t="s">
        <v>498</v>
      </c>
      <c r="T159" s="3"/>
      <c r="U159" s="5">
        <v>46077</v>
      </c>
      <c r="W159" s="3"/>
      <c r="X159" s="1">
        <v>15</v>
      </c>
      <c r="Z159" s="3"/>
      <c r="AA159" s="3" t="s">
        <v>688</v>
      </c>
      <c r="AC159" s="3"/>
      <c r="AD159" s="3" t="s">
        <v>689</v>
      </c>
      <c r="AF159" s="3"/>
      <c r="AG159" s="3"/>
      <c r="AI159" s="3"/>
      <c r="AJ159" s="1"/>
      <c r="AL159" s="3"/>
      <c r="AO159" s="3"/>
      <c r="AP159" s="3"/>
      <c r="AR159" s="3"/>
      <c r="AS159" s="3"/>
      <c r="AU159" s="3"/>
      <c r="AV159" s="3"/>
      <c r="AX159" s="3"/>
      <c r="AY159" s="5"/>
      <c r="BA159" s="3"/>
      <c r="BD159" s="3"/>
      <c r="BE159" s="3"/>
      <c r="BG159" s="3"/>
      <c r="BH159" s="3"/>
      <c r="BJ159" s="3"/>
      <c r="BK159" s="3"/>
      <c r="BM159" s="3"/>
      <c r="BN159" s="5"/>
      <c r="BP159" s="3"/>
      <c r="BS159" s="3"/>
      <c r="BT159" s="3"/>
      <c r="BV159" s="3"/>
      <c r="BW159" s="3"/>
      <c r="BY159" s="3"/>
      <c r="BZ159" s="3"/>
      <c r="CB159" s="3"/>
      <c r="CC159" s="5"/>
      <c r="CE159" s="3"/>
      <c r="CH159" s="3"/>
      <c r="CI159" s="3"/>
      <c r="CK159" s="3"/>
      <c r="CL159" s="3"/>
      <c r="CN159" s="3"/>
      <c r="CO159" s="3"/>
      <c r="CQ159" s="3"/>
      <c r="CR159" s="5"/>
      <c r="CT159" s="3"/>
      <c r="CW159" s="3"/>
      <c r="CX159" s="3"/>
      <c r="CZ159" s="3"/>
      <c r="DA159" s="3"/>
      <c r="DC159" s="3"/>
      <c r="DD159" s="3"/>
      <c r="DF159" s="3"/>
      <c r="DG159" s="5"/>
      <c r="DI159" s="3"/>
      <c r="DL159" s="3"/>
      <c r="DM159" s="3"/>
      <c r="DO159" s="3"/>
      <c r="DP159" s="3"/>
      <c r="DR159" s="3"/>
      <c r="DS159" s="1" t="str">
        <f>_xlfn.XLOOKUP(OfficeForms.Table[[#This Row],[Selecione a Categoria do Laboratório desta atividade prática:]],Planilha1!A:A,Planilha1!B:B)</f>
        <v>BFR-BBI</v>
      </c>
      <c r="DT159" s="1" t="str">
        <f>CONCATENATE(OfficeForms.Table[[#This Row],[Selecione seu Polo Laboratório de Atividades Presenciais:]],OfficeForms.Table[[#This Row],[CHAVE CONVERSÃO]])</f>
        <v>Rondonópolis/MTBFR-BBI</v>
      </c>
      <c r="DU15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Coleta de Sangue</v>
      </c>
      <c r="DV15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15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159" s="1" t="e">
        <f>_xlfn.XLOOKUP(OfficeForms.Table[[#This Row],[CHAVE LINK POLO]],'[1]Quadro Geral de Lotação'!$B:$B,'[1]Quadro Geral de Lotação'!$I:$I)</f>
        <v>#N/A</v>
      </c>
      <c r="DY159" s="1" t="str">
        <f>OfficeForms.Table[[#This Row],[Selecione a Ordem de Disciplina]]</f>
        <v>Ordem 1</v>
      </c>
    </row>
    <row r="160" spans="1:129" ht="34.15" customHeight="1">
      <c r="A160" s="1">
        <v>160</v>
      </c>
      <c r="B160" s="2">
        <v>46091.679976851898</v>
      </c>
      <c r="C160" s="2">
        <v>46091.682534722197</v>
      </c>
      <c r="D160" s="3" t="s">
        <v>683</v>
      </c>
      <c r="E160" s="3" t="s">
        <v>684</v>
      </c>
      <c r="G160" s="3"/>
      <c r="I160" s="3" t="s">
        <v>508</v>
      </c>
      <c r="K160" s="3"/>
      <c r="L160" s="1" t="s">
        <v>132</v>
      </c>
      <c r="O160" s="3" t="s">
        <v>497</v>
      </c>
      <c r="Q160" s="3"/>
      <c r="R160" s="3" t="s">
        <v>690</v>
      </c>
      <c r="T160" s="3"/>
      <c r="U160" s="5">
        <v>46084</v>
      </c>
      <c r="W160" s="3"/>
      <c r="X160" s="1">
        <v>17</v>
      </c>
      <c r="Z160" s="3"/>
      <c r="AA160" s="3" t="s">
        <v>691</v>
      </c>
      <c r="AC160" s="3"/>
      <c r="AD160" s="3" t="s">
        <v>692</v>
      </c>
      <c r="AF160" s="3"/>
      <c r="AG160" s="3"/>
      <c r="AI160" s="3"/>
      <c r="AJ160" s="1"/>
      <c r="AL160" s="3"/>
      <c r="AO160" s="3"/>
      <c r="AP160" s="3"/>
      <c r="AR160" s="3"/>
      <c r="AS160" s="3"/>
      <c r="AU160" s="3"/>
      <c r="AV160" s="3"/>
      <c r="AX160" s="3"/>
      <c r="AY160" s="5"/>
      <c r="BA160" s="3"/>
      <c r="BD160" s="3"/>
      <c r="BE160" s="3"/>
      <c r="BG160" s="3"/>
      <c r="BH160" s="3"/>
      <c r="BJ160" s="3"/>
      <c r="BK160" s="3"/>
      <c r="BM160" s="3"/>
      <c r="BN160" s="5"/>
      <c r="BP160" s="3"/>
      <c r="BS160" s="3"/>
      <c r="BT160" s="3"/>
      <c r="BV160" s="3"/>
      <c r="BW160" s="3"/>
      <c r="BY160" s="3"/>
      <c r="BZ160" s="3"/>
      <c r="CB160" s="3"/>
      <c r="CC160" s="5"/>
      <c r="CE160" s="3"/>
      <c r="CH160" s="3"/>
      <c r="CI160" s="3"/>
      <c r="CK160" s="3"/>
      <c r="CL160" s="3"/>
      <c r="CN160" s="3"/>
      <c r="CO160" s="3"/>
      <c r="CQ160" s="3"/>
      <c r="CR160" s="5"/>
      <c r="CT160" s="3"/>
      <c r="CW160" s="3"/>
      <c r="CX160" s="3"/>
      <c r="CZ160" s="3"/>
      <c r="DA160" s="3"/>
      <c r="DC160" s="3"/>
      <c r="DD160" s="3"/>
      <c r="DF160" s="3"/>
      <c r="DG160" s="5"/>
      <c r="DI160" s="3"/>
      <c r="DL160" s="3"/>
      <c r="DM160" s="3"/>
      <c r="DO160" s="3"/>
      <c r="DP160" s="3"/>
      <c r="DR160" s="3"/>
      <c r="DS160" s="1" t="str">
        <f>_xlfn.XLOOKUP(OfficeForms.Table[[#This Row],[Selecione a Categoria do Laboratório desta atividade prática:]],Planilha1!A:A,Planilha1!B:B)</f>
        <v>BFR-BBI</v>
      </c>
      <c r="DT160" s="1" t="str">
        <f>CONCATENATE(OfficeForms.Table[[#This Row],[Selecione seu Polo Laboratório de Atividades Presenciais:]],OfficeForms.Table[[#This Row],[CHAVE CONVERSÃO]])</f>
        <v>Rondonópolis/MTBFR-BBI</v>
      </c>
      <c r="DU16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Esfregaço sanguíneo e colorações  (contagem diferencial de leucócitos)</v>
      </c>
      <c r="DV16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6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17</v>
      </c>
      <c r="DX160" s="1" t="e">
        <f>_xlfn.XLOOKUP(OfficeForms.Table[[#This Row],[CHAVE LINK POLO]],'[1]Quadro Geral de Lotação'!$B:$B,'[1]Quadro Geral de Lotação'!$I:$I)</f>
        <v>#N/A</v>
      </c>
      <c r="DY160" s="1" t="str">
        <f>OfficeForms.Table[[#This Row],[Selecione a Ordem de Disciplina]]</f>
        <v>Ordem 1</v>
      </c>
    </row>
    <row r="161" spans="1:129" ht="34.15" customHeight="1">
      <c r="A161" s="1">
        <v>161</v>
      </c>
      <c r="B161" s="2">
        <v>46091.85125</v>
      </c>
      <c r="C161" s="2">
        <v>46091.854641203703</v>
      </c>
      <c r="D161" s="3" t="s">
        <v>607</v>
      </c>
      <c r="E161" s="3" t="s">
        <v>608</v>
      </c>
      <c r="G161" s="3"/>
      <c r="I161" s="3" t="s">
        <v>609</v>
      </c>
      <c r="K161" s="3"/>
      <c r="L161" s="1" t="s">
        <v>132</v>
      </c>
      <c r="O161" s="3" t="s">
        <v>184</v>
      </c>
      <c r="Q161" s="3"/>
      <c r="R161" s="3"/>
      <c r="T161" s="3"/>
      <c r="U161" s="5"/>
      <c r="W161" s="3"/>
      <c r="Z161" s="3"/>
      <c r="AA161" s="3"/>
      <c r="AC161" s="3"/>
      <c r="AD161" s="3"/>
      <c r="AF161" s="3"/>
      <c r="AG161" s="3" t="s">
        <v>414</v>
      </c>
      <c r="AI161" s="3"/>
      <c r="AJ161" s="1">
        <v>46079</v>
      </c>
      <c r="AL161" s="3"/>
      <c r="AM161" s="1">
        <v>10</v>
      </c>
      <c r="AO161" s="3"/>
      <c r="AP161" s="3" t="s">
        <v>693</v>
      </c>
      <c r="AR161" s="3"/>
      <c r="AS161" s="3" t="s">
        <v>694</v>
      </c>
      <c r="AU161" s="3"/>
      <c r="AV161" s="3"/>
      <c r="AX161" s="3"/>
      <c r="AY161" s="5"/>
      <c r="BA161" s="3"/>
      <c r="BD161" s="3"/>
      <c r="BE161" s="3"/>
      <c r="BG161" s="3"/>
      <c r="BH161" s="3"/>
      <c r="BJ161" s="3"/>
      <c r="BK161" s="3"/>
      <c r="BM161" s="3"/>
      <c r="BN161" s="5"/>
      <c r="BP161" s="3"/>
      <c r="BS161" s="3"/>
      <c r="BT161" s="3"/>
      <c r="BV161" s="3"/>
      <c r="BW161" s="3"/>
      <c r="BY161" s="3"/>
      <c r="BZ161" s="3"/>
      <c r="CB161" s="3"/>
      <c r="CC161" s="5"/>
      <c r="CE161" s="3"/>
      <c r="CH161" s="3"/>
      <c r="CI161" s="3"/>
      <c r="CK161" s="3"/>
      <c r="CL161" s="3"/>
      <c r="CN161" s="3"/>
      <c r="CO161" s="3"/>
      <c r="CQ161" s="3"/>
      <c r="CR161" s="5"/>
      <c r="CT161" s="3"/>
      <c r="CW161" s="3"/>
      <c r="CX161" s="3"/>
      <c r="CZ161" s="3"/>
      <c r="DA161" s="3"/>
      <c r="DC161" s="3"/>
      <c r="DD161" s="3"/>
      <c r="DF161" s="3"/>
      <c r="DG161" s="5"/>
      <c r="DI161" s="3"/>
      <c r="DL161" s="3"/>
      <c r="DM161" s="3"/>
      <c r="DO161" s="3"/>
      <c r="DP161" s="3"/>
      <c r="DR161" s="3"/>
      <c r="DS161" s="1" t="str">
        <f>_xlfn.XLOOKUP(OfficeForms.Table[[#This Row],[Selecione a Categoria do Laboratório desta atividade prática:]],Planilha1!A:A,Planilha1!B:B)</f>
        <v>EMF-ISN</v>
      </c>
      <c r="DT161" s="1" t="str">
        <f>CONCATENATE(OfficeForms.Table[[#This Row],[Selecione seu Polo Laboratório de Atividades Presenciais:]],OfficeForms.Table[[#This Row],[CHAVE CONVERSÃO]])</f>
        <v>Novo Progresso/PAEMF-ISN</v>
      </c>
      <c r="DU16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16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16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161" s="1" t="str">
        <f>_xlfn.XLOOKUP(OfficeForms.Table[[#This Row],[CHAVE LINK POLO]],'[1]Quadro Geral de Lotação'!$B:$B,'[1]Quadro Geral de Lotação'!$I:$I)</f>
        <v>Laurilene Oliveira Mota</v>
      </c>
      <c r="DY161" s="1" t="str">
        <f>OfficeForms.Table[[#This Row],[Selecione a Ordem de Disciplina]]</f>
        <v>Ordem 1</v>
      </c>
    </row>
    <row r="162" spans="1:129" ht="34.15" customHeight="1">
      <c r="A162" s="1">
        <v>162</v>
      </c>
      <c r="B162" s="2">
        <v>46091.805798611102</v>
      </c>
      <c r="C162" s="2">
        <v>46091.871689814798</v>
      </c>
      <c r="D162" s="3" t="s">
        <v>263</v>
      </c>
      <c r="E162" s="3" t="s">
        <v>264</v>
      </c>
      <c r="G162" s="3"/>
      <c r="I162" s="3" t="s">
        <v>265</v>
      </c>
      <c r="K162" s="3"/>
      <c r="L162" s="1" t="s">
        <v>678</v>
      </c>
      <c r="O162" s="3" t="s">
        <v>184</v>
      </c>
      <c r="Q162" s="3"/>
      <c r="R162" s="3"/>
      <c r="T162" s="3"/>
      <c r="U162" s="5"/>
      <c r="W162" s="3"/>
      <c r="Z162" s="3"/>
      <c r="AA162" s="3"/>
      <c r="AC162" s="3"/>
      <c r="AD162" s="3"/>
      <c r="AF162" s="3"/>
      <c r="AG162" s="3" t="s">
        <v>224</v>
      </c>
      <c r="AI162" s="3"/>
      <c r="AJ162" s="1">
        <v>46091</v>
      </c>
      <c r="AL162" s="3"/>
      <c r="AM162" s="1">
        <v>11</v>
      </c>
      <c r="AO162" s="3"/>
      <c r="AP162" s="3" t="s">
        <v>695</v>
      </c>
      <c r="AR162" s="3"/>
      <c r="AS162" s="3" t="s">
        <v>696</v>
      </c>
      <c r="AU162" s="3"/>
      <c r="AV162" s="3"/>
      <c r="AX162" s="3"/>
      <c r="AY162" s="5"/>
      <c r="BA162" s="3"/>
      <c r="BD162" s="3"/>
      <c r="BE162" s="3"/>
      <c r="BG162" s="3"/>
      <c r="BH162" s="3"/>
      <c r="BJ162" s="3"/>
      <c r="BK162" s="3"/>
      <c r="BM162" s="3"/>
      <c r="BN162" s="5"/>
      <c r="BP162" s="3"/>
      <c r="BS162" s="3"/>
      <c r="BT162" s="3"/>
      <c r="BV162" s="3"/>
      <c r="BW162" s="3"/>
      <c r="BY162" s="3"/>
      <c r="BZ162" s="3"/>
      <c r="CB162" s="3"/>
      <c r="CC162" s="5"/>
      <c r="CE162" s="3"/>
      <c r="CH162" s="3"/>
      <c r="CI162" s="3"/>
      <c r="CK162" s="3"/>
      <c r="CL162" s="3"/>
      <c r="CN162" s="3"/>
      <c r="CO162" s="3"/>
      <c r="CQ162" s="3"/>
      <c r="CR162" s="5"/>
      <c r="CT162" s="3"/>
      <c r="CW162" s="3"/>
      <c r="CX162" s="3"/>
      <c r="CZ162" s="3"/>
      <c r="DA162" s="3"/>
      <c r="DC162" s="3"/>
      <c r="DD162" s="3"/>
      <c r="DF162" s="3"/>
      <c r="DG162" s="5"/>
      <c r="DI162" s="3"/>
      <c r="DL162" s="3"/>
      <c r="DM162" s="3"/>
      <c r="DO162" s="3"/>
      <c r="DP162" s="3"/>
      <c r="DR162" s="3"/>
      <c r="DS162" s="1" t="str">
        <f>_xlfn.XLOOKUP(OfficeForms.Table[[#This Row],[Selecione a Categoria do Laboratório desta atividade prática:]],Planilha1!A:A,Planilha1!B:B)</f>
        <v>EMF-ISN</v>
      </c>
      <c r="DT162" s="1" t="str">
        <f>CONCATENATE(OfficeForms.Table[[#This Row],[Selecione seu Polo Laboratório de Atividades Presenciais:]],OfficeForms.Table[[#This Row],[CHAVE CONVERSÃO]])</f>
        <v>Brusque/SCEMF-ISN</v>
      </c>
      <c r="DU16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16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16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162" s="1" t="str">
        <f>_xlfn.XLOOKUP(OfficeForms.Table[[#This Row],[CHAVE LINK POLO]],'[1]Quadro Geral de Lotação'!$B:$B,'[1]Quadro Geral de Lotação'!$I:$I)</f>
        <v>Fabio Junior da Rosa</v>
      </c>
      <c r="DY162" s="1" t="str">
        <f>OfficeForms.Table[[#This Row],[Selecione a Ordem de Disciplina]]</f>
        <v>Ordem 2</v>
      </c>
    </row>
    <row r="163" spans="1:129" ht="34.15" customHeight="1">
      <c r="A163" s="1">
        <v>163</v>
      </c>
      <c r="B163" s="2">
        <v>46091.861770833297</v>
      </c>
      <c r="C163" s="2">
        <v>46091.8728819444</v>
      </c>
      <c r="D163" s="3" t="s">
        <v>697</v>
      </c>
      <c r="E163" s="3" t="s">
        <v>698</v>
      </c>
      <c r="G163" s="3"/>
      <c r="I163" s="3" t="s">
        <v>699</v>
      </c>
      <c r="K163" s="3"/>
      <c r="L163" s="1" t="s">
        <v>132</v>
      </c>
      <c r="O163" s="3" t="s">
        <v>184</v>
      </c>
      <c r="Q163" s="3"/>
      <c r="R163" s="3"/>
      <c r="T163" s="3"/>
      <c r="U163" s="5"/>
      <c r="W163" s="3"/>
      <c r="Z163" s="3"/>
      <c r="AA163" s="3"/>
      <c r="AC163" s="3"/>
      <c r="AD163" s="3"/>
      <c r="AF163" s="3"/>
      <c r="AG163" s="3" t="s">
        <v>316</v>
      </c>
      <c r="AI163" s="3"/>
      <c r="AJ163" s="1">
        <v>46076</v>
      </c>
      <c r="AL163" s="3"/>
      <c r="AM163" s="1">
        <v>0</v>
      </c>
      <c r="AO163" s="3"/>
      <c r="AP163" s="3" t="s">
        <v>700</v>
      </c>
      <c r="AR163" s="3"/>
      <c r="AS163" s="3" t="s">
        <v>701</v>
      </c>
      <c r="AU163" s="3"/>
      <c r="AV163" s="3"/>
      <c r="AX163" s="3"/>
      <c r="AY163" s="5"/>
      <c r="BA163" s="3"/>
      <c r="BD163" s="3"/>
      <c r="BE163" s="3"/>
      <c r="BG163" s="3"/>
      <c r="BH163" s="3"/>
      <c r="BJ163" s="3"/>
      <c r="BK163" s="3"/>
      <c r="BM163" s="3"/>
      <c r="BN163" s="5"/>
      <c r="BP163" s="3"/>
      <c r="BS163" s="3"/>
      <c r="BT163" s="3"/>
      <c r="BV163" s="3"/>
      <c r="BW163" s="3"/>
      <c r="BY163" s="3"/>
      <c r="BZ163" s="3"/>
      <c r="CB163" s="3"/>
      <c r="CC163" s="5"/>
      <c r="CE163" s="3"/>
      <c r="CH163" s="3"/>
      <c r="CI163" s="3"/>
      <c r="CK163" s="3"/>
      <c r="CL163" s="3"/>
      <c r="CN163" s="3"/>
      <c r="CO163" s="3"/>
      <c r="CQ163" s="3"/>
      <c r="CR163" s="5"/>
      <c r="CT163" s="3"/>
      <c r="CW163" s="3"/>
      <c r="CX163" s="3"/>
      <c r="CZ163" s="3"/>
      <c r="DA163" s="3"/>
      <c r="DC163" s="3"/>
      <c r="DD163" s="3"/>
      <c r="DF163" s="3"/>
      <c r="DG163" s="5"/>
      <c r="DI163" s="3"/>
      <c r="DL163" s="3"/>
      <c r="DM163" s="3"/>
      <c r="DO163" s="3"/>
      <c r="DP163" s="3"/>
      <c r="DR163" s="3"/>
      <c r="DS163" s="1" t="str">
        <f>_xlfn.XLOOKUP(OfficeForms.Table[[#This Row],[Selecione a Categoria do Laboratório desta atividade prática:]],Planilha1!A:A,Planilha1!B:B)</f>
        <v>EMF-ISN</v>
      </c>
      <c r="DT163" s="1" t="str">
        <f>CONCATENATE(OfficeForms.Table[[#This Row],[Selecione seu Polo Laboratório de Atividades Presenciais:]],OfficeForms.Table[[#This Row],[CHAVE CONVERSÃO]])</f>
        <v>Curitiba/PR - BoqueirãoEMF-ISN</v>
      </c>
      <c r="DU16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16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16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63" s="1" t="str">
        <f>_xlfn.XLOOKUP(OfficeForms.Table[[#This Row],[CHAVE LINK POLO]],'[1]Quadro Geral de Lotação'!$B:$B,'[1]Quadro Geral de Lotação'!$I:$I)</f>
        <v>Fadia Amira Baitala</v>
      </c>
      <c r="DY163" s="1" t="str">
        <f>OfficeForms.Table[[#This Row],[Selecione a Ordem de Disciplina]]</f>
        <v>Ordem 1</v>
      </c>
    </row>
    <row r="164" spans="1:129" ht="34.15" customHeight="1">
      <c r="A164" s="1">
        <v>164</v>
      </c>
      <c r="B164" s="2">
        <v>46091.872951388897</v>
      </c>
      <c r="C164" s="2">
        <v>46091.878379629597</v>
      </c>
      <c r="D164" s="3" t="s">
        <v>697</v>
      </c>
      <c r="E164" s="3" t="s">
        <v>698</v>
      </c>
      <c r="G164" s="3"/>
      <c r="I164" s="3" t="s">
        <v>699</v>
      </c>
      <c r="K164" s="3"/>
      <c r="L164" s="1" t="s">
        <v>132</v>
      </c>
      <c r="O164" s="3" t="s">
        <v>184</v>
      </c>
      <c r="Q164" s="3"/>
      <c r="R164" s="3"/>
      <c r="T164" s="3"/>
      <c r="U164" s="5"/>
      <c r="W164" s="3"/>
      <c r="Z164" s="3"/>
      <c r="AA164" s="3"/>
      <c r="AC164" s="3"/>
      <c r="AD164" s="3"/>
      <c r="AF164" s="3"/>
      <c r="AG164" s="3" t="s">
        <v>194</v>
      </c>
      <c r="AI164" s="3"/>
      <c r="AJ164" s="1">
        <v>46077</v>
      </c>
      <c r="AL164" s="3"/>
      <c r="AM164" s="1">
        <v>3</v>
      </c>
      <c r="AO164" s="3"/>
      <c r="AP164" s="3" t="s">
        <v>702</v>
      </c>
      <c r="AR164" s="3"/>
      <c r="AS164" s="3" t="s">
        <v>703</v>
      </c>
      <c r="AU164" s="3"/>
      <c r="AV164" s="3"/>
      <c r="AX164" s="3"/>
      <c r="AY164" s="5"/>
      <c r="BA164" s="3"/>
      <c r="BD164" s="3"/>
      <c r="BE164" s="3"/>
      <c r="BG164" s="3"/>
      <c r="BH164" s="3"/>
      <c r="BJ164" s="3"/>
      <c r="BK164" s="3"/>
      <c r="BM164" s="3"/>
      <c r="BN164" s="5"/>
      <c r="BP164" s="3"/>
      <c r="BS164" s="3"/>
      <c r="BT164" s="3"/>
      <c r="BV164" s="3"/>
      <c r="BW164" s="3"/>
      <c r="BY164" s="3"/>
      <c r="BZ164" s="3"/>
      <c r="CB164" s="3"/>
      <c r="CC164" s="5"/>
      <c r="CE164" s="3"/>
      <c r="CH164" s="3"/>
      <c r="CI164" s="3"/>
      <c r="CK164" s="3"/>
      <c r="CL164" s="3"/>
      <c r="CN164" s="3"/>
      <c r="CO164" s="3"/>
      <c r="CQ164" s="3"/>
      <c r="CR164" s="5"/>
      <c r="CT164" s="3"/>
      <c r="CW164" s="3"/>
      <c r="CX164" s="3"/>
      <c r="CZ164" s="3"/>
      <c r="DA164" s="3"/>
      <c r="DC164" s="3"/>
      <c r="DD164" s="3"/>
      <c r="DF164" s="3"/>
      <c r="DG164" s="5"/>
      <c r="DI164" s="3"/>
      <c r="DL164" s="3"/>
      <c r="DM164" s="3"/>
      <c r="DO164" s="3"/>
      <c r="DP164" s="3"/>
      <c r="DR164" s="3"/>
      <c r="DS164" s="1" t="str">
        <f>_xlfn.XLOOKUP(OfficeForms.Table[[#This Row],[Selecione a Categoria do Laboratório desta atividade prática:]],Planilha1!A:A,Planilha1!B:B)</f>
        <v>EMF-ISN</v>
      </c>
      <c r="DT164" s="1" t="str">
        <f>CONCATENATE(OfficeForms.Table[[#This Row],[Selecione seu Polo Laboratório de Atividades Presenciais:]],OfficeForms.Table[[#This Row],[CHAVE CONVERSÃO]])</f>
        <v>Curitiba/PR - BoqueirãoEMF-ISN</v>
      </c>
      <c r="DU16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6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16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64" s="1" t="str">
        <f>_xlfn.XLOOKUP(OfficeForms.Table[[#This Row],[CHAVE LINK POLO]],'[1]Quadro Geral de Lotação'!$B:$B,'[1]Quadro Geral de Lotação'!$I:$I)</f>
        <v>Fadia Amira Baitala</v>
      </c>
      <c r="DY164" s="1" t="str">
        <f>OfficeForms.Table[[#This Row],[Selecione a Ordem de Disciplina]]</f>
        <v>Ordem 1</v>
      </c>
    </row>
    <row r="165" spans="1:129" ht="34.15" customHeight="1">
      <c r="A165" s="1">
        <v>165</v>
      </c>
      <c r="B165" s="2">
        <v>46091.878414351901</v>
      </c>
      <c r="C165" s="2">
        <v>46091.881435185198</v>
      </c>
      <c r="D165" s="3" t="s">
        <v>697</v>
      </c>
      <c r="E165" s="3" t="s">
        <v>698</v>
      </c>
      <c r="G165" s="3"/>
      <c r="I165" s="3" t="s">
        <v>699</v>
      </c>
      <c r="K165" s="3"/>
      <c r="L165" s="1" t="s">
        <v>132</v>
      </c>
      <c r="O165" s="3" t="s">
        <v>184</v>
      </c>
      <c r="Q165" s="3"/>
      <c r="R165" s="3"/>
      <c r="T165" s="3"/>
      <c r="U165" s="5"/>
      <c r="W165" s="3"/>
      <c r="Z165" s="3"/>
      <c r="AA165" s="3"/>
      <c r="AC165" s="3"/>
      <c r="AD165" s="3"/>
      <c r="AF165" s="3"/>
      <c r="AG165" s="3" t="s">
        <v>414</v>
      </c>
      <c r="AI165" s="3"/>
      <c r="AJ165" s="1">
        <v>46084</v>
      </c>
      <c r="AL165" s="3"/>
      <c r="AM165" s="1">
        <v>1</v>
      </c>
      <c r="AO165" s="3"/>
      <c r="AP165" s="3" t="s">
        <v>704</v>
      </c>
      <c r="AR165" s="3"/>
      <c r="AS165" s="3" t="s">
        <v>705</v>
      </c>
      <c r="AU165" s="3"/>
      <c r="AV165" s="3"/>
      <c r="AX165" s="3"/>
      <c r="AY165" s="5"/>
      <c r="BA165" s="3"/>
      <c r="BD165" s="3"/>
      <c r="BE165" s="3"/>
      <c r="BG165" s="3"/>
      <c r="BH165" s="3"/>
      <c r="BJ165" s="3"/>
      <c r="BK165" s="3"/>
      <c r="BM165" s="3"/>
      <c r="BN165" s="5"/>
      <c r="BP165" s="3"/>
      <c r="BS165" s="3"/>
      <c r="BT165" s="3"/>
      <c r="BV165" s="3"/>
      <c r="BW165" s="3"/>
      <c r="BY165" s="3"/>
      <c r="BZ165" s="3"/>
      <c r="CB165" s="3"/>
      <c r="CC165" s="5"/>
      <c r="CE165" s="3"/>
      <c r="CH165" s="3"/>
      <c r="CI165" s="3"/>
      <c r="CK165" s="3"/>
      <c r="CL165" s="3"/>
      <c r="CN165" s="3"/>
      <c r="CO165" s="3"/>
      <c r="CQ165" s="3"/>
      <c r="CR165" s="5"/>
      <c r="CT165" s="3"/>
      <c r="CW165" s="3"/>
      <c r="CX165" s="3"/>
      <c r="CZ165" s="3"/>
      <c r="DA165" s="3"/>
      <c r="DC165" s="3"/>
      <c r="DD165" s="3"/>
      <c r="DF165" s="3"/>
      <c r="DG165" s="5"/>
      <c r="DI165" s="3"/>
      <c r="DL165" s="3"/>
      <c r="DM165" s="3"/>
      <c r="DO165" s="3"/>
      <c r="DP165" s="3"/>
      <c r="DR165" s="3"/>
      <c r="DS165" s="1" t="str">
        <f>_xlfn.XLOOKUP(OfficeForms.Table[[#This Row],[Selecione a Categoria do Laboratório desta atividade prática:]],Planilha1!A:A,Planilha1!B:B)</f>
        <v>EMF-ISN</v>
      </c>
      <c r="DT165" s="1" t="str">
        <f>CONCATENATE(OfficeForms.Table[[#This Row],[Selecione seu Polo Laboratório de Atividades Presenciais:]],OfficeForms.Table[[#This Row],[CHAVE CONVERSÃO]])</f>
        <v>Curitiba/PR - BoqueirãoEMF-ISN</v>
      </c>
      <c r="DU16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16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6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65" s="1" t="str">
        <f>_xlfn.XLOOKUP(OfficeForms.Table[[#This Row],[CHAVE LINK POLO]],'[1]Quadro Geral de Lotação'!$B:$B,'[1]Quadro Geral de Lotação'!$I:$I)</f>
        <v>Fadia Amira Baitala</v>
      </c>
      <c r="DY165" s="1" t="str">
        <f>OfficeForms.Table[[#This Row],[Selecione a Ordem de Disciplina]]</f>
        <v>Ordem 1</v>
      </c>
    </row>
    <row r="166" spans="1:129" ht="34.15" customHeight="1">
      <c r="A166" s="1">
        <v>166</v>
      </c>
      <c r="B166" s="2">
        <v>46091.881516203699</v>
      </c>
      <c r="C166" s="2">
        <v>46091.889780092599</v>
      </c>
      <c r="D166" s="3" t="s">
        <v>697</v>
      </c>
      <c r="E166" s="3" t="s">
        <v>698</v>
      </c>
      <c r="G166" s="3"/>
      <c r="I166" s="3" t="s">
        <v>699</v>
      </c>
      <c r="K166" s="3"/>
      <c r="L166" s="1" t="s">
        <v>132</v>
      </c>
      <c r="O166" s="3" t="s">
        <v>184</v>
      </c>
      <c r="Q166" s="3"/>
      <c r="R166" s="3"/>
      <c r="T166" s="3"/>
      <c r="U166" s="5"/>
      <c r="W166" s="3"/>
      <c r="Z166" s="3"/>
      <c r="AA166" s="3"/>
      <c r="AC166" s="3"/>
      <c r="AD166" s="3"/>
      <c r="AF166" s="3"/>
      <c r="AG166" s="3" t="s">
        <v>224</v>
      </c>
      <c r="AI166" s="3"/>
      <c r="AJ166" s="1">
        <v>46086</v>
      </c>
      <c r="AL166" s="3"/>
      <c r="AM166" s="1">
        <v>18</v>
      </c>
      <c r="AO166" s="3"/>
      <c r="AP166" s="3" t="s">
        <v>706</v>
      </c>
      <c r="AR166" s="3"/>
      <c r="AS166" s="3" t="s">
        <v>707</v>
      </c>
      <c r="AU166" s="3"/>
      <c r="AV166" s="3"/>
      <c r="AX166" s="3"/>
      <c r="AY166" s="5"/>
      <c r="BA166" s="3"/>
      <c r="BD166" s="3"/>
      <c r="BE166" s="3"/>
      <c r="BG166" s="3"/>
      <c r="BH166" s="3"/>
      <c r="BJ166" s="3"/>
      <c r="BK166" s="3"/>
      <c r="BM166" s="3"/>
      <c r="BN166" s="5"/>
      <c r="BP166" s="3"/>
      <c r="BS166" s="3"/>
      <c r="BT166" s="3"/>
      <c r="BV166" s="3"/>
      <c r="BW166" s="3"/>
      <c r="BY166" s="3"/>
      <c r="BZ166" s="3"/>
      <c r="CB166" s="3"/>
      <c r="CC166" s="5"/>
      <c r="CE166" s="3"/>
      <c r="CH166" s="3"/>
      <c r="CI166" s="3"/>
      <c r="CK166" s="3"/>
      <c r="CL166" s="3"/>
      <c r="CN166" s="3"/>
      <c r="CO166" s="3"/>
      <c r="CQ166" s="3"/>
      <c r="CR166" s="5"/>
      <c r="CT166" s="3"/>
      <c r="CW166" s="3"/>
      <c r="CX166" s="3"/>
      <c r="CZ166" s="3"/>
      <c r="DA166" s="3"/>
      <c r="DC166" s="3"/>
      <c r="DD166" s="3"/>
      <c r="DF166" s="3"/>
      <c r="DG166" s="5"/>
      <c r="DI166" s="3"/>
      <c r="DL166" s="3"/>
      <c r="DM166" s="3"/>
      <c r="DO166" s="3"/>
      <c r="DP166" s="3"/>
      <c r="DR166" s="3"/>
      <c r="DS166" s="1" t="str">
        <f>_xlfn.XLOOKUP(OfficeForms.Table[[#This Row],[Selecione a Categoria do Laboratório desta atividade prática:]],Planilha1!A:A,Planilha1!B:B)</f>
        <v>EMF-ISN</v>
      </c>
      <c r="DT166" s="1" t="str">
        <f>CONCATENATE(OfficeForms.Table[[#This Row],[Selecione seu Polo Laboratório de Atividades Presenciais:]],OfficeForms.Table[[#This Row],[CHAVE CONVERSÃO]])</f>
        <v>Curitiba/PR - BoqueirãoEMF-ISN</v>
      </c>
      <c r="DU16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16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6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18</v>
      </c>
      <c r="DX166" s="1" t="str">
        <f>_xlfn.XLOOKUP(OfficeForms.Table[[#This Row],[CHAVE LINK POLO]],'[1]Quadro Geral de Lotação'!$B:$B,'[1]Quadro Geral de Lotação'!$I:$I)</f>
        <v>Fadia Amira Baitala</v>
      </c>
      <c r="DY166" s="1" t="str">
        <f>OfficeForms.Table[[#This Row],[Selecione a Ordem de Disciplina]]</f>
        <v>Ordem 1</v>
      </c>
    </row>
    <row r="167" spans="1:129" ht="34.15" customHeight="1">
      <c r="A167" s="1">
        <v>167</v>
      </c>
      <c r="B167" s="2">
        <v>46091.906805555598</v>
      </c>
      <c r="C167" s="2">
        <v>46091.929467592599</v>
      </c>
      <c r="D167" s="3" t="s">
        <v>399</v>
      </c>
      <c r="E167" s="3" t="s">
        <v>400</v>
      </c>
      <c r="G167" s="3"/>
      <c r="I167" s="3" t="s">
        <v>401</v>
      </c>
      <c r="K167" s="3"/>
      <c r="L167" s="1" t="s">
        <v>132</v>
      </c>
      <c r="O167" s="3" t="s">
        <v>184</v>
      </c>
      <c r="Q167" s="3"/>
      <c r="R167" s="3"/>
      <c r="T167" s="3"/>
      <c r="U167" s="5"/>
      <c r="W167" s="3"/>
      <c r="Z167" s="3"/>
      <c r="AA167" s="3"/>
      <c r="AC167" s="3"/>
      <c r="AD167" s="3"/>
      <c r="AF167" s="3"/>
      <c r="AG167" s="3" t="s">
        <v>370</v>
      </c>
      <c r="AI167" s="3"/>
      <c r="AJ167" s="1">
        <v>46086</v>
      </c>
      <c r="AL167" s="3"/>
      <c r="AM167" s="1">
        <v>16</v>
      </c>
      <c r="AO167" s="3"/>
      <c r="AP167" s="3" t="s">
        <v>708</v>
      </c>
      <c r="AR167" s="3"/>
      <c r="AS167" s="3" t="s">
        <v>709</v>
      </c>
      <c r="AU167" s="3"/>
      <c r="AV167" s="3"/>
      <c r="AX167" s="3"/>
      <c r="AY167" s="5"/>
      <c r="BA167" s="3"/>
      <c r="BD167" s="3"/>
      <c r="BE167" s="3"/>
      <c r="BG167" s="3"/>
      <c r="BH167" s="3"/>
      <c r="BJ167" s="3"/>
      <c r="BK167" s="3"/>
      <c r="BM167" s="3"/>
      <c r="BN167" s="5"/>
      <c r="BP167" s="3"/>
      <c r="BS167" s="3"/>
      <c r="BT167" s="3"/>
      <c r="BV167" s="3"/>
      <c r="BW167" s="3"/>
      <c r="BY167" s="3"/>
      <c r="BZ167" s="3"/>
      <c r="CB167" s="3"/>
      <c r="CC167" s="5"/>
      <c r="CE167" s="3"/>
      <c r="CH167" s="3"/>
      <c r="CI167" s="3"/>
      <c r="CK167" s="3"/>
      <c r="CL167" s="3"/>
      <c r="CN167" s="3"/>
      <c r="CO167" s="3"/>
      <c r="CQ167" s="3"/>
      <c r="CR167" s="5"/>
      <c r="CT167" s="3"/>
      <c r="CW167" s="3"/>
      <c r="CX167" s="3"/>
      <c r="CZ167" s="3"/>
      <c r="DA167" s="3"/>
      <c r="DC167" s="3"/>
      <c r="DD167" s="3"/>
      <c r="DF167" s="3"/>
      <c r="DG167" s="5"/>
      <c r="DI167" s="3"/>
      <c r="DL167" s="3"/>
      <c r="DM167" s="3"/>
      <c r="DO167" s="3"/>
      <c r="DP167" s="3"/>
      <c r="DR167" s="3"/>
      <c r="DS167" s="1" t="str">
        <f>_xlfn.XLOOKUP(OfficeForms.Table[[#This Row],[Selecione a Categoria do Laboratório desta atividade prática:]],Planilha1!A:A,Planilha1!B:B)</f>
        <v>EMF-ISN</v>
      </c>
      <c r="DT167" s="1" t="str">
        <f>CONCATENATE(OfficeForms.Table[[#This Row],[Selecione seu Polo Laboratório de Atividades Presenciais:]],OfficeForms.Table[[#This Row],[CHAVE CONVERSÃO]])</f>
        <v>Itaboraí/RJEMF-ISN</v>
      </c>
      <c r="DU16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16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6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16</v>
      </c>
      <c r="DX167" s="1" t="str">
        <f>_xlfn.XLOOKUP(OfficeForms.Table[[#This Row],[CHAVE LINK POLO]],'[1]Quadro Geral de Lotação'!$B:$B,'[1]Quadro Geral de Lotação'!$I:$I)</f>
        <v>Patricia da Silva Trasmontano</v>
      </c>
      <c r="DY167" s="1" t="str">
        <f>OfficeForms.Table[[#This Row],[Selecione a Ordem de Disciplina]]</f>
        <v>Ordem 1</v>
      </c>
    </row>
    <row r="168" spans="1:129" ht="34.15" customHeight="1">
      <c r="A168" s="1">
        <v>168</v>
      </c>
      <c r="B168" s="2">
        <v>46092.492812500001</v>
      </c>
      <c r="C168" s="2">
        <v>46092.494027777801</v>
      </c>
      <c r="D168" s="3" t="s">
        <v>526</v>
      </c>
      <c r="E168" s="3" t="s">
        <v>527</v>
      </c>
      <c r="G168" s="3"/>
      <c r="I168" s="3" t="s">
        <v>528</v>
      </c>
      <c r="K168" s="3"/>
      <c r="L168" s="1" t="s">
        <v>710</v>
      </c>
      <c r="O168" s="3" t="s">
        <v>184</v>
      </c>
      <c r="Q168" s="3"/>
      <c r="R168" s="3"/>
      <c r="T168" s="3"/>
      <c r="U168" s="5"/>
      <c r="W168" s="3"/>
      <c r="Z168" s="3"/>
      <c r="AA168" s="3"/>
      <c r="AC168" s="3"/>
      <c r="AD168" s="3"/>
      <c r="AF168" s="3"/>
      <c r="AG168" s="3" t="s">
        <v>711</v>
      </c>
      <c r="AI168" s="3"/>
      <c r="AJ168" s="1">
        <v>46091</v>
      </c>
      <c r="AL168" s="3"/>
      <c r="AM168" s="1">
        <v>4</v>
      </c>
      <c r="AO168" s="3"/>
      <c r="AP168" s="3" t="s">
        <v>712</v>
      </c>
      <c r="AR168" s="3"/>
      <c r="AS168" s="3" t="s">
        <v>713</v>
      </c>
      <c r="AU168" s="3"/>
      <c r="AV168" s="3"/>
      <c r="AX168" s="3"/>
      <c r="AY168" s="5"/>
      <c r="BA168" s="3"/>
      <c r="BD168" s="3"/>
      <c r="BE168" s="3"/>
      <c r="BG168" s="3"/>
      <c r="BH168" s="3"/>
      <c r="BJ168" s="3"/>
      <c r="BK168" s="3"/>
      <c r="BM168" s="3"/>
      <c r="BN168" s="5"/>
      <c r="BP168" s="3"/>
      <c r="BS168" s="3"/>
      <c r="BT168" s="3"/>
      <c r="BV168" s="3"/>
      <c r="BW168" s="3"/>
      <c r="BY168" s="3"/>
      <c r="BZ168" s="3"/>
      <c r="CB168" s="3"/>
      <c r="CC168" s="5"/>
      <c r="CE168" s="3"/>
      <c r="CH168" s="3"/>
      <c r="CI168" s="3"/>
      <c r="CK168" s="3"/>
      <c r="CL168" s="3"/>
      <c r="CN168" s="3"/>
      <c r="CO168" s="3"/>
      <c r="CQ168" s="3"/>
      <c r="CR168" s="5"/>
      <c r="CT168" s="3"/>
      <c r="CW168" s="3"/>
      <c r="CX168" s="3"/>
      <c r="CZ168" s="3"/>
      <c r="DA168" s="3"/>
      <c r="DC168" s="3"/>
      <c r="DD168" s="3"/>
      <c r="DF168" s="3"/>
      <c r="DG168" s="5"/>
      <c r="DI168" s="3"/>
      <c r="DL168" s="3"/>
      <c r="DM168" s="3"/>
      <c r="DO168" s="3"/>
      <c r="DP168" s="3"/>
      <c r="DR168" s="3"/>
      <c r="DS168" s="1" t="str">
        <f>_xlfn.XLOOKUP(OfficeForms.Table[[#This Row],[Selecione a Categoria do Laboratório desta atividade prática:]],Planilha1!A:A,Planilha1!B:B)</f>
        <v>EMF-ISN</v>
      </c>
      <c r="DT168" s="1" t="str">
        <f>CONCATENATE(OfficeForms.Table[[#This Row],[Selecione seu Polo Laboratório de Atividades Presenciais:]],OfficeForms.Table[[#This Row],[CHAVE CONVERSÃO]])</f>
        <v>Sinop/MTEMF-ISN</v>
      </c>
      <c r="DU16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oral;Consulta de enfermagem no pré-natal de baixo risco + Administração de medicamento pela via intramuscular</v>
      </c>
      <c r="DV16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16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168" s="1" t="str">
        <f>_xlfn.XLOOKUP(OfficeForms.Table[[#This Row],[CHAVE LINK POLO]],'[1]Quadro Geral de Lotação'!$B:$B,'[1]Quadro Geral de Lotação'!$I:$I)</f>
        <v>Sara Jane Amann</v>
      </c>
      <c r="DY168" s="1" t="str">
        <f>OfficeForms.Table[[#This Row],[Selecione a Ordem de Disciplina]]</f>
        <v>Ordem 5</v>
      </c>
    </row>
    <row r="169" spans="1:129" ht="34.15" customHeight="1">
      <c r="A169" s="1">
        <v>169</v>
      </c>
      <c r="B169" s="2">
        <v>46092.524074074099</v>
      </c>
      <c r="C169" s="2">
        <v>46092.526863425897</v>
      </c>
      <c r="D169" s="3" t="s">
        <v>197</v>
      </c>
      <c r="E169" s="3" t="s">
        <v>198</v>
      </c>
      <c r="G169" s="3"/>
      <c r="I169" s="3" t="s">
        <v>199</v>
      </c>
      <c r="K169" s="3"/>
      <c r="L169" s="1" t="s">
        <v>132</v>
      </c>
      <c r="O169" s="3" t="s">
        <v>177</v>
      </c>
      <c r="Q169" s="3"/>
      <c r="R169" s="3"/>
      <c r="T169" s="3"/>
      <c r="U169" s="5"/>
      <c r="W169" s="3"/>
      <c r="Z169" s="3"/>
      <c r="AA169" s="3"/>
      <c r="AC169" s="3"/>
      <c r="AD169" s="3"/>
      <c r="AF169" s="3"/>
      <c r="AG169" s="3"/>
      <c r="AI169" s="3"/>
      <c r="AJ169" s="1"/>
      <c r="AL169" s="3"/>
      <c r="AO169" s="3"/>
      <c r="AP169" s="3"/>
      <c r="AR169" s="3"/>
      <c r="AS169" s="3"/>
      <c r="AU169" s="3"/>
      <c r="AV169" s="3"/>
      <c r="AX169" s="3"/>
      <c r="AY169" s="5"/>
      <c r="BA169" s="3"/>
      <c r="BD169" s="3"/>
      <c r="BE169" s="3"/>
      <c r="BG169" s="3"/>
      <c r="BH169" s="3"/>
      <c r="BJ169" s="3"/>
      <c r="BK169" s="3"/>
      <c r="BM169" s="3"/>
      <c r="BN169" s="5"/>
      <c r="BP169" s="3"/>
      <c r="BS169" s="3"/>
      <c r="BT169" s="3"/>
      <c r="BV169" s="3"/>
      <c r="BW169" s="3"/>
      <c r="BY169" s="3"/>
      <c r="BZ169" s="3"/>
      <c r="CB169" s="3"/>
      <c r="CC169" s="5"/>
      <c r="CE169" s="3"/>
      <c r="CH169" s="3"/>
      <c r="CI169" s="3"/>
      <c r="CK169" s="3"/>
      <c r="CL169" s="3"/>
      <c r="CN169" s="3"/>
      <c r="CO169" s="3"/>
      <c r="CQ169" s="3"/>
      <c r="CR169" s="5"/>
      <c r="CT169" s="3"/>
      <c r="CW169" s="3"/>
      <c r="CX169" s="3"/>
      <c r="CZ169" s="3"/>
      <c r="DA169" s="3"/>
      <c r="DC169" s="3"/>
      <c r="DD169" s="3" t="s">
        <v>200</v>
      </c>
      <c r="DF169" s="3"/>
      <c r="DG169" s="5">
        <v>46088</v>
      </c>
      <c r="DI169" s="3"/>
      <c r="DJ169" s="1">
        <v>0</v>
      </c>
      <c r="DL169" s="3"/>
      <c r="DM169" s="3" t="s">
        <v>714</v>
      </c>
      <c r="DO169" s="3"/>
      <c r="DP169" s="3" t="s">
        <v>715</v>
      </c>
      <c r="DR169" s="3"/>
      <c r="DS169" s="1" t="str">
        <f>_xlfn.XLOOKUP(OfficeForms.Table[[#This Row],[Selecione a Categoria do Laboratório desta atividade prática:]],Planilha1!A:A,Planilha1!B:B)</f>
        <v>AGM</v>
      </c>
      <c r="DT169" s="1" t="str">
        <f>CONCATENATE(OfficeForms.Table[[#This Row],[Selecione seu Polo Laboratório de Atividades Presenciais:]],OfficeForms.Table[[#This Row],[CHAVE CONVERSÃO]])</f>
        <v>Alagoinhas/BAAGM</v>
      </c>
      <c r="DU16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Métodos de determinação da fertilidade do solo</v>
      </c>
      <c r="DV16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16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69" s="1" t="str">
        <f>_xlfn.XLOOKUP(OfficeForms.Table[[#This Row],[CHAVE LINK POLO]],'[1]Quadro Geral de Lotação'!$B:$B,'[1]Quadro Geral de Lotação'!$I:$I)</f>
        <v>Vitor Batista Pinheiro</v>
      </c>
      <c r="DY169" s="1" t="str">
        <f>OfficeForms.Table[[#This Row],[Selecione a Ordem de Disciplina]]</f>
        <v>Ordem 1</v>
      </c>
    </row>
    <row r="170" spans="1:129" ht="34.15" customHeight="1">
      <c r="A170" s="1">
        <v>170</v>
      </c>
      <c r="B170" s="2">
        <v>46092.552268518499</v>
      </c>
      <c r="C170" s="2">
        <v>46092.561388888898</v>
      </c>
      <c r="D170" s="3" t="s">
        <v>214</v>
      </c>
      <c r="E170" s="3" t="s">
        <v>215</v>
      </c>
      <c r="G170" s="3"/>
      <c r="I170" s="3" t="s">
        <v>216</v>
      </c>
      <c r="K170" s="3"/>
      <c r="L170" s="1" t="s">
        <v>132</v>
      </c>
      <c r="O170" s="3" t="s">
        <v>133</v>
      </c>
      <c r="Q170" s="3"/>
      <c r="R170" s="3"/>
      <c r="T170" s="3"/>
      <c r="U170" s="5"/>
      <c r="W170" s="3"/>
      <c r="Z170" s="3"/>
      <c r="AA170" s="3"/>
      <c r="AC170" s="3"/>
      <c r="AD170" s="3"/>
      <c r="AF170" s="3"/>
      <c r="AG170" s="3"/>
      <c r="AI170" s="3"/>
      <c r="AJ170" s="1"/>
      <c r="AL170" s="3"/>
      <c r="AO170" s="3"/>
      <c r="AP170" s="3"/>
      <c r="AR170" s="3"/>
      <c r="AS170" s="3"/>
      <c r="AU170" s="3"/>
      <c r="AV170" s="3" t="s">
        <v>188</v>
      </c>
      <c r="AX170" s="3"/>
      <c r="AY170" s="5">
        <v>46078</v>
      </c>
      <c r="BA170" s="3"/>
      <c r="BB170" s="1">
        <v>10</v>
      </c>
      <c r="BD170" s="3"/>
      <c r="BE170" s="3" t="s">
        <v>716</v>
      </c>
      <c r="BG170" s="3"/>
      <c r="BH170" s="3" t="s">
        <v>717</v>
      </c>
      <c r="BJ170" s="3"/>
      <c r="BK170" s="3"/>
      <c r="BM170" s="3"/>
      <c r="BN170" s="5"/>
      <c r="BP170" s="3"/>
      <c r="BS170" s="3"/>
      <c r="BT170" s="3"/>
      <c r="BV170" s="3"/>
      <c r="BW170" s="3"/>
      <c r="BY170" s="3"/>
      <c r="BZ170" s="3"/>
      <c r="CB170" s="3"/>
      <c r="CC170" s="5"/>
      <c r="CE170" s="3"/>
      <c r="CH170" s="3"/>
      <c r="CI170" s="3"/>
      <c r="CK170" s="3"/>
      <c r="CL170" s="3"/>
      <c r="CN170" s="3"/>
      <c r="CO170" s="3"/>
      <c r="CQ170" s="3"/>
      <c r="CR170" s="5"/>
      <c r="CT170" s="3"/>
      <c r="CW170" s="3"/>
      <c r="CX170" s="3"/>
      <c r="CZ170" s="3"/>
      <c r="DA170" s="3"/>
      <c r="DC170" s="3"/>
      <c r="DD170" s="3"/>
      <c r="DF170" s="3"/>
      <c r="DG170" s="5"/>
      <c r="DI170" s="3"/>
      <c r="DL170" s="3"/>
      <c r="DM170" s="3"/>
      <c r="DO170" s="3"/>
      <c r="DP170" s="3"/>
      <c r="DR170" s="3"/>
      <c r="DS170" s="1" t="str">
        <f>_xlfn.XLOOKUP(OfficeForms.Table[[#This Row],[Selecione a Categoria do Laboratório desta atividade prática:]],Planilha1!A:A,Planilha1!B:B)</f>
        <v>BFI</v>
      </c>
      <c r="DT170" s="1" t="str">
        <f>CONCATENATE(OfficeForms.Table[[#This Row],[Selecione seu Polo Laboratório de Atividades Presenciais:]],OfficeForms.Table[[#This Row],[CHAVE CONVERSÃO]])</f>
        <v>Feira De Santana/BA - CentroBFI</v>
      </c>
      <c r="DU17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Drenagem Linfática</v>
      </c>
      <c r="DV17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17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170" s="1" t="str">
        <f>_xlfn.XLOOKUP(OfficeForms.Table[[#This Row],[CHAVE LINK POLO]],'[1]Quadro Geral de Lotação'!$B:$B,'[1]Quadro Geral de Lotação'!$I:$I)</f>
        <v>Clara Oliveira E Oliveira</v>
      </c>
      <c r="DY170" s="1" t="str">
        <f>OfficeForms.Table[[#This Row],[Selecione a Ordem de Disciplina]]</f>
        <v>Ordem 1</v>
      </c>
    </row>
    <row r="171" spans="1:129" ht="34.15" customHeight="1">
      <c r="A171" s="1">
        <v>171</v>
      </c>
      <c r="B171" s="2">
        <v>46092.561712962997</v>
      </c>
      <c r="C171" s="2">
        <v>46092.565416666701</v>
      </c>
      <c r="D171" s="3" t="s">
        <v>214</v>
      </c>
      <c r="E171" s="3" t="s">
        <v>215</v>
      </c>
      <c r="G171" s="3"/>
      <c r="I171" s="3" t="s">
        <v>216</v>
      </c>
      <c r="K171" s="3"/>
      <c r="L171" s="1" t="s">
        <v>132</v>
      </c>
      <c r="O171" s="3" t="s">
        <v>133</v>
      </c>
      <c r="Q171" s="3"/>
      <c r="R171" s="3"/>
      <c r="T171" s="3"/>
      <c r="U171" s="5"/>
      <c r="W171" s="3"/>
      <c r="Z171" s="3"/>
      <c r="AA171" s="3"/>
      <c r="AC171" s="3"/>
      <c r="AD171" s="3"/>
      <c r="AF171" s="3"/>
      <c r="AG171" s="3"/>
      <c r="AI171" s="3"/>
      <c r="AJ171" s="1"/>
      <c r="AL171" s="3"/>
      <c r="AO171" s="3"/>
      <c r="AP171" s="3"/>
      <c r="AR171" s="3"/>
      <c r="AS171" s="3"/>
      <c r="AU171" s="3"/>
      <c r="AV171" s="3" t="s">
        <v>188</v>
      </c>
      <c r="AX171" s="3"/>
      <c r="AY171" s="5">
        <v>46078</v>
      </c>
      <c r="BA171" s="3"/>
      <c r="BB171" s="1">
        <v>11</v>
      </c>
      <c r="BD171" s="3"/>
      <c r="BE171" s="3" t="s">
        <v>718</v>
      </c>
      <c r="BG171" s="3"/>
      <c r="BH171" s="3" t="s">
        <v>719</v>
      </c>
      <c r="BJ171" s="3"/>
      <c r="BK171" s="3"/>
      <c r="BM171" s="3"/>
      <c r="BN171" s="5"/>
      <c r="BP171" s="3"/>
      <c r="BS171" s="3"/>
      <c r="BT171" s="3"/>
      <c r="BV171" s="3"/>
      <c r="BW171" s="3"/>
      <c r="BY171" s="3"/>
      <c r="BZ171" s="3"/>
      <c r="CB171" s="3"/>
      <c r="CC171" s="5"/>
      <c r="CE171" s="3"/>
      <c r="CH171" s="3"/>
      <c r="CI171" s="3"/>
      <c r="CK171" s="3"/>
      <c r="CL171" s="3"/>
      <c r="CN171" s="3"/>
      <c r="CO171" s="3"/>
      <c r="CQ171" s="3"/>
      <c r="CR171" s="5"/>
      <c r="CT171" s="3"/>
      <c r="CW171" s="3"/>
      <c r="CX171" s="3"/>
      <c r="CZ171" s="3"/>
      <c r="DA171" s="3"/>
      <c r="DC171" s="3"/>
      <c r="DD171" s="3"/>
      <c r="DF171" s="3"/>
      <c r="DG171" s="5"/>
      <c r="DI171" s="3"/>
      <c r="DL171" s="3"/>
      <c r="DM171" s="3"/>
      <c r="DO171" s="3"/>
      <c r="DP171" s="3"/>
      <c r="DR171" s="3"/>
      <c r="DS171" s="1" t="str">
        <f>_xlfn.XLOOKUP(OfficeForms.Table[[#This Row],[Selecione a Categoria do Laboratório desta atividade prática:]],Planilha1!A:A,Planilha1!B:B)</f>
        <v>BFI</v>
      </c>
      <c r="DT171" s="1" t="str">
        <f>CONCATENATE(OfficeForms.Table[[#This Row],[Selecione seu Polo Laboratório de Atividades Presenciais:]],OfficeForms.Table[[#This Row],[CHAVE CONVERSÃO]])</f>
        <v>Feira De Santana/BA - CentroBFI</v>
      </c>
      <c r="DU17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Drenagem Linfática</v>
      </c>
      <c r="DV17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17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171" s="1" t="str">
        <f>_xlfn.XLOOKUP(OfficeForms.Table[[#This Row],[CHAVE LINK POLO]],'[1]Quadro Geral de Lotação'!$B:$B,'[1]Quadro Geral de Lotação'!$I:$I)</f>
        <v>Clara Oliveira E Oliveira</v>
      </c>
      <c r="DY171" s="1" t="str">
        <f>OfficeForms.Table[[#This Row],[Selecione a Ordem de Disciplina]]</f>
        <v>Ordem 1</v>
      </c>
    </row>
    <row r="172" spans="1:129" ht="34.15" customHeight="1">
      <c r="A172" s="1">
        <v>172</v>
      </c>
      <c r="B172" s="2">
        <v>46092.569849537002</v>
      </c>
      <c r="C172" s="2">
        <v>46092.571273148104</v>
      </c>
      <c r="D172" s="3" t="s">
        <v>214</v>
      </c>
      <c r="E172" s="3" t="s">
        <v>215</v>
      </c>
      <c r="G172" s="3"/>
      <c r="I172" s="3" t="s">
        <v>216</v>
      </c>
      <c r="K172" s="3"/>
      <c r="L172" s="1" t="s">
        <v>132</v>
      </c>
      <c r="O172" s="3" t="s">
        <v>133</v>
      </c>
      <c r="Q172" s="3"/>
      <c r="R172" s="3"/>
      <c r="T172" s="3"/>
      <c r="U172" s="5"/>
      <c r="W172" s="3"/>
      <c r="Z172" s="3"/>
      <c r="AA172" s="3"/>
      <c r="AC172" s="3"/>
      <c r="AD172" s="3"/>
      <c r="AF172" s="3"/>
      <c r="AG172" s="3"/>
      <c r="AI172" s="3"/>
      <c r="AJ172" s="1"/>
      <c r="AL172" s="3"/>
      <c r="AO172" s="3"/>
      <c r="AP172" s="3"/>
      <c r="AR172" s="3"/>
      <c r="AS172" s="3"/>
      <c r="AU172" s="3"/>
      <c r="AV172" s="3" t="s">
        <v>540</v>
      </c>
      <c r="AX172" s="3"/>
      <c r="AY172" s="5">
        <v>46085</v>
      </c>
      <c r="BA172" s="3"/>
      <c r="BB172" s="1">
        <v>10</v>
      </c>
      <c r="BD172" s="3"/>
      <c r="BE172" s="3" t="s">
        <v>720</v>
      </c>
      <c r="BG172" s="3"/>
      <c r="BH172" s="3" t="s">
        <v>721</v>
      </c>
      <c r="BJ172" s="3"/>
      <c r="BK172" s="3"/>
      <c r="BM172" s="3"/>
      <c r="BN172" s="5"/>
      <c r="BP172" s="3"/>
      <c r="BS172" s="3"/>
      <c r="BT172" s="3"/>
      <c r="BV172" s="3"/>
      <c r="BW172" s="3"/>
      <c r="BY172" s="3"/>
      <c r="BZ172" s="3"/>
      <c r="CB172" s="3"/>
      <c r="CC172" s="5"/>
      <c r="CE172" s="3"/>
      <c r="CH172" s="3"/>
      <c r="CI172" s="3"/>
      <c r="CK172" s="3"/>
      <c r="CL172" s="3"/>
      <c r="CN172" s="3"/>
      <c r="CO172" s="3"/>
      <c r="CQ172" s="3"/>
      <c r="CR172" s="5"/>
      <c r="CT172" s="3"/>
      <c r="CW172" s="3"/>
      <c r="CX172" s="3"/>
      <c r="CZ172" s="3"/>
      <c r="DA172" s="3"/>
      <c r="DC172" s="3"/>
      <c r="DD172" s="3"/>
      <c r="DF172" s="3"/>
      <c r="DG172" s="5"/>
      <c r="DI172" s="3"/>
      <c r="DL172" s="3"/>
      <c r="DM172" s="3"/>
      <c r="DO172" s="3"/>
      <c r="DP172" s="3"/>
      <c r="DR172" s="3"/>
      <c r="DS172" s="1" t="str">
        <f>_xlfn.XLOOKUP(OfficeForms.Table[[#This Row],[Selecione a Categoria do Laboratório desta atividade prática:]],Planilha1!A:A,Planilha1!B:B)</f>
        <v>BFI</v>
      </c>
      <c r="DT172" s="1" t="str">
        <f>CONCATENATE(OfficeForms.Table[[#This Row],[Selecione seu Polo Laboratório de Atividades Presenciais:]],OfficeForms.Table[[#This Row],[CHAVE CONVERSÃO]])</f>
        <v>Feira De Santana/BA - CentroBFI</v>
      </c>
      <c r="DU17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Mobilização Articular: Abordagens Terapêuticas em Recursos Manuais</v>
      </c>
      <c r="DV17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7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172" s="1" t="str">
        <f>_xlfn.XLOOKUP(OfficeForms.Table[[#This Row],[CHAVE LINK POLO]],'[1]Quadro Geral de Lotação'!$B:$B,'[1]Quadro Geral de Lotação'!$I:$I)</f>
        <v>Clara Oliveira E Oliveira</v>
      </c>
      <c r="DY172" s="1" t="str">
        <f>OfficeForms.Table[[#This Row],[Selecione a Ordem de Disciplina]]</f>
        <v>Ordem 1</v>
      </c>
    </row>
    <row r="173" spans="1:129" ht="34.15" customHeight="1">
      <c r="A173" s="1">
        <v>173</v>
      </c>
      <c r="B173" s="2">
        <v>46092.571400462999</v>
      </c>
      <c r="C173" s="2">
        <v>46092.572268518503</v>
      </c>
      <c r="D173" s="3" t="s">
        <v>214</v>
      </c>
      <c r="E173" s="3" t="s">
        <v>215</v>
      </c>
      <c r="G173" s="3"/>
      <c r="I173" s="3" t="s">
        <v>216</v>
      </c>
      <c r="K173" s="3"/>
      <c r="L173" s="1" t="s">
        <v>132</v>
      </c>
      <c r="O173" s="3" t="s">
        <v>133</v>
      </c>
      <c r="Q173" s="3"/>
      <c r="R173" s="3"/>
      <c r="T173" s="3"/>
      <c r="U173" s="5"/>
      <c r="W173" s="3"/>
      <c r="Z173" s="3"/>
      <c r="AA173" s="3"/>
      <c r="AC173" s="3"/>
      <c r="AD173" s="3"/>
      <c r="AF173" s="3"/>
      <c r="AG173" s="3"/>
      <c r="AI173" s="3"/>
      <c r="AJ173" s="1"/>
      <c r="AL173" s="3"/>
      <c r="AO173" s="3"/>
      <c r="AP173" s="3"/>
      <c r="AR173" s="3"/>
      <c r="AS173" s="3"/>
      <c r="AU173" s="3"/>
      <c r="AV173" s="3" t="s">
        <v>540</v>
      </c>
      <c r="AX173" s="3"/>
      <c r="AY173" s="5">
        <v>46085</v>
      </c>
      <c r="BA173" s="3"/>
      <c r="BB173" s="1">
        <v>10</v>
      </c>
      <c r="BD173" s="3"/>
      <c r="BE173" s="3" t="s">
        <v>722</v>
      </c>
      <c r="BG173" s="3"/>
      <c r="BH173" s="3" t="s">
        <v>723</v>
      </c>
      <c r="BJ173" s="3"/>
      <c r="BK173" s="3"/>
      <c r="BM173" s="3"/>
      <c r="BN173" s="5"/>
      <c r="BP173" s="3"/>
      <c r="BS173" s="3"/>
      <c r="BT173" s="3"/>
      <c r="BV173" s="3"/>
      <c r="BW173" s="3"/>
      <c r="BY173" s="3"/>
      <c r="BZ173" s="3"/>
      <c r="CB173" s="3"/>
      <c r="CC173" s="5"/>
      <c r="CE173" s="3"/>
      <c r="CH173" s="3"/>
      <c r="CI173" s="3"/>
      <c r="CK173" s="3"/>
      <c r="CL173" s="3"/>
      <c r="CN173" s="3"/>
      <c r="CO173" s="3"/>
      <c r="CQ173" s="3"/>
      <c r="CR173" s="5"/>
      <c r="CT173" s="3"/>
      <c r="CW173" s="3"/>
      <c r="CX173" s="3"/>
      <c r="CZ173" s="3"/>
      <c r="DA173" s="3"/>
      <c r="DC173" s="3"/>
      <c r="DD173" s="3"/>
      <c r="DF173" s="3"/>
      <c r="DG173" s="5"/>
      <c r="DI173" s="3"/>
      <c r="DL173" s="3"/>
      <c r="DM173" s="3"/>
      <c r="DO173" s="3"/>
      <c r="DP173" s="3"/>
      <c r="DR173" s="3"/>
      <c r="DS173" s="1" t="str">
        <f>_xlfn.XLOOKUP(OfficeForms.Table[[#This Row],[Selecione a Categoria do Laboratório desta atividade prática:]],Planilha1!A:A,Planilha1!B:B)</f>
        <v>BFI</v>
      </c>
      <c r="DT173" s="1" t="str">
        <f>CONCATENATE(OfficeForms.Table[[#This Row],[Selecione seu Polo Laboratório de Atividades Presenciais:]],OfficeForms.Table[[#This Row],[CHAVE CONVERSÃO]])</f>
        <v>Feira De Santana/BA - CentroBFI</v>
      </c>
      <c r="DU17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Mobilização Articular: Abordagens Terapêuticas em Recursos Manuais</v>
      </c>
      <c r="DV17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7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173" s="1" t="str">
        <f>_xlfn.XLOOKUP(OfficeForms.Table[[#This Row],[CHAVE LINK POLO]],'[1]Quadro Geral de Lotação'!$B:$B,'[1]Quadro Geral de Lotação'!$I:$I)</f>
        <v>Clara Oliveira E Oliveira</v>
      </c>
      <c r="DY173" s="1" t="str">
        <f>OfficeForms.Table[[#This Row],[Selecione a Ordem de Disciplina]]</f>
        <v>Ordem 1</v>
      </c>
    </row>
    <row r="174" spans="1:129" ht="34.15" customHeight="1">
      <c r="A174" s="1">
        <v>174</v>
      </c>
      <c r="B174" s="2">
        <v>46092.605925925898</v>
      </c>
      <c r="C174" s="2">
        <v>46092.6065856481</v>
      </c>
      <c r="D174" s="3" t="s">
        <v>404</v>
      </c>
      <c r="E174" s="3" t="s">
        <v>405</v>
      </c>
      <c r="G174" s="3"/>
      <c r="I174" s="3" t="s">
        <v>406</v>
      </c>
      <c r="K174" s="3"/>
      <c r="L174" s="1" t="s">
        <v>132</v>
      </c>
      <c r="O174" s="3" t="s">
        <v>184</v>
      </c>
      <c r="Q174" s="3"/>
      <c r="R174" s="3"/>
      <c r="T174" s="3"/>
      <c r="U174" s="5"/>
      <c r="W174" s="3"/>
      <c r="Z174" s="3"/>
      <c r="AA174" s="3"/>
      <c r="AC174" s="3"/>
      <c r="AD174" s="3"/>
      <c r="AF174" s="3"/>
      <c r="AG174" s="3" t="s">
        <v>206</v>
      </c>
      <c r="AI174" s="3"/>
      <c r="AJ174" s="1">
        <v>46091</v>
      </c>
      <c r="AL174" s="3"/>
      <c r="AM174" s="1">
        <v>3</v>
      </c>
      <c r="AO174" s="3"/>
      <c r="AP174" s="3" t="s">
        <v>724</v>
      </c>
      <c r="AR174" s="3"/>
      <c r="AS174" s="3" t="s">
        <v>725</v>
      </c>
      <c r="AU174" s="3"/>
      <c r="AV174" s="3"/>
      <c r="AX174" s="3"/>
      <c r="AY174" s="5"/>
      <c r="BA174" s="3"/>
      <c r="BD174" s="3"/>
      <c r="BE174" s="3"/>
      <c r="BG174" s="3"/>
      <c r="BH174" s="3"/>
      <c r="BJ174" s="3"/>
      <c r="BK174" s="3"/>
      <c r="BM174" s="3"/>
      <c r="BN174" s="5"/>
      <c r="BP174" s="3"/>
      <c r="BS174" s="3"/>
      <c r="BT174" s="3"/>
      <c r="BV174" s="3"/>
      <c r="BW174" s="3"/>
      <c r="BY174" s="3"/>
      <c r="BZ174" s="3"/>
      <c r="CB174" s="3"/>
      <c r="CC174" s="5"/>
      <c r="CE174" s="3"/>
      <c r="CH174" s="3"/>
      <c r="CI174" s="3"/>
      <c r="CK174" s="3"/>
      <c r="CL174" s="3"/>
      <c r="CN174" s="3"/>
      <c r="CO174" s="3"/>
      <c r="CQ174" s="3"/>
      <c r="CR174" s="5"/>
      <c r="CT174" s="3"/>
      <c r="CW174" s="3"/>
      <c r="CX174" s="3"/>
      <c r="CZ174" s="3"/>
      <c r="DA174" s="3"/>
      <c r="DC174" s="3"/>
      <c r="DD174" s="3"/>
      <c r="DF174" s="3"/>
      <c r="DG174" s="5"/>
      <c r="DI174" s="3"/>
      <c r="DL174" s="3"/>
      <c r="DM174" s="3"/>
      <c r="DO174" s="3"/>
      <c r="DP174" s="3"/>
      <c r="DR174" s="3"/>
      <c r="DS174" s="1" t="str">
        <f>_xlfn.XLOOKUP(OfficeForms.Table[[#This Row],[Selecione a Categoria do Laboratório desta atividade prática:]],Planilha1!A:A,Planilha1!B:B)</f>
        <v>EMF-ISN</v>
      </c>
      <c r="DT174" s="1" t="str">
        <f>CONCATENATE(OfficeForms.Table[[#This Row],[Selecione seu Polo Laboratório de Atividades Presenciais:]],OfficeForms.Table[[#This Row],[CHAVE CONVERSÃO]])</f>
        <v>Conselheiro Lafaiete/MGEMF-ISN</v>
      </c>
      <c r="DU17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17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17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74" s="1" t="str">
        <f>_xlfn.XLOOKUP(OfficeForms.Table[[#This Row],[CHAVE LINK POLO]],'[1]Quadro Geral de Lotação'!$B:$B,'[1]Quadro Geral de Lotação'!$I:$I)</f>
        <v>Aline Graziele Goncalves Costa</v>
      </c>
      <c r="DY174" s="1" t="str">
        <f>OfficeForms.Table[[#This Row],[Selecione a Ordem de Disciplina]]</f>
        <v>Ordem 1</v>
      </c>
    </row>
    <row r="175" spans="1:129" ht="34.15" customHeight="1">
      <c r="A175" s="1">
        <v>175</v>
      </c>
      <c r="B175" s="2">
        <v>46092.607141203698</v>
      </c>
      <c r="C175" s="2">
        <v>46092.6120717593</v>
      </c>
      <c r="D175" s="3" t="s">
        <v>404</v>
      </c>
      <c r="E175" s="3" t="s">
        <v>405</v>
      </c>
      <c r="G175" s="3"/>
      <c r="I175" s="3" t="s">
        <v>406</v>
      </c>
      <c r="K175" s="3"/>
      <c r="L175" s="1" t="s">
        <v>132</v>
      </c>
      <c r="O175" s="3" t="s">
        <v>184</v>
      </c>
      <c r="Q175" s="3"/>
      <c r="R175" s="3"/>
      <c r="T175" s="3"/>
      <c r="U175" s="5"/>
      <c r="W175" s="3"/>
      <c r="Z175" s="3"/>
      <c r="AA175" s="3"/>
      <c r="AC175" s="3"/>
      <c r="AD175" s="3"/>
      <c r="AF175" s="3"/>
      <c r="AG175" s="3" t="s">
        <v>185</v>
      </c>
      <c r="AI175" s="3"/>
      <c r="AJ175" s="1">
        <v>46091</v>
      </c>
      <c r="AL175" s="3"/>
      <c r="AM175" s="1">
        <v>3</v>
      </c>
      <c r="AO175" s="3"/>
      <c r="AP175" s="3" t="s">
        <v>726</v>
      </c>
      <c r="AR175" s="3"/>
      <c r="AS175" s="3" t="s">
        <v>727</v>
      </c>
      <c r="AU175" s="3"/>
      <c r="AV175" s="3"/>
      <c r="AX175" s="3"/>
      <c r="AY175" s="5"/>
      <c r="BA175" s="3"/>
      <c r="BD175" s="3"/>
      <c r="BE175" s="3"/>
      <c r="BG175" s="3"/>
      <c r="BH175" s="3"/>
      <c r="BJ175" s="3"/>
      <c r="BK175" s="3"/>
      <c r="BM175" s="3"/>
      <c r="BN175" s="5"/>
      <c r="BP175" s="3"/>
      <c r="BS175" s="3"/>
      <c r="BT175" s="3"/>
      <c r="BV175" s="3"/>
      <c r="BW175" s="3"/>
      <c r="BY175" s="3"/>
      <c r="BZ175" s="3"/>
      <c r="CB175" s="3"/>
      <c r="CC175" s="5"/>
      <c r="CE175" s="3"/>
      <c r="CH175" s="3"/>
      <c r="CI175" s="3"/>
      <c r="CK175" s="3"/>
      <c r="CL175" s="3"/>
      <c r="CN175" s="3"/>
      <c r="CO175" s="3"/>
      <c r="CQ175" s="3"/>
      <c r="CR175" s="5"/>
      <c r="CT175" s="3"/>
      <c r="CW175" s="3"/>
      <c r="CX175" s="3"/>
      <c r="CZ175" s="3"/>
      <c r="DA175" s="3"/>
      <c r="DC175" s="3"/>
      <c r="DD175" s="3"/>
      <c r="DF175" s="3"/>
      <c r="DG175" s="5"/>
      <c r="DI175" s="3"/>
      <c r="DL175" s="3"/>
      <c r="DM175" s="3"/>
      <c r="DO175" s="3"/>
      <c r="DP175" s="3"/>
      <c r="DR175" s="3"/>
      <c r="DS175" s="1" t="str">
        <f>_xlfn.XLOOKUP(OfficeForms.Table[[#This Row],[Selecione a Categoria do Laboratório desta atividade prática:]],Planilha1!A:A,Planilha1!B:B)</f>
        <v>EMF-ISN</v>
      </c>
      <c r="DT175" s="1" t="str">
        <f>CONCATENATE(OfficeForms.Table[[#This Row],[Selecione seu Polo Laboratório de Atividades Presenciais:]],OfficeForms.Table[[#This Row],[CHAVE CONVERSÃO]])</f>
        <v>Conselheiro Lafaiete/MGEMF-ISN</v>
      </c>
      <c r="DU17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17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17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75" s="1" t="str">
        <f>_xlfn.XLOOKUP(OfficeForms.Table[[#This Row],[CHAVE LINK POLO]],'[1]Quadro Geral de Lotação'!$B:$B,'[1]Quadro Geral de Lotação'!$I:$I)</f>
        <v>Aline Graziele Goncalves Costa</v>
      </c>
      <c r="DY175" s="1" t="str">
        <f>OfficeForms.Table[[#This Row],[Selecione a Ordem de Disciplina]]</f>
        <v>Ordem 1</v>
      </c>
    </row>
    <row r="176" spans="1:129" ht="34.15" customHeight="1">
      <c r="A176" s="1">
        <v>176</v>
      </c>
      <c r="B176" s="2">
        <v>46092.6253125</v>
      </c>
      <c r="C176" s="2">
        <v>46092.6300231481</v>
      </c>
      <c r="D176" s="3" t="s">
        <v>281</v>
      </c>
      <c r="E176" s="3" t="s">
        <v>282</v>
      </c>
      <c r="G176" s="3"/>
      <c r="I176" s="3" t="s">
        <v>283</v>
      </c>
      <c r="K176" s="3"/>
      <c r="L176" s="1" t="s">
        <v>132</v>
      </c>
      <c r="O176" s="3" t="s">
        <v>156</v>
      </c>
      <c r="Q176" s="3"/>
      <c r="R176" s="3"/>
      <c r="T176" s="3"/>
      <c r="U176" s="5"/>
      <c r="W176" s="3"/>
      <c r="Z176" s="3"/>
      <c r="AA176" s="3"/>
      <c r="AC176" s="3"/>
      <c r="AD176" s="3"/>
      <c r="AF176" s="3"/>
      <c r="AG176" s="3"/>
      <c r="AI176" s="3"/>
      <c r="AJ176" s="1"/>
      <c r="AL176" s="3"/>
      <c r="AO176" s="3"/>
      <c r="AP176" s="3"/>
      <c r="AR176" s="3"/>
      <c r="AS176" s="3"/>
      <c r="AU176" s="3"/>
      <c r="AV176" s="3"/>
      <c r="AX176" s="3"/>
      <c r="AY176" s="5"/>
      <c r="BA176" s="3"/>
      <c r="BD176" s="3"/>
      <c r="BE176" s="3"/>
      <c r="BG176" s="3"/>
      <c r="BH176" s="3"/>
      <c r="BJ176" s="3"/>
      <c r="BK176" s="3" t="s">
        <v>260</v>
      </c>
      <c r="BM176" s="3"/>
      <c r="BN176" s="5">
        <v>46091</v>
      </c>
      <c r="BP176" s="3"/>
      <c r="BQ176" s="1">
        <v>5</v>
      </c>
      <c r="BS176" s="3"/>
      <c r="BT176" s="3" t="s">
        <v>728</v>
      </c>
      <c r="BV176" s="3"/>
      <c r="BW176" s="3" t="s">
        <v>729</v>
      </c>
      <c r="BY176" s="3"/>
      <c r="BZ176" s="3"/>
      <c r="CB176" s="3"/>
      <c r="CC176" s="5"/>
      <c r="CE176" s="3"/>
      <c r="CH176" s="3"/>
      <c r="CI176" s="3"/>
      <c r="CK176" s="3"/>
      <c r="CL176" s="3"/>
      <c r="CN176" s="3"/>
      <c r="CO176" s="3"/>
      <c r="CQ176" s="3"/>
      <c r="CR176" s="5"/>
      <c r="CT176" s="3"/>
      <c r="CW176" s="3"/>
      <c r="CX176" s="3"/>
      <c r="CZ176" s="3"/>
      <c r="DA176" s="3"/>
      <c r="DC176" s="3"/>
      <c r="DD176" s="3"/>
      <c r="DF176" s="3"/>
      <c r="DG176" s="5"/>
      <c r="DI176" s="3"/>
      <c r="DL176" s="3"/>
      <c r="DM176" s="3"/>
      <c r="DO176" s="3"/>
      <c r="DP176" s="3"/>
      <c r="DR176" s="3"/>
      <c r="DS176" s="1" t="str">
        <f>_xlfn.XLOOKUP(OfficeForms.Table[[#This Row],[Selecione a Categoria do Laboratório desta atividade prática:]],Planilha1!A:A,Planilha1!B:B)</f>
        <v>NTR</v>
      </c>
      <c r="DT176" s="1" t="str">
        <f>CONCATENATE(OfficeForms.Table[[#This Row],[Selecione seu Polo Laboratório de Atividades Presenciais:]],OfficeForms.Table[[#This Row],[CHAVE CONVERSÃO]])</f>
        <v>Criciúma/SCNTR</v>
      </c>
      <c r="DU17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Terapia nutricional enteral e suplementação oral</v>
      </c>
      <c r="DV17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17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176" s="1" t="str">
        <f>_xlfn.XLOOKUP(OfficeForms.Table[[#This Row],[CHAVE LINK POLO]],'[1]Quadro Geral de Lotação'!$B:$B,'[1]Quadro Geral de Lotação'!$I:$I)</f>
        <v>Izabela Cechinel Biela</v>
      </c>
      <c r="DY176" s="1" t="str">
        <f>OfficeForms.Table[[#This Row],[Selecione a Ordem de Disciplina]]</f>
        <v>Ordem 1</v>
      </c>
    </row>
    <row r="177" spans="1:129" ht="34.15" customHeight="1">
      <c r="A177" s="1">
        <v>177</v>
      </c>
      <c r="B177" s="2">
        <v>46092.666087963</v>
      </c>
      <c r="C177" s="2">
        <v>46092.667881944399</v>
      </c>
      <c r="D177" s="3" t="s">
        <v>221</v>
      </c>
      <c r="E177" s="3" t="s">
        <v>222</v>
      </c>
      <c r="G177" s="3"/>
      <c r="I177" s="3" t="s">
        <v>223</v>
      </c>
      <c r="K177" s="3"/>
      <c r="L177" s="1" t="s">
        <v>132</v>
      </c>
      <c r="O177" s="3" t="s">
        <v>184</v>
      </c>
      <c r="Q177" s="3"/>
      <c r="R177" s="3"/>
      <c r="T177" s="3"/>
      <c r="U177" s="5"/>
      <c r="W177" s="3"/>
      <c r="Z177" s="3"/>
      <c r="AA177" s="3"/>
      <c r="AC177" s="3"/>
      <c r="AD177" s="3"/>
      <c r="AF177" s="3"/>
      <c r="AG177" s="3" t="s">
        <v>322</v>
      </c>
      <c r="AI177" s="3"/>
      <c r="AJ177" s="1">
        <v>46090</v>
      </c>
      <c r="AL177" s="3"/>
      <c r="AM177" s="1">
        <v>0</v>
      </c>
      <c r="AO177" s="3"/>
      <c r="AP177" s="3" t="s">
        <v>730</v>
      </c>
      <c r="AR177" s="3"/>
      <c r="AS177" s="3" t="s">
        <v>731</v>
      </c>
      <c r="AU177" s="3"/>
      <c r="AV177" s="3"/>
      <c r="AX177" s="3"/>
      <c r="AY177" s="5"/>
      <c r="BA177" s="3"/>
      <c r="BD177" s="3"/>
      <c r="BE177" s="3"/>
      <c r="BG177" s="3"/>
      <c r="BH177" s="3"/>
      <c r="BJ177" s="3"/>
      <c r="BK177" s="3"/>
      <c r="BM177" s="3"/>
      <c r="BN177" s="5"/>
      <c r="BP177" s="3"/>
      <c r="BS177" s="3"/>
      <c r="BT177" s="3"/>
      <c r="BV177" s="3"/>
      <c r="BW177" s="3"/>
      <c r="BY177" s="3"/>
      <c r="BZ177" s="3"/>
      <c r="CB177" s="3"/>
      <c r="CC177" s="5"/>
      <c r="CE177" s="3"/>
      <c r="CH177" s="3"/>
      <c r="CI177" s="3"/>
      <c r="CK177" s="3"/>
      <c r="CL177" s="3"/>
      <c r="CN177" s="3"/>
      <c r="CO177" s="3"/>
      <c r="CQ177" s="3"/>
      <c r="CR177" s="5"/>
      <c r="CT177" s="3"/>
      <c r="CW177" s="3"/>
      <c r="CX177" s="3"/>
      <c r="CZ177" s="3"/>
      <c r="DA177" s="3"/>
      <c r="DC177" s="3"/>
      <c r="DD177" s="3"/>
      <c r="DF177" s="3"/>
      <c r="DG177" s="5"/>
      <c r="DI177" s="3"/>
      <c r="DL177" s="3"/>
      <c r="DM177" s="3"/>
      <c r="DO177" s="3"/>
      <c r="DP177" s="3"/>
      <c r="DR177" s="3"/>
      <c r="DS177" s="1" t="str">
        <f>_xlfn.XLOOKUP(OfficeForms.Table[[#This Row],[Selecione a Categoria do Laboratório desta atividade prática:]],Planilha1!A:A,Planilha1!B:B)</f>
        <v>EMF-ISN</v>
      </c>
      <c r="DT177" s="1" t="str">
        <f>CONCATENATE(OfficeForms.Table[[#This Row],[Selecione seu Polo Laboratório de Atividades Presenciais:]],OfficeForms.Table[[#This Row],[CHAVE CONVERSÃO]])</f>
        <v>Presidente Prudente/SP - Jardim GuanabaraEMF-ISN</v>
      </c>
      <c r="DU17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17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17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77" s="1" t="str">
        <f>_xlfn.XLOOKUP(OfficeForms.Table[[#This Row],[CHAVE LINK POLO]],'[1]Quadro Geral de Lotação'!$B:$B,'[1]Quadro Geral de Lotação'!$I:$I)</f>
        <v>Aquiles Gonzales De Andrade</v>
      </c>
      <c r="DY177" s="1" t="str">
        <f>OfficeForms.Table[[#This Row],[Selecione a Ordem de Disciplina]]</f>
        <v>Ordem 1</v>
      </c>
    </row>
    <row r="178" spans="1:129" ht="34.15" customHeight="1">
      <c r="A178" s="1">
        <v>178</v>
      </c>
      <c r="B178" s="2">
        <v>46092.700115740699</v>
      </c>
      <c r="C178" s="2">
        <v>46092.702025462997</v>
      </c>
      <c r="D178" s="3" t="s">
        <v>463</v>
      </c>
      <c r="E178" s="3" t="s">
        <v>464</v>
      </c>
      <c r="G178" s="3"/>
      <c r="I178" s="3" t="s">
        <v>445</v>
      </c>
      <c r="K178" s="3"/>
      <c r="L178" s="1" t="s">
        <v>132</v>
      </c>
      <c r="O178" s="3" t="s">
        <v>156</v>
      </c>
      <c r="Q178" s="3"/>
      <c r="R178" s="3"/>
      <c r="T178" s="3"/>
      <c r="U178" s="5"/>
      <c r="W178" s="3"/>
      <c r="Z178" s="3"/>
      <c r="AA178" s="3"/>
      <c r="AC178" s="3"/>
      <c r="AD178" s="3"/>
      <c r="AF178" s="3"/>
      <c r="AG178" s="3"/>
      <c r="AI178" s="3"/>
      <c r="AJ178" s="1"/>
      <c r="AL178" s="3"/>
      <c r="AO178" s="3"/>
      <c r="AP178" s="3"/>
      <c r="AR178" s="3"/>
      <c r="AS178" s="3"/>
      <c r="AU178" s="3"/>
      <c r="AV178" s="3"/>
      <c r="AX178" s="3"/>
      <c r="AY178" s="5"/>
      <c r="BA178" s="3"/>
      <c r="BD178" s="3"/>
      <c r="BE178" s="3"/>
      <c r="BG178" s="3"/>
      <c r="BH178" s="3"/>
      <c r="BJ178" s="3"/>
      <c r="BK178" s="3" t="s">
        <v>260</v>
      </c>
      <c r="BM178" s="3"/>
      <c r="BN178" s="5">
        <v>46086</v>
      </c>
      <c r="BP178" s="3"/>
      <c r="BQ178" s="1">
        <v>4</v>
      </c>
      <c r="BS178" s="3"/>
      <c r="BT178" s="3" t="s">
        <v>732</v>
      </c>
      <c r="BV178" s="3"/>
      <c r="BW178" s="3" t="s">
        <v>733</v>
      </c>
      <c r="BY178" s="3"/>
      <c r="BZ178" s="3"/>
      <c r="CB178" s="3"/>
      <c r="CC178" s="5"/>
      <c r="CE178" s="3"/>
      <c r="CH178" s="3"/>
      <c r="CI178" s="3"/>
      <c r="CK178" s="3"/>
      <c r="CL178" s="3"/>
      <c r="CN178" s="3"/>
      <c r="CO178" s="3"/>
      <c r="CQ178" s="3"/>
      <c r="CR178" s="5"/>
      <c r="CT178" s="3"/>
      <c r="CW178" s="3"/>
      <c r="CX178" s="3"/>
      <c r="CZ178" s="3"/>
      <c r="DA178" s="3"/>
      <c r="DC178" s="3"/>
      <c r="DD178" s="3"/>
      <c r="DF178" s="3"/>
      <c r="DG178" s="5"/>
      <c r="DI178" s="3"/>
      <c r="DL178" s="3"/>
      <c r="DM178" s="3"/>
      <c r="DO178" s="3"/>
      <c r="DP178" s="3"/>
      <c r="DR178" s="3"/>
      <c r="DS178" s="1" t="str">
        <f>_xlfn.XLOOKUP(OfficeForms.Table[[#This Row],[Selecione a Categoria do Laboratório desta atividade prática:]],Planilha1!A:A,Planilha1!B:B)</f>
        <v>NTR</v>
      </c>
      <c r="DT178" s="1" t="str">
        <f>CONCATENATE(OfficeForms.Table[[#This Row],[Selecione seu Polo Laboratório de Atividades Presenciais:]],OfficeForms.Table[[#This Row],[CHAVE CONVERSÃO]])</f>
        <v>Goiânia/GO - Jardim EuropaNTR</v>
      </c>
      <c r="DU17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Terapia nutricional enteral e suplementação oral</v>
      </c>
      <c r="DV17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7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178" s="1" t="str">
        <f>_xlfn.XLOOKUP(OfficeForms.Table[[#This Row],[CHAVE LINK POLO]],'[1]Quadro Geral de Lotação'!$B:$B,'[1]Quadro Geral de Lotação'!$I:$I)</f>
        <v>Kellen Ferreira Nascimento</v>
      </c>
      <c r="DY178" s="1" t="str">
        <f>OfficeForms.Table[[#This Row],[Selecione a Ordem de Disciplina]]</f>
        <v>Ordem 1</v>
      </c>
    </row>
    <row r="179" spans="1:129" ht="34.15" customHeight="1">
      <c r="A179" s="1">
        <v>179</v>
      </c>
      <c r="B179" s="2">
        <v>46092.7897800926</v>
      </c>
      <c r="C179" s="2">
        <v>46092.7918055556</v>
      </c>
      <c r="D179" s="3" t="s">
        <v>333</v>
      </c>
      <c r="E179" s="3" t="s">
        <v>334</v>
      </c>
      <c r="G179" s="3"/>
      <c r="I179" s="3" t="s">
        <v>275</v>
      </c>
      <c r="K179" s="3"/>
      <c r="L179" s="1" t="s">
        <v>678</v>
      </c>
      <c r="O179" s="3" t="s">
        <v>184</v>
      </c>
      <c r="Q179" s="3"/>
      <c r="R179" s="3"/>
      <c r="T179" s="3"/>
      <c r="U179" s="5"/>
      <c r="W179" s="3"/>
      <c r="Z179" s="3"/>
      <c r="AA179" s="3"/>
      <c r="AC179" s="3"/>
      <c r="AD179" s="3"/>
      <c r="AF179" s="3"/>
      <c r="AG179" s="3" t="s">
        <v>185</v>
      </c>
      <c r="AI179" s="3"/>
      <c r="AJ179" s="1">
        <v>46084</v>
      </c>
      <c r="AL179" s="3"/>
      <c r="AM179" s="1">
        <v>15</v>
      </c>
      <c r="AO179" s="3"/>
      <c r="AP179" s="3" t="s">
        <v>734</v>
      </c>
      <c r="AR179" s="3"/>
      <c r="AS179" s="3" t="s">
        <v>735</v>
      </c>
      <c r="AU179" s="3"/>
      <c r="AV179" s="3"/>
      <c r="AX179" s="3"/>
      <c r="AY179" s="5"/>
      <c r="BA179" s="3"/>
      <c r="BD179" s="3"/>
      <c r="BE179" s="3"/>
      <c r="BG179" s="3"/>
      <c r="BH179" s="3"/>
      <c r="BJ179" s="3"/>
      <c r="BK179" s="3"/>
      <c r="BM179" s="3"/>
      <c r="BN179" s="5"/>
      <c r="BP179" s="3"/>
      <c r="BS179" s="3"/>
      <c r="BT179" s="3"/>
      <c r="BV179" s="3"/>
      <c r="BW179" s="3"/>
      <c r="BY179" s="3"/>
      <c r="BZ179" s="3"/>
      <c r="CB179" s="3"/>
      <c r="CC179" s="5"/>
      <c r="CE179" s="3"/>
      <c r="CH179" s="3"/>
      <c r="CI179" s="3"/>
      <c r="CK179" s="3"/>
      <c r="CL179" s="3"/>
      <c r="CN179" s="3"/>
      <c r="CO179" s="3"/>
      <c r="CQ179" s="3"/>
      <c r="CR179" s="5"/>
      <c r="CT179" s="3"/>
      <c r="CW179" s="3"/>
      <c r="CX179" s="3"/>
      <c r="CZ179" s="3"/>
      <c r="DA179" s="3"/>
      <c r="DC179" s="3"/>
      <c r="DD179" s="3"/>
      <c r="DF179" s="3"/>
      <c r="DG179" s="5"/>
      <c r="DI179" s="3"/>
      <c r="DL179" s="3"/>
      <c r="DM179" s="3"/>
      <c r="DO179" s="3"/>
      <c r="DP179" s="3"/>
      <c r="DR179" s="3"/>
      <c r="DS179" s="1" t="str">
        <f>_xlfn.XLOOKUP(OfficeForms.Table[[#This Row],[Selecione a Categoria do Laboratório desta atividade prática:]],Planilha1!A:A,Planilha1!B:B)</f>
        <v>EMF-ISN</v>
      </c>
      <c r="DT179" s="1" t="str">
        <f>CONCATENATE(OfficeForms.Table[[#This Row],[Selecione seu Polo Laboratório de Atividades Presenciais:]],OfficeForms.Table[[#This Row],[CHAVE CONVERSÃO]])</f>
        <v>Porto Alegre/RS - Zona NorteEMF-ISN</v>
      </c>
      <c r="DU17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17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7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179" s="1" t="str">
        <f>_xlfn.XLOOKUP(OfficeForms.Table[[#This Row],[CHAVE LINK POLO]],'[1]Quadro Geral de Lotação'!$B:$B,'[1]Quadro Geral de Lotação'!$I:$I)</f>
        <v>Cristiane Ribeiro Maciel</v>
      </c>
      <c r="DY179" s="1" t="str">
        <f>OfficeForms.Table[[#This Row],[Selecione a Ordem de Disciplina]]</f>
        <v>Ordem 2</v>
      </c>
    </row>
    <row r="180" spans="1:129" ht="34.15" customHeight="1">
      <c r="A180" s="1">
        <v>180</v>
      </c>
      <c r="B180" s="2">
        <v>46092.819930555597</v>
      </c>
      <c r="C180" s="2">
        <v>46092.821284722202</v>
      </c>
      <c r="D180" s="3" t="s">
        <v>373</v>
      </c>
      <c r="E180" s="3" t="s">
        <v>374</v>
      </c>
      <c r="G180" s="3"/>
      <c r="I180" s="3" t="s">
        <v>375</v>
      </c>
      <c r="K180" s="3"/>
      <c r="L180" s="1" t="s">
        <v>132</v>
      </c>
      <c r="O180" s="3" t="s">
        <v>184</v>
      </c>
      <c r="Q180" s="3"/>
      <c r="R180" s="3"/>
      <c r="T180" s="3"/>
      <c r="U180" s="5"/>
      <c r="W180" s="3"/>
      <c r="Z180" s="3"/>
      <c r="AA180" s="3"/>
      <c r="AC180" s="3"/>
      <c r="AD180" s="3"/>
      <c r="AF180" s="3"/>
      <c r="AG180" s="3" t="s">
        <v>414</v>
      </c>
      <c r="AI180" s="3"/>
      <c r="AJ180" s="1">
        <v>46084</v>
      </c>
      <c r="AL180" s="3"/>
      <c r="AM180" s="1">
        <v>3</v>
      </c>
      <c r="AO180" s="3"/>
      <c r="AP180" s="3" t="s">
        <v>736</v>
      </c>
      <c r="AR180" s="3"/>
      <c r="AS180" s="3" t="s">
        <v>737</v>
      </c>
      <c r="AU180" s="3"/>
      <c r="AV180" s="3"/>
      <c r="AX180" s="3"/>
      <c r="AY180" s="5"/>
      <c r="BA180" s="3"/>
      <c r="BD180" s="3"/>
      <c r="BE180" s="3"/>
      <c r="BG180" s="3"/>
      <c r="BH180" s="3"/>
      <c r="BJ180" s="3"/>
      <c r="BK180" s="3"/>
      <c r="BM180" s="3"/>
      <c r="BN180" s="5"/>
      <c r="BP180" s="3"/>
      <c r="BS180" s="3"/>
      <c r="BT180" s="3"/>
      <c r="BV180" s="3"/>
      <c r="BW180" s="3"/>
      <c r="BY180" s="3"/>
      <c r="BZ180" s="3"/>
      <c r="CB180" s="3"/>
      <c r="CC180" s="5"/>
      <c r="CE180" s="3"/>
      <c r="CH180" s="3"/>
      <c r="CI180" s="3"/>
      <c r="CK180" s="3"/>
      <c r="CL180" s="3"/>
      <c r="CN180" s="3"/>
      <c r="CO180" s="3"/>
      <c r="CQ180" s="3"/>
      <c r="CR180" s="5"/>
      <c r="CT180" s="3"/>
      <c r="CW180" s="3"/>
      <c r="CX180" s="3"/>
      <c r="CZ180" s="3"/>
      <c r="DA180" s="3"/>
      <c r="DC180" s="3"/>
      <c r="DD180" s="3"/>
      <c r="DF180" s="3"/>
      <c r="DG180" s="5"/>
      <c r="DI180" s="3"/>
      <c r="DL180" s="3"/>
      <c r="DM180" s="3"/>
      <c r="DO180" s="3"/>
      <c r="DP180" s="3"/>
      <c r="DR180" s="3"/>
      <c r="DS180" s="1" t="str">
        <f>_xlfn.XLOOKUP(OfficeForms.Table[[#This Row],[Selecione a Categoria do Laboratório desta atividade prática:]],Planilha1!A:A,Planilha1!B:B)</f>
        <v>EMF-ISN</v>
      </c>
      <c r="DT180" s="1" t="str">
        <f>CONCATENATE(OfficeForms.Table[[#This Row],[Selecione seu Polo Laboratório de Atividades Presenciais:]],OfficeForms.Table[[#This Row],[CHAVE CONVERSÃO]])</f>
        <v>Brasília/DF - TaguatingaEMF-ISN</v>
      </c>
      <c r="DU18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18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8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80" s="1" t="str">
        <f>_xlfn.XLOOKUP(OfficeForms.Table[[#This Row],[CHAVE LINK POLO]],'[1]Quadro Geral de Lotação'!$B:$B,'[1]Quadro Geral de Lotação'!$I:$I)</f>
        <v>Tatiane Da Silva Rodrigues</v>
      </c>
      <c r="DY180" s="1" t="str">
        <f>OfficeForms.Table[[#This Row],[Selecione a Ordem de Disciplina]]</f>
        <v>Ordem 1</v>
      </c>
    </row>
    <row r="181" spans="1:129" ht="34.15" customHeight="1">
      <c r="A181" s="1">
        <v>181</v>
      </c>
      <c r="B181" s="2">
        <v>46092.821342592601</v>
      </c>
      <c r="C181" s="2">
        <v>46092.868657407402</v>
      </c>
      <c r="D181" s="3" t="s">
        <v>373</v>
      </c>
      <c r="E181" s="3" t="s">
        <v>374</v>
      </c>
      <c r="G181" s="3"/>
      <c r="I181" s="3" t="s">
        <v>375</v>
      </c>
      <c r="K181" s="3"/>
      <c r="L181" s="1" t="s">
        <v>132</v>
      </c>
      <c r="O181" s="3" t="s">
        <v>184</v>
      </c>
      <c r="Q181" s="3"/>
      <c r="R181" s="3"/>
      <c r="T181" s="3"/>
      <c r="U181" s="5"/>
      <c r="W181" s="3"/>
      <c r="Z181" s="3"/>
      <c r="AA181" s="3"/>
      <c r="AC181" s="3"/>
      <c r="AD181" s="3"/>
      <c r="AF181" s="3"/>
      <c r="AG181" s="3" t="s">
        <v>224</v>
      </c>
      <c r="AI181" s="3"/>
      <c r="AJ181" s="1">
        <v>46091</v>
      </c>
      <c r="AL181" s="3"/>
      <c r="AM181" s="1">
        <v>13</v>
      </c>
      <c r="AO181" s="3"/>
      <c r="AP181" s="3" t="s">
        <v>738</v>
      </c>
      <c r="AR181" s="3"/>
      <c r="AS181" s="3" t="s">
        <v>739</v>
      </c>
      <c r="AU181" s="3"/>
      <c r="AV181" s="3"/>
      <c r="AX181" s="3"/>
      <c r="AY181" s="5"/>
      <c r="BA181" s="3"/>
      <c r="BD181" s="3"/>
      <c r="BE181" s="3"/>
      <c r="BG181" s="3"/>
      <c r="BH181" s="3"/>
      <c r="BJ181" s="3"/>
      <c r="BK181" s="3"/>
      <c r="BM181" s="3"/>
      <c r="BN181" s="5"/>
      <c r="BP181" s="3"/>
      <c r="BS181" s="3"/>
      <c r="BT181" s="3"/>
      <c r="BV181" s="3"/>
      <c r="BW181" s="3"/>
      <c r="BY181" s="3"/>
      <c r="BZ181" s="3"/>
      <c r="CB181" s="3"/>
      <c r="CC181" s="5"/>
      <c r="CE181" s="3"/>
      <c r="CH181" s="3"/>
      <c r="CI181" s="3"/>
      <c r="CK181" s="3"/>
      <c r="CL181" s="3"/>
      <c r="CN181" s="3"/>
      <c r="CO181" s="3"/>
      <c r="CQ181" s="3"/>
      <c r="CR181" s="5"/>
      <c r="CT181" s="3"/>
      <c r="CW181" s="3"/>
      <c r="CX181" s="3"/>
      <c r="CZ181" s="3"/>
      <c r="DA181" s="3"/>
      <c r="DC181" s="3"/>
      <c r="DD181" s="3"/>
      <c r="DF181" s="3"/>
      <c r="DG181" s="5"/>
      <c r="DI181" s="3"/>
      <c r="DL181" s="3"/>
      <c r="DM181" s="3"/>
      <c r="DO181" s="3"/>
      <c r="DP181" s="3"/>
      <c r="DR181" s="3"/>
      <c r="DS181" s="1" t="str">
        <f>_xlfn.XLOOKUP(OfficeForms.Table[[#This Row],[Selecione a Categoria do Laboratório desta atividade prática:]],Planilha1!A:A,Planilha1!B:B)</f>
        <v>EMF-ISN</v>
      </c>
      <c r="DT181" s="1" t="str">
        <f>CONCATENATE(OfficeForms.Table[[#This Row],[Selecione seu Polo Laboratório de Atividades Presenciais:]],OfficeForms.Table[[#This Row],[CHAVE CONVERSÃO]])</f>
        <v>Brasília/DF - TaguatingaEMF-ISN</v>
      </c>
      <c r="DU18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18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18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181" s="1" t="str">
        <f>_xlfn.XLOOKUP(OfficeForms.Table[[#This Row],[CHAVE LINK POLO]],'[1]Quadro Geral de Lotação'!$B:$B,'[1]Quadro Geral de Lotação'!$I:$I)</f>
        <v>Tatiane Da Silva Rodrigues</v>
      </c>
      <c r="DY181" s="1" t="str">
        <f>OfficeForms.Table[[#This Row],[Selecione a Ordem de Disciplina]]</f>
        <v>Ordem 1</v>
      </c>
    </row>
    <row r="182" spans="1:129" ht="34.15" customHeight="1">
      <c r="A182" s="1">
        <v>182</v>
      </c>
      <c r="B182" s="2">
        <v>46092.8754513889</v>
      </c>
      <c r="C182" s="2">
        <v>46092.877152777801</v>
      </c>
      <c r="D182" s="3" t="s">
        <v>373</v>
      </c>
      <c r="E182" s="3" t="s">
        <v>374</v>
      </c>
      <c r="G182" s="3"/>
      <c r="I182" s="3" t="s">
        <v>375</v>
      </c>
      <c r="K182" s="3"/>
      <c r="L182" s="1" t="s">
        <v>132</v>
      </c>
      <c r="O182" s="3" t="s">
        <v>184</v>
      </c>
      <c r="Q182" s="3"/>
      <c r="R182" s="3"/>
      <c r="T182" s="3"/>
      <c r="U182" s="5"/>
      <c r="W182" s="3"/>
      <c r="Z182" s="3"/>
      <c r="AA182" s="3"/>
      <c r="AC182" s="3"/>
      <c r="AD182" s="3"/>
      <c r="AF182" s="3"/>
      <c r="AG182" s="3" t="s">
        <v>224</v>
      </c>
      <c r="AI182" s="3"/>
      <c r="AJ182" s="1">
        <v>46085</v>
      </c>
      <c r="AL182" s="3"/>
      <c r="AM182" s="1">
        <v>13</v>
      </c>
      <c r="AO182" s="3"/>
      <c r="AP182" s="3" t="s">
        <v>740</v>
      </c>
      <c r="AR182" s="3"/>
      <c r="AS182" s="3" t="s">
        <v>741</v>
      </c>
      <c r="AU182" s="3"/>
      <c r="AV182" s="3"/>
      <c r="AX182" s="3"/>
      <c r="AY182" s="5"/>
      <c r="BA182" s="3"/>
      <c r="BD182" s="3"/>
      <c r="BE182" s="3"/>
      <c r="BG182" s="3"/>
      <c r="BH182" s="3"/>
      <c r="BJ182" s="3"/>
      <c r="BK182" s="3"/>
      <c r="BM182" s="3"/>
      <c r="BN182" s="5"/>
      <c r="BP182" s="3"/>
      <c r="BS182" s="3"/>
      <c r="BT182" s="3"/>
      <c r="BV182" s="3"/>
      <c r="BW182" s="3"/>
      <c r="BY182" s="3"/>
      <c r="BZ182" s="3"/>
      <c r="CB182" s="3"/>
      <c r="CC182" s="5"/>
      <c r="CE182" s="3"/>
      <c r="CH182" s="3"/>
      <c r="CI182" s="3"/>
      <c r="CK182" s="3"/>
      <c r="CL182" s="3"/>
      <c r="CN182" s="3"/>
      <c r="CO182" s="3"/>
      <c r="CQ182" s="3"/>
      <c r="CR182" s="5"/>
      <c r="CT182" s="3"/>
      <c r="CW182" s="3"/>
      <c r="CX182" s="3"/>
      <c r="CZ182" s="3"/>
      <c r="DA182" s="3"/>
      <c r="DC182" s="3"/>
      <c r="DD182" s="3"/>
      <c r="DF182" s="3"/>
      <c r="DG182" s="5"/>
      <c r="DI182" s="3"/>
      <c r="DL182" s="3"/>
      <c r="DM182" s="3"/>
      <c r="DO182" s="3"/>
      <c r="DP182" s="3"/>
      <c r="DR182" s="3"/>
      <c r="DS182" s="1" t="str">
        <f>_xlfn.XLOOKUP(OfficeForms.Table[[#This Row],[Selecione a Categoria do Laboratório desta atividade prática:]],Planilha1!A:A,Planilha1!B:B)</f>
        <v>EMF-ISN</v>
      </c>
      <c r="DT182" s="1" t="str">
        <f>CONCATENATE(OfficeForms.Table[[#This Row],[Selecione seu Polo Laboratório de Atividades Presenciais:]],OfficeForms.Table[[#This Row],[CHAVE CONVERSÃO]])</f>
        <v>Brasília/DF - TaguatingaEMF-ISN</v>
      </c>
      <c r="DU18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18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8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182" s="1" t="str">
        <f>_xlfn.XLOOKUP(OfficeForms.Table[[#This Row],[CHAVE LINK POLO]],'[1]Quadro Geral de Lotação'!$B:$B,'[1]Quadro Geral de Lotação'!$I:$I)</f>
        <v>Tatiane Da Silva Rodrigues</v>
      </c>
      <c r="DY182" s="1" t="str">
        <f>OfficeForms.Table[[#This Row],[Selecione a Ordem de Disciplina]]</f>
        <v>Ordem 1</v>
      </c>
    </row>
    <row r="183" spans="1:129" ht="34.15" customHeight="1">
      <c r="A183" s="1">
        <v>183</v>
      </c>
      <c r="B183" s="2">
        <v>46092.8811458333</v>
      </c>
      <c r="C183" s="2">
        <v>46092.881874999999</v>
      </c>
      <c r="D183" s="3" t="s">
        <v>373</v>
      </c>
      <c r="E183" s="3" t="s">
        <v>374</v>
      </c>
      <c r="G183" s="3"/>
      <c r="I183" s="3" t="s">
        <v>375</v>
      </c>
      <c r="K183" s="3"/>
      <c r="L183" s="1" t="s">
        <v>132</v>
      </c>
      <c r="O183" s="3" t="s">
        <v>184</v>
      </c>
      <c r="Q183" s="3"/>
      <c r="R183" s="3"/>
      <c r="T183" s="3"/>
      <c r="U183" s="5"/>
      <c r="W183" s="3"/>
      <c r="Z183" s="3"/>
      <c r="AA183" s="3"/>
      <c r="AC183" s="3"/>
      <c r="AD183" s="3"/>
      <c r="AF183" s="3"/>
      <c r="AG183" s="3" t="s">
        <v>224</v>
      </c>
      <c r="AI183" s="3"/>
      <c r="AJ183" s="1">
        <v>46086</v>
      </c>
      <c r="AL183" s="3"/>
      <c r="AM183" s="1">
        <v>12</v>
      </c>
      <c r="AO183" s="3"/>
      <c r="AP183" s="3" t="s">
        <v>742</v>
      </c>
      <c r="AR183" s="3"/>
      <c r="AS183" s="3" t="s">
        <v>743</v>
      </c>
      <c r="AU183" s="3"/>
      <c r="AV183" s="3"/>
      <c r="AX183" s="3"/>
      <c r="AY183" s="5"/>
      <c r="BA183" s="3"/>
      <c r="BD183" s="3"/>
      <c r="BE183" s="3"/>
      <c r="BG183" s="3"/>
      <c r="BH183" s="3"/>
      <c r="BJ183" s="3"/>
      <c r="BK183" s="3"/>
      <c r="BM183" s="3"/>
      <c r="BN183" s="5"/>
      <c r="BP183" s="3"/>
      <c r="BS183" s="3"/>
      <c r="BT183" s="3"/>
      <c r="BV183" s="3"/>
      <c r="BW183" s="3"/>
      <c r="BY183" s="3"/>
      <c r="BZ183" s="3"/>
      <c r="CB183" s="3"/>
      <c r="CC183" s="5"/>
      <c r="CE183" s="3"/>
      <c r="CH183" s="3"/>
      <c r="CI183" s="3"/>
      <c r="CK183" s="3"/>
      <c r="CL183" s="3"/>
      <c r="CN183" s="3"/>
      <c r="CO183" s="3"/>
      <c r="CQ183" s="3"/>
      <c r="CR183" s="5"/>
      <c r="CT183" s="3"/>
      <c r="CW183" s="3"/>
      <c r="CX183" s="3"/>
      <c r="CZ183" s="3"/>
      <c r="DA183" s="3"/>
      <c r="DC183" s="3"/>
      <c r="DD183" s="3"/>
      <c r="DF183" s="3"/>
      <c r="DG183" s="5"/>
      <c r="DI183" s="3"/>
      <c r="DL183" s="3"/>
      <c r="DM183" s="3"/>
      <c r="DO183" s="3"/>
      <c r="DP183" s="3"/>
      <c r="DR183" s="3"/>
      <c r="DS183" s="1" t="str">
        <f>_xlfn.XLOOKUP(OfficeForms.Table[[#This Row],[Selecione a Categoria do Laboratório desta atividade prática:]],Planilha1!A:A,Planilha1!B:B)</f>
        <v>EMF-ISN</v>
      </c>
      <c r="DT183" s="1" t="str">
        <f>CONCATENATE(OfficeForms.Table[[#This Row],[Selecione seu Polo Laboratório de Atividades Presenciais:]],OfficeForms.Table[[#This Row],[CHAVE CONVERSÃO]])</f>
        <v>Brasília/DF - TaguatingaEMF-ISN</v>
      </c>
      <c r="DU18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18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8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183" s="1" t="str">
        <f>_xlfn.XLOOKUP(OfficeForms.Table[[#This Row],[CHAVE LINK POLO]],'[1]Quadro Geral de Lotação'!$B:$B,'[1]Quadro Geral de Lotação'!$I:$I)</f>
        <v>Tatiane Da Silva Rodrigues</v>
      </c>
      <c r="DY183" s="1" t="str">
        <f>OfficeForms.Table[[#This Row],[Selecione a Ordem de Disciplina]]</f>
        <v>Ordem 1</v>
      </c>
    </row>
    <row r="184" spans="1:129" ht="34.15" customHeight="1">
      <c r="A184" s="1">
        <v>184</v>
      </c>
      <c r="B184" s="2">
        <v>46092.8820023148</v>
      </c>
      <c r="C184" s="2">
        <v>46092.8828587963</v>
      </c>
      <c r="D184" s="3" t="s">
        <v>373</v>
      </c>
      <c r="E184" s="3" t="s">
        <v>374</v>
      </c>
      <c r="G184" s="3"/>
      <c r="I184" s="3" t="s">
        <v>375</v>
      </c>
      <c r="K184" s="3"/>
      <c r="L184" s="1" t="s">
        <v>132</v>
      </c>
      <c r="O184" s="3" t="s">
        <v>184</v>
      </c>
      <c r="Q184" s="3"/>
      <c r="R184" s="3"/>
      <c r="T184" s="3"/>
      <c r="U184" s="5"/>
      <c r="W184" s="3"/>
      <c r="Z184" s="3"/>
      <c r="AA184" s="3"/>
      <c r="AC184" s="3"/>
      <c r="AD184" s="3"/>
      <c r="AF184" s="3"/>
      <c r="AG184" s="3" t="s">
        <v>224</v>
      </c>
      <c r="AI184" s="3"/>
      <c r="AJ184" s="1">
        <v>46091</v>
      </c>
      <c r="AL184" s="3"/>
      <c r="AM184" s="1">
        <v>13</v>
      </c>
      <c r="AO184" s="3"/>
      <c r="AP184" s="3" t="s">
        <v>744</v>
      </c>
      <c r="AR184" s="3"/>
      <c r="AS184" s="3" t="s">
        <v>745</v>
      </c>
      <c r="AU184" s="3"/>
      <c r="AV184" s="3"/>
      <c r="AX184" s="3"/>
      <c r="AY184" s="5"/>
      <c r="BA184" s="3"/>
      <c r="BD184" s="3"/>
      <c r="BE184" s="3"/>
      <c r="BG184" s="3"/>
      <c r="BH184" s="3"/>
      <c r="BJ184" s="3"/>
      <c r="BK184" s="3"/>
      <c r="BM184" s="3"/>
      <c r="BN184" s="5"/>
      <c r="BP184" s="3"/>
      <c r="BS184" s="3"/>
      <c r="BT184" s="3"/>
      <c r="BV184" s="3"/>
      <c r="BW184" s="3"/>
      <c r="BY184" s="3"/>
      <c r="BZ184" s="3"/>
      <c r="CB184" s="3"/>
      <c r="CC184" s="5"/>
      <c r="CE184" s="3"/>
      <c r="CH184" s="3"/>
      <c r="CI184" s="3"/>
      <c r="CK184" s="3"/>
      <c r="CL184" s="3"/>
      <c r="CN184" s="3"/>
      <c r="CO184" s="3"/>
      <c r="CQ184" s="3"/>
      <c r="CR184" s="5"/>
      <c r="CT184" s="3"/>
      <c r="CW184" s="3"/>
      <c r="CX184" s="3"/>
      <c r="CZ184" s="3"/>
      <c r="DA184" s="3"/>
      <c r="DC184" s="3"/>
      <c r="DD184" s="3"/>
      <c r="DF184" s="3"/>
      <c r="DG184" s="5"/>
      <c r="DI184" s="3"/>
      <c r="DL184" s="3"/>
      <c r="DM184" s="3"/>
      <c r="DO184" s="3"/>
      <c r="DP184" s="3"/>
      <c r="DR184" s="3"/>
      <c r="DS184" s="1" t="str">
        <f>_xlfn.XLOOKUP(OfficeForms.Table[[#This Row],[Selecione a Categoria do Laboratório desta atividade prática:]],Planilha1!A:A,Planilha1!B:B)</f>
        <v>EMF-ISN</v>
      </c>
      <c r="DT184" s="1" t="str">
        <f>CONCATENATE(OfficeForms.Table[[#This Row],[Selecione seu Polo Laboratório de Atividades Presenciais:]],OfficeForms.Table[[#This Row],[CHAVE CONVERSÃO]])</f>
        <v>Brasília/DF - TaguatingaEMF-ISN</v>
      </c>
      <c r="DU18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18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18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184" s="1" t="str">
        <f>_xlfn.XLOOKUP(OfficeForms.Table[[#This Row],[CHAVE LINK POLO]],'[1]Quadro Geral de Lotação'!$B:$B,'[1]Quadro Geral de Lotação'!$I:$I)</f>
        <v>Tatiane Da Silva Rodrigues</v>
      </c>
      <c r="DY184" s="1" t="str">
        <f>OfficeForms.Table[[#This Row],[Selecione a Ordem de Disciplina]]</f>
        <v>Ordem 1</v>
      </c>
    </row>
    <row r="185" spans="1:129" ht="34.15" customHeight="1">
      <c r="A185" s="1">
        <v>185</v>
      </c>
      <c r="B185" s="2">
        <v>46092.942719907398</v>
      </c>
      <c r="C185" s="2">
        <v>46092.9449074074</v>
      </c>
      <c r="D185" s="3" t="s">
        <v>357</v>
      </c>
      <c r="E185" s="3" t="s">
        <v>358</v>
      </c>
      <c r="G185" s="3"/>
      <c r="I185" s="3" t="s">
        <v>359</v>
      </c>
      <c r="K185" s="3"/>
      <c r="L185" s="1" t="s">
        <v>132</v>
      </c>
      <c r="O185" s="3" t="s">
        <v>156</v>
      </c>
      <c r="Q185" s="3"/>
      <c r="R185" s="3"/>
      <c r="T185" s="3"/>
      <c r="U185" s="5"/>
      <c r="W185" s="3"/>
      <c r="Z185" s="3"/>
      <c r="AA185" s="3"/>
      <c r="AC185" s="3"/>
      <c r="AD185" s="3"/>
      <c r="AF185" s="3"/>
      <c r="AG185" s="3"/>
      <c r="AI185" s="3"/>
      <c r="AJ185" s="1"/>
      <c r="AL185" s="3"/>
      <c r="AO185" s="3"/>
      <c r="AP185" s="3"/>
      <c r="AR185" s="3"/>
      <c r="AS185" s="3"/>
      <c r="AU185" s="3"/>
      <c r="AV185" s="3"/>
      <c r="AX185" s="3"/>
      <c r="AY185" s="5"/>
      <c r="BA185" s="3"/>
      <c r="BD185" s="3"/>
      <c r="BE185" s="3"/>
      <c r="BG185" s="3"/>
      <c r="BH185" s="3"/>
      <c r="BJ185" s="3"/>
      <c r="BK185" s="3" t="s">
        <v>260</v>
      </c>
      <c r="BM185" s="3"/>
      <c r="BN185" s="5">
        <v>46091</v>
      </c>
      <c r="BP185" s="3"/>
      <c r="BQ185" s="1">
        <v>6</v>
      </c>
      <c r="BS185" s="3"/>
      <c r="BT185" s="3" t="s">
        <v>746</v>
      </c>
      <c r="BV185" s="3"/>
      <c r="BW185" s="3" t="s">
        <v>747</v>
      </c>
      <c r="BY185" s="3"/>
      <c r="BZ185" s="3"/>
      <c r="CB185" s="3"/>
      <c r="CC185" s="5"/>
      <c r="CE185" s="3"/>
      <c r="CH185" s="3"/>
      <c r="CI185" s="3"/>
      <c r="CK185" s="3"/>
      <c r="CL185" s="3"/>
      <c r="CN185" s="3"/>
      <c r="CO185" s="3"/>
      <c r="CQ185" s="3"/>
      <c r="CR185" s="5"/>
      <c r="CT185" s="3"/>
      <c r="CW185" s="3"/>
      <c r="CX185" s="3"/>
      <c r="CZ185" s="3"/>
      <c r="DA185" s="3"/>
      <c r="DC185" s="3"/>
      <c r="DD185" s="3"/>
      <c r="DF185" s="3"/>
      <c r="DG185" s="5"/>
      <c r="DI185" s="3"/>
      <c r="DL185" s="3"/>
      <c r="DM185" s="3"/>
      <c r="DO185" s="3"/>
      <c r="DP185" s="3"/>
      <c r="DR185" s="3"/>
      <c r="DS185" s="1" t="str">
        <f>_xlfn.XLOOKUP(OfficeForms.Table[[#This Row],[Selecione a Categoria do Laboratório desta atividade prática:]],Planilha1!A:A,Planilha1!B:B)</f>
        <v>NTR</v>
      </c>
      <c r="DT185" s="1" t="str">
        <f>CONCATENATE(OfficeForms.Table[[#This Row],[Selecione seu Polo Laboratório de Atividades Presenciais:]],OfficeForms.Table[[#This Row],[CHAVE CONVERSÃO]])</f>
        <v>São Pedro da Aldeia/RJNTR</v>
      </c>
      <c r="DU18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Terapia nutricional enteral e suplementação oral</v>
      </c>
      <c r="DV18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18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185" s="1" t="str">
        <f>_xlfn.XLOOKUP(OfficeForms.Table[[#This Row],[CHAVE LINK POLO]],'[1]Quadro Geral de Lotação'!$B:$B,'[1]Quadro Geral de Lotação'!$I:$I)</f>
        <v>Natalia Silva De Mattos</v>
      </c>
      <c r="DY185" s="1" t="str">
        <f>OfficeForms.Table[[#This Row],[Selecione a Ordem de Disciplina]]</f>
        <v>Ordem 1</v>
      </c>
    </row>
    <row r="186" spans="1:129" ht="34.15" customHeight="1">
      <c r="A186" s="1">
        <v>186</v>
      </c>
      <c r="B186" s="2">
        <v>46092.942696759303</v>
      </c>
      <c r="C186" s="2">
        <v>46092.948634259301</v>
      </c>
      <c r="D186" s="3" t="s">
        <v>357</v>
      </c>
      <c r="E186" s="3" t="s">
        <v>358</v>
      </c>
      <c r="G186" s="3"/>
      <c r="I186" s="3" t="s">
        <v>359</v>
      </c>
      <c r="K186" s="3"/>
      <c r="L186" s="1" t="s">
        <v>132</v>
      </c>
      <c r="O186" s="3" t="s">
        <v>156</v>
      </c>
      <c r="Q186" s="3"/>
      <c r="R186" s="3"/>
      <c r="T186" s="3"/>
      <c r="U186" s="5"/>
      <c r="W186" s="3"/>
      <c r="Z186" s="3"/>
      <c r="AA186" s="3"/>
      <c r="AC186" s="3"/>
      <c r="AD186" s="3"/>
      <c r="AF186" s="3"/>
      <c r="AG186" s="3"/>
      <c r="AI186" s="3"/>
      <c r="AJ186" s="1"/>
      <c r="AL186" s="3"/>
      <c r="AO186" s="3"/>
      <c r="AP186" s="3"/>
      <c r="AR186" s="3"/>
      <c r="AS186" s="3"/>
      <c r="AU186" s="3"/>
      <c r="AV186" s="3"/>
      <c r="AX186" s="3"/>
      <c r="AY186" s="5"/>
      <c r="BA186" s="3"/>
      <c r="BD186" s="3"/>
      <c r="BE186" s="3"/>
      <c r="BG186" s="3"/>
      <c r="BH186" s="3"/>
      <c r="BJ186" s="3"/>
      <c r="BK186" s="3" t="s">
        <v>748</v>
      </c>
      <c r="BM186" s="3"/>
      <c r="BN186" s="5">
        <v>46090</v>
      </c>
      <c r="BP186" s="3"/>
      <c r="BQ186" s="1">
        <v>0</v>
      </c>
      <c r="BS186" s="3"/>
      <c r="BT186" s="3" t="s">
        <v>749</v>
      </c>
      <c r="BV186" s="3"/>
      <c r="BW186" s="3" t="s">
        <v>750</v>
      </c>
      <c r="BY186" s="3"/>
      <c r="BZ186" s="3"/>
      <c r="CB186" s="3"/>
      <c r="CC186" s="5"/>
      <c r="CE186" s="3"/>
      <c r="CH186" s="3"/>
      <c r="CI186" s="3"/>
      <c r="CK186" s="3"/>
      <c r="CL186" s="3"/>
      <c r="CN186" s="3"/>
      <c r="CO186" s="3"/>
      <c r="CQ186" s="3"/>
      <c r="CR186" s="5"/>
      <c r="CT186" s="3"/>
      <c r="CW186" s="3"/>
      <c r="CX186" s="3"/>
      <c r="CZ186" s="3"/>
      <c r="DA186" s="3"/>
      <c r="DC186" s="3"/>
      <c r="DD186" s="3"/>
      <c r="DF186" s="3"/>
      <c r="DG186" s="5"/>
      <c r="DI186" s="3"/>
      <c r="DL186" s="3"/>
      <c r="DM186" s="3"/>
      <c r="DO186" s="3"/>
      <c r="DP186" s="3"/>
      <c r="DR186" s="3"/>
      <c r="DS186" s="1" t="str">
        <f>_xlfn.XLOOKUP(OfficeForms.Table[[#This Row],[Selecione a Categoria do Laboratório desta atividade prática:]],Planilha1!A:A,Planilha1!B:B)</f>
        <v>NTR</v>
      </c>
      <c r="DT186" s="1" t="str">
        <f>CONCATENATE(OfficeForms.Table[[#This Row],[Selecione seu Polo Laboratório de Atividades Presenciais:]],OfficeForms.Table[[#This Row],[CHAVE CONVERSÃO]])</f>
        <v>São Pedro da Aldeia/RJNTR</v>
      </c>
      <c r="DU18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Dietas hospitalares</v>
      </c>
      <c r="DV18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18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86" s="1" t="str">
        <f>_xlfn.XLOOKUP(OfficeForms.Table[[#This Row],[CHAVE LINK POLO]],'[1]Quadro Geral de Lotação'!$B:$B,'[1]Quadro Geral de Lotação'!$I:$I)</f>
        <v>Natalia Silva De Mattos</v>
      </c>
      <c r="DY186" s="1" t="str">
        <f>OfficeForms.Table[[#This Row],[Selecione a Ordem de Disciplina]]</f>
        <v>Ordem 1</v>
      </c>
    </row>
    <row r="187" spans="1:129" ht="34.15" customHeight="1">
      <c r="A187" s="1">
        <v>187</v>
      </c>
      <c r="B187" s="2">
        <v>46092.953865740703</v>
      </c>
      <c r="C187" s="2">
        <v>46092.969340277799</v>
      </c>
      <c r="D187" s="3" t="s">
        <v>751</v>
      </c>
      <c r="E187" s="3" t="s">
        <v>752</v>
      </c>
      <c r="G187" s="3"/>
      <c r="I187" s="3" t="s">
        <v>753</v>
      </c>
      <c r="K187" s="3"/>
      <c r="L187" s="1" t="s">
        <v>132</v>
      </c>
      <c r="O187" s="3" t="s">
        <v>184</v>
      </c>
      <c r="Q187" s="3"/>
      <c r="R187" s="3"/>
      <c r="T187" s="3"/>
      <c r="U187" s="5"/>
      <c r="W187" s="3"/>
      <c r="Z187" s="3"/>
      <c r="AA187" s="3"/>
      <c r="AC187" s="3"/>
      <c r="AD187" s="3"/>
      <c r="AF187" s="3"/>
      <c r="AG187" s="3" t="s">
        <v>185</v>
      </c>
      <c r="AI187" s="3"/>
      <c r="AJ187" s="1">
        <v>46091</v>
      </c>
      <c r="AL187" s="3"/>
      <c r="AM187" s="1">
        <v>6</v>
      </c>
      <c r="AO187" s="3"/>
      <c r="AP187" s="3" t="s">
        <v>754</v>
      </c>
      <c r="AR187" s="3"/>
      <c r="AS187" s="3" t="s">
        <v>755</v>
      </c>
      <c r="AU187" s="3"/>
      <c r="AV187" s="3"/>
      <c r="AX187" s="3"/>
      <c r="AY187" s="5"/>
      <c r="BA187" s="3"/>
      <c r="BD187" s="3"/>
      <c r="BE187" s="3"/>
      <c r="BG187" s="3"/>
      <c r="BH187" s="3"/>
      <c r="BJ187" s="3"/>
      <c r="BK187" s="3"/>
      <c r="BM187" s="3"/>
      <c r="BN187" s="5"/>
      <c r="BP187" s="3"/>
      <c r="BS187" s="3"/>
      <c r="BT187" s="3"/>
      <c r="BV187" s="3"/>
      <c r="BW187" s="3"/>
      <c r="BY187" s="3"/>
      <c r="BZ187" s="3"/>
      <c r="CB187" s="3"/>
      <c r="CC187" s="5"/>
      <c r="CE187" s="3"/>
      <c r="CH187" s="3"/>
      <c r="CI187" s="3"/>
      <c r="CK187" s="3"/>
      <c r="CL187" s="3"/>
      <c r="CN187" s="3"/>
      <c r="CO187" s="3"/>
      <c r="CQ187" s="3"/>
      <c r="CR187" s="5"/>
      <c r="CT187" s="3"/>
      <c r="CW187" s="3"/>
      <c r="CX187" s="3"/>
      <c r="CZ187" s="3"/>
      <c r="DA187" s="3"/>
      <c r="DC187" s="3"/>
      <c r="DD187" s="3"/>
      <c r="DF187" s="3"/>
      <c r="DG187" s="5"/>
      <c r="DI187" s="3"/>
      <c r="DL187" s="3"/>
      <c r="DM187" s="3"/>
      <c r="DO187" s="3"/>
      <c r="DP187" s="3"/>
      <c r="DR187" s="3"/>
      <c r="DS187" s="1" t="str">
        <f>_xlfn.XLOOKUP(OfficeForms.Table[[#This Row],[Selecione a Categoria do Laboratório desta atividade prática:]],Planilha1!A:A,Planilha1!B:B)</f>
        <v>EMF-ISN</v>
      </c>
      <c r="DT187" s="1" t="str">
        <f>CONCATENATE(OfficeForms.Table[[#This Row],[Selecione seu Polo Laboratório de Atividades Presenciais:]],OfficeForms.Table[[#This Row],[CHAVE CONVERSÃO]])</f>
        <v>São Paulo/SP - TatuapéEMF-ISN</v>
      </c>
      <c r="DU18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18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18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187" s="1" t="str">
        <f>_xlfn.XLOOKUP(OfficeForms.Table[[#This Row],[CHAVE LINK POLO]],'[1]Quadro Geral de Lotação'!$B:$B,'[1]Quadro Geral de Lotação'!$I:$I)</f>
        <v>Luiz Dias Da Silva</v>
      </c>
      <c r="DY187" s="1" t="str">
        <f>OfficeForms.Table[[#This Row],[Selecione a Ordem de Disciplina]]</f>
        <v>Ordem 1</v>
      </c>
    </row>
    <row r="188" spans="1:129" ht="34.15" customHeight="1">
      <c r="A188" s="1">
        <v>188</v>
      </c>
      <c r="B188" s="2">
        <v>46093.334513888898</v>
      </c>
      <c r="C188" s="2">
        <v>46093.336273148103</v>
      </c>
      <c r="D188" s="3" t="s">
        <v>306</v>
      </c>
      <c r="E188" s="3" t="s">
        <v>307</v>
      </c>
      <c r="G188" s="3"/>
      <c r="I188" s="3" t="s">
        <v>308</v>
      </c>
      <c r="K188" s="3"/>
      <c r="L188" s="1" t="s">
        <v>132</v>
      </c>
      <c r="O188" s="3" t="s">
        <v>133</v>
      </c>
      <c r="Q188" s="3"/>
      <c r="R188" s="3"/>
      <c r="T188" s="3"/>
      <c r="U188" s="5"/>
      <c r="W188" s="3"/>
      <c r="Z188" s="3"/>
      <c r="AA188" s="3"/>
      <c r="AC188" s="3"/>
      <c r="AD188" s="3"/>
      <c r="AF188" s="3"/>
      <c r="AG188" s="3"/>
      <c r="AI188" s="3"/>
      <c r="AJ188" s="1"/>
      <c r="AL188" s="3"/>
      <c r="AO188" s="3"/>
      <c r="AP188" s="3"/>
      <c r="AR188" s="3"/>
      <c r="AS188" s="3"/>
      <c r="AU188" s="3"/>
      <c r="AV188" s="3" t="s">
        <v>276</v>
      </c>
      <c r="AX188" s="3"/>
      <c r="AY188" s="5">
        <v>46092</v>
      </c>
      <c r="BA188" s="3"/>
      <c r="BB188" s="1">
        <v>0</v>
      </c>
      <c r="BD188" s="3"/>
      <c r="BE188" s="3" t="s">
        <v>756</v>
      </c>
      <c r="BG188" s="3"/>
      <c r="BH188" s="3" t="s">
        <v>757</v>
      </c>
      <c r="BJ188" s="3"/>
      <c r="BK188" s="3"/>
      <c r="BM188" s="3"/>
      <c r="BN188" s="5"/>
      <c r="BP188" s="3"/>
      <c r="BS188" s="3"/>
      <c r="BT188" s="3"/>
      <c r="BV188" s="3"/>
      <c r="BW188" s="3"/>
      <c r="BY188" s="3"/>
      <c r="BZ188" s="3"/>
      <c r="CB188" s="3"/>
      <c r="CC188" s="5"/>
      <c r="CE188" s="3"/>
      <c r="CH188" s="3"/>
      <c r="CI188" s="3"/>
      <c r="CK188" s="3"/>
      <c r="CL188" s="3"/>
      <c r="CN188" s="3"/>
      <c r="CO188" s="3"/>
      <c r="CQ188" s="3"/>
      <c r="CR188" s="5"/>
      <c r="CT188" s="3"/>
      <c r="CW188" s="3"/>
      <c r="CX188" s="3"/>
      <c r="CZ188" s="3"/>
      <c r="DA188" s="3"/>
      <c r="DC188" s="3"/>
      <c r="DD188" s="3"/>
      <c r="DF188" s="3"/>
      <c r="DG188" s="5"/>
      <c r="DI188" s="3"/>
      <c r="DL188" s="3"/>
      <c r="DM188" s="3"/>
      <c r="DO188" s="3"/>
      <c r="DP188" s="3"/>
      <c r="DR188" s="3"/>
      <c r="DS188" s="1" t="str">
        <f>_xlfn.XLOOKUP(OfficeForms.Table[[#This Row],[Selecione a Categoria do Laboratório desta atividade prática:]],Planilha1!A:A,Planilha1!B:B)</f>
        <v>BFI</v>
      </c>
      <c r="DT188" s="1" t="str">
        <f>CONCATENATE(OfficeForms.Table[[#This Row],[Selecione seu Polo Laboratório de Atividades Presenciais:]],OfficeForms.Table[[#This Row],[CHAVE CONVERSÃO]])</f>
        <v>Salvador/BA - Caminho das ÁrvoresBFI</v>
      </c>
      <c r="DU18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Limpeza de Pele Facial e avaliação facial</v>
      </c>
      <c r="DV18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18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88" s="1" t="str">
        <f>_xlfn.XLOOKUP(OfficeForms.Table[[#This Row],[CHAVE LINK POLO]],'[1]Quadro Geral de Lotação'!$B:$B,'[1]Quadro Geral de Lotação'!$I:$I)</f>
        <v>Helenice Sacramento Souza Melo</v>
      </c>
      <c r="DY188" s="1" t="str">
        <f>OfficeForms.Table[[#This Row],[Selecione a Ordem de Disciplina]]</f>
        <v>Ordem 1</v>
      </c>
    </row>
    <row r="189" spans="1:129" ht="34.15" customHeight="1">
      <c r="A189" s="1">
        <v>189</v>
      </c>
      <c r="B189" s="2">
        <v>46093.360509259299</v>
      </c>
      <c r="C189" s="2">
        <v>46093.3666898148</v>
      </c>
      <c r="D189" s="3" t="s">
        <v>543</v>
      </c>
      <c r="E189" s="3" t="s">
        <v>544</v>
      </c>
      <c r="G189" s="3"/>
      <c r="I189" s="3" t="s">
        <v>545</v>
      </c>
      <c r="K189" s="3"/>
      <c r="L189" s="1" t="s">
        <v>132</v>
      </c>
      <c r="O189" s="3" t="s">
        <v>140</v>
      </c>
      <c r="Q189" s="3"/>
      <c r="R189" s="3"/>
      <c r="T189" s="3"/>
      <c r="U189" s="5"/>
      <c r="W189" s="3"/>
      <c r="Z189" s="3"/>
      <c r="AA189" s="3"/>
      <c r="AC189" s="3"/>
      <c r="AD189" s="3"/>
      <c r="AF189" s="3"/>
      <c r="AG189" s="3"/>
      <c r="AI189" s="3"/>
      <c r="AJ189" s="1"/>
      <c r="AL189" s="3"/>
      <c r="AO189" s="3"/>
      <c r="AP189" s="3"/>
      <c r="AR189" s="3"/>
      <c r="AS189" s="3"/>
      <c r="AU189" s="3"/>
      <c r="AV189" s="3"/>
      <c r="AX189" s="3"/>
      <c r="AY189" s="5"/>
      <c r="BA189" s="3"/>
      <c r="BD189" s="3"/>
      <c r="BE189" s="3"/>
      <c r="BG189" s="3"/>
      <c r="BH189" s="3"/>
      <c r="BJ189" s="3"/>
      <c r="BK189" s="3"/>
      <c r="BM189" s="3"/>
      <c r="BN189" s="5"/>
      <c r="BP189" s="3"/>
      <c r="BS189" s="3"/>
      <c r="BT189" s="3"/>
      <c r="BV189" s="3"/>
      <c r="BW189" s="3"/>
      <c r="BY189" s="3"/>
      <c r="BZ189" s="3" t="s">
        <v>758</v>
      </c>
      <c r="CB189" s="3"/>
      <c r="CC189" s="5">
        <v>46092</v>
      </c>
      <c r="CE189" s="3"/>
      <c r="CF189" s="1">
        <v>0</v>
      </c>
      <c r="CH189" s="3"/>
      <c r="CI189" s="3" t="s">
        <v>759</v>
      </c>
      <c r="CK189" s="3"/>
      <c r="CL189" s="3" t="s">
        <v>760</v>
      </c>
      <c r="CN189" s="3"/>
      <c r="CO189" s="3"/>
      <c r="CQ189" s="3"/>
      <c r="CR189" s="5"/>
      <c r="CT189" s="3"/>
      <c r="CW189" s="3"/>
      <c r="CX189" s="3"/>
      <c r="CZ189" s="3"/>
      <c r="DA189" s="3"/>
      <c r="DC189" s="3"/>
      <c r="DD189" s="3"/>
      <c r="DF189" s="3"/>
      <c r="DG189" s="5"/>
      <c r="DI189" s="3"/>
      <c r="DL189" s="3"/>
      <c r="DM189" s="3"/>
      <c r="DO189" s="3"/>
      <c r="DP189" s="3"/>
      <c r="DR189" s="3"/>
      <c r="DS189" s="1" t="str">
        <f>_xlfn.XLOOKUP(OfficeForms.Table[[#This Row],[Selecione a Categoria do Laboratório desta atividade prática:]],Planilha1!A:A,Planilha1!B:B)</f>
        <v>ECE-ENM-ENS-ENG-EEA-GPI-CDE-OBR-SAN-TER-FSA-SLF-QUI</v>
      </c>
      <c r="DT189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18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Índice De Refração Relativo De Um Par De Meios</v>
      </c>
      <c r="DV18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18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189" s="1" t="e">
        <f>_xlfn.XLOOKUP(OfficeForms.Table[[#This Row],[CHAVE LINK POLO]],'[1]Quadro Geral de Lotação'!$B:$B,'[1]Quadro Geral de Lotação'!$I:$I)</f>
        <v>#N/A</v>
      </c>
      <c r="DY189" s="1" t="str">
        <f>OfficeForms.Table[[#This Row],[Selecione a Ordem de Disciplina]]</f>
        <v>Ordem 1</v>
      </c>
    </row>
    <row r="190" spans="1:129" ht="34.15" customHeight="1">
      <c r="A190" s="1">
        <v>190</v>
      </c>
      <c r="B190" s="2">
        <v>46093.484120370398</v>
      </c>
      <c r="C190" s="2">
        <v>46093.484861111101</v>
      </c>
      <c r="D190" s="3" t="s">
        <v>160</v>
      </c>
      <c r="E190" s="3" t="s">
        <v>161</v>
      </c>
      <c r="G190" s="3"/>
      <c r="I190" s="3" t="s">
        <v>162</v>
      </c>
      <c r="K190" s="3"/>
      <c r="L190" s="1" t="s">
        <v>132</v>
      </c>
      <c r="O190" s="3" t="s">
        <v>156</v>
      </c>
      <c r="Q190" s="3"/>
      <c r="R190" s="3"/>
      <c r="T190" s="3"/>
      <c r="U190" s="5"/>
      <c r="W190" s="3"/>
      <c r="Z190" s="3"/>
      <c r="AA190" s="3"/>
      <c r="AC190" s="3"/>
      <c r="AD190" s="3"/>
      <c r="AF190" s="3"/>
      <c r="AG190" s="3"/>
      <c r="AI190" s="3"/>
      <c r="AJ190" s="1"/>
      <c r="AL190" s="3"/>
      <c r="AO190" s="3"/>
      <c r="AP190" s="3"/>
      <c r="AR190" s="3"/>
      <c r="AS190" s="3"/>
      <c r="AU190" s="3"/>
      <c r="AV190" s="3"/>
      <c r="AX190" s="3"/>
      <c r="AY190" s="5"/>
      <c r="BA190" s="3"/>
      <c r="BD190" s="3"/>
      <c r="BE190" s="3"/>
      <c r="BG190" s="3"/>
      <c r="BH190" s="3"/>
      <c r="BJ190" s="3"/>
      <c r="BK190" s="3" t="s">
        <v>748</v>
      </c>
      <c r="BM190" s="3"/>
      <c r="BN190" s="5">
        <v>46086</v>
      </c>
      <c r="BP190" s="3"/>
      <c r="BQ190" s="1">
        <v>2</v>
      </c>
      <c r="BS190" s="3"/>
      <c r="BT190" s="3" t="s">
        <v>761</v>
      </c>
      <c r="BV190" s="3"/>
      <c r="BW190" s="3" t="s">
        <v>762</v>
      </c>
      <c r="BY190" s="3"/>
      <c r="BZ190" s="3"/>
      <c r="CB190" s="3"/>
      <c r="CC190" s="5"/>
      <c r="CE190" s="3"/>
      <c r="CH190" s="3"/>
      <c r="CI190" s="3"/>
      <c r="CK190" s="3"/>
      <c r="CL190" s="3"/>
      <c r="CN190" s="3"/>
      <c r="CO190" s="3"/>
      <c r="CQ190" s="3"/>
      <c r="CR190" s="5"/>
      <c r="CT190" s="3"/>
      <c r="CW190" s="3"/>
      <c r="CX190" s="3"/>
      <c r="CZ190" s="3"/>
      <c r="DA190" s="3"/>
      <c r="DC190" s="3"/>
      <c r="DD190" s="3"/>
      <c r="DF190" s="3"/>
      <c r="DG190" s="5"/>
      <c r="DI190" s="3"/>
      <c r="DL190" s="3"/>
      <c r="DM190" s="3"/>
      <c r="DO190" s="3"/>
      <c r="DP190" s="3"/>
      <c r="DR190" s="3"/>
      <c r="DS190" s="1" t="str">
        <f>_xlfn.XLOOKUP(OfficeForms.Table[[#This Row],[Selecione a Categoria do Laboratório desta atividade prática:]],Planilha1!A:A,Planilha1!B:B)</f>
        <v>NTR</v>
      </c>
      <c r="DT190" s="1" t="str">
        <f>CONCATENATE(OfficeForms.Table[[#This Row],[Selecione seu Polo Laboratório de Atividades Presenciais:]],OfficeForms.Table[[#This Row],[CHAVE CONVERSÃO]])</f>
        <v>Florianópolis/SC - CentroNTR</v>
      </c>
      <c r="DU19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Dietas hospitalares</v>
      </c>
      <c r="DV19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9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90" s="1" t="str">
        <f>_xlfn.XLOOKUP(OfficeForms.Table[[#This Row],[CHAVE LINK POLO]],'[1]Quadro Geral de Lotação'!$B:$B,'[1]Quadro Geral de Lotação'!$I:$I)</f>
        <v>Laura Volpato</v>
      </c>
      <c r="DY190" s="1" t="str">
        <f>OfficeForms.Table[[#This Row],[Selecione a Ordem de Disciplina]]</f>
        <v>Ordem 1</v>
      </c>
    </row>
    <row r="191" spans="1:129" ht="34.15" customHeight="1">
      <c r="A191" s="1">
        <v>191</v>
      </c>
      <c r="B191" s="2">
        <v>46093.484907407401</v>
      </c>
      <c r="C191" s="2">
        <v>46093.486053240696</v>
      </c>
      <c r="D191" s="3" t="s">
        <v>160</v>
      </c>
      <c r="E191" s="3" t="s">
        <v>161</v>
      </c>
      <c r="G191" s="3"/>
      <c r="I191" s="3" t="s">
        <v>162</v>
      </c>
      <c r="K191" s="3"/>
      <c r="L191" s="1" t="s">
        <v>132</v>
      </c>
      <c r="O191" s="3" t="s">
        <v>156</v>
      </c>
      <c r="Q191" s="3"/>
      <c r="R191" s="3"/>
      <c r="T191" s="3"/>
      <c r="U191" s="5"/>
      <c r="W191" s="3"/>
      <c r="Z191" s="3"/>
      <c r="AA191" s="3"/>
      <c r="AC191" s="3"/>
      <c r="AD191" s="3"/>
      <c r="AF191" s="3"/>
      <c r="AG191" s="3"/>
      <c r="AI191" s="3"/>
      <c r="AJ191" s="1"/>
      <c r="AL191" s="3"/>
      <c r="AO191" s="3"/>
      <c r="AP191" s="3"/>
      <c r="AR191" s="3"/>
      <c r="AS191" s="3"/>
      <c r="AU191" s="3"/>
      <c r="AV191" s="3"/>
      <c r="AX191" s="3"/>
      <c r="AY191" s="5"/>
      <c r="BA191" s="3"/>
      <c r="BD191" s="3"/>
      <c r="BE191" s="3"/>
      <c r="BG191" s="3"/>
      <c r="BH191" s="3"/>
      <c r="BJ191" s="3"/>
      <c r="BK191" s="3" t="s">
        <v>260</v>
      </c>
      <c r="BM191" s="3"/>
      <c r="BN191" s="5">
        <v>46086</v>
      </c>
      <c r="BP191" s="3"/>
      <c r="BQ191" s="1">
        <v>4</v>
      </c>
      <c r="BS191" s="3"/>
      <c r="BT191" s="3" t="s">
        <v>763</v>
      </c>
      <c r="BV191" s="3"/>
      <c r="BW191" s="3" t="s">
        <v>764</v>
      </c>
      <c r="BY191" s="3"/>
      <c r="BZ191" s="3"/>
      <c r="CB191" s="3"/>
      <c r="CC191" s="5"/>
      <c r="CE191" s="3"/>
      <c r="CH191" s="3"/>
      <c r="CI191" s="3"/>
      <c r="CK191" s="3"/>
      <c r="CL191" s="3"/>
      <c r="CN191" s="3"/>
      <c r="CO191" s="3"/>
      <c r="CQ191" s="3"/>
      <c r="CR191" s="5"/>
      <c r="CT191" s="3"/>
      <c r="CW191" s="3"/>
      <c r="CX191" s="3"/>
      <c r="CZ191" s="3"/>
      <c r="DA191" s="3"/>
      <c r="DC191" s="3"/>
      <c r="DD191" s="3"/>
      <c r="DF191" s="3"/>
      <c r="DG191" s="5"/>
      <c r="DI191" s="3"/>
      <c r="DL191" s="3"/>
      <c r="DM191" s="3"/>
      <c r="DO191" s="3"/>
      <c r="DP191" s="3"/>
      <c r="DR191" s="3"/>
      <c r="DS191" s="1" t="str">
        <f>_xlfn.XLOOKUP(OfficeForms.Table[[#This Row],[Selecione a Categoria do Laboratório desta atividade prática:]],Planilha1!A:A,Planilha1!B:B)</f>
        <v>NTR</v>
      </c>
      <c r="DT191" s="1" t="str">
        <f>CONCATENATE(OfficeForms.Table[[#This Row],[Selecione seu Polo Laboratório de Atividades Presenciais:]],OfficeForms.Table[[#This Row],[CHAVE CONVERSÃO]])</f>
        <v>Florianópolis/SC - CentroNTR</v>
      </c>
      <c r="DU19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Terapia nutricional enteral e suplementação oral</v>
      </c>
      <c r="DV19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9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191" s="1" t="str">
        <f>_xlfn.XLOOKUP(OfficeForms.Table[[#This Row],[CHAVE LINK POLO]],'[1]Quadro Geral de Lotação'!$B:$B,'[1]Quadro Geral de Lotação'!$I:$I)</f>
        <v>Laura Volpato</v>
      </c>
      <c r="DY191" s="1" t="str">
        <f>OfficeForms.Table[[#This Row],[Selecione a Ordem de Disciplina]]</f>
        <v>Ordem 1</v>
      </c>
    </row>
    <row r="192" spans="1:129" ht="34.15" customHeight="1">
      <c r="A192" s="1">
        <v>192</v>
      </c>
      <c r="B192" s="2">
        <v>46093.639398148203</v>
      </c>
      <c r="C192" s="2">
        <v>46093.644664351901</v>
      </c>
      <c r="D192" s="3" t="s">
        <v>765</v>
      </c>
      <c r="E192" s="3" t="s">
        <v>766</v>
      </c>
      <c r="G192" s="3"/>
      <c r="I192" s="3" t="s">
        <v>767</v>
      </c>
      <c r="K192" s="3"/>
      <c r="L192" s="1" t="s">
        <v>132</v>
      </c>
      <c r="O192" s="3" t="s">
        <v>184</v>
      </c>
      <c r="Q192" s="3"/>
      <c r="R192" s="3"/>
      <c r="T192" s="3"/>
      <c r="U192" s="5"/>
      <c r="W192" s="3"/>
      <c r="Z192" s="3"/>
      <c r="AA192" s="3"/>
      <c r="AC192" s="3"/>
      <c r="AD192" s="3"/>
      <c r="AF192" s="3"/>
      <c r="AG192" s="3" t="s">
        <v>224</v>
      </c>
      <c r="AI192" s="3"/>
      <c r="AJ192" s="1">
        <v>46077</v>
      </c>
      <c r="AL192" s="3"/>
      <c r="AM192" s="1">
        <v>13</v>
      </c>
      <c r="AO192" s="3"/>
      <c r="AP192" s="3" t="s">
        <v>768</v>
      </c>
      <c r="AR192" s="3"/>
      <c r="AS192" s="3" t="s">
        <v>769</v>
      </c>
      <c r="AU192" s="3"/>
      <c r="AV192" s="3"/>
      <c r="AX192" s="3"/>
      <c r="AY192" s="5"/>
      <c r="BA192" s="3"/>
      <c r="BD192" s="3"/>
      <c r="BE192" s="3"/>
      <c r="BG192" s="3"/>
      <c r="BH192" s="3"/>
      <c r="BJ192" s="3"/>
      <c r="BK192" s="3"/>
      <c r="BM192" s="3"/>
      <c r="BN192" s="5"/>
      <c r="BP192" s="3"/>
      <c r="BS192" s="3"/>
      <c r="BT192" s="3"/>
      <c r="BV192" s="3"/>
      <c r="BW192" s="3"/>
      <c r="BY192" s="3"/>
      <c r="BZ192" s="3"/>
      <c r="CB192" s="3"/>
      <c r="CC192" s="5"/>
      <c r="CE192" s="3"/>
      <c r="CH192" s="3"/>
      <c r="CI192" s="3"/>
      <c r="CK192" s="3"/>
      <c r="CL192" s="3"/>
      <c r="CN192" s="3"/>
      <c r="CO192" s="3"/>
      <c r="CQ192" s="3"/>
      <c r="CR192" s="5"/>
      <c r="CT192" s="3"/>
      <c r="CW192" s="3"/>
      <c r="CX192" s="3"/>
      <c r="CZ192" s="3"/>
      <c r="DA192" s="3"/>
      <c r="DC192" s="3"/>
      <c r="DD192" s="3"/>
      <c r="DF192" s="3"/>
      <c r="DG192" s="5"/>
      <c r="DI192" s="3"/>
      <c r="DL192" s="3"/>
      <c r="DM192" s="3"/>
      <c r="DO192" s="3"/>
      <c r="DP192" s="3"/>
      <c r="DR192" s="3"/>
      <c r="DS192" s="1" t="str">
        <f>_xlfn.XLOOKUP(OfficeForms.Table[[#This Row],[Selecione a Categoria do Laboratório desta atividade prática:]],Planilha1!A:A,Planilha1!B:B)</f>
        <v>EMF-ISN</v>
      </c>
      <c r="DT192" s="1" t="str">
        <f>CONCATENATE(OfficeForms.Table[[#This Row],[Selecione seu Polo Laboratório de Atividades Presenciais:]],OfficeForms.Table[[#This Row],[CHAVE CONVERSÃO]])</f>
        <v>Livramento de Nossa Senhora/BAEMF-ISN</v>
      </c>
      <c r="DU19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19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19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192" s="1" t="str">
        <f>_xlfn.XLOOKUP(OfficeForms.Table[[#This Row],[CHAVE LINK POLO]],'[1]Quadro Geral de Lotação'!$B:$B,'[1]Quadro Geral de Lotação'!$I:$I)</f>
        <v>Nadia Carla Rodrigues Azevedo</v>
      </c>
      <c r="DY192" s="1" t="str">
        <f>OfficeForms.Table[[#This Row],[Selecione a Ordem de Disciplina]]</f>
        <v>Ordem 1</v>
      </c>
    </row>
    <row r="193" spans="1:129" ht="34.15" customHeight="1">
      <c r="A193" s="1">
        <v>193</v>
      </c>
      <c r="B193" s="2">
        <v>46093.648680555598</v>
      </c>
      <c r="C193" s="2">
        <v>46093.652974536999</v>
      </c>
      <c r="D193" s="3" t="s">
        <v>765</v>
      </c>
      <c r="E193" s="3" t="s">
        <v>766</v>
      </c>
      <c r="G193" s="3"/>
      <c r="I193" s="3" t="s">
        <v>767</v>
      </c>
      <c r="K193" s="3"/>
      <c r="L193" s="1" t="s">
        <v>132</v>
      </c>
      <c r="O193" s="3" t="s">
        <v>184</v>
      </c>
      <c r="Q193" s="3"/>
      <c r="R193" s="3"/>
      <c r="T193" s="3"/>
      <c r="U193" s="5"/>
      <c r="W193" s="3"/>
      <c r="Z193" s="3"/>
      <c r="AA193" s="3"/>
      <c r="AC193" s="3"/>
      <c r="AD193" s="3"/>
      <c r="AF193" s="3"/>
      <c r="AG193" s="3" t="s">
        <v>194</v>
      </c>
      <c r="AI193" s="3"/>
      <c r="AJ193" s="1">
        <v>46084</v>
      </c>
      <c r="AL193" s="3"/>
      <c r="AM193" s="1">
        <v>2</v>
      </c>
      <c r="AO193" s="3"/>
      <c r="AP193" s="3" t="s">
        <v>770</v>
      </c>
      <c r="AR193" s="3"/>
      <c r="AS193" s="3" t="s">
        <v>771</v>
      </c>
      <c r="AU193" s="3"/>
      <c r="AV193" s="3"/>
      <c r="AX193" s="3"/>
      <c r="AY193" s="5"/>
      <c r="BA193" s="3"/>
      <c r="BD193" s="3"/>
      <c r="BE193" s="3"/>
      <c r="BG193" s="3"/>
      <c r="BH193" s="3"/>
      <c r="BJ193" s="3"/>
      <c r="BK193" s="3"/>
      <c r="BM193" s="3"/>
      <c r="BN193" s="5"/>
      <c r="BP193" s="3"/>
      <c r="BS193" s="3"/>
      <c r="BT193" s="3"/>
      <c r="BV193" s="3"/>
      <c r="BW193" s="3"/>
      <c r="BY193" s="3"/>
      <c r="BZ193" s="3"/>
      <c r="CB193" s="3"/>
      <c r="CC193" s="5"/>
      <c r="CE193" s="3"/>
      <c r="CH193" s="3"/>
      <c r="CI193" s="3"/>
      <c r="CK193" s="3"/>
      <c r="CL193" s="3"/>
      <c r="CN193" s="3"/>
      <c r="CO193" s="3"/>
      <c r="CQ193" s="3"/>
      <c r="CR193" s="5"/>
      <c r="CT193" s="3"/>
      <c r="CW193" s="3"/>
      <c r="CX193" s="3"/>
      <c r="CZ193" s="3"/>
      <c r="DA193" s="3"/>
      <c r="DC193" s="3"/>
      <c r="DD193" s="3"/>
      <c r="DF193" s="3"/>
      <c r="DG193" s="5"/>
      <c r="DI193" s="3"/>
      <c r="DL193" s="3"/>
      <c r="DM193" s="3"/>
      <c r="DO193" s="3"/>
      <c r="DP193" s="3"/>
      <c r="DR193" s="3"/>
      <c r="DS193" s="1" t="str">
        <f>_xlfn.XLOOKUP(OfficeForms.Table[[#This Row],[Selecione a Categoria do Laboratório desta atividade prática:]],Planilha1!A:A,Planilha1!B:B)</f>
        <v>EMF-ISN</v>
      </c>
      <c r="DT193" s="1" t="str">
        <f>CONCATENATE(OfficeForms.Table[[#This Row],[Selecione seu Polo Laboratório de Atividades Presenciais:]],OfficeForms.Table[[#This Row],[CHAVE CONVERSÃO]])</f>
        <v>Livramento de Nossa Senhora/BAEMF-ISN</v>
      </c>
      <c r="DU19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19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19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193" s="1" t="str">
        <f>_xlfn.XLOOKUP(OfficeForms.Table[[#This Row],[CHAVE LINK POLO]],'[1]Quadro Geral de Lotação'!$B:$B,'[1]Quadro Geral de Lotação'!$I:$I)</f>
        <v>Nadia Carla Rodrigues Azevedo</v>
      </c>
      <c r="DY193" s="1" t="str">
        <f>OfficeForms.Table[[#This Row],[Selecione a Ordem de Disciplina]]</f>
        <v>Ordem 1</v>
      </c>
    </row>
    <row r="194" spans="1:129" ht="34.15" customHeight="1">
      <c r="A194" s="1">
        <v>194</v>
      </c>
      <c r="B194" s="2">
        <v>46093.653321759302</v>
      </c>
      <c r="C194" s="2">
        <v>46093.654664351903</v>
      </c>
      <c r="D194" s="3" t="s">
        <v>765</v>
      </c>
      <c r="E194" s="3" t="s">
        <v>766</v>
      </c>
      <c r="G194" s="3"/>
      <c r="I194" s="3" t="s">
        <v>767</v>
      </c>
      <c r="K194" s="3"/>
      <c r="L194" s="1" t="s">
        <v>132</v>
      </c>
      <c r="O194" s="3" t="s">
        <v>184</v>
      </c>
      <c r="Q194" s="3"/>
      <c r="R194" s="3"/>
      <c r="T194" s="3"/>
      <c r="U194" s="5"/>
      <c r="W194" s="3"/>
      <c r="Z194" s="3"/>
      <c r="AA194" s="3"/>
      <c r="AC194" s="3"/>
      <c r="AD194" s="3"/>
      <c r="AF194" s="3"/>
      <c r="AG194" s="3" t="s">
        <v>322</v>
      </c>
      <c r="AI194" s="3"/>
      <c r="AJ194" s="1">
        <v>46085</v>
      </c>
      <c r="AL194" s="3"/>
      <c r="AM194" s="1">
        <v>7</v>
      </c>
      <c r="AO194" s="3"/>
      <c r="AP194" s="3" t="s">
        <v>772</v>
      </c>
      <c r="AR194" s="3"/>
      <c r="AS194" s="3" t="s">
        <v>773</v>
      </c>
      <c r="AU194" s="3"/>
      <c r="AV194" s="3"/>
      <c r="AX194" s="3"/>
      <c r="AY194" s="5"/>
      <c r="BA194" s="3"/>
      <c r="BD194" s="3"/>
      <c r="BE194" s="3"/>
      <c r="BG194" s="3"/>
      <c r="BH194" s="3"/>
      <c r="BJ194" s="3"/>
      <c r="BK194" s="3"/>
      <c r="BM194" s="3"/>
      <c r="BN194" s="5"/>
      <c r="BP194" s="3"/>
      <c r="BS194" s="3"/>
      <c r="BT194" s="3"/>
      <c r="BV194" s="3"/>
      <c r="BW194" s="3"/>
      <c r="BY194" s="3"/>
      <c r="BZ194" s="3"/>
      <c r="CB194" s="3"/>
      <c r="CC194" s="5"/>
      <c r="CE194" s="3"/>
      <c r="CH194" s="3"/>
      <c r="CI194" s="3"/>
      <c r="CK194" s="3"/>
      <c r="CL194" s="3"/>
      <c r="CN194" s="3"/>
      <c r="CO194" s="3"/>
      <c r="CQ194" s="3"/>
      <c r="CR194" s="5"/>
      <c r="CT194" s="3"/>
      <c r="CW194" s="3"/>
      <c r="CX194" s="3"/>
      <c r="CZ194" s="3"/>
      <c r="DA194" s="3"/>
      <c r="DC194" s="3"/>
      <c r="DD194" s="3"/>
      <c r="DF194" s="3"/>
      <c r="DG194" s="5"/>
      <c r="DI194" s="3"/>
      <c r="DL194" s="3"/>
      <c r="DM194" s="3"/>
      <c r="DO194" s="3"/>
      <c r="DP194" s="3"/>
      <c r="DR194" s="3"/>
      <c r="DS194" s="1" t="str">
        <f>_xlfn.XLOOKUP(OfficeForms.Table[[#This Row],[Selecione a Categoria do Laboratório desta atividade prática:]],Planilha1!A:A,Planilha1!B:B)</f>
        <v>EMF-ISN</v>
      </c>
      <c r="DT194" s="1" t="str">
        <f>CONCATENATE(OfficeForms.Table[[#This Row],[Selecione seu Polo Laboratório de Atividades Presenciais:]],OfficeForms.Table[[#This Row],[CHAVE CONVERSÃO]])</f>
        <v>Livramento de Nossa Senhora/BAEMF-ISN</v>
      </c>
      <c r="DU19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19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19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194" s="1" t="str">
        <f>_xlfn.XLOOKUP(OfficeForms.Table[[#This Row],[CHAVE LINK POLO]],'[1]Quadro Geral de Lotação'!$B:$B,'[1]Quadro Geral de Lotação'!$I:$I)</f>
        <v>Nadia Carla Rodrigues Azevedo</v>
      </c>
      <c r="DY194" s="1" t="str">
        <f>OfficeForms.Table[[#This Row],[Selecione a Ordem de Disciplina]]</f>
        <v>Ordem 1</v>
      </c>
    </row>
    <row r="195" spans="1:129" ht="34.15" customHeight="1">
      <c r="A195" s="1">
        <v>195</v>
      </c>
      <c r="B195" s="2">
        <v>46093.732418981497</v>
      </c>
      <c r="C195" s="2">
        <v>46093.740335648203</v>
      </c>
      <c r="D195" s="3" t="s">
        <v>203</v>
      </c>
      <c r="E195" s="3" t="s">
        <v>204</v>
      </c>
      <c r="G195" s="3"/>
      <c r="I195" s="3" t="s">
        <v>205</v>
      </c>
      <c r="K195" s="3"/>
      <c r="L195" s="1" t="s">
        <v>132</v>
      </c>
      <c r="O195" s="3" t="s">
        <v>184</v>
      </c>
      <c r="Q195" s="3"/>
      <c r="R195" s="3"/>
      <c r="T195" s="3"/>
      <c r="U195" s="5"/>
      <c r="W195" s="3"/>
      <c r="Z195" s="3"/>
      <c r="AA195" s="3"/>
      <c r="AC195" s="3"/>
      <c r="AD195" s="3"/>
      <c r="AF195" s="3"/>
      <c r="AG195" s="3" t="s">
        <v>414</v>
      </c>
      <c r="AI195" s="3"/>
      <c r="AJ195" s="1">
        <v>46086</v>
      </c>
      <c r="AL195" s="3"/>
      <c r="AM195" s="1">
        <v>1</v>
      </c>
      <c r="AO195" s="3"/>
      <c r="AP195" s="3" t="s">
        <v>774</v>
      </c>
      <c r="AR195" s="3"/>
      <c r="AS195" s="3" t="s">
        <v>775</v>
      </c>
      <c r="AU195" s="3"/>
      <c r="AV195" s="3"/>
      <c r="AX195" s="3"/>
      <c r="AY195" s="5"/>
      <c r="BA195" s="3"/>
      <c r="BD195" s="3"/>
      <c r="BE195" s="3"/>
      <c r="BG195" s="3"/>
      <c r="BH195" s="3"/>
      <c r="BJ195" s="3"/>
      <c r="BK195" s="3"/>
      <c r="BM195" s="3"/>
      <c r="BN195" s="5"/>
      <c r="BP195" s="3"/>
      <c r="BS195" s="3"/>
      <c r="BT195" s="3"/>
      <c r="BV195" s="3"/>
      <c r="BW195" s="3"/>
      <c r="BY195" s="3"/>
      <c r="BZ195" s="3"/>
      <c r="CB195" s="3"/>
      <c r="CC195" s="5"/>
      <c r="CE195" s="3"/>
      <c r="CH195" s="3"/>
      <c r="CI195" s="3"/>
      <c r="CK195" s="3"/>
      <c r="CL195" s="3"/>
      <c r="CN195" s="3"/>
      <c r="CO195" s="3"/>
      <c r="CQ195" s="3"/>
      <c r="CR195" s="5"/>
      <c r="CT195" s="3"/>
      <c r="CW195" s="3"/>
      <c r="CX195" s="3"/>
      <c r="CZ195" s="3"/>
      <c r="DA195" s="3"/>
      <c r="DC195" s="3"/>
      <c r="DD195" s="3"/>
      <c r="DF195" s="3"/>
      <c r="DG195" s="5"/>
      <c r="DI195" s="3"/>
      <c r="DL195" s="3"/>
      <c r="DM195" s="3"/>
      <c r="DO195" s="3"/>
      <c r="DP195" s="3"/>
      <c r="DR195" s="3"/>
      <c r="DS195" s="1" t="str">
        <f>_xlfn.XLOOKUP(OfficeForms.Table[[#This Row],[Selecione a Categoria do Laboratório desta atividade prática:]],Planilha1!A:A,Planilha1!B:B)</f>
        <v>EMF-ISN</v>
      </c>
      <c r="DT195" s="1" t="str">
        <f>CONCATENATE(OfficeForms.Table[[#This Row],[Selecione seu Polo Laboratório de Atividades Presenciais:]],OfficeForms.Table[[#This Row],[CHAVE CONVERSÃO]])</f>
        <v>Rolim de Moura/ROEMF-ISN</v>
      </c>
      <c r="DU19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19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9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95" s="1" t="str">
        <f>_xlfn.XLOOKUP(OfficeForms.Table[[#This Row],[CHAVE LINK POLO]],'[1]Quadro Geral de Lotação'!$B:$B,'[1]Quadro Geral de Lotação'!$I:$I)</f>
        <v>Quezia Da Silva Dos Anjos Da Silva</v>
      </c>
      <c r="DY195" s="1" t="str">
        <f>OfficeForms.Table[[#This Row],[Selecione a Ordem de Disciplina]]</f>
        <v>Ordem 1</v>
      </c>
    </row>
    <row r="196" spans="1:129" ht="34.15" customHeight="1">
      <c r="A196" s="1">
        <v>196</v>
      </c>
      <c r="B196" s="2">
        <v>46093.740636574097</v>
      </c>
      <c r="C196" s="2">
        <v>46093.744490740697</v>
      </c>
      <c r="D196" s="3" t="s">
        <v>203</v>
      </c>
      <c r="E196" s="3" t="s">
        <v>204</v>
      </c>
      <c r="G196" s="3"/>
      <c r="I196" s="3" t="s">
        <v>205</v>
      </c>
      <c r="K196" s="3"/>
      <c r="L196" s="1" t="s">
        <v>132</v>
      </c>
      <c r="O196" s="3" t="s">
        <v>184</v>
      </c>
      <c r="Q196" s="3"/>
      <c r="R196" s="3"/>
      <c r="T196" s="3"/>
      <c r="U196" s="5"/>
      <c r="W196" s="3"/>
      <c r="Z196" s="3"/>
      <c r="AA196" s="3"/>
      <c r="AC196" s="3"/>
      <c r="AD196" s="3"/>
      <c r="AF196" s="3"/>
      <c r="AG196" s="3" t="s">
        <v>316</v>
      </c>
      <c r="AI196" s="3"/>
      <c r="AJ196" s="1">
        <v>46086</v>
      </c>
      <c r="AL196" s="3"/>
      <c r="AM196" s="1">
        <v>1</v>
      </c>
      <c r="AO196" s="3"/>
      <c r="AP196" s="3" t="s">
        <v>776</v>
      </c>
      <c r="AR196" s="3"/>
      <c r="AS196" s="3" t="s">
        <v>777</v>
      </c>
      <c r="AU196" s="3"/>
      <c r="AV196" s="3"/>
      <c r="AX196" s="3"/>
      <c r="AY196" s="5"/>
      <c r="BA196" s="3"/>
      <c r="BD196" s="3"/>
      <c r="BE196" s="3"/>
      <c r="BG196" s="3"/>
      <c r="BH196" s="3"/>
      <c r="BJ196" s="3"/>
      <c r="BK196" s="3"/>
      <c r="BM196" s="3"/>
      <c r="BN196" s="5"/>
      <c r="BP196" s="3"/>
      <c r="BS196" s="3"/>
      <c r="BT196" s="3"/>
      <c r="BV196" s="3"/>
      <c r="BW196" s="3"/>
      <c r="BY196" s="3"/>
      <c r="BZ196" s="3"/>
      <c r="CB196" s="3"/>
      <c r="CC196" s="5"/>
      <c r="CE196" s="3"/>
      <c r="CH196" s="3"/>
      <c r="CI196" s="3"/>
      <c r="CK196" s="3"/>
      <c r="CL196" s="3"/>
      <c r="CN196" s="3"/>
      <c r="CO196" s="3"/>
      <c r="CQ196" s="3"/>
      <c r="CR196" s="5"/>
      <c r="CT196" s="3"/>
      <c r="CW196" s="3"/>
      <c r="CX196" s="3"/>
      <c r="CZ196" s="3"/>
      <c r="DA196" s="3"/>
      <c r="DC196" s="3"/>
      <c r="DD196" s="3"/>
      <c r="DF196" s="3"/>
      <c r="DG196" s="5"/>
      <c r="DI196" s="3"/>
      <c r="DL196" s="3"/>
      <c r="DM196" s="3"/>
      <c r="DO196" s="3"/>
      <c r="DP196" s="3"/>
      <c r="DR196" s="3"/>
      <c r="DS196" s="1" t="str">
        <f>_xlfn.XLOOKUP(OfficeForms.Table[[#This Row],[Selecione a Categoria do Laboratório desta atividade prática:]],Planilha1!A:A,Planilha1!B:B)</f>
        <v>EMF-ISN</v>
      </c>
      <c r="DT196" s="1" t="str">
        <f>CONCATENATE(OfficeForms.Table[[#This Row],[Selecione seu Polo Laboratório de Atividades Presenciais:]],OfficeForms.Table[[#This Row],[CHAVE CONVERSÃO]])</f>
        <v>Rolim de Moura/ROEMF-ISN</v>
      </c>
      <c r="DU19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19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19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196" s="1" t="str">
        <f>_xlfn.XLOOKUP(OfficeForms.Table[[#This Row],[CHAVE LINK POLO]],'[1]Quadro Geral de Lotação'!$B:$B,'[1]Quadro Geral de Lotação'!$I:$I)</f>
        <v>Quezia Da Silva Dos Anjos Da Silva</v>
      </c>
      <c r="DY196" s="1" t="str">
        <f>OfficeForms.Table[[#This Row],[Selecione a Ordem de Disciplina]]</f>
        <v>Ordem 1</v>
      </c>
    </row>
    <row r="197" spans="1:129" ht="34.15" customHeight="1">
      <c r="A197" s="1">
        <v>197</v>
      </c>
      <c r="B197" s="2">
        <v>46093.752719907403</v>
      </c>
      <c r="C197" s="2">
        <v>46093.754050925898</v>
      </c>
      <c r="D197" s="3" t="s">
        <v>129</v>
      </c>
      <c r="E197" s="3" t="s">
        <v>130</v>
      </c>
      <c r="G197" s="3"/>
      <c r="I197" s="3" t="s">
        <v>131</v>
      </c>
      <c r="K197" s="3"/>
      <c r="L197" s="1" t="s">
        <v>132</v>
      </c>
      <c r="O197" s="3" t="s">
        <v>133</v>
      </c>
      <c r="Q197" s="3"/>
      <c r="R197" s="3"/>
      <c r="T197" s="3"/>
      <c r="U197" s="5"/>
      <c r="W197" s="3"/>
      <c r="Z197" s="3"/>
      <c r="AA197" s="3"/>
      <c r="AC197" s="3"/>
      <c r="AD197" s="3"/>
      <c r="AF197" s="3"/>
      <c r="AG197" s="3"/>
      <c r="AI197" s="3"/>
      <c r="AJ197" s="1"/>
      <c r="AL197" s="3"/>
      <c r="AO197" s="3"/>
      <c r="AP197" s="3"/>
      <c r="AR197" s="3"/>
      <c r="AS197" s="3"/>
      <c r="AU197" s="3"/>
      <c r="AV197" s="3" t="s">
        <v>778</v>
      </c>
      <c r="AX197" s="3"/>
      <c r="AY197" s="5">
        <v>46092</v>
      </c>
      <c r="BA197" s="3"/>
      <c r="BB197" s="1">
        <v>3</v>
      </c>
      <c r="BD197" s="3"/>
      <c r="BE197" s="3" t="s">
        <v>779</v>
      </c>
      <c r="BG197" s="3"/>
      <c r="BH197" s="3" t="s">
        <v>780</v>
      </c>
      <c r="BJ197" s="3"/>
      <c r="BK197" s="3"/>
      <c r="BM197" s="3"/>
      <c r="BN197" s="5"/>
      <c r="BP197" s="3"/>
      <c r="BS197" s="3"/>
      <c r="BT197" s="3"/>
      <c r="BV197" s="3"/>
      <c r="BW197" s="3"/>
      <c r="BY197" s="3"/>
      <c r="BZ197" s="3"/>
      <c r="CB197" s="3"/>
      <c r="CC197" s="5"/>
      <c r="CE197" s="3"/>
      <c r="CH197" s="3"/>
      <c r="CI197" s="3"/>
      <c r="CK197" s="3"/>
      <c r="CL197" s="3"/>
      <c r="CN197" s="3"/>
      <c r="CO197" s="3"/>
      <c r="CQ197" s="3"/>
      <c r="CR197" s="5"/>
      <c r="CT197" s="3"/>
      <c r="CW197" s="3"/>
      <c r="CX197" s="3"/>
      <c r="CZ197" s="3"/>
      <c r="DA197" s="3"/>
      <c r="DC197" s="3"/>
      <c r="DD197" s="3"/>
      <c r="DF197" s="3"/>
      <c r="DG197" s="5"/>
      <c r="DI197" s="3"/>
      <c r="DL197" s="3"/>
      <c r="DM197" s="3"/>
      <c r="DO197" s="3"/>
      <c r="DP197" s="3"/>
      <c r="DR197" s="3"/>
      <c r="DS197" s="1" t="str">
        <f>_xlfn.XLOOKUP(OfficeForms.Table[[#This Row],[Selecione a Categoria do Laboratório desta atividade prática:]],Planilha1!A:A,Planilha1!B:B)</f>
        <v>BFI</v>
      </c>
      <c r="DT197" s="1" t="str">
        <f>CONCATENATE(OfficeForms.Table[[#This Row],[Selecione seu Polo Laboratório de Atividades Presenciais:]],OfficeForms.Table[[#This Row],[CHAVE CONVERSÃO]])</f>
        <v>Guarujá/SPBFI</v>
      </c>
      <c r="DU19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Fisioterapia com Próteses: Reabilitação Funcional e Adaptação ao Uso de Próteses</v>
      </c>
      <c r="DV19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19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97" s="1" t="str">
        <f>_xlfn.XLOOKUP(OfficeForms.Table[[#This Row],[CHAVE LINK POLO]],'[1]Quadro Geral de Lotação'!$B:$B,'[1]Quadro Geral de Lotação'!$I:$I)</f>
        <v>Lucas Soares De Medeiros</v>
      </c>
      <c r="DY197" s="1" t="str">
        <f>OfficeForms.Table[[#This Row],[Selecione a Ordem de Disciplina]]</f>
        <v>Ordem 1</v>
      </c>
    </row>
    <row r="198" spans="1:129" ht="34.15" customHeight="1">
      <c r="A198" s="1">
        <v>198</v>
      </c>
      <c r="B198" s="2">
        <v>46093.7547569444</v>
      </c>
      <c r="C198" s="2">
        <v>46093.7562847222</v>
      </c>
      <c r="D198" s="3" t="s">
        <v>129</v>
      </c>
      <c r="E198" s="3" t="s">
        <v>130</v>
      </c>
      <c r="G198" s="3"/>
      <c r="I198" s="3" t="s">
        <v>131</v>
      </c>
      <c r="K198" s="3"/>
      <c r="L198" s="1" t="s">
        <v>132</v>
      </c>
      <c r="O198" s="3" t="s">
        <v>133</v>
      </c>
      <c r="Q198" s="3"/>
      <c r="R198" s="3"/>
      <c r="T198" s="3"/>
      <c r="U198" s="5"/>
      <c r="W198" s="3"/>
      <c r="Z198" s="3"/>
      <c r="AA198" s="3"/>
      <c r="AC198" s="3"/>
      <c r="AD198" s="3"/>
      <c r="AF198" s="3"/>
      <c r="AG198" s="3"/>
      <c r="AI198" s="3"/>
      <c r="AJ198" s="1"/>
      <c r="AL198" s="3"/>
      <c r="AO198" s="3"/>
      <c r="AP198" s="3"/>
      <c r="AR198" s="3"/>
      <c r="AS198" s="3"/>
      <c r="AU198" s="3"/>
      <c r="AV198" s="3" t="s">
        <v>781</v>
      </c>
      <c r="AX198" s="3"/>
      <c r="AY198" s="5">
        <v>46092</v>
      </c>
      <c r="BA198" s="3"/>
      <c r="BB198" s="1">
        <v>3</v>
      </c>
      <c r="BD198" s="3"/>
      <c r="BE198" s="3" t="s">
        <v>782</v>
      </c>
      <c r="BG198" s="3"/>
      <c r="BH198" s="3" t="s">
        <v>783</v>
      </c>
      <c r="BJ198" s="3"/>
      <c r="BK198" s="3"/>
      <c r="BM198" s="3"/>
      <c r="BN198" s="5"/>
      <c r="BP198" s="3"/>
      <c r="BS198" s="3"/>
      <c r="BT198" s="3"/>
      <c r="BV198" s="3"/>
      <c r="BW198" s="3"/>
      <c r="BY198" s="3"/>
      <c r="BZ198" s="3"/>
      <c r="CB198" s="3"/>
      <c r="CC198" s="5"/>
      <c r="CE198" s="3"/>
      <c r="CH198" s="3"/>
      <c r="CI198" s="3"/>
      <c r="CK198" s="3"/>
      <c r="CL198" s="3"/>
      <c r="CN198" s="3"/>
      <c r="CO198" s="3"/>
      <c r="CQ198" s="3"/>
      <c r="CR198" s="5"/>
      <c r="CT198" s="3"/>
      <c r="CW198" s="3"/>
      <c r="CX198" s="3"/>
      <c r="CZ198" s="3"/>
      <c r="DA198" s="3"/>
      <c r="DC198" s="3"/>
      <c r="DD198" s="3"/>
      <c r="DF198" s="3"/>
      <c r="DG198" s="5"/>
      <c r="DI198" s="3"/>
      <c r="DL198" s="3"/>
      <c r="DM198" s="3"/>
      <c r="DO198" s="3"/>
      <c r="DP198" s="3"/>
      <c r="DR198" s="3"/>
      <c r="DS198" s="1" t="str">
        <f>_xlfn.XLOOKUP(OfficeForms.Table[[#This Row],[Selecione a Categoria do Laboratório desta atividade prática:]],Planilha1!A:A,Planilha1!B:B)</f>
        <v>BFI</v>
      </c>
      <c r="DT198" s="1" t="str">
        <f>CONCATENATE(OfficeForms.Table[[#This Row],[Selecione seu Polo Laboratório de Atividades Presenciais:]],OfficeForms.Table[[#This Row],[CHAVE CONVERSÃO]])</f>
        <v>Guarujá/SPBFI</v>
      </c>
      <c r="DU19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Terapêutica com Órteses: Abordagens Funcionais na Reabilitação Musculoesquelética</v>
      </c>
      <c r="DV19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19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98" s="1" t="str">
        <f>_xlfn.XLOOKUP(OfficeForms.Table[[#This Row],[CHAVE LINK POLO]],'[1]Quadro Geral de Lotação'!$B:$B,'[1]Quadro Geral de Lotação'!$I:$I)</f>
        <v>Lucas Soares De Medeiros</v>
      </c>
      <c r="DY198" s="1" t="str">
        <f>OfficeForms.Table[[#This Row],[Selecione a Ordem de Disciplina]]</f>
        <v>Ordem 1</v>
      </c>
    </row>
    <row r="199" spans="1:129" ht="34.15" customHeight="1">
      <c r="A199" s="1">
        <v>199</v>
      </c>
      <c r="B199" s="2">
        <v>46093.909074074101</v>
      </c>
      <c r="C199" s="2">
        <v>46093.925046296303</v>
      </c>
      <c r="D199" s="3" t="s">
        <v>168</v>
      </c>
      <c r="E199" s="3" t="s">
        <v>169</v>
      </c>
      <c r="G199" s="3"/>
      <c r="I199" s="3" t="s">
        <v>170</v>
      </c>
      <c r="K199" s="3"/>
      <c r="L199" s="1" t="s">
        <v>132</v>
      </c>
      <c r="O199" s="3" t="s">
        <v>133</v>
      </c>
      <c r="Q199" s="3"/>
      <c r="R199" s="3"/>
      <c r="T199" s="3"/>
      <c r="U199" s="5"/>
      <c r="W199" s="3"/>
      <c r="Z199" s="3"/>
      <c r="AA199" s="3"/>
      <c r="AC199" s="3"/>
      <c r="AD199" s="3"/>
      <c r="AF199" s="3"/>
      <c r="AG199" s="3"/>
      <c r="AI199" s="3"/>
      <c r="AJ199" s="1"/>
      <c r="AL199" s="3"/>
      <c r="AO199" s="3"/>
      <c r="AP199" s="3"/>
      <c r="AR199" s="3"/>
      <c r="AS199" s="3"/>
      <c r="AU199" s="3"/>
      <c r="AV199" s="3" t="s">
        <v>784</v>
      </c>
      <c r="AX199" s="3"/>
      <c r="AY199" s="5">
        <v>46093</v>
      </c>
      <c r="BA199" s="3"/>
      <c r="BB199" s="1">
        <v>3</v>
      </c>
      <c r="BD199" s="3"/>
      <c r="BE199" s="3" t="s">
        <v>785</v>
      </c>
      <c r="BG199" s="3"/>
      <c r="BH199" s="3" t="s">
        <v>786</v>
      </c>
      <c r="BJ199" s="3"/>
      <c r="BK199" s="3"/>
      <c r="BM199" s="3"/>
      <c r="BN199" s="5"/>
      <c r="BP199" s="3"/>
      <c r="BS199" s="3"/>
      <c r="BT199" s="3"/>
      <c r="BV199" s="3"/>
      <c r="BW199" s="3"/>
      <c r="BY199" s="3"/>
      <c r="BZ199" s="3"/>
      <c r="CB199" s="3"/>
      <c r="CC199" s="5"/>
      <c r="CE199" s="3"/>
      <c r="CH199" s="3"/>
      <c r="CI199" s="3"/>
      <c r="CK199" s="3"/>
      <c r="CL199" s="3"/>
      <c r="CN199" s="3"/>
      <c r="CO199" s="3"/>
      <c r="CQ199" s="3"/>
      <c r="CR199" s="5"/>
      <c r="CT199" s="3"/>
      <c r="CW199" s="3"/>
      <c r="CX199" s="3"/>
      <c r="CZ199" s="3"/>
      <c r="DA199" s="3"/>
      <c r="DC199" s="3"/>
      <c r="DD199" s="3"/>
      <c r="DF199" s="3"/>
      <c r="DG199" s="5"/>
      <c r="DI199" s="3"/>
      <c r="DL199" s="3"/>
      <c r="DM199" s="3"/>
      <c r="DO199" s="3"/>
      <c r="DP199" s="3"/>
      <c r="DR199" s="3"/>
      <c r="DS199" s="1" t="str">
        <f>_xlfn.XLOOKUP(OfficeForms.Table[[#This Row],[Selecione a Categoria do Laboratório desta atividade prática:]],Planilha1!A:A,Planilha1!B:B)</f>
        <v>BFI</v>
      </c>
      <c r="DT199" s="1" t="str">
        <f>CONCATENATE(OfficeForms.Table[[#This Row],[Selecione seu Polo Laboratório de Atividades Presenciais:]],OfficeForms.Table[[#This Row],[CHAVE CONVERSÃO]])</f>
        <v>Paulo Afonso/BA - Tancredo Neves IIBFI</v>
      </c>
      <c r="DU19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Superiores: Prática em Fisioterapia Traumato-Ortopédica;Avaliação e Reabilitação Funcional dos Membros Inferiores : Prática em Fisioterapia Traumato-Ortopédica</v>
      </c>
      <c r="DV19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19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199" s="1" t="str">
        <f>_xlfn.XLOOKUP(OfficeForms.Table[[#This Row],[CHAVE LINK POLO]],'[1]Quadro Geral de Lotação'!$B:$B,'[1]Quadro Geral de Lotação'!$I:$I)</f>
        <v>Vanessa Das Neves Varjao</v>
      </c>
      <c r="DY199" s="1" t="str">
        <f>OfficeForms.Table[[#This Row],[Selecione a Ordem de Disciplina]]</f>
        <v>Ordem 1</v>
      </c>
    </row>
    <row r="200" spans="1:129" ht="34.15" customHeight="1">
      <c r="A200" s="1">
        <v>200</v>
      </c>
      <c r="B200" s="2">
        <v>46093.922511574099</v>
      </c>
      <c r="C200" s="2">
        <v>46093.930752314802</v>
      </c>
      <c r="D200" s="3" t="s">
        <v>367</v>
      </c>
      <c r="E200" s="3" t="s">
        <v>368</v>
      </c>
      <c r="G200" s="3"/>
      <c r="I200" s="3" t="s">
        <v>369</v>
      </c>
      <c r="K200" s="3"/>
      <c r="O200" s="3" t="s">
        <v>184</v>
      </c>
      <c r="Q200" s="3"/>
      <c r="R200" s="3"/>
      <c r="T200" s="3"/>
      <c r="U200" s="5"/>
      <c r="W200" s="3"/>
      <c r="Z200" s="3"/>
      <c r="AA200" s="3"/>
      <c r="AC200" s="3"/>
      <c r="AD200" s="3"/>
      <c r="AF200" s="3"/>
      <c r="AG200" s="3" t="s">
        <v>194</v>
      </c>
      <c r="AI200" s="3"/>
      <c r="AJ200" s="1">
        <v>46093</v>
      </c>
      <c r="AL200" s="3"/>
      <c r="AM200" s="1">
        <v>7</v>
      </c>
      <c r="AO200" s="3"/>
      <c r="AP200" s="3" t="s">
        <v>787</v>
      </c>
      <c r="AR200" s="3"/>
      <c r="AS200" s="3" t="s">
        <v>788</v>
      </c>
      <c r="AU200" s="3"/>
      <c r="AV200" s="3"/>
      <c r="AX200" s="3"/>
      <c r="AY200" s="5"/>
      <c r="BA200" s="3"/>
      <c r="BD200" s="3"/>
      <c r="BE200" s="3"/>
      <c r="BG200" s="3"/>
      <c r="BH200" s="3"/>
      <c r="BJ200" s="3"/>
      <c r="BK200" s="3"/>
      <c r="BM200" s="3"/>
      <c r="BN200" s="5"/>
      <c r="BP200" s="3"/>
      <c r="BS200" s="3"/>
      <c r="BT200" s="3"/>
      <c r="BV200" s="3"/>
      <c r="BW200" s="3"/>
      <c r="BY200" s="3"/>
      <c r="BZ200" s="3"/>
      <c r="CB200" s="3"/>
      <c r="CC200" s="5"/>
      <c r="CE200" s="3"/>
      <c r="CH200" s="3"/>
      <c r="CI200" s="3"/>
      <c r="CK200" s="3"/>
      <c r="CL200" s="3"/>
      <c r="CN200" s="3"/>
      <c r="CO200" s="3"/>
      <c r="CQ200" s="3"/>
      <c r="CR200" s="5"/>
      <c r="CT200" s="3"/>
      <c r="CW200" s="3"/>
      <c r="CX200" s="3"/>
      <c r="CZ200" s="3"/>
      <c r="DA200" s="3"/>
      <c r="DC200" s="3"/>
      <c r="DD200" s="3"/>
      <c r="DF200" s="3"/>
      <c r="DG200" s="5"/>
      <c r="DI200" s="3"/>
      <c r="DL200" s="3"/>
      <c r="DM200" s="3"/>
      <c r="DO200" s="3"/>
      <c r="DP200" s="3"/>
      <c r="DR200" s="3"/>
      <c r="DS200" s="1" t="str">
        <f>_xlfn.XLOOKUP(OfficeForms.Table[[#This Row],[Selecione a Categoria do Laboratório desta atividade prática:]],Planilha1!A:A,Planilha1!B:B)</f>
        <v>EMF-ISN</v>
      </c>
      <c r="DT200" s="1" t="str">
        <f>CONCATENATE(OfficeForms.Table[[#This Row],[Selecione seu Polo Laboratório de Atividades Presenciais:]],OfficeForms.Table[[#This Row],[CHAVE CONVERSÃO]])</f>
        <v>Niterói/RJ - IngáEMF-ISN</v>
      </c>
      <c r="DU20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20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0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200" s="1" t="str">
        <f>_xlfn.XLOOKUP(OfficeForms.Table[[#This Row],[CHAVE LINK POLO]],'[1]Quadro Geral de Lotação'!$B:$B,'[1]Quadro Geral de Lotação'!$I:$I)</f>
        <v>Conceicao Ignacio da Silva Delphino</v>
      </c>
      <c r="DY200" s="1">
        <f>OfficeForms.Table[[#This Row],[Selecione a Ordem de Disciplina]]</f>
        <v>0</v>
      </c>
    </row>
    <row r="201" spans="1:129" ht="34.15" customHeight="1">
      <c r="A201" s="1">
        <v>201</v>
      </c>
      <c r="B201" s="2">
        <v>46094.4544328704</v>
      </c>
      <c r="C201" s="2">
        <v>46094.464120370401</v>
      </c>
      <c r="D201" s="3" t="s">
        <v>789</v>
      </c>
      <c r="E201" s="3" t="s">
        <v>790</v>
      </c>
      <c r="G201" s="3"/>
      <c r="I201" s="3" t="s">
        <v>791</v>
      </c>
      <c r="K201" s="3"/>
      <c r="L201" s="1" t="s">
        <v>132</v>
      </c>
      <c r="O201" s="3" t="s">
        <v>497</v>
      </c>
      <c r="Q201" s="3"/>
      <c r="R201" s="3" t="s">
        <v>792</v>
      </c>
      <c r="T201" s="3"/>
      <c r="U201" s="5">
        <v>46078</v>
      </c>
      <c r="W201" s="3"/>
      <c r="X201" s="1">
        <v>7</v>
      </c>
      <c r="Z201" s="3"/>
      <c r="AA201" s="3" t="s">
        <v>793</v>
      </c>
      <c r="AC201" s="3"/>
      <c r="AD201" s="3" t="s">
        <v>794</v>
      </c>
      <c r="AF201" s="3"/>
      <c r="AG201" s="3"/>
      <c r="AI201" s="3"/>
      <c r="AJ201" s="1"/>
      <c r="AL201" s="3"/>
      <c r="AO201" s="3"/>
      <c r="AP201" s="3"/>
      <c r="AR201" s="3"/>
      <c r="AS201" s="3"/>
      <c r="AU201" s="3"/>
      <c r="AV201" s="3"/>
      <c r="AX201" s="3"/>
      <c r="AY201" s="5"/>
      <c r="BA201" s="3"/>
      <c r="BD201" s="3"/>
      <c r="BE201" s="3"/>
      <c r="BG201" s="3"/>
      <c r="BH201" s="3"/>
      <c r="BJ201" s="3"/>
      <c r="BK201" s="3"/>
      <c r="BM201" s="3"/>
      <c r="BN201" s="5"/>
      <c r="BP201" s="3"/>
      <c r="BS201" s="3"/>
      <c r="BT201" s="3"/>
      <c r="BV201" s="3"/>
      <c r="BW201" s="3"/>
      <c r="BY201" s="3"/>
      <c r="BZ201" s="3"/>
      <c r="CB201" s="3"/>
      <c r="CC201" s="5"/>
      <c r="CE201" s="3"/>
      <c r="CH201" s="3"/>
      <c r="CI201" s="3"/>
      <c r="CK201" s="3"/>
      <c r="CL201" s="3"/>
      <c r="CN201" s="3"/>
      <c r="CO201" s="3"/>
      <c r="CQ201" s="3"/>
      <c r="CR201" s="5"/>
      <c r="CT201" s="3"/>
      <c r="CW201" s="3"/>
      <c r="CX201" s="3"/>
      <c r="CZ201" s="3"/>
      <c r="DA201" s="3"/>
      <c r="DC201" s="3"/>
      <c r="DD201" s="3"/>
      <c r="DF201" s="3"/>
      <c r="DG201" s="5"/>
      <c r="DI201" s="3"/>
      <c r="DL201" s="3"/>
      <c r="DM201" s="3"/>
      <c r="DO201" s="3"/>
      <c r="DP201" s="3"/>
      <c r="DR201" s="3"/>
      <c r="DS201" s="1" t="str">
        <f>_xlfn.XLOOKUP(OfficeForms.Table[[#This Row],[Selecione a Categoria do Laboratório desta atividade prática:]],Planilha1!A:A,Planilha1!B:B)</f>
        <v>BFR-BBI</v>
      </c>
      <c r="DT201" s="1" t="str">
        <f>CONCATENATE(OfficeForms.Table[[#This Row],[Selecione seu Polo Laboratório de Atividades Presenciais:]],OfficeForms.Table[[#This Row],[CHAVE CONVERSÃO]])</f>
        <v>São Caetano do Sul/SPBFR-BBI</v>
      </c>
      <c r="DU20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Abordagens Integradas para Revitalização Facial: Peeling Mecânico e Químico;Limpeza de pele e hidratação facial</v>
      </c>
      <c r="DV20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20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201" s="1" t="e">
        <f>_xlfn.XLOOKUP(OfficeForms.Table[[#This Row],[CHAVE LINK POLO]],'[1]Quadro Geral de Lotação'!$B:$B,'[1]Quadro Geral de Lotação'!$I:$I)</f>
        <v>#N/A</v>
      </c>
      <c r="DY201" s="1" t="str">
        <f>OfficeForms.Table[[#This Row],[Selecione a Ordem de Disciplina]]</f>
        <v>Ordem 1</v>
      </c>
    </row>
    <row r="202" spans="1:129" ht="34.15" customHeight="1">
      <c r="A202" s="1">
        <v>202</v>
      </c>
      <c r="B202" s="2">
        <v>46094.464236111096</v>
      </c>
      <c r="C202" s="2">
        <v>46094.471064814803</v>
      </c>
      <c r="D202" s="3" t="s">
        <v>789</v>
      </c>
      <c r="E202" s="3" t="s">
        <v>790</v>
      </c>
      <c r="G202" s="3"/>
      <c r="I202" s="3" t="s">
        <v>791</v>
      </c>
      <c r="K202" s="3"/>
      <c r="L202" s="1" t="s">
        <v>132</v>
      </c>
      <c r="O202" s="3" t="s">
        <v>133</v>
      </c>
      <c r="Q202" s="3"/>
      <c r="R202" s="3"/>
      <c r="T202" s="3"/>
      <c r="U202" s="5"/>
      <c r="W202" s="3"/>
      <c r="Z202" s="3"/>
      <c r="AA202" s="3"/>
      <c r="AC202" s="3"/>
      <c r="AD202" s="3"/>
      <c r="AF202" s="3"/>
      <c r="AG202" s="3"/>
      <c r="AI202" s="3"/>
      <c r="AJ202" s="1"/>
      <c r="AL202" s="3"/>
      <c r="AO202" s="3"/>
      <c r="AP202" s="3"/>
      <c r="AR202" s="3"/>
      <c r="AS202" s="3"/>
      <c r="AU202" s="3"/>
      <c r="AV202" s="3" t="s">
        <v>795</v>
      </c>
      <c r="AX202" s="3"/>
      <c r="AY202" s="5">
        <v>46085</v>
      </c>
      <c r="BA202" s="3"/>
      <c r="BB202" s="1">
        <v>7</v>
      </c>
      <c r="BD202" s="3"/>
      <c r="BE202" s="3" t="s">
        <v>796</v>
      </c>
      <c r="BG202" s="3"/>
      <c r="BH202" s="3" t="s">
        <v>797</v>
      </c>
      <c r="BJ202" s="3"/>
      <c r="BK202" s="3"/>
      <c r="BM202" s="3"/>
      <c r="BN202" s="5"/>
      <c r="BP202" s="3"/>
      <c r="BS202" s="3"/>
      <c r="BT202" s="3"/>
      <c r="BV202" s="3"/>
      <c r="BW202" s="3"/>
      <c r="BY202" s="3"/>
      <c r="BZ202" s="3"/>
      <c r="CB202" s="3"/>
      <c r="CC202" s="5"/>
      <c r="CE202" s="3"/>
      <c r="CH202" s="3"/>
      <c r="CI202" s="3"/>
      <c r="CK202" s="3"/>
      <c r="CL202" s="3"/>
      <c r="CN202" s="3"/>
      <c r="CO202" s="3"/>
      <c r="CQ202" s="3"/>
      <c r="CR202" s="5"/>
      <c r="CT202" s="3"/>
      <c r="CW202" s="3"/>
      <c r="CX202" s="3"/>
      <c r="CZ202" s="3"/>
      <c r="DA202" s="3"/>
      <c r="DC202" s="3"/>
      <c r="DD202" s="3"/>
      <c r="DF202" s="3"/>
      <c r="DG202" s="5"/>
      <c r="DI202" s="3"/>
      <c r="DL202" s="3"/>
      <c r="DM202" s="3"/>
      <c r="DO202" s="3"/>
      <c r="DP202" s="3"/>
      <c r="DR202" s="3"/>
      <c r="DS202" s="1" t="str">
        <f>_xlfn.XLOOKUP(OfficeForms.Table[[#This Row],[Selecione a Categoria do Laboratório desta atividade prática:]],Planilha1!A:A,Planilha1!B:B)</f>
        <v>BFI</v>
      </c>
      <c r="DT202" s="1" t="str">
        <f>CONCATENATE(OfficeForms.Table[[#This Row],[Selecione seu Polo Laboratório de Atividades Presenciais:]],OfficeForms.Table[[#This Row],[CHAVE CONVERSÃO]])</f>
        <v>São Caetano do Sul/SPBFI</v>
      </c>
      <c r="DU20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e avaliação facial;Tratamento de Flacidez Tissular (corporal e facial) e Gordura Localizada</v>
      </c>
      <c r="DV20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20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202" s="1" t="e">
        <f>_xlfn.XLOOKUP(OfficeForms.Table[[#This Row],[CHAVE LINK POLO]],'[1]Quadro Geral de Lotação'!$B:$B,'[1]Quadro Geral de Lotação'!$I:$I)</f>
        <v>#N/A</v>
      </c>
      <c r="DY202" s="1" t="str">
        <f>OfficeForms.Table[[#This Row],[Selecione a Ordem de Disciplina]]</f>
        <v>Ordem 1</v>
      </c>
    </row>
    <row r="203" spans="1:129" ht="34.15" customHeight="1">
      <c r="A203" s="1">
        <v>203</v>
      </c>
      <c r="B203" s="2">
        <v>46094.4711342593</v>
      </c>
      <c r="C203" s="2">
        <v>46094.483958333301</v>
      </c>
      <c r="D203" s="3" t="s">
        <v>789</v>
      </c>
      <c r="E203" s="3" t="s">
        <v>790</v>
      </c>
      <c r="G203" s="3"/>
      <c r="I203" s="3" t="s">
        <v>791</v>
      </c>
      <c r="K203" s="3"/>
      <c r="L203" s="1" t="s">
        <v>132</v>
      </c>
      <c r="O203" s="3" t="s">
        <v>497</v>
      </c>
      <c r="Q203" s="3"/>
      <c r="R203" s="3" t="s">
        <v>798</v>
      </c>
      <c r="T203" s="3"/>
      <c r="U203" s="5">
        <v>46092</v>
      </c>
      <c r="W203" s="3"/>
      <c r="X203" s="1">
        <v>11</v>
      </c>
      <c r="Z203" s="3"/>
      <c r="AA203" s="3" t="s">
        <v>799</v>
      </c>
      <c r="AC203" s="3"/>
      <c r="AD203" s="3" t="s">
        <v>800</v>
      </c>
      <c r="AF203" s="3"/>
      <c r="AG203" s="3"/>
      <c r="AI203" s="3"/>
      <c r="AJ203" s="1"/>
      <c r="AL203" s="3"/>
      <c r="AO203" s="3"/>
      <c r="AP203" s="3"/>
      <c r="AR203" s="3"/>
      <c r="AS203" s="3"/>
      <c r="AU203" s="3"/>
      <c r="AV203" s="3"/>
      <c r="AX203" s="3"/>
      <c r="AY203" s="5"/>
      <c r="BA203" s="3"/>
      <c r="BD203" s="3"/>
      <c r="BE203" s="3"/>
      <c r="BG203" s="3"/>
      <c r="BH203" s="3"/>
      <c r="BJ203" s="3"/>
      <c r="BK203" s="3"/>
      <c r="BM203" s="3"/>
      <c r="BN203" s="5"/>
      <c r="BP203" s="3"/>
      <c r="BS203" s="3"/>
      <c r="BT203" s="3"/>
      <c r="BV203" s="3"/>
      <c r="BW203" s="3"/>
      <c r="BY203" s="3"/>
      <c r="BZ203" s="3"/>
      <c r="CB203" s="3"/>
      <c r="CC203" s="5"/>
      <c r="CE203" s="3"/>
      <c r="CH203" s="3"/>
      <c r="CI203" s="3"/>
      <c r="CK203" s="3"/>
      <c r="CL203" s="3"/>
      <c r="CN203" s="3"/>
      <c r="CO203" s="3"/>
      <c r="CQ203" s="3"/>
      <c r="CR203" s="5"/>
      <c r="CT203" s="3"/>
      <c r="CW203" s="3"/>
      <c r="CX203" s="3"/>
      <c r="CZ203" s="3"/>
      <c r="DA203" s="3"/>
      <c r="DC203" s="3"/>
      <c r="DD203" s="3"/>
      <c r="DF203" s="3"/>
      <c r="DG203" s="5"/>
      <c r="DI203" s="3"/>
      <c r="DL203" s="3"/>
      <c r="DM203" s="3"/>
      <c r="DO203" s="3"/>
      <c r="DP203" s="3"/>
      <c r="DR203" s="3"/>
      <c r="DS203" s="1" t="str">
        <f>_xlfn.XLOOKUP(OfficeForms.Table[[#This Row],[Selecione a Categoria do Laboratório desta atividade prática:]],Planilha1!A:A,Planilha1!B:B)</f>
        <v>BFR-BBI</v>
      </c>
      <c r="DT203" s="1" t="str">
        <f>CONCATENATE(OfficeForms.Table[[#This Row],[Selecione seu Polo Laboratório de Atividades Presenciais:]],OfficeForms.Table[[#This Row],[CHAVE CONVERSÃO]])</f>
        <v>São Caetano do Sul/SPBFR-BBI</v>
      </c>
      <c r="DU20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Esfregaço e coloração de GRAM;Preparo de meio de cultura II</v>
      </c>
      <c r="DV20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20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203" s="1" t="e">
        <f>_xlfn.XLOOKUP(OfficeForms.Table[[#This Row],[CHAVE LINK POLO]],'[1]Quadro Geral de Lotação'!$B:$B,'[1]Quadro Geral de Lotação'!$I:$I)</f>
        <v>#N/A</v>
      </c>
      <c r="DY203" s="1" t="str">
        <f>OfficeForms.Table[[#This Row],[Selecione a Ordem de Disciplina]]</f>
        <v>Ordem 1</v>
      </c>
    </row>
    <row r="204" spans="1:129" ht="34.15" customHeight="1">
      <c r="A204" s="1">
        <v>204</v>
      </c>
      <c r="B204" s="2">
        <v>46094.538587962998</v>
      </c>
      <c r="C204" s="2">
        <v>46094.539884259299</v>
      </c>
      <c r="D204" s="3" t="s">
        <v>751</v>
      </c>
      <c r="E204" s="3" t="s">
        <v>752</v>
      </c>
      <c r="G204" s="3"/>
      <c r="I204" s="3" t="s">
        <v>753</v>
      </c>
      <c r="K204" s="3"/>
      <c r="L204" s="1" t="s">
        <v>132</v>
      </c>
      <c r="O204" s="3" t="s">
        <v>184</v>
      </c>
      <c r="Q204" s="3"/>
      <c r="R204" s="3"/>
      <c r="T204" s="3"/>
      <c r="U204" s="5"/>
      <c r="W204" s="3"/>
      <c r="Z204" s="3"/>
      <c r="AA204" s="3"/>
      <c r="AC204" s="3"/>
      <c r="AD204" s="3"/>
      <c r="AF204" s="3"/>
      <c r="AG204" s="3" t="s">
        <v>206</v>
      </c>
      <c r="AI204" s="3"/>
      <c r="AJ204" s="1">
        <v>46093</v>
      </c>
      <c r="AL204" s="3"/>
      <c r="AM204" s="1">
        <v>5</v>
      </c>
      <c r="AO204" s="3"/>
      <c r="AP204" s="3" t="s">
        <v>801</v>
      </c>
      <c r="AR204" s="3"/>
      <c r="AS204" s="3" t="s">
        <v>802</v>
      </c>
      <c r="AU204" s="3"/>
      <c r="AV204" s="3"/>
      <c r="AX204" s="3"/>
      <c r="AY204" s="5"/>
      <c r="BA204" s="3"/>
      <c r="BD204" s="3"/>
      <c r="BE204" s="3"/>
      <c r="BG204" s="3"/>
      <c r="BH204" s="3"/>
      <c r="BJ204" s="3"/>
      <c r="BK204" s="3"/>
      <c r="BM204" s="3"/>
      <c r="BN204" s="5"/>
      <c r="BP204" s="3"/>
      <c r="BS204" s="3"/>
      <c r="BT204" s="3"/>
      <c r="BV204" s="3"/>
      <c r="BW204" s="3"/>
      <c r="BY204" s="3"/>
      <c r="BZ204" s="3"/>
      <c r="CB204" s="3"/>
      <c r="CC204" s="5"/>
      <c r="CE204" s="3"/>
      <c r="CH204" s="3"/>
      <c r="CI204" s="3"/>
      <c r="CK204" s="3"/>
      <c r="CL204" s="3"/>
      <c r="CN204" s="3"/>
      <c r="CO204" s="3"/>
      <c r="CQ204" s="3"/>
      <c r="CR204" s="5"/>
      <c r="CT204" s="3"/>
      <c r="CW204" s="3"/>
      <c r="CX204" s="3"/>
      <c r="CZ204" s="3"/>
      <c r="DA204" s="3"/>
      <c r="DC204" s="3"/>
      <c r="DD204" s="3"/>
      <c r="DF204" s="3"/>
      <c r="DG204" s="5"/>
      <c r="DI204" s="3"/>
      <c r="DL204" s="3"/>
      <c r="DM204" s="3"/>
      <c r="DO204" s="3"/>
      <c r="DP204" s="3"/>
      <c r="DR204" s="3"/>
      <c r="DS204" s="1" t="str">
        <f>_xlfn.XLOOKUP(OfficeForms.Table[[#This Row],[Selecione a Categoria do Laboratório desta atividade prática:]],Planilha1!A:A,Planilha1!B:B)</f>
        <v>EMF-ISN</v>
      </c>
      <c r="DT204" s="1" t="str">
        <f>CONCATENATE(OfficeForms.Table[[#This Row],[Selecione seu Polo Laboratório de Atividades Presenciais:]],OfficeForms.Table[[#This Row],[CHAVE CONVERSÃO]])</f>
        <v>São Paulo/SP - TatuapéEMF-ISN</v>
      </c>
      <c r="DU20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0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0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204" s="1" t="str">
        <f>_xlfn.XLOOKUP(OfficeForms.Table[[#This Row],[CHAVE LINK POLO]],'[1]Quadro Geral de Lotação'!$B:$B,'[1]Quadro Geral de Lotação'!$I:$I)</f>
        <v>Luiz Dias Da Silva</v>
      </c>
      <c r="DY204" s="1" t="str">
        <f>OfficeForms.Table[[#This Row],[Selecione a Ordem de Disciplina]]</f>
        <v>Ordem 1</v>
      </c>
    </row>
    <row r="205" spans="1:129" ht="34.15" customHeight="1">
      <c r="A205" s="1">
        <v>205</v>
      </c>
      <c r="B205" s="2">
        <v>46094.752870370401</v>
      </c>
      <c r="C205" s="2">
        <v>46094.755624999998</v>
      </c>
      <c r="D205" s="3" t="s">
        <v>463</v>
      </c>
      <c r="E205" s="3" t="s">
        <v>464</v>
      </c>
      <c r="G205" s="3"/>
      <c r="I205" s="3" t="s">
        <v>445</v>
      </c>
      <c r="K205" s="3"/>
      <c r="L205" s="1" t="s">
        <v>132</v>
      </c>
      <c r="O205" s="3" t="s">
        <v>156</v>
      </c>
      <c r="Q205" s="3"/>
      <c r="R205" s="3"/>
      <c r="T205" s="3"/>
      <c r="U205" s="5"/>
      <c r="W205" s="3"/>
      <c r="Z205" s="3"/>
      <c r="AA205" s="3"/>
      <c r="AC205" s="3"/>
      <c r="AD205" s="3"/>
      <c r="AF205" s="3"/>
      <c r="AG205" s="3"/>
      <c r="AI205" s="3"/>
      <c r="AJ205" s="1"/>
      <c r="AL205" s="3"/>
      <c r="AO205" s="3"/>
      <c r="AP205" s="3"/>
      <c r="AR205" s="3"/>
      <c r="AS205" s="3"/>
      <c r="AU205" s="3"/>
      <c r="AV205" s="3"/>
      <c r="AX205" s="3"/>
      <c r="AY205" s="5"/>
      <c r="BA205" s="3"/>
      <c r="BD205" s="3"/>
      <c r="BE205" s="3"/>
      <c r="BG205" s="3"/>
      <c r="BH205" s="3"/>
      <c r="BJ205" s="3"/>
      <c r="BK205" s="3" t="s">
        <v>260</v>
      </c>
      <c r="BM205" s="3"/>
      <c r="BN205" s="5">
        <v>46093</v>
      </c>
      <c r="BP205" s="3"/>
      <c r="BQ205" s="1">
        <v>4</v>
      </c>
      <c r="BS205" s="3"/>
      <c r="BT205" s="3" t="s">
        <v>803</v>
      </c>
      <c r="BV205" s="3"/>
      <c r="BW205" s="3" t="s">
        <v>804</v>
      </c>
      <c r="BY205" s="3"/>
      <c r="BZ205" s="3"/>
      <c r="CB205" s="3"/>
      <c r="CC205" s="5"/>
      <c r="CE205" s="3"/>
      <c r="CH205" s="3"/>
      <c r="CI205" s="3"/>
      <c r="CK205" s="3"/>
      <c r="CL205" s="3"/>
      <c r="CN205" s="3"/>
      <c r="CO205" s="3"/>
      <c r="CQ205" s="3"/>
      <c r="CR205" s="5"/>
      <c r="CT205" s="3"/>
      <c r="CW205" s="3"/>
      <c r="CX205" s="3"/>
      <c r="CZ205" s="3"/>
      <c r="DA205" s="3"/>
      <c r="DC205" s="3"/>
      <c r="DD205" s="3"/>
      <c r="DF205" s="3"/>
      <c r="DG205" s="5"/>
      <c r="DI205" s="3"/>
      <c r="DL205" s="3"/>
      <c r="DM205" s="3"/>
      <c r="DO205" s="3"/>
      <c r="DP205" s="3"/>
      <c r="DR205" s="3"/>
      <c r="DS205" s="1" t="str">
        <f>_xlfn.XLOOKUP(OfficeForms.Table[[#This Row],[Selecione a Categoria do Laboratório desta atividade prática:]],Planilha1!A:A,Planilha1!B:B)</f>
        <v>NTR</v>
      </c>
      <c r="DT205" s="1" t="str">
        <f>CONCATENATE(OfficeForms.Table[[#This Row],[Selecione seu Polo Laboratório de Atividades Presenciais:]],OfficeForms.Table[[#This Row],[CHAVE CONVERSÃO]])</f>
        <v>Goiânia/GO - Jardim EuropaNTR</v>
      </c>
      <c r="DU20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Terapia nutricional enteral e suplementação oral</v>
      </c>
      <c r="DV20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0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05" s="1" t="str">
        <f>_xlfn.XLOOKUP(OfficeForms.Table[[#This Row],[CHAVE LINK POLO]],'[1]Quadro Geral de Lotação'!$B:$B,'[1]Quadro Geral de Lotação'!$I:$I)</f>
        <v>Kellen Ferreira Nascimento</v>
      </c>
      <c r="DY205" s="1" t="str">
        <f>OfficeForms.Table[[#This Row],[Selecione a Ordem de Disciplina]]</f>
        <v>Ordem 1</v>
      </c>
    </row>
    <row r="206" spans="1:129" ht="34.15" customHeight="1">
      <c r="A206" s="1">
        <v>206</v>
      </c>
      <c r="B206" s="2">
        <v>46094.8033796296</v>
      </c>
      <c r="C206" s="2">
        <v>46094.8052314815</v>
      </c>
      <c r="D206" s="3" t="s">
        <v>805</v>
      </c>
      <c r="E206" s="3" t="s">
        <v>806</v>
      </c>
      <c r="G206" s="3"/>
      <c r="I206" s="3" t="s">
        <v>807</v>
      </c>
      <c r="K206" s="3"/>
      <c r="L206" s="1" t="s">
        <v>132</v>
      </c>
      <c r="O206" s="3" t="s">
        <v>184</v>
      </c>
      <c r="Q206" s="3"/>
      <c r="R206" s="3"/>
      <c r="T206" s="3"/>
      <c r="U206" s="5"/>
      <c r="W206" s="3"/>
      <c r="Z206" s="3"/>
      <c r="AA206" s="3"/>
      <c r="AC206" s="3"/>
      <c r="AD206" s="3"/>
      <c r="AF206" s="3"/>
      <c r="AG206" s="3" t="s">
        <v>322</v>
      </c>
      <c r="AI206" s="3"/>
      <c r="AJ206" s="1">
        <v>46086</v>
      </c>
      <c r="AL206" s="3"/>
      <c r="AM206" s="1">
        <v>0</v>
      </c>
      <c r="AO206" s="3"/>
      <c r="AP206" s="3" t="s">
        <v>808</v>
      </c>
      <c r="AR206" s="3"/>
      <c r="AS206" s="3" t="s">
        <v>809</v>
      </c>
      <c r="AU206" s="3"/>
      <c r="AV206" s="3"/>
      <c r="AX206" s="3"/>
      <c r="AY206" s="5"/>
      <c r="BA206" s="3"/>
      <c r="BD206" s="3"/>
      <c r="BE206" s="3"/>
      <c r="BG206" s="3"/>
      <c r="BH206" s="3"/>
      <c r="BJ206" s="3"/>
      <c r="BK206" s="3"/>
      <c r="BM206" s="3"/>
      <c r="BN206" s="5"/>
      <c r="BP206" s="3"/>
      <c r="BS206" s="3"/>
      <c r="BT206" s="3"/>
      <c r="BV206" s="3"/>
      <c r="BW206" s="3"/>
      <c r="BY206" s="3"/>
      <c r="BZ206" s="3"/>
      <c r="CB206" s="3"/>
      <c r="CC206" s="5"/>
      <c r="CE206" s="3"/>
      <c r="CH206" s="3"/>
      <c r="CI206" s="3"/>
      <c r="CK206" s="3"/>
      <c r="CL206" s="3"/>
      <c r="CN206" s="3"/>
      <c r="CO206" s="3"/>
      <c r="CQ206" s="3"/>
      <c r="CR206" s="5"/>
      <c r="CT206" s="3"/>
      <c r="CW206" s="3"/>
      <c r="CX206" s="3"/>
      <c r="CZ206" s="3"/>
      <c r="DA206" s="3"/>
      <c r="DC206" s="3"/>
      <c r="DD206" s="3"/>
      <c r="DF206" s="3"/>
      <c r="DG206" s="5"/>
      <c r="DI206" s="3"/>
      <c r="DL206" s="3"/>
      <c r="DM206" s="3"/>
      <c r="DO206" s="3"/>
      <c r="DP206" s="3"/>
      <c r="DR206" s="3"/>
      <c r="DS206" s="1" t="str">
        <f>_xlfn.XLOOKUP(OfficeForms.Table[[#This Row],[Selecione a Categoria do Laboratório desta atividade prática:]],Planilha1!A:A,Planilha1!B:B)</f>
        <v>EMF-ISN</v>
      </c>
      <c r="DT206" s="1" t="str">
        <f>CONCATENATE(OfficeForms.Table[[#This Row],[Selecione seu Polo Laboratório de Atividades Presenciais:]],OfficeForms.Table[[#This Row],[CHAVE CONVERSÃO]])</f>
        <v>Sidrolândia/MSEMF-ISN</v>
      </c>
      <c r="DU20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20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20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06" s="1" t="str">
        <f>_xlfn.XLOOKUP(OfficeForms.Table[[#This Row],[CHAVE LINK POLO]],'[1]Quadro Geral de Lotação'!$B:$B,'[1]Quadro Geral de Lotação'!$I:$I)</f>
        <v>Maria Ignacia Fabricio Meirelles</v>
      </c>
      <c r="DY206" s="1" t="str">
        <f>OfficeForms.Table[[#This Row],[Selecione a Ordem de Disciplina]]</f>
        <v>Ordem 1</v>
      </c>
    </row>
    <row r="207" spans="1:129" ht="34.15" customHeight="1">
      <c r="A207" s="1">
        <v>207</v>
      </c>
      <c r="B207" s="2">
        <v>46094.818680555603</v>
      </c>
      <c r="C207" s="2">
        <v>46094.826562499999</v>
      </c>
      <c r="D207" s="3" t="s">
        <v>810</v>
      </c>
      <c r="E207" s="3" t="s">
        <v>811</v>
      </c>
      <c r="G207" s="3"/>
      <c r="I207" s="3" t="s">
        <v>275</v>
      </c>
      <c r="K207" s="3"/>
      <c r="L207" s="1" t="s">
        <v>678</v>
      </c>
      <c r="O207" s="3" t="s">
        <v>184</v>
      </c>
      <c r="Q207" s="3"/>
      <c r="R207" s="3"/>
      <c r="T207" s="3"/>
      <c r="U207" s="5"/>
      <c r="W207" s="3"/>
      <c r="Z207" s="3"/>
      <c r="AA207" s="3"/>
      <c r="AC207" s="3"/>
      <c r="AD207" s="3"/>
      <c r="AF207" s="3"/>
      <c r="AG207" s="3" t="s">
        <v>206</v>
      </c>
      <c r="AI207" s="3"/>
      <c r="AJ207" s="1">
        <v>46094</v>
      </c>
      <c r="AL207" s="3"/>
      <c r="AM207" s="1">
        <v>8</v>
      </c>
      <c r="AO207" s="3"/>
      <c r="AP207" s="3" t="s">
        <v>812</v>
      </c>
      <c r="AR207" s="3"/>
      <c r="AS207" s="3" t="s">
        <v>813</v>
      </c>
      <c r="AU207" s="3"/>
      <c r="AV207" s="3"/>
      <c r="AX207" s="3"/>
      <c r="AY207" s="5"/>
      <c r="BA207" s="3"/>
      <c r="BD207" s="3"/>
      <c r="BE207" s="3"/>
      <c r="BG207" s="3"/>
      <c r="BH207" s="3"/>
      <c r="BJ207" s="3"/>
      <c r="BK207" s="3"/>
      <c r="BM207" s="3"/>
      <c r="BN207" s="5"/>
      <c r="BP207" s="3"/>
      <c r="BS207" s="3"/>
      <c r="BT207" s="3"/>
      <c r="BV207" s="3"/>
      <c r="BW207" s="3"/>
      <c r="BY207" s="3"/>
      <c r="BZ207" s="3"/>
      <c r="CB207" s="3"/>
      <c r="CC207" s="5"/>
      <c r="CE207" s="3"/>
      <c r="CH207" s="3"/>
      <c r="CI207" s="3"/>
      <c r="CK207" s="3"/>
      <c r="CL207" s="3"/>
      <c r="CN207" s="3"/>
      <c r="CO207" s="3"/>
      <c r="CQ207" s="3"/>
      <c r="CR207" s="5"/>
      <c r="CT207" s="3"/>
      <c r="CW207" s="3"/>
      <c r="CX207" s="3"/>
      <c r="CZ207" s="3"/>
      <c r="DA207" s="3"/>
      <c r="DC207" s="3"/>
      <c r="DD207" s="3"/>
      <c r="DF207" s="3"/>
      <c r="DG207" s="5"/>
      <c r="DI207" s="3"/>
      <c r="DL207" s="3"/>
      <c r="DM207" s="3"/>
      <c r="DO207" s="3"/>
      <c r="DP207" s="3"/>
      <c r="DR207" s="3"/>
      <c r="DS207" s="1" t="str">
        <f>_xlfn.XLOOKUP(OfficeForms.Table[[#This Row],[Selecione a Categoria do Laboratório desta atividade prática:]],Planilha1!A:A,Planilha1!B:B)</f>
        <v>EMF-ISN</v>
      </c>
      <c r="DT207" s="1" t="str">
        <f>CONCATENATE(OfficeForms.Table[[#This Row],[Selecione seu Polo Laboratório de Atividades Presenciais:]],OfficeForms.Table[[#This Row],[CHAVE CONVERSÃO]])</f>
        <v>Porto Alegre/RS - Zona NorteEMF-ISN</v>
      </c>
      <c r="DU20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0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20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207" s="1" t="str">
        <f>_xlfn.XLOOKUP(OfficeForms.Table[[#This Row],[CHAVE LINK POLO]],'[1]Quadro Geral de Lotação'!$B:$B,'[1]Quadro Geral de Lotação'!$I:$I)</f>
        <v>Cristiane Ribeiro Maciel</v>
      </c>
      <c r="DY207" s="1" t="str">
        <f>OfficeForms.Table[[#This Row],[Selecione a Ordem de Disciplina]]</f>
        <v>Ordem 2</v>
      </c>
    </row>
    <row r="208" spans="1:129" ht="34.15" customHeight="1">
      <c r="A208" s="1">
        <v>208</v>
      </c>
      <c r="B208" s="2">
        <v>46094.822673611103</v>
      </c>
      <c r="C208" s="2">
        <v>46094.826793981498</v>
      </c>
      <c r="D208" s="3" t="s">
        <v>181</v>
      </c>
      <c r="E208" s="3" t="s">
        <v>182</v>
      </c>
      <c r="G208" s="3"/>
      <c r="I208" s="3" t="s">
        <v>183</v>
      </c>
      <c r="K208" s="3"/>
      <c r="L208" s="1" t="s">
        <v>132</v>
      </c>
      <c r="O208" s="3" t="s">
        <v>184</v>
      </c>
      <c r="Q208" s="3"/>
      <c r="R208" s="3"/>
      <c r="T208" s="3"/>
      <c r="U208" s="5"/>
      <c r="W208" s="3"/>
      <c r="Z208" s="3"/>
      <c r="AA208" s="3"/>
      <c r="AC208" s="3"/>
      <c r="AD208" s="3"/>
      <c r="AF208" s="3"/>
      <c r="AG208" s="3" t="s">
        <v>206</v>
      </c>
      <c r="AI208" s="3"/>
      <c r="AJ208" s="1">
        <v>46080</v>
      </c>
      <c r="AL208" s="3"/>
      <c r="AM208" s="1">
        <v>3</v>
      </c>
      <c r="AO208" s="3"/>
      <c r="AP208" s="3" t="s">
        <v>814</v>
      </c>
      <c r="AR208" s="3"/>
      <c r="AS208" s="3" t="s">
        <v>815</v>
      </c>
      <c r="AU208" s="3"/>
      <c r="AV208" s="3"/>
      <c r="AX208" s="3"/>
      <c r="AY208" s="5"/>
      <c r="BA208" s="3"/>
      <c r="BD208" s="3"/>
      <c r="BE208" s="3"/>
      <c r="BG208" s="3"/>
      <c r="BH208" s="3"/>
      <c r="BJ208" s="3"/>
      <c r="BK208" s="3"/>
      <c r="BM208" s="3"/>
      <c r="BN208" s="5"/>
      <c r="BP208" s="3"/>
      <c r="BS208" s="3"/>
      <c r="BT208" s="3"/>
      <c r="BV208" s="3"/>
      <c r="BW208" s="3"/>
      <c r="BY208" s="3"/>
      <c r="BZ208" s="3"/>
      <c r="CB208" s="3"/>
      <c r="CC208" s="5"/>
      <c r="CE208" s="3"/>
      <c r="CH208" s="3"/>
      <c r="CI208" s="3"/>
      <c r="CK208" s="3"/>
      <c r="CL208" s="3"/>
      <c r="CN208" s="3"/>
      <c r="CO208" s="3"/>
      <c r="CQ208" s="3"/>
      <c r="CR208" s="5"/>
      <c r="CT208" s="3"/>
      <c r="CW208" s="3"/>
      <c r="CX208" s="3"/>
      <c r="CZ208" s="3"/>
      <c r="DA208" s="3"/>
      <c r="DC208" s="3"/>
      <c r="DD208" s="3"/>
      <c r="DF208" s="3"/>
      <c r="DG208" s="5"/>
      <c r="DI208" s="3"/>
      <c r="DL208" s="3"/>
      <c r="DM208" s="3"/>
      <c r="DO208" s="3"/>
      <c r="DP208" s="3"/>
      <c r="DR208" s="3"/>
      <c r="DS208" s="1" t="str">
        <f>_xlfn.XLOOKUP(OfficeForms.Table[[#This Row],[Selecione a Categoria do Laboratório desta atividade prática:]],Planilha1!A:A,Planilha1!B:B)</f>
        <v>EMF-ISN</v>
      </c>
      <c r="DT208" s="1" t="str">
        <f>CONCATENATE(OfficeForms.Table[[#This Row],[Selecione seu Polo Laboratório de Atividades Presenciais:]],OfficeForms.Table[[#This Row],[CHAVE CONVERSÃO]])</f>
        <v>Herval D'Oeste/SCEMF-ISN</v>
      </c>
      <c r="DU20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0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20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208" s="1" t="str">
        <f>_xlfn.XLOOKUP(OfficeForms.Table[[#This Row],[CHAVE LINK POLO]],'[1]Quadro Geral de Lotação'!$B:$B,'[1]Quadro Geral de Lotação'!$I:$I)</f>
        <v>Maksllene Ingrid De Souza Cavalcanti Spessatto</v>
      </c>
      <c r="DY208" s="1" t="str">
        <f>OfficeForms.Table[[#This Row],[Selecione a Ordem de Disciplina]]</f>
        <v>Ordem 1</v>
      </c>
    </row>
    <row r="209" spans="1:129" ht="34.15" customHeight="1">
      <c r="A209" s="1">
        <v>209</v>
      </c>
      <c r="B209" s="2">
        <v>46094.826886574097</v>
      </c>
      <c r="C209" s="2">
        <v>46094.827546296299</v>
      </c>
      <c r="D209" s="3" t="s">
        <v>181</v>
      </c>
      <c r="E209" s="3" t="s">
        <v>182</v>
      </c>
      <c r="G209" s="3"/>
      <c r="I209" s="3" t="s">
        <v>183</v>
      </c>
      <c r="K209" s="3"/>
      <c r="L209" s="1" t="s">
        <v>678</v>
      </c>
      <c r="O209" s="3" t="s">
        <v>184</v>
      </c>
      <c r="Q209" s="3"/>
      <c r="R209" s="3"/>
      <c r="T209" s="3"/>
      <c r="U209" s="5"/>
      <c r="W209" s="3"/>
      <c r="Z209" s="3"/>
      <c r="AA209" s="3"/>
      <c r="AC209" s="3"/>
      <c r="AD209" s="3"/>
      <c r="AF209" s="3"/>
      <c r="AG209" s="3" t="s">
        <v>816</v>
      </c>
      <c r="AI209" s="3"/>
      <c r="AJ209" s="1">
        <v>46087</v>
      </c>
      <c r="AL209" s="3"/>
      <c r="AM209" s="1">
        <v>2</v>
      </c>
      <c r="AO209" s="3"/>
      <c r="AP209" s="3" t="s">
        <v>817</v>
      </c>
      <c r="AR209" s="3"/>
      <c r="AS209" s="3" t="s">
        <v>818</v>
      </c>
      <c r="AU209" s="3"/>
      <c r="AV209" s="3"/>
      <c r="AX209" s="3"/>
      <c r="AY209" s="5"/>
      <c r="BA209" s="3"/>
      <c r="BD209" s="3"/>
      <c r="BE209" s="3"/>
      <c r="BG209" s="3"/>
      <c r="BH209" s="3"/>
      <c r="BJ209" s="3"/>
      <c r="BK209" s="3"/>
      <c r="BM209" s="3"/>
      <c r="BN209" s="5"/>
      <c r="BP209" s="3"/>
      <c r="BS209" s="3"/>
      <c r="BT209" s="3"/>
      <c r="BV209" s="3"/>
      <c r="BW209" s="3"/>
      <c r="BY209" s="3"/>
      <c r="BZ209" s="3"/>
      <c r="CB209" s="3"/>
      <c r="CC209" s="5"/>
      <c r="CE209" s="3"/>
      <c r="CH209" s="3"/>
      <c r="CI209" s="3"/>
      <c r="CK209" s="3"/>
      <c r="CL209" s="3"/>
      <c r="CN209" s="3"/>
      <c r="CO209" s="3"/>
      <c r="CQ209" s="3"/>
      <c r="CR209" s="5"/>
      <c r="CT209" s="3"/>
      <c r="CW209" s="3"/>
      <c r="CX209" s="3"/>
      <c r="CZ209" s="3"/>
      <c r="DA209" s="3"/>
      <c r="DC209" s="3"/>
      <c r="DD209" s="3"/>
      <c r="DF209" s="3"/>
      <c r="DG209" s="5"/>
      <c r="DI209" s="3"/>
      <c r="DL209" s="3"/>
      <c r="DM209" s="3"/>
      <c r="DO209" s="3"/>
      <c r="DP209" s="3"/>
      <c r="DR209" s="3"/>
      <c r="DS209" s="1" t="str">
        <f>_xlfn.XLOOKUP(OfficeForms.Table[[#This Row],[Selecione a Categoria do Laboratório desta atividade prática:]],Planilha1!A:A,Planilha1!B:B)</f>
        <v>EMF-ISN</v>
      </c>
      <c r="DT209" s="1" t="str">
        <f>CONCATENATE(OfficeForms.Table[[#This Row],[Selecione seu Polo Laboratório de Atividades Presenciais:]],OfficeForms.Table[[#This Row],[CHAVE CONVERSÃO]])</f>
        <v>Herval D'Oeste/SCEMF-ISN</v>
      </c>
      <c r="DU20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20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20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209" s="1" t="str">
        <f>_xlfn.XLOOKUP(OfficeForms.Table[[#This Row],[CHAVE LINK POLO]],'[1]Quadro Geral de Lotação'!$B:$B,'[1]Quadro Geral de Lotação'!$I:$I)</f>
        <v>Maksllene Ingrid De Souza Cavalcanti Spessatto</v>
      </c>
      <c r="DY209" s="1" t="str">
        <f>OfficeForms.Table[[#This Row],[Selecione a Ordem de Disciplina]]</f>
        <v>Ordem 2</v>
      </c>
    </row>
    <row r="210" spans="1:129" ht="34.15" customHeight="1">
      <c r="A210" s="1">
        <v>210</v>
      </c>
      <c r="B210" s="2">
        <v>46094.835347222201</v>
      </c>
      <c r="C210" s="2">
        <v>46094.837141203701</v>
      </c>
      <c r="D210" s="3" t="s">
        <v>181</v>
      </c>
      <c r="E210" s="3" t="s">
        <v>182</v>
      </c>
      <c r="G210" s="3"/>
      <c r="I210" s="3" t="s">
        <v>183</v>
      </c>
      <c r="K210" s="3"/>
      <c r="L210" s="1" t="s">
        <v>678</v>
      </c>
      <c r="O210" s="3" t="s">
        <v>184</v>
      </c>
      <c r="Q210" s="3"/>
      <c r="R210" s="3"/>
      <c r="T210" s="3"/>
      <c r="U210" s="5"/>
      <c r="W210" s="3"/>
      <c r="Z210" s="3"/>
      <c r="AA210" s="3"/>
      <c r="AC210" s="3"/>
      <c r="AD210" s="3"/>
      <c r="AF210" s="3"/>
      <c r="AG210" s="3" t="s">
        <v>316</v>
      </c>
      <c r="AI210" s="3"/>
      <c r="AJ210" s="1">
        <v>46094</v>
      </c>
      <c r="AL210" s="3"/>
      <c r="AM210" s="1">
        <v>0</v>
      </c>
      <c r="AO210" s="3"/>
      <c r="AP210" s="3" t="s">
        <v>819</v>
      </c>
      <c r="AR210" s="3"/>
      <c r="AS210" s="3" t="s">
        <v>820</v>
      </c>
      <c r="AU210" s="3"/>
      <c r="AV210" s="3"/>
      <c r="AX210" s="3"/>
      <c r="AY210" s="5"/>
      <c r="BA210" s="3"/>
      <c r="BD210" s="3"/>
      <c r="BE210" s="3"/>
      <c r="BG210" s="3"/>
      <c r="BH210" s="3"/>
      <c r="BJ210" s="3"/>
      <c r="BK210" s="3"/>
      <c r="BM210" s="3"/>
      <c r="BN210" s="5"/>
      <c r="BP210" s="3"/>
      <c r="BS210" s="3"/>
      <c r="BT210" s="3"/>
      <c r="BV210" s="3"/>
      <c r="BW210" s="3"/>
      <c r="BY210" s="3"/>
      <c r="BZ210" s="3"/>
      <c r="CB210" s="3"/>
      <c r="CC210" s="5"/>
      <c r="CE210" s="3"/>
      <c r="CH210" s="3"/>
      <c r="CI210" s="3"/>
      <c r="CK210" s="3"/>
      <c r="CL210" s="3"/>
      <c r="CN210" s="3"/>
      <c r="CO210" s="3"/>
      <c r="CQ210" s="3"/>
      <c r="CR210" s="5"/>
      <c r="CT210" s="3"/>
      <c r="CW210" s="3"/>
      <c r="CX210" s="3"/>
      <c r="CZ210" s="3"/>
      <c r="DA210" s="3"/>
      <c r="DC210" s="3"/>
      <c r="DD210" s="3"/>
      <c r="DF210" s="3"/>
      <c r="DG210" s="5"/>
      <c r="DI210" s="3"/>
      <c r="DL210" s="3"/>
      <c r="DM210" s="3"/>
      <c r="DO210" s="3"/>
      <c r="DP210" s="3"/>
      <c r="DR210" s="3"/>
      <c r="DS210" s="1" t="str">
        <f>_xlfn.XLOOKUP(OfficeForms.Table[[#This Row],[Selecione a Categoria do Laboratório desta atividade prática:]],Planilha1!A:A,Planilha1!B:B)</f>
        <v>EMF-ISN</v>
      </c>
      <c r="DT210" s="1" t="str">
        <f>CONCATENATE(OfficeForms.Table[[#This Row],[Selecione seu Polo Laboratório de Atividades Presenciais:]],OfficeForms.Table[[#This Row],[CHAVE CONVERSÃO]])</f>
        <v>Herval D'Oeste/SCEMF-ISN</v>
      </c>
      <c r="DU21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21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21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10" s="1" t="str">
        <f>_xlfn.XLOOKUP(OfficeForms.Table[[#This Row],[CHAVE LINK POLO]],'[1]Quadro Geral de Lotação'!$B:$B,'[1]Quadro Geral de Lotação'!$I:$I)</f>
        <v>Maksllene Ingrid De Souza Cavalcanti Spessatto</v>
      </c>
      <c r="DY210" s="1" t="str">
        <f>OfficeForms.Table[[#This Row],[Selecione a Ordem de Disciplina]]</f>
        <v>Ordem 2</v>
      </c>
    </row>
    <row r="211" spans="1:129" ht="34.15" customHeight="1">
      <c r="A211" s="1">
        <v>211</v>
      </c>
      <c r="B211" s="2">
        <v>46094.840752314798</v>
      </c>
      <c r="C211" s="2">
        <v>46094.843506944402</v>
      </c>
      <c r="D211" s="3" t="s">
        <v>297</v>
      </c>
      <c r="E211" s="3" t="s">
        <v>298</v>
      </c>
      <c r="G211" s="3"/>
      <c r="I211" s="3" t="s">
        <v>299</v>
      </c>
      <c r="K211" s="3"/>
      <c r="L211" s="1" t="s">
        <v>678</v>
      </c>
      <c r="O211" s="3" t="s">
        <v>156</v>
      </c>
      <c r="Q211" s="3"/>
      <c r="R211" s="3"/>
      <c r="T211" s="3"/>
      <c r="U211" s="5"/>
      <c r="W211" s="3"/>
      <c r="Z211" s="3"/>
      <c r="AA211" s="3"/>
      <c r="AC211" s="3"/>
      <c r="AD211" s="3"/>
      <c r="AF211" s="3"/>
      <c r="AG211" s="3"/>
      <c r="AI211" s="3"/>
      <c r="AJ211" s="1"/>
      <c r="AL211" s="3"/>
      <c r="AO211" s="3"/>
      <c r="AP211" s="3"/>
      <c r="AR211" s="3"/>
      <c r="AS211" s="3"/>
      <c r="AU211" s="3"/>
      <c r="AV211" s="3"/>
      <c r="AX211" s="3"/>
      <c r="AY211" s="5"/>
      <c r="BA211" s="3"/>
      <c r="BD211" s="3"/>
      <c r="BE211" s="3"/>
      <c r="BG211" s="3"/>
      <c r="BH211" s="3"/>
      <c r="BJ211" s="3"/>
      <c r="BK211" s="3" t="s">
        <v>260</v>
      </c>
      <c r="BM211" s="3"/>
      <c r="BN211" s="5">
        <v>46091</v>
      </c>
      <c r="BP211" s="3"/>
      <c r="BQ211" s="1">
        <v>5</v>
      </c>
      <c r="BS211" s="3"/>
      <c r="BT211" s="3" t="s">
        <v>821</v>
      </c>
      <c r="BV211" s="3"/>
      <c r="BW211" s="3" t="s">
        <v>822</v>
      </c>
      <c r="BY211" s="3"/>
      <c r="BZ211" s="3"/>
      <c r="CB211" s="3"/>
      <c r="CC211" s="5"/>
      <c r="CE211" s="3"/>
      <c r="CH211" s="3"/>
      <c r="CI211" s="3"/>
      <c r="CK211" s="3"/>
      <c r="CL211" s="3"/>
      <c r="CN211" s="3"/>
      <c r="CO211" s="3"/>
      <c r="CQ211" s="3"/>
      <c r="CR211" s="5"/>
      <c r="CT211" s="3"/>
      <c r="CW211" s="3"/>
      <c r="CX211" s="3"/>
      <c r="CZ211" s="3"/>
      <c r="DA211" s="3"/>
      <c r="DC211" s="3"/>
      <c r="DD211" s="3"/>
      <c r="DF211" s="3"/>
      <c r="DG211" s="5"/>
      <c r="DI211" s="3"/>
      <c r="DL211" s="3"/>
      <c r="DM211" s="3"/>
      <c r="DO211" s="3"/>
      <c r="DP211" s="3"/>
      <c r="DR211" s="3"/>
      <c r="DS211" s="1" t="str">
        <f>_xlfn.XLOOKUP(OfficeForms.Table[[#This Row],[Selecione a Categoria do Laboratório desta atividade prática:]],Planilha1!A:A,Planilha1!B:B)</f>
        <v>NTR</v>
      </c>
      <c r="DT211" s="1" t="str">
        <f>CONCATENATE(OfficeForms.Table[[#This Row],[Selecione seu Polo Laboratório de Atividades Presenciais:]],OfficeForms.Table[[#This Row],[CHAVE CONVERSÃO]])</f>
        <v>Indaial/SC - Vitória Regia ( Centro Universitário  Leonardo da Vinci)NTR</v>
      </c>
      <c r="DU21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Terapia nutricional enteral e suplementação oral</v>
      </c>
      <c r="DV21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21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211" s="1" t="str">
        <f>_xlfn.XLOOKUP(OfficeForms.Table[[#This Row],[CHAVE LINK POLO]],'[1]Quadro Geral de Lotação'!$B:$B,'[1]Quadro Geral de Lotação'!$I:$I)</f>
        <v>-</v>
      </c>
      <c r="DY211" s="1" t="str">
        <f>OfficeForms.Table[[#This Row],[Selecione a Ordem de Disciplina]]</f>
        <v>Ordem 2</v>
      </c>
    </row>
    <row r="212" spans="1:129" ht="34.15" customHeight="1">
      <c r="A212" s="1">
        <v>212</v>
      </c>
      <c r="B212" s="2">
        <v>46094.8410532407</v>
      </c>
      <c r="C212" s="2">
        <v>46094.85</v>
      </c>
      <c r="D212" s="3" t="s">
        <v>823</v>
      </c>
      <c r="E212" s="3" t="s">
        <v>824</v>
      </c>
      <c r="G212" s="3"/>
      <c r="I212" s="3" t="s">
        <v>825</v>
      </c>
      <c r="K212" s="3"/>
      <c r="L212" s="1" t="s">
        <v>132</v>
      </c>
      <c r="O212" s="3" t="s">
        <v>133</v>
      </c>
      <c r="Q212" s="3"/>
      <c r="R212" s="3"/>
      <c r="T212" s="3"/>
      <c r="U212" s="5"/>
      <c r="W212" s="3"/>
      <c r="Z212" s="3"/>
      <c r="AA212" s="3"/>
      <c r="AC212" s="3"/>
      <c r="AD212" s="3"/>
      <c r="AF212" s="3"/>
      <c r="AG212" s="3"/>
      <c r="AI212" s="3"/>
      <c r="AJ212" s="1"/>
      <c r="AL212" s="3"/>
      <c r="AO212" s="3"/>
      <c r="AP212" s="3"/>
      <c r="AR212" s="3"/>
      <c r="AS212" s="3"/>
      <c r="AU212" s="3"/>
      <c r="AV212" s="3" t="s">
        <v>826</v>
      </c>
      <c r="AX212" s="3"/>
      <c r="AY212" s="5">
        <v>46074</v>
      </c>
      <c r="BA212" s="3"/>
      <c r="BB212" s="1">
        <v>8</v>
      </c>
      <c r="BD212" s="3"/>
      <c r="BE212" s="3" t="s">
        <v>827</v>
      </c>
      <c r="BG212" s="3"/>
      <c r="BH212" s="3" t="s">
        <v>828</v>
      </c>
      <c r="BJ212" s="3"/>
      <c r="BK212" s="3"/>
      <c r="BM212" s="3"/>
      <c r="BN212" s="5"/>
      <c r="BP212" s="3"/>
      <c r="BS212" s="3"/>
      <c r="BT212" s="3"/>
      <c r="BV212" s="3"/>
      <c r="BW212" s="3"/>
      <c r="BY212" s="3"/>
      <c r="BZ212" s="3"/>
      <c r="CB212" s="3"/>
      <c r="CC212" s="5"/>
      <c r="CE212" s="3"/>
      <c r="CH212" s="3"/>
      <c r="CI212" s="3"/>
      <c r="CK212" s="3"/>
      <c r="CL212" s="3"/>
      <c r="CN212" s="3"/>
      <c r="CO212" s="3"/>
      <c r="CQ212" s="3"/>
      <c r="CR212" s="5"/>
      <c r="CT212" s="3"/>
      <c r="CW212" s="3"/>
      <c r="CX212" s="3"/>
      <c r="CZ212" s="3"/>
      <c r="DA212" s="3"/>
      <c r="DC212" s="3"/>
      <c r="DD212" s="3"/>
      <c r="DF212" s="3"/>
      <c r="DG212" s="5"/>
      <c r="DI212" s="3"/>
      <c r="DL212" s="3"/>
      <c r="DM212" s="3"/>
      <c r="DO212" s="3"/>
      <c r="DP212" s="3"/>
      <c r="DR212" s="3"/>
      <c r="DS212" s="1" t="str">
        <f>_xlfn.XLOOKUP(OfficeForms.Table[[#This Row],[Selecione a Categoria do Laboratório desta atividade prática:]],Planilha1!A:A,Planilha1!B:B)</f>
        <v>BFI</v>
      </c>
      <c r="DT212" s="1" t="str">
        <f>CONCATENATE(OfficeForms.Table[[#This Row],[Selecione seu Polo Laboratório de Atividades Presenciais:]],OfficeForms.Table[[#This Row],[CHAVE CONVERSÃO]])</f>
        <v>Manaus/AM - Cidade NovaBFI</v>
      </c>
      <c r="DU21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Mobilização Articular: Abordagens Terapêuticas em Recursos Manuais;Massagem Geral Terapêutica: Técnicas e Aplicações em Recursos Manuais</v>
      </c>
      <c r="DV21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21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212" s="1" t="str">
        <f>_xlfn.XLOOKUP(OfficeForms.Table[[#This Row],[CHAVE LINK POLO]],'[1]Quadro Geral de Lotação'!$B:$B,'[1]Quadro Geral de Lotação'!$I:$I)</f>
        <v>Sancha Victoria Coelho Cardoso</v>
      </c>
      <c r="DY212" s="1" t="str">
        <f>OfficeForms.Table[[#This Row],[Selecione a Ordem de Disciplina]]</f>
        <v>Ordem 1</v>
      </c>
    </row>
    <row r="213" spans="1:129" ht="34.15" customHeight="1">
      <c r="A213" s="1">
        <v>213</v>
      </c>
      <c r="B213" s="2">
        <v>46094.850115740701</v>
      </c>
      <c r="C213" s="2">
        <v>46094.857592592598</v>
      </c>
      <c r="D213" s="3" t="s">
        <v>823</v>
      </c>
      <c r="E213" s="3" t="s">
        <v>824</v>
      </c>
      <c r="G213" s="3"/>
      <c r="I213" s="3" t="s">
        <v>825</v>
      </c>
      <c r="K213" s="3"/>
      <c r="L213" s="1" t="s">
        <v>132</v>
      </c>
      <c r="O213" s="3" t="s">
        <v>133</v>
      </c>
      <c r="Q213" s="3"/>
      <c r="R213" s="3"/>
      <c r="T213" s="3"/>
      <c r="U213" s="5"/>
      <c r="W213" s="3"/>
      <c r="Z213" s="3"/>
      <c r="AA213" s="3"/>
      <c r="AC213" s="3"/>
      <c r="AD213" s="3"/>
      <c r="AF213" s="3"/>
      <c r="AG213" s="3"/>
      <c r="AI213" s="3"/>
      <c r="AJ213" s="1"/>
      <c r="AL213" s="3"/>
      <c r="AO213" s="3"/>
      <c r="AP213" s="3"/>
      <c r="AR213" s="3"/>
      <c r="AS213" s="3"/>
      <c r="AU213" s="3"/>
      <c r="AV213" s="3" t="s">
        <v>829</v>
      </c>
      <c r="AX213" s="3"/>
      <c r="AY213" s="5">
        <v>46081</v>
      </c>
      <c r="BA213" s="3"/>
      <c r="BB213" s="1">
        <v>1</v>
      </c>
      <c r="BD213" s="3"/>
      <c r="BE213" s="3" t="s">
        <v>830</v>
      </c>
      <c r="BG213" s="3"/>
      <c r="BH213" s="3" t="s">
        <v>831</v>
      </c>
      <c r="BJ213" s="3"/>
      <c r="BK213" s="3"/>
      <c r="BM213" s="3"/>
      <c r="BN213" s="5"/>
      <c r="BP213" s="3"/>
      <c r="BS213" s="3"/>
      <c r="BT213" s="3"/>
      <c r="BV213" s="3"/>
      <c r="BW213" s="3"/>
      <c r="BY213" s="3"/>
      <c r="BZ213" s="3"/>
      <c r="CB213" s="3"/>
      <c r="CC213" s="5"/>
      <c r="CE213" s="3"/>
      <c r="CH213" s="3"/>
      <c r="CI213" s="3"/>
      <c r="CK213" s="3"/>
      <c r="CL213" s="3"/>
      <c r="CN213" s="3"/>
      <c r="CO213" s="3"/>
      <c r="CQ213" s="3"/>
      <c r="CR213" s="5"/>
      <c r="CT213" s="3"/>
      <c r="CW213" s="3"/>
      <c r="CX213" s="3"/>
      <c r="CZ213" s="3"/>
      <c r="DA213" s="3"/>
      <c r="DC213" s="3"/>
      <c r="DD213" s="3"/>
      <c r="DF213" s="3"/>
      <c r="DG213" s="5"/>
      <c r="DI213" s="3"/>
      <c r="DL213" s="3"/>
      <c r="DM213" s="3"/>
      <c r="DO213" s="3"/>
      <c r="DP213" s="3"/>
      <c r="DR213" s="3"/>
      <c r="DS213" s="1" t="str">
        <f>_xlfn.XLOOKUP(OfficeForms.Table[[#This Row],[Selecione a Categoria do Laboratório desta atividade prática:]],Planilha1!A:A,Planilha1!B:B)</f>
        <v>BFI</v>
      </c>
      <c r="DT213" s="1" t="str">
        <f>CONCATENATE(OfficeForms.Table[[#This Row],[Selecione seu Polo Laboratório de Atividades Presenciais:]],OfficeForms.Table[[#This Row],[CHAVE CONVERSÃO]])</f>
        <v>Manaus/AM - Cidade NovaBFI</v>
      </c>
      <c r="DU21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Semiológica Cardiorrespiratória: Técnicas e Protocolos na Fisioterapia Cardiovascular</v>
      </c>
      <c r="DV21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21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13" s="1" t="str">
        <f>_xlfn.XLOOKUP(OfficeForms.Table[[#This Row],[CHAVE LINK POLO]],'[1]Quadro Geral de Lotação'!$B:$B,'[1]Quadro Geral de Lotação'!$I:$I)</f>
        <v>Sancha Victoria Coelho Cardoso</v>
      </c>
      <c r="DY213" s="1" t="str">
        <f>OfficeForms.Table[[#This Row],[Selecione a Ordem de Disciplina]]</f>
        <v>Ordem 1</v>
      </c>
    </row>
    <row r="214" spans="1:129" ht="34.15" customHeight="1">
      <c r="A214" s="1">
        <v>214</v>
      </c>
      <c r="B214" s="2">
        <v>46094.8596875</v>
      </c>
      <c r="C214" s="2">
        <v>46094.861898148098</v>
      </c>
      <c r="D214" s="3" t="s">
        <v>823</v>
      </c>
      <c r="E214" s="3" t="s">
        <v>824</v>
      </c>
      <c r="G214" s="3"/>
      <c r="I214" s="3" t="s">
        <v>825</v>
      </c>
      <c r="K214" s="3"/>
      <c r="L214" s="1" t="s">
        <v>132</v>
      </c>
      <c r="O214" s="3" t="s">
        <v>133</v>
      </c>
      <c r="Q214" s="3"/>
      <c r="R214" s="3"/>
      <c r="T214" s="3"/>
      <c r="U214" s="5"/>
      <c r="W214" s="3"/>
      <c r="Z214" s="3"/>
      <c r="AA214" s="3"/>
      <c r="AC214" s="3"/>
      <c r="AD214" s="3"/>
      <c r="AF214" s="3"/>
      <c r="AG214" s="3"/>
      <c r="AI214" s="3"/>
      <c r="AJ214" s="1"/>
      <c r="AL214" s="3"/>
      <c r="AO214" s="3"/>
      <c r="AP214" s="3"/>
      <c r="AR214" s="3"/>
      <c r="AS214" s="3"/>
      <c r="AU214" s="3"/>
      <c r="AV214" s="3" t="s">
        <v>327</v>
      </c>
      <c r="AX214" s="3"/>
      <c r="AY214" s="5">
        <v>46081</v>
      </c>
      <c r="BA214" s="3"/>
      <c r="BB214" s="1">
        <v>1</v>
      </c>
      <c r="BD214" s="3"/>
      <c r="BE214" s="3" t="s">
        <v>832</v>
      </c>
      <c r="BG214" s="3"/>
      <c r="BH214" s="3" t="s">
        <v>833</v>
      </c>
      <c r="BJ214" s="3"/>
      <c r="BK214" s="3"/>
      <c r="BM214" s="3"/>
      <c r="BN214" s="5"/>
      <c r="BP214" s="3"/>
      <c r="BS214" s="3"/>
      <c r="BT214" s="3"/>
      <c r="BV214" s="3"/>
      <c r="BW214" s="3"/>
      <c r="BY214" s="3"/>
      <c r="BZ214" s="3"/>
      <c r="CB214" s="3"/>
      <c r="CC214" s="5"/>
      <c r="CE214" s="3"/>
      <c r="CH214" s="3"/>
      <c r="CI214" s="3"/>
      <c r="CK214" s="3"/>
      <c r="CL214" s="3"/>
      <c r="CN214" s="3"/>
      <c r="CO214" s="3"/>
      <c r="CQ214" s="3"/>
      <c r="CR214" s="5"/>
      <c r="CT214" s="3"/>
      <c r="CW214" s="3"/>
      <c r="CX214" s="3"/>
      <c r="CZ214" s="3"/>
      <c r="DA214" s="3"/>
      <c r="DC214" s="3"/>
      <c r="DD214" s="3"/>
      <c r="DF214" s="3"/>
      <c r="DG214" s="5"/>
      <c r="DI214" s="3"/>
      <c r="DL214" s="3"/>
      <c r="DM214" s="3"/>
      <c r="DO214" s="3"/>
      <c r="DP214" s="3"/>
      <c r="DR214" s="3"/>
      <c r="DS214" s="1" t="str">
        <f>_xlfn.XLOOKUP(OfficeForms.Table[[#This Row],[Selecione a Categoria do Laboratório desta atividade prática:]],Planilha1!A:A,Planilha1!B:B)</f>
        <v>BFI</v>
      </c>
      <c r="DT214" s="1" t="str">
        <f>CONCATENATE(OfficeForms.Table[[#This Row],[Selecione seu Polo Laboratório de Atividades Presenciais:]],OfficeForms.Table[[#This Row],[CHAVE CONVERSÃO]])</f>
        <v>Manaus/AM - Cidade NovaBFI</v>
      </c>
      <c r="DU21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Inferiores : Prática em Fisioterapia Traumato-Ortopédica</v>
      </c>
      <c r="DV21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21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14" s="1" t="str">
        <f>_xlfn.XLOOKUP(OfficeForms.Table[[#This Row],[CHAVE LINK POLO]],'[1]Quadro Geral de Lotação'!$B:$B,'[1]Quadro Geral de Lotação'!$I:$I)</f>
        <v>Sancha Victoria Coelho Cardoso</v>
      </c>
      <c r="DY214" s="1" t="str">
        <f>OfficeForms.Table[[#This Row],[Selecione a Ordem de Disciplina]]</f>
        <v>Ordem 1</v>
      </c>
    </row>
    <row r="215" spans="1:129" ht="34.15" customHeight="1">
      <c r="A215" s="1">
        <v>215</v>
      </c>
      <c r="B215" s="2">
        <v>46094.862442129597</v>
      </c>
      <c r="C215" s="2">
        <v>46094.869201388901</v>
      </c>
      <c r="D215" s="3" t="s">
        <v>823</v>
      </c>
      <c r="E215" s="3" t="s">
        <v>824</v>
      </c>
      <c r="G215" s="3"/>
      <c r="I215" s="3" t="s">
        <v>825</v>
      </c>
      <c r="K215" s="3"/>
      <c r="L215" s="1" t="s">
        <v>132</v>
      </c>
      <c r="O215" s="3" t="s">
        <v>133</v>
      </c>
      <c r="Q215" s="3"/>
      <c r="R215" s="3"/>
      <c r="T215" s="3"/>
      <c r="U215" s="5"/>
      <c r="W215" s="3"/>
      <c r="Z215" s="3"/>
      <c r="AA215" s="3"/>
      <c r="AC215" s="3"/>
      <c r="AD215" s="3"/>
      <c r="AF215" s="3"/>
      <c r="AG215" s="3"/>
      <c r="AI215" s="3"/>
      <c r="AJ215" s="1"/>
      <c r="AL215" s="3"/>
      <c r="AO215" s="3"/>
      <c r="AP215" s="3"/>
      <c r="AR215" s="3"/>
      <c r="AS215" s="3"/>
      <c r="AU215" s="3"/>
      <c r="AV215" s="3" t="s">
        <v>834</v>
      </c>
      <c r="AX215" s="3"/>
      <c r="AY215" s="5">
        <v>46088</v>
      </c>
      <c r="BA215" s="3"/>
      <c r="BB215" s="1">
        <v>4</v>
      </c>
      <c r="BD215" s="3"/>
      <c r="BE215" s="3" t="s">
        <v>835</v>
      </c>
      <c r="BG215" s="3"/>
      <c r="BH215" s="3" t="s">
        <v>836</v>
      </c>
      <c r="BJ215" s="3"/>
      <c r="BK215" s="3"/>
      <c r="BM215" s="3"/>
      <c r="BN215" s="5"/>
      <c r="BP215" s="3"/>
      <c r="BS215" s="3"/>
      <c r="BT215" s="3"/>
      <c r="BV215" s="3"/>
      <c r="BW215" s="3"/>
      <c r="BY215" s="3"/>
      <c r="BZ215" s="3"/>
      <c r="CB215" s="3"/>
      <c r="CC215" s="5"/>
      <c r="CE215" s="3"/>
      <c r="CH215" s="3"/>
      <c r="CI215" s="3"/>
      <c r="CK215" s="3"/>
      <c r="CL215" s="3"/>
      <c r="CN215" s="3"/>
      <c r="CO215" s="3"/>
      <c r="CQ215" s="3"/>
      <c r="CR215" s="5"/>
      <c r="CT215" s="3"/>
      <c r="CW215" s="3"/>
      <c r="CX215" s="3"/>
      <c r="CZ215" s="3"/>
      <c r="DA215" s="3"/>
      <c r="DC215" s="3"/>
      <c r="DD215" s="3"/>
      <c r="DF215" s="3"/>
      <c r="DG215" s="5"/>
      <c r="DI215" s="3"/>
      <c r="DL215" s="3"/>
      <c r="DM215" s="3"/>
      <c r="DO215" s="3"/>
      <c r="DP215" s="3"/>
      <c r="DR215" s="3"/>
      <c r="DS215" s="1" t="str">
        <f>_xlfn.XLOOKUP(OfficeForms.Table[[#This Row],[Selecione a Categoria do Laboratório desta atividade prática:]],Planilha1!A:A,Planilha1!B:B)</f>
        <v>BFI</v>
      </c>
      <c r="DT215" s="1" t="str">
        <f>CONCATENATE(OfficeForms.Table[[#This Row],[Selecione seu Polo Laboratório de Atividades Presenciais:]],OfficeForms.Table[[#This Row],[CHAVE CONVERSÃO]])</f>
        <v>Manaus/AM - Cidade NovaBFI</v>
      </c>
      <c r="DU21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Fisioterapia com Próteses: Reabilitação Funcional e Adaptação ao Uso de Próteses;Prática Terapêutica com Órteses: Abordagens Funcionais na Reabilitação Musculoesquelética</v>
      </c>
      <c r="DV21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21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15" s="1" t="str">
        <f>_xlfn.XLOOKUP(OfficeForms.Table[[#This Row],[CHAVE LINK POLO]],'[1]Quadro Geral de Lotação'!$B:$B,'[1]Quadro Geral de Lotação'!$I:$I)</f>
        <v>Sancha Victoria Coelho Cardoso</v>
      </c>
      <c r="DY215" s="1" t="str">
        <f>OfficeForms.Table[[#This Row],[Selecione a Ordem de Disciplina]]</f>
        <v>Ordem 1</v>
      </c>
    </row>
    <row r="216" spans="1:129" ht="34.15" customHeight="1">
      <c r="A216" s="1">
        <v>216</v>
      </c>
      <c r="B216" s="2">
        <v>46094.869247685201</v>
      </c>
      <c r="C216" s="2">
        <v>46094.8733796296</v>
      </c>
      <c r="D216" s="3" t="s">
        <v>823</v>
      </c>
      <c r="E216" s="3" t="s">
        <v>824</v>
      </c>
      <c r="G216" s="3"/>
      <c r="I216" s="3" t="s">
        <v>825</v>
      </c>
      <c r="K216" s="3"/>
      <c r="L216" s="1" t="s">
        <v>132</v>
      </c>
      <c r="O216" s="3" t="s">
        <v>133</v>
      </c>
      <c r="Q216" s="3"/>
      <c r="R216" s="3"/>
      <c r="T216" s="3"/>
      <c r="U216" s="5"/>
      <c r="W216" s="3"/>
      <c r="Z216" s="3"/>
      <c r="AA216" s="3"/>
      <c r="AC216" s="3"/>
      <c r="AD216" s="3"/>
      <c r="AF216" s="3"/>
      <c r="AG216" s="3"/>
      <c r="AI216" s="3"/>
      <c r="AJ216" s="1"/>
      <c r="AL216" s="3"/>
      <c r="AO216" s="3"/>
      <c r="AP216" s="3"/>
      <c r="AR216" s="3"/>
      <c r="AS216" s="3"/>
      <c r="AU216" s="3"/>
      <c r="AV216" s="3" t="s">
        <v>837</v>
      </c>
      <c r="AX216" s="3"/>
      <c r="AY216" s="5">
        <v>46091</v>
      </c>
      <c r="BA216" s="3"/>
      <c r="BB216" s="1">
        <v>2</v>
      </c>
      <c r="BD216" s="3"/>
      <c r="BE216" s="3" t="s">
        <v>838</v>
      </c>
      <c r="BG216" s="3"/>
      <c r="BH216" s="3" t="s">
        <v>839</v>
      </c>
      <c r="BJ216" s="3"/>
      <c r="BK216" s="3"/>
      <c r="BM216" s="3"/>
      <c r="BN216" s="5"/>
      <c r="BP216" s="3"/>
      <c r="BS216" s="3"/>
      <c r="BT216" s="3"/>
      <c r="BV216" s="3"/>
      <c r="BW216" s="3"/>
      <c r="BY216" s="3"/>
      <c r="BZ216" s="3"/>
      <c r="CB216" s="3"/>
      <c r="CC216" s="5"/>
      <c r="CE216" s="3"/>
      <c r="CH216" s="3"/>
      <c r="CI216" s="3"/>
      <c r="CK216" s="3"/>
      <c r="CL216" s="3"/>
      <c r="CN216" s="3"/>
      <c r="CO216" s="3"/>
      <c r="CQ216" s="3"/>
      <c r="CR216" s="5"/>
      <c r="CT216" s="3"/>
      <c r="CW216" s="3"/>
      <c r="CX216" s="3"/>
      <c r="CZ216" s="3"/>
      <c r="DA216" s="3"/>
      <c r="DC216" s="3"/>
      <c r="DD216" s="3"/>
      <c r="DF216" s="3"/>
      <c r="DG216" s="5"/>
      <c r="DI216" s="3"/>
      <c r="DL216" s="3"/>
      <c r="DM216" s="3"/>
      <c r="DO216" s="3"/>
      <c r="DP216" s="3"/>
      <c r="DR216" s="3"/>
      <c r="DS216" s="1" t="str">
        <f>_xlfn.XLOOKUP(OfficeForms.Table[[#This Row],[Selecione a Categoria do Laboratório desta atividade prática:]],Planilha1!A:A,Planilha1!B:B)</f>
        <v>BFI</v>
      </c>
      <c r="DT216" s="1" t="str">
        <f>CONCATENATE(OfficeForms.Table[[#This Row],[Selecione seu Polo Laboratório de Atividades Presenciais:]],OfficeForms.Table[[#This Row],[CHAVE CONVERSÃO]])</f>
        <v>Manaus/AM - Cidade NovaBFI</v>
      </c>
      <c r="DU21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Traumato-Ortopédica em Coluna Vertebral: Manejo de Disfunções Cervicais, Torácicas e Lombares;Avaliação e Reabilitação Funcional dos Membros Superiores: Prática em Fisioterapia Traumato-Ortopédica</v>
      </c>
      <c r="DV21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21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216" s="1" t="str">
        <f>_xlfn.XLOOKUP(OfficeForms.Table[[#This Row],[CHAVE LINK POLO]],'[1]Quadro Geral de Lotação'!$B:$B,'[1]Quadro Geral de Lotação'!$I:$I)</f>
        <v>Sancha Victoria Coelho Cardoso</v>
      </c>
      <c r="DY216" s="1" t="str">
        <f>OfficeForms.Table[[#This Row],[Selecione a Ordem de Disciplina]]</f>
        <v>Ordem 1</v>
      </c>
    </row>
    <row r="217" spans="1:129" ht="34.15" customHeight="1">
      <c r="A217" s="1">
        <v>217</v>
      </c>
      <c r="B217" s="2">
        <v>46094.882488425901</v>
      </c>
      <c r="C217" s="2">
        <v>46094.886909722198</v>
      </c>
      <c r="D217" s="3" t="s">
        <v>417</v>
      </c>
      <c r="E217" s="3" t="s">
        <v>418</v>
      </c>
      <c r="G217" s="3"/>
      <c r="I217" s="3" t="s">
        <v>131</v>
      </c>
      <c r="K217" s="3"/>
      <c r="L217" s="1" t="s">
        <v>132</v>
      </c>
      <c r="O217" s="3" t="s">
        <v>184</v>
      </c>
      <c r="Q217" s="3"/>
      <c r="R217" s="3"/>
      <c r="T217" s="3"/>
      <c r="U217" s="5"/>
      <c r="W217" s="3"/>
      <c r="Z217" s="3"/>
      <c r="AA217" s="3"/>
      <c r="AC217" s="3"/>
      <c r="AD217" s="3"/>
      <c r="AF217" s="3"/>
      <c r="AG217" s="3" t="s">
        <v>414</v>
      </c>
      <c r="AI217" s="3"/>
      <c r="AJ217" s="5">
        <v>46094</v>
      </c>
      <c r="AL217" s="3"/>
      <c r="AM217" s="1">
        <v>0</v>
      </c>
      <c r="AO217" s="3"/>
      <c r="AP217" s="3" t="s">
        <v>840</v>
      </c>
      <c r="AR217" s="3"/>
      <c r="AS217" s="3" t="s">
        <v>841</v>
      </c>
      <c r="AU217" s="3"/>
      <c r="AV217" s="3"/>
      <c r="AX217" s="3"/>
      <c r="AY217" s="5"/>
      <c r="BA217" s="3"/>
      <c r="BD217" s="3"/>
      <c r="BE217" s="3"/>
      <c r="BG217" s="3"/>
      <c r="BH217" s="3"/>
      <c r="BJ217" s="3"/>
      <c r="BK217" s="3"/>
      <c r="BM217" s="3"/>
      <c r="BN217" s="5"/>
      <c r="BP217" s="3"/>
      <c r="BS217" s="3"/>
      <c r="BT217" s="3"/>
      <c r="BV217" s="3"/>
      <c r="BW217" s="3"/>
      <c r="BY217" s="3"/>
      <c r="BZ217" s="3"/>
      <c r="CB217" s="3"/>
      <c r="CC217" s="5"/>
      <c r="CE217" s="3"/>
      <c r="CH217" s="3"/>
      <c r="CI217" s="3"/>
      <c r="CK217" s="3"/>
      <c r="CL217" s="3"/>
      <c r="CN217" s="3"/>
      <c r="CO217" s="3"/>
      <c r="CQ217" s="3"/>
      <c r="CR217" s="5"/>
      <c r="CT217" s="3"/>
      <c r="CW217" s="3"/>
      <c r="CX217" s="3"/>
      <c r="CZ217" s="3"/>
      <c r="DA217" s="3"/>
      <c r="DC217" s="3"/>
      <c r="DD217" s="3"/>
      <c r="DF217" s="3"/>
      <c r="DG217" s="5"/>
      <c r="DI217" s="3"/>
      <c r="DL217" s="3"/>
      <c r="DM217" s="3"/>
      <c r="DO217" s="3"/>
      <c r="DP217" s="3"/>
      <c r="DR217" s="3"/>
      <c r="DS217" s="1" t="str">
        <f>_xlfn.XLOOKUP(OfficeForms.Table[[#This Row],[Selecione a Categoria do Laboratório desta atividade prática:]],Planilha1!A:A,Planilha1!B:B)</f>
        <v>EMF-ISN</v>
      </c>
      <c r="DT217" s="1" t="str">
        <f>CONCATENATE(OfficeForms.Table[[#This Row],[Selecione seu Polo Laboratório de Atividades Presenciais:]],OfficeForms.Table[[#This Row],[CHAVE CONVERSÃO]])</f>
        <v>Guarujá/SPEMF-ISN</v>
      </c>
      <c r="DU21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21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21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17" s="1" t="str">
        <f>_xlfn.XLOOKUP(OfficeForms.Table[[#This Row],[CHAVE LINK POLO]],'[1]Quadro Geral de Lotação'!$B:$B,'[1]Quadro Geral de Lotação'!$I:$I)</f>
        <v>Marilene Da Fonseca Magalhaes Silva</v>
      </c>
      <c r="DY217" s="1" t="str">
        <f>OfficeForms.Table[[#This Row],[Selecione a Ordem de Disciplina]]</f>
        <v>Ordem 1</v>
      </c>
    </row>
    <row r="218" spans="1:129" ht="34.15" customHeight="1">
      <c r="A218" s="1">
        <v>218</v>
      </c>
      <c r="B218" s="2">
        <v>46094.902245370402</v>
      </c>
      <c r="C218" s="2">
        <v>46094.935543981497</v>
      </c>
      <c r="D218" s="3" t="s">
        <v>842</v>
      </c>
      <c r="E218" s="3" t="s">
        <v>843</v>
      </c>
      <c r="G218" s="3"/>
      <c r="I218" s="3" t="s">
        <v>545</v>
      </c>
      <c r="K218" s="3"/>
      <c r="L218" s="1" t="s">
        <v>132</v>
      </c>
      <c r="O218" s="3" t="s">
        <v>184</v>
      </c>
      <c r="Q218" s="3"/>
      <c r="R218" s="3"/>
      <c r="T218" s="3"/>
      <c r="U218" s="5"/>
      <c r="W218" s="3"/>
      <c r="Z218" s="3"/>
      <c r="AA218" s="3"/>
      <c r="AC218" s="3"/>
      <c r="AD218" s="3"/>
      <c r="AF218" s="3"/>
      <c r="AG218" s="3" t="s">
        <v>844</v>
      </c>
      <c r="AI218" s="3"/>
      <c r="AJ218" s="1">
        <v>46076</v>
      </c>
      <c r="AL218" s="3"/>
      <c r="AM218" s="1">
        <v>15</v>
      </c>
      <c r="AO218" s="3"/>
      <c r="AP218" s="3" t="s">
        <v>845</v>
      </c>
      <c r="AR218" s="3"/>
      <c r="AS218" s="3" t="s">
        <v>846</v>
      </c>
      <c r="AU218" s="3"/>
      <c r="AV218" s="3"/>
      <c r="AX218" s="3"/>
      <c r="AY218" s="5"/>
      <c r="BA218" s="3"/>
      <c r="BD218" s="3"/>
      <c r="BE218" s="3"/>
      <c r="BG218" s="3"/>
      <c r="BH218" s="3"/>
      <c r="BJ218" s="3"/>
      <c r="BK218" s="3"/>
      <c r="BM218" s="3"/>
      <c r="BN218" s="5"/>
      <c r="BP218" s="3"/>
      <c r="BS218" s="3"/>
      <c r="BT218" s="3"/>
      <c r="BV218" s="3"/>
      <c r="BW218" s="3"/>
      <c r="BY218" s="3"/>
      <c r="BZ218" s="3"/>
      <c r="CB218" s="3"/>
      <c r="CC218" s="5"/>
      <c r="CE218" s="3"/>
      <c r="CH218" s="3"/>
      <c r="CI218" s="3"/>
      <c r="CK218" s="3"/>
      <c r="CL218" s="3"/>
      <c r="CN218" s="3"/>
      <c r="CO218" s="3"/>
      <c r="CQ218" s="3"/>
      <c r="CR218" s="5"/>
      <c r="CT218" s="3"/>
      <c r="CW218" s="3"/>
      <c r="CX218" s="3"/>
      <c r="CZ218" s="3"/>
      <c r="DA218" s="3"/>
      <c r="DC218" s="3"/>
      <c r="DD218" s="3"/>
      <c r="DF218" s="3"/>
      <c r="DG218" s="5"/>
      <c r="DI218" s="3"/>
      <c r="DL218" s="3"/>
      <c r="DM218" s="3"/>
      <c r="DO218" s="3"/>
      <c r="DP218" s="3"/>
      <c r="DR218" s="3"/>
      <c r="DS218" s="1" t="str">
        <f>_xlfn.XLOOKUP(OfficeForms.Table[[#This Row],[Selecione a Categoria do Laboratório desta atividade prática:]],Planilha1!A:A,Planilha1!B:B)</f>
        <v>EMF-ISN</v>
      </c>
      <c r="DT218" s="1" t="str">
        <f>CONCATENATE(OfficeForms.Table[[#This Row],[Selecione seu Polo Laboratório de Atividades Presenciais:]],OfficeForms.Table[[#This Row],[CHAVE CONVERSÃO]])</f>
        <v>Porto Alegre/RS - Centro HistóricoEMF-ISN</v>
      </c>
      <c r="DU21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paciente;Curativo;Avaliação corporal + Ausculta pulmonar + Ausculta cardiaca + Verificação de sinais vitais;Aspiração de vias aéreas (com e sem TOT)</v>
      </c>
      <c r="DV21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21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218" s="1" t="str">
        <f>_xlfn.XLOOKUP(OfficeForms.Table[[#This Row],[CHAVE LINK POLO]],'[1]Quadro Geral de Lotação'!$B:$B,'[1]Quadro Geral de Lotação'!$I:$I)</f>
        <v>Ester De Melo Borba</v>
      </c>
      <c r="DY218" s="1" t="str">
        <f>OfficeForms.Table[[#This Row],[Selecione a Ordem de Disciplina]]</f>
        <v>Ordem 1</v>
      </c>
    </row>
    <row r="219" spans="1:129" ht="34.15" customHeight="1">
      <c r="A219" s="1">
        <v>219</v>
      </c>
      <c r="B219" s="2">
        <v>46095.064803240697</v>
      </c>
      <c r="C219" s="2">
        <v>46095.076307870397</v>
      </c>
      <c r="D219" s="3" t="s">
        <v>522</v>
      </c>
      <c r="E219" s="3" t="s">
        <v>523</v>
      </c>
      <c r="G219" s="3"/>
      <c r="I219" s="3" t="s">
        <v>308</v>
      </c>
      <c r="K219" s="3"/>
      <c r="L219" s="1" t="s">
        <v>132</v>
      </c>
      <c r="O219" s="3" t="s">
        <v>133</v>
      </c>
      <c r="Q219" s="3"/>
      <c r="R219" s="3"/>
      <c r="T219" s="3"/>
      <c r="U219" s="5"/>
      <c r="W219" s="3"/>
      <c r="Z219" s="3"/>
      <c r="AA219" s="3"/>
      <c r="AC219" s="3"/>
      <c r="AD219" s="3"/>
      <c r="AF219" s="3"/>
      <c r="AG219" s="3"/>
      <c r="AI219" s="3"/>
      <c r="AJ219" s="1"/>
      <c r="AL219" s="3"/>
      <c r="AO219" s="3"/>
      <c r="AP219" s="3"/>
      <c r="AR219" s="3"/>
      <c r="AS219" s="3"/>
      <c r="AU219" s="3"/>
      <c r="AV219" s="3" t="s">
        <v>847</v>
      </c>
      <c r="AX219" s="3"/>
      <c r="AY219" s="5">
        <v>46080</v>
      </c>
      <c r="BA219" s="3"/>
      <c r="BB219" s="1">
        <v>3</v>
      </c>
      <c r="BD219" s="3"/>
      <c r="BE219" s="3" t="s">
        <v>848</v>
      </c>
      <c r="BG219" s="3"/>
      <c r="BH219" s="3" t="s">
        <v>849</v>
      </c>
      <c r="BJ219" s="3"/>
      <c r="BK219" s="3"/>
      <c r="BM219" s="3"/>
      <c r="BN219" s="5"/>
      <c r="BP219" s="3"/>
      <c r="BS219" s="3"/>
      <c r="BT219" s="3"/>
      <c r="BV219" s="3"/>
      <c r="BW219" s="3"/>
      <c r="BY219" s="3"/>
      <c r="BZ219" s="3"/>
      <c r="CB219" s="3"/>
      <c r="CC219" s="5"/>
      <c r="CE219" s="3"/>
      <c r="CH219" s="3"/>
      <c r="CI219" s="3"/>
      <c r="CK219" s="3"/>
      <c r="CL219" s="3"/>
      <c r="CN219" s="3"/>
      <c r="CO219" s="3"/>
      <c r="CQ219" s="3"/>
      <c r="CR219" s="5"/>
      <c r="CT219" s="3"/>
      <c r="CW219" s="3"/>
      <c r="CX219" s="3"/>
      <c r="CZ219" s="3"/>
      <c r="DA219" s="3"/>
      <c r="DC219" s="3"/>
      <c r="DD219" s="3"/>
      <c r="DF219" s="3"/>
      <c r="DG219" s="5"/>
      <c r="DI219" s="3"/>
      <c r="DL219" s="3"/>
      <c r="DM219" s="3"/>
      <c r="DO219" s="3"/>
      <c r="DP219" s="3"/>
      <c r="DR219" s="3"/>
      <c r="DS219" s="1" t="str">
        <f>_xlfn.XLOOKUP(OfficeForms.Table[[#This Row],[Selecione a Categoria do Laboratório desta atividade prática:]],Planilha1!A:A,Planilha1!B:B)</f>
        <v>BFI</v>
      </c>
      <c r="DT219" s="1" t="str">
        <f>CONCATENATE(OfficeForms.Table[[#This Row],[Selecione seu Polo Laboratório de Atividades Presenciais:]],OfficeForms.Table[[#This Row],[CHAVE CONVERSÃO]])</f>
        <v>Salvador/BA - Caminho das ÁrvoresBFI</v>
      </c>
      <c r="DU21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Geral Terapêutica: Técnicas e Aplicações em Recursos Manuais;Drenagem Linfática</v>
      </c>
      <c r="DV21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21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219" s="1" t="str">
        <f>_xlfn.XLOOKUP(OfficeForms.Table[[#This Row],[CHAVE LINK POLO]],'[1]Quadro Geral de Lotação'!$B:$B,'[1]Quadro Geral de Lotação'!$I:$I)</f>
        <v>Helenice Sacramento Souza Melo</v>
      </c>
      <c r="DY219" s="1" t="str">
        <f>OfficeForms.Table[[#This Row],[Selecione a Ordem de Disciplina]]</f>
        <v>Ordem 1</v>
      </c>
    </row>
    <row r="220" spans="1:129" ht="34.15" customHeight="1">
      <c r="A220" s="1">
        <v>220</v>
      </c>
      <c r="B220" s="2">
        <v>46095.0765046296</v>
      </c>
      <c r="C220" s="2">
        <v>46095.081712963001</v>
      </c>
      <c r="D220" s="3" t="s">
        <v>522</v>
      </c>
      <c r="E220" s="3" t="s">
        <v>523</v>
      </c>
      <c r="G220" s="3"/>
      <c r="I220" s="3" t="s">
        <v>308</v>
      </c>
      <c r="K220" s="3"/>
      <c r="L220" s="1" t="s">
        <v>132</v>
      </c>
      <c r="O220" s="3" t="s">
        <v>133</v>
      </c>
      <c r="Q220" s="3"/>
      <c r="R220" s="3"/>
      <c r="T220" s="3"/>
      <c r="U220" s="5"/>
      <c r="W220" s="3"/>
      <c r="Z220" s="3"/>
      <c r="AA220" s="3"/>
      <c r="AC220" s="3"/>
      <c r="AD220" s="3"/>
      <c r="AF220" s="3"/>
      <c r="AG220" s="3"/>
      <c r="AI220" s="3"/>
      <c r="AJ220" s="1"/>
      <c r="AL220" s="3"/>
      <c r="AO220" s="3"/>
      <c r="AP220" s="3"/>
      <c r="AR220" s="3"/>
      <c r="AS220" s="3"/>
      <c r="AU220" s="3"/>
      <c r="AV220" s="3" t="s">
        <v>540</v>
      </c>
      <c r="AX220" s="3"/>
      <c r="AY220" s="5">
        <v>46087</v>
      </c>
      <c r="BA220" s="3"/>
      <c r="BB220" s="1">
        <v>4</v>
      </c>
      <c r="BD220" s="3"/>
      <c r="BE220" s="3" t="s">
        <v>850</v>
      </c>
      <c r="BG220" s="3"/>
      <c r="BH220" s="3" t="s">
        <v>851</v>
      </c>
      <c r="BJ220" s="3"/>
      <c r="BK220" s="3"/>
      <c r="BM220" s="3"/>
      <c r="BN220" s="5"/>
      <c r="BP220" s="3"/>
      <c r="BS220" s="3"/>
      <c r="BT220" s="3"/>
      <c r="BV220" s="3"/>
      <c r="BW220" s="3"/>
      <c r="BY220" s="3"/>
      <c r="BZ220" s="3"/>
      <c r="CB220" s="3"/>
      <c r="CC220" s="5"/>
      <c r="CE220" s="3"/>
      <c r="CH220" s="3"/>
      <c r="CI220" s="3"/>
      <c r="CK220" s="3"/>
      <c r="CL220" s="3"/>
      <c r="CN220" s="3"/>
      <c r="CO220" s="3"/>
      <c r="CQ220" s="3"/>
      <c r="CR220" s="5"/>
      <c r="CT220" s="3"/>
      <c r="CW220" s="3"/>
      <c r="CX220" s="3"/>
      <c r="CZ220" s="3"/>
      <c r="DA220" s="3"/>
      <c r="DC220" s="3"/>
      <c r="DD220" s="3"/>
      <c r="DF220" s="3"/>
      <c r="DG220" s="5"/>
      <c r="DI220" s="3"/>
      <c r="DL220" s="3"/>
      <c r="DM220" s="3"/>
      <c r="DO220" s="3"/>
      <c r="DP220" s="3"/>
      <c r="DR220" s="3"/>
      <c r="DS220" s="1" t="str">
        <f>_xlfn.XLOOKUP(OfficeForms.Table[[#This Row],[Selecione a Categoria do Laboratório desta atividade prática:]],Planilha1!A:A,Planilha1!B:B)</f>
        <v>BFI</v>
      </c>
      <c r="DT220" s="1" t="str">
        <f>CONCATENATE(OfficeForms.Table[[#This Row],[Selecione seu Polo Laboratório de Atividades Presenciais:]],OfficeForms.Table[[#This Row],[CHAVE CONVERSÃO]])</f>
        <v>Salvador/BA - Caminho das ÁrvoresBFI</v>
      </c>
      <c r="DU22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Mobilização Articular: Abordagens Terapêuticas em Recursos Manuais</v>
      </c>
      <c r="DV22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22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20" s="1" t="str">
        <f>_xlfn.XLOOKUP(OfficeForms.Table[[#This Row],[CHAVE LINK POLO]],'[1]Quadro Geral de Lotação'!$B:$B,'[1]Quadro Geral de Lotação'!$I:$I)</f>
        <v>Helenice Sacramento Souza Melo</v>
      </c>
      <c r="DY220" s="1" t="str">
        <f>OfficeForms.Table[[#This Row],[Selecione a Ordem de Disciplina]]</f>
        <v>Ordem 1</v>
      </c>
    </row>
    <row r="221" spans="1:129" ht="34.15" customHeight="1">
      <c r="A221" s="1">
        <v>221</v>
      </c>
      <c r="B221" s="2">
        <v>46095.082326388903</v>
      </c>
      <c r="C221" s="2">
        <v>46095.093275462998</v>
      </c>
      <c r="D221" s="3" t="s">
        <v>522</v>
      </c>
      <c r="E221" s="3" t="s">
        <v>523</v>
      </c>
      <c r="G221" s="3"/>
      <c r="I221" s="3" t="s">
        <v>308</v>
      </c>
      <c r="K221" s="3"/>
      <c r="L221" s="1" t="s">
        <v>132</v>
      </c>
      <c r="O221" s="3" t="s">
        <v>133</v>
      </c>
      <c r="Q221" s="3"/>
      <c r="R221" s="3"/>
      <c r="T221" s="3"/>
      <c r="U221" s="5"/>
      <c r="W221" s="3"/>
      <c r="Z221" s="3"/>
      <c r="AA221" s="3"/>
      <c r="AC221" s="3"/>
      <c r="AD221" s="3"/>
      <c r="AF221" s="3"/>
      <c r="AG221" s="3"/>
      <c r="AI221" s="3"/>
      <c r="AJ221" s="1"/>
      <c r="AL221" s="3"/>
      <c r="AO221" s="3"/>
      <c r="AP221" s="3"/>
      <c r="AR221" s="3"/>
      <c r="AS221" s="3"/>
      <c r="AU221" s="3"/>
      <c r="AV221" s="3" t="s">
        <v>537</v>
      </c>
      <c r="AX221" s="3"/>
      <c r="AY221" s="5">
        <v>46087</v>
      </c>
      <c r="BA221" s="3"/>
      <c r="BB221" s="1">
        <v>1</v>
      </c>
      <c r="BD221" s="3"/>
      <c r="BE221" s="3" t="s">
        <v>852</v>
      </c>
      <c r="BG221" s="3"/>
      <c r="BH221" s="3" t="s">
        <v>853</v>
      </c>
      <c r="BJ221" s="3"/>
      <c r="BK221" s="3"/>
      <c r="BM221" s="3"/>
      <c r="BN221" s="5"/>
      <c r="BP221" s="3"/>
      <c r="BS221" s="3"/>
      <c r="BT221" s="3"/>
      <c r="BV221" s="3"/>
      <c r="BW221" s="3"/>
      <c r="BY221" s="3"/>
      <c r="BZ221" s="3"/>
      <c r="CB221" s="3"/>
      <c r="CC221" s="5"/>
      <c r="CE221" s="3"/>
      <c r="CH221" s="3"/>
      <c r="CI221" s="3"/>
      <c r="CK221" s="3"/>
      <c r="CL221" s="3"/>
      <c r="CN221" s="3"/>
      <c r="CO221" s="3"/>
      <c r="CQ221" s="3"/>
      <c r="CR221" s="5"/>
      <c r="CT221" s="3"/>
      <c r="CW221" s="3"/>
      <c r="CX221" s="3"/>
      <c r="CZ221" s="3"/>
      <c r="DA221" s="3"/>
      <c r="DC221" s="3"/>
      <c r="DD221" s="3"/>
      <c r="DF221" s="3"/>
      <c r="DG221" s="5"/>
      <c r="DI221" s="3"/>
      <c r="DL221" s="3"/>
      <c r="DM221" s="3"/>
      <c r="DO221" s="3"/>
      <c r="DP221" s="3"/>
      <c r="DR221" s="3"/>
      <c r="DS221" s="1" t="str">
        <f>_xlfn.XLOOKUP(OfficeForms.Table[[#This Row],[Selecione a Categoria do Laboratório desta atividade prática:]],Planilha1!A:A,Planilha1!B:B)</f>
        <v>BFI</v>
      </c>
      <c r="DT221" s="1" t="str">
        <f>CONCATENATE(OfficeForms.Table[[#This Row],[Selecione seu Polo Laboratório de Atividades Presenciais:]],OfficeForms.Table[[#This Row],[CHAVE CONVERSÃO]])</f>
        <v>Salvador/BA - Caminho das ÁrvoresBFI</v>
      </c>
      <c r="DU22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Traumato-Ortopédica em Coluna Vertebral: Manejo de Disfunções Cervicais, Torácicas e Lombares</v>
      </c>
      <c r="DV22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22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21" s="1" t="str">
        <f>_xlfn.XLOOKUP(OfficeForms.Table[[#This Row],[CHAVE LINK POLO]],'[1]Quadro Geral de Lotação'!$B:$B,'[1]Quadro Geral de Lotação'!$I:$I)</f>
        <v>Helenice Sacramento Souza Melo</v>
      </c>
      <c r="DY221" s="1" t="str">
        <f>OfficeForms.Table[[#This Row],[Selecione a Ordem de Disciplina]]</f>
        <v>Ordem 1</v>
      </c>
    </row>
    <row r="222" spans="1:129" ht="34.15" customHeight="1">
      <c r="A222" s="1">
        <v>222</v>
      </c>
      <c r="B222" s="2">
        <v>46095.093634259298</v>
      </c>
      <c r="C222" s="2">
        <v>46095.102581018502</v>
      </c>
      <c r="D222" s="3" t="s">
        <v>522</v>
      </c>
      <c r="E222" s="3" t="s">
        <v>523</v>
      </c>
      <c r="G222" s="3"/>
      <c r="I222" s="3" t="s">
        <v>308</v>
      </c>
      <c r="K222" s="3"/>
      <c r="L222" s="1" t="s">
        <v>132</v>
      </c>
      <c r="O222" s="3" t="s">
        <v>133</v>
      </c>
      <c r="Q222" s="3"/>
      <c r="R222" s="3"/>
      <c r="T222" s="3"/>
      <c r="U222" s="5"/>
      <c r="W222" s="3"/>
      <c r="Z222" s="3"/>
      <c r="AA222" s="3"/>
      <c r="AC222" s="3"/>
      <c r="AD222" s="3"/>
      <c r="AF222" s="3"/>
      <c r="AG222" s="3"/>
      <c r="AI222" s="3"/>
      <c r="AJ222" s="1"/>
      <c r="AL222" s="3"/>
      <c r="AO222" s="3"/>
      <c r="AP222" s="3"/>
      <c r="AR222" s="3"/>
      <c r="AS222" s="3"/>
      <c r="AU222" s="3"/>
      <c r="AV222" s="3" t="s">
        <v>784</v>
      </c>
      <c r="AX222" s="3"/>
      <c r="AY222" s="5">
        <v>46094</v>
      </c>
      <c r="BA222" s="3"/>
      <c r="BB222" s="1">
        <v>1</v>
      </c>
      <c r="BD222" s="3"/>
      <c r="BE222" s="3" t="s">
        <v>854</v>
      </c>
      <c r="BG222" s="3"/>
      <c r="BH222" s="3" t="s">
        <v>855</v>
      </c>
      <c r="BJ222" s="3"/>
      <c r="BK222" s="3"/>
      <c r="BM222" s="3"/>
      <c r="BN222" s="5"/>
      <c r="BP222" s="3"/>
      <c r="BS222" s="3"/>
      <c r="BT222" s="3"/>
      <c r="BV222" s="3"/>
      <c r="BW222" s="3"/>
      <c r="BY222" s="3"/>
      <c r="BZ222" s="3"/>
      <c r="CB222" s="3"/>
      <c r="CC222" s="5"/>
      <c r="CE222" s="3"/>
      <c r="CH222" s="3"/>
      <c r="CI222" s="3"/>
      <c r="CK222" s="3"/>
      <c r="CL222" s="3"/>
      <c r="CN222" s="3"/>
      <c r="CO222" s="3"/>
      <c r="CQ222" s="3"/>
      <c r="CR222" s="5"/>
      <c r="CT222" s="3"/>
      <c r="CW222" s="3"/>
      <c r="CX222" s="3"/>
      <c r="CZ222" s="3"/>
      <c r="DA222" s="3"/>
      <c r="DC222" s="3"/>
      <c r="DD222" s="3"/>
      <c r="DF222" s="3"/>
      <c r="DG222" s="5"/>
      <c r="DI222" s="3"/>
      <c r="DL222" s="3"/>
      <c r="DM222" s="3"/>
      <c r="DO222" s="3"/>
      <c r="DP222" s="3"/>
      <c r="DR222" s="3"/>
      <c r="DS222" s="1" t="str">
        <f>_xlfn.XLOOKUP(OfficeForms.Table[[#This Row],[Selecione a Categoria do Laboratório desta atividade prática:]],Planilha1!A:A,Planilha1!B:B)</f>
        <v>BFI</v>
      </c>
      <c r="DT222" s="1" t="str">
        <f>CONCATENATE(OfficeForms.Table[[#This Row],[Selecione seu Polo Laboratório de Atividades Presenciais:]],OfficeForms.Table[[#This Row],[CHAVE CONVERSÃO]])</f>
        <v>Salvador/BA - Caminho das ÁrvoresBFI</v>
      </c>
      <c r="DU22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Superiores: Prática em Fisioterapia Traumato-Ortopédica;Avaliação e Reabilitação Funcional dos Membros Inferiores : Prática em Fisioterapia Traumato-Ortopédica</v>
      </c>
      <c r="DV22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22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22" s="1" t="str">
        <f>_xlfn.XLOOKUP(OfficeForms.Table[[#This Row],[CHAVE LINK POLO]],'[1]Quadro Geral de Lotação'!$B:$B,'[1]Quadro Geral de Lotação'!$I:$I)</f>
        <v>Helenice Sacramento Souza Melo</v>
      </c>
      <c r="DY222" s="1" t="str">
        <f>OfficeForms.Table[[#This Row],[Selecione a Ordem de Disciplina]]</f>
        <v>Ordem 1</v>
      </c>
    </row>
    <row r="223" spans="1:129" ht="34.15" customHeight="1">
      <c r="A223" s="1">
        <v>223</v>
      </c>
      <c r="B223" s="2">
        <v>46095.400578703702</v>
      </c>
      <c r="C223" s="2">
        <v>46095.403067129599</v>
      </c>
      <c r="D223" s="3" t="s">
        <v>388</v>
      </c>
      <c r="E223" s="3" t="s">
        <v>389</v>
      </c>
      <c r="G223" s="3"/>
      <c r="I223" s="3" t="s">
        <v>390</v>
      </c>
      <c r="K223" s="3"/>
      <c r="L223" s="1" t="s">
        <v>132</v>
      </c>
      <c r="O223" s="3" t="s">
        <v>184</v>
      </c>
      <c r="Q223" s="3"/>
      <c r="R223" s="3"/>
      <c r="T223" s="3"/>
      <c r="U223" s="5"/>
      <c r="W223" s="3"/>
      <c r="Z223" s="3"/>
      <c r="AA223" s="3"/>
      <c r="AC223" s="3"/>
      <c r="AD223" s="3"/>
      <c r="AF223" s="3"/>
      <c r="AG223" s="3" t="s">
        <v>414</v>
      </c>
      <c r="AI223" s="3"/>
      <c r="AJ223" s="1">
        <v>46109</v>
      </c>
      <c r="AL223" s="3"/>
      <c r="AM223" s="1">
        <v>1</v>
      </c>
      <c r="AO223" s="3"/>
      <c r="AP223" s="3" t="s">
        <v>856</v>
      </c>
      <c r="AR223" s="3"/>
      <c r="AS223" s="3" t="s">
        <v>857</v>
      </c>
      <c r="AU223" s="3"/>
      <c r="AV223" s="3"/>
      <c r="AX223" s="3"/>
      <c r="AY223" s="5"/>
      <c r="BA223" s="3"/>
      <c r="BD223" s="3"/>
      <c r="BE223" s="3"/>
      <c r="BG223" s="3"/>
      <c r="BH223" s="3"/>
      <c r="BJ223" s="3"/>
      <c r="BK223" s="3"/>
      <c r="BM223" s="3"/>
      <c r="BN223" s="5"/>
      <c r="BP223" s="3"/>
      <c r="BS223" s="3"/>
      <c r="BT223" s="3"/>
      <c r="BV223" s="3"/>
      <c r="BW223" s="3"/>
      <c r="BY223" s="3"/>
      <c r="BZ223" s="3"/>
      <c r="CB223" s="3"/>
      <c r="CC223" s="5"/>
      <c r="CE223" s="3"/>
      <c r="CH223" s="3"/>
      <c r="CI223" s="3"/>
      <c r="CK223" s="3"/>
      <c r="CL223" s="3"/>
      <c r="CN223" s="3"/>
      <c r="CO223" s="3"/>
      <c r="CQ223" s="3"/>
      <c r="CR223" s="5"/>
      <c r="CT223" s="3"/>
      <c r="CW223" s="3"/>
      <c r="CX223" s="3"/>
      <c r="CZ223" s="3"/>
      <c r="DA223" s="3"/>
      <c r="DC223" s="3"/>
      <c r="DD223" s="3"/>
      <c r="DF223" s="3"/>
      <c r="DG223" s="5"/>
      <c r="DI223" s="3"/>
      <c r="DL223" s="3"/>
      <c r="DM223" s="3"/>
      <c r="DO223" s="3"/>
      <c r="DP223" s="3"/>
      <c r="DR223" s="3"/>
      <c r="DS223" s="1" t="str">
        <f>_xlfn.XLOOKUP(OfficeForms.Table[[#This Row],[Selecione a Categoria do Laboratório desta atividade prática:]],Planilha1!A:A,Planilha1!B:B)</f>
        <v>EMF-ISN</v>
      </c>
      <c r="DT223" s="1" t="str">
        <f>CONCATENATE(OfficeForms.Table[[#This Row],[Selecione seu Polo Laboratório de Atividades Presenciais:]],OfficeForms.Table[[#This Row],[CHAVE CONVERSÃO]])</f>
        <v>Salinópolis/PAEMF-ISN</v>
      </c>
      <c r="DU22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22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22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23" s="1" t="str">
        <f>_xlfn.XLOOKUP(OfficeForms.Table[[#This Row],[CHAVE LINK POLO]],'[1]Quadro Geral de Lotação'!$B:$B,'[1]Quadro Geral de Lotação'!$I:$I)</f>
        <v>Jean Sousa Dos Santos</v>
      </c>
      <c r="DY223" s="1" t="str">
        <f>OfficeForms.Table[[#This Row],[Selecione a Ordem de Disciplina]]</f>
        <v>Ordem 1</v>
      </c>
    </row>
    <row r="224" spans="1:129" ht="34.15" customHeight="1">
      <c r="A224" s="1">
        <v>224</v>
      </c>
      <c r="B224" s="2">
        <v>46095.4031944444</v>
      </c>
      <c r="C224" s="2">
        <v>46095.404861111099</v>
      </c>
      <c r="D224" s="3" t="s">
        <v>388</v>
      </c>
      <c r="E224" s="3" t="s">
        <v>389</v>
      </c>
      <c r="G224" s="3"/>
      <c r="I224" s="3" t="s">
        <v>390</v>
      </c>
      <c r="K224" s="3"/>
      <c r="L224" s="1" t="s">
        <v>132</v>
      </c>
      <c r="O224" s="3" t="s">
        <v>184</v>
      </c>
      <c r="Q224" s="3"/>
      <c r="R224" s="3"/>
      <c r="T224" s="3"/>
      <c r="U224" s="5"/>
      <c r="W224" s="3"/>
      <c r="Z224" s="3"/>
      <c r="AA224" s="3"/>
      <c r="AC224" s="3"/>
      <c r="AD224" s="3"/>
      <c r="AF224" s="3"/>
      <c r="AG224" s="3" t="s">
        <v>316</v>
      </c>
      <c r="AI224" s="3"/>
      <c r="AJ224" s="1">
        <v>46092</v>
      </c>
      <c r="AL224" s="3"/>
      <c r="AM224" s="1">
        <v>0</v>
      </c>
      <c r="AO224" s="3"/>
      <c r="AP224" s="3" t="s">
        <v>858</v>
      </c>
      <c r="AR224" s="3"/>
      <c r="AS224" s="3" t="s">
        <v>859</v>
      </c>
      <c r="AU224" s="3"/>
      <c r="AV224" s="3"/>
      <c r="AX224" s="3"/>
      <c r="AY224" s="5"/>
      <c r="BA224" s="3"/>
      <c r="BD224" s="3"/>
      <c r="BE224" s="3"/>
      <c r="BG224" s="3"/>
      <c r="BH224" s="3"/>
      <c r="BJ224" s="3"/>
      <c r="BK224" s="3"/>
      <c r="BM224" s="3"/>
      <c r="BN224" s="5"/>
      <c r="BP224" s="3"/>
      <c r="BS224" s="3"/>
      <c r="BT224" s="3"/>
      <c r="BV224" s="3"/>
      <c r="BW224" s="3"/>
      <c r="BY224" s="3"/>
      <c r="BZ224" s="3"/>
      <c r="CB224" s="3"/>
      <c r="CC224" s="5"/>
      <c r="CE224" s="3"/>
      <c r="CH224" s="3"/>
      <c r="CI224" s="3"/>
      <c r="CK224" s="3"/>
      <c r="CL224" s="3"/>
      <c r="CN224" s="3"/>
      <c r="CO224" s="3"/>
      <c r="CQ224" s="3"/>
      <c r="CR224" s="5"/>
      <c r="CT224" s="3"/>
      <c r="CW224" s="3"/>
      <c r="CX224" s="3"/>
      <c r="CZ224" s="3"/>
      <c r="DA224" s="3"/>
      <c r="DC224" s="3"/>
      <c r="DD224" s="3"/>
      <c r="DF224" s="3"/>
      <c r="DG224" s="5"/>
      <c r="DI224" s="3"/>
      <c r="DL224" s="3"/>
      <c r="DM224" s="3"/>
      <c r="DO224" s="3"/>
      <c r="DP224" s="3"/>
      <c r="DR224" s="3"/>
      <c r="DS224" s="1" t="str">
        <f>_xlfn.XLOOKUP(OfficeForms.Table[[#This Row],[Selecione a Categoria do Laboratório desta atividade prática:]],Planilha1!A:A,Planilha1!B:B)</f>
        <v>EMF-ISN</v>
      </c>
      <c r="DT224" s="1" t="str">
        <f>CONCATENATE(OfficeForms.Table[[#This Row],[Selecione seu Polo Laboratório de Atividades Presenciais:]],OfficeForms.Table[[#This Row],[CHAVE CONVERSÃO]])</f>
        <v>Salinópolis/PAEMF-ISN</v>
      </c>
      <c r="DU22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22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22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24" s="1" t="str">
        <f>_xlfn.XLOOKUP(OfficeForms.Table[[#This Row],[CHAVE LINK POLO]],'[1]Quadro Geral de Lotação'!$B:$B,'[1]Quadro Geral de Lotação'!$I:$I)</f>
        <v>Jean Sousa Dos Santos</v>
      </c>
      <c r="DY224" s="1" t="str">
        <f>OfficeForms.Table[[#This Row],[Selecione a Ordem de Disciplina]]</f>
        <v>Ordem 1</v>
      </c>
    </row>
    <row r="225" spans="1:129" ht="34.15" customHeight="1">
      <c r="A225" s="1">
        <v>225</v>
      </c>
      <c r="B225" s="2">
        <v>46095.411053240699</v>
      </c>
      <c r="C225" s="2">
        <v>46095.417754629598</v>
      </c>
      <c r="D225" s="3" t="s">
        <v>227</v>
      </c>
      <c r="E225" s="3" t="s">
        <v>228</v>
      </c>
      <c r="G225" s="3"/>
      <c r="I225" s="3" t="s">
        <v>229</v>
      </c>
      <c r="K225" s="3"/>
      <c r="L225" s="1" t="s">
        <v>678</v>
      </c>
      <c r="O225" s="3" t="s">
        <v>184</v>
      </c>
      <c r="Q225" s="3"/>
      <c r="R225" s="3"/>
      <c r="T225" s="3"/>
      <c r="U225" s="5"/>
      <c r="W225" s="3"/>
      <c r="Z225" s="3"/>
      <c r="AA225" s="3"/>
      <c r="AC225" s="3"/>
      <c r="AD225" s="3"/>
      <c r="AF225" s="3"/>
      <c r="AG225" s="3" t="s">
        <v>860</v>
      </c>
      <c r="AI225" s="3"/>
      <c r="AJ225" s="1">
        <v>46095</v>
      </c>
      <c r="AL225" s="3"/>
      <c r="AM225" s="1">
        <v>0</v>
      </c>
      <c r="AO225" s="3"/>
      <c r="AP225" s="3" t="s">
        <v>861</v>
      </c>
      <c r="AR225" s="3"/>
      <c r="AS225" s="3" t="s">
        <v>862</v>
      </c>
      <c r="AU225" s="3"/>
      <c r="AV225" s="3"/>
      <c r="AX225" s="3"/>
      <c r="AY225" s="5"/>
      <c r="BA225" s="3"/>
      <c r="BD225" s="3"/>
      <c r="BE225" s="3"/>
      <c r="BG225" s="3"/>
      <c r="BH225" s="3"/>
      <c r="BJ225" s="3"/>
      <c r="BK225" s="3"/>
      <c r="BM225" s="3"/>
      <c r="BN225" s="5"/>
      <c r="BP225" s="3"/>
      <c r="BS225" s="3"/>
      <c r="BT225" s="3"/>
      <c r="BV225" s="3"/>
      <c r="BW225" s="3"/>
      <c r="BY225" s="3"/>
      <c r="BZ225" s="3"/>
      <c r="CB225" s="3"/>
      <c r="CC225" s="5"/>
      <c r="CE225" s="3"/>
      <c r="CH225" s="3"/>
      <c r="CI225" s="3"/>
      <c r="CK225" s="3"/>
      <c r="CL225" s="3"/>
      <c r="CN225" s="3"/>
      <c r="CO225" s="3"/>
      <c r="CQ225" s="3"/>
      <c r="CR225" s="5"/>
      <c r="CT225" s="3"/>
      <c r="CW225" s="3"/>
      <c r="CX225" s="3"/>
      <c r="CZ225" s="3"/>
      <c r="DA225" s="3"/>
      <c r="DC225" s="3"/>
      <c r="DD225" s="3"/>
      <c r="DF225" s="3"/>
      <c r="DG225" s="5"/>
      <c r="DI225" s="3"/>
      <c r="DL225" s="3"/>
      <c r="DM225" s="3"/>
      <c r="DO225" s="3"/>
      <c r="DP225" s="3"/>
      <c r="DR225" s="3"/>
      <c r="DS225" s="1" t="str">
        <f>_xlfn.XLOOKUP(OfficeForms.Table[[#This Row],[Selecione a Categoria do Laboratório desta atividade prática:]],Planilha1!A:A,Planilha1!B:B)</f>
        <v>EMF-ISN</v>
      </c>
      <c r="DT225" s="1" t="str">
        <f>CONCATENATE(OfficeForms.Table[[#This Row],[Selecione seu Polo Laboratório de Atividades Presenciais:]],OfficeForms.Table[[#This Row],[CHAVE CONVERSÃO]])</f>
        <v>Lages/SC - CentroEMF-ISN</v>
      </c>
      <c r="DU22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Glasgow;Administração de medicamento pela via subcutânea + Administração de medicamento pela via oral</v>
      </c>
      <c r="DV22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22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25" s="1" t="str">
        <f>_xlfn.XLOOKUP(OfficeForms.Table[[#This Row],[CHAVE LINK POLO]],'[1]Quadro Geral de Lotação'!$B:$B,'[1]Quadro Geral de Lotação'!$I:$I)</f>
        <v>Daniela Madruga</v>
      </c>
      <c r="DY225" s="1" t="str">
        <f>OfficeForms.Table[[#This Row],[Selecione a Ordem de Disciplina]]</f>
        <v>Ordem 2</v>
      </c>
    </row>
    <row r="226" spans="1:129" ht="34.15" customHeight="1">
      <c r="A226" s="1">
        <v>226</v>
      </c>
      <c r="B226" s="2">
        <v>46095.458414351902</v>
      </c>
      <c r="C226" s="2">
        <v>46095.460011574098</v>
      </c>
      <c r="D226" s="3" t="s">
        <v>863</v>
      </c>
      <c r="E226" s="3" t="s">
        <v>864</v>
      </c>
      <c r="G226" s="3"/>
      <c r="I226" s="3" t="s">
        <v>865</v>
      </c>
      <c r="K226" s="3"/>
      <c r="L226" s="1" t="s">
        <v>132</v>
      </c>
      <c r="O226" s="3" t="s">
        <v>184</v>
      </c>
      <c r="Q226" s="3"/>
      <c r="R226" s="3"/>
      <c r="T226" s="3"/>
      <c r="U226" s="5"/>
      <c r="W226" s="3"/>
      <c r="Z226" s="3"/>
      <c r="AA226" s="3"/>
      <c r="AC226" s="3"/>
      <c r="AD226" s="3"/>
      <c r="AF226" s="3"/>
      <c r="AG226" s="3" t="s">
        <v>322</v>
      </c>
      <c r="AI226" s="3"/>
      <c r="AJ226" s="1">
        <v>46076</v>
      </c>
      <c r="AL226" s="3"/>
      <c r="AM226" s="1">
        <v>1</v>
      </c>
      <c r="AO226" s="3"/>
      <c r="AP226" s="3" t="s">
        <v>866</v>
      </c>
      <c r="AR226" s="3"/>
      <c r="AS226" s="3" t="s">
        <v>867</v>
      </c>
      <c r="AU226" s="3"/>
      <c r="AV226" s="3"/>
      <c r="AX226" s="3"/>
      <c r="AY226" s="5"/>
      <c r="BA226" s="3"/>
      <c r="BD226" s="3"/>
      <c r="BE226" s="3"/>
      <c r="BG226" s="3"/>
      <c r="BH226" s="3"/>
      <c r="BJ226" s="3"/>
      <c r="BK226" s="3"/>
      <c r="BM226" s="3"/>
      <c r="BN226" s="5"/>
      <c r="BP226" s="3"/>
      <c r="BS226" s="3"/>
      <c r="BT226" s="3"/>
      <c r="BV226" s="3"/>
      <c r="BW226" s="3"/>
      <c r="BY226" s="3"/>
      <c r="BZ226" s="3"/>
      <c r="CB226" s="3"/>
      <c r="CC226" s="5"/>
      <c r="CE226" s="3"/>
      <c r="CH226" s="3"/>
      <c r="CI226" s="3"/>
      <c r="CK226" s="3"/>
      <c r="CL226" s="3"/>
      <c r="CN226" s="3"/>
      <c r="CO226" s="3"/>
      <c r="CQ226" s="3"/>
      <c r="CR226" s="5"/>
      <c r="CT226" s="3"/>
      <c r="CW226" s="3"/>
      <c r="CX226" s="3"/>
      <c r="CZ226" s="3"/>
      <c r="DA226" s="3"/>
      <c r="DC226" s="3"/>
      <c r="DD226" s="3"/>
      <c r="DF226" s="3"/>
      <c r="DG226" s="5"/>
      <c r="DI226" s="3"/>
      <c r="DL226" s="3"/>
      <c r="DM226" s="3"/>
      <c r="DO226" s="3"/>
      <c r="DP226" s="3"/>
      <c r="DR226" s="3"/>
      <c r="DS226" s="1" t="str">
        <f>_xlfn.XLOOKUP(OfficeForms.Table[[#This Row],[Selecione a Categoria do Laboratório desta atividade prática:]],Planilha1!A:A,Planilha1!B:B)</f>
        <v>EMF-ISN</v>
      </c>
      <c r="DT226" s="1" t="str">
        <f>CONCATENATE(OfficeForms.Table[[#This Row],[Selecione seu Polo Laboratório de Atividades Presenciais:]],OfficeForms.Table[[#This Row],[CHAVE CONVERSÃO]])</f>
        <v>Manacapuru/AM - Terra PretaEMF-ISN</v>
      </c>
      <c r="DU22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22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22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26" s="1" t="str">
        <f>_xlfn.XLOOKUP(OfficeForms.Table[[#This Row],[CHAVE LINK POLO]],'[1]Quadro Geral de Lotação'!$B:$B,'[1]Quadro Geral de Lotação'!$I:$I)</f>
        <v>Noemia Jully De Vasconcelos Queiroz</v>
      </c>
      <c r="DY226" s="1" t="str">
        <f>OfficeForms.Table[[#This Row],[Selecione a Ordem de Disciplina]]</f>
        <v>Ordem 1</v>
      </c>
    </row>
    <row r="227" spans="1:129" ht="34.15" customHeight="1">
      <c r="A227" s="1">
        <v>227</v>
      </c>
      <c r="B227" s="2">
        <v>46095.4589583333</v>
      </c>
      <c r="C227" s="2">
        <v>46095.468124999999</v>
      </c>
      <c r="D227" s="3" t="s">
        <v>214</v>
      </c>
      <c r="E227" s="3" t="s">
        <v>215</v>
      </c>
      <c r="G227" s="3"/>
      <c r="I227" s="3" t="s">
        <v>216</v>
      </c>
      <c r="K227" s="3"/>
      <c r="L227" s="1" t="s">
        <v>132</v>
      </c>
      <c r="O227" s="3" t="s">
        <v>133</v>
      </c>
      <c r="Q227" s="3"/>
      <c r="R227" s="3"/>
      <c r="T227" s="3"/>
      <c r="U227" s="5"/>
      <c r="W227" s="3"/>
      <c r="Z227" s="3"/>
      <c r="AA227" s="3"/>
      <c r="AC227" s="3"/>
      <c r="AD227" s="3"/>
      <c r="AF227" s="3"/>
      <c r="AG227" s="3"/>
      <c r="AI227" s="3"/>
      <c r="AJ227" s="1"/>
      <c r="AL227" s="3"/>
      <c r="AO227" s="3"/>
      <c r="AP227" s="3"/>
      <c r="AR227" s="3"/>
      <c r="AS227" s="3"/>
      <c r="AU227" s="3"/>
      <c r="AV227" s="3" t="s">
        <v>781</v>
      </c>
      <c r="AX227" s="3"/>
      <c r="AY227" s="5">
        <v>46092</v>
      </c>
      <c r="BA227" s="3"/>
      <c r="BB227" s="1">
        <v>12</v>
      </c>
      <c r="BD227" s="3"/>
      <c r="BE227" s="3" t="s">
        <v>868</v>
      </c>
      <c r="BG227" s="3"/>
      <c r="BH227" s="3" t="s">
        <v>869</v>
      </c>
      <c r="BJ227" s="3"/>
      <c r="BK227" s="3"/>
      <c r="BM227" s="3"/>
      <c r="BN227" s="5"/>
      <c r="BP227" s="3"/>
      <c r="BS227" s="3"/>
      <c r="BT227" s="3"/>
      <c r="BV227" s="3"/>
      <c r="BW227" s="3"/>
      <c r="BY227" s="3"/>
      <c r="BZ227" s="3"/>
      <c r="CB227" s="3"/>
      <c r="CC227" s="5"/>
      <c r="CE227" s="3"/>
      <c r="CH227" s="3"/>
      <c r="CI227" s="3"/>
      <c r="CK227" s="3"/>
      <c r="CL227" s="3"/>
      <c r="CN227" s="3"/>
      <c r="CO227" s="3"/>
      <c r="CQ227" s="3"/>
      <c r="CR227" s="5"/>
      <c r="CT227" s="3"/>
      <c r="CW227" s="3"/>
      <c r="CX227" s="3"/>
      <c r="CZ227" s="3"/>
      <c r="DA227" s="3"/>
      <c r="DC227" s="3"/>
      <c r="DD227" s="3"/>
      <c r="DF227" s="3"/>
      <c r="DG227" s="5"/>
      <c r="DI227" s="3"/>
      <c r="DL227" s="3"/>
      <c r="DM227" s="3"/>
      <c r="DO227" s="3"/>
      <c r="DP227" s="3"/>
      <c r="DR227" s="3"/>
      <c r="DS227" s="1" t="str">
        <f>_xlfn.XLOOKUP(OfficeForms.Table[[#This Row],[Selecione a Categoria do Laboratório desta atividade prática:]],Planilha1!A:A,Planilha1!B:B)</f>
        <v>BFI</v>
      </c>
      <c r="DT227" s="1" t="str">
        <f>CONCATENATE(OfficeForms.Table[[#This Row],[Selecione seu Polo Laboratório de Atividades Presenciais:]],OfficeForms.Table[[#This Row],[CHAVE CONVERSÃO]])</f>
        <v>Feira De Santana/BA - CentroBFI</v>
      </c>
      <c r="DU22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Terapêutica com Órteses: Abordagens Funcionais na Reabilitação Musculoesquelética</v>
      </c>
      <c r="DV22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22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227" s="1" t="str">
        <f>_xlfn.XLOOKUP(OfficeForms.Table[[#This Row],[CHAVE LINK POLO]],'[1]Quadro Geral de Lotação'!$B:$B,'[1]Quadro Geral de Lotação'!$I:$I)</f>
        <v>Clara Oliveira E Oliveira</v>
      </c>
      <c r="DY227" s="1" t="str">
        <f>OfficeForms.Table[[#This Row],[Selecione a Ordem de Disciplina]]</f>
        <v>Ordem 1</v>
      </c>
    </row>
    <row r="228" spans="1:129" ht="34.15" customHeight="1">
      <c r="A228" s="1">
        <v>228</v>
      </c>
      <c r="B228" s="2">
        <v>46095.469803240703</v>
      </c>
      <c r="C228" s="2">
        <v>46095.470752314803</v>
      </c>
      <c r="D228" s="3" t="s">
        <v>214</v>
      </c>
      <c r="E228" s="3" t="s">
        <v>215</v>
      </c>
      <c r="G228" s="3"/>
      <c r="I228" s="3" t="s">
        <v>216</v>
      </c>
      <c r="K228" s="3"/>
      <c r="L228" s="1" t="s">
        <v>132</v>
      </c>
      <c r="O228" s="3" t="s">
        <v>133</v>
      </c>
      <c r="Q228" s="3"/>
      <c r="R228" s="3"/>
      <c r="T228" s="3"/>
      <c r="U228" s="5"/>
      <c r="W228" s="3"/>
      <c r="Z228" s="3"/>
      <c r="AA228" s="3"/>
      <c r="AC228" s="3"/>
      <c r="AD228" s="3"/>
      <c r="AF228" s="3"/>
      <c r="AG228" s="3"/>
      <c r="AI228" s="3"/>
      <c r="AJ228" s="1"/>
      <c r="AL228" s="3"/>
      <c r="AO228" s="3"/>
      <c r="AP228" s="3"/>
      <c r="AR228" s="3"/>
      <c r="AS228" s="3"/>
      <c r="AU228" s="3"/>
      <c r="AV228" s="3" t="s">
        <v>778</v>
      </c>
      <c r="AX228" s="3"/>
      <c r="AY228" s="5">
        <v>46092</v>
      </c>
      <c r="BA228" s="3"/>
      <c r="BB228" s="1">
        <v>12</v>
      </c>
      <c r="BD228" s="3"/>
      <c r="BE228" s="3" t="s">
        <v>870</v>
      </c>
      <c r="BG228" s="3"/>
      <c r="BH228" s="3" t="s">
        <v>871</v>
      </c>
      <c r="BJ228" s="3"/>
      <c r="BK228" s="3"/>
      <c r="BM228" s="3"/>
      <c r="BN228" s="5"/>
      <c r="BP228" s="3"/>
      <c r="BS228" s="3"/>
      <c r="BT228" s="3"/>
      <c r="BV228" s="3"/>
      <c r="BW228" s="3"/>
      <c r="BY228" s="3"/>
      <c r="BZ228" s="3"/>
      <c r="CB228" s="3"/>
      <c r="CC228" s="5"/>
      <c r="CE228" s="3"/>
      <c r="CH228" s="3"/>
      <c r="CI228" s="3"/>
      <c r="CK228" s="3"/>
      <c r="CL228" s="3"/>
      <c r="CN228" s="3"/>
      <c r="CO228" s="3"/>
      <c r="CQ228" s="3"/>
      <c r="CR228" s="5"/>
      <c r="CT228" s="3"/>
      <c r="CW228" s="3"/>
      <c r="CX228" s="3"/>
      <c r="CZ228" s="3"/>
      <c r="DA228" s="3"/>
      <c r="DC228" s="3"/>
      <c r="DD228" s="3"/>
      <c r="DF228" s="3"/>
      <c r="DG228" s="5"/>
      <c r="DI228" s="3"/>
      <c r="DL228" s="3"/>
      <c r="DM228" s="3"/>
      <c r="DO228" s="3"/>
      <c r="DP228" s="3"/>
      <c r="DR228" s="3"/>
      <c r="DS228" s="1" t="str">
        <f>_xlfn.XLOOKUP(OfficeForms.Table[[#This Row],[Selecione a Categoria do Laboratório desta atividade prática:]],Planilha1!A:A,Planilha1!B:B)</f>
        <v>BFI</v>
      </c>
      <c r="DT228" s="1" t="str">
        <f>CONCATENATE(OfficeForms.Table[[#This Row],[Selecione seu Polo Laboratório de Atividades Presenciais:]],OfficeForms.Table[[#This Row],[CHAVE CONVERSÃO]])</f>
        <v>Feira De Santana/BA - CentroBFI</v>
      </c>
      <c r="DU22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Fisioterapia com Próteses: Reabilitação Funcional e Adaptação ao Uso de Próteses</v>
      </c>
      <c r="DV22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22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228" s="1" t="str">
        <f>_xlfn.XLOOKUP(OfficeForms.Table[[#This Row],[CHAVE LINK POLO]],'[1]Quadro Geral de Lotação'!$B:$B,'[1]Quadro Geral de Lotação'!$I:$I)</f>
        <v>Clara Oliveira E Oliveira</v>
      </c>
      <c r="DY228" s="1" t="str">
        <f>OfficeForms.Table[[#This Row],[Selecione a Ordem de Disciplina]]</f>
        <v>Ordem 1</v>
      </c>
    </row>
    <row r="229" spans="1:129" ht="34.15" customHeight="1">
      <c r="A229" s="1">
        <v>229</v>
      </c>
      <c r="B229" s="2">
        <v>46095.659247685202</v>
      </c>
      <c r="C229" s="2">
        <v>46095.659861111097</v>
      </c>
      <c r="D229" s="3" t="s">
        <v>160</v>
      </c>
      <c r="E229" s="3" t="s">
        <v>161</v>
      </c>
      <c r="G229" s="3"/>
      <c r="I229" s="3" t="s">
        <v>162</v>
      </c>
      <c r="K229" s="3"/>
      <c r="L229" s="1" t="s">
        <v>132</v>
      </c>
      <c r="O229" s="3" t="s">
        <v>156</v>
      </c>
      <c r="Q229" s="3"/>
      <c r="R229" s="3"/>
      <c r="T229" s="3"/>
      <c r="U229" s="5"/>
      <c r="W229" s="3"/>
      <c r="Z229" s="3"/>
      <c r="AA229" s="3"/>
      <c r="AC229" s="3"/>
      <c r="AD229" s="3"/>
      <c r="AF229" s="3"/>
      <c r="AG229" s="3"/>
      <c r="AI229" s="3"/>
      <c r="AJ229" s="1"/>
      <c r="AL229" s="3"/>
      <c r="AO229" s="3"/>
      <c r="AP229" s="3"/>
      <c r="AR229" s="3"/>
      <c r="AS229" s="3"/>
      <c r="AU229" s="3"/>
      <c r="AV229" s="3"/>
      <c r="AX229" s="3"/>
      <c r="AY229" s="5"/>
      <c r="BA229" s="3"/>
      <c r="BD229" s="3"/>
      <c r="BE229" s="3"/>
      <c r="BG229" s="3"/>
      <c r="BH229" s="3"/>
      <c r="BJ229" s="3"/>
      <c r="BK229" s="3" t="s">
        <v>260</v>
      </c>
      <c r="BM229" s="3"/>
      <c r="BN229" s="5">
        <v>46093</v>
      </c>
      <c r="BP229" s="3"/>
      <c r="BQ229" s="1">
        <v>9</v>
      </c>
      <c r="BS229" s="3"/>
      <c r="BT229" s="3" t="s">
        <v>872</v>
      </c>
      <c r="BV229" s="3"/>
      <c r="BW229" s="3" t="s">
        <v>873</v>
      </c>
      <c r="BY229" s="3"/>
      <c r="BZ229" s="3"/>
      <c r="CB229" s="3"/>
      <c r="CC229" s="5"/>
      <c r="CE229" s="3"/>
      <c r="CH229" s="3"/>
      <c r="CI229" s="3"/>
      <c r="CK229" s="3"/>
      <c r="CL229" s="3"/>
      <c r="CN229" s="3"/>
      <c r="CO229" s="3"/>
      <c r="CQ229" s="3"/>
      <c r="CR229" s="5"/>
      <c r="CT229" s="3"/>
      <c r="CW229" s="3"/>
      <c r="CX229" s="3"/>
      <c r="CZ229" s="3"/>
      <c r="DA229" s="3"/>
      <c r="DC229" s="3"/>
      <c r="DD229" s="3"/>
      <c r="DF229" s="3"/>
      <c r="DG229" s="5"/>
      <c r="DI229" s="3"/>
      <c r="DL229" s="3"/>
      <c r="DM229" s="3"/>
      <c r="DO229" s="3"/>
      <c r="DP229" s="3"/>
      <c r="DR229" s="3"/>
      <c r="DS229" s="1" t="str">
        <f>_xlfn.XLOOKUP(OfficeForms.Table[[#This Row],[Selecione a Categoria do Laboratório desta atividade prática:]],Planilha1!A:A,Planilha1!B:B)</f>
        <v>NTR</v>
      </c>
      <c r="DT229" s="1" t="str">
        <f>CONCATENATE(OfficeForms.Table[[#This Row],[Selecione seu Polo Laboratório de Atividades Presenciais:]],OfficeForms.Table[[#This Row],[CHAVE CONVERSÃO]])</f>
        <v>Florianópolis/SC - CentroNTR</v>
      </c>
      <c r="DU22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Terapia nutricional enteral e suplementação oral</v>
      </c>
      <c r="DV22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2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229" s="1" t="str">
        <f>_xlfn.XLOOKUP(OfficeForms.Table[[#This Row],[CHAVE LINK POLO]],'[1]Quadro Geral de Lotação'!$B:$B,'[1]Quadro Geral de Lotação'!$I:$I)</f>
        <v>Laura Volpato</v>
      </c>
      <c r="DY229" s="1" t="str">
        <f>OfficeForms.Table[[#This Row],[Selecione a Ordem de Disciplina]]</f>
        <v>Ordem 1</v>
      </c>
    </row>
    <row r="230" spans="1:129" ht="34.15" customHeight="1">
      <c r="A230" s="1">
        <v>230</v>
      </c>
      <c r="B230" s="2">
        <v>46095.661064814798</v>
      </c>
      <c r="C230" s="2">
        <v>46095.661412037</v>
      </c>
      <c r="D230" s="3" t="s">
        <v>160</v>
      </c>
      <c r="E230" s="3" t="s">
        <v>161</v>
      </c>
      <c r="G230" s="3"/>
      <c r="I230" s="3" t="s">
        <v>162</v>
      </c>
      <c r="K230" s="3"/>
      <c r="L230" s="1" t="s">
        <v>132</v>
      </c>
      <c r="O230" s="3" t="s">
        <v>156</v>
      </c>
      <c r="Q230" s="3"/>
      <c r="R230" s="3"/>
      <c r="T230" s="3"/>
      <c r="U230" s="5"/>
      <c r="W230" s="3"/>
      <c r="Z230" s="3"/>
      <c r="AA230" s="3"/>
      <c r="AC230" s="3"/>
      <c r="AD230" s="3"/>
      <c r="AF230" s="3"/>
      <c r="AG230" s="3"/>
      <c r="AI230" s="3"/>
      <c r="AJ230" s="1"/>
      <c r="AL230" s="3"/>
      <c r="AO230" s="3"/>
      <c r="AP230" s="3"/>
      <c r="AR230" s="3"/>
      <c r="AS230" s="3"/>
      <c r="AU230" s="3"/>
      <c r="AV230" s="3"/>
      <c r="AX230" s="3"/>
      <c r="AY230" s="5"/>
      <c r="BA230" s="3"/>
      <c r="BD230" s="3"/>
      <c r="BE230" s="3"/>
      <c r="BG230" s="3"/>
      <c r="BH230" s="3"/>
      <c r="BJ230" s="3"/>
      <c r="BK230" s="3" t="s">
        <v>748</v>
      </c>
      <c r="BM230" s="3"/>
      <c r="BN230" s="5">
        <v>46093</v>
      </c>
      <c r="BP230" s="3"/>
      <c r="BQ230" s="1">
        <v>9</v>
      </c>
      <c r="BS230" s="3"/>
      <c r="BT230" s="3" t="s">
        <v>874</v>
      </c>
      <c r="BV230" s="3"/>
      <c r="BW230" s="3" t="s">
        <v>875</v>
      </c>
      <c r="BY230" s="3"/>
      <c r="BZ230" s="3"/>
      <c r="CB230" s="3"/>
      <c r="CC230" s="5"/>
      <c r="CE230" s="3"/>
      <c r="CH230" s="3"/>
      <c r="CI230" s="3"/>
      <c r="CK230" s="3"/>
      <c r="CL230" s="3"/>
      <c r="CN230" s="3"/>
      <c r="CO230" s="3"/>
      <c r="CQ230" s="3"/>
      <c r="CR230" s="5"/>
      <c r="CT230" s="3"/>
      <c r="CW230" s="3"/>
      <c r="CX230" s="3"/>
      <c r="CZ230" s="3"/>
      <c r="DA230" s="3"/>
      <c r="DC230" s="3"/>
      <c r="DD230" s="3"/>
      <c r="DF230" s="3"/>
      <c r="DG230" s="5"/>
      <c r="DI230" s="3"/>
      <c r="DL230" s="3"/>
      <c r="DM230" s="3"/>
      <c r="DO230" s="3"/>
      <c r="DP230" s="3"/>
      <c r="DR230" s="3"/>
      <c r="DS230" s="1" t="str">
        <f>_xlfn.XLOOKUP(OfficeForms.Table[[#This Row],[Selecione a Categoria do Laboratório desta atividade prática:]],Planilha1!A:A,Planilha1!B:B)</f>
        <v>NTR</v>
      </c>
      <c r="DT230" s="1" t="str">
        <f>CONCATENATE(OfficeForms.Table[[#This Row],[Selecione seu Polo Laboratório de Atividades Presenciais:]],OfficeForms.Table[[#This Row],[CHAVE CONVERSÃO]])</f>
        <v>Florianópolis/SC - CentroNTR</v>
      </c>
      <c r="DU23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Dietas hospitalares</v>
      </c>
      <c r="DV23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3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230" s="1" t="str">
        <f>_xlfn.XLOOKUP(OfficeForms.Table[[#This Row],[CHAVE LINK POLO]],'[1]Quadro Geral de Lotação'!$B:$B,'[1]Quadro Geral de Lotação'!$I:$I)</f>
        <v>Laura Volpato</v>
      </c>
      <c r="DY230" s="1" t="str">
        <f>OfficeForms.Table[[#This Row],[Selecione a Ordem de Disciplina]]</f>
        <v>Ordem 1</v>
      </c>
    </row>
    <row r="231" spans="1:129" ht="34.15" customHeight="1">
      <c r="A231" s="1">
        <v>231</v>
      </c>
      <c r="B231" s="2">
        <v>46095.700995370396</v>
      </c>
      <c r="C231" s="2">
        <v>46095.702569444402</v>
      </c>
      <c r="D231" s="3" t="s">
        <v>557</v>
      </c>
      <c r="E231" s="3" t="s">
        <v>558</v>
      </c>
      <c r="G231" s="3"/>
      <c r="I231" s="3" t="s">
        <v>876</v>
      </c>
      <c r="K231" s="3"/>
      <c r="L231" s="1" t="s">
        <v>132</v>
      </c>
      <c r="O231" s="3" t="s">
        <v>184</v>
      </c>
      <c r="Q231" s="3"/>
      <c r="R231" s="3"/>
      <c r="T231" s="3"/>
      <c r="U231" s="5"/>
      <c r="W231" s="3"/>
      <c r="Z231" s="3"/>
      <c r="AA231" s="3"/>
      <c r="AC231" s="3"/>
      <c r="AD231" s="3"/>
      <c r="AF231" s="3"/>
      <c r="AG231" s="3" t="s">
        <v>211</v>
      </c>
      <c r="AI231" s="3"/>
      <c r="AJ231" s="1">
        <v>46070</v>
      </c>
      <c r="AL231" s="3"/>
      <c r="AM231" s="1">
        <v>1</v>
      </c>
      <c r="AO231" s="3"/>
      <c r="AP231" s="3" t="s">
        <v>877</v>
      </c>
      <c r="AR231" s="3"/>
      <c r="AS231" s="3" t="s">
        <v>878</v>
      </c>
      <c r="AU231" s="3"/>
      <c r="AV231" s="3"/>
      <c r="AX231" s="3"/>
      <c r="AY231" s="5"/>
      <c r="BA231" s="3"/>
      <c r="BD231" s="3"/>
      <c r="BE231" s="3"/>
      <c r="BG231" s="3"/>
      <c r="BH231" s="3"/>
      <c r="BJ231" s="3"/>
      <c r="BK231" s="3"/>
      <c r="BM231" s="3"/>
      <c r="BN231" s="5"/>
      <c r="BP231" s="3"/>
      <c r="BS231" s="3"/>
      <c r="BT231" s="3"/>
      <c r="BV231" s="3"/>
      <c r="BW231" s="3"/>
      <c r="BY231" s="3"/>
      <c r="BZ231" s="3"/>
      <c r="CB231" s="3"/>
      <c r="CC231" s="5"/>
      <c r="CE231" s="3"/>
      <c r="CH231" s="3"/>
      <c r="CI231" s="3"/>
      <c r="CK231" s="3"/>
      <c r="CL231" s="3"/>
      <c r="CN231" s="3"/>
      <c r="CO231" s="3"/>
      <c r="CQ231" s="3"/>
      <c r="CR231" s="5"/>
      <c r="CT231" s="3"/>
      <c r="CW231" s="3"/>
      <c r="CX231" s="3"/>
      <c r="CZ231" s="3"/>
      <c r="DA231" s="3"/>
      <c r="DC231" s="3"/>
      <c r="DD231" s="3"/>
      <c r="DF231" s="3"/>
      <c r="DG231" s="5"/>
      <c r="DI231" s="3"/>
      <c r="DL231" s="3"/>
      <c r="DM231" s="3"/>
      <c r="DO231" s="3"/>
      <c r="DP231" s="3"/>
      <c r="DR231" s="3"/>
      <c r="DS231" s="1" t="str">
        <f>_xlfn.XLOOKUP(OfficeForms.Table[[#This Row],[Selecione a Categoria do Laboratório desta atividade prática:]],Planilha1!A:A,Planilha1!B:B)</f>
        <v>EMF-ISN</v>
      </c>
      <c r="DT231" s="1" t="str">
        <f>CONCATENATE(OfficeForms.Table[[#This Row],[Selecione seu Polo Laboratório de Atividades Presenciais:]],OfficeForms.Table[[#This Row],[CHAVE CONVERSÃO]])</f>
        <v>Mamanguape/PBEMF-ISN</v>
      </c>
      <c r="DU23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23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46070</v>
      </c>
      <c r="DW23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31" s="1" t="str">
        <f>_xlfn.XLOOKUP(OfficeForms.Table[[#This Row],[CHAVE LINK POLO]],'[1]Quadro Geral de Lotação'!$B:$B,'[1]Quadro Geral de Lotação'!$I:$I)</f>
        <v>Sara Luana De Vasconcelos Gomes</v>
      </c>
      <c r="DY231" s="1" t="str">
        <f>OfficeForms.Table[[#This Row],[Selecione a Ordem de Disciplina]]</f>
        <v>Ordem 1</v>
      </c>
    </row>
    <row r="232" spans="1:129" ht="34.15" customHeight="1">
      <c r="A232" s="1">
        <v>232</v>
      </c>
      <c r="B232" s="2">
        <v>46095.6738078704</v>
      </c>
      <c r="C232" s="2">
        <v>46095.7363541667</v>
      </c>
      <c r="D232" s="3" t="s">
        <v>494</v>
      </c>
      <c r="E232" s="3" t="s">
        <v>495</v>
      </c>
      <c r="G232" s="3"/>
      <c r="I232" s="3" t="s">
        <v>496</v>
      </c>
      <c r="K232" s="3"/>
      <c r="L232" s="1" t="s">
        <v>132</v>
      </c>
      <c r="O232" s="3" t="s">
        <v>497</v>
      </c>
      <c r="Q232" s="3"/>
      <c r="R232" s="3" t="s">
        <v>879</v>
      </c>
      <c r="T232" s="3"/>
      <c r="U232" s="5">
        <v>46088</v>
      </c>
      <c r="W232" s="3"/>
      <c r="X232" s="1">
        <v>1</v>
      </c>
      <c r="Z232" s="3"/>
      <c r="AA232" s="3" t="s">
        <v>880</v>
      </c>
      <c r="AC232" s="3"/>
      <c r="AD232" s="3" t="s">
        <v>881</v>
      </c>
      <c r="AF232" s="3"/>
      <c r="AG232" s="3"/>
      <c r="AI232" s="3"/>
      <c r="AJ232" s="1"/>
      <c r="AL232" s="3"/>
      <c r="AO232" s="3"/>
      <c r="AP232" s="3"/>
      <c r="AR232" s="3"/>
      <c r="AS232" s="3"/>
      <c r="AU232" s="3"/>
      <c r="AV232" s="3"/>
      <c r="AX232" s="3"/>
      <c r="AY232" s="5"/>
      <c r="BA232" s="3"/>
      <c r="BD232" s="3"/>
      <c r="BE232" s="3"/>
      <c r="BG232" s="3"/>
      <c r="BH232" s="3"/>
      <c r="BJ232" s="3"/>
      <c r="BK232" s="3"/>
      <c r="BM232" s="3"/>
      <c r="BN232" s="5"/>
      <c r="BP232" s="3"/>
      <c r="BS232" s="3"/>
      <c r="BT232" s="3"/>
      <c r="BV232" s="3"/>
      <c r="BW232" s="3"/>
      <c r="BY232" s="3"/>
      <c r="BZ232" s="3"/>
      <c r="CB232" s="3"/>
      <c r="CC232" s="5"/>
      <c r="CE232" s="3"/>
      <c r="CH232" s="3"/>
      <c r="CI232" s="3"/>
      <c r="CK232" s="3"/>
      <c r="CL232" s="3"/>
      <c r="CN232" s="3"/>
      <c r="CO232" s="3"/>
      <c r="CQ232" s="3"/>
      <c r="CR232" s="5"/>
      <c r="CT232" s="3"/>
      <c r="CW232" s="3"/>
      <c r="CX232" s="3"/>
      <c r="CZ232" s="3"/>
      <c r="DA232" s="3"/>
      <c r="DC232" s="3"/>
      <c r="DD232" s="3"/>
      <c r="DF232" s="3"/>
      <c r="DG232" s="5"/>
      <c r="DI232" s="3"/>
      <c r="DL232" s="3"/>
      <c r="DM232" s="3"/>
      <c r="DO232" s="3"/>
      <c r="DP232" s="3"/>
      <c r="DR232" s="3"/>
      <c r="DS232" s="1" t="str">
        <f>_xlfn.XLOOKUP(OfficeForms.Table[[#This Row],[Selecione a Categoria do Laboratório desta atividade prática:]],Planilha1!A:A,Planilha1!B:B)</f>
        <v>BFR-BBI</v>
      </c>
      <c r="DT232" s="1" t="str">
        <f>CONCATENATE(OfficeForms.Table[[#This Row],[Selecione seu Polo Laboratório de Atividades Presenciais:]],OfficeForms.Table[[#This Row],[CHAVE CONVERSÃO]])</f>
        <v>Campo Grande/MS - Santo AntonioBFR-BBI</v>
      </c>
      <c r="DU23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Contagem diferencial de leucócitos</v>
      </c>
      <c r="DV23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23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32" s="1" t="e">
        <f>_xlfn.XLOOKUP(OfficeForms.Table[[#This Row],[CHAVE LINK POLO]],'[1]Quadro Geral de Lotação'!$B:$B,'[1]Quadro Geral de Lotação'!$I:$I)</f>
        <v>#N/A</v>
      </c>
      <c r="DY232" s="1" t="str">
        <f>OfficeForms.Table[[#This Row],[Selecione a Ordem de Disciplina]]</f>
        <v>Ordem 1</v>
      </c>
    </row>
    <row r="233" spans="1:129" ht="34.15" customHeight="1">
      <c r="A233" s="1">
        <v>233</v>
      </c>
      <c r="B233" s="2">
        <v>46095.732928240701</v>
      </c>
      <c r="C233" s="2">
        <v>46095.748807870397</v>
      </c>
      <c r="D233" s="3" t="s">
        <v>882</v>
      </c>
      <c r="E233" s="3" t="s">
        <v>883</v>
      </c>
      <c r="G233" s="3"/>
      <c r="I233" s="3" t="s">
        <v>884</v>
      </c>
      <c r="K233" s="3"/>
      <c r="L233" s="1" t="s">
        <v>132</v>
      </c>
      <c r="O233" s="3" t="s">
        <v>184</v>
      </c>
      <c r="Q233" s="3"/>
      <c r="R233" s="3"/>
      <c r="T233" s="3"/>
      <c r="U233" s="5"/>
      <c r="W233" s="3"/>
      <c r="Z233" s="3"/>
      <c r="AA233" s="3"/>
      <c r="AC233" s="3"/>
      <c r="AD233" s="3"/>
      <c r="AF233" s="3"/>
      <c r="AG233" s="3" t="s">
        <v>194</v>
      </c>
      <c r="AI233" s="3"/>
      <c r="AJ233" s="1">
        <v>46072</v>
      </c>
      <c r="AL233" s="3"/>
      <c r="AM233" s="1">
        <v>0</v>
      </c>
      <c r="AO233" s="3"/>
      <c r="AP233" s="3" t="s">
        <v>885</v>
      </c>
      <c r="AR233" s="3"/>
      <c r="AS233" s="3" t="s">
        <v>886</v>
      </c>
      <c r="AU233" s="3"/>
      <c r="AV233" s="3"/>
      <c r="AX233" s="3"/>
      <c r="AY233" s="5"/>
      <c r="BA233" s="3"/>
      <c r="BD233" s="3"/>
      <c r="BE233" s="3"/>
      <c r="BG233" s="3"/>
      <c r="BH233" s="3"/>
      <c r="BJ233" s="3"/>
      <c r="BK233" s="3"/>
      <c r="BM233" s="3"/>
      <c r="BN233" s="5"/>
      <c r="BP233" s="3"/>
      <c r="BS233" s="3"/>
      <c r="BT233" s="3"/>
      <c r="BV233" s="3"/>
      <c r="BW233" s="3"/>
      <c r="BY233" s="3"/>
      <c r="BZ233" s="3"/>
      <c r="CB233" s="3"/>
      <c r="CC233" s="5"/>
      <c r="CE233" s="3"/>
      <c r="CH233" s="3"/>
      <c r="CI233" s="3"/>
      <c r="CK233" s="3"/>
      <c r="CL233" s="3"/>
      <c r="CN233" s="3"/>
      <c r="CO233" s="3"/>
      <c r="CQ233" s="3"/>
      <c r="CR233" s="5"/>
      <c r="CT233" s="3"/>
      <c r="CW233" s="3"/>
      <c r="CX233" s="3"/>
      <c r="CZ233" s="3"/>
      <c r="DA233" s="3"/>
      <c r="DC233" s="3"/>
      <c r="DD233" s="3"/>
      <c r="DF233" s="3"/>
      <c r="DG233" s="5"/>
      <c r="DI233" s="3"/>
      <c r="DL233" s="3"/>
      <c r="DM233" s="3"/>
      <c r="DO233" s="3"/>
      <c r="DP233" s="3"/>
      <c r="DR233" s="3"/>
      <c r="DS233" s="1" t="str">
        <f>_xlfn.XLOOKUP(OfficeForms.Table[[#This Row],[Selecione a Categoria do Laboratório desta atividade prática:]],Planilha1!A:A,Planilha1!B:B)</f>
        <v>EMF-ISN</v>
      </c>
      <c r="DT233" s="1" t="str">
        <f>CONCATENATE(OfficeForms.Table[[#This Row],[Selecione seu Polo Laboratório de Atividades Presenciais:]],OfficeForms.Table[[#This Row],[CHAVE CONVERSÃO]])</f>
        <v>Juazeiro/BAEMF-ISN</v>
      </c>
      <c r="DU23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23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23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33" s="1" t="str">
        <f>_xlfn.XLOOKUP(OfficeForms.Table[[#This Row],[CHAVE LINK POLO]],'[1]Quadro Geral de Lotação'!$B:$B,'[1]Quadro Geral de Lotação'!$I:$I)</f>
        <v>Rafaela Carla Da Silva Hilariao</v>
      </c>
      <c r="DY233" s="1" t="str">
        <f>OfficeForms.Table[[#This Row],[Selecione a Ordem de Disciplina]]</f>
        <v>Ordem 1</v>
      </c>
    </row>
    <row r="234" spans="1:129" ht="34.15" customHeight="1">
      <c r="A234" s="1">
        <v>234</v>
      </c>
      <c r="B234" s="2">
        <v>46095.749155092599</v>
      </c>
      <c r="C234" s="2">
        <v>46095.757256944402</v>
      </c>
      <c r="D234" s="3" t="s">
        <v>882</v>
      </c>
      <c r="E234" s="3" t="s">
        <v>883</v>
      </c>
      <c r="G234" s="3"/>
      <c r="I234" s="3" t="s">
        <v>884</v>
      </c>
      <c r="K234" s="3"/>
      <c r="L234" s="1" t="s">
        <v>132</v>
      </c>
      <c r="O234" s="3" t="s">
        <v>184</v>
      </c>
      <c r="Q234" s="3"/>
      <c r="R234" s="3"/>
      <c r="T234" s="3"/>
      <c r="U234" s="5"/>
      <c r="W234" s="3"/>
      <c r="Z234" s="3"/>
      <c r="AA234" s="3"/>
      <c r="AC234" s="3"/>
      <c r="AD234" s="3"/>
      <c r="AF234" s="3"/>
      <c r="AG234" s="3" t="s">
        <v>185</v>
      </c>
      <c r="AI234" s="3"/>
      <c r="AJ234" s="1">
        <v>46076</v>
      </c>
      <c r="AL234" s="3"/>
      <c r="AM234" s="1">
        <v>0</v>
      </c>
      <c r="AO234" s="3"/>
      <c r="AP234" s="3" t="s">
        <v>887</v>
      </c>
      <c r="AR234" s="3"/>
      <c r="AS234" s="3" t="s">
        <v>888</v>
      </c>
      <c r="AU234" s="3"/>
      <c r="AV234" s="3"/>
      <c r="AX234" s="3"/>
      <c r="AY234" s="5"/>
      <c r="BA234" s="3"/>
      <c r="BD234" s="3"/>
      <c r="BE234" s="3"/>
      <c r="BG234" s="3"/>
      <c r="BH234" s="3"/>
      <c r="BJ234" s="3"/>
      <c r="BK234" s="3"/>
      <c r="BM234" s="3"/>
      <c r="BN234" s="5"/>
      <c r="BP234" s="3"/>
      <c r="BS234" s="3"/>
      <c r="BT234" s="3"/>
      <c r="BV234" s="3"/>
      <c r="BW234" s="3"/>
      <c r="BY234" s="3"/>
      <c r="BZ234" s="3"/>
      <c r="CB234" s="3"/>
      <c r="CC234" s="5"/>
      <c r="CE234" s="3"/>
      <c r="CH234" s="3"/>
      <c r="CI234" s="3"/>
      <c r="CK234" s="3"/>
      <c r="CL234" s="3"/>
      <c r="CN234" s="3"/>
      <c r="CO234" s="3"/>
      <c r="CQ234" s="3"/>
      <c r="CR234" s="5"/>
      <c r="CT234" s="3"/>
      <c r="CW234" s="3"/>
      <c r="CX234" s="3"/>
      <c r="CZ234" s="3"/>
      <c r="DA234" s="3"/>
      <c r="DC234" s="3"/>
      <c r="DD234" s="3"/>
      <c r="DF234" s="3"/>
      <c r="DG234" s="5"/>
      <c r="DI234" s="3"/>
      <c r="DL234" s="3"/>
      <c r="DM234" s="3"/>
      <c r="DO234" s="3"/>
      <c r="DP234" s="3"/>
      <c r="DR234" s="3"/>
      <c r="DS234" s="1" t="str">
        <f>_xlfn.XLOOKUP(OfficeForms.Table[[#This Row],[Selecione a Categoria do Laboratório desta atividade prática:]],Planilha1!A:A,Planilha1!B:B)</f>
        <v>EMF-ISN</v>
      </c>
      <c r="DT234" s="1" t="str">
        <f>CONCATENATE(OfficeForms.Table[[#This Row],[Selecione seu Polo Laboratório de Atividades Presenciais:]],OfficeForms.Table[[#This Row],[CHAVE CONVERSÃO]])</f>
        <v>Juazeiro/BAEMF-ISN</v>
      </c>
      <c r="DU23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23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23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34" s="1" t="str">
        <f>_xlfn.XLOOKUP(OfficeForms.Table[[#This Row],[CHAVE LINK POLO]],'[1]Quadro Geral de Lotação'!$B:$B,'[1]Quadro Geral de Lotação'!$I:$I)</f>
        <v>Rafaela Carla Da Silva Hilariao</v>
      </c>
      <c r="DY234" s="1" t="str">
        <f>OfficeForms.Table[[#This Row],[Selecione a Ordem de Disciplina]]</f>
        <v>Ordem 1</v>
      </c>
    </row>
    <row r="235" spans="1:129" ht="34.15" customHeight="1">
      <c r="A235" s="1">
        <v>235</v>
      </c>
      <c r="B235" s="2">
        <v>46095.757372685199</v>
      </c>
      <c r="C235" s="2">
        <v>46095.759837963</v>
      </c>
      <c r="D235" s="3" t="s">
        <v>882</v>
      </c>
      <c r="E235" s="3" t="s">
        <v>883</v>
      </c>
      <c r="G235" s="3"/>
      <c r="I235" s="3" t="s">
        <v>884</v>
      </c>
      <c r="K235" s="3"/>
      <c r="L235" s="1" t="s">
        <v>132</v>
      </c>
      <c r="O235" s="3" t="s">
        <v>184</v>
      </c>
      <c r="Q235" s="3"/>
      <c r="R235" s="3"/>
      <c r="T235" s="3"/>
      <c r="U235" s="5"/>
      <c r="W235" s="3"/>
      <c r="Z235" s="3"/>
      <c r="AA235" s="3"/>
      <c r="AC235" s="3"/>
      <c r="AD235" s="3"/>
      <c r="AF235" s="3"/>
      <c r="AG235" s="3" t="s">
        <v>206</v>
      </c>
      <c r="AI235" s="3"/>
      <c r="AJ235" s="1">
        <v>46076</v>
      </c>
      <c r="AL235" s="3"/>
      <c r="AM235" s="1">
        <v>0</v>
      </c>
      <c r="AO235" s="3"/>
      <c r="AP235" s="3" t="s">
        <v>889</v>
      </c>
      <c r="AR235" s="3"/>
      <c r="AS235" s="3" t="s">
        <v>890</v>
      </c>
      <c r="AU235" s="3"/>
      <c r="AV235" s="3"/>
      <c r="AX235" s="3"/>
      <c r="AY235" s="5"/>
      <c r="BA235" s="3"/>
      <c r="BD235" s="3"/>
      <c r="BE235" s="3"/>
      <c r="BG235" s="3"/>
      <c r="BH235" s="3"/>
      <c r="BJ235" s="3"/>
      <c r="BK235" s="3"/>
      <c r="BM235" s="3"/>
      <c r="BN235" s="5"/>
      <c r="BP235" s="3"/>
      <c r="BS235" s="3"/>
      <c r="BT235" s="3"/>
      <c r="BV235" s="3"/>
      <c r="BW235" s="3"/>
      <c r="BY235" s="3"/>
      <c r="BZ235" s="3"/>
      <c r="CB235" s="3"/>
      <c r="CC235" s="5"/>
      <c r="CE235" s="3"/>
      <c r="CH235" s="3"/>
      <c r="CI235" s="3"/>
      <c r="CK235" s="3"/>
      <c r="CL235" s="3"/>
      <c r="CN235" s="3"/>
      <c r="CO235" s="3"/>
      <c r="CQ235" s="3"/>
      <c r="CR235" s="5"/>
      <c r="CT235" s="3"/>
      <c r="CW235" s="3"/>
      <c r="CX235" s="3"/>
      <c r="CZ235" s="3"/>
      <c r="DA235" s="3"/>
      <c r="DC235" s="3"/>
      <c r="DD235" s="3"/>
      <c r="DF235" s="3"/>
      <c r="DG235" s="5"/>
      <c r="DI235" s="3"/>
      <c r="DL235" s="3"/>
      <c r="DM235" s="3"/>
      <c r="DO235" s="3"/>
      <c r="DP235" s="3"/>
      <c r="DR235" s="3"/>
      <c r="DS235" s="1" t="str">
        <f>_xlfn.XLOOKUP(OfficeForms.Table[[#This Row],[Selecione a Categoria do Laboratório desta atividade prática:]],Planilha1!A:A,Planilha1!B:B)</f>
        <v>EMF-ISN</v>
      </c>
      <c r="DT235" s="1" t="str">
        <f>CONCATENATE(OfficeForms.Table[[#This Row],[Selecione seu Polo Laboratório de Atividades Presenciais:]],OfficeForms.Table[[#This Row],[CHAVE CONVERSÃO]])</f>
        <v>Juazeiro/BAEMF-ISN</v>
      </c>
      <c r="DU23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3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23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35" s="1" t="str">
        <f>_xlfn.XLOOKUP(OfficeForms.Table[[#This Row],[CHAVE LINK POLO]],'[1]Quadro Geral de Lotação'!$B:$B,'[1]Quadro Geral de Lotação'!$I:$I)</f>
        <v>Rafaela Carla Da Silva Hilariao</v>
      </c>
      <c r="DY235" s="1" t="str">
        <f>OfficeForms.Table[[#This Row],[Selecione a Ordem de Disciplina]]</f>
        <v>Ordem 1</v>
      </c>
    </row>
    <row r="236" spans="1:129" ht="34.15" customHeight="1">
      <c r="A236" s="1">
        <v>236</v>
      </c>
      <c r="B236" s="2">
        <v>46095.7977314815</v>
      </c>
      <c r="C236" s="2">
        <v>46095.802731481497</v>
      </c>
      <c r="D236" s="3" t="s">
        <v>632</v>
      </c>
      <c r="E236" s="3" t="s">
        <v>633</v>
      </c>
      <c r="G236" s="3"/>
      <c r="I236" s="3" t="s">
        <v>634</v>
      </c>
      <c r="K236" s="3"/>
      <c r="L236" s="1" t="s">
        <v>132</v>
      </c>
      <c r="O236" s="3" t="s">
        <v>497</v>
      </c>
      <c r="Q236" s="3"/>
      <c r="R236" s="3" t="s">
        <v>891</v>
      </c>
      <c r="T236" s="3"/>
      <c r="U236" s="5">
        <v>46093</v>
      </c>
      <c r="W236" s="3"/>
      <c r="X236" s="1">
        <v>27</v>
      </c>
      <c r="Z236" s="3"/>
      <c r="AA236" s="3" t="s">
        <v>892</v>
      </c>
      <c r="AC236" s="3"/>
      <c r="AD236" s="3" t="s">
        <v>893</v>
      </c>
      <c r="AF236" s="3"/>
      <c r="AG236" s="3"/>
      <c r="AI236" s="3"/>
      <c r="AJ236" s="1"/>
      <c r="AL236" s="3"/>
      <c r="AO236" s="3"/>
      <c r="AP236" s="3"/>
      <c r="AR236" s="3"/>
      <c r="AS236" s="3"/>
      <c r="AU236" s="3"/>
      <c r="AV236" s="3"/>
      <c r="AX236" s="3"/>
      <c r="AY236" s="5"/>
      <c r="BA236" s="3"/>
      <c r="BD236" s="3"/>
      <c r="BE236" s="3"/>
      <c r="BG236" s="3"/>
      <c r="BH236" s="3"/>
      <c r="BJ236" s="3"/>
      <c r="BK236" s="3"/>
      <c r="BM236" s="3"/>
      <c r="BN236" s="5"/>
      <c r="BP236" s="3"/>
      <c r="BS236" s="3"/>
      <c r="BT236" s="3"/>
      <c r="BV236" s="3"/>
      <c r="BW236" s="3"/>
      <c r="BY236" s="3"/>
      <c r="BZ236" s="3"/>
      <c r="CB236" s="3"/>
      <c r="CC236" s="5"/>
      <c r="CE236" s="3"/>
      <c r="CH236" s="3"/>
      <c r="CI236" s="3"/>
      <c r="CK236" s="3"/>
      <c r="CL236" s="3"/>
      <c r="CN236" s="3"/>
      <c r="CO236" s="3"/>
      <c r="CQ236" s="3"/>
      <c r="CR236" s="5"/>
      <c r="CT236" s="3"/>
      <c r="CW236" s="3"/>
      <c r="CX236" s="3"/>
      <c r="CZ236" s="3"/>
      <c r="DA236" s="3"/>
      <c r="DC236" s="3"/>
      <c r="DD236" s="3"/>
      <c r="DF236" s="3"/>
      <c r="DG236" s="5"/>
      <c r="DI236" s="3"/>
      <c r="DL236" s="3"/>
      <c r="DM236" s="3"/>
      <c r="DO236" s="3"/>
      <c r="DP236" s="3"/>
      <c r="DR236" s="3"/>
      <c r="DS236" s="1" t="str">
        <f>_xlfn.XLOOKUP(OfficeForms.Table[[#This Row],[Selecione a Categoria do Laboratório desta atividade prática:]],Planilha1!A:A,Planilha1!B:B)</f>
        <v>BFR-BBI</v>
      </c>
      <c r="DT236" s="1" t="str">
        <f>CONCATENATE(OfficeForms.Table[[#This Row],[Selecione seu Polo Laboratório de Atividades Presenciais:]],OfficeForms.Table[[#This Row],[CHAVE CONVERSÃO]])</f>
        <v>Palhoça/SCBFR-BBI</v>
      </c>
      <c r="DU23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Abordagens Integradas para Revitalização Facial: Peeling Mecânico e Químico;Avaliação Corporal e avaliação facial;Limpeza de pele e hidratação facial</v>
      </c>
      <c r="DV23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3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27</v>
      </c>
      <c r="DX236" s="1" t="e">
        <f>_xlfn.XLOOKUP(OfficeForms.Table[[#This Row],[CHAVE LINK POLO]],'[1]Quadro Geral de Lotação'!$B:$B,'[1]Quadro Geral de Lotação'!$I:$I)</f>
        <v>#N/A</v>
      </c>
      <c r="DY236" s="1" t="str">
        <f>OfficeForms.Table[[#This Row],[Selecione a Ordem de Disciplina]]</f>
        <v>Ordem 1</v>
      </c>
    </row>
    <row r="237" spans="1:129" ht="34.15" customHeight="1">
      <c r="A237" s="1">
        <v>237</v>
      </c>
      <c r="B237" s="2">
        <v>46095.810682870397</v>
      </c>
      <c r="C237" s="2">
        <v>46095.811932870398</v>
      </c>
      <c r="D237" s="3" t="s">
        <v>616</v>
      </c>
      <c r="E237" s="3" t="s">
        <v>617</v>
      </c>
      <c r="G237" s="3"/>
      <c r="I237" s="3" t="s">
        <v>618</v>
      </c>
      <c r="K237" s="3"/>
      <c r="L237" s="1" t="s">
        <v>132</v>
      </c>
      <c r="O237" s="3" t="s">
        <v>184</v>
      </c>
      <c r="Q237" s="3"/>
      <c r="R237" s="3"/>
      <c r="T237" s="3"/>
      <c r="U237" s="5"/>
      <c r="W237" s="3"/>
      <c r="Z237" s="3"/>
      <c r="AA237" s="3"/>
      <c r="AC237" s="3"/>
      <c r="AD237" s="3"/>
      <c r="AF237" s="3"/>
      <c r="AG237" s="3" t="s">
        <v>322</v>
      </c>
      <c r="AI237" s="3"/>
      <c r="AJ237" s="1">
        <v>46090</v>
      </c>
      <c r="AL237" s="3"/>
      <c r="AM237" s="1">
        <v>4</v>
      </c>
      <c r="AO237" s="3"/>
      <c r="AP237" s="3" t="s">
        <v>894</v>
      </c>
      <c r="AR237" s="3"/>
      <c r="AS237" s="3" t="s">
        <v>895</v>
      </c>
      <c r="AU237" s="3"/>
      <c r="AV237" s="3"/>
      <c r="AX237" s="3"/>
      <c r="AY237" s="5"/>
      <c r="BA237" s="3"/>
      <c r="BD237" s="3"/>
      <c r="BE237" s="3"/>
      <c r="BG237" s="3"/>
      <c r="BH237" s="3"/>
      <c r="BJ237" s="3"/>
      <c r="BK237" s="3"/>
      <c r="BM237" s="3"/>
      <c r="BN237" s="5"/>
      <c r="BP237" s="3"/>
      <c r="BS237" s="3"/>
      <c r="BT237" s="3"/>
      <c r="BV237" s="3"/>
      <c r="BW237" s="3"/>
      <c r="BY237" s="3"/>
      <c r="BZ237" s="3"/>
      <c r="CB237" s="3"/>
      <c r="CC237" s="5"/>
      <c r="CE237" s="3"/>
      <c r="CH237" s="3"/>
      <c r="CI237" s="3"/>
      <c r="CK237" s="3"/>
      <c r="CL237" s="3"/>
      <c r="CN237" s="3"/>
      <c r="CO237" s="3"/>
      <c r="CQ237" s="3"/>
      <c r="CR237" s="5"/>
      <c r="CT237" s="3"/>
      <c r="CW237" s="3"/>
      <c r="CX237" s="3"/>
      <c r="CZ237" s="3"/>
      <c r="DA237" s="3"/>
      <c r="DC237" s="3"/>
      <c r="DD237" s="3"/>
      <c r="DF237" s="3"/>
      <c r="DG237" s="5"/>
      <c r="DI237" s="3"/>
      <c r="DL237" s="3"/>
      <c r="DM237" s="3"/>
      <c r="DO237" s="3"/>
      <c r="DP237" s="3"/>
      <c r="DR237" s="3"/>
      <c r="DS237" s="1" t="str">
        <f>_xlfn.XLOOKUP(OfficeForms.Table[[#This Row],[Selecione a Categoria do Laboratório desta atividade prática:]],Planilha1!A:A,Planilha1!B:B)</f>
        <v>EMF-ISN</v>
      </c>
      <c r="DT237" s="1" t="str">
        <f>CONCATENATE(OfficeForms.Table[[#This Row],[Selecione seu Polo Laboratório de Atividades Presenciais:]],OfficeForms.Table[[#This Row],[CHAVE CONVERSÃO]])</f>
        <v>Santo André/SPEMF-ISN</v>
      </c>
      <c r="DU23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23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23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37" s="1" t="str">
        <f>_xlfn.XLOOKUP(OfficeForms.Table[[#This Row],[CHAVE LINK POLO]],'[1]Quadro Geral de Lotação'!$B:$B,'[1]Quadro Geral de Lotação'!$I:$I)</f>
        <v>Kamila Cabral Sena</v>
      </c>
      <c r="DY237" s="1" t="str">
        <f>OfficeForms.Table[[#This Row],[Selecione a Ordem de Disciplina]]</f>
        <v>Ordem 1</v>
      </c>
    </row>
    <row r="238" spans="1:129" ht="34.15" customHeight="1">
      <c r="A238" s="1">
        <v>238</v>
      </c>
      <c r="B238" s="2">
        <v>46095.824386574102</v>
      </c>
      <c r="C238" s="2">
        <v>46095.827372685198</v>
      </c>
      <c r="D238" s="3" t="s">
        <v>896</v>
      </c>
      <c r="E238" s="3" t="s">
        <v>897</v>
      </c>
      <c r="G238" s="3"/>
      <c r="I238" s="3" t="s">
        <v>898</v>
      </c>
      <c r="K238" s="3"/>
      <c r="L238" s="1" t="s">
        <v>132</v>
      </c>
      <c r="O238" s="3" t="s">
        <v>184</v>
      </c>
      <c r="Q238" s="3"/>
      <c r="R238" s="3"/>
      <c r="T238" s="3"/>
      <c r="U238" s="5"/>
      <c r="W238" s="3"/>
      <c r="Z238" s="3"/>
      <c r="AA238" s="3"/>
      <c r="AC238" s="3"/>
      <c r="AD238" s="3"/>
      <c r="AF238" s="3"/>
      <c r="AG238" s="3" t="s">
        <v>185</v>
      </c>
      <c r="AI238" s="3"/>
      <c r="AJ238" s="1">
        <v>46076</v>
      </c>
      <c r="AL238" s="3"/>
      <c r="AM238" s="1">
        <v>10</v>
      </c>
      <c r="AO238" s="3"/>
      <c r="AP238" s="3" t="s">
        <v>899</v>
      </c>
      <c r="AR238" s="3"/>
      <c r="AS238" s="3" t="s">
        <v>900</v>
      </c>
      <c r="AU238" s="3"/>
      <c r="AV238" s="3"/>
      <c r="AX238" s="3"/>
      <c r="AY238" s="5"/>
      <c r="BA238" s="3"/>
      <c r="BD238" s="3"/>
      <c r="BE238" s="3"/>
      <c r="BG238" s="3"/>
      <c r="BH238" s="3"/>
      <c r="BJ238" s="3"/>
      <c r="BK238" s="3"/>
      <c r="BM238" s="3"/>
      <c r="BN238" s="5"/>
      <c r="BP238" s="3"/>
      <c r="BS238" s="3"/>
      <c r="BT238" s="3"/>
      <c r="BV238" s="3"/>
      <c r="BW238" s="3"/>
      <c r="BY238" s="3"/>
      <c r="BZ238" s="3"/>
      <c r="CB238" s="3"/>
      <c r="CC238" s="5"/>
      <c r="CE238" s="3"/>
      <c r="CH238" s="3"/>
      <c r="CI238" s="3"/>
      <c r="CK238" s="3"/>
      <c r="CL238" s="3"/>
      <c r="CN238" s="3"/>
      <c r="CO238" s="3"/>
      <c r="CQ238" s="3"/>
      <c r="CR238" s="5"/>
      <c r="CT238" s="3"/>
      <c r="CW238" s="3"/>
      <c r="CX238" s="3"/>
      <c r="CZ238" s="3"/>
      <c r="DA238" s="3"/>
      <c r="DC238" s="3"/>
      <c r="DD238" s="3"/>
      <c r="DF238" s="3"/>
      <c r="DG238" s="5"/>
      <c r="DI238" s="3"/>
      <c r="DL238" s="3"/>
      <c r="DM238" s="3"/>
      <c r="DO238" s="3"/>
      <c r="DP238" s="3"/>
      <c r="DR238" s="3"/>
      <c r="DS238" s="1" t="str">
        <f>_xlfn.XLOOKUP(OfficeForms.Table[[#This Row],[Selecione a Categoria do Laboratório desta atividade prática:]],Planilha1!A:A,Planilha1!B:B)</f>
        <v>EMF-ISN</v>
      </c>
      <c r="DT238" s="1" t="str">
        <f>CONCATENATE(OfficeForms.Table[[#This Row],[Selecione seu Polo Laboratório de Atividades Presenciais:]],OfficeForms.Table[[#This Row],[CHAVE CONVERSÃO]])</f>
        <v>Duque de Caxias/RJ - 25 de AgostoEMF-ISN</v>
      </c>
      <c r="DU23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23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23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238" s="1" t="str">
        <f>_xlfn.XLOOKUP(OfficeForms.Table[[#This Row],[CHAVE LINK POLO]],'[1]Quadro Geral de Lotação'!$B:$B,'[1]Quadro Geral de Lotação'!$I:$I)</f>
        <v>Magno Luis Das Neves Rosa</v>
      </c>
      <c r="DY238" s="1" t="str">
        <f>OfficeForms.Table[[#This Row],[Selecione a Ordem de Disciplina]]</f>
        <v>Ordem 1</v>
      </c>
    </row>
    <row r="239" spans="1:129" ht="34.15" customHeight="1">
      <c r="A239" s="1">
        <v>239</v>
      </c>
      <c r="B239" s="2">
        <v>46095.828703703701</v>
      </c>
      <c r="C239" s="2">
        <v>46095.830949074101</v>
      </c>
      <c r="D239" s="3" t="s">
        <v>632</v>
      </c>
      <c r="E239" s="3" t="s">
        <v>633</v>
      </c>
      <c r="G239" s="3"/>
      <c r="I239" s="3" t="s">
        <v>634</v>
      </c>
      <c r="K239" s="3"/>
      <c r="L239" s="1" t="s">
        <v>132</v>
      </c>
      <c r="O239" s="3" t="s">
        <v>497</v>
      </c>
      <c r="Q239" s="3"/>
      <c r="R239" s="3" t="s">
        <v>901</v>
      </c>
      <c r="T239" s="3"/>
      <c r="U239" s="5">
        <v>46090</v>
      </c>
      <c r="W239" s="3"/>
      <c r="X239" s="1">
        <v>22</v>
      </c>
      <c r="Z239" s="3"/>
      <c r="AA239" s="3" t="s">
        <v>902</v>
      </c>
      <c r="AC239" s="3"/>
      <c r="AD239" s="3" t="s">
        <v>903</v>
      </c>
      <c r="AF239" s="3"/>
      <c r="AG239" s="3"/>
      <c r="AI239" s="3"/>
      <c r="AJ239" s="1"/>
      <c r="AL239" s="3"/>
      <c r="AO239" s="3"/>
      <c r="AP239" s="3"/>
      <c r="AR239" s="3"/>
      <c r="AS239" s="3"/>
      <c r="AU239" s="3"/>
      <c r="AV239" s="3"/>
      <c r="AX239" s="3"/>
      <c r="AY239" s="5"/>
      <c r="BA239" s="3"/>
      <c r="BD239" s="3"/>
      <c r="BE239" s="3"/>
      <c r="BG239" s="3"/>
      <c r="BH239" s="3"/>
      <c r="BJ239" s="3"/>
      <c r="BK239" s="3"/>
      <c r="BM239" s="3"/>
      <c r="BN239" s="5"/>
      <c r="BP239" s="3"/>
      <c r="BS239" s="3"/>
      <c r="BT239" s="3"/>
      <c r="BV239" s="3"/>
      <c r="BW239" s="3"/>
      <c r="BY239" s="3"/>
      <c r="BZ239" s="3"/>
      <c r="CB239" s="3"/>
      <c r="CC239" s="5"/>
      <c r="CE239" s="3"/>
      <c r="CH239" s="3"/>
      <c r="CI239" s="3"/>
      <c r="CK239" s="3"/>
      <c r="CL239" s="3"/>
      <c r="CN239" s="3"/>
      <c r="CO239" s="3"/>
      <c r="CQ239" s="3"/>
      <c r="CR239" s="5"/>
      <c r="CT239" s="3"/>
      <c r="CW239" s="3"/>
      <c r="CX239" s="3"/>
      <c r="CZ239" s="3"/>
      <c r="DA239" s="3"/>
      <c r="DC239" s="3"/>
      <c r="DD239" s="3"/>
      <c r="DF239" s="3"/>
      <c r="DG239" s="5"/>
      <c r="DI239" s="3"/>
      <c r="DL239" s="3"/>
      <c r="DM239" s="3"/>
      <c r="DO239" s="3"/>
      <c r="DP239" s="3"/>
      <c r="DR239" s="3"/>
      <c r="DS239" s="1" t="str">
        <f>_xlfn.XLOOKUP(OfficeForms.Table[[#This Row],[Selecione a Categoria do Laboratório desta atividade prática:]],Planilha1!A:A,Planilha1!B:B)</f>
        <v>BFR-BBI</v>
      </c>
      <c r="DT239" s="1" t="str">
        <f>CONCATENATE(OfficeForms.Table[[#This Row],[Selecione seu Polo Laboratório de Atividades Presenciais:]],OfficeForms.Table[[#This Row],[CHAVE CONVERSÃO]])</f>
        <v>Palhoça/SCBFR-BBI</v>
      </c>
      <c r="DU23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Coleta de Sangue;Contagem diferencial de leucócitos;Esfregaço sanguíneo e colorações  (contagem diferencial de leucócitos);Esfregaço e coloração de GRAM;Tipagem sanguínea em lâminas</v>
      </c>
      <c r="DV23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23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22</v>
      </c>
      <c r="DX239" s="1" t="e">
        <f>_xlfn.XLOOKUP(OfficeForms.Table[[#This Row],[CHAVE LINK POLO]],'[1]Quadro Geral de Lotação'!$B:$B,'[1]Quadro Geral de Lotação'!$I:$I)</f>
        <v>#N/A</v>
      </c>
      <c r="DY239" s="1" t="str">
        <f>OfficeForms.Table[[#This Row],[Selecione a Ordem de Disciplina]]</f>
        <v>Ordem 1</v>
      </c>
    </row>
    <row r="240" spans="1:129" ht="34.15" customHeight="1">
      <c r="A240" s="1">
        <v>240</v>
      </c>
      <c r="B240" s="2">
        <v>46095.8275810185</v>
      </c>
      <c r="C240" s="2">
        <v>46095.831168981502</v>
      </c>
      <c r="D240" s="3" t="s">
        <v>896</v>
      </c>
      <c r="E240" s="3" t="s">
        <v>897</v>
      </c>
      <c r="G240" s="3"/>
      <c r="I240" s="3" t="s">
        <v>898</v>
      </c>
      <c r="K240" s="3"/>
      <c r="L240" s="1" t="s">
        <v>132</v>
      </c>
      <c r="O240" s="3" t="s">
        <v>184</v>
      </c>
      <c r="Q240" s="3"/>
      <c r="R240" s="3"/>
      <c r="T240" s="3"/>
      <c r="U240" s="5"/>
      <c r="W240" s="3"/>
      <c r="Z240" s="3"/>
      <c r="AA240" s="3"/>
      <c r="AC240" s="3"/>
      <c r="AD240" s="3"/>
      <c r="AF240" s="3"/>
      <c r="AG240" s="3" t="s">
        <v>206</v>
      </c>
      <c r="AI240" s="3"/>
      <c r="AJ240" s="1">
        <v>46079</v>
      </c>
      <c r="AL240" s="3"/>
      <c r="AM240" s="1">
        <v>8</v>
      </c>
      <c r="AO240" s="3"/>
      <c r="AP240" s="3" t="s">
        <v>904</v>
      </c>
      <c r="AR240" s="3"/>
      <c r="AS240" s="3" t="s">
        <v>905</v>
      </c>
      <c r="AU240" s="3"/>
      <c r="AV240" s="3"/>
      <c r="AX240" s="3"/>
      <c r="AY240" s="5"/>
      <c r="BA240" s="3"/>
      <c r="BD240" s="3"/>
      <c r="BE240" s="3"/>
      <c r="BG240" s="3"/>
      <c r="BH240" s="3"/>
      <c r="BJ240" s="3"/>
      <c r="BK240" s="3"/>
      <c r="BM240" s="3"/>
      <c r="BN240" s="5"/>
      <c r="BP240" s="3"/>
      <c r="BS240" s="3"/>
      <c r="BT240" s="3"/>
      <c r="BV240" s="3"/>
      <c r="BW240" s="3"/>
      <c r="BY240" s="3"/>
      <c r="BZ240" s="3"/>
      <c r="CB240" s="3"/>
      <c r="CC240" s="5"/>
      <c r="CE240" s="3"/>
      <c r="CH240" s="3"/>
      <c r="CI240" s="3"/>
      <c r="CK240" s="3"/>
      <c r="CL240" s="3"/>
      <c r="CN240" s="3"/>
      <c r="CO240" s="3"/>
      <c r="CQ240" s="3"/>
      <c r="CR240" s="5"/>
      <c r="CT240" s="3"/>
      <c r="CW240" s="3"/>
      <c r="CX240" s="3"/>
      <c r="CZ240" s="3"/>
      <c r="DA240" s="3"/>
      <c r="DC240" s="3"/>
      <c r="DD240" s="3"/>
      <c r="DF240" s="3"/>
      <c r="DG240" s="5"/>
      <c r="DI240" s="3"/>
      <c r="DL240" s="3"/>
      <c r="DM240" s="3"/>
      <c r="DO240" s="3"/>
      <c r="DP240" s="3"/>
      <c r="DR240" s="3"/>
      <c r="DS240" s="1" t="str">
        <f>_xlfn.XLOOKUP(OfficeForms.Table[[#This Row],[Selecione a Categoria do Laboratório desta atividade prática:]],Planilha1!A:A,Planilha1!B:B)</f>
        <v>EMF-ISN</v>
      </c>
      <c r="DT240" s="1" t="str">
        <f>CONCATENATE(OfficeForms.Table[[#This Row],[Selecione seu Polo Laboratório de Atividades Presenciais:]],OfficeForms.Table[[#This Row],[CHAVE CONVERSÃO]])</f>
        <v>Duque de Caxias/RJ - 25 de AgostoEMF-ISN</v>
      </c>
      <c r="DU24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4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24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240" s="1" t="str">
        <f>_xlfn.XLOOKUP(OfficeForms.Table[[#This Row],[CHAVE LINK POLO]],'[1]Quadro Geral de Lotação'!$B:$B,'[1]Quadro Geral de Lotação'!$I:$I)</f>
        <v>Magno Luis Das Neves Rosa</v>
      </c>
      <c r="DY240" s="1" t="str">
        <f>OfficeForms.Table[[#This Row],[Selecione a Ordem de Disciplina]]</f>
        <v>Ordem 1</v>
      </c>
    </row>
    <row r="241" spans="1:129" ht="34.15" customHeight="1">
      <c r="A241" s="1">
        <v>241</v>
      </c>
      <c r="B241" s="2">
        <v>46095.831215277802</v>
      </c>
      <c r="C241" s="2">
        <v>46095.832581018498</v>
      </c>
      <c r="D241" s="3" t="s">
        <v>896</v>
      </c>
      <c r="E241" s="3" t="s">
        <v>897</v>
      </c>
      <c r="G241" s="3"/>
      <c r="I241" s="3" t="s">
        <v>898</v>
      </c>
      <c r="K241" s="3"/>
      <c r="L241" s="1" t="s">
        <v>132</v>
      </c>
      <c r="O241" s="3" t="s">
        <v>184</v>
      </c>
      <c r="Q241" s="3"/>
      <c r="R241" s="3"/>
      <c r="T241" s="3"/>
      <c r="U241" s="5"/>
      <c r="W241" s="3"/>
      <c r="Z241" s="3"/>
      <c r="AA241" s="3"/>
      <c r="AC241" s="3"/>
      <c r="AD241" s="3"/>
      <c r="AF241" s="3"/>
      <c r="AG241" s="3" t="s">
        <v>206</v>
      </c>
      <c r="AI241" s="3"/>
      <c r="AJ241" s="1">
        <v>46079</v>
      </c>
      <c r="AL241" s="3"/>
      <c r="AM241" s="1">
        <v>8</v>
      </c>
      <c r="AO241" s="3"/>
      <c r="AP241" s="3" t="s">
        <v>906</v>
      </c>
      <c r="AR241" s="3"/>
      <c r="AS241" s="3" t="s">
        <v>907</v>
      </c>
      <c r="AU241" s="3"/>
      <c r="AV241" s="3"/>
      <c r="AX241" s="3"/>
      <c r="AY241" s="5"/>
      <c r="BA241" s="3"/>
      <c r="BD241" s="3"/>
      <c r="BE241" s="3"/>
      <c r="BG241" s="3"/>
      <c r="BH241" s="3"/>
      <c r="BJ241" s="3"/>
      <c r="BK241" s="3"/>
      <c r="BM241" s="3"/>
      <c r="BN241" s="5"/>
      <c r="BP241" s="3"/>
      <c r="BS241" s="3"/>
      <c r="BT241" s="3"/>
      <c r="BV241" s="3"/>
      <c r="BW241" s="3"/>
      <c r="BY241" s="3"/>
      <c r="BZ241" s="3"/>
      <c r="CB241" s="3"/>
      <c r="CC241" s="5"/>
      <c r="CE241" s="3"/>
      <c r="CH241" s="3"/>
      <c r="CI241" s="3"/>
      <c r="CK241" s="3"/>
      <c r="CL241" s="3"/>
      <c r="CN241" s="3"/>
      <c r="CO241" s="3"/>
      <c r="CQ241" s="3"/>
      <c r="CR241" s="5"/>
      <c r="CT241" s="3"/>
      <c r="CW241" s="3"/>
      <c r="CX241" s="3"/>
      <c r="CZ241" s="3"/>
      <c r="DA241" s="3"/>
      <c r="DC241" s="3"/>
      <c r="DD241" s="3"/>
      <c r="DF241" s="3"/>
      <c r="DG241" s="5"/>
      <c r="DI241" s="3"/>
      <c r="DL241" s="3"/>
      <c r="DM241" s="3"/>
      <c r="DO241" s="3"/>
      <c r="DP241" s="3"/>
      <c r="DR241" s="3"/>
      <c r="DS241" s="1" t="str">
        <f>_xlfn.XLOOKUP(OfficeForms.Table[[#This Row],[Selecione a Categoria do Laboratório desta atividade prática:]],Planilha1!A:A,Planilha1!B:B)</f>
        <v>EMF-ISN</v>
      </c>
      <c r="DT241" s="1" t="str">
        <f>CONCATENATE(OfficeForms.Table[[#This Row],[Selecione seu Polo Laboratório de Atividades Presenciais:]],OfficeForms.Table[[#This Row],[CHAVE CONVERSÃO]])</f>
        <v>Duque de Caxias/RJ - 25 de AgostoEMF-ISN</v>
      </c>
      <c r="DU24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4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24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241" s="1" t="str">
        <f>_xlfn.XLOOKUP(OfficeForms.Table[[#This Row],[CHAVE LINK POLO]],'[1]Quadro Geral de Lotação'!$B:$B,'[1]Quadro Geral de Lotação'!$I:$I)</f>
        <v>Magno Luis Das Neves Rosa</v>
      </c>
      <c r="DY241" s="1" t="str">
        <f>OfficeForms.Table[[#This Row],[Selecione a Ordem de Disciplina]]</f>
        <v>Ordem 1</v>
      </c>
    </row>
    <row r="242" spans="1:129" ht="34.15" customHeight="1">
      <c r="A242" s="1">
        <v>242</v>
      </c>
      <c r="B242" s="2">
        <v>46095.832812499997</v>
      </c>
      <c r="C242" s="2">
        <v>46095.834120370397</v>
      </c>
      <c r="D242" s="3" t="s">
        <v>632</v>
      </c>
      <c r="E242" s="3" t="s">
        <v>633</v>
      </c>
      <c r="G242" s="3"/>
      <c r="I242" s="3" t="s">
        <v>634</v>
      </c>
      <c r="K242" s="3"/>
      <c r="L242" s="1" t="s">
        <v>678</v>
      </c>
      <c r="O242" s="3" t="s">
        <v>497</v>
      </c>
      <c r="Q242" s="3"/>
      <c r="R242" s="3" t="s">
        <v>635</v>
      </c>
      <c r="T242" s="3"/>
      <c r="U242" s="5">
        <v>46090</v>
      </c>
      <c r="W242" s="3"/>
      <c r="X242" s="1">
        <v>22</v>
      </c>
      <c r="Z242" s="3"/>
      <c r="AA242" s="3" t="s">
        <v>908</v>
      </c>
      <c r="AC242" s="3"/>
      <c r="AD242" s="3" t="s">
        <v>909</v>
      </c>
      <c r="AF242" s="3"/>
      <c r="AG242" s="3"/>
      <c r="AI242" s="3"/>
      <c r="AJ242" s="1"/>
      <c r="AL242" s="3"/>
      <c r="AO242" s="3"/>
      <c r="AP242" s="3"/>
      <c r="AR242" s="3"/>
      <c r="AS242" s="3"/>
      <c r="AU242" s="3"/>
      <c r="AV242" s="3"/>
      <c r="AX242" s="3"/>
      <c r="AY242" s="5"/>
      <c r="BA242" s="3"/>
      <c r="BD242" s="3"/>
      <c r="BE242" s="3"/>
      <c r="BG242" s="3"/>
      <c r="BH242" s="3"/>
      <c r="BJ242" s="3"/>
      <c r="BK242" s="3"/>
      <c r="BM242" s="3"/>
      <c r="BN242" s="5"/>
      <c r="BP242" s="3"/>
      <c r="BS242" s="3"/>
      <c r="BT242" s="3"/>
      <c r="BV242" s="3"/>
      <c r="BW242" s="3"/>
      <c r="BY242" s="3"/>
      <c r="BZ242" s="3"/>
      <c r="CB242" s="3"/>
      <c r="CC242" s="5"/>
      <c r="CE242" s="3"/>
      <c r="CH242" s="3"/>
      <c r="CI242" s="3"/>
      <c r="CK242" s="3"/>
      <c r="CL242" s="3"/>
      <c r="CN242" s="3"/>
      <c r="CO242" s="3"/>
      <c r="CQ242" s="3"/>
      <c r="CR242" s="5"/>
      <c r="CT242" s="3"/>
      <c r="CW242" s="3"/>
      <c r="CX242" s="3"/>
      <c r="CZ242" s="3"/>
      <c r="DA242" s="3"/>
      <c r="DC242" s="3"/>
      <c r="DD242" s="3"/>
      <c r="DF242" s="3"/>
      <c r="DG242" s="5"/>
      <c r="DI242" s="3"/>
      <c r="DL242" s="3"/>
      <c r="DM242" s="3"/>
      <c r="DO242" s="3"/>
      <c r="DP242" s="3"/>
      <c r="DR242" s="3"/>
      <c r="DS242" s="1" t="str">
        <f>_xlfn.XLOOKUP(OfficeForms.Table[[#This Row],[Selecione a Categoria do Laboratório desta atividade prática:]],Planilha1!A:A,Planilha1!B:B)</f>
        <v>BFR-BBI</v>
      </c>
      <c r="DT242" s="1" t="str">
        <f>CONCATENATE(OfficeForms.Table[[#This Row],[Selecione seu Polo Laboratório de Atividades Presenciais:]],OfficeForms.Table[[#This Row],[CHAVE CONVERSÃO]])</f>
        <v>Palhoça/SCBFR-BBI</v>
      </c>
      <c r="DU24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Coleta de Sangue;Contagem diferencial de leucócitos;Esfregaço e coloração de GRAM;Esfregaço sanguíneo e colorações  (contagem diferencial de leucócitos)</v>
      </c>
      <c r="DV24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24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22</v>
      </c>
      <c r="DX242" s="1" t="e">
        <f>_xlfn.XLOOKUP(OfficeForms.Table[[#This Row],[CHAVE LINK POLO]],'[1]Quadro Geral de Lotação'!$B:$B,'[1]Quadro Geral de Lotação'!$I:$I)</f>
        <v>#N/A</v>
      </c>
      <c r="DY242" s="1" t="str">
        <f>OfficeForms.Table[[#This Row],[Selecione a Ordem de Disciplina]]</f>
        <v>Ordem 2</v>
      </c>
    </row>
    <row r="243" spans="1:129" ht="34.15" customHeight="1">
      <c r="A243" s="1">
        <v>243</v>
      </c>
      <c r="B243" s="2">
        <v>46095.848761574103</v>
      </c>
      <c r="C243" s="2">
        <v>46095.850428240701</v>
      </c>
      <c r="D243" s="3" t="s">
        <v>362</v>
      </c>
      <c r="E243" s="3" t="s">
        <v>363</v>
      </c>
      <c r="G243" s="3"/>
      <c r="I243" s="3" t="s">
        <v>364</v>
      </c>
      <c r="K243" s="3"/>
      <c r="L243" s="1" t="s">
        <v>132</v>
      </c>
      <c r="O243" s="3" t="s">
        <v>184</v>
      </c>
      <c r="Q243" s="3"/>
      <c r="R243" s="3"/>
      <c r="T243" s="3"/>
      <c r="U243" s="5"/>
      <c r="W243" s="3"/>
      <c r="Z243" s="3"/>
      <c r="AA243" s="3"/>
      <c r="AC243" s="3"/>
      <c r="AD243" s="3"/>
      <c r="AF243" s="3"/>
      <c r="AG243" s="3" t="s">
        <v>185</v>
      </c>
      <c r="AI243" s="3"/>
      <c r="AJ243" s="1">
        <v>46088</v>
      </c>
      <c r="AL243" s="3"/>
      <c r="AM243" s="1">
        <v>5</v>
      </c>
      <c r="AO243" s="3"/>
      <c r="AP243" s="3" t="s">
        <v>910</v>
      </c>
      <c r="AR243" s="3"/>
      <c r="AS243" s="3" t="s">
        <v>911</v>
      </c>
      <c r="AU243" s="3"/>
      <c r="AV243" s="3"/>
      <c r="AX243" s="3"/>
      <c r="AY243" s="5"/>
      <c r="BA243" s="3"/>
      <c r="BD243" s="3"/>
      <c r="BE243" s="3"/>
      <c r="BG243" s="3"/>
      <c r="BH243" s="3"/>
      <c r="BJ243" s="3"/>
      <c r="BK243" s="3"/>
      <c r="BM243" s="3"/>
      <c r="BN243" s="5"/>
      <c r="BP243" s="3"/>
      <c r="BS243" s="3"/>
      <c r="BT243" s="3"/>
      <c r="BV243" s="3"/>
      <c r="BW243" s="3"/>
      <c r="BY243" s="3"/>
      <c r="BZ243" s="3"/>
      <c r="CB243" s="3"/>
      <c r="CC243" s="5"/>
      <c r="CE243" s="3"/>
      <c r="CH243" s="3"/>
      <c r="CI243" s="3"/>
      <c r="CK243" s="3"/>
      <c r="CL243" s="3"/>
      <c r="CN243" s="3"/>
      <c r="CO243" s="3"/>
      <c r="CQ243" s="3"/>
      <c r="CR243" s="5"/>
      <c r="CT243" s="3"/>
      <c r="CW243" s="3"/>
      <c r="CX243" s="3"/>
      <c r="CZ243" s="3"/>
      <c r="DA243" s="3"/>
      <c r="DC243" s="3"/>
      <c r="DD243" s="3"/>
      <c r="DF243" s="3"/>
      <c r="DG243" s="5"/>
      <c r="DI243" s="3"/>
      <c r="DL243" s="3"/>
      <c r="DM243" s="3"/>
      <c r="DO243" s="3"/>
      <c r="DP243" s="3"/>
      <c r="DR243" s="3"/>
      <c r="DS243" s="1" t="str">
        <f>_xlfn.XLOOKUP(OfficeForms.Table[[#This Row],[Selecione a Categoria do Laboratório desta atividade prática:]],Planilha1!A:A,Planilha1!B:B)</f>
        <v>EMF-ISN</v>
      </c>
      <c r="DT243" s="1" t="str">
        <f>CONCATENATE(OfficeForms.Table[[#This Row],[Selecione seu Polo Laboratório de Atividades Presenciais:]],OfficeForms.Table[[#This Row],[CHAVE CONVERSÃO]])</f>
        <v>Maués/AMEMF-ISN</v>
      </c>
      <c r="DU24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24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24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243" s="1" t="str">
        <f>_xlfn.XLOOKUP(OfficeForms.Table[[#This Row],[CHAVE LINK POLO]],'[1]Quadro Geral de Lotação'!$B:$B,'[1]Quadro Geral de Lotação'!$I:$I)</f>
        <v>Nelma Rita Passos Martins</v>
      </c>
      <c r="DY243" s="1" t="str">
        <f>OfficeForms.Table[[#This Row],[Selecione a Ordem de Disciplina]]</f>
        <v>Ordem 1</v>
      </c>
    </row>
    <row r="244" spans="1:129" ht="34.15" customHeight="1">
      <c r="A244" s="1">
        <v>244</v>
      </c>
      <c r="B244" s="2">
        <v>46095.854490740698</v>
      </c>
      <c r="C244" s="2">
        <v>46095.857291666704</v>
      </c>
      <c r="D244" s="3" t="s">
        <v>362</v>
      </c>
      <c r="E244" s="3" t="s">
        <v>363</v>
      </c>
      <c r="G244" s="3"/>
      <c r="I244" s="3" t="s">
        <v>364</v>
      </c>
      <c r="K244" s="3"/>
      <c r="L244" s="1" t="s">
        <v>132</v>
      </c>
      <c r="O244" s="3" t="s">
        <v>184</v>
      </c>
      <c r="Q244" s="3"/>
      <c r="R244" s="3"/>
      <c r="T244" s="3"/>
      <c r="U244" s="5"/>
      <c r="W244" s="3"/>
      <c r="Z244" s="3"/>
      <c r="AA244" s="3"/>
      <c r="AC244" s="3"/>
      <c r="AD244" s="3"/>
      <c r="AF244" s="3"/>
      <c r="AG244" s="3" t="s">
        <v>206</v>
      </c>
      <c r="AI244" s="3"/>
      <c r="AJ244" s="1">
        <v>46088</v>
      </c>
      <c r="AL244" s="3"/>
      <c r="AM244" s="1">
        <v>5</v>
      </c>
      <c r="AO244" s="3"/>
      <c r="AP244" s="3" t="s">
        <v>912</v>
      </c>
      <c r="AR244" s="3"/>
      <c r="AS244" s="3" t="s">
        <v>913</v>
      </c>
      <c r="AU244" s="3"/>
      <c r="AV244" s="3"/>
      <c r="AX244" s="3"/>
      <c r="AY244" s="5"/>
      <c r="BA244" s="3"/>
      <c r="BD244" s="3"/>
      <c r="BE244" s="3"/>
      <c r="BG244" s="3"/>
      <c r="BH244" s="3"/>
      <c r="BJ244" s="3"/>
      <c r="BK244" s="3"/>
      <c r="BM244" s="3"/>
      <c r="BN244" s="5"/>
      <c r="BP244" s="3"/>
      <c r="BS244" s="3"/>
      <c r="BT244" s="3"/>
      <c r="BV244" s="3"/>
      <c r="BW244" s="3"/>
      <c r="BY244" s="3"/>
      <c r="BZ244" s="3"/>
      <c r="CB244" s="3"/>
      <c r="CC244" s="5"/>
      <c r="CE244" s="3"/>
      <c r="CH244" s="3"/>
      <c r="CI244" s="3"/>
      <c r="CK244" s="3"/>
      <c r="CL244" s="3"/>
      <c r="CN244" s="3"/>
      <c r="CO244" s="3"/>
      <c r="CQ244" s="3"/>
      <c r="CR244" s="5"/>
      <c r="CT244" s="3"/>
      <c r="CW244" s="3"/>
      <c r="CX244" s="3"/>
      <c r="CZ244" s="3"/>
      <c r="DA244" s="3"/>
      <c r="DC244" s="3"/>
      <c r="DD244" s="3"/>
      <c r="DF244" s="3"/>
      <c r="DG244" s="5"/>
      <c r="DI244" s="3"/>
      <c r="DL244" s="3"/>
      <c r="DM244" s="3"/>
      <c r="DO244" s="3"/>
      <c r="DP244" s="3"/>
      <c r="DR244" s="3"/>
      <c r="DS244" s="1" t="str">
        <f>_xlfn.XLOOKUP(OfficeForms.Table[[#This Row],[Selecione a Categoria do Laboratório desta atividade prática:]],Planilha1!A:A,Planilha1!B:B)</f>
        <v>EMF-ISN</v>
      </c>
      <c r="DT244" s="1" t="str">
        <f>CONCATENATE(OfficeForms.Table[[#This Row],[Selecione seu Polo Laboratório de Atividades Presenciais:]],OfficeForms.Table[[#This Row],[CHAVE CONVERSÃO]])</f>
        <v>Maués/AMEMF-ISN</v>
      </c>
      <c r="DU24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4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24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244" s="1" t="str">
        <f>_xlfn.XLOOKUP(OfficeForms.Table[[#This Row],[CHAVE LINK POLO]],'[1]Quadro Geral de Lotação'!$B:$B,'[1]Quadro Geral de Lotação'!$I:$I)</f>
        <v>Nelma Rita Passos Martins</v>
      </c>
      <c r="DY244" s="1" t="str">
        <f>OfficeForms.Table[[#This Row],[Selecione a Ordem de Disciplina]]</f>
        <v>Ordem 1</v>
      </c>
    </row>
    <row r="245" spans="1:129" ht="34.15" customHeight="1">
      <c r="A245" s="1">
        <v>245</v>
      </c>
      <c r="B245" s="2">
        <v>46095.832025463002</v>
      </c>
      <c r="C245" s="2">
        <v>46095.874166666697</v>
      </c>
      <c r="D245" s="3" t="s">
        <v>914</v>
      </c>
      <c r="E245" s="3" t="s">
        <v>915</v>
      </c>
      <c r="G245" s="3"/>
      <c r="I245" s="3" t="s">
        <v>916</v>
      </c>
      <c r="K245" s="3"/>
      <c r="L245" s="1" t="s">
        <v>132</v>
      </c>
      <c r="O245" s="3" t="s">
        <v>497</v>
      </c>
      <c r="Q245" s="3"/>
      <c r="R245" s="3" t="s">
        <v>917</v>
      </c>
      <c r="T245" s="3"/>
      <c r="U245" s="5">
        <v>46072</v>
      </c>
      <c r="W245" s="3"/>
      <c r="X245" s="1">
        <v>14</v>
      </c>
      <c r="Z245" s="3"/>
      <c r="AA245" s="3" t="s">
        <v>918</v>
      </c>
      <c r="AC245" s="3"/>
      <c r="AD245" s="3" t="s">
        <v>919</v>
      </c>
      <c r="AF245" s="3"/>
      <c r="AG245" s="3"/>
      <c r="AI245" s="3"/>
      <c r="AJ245" s="1"/>
      <c r="AL245" s="3"/>
      <c r="AO245" s="3"/>
      <c r="AP245" s="3"/>
      <c r="AR245" s="3"/>
      <c r="AS245" s="3"/>
      <c r="AU245" s="3"/>
      <c r="AV245" s="3"/>
      <c r="AX245" s="3"/>
      <c r="AY245" s="5"/>
      <c r="BA245" s="3"/>
      <c r="BD245" s="3"/>
      <c r="BE245" s="3"/>
      <c r="BG245" s="3"/>
      <c r="BH245" s="3"/>
      <c r="BJ245" s="3"/>
      <c r="BK245" s="3"/>
      <c r="BM245" s="3"/>
      <c r="BN245" s="5"/>
      <c r="BP245" s="3"/>
      <c r="BS245" s="3"/>
      <c r="BT245" s="3"/>
      <c r="BV245" s="3"/>
      <c r="BW245" s="3"/>
      <c r="BY245" s="3"/>
      <c r="BZ245" s="3"/>
      <c r="CB245" s="3"/>
      <c r="CC245" s="5"/>
      <c r="CE245" s="3"/>
      <c r="CH245" s="3"/>
      <c r="CI245" s="3"/>
      <c r="CK245" s="3"/>
      <c r="CL245" s="3"/>
      <c r="CN245" s="3"/>
      <c r="CO245" s="3"/>
      <c r="CQ245" s="3"/>
      <c r="CR245" s="5"/>
      <c r="CT245" s="3"/>
      <c r="CW245" s="3"/>
      <c r="CX245" s="3"/>
      <c r="CZ245" s="3"/>
      <c r="DA245" s="3"/>
      <c r="DC245" s="3"/>
      <c r="DD245" s="3"/>
      <c r="DF245" s="3"/>
      <c r="DG245" s="5"/>
      <c r="DI245" s="3"/>
      <c r="DL245" s="3"/>
      <c r="DM245" s="3"/>
      <c r="DO245" s="3"/>
      <c r="DP245" s="3"/>
      <c r="DR245" s="3"/>
      <c r="DS245" s="1" t="str">
        <f>_xlfn.XLOOKUP(OfficeForms.Table[[#This Row],[Selecione a Categoria do Laboratório desta atividade prática:]],Planilha1!A:A,Planilha1!B:B)</f>
        <v>BFR-BBI</v>
      </c>
      <c r="DT245" s="1" t="str">
        <f>CONCATENATE(OfficeForms.Table[[#This Row],[Selecione seu Polo Laboratório de Atividades Presenciais:]],OfficeForms.Table[[#This Row],[CHAVE CONVERSÃO]])</f>
        <v>Itapipoca/CEBFR-BBI</v>
      </c>
      <c r="DU24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Histologia vegetal;Identificação de estreptococos</v>
      </c>
      <c r="DV24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24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14</v>
      </c>
      <c r="DX245" s="1" t="e">
        <f>_xlfn.XLOOKUP(OfficeForms.Table[[#This Row],[CHAVE LINK POLO]],'[1]Quadro Geral de Lotação'!$B:$B,'[1]Quadro Geral de Lotação'!$I:$I)</f>
        <v>#N/A</v>
      </c>
      <c r="DY245" s="1" t="str">
        <f>OfficeForms.Table[[#This Row],[Selecione a Ordem de Disciplina]]</f>
        <v>Ordem 1</v>
      </c>
    </row>
    <row r="246" spans="1:129" ht="34.15" customHeight="1">
      <c r="A246" s="1">
        <v>246</v>
      </c>
      <c r="B246" s="2">
        <v>46095.872245370403</v>
      </c>
      <c r="C246" s="2">
        <v>46095.875694444403</v>
      </c>
      <c r="D246" s="3" t="s">
        <v>896</v>
      </c>
      <c r="E246" s="3" t="s">
        <v>897</v>
      </c>
      <c r="G246" s="3"/>
      <c r="I246" s="3" t="s">
        <v>898</v>
      </c>
      <c r="K246" s="3"/>
      <c r="L246" s="1" t="s">
        <v>132</v>
      </c>
      <c r="O246" s="3" t="s">
        <v>184</v>
      </c>
      <c r="Q246" s="3"/>
      <c r="R246" s="3"/>
      <c r="T246" s="3"/>
      <c r="U246" s="5"/>
      <c r="W246" s="3"/>
      <c r="Z246" s="3"/>
      <c r="AA246" s="3"/>
      <c r="AC246" s="3"/>
      <c r="AD246" s="3"/>
      <c r="AF246" s="3"/>
      <c r="AG246" s="3" t="s">
        <v>316</v>
      </c>
      <c r="AI246" s="3"/>
      <c r="AJ246" s="1">
        <v>46086</v>
      </c>
      <c r="AL246" s="3"/>
      <c r="AM246" s="1">
        <v>20</v>
      </c>
      <c r="AO246" s="3"/>
      <c r="AP246" s="3" t="s">
        <v>920</v>
      </c>
      <c r="AR246" s="3"/>
      <c r="AS246" s="3" t="s">
        <v>921</v>
      </c>
      <c r="AU246" s="3"/>
      <c r="AV246" s="3"/>
      <c r="AX246" s="3"/>
      <c r="AY246" s="5"/>
      <c r="BA246" s="3"/>
      <c r="BD246" s="3"/>
      <c r="BE246" s="3"/>
      <c r="BG246" s="3"/>
      <c r="BH246" s="3"/>
      <c r="BJ246" s="3"/>
      <c r="BK246" s="3"/>
      <c r="BM246" s="3"/>
      <c r="BN246" s="5"/>
      <c r="BP246" s="3"/>
      <c r="BS246" s="3"/>
      <c r="BT246" s="3"/>
      <c r="BV246" s="3"/>
      <c r="BW246" s="3"/>
      <c r="BY246" s="3"/>
      <c r="BZ246" s="3"/>
      <c r="CB246" s="3"/>
      <c r="CC246" s="5"/>
      <c r="CE246" s="3"/>
      <c r="CH246" s="3"/>
      <c r="CI246" s="3"/>
      <c r="CK246" s="3"/>
      <c r="CL246" s="3"/>
      <c r="CN246" s="3"/>
      <c r="CO246" s="3"/>
      <c r="CQ246" s="3"/>
      <c r="CR246" s="5"/>
      <c r="CT246" s="3"/>
      <c r="CW246" s="3"/>
      <c r="CX246" s="3"/>
      <c r="CZ246" s="3"/>
      <c r="DA246" s="3"/>
      <c r="DC246" s="3"/>
      <c r="DD246" s="3"/>
      <c r="DF246" s="3"/>
      <c r="DG246" s="5"/>
      <c r="DI246" s="3"/>
      <c r="DL246" s="3"/>
      <c r="DM246" s="3"/>
      <c r="DO246" s="3"/>
      <c r="DP246" s="3"/>
      <c r="DR246" s="3"/>
      <c r="DS246" s="1" t="str">
        <f>_xlfn.XLOOKUP(OfficeForms.Table[[#This Row],[Selecione a Categoria do Laboratório desta atividade prática:]],Planilha1!A:A,Planilha1!B:B)</f>
        <v>EMF-ISN</v>
      </c>
      <c r="DT246" s="1" t="str">
        <f>CONCATENATE(OfficeForms.Table[[#This Row],[Selecione seu Polo Laboratório de Atividades Presenciais:]],OfficeForms.Table[[#This Row],[CHAVE CONVERSÃO]])</f>
        <v>Duque de Caxias/RJ - 25 de AgostoEMF-ISN</v>
      </c>
      <c r="DU24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24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24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20</v>
      </c>
      <c r="DX246" s="1" t="str">
        <f>_xlfn.XLOOKUP(OfficeForms.Table[[#This Row],[CHAVE LINK POLO]],'[1]Quadro Geral de Lotação'!$B:$B,'[1]Quadro Geral de Lotação'!$I:$I)</f>
        <v>Magno Luis Das Neves Rosa</v>
      </c>
      <c r="DY246" s="1" t="str">
        <f>OfficeForms.Table[[#This Row],[Selecione a Ordem de Disciplina]]</f>
        <v>Ordem 1</v>
      </c>
    </row>
    <row r="247" spans="1:129" ht="34.15" customHeight="1">
      <c r="A247" s="1">
        <v>247</v>
      </c>
      <c r="B247" s="2">
        <v>46095.876296296301</v>
      </c>
      <c r="C247" s="2">
        <v>46095.879189814797</v>
      </c>
      <c r="D247" s="3" t="s">
        <v>896</v>
      </c>
      <c r="E247" s="3" t="s">
        <v>897</v>
      </c>
      <c r="G247" s="3"/>
      <c r="I247" s="3" t="s">
        <v>898</v>
      </c>
      <c r="K247" s="3"/>
      <c r="L247" s="1" t="s">
        <v>132</v>
      </c>
      <c r="O247" s="3" t="s">
        <v>184</v>
      </c>
      <c r="Q247" s="3"/>
      <c r="R247" s="3"/>
      <c r="T247" s="3"/>
      <c r="U247" s="5"/>
      <c r="W247" s="3"/>
      <c r="Z247" s="3"/>
      <c r="AA247" s="3"/>
      <c r="AC247" s="3"/>
      <c r="AD247" s="3"/>
      <c r="AF247" s="3"/>
      <c r="AG247" s="3" t="s">
        <v>414</v>
      </c>
      <c r="AI247" s="3"/>
      <c r="AJ247" s="1">
        <v>46090</v>
      </c>
      <c r="AL247" s="3"/>
      <c r="AM247" s="1">
        <v>20</v>
      </c>
      <c r="AO247" s="3"/>
      <c r="AP247" s="3" t="s">
        <v>922</v>
      </c>
      <c r="AR247" s="3"/>
      <c r="AS247" s="3" t="s">
        <v>923</v>
      </c>
      <c r="AU247" s="3"/>
      <c r="AV247" s="3"/>
      <c r="AX247" s="3"/>
      <c r="AY247" s="5"/>
      <c r="BA247" s="3"/>
      <c r="BD247" s="3"/>
      <c r="BE247" s="3"/>
      <c r="BG247" s="3"/>
      <c r="BH247" s="3"/>
      <c r="BJ247" s="3"/>
      <c r="BK247" s="3"/>
      <c r="BM247" s="3"/>
      <c r="BN247" s="5"/>
      <c r="BP247" s="3"/>
      <c r="BS247" s="3"/>
      <c r="BT247" s="3"/>
      <c r="BV247" s="3"/>
      <c r="BW247" s="3"/>
      <c r="BY247" s="3"/>
      <c r="BZ247" s="3"/>
      <c r="CB247" s="3"/>
      <c r="CC247" s="5"/>
      <c r="CE247" s="3"/>
      <c r="CH247" s="3"/>
      <c r="CI247" s="3"/>
      <c r="CK247" s="3"/>
      <c r="CL247" s="3"/>
      <c r="CN247" s="3"/>
      <c r="CO247" s="3"/>
      <c r="CQ247" s="3"/>
      <c r="CR247" s="5"/>
      <c r="CT247" s="3"/>
      <c r="CW247" s="3"/>
      <c r="CX247" s="3"/>
      <c r="CZ247" s="3"/>
      <c r="DA247" s="3"/>
      <c r="DC247" s="3"/>
      <c r="DD247" s="3"/>
      <c r="DF247" s="3"/>
      <c r="DG247" s="5"/>
      <c r="DI247" s="3"/>
      <c r="DL247" s="3"/>
      <c r="DM247" s="3"/>
      <c r="DO247" s="3"/>
      <c r="DP247" s="3"/>
      <c r="DR247" s="3"/>
      <c r="DS247" s="1" t="str">
        <f>_xlfn.XLOOKUP(OfficeForms.Table[[#This Row],[Selecione a Categoria do Laboratório desta atividade prática:]],Planilha1!A:A,Planilha1!B:B)</f>
        <v>EMF-ISN</v>
      </c>
      <c r="DT247" s="1" t="str">
        <f>CONCATENATE(OfficeForms.Table[[#This Row],[Selecione seu Polo Laboratório de Atividades Presenciais:]],OfficeForms.Table[[#This Row],[CHAVE CONVERSÃO]])</f>
        <v>Duque de Caxias/RJ - 25 de AgostoEMF-ISN</v>
      </c>
      <c r="DU24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24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24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20</v>
      </c>
      <c r="DX247" s="1" t="str">
        <f>_xlfn.XLOOKUP(OfficeForms.Table[[#This Row],[CHAVE LINK POLO]],'[1]Quadro Geral de Lotação'!$B:$B,'[1]Quadro Geral de Lotação'!$I:$I)</f>
        <v>Magno Luis Das Neves Rosa</v>
      </c>
      <c r="DY247" s="1" t="str">
        <f>OfficeForms.Table[[#This Row],[Selecione a Ordem de Disciplina]]</f>
        <v>Ordem 1</v>
      </c>
    </row>
    <row r="248" spans="1:129" ht="34.15" customHeight="1">
      <c r="A248" s="1">
        <v>248</v>
      </c>
      <c r="B248" s="2">
        <v>46095.880937499998</v>
      </c>
      <c r="C248" s="2">
        <v>46095.884710648097</v>
      </c>
      <c r="D248" s="3" t="s">
        <v>896</v>
      </c>
      <c r="E248" s="3" t="s">
        <v>897</v>
      </c>
      <c r="G248" s="3"/>
      <c r="I248" s="3" t="s">
        <v>898</v>
      </c>
      <c r="K248" s="3"/>
      <c r="L248" s="1" t="s">
        <v>132</v>
      </c>
      <c r="O248" s="3" t="s">
        <v>184</v>
      </c>
      <c r="Q248" s="3"/>
      <c r="R248" s="3"/>
      <c r="T248" s="3"/>
      <c r="U248" s="5"/>
      <c r="W248" s="3"/>
      <c r="Z248" s="3"/>
      <c r="AA248" s="3"/>
      <c r="AC248" s="3"/>
      <c r="AD248" s="3"/>
      <c r="AF248" s="3"/>
      <c r="AG248" s="3" t="s">
        <v>414</v>
      </c>
      <c r="AI248" s="3"/>
      <c r="AJ248" s="1">
        <v>46083</v>
      </c>
      <c r="AL248" s="3"/>
      <c r="AM248" s="1">
        <v>18</v>
      </c>
      <c r="AO248" s="3"/>
      <c r="AP248" s="3" t="s">
        <v>924</v>
      </c>
      <c r="AR248" s="3"/>
      <c r="AS248" s="3" t="s">
        <v>925</v>
      </c>
      <c r="AU248" s="3"/>
      <c r="AV248" s="3"/>
      <c r="AX248" s="3"/>
      <c r="AY248" s="5"/>
      <c r="BA248" s="3"/>
      <c r="BD248" s="3"/>
      <c r="BE248" s="3"/>
      <c r="BG248" s="3"/>
      <c r="BH248" s="3"/>
      <c r="BJ248" s="3"/>
      <c r="BK248" s="3"/>
      <c r="BM248" s="3"/>
      <c r="BN248" s="5"/>
      <c r="BP248" s="3"/>
      <c r="BS248" s="3"/>
      <c r="BT248" s="3"/>
      <c r="BV248" s="3"/>
      <c r="BW248" s="3"/>
      <c r="BY248" s="3"/>
      <c r="BZ248" s="3"/>
      <c r="CB248" s="3"/>
      <c r="CC248" s="5"/>
      <c r="CE248" s="3"/>
      <c r="CH248" s="3"/>
      <c r="CI248" s="3"/>
      <c r="CK248" s="3"/>
      <c r="CL248" s="3"/>
      <c r="CN248" s="3"/>
      <c r="CO248" s="3"/>
      <c r="CQ248" s="3"/>
      <c r="CR248" s="5"/>
      <c r="CT248" s="3"/>
      <c r="CW248" s="3"/>
      <c r="CX248" s="3"/>
      <c r="CZ248" s="3"/>
      <c r="DA248" s="3"/>
      <c r="DC248" s="3"/>
      <c r="DD248" s="3"/>
      <c r="DF248" s="3"/>
      <c r="DG248" s="5"/>
      <c r="DI248" s="3"/>
      <c r="DL248" s="3"/>
      <c r="DM248" s="3"/>
      <c r="DO248" s="3"/>
      <c r="DP248" s="3"/>
      <c r="DR248" s="3"/>
      <c r="DS248" s="1" t="str">
        <f>_xlfn.XLOOKUP(OfficeForms.Table[[#This Row],[Selecione a Categoria do Laboratório desta atividade prática:]],Planilha1!A:A,Planilha1!B:B)</f>
        <v>EMF-ISN</v>
      </c>
      <c r="DT248" s="1" t="str">
        <f>CONCATENATE(OfficeForms.Table[[#This Row],[Selecione seu Polo Laboratório de Atividades Presenciais:]],OfficeForms.Table[[#This Row],[CHAVE CONVERSÃO]])</f>
        <v>Duque de Caxias/RJ - 25 de AgostoEMF-ISN</v>
      </c>
      <c r="DU24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24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24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18</v>
      </c>
      <c r="DX248" s="1" t="str">
        <f>_xlfn.XLOOKUP(OfficeForms.Table[[#This Row],[CHAVE LINK POLO]],'[1]Quadro Geral de Lotação'!$B:$B,'[1]Quadro Geral de Lotação'!$I:$I)</f>
        <v>Magno Luis Das Neves Rosa</v>
      </c>
      <c r="DY248" s="1" t="str">
        <f>OfficeForms.Table[[#This Row],[Selecione a Ordem de Disciplina]]</f>
        <v>Ordem 1</v>
      </c>
    </row>
    <row r="249" spans="1:129" ht="34.15" customHeight="1">
      <c r="A249" s="1">
        <v>249</v>
      </c>
      <c r="B249" s="2">
        <v>46095.879317129598</v>
      </c>
      <c r="C249" s="2">
        <v>46095.886006944398</v>
      </c>
      <c r="D249" s="3" t="s">
        <v>914</v>
      </c>
      <c r="E249" s="3" t="s">
        <v>915</v>
      </c>
      <c r="G249" s="3"/>
      <c r="I249" s="3" t="s">
        <v>916</v>
      </c>
      <c r="K249" s="3"/>
      <c r="L249" s="1" t="s">
        <v>132</v>
      </c>
      <c r="O249" s="3" t="s">
        <v>497</v>
      </c>
      <c r="Q249" s="3"/>
      <c r="R249" s="3" t="s">
        <v>926</v>
      </c>
      <c r="T249" s="3"/>
      <c r="U249" s="5">
        <v>46078</v>
      </c>
      <c r="W249" s="3"/>
      <c r="X249" s="1">
        <v>14</v>
      </c>
      <c r="Z249" s="3"/>
      <c r="AA249" s="3" t="s">
        <v>927</v>
      </c>
      <c r="AC249" s="3"/>
      <c r="AD249" s="3" t="s">
        <v>928</v>
      </c>
      <c r="AF249" s="3"/>
      <c r="AG249" s="3"/>
      <c r="AI249" s="3"/>
      <c r="AJ249" s="1"/>
      <c r="AL249" s="3"/>
      <c r="AO249" s="3"/>
      <c r="AP249" s="3"/>
      <c r="AR249" s="3"/>
      <c r="AS249" s="3"/>
      <c r="AU249" s="3"/>
      <c r="AV249" s="3"/>
      <c r="AX249" s="3"/>
      <c r="AY249" s="5"/>
      <c r="BA249" s="3"/>
      <c r="BD249" s="3"/>
      <c r="BE249" s="3"/>
      <c r="BG249" s="3"/>
      <c r="BH249" s="3"/>
      <c r="BJ249" s="3"/>
      <c r="BK249" s="3"/>
      <c r="BM249" s="3"/>
      <c r="BN249" s="5"/>
      <c r="BP249" s="3"/>
      <c r="BS249" s="3"/>
      <c r="BT249" s="3"/>
      <c r="BV249" s="3"/>
      <c r="BW249" s="3"/>
      <c r="BY249" s="3"/>
      <c r="BZ249" s="3"/>
      <c r="CB249" s="3"/>
      <c r="CC249" s="5"/>
      <c r="CE249" s="3"/>
      <c r="CH249" s="3"/>
      <c r="CI249" s="3"/>
      <c r="CK249" s="3"/>
      <c r="CL249" s="3"/>
      <c r="CN249" s="3"/>
      <c r="CO249" s="3"/>
      <c r="CQ249" s="3"/>
      <c r="CR249" s="5"/>
      <c r="CT249" s="3"/>
      <c r="CW249" s="3"/>
      <c r="CX249" s="3"/>
      <c r="CZ249" s="3"/>
      <c r="DA249" s="3"/>
      <c r="DC249" s="3"/>
      <c r="DD249" s="3"/>
      <c r="DF249" s="3"/>
      <c r="DG249" s="5"/>
      <c r="DI249" s="3"/>
      <c r="DL249" s="3"/>
      <c r="DM249" s="3"/>
      <c r="DO249" s="3"/>
      <c r="DP249" s="3"/>
      <c r="DR249" s="3"/>
      <c r="DS249" s="1" t="str">
        <f>_xlfn.XLOOKUP(OfficeForms.Table[[#This Row],[Selecione a Categoria do Laboratório desta atividade prática:]],Planilha1!A:A,Planilha1!B:B)</f>
        <v>BFR-BBI</v>
      </c>
      <c r="DT249" s="1" t="str">
        <f>CONCATENATE(OfficeForms.Table[[#This Row],[Selecione seu Polo Laboratório de Atividades Presenciais:]],OfficeForms.Table[[#This Row],[CHAVE CONVERSÃO]])</f>
        <v>Itapipoca/CEBFR-BBI</v>
      </c>
      <c r="DU24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Preparo de meio de cultura II;Técnicas de inoculação</v>
      </c>
      <c r="DV24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24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14</v>
      </c>
      <c r="DX249" s="1" t="e">
        <f>_xlfn.XLOOKUP(OfficeForms.Table[[#This Row],[CHAVE LINK POLO]],'[1]Quadro Geral de Lotação'!$B:$B,'[1]Quadro Geral de Lotação'!$I:$I)</f>
        <v>#N/A</v>
      </c>
      <c r="DY249" s="1" t="str">
        <f>OfficeForms.Table[[#This Row],[Selecione a Ordem de Disciplina]]</f>
        <v>Ordem 1</v>
      </c>
    </row>
    <row r="250" spans="1:129" ht="34.15" customHeight="1">
      <c r="A250" s="1">
        <v>250</v>
      </c>
      <c r="B250" s="2">
        <v>46095.886030092603</v>
      </c>
      <c r="C250" s="2">
        <v>46095.888900462996</v>
      </c>
      <c r="D250" s="3" t="s">
        <v>896</v>
      </c>
      <c r="E250" s="3" t="s">
        <v>897</v>
      </c>
      <c r="G250" s="3"/>
      <c r="I250" s="3" t="s">
        <v>929</v>
      </c>
      <c r="K250" s="3"/>
      <c r="L250" s="1" t="s">
        <v>132</v>
      </c>
      <c r="O250" s="3" t="s">
        <v>184</v>
      </c>
      <c r="Q250" s="3"/>
      <c r="R250" s="3"/>
      <c r="T250" s="3"/>
      <c r="U250" s="5"/>
      <c r="W250" s="3"/>
      <c r="Z250" s="3"/>
      <c r="AA250" s="3"/>
      <c r="AC250" s="3"/>
      <c r="AD250" s="3"/>
      <c r="AF250" s="3"/>
      <c r="AG250" s="3" t="s">
        <v>414</v>
      </c>
      <c r="AI250" s="3"/>
      <c r="AJ250" s="1">
        <v>46078</v>
      </c>
      <c r="AL250" s="3"/>
      <c r="AM250" s="1">
        <v>1</v>
      </c>
      <c r="AO250" s="3"/>
      <c r="AP250" s="3" t="s">
        <v>930</v>
      </c>
      <c r="AR250" s="3"/>
      <c r="AS250" s="3" t="s">
        <v>931</v>
      </c>
      <c r="AU250" s="3"/>
      <c r="AV250" s="3"/>
      <c r="AX250" s="3"/>
      <c r="AY250" s="5"/>
      <c r="BA250" s="3"/>
      <c r="BD250" s="3"/>
      <c r="BE250" s="3"/>
      <c r="BG250" s="3"/>
      <c r="BH250" s="3"/>
      <c r="BJ250" s="3"/>
      <c r="BK250" s="3"/>
      <c r="BM250" s="3"/>
      <c r="BN250" s="5"/>
      <c r="BP250" s="3"/>
      <c r="BS250" s="3"/>
      <c r="BT250" s="3"/>
      <c r="BV250" s="3"/>
      <c r="BW250" s="3"/>
      <c r="BY250" s="3"/>
      <c r="BZ250" s="3"/>
      <c r="CB250" s="3"/>
      <c r="CC250" s="5"/>
      <c r="CE250" s="3"/>
      <c r="CH250" s="3"/>
      <c r="CI250" s="3"/>
      <c r="CK250" s="3"/>
      <c r="CL250" s="3"/>
      <c r="CN250" s="3"/>
      <c r="CO250" s="3"/>
      <c r="CQ250" s="3"/>
      <c r="CR250" s="5"/>
      <c r="CT250" s="3"/>
      <c r="CW250" s="3"/>
      <c r="CX250" s="3"/>
      <c r="CZ250" s="3"/>
      <c r="DA250" s="3"/>
      <c r="DC250" s="3"/>
      <c r="DD250" s="3"/>
      <c r="DF250" s="3"/>
      <c r="DG250" s="5"/>
      <c r="DI250" s="3"/>
      <c r="DL250" s="3"/>
      <c r="DM250" s="3"/>
      <c r="DO250" s="3"/>
      <c r="DP250" s="3"/>
      <c r="DR250" s="3"/>
      <c r="DS250" s="1" t="str">
        <f>_xlfn.XLOOKUP(OfficeForms.Table[[#This Row],[Selecione a Categoria do Laboratório desta atividade prática:]],Planilha1!A:A,Planilha1!B:B)</f>
        <v>EMF-ISN</v>
      </c>
      <c r="DT250" s="1" t="str">
        <f>CONCATENATE(OfficeForms.Table[[#This Row],[Selecione seu Polo Laboratório de Atividades Presenciais:]],OfficeForms.Table[[#This Row],[CHAVE CONVERSÃO]])</f>
        <v>Rio de Janeiro/RJ - Ilha do GovernadorEMF-ISN</v>
      </c>
      <c r="DU25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25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25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50" s="1" t="str">
        <f>_xlfn.XLOOKUP(OfficeForms.Table[[#This Row],[CHAVE LINK POLO]],'[1]Quadro Geral de Lotação'!$B:$B,'[1]Quadro Geral de Lotação'!$I:$I)</f>
        <v>Magno Luis Das Neves Rosa</v>
      </c>
      <c r="DY250" s="1" t="str">
        <f>OfficeForms.Table[[#This Row],[Selecione a Ordem de Disciplina]]</f>
        <v>Ordem 1</v>
      </c>
    </row>
    <row r="251" spans="1:129" ht="34.15" customHeight="1">
      <c r="A251" s="1">
        <v>251</v>
      </c>
      <c r="B251" s="2">
        <v>46095.941388888903</v>
      </c>
      <c r="C251" s="2">
        <v>46095.941921296297</v>
      </c>
      <c r="D251" s="3" t="s">
        <v>914</v>
      </c>
      <c r="E251" s="3" t="s">
        <v>915</v>
      </c>
      <c r="G251" s="3"/>
      <c r="I251" s="3" t="s">
        <v>916</v>
      </c>
      <c r="K251" s="3"/>
      <c r="L251" s="1" t="s">
        <v>132</v>
      </c>
      <c r="O251" s="3" t="s">
        <v>497</v>
      </c>
      <c r="Q251" s="3"/>
      <c r="R251" s="3" t="s">
        <v>932</v>
      </c>
      <c r="T251" s="3"/>
      <c r="U251" s="5">
        <v>46085</v>
      </c>
      <c r="W251" s="3"/>
      <c r="X251" s="1">
        <v>14</v>
      </c>
      <c r="Z251" s="3"/>
      <c r="AA251" s="3" t="s">
        <v>933</v>
      </c>
      <c r="AC251" s="3"/>
      <c r="AD251" s="3" t="s">
        <v>934</v>
      </c>
      <c r="AF251" s="3"/>
      <c r="AG251" s="3"/>
      <c r="AI251" s="3"/>
      <c r="AJ251" s="1"/>
      <c r="AL251" s="3"/>
      <c r="AO251" s="3"/>
      <c r="AP251" s="3"/>
      <c r="AR251" s="3"/>
      <c r="AS251" s="3"/>
      <c r="AU251" s="3"/>
      <c r="AV251" s="3"/>
      <c r="AX251" s="3"/>
      <c r="AY251" s="5"/>
      <c r="BA251" s="3"/>
      <c r="BD251" s="3"/>
      <c r="BE251" s="3"/>
      <c r="BG251" s="3"/>
      <c r="BH251" s="3"/>
      <c r="BJ251" s="3"/>
      <c r="BK251" s="3"/>
      <c r="BM251" s="3"/>
      <c r="BN251" s="5"/>
      <c r="BP251" s="3"/>
      <c r="BS251" s="3"/>
      <c r="BT251" s="3"/>
      <c r="BV251" s="3"/>
      <c r="BW251" s="3"/>
      <c r="BY251" s="3"/>
      <c r="BZ251" s="3"/>
      <c r="CB251" s="3"/>
      <c r="CC251" s="5"/>
      <c r="CE251" s="3"/>
      <c r="CH251" s="3"/>
      <c r="CI251" s="3"/>
      <c r="CK251" s="3"/>
      <c r="CL251" s="3"/>
      <c r="CN251" s="3"/>
      <c r="CO251" s="3"/>
      <c r="CQ251" s="3"/>
      <c r="CR251" s="5"/>
      <c r="CT251" s="3"/>
      <c r="CW251" s="3"/>
      <c r="CX251" s="3"/>
      <c r="CZ251" s="3"/>
      <c r="DA251" s="3"/>
      <c r="DC251" s="3"/>
      <c r="DD251" s="3"/>
      <c r="DF251" s="3"/>
      <c r="DG251" s="5"/>
      <c r="DI251" s="3"/>
      <c r="DL251" s="3"/>
      <c r="DM251" s="3"/>
      <c r="DO251" s="3"/>
      <c r="DP251" s="3"/>
      <c r="DR251" s="3"/>
      <c r="DS251" s="1" t="str">
        <f>_xlfn.XLOOKUP(OfficeForms.Table[[#This Row],[Selecione a Categoria do Laboratório desta atividade prática:]],Planilha1!A:A,Planilha1!B:B)</f>
        <v>BFR-BBI</v>
      </c>
      <c r="DT251" s="1" t="str">
        <f>CONCATENATE(OfficeForms.Table[[#This Row],[Selecione seu Polo Laboratório de Atividades Presenciais:]],OfficeForms.Table[[#This Row],[CHAVE CONVERSÃO]])</f>
        <v>Itapipoca/CEBFR-BBI</v>
      </c>
      <c r="DU25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Esfregaço e coloração de GRAM;Esfregaço sanguíneo e colorações  (contagem diferencial de leucócitos)</v>
      </c>
      <c r="DV25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25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14</v>
      </c>
      <c r="DX251" s="1" t="e">
        <f>_xlfn.XLOOKUP(OfficeForms.Table[[#This Row],[CHAVE LINK POLO]],'[1]Quadro Geral de Lotação'!$B:$B,'[1]Quadro Geral de Lotação'!$I:$I)</f>
        <v>#N/A</v>
      </c>
      <c r="DY251" s="1" t="str">
        <f>OfficeForms.Table[[#This Row],[Selecione a Ordem de Disciplina]]</f>
        <v>Ordem 1</v>
      </c>
    </row>
    <row r="252" spans="1:129" ht="34.15" customHeight="1">
      <c r="A252" s="1">
        <v>252</v>
      </c>
      <c r="B252" s="2">
        <v>46095.952037037001</v>
      </c>
      <c r="C252" s="2">
        <v>46095.955891203703</v>
      </c>
      <c r="D252" s="3" t="s">
        <v>914</v>
      </c>
      <c r="E252" s="3" t="s">
        <v>915</v>
      </c>
      <c r="G252" s="3"/>
      <c r="I252" s="3" t="s">
        <v>916</v>
      </c>
      <c r="K252" s="3"/>
      <c r="L252" s="1" t="s">
        <v>132</v>
      </c>
      <c r="O252" s="3" t="s">
        <v>497</v>
      </c>
      <c r="Q252" s="3"/>
      <c r="R252" s="3" t="s">
        <v>935</v>
      </c>
      <c r="T252" s="3"/>
      <c r="U252" s="5">
        <v>46092</v>
      </c>
      <c r="W252" s="3"/>
      <c r="X252" s="1">
        <v>0</v>
      </c>
      <c r="Z252" s="3"/>
      <c r="AA252" s="3" t="s">
        <v>936</v>
      </c>
      <c r="AC252" s="3"/>
      <c r="AD252" s="3" t="s">
        <v>937</v>
      </c>
      <c r="AF252" s="3"/>
      <c r="AG252" s="3"/>
      <c r="AI252" s="3"/>
      <c r="AJ252" s="1"/>
      <c r="AL252" s="3"/>
      <c r="AO252" s="3"/>
      <c r="AP252" s="3"/>
      <c r="AR252" s="3"/>
      <c r="AS252" s="3"/>
      <c r="AU252" s="3"/>
      <c r="AV252" s="3"/>
      <c r="AX252" s="3"/>
      <c r="AY252" s="5"/>
      <c r="BA252" s="3"/>
      <c r="BD252" s="3"/>
      <c r="BE252" s="3"/>
      <c r="BG252" s="3"/>
      <c r="BH252" s="3"/>
      <c r="BJ252" s="3"/>
      <c r="BK252" s="3"/>
      <c r="BM252" s="3"/>
      <c r="BN252" s="5"/>
      <c r="BP252" s="3"/>
      <c r="BS252" s="3"/>
      <c r="BT252" s="3"/>
      <c r="BV252" s="3"/>
      <c r="BW252" s="3"/>
      <c r="BY252" s="3"/>
      <c r="BZ252" s="3"/>
      <c r="CB252" s="3"/>
      <c r="CC252" s="5"/>
      <c r="CE252" s="3"/>
      <c r="CH252" s="3"/>
      <c r="CI252" s="3"/>
      <c r="CK252" s="3"/>
      <c r="CL252" s="3"/>
      <c r="CN252" s="3"/>
      <c r="CO252" s="3"/>
      <c r="CQ252" s="3"/>
      <c r="CR252" s="5"/>
      <c r="CT252" s="3"/>
      <c r="CW252" s="3"/>
      <c r="CX252" s="3"/>
      <c r="CZ252" s="3"/>
      <c r="DA252" s="3"/>
      <c r="DC252" s="3"/>
      <c r="DD252" s="3"/>
      <c r="DF252" s="3"/>
      <c r="DG252" s="5"/>
      <c r="DI252" s="3"/>
      <c r="DL252" s="3"/>
      <c r="DM252" s="3"/>
      <c r="DO252" s="3"/>
      <c r="DP252" s="3"/>
      <c r="DR252" s="3"/>
      <c r="DS252" s="1" t="str">
        <f>_xlfn.XLOOKUP(OfficeForms.Table[[#This Row],[Selecione a Categoria do Laboratório desta atividade prática:]],Planilha1!A:A,Planilha1!B:B)</f>
        <v>BFR-BBI</v>
      </c>
      <c r="DT252" s="1" t="str">
        <f>CONCATENATE(OfficeForms.Table[[#This Row],[Selecione seu Polo Laboratório de Atividades Presenciais:]],OfficeForms.Table[[#This Row],[CHAVE CONVERSÃO]])</f>
        <v>Itapipoca/CEBFR-BBI</v>
      </c>
      <c r="DU25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Encapsulamento de pós;Desenvolvendo um Xampu</v>
      </c>
      <c r="DV25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25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52" s="1" t="e">
        <f>_xlfn.XLOOKUP(OfficeForms.Table[[#This Row],[CHAVE LINK POLO]],'[1]Quadro Geral de Lotação'!$B:$B,'[1]Quadro Geral de Lotação'!$I:$I)</f>
        <v>#N/A</v>
      </c>
      <c r="DY252" s="1" t="str">
        <f>OfficeForms.Table[[#This Row],[Selecione a Ordem de Disciplina]]</f>
        <v>Ordem 1</v>
      </c>
    </row>
    <row r="253" spans="1:129" ht="34.15" customHeight="1">
      <c r="A253" s="1">
        <v>253</v>
      </c>
      <c r="B253" s="2">
        <v>46095.952037037001</v>
      </c>
      <c r="C253" s="2">
        <v>46095.956215277802</v>
      </c>
      <c r="D253" s="3" t="s">
        <v>914</v>
      </c>
      <c r="E253" s="3" t="s">
        <v>915</v>
      </c>
      <c r="G253" s="3"/>
      <c r="I253" s="3" t="s">
        <v>916</v>
      </c>
      <c r="K253" s="3"/>
      <c r="L253" s="1" t="s">
        <v>132</v>
      </c>
      <c r="O253" s="3" t="s">
        <v>497</v>
      </c>
      <c r="Q253" s="3"/>
      <c r="R253" s="3" t="s">
        <v>935</v>
      </c>
      <c r="T253" s="3"/>
      <c r="U253" s="5">
        <v>46092</v>
      </c>
      <c r="W253" s="3"/>
      <c r="X253" s="1">
        <v>0</v>
      </c>
      <c r="Z253" s="3"/>
      <c r="AA253" s="3" t="s">
        <v>938</v>
      </c>
      <c r="AC253" s="3"/>
      <c r="AD253" s="3" t="s">
        <v>939</v>
      </c>
      <c r="AF253" s="3"/>
      <c r="AG253" s="3"/>
      <c r="AI253" s="3"/>
      <c r="AJ253" s="1"/>
      <c r="AL253" s="3"/>
      <c r="AO253" s="3"/>
      <c r="AP253" s="3"/>
      <c r="AR253" s="3"/>
      <c r="AS253" s="3"/>
      <c r="AU253" s="3"/>
      <c r="AV253" s="3"/>
      <c r="AX253" s="3"/>
      <c r="AY253" s="5"/>
      <c r="BA253" s="3"/>
      <c r="BD253" s="3"/>
      <c r="BE253" s="3"/>
      <c r="BG253" s="3"/>
      <c r="BH253" s="3"/>
      <c r="BJ253" s="3"/>
      <c r="BK253" s="3"/>
      <c r="BM253" s="3"/>
      <c r="BN253" s="5"/>
      <c r="BP253" s="3"/>
      <c r="BS253" s="3"/>
      <c r="BT253" s="3"/>
      <c r="BV253" s="3"/>
      <c r="BW253" s="3"/>
      <c r="BY253" s="3"/>
      <c r="BZ253" s="3"/>
      <c r="CB253" s="3"/>
      <c r="CC253" s="5"/>
      <c r="CE253" s="3"/>
      <c r="CH253" s="3"/>
      <c r="CI253" s="3"/>
      <c r="CK253" s="3"/>
      <c r="CL253" s="3"/>
      <c r="CN253" s="3"/>
      <c r="CO253" s="3"/>
      <c r="CQ253" s="3"/>
      <c r="CR253" s="5"/>
      <c r="CT253" s="3"/>
      <c r="CW253" s="3"/>
      <c r="CX253" s="3"/>
      <c r="CZ253" s="3"/>
      <c r="DA253" s="3"/>
      <c r="DC253" s="3"/>
      <c r="DD253" s="3"/>
      <c r="DF253" s="3"/>
      <c r="DG253" s="5"/>
      <c r="DI253" s="3"/>
      <c r="DL253" s="3"/>
      <c r="DM253" s="3"/>
      <c r="DO253" s="3"/>
      <c r="DP253" s="3"/>
      <c r="DR253" s="3"/>
      <c r="DS253" s="1" t="str">
        <f>_xlfn.XLOOKUP(OfficeForms.Table[[#This Row],[Selecione a Categoria do Laboratório desta atividade prática:]],Planilha1!A:A,Planilha1!B:B)</f>
        <v>BFR-BBI</v>
      </c>
      <c r="DT253" s="1" t="str">
        <f>CONCATENATE(OfficeForms.Table[[#This Row],[Selecione seu Polo Laboratório de Atividades Presenciais:]],OfficeForms.Table[[#This Row],[CHAVE CONVERSÃO]])</f>
        <v>Itapipoca/CEBFR-BBI</v>
      </c>
      <c r="DU25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Encapsulamento de pós;Desenvolvendo um Xampu</v>
      </c>
      <c r="DV25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25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53" s="1" t="e">
        <f>_xlfn.XLOOKUP(OfficeForms.Table[[#This Row],[CHAVE LINK POLO]],'[1]Quadro Geral de Lotação'!$B:$B,'[1]Quadro Geral de Lotação'!$I:$I)</f>
        <v>#N/A</v>
      </c>
      <c r="DY253" s="1" t="str">
        <f>OfficeForms.Table[[#This Row],[Selecione a Ordem de Disciplina]]</f>
        <v>Ordem 1</v>
      </c>
    </row>
    <row r="254" spans="1:129" ht="34.15" customHeight="1">
      <c r="A254" s="1">
        <v>254</v>
      </c>
      <c r="B254" s="2">
        <v>46095.974502314799</v>
      </c>
      <c r="C254" s="2">
        <v>46095.976527777799</v>
      </c>
      <c r="D254" s="3" t="s">
        <v>896</v>
      </c>
      <c r="E254" s="3" t="s">
        <v>897</v>
      </c>
      <c r="G254" s="3"/>
      <c r="I254" s="3" t="s">
        <v>929</v>
      </c>
      <c r="K254" s="3"/>
      <c r="L254" s="1" t="s">
        <v>132</v>
      </c>
      <c r="O254" s="3" t="s">
        <v>184</v>
      </c>
      <c r="Q254" s="3"/>
      <c r="R254" s="3"/>
      <c r="T254" s="3"/>
      <c r="U254" s="5"/>
      <c r="W254" s="3"/>
      <c r="Z254" s="3"/>
      <c r="AA254" s="3"/>
      <c r="AC254" s="3"/>
      <c r="AD254" s="3"/>
      <c r="AF254" s="3"/>
      <c r="AG254" s="3" t="s">
        <v>224</v>
      </c>
      <c r="AI254" s="3"/>
      <c r="AJ254" s="1">
        <v>46085</v>
      </c>
      <c r="AL254" s="3"/>
      <c r="AM254" s="1">
        <v>2</v>
      </c>
      <c r="AO254" s="3"/>
      <c r="AP254" s="3" t="s">
        <v>940</v>
      </c>
      <c r="AR254" s="3"/>
      <c r="AS254" s="3" t="s">
        <v>941</v>
      </c>
      <c r="AU254" s="3"/>
      <c r="AV254" s="3"/>
      <c r="AX254" s="3"/>
      <c r="AY254" s="5"/>
      <c r="BA254" s="3"/>
      <c r="BD254" s="3"/>
      <c r="BE254" s="3"/>
      <c r="BG254" s="3"/>
      <c r="BH254" s="3"/>
      <c r="BJ254" s="3"/>
      <c r="BK254" s="3"/>
      <c r="BM254" s="3"/>
      <c r="BN254" s="5"/>
      <c r="BP254" s="3"/>
      <c r="BS254" s="3"/>
      <c r="BT254" s="3"/>
      <c r="BV254" s="3"/>
      <c r="BW254" s="3"/>
      <c r="BY254" s="3"/>
      <c r="BZ254" s="3"/>
      <c r="CB254" s="3"/>
      <c r="CC254" s="5"/>
      <c r="CE254" s="3"/>
      <c r="CH254" s="3"/>
      <c r="CI254" s="3"/>
      <c r="CK254" s="3"/>
      <c r="CL254" s="3"/>
      <c r="CN254" s="3"/>
      <c r="CO254" s="3"/>
      <c r="CQ254" s="3"/>
      <c r="CR254" s="5"/>
      <c r="CT254" s="3"/>
      <c r="CW254" s="3"/>
      <c r="CX254" s="3"/>
      <c r="CZ254" s="3"/>
      <c r="DA254" s="3"/>
      <c r="DC254" s="3"/>
      <c r="DD254" s="3"/>
      <c r="DF254" s="3"/>
      <c r="DG254" s="5"/>
      <c r="DI254" s="3"/>
      <c r="DL254" s="3"/>
      <c r="DM254" s="3"/>
      <c r="DO254" s="3"/>
      <c r="DP254" s="3"/>
      <c r="DR254" s="3"/>
      <c r="DS254" s="1" t="str">
        <f>_xlfn.XLOOKUP(OfficeForms.Table[[#This Row],[Selecione a Categoria do Laboratório desta atividade prática:]],Planilha1!A:A,Planilha1!B:B)</f>
        <v>EMF-ISN</v>
      </c>
      <c r="DT254" s="1" t="str">
        <f>CONCATENATE(OfficeForms.Table[[#This Row],[Selecione seu Polo Laboratório de Atividades Presenciais:]],OfficeForms.Table[[#This Row],[CHAVE CONVERSÃO]])</f>
        <v>Rio de Janeiro/RJ - Ilha do GovernadorEMF-ISN</v>
      </c>
      <c r="DU25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25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25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254" s="1" t="str">
        <f>_xlfn.XLOOKUP(OfficeForms.Table[[#This Row],[CHAVE LINK POLO]],'[1]Quadro Geral de Lotação'!$B:$B,'[1]Quadro Geral de Lotação'!$I:$I)</f>
        <v>Magno Luis Das Neves Rosa</v>
      </c>
      <c r="DY254" s="1" t="str">
        <f>OfficeForms.Table[[#This Row],[Selecione a Ordem de Disciplina]]</f>
        <v>Ordem 1</v>
      </c>
    </row>
    <row r="255" spans="1:129" ht="34.15" customHeight="1">
      <c r="A255" s="1">
        <v>255</v>
      </c>
      <c r="B255" s="2">
        <v>46095.976585648197</v>
      </c>
      <c r="C255" s="2">
        <v>46095.978888888902</v>
      </c>
      <c r="D255" s="3" t="s">
        <v>896</v>
      </c>
      <c r="E255" s="3" t="s">
        <v>897</v>
      </c>
      <c r="G255" s="3"/>
      <c r="I255" s="3" t="s">
        <v>929</v>
      </c>
      <c r="K255" s="3"/>
      <c r="L255" s="1" t="s">
        <v>132</v>
      </c>
      <c r="O255" s="3" t="s">
        <v>184</v>
      </c>
      <c r="Q255" s="3"/>
      <c r="R255" s="3"/>
      <c r="T255" s="3"/>
      <c r="U255" s="5"/>
      <c r="W255" s="3"/>
      <c r="Z255" s="3"/>
      <c r="AA255" s="3"/>
      <c r="AC255" s="3"/>
      <c r="AD255" s="3"/>
      <c r="AF255" s="3"/>
      <c r="AG255" s="3" t="s">
        <v>370</v>
      </c>
      <c r="AI255" s="3"/>
      <c r="AJ255" s="1">
        <v>46092</v>
      </c>
      <c r="AL255" s="3"/>
      <c r="AM255" s="1">
        <v>1</v>
      </c>
      <c r="AO255" s="3"/>
      <c r="AP255" s="3" t="s">
        <v>942</v>
      </c>
      <c r="AR255" s="3"/>
      <c r="AS255" s="3" t="s">
        <v>943</v>
      </c>
      <c r="AU255" s="3"/>
      <c r="AV255" s="3"/>
      <c r="AX255" s="3"/>
      <c r="AY255" s="5"/>
      <c r="BA255" s="3"/>
      <c r="BD255" s="3"/>
      <c r="BE255" s="3"/>
      <c r="BG255" s="3"/>
      <c r="BH255" s="3"/>
      <c r="BJ255" s="3"/>
      <c r="BK255" s="3"/>
      <c r="BM255" s="3"/>
      <c r="BN255" s="5"/>
      <c r="BP255" s="3"/>
      <c r="BS255" s="3"/>
      <c r="BT255" s="3"/>
      <c r="BV255" s="3"/>
      <c r="BW255" s="3"/>
      <c r="BY255" s="3"/>
      <c r="BZ255" s="3"/>
      <c r="CB255" s="3"/>
      <c r="CC255" s="5"/>
      <c r="CE255" s="3"/>
      <c r="CH255" s="3"/>
      <c r="CI255" s="3"/>
      <c r="CK255" s="3"/>
      <c r="CL255" s="3"/>
      <c r="CN255" s="3"/>
      <c r="CO255" s="3"/>
      <c r="CQ255" s="3"/>
      <c r="CR255" s="5"/>
      <c r="CT255" s="3"/>
      <c r="CW255" s="3"/>
      <c r="CX255" s="3"/>
      <c r="CZ255" s="3"/>
      <c r="DA255" s="3"/>
      <c r="DC255" s="3"/>
      <c r="DD255" s="3"/>
      <c r="DF255" s="3"/>
      <c r="DG255" s="5"/>
      <c r="DI255" s="3"/>
      <c r="DL255" s="3"/>
      <c r="DM255" s="3"/>
      <c r="DO255" s="3"/>
      <c r="DP255" s="3"/>
      <c r="DR255" s="3"/>
      <c r="DS255" s="1" t="str">
        <f>_xlfn.XLOOKUP(OfficeForms.Table[[#This Row],[Selecione a Categoria do Laboratório desta atividade prática:]],Planilha1!A:A,Planilha1!B:B)</f>
        <v>EMF-ISN</v>
      </c>
      <c r="DT255" s="1" t="str">
        <f>CONCATENATE(OfficeForms.Table[[#This Row],[Selecione seu Polo Laboratório de Atividades Presenciais:]],OfficeForms.Table[[#This Row],[CHAVE CONVERSÃO]])</f>
        <v>Rio de Janeiro/RJ - Ilha do GovernadorEMF-ISN</v>
      </c>
      <c r="DU25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25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25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55" s="1" t="str">
        <f>_xlfn.XLOOKUP(OfficeForms.Table[[#This Row],[CHAVE LINK POLO]],'[1]Quadro Geral de Lotação'!$B:$B,'[1]Quadro Geral de Lotação'!$I:$I)</f>
        <v>Magno Luis Das Neves Rosa</v>
      </c>
      <c r="DY255" s="1" t="str">
        <f>OfficeForms.Table[[#This Row],[Selecione a Ordem de Disciplina]]</f>
        <v>Ordem 1</v>
      </c>
    </row>
    <row r="256" spans="1:129" ht="34.15" customHeight="1">
      <c r="A256" s="1">
        <v>256</v>
      </c>
      <c r="B256" s="2">
        <v>46096.4922337963</v>
      </c>
      <c r="C256" s="2">
        <v>46096.5307060185</v>
      </c>
      <c r="D256" s="3" t="s">
        <v>399</v>
      </c>
      <c r="E256" s="3" t="s">
        <v>400</v>
      </c>
      <c r="G256" s="3"/>
      <c r="I256" s="3" t="s">
        <v>401</v>
      </c>
      <c r="K256" s="3"/>
      <c r="L256" s="1" t="s">
        <v>132</v>
      </c>
      <c r="O256" s="3" t="s">
        <v>184</v>
      </c>
      <c r="Q256" s="3"/>
      <c r="R256" s="3"/>
      <c r="T256" s="3"/>
      <c r="U256" s="5"/>
      <c r="W256" s="3"/>
      <c r="Z256" s="3"/>
      <c r="AA256" s="3"/>
      <c r="AC256" s="3"/>
      <c r="AD256" s="3"/>
      <c r="AF256" s="3"/>
      <c r="AG256" s="3" t="s">
        <v>322</v>
      </c>
      <c r="AI256" s="3"/>
      <c r="AJ256" s="1">
        <v>46093</v>
      </c>
      <c r="AL256" s="3"/>
      <c r="AM256" s="1">
        <v>4</v>
      </c>
      <c r="AO256" s="3"/>
      <c r="AP256" s="3" t="s">
        <v>944</v>
      </c>
      <c r="AR256" s="3"/>
      <c r="AS256" s="3" t="s">
        <v>945</v>
      </c>
      <c r="AU256" s="3"/>
      <c r="AV256" s="3"/>
      <c r="AX256" s="3"/>
      <c r="AY256" s="5"/>
      <c r="BA256" s="3"/>
      <c r="BD256" s="3"/>
      <c r="BE256" s="3"/>
      <c r="BG256" s="3"/>
      <c r="BH256" s="3"/>
      <c r="BJ256" s="3"/>
      <c r="BK256" s="3"/>
      <c r="BM256" s="3"/>
      <c r="BN256" s="5"/>
      <c r="BP256" s="3"/>
      <c r="BS256" s="3"/>
      <c r="BT256" s="3"/>
      <c r="BV256" s="3"/>
      <c r="BW256" s="3"/>
      <c r="BY256" s="3"/>
      <c r="BZ256" s="3"/>
      <c r="CB256" s="3"/>
      <c r="CC256" s="5"/>
      <c r="CE256" s="3"/>
      <c r="CH256" s="3"/>
      <c r="CI256" s="3"/>
      <c r="CK256" s="3"/>
      <c r="CL256" s="3"/>
      <c r="CN256" s="3"/>
      <c r="CO256" s="3"/>
      <c r="CQ256" s="3"/>
      <c r="CR256" s="5"/>
      <c r="CT256" s="3"/>
      <c r="CW256" s="3"/>
      <c r="CX256" s="3"/>
      <c r="CZ256" s="3"/>
      <c r="DA256" s="3"/>
      <c r="DC256" s="3"/>
      <c r="DD256" s="3"/>
      <c r="DF256" s="3"/>
      <c r="DG256" s="5"/>
      <c r="DI256" s="3"/>
      <c r="DL256" s="3"/>
      <c r="DM256" s="3"/>
      <c r="DO256" s="3"/>
      <c r="DP256" s="3"/>
      <c r="DR256" s="3"/>
      <c r="DS256" s="1" t="str">
        <f>_xlfn.XLOOKUP(OfficeForms.Table[[#This Row],[Selecione a Categoria do Laboratório desta atividade prática:]],Planilha1!A:A,Planilha1!B:B)</f>
        <v>EMF-ISN</v>
      </c>
      <c r="DT256" s="1" t="str">
        <f>CONCATENATE(OfficeForms.Table[[#This Row],[Selecione seu Polo Laboratório de Atividades Presenciais:]],OfficeForms.Table[[#This Row],[CHAVE CONVERSÃO]])</f>
        <v>Itaboraí/RJEMF-ISN</v>
      </c>
      <c r="DU25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25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5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56" s="1" t="str">
        <f>_xlfn.XLOOKUP(OfficeForms.Table[[#This Row],[CHAVE LINK POLO]],'[1]Quadro Geral de Lotação'!$B:$B,'[1]Quadro Geral de Lotação'!$I:$I)</f>
        <v>Patricia da Silva Trasmontano</v>
      </c>
      <c r="DY256" s="1" t="str">
        <f>OfficeForms.Table[[#This Row],[Selecione a Ordem de Disciplina]]</f>
        <v>Ordem 1</v>
      </c>
    </row>
    <row r="257" spans="1:129" ht="34.15" customHeight="1">
      <c r="A257" s="1">
        <v>257</v>
      </c>
      <c r="B257" s="2">
        <v>46096.588043981501</v>
      </c>
      <c r="C257" s="2">
        <v>46096.591076388897</v>
      </c>
      <c r="D257" s="3" t="s">
        <v>325</v>
      </c>
      <c r="E257" s="3" t="s">
        <v>326</v>
      </c>
      <c r="G257" s="3"/>
      <c r="I257" s="3" t="s">
        <v>275</v>
      </c>
      <c r="K257" s="3"/>
      <c r="L257" s="1" t="s">
        <v>132</v>
      </c>
      <c r="O257" s="3" t="s">
        <v>133</v>
      </c>
      <c r="Q257" s="3"/>
      <c r="R257" s="3"/>
      <c r="T257" s="3"/>
      <c r="U257" s="5"/>
      <c r="W257" s="3"/>
      <c r="Z257" s="3"/>
      <c r="AA257" s="3"/>
      <c r="AC257" s="3"/>
      <c r="AD257" s="3"/>
      <c r="AF257" s="3"/>
      <c r="AG257" s="3"/>
      <c r="AI257" s="3"/>
      <c r="AJ257" s="1"/>
      <c r="AL257" s="3"/>
      <c r="AO257" s="3"/>
      <c r="AP257" s="3"/>
      <c r="AR257" s="3"/>
      <c r="AS257" s="3"/>
      <c r="AU257" s="3"/>
      <c r="AV257" s="3" t="s">
        <v>781</v>
      </c>
      <c r="AX257" s="3"/>
      <c r="AY257" s="5">
        <v>46093</v>
      </c>
      <c r="BA257" s="3"/>
      <c r="BB257" s="1">
        <v>3</v>
      </c>
      <c r="BD257" s="3"/>
      <c r="BE257" s="3" t="s">
        <v>946</v>
      </c>
      <c r="BG257" s="3"/>
      <c r="BH257" s="3" t="s">
        <v>947</v>
      </c>
      <c r="BJ257" s="3"/>
      <c r="BK257" s="3"/>
      <c r="BM257" s="3"/>
      <c r="BN257" s="5"/>
      <c r="BP257" s="3"/>
      <c r="BS257" s="3"/>
      <c r="BT257" s="3"/>
      <c r="BV257" s="3"/>
      <c r="BW257" s="3"/>
      <c r="BY257" s="3"/>
      <c r="BZ257" s="3"/>
      <c r="CB257" s="3"/>
      <c r="CC257" s="5"/>
      <c r="CE257" s="3"/>
      <c r="CH257" s="3"/>
      <c r="CI257" s="3"/>
      <c r="CK257" s="3"/>
      <c r="CL257" s="3"/>
      <c r="CN257" s="3"/>
      <c r="CO257" s="3"/>
      <c r="CQ257" s="3"/>
      <c r="CR257" s="5"/>
      <c r="CT257" s="3"/>
      <c r="CW257" s="3"/>
      <c r="CX257" s="3"/>
      <c r="CZ257" s="3"/>
      <c r="DA257" s="3"/>
      <c r="DC257" s="3"/>
      <c r="DD257" s="3"/>
      <c r="DF257" s="3"/>
      <c r="DG257" s="5"/>
      <c r="DI257" s="3"/>
      <c r="DL257" s="3"/>
      <c r="DM257" s="3"/>
      <c r="DO257" s="3"/>
      <c r="DP257" s="3"/>
      <c r="DR257" s="3"/>
      <c r="DS257" s="1" t="str">
        <f>_xlfn.XLOOKUP(OfficeForms.Table[[#This Row],[Selecione a Categoria do Laboratório desta atividade prática:]],Planilha1!A:A,Planilha1!B:B)</f>
        <v>BFI</v>
      </c>
      <c r="DT257" s="1" t="str">
        <f>CONCATENATE(OfficeForms.Table[[#This Row],[Selecione seu Polo Laboratório de Atividades Presenciais:]],OfficeForms.Table[[#This Row],[CHAVE CONVERSÃO]])</f>
        <v>Porto Alegre/RS - Zona NorteBFI</v>
      </c>
      <c r="DU25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Terapêutica com Órteses: Abordagens Funcionais na Reabilitação Musculoesquelética</v>
      </c>
      <c r="DV25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5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257" s="1" t="str">
        <f>_xlfn.XLOOKUP(OfficeForms.Table[[#This Row],[CHAVE LINK POLO]],'[1]Quadro Geral de Lotação'!$B:$B,'[1]Quadro Geral de Lotação'!$I:$I)</f>
        <v>Fabiano Johnson Duarte Bartmann</v>
      </c>
      <c r="DY257" s="1" t="str">
        <f>OfficeForms.Table[[#This Row],[Selecione a Ordem de Disciplina]]</f>
        <v>Ordem 1</v>
      </c>
    </row>
    <row r="258" spans="1:129" ht="34.15" customHeight="1">
      <c r="A258" s="1">
        <v>258</v>
      </c>
      <c r="B258" s="2">
        <v>46096.591192129599</v>
      </c>
      <c r="C258" s="2">
        <v>46096.592152777797</v>
      </c>
      <c r="D258" s="3" t="s">
        <v>325</v>
      </c>
      <c r="E258" s="3" t="s">
        <v>326</v>
      </c>
      <c r="G258" s="3"/>
      <c r="I258" s="3" t="s">
        <v>275</v>
      </c>
      <c r="K258" s="3"/>
      <c r="L258" s="1" t="s">
        <v>132</v>
      </c>
      <c r="O258" s="3" t="s">
        <v>133</v>
      </c>
      <c r="Q258" s="3"/>
      <c r="R258" s="3"/>
      <c r="T258" s="3"/>
      <c r="U258" s="5"/>
      <c r="W258" s="3"/>
      <c r="Z258" s="3"/>
      <c r="AA258" s="3"/>
      <c r="AC258" s="3"/>
      <c r="AD258" s="3"/>
      <c r="AF258" s="3"/>
      <c r="AG258" s="3"/>
      <c r="AI258" s="3"/>
      <c r="AJ258" s="1"/>
      <c r="AL258" s="3"/>
      <c r="AO258" s="3"/>
      <c r="AP258" s="3"/>
      <c r="AR258" s="3"/>
      <c r="AS258" s="3"/>
      <c r="AU258" s="3"/>
      <c r="AV258" s="3" t="s">
        <v>778</v>
      </c>
      <c r="AX258" s="3"/>
      <c r="AY258" s="5">
        <v>46093</v>
      </c>
      <c r="BA258" s="3"/>
      <c r="BB258" s="1">
        <v>4</v>
      </c>
      <c r="BD258" s="3"/>
      <c r="BE258" s="3" t="s">
        <v>948</v>
      </c>
      <c r="BG258" s="3"/>
      <c r="BH258" s="3" t="s">
        <v>949</v>
      </c>
      <c r="BJ258" s="3"/>
      <c r="BK258" s="3"/>
      <c r="BM258" s="3"/>
      <c r="BN258" s="5"/>
      <c r="BP258" s="3"/>
      <c r="BS258" s="3"/>
      <c r="BT258" s="3"/>
      <c r="BV258" s="3"/>
      <c r="BW258" s="3"/>
      <c r="BY258" s="3"/>
      <c r="BZ258" s="3"/>
      <c r="CB258" s="3"/>
      <c r="CC258" s="5"/>
      <c r="CE258" s="3"/>
      <c r="CH258" s="3"/>
      <c r="CI258" s="3"/>
      <c r="CK258" s="3"/>
      <c r="CL258" s="3"/>
      <c r="CN258" s="3"/>
      <c r="CO258" s="3"/>
      <c r="CQ258" s="3"/>
      <c r="CR258" s="5"/>
      <c r="CT258" s="3"/>
      <c r="CW258" s="3"/>
      <c r="CX258" s="3"/>
      <c r="CZ258" s="3"/>
      <c r="DA258" s="3"/>
      <c r="DC258" s="3"/>
      <c r="DD258" s="3"/>
      <c r="DF258" s="3"/>
      <c r="DG258" s="5"/>
      <c r="DI258" s="3"/>
      <c r="DL258" s="3"/>
      <c r="DM258" s="3"/>
      <c r="DO258" s="3"/>
      <c r="DP258" s="3"/>
      <c r="DR258" s="3"/>
      <c r="DS258" s="1" t="str">
        <f>_xlfn.XLOOKUP(OfficeForms.Table[[#This Row],[Selecione a Categoria do Laboratório desta atividade prática:]],Planilha1!A:A,Planilha1!B:B)</f>
        <v>BFI</v>
      </c>
      <c r="DT258" s="1" t="str">
        <f>CONCATENATE(OfficeForms.Table[[#This Row],[Selecione seu Polo Laboratório de Atividades Presenciais:]],OfficeForms.Table[[#This Row],[CHAVE CONVERSÃO]])</f>
        <v>Porto Alegre/RS - Zona NorteBFI</v>
      </c>
      <c r="DU25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Fisioterapia com Próteses: Reabilitação Funcional e Adaptação ao Uso de Próteses</v>
      </c>
      <c r="DV25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5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58" s="1" t="str">
        <f>_xlfn.XLOOKUP(OfficeForms.Table[[#This Row],[CHAVE LINK POLO]],'[1]Quadro Geral de Lotação'!$B:$B,'[1]Quadro Geral de Lotação'!$I:$I)</f>
        <v>Fabiano Johnson Duarte Bartmann</v>
      </c>
      <c r="DY258" s="1" t="str">
        <f>OfficeForms.Table[[#This Row],[Selecione a Ordem de Disciplina]]</f>
        <v>Ordem 1</v>
      </c>
    </row>
    <row r="259" spans="1:129" ht="34.15" customHeight="1">
      <c r="A259" s="1">
        <v>259</v>
      </c>
      <c r="B259" s="2">
        <v>46096.673784722203</v>
      </c>
      <c r="C259" s="2">
        <v>46096.675347222197</v>
      </c>
      <c r="D259" s="3" t="s">
        <v>237</v>
      </c>
      <c r="E259" s="3" t="s">
        <v>238</v>
      </c>
      <c r="G259" s="3"/>
      <c r="I259" s="3" t="s">
        <v>239</v>
      </c>
      <c r="K259" s="3"/>
      <c r="L259" s="1" t="s">
        <v>132</v>
      </c>
      <c r="O259" s="3" t="s">
        <v>184</v>
      </c>
      <c r="Q259" s="3"/>
      <c r="R259" s="3"/>
      <c r="T259" s="3"/>
      <c r="U259" s="5"/>
      <c r="W259" s="3"/>
      <c r="Z259" s="3"/>
      <c r="AA259" s="3"/>
      <c r="AC259" s="3"/>
      <c r="AD259" s="3"/>
      <c r="AF259" s="3"/>
      <c r="AG259" s="3" t="s">
        <v>224</v>
      </c>
      <c r="AI259" s="3"/>
      <c r="AJ259" s="1">
        <v>46086</v>
      </c>
      <c r="AL259" s="3"/>
      <c r="AM259" s="1">
        <v>20</v>
      </c>
      <c r="AO259" s="3"/>
      <c r="AP259" s="3" t="s">
        <v>950</v>
      </c>
      <c r="AR259" s="3"/>
      <c r="AS259" s="3" t="s">
        <v>951</v>
      </c>
      <c r="AU259" s="3"/>
      <c r="AV259" s="3"/>
      <c r="AX259" s="3"/>
      <c r="AY259" s="5"/>
      <c r="BA259" s="3"/>
      <c r="BD259" s="3"/>
      <c r="BE259" s="3"/>
      <c r="BG259" s="3"/>
      <c r="BH259" s="3"/>
      <c r="BJ259" s="3"/>
      <c r="BK259" s="3"/>
      <c r="BM259" s="3"/>
      <c r="BN259" s="5"/>
      <c r="BP259" s="3"/>
      <c r="BS259" s="3"/>
      <c r="BT259" s="3"/>
      <c r="BV259" s="3"/>
      <c r="BW259" s="3"/>
      <c r="BY259" s="3"/>
      <c r="BZ259" s="3"/>
      <c r="CB259" s="3"/>
      <c r="CC259" s="5"/>
      <c r="CE259" s="3"/>
      <c r="CH259" s="3"/>
      <c r="CI259" s="3"/>
      <c r="CK259" s="3"/>
      <c r="CL259" s="3"/>
      <c r="CN259" s="3"/>
      <c r="CO259" s="3"/>
      <c r="CQ259" s="3"/>
      <c r="CR259" s="5"/>
      <c r="CT259" s="3"/>
      <c r="CW259" s="3"/>
      <c r="CX259" s="3"/>
      <c r="CZ259" s="3"/>
      <c r="DA259" s="3"/>
      <c r="DC259" s="3"/>
      <c r="DD259" s="3"/>
      <c r="DF259" s="3"/>
      <c r="DG259" s="5"/>
      <c r="DI259" s="3"/>
      <c r="DL259" s="3"/>
      <c r="DM259" s="3"/>
      <c r="DO259" s="3"/>
      <c r="DP259" s="3"/>
      <c r="DR259" s="3"/>
      <c r="DS259" s="1" t="str">
        <f>_xlfn.XLOOKUP(OfficeForms.Table[[#This Row],[Selecione a Categoria do Laboratório desta atividade prática:]],Planilha1!A:A,Planilha1!B:B)</f>
        <v>EMF-ISN</v>
      </c>
      <c r="DT259" s="1" t="str">
        <f>CONCATENATE(OfficeForms.Table[[#This Row],[Selecione seu Polo Laboratório de Atividades Presenciais:]],OfficeForms.Table[[#This Row],[CHAVE CONVERSÃO]])</f>
        <v>Itapecuru Mirim/MAEMF-ISN</v>
      </c>
      <c r="DU25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25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25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20</v>
      </c>
      <c r="DX259" s="1" t="str">
        <f>_xlfn.XLOOKUP(OfficeForms.Table[[#This Row],[CHAVE LINK POLO]],'[1]Quadro Geral de Lotação'!$B:$B,'[1]Quadro Geral de Lotação'!$I:$I)</f>
        <v>Deborah Da Silva Vasconcelos Ewerton</v>
      </c>
      <c r="DY259" s="1" t="str">
        <f>OfficeForms.Table[[#This Row],[Selecione a Ordem de Disciplina]]</f>
        <v>Ordem 1</v>
      </c>
    </row>
    <row r="260" spans="1:129" ht="34.15" customHeight="1">
      <c r="A260" s="1">
        <v>260</v>
      </c>
      <c r="B260" s="2">
        <v>46096.680127314801</v>
      </c>
      <c r="C260" s="2">
        <v>46096.717372685198</v>
      </c>
      <c r="D260" s="3" t="s">
        <v>952</v>
      </c>
      <c r="E260" s="3" t="s">
        <v>953</v>
      </c>
      <c r="G260" s="3"/>
      <c r="I260" s="3" t="s">
        <v>954</v>
      </c>
      <c r="K260" s="3"/>
      <c r="L260" s="1" t="s">
        <v>132</v>
      </c>
      <c r="O260" s="3" t="s">
        <v>184</v>
      </c>
      <c r="Q260" s="3"/>
      <c r="R260" s="3"/>
      <c r="T260" s="3"/>
      <c r="U260" s="5"/>
      <c r="W260" s="3"/>
      <c r="Z260" s="3"/>
      <c r="AA260" s="3"/>
      <c r="AC260" s="3"/>
      <c r="AD260" s="3"/>
      <c r="AF260" s="3"/>
      <c r="AG260" s="3" t="s">
        <v>224</v>
      </c>
      <c r="AI260" s="3"/>
      <c r="AJ260" s="1">
        <v>46078</v>
      </c>
      <c r="AL260" s="3"/>
      <c r="AM260" s="1">
        <v>10</v>
      </c>
      <c r="AO260" s="3"/>
      <c r="AP260" s="3" t="s">
        <v>955</v>
      </c>
      <c r="AR260" s="3"/>
      <c r="AS260" s="3" t="s">
        <v>956</v>
      </c>
      <c r="AU260" s="3"/>
      <c r="AV260" s="3"/>
      <c r="AX260" s="3"/>
      <c r="AY260" s="5"/>
      <c r="BA260" s="3"/>
      <c r="BD260" s="3"/>
      <c r="BE260" s="3"/>
      <c r="BG260" s="3"/>
      <c r="BH260" s="3"/>
      <c r="BJ260" s="3"/>
      <c r="BK260" s="3"/>
      <c r="BM260" s="3"/>
      <c r="BN260" s="5"/>
      <c r="BP260" s="3"/>
      <c r="BS260" s="3"/>
      <c r="BT260" s="3"/>
      <c r="BV260" s="3"/>
      <c r="BW260" s="3"/>
      <c r="BY260" s="3"/>
      <c r="BZ260" s="3"/>
      <c r="CB260" s="3"/>
      <c r="CC260" s="5"/>
      <c r="CE260" s="3"/>
      <c r="CH260" s="3"/>
      <c r="CI260" s="3"/>
      <c r="CK260" s="3"/>
      <c r="CL260" s="3"/>
      <c r="CN260" s="3"/>
      <c r="CO260" s="3"/>
      <c r="CQ260" s="3"/>
      <c r="CR260" s="5"/>
      <c r="CT260" s="3"/>
      <c r="CW260" s="3"/>
      <c r="CX260" s="3"/>
      <c r="CZ260" s="3"/>
      <c r="DA260" s="3"/>
      <c r="DC260" s="3"/>
      <c r="DD260" s="3"/>
      <c r="DF260" s="3"/>
      <c r="DG260" s="5"/>
      <c r="DI260" s="3"/>
      <c r="DL260" s="3"/>
      <c r="DM260" s="3"/>
      <c r="DO260" s="3"/>
      <c r="DP260" s="3"/>
      <c r="DR260" s="3"/>
      <c r="DS260" s="1" t="str">
        <f>_xlfn.XLOOKUP(OfficeForms.Table[[#This Row],[Selecione a Categoria do Laboratório desta atividade prática:]],Planilha1!A:A,Planilha1!B:B)</f>
        <v>EMF-ISN</v>
      </c>
      <c r="DT260" s="1" t="str">
        <f>CONCATENATE(OfficeForms.Table[[#This Row],[Selecione seu Polo Laboratório de Atividades Presenciais:]],OfficeForms.Table[[#This Row],[CHAVE CONVERSÃO]])</f>
        <v>Barreirinhas/MAEMF-ISN</v>
      </c>
      <c r="DU26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26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26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260" s="1" t="str">
        <f>_xlfn.XLOOKUP(OfficeForms.Table[[#This Row],[CHAVE LINK POLO]],'[1]Quadro Geral de Lotação'!$B:$B,'[1]Quadro Geral de Lotação'!$I:$I)</f>
        <v>Hozana De Almeida Evangelista</v>
      </c>
      <c r="DY260" s="1" t="str">
        <f>OfficeForms.Table[[#This Row],[Selecione a Ordem de Disciplina]]</f>
        <v>Ordem 1</v>
      </c>
    </row>
    <row r="261" spans="1:129" ht="34.15" customHeight="1">
      <c r="A261" s="1">
        <v>261</v>
      </c>
      <c r="B261" s="2">
        <v>46096.7590740741</v>
      </c>
      <c r="C261" s="2">
        <v>46096.771111111098</v>
      </c>
      <c r="D261" s="3" t="s">
        <v>443</v>
      </c>
      <c r="E261" s="3" t="s">
        <v>444</v>
      </c>
      <c r="G261" s="3"/>
      <c r="I261" s="3" t="s">
        <v>445</v>
      </c>
      <c r="K261" s="3"/>
      <c r="L261" s="1" t="s">
        <v>678</v>
      </c>
      <c r="O261" s="3" t="s">
        <v>133</v>
      </c>
      <c r="Q261" s="3"/>
      <c r="R261" s="3"/>
      <c r="T261" s="3"/>
      <c r="U261" s="5"/>
      <c r="W261" s="3"/>
      <c r="Z261" s="3"/>
      <c r="AA261" s="3"/>
      <c r="AC261" s="3"/>
      <c r="AD261" s="3"/>
      <c r="AF261" s="3"/>
      <c r="AG261" s="3"/>
      <c r="AI261" s="3"/>
      <c r="AJ261" s="1"/>
      <c r="AL261" s="3"/>
      <c r="AO261" s="3"/>
      <c r="AP261" s="3"/>
      <c r="AR261" s="3"/>
      <c r="AS261" s="3"/>
      <c r="AU261" s="3"/>
      <c r="AV261" s="3" t="s">
        <v>330</v>
      </c>
      <c r="AX261" s="3"/>
      <c r="AY261" s="5">
        <v>46084</v>
      </c>
      <c r="BA261" s="3"/>
      <c r="BB261" s="1">
        <v>4</v>
      </c>
      <c r="BD261" s="3"/>
      <c r="BE261" s="3" t="s">
        <v>957</v>
      </c>
      <c r="BG261" s="3"/>
      <c r="BH261" s="3" t="s">
        <v>958</v>
      </c>
      <c r="BJ261" s="3"/>
      <c r="BK261" s="3"/>
      <c r="BM261" s="3"/>
      <c r="BN261" s="5"/>
      <c r="BP261" s="3"/>
      <c r="BS261" s="3"/>
      <c r="BT261" s="3"/>
      <c r="BV261" s="3"/>
      <c r="BW261" s="3"/>
      <c r="BY261" s="3"/>
      <c r="BZ261" s="3"/>
      <c r="CB261" s="3"/>
      <c r="CC261" s="5"/>
      <c r="CE261" s="3"/>
      <c r="CH261" s="3"/>
      <c r="CI261" s="3"/>
      <c r="CK261" s="3"/>
      <c r="CL261" s="3"/>
      <c r="CN261" s="3"/>
      <c r="CO261" s="3"/>
      <c r="CQ261" s="3"/>
      <c r="CR261" s="5"/>
      <c r="CT261" s="3"/>
      <c r="CW261" s="3"/>
      <c r="CX261" s="3"/>
      <c r="CZ261" s="3"/>
      <c r="DA261" s="3"/>
      <c r="DC261" s="3"/>
      <c r="DD261" s="3"/>
      <c r="DF261" s="3"/>
      <c r="DG261" s="5"/>
      <c r="DI261" s="3"/>
      <c r="DL261" s="3"/>
      <c r="DM261" s="3"/>
      <c r="DO261" s="3"/>
      <c r="DP261" s="3"/>
      <c r="DR261" s="3"/>
      <c r="DS261" s="1" t="str">
        <f>_xlfn.XLOOKUP(OfficeForms.Table[[#This Row],[Selecione a Categoria do Laboratório desta atividade prática:]],Planilha1!A:A,Planilha1!B:B)</f>
        <v>BFI</v>
      </c>
      <c r="DT261" s="1" t="str">
        <f>CONCATENATE(OfficeForms.Table[[#This Row],[Selecione seu Polo Laboratório de Atividades Presenciais:]],OfficeForms.Table[[#This Row],[CHAVE CONVERSÃO]])</f>
        <v>Goiânia/GO - Jardim EuropaBFI</v>
      </c>
      <c r="DU26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Superiores: Prática em Fisioterapia Traumato-Ortopédica</v>
      </c>
      <c r="DV26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26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61" s="1" t="str">
        <f>_xlfn.XLOOKUP(OfficeForms.Table[[#This Row],[CHAVE LINK POLO]],'[1]Quadro Geral de Lotação'!$B:$B,'[1]Quadro Geral de Lotação'!$I:$I)</f>
        <v>Luiza Rodrigues De Assis Brito</v>
      </c>
      <c r="DY261" s="1" t="str">
        <f>OfficeForms.Table[[#This Row],[Selecione a Ordem de Disciplina]]</f>
        <v>Ordem 2</v>
      </c>
    </row>
    <row r="262" spans="1:129" ht="34.15" customHeight="1">
      <c r="A262" s="1">
        <v>262</v>
      </c>
      <c r="B262" s="2">
        <v>46096.7711458333</v>
      </c>
      <c r="C262" s="2">
        <v>46096.771701388898</v>
      </c>
      <c r="D262" s="3" t="s">
        <v>443</v>
      </c>
      <c r="E262" s="3" t="s">
        <v>444</v>
      </c>
      <c r="G262" s="3"/>
      <c r="I262" s="3" t="s">
        <v>445</v>
      </c>
      <c r="K262" s="3"/>
      <c r="L262" s="1" t="s">
        <v>678</v>
      </c>
      <c r="O262" s="3" t="s">
        <v>133</v>
      </c>
      <c r="Q262" s="3"/>
      <c r="R262" s="3"/>
      <c r="T262" s="3"/>
      <c r="U262" s="5"/>
      <c r="W262" s="3"/>
      <c r="Z262" s="3"/>
      <c r="AA262" s="3"/>
      <c r="AC262" s="3"/>
      <c r="AD262" s="3"/>
      <c r="AF262" s="3"/>
      <c r="AG262" s="3"/>
      <c r="AI262" s="3"/>
      <c r="AJ262" s="1"/>
      <c r="AL262" s="3"/>
      <c r="AO262" s="3"/>
      <c r="AP262" s="3"/>
      <c r="AR262" s="3"/>
      <c r="AS262" s="3"/>
      <c r="AU262" s="3"/>
      <c r="AV262" s="3" t="s">
        <v>327</v>
      </c>
      <c r="AX262" s="3"/>
      <c r="AY262" s="5">
        <v>46084</v>
      </c>
      <c r="BA262" s="3"/>
      <c r="BB262" s="1">
        <v>4</v>
      </c>
      <c r="BD262" s="3"/>
      <c r="BE262" s="3" t="s">
        <v>959</v>
      </c>
      <c r="BG262" s="3"/>
      <c r="BH262" s="3" t="s">
        <v>960</v>
      </c>
      <c r="BJ262" s="3"/>
      <c r="BK262" s="3"/>
      <c r="BM262" s="3"/>
      <c r="BN262" s="5"/>
      <c r="BP262" s="3"/>
      <c r="BS262" s="3"/>
      <c r="BT262" s="3"/>
      <c r="BV262" s="3"/>
      <c r="BW262" s="3"/>
      <c r="BY262" s="3"/>
      <c r="BZ262" s="3"/>
      <c r="CB262" s="3"/>
      <c r="CC262" s="5"/>
      <c r="CE262" s="3"/>
      <c r="CH262" s="3"/>
      <c r="CI262" s="3"/>
      <c r="CK262" s="3"/>
      <c r="CL262" s="3"/>
      <c r="CN262" s="3"/>
      <c r="CO262" s="3"/>
      <c r="CQ262" s="3"/>
      <c r="CR262" s="5"/>
      <c r="CT262" s="3"/>
      <c r="CW262" s="3"/>
      <c r="CX262" s="3"/>
      <c r="CZ262" s="3"/>
      <c r="DA262" s="3"/>
      <c r="DC262" s="3"/>
      <c r="DD262" s="3"/>
      <c r="DF262" s="3"/>
      <c r="DG262" s="5"/>
      <c r="DI262" s="3"/>
      <c r="DL262" s="3"/>
      <c r="DM262" s="3"/>
      <c r="DO262" s="3"/>
      <c r="DP262" s="3"/>
      <c r="DR262" s="3"/>
      <c r="DS262" s="1" t="str">
        <f>_xlfn.XLOOKUP(OfficeForms.Table[[#This Row],[Selecione a Categoria do Laboratório desta atividade prática:]],Planilha1!A:A,Planilha1!B:B)</f>
        <v>BFI</v>
      </c>
      <c r="DT262" s="1" t="str">
        <f>CONCATENATE(OfficeForms.Table[[#This Row],[Selecione seu Polo Laboratório de Atividades Presenciais:]],OfficeForms.Table[[#This Row],[CHAVE CONVERSÃO]])</f>
        <v>Goiânia/GO - Jardim EuropaBFI</v>
      </c>
      <c r="DU26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Inferiores : Prática em Fisioterapia Traumato-Ortopédica</v>
      </c>
      <c r="DV26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26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62" s="1" t="str">
        <f>_xlfn.XLOOKUP(OfficeForms.Table[[#This Row],[CHAVE LINK POLO]],'[1]Quadro Geral de Lotação'!$B:$B,'[1]Quadro Geral de Lotação'!$I:$I)</f>
        <v>Luiza Rodrigues De Assis Brito</v>
      </c>
      <c r="DY262" s="1" t="str">
        <f>OfficeForms.Table[[#This Row],[Selecione a Ordem de Disciplina]]</f>
        <v>Ordem 2</v>
      </c>
    </row>
    <row r="263" spans="1:129" ht="34.15" customHeight="1">
      <c r="A263" s="1">
        <v>263</v>
      </c>
      <c r="B263" s="2">
        <v>46096.771736111099</v>
      </c>
      <c r="C263" s="2">
        <v>46096.772395833301</v>
      </c>
      <c r="D263" s="3" t="s">
        <v>443</v>
      </c>
      <c r="E263" s="3" t="s">
        <v>444</v>
      </c>
      <c r="G263" s="3"/>
      <c r="I263" s="3" t="s">
        <v>445</v>
      </c>
      <c r="K263" s="3"/>
      <c r="L263" s="1" t="s">
        <v>678</v>
      </c>
      <c r="O263" s="3" t="s">
        <v>133</v>
      </c>
      <c r="Q263" s="3"/>
      <c r="R263" s="3"/>
      <c r="T263" s="3"/>
      <c r="U263" s="5"/>
      <c r="W263" s="3"/>
      <c r="Z263" s="3"/>
      <c r="AA263" s="3"/>
      <c r="AC263" s="3"/>
      <c r="AD263" s="3"/>
      <c r="AF263" s="3"/>
      <c r="AG263" s="3"/>
      <c r="AI263" s="3"/>
      <c r="AJ263" s="1"/>
      <c r="AL263" s="3"/>
      <c r="AO263" s="3"/>
      <c r="AP263" s="3"/>
      <c r="AR263" s="3"/>
      <c r="AS263" s="3"/>
      <c r="AU263" s="3"/>
      <c r="AV263" s="3" t="s">
        <v>537</v>
      </c>
      <c r="AX263" s="3"/>
      <c r="AY263" s="5">
        <v>46091</v>
      </c>
      <c r="BA263" s="3"/>
      <c r="BB263" s="1">
        <v>3</v>
      </c>
      <c r="BD263" s="3"/>
      <c r="BE263" s="3" t="s">
        <v>961</v>
      </c>
      <c r="BG263" s="3"/>
      <c r="BH263" s="3" t="s">
        <v>962</v>
      </c>
      <c r="BJ263" s="3"/>
      <c r="BK263" s="3"/>
      <c r="BM263" s="3"/>
      <c r="BN263" s="5"/>
      <c r="BP263" s="3"/>
      <c r="BS263" s="3"/>
      <c r="BT263" s="3"/>
      <c r="BV263" s="3"/>
      <c r="BW263" s="3"/>
      <c r="BY263" s="3"/>
      <c r="BZ263" s="3"/>
      <c r="CB263" s="3"/>
      <c r="CC263" s="5"/>
      <c r="CE263" s="3"/>
      <c r="CH263" s="3"/>
      <c r="CI263" s="3"/>
      <c r="CK263" s="3"/>
      <c r="CL263" s="3"/>
      <c r="CN263" s="3"/>
      <c r="CO263" s="3"/>
      <c r="CQ263" s="3"/>
      <c r="CR263" s="5"/>
      <c r="CT263" s="3"/>
      <c r="CW263" s="3"/>
      <c r="CX263" s="3"/>
      <c r="CZ263" s="3"/>
      <c r="DA263" s="3"/>
      <c r="DC263" s="3"/>
      <c r="DD263" s="3"/>
      <c r="DF263" s="3"/>
      <c r="DG263" s="5"/>
      <c r="DI263" s="3"/>
      <c r="DL263" s="3"/>
      <c r="DM263" s="3"/>
      <c r="DO263" s="3"/>
      <c r="DP263" s="3"/>
      <c r="DR263" s="3"/>
      <c r="DS263" s="1" t="str">
        <f>_xlfn.XLOOKUP(OfficeForms.Table[[#This Row],[Selecione a Categoria do Laboratório desta atividade prática:]],Planilha1!A:A,Planilha1!B:B)</f>
        <v>BFI</v>
      </c>
      <c r="DT263" s="1" t="str">
        <f>CONCATENATE(OfficeForms.Table[[#This Row],[Selecione seu Polo Laboratório de Atividades Presenciais:]],OfficeForms.Table[[#This Row],[CHAVE CONVERSÃO]])</f>
        <v>Goiânia/GO - Jardim EuropaBFI</v>
      </c>
      <c r="DU26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Traumato-Ortopédica em Coluna Vertebral: Manejo de Disfunções Cervicais, Torácicas e Lombares</v>
      </c>
      <c r="DV26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26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263" s="1" t="str">
        <f>_xlfn.XLOOKUP(OfficeForms.Table[[#This Row],[CHAVE LINK POLO]],'[1]Quadro Geral de Lotação'!$B:$B,'[1]Quadro Geral de Lotação'!$I:$I)</f>
        <v>Luiza Rodrigues De Assis Brito</v>
      </c>
      <c r="DY263" s="1" t="str">
        <f>OfficeForms.Table[[#This Row],[Selecione a Ordem de Disciplina]]</f>
        <v>Ordem 2</v>
      </c>
    </row>
    <row r="264" spans="1:129" ht="34.15" customHeight="1">
      <c r="A264" s="1">
        <v>264</v>
      </c>
      <c r="B264" s="2">
        <v>46096.837615740696</v>
      </c>
      <c r="C264" s="2">
        <v>46096.850196759297</v>
      </c>
      <c r="D264" s="3" t="s">
        <v>963</v>
      </c>
      <c r="E264" s="3" t="s">
        <v>964</v>
      </c>
      <c r="G264" s="3"/>
      <c r="I264" s="3" t="s">
        <v>965</v>
      </c>
      <c r="K264" s="3"/>
      <c r="L264" s="1" t="s">
        <v>132</v>
      </c>
      <c r="O264" s="3" t="s">
        <v>184</v>
      </c>
      <c r="Q264" s="3"/>
      <c r="R264" s="3"/>
      <c r="T264" s="3"/>
      <c r="U264" s="5"/>
      <c r="W264" s="3"/>
      <c r="Z264" s="3"/>
      <c r="AA264" s="3"/>
      <c r="AC264" s="3"/>
      <c r="AD264" s="3"/>
      <c r="AF264" s="3"/>
      <c r="AG264" s="3" t="s">
        <v>316</v>
      </c>
      <c r="AI264" s="3"/>
      <c r="AJ264" s="1">
        <v>46086</v>
      </c>
      <c r="AL264" s="3"/>
      <c r="AM264" s="1">
        <v>1</v>
      </c>
      <c r="AO264" s="3"/>
      <c r="AP264" s="3" t="s">
        <v>966</v>
      </c>
      <c r="AR264" s="3"/>
      <c r="AS264" s="3" t="s">
        <v>967</v>
      </c>
      <c r="AU264" s="3"/>
      <c r="AV264" s="3"/>
      <c r="AX264" s="3"/>
      <c r="AY264" s="5"/>
      <c r="BA264" s="3"/>
      <c r="BD264" s="3"/>
      <c r="BE264" s="3"/>
      <c r="BG264" s="3"/>
      <c r="BH264" s="3"/>
      <c r="BJ264" s="3"/>
      <c r="BK264" s="3"/>
      <c r="BM264" s="3"/>
      <c r="BN264" s="5"/>
      <c r="BP264" s="3"/>
      <c r="BS264" s="3"/>
      <c r="BT264" s="3"/>
      <c r="BV264" s="3"/>
      <c r="BW264" s="3"/>
      <c r="BY264" s="3"/>
      <c r="BZ264" s="3"/>
      <c r="CB264" s="3"/>
      <c r="CC264" s="5"/>
      <c r="CE264" s="3"/>
      <c r="CH264" s="3"/>
      <c r="CI264" s="3"/>
      <c r="CK264" s="3"/>
      <c r="CL264" s="3"/>
      <c r="CN264" s="3"/>
      <c r="CO264" s="3"/>
      <c r="CQ264" s="3"/>
      <c r="CR264" s="5"/>
      <c r="CT264" s="3"/>
      <c r="CW264" s="3"/>
      <c r="CX264" s="3"/>
      <c r="CZ264" s="3"/>
      <c r="DA264" s="3"/>
      <c r="DC264" s="3"/>
      <c r="DD264" s="3"/>
      <c r="DF264" s="3"/>
      <c r="DG264" s="5"/>
      <c r="DI264" s="3"/>
      <c r="DL264" s="3"/>
      <c r="DM264" s="3"/>
      <c r="DO264" s="3"/>
      <c r="DP264" s="3"/>
      <c r="DR264" s="3"/>
      <c r="DS264" s="1" t="str">
        <f>_xlfn.XLOOKUP(OfficeForms.Table[[#This Row],[Selecione a Categoria do Laboratório desta atividade prática:]],Planilha1!A:A,Planilha1!B:B)</f>
        <v>EMF-ISN</v>
      </c>
      <c r="DT264" s="1" t="str">
        <f>CONCATENATE(OfficeForms.Table[[#This Row],[Selecione seu Polo Laboratório de Atividades Presenciais:]],OfficeForms.Table[[#This Row],[CHAVE CONVERSÃO]])</f>
        <v>Vigia/PAEMF-ISN</v>
      </c>
      <c r="DU26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26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26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64" s="1" t="str">
        <f>_xlfn.XLOOKUP(OfficeForms.Table[[#This Row],[CHAVE LINK POLO]],'[1]Quadro Geral de Lotação'!$B:$B,'[1]Quadro Geral de Lotação'!$I:$I)</f>
        <v>Leticia Roberta Modesto Dos Santos</v>
      </c>
      <c r="DY264" s="1" t="str">
        <f>OfficeForms.Table[[#This Row],[Selecione a Ordem de Disciplina]]</f>
        <v>Ordem 1</v>
      </c>
    </row>
    <row r="265" spans="1:129" ht="34.15" customHeight="1">
      <c r="A265" s="1">
        <v>265</v>
      </c>
      <c r="B265" s="2">
        <v>46096.8657060185</v>
      </c>
      <c r="C265" s="2">
        <v>46096.866666666698</v>
      </c>
      <c r="D265" s="3" t="s">
        <v>963</v>
      </c>
      <c r="E265" s="3" t="s">
        <v>964</v>
      </c>
      <c r="G265" s="3"/>
      <c r="I265" s="3" t="s">
        <v>965</v>
      </c>
      <c r="K265" s="3"/>
      <c r="L265" s="1" t="s">
        <v>132</v>
      </c>
      <c r="O265" s="3" t="s">
        <v>184</v>
      </c>
      <c r="Q265" s="3"/>
      <c r="R265" s="3"/>
      <c r="T265" s="3"/>
      <c r="U265" s="5"/>
      <c r="W265" s="3"/>
      <c r="Z265" s="3"/>
      <c r="AA265" s="3"/>
      <c r="AC265" s="3"/>
      <c r="AD265" s="3"/>
      <c r="AF265" s="3"/>
      <c r="AG265" s="3" t="s">
        <v>414</v>
      </c>
      <c r="AI265" s="3"/>
      <c r="AJ265" s="1">
        <v>46079</v>
      </c>
      <c r="AL265" s="3"/>
      <c r="AM265" s="1">
        <v>1</v>
      </c>
      <c r="AO265" s="3"/>
      <c r="AP265" s="3" t="s">
        <v>968</v>
      </c>
      <c r="AR265" s="3"/>
      <c r="AS265" s="3" t="s">
        <v>969</v>
      </c>
      <c r="AU265" s="3"/>
      <c r="AV265" s="3"/>
      <c r="AX265" s="3"/>
      <c r="AY265" s="5"/>
      <c r="BA265" s="3"/>
      <c r="BD265" s="3"/>
      <c r="BE265" s="3"/>
      <c r="BG265" s="3"/>
      <c r="BH265" s="3"/>
      <c r="BJ265" s="3"/>
      <c r="BK265" s="3"/>
      <c r="BM265" s="3"/>
      <c r="BN265" s="5"/>
      <c r="BP265" s="3"/>
      <c r="BS265" s="3"/>
      <c r="BT265" s="3"/>
      <c r="BV265" s="3"/>
      <c r="BW265" s="3"/>
      <c r="BY265" s="3"/>
      <c r="BZ265" s="3"/>
      <c r="CB265" s="3"/>
      <c r="CC265" s="5"/>
      <c r="CE265" s="3"/>
      <c r="CH265" s="3"/>
      <c r="CI265" s="3"/>
      <c r="CK265" s="3"/>
      <c r="CL265" s="3"/>
      <c r="CN265" s="3"/>
      <c r="CO265" s="3"/>
      <c r="CQ265" s="3"/>
      <c r="CR265" s="5"/>
      <c r="CT265" s="3"/>
      <c r="CW265" s="3"/>
      <c r="CX265" s="3"/>
      <c r="CZ265" s="3"/>
      <c r="DA265" s="3"/>
      <c r="DC265" s="3"/>
      <c r="DD265" s="3"/>
      <c r="DF265" s="3"/>
      <c r="DG265" s="5"/>
      <c r="DI265" s="3"/>
      <c r="DL265" s="3"/>
      <c r="DM265" s="3"/>
      <c r="DO265" s="3"/>
      <c r="DP265" s="3"/>
      <c r="DR265" s="3"/>
      <c r="DS265" s="1" t="str">
        <f>_xlfn.XLOOKUP(OfficeForms.Table[[#This Row],[Selecione a Categoria do Laboratório desta atividade prática:]],Planilha1!A:A,Planilha1!B:B)</f>
        <v>EMF-ISN</v>
      </c>
      <c r="DT265" s="1" t="str">
        <f>CONCATENATE(OfficeForms.Table[[#This Row],[Selecione seu Polo Laboratório de Atividades Presenciais:]],OfficeForms.Table[[#This Row],[CHAVE CONVERSÃO]])</f>
        <v>Vigia/PAEMF-ISN</v>
      </c>
      <c r="DU26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26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26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65" s="1" t="str">
        <f>_xlfn.XLOOKUP(OfficeForms.Table[[#This Row],[CHAVE LINK POLO]],'[1]Quadro Geral de Lotação'!$B:$B,'[1]Quadro Geral de Lotação'!$I:$I)</f>
        <v>Leticia Roberta Modesto Dos Santos</v>
      </c>
      <c r="DY265" s="1" t="str">
        <f>OfficeForms.Table[[#This Row],[Selecione a Ordem de Disciplina]]</f>
        <v>Ordem 1</v>
      </c>
    </row>
    <row r="266" spans="1:129" ht="34.15" customHeight="1">
      <c r="A266" s="1">
        <v>266</v>
      </c>
      <c r="B266" s="2">
        <v>46096.861724536997</v>
      </c>
      <c r="C266" s="2">
        <v>46096.8754050926</v>
      </c>
      <c r="D266" s="3" t="s">
        <v>970</v>
      </c>
      <c r="E266" s="3" t="s">
        <v>971</v>
      </c>
      <c r="G266" s="3"/>
      <c r="I266" s="3" t="s">
        <v>972</v>
      </c>
      <c r="K266" s="3"/>
      <c r="L266" s="1" t="s">
        <v>132</v>
      </c>
      <c r="O266" s="3" t="s">
        <v>184</v>
      </c>
      <c r="Q266" s="3"/>
      <c r="R266" s="3"/>
      <c r="T266" s="3"/>
      <c r="U266" s="5"/>
      <c r="W266" s="3"/>
      <c r="Z266" s="3"/>
      <c r="AA266" s="3"/>
      <c r="AC266" s="3"/>
      <c r="AD266" s="3"/>
      <c r="AF266" s="3"/>
      <c r="AG266" s="3" t="s">
        <v>316</v>
      </c>
      <c r="AI266" s="3"/>
      <c r="AJ266" s="1">
        <v>46087</v>
      </c>
      <c r="AL266" s="3"/>
      <c r="AM266" s="1">
        <v>3</v>
      </c>
      <c r="AO266" s="3"/>
      <c r="AP266" s="3" t="s">
        <v>973</v>
      </c>
      <c r="AR266" s="3"/>
      <c r="AS266" s="3" t="s">
        <v>974</v>
      </c>
      <c r="AU266" s="3"/>
      <c r="AV266" s="3"/>
      <c r="AX266" s="3"/>
      <c r="AY266" s="5"/>
      <c r="BA266" s="3"/>
      <c r="BD266" s="3"/>
      <c r="BE266" s="3"/>
      <c r="BG266" s="3"/>
      <c r="BH266" s="3"/>
      <c r="BJ266" s="3"/>
      <c r="BK266" s="3"/>
      <c r="BM266" s="3"/>
      <c r="BN266" s="5"/>
      <c r="BP266" s="3"/>
      <c r="BS266" s="3"/>
      <c r="BT266" s="3"/>
      <c r="BV266" s="3"/>
      <c r="BW266" s="3"/>
      <c r="BY266" s="3"/>
      <c r="BZ266" s="3"/>
      <c r="CB266" s="3"/>
      <c r="CC266" s="5"/>
      <c r="CE266" s="3"/>
      <c r="CH266" s="3"/>
      <c r="CI266" s="3"/>
      <c r="CK266" s="3"/>
      <c r="CL266" s="3"/>
      <c r="CN266" s="3"/>
      <c r="CO266" s="3"/>
      <c r="CQ266" s="3"/>
      <c r="CR266" s="5"/>
      <c r="CT266" s="3"/>
      <c r="CW266" s="3"/>
      <c r="CX266" s="3"/>
      <c r="CZ266" s="3"/>
      <c r="DA266" s="3"/>
      <c r="DC266" s="3"/>
      <c r="DD266" s="3"/>
      <c r="DF266" s="3"/>
      <c r="DG266" s="5"/>
      <c r="DI266" s="3"/>
      <c r="DL266" s="3"/>
      <c r="DM266" s="3"/>
      <c r="DO266" s="3"/>
      <c r="DP266" s="3"/>
      <c r="DR266" s="3"/>
      <c r="DS266" s="1" t="str">
        <f>_xlfn.XLOOKUP(OfficeForms.Table[[#This Row],[Selecione a Categoria do Laboratório desta atividade prática:]],Planilha1!A:A,Planilha1!B:B)</f>
        <v>EMF-ISN</v>
      </c>
      <c r="DT266" s="1" t="str">
        <f>CONCATENATE(OfficeForms.Table[[#This Row],[Selecione seu Polo Laboratório de Atividades Presenciais:]],OfficeForms.Table[[#This Row],[CHAVE CONVERSÃO]])</f>
        <v>Santa Inês/MAEMF-ISN</v>
      </c>
      <c r="DU26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26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26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266" s="1" t="str">
        <f>_xlfn.XLOOKUP(OfficeForms.Table[[#This Row],[CHAVE LINK POLO]],'[1]Quadro Geral de Lotação'!$B:$B,'[1]Quadro Geral de Lotação'!$I:$I)</f>
        <v>Ygor Lafaeth Vieira Nunes</v>
      </c>
      <c r="DY266" s="1" t="str">
        <f>OfficeForms.Table[[#This Row],[Selecione a Ordem de Disciplina]]</f>
        <v>Ordem 1</v>
      </c>
    </row>
    <row r="267" spans="1:129" ht="34.15" customHeight="1">
      <c r="A267" s="1">
        <v>267</v>
      </c>
      <c r="B267" s="2">
        <v>46096.875659722202</v>
      </c>
      <c r="C267" s="2">
        <v>46096.879502314798</v>
      </c>
      <c r="D267" s="3" t="s">
        <v>970</v>
      </c>
      <c r="E267" s="3" t="s">
        <v>971</v>
      </c>
      <c r="G267" s="3"/>
      <c r="I267" s="3" t="s">
        <v>972</v>
      </c>
      <c r="K267" s="3"/>
      <c r="L267" s="1" t="s">
        <v>132</v>
      </c>
      <c r="O267" s="3" t="s">
        <v>184</v>
      </c>
      <c r="Q267" s="3"/>
      <c r="R267" s="3"/>
      <c r="T267" s="3"/>
      <c r="U267" s="5"/>
      <c r="W267" s="3"/>
      <c r="Z267" s="3"/>
      <c r="AA267" s="3"/>
      <c r="AC267" s="3"/>
      <c r="AD267" s="3"/>
      <c r="AF267" s="3"/>
      <c r="AG267" s="3" t="s">
        <v>414</v>
      </c>
      <c r="AI267" s="3"/>
      <c r="AJ267" s="1">
        <v>46087</v>
      </c>
      <c r="AL267" s="3"/>
      <c r="AM267" s="1">
        <v>3</v>
      </c>
      <c r="AO267" s="3"/>
      <c r="AP267" s="3" t="s">
        <v>975</v>
      </c>
      <c r="AR267" s="3"/>
      <c r="AS267" s="3" t="s">
        <v>976</v>
      </c>
      <c r="AU267" s="3"/>
      <c r="AV267" s="3"/>
      <c r="AX267" s="3"/>
      <c r="AY267" s="5"/>
      <c r="BA267" s="3"/>
      <c r="BD267" s="3"/>
      <c r="BE267" s="3"/>
      <c r="BG267" s="3"/>
      <c r="BH267" s="3"/>
      <c r="BJ267" s="3"/>
      <c r="BK267" s="3"/>
      <c r="BM267" s="3"/>
      <c r="BN267" s="5"/>
      <c r="BP267" s="3"/>
      <c r="BS267" s="3"/>
      <c r="BT267" s="3"/>
      <c r="BV267" s="3"/>
      <c r="BW267" s="3"/>
      <c r="BY267" s="3"/>
      <c r="BZ267" s="3"/>
      <c r="CB267" s="3"/>
      <c r="CC267" s="5"/>
      <c r="CE267" s="3"/>
      <c r="CH267" s="3"/>
      <c r="CI267" s="3"/>
      <c r="CK267" s="3"/>
      <c r="CL267" s="3"/>
      <c r="CN267" s="3"/>
      <c r="CO267" s="3"/>
      <c r="CQ267" s="3"/>
      <c r="CR267" s="5"/>
      <c r="CT267" s="3"/>
      <c r="CW267" s="3"/>
      <c r="CX267" s="3"/>
      <c r="CZ267" s="3"/>
      <c r="DA267" s="3"/>
      <c r="DC267" s="3"/>
      <c r="DD267" s="3"/>
      <c r="DF267" s="3"/>
      <c r="DG267" s="5"/>
      <c r="DI267" s="3"/>
      <c r="DL267" s="3"/>
      <c r="DM267" s="3"/>
      <c r="DO267" s="3"/>
      <c r="DP267" s="3"/>
      <c r="DR267" s="3"/>
      <c r="DS267" s="1" t="str">
        <f>_xlfn.XLOOKUP(OfficeForms.Table[[#This Row],[Selecione a Categoria do Laboratório desta atividade prática:]],Planilha1!A:A,Planilha1!B:B)</f>
        <v>EMF-ISN</v>
      </c>
      <c r="DT267" s="1" t="str">
        <f>CONCATENATE(OfficeForms.Table[[#This Row],[Selecione seu Polo Laboratório de Atividades Presenciais:]],OfficeForms.Table[[#This Row],[CHAVE CONVERSÃO]])</f>
        <v>Santa Inês/MAEMF-ISN</v>
      </c>
      <c r="DU26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26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26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267" s="1" t="str">
        <f>_xlfn.XLOOKUP(OfficeForms.Table[[#This Row],[CHAVE LINK POLO]],'[1]Quadro Geral de Lotação'!$B:$B,'[1]Quadro Geral de Lotação'!$I:$I)</f>
        <v>Ygor Lafaeth Vieira Nunes</v>
      </c>
      <c r="DY267" s="1" t="str">
        <f>OfficeForms.Table[[#This Row],[Selecione a Ordem de Disciplina]]</f>
        <v>Ordem 1</v>
      </c>
    </row>
    <row r="268" spans="1:129" ht="34.15" customHeight="1">
      <c r="A268" s="1">
        <v>268</v>
      </c>
      <c r="B268" s="2">
        <v>46096.8808796296</v>
      </c>
      <c r="C268" s="2">
        <v>46096.893807870401</v>
      </c>
      <c r="D268" s="3" t="s">
        <v>977</v>
      </c>
      <c r="E268" s="3" t="s">
        <v>978</v>
      </c>
      <c r="G268" s="3"/>
      <c r="I268" s="3" t="s">
        <v>825</v>
      </c>
      <c r="K268" s="3"/>
      <c r="L268" s="1" t="s">
        <v>132</v>
      </c>
      <c r="O268" s="3" t="s">
        <v>184</v>
      </c>
      <c r="Q268" s="3"/>
      <c r="R268" s="3"/>
      <c r="T268" s="3"/>
      <c r="U268" s="5"/>
      <c r="W268" s="3"/>
      <c r="Z268" s="3"/>
      <c r="AA268" s="3"/>
      <c r="AC268" s="3"/>
      <c r="AD268" s="3"/>
      <c r="AF268" s="3"/>
      <c r="AG268" s="3" t="s">
        <v>224</v>
      </c>
      <c r="AI268" s="3"/>
      <c r="AJ268" s="1">
        <v>46072</v>
      </c>
      <c r="AL268" s="3"/>
      <c r="AM268" s="1">
        <v>24</v>
      </c>
      <c r="AO268" s="3"/>
      <c r="AP268" s="3" t="s">
        <v>979</v>
      </c>
      <c r="AR268" s="3"/>
      <c r="AS268" s="3" t="s">
        <v>980</v>
      </c>
      <c r="AU268" s="3"/>
      <c r="AV268" s="3"/>
      <c r="AX268" s="3"/>
      <c r="AY268" s="5"/>
      <c r="BA268" s="3"/>
      <c r="BD268" s="3"/>
      <c r="BE268" s="3"/>
      <c r="BG268" s="3"/>
      <c r="BH268" s="3"/>
      <c r="BJ268" s="3"/>
      <c r="BK268" s="3"/>
      <c r="BM268" s="3"/>
      <c r="BN268" s="5"/>
      <c r="BP268" s="3"/>
      <c r="BS268" s="3"/>
      <c r="BT268" s="3"/>
      <c r="BV268" s="3"/>
      <c r="BW268" s="3"/>
      <c r="BY268" s="3"/>
      <c r="BZ268" s="3"/>
      <c r="CB268" s="3"/>
      <c r="CC268" s="5"/>
      <c r="CE268" s="3"/>
      <c r="CH268" s="3"/>
      <c r="CI268" s="3"/>
      <c r="CK268" s="3"/>
      <c r="CL268" s="3"/>
      <c r="CN268" s="3"/>
      <c r="CO268" s="3"/>
      <c r="CQ268" s="3"/>
      <c r="CR268" s="5"/>
      <c r="CT268" s="3"/>
      <c r="CW268" s="3"/>
      <c r="CX268" s="3"/>
      <c r="CZ268" s="3"/>
      <c r="DA268" s="3"/>
      <c r="DC268" s="3"/>
      <c r="DD268" s="3"/>
      <c r="DF268" s="3"/>
      <c r="DG268" s="5"/>
      <c r="DI268" s="3"/>
      <c r="DL268" s="3"/>
      <c r="DM268" s="3"/>
      <c r="DO268" s="3"/>
      <c r="DP268" s="3"/>
      <c r="DR268" s="3"/>
      <c r="DS268" s="1" t="str">
        <f>_xlfn.XLOOKUP(OfficeForms.Table[[#This Row],[Selecione a Categoria do Laboratório desta atividade prática:]],Planilha1!A:A,Planilha1!B:B)</f>
        <v>EMF-ISN</v>
      </c>
      <c r="DT268" s="1" t="str">
        <f>CONCATENATE(OfficeForms.Table[[#This Row],[Selecione seu Polo Laboratório de Atividades Presenciais:]],OfficeForms.Table[[#This Row],[CHAVE CONVERSÃO]])</f>
        <v>Manaus/AM - Cidade NovaEMF-ISN</v>
      </c>
      <c r="DU26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26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26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24</v>
      </c>
      <c r="DX268" s="1" t="str">
        <f>_xlfn.XLOOKUP(OfficeForms.Table[[#This Row],[CHAVE LINK POLO]],'[1]Quadro Geral de Lotação'!$B:$B,'[1]Quadro Geral de Lotação'!$I:$I)</f>
        <v>Suzanne Taina Matos De Lima</v>
      </c>
      <c r="DY268" s="1" t="str">
        <f>OfficeForms.Table[[#This Row],[Selecione a Ordem de Disciplina]]</f>
        <v>Ordem 1</v>
      </c>
    </row>
    <row r="269" spans="1:129" ht="34.15" customHeight="1">
      <c r="A269" s="1">
        <v>269</v>
      </c>
      <c r="B269" s="2">
        <v>46096.893888888902</v>
      </c>
      <c r="C269" s="2">
        <v>46096.902152777802</v>
      </c>
      <c r="D269" s="3" t="s">
        <v>977</v>
      </c>
      <c r="E269" s="3" t="s">
        <v>978</v>
      </c>
      <c r="G269" s="3"/>
      <c r="I269" s="3" t="s">
        <v>825</v>
      </c>
      <c r="K269" s="3"/>
      <c r="L269" s="1" t="s">
        <v>132</v>
      </c>
      <c r="O269" s="3" t="s">
        <v>184</v>
      </c>
      <c r="Q269" s="3"/>
      <c r="R269" s="3"/>
      <c r="T269" s="3"/>
      <c r="U269" s="5"/>
      <c r="W269" s="3"/>
      <c r="Z269" s="3"/>
      <c r="AA269" s="3"/>
      <c r="AC269" s="3"/>
      <c r="AD269" s="3"/>
      <c r="AF269" s="3"/>
      <c r="AG269" s="3" t="s">
        <v>322</v>
      </c>
      <c r="AI269" s="3"/>
      <c r="AJ269" s="1">
        <v>46077</v>
      </c>
      <c r="AL269" s="3"/>
      <c r="AM269" s="1">
        <v>10</v>
      </c>
      <c r="AO269" s="3"/>
      <c r="AP269" s="3" t="s">
        <v>981</v>
      </c>
      <c r="AR269" s="3"/>
      <c r="AS269" s="3" t="s">
        <v>982</v>
      </c>
      <c r="AU269" s="3"/>
      <c r="AV269" s="3"/>
      <c r="AX269" s="3"/>
      <c r="AY269" s="5"/>
      <c r="BA269" s="3"/>
      <c r="BD269" s="3"/>
      <c r="BE269" s="3"/>
      <c r="BG269" s="3"/>
      <c r="BH269" s="3"/>
      <c r="BJ269" s="3"/>
      <c r="BK269" s="3"/>
      <c r="BM269" s="3"/>
      <c r="BN269" s="5"/>
      <c r="BP269" s="3"/>
      <c r="BS269" s="3"/>
      <c r="BT269" s="3"/>
      <c r="BV269" s="3"/>
      <c r="BW269" s="3"/>
      <c r="BY269" s="3"/>
      <c r="BZ269" s="3"/>
      <c r="CB269" s="3"/>
      <c r="CC269" s="5"/>
      <c r="CE269" s="3"/>
      <c r="CH269" s="3"/>
      <c r="CI269" s="3"/>
      <c r="CK269" s="3"/>
      <c r="CL269" s="3"/>
      <c r="CN269" s="3"/>
      <c r="CO269" s="3"/>
      <c r="CQ269" s="3"/>
      <c r="CR269" s="5"/>
      <c r="CT269" s="3"/>
      <c r="CW269" s="3"/>
      <c r="CX269" s="3"/>
      <c r="CZ269" s="3"/>
      <c r="DA269" s="3"/>
      <c r="DC269" s="3"/>
      <c r="DD269" s="3"/>
      <c r="DF269" s="3"/>
      <c r="DG269" s="5"/>
      <c r="DI269" s="3"/>
      <c r="DL269" s="3"/>
      <c r="DM269" s="3"/>
      <c r="DO269" s="3"/>
      <c r="DP269" s="3"/>
      <c r="DR269" s="3"/>
      <c r="DS269" s="1" t="str">
        <f>_xlfn.XLOOKUP(OfficeForms.Table[[#This Row],[Selecione a Categoria do Laboratório desta atividade prática:]],Planilha1!A:A,Planilha1!B:B)</f>
        <v>EMF-ISN</v>
      </c>
      <c r="DT269" s="1" t="str">
        <f>CONCATENATE(OfficeForms.Table[[#This Row],[Selecione seu Polo Laboratório de Atividades Presenciais:]],OfficeForms.Table[[#This Row],[CHAVE CONVERSÃO]])</f>
        <v>Manaus/AM - Cidade NovaEMF-ISN</v>
      </c>
      <c r="DU26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26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26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269" s="1" t="str">
        <f>_xlfn.XLOOKUP(OfficeForms.Table[[#This Row],[CHAVE LINK POLO]],'[1]Quadro Geral de Lotação'!$B:$B,'[1]Quadro Geral de Lotação'!$I:$I)</f>
        <v>Suzanne Taina Matos De Lima</v>
      </c>
      <c r="DY269" s="1" t="str">
        <f>OfficeForms.Table[[#This Row],[Selecione a Ordem de Disciplina]]</f>
        <v>Ordem 1</v>
      </c>
    </row>
    <row r="270" spans="1:129" ht="34.15" customHeight="1">
      <c r="A270" s="1">
        <v>270</v>
      </c>
      <c r="B270" s="2">
        <v>46096.902199074102</v>
      </c>
      <c r="C270" s="2">
        <v>46096.906805555598</v>
      </c>
      <c r="D270" s="3" t="s">
        <v>977</v>
      </c>
      <c r="E270" s="3" t="s">
        <v>978</v>
      </c>
      <c r="G270" s="3"/>
      <c r="I270" s="3" t="s">
        <v>825</v>
      </c>
      <c r="K270" s="3"/>
      <c r="L270" s="1" t="s">
        <v>132</v>
      </c>
      <c r="O270" s="3" t="s">
        <v>184</v>
      </c>
      <c r="Q270" s="3"/>
      <c r="R270" s="3"/>
      <c r="T270" s="3"/>
      <c r="U270" s="5"/>
      <c r="W270" s="3"/>
      <c r="Z270" s="3"/>
      <c r="AA270" s="3"/>
      <c r="AC270" s="3"/>
      <c r="AD270" s="3"/>
      <c r="AF270" s="3"/>
      <c r="AG270" s="3" t="s">
        <v>194</v>
      </c>
      <c r="AI270" s="3"/>
      <c r="AJ270" s="1">
        <v>46091</v>
      </c>
      <c r="AL270" s="3"/>
      <c r="AM270" s="1">
        <v>9</v>
      </c>
      <c r="AO270" s="3"/>
      <c r="AP270" s="3" t="s">
        <v>983</v>
      </c>
      <c r="AR270" s="3"/>
      <c r="AS270" s="3" t="s">
        <v>984</v>
      </c>
      <c r="AU270" s="3"/>
      <c r="AV270" s="3"/>
      <c r="AX270" s="3"/>
      <c r="AY270" s="5"/>
      <c r="BA270" s="3"/>
      <c r="BD270" s="3"/>
      <c r="BE270" s="3"/>
      <c r="BG270" s="3"/>
      <c r="BH270" s="3"/>
      <c r="BJ270" s="3"/>
      <c r="BK270" s="3"/>
      <c r="BM270" s="3"/>
      <c r="BN270" s="5"/>
      <c r="BP270" s="3"/>
      <c r="BS270" s="3"/>
      <c r="BT270" s="3"/>
      <c r="BV270" s="3"/>
      <c r="BW270" s="3"/>
      <c r="BY270" s="3"/>
      <c r="BZ270" s="3"/>
      <c r="CB270" s="3"/>
      <c r="CC270" s="5"/>
      <c r="CE270" s="3"/>
      <c r="CH270" s="3"/>
      <c r="CI270" s="3"/>
      <c r="CK270" s="3"/>
      <c r="CL270" s="3"/>
      <c r="CN270" s="3"/>
      <c r="CO270" s="3"/>
      <c r="CQ270" s="3"/>
      <c r="CR270" s="5"/>
      <c r="CT270" s="3"/>
      <c r="CW270" s="3"/>
      <c r="CX270" s="3"/>
      <c r="CZ270" s="3"/>
      <c r="DA270" s="3"/>
      <c r="DC270" s="3"/>
      <c r="DD270" s="3"/>
      <c r="DF270" s="3"/>
      <c r="DG270" s="5"/>
      <c r="DI270" s="3"/>
      <c r="DL270" s="3"/>
      <c r="DM270" s="3"/>
      <c r="DO270" s="3"/>
      <c r="DP270" s="3"/>
      <c r="DR270" s="3"/>
      <c r="DS270" s="1" t="str">
        <f>_xlfn.XLOOKUP(OfficeForms.Table[[#This Row],[Selecione a Categoria do Laboratório desta atividade prática:]],Planilha1!A:A,Planilha1!B:B)</f>
        <v>EMF-ISN</v>
      </c>
      <c r="DT270" s="1" t="str">
        <f>CONCATENATE(OfficeForms.Table[[#This Row],[Selecione seu Polo Laboratório de Atividades Presenciais:]],OfficeForms.Table[[#This Row],[CHAVE CONVERSÃO]])</f>
        <v>Manaus/AM - Cidade NovaEMF-ISN</v>
      </c>
      <c r="DU27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27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27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270" s="1" t="str">
        <f>_xlfn.XLOOKUP(OfficeForms.Table[[#This Row],[CHAVE LINK POLO]],'[1]Quadro Geral de Lotação'!$B:$B,'[1]Quadro Geral de Lotação'!$I:$I)</f>
        <v>Suzanne Taina Matos De Lima</v>
      </c>
      <c r="DY270" s="1" t="str">
        <f>OfficeForms.Table[[#This Row],[Selecione a Ordem de Disciplina]]</f>
        <v>Ordem 1</v>
      </c>
    </row>
    <row r="271" spans="1:129" ht="34.15" customHeight="1">
      <c r="A271" s="1">
        <v>271</v>
      </c>
      <c r="B271" s="2">
        <v>46096.941203703696</v>
      </c>
      <c r="C271" s="2">
        <v>46096.975717592599</v>
      </c>
      <c r="D271" s="3" t="s">
        <v>593</v>
      </c>
      <c r="E271" s="3" t="s">
        <v>594</v>
      </c>
      <c r="G271" s="3"/>
      <c r="I271" s="3" t="s">
        <v>595</v>
      </c>
      <c r="K271" s="3"/>
      <c r="L271" s="1" t="s">
        <v>132</v>
      </c>
      <c r="O271" s="3" t="s">
        <v>184</v>
      </c>
      <c r="Q271" s="3"/>
      <c r="R271" s="3"/>
      <c r="T271" s="3"/>
      <c r="U271" s="5"/>
      <c r="W271" s="3"/>
      <c r="Z271" s="3"/>
      <c r="AA271" s="3"/>
      <c r="AC271" s="3"/>
      <c r="AD271" s="3"/>
      <c r="AF271" s="3"/>
      <c r="AG271" s="3" t="s">
        <v>185</v>
      </c>
      <c r="AI271" s="3"/>
      <c r="AJ271" s="1">
        <v>46077</v>
      </c>
      <c r="AL271" s="3"/>
      <c r="AM271" s="1">
        <v>10</v>
      </c>
      <c r="AO271" s="3"/>
      <c r="AP271" s="3" t="s">
        <v>985</v>
      </c>
      <c r="AR271" s="3"/>
      <c r="AS271" s="3" t="s">
        <v>986</v>
      </c>
      <c r="AU271" s="3"/>
      <c r="AV271" s="3"/>
      <c r="AX271" s="3"/>
      <c r="AY271" s="5"/>
      <c r="BA271" s="3"/>
      <c r="BD271" s="3"/>
      <c r="BE271" s="3"/>
      <c r="BG271" s="3"/>
      <c r="BH271" s="3"/>
      <c r="BJ271" s="3"/>
      <c r="BK271" s="3"/>
      <c r="BM271" s="3"/>
      <c r="BN271" s="5"/>
      <c r="BP271" s="3"/>
      <c r="BS271" s="3"/>
      <c r="BT271" s="3"/>
      <c r="BV271" s="3"/>
      <c r="BW271" s="3"/>
      <c r="BY271" s="3"/>
      <c r="BZ271" s="3"/>
      <c r="CB271" s="3"/>
      <c r="CC271" s="5"/>
      <c r="CE271" s="3"/>
      <c r="CH271" s="3"/>
      <c r="CI271" s="3"/>
      <c r="CK271" s="3"/>
      <c r="CL271" s="3"/>
      <c r="CN271" s="3"/>
      <c r="CO271" s="3"/>
      <c r="CQ271" s="3"/>
      <c r="CR271" s="5"/>
      <c r="CT271" s="3"/>
      <c r="CW271" s="3"/>
      <c r="CX271" s="3"/>
      <c r="CZ271" s="3"/>
      <c r="DA271" s="3"/>
      <c r="DC271" s="3"/>
      <c r="DD271" s="3"/>
      <c r="DF271" s="3"/>
      <c r="DG271" s="5"/>
      <c r="DI271" s="3"/>
      <c r="DL271" s="3"/>
      <c r="DM271" s="3"/>
      <c r="DO271" s="3"/>
      <c r="DP271" s="3"/>
      <c r="DR271" s="3"/>
      <c r="DS271" s="1" t="str">
        <f>_xlfn.XLOOKUP(OfficeForms.Table[[#This Row],[Selecione a Categoria do Laboratório desta atividade prática:]],Planilha1!A:A,Planilha1!B:B)</f>
        <v>EMF-ISN</v>
      </c>
      <c r="DT271" s="1" t="str">
        <f>CONCATENATE(OfficeForms.Table[[#This Row],[Selecione seu Polo Laboratório de Atividades Presenciais:]],OfficeForms.Table[[#This Row],[CHAVE CONVERSÃO]])</f>
        <v>Canoas/RS - CentroEMF-ISN</v>
      </c>
      <c r="DU27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27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27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271" s="1" t="str">
        <f>_xlfn.XLOOKUP(OfficeForms.Table[[#This Row],[CHAVE LINK POLO]],'[1]Quadro Geral de Lotação'!$B:$B,'[1]Quadro Geral de Lotação'!$I:$I)</f>
        <v>Mariana Kallenbach Oliveira</v>
      </c>
      <c r="DY271" s="1" t="str">
        <f>OfficeForms.Table[[#This Row],[Selecione a Ordem de Disciplina]]</f>
        <v>Ordem 1</v>
      </c>
    </row>
    <row r="272" spans="1:129" ht="34.15" customHeight="1">
      <c r="A272" s="1">
        <v>272</v>
      </c>
      <c r="B272" s="2">
        <v>46096.978599536997</v>
      </c>
      <c r="C272" s="2">
        <v>46096.982245370396</v>
      </c>
      <c r="D272" s="3" t="s">
        <v>593</v>
      </c>
      <c r="E272" s="3" t="s">
        <v>594</v>
      </c>
      <c r="G272" s="3"/>
      <c r="I272" s="3" t="s">
        <v>595</v>
      </c>
      <c r="K272" s="3"/>
      <c r="L272" s="1" t="s">
        <v>132</v>
      </c>
      <c r="O272" s="3" t="s">
        <v>184</v>
      </c>
      <c r="Q272" s="3"/>
      <c r="R272" s="3"/>
      <c r="T272" s="3"/>
      <c r="U272" s="5"/>
      <c r="W272" s="3"/>
      <c r="Z272" s="3"/>
      <c r="AA272" s="3"/>
      <c r="AC272" s="3"/>
      <c r="AD272" s="3"/>
      <c r="AF272" s="3"/>
      <c r="AG272" s="3" t="s">
        <v>316</v>
      </c>
      <c r="AI272" s="3"/>
      <c r="AJ272" s="1">
        <v>46079</v>
      </c>
      <c r="AL272" s="3"/>
      <c r="AM272" s="1">
        <v>8</v>
      </c>
      <c r="AO272" s="3"/>
      <c r="AP272" s="3" t="s">
        <v>987</v>
      </c>
      <c r="AR272" s="3"/>
      <c r="AS272" s="3" t="s">
        <v>988</v>
      </c>
      <c r="AU272" s="3"/>
      <c r="AV272" s="3"/>
      <c r="AX272" s="3"/>
      <c r="AY272" s="5"/>
      <c r="BA272" s="3"/>
      <c r="BD272" s="3"/>
      <c r="BE272" s="3"/>
      <c r="BG272" s="3"/>
      <c r="BH272" s="3"/>
      <c r="BJ272" s="3"/>
      <c r="BK272" s="3"/>
      <c r="BM272" s="3"/>
      <c r="BN272" s="5"/>
      <c r="BP272" s="3"/>
      <c r="BS272" s="3"/>
      <c r="BT272" s="3"/>
      <c r="BV272" s="3"/>
      <c r="BW272" s="3"/>
      <c r="BY272" s="3"/>
      <c r="BZ272" s="3"/>
      <c r="CB272" s="3"/>
      <c r="CC272" s="5"/>
      <c r="CE272" s="3"/>
      <c r="CH272" s="3"/>
      <c r="CI272" s="3"/>
      <c r="CK272" s="3"/>
      <c r="CL272" s="3"/>
      <c r="CN272" s="3"/>
      <c r="CO272" s="3"/>
      <c r="CQ272" s="3"/>
      <c r="CR272" s="5"/>
      <c r="CT272" s="3"/>
      <c r="CW272" s="3"/>
      <c r="CX272" s="3"/>
      <c r="CZ272" s="3"/>
      <c r="DA272" s="3"/>
      <c r="DC272" s="3"/>
      <c r="DD272" s="3"/>
      <c r="DF272" s="3"/>
      <c r="DG272" s="5"/>
      <c r="DI272" s="3"/>
      <c r="DL272" s="3"/>
      <c r="DM272" s="3"/>
      <c r="DO272" s="3"/>
      <c r="DP272" s="3"/>
      <c r="DR272" s="3"/>
      <c r="DS272" s="1" t="str">
        <f>_xlfn.XLOOKUP(OfficeForms.Table[[#This Row],[Selecione a Categoria do Laboratório desta atividade prática:]],Planilha1!A:A,Planilha1!B:B)</f>
        <v>EMF-ISN</v>
      </c>
      <c r="DT272" s="1" t="str">
        <f>CONCATENATE(OfficeForms.Table[[#This Row],[Selecione seu Polo Laboratório de Atividades Presenciais:]],OfficeForms.Table[[#This Row],[CHAVE CONVERSÃO]])</f>
        <v>Canoas/RS - CentroEMF-ISN</v>
      </c>
      <c r="DU27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27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27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272" s="1" t="str">
        <f>_xlfn.XLOOKUP(OfficeForms.Table[[#This Row],[CHAVE LINK POLO]],'[1]Quadro Geral de Lotação'!$B:$B,'[1]Quadro Geral de Lotação'!$I:$I)</f>
        <v>Mariana Kallenbach Oliveira</v>
      </c>
      <c r="DY272" s="1" t="str">
        <f>OfficeForms.Table[[#This Row],[Selecione a Ordem de Disciplina]]</f>
        <v>Ordem 1</v>
      </c>
    </row>
    <row r="273" spans="1:129" ht="34.15" customHeight="1">
      <c r="A273" s="1">
        <v>273</v>
      </c>
      <c r="B273" s="2">
        <v>46096.982881944401</v>
      </c>
      <c r="C273" s="2">
        <v>46096.986840277801</v>
      </c>
      <c r="D273" s="3" t="s">
        <v>593</v>
      </c>
      <c r="E273" s="3" t="s">
        <v>594</v>
      </c>
      <c r="G273" s="3"/>
      <c r="I273" s="3" t="s">
        <v>595</v>
      </c>
      <c r="K273" s="3"/>
      <c r="L273" s="1" t="s">
        <v>132</v>
      </c>
      <c r="O273" s="3" t="s">
        <v>184</v>
      </c>
      <c r="Q273" s="3"/>
      <c r="R273" s="3"/>
      <c r="T273" s="3"/>
      <c r="U273" s="5"/>
      <c r="W273" s="3"/>
      <c r="Z273" s="3"/>
      <c r="AA273" s="3"/>
      <c r="AC273" s="3"/>
      <c r="AD273" s="3"/>
      <c r="AF273" s="3"/>
      <c r="AG273" s="3" t="s">
        <v>414</v>
      </c>
      <c r="AI273" s="3"/>
      <c r="AJ273" s="1">
        <v>46084</v>
      </c>
      <c r="AL273" s="3"/>
      <c r="AM273" s="1">
        <v>9</v>
      </c>
      <c r="AO273" s="3"/>
      <c r="AP273" s="3" t="s">
        <v>989</v>
      </c>
      <c r="AR273" s="3"/>
      <c r="AS273" s="3" t="s">
        <v>990</v>
      </c>
      <c r="AU273" s="3"/>
      <c r="AV273" s="3"/>
      <c r="AX273" s="3"/>
      <c r="AY273" s="5"/>
      <c r="BA273" s="3"/>
      <c r="BD273" s="3"/>
      <c r="BE273" s="3"/>
      <c r="BG273" s="3"/>
      <c r="BH273" s="3"/>
      <c r="BJ273" s="3"/>
      <c r="BK273" s="3"/>
      <c r="BM273" s="3"/>
      <c r="BN273" s="5"/>
      <c r="BP273" s="3"/>
      <c r="BS273" s="3"/>
      <c r="BT273" s="3"/>
      <c r="BV273" s="3"/>
      <c r="BW273" s="3"/>
      <c r="BY273" s="3"/>
      <c r="BZ273" s="3"/>
      <c r="CB273" s="3"/>
      <c r="CC273" s="5"/>
      <c r="CE273" s="3"/>
      <c r="CH273" s="3"/>
      <c r="CI273" s="3"/>
      <c r="CK273" s="3"/>
      <c r="CL273" s="3"/>
      <c r="CN273" s="3"/>
      <c r="CO273" s="3"/>
      <c r="CQ273" s="3"/>
      <c r="CR273" s="5"/>
      <c r="CT273" s="3"/>
      <c r="CW273" s="3"/>
      <c r="CX273" s="3"/>
      <c r="CZ273" s="3"/>
      <c r="DA273" s="3"/>
      <c r="DC273" s="3"/>
      <c r="DD273" s="3"/>
      <c r="DF273" s="3"/>
      <c r="DG273" s="5"/>
      <c r="DI273" s="3"/>
      <c r="DL273" s="3"/>
      <c r="DM273" s="3"/>
      <c r="DO273" s="3"/>
      <c r="DP273" s="3"/>
      <c r="DR273" s="3"/>
      <c r="DS273" s="1" t="str">
        <f>_xlfn.XLOOKUP(OfficeForms.Table[[#This Row],[Selecione a Categoria do Laboratório desta atividade prática:]],Planilha1!A:A,Planilha1!B:B)</f>
        <v>EMF-ISN</v>
      </c>
      <c r="DT273" s="1" t="str">
        <f>CONCATENATE(OfficeForms.Table[[#This Row],[Selecione seu Polo Laboratório de Atividades Presenciais:]],OfficeForms.Table[[#This Row],[CHAVE CONVERSÃO]])</f>
        <v>Canoas/RS - CentroEMF-ISN</v>
      </c>
      <c r="DU27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27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27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273" s="1" t="str">
        <f>_xlfn.XLOOKUP(OfficeForms.Table[[#This Row],[CHAVE LINK POLO]],'[1]Quadro Geral de Lotação'!$B:$B,'[1]Quadro Geral de Lotação'!$I:$I)</f>
        <v>Mariana Kallenbach Oliveira</v>
      </c>
      <c r="DY273" s="1" t="str">
        <f>OfficeForms.Table[[#This Row],[Selecione a Ordem de Disciplina]]</f>
        <v>Ordem 1</v>
      </c>
    </row>
    <row r="274" spans="1:129" ht="34.15" customHeight="1">
      <c r="A274" s="1">
        <v>274</v>
      </c>
      <c r="B274" s="2">
        <v>46096.987222222197</v>
      </c>
      <c r="C274" s="2">
        <v>46096.991145833301</v>
      </c>
      <c r="D274" s="3" t="s">
        <v>751</v>
      </c>
      <c r="E274" s="3" t="s">
        <v>752</v>
      </c>
      <c r="G274" s="3"/>
      <c r="I274" s="3" t="s">
        <v>753</v>
      </c>
      <c r="K274" s="3"/>
      <c r="L274" s="1" t="s">
        <v>132</v>
      </c>
      <c r="O274" s="3" t="s">
        <v>184</v>
      </c>
      <c r="Q274" s="3"/>
      <c r="R274" s="3"/>
      <c r="T274" s="3"/>
      <c r="U274" s="5"/>
      <c r="W274" s="3"/>
      <c r="Z274" s="3"/>
      <c r="AA274" s="3"/>
      <c r="AC274" s="3"/>
      <c r="AD274" s="3"/>
      <c r="AF274" s="3"/>
      <c r="AG274" s="3" t="s">
        <v>414</v>
      </c>
      <c r="AI274" s="3"/>
      <c r="AJ274" s="1">
        <v>46094</v>
      </c>
      <c r="AL274" s="3"/>
      <c r="AM274" s="1">
        <v>1</v>
      </c>
      <c r="AO274" s="3"/>
      <c r="AP274" s="3" t="s">
        <v>991</v>
      </c>
      <c r="AR274" s="3"/>
      <c r="AS274" s="3" t="s">
        <v>992</v>
      </c>
      <c r="AU274" s="3"/>
      <c r="AV274" s="3"/>
      <c r="AX274" s="3"/>
      <c r="AY274" s="5"/>
      <c r="BA274" s="3"/>
      <c r="BD274" s="3"/>
      <c r="BE274" s="3"/>
      <c r="BG274" s="3"/>
      <c r="BH274" s="3"/>
      <c r="BJ274" s="3"/>
      <c r="BK274" s="3"/>
      <c r="BM274" s="3"/>
      <c r="BN274" s="5"/>
      <c r="BP274" s="3"/>
      <c r="BS274" s="3"/>
      <c r="BT274" s="3"/>
      <c r="BV274" s="3"/>
      <c r="BW274" s="3"/>
      <c r="BY274" s="3"/>
      <c r="BZ274" s="3"/>
      <c r="CB274" s="3"/>
      <c r="CC274" s="5"/>
      <c r="CE274" s="3"/>
      <c r="CH274" s="3"/>
      <c r="CI274" s="3"/>
      <c r="CK274" s="3"/>
      <c r="CL274" s="3"/>
      <c r="CN274" s="3"/>
      <c r="CO274" s="3"/>
      <c r="CQ274" s="3"/>
      <c r="CR274" s="5"/>
      <c r="CT274" s="3"/>
      <c r="CW274" s="3"/>
      <c r="CX274" s="3"/>
      <c r="CZ274" s="3"/>
      <c r="DA274" s="3"/>
      <c r="DC274" s="3"/>
      <c r="DD274" s="3"/>
      <c r="DF274" s="3"/>
      <c r="DG274" s="5"/>
      <c r="DI274" s="3"/>
      <c r="DL274" s="3"/>
      <c r="DM274" s="3"/>
      <c r="DO274" s="3"/>
      <c r="DP274" s="3"/>
      <c r="DR274" s="3"/>
      <c r="DS274" s="1" t="str">
        <f>_xlfn.XLOOKUP(OfficeForms.Table[[#This Row],[Selecione a Categoria do Laboratório desta atividade prática:]],Planilha1!A:A,Planilha1!B:B)</f>
        <v>EMF-ISN</v>
      </c>
      <c r="DT274" s="1" t="str">
        <f>CONCATENATE(OfficeForms.Table[[#This Row],[Selecione seu Polo Laboratório de Atividades Presenciais:]],OfficeForms.Table[[#This Row],[CHAVE CONVERSÃO]])</f>
        <v>São Paulo/SP - TatuapéEMF-ISN</v>
      </c>
      <c r="DU27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27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27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74" s="1" t="str">
        <f>_xlfn.XLOOKUP(OfficeForms.Table[[#This Row],[CHAVE LINK POLO]],'[1]Quadro Geral de Lotação'!$B:$B,'[1]Quadro Geral de Lotação'!$I:$I)</f>
        <v>Luiz Dias Da Silva</v>
      </c>
      <c r="DY274" s="1" t="str">
        <f>OfficeForms.Table[[#This Row],[Selecione a Ordem de Disciplina]]</f>
        <v>Ordem 1</v>
      </c>
    </row>
    <row r="275" spans="1:129" ht="34.15" customHeight="1">
      <c r="A275" s="1">
        <v>275</v>
      </c>
      <c r="B275" s="2">
        <v>46096.993067129602</v>
      </c>
      <c r="C275" s="2">
        <v>46096.997384259303</v>
      </c>
      <c r="D275" s="3" t="s">
        <v>344</v>
      </c>
      <c r="E275" s="3" t="s">
        <v>345</v>
      </c>
      <c r="G275" s="3"/>
      <c r="I275" s="3" t="s">
        <v>346</v>
      </c>
      <c r="K275" s="3"/>
      <c r="L275" s="1" t="s">
        <v>132</v>
      </c>
      <c r="O275" s="3" t="s">
        <v>133</v>
      </c>
      <c r="Q275" s="3"/>
      <c r="R275" s="3"/>
      <c r="T275" s="3"/>
      <c r="U275" s="5"/>
      <c r="W275" s="3"/>
      <c r="Z275" s="3"/>
      <c r="AA275" s="3"/>
      <c r="AC275" s="3"/>
      <c r="AD275" s="3"/>
      <c r="AF275" s="3"/>
      <c r="AG275" s="3"/>
      <c r="AI275" s="3"/>
      <c r="AJ275" s="1"/>
      <c r="AL275" s="3"/>
      <c r="AO275" s="3"/>
      <c r="AP275" s="3"/>
      <c r="AR275" s="3"/>
      <c r="AS275" s="3"/>
      <c r="AU275" s="3"/>
      <c r="AV275" s="3" t="s">
        <v>993</v>
      </c>
      <c r="AX275" s="3"/>
      <c r="AY275" s="5">
        <v>46083</v>
      </c>
      <c r="BA275" s="3"/>
      <c r="BB275" s="1">
        <v>0</v>
      </c>
      <c r="BD275" s="3"/>
      <c r="BE275" s="3" t="s">
        <v>994</v>
      </c>
      <c r="BG275" s="3"/>
      <c r="BH275" s="3" t="s">
        <v>995</v>
      </c>
      <c r="BJ275" s="3"/>
      <c r="BK275" s="3"/>
      <c r="BM275" s="3"/>
      <c r="BN275" s="5"/>
      <c r="BP275" s="3"/>
      <c r="BS275" s="3"/>
      <c r="BT275" s="3"/>
      <c r="BV275" s="3"/>
      <c r="BW275" s="3"/>
      <c r="BY275" s="3"/>
      <c r="BZ275" s="3"/>
      <c r="CB275" s="3"/>
      <c r="CC275" s="5"/>
      <c r="CE275" s="3"/>
      <c r="CH275" s="3"/>
      <c r="CI275" s="3"/>
      <c r="CK275" s="3"/>
      <c r="CL275" s="3"/>
      <c r="CN275" s="3"/>
      <c r="CO275" s="3"/>
      <c r="CQ275" s="3"/>
      <c r="CR275" s="5"/>
      <c r="CT275" s="3"/>
      <c r="CW275" s="3"/>
      <c r="CX275" s="3"/>
      <c r="CZ275" s="3"/>
      <c r="DA275" s="3"/>
      <c r="DC275" s="3"/>
      <c r="DD275" s="3"/>
      <c r="DF275" s="3"/>
      <c r="DG275" s="5"/>
      <c r="DI275" s="3"/>
      <c r="DL275" s="3"/>
      <c r="DM275" s="3"/>
      <c r="DO275" s="3"/>
      <c r="DP275" s="3"/>
      <c r="DR275" s="3"/>
      <c r="DS275" s="1" t="str">
        <f>_xlfn.XLOOKUP(OfficeForms.Table[[#This Row],[Selecione a Categoria do Laboratório desta atividade prática:]],Planilha1!A:A,Planilha1!B:B)</f>
        <v>BFI</v>
      </c>
      <c r="DT275" s="1" t="str">
        <f>CONCATENATE(OfficeForms.Table[[#This Row],[Selecione seu Polo Laboratório de Atividades Presenciais:]],OfficeForms.Table[[#This Row],[CHAVE CONVERSÃO]])</f>
        <v>Boa Viagem/CEBFI</v>
      </c>
      <c r="DU27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Inferiores : Prática em Fisioterapia Traumato-Ortopédica;Avaliação e Reabilitação Funcional dos Membros Superiores: Prática em Fisioterapia Traumato-Ortopédica</v>
      </c>
      <c r="DV27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46083</v>
      </c>
      <c r="DW27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75" s="1" t="str">
        <f>_xlfn.XLOOKUP(OfficeForms.Table[[#This Row],[CHAVE LINK POLO]],'[1]Quadro Geral de Lotação'!$B:$B,'[1]Quadro Geral de Lotação'!$I:$I)</f>
        <v>Airton Souza Farias</v>
      </c>
      <c r="DY275" s="1" t="str">
        <f>OfficeForms.Table[[#This Row],[Selecione a Ordem de Disciplina]]</f>
        <v>Ordem 1</v>
      </c>
    </row>
    <row r="276" spans="1:129" ht="34.15" customHeight="1">
      <c r="A276" s="1">
        <v>276</v>
      </c>
      <c r="B276" s="2">
        <v>46096.989907407398</v>
      </c>
      <c r="C276" s="2">
        <v>46097.018611111103</v>
      </c>
      <c r="D276" s="3" t="s">
        <v>593</v>
      </c>
      <c r="E276" s="3" t="s">
        <v>594</v>
      </c>
      <c r="G276" s="3"/>
      <c r="I276" s="3" t="s">
        <v>595</v>
      </c>
      <c r="K276" s="3"/>
      <c r="L276" s="1" t="s">
        <v>132</v>
      </c>
      <c r="O276" s="3" t="s">
        <v>184</v>
      </c>
      <c r="Q276" s="3"/>
      <c r="R276" s="3"/>
      <c r="T276" s="3"/>
      <c r="U276" s="5"/>
      <c r="W276" s="3"/>
      <c r="Z276" s="3"/>
      <c r="AA276" s="3"/>
      <c r="AC276" s="3"/>
      <c r="AD276" s="3"/>
      <c r="AF276" s="3"/>
      <c r="AG276" s="3" t="s">
        <v>194</v>
      </c>
      <c r="AI276" s="3"/>
      <c r="AJ276" s="1">
        <v>46086</v>
      </c>
      <c r="AL276" s="3"/>
      <c r="AM276" s="1">
        <v>9</v>
      </c>
      <c r="AO276" s="3"/>
      <c r="AP276" s="3" t="s">
        <v>996</v>
      </c>
      <c r="AR276" s="3"/>
      <c r="AS276" s="3" t="s">
        <v>997</v>
      </c>
      <c r="AU276" s="3"/>
      <c r="AV276" s="3"/>
      <c r="AX276" s="3"/>
      <c r="AY276" s="5"/>
      <c r="BA276" s="3"/>
      <c r="BD276" s="3"/>
      <c r="BE276" s="3"/>
      <c r="BG276" s="3"/>
      <c r="BH276" s="3"/>
      <c r="BJ276" s="3"/>
      <c r="BK276" s="3"/>
      <c r="BM276" s="3"/>
      <c r="BN276" s="5"/>
      <c r="BP276" s="3"/>
      <c r="BS276" s="3"/>
      <c r="BT276" s="3"/>
      <c r="BV276" s="3"/>
      <c r="BW276" s="3"/>
      <c r="BY276" s="3"/>
      <c r="BZ276" s="3"/>
      <c r="CB276" s="3"/>
      <c r="CC276" s="5"/>
      <c r="CE276" s="3"/>
      <c r="CH276" s="3"/>
      <c r="CI276" s="3"/>
      <c r="CK276" s="3"/>
      <c r="CL276" s="3"/>
      <c r="CN276" s="3"/>
      <c r="CO276" s="3"/>
      <c r="CQ276" s="3"/>
      <c r="CR276" s="5"/>
      <c r="CT276" s="3"/>
      <c r="CW276" s="3"/>
      <c r="CX276" s="3"/>
      <c r="CZ276" s="3"/>
      <c r="DA276" s="3"/>
      <c r="DC276" s="3"/>
      <c r="DD276" s="3"/>
      <c r="DF276" s="3"/>
      <c r="DG276" s="5"/>
      <c r="DI276" s="3"/>
      <c r="DL276" s="3"/>
      <c r="DM276" s="3"/>
      <c r="DO276" s="3"/>
      <c r="DP276" s="3"/>
      <c r="DR276" s="3"/>
      <c r="DS276" s="1" t="str">
        <f>_xlfn.XLOOKUP(OfficeForms.Table[[#This Row],[Selecione a Categoria do Laboratório desta atividade prática:]],Planilha1!A:A,Planilha1!B:B)</f>
        <v>EMF-ISN</v>
      </c>
      <c r="DT276" s="1" t="str">
        <f>CONCATENATE(OfficeForms.Table[[#This Row],[Selecione seu Polo Laboratório de Atividades Presenciais:]],OfficeForms.Table[[#This Row],[CHAVE CONVERSÃO]])</f>
        <v>Canoas/RS - CentroEMF-ISN</v>
      </c>
      <c r="DU27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27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27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276" s="1" t="str">
        <f>_xlfn.XLOOKUP(OfficeForms.Table[[#This Row],[CHAVE LINK POLO]],'[1]Quadro Geral de Lotação'!$B:$B,'[1]Quadro Geral de Lotação'!$I:$I)</f>
        <v>Mariana Kallenbach Oliveira</v>
      </c>
      <c r="DY276" s="1" t="str">
        <f>OfficeForms.Table[[#This Row],[Selecione a Ordem de Disciplina]]</f>
        <v>Ordem 1</v>
      </c>
    </row>
    <row r="277" spans="1:129" ht="34.15" customHeight="1">
      <c r="A277" s="1">
        <v>277</v>
      </c>
      <c r="B277" s="2">
        <v>46097.464305555601</v>
      </c>
      <c r="C277" s="2">
        <v>46097.465243055602</v>
      </c>
      <c r="D277" s="3" t="s">
        <v>593</v>
      </c>
      <c r="E277" s="3" t="s">
        <v>594</v>
      </c>
      <c r="G277" s="3"/>
      <c r="I277" s="3" t="s">
        <v>595</v>
      </c>
      <c r="K277" s="3"/>
      <c r="L277" s="1" t="s">
        <v>132</v>
      </c>
      <c r="O277" s="3" t="s">
        <v>184</v>
      </c>
      <c r="Q277" s="3"/>
      <c r="R277" s="3"/>
      <c r="T277" s="3"/>
      <c r="U277" s="5"/>
      <c r="W277" s="3"/>
      <c r="Z277" s="3"/>
      <c r="AA277" s="3"/>
      <c r="AC277" s="3"/>
      <c r="AD277" s="3"/>
      <c r="AF277" s="3"/>
      <c r="AG277" s="3" t="s">
        <v>206</v>
      </c>
      <c r="AI277" s="3"/>
      <c r="AJ277" s="1">
        <v>46091</v>
      </c>
      <c r="AL277" s="3"/>
      <c r="AM277" s="1">
        <v>8</v>
      </c>
      <c r="AO277" s="3"/>
      <c r="AP277" s="3" t="s">
        <v>998</v>
      </c>
      <c r="AR277" s="3"/>
      <c r="AS277" s="3" t="s">
        <v>999</v>
      </c>
      <c r="AU277" s="3"/>
      <c r="AV277" s="3"/>
      <c r="AX277" s="3"/>
      <c r="AY277" s="5"/>
      <c r="BA277" s="3"/>
      <c r="BD277" s="3"/>
      <c r="BE277" s="3"/>
      <c r="BG277" s="3"/>
      <c r="BH277" s="3"/>
      <c r="BJ277" s="3"/>
      <c r="BK277" s="3"/>
      <c r="BM277" s="3"/>
      <c r="BN277" s="5"/>
      <c r="BP277" s="3"/>
      <c r="BS277" s="3"/>
      <c r="BT277" s="3"/>
      <c r="BV277" s="3"/>
      <c r="BW277" s="3"/>
      <c r="BY277" s="3"/>
      <c r="BZ277" s="3"/>
      <c r="CB277" s="3"/>
      <c r="CC277" s="5"/>
      <c r="CE277" s="3"/>
      <c r="CH277" s="3"/>
      <c r="CI277" s="3"/>
      <c r="CK277" s="3"/>
      <c r="CL277" s="3"/>
      <c r="CN277" s="3"/>
      <c r="CO277" s="3"/>
      <c r="CQ277" s="3"/>
      <c r="CR277" s="5"/>
      <c r="CT277" s="3"/>
      <c r="CW277" s="3"/>
      <c r="CX277" s="3"/>
      <c r="CZ277" s="3"/>
      <c r="DA277" s="3"/>
      <c r="DC277" s="3"/>
      <c r="DD277" s="3"/>
      <c r="DF277" s="3"/>
      <c r="DG277" s="5"/>
      <c r="DI277" s="3"/>
      <c r="DL277" s="3"/>
      <c r="DM277" s="3"/>
      <c r="DO277" s="3"/>
      <c r="DP277" s="3"/>
      <c r="DR277" s="3"/>
      <c r="DS277" s="1" t="str">
        <f>_xlfn.XLOOKUP(OfficeForms.Table[[#This Row],[Selecione a Categoria do Laboratório desta atividade prática:]],Planilha1!A:A,Planilha1!B:B)</f>
        <v>EMF-ISN</v>
      </c>
      <c r="DT277" s="1" t="str">
        <f>CONCATENATE(OfficeForms.Table[[#This Row],[Selecione seu Polo Laboratório de Atividades Presenciais:]],OfficeForms.Table[[#This Row],[CHAVE CONVERSÃO]])</f>
        <v>Canoas/RS - CentroEMF-ISN</v>
      </c>
      <c r="DU27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7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27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277" s="1" t="str">
        <f>_xlfn.XLOOKUP(OfficeForms.Table[[#This Row],[CHAVE LINK POLO]],'[1]Quadro Geral de Lotação'!$B:$B,'[1]Quadro Geral de Lotação'!$I:$I)</f>
        <v>Mariana Kallenbach Oliveira</v>
      </c>
      <c r="DY277" s="1" t="str">
        <f>OfficeForms.Table[[#This Row],[Selecione a Ordem de Disciplina]]</f>
        <v>Ordem 1</v>
      </c>
    </row>
    <row r="278" spans="1:129" ht="34.15" customHeight="1">
      <c r="A278" s="1">
        <v>278</v>
      </c>
      <c r="B278" s="2">
        <v>46097.472685185203</v>
      </c>
      <c r="C278" s="2">
        <v>46097.496631944399</v>
      </c>
      <c r="D278" s="3" t="s">
        <v>593</v>
      </c>
      <c r="E278" s="3" t="s">
        <v>594</v>
      </c>
      <c r="G278" s="3"/>
      <c r="I278" s="3" t="s">
        <v>595</v>
      </c>
      <c r="K278" s="3"/>
      <c r="L278" s="1" t="s">
        <v>132</v>
      </c>
      <c r="O278" s="3" t="s">
        <v>184</v>
      </c>
      <c r="Q278" s="3"/>
      <c r="R278" s="3"/>
      <c r="T278" s="3"/>
      <c r="U278" s="5"/>
      <c r="W278" s="3"/>
      <c r="Z278" s="3"/>
      <c r="AA278" s="3"/>
      <c r="AC278" s="3"/>
      <c r="AD278" s="3"/>
      <c r="AF278" s="3"/>
      <c r="AG278" s="3" t="s">
        <v>316</v>
      </c>
      <c r="AI278" s="3"/>
      <c r="AJ278" s="1">
        <v>46093</v>
      </c>
      <c r="AL278" s="3"/>
      <c r="AM278" s="1">
        <v>2</v>
      </c>
      <c r="AO278" s="3"/>
      <c r="AP278" s="3" t="s">
        <v>1000</v>
      </c>
      <c r="AR278" s="3"/>
      <c r="AS278" s="3" t="s">
        <v>1001</v>
      </c>
      <c r="AU278" s="3"/>
      <c r="AV278" s="3"/>
      <c r="AX278" s="3"/>
      <c r="AY278" s="5"/>
      <c r="BA278" s="3"/>
      <c r="BD278" s="3"/>
      <c r="BE278" s="3"/>
      <c r="BG278" s="3"/>
      <c r="BH278" s="3"/>
      <c r="BJ278" s="3"/>
      <c r="BK278" s="3"/>
      <c r="BM278" s="3"/>
      <c r="BN278" s="5"/>
      <c r="BP278" s="3"/>
      <c r="BS278" s="3"/>
      <c r="BT278" s="3"/>
      <c r="BV278" s="3"/>
      <c r="BW278" s="3"/>
      <c r="BY278" s="3"/>
      <c r="BZ278" s="3"/>
      <c r="CB278" s="3"/>
      <c r="CC278" s="5"/>
      <c r="CE278" s="3"/>
      <c r="CH278" s="3"/>
      <c r="CI278" s="3"/>
      <c r="CK278" s="3"/>
      <c r="CL278" s="3"/>
      <c r="CN278" s="3"/>
      <c r="CO278" s="3"/>
      <c r="CQ278" s="3"/>
      <c r="CR278" s="5"/>
      <c r="CT278" s="3"/>
      <c r="CW278" s="3"/>
      <c r="CX278" s="3"/>
      <c r="CZ278" s="3"/>
      <c r="DA278" s="3"/>
      <c r="DC278" s="3"/>
      <c r="DD278" s="3"/>
      <c r="DF278" s="3"/>
      <c r="DG278" s="5"/>
      <c r="DI278" s="3"/>
      <c r="DL278" s="3"/>
      <c r="DM278" s="3"/>
      <c r="DO278" s="3"/>
      <c r="DP278" s="3"/>
      <c r="DR278" s="3"/>
      <c r="DS278" s="1" t="str">
        <f>_xlfn.XLOOKUP(OfficeForms.Table[[#This Row],[Selecione a Categoria do Laboratório desta atividade prática:]],Planilha1!A:A,Planilha1!B:B)</f>
        <v>EMF-ISN</v>
      </c>
      <c r="DT278" s="1" t="str">
        <f>CONCATENATE(OfficeForms.Table[[#This Row],[Selecione seu Polo Laboratório de Atividades Presenciais:]],OfficeForms.Table[[#This Row],[CHAVE CONVERSÃO]])</f>
        <v>Canoas/RS - CentroEMF-ISN</v>
      </c>
      <c r="DU27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27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7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278" s="1" t="str">
        <f>_xlfn.XLOOKUP(OfficeForms.Table[[#This Row],[CHAVE LINK POLO]],'[1]Quadro Geral de Lotação'!$B:$B,'[1]Quadro Geral de Lotação'!$I:$I)</f>
        <v>Mariana Kallenbach Oliveira</v>
      </c>
      <c r="DY278" s="1" t="str">
        <f>OfficeForms.Table[[#This Row],[Selecione a Ordem de Disciplina]]</f>
        <v>Ordem 1</v>
      </c>
    </row>
    <row r="279" spans="1:129" ht="34.15" customHeight="1">
      <c r="A279" s="1">
        <v>279</v>
      </c>
      <c r="B279" s="2">
        <v>46097.550925925898</v>
      </c>
      <c r="C279" s="2">
        <v>46097.5524421296</v>
      </c>
      <c r="D279" s="3" t="s">
        <v>174</v>
      </c>
      <c r="E279" s="3" t="s">
        <v>175</v>
      </c>
      <c r="G279" s="3"/>
      <c r="I279" s="3" t="s">
        <v>176</v>
      </c>
      <c r="K279" s="3"/>
      <c r="L279" s="1" t="s">
        <v>132</v>
      </c>
      <c r="O279" s="3" t="s">
        <v>177</v>
      </c>
      <c r="Q279" s="3"/>
      <c r="R279" s="3"/>
      <c r="T279" s="3"/>
      <c r="U279" s="5"/>
      <c r="W279" s="3"/>
      <c r="Z279" s="3"/>
      <c r="AA279" s="3"/>
      <c r="AC279" s="3"/>
      <c r="AD279" s="3"/>
      <c r="AF279" s="3"/>
      <c r="AG279" s="3"/>
      <c r="AI279" s="3"/>
      <c r="AJ279" s="1"/>
      <c r="AL279" s="3"/>
      <c r="AO279" s="3"/>
      <c r="AP279" s="3"/>
      <c r="AR279" s="3"/>
      <c r="AS279" s="3"/>
      <c r="AU279" s="3"/>
      <c r="AV279" s="3"/>
      <c r="AX279" s="3"/>
      <c r="AY279" s="5"/>
      <c r="BA279" s="3"/>
      <c r="BD279" s="3"/>
      <c r="BE279" s="3"/>
      <c r="BG279" s="3"/>
      <c r="BH279" s="3"/>
      <c r="BJ279" s="3"/>
      <c r="BK279" s="3"/>
      <c r="BM279" s="3"/>
      <c r="BN279" s="5"/>
      <c r="BP279" s="3"/>
      <c r="BS279" s="3"/>
      <c r="BT279" s="3"/>
      <c r="BV279" s="3"/>
      <c r="BW279" s="3"/>
      <c r="BY279" s="3"/>
      <c r="BZ279" s="3"/>
      <c r="CB279" s="3"/>
      <c r="CC279" s="5"/>
      <c r="CE279" s="3"/>
      <c r="CH279" s="3"/>
      <c r="CI279" s="3"/>
      <c r="CK279" s="3"/>
      <c r="CL279" s="3"/>
      <c r="CN279" s="3"/>
      <c r="CO279" s="3"/>
      <c r="CQ279" s="3"/>
      <c r="CR279" s="5"/>
      <c r="CT279" s="3"/>
      <c r="CW279" s="3"/>
      <c r="CX279" s="3"/>
      <c r="CZ279" s="3"/>
      <c r="DA279" s="3"/>
      <c r="DC279" s="3"/>
      <c r="DD279" s="3" t="s">
        <v>1002</v>
      </c>
      <c r="DF279" s="3"/>
      <c r="DG279" s="5">
        <v>46093</v>
      </c>
      <c r="DI279" s="3"/>
      <c r="DJ279" s="1">
        <v>4</v>
      </c>
      <c r="DL279" s="3"/>
      <c r="DM279" s="3" t="s">
        <v>1003</v>
      </c>
      <c r="DO279" s="3"/>
      <c r="DP279" s="3" t="s">
        <v>1004</v>
      </c>
      <c r="DR279" s="3"/>
      <c r="DS279" s="1" t="str">
        <f>_xlfn.XLOOKUP(OfficeForms.Table[[#This Row],[Selecione a Categoria do Laboratório desta atividade prática:]],Planilha1!A:A,Planilha1!B:B)</f>
        <v>AGM</v>
      </c>
      <c r="DT279" s="1" t="str">
        <f>CONCATENATE(OfficeForms.Table[[#This Row],[Selecione seu Polo Laboratório de Atividades Presenciais:]],OfficeForms.Table[[#This Row],[CHAVE CONVERSÃO]])</f>
        <v>Catalão/GOAGM</v>
      </c>
      <c r="DU27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de Dados experimentais através de software estatístico</v>
      </c>
      <c r="DV27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27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279" s="1" t="str">
        <f>_xlfn.XLOOKUP(OfficeForms.Table[[#This Row],[CHAVE LINK POLO]],'[1]Quadro Geral de Lotação'!$B:$B,'[1]Quadro Geral de Lotação'!$I:$I)</f>
        <v>Marla Maria Ferreira De Souza</v>
      </c>
      <c r="DY279" s="1" t="str">
        <f>OfficeForms.Table[[#This Row],[Selecione a Ordem de Disciplina]]</f>
        <v>Ordem 1</v>
      </c>
    </row>
    <row r="280" spans="1:129" ht="34.15" customHeight="1">
      <c r="A280" s="1">
        <v>280</v>
      </c>
      <c r="B280" s="2">
        <v>46097.6035416667</v>
      </c>
      <c r="C280" s="2">
        <v>46097.606469907398</v>
      </c>
      <c r="D280" s="3" t="s">
        <v>557</v>
      </c>
      <c r="E280" s="3" t="s">
        <v>558</v>
      </c>
      <c r="G280" s="3"/>
      <c r="I280" s="3" t="s">
        <v>876</v>
      </c>
      <c r="K280" s="3"/>
      <c r="L280" s="1" t="s">
        <v>132</v>
      </c>
      <c r="O280" s="3" t="s">
        <v>184</v>
      </c>
      <c r="Q280" s="3"/>
      <c r="R280" s="3"/>
      <c r="T280" s="3"/>
      <c r="U280" s="5"/>
      <c r="W280" s="3"/>
      <c r="Z280" s="3"/>
      <c r="AA280" s="3"/>
      <c r="AC280" s="3"/>
      <c r="AD280" s="3"/>
      <c r="AF280" s="3"/>
      <c r="AG280" s="3" t="s">
        <v>211</v>
      </c>
      <c r="AI280" s="3"/>
      <c r="AJ280" s="1">
        <v>46070</v>
      </c>
      <c r="AL280" s="3"/>
      <c r="AM280" s="1">
        <v>1</v>
      </c>
      <c r="AO280" s="3"/>
      <c r="AP280" s="3" t="s">
        <v>1005</v>
      </c>
      <c r="AR280" s="3"/>
      <c r="AS280" s="3" t="s">
        <v>1006</v>
      </c>
      <c r="AU280" s="3"/>
      <c r="AV280" s="3"/>
      <c r="AX280" s="3"/>
      <c r="AY280" s="5"/>
      <c r="BA280" s="3"/>
      <c r="BD280" s="3"/>
      <c r="BE280" s="3"/>
      <c r="BG280" s="3"/>
      <c r="BH280" s="3"/>
      <c r="BJ280" s="3"/>
      <c r="BK280" s="3"/>
      <c r="BM280" s="3"/>
      <c r="BN280" s="5"/>
      <c r="BP280" s="3"/>
      <c r="BS280" s="3"/>
      <c r="BT280" s="3"/>
      <c r="BV280" s="3"/>
      <c r="BW280" s="3"/>
      <c r="BY280" s="3"/>
      <c r="BZ280" s="3"/>
      <c r="CB280" s="3"/>
      <c r="CC280" s="5"/>
      <c r="CE280" s="3"/>
      <c r="CH280" s="3"/>
      <c r="CI280" s="3"/>
      <c r="CK280" s="3"/>
      <c r="CL280" s="3"/>
      <c r="CN280" s="3"/>
      <c r="CO280" s="3"/>
      <c r="CQ280" s="3"/>
      <c r="CR280" s="5"/>
      <c r="CT280" s="3"/>
      <c r="CW280" s="3"/>
      <c r="CX280" s="3"/>
      <c r="CZ280" s="3"/>
      <c r="DA280" s="3"/>
      <c r="DC280" s="3"/>
      <c r="DD280" s="3"/>
      <c r="DF280" s="3"/>
      <c r="DG280" s="5"/>
      <c r="DI280" s="3"/>
      <c r="DL280" s="3"/>
      <c r="DM280" s="3"/>
      <c r="DO280" s="3"/>
      <c r="DP280" s="3"/>
      <c r="DR280" s="3"/>
      <c r="DS280" s="1" t="str">
        <f>_xlfn.XLOOKUP(OfficeForms.Table[[#This Row],[Selecione a Categoria do Laboratório desta atividade prática:]],Planilha1!A:A,Planilha1!B:B)</f>
        <v>EMF-ISN</v>
      </c>
      <c r="DT280" s="1" t="str">
        <f>CONCATENATE(OfficeForms.Table[[#This Row],[Selecione seu Polo Laboratório de Atividades Presenciais:]],OfficeForms.Table[[#This Row],[CHAVE CONVERSÃO]])</f>
        <v>Mamanguape/PBEMF-ISN</v>
      </c>
      <c r="DU28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28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46070</v>
      </c>
      <c r="DW28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80" s="1" t="str">
        <f>_xlfn.XLOOKUP(OfficeForms.Table[[#This Row],[CHAVE LINK POLO]],'[1]Quadro Geral de Lotação'!$B:$B,'[1]Quadro Geral de Lotação'!$I:$I)</f>
        <v>Sara Luana De Vasconcelos Gomes</v>
      </c>
      <c r="DY280" s="1" t="str">
        <f>OfficeForms.Table[[#This Row],[Selecione a Ordem de Disciplina]]</f>
        <v>Ordem 1</v>
      </c>
    </row>
    <row r="281" spans="1:129" ht="34.15" customHeight="1">
      <c r="A281" s="1">
        <v>281</v>
      </c>
      <c r="B281" s="2">
        <v>46097.606574074103</v>
      </c>
      <c r="C281" s="2">
        <v>46097.608321759297</v>
      </c>
      <c r="D281" s="3" t="s">
        <v>557</v>
      </c>
      <c r="E281" s="3" t="s">
        <v>558</v>
      </c>
      <c r="G281" s="3"/>
      <c r="I281" s="3" t="s">
        <v>876</v>
      </c>
      <c r="K281" s="3"/>
      <c r="L281" s="1" t="s">
        <v>132</v>
      </c>
      <c r="O281" s="3" t="s">
        <v>184</v>
      </c>
      <c r="Q281" s="3"/>
      <c r="R281" s="3"/>
      <c r="T281" s="3"/>
      <c r="U281" s="5"/>
      <c r="W281" s="3"/>
      <c r="Z281" s="3"/>
      <c r="AA281" s="3"/>
      <c r="AC281" s="3"/>
      <c r="AD281" s="3"/>
      <c r="AF281" s="3"/>
      <c r="AG281" s="3" t="s">
        <v>194</v>
      </c>
      <c r="AI281" s="3"/>
      <c r="AJ281" s="1">
        <v>46076</v>
      </c>
      <c r="AL281" s="3"/>
      <c r="AM281" s="1">
        <v>1</v>
      </c>
      <c r="AO281" s="3"/>
      <c r="AP281" s="3" t="s">
        <v>1007</v>
      </c>
      <c r="AR281" s="3"/>
      <c r="AS281" s="3" t="s">
        <v>1008</v>
      </c>
      <c r="AU281" s="3"/>
      <c r="AV281" s="3"/>
      <c r="AX281" s="3"/>
      <c r="AY281" s="5"/>
      <c r="BA281" s="3"/>
      <c r="BD281" s="3"/>
      <c r="BE281" s="3"/>
      <c r="BG281" s="3"/>
      <c r="BH281" s="3"/>
      <c r="BJ281" s="3"/>
      <c r="BK281" s="3"/>
      <c r="BM281" s="3"/>
      <c r="BN281" s="5"/>
      <c r="BP281" s="3"/>
      <c r="BS281" s="3"/>
      <c r="BT281" s="3"/>
      <c r="BV281" s="3"/>
      <c r="BW281" s="3"/>
      <c r="BY281" s="3"/>
      <c r="BZ281" s="3"/>
      <c r="CB281" s="3"/>
      <c r="CC281" s="5"/>
      <c r="CE281" s="3"/>
      <c r="CH281" s="3"/>
      <c r="CI281" s="3"/>
      <c r="CK281" s="3"/>
      <c r="CL281" s="3"/>
      <c r="CN281" s="3"/>
      <c r="CO281" s="3"/>
      <c r="CQ281" s="3"/>
      <c r="CR281" s="5"/>
      <c r="CT281" s="3"/>
      <c r="CW281" s="3"/>
      <c r="CX281" s="3"/>
      <c r="CZ281" s="3"/>
      <c r="DA281" s="3"/>
      <c r="DC281" s="3"/>
      <c r="DD281" s="3"/>
      <c r="DF281" s="3"/>
      <c r="DG281" s="5"/>
      <c r="DI281" s="3"/>
      <c r="DL281" s="3"/>
      <c r="DM281" s="3"/>
      <c r="DO281" s="3"/>
      <c r="DP281" s="3"/>
      <c r="DR281" s="3"/>
      <c r="DS281" s="1" t="str">
        <f>_xlfn.XLOOKUP(OfficeForms.Table[[#This Row],[Selecione a Categoria do Laboratório desta atividade prática:]],Planilha1!A:A,Planilha1!B:B)</f>
        <v>EMF-ISN</v>
      </c>
      <c r="DT281" s="1" t="str">
        <f>CONCATENATE(OfficeForms.Table[[#This Row],[Selecione seu Polo Laboratório de Atividades Presenciais:]],OfficeForms.Table[[#This Row],[CHAVE CONVERSÃO]])</f>
        <v>Mamanguape/PBEMF-ISN</v>
      </c>
      <c r="DU28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28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28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81" s="1" t="str">
        <f>_xlfn.XLOOKUP(OfficeForms.Table[[#This Row],[CHAVE LINK POLO]],'[1]Quadro Geral de Lotação'!$B:$B,'[1]Quadro Geral de Lotação'!$I:$I)</f>
        <v>Sara Luana De Vasconcelos Gomes</v>
      </c>
      <c r="DY281" s="1" t="str">
        <f>OfficeForms.Table[[#This Row],[Selecione a Ordem de Disciplina]]</f>
        <v>Ordem 1</v>
      </c>
    </row>
    <row r="282" spans="1:129" ht="34.15" customHeight="1">
      <c r="A282" s="1">
        <v>282</v>
      </c>
      <c r="B282" s="2">
        <v>46097.608425925901</v>
      </c>
      <c r="C282" s="2">
        <v>46097.609861111101</v>
      </c>
      <c r="D282" s="3" t="s">
        <v>557</v>
      </c>
      <c r="E282" s="3" t="s">
        <v>558</v>
      </c>
      <c r="G282" s="3"/>
      <c r="I282" s="3" t="s">
        <v>876</v>
      </c>
      <c r="K282" s="3"/>
      <c r="L282" s="1" t="s">
        <v>132</v>
      </c>
      <c r="O282" s="3" t="s">
        <v>184</v>
      </c>
      <c r="Q282" s="3"/>
      <c r="R282" s="3"/>
      <c r="T282" s="3"/>
      <c r="U282" s="5"/>
      <c r="W282" s="3"/>
      <c r="Z282" s="3"/>
      <c r="AA282" s="3"/>
      <c r="AC282" s="3"/>
      <c r="AD282" s="3"/>
      <c r="AF282" s="3"/>
      <c r="AG282" s="3" t="s">
        <v>194</v>
      </c>
      <c r="AI282" s="3"/>
      <c r="AJ282" s="1">
        <v>46076</v>
      </c>
      <c r="AL282" s="3"/>
      <c r="AM282" s="1">
        <v>1</v>
      </c>
      <c r="AO282" s="3"/>
      <c r="AP282" s="3" t="s">
        <v>1009</v>
      </c>
      <c r="AR282" s="3"/>
      <c r="AS282" s="3" t="s">
        <v>1010</v>
      </c>
      <c r="AU282" s="3"/>
      <c r="AV282" s="3"/>
      <c r="AX282" s="3"/>
      <c r="AY282" s="5"/>
      <c r="BA282" s="3"/>
      <c r="BD282" s="3"/>
      <c r="BE282" s="3"/>
      <c r="BG282" s="3"/>
      <c r="BH282" s="3"/>
      <c r="BJ282" s="3"/>
      <c r="BK282" s="3"/>
      <c r="BM282" s="3"/>
      <c r="BN282" s="5"/>
      <c r="BP282" s="3"/>
      <c r="BS282" s="3"/>
      <c r="BT282" s="3"/>
      <c r="BV282" s="3"/>
      <c r="BW282" s="3"/>
      <c r="BY282" s="3"/>
      <c r="BZ282" s="3"/>
      <c r="CB282" s="3"/>
      <c r="CC282" s="5"/>
      <c r="CE282" s="3"/>
      <c r="CH282" s="3"/>
      <c r="CI282" s="3"/>
      <c r="CK282" s="3"/>
      <c r="CL282" s="3"/>
      <c r="CN282" s="3"/>
      <c r="CO282" s="3"/>
      <c r="CQ282" s="3"/>
      <c r="CR282" s="5"/>
      <c r="CT282" s="3"/>
      <c r="CW282" s="3"/>
      <c r="CX282" s="3"/>
      <c r="CZ282" s="3"/>
      <c r="DA282" s="3"/>
      <c r="DC282" s="3"/>
      <c r="DD282" s="3"/>
      <c r="DF282" s="3"/>
      <c r="DG282" s="5"/>
      <c r="DI282" s="3"/>
      <c r="DL282" s="3"/>
      <c r="DM282" s="3"/>
      <c r="DO282" s="3"/>
      <c r="DP282" s="3"/>
      <c r="DR282" s="3"/>
      <c r="DS282" s="1" t="str">
        <f>_xlfn.XLOOKUP(OfficeForms.Table[[#This Row],[Selecione a Categoria do Laboratório desta atividade prática:]],Planilha1!A:A,Planilha1!B:B)</f>
        <v>EMF-ISN</v>
      </c>
      <c r="DT282" s="1" t="str">
        <f>CONCATENATE(OfficeForms.Table[[#This Row],[Selecione seu Polo Laboratório de Atividades Presenciais:]],OfficeForms.Table[[#This Row],[CHAVE CONVERSÃO]])</f>
        <v>Mamanguape/PBEMF-ISN</v>
      </c>
      <c r="DU28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28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28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82" s="1" t="str">
        <f>_xlfn.XLOOKUP(OfficeForms.Table[[#This Row],[CHAVE LINK POLO]],'[1]Quadro Geral de Lotação'!$B:$B,'[1]Quadro Geral de Lotação'!$I:$I)</f>
        <v>Sara Luana De Vasconcelos Gomes</v>
      </c>
      <c r="DY282" s="1" t="str">
        <f>OfficeForms.Table[[#This Row],[Selecione a Ordem de Disciplina]]</f>
        <v>Ordem 1</v>
      </c>
    </row>
    <row r="283" spans="1:129" ht="34.15" customHeight="1">
      <c r="A283" s="1">
        <v>283</v>
      </c>
      <c r="B283" s="2">
        <v>46097.6713773148</v>
      </c>
      <c r="C283" s="2">
        <v>46097.674027777801</v>
      </c>
      <c r="D283" s="3" t="s">
        <v>153</v>
      </c>
      <c r="E283" s="3" t="s">
        <v>154</v>
      </c>
      <c r="G283" s="3"/>
      <c r="I283" s="3" t="s">
        <v>155</v>
      </c>
      <c r="K283" s="3"/>
      <c r="L283" s="1" t="s">
        <v>132</v>
      </c>
      <c r="O283" s="3" t="s">
        <v>156</v>
      </c>
      <c r="Q283" s="3"/>
      <c r="R283" s="3"/>
      <c r="T283" s="3"/>
      <c r="U283" s="5"/>
      <c r="W283" s="3"/>
      <c r="Z283" s="3"/>
      <c r="AA283" s="3"/>
      <c r="AC283" s="3"/>
      <c r="AD283" s="3"/>
      <c r="AF283" s="3"/>
      <c r="AG283" s="3"/>
      <c r="AI283" s="3"/>
      <c r="AJ283" s="1"/>
      <c r="AL283" s="3"/>
      <c r="AO283" s="3"/>
      <c r="AP283" s="3"/>
      <c r="AR283" s="3"/>
      <c r="AS283" s="3"/>
      <c r="AU283" s="3"/>
      <c r="AV283" s="3"/>
      <c r="AX283" s="3"/>
      <c r="AY283" s="5"/>
      <c r="BA283" s="3"/>
      <c r="BD283" s="3"/>
      <c r="BE283" s="3"/>
      <c r="BG283" s="3"/>
      <c r="BH283" s="3"/>
      <c r="BJ283" s="3"/>
      <c r="BK283" s="3" t="s">
        <v>165</v>
      </c>
      <c r="BM283" s="3"/>
      <c r="BN283" s="5">
        <v>46085</v>
      </c>
      <c r="BP283" s="3"/>
      <c r="BQ283" s="1">
        <v>13</v>
      </c>
      <c r="BS283" s="3"/>
      <c r="BT283" s="3" t="s">
        <v>1011</v>
      </c>
      <c r="BV283" s="3"/>
      <c r="BW283" s="3" t="s">
        <v>1012</v>
      </c>
      <c r="BY283" s="3"/>
      <c r="BZ283" s="3"/>
      <c r="CB283" s="3"/>
      <c r="CC283" s="5"/>
      <c r="CE283" s="3"/>
      <c r="CH283" s="3"/>
      <c r="CI283" s="3"/>
      <c r="CK283" s="3"/>
      <c r="CL283" s="3"/>
      <c r="CN283" s="3"/>
      <c r="CO283" s="3"/>
      <c r="CQ283" s="3"/>
      <c r="CR283" s="5"/>
      <c r="CT283" s="3"/>
      <c r="CW283" s="3"/>
      <c r="CX283" s="3"/>
      <c r="CZ283" s="3"/>
      <c r="DA283" s="3"/>
      <c r="DC283" s="3"/>
      <c r="DD283" s="3"/>
      <c r="DF283" s="3"/>
      <c r="DG283" s="5"/>
      <c r="DI283" s="3"/>
      <c r="DL283" s="3"/>
      <c r="DM283" s="3"/>
      <c r="DO283" s="3"/>
      <c r="DP283" s="3"/>
      <c r="DR283" s="3"/>
      <c r="DS283" s="1" t="str">
        <f>_xlfn.XLOOKUP(OfficeForms.Table[[#This Row],[Selecione a Categoria do Laboratório desta atividade prática:]],Planilha1!A:A,Planilha1!B:B)</f>
        <v>NTR</v>
      </c>
      <c r="DT283" s="1" t="str">
        <f>CONCATENATE(OfficeForms.Table[[#This Row],[Selecione seu Polo Laboratório de Atividades Presenciais:]],OfficeForms.Table[[#This Row],[CHAVE CONVERSÃO]])</f>
        <v>Novo Hamburgo/RS - CentroNTR</v>
      </c>
      <c r="DU28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28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28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283" s="1" t="str">
        <f>_xlfn.XLOOKUP(OfficeForms.Table[[#This Row],[CHAVE LINK POLO]],'[1]Quadro Geral de Lotação'!$B:$B,'[1]Quadro Geral de Lotação'!$I:$I)</f>
        <v>Juliana Berger</v>
      </c>
      <c r="DY283" s="1" t="str">
        <f>OfficeForms.Table[[#This Row],[Selecione a Ordem de Disciplina]]</f>
        <v>Ordem 1</v>
      </c>
    </row>
    <row r="284" spans="1:129" ht="34.15" customHeight="1">
      <c r="A284" s="1">
        <v>284</v>
      </c>
      <c r="B284" s="2">
        <v>46097.681863425903</v>
      </c>
      <c r="C284" s="2">
        <v>46097.682812500003</v>
      </c>
      <c r="D284" s="3" t="s">
        <v>263</v>
      </c>
      <c r="E284" s="3" t="s">
        <v>264</v>
      </c>
      <c r="G284" s="3"/>
      <c r="I284" s="3" t="s">
        <v>265</v>
      </c>
      <c r="K284" s="3"/>
      <c r="L284" s="1" t="s">
        <v>678</v>
      </c>
      <c r="O284" s="3" t="s">
        <v>184</v>
      </c>
      <c r="Q284" s="3"/>
      <c r="R284" s="3"/>
      <c r="T284" s="3"/>
      <c r="U284" s="5"/>
      <c r="W284" s="3"/>
      <c r="Z284" s="3"/>
      <c r="AA284" s="3"/>
      <c r="AC284" s="3"/>
      <c r="AD284" s="3"/>
      <c r="AF284" s="3"/>
      <c r="AG284" s="3" t="s">
        <v>1013</v>
      </c>
      <c r="AI284" s="3"/>
      <c r="AJ284" s="1">
        <v>46097</v>
      </c>
      <c r="AL284" s="3"/>
      <c r="AM284" s="1">
        <v>1</v>
      </c>
      <c r="AO284" s="3"/>
      <c r="AP284" s="3" t="s">
        <v>1014</v>
      </c>
      <c r="AR284" s="3"/>
      <c r="AS284" s="3" t="s">
        <v>1015</v>
      </c>
      <c r="AU284" s="3"/>
      <c r="AV284" s="3"/>
      <c r="AX284" s="3"/>
      <c r="AY284" s="5"/>
      <c r="BA284" s="3"/>
      <c r="BD284" s="3"/>
      <c r="BE284" s="3"/>
      <c r="BG284" s="3"/>
      <c r="BH284" s="3"/>
      <c r="BJ284" s="3"/>
      <c r="BK284" s="3"/>
      <c r="BM284" s="3"/>
      <c r="BN284" s="5"/>
      <c r="BP284" s="3"/>
      <c r="BS284" s="3"/>
      <c r="BT284" s="3"/>
      <c r="BV284" s="3"/>
      <c r="BW284" s="3"/>
      <c r="BY284" s="3"/>
      <c r="BZ284" s="3"/>
      <c r="CB284" s="3"/>
      <c r="CC284" s="5"/>
      <c r="CE284" s="3"/>
      <c r="CH284" s="3"/>
      <c r="CI284" s="3"/>
      <c r="CK284" s="3"/>
      <c r="CL284" s="3"/>
      <c r="CN284" s="3"/>
      <c r="CO284" s="3"/>
      <c r="CQ284" s="3"/>
      <c r="CR284" s="5"/>
      <c r="CT284" s="3"/>
      <c r="CW284" s="3"/>
      <c r="CX284" s="3"/>
      <c r="CZ284" s="3"/>
      <c r="DA284" s="3"/>
      <c r="DC284" s="3"/>
      <c r="DD284" s="3"/>
      <c r="DF284" s="3"/>
      <c r="DG284" s="5"/>
      <c r="DI284" s="3"/>
      <c r="DL284" s="3"/>
      <c r="DM284" s="3"/>
      <c r="DO284" s="3"/>
      <c r="DP284" s="3"/>
      <c r="DR284" s="3"/>
      <c r="DS284" s="1" t="str">
        <f>_xlfn.XLOOKUP(OfficeForms.Table[[#This Row],[Selecione a Categoria do Laboratório desta atividade prática:]],Planilha1!A:A,Planilha1!B:B)</f>
        <v>EMF-ISN</v>
      </c>
      <c r="DT284" s="1" t="str">
        <f>CONCATENATE(OfficeForms.Table[[#This Row],[Selecione seu Polo Laboratório de Atividades Presenciais:]],OfficeForms.Table[[#This Row],[CHAVE CONVERSÃO]])</f>
        <v>Brusque/SCEMF-ISN</v>
      </c>
      <c r="DU28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28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28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84" s="1" t="str">
        <f>_xlfn.XLOOKUP(OfficeForms.Table[[#This Row],[CHAVE LINK POLO]],'[1]Quadro Geral de Lotação'!$B:$B,'[1]Quadro Geral de Lotação'!$I:$I)</f>
        <v>Fabio Junior da Rosa</v>
      </c>
      <c r="DY284" s="1" t="str">
        <f>OfficeForms.Table[[#This Row],[Selecione a Ordem de Disciplina]]</f>
        <v>Ordem 2</v>
      </c>
    </row>
    <row r="285" spans="1:129" ht="34.15" customHeight="1">
      <c r="A285" s="1">
        <v>285</v>
      </c>
      <c r="B285" s="2">
        <v>46097.682893518497</v>
      </c>
      <c r="C285" s="2">
        <v>46097.683379629598</v>
      </c>
      <c r="D285" s="3" t="s">
        <v>263</v>
      </c>
      <c r="E285" s="3" t="s">
        <v>264</v>
      </c>
      <c r="G285" s="3"/>
      <c r="I285" s="3" t="s">
        <v>265</v>
      </c>
      <c r="K285" s="3"/>
      <c r="L285" s="1" t="s">
        <v>678</v>
      </c>
      <c r="O285" s="3" t="s">
        <v>184</v>
      </c>
      <c r="Q285" s="3"/>
      <c r="R285" s="3"/>
      <c r="T285" s="3"/>
      <c r="U285" s="5"/>
      <c r="W285" s="3"/>
      <c r="Z285" s="3"/>
      <c r="AA285" s="3"/>
      <c r="AC285" s="3"/>
      <c r="AD285" s="3"/>
      <c r="AF285" s="3"/>
      <c r="AG285" s="3" t="s">
        <v>1016</v>
      </c>
      <c r="AI285" s="3"/>
      <c r="AJ285" s="1">
        <v>46097</v>
      </c>
      <c r="AL285" s="3"/>
      <c r="AM285" s="1">
        <v>1</v>
      </c>
      <c r="AO285" s="3"/>
      <c r="AP285" s="3" t="s">
        <v>1017</v>
      </c>
      <c r="AR285" s="3"/>
      <c r="AS285" s="3" t="s">
        <v>1018</v>
      </c>
      <c r="AU285" s="3"/>
      <c r="AV285" s="3"/>
      <c r="AX285" s="3"/>
      <c r="AY285" s="5"/>
      <c r="BA285" s="3"/>
      <c r="BD285" s="3"/>
      <c r="BE285" s="3"/>
      <c r="BG285" s="3"/>
      <c r="BH285" s="3"/>
      <c r="BJ285" s="3"/>
      <c r="BK285" s="3"/>
      <c r="BM285" s="3"/>
      <c r="BN285" s="5"/>
      <c r="BP285" s="3"/>
      <c r="BS285" s="3"/>
      <c r="BT285" s="3"/>
      <c r="BV285" s="3"/>
      <c r="BW285" s="3"/>
      <c r="BY285" s="3"/>
      <c r="BZ285" s="3"/>
      <c r="CB285" s="3"/>
      <c r="CC285" s="5"/>
      <c r="CE285" s="3"/>
      <c r="CH285" s="3"/>
      <c r="CI285" s="3"/>
      <c r="CK285" s="3"/>
      <c r="CL285" s="3"/>
      <c r="CN285" s="3"/>
      <c r="CO285" s="3"/>
      <c r="CQ285" s="3"/>
      <c r="CR285" s="5"/>
      <c r="CT285" s="3"/>
      <c r="CW285" s="3"/>
      <c r="CX285" s="3"/>
      <c r="CZ285" s="3"/>
      <c r="DA285" s="3"/>
      <c r="DC285" s="3"/>
      <c r="DD285" s="3"/>
      <c r="DF285" s="3"/>
      <c r="DG285" s="5"/>
      <c r="DI285" s="3"/>
      <c r="DL285" s="3"/>
      <c r="DM285" s="3"/>
      <c r="DO285" s="3"/>
      <c r="DP285" s="3"/>
      <c r="DR285" s="3"/>
      <c r="DS285" s="1" t="str">
        <f>_xlfn.XLOOKUP(OfficeForms.Table[[#This Row],[Selecione a Categoria do Laboratório desta atividade prática:]],Planilha1!A:A,Planilha1!B:B)</f>
        <v>EMF-ISN</v>
      </c>
      <c r="DT285" s="1" t="str">
        <f>CONCATENATE(OfficeForms.Table[[#This Row],[Selecione seu Polo Laboratório de Atividades Presenciais:]],OfficeForms.Table[[#This Row],[CHAVE CONVERSÃO]])</f>
        <v>Brusque/SCEMF-ISN</v>
      </c>
      <c r="DU28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28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28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85" s="1" t="str">
        <f>_xlfn.XLOOKUP(OfficeForms.Table[[#This Row],[CHAVE LINK POLO]],'[1]Quadro Geral de Lotação'!$B:$B,'[1]Quadro Geral de Lotação'!$I:$I)</f>
        <v>Fabio Junior da Rosa</v>
      </c>
      <c r="DY285" s="1" t="str">
        <f>OfficeForms.Table[[#This Row],[Selecione a Ordem de Disciplina]]</f>
        <v>Ordem 2</v>
      </c>
    </row>
    <row r="286" spans="1:129" ht="34.15" customHeight="1">
      <c r="A286" s="1">
        <v>286</v>
      </c>
      <c r="B286" s="2">
        <v>46097.746284722198</v>
      </c>
      <c r="C286" s="2">
        <v>46097.748969907399</v>
      </c>
      <c r="D286" s="3" t="s">
        <v>429</v>
      </c>
      <c r="E286" s="3" t="s">
        <v>430</v>
      </c>
      <c r="G286" s="3"/>
      <c r="I286" s="3" t="s">
        <v>431</v>
      </c>
      <c r="K286" s="3"/>
      <c r="L286" s="1" t="s">
        <v>132</v>
      </c>
      <c r="O286" s="3" t="s">
        <v>184</v>
      </c>
      <c r="Q286" s="3"/>
      <c r="R286" s="3"/>
      <c r="T286" s="3"/>
      <c r="U286" s="5"/>
      <c r="W286" s="3"/>
      <c r="Z286" s="3"/>
      <c r="AA286" s="3"/>
      <c r="AC286" s="3"/>
      <c r="AD286" s="3"/>
      <c r="AF286" s="3"/>
      <c r="AG286" s="3" t="s">
        <v>206</v>
      </c>
      <c r="AI286" s="3"/>
      <c r="AJ286" s="1">
        <v>46092</v>
      </c>
      <c r="AL286" s="3"/>
      <c r="AM286" s="1">
        <v>18</v>
      </c>
      <c r="AO286" s="3"/>
      <c r="AP286" s="3" t="s">
        <v>1019</v>
      </c>
      <c r="AR286" s="3"/>
      <c r="AS286" s="3" t="s">
        <v>1020</v>
      </c>
      <c r="AU286" s="3"/>
      <c r="AV286" s="3"/>
      <c r="AX286" s="3"/>
      <c r="AY286" s="5"/>
      <c r="BA286" s="3"/>
      <c r="BD286" s="3"/>
      <c r="BE286" s="3"/>
      <c r="BG286" s="3"/>
      <c r="BH286" s="3"/>
      <c r="BJ286" s="3"/>
      <c r="BK286" s="3"/>
      <c r="BM286" s="3"/>
      <c r="BN286" s="5"/>
      <c r="BP286" s="3"/>
      <c r="BS286" s="3"/>
      <c r="BT286" s="3"/>
      <c r="BV286" s="3"/>
      <c r="BW286" s="3"/>
      <c r="BY286" s="3"/>
      <c r="BZ286" s="3"/>
      <c r="CB286" s="3"/>
      <c r="CC286" s="5"/>
      <c r="CE286" s="3"/>
      <c r="CH286" s="3"/>
      <c r="CI286" s="3"/>
      <c r="CK286" s="3"/>
      <c r="CL286" s="3"/>
      <c r="CN286" s="3"/>
      <c r="CO286" s="3"/>
      <c r="CQ286" s="3"/>
      <c r="CR286" s="5"/>
      <c r="CT286" s="3"/>
      <c r="CW286" s="3"/>
      <c r="CX286" s="3"/>
      <c r="CZ286" s="3"/>
      <c r="DA286" s="3"/>
      <c r="DC286" s="3"/>
      <c r="DD286" s="3"/>
      <c r="DF286" s="3"/>
      <c r="DG286" s="5"/>
      <c r="DI286" s="3"/>
      <c r="DL286" s="3"/>
      <c r="DM286" s="3"/>
      <c r="DO286" s="3"/>
      <c r="DP286" s="3"/>
      <c r="DR286" s="3"/>
      <c r="DS286" s="1" t="str">
        <f>_xlfn.XLOOKUP(OfficeForms.Table[[#This Row],[Selecione a Categoria do Laboratório desta atividade prática:]],Planilha1!A:A,Planilha1!B:B)</f>
        <v>EMF-ISN</v>
      </c>
      <c r="DT286" s="1" t="str">
        <f>CONCATENATE(OfficeForms.Table[[#This Row],[Selecione seu Polo Laboratório de Atividades Presenciais:]],OfficeForms.Table[[#This Row],[CHAVE CONVERSÃO]])</f>
        <v>Assú/RNEMF-ISN</v>
      </c>
      <c r="DU28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28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28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18</v>
      </c>
      <c r="DX286" s="1" t="str">
        <f>_xlfn.XLOOKUP(OfficeForms.Table[[#This Row],[CHAVE LINK POLO]],'[1]Quadro Geral de Lotação'!$B:$B,'[1]Quadro Geral de Lotação'!$I:$I)</f>
        <v>Romulo Freire Pinto</v>
      </c>
      <c r="DY286" s="1" t="str">
        <f>OfficeForms.Table[[#This Row],[Selecione a Ordem de Disciplina]]</f>
        <v>Ordem 1</v>
      </c>
    </row>
    <row r="287" spans="1:129" ht="34.15" customHeight="1">
      <c r="A287" s="1">
        <v>287</v>
      </c>
      <c r="B287" s="2">
        <v>46097.806631944397</v>
      </c>
      <c r="C287" s="2">
        <v>46097.8208564815</v>
      </c>
      <c r="D287" s="3" t="s">
        <v>1021</v>
      </c>
      <c r="E287" s="3" t="s">
        <v>1022</v>
      </c>
      <c r="G287" s="3"/>
      <c r="I287" s="3" t="s">
        <v>1023</v>
      </c>
      <c r="K287" s="3"/>
      <c r="L287" s="1" t="s">
        <v>132</v>
      </c>
      <c r="O287" s="3" t="s">
        <v>184</v>
      </c>
      <c r="Q287" s="3"/>
      <c r="R287" s="3"/>
      <c r="T287" s="3"/>
      <c r="U287" s="5"/>
      <c r="W287" s="3"/>
      <c r="Z287" s="3"/>
      <c r="AA287" s="3"/>
      <c r="AC287" s="3"/>
      <c r="AD287" s="3"/>
      <c r="AF287" s="3"/>
      <c r="AG287" s="3" t="s">
        <v>224</v>
      </c>
      <c r="AI287" s="3"/>
      <c r="AJ287" s="1">
        <v>46074</v>
      </c>
      <c r="AL287" s="3"/>
      <c r="AM287" s="1">
        <v>2</v>
      </c>
      <c r="AO287" s="3"/>
      <c r="AP287" s="3" t="s">
        <v>1024</v>
      </c>
      <c r="AR287" s="3"/>
      <c r="AS287" s="3" t="s">
        <v>1025</v>
      </c>
      <c r="AU287" s="3"/>
      <c r="AV287" s="3"/>
      <c r="AX287" s="3"/>
      <c r="AY287" s="5"/>
      <c r="BA287" s="3"/>
      <c r="BD287" s="3"/>
      <c r="BE287" s="3"/>
      <c r="BG287" s="3"/>
      <c r="BH287" s="3"/>
      <c r="BJ287" s="3"/>
      <c r="BK287" s="3"/>
      <c r="BM287" s="3"/>
      <c r="BN287" s="5"/>
      <c r="BP287" s="3"/>
      <c r="BS287" s="3"/>
      <c r="BT287" s="3"/>
      <c r="BV287" s="3"/>
      <c r="BW287" s="3"/>
      <c r="BY287" s="3"/>
      <c r="BZ287" s="3"/>
      <c r="CB287" s="3"/>
      <c r="CC287" s="5"/>
      <c r="CE287" s="3"/>
      <c r="CH287" s="3"/>
      <c r="CI287" s="3"/>
      <c r="CK287" s="3"/>
      <c r="CL287" s="3"/>
      <c r="CN287" s="3"/>
      <c r="CO287" s="3"/>
      <c r="CQ287" s="3"/>
      <c r="CR287" s="5"/>
      <c r="CT287" s="3"/>
      <c r="CW287" s="3"/>
      <c r="CX287" s="3"/>
      <c r="CZ287" s="3"/>
      <c r="DA287" s="3"/>
      <c r="DC287" s="3"/>
      <c r="DD287" s="3"/>
      <c r="DF287" s="3"/>
      <c r="DG287" s="5"/>
      <c r="DI287" s="3"/>
      <c r="DL287" s="3"/>
      <c r="DM287" s="3"/>
      <c r="DO287" s="3"/>
      <c r="DP287" s="3"/>
      <c r="DR287" s="3"/>
      <c r="DS287" s="1" t="str">
        <f>_xlfn.XLOOKUP(OfficeForms.Table[[#This Row],[Selecione a Categoria do Laboratório desta atividade prática:]],Planilha1!A:A,Planilha1!B:B)</f>
        <v>EMF-ISN</v>
      </c>
      <c r="DT287" s="1" t="str">
        <f>CONCATENATE(OfficeForms.Table[[#This Row],[Selecione seu Polo Laboratório de Atividades Presenciais:]],OfficeForms.Table[[#This Row],[CHAVE CONVERSÃO]])</f>
        <v>Janaúba/MG- Padre EustáquioEMF-ISN</v>
      </c>
      <c r="DU28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28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28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287" s="1" t="str">
        <f>_xlfn.XLOOKUP(OfficeForms.Table[[#This Row],[CHAVE LINK POLO]],'[1]Quadro Geral de Lotação'!$B:$B,'[1]Quadro Geral de Lotação'!$I:$I)</f>
        <v>Adalci Rosana Goncalves Dias</v>
      </c>
      <c r="DY287" s="1" t="str">
        <f>OfficeForms.Table[[#This Row],[Selecione a Ordem de Disciplina]]</f>
        <v>Ordem 1</v>
      </c>
    </row>
    <row r="288" spans="1:129" ht="34.15" customHeight="1">
      <c r="A288" s="1">
        <v>288</v>
      </c>
      <c r="B288" s="2">
        <v>46097.825960648101</v>
      </c>
      <c r="C288" s="2">
        <v>46097.828194444402</v>
      </c>
      <c r="D288" s="3" t="s">
        <v>1021</v>
      </c>
      <c r="E288" s="3" t="s">
        <v>1022</v>
      </c>
      <c r="G288" s="3"/>
      <c r="I288" s="3" t="s">
        <v>1023</v>
      </c>
      <c r="K288" s="3"/>
      <c r="L288" s="1" t="s">
        <v>132</v>
      </c>
      <c r="O288" s="3" t="s">
        <v>184</v>
      </c>
      <c r="Q288" s="3"/>
      <c r="R288" s="3"/>
      <c r="T288" s="3"/>
      <c r="U288" s="5"/>
      <c r="W288" s="3"/>
      <c r="Z288" s="3"/>
      <c r="AA288" s="3"/>
      <c r="AC288" s="3"/>
      <c r="AD288" s="3"/>
      <c r="AF288" s="3"/>
      <c r="AG288" s="3" t="s">
        <v>1026</v>
      </c>
      <c r="AI288" s="3"/>
      <c r="AJ288" s="1">
        <v>46078</v>
      </c>
      <c r="AL288" s="3"/>
      <c r="AM288" s="1">
        <v>2</v>
      </c>
      <c r="AO288" s="3"/>
      <c r="AP288" s="3" t="s">
        <v>1027</v>
      </c>
      <c r="AR288" s="3"/>
      <c r="AS288" s="3" t="s">
        <v>1028</v>
      </c>
      <c r="AU288" s="3"/>
      <c r="AV288" s="3"/>
      <c r="AX288" s="3"/>
      <c r="AY288" s="5"/>
      <c r="BA288" s="3"/>
      <c r="BD288" s="3"/>
      <c r="BE288" s="3"/>
      <c r="BG288" s="3"/>
      <c r="BH288" s="3"/>
      <c r="BJ288" s="3"/>
      <c r="BK288" s="3"/>
      <c r="BM288" s="3"/>
      <c r="BN288" s="5"/>
      <c r="BP288" s="3"/>
      <c r="BS288" s="3"/>
      <c r="BT288" s="3"/>
      <c r="BV288" s="3"/>
      <c r="BW288" s="3"/>
      <c r="BY288" s="3"/>
      <c r="BZ288" s="3"/>
      <c r="CB288" s="3"/>
      <c r="CC288" s="5"/>
      <c r="CE288" s="3"/>
      <c r="CH288" s="3"/>
      <c r="CI288" s="3"/>
      <c r="CK288" s="3"/>
      <c r="CL288" s="3"/>
      <c r="CN288" s="3"/>
      <c r="CO288" s="3"/>
      <c r="CQ288" s="3"/>
      <c r="CR288" s="5"/>
      <c r="CT288" s="3"/>
      <c r="CW288" s="3"/>
      <c r="CX288" s="3"/>
      <c r="CZ288" s="3"/>
      <c r="DA288" s="3"/>
      <c r="DC288" s="3"/>
      <c r="DD288" s="3"/>
      <c r="DF288" s="3"/>
      <c r="DG288" s="5"/>
      <c r="DI288" s="3"/>
      <c r="DL288" s="3"/>
      <c r="DM288" s="3"/>
      <c r="DO288" s="3"/>
      <c r="DP288" s="3"/>
      <c r="DR288" s="3"/>
      <c r="DS288" s="1" t="str">
        <f>_xlfn.XLOOKUP(OfficeForms.Table[[#This Row],[Selecione a Categoria do Laboratório desta atividade prática:]],Planilha1!A:A,Planilha1!B:B)</f>
        <v>EMF-ISN</v>
      </c>
      <c r="DT288" s="1" t="str">
        <f>CONCATENATE(OfficeForms.Table[[#This Row],[Selecione seu Polo Laboratório de Atividades Presenciais:]],OfficeForms.Table[[#This Row],[CHAVE CONVERSÃO]])</f>
        <v>Janaúba/MG- Padre EustáquioEMF-ISN</v>
      </c>
      <c r="DU28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Consulta de enfermagem no pré-natal de baixo risco + Administração de medicamento pela via intramuscular;Trabalho de parto natural + Emergências obstétricas</v>
      </c>
      <c r="DV28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28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288" s="1" t="str">
        <f>_xlfn.XLOOKUP(OfficeForms.Table[[#This Row],[CHAVE LINK POLO]],'[1]Quadro Geral de Lotação'!$B:$B,'[1]Quadro Geral de Lotação'!$I:$I)</f>
        <v>Adalci Rosana Goncalves Dias</v>
      </c>
      <c r="DY288" s="1" t="str">
        <f>OfficeForms.Table[[#This Row],[Selecione a Ordem de Disciplina]]</f>
        <v>Ordem 1</v>
      </c>
    </row>
    <row r="289" spans="1:129" ht="34.15" customHeight="1">
      <c r="A289" s="1">
        <v>289</v>
      </c>
      <c r="B289" s="2">
        <v>46097.899016203701</v>
      </c>
      <c r="C289" s="2">
        <v>46097.900034722203</v>
      </c>
      <c r="D289" s="3" t="s">
        <v>480</v>
      </c>
      <c r="E289" s="3" t="s">
        <v>481</v>
      </c>
      <c r="G289" s="3"/>
      <c r="I289" s="3" t="s">
        <v>482</v>
      </c>
      <c r="K289" s="3"/>
      <c r="L289" s="1" t="s">
        <v>678</v>
      </c>
      <c r="O289" s="3" t="s">
        <v>184</v>
      </c>
      <c r="Q289" s="3"/>
      <c r="R289" s="3"/>
      <c r="T289" s="3"/>
      <c r="U289" s="5"/>
      <c r="W289" s="3"/>
      <c r="Z289" s="3"/>
      <c r="AA289" s="3"/>
      <c r="AC289" s="3"/>
      <c r="AD289" s="3"/>
      <c r="AF289" s="3"/>
      <c r="AG289" s="3" t="s">
        <v>1016</v>
      </c>
      <c r="AI289" s="3"/>
      <c r="AJ289" s="1">
        <v>46097</v>
      </c>
      <c r="AL289" s="3"/>
      <c r="AM289" s="1">
        <v>0</v>
      </c>
      <c r="AO289" s="3"/>
      <c r="AP289" s="3" t="s">
        <v>1029</v>
      </c>
      <c r="AR289" s="3"/>
      <c r="AS289" s="3" t="s">
        <v>1030</v>
      </c>
      <c r="AU289" s="3"/>
      <c r="AV289" s="3"/>
      <c r="AX289" s="3"/>
      <c r="AY289" s="5"/>
      <c r="BA289" s="3"/>
      <c r="BD289" s="3"/>
      <c r="BE289" s="3"/>
      <c r="BG289" s="3"/>
      <c r="BH289" s="3"/>
      <c r="BJ289" s="3"/>
      <c r="BK289" s="3"/>
      <c r="BM289" s="3"/>
      <c r="BN289" s="5"/>
      <c r="BP289" s="3"/>
      <c r="BS289" s="3"/>
      <c r="BT289" s="3"/>
      <c r="BV289" s="3"/>
      <c r="BW289" s="3"/>
      <c r="BY289" s="3"/>
      <c r="BZ289" s="3"/>
      <c r="CB289" s="3"/>
      <c r="CC289" s="5"/>
      <c r="CE289" s="3"/>
      <c r="CH289" s="3"/>
      <c r="CI289" s="3"/>
      <c r="CK289" s="3"/>
      <c r="CL289" s="3"/>
      <c r="CN289" s="3"/>
      <c r="CO289" s="3"/>
      <c r="CQ289" s="3"/>
      <c r="CR289" s="5"/>
      <c r="CT289" s="3"/>
      <c r="CW289" s="3"/>
      <c r="CX289" s="3"/>
      <c r="CZ289" s="3"/>
      <c r="DA289" s="3"/>
      <c r="DC289" s="3"/>
      <c r="DD289" s="3"/>
      <c r="DF289" s="3"/>
      <c r="DG289" s="5"/>
      <c r="DI289" s="3"/>
      <c r="DL289" s="3"/>
      <c r="DM289" s="3"/>
      <c r="DO289" s="3"/>
      <c r="DP289" s="3"/>
      <c r="DR289" s="3"/>
      <c r="DS289" s="1" t="str">
        <f>_xlfn.XLOOKUP(OfficeForms.Table[[#This Row],[Selecione a Categoria do Laboratório desta atividade prática:]],Planilha1!A:A,Planilha1!B:B)</f>
        <v>EMF-ISN</v>
      </c>
      <c r="DT289" s="1" t="str">
        <f>CONCATENATE(OfficeForms.Table[[#This Row],[Selecione seu Polo Laboratório de Atividades Presenciais:]],OfficeForms.Table[[#This Row],[CHAVE CONVERSÃO]])</f>
        <v>Três Lagoas/MSEMF-ISN</v>
      </c>
      <c r="DU28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28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28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89" s="1" t="str">
        <f>_xlfn.XLOOKUP(OfficeForms.Table[[#This Row],[CHAVE LINK POLO]],'[1]Quadro Geral de Lotação'!$B:$B,'[1]Quadro Geral de Lotação'!$I:$I)</f>
        <v>Gilberto Dellai Filho</v>
      </c>
      <c r="DY289" s="1" t="str">
        <f>OfficeForms.Table[[#This Row],[Selecione a Ordem de Disciplina]]</f>
        <v>Ordem 2</v>
      </c>
    </row>
    <row r="290" spans="1:129" ht="34.15" customHeight="1">
      <c r="A290" s="1">
        <v>290</v>
      </c>
      <c r="B290" s="2">
        <v>46097.900138888901</v>
      </c>
      <c r="C290" s="2">
        <v>46097.900891203702</v>
      </c>
      <c r="D290" s="3" t="s">
        <v>480</v>
      </c>
      <c r="E290" s="3" t="s">
        <v>481</v>
      </c>
      <c r="G290" s="3"/>
      <c r="I290" s="3" t="s">
        <v>482</v>
      </c>
      <c r="K290" s="3"/>
      <c r="L290" s="1" t="s">
        <v>678</v>
      </c>
      <c r="O290" s="3" t="s">
        <v>184</v>
      </c>
      <c r="Q290" s="3"/>
      <c r="R290" s="3"/>
      <c r="T290" s="3"/>
      <c r="U290" s="5"/>
      <c r="W290" s="3"/>
      <c r="Z290" s="3"/>
      <c r="AA290" s="3"/>
      <c r="AC290" s="3"/>
      <c r="AD290" s="3"/>
      <c r="AF290" s="3"/>
      <c r="AG290" s="3" t="s">
        <v>1031</v>
      </c>
      <c r="AI290" s="3"/>
      <c r="AJ290" s="1">
        <v>46097</v>
      </c>
      <c r="AL290" s="3"/>
      <c r="AM290" s="1">
        <v>0</v>
      </c>
      <c r="AO290" s="3"/>
      <c r="AP290" s="3" t="s">
        <v>1032</v>
      </c>
      <c r="AR290" s="3"/>
      <c r="AS290" s="3" t="s">
        <v>1033</v>
      </c>
      <c r="AU290" s="3"/>
      <c r="AV290" s="3"/>
      <c r="AX290" s="3"/>
      <c r="AY290" s="5"/>
      <c r="BA290" s="3"/>
      <c r="BD290" s="3"/>
      <c r="BE290" s="3"/>
      <c r="BG290" s="3"/>
      <c r="BH290" s="3"/>
      <c r="BJ290" s="3"/>
      <c r="BK290" s="3"/>
      <c r="BM290" s="3"/>
      <c r="BN290" s="5"/>
      <c r="BP290" s="3"/>
      <c r="BS290" s="3"/>
      <c r="BT290" s="3"/>
      <c r="BV290" s="3"/>
      <c r="BW290" s="3"/>
      <c r="BY290" s="3"/>
      <c r="BZ290" s="3"/>
      <c r="CB290" s="3"/>
      <c r="CC290" s="5"/>
      <c r="CE290" s="3"/>
      <c r="CH290" s="3"/>
      <c r="CI290" s="3"/>
      <c r="CK290" s="3"/>
      <c r="CL290" s="3"/>
      <c r="CN290" s="3"/>
      <c r="CO290" s="3"/>
      <c r="CQ290" s="3"/>
      <c r="CR290" s="5"/>
      <c r="CT290" s="3"/>
      <c r="CW290" s="3"/>
      <c r="CX290" s="3"/>
      <c r="CZ290" s="3"/>
      <c r="DA290" s="3"/>
      <c r="DC290" s="3"/>
      <c r="DD290" s="3"/>
      <c r="DF290" s="3"/>
      <c r="DG290" s="5"/>
      <c r="DI290" s="3"/>
      <c r="DL290" s="3"/>
      <c r="DM290" s="3"/>
      <c r="DO290" s="3"/>
      <c r="DP290" s="3"/>
      <c r="DR290" s="3"/>
      <c r="DS290" s="1" t="str">
        <f>_xlfn.XLOOKUP(OfficeForms.Table[[#This Row],[Selecione a Categoria do Laboratório desta atividade prática:]],Planilha1!A:A,Planilha1!B:B)</f>
        <v>EMF-ISN</v>
      </c>
      <c r="DT290" s="1" t="str">
        <f>CONCATENATE(OfficeForms.Table[[#This Row],[Selecione seu Polo Laboratório de Atividades Presenciais:]],OfficeForms.Table[[#This Row],[CHAVE CONVERSÃO]])</f>
        <v>Três Lagoas/MSEMF-ISN</v>
      </c>
      <c r="DU29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29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29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90" s="1" t="str">
        <f>_xlfn.XLOOKUP(OfficeForms.Table[[#This Row],[CHAVE LINK POLO]],'[1]Quadro Geral de Lotação'!$B:$B,'[1]Quadro Geral de Lotação'!$I:$I)</f>
        <v>Gilberto Dellai Filho</v>
      </c>
      <c r="DY290" s="1" t="str">
        <f>OfficeForms.Table[[#This Row],[Selecione a Ordem de Disciplina]]</f>
        <v>Ordem 2</v>
      </c>
    </row>
    <row r="291" spans="1:129" ht="34.15" customHeight="1">
      <c r="A291" s="1">
        <v>291</v>
      </c>
      <c r="B291" s="2">
        <v>46097.938587962999</v>
      </c>
      <c r="C291" s="2">
        <v>46097.940347222197</v>
      </c>
      <c r="D291" s="3" t="s">
        <v>1034</v>
      </c>
      <c r="E291" s="3" t="s">
        <v>1035</v>
      </c>
      <c r="G291" s="3"/>
      <c r="I291" s="3" t="s">
        <v>753</v>
      </c>
      <c r="K291" s="3"/>
      <c r="L291" s="1" t="s">
        <v>132</v>
      </c>
      <c r="O291" s="3" t="s">
        <v>133</v>
      </c>
      <c r="Q291" s="3"/>
      <c r="R291" s="3"/>
      <c r="T291" s="3"/>
      <c r="U291" s="5"/>
      <c r="W291" s="3"/>
      <c r="Z291" s="3"/>
      <c r="AA291" s="3"/>
      <c r="AC291" s="3"/>
      <c r="AD291" s="3"/>
      <c r="AF291" s="3"/>
      <c r="AG291" s="3"/>
      <c r="AI291" s="3"/>
      <c r="AJ291" s="1"/>
      <c r="AL291" s="3"/>
      <c r="AO291" s="3"/>
      <c r="AP291" s="3"/>
      <c r="AR291" s="3"/>
      <c r="AS291" s="3"/>
      <c r="AU291" s="3"/>
      <c r="AV291" s="3" t="s">
        <v>276</v>
      </c>
      <c r="AX291" s="3"/>
      <c r="AY291" s="5">
        <v>46086</v>
      </c>
      <c r="BA291" s="3"/>
      <c r="BB291" s="1">
        <v>3</v>
      </c>
      <c r="BD291" s="3"/>
      <c r="BE291" s="3" t="s">
        <v>1036</v>
      </c>
      <c r="BG291" s="3"/>
      <c r="BH291" s="3" t="s">
        <v>1037</v>
      </c>
      <c r="BJ291" s="3"/>
      <c r="BK291" s="3"/>
      <c r="BM291" s="3"/>
      <c r="BN291" s="5"/>
      <c r="BP291" s="3"/>
      <c r="BS291" s="3"/>
      <c r="BT291" s="3"/>
      <c r="BV291" s="3"/>
      <c r="BW291" s="3"/>
      <c r="BY291" s="3"/>
      <c r="BZ291" s="3"/>
      <c r="CB291" s="3"/>
      <c r="CC291" s="5"/>
      <c r="CE291" s="3"/>
      <c r="CH291" s="3"/>
      <c r="CI291" s="3"/>
      <c r="CK291" s="3"/>
      <c r="CL291" s="3"/>
      <c r="CN291" s="3"/>
      <c r="CO291" s="3"/>
      <c r="CQ291" s="3"/>
      <c r="CR291" s="5"/>
      <c r="CT291" s="3"/>
      <c r="CW291" s="3"/>
      <c r="CX291" s="3"/>
      <c r="CZ291" s="3"/>
      <c r="DA291" s="3"/>
      <c r="DC291" s="3"/>
      <c r="DD291" s="3"/>
      <c r="DF291" s="3"/>
      <c r="DG291" s="5"/>
      <c r="DI291" s="3"/>
      <c r="DL291" s="3"/>
      <c r="DM291" s="3"/>
      <c r="DO291" s="3"/>
      <c r="DP291" s="3"/>
      <c r="DR291" s="3"/>
      <c r="DS291" s="1" t="str">
        <f>_xlfn.XLOOKUP(OfficeForms.Table[[#This Row],[Selecione a Categoria do Laboratório desta atividade prática:]],Planilha1!A:A,Planilha1!B:B)</f>
        <v>BFI</v>
      </c>
      <c r="DT291" s="1" t="str">
        <f>CONCATENATE(OfficeForms.Table[[#This Row],[Selecione seu Polo Laboratório de Atividades Presenciais:]],OfficeForms.Table[[#This Row],[CHAVE CONVERSÃO]])</f>
        <v>São Paulo/SP - TatuapéBFI</v>
      </c>
      <c r="DU29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Limpeza de Pele Facial e avaliação facial</v>
      </c>
      <c r="DV29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29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291" s="1" t="str">
        <f>_xlfn.XLOOKUP(OfficeForms.Table[[#This Row],[CHAVE LINK POLO]],'[1]Quadro Geral de Lotação'!$B:$B,'[1]Quadro Geral de Lotação'!$I:$I)</f>
        <v>-</v>
      </c>
      <c r="DY291" s="1" t="str">
        <f>OfficeForms.Table[[#This Row],[Selecione a Ordem de Disciplina]]</f>
        <v>Ordem 1</v>
      </c>
    </row>
    <row r="292" spans="1:129" ht="34.15" customHeight="1">
      <c r="A292" s="1">
        <v>292</v>
      </c>
      <c r="B292" s="2">
        <v>46097.940474536997</v>
      </c>
      <c r="C292" s="2">
        <v>46097.941192129598</v>
      </c>
      <c r="D292" s="3" t="s">
        <v>1034</v>
      </c>
      <c r="E292" s="3" t="s">
        <v>1035</v>
      </c>
      <c r="G292" s="3"/>
      <c r="I292" s="3" t="s">
        <v>753</v>
      </c>
      <c r="K292" s="3"/>
      <c r="L292" s="1" t="s">
        <v>132</v>
      </c>
      <c r="O292" s="3" t="s">
        <v>133</v>
      </c>
      <c r="Q292" s="3"/>
      <c r="R292" s="3"/>
      <c r="T292" s="3"/>
      <c r="U292" s="5"/>
      <c r="W292" s="3"/>
      <c r="Z292" s="3"/>
      <c r="AA292" s="3"/>
      <c r="AC292" s="3"/>
      <c r="AD292" s="3"/>
      <c r="AF292" s="3"/>
      <c r="AG292" s="3"/>
      <c r="AI292" s="3"/>
      <c r="AJ292" s="1"/>
      <c r="AL292" s="3"/>
      <c r="AO292" s="3"/>
      <c r="AP292" s="3"/>
      <c r="AR292" s="3"/>
      <c r="AS292" s="3"/>
      <c r="AU292" s="3"/>
      <c r="AV292" s="3" t="s">
        <v>276</v>
      </c>
      <c r="AX292" s="3"/>
      <c r="AY292" s="5">
        <v>46086</v>
      </c>
      <c r="BA292" s="3"/>
      <c r="BB292" s="1">
        <v>2</v>
      </c>
      <c r="BD292" s="3"/>
      <c r="BE292" s="3" t="s">
        <v>1038</v>
      </c>
      <c r="BG292" s="3"/>
      <c r="BH292" s="3" t="s">
        <v>1039</v>
      </c>
      <c r="BJ292" s="3"/>
      <c r="BK292" s="3"/>
      <c r="BM292" s="3"/>
      <c r="BN292" s="5"/>
      <c r="BP292" s="3"/>
      <c r="BS292" s="3"/>
      <c r="BT292" s="3"/>
      <c r="BV292" s="3"/>
      <c r="BW292" s="3"/>
      <c r="BY292" s="3"/>
      <c r="BZ292" s="3"/>
      <c r="CB292" s="3"/>
      <c r="CC292" s="5"/>
      <c r="CE292" s="3"/>
      <c r="CH292" s="3"/>
      <c r="CI292" s="3"/>
      <c r="CK292" s="3"/>
      <c r="CL292" s="3"/>
      <c r="CN292" s="3"/>
      <c r="CO292" s="3"/>
      <c r="CQ292" s="3"/>
      <c r="CR292" s="5"/>
      <c r="CT292" s="3"/>
      <c r="CW292" s="3"/>
      <c r="CX292" s="3"/>
      <c r="CZ292" s="3"/>
      <c r="DA292" s="3"/>
      <c r="DC292" s="3"/>
      <c r="DD292" s="3"/>
      <c r="DF292" s="3"/>
      <c r="DG292" s="5"/>
      <c r="DI292" s="3"/>
      <c r="DL292" s="3"/>
      <c r="DM292" s="3"/>
      <c r="DO292" s="3"/>
      <c r="DP292" s="3"/>
      <c r="DR292" s="3"/>
      <c r="DS292" s="1" t="str">
        <f>_xlfn.XLOOKUP(OfficeForms.Table[[#This Row],[Selecione a Categoria do Laboratório desta atividade prática:]],Planilha1!A:A,Planilha1!B:B)</f>
        <v>BFI</v>
      </c>
      <c r="DT292" s="1" t="str">
        <f>CONCATENATE(OfficeForms.Table[[#This Row],[Selecione seu Polo Laboratório de Atividades Presenciais:]],OfficeForms.Table[[#This Row],[CHAVE CONVERSÃO]])</f>
        <v>São Paulo/SP - TatuapéBFI</v>
      </c>
      <c r="DU29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Limpeza de Pele Facial e avaliação facial</v>
      </c>
      <c r="DV29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29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292" s="1" t="str">
        <f>_xlfn.XLOOKUP(OfficeForms.Table[[#This Row],[CHAVE LINK POLO]],'[1]Quadro Geral de Lotação'!$B:$B,'[1]Quadro Geral de Lotação'!$I:$I)</f>
        <v>-</v>
      </c>
      <c r="DY292" s="1" t="str">
        <f>OfficeForms.Table[[#This Row],[Selecione a Ordem de Disciplina]]</f>
        <v>Ordem 1</v>
      </c>
    </row>
    <row r="293" spans="1:129" ht="34.15" customHeight="1">
      <c r="A293" s="1">
        <v>293</v>
      </c>
      <c r="B293" s="2">
        <v>46098.028090277803</v>
      </c>
      <c r="C293" s="2">
        <v>46098.029861111099</v>
      </c>
      <c r="D293" s="3" t="s">
        <v>1040</v>
      </c>
      <c r="E293" s="3" t="s">
        <v>1041</v>
      </c>
      <c r="G293" s="3"/>
      <c r="I293" s="3" t="s">
        <v>1042</v>
      </c>
      <c r="K293" s="3"/>
      <c r="L293" s="1" t="s">
        <v>132</v>
      </c>
      <c r="O293" s="3" t="s">
        <v>184</v>
      </c>
      <c r="Q293" s="3"/>
      <c r="R293" s="3"/>
      <c r="T293" s="3"/>
      <c r="U293" s="5"/>
      <c r="W293" s="3"/>
      <c r="Z293" s="3"/>
      <c r="AA293" s="3"/>
      <c r="AC293" s="3"/>
      <c r="AD293" s="3"/>
      <c r="AF293" s="3"/>
      <c r="AG293" s="3" t="s">
        <v>185</v>
      </c>
      <c r="AI293" s="3"/>
      <c r="AJ293" s="1">
        <v>46085</v>
      </c>
      <c r="AL293" s="3"/>
      <c r="AM293" s="1">
        <v>23</v>
      </c>
      <c r="AO293" s="3"/>
      <c r="AP293" s="3" t="s">
        <v>1043</v>
      </c>
      <c r="AR293" s="3"/>
      <c r="AS293" s="3" t="s">
        <v>1044</v>
      </c>
      <c r="AU293" s="3"/>
      <c r="AV293" s="3"/>
      <c r="AX293" s="3"/>
      <c r="AY293" s="5"/>
      <c r="BA293" s="3"/>
      <c r="BD293" s="3"/>
      <c r="BE293" s="3"/>
      <c r="BG293" s="3"/>
      <c r="BH293" s="3"/>
      <c r="BJ293" s="3"/>
      <c r="BK293" s="3"/>
      <c r="BM293" s="3"/>
      <c r="BN293" s="5"/>
      <c r="BP293" s="3"/>
      <c r="BS293" s="3"/>
      <c r="BT293" s="3"/>
      <c r="BV293" s="3"/>
      <c r="BW293" s="3"/>
      <c r="BY293" s="3"/>
      <c r="BZ293" s="3"/>
      <c r="CB293" s="3"/>
      <c r="CC293" s="5"/>
      <c r="CE293" s="3"/>
      <c r="CH293" s="3"/>
      <c r="CI293" s="3"/>
      <c r="CK293" s="3"/>
      <c r="CL293" s="3"/>
      <c r="CN293" s="3"/>
      <c r="CO293" s="3"/>
      <c r="CQ293" s="3"/>
      <c r="CR293" s="5"/>
      <c r="CT293" s="3"/>
      <c r="CW293" s="3"/>
      <c r="CX293" s="3"/>
      <c r="CZ293" s="3"/>
      <c r="DA293" s="3"/>
      <c r="DC293" s="3"/>
      <c r="DD293" s="3"/>
      <c r="DF293" s="3"/>
      <c r="DG293" s="5"/>
      <c r="DI293" s="3"/>
      <c r="DL293" s="3"/>
      <c r="DM293" s="3"/>
      <c r="DO293" s="3"/>
      <c r="DP293" s="3"/>
      <c r="DR293" s="3"/>
      <c r="DS293" s="1" t="str">
        <f>_xlfn.XLOOKUP(OfficeForms.Table[[#This Row],[Selecione a Categoria do Laboratório desta atividade prática:]],Planilha1!A:A,Planilha1!B:B)</f>
        <v>EMF-ISN</v>
      </c>
      <c r="DT293" s="1" t="str">
        <f>CONCATENATE(OfficeForms.Table[[#This Row],[Selecione seu Polo Laboratório de Atividades Presenciais:]],OfficeForms.Table[[#This Row],[CHAVE CONVERSÃO]])</f>
        <v>Pontes e Lacerda/MTEMF-ISN</v>
      </c>
      <c r="DU29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29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29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23</v>
      </c>
      <c r="DX293" s="1" t="str">
        <f>_xlfn.XLOOKUP(OfficeForms.Table[[#This Row],[CHAVE LINK POLO]],'[1]Quadro Geral de Lotação'!$B:$B,'[1]Quadro Geral de Lotação'!$I:$I)</f>
        <v>Leticia De Andrade Ciritelli</v>
      </c>
      <c r="DY293" s="1" t="str">
        <f>OfficeForms.Table[[#This Row],[Selecione a Ordem de Disciplina]]</f>
        <v>Ordem 1</v>
      </c>
    </row>
    <row r="294" spans="1:129" ht="34.15" customHeight="1">
      <c r="A294" s="1">
        <v>294</v>
      </c>
      <c r="B294" s="2">
        <v>46098.368217592601</v>
      </c>
      <c r="C294" s="2">
        <v>46098.3699768519</v>
      </c>
      <c r="D294" s="3" t="s">
        <v>257</v>
      </c>
      <c r="E294" s="3" t="s">
        <v>258</v>
      </c>
      <c r="G294" s="3"/>
      <c r="I294" s="3" t="s">
        <v>259</v>
      </c>
      <c r="K294" s="3"/>
      <c r="L294" s="1" t="s">
        <v>132</v>
      </c>
      <c r="O294" s="3" t="s">
        <v>156</v>
      </c>
      <c r="Q294" s="3"/>
      <c r="R294" s="3"/>
      <c r="T294" s="3"/>
      <c r="U294" s="5"/>
      <c r="W294" s="3"/>
      <c r="Z294" s="3"/>
      <c r="AA294" s="3"/>
      <c r="AC294" s="3"/>
      <c r="AD294" s="3"/>
      <c r="AF294" s="3"/>
      <c r="AG294" s="3"/>
      <c r="AI294" s="3"/>
      <c r="AJ294" s="1"/>
      <c r="AL294" s="3"/>
      <c r="AO294" s="3"/>
      <c r="AP294" s="3"/>
      <c r="AR294" s="3"/>
      <c r="AS294" s="3"/>
      <c r="AU294" s="3"/>
      <c r="AV294" s="3"/>
      <c r="AX294" s="3"/>
      <c r="AY294" s="5"/>
      <c r="BA294" s="3"/>
      <c r="BD294" s="3"/>
      <c r="BE294" s="3"/>
      <c r="BG294" s="3"/>
      <c r="BH294" s="3"/>
      <c r="BJ294" s="3"/>
      <c r="BK294" s="3" t="s">
        <v>157</v>
      </c>
      <c r="BM294" s="3"/>
      <c r="BN294" s="5">
        <v>46095</v>
      </c>
      <c r="BP294" s="3"/>
      <c r="BQ294" s="1">
        <v>9</v>
      </c>
      <c r="BS294" s="3"/>
      <c r="BT294" s="3" t="s">
        <v>1045</v>
      </c>
      <c r="BV294" s="3"/>
      <c r="BW294" s="3" t="s">
        <v>1046</v>
      </c>
      <c r="BY294" s="3"/>
      <c r="BZ294" s="3"/>
      <c r="CB294" s="3"/>
      <c r="CC294" s="5"/>
      <c r="CE294" s="3"/>
      <c r="CH294" s="3"/>
      <c r="CI294" s="3"/>
      <c r="CK294" s="3"/>
      <c r="CL294" s="3"/>
      <c r="CN294" s="3"/>
      <c r="CO294" s="3"/>
      <c r="CQ294" s="3"/>
      <c r="CR294" s="5"/>
      <c r="CT294" s="3"/>
      <c r="CW294" s="3"/>
      <c r="CX294" s="3"/>
      <c r="CZ294" s="3"/>
      <c r="DA294" s="3"/>
      <c r="DC294" s="3"/>
      <c r="DD294" s="3"/>
      <c r="DF294" s="3"/>
      <c r="DG294" s="5"/>
      <c r="DI294" s="3"/>
      <c r="DL294" s="3"/>
      <c r="DM294" s="3"/>
      <c r="DO294" s="3"/>
      <c r="DP294" s="3"/>
      <c r="DR294" s="3"/>
      <c r="DS294" s="1" t="str">
        <f>_xlfn.XLOOKUP(OfficeForms.Table[[#This Row],[Selecione a Categoria do Laboratório desta atividade prática:]],Planilha1!A:A,Planilha1!B:B)</f>
        <v>NTR</v>
      </c>
      <c r="DT294" s="1" t="str">
        <f>CONCATENATE(OfficeForms.Table[[#This Row],[Selecione seu Polo Laboratório de Atividades Presenciais:]],OfficeForms.Table[[#This Row],[CHAVE CONVERSÃO]])</f>
        <v>Capão Da Canoa/RSNTR</v>
      </c>
      <c r="DU29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29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29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294" s="1" t="str">
        <f>_xlfn.XLOOKUP(OfficeForms.Table[[#This Row],[CHAVE LINK POLO]],'[1]Quadro Geral de Lotação'!$B:$B,'[1]Quadro Geral de Lotação'!$I:$I)</f>
        <v>Ana Carolina Da Silva Sedrez</v>
      </c>
      <c r="DY294" s="1" t="str">
        <f>OfficeForms.Table[[#This Row],[Selecione a Ordem de Disciplina]]</f>
        <v>Ordem 1</v>
      </c>
    </row>
    <row r="295" spans="1:129" ht="34.15" customHeight="1">
      <c r="A295" s="1">
        <v>295</v>
      </c>
      <c r="B295" s="2">
        <v>46098.370023148098</v>
      </c>
      <c r="C295" s="2">
        <v>46098.371307870402</v>
      </c>
      <c r="D295" s="3" t="s">
        <v>257</v>
      </c>
      <c r="E295" s="3" t="s">
        <v>258</v>
      </c>
      <c r="G295" s="3"/>
      <c r="I295" s="3" t="s">
        <v>259</v>
      </c>
      <c r="K295" s="3"/>
      <c r="L295" s="1" t="s">
        <v>132</v>
      </c>
      <c r="O295" s="3" t="s">
        <v>156</v>
      </c>
      <c r="Q295" s="3"/>
      <c r="R295" s="3"/>
      <c r="T295" s="3"/>
      <c r="U295" s="5"/>
      <c r="W295" s="3"/>
      <c r="Z295" s="3"/>
      <c r="AA295" s="3"/>
      <c r="AC295" s="3"/>
      <c r="AD295" s="3"/>
      <c r="AF295" s="3"/>
      <c r="AG295" s="3"/>
      <c r="AI295" s="3"/>
      <c r="AJ295" s="1"/>
      <c r="AL295" s="3"/>
      <c r="AO295" s="3"/>
      <c r="AP295" s="3"/>
      <c r="AR295" s="3"/>
      <c r="AS295" s="3"/>
      <c r="AU295" s="3"/>
      <c r="AV295" s="3"/>
      <c r="AX295" s="3"/>
      <c r="AY295" s="5"/>
      <c r="BA295" s="3"/>
      <c r="BD295" s="3"/>
      <c r="BE295" s="3"/>
      <c r="BG295" s="3"/>
      <c r="BH295" s="3"/>
      <c r="BJ295" s="3"/>
      <c r="BK295" s="3" t="s">
        <v>165</v>
      </c>
      <c r="BM295" s="3"/>
      <c r="BN295" s="5">
        <v>46095</v>
      </c>
      <c r="BP295" s="3"/>
      <c r="BQ295" s="1">
        <v>9</v>
      </c>
      <c r="BS295" s="3"/>
      <c r="BT295" s="3" t="s">
        <v>1047</v>
      </c>
      <c r="BV295" s="3"/>
      <c r="BW295" s="3" t="s">
        <v>1048</v>
      </c>
      <c r="BY295" s="3"/>
      <c r="BZ295" s="3"/>
      <c r="CB295" s="3"/>
      <c r="CC295" s="5"/>
      <c r="CE295" s="3"/>
      <c r="CH295" s="3"/>
      <c r="CI295" s="3"/>
      <c r="CK295" s="3"/>
      <c r="CL295" s="3"/>
      <c r="CN295" s="3"/>
      <c r="CO295" s="3"/>
      <c r="CQ295" s="3"/>
      <c r="CR295" s="5"/>
      <c r="CT295" s="3"/>
      <c r="CW295" s="3"/>
      <c r="CX295" s="3"/>
      <c r="CZ295" s="3"/>
      <c r="DA295" s="3"/>
      <c r="DC295" s="3"/>
      <c r="DD295" s="3"/>
      <c r="DF295" s="3"/>
      <c r="DG295" s="5"/>
      <c r="DI295" s="3"/>
      <c r="DL295" s="3"/>
      <c r="DM295" s="3"/>
      <c r="DO295" s="3"/>
      <c r="DP295" s="3"/>
      <c r="DR295" s="3"/>
      <c r="DS295" s="1" t="str">
        <f>_xlfn.XLOOKUP(OfficeForms.Table[[#This Row],[Selecione a Categoria do Laboratório desta atividade prática:]],Planilha1!A:A,Planilha1!B:B)</f>
        <v>NTR</v>
      </c>
      <c r="DT295" s="1" t="str">
        <f>CONCATENATE(OfficeForms.Table[[#This Row],[Selecione seu Polo Laboratório de Atividades Presenciais:]],OfficeForms.Table[[#This Row],[CHAVE CONVERSÃO]])</f>
        <v>Capão Da Canoa/RSNTR</v>
      </c>
      <c r="DU29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29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29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295" s="1" t="str">
        <f>_xlfn.XLOOKUP(OfficeForms.Table[[#This Row],[CHAVE LINK POLO]],'[1]Quadro Geral de Lotação'!$B:$B,'[1]Quadro Geral de Lotação'!$I:$I)</f>
        <v>Ana Carolina Da Silva Sedrez</v>
      </c>
      <c r="DY295" s="1" t="str">
        <f>OfficeForms.Table[[#This Row],[Selecione a Ordem de Disciplina]]</f>
        <v>Ordem 1</v>
      </c>
    </row>
    <row r="296" spans="1:129" ht="34.15" customHeight="1">
      <c r="A296" s="1">
        <v>296</v>
      </c>
      <c r="B296" s="2">
        <v>46098.475324074097</v>
      </c>
      <c r="C296" s="2">
        <v>46098.488055555601</v>
      </c>
      <c r="D296" s="3" t="s">
        <v>273</v>
      </c>
      <c r="E296" s="3" t="s">
        <v>274</v>
      </c>
      <c r="G296" s="3"/>
      <c r="I296" s="3" t="s">
        <v>275</v>
      </c>
      <c r="K296" s="3"/>
      <c r="L296" s="1" t="s">
        <v>678</v>
      </c>
      <c r="O296" s="3" t="s">
        <v>133</v>
      </c>
      <c r="Q296" s="3"/>
      <c r="R296" s="3"/>
      <c r="T296" s="3"/>
      <c r="U296" s="5"/>
      <c r="W296" s="3"/>
      <c r="Z296" s="3"/>
      <c r="AA296" s="3"/>
      <c r="AC296" s="3"/>
      <c r="AD296" s="3"/>
      <c r="AF296" s="3"/>
      <c r="AG296" s="3"/>
      <c r="AI296" s="3"/>
      <c r="AJ296" s="1"/>
      <c r="AL296" s="3"/>
      <c r="AO296" s="3"/>
      <c r="AP296" s="3"/>
      <c r="AR296" s="3"/>
      <c r="AS296" s="3"/>
      <c r="AU296" s="3"/>
      <c r="AV296" s="3" t="s">
        <v>1049</v>
      </c>
      <c r="AX296" s="3"/>
      <c r="AY296" s="5">
        <v>46097</v>
      </c>
      <c r="BA296" s="3"/>
      <c r="BB296" s="1">
        <v>0</v>
      </c>
      <c r="BD296" s="3"/>
      <c r="BE296" s="3" t="s">
        <v>1050</v>
      </c>
      <c r="BG296" s="3"/>
      <c r="BH296" s="3" t="s">
        <v>1051</v>
      </c>
      <c r="BJ296" s="3"/>
      <c r="BK296" s="3"/>
      <c r="BM296" s="3"/>
      <c r="BN296" s="5"/>
      <c r="BP296" s="3"/>
      <c r="BS296" s="3"/>
      <c r="BT296" s="3"/>
      <c r="BV296" s="3"/>
      <c r="BW296" s="3"/>
      <c r="BY296" s="3"/>
      <c r="BZ296" s="3"/>
      <c r="CB296" s="3"/>
      <c r="CC296" s="5"/>
      <c r="CE296" s="3"/>
      <c r="CH296" s="3"/>
      <c r="CI296" s="3"/>
      <c r="CK296" s="3"/>
      <c r="CL296" s="3"/>
      <c r="CN296" s="3"/>
      <c r="CO296" s="3"/>
      <c r="CQ296" s="3"/>
      <c r="CR296" s="5"/>
      <c r="CT296" s="3"/>
      <c r="CW296" s="3"/>
      <c r="CX296" s="3"/>
      <c r="CZ296" s="3"/>
      <c r="DA296" s="3"/>
      <c r="DC296" s="3"/>
      <c r="DD296" s="3"/>
      <c r="DF296" s="3"/>
      <c r="DG296" s="5"/>
      <c r="DI296" s="3"/>
      <c r="DL296" s="3"/>
      <c r="DM296" s="3"/>
      <c r="DO296" s="3"/>
      <c r="DP296" s="3"/>
      <c r="DR296" s="3"/>
      <c r="DS296" s="1" t="str">
        <f>_xlfn.XLOOKUP(OfficeForms.Table[[#This Row],[Selecione a Categoria do Laboratório desta atividade prática:]],Planilha1!A:A,Planilha1!B:B)</f>
        <v>BFI</v>
      </c>
      <c r="DT296" s="1" t="str">
        <f>CONCATENATE(OfficeForms.Table[[#This Row],[Selecione seu Polo Laboratório de Atividades Presenciais:]],OfficeForms.Table[[#This Row],[CHAVE CONVERSÃO]])</f>
        <v>Porto Alegre/RS - Zona NorteBFI</v>
      </c>
      <c r="DU29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Tratamento de Redução de Medida;Tratamento Flacidez dérmica</v>
      </c>
      <c r="DV29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29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96" s="1" t="str">
        <f>_xlfn.XLOOKUP(OfficeForms.Table[[#This Row],[CHAVE LINK POLO]],'[1]Quadro Geral de Lotação'!$B:$B,'[1]Quadro Geral de Lotação'!$I:$I)</f>
        <v>Fabiano Johnson Duarte Bartmann</v>
      </c>
      <c r="DY296" s="1" t="str">
        <f>OfficeForms.Table[[#This Row],[Selecione a Ordem de Disciplina]]</f>
        <v>Ordem 2</v>
      </c>
    </row>
    <row r="297" spans="1:129" ht="34.15" customHeight="1">
      <c r="A297" s="1">
        <v>297</v>
      </c>
      <c r="B297" s="2">
        <v>46098.5262268519</v>
      </c>
      <c r="C297" s="2">
        <v>46098.530416666697</v>
      </c>
      <c r="D297" s="3" t="s">
        <v>1040</v>
      </c>
      <c r="E297" s="3" t="s">
        <v>1041</v>
      </c>
      <c r="G297" s="3"/>
      <c r="I297" s="3" t="s">
        <v>1042</v>
      </c>
      <c r="K297" s="3"/>
      <c r="L297" s="1" t="s">
        <v>132</v>
      </c>
      <c r="O297" s="3" t="s">
        <v>184</v>
      </c>
      <c r="Q297" s="3"/>
      <c r="R297" s="3"/>
      <c r="T297" s="3"/>
      <c r="U297" s="5"/>
      <c r="W297" s="3"/>
      <c r="Z297" s="3"/>
      <c r="AA297" s="3"/>
      <c r="AC297" s="3"/>
      <c r="AD297" s="3"/>
      <c r="AF297" s="3"/>
      <c r="AG297" s="3" t="s">
        <v>414</v>
      </c>
      <c r="AI297" s="3"/>
      <c r="AJ297" s="1">
        <v>46078</v>
      </c>
      <c r="AL297" s="3"/>
      <c r="AM297" s="1">
        <v>1</v>
      </c>
      <c r="AO297" s="3"/>
      <c r="AP297" s="3" t="s">
        <v>1052</v>
      </c>
      <c r="AR297" s="3"/>
      <c r="AS297" s="3" t="s">
        <v>1053</v>
      </c>
      <c r="AU297" s="3"/>
      <c r="AV297" s="3"/>
      <c r="AX297" s="3"/>
      <c r="AY297" s="5"/>
      <c r="BA297" s="3"/>
      <c r="BD297" s="3"/>
      <c r="BE297" s="3"/>
      <c r="BG297" s="3"/>
      <c r="BH297" s="3"/>
      <c r="BJ297" s="3"/>
      <c r="BK297" s="3"/>
      <c r="BM297" s="3"/>
      <c r="BN297" s="5"/>
      <c r="BP297" s="3"/>
      <c r="BS297" s="3"/>
      <c r="BT297" s="3"/>
      <c r="BV297" s="3"/>
      <c r="BW297" s="3"/>
      <c r="BY297" s="3"/>
      <c r="BZ297" s="3"/>
      <c r="CB297" s="3"/>
      <c r="CC297" s="5"/>
      <c r="CE297" s="3"/>
      <c r="CH297" s="3"/>
      <c r="CI297" s="3"/>
      <c r="CK297" s="3"/>
      <c r="CL297" s="3"/>
      <c r="CN297" s="3"/>
      <c r="CO297" s="3"/>
      <c r="CQ297" s="3"/>
      <c r="CR297" s="5"/>
      <c r="CT297" s="3"/>
      <c r="CW297" s="3"/>
      <c r="CX297" s="3"/>
      <c r="CZ297" s="3"/>
      <c r="DA297" s="3"/>
      <c r="DC297" s="3"/>
      <c r="DD297" s="3"/>
      <c r="DF297" s="3"/>
      <c r="DG297" s="5"/>
      <c r="DI297" s="3"/>
      <c r="DL297" s="3"/>
      <c r="DM297" s="3"/>
      <c r="DO297" s="3"/>
      <c r="DP297" s="3"/>
      <c r="DR297" s="3"/>
      <c r="DS297" s="1" t="str">
        <f>_xlfn.XLOOKUP(OfficeForms.Table[[#This Row],[Selecione a Categoria do Laboratório desta atividade prática:]],Planilha1!A:A,Planilha1!B:B)</f>
        <v>EMF-ISN</v>
      </c>
      <c r="DT297" s="1" t="str">
        <f>CONCATENATE(OfficeForms.Table[[#This Row],[Selecione seu Polo Laboratório de Atividades Presenciais:]],OfficeForms.Table[[#This Row],[CHAVE CONVERSÃO]])</f>
        <v>Pontes e Lacerda/MTEMF-ISN</v>
      </c>
      <c r="DU29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29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29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97" s="1" t="str">
        <f>_xlfn.XLOOKUP(OfficeForms.Table[[#This Row],[CHAVE LINK POLO]],'[1]Quadro Geral de Lotação'!$B:$B,'[1]Quadro Geral de Lotação'!$I:$I)</f>
        <v>Leticia De Andrade Ciritelli</v>
      </c>
      <c r="DY297" s="1" t="str">
        <f>OfficeForms.Table[[#This Row],[Selecione a Ordem de Disciplina]]</f>
        <v>Ordem 1</v>
      </c>
    </row>
    <row r="298" spans="1:129" ht="34.15" customHeight="1">
      <c r="A298" s="1">
        <v>298</v>
      </c>
      <c r="B298" s="2">
        <v>46098.530462962997</v>
      </c>
      <c r="C298" s="2">
        <v>46098.531284722201</v>
      </c>
      <c r="D298" s="3" t="s">
        <v>1040</v>
      </c>
      <c r="E298" s="3" t="s">
        <v>1041</v>
      </c>
      <c r="G298" s="3"/>
      <c r="I298" s="3" t="s">
        <v>1042</v>
      </c>
      <c r="K298" s="3"/>
      <c r="L298" s="1" t="s">
        <v>132</v>
      </c>
      <c r="O298" s="3" t="s">
        <v>184</v>
      </c>
      <c r="Q298" s="3"/>
      <c r="R298" s="3"/>
      <c r="T298" s="3"/>
      <c r="U298" s="5"/>
      <c r="W298" s="3"/>
      <c r="Z298" s="3"/>
      <c r="AA298" s="3"/>
      <c r="AC298" s="3"/>
      <c r="AD298" s="3"/>
      <c r="AF298" s="3"/>
      <c r="AG298" s="3" t="s">
        <v>316</v>
      </c>
      <c r="AI298" s="3"/>
      <c r="AJ298" s="1">
        <v>46078</v>
      </c>
      <c r="AL298" s="3"/>
      <c r="AM298" s="1">
        <v>1</v>
      </c>
      <c r="AO298" s="3"/>
      <c r="AP298" s="3" t="s">
        <v>1054</v>
      </c>
      <c r="AR298" s="3"/>
      <c r="AS298" s="3" t="s">
        <v>1055</v>
      </c>
      <c r="AU298" s="3"/>
      <c r="AV298" s="3"/>
      <c r="AX298" s="3"/>
      <c r="AY298" s="5"/>
      <c r="BA298" s="3"/>
      <c r="BD298" s="3"/>
      <c r="BE298" s="3"/>
      <c r="BG298" s="3"/>
      <c r="BH298" s="3"/>
      <c r="BJ298" s="3"/>
      <c r="BK298" s="3"/>
      <c r="BM298" s="3"/>
      <c r="BN298" s="5"/>
      <c r="BP298" s="3"/>
      <c r="BS298" s="3"/>
      <c r="BT298" s="3"/>
      <c r="BV298" s="3"/>
      <c r="BW298" s="3"/>
      <c r="BY298" s="3"/>
      <c r="BZ298" s="3"/>
      <c r="CB298" s="3"/>
      <c r="CC298" s="5"/>
      <c r="CE298" s="3"/>
      <c r="CH298" s="3"/>
      <c r="CI298" s="3"/>
      <c r="CK298" s="3"/>
      <c r="CL298" s="3"/>
      <c r="CN298" s="3"/>
      <c r="CO298" s="3"/>
      <c r="CQ298" s="3"/>
      <c r="CR298" s="5"/>
      <c r="CT298" s="3"/>
      <c r="CW298" s="3"/>
      <c r="CX298" s="3"/>
      <c r="CZ298" s="3"/>
      <c r="DA298" s="3"/>
      <c r="DC298" s="3"/>
      <c r="DD298" s="3"/>
      <c r="DF298" s="3"/>
      <c r="DG298" s="5"/>
      <c r="DI298" s="3"/>
      <c r="DL298" s="3"/>
      <c r="DM298" s="3"/>
      <c r="DO298" s="3"/>
      <c r="DP298" s="3"/>
      <c r="DR298" s="3"/>
      <c r="DS298" s="1" t="str">
        <f>_xlfn.XLOOKUP(OfficeForms.Table[[#This Row],[Selecione a Categoria do Laboratório desta atividade prática:]],Planilha1!A:A,Planilha1!B:B)</f>
        <v>EMF-ISN</v>
      </c>
      <c r="DT298" s="1" t="str">
        <f>CONCATENATE(OfficeForms.Table[[#This Row],[Selecione seu Polo Laboratório de Atividades Presenciais:]],OfficeForms.Table[[#This Row],[CHAVE CONVERSÃO]])</f>
        <v>Pontes e Lacerda/MTEMF-ISN</v>
      </c>
      <c r="DU29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29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29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298" s="1" t="str">
        <f>_xlfn.XLOOKUP(OfficeForms.Table[[#This Row],[CHAVE LINK POLO]],'[1]Quadro Geral de Lotação'!$B:$B,'[1]Quadro Geral de Lotação'!$I:$I)</f>
        <v>Leticia De Andrade Ciritelli</v>
      </c>
      <c r="DY298" s="1" t="str">
        <f>OfficeForms.Table[[#This Row],[Selecione a Ordem de Disciplina]]</f>
        <v>Ordem 1</v>
      </c>
    </row>
    <row r="299" spans="1:129" ht="34.15" customHeight="1">
      <c r="A299" s="1">
        <v>299</v>
      </c>
      <c r="B299" s="2">
        <v>46098.531331018501</v>
      </c>
      <c r="C299" s="2">
        <v>46098.533657407403</v>
      </c>
      <c r="D299" s="3" t="s">
        <v>1040</v>
      </c>
      <c r="E299" s="3" t="s">
        <v>1041</v>
      </c>
      <c r="G299" s="3"/>
      <c r="I299" s="3" t="s">
        <v>1042</v>
      </c>
      <c r="K299" s="3"/>
      <c r="L299" s="1" t="s">
        <v>132</v>
      </c>
      <c r="O299" s="3" t="s">
        <v>184</v>
      </c>
      <c r="Q299" s="3"/>
      <c r="R299" s="3"/>
      <c r="T299" s="3"/>
      <c r="U299" s="5"/>
      <c r="W299" s="3"/>
      <c r="Z299" s="3"/>
      <c r="AA299" s="3"/>
      <c r="AC299" s="3"/>
      <c r="AD299" s="3"/>
      <c r="AF299" s="3"/>
      <c r="AG299" s="3" t="s">
        <v>655</v>
      </c>
      <c r="AI299" s="3"/>
      <c r="AJ299" s="1">
        <v>46071</v>
      </c>
      <c r="AL299" s="3"/>
      <c r="AM299" s="1">
        <v>0</v>
      </c>
      <c r="AO299" s="3"/>
      <c r="AP299" s="3" t="s">
        <v>1056</v>
      </c>
      <c r="AR299" s="3"/>
      <c r="AS299" s="3" t="s">
        <v>1057</v>
      </c>
      <c r="AU299" s="3"/>
      <c r="AV299" s="3"/>
      <c r="AX299" s="3"/>
      <c r="AY299" s="5"/>
      <c r="BA299" s="3"/>
      <c r="BD299" s="3"/>
      <c r="BE299" s="3"/>
      <c r="BG299" s="3"/>
      <c r="BH299" s="3"/>
      <c r="BJ299" s="3"/>
      <c r="BK299" s="3"/>
      <c r="BM299" s="3"/>
      <c r="BN299" s="5"/>
      <c r="BP299" s="3"/>
      <c r="BS299" s="3"/>
      <c r="BT299" s="3"/>
      <c r="BV299" s="3"/>
      <c r="BW299" s="3"/>
      <c r="BY299" s="3"/>
      <c r="BZ299" s="3"/>
      <c r="CB299" s="3"/>
      <c r="CC299" s="5"/>
      <c r="CE299" s="3"/>
      <c r="CH299" s="3"/>
      <c r="CI299" s="3"/>
      <c r="CK299" s="3"/>
      <c r="CL299" s="3"/>
      <c r="CN299" s="3"/>
      <c r="CO299" s="3"/>
      <c r="CQ299" s="3"/>
      <c r="CR299" s="5"/>
      <c r="CT299" s="3"/>
      <c r="CW299" s="3"/>
      <c r="CX299" s="3"/>
      <c r="CZ299" s="3"/>
      <c r="DA299" s="3"/>
      <c r="DC299" s="3"/>
      <c r="DD299" s="3"/>
      <c r="DF299" s="3"/>
      <c r="DG299" s="5"/>
      <c r="DI299" s="3"/>
      <c r="DL299" s="3"/>
      <c r="DM299" s="3"/>
      <c r="DO299" s="3"/>
      <c r="DP299" s="3"/>
      <c r="DR299" s="3"/>
      <c r="DS299" s="1" t="str">
        <f>_xlfn.XLOOKUP(OfficeForms.Table[[#This Row],[Selecione a Categoria do Laboratório desta atividade prática:]],Planilha1!A:A,Planilha1!B:B)</f>
        <v>EMF-ISN</v>
      </c>
      <c r="DT299" s="1" t="str">
        <f>CONCATENATE(OfficeForms.Table[[#This Row],[Selecione seu Polo Laboratório de Atividades Presenciais:]],OfficeForms.Table[[#This Row],[CHAVE CONVERSÃO]])</f>
        <v>Pontes e Lacerda/MTEMF-ISN</v>
      </c>
      <c r="DU29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Consulta de enfermagem no pré-natal de baixo risco + Administração de medicamento pela via intramuscular</v>
      </c>
      <c r="DV29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29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299" s="1" t="str">
        <f>_xlfn.XLOOKUP(OfficeForms.Table[[#This Row],[CHAVE LINK POLO]],'[1]Quadro Geral de Lotação'!$B:$B,'[1]Quadro Geral de Lotação'!$I:$I)</f>
        <v>Leticia De Andrade Ciritelli</v>
      </c>
      <c r="DY299" s="1" t="str">
        <f>OfficeForms.Table[[#This Row],[Selecione a Ordem de Disciplina]]</f>
        <v>Ordem 1</v>
      </c>
    </row>
    <row r="300" spans="1:129" ht="34.15" customHeight="1">
      <c r="A300" s="1">
        <v>300</v>
      </c>
      <c r="B300" s="2">
        <v>46098.533715277801</v>
      </c>
      <c r="C300" s="2">
        <v>46098.535115740699</v>
      </c>
      <c r="D300" s="3" t="s">
        <v>1040</v>
      </c>
      <c r="E300" s="3" t="s">
        <v>1041</v>
      </c>
      <c r="G300" s="3"/>
      <c r="I300" s="3" t="s">
        <v>1042</v>
      </c>
      <c r="K300" s="3"/>
      <c r="L300" s="1" t="s">
        <v>132</v>
      </c>
      <c r="O300" s="3" t="s">
        <v>184</v>
      </c>
      <c r="Q300" s="3"/>
      <c r="R300" s="3"/>
      <c r="T300" s="3"/>
      <c r="U300" s="5"/>
      <c r="W300" s="3"/>
      <c r="Z300" s="3"/>
      <c r="AA300" s="3"/>
      <c r="AC300" s="3"/>
      <c r="AD300" s="3"/>
      <c r="AF300" s="3"/>
      <c r="AG300" s="3" t="s">
        <v>194</v>
      </c>
      <c r="AI300" s="3"/>
      <c r="AJ300" s="1">
        <v>46071</v>
      </c>
      <c r="AL300" s="3"/>
      <c r="AM300" s="1">
        <v>0</v>
      </c>
      <c r="AO300" s="3"/>
      <c r="AP300" s="3" t="s">
        <v>1058</v>
      </c>
      <c r="AR300" s="3"/>
      <c r="AS300" s="3" t="s">
        <v>1059</v>
      </c>
      <c r="AU300" s="3"/>
      <c r="AV300" s="3"/>
      <c r="AX300" s="3"/>
      <c r="AY300" s="5"/>
      <c r="BA300" s="3"/>
      <c r="BD300" s="3"/>
      <c r="BE300" s="3"/>
      <c r="BG300" s="3"/>
      <c r="BH300" s="3"/>
      <c r="BJ300" s="3"/>
      <c r="BK300" s="3"/>
      <c r="BM300" s="3"/>
      <c r="BN300" s="5"/>
      <c r="BP300" s="3"/>
      <c r="BS300" s="3"/>
      <c r="BT300" s="3"/>
      <c r="BV300" s="3"/>
      <c r="BW300" s="3"/>
      <c r="BY300" s="3"/>
      <c r="BZ300" s="3"/>
      <c r="CB300" s="3"/>
      <c r="CC300" s="5"/>
      <c r="CE300" s="3"/>
      <c r="CH300" s="3"/>
      <c r="CI300" s="3"/>
      <c r="CK300" s="3"/>
      <c r="CL300" s="3"/>
      <c r="CN300" s="3"/>
      <c r="CO300" s="3"/>
      <c r="CQ300" s="3"/>
      <c r="CR300" s="5"/>
      <c r="CT300" s="3"/>
      <c r="CW300" s="3"/>
      <c r="CX300" s="3"/>
      <c r="CZ300" s="3"/>
      <c r="DA300" s="3"/>
      <c r="DC300" s="3"/>
      <c r="DD300" s="3"/>
      <c r="DF300" s="3"/>
      <c r="DG300" s="5"/>
      <c r="DI300" s="3"/>
      <c r="DL300" s="3"/>
      <c r="DM300" s="3"/>
      <c r="DO300" s="3"/>
      <c r="DP300" s="3"/>
      <c r="DR300" s="3"/>
      <c r="DS300" s="1" t="str">
        <f>_xlfn.XLOOKUP(OfficeForms.Table[[#This Row],[Selecione a Categoria do Laboratório desta atividade prática:]],Planilha1!A:A,Planilha1!B:B)</f>
        <v>EMF-ISN</v>
      </c>
      <c r="DT300" s="1" t="str">
        <f>CONCATENATE(OfficeForms.Table[[#This Row],[Selecione seu Polo Laboratório de Atividades Presenciais:]],OfficeForms.Table[[#This Row],[CHAVE CONVERSÃO]])</f>
        <v>Pontes e Lacerda/MTEMF-ISN</v>
      </c>
      <c r="DU30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30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30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00" s="1" t="str">
        <f>_xlfn.XLOOKUP(OfficeForms.Table[[#This Row],[CHAVE LINK POLO]],'[1]Quadro Geral de Lotação'!$B:$B,'[1]Quadro Geral de Lotação'!$I:$I)</f>
        <v>Leticia De Andrade Ciritelli</v>
      </c>
      <c r="DY300" s="1" t="str">
        <f>OfficeForms.Table[[#This Row],[Selecione a Ordem de Disciplina]]</f>
        <v>Ordem 1</v>
      </c>
    </row>
    <row r="301" spans="1:129" ht="34.15" customHeight="1">
      <c r="A301" s="1">
        <v>301</v>
      </c>
      <c r="B301" s="2">
        <v>46098.537731481498</v>
      </c>
      <c r="C301" s="2">
        <v>46098.5391087963</v>
      </c>
      <c r="D301" s="3" t="s">
        <v>1040</v>
      </c>
      <c r="E301" s="3" t="s">
        <v>1041</v>
      </c>
      <c r="G301" s="3"/>
      <c r="I301" s="3" t="s">
        <v>1042</v>
      </c>
      <c r="K301" s="3"/>
      <c r="L301" s="1" t="s">
        <v>132</v>
      </c>
      <c r="O301" s="3" t="s">
        <v>184</v>
      </c>
      <c r="Q301" s="3"/>
      <c r="R301" s="3"/>
      <c r="T301" s="3"/>
      <c r="U301" s="5"/>
      <c r="W301" s="3"/>
      <c r="Z301" s="3"/>
      <c r="AA301" s="3"/>
      <c r="AC301" s="3"/>
      <c r="AD301" s="3"/>
      <c r="AF301" s="3"/>
      <c r="AG301" s="3" t="s">
        <v>206</v>
      </c>
      <c r="AI301" s="3"/>
      <c r="AJ301" s="1">
        <v>46092</v>
      </c>
      <c r="AL301" s="3"/>
      <c r="AM301" s="1">
        <v>0</v>
      </c>
      <c r="AO301" s="3"/>
      <c r="AP301" s="3" t="s">
        <v>1060</v>
      </c>
      <c r="AR301" s="3"/>
      <c r="AS301" s="3" t="s">
        <v>1061</v>
      </c>
      <c r="AU301" s="3"/>
      <c r="AV301" s="3"/>
      <c r="AX301" s="3"/>
      <c r="AY301" s="5"/>
      <c r="BA301" s="3"/>
      <c r="BD301" s="3"/>
      <c r="BE301" s="3"/>
      <c r="BG301" s="3"/>
      <c r="BH301" s="3"/>
      <c r="BJ301" s="3"/>
      <c r="BK301" s="3"/>
      <c r="BM301" s="3"/>
      <c r="BN301" s="5"/>
      <c r="BP301" s="3"/>
      <c r="BS301" s="3"/>
      <c r="BT301" s="3"/>
      <c r="BV301" s="3"/>
      <c r="BW301" s="3"/>
      <c r="BY301" s="3"/>
      <c r="BZ301" s="3"/>
      <c r="CB301" s="3"/>
      <c r="CC301" s="5"/>
      <c r="CE301" s="3"/>
      <c r="CH301" s="3"/>
      <c r="CI301" s="3"/>
      <c r="CK301" s="3"/>
      <c r="CL301" s="3"/>
      <c r="CN301" s="3"/>
      <c r="CO301" s="3"/>
      <c r="CQ301" s="3"/>
      <c r="CR301" s="5"/>
      <c r="CT301" s="3"/>
      <c r="CW301" s="3"/>
      <c r="CX301" s="3"/>
      <c r="CZ301" s="3"/>
      <c r="DA301" s="3"/>
      <c r="DC301" s="3"/>
      <c r="DD301" s="3"/>
      <c r="DF301" s="3"/>
      <c r="DG301" s="5"/>
      <c r="DI301" s="3"/>
      <c r="DL301" s="3"/>
      <c r="DM301" s="3"/>
      <c r="DO301" s="3"/>
      <c r="DP301" s="3"/>
      <c r="DR301" s="3"/>
      <c r="DS301" s="1" t="str">
        <f>_xlfn.XLOOKUP(OfficeForms.Table[[#This Row],[Selecione a Categoria do Laboratório desta atividade prática:]],Planilha1!A:A,Planilha1!B:B)</f>
        <v>EMF-ISN</v>
      </c>
      <c r="DT301" s="1" t="str">
        <f>CONCATENATE(OfficeForms.Table[[#This Row],[Selecione seu Polo Laboratório de Atividades Presenciais:]],OfficeForms.Table[[#This Row],[CHAVE CONVERSÃO]])</f>
        <v>Pontes e Lacerda/MTEMF-ISN</v>
      </c>
      <c r="DU30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30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30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01" s="1" t="str">
        <f>_xlfn.XLOOKUP(OfficeForms.Table[[#This Row],[CHAVE LINK POLO]],'[1]Quadro Geral de Lotação'!$B:$B,'[1]Quadro Geral de Lotação'!$I:$I)</f>
        <v>Leticia De Andrade Ciritelli</v>
      </c>
      <c r="DY301" s="1" t="str">
        <f>OfficeForms.Table[[#This Row],[Selecione a Ordem de Disciplina]]</f>
        <v>Ordem 1</v>
      </c>
    </row>
    <row r="302" spans="1:129" ht="34.15" customHeight="1">
      <c r="A302" s="1">
        <v>302</v>
      </c>
      <c r="B302" s="2">
        <v>46098.682719907403</v>
      </c>
      <c r="C302" s="2">
        <v>46098.689328703702</v>
      </c>
      <c r="D302" s="3" t="s">
        <v>616</v>
      </c>
      <c r="E302" s="3" t="s">
        <v>617</v>
      </c>
      <c r="G302" s="3"/>
      <c r="I302" s="3" t="s">
        <v>618</v>
      </c>
      <c r="K302" s="3"/>
      <c r="L302" s="1" t="s">
        <v>678</v>
      </c>
      <c r="O302" s="3" t="s">
        <v>184</v>
      </c>
      <c r="Q302" s="3"/>
      <c r="R302" s="3"/>
      <c r="T302" s="3"/>
      <c r="U302" s="5"/>
      <c r="W302" s="3"/>
      <c r="Z302" s="3"/>
      <c r="AA302" s="3"/>
      <c r="AC302" s="3"/>
      <c r="AD302" s="3"/>
      <c r="AF302" s="3"/>
      <c r="AG302" s="3" t="s">
        <v>1062</v>
      </c>
      <c r="AI302" s="3"/>
      <c r="AJ302" s="1">
        <v>46097</v>
      </c>
      <c r="AL302" s="3"/>
      <c r="AM302" s="1">
        <v>5</v>
      </c>
      <c r="AO302" s="3"/>
      <c r="AP302" s="3" t="s">
        <v>1063</v>
      </c>
      <c r="AR302" s="3"/>
      <c r="AS302" s="3" t="s">
        <v>1064</v>
      </c>
      <c r="AU302" s="3"/>
      <c r="AV302" s="3"/>
      <c r="AX302" s="3"/>
      <c r="AY302" s="5"/>
      <c r="BA302" s="3"/>
      <c r="BD302" s="3"/>
      <c r="BE302" s="3"/>
      <c r="BG302" s="3"/>
      <c r="BH302" s="3"/>
      <c r="BJ302" s="3"/>
      <c r="BK302" s="3"/>
      <c r="BM302" s="3"/>
      <c r="BN302" s="5"/>
      <c r="BP302" s="3"/>
      <c r="BS302" s="3"/>
      <c r="BT302" s="3"/>
      <c r="BV302" s="3"/>
      <c r="BW302" s="3"/>
      <c r="BY302" s="3"/>
      <c r="BZ302" s="3"/>
      <c r="CB302" s="3"/>
      <c r="CC302" s="5"/>
      <c r="CE302" s="3"/>
      <c r="CH302" s="3"/>
      <c r="CI302" s="3"/>
      <c r="CK302" s="3"/>
      <c r="CL302" s="3"/>
      <c r="CN302" s="3"/>
      <c r="CO302" s="3"/>
      <c r="CQ302" s="3"/>
      <c r="CR302" s="5"/>
      <c r="CT302" s="3"/>
      <c r="CW302" s="3"/>
      <c r="CX302" s="3"/>
      <c r="CZ302" s="3"/>
      <c r="DA302" s="3"/>
      <c r="DC302" s="3"/>
      <c r="DD302" s="3"/>
      <c r="DF302" s="3"/>
      <c r="DG302" s="5"/>
      <c r="DI302" s="3"/>
      <c r="DL302" s="3"/>
      <c r="DM302" s="3"/>
      <c r="DO302" s="3"/>
      <c r="DP302" s="3"/>
      <c r="DR302" s="3"/>
      <c r="DS302" s="1" t="str">
        <f>_xlfn.XLOOKUP(OfficeForms.Table[[#This Row],[Selecione a Categoria do Laboratório desta atividade prática:]],Planilha1!A:A,Planilha1!B:B)</f>
        <v>EMF-ISN</v>
      </c>
      <c r="DT302" s="1" t="str">
        <f>CONCATENATE(OfficeForms.Table[[#This Row],[Selecione seu Polo Laboratório de Atividades Presenciais:]],OfficeForms.Table[[#This Row],[CHAVE CONVERSÃO]])</f>
        <v>Santo André/SPEMF-ISN</v>
      </c>
      <c r="DU30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suicídio;Abordagem e cuidados de enfermagem em episódio de surto psicótico</v>
      </c>
      <c r="DV30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30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302" s="1" t="str">
        <f>_xlfn.XLOOKUP(OfficeForms.Table[[#This Row],[CHAVE LINK POLO]],'[1]Quadro Geral de Lotação'!$B:$B,'[1]Quadro Geral de Lotação'!$I:$I)</f>
        <v>Kamila Cabral Sena</v>
      </c>
      <c r="DY302" s="1" t="str">
        <f>OfficeForms.Table[[#This Row],[Selecione a Ordem de Disciplina]]</f>
        <v>Ordem 2</v>
      </c>
    </row>
    <row r="303" spans="1:129" ht="34.15" customHeight="1">
      <c r="A303" s="1">
        <v>303</v>
      </c>
      <c r="B303" s="2">
        <v>46098.744768518503</v>
      </c>
      <c r="C303" s="2">
        <v>46098.746782407397</v>
      </c>
      <c r="D303" s="3" t="s">
        <v>557</v>
      </c>
      <c r="E303" s="3" t="s">
        <v>558</v>
      </c>
      <c r="G303" s="3"/>
      <c r="I303" s="3" t="s">
        <v>559</v>
      </c>
      <c r="K303" s="3"/>
      <c r="L303" s="1" t="s">
        <v>132</v>
      </c>
      <c r="O303" s="3" t="s">
        <v>184</v>
      </c>
      <c r="Q303" s="3"/>
      <c r="R303" s="3"/>
      <c r="T303" s="3"/>
      <c r="U303" s="5"/>
      <c r="W303" s="3"/>
      <c r="Z303" s="3"/>
      <c r="AA303" s="3"/>
      <c r="AC303" s="3"/>
      <c r="AD303" s="3"/>
      <c r="AF303" s="3"/>
      <c r="AG303" s="3" t="s">
        <v>414</v>
      </c>
      <c r="AI303" s="3"/>
      <c r="AJ303" s="1">
        <v>46095</v>
      </c>
      <c r="AL303" s="3"/>
      <c r="AM303" s="1">
        <v>1</v>
      </c>
      <c r="AO303" s="3"/>
      <c r="AP303" s="3" t="s">
        <v>1065</v>
      </c>
      <c r="AR303" s="3"/>
      <c r="AS303" s="3" t="s">
        <v>1066</v>
      </c>
      <c r="AU303" s="3"/>
      <c r="AV303" s="3"/>
      <c r="AX303" s="3"/>
      <c r="AY303" s="5"/>
      <c r="BA303" s="3"/>
      <c r="BD303" s="3"/>
      <c r="BE303" s="3"/>
      <c r="BG303" s="3"/>
      <c r="BH303" s="3"/>
      <c r="BJ303" s="3"/>
      <c r="BK303" s="3"/>
      <c r="BM303" s="3"/>
      <c r="BN303" s="5"/>
      <c r="BP303" s="3"/>
      <c r="BS303" s="3"/>
      <c r="BT303" s="3"/>
      <c r="BV303" s="3"/>
      <c r="BW303" s="3"/>
      <c r="BY303" s="3"/>
      <c r="BZ303" s="3"/>
      <c r="CB303" s="3"/>
      <c r="CC303" s="5"/>
      <c r="CE303" s="3"/>
      <c r="CH303" s="3"/>
      <c r="CI303" s="3"/>
      <c r="CK303" s="3"/>
      <c r="CL303" s="3"/>
      <c r="CN303" s="3"/>
      <c r="CO303" s="3"/>
      <c r="CQ303" s="3"/>
      <c r="CR303" s="5"/>
      <c r="CT303" s="3"/>
      <c r="CW303" s="3"/>
      <c r="CX303" s="3"/>
      <c r="CZ303" s="3"/>
      <c r="DA303" s="3"/>
      <c r="DC303" s="3"/>
      <c r="DD303" s="3"/>
      <c r="DF303" s="3"/>
      <c r="DG303" s="5"/>
      <c r="DI303" s="3"/>
      <c r="DL303" s="3"/>
      <c r="DM303" s="3"/>
      <c r="DO303" s="3"/>
      <c r="DP303" s="3"/>
      <c r="DR303" s="3"/>
      <c r="DS303" s="1" t="str">
        <f>_xlfn.XLOOKUP(OfficeForms.Table[[#This Row],[Selecione a Categoria do Laboratório desta atividade prática:]],Planilha1!A:A,Planilha1!B:B)</f>
        <v>EMF-ISN</v>
      </c>
      <c r="DT303" s="1" t="str">
        <f>CONCATENATE(OfficeForms.Table[[#This Row],[Selecione seu Polo Laboratório de Atividades Presenciais:]],OfficeForms.Table[[#This Row],[CHAVE CONVERSÃO]])</f>
        <v>Sapé/PBEMF-ISN</v>
      </c>
      <c r="DU30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30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30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03" s="1" t="str">
        <f>_xlfn.XLOOKUP(OfficeForms.Table[[#This Row],[CHAVE LINK POLO]],'[1]Quadro Geral de Lotação'!$B:$B,'[1]Quadro Geral de Lotação'!$I:$I)</f>
        <v>Sara Luana De Vasconcelos Gomes</v>
      </c>
      <c r="DY303" s="1" t="str">
        <f>OfficeForms.Table[[#This Row],[Selecione a Ordem de Disciplina]]</f>
        <v>Ordem 1</v>
      </c>
    </row>
    <row r="304" spans="1:129" ht="34.15" customHeight="1">
      <c r="A304" s="1">
        <v>304</v>
      </c>
      <c r="B304" s="2">
        <v>46098.747395833299</v>
      </c>
      <c r="C304" s="2">
        <v>46098.748888888898</v>
      </c>
      <c r="D304" s="3" t="s">
        <v>557</v>
      </c>
      <c r="E304" s="3" t="s">
        <v>558</v>
      </c>
      <c r="G304" s="3"/>
      <c r="I304" s="3" t="s">
        <v>559</v>
      </c>
      <c r="K304" s="3"/>
      <c r="L304" s="1" t="s">
        <v>132</v>
      </c>
      <c r="O304" s="3" t="s">
        <v>184</v>
      </c>
      <c r="Q304" s="3"/>
      <c r="R304" s="3"/>
      <c r="T304" s="3"/>
      <c r="U304" s="5"/>
      <c r="W304" s="3"/>
      <c r="Z304" s="3"/>
      <c r="AA304" s="3"/>
      <c r="AC304" s="3"/>
      <c r="AD304" s="3"/>
      <c r="AF304" s="3"/>
      <c r="AG304" s="3" t="s">
        <v>414</v>
      </c>
      <c r="AI304" s="3"/>
      <c r="AJ304" s="1">
        <v>46095</v>
      </c>
      <c r="AL304" s="3"/>
      <c r="AM304" s="1">
        <v>1</v>
      </c>
      <c r="AO304" s="3"/>
      <c r="AP304" s="3" t="s">
        <v>1067</v>
      </c>
      <c r="AR304" s="3"/>
      <c r="AS304" s="3" t="s">
        <v>1068</v>
      </c>
      <c r="AU304" s="3"/>
      <c r="AV304" s="3"/>
      <c r="AX304" s="3"/>
      <c r="AY304" s="5"/>
      <c r="BA304" s="3"/>
      <c r="BD304" s="3"/>
      <c r="BE304" s="3"/>
      <c r="BG304" s="3"/>
      <c r="BH304" s="3"/>
      <c r="BJ304" s="3"/>
      <c r="BK304" s="3"/>
      <c r="BM304" s="3"/>
      <c r="BN304" s="5"/>
      <c r="BP304" s="3"/>
      <c r="BS304" s="3"/>
      <c r="BT304" s="3"/>
      <c r="BV304" s="3"/>
      <c r="BW304" s="3"/>
      <c r="BY304" s="3"/>
      <c r="BZ304" s="3"/>
      <c r="CB304" s="3"/>
      <c r="CC304" s="5"/>
      <c r="CE304" s="3"/>
      <c r="CH304" s="3"/>
      <c r="CI304" s="3"/>
      <c r="CK304" s="3"/>
      <c r="CL304" s="3"/>
      <c r="CN304" s="3"/>
      <c r="CO304" s="3"/>
      <c r="CQ304" s="3"/>
      <c r="CR304" s="5"/>
      <c r="CT304" s="3"/>
      <c r="CW304" s="3"/>
      <c r="CX304" s="3"/>
      <c r="CZ304" s="3"/>
      <c r="DA304" s="3"/>
      <c r="DC304" s="3"/>
      <c r="DD304" s="3"/>
      <c r="DF304" s="3"/>
      <c r="DG304" s="5"/>
      <c r="DI304" s="3"/>
      <c r="DL304" s="3"/>
      <c r="DM304" s="3"/>
      <c r="DO304" s="3"/>
      <c r="DP304" s="3"/>
      <c r="DR304" s="3"/>
      <c r="DS304" s="1" t="str">
        <f>_xlfn.XLOOKUP(OfficeForms.Table[[#This Row],[Selecione a Categoria do Laboratório desta atividade prática:]],Planilha1!A:A,Planilha1!B:B)</f>
        <v>EMF-ISN</v>
      </c>
      <c r="DT304" s="1" t="str">
        <f>CONCATENATE(OfficeForms.Table[[#This Row],[Selecione seu Polo Laboratório de Atividades Presenciais:]],OfficeForms.Table[[#This Row],[CHAVE CONVERSÃO]])</f>
        <v>Sapé/PBEMF-ISN</v>
      </c>
      <c r="DU30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30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30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04" s="1" t="str">
        <f>_xlfn.XLOOKUP(OfficeForms.Table[[#This Row],[CHAVE LINK POLO]],'[1]Quadro Geral de Lotação'!$B:$B,'[1]Quadro Geral de Lotação'!$I:$I)</f>
        <v>Sara Luana De Vasconcelos Gomes</v>
      </c>
      <c r="DY304" s="1" t="str">
        <f>OfficeForms.Table[[#This Row],[Selecione a Ordem de Disciplina]]</f>
        <v>Ordem 1</v>
      </c>
    </row>
    <row r="305" spans="1:129" ht="34.15" customHeight="1">
      <c r="A305" s="1">
        <v>305</v>
      </c>
      <c r="B305" s="2">
        <v>46098.748946759297</v>
      </c>
      <c r="C305" s="2">
        <v>46098.750486111101</v>
      </c>
      <c r="D305" s="3" t="s">
        <v>557</v>
      </c>
      <c r="E305" s="3" t="s">
        <v>558</v>
      </c>
      <c r="G305" s="3"/>
      <c r="I305" s="3" t="s">
        <v>559</v>
      </c>
      <c r="K305" s="3"/>
      <c r="L305" s="1" t="s">
        <v>132</v>
      </c>
      <c r="O305" s="3" t="s">
        <v>184</v>
      </c>
      <c r="Q305" s="3"/>
      <c r="R305" s="3"/>
      <c r="T305" s="3"/>
      <c r="U305" s="5"/>
      <c r="W305" s="3"/>
      <c r="Z305" s="3"/>
      <c r="AA305" s="3"/>
      <c r="AC305" s="3"/>
      <c r="AD305" s="3"/>
      <c r="AF305" s="3"/>
      <c r="AG305" s="3" t="s">
        <v>414</v>
      </c>
      <c r="AI305" s="3"/>
      <c r="AJ305" s="1">
        <v>46095</v>
      </c>
      <c r="AL305" s="3"/>
      <c r="AM305" s="1">
        <v>1</v>
      </c>
      <c r="AO305" s="3"/>
      <c r="AP305" s="3" t="s">
        <v>1069</v>
      </c>
      <c r="AR305" s="3"/>
      <c r="AS305" s="3" t="s">
        <v>1070</v>
      </c>
      <c r="AU305" s="3"/>
      <c r="AV305" s="3"/>
      <c r="AX305" s="3"/>
      <c r="AY305" s="5"/>
      <c r="BA305" s="3"/>
      <c r="BD305" s="3"/>
      <c r="BE305" s="3"/>
      <c r="BG305" s="3"/>
      <c r="BH305" s="3"/>
      <c r="BJ305" s="3"/>
      <c r="BK305" s="3"/>
      <c r="BM305" s="3"/>
      <c r="BN305" s="5"/>
      <c r="BP305" s="3"/>
      <c r="BS305" s="3"/>
      <c r="BT305" s="3"/>
      <c r="BV305" s="3"/>
      <c r="BW305" s="3"/>
      <c r="BY305" s="3"/>
      <c r="BZ305" s="3"/>
      <c r="CB305" s="3"/>
      <c r="CC305" s="5"/>
      <c r="CE305" s="3"/>
      <c r="CH305" s="3"/>
      <c r="CI305" s="3"/>
      <c r="CK305" s="3"/>
      <c r="CL305" s="3"/>
      <c r="CN305" s="3"/>
      <c r="CO305" s="3"/>
      <c r="CQ305" s="3"/>
      <c r="CR305" s="5"/>
      <c r="CT305" s="3"/>
      <c r="CW305" s="3"/>
      <c r="CX305" s="3"/>
      <c r="CZ305" s="3"/>
      <c r="DA305" s="3"/>
      <c r="DC305" s="3"/>
      <c r="DD305" s="3"/>
      <c r="DF305" s="3"/>
      <c r="DG305" s="5"/>
      <c r="DI305" s="3"/>
      <c r="DL305" s="3"/>
      <c r="DM305" s="3"/>
      <c r="DO305" s="3"/>
      <c r="DP305" s="3"/>
      <c r="DR305" s="3"/>
      <c r="DS305" s="1" t="str">
        <f>_xlfn.XLOOKUP(OfficeForms.Table[[#This Row],[Selecione a Categoria do Laboratório desta atividade prática:]],Planilha1!A:A,Planilha1!B:B)</f>
        <v>EMF-ISN</v>
      </c>
      <c r="DT305" s="1" t="str">
        <f>CONCATENATE(OfficeForms.Table[[#This Row],[Selecione seu Polo Laboratório de Atividades Presenciais:]],OfficeForms.Table[[#This Row],[CHAVE CONVERSÃO]])</f>
        <v>Sapé/PBEMF-ISN</v>
      </c>
      <c r="DU30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30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30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05" s="1" t="str">
        <f>_xlfn.XLOOKUP(OfficeForms.Table[[#This Row],[CHAVE LINK POLO]],'[1]Quadro Geral de Lotação'!$B:$B,'[1]Quadro Geral de Lotação'!$I:$I)</f>
        <v>Sara Luana De Vasconcelos Gomes</v>
      </c>
      <c r="DY305" s="1" t="str">
        <f>OfficeForms.Table[[#This Row],[Selecione a Ordem de Disciplina]]</f>
        <v>Ordem 1</v>
      </c>
    </row>
    <row r="306" spans="1:129" ht="34.15" customHeight="1">
      <c r="A306" s="1">
        <v>306</v>
      </c>
      <c r="B306" s="2">
        <v>46098.750532407401</v>
      </c>
      <c r="C306" s="2">
        <v>46098.751689814802</v>
      </c>
      <c r="D306" s="3" t="s">
        <v>557</v>
      </c>
      <c r="E306" s="3" t="s">
        <v>558</v>
      </c>
      <c r="G306" s="3"/>
      <c r="I306" s="3" t="s">
        <v>559</v>
      </c>
      <c r="K306" s="3"/>
      <c r="L306" s="1" t="s">
        <v>132</v>
      </c>
      <c r="O306" s="3" t="s">
        <v>184</v>
      </c>
      <c r="Q306" s="3"/>
      <c r="R306" s="3"/>
      <c r="T306" s="3"/>
      <c r="U306" s="5"/>
      <c r="W306" s="3"/>
      <c r="Z306" s="3"/>
      <c r="AA306" s="3"/>
      <c r="AC306" s="3"/>
      <c r="AD306" s="3"/>
      <c r="AF306" s="3"/>
      <c r="AG306" s="3" t="s">
        <v>414</v>
      </c>
      <c r="AI306" s="3"/>
      <c r="AJ306" s="1">
        <v>46095</v>
      </c>
      <c r="AL306" s="3"/>
      <c r="AM306" s="1">
        <v>1</v>
      </c>
      <c r="AO306" s="3"/>
      <c r="AP306" s="3" t="s">
        <v>1071</v>
      </c>
      <c r="AR306" s="3"/>
      <c r="AS306" s="3" t="s">
        <v>1072</v>
      </c>
      <c r="AU306" s="3"/>
      <c r="AV306" s="3"/>
      <c r="AX306" s="3"/>
      <c r="AY306" s="5"/>
      <c r="BA306" s="3"/>
      <c r="BD306" s="3"/>
      <c r="BE306" s="3"/>
      <c r="BG306" s="3"/>
      <c r="BH306" s="3"/>
      <c r="BJ306" s="3"/>
      <c r="BK306" s="3"/>
      <c r="BM306" s="3"/>
      <c r="BN306" s="5"/>
      <c r="BP306" s="3"/>
      <c r="BS306" s="3"/>
      <c r="BT306" s="3"/>
      <c r="BV306" s="3"/>
      <c r="BW306" s="3"/>
      <c r="BY306" s="3"/>
      <c r="BZ306" s="3"/>
      <c r="CB306" s="3"/>
      <c r="CC306" s="5"/>
      <c r="CE306" s="3"/>
      <c r="CH306" s="3"/>
      <c r="CI306" s="3"/>
      <c r="CK306" s="3"/>
      <c r="CL306" s="3"/>
      <c r="CN306" s="3"/>
      <c r="CO306" s="3"/>
      <c r="CQ306" s="3"/>
      <c r="CR306" s="5"/>
      <c r="CT306" s="3"/>
      <c r="CW306" s="3"/>
      <c r="CX306" s="3"/>
      <c r="CZ306" s="3"/>
      <c r="DA306" s="3"/>
      <c r="DC306" s="3"/>
      <c r="DD306" s="3"/>
      <c r="DF306" s="3"/>
      <c r="DG306" s="5"/>
      <c r="DI306" s="3"/>
      <c r="DL306" s="3"/>
      <c r="DM306" s="3"/>
      <c r="DO306" s="3"/>
      <c r="DP306" s="3"/>
      <c r="DR306" s="3"/>
      <c r="DS306" s="1" t="str">
        <f>_xlfn.XLOOKUP(OfficeForms.Table[[#This Row],[Selecione a Categoria do Laboratório desta atividade prática:]],Planilha1!A:A,Planilha1!B:B)</f>
        <v>EMF-ISN</v>
      </c>
      <c r="DT306" s="1" t="str">
        <f>CONCATENATE(OfficeForms.Table[[#This Row],[Selecione seu Polo Laboratório de Atividades Presenciais:]],OfficeForms.Table[[#This Row],[CHAVE CONVERSÃO]])</f>
        <v>Sapé/PBEMF-ISN</v>
      </c>
      <c r="DU30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30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30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06" s="1" t="str">
        <f>_xlfn.XLOOKUP(OfficeForms.Table[[#This Row],[CHAVE LINK POLO]],'[1]Quadro Geral de Lotação'!$B:$B,'[1]Quadro Geral de Lotação'!$I:$I)</f>
        <v>Sara Luana De Vasconcelos Gomes</v>
      </c>
      <c r="DY306" s="1" t="str">
        <f>OfficeForms.Table[[#This Row],[Selecione a Ordem de Disciplina]]</f>
        <v>Ordem 1</v>
      </c>
    </row>
    <row r="307" spans="1:129" ht="34.15" customHeight="1">
      <c r="A307" s="1">
        <v>307</v>
      </c>
      <c r="B307" s="2">
        <v>46098.840752314798</v>
      </c>
      <c r="C307" s="2">
        <v>46098.862303240698</v>
      </c>
      <c r="D307" s="3" t="s">
        <v>1073</v>
      </c>
      <c r="E307" s="3" t="s">
        <v>1074</v>
      </c>
      <c r="G307" s="3"/>
      <c r="I307" s="3" t="s">
        <v>1075</v>
      </c>
      <c r="K307" s="3"/>
      <c r="L307" s="1" t="s">
        <v>678</v>
      </c>
      <c r="O307" s="3" t="s">
        <v>184</v>
      </c>
      <c r="Q307" s="3"/>
      <c r="R307" s="3"/>
      <c r="T307" s="3"/>
      <c r="U307" s="5"/>
      <c r="W307" s="3"/>
      <c r="Z307" s="3"/>
      <c r="AA307" s="3"/>
      <c r="AC307" s="3"/>
      <c r="AD307" s="3"/>
      <c r="AF307" s="3"/>
      <c r="AG307" s="3" t="s">
        <v>224</v>
      </c>
      <c r="AI307" s="3"/>
      <c r="AJ307" s="1">
        <v>46094</v>
      </c>
      <c r="AL307" s="3"/>
      <c r="AM307" s="1">
        <v>4</v>
      </c>
      <c r="AO307" s="3"/>
      <c r="AP307" s="3" t="s">
        <v>1076</v>
      </c>
      <c r="AR307" s="3"/>
      <c r="AS307" s="3" t="s">
        <v>1077</v>
      </c>
      <c r="AU307" s="3"/>
      <c r="AV307" s="3"/>
      <c r="AX307" s="3"/>
      <c r="AY307" s="5"/>
      <c r="BA307" s="3"/>
      <c r="BD307" s="3"/>
      <c r="BE307" s="3"/>
      <c r="BG307" s="3"/>
      <c r="BH307" s="3"/>
      <c r="BJ307" s="3"/>
      <c r="BK307" s="3"/>
      <c r="BM307" s="3"/>
      <c r="BN307" s="5"/>
      <c r="BP307" s="3"/>
      <c r="BS307" s="3"/>
      <c r="BT307" s="3"/>
      <c r="BV307" s="3"/>
      <c r="BW307" s="3"/>
      <c r="BY307" s="3"/>
      <c r="BZ307" s="3"/>
      <c r="CB307" s="3"/>
      <c r="CC307" s="5"/>
      <c r="CE307" s="3"/>
      <c r="CH307" s="3"/>
      <c r="CI307" s="3"/>
      <c r="CK307" s="3"/>
      <c r="CL307" s="3"/>
      <c r="CN307" s="3"/>
      <c r="CO307" s="3"/>
      <c r="CQ307" s="3"/>
      <c r="CR307" s="5"/>
      <c r="CT307" s="3"/>
      <c r="CW307" s="3"/>
      <c r="CX307" s="3"/>
      <c r="CZ307" s="3"/>
      <c r="DA307" s="3"/>
      <c r="DC307" s="3"/>
      <c r="DD307" s="3"/>
      <c r="DF307" s="3"/>
      <c r="DG307" s="5"/>
      <c r="DI307" s="3"/>
      <c r="DL307" s="3"/>
      <c r="DM307" s="3"/>
      <c r="DO307" s="3"/>
      <c r="DP307" s="3"/>
      <c r="DR307" s="3"/>
      <c r="DS307" s="1" t="str">
        <f>_xlfn.XLOOKUP(OfficeForms.Table[[#This Row],[Selecione a Categoria do Laboratório desta atividade prática:]],Planilha1!A:A,Planilha1!B:B)</f>
        <v>EMF-ISN</v>
      </c>
      <c r="DT307" s="1" t="str">
        <f>CONCATENATE(OfficeForms.Table[[#This Row],[Selecione seu Polo Laboratório de Atividades Presenciais:]],OfficeForms.Table[[#This Row],[CHAVE CONVERSÃO]])</f>
        <v>Marcelândia/MTEMF-ISN</v>
      </c>
      <c r="DU30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30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30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307" s="1" t="str">
        <f>_xlfn.XLOOKUP(OfficeForms.Table[[#This Row],[CHAVE LINK POLO]],'[1]Quadro Geral de Lotação'!$B:$B,'[1]Quadro Geral de Lotação'!$I:$I)</f>
        <v>Maria Rosangela Da Gama De La Torre</v>
      </c>
      <c r="DY307" s="1" t="str">
        <f>OfficeForms.Table[[#This Row],[Selecione a Ordem de Disciplina]]</f>
        <v>Ordem 2</v>
      </c>
    </row>
    <row r="308" spans="1:129" ht="34.15" customHeight="1">
      <c r="A308" s="1">
        <v>308</v>
      </c>
      <c r="B308" s="2">
        <v>46098.853113425903</v>
      </c>
      <c r="C308" s="2">
        <v>46098.863067129598</v>
      </c>
      <c r="D308" s="3" t="s">
        <v>352</v>
      </c>
      <c r="E308" s="3" t="s">
        <v>353</v>
      </c>
      <c r="G308" s="3"/>
      <c r="I308" s="3" t="s">
        <v>354</v>
      </c>
      <c r="K308" s="3"/>
      <c r="L308" s="1" t="s">
        <v>678</v>
      </c>
      <c r="O308" s="3" t="s">
        <v>184</v>
      </c>
      <c r="Q308" s="3"/>
      <c r="R308" s="3"/>
      <c r="T308" s="3"/>
      <c r="U308" s="5"/>
      <c r="W308" s="3"/>
      <c r="Z308" s="3"/>
      <c r="AA308" s="3"/>
      <c r="AC308" s="3"/>
      <c r="AD308" s="3"/>
      <c r="AF308" s="3"/>
      <c r="AG308" s="3" t="s">
        <v>1078</v>
      </c>
      <c r="AI308" s="3"/>
      <c r="AJ308" s="1">
        <v>46097</v>
      </c>
      <c r="AL308" s="3"/>
      <c r="AM308" s="1">
        <v>16</v>
      </c>
      <c r="AO308" s="3"/>
      <c r="AP308" s="3" t="s">
        <v>1079</v>
      </c>
      <c r="AR308" s="3"/>
      <c r="AS308" s="3" t="s">
        <v>1080</v>
      </c>
      <c r="AU308" s="3"/>
      <c r="AV308" s="3"/>
      <c r="AX308" s="3"/>
      <c r="AY308" s="5"/>
      <c r="BA308" s="3"/>
      <c r="BD308" s="3"/>
      <c r="BE308" s="3"/>
      <c r="BG308" s="3"/>
      <c r="BH308" s="3"/>
      <c r="BJ308" s="3"/>
      <c r="BK308" s="3"/>
      <c r="BM308" s="3"/>
      <c r="BN308" s="5"/>
      <c r="BP308" s="3"/>
      <c r="BS308" s="3"/>
      <c r="BT308" s="3"/>
      <c r="BV308" s="3"/>
      <c r="BW308" s="3"/>
      <c r="BY308" s="3"/>
      <c r="BZ308" s="3"/>
      <c r="CB308" s="3"/>
      <c r="CC308" s="5"/>
      <c r="CE308" s="3"/>
      <c r="CH308" s="3"/>
      <c r="CI308" s="3"/>
      <c r="CK308" s="3"/>
      <c r="CL308" s="3"/>
      <c r="CN308" s="3"/>
      <c r="CO308" s="3"/>
      <c r="CQ308" s="3"/>
      <c r="CR308" s="5"/>
      <c r="CT308" s="3"/>
      <c r="CW308" s="3"/>
      <c r="CX308" s="3"/>
      <c r="CZ308" s="3"/>
      <c r="DA308" s="3"/>
      <c r="DC308" s="3"/>
      <c r="DD308" s="3"/>
      <c r="DF308" s="3"/>
      <c r="DG308" s="5"/>
      <c r="DI308" s="3"/>
      <c r="DL308" s="3"/>
      <c r="DM308" s="3"/>
      <c r="DO308" s="3"/>
      <c r="DP308" s="3"/>
      <c r="DR308" s="3"/>
      <c r="DS308" s="1" t="str">
        <f>_xlfn.XLOOKUP(OfficeForms.Table[[#This Row],[Selecione a Categoria do Laboratório desta atividade prática:]],Planilha1!A:A,Planilha1!B:B)</f>
        <v>EMF-ISN</v>
      </c>
      <c r="DT308" s="1" t="str">
        <f>CONCATENATE(OfficeForms.Table[[#This Row],[Selecione seu Polo Laboratório de Atividades Presenciais:]],OfficeForms.Table[[#This Row],[CHAVE CONVERSÃO]])</f>
        <v>São Gonçalo/RJ - Partage ShoppingEMF-ISN</v>
      </c>
      <c r="DU30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oral;Punção e manutenção de cateter de longa permanência + Troca de bolsa de ostomia</v>
      </c>
      <c r="DV30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30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16</v>
      </c>
      <c r="DX308" s="1" t="str">
        <f>_xlfn.XLOOKUP(OfficeForms.Table[[#This Row],[CHAVE LINK POLO]],'[1]Quadro Geral de Lotação'!$B:$B,'[1]Quadro Geral de Lotação'!$I:$I)</f>
        <v>William Da Silva Coimbra</v>
      </c>
      <c r="DY308" s="1" t="str">
        <f>OfficeForms.Table[[#This Row],[Selecione a Ordem de Disciplina]]</f>
        <v>Ordem 2</v>
      </c>
    </row>
    <row r="309" spans="1:129" ht="34.15" customHeight="1">
      <c r="A309" s="1">
        <v>309</v>
      </c>
      <c r="B309" s="2">
        <v>46098.8648032407</v>
      </c>
      <c r="C309" s="2">
        <v>46098.8658796296</v>
      </c>
      <c r="D309" s="3" t="s">
        <v>1073</v>
      </c>
      <c r="E309" s="3" t="s">
        <v>1074</v>
      </c>
      <c r="G309" s="3"/>
      <c r="I309" s="3" t="s">
        <v>1075</v>
      </c>
      <c r="K309" s="3"/>
      <c r="L309" s="1" t="s">
        <v>678</v>
      </c>
      <c r="O309" s="3" t="s">
        <v>184</v>
      </c>
      <c r="Q309" s="3"/>
      <c r="R309" s="3"/>
      <c r="T309" s="3"/>
      <c r="U309" s="5"/>
      <c r="W309" s="3"/>
      <c r="Z309" s="3"/>
      <c r="AA309" s="3"/>
      <c r="AC309" s="3"/>
      <c r="AD309" s="3"/>
      <c r="AF309" s="3"/>
      <c r="AG309" s="3" t="s">
        <v>206</v>
      </c>
      <c r="AI309" s="3"/>
      <c r="AJ309" s="1">
        <v>46094</v>
      </c>
      <c r="AL309" s="3"/>
      <c r="AM309" s="1">
        <v>4</v>
      </c>
      <c r="AO309" s="3"/>
      <c r="AP309" s="3" t="s">
        <v>1081</v>
      </c>
      <c r="AR309" s="3"/>
      <c r="AS309" s="3" t="s">
        <v>1082</v>
      </c>
      <c r="AU309" s="3"/>
      <c r="AV309" s="3"/>
      <c r="AX309" s="3"/>
      <c r="AY309" s="5"/>
      <c r="BA309" s="3"/>
      <c r="BD309" s="3"/>
      <c r="BE309" s="3"/>
      <c r="BG309" s="3"/>
      <c r="BH309" s="3"/>
      <c r="BJ309" s="3"/>
      <c r="BK309" s="3"/>
      <c r="BM309" s="3"/>
      <c r="BN309" s="5"/>
      <c r="BP309" s="3"/>
      <c r="BS309" s="3"/>
      <c r="BT309" s="3"/>
      <c r="BV309" s="3"/>
      <c r="BW309" s="3"/>
      <c r="BY309" s="3"/>
      <c r="BZ309" s="3"/>
      <c r="CB309" s="3"/>
      <c r="CC309" s="5"/>
      <c r="CE309" s="3"/>
      <c r="CH309" s="3"/>
      <c r="CI309" s="3"/>
      <c r="CK309" s="3"/>
      <c r="CL309" s="3"/>
      <c r="CN309" s="3"/>
      <c r="CO309" s="3"/>
      <c r="CQ309" s="3"/>
      <c r="CR309" s="5"/>
      <c r="CT309" s="3"/>
      <c r="CW309" s="3"/>
      <c r="CX309" s="3"/>
      <c r="CZ309" s="3"/>
      <c r="DA309" s="3"/>
      <c r="DC309" s="3"/>
      <c r="DD309" s="3"/>
      <c r="DF309" s="3"/>
      <c r="DG309" s="5"/>
      <c r="DI309" s="3"/>
      <c r="DL309" s="3"/>
      <c r="DM309" s="3"/>
      <c r="DO309" s="3"/>
      <c r="DP309" s="3"/>
      <c r="DR309" s="3"/>
      <c r="DS309" s="1" t="str">
        <f>_xlfn.XLOOKUP(OfficeForms.Table[[#This Row],[Selecione a Categoria do Laboratório desta atividade prática:]],Planilha1!A:A,Planilha1!B:B)</f>
        <v>EMF-ISN</v>
      </c>
      <c r="DT309" s="1" t="str">
        <f>CONCATENATE(OfficeForms.Table[[#This Row],[Selecione seu Polo Laboratório de Atividades Presenciais:]],OfficeForms.Table[[#This Row],[CHAVE CONVERSÃO]])</f>
        <v>Marcelândia/MTEMF-ISN</v>
      </c>
      <c r="DU30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30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30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309" s="1" t="str">
        <f>_xlfn.XLOOKUP(OfficeForms.Table[[#This Row],[CHAVE LINK POLO]],'[1]Quadro Geral de Lotação'!$B:$B,'[1]Quadro Geral de Lotação'!$I:$I)</f>
        <v>Maria Rosangela Da Gama De La Torre</v>
      </c>
      <c r="DY309" s="1" t="str">
        <f>OfficeForms.Table[[#This Row],[Selecione a Ordem de Disciplina]]</f>
        <v>Ordem 2</v>
      </c>
    </row>
    <row r="310" spans="1:129" ht="34.15" customHeight="1">
      <c r="A310" s="1">
        <v>310</v>
      </c>
      <c r="B310" s="2">
        <v>46098.864178240699</v>
      </c>
      <c r="C310" s="2">
        <v>46098.868437500001</v>
      </c>
      <c r="D310" s="3" t="s">
        <v>1083</v>
      </c>
      <c r="E310" s="3" t="s">
        <v>1084</v>
      </c>
      <c r="G310" s="3"/>
      <c r="I310" s="3" t="s">
        <v>1085</v>
      </c>
      <c r="K310" s="3"/>
      <c r="L310" s="1" t="s">
        <v>132</v>
      </c>
      <c r="O310" s="3" t="s">
        <v>184</v>
      </c>
      <c r="Q310" s="3"/>
      <c r="R310" s="3"/>
      <c r="T310" s="3"/>
      <c r="U310" s="5"/>
      <c r="W310" s="3"/>
      <c r="Z310" s="3"/>
      <c r="AA310" s="3"/>
      <c r="AC310" s="3"/>
      <c r="AD310" s="3"/>
      <c r="AF310" s="3"/>
      <c r="AG310" s="3" t="s">
        <v>185</v>
      </c>
      <c r="AI310" s="3"/>
      <c r="AJ310" s="1">
        <v>46094</v>
      </c>
      <c r="AL310" s="3"/>
      <c r="AM310" s="1">
        <v>13</v>
      </c>
      <c r="AO310" s="3"/>
      <c r="AP310" s="3" t="s">
        <v>1086</v>
      </c>
      <c r="AR310" s="3"/>
      <c r="AS310" s="3" t="s">
        <v>1087</v>
      </c>
      <c r="AU310" s="3"/>
      <c r="AV310" s="3"/>
      <c r="AX310" s="3"/>
      <c r="AY310" s="5"/>
      <c r="BA310" s="3"/>
      <c r="BD310" s="3"/>
      <c r="BE310" s="3"/>
      <c r="BG310" s="3"/>
      <c r="BH310" s="3"/>
      <c r="BJ310" s="3"/>
      <c r="BK310" s="3"/>
      <c r="BM310" s="3"/>
      <c r="BN310" s="5"/>
      <c r="BP310" s="3"/>
      <c r="BS310" s="3"/>
      <c r="BT310" s="3"/>
      <c r="BV310" s="3"/>
      <c r="BW310" s="3"/>
      <c r="BY310" s="3"/>
      <c r="BZ310" s="3"/>
      <c r="CB310" s="3"/>
      <c r="CC310" s="5"/>
      <c r="CE310" s="3"/>
      <c r="CH310" s="3"/>
      <c r="CI310" s="3"/>
      <c r="CK310" s="3"/>
      <c r="CL310" s="3"/>
      <c r="CN310" s="3"/>
      <c r="CO310" s="3"/>
      <c r="CQ310" s="3"/>
      <c r="CR310" s="5"/>
      <c r="CT310" s="3"/>
      <c r="CW310" s="3"/>
      <c r="CX310" s="3"/>
      <c r="CZ310" s="3"/>
      <c r="DA310" s="3"/>
      <c r="DC310" s="3"/>
      <c r="DD310" s="3"/>
      <c r="DF310" s="3"/>
      <c r="DG310" s="5"/>
      <c r="DI310" s="3"/>
      <c r="DL310" s="3"/>
      <c r="DM310" s="3"/>
      <c r="DO310" s="3"/>
      <c r="DP310" s="3"/>
      <c r="DR310" s="3"/>
      <c r="DS310" s="1" t="str">
        <f>_xlfn.XLOOKUP(OfficeForms.Table[[#This Row],[Selecione a Categoria do Laboratório desta atividade prática:]],Planilha1!A:A,Planilha1!B:B)</f>
        <v>EMF-ISN</v>
      </c>
      <c r="DT310" s="1" t="str">
        <f>CONCATENATE(OfficeForms.Table[[#This Row],[Selecione seu Polo Laboratório de Atividades Presenciais:]],OfficeForms.Table[[#This Row],[CHAVE CONVERSÃO]])</f>
        <v>Nova Iguaçu/RJEMF-ISN</v>
      </c>
      <c r="DU31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31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31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310" s="1" t="str">
        <f>_xlfn.XLOOKUP(OfficeForms.Table[[#This Row],[CHAVE LINK POLO]],'[1]Quadro Geral de Lotação'!$B:$B,'[1]Quadro Geral de Lotação'!$I:$I)</f>
        <v>Rosirene De Castro</v>
      </c>
      <c r="DY310" s="1" t="str">
        <f>OfficeForms.Table[[#This Row],[Selecione a Ordem de Disciplina]]</f>
        <v>Ordem 1</v>
      </c>
    </row>
    <row r="311" spans="1:129" ht="34.15" customHeight="1">
      <c r="A311" s="1">
        <v>311</v>
      </c>
      <c r="B311" s="2">
        <v>46098.867175925901</v>
      </c>
      <c r="C311" s="2">
        <v>46098.879976851902</v>
      </c>
      <c r="D311" s="3" t="s">
        <v>1073</v>
      </c>
      <c r="E311" s="3" t="s">
        <v>1074</v>
      </c>
      <c r="G311" s="3"/>
      <c r="I311" s="3" t="s">
        <v>1075</v>
      </c>
      <c r="K311" s="3"/>
      <c r="L311" s="1" t="s">
        <v>678</v>
      </c>
      <c r="O311" s="3" t="s">
        <v>184</v>
      </c>
      <c r="Q311" s="3"/>
      <c r="R311" s="3"/>
      <c r="T311" s="3"/>
      <c r="U311" s="5"/>
      <c r="W311" s="3"/>
      <c r="Z311" s="3"/>
      <c r="AA311" s="3"/>
      <c r="AC311" s="3"/>
      <c r="AD311" s="3"/>
      <c r="AF311" s="3"/>
      <c r="AG311" s="3" t="s">
        <v>194</v>
      </c>
      <c r="AI311" s="3"/>
      <c r="AJ311" s="1">
        <v>46094</v>
      </c>
      <c r="AL311" s="3"/>
      <c r="AM311" s="1">
        <v>1</v>
      </c>
      <c r="AO311" s="3"/>
      <c r="AP311" s="3" t="s">
        <v>1088</v>
      </c>
      <c r="AR311" s="3"/>
      <c r="AS311" s="3" t="s">
        <v>1089</v>
      </c>
      <c r="AU311" s="3"/>
      <c r="AV311" s="3"/>
      <c r="AX311" s="3"/>
      <c r="AY311" s="5"/>
      <c r="BA311" s="3"/>
      <c r="BD311" s="3"/>
      <c r="BE311" s="3"/>
      <c r="BG311" s="3"/>
      <c r="BH311" s="3"/>
      <c r="BJ311" s="3"/>
      <c r="BK311" s="3"/>
      <c r="BM311" s="3"/>
      <c r="BN311" s="5"/>
      <c r="BP311" s="3"/>
      <c r="BS311" s="3"/>
      <c r="BT311" s="3"/>
      <c r="BV311" s="3"/>
      <c r="BW311" s="3"/>
      <c r="BY311" s="3"/>
      <c r="BZ311" s="3"/>
      <c r="CB311" s="3"/>
      <c r="CC311" s="5"/>
      <c r="CE311" s="3"/>
      <c r="CH311" s="3"/>
      <c r="CI311" s="3"/>
      <c r="CK311" s="3"/>
      <c r="CL311" s="3"/>
      <c r="CN311" s="3"/>
      <c r="CO311" s="3"/>
      <c r="CQ311" s="3"/>
      <c r="CR311" s="5"/>
      <c r="CT311" s="3"/>
      <c r="CW311" s="3"/>
      <c r="CX311" s="3"/>
      <c r="CZ311" s="3"/>
      <c r="DA311" s="3"/>
      <c r="DC311" s="3"/>
      <c r="DD311" s="3"/>
      <c r="DF311" s="3"/>
      <c r="DG311" s="5"/>
      <c r="DI311" s="3"/>
      <c r="DL311" s="3"/>
      <c r="DM311" s="3"/>
      <c r="DO311" s="3"/>
      <c r="DP311" s="3"/>
      <c r="DR311" s="3"/>
      <c r="DS311" s="1" t="str">
        <f>_xlfn.XLOOKUP(OfficeForms.Table[[#This Row],[Selecione a Categoria do Laboratório desta atividade prática:]],Planilha1!A:A,Planilha1!B:B)</f>
        <v>EMF-ISN</v>
      </c>
      <c r="DT311" s="1" t="str">
        <f>CONCATENATE(OfficeForms.Table[[#This Row],[Selecione seu Polo Laboratório de Atividades Presenciais:]],OfficeForms.Table[[#This Row],[CHAVE CONVERSÃO]])</f>
        <v>Marcelândia/MTEMF-ISN</v>
      </c>
      <c r="DU31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31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31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11" s="1" t="str">
        <f>_xlfn.XLOOKUP(OfficeForms.Table[[#This Row],[CHAVE LINK POLO]],'[1]Quadro Geral de Lotação'!$B:$B,'[1]Quadro Geral de Lotação'!$I:$I)</f>
        <v>Maria Rosangela Da Gama De La Torre</v>
      </c>
      <c r="DY311" s="1" t="str">
        <f>OfficeForms.Table[[#This Row],[Selecione a Ordem de Disciplina]]</f>
        <v>Ordem 2</v>
      </c>
    </row>
    <row r="312" spans="1:129" ht="34.15" customHeight="1">
      <c r="A312" s="1">
        <v>312</v>
      </c>
      <c r="B312" s="2">
        <v>46098.881979166697</v>
      </c>
      <c r="C312" s="2">
        <v>46098.8897685185</v>
      </c>
      <c r="D312" s="3" t="s">
        <v>1073</v>
      </c>
      <c r="E312" s="3" t="s">
        <v>1074</v>
      </c>
      <c r="G312" s="3"/>
      <c r="I312" s="3" t="s">
        <v>1075</v>
      </c>
      <c r="K312" s="3"/>
      <c r="L312" s="1" t="s">
        <v>678</v>
      </c>
      <c r="O312" s="3" t="s">
        <v>184</v>
      </c>
      <c r="Q312" s="3"/>
      <c r="R312" s="3"/>
      <c r="T312" s="3"/>
      <c r="U312" s="5"/>
      <c r="W312" s="3"/>
      <c r="Z312" s="3"/>
      <c r="AA312" s="3"/>
      <c r="AC312" s="3"/>
      <c r="AD312" s="3"/>
      <c r="AF312" s="3"/>
      <c r="AG312" s="3" t="s">
        <v>322</v>
      </c>
      <c r="AI312" s="3"/>
      <c r="AJ312" s="1">
        <v>46094</v>
      </c>
      <c r="AL312" s="3"/>
      <c r="AM312" s="1">
        <v>2</v>
      </c>
      <c r="AO312" s="3"/>
      <c r="AP312" s="3" t="s">
        <v>1090</v>
      </c>
      <c r="AR312" s="3"/>
      <c r="AS312" s="3" t="s">
        <v>1091</v>
      </c>
      <c r="AU312" s="3"/>
      <c r="AV312" s="3"/>
      <c r="AX312" s="3"/>
      <c r="AY312" s="5"/>
      <c r="BA312" s="3"/>
      <c r="BD312" s="3"/>
      <c r="BE312" s="3"/>
      <c r="BG312" s="3"/>
      <c r="BH312" s="3"/>
      <c r="BJ312" s="3"/>
      <c r="BK312" s="3"/>
      <c r="BM312" s="3"/>
      <c r="BN312" s="5"/>
      <c r="BP312" s="3"/>
      <c r="BS312" s="3"/>
      <c r="BT312" s="3"/>
      <c r="BV312" s="3"/>
      <c r="BW312" s="3"/>
      <c r="BY312" s="3"/>
      <c r="BZ312" s="3"/>
      <c r="CB312" s="3"/>
      <c r="CC312" s="5"/>
      <c r="CE312" s="3"/>
      <c r="CH312" s="3"/>
      <c r="CI312" s="3"/>
      <c r="CK312" s="3"/>
      <c r="CL312" s="3"/>
      <c r="CN312" s="3"/>
      <c r="CO312" s="3"/>
      <c r="CQ312" s="3"/>
      <c r="CR312" s="5"/>
      <c r="CT312" s="3"/>
      <c r="CW312" s="3"/>
      <c r="CX312" s="3"/>
      <c r="CZ312" s="3"/>
      <c r="DA312" s="3"/>
      <c r="DC312" s="3"/>
      <c r="DD312" s="3"/>
      <c r="DF312" s="3"/>
      <c r="DG312" s="5"/>
      <c r="DI312" s="3"/>
      <c r="DL312" s="3"/>
      <c r="DM312" s="3"/>
      <c r="DO312" s="3"/>
      <c r="DP312" s="3"/>
      <c r="DR312" s="3"/>
      <c r="DS312" s="1" t="str">
        <f>_xlfn.XLOOKUP(OfficeForms.Table[[#This Row],[Selecione a Categoria do Laboratório desta atividade prática:]],Planilha1!A:A,Planilha1!B:B)</f>
        <v>EMF-ISN</v>
      </c>
      <c r="DT312" s="1" t="str">
        <f>CONCATENATE(OfficeForms.Table[[#This Row],[Selecione seu Polo Laboratório de Atividades Presenciais:]],OfficeForms.Table[[#This Row],[CHAVE CONVERSÃO]])</f>
        <v>Marcelândia/MTEMF-ISN</v>
      </c>
      <c r="DU31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31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31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312" s="1" t="str">
        <f>_xlfn.XLOOKUP(OfficeForms.Table[[#This Row],[CHAVE LINK POLO]],'[1]Quadro Geral de Lotação'!$B:$B,'[1]Quadro Geral de Lotação'!$I:$I)</f>
        <v>Maria Rosangela Da Gama De La Torre</v>
      </c>
      <c r="DY312" s="1" t="str">
        <f>OfficeForms.Table[[#This Row],[Selecione a Ordem de Disciplina]]</f>
        <v>Ordem 2</v>
      </c>
    </row>
    <row r="313" spans="1:129" ht="34.15" customHeight="1">
      <c r="A313" s="1">
        <v>313</v>
      </c>
      <c r="B313" s="2">
        <v>46098.890011574098</v>
      </c>
      <c r="C313" s="2">
        <v>46098.9140625</v>
      </c>
      <c r="D313" s="3" t="s">
        <v>1073</v>
      </c>
      <c r="E313" s="3" t="s">
        <v>1074</v>
      </c>
      <c r="G313" s="3"/>
      <c r="I313" s="3" t="s">
        <v>1075</v>
      </c>
      <c r="K313" s="3"/>
      <c r="L313" s="1" t="s">
        <v>678</v>
      </c>
      <c r="O313" s="3" t="s">
        <v>184</v>
      </c>
      <c r="Q313" s="3"/>
      <c r="R313" s="3"/>
      <c r="T313" s="3"/>
      <c r="U313" s="5"/>
      <c r="W313" s="3"/>
      <c r="Z313" s="3"/>
      <c r="AA313" s="3"/>
      <c r="AC313" s="3"/>
      <c r="AD313" s="3"/>
      <c r="AF313" s="3"/>
      <c r="AG313" s="3" t="s">
        <v>1013</v>
      </c>
      <c r="AI313" s="3"/>
      <c r="AJ313" s="1">
        <v>46094</v>
      </c>
      <c r="AL313" s="3"/>
      <c r="AM313" s="1">
        <v>1</v>
      </c>
      <c r="AO313" s="3"/>
      <c r="AP313" s="3" t="s">
        <v>1092</v>
      </c>
      <c r="AR313" s="3"/>
      <c r="AS313" s="3" t="s">
        <v>1093</v>
      </c>
      <c r="AU313" s="3"/>
      <c r="AV313" s="3"/>
      <c r="AX313" s="3"/>
      <c r="AY313" s="5"/>
      <c r="BA313" s="3"/>
      <c r="BD313" s="3"/>
      <c r="BE313" s="3"/>
      <c r="BG313" s="3"/>
      <c r="BH313" s="3"/>
      <c r="BJ313" s="3"/>
      <c r="BK313" s="3"/>
      <c r="BM313" s="3"/>
      <c r="BN313" s="5"/>
      <c r="BP313" s="3"/>
      <c r="BS313" s="3"/>
      <c r="BT313" s="3"/>
      <c r="BV313" s="3"/>
      <c r="BW313" s="3"/>
      <c r="BY313" s="3"/>
      <c r="BZ313" s="3"/>
      <c r="CB313" s="3"/>
      <c r="CC313" s="5"/>
      <c r="CE313" s="3"/>
      <c r="CH313" s="3"/>
      <c r="CI313" s="3"/>
      <c r="CK313" s="3"/>
      <c r="CL313" s="3"/>
      <c r="CN313" s="3"/>
      <c r="CO313" s="3"/>
      <c r="CQ313" s="3"/>
      <c r="CR313" s="5"/>
      <c r="CT313" s="3"/>
      <c r="CW313" s="3"/>
      <c r="CX313" s="3"/>
      <c r="CZ313" s="3"/>
      <c r="DA313" s="3"/>
      <c r="DC313" s="3"/>
      <c r="DD313" s="3"/>
      <c r="DF313" s="3"/>
      <c r="DG313" s="5"/>
      <c r="DI313" s="3"/>
      <c r="DL313" s="3"/>
      <c r="DM313" s="3"/>
      <c r="DO313" s="3"/>
      <c r="DP313" s="3"/>
      <c r="DR313" s="3"/>
      <c r="DS313" s="1" t="str">
        <f>_xlfn.XLOOKUP(OfficeForms.Table[[#This Row],[Selecione a Categoria do Laboratório desta atividade prática:]],Planilha1!A:A,Planilha1!B:B)</f>
        <v>EMF-ISN</v>
      </c>
      <c r="DT313" s="1" t="str">
        <f>CONCATENATE(OfficeForms.Table[[#This Row],[Selecione seu Polo Laboratório de Atividades Presenciais:]],OfficeForms.Table[[#This Row],[CHAVE CONVERSÃO]])</f>
        <v>Marcelândia/MTEMF-ISN</v>
      </c>
      <c r="DU31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31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31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13" s="1" t="str">
        <f>_xlfn.XLOOKUP(OfficeForms.Table[[#This Row],[CHAVE LINK POLO]],'[1]Quadro Geral de Lotação'!$B:$B,'[1]Quadro Geral de Lotação'!$I:$I)</f>
        <v>Maria Rosangela Da Gama De La Torre</v>
      </c>
      <c r="DY313" s="1" t="str">
        <f>OfficeForms.Table[[#This Row],[Selecione a Ordem de Disciplina]]</f>
        <v>Ordem 2</v>
      </c>
    </row>
    <row r="314" spans="1:129" ht="34.15" customHeight="1">
      <c r="A314" s="1">
        <v>314</v>
      </c>
      <c r="B314" s="2">
        <v>46099.326296296298</v>
      </c>
      <c r="C314" s="2">
        <v>46099.334131944401</v>
      </c>
      <c r="D314" s="3" t="s">
        <v>518</v>
      </c>
      <c r="E314" s="3" t="s">
        <v>519</v>
      </c>
      <c r="G314" s="3"/>
      <c r="I314" s="3" t="s">
        <v>155</v>
      </c>
      <c r="K314" s="3"/>
      <c r="L314" s="1" t="s">
        <v>132</v>
      </c>
      <c r="O314" s="3" t="s">
        <v>184</v>
      </c>
      <c r="Q314" s="3"/>
      <c r="R314" s="3"/>
      <c r="T314" s="3"/>
      <c r="U314" s="5"/>
      <c r="W314" s="3"/>
      <c r="Z314" s="3"/>
      <c r="AA314" s="3"/>
      <c r="AC314" s="3"/>
      <c r="AD314" s="3"/>
      <c r="AF314" s="3"/>
      <c r="AG314" s="3" t="s">
        <v>206</v>
      </c>
      <c r="AI314" s="3"/>
      <c r="AJ314" s="1">
        <v>46087</v>
      </c>
      <c r="AL314" s="3"/>
      <c r="AM314" s="1">
        <v>24</v>
      </c>
      <c r="AO314" s="3"/>
      <c r="AP314" s="3" t="s">
        <v>1094</v>
      </c>
      <c r="AR314" s="3"/>
      <c r="AS314" s="3" t="s">
        <v>1095</v>
      </c>
      <c r="AU314" s="3"/>
      <c r="AV314" s="3"/>
      <c r="AX314" s="3"/>
      <c r="AY314" s="5"/>
      <c r="BA314" s="3"/>
      <c r="BD314" s="3"/>
      <c r="BE314" s="3"/>
      <c r="BG314" s="3"/>
      <c r="BH314" s="3"/>
      <c r="BJ314" s="3"/>
      <c r="BK314" s="3"/>
      <c r="BM314" s="3"/>
      <c r="BN314" s="5"/>
      <c r="BP314" s="3"/>
      <c r="BS314" s="3"/>
      <c r="BT314" s="3"/>
      <c r="BV314" s="3"/>
      <c r="BW314" s="3"/>
      <c r="BY314" s="3"/>
      <c r="BZ314" s="3"/>
      <c r="CB314" s="3"/>
      <c r="CC314" s="5"/>
      <c r="CE314" s="3"/>
      <c r="CH314" s="3"/>
      <c r="CI314" s="3"/>
      <c r="CK314" s="3"/>
      <c r="CL314" s="3"/>
      <c r="CN314" s="3"/>
      <c r="CO314" s="3"/>
      <c r="CQ314" s="3"/>
      <c r="CR314" s="5"/>
      <c r="CT314" s="3"/>
      <c r="CW314" s="3"/>
      <c r="CX314" s="3"/>
      <c r="CZ314" s="3"/>
      <c r="DA314" s="3"/>
      <c r="DC314" s="3"/>
      <c r="DD314" s="3"/>
      <c r="DF314" s="3"/>
      <c r="DG314" s="5"/>
      <c r="DI314" s="3"/>
      <c r="DL314" s="3"/>
      <c r="DM314" s="3"/>
      <c r="DO314" s="3"/>
      <c r="DP314" s="3"/>
      <c r="DR314" s="3"/>
      <c r="DS314" s="1" t="str">
        <f>_xlfn.XLOOKUP(OfficeForms.Table[[#This Row],[Selecione a Categoria do Laboratório desta atividade prática:]],Planilha1!A:A,Planilha1!B:B)</f>
        <v>EMF-ISN</v>
      </c>
      <c r="DT314" s="1" t="str">
        <f>CONCATENATE(OfficeForms.Table[[#This Row],[Selecione seu Polo Laboratório de Atividades Presenciais:]],OfficeForms.Table[[#This Row],[CHAVE CONVERSÃO]])</f>
        <v>Novo Hamburgo/RS - CentroEMF-ISN</v>
      </c>
      <c r="DU31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31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31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24</v>
      </c>
      <c r="DX314" s="1" t="str">
        <f>_xlfn.XLOOKUP(OfficeForms.Table[[#This Row],[CHAVE LINK POLO]],'[1]Quadro Geral de Lotação'!$B:$B,'[1]Quadro Geral de Lotação'!$I:$I)</f>
        <v>Francine Xavier Guterres</v>
      </c>
      <c r="DY314" s="1" t="str">
        <f>OfficeForms.Table[[#This Row],[Selecione a Ordem de Disciplina]]</f>
        <v>Ordem 1</v>
      </c>
    </row>
    <row r="315" spans="1:129" ht="34.15" customHeight="1">
      <c r="A315" s="1">
        <v>315</v>
      </c>
      <c r="B315" s="2">
        <v>46099.338113425903</v>
      </c>
      <c r="C315" s="2">
        <v>46099.340648148202</v>
      </c>
      <c r="D315" s="3" t="s">
        <v>518</v>
      </c>
      <c r="E315" s="3" t="s">
        <v>519</v>
      </c>
      <c r="G315" s="3"/>
      <c r="I315" s="3" t="s">
        <v>155</v>
      </c>
      <c r="K315" s="3"/>
      <c r="L315" s="1" t="s">
        <v>132</v>
      </c>
      <c r="O315" s="3" t="s">
        <v>184</v>
      </c>
      <c r="Q315" s="3"/>
      <c r="R315" s="3"/>
      <c r="T315" s="3"/>
      <c r="U315" s="5"/>
      <c r="W315" s="3"/>
      <c r="Z315" s="3"/>
      <c r="AA315" s="3"/>
      <c r="AC315" s="3"/>
      <c r="AD315" s="3"/>
      <c r="AF315" s="3"/>
      <c r="AG315" s="3" t="s">
        <v>185</v>
      </c>
      <c r="AI315" s="3"/>
      <c r="AJ315" s="1">
        <v>46092</v>
      </c>
      <c r="AL315" s="3"/>
      <c r="AM315" s="1">
        <v>24</v>
      </c>
      <c r="AO315" s="3"/>
      <c r="AP315" s="3" t="s">
        <v>1096</v>
      </c>
      <c r="AR315" s="3"/>
      <c r="AS315" s="3" t="s">
        <v>1097</v>
      </c>
      <c r="AU315" s="3"/>
      <c r="AV315" s="3"/>
      <c r="AX315" s="3"/>
      <c r="AY315" s="5"/>
      <c r="BA315" s="3"/>
      <c r="BD315" s="3"/>
      <c r="BE315" s="3"/>
      <c r="BG315" s="3"/>
      <c r="BH315" s="3"/>
      <c r="BJ315" s="3"/>
      <c r="BK315" s="3"/>
      <c r="BM315" s="3"/>
      <c r="BN315" s="5"/>
      <c r="BP315" s="3"/>
      <c r="BS315" s="3"/>
      <c r="BT315" s="3"/>
      <c r="BV315" s="3"/>
      <c r="BW315" s="3"/>
      <c r="BY315" s="3"/>
      <c r="BZ315" s="3"/>
      <c r="CB315" s="3"/>
      <c r="CC315" s="5"/>
      <c r="CE315" s="3"/>
      <c r="CH315" s="3"/>
      <c r="CI315" s="3"/>
      <c r="CK315" s="3"/>
      <c r="CL315" s="3"/>
      <c r="CN315" s="3"/>
      <c r="CO315" s="3"/>
      <c r="CQ315" s="3"/>
      <c r="CR315" s="5"/>
      <c r="CT315" s="3"/>
      <c r="CW315" s="3"/>
      <c r="CX315" s="3"/>
      <c r="CZ315" s="3"/>
      <c r="DA315" s="3"/>
      <c r="DC315" s="3"/>
      <c r="DD315" s="3"/>
      <c r="DF315" s="3"/>
      <c r="DG315" s="5"/>
      <c r="DI315" s="3"/>
      <c r="DL315" s="3"/>
      <c r="DM315" s="3"/>
      <c r="DO315" s="3"/>
      <c r="DP315" s="3"/>
      <c r="DR315" s="3"/>
      <c r="DS315" s="1" t="str">
        <f>_xlfn.XLOOKUP(OfficeForms.Table[[#This Row],[Selecione a Categoria do Laboratório desta atividade prática:]],Planilha1!A:A,Planilha1!B:B)</f>
        <v>EMF-ISN</v>
      </c>
      <c r="DT315" s="1" t="str">
        <f>CONCATENATE(OfficeForms.Table[[#This Row],[Selecione seu Polo Laboratório de Atividades Presenciais:]],OfficeForms.Table[[#This Row],[CHAVE CONVERSÃO]])</f>
        <v>Novo Hamburgo/RS - CentroEMF-ISN</v>
      </c>
      <c r="DU31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31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31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24</v>
      </c>
      <c r="DX315" s="1" t="str">
        <f>_xlfn.XLOOKUP(OfficeForms.Table[[#This Row],[CHAVE LINK POLO]],'[1]Quadro Geral de Lotação'!$B:$B,'[1]Quadro Geral de Lotação'!$I:$I)</f>
        <v>Francine Xavier Guterres</v>
      </c>
      <c r="DY315" s="1" t="str">
        <f>OfficeForms.Table[[#This Row],[Selecione a Ordem de Disciplina]]</f>
        <v>Ordem 1</v>
      </c>
    </row>
    <row r="316" spans="1:129" ht="34.15" customHeight="1">
      <c r="A316" s="1">
        <v>316</v>
      </c>
      <c r="B316" s="2">
        <v>46099.338738425897</v>
      </c>
      <c r="C316" s="2">
        <v>46099.342881944402</v>
      </c>
      <c r="D316" s="3" t="s">
        <v>543</v>
      </c>
      <c r="E316" s="3" t="s">
        <v>544</v>
      </c>
      <c r="G316" s="3"/>
      <c r="I316" s="3" t="s">
        <v>545</v>
      </c>
      <c r="K316" s="3"/>
      <c r="L316" s="1" t="s">
        <v>678</v>
      </c>
      <c r="O316" s="3" t="s">
        <v>140</v>
      </c>
      <c r="Q316" s="3"/>
      <c r="R316" s="3"/>
      <c r="T316" s="3"/>
      <c r="U316" s="5"/>
      <c r="W316" s="3"/>
      <c r="Z316" s="3"/>
      <c r="AA316" s="3"/>
      <c r="AC316" s="3"/>
      <c r="AD316" s="3"/>
      <c r="AF316" s="3"/>
      <c r="AG316" s="3"/>
      <c r="AI316" s="3"/>
      <c r="AJ316" s="1"/>
      <c r="AL316" s="3"/>
      <c r="AO316" s="3"/>
      <c r="AP316" s="3"/>
      <c r="AR316" s="3"/>
      <c r="AS316" s="3"/>
      <c r="AU316" s="3"/>
      <c r="AV316" s="3"/>
      <c r="AX316" s="3"/>
      <c r="AY316" s="5"/>
      <c r="BA316" s="3"/>
      <c r="BD316" s="3"/>
      <c r="BE316" s="3"/>
      <c r="BG316" s="3"/>
      <c r="BH316" s="3"/>
      <c r="BJ316" s="3"/>
      <c r="BK316" s="3"/>
      <c r="BM316" s="3"/>
      <c r="BN316" s="5"/>
      <c r="BP316" s="3"/>
      <c r="BS316" s="3"/>
      <c r="BT316" s="3"/>
      <c r="BV316" s="3"/>
      <c r="BW316" s="3"/>
      <c r="BY316" s="3"/>
      <c r="BZ316" s="3" t="s">
        <v>1098</v>
      </c>
      <c r="CB316" s="3"/>
      <c r="CC316" s="5">
        <v>46097</v>
      </c>
      <c r="CE316" s="3"/>
      <c r="CF316" s="1">
        <v>12</v>
      </c>
      <c r="CH316" s="3"/>
      <c r="CI316" s="3" t="s">
        <v>1099</v>
      </c>
      <c r="CK316" s="3"/>
      <c r="CL316" s="3" t="s">
        <v>1100</v>
      </c>
      <c r="CN316" s="3"/>
      <c r="CO316" s="3"/>
      <c r="CQ316" s="3"/>
      <c r="CR316" s="5"/>
      <c r="CT316" s="3"/>
      <c r="CW316" s="3"/>
      <c r="CX316" s="3"/>
      <c r="CZ316" s="3"/>
      <c r="DA316" s="3"/>
      <c r="DC316" s="3"/>
      <c r="DD316" s="3"/>
      <c r="DF316" s="3"/>
      <c r="DG316" s="5"/>
      <c r="DI316" s="3"/>
      <c r="DL316" s="3"/>
      <c r="DM316" s="3"/>
      <c r="DO316" s="3"/>
      <c r="DP316" s="3"/>
      <c r="DR316" s="3"/>
      <c r="DS316" s="1" t="str">
        <f>_xlfn.XLOOKUP(OfficeForms.Table[[#This Row],[Selecione a Categoria do Laboratório desta atividade prática:]],Planilha1!A:A,Planilha1!B:B)</f>
        <v>ECE-ENM-ENS-ENG-EEA-GPI-CDE-OBR-SAN-TER-FSA-SLF-QUI</v>
      </c>
      <c r="DT316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31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Experimento de Oersted</v>
      </c>
      <c r="DV31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31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316" s="1" t="e">
        <f>_xlfn.XLOOKUP(OfficeForms.Table[[#This Row],[CHAVE LINK POLO]],'[1]Quadro Geral de Lotação'!$B:$B,'[1]Quadro Geral de Lotação'!$I:$I)</f>
        <v>#N/A</v>
      </c>
      <c r="DY316" s="1" t="str">
        <f>OfficeForms.Table[[#This Row],[Selecione a Ordem de Disciplina]]</f>
        <v>Ordem 2</v>
      </c>
    </row>
    <row r="317" spans="1:129" ht="34.15" customHeight="1">
      <c r="A317" s="1">
        <v>317</v>
      </c>
      <c r="B317" s="2">
        <v>46099.347361111097</v>
      </c>
      <c r="C317" s="2">
        <v>46099.350069444401</v>
      </c>
      <c r="D317" s="3" t="s">
        <v>543</v>
      </c>
      <c r="E317" s="3" t="s">
        <v>544</v>
      </c>
      <c r="G317" s="3"/>
      <c r="I317" s="3" t="s">
        <v>545</v>
      </c>
      <c r="K317" s="3"/>
      <c r="L317" s="1" t="s">
        <v>132</v>
      </c>
      <c r="O317" s="3" t="s">
        <v>140</v>
      </c>
      <c r="Q317" s="3"/>
      <c r="R317" s="3"/>
      <c r="T317" s="3"/>
      <c r="U317" s="5"/>
      <c r="W317" s="3"/>
      <c r="Z317" s="3"/>
      <c r="AA317" s="3"/>
      <c r="AC317" s="3"/>
      <c r="AD317" s="3"/>
      <c r="AF317" s="3"/>
      <c r="AG317" s="3"/>
      <c r="AI317" s="3"/>
      <c r="AJ317" s="1"/>
      <c r="AL317" s="3"/>
      <c r="AO317" s="3"/>
      <c r="AP317" s="3"/>
      <c r="AR317" s="3"/>
      <c r="AS317" s="3"/>
      <c r="AU317" s="3"/>
      <c r="AV317" s="3"/>
      <c r="AX317" s="3"/>
      <c r="AY317" s="5"/>
      <c r="BA317" s="3"/>
      <c r="BD317" s="3"/>
      <c r="BE317" s="3"/>
      <c r="BG317" s="3"/>
      <c r="BH317" s="3"/>
      <c r="BJ317" s="3"/>
      <c r="BK317" s="3"/>
      <c r="BM317" s="3"/>
      <c r="BN317" s="5"/>
      <c r="BP317" s="3"/>
      <c r="BS317" s="3"/>
      <c r="BT317" s="3"/>
      <c r="BV317" s="3"/>
      <c r="BW317" s="3"/>
      <c r="BY317" s="3"/>
      <c r="BZ317" s="3" t="s">
        <v>758</v>
      </c>
      <c r="CB317" s="3"/>
      <c r="CC317" s="5">
        <v>46098</v>
      </c>
      <c r="CE317" s="3"/>
      <c r="CF317" s="1">
        <v>11</v>
      </c>
      <c r="CH317" s="3"/>
      <c r="CI317" s="3" t="s">
        <v>1101</v>
      </c>
      <c r="CK317" s="3"/>
      <c r="CL317" s="3" t="s">
        <v>1102</v>
      </c>
      <c r="CN317" s="3"/>
      <c r="CO317" s="3"/>
      <c r="CQ317" s="3"/>
      <c r="CR317" s="5"/>
      <c r="CT317" s="3"/>
      <c r="CW317" s="3"/>
      <c r="CX317" s="3"/>
      <c r="CZ317" s="3"/>
      <c r="DA317" s="3"/>
      <c r="DC317" s="3"/>
      <c r="DD317" s="3"/>
      <c r="DF317" s="3"/>
      <c r="DG317" s="5"/>
      <c r="DI317" s="3"/>
      <c r="DL317" s="3"/>
      <c r="DM317" s="3"/>
      <c r="DO317" s="3"/>
      <c r="DP317" s="3"/>
      <c r="DR317" s="3"/>
      <c r="DS317" s="1" t="str">
        <f>_xlfn.XLOOKUP(OfficeForms.Table[[#This Row],[Selecione a Categoria do Laboratório desta atividade prática:]],Planilha1!A:A,Planilha1!B:B)</f>
        <v>ECE-ENM-ENS-ENG-EEA-GPI-CDE-OBR-SAN-TER-FSA-SLF-QUI</v>
      </c>
      <c r="DT317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31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Índice De Refração Relativo De Um Par De Meios</v>
      </c>
      <c r="DV31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31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317" s="1" t="e">
        <f>_xlfn.XLOOKUP(OfficeForms.Table[[#This Row],[CHAVE LINK POLO]],'[1]Quadro Geral de Lotação'!$B:$B,'[1]Quadro Geral de Lotação'!$I:$I)</f>
        <v>#N/A</v>
      </c>
      <c r="DY317" s="1" t="str">
        <f>OfficeForms.Table[[#This Row],[Selecione a Ordem de Disciplina]]</f>
        <v>Ordem 1</v>
      </c>
    </row>
    <row r="318" spans="1:129" ht="34.15" customHeight="1">
      <c r="A318" s="1">
        <v>318</v>
      </c>
      <c r="B318" s="2">
        <v>46099.519097222197</v>
      </c>
      <c r="C318" s="2">
        <v>46099.521377314799</v>
      </c>
      <c r="D318" s="3" t="s">
        <v>506</v>
      </c>
      <c r="E318" s="3" t="s">
        <v>507</v>
      </c>
      <c r="G318" s="3"/>
      <c r="I318" s="3" t="s">
        <v>508</v>
      </c>
      <c r="K318" s="3"/>
      <c r="L318" s="1" t="s">
        <v>132</v>
      </c>
      <c r="O318" s="3" t="s">
        <v>156</v>
      </c>
      <c r="Q318" s="3"/>
      <c r="R318" s="3"/>
      <c r="T318" s="3"/>
      <c r="U318" s="5"/>
      <c r="W318" s="3"/>
      <c r="Z318" s="3"/>
      <c r="AA318" s="3"/>
      <c r="AC318" s="3"/>
      <c r="AD318" s="3"/>
      <c r="AF318" s="3"/>
      <c r="AG318" s="3"/>
      <c r="AI318" s="3"/>
      <c r="AJ318" s="1"/>
      <c r="AL318" s="3"/>
      <c r="AO318" s="3"/>
      <c r="AP318" s="3"/>
      <c r="AR318" s="3"/>
      <c r="AS318" s="3"/>
      <c r="AU318" s="3"/>
      <c r="AV318" s="3"/>
      <c r="AX318" s="3"/>
      <c r="AY318" s="5"/>
      <c r="BA318" s="3"/>
      <c r="BD318" s="3"/>
      <c r="BE318" s="3"/>
      <c r="BG318" s="3"/>
      <c r="BH318" s="3"/>
      <c r="BJ318" s="3"/>
      <c r="BK318" s="3" t="s">
        <v>465</v>
      </c>
      <c r="BM318" s="3"/>
      <c r="BN318" s="5">
        <v>46084</v>
      </c>
      <c r="BP318" s="3"/>
      <c r="BQ318" s="1">
        <v>4</v>
      </c>
      <c r="BS318" s="3"/>
      <c r="BT318" s="3" t="s">
        <v>1103</v>
      </c>
      <c r="BV318" s="3"/>
      <c r="BW318" s="3" t="s">
        <v>1104</v>
      </c>
      <c r="BY318" s="3"/>
      <c r="BZ318" s="3"/>
      <c r="CB318" s="3"/>
      <c r="CC318" s="5"/>
      <c r="CE318" s="3"/>
      <c r="CH318" s="3"/>
      <c r="CI318" s="3"/>
      <c r="CK318" s="3"/>
      <c r="CL318" s="3"/>
      <c r="CN318" s="3"/>
      <c r="CO318" s="3"/>
      <c r="CQ318" s="3"/>
      <c r="CR318" s="5"/>
      <c r="CT318" s="3"/>
      <c r="CW318" s="3"/>
      <c r="CX318" s="3"/>
      <c r="CZ318" s="3"/>
      <c r="DA318" s="3"/>
      <c r="DC318" s="3"/>
      <c r="DD318" s="3"/>
      <c r="DF318" s="3"/>
      <c r="DG318" s="5"/>
      <c r="DI318" s="3"/>
      <c r="DL318" s="3"/>
      <c r="DM318" s="3"/>
      <c r="DO318" s="3"/>
      <c r="DP318" s="3"/>
      <c r="DR318" s="3"/>
      <c r="DS318" s="1" t="str">
        <f>_xlfn.XLOOKUP(OfficeForms.Table[[#This Row],[Selecione a Categoria do Laboratório desta atividade prática:]],Planilha1!A:A,Planilha1!B:B)</f>
        <v>NTR</v>
      </c>
      <c r="DT318" s="1" t="str">
        <f>CONCATENATE(OfficeForms.Table[[#This Row],[Selecione seu Polo Laboratório de Atividades Presenciais:]],OfficeForms.Table[[#This Row],[CHAVE CONVERSÃO]])</f>
        <v>Rondonópolis/MTNTR</v>
      </c>
      <c r="DU31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Antropometria;Avaliação nutricional de gestante II: Anamnese e diagnóstico</v>
      </c>
      <c r="DV31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31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318" s="1" t="str">
        <f>_xlfn.XLOOKUP(OfficeForms.Table[[#This Row],[CHAVE LINK POLO]],'[1]Quadro Geral de Lotação'!$B:$B,'[1]Quadro Geral de Lotação'!$I:$I)</f>
        <v>Nathane Beatrys Dos Santos Ramos</v>
      </c>
      <c r="DY318" s="1" t="str">
        <f>OfficeForms.Table[[#This Row],[Selecione a Ordem de Disciplina]]</f>
        <v>Ordem 1</v>
      </c>
    </row>
    <row r="319" spans="1:129" ht="34.15" customHeight="1">
      <c r="A319" s="1">
        <v>319</v>
      </c>
      <c r="B319" s="2">
        <v>46099.560648148203</v>
      </c>
      <c r="C319" s="2">
        <v>46099.569062499999</v>
      </c>
      <c r="D319" s="3" t="s">
        <v>751</v>
      </c>
      <c r="E319" s="3" t="s">
        <v>752</v>
      </c>
      <c r="G319" s="3"/>
      <c r="I319" s="3" t="s">
        <v>753</v>
      </c>
      <c r="K319" s="3"/>
      <c r="L319" s="1" t="s">
        <v>678</v>
      </c>
      <c r="O319" s="3" t="s">
        <v>184</v>
      </c>
      <c r="Q319" s="3"/>
      <c r="R319" s="3"/>
      <c r="T319" s="3"/>
      <c r="U319" s="5"/>
      <c r="W319" s="3"/>
      <c r="Z319" s="3"/>
      <c r="AA319" s="3"/>
      <c r="AC319" s="3"/>
      <c r="AD319" s="3"/>
      <c r="AF319" s="3"/>
      <c r="AG319" s="3" t="s">
        <v>1105</v>
      </c>
      <c r="AI319" s="3"/>
      <c r="AJ319" s="1">
        <v>46098</v>
      </c>
      <c r="AL319" s="3"/>
      <c r="AM319" s="1">
        <v>2</v>
      </c>
      <c r="AO319" s="3"/>
      <c r="AP319" s="3" t="s">
        <v>1106</v>
      </c>
      <c r="AR319" s="3"/>
      <c r="AS319" s="3" t="s">
        <v>1107</v>
      </c>
      <c r="AU319" s="3"/>
      <c r="AV319" s="3"/>
      <c r="AX319" s="3"/>
      <c r="AY319" s="5"/>
      <c r="BA319" s="3"/>
      <c r="BD319" s="3"/>
      <c r="BE319" s="3"/>
      <c r="BG319" s="3"/>
      <c r="BH319" s="3"/>
      <c r="BJ319" s="3"/>
      <c r="BK319" s="3"/>
      <c r="BM319" s="3"/>
      <c r="BN319" s="5"/>
      <c r="BP319" s="3"/>
      <c r="BS319" s="3"/>
      <c r="BT319" s="3"/>
      <c r="BV319" s="3"/>
      <c r="BW319" s="3"/>
      <c r="BY319" s="3"/>
      <c r="BZ319" s="3"/>
      <c r="CB319" s="3"/>
      <c r="CC319" s="5"/>
      <c r="CE319" s="3"/>
      <c r="CH319" s="3"/>
      <c r="CI319" s="3"/>
      <c r="CK319" s="3"/>
      <c r="CL319" s="3"/>
      <c r="CN319" s="3"/>
      <c r="CO319" s="3"/>
      <c r="CQ319" s="3"/>
      <c r="CR319" s="5"/>
      <c r="CT319" s="3"/>
      <c r="CW319" s="3"/>
      <c r="CX319" s="3"/>
      <c r="CZ319" s="3"/>
      <c r="DA319" s="3"/>
      <c r="DC319" s="3"/>
      <c r="DD319" s="3"/>
      <c r="DF319" s="3"/>
      <c r="DG319" s="5"/>
      <c r="DI319" s="3"/>
      <c r="DL319" s="3"/>
      <c r="DM319" s="3"/>
      <c r="DO319" s="3"/>
      <c r="DP319" s="3"/>
      <c r="DR319" s="3"/>
      <c r="DS319" s="1" t="str">
        <f>_xlfn.XLOOKUP(OfficeForms.Table[[#This Row],[Selecione a Categoria do Laboratório desta atividade prática:]],Planilha1!A:A,Planilha1!B:B)</f>
        <v>EMF-ISN</v>
      </c>
      <c r="DT319" s="1" t="str">
        <f>CONCATENATE(OfficeForms.Table[[#This Row],[Selecione seu Polo Laboratório de Atividades Presenciais:]],OfficeForms.Table[[#This Row],[CHAVE CONVERSÃO]])</f>
        <v>São Paulo/SP - TatuapéEMF-ISN</v>
      </c>
      <c r="DU31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31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31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319" s="1" t="str">
        <f>_xlfn.XLOOKUP(OfficeForms.Table[[#This Row],[CHAVE LINK POLO]],'[1]Quadro Geral de Lotação'!$B:$B,'[1]Quadro Geral de Lotação'!$I:$I)</f>
        <v>Luiz Dias Da Silva</v>
      </c>
      <c r="DY319" s="1" t="str">
        <f>OfficeForms.Table[[#This Row],[Selecione a Ordem de Disciplina]]</f>
        <v>Ordem 2</v>
      </c>
    </row>
    <row r="320" spans="1:129" ht="34.15" customHeight="1">
      <c r="A320" s="1">
        <v>320</v>
      </c>
      <c r="B320" s="2">
        <v>46099.569108796299</v>
      </c>
      <c r="C320" s="2">
        <v>46099.570625</v>
      </c>
      <c r="D320" s="3" t="s">
        <v>751</v>
      </c>
      <c r="E320" s="3" t="s">
        <v>752</v>
      </c>
      <c r="G320" s="3"/>
      <c r="I320" s="3" t="s">
        <v>753</v>
      </c>
      <c r="K320" s="3"/>
      <c r="L320" s="1" t="s">
        <v>678</v>
      </c>
      <c r="O320" s="3" t="s">
        <v>184</v>
      </c>
      <c r="Q320" s="3"/>
      <c r="R320" s="3"/>
      <c r="T320" s="3"/>
      <c r="U320" s="5"/>
      <c r="W320" s="3"/>
      <c r="Z320" s="3"/>
      <c r="AA320" s="3"/>
      <c r="AC320" s="3"/>
      <c r="AD320" s="3"/>
      <c r="AF320" s="3"/>
      <c r="AG320" s="3" t="s">
        <v>211</v>
      </c>
      <c r="AI320" s="3"/>
      <c r="AJ320" s="1">
        <v>46098</v>
      </c>
      <c r="AL320" s="3"/>
      <c r="AM320" s="1">
        <v>2</v>
      </c>
      <c r="AO320" s="3"/>
      <c r="AP320" s="3" t="s">
        <v>1108</v>
      </c>
      <c r="AR320" s="3"/>
      <c r="AS320" s="3" t="s">
        <v>1109</v>
      </c>
      <c r="AU320" s="3"/>
      <c r="AV320" s="3"/>
      <c r="AX320" s="3"/>
      <c r="AY320" s="5"/>
      <c r="BA320" s="3"/>
      <c r="BD320" s="3"/>
      <c r="BE320" s="3"/>
      <c r="BG320" s="3"/>
      <c r="BH320" s="3"/>
      <c r="BJ320" s="3"/>
      <c r="BK320" s="3"/>
      <c r="BM320" s="3"/>
      <c r="BN320" s="5"/>
      <c r="BP320" s="3"/>
      <c r="BS320" s="3"/>
      <c r="BT320" s="3"/>
      <c r="BV320" s="3"/>
      <c r="BW320" s="3"/>
      <c r="BY320" s="3"/>
      <c r="BZ320" s="3"/>
      <c r="CB320" s="3"/>
      <c r="CC320" s="5"/>
      <c r="CE320" s="3"/>
      <c r="CH320" s="3"/>
      <c r="CI320" s="3"/>
      <c r="CK320" s="3"/>
      <c r="CL320" s="3"/>
      <c r="CN320" s="3"/>
      <c r="CO320" s="3"/>
      <c r="CQ320" s="3"/>
      <c r="CR320" s="5"/>
      <c r="CT320" s="3"/>
      <c r="CW320" s="3"/>
      <c r="CX320" s="3"/>
      <c r="CZ320" s="3"/>
      <c r="DA320" s="3"/>
      <c r="DC320" s="3"/>
      <c r="DD320" s="3"/>
      <c r="DF320" s="3"/>
      <c r="DG320" s="5"/>
      <c r="DI320" s="3"/>
      <c r="DL320" s="3"/>
      <c r="DM320" s="3"/>
      <c r="DO320" s="3"/>
      <c r="DP320" s="3"/>
      <c r="DR320" s="3"/>
      <c r="DS320" s="1" t="str">
        <f>_xlfn.XLOOKUP(OfficeForms.Table[[#This Row],[Selecione a Categoria do Laboratório desta atividade prática:]],Planilha1!A:A,Planilha1!B:B)</f>
        <v>EMF-ISN</v>
      </c>
      <c r="DT320" s="1" t="str">
        <f>CONCATENATE(OfficeForms.Table[[#This Row],[Selecione seu Polo Laboratório de Atividades Presenciais:]],OfficeForms.Table[[#This Row],[CHAVE CONVERSÃO]])</f>
        <v>São Paulo/SP - TatuapéEMF-ISN</v>
      </c>
      <c r="DU32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32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32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320" s="1" t="str">
        <f>_xlfn.XLOOKUP(OfficeForms.Table[[#This Row],[CHAVE LINK POLO]],'[1]Quadro Geral de Lotação'!$B:$B,'[1]Quadro Geral de Lotação'!$I:$I)</f>
        <v>Luiz Dias Da Silva</v>
      </c>
      <c r="DY320" s="1" t="str">
        <f>OfficeForms.Table[[#This Row],[Selecione a Ordem de Disciplina]]</f>
        <v>Ordem 2</v>
      </c>
    </row>
    <row r="321" spans="1:129" ht="34.15" customHeight="1">
      <c r="A321" s="1">
        <v>321</v>
      </c>
      <c r="B321" s="2">
        <v>46099.642372685201</v>
      </c>
      <c r="C321" s="2">
        <v>46099.653969907398</v>
      </c>
      <c r="D321" s="3" t="s">
        <v>1110</v>
      </c>
      <c r="E321" s="3" t="s">
        <v>1111</v>
      </c>
      <c r="G321" s="3"/>
      <c r="I321" s="3" t="s">
        <v>259</v>
      </c>
      <c r="K321" s="3"/>
      <c r="L321" s="1" t="s">
        <v>132</v>
      </c>
      <c r="O321" s="3" t="s">
        <v>140</v>
      </c>
      <c r="Q321" s="3"/>
      <c r="R321" s="3"/>
      <c r="T321" s="3"/>
      <c r="U321" s="5"/>
      <c r="W321" s="3"/>
      <c r="Z321" s="3"/>
      <c r="AA321" s="3"/>
      <c r="AC321" s="3"/>
      <c r="AD321" s="3"/>
      <c r="AF321" s="3"/>
      <c r="AG321" s="3"/>
      <c r="AI321" s="3"/>
      <c r="AJ321" s="1"/>
      <c r="AL321" s="3"/>
      <c r="AO321" s="3"/>
      <c r="AP321" s="3"/>
      <c r="AR321" s="3"/>
      <c r="AS321" s="3"/>
      <c r="AU321" s="3"/>
      <c r="AV321" s="3"/>
      <c r="AX321" s="3"/>
      <c r="AY321" s="5"/>
      <c r="BA321" s="3"/>
      <c r="BD321" s="3"/>
      <c r="BE321" s="3"/>
      <c r="BG321" s="3"/>
      <c r="BH321" s="3"/>
      <c r="BJ321" s="3"/>
      <c r="BK321" s="3"/>
      <c r="BM321" s="3"/>
      <c r="BN321" s="5"/>
      <c r="BP321" s="3"/>
      <c r="BS321" s="3"/>
      <c r="BT321" s="3"/>
      <c r="BV321" s="3"/>
      <c r="BW321" s="3"/>
      <c r="BY321" s="3"/>
      <c r="BZ321" s="3" t="s">
        <v>349</v>
      </c>
      <c r="CB321" s="3"/>
      <c r="CC321" s="5">
        <v>46071</v>
      </c>
      <c r="CE321" s="3"/>
      <c r="CF321" s="1">
        <v>0</v>
      </c>
      <c r="CH321" s="3"/>
      <c r="CI321" s="3" t="s">
        <v>1112</v>
      </c>
      <c r="CK321" s="3"/>
      <c r="CL321" s="3" t="s">
        <v>1113</v>
      </c>
      <c r="CN321" s="3"/>
      <c r="CO321" s="3"/>
      <c r="CQ321" s="3"/>
      <c r="CR321" s="5"/>
      <c r="CT321" s="3"/>
      <c r="CW321" s="3"/>
      <c r="CX321" s="3"/>
      <c r="CZ321" s="3"/>
      <c r="DA321" s="3"/>
      <c r="DC321" s="3"/>
      <c r="DD321" s="3"/>
      <c r="DF321" s="3"/>
      <c r="DG321" s="5"/>
      <c r="DI321" s="3"/>
      <c r="DL321" s="3"/>
      <c r="DM321" s="3"/>
      <c r="DO321" s="3"/>
      <c r="DP321" s="3"/>
      <c r="DR321" s="3"/>
      <c r="DS321" s="1" t="str">
        <f>_xlfn.XLOOKUP(OfficeForms.Table[[#This Row],[Selecione a Categoria do Laboratório desta atividade prática:]],Planilha1!A:A,Planilha1!B:B)</f>
        <v>ECE-ENM-ENS-ENG-EEA-GPI-CDE-OBR-SAN-TER-FSA-SLF-QUI</v>
      </c>
      <c r="DT321" s="1" t="str">
        <f>CONCATENATE(OfficeForms.Table[[#This Row],[Selecione seu Polo Laboratório de Atividades Presenciais:]],OfficeForms.Table[[#This Row],[CHAVE CONVERSÃO]])</f>
        <v>Capão Da Canoa/RSECE-ENM-ENS-ENG-EEA-GPI-CDE-OBR-SAN-TER-FSA-SLF-QUI</v>
      </c>
      <c r="DU32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Conexões elétricas simples + Verificação da Primeira Lei de Ohm e da Lei de Joule</v>
      </c>
      <c r="DV32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32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21" s="1" t="e">
        <f>_xlfn.XLOOKUP(OfficeForms.Table[[#This Row],[CHAVE LINK POLO]],'[1]Quadro Geral de Lotação'!$B:$B,'[1]Quadro Geral de Lotação'!$I:$I)</f>
        <v>#N/A</v>
      </c>
      <c r="DY321" s="1" t="str">
        <f>OfficeForms.Table[[#This Row],[Selecione a Ordem de Disciplina]]</f>
        <v>Ordem 1</v>
      </c>
    </row>
    <row r="322" spans="1:129" ht="34.15" customHeight="1">
      <c r="A322" s="1">
        <v>322</v>
      </c>
      <c r="B322" s="2">
        <v>46099.654027777797</v>
      </c>
      <c r="C322" s="2">
        <v>46099.6550810185</v>
      </c>
      <c r="D322" s="3" t="s">
        <v>1110</v>
      </c>
      <c r="E322" s="3" t="s">
        <v>1111</v>
      </c>
      <c r="G322" s="3"/>
      <c r="I322" s="3" t="s">
        <v>259</v>
      </c>
      <c r="K322" s="3"/>
      <c r="L322" s="1" t="s">
        <v>132</v>
      </c>
      <c r="O322" s="3" t="s">
        <v>140</v>
      </c>
      <c r="Q322" s="3"/>
      <c r="R322" s="3"/>
      <c r="T322" s="3"/>
      <c r="U322" s="5"/>
      <c r="W322" s="3"/>
      <c r="Z322" s="3"/>
      <c r="AA322" s="3"/>
      <c r="AC322" s="3"/>
      <c r="AD322" s="3"/>
      <c r="AF322" s="3"/>
      <c r="AG322" s="3"/>
      <c r="AI322" s="3"/>
      <c r="AJ322" s="1"/>
      <c r="AL322" s="3"/>
      <c r="AO322" s="3"/>
      <c r="AP322" s="3"/>
      <c r="AR322" s="3"/>
      <c r="AS322" s="3"/>
      <c r="AU322" s="3"/>
      <c r="AV322" s="3"/>
      <c r="AX322" s="3"/>
      <c r="AY322" s="5"/>
      <c r="BA322" s="3"/>
      <c r="BD322" s="3"/>
      <c r="BE322" s="3"/>
      <c r="BG322" s="3"/>
      <c r="BH322" s="3"/>
      <c r="BJ322" s="3"/>
      <c r="BK322" s="3"/>
      <c r="BM322" s="3"/>
      <c r="BN322" s="5"/>
      <c r="BP322" s="3"/>
      <c r="BS322" s="3"/>
      <c r="BT322" s="3"/>
      <c r="BV322" s="3"/>
      <c r="BW322" s="3"/>
      <c r="BY322" s="3"/>
      <c r="BZ322" s="3" t="s">
        <v>349</v>
      </c>
      <c r="CB322" s="3"/>
      <c r="CC322" s="5">
        <v>46078</v>
      </c>
      <c r="CE322" s="3"/>
      <c r="CF322" s="1">
        <v>0</v>
      </c>
      <c r="CH322" s="3"/>
      <c r="CI322" s="3" t="s">
        <v>1114</v>
      </c>
      <c r="CK322" s="3"/>
      <c r="CL322" s="3" t="s">
        <v>1115</v>
      </c>
      <c r="CN322" s="3"/>
      <c r="CO322" s="3"/>
      <c r="CQ322" s="3"/>
      <c r="CR322" s="5"/>
      <c r="CT322" s="3"/>
      <c r="CW322" s="3"/>
      <c r="CX322" s="3"/>
      <c r="CZ322" s="3"/>
      <c r="DA322" s="3"/>
      <c r="DC322" s="3"/>
      <c r="DD322" s="3"/>
      <c r="DF322" s="3"/>
      <c r="DG322" s="5"/>
      <c r="DI322" s="3"/>
      <c r="DL322" s="3"/>
      <c r="DM322" s="3"/>
      <c r="DO322" s="3"/>
      <c r="DP322" s="3"/>
      <c r="DR322" s="3"/>
      <c r="DS322" s="1" t="str">
        <f>_xlfn.XLOOKUP(OfficeForms.Table[[#This Row],[Selecione a Categoria do Laboratório desta atividade prática:]],Planilha1!A:A,Planilha1!B:B)</f>
        <v>ECE-ENM-ENS-ENG-EEA-GPI-CDE-OBR-SAN-TER-FSA-SLF-QUI</v>
      </c>
      <c r="DT322" s="1" t="str">
        <f>CONCATENATE(OfficeForms.Table[[#This Row],[Selecione seu Polo Laboratório de Atividades Presenciais:]],OfficeForms.Table[[#This Row],[CHAVE CONVERSÃO]])</f>
        <v>Capão Da Canoa/RSECE-ENM-ENS-ENG-EEA-GPI-CDE-OBR-SAN-TER-FSA-SLF-QUI</v>
      </c>
      <c r="DU32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Conexões elétricas simples + Verificação da Primeira Lei de Ohm e da Lei de Joule</v>
      </c>
      <c r="DV32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32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22" s="1" t="e">
        <f>_xlfn.XLOOKUP(OfficeForms.Table[[#This Row],[CHAVE LINK POLO]],'[1]Quadro Geral de Lotação'!$B:$B,'[1]Quadro Geral de Lotação'!$I:$I)</f>
        <v>#N/A</v>
      </c>
      <c r="DY322" s="1" t="str">
        <f>OfficeForms.Table[[#This Row],[Selecione a Ordem de Disciplina]]</f>
        <v>Ordem 1</v>
      </c>
    </row>
    <row r="323" spans="1:129" ht="34.15" customHeight="1">
      <c r="A323" s="1">
        <v>323</v>
      </c>
      <c r="B323" s="2">
        <v>46099.655300925901</v>
      </c>
      <c r="C323" s="2">
        <v>46099.656261574099</v>
      </c>
      <c r="D323" s="3" t="s">
        <v>1110</v>
      </c>
      <c r="E323" s="3" t="s">
        <v>1111</v>
      </c>
      <c r="G323" s="3"/>
      <c r="I323" s="3" t="s">
        <v>259</v>
      </c>
      <c r="K323" s="3"/>
      <c r="L323" s="1" t="s">
        <v>132</v>
      </c>
      <c r="O323" s="3" t="s">
        <v>140</v>
      </c>
      <c r="Q323" s="3"/>
      <c r="R323" s="3"/>
      <c r="T323" s="3"/>
      <c r="U323" s="5"/>
      <c r="W323" s="3"/>
      <c r="Z323" s="3"/>
      <c r="AA323" s="3"/>
      <c r="AC323" s="3"/>
      <c r="AD323" s="3"/>
      <c r="AF323" s="3"/>
      <c r="AG323" s="3"/>
      <c r="AI323" s="3"/>
      <c r="AJ323" s="1"/>
      <c r="AL323" s="3"/>
      <c r="AO323" s="3"/>
      <c r="AP323" s="3"/>
      <c r="AR323" s="3"/>
      <c r="AS323" s="3"/>
      <c r="AU323" s="3"/>
      <c r="AV323" s="3"/>
      <c r="AX323" s="3"/>
      <c r="AY323" s="5"/>
      <c r="BA323" s="3"/>
      <c r="BD323" s="3"/>
      <c r="BE323" s="3"/>
      <c r="BG323" s="3"/>
      <c r="BH323" s="3"/>
      <c r="BJ323" s="3"/>
      <c r="BK323" s="3"/>
      <c r="BM323" s="3"/>
      <c r="BN323" s="5"/>
      <c r="BP323" s="3"/>
      <c r="BS323" s="3"/>
      <c r="BT323" s="3"/>
      <c r="BV323" s="3"/>
      <c r="BW323" s="3"/>
      <c r="BY323" s="3"/>
      <c r="BZ323" s="3" t="s">
        <v>144</v>
      </c>
      <c r="CB323" s="3"/>
      <c r="CC323" s="5">
        <v>46085</v>
      </c>
      <c r="CE323" s="3"/>
      <c r="CF323" s="1">
        <v>0</v>
      </c>
      <c r="CH323" s="3"/>
      <c r="CI323" s="3" t="s">
        <v>1116</v>
      </c>
      <c r="CK323" s="3"/>
      <c r="CL323" s="3" t="s">
        <v>1117</v>
      </c>
      <c r="CN323" s="3"/>
      <c r="CO323" s="3"/>
      <c r="CQ323" s="3"/>
      <c r="CR323" s="5"/>
      <c r="CT323" s="3"/>
      <c r="CW323" s="3"/>
      <c r="CX323" s="3"/>
      <c r="CZ323" s="3"/>
      <c r="DA323" s="3"/>
      <c r="DC323" s="3"/>
      <c r="DD323" s="3"/>
      <c r="DF323" s="3"/>
      <c r="DG323" s="5"/>
      <c r="DI323" s="3"/>
      <c r="DL323" s="3"/>
      <c r="DM323" s="3"/>
      <c r="DO323" s="3"/>
      <c r="DP323" s="3"/>
      <c r="DR323" s="3"/>
      <c r="DS323" s="1" t="str">
        <f>_xlfn.XLOOKUP(OfficeForms.Table[[#This Row],[Selecione a Categoria do Laboratório desta atividade prática:]],Planilha1!A:A,Planilha1!B:B)</f>
        <v>ECE-ENM-ENS-ENG-EEA-GPI-CDE-OBR-SAN-TER-FSA-SLF-QUI</v>
      </c>
      <c r="DT323" s="1" t="str">
        <f>CONCATENATE(OfficeForms.Table[[#This Row],[Selecione seu Polo Laboratório de Atividades Presenciais:]],OfficeForms.Table[[#This Row],[CHAVE CONVERSÃO]])</f>
        <v>Capão Da Canoa/RSECE-ENM-ENS-ENG-EEA-GPI-CDE-OBR-SAN-TER-FSA-SLF-QUI</v>
      </c>
      <c r="DU32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Associação De Resistores Em Série e Paralelo</v>
      </c>
      <c r="DV32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32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23" s="1" t="e">
        <f>_xlfn.XLOOKUP(OfficeForms.Table[[#This Row],[CHAVE LINK POLO]],'[1]Quadro Geral de Lotação'!$B:$B,'[1]Quadro Geral de Lotação'!$I:$I)</f>
        <v>#N/A</v>
      </c>
      <c r="DY323" s="1" t="str">
        <f>OfficeForms.Table[[#This Row],[Selecione a Ordem de Disciplina]]</f>
        <v>Ordem 1</v>
      </c>
    </row>
    <row r="324" spans="1:129" ht="34.15" customHeight="1">
      <c r="A324" s="1">
        <v>324</v>
      </c>
      <c r="B324" s="2">
        <v>46099.656331018501</v>
      </c>
      <c r="C324" s="2">
        <v>46099.657025462999</v>
      </c>
      <c r="D324" s="3" t="s">
        <v>1110</v>
      </c>
      <c r="E324" s="3" t="s">
        <v>1111</v>
      </c>
      <c r="G324" s="3"/>
      <c r="I324" s="3" t="s">
        <v>259</v>
      </c>
      <c r="K324" s="3"/>
      <c r="L324" s="1" t="s">
        <v>132</v>
      </c>
      <c r="O324" s="3" t="s">
        <v>140</v>
      </c>
      <c r="Q324" s="3"/>
      <c r="R324" s="3"/>
      <c r="T324" s="3"/>
      <c r="U324" s="5"/>
      <c r="W324" s="3"/>
      <c r="Z324" s="3"/>
      <c r="AA324" s="3"/>
      <c r="AC324" s="3"/>
      <c r="AD324" s="3"/>
      <c r="AF324" s="3"/>
      <c r="AG324" s="3"/>
      <c r="AI324" s="3"/>
      <c r="AJ324" s="1"/>
      <c r="AL324" s="3"/>
      <c r="AO324" s="3"/>
      <c r="AP324" s="3"/>
      <c r="AR324" s="3"/>
      <c r="AS324" s="3"/>
      <c r="AU324" s="3"/>
      <c r="AV324" s="3"/>
      <c r="AX324" s="3"/>
      <c r="AY324" s="5"/>
      <c r="BA324" s="3"/>
      <c r="BD324" s="3"/>
      <c r="BE324" s="3"/>
      <c r="BG324" s="3"/>
      <c r="BH324" s="3"/>
      <c r="BJ324" s="3"/>
      <c r="BK324" s="3"/>
      <c r="BM324" s="3"/>
      <c r="BN324" s="5"/>
      <c r="BP324" s="3"/>
      <c r="BS324" s="3"/>
      <c r="BT324" s="3"/>
      <c r="BV324" s="3"/>
      <c r="BW324" s="3"/>
      <c r="BY324" s="3"/>
      <c r="BZ324" s="3" t="s">
        <v>144</v>
      </c>
      <c r="CB324" s="3"/>
      <c r="CC324" s="5">
        <v>46092</v>
      </c>
      <c r="CE324" s="3"/>
      <c r="CF324" s="1">
        <v>0</v>
      </c>
      <c r="CH324" s="3"/>
      <c r="CI324" s="3" t="s">
        <v>1118</v>
      </c>
      <c r="CK324" s="3"/>
      <c r="CL324" s="3" t="s">
        <v>1119</v>
      </c>
      <c r="CN324" s="3"/>
      <c r="CO324" s="3"/>
      <c r="CQ324" s="3"/>
      <c r="CR324" s="5"/>
      <c r="CT324" s="3"/>
      <c r="CW324" s="3"/>
      <c r="CX324" s="3"/>
      <c r="CZ324" s="3"/>
      <c r="DA324" s="3"/>
      <c r="DC324" s="3"/>
      <c r="DD324" s="3"/>
      <c r="DF324" s="3"/>
      <c r="DG324" s="5"/>
      <c r="DI324" s="3"/>
      <c r="DL324" s="3"/>
      <c r="DM324" s="3"/>
      <c r="DO324" s="3"/>
      <c r="DP324" s="3"/>
      <c r="DR324" s="3"/>
      <c r="DS324" s="1" t="str">
        <f>_xlfn.XLOOKUP(OfficeForms.Table[[#This Row],[Selecione a Categoria do Laboratório desta atividade prática:]],Planilha1!A:A,Planilha1!B:B)</f>
        <v>ECE-ENM-ENS-ENG-EEA-GPI-CDE-OBR-SAN-TER-FSA-SLF-QUI</v>
      </c>
      <c r="DT324" s="1" t="str">
        <f>CONCATENATE(OfficeForms.Table[[#This Row],[Selecione seu Polo Laboratório de Atividades Presenciais:]],OfficeForms.Table[[#This Row],[CHAVE CONVERSÃO]])</f>
        <v>Capão Da Canoa/RSECE-ENM-ENS-ENG-EEA-GPI-CDE-OBR-SAN-TER-FSA-SLF-QUI</v>
      </c>
      <c r="DU32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Associação De Resistores Em Série e Paralelo</v>
      </c>
      <c r="DV32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32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24" s="1" t="e">
        <f>_xlfn.XLOOKUP(OfficeForms.Table[[#This Row],[CHAVE LINK POLO]],'[1]Quadro Geral de Lotação'!$B:$B,'[1]Quadro Geral de Lotação'!$I:$I)</f>
        <v>#N/A</v>
      </c>
      <c r="DY324" s="1" t="str">
        <f>OfficeForms.Table[[#This Row],[Selecione a Ordem de Disciplina]]</f>
        <v>Ordem 1</v>
      </c>
    </row>
    <row r="325" spans="1:129" ht="34.15" customHeight="1">
      <c r="A325" s="1">
        <v>325</v>
      </c>
      <c r="B325" s="2">
        <v>46099.939988425896</v>
      </c>
      <c r="C325" s="2">
        <v>46099.941203703696</v>
      </c>
      <c r="D325" s="3" t="s">
        <v>306</v>
      </c>
      <c r="E325" s="3" t="s">
        <v>307</v>
      </c>
      <c r="G325" s="3"/>
      <c r="I325" s="3" t="s">
        <v>308</v>
      </c>
      <c r="K325" s="3"/>
      <c r="L325" s="1" t="s">
        <v>678</v>
      </c>
      <c r="O325" s="3" t="s">
        <v>133</v>
      </c>
      <c r="Q325" s="3"/>
      <c r="R325" s="3"/>
      <c r="T325" s="3"/>
      <c r="U325" s="5"/>
      <c r="W325" s="3"/>
      <c r="Z325" s="3"/>
      <c r="AA325" s="3"/>
      <c r="AC325" s="3"/>
      <c r="AD325" s="3"/>
      <c r="AF325" s="3"/>
      <c r="AG325" s="3"/>
      <c r="AI325" s="3"/>
      <c r="AJ325" s="1"/>
      <c r="AL325" s="3"/>
      <c r="AO325" s="3"/>
      <c r="AP325" s="3"/>
      <c r="AR325" s="3"/>
      <c r="AS325" s="3"/>
      <c r="AU325" s="3"/>
      <c r="AV325" s="3" t="s">
        <v>1120</v>
      </c>
      <c r="AX325" s="3"/>
      <c r="AY325" s="5">
        <v>46099</v>
      </c>
      <c r="BA325" s="3"/>
      <c r="BB325" s="1">
        <v>1</v>
      </c>
      <c r="BD325" s="3"/>
      <c r="BE325" s="3" t="s">
        <v>1121</v>
      </c>
      <c r="BG325" s="3"/>
      <c r="BH325" s="3" t="s">
        <v>1122</v>
      </c>
      <c r="BJ325" s="3"/>
      <c r="BK325" s="3"/>
      <c r="BM325" s="3"/>
      <c r="BN325" s="5"/>
      <c r="BP325" s="3"/>
      <c r="BS325" s="3"/>
      <c r="BT325" s="3"/>
      <c r="BV325" s="3"/>
      <c r="BW325" s="3"/>
      <c r="BY325" s="3"/>
      <c r="BZ325" s="3"/>
      <c r="CB325" s="3"/>
      <c r="CC325" s="5"/>
      <c r="CE325" s="3"/>
      <c r="CH325" s="3"/>
      <c r="CI325" s="3"/>
      <c r="CK325" s="3"/>
      <c r="CL325" s="3"/>
      <c r="CN325" s="3"/>
      <c r="CO325" s="3"/>
      <c r="CQ325" s="3"/>
      <c r="CR325" s="5"/>
      <c r="CT325" s="3"/>
      <c r="CW325" s="3"/>
      <c r="CX325" s="3"/>
      <c r="CZ325" s="3"/>
      <c r="DA325" s="3"/>
      <c r="DC325" s="3"/>
      <c r="DD325" s="3"/>
      <c r="DF325" s="3"/>
      <c r="DG325" s="5"/>
      <c r="DI325" s="3"/>
      <c r="DL325" s="3"/>
      <c r="DM325" s="3"/>
      <c r="DO325" s="3"/>
      <c r="DP325" s="3"/>
      <c r="DR325" s="3"/>
      <c r="DS325" s="1" t="str">
        <f>_xlfn.XLOOKUP(OfficeForms.Table[[#This Row],[Selecione a Categoria do Laboratório desta atividade prática:]],Planilha1!A:A,Planilha1!B:B)</f>
        <v>BFI</v>
      </c>
      <c r="DT325" s="1" t="str">
        <f>CONCATENATE(OfficeForms.Table[[#This Row],[Selecione seu Polo Laboratório de Atividades Presenciais:]],OfficeForms.Table[[#This Row],[CHAVE CONVERSÃO]])</f>
        <v>Salvador/BA - Caminho das ÁrvoresBFI</v>
      </c>
      <c r="DU32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Escalda Pés;Auriculoterapia</v>
      </c>
      <c r="DV32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2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25" s="1" t="str">
        <f>_xlfn.XLOOKUP(OfficeForms.Table[[#This Row],[CHAVE LINK POLO]],'[1]Quadro Geral de Lotação'!$B:$B,'[1]Quadro Geral de Lotação'!$I:$I)</f>
        <v>Helenice Sacramento Souza Melo</v>
      </c>
      <c r="DY325" s="1" t="str">
        <f>OfficeForms.Table[[#This Row],[Selecione a Ordem de Disciplina]]</f>
        <v>Ordem 2</v>
      </c>
    </row>
    <row r="326" spans="1:129" ht="34.15" customHeight="1">
      <c r="A326" s="1">
        <v>326</v>
      </c>
      <c r="B326" s="2">
        <v>46099.980729166702</v>
      </c>
      <c r="C326" s="2">
        <v>46099.987708333298</v>
      </c>
      <c r="D326" s="3" t="s">
        <v>607</v>
      </c>
      <c r="E326" s="3" t="s">
        <v>608</v>
      </c>
      <c r="G326" s="3"/>
      <c r="I326" s="3" t="s">
        <v>609</v>
      </c>
      <c r="K326" s="3"/>
      <c r="L326" s="1" t="s">
        <v>132</v>
      </c>
      <c r="O326" s="3" t="s">
        <v>184</v>
      </c>
      <c r="Q326" s="3"/>
      <c r="R326" s="3"/>
      <c r="T326" s="3"/>
      <c r="U326" s="5"/>
      <c r="W326" s="3"/>
      <c r="Z326" s="3"/>
      <c r="AA326" s="3"/>
      <c r="AC326" s="3"/>
      <c r="AD326" s="3"/>
      <c r="AF326" s="3"/>
      <c r="AG326" s="3" t="s">
        <v>414</v>
      </c>
      <c r="AI326" s="3"/>
      <c r="AJ326" s="1">
        <v>46079</v>
      </c>
      <c r="AL326" s="3"/>
      <c r="AM326" s="1">
        <v>10</v>
      </c>
      <c r="AO326" s="3"/>
      <c r="AP326" s="3" t="s">
        <v>1123</v>
      </c>
      <c r="AR326" s="3"/>
      <c r="AS326" s="3" t="s">
        <v>1124</v>
      </c>
      <c r="AU326" s="3"/>
      <c r="AV326" s="3"/>
      <c r="AX326" s="3"/>
      <c r="AY326" s="5"/>
      <c r="BA326" s="3"/>
      <c r="BD326" s="3"/>
      <c r="BE326" s="3"/>
      <c r="BG326" s="3"/>
      <c r="BH326" s="3"/>
      <c r="BJ326" s="3"/>
      <c r="BK326" s="3"/>
      <c r="BM326" s="3"/>
      <c r="BN326" s="5"/>
      <c r="BP326" s="3"/>
      <c r="BS326" s="3"/>
      <c r="BT326" s="3"/>
      <c r="BV326" s="3"/>
      <c r="BW326" s="3"/>
      <c r="BY326" s="3"/>
      <c r="BZ326" s="3"/>
      <c r="CB326" s="3"/>
      <c r="CC326" s="5"/>
      <c r="CE326" s="3"/>
      <c r="CH326" s="3"/>
      <c r="CI326" s="3"/>
      <c r="CK326" s="3"/>
      <c r="CL326" s="3"/>
      <c r="CN326" s="3"/>
      <c r="CO326" s="3"/>
      <c r="CQ326" s="3"/>
      <c r="CR326" s="5"/>
      <c r="CT326" s="3"/>
      <c r="CW326" s="3"/>
      <c r="CX326" s="3"/>
      <c r="CZ326" s="3"/>
      <c r="DA326" s="3"/>
      <c r="DC326" s="3"/>
      <c r="DD326" s="3"/>
      <c r="DF326" s="3"/>
      <c r="DG326" s="5"/>
      <c r="DI326" s="3"/>
      <c r="DL326" s="3"/>
      <c r="DM326" s="3"/>
      <c r="DO326" s="3"/>
      <c r="DP326" s="3"/>
      <c r="DR326" s="3"/>
      <c r="DS326" s="1" t="str">
        <f>_xlfn.XLOOKUP(OfficeForms.Table[[#This Row],[Selecione a Categoria do Laboratório desta atividade prática:]],Planilha1!A:A,Planilha1!B:B)</f>
        <v>EMF-ISN</v>
      </c>
      <c r="DT326" s="1" t="str">
        <f>CONCATENATE(OfficeForms.Table[[#This Row],[Selecione seu Polo Laboratório de Atividades Presenciais:]],OfficeForms.Table[[#This Row],[CHAVE CONVERSÃO]])</f>
        <v>Novo Progresso/PAEMF-ISN</v>
      </c>
      <c r="DU32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32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32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326" s="1" t="str">
        <f>_xlfn.XLOOKUP(OfficeForms.Table[[#This Row],[CHAVE LINK POLO]],'[1]Quadro Geral de Lotação'!$B:$B,'[1]Quadro Geral de Lotação'!$I:$I)</f>
        <v>Laurilene Oliveira Mota</v>
      </c>
      <c r="DY326" s="1" t="str">
        <f>OfficeForms.Table[[#This Row],[Selecione a Ordem de Disciplina]]</f>
        <v>Ordem 1</v>
      </c>
    </row>
    <row r="327" spans="1:129" ht="34.15" customHeight="1">
      <c r="A327" s="1">
        <v>327</v>
      </c>
      <c r="B327" s="2">
        <v>46099.984456018501</v>
      </c>
      <c r="C327" s="2">
        <v>46099.989791666703</v>
      </c>
      <c r="D327" s="3" t="s">
        <v>313</v>
      </c>
      <c r="E327" s="3" t="s">
        <v>314</v>
      </c>
      <c r="G327" s="3"/>
      <c r="I327" s="3" t="s">
        <v>315</v>
      </c>
      <c r="K327" s="3"/>
      <c r="L327" s="1" t="s">
        <v>678</v>
      </c>
      <c r="O327" s="3" t="s">
        <v>184</v>
      </c>
      <c r="Q327" s="3"/>
      <c r="R327" s="3"/>
      <c r="T327" s="3"/>
      <c r="U327" s="5"/>
      <c r="W327" s="3"/>
      <c r="Z327" s="3"/>
      <c r="AA327" s="3"/>
      <c r="AC327" s="3"/>
      <c r="AD327" s="3"/>
      <c r="AF327" s="3"/>
      <c r="AG327" s="3" t="s">
        <v>1016</v>
      </c>
      <c r="AI327" s="3"/>
      <c r="AJ327" s="1">
        <v>46099</v>
      </c>
      <c r="AL327" s="3"/>
      <c r="AM327" s="1">
        <v>5</v>
      </c>
      <c r="AO327" s="3"/>
      <c r="AP327" s="3" t="s">
        <v>1125</v>
      </c>
      <c r="AR327" s="3"/>
      <c r="AS327" s="3" t="s">
        <v>1126</v>
      </c>
      <c r="AU327" s="3"/>
      <c r="AV327" s="3"/>
      <c r="AX327" s="3"/>
      <c r="AY327" s="5"/>
      <c r="BA327" s="3"/>
      <c r="BD327" s="3"/>
      <c r="BE327" s="3"/>
      <c r="BG327" s="3"/>
      <c r="BH327" s="3"/>
      <c r="BJ327" s="3"/>
      <c r="BK327" s="3"/>
      <c r="BM327" s="3"/>
      <c r="BN327" s="5"/>
      <c r="BP327" s="3"/>
      <c r="BS327" s="3"/>
      <c r="BT327" s="3"/>
      <c r="BV327" s="3"/>
      <c r="BW327" s="3"/>
      <c r="BY327" s="3"/>
      <c r="BZ327" s="3"/>
      <c r="CB327" s="3"/>
      <c r="CC327" s="5"/>
      <c r="CE327" s="3"/>
      <c r="CH327" s="3"/>
      <c r="CI327" s="3"/>
      <c r="CK327" s="3"/>
      <c r="CL327" s="3"/>
      <c r="CN327" s="3"/>
      <c r="CO327" s="3"/>
      <c r="CQ327" s="3"/>
      <c r="CR327" s="5"/>
      <c r="CT327" s="3"/>
      <c r="CW327" s="3"/>
      <c r="CX327" s="3"/>
      <c r="CZ327" s="3"/>
      <c r="DA327" s="3"/>
      <c r="DC327" s="3"/>
      <c r="DD327" s="3"/>
      <c r="DF327" s="3"/>
      <c r="DG327" s="5"/>
      <c r="DI327" s="3"/>
      <c r="DL327" s="3"/>
      <c r="DM327" s="3"/>
      <c r="DO327" s="3"/>
      <c r="DP327" s="3"/>
      <c r="DR327" s="3"/>
      <c r="DS327" s="1" t="str">
        <f>_xlfn.XLOOKUP(OfficeForms.Table[[#This Row],[Selecione a Categoria do Laboratório desta atividade prática:]],Planilha1!A:A,Planilha1!B:B)</f>
        <v>EMF-ISN</v>
      </c>
      <c r="DT327" s="1" t="str">
        <f>CONCATENATE(OfficeForms.Table[[#This Row],[Selecione seu Polo Laboratório de Atividades Presenciais:]],OfficeForms.Table[[#This Row],[CHAVE CONVERSÃO]])</f>
        <v>Alenquer/PAEMF-ISN</v>
      </c>
      <c r="DU32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32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2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327" s="1" t="str">
        <f>_xlfn.XLOOKUP(OfficeForms.Table[[#This Row],[CHAVE LINK POLO]],'[1]Quadro Geral de Lotação'!$B:$B,'[1]Quadro Geral de Lotação'!$I:$I)</f>
        <v>Ana Flavia Chaves De Souza</v>
      </c>
      <c r="DY327" s="1" t="str">
        <f>OfficeForms.Table[[#This Row],[Selecione a Ordem de Disciplina]]</f>
        <v>Ordem 2</v>
      </c>
    </row>
    <row r="328" spans="1:129" ht="34.15" customHeight="1">
      <c r="A328" s="1">
        <v>328</v>
      </c>
      <c r="B328" s="2">
        <v>46100.3973148148</v>
      </c>
      <c r="C328" s="2">
        <v>46100.400405092601</v>
      </c>
      <c r="D328" s="3" t="s">
        <v>1127</v>
      </c>
      <c r="E328" s="3" t="s">
        <v>1128</v>
      </c>
      <c r="G328" s="3"/>
      <c r="I328" s="3" t="s">
        <v>1129</v>
      </c>
      <c r="K328" s="3"/>
      <c r="L328" s="1" t="s">
        <v>678</v>
      </c>
      <c r="O328" s="3" t="s">
        <v>497</v>
      </c>
      <c r="Q328" s="3"/>
      <c r="R328" s="3" t="s">
        <v>1130</v>
      </c>
      <c r="T328" s="3"/>
      <c r="U328" s="5">
        <v>46099</v>
      </c>
      <c r="W328" s="3"/>
      <c r="X328" s="1">
        <v>7</v>
      </c>
      <c r="Z328" s="3"/>
      <c r="AA328" s="3" t="s">
        <v>1131</v>
      </c>
      <c r="AC328" s="3"/>
      <c r="AD328" s="3" t="s">
        <v>1132</v>
      </c>
      <c r="AF328" s="3"/>
      <c r="AG328" s="3"/>
      <c r="AI328" s="3"/>
      <c r="AJ328" s="1"/>
      <c r="AL328" s="3"/>
      <c r="AO328" s="3"/>
      <c r="AP328" s="3"/>
      <c r="AR328" s="3"/>
      <c r="AS328" s="3"/>
      <c r="AU328" s="3"/>
      <c r="AV328" s="3"/>
      <c r="AX328" s="3"/>
      <c r="AY328" s="5"/>
      <c r="BA328" s="3"/>
      <c r="BD328" s="3"/>
      <c r="BE328" s="3"/>
      <c r="BG328" s="3"/>
      <c r="BH328" s="3"/>
      <c r="BJ328" s="3"/>
      <c r="BK328" s="3"/>
      <c r="BM328" s="3"/>
      <c r="BN328" s="5"/>
      <c r="BP328" s="3"/>
      <c r="BS328" s="3"/>
      <c r="BT328" s="3"/>
      <c r="BV328" s="3"/>
      <c r="BW328" s="3"/>
      <c r="BY328" s="3"/>
      <c r="BZ328" s="3"/>
      <c r="CB328" s="3"/>
      <c r="CC328" s="5"/>
      <c r="CE328" s="3"/>
      <c r="CH328" s="3"/>
      <c r="CI328" s="3"/>
      <c r="CK328" s="3"/>
      <c r="CL328" s="3"/>
      <c r="CN328" s="3"/>
      <c r="CO328" s="3"/>
      <c r="CQ328" s="3"/>
      <c r="CR328" s="5"/>
      <c r="CT328" s="3"/>
      <c r="CW328" s="3"/>
      <c r="CX328" s="3"/>
      <c r="CZ328" s="3"/>
      <c r="DA328" s="3"/>
      <c r="DC328" s="3"/>
      <c r="DD328" s="3"/>
      <c r="DF328" s="3"/>
      <c r="DG328" s="5"/>
      <c r="DI328" s="3"/>
      <c r="DL328" s="3"/>
      <c r="DM328" s="3"/>
      <c r="DO328" s="3"/>
      <c r="DP328" s="3"/>
      <c r="DR328" s="3"/>
      <c r="DS328" s="1" t="str">
        <f>_xlfn.XLOOKUP(OfficeForms.Table[[#This Row],[Selecione a Categoria do Laboratório desta atividade prática:]],Planilha1!A:A,Planilha1!B:B)</f>
        <v>BFR-BBI</v>
      </c>
      <c r="DT328" s="1" t="str">
        <f>CONCATENATE(OfficeForms.Table[[#This Row],[Selecione seu Polo Laboratório de Atividades Presenciais:]],OfficeForms.Table[[#This Row],[CHAVE CONVERSÃO]])</f>
        <v>Campina Grande/PBBFR-BBI</v>
      </c>
      <c r="DU32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físico-química da urina;Análise de sedimento urinário</v>
      </c>
      <c r="DV32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2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328" s="1" t="e">
        <f>_xlfn.XLOOKUP(OfficeForms.Table[[#This Row],[CHAVE LINK POLO]],'[1]Quadro Geral de Lotação'!$B:$B,'[1]Quadro Geral de Lotação'!$I:$I)</f>
        <v>#N/A</v>
      </c>
      <c r="DY328" s="1" t="str">
        <f>OfficeForms.Table[[#This Row],[Selecione a Ordem de Disciplina]]</f>
        <v>Ordem 2</v>
      </c>
    </row>
    <row r="329" spans="1:129" ht="34.15" customHeight="1">
      <c r="A329" s="1">
        <v>329</v>
      </c>
      <c r="B329" s="2">
        <v>46100.414236111101</v>
      </c>
      <c r="C329" s="2">
        <v>46100.4288773148</v>
      </c>
      <c r="D329" s="3" t="s">
        <v>1133</v>
      </c>
      <c r="E329" s="3" t="s">
        <v>1134</v>
      </c>
      <c r="G329" s="3"/>
      <c r="I329" s="3" t="s">
        <v>1135</v>
      </c>
      <c r="K329" s="3"/>
      <c r="L329" s="1" t="s">
        <v>132</v>
      </c>
      <c r="O329" s="3" t="s">
        <v>184</v>
      </c>
      <c r="Q329" s="3"/>
      <c r="R329" s="3"/>
      <c r="T329" s="3"/>
      <c r="U329" s="5"/>
      <c r="W329" s="3"/>
      <c r="Z329" s="3"/>
      <c r="AA329" s="3"/>
      <c r="AC329" s="3"/>
      <c r="AD329" s="3"/>
      <c r="AF329" s="3"/>
      <c r="AG329" s="3" t="s">
        <v>240</v>
      </c>
      <c r="AI329" s="3"/>
      <c r="AJ329" s="1">
        <v>46077</v>
      </c>
      <c r="AL329" s="3"/>
      <c r="AM329" s="1">
        <v>6</v>
      </c>
      <c r="AO329" s="3"/>
      <c r="AP329" s="3" t="s">
        <v>1136</v>
      </c>
      <c r="AR329" s="3"/>
      <c r="AS329" s="3" t="s">
        <v>1137</v>
      </c>
      <c r="AU329" s="3"/>
      <c r="AV329" s="3"/>
      <c r="AX329" s="3"/>
      <c r="AY329" s="5"/>
      <c r="BA329" s="3"/>
      <c r="BD329" s="3"/>
      <c r="BE329" s="3"/>
      <c r="BG329" s="3"/>
      <c r="BH329" s="3"/>
      <c r="BJ329" s="3"/>
      <c r="BK329" s="3"/>
      <c r="BM329" s="3"/>
      <c r="BN329" s="5"/>
      <c r="BP329" s="3"/>
      <c r="BS329" s="3"/>
      <c r="BT329" s="3"/>
      <c r="BV329" s="3"/>
      <c r="BW329" s="3"/>
      <c r="BY329" s="3"/>
      <c r="BZ329" s="3"/>
      <c r="CB329" s="3"/>
      <c r="CC329" s="5"/>
      <c r="CE329" s="3"/>
      <c r="CH329" s="3"/>
      <c r="CI329" s="3"/>
      <c r="CK329" s="3"/>
      <c r="CL329" s="3"/>
      <c r="CN329" s="3"/>
      <c r="CO329" s="3"/>
      <c r="CQ329" s="3"/>
      <c r="CR329" s="5"/>
      <c r="CT329" s="3"/>
      <c r="CW329" s="3"/>
      <c r="CX329" s="3"/>
      <c r="CZ329" s="3"/>
      <c r="DA329" s="3"/>
      <c r="DC329" s="3"/>
      <c r="DD329" s="3"/>
      <c r="DF329" s="3"/>
      <c r="DG329" s="5"/>
      <c r="DI329" s="3"/>
      <c r="DL329" s="3"/>
      <c r="DM329" s="3"/>
      <c r="DO329" s="3"/>
      <c r="DP329" s="3"/>
      <c r="DR329" s="3"/>
      <c r="DS329" s="1" t="str">
        <f>_xlfn.XLOOKUP(OfficeForms.Table[[#This Row],[Selecione a Categoria do Laboratório desta atividade prática:]],Planilha1!A:A,Planilha1!B:B)</f>
        <v>EMF-ISN</v>
      </c>
      <c r="DT329" s="1" t="str">
        <f>CONCATENATE(OfficeForms.Table[[#This Row],[Selecione seu Polo Laboratório de Atividades Presenciais:]],OfficeForms.Table[[#This Row],[CHAVE CONVERSÃO]])</f>
        <v>Videira/SCEMF-ISN</v>
      </c>
      <c r="DU32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Curativo;Avaliação corporal + Ausculta pulmonar + Ausculta cardiaca + Verificação de sinais vitais</v>
      </c>
      <c r="DV32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32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329" s="1" t="str">
        <f>_xlfn.XLOOKUP(OfficeForms.Table[[#This Row],[CHAVE LINK POLO]],'[1]Quadro Geral de Lotação'!$B:$B,'[1]Quadro Geral de Lotação'!$I:$I)</f>
        <v>Caio Bruce Barroso Vieira</v>
      </c>
      <c r="DY329" s="1" t="str">
        <f>OfficeForms.Table[[#This Row],[Selecione a Ordem de Disciplina]]</f>
        <v>Ordem 1</v>
      </c>
    </row>
    <row r="330" spans="1:129" ht="34.15" customHeight="1">
      <c r="A330" s="1">
        <v>330</v>
      </c>
      <c r="B330" s="2">
        <v>46100.428946759297</v>
      </c>
      <c r="C330" s="2">
        <v>46100.434293981503</v>
      </c>
      <c r="D330" s="3" t="s">
        <v>1133</v>
      </c>
      <c r="E330" s="3" t="s">
        <v>1134</v>
      </c>
      <c r="G330" s="3"/>
      <c r="I330" s="3" t="s">
        <v>1135</v>
      </c>
      <c r="K330" s="3"/>
      <c r="L330" s="1" t="s">
        <v>132</v>
      </c>
      <c r="O330" s="3" t="s">
        <v>184</v>
      </c>
      <c r="Q330" s="3"/>
      <c r="R330" s="3"/>
      <c r="T330" s="3"/>
      <c r="U330" s="5"/>
      <c r="W330" s="3"/>
      <c r="Z330" s="3"/>
      <c r="AA330" s="3"/>
      <c r="AC330" s="3"/>
      <c r="AD330" s="3"/>
      <c r="AF330" s="3"/>
      <c r="AG330" s="3" t="s">
        <v>224</v>
      </c>
      <c r="AI330" s="3"/>
      <c r="AJ330" s="1">
        <v>46084</v>
      </c>
      <c r="AL330" s="3"/>
      <c r="AM330" s="1">
        <v>15</v>
      </c>
      <c r="AO330" s="3"/>
      <c r="AP330" s="3" t="s">
        <v>1138</v>
      </c>
      <c r="AR330" s="3"/>
      <c r="AS330" s="3" t="s">
        <v>1139</v>
      </c>
      <c r="AU330" s="3"/>
      <c r="AV330" s="3"/>
      <c r="AX330" s="3"/>
      <c r="AY330" s="5"/>
      <c r="BA330" s="3"/>
      <c r="BD330" s="3"/>
      <c r="BE330" s="3"/>
      <c r="BG330" s="3"/>
      <c r="BH330" s="3"/>
      <c r="BJ330" s="3"/>
      <c r="BK330" s="3"/>
      <c r="BM330" s="3"/>
      <c r="BN330" s="5"/>
      <c r="BP330" s="3"/>
      <c r="BS330" s="3"/>
      <c r="BT330" s="3"/>
      <c r="BV330" s="3"/>
      <c r="BW330" s="3"/>
      <c r="BY330" s="3"/>
      <c r="BZ330" s="3"/>
      <c r="CB330" s="3"/>
      <c r="CC330" s="5"/>
      <c r="CE330" s="3"/>
      <c r="CH330" s="3"/>
      <c r="CI330" s="3"/>
      <c r="CK330" s="3"/>
      <c r="CL330" s="3"/>
      <c r="CN330" s="3"/>
      <c r="CO330" s="3"/>
      <c r="CQ330" s="3"/>
      <c r="CR330" s="5"/>
      <c r="CT330" s="3"/>
      <c r="CW330" s="3"/>
      <c r="CX330" s="3"/>
      <c r="CZ330" s="3"/>
      <c r="DA330" s="3"/>
      <c r="DC330" s="3"/>
      <c r="DD330" s="3"/>
      <c r="DF330" s="3"/>
      <c r="DG330" s="5"/>
      <c r="DI330" s="3"/>
      <c r="DL330" s="3"/>
      <c r="DM330" s="3"/>
      <c r="DO330" s="3"/>
      <c r="DP330" s="3"/>
      <c r="DR330" s="3"/>
      <c r="DS330" s="1" t="str">
        <f>_xlfn.XLOOKUP(OfficeForms.Table[[#This Row],[Selecione a Categoria do Laboratório desta atividade prática:]],Planilha1!A:A,Planilha1!B:B)</f>
        <v>EMF-ISN</v>
      </c>
      <c r="DT330" s="1" t="str">
        <f>CONCATENATE(OfficeForms.Table[[#This Row],[Selecione seu Polo Laboratório de Atividades Presenciais:]],OfficeForms.Table[[#This Row],[CHAVE CONVERSÃO]])</f>
        <v>Videira/SCEMF-ISN</v>
      </c>
      <c r="DU33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33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33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330" s="1" t="str">
        <f>_xlfn.XLOOKUP(OfficeForms.Table[[#This Row],[CHAVE LINK POLO]],'[1]Quadro Geral de Lotação'!$B:$B,'[1]Quadro Geral de Lotação'!$I:$I)</f>
        <v>Caio Bruce Barroso Vieira</v>
      </c>
      <c r="DY330" s="1" t="str">
        <f>OfficeForms.Table[[#This Row],[Selecione a Ordem de Disciplina]]</f>
        <v>Ordem 1</v>
      </c>
    </row>
    <row r="331" spans="1:129" ht="34.15" customHeight="1">
      <c r="A331" s="1">
        <v>331</v>
      </c>
      <c r="B331" s="2">
        <v>46100.434328703697</v>
      </c>
      <c r="C331" s="2">
        <v>46100.441712963002</v>
      </c>
      <c r="D331" s="3" t="s">
        <v>1133</v>
      </c>
      <c r="E331" s="3" t="s">
        <v>1134</v>
      </c>
      <c r="G331" s="3"/>
      <c r="I331" s="3" t="s">
        <v>1135</v>
      </c>
      <c r="K331" s="3"/>
      <c r="L331" s="1" t="s">
        <v>132</v>
      </c>
      <c r="O331" s="3" t="s">
        <v>184</v>
      </c>
      <c r="Q331" s="3"/>
      <c r="R331" s="3"/>
      <c r="T331" s="3"/>
      <c r="U331" s="5"/>
      <c r="W331" s="3"/>
      <c r="Z331" s="3"/>
      <c r="AA331" s="3"/>
      <c r="AC331" s="3"/>
      <c r="AD331" s="3"/>
      <c r="AF331" s="3"/>
      <c r="AG331" s="3" t="s">
        <v>194</v>
      </c>
      <c r="AI331" s="3"/>
      <c r="AJ331" s="1">
        <v>46091</v>
      </c>
      <c r="AL331" s="3"/>
      <c r="AM331" s="1">
        <v>0</v>
      </c>
      <c r="AO331" s="3"/>
      <c r="AP331" s="3" t="s">
        <v>1140</v>
      </c>
      <c r="AR331" s="3"/>
      <c r="AS331" s="3" t="s">
        <v>1141</v>
      </c>
      <c r="AU331" s="3"/>
      <c r="AV331" s="3"/>
      <c r="AX331" s="3"/>
      <c r="AY331" s="5"/>
      <c r="BA331" s="3"/>
      <c r="BD331" s="3"/>
      <c r="BE331" s="3"/>
      <c r="BG331" s="3"/>
      <c r="BH331" s="3"/>
      <c r="BJ331" s="3"/>
      <c r="BK331" s="3"/>
      <c r="BM331" s="3"/>
      <c r="BN331" s="5"/>
      <c r="BP331" s="3"/>
      <c r="BS331" s="3"/>
      <c r="BT331" s="3"/>
      <c r="BV331" s="3"/>
      <c r="BW331" s="3"/>
      <c r="BY331" s="3"/>
      <c r="BZ331" s="3"/>
      <c r="CB331" s="3"/>
      <c r="CC331" s="5"/>
      <c r="CE331" s="3"/>
      <c r="CH331" s="3"/>
      <c r="CI331" s="3"/>
      <c r="CK331" s="3"/>
      <c r="CL331" s="3"/>
      <c r="CN331" s="3"/>
      <c r="CO331" s="3"/>
      <c r="CQ331" s="3"/>
      <c r="CR331" s="5"/>
      <c r="CT331" s="3"/>
      <c r="CW331" s="3"/>
      <c r="CX331" s="3"/>
      <c r="CZ331" s="3"/>
      <c r="DA331" s="3"/>
      <c r="DC331" s="3"/>
      <c r="DD331" s="3"/>
      <c r="DF331" s="3"/>
      <c r="DG331" s="5"/>
      <c r="DI331" s="3"/>
      <c r="DL331" s="3"/>
      <c r="DM331" s="3"/>
      <c r="DO331" s="3"/>
      <c r="DP331" s="3"/>
      <c r="DR331" s="3"/>
      <c r="DS331" s="1" t="str">
        <f>_xlfn.XLOOKUP(OfficeForms.Table[[#This Row],[Selecione a Categoria do Laboratório desta atividade prática:]],Planilha1!A:A,Planilha1!B:B)</f>
        <v>EMF-ISN</v>
      </c>
      <c r="DT331" s="1" t="str">
        <f>CONCATENATE(OfficeForms.Table[[#This Row],[Selecione seu Polo Laboratório de Atividades Presenciais:]],OfficeForms.Table[[#This Row],[CHAVE CONVERSÃO]])</f>
        <v>Videira/SCEMF-ISN</v>
      </c>
      <c r="DU33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33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33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31" s="1" t="str">
        <f>_xlfn.XLOOKUP(OfficeForms.Table[[#This Row],[CHAVE LINK POLO]],'[1]Quadro Geral de Lotação'!$B:$B,'[1]Quadro Geral de Lotação'!$I:$I)</f>
        <v>Caio Bruce Barroso Vieira</v>
      </c>
      <c r="DY331" s="1" t="str">
        <f>OfficeForms.Table[[#This Row],[Selecione a Ordem de Disciplina]]</f>
        <v>Ordem 1</v>
      </c>
    </row>
    <row r="332" spans="1:129" ht="34.15" customHeight="1">
      <c r="A332" s="1">
        <v>332</v>
      </c>
      <c r="B332" s="2">
        <v>46100.526412036997</v>
      </c>
      <c r="C332" s="2">
        <v>46100.527916666702</v>
      </c>
      <c r="D332" s="3" t="s">
        <v>526</v>
      </c>
      <c r="E332" s="3" t="s">
        <v>527</v>
      </c>
      <c r="G332" s="3"/>
      <c r="I332" s="3" t="s">
        <v>528</v>
      </c>
      <c r="K332" s="3"/>
      <c r="L332" s="1" t="s">
        <v>132</v>
      </c>
      <c r="O332" s="3" t="s">
        <v>184</v>
      </c>
      <c r="Q332" s="3"/>
      <c r="R332" s="3"/>
      <c r="T332" s="3"/>
      <c r="U332" s="5"/>
      <c r="W332" s="3"/>
      <c r="Z332" s="3"/>
      <c r="AA332" s="3"/>
      <c r="AC332" s="3"/>
      <c r="AD332" s="3"/>
      <c r="AF332" s="3"/>
      <c r="AG332" s="3" t="s">
        <v>1142</v>
      </c>
      <c r="AI332" s="3"/>
      <c r="AJ332" s="1">
        <v>46098</v>
      </c>
      <c r="AL332" s="3"/>
      <c r="AM332" s="1">
        <v>4</v>
      </c>
      <c r="AO332" s="3"/>
      <c r="AP332" s="3" t="s">
        <v>1143</v>
      </c>
      <c r="AR332" s="3"/>
      <c r="AS332" s="3" t="s">
        <v>1144</v>
      </c>
      <c r="AU332" s="3"/>
      <c r="AV332" s="3"/>
      <c r="AX332" s="3"/>
      <c r="AY332" s="5"/>
      <c r="BA332" s="3"/>
      <c r="BD332" s="3"/>
      <c r="BE332" s="3"/>
      <c r="BG332" s="3"/>
      <c r="BH332" s="3"/>
      <c r="BJ332" s="3"/>
      <c r="BK332" s="3"/>
      <c r="BM332" s="3"/>
      <c r="BN332" s="5"/>
      <c r="BP332" s="3"/>
      <c r="BS332" s="3"/>
      <c r="BT332" s="3"/>
      <c r="BV332" s="3"/>
      <c r="BW332" s="3"/>
      <c r="BY332" s="3"/>
      <c r="BZ332" s="3"/>
      <c r="CB332" s="3"/>
      <c r="CC332" s="5"/>
      <c r="CE332" s="3"/>
      <c r="CH332" s="3"/>
      <c r="CI332" s="3"/>
      <c r="CK332" s="3"/>
      <c r="CL332" s="3"/>
      <c r="CN332" s="3"/>
      <c r="CO332" s="3"/>
      <c r="CQ332" s="3"/>
      <c r="CR332" s="5"/>
      <c r="CT332" s="3"/>
      <c r="CW332" s="3"/>
      <c r="CX332" s="3"/>
      <c r="CZ332" s="3"/>
      <c r="DA332" s="3"/>
      <c r="DC332" s="3"/>
      <c r="DD332" s="3"/>
      <c r="DF332" s="3"/>
      <c r="DG332" s="5"/>
      <c r="DI332" s="3"/>
      <c r="DL332" s="3"/>
      <c r="DM332" s="3"/>
      <c r="DO332" s="3"/>
      <c r="DP332" s="3"/>
      <c r="DR332" s="3"/>
      <c r="DS332" s="1" t="str">
        <f>_xlfn.XLOOKUP(OfficeForms.Table[[#This Row],[Selecione a Categoria do Laboratório desta atividade prática:]],Planilha1!A:A,Planilha1!B:B)</f>
        <v>EMF-ISN</v>
      </c>
      <c r="DT332" s="1" t="str">
        <f>CONCATENATE(OfficeForms.Table[[#This Row],[Selecione seu Polo Laboratório de Atividades Presenciais:]],OfficeForms.Table[[#This Row],[CHAVE CONVERSÃO]])</f>
        <v>Sinop/MTEMF-ISN</v>
      </c>
      <c r="DU33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psicótico;Punção Venosa + Retirada de pontos;Triagem de paciente com transtorno neurológico e risco de suicídio</v>
      </c>
      <c r="DV33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33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332" s="1" t="str">
        <f>_xlfn.XLOOKUP(OfficeForms.Table[[#This Row],[CHAVE LINK POLO]],'[1]Quadro Geral de Lotação'!$B:$B,'[1]Quadro Geral de Lotação'!$I:$I)</f>
        <v>Sara Jane Amann</v>
      </c>
      <c r="DY332" s="1" t="str">
        <f>OfficeForms.Table[[#This Row],[Selecione a Ordem de Disciplina]]</f>
        <v>Ordem 1</v>
      </c>
    </row>
    <row r="333" spans="1:129" ht="34.15" customHeight="1">
      <c r="A333" s="1">
        <v>333</v>
      </c>
      <c r="B333" s="2">
        <v>46100.579479166699</v>
      </c>
      <c r="C333" s="2">
        <v>46100.581226851798</v>
      </c>
      <c r="D333" s="3" t="s">
        <v>129</v>
      </c>
      <c r="E333" s="3" t="s">
        <v>130</v>
      </c>
      <c r="G333" s="3"/>
      <c r="I333" s="3" t="s">
        <v>131</v>
      </c>
      <c r="K333" s="3"/>
      <c r="L333" s="1" t="s">
        <v>678</v>
      </c>
      <c r="O333" s="3" t="s">
        <v>133</v>
      </c>
      <c r="Q333" s="3"/>
      <c r="R333" s="3"/>
      <c r="T333" s="3"/>
      <c r="U333" s="5"/>
      <c r="W333" s="3"/>
      <c r="Z333" s="3"/>
      <c r="AA333" s="3"/>
      <c r="AC333" s="3"/>
      <c r="AD333" s="3"/>
      <c r="AF333" s="3"/>
      <c r="AG333" s="3"/>
      <c r="AI333" s="3"/>
      <c r="AJ333" s="1"/>
      <c r="AL333" s="3"/>
      <c r="AO333" s="3"/>
      <c r="AP333" s="3"/>
      <c r="AR333" s="3"/>
      <c r="AS333" s="3"/>
      <c r="AU333" s="3"/>
      <c r="AV333" s="3" t="s">
        <v>1145</v>
      </c>
      <c r="AX333" s="3"/>
      <c r="AY333" s="5">
        <v>46099</v>
      </c>
      <c r="BA333" s="3"/>
      <c r="BB333" s="1">
        <v>6</v>
      </c>
      <c r="BD333" s="3"/>
      <c r="BE333" s="3" t="s">
        <v>1146</v>
      </c>
      <c r="BG333" s="3"/>
      <c r="BH333" s="3" t="s">
        <v>1147</v>
      </c>
      <c r="BJ333" s="3"/>
      <c r="BK333" s="3"/>
      <c r="BM333" s="3"/>
      <c r="BN333" s="5"/>
      <c r="BP333" s="3"/>
      <c r="BS333" s="3"/>
      <c r="BT333" s="3"/>
      <c r="BV333" s="3"/>
      <c r="BW333" s="3"/>
      <c r="BY333" s="3"/>
      <c r="BZ333" s="3"/>
      <c r="CB333" s="3"/>
      <c r="CC333" s="5"/>
      <c r="CE333" s="3"/>
      <c r="CH333" s="3"/>
      <c r="CI333" s="3"/>
      <c r="CK333" s="3"/>
      <c r="CL333" s="3"/>
      <c r="CN333" s="3"/>
      <c r="CO333" s="3"/>
      <c r="CQ333" s="3"/>
      <c r="CR333" s="5"/>
      <c r="CT333" s="3"/>
      <c r="CW333" s="3"/>
      <c r="CX333" s="3"/>
      <c r="CZ333" s="3"/>
      <c r="DA333" s="3"/>
      <c r="DC333" s="3"/>
      <c r="DD333" s="3"/>
      <c r="DF333" s="3"/>
      <c r="DG333" s="5"/>
      <c r="DI333" s="3"/>
      <c r="DL333" s="3"/>
      <c r="DM333" s="3"/>
      <c r="DO333" s="3"/>
      <c r="DP333" s="3"/>
      <c r="DR333" s="3"/>
      <c r="DS333" s="1" t="str">
        <f>_xlfn.XLOOKUP(OfficeForms.Table[[#This Row],[Selecione a Categoria do Laboratório desta atividade prática:]],Planilha1!A:A,Planilha1!B:B)</f>
        <v>BFI</v>
      </c>
      <c r="DT333" s="1" t="str">
        <f>CONCATENATE(OfficeForms.Table[[#This Row],[Selecione seu Polo Laboratório de Atividades Presenciais:]],OfficeForms.Table[[#This Row],[CHAVE CONVERSÃO]])</f>
        <v>Guarujá/SPBFI</v>
      </c>
      <c r="DU33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Revisão de Anatomorfofisiologia</v>
      </c>
      <c r="DV33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3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333" s="1" t="str">
        <f>_xlfn.XLOOKUP(OfficeForms.Table[[#This Row],[CHAVE LINK POLO]],'[1]Quadro Geral de Lotação'!$B:$B,'[1]Quadro Geral de Lotação'!$I:$I)</f>
        <v>Lucas Soares De Medeiros</v>
      </c>
      <c r="DY333" s="1" t="str">
        <f>OfficeForms.Table[[#This Row],[Selecione a Ordem de Disciplina]]</f>
        <v>Ordem 2</v>
      </c>
    </row>
    <row r="334" spans="1:129" ht="34.15" customHeight="1">
      <c r="A334" s="1">
        <v>334</v>
      </c>
      <c r="B334" s="2">
        <v>46100.581284722197</v>
      </c>
      <c r="C334" s="2">
        <v>46100.583414351902</v>
      </c>
      <c r="D334" s="3" t="s">
        <v>129</v>
      </c>
      <c r="E334" s="3" t="s">
        <v>130</v>
      </c>
      <c r="G334" s="3"/>
      <c r="I334" s="3" t="s">
        <v>131</v>
      </c>
      <c r="K334" s="3"/>
      <c r="L334" s="1" t="s">
        <v>678</v>
      </c>
      <c r="O334" s="3" t="s">
        <v>133</v>
      </c>
      <c r="Q334" s="3"/>
      <c r="R334" s="3"/>
      <c r="T334" s="3"/>
      <c r="U334" s="5"/>
      <c r="W334" s="3"/>
      <c r="Z334" s="3"/>
      <c r="AA334" s="3"/>
      <c r="AC334" s="3"/>
      <c r="AD334" s="3"/>
      <c r="AF334" s="3"/>
      <c r="AG334" s="3"/>
      <c r="AI334" s="3"/>
      <c r="AJ334" s="1"/>
      <c r="AL334" s="3"/>
      <c r="AO334" s="3"/>
      <c r="AP334" s="3"/>
      <c r="AR334" s="3"/>
      <c r="AS334" s="3"/>
      <c r="AU334" s="3"/>
      <c r="AV334" s="3" t="s">
        <v>1148</v>
      </c>
      <c r="AX334" s="3"/>
      <c r="AY334" s="5">
        <v>46099</v>
      </c>
      <c r="BA334" s="3"/>
      <c r="BB334" s="1">
        <v>7</v>
      </c>
      <c r="BD334" s="3"/>
      <c r="BE334" s="3" t="s">
        <v>1149</v>
      </c>
      <c r="BG334" s="3"/>
      <c r="BH334" s="3" t="s">
        <v>1150</v>
      </c>
      <c r="BJ334" s="3"/>
      <c r="BK334" s="3"/>
      <c r="BM334" s="3"/>
      <c r="BN334" s="5"/>
      <c r="BP334" s="3"/>
      <c r="BS334" s="3"/>
      <c r="BT334" s="3"/>
      <c r="BV334" s="3"/>
      <c r="BW334" s="3"/>
      <c r="BY334" s="3"/>
      <c r="BZ334" s="3"/>
      <c r="CB334" s="3"/>
      <c r="CC334" s="5"/>
      <c r="CE334" s="3"/>
      <c r="CH334" s="3"/>
      <c r="CI334" s="3"/>
      <c r="CK334" s="3"/>
      <c r="CL334" s="3"/>
      <c r="CN334" s="3"/>
      <c r="CO334" s="3"/>
      <c r="CQ334" s="3"/>
      <c r="CR334" s="5"/>
      <c r="CT334" s="3"/>
      <c r="CW334" s="3"/>
      <c r="CX334" s="3"/>
      <c r="CZ334" s="3"/>
      <c r="DA334" s="3"/>
      <c r="DC334" s="3"/>
      <c r="DD334" s="3"/>
      <c r="DF334" s="3"/>
      <c r="DG334" s="5"/>
      <c r="DI334" s="3"/>
      <c r="DL334" s="3"/>
      <c r="DM334" s="3"/>
      <c r="DO334" s="3"/>
      <c r="DP334" s="3"/>
      <c r="DR334" s="3"/>
      <c r="DS334" s="1" t="str">
        <f>_xlfn.XLOOKUP(OfficeForms.Table[[#This Row],[Selecione a Categoria do Laboratório desta atividade prática:]],Planilha1!A:A,Planilha1!B:B)</f>
        <v>BFI</v>
      </c>
      <c r="DT334" s="1" t="str">
        <f>CONCATENATE(OfficeForms.Table[[#This Row],[Selecione seu Polo Laboratório de Atividades Presenciais:]],OfficeForms.Table[[#This Row],[CHAVE CONVERSÃO]])</f>
        <v>Guarujá/SPBFI</v>
      </c>
      <c r="DU33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Prático da Biomecânica Articular e Muscular no Movimento Funcional Humano</v>
      </c>
      <c r="DV33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3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334" s="1" t="str">
        <f>_xlfn.XLOOKUP(OfficeForms.Table[[#This Row],[CHAVE LINK POLO]],'[1]Quadro Geral de Lotação'!$B:$B,'[1]Quadro Geral de Lotação'!$I:$I)</f>
        <v>Lucas Soares De Medeiros</v>
      </c>
      <c r="DY334" s="1" t="str">
        <f>OfficeForms.Table[[#This Row],[Selecione a Ordem de Disciplina]]</f>
        <v>Ordem 2</v>
      </c>
    </row>
    <row r="335" spans="1:129" ht="34.15" customHeight="1">
      <c r="A335" s="1">
        <v>335</v>
      </c>
      <c r="B335" s="2">
        <v>46100.586284722202</v>
      </c>
      <c r="C335" s="2">
        <v>46100.588356481501</v>
      </c>
      <c r="D335" s="3" t="s">
        <v>1151</v>
      </c>
      <c r="E335" s="3" t="s">
        <v>1152</v>
      </c>
      <c r="G335" s="3"/>
      <c r="I335" s="3" t="s">
        <v>1153</v>
      </c>
      <c r="K335" s="3"/>
      <c r="L335" s="1" t="s">
        <v>132</v>
      </c>
      <c r="O335" s="3" t="s">
        <v>177</v>
      </c>
      <c r="Q335" s="3"/>
      <c r="R335" s="3"/>
      <c r="T335" s="3"/>
      <c r="U335" s="5"/>
      <c r="W335" s="3"/>
      <c r="Z335" s="3"/>
      <c r="AA335" s="3"/>
      <c r="AC335" s="3"/>
      <c r="AD335" s="3"/>
      <c r="AF335" s="3"/>
      <c r="AG335" s="3"/>
      <c r="AI335" s="3"/>
      <c r="AJ335" s="1"/>
      <c r="AL335" s="3"/>
      <c r="AO335" s="3"/>
      <c r="AP335" s="3"/>
      <c r="AR335" s="3"/>
      <c r="AS335" s="3"/>
      <c r="AU335" s="3"/>
      <c r="AV335" s="3"/>
      <c r="AX335" s="3"/>
      <c r="AY335" s="5"/>
      <c r="BA335" s="3"/>
      <c r="BD335" s="3"/>
      <c r="BE335" s="3"/>
      <c r="BG335" s="3"/>
      <c r="BH335" s="3"/>
      <c r="BJ335" s="3"/>
      <c r="BK335" s="3"/>
      <c r="BM335" s="3"/>
      <c r="BN335" s="5"/>
      <c r="BP335" s="3"/>
      <c r="BS335" s="3"/>
      <c r="BT335" s="3"/>
      <c r="BV335" s="3"/>
      <c r="BW335" s="3"/>
      <c r="BY335" s="3"/>
      <c r="BZ335" s="3"/>
      <c r="CB335" s="3"/>
      <c r="CC335" s="5"/>
      <c r="CE335" s="3"/>
      <c r="CH335" s="3"/>
      <c r="CI335" s="3"/>
      <c r="CK335" s="3"/>
      <c r="CL335" s="3"/>
      <c r="CN335" s="3"/>
      <c r="CO335" s="3"/>
      <c r="CQ335" s="3"/>
      <c r="CR335" s="5"/>
      <c r="CT335" s="3"/>
      <c r="CW335" s="3"/>
      <c r="CX335" s="3"/>
      <c r="CZ335" s="3"/>
      <c r="DA335" s="3"/>
      <c r="DC335" s="3"/>
      <c r="DD335" s="3" t="s">
        <v>1002</v>
      </c>
      <c r="DF335" s="3"/>
      <c r="DG335" s="5">
        <v>46078</v>
      </c>
      <c r="DI335" s="3"/>
      <c r="DJ335" s="1">
        <v>3</v>
      </c>
      <c r="DL335" s="3"/>
      <c r="DM335" s="3" t="s">
        <v>1154</v>
      </c>
      <c r="DO335" s="3"/>
      <c r="DP335" s="3" t="s">
        <v>1155</v>
      </c>
      <c r="DR335" s="3"/>
      <c r="DS335" s="1" t="str">
        <f>_xlfn.XLOOKUP(OfficeForms.Table[[#This Row],[Selecione a Categoria do Laboratório desta atividade prática:]],Planilha1!A:A,Planilha1!B:B)</f>
        <v>AGM</v>
      </c>
      <c r="DT335" s="1" t="str">
        <f>CONCATENATE(OfficeForms.Table[[#This Row],[Selecione seu Polo Laboratório de Atividades Presenciais:]],OfficeForms.Table[[#This Row],[CHAVE CONVERSÃO]])</f>
        <v>Formosa/GOAGM</v>
      </c>
      <c r="DU33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de Dados experimentais através de software estatístico</v>
      </c>
      <c r="DV33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33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335" s="1" t="str">
        <f>_xlfn.XLOOKUP(OfficeForms.Table[[#This Row],[CHAVE LINK POLO]],'[1]Quadro Geral de Lotação'!$B:$B,'[1]Quadro Geral de Lotação'!$I:$I)</f>
        <v>Thecica Layme De Sousa Santos</v>
      </c>
      <c r="DY335" s="1" t="str">
        <f>OfficeForms.Table[[#This Row],[Selecione a Ordem de Disciplina]]</f>
        <v>Ordem 1</v>
      </c>
    </row>
    <row r="336" spans="1:129" ht="34.15" customHeight="1">
      <c r="A336" s="1">
        <v>336</v>
      </c>
      <c r="B336" s="2">
        <v>46100.600543981498</v>
      </c>
      <c r="C336" s="2">
        <v>46100.6078935185</v>
      </c>
      <c r="D336" s="3" t="s">
        <v>1151</v>
      </c>
      <c r="E336" s="3" t="s">
        <v>1152</v>
      </c>
      <c r="G336" s="3"/>
      <c r="I336" s="3" t="s">
        <v>1153</v>
      </c>
      <c r="K336" s="3"/>
      <c r="L336" s="1" t="s">
        <v>132</v>
      </c>
      <c r="O336" s="3" t="s">
        <v>177</v>
      </c>
      <c r="Q336" s="3"/>
      <c r="R336" s="3"/>
      <c r="T336" s="3"/>
      <c r="U336" s="5"/>
      <c r="W336" s="3"/>
      <c r="Z336" s="3"/>
      <c r="AA336" s="3"/>
      <c r="AC336" s="3"/>
      <c r="AD336" s="3"/>
      <c r="AF336" s="3"/>
      <c r="AG336" s="3"/>
      <c r="AI336" s="3"/>
      <c r="AJ336" s="1"/>
      <c r="AL336" s="3"/>
      <c r="AO336" s="3"/>
      <c r="AP336" s="3"/>
      <c r="AR336" s="3"/>
      <c r="AS336" s="3"/>
      <c r="AU336" s="3"/>
      <c r="AV336" s="3"/>
      <c r="AX336" s="3"/>
      <c r="AY336" s="5"/>
      <c r="BA336" s="3"/>
      <c r="BD336" s="3"/>
      <c r="BE336" s="3"/>
      <c r="BG336" s="3"/>
      <c r="BH336" s="3"/>
      <c r="BJ336" s="3"/>
      <c r="BK336" s="3"/>
      <c r="BM336" s="3"/>
      <c r="BN336" s="5"/>
      <c r="BP336" s="3"/>
      <c r="BS336" s="3"/>
      <c r="BT336" s="3"/>
      <c r="BV336" s="3"/>
      <c r="BW336" s="3"/>
      <c r="BY336" s="3"/>
      <c r="BZ336" s="3"/>
      <c r="CB336" s="3"/>
      <c r="CC336" s="5"/>
      <c r="CE336" s="3"/>
      <c r="CH336" s="3"/>
      <c r="CI336" s="3"/>
      <c r="CK336" s="3"/>
      <c r="CL336" s="3"/>
      <c r="CN336" s="3"/>
      <c r="CO336" s="3"/>
      <c r="CQ336" s="3"/>
      <c r="CR336" s="5"/>
      <c r="CT336" s="3"/>
      <c r="CW336" s="3"/>
      <c r="CX336" s="3"/>
      <c r="CZ336" s="3"/>
      <c r="DA336" s="3"/>
      <c r="DC336" s="3"/>
      <c r="DD336" s="3" t="s">
        <v>458</v>
      </c>
      <c r="DF336" s="3"/>
      <c r="DG336" s="5">
        <v>46085</v>
      </c>
      <c r="DI336" s="3"/>
      <c r="DJ336" s="1">
        <v>15</v>
      </c>
      <c r="DL336" s="3"/>
      <c r="DM336" s="3" t="s">
        <v>1156</v>
      </c>
      <c r="DO336" s="3"/>
      <c r="DP336" s="3" t="s">
        <v>1157</v>
      </c>
      <c r="DR336" s="3"/>
      <c r="DS336" s="1" t="str">
        <f>_xlfn.XLOOKUP(OfficeForms.Table[[#This Row],[Selecione a Categoria do Laboratório desta atividade prática:]],Planilha1!A:A,Planilha1!B:B)</f>
        <v>AGM</v>
      </c>
      <c r="DT336" s="1" t="str">
        <f>CONCATENATE(OfficeForms.Table[[#This Row],[Selecione seu Polo Laboratório de Atividades Presenciais:]],OfficeForms.Table[[#This Row],[CHAVE CONVERSÃO]])</f>
        <v>Formosa/GOAGM</v>
      </c>
      <c r="DU33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Diagnóstico de Doenças de Plantas em laboratório: Identificação de Sintomas, Sinais e Estruturas Patogênicas</v>
      </c>
      <c r="DV33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33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336" s="1" t="str">
        <f>_xlfn.XLOOKUP(OfficeForms.Table[[#This Row],[CHAVE LINK POLO]],'[1]Quadro Geral de Lotação'!$B:$B,'[1]Quadro Geral de Lotação'!$I:$I)</f>
        <v>Thecica Layme De Sousa Santos</v>
      </c>
      <c r="DY336" s="1" t="str">
        <f>OfficeForms.Table[[#This Row],[Selecione a Ordem de Disciplina]]</f>
        <v>Ordem 1</v>
      </c>
    </row>
    <row r="337" spans="1:129" ht="34.15" customHeight="1">
      <c r="A337" s="1">
        <v>337</v>
      </c>
      <c r="B337" s="2">
        <v>46100.6121643519</v>
      </c>
      <c r="C337" s="2">
        <v>46100.612997685203</v>
      </c>
      <c r="D337" s="3" t="s">
        <v>1151</v>
      </c>
      <c r="E337" s="3" t="s">
        <v>1152</v>
      </c>
      <c r="G337" s="3"/>
      <c r="I337" s="3" t="s">
        <v>1153</v>
      </c>
      <c r="K337" s="3"/>
      <c r="L337" s="1" t="s">
        <v>132</v>
      </c>
      <c r="O337" s="3" t="s">
        <v>177</v>
      </c>
      <c r="Q337" s="3"/>
      <c r="R337" s="3"/>
      <c r="T337" s="3"/>
      <c r="U337" s="5"/>
      <c r="W337" s="3"/>
      <c r="Z337" s="3"/>
      <c r="AA337" s="3"/>
      <c r="AC337" s="3"/>
      <c r="AD337" s="3"/>
      <c r="AF337" s="3"/>
      <c r="AG337" s="3"/>
      <c r="AI337" s="3"/>
      <c r="AJ337" s="1"/>
      <c r="AL337" s="3"/>
      <c r="AO337" s="3"/>
      <c r="AP337" s="3"/>
      <c r="AR337" s="3"/>
      <c r="AS337" s="3"/>
      <c r="AU337" s="3"/>
      <c r="AV337" s="3"/>
      <c r="AX337" s="3"/>
      <c r="AY337" s="5"/>
      <c r="BA337" s="3"/>
      <c r="BD337" s="3"/>
      <c r="BE337" s="3"/>
      <c r="BG337" s="3"/>
      <c r="BH337" s="3"/>
      <c r="BJ337" s="3"/>
      <c r="BK337" s="3"/>
      <c r="BM337" s="3"/>
      <c r="BN337" s="5"/>
      <c r="BP337" s="3"/>
      <c r="BS337" s="3"/>
      <c r="BT337" s="3"/>
      <c r="BV337" s="3"/>
      <c r="BW337" s="3"/>
      <c r="BY337" s="3"/>
      <c r="BZ337" s="3"/>
      <c r="CB337" s="3"/>
      <c r="CC337" s="5"/>
      <c r="CE337" s="3"/>
      <c r="CH337" s="3"/>
      <c r="CI337" s="3"/>
      <c r="CK337" s="3"/>
      <c r="CL337" s="3"/>
      <c r="CN337" s="3"/>
      <c r="CO337" s="3"/>
      <c r="CQ337" s="3"/>
      <c r="CR337" s="5"/>
      <c r="CT337" s="3"/>
      <c r="CW337" s="3"/>
      <c r="CX337" s="3"/>
      <c r="CZ337" s="3"/>
      <c r="DA337" s="3"/>
      <c r="DC337" s="3"/>
      <c r="DD337" s="3" t="s">
        <v>200</v>
      </c>
      <c r="DF337" s="3"/>
      <c r="DG337" s="5">
        <v>46092</v>
      </c>
      <c r="DI337" s="3"/>
      <c r="DJ337" s="1">
        <v>0</v>
      </c>
      <c r="DL337" s="3"/>
      <c r="DM337" s="3" t="s">
        <v>1158</v>
      </c>
      <c r="DO337" s="3"/>
      <c r="DP337" s="3" t="s">
        <v>1159</v>
      </c>
      <c r="DR337" s="3"/>
      <c r="DS337" s="1" t="str">
        <f>_xlfn.XLOOKUP(OfficeForms.Table[[#This Row],[Selecione a Categoria do Laboratório desta atividade prática:]],Planilha1!A:A,Planilha1!B:B)</f>
        <v>AGM</v>
      </c>
      <c r="DT337" s="1" t="str">
        <f>CONCATENATE(OfficeForms.Table[[#This Row],[Selecione seu Polo Laboratório de Atividades Presenciais:]],OfficeForms.Table[[#This Row],[CHAVE CONVERSÃO]])</f>
        <v>Formosa/GOAGM</v>
      </c>
      <c r="DU33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Métodos de determinação da fertilidade do solo</v>
      </c>
      <c r="DV33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33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37" s="1" t="str">
        <f>_xlfn.XLOOKUP(OfficeForms.Table[[#This Row],[CHAVE LINK POLO]],'[1]Quadro Geral de Lotação'!$B:$B,'[1]Quadro Geral de Lotação'!$I:$I)</f>
        <v>Thecica Layme De Sousa Santos</v>
      </c>
      <c r="DY337" s="1" t="str">
        <f>OfficeForms.Table[[#This Row],[Selecione a Ordem de Disciplina]]</f>
        <v>Ordem 1</v>
      </c>
    </row>
    <row r="338" spans="1:129" ht="34.15" customHeight="1">
      <c r="A338" s="1">
        <v>338</v>
      </c>
      <c r="B338" s="2">
        <v>46100.613217592603</v>
      </c>
      <c r="C338" s="2">
        <v>46100.619664351798</v>
      </c>
      <c r="D338" s="3" t="s">
        <v>1151</v>
      </c>
      <c r="E338" s="3" t="s">
        <v>1152</v>
      </c>
      <c r="G338" s="3"/>
      <c r="I338" s="3" t="s">
        <v>1153</v>
      </c>
      <c r="K338" s="3"/>
      <c r="L338" s="1" t="s">
        <v>678</v>
      </c>
      <c r="O338" s="3" t="s">
        <v>177</v>
      </c>
      <c r="Q338" s="3"/>
      <c r="R338" s="3"/>
      <c r="T338" s="3"/>
      <c r="U338" s="5"/>
      <c r="W338" s="3"/>
      <c r="Z338" s="3"/>
      <c r="AA338" s="3"/>
      <c r="AC338" s="3"/>
      <c r="AD338" s="3"/>
      <c r="AF338" s="3"/>
      <c r="AG338" s="3"/>
      <c r="AI338" s="3"/>
      <c r="AJ338" s="1"/>
      <c r="AL338" s="3"/>
      <c r="AO338" s="3"/>
      <c r="AP338" s="3"/>
      <c r="AR338" s="3"/>
      <c r="AS338" s="3"/>
      <c r="AU338" s="3"/>
      <c r="AV338" s="3"/>
      <c r="AX338" s="3"/>
      <c r="AY338" s="5"/>
      <c r="BA338" s="3"/>
      <c r="BD338" s="3"/>
      <c r="BE338" s="3"/>
      <c r="BG338" s="3"/>
      <c r="BH338" s="3"/>
      <c r="BJ338" s="3"/>
      <c r="BK338" s="3"/>
      <c r="BM338" s="3"/>
      <c r="BN338" s="5"/>
      <c r="BP338" s="3"/>
      <c r="BS338" s="3"/>
      <c r="BT338" s="3"/>
      <c r="BV338" s="3"/>
      <c r="BW338" s="3"/>
      <c r="BY338" s="3"/>
      <c r="BZ338" s="3"/>
      <c r="CB338" s="3"/>
      <c r="CC338" s="5"/>
      <c r="CE338" s="3"/>
      <c r="CH338" s="3"/>
      <c r="CI338" s="3"/>
      <c r="CK338" s="3"/>
      <c r="CL338" s="3"/>
      <c r="CN338" s="3"/>
      <c r="CO338" s="3"/>
      <c r="CQ338" s="3"/>
      <c r="CR338" s="5"/>
      <c r="CT338" s="3"/>
      <c r="CW338" s="3"/>
      <c r="CX338" s="3"/>
      <c r="CZ338" s="3"/>
      <c r="DA338" s="3"/>
      <c r="DC338" s="3"/>
      <c r="DD338" s="3" t="s">
        <v>1160</v>
      </c>
      <c r="DF338" s="3"/>
      <c r="DG338" s="5">
        <v>46099</v>
      </c>
      <c r="DI338" s="3"/>
      <c r="DJ338" s="1">
        <v>1</v>
      </c>
      <c r="DL338" s="3"/>
      <c r="DM338" s="3" t="s">
        <v>1161</v>
      </c>
      <c r="DO338" s="3"/>
      <c r="DP338" s="3" t="s">
        <v>1162</v>
      </c>
      <c r="DR338" s="3"/>
      <c r="DS338" s="1" t="str">
        <f>_xlfn.XLOOKUP(OfficeForms.Table[[#This Row],[Selecione a Categoria do Laboratório desta atividade prática:]],Planilha1!A:A,Planilha1!B:B)</f>
        <v>AGM</v>
      </c>
      <c r="DT338" s="1" t="str">
        <f>CONCATENATE(OfficeForms.Table[[#This Row],[Selecione seu Polo Laboratório de Atividades Presenciais:]],OfficeForms.Table[[#This Row],[CHAVE CONVERSÃO]])</f>
        <v>Formosa/GOAGM</v>
      </c>
      <c r="DU33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Identificação de plantas daninhas de interesse agronômico</v>
      </c>
      <c r="DV33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3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38" s="1" t="str">
        <f>_xlfn.XLOOKUP(OfficeForms.Table[[#This Row],[CHAVE LINK POLO]],'[1]Quadro Geral de Lotação'!$B:$B,'[1]Quadro Geral de Lotação'!$I:$I)</f>
        <v>Thecica Layme De Sousa Santos</v>
      </c>
      <c r="DY338" s="1" t="str">
        <f>OfficeForms.Table[[#This Row],[Selecione a Ordem de Disciplina]]</f>
        <v>Ordem 2</v>
      </c>
    </row>
    <row r="339" spans="1:129" ht="34.15" customHeight="1">
      <c r="A339" s="1">
        <v>339</v>
      </c>
      <c r="B339" s="2">
        <v>46100.617060185199</v>
      </c>
      <c r="C339" s="2">
        <v>46100.6227546296</v>
      </c>
      <c r="D339" s="3" t="s">
        <v>1163</v>
      </c>
      <c r="E339" s="3" t="s">
        <v>1164</v>
      </c>
      <c r="G339" s="3"/>
      <c r="I339" s="3" t="s">
        <v>545</v>
      </c>
      <c r="K339" s="3"/>
      <c r="L339" s="1" t="s">
        <v>132</v>
      </c>
      <c r="O339" s="3" t="s">
        <v>184</v>
      </c>
      <c r="Q339" s="3"/>
      <c r="R339" s="3"/>
      <c r="T339" s="3"/>
      <c r="U339" s="5"/>
      <c r="W339" s="3"/>
      <c r="Z339" s="3"/>
      <c r="AA339" s="3"/>
      <c r="AC339" s="3"/>
      <c r="AD339" s="3"/>
      <c r="AF339" s="3"/>
      <c r="AG339" s="3" t="s">
        <v>370</v>
      </c>
      <c r="AI339" s="3"/>
      <c r="AJ339" s="1">
        <v>46072</v>
      </c>
      <c r="AL339" s="3"/>
      <c r="AM339" s="1">
        <v>9</v>
      </c>
      <c r="AO339" s="3"/>
      <c r="AP339" s="3" t="s">
        <v>1165</v>
      </c>
      <c r="AR339" s="3"/>
      <c r="AS339" s="3" t="s">
        <v>1166</v>
      </c>
      <c r="AU339" s="3"/>
      <c r="AV339" s="3"/>
      <c r="AX339" s="3"/>
      <c r="AY339" s="5"/>
      <c r="BA339" s="3"/>
      <c r="BD339" s="3"/>
      <c r="BE339" s="3"/>
      <c r="BG339" s="3"/>
      <c r="BH339" s="3"/>
      <c r="BJ339" s="3"/>
      <c r="BK339" s="3"/>
      <c r="BM339" s="3"/>
      <c r="BN339" s="5"/>
      <c r="BP339" s="3"/>
      <c r="BS339" s="3"/>
      <c r="BT339" s="3"/>
      <c r="BV339" s="3"/>
      <c r="BW339" s="3"/>
      <c r="BY339" s="3"/>
      <c r="BZ339" s="3"/>
      <c r="CB339" s="3"/>
      <c r="CC339" s="5"/>
      <c r="CE339" s="3"/>
      <c r="CH339" s="3"/>
      <c r="CI339" s="3"/>
      <c r="CK339" s="3"/>
      <c r="CL339" s="3"/>
      <c r="CN339" s="3"/>
      <c r="CO339" s="3"/>
      <c r="CQ339" s="3"/>
      <c r="CR339" s="5"/>
      <c r="CT339" s="3"/>
      <c r="CW339" s="3"/>
      <c r="CX339" s="3"/>
      <c r="CZ339" s="3"/>
      <c r="DA339" s="3"/>
      <c r="DC339" s="3"/>
      <c r="DD339" s="3"/>
      <c r="DF339" s="3"/>
      <c r="DG339" s="5"/>
      <c r="DI339" s="3"/>
      <c r="DL339" s="3"/>
      <c r="DM339" s="3"/>
      <c r="DO339" s="3"/>
      <c r="DP339" s="3"/>
      <c r="DR339" s="3"/>
      <c r="DS339" s="1" t="str">
        <f>_xlfn.XLOOKUP(OfficeForms.Table[[#This Row],[Selecione a Categoria do Laboratório desta atividade prática:]],Planilha1!A:A,Planilha1!B:B)</f>
        <v>EMF-ISN</v>
      </c>
      <c r="DT339" s="1" t="str">
        <f>CONCATENATE(OfficeForms.Table[[#This Row],[Selecione seu Polo Laboratório de Atividades Presenciais:]],OfficeForms.Table[[#This Row],[CHAVE CONVERSÃO]])</f>
        <v>Porto Alegre/RS - Centro HistóricoEMF-ISN</v>
      </c>
      <c r="DU33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33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33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339" s="1" t="str">
        <f>_xlfn.XLOOKUP(OfficeForms.Table[[#This Row],[CHAVE LINK POLO]],'[1]Quadro Geral de Lotação'!$B:$B,'[1]Quadro Geral de Lotação'!$I:$I)</f>
        <v>Ester De Melo Borba</v>
      </c>
      <c r="DY339" s="1" t="str">
        <f>OfficeForms.Table[[#This Row],[Selecione a Ordem de Disciplina]]</f>
        <v>Ordem 1</v>
      </c>
    </row>
    <row r="340" spans="1:129" ht="34.15" customHeight="1">
      <c r="A340" s="1">
        <v>340</v>
      </c>
      <c r="B340" s="2">
        <v>46100.609351851803</v>
      </c>
      <c r="C340" s="2">
        <v>46100.6542708333</v>
      </c>
      <c r="D340" s="3" t="s">
        <v>1167</v>
      </c>
      <c r="E340" s="3" t="s">
        <v>1168</v>
      </c>
      <c r="G340" s="3"/>
      <c r="I340" s="3" t="s">
        <v>216</v>
      </c>
      <c r="K340" s="3"/>
      <c r="L340" s="1" t="s">
        <v>132</v>
      </c>
      <c r="O340" s="3" t="s">
        <v>184</v>
      </c>
      <c r="Q340" s="3"/>
      <c r="R340" s="3"/>
      <c r="T340" s="3"/>
      <c r="U340" s="5"/>
      <c r="W340" s="3"/>
      <c r="Z340" s="3"/>
      <c r="AA340" s="3"/>
      <c r="AC340" s="3"/>
      <c r="AD340" s="3"/>
      <c r="AF340" s="3"/>
      <c r="AG340" s="3" t="s">
        <v>240</v>
      </c>
      <c r="AI340" s="3"/>
      <c r="AJ340" s="1">
        <v>46071</v>
      </c>
      <c r="AL340" s="3"/>
      <c r="AM340" s="1">
        <v>1</v>
      </c>
      <c r="AO340" s="3"/>
      <c r="AP340" s="3" t="s">
        <v>1169</v>
      </c>
      <c r="AR340" s="3"/>
      <c r="AS340" s="3" t="s">
        <v>1170</v>
      </c>
      <c r="AU340" s="3"/>
      <c r="AV340" s="3"/>
      <c r="AX340" s="3"/>
      <c r="AY340" s="5"/>
      <c r="BA340" s="3"/>
      <c r="BD340" s="3"/>
      <c r="BE340" s="3"/>
      <c r="BG340" s="3"/>
      <c r="BH340" s="3"/>
      <c r="BJ340" s="3"/>
      <c r="BK340" s="3"/>
      <c r="BM340" s="3"/>
      <c r="BN340" s="5"/>
      <c r="BP340" s="3"/>
      <c r="BS340" s="3"/>
      <c r="BT340" s="3"/>
      <c r="BV340" s="3"/>
      <c r="BW340" s="3"/>
      <c r="BY340" s="3"/>
      <c r="BZ340" s="3"/>
      <c r="CB340" s="3"/>
      <c r="CC340" s="5"/>
      <c r="CE340" s="3"/>
      <c r="CH340" s="3"/>
      <c r="CI340" s="3"/>
      <c r="CK340" s="3"/>
      <c r="CL340" s="3"/>
      <c r="CN340" s="3"/>
      <c r="CO340" s="3"/>
      <c r="CQ340" s="3"/>
      <c r="CR340" s="5"/>
      <c r="CT340" s="3"/>
      <c r="CW340" s="3"/>
      <c r="CX340" s="3"/>
      <c r="CZ340" s="3"/>
      <c r="DA340" s="3"/>
      <c r="DC340" s="3"/>
      <c r="DD340" s="3"/>
      <c r="DF340" s="3"/>
      <c r="DG340" s="5"/>
      <c r="DI340" s="3"/>
      <c r="DL340" s="3"/>
      <c r="DM340" s="3"/>
      <c r="DO340" s="3"/>
      <c r="DP340" s="3"/>
      <c r="DR340" s="3"/>
      <c r="DS340" s="1" t="str">
        <f>_xlfn.XLOOKUP(OfficeForms.Table[[#This Row],[Selecione a Categoria do Laboratório desta atividade prática:]],Planilha1!A:A,Planilha1!B:B)</f>
        <v>EMF-ISN</v>
      </c>
      <c r="DT340" s="1" t="str">
        <f>CONCATENATE(OfficeForms.Table[[#This Row],[Selecione seu Polo Laboratório de Atividades Presenciais:]],OfficeForms.Table[[#This Row],[CHAVE CONVERSÃO]])</f>
        <v>Feira De Santana/BA - CentroEMF-ISN</v>
      </c>
      <c r="DU34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Curativo;Avaliação corporal + Ausculta pulmonar + Ausculta cardiaca + Verificação de sinais vitais</v>
      </c>
      <c r="DV34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34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40" s="1" t="str">
        <f>_xlfn.XLOOKUP(OfficeForms.Table[[#This Row],[CHAVE LINK POLO]],'[1]Quadro Geral de Lotação'!$B:$B,'[1]Quadro Geral de Lotação'!$I:$I)</f>
        <v>Karine Tosta Souza Borges</v>
      </c>
      <c r="DY340" s="1" t="str">
        <f>OfficeForms.Table[[#This Row],[Selecione a Ordem de Disciplina]]</f>
        <v>Ordem 1</v>
      </c>
    </row>
    <row r="341" spans="1:129" ht="34.15" customHeight="1">
      <c r="A341" s="1">
        <v>341</v>
      </c>
      <c r="B341" s="2">
        <v>46100.654351851903</v>
      </c>
      <c r="C341" s="2">
        <v>46100.6663078704</v>
      </c>
      <c r="D341" s="3" t="s">
        <v>1167</v>
      </c>
      <c r="E341" s="3" t="s">
        <v>1168</v>
      </c>
      <c r="G341" s="3"/>
      <c r="I341" s="3" t="s">
        <v>216</v>
      </c>
      <c r="K341" s="3"/>
      <c r="L341" s="1" t="s">
        <v>132</v>
      </c>
      <c r="O341" s="3" t="s">
        <v>184</v>
      </c>
      <c r="Q341" s="3"/>
      <c r="R341" s="3"/>
      <c r="T341" s="3"/>
      <c r="U341" s="5"/>
      <c r="W341" s="3"/>
      <c r="Z341" s="3"/>
      <c r="AA341" s="3"/>
      <c r="AC341" s="3"/>
      <c r="AD341" s="3"/>
      <c r="AF341" s="3"/>
      <c r="AG341" s="3" t="s">
        <v>370</v>
      </c>
      <c r="AI341" s="3"/>
      <c r="AJ341" s="1">
        <v>46078</v>
      </c>
      <c r="AL341" s="3"/>
      <c r="AM341" s="1">
        <v>16</v>
      </c>
      <c r="AO341" s="3"/>
      <c r="AP341" s="3" t="s">
        <v>1171</v>
      </c>
      <c r="AR341" s="3"/>
      <c r="AS341" s="3" t="s">
        <v>1172</v>
      </c>
      <c r="AU341" s="3"/>
      <c r="AV341" s="3"/>
      <c r="AX341" s="3"/>
      <c r="AY341" s="5"/>
      <c r="BA341" s="3"/>
      <c r="BD341" s="3"/>
      <c r="BE341" s="3"/>
      <c r="BG341" s="3"/>
      <c r="BH341" s="3"/>
      <c r="BJ341" s="3"/>
      <c r="BK341" s="3"/>
      <c r="BM341" s="3"/>
      <c r="BN341" s="5"/>
      <c r="BP341" s="3"/>
      <c r="BS341" s="3"/>
      <c r="BT341" s="3"/>
      <c r="BV341" s="3"/>
      <c r="BW341" s="3"/>
      <c r="BY341" s="3"/>
      <c r="BZ341" s="3"/>
      <c r="CB341" s="3"/>
      <c r="CC341" s="5"/>
      <c r="CE341" s="3"/>
      <c r="CH341" s="3"/>
      <c r="CI341" s="3"/>
      <c r="CK341" s="3"/>
      <c r="CL341" s="3"/>
      <c r="CN341" s="3"/>
      <c r="CO341" s="3"/>
      <c r="CQ341" s="3"/>
      <c r="CR341" s="5"/>
      <c r="CT341" s="3"/>
      <c r="CW341" s="3"/>
      <c r="CX341" s="3"/>
      <c r="CZ341" s="3"/>
      <c r="DA341" s="3"/>
      <c r="DC341" s="3"/>
      <c r="DD341" s="3"/>
      <c r="DF341" s="3"/>
      <c r="DG341" s="5"/>
      <c r="DI341" s="3"/>
      <c r="DL341" s="3"/>
      <c r="DM341" s="3"/>
      <c r="DO341" s="3"/>
      <c r="DP341" s="3"/>
      <c r="DR341" s="3"/>
      <c r="DS341" s="1" t="str">
        <f>_xlfn.XLOOKUP(OfficeForms.Table[[#This Row],[Selecione a Categoria do Laboratório desta atividade prática:]],Planilha1!A:A,Planilha1!B:B)</f>
        <v>EMF-ISN</v>
      </c>
      <c r="DT341" s="1" t="str">
        <f>CONCATENATE(OfficeForms.Table[[#This Row],[Selecione seu Polo Laboratório de Atividades Presenciais:]],OfficeForms.Table[[#This Row],[CHAVE CONVERSÃO]])</f>
        <v>Feira De Santana/BA - CentroEMF-ISN</v>
      </c>
      <c r="DU34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34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34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16</v>
      </c>
      <c r="DX341" s="1" t="str">
        <f>_xlfn.XLOOKUP(OfficeForms.Table[[#This Row],[CHAVE LINK POLO]],'[1]Quadro Geral de Lotação'!$B:$B,'[1]Quadro Geral de Lotação'!$I:$I)</f>
        <v>Karine Tosta Souza Borges</v>
      </c>
      <c r="DY341" s="1" t="str">
        <f>OfficeForms.Table[[#This Row],[Selecione a Ordem de Disciplina]]</f>
        <v>Ordem 1</v>
      </c>
    </row>
    <row r="342" spans="1:129" ht="34.15" customHeight="1">
      <c r="A342" s="1">
        <v>342</v>
      </c>
      <c r="B342" s="2">
        <v>46100.6663541667</v>
      </c>
      <c r="C342" s="2">
        <v>46100.6711574074</v>
      </c>
      <c r="D342" s="3" t="s">
        <v>1167</v>
      </c>
      <c r="E342" s="3" t="s">
        <v>1168</v>
      </c>
      <c r="G342" s="3"/>
      <c r="I342" s="3" t="s">
        <v>216</v>
      </c>
      <c r="K342" s="3"/>
      <c r="L342" s="1" t="s">
        <v>132</v>
      </c>
      <c r="O342" s="3" t="s">
        <v>184</v>
      </c>
      <c r="Q342" s="3"/>
      <c r="R342" s="3"/>
      <c r="T342" s="3"/>
      <c r="U342" s="5"/>
      <c r="W342" s="3"/>
      <c r="Z342" s="3"/>
      <c r="AA342" s="3"/>
      <c r="AC342" s="3"/>
      <c r="AD342" s="3"/>
      <c r="AF342" s="3"/>
      <c r="AG342" s="3" t="s">
        <v>224</v>
      </c>
      <c r="AI342" s="3"/>
      <c r="AJ342" s="1">
        <v>46081</v>
      </c>
      <c r="AL342" s="3"/>
      <c r="AM342" s="1">
        <v>11</v>
      </c>
      <c r="AO342" s="3"/>
      <c r="AP342" s="3" t="s">
        <v>1173</v>
      </c>
      <c r="AR342" s="3"/>
      <c r="AS342" s="3" t="s">
        <v>1174</v>
      </c>
      <c r="AU342" s="3"/>
      <c r="AV342" s="3"/>
      <c r="AX342" s="3"/>
      <c r="AY342" s="5"/>
      <c r="BA342" s="3"/>
      <c r="BD342" s="3"/>
      <c r="BE342" s="3"/>
      <c r="BG342" s="3"/>
      <c r="BH342" s="3"/>
      <c r="BJ342" s="3"/>
      <c r="BK342" s="3"/>
      <c r="BM342" s="3"/>
      <c r="BN342" s="5"/>
      <c r="BP342" s="3"/>
      <c r="BS342" s="3"/>
      <c r="BT342" s="3"/>
      <c r="BV342" s="3"/>
      <c r="BW342" s="3"/>
      <c r="BY342" s="3"/>
      <c r="BZ342" s="3"/>
      <c r="CB342" s="3"/>
      <c r="CC342" s="5"/>
      <c r="CE342" s="3"/>
      <c r="CH342" s="3"/>
      <c r="CI342" s="3"/>
      <c r="CK342" s="3"/>
      <c r="CL342" s="3"/>
      <c r="CN342" s="3"/>
      <c r="CO342" s="3"/>
      <c r="CQ342" s="3"/>
      <c r="CR342" s="5"/>
      <c r="CT342" s="3"/>
      <c r="CW342" s="3"/>
      <c r="CX342" s="3"/>
      <c r="CZ342" s="3"/>
      <c r="DA342" s="3"/>
      <c r="DC342" s="3"/>
      <c r="DD342" s="3"/>
      <c r="DF342" s="3"/>
      <c r="DG342" s="5"/>
      <c r="DI342" s="3"/>
      <c r="DL342" s="3"/>
      <c r="DM342" s="3"/>
      <c r="DO342" s="3"/>
      <c r="DP342" s="3"/>
      <c r="DR342" s="3"/>
      <c r="DS342" s="1" t="str">
        <f>_xlfn.XLOOKUP(OfficeForms.Table[[#This Row],[Selecione a Categoria do Laboratório desta atividade prática:]],Planilha1!A:A,Planilha1!B:B)</f>
        <v>EMF-ISN</v>
      </c>
      <c r="DT342" s="1" t="str">
        <f>CONCATENATE(OfficeForms.Table[[#This Row],[Selecione seu Polo Laboratório de Atividades Presenciais:]],OfficeForms.Table[[#This Row],[CHAVE CONVERSÃO]])</f>
        <v>Feira De Santana/BA - CentroEMF-ISN</v>
      </c>
      <c r="DU34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34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34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342" s="1" t="str">
        <f>_xlfn.XLOOKUP(OfficeForms.Table[[#This Row],[CHAVE LINK POLO]],'[1]Quadro Geral de Lotação'!$B:$B,'[1]Quadro Geral de Lotação'!$I:$I)</f>
        <v>Karine Tosta Souza Borges</v>
      </c>
      <c r="DY342" s="1" t="str">
        <f>OfficeForms.Table[[#This Row],[Selecione a Ordem de Disciplina]]</f>
        <v>Ordem 1</v>
      </c>
    </row>
    <row r="343" spans="1:129" ht="34.15" customHeight="1">
      <c r="A343" s="1">
        <v>343</v>
      </c>
      <c r="B343" s="2">
        <v>46100.671215277798</v>
      </c>
      <c r="C343" s="2">
        <v>46100.686851851897</v>
      </c>
      <c r="D343" s="3" t="s">
        <v>1167</v>
      </c>
      <c r="E343" s="3" t="s">
        <v>1168</v>
      </c>
      <c r="G343" s="3"/>
      <c r="I343" s="3" t="s">
        <v>216</v>
      </c>
      <c r="K343" s="3"/>
      <c r="L343" s="1" t="s">
        <v>132</v>
      </c>
      <c r="O343" s="3" t="s">
        <v>184</v>
      </c>
      <c r="Q343" s="3"/>
      <c r="R343" s="3"/>
      <c r="T343" s="3"/>
      <c r="U343" s="5"/>
      <c r="W343" s="3"/>
      <c r="Z343" s="3"/>
      <c r="AA343" s="3"/>
      <c r="AC343" s="3"/>
      <c r="AD343" s="3"/>
      <c r="AF343" s="3"/>
      <c r="AG343" s="3" t="s">
        <v>194</v>
      </c>
      <c r="AI343" s="3"/>
      <c r="AJ343" s="1">
        <v>46088</v>
      </c>
      <c r="AL343" s="3"/>
      <c r="AM343" s="1">
        <v>1</v>
      </c>
      <c r="AO343" s="3"/>
      <c r="AP343" s="3" t="s">
        <v>1175</v>
      </c>
      <c r="AR343" s="3"/>
      <c r="AS343" s="3" t="s">
        <v>1176</v>
      </c>
      <c r="AU343" s="3"/>
      <c r="AV343" s="3"/>
      <c r="AX343" s="3"/>
      <c r="AY343" s="5"/>
      <c r="BA343" s="3"/>
      <c r="BD343" s="3"/>
      <c r="BE343" s="3"/>
      <c r="BG343" s="3"/>
      <c r="BH343" s="3"/>
      <c r="BJ343" s="3"/>
      <c r="BK343" s="3"/>
      <c r="BM343" s="3"/>
      <c r="BN343" s="5"/>
      <c r="BP343" s="3"/>
      <c r="BS343" s="3"/>
      <c r="BT343" s="3"/>
      <c r="BV343" s="3"/>
      <c r="BW343" s="3"/>
      <c r="BY343" s="3"/>
      <c r="BZ343" s="3"/>
      <c r="CB343" s="3"/>
      <c r="CC343" s="5"/>
      <c r="CE343" s="3"/>
      <c r="CH343" s="3"/>
      <c r="CI343" s="3"/>
      <c r="CK343" s="3"/>
      <c r="CL343" s="3"/>
      <c r="CN343" s="3"/>
      <c r="CO343" s="3"/>
      <c r="CQ343" s="3"/>
      <c r="CR343" s="5"/>
      <c r="CT343" s="3"/>
      <c r="CW343" s="3"/>
      <c r="CX343" s="3"/>
      <c r="CZ343" s="3"/>
      <c r="DA343" s="3"/>
      <c r="DC343" s="3"/>
      <c r="DD343" s="3"/>
      <c r="DF343" s="3"/>
      <c r="DG343" s="5"/>
      <c r="DI343" s="3"/>
      <c r="DL343" s="3"/>
      <c r="DM343" s="3"/>
      <c r="DO343" s="3"/>
      <c r="DP343" s="3"/>
      <c r="DR343" s="3"/>
      <c r="DS343" s="1" t="str">
        <f>_xlfn.XLOOKUP(OfficeForms.Table[[#This Row],[Selecione a Categoria do Laboratório desta atividade prática:]],Planilha1!A:A,Planilha1!B:B)</f>
        <v>EMF-ISN</v>
      </c>
      <c r="DT343" s="1" t="str">
        <f>CONCATENATE(OfficeForms.Table[[#This Row],[Selecione seu Polo Laboratório de Atividades Presenciais:]],OfficeForms.Table[[#This Row],[CHAVE CONVERSÃO]])</f>
        <v>Feira De Santana/BA - CentroEMF-ISN</v>
      </c>
      <c r="DU34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34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34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43" s="1" t="str">
        <f>_xlfn.XLOOKUP(OfficeForms.Table[[#This Row],[CHAVE LINK POLO]],'[1]Quadro Geral de Lotação'!$B:$B,'[1]Quadro Geral de Lotação'!$I:$I)</f>
        <v>Karine Tosta Souza Borges</v>
      </c>
      <c r="DY343" s="1" t="str">
        <f>OfficeForms.Table[[#This Row],[Selecione a Ordem de Disciplina]]</f>
        <v>Ordem 1</v>
      </c>
    </row>
    <row r="344" spans="1:129" ht="34.15" customHeight="1">
      <c r="A344" s="1">
        <v>344</v>
      </c>
      <c r="B344" s="2">
        <v>46100.686898148197</v>
      </c>
      <c r="C344" s="2">
        <v>46100.690567129597</v>
      </c>
      <c r="D344" s="3" t="s">
        <v>1167</v>
      </c>
      <c r="E344" s="3" t="s">
        <v>1168</v>
      </c>
      <c r="G344" s="3"/>
      <c r="I344" s="3" t="s">
        <v>216</v>
      </c>
      <c r="K344" s="3"/>
      <c r="L344" s="1" t="s">
        <v>132</v>
      </c>
      <c r="O344" s="3" t="s">
        <v>184</v>
      </c>
      <c r="Q344" s="3"/>
      <c r="R344" s="3"/>
      <c r="T344" s="3"/>
      <c r="U344" s="5"/>
      <c r="W344" s="3"/>
      <c r="Z344" s="3"/>
      <c r="AA344" s="3"/>
      <c r="AC344" s="3"/>
      <c r="AD344" s="3"/>
      <c r="AF344" s="3"/>
      <c r="AG344" s="3" t="s">
        <v>194</v>
      </c>
      <c r="AI344" s="3"/>
      <c r="AJ344" s="1">
        <v>46092</v>
      </c>
      <c r="AL344" s="3"/>
      <c r="AM344" s="1">
        <v>4</v>
      </c>
      <c r="AO344" s="3"/>
      <c r="AP344" s="3" t="s">
        <v>1177</v>
      </c>
      <c r="AR344" s="3"/>
      <c r="AS344" s="3" t="s">
        <v>1178</v>
      </c>
      <c r="AU344" s="3"/>
      <c r="AV344" s="3"/>
      <c r="AX344" s="3"/>
      <c r="AY344" s="5"/>
      <c r="BA344" s="3"/>
      <c r="BD344" s="3"/>
      <c r="BE344" s="3"/>
      <c r="BG344" s="3"/>
      <c r="BH344" s="3"/>
      <c r="BJ344" s="3"/>
      <c r="BK344" s="3"/>
      <c r="BM344" s="3"/>
      <c r="BN344" s="5"/>
      <c r="BP344" s="3"/>
      <c r="BS344" s="3"/>
      <c r="BT344" s="3"/>
      <c r="BV344" s="3"/>
      <c r="BW344" s="3"/>
      <c r="BY344" s="3"/>
      <c r="BZ344" s="3"/>
      <c r="CB344" s="3"/>
      <c r="CC344" s="5"/>
      <c r="CE344" s="3"/>
      <c r="CH344" s="3"/>
      <c r="CI344" s="3"/>
      <c r="CK344" s="3"/>
      <c r="CL344" s="3"/>
      <c r="CN344" s="3"/>
      <c r="CO344" s="3"/>
      <c r="CQ344" s="3"/>
      <c r="CR344" s="5"/>
      <c r="CT344" s="3"/>
      <c r="CW344" s="3"/>
      <c r="CX344" s="3"/>
      <c r="CZ344" s="3"/>
      <c r="DA344" s="3"/>
      <c r="DC344" s="3"/>
      <c r="DD344" s="3"/>
      <c r="DF344" s="3"/>
      <c r="DG344" s="5"/>
      <c r="DI344" s="3"/>
      <c r="DL344" s="3"/>
      <c r="DM344" s="3"/>
      <c r="DO344" s="3"/>
      <c r="DP344" s="3"/>
      <c r="DR344" s="3"/>
      <c r="DS344" s="1" t="str">
        <f>_xlfn.XLOOKUP(OfficeForms.Table[[#This Row],[Selecione a Categoria do Laboratório desta atividade prática:]],Planilha1!A:A,Planilha1!B:B)</f>
        <v>EMF-ISN</v>
      </c>
      <c r="DT344" s="1" t="str">
        <f>CONCATENATE(OfficeForms.Table[[#This Row],[Selecione seu Polo Laboratório de Atividades Presenciais:]],OfficeForms.Table[[#This Row],[CHAVE CONVERSÃO]])</f>
        <v>Feira De Santana/BA - CentroEMF-ISN</v>
      </c>
      <c r="DU34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34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34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344" s="1" t="str">
        <f>_xlfn.XLOOKUP(OfficeForms.Table[[#This Row],[CHAVE LINK POLO]],'[1]Quadro Geral de Lotação'!$B:$B,'[1]Quadro Geral de Lotação'!$I:$I)</f>
        <v>Karine Tosta Souza Borges</v>
      </c>
      <c r="DY344" s="1" t="str">
        <f>OfficeForms.Table[[#This Row],[Selecione a Ordem de Disciplina]]</f>
        <v>Ordem 1</v>
      </c>
    </row>
    <row r="345" spans="1:129" ht="34.15" customHeight="1">
      <c r="A345" s="1">
        <v>345</v>
      </c>
      <c r="B345" s="2">
        <v>46100.690613425897</v>
      </c>
      <c r="C345" s="2">
        <v>46100.697465277801</v>
      </c>
      <c r="D345" s="3" t="s">
        <v>1167</v>
      </c>
      <c r="E345" s="3" t="s">
        <v>1168</v>
      </c>
      <c r="G345" s="3"/>
      <c r="I345" s="3" t="s">
        <v>216</v>
      </c>
      <c r="K345" s="3"/>
      <c r="L345" s="1" t="s">
        <v>132</v>
      </c>
      <c r="O345" s="3" t="s">
        <v>184</v>
      </c>
      <c r="Q345" s="3"/>
      <c r="R345" s="3"/>
      <c r="T345" s="3"/>
      <c r="U345" s="5"/>
      <c r="W345" s="3"/>
      <c r="Z345" s="3"/>
      <c r="AA345" s="3"/>
      <c r="AC345" s="3"/>
      <c r="AD345" s="3"/>
      <c r="AF345" s="3"/>
      <c r="AG345" s="3" t="s">
        <v>194</v>
      </c>
      <c r="AI345" s="3"/>
      <c r="AJ345" s="1">
        <v>46095</v>
      </c>
      <c r="AL345" s="3"/>
      <c r="AM345" s="1">
        <v>2</v>
      </c>
      <c r="AO345" s="3"/>
      <c r="AP345" s="3" t="s">
        <v>1179</v>
      </c>
      <c r="AR345" s="3"/>
      <c r="AS345" s="3" t="s">
        <v>1180</v>
      </c>
      <c r="AU345" s="3"/>
      <c r="AV345" s="3"/>
      <c r="AX345" s="3"/>
      <c r="AY345" s="5"/>
      <c r="BA345" s="3"/>
      <c r="BD345" s="3"/>
      <c r="BE345" s="3"/>
      <c r="BG345" s="3"/>
      <c r="BH345" s="3"/>
      <c r="BJ345" s="3"/>
      <c r="BK345" s="3"/>
      <c r="BM345" s="3"/>
      <c r="BN345" s="5"/>
      <c r="BP345" s="3"/>
      <c r="BS345" s="3"/>
      <c r="BT345" s="3"/>
      <c r="BV345" s="3"/>
      <c r="BW345" s="3"/>
      <c r="BY345" s="3"/>
      <c r="BZ345" s="3"/>
      <c r="CB345" s="3"/>
      <c r="CC345" s="5"/>
      <c r="CE345" s="3"/>
      <c r="CH345" s="3"/>
      <c r="CI345" s="3"/>
      <c r="CK345" s="3"/>
      <c r="CL345" s="3"/>
      <c r="CN345" s="3"/>
      <c r="CO345" s="3"/>
      <c r="CQ345" s="3"/>
      <c r="CR345" s="5"/>
      <c r="CT345" s="3"/>
      <c r="CW345" s="3"/>
      <c r="CX345" s="3"/>
      <c r="CZ345" s="3"/>
      <c r="DA345" s="3"/>
      <c r="DC345" s="3"/>
      <c r="DD345" s="3"/>
      <c r="DF345" s="3"/>
      <c r="DG345" s="5"/>
      <c r="DI345" s="3"/>
      <c r="DL345" s="3"/>
      <c r="DM345" s="3"/>
      <c r="DO345" s="3"/>
      <c r="DP345" s="3"/>
      <c r="DR345" s="3"/>
      <c r="DS345" s="1" t="str">
        <f>_xlfn.XLOOKUP(OfficeForms.Table[[#This Row],[Selecione a Categoria do Laboratório desta atividade prática:]],Planilha1!A:A,Planilha1!B:B)</f>
        <v>EMF-ISN</v>
      </c>
      <c r="DT345" s="1" t="str">
        <f>CONCATENATE(OfficeForms.Table[[#This Row],[Selecione seu Polo Laboratório de Atividades Presenciais:]],OfficeForms.Table[[#This Row],[CHAVE CONVERSÃO]])</f>
        <v>Feira De Santana/BA - CentroEMF-ISN</v>
      </c>
      <c r="DU34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34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34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345" s="1" t="str">
        <f>_xlfn.XLOOKUP(OfficeForms.Table[[#This Row],[CHAVE LINK POLO]],'[1]Quadro Geral de Lotação'!$B:$B,'[1]Quadro Geral de Lotação'!$I:$I)</f>
        <v>Karine Tosta Souza Borges</v>
      </c>
      <c r="DY345" s="1" t="str">
        <f>OfficeForms.Table[[#This Row],[Selecione a Ordem de Disciplina]]</f>
        <v>Ordem 1</v>
      </c>
    </row>
    <row r="346" spans="1:129" ht="34.15" customHeight="1">
      <c r="A346" s="1">
        <v>346</v>
      </c>
      <c r="B346" s="2">
        <v>46100.691053240698</v>
      </c>
      <c r="C346" s="2">
        <v>46100.704583333303</v>
      </c>
      <c r="D346" s="3" t="s">
        <v>683</v>
      </c>
      <c r="E346" s="3" t="s">
        <v>684</v>
      </c>
      <c r="G346" s="3"/>
      <c r="I346" s="3" t="s">
        <v>508</v>
      </c>
      <c r="K346" s="3"/>
      <c r="L346" s="1" t="s">
        <v>132</v>
      </c>
      <c r="O346" s="3" t="s">
        <v>497</v>
      </c>
      <c r="Q346" s="3"/>
      <c r="R346" s="3" t="s">
        <v>1181</v>
      </c>
      <c r="T346" s="3"/>
      <c r="U346" s="5">
        <v>46091</v>
      </c>
      <c r="W346" s="3"/>
      <c r="X346" s="1">
        <v>21</v>
      </c>
      <c r="Z346" s="3"/>
      <c r="AA346" s="3" t="s">
        <v>1182</v>
      </c>
      <c r="AC346" s="3"/>
      <c r="AD346" s="3" t="s">
        <v>1183</v>
      </c>
      <c r="AF346" s="3"/>
      <c r="AG346" s="3"/>
      <c r="AI346" s="3"/>
      <c r="AJ346" s="1"/>
      <c r="AL346" s="3"/>
      <c r="AO346" s="3"/>
      <c r="AP346" s="3"/>
      <c r="AR346" s="3"/>
      <c r="AS346" s="3"/>
      <c r="AU346" s="3"/>
      <c r="AV346" s="3"/>
      <c r="AX346" s="3"/>
      <c r="AY346" s="5"/>
      <c r="BA346" s="3"/>
      <c r="BD346" s="3"/>
      <c r="BE346" s="3"/>
      <c r="BG346" s="3"/>
      <c r="BH346" s="3"/>
      <c r="BJ346" s="3"/>
      <c r="BK346" s="3"/>
      <c r="BM346" s="3"/>
      <c r="BN346" s="5"/>
      <c r="BP346" s="3"/>
      <c r="BS346" s="3"/>
      <c r="BT346" s="3"/>
      <c r="BV346" s="3"/>
      <c r="BW346" s="3"/>
      <c r="BY346" s="3"/>
      <c r="BZ346" s="3"/>
      <c r="CB346" s="3"/>
      <c r="CC346" s="5"/>
      <c r="CE346" s="3"/>
      <c r="CH346" s="3"/>
      <c r="CI346" s="3"/>
      <c r="CK346" s="3"/>
      <c r="CL346" s="3"/>
      <c r="CN346" s="3"/>
      <c r="CO346" s="3"/>
      <c r="CQ346" s="3"/>
      <c r="CR346" s="5"/>
      <c r="CT346" s="3"/>
      <c r="CW346" s="3"/>
      <c r="CX346" s="3"/>
      <c r="CZ346" s="3"/>
      <c r="DA346" s="3"/>
      <c r="DC346" s="3"/>
      <c r="DD346" s="3"/>
      <c r="DF346" s="3"/>
      <c r="DG346" s="5"/>
      <c r="DI346" s="3"/>
      <c r="DL346" s="3"/>
      <c r="DM346" s="3"/>
      <c r="DO346" s="3"/>
      <c r="DP346" s="3"/>
      <c r="DR346" s="3"/>
      <c r="DS346" s="1" t="str">
        <f>_xlfn.XLOOKUP(OfficeForms.Table[[#This Row],[Selecione a Categoria do Laboratório desta atividade prática:]],Planilha1!A:A,Planilha1!B:B)</f>
        <v>BFR-BBI</v>
      </c>
      <c r="DT346" s="1" t="str">
        <f>CONCATENATE(OfficeForms.Table[[#This Row],[Selecione seu Polo Laboratório de Atividades Presenciais:]],OfficeForms.Table[[#This Row],[CHAVE CONVERSÃO]])</f>
        <v>Rondonópolis/MTBFR-BBI</v>
      </c>
      <c r="DU34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Tipagem sanguínea em lâminas</v>
      </c>
      <c r="DV34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34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21</v>
      </c>
      <c r="DX346" s="1" t="e">
        <f>_xlfn.XLOOKUP(OfficeForms.Table[[#This Row],[CHAVE LINK POLO]],'[1]Quadro Geral de Lotação'!$B:$B,'[1]Quadro Geral de Lotação'!$I:$I)</f>
        <v>#N/A</v>
      </c>
      <c r="DY346" s="1" t="str">
        <f>OfficeForms.Table[[#This Row],[Selecione a Ordem de Disciplina]]</f>
        <v>Ordem 1</v>
      </c>
    </row>
    <row r="347" spans="1:129" ht="34.15" customHeight="1">
      <c r="A347" s="1">
        <v>347</v>
      </c>
      <c r="B347" s="2">
        <v>46100.707430555602</v>
      </c>
      <c r="C347" s="2">
        <v>46100.710347222201</v>
      </c>
      <c r="D347" s="3" t="s">
        <v>1167</v>
      </c>
      <c r="E347" s="3" t="s">
        <v>1168</v>
      </c>
      <c r="G347" s="3"/>
      <c r="I347" s="3" t="s">
        <v>216</v>
      </c>
      <c r="K347" s="3"/>
      <c r="L347" s="1" t="s">
        <v>132</v>
      </c>
      <c r="O347" s="3" t="s">
        <v>184</v>
      </c>
      <c r="Q347" s="3"/>
      <c r="R347" s="3"/>
      <c r="T347" s="3"/>
      <c r="U347" s="5"/>
      <c r="W347" s="3"/>
      <c r="Z347" s="3"/>
      <c r="AA347" s="3"/>
      <c r="AC347" s="3"/>
      <c r="AD347" s="3"/>
      <c r="AF347" s="3"/>
      <c r="AG347" s="3" t="s">
        <v>1013</v>
      </c>
      <c r="AI347" s="3"/>
      <c r="AJ347" s="1">
        <v>46095</v>
      </c>
      <c r="AL347" s="3"/>
      <c r="AM347" s="1">
        <v>5</v>
      </c>
      <c r="AO347" s="3"/>
      <c r="AP347" s="3" t="s">
        <v>1184</v>
      </c>
      <c r="AR347" s="3"/>
      <c r="AS347" s="3" t="s">
        <v>1185</v>
      </c>
      <c r="AU347" s="3"/>
      <c r="AV347" s="3"/>
      <c r="AX347" s="3"/>
      <c r="AY347" s="5"/>
      <c r="BA347" s="3"/>
      <c r="BD347" s="3"/>
      <c r="BE347" s="3"/>
      <c r="BG347" s="3"/>
      <c r="BH347" s="3"/>
      <c r="BJ347" s="3"/>
      <c r="BK347" s="3"/>
      <c r="BM347" s="3"/>
      <c r="BN347" s="5"/>
      <c r="BP347" s="3"/>
      <c r="BS347" s="3"/>
      <c r="BT347" s="3"/>
      <c r="BV347" s="3"/>
      <c r="BW347" s="3"/>
      <c r="BY347" s="3"/>
      <c r="BZ347" s="3"/>
      <c r="CB347" s="3"/>
      <c r="CC347" s="5"/>
      <c r="CE347" s="3"/>
      <c r="CH347" s="3"/>
      <c r="CI347" s="3"/>
      <c r="CK347" s="3"/>
      <c r="CL347" s="3"/>
      <c r="CN347" s="3"/>
      <c r="CO347" s="3"/>
      <c r="CQ347" s="3"/>
      <c r="CR347" s="5"/>
      <c r="CT347" s="3"/>
      <c r="CW347" s="3"/>
      <c r="CX347" s="3"/>
      <c r="CZ347" s="3"/>
      <c r="DA347" s="3"/>
      <c r="DC347" s="3"/>
      <c r="DD347" s="3"/>
      <c r="DF347" s="3"/>
      <c r="DG347" s="5"/>
      <c r="DI347" s="3"/>
      <c r="DL347" s="3"/>
      <c r="DM347" s="3"/>
      <c r="DO347" s="3"/>
      <c r="DP347" s="3"/>
      <c r="DR347" s="3"/>
      <c r="DS347" s="1" t="str">
        <f>_xlfn.XLOOKUP(OfficeForms.Table[[#This Row],[Selecione a Categoria do Laboratório desta atividade prática:]],Planilha1!A:A,Planilha1!B:B)</f>
        <v>EMF-ISN</v>
      </c>
      <c r="DT347" s="1" t="str">
        <f>CONCATENATE(OfficeForms.Table[[#This Row],[Selecione seu Polo Laboratório de Atividades Presenciais:]],OfficeForms.Table[[#This Row],[CHAVE CONVERSÃO]])</f>
        <v>Feira De Santana/BA - CentroEMF-ISN</v>
      </c>
      <c r="DU34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34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34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347" s="1" t="str">
        <f>_xlfn.XLOOKUP(OfficeForms.Table[[#This Row],[CHAVE LINK POLO]],'[1]Quadro Geral de Lotação'!$B:$B,'[1]Quadro Geral de Lotação'!$I:$I)</f>
        <v>Karine Tosta Souza Borges</v>
      </c>
      <c r="DY347" s="1" t="str">
        <f>OfficeForms.Table[[#This Row],[Selecione a Ordem de Disciplina]]</f>
        <v>Ordem 1</v>
      </c>
    </row>
    <row r="348" spans="1:129" ht="34.15" customHeight="1">
      <c r="A348" s="1">
        <v>348</v>
      </c>
      <c r="B348" s="2">
        <v>46100.710405092599</v>
      </c>
      <c r="C348" s="2">
        <v>46100.721226851798</v>
      </c>
      <c r="D348" s="3" t="s">
        <v>1167</v>
      </c>
      <c r="E348" s="3" t="s">
        <v>1168</v>
      </c>
      <c r="G348" s="3"/>
      <c r="I348" s="3" t="s">
        <v>216</v>
      </c>
      <c r="K348" s="3"/>
      <c r="L348" s="1" t="s">
        <v>678</v>
      </c>
      <c r="O348" s="3" t="s">
        <v>184</v>
      </c>
      <c r="Q348" s="3"/>
      <c r="R348" s="3"/>
      <c r="T348" s="3"/>
      <c r="U348" s="5"/>
      <c r="W348" s="3"/>
      <c r="Z348" s="3"/>
      <c r="AA348" s="3"/>
      <c r="AC348" s="3"/>
      <c r="AD348" s="3"/>
      <c r="AF348" s="3"/>
      <c r="AG348" s="3" t="s">
        <v>1013</v>
      </c>
      <c r="AI348" s="3"/>
      <c r="AJ348" s="1">
        <v>46099</v>
      </c>
      <c r="AL348" s="3"/>
      <c r="AM348" s="1">
        <v>4</v>
      </c>
      <c r="AO348" s="3"/>
      <c r="AP348" s="3" t="s">
        <v>1186</v>
      </c>
      <c r="AR348" s="3"/>
      <c r="AS348" s="3" t="s">
        <v>1187</v>
      </c>
      <c r="AU348" s="3"/>
      <c r="AV348" s="3"/>
      <c r="AX348" s="3"/>
      <c r="AY348" s="5"/>
      <c r="BA348" s="3"/>
      <c r="BD348" s="3"/>
      <c r="BE348" s="3"/>
      <c r="BG348" s="3"/>
      <c r="BH348" s="3"/>
      <c r="BJ348" s="3"/>
      <c r="BK348" s="3"/>
      <c r="BM348" s="3"/>
      <c r="BN348" s="5"/>
      <c r="BP348" s="3"/>
      <c r="BS348" s="3"/>
      <c r="BT348" s="3"/>
      <c r="BV348" s="3"/>
      <c r="BW348" s="3"/>
      <c r="BY348" s="3"/>
      <c r="BZ348" s="3"/>
      <c r="CB348" s="3"/>
      <c r="CC348" s="5"/>
      <c r="CE348" s="3"/>
      <c r="CH348" s="3"/>
      <c r="CI348" s="3"/>
      <c r="CK348" s="3"/>
      <c r="CL348" s="3"/>
      <c r="CN348" s="3"/>
      <c r="CO348" s="3"/>
      <c r="CQ348" s="3"/>
      <c r="CR348" s="5"/>
      <c r="CT348" s="3"/>
      <c r="CW348" s="3"/>
      <c r="CX348" s="3"/>
      <c r="CZ348" s="3"/>
      <c r="DA348" s="3"/>
      <c r="DC348" s="3"/>
      <c r="DD348" s="3"/>
      <c r="DF348" s="3"/>
      <c r="DG348" s="5"/>
      <c r="DI348" s="3"/>
      <c r="DL348" s="3"/>
      <c r="DM348" s="3"/>
      <c r="DO348" s="3"/>
      <c r="DP348" s="3"/>
      <c r="DR348" s="3"/>
      <c r="DS348" s="1" t="str">
        <f>_xlfn.XLOOKUP(OfficeForms.Table[[#This Row],[Selecione a Categoria do Laboratório desta atividade prática:]],Planilha1!A:A,Planilha1!B:B)</f>
        <v>EMF-ISN</v>
      </c>
      <c r="DT348" s="1" t="str">
        <f>CONCATENATE(OfficeForms.Table[[#This Row],[Selecione seu Polo Laboratório de Atividades Presenciais:]],OfficeForms.Table[[#This Row],[CHAVE CONVERSÃO]])</f>
        <v>Feira De Santana/BA - CentroEMF-ISN</v>
      </c>
      <c r="DU34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34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4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348" s="1" t="str">
        <f>_xlfn.XLOOKUP(OfficeForms.Table[[#This Row],[CHAVE LINK POLO]],'[1]Quadro Geral de Lotação'!$B:$B,'[1]Quadro Geral de Lotação'!$I:$I)</f>
        <v>Karine Tosta Souza Borges</v>
      </c>
      <c r="DY348" s="1" t="str">
        <f>OfficeForms.Table[[#This Row],[Selecione a Ordem de Disciplina]]</f>
        <v>Ordem 2</v>
      </c>
    </row>
    <row r="349" spans="1:129" ht="34.15" customHeight="1">
      <c r="A349" s="1">
        <v>349</v>
      </c>
      <c r="B349" s="2">
        <v>46100.721273148098</v>
      </c>
      <c r="C349" s="2">
        <v>46100.727083333302</v>
      </c>
      <c r="D349" s="3" t="s">
        <v>1167</v>
      </c>
      <c r="E349" s="3" t="s">
        <v>1168</v>
      </c>
      <c r="G349" s="3"/>
      <c r="I349" s="3" t="s">
        <v>216</v>
      </c>
      <c r="K349" s="3"/>
      <c r="L349" s="1" t="s">
        <v>132</v>
      </c>
      <c r="O349" s="3" t="s">
        <v>184</v>
      </c>
      <c r="Q349" s="3"/>
      <c r="R349" s="3"/>
      <c r="T349" s="3"/>
      <c r="U349" s="5"/>
      <c r="W349" s="3"/>
      <c r="Z349" s="3"/>
      <c r="AA349" s="3"/>
      <c r="AC349" s="3"/>
      <c r="AD349" s="3"/>
      <c r="AF349" s="3"/>
      <c r="AG349" s="3" t="s">
        <v>322</v>
      </c>
      <c r="AI349" s="3"/>
      <c r="AJ349" s="1">
        <v>46074</v>
      </c>
      <c r="AL349" s="3"/>
      <c r="AM349" s="1">
        <v>0</v>
      </c>
      <c r="AO349" s="3"/>
      <c r="AP349" s="3" t="s">
        <v>1188</v>
      </c>
      <c r="AR349" s="3"/>
      <c r="AS349" s="3" t="s">
        <v>1189</v>
      </c>
      <c r="AU349" s="3"/>
      <c r="AV349" s="3"/>
      <c r="AX349" s="3"/>
      <c r="AY349" s="5"/>
      <c r="BA349" s="3"/>
      <c r="BD349" s="3"/>
      <c r="BE349" s="3"/>
      <c r="BG349" s="3"/>
      <c r="BH349" s="3"/>
      <c r="BJ349" s="3"/>
      <c r="BK349" s="3"/>
      <c r="BM349" s="3"/>
      <c r="BN349" s="5"/>
      <c r="BP349" s="3"/>
      <c r="BS349" s="3"/>
      <c r="BT349" s="3"/>
      <c r="BV349" s="3"/>
      <c r="BW349" s="3"/>
      <c r="BY349" s="3"/>
      <c r="BZ349" s="3"/>
      <c r="CB349" s="3"/>
      <c r="CC349" s="5"/>
      <c r="CE349" s="3"/>
      <c r="CH349" s="3"/>
      <c r="CI349" s="3"/>
      <c r="CK349" s="3"/>
      <c r="CL349" s="3"/>
      <c r="CN349" s="3"/>
      <c r="CO349" s="3"/>
      <c r="CQ349" s="3"/>
      <c r="CR349" s="5"/>
      <c r="CT349" s="3"/>
      <c r="CW349" s="3"/>
      <c r="CX349" s="3"/>
      <c r="CZ349" s="3"/>
      <c r="DA349" s="3"/>
      <c r="DC349" s="3"/>
      <c r="DD349" s="3"/>
      <c r="DF349" s="3"/>
      <c r="DG349" s="5"/>
      <c r="DI349" s="3"/>
      <c r="DL349" s="3"/>
      <c r="DM349" s="3"/>
      <c r="DO349" s="3"/>
      <c r="DP349" s="3"/>
      <c r="DR349" s="3"/>
      <c r="DS349" s="1" t="str">
        <f>_xlfn.XLOOKUP(OfficeForms.Table[[#This Row],[Selecione a Categoria do Laboratório desta atividade prática:]],Planilha1!A:A,Planilha1!B:B)</f>
        <v>EMF-ISN</v>
      </c>
      <c r="DT349" s="1" t="str">
        <f>CONCATENATE(OfficeForms.Table[[#This Row],[Selecione seu Polo Laboratório de Atividades Presenciais:]],OfficeForms.Table[[#This Row],[CHAVE CONVERSÃO]])</f>
        <v>Feira De Santana/BA - CentroEMF-ISN</v>
      </c>
      <c r="DU34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34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34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49" s="1" t="str">
        <f>_xlfn.XLOOKUP(OfficeForms.Table[[#This Row],[CHAVE LINK POLO]],'[1]Quadro Geral de Lotação'!$B:$B,'[1]Quadro Geral de Lotação'!$I:$I)</f>
        <v>Karine Tosta Souza Borges</v>
      </c>
      <c r="DY349" s="1" t="str">
        <f>OfficeForms.Table[[#This Row],[Selecione a Ordem de Disciplina]]</f>
        <v>Ordem 1</v>
      </c>
    </row>
    <row r="350" spans="1:129" ht="34.15" customHeight="1">
      <c r="A350" s="1">
        <v>350</v>
      </c>
      <c r="B350" s="2">
        <v>46100.796493055597</v>
      </c>
      <c r="C350" s="2">
        <v>46100.797650462999</v>
      </c>
      <c r="D350" s="3" t="s">
        <v>1163</v>
      </c>
      <c r="E350" s="3" t="s">
        <v>1164</v>
      </c>
      <c r="G350" s="3"/>
      <c r="I350" s="3" t="s">
        <v>545</v>
      </c>
      <c r="K350" s="3"/>
      <c r="L350" s="1" t="s">
        <v>132</v>
      </c>
      <c r="O350" s="3" t="s">
        <v>184</v>
      </c>
      <c r="Q350" s="3"/>
      <c r="R350" s="3"/>
      <c r="T350" s="3"/>
      <c r="U350" s="5"/>
      <c r="W350" s="3"/>
      <c r="Z350" s="3"/>
      <c r="AA350" s="3"/>
      <c r="AC350" s="3"/>
      <c r="AD350" s="3"/>
      <c r="AF350" s="3"/>
      <c r="AG350" s="3" t="s">
        <v>194</v>
      </c>
      <c r="AI350" s="3"/>
      <c r="AJ350" s="1">
        <v>46073</v>
      </c>
      <c r="AL350" s="3"/>
      <c r="AM350" s="1">
        <v>8</v>
      </c>
      <c r="AO350" s="3"/>
      <c r="AP350" s="3" t="s">
        <v>1190</v>
      </c>
      <c r="AR350" s="3"/>
      <c r="AS350" s="3" t="s">
        <v>1191</v>
      </c>
      <c r="AU350" s="3"/>
      <c r="AV350" s="3"/>
      <c r="AX350" s="3"/>
      <c r="AY350" s="5"/>
      <c r="BA350" s="3"/>
      <c r="BD350" s="3"/>
      <c r="BE350" s="3"/>
      <c r="BG350" s="3"/>
      <c r="BH350" s="3"/>
      <c r="BJ350" s="3"/>
      <c r="BK350" s="3"/>
      <c r="BM350" s="3"/>
      <c r="BN350" s="5"/>
      <c r="BP350" s="3"/>
      <c r="BS350" s="3"/>
      <c r="BT350" s="3"/>
      <c r="BV350" s="3"/>
      <c r="BW350" s="3"/>
      <c r="BY350" s="3"/>
      <c r="BZ350" s="3"/>
      <c r="CB350" s="3"/>
      <c r="CC350" s="5"/>
      <c r="CE350" s="3"/>
      <c r="CH350" s="3"/>
      <c r="CI350" s="3"/>
      <c r="CK350" s="3"/>
      <c r="CL350" s="3"/>
      <c r="CN350" s="3"/>
      <c r="CO350" s="3"/>
      <c r="CQ350" s="3"/>
      <c r="CR350" s="5"/>
      <c r="CT350" s="3"/>
      <c r="CW350" s="3"/>
      <c r="CX350" s="3"/>
      <c r="CZ350" s="3"/>
      <c r="DA350" s="3"/>
      <c r="DC350" s="3"/>
      <c r="DD350" s="3"/>
      <c r="DF350" s="3"/>
      <c r="DG350" s="5"/>
      <c r="DI350" s="3"/>
      <c r="DL350" s="3"/>
      <c r="DM350" s="3"/>
      <c r="DO350" s="3"/>
      <c r="DP350" s="3"/>
      <c r="DR350" s="3"/>
      <c r="DS350" s="1" t="str">
        <f>_xlfn.XLOOKUP(OfficeForms.Table[[#This Row],[Selecione a Categoria do Laboratório desta atividade prática:]],Planilha1!A:A,Planilha1!B:B)</f>
        <v>EMF-ISN</v>
      </c>
      <c r="DT350" s="1" t="str">
        <f>CONCATENATE(OfficeForms.Table[[#This Row],[Selecione seu Polo Laboratório de Atividades Presenciais:]],OfficeForms.Table[[#This Row],[CHAVE CONVERSÃO]])</f>
        <v>Porto Alegre/RS - Centro HistóricoEMF-ISN</v>
      </c>
      <c r="DU35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35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46073</v>
      </c>
      <c r="DW35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350" s="1" t="str">
        <f>_xlfn.XLOOKUP(OfficeForms.Table[[#This Row],[CHAVE LINK POLO]],'[1]Quadro Geral de Lotação'!$B:$B,'[1]Quadro Geral de Lotação'!$I:$I)</f>
        <v>Ester De Melo Borba</v>
      </c>
      <c r="DY350" s="1" t="str">
        <f>OfficeForms.Table[[#This Row],[Selecione a Ordem de Disciplina]]</f>
        <v>Ordem 1</v>
      </c>
    </row>
    <row r="351" spans="1:129" ht="34.15" customHeight="1">
      <c r="A351" s="1">
        <v>351</v>
      </c>
      <c r="B351" s="2">
        <v>46100.825868055603</v>
      </c>
      <c r="C351" s="2">
        <v>46100.830138888901</v>
      </c>
      <c r="D351" s="3" t="s">
        <v>252</v>
      </c>
      <c r="E351" s="3" t="s">
        <v>253</v>
      </c>
      <c r="G351" s="3"/>
      <c r="I351" s="3" t="s">
        <v>254</v>
      </c>
      <c r="K351" s="3"/>
      <c r="L351" s="1" t="s">
        <v>132</v>
      </c>
      <c r="O351" s="3" t="s">
        <v>184</v>
      </c>
      <c r="Q351" s="3"/>
      <c r="R351" s="3"/>
      <c r="T351" s="3"/>
      <c r="U351" s="5"/>
      <c r="W351" s="3"/>
      <c r="Z351" s="3"/>
      <c r="AA351" s="3"/>
      <c r="AC351" s="3"/>
      <c r="AD351" s="3"/>
      <c r="AF351" s="3"/>
      <c r="AG351" s="3" t="s">
        <v>185</v>
      </c>
      <c r="AI351" s="3"/>
      <c r="AJ351" s="1">
        <v>46078</v>
      </c>
      <c r="AL351" s="3"/>
      <c r="AM351" s="1">
        <v>8</v>
      </c>
      <c r="AO351" s="3"/>
      <c r="AP351" s="3" t="s">
        <v>1192</v>
      </c>
      <c r="AR351" s="3"/>
      <c r="AS351" s="3" t="s">
        <v>1193</v>
      </c>
      <c r="AU351" s="3"/>
      <c r="AV351" s="3"/>
      <c r="AX351" s="3"/>
      <c r="AY351" s="5"/>
      <c r="BA351" s="3"/>
      <c r="BD351" s="3"/>
      <c r="BE351" s="3"/>
      <c r="BG351" s="3"/>
      <c r="BH351" s="3"/>
      <c r="BJ351" s="3"/>
      <c r="BK351" s="3"/>
      <c r="BM351" s="3"/>
      <c r="BN351" s="5"/>
      <c r="BP351" s="3"/>
      <c r="BS351" s="3"/>
      <c r="BT351" s="3"/>
      <c r="BV351" s="3"/>
      <c r="BW351" s="3"/>
      <c r="BY351" s="3"/>
      <c r="BZ351" s="3"/>
      <c r="CB351" s="3"/>
      <c r="CC351" s="5"/>
      <c r="CE351" s="3"/>
      <c r="CH351" s="3"/>
      <c r="CI351" s="3"/>
      <c r="CK351" s="3"/>
      <c r="CL351" s="3"/>
      <c r="CN351" s="3"/>
      <c r="CO351" s="3"/>
      <c r="CQ351" s="3"/>
      <c r="CR351" s="5"/>
      <c r="CT351" s="3"/>
      <c r="CW351" s="3"/>
      <c r="CX351" s="3"/>
      <c r="CZ351" s="3"/>
      <c r="DA351" s="3"/>
      <c r="DC351" s="3"/>
      <c r="DD351" s="3"/>
      <c r="DF351" s="3"/>
      <c r="DG351" s="5"/>
      <c r="DI351" s="3"/>
      <c r="DL351" s="3"/>
      <c r="DM351" s="3"/>
      <c r="DO351" s="3"/>
      <c r="DP351" s="3"/>
      <c r="DR351" s="3"/>
      <c r="DS351" s="1" t="str">
        <f>_xlfn.XLOOKUP(OfficeForms.Table[[#This Row],[Selecione a Categoria do Laboratório desta atividade prática:]],Planilha1!A:A,Planilha1!B:B)</f>
        <v>EMF-ISN</v>
      </c>
      <c r="DT351" s="1" t="str">
        <f>CONCATENATE(OfficeForms.Table[[#This Row],[Selecione seu Polo Laboratório de Atividades Presenciais:]],OfficeForms.Table[[#This Row],[CHAVE CONVERSÃO]])</f>
        <v>Curitibanos/SCEMF-ISN</v>
      </c>
      <c r="DU35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35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35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351" s="1" t="str">
        <f>_xlfn.XLOOKUP(OfficeForms.Table[[#This Row],[CHAVE LINK POLO]],'[1]Quadro Geral de Lotação'!$B:$B,'[1]Quadro Geral de Lotação'!$I:$I)</f>
        <v>Clademir Jose Fernandes Da Silva</v>
      </c>
      <c r="DY351" s="1" t="str">
        <f>OfficeForms.Table[[#This Row],[Selecione a Ordem de Disciplina]]</f>
        <v>Ordem 1</v>
      </c>
    </row>
    <row r="352" spans="1:129" ht="34.15" customHeight="1">
      <c r="A352" s="1">
        <v>352</v>
      </c>
      <c r="B352" s="2">
        <v>46100.852199074099</v>
      </c>
      <c r="C352" s="2">
        <v>46100.852766203701</v>
      </c>
      <c r="D352" s="3" t="s">
        <v>252</v>
      </c>
      <c r="E352" s="3" t="s">
        <v>253</v>
      </c>
      <c r="G352" s="3"/>
      <c r="I352" s="3" t="s">
        <v>254</v>
      </c>
      <c r="K352" s="3"/>
      <c r="L352" s="1" t="s">
        <v>132</v>
      </c>
      <c r="O352" s="3" t="s">
        <v>184</v>
      </c>
      <c r="Q352" s="3"/>
      <c r="R352" s="3"/>
      <c r="T352" s="3"/>
      <c r="U352" s="5"/>
      <c r="W352" s="3"/>
      <c r="Z352" s="3"/>
      <c r="AA352" s="3"/>
      <c r="AC352" s="3"/>
      <c r="AD352" s="3"/>
      <c r="AF352" s="3"/>
      <c r="AG352" s="3" t="s">
        <v>185</v>
      </c>
      <c r="AI352" s="3"/>
      <c r="AJ352" s="1">
        <v>46078</v>
      </c>
      <c r="AL352" s="3"/>
      <c r="AM352" s="1">
        <v>8</v>
      </c>
      <c r="AO352" s="3"/>
      <c r="AP352" s="3" t="s">
        <v>1194</v>
      </c>
      <c r="AR352" s="3"/>
      <c r="AS352" s="3" t="s">
        <v>1195</v>
      </c>
      <c r="AU352" s="3"/>
      <c r="AV352" s="3"/>
      <c r="AX352" s="3"/>
      <c r="AY352" s="5"/>
      <c r="BA352" s="3"/>
      <c r="BD352" s="3"/>
      <c r="BE352" s="3"/>
      <c r="BG352" s="3"/>
      <c r="BH352" s="3"/>
      <c r="BJ352" s="3"/>
      <c r="BK352" s="3"/>
      <c r="BM352" s="3"/>
      <c r="BN352" s="5"/>
      <c r="BP352" s="3"/>
      <c r="BS352" s="3"/>
      <c r="BT352" s="3"/>
      <c r="BV352" s="3"/>
      <c r="BW352" s="3"/>
      <c r="BY352" s="3"/>
      <c r="BZ352" s="3"/>
      <c r="CB352" s="3"/>
      <c r="CC352" s="5"/>
      <c r="CE352" s="3"/>
      <c r="CH352" s="3"/>
      <c r="CI352" s="3"/>
      <c r="CK352" s="3"/>
      <c r="CL352" s="3"/>
      <c r="CN352" s="3"/>
      <c r="CO352" s="3"/>
      <c r="CQ352" s="3"/>
      <c r="CR352" s="5"/>
      <c r="CT352" s="3"/>
      <c r="CW352" s="3"/>
      <c r="CX352" s="3"/>
      <c r="CZ352" s="3"/>
      <c r="DA352" s="3"/>
      <c r="DC352" s="3"/>
      <c r="DD352" s="3"/>
      <c r="DF352" s="3"/>
      <c r="DG352" s="5"/>
      <c r="DI352" s="3"/>
      <c r="DL352" s="3"/>
      <c r="DM352" s="3"/>
      <c r="DO352" s="3"/>
      <c r="DP352" s="3"/>
      <c r="DR352" s="3"/>
      <c r="DS352" s="1" t="str">
        <f>_xlfn.XLOOKUP(OfficeForms.Table[[#This Row],[Selecione a Categoria do Laboratório desta atividade prática:]],Planilha1!A:A,Planilha1!B:B)</f>
        <v>EMF-ISN</v>
      </c>
      <c r="DT352" s="1" t="str">
        <f>CONCATENATE(OfficeForms.Table[[#This Row],[Selecione seu Polo Laboratório de Atividades Presenciais:]],OfficeForms.Table[[#This Row],[CHAVE CONVERSÃO]])</f>
        <v>Curitibanos/SCEMF-ISN</v>
      </c>
      <c r="DU35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35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35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352" s="1" t="str">
        <f>_xlfn.XLOOKUP(OfficeForms.Table[[#This Row],[CHAVE LINK POLO]],'[1]Quadro Geral de Lotação'!$B:$B,'[1]Quadro Geral de Lotação'!$I:$I)</f>
        <v>Clademir Jose Fernandes Da Silva</v>
      </c>
      <c r="DY352" s="1" t="str">
        <f>OfficeForms.Table[[#This Row],[Selecione a Ordem de Disciplina]]</f>
        <v>Ordem 1</v>
      </c>
    </row>
    <row r="353" spans="1:129" ht="34.15" customHeight="1">
      <c r="A353" s="1">
        <v>353</v>
      </c>
      <c r="B353" s="2">
        <v>46100.808599536998</v>
      </c>
      <c r="C353" s="2">
        <v>46100.879675925898</v>
      </c>
      <c r="D353" s="3" t="s">
        <v>319</v>
      </c>
      <c r="E353" s="3" t="s">
        <v>320</v>
      </c>
      <c r="G353" s="3"/>
      <c r="I353" s="3" t="s">
        <v>321</v>
      </c>
      <c r="K353" s="3"/>
      <c r="L353" s="1" t="s">
        <v>132</v>
      </c>
      <c r="O353" s="3" t="s">
        <v>184</v>
      </c>
      <c r="Q353" s="3"/>
      <c r="R353" s="3"/>
      <c r="T353" s="3"/>
      <c r="U353" s="5"/>
      <c r="W353" s="3"/>
      <c r="Z353" s="3"/>
      <c r="AA353" s="3"/>
      <c r="AC353" s="3"/>
      <c r="AD353" s="3"/>
      <c r="AF353" s="3"/>
      <c r="AG353" s="3" t="s">
        <v>370</v>
      </c>
      <c r="AI353" s="3"/>
      <c r="AJ353" s="1">
        <v>46085</v>
      </c>
      <c r="AL353" s="3"/>
      <c r="AM353" s="1">
        <v>3</v>
      </c>
      <c r="AO353" s="3"/>
      <c r="AP353" s="3" t="s">
        <v>1196</v>
      </c>
      <c r="AR353" s="3"/>
      <c r="AS353" s="3" t="s">
        <v>1197</v>
      </c>
      <c r="AU353" s="3"/>
      <c r="AV353" s="3"/>
      <c r="AX353" s="3"/>
      <c r="AY353" s="5"/>
      <c r="BA353" s="3"/>
      <c r="BD353" s="3"/>
      <c r="BE353" s="3"/>
      <c r="BG353" s="3"/>
      <c r="BH353" s="3"/>
      <c r="BJ353" s="3"/>
      <c r="BK353" s="3"/>
      <c r="BM353" s="3"/>
      <c r="BN353" s="5"/>
      <c r="BP353" s="3"/>
      <c r="BS353" s="3"/>
      <c r="BT353" s="3"/>
      <c r="BV353" s="3"/>
      <c r="BW353" s="3"/>
      <c r="BY353" s="3"/>
      <c r="BZ353" s="3"/>
      <c r="CB353" s="3"/>
      <c r="CC353" s="5"/>
      <c r="CE353" s="3"/>
      <c r="CH353" s="3"/>
      <c r="CI353" s="3"/>
      <c r="CK353" s="3"/>
      <c r="CL353" s="3"/>
      <c r="CN353" s="3"/>
      <c r="CO353" s="3"/>
      <c r="CQ353" s="3"/>
      <c r="CR353" s="5"/>
      <c r="CT353" s="3"/>
      <c r="CW353" s="3"/>
      <c r="CX353" s="3"/>
      <c r="CZ353" s="3"/>
      <c r="DA353" s="3"/>
      <c r="DC353" s="3"/>
      <c r="DD353" s="3"/>
      <c r="DF353" s="3"/>
      <c r="DG353" s="5"/>
      <c r="DI353" s="3"/>
      <c r="DL353" s="3"/>
      <c r="DM353" s="3"/>
      <c r="DO353" s="3"/>
      <c r="DP353" s="3"/>
      <c r="DR353" s="3"/>
      <c r="DS353" s="1" t="str">
        <f>_xlfn.XLOOKUP(OfficeForms.Table[[#This Row],[Selecione a Categoria do Laboratório desta atividade prática:]],Planilha1!A:A,Planilha1!B:B)</f>
        <v>EMF-ISN</v>
      </c>
      <c r="DT353" s="1" t="str">
        <f>CONCATENATE(OfficeForms.Table[[#This Row],[Selecione seu Polo Laboratório de Atividades Presenciais:]],OfficeForms.Table[[#This Row],[CHAVE CONVERSÃO]])</f>
        <v>Praia Grande/SPEMF-ISN</v>
      </c>
      <c r="DU35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35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35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353" s="1" t="str">
        <f>_xlfn.XLOOKUP(OfficeForms.Table[[#This Row],[CHAVE LINK POLO]],'[1]Quadro Geral de Lotação'!$B:$B,'[1]Quadro Geral de Lotação'!$I:$I)</f>
        <v>Eliana Lazari Vieira Goncalves</v>
      </c>
      <c r="DY353" s="1" t="str">
        <f>OfficeForms.Table[[#This Row],[Selecione a Ordem de Disciplina]]</f>
        <v>Ordem 1</v>
      </c>
    </row>
    <row r="354" spans="1:129" ht="34.15" customHeight="1">
      <c r="A354" s="1">
        <v>354</v>
      </c>
      <c r="B354" s="2">
        <v>46100.879745370403</v>
      </c>
      <c r="C354" s="2">
        <v>46100.881608796299</v>
      </c>
      <c r="D354" s="3" t="s">
        <v>319</v>
      </c>
      <c r="E354" s="3" t="s">
        <v>320</v>
      </c>
      <c r="G354" s="3"/>
      <c r="I354" s="3" t="s">
        <v>321</v>
      </c>
      <c r="K354" s="3"/>
      <c r="L354" s="1" t="s">
        <v>132</v>
      </c>
      <c r="O354" s="3" t="s">
        <v>184</v>
      </c>
      <c r="Q354" s="3"/>
      <c r="R354" s="3"/>
      <c r="T354" s="3"/>
      <c r="U354" s="5"/>
      <c r="W354" s="3"/>
      <c r="Z354" s="3"/>
      <c r="AA354" s="3"/>
      <c r="AC354" s="3"/>
      <c r="AD354" s="3"/>
      <c r="AF354" s="3"/>
      <c r="AG354" s="3" t="s">
        <v>194</v>
      </c>
      <c r="AI354" s="3"/>
      <c r="AJ354" s="1">
        <v>46092</v>
      </c>
      <c r="AL354" s="3"/>
      <c r="AM354" s="1">
        <v>1</v>
      </c>
      <c r="AO354" s="3"/>
      <c r="AP354" s="3" t="s">
        <v>1198</v>
      </c>
      <c r="AR354" s="3"/>
      <c r="AS354" s="3" t="s">
        <v>1199</v>
      </c>
      <c r="AU354" s="3"/>
      <c r="AV354" s="3"/>
      <c r="AX354" s="3"/>
      <c r="AY354" s="5"/>
      <c r="BA354" s="3"/>
      <c r="BD354" s="3"/>
      <c r="BE354" s="3"/>
      <c r="BG354" s="3"/>
      <c r="BH354" s="3"/>
      <c r="BJ354" s="3"/>
      <c r="BK354" s="3"/>
      <c r="BM354" s="3"/>
      <c r="BN354" s="5"/>
      <c r="BP354" s="3"/>
      <c r="BS354" s="3"/>
      <c r="BT354" s="3"/>
      <c r="BV354" s="3"/>
      <c r="BW354" s="3"/>
      <c r="BY354" s="3"/>
      <c r="BZ354" s="3"/>
      <c r="CB354" s="3"/>
      <c r="CC354" s="5"/>
      <c r="CE354" s="3"/>
      <c r="CH354" s="3"/>
      <c r="CI354" s="3"/>
      <c r="CK354" s="3"/>
      <c r="CL354" s="3"/>
      <c r="CN354" s="3"/>
      <c r="CO354" s="3"/>
      <c r="CQ354" s="3"/>
      <c r="CR354" s="5"/>
      <c r="CT354" s="3"/>
      <c r="CW354" s="3"/>
      <c r="CX354" s="3"/>
      <c r="CZ354" s="3"/>
      <c r="DA354" s="3"/>
      <c r="DC354" s="3"/>
      <c r="DD354" s="3"/>
      <c r="DF354" s="3"/>
      <c r="DG354" s="5"/>
      <c r="DI354" s="3"/>
      <c r="DL354" s="3"/>
      <c r="DM354" s="3"/>
      <c r="DO354" s="3"/>
      <c r="DP354" s="3"/>
      <c r="DR354" s="3"/>
      <c r="DS354" s="1" t="str">
        <f>_xlfn.XLOOKUP(OfficeForms.Table[[#This Row],[Selecione a Categoria do Laboratório desta atividade prática:]],Planilha1!A:A,Planilha1!B:B)</f>
        <v>EMF-ISN</v>
      </c>
      <c r="DT354" s="1" t="str">
        <f>CONCATENATE(OfficeForms.Table[[#This Row],[Selecione seu Polo Laboratório de Atividades Presenciais:]],OfficeForms.Table[[#This Row],[CHAVE CONVERSÃO]])</f>
        <v>Praia Grande/SPEMF-ISN</v>
      </c>
      <c r="DU35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35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35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54" s="1" t="str">
        <f>_xlfn.XLOOKUP(OfficeForms.Table[[#This Row],[CHAVE LINK POLO]],'[1]Quadro Geral de Lotação'!$B:$B,'[1]Quadro Geral de Lotação'!$I:$I)</f>
        <v>Eliana Lazari Vieira Goncalves</v>
      </c>
      <c r="DY354" s="1" t="str">
        <f>OfficeForms.Table[[#This Row],[Selecione a Ordem de Disciplina]]</f>
        <v>Ordem 1</v>
      </c>
    </row>
    <row r="355" spans="1:129" ht="34.15" customHeight="1">
      <c r="A355" s="1">
        <v>355</v>
      </c>
      <c r="B355" s="2">
        <v>46100.881770833301</v>
      </c>
      <c r="C355" s="2">
        <v>46100.8829513889</v>
      </c>
      <c r="D355" s="3" t="s">
        <v>319</v>
      </c>
      <c r="E355" s="3" t="s">
        <v>320</v>
      </c>
      <c r="G355" s="3"/>
      <c r="I355" s="3" t="s">
        <v>321</v>
      </c>
      <c r="K355" s="3"/>
      <c r="L355" s="1" t="s">
        <v>678</v>
      </c>
      <c r="O355" s="3" t="s">
        <v>184</v>
      </c>
      <c r="Q355" s="3"/>
      <c r="R355" s="3"/>
      <c r="T355" s="3"/>
      <c r="U355" s="5"/>
      <c r="W355" s="3"/>
      <c r="Z355" s="3"/>
      <c r="AA355" s="3"/>
      <c r="AC355" s="3"/>
      <c r="AD355" s="3"/>
      <c r="AF355" s="3"/>
      <c r="AG355" s="3" t="s">
        <v>1200</v>
      </c>
      <c r="AI355" s="3"/>
      <c r="AJ355" s="1">
        <v>46099</v>
      </c>
      <c r="AL355" s="3"/>
      <c r="AM355" s="1">
        <v>6</v>
      </c>
      <c r="AO355" s="3"/>
      <c r="AP355" s="3" t="s">
        <v>1201</v>
      </c>
      <c r="AR355" s="3"/>
      <c r="AS355" s="3" t="s">
        <v>1202</v>
      </c>
      <c r="AU355" s="3"/>
      <c r="AV355" s="3"/>
      <c r="AX355" s="3"/>
      <c r="AY355" s="5"/>
      <c r="BA355" s="3"/>
      <c r="BD355" s="3"/>
      <c r="BE355" s="3"/>
      <c r="BG355" s="3"/>
      <c r="BH355" s="3"/>
      <c r="BJ355" s="3"/>
      <c r="BK355" s="3"/>
      <c r="BM355" s="3"/>
      <c r="BN355" s="5"/>
      <c r="BP355" s="3"/>
      <c r="BS355" s="3"/>
      <c r="BT355" s="3"/>
      <c r="BV355" s="3"/>
      <c r="BW355" s="3"/>
      <c r="BY355" s="3"/>
      <c r="BZ355" s="3"/>
      <c r="CB355" s="3"/>
      <c r="CC355" s="5"/>
      <c r="CE355" s="3"/>
      <c r="CH355" s="3"/>
      <c r="CI355" s="3"/>
      <c r="CK355" s="3"/>
      <c r="CL355" s="3"/>
      <c r="CN355" s="3"/>
      <c r="CO355" s="3"/>
      <c r="CQ355" s="3"/>
      <c r="CR355" s="5"/>
      <c r="CT355" s="3"/>
      <c r="CW355" s="3"/>
      <c r="CX355" s="3"/>
      <c r="CZ355" s="3"/>
      <c r="DA355" s="3"/>
      <c r="DC355" s="3"/>
      <c r="DD355" s="3"/>
      <c r="DF355" s="3"/>
      <c r="DG355" s="5"/>
      <c r="DI355" s="3"/>
      <c r="DL355" s="3"/>
      <c r="DM355" s="3"/>
      <c r="DO355" s="3"/>
      <c r="DP355" s="3"/>
      <c r="DR355" s="3"/>
      <c r="DS355" s="1" t="str">
        <f>_xlfn.XLOOKUP(OfficeForms.Table[[#This Row],[Selecione a Categoria do Laboratório desta atividade prática:]],Planilha1!A:A,Planilha1!B:B)</f>
        <v>EMF-ISN</v>
      </c>
      <c r="DT355" s="1" t="str">
        <f>CONCATENATE(OfficeForms.Table[[#This Row],[Selecione seu Polo Laboratório de Atividades Presenciais:]],OfficeForms.Table[[#This Row],[CHAVE CONVERSÃO]])</f>
        <v>Praia Grande/SPEMF-ISN</v>
      </c>
      <c r="DU35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35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5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355" s="1" t="str">
        <f>_xlfn.XLOOKUP(OfficeForms.Table[[#This Row],[CHAVE LINK POLO]],'[1]Quadro Geral de Lotação'!$B:$B,'[1]Quadro Geral de Lotação'!$I:$I)</f>
        <v>Eliana Lazari Vieira Goncalves</v>
      </c>
      <c r="DY355" s="1" t="str">
        <f>OfficeForms.Table[[#This Row],[Selecione a Ordem de Disciplina]]</f>
        <v>Ordem 2</v>
      </c>
    </row>
    <row r="356" spans="1:129" ht="34.15" customHeight="1">
      <c r="A356" s="1">
        <v>356</v>
      </c>
      <c r="B356" s="2">
        <v>46100.870752314797</v>
      </c>
      <c r="C356" s="2">
        <v>46100.884016203701</v>
      </c>
      <c r="D356" s="3" t="s">
        <v>367</v>
      </c>
      <c r="E356" s="3" t="s">
        <v>368</v>
      </c>
      <c r="G356" s="3"/>
      <c r="I356" s="3" t="s">
        <v>369</v>
      </c>
      <c r="K356" s="3"/>
      <c r="O356" s="3" t="s">
        <v>184</v>
      </c>
      <c r="Q356" s="3"/>
      <c r="R356" s="3"/>
      <c r="T356" s="3"/>
      <c r="U356" s="5"/>
      <c r="W356" s="3"/>
      <c r="Z356" s="3"/>
      <c r="AA356" s="3"/>
      <c r="AC356" s="3"/>
      <c r="AD356" s="3"/>
      <c r="AF356" s="3"/>
      <c r="AG356" s="3" t="s">
        <v>1203</v>
      </c>
      <c r="AI356" s="3"/>
      <c r="AJ356" s="1">
        <v>46100</v>
      </c>
      <c r="AL356" s="3"/>
      <c r="AM356" s="1">
        <v>4</v>
      </c>
      <c r="AO356" s="3"/>
      <c r="AP356" s="3" t="s">
        <v>1204</v>
      </c>
      <c r="AR356" s="3"/>
      <c r="AS356" s="3" t="s">
        <v>1205</v>
      </c>
      <c r="AU356" s="3"/>
      <c r="AV356" s="3"/>
      <c r="AX356" s="3"/>
      <c r="AY356" s="5"/>
      <c r="BA356" s="3"/>
      <c r="BD356" s="3"/>
      <c r="BE356" s="3"/>
      <c r="BG356" s="3"/>
      <c r="BH356" s="3"/>
      <c r="BJ356" s="3"/>
      <c r="BK356" s="3"/>
      <c r="BM356" s="3"/>
      <c r="BN356" s="5"/>
      <c r="BP356" s="3"/>
      <c r="BS356" s="3"/>
      <c r="BT356" s="3"/>
      <c r="BV356" s="3"/>
      <c r="BW356" s="3"/>
      <c r="BY356" s="3"/>
      <c r="BZ356" s="3"/>
      <c r="CB356" s="3"/>
      <c r="CC356" s="5"/>
      <c r="CE356" s="3"/>
      <c r="CH356" s="3"/>
      <c r="CI356" s="3"/>
      <c r="CK356" s="3"/>
      <c r="CL356" s="3"/>
      <c r="CN356" s="3"/>
      <c r="CO356" s="3"/>
      <c r="CQ356" s="3"/>
      <c r="CR356" s="5"/>
      <c r="CT356" s="3"/>
      <c r="CW356" s="3"/>
      <c r="CX356" s="3"/>
      <c r="CZ356" s="3"/>
      <c r="DA356" s="3"/>
      <c r="DC356" s="3"/>
      <c r="DD356" s="3"/>
      <c r="DF356" s="3"/>
      <c r="DG356" s="5"/>
      <c r="DI356" s="3"/>
      <c r="DL356" s="3"/>
      <c r="DM356" s="3"/>
      <c r="DO356" s="3"/>
      <c r="DP356" s="3"/>
      <c r="DR356" s="3"/>
      <c r="DS356" s="1" t="str">
        <f>_xlfn.XLOOKUP(OfficeForms.Table[[#This Row],[Selecione a Categoria do Laboratório desta atividade prática:]],Planilha1!A:A,Planilha1!B:B)</f>
        <v>EMF-ISN</v>
      </c>
      <c r="DT356" s="1" t="str">
        <f>CONCATENATE(OfficeForms.Table[[#This Row],[Selecione seu Polo Laboratório de Atividades Presenciais:]],OfficeForms.Table[[#This Row],[CHAVE CONVERSÃO]])</f>
        <v>Niterói/RJ - IngáEMF-ISN</v>
      </c>
      <c r="DU35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suicídio;Punção e manutenção de cateter de longa permanência + Troca de bolsa de ostomia</v>
      </c>
      <c r="DV35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35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356" s="1" t="str">
        <f>_xlfn.XLOOKUP(OfficeForms.Table[[#This Row],[CHAVE LINK POLO]],'[1]Quadro Geral de Lotação'!$B:$B,'[1]Quadro Geral de Lotação'!$I:$I)</f>
        <v>Conceicao Ignacio da Silva Delphino</v>
      </c>
      <c r="DY356" s="1">
        <f>OfficeForms.Table[[#This Row],[Selecione a Ordem de Disciplina]]</f>
        <v>0</v>
      </c>
    </row>
    <row r="357" spans="1:129" ht="34.15" customHeight="1">
      <c r="A357" s="1">
        <v>357</v>
      </c>
      <c r="B357" s="2">
        <v>46100.881342592598</v>
      </c>
      <c r="C357" s="2">
        <v>46100.910462963002</v>
      </c>
      <c r="D357" s="3" t="s">
        <v>1206</v>
      </c>
      <c r="E357" s="3" t="s">
        <v>1207</v>
      </c>
      <c r="G357" s="3"/>
      <c r="I357" s="3" t="s">
        <v>299</v>
      </c>
      <c r="K357" s="3"/>
      <c r="L357" s="1" t="s">
        <v>132</v>
      </c>
      <c r="O357" s="3" t="s">
        <v>184</v>
      </c>
      <c r="Q357" s="3"/>
      <c r="R357" s="3"/>
      <c r="T357" s="3"/>
      <c r="U357" s="5"/>
      <c r="W357" s="3"/>
      <c r="Z357" s="3"/>
      <c r="AA357" s="3"/>
      <c r="AC357" s="3"/>
      <c r="AD357" s="3"/>
      <c r="AF357" s="3"/>
      <c r="AG357" s="3" t="s">
        <v>206</v>
      </c>
      <c r="AI357" s="3"/>
      <c r="AJ357" s="1">
        <v>46073</v>
      </c>
      <c r="AL357" s="3"/>
      <c r="AM357" s="1">
        <v>10</v>
      </c>
      <c r="AO357" s="3"/>
      <c r="AP357" s="3" t="s">
        <v>1208</v>
      </c>
      <c r="AR357" s="3"/>
      <c r="AS357" s="3" t="s">
        <v>1209</v>
      </c>
      <c r="AU357" s="3"/>
      <c r="AV357" s="3"/>
      <c r="AX357" s="3"/>
      <c r="AY357" s="5"/>
      <c r="BA357" s="3"/>
      <c r="BD357" s="3"/>
      <c r="BE357" s="3"/>
      <c r="BG357" s="3"/>
      <c r="BH357" s="3"/>
      <c r="BJ357" s="3"/>
      <c r="BK357" s="3"/>
      <c r="BM357" s="3"/>
      <c r="BN357" s="5"/>
      <c r="BP357" s="3"/>
      <c r="BS357" s="3"/>
      <c r="BT357" s="3"/>
      <c r="BV357" s="3"/>
      <c r="BW357" s="3"/>
      <c r="BY357" s="3"/>
      <c r="BZ357" s="3"/>
      <c r="CB357" s="3"/>
      <c r="CC357" s="5"/>
      <c r="CE357" s="3"/>
      <c r="CH357" s="3"/>
      <c r="CI357" s="3"/>
      <c r="CK357" s="3"/>
      <c r="CL357" s="3"/>
      <c r="CN357" s="3"/>
      <c r="CO357" s="3"/>
      <c r="CQ357" s="3"/>
      <c r="CR357" s="5"/>
      <c r="CT357" s="3"/>
      <c r="CW357" s="3"/>
      <c r="CX357" s="3"/>
      <c r="CZ357" s="3"/>
      <c r="DA357" s="3"/>
      <c r="DC357" s="3"/>
      <c r="DD357" s="3"/>
      <c r="DF357" s="3"/>
      <c r="DG357" s="5"/>
      <c r="DI357" s="3"/>
      <c r="DL357" s="3"/>
      <c r="DM357" s="3"/>
      <c r="DO357" s="3"/>
      <c r="DP357" s="3"/>
      <c r="DR357" s="3"/>
      <c r="DS357" s="1" t="str">
        <f>_xlfn.XLOOKUP(OfficeForms.Table[[#This Row],[Selecione a Categoria do Laboratório desta atividade prática:]],Planilha1!A:A,Planilha1!B:B)</f>
        <v>EMF-ISN</v>
      </c>
      <c r="DT357" s="1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35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35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46073</v>
      </c>
      <c r="DW35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357" s="1" t="str">
        <f>_xlfn.XLOOKUP(OfficeForms.Table[[#This Row],[CHAVE LINK POLO]],'[1]Quadro Geral de Lotação'!$B:$B,'[1]Quadro Geral de Lotação'!$I:$I)</f>
        <v>-</v>
      </c>
      <c r="DY357" s="1" t="str">
        <f>OfficeForms.Table[[#This Row],[Selecione a Ordem de Disciplina]]</f>
        <v>Ordem 1</v>
      </c>
    </row>
    <row r="358" spans="1:129" ht="34.15" customHeight="1">
      <c r="A358" s="1">
        <v>358</v>
      </c>
      <c r="B358" s="2">
        <v>46100.910717592596</v>
      </c>
      <c r="C358" s="2">
        <v>46100.938032407401</v>
      </c>
      <c r="D358" s="3" t="s">
        <v>1206</v>
      </c>
      <c r="E358" s="3" t="s">
        <v>1207</v>
      </c>
      <c r="G358" s="3"/>
      <c r="I358" s="3" t="s">
        <v>299</v>
      </c>
      <c r="K358" s="3"/>
      <c r="L358" s="1" t="s">
        <v>132</v>
      </c>
      <c r="O358" s="3" t="s">
        <v>184</v>
      </c>
      <c r="Q358" s="3"/>
      <c r="R358" s="3"/>
      <c r="T358" s="3"/>
      <c r="U358" s="5"/>
      <c r="W358" s="3"/>
      <c r="Z358" s="3"/>
      <c r="AA358" s="3"/>
      <c r="AC358" s="3"/>
      <c r="AD358" s="3"/>
      <c r="AF358" s="3"/>
      <c r="AG358" s="3" t="s">
        <v>185</v>
      </c>
      <c r="AI358" s="3"/>
      <c r="AJ358" s="1">
        <v>46080</v>
      </c>
      <c r="AL358" s="3"/>
      <c r="AM358" s="1">
        <v>12</v>
      </c>
      <c r="AO358" s="3"/>
      <c r="AP358" s="3" t="s">
        <v>1210</v>
      </c>
      <c r="AR358" s="3"/>
      <c r="AS358" s="3" t="s">
        <v>1211</v>
      </c>
      <c r="AU358" s="3"/>
      <c r="AV358" s="3"/>
      <c r="AX358" s="3"/>
      <c r="AY358" s="5"/>
      <c r="BA358" s="3"/>
      <c r="BD358" s="3"/>
      <c r="BE358" s="3"/>
      <c r="BG358" s="3"/>
      <c r="BH358" s="3"/>
      <c r="BJ358" s="3"/>
      <c r="BK358" s="3"/>
      <c r="BM358" s="3"/>
      <c r="BN358" s="5"/>
      <c r="BP358" s="3"/>
      <c r="BS358" s="3"/>
      <c r="BT358" s="3"/>
      <c r="BV358" s="3"/>
      <c r="BW358" s="3"/>
      <c r="BY358" s="3"/>
      <c r="BZ358" s="3"/>
      <c r="CB358" s="3"/>
      <c r="CC358" s="5"/>
      <c r="CE358" s="3"/>
      <c r="CH358" s="3"/>
      <c r="CI358" s="3"/>
      <c r="CK358" s="3"/>
      <c r="CL358" s="3"/>
      <c r="CN358" s="3"/>
      <c r="CO358" s="3"/>
      <c r="CQ358" s="3"/>
      <c r="CR358" s="5"/>
      <c r="CT358" s="3"/>
      <c r="CW358" s="3"/>
      <c r="CX358" s="3"/>
      <c r="CZ358" s="3"/>
      <c r="DA358" s="3"/>
      <c r="DC358" s="3"/>
      <c r="DD358" s="3"/>
      <c r="DF358" s="3"/>
      <c r="DG358" s="5"/>
      <c r="DI358" s="3"/>
      <c r="DL358" s="3"/>
      <c r="DM358" s="3"/>
      <c r="DO358" s="3"/>
      <c r="DP358" s="3"/>
      <c r="DR358" s="3"/>
      <c r="DS358" s="1" t="str">
        <f>_xlfn.XLOOKUP(OfficeForms.Table[[#This Row],[Selecione a Categoria do Laboratório desta atividade prática:]],Planilha1!A:A,Planilha1!B:B)</f>
        <v>EMF-ISN</v>
      </c>
      <c r="DT358" s="1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35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35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35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358" s="1" t="str">
        <f>_xlfn.XLOOKUP(OfficeForms.Table[[#This Row],[CHAVE LINK POLO]],'[1]Quadro Geral de Lotação'!$B:$B,'[1]Quadro Geral de Lotação'!$I:$I)</f>
        <v>-</v>
      </c>
      <c r="DY358" s="1" t="str">
        <f>OfficeForms.Table[[#This Row],[Selecione a Ordem de Disciplina]]</f>
        <v>Ordem 1</v>
      </c>
    </row>
    <row r="359" spans="1:129" ht="34.15" customHeight="1">
      <c r="A359" s="1">
        <v>359</v>
      </c>
      <c r="B359" s="2">
        <v>46100.939918981501</v>
      </c>
      <c r="C359" s="2">
        <v>46100.9452662037</v>
      </c>
      <c r="D359" s="3" t="s">
        <v>1206</v>
      </c>
      <c r="E359" s="3" t="s">
        <v>1207</v>
      </c>
      <c r="G359" s="3"/>
      <c r="I359" s="3" t="s">
        <v>299</v>
      </c>
      <c r="K359" s="3"/>
      <c r="L359" s="1" t="s">
        <v>132</v>
      </c>
      <c r="O359" s="3" t="s">
        <v>184</v>
      </c>
      <c r="Q359" s="3"/>
      <c r="R359" s="3"/>
      <c r="T359" s="3"/>
      <c r="U359" s="5"/>
      <c r="W359" s="3"/>
      <c r="Z359" s="3"/>
      <c r="AA359" s="3"/>
      <c r="AC359" s="3"/>
      <c r="AD359" s="3"/>
      <c r="AF359" s="3"/>
      <c r="AG359" s="3" t="s">
        <v>194</v>
      </c>
      <c r="AI359" s="3"/>
      <c r="AJ359" s="1">
        <v>46079</v>
      </c>
      <c r="AL359" s="3"/>
      <c r="AM359" s="1">
        <v>3</v>
      </c>
      <c r="AO359" s="3"/>
      <c r="AP359" s="3" t="s">
        <v>1212</v>
      </c>
      <c r="AR359" s="3"/>
      <c r="AS359" s="3" t="s">
        <v>1213</v>
      </c>
      <c r="AU359" s="3"/>
      <c r="AV359" s="3"/>
      <c r="AX359" s="3"/>
      <c r="AY359" s="5"/>
      <c r="BA359" s="3"/>
      <c r="BD359" s="3"/>
      <c r="BE359" s="3"/>
      <c r="BG359" s="3"/>
      <c r="BH359" s="3"/>
      <c r="BJ359" s="3"/>
      <c r="BK359" s="3"/>
      <c r="BM359" s="3"/>
      <c r="BN359" s="5"/>
      <c r="BP359" s="3"/>
      <c r="BS359" s="3"/>
      <c r="BT359" s="3"/>
      <c r="BV359" s="3"/>
      <c r="BW359" s="3"/>
      <c r="BY359" s="3"/>
      <c r="BZ359" s="3"/>
      <c r="CB359" s="3"/>
      <c r="CC359" s="5"/>
      <c r="CE359" s="3"/>
      <c r="CH359" s="3"/>
      <c r="CI359" s="3"/>
      <c r="CK359" s="3"/>
      <c r="CL359" s="3"/>
      <c r="CN359" s="3"/>
      <c r="CO359" s="3"/>
      <c r="CQ359" s="3"/>
      <c r="CR359" s="5"/>
      <c r="CT359" s="3"/>
      <c r="CW359" s="3"/>
      <c r="CX359" s="3"/>
      <c r="CZ359" s="3"/>
      <c r="DA359" s="3"/>
      <c r="DC359" s="3"/>
      <c r="DD359" s="3"/>
      <c r="DF359" s="3"/>
      <c r="DG359" s="5"/>
      <c r="DI359" s="3"/>
      <c r="DL359" s="3"/>
      <c r="DM359" s="3"/>
      <c r="DO359" s="3"/>
      <c r="DP359" s="3"/>
      <c r="DR359" s="3"/>
      <c r="DS359" s="1" t="str">
        <f>_xlfn.XLOOKUP(OfficeForms.Table[[#This Row],[Selecione a Categoria do Laboratório desta atividade prática:]],Planilha1!A:A,Planilha1!B:B)</f>
        <v>EMF-ISN</v>
      </c>
      <c r="DT359" s="1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35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35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35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359" s="1" t="str">
        <f>_xlfn.XLOOKUP(OfficeForms.Table[[#This Row],[CHAVE LINK POLO]],'[1]Quadro Geral de Lotação'!$B:$B,'[1]Quadro Geral de Lotação'!$I:$I)</f>
        <v>-</v>
      </c>
      <c r="DY359" s="1" t="str">
        <f>OfficeForms.Table[[#This Row],[Selecione a Ordem de Disciplina]]</f>
        <v>Ordem 1</v>
      </c>
    </row>
    <row r="360" spans="1:129" ht="34.15" customHeight="1">
      <c r="A360" s="1">
        <v>360</v>
      </c>
      <c r="B360" s="2">
        <v>46100.959143518499</v>
      </c>
      <c r="C360" s="2">
        <v>46100.965335648099</v>
      </c>
      <c r="D360" s="3" t="s">
        <v>1214</v>
      </c>
      <c r="E360" s="3" t="s">
        <v>1215</v>
      </c>
      <c r="G360" s="3"/>
      <c r="I360" s="3" t="s">
        <v>1216</v>
      </c>
      <c r="K360" s="3"/>
      <c r="L360" s="1" t="s">
        <v>132</v>
      </c>
      <c r="O360" s="3" t="s">
        <v>133</v>
      </c>
      <c r="Q360" s="3"/>
      <c r="R360" s="3"/>
      <c r="T360" s="3"/>
      <c r="U360" s="5"/>
      <c r="W360" s="3"/>
      <c r="Z360" s="3"/>
      <c r="AA360" s="3"/>
      <c r="AC360" s="3"/>
      <c r="AD360" s="3"/>
      <c r="AF360" s="3"/>
      <c r="AG360" s="3"/>
      <c r="AI360" s="3"/>
      <c r="AJ360" s="1"/>
      <c r="AL360" s="3"/>
      <c r="AO360" s="3"/>
      <c r="AP360" s="3"/>
      <c r="AR360" s="3"/>
      <c r="AS360" s="3"/>
      <c r="AU360" s="3"/>
      <c r="AV360" s="3" t="s">
        <v>411</v>
      </c>
      <c r="AX360" s="3"/>
      <c r="AY360" s="5">
        <v>46080</v>
      </c>
      <c r="BA360" s="3"/>
      <c r="BB360" s="1">
        <v>5</v>
      </c>
      <c r="BD360" s="3"/>
      <c r="BE360" s="3" t="s">
        <v>1217</v>
      </c>
      <c r="BG360" s="3"/>
      <c r="BH360" s="3" t="s">
        <v>1218</v>
      </c>
      <c r="BJ360" s="3"/>
      <c r="BK360" s="3"/>
      <c r="BM360" s="3"/>
      <c r="BN360" s="5"/>
      <c r="BP360" s="3"/>
      <c r="BS360" s="3"/>
      <c r="BT360" s="3"/>
      <c r="BV360" s="3"/>
      <c r="BW360" s="3"/>
      <c r="BY360" s="3"/>
      <c r="BZ360" s="3"/>
      <c r="CB360" s="3"/>
      <c r="CC360" s="5"/>
      <c r="CE360" s="3"/>
      <c r="CH360" s="3"/>
      <c r="CI360" s="3"/>
      <c r="CK360" s="3"/>
      <c r="CL360" s="3"/>
      <c r="CN360" s="3"/>
      <c r="CO360" s="3"/>
      <c r="CQ360" s="3"/>
      <c r="CR360" s="5"/>
      <c r="CT360" s="3"/>
      <c r="CW360" s="3"/>
      <c r="CX360" s="3"/>
      <c r="CZ360" s="3"/>
      <c r="DA360" s="3"/>
      <c r="DC360" s="3"/>
      <c r="DD360" s="3"/>
      <c r="DF360" s="3"/>
      <c r="DG360" s="5"/>
      <c r="DI360" s="3"/>
      <c r="DL360" s="3"/>
      <c r="DM360" s="3"/>
      <c r="DO360" s="3"/>
      <c r="DP360" s="3"/>
      <c r="DR360" s="3"/>
      <c r="DS360" s="1" t="str">
        <f>_xlfn.XLOOKUP(OfficeForms.Table[[#This Row],[Selecione a Categoria do Laboratório desta atividade prática:]],Planilha1!A:A,Planilha1!B:B)</f>
        <v>BFI</v>
      </c>
      <c r="DT360" s="1" t="str">
        <f>CONCATENATE(OfficeForms.Table[[#This Row],[Selecione seu Polo Laboratório de Atividades Presenciais:]],OfficeForms.Table[[#This Row],[CHAVE CONVERSÃO]])</f>
        <v>Canindé/CEBFI</v>
      </c>
      <c r="DU36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Drenagem Linfática Manual: Estímulo à Circulação Linfática e Redução de Edema</v>
      </c>
      <c r="DV36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36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360" s="1" t="str">
        <f>_xlfn.XLOOKUP(OfficeForms.Table[[#This Row],[CHAVE LINK POLO]],'[1]Quadro Geral de Lotação'!$B:$B,'[1]Quadro Geral de Lotação'!$I:$I)</f>
        <v>Antonio Elinardo Abreu Sales</v>
      </c>
      <c r="DY360" s="1" t="str">
        <f>OfficeForms.Table[[#This Row],[Selecione a Ordem de Disciplina]]</f>
        <v>Ordem 1</v>
      </c>
    </row>
    <row r="361" spans="1:129" ht="34.15" customHeight="1">
      <c r="A361" s="1">
        <v>361</v>
      </c>
      <c r="B361" s="2">
        <v>46100.994872685202</v>
      </c>
      <c r="C361" s="2">
        <v>46100.995949074102</v>
      </c>
      <c r="D361" s="3" t="s">
        <v>1214</v>
      </c>
      <c r="E361" s="3" t="s">
        <v>1215</v>
      </c>
      <c r="G361" s="3"/>
      <c r="I361" s="3" t="s">
        <v>1216</v>
      </c>
      <c r="K361" s="3"/>
      <c r="L361" s="1" t="s">
        <v>132</v>
      </c>
      <c r="O361" s="3" t="s">
        <v>133</v>
      </c>
      <c r="Q361" s="3"/>
      <c r="R361" s="3"/>
      <c r="T361" s="3"/>
      <c r="U361" s="5"/>
      <c r="W361" s="3"/>
      <c r="Z361" s="3"/>
      <c r="AA361" s="3"/>
      <c r="AC361" s="3"/>
      <c r="AD361" s="3"/>
      <c r="AF361" s="3"/>
      <c r="AG361" s="3"/>
      <c r="AI361" s="3"/>
      <c r="AJ361" s="1"/>
      <c r="AL361" s="3"/>
      <c r="AO361" s="3"/>
      <c r="AP361" s="3"/>
      <c r="AR361" s="3"/>
      <c r="AS361" s="3"/>
      <c r="AU361" s="3"/>
      <c r="AV361" s="3" t="s">
        <v>540</v>
      </c>
      <c r="AX361" s="3"/>
      <c r="AY361" s="5">
        <v>46080</v>
      </c>
      <c r="BA361" s="3"/>
      <c r="BB361" s="1">
        <v>5</v>
      </c>
      <c r="BD361" s="3"/>
      <c r="BE361" s="3" t="s">
        <v>1219</v>
      </c>
      <c r="BG361" s="3"/>
      <c r="BH361" s="3" t="s">
        <v>1220</v>
      </c>
      <c r="BJ361" s="3"/>
      <c r="BK361" s="3"/>
      <c r="BM361" s="3"/>
      <c r="BN361" s="5"/>
      <c r="BP361" s="3"/>
      <c r="BS361" s="3"/>
      <c r="BT361" s="3"/>
      <c r="BV361" s="3"/>
      <c r="BW361" s="3"/>
      <c r="BY361" s="3"/>
      <c r="BZ361" s="3"/>
      <c r="CB361" s="3"/>
      <c r="CC361" s="5"/>
      <c r="CE361" s="3"/>
      <c r="CH361" s="3"/>
      <c r="CI361" s="3"/>
      <c r="CK361" s="3"/>
      <c r="CL361" s="3"/>
      <c r="CN361" s="3"/>
      <c r="CO361" s="3"/>
      <c r="CQ361" s="3"/>
      <c r="CR361" s="5"/>
      <c r="CT361" s="3"/>
      <c r="CW361" s="3"/>
      <c r="CX361" s="3"/>
      <c r="CZ361" s="3"/>
      <c r="DA361" s="3"/>
      <c r="DC361" s="3"/>
      <c r="DD361" s="3"/>
      <c r="DF361" s="3"/>
      <c r="DG361" s="5"/>
      <c r="DI361" s="3"/>
      <c r="DL361" s="3"/>
      <c r="DM361" s="3"/>
      <c r="DO361" s="3"/>
      <c r="DP361" s="3"/>
      <c r="DR361" s="3"/>
      <c r="DS361" s="1" t="str">
        <f>_xlfn.XLOOKUP(OfficeForms.Table[[#This Row],[Selecione a Categoria do Laboratório desta atividade prática:]],Planilha1!A:A,Planilha1!B:B)</f>
        <v>BFI</v>
      </c>
      <c r="DT361" s="1" t="str">
        <f>CONCATENATE(OfficeForms.Table[[#This Row],[Selecione seu Polo Laboratório de Atividades Presenciais:]],OfficeForms.Table[[#This Row],[CHAVE CONVERSÃO]])</f>
        <v>Canindé/CEBFI</v>
      </c>
      <c r="DU36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Mobilização Articular: Abordagens Terapêuticas em Recursos Manuais</v>
      </c>
      <c r="DV36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36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361" s="1" t="str">
        <f>_xlfn.XLOOKUP(OfficeForms.Table[[#This Row],[CHAVE LINK POLO]],'[1]Quadro Geral de Lotação'!$B:$B,'[1]Quadro Geral de Lotação'!$I:$I)</f>
        <v>Antonio Elinardo Abreu Sales</v>
      </c>
      <c r="DY361" s="1" t="str">
        <f>OfficeForms.Table[[#This Row],[Selecione a Ordem de Disciplina]]</f>
        <v>Ordem 1</v>
      </c>
    </row>
    <row r="362" spans="1:129" ht="34.15" customHeight="1">
      <c r="A362" s="1">
        <v>362</v>
      </c>
      <c r="B362" s="2">
        <v>46101.004270833299</v>
      </c>
      <c r="C362" s="2">
        <v>46101.006215277797</v>
      </c>
      <c r="D362" s="3" t="s">
        <v>1214</v>
      </c>
      <c r="E362" s="3" t="s">
        <v>1215</v>
      </c>
      <c r="G362" s="3"/>
      <c r="I362" s="3" t="s">
        <v>1216</v>
      </c>
      <c r="K362" s="3"/>
      <c r="L362" s="1" t="s">
        <v>132</v>
      </c>
      <c r="O362" s="3" t="s">
        <v>133</v>
      </c>
      <c r="Q362" s="3"/>
      <c r="R362" s="3"/>
      <c r="T362" s="3"/>
      <c r="U362" s="5"/>
      <c r="W362" s="3"/>
      <c r="Z362" s="3"/>
      <c r="AA362" s="3"/>
      <c r="AC362" s="3"/>
      <c r="AD362" s="3"/>
      <c r="AF362" s="3"/>
      <c r="AG362" s="3"/>
      <c r="AI362" s="3"/>
      <c r="AJ362" s="1"/>
      <c r="AL362" s="3"/>
      <c r="AO362" s="3"/>
      <c r="AP362" s="3"/>
      <c r="AR362" s="3"/>
      <c r="AS362" s="3"/>
      <c r="AU362" s="3"/>
      <c r="AV362" s="3" t="s">
        <v>134</v>
      </c>
      <c r="AX362" s="3"/>
      <c r="AY362" s="5">
        <v>46087</v>
      </c>
      <c r="BA362" s="3"/>
      <c r="BB362" s="1">
        <v>5</v>
      </c>
      <c r="BD362" s="3"/>
      <c r="BE362" s="3" t="s">
        <v>1221</v>
      </c>
      <c r="BG362" s="3"/>
      <c r="BH362" s="3" t="s">
        <v>1222</v>
      </c>
      <c r="BJ362" s="3"/>
      <c r="BK362" s="3"/>
      <c r="BM362" s="3"/>
      <c r="BN362" s="5"/>
      <c r="BP362" s="3"/>
      <c r="BS362" s="3"/>
      <c r="BT362" s="3"/>
      <c r="BV362" s="3"/>
      <c r="BW362" s="3"/>
      <c r="BY362" s="3"/>
      <c r="BZ362" s="3"/>
      <c r="CB362" s="3"/>
      <c r="CC362" s="5"/>
      <c r="CE362" s="3"/>
      <c r="CH362" s="3"/>
      <c r="CI362" s="3"/>
      <c r="CK362" s="3"/>
      <c r="CL362" s="3"/>
      <c r="CN362" s="3"/>
      <c r="CO362" s="3"/>
      <c r="CQ362" s="3"/>
      <c r="CR362" s="5"/>
      <c r="CT362" s="3"/>
      <c r="CW362" s="3"/>
      <c r="CX362" s="3"/>
      <c r="CZ362" s="3"/>
      <c r="DA362" s="3"/>
      <c r="DC362" s="3"/>
      <c r="DD362" s="3"/>
      <c r="DF362" s="3"/>
      <c r="DG362" s="5"/>
      <c r="DI362" s="3"/>
      <c r="DL362" s="3"/>
      <c r="DM362" s="3"/>
      <c r="DO362" s="3"/>
      <c r="DP362" s="3"/>
      <c r="DR362" s="3"/>
      <c r="DS362" s="1" t="str">
        <f>_xlfn.XLOOKUP(OfficeForms.Table[[#This Row],[Selecione a Categoria do Laboratório desta atividade prática:]],Planilha1!A:A,Planilha1!B:B)</f>
        <v>BFI</v>
      </c>
      <c r="DT362" s="1" t="str">
        <f>CONCATENATE(OfficeForms.Table[[#This Row],[Selecione seu Polo Laboratório de Atividades Presenciais:]],OfficeForms.Table[[#This Row],[CHAVE CONVERSÃO]])</f>
        <v>Canindé/CEBFI</v>
      </c>
      <c r="DU36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Geral Terapêutica: Técnicas e Aplicações em Recursos Manuais</v>
      </c>
      <c r="DV36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36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362" s="1" t="str">
        <f>_xlfn.XLOOKUP(OfficeForms.Table[[#This Row],[CHAVE LINK POLO]],'[1]Quadro Geral de Lotação'!$B:$B,'[1]Quadro Geral de Lotação'!$I:$I)</f>
        <v>Antonio Elinardo Abreu Sales</v>
      </c>
      <c r="DY362" s="1" t="str">
        <f>OfficeForms.Table[[#This Row],[Selecione a Ordem de Disciplina]]</f>
        <v>Ordem 1</v>
      </c>
    </row>
    <row r="363" spans="1:129" ht="34.15" customHeight="1">
      <c r="A363" s="1">
        <v>363</v>
      </c>
      <c r="B363" s="2">
        <v>46101.018599536997</v>
      </c>
      <c r="C363" s="2">
        <v>46101.020138888904</v>
      </c>
      <c r="D363" s="3" t="s">
        <v>1214</v>
      </c>
      <c r="E363" s="3" t="s">
        <v>1215</v>
      </c>
      <c r="G363" s="3"/>
      <c r="I363" s="3" t="s">
        <v>1216</v>
      </c>
      <c r="K363" s="3"/>
      <c r="L363" s="1" t="s">
        <v>132</v>
      </c>
      <c r="O363" s="3" t="s">
        <v>133</v>
      </c>
      <c r="Q363" s="3"/>
      <c r="R363" s="3"/>
      <c r="T363" s="3"/>
      <c r="U363" s="5"/>
      <c r="W363" s="3"/>
      <c r="Z363" s="3"/>
      <c r="AA363" s="3"/>
      <c r="AC363" s="3"/>
      <c r="AD363" s="3"/>
      <c r="AF363" s="3"/>
      <c r="AG363" s="3"/>
      <c r="AI363" s="3"/>
      <c r="AJ363" s="1"/>
      <c r="AL363" s="3"/>
      <c r="AO363" s="3"/>
      <c r="AP363" s="3"/>
      <c r="AR363" s="3"/>
      <c r="AS363" s="3"/>
      <c r="AU363" s="3"/>
      <c r="AV363" s="3" t="s">
        <v>327</v>
      </c>
      <c r="AX363" s="3"/>
      <c r="AY363" s="5">
        <v>46094</v>
      </c>
      <c r="BA363" s="3"/>
      <c r="BB363" s="1">
        <v>5</v>
      </c>
      <c r="BD363" s="3"/>
      <c r="BE363" s="3" t="s">
        <v>1223</v>
      </c>
      <c r="BG363" s="3"/>
      <c r="BH363" s="3" t="s">
        <v>1224</v>
      </c>
      <c r="BJ363" s="3"/>
      <c r="BK363" s="3"/>
      <c r="BM363" s="3"/>
      <c r="BN363" s="5"/>
      <c r="BP363" s="3"/>
      <c r="BS363" s="3"/>
      <c r="BT363" s="3"/>
      <c r="BV363" s="3"/>
      <c r="BW363" s="3"/>
      <c r="BY363" s="3"/>
      <c r="BZ363" s="3"/>
      <c r="CB363" s="3"/>
      <c r="CC363" s="5"/>
      <c r="CE363" s="3"/>
      <c r="CH363" s="3"/>
      <c r="CI363" s="3"/>
      <c r="CK363" s="3"/>
      <c r="CL363" s="3"/>
      <c r="CN363" s="3"/>
      <c r="CO363" s="3"/>
      <c r="CQ363" s="3"/>
      <c r="CR363" s="5"/>
      <c r="CT363" s="3"/>
      <c r="CW363" s="3"/>
      <c r="CX363" s="3"/>
      <c r="CZ363" s="3"/>
      <c r="DA363" s="3"/>
      <c r="DC363" s="3"/>
      <c r="DD363" s="3"/>
      <c r="DF363" s="3"/>
      <c r="DG363" s="5"/>
      <c r="DI363" s="3"/>
      <c r="DL363" s="3"/>
      <c r="DM363" s="3"/>
      <c r="DO363" s="3"/>
      <c r="DP363" s="3"/>
      <c r="DR363" s="3"/>
      <c r="DS363" s="1" t="str">
        <f>_xlfn.XLOOKUP(OfficeForms.Table[[#This Row],[Selecione a Categoria do Laboratório desta atividade prática:]],Planilha1!A:A,Planilha1!B:B)</f>
        <v>BFI</v>
      </c>
      <c r="DT363" s="1" t="str">
        <f>CONCATENATE(OfficeForms.Table[[#This Row],[Selecione seu Polo Laboratório de Atividades Presenciais:]],OfficeForms.Table[[#This Row],[CHAVE CONVERSÃO]])</f>
        <v>Canindé/CEBFI</v>
      </c>
      <c r="DU36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Inferiores : Prática em Fisioterapia Traumato-Ortopédica</v>
      </c>
      <c r="DV36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36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363" s="1" t="str">
        <f>_xlfn.XLOOKUP(OfficeForms.Table[[#This Row],[CHAVE LINK POLO]],'[1]Quadro Geral de Lotação'!$B:$B,'[1]Quadro Geral de Lotação'!$I:$I)</f>
        <v>Antonio Elinardo Abreu Sales</v>
      </c>
      <c r="DY363" s="1" t="str">
        <f>OfficeForms.Table[[#This Row],[Selecione a Ordem de Disciplina]]</f>
        <v>Ordem 1</v>
      </c>
    </row>
    <row r="364" spans="1:129" ht="34.15" customHeight="1">
      <c r="A364" s="1">
        <v>364</v>
      </c>
      <c r="B364" s="2">
        <v>46101.023611111101</v>
      </c>
      <c r="C364" s="2">
        <v>46101.026597222197</v>
      </c>
      <c r="D364" s="3" t="s">
        <v>1214</v>
      </c>
      <c r="E364" s="3" t="s">
        <v>1215</v>
      </c>
      <c r="G364" s="3"/>
      <c r="I364" s="3" t="s">
        <v>1216</v>
      </c>
      <c r="K364" s="3"/>
      <c r="L364" s="1" t="s">
        <v>132</v>
      </c>
      <c r="O364" s="3" t="s">
        <v>133</v>
      </c>
      <c r="Q364" s="3"/>
      <c r="R364" s="3"/>
      <c r="T364" s="3"/>
      <c r="U364" s="5"/>
      <c r="W364" s="3"/>
      <c r="Z364" s="3"/>
      <c r="AA364" s="3"/>
      <c r="AC364" s="3"/>
      <c r="AD364" s="3"/>
      <c r="AF364" s="3"/>
      <c r="AG364" s="3"/>
      <c r="AI364" s="3"/>
      <c r="AJ364" s="1"/>
      <c r="AL364" s="3"/>
      <c r="AO364" s="3"/>
      <c r="AP364" s="3"/>
      <c r="AR364" s="3"/>
      <c r="AS364" s="3"/>
      <c r="AU364" s="3"/>
      <c r="AV364" s="3" t="s">
        <v>778</v>
      </c>
      <c r="AX364" s="3"/>
      <c r="AY364" s="5">
        <v>46094</v>
      </c>
      <c r="BA364" s="3"/>
      <c r="BB364" s="1">
        <v>5</v>
      </c>
      <c r="BD364" s="3"/>
      <c r="BE364" s="3" t="s">
        <v>1225</v>
      </c>
      <c r="BG364" s="3"/>
      <c r="BH364" s="3" t="s">
        <v>1226</v>
      </c>
      <c r="BJ364" s="3"/>
      <c r="BK364" s="3"/>
      <c r="BM364" s="3"/>
      <c r="BN364" s="5"/>
      <c r="BP364" s="3"/>
      <c r="BS364" s="3"/>
      <c r="BT364" s="3"/>
      <c r="BV364" s="3"/>
      <c r="BW364" s="3"/>
      <c r="BY364" s="3"/>
      <c r="BZ364" s="3"/>
      <c r="CB364" s="3"/>
      <c r="CC364" s="5"/>
      <c r="CE364" s="3"/>
      <c r="CH364" s="3"/>
      <c r="CI364" s="3"/>
      <c r="CK364" s="3"/>
      <c r="CL364" s="3"/>
      <c r="CN364" s="3"/>
      <c r="CO364" s="3"/>
      <c r="CQ364" s="3"/>
      <c r="CR364" s="5"/>
      <c r="CT364" s="3"/>
      <c r="CW364" s="3"/>
      <c r="CX364" s="3"/>
      <c r="CZ364" s="3"/>
      <c r="DA364" s="3"/>
      <c r="DC364" s="3"/>
      <c r="DD364" s="3"/>
      <c r="DF364" s="3"/>
      <c r="DG364" s="5"/>
      <c r="DI364" s="3"/>
      <c r="DL364" s="3"/>
      <c r="DM364" s="3"/>
      <c r="DO364" s="3"/>
      <c r="DP364" s="3"/>
      <c r="DR364" s="3"/>
      <c r="DS364" s="1" t="str">
        <f>_xlfn.XLOOKUP(OfficeForms.Table[[#This Row],[Selecione a Categoria do Laboratório desta atividade prática:]],Planilha1!A:A,Planilha1!B:B)</f>
        <v>BFI</v>
      </c>
      <c r="DT364" s="1" t="str">
        <f>CONCATENATE(OfficeForms.Table[[#This Row],[Selecione seu Polo Laboratório de Atividades Presenciais:]],OfficeForms.Table[[#This Row],[CHAVE CONVERSÃO]])</f>
        <v>Canindé/CEBFI</v>
      </c>
      <c r="DU36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Fisioterapia com Próteses: Reabilitação Funcional e Adaptação ao Uso de Próteses</v>
      </c>
      <c r="DV36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36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364" s="1" t="str">
        <f>_xlfn.XLOOKUP(OfficeForms.Table[[#This Row],[CHAVE LINK POLO]],'[1]Quadro Geral de Lotação'!$B:$B,'[1]Quadro Geral de Lotação'!$I:$I)</f>
        <v>Antonio Elinardo Abreu Sales</v>
      </c>
      <c r="DY364" s="1" t="str">
        <f>OfficeForms.Table[[#This Row],[Selecione a Ordem de Disciplina]]</f>
        <v>Ordem 1</v>
      </c>
    </row>
    <row r="365" spans="1:129" ht="34.15" customHeight="1">
      <c r="A365" s="1">
        <v>365</v>
      </c>
      <c r="B365" s="2">
        <v>46101.2727199074</v>
      </c>
      <c r="C365" s="2">
        <v>46101.281620370399</v>
      </c>
      <c r="D365" s="3" t="s">
        <v>1206</v>
      </c>
      <c r="E365" s="3" t="s">
        <v>1207</v>
      </c>
      <c r="G365" s="3"/>
      <c r="I365" s="3" t="s">
        <v>299</v>
      </c>
      <c r="K365" s="3"/>
      <c r="L365" s="1" t="s">
        <v>132</v>
      </c>
      <c r="O365" s="3" t="s">
        <v>184</v>
      </c>
      <c r="Q365" s="3"/>
      <c r="R365" s="3"/>
      <c r="T365" s="3"/>
      <c r="U365" s="5"/>
      <c r="W365" s="3"/>
      <c r="Z365" s="3"/>
      <c r="AA365" s="3"/>
      <c r="AC365" s="3"/>
      <c r="AD365" s="3"/>
      <c r="AF365" s="3"/>
      <c r="AG365" s="3" t="s">
        <v>316</v>
      </c>
      <c r="AI365" s="3"/>
      <c r="AJ365" s="1">
        <v>46094</v>
      </c>
      <c r="AL365" s="3"/>
      <c r="AM365" s="1">
        <v>3</v>
      </c>
      <c r="AO365" s="3"/>
      <c r="AP365" s="3" t="s">
        <v>1227</v>
      </c>
      <c r="AR365" s="3"/>
      <c r="AS365" s="3" t="s">
        <v>1228</v>
      </c>
      <c r="AU365" s="3"/>
      <c r="AV365" s="3"/>
      <c r="AX365" s="3"/>
      <c r="AY365" s="5"/>
      <c r="BA365" s="3"/>
      <c r="BD365" s="3"/>
      <c r="BE365" s="3"/>
      <c r="BG365" s="3"/>
      <c r="BH365" s="3"/>
      <c r="BJ365" s="3"/>
      <c r="BK365" s="3"/>
      <c r="BM365" s="3"/>
      <c r="BN365" s="5"/>
      <c r="BP365" s="3"/>
      <c r="BS365" s="3"/>
      <c r="BT365" s="3"/>
      <c r="BV365" s="3"/>
      <c r="BW365" s="3"/>
      <c r="BY365" s="3"/>
      <c r="BZ365" s="3"/>
      <c r="CB365" s="3"/>
      <c r="CC365" s="5"/>
      <c r="CE365" s="3"/>
      <c r="CH365" s="3"/>
      <c r="CI365" s="3"/>
      <c r="CK365" s="3"/>
      <c r="CL365" s="3"/>
      <c r="CN365" s="3"/>
      <c r="CO365" s="3"/>
      <c r="CQ365" s="3"/>
      <c r="CR365" s="5"/>
      <c r="CT365" s="3"/>
      <c r="CW365" s="3"/>
      <c r="CX365" s="3"/>
      <c r="CZ365" s="3"/>
      <c r="DA365" s="3"/>
      <c r="DC365" s="3"/>
      <c r="DD365" s="3"/>
      <c r="DF365" s="3"/>
      <c r="DG365" s="5"/>
      <c r="DI365" s="3"/>
      <c r="DL365" s="3"/>
      <c r="DM365" s="3"/>
      <c r="DO365" s="3"/>
      <c r="DP365" s="3"/>
      <c r="DR365" s="3"/>
      <c r="DS365" s="1" t="str">
        <f>_xlfn.XLOOKUP(OfficeForms.Table[[#This Row],[Selecione a Categoria do Laboratório desta atividade prática:]],Planilha1!A:A,Planilha1!B:B)</f>
        <v>EMF-ISN</v>
      </c>
      <c r="DT365" s="1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36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36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36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365" s="1" t="str">
        <f>_xlfn.XLOOKUP(OfficeForms.Table[[#This Row],[CHAVE LINK POLO]],'[1]Quadro Geral de Lotação'!$B:$B,'[1]Quadro Geral de Lotação'!$I:$I)</f>
        <v>-</v>
      </c>
      <c r="DY365" s="1" t="str">
        <f>OfficeForms.Table[[#This Row],[Selecione a Ordem de Disciplina]]</f>
        <v>Ordem 1</v>
      </c>
    </row>
    <row r="366" spans="1:129" ht="34.15" customHeight="1">
      <c r="A366" s="1">
        <v>366</v>
      </c>
      <c r="B366" s="2">
        <v>46101.283206018503</v>
      </c>
      <c r="C366" s="2">
        <v>46101.291956018496</v>
      </c>
      <c r="D366" s="3" t="s">
        <v>1206</v>
      </c>
      <c r="E366" s="3" t="s">
        <v>1207</v>
      </c>
      <c r="G366" s="3"/>
      <c r="I366" s="3" t="s">
        <v>299</v>
      </c>
      <c r="K366" s="3"/>
      <c r="L366" s="1" t="s">
        <v>678</v>
      </c>
      <c r="O366" s="3" t="s">
        <v>184</v>
      </c>
      <c r="Q366" s="3"/>
      <c r="R366" s="3"/>
      <c r="T366" s="3"/>
      <c r="U366" s="5"/>
      <c r="W366" s="3"/>
      <c r="Z366" s="3"/>
      <c r="AA366" s="3"/>
      <c r="AC366" s="3"/>
      <c r="AD366" s="3"/>
      <c r="AF366" s="3"/>
      <c r="AG366" s="3" t="s">
        <v>1105</v>
      </c>
      <c r="AI366" s="3"/>
      <c r="AJ366" s="1">
        <v>46099</v>
      </c>
      <c r="AL366" s="3"/>
      <c r="AM366" s="1">
        <v>7</v>
      </c>
      <c r="AO366" s="3"/>
      <c r="AP366" s="3" t="s">
        <v>1229</v>
      </c>
      <c r="AR366" s="3"/>
      <c r="AS366" s="3" t="s">
        <v>1230</v>
      </c>
      <c r="AU366" s="3"/>
      <c r="AV366" s="3"/>
      <c r="AX366" s="3"/>
      <c r="AY366" s="5"/>
      <c r="BA366" s="3"/>
      <c r="BD366" s="3"/>
      <c r="BE366" s="3"/>
      <c r="BG366" s="3"/>
      <c r="BH366" s="3"/>
      <c r="BJ366" s="3"/>
      <c r="BK366" s="3"/>
      <c r="BM366" s="3"/>
      <c r="BN366" s="5"/>
      <c r="BP366" s="3"/>
      <c r="BS366" s="3"/>
      <c r="BT366" s="3"/>
      <c r="BV366" s="3"/>
      <c r="BW366" s="3"/>
      <c r="BY366" s="3"/>
      <c r="BZ366" s="3"/>
      <c r="CB366" s="3"/>
      <c r="CC366" s="5"/>
      <c r="CE366" s="3"/>
      <c r="CH366" s="3"/>
      <c r="CI366" s="3"/>
      <c r="CK366" s="3"/>
      <c r="CL366" s="3"/>
      <c r="CN366" s="3"/>
      <c r="CO366" s="3"/>
      <c r="CQ366" s="3"/>
      <c r="CR366" s="5"/>
      <c r="CT366" s="3"/>
      <c r="CW366" s="3"/>
      <c r="CX366" s="3"/>
      <c r="CZ366" s="3"/>
      <c r="DA366" s="3"/>
      <c r="DC366" s="3"/>
      <c r="DD366" s="3"/>
      <c r="DF366" s="3"/>
      <c r="DG366" s="5"/>
      <c r="DI366" s="3"/>
      <c r="DL366" s="3"/>
      <c r="DM366" s="3"/>
      <c r="DO366" s="3"/>
      <c r="DP366" s="3"/>
      <c r="DR366" s="3"/>
      <c r="DS366" s="1" t="str">
        <f>_xlfn.XLOOKUP(OfficeForms.Table[[#This Row],[Selecione a Categoria do Laboratório desta atividade prática:]],Planilha1!A:A,Planilha1!B:B)</f>
        <v>EMF-ISN</v>
      </c>
      <c r="DT366" s="1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36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36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6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366" s="1" t="str">
        <f>_xlfn.XLOOKUP(OfficeForms.Table[[#This Row],[CHAVE LINK POLO]],'[1]Quadro Geral de Lotação'!$B:$B,'[1]Quadro Geral de Lotação'!$I:$I)</f>
        <v>-</v>
      </c>
      <c r="DY366" s="1" t="str">
        <f>OfficeForms.Table[[#This Row],[Selecione a Ordem de Disciplina]]</f>
        <v>Ordem 2</v>
      </c>
    </row>
    <row r="367" spans="1:129" ht="34.15" customHeight="1">
      <c r="A367" s="1">
        <v>367</v>
      </c>
      <c r="B367" s="2">
        <v>46101.327731481499</v>
      </c>
      <c r="C367" s="2">
        <v>46101.331423611096</v>
      </c>
      <c r="D367" s="3" t="s">
        <v>137</v>
      </c>
      <c r="E367" s="3" t="s">
        <v>138</v>
      </c>
      <c r="G367" s="3"/>
      <c r="I367" s="3" t="s">
        <v>139</v>
      </c>
      <c r="K367" s="3"/>
      <c r="L367" s="1" t="s">
        <v>678</v>
      </c>
      <c r="O367" s="3" t="s">
        <v>140</v>
      </c>
      <c r="Q367" s="3"/>
      <c r="R367" s="3"/>
      <c r="T367" s="3"/>
      <c r="U367" s="5"/>
      <c r="W367" s="3"/>
      <c r="Z367" s="3"/>
      <c r="AA367" s="3"/>
      <c r="AC367" s="3"/>
      <c r="AD367" s="3"/>
      <c r="AF367" s="3"/>
      <c r="AG367" s="3"/>
      <c r="AI367" s="3"/>
      <c r="AJ367" s="1"/>
      <c r="AL367" s="3"/>
      <c r="AO367" s="3"/>
      <c r="AP367" s="3"/>
      <c r="AR367" s="3"/>
      <c r="AS367" s="3"/>
      <c r="AU367" s="3"/>
      <c r="AV367" s="3"/>
      <c r="AX367" s="3"/>
      <c r="AY367" s="5"/>
      <c r="BA367" s="3"/>
      <c r="BD367" s="3"/>
      <c r="BE367" s="3"/>
      <c r="BG367" s="3"/>
      <c r="BH367" s="3"/>
      <c r="BJ367" s="3"/>
      <c r="BK367" s="3"/>
      <c r="BM367" s="3"/>
      <c r="BN367" s="5"/>
      <c r="BP367" s="3"/>
      <c r="BS367" s="3"/>
      <c r="BT367" s="3"/>
      <c r="BV367" s="3"/>
      <c r="BW367" s="3"/>
      <c r="BY367" s="3"/>
      <c r="BZ367" s="3" t="s">
        <v>1231</v>
      </c>
      <c r="CB367" s="3"/>
      <c r="CC367" s="5">
        <v>46100</v>
      </c>
      <c r="CE367" s="3"/>
      <c r="CF367" s="1">
        <v>0</v>
      </c>
      <c r="CH367" s="3"/>
      <c r="CI367" s="3" t="s">
        <v>1232</v>
      </c>
      <c r="CK367" s="3"/>
      <c r="CL367" s="3" t="s">
        <v>1233</v>
      </c>
      <c r="CN367" s="3"/>
      <c r="CO367" s="3"/>
      <c r="CQ367" s="3"/>
      <c r="CR367" s="5"/>
      <c r="CT367" s="3"/>
      <c r="CW367" s="3"/>
      <c r="CX367" s="3"/>
      <c r="CZ367" s="3"/>
      <c r="DA367" s="3"/>
      <c r="DC367" s="3"/>
      <c r="DD367" s="3"/>
      <c r="DF367" s="3"/>
      <c r="DG367" s="5"/>
      <c r="DI367" s="3"/>
      <c r="DL367" s="3"/>
      <c r="DM367" s="3"/>
      <c r="DO367" s="3"/>
      <c r="DP367" s="3"/>
      <c r="DR367" s="3"/>
      <c r="DS367" s="1" t="str">
        <f>_xlfn.XLOOKUP(OfficeForms.Table[[#This Row],[Selecione a Categoria do Laboratório desta atividade prática:]],Planilha1!A:A,Planilha1!B:B)</f>
        <v>ECE-ENM-ENS-ENG-EEA-GPI-CDE-OBR-SAN-TER-FSA-SLF-QUI</v>
      </c>
      <c r="DT367" s="1" t="str">
        <f>CONCATENATE(OfficeForms.Table[[#This Row],[Selecione seu Polo Laboratório de Atividades Presenciais:]],OfficeForms.Table[[#This Row],[CHAVE CONVERSÃO]])</f>
        <v>Chapecó/SC - CentroECE-ENM-ENS-ENG-EEA-GPI-CDE-OBR-SAN-TER-FSA-SLF-QUI</v>
      </c>
      <c r="DU36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 Introdução a Caligrafia Técnica dentro das normas da ABNT (NBR 6492). +  Introdução aos Primeiros Passos</v>
      </c>
      <c r="DV36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36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67" s="1" t="str">
        <f>_xlfn.XLOOKUP(OfficeForms.Table[[#This Row],[CHAVE LINK POLO]],'[1]Quadro Geral de Lotação'!$B:$B,'[1]Quadro Geral de Lotação'!$I:$I)</f>
        <v>Gabriela Fanck Dos Santos</v>
      </c>
      <c r="DY367" s="1" t="str">
        <f>OfficeForms.Table[[#This Row],[Selecione a Ordem de Disciplina]]</f>
        <v>Ordem 2</v>
      </c>
    </row>
    <row r="368" spans="1:129" ht="34.15" customHeight="1">
      <c r="A368" s="1">
        <v>368</v>
      </c>
      <c r="B368" s="2">
        <v>46101.395833333299</v>
      </c>
      <c r="C368" s="2">
        <v>46101.399305555598</v>
      </c>
      <c r="D368" s="3" t="s">
        <v>168</v>
      </c>
      <c r="E368" s="3" t="s">
        <v>169</v>
      </c>
      <c r="G368" s="3"/>
      <c r="I368" s="3" t="s">
        <v>569</v>
      </c>
      <c r="K368" s="3"/>
      <c r="L368" s="1" t="s">
        <v>678</v>
      </c>
      <c r="O368" s="3" t="s">
        <v>133</v>
      </c>
      <c r="Q368" s="3"/>
      <c r="R368" s="3"/>
      <c r="T368" s="3"/>
      <c r="U368" s="5"/>
      <c r="W368" s="3"/>
      <c r="Z368" s="3"/>
      <c r="AA368" s="3"/>
      <c r="AC368" s="3"/>
      <c r="AD368" s="3"/>
      <c r="AF368" s="3"/>
      <c r="AG368" s="3"/>
      <c r="AI368" s="3"/>
      <c r="AJ368" s="1"/>
      <c r="AL368" s="3"/>
      <c r="AO368" s="3"/>
      <c r="AP368" s="3"/>
      <c r="AR368" s="3"/>
      <c r="AS368" s="3"/>
      <c r="AU368" s="3"/>
      <c r="AV368" s="3" t="s">
        <v>1234</v>
      </c>
      <c r="AX368" s="3"/>
      <c r="AY368" s="5">
        <v>46100</v>
      </c>
      <c r="BA368" s="3"/>
      <c r="BB368" s="1">
        <v>11</v>
      </c>
      <c r="BD368" s="3"/>
      <c r="BE368" s="3" t="s">
        <v>1235</v>
      </c>
      <c r="BG368" s="3"/>
      <c r="BH368" s="3" t="s">
        <v>1236</v>
      </c>
      <c r="BJ368" s="3"/>
      <c r="BK368" s="3"/>
      <c r="BM368" s="3"/>
      <c r="BN368" s="5"/>
      <c r="BP368" s="3"/>
      <c r="BS368" s="3"/>
      <c r="BT368" s="3"/>
      <c r="BV368" s="3"/>
      <c r="BW368" s="3"/>
      <c r="BY368" s="3"/>
      <c r="BZ368" s="3"/>
      <c r="CB368" s="3"/>
      <c r="CC368" s="5"/>
      <c r="CE368" s="3"/>
      <c r="CH368" s="3"/>
      <c r="CI368" s="3"/>
      <c r="CK368" s="3"/>
      <c r="CL368" s="3"/>
      <c r="CN368" s="3"/>
      <c r="CO368" s="3"/>
      <c r="CQ368" s="3"/>
      <c r="CR368" s="5"/>
      <c r="CT368" s="3"/>
      <c r="CW368" s="3"/>
      <c r="CX368" s="3"/>
      <c r="CZ368" s="3"/>
      <c r="DA368" s="3"/>
      <c r="DC368" s="3"/>
      <c r="DD368" s="3"/>
      <c r="DF368" s="3"/>
      <c r="DG368" s="5"/>
      <c r="DI368" s="3"/>
      <c r="DL368" s="3"/>
      <c r="DM368" s="3"/>
      <c r="DO368" s="3"/>
      <c r="DP368" s="3"/>
      <c r="DR368" s="3"/>
      <c r="DS368" s="1" t="str">
        <f>_xlfn.XLOOKUP(OfficeForms.Table[[#This Row],[Selecione a Categoria do Laboratório desta atividade prática:]],Planilha1!A:A,Planilha1!B:B)</f>
        <v>BFI</v>
      </c>
      <c r="DT368" s="1" t="str">
        <f>CONCATENATE(OfficeForms.Table[[#This Row],[Selecione seu Polo Laboratório de Atividades Presenciais:]],OfficeForms.Table[[#This Row],[CHAVE CONVERSÃO]])</f>
        <v>Paulo Afonso/BABFI</v>
      </c>
      <c r="DU36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Revisão de Anatomorfofisiologia;Estudo Prático da Biomecânica Articular e Muscular no Movimento Funcional Humano</v>
      </c>
      <c r="DV36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36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368" s="1" t="e">
        <f>_xlfn.XLOOKUP(OfficeForms.Table[[#This Row],[CHAVE LINK POLO]],'[1]Quadro Geral de Lotação'!$B:$B,'[1]Quadro Geral de Lotação'!$I:$I)</f>
        <v>#N/A</v>
      </c>
      <c r="DY368" s="1" t="str">
        <f>OfficeForms.Table[[#This Row],[Selecione a Ordem de Disciplina]]</f>
        <v>Ordem 2</v>
      </c>
    </row>
    <row r="369" spans="1:129" ht="34.15" customHeight="1">
      <c r="A369" s="1">
        <v>369</v>
      </c>
      <c r="B369" s="2">
        <v>46101.452881944402</v>
      </c>
      <c r="C369" s="2">
        <v>46101.453726851803</v>
      </c>
      <c r="D369" s="3" t="s">
        <v>160</v>
      </c>
      <c r="E369" s="3" t="s">
        <v>161</v>
      </c>
      <c r="G369" s="3"/>
      <c r="I369" s="3" t="s">
        <v>162</v>
      </c>
      <c r="K369" s="3"/>
      <c r="L369" s="1" t="s">
        <v>678</v>
      </c>
      <c r="O369" s="3" t="s">
        <v>156</v>
      </c>
      <c r="Q369" s="3"/>
      <c r="R369" s="3"/>
      <c r="T369" s="3"/>
      <c r="U369" s="5"/>
      <c r="W369" s="3"/>
      <c r="Z369" s="3"/>
      <c r="AA369" s="3"/>
      <c r="AC369" s="3"/>
      <c r="AD369" s="3"/>
      <c r="AF369" s="3"/>
      <c r="AG369" s="3"/>
      <c r="AI369" s="3"/>
      <c r="AJ369" s="1"/>
      <c r="AL369" s="3"/>
      <c r="AO369" s="3"/>
      <c r="AP369" s="3"/>
      <c r="AR369" s="3"/>
      <c r="AS369" s="3"/>
      <c r="AU369" s="3"/>
      <c r="AV369" s="3"/>
      <c r="AX369" s="3"/>
      <c r="AY369" s="5"/>
      <c r="BA369" s="3"/>
      <c r="BD369" s="3"/>
      <c r="BE369" s="3"/>
      <c r="BG369" s="3"/>
      <c r="BH369" s="3"/>
      <c r="BJ369" s="3"/>
      <c r="BK369" s="3" t="s">
        <v>1237</v>
      </c>
      <c r="BM369" s="3"/>
      <c r="BN369" s="5">
        <v>46100</v>
      </c>
      <c r="BP369" s="3"/>
      <c r="BQ369" s="1">
        <v>8</v>
      </c>
      <c r="BS369" s="3"/>
      <c r="BT369" s="3" t="s">
        <v>1238</v>
      </c>
      <c r="BV369" s="3"/>
      <c r="BW369" s="3" t="s">
        <v>1239</v>
      </c>
      <c r="BY369" s="3"/>
      <c r="BZ369" s="3"/>
      <c r="CB369" s="3"/>
      <c r="CC369" s="5"/>
      <c r="CE369" s="3"/>
      <c r="CH369" s="3"/>
      <c r="CI369" s="3"/>
      <c r="CK369" s="3"/>
      <c r="CL369" s="3"/>
      <c r="CN369" s="3"/>
      <c r="CO369" s="3"/>
      <c r="CQ369" s="3"/>
      <c r="CR369" s="5"/>
      <c r="CT369" s="3"/>
      <c r="CW369" s="3"/>
      <c r="CX369" s="3"/>
      <c r="CZ369" s="3"/>
      <c r="DA369" s="3"/>
      <c r="DC369" s="3"/>
      <c r="DD369" s="3"/>
      <c r="DF369" s="3"/>
      <c r="DG369" s="5"/>
      <c r="DI369" s="3"/>
      <c r="DL369" s="3"/>
      <c r="DM369" s="3"/>
      <c r="DO369" s="3"/>
      <c r="DP369" s="3"/>
      <c r="DR369" s="3"/>
      <c r="DS369" s="1" t="str">
        <f>_xlfn.XLOOKUP(OfficeForms.Table[[#This Row],[Selecione a Categoria do Laboratório desta atividade prática:]],Planilha1!A:A,Planilha1!B:B)</f>
        <v>NTR</v>
      </c>
      <c r="DT369" s="1" t="str">
        <f>CONCATENATE(OfficeForms.Table[[#This Row],[Selecione seu Polo Laboratório de Atividades Presenciais:]],OfficeForms.Table[[#This Row],[CHAVE CONVERSÃO]])</f>
        <v>Florianópolis/SC - CentroNTR</v>
      </c>
      <c r="DU36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36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36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369" s="1" t="str">
        <f>_xlfn.XLOOKUP(OfficeForms.Table[[#This Row],[CHAVE LINK POLO]],'[1]Quadro Geral de Lotação'!$B:$B,'[1]Quadro Geral de Lotação'!$I:$I)</f>
        <v>Laura Volpato</v>
      </c>
      <c r="DY369" s="1" t="str">
        <f>OfficeForms.Table[[#This Row],[Selecione a Ordem de Disciplina]]</f>
        <v>Ordem 2</v>
      </c>
    </row>
    <row r="370" spans="1:129" ht="34.15" customHeight="1">
      <c r="A370" s="1">
        <v>370</v>
      </c>
      <c r="B370" s="2">
        <v>46101.453761574099</v>
      </c>
      <c r="C370" s="2">
        <v>46101.454236111102</v>
      </c>
      <c r="D370" s="3" t="s">
        <v>160</v>
      </c>
      <c r="E370" s="3" t="s">
        <v>161</v>
      </c>
      <c r="G370" s="3"/>
      <c r="I370" s="3" t="s">
        <v>162</v>
      </c>
      <c r="K370" s="3"/>
      <c r="L370" s="1" t="s">
        <v>678</v>
      </c>
      <c r="O370" s="3" t="s">
        <v>156</v>
      </c>
      <c r="Q370" s="3"/>
      <c r="R370" s="3"/>
      <c r="T370" s="3"/>
      <c r="U370" s="5"/>
      <c r="W370" s="3"/>
      <c r="Z370" s="3"/>
      <c r="AA370" s="3"/>
      <c r="AC370" s="3"/>
      <c r="AD370" s="3"/>
      <c r="AF370" s="3"/>
      <c r="AG370" s="3"/>
      <c r="AI370" s="3"/>
      <c r="AJ370" s="1"/>
      <c r="AL370" s="3"/>
      <c r="AO370" s="3"/>
      <c r="AP370" s="3"/>
      <c r="AR370" s="3"/>
      <c r="AS370" s="3"/>
      <c r="AU370" s="3"/>
      <c r="AV370" s="3"/>
      <c r="AX370" s="3"/>
      <c r="AY370" s="5"/>
      <c r="BA370" s="3"/>
      <c r="BD370" s="3"/>
      <c r="BE370" s="3"/>
      <c r="BG370" s="3"/>
      <c r="BH370" s="3"/>
      <c r="BJ370" s="3"/>
      <c r="BK370" s="3" t="s">
        <v>1240</v>
      </c>
      <c r="BM370" s="3"/>
      <c r="BN370" s="5">
        <v>46100</v>
      </c>
      <c r="BP370" s="3"/>
      <c r="BQ370" s="1">
        <v>8</v>
      </c>
      <c r="BS370" s="3"/>
      <c r="BT370" s="3" t="s">
        <v>1241</v>
      </c>
      <c r="BV370" s="3"/>
      <c r="BW370" s="3" t="s">
        <v>1242</v>
      </c>
      <c r="BY370" s="3"/>
      <c r="BZ370" s="3"/>
      <c r="CB370" s="3"/>
      <c r="CC370" s="5"/>
      <c r="CE370" s="3"/>
      <c r="CH370" s="3"/>
      <c r="CI370" s="3"/>
      <c r="CK370" s="3"/>
      <c r="CL370" s="3"/>
      <c r="CN370" s="3"/>
      <c r="CO370" s="3"/>
      <c r="CQ370" s="3"/>
      <c r="CR370" s="5"/>
      <c r="CT370" s="3"/>
      <c r="CW370" s="3"/>
      <c r="CX370" s="3"/>
      <c r="CZ370" s="3"/>
      <c r="DA370" s="3"/>
      <c r="DC370" s="3"/>
      <c r="DD370" s="3"/>
      <c r="DF370" s="3"/>
      <c r="DG370" s="5"/>
      <c r="DI370" s="3"/>
      <c r="DL370" s="3"/>
      <c r="DM370" s="3"/>
      <c r="DO370" s="3"/>
      <c r="DP370" s="3"/>
      <c r="DR370" s="3"/>
      <c r="DS370" s="1" t="str">
        <f>_xlfn.XLOOKUP(OfficeForms.Table[[#This Row],[Selecione a Categoria do Laboratório desta atividade prática:]],Planilha1!A:A,Planilha1!B:B)</f>
        <v>NTR</v>
      </c>
      <c r="DT370" s="1" t="str">
        <f>CONCATENATE(OfficeForms.Table[[#This Row],[Selecione seu Polo Laboratório de Atividades Presenciais:]],OfficeForms.Table[[#This Row],[CHAVE CONVERSÃO]])</f>
        <v>Florianópolis/SC - CentroNTR</v>
      </c>
      <c r="DU37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37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37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370" s="1" t="str">
        <f>_xlfn.XLOOKUP(OfficeForms.Table[[#This Row],[CHAVE LINK POLO]],'[1]Quadro Geral de Lotação'!$B:$B,'[1]Quadro Geral de Lotação'!$I:$I)</f>
        <v>Laura Volpato</v>
      </c>
      <c r="DY370" s="1" t="str">
        <f>OfficeForms.Table[[#This Row],[Selecione a Ordem de Disciplina]]</f>
        <v>Ordem 2</v>
      </c>
    </row>
    <row r="371" spans="1:129" ht="34.15" customHeight="1">
      <c r="A371" s="1">
        <v>371</v>
      </c>
      <c r="B371" s="2">
        <v>46101.500787037003</v>
      </c>
      <c r="C371" s="2">
        <v>46101.502002314803</v>
      </c>
      <c r="D371" s="3" t="s">
        <v>174</v>
      </c>
      <c r="E371" s="3" t="s">
        <v>175</v>
      </c>
      <c r="G371" s="3"/>
      <c r="I371" s="3" t="s">
        <v>176</v>
      </c>
      <c r="K371" s="3"/>
      <c r="L371" s="1" t="s">
        <v>678</v>
      </c>
      <c r="O371" s="3" t="s">
        <v>177</v>
      </c>
      <c r="Q371" s="3"/>
      <c r="R371" s="3"/>
      <c r="T371" s="3"/>
      <c r="U371" s="5"/>
      <c r="W371" s="3"/>
      <c r="Z371" s="3"/>
      <c r="AA371" s="3"/>
      <c r="AC371" s="3"/>
      <c r="AD371" s="3"/>
      <c r="AF371" s="3"/>
      <c r="AG371" s="3"/>
      <c r="AI371" s="3"/>
      <c r="AJ371" s="1"/>
      <c r="AL371" s="3"/>
      <c r="AO371" s="3"/>
      <c r="AP371" s="3"/>
      <c r="AR371" s="3"/>
      <c r="AS371" s="3"/>
      <c r="AU371" s="3"/>
      <c r="AV371" s="3"/>
      <c r="AX371" s="3"/>
      <c r="AY371" s="5"/>
      <c r="BA371" s="3"/>
      <c r="BD371" s="3"/>
      <c r="BE371" s="3"/>
      <c r="BG371" s="3"/>
      <c r="BH371" s="3"/>
      <c r="BJ371" s="3"/>
      <c r="BK371" s="3"/>
      <c r="BM371" s="3"/>
      <c r="BN371" s="5"/>
      <c r="BP371" s="3"/>
      <c r="BS371" s="3"/>
      <c r="BT371" s="3"/>
      <c r="BV371" s="3"/>
      <c r="BW371" s="3"/>
      <c r="BY371" s="3"/>
      <c r="BZ371" s="3"/>
      <c r="CB371" s="3"/>
      <c r="CC371" s="5"/>
      <c r="CE371" s="3"/>
      <c r="CH371" s="3"/>
      <c r="CI371" s="3"/>
      <c r="CK371" s="3"/>
      <c r="CL371" s="3"/>
      <c r="CN371" s="3"/>
      <c r="CO371" s="3"/>
      <c r="CQ371" s="3"/>
      <c r="CR371" s="5"/>
      <c r="CT371" s="3"/>
      <c r="CW371" s="3"/>
      <c r="CX371" s="3"/>
      <c r="CZ371" s="3"/>
      <c r="DA371" s="3"/>
      <c r="DC371" s="3"/>
      <c r="DD371" s="3" t="s">
        <v>1160</v>
      </c>
      <c r="DF371" s="3"/>
      <c r="DG371" s="5">
        <v>46100</v>
      </c>
      <c r="DI371" s="3"/>
      <c r="DJ371" s="1">
        <v>1</v>
      </c>
      <c r="DL371" s="3"/>
      <c r="DM371" s="3" t="s">
        <v>1243</v>
      </c>
      <c r="DO371" s="3"/>
      <c r="DP371" s="3" t="s">
        <v>1244</v>
      </c>
      <c r="DR371" s="3"/>
      <c r="DS371" s="1" t="str">
        <f>_xlfn.XLOOKUP(OfficeForms.Table[[#This Row],[Selecione a Categoria do Laboratório desta atividade prática:]],Planilha1!A:A,Planilha1!B:B)</f>
        <v>AGM</v>
      </c>
      <c r="DT371" s="1" t="str">
        <f>CONCATENATE(OfficeForms.Table[[#This Row],[Selecione seu Polo Laboratório de Atividades Presenciais:]],OfficeForms.Table[[#This Row],[CHAVE CONVERSÃO]])</f>
        <v>Catalão/GOAGM</v>
      </c>
      <c r="DU37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Identificação de plantas daninhas de interesse agronômico</v>
      </c>
      <c r="DV37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37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71" s="1" t="str">
        <f>_xlfn.XLOOKUP(OfficeForms.Table[[#This Row],[CHAVE LINK POLO]],'[1]Quadro Geral de Lotação'!$B:$B,'[1]Quadro Geral de Lotação'!$I:$I)</f>
        <v>Marla Maria Ferreira De Souza</v>
      </c>
      <c r="DY371" s="1" t="str">
        <f>OfficeForms.Table[[#This Row],[Selecione a Ordem de Disciplina]]</f>
        <v>Ordem 2</v>
      </c>
    </row>
    <row r="372" spans="1:129" ht="34.15" customHeight="1">
      <c r="A372" s="1">
        <v>372</v>
      </c>
      <c r="B372" s="2">
        <v>46101.608680555597</v>
      </c>
      <c r="C372" s="2">
        <v>46101.611226851797</v>
      </c>
      <c r="D372" s="3" t="s">
        <v>1245</v>
      </c>
      <c r="E372" s="3" t="s">
        <v>1246</v>
      </c>
      <c r="G372" s="3"/>
      <c r="I372" s="3" t="s">
        <v>1247</v>
      </c>
      <c r="K372" s="3"/>
      <c r="L372" s="1" t="s">
        <v>132</v>
      </c>
      <c r="O372" s="3" t="s">
        <v>177</v>
      </c>
      <c r="Q372" s="3"/>
      <c r="R372" s="3"/>
      <c r="T372" s="3"/>
      <c r="U372" s="5"/>
      <c r="W372" s="3"/>
      <c r="Z372" s="3"/>
      <c r="AA372" s="3"/>
      <c r="AC372" s="3"/>
      <c r="AD372" s="3"/>
      <c r="AF372" s="3"/>
      <c r="AG372" s="3"/>
      <c r="AI372" s="3"/>
      <c r="AJ372" s="1"/>
      <c r="AL372" s="3"/>
      <c r="AO372" s="3"/>
      <c r="AP372" s="3"/>
      <c r="AR372" s="3"/>
      <c r="AS372" s="3"/>
      <c r="AU372" s="3"/>
      <c r="AV372" s="3"/>
      <c r="AX372" s="3"/>
      <c r="AY372" s="5"/>
      <c r="BA372" s="3"/>
      <c r="BD372" s="3"/>
      <c r="BE372" s="3"/>
      <c r="BG372" s="3"/>
      <c r="BH372" s="3"/>
      <c r="BJ372" s="3"/>
      <c r="BK372" s="3"/>
      <c r="BM372" s="3"/>
      <c r="BN372" s="5"/>
      <c r="BP372" s="3"/>
      <c r="BS372" s="3"/>
      <c r="BT372" s="3"/>
      <c r="BV372" s="3"/>
      <c r="BW372" s="3"/>
      <c r="BY372" s="3"/>
      <c r="BZ372" s="3"/>
      <c r="CB372" s="3"/>
      <c r="CC372" s="5"/>
      <c r="CE372" s="3"/>
      <c r="CH372" s="3"/>
      <c r="CI372" s="3"/>
      <c r="CK372" s="3"/>
      <c r="CL372" s="3"/>
      <c r="CN372" s="3"/>
      <c r="CO372" s="3"/>
      <c r="CQ372" s="3"/>
      <c r="CR372" s="5"/>
      <c r="CT372" s="3"/>
      <c r="CW372" s="3"/>
      <c r="CX372" s="3"/>
      <c r="CZ372" s="3"/>
      <c r="DA372" s="3"/>
      <c r="DC372" s="3"/>
      <c r="DD372" s="3" t="s">
        <v>341</v>
      </c>
      <c r="DF372" s="3"/>
      <c r="DG372" s="5">
        <v>46079</v>
      </c>
      <c r="DI372" s="3"/>
      <c r="DJ372" s="1">
        <v>1</v>
      </c>
      <c r="DL372" s="3"/>
      <c r="DM372" s="3" t="s">
        <v>1248</v>
      </c>
      <c r="DO372" s="3"/>
      <c r="DP372" s="3" t="s">
        <v>1249</v>
      </c>
      <c r="DR372" s="3"/>
      <c r="DS372" s="1" t="str">
        <f>_xlfn.XLOOKUP(OfficeForms.Table[[#This Row],[Selecione a Categoria do Laboratório desta atividade prática:]],Planilha1!A:A,Planilha1!B:B)</f>
        <v>AGM</v>
      </c>
      <c r="DT372" s="1" t="str">
        <f>CONCATENATE(OfficeForms.Table[[#This Row],[Selecione seu Polo Laboratório de Atividades Presenciais:]],OfficeForms.Table[[#This Row],[CHAVE CONVERSÃO]])</f>
        <v>Belo Horizonte/MG - Shopping Estação BHAGM</v>
      </c>
      <c r="DU37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Caracterização bioquímica de bactérias</v>
      </c>
      <c r="DV37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37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72" s="1" t="str">
        <f>_xlfn.XLOOKUP(OfficeForms.Table[[#This Row],[CHAVE LINK POLO]],'[1]Quadro Geral de Lotação'!$B:$B,'[1]Quadro Geral de Lotação'!$I:$I)</f>
        <v>Ana Julia Ribeiro Dos Santos</v>
      </c>
      <c r="DY372" s="1" t="str">
        <f>OfficeForms.Table[[#This Row],[Selecione a Ordem de Disciplina]]</f>
        <v>Ordem 1</v>
      </c>
    </row>
    <row r="373" spans="1:129" ht="34.15" customHeight="1">
      <c r="A373" s="1">
        <v>373</v>
      </c>
      <c r="B373" s="2">
        <v>46101.611631944397</v>
      </c>
      <c r="C373" s="2">
        <v>46101.6152546296</v>
      </c>
      <c r="D373" s="3" t="s">
        <v>1245</v>
      </c>
      <c r="E373" s="3" t="s">
        <v>1246</v>
      </c>
      <c r="G373" s="3"/>
      <c r="I373" s="3" t="s">
        <v>1247</v>
      </c>
      <c r="K373" s="3"/>
      <c r="L373" s="1" t="s">
        <v>132</v>
      </c>
      <c r="O373" s="3" t="s">
        <v>177</v>
      </c>
      <c r="Q373" s="3"/>
      <c r="R373" s="3"/>
      <c r="T373" s="3"/>
      <c r="U373" s="5"/>
      <c r="W373" s="3"/>
      <c r="Z373" s="3"/>
      <c r="AA373" s="3"/>
      <c r="AC373" s="3"/>
      <c r="AD373" s="3"/>
      <c r="AF373" s="3"/>
      <c r="AG373" s="3"/>
      <c r="AI373" s="3"/>
      <c r="AJ373" s="1"/>
      <c r="AL373" s="3"/>
      <c r="AO373" s="3"/>
      <c r="AP373" s="3"/>
      <c r="AR373" s="3"/>
      <c r="AS373" s="3"/>
      <c r="AU373" s="3"/>
      <c r="AV373" s="3"/>
      <c r="AX373" s="3"/>
      <c r="AY373" s="5"/>
      <c r="BA373" s="3"/>
      <c r="BD373" s="3"/>
      <c r="BE373" s="3"/>
      <c r="BG373" s="3"/>
      <c r="BH373" s="3"/>
      <c r="BJ373" s="3"/>
      <c r="BK373" s="3"/>
      <c r="BM373" s="3"/>
      <c r="BN373" s="5"/>
      <c r="BP373" s="3"/>
      <c r="BS373" s="3"/>
      <c r="BT373" s="3"/>
      <c r="BV373" s="3"/>
      <c r="BW373" s="3"/>
      <c r="BY373" s="3"/>
      <c r="BZ373" s="3"/>
      <c r="CB373" s="3"/>
      <c r="CC373" s="5"/>
      <c r="CE373" s="3"/>
      <c r="CH373" s="3"/>
      <c r="CI373" s="3"/>
      <c r="CK373" s="3"/>
      <c r="CL373" s="3"/>
      <c r="CN373" s="3"/>
      <c r="CO373" s="3"/>
      <c r="CQ373" s="3"/>
      <c r="CR373" s="5"/>
      <c r="CT373" s="3"/>
      <c r="CW373" s="3"/>
      <c r="CX373" s="3"/>
      <c r="CZ373" s="3"/>
      <c r="DA373" s="3"/>
      <c r="DC373" s="3"/>
      <c r="DD373" s="3" t="s">
        <v>200</v>
      </c>
      <c r="DF373" s="3"/>
      <c r="DG373" s="5">
        <v>46093</v>
      </c>
      <c r="DI373" s="3"/>
      <c r="DJ373" s="1">
        <v>0</v>
      </c>
      <c r="DL373" s="3"/>
      <c r="DM373" s="3" t="s">
        <v>1250</v>
      </c>
      <c r="DO373" s="3"/>
      <c r="DP373" s="3" t="s">
        <v>1251</v>
      </c>
      <c r="DR373" s="3"/>
      <c r="DS373" s="1" t="str">
        <f>_xlfn.XLOOKUP(OfficeForms.Table[[#This Row],[Selecione a Categoria do Laboratório desta atividade prática:]],Planilha1!A:A,Planilha1!B:B)</f>
        <v>AGM</v>
      </c>
      <c r="DT373" s="1" t="str">
        <f>CONCATENATE(OfficeForms.Table[[#This Row],[Selecione seu Polo Laboratório de Atividades Presenciais:]],OfficeForms.Table[[#This Row],[CHAVE CONVERSÃO]])</f>
        <v>Belo Horizonte/MG - Shopping Estação BHAGM</v>
      </c>
      <c r="DU37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Métodos de determinação da fertilidade do solo</v>
      </c>
      <c r="DV37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37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73" s="1" t="str">
        <f>_xlfn.XLOOKUP(OfficeForms.Table[[#This Row],[CHAVE LINK POLO]],'[1]Quadro Geral de Lotação'!$B:$B,'[1]Quadro Geral de Lotação'!$I:$I)</f>
        <v>Ana Julia Ribeiro Dos Santos</v>
      </c>
      <c r="DY373" s="1" t="str">
        <f>OfficeForms.Table[[#This Row],[Selecione a Ordem de Disciplina]]</f>
        <v>Ordem 1</v>
      </c>
    </row>
    <row r="374" spans="1:129" ht="34.15" customHeight="1">
      <c r="A374" s="1">
        <v>374</v>
      </c>
      <c r="B374" s="2">
        <v>46101.611990740697</v>
      </c>
      <c r="C374" s="2">
        <v>46101.617569444403</v>
      </c>
      <c r="D374" s="3" t="s">
        <v>281</v>
      </c>
      <c r="E374" s="3" t="s">
        <v>282</v>
      </c>
      <c r="G374" s="3"/>
      <c r="I374" s="3" t="s">
        <v>283</v>
      </c>
      <c r="K374" s="3"/>
      <c r="L374" s="1" t="s">
        <v>678</v>
      </c>
      <c r="O374" s="3" t="s">
        <v>156</v>
      </c>
      <c r="Q374" s="3"/>
      <c r="R374" s="3"/>
      <c r="T374" s="3"/>
      <c r="U374" s="5"/>
      <c r="W374" s="3"/>
      <c r="Z374" s="3"/>
      <c r="AA374" s="3"/>
      <c r="AC374" s="3"/>
      <c r="AD374" s="3"/>
      <c r="AF374" s="3"/>
      <c r="AG374" s="3"/>
      <c r="AI374" s="3"/>
      <c r="AJ374" s="1"/>
      <c r="AL374" s="3"/>
      <c r="AO374" s="3"/>
      <c r="AP374" s="3"/>
      <c r="AR374" s="3"/>
      <c r="AS374" s="3"/>
      <c r="AU374" s="3"/>
      <c r="AV374" s="3"/>
      <c r="AX374" s="3"/>
      <c r="AY374" s="5"/>
      <c r="BA374" s="3"/>
      <c r="BD374" s="3"/>
      <c r="BE374" s="3"/>
      <c r="BG374" s="3"/>
      <c r="BH374" s="3"/>
      <c r="BJ374" s="3"/>
      <c r="BK374" s="3" t="s">
        <v>1237</v>
      </c>
      <c r="BM374" s="3"/>
      <c r="BN374" s="5">
        <v>46098</v>
      </c>
      <c r="BP374" s="3"/>
      <c r="BQ374" s="1">
        <v>3</v>
      </c>
      <c r="BS374" s="3"/>
      <c r="BT374" s="3" t="s">
        <v>1252</v>
      </c>
      <c r="BV374" s="3"/>
      <c r="BW374" s="3" t="s">
        <v>1253</v>
      </c>
      <c r="BY374" s="3"/>
      <c r="BZ374" s="3"/>
      <c r="CB374" s="3"/>
      <c r="CC374" s="5"/>
      <c r="CE374" s="3"/>
      <c r="CH374" s="3"/>
      <c r="CI374" s="3"/>
      <c r="CK374" s="3"/>
      <c r="CL374" s="3"/>
      <c r="CN374" s="3"/>
      <c r="CO374" s="3"/>
      <c r="CQ374" s="3"/>
      <c r="CR374" s="5"/>
      <c r="CT374" s="3"/>
      <c r="CW374" s="3"/>
      <c r="CX374" s="3"/>
      <c r="CZ374" s="3"/>
      <c r="DA374" s="3"/>
      <c r="DC374" s="3"/>
      <c r="DD374" s="3"/>
      <c r="DF374" s="3"/>
      <c r="DG374" s="5"/>
      <c r="DI374" s="3"/>
      <c r="DL374" s="3"/>
      <c r="DM374" s="3"/>
      <c r="DO374" s="3"/>
      <c r="DP374" s="3"/>
      <c r="DR374" s="3"/>
      <c r="DS374" s="1" t="str">
        <f>_xlfn.XLOOKUP(OfficeForms.Table[[#This Row],[Selecione a Categoria do Laboratório desta atividade prática:]],Planilha1!A:A,Planilha1!B:B)</f>
        <v>NTR</v>
      </c>
      <c r="DT374" s="1" t="str">
        <f>CONCATENATE(OfficeForms.Table[[#This Row],[Selecione seu Polo Laboratório de Atividades Presenciais:]],OfficeForms.Table[[#This Row],[CHAVE CONVERSÃO]])</f>
        <v>Criciúma/SCNTR</v>
      </c>
      <c r="DU37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37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37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374" s="1" t="str">
        <f>_xlfn.XLOOKUP(OfficeForms.Table[[#This Row],[CHAVE LINK POLO]],'[1]Quadro Geral de Lotação'!$B:$B,'[1]Quadro Geral de Lotação'!$I:$I)</f>
        <v>Izabela Cechinel Biela</v>
      </c>
      <c r="DY374" s="1" t="str">
        <f>OfficeForms.Table[[#This Row],[Selecione a Ordem de Disciplina]]</f>
        <v>Ordem 2</v>
      </c>
    </row>
    <row r="375" spans="1:129" ht="34.15" customHeight="1">
      <c r="A375" s="1">
        <v>375</v>
      </c>
      <c r="B375" s="2">
        <v>46101.6176388889</v>
      </c>
      <c r="C375" s="2">
        <v>46101.618229166699</v>
      </c>
      <c r="D375" s="3" t="s">
        <v>281</v>
      </c>
      <c r="E375" s="3" t="s">
        <v>282</v>
      </c>
      <c r="G375" s="3"/>
      <c r="I375" s="3" t="s">
        <v>283</v>
      </c>
      <c r="K375" s="3"/>
      <c r="L375" s="1" t="s">
        <v>678</v>
      </c>
      <c r="O375" s="3" t="s">
        <v>156</v>
      </c>
      <c r="Q375" s="3"/>
      <c r="R375" s="3"/>
      <c r="T375" s="3"/>
      <c r="U375" s="5"/>
      <c r="W375" s="3"/>
      <c r="Z375" s="3"/>
      <c r="AA375" s="3"/>
      <c r="AC375" s="3"/>
      <c r="AD375" s="3"/>
      <c r="AF375" s="3"/>
      <c r="AG375" s="3"/>
      <c r="AI375" s="3"/>
      <c r="AJ375" s="1"/>
      <c r="AL375" s="3"/>
      <c r="AO375" s="3"/>
      <c r="AP375" s="3"/>
      <c r="AR375" s="3"/>
      <c r="AS375" s="3"/>
      <c r="AU375" s="3"/>
      <c r="AV375" s="3"/>
      <c r="AX375" s="3"/>
      <c r="AY375" s="5"/>
      <c r="BA375" s="3"/>
      <c r="BD375" s="3"/>
      <c r="BE375" s="3"/>
      <c r="BG375" s="3"/>
      <c r="BH375" s="3"/>
      <c r="BJ375" s="3"/>
      <c r="BK375" s="3" t="s">
        <v>1240</v>
      </c>
      <c r="BM375" s="3"/>
      <c r="BN375" s="5">
        <v>46098</v>
      </c>
      <c r="BP375" s="3"/>
      <c r="BQ375" s="1">
        <v>3</v>
      </c>
      <c r="BS375" s="3"/>
      <c r="BT375" s="3" t="s">
        <v>1254</v>
      </c>
      <c r="BV375" s="3"/>
      <c r="BW375" s="3" t="s">
        <v>1255</v>
      </c>
      <c r="BY375" s="3"/>
      <c r="BZ375" s="3"/>
      <c r="CB375" s="3"/>
      <c r="CC375" s="5"/>
      <c r="CE375" s="3"/>
      <c r="CH375" s="3"/>
      <c r="CI375" s="3"/>
      <c r="CK375" s="3"/>
      <c r="CL375" s="3"/>
      <c r="CN375" s="3"/>
      <c r="CO375" s="3"/>
      <c r="CQ375" s="3"/>
      <c r="CR375" s="5"/>
      <c r="CT375" s="3"/>
      <c r="CW375" s="3"/>
      <c r="CX375" s="3"/>
      <c r="CZ375" s="3"/>
      <c r="DA375" s="3"/>
      <c r="DC375" s="3"/>
      <c r="DD375" s="3"/>
      <c r="DF375" s="3"/>
      <c r="DG375" s="5"/>
      <c r="DI375" s="3"/>
      <c r="DL375" s="3"/>
      <c r="DM375" s="3"/>
      <c r="DO375" s="3"/>
      <c r="DP375" s="3"/>
      <c r="DR375" s="3"/>
      <c r="DS375" s="1" t="str">
        <f>_xlfn.XLOOKUP(OfficeForms.Table[[#This Row],[Selecione a Categoria do Laboratório desta atividade prática:]],Planilha1!A:A,Planilha1!B:B)</f>
        <v>NTR</v>
      </c>
      <c r="DT375" s="1" t="str">
        <f>CONCATENATE(OfficeForms.Table[[#This Row],[Selecione seu Polo Laboratório de Atividades Presenciais:]],OfficeForms.Table[[#This Row],[CHAVE CONVERSÃO]])</f>
        <v>Criciúma/SCNTR</v>
      </c>
      <c r="DU37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37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37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375" s="1" t="str">
        <f>_xlfn.XLOOKUP(OfficeForms.Table[[#This Row],[CHAVE LINK POLO]],'[1]Quadro Geral de Lotação'!$B:$B,'[1]Quadro Geral de Lotação'!$I:$I)</f>
        <v>Izabela Cechinel Biela</v>
      </c>
      <c r="DY375" s="1" t="str">
        <f>OfficeForms.Table[[#This Row],[Selecione a Ordem de Disciplina]]</f>
        <v>Ordem 2</v>
      </c>
    </row>
    <row r="376" spans="1:129" ht="34.15" customHeight="1">
      <c r="A376" s="1">
        <v>376</v>
      </c>
      <c r="B376" s="2">
        <v>46101.615798611099</v>
      </c>
      <c r="C376" s="2">
        <v>46101.619872685202</v>
      </c>
      <c r="D376" s="3" t="s">
        <v>232</v>
      </c>
      <c r="E376" s="3" t="s">
        <v>233</v>
      </c>
      <c r="G376" s="3"/>
      <c r="I376" s="3" t="s">
        <v>234</v>
      </c>
      <c r="K376" s="3"/>
      <c r="L376" s="1" t="s">
        <v>132</v>
      </c>
      <c r="O376" s="3" t="s">
        <v>184</v>
      </c>
      <c r="Q376" s="3"/>
      <c r="R376" s="3"/>
      <c r="T376" s="3"/>
      <c r="U376" s="5"/>
      <c r="W376" s="3"/>
      <c r="Z376" s="3"/>
      <c r="AA376" s="3"/>
      <c r="AC376" s="3"/>
      <c r="AD376" s="3"/>
      <c r="AF376" s="3"/>
      <c r="AG376" s="3" t="s">
        <v>322</v>
      </c>
      <c r="AI376" s="3"/>
      <c r="AJ376" s="1">
        <v>46092</v>
      </c>
      <c r="AL376" s="3"/>
      <c r="AM376" s="1">
        <v>3</v>
      </c>
      <c r="AO376" s="3"/>
      <c r="AP376" s="3" t="s">
        <v>1256</v>
      </c>
      <c r="AR376" s="3"/>
      <c r="AS376" s="3" t="s">
        <v>1257</v>
      </c>
      <c r="AU376" s="3"/>
      <c r="AV376" s="3"/>
      <c r="AX376" s="3"/>
      <c r="AY376" s="5"/>
      <c r="BA376" s="3"/>
      <c r="BD376" s="3"/>
      <c r="BE376" s="3"/>
      <c r="BG376" s="3"/>
      <c r="BH376" s="3"/>
      <c r="BJ376" s="3"/>
      <c r="BK376" s="3"/>
      <c r="BM376" s="3"/>
      <c r="BN376" s="5"/>
      <c r="BP376" s="3"/>
      <c r="BS376" s="3"/>
      <c r="BT376" s="3"/>
      <c r="BV376" s="3"/>
      <c r="BW376" s="3"/>
      <c r="BY376" s="3"/>
      <c r="BZ376" s="3"/>
      <c r="CB376" s="3"/>
      <c r="CC376" s="5"/>
      <c r="CE376" s="3"/>
      <c r="CH376" s="3"/>
      <c r="CI376" s="3"/>
      <c r="CK376" s="3"/>
      <c r="CL376" s="3"/>
      <c r="CN376" s="3"/>
      <c r="CO376" s="3"/>
      <c r="CQ376" s="3"/>
      <c r="CR376" s="5"/>
      <c r="CT376" s="3"/>
      <c r="CW376" s="3"/>
      <c r="CX376" s="3"/>
      <c r="CZ376" s="3"/>
      <c r="DA376" s="3"/>
      <c r="DC376" s="3"/>
      <c r="DD376" s="3"/>
      <c r="DF376" s="3"/>
      <c r="DG376" s="5"/>
      <c r="DI376" s="3"/>
      <c r="DL376" s="3"/>
      <c r="DM376" s="3"/>
      <c r="DO376" s="3"/>
      <c r="DP376" s="3"/>
      <c r="DR376" s="3"/>
      <c r="DS376" s="1" t="str">
        <f>_xlfn.XLOOKUP(OfficeForms.Table[[#This Row],[Selecione a Categoria do Laboratório desta atividade prática:]],Planilha1!A:A,Planilha1!B:B)</f>
        <v>EMF-ISN</v>
      </c>
      <c r="DT376" s="1" t="str">
        <f>CONCATENATE(OfficeForms.Table[[#This Row],[Selecione seu Polo Laboratório de Atividades Presenciais:]],OfficeForms.Table[[#This Row],[CHAVE CONVERSÃO]])</f>
        <v>Santa Fé do Sul/SPEMF-ISN</v>
      </c>
      <c r="DU37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37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37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376" s="1" t="str">
        <f>_xlfn.XLOOKUP(OfficeForms.Table[[#This Row],[CHAVE LINK POLO]],'[1]Quadro Geral de Lotação'!$B:$B,'[1]Quadro Geral de Lotação'!$I:$I)</f>
        <v>Mariana Mirian Correia</v>
      </c>
      <c r="DY376" s="1" t="str">
        <f>OfficeForms.Table[[#This Row],[Selecione a Ordem de Disciplina]]</f>
        <v>Ordem 1</v>
      </c>
    </row>
    <row r="377" spans="1:129" ht="34.15" customHeight="1">
      <c r="A377" s="1">
        <v>377</v>
      </c>
      <c r="B377" s="2">
        <v>46101.675601851799</v>
      </c>
      <c r="C377" s="2">
        <v>46101.6769907407</v>
      </c>
      <c r="D377" s="3" t="s">
        <v>1258</v>
      </c>
      <c r="E377" s="3" t="s">
        <v>1259</v>
      </c>
      <c r="G377" s="3"/>
      <c r="I377" s="3" t="s">
        <v>275</v>
      </c>
      <c r="K377" s="3"/>
      <c r="L377" s="1" t="s">
        <v>132</v>
      </c>
      <c r="O377" s="3" t="s">
        <v>156</v>
      </c>
      <c r="Q377" s="3"/>
      <c r="R377" s="3"/>
      <c r="T377" s="3"/>
      <c r="U377" s="5"/>
      <c r="W377" s="3"/>
      <c r="Z377" s="3"/>
      <c r="AA377" s="3"/>
      <c r="AC377" s="3"/>
      <c r="AD377" s="3"/>
      <c r="AF377" s="3"/>
      <c r="AG377" s="3"/>
      <c r="AI377" s="3"/>
      <c r="AJ377" s="1"/>
      <c r="AL377" s="3"/>
      <c r="AO377" s="3"/>
      <c r="AP377" s="3"/>
      <c r="AR377" s="3"/>
      <c r="AS377" s="3"/>
      <c r="AU377" s="3"/>
      <c r="AV377" s="3"/>
      <c r="AX377" s="3"/>
      <c r="AY377" s="5"/>
      <c r="BA377" s="3"/>
      <c r="BD377" s="3"/>
      <c r="BE377" s="3"/>
      <c r="BG377" s="3"/>
      <c r="BH377" s="3"/>
      <c r="BJ377" s="3"/>
      <c r="BK377" s="3" t="s">
        <v>157</v>
      </c>
      <c r="BM377" s="3"/>
      <c r="BN377" s="5">
        <v>46077</v>
      </c>
      <c r="BP377" s="3"/>
      <c r="BQ377" s="1">
        <v>8</v>
      </c>
      <c r="BS377" s="3"/>
      <c r="BT377" s="3" t="s">
        <v>1260</v>
      </c>
      <c r="BV377" s="3"/>
      <c r="BW377" s="3" t="s">
        <v>1261</v>
      </c>
      <c r="BY377" s="3"/>
      <c r="BZ377" s="3"/>
      <c r="CB377" s="3"/>
      <c r="CC377" s="5"/>
      <c r="CE377" s="3"/>
      <c r="CH377" s="3"/>
      <c r="CI377" s="3"/>
      <c r="CK377" s="3"/>
      <c r="CL377" s="3"/>
      <c r="CN377" s="3"/>
      <c r="CO377" s="3"/>
      <c r="CQ377" s="3"/>
      <c r="CR377" s="5"/>
      <c r="CT377" s="3"/>
      <c r="CW377" s="3"/>
      <c r="CX377" s="3"/>
      <c r="CZ377" s="3"/>
      <c r="DA377" s="3"/>
      <c r="DC377" s="3"/>
      <c r="DD377" s="3"/>
      <c r="DF377" s="3"/>
      <c r="DG377" s="5"/>
      <c r="DI377" s="3"/>
      <c r="DL377" s="3"/>
      <c r="DM377" s="3"/>
      <c r="DO377" s="3"/>
      <c r="DP377" s="3"/>
      <c r="DR377" s="3"/>
      <c r="DS377" s="1" t="str">
        <f>_xlfn.XLOOKUP(OfficeForms.Table[[#This Row],[Selecione a Categoria do Laboratório desta atividade prática:]],Planilha1!A:A,Planilha1!B:B)</f>
        <v>NTR</v>
      </c>
      <c r="DT377" s="1" t="str">
        <f>CONCATENATE(OfficeForms.Table[[#This Row],[Selecione seu Polo Laboratório de Atividades Presenciais:]],OfficeForms.Table[[#This Row],[CHAVE CONVERSÃO]])</f>
        <v>Porto Alegre/RS - Zona NorteNTR</v>
      </c>
      <c r="DU37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37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37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377" s="1" t="str">
        <f>_xlfn.XLOOKUP(OfficeForms.Table[[#This Row],[CHAVE LINK POLO]],'[1]Quadro Geral de Lotação'!$B:$B,'[1]Quadro Geral de Lotação'!$I:$I)</f>
        <v>Janaina Pieruccini Pulgatti</v>
      </c>
      <c r="DY377" s="1" t="str">
        <f>OfficeForms.Table[[#This Row],[Selecione a Ordem de Disciplina]]</f>
        <v>Ordem 1</v>
      </c>
    </row>
    <row r="378" spans="1:129" ht="34.15" customHeight="1">
      <c r="A378" s="1">
        <v>378</v>
      </c>
      <c r="B378" s="2">
        <v>46101.676678240699</v>
      </c>
      <c r="C378" s="2">
        <v>46101.677870370397</v>
      </c>
      <c r="D378" s="3" t="s">
        <v>137</v>
      </c>
      <c r="E378" s="3" t="s">
        <v>138</v>
      </c>
      <c r="G378" s="3"/>
      <c r="I378" s="3" t="s">
        <v>139</v>
      </c>
      <c r="K378" s="3"/>
      <c r="L378" s="1" t="s">
        <v>678</v>
      </c>
      <c r="O378" s="3" t="s">
        <v>140</v>
      </c>
      <c r="Q378" s="3"/>
      <c r="R378" s="3"/>
      <c r="T378" s="3"/>
      <c r="U378" s="5"/>
      <c r="W378" s="3"/>
      <c r="Z378" s="3"/>
      <c r="AA378" s="3"/>
      <c r="AC378" s="3"/>
      <c r="AD378" s="3"/>
      <c r="AF378" s="3"/>
      <c r="AG378" s="3"/>
      <c r="AI378" s="3"/>
      <c r="AJ378" s="1"/>
      <c r="AL378" s="3"/>
      <c r="AO378" s="3"/>
      <c r="AP378" s="3"/>
      <c r="AR378" s="3"/>
      <c r="AS378" s="3"/>
      <c r="AU378" s="3"/>
      <c r="AV378" s="3"/>
      <c r="AX378" s="3"/>
      <c r="AY378" s="5"/>
      <c r="BA378" s="3"/>
      <c r="BD378" s="3"/>
      <c r="BE378" s="3"/>
      <c r="BG378" s="3"/>
      <c r="BH378" s="3"/>
      <c r="BJ378" s="3"/>
      <c r="BK378" s="3"/>
      <c r="BM378" s="3"/>
      <c r="BN378" s="5"/>
      <c r="BP378" s="3"/>
      <c r="BS378" s="3"/>
      <c r="BT378" s="3"/>
      <c r="BV378" s="3"/>
      <c r="BW378" s="3"/>
      <c r="BY378" s="3"/>
      <c r="BZ378" s="3" t="s">
        <v>1262</v>
      </c>
      <c r="CB378" s="3"/>
      <c r="CC378" s="5">
        <v>46100</v>
      </c>
      <c r="CE378" s="3"/>
      <c r="CF378" s="1">
        <v>0</v>
      </c>
      <c r="CH378" s="3"/>
      <c r="CI378" s="3" t="s">
        <v>1263</v>
      </c>
      <c r="CK378" s="3"/>
      <c r="CL378" s="3" t="s">
        <v>1264</v>
      </c>
      <c r="CN378" s="3"/>
      <c r="CO378" s="3"/>
      <c r="CQ378" s="3"/>
      <c r="CR378" s="5"/>
      <c r="CT378" s="3"/>
      <c r="CW378" s="3"/>
      <c r="CX378" s="3"/>
      <c r="CZ378" s="3"/>
      <c r="DA378" s="3"/>
      <c r="DC378" s="3"/>
      <c r="DD378" s="3"/>
      <c r="DF378" s="3"/>
      <c r="DG378" s="5"/>
      <c r="DI378" s="3"/>
      <c r="DL378" s="3"/>
      <c r="DM378" s="3"/>
      <c r="DO378" s="3"/>
      <c r="DP378" s="3"/>
      <c r="DR378" s="3"/>
      <c r="DS378" s="1" t="str">
        <f>_xlfn.XLOOKUP(OfficeForms.Table[[#This Row],[Selecione a Categoria do Laboratório desta atividade prática:]],Planilha1!A:A,Planilha1!B:B)</f>
        <v>ECE-ENM-ENS-ENG-EEA-GPI-CDE-OBR-SAN-TER-FSA-SLF-QUI</v>
      </c>
      <c r="DT378" s="1" t="str">
        <f>CONCATENATE(OfficeForms.Table[[#This Row],[Selecione seu Polo Laboratório de Atividades Presenciais:]],OfficeForms.Table[[#This Row],[CHAVE CONVERSÃO]])</f>
        <v>Chapecó/SC - CentroECE-ENM-ENS-ENG-EEA-GPI-CDE-OBR-SAN-TER-FSA-SLF-QUI</v>
      </c>
      <c r="DU37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 Representações do Desenho Técnico + Cotas e Escalas</v>
      </c>
      <c r="DV37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37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78" s="1" t="str">
        <f>_xlfn.XLOOKUP(OfficeForms.Table[[#This Row],[CHAVE LINK POLO]],'[1]Quadro Geral de Lotação'!$B:$B,'[1]Quadro Geral de Lotação'!$I:$I)</f>
        <v>Gabriela Fanck Dos Santos</v>
      </c>
      <c r="DY378" s="1" t="str">
        <f>OfficeForms.Table[[#This Row],[Selecione a Ordem de Disciplina]]</f>
        <v>Ordem 2</v>
      </c>
    </row>
    <row r="379" spans="1:129" ht="34.15" customHeight="1">
      <c r="A379" s="1">
        <v>379</v>
      </c>
      <c r="B379" s="2">
        <v>46101.677083333299</v>
      </c>
      <c r="C379" s="2">
        <v>46101.677905092598</v>
      </c>
      <c r="D379" s="3" t="s">
        <v>1258</v>
      </c>
      <c r="E379" s="3" t="s">
        <v>1259</v>
      </c>
      <c r="G379" s="3"/>
      <c r="I379" s="3" t="s">
        <v>275</v>
      </c>
      <c r="K379" s="3"/>
      <c r="L379" s="1" t="s">
        <v>132</v>
      </c>
      <c r="O379" s="3" t="s">
        <v>156</v>
      </c>
      <c r="Q379" s="3"/>
      <c r="R379" s="3"/>
      <c r="T379" s="3"/>
      <c r="U379" s="5"/>
      <c r="W379" s="3"/>
      <c r="Z379" s="3"/>
      <c r="AA379" s="3"/>
      <c r="AC379" s="3"/>
      <c r="AD379" s="3"/>
      <c r="AF379" s="3"/>
      <c r="AG379" s="3"/>
      <c r="AI379" s="3"/>
      <c r="AJ379" s="1"/>
      <c r="AL379" s="3"/>
      <c r="AO379" s="3"/>
      <c r="AP379" s="3"/>
      <c r="AR379" s="3"/>
      <c r="AS379" s="3"/>
      <c r="AU379" s="3"/>
      <c r="AV379" s="3"/>
      <c r="AX379" s="3"/>
      <c r="AY379" s="5"/>
      <c r="BA379" s="3"/>
      <c r="BD379" s="3"/>
      <c r="BE379" s="3"/>
      <c r="BG379" s="3"/>
      <c r="BH379" s="3"/>
      <c r="BJ379" s="3"/>
      <c r="BK379" s="3" t="s">
        <v>157</v>
      </c>
      <c r="BM379" s="3"/>
      <c r="BN379" s="5">
        <v>46077</v>
      </c>
      <c r="BP379" s="3"/>
      <c r="BQ379" s="1">
        <v>3</v>
      </c>
      <c r="BS379" s="3"/>
      <c r="BT379" s="3" t="s">
        <v>1265</v>
      </c>
      <c r="BV379" s="3"/>
      <c r="BW379" s="3" t="s">
        <v>1266</v>
      </c>
      <c r="BY379" s="3"/>
      <c r="BZ379" s="3"/>
      <c r="CB379" s="3"/>
      <c r="CC379" s="5"/>
      <c r="CE379" s="3"/>
      <c r="CH379" s="3"/>
      <c r="CI379" s="3"/>
      <c r="CK379" s="3"/>
      <c r="CL379" s="3"/>
      <c r="CN379" s="3"/>
      <c r="CO379" s="3"/>
      <c r="CQ379" s="3"/>
      <c r="CR379" s="5"/>
      <c r="CT379" s="3"/>
      <c r="CW379" s="3"/>
      <c r="CX379" s="3"/>
      <c r="CZ379" s="3"/>
      <c r="DA379" s="3"/>
      <c r="DC379" s="3"/>
      <c r="DD379" s="3"/>
      <c r="DF379" s="3"/>
      <c r="DG379" s="5"/>
      <c r="DI379" s="3"/>
      <c r="DL379" s="3"/>
      <c r="DM379" s="3"/>
      <c r="DO379" s="3"/>
      <c r="DP379" s="3"/>
      <c r="DR379" s="3"/>
      <c r="DS379" s="1" t="str">
        <f>_xlfn.XLOOKUP(OfficeForms.Table[[#This Row],[Selecione a Categoria do Laboratório desta atividade prática:]],Planilha1!A:A,Planilha1!B:B)</f>
        <v>NTR</v>
      </c>
      <c r="DT379" s="1" t="str">
        <f>CONCATENATE(OfficeForms.Table[[#This Row],[Selecione seu Polo Laboratório de Atividades Presenciais:]],OfficeForms.Table[[#This Row],[CHAVE CONVERSÃO]])</f>
        <v>Porto Alegre/RS - Zona NorteNTR</v>
      </c>
      <c r="DU37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37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37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379" s="1" t="str">
        <f>_xlfn.XLOOKUP(OfficeForms.Table[[#This Row],[CHAVE LINK POLO]],'[1]Quadro Geral de Lotação'!$B:$B,'[1]Quadro Geral de Lotação'!$I:$I)</f>
        <v>Janaina Pieruccini Pulgatti</v>
      </c>
      <c r="DY379" s="1" t="str">
        <f>OfficeForms.Table[[#This Row],[Selecione a Ordem de Disciplina]]</f>
        <v>Ordem 1</v>
      </c>
    </row>
    <row r="380" spans="1:129" ht="34.15" customHeight="1">
      <c r="A380" s="1">
        <v>380</v>
      </c>
      <c r="B380" s="2">
        <v>46101.692071759302</v>
      </c>
      <c r="C380" s="2">
        <v>46101.6932407407</v>
      </c>
      <c r="D380" s="3" t="s">
        <v>1258</v>
      </c>
      <c r="E380" s="3" t="s">
        <v>1259</v>
      </c>
      <c r="G380" s="3"/>
      <c r="I380" s="3" t="s">
        <v>275</v>
      </c>
      <c r="K380" s="3"/>
      <c r="L380" s="1" t="s">
        <v>132</v>
      </c>
      <c r="O380" s="3" t="s">
        <v>156</v>
      </c>
      <c r="Q380" s="3"/>
      <c r="R380" s="3"/>
      <c r="T380" s="3"/>
      <c r="U380" s="5"/>
      <c r="W380" s="3"/>
      <c r="Z380" s="3"/>
      <c r="AA380" s="3"/>
      <c r="AC380" s="3"/>
      <c r="AD380" s="3"/>
      <c r="AF380" s="3"/>
      <c r="AG380" s="3"/>
      <c r="AI380" s="3"/>
      <c r="AJ380" s="1"/>
      <c r="AL380" s="3"/>
      <c r="AO380" s="3"/>
      <c r="AP380" s="3"/>
      <c r="AR380" s="3"/>
      <c r="AS380" s="3"/>
      <c r="AU380" s="3"/>
      <c r="AV380" s="3"/>
      <c r="AX380" s="3"/>
      <c r="AY380" s="5"/>
      <c r="BA380" s="3"/>
      <c r="BD380" s="3"/>
      <c r="BE380" s="3"/>
      <c r="BG380" s="3"/>
      <c r="BH380" s="3"/>
      <c r="BJ380" s="3"/>
      <c r="BK380" s="3" t="s">
        <v>165</v>
      </c>
      <c r="BM380" s="3"/>
      <c r="BN380" s="5">
        <v>46084</v>
      </c>
      <c r="BP380" s="3"/>
      <c r="BQ380" s="1">
        <v>9</v>
      </c>
      <c r="BS380" s="3"/>
      <c r="BT380" s="3" t="s">
        <v>1267</v>
      </c>
      <c r="BV380" s="3"/>
      <c r="BW380" s="3" t="s">
        <v>1268</v>
      </c>
      <c r="BY380" s="3"/>
      <c r="BZ380" s="3"/>
      <c r="CB380" s="3"/>
      <c r="CC380" s="5"/>
      <c r="CE380" s="3"/>
      <c r="CH380" s="3"/>
      <c r="CI380" s="3"/>
      <c r="CK380" s="3"/>
      <c r="CL380" s="3"/>
      <c r="CN380" s="3"/>
      <c r="CO380" s="3"/>
      <c r="CQ380" s="3"/>
      <c r="CR380" s="5"/>
      <c r="CT380" s="3"/>
      <c r="CW380" s="3"/>
      <c r="CX380" s="3"/>
      <c r="CZ380" s="3"/>
      <c r="DA380" s="3"/>
      <c r="DC380" s="3"/>
      <c r="DD380" s="3"/>
      <c r="DF380" s="3"/>
      <c r="DG380" s="5"/>
      <c r="DI380" s="3"/>
      <c r="DL380" s="3"/>
      <c r="DM380" s="3"/>
      <c r="DO380" s="3"/>
      <c r="DP380" s="3"/>
      <c r="DR380" s="3"/>
      <c r="DS380" s="1" t="str">
        <f>_xlfn.XLOOKUP(OfficeForms.Table[[#This Row],[Selecione a Categoria do Laboratório desta atividade prática:]],Planilha1!A:A,Planilha1!B:B)</f>
        <v>NTR</v>
      </c>
      <c r="DT380" s="1" t="str">
        <f>CONCATENATE(OfficeForms.Table[[#This Row],[Selecione seu Polo Laboratório de Atividades Presenciais:]],OfficeForms.Table[[#This Row],[CHAVE CONVERSÃO]])</f>
        <v>Porto Alegre/RS - Zona NorteNTR</v>
      </c>
      <c r="DU38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38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38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380" s="1" t="str">
        <f>_xlfn.XLOOKUP(OfficeForms.Table[[#This Row],[CHAVE LINK POLO]],'[1]Quadro Geral de Lotação'!$B:$B,'[1]Quadro Geral de Lotação'!$I:$I)</f>
        <v>Janaina Pieruccini Pulgatti</v>
      </c>
      <c r="DY380" s="1" t="str">
        <f>OfficeForms.Table[[#This Row],[Selecione a Ordem de Disciplina]]</f>
        <v>Ordem 1</v>
      </c>
    </row>
    <row r="381" spans="1:129" ht="34.15" customHeight="1">
      <c r="A381" s="1">
        <v>381</v>
      </c>
      <c r="B381" s="2">
        <v>46101.693321759303</v>
      </c>
      <c r="C381" s="2">
        <v>46101.6941435185</v>
      </c>
      <c r="D381" s="3" t="s">
        <v>1258</v>
      </c>
      <c r="E381" s="3" t="s">
        <v>1259</v>
      </c>
      <c r="G381" s="3"/>
      <c r="I381" s="3" t="s">
        <v>275</v>
      </c>
      <c r="K381" s="3"/>
      <c r="L381" s="1" t="s">
        <v>132</v>
      </c>
      <c r="O381" s="3" t="s">
        <v>156</v>
      </c>
      <c r="Q381" s="3"/>
      <c r="R381" s="3"/>
      <c r="T381" s="3"/>
      <c r="U381" s="5"/>
      <c r="W381" s="3"/>
      <c r="Z381" s="3"/>
      <c r="AA381" s="3"/>
      <c r="AC381" s="3"/>
      <c r="AD381" s="3"/>
      <c r="AF381" s="3"/>
      <c r="AG381" s="3"/>
      <c r="AI381" s="3"/>
      <c r="AJ381" s="1"/>
      <c r="AL381" s="3"/>
      <c r="AO381" s="3"/>
      <c r="AP381" s="3"/>
      <c r="AR381" s="3"/>
      <c r="AS381" s="3"/>
      <c r="AU381" s="3"/>
      <c r="AV381" s="3"/>
      <c r="AX381" s="3"/>
      <c r="AY381" s="5"/>
      <c r="BA381" s="3"/>
      <c r="BD381" s="3"/>
      <c r="BE381" s="3"/>
      <c r="BG381" s="3"/>
      <c r="BH381" s="3"/>
      <c r="BJ381" s="3"/>
      <c r="BK381" s="3" t="s">
        <v>165</v>
      </c>
      <c r="BM381" s="3"/>
      <c r="BN381" s="5">
        <v>46084</v>
      </c>
      <c r="BP381" s="3"/>
      <c r="BQ381" s="1">
        <v>2</v>
      </c>
      <c r="BS381" s="3"/>
      <c r="BT381" s="3" t="s">
        <v>1269</v>
      </c>
      <c r="BV381" s="3"/>
      <c r="BW381" s="3" t="s">
        <v>1270</v>
      </c>
      <c r="BY381" s="3"/>
      <c r="BZ381" s="3"/>
      <c r="CB381" s="3"/>
      <c r="CC381" s="5"/>
      <c r="CE381" s="3"/>
      <c r="CH381" s="3"/>
      <c r="CI381" s="3"/>
      <c r="CK381" s="3"/>
      <c r="CL381" s="3"/>
      <c r="CN381" s="3"/>
      <c r="CO381" s="3"/>
      <c r="CQ381" s="3"/>
      <c r="CR381" s="5"/>
      <c r="CT381" s="3"/>
      <c r="CW381" s="3"/>
      <c r="CX381" s="3"/>
      <c r="CZ381" s="3"/>
      <c r="DA381" s="3"/>
      <c r="DC381" s="3"/>
      <c r="DD381" s="3"/>
      <c r="DF381" s="3"/>
      <c r="DG381" s="5"/>
      <c r="DI381" s="3"/>
      <c r="DL381" s="3"/>
      <c r="DM381" s="3"/>
      <c r="DO381" s="3"/>
      <c r="DP381" s="3"/>
      <c r="DR381" s="3"/>
      <c r="DS381" s="1" t="str">
        <f>_xlfn.XLOOKUP(OfficeForms.Table[[#This Row],[Selecione a Categoria do Laboratório desta atividade prática:]],Planilha1!A:A,Planilha1!B:B)</f>
        <v>NTR</v>
      </c>
      <c r="DT381" s="1" t="str">
        <f>CONCATENATE(OfficeForms.Table[[#This Row],[Selecione seu Polo Laboratório de Atividades Presenciais:]],OfficeForms.Table[[#This Row],[CHAVE CONVERSÃO]])</f>
        <v>Porto Alegre/RS - Zona NorteNTR</v>
      </c>
      <c r="DU38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38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38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381" s="1" t="str">
        <f>_xlfn.XLOOKUP(OfficeForms.Table[[#This Row],[CHAVE LINK POLO]],'[1]Quadro Geral de Lotação'!$B:$B,'[1]Quadro Geral de Lotação'!$I:$I)</f>
        <v>Janaina Pieruccini Pulgatti</v>
      </c>
      <c r="DY381" s="1" t="str">
        <f>OfficeForms.Table[[#This Row],[Selecione a Ordem de Disciplina]]</f>
        <v>Ordem 1</v>
      </c>
    </row>
    <row r="382" spans="1:129" ht="34.15" customHeight="1">
      <c r="A382" s="1">
        <v>382</v>
      </c>
      <c r="B382" s="2">
        <v>46101.699108796303</v>
      </c>
      <c r="C382" s="2">
        <v>46101.700254629599</v>
      </c>
      <c r="D382" s="3" t="s">
        <v>1258</v>
      </c>
      <c r="E382" s="3" t="s">
        <v>1259</v>
      </c>
      <c r="G382" s="3"/>
      <c r="I382" s="3" t="s">
        <v>275</v>
      </c>
      <c r="K382" s="3"/>
      <c r="L382" s="1" t="s">
        <v>132</v>
      </c>
      <c r="O382" s="3" t="s">
        <v>156</v>
      </c>
      <c r="Q382" s="3"/>
      <c r="R382" s="3"/>
      <c r="T382" s="3"/>
      <c r="U382" s="5"/>
      <c r="W382" s="3"/>
      <c r="Z382" s="3"/>
      <c r="AA382" s="3"/>
      <c r="AC382" s="3"/>
      <c r="AD382" s="3"/>
      <c r="AF382" s="3"/>
      <c r="AG382" s="3"/>
      <c r="AI382" s="3"/>
      <c r="AJ382" s="1"/>
      <c r="AL382" s="3"/>
      <c r="AO382" s="3"/>
      <c r="AP382" s="3"/>
      <c r="AR382" s="3"/>
      <c r="AS382" s="3"/>
      <c r="AU382" s="3"/>
      <c r="AV382" s="3"/>
      <c r="AX382" s="3"/>
      <c r="AY382" s="5"/>
      <c r="BA382" s="3"/>
      <c r="BD382" s="3"/>
      <c r="BE382" s="3"/>
      <c r="BG382" s="3"/>
      <c r="BH382" s="3"/>
      <c r="BJ382" s="3"/>
      <c r="BK382" s="3" t="s">
        <v>748</v>
      </c>
      <c r="BM382" s="3"/>
      <c r="BN382" s="5">
        <v>46091</v>
      </c>
      <c r="BP382" s="3"/>
      <c r="BQ382" s="1">
        <v>6</v>
      </c>
      <c r="BS382" s="3"/>
      <c r="BT382" s="3" t="s">
        <v>1271</v>
      </c>
      <c r="BV382" s="3"/>
      <c r="BW382" s="3" t="s">
        <v>1272</v>
      </c>
      <c r="BY382" s="3"/>
      <c r="BZ382" s="3"/>
      <c r="CB382" s="3"/>
      <c r="CC382" s="5"/>
      <c r="CE382" s="3"/>
      <c r="CH382" s="3"/>
      <c r="CI382" s="3"/>
      <c r="CK382" s="3"/>
      <c r="CL382" s="3"/>
      <c r="CN382" s="3"/>
      <c r="CO382" s="3"/>
      <c r="CQ382" s="3"/>
      <c r="CR382" s="5"/>
      <c r="CT382" s="3"/>
      <c r="CW382" s="3"/>
      <c r="CX382" s="3"/>
      <c r="CZ382" s="3"/>
      <c r="DA382" s="3"/>
      <c r="DC382" s="3"/>
      <c r="DD382" s="3"/>
      <c r="DF382" s="3"/>
      <c r="DG382" s="5"/>
      <c r="DI382" s="3"/>
      <c r="DL382" s="3"/>
      <c r="DM382" s="3"/>
      <c r="DO382" s="3"/>
      <c r="DP382" s="3"/>
      <c r="DR382" s="3"/>
      <c r="DS382" s="1" t="str">
        <f>_xlfn.XLOOKUP(OfficeForms.Table[[#This Row],[Selecione a Categoria do Laboratório desta atividade prática:]],Planilha1!A:A,Planilha1!B:B)</f>
        <v>NTR</v>
      </c>
      <c r="DT382" s="1" t="str">
        <f>CONCATENATE(OfficeForms.Table[[#This Row],[Selecione seu Polo Laboratório de Atividades Presenciais:]],OfficeForms.Table[[#This Row],[CHAVE CONVERSÃO]])</f>
        <v>Porto Alegre/RS - Zona NorteNTR</v>
      </c>
      <c r="DU38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Dietas hospitalares</v>
      </c>
      <c r="DV38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38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382" s="1" t="str">
        <f>_xlfn.XLOOKUP(OfficeForms.Table[[#This Row],[CHAVE LINK POLO]],'[1]Quadro Geral de Lotação'!$B:$B,'[1]Quadro Geral de Lotação'!$I:$I)</f>
        <v>Janaina Pieruccini Pulgatti</v>
      </c>
      <c r="DY382" s="1" t="str">
        <f>OfficeForms.Table[[#This Row],[Selecione a Ordem de Disciplina]]</f>
        <v>Ordem 1</v>
      </c>
    </row>
    <row r="383" spans="1:129" ht="34.15" customHeight="1">
      <c r="A383" s="1">
        <v>383</v>
      </c>
      <c r="B383" s="2">
        <v>46101.700729166703</v>
      </c>
      <c r="C383" s="2">
        <v>46101.704016203701</v>
      </c>
      <c r="D383" s="3" t="s">
        <v>1258</v>
      </c>
      <c r="E383" s="3" t="s">
        <v>1259</v>
      </c>
      <c r="G383" s="3"/>
      <c r="I383" s="3" t="s">
        <v>275</v>
      </c>
      <c r="K383" s="3"/>
      <c r="L383" s="1" t="s">
        <v>132</v>
      </c>
      <c r="O383" s="3" t="s">
        <v>156</v>
      </c>
      <c r="Q383" s="3"/>
      <c r="R383" s="3"/>
      <c r="T383" s="3"/>
      <c r="U383" s="5"/>
      <c r="W383" s="3"/>
      <c r="Z383" s="3"/>
      <c r="AA383" s="3"/>
      <c r="AC383" s="3"/>
      <c r="AD383" s="3"/>
      <c r="AF383" s="3"/>
      <c r="AG383" s="3"/>
      <c r="AI383" s="3"/>
      <c r="AJ383" s="1"/>
      <c r="AL383" s="3"/>
      <c r="AO383" s="3"/>
      <c r="AP383" s="3"/>
      <c r="AR383" s="3"/>
      <c r="AS383" s="3"/>
      <c r="AU383" s="3"/>
      <c r="AV383" s="3"/>
      <c r="AX383" s="3"/>
      <c r="AY383" s="5"/>
      <c r="BA383" s="3"/>
      <c r="BD383" s="3"/>
      <c r="BE383" s="3"/>
      <c r="BG383" s="3"/>
      <c r="BH383" s="3"/>
      <c r="BJ383" s="3"/>
      <c r="BK383" s="3" t="s">
        <v>1273</v>
      </c>
      <c r="BM383" s="3"/>
      <c r="BN383" s="5">
        <v>46091</v>
      </c>
      <c r="BP383" s="3"/>
      <c r="BQ383" s="1">
        <v>6</v>
      </c>
      <c r="BS383" s="3"/>
      <c r="BT383" s="3" t="s">
        <v>1274</v>
      </c>
      <c r="BV383" s="3"/>
      <c r="BW383" s="3" t="s">
        <v>1275</v>
      </c>
      <c r="BY383" s="3"/>
      <c r="BZ383" s="3"/>
      <c r="CB383" s="3"/>
      <c r="CC383" s="5"/>
      <c r="CE383" s="3"/>
      <c r="CH383" s="3"/>
      <c r="CI383" s="3"/>
      <c r="CK383" s="3"/>
      <c r="CL383" s="3"/>
      <c r="CN383" s="3"/>
      <c r="CO383" s="3"/>
      <c r="CQ383" s="3"/>
      <c r="CR383" s="5"/>
      <c r="CT383" s="3"/>
      <c r="CW383" s="3"/>
      <c r="CX383" s="3"/>
      <c r="CZ383" s="3"/>
      <c r="DA383" s="3"/>
      <c r="DC383" s="3"/>
      <c r="DD383" s="3"/>
      <c r="DF383" s="3"/>
      <c r="DG383" s="5"/>
      <c r="DI383" s="3"/>
      <c r="DL383" s="3"/>
      <c r="DM383" s="3"/>
      <c r="DO383" s="3"/>
      <c r="DP383" s="3"/>
      <c r="DR383" s="3"/>
      <c r="DS383" s="1" t="str">
        <f>_xlfn.XLOOKUP(OfficeForms.Table[[#This Row],[Selecione a Categoria do Laboratório desta atividade prática:]],Planilha1!A:A,Planilha1!B:B)</f>
        <v>NTR</v>
      </c>
      <c r="DT383" s="1" t="str">
        <f>CONCATENATE(OfficeForms.Table[[#This Row],[Selecione seu Polo Laboratório de Atividades Presenciais:]],OfficeForms.Table[[#This Row],[CHAVE CONVERSÃO]])</f>
        <v>Porto Alegre/RS - Zona NorteNTR</v>
      </c>
      <c r="DU38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de caso dirigido  - relacionado ao caso destacado na receita preparada.</v>
      </c>
      <c r="DV38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38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383" s="1" t="str">
        <f>_xlfn.XLOOKUP(OfficeForms.Table[[#This Row],[CHAVE LINK POLO]],'[1]Quadro Geral de Lotação'!$B:$B,'[1]Quadro Geral de Lotação'!$I:$I)</f>
        <v>Janaina Pieruccini Pulgatti</v>
      </c>
      <c r="DY383" s="1" t="str">
        <f>OfficeForms.Table[[#This Row],[Selecione a Ordem de Disciplina]]</f>
        <v>Ordem 1</v>
      </c>
    </row>
    <row r="384" spans="1:129" ht="34.15" customHeight="1">
      <c r="A384" s="1">
        <v>384</v>
      </c>
      <c r="B384" s="2">
        <v>46101.8956944444</v>
      </c>
      <c r="C384" s="2">
        <v>46101.905775462998</v>
      </c>
      <c r="D384" s="3" t="s">
        <v>417</v>
      </c>
      <c r="E384" s="3" t="s">
        <v>418</v>
      </c>
      <c r="G384" s="3"/>
      <c r="I384" s="3" t="s">
        <v>131</v>
      </c>
      <c r="K384" s="3"/>
      <c r="L384" s="1" t="s">
        <v>678</v>
      </c>
      <c r="O384" s="3" t="s">
        <v>184</v>
      </c>
      <c r="Q384" s="3"/>
      <c r="R384" s="3"/>
      <c r="T384" s="3"/>
      <c r="U384" s="5"/>
      <c r="W384" s="3"/>
      <c r="Z384" s="3"/>
      <c r="AA384" s="3"/>
      <c r="AC384" s="3"/>
      <c r="AD384" s="3"/>
      <c r="AF384" s="3"/>
      <c r="AG384" s="3" t="s">
        <v>1105</v>
      </c>
      <c r="AI384" s="3"/>
      <c r="AJ384" s="1">
        <v>46101</v>
      </c>
      <c r="AL384" s="3"/>
      <c r="AM384" s="1">
        <v>0</v>
      </c>
      <c r="AO384" s="3"/>
      <c r="AP384" s="3" t="s">
        <v>1276</v>
      </c>
      <c r="AR384" s="3"/>
      <c r="AS384" s="3" t="s">
        <v>1277</v>
      </c>
      <c r="AU384" s="3"/>
      <c r="AV384" s="3"/>
      <c r="AX384" s="3"/>
      <c r="AY384" s="5"/>
      <c r="BA384" s="3"/>
      <c r="BD384" s="3"/>
      <c r="BE384" s="3"/>
      <c r="BG384" s="3"/>
      <c r="BH384" s="3"/>
      <c r="BJ384" s="3"/>
      <c r="BK384" s="3"/>
      <c r="BM384" s="3"/>
      <c r="BN384" s="5"/>
      <c r="BP384" s="3"/>
      <c r="BS384" s="3"/>
      <c r="BT384" s="3"/>
      <c r="BV384" s="3"/>
      <c r="BW384" s="3"/>
      <c r="BY384" s="3"/>
      <c r="BZ384" s="3"/>
      <c r="CB384" s="3"/>
      <c r="CC384" s="5"/>
      <c r="CE384" s="3"/>
      <c r="CH384" s="3"/>
      <c r="CI384" s="3"/>
      <c r="CK384" s="3"/>
      <c r="CL384" s="3"/>
      <c r="CN384" s="3"/>
      <c r="CO384" s="3"/>
      <c r="CQ384" s="3"/>
      <c r="CR384" s="5"/>
      <c r="CT384" s="3"/>
      <c r="CW384" s="3"/>
      <c r="CX384" s="3"/>
      <c r="CZ384" s="3"/>
      <c r="DA384" s="3"/>
      <c r="DC384" s="3"/>
      <c r="DD384" s="3"/>
      <c r="DF384" s="3"/>
      <c r="DG384" s="5"/>
      <c r="DI384" s="3"/>
      <c r="DL384" s="3"/>
      <c r="DM384" s="3"/>
      <c r="DO384" s="3"/>
      <c r="DP384" s="3"/>
      <c r="DR384" s="3"/>
      <c r="DS384" s="1" t="str">
        <f>_xlfn.XLOOKUP(OfficeForms.Table[[#This Row],[Selecione a Categoria do Laboratório desta atividade prática:]],Planilha1!A:A,Planilha1!B:B)</f>
        <v>EMF-ISN</v>
      </c>
      <c r="DT384" s="1" t="str">
        <f>CONCATENATE(OfficeForms.Table[[#This Row],[Selecione seu Polo Laboratório de Atividades Presenciais:]],OfficeForms.Table[[#This Row],[CHAVE CONVERSÃO]])</f>
        <v>Guarujá/SPEMF-ISN</v>
      </c>
      <c r="DU38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38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46101</v>
      </c>
      <c r="DW38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84" s="1" t="str">
        <f>_xlfn.XLOOKUP(OfficeForms.Table[[#This Row],[CHAVE LINK POLO]],'[1]Quadro Geral de Lotação'!$B:$B,'[1]Quadro Geral de Lotação'!$I:$I)</f>
        <v>Marilene Da Fonseca Magalhaes Silva</v>
      </c>
      <c r="DY384" s="1" t="str">
        <f>OfficeForms.Table[[#This Row],[Selecione a Ordem de Disciplina]]</f>
        <v>Ordem 2</v>
      </c>
    </row>
    <row r="385" spans="1:129" ht="34.15" customHeight="1">
      <c r="A385" s="1">
        <v>385</v>
      </c>
      <c r="B385" s="2">
        <v>46101.905821759297</v>
      </c>
      <c r="C385" s="2">
        <v>46101.910023148099</v>
      </c>
      <c r="D385" s="3" t="s">
        <v>417</v>
      </c>
      <c r="E385" s="3" t="s">
        <v>418</v>
      </c>
      <c r="G385" s="3"/>
      <c r="I385" s="3" t="s">
        <v>131</v>
      </c>
      <c r="K385" s="3"/>
      <c r="L385" s="1" t="s">
        <v>678</v>
      </c>
      <c r="O385" s="3" t="s">
        <v>184</v>
      </c>
      <c r="Q385" s="3"/>
      <c r="R385" s="3"/>
      <c r="T385" s="3"/>
      <c r="U385" s="5"/>
      <c r="W385" s="3"/>
      <c r="Z385" s="3"/>
      <c r="AA385" s="3"/>
      <c r="AC385" s="3"/>
      <c r="AD385" s="3"/>
      <c r="AF385" s="3"/>
      <c r="AG385" s="3" t="s">
        <v>1278</v>
      </c>
      <c r="AI385" s="3"/>
      <c r="AJ385" s="1">
        <v>46101</v>
      </c>
      <c r="AL385" s="3"/>
      <c r="AM385" s="1">
        <v>0</v>
      </c>
      <c r="AO385" s="3"/>
      <c r="AP385" s="3" t="s">
        <v>1279</v>
      </c>
      <c r="AR385" s="3"/>
      <c r="AS385" s="3" t="s">
        <v>1280</v>
      </c>
      <c r="AU385" s="3"/>
      <c r="AV385" s="3"/>
      <c r="AX385" s="3"/>
      <c r="AY385" s="5"/>
      <c r="BA385" s="3"/>
      <c r="BD385" s="3"/>
      <c r="BE385" s="3"/>
      <c r="BG385" s="3"/>
      <c r="BH385" s="3"/>
      <c r="BJ385" s="3"/>
      <c r="BK385" s="3"/>
      <c r="BM385" s="3"/>
      <c r="BN385" s="5"/>
      <c r="BP385" s="3"/>
      <c r="BS385" s="3"/>
      <c r="BT385" s="3"/>
      <c r="BV385" s="3"/>
      <c r="BW385" s="3"/>
      <c r="BY385" s="3"/>
      <c r="BZ385" s="3"/>
      <c r="CB385" s="3"/>
      <c r="CC385" s="5"/>
      <c r="CE385" s="3"/>
      <c r="CH385" s="3"/>
      <c r="CI385" s="3"/>
      <c r="CK385" s="3"/>
      <c r="CL385" s="3"/>
      <c r="CN385" s="3"/>
      <c r="CO385" s="3"/>
      <c r="CQ385" s="3"/>
      <c r="CR385" s="5"/>
      <c r="CT385" s="3"/>
      <c r="CW385" s="3"/>
      <c r="CX385" s="3"/>
      <c r="CZ385" s="3"/>
      <c r="DA385" s="3"/>
      <c r="DC385" s="3"/>
      <c r="DD385" s="3"/>
      <c r="DF385" s="3"/>
      <c r="DG385" s="5"/>
      <c r="DI385" s="3"/>
      <c r="DL385" s="3"/>
      <c r="DM385" s="3"/>
      <c r="DO385" s="3"/>
      <c r="DP385" s="3"/>
      <c r="DR385" s="3"/>
      <c r="DS385" s="1" t="str">
        <f>_xlfn.XLOOKUP(OfficeForms.Table[[#This Row],[Selecione a Categoria do Laboratório desta atividade prática:]],Planilha1!A:A,Planilha1!B:B)</f>
        <v>EMF-ISN</v>
      </c>
      <c r="DT385" s="1" t="str">
        <f>CONCATENATE(OfficeForms.Table[[#This Row],[Selecione seu Polo Laboratório de Atividades Presenciais:]],OfficeForms.Table[[#This Row],[CHAVE CONVERSÃO]])</f>
        <v>Guarujá/SPEMF-ISN</v>
      </c>
      <c r="DU38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38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46101</v>
      </c>
      <c r="DW38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85" s="1" t="str">
        <f>_xlfn.XLOOKUP(OfficeForms.Table[[#This Row],[CHAVE LINK POLO]],'[1]Quadro Geral de Lotação'!$B:$B,'[1]Quadro Geral de Lotação'!$I:$I)</f>
        <v>Marilene Da Fonseca Magalhaes Silva</v>
      </c>
      <c r="DY385" s="1" t="str">
        <f>OfficeForms.Table[[#This Row],[Selecione a Ordem de Disciplina]]</f>
        <v>Ordem 2</v>
      </c>
    </row>
    <row r="386" spans="1:129" ht="34.15" customHeight="1">
      <c r="A386" s="1">
        <v>386</v>
      </c>
      <c r="B386" s="2">
        <v>46101.910023148099</v>
      </c>
      <c r="C386" s="2">
        <v>46101.931793981501</v>
      </c>
      <c r="D386" s="3" t="s">
        <v>1281</v>
      </c>
      <c r="E386" s="3" t="s">
        <v>1282</v>
      </c>
      <c r="G386" s="3"/>
      <c r="I386" s="3" t="s">
        <v>1283</v>
      </c>
      <c r="K386" s="3"/>
      <c r="L386" s="1" t="s">
        <v>132</v>
      </c>
      <c r="O386" s="3" t="s">
        <v>184</v>
      </c>
      <c r="Q386" s="3"/>
      <c r="R386" s="3"/>
      <c r="T386" s="3"/>
      <c r="U386" s="5"/>
      <c r="W386" s="3"/>
      <c r="Z386" s="3"/>
      <c r="AA386" s="3"/>
      <c r="AC386" s="3"/>
      <c r="AD386" s="3"/>
      <c r="AF386" s="3"/>
      <c r="AG386" s="3" t="s">
        <v>414</v>
      </c>
      <c r="AI386" s="3"/>
      <c r="AJ386" s="1">
        <v>46070</v>
      </c>
      <c r="AL386" s="3"/>
      <c r="AM386" s="1">
        <v>0</v>
      </c>
      <c r="AO386" s="3"/>
      <c r="AP386" s="3" t="s">
        <v>1284</v>
      </c>
      <c r="AR386" s="3"/>
      <c r="AS386" s="3" t="s">
        <v>1285</v>
      </c>
      <c r="AU386" s="3"/>
      <c r="AV386" s="3"/>
      <c r="AX386" s="3"/>
      <c r="AY386" s="5"/>
      <c r="BA386" s="3"/>
      <c r="BD386" s="3"/>
      <c r="BE386" s="3"/>
      <c r="BG386" s="3"/>
      <c r="BH386" s="3"/>
      <c r="BJ386" s="3"/>
      <c r="BK386" s="3"/>
      <c r="BM386" s="3"/>
      <c r="BN386" s="5"/>
      <c r="BP386" s="3"/>
      <c r="BS386" s="3"/>
      <c r="BT386" s="3"/>
      <c r="BV386" s="3"/>
      <c r="BW386" s="3"/>
      <c r="BY386" s="3"/>
      <c r="BZ386" s="3"/>
      <c r="CB386" s="3"/>
      <c r="CC386" s="5"/>
      <c r="CE386" s="3"/>
      <c r="CH386" s="3"/>
      <c r="CI386" s="3"/>
      <c r="CK386" s="3"/>
      <c r="CL386" s="3"/>
      <c r="CN386" s="3"/>
      <c r="CO386" s="3"/>
      <c r="CQ386" s="3"/>
      <c r="CR386" s="5"/>
      <c r="CT386" s="3"/>
      <c r="CW386" s="3"/>
      <c r="CX386" s="3"/>
      <c r="CZ386" s="3"/>
      <c r="DA386" s="3"/>
      <c r="DC386" s="3"/>
      <c r="DD386" s="3"/>
      <c r="DF386" s="3"/>
      <c r="DG386" s="5"/>
      <c r="DI386" s="3"/>
      <c r="DL386" s="3"/>
      <c r="DM386" s="3"/>
      <c r="DO386" s="3"/>
      <c r="DP386" s="3"/>
      <c r="DR386" s="3"/>
      <c r="DS386" s="1" t="str">
        <f>_xlfn.XLOOKUP(OfficeForms.Table[[#This Row],[Selecione a Categoria do Laboratório desta atividade prática:]],Planilha1!A:A,Planilha1!B:B)</f>
        <v>EMF-ISN</v>
      </c>
      <c r="DT386" s="1" t="str">
        <f>CONCATENATE(OfficeForms.Table[[#This Row],[Selecione seu Polo Laboratório de Atividades Presenciais:]],OfficeForms.Table[[#This Row],[CHAVE CONVERSÃO]])</f>
        <v>Passo Fundo/RSEMF-ISN</v>
      </c>
      <c r="DU38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38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46070</v>
      </c>
      <c r="DW38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86" s="1" t="str">
        <f>_xlfn.XLOOKUP(OfficeForms.Table[[#This Row],[CHAVE LINK POLO]],'[1]Quadro Geral de Lotação'!$B:$B,'[1]Quadro Geral de Lotação'!$I:$I)</f>
        <v>Leonardo Azeredo De Marchi</v>
      </c>
      <c r="DY386" s="1" t="str">
        <f>OfficeForms.Table[[#This Row],[Selecione a Ordem de Disciplina]]</f>
        <v>Ordem 1</v>
      </c>
    </row>
    <row r="387" spans="1:129" ht="34.15" customHeight="1">
      <c r="A387" s="1">
        <v>387</v>
      </c>
      <c r="B387" s="2">
        <v>46101.9319328704</v>
      </c>
      <c r="C387" s="2">
        <v>46101.9506944444</v>
      </c>
      <c r="D387" s="3" t="s">
        <v>1281</v>
      </c>
      <c r="E387" s="3" t="s">
        <v>1282</v>
      </c>
      <c r="G387" s="3"/>
      <c r="I387" s="3" t="s">
        <v>1283</v>
      </c>
      <c r="K387" s="3"/>
      <c r="L387" s="1" t="s">
        <v>132</v>
      </c>
      <c r="O387" s="3" t="s">
        <v>184</v>
      </c>
      <c r="Q387" s="3"/>
      <c r="R387" s="3"/>
      <c r="T387" s="3"/>
      <c r="U387" s="5"/>
      <c r="W387" s="3"/>
      <c r="Z387" s="3"/>
      <c r="AA387" s="3"/>
      <c r="AC387" s="3"/>
      <c r="AD387" s="3"/>
      <c r="AF387" s="3"/>
      <c r="AG387" s="3" t="s">
        <v>211</v>
      </c>
      <c r="AI387" s="3"/>
      <c r="AJ387" s="1">
        <v>46077</v>
      </c>
      <c r="AL387" s="3"/>
      <c r="AM387" s="1">
        <v>2</v>
      </c>
      <c r="AO387" s="3"/>
      <c r="AP387" s="3" t="s">
        <v>1286</v>
      </c>
      <c r="AR387" s="3"/>
      <c r="AS387" s="3" t="s">
        <v>1287</v>
      </c>
      <c r="AU387" s="3"/>
      <c r="AV387" s="3"/>
      <c r="AX387" s="3"/>
      <c r="AY387" s="5"/>
      <c r="BA387" s="3"/>
      <c r="BD387" s="3"/>
      <c r="BE387" s="3"/>
      <c r="BG387" s="3"/>
      <c r="BH387" s="3"/>
      <c r="BJ387" s="3"/>
      <c r="BK387" s="3"/>
      <c r="BM387" s="3"/>
      <c r="BN387" s="5"/>
      <c r="BP387" s="3"/>
      <c r="BS387" s="3"/>
      <c r="BT387" s="3"/>
      <c r="BV387" s="3"/>
      <c r="BW387" s="3"/>
      <c r="BY387" s="3"/>
      <c r="BZ387" s="3"/>
      <c r="CB387" s="3"/>
      <c r="CC387" s="5"/>
      <c r="CE387" s="3"/>
      <c r="CH387" s="3"/>
      <c r="CI387" s="3"/>
      <c r="CK387" s="3"/>
      <c r="CL387" s="3"/>
      <c r="CN387" s="3"/>
      <c r="CO387" s="3"/>
      <c r="CQ387" s="3"/>
      <c r="CR387" s="5"/>
      <c r="CT387" s="3"/>
      <c r="CW387" s="3"/>
      <c r="CX387" s="3"/>
      <c r="CZ387" s="3"/>
      <c r="DA387" s="3"/>
      <c r="DC387" s="3"/>
      <c r="DD387" s="3"/>
      <c r="DF387" s="3"/>
      <c r="DG387" s="5"/>
      <c r="DI387" s="3"/>
      <c r="DL387" s="3"/>
      <c r="DM387" s="3"/>
      <c r="DO387" s="3"/>
      <c r="DP387" s="3"/>
      <c r="DR387" s="3"/>
      <c r="DS387" s="1" t="str">
        <f>_xlfn.XLOOKUP(OfficeForms.Table[[#This Row],[Selecione a Categoria do Laboratório desta atividade prática:]],Planilha1!A:A,Planilha1!B:B)</f>
        <v>EMF-ISN</v>
      </c>
      <c r="DT387" s="1" t="str">
        <f>CONCATENATE(OfficeForms.Table[[#This Row],[Selecione seu Polo Laboratório de Atividades Presenciais:]],OfficeForms.Table[[#This Row],[CHAVE CONVERSÃO]])</f>
        <v>Passo Fundo/RSEMF-ISN</v>
      </c>
      <c r="DU38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38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38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387" s="1" t="str">
        <f>_xlfn.XLOOKUP(OfficeForms.Table[[#This Row],[CHAVE LINK POLO]],'[1]Quadro Geral de Lotação'!$B:$B,'[1]Quadro Geral de Lotação'!$I:$I)</f>
        <v>Leonardo Azeredo De Marchi</v>
      </c>
      <c r="DY387" s="1" t="str">
        <f>OfficeForms.Table[[#This Row],[Selecione a Ordem de Disciplina]]</f>
        <v>Ordem 1</v>
      </c>
    </row>
    <row r="388" spans="1:129" ht="34.15" customHeight="1">
      <c r="A388" s="1">
        <v>388</v>
      </c>
      <c r="B388" s="2">
        <v>46101.950729166703</v>
      </c>
      <c r="C388" s="2">
        <v>46101.957523148099</v>
      </c>
      <c r="D388" s="3" t="s">
        <v>1281</v>
      </c>
      <c r="E388" s="3" t="s">
        <v>1282</v>
      </c>
      <c r="G388" s="3"/>
      <c r="I388" s="3" t="s">
        <v>1283</v>
      </c>
      <c r="K388" s="3"/>
      <c r="L388" s="1" t="s">
        <v>132</v>
      </c>
      <c r="O388" s="3" t="s">
        <v>184</v>
      </c>
      <c r="Q388" s="3"/>
      <c r="R388" s="3"/>
      <c r="T388" s="3"/>
      <c r="U388" s="5"/>
      <c r="W388" s="3"/>
      <c r="Z388" s="3"/>
      <c r="AA388" s="3"/>
      <c r="AC388" s="3"/>
      <c r="AD388" s="3"/>
      <c r="AF388" s="3"/>
      <c r="AG388" s="3" t="s">
        <v>316</v>
      </c>
      <c r="AI388" s="3"/>
      <c r="AJ388" s="1">
        <v>46084</v>
      </c>
      <c r="AL388" s="3"/>
      <c r="AM388" s="1">
        <v>1</v>
      </c>
      <c r="AO388" s="3"/>
      <c r="AP388" s="3" t="s">
        <v>1288</v>
      </c>
      <c r="AR388" s="3"/>
      <c r="AS388" s="3" t="s">
        <v>1289</v>
      </c>
      <c r="AU388" s="3"/>
      <c r="AV388" s="3"/>
      <c r="AX388" s="3"/>
      <c r="AY388" s="5"/>
      <c r="BA388" s="3"/>
      <c r="BD388" s="3"/>
      <c r="BE388" s="3"/>
      <c r="BG388" s="3"/>
      <c r="BH388" s="3"/>
      <c r="BJ388" s="3"/>
      <c r="BK388" s="3"/>
      <c r="BM388" s="3"/>
      <c r="BN388" s="5"/>
      <c r="BP388" s="3"/>
      <c r="BS388" s="3"/>
      <c r="BT388" s="3"/>
      <c r="BV388" s="3"/>
      <c r="BW388" s="3"/>
      <c r="BY388" s="3"/>
      <c r="BZ388" s="3"/>
      <c r="CB388" s="3"/>
      <c r="CC388" s="5"/>
      <c r="CE388" s="3"/>
      <c r="CH388" s="3"/>
      <c r="CI388" s="3"/>
      <c r="CK388" s="3"/>
      <c r="CL388" s="3"/>
      <c r="CN388" s="3"/>
      <c r="CO388" s="3"/>
      <c r="CQ388" s="3"/>
      <c r="CR388" s="5"/>
      <c r="CT388" s="3"/>
      <c r="CW388" s="3"/>
      <c r="CX388" s="3"/>
      <c r="CZ388" s="3"/>
      <c r="DA388" s="3"/>
      <c r="DC388" s="3"/>
      <c r="DD388" s="3"/>
      <c r="DF388" s="3"/>
      <c r="DG388" s="5"/>
      <c r="DI388" s="3"/>
      <c r="DL388" s="3"/>
      <c r="DM388" s="3"/>
      <c r="DO388" s="3"/>
      <c r="DP388" s="3"/>
      <c r="DR388" s="3"/>
      <c r="DS388" s="1" t="str">
        <f>_xlfn.XLOOKUP(OfficeForms.Table[[#This Row],[Selecione a Categoria do Laboratório desta atividade prática:]],Planilha1!A:A,Planilha1!B:B)</f>
        <v>EMF-ISN</v>
      </c>
      <c r="DT388" s="1" t="str">
        <f>CONCATENATE(OfficeForms.Table[[#This Row],[Selecione seu Polo Laboratório de Atividades Presenciais:]],OfficeForms.Table[[#This Row],[CHAVE CONVERSÃO]])</f>
        <v>Passo Fundo/RSEMF-ISN</v>
      </c>
      <c r="DU38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38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38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88" s="1" t="str">
        <f>_xlfn.XLOOKUP(OfficeForms.Table[[#This Row],[CHAVE LINK POLO]],'[1]Quadro Geral de Lotação'!$B:$B,'[1]Quadro Geral de Lotação'!$I:$I)</f>
        <v>Leonardo Azeredo De Marchi</v>
      </c>
      <c r="DY388" s="1" t="str">
        <f>OfficeForms.Table[[#This Row],[Selecione a Ordem de Disciplina]]</f>
        <v>Ordem 1</v>
      </c>
    </row>
    <row r="389" spans="1:129" ht="34.15" customHeight="1">
      <c r="A389" s="1">
        <v>389</v>
      </c>
      <c r="B389" s="2">
        <v>46101.957627314798</v>
      </c>
      <c r="C389" s="2">
        <v>46101.961469907401</v>
      </c>
      <c r="D389" s="3" t="s">
        <v>1281</v>
      </c>
      <c r="E389" s="3" t="s">
        <v>1282</v>
      </c>
      <c r="G389" s="3"/>
      <c r="I389" s="3" t="s">
        <v>1283</v>
      </c>
      <c r="K389" s="3"/>
      <c r="L389" s="1" t="s">
        <v>132</v>
      </c>
      <c r="O389" s="3" t="s">
        <v>184</v>
      </c>
      <c r="Q389" s="3"/>
      <c r="R389" s="3"/>
      <c r="T389" s="3"/>
      <c r="U389" s="5"/>
      <c r="W389" s="3"/>
      <c r="Z389" s="3"/>
      <c r="AA389" s="3"/>
      <c r="AC389" s="3"/>
      <c r="AD389" s="3"/>
      <c r="AF389" s="3"/>
      <c r="AG389" s="3" t="s">
        <v>206</v>
      </c>
      <c r="AI389" s="3"/>
      <c r="AJ389" s="1">
        <v>46091</v>
      </c>
      <c r="AL389" s="3"/>
      <c r="AM389" s="1">
        <v>0</v>
      </c>
      <c r="AO389" s="3"/>
      <c r="AP389" s="3" t="s">
        <v>1290</v>
      </c>
      <c r="AR389" s="3"/>
      <c r="AS389" s="3" t="s">
        <v>1291</v>
      </c>
      <c r="AU389" s="3"/>
      <c r="AV389" s="3"/>
      <c r="AX389" s="3"/>
      <c r="AY389" s="5"/>
      <c r="BA389" s="3"/>
      <c r="BD389" s="3"/>
      <c r="BE389" s="3"/>
      <c r="BG389" s="3"/>
      <c r="BH389" s="3"/>
      <c r="BJ389" s="3"/>
      <c r="BK389" s="3"/>
      <c r="BM389" s="3"/>
      <c r="BN389" s="5"/>
      <c r="BP389" s="3"/>
      <c r="BS389" s="3"/>
      <c r="BT389" s="3"/>
      <c r="BV389" s="3"/>
      <c r="BW389" s="3"/>
      <c r="BY389" s="3"/>
      <c r="BZ389" s="3"/>
      <c r="CB389" s="3"/>
      <c r="CC389" s="5"/>
      <c r="CE389" s="3"/>
      <c r="CH389" s="3"/>
      <c r="CI389" s="3"/>
      <c r="CK389" s="3"/>
      <c r="CL389" s="3"/>
      <c r="CN389" s="3"/>
      <c r="CO389" s="3"/>
      <c r="CQ389" s="3"/>
      <c r="CR389" s="5"/>
      <c r="CT389" s="3"/>
      <c r="CW389" s="3"/>
      <c r="CX389" s="3"/>
      <c r="CZ389" s="3"/>
      <c r="DA389" s="3"/>
      <c r="DC389" s="3"/>
      <c r="DD389" s="3"/>
      <c r="DF389" s="3"/>
      <c r="DG389" s="5"/>
      <c r="DI389" s="3"/>
      <c r="DL389" s="3"/>
      <c r="DM389" s="3"/>
      <c r="DO389" s="3"/>
      <c r="DP389" s="3"/>
      <c r="DR389" s="3"/>
      <c r="DS389" s="1" t="str">
        <f>_xlfn.XLOOKUP(OfficeForms.Table[[#This Row],[Selecione a Categoria do Laboratório desta atividade prática:]],Planilha1!A:A,Planilha1!B:B)</f>
        <v>EMF-ISN</v>
      </c>
      <c r="DT389" s="1" t="str">
        <f>CONCATENATE(OfficeForms.Table[[#This Row],[Selecione seu Polo Laboratório de Atividades Presenciais:]],OfficeForms.Table[[#This Row],[CHAVE CONVERSÃO]])</f>
        <v>Passo Fundo/RSEMF-ISN</v>
      </c>
      <c r="DU38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38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38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89" s="1" t="str">
        <f>_xlfn.XLOOKUP(OfficeForms.Table[[#This Row],[CHAVE LINK POLO]],'[1]Quadro Geral de Lotação'!$B:$B,'[1]Quadro Geral de Lotação'!$I:$I)</f>
        <v>Leonardo Azeredo De Marchi</v>
      </c>
      <c r="DY389" s="1" t="str">
        <f>OfficeForms.Table[[#This Row],[Selecione a Ordem de Disciplina]]</f>
        <v>Ordem 1</v>
      </c>
    </row>
    <row r="390" spans="1:129" ht="34.15" customHeight="1">
      <c r="A390" s="1">
        <v>390</v>
      </c>
      <c r="B390" s="2">
        <v>46101.961620370399</v>
      </c>
      <c r="C390" s="2">
        <v>46101.973576388897</v>
      </c>
      <c r="D390" s="3" t="s">
        <v>1281</v>
      </c>
      <c r="E390" s="3" t="s">
        <v>1282</v>
      </c>
      <c r="G390" s="3"/>
      <c r="I390" s="3" t="s">
        <v>1283</v>
      </c>
      <c r="K390" s="3"/>
      <c r="L390" s="1" t="s">
        <v>678</v>
      </c>
      <c r="O390" s="3" t="s">
        <v>184</v>
      </c>
      <c r="Q390" s="3"/>
      <c r="R390" s="3"/>
      <c r="T390" s="3"/>
      <c r="U390" s="5"/>
      <c r="W390" s="3"/>
      <c r="Z390" s="3"/>
      <c r="AA390" s="3"/>
      <c r="AC390" s="3"/>
      <c r="AD390" s="3"/>
      <c r="AF390" s="3"/>
      <c r="AG390" s="3" t="s">
        <v>1031</v>
      </c>
      <c r="AI390" s="3"/>
      <c r="AJ390" s="1">
        <v>46098</v>
      </c>
      <c r="AL390" s="3"/>
      <c r="AM390" s="1">
        <v>0</v>
      </c>
      <c r="AO390" s="3"/>
      <c r="AP390" s="3" t="s">
        <v>1292</v>
      </c>
      <c r="AR390" s="3"/>
      <c r="AS390" s="3" t="s">
        <v>1293</v>
      </c>
      <c r="AU390" s="3"/>
      <c r="AV390" s="3"/>
      <c r="AX390" s="3"/>
      <c r="AY390" s="5"/>
      <c r="BA390" s="3"/>
      <c r="BD390" s="3"/>
      <c r="BE390" s="3"/>
      <c r="BG390" s="3"/>
      <c r="BH390" s="3"/>
      <c r="BJ390" s="3"/>
      <c r="BK390" s="3"/>
      <c r="BM390" s="3"/>
      <c r="BN390" s="5"/>
      <c r="BP390" s="3"/>
      <c r="BS390" s="3"/>
      <c r="BT390" s="3"/>
      <c r="BV390" s="3"/>
      <c r="BW390" s="3"/>
      <c r="BY390" s="3"/>
      <c r="BZ390" s="3"/>
      <c r="CB390" s="3"/>
      <c r="CC390" s="5"/>
      <c r="CE390" s="3"/>
      <c r="CH390" s="3"/>
      <c r="CI390" s="3"/>
      <c r="CK390" s="3"/>
      <c r="CL390" s="3"/>
      <c r="CN390" s="3"/>
      <c r="CO390" s="3"/>
      <c r="CQ390" s="3"/>
      <c r="CR390" s="5"/>
      <c r="CT390" s="3"/>
      <c r="CW390" s="3"/>
      <c r="CX390" s="3"/>
      <c r="CZ390" s="3"/>
      <c r="DA390" s="3"/>
      <c r="DC390" s="3"/>
      <c r="DD390" s="3"/>
      <c r="DF390" s="3"/>
      <c r="DG390" s="5"/>
      <c r="DI390" s="3"/>
      <c r="DL390" s="3"/>
      <c r="DM390" s="3"/>
      <c r="DO390" s="3"/>
      <c r="DP390" s="3"/>
      <c r="DR390" s="3"/>
      <c r="DS390" s="1" t="str">
        <f>_xlfn.XLOOKUP(OfficeForms.Table[[#This Row],[Selecione a Categoria do Laboratório desta atividade prática:]],Planilha1!A:A,Planilha1!B:B)</f>
        <v>EMF-ISN</v>
      </c>
      <c r="DT390" s="1" t="str">
        <f>CONCATENATE(OfficeForms.Table[[#This Row],[Selecione seu Polo Laboratório de Atividades Presenciais:]],OfficeForms.Table[[#This Row],[CHAVE CONVERSÃO]])</f>
        <v>Passo Fundo/RSEMF-ISN</v>
      </c>
      <c r="DU39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39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39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390" s="1" t="str">
        <f>_xlfn.XLOOKUP(OfficeForms.Table[[#This Row],[CHAVE LINK POLO]],'[1]Quadro Geral de Lotação'!$B:$B,'[1]Quadro Geral de Lotação'!$I:$I)</f>
        <v>Leonardo Azeredo De Marchi</v>
      </c>
      <c r="DY390" s="1" t="str">
        <f>OfficeForms.Table[[#This Row],[Selecione a Ordem de Disciplina]]</f>
        <v>Ordem 2</v>
      </c>
    </row>
    <row r="391" spans="1:129" ht="34.15" customHeight="1">
      <c r="A391" s="1">
        <v>391</v>
      </c>
      <c r="B391" s="2">
        <v>46102.442766203698</v>
      </c>
      <c r="C391" s="2">
        <v>46102.450983796298</v>
      </c>
      <c r="D391" s="3" t="s">
        <v>227</v>
      </c>
      <c r="E391" s="3" t="s">
        <v>228</v>
      </c>
      <c r="G391" s="3"/>
      <c r="I391" s="3" t="s">
        <v>229</v>
      </c>
      <c r="K391" s="3"/>
      <c r="L391" s="1" t="s">
        <v>678</v>
      </c>
      <c r="O391" s="3" t="s">
        <v>184</v>
      </c>
      <c r="Q391" s="3"/>
      <c r="R391" s="3"/>
      <c r="T391" s="3"/>
      <c r="U391" s="5"/>
      <c r="W391" s="3"/>
      <c r="Z391" s="3"/>
      <c r="AA391" s="3"/>
      <c r="AC391" s="3"/>
      <c r="AD391" s="3"/>
      <c r="AF391" s="3"/>
      <c r="AG391" s="3" t="s">
        <v>1200</v>
      </c>
      <c r="AI391" s="3"/>
      <c r="AJ391" s="1">
        <v>46102</v>
      </c>
      <c r="AL391" s="3"/>
      <c r="AM391" s="1">
        <v>5</v>
      </c>
      <c r="AO391" s="3"/>
      <c r="AP391" s="3" t="s">
        <v>1294</v>
      </c>
      <c r="AR391" s="3"/>
      <c r="AS391" s="3" t="s">
        <v>1295</v>
      </c>
      <c r="AU391" s="3"/>
      <c r="AV391" s="3"/>
      <c r="AX391" s="3"/>
      <c r="AY391" s="5"/>
      <c r="BA391" s="3"/>
      <c r="BD391" s="3"/>
      <c r="BE391" s="3"/>
      <c r="BG391" s="3"/>
      <c r="BH391" s="3"/>
      <c r="BJ391" s="3"/>
      <c r="BK391" s="3"/>
      <c r="BM391" s="3"/>
      <c r="BN391" s="5"/>
      <c r="BP391" s="3"/>
      <c r="BS391" s="3"/>
      <c r="BT391" s="3"/>
      <c r="BV391" s="3"/>
      <c r="BW391" s="3"/>
      <c r="BY391" s="3"/>
      <c r="BZ391" s="3"/>
      <c r="CB391" s="3"/>
      <c r="CC391" s="5"/>
      <c r="CE391" s="3"/>
      <c r="CH391" s="3"/>
      <c r="CI391" s="3"/>
      <c r="CK391" s="3"/>
      <c r="CL391" s="3"/>
      <c r="CN391" s="3"/>
      <c r="CO391" s="3"/>
      <c r="CQ391" s="3"/>
      <c r="CR391" s="5"/>
      <c r="CT391" s="3"/>
      <c r="CW391" s="3"/>
      <c r="CX391" s="3"/>
      <c r="CZ391" s="3"/>
      <c r="DA391" s="3"/>
      <c r="DC391" s="3"/>
      <c r="DD391" s="3"/>
      <c r="DF391" s="3"/>
      <c r="DG391" s="5"/>
      <c r="DI391" s="3"/>
      <c r="DL391" s="3"/>
      <c r="DM391" s="3"/>
      <c r="DO391" s="3"/>
      <c r="DP391" s="3"/>
      <c r="DR391" s="3"/>
      <c r="DS391" s="1" t="str">
        <f>_xlfn.XLOOKUP(OfficeForms.Table[[#This Row],[Selecione a Categoria do Laboratório desta atividade prática:]],Planilha1!A:A,Planilha1!B:B)</f>
        <v>EMF-ISN</v>
      </c>
      <c r="DT391" s="1" t="str">
        <f>CONCATENATE(OfficeForms.Table[[#This Row],[Selecione seu Polo Laboratório de Atividades Presenciais:]],OfficeForms.Table[[#This Row],[CHAVE CONVERSÃO]])</f>
        <v>Lages/SC - CentroEMF-ISN</v>
      </c>
      <c r="DU39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39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39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391" s="1" t="str">
        <f>_xlfn.XLOOKUP(OfficeForms.Table[[#This Row],[CHAVE LINK POLO]],'[1]Quadro Geral de Lotação'!$B:$B,'[1]Quadro Geral de Lotação'!$I:$I)</f>
        <v>Daniela Madruga</v>
      </c>
      <c r="DY391" s="1" t="str">
        <f>OfficeForms.Table[[#This Row],[Selecione a Ordem de Disciplina]]</f>
        <v>Ordem 2</v>
      </c>
    </row>
    <row r="392" spans="1:129" ht="34.15" customHeight="1">
      <c r="A392" s="1">
        <v>392</v>
      </c>
      <c r="B392" s="2">
        <v>46102.456851851799</v>
      </c>
      <c r="C392" s="2">
        <v>46102.457754629599</v>
      </c>
      <c r="D392" s="3" t="s">
        <v>191</v>
      </c>
      <c r="E392" s="3" t="s">
        <v>192</v>
      </c>
      <c r="G392" s="3"/>
      <c r="I392" s="3" t="s">
        <v>193</v>
      </c>
      <c r="K392" s="3"/>
      <c r="L392" s="1" t="s">
        <v>678</v>
      </c>
      <c r="O392" s="3" t="s">
        <v>184</v>
      </c>
      <c r="Q392" s="3"/>
      <c r="R392" s="3"/>
      <c r="T392" s="3"/>
      <c r="U392" s="5"/>
      <c r="W392" s="3"/>
      <c r="Z392" s="3"/>
      <c r="AA392" s="3"/>
      <c r="AC392" s="3"/>
      <c r="AD392" s="3"/>
      <c r="AF392" s="3"/>
      <c r="AG392" s="3" t="s">
        <v>1016</v>
      </c>
      <c r="AI392" s="3"/>
      <c r="AJ392" s="1">
        <v>46102</v>
      </c>
      <c r="AL392" s="3"/>
      <c r="AM392" s="1">
        <v>3</v>
      </c>
      <c r="AO392" s="3"/>
      <c r="AP392" s="3" t="s">
        <v>1296</v>
      </c>
      <c r="AR392" s="3"/>
      <c r="AS392" s="3" t="s">
        <v>1297</v>
      </c>
      <c r="AU392" s="3"/>
      <c r="AV392" s="3"/>
      <c r="AX392" s="3"/>
      <c r="AY392" s="5"/>
      <c r="BA392" s="3"/>
      <c r="BD392" s="3"/>
      <c r="BE392" s="3"/>
      <c r="BG392" s="3"/>
      <c r="BH392" s="3"/>
      <c r="BJ392" s="3"/>
      <c r="BK392" s="3"/>
      <c r="BM392" s="3"/>
      <c r="BN392" s="5"/>
      <c r="BP392" s="3"/>
      <c r="BS392" s="3"/>
      <c r="BT392" s="3"/>
      <c r="BV392" s="3"/>
      <c r="BW392" s="3"/>
      <c r="BY392" s="3"/>
      <c r="BZ392" s="3"/>
      <c r="CB392" s="3"/>
      <c r="CC392" s="5"/>
      <c r="CE392" s="3"/>
      <c r="CH392" s="3"/>
      <c r="CI392" s="3"/>
      <c r="CK392" s="3"/>
      <c r="CL392" s="3"/>
      <c r="CN392" s="3"/>
      <c r="CO392" s="3"/>
      <c r="CQ392" s="3"/>
      <c r="CR392" s="5"/>
      <c r="CT392" s="3"/>
      <c r="CW392" s="3"/>
      <c r="CX392" s="3"/>
      <c r="CZ392" s="3"/>
      <c r="DA392" s="3"/>
      <c r="DC392" s="3"/>
      <c r="DD392" s="3"/>
      <c r="DF392" s="3"/>
      <c r="DG392" s="5"/>
      <c r="DI392" s="3"/>
      <c r="DL392" s="3"/>
      <c r="DM392" s="3"/>
      <c r="DO392" s="3"/>
      <c r="DP392" s="3"/>
      <c r="DR392" s="3"/>
      <c r="DS392" s="1" t="str">
        <f>_xlfn.XLOOKUP(OfficeForms.Table[[#This Row],[Selecione a Categoria do Laboratório desta atividade prática:]],Planilha1!A:A,Planilha1!B:B)</f>
        <v>EMF-ISN</v>
      </c>
      <c r="DT392" s="1" t="str">
        <f>CONCATENATE(OfficeForms.Table[[#This Row],[Selecione seu Polo Laboratório de Atividades Presenciais:]],OfficeForms.Table[[#This Row],[CHAVE CONVERSÃO]])</f>
        <v>Ananindeua/PA - Cidade NovaEMF-ISN</v>
      </c>
      <c r="DU39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39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39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392" s="1" t="str">
        <f>_xlfn.XLOOKUP(OfficeForms.Table[[#This Row],[CHAVE LINK POLO]],'[1]Quadro Geral de Lotação'!$B:$B,'[1]Quadro Geral de Lotação'!$I:$I)</f>
        <v>Alina Dariane Freitas Da Silva</v>
      </c>
      <c r="DY392" s="1" t="str">
        <f>OfficeForms.Table[[#This Row],[Selecione a Ordem de Disciplina]]</f>
        <v>Ordem 2</v>
      </c>
    </row>
    <row r="393" spans="1:129" ht="34.15" customHeight="1">
      <c r="A393" s="1">
        <v>393</v>
      </c>
      <c r="B393" s="2">
        <v>46102.4578819444</v>
      </c>
      <c r="C393" s="2">
        <v>46102.464976851901</v>
      </c>
      <c r="D393" s="3" t="s">
        <v>191</v>
      </c>
      <c r="E393" s="3" t="s">
        <v>192</v>
      </c>
      <c r="G393" s="3"/>
      <c r="I393" s="3" t="s">
        <v>193</v>
      </c>
      <c r="K393" s="3"/>
      <c r="L393" s="1" t="s">
        <v>678</v>
      </c>
      <c r="O393" s="3" t="s">
        <v>184</v>
      </c>
      <c r="Q393" s="3"/>
      <c r="R393" s="3"/>
      <c r="T393" s="3"/>
      <c r="U393" s="5"/>
      <c r="W393" s="3"/>
      <c r="Z393" s="3"/>
      <c r="AA393" s="3"/>
      <c r="AC393" s="3"/>
      <c r="AD393" s="3"/>
      <c r="AF393" s="3"/>
      <c r="AG393" s="3" t="s">
        <v>1013</v>
      </c>
      <c r="AI393" s="3"/>
      <c r="AJ393" s="1">
        <v>46102</v>
      </c>
      <c r="AL393" s="3"/>
      <c r="AM393" s="1">
        <v>4</v>
      </c>
      <c r="AO393" s="3"/>
      <c r="AP393" s="3" t="s">
        <v>1298</v>
      </c>
      <c r="AR393" s="3"/>
      <c r="AS393" s="3" t="s">
        <v>1299</v>
      </c>
      <c r="AU393" s="3"/>
      <c r="AV393" s="3"/>
      <c r="AX393" s="3"/>
      <c r="AY393" s="5"/>
      <c r="BA393" s="3"/>
      <c r="BD393" s="3"/>
      <c r="BE393" s="3"/>
      <c r="BG393" s="3"/>
      <c r="BH393" s="3"/>
      <c r="BJ393" s="3"/>
      <c r="BK393" s="3"/>
      <c r="BM393" s="3"/>
      <c r="BN393" s="5"/>
      <c r="BP393" s="3"/>
      <c r="BS393" s="3"/>
      <c r="BT393" s="3"/>
      <c r="BV393" s="3"/>
      <c r="BW393" s="3"/>
      <c r="BY393" s="3"/>
      <c r="BZ393" s="3"/>
      <c r="CB393" s="3"/>
      <c r="CC393" s="5"/>
      <c r="CE393" s="3"/>
      <c r="CH393" s="3"/>
      <c r="CI393" s="3"/>
      <c r="CK393" s="3"/>
      <c r="CL393" s="3"/>
      <c r="CN393" s="3"/>
      <c r="CO393" s="3"/>
      <c r="CQ393" s="3"/>
      <c r="CR393" s="5"/>
      <c r="CT393" s="3"/>
      <c r="CW393" s="3"/>
      <c r="CX393" s="3"/>
      <c r="CZ393" s="3"/>
      <c r="DA393" s="3"/>
      <c r="DC393" s="3"/>
      <c r="DD393" s="3"/>
      <c r="DF393" s="3"/>
      <c r="DG393" s="5"/>
      <c r="DI393" s="3"/>
      <c r="DL393" s="3"/>
      <c r="DM393" s="3"/>
      <c r="DO393" s="3"/>
      <c r="DP393" s="3"/>
      <c r="DR393" s="3"/>
      <c r="DS393" s="1" t="str">
        <f>_xlfn.XLOOKUP(OfficeForms.Table[[#This Row],[Selecione a Categoria do Laboratório desta atividade prática:]],Planilha1!A:A,Planilha1!B:B)</f>
        <v>EMF-ISN</v>
      </c>
      <c r="DT393" s="1" t="str">
        <f>CONCATENATE(OfficeForms.Table[[#This Row],[Selecione seu Polo Laboratório de Atividades Presenciais:]],OfficeForms.Table[[#This Row],[CHAVE CONVERSÃO]])</f>
        <v>Ananindeua/PA - Cidade NovaEMF-ISN</v>
      </c>
      <c r="DU39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39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39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393" s="1" t="str">
        <f>_xlfn.XLOOKUP(OfficeForms.Table[[#This Row],[CHAVE LINK POLO]],'[1]Quadro Geral de Lotação'!$B:$B,'[1]Quadro Geral de Lotação'!$I:$I)</f>
        <v>Alina Dariane Freitas Da Silva</v>
      </c>
      <c r="DY393" s="1" t="str">
        <f>OfficeForms.Table[[#This Row],[Selecione a Ordem de Disciplina]]</f>
        <v>Ordem 2</v>
      </c>
    </row>
    <row r="394" spans="1:129" ht="34.15" customHeight="1">
      <c r="A394" s="1">
        <v>394</v>
      </c>
      <c r="B394" s="2">
        <v>46102.609606481499</v>
      </c>
      <c r="C394" s="2">
        <v>46102.613541666702</v>
      </c>
      <c r="D394" s="3" t="s">
        <v>203</v>
      </c>
      <c r="E394" s="3" t="s">
        <v>204</v>
      </c>
      <c r="G394" s="3"/>
      <c r="I394" s="3" t="s">
        <v>205</v>
      </c>
      <c r="K394" s="3"/>
      <c r="L394" s="1" t="s">
        <v>678</v>
      </c>
      <c r="O394" s="3" t="s">
        <v>184</v>
      </c>
      <c r="Q394" s="3"/>
      <c r="R394" s="3"/>
      <c r="T394" s="3"/>
      <c r="U394" s="5"/>
      <c r="W394" s="3"/>
      <c r="Z394" s="3"/>
      <c r="AA394" s="3"/>
      <c r="AC394" s="3"/>
      <c r="AD394" s="3"/>
      <c r="AF394" s="3"/>
      <c r="AG394" s="3" t="s">
        <v>1105</v>
      </c>
      <c r="AI394" s="3"/>
      <c r="AJ394" s="1">
        <v>46100</v>
      </c>
      <c r="AL394" s="3"/>
      <c r="AM394" s="1">
        <v>1</v>
      </c>
      <c r="AO394" s="3"/>
      <c r="AP394" s="3" t="s">
        <v>1300</v>
      </c>
      <c r="AR394" s="3"/>
      <c r="AS394" s="3" t="s">
        <v>1301</v>
      </c>
      <c r="AU394" s="3"/>
      <c r="AV394" s="3"/>
      <c r="AX394" s="3"/>
      <c r="AY394" s="5"/>
      <c r="BA394" s="3"/>
      <c r="BD394" s="3"/>
      <c r="BE394" s="3"/>
      <c r="BG394" s="3"/>
      <c r="BH394" s="3"/>
      <c r="BJ394" s="3"/>
      <c r="BK394" s="3"/>
      <c r="BM394" s="3"/>
      <c r="BN394" s="5"/>
      <c r="BP394" s="3"/>
      <c r="BS394" s="3"/>
      <c r="BT394" s="3"/>
      <c r="BV394" s="3"/>
      <c r="BW394" s="3"/>
      <c r="BY394" s="3"/>
      <c r="BZ394" s="3"/>
      <c r="CB394" s="3"/>
      <c r="CC394" s="5"/>
      <c r="CE394" s="3"/>
      <c r="CH394" s="3"/>
      <c r="CI394" s="3"/>
      <c r="CK394" s="3"/>
      <c r="CL394" s="3"/>
      <c r="CN394" s="3"/>
      <c r="CO394" s="3"/>
      <c r="CQ394" s="3"/>
      <c r="CR394" s="5"/>
      <c r="CT394" s="3"/>
      <c r="CW394" s="3"/>
      <c r="CX394" s="3"/>
      <c r="CZ394" s="3"/>
      <c r="DA394" s="3"/>
      <c r="DC394" s="3"/>
      <c r="DD394" s="3"/>
      <c r="DF394" s="3"/>
      <c r="DG394" s="5"/>
      <c r="DI394" s="3"/>
      <c r="DL394" s="3"/>
      <c r="DM394" s="3"/>
      <c r="DO394" s="3"/>
      <c r="DP394" s="3"/>
      <c r="DR394" s="3"/>
      <c r="DS394" s="1" t="str">
        <f>_xlfn.XLOOKUP(OfficeForms.Table[[#This Row],[Selecione a Categoria do Laboratório desta atividade prática:]],Planilha1!A:A,Planilha1!B:B)</f>
        <v>EMF-ISN</v>
      </c>
      <c r="DT394" s="1" t="str">
        <f>CONCATENATE(OfficeForms.Table[[#This Row],[Selecione seu Polo Laboratório de Atividades Presenciais:]],OfficeForms.Table[[#This Row],[CHAVE CONVERSÃO]])</f>
        <v>Rolim de Moura/ROEMF-ISN</v>
      </c>
      <c r="DU39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39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39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394" s="1" t="str">
        <f>_xlfn.XLOOKUP(OfficeForms.Table[[#This Row],[CHAVE LINK POLO]],'[1]Quadro Geral de Lotação'!$B:$B,'[1]Quadro Geral de Lotação'!$I:$I)</f>
        <v>Quezia Da Silva Dos Anjos Da Silva</v>
      </c>
      <c r="DY394" s="1" t="str">
        <f>OfficeForms.Table[[#This Row],[Selecione a Ordem de Disciplina]]</f>
        <v>Ordem 2</v>
      </c>
    </row>
    <row r="395" spans="1:129" ht="34.15" customHeight="1">
      <c r="A395" s="1">
        <v>395</v>
      </c>
      <c r="B395" s="2">
        <v>46102.6738078704</v>
      </c>
      <c r="C395" s="2">
        <v>46102.678842592599</v>
      </c>
      <c r="D395" s="3" t="s">
        <v>352</v>
      </c>
      <c r="E395" s="3" t="s">
        <v>353</v>
      </c>
      <c r="G395" s="3"/>
      <c r="I395" s="3" t="s">
        <v>354</v>
      </c>
      <c r="K395" s="3"/>
      <c r="L395" s="1" t="s">
        <v>678</v>
      </c>
      <c r="O395" s="3" t="s">
        <v>184</v>
      </c>
      <c r="Q395" s="3"/>
      <c r="R395" s="3"/>
      <c r="T395" s="3"/>
      <c r="U395" s="5"/>
      <c r="W395" s="3"/>
      <c r="Z395" s="3"/>
      <c r="AA395" s="3"/>
      <c r="AC395" s="3"/>
      <c r="AD395" s="3"/>
      <c r="AF395" s="3"/>
      <c r="AG395" s="3" t="s">
        <v>1302</v>
      </c>
      <c r="AI395" s="3"/>
      <c r="AJ395" s="1">
        <v>46099</v>
      </c>
      <c r="AL395" s="3"/>
      <c r="AM395" s="1">
        <v>2</v>
      </c>
      <c r="AO395" s="3"/>
      <c r="AP395" s="3" t="s">
        <v>1303</v>
      </c>
      <c r="AR395" s="3"/>
      <c r="AS395" s="3" t="s">
        <v>1304</v>
      </c>
      <c r="AU395" s="3"/>
      <c r="AV395" s="3"/>
      <c r="AX395" s="3"/>
      <c r="AY395" s="5"/>
      <c r="BA395" s="3"/>
      <c r="BD395" s="3"/>
      <c r="BE395" s="3"/>
      <c r="BG395" s="3"/>
      <c r="BH395" s="3"/>
      <c r="BJ395" s="3"/>
      <c r="BK395" s="3"/>
      <c r="BM395" s="3"/>
      <c r="BN395" s="5"/>
      <c r="BP395" s="3"/>
      <c r="BS395" s="3"/>
      <c r="BT395" s="3"/>
      <c r="BV395" s="3"/>
      <c r="BW395" s="3"/>
      <c r="BY395" s="3"/>
      <c r="BZ395" s="3"/>
      <c r="CB395" s="3"/>
      <c r="CC395" s="5"/>
      <c r="CE395" s="3"/>
      <c r="CH395" s="3"/>
      <c r="CI395" s="3"/>
      <c r="CK395" s="3"/>
      <c r="CL395" s="3"/>
      <c r="CN395" s="3"/>
      <c r="CO395" s="3"/>
      <c r="CQ395" s="3"/>
      <c r="CR395" s="5"/>
      <c r="CT395" s="3"/>
      <c r="CW395" s="3"/>
      <c r="CX395" s="3"/>
      <c r="CZ395" s="3"/>
      <c r="DA395" s="3"/>
      <c r="DC395" s="3"/>
      <c r="DD395" s="3"/>
      <c r="DF395" s="3"/>
      <c r="DG395" s="5"/>
      <c r="DI395" s="3"/>
      <c r="DL395" s="3"/>
      <c r="DM395" s="3"/>
      <c r="DO395" s="3"/>
      <c r="DP395" s="3"/>
      <c r="DR395" s="3"/>
      <c r="DS395" s="1" t="str">
        <f>_xlfn.XLOOKUP(OfficeForms.Table[[#This Row],[Selecione a Categoria do Laboratório desta atividade prática:]],Planilha1!A:A,Planilha1!B:B)</f>
        <v>EMF-ISN</v>
      </c>
      <c r="DT395" s="1" t="str">
        <f>CONCATENATE(OfficeForms.Table[[#This Row],[Selecione seu Polo Laboratório de Atividades Presenciais:]],OfficeForms.Table[[#This Row],[CHAVE CONVERSÃO]])</f>
        <v>São Gonçalo/RJ - Partage ShoppingEMF-ISN</v>
      </c>
      <c r="DU39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39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9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395" s="1" t="str">
        <f>_xlfn.XLOOKUP(OfficeForms.Table[[#This Row],[CHAVE LINK POLO]],'[1]Quadro Geral de Lotação'!$B:$B,'[1]Quadro Geral de Lotação'!$I:$I)</f>
        <v>William Da Silva Coimbra</v>
      </c>
      <c r="DY395" s="1" t="str">
        <f>OfficeForms.Table[[#This Row],[Selecione a Ordem de Disciplina]]</f>
        <v>Ordem 2</v>
      </c>
    </row>
    <row r="396" spans="1:129" ht="34.15" customHeight="1">
      <c r="A396" s="1">
        <v>396</v>
      </c>
      <c r="B396" s="2">
        <v>46102.961689814802</v>
      </c>
      <c r="C396" s="2">
        <v>46102.996817129599</v>
      </c>
      <c r="D396" s="3" t="s">
        <v>147</v>
      </c>
      <c r="E396" s="3" t="s">
        <v>148</v>
      </c>
      <c r="G396" s="3"/>
      <c r="I396" s="3" t="s">
        <v>149</v>
      </c>
      <c r="K396" s="3"/>
      <c r="L396" s="1" t="s">
        <v>678</v>
      </c>
      <c r="O396" s="3" t="s">
        <v>133</v>
      </c>
      <c r="Q396" s="3"/>
      <c r="R396" s="3"/>
      <c r="T396" s="3"/>
      <c r="U396" s="5"/>
      <c r="W396" s="3"/>
      <c r="Z396" s="3"/>
      <c r="AA396" s="3"/>
      <c r="AC396" s="3"/>
      <c r="AD396" s="3"/>
      <c r="AF396" s="3"/>
      <c r="AG396" s="3"/>
      <c r="AI396" s="3"/>
      <c r="AJ396" s="1"/>
      <c r="AL396" s="3"/>
      <c r="AO396" s="3"/>
      <c r="AP396" s="3"/>
      <c r="AR396" s="3"/>
      <c r="AS396" s="3"/>
      <c r="AU396" s="3"/>
      <c r="AV396" s="3" t="s">
        <v>150</v>
      </c>
      <c r="AX396" s="3"/>
      <c r="AY396" s="5">
        <v>46100</v>
      </c>
      <c r="BA396" s="3"/>
      <c r="BB396" s="1">
        <v>4</v>
      </c>
      <c r="BD396" s="3"/>
      <c r="BE396" s="3" t="s">
        <v>1305</v>
      </c>
      <c r="BG396" s="3"/>
      <c r="BH396" s="3" t="s">
        <v>1306</v>
      </c>
      <c r="BJ396" s="3"/>
      <c r="BK396" s="3"/>
      <c r="BM396" s="3"/>
      <c r="BN396" s="5"/>
      <c r="BP396" s="3"/>
      <c r="BS396" s="3"/>
      <c r="BT396" s="3"/>
      <c r="BV396" s="3"/>
      <c r="BW396" s="3"/>
      <c r="BY396" s="3"/>
      <c r="BZ396" s="3"/>
      <c r="CB396" s="3"/>
      <c r="CC396" s="5"/>
      <c r="CE396" s="3"/>
      <c r="CH396" s="3"/>
      <c r="CI396" s="3"/>
      <c r="CK396" s="3"/>
      <c r="CL396" s="3"/>
      <c r="CN396" s="3"/>
      <c r="CO396" s="3"/>
      <c r="CQ396" s="3"/>
      <c r="CR396" s="5"/>
      <c r="CT396" s="3"/>
      <c r="CW396" s="3"/>
      <c r="CX396" s="3"/>
      <c r="CZ396" s="3"/>
      <c r="DA396" s="3"/>
      <c r="DC396" s="3"/>
      <c r="DD396" s="3"/>
      <c r="DF396" s="3"/>
      <c r="DG396" s="5"/>
      <c r="DI396" s="3"/>
      <c r="DL396" s="3"/>
      <c r="DM396" s="3"/>
      <c r="DO396" s="3"/>
      <c r="DP396" s="3"/>
      <c r="DR396" s="3"/>
      <c r="DS396" s="1" t="str">
        <f>_xlfn.XLOOKUP(OfficeForms.Table[[#This Row],[Selecione a Categoria do Laboratório desta atividade prática:]],Planilha1!A:A,Planilha1!B:B)</f>
        <v>BFI</v>
      </c>
      <c r="DT396" s="1" t="str">
        <f>CONCATENATE(OfficeForms.Table[[#This Row],[Selecione seu Polo Laboratório de Atividades Presenciais:]],OfficeForms.Table[[#This Row],[CHAVE CONVERSÃO]])</f>
        <v>Itajaí/SC - São VicenteBFI</v>
      </c>
      <c r="DU39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Pontos cardeais</v>
      </c>
      <c r="DV39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39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396" s="1" t="str">
        <f>_xlfn.XLOOKUP(OfficeForms.Table[[#This Row],[CHAVE LINK POLO]],'[1]Quadro Geral de Lotação'!$B:$B,'[1]Quadro Geral de Lotação'!$I:$I)</f>
        <v>Tuani Rafaela Matana Neves</v>
      </c>
      <c r="DY396" s="1" t="str">
        <f>OfficeForms.Table[[#This Row],[Selecione a Ordem de Disciplina]]</f>
        <v>Ordem 2</v>
      </c>
    </row>
    <row r="397" spans="1:129" ht="34.15" customHeight="1">
      <c r="A397" s="1">
        <v>397</v>
      </c>
      <c r="B397" s="2">
        <v>46102.996874999997</v>
      </c>
      <c r="C397" s="2">
        <v>46103.000833333303</v>
      </c>
      <c r="D397" s="3" t="s">
        <v>147</v>
      </c>
      <c r="E397" s="3" t="s">
        <v>148</v>
      </c>
      <c r="G397" s="3"/>
      <c r="I397" s="3" t="s">
        <v>149</v>
      </c>
      <c r="K397" s="3"/>
      <c r="L397" s="1" t="s">
        <v>678</v>
      </c>
      <c r="O397" s="3" t="s">
        <v>133</v>
      </c>
      <c r="Q397" s="3"/>
      <c r="R397" s="3"/>
      <c r="T397" s="3"/>
      <c r="U397" s="5"/>
      <c r="W397" s="3"/>
      <c r="Z397" s="3"/>
      <c r="AA397" s="3"/>
      <c r="AC397" s="3"/>
      <c r="AD397" s="3"/>
      <c r="AF397" s="3"/>
      <c r="AG397" s="3"/>
      <c r="AI397" s="3"/>
      <c r="AJ397" s="1"/>
      <c r="AL397" s="3"/>
      <c r="AO397" s="3"/>
      <c r="AP397" s="3"/>
      <c r="AR397" s="3"/>
      <c r="AS397" s="3"/>
      <c r="AU397" s="3"/>
      <c r="AV397" s="3" t="s">
        <v>1307</v>
      </c>
      <c r="AX397" s="3"/>
      <c r="AY397" s="5">
        <v>46100</v>
      </c>
      <c r="BA397" s="3"/>
      <c r="BB397" s="1">
        <v>2</v>
      </c>
      <c r="BD397" s="3"/>
      <c r="BE397" s="3" t="s">
        <v>1308</v>
      </c>
      <c r="BG397" s="3"/>
      <c r="BH397" s="3" t="s">
        <v>1309</v>
      </c>
      <c r="BJ397" s="3"/>
      <c r="BK397" s="3"/>
      <c r="BM397" s="3"/>
      <c r="BN397" s="5"/>
      <c r="BP397" s="3"/>
      <c r="BS397" s="3"/>
      <c r="BT397" s="3"/>
      <c r="BV397" s="3"/>
      <c r="BW397" s="3"/>
      <c r="BY397" s="3"/>
      <c r="BZ397" s="3"/>
      <c r="CB397" s="3"/>
      <c r="CC397" s="5"/>
      <c r="CE397" s="3"/>
      <c r="CH397" s="3"/>
      <c r="CI397" s="3"/>
      <c r="CK397" s="3"/>
      <c r="CL397" s="3"/>
      <c r="CN397" s="3"/>
      <c r="CO397" s="3"/>
      <c r="CQ397" s="3"/>
      <c r="CR397" s="5"/>
      <c r="CT397" s="3"/>
      <c r="CW397" s="3"/>
      <c r="CX397" s="3"/>
      <c r="CZ397" s="3"/>
      <c r="DA397" s="3"/>
      <c r="DC397" s="3"/>
      <c r="DD397" s="3"/>
      <c r="DF397" s="3"/>
      <c r="DG397" s="5"/>
      <c r="DI397" s="3"/>
      <c r="DL397" s="3"/>
      <c r="DM397" s="3"/>
      <c r="DO397" s="3"/>
      <c r="DP397" s="3"/>
      <c r="DR397" s="3"/>
      <c r="DS397" s="1" t="str">
        <f>_xlfn.XLOOKUP(OfficeForms.Table[[#This Row],[Selecione a Categoria do Laboratório desta atividade prática:]],Planilha1!A:A,Planilha1!B:B)</f>
        <v>BFI</v>
      </c>
      <c r="DT397" s="1" t="str">
        <f>CONCATENATE(OfficeForms.Table[[#This Row],[Selecione seu Polo Laboratório de Atividades Presenciais:]],OfficeForms.Table[[#This Row],[CHAVE CONVERSÃO]])</f>
        <v>Itajaí/SC - São VicenteBFI</v>
      </c>
      <c r="DU39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Braintom</v>
      </c>
      <c r="DV39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39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397" s="1" t="str">
        <f>_xlfn.XLOOKUP(OfficeForms.Table[[#This Row],[CHAVE LINK POLO]],'[1]Quadro Geral de Lotação'!$B:$B,'[1]Quadro Geral de Lotação'!$I:$I)</f>
        <v>Tuani Rafaela Matana Neves</v>
      </c>
      <c r="DY397" s="1" t="str">
        <f>OfficeForms.Table[[#This Row],[Selecione a Ordem de Disciplina]]</f>
        <v>Ordem 2</v>
      </c>
    </row>
    <row r="398" spans="1:129" ht="34.15" customHeight="1">
      <c r="A398" s="1">
        <v>398</v>
      </c>
      <c r="B398" s="2">
        <v>46103.495081018496</v>
      </c>
      <c r="C398" s="2">
        <v>46103.497442129599</v>
      </c>
      <c r="D398" s="3" t="s">
        <v>429</v>
      </c>
      <c r="E398" s="3" t="s">
        <v>430</v>
      </c>
      <c r="G398" s="3"/>
      <c r="I398" s="3" t="s">
        <v>431</v>
      </c>
      <c r="K398" s="3"/>
      <c r="L398" s="1" t="s">
        <v>678</v>
      </c>
      <c r="O398" s="3" t="s">
        <v>184</v>
      </c>
      <c r="Q398" s="3"/>
      <c r="R398" s="3"/>
      <c r="T398" s="3"/>
      <c r="U398" s="5"/>
      <c r="W398" s="3"/>
      <c r="Z398" s="3"/>
      <c r="AA398" s="3"/>
      <c r="AC398" s="3"/>
      <c r="AD398" s="3"/>
      <c r="AF398" s="3"/>
      <c r="AG398" s="3" t="s">
        <v>1200</v>
      </c>
      <c r="AI398" s="3"/>
      <c r="AJ398" s="1">
        <v>46099</v>
      </c>
      <c r="AL398" s="3"/>
      <c r="AM398" s="1">
        <v>9</v>
      </c>
      <c r="AO398" s="3"/>
      <c r="AP398" s="3" t="s">
        <v>1310</v>
      </c>
      <c r="AR398" s="3"/>
      <c r="AS398" s="3" t="s">
        <v>1311</v>
      </c>
      <c r="AU398" s="3"/>
      <c r="AV398" s="3"/>
      <c r="AX398" s="3"/>
      <c r="AY398" s="5"/>
      <c r="BA398" s="3"/>
      <c r="BD398" s="3"/>
      <c r="BE398" s="3"/>
      <c r="BG398" s="3"/>
      <c r="BH398" s="3"/>
      <c r="BJ398" s="3"/>
      <c r="BK398" s="3"/>
      <c r="BM398" s="3"/>
      <c r="BN398" s="5"/>
      <c r="BP398" s="3"/>
      <c r="BS398" s="3"/>
      <c r="BT398" s="3"/>
      <c r="BV398" s="3"/>
      <c r="BW398" s="3"/>
      <c r="BY398" s="3"/>
      <c r="BZ398" s="3"/>
      <c r="CB398" s="3"/>
      <c r="CC398" s="5"/>
      <c r="CE398" s="3"/>
      <c r="CH398" s="3"/>
      <c r="CI398" s="3"/>
      <c r="CK398" s="3"/>
      <c r="CL398" s="3"/>
      <c r="CN398" s="3"/>
      <c r="CO398" s="3"/>
      <c r="CQ398" s="3"/>
      <c r="CR398" s="5"/>
      <c r="CT398" s="3"/>
      <c r="CW398" s="3"/>
      <c r="CX398" s="3"/>
      <c r="CZ398" s="3"/>
      <c r="DA398" s="3"/>
      <c r="DC398" s="3"/>
      <c r="DD398" s="3"/>
      <c r="DF398" s="3"/>
      <c r="DG398" s="5"/>
      <c r="DI398" s="3"/>
      <c r="DL398" s="3"/>
      <c r="DM398" s="3"/>
      <c r="DO398" s="3"/>
      <c r="DP398" s="3"/>
      <c r="DR398" s="3"/>
      <c r="DS398" s="1" t="str">
        <f>_xlfn.XLOOKUP(OfficeForms.Table[[#This Row],[Selecione a Categoria do Laboratório desta atividade prática:]],Planilha1!A:A,Planilha1!B:B)</f>
        <v>EMF-ISN</v>
      </c>
      <c r="DT398" s="1" t="str">
        <f>CONCATENATE(OfficeForms.Table[[#This Row],[Selecione seu Polo Laboratório de Atividades Presenciais:]],OfficeForms.Table[[#This Row],[CHAVE CONVERSÃO]])</f>
        <v>Assú/RNEMF-ISN</v>
      </c>
      <c r="DU39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39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9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398" s="1" t="str">
        <f>_xlfn.XLOOKUP(OfficeForms.Table[[#This Row],[CHAVE LINK POLO]],'[1]Quadro Geral de Lotação'!$B:$B,'[1]Quadro Geral de Lotação'!$I:$I)</f>
        <v>Romulo Freire Pinto</v>
      </c>
      <c r="DY398" s="1" t="str">
        <f>OfficeForms.Table[[#This Row],[Selecione a Ordem de Disciplina]]</f>
        <v>Ordem 2</v>
      </c>
    </row>
    <row r="399" spans="1:129" ht="34.15" customHeight="1">
      <c r="A399" s="1">
        <v>399</v>
      </c>
      <c r="B399" s="2">
        <v>46103.495092592602</v>
      </c>
      <c r="C399" s="2">
        <v>46103.498344907399</v>
      </c>
      <c r="D399" s="3" t="s">
        <v>429</v>
      </c>
      <c r="E399" s="3" t="s">
        <v>430</v>
      </c>
      <c r="G399" s="3"/>
      <c r="I399" s="3" t="s">
        <v>431</v>
      </c>
      <c r="K399" s="3"/>
      <c r="L399" s="1" t="s">
        <v>678</v>
      </c>
      <c r="O399" s="3" t="s">
        <v>184</v>
      </c>
      <c r="Q399" s="3"/>
      <c r="R399" s="3"/>
      <c r="T399" s="3"/>
      <c r="U399" s="5"/>
      <c r="W399" s="3"/>
      <c r="Z399" s="3"/>
      <c r="AA399" s="3"/>
      <c r="AC399" s="3"/>
      <c r="AD399" s="3"/>
      <c r="AF399" s="3"/>
      <c r="AG399" s="3" t="s">
        <v>1200</v>
      </c>
      <c r="AI399" s="3"/>
      <c r="AJ399" s="1">
        <v>46099</v>
      </c>
      <c r="AL399" s="3"/>
      <c r="AM399" s="1">
        <v>9</v>
      </c>
      <c r="AO399" s="3"/>
      <c r="AP399" s="3" t="s">
        <v>1312</v>
      </c>
      <c r="AR399" s="3"/>
      <c r="AS399" s="3" t="s">
        <v>1313</v>
      </c>
      <c r="AU399" s="3"/>
      <c r="AV399" s="3"/>
      <c r="AX399" s="3"/>
      <c r="AY399" s="5"/>
      <c r="BA399" s="3"/>
      <c r="BD399" s="3"/>
      <c r="BE399" s="3"/>
      <c r="BG399" s="3"/>
      <c r="BH399" s="3"/>
      <c r="BJ399" s="3"/>
      <c r="BK399" s="3"/>
      <c r="BM399" s="3"/>
      <c r="BN399" s="5"/>
      <c r="BP399" s="3"/>
      <c r="BS399" s="3"/>
      <c r="BT399" s="3"/>
      <c r="BV399" s="3"/>
      <c r="BW399" s="3"/>
      <c r="BY399" s="3"/>
      <c r="BZ399" s="3"/>
      <c r="CB399" s="3"/>
      <c r="CC399" s="5"/>
      <c r="CE399" s="3"/>
      <c r="CH399" s="3"/>
      <c r="CI399" s="3"/>
      <c r="CK399" s="3"/>
      <c r="CL399" s="3"/>
      <c r="CN399" s="3"/>
      <c r="CO399" s="3"/>
      <c r="CQ399" s="3"/>
      <c r="CR399" s="5"/>
      <c r="CT399" s="3"/>
      <c r="CW399" s="3"/>
      <c r="CX399" s="3"/>
      <c r="CZ399" s="3"/>
      <c r="DA399" s="3"/>
      <c r="DC399" s="3"/>
      <c r="DD399" s="3"/>
      <c r="DF399" s="3"/>
      <c r="DG399" s="5"/>
      <c r="DI399" s="3"/>
      <c r="DL399" s="3"/>
      <c r="DM399" s="3"/>
      <c r="DO399" s="3"/>
      <c r="DP399" s="3"/>
      <c r="DR399" s="3"/>
      <c r="DS399" s="1" t="str">
        <f>_xlfn.XLOOKUP(OfficeForms.Table[[#This Row],[Selecione a Categoria do Laboratório desta atividade prática:]],Planilha1!A:A,Planilha1!B:B)</f>
        <v>EMF-ISN</v>
      </c>
      <c r="DT399" s="1" t="str">
        <f>CONCATENATE(OfficeForms.Table[[#This Row],[Selecione seu Polo Laboratório de Atividades Presenciais:]],OfficeForms.Table[[#This Row],[CHAVE CONVERSÃO]])</f>
        <v>Assú/RNEMF-ISN</v>
      </c>
      <c r="DU39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39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39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399" s="1" t="str">
        <f>_xlfn.XLOOKUP(OfficeForms.Table[[#This Row],[CHAVE LINK POLO]],'[1]Quadro Geral de Lotação'!$B:$B,'[1]Quadro Geral de Lotação'!$I:$I)</f>
        <v>Romulo Freire Pinto</v>
      </c>
      <c r="DY399" s="1" t="str">
        <f>OfficeForms.Table[[#This Row],[Selecione a Ordem de Disciplina]]</f>
        <v>Ordem 2</v>
      </c>
    </row>
    <row r="400" spans="1:129" ht="34.15" customHeight="1">
      <c r="A400" s="1">
        <v>400</v>
      </c>
      <c r="B400" s="2">
        <v>46103.500682870399</v>
      </c>
      <c r="C400" s="2">
        <v>46103.503321759301</v>
      </c>
      <c r="D400" s="3" t="s">
        <v>1314</v>
      </c>
      <c r="E400" s="3" t="s">
        <v>1315</v>
      </c>
      <c r="G400" s="3"/>
      <c r="I400" s="3" t="s">
        <v>513</v>
      </c>
      <c r="K400" s="3"/>
      <c r="L400" s="1" t="s">
        <v>132</v>
      </c>
      <c r="O400" s="3" t="s">
        <v>497</v>
      </c>
      <c r="Q400" s="3"/>
      <c r="R400" s="3" t="s">
        <v>498</v>
      </c>
      <c r="T400" s="3"/>
      <c r="U400" s="5">
        <v>46099</v>
      </c>
      <c r="W400" s="3"/>
      <c r="X400" s="1">
        <v>5</v>
      </c>
      <c r="Z400" s="3"/>
      <c r="AA400" s="3" t="s">
        <v>1316</v>
      </c>
      <c r="AC400" s="3"/>
      <c r="AD400" s="3" t="s">
        <v>1317</v>
      </c>
      <c r="AF400" s="3"/>
      <c r="AG400" s="3"/>
      <c r="AI400" s="3"/>
      <c r="AJ400" s="1"/>
      <c r="AL400" s="3"/>
      <c r="AO400" s="3"/>
      <c r="AP400" s="3"/>
      <c r="AR400" s="3"/>
      <c r="AS400" s="3"/>
      <c r="AU400" s="3"/>
      <c r="AV400" s="3"/>
      <c r="AX400" s="3"/>
      <c r="AY400" s="5"/>
      <c r="BA400" s="3"/>
      <c r="BD400" s="3"/>
      <c r="BE400" s="3"/>
      <c r="BG400" s="3"/>
      <c r="BH400" s="3"/>
      <c r="BJ400" s="3"/>
      <c r="BK400" s="3"/>
      <c r="BM400" s="3"/>
      <c r="BN400" s="5"/>
      <c r="BP400" s="3"/>
      <c r="BS400" s="3"/>
      <c r="BT400" s="3"/>
      <c r="BV400" s="3"/>
      <c r="BW400" s="3"/>
      <c r="BY400" s="3"/>
      <c r="BZ400" s="3"/>
      <c r="CB400" s="3"/>
      <c r="CC400" s="5"/>
      <c r="CE400" s="3"/>
      <c r="CH400" s="3"/>
      <c r="CI400" s="3"/>
      <c r="CK400" s="3"/>
      <c r="CL400" s="3"/>
      <c r="CN400" s="3"/>
      <c r="CO400" s="3"/>
      <c r="CQ400" s="3"/>
      <c r="CR400" s="5"/>
      <c r="CT400" s="3"/>
      <c r="CW400" s="3"/>
      <c r="CX400" s="3"/>
      <c r="CZ400" s="3"/>
      <c r="DA400" s="3"/>
      <c r="DC400" s="3"/>
      <c r="DD400" s="3"/>
      <c r="DF400" s="3"/>
      <c r="DG400" s="5"/>
      <c r="DI400" s="3"/>
      <c r="DL400" s="3"/>
      <c r="DM400" s="3"/>
      <c r="DO400" s="3"/>
      <c r="DP400" s="3"/>
      <c r="DR400" s="3"/>
      <c r="DS400" s="1" t="str">
        <f>_xlfn.XLOOKUP(OfficeForms.Table[[#This Row],[Selecione a Categoria do Laboratório desta atividade prática:]],Planilha1!A:A,Planilha1!B:B)</f>
        <v>BFR-BBI</v>
      </c>
      <c r="DT400" s="1" t="str">
        <f>CONCATENATE(OfficeForms.Table[[#This Row],[Selecione seu Polo Laboratório de Atividades Presenciais:]],OfficeForms.Table[[#This Row],[CHAVE CONVERSÃO]])</f>
        <v>Aracaju/SE - Ponto NovoBFR-BBI</v>
      </c>
      <c r="DU40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Coleta de Sangue</v>
      </c>
      <c r="DV40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40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400" s="1" t="e">
        <f>_xlfn.XLOOKUP(OfficeForms.Table[[#This Row],[CHAVE LINK POLO]],'[1]Quadro Geral de Lotação'!$B:$B,'[1]Quadro Geral de Lotação'!$I:$I)</f>
        <v>#N/A</v>
      </c>
      <c r="DY400" s="1" t="str">
        <f>OfficeForms.Table[[#This Row],[Selecione a Ordem de Disciplina]]</f>
        <v>Ordem 1</v>
      </c>
    </row>
    <row r="401" spans="1:129" ht="34.15" customHeight="1">
      <c r="A401" s="1">
        <v>401</v>
      </c>
      <c r="B401" s="2">
        <v>46103.633877314802</v>
      </c>
      <c r="C401" s="2">
        <v>46103.6349305556</v>
      </c>
      <c r="D401" s="3" t="s">
        <v>297</v>
      </c>
      <c r="E401" s="3" t="s">
        <v>298</v>
      </c>
      <c r="G401" s="3"/>
      <c r="I401" s="3" t="s">
        <v>299</v>
      </c>
      <c r="K401" s="3"/>
      <c r="L401" s="1" t="s">
        <v>678</v>
      </c>
      <c r="O401" s="3" t="s">
        <v>156</v>
      </c>
      <c r="Q401" s="3"/>
      <c r="R401" s="3"/>
      <c r="T401" s="3"/>
      <c r="U401" s="5"/>
      <c r="W401" s="3"/>
      <c r="Z401" s="3"/>
      <c r="AA401" s="3"/>
      <c r="AC401" s="3"/>
      <c r="AD401" s="3"/>
      <c r="AF401" s="3"/>
      <c r="AG401" s="3"/>
      <c r="AI401" s="3"/>
      <c r="AJ401" s="1"/>
      <c r="AL401" s="3"/>
      <c r="AO401" s="3"/>
      <c r="AP401" s="3"/>
      <c r="AR401" s="3"/>
      <c r="AS401" s="3"/>
      <c r="AU401" s="3"/>
      <c r="AV401" s="3"/>
      <c r="AX401" s="3"/>
      <c r="AY401" s="5"/>
      <c r="BA401" s="3"/>
      <c r="BD401" s="3"/>
      <c r="BE401" s="3"/>
      <c r="BG401" s="3"/>
      <c r="BH401" s="3"/>
      <c r="BJ401" s="3"/>
      <c r="BK401" s="3" t="s">
        <v>1240</v>
      </c>
      <c r="BM401" s="3"/>
      <c r="BN401" s="5">
        <v>46098</v>
      </c>
      <c r="BP401" s="3"/>
      <c r="BQ401" s="1">
        <v>7</v>
      </c>
      <c r="BS401" s="3"/>
      <c r="BT401" s="3" t="s">
        <v>1318</v>
      </c>
      <c r="BV401" s="3"/>
      <c r="BW401" s="3" t="s">
        <v>1319</v>
      </c>
      <c r="BY401" s="3"/>
      <c r="BZ401" s="3"/>
      <c r="CB401" s="3"/>
      <c r="CC401" s="5"/>
      <c r="CE401" s="3"/>
      <c r="CH401" s="3"/>
      <c r="CI401" s="3"/>
      <c r="CK401" s="3"/>
      <c r="CL401" s="3"/>
      <c r="CN401" s="3"/>
      <c r="CO401" s="3"/>
      <c r="CQ401" s="3"/>
      <c r="CR401" s="5"/>
      <c r="CT401" s="3"/>
      <c r="CW401" s="3"/>
      <c r="CX401" s="3"/>
      <c r="CZ401" s="3"/>
      <c r="DA401" s="3"/>
      <c r="DC401" s="3"/>
      <c r="DD401" s="3"/>
      <c r="DF401" s="3"/>
      <c r="DG401" s="5"/>
      <c r="DI401" s="3"/>
      <c r="DL401" s="3"/>
      <c r="DM401" s="3"/>
      <c r="DO401" s="3"/>
      <c r="DP401" s="3"/>
      <c r="DR401" s="3"/>
      <c r="DS401" s="1" t="str">
        <f>_xlfn.XLOOKUP(OfficeForms.Table[[#This Row],[Selecione a Categoria do Laboratório desta atividade prática:]],Planilha1!A:A,Planilha1!B:B)</f>
        <v>NTR</v>
      </c>
      <c r="DT401" s="1" t="str">
        <f>CONCATENATE(OfficeForms.Table[[#This Row],[Selecione seu Polo Laboratório de Atividades Presenciais:]],OfficeForms.Table[[#This Row],[CHAVE CONVERSÃO]])</f>
        <v>Indaial/SC - Vitória Regia ( Centro Universitário  Leonardo da Vinci)NTR</v>
      </c>
      <c r="DU40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40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40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401" s="1" t="str">
        <f>_xlfn.XLOOKUP(OfficeForms.Table[[#This Row],[CHAVE LINK POLO]],'[1]Quadro Geral de Lotação'!$B:$B,'[1]Quadro Geral de Lotação'!$I:$I)</f>
        <v>-</v>
      </c>
      <c r="DY401" s="1" t="str">
        <f>OfficeForms.Table[[#This Row],[Selecione a Ordem de Disciplina]]</f>
        <v>Ordem 2</v>
      </c>
    </row>
    <row r="402" spans="1:129" ht="34.15" customHeight="1">
      <c r="A402" s="1">
        <v>402</v>
      </c>
      <c r="B402" s="2">
        <v>46103.772141203699</v>
      </c>
      <c r="C402" s="2">
        <v>46103.777488425898</v>
      </c>
      <c r="D402" s="3" t="s">
        <v>1320</v>
      </c>
      <c r="E402" s="3" t="s">
        <v>1321</v>
      </c>
      <c r="G402" s="3"/>
      <c r="I402" s="3" t="s">
        <v>1322</v>
      </c>
      <c r="K402" s="3"/>
      <c r="L402" s="1" t="s">
        <v>132</v>
      </c>
      <c r="O402" s="3" t="s">
        <v>184</v>
      </c>
      <c r="Q402" s="3"/>
      <c r="R402" s="3"/>
      <c r="T402" s="3"/>
      <c r="U402" s="5"/>
      <c r="W402" s="3"/>
      <c r="Z402" s="3"/>
      <c r="AA402" s="3"/>
      <c r="AC402" s="3"/>
      <c r="AD402" s="3"/>
      <c r="AF402" s="3"/>
      <c r="AG402" s="3" t="s">
        <v>414</v>
      </c>
      <c r="AI402" s="3"/>
      <c r="AJ402" s="1">
        <v>46079</v>
      </c>
      <c r="AL402" s="3"/>
      <c r="AM402" s="1">
        <v>1</v>
      </c>
      <c r="AO402" s="3"/>
      <c r="AP402" s="3" t="s">
        <v>1323</v>
      </c>
      <c r="AR402" s="3"/>
      <c r="AS402" s="3" t="s">
        <v>1324</v>
      </c>
      <c r="AU402" s="3"/>
      <c r="AV402" s="3"/>
      <c r="AX402" s="3"/>
      <c r="AY402" s="5"/>
      <c r="BA402" s="3"/>
      <c r="BD402" s="3"/>
      <c r="BE402" s="3"/>
      <c r="BG402" s="3"/>
      <c r="BH402" s="3"/>
      <c r="BJ402" s="3"/>
      <c r="BK402" s="3"/>
      <c r="BM402" s="3"/>
      <c r="BN402" s="5"/>
      <c r="BP402" s="3"/>
      <c r="BS402" s="3"/>
      <c r="BT402" s="3"/>
      <c r="BV402" s="3"/>
      <c r="BW402" s="3"/>
      <c r="BY402" s="3"/>
      <c r="BZ402" s="3"/>
      <c r="CB402" s="3"/>
      <c r="CC402" s="5"/>
      <c r="CE402" s="3"/>
      <c r="CH402" s="3"/>
      <c r="CI402" s="3"/>
      <c r="CK402" s="3"/>
      <c r="CL402" s="3"/>
      <c r="CN402" s="3"/>
      <c r="CO402" s="3"/>
      <c r="CQ402" s="3"/>
      <c r="CR402" s="5"/>
      <c r="CT402" s="3"/>
      <c r="CW402" s="3"/>
      <c r="CX402" s="3"/>
      <c r="CZ402" s="3"/>
      <c r="DA402" s="3"/>
      <c r="DC402" s="3"/>
      <c r="DD402" s="3"/>
      <c r="DF402" s="3"/>
      <c r="DG402" s="5"/>
      <c r="DI402" s="3"/>
      <c r="DL402" s="3"/>
      <c r="DM402" s="3"/>
      <c r="DO402" s="3"/>
      <c r="DP402" s="3"/>
      <c r="DR402" s="3"/>
      <c r="DS402" s="1" t="str">
        <f>_xlfn.XLOOKUP(OfficeForms.Table[[#This Row],[Selecione a Categoria do Laboratório desta atividade prática:]],Planilha1!A:A,Planilha1!B:B)</f>
        <v>EMF-ISN</v>
      </c>
      <c r="DT402" s="1" t="str">
        <f>CONCATENATE(OfficeForms.Table[[#This Row],[Selecione seu Polo Laboratório de Atividades Presenciais:]],OfficeForms.Table[[#This Row],[CHAVE CONVERSÃO]])</f>
        <v>Itacoatiara/AMEMF-ISN</v>
      </c>
      <c r="DU40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40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40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02" s="1" t="str">
        <f>_xlfn.XLOOKUP(OfficeForms.Table[[#This Row],[CHAVE LINK POLO]],'[1]Quadro Geral de Lotação'!$B:$B,'[1]Quadro Geral de Lotação'!$I:$I)</f>
        <v>Cinthia Clece Dos Santos Macedo</v>
      </c>
      <c r="DY402" s="1" t="str">
        <f>OfficeForms.Table[[#This Row],[Selecione a Ordem de Disciplina]]</f>
        <v>Ordem 1</v>
      </c>
    </row>
    <row r="403" spans="1:129" ht="34.15" customHeight="1">
      <c r="A403" s="1">
        <v>403</v>
      </c>
      <c r="B403" s="2">
        <v>46103.777581018498</v>
      </c>
      <c r="C403" s="2">
        <v>46103.7790046296</v>
      </c>
      <c r="D403" s="3" t="s">
        <v>1320</v>
      </c>
      <c r="E403" s="3" t="s">
        <v>1321</v>
      </c>
      <c r="G403" s="3"/>
      <c r="I403" s="3" t="s">
        <v>1322</v>
      </c>
      <c r="K403" s="3"/>
      <c r="L403" s="1" t="s">
        <v>1325</v>
      </c>
      <c r="O403" s="3" t="s">
        <v>184</v>
      </c>
      <c r="Q403" s="3"/>
      <c r="R403" s="3"/>
      <c r="T403" s="3"/>
      <c r="U403" s="5"/>
      <c r="W403" s="3"/>
      <c r="Z403" s="3"/>
      <c r="AA403" s="3"/>
      <c r="AC403" s="3"/>
      <c r="AD403" s="3"/>
      <c r="AF403" s="3"/>
      <c r="AG403" s="3" t="s">
        <v>816</v>
      </c>
      <c r="AI403" s="3"/>
      <c r="AJ403" s="1">
        <v>46095</v>
      </c>
      <c r="AL403" s="3"/>
      <c r="AM403" s="1">
        <v>1</v>
      </c>
      <c r="AO403" s="3"/>
      <c r="AP403" s="3" t="s">
        <v>1326</v>
      </c>
      <c r="AR403" s="3"/>
      <c r="AS403" s="3" t="s">
        <v>1327</v>
      </c>
      <c r="AU403" s="3"/>
      <c r="AV403" s="3"/>
      <c r="AX403" s="3"/>
      <c r="AY403" s="5"/>
      <c r="BA403" s="3"/>
      <c r="BD403" s="3"/>
      <c r="BE403" s="3"/>
      <c r="BG403" s="3"/>
      <c r="BH403" s="3"/>
      <c r="BJ403" s="3"/>
      <c r="BK403" s="3"/>
      <c r="BM403" s="3"/>
      <c r="BN403" s="5"/>
      <c r="BP403" s="3"/>
      <c r="BS403" s="3"/>
      <c r="BT403" s="3"/>
      <c r="BV403" s="3"/>
      <c r="BW403" s="3"/>
      <c r="BY403" s="3"/>
      <c r="BZ403" s="3"/>
      <c r="CB403" s="3"/>
      <c r="CC403" s="5"/>
      <c r="CE403" s="3"/>
      <c r="CH403" s="3"/>
      <c r="CI403" s="3"/>
      <c r="CK403" s="3"/>
      <c r="CL403" s="3"/>
      <c r="CN403" s="3"/>
      <c r="CO403" s="3"/>
      <c r="CQ403" s="3"/>
      <c r="CR403" s="5"/>
      <c r="CT403" s="3"/>
      <c r="CW403" s="3"/>
      <c r="CX403" s="3"/>
      <c r="CZ403" s="3"/>
      <c r="DA403" s="3"/>
      <c r="DC403" s="3"/>
      <c r="DD403" s="3"/>
      <c r="DF403" s="3"/>
      <c r="DG403" s="5"/>
      <c r="DI403" s="3"/>
      <c r="DL403" s="3"/>
      <c r="DM403" s="3"/>
      <c r="DO403" s="3"/>
      <c r="DP403" s="3"/>
      <c r="DR403" s="3"/>
      <c r="DS403" s="1" t="str">
        <f>_xlfn.XLOOKUP(OfficeForms.Table[[#This Row],[Selecione a Categoria do Laboratório desta atividade prática:]],Planilha1!A:A,Planilha1!B:B)</f>
        <v>EMF-ISN</v>
      </c>
      <c r="DT403" s="1" t="str">
        <f>CONCATENATE(OfficeForms.Table[[#This Row],[Selecione seu Polo Laboratório de Atividades Presenciais:]],OfficeForms.Table[[#This Row],[CHAVE CONVERSÃO]])</f>
        <v>Itacoatiara/AMEMF-ISN</v>
      </c>
      <c r="DU40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40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40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03" s="1" t="str">
        <f>_xlfn.XLOOKUP(OfficeForms.Table[[#This Row],[CHAVE LINK POLO]],'[1]Quadro Geral de Lotação'!$B:$B,'[1]Quadro Geral de Lotação'!$I:$I)</f>
        <v>Cinthia Clece Dos Santos Macedo</v>
      </c>
      <c r="DY403" s="1" t="str">
        <f>OfficeForms.Table[[#This Row],[Selecione a Ordem de Disciplina]]</f>
        <v>Ordem 3</v>
      </c>
    </row>
    <row r="404" spans="1:129" ht="34.15" customHeight="1">
      <c r="A404" s="1">
        <v>404</v>
      </c>
      <c r="B404" s="2">
        <v>46103.798472222203</v>
      </c>
      <c r="C404" s="2">
        <v>46103.800300925897</v>
      </c>
      <c r="D404" s="3" t="s">
        <v>1320</v>
      </c>
      <c r="E404" s="3" t="s">
        <v>1321</v>
      </c>
      <c r="G404" s="3"/>
      <c r="I404" s="3" t="s">
        <v>1322</v>
      </c>
      <c r="K404" s="3"/>
      <c r="L404" s="1" t="s">
        <v>678</v>
      </c>
      <c r="O404" s="3" t="s">
        <v>184</v>
      </c>
      <c r="Q404" s="3"/>
      <c r="R404" s="3"/>
      <c r="T404" s="3"/>
      <c r="U404" s="5"/>
      <c r="W404" s="3"/>
      <c r="Z404" s="3"/>
      <c r="AA404" s="3"/>
      <c r="AC404" s="3"/>
      <c r="AD404" s="3"/>
      <c r="AF404" s="3"/>
      <c r="AG404" s="3" t="s">
        <v>1013</v>
      </c>
      <c r="AI404" s="3"/>
      <c r="AJ404" s="1">
        <v>46102</v>
      </c>
      <c r="AL404" s="3"/>
      <c r="AM404" s="1">
        <v>1</v>
      </c>
      <c r="AO404" s="3"/>
      <c r="AP404" s="3" t="s">
        <v>1328</v>
      </c>
      <c r="AR404" s="3"/>
      <c r="AS404" s="3" t="s">
        <v>1329</v>
      </c>
      <c r="AU404" s="3"/>
      <c r="AV404" s="3"/>
      <c r="AX404" s="3"/>
      <c r="AY404" s="5"/>
      <c r="BA404" s="3"/>
      <c r="BD404" s="3"/>
      <c r="BE404" s="3"/>
      <c r="BG404" s="3"/>
      <c r="BH404" s="3"/>
      <c r="BJ404" s="3"/>
      <c r="BK404" s="3"/>
      <c r="BM404" s="3"/>
      <c r="BN404" s="5"/>
      <c r="BP404" s="3"/>
      <c r="BS404" s="3"/>
      <c r="BT404" s="3"/>
      <c r="BV404" s="3"/>
      <c r="BW404" s="3"/>
      <c r="BY404" s="3"/>
      <c r="BZ404" s="3"/>
      <c r="CB404" s="3"/>
      <c r="CC404" s="5"/>
      <c r="CE404" s="3"/>
      <c r="CH404" s="3"/>
      <c r="CI404" s="3"/>
      <c r="CK404" s="3"/>
      <c r="CL404" s="3"/>
      <c r="CN404" s="3"/>
      <c r="CO404" s="3"/>
      <c r="CQ404" s="3"/>
      <c r="CR404" s="5"/>
      <c r="CT404" s="3"/>
      <c r="CW404" s="3"/>
      <c r="CX404" s="3"/>
      <c r="CZ404" s="3"/>
      <c r="DA404" s="3"/>
      <c r="DC404" s="3"/>
      <c r="DD404" s="3"/>
      <c r="DF404" s="3"/>
      <c r="DG404" s="5"/>
      <c r="DI404" s="3"/>
      <c r="DL404" s="3"/>
      <c r="DM404" s="3"/>
      <c r="DO404" s="3"/>
      <c r="DP404" s="3"/>
      <c r="DR404" s="3"/>
      <c r="DS404" s="1" t="str">
        <f>_xlfn.XLOOKUP(OfficeForms.Table[[#This Row],[Selecione a Categoria do Laboratório desta atividade prática:]],Planilha1!A:A,Planilha1!B:B)</f>
        <v>EMF-ISN</v>
      </c>
      <c r="DT404" s="1" t="str">
        <f>CONCATENATE(OfficeForms.Table[[#This Row],[Selecione seu Polo Laboratório de Atividades Presenciais:]],OfficeForms.Table[[#This Row],[CHAVE CONVERSÃO]])</f>
        <v>Itacoatiara/AMEMF-ISN</v>
      </c>
      <c r="DU40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40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40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04" s="1" t="str">
        <f>_xlfn.XLOOKUP(OfficeForms.Table[[#This Row],[CHAVE LINK POLO]],'[1]Quadro Geral de Lotação'!$B:$B,'[1]Quadro Geral de Lotação'!$I:$I)</f>
        <v>Cinthia Clece Dos Santos Macedo</v>
      </c>
      <c r="DY404" s="1" t="str">
        <f>OfficeForms.Table[[#This Row],[Selecione a Ordem de Disciplina]]</f>
        <v>Ordem 2</v>
      </c>
    </row>
    <row r="405" spans="1:129" ht="34.15" customHeight="1">
      <c r="A405" s="1">
        <v>405</v>
      </c>
      <c r="B405" s="2">
        <v>46104.423206018502</v>
      </c>
      <c r="C405" s="2">
        <v>46104.425335648099</v>
      </c>
      <c r="D405" s="3" t="s">
        <v>1330</v>
      </c>
      <c r="E405" s="3" t="s">
        <v>1331</v>
      </c>
      <c r="G405" s="3"/>
      <c r="I405" s="3" t="s">
        <v>245</v>
      </c>
      <c r="K405" s="3"/>
      <c r="L405" s="1" t="s">
        <v>678</v>
      </c>
      <c r="O405" s="3" t="s">
        <v>184</v>
      </c>
      <c r="Q405" s="3"/>
      <c r="R405" s="3"/>
      <c r="T405" s="3"/>
      <c r="U405" s="5"/>
      <c r="W405" s="3"/>
      <c r="Z405" s="3"/>
      <c r="AA405" s="3"/>
      <c r="AC405" s="3"/>
      <c r="AD405" s="3"/>
      <c r="AF405" s="3"/>
      <c r="AG405" s="3" t="s">
        <v>185</v>
      </c>
      <c r="AI405" s="3"/>
      <c r="AJ405" s="1">
        <v>46074</v>
      </c>
      <c r="AL405" s="3"/>
      <c r="AM405" s="1">
        <v>1</v>
      </c>
      <c r="AO405" s="3"/>
      <c r="AP405" s="3" t="s">
        <v>1332</v>
      </c>
      <c r="AR405" s="3"/>
      <c r="AS405" s="3" t="s">
        <v>1333</v>
      </c>
      <c r="AU405" s="3"/>
      <c r="AV405" s="3"/>
      <c r="AX405" s="3"/>
      <c r="AY405" s="5"/>
      <c r="BA405" s="3"/>
      <c r="BD405" s="3"/>
      <c r="BE405" s="3"/>
      <c r="BG405" s="3"/>
      <c r="BH405" s="3"/>
      <c r="BJ405" s="3"/>
      <c r="BK405" s="3"/>
      <c r="BM405" s="3"/>
      <c r="BN405" s="5"/>
      <c r="BP405" s="3"/>
      <c r="BS405" s="3"/>
      <c r="BT405" s="3"/>
      <c r="BV405" s="3"/>
      <c r="BW405" s="3"/>
      <c r="BY405" s="3"/>
      <c r="BZ405" s="3"/>
      <c r="CB405" s="3"/>
      <c r="CC405" s="5"/>
      <c r="CE405" s="3"/>
      <c r="CH405" s="3"/>
      <c r="CI405" s="3"/>
      <c r="CK405" s="3"/>
      <c r="CL405" s="3"/>
      <c r="CN405" s="3"/>
      <c r="CO405" s="3"/>
      <c r="CQ405" s="3"/>
      <c r="CR405" s="5"/>
      <c r="CT405" s="3"/>
      <c r="CW405" s="3"/>
      <c r="CX405" s="3"/>
      <c r="CZ405" s="3"/>
      <c r="DA405" s="3"/>
      <c r="DC405" s="3"/>
      <c r="DD405" s="3"/>
      <c r="DF405" s="3"/>
      <c r="DG405" s="5"/>
      <c r="DI405" s="3"/>
      <c r="DL405" s="3"/>
      <c r="DM405" s="3"/>
      <c r="DO405" s="3"/>
      <c r="DP405" s="3"/>
      <c r="DR405" s="3"/>
      <c r="DS405" s="1" t="str">
        <f>_xlfn.XLOOKUP(OfficeForms.Table[[#This Row],[Selecione a Categoria do Laboratório desta atividade prática:]],Planilha1!A:A,Planilha1!B:B)</f>
        <v>EMF-ISN</v>
      </c>
      <c r="DT405" s="1" t="str">
        <f>CONCATENATE(OfficeForms.Table[[#This Row],[Selecione seu Polo Laboratório de Atividades Presenciais:]],OfficeForms.Table[[#This Row],[CHAVE CONVERSÃO]])</f>
        <v>Avaré/SPEMF-ISN</v>
      </c>
      <c r="DU40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40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40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05" s="1" t="str">
        <f>_xlfn.XLOOKUP(OfficeForms.Table[[#This Row],[CHAVE LINK POLO]],'[1]Quadro Geral de Lotação'!$B:$B,'[1]Quadro Geral de Lotação'!$I:$I)</f>
        <v>Larissa Brandolin Ventura</v>
      </c>
      <c r="DY405" s="1" t="str">
        <f>OfficeForms.Table[[#This Row],[Selecione a Ordem de Disciplina]]</f>
        <v>Ordem 2</v>
      </c>
    </row>
    <row r="406" spans="1:129" ht="34.15" customHeight="1">
      <c r="A406" s="1">
        <v>406</v>
      </c>
      <c r="B406" s="2">
        <v>46104.425381944398</v>
      </c>
      <c r="C406" s="2">
        <v>46104.426006944399</v>
      </c>
      <c r="D406" s="3" t="s">
        <v>1330</v>
      </c>
      <c r="E406" s="3" t="s">
        <v>1331</v>
      </c>
      <c r="G406" s="3"/>
      <c r="I406" s="3" t="s">
        <v>245</v>
      </c>
      <c r="K406" s="3"/>
      <c r="L406" s="1" t="s">
        <v>132</v>
      </c>
      <c r="O406" s="3" t="s">
        <v>184</v>
      </c>
      <c r="Q406" s="3"/>
      <c r="R406" s="3"/>
      <c r="T406" s="3"/>
      <c r="U406" s="5"/>
      <c r="W406" s="3"/>
      <c r="Z406" s="3"/>
      <c r="AA406" s="3"/>
      <c r="AC406" s="3"/>
      <c r="AD406" s="3"/>
      <c r="AF406" s="3"/>
      <c r="AG406" s="3" t="s">
        <v>206</v>
      </c>
      <c r="AI406" s="3"/>
      <c r="AJ406" s="1">
        <v>46074</v>
      </c>
      <c r="AL406" s="3"/>
      <c r="AM406" s="1">
        <v>1</v>
      </c>
      <c r="AO406" s="3"/>
      <c r="AP406" s="3" t="s">
        <v>1334</v>
      </c>
      <c r="AR406" s="3"/>
      <c r="AS406" s="3" t="s">
        <v>1335</v>
      </c>
      <c r="AU406" s="3"/>
      <c r="AV406" s="3"/>
      <c r="AX406" s="3"/>
      <c r="AY406" s="5"/>
      <c r="BA406" s="3"/>
      <c r="BD406" s="3"/>
      <c r="BE406" s="3"/>
      <c r="BG406" s="3"/>
      <c r="BH406" s="3"/>
      <c r="BJ406" s="3"/>
      <c r="BK406" s="3"/>
      <c r="BM406" s="3"/>
      <c r="BN406" s="5"/>
      <c r="BP406" s="3"/>
      <c r="BS406" s="3"/>
      <c r="BT406" s="3"/>
      <c r="BV406" s="3"/>
      <c r="BW406" s="3"/>
      <c r="BY406" s="3"/>
      <c r="BZ406" s="3"/>
      <c r="CB406" s="3"/>
      <c r="CC406" s="5"/>
      <c r="CE406" s="3"/>
      <c r="CH406" s="3"/>
      <c r="CI406" s="3"/>
      <c r="CK406" s="3"/>
      <c r="CL406" s="3"/>
      <c r="CN406" s="3"/>
      <c r="CO406" s="3"/>
      <c r="CQ406" s="3"/>
      <c r="CR406" s="5"/>
      <c r="CT406" s="3"/>
      <c r="CW406" s="3"/>
      <c r="CX406" s="3"/>
      <c r="CZ406" s="3"/>
      <c r="DA406" s="3"/>
      <c r="DC406" s="3"/>
      <c r="DD406" s="3"/>
      <c r="DF406" s="3"/>
      <c r="DG406" s="5"/>
      <c r="DI406" s="3"/>
      <c r="DL406" s="3"/>
      <c r="DM406" s="3"/>
      <c r="DO406" s="3"/>
      <c r="DP406" s="3"/>
      <c r="DR406" s="3"/>
      <c r="DS406" s="1" t="str">
        <f>_xlfn.XLOOKUP(OfficeForms.Table[[#This Row],[Selecione a Categoria do Laboratório desta atividade prática:]],Planilha1!A:A,Planilha1!B:B)</f>
        <v>EMF-ISN</v>
      </c>
      <c r="DT406" s="1" t="str">
        <f>CONCATENATE(OfficeForms.Table[[#This Row],[Selecione seu Polo Laboratório de Atividades Presenciais:]],OfficeForms.Table[[#This Row],[CHAVE CONVERSÃO]])</f>
        <v>Avaré/SPEMF-ISN</v>
      </c>
      <c r="DU40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40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40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06" s="1" t="str">
        <f>_xlfn.XLOOKUP(OfficeForms.Table[[#This Row],[CHAVE LINK POLO]],'[1]Quadro Geral de Lotação'!$B:$B,'[1]Quadro Geral de Lotação'!$I:$I)</f>
        <v>Larissa Brandolin Ventura</v>
      </c>
      <c r="DY406" s="1" t="str">
        <f>OfficeForms.Table[[#This Row],[Selecione a Ordem de Disciplina]]</f>
        <v>Ordem 1</v>
      </c>
    </row>
    <row r="407" spans="1:129" ht="34.15" customHeight="1">
      <c r="A407" s="1">
        <v>407</v>
      </c>
      <c r="B407" s="2">
        <v>46104.426122685203</v>
      </c>
      <c r="C407" s="2">
        <v>46104.427361111098</v>
      </c>
      <c r="D407" s="3" t="s">
        <v>1330</v>
      </c>
      <c r="E407" s="3" t="s">
        <v>1331</v>
      </c>
      <c r="G407" s="3"/>
      <c r="I407" s="3" t="s">
        <v>245</v>
      </c>
      <c r="K407" s="3"/>
      <c r="L407" s="1" t="s">
        <v>132</v>
      </c>
      <c r="O407" s="3" t="s">
        <v>184</v>
      </c>
      <c r="Q407" s="3"/>
      <c r="R407" s="3"/>
      <c r="T407" s="3"/>
      <c r="U407" s="5"/>
      <c r="W407" s="3"/>
      <c r="Z407" s="3"/>
      <c r="AA407" s="3"/>
      <c r="AC407" s="3"/>
      <c r="AD407" s="3"/>
      <c r="AF407" s="3"/>
      <c r="AG407" s="3" t="s">
        <v>414</v>
      </c>
      <c r="AI407" s="3"/>
      <c r="AJ407" s="1">
        <v>46109</v>
      </c>
      <c r="AL407" s="3"/>
      <c r="AM407" s="1">
        <v>0</v>
      </c>
      <c r="AO407" s="3"/>
      <c r="AP407" s="3" t="s">
        <v>1336</v>
      </c>
      <c r="AR407" s="3"/>
      <c r="AS407" s="3" t="s">
        <v>1337</v>
      </c>
      <c r="AU407" s="3"/>
      <c r="AV407" s="3"/>
      <c r="AX407" s="3"/>
      <c r="AY407" s="5"/>
      <c r="BA407" s="3"/>
      <c r="BD407" s="3"/>
      <c r="BE407" s="3"/>
      <c r="BG407" s="3"/>
      <c r="BH407" s="3"/>
      <c r="BJ407" s="3"/>
      <c r="BK407" s="3"/>
      <c r="BM407" s="3"/>
      <c r="BN407" s="5"/>
      <c r="BP407" s="3"/>
      <c r="BS407" s="3"/>
      <c r="BT407" s="3"/>
      <c r="BV407" s="3"/>
      <c r="BW407" s="3"/>
      <c r="BY407" s="3"/>
      <c r="BZ407" s="3"/>
      <c r="CB407" s="3"/>
      <c r="CC407" s="5"/>
      <c r="CE407" s="3"/>
      <c r="CH407" s="3"/>
      <c r="CI407" s="3"/>
      <c r="CK407" s="3"/>
      <c r="CL407" s="3"/>
      <c r="CN407" s="3"/>
      <c r="CO407" s="3"/>
      <c r="CQ407" s="3"/>
      <c r="CR407" s="5"/>
      <c r="CT407" s="3"/>
      <c r="CW407" s="3"/>
      <c r="CX407" s="3"/>
      <c r="CZ407" s="3"/>
      <c r="DA407" s="3"/>
      <c r="DC407" s="3"/>
      <c r="DD407" s="3"/>
      <c r="DF407" s="3"/>
      <c r="DG407" s="5"/>
      <c r="DI407" s="3"/>
      <c r="DL407" s="3"/>
      <c r="DM407" s="3"/>
      <c r="DO407" s="3"/>
      <c r="DP407" s="3"/>
      <c r="DR407" s="3"/>
      <c r="DS407" s="1" t="str">
        <f>_xlfn.XLOOKUP(OfficeForms.Table[[#This Row],[Selecione a Categoria do Laboratório desta atividade prática:]],Planilha1!A:A,Planilha1!B:B)</f>
        <v>EMF-ISN</v>
      </c>
      <c r="DT407" s="1" t="str">
        <f>CONCATENATE(OfficeForms.Table[[#This Row],[Selecione seu Polo Laboratório de Atividades Presenciais:]],OfficeForms.Table[[#This Row],[CHAVE CONVERSÃO]])</f>
        <v>Avaré/SPEMF-ISN</v>
      </c>
      <c r="DU40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40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40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07" s="1" t="str">
        <f>_xlfn.XLOOKUP(OfficeForms.Table[[#This Row],[CHAVE LINK POLO]],'[1]Quadro Geral de Lotação'!$B:$B,'[1]Quadro Geral de Lotação'!$I:$I)</f>
        <v>Larissa Brandolin Ventura</v>
      </c>
      <c r="DY407" s="1" t="str">
        <f>OfficeForms.Table[[#This Row],[Selecione a Ordem de Disciplina]]</f>
        <v>Ordem 1</v>
      </c>
    </row>
    <row r="408" spans="1:129" ht="34.15" customHeight="1">
      <c r="A408" s="1">
        <v>408</v>
      </c>
      <c r="B408" s="2">
        <v>46104.4273958333</v>
      </c>
      <c r="C408" s="2">
        <v>46104.427766203698</v>
      </c>
      <c r="D408" s="3" t="s">
        <v>1330</v>
      </c>
      <c r="E408" s="3" t="s">
        <v>1331</v>
      </c>
      <c r="G408" s="3"/>
      <c r="I408" s="3" t="s">
        <v>245</v>
      </c>
      <c r="K408" s="3"/>
      <c r="L408" s="1" t="s">
        <v>132</v>
      </c>
      <c r="O408" s="3" t="s">
        <v>184</v>
      </c>
      <c r="Q408" s="3"/>
      <c r="R408" s="3"/>
      <c r="T408" s="3"/>
      <c r="U408" s="5"/>
      <c r="W408" s="3"/>
      <c r="Z408" s="3"/>
      <c r="AA408" s="3"/>
      <c r="AC408" s="3"/>
      <c r="AD408" s="3"/>
      <c r="AF408" s="3"/>
      <c r="AG408" s="3" t="s">
        <v>316</v>
      </c>
      <c r="AI408" s="3"/>
      <c r="AJ408" s="1">
        <v>46109</v>
      </c>
      <c r="AL408" s="3"/>
      <c r="AM408" s="1">
        <v>0</v>
      </c>
      <c r="AO408" s="3"/>
      <c r="AP408" s="3" t="s">
        <v>1338</v>
      </c>
      <c r="AR408" s="3"/>
      <c r="AS408" s="3" t="s">
        <v>1339</v>
      </c>
      <c r="AU408" s="3"/>
      <c r="AV408" s="3"/>
      <c r="AX408" s="3"/>
      <c r="AY408" s="5"/>
      <c r="BA408" s="3"/>
      <c r="BD408" s="3"/>
      <c r="BE408" s="3"/>
      <c r="BG408" s="3"/>
      <c r="BH408" s="3"/>
      <c r="BJ408" s="3"/>
      <c r="BK408" s="3"/>
      <c r="BM408" s="3"/>
      <c r="BN408" s="5"/>
      <c r="BP408" s="3"/>
      <c r="BS408" s="3"/>
      <c r="BT408" s="3"/>
      <c r="BV408" s="3"/>
      <c r="BW408" s="3"/>
      <c r="BY408" s="3"/>
      <c r="BZ408" s="3"/>
      <c r="CB408" s="3"/>
      <c r="CC408" s="5"/>
      <c r="CE408" s="3"/>
      <c r="CH408" s="3"/>
      <c r="CI408" s="3"/>
      <c r="CK408" s="3"/>
      <c r="CL408" s="3"/>
      <c r="CN408" s="3"/>
      <c r="CO408" s="3"/>
      <c r="CQ408" s="3"/>
      <c r="CR408" s="5"/>
      <c r="CT408" s="3"/>
      <c r="CW408" s="3"/>
      <c r="CX408" s="3"/>
      <c r="CZ408" s="3"/>
      <c r="DA408" s="3"/>
      <c r="DC408" s="3"/>
      <c r="DD408" s="3"/>
      <c r="DF408" s="3"/>
      <c r="DG408" s="5"/>
      <c r="DI408" s="3"/>
      <c r="DL408" s="3"/>
      <c r="DM408" s="3"/>
      <c r="DO408" s="3"/>
      <c r="DP408" s="3"/>
      <c r="DR408" s="3"/>
      <c r="DS408" s="1" t="str">
        <f>_xlfn.XLOOKUP(OfficeForms.Table[[#This Row],[Selecione a Categoria do Laboratório desta atividade prática:]],Planilha1!A:A,Planilha1!B:B)</f>
        <v>EMF-ISN</v>
      </c>
      <c r="DT408" s="1" t="str">
        <f>CONCATENATE(OfficeForms.Table[[#This Row],[Selecione seu Polo Laboratório de Atividades Presenciais:]],OfficeForms.Table[[#This Row],[CHAVE CONVERSÃO]])</f>
        <v>Avaré/SPEMF-ISN</v>
      </c>
      <c r="DU40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40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40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08" s="1" t="str">
        <f>_xlfn.XLOOKUP(OfficeForms.Table[[#This Row],[CHAVE LINK POLO]],'[1]Quadro Geral de Lotação'!$B:$B,'[1]Quadro Geral de Lotação'!$I:$I)</f>
        <v>Larissa Brandolin Ventura</v>
      </c>
      <c r="DY408" s="1" t="str">
        <f>OfficeForms.Table[[#This Row],[Selecione a Ordem de Disciplina]]</f>
        <v>Ordem 1</v>
      </c>
    </row>
    <row r="409" spans="1:129" ht="34.15" customHeight="1">
      <c r="A409" s="1">
        <v>409</v>
      </c>
      <c r="B409" s="2">
        <v>46104.4278009259</v>
      </c>
      <c r="C409" s="2">
        <v>46104.428703703699</v>
      </c>
      <c r="D409" s="3" t="s">
        <v>1330</v>
      </c>
      <c r="E409" s="3" t="s">
        <v>1331</v>
      </c>
      <c r="G409" s="3"/>
      <c r="I409" s="3" t="s">
        <v>245</v>
      </c>
      <c r="K409" s="3"/>
      <c r="L409" s="1" t="s">
        <v>132</v>
      </c>
      <c r="O409" s="3" t="s">
        <v>184</v>
      </c>
      <c r="Q409" s="3"/>
      <c r="R409" s="3"/>
      <c r="T409" s="3"/>
      <c r="U409" s="5"/>
      <c r="W409" s="3"/>
      <c r="Z409" s="3"/>
      <c r="AA409" s="3"/>
      <c r="AC409" s="3"/>
      <c r="AD409" s="3"/>
      <c r="AF409" s="3"/>
      <c r="AG409" s="3" t="s">
        <v>194</v>
      </c>
      <c r="AI409" s="3"/>
      <c r="AJ409" s="1">
        <v>46088</v>
      </c>
      <c r="AL409" s="3"/>
      <c r="AM409" s="1">
        <v>1</v>
      </c>
      <c r="AO409" s="3"/>
      <c r="AP409" s="3" t="s">
        <v>1340</v>
      </c>
      <c r="AR409" s="3"/>
      <c r="AS409" s="3" t="s">
        <v>1341</v>
      </c>
      <c r="AU409" s="3"/>
      <c r="AV409" s="3"/>
      <c r="AX409" s="3"/>
      <c r="AY409" s="5"/>
      <c r="BA409" s="3"/>
      <c r="BD409" s="3"/>
      <c r="BE409" s="3"/>
      <c r="BG409" s="3"/>
      <c r="BH409" s="3"/>
      <c r="BJ409" s="3"/>
      <c r="BK409" s="3"/>
      <c r="BM409" s="3"/>
      <c r="BN409" s="5"/>
      <c r="BP409" s="3"/>
      <c r="BS409" s="3"/>
      <c r="BT409" s="3"/>
      <c r="BV409" s="3"/>
      <c r="BW409" s="3"/>
      <c r="BY409" s="3"/>
      <c r="BZ409" s="3"/>
      <c r="CB409" s="3"/>
      <c r="CC409" s="5"/>
      <c r="CE409" s="3"/>
      <c r="CH409" s="3"/>
      <c r="CI409" s="3"/>
      <c r="CK409" s="3"/>
      <c r="CL409" s="3"/>
      <c r="CN409" s="3"/>
      <c r="CO409" s="3"/>
      <c r="CQ409" s="3"/>
      <c r="CR409" s="5"/>
      <c r="CT409" s="3"/>
      <c r="CW409" s="3"/>
      <c r="CX409" s="3"/>
      <c r="CZ409" s="3"/>
      <c r="DA409" s="3"/>
      <c r="DC409" s="3"/>
      <c r="DD409" s="3"/>
      <c r="DF409" s="3"/>
      <c r="DG409" s="5"/>
      <c r="DI409" s="3"/>
      <c r="DL409" s="3"/>
      <c r="DM409" s="3"/>
      <c r="DO409" s="3"/>
      <c r="DP409" s="3"/>
      <c r="DR409" s="3"/>
      <c r="DS409" s="1" t="str">
        <f>_xlfn.XLOOKUP(OfficeForms.Table[[#This Row],[Selecione a Categoria do Laboratório desta atividade prática:]],Planilha1!A:A,Planilha1!B:B)</f>
        <v>EMF-ISN</v>
      </c>
      <c r="DT409" s="1" t="str">
        <f>CONCATENATE(OfficeForms.Table[[#This Row],[Selecione seu Polo Laboratório de Atividades Presenciais:]],OfficeForms.Table[[#This Row],[CHAVE CONVERSÃO]])</f>
        <v>Avaré/SPEMF-ISN</v>
      </c>
      <c r="DU40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40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40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09" s="1" t="str">
        <f>_xlfn.XLOOKUP(OfficeForms.Table[[#This Row],[CHAVE LINK POLO]],'[1]Quadro Geral de Lotação'!$B:$B,'[1]Quadro Geral de Lotação'!$I:$I)</f>
        <v>Larissa Brandolin Ventura</v>
      </c>
      <c r="DY409" s="1" t="str">
        <f>OfficeForms.Table[[#This Row],[Selecione a Ordem de Disciplina]]</f>
        <v>Ordem 1</v>
      </c>
    </row>
    <row r="410" spans="1:129" ht="34.15" customHeight="1">
      <c r="A410" s="1">
        <v>410</v>
      </c>
      <c r="B410" s="2">
        <v>46104.447060185201</v>
      </c>
      <c r="C410" s="2">
        <v>46104.4476041667</v>
      </c>
      <c r="D410" s="3" t="s">
        <v>1330</v>
      </c>
      <c r="E410" s="3" t="s">
        <v>1331</v>
      </c>
      <c r="G410" s="3"/>
      <c r="I410" s="3" t="s">
        <v>245</v>
      </c>
      <c r="K410" s="3"/>
      <c r="L410" s="1" t="s">
        <v>678</v>
      </c>
      <c r="O410" s="3" t="s">
        <v>184</v>
      </c>
      <c r="Q410" s="3"/>
      <c r="R410" s="3"/>
      <c r="T410" s="3"/>
      <c r="U410" s="5"/>
      <c r="W410" s="3"/>
      <c r="Z410" s="3"/>
      <c r="AA410" s="3"/>
      <c r="AC410" s="3"/>
      <c r="AD410" s="3"/>
      <c r="AF410" s="3"/>
      <c r="AG410" s="3" t="s">
        <v>1016</v>
      </c>
      <c r="AI410" s="3"/>
      <c r="AJ410" s="1">
        <v>46097</v>
      </c>
      <c r="AL410" s="3"/>
      <c r="AM410" s="1">
        <v>0</v>
      </c>
      <c r="AO410" s="3"/>
      <c r="AP410" s="3" t="s">
        <v>1342</v>
      </c>
      <c r="AR410" s="3"/>
      <c r="AS410" s="3" t="s">
        <v>1343</v>
      </c>
      <c r="AU410" s="3"/>
      <c r="AV410" s="3"/>
      <c r="AX410" s="3"/>
      <c r="AY410" s="5"/>
      <c r="BA410" s="3"/>
      <c r="BD410" s="3"/>
      <c r="BE410" s="3"/>
      <c r="BG410" s="3"/>
      <c r="BH410" s="3"/>
      <c r="BJ410" s="3"/>
      <c r="BK410" s="3"/>
      <c r="BM410" s="3"/>
      <c r="BN410" s="5"/>
      <c r="BP410" s="3"/>
      <c r="BS410" s="3"/>
      <c r="BT410" s="3"/>
      <c r="BV410" s="3"/>
      <c r="BW410" s="3"/>
      <c r="BY410" s="3"/>
      <c r="BZ410" s="3"/>
      <c r="CB410" s="3"/>
      <c r="CC410" s="5"/>
      <c r="CE410" s="3"/>
      <c r="CH410" s="3"/>
      <c r="CI410" s="3"/>
      <c r="CK410" s="3"/>
      <c r="CL410" s="3"/>
      <c r="CN410" s="3"/>
      <c r="CO410" s="3"/>
      <c r="CQ410" s="3"/>
      <c r="CR410" s="5"/>
      <c r="CT410" s="3"/>
      <c r="CW410" s="3"/>
      <c r="CX410" s="3"/>
      <c r="CZ410" s="3"/>
      <c r="DA410" s="3"/>
      <c r="DC410" s="3"/>
      <c r="DD410" s="3"/>
      <c r="DF410" s="3"/>
      <c r="DG410" s="5"/>
      <c r="DI410" s="3"/>
      <c r="DL410" s="3"/>
      <c r="DM410" s="3"/>
      <c r="DO410" s="3"/>
      <c r="DP410" s="3"/>
      <c r="DR410" s="3"/>
      <c r="DS410" s="1" t="str">
        <f>_xlfn.XLOOKUP(OfficeForms.Table[[#This Row],[Selecione a Categoria do Laboratório desta atividade prática:]],Planilha1!A:A,Planilha1!B:B)</f>
        <v>EMF-ISN</v>
      </c>
      <c r="DT410" s="1" t="str">
        <f>CONCATENATE(OfficeForms.Table[[#This Row],[Selecione seu Polo Laboratório de Atividades Presenciais:]],OfficeForms.Table[[#This Row],[CHAVE CONVERSÃO]])</f>
        <v>Avaré/SPEMF-ISN</v>
      </c>
      <c r="DU41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41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41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10" s="1" t="str">
        <f>_xlfn.XLOOKUP(OfficeForms.Table[[#This Row],[CHAVE LINK POLO]],'[1]Quadro Geral de Lotação'!$B:$B,'[1]Quadro Geral de Lotação'!$I:$I)</f>
        <v>Larissa Brandolin Ventura</v>
      </c>
      <c r="DY410" s="1" t="str">
        <f>OfficeForms.Table[[#This Row],[Selecione a Ordem de Disciplina]]</f>
        <v>Ordem 2</v>
      </c>
    </row>
    <row r="411" spans="1:129" ht="34.15" customHeight="1">
      <c r="A411" s="1">
        <v>411</v>
      </c>
      <c r="B411" s="2">
        <v>46104.447650463</v>
      </c>
      <c r="C411" s="2">
        <v>46104.448043981502</v>
      </c>
      <c r="D411" s="3" t="s">
        <v>1330</v>
      </c>
      <c r="E411" s="3" t="s">
        <v>1331</v>
      </c>
      <c r="G411" s="3"/>
      <c r="I411" s="3" t="s">
        <v>245</v>
      </c>
      <c r="K411" s="3"/>
      <c r="L411" s="1" t="s">
        <v>678</v>
      </c>
      <c r="O411" s="3" t="s">
        <v>184</v>
      </c>
      <c r="Q411" s="3"/>
      <c r="R411" s="3"/>
      <c r="T411" s="3"/>
      <c r="U411" s="5"/>
      <c r="W411" s="3"/>
      <c r="Z411" s="3"/>
      <c r="AA411" s="3"/>
      <c r="AC411" s="3"/>
      <c r="AD411" s="3"/>
      <c r="AF411" s="3"/>
      <c r="AG411" s="3" t="s">
        <v>1031</v>
      </c>
      <c r="AI411" s="3"/>
      <c r="AJ411" s="1">
        <v>46097</v>
      </c>
      <c r="AL411" s="3"/>
      <c r="AM411" s="1">
        <v>0</v>
      </c>
      <c r="AO411" s="3"/>
      <c r="AP411" s="3" t="s">
        <v>1344</v>
      </c>
      <c r="AR411" s="3"/>
      <c r="AS411" s="3" t="s">
        <v>1345</v>
      </c>
      <c r="AU411" s="3"/>
      <c r="AV411" s="3"/>
      <c r="AX411" s="3"/>
      <c r="AY411" s="5"/>
      <c r="BA411" s="3"/>
      <c r="BD411" s="3"/>
      <c r="BE411" s="3"/>
      <c r="BG411" s="3"/>
      <c r="BH411" s="3"/>
      <c r="BJ411" s="3"/>
      <c r="BK411" s="3"/>
      <c r="BM411" s="3"/>
      <c r="BN411" s="5"/>
      <c r="BP411" s="3"/>
      <c r="BS411" s="3"/>
      <c r="BT411" s="3"/>
      <c r="BV411" s="3"/>
      <c r="BW411" s="3"/>
      <c r="BY411" s="3"/>
      <c r="BZ411" s="3"/>
      <c r="CB411" s="3"/>
      <c r="CC411" s="5"/>
      <c r="CE411" s="3"/>
      <c r="CH411" s="3"/>
      <c r="CI411" s="3"/>
      <c r="CK411" s="3"/>
      <c r="CL411" s="3"/>
      <c r="CN411" s="3"/>
      <c r="CO411" s="3"/>
      <c r="CQ411" s="3"/>
      <c r="CR411" s="5"/>
      <c r="CT411" s="3"/>
      <c r="CW411" s="3"/>
      <c r="CX411" s="3"/>
      <c r="CZ411" s="3"/>
      <c r="DA411" s="3"/>
      <c r="DC411" s="3"/>
      <c r="DD411" s="3"/>
      <c r="DF411" s="3"/>
      <c r="DG411" s="5"/>
      <c r="DI411" s="3"/>
      <c r="DL411" s="3"/>
      <c r="DM411" s="3"/>
      <c r="DO411" s="3"/>
      <c r="DP411" s="3"/>
      <c r="DR411" s="3"/>
      <c r="DS411" s="1" t="str">
        <f>_xlfn.XLOOKUP(OfficeForms.Table[[#This Row],[Selecione a Categoria do Laboratório desta atividade prática:]],Planilha1!A:A,Planilha1!B:B)</f>
        <v>EMF-ISN</v>
      </c>
      <c r="DT411" s="1" t="str">
        <f>CONCATENATE(OfficeForms.Table[[#This Row],[Selecione seu Polo Laboratório de Atividades Presenciais:]],OfficeForms.Table[[#This Row],[CHAVE CONVERSÃO]])</f>
        <v>Avaré/SPEMF-ISN</v>
      </c>
      <c r="DU41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41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41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11" s="1" t="str">
        <f>_xlfn.XLOOKUP(OfficeForms.Table[[#This Row],[CHAVE LINK POLO]],'[1]Quadro Geral de Lotação'!$B:$B,'[1]Quadro Geral de Lotação'!$I:$I)</f>
        <v>Larissa Brandolin Ventura</v>
      </c>
      <c r="DY411" s="1" t="str">
        <f>OfficeForms.Table[[#This Row],[Selecione a Ordem de Disciplina]]</f>
        <v>Ordem 2</v>
      </c>
    </row>
    <row r="412" spans="1:129" ht="34.15" customHeight="1">
      <c r="A412" s="1">
        <v>412</v>
      </c>
      <c r="B412" s="2">
        <v>46104.448078703703</v>
      </c>
      <c r="C412" s="2">
        <v>46104.448553240698</v>
      </c>
      <c r="D412" s="3" t="s">
        <v>1330</v>
      </c>
      <c r="E412" s="3" t="s">
        <v>1331</v>
      </c>
      <c r="G412" s="3"/>
      <c r="I412" s="3" t="s">
        <v>245</v>
      </c>
      <c r="K412" s="3"/>
      <c r="L412" s="1" t="s">
        <v>678</v>
      </c>
      <c r="O412" s="3" t="s">
        <v>184</v>
      </c>
      <c r="Q412" s="3"/>
      <c r="R412" s="3"/>
      <c r="T412" s="3"/>
      <c r="U412" s="5"/>
      <c r="W412" s="3"/>
      <c r="Z412" s="3"/>
      <c r="AA412" s="3"/>
      <c r="AC412" s="3"/>
      <c r="AD412" s="3"/>
      <c r="AF412" s="3"/>
      <c r="AG412" s="3" t="s">
        <v>1013</v>
      </c>
      <c r="AI412" s="3"/>
      <c r="AJ412" s="1">
        <v>46102</v>
      </c>
      <c r="AL412" s="3"/>
      <c r="AM412" s="1">
        <v>3</v>
      </c>
      <c r="AO412" s="3"/>
      <c r="AP412" s="3" t="s">
        <v>1346</v>
      </c>
      <c r="AR412" s="3"/>
      <c r="AS412" s="3" t="s">
        <v>1347</v>
      </c>
      <c r="AU412" s="3"/>
      <c r="AV412" s="3"/>
      <c r="AX412" s="3"/>
      <c r="AY412" s="5"/>
      <c r="BA412" s="3"/>
      <c r="BD412" s="3"/>
      <c r="BE412" s="3"/>
      <c r="BG412" s="3"/>
      <c r="BH412" s="3"/>
      <c r="BJ412" s="3"/>
      <c r="BK412" s="3"/>
      <c r="BM412" s="3"/>
      <c r="BN412" s="5"/>
      <c r="BP412" s="3"/>
      <c r="BS412" s="3"/>
      <c r="BT412" s="3"/>
      <c r="BV412" s="3"/>
      <c r="BW412" s="3"/>
      <c r="BY412" s="3"/>
      <c r="BZ412" s="3"/>
      <c r="CB412" s="3"/>
      <c r="CC412" s="5"/>
      <c r="CE412" s="3"/>
      <c r="CH412" s="3"/>
      <c r="CI412" s="3"/>
      <c r="CK412" s="3"/>
      <c r="CL412" s="3"/>
      <c r="CN412" s="3"/>
      <c r="CO412" s="3"/>
      <c r="CQ412" s="3"/>
      <c r="CR412" s="5"/>
      <c r="CT412" s="3"/>
      <c r="CW412" s="3"/>
      <c r="CX412" s="3"/>
      <c r="CZ412" s="3"/>
      <c r="DA412" s="3"/>
      <c r="DC412" s="3"/>
      <c r="DD412" s="3"/>
      <c r="DF412" s="3"/>
      <c r="DG412" s="5"/>
      <c r="DI412" s="3"/>
      <c r="DL412" s="3"/>
      <c r="DM412" s="3"/>
      <c r="DO412" s="3"/>
      <c r="DP412" s="3"/>
      <c r="DR412" s="3"/>
      <c r="DS412" s="1" t="str">
        <f>_xlfn.XLOOKUP(OfficeForms.Table[[#This Row],[Selecione a Categoria do Laboratório desta atividade prática:]],Planilha1!A:A,Planilha1!B:B)</f>
        <v>EMF-ISN</v>
      </c>
      <c r="DT412" s="1" t="str">
        <f>CONCATENATE(OfficeForms.Table[[#This Row],[Selecione seu Polo Laboratório de Atividades Presenciais:]],OfficeForms.Table[[#This Row],[CHAVE CONVERSÃO]])</f>
        <v>Avaré/SPEMF-ISN</v>
      </c>
      <c r="DU41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41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41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412" s="1" t="str">
        <f>_xlfn.XLOOKUP(OfficeForms.Table[[#This Row],[CHAVE LINK POLO]],'[1]Quadro Geral de Lotação'!$B:$B,'[1]Quadro Geral de Lotação'!$I:$I)</f>
        <v>Larissa Brandolin Ventura</v>
      </c>
      <c r="DY412" s="1" t="str">
        <f>OfficeForms.Table[[#This Row],[Selecione a Ordem de Disciplina]]</f>
        <v>Ordem 2</v>
      </c>
    </row>
    <row r="413" spans="1:129" ht="34.15" customHeight="1">
      <c r="A413" s="1">
        <v>413</v>
      </c>
      <c r="B413" s="2">
        <v>46104.555277777799</v>
      </c>
      <c r="C413" s="2">
        <v>46104.563460648104</v>
      </c>
      <c r="D413" s="3" t="s">
        <v>394</v>
      </c>
      <c r="E413" s="3" t="s">
        <v>395</v>
      </c>
      <c r="G413" s="3"/>
      <c r="I413" s="3" t="s">
        <v>396</v>
      </c>
      <c r="K413" s="3"/>
      <c r="L413" s="1" t="s">
        <v>678</v>
      </c>
      <c r="O413" s="3" t="s">
        <v>133</v>
      </c>
      <c r="Q413" s="3"/>
      <c r="R413" s="3"/>
      <c r="T413" s="3"/>
      <c r="U413" s="5"/>
      <c r="W413" s="3"/>
      <c r="Z413" s="3"/>
      <c r="AA413" s="3"/>
      <c r="AC413" s="3"/>
      <c r="AD413" s="3"/>
      <c r="AF413" s="3"/>
      <c r="AG413" s="3"/>
      <c r="AI413" s="3"/>
      <c r="AJ413" s="1"/>
      <c r="AL413" s="3"/>
      <c r="AO413" s="3"/>
      <c r="AP413" s="3"/>
      <c r="AR413" s="3"/>
      <c r="AS413" s="3"/>
      <c r="AU413" s="3"/>
      <c r="AV413" s="3" t="s">
        <v>1348</v>
      </c>
      <c r="AX413" s="3"/>
      <c r="AY413" s="5">
        <v>46100</v>
      </c>
      <c r="BA413" s="3"/>
      <c r="BB413" s="1">
        <v>2</v>
      </c>
      <c r="BD413" s="3"/>
      <c r="BE413" s="3" t="s">
        <v>1349</v>
      </c>
      <c r="BG413" s="3"/>
      <c r="BH413" s="3" t="s">
        <v>1350</v>
      </c>
      <c r="BJ413" s="3"/>
      <c r="BK413" s="3"/>
      <c r="BM413" s="3"/>
      <c r="BN413" s="5"/>
      <c r="BP413" s="3"/>
      <c r="BS413" s="3"/>
      <c r="BT413" s="3"/>
      <c r="BV413" s="3"/>
      <c r="BW413" s="3"/>
      <c r="BY413" s="3"/>
      <c r="BZ413" s="3"/>
      <c r="CB413" s="3"/>
      <c r="CC413" s="5"/>
      <c r="CE413" s="3"/>
      <c r="CH413" s="3"/>
      <c r="CI413" s="3"/>
      <c r="CK413" s="3"/>
      <c r="CL413" s="3"/>
      <c r="CN413" s="3"/>
      <c r="CO413" s="3"/>
      <c r="CQ413" s="3"/>
      <c r="CR413" s="5"/>
      <c r="CT413" s="3"/>
      <c r="CW413" s="3"/>
      <c r="CX413" s="3"/>
      <c r="CZ413" s="3"/>
      <c r="DA413" s="3"/>
      <c r="DC413" s="3"/>
      <c r="DD413" s="3"/>
      <c r="DF413" s="3"/>
      <c r="DG413" s="5"/>
      <c r="DI413" s="3"/>
      <c r="DL413" s="3"/>
      <c r="DM413" s="3"/>
      <c r="DO413" s="3"/>
      <c r="DP413" s="3"/>
      <c r="DR413" s="3"/>
      <c r="DS413" s="1" t="str">
        <f>_xlfn.XLOOKUP(OfficeForms.Table[[#This Row],[Selecione a Categoria do Laboratório desta atividade prática:]],Planilha1!A:A,Planilha1!B:B)</f>
        <v>BFI</v>
      </c>
      <c r="DT413" s="1" t="str">
        <f>CONCATENATE(OfficeForms.Table[[#This Row],[Selecione seu Polo Laboratório de Atividades Presenciais:]],OfficeForms.Table[[#This Row],[CHAVE CONVERSÃO]])</f>
        <v>Blumenau/SC - Salto Do Norte (Centro Universitário Dante)BFI</v>
      </c>
      <c r="DU41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Auriculoterapia</v>
      </c>
      <c r="DV41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41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13" s="1" t="str">
        <f>_xlfn.XLOOKUP(OfficeForms.Table[[#This Row],[CHAVE LINK POLO]],'[1]Quadro Geral de Lotação'!$B:$B,'[1]Quadro Geral de Lotação'!$I:$I)</f>
        <v>-</v>
      </c>
      <c r="DY413" s="1" t="str">
        <f>OfficeForms.Table[[#This Row],[Selecione a Ordem de Disciplina]]</f>
        <v>Ordem 2</v>
      </c>
    </row>
    <row r="414" spans="1:129" ht="34.15" customHeight="1">
      <c r="A414" s="1">
        <v>414</v>
      </c>
      <c r="B414" s="2">
        <v>46104.5647453704</v>
      </c>
      <c r="C414" s="2">
        <v>46104.565277777801</v>
      </c>
      <c r="D414" s="3" t="s">
        <v>394</v>
      </c>
      <c r="E414" s="3" t="s">
        <v>395</v>
      </c>
      <c r="G414" s="3"/>
      <c r="I414" s="3" t="s">
        <v>396</v>
      </c>
      <c r="K414" s="3"/>
      <c r="L414" s="1" t="s">
        <v>678</v>
      </c>
      <c r="O414" s="3" t="s">
        <v>133</v>
      </c>
      <c r="Q414" s="3"/>
      <c r="R414" s="3"/>
      <c r="T414" s="3"/>
      <c r="U414" s="5"/>
      <c r="W414" s="3"/>
      <c r="Z414" s="3"/>
      <c r="AA414" s="3"/>
      <c r="AC414" s="3"/>
      <c r="AD414" s="3"/>
      <c r="AF414" s="3"/>
      <c r="AG414" s="3"/>
      <c r="AI414" s="3"/>
      <c r="AJ414" s="1"/>
      <c r="AL414" s="3"/>
      <c r="AO414" s="3"/>
      <c r="AP414" s="3"/>
      <c r="AR414" s="3"/>
      <c r="AS414" s="3"/>
      <c r="AU414" s="3"/>
      <c r="AV414" s="3" t="s">
        <v>1351</v>
      </c>
      <c r="AX414" s="3"/>
      <c r="AY414" s="5">
        <v>46100</v>
      </c>
      <c r="BA414" s="3"/>
      <c r="BB414" s="1">
        <v>2</v>
      </c>
      <c r="BD414" s="3"/>
      <c r="BE414" s="3" t="s">
        <v>1352</v>
      </c>
      <c r="BG414" s="3"/>
      <c r="BH414" s="3" t="s">
        <v>1353</v>
      </c>
      <c r="BJ414" s="3"/>
      <c r="BK414" s="3"/>
      <c r="BM414" s="3"/>
      <c r="BN414" s="5"/>
      <c r="BP414" s="3"/>
      <c r="BS414" s="3"/>
      <c r="BT414" s="3"/>
      <c r="BV414" s="3"/>
      <c r="BW414" s="3"/>
      <c r="BY414" s="3"/>
      <c r="BZ414" s="3"/>
      <c r="CB414" s="3"/>
      <c r="CC414" s="5"/>
      <c r="CE414" s="3"/>
      <c r="CH414" s="3"/>
      <c r="CI414" s="3"/>
      <c r="CK414" s="3"/>
      <c r="CL414" s="3"/>
      <c r="CN414" s="3"/>
      <c r="CO414" s="3"/>
      <c r="CQ414" s="3"/>
      <c r="CR414" s="5"/>
      <c r="CT414" s="3"/>
      <c r="CW414" s="3"/>
      <c r="CX414" s="3"/>
      <c r="CZ414" s="3"/>
      <c r="DA414" s="3"/>
      <c r="DC414" s="3"/>
      <c r="DD414" s="3"/>
      <c r="DF414" s="3"/>
      <c r="DG414" s="5"/>
      <c r="DI414" s="3"/>
      <c r="DL414" s="3"/>
      <c r="DM414" s="3"/>
      <c r="DO414" s="3"/>
      <c r="DP414" s="3"/>
      <c r="DR414" s="3"/>
      <c r="DS414" s="1" t="str">
        <f>_xlfn.XLOOKUP(OfficeForms.Table[[#This Row],[Selecione a Categoria do Laboratório desta atividade prática:]],Planilha1!A:A,Planilha1!B:B)</f>
        <v>BFI</v>
      </c>
      <c r="DT414" s="1" t="str">
        <f>CONCATENATE(OfficeForms.Table[[#This Row],[Selecione seu Polo Laboratório de Atividades Presenciais:]],OfficeForms.Table[[#This Row],[CHAVE CONVERSÃO]])</f>
        <v>Blumenau/SC - Salto Do Norte (Centro Universitário Dante)BFI</v>
      </c>
      <c r="DU41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Escalda Pés</v>
      </c>
      <c r="DV41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41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14" s="1" t="str">
        <f>_xlfn.XLOOKUP(OfficeForms.Table[[#This Row],[CHAVE LINK POLO]],'[1]Quadro Geral de Lotação'!$B:$B,'[1]Quadro Geral de Lotação'!$I:$I)</f>
        <v>-</v>
      </c>
      <c r="DY414" s="1" t="str">
        <f>OfficeForms.Table[[#This Row],[Selecione a Ordem de Disciplina]]</f>
        <v>Ordem 2</v>
      </c>
    </row>
    <row r="415" spans="1:129" ht="34.15" customHeight="1">
      <c r="A415" s="1">
        <v>415</v>
      </c>
      <c r="B415" s="2">
        <v>46104.544699074097</v>
      </c>
      <c r="C415" s="2">
        <v>46104.568888888898</v>
      </c>
      <c r="D415" s="3" t="s">
        <v>1354</v>
      </c>
      <c r="E415" s="3" t="s">
        <v>1355</v>
      </c>
      <c r="G415" s="3"/>
      <c r="I415" s="3" t="s">
        <v>1356</v>
      </c>
      <c r="K415" s="3"/>
      <c r="L415" s="1" t="s">
        <v>132</v>
      </c>
      <c r="O415" s="3" t="s">
        <v>184</v>
      </c>
      <c r="Q415" s="3"/>
      <c r="R415" s="3"/>
      <c r="T415" s="3"/>
      <c r="U415" s="5"/>
      <c r="W415" s="3"/>
      <c r="Z415" s="3"/>
      <c r="AA415" s="3"/>
      <c r="AC415" s="3"/>
      <c r="AD415" s="3"/>
      <c r="AF415" s="3"/>
      <c r="AG415" s="3" t="s">
        <v>185</v>
      </c>
      <c r="AI415" s="3"/>
      <c r="AJ415" s="1">
        <v>46072</v>
      </c>
      <c r="AL415" s="3"/>
      <c r="AM415" s="1">
        <v>5</v>
      </c>
      <c r="AO415" s="3"/>
      <c r="AP415" s="3" t="s">
        <v>1357</v>
      </c>
      <c r="AR415" s="3"/>
      <c r="AS415" s="3" t="s">
        <v>1358</v>
      </c>
      <c r="AU415" s="3"/>
      <c r="AV415" s="3"/>
      <c r="AX415" s="3"/>
      <c r="AY415" s="5"/>
      <c r="BA415" s="3"/>
      <c r="BD415" s="3"/>
      <c r="BE415" s="3"/>
      <c r="BG415" s="3"/>
      <c r="BH415" s="3"/>
      <c r="BJ415" s="3"/>
      <c r="BK415" s="3"/>
      <c r="BM415" s="3"/>
      <c r="BN415" s="5"/>
      <c r="BP415" s="3"/>
      <c r="BS415" s="3"/>
      <c r="BT415" s="3"/>
      <c r="BV415" s="3"/>
      <c r="BW415" s="3"/>
      <c r="BY415" s="3"/>
      <c r="BZ415" s="3"/>
      <c r="CB415" s="3"/>
      <c r="CC415" s="5"/>
      <c r="CE415" s="3"/>
      <c r="CH415" s="3"/>
      <c r="CI415" s="3"/>
      <c r="CK415" s="3"/>
      <c r="CL415" s="3"/>
      <c r="CN415" s="3"/>
      <c r="CO415" s="3"/>
      <c r="CQ415" s="3"/>
      <c r="CR415" s="5"/>
      <c r="CT415" s="3"/>
      <c r="CW415" s="3"/>
      <c r="CX415" s="3"/>
      <c r="CZ415" s="3"/>
      <c r="DA415" s="3"/>
      <c r="DC415" s="3"/>
      <c r="DD415" s="3"/>
      <c r="DF415" s="3"/>
      <c r="DG415" s="5"/>
      <c r="DI415" s="3"/>
      <c r="DL415" s="3"/>
      <c r="DM415" s="3"/>
      <c r="DO415" s="3"/>
      <c r="DP415" s="3"/>
      <c r="DR415" s="3"/>
      <c r="DS415" s="1" t="str">
        <f>_xlfn.XLOOKUP(OfficeForms.Table[[#This Row],[Selecione a Categoria do Laboratório desta atividade prática:]],Planilha1!A:A,Planilha1!B:B)</f>
        <v>EMF-ISN</v>
      </c>
      <c r="DT415" s="1" t="str">
        <f>CONCATENATE(OfficeForms.Table[[#This Row],[Selecione seu Polo Laboratório de Atividades Presenciais:]],OfficeForms.Table[[#This Row],[CHAVE CONVERSÃO]])</f>
        <v>Nova Mutum/MTEMF-ISN</v>
      </c>
      <c r="DU41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41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41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415" s="1" t="str">
        <f>_xlfn.XLOOKUP(OfficeForms.Table[[#This Row],[CHAVE LINK POLO]],'[1]Quadro Geral de Lotação'!$B:$B,'[1]Quadro Geral de Lotação'!$I:$I)</f>
        <v>Jackeliny Laurindo Da Fonseca</v>
      </c>
      <c r="DY415" s="1" t="str">
        <f>OfficeForms.Table[[#This Row],[Selecione a Ordem de Disciplina]]</f>
        <v>Ordem 1</v>
      </c>
    </row>
    <row r="416" spans="1:129" ht="34.15" customHeight="1">
      <c r="A416" s="1">
        <v>416</v>
      </c>
      <c r="B416" s="2">
        <v>46104.592881944402</v>
      </c>
      <c r="C416" s="2">
        <v>46104.609629629602</v>
      </c>
      <c r="D416" s="3" t="s">
        <v>1359</v>
      </c>
      <c r="E416" s="3" t="s">
        <v>264</v>
      </c>
      <c r="G416" s="3"/>
      <c r="I416" s="3" t="s">
        <v>265</v>
      </c>
      <c r="K416" s="3"/>
      <c r="L416" s="1" t="s">
        <v>678</v>
      </c>
      <c r="O416" s="3" t="s">
        <v>184</v>
      </c>
      <c r="Q416" s="3"/>
      <c r="R416" s="3"/>
      <c r="T416" s="3"/>
      <c r="U416" s="5"/>
      <c r="W416" s="3"/>
      <c r="Z416" s="3"/>
      <c r="AA416" s="3"/>
      <c r="AC416" s="3"/>
      <c r="AD416" s="3"/>
      <c r="AF416" s="3"/>
      <c r="AG416" s="3" t="s">
        <v>1031</v>
      </c>
      <c r="AI416" s="3"/>
      <c r="AJ416" s="1">
        <v>46104</v>
      </c>
      <c r="AL416" s="3"/>
      <c r="AM416" s="1">
        <v>1</v>
      </c>
      <c r="AO416" s="3"/>
      <c r="AP416" s="3" t="s">
        <v>1360</v>
      </c>
      <c r="AR416" s="3"/>
      <c r="AS416" s="3" t="s">
        <v>1361</v>
      </c>
      <c r="AU416" s="3"/>
      <c r="AV416" s="3"/>
      <c r="AX416" s="3"/>
      <c r="AY416" s="5"/>
      <c r="BA416" s="3"/>
      <c r="BD416" s="3"/>
      <c r="BE416" s="3"/>
      <c r="BG416" s="3"/>
      <c r="BH416" s="3"/>
      <c r="BJ416" s="3"/>
      <c r="BK416" s="3"/>
      <c r="BM416" s="3"/>
      <c r="BN416" s="5"/>
      <c r="BP416" s="3"/>
      <c r="BS416" s="3"/>
      <c r="BT416" s="3"/>
      <c r="BV416" s="3"/>
      <c r="BW416" s="3"/>
      <c r="BY416" s="3"/>
      <c r="BZ416" s="3"/>
      <c r="CB416" s="3"/>
      <c r="CC416" s="5"/>
      <c r="CE416" s="3"/>
      <c r="CH416" s="3"/>
      <c r="CI416" s="3"/>
      <c r="CK416" s="3"/>
      <c r="CL416" s="3"/>
      <c r="CN416" s="3"/>
      <c r="CO416" s="3"/>
      <c r="CQ416" s="3"/>
      <c r="CR416" s="5"/>
      <c r="CT416" s="3"/>
      <c r="CW416" s="3"/>
      <c r="CX416" s="3"/>
      <c r="CZ416" s="3"/>
      <c r="DA416" s="3"/>
      <c r="DC416" s="3"/>
      <c r="DD416" s="3"/>
      <c r="DF416" s="3"/>
      <c r="DG416" s="5"/>
      <c r="DI416" s="3"/>
      <c r="DL416" s="3"/>
      <c r="DM416" s="3"/>
      <c r="DO416" s="3"/>
      <c r="DP416" s="3"/>
      <c r="DR416" s="3"/>
      <c r="DS416" s="1" t="str">
        <f>_xlfn.XLOOKUP(OfficeForms.Table[[#This Row],[Selecione a Categoria do Laboratório desta atividade prática:]],Planilha1!A:A,Planilha1!B:B)</f>
        <v>EMF-ISN</v>
      </c>
      <c r="DT416" s="1" t="str">
        <f>CONCATENATE(OfficeForms.Table[[#This Row],[Selecione seu Polo Laboratório de Atividades Presenciais:]],OfficeForms.Table[[#This Row],[CHAVE CONVERSÃO]])</f>
        <v>Brusque/SCEMF-ISN</v>
      </c>
      <c r="DU41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41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41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16" s="1" t="str">
        <f>_xlfn.XLOOKUP(OfficeForms.Table[[#This Row],[CHAVE LINK POLO]],'[1]Quadro Geral de Lotação'!$B:$B,'[1]Quadro Geral de Lotação'!$I:$I)</f>
        <v>Fabio Junior da Rosa</v>
      </c>
      <c r="DY416" s="1" t="str">
        <f>OfficeForms.Table[[#This Row],[Selecione a Ordem de Disciplina]]</f>
        <v>Ordem 2</v>
      </c>
    </row>
    <row r="417" spans="1:129" ht="34.15" customHeight="1">
      <c r="A417" s="1">
        <v>417</v>
      </c>
      <c r="B417" s="2">
        <v>46104.588819444398</v>
      </c>
      <c r="C417" s="2">
        <v>46104.6144907407</v>
      </c>
      <c r="D417" s="3" t="s">
        <v>288</v>
      </c>
      <c r="E417" s="3" t="s">
        <v>289</v>
      </c>
      <c r="G417" s="3"/>
      <c r="I417" s="3" t="s">
        <v>216</v>
      </c>
      <c r="K417" s="3"/>
      <c r="L417" s="1" t="s">
        <v>132</v>
      </c>
      <c r="O417" s="3" t="s">
        <v>156</v>
      </c>
      <c r="Q417" s="3"/>
      <c r="R417" s="3"/>
      <c r="T417" s="3"/>
      <c r="U417" s="5"/>
      <c r="W417" s="3"/>
      <c r="Z417" s="3"/>
      <c r="AA417" s="3"/>
      <c r="AC417" s="3"/>
      <c r="AD417" s="3"/>
      <c r="AF417" s="3"/>
      <c r="AG417" s="3"/>
      <c r="AI417" s="3"/>
      <c r="AJ417" s="1"/>
      <c r="AL417" s="3"/>
      <c r="AO417" s="3"/>
      <c r="AP417" s="3"/>
      <c r="AR417" s="3"/>
      <c r="AS417" s="3"/>
      <c r="AU417" s="3"/>
      <c r="AV417" s="3"/>
      <c r="AX417" s="3"/>
      <c r="AY417" s="5"/>
      <c r="BA417" s="3"/>
      <c r="BD417" s="3"/>
      <c r="BE417" s="3"/>
      <c r="BG417" s="3"/>
      <c r="BH417" s="3"/>
      <c r="BJ417" s="3"/>
      <c r="BK417" s="3" t="s">
        <v>465</v>
      </c>
      <c r="BM417" s="3"/>
      <c r="BN417" s="5">
        <v>46079</v>
      </c>
      <c r="BP417" s="3"/>
      <c r="BQ417" s="1">
        <v>6</v>
      </c>
      <c r="BS417" s="3"/>
      <c r="BT417" s="3" t="s">
        <v>1362</v>
      </c>
      <c r="BV417" s="3"/>
      <c r="BW417" s="3" t="s">
        <v>1363</v>
      </c>
      <c r="BY417" s="3"/>
      <c r="BZ417" s="3"/>
      <c r="CB417" s="3"/>
      <c r="CC417" s="5"/>
      <c r="CE417" s="3"/>
      <c r="CH417" s="3"/>
      <c r="CI417" s="3"/>
      <c r="CK417" s="3"/>
      <c r="CL417" s="3"/>
      <c r="CN417" s="3"/>
      <c r="CO417" s="3"/>
      <c r="CQ417" s="3"/>
      <c r="CR417" s="5"/>
      <c r="CT417" s="3"/>
      <c r="CW417" s="3"/>
      <c r="CX417" s="3"/>
      <c r="CZ417" s="3"/>
      <c r="DA417" s="3"/>
      <c r="DC417" s="3"/>
      <c r="DD417" s="3"/>
      <c r="DF417" s="3"/>
      <c r="DG417" s="5"/>
      <c r="DI417" s="3"/>
      <c r="DL417" s="3"/>
      <c r="DM417" s="3"/>
      <c r="DO417" s="3"/>
      <c r="DP417" s="3"/>
      <c r="DR417" s="3"/>
      <c r="DS417" s="1" t="str">
        <f>_xlfn.XLOOKUP(OfficeForms.Table[[#This Row],[Selecione a Categoria do Laboratório desta atividade prática:]],Planilha1!A:A,Planilha1!B:B)</f>
        <v>NTR</v>
      </c>
      <c r="DT417" s="1" t="str">
        <f>CONCATENATE(OfficeForms.Table[[#This Row],[Selecione seu Polo Laboratório de Atividades Presenciais:]],OfficeForms.Table[[#This Row],[CHAVE CONVERSÃO]])</f>
        <v>Feira De Santana/BA - CentroNTR</v>
      </c>
      <c r="DU41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Antropometria;Avaliação nutricional de gestante II: Anamnese e diagnóstico</v>
      </c>
      <c r="DV41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41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417" s="1" t="str">
        <f>_xlfn.XLOOKUP(OfficeForms.Table[[#This Row],[CHAVE LINK POLO]],'[1]Quadro Geral de Lotação'!$B:$B,'[1]Quadro Geral de Lotação'!$I:$I)</f>
        <v>Daiane Dias Ferreira</v>
      </c>
      <c r="DY417" s="1" t="str">
        <f>OfficeForms.Table[[#This Row],[Selecione a Ordem de Disciplina]]</f>
        <v>Ordem 1</v>
      </c>
    </row>
    <row r="418" spans="1:129" ht="34.15" customHeight="1">
      <c r="A418" s="1">
        <v>418</v>
      </c>
      <c r="B418" s="2">
        <v>46104.614560185197</v>
      </c>
      <c r="C418" s="2">
        <v>46104.619525463</v>
      </c>
      <c r="D418" s="3" t="s">
        <v>288</v>
      </c>
      <c r="E418" s="3" t="s">
        <v>289</v>
      </c>
      <c r="G418" s="3"/>
      <c r="I418" s="3" t="s">
        <v>216</v>
      </c>
      <c r="K418" s="3"/>
      <c r="L418" s="1" t="s">
        <v>132</v>
      </c>
      <c r="O418" s="3" t="s">
        <v>156</v>
      </c>
      <c r="Q418" s="3"/>
      <c r="R418" s="3"/>
      <c r="T418" s="3"/>
      <c r="U418" s="5"/>
      <c r="W418" s="3"/>
      <c r="Z418" s="3"/>
      <c r="AA418" s="3"/>
      <c r="AC418" s="3"/>
      <c r="AD418" s="3"/>
      <c r="AF418" s="3"/>
      <c r="AG418" s="3"/>
      <c r="AI418" s="3"/>
      <c r="AJ418" s="1"/>
      <c r="AL418" s="3"/>
      <c r="AO418" s="3"/>
      <c r="AP418" s="3"/>
      <c r="AR418" s="3"/>
      <c r="AS418" s="3"/>
      <c r="AU418" s="3"/>
      <c r="AV418" s="3"/>
      <c r="AX418" s="3"/>
      <c r="AY418" s="5"/>
      <c r="BA418" s="3"/>
      <c r="BD418" s="3"/>
      <c r="BE418" s="3"/>
      <c r="BG418" s="3"/>
      <c r="BH418" s="3"/>
      <c r="BJ418" s="3"/>
      <c r="BK418" s="3" t="s">
        <v>1364</v>
      </c>
      <c r="BM418" s="3"/>
      <c r="BN418" s="5">
        <v>46086</v>
      </c>
      <c r="BP418" s="3"/>
      <c r="BQ418" s="1">
        <v>5</v>
      </c>
      <c r="BS418" s="3"/>
      <c r="BT418" s="3" t="s">
        <v>1365</v>
      </c>
      <c r="BV418" s="3"/>
      <c r="BW418" s="3" t="s">
        <v>1366</v>
      </c>
      <c r="BY418" s="3"/>
      <c r="BZ418" s="3"/>
      <c r="CB418" s="3"/>
      <c r="CC418" s="5"/>
      <c r="CE418" s="3"/>
      <c r="CH418" s="3"/>
      <c r="CI418" s="3"/>
      <c r="CK418" s="3"/>
      <c r="CL418" s="3"/>
      <c r="CN418" s="3"/>
      <c r="CO418" s="3"/>
      <c r="CQ418" s="3"/>
      <c r="CR418" s="5"/>
      <c r="CT418" s="3"/>
      <c r="CW418" s="3"/>
      <c r="CX418" s="3"/>
      <c r="CZ418" s="3"/>
      <c r="DA418" s="3"/>
      <c r="DC418" s="3"/>
      <c r="DD418" s="3"/>
      <c r="DF418" s="3"/>
      <c r="DG418" s="5"/>
      <c r="DI418" s="3"/>
      <c r="DL418" s="3"/>
      <c r="DM418" s="3"/>
      <c r="DO418" s="3"/>
      <c r="DP418" s="3"/>
      <c r="DR418" s="3"/>
      <c r="DS418" s="1" t="str">
        <f>_xlfn.XLOOKUP(OfficeForms.Table[[#This Row],[Selecione a Categoria do Laboratório desta atividade prática:]],Planilha1!A:A,Planilha1!B:B)</f>
        <v>NTR</v>
      </c>
      <c r="DT418" s="1" t="str">
        <f>CONCATENATE(OfficeForms.Table[[#This Row],[Selecione seu Polo Laboratório de Atividades Presenciais:]],OfficeForms.Table[[#This Row],[CHAVE CONVERSÃO]])</f>
        <v>Feira De Santana/BA - CentroNTR</v>
      </c>
      <c r="DU41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Dietas hospitalares;Terapia nutricional enteral e suplementação oral</v>
      </c>
      <c r="DV41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41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418" s="1" t="str">
        <f>_xlfn.XLOOKUP(OfficeForms.Table[[#This Row],[CHAVE LINK POLO]],'[1]Quadro Geral de Lotação'!$B:$B,'[1]Quadro Geral de Lotação'!$I:$I)</f>
        <v>Daiane Dias Ferreira</v>
      </c>
      <c r="DY418" s="1" t="str">
        <f>OfficeForms.Table[[#This Row],[Selecione a Ordem de Disciplina]]</f>
        <v>Ordem 1</v>
      </c>
    </row>
    <row r="419" spans="1:129" ht="34.15" customHeight="1">
      <c r="A419" s="1">
        <v>419</v>
      </c>
      <c r="B419" s="2">
        <v>46104.619594907403</v>
      </c>
      <c r="C419" s="2">
        <v>46104.622766203698</v>
      </c>
      <c r="D419" s="3" t="s">
        <v>288</v>
      </c>
      <c r="E419" s="3" t="s">
        <v>289</v>
      </c>
      <c r="G419" s="3"/>
      <c r="I419" s="3" t="s">
        <v>216</v>
      </c>
      <c r="K419" s="3"/>
      <c r="L419" s="1" t="s">
        <v>132</v>
      </c>
      <c r="O419" s="3" t="s">
        <v>156</v>
      </c>
      <c r="Q419" s="3"/>
      <c r="R419" s="3"/>
      <c r="T419" s="3"/>
      <c r="U419" s="5"/>
      <c r="W419" s="3"/>
      <c r="Z419" s="3"/>
      <c r="AA419" s="3"/>
      <c r="AC419" s="3"/>
      <c r="AD419" s="3"/>
      <c r="AF419" s="3"/>
      <c r="AG419" s="3"/>
      <c r="AI419" s="3"/>
      <c r="AJ419" s="1"/>
      <c r="AL419" s="3"/>
      <c r="AO419" s="3"/>
      <c r="AP419" s="3"/>
      <c r="AR419" s="3"/>
      <c r="AS419" s="3"/>
      <c r="AU419" s="3"/>
      <c r="AV419" s="3"/>
      <c r="AX419" s="3"/>
      <c r="AY419" s="5"/>
      <c r="BA419" s="3"/>
      <c r="BD419" s="3"/>
      <c r="BE419" s="3"/>
      <c r="BG419" s="3"/>
      <c r="BH419" s="3"/>
      <c r="BJ419" s="3"/>
      <c r="BK419" s="3" t="s">
        <v>1367</v>
      </c>
      <c r="BM419" s="3"/>
      <c r="BN419" s="5">
        <v>46093</v>
      </c>
      <c r="BP419" s="3"/>
      <c r="BQ419" s="1">
        <v>0</v>
      </c>
      <c r="BS419" s="3"/>
      <c r="BT419" s="3" t="s">
        <v>1368</v>
      </c>
      <c r="BV419" s="3"/>
      <c r="BW419" s="3" t="s">
        <v>1369</v>
      </c>
      <c r="BY419" s="3"/>
      <c r="BZ419" s="3"/>
      <c r="CB419" s="3"/>
      <c r="CC419" s="5"/>
      <c r="CE419" s="3"/>
      <c r="CH419" s="3"/>
      <c r="CI419" s="3"/>
      <c r="CK419" s="3"/>
      <c r="CL419" s="3"/>
      <c r="CN419" s="3"/>
      <c r="CO419" s="3"/>
      <c r="CQ419" s="3"/>
      <c r="CR419" s="5"/>
      <c r="CT419" s="3"/>
      <c r="CW419" s="3"/>
      <c r="CX419" s="3"/>
      <c r="CZ419" s="3"/>
      <c r="DA419" s="3"/>
      <c r="DC419" s="3"/>
      <c r="DD419" s="3"/>
      <c r="DF419" s="3"/>
      <c r="DG419" s="5"/>
      <c r="DI419" s="3"/>
      <c r="DL419" s="3"/>
      <c r="DM419" s="3"/>
      <c r="DO419" s="3"/>
      <c r="DP419" s="3"/>
      <c r="DR419" s="3"/>
      <c r="DS419" s="1" t="str">
        <f>_xlfn.XLOOKUP(OfficeForms.Table[[#This Row],[Selecione a Categoria do Laboratório desta atividade prática:]],Planilha1!A:A,Planilha1!B:B)</f>
        <v>NTR</v>
      </c>
      <c r="DT419" s="1" t="str">
        <f>CONCATENATE(OfficeForms.Table[[#This Row],[Selecione seu Polo Laboratório de Atividades Presenciais:]],OfficeForms.Table[[#This Row],[CHAVE CONVERSÃO]])</f>
        <v>Feira De Santana/BA - CentroNTR</v>
      </c>
      <c r="DU41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sensorial de dietas hospitalares;Dietas hospitalares</v>
      </c>
      <c r="DV41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41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19" s="1" t="str">
        <f>_xlfn.XLOOKUP(OfficeForms.Table[[#This Row],[CHAVE LINK POLO]],'[1]Quadro Geral de Lotação'!$B:$B,'[1]Quadro Geral de Lotação'!$I:$I)</f>
        <v>Daiane Dias Ferreira</v>
      </c>
      <c r="DY419" s="1" t="str">
        <f>OfficeForms.Table[[#This Row],[Selecione a Ordem de Disciplina]]</f>
        <v>Ordem 1</v>
      </c>
    </row>
    <row r="420" spans="1:129" ht="34.15" customHeight="1">
      <c r="A420" s="1">
        <v>420</v>
      </c>
      <c r="B420" s="2">
        <v>46104.622824074097</v>
      </c>
      <c r="C420" s="2">
        <v>46104.625972222202</v>
      </c>
      <c r="D420" s="3" t="s">
        <v>288</v>
      </c>
      <c r="E420" s="3" t="s">
        <v>289</v>
      </c>
      <c r="G420" s="3"/>
      <c r="I420" s="3" t="s">
        <v>216</v>
      </c>
      <c r="K420" s="3"/>
      <c r="L420" s="1" t="s">
        <v>678</v>
      </c>
      <c r="O420" s="3" t="s">
        <v>156</v>
      </c>
      <c r="Q420" s="3"/>
      <c r="R420" s="3"/>
      <c r="T420" s="3"/>
      <c r="U420" s="5"/>
      <c r="W420" s="3"/>
      <c r="Z420" s="3"/>
      <c r="AA420" s="3"/>
      <c r="AC420" s="3"/>
      <c r="AD420" s="3"/>
      <c r="AF420" s="3"/>
      <c r="AG420" s="3"/>
      <c r="AI420" s="3"/>
      <c r="AJ420" s="1"/>
      <c r="AL420" s="3"/>
      <c r="AO420" s="3"/>
      <c r="AP420" s="3"/>
      <c r="AR420" s="3"/>
      <c r="AS420" s="3"/>
      <c r="AU420" s="3"/>
      <c r="AV420" s="3"/>
      <c r="AX420" s="3"/>
      <c r="AY420" s="5"/>
      <c r="BA420" s="3"/>
      <c r="BD420" s="3"/>
      <c r="BE420" s="3"/>
      <c r="BG420" s="3"/>
      <c r="BH420" s="3"/>
      <c r="BJ420" s="3"/>
      <c r="BK420" s="3" t="s">
        <v>1370</v>
      </c>
      <c r="BM420" s="3"/>
      <c r="BN420" s="5">
        <v>46098</v>
      </c>
      <c r="BP420" s="3"/>
      <c r="BQ420" s="1">
        <v>12</v>
      </c>
      <c r="BS420" s="3"/>
      <c r="BT420" s="3" t="s">
        <v>1371</v>
      </c>
      <c r="BV420" s="3"/>
      <c r="BW420" s="3" t="s">
        <v>1372</v>
      </c>
      <c r="BY420" s="3"/>
      <c r="BZ420" s="3"/>
      <c r="CB420" s="3"/>
      <c r="CC420" s="5"/>
      <c r="CE420" s="3"/>
      <c r="CH420" s="3"/>
      <c r="CI420" s="3"/>
      <c r="CK420" s="3"/>
      <c r="CL420" s="3"/>
      <c r="CN420" s="3"/>
      <c r="CO420" s="3"/>
      <c r="CQ420" s="3"/>
      <c r="CR420" s="5"/>
      <c r="CT420" s="3"/>
      <c r="CW420" s="3"/>
      <c r="CX420" s="3"/>
      <c r="CZ420" s="3"/>
      <c r="DA420" s="3"/>
      <c r="DC420" s="3"/>
      <c r="DD420" s="3"/>
      <c r="DF420" s="3"/>
      <c r="DG420" s="5"/>
      <c r="DI420" s="3"/>
      <c r="DL420" s="3"/>
      <c r="DM420" s="3"/>
      <c r="DO420" s="3"/>
      <c r="DP420" s="3"/>
      <c r="DR420" s="3"/>
      <c r="DS420" s="1" t="str">
        <f>_xlfn.XLOOKUP(OfficeForms.Table[[#This Row],[Selecione a Categoria do Laboratório desta atividade prática:]],Planilha1!A:A,Planilha1!B:B)</f>
        <v>NTR</v>
      </c>
      <c r="DT420" s="1" t="str">
        <f>CONCATENATE(OfficeForms.Table[[#This Row],[Selecione seu Polo Laboratório de Atividades Presenciais:]],OfficeForms.Table[[#This Row],[CHAVE CONVERSÃO]])</f>
        <v>Feira De Santana/BA - CentroNTR</v>
      </c>
      <c r="DU42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acamado;Anamnese nutricional do adulto e Diagnóstico nutricional</v>
      </c>
      <c r="DV42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42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420" s="1" t="str">
        <f>_xlfn.XLOOKUP(OfficeForms.Table[[#This Row],[CHAVE LINK POLO]],'[1]Quadro Geral de Lotação'!$B:$B,'[1]Quadro Geral de Lotação'!$I:$I)</f>
        <v>Daiane Dias Ferreira</v>
      </c>
      <c r="DY420" s="1" t="str">
        <f>OfficeForms.Table[[#This Row],[Selecione a Ordem de Disciplina]]</f>
        <v>Ordem 2</v>
      </c>
    </row>
    <row r="421" spans="1:129" ht="34.15" customHeight="1">
      <c r="A421" s="1">
        <v>421</v>
      </c>
      <c r="B421" s="2">
        <v>46104.660219907397</v>
      </c>
      <c r="C421" s="2">
        <v>46104.679976851898</v>
      </c>
      <c r="D421" s="3" t="s">
        <v>1373</v>
      </c>
      <c r="E421" s="3" t="s">
        <v>1374</v>
      </c>
      <c r="G421" s="3"/>
      <c r="I421" s="3" t="s">
        <v>445</v>
      </c>
      <c r="K421" s="3"/>
      <c r="L421" s="1" t="s">
        <v>678</v>
      </c>
      <c r="O421" s="3" t="s">
        <v>133</v>
      </c>
      <c r="Q421" s="3"/>
      <c r="R421" s="3"/>
      <c r="T421" s="3"/>
      <c r="U421" s="5"/>
      <c r="W421" s="3"/>
      <c r="Z421" s="3"/>
      <c r="AA421" s="3"/>
      <c r="AC421" s="3"/>
      <c r="AD421" s="3"/>
      <c r="AF421" s="3"/>
      <c r="AG421" s="3"/>
      <c r="AI421" s="3"/>
      <c r="AJ421" s="1"/>
      <c r="AL421" s="3"/>
      <c r="AO421" s="3"/>
      <c r="AP421" s="3"/>
      <c r="AR421" s="3"/>
      <c r="AS421" s="3"/>
      <c r="AU421" s="3"/>
      <c r="AV421" s="3" t="s">
        <v>1375</v>
      </c>
      <c r="AX421" s="3"/>
      <c r="AY421" s="5">
        <v>46100</v>
      </c>
      <c r="BA421" s="3"/>
      <c r="BB421" s="1">
        <v>3</v>
      </c>
      <c r="BD421" s="3"/>
      <c r="BE421" s="3" t="s">
        <v>1376</v>
      </c>
      <c r="BG421" s="3"/>
      <c r="BH421" s="3" t="s">
        <v>1377</v>
      </c>
      <c r="BJ421" s="3"/>
      <c r="BK421" s="3"/>
      <c r="BM421" s="3"/>
      <c r="BN421" s="5"/>
      <c r="BP421" s="3"/>
      <c r="BS421" s="3"/>
      <c r="BT421" s="3"/>
      <c r="BV421" s="3"/>
      <c r="BW421" s="3"/>
      <c r="BY421" s="3"/>
      <c r="BZ421" s="3"/>
      <c r="CB421" s="3"/>
      <c r="CC421" s="5"/>
      <c r="CE421" s="3"/>
      <c r="CH421" s="3"/>
      <c r="CI421" s="3"/>
      <c r="CK421" s="3"/>
      <c r="CL421" s="3"/>
      <c r="CN421" s="3"/>
      <c r="CO421" s="3"/>
      <c r="CQ421" s="3"/>
      <c r="CR421" s="5"/>
      <c r="CT421" s="3"/>
      <c r="CW421" s="3"/>
      <c r="CX421" s="3"/>
      <c r="CZ421" s="3"/>
      <c r="DA421" s="3"/>
      <c r="DC421" s="3"/>
      <c r="DD421" s="3"/>
      <c r="DF421" s="3"/>
      <c r="DG421" s="5"/>
      <c r="DI421" s="3"/>
      <c r="DL421" s="3"/>
      <c r="DM421" s="3"/>
      <c r="DO421" s="3"/>
      <c r="DP421" s="3"/>
      <c r="DR421" s="3"/>
      <c r="DS421" s="1" t="str">
        <f>_xlfn.XLOOKUP(OfficeForms.Table[[#This Row],[Selecione a Categoria do Laboratório desta atividade prática:]],Planilha1!A:A,Planilha1!B:B)</f>
        <v>BFI</v>
      </c>
      <c r="DT421" s="1" t="str">
        <f>CONCATENATE(OfficeForms.Table[[#This Row],[Selecione seu Polo Laboratório de Atividades Presenciais:]],OfficeForms.Table[[#This Row],[CHAVE CONVERSÃO]])</f>
        <v>Goiânia/GO - Jardim EuropaBFI</v>
      </c>
      <c r="DU42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Superiores</v>
      </c>
      <c r="DV42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42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421" s="1" t="str">
        <f>_xlfn.XLOOKUP(OfficeForms.Table[[#This Row],[CHAVE LINK POLO]],'[1]Quadro Geral de Lotação'!$B:$B,'[1]Quadro Geral de Lotação'!$I:$I)</f>
        <v>Luiza Rodrigues De Assis Brito</v>
      </c>
      <c r="DY421" s="1" t="str">
        <f>OfficeForms.Table[[#This Row],[Selecione a Ordem de Disciplina]]</f>
        <v>Ordem 2</v>
      </c>
    </row>
    <row r="422" spans="1:129" ht="34.15" customHeight="1">
      <c r="A422" s="1">
        <v>422</v>
      </c>
      <c r="B422" s="2">
        <v>46104.666192129604</v>
      </c>
      <c r="C422" s="2">
        <v>46104.686840277798</v>
      </c>
      <c r="D422" s="3" t="s">
        <v>313</v>
      </c>
      <c r="E422" s="3" t="s">
        <v>314</v>
      </c>
      <c r="G422" s="3"/>
      <c r="I422" s="3" t="s">
        <v>315</v>
      </c>
      <c r="K422" s="3"/>
      <c r="L422" s="1" t="s">
        <v>678</v>
      </c>
      <c r="O422" s="3" t="s">
        <v>184</v>
      </c>
      <c r="Q422" s="3"/>
      <c r="R422" s="3"/>
      <c r="T422" s="3"/>
      <c r="U422" s="5"/>
      <c r="W422" s="3"/>
      <c r="Z422" s="3"/>
      <c r="AA422" s="3"/>
      <c r="AC422" s="3"/>
      <c r="AD422" s="3"/>
      <c r="AF422" s="3"/>
      <c r="AG422" s="3" t="s">
        <v>1031</v>
      </c>
      <c r="AI422" s="3"/>
      <c r="AJ422" s="1">
        <v>46101</v>
      </c>
      <c r="AL422" s="3"/>
      <c r="AM422" s="1">
        <v>8</v>
      </c>
      <c r="AO422" s="3"/>
      <c r="AP422" s="3" t="s">
        <v>1378</v>
      </c>
      <c r="AR422" s="3"/>
      <c r="AS422" s="3" t="s">
        <v>1379</v>
      </c>
      <c r="AU422" s="3"/>
      <c r="AV422" s="3"/>
      <c r="AX422" s="3"/>
      <c r="AY422" s="5"/>
      <c r="BA422" s="3"/>
      <c r="BD422" s="3"/>
      <c r="BE422" s="3"/>
      <c r="BG422" s="3"/>
      <c r="BH422" s="3"/>
      <c r="BJ422" s="3"/>
      <c r="BK422" s="3"/>
      <c r="BM422" s="3"/>
      <c r="BN422" s="5"/>
      <c r="BP422" s="3"/>
      <c r="BS422" s="3"/>
      <c r="BT422" s="3"/>
      <c r="BV422" s="3"/>
      <c r="BW422" s="3"/>
      <c r="BY422" s="3"/>
      <c r="BZ422" s="3"/>
      <c r="CB422" s="3"/>
      <c r="CC422" s="5"/>
      <c r="CE422" s="3"/>
      <c r="CH422" s="3"/>
      <c r="CI422" s="3"/>
      <c r="CK422" s="3"/>
      <c r="CL422" s="3"/>
      <c r="CN422" s="3"/>
      <c r="CO422" s="3"/>
      <c r="CQ422" s="3"/>
      <c r="CR422" s="5"/>
      <c r="CT422" s="3"/>
      <c r="CW422" s="3"/>
      <c r="CX422" s="3"/>
      <c r="CZ422" s="3"/>
      <c r="DA422" s="3"/>
      <c r="DC422" s="3"/>
      <c r="DD422" s="3"/>
      <c r="DF422" s="3"/>
      <c r="DG422" s="5"/>
      <c r="DI422" s="3"/>
      <c r="DL422" s="3"/>
      <c r="DM422" s="3"/>
      <c r="DO422" s="3"/>
      <c r="DP422" s="3"/>
      <c r="DR422" s="3"/>
      <c r="DS422" s="1" t="str">
        <f>_xlfn.XLOOKUP(OfficeForms.Table[[#This Row],[Selecione a Categoria do Laboratório desta atividade prática:]],Planilha1!A:A,Planilha1!B:B)</f>
        <v>EMF-ISN</v>
      </c>
      <c r="DT422" s="1" t="str">
        <f>CONCATENATE(OfficeForms.Table[[#This Row],[Selecione seu Polo Laboratório de Atividades Presenciais:]],OfficeForms.Table[[#This Row],[CHAVE CONVERSÃO]])</f>
        <v>Alenquer/PAEMF-ISN</v>
      </c>
      <c r="DU42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42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46101</v>
      </c>
      <c r="DW42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422" s="1" t="str">
        <f>_xlfn.XLOOKUP(OfficeForms.Table[[#This Row],[CHAVE LINK POLO]],'[1]Quadro Geral de Lotação'!$B:$B,'[1]Quadro Geral de Lotação'!$I:$I)</f>
        <v>Ana Flavia Chaves De Souza</v>
      </c>
      <c r="DY422" s="1" t="str">
        <f>OfficeForms.Table[[#This Row],[Selecione a Ordem de Disciplina]]</f>
        <v>Ordem 2</v>
      </c>
    </row>
    <row r="423" spans="1:129" ht="34.15" customHeight="1">
      <c r="A423" s="1">
        <v>423</v>
      </c>
      <c r="B423" s="2">
        <v>46104.647662037001</v>
      </c>
      <c r="C423" s="2">
        <v>46104.6934259259</v>
      </c>
      <c r="D423" s="3" t="s">
        <v>1354</v>
      </c>
      <c r="E423" s="3" t="s">
        <v>1355</v>
      </c>
      <c r="G423" s="3"/>
      <c r="I423" s="3" t="s">
        <v>1356</v>
      </c>
      <c r="K423" s="3"/>
      <c r="L423" s="1" t="s">
        <v>132</v>
      </c>
      <c r="O423" s="3" t="s">
        <v>184</v>
      </c>
      <c r="Q423" s="3"/>
      <c r="R423" s="3"/>
      <c r="T423" s="3"/>
      <c r="U423" s="5"/>
      <c r="W423" s="3"/>
      <c r="Z423" s="3"/>
      <c r="AA423" s="3"/>
      <c r="AC423" s="3"/>
      <c r="AD423" s="3"/>
      <c r="AF423" s="3"/>
      <c r="AG423" s="3" t="s">
        <v>206</v>
      </c>
      <c r="AI423" s="3"/>
      <c r="AJ423" s="1">
        <v>46079</v>
      </c>
      <c r="AL423" s="3"/>
      <c r="AM423" s="1">
        <v>6</v>
      </c>
      <c r="AO423" s="3"/>
      <c r="AP423" s="3" t="s">
        <v>1380</v>
      </c>
      <c r="AR423" s="3"/>
      <c r="AS423" s="3" t="s">
        <v>1381</v>
      </c>
      <c r="AU423" s="3"/>
      <c r="AV423" s="3"/>
      <c r="AX423" s="3"/>
      <c r="AY423" s="5"/>
      <c r="BA423" s="3"/>
      <c r="BD423" s="3"/>
      <c r="BE423" s="3"/>
      <c r="BG423" s="3"/>
      <c r="BH423" s="3"/>
      <c r="BJ423" s="3"/>
      <c r="BK423" s="3"/>
      <c r="BM423" s="3"/>
      <c r="BN423" s="5"/>
      <c r="BP423" s="3"/>
      <c r="BS423" s="3"/>
      <c r="BT423" s="3"/>
      <c r="BV423" s="3"/>
      <c r="BW423" s="3"/>
      <c r="BY423" s="3"/>
      <c r="BZ423" s="3"/>
      <c r="CB423" s="3"/>
      <c r="CC423" s="5"/>
      <c r="CE423" s="3"/>
      <c r="CH423" s="3"/>
      <c r="CI423" s="3"/>
      <c r="CK423" s="3"/>
      <c r="CL423" s="3"/>
      <c r="CN423" s="3"/>
      <c r="CO423" s="3"/>
      <c r="CQ423" s="3"/>
      <c r="CR423" s="5"/>
      <c r="CT423" s="3"/>
      <c r="CW423" s="3"/>
      <c r="CX423" s="3"/>
      <c r="CZ423" s="3"/>
      <c r="DA423" s="3"/>
      <c r="DC423" s="3"/>
      <c r="DD423" s="3"/>
      <c r="DF423" s="3"/>
      <c r="DG423" s="5"/>
      <c r="DI423" s="3"/>
      <c r="DL423" s="3"/>
      <c r="DM423" s="3"/>
      <c r="DO423" s="3"/>
      <c r="DP423" s="3"/>
      <c r="DR423" s="3"/>
      <c r="DS423" s="1" t="str">
        <f>_xlfn.XLOOKUP(OfficeForms.Table[[#This Row],[Selecione a Categoria do Laboratório desta atividade prática:]],Planilha1!A:A,Planilha1!B:B)</f>
        <v>EMF-ISN</v>
      </c>
      <c r="DT423" s="1" t="str">
        <f>CONCATENATE(OfficeForms.Table[[#This Row],[Selecione seu Polo Laboratório de Atividades Presenciais:]],OfficeForms.Table[[#This Row],[CHAVE CONVERSÃO]])</f>
        <v>Nova Mutum/MTEMF-ISN</v>
      </c>
      <c r="DU42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42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42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423" s="1" t="str">
        <f>_xlfn.XLOOKUP(OfficeForms.Table[[#This Row],[CHAVE LINK POLO]],'[1]Quadro Geral de Lotação'!$B:$B,'[1]Quadro Geral de Lotação'!$I:$I)</f>
        <v>Jackeliny Laurindo Da Fonseca</v>
      </c>
      <c r="DY423" s="1" t="str">
        <f>OfficeForms.Table[[#This Row],[Selecione a Ordem de Disciplina]]</f>
        <v>Ordem 1</v>
      </c>
    </row>
    <row r="424" spans="1:129" ht="34.15" customHeight="1">
      <c r="A424" s="1">
        <v>424</v>
      </c>
      <c r="B424" s="2">
        <v>46104.693634259304</v>
      </c>
      <c r="C424" s="2">
        <v>46104.697754629597</v>
      </c>
      <c r="D424" s="3" t="s">
        <v>1354</v>
      </c>
      <c r="E424" s="3" t="s">
        <v>1355</v>
      </c>
      <c r="G424" s="3"/>
      <c r="I424" s="3" t="s">
        <v>1356</v>
      </c>
      <c r="K424" s="3"/>
      <c r="L424" s="1" t="s">
        <v>132</v>
      </c>
      <c r="O424" s="3" t="s">
        <v>184</v>
      </c>
      <c r="Q424" s="3"/>
      <c r="R424" s="3"/>
      <c r="T424" s="3"/>
      <c r="U424" s="5"/>
      <c r="W424" s="3"/>
      <c r="Z424" s="3"/>
      <c r="AA424" s="3"/>
      <c r="AC424" s="3"/>
      <c r="AD424" s="3"/>
      <c r="AF424" s="3"/>
      <c r="AG424" s="3" t="s">
        <v>414</v>
      </c>
      <c r="AI424" s="3"/>
      <c r="AJ424" s="1">
        <v>46086</v>
      </c>
      <c r="AL424" s="3"/>
      <c r="AM424" s="1">
        <v>1</v>
      </c>
      <c r="AO424" s="3"/>
      <c r="AP424" s="3" t="s">
        <v>1382</v>
      </c>
      <c r="AR424" s="3"/>
      <c r="AS424" s="3" t="s">
        <v>1383</v>
      </c>
      <c r="AU424" s="3"/>
      <c r="AV424" s="3"/>
      <c r="AX424" s="3"/>
      <c r="AY424" s="5"/>
      <c r="BA424" s="3"/>
      <c r="BD424" s="3"/>
      <c r="BE424" s="3"/>
      <c r="BG424" s="3"/>
      <c r="BH424" s="3"/>
      <c r="BJ424" s="3"/>
      <c r="BK424" s="3"/>
      <c r="BM424" s="3"/>
      <c r="BN424" s="5"/>
      <c r="BP424" s="3"/>
      <c r="BS424" s="3"/>
      <c r="BT424" s="3"/>
      <c r="BV424" s="3"/>
      <c r="BW424" s="3"/>
      <c r="BY424" s="3"/>
      <c r="BZ424" s="3"/>
      <c r="CB424" s="3"/>
      <c r="CC424" s="5"/>
      <c r="CE424" s="3"/>
      <c r="CH424" s="3"/>
      <c r="CI424" s="3"/>
      <c r="CK424" s="3"/>
      <c r="CL424" s="3"/>
      <c r="CN424" s="3"/>
      <c r="CO424" s="3"/>
      <c r="CQ424" s="3"/>
      <c r="CR424" s="5"/>
      <c r="CT424" s="3"/>
      <c r="CW424" s="3"/>
      <c r="CX424" s="3"/>
      <c r="CZ424" s="3"/>
      <c r="DA424" s="3"/>
      <c r="DC424" s="3"/>
      <c r="DD424" s="3"/>
      <c r="DF424" s="3"/>
      <c r="DG424" s="5"/>
      <c r="DI424" s="3"/>
      <c r="DL424" s="3"/>
      <c r="DM424" s="3"/>
      <c r="DO424" s="3"/>
      <c r="DP424" s="3"/>
      <c r="DR424" s="3"/>
      <c r="DS424" s="1" t="str">
        <f>_xlfn.XLOOKUP(OfficeForms.Table[[#This Row],[Selecione a Categoria do Laboratório desta atividade prática:]],Planilha1!A:A,Planilha1!B:B)</f>
        <v>EMF-ISN</v>
      </c>
      <c r="DT424" s="1" t="str">
        <f>CONCATENATE(OfficeForms.Table[[#This Row],[Selecione seu Polo Laboratório de Atividades Presenciais:]],OfficeForms.Table[[#This Row],[CHAVE CONVERSÃO]])</f>
        <v>Nova Mutum/MTEMF-ISN</v>
      </c>
      <c r="DU42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42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42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24" s="1" t="str">
        <f>_xlfn.XLOOKUP(OfficeForms.Table[[#This Row],[CHAVE LINK POLO]],'[1]Quadro Geral de Lotação'!$B:$B,'[1]Quadro Geral de Lotação'!$I:$I)</f>
        <v>Jackeliny Laurindo Da Fonseca</v>
      </c>
      <c r="DY424" s="1" t="str">
        <f>OfficeForms.Table[[#This Row],[Selecione a Ordem de Disciplina]]</f>
        <v>Ordem 1</v>
      </c>
    </row>
    <row r="425" spans="1:129" ht="34.15" customHeight="1">
      <c r="A425" s="1">
        <v>425</v>
      </c>
      <c r="B425" s="2">
        <v>46104.697870370401</v>
      </c>
      <c r="C425" s="2">
        <v>46104.698981481502</v>
      </c>
      <c r="D425" s="3" t="s">
        <v>1354</v>
      </c>
      <c r="E425" s="3" t="s">
        <v>1355</v>
      </c>
      <c r="G425" s="3"/>
      <c r="I425" s="3" t="s">
        <v>1356</v>
      </c>
      <c r="K425" s="3"/>
      <c r="L425" s="1" t="s">
        <v>132</v>
      </c>
      <c r="O425" s="3" t="s">
        <v>184</v>
      </c>
      <c r="Q425" s="3"/>
      <c r="R425" s="3"/>
      <c r="T425" s="3"/>
      <c r="U425" s="5"/>
      <c r="W425" s="3"/>
      <c r="Z425" s="3"/>
      <c r="AA425" s="3"/>
      <c r="AC425" s="3"/>
      <c r="AD425" s="3"/>
      <c r="AF425" s="3"/>
      <c r="AG425" s="3" t="s">
        <v>194</v>
      </c>
      <c r="AI425" s="3"/>
      <c r="AJ425" s="1">
        <v>46093</v>
      </c>
      <c r="AL425" s="3"/>
      <c r="AM425" s="1">
        <v>1</v>
      </c>
      <c r="AO425" s="3"/>
      <c r="AP425" s="3" t="s">
        <v>1384</v>
      </c>
      <c r="AR425" s="3"/>
      <c r="AS425" s="3" t="s">
        <v>1385</v>
      </c>
      <c r="AU425" s="3"/>
      <c r="AV425" s="3"/>
      <c r="AX425" s="3"/>
      <c r="AY425" s="5"/>
      <c r="BA425" s="3"/>
      <c r="BD425" s="3"/>
      <c r="BE425" s="3"/>
      <c r="BG425" s="3"/>
      <c r="BH425" s="3"/>
      <c r="BJ425" s="3"/>
      <c r="BK425" s="3"/>
      <c r="BM425" s="3"/>
      <c r="BN425" s="5"/>
      <c r="BP425" s="3"/>
      <c r="BS425" s="3"/>
      <c r="BT425" s="3"/>
      <c r="BV425" s="3"/>
      <c r="BW425" s="3"/>
      <c r="BY425" s="3"/>
      <c r="BZ425" s="3"/>
      <c r="CB425" s="3"/>
      <c r="CC425" s="5"/>
      <c r="CE425" s="3"/>
      <c r="CH425" s="3"/>
      <c r="CI425" s="3"/>
      <c r="CK425" s="3"/>
      <c r="CL425" s="3"/>
      <c r="CN425" s="3"/>
      <c r="CO425" s="3"/>
      <c r="CQ425" s="3"/>
      <c r="CR425" s="5"/>
      <c r="CT425" s="3"/>
      <c r="CW425" s="3"/>
      <c r="CX425" s="3"/>
      <c r="CZ425" s="3"/>
      <c r="DA425" s="3"/>
      <c r="DC425" s="3"/>
      <c r="DD425" s="3"/>
      <c r="DF425" s="3"/>
      <c r="DG425" s="5"/>
      <c r="DI425" s="3"/>
      <c r="DL425" s="3"/>
      <c r="DM425" s="3"/>
      <c r="DO425" s="3"/>
      <c r="DP425" s="3"/>
      <c r="DR425" s="3"/>
      <c r="DS425" s="1" t="str">
        <f>_xlfn.XLOOKUP(OfficeForms.Table[[#This Row],[Selecione a Categoria do Laboratório desta atividade prática:]],Planilha1!A:A,Planilha1!B:B)</f>
        <v>EMF-ISN</v>
      </c>
      <c r="DT425" s="1" t="str">
        <f>CONCATENATE(OfficeForms.Table[[#This Row],[Selecione seu Polo Laboratório de Atividades Presenciais:]],OfficeForms.Table[[#This Row],[CHAVE CONVERSÃO]])</f>
        <v>Nova Mutum/MTEMF-ISN</v>
      </c>
      <c r="DU42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42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42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25" s="1" t="str">
        <f>_xlfn.XLOOKUP(OfficeForms.Table[[#This Row],[CHAVE LINK POLO]],'[1]Quadro Geral de Lotação'!$B:$B,'[1]Quadro Geral de Lotação'!$I:$I)</f>
        <v>Jackeliny Laurindo Da Fonseca</v>
      </c>
      <c r="DY425" s="1" t="str">
        <f>OfficeForms.Table[[#This Row],[Selecione a Ordem de Disciplina]]</f>
        <v>Ordem 1</v>
      </c>
    </row>
    <row r="426" spans="1:129" ht="34.15" customHeight="1">
      <c r="A426" s="1">
        <v>426</v>
      </c>
      <c r="B426" s="2">
        <v>46104.723009259302</v>
      </c>
      <c r="C426" s="2">
        <v>46104.733032407399</v>
      </c>
      <c r="D426" s="3" t="s">
        <v>1386</v>
      </c>
      <c r="E426" s="3" t="s">
        <v>1387</v>
      </c>
      <c r="G426" s="3"/>
      <c r="I426" s="3" t="s">
        <v>647</v>
      </c>
      <c r="K426" s="3"/>
      <c r="L426" s="1" t="s">
        <v>132</v>
      </c>
      <c r="O426" s="3" t="s">
        <v>184</v>
      </c>
      <c r="Q426" s="3"/>
      <c r="R426" s="3"/>
      <c r="T426" s="3"/>
      <c r="U426" s="5"/>
      <c r="W426" s="3"/>
      <c r="Z426" s="3"/>
      <c r="AA426" s="3"/>
      <c r="AC426" s="3"/>
      <c r="AD426" s="3"/>
      <c r="AF426" s="3"/>
      <c r="AG426" s="3" t="s">
        <v>1388</v>
      </c>
      <c r="AI426" s="3"/>
      <c r="AJ426" s="1">
        <v>46069</v>
      </c>
      <c r="AL426" s="3"/>
      <c r="AM426" s="1">
        <v>2</v>
      </c>
      <c r="AO426" s="3"/>
      <c r="AP426" s="3" t="s">
        <v>1389</v>
      </c>
      <c r="AR426" s="3"/>
      <c r="AS426" s="3" t="s">
        <v>1390</v>
      </c>
      <c r="AU426" s="3"/>
      <c r="AV426" s="3"/>
      <c r="AX426" s="3"/>
      <c r="AY426" s="5"/>
      <c r="BA426" s="3"/>
      <c r="BD426" s="3"/>
      <c r="BE426" s="3"/>
      <c r="BG426" s="3"/>
      <c r="BH426" s="3"/>
      <c r="BJ426" s="3"/>
      <c r="BK426" s="3"/>
      <c r="BM426" s="3"/>
      <c r="BN426" s="5"/>
      <c r="BP426" s="3"/>
      <c r="BS426" s="3"/>
      <c r="BT426" s="3"/>
      <c r="BV426" s="3"/>
      <c r="BW426" s="3"/>
      <c r="BY426" s="3"/>
      <c r="BZ426" s="3"/>
      <c r="CB426" s="3"/>
      <c r="CC426" s="5"/>
      <c r="CE426" s="3"/>
      <c r="CH426" s="3"/>
      <c r="CI426" s="3"/>
      <c r="CK426" s="3"/>
      <c r="CL426" s="3"/>
      <c r="CN426" s="3"/>
      <c r="CO426" s="3"/>
      <c r="CQ426" s="3"/>
      <c r="CR426" s="5"/>
      <c r="CT426" s="3"/>
      <c r="CW426" s="3"/>
      <c r="CX426" s="3"/>
      <c r="CZ426" s="3"/>
      <c r="DA426" s="3"/>
      <c r="DC426" s="3"/>
      <c r="DD426" s="3"/>
      <c r="DF426" s="3"/>
      <c r="DG426" s="5"/>
      <c r="DI426" s="3"/>
      <c r="DL426" s="3"/>
      <c r="DM426" s="3"/>
      <c r="DO426" s="3"/>
      <c r="DP426" s="3"/>
      <c r="DR426" s="3"/>
      <c r="DS426" s="1" t="str">
        <f>_xlfn.XLOOKUP(OfficeForms.Table[[#This Row],[Selecione a Categoria do Laboratório desta atividade prática:]],Planilha1!A:A,Planilha1!B:B)</f>
        <v>EMF-ISN</v>
      </c>
      <c r="DT426" s="1" t="str">
        <f>CONCATENATE(OfficeForms.Table[[#This Row],[Selecione seu Polo Laboratório de Atividades Presenciais:]],OfficeForms.Table[[#This Row],[CHAVE CONVERSÃO]])</f>
        <v>Abaetetuba/PAEMF-ISN</v>
      </c>
      <c r="DU42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TOT);Avaliação corporal + Ausculta pulmonar + Ausculta cardiaca + Verificação de sinais vitais</v>
      </c>
      <c r="DV42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46069</v>
      </c>
      <c r="DW42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26" s="1" t="str">
        <f>_xlfn.XLOOKUP(OfficeForms.Table[[#This Row],[CHAVE LINK POLO]],'[1]Quadro Geral de Lotação'!$B:$B,'[1]Quadro Geral de Lotação'!$I:$I)</f>
        <v>Sandro Jose Santos Dos Santos</v>
      </c>
      <c r="DY426" s="1" t="str">
        <f>OfficeForms.Table[[#This Row],[Selecione a Ordem de Disciplina]]</f>
        <v>Ordem 1</v>
      </c>
    </row>
    <row r="427" spans="1:129" ht="34.15" customHeight="1">
      <c r="A427" s="1">
        <v>427</v>
      </c>
      <c r="B427" s="2">
        <v>46104.733715277798</v>
      </c>
      <c r="C427" s="2">
        <v>46104.734710648103</v>
      </c>
      <c r="D427" s="3" t="s">
        <v>1386</v>
      </c>
      <c r="E427" s="3" t="s">
        <v>1387</v>
      </c>
      <c r="G427" s="3"/>
      <c r="I427" s="3" t="s">
        <v>647</v>
      </c>
      <c r="K427" s="3"/>
      <c r="L427" s="1" t="s">
        <v>132</v>
      </c>
      <c r="O427" s="3" t="s">
        <v>184</v>
      </c>
      <c r="Q427" s="3"/>
      <c r="R427" s="3"/>
      <c r="T427" s="3"/>
      <c r="U427" s="5"/>
      <c r="W427" s="3"/>
      <c r="Z427" s="3"/>
      <c r="AA427" s="3"/>
      <c r="AC427" s="3"/>
      <c r="AD427" s="3"/>
      <c r="AF427" s="3"/>
      <c r="AG427" s="3" t="s">
        <v>1391</v>
      </c>
      <c r="AI427" s="3"/>
      <c r="AJ427" s="1">
        <v>46069</v>
      </c>
      <c r="AL427" s="3"/>
      <c r="AM427" s="1">
        <v>2</v>
      </c>
      <c r="AO427" s="3"/>
      <c r="AP427" s="3" t="s">
        <v>1392</v>
      </c>
      <c r="AR427" s="3"/>
      <c r="AS427" s="3" t="s">
        <v>1393</v>
      </c>
      <c r="AU427" s="3"/>
      <c r="AV427" s="3"/>
      <c r="AX427" s="3"/>
      <c r="AY427" s="5"/>
      <c r="BA427" s="3"/>
      <c r="BD427" s="3"/>
      <c r="BE427" s="3"/>
      <c r="BG427" s="3"/>
      <c r="BH427" s="3"/>
      <c r="BJ427" s="3"/>
      <c r="BK427" s="3"/>
      <c r="BM427" s="3"/>
      <c r="BN427" s="5"/>
      <c r="BP427" s="3"/>
      <c r="BS427" s="3"/>
      <c r="BT427" s="3"/>
      <c r="BV427" s="3"/>
      <c r="BW427" s="3"/>
      <c r="BY427" s="3"/>
      <c r="BZ427" s="3"/>
      <c r="CB427" s="3"/>
      <c r="CC427" s="5"/>
      <c r="CE427" s="3"/>
      <c r="CH427" s="3"/>
      <c r="CI427" s="3"/>
      <c r="CK427" s="3"/>
      <c r="CL427" s="3"/>
      <c r="CN427" s="3"/>
      <c r="CO427" s="3"/>
      <c r="CQ427" s="3"/>
      <c r="CR427" s="5"/>
      <c r="CT427" s="3"/>
      <c r="CW427" s="3"/>
      <c r="CX427" s="3"/>
      <c r="CZ427" s="3"/>
      <c r="DA427" s="3"/>
      <c r="DC427" s="3"/>
      <c r="DD427" s="3"/>
      <c r="DF427" s="3"/>
      <c r="DG427" s="5"/>
      <c r="DI427" s="3"/>
      <c r="DL427" s="3"/>
      <c r="DM427" s="3"/>
      <c r="DO427" s="3"/>
      <c r="DP427" s="3"/>
      <c r="DR427" s="3"/>
      <c r="DS427" s="1" t="str">
        <f>_xlfn.XLOOKUP(OfficeForms.Table[[#This Row],[Selecione a Categoria do Laboratório desta atividade prática:]],Planilha1!A:A,Planilha1!B:B)</f>
        <v>EMF-ISN</v>
      </c>
      <c r="DT427" s="1" t="str">
        <f>CONCATENATE(OfficeForms.Table[[#This Row],[Selecione seu Polo Laboratório de Atividades Presenciais:]],OfficeForms.Table[[#This Row],[CHAVE CONVERSÃO]])</f>
        <v>Abaetetuba/PAEMF-ISN</v>
      </c>
      <c r="DU42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TOT);Avaliação corporal + Ausculta pulmonar + Ausculta cardiaca + Verificação de sinais vitais</v>
      </c>
      <c r="DV42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46069</v>
      </c>
      <c r="DW42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27" s="1" t="str">
        <f>_xlfn.XLOOKUP(OfficeForms.Table[[#This Row],[CHAVE LINK POLO]],'[1]Quadro Geral de Lotação'!$B:$B,'[1]Quadro Geral de Lotação'!$I:$I)</f>
        <v>Sandro Jose Santos Dos Santos</v>
      </c>
      <c r="DY427" s="1" t="str">
        <f>OfficeForms.Table[[#This Row],[Selecione a Ordem de Disciplina]]</f>
        <v>Ordem 1</v>
      </c>
    </row>
    <row r="428" spans="1:129" ht="34.15" customHeight="1">
      <c r="A428" s="1">
        <v>428</v>
      </c>
      <c r="B428" s="2">
        <v>46104.735324074099</v>
      </c>
      <c r="C428" s="2">
        <v>46104.740416666697</v>
      </c>
      <c r="D428" s="3" t="s">
        <v>1386</v>
      </c>
      <c r="E428" s="3" t="s">
        <v>1387</v>
      </c>
      <c r="G428" s="3"/>
      <c r="I428" s="3" t="s">
        <v>647</v>
      </c>
      <c r="K428" s="3"/>
      <c r="L428" s="1" t="s">
        <v>678</v>
      </c>
      <c r="O428" s="3" t="s">
        <v>184</v>
      </c>
      <c r="Q428" s="3"/>
      <c r="R428" s="3"/>
      <c r="T428" s="3"/>
      <c r="U428" s="5"/>
      <c r="W428" s="3"/>
      <c r="Z428" s="3"/>
      <c r="AA428" s="3"/>
      <c r="AC428" s="3"/>
      <c r="AD428" s="3"/>
      <c r="AF428" s="3"/>
      <c r="AG428" s="3" t="s">
        <v>322</v>
      </c>
      <c r="AI428" s="3"/>
      <c r="AJ428" s="1">
        <v>46077</v>
      </c>
      <c r="AL428" s="3"/>
      <c r="AM428" s="1">
        <v>2</v>
      </c>
      <c r="AO428" s="3"/>
      <c r="AP428" s="3" t="s">
        <v>1394</v>
      </c>
      <c r="AR428" s="3"/>
      <c r="AS428" s="3" t="s">
        <v>1395</v>
      </c>
      <c r="AU428" s="3"/>
      <c r="AV428" s="3"/>
      <c r="AX428" s="3"/>
      <c r="AY428" s="5"/>
      <c r="BA428" s="3"/>
      <c r="BD428" s="3"/>
      <c r="BE428" s="3"/>
      <c r="BG428" s="3"/>
      <c r="BH428" s="3"/>
      <c r="BJ428" s="3"/>
      <c r="BK428" s="3"/>
      <c r="BM428" s="3"/>
      <c r="BN428" s="5"/>
      <c r="BP428" s="3"/>
      <c r="BS428" s="3"/>
      <c r="BT428" s="3"/>
      <c r="BV428" s="3"/>
      <c r="BW428" s="3"/>
      <c r="BY428" s="3"/>
      <c r="BZ428" s="3"/>
      <c r="CB428" s="3"/>
      <c r="CC428" s="5"/>
      <c r="CE428" s="3"/>
      <c r="CH428" s="3"/>
      <c r="CI428" s="3"/>
      <c r="CK428" s="3"/>
      <c r="CL428" s="3"/>
      <c r="CN428" s="3"/>
      <c r="CO428" s="3"/>
      <c r="CQ428" s="3"/>
      <c r="CR428" s="5"/>
      <c r="CT428" s="3"/>
      <c r="CW428" s="3"/>
      <c r="CX428" s="3"/>
      <c r="CZ428" s="3"/>
      <c r="DA428" s="3"/>
      <c r="DC428" s="3"/>
      <c r="DD428" s="3"/>
      <c r="DF428" s="3"/>
      <c r="DG428" s="5"/>
      <c r="DI428" s="3"/>
      <c r="DL428" s="3"/>
      <c r="DM428" s="3"/>
      <c r="DO428" s="3"/>
      <c r="DP428" s="3"/>
      <c r="DR428" s="3"/>
      <c r="DS428" s="1" t="str">
        <f>_xlfn.XLOOKUP(OfficeForms.Table[[#This Row],[Selecione a Categoria do Laboratório desta atividade prática:]],Planilha1!A:A,Planilha1!B:B)</f>
        <v>EMF-ISN</v>
      </c>
      <c r="DT428" s="1" t="str">
        <f>CONCATENATE(OfficeForms.Table[[#This Row],[Selecione seu Polo Laboratório de Atividades Presenciais:]],OfficeForms.Table[[#This Row],[CHAVE CONVERSÃO]])</f>
        <v>Abaetetuba/PAEMF-ISN</v>
      </c>
      <c r="DU42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42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42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28" s="1" t="str">
        <f>_xlfn.XLOOKUP(OfficeForms.Table[[#This Row],[CHAVE LINK POLO]],'[1]Quadro Geral de Lotação'!$B:$B,'[1]Quadro Geral de Lotação'!$I:$I)</f>
        <v>Sandro Jose Santos Dos Santos</v>
      </c>
      <c r="DY428" s="1" t="str">
        <f>OfficeForms.Table[[#This Row],[Selecione a Ordem de Disciplina]]</f>
        <v>Ordem 2</v>
      </c>
    </row>
    <row r="429" spans="1:129" ht="34.15" customHeight="1">
      <c r="A429" s="1">
        <v>429</v>
      </c>
      <c r="B429" s="2">
        <v>46104.740833333301</v>
      </c>
      <c r="C429" s="2">
        <v>46104.741655092599</v>
      </c>
      <c r="D429" s="3" t="s">
        <v>1386</v>
      </c>
      <c r="E429" s="3" t="s">
        <v>1387</v>
      </c>
      <c r="G429" s="3"/>
      <c r="I429" s="3" t="s">
        <v>647</v>
      </c>
      <c r="K429" s="3"/>
      <c r="L429" s="1" t="s">
        <v>132</v>
      </c>
      <c r="O429" s="3" t="s">
        <v>184</v>
      </c>
      <c r="Q429" s="3"/>
      <c r="R429" s="3"/>
      <c r="T429" s="3"/>
      <c r="U429" s="5"/>
      <c r="W429" s="3"/>
      <c r="Z429" s="3"/>
      <c r="AA429" s="3"/>
      <c r="AC429" s="3"/>
      <c r="AD429" s="3"/>
      <c r="AF429" s="3"/>
      <c r="AG429" s="3" t="s">
        <v>322</v>
      </c>
      <c r="AI429" s="3"/>
      <c r="AJ429" s="1">
        <v>46077</v>
      </c>
      <c r="AL429" s="3"/>
      <c r="AM429" s="1">
        <v>2</v>
      </c>
      <c r="AO429" s="3"/>
      <c r="AP429" s="3" t="s">
        <v>1396</v>
      </c>
      <c r="AR429" s="3"/>
      <c r="AS429" s="3" t="s">
        <v>1397</v>
      </c>
      <c r="AU429" s="3"/>
      <c r="AV429" s="3"/>
      <c r="AX429" s="3"/>
      <c r="AY429" s="5"/>
      <c r="BA429" s="3"/>
      <c r="BD429" s="3"/>
      <c r="BE429" s="3"/>
      <c r="BG429" s="3"/>
      <c r="BH429" s="3"/>
      <c r="BJ429" s="3"/>
      <c r="BK429" s="3"/>
      <c r="BM429" s="3"/>
      <c r="BN429" s="5"/>
      <c r="BP429" s="3"/>
      <c r="BS429" s="3"/>
      <c r="BT429" s="3"/>
      <c r="BV429" s="3"/>
      <c r="BW429" s="3"/>
      <c r="BY429" s="3"/>
      <c r="BZ429" s="3"/>
      <c r="CB429" s="3"/>
      <c r="CC429" s="5"/>
      <c r="CE429" s="3"/>
      <c r="CH429" s="3"/>
      <c r="CI429" s="3"/>
      <c r="CK429" s="3"/>
      <c r="CL429" s="3"/>
      <c r="CN429" s="3"/>
      <c r="CO429" s="3"/>
      <c r="CQ429" s="3"/>
      <c r="CR429" s="5"/>
      <c r="CT429" s="3"/>
      <c r="CW429" s="3"/>
      <c r="CX429" s="3"/>
      <c r="CZ429" s="3"/>
      <c r="DA429" s="3"/>
      <c r="DC429" s="3"/>
      <c r="DD429" s="3"/>
      <c r="DF429" s="3"/>
      <c r="DG429" s="5"/>
      <c r="DI429" s="3"/>
      <c r="DL429" s="3"/>
      <c r="DM429" s="3"/>
      <c r="DO429" s="3"/>
      <c r="DP429" s="3"/>
      <c r="DR429" s="3"/>
      <c r="DS429" s="1" t="str">
        <f>_xlfn.XLOOKUP(OfficeForms.Table[[#This Row],[Selecione a Categoria do Laboratório desta atividade prática:]],Planilha1!A:A,Planilha1!B:B)</f>
        <v>EMF-ISN</v>
      </c>
      <c r="DT429" s="1" t="str">
        <f>CONCATENATE(OfficeForms.Table[[#This Row],[Selecione seu Polo Laboratório de Atividades Presenciais:]],OfficeForms.Table[[#This Row],[CHAVE CONVERSÃO]])</f>
        <v>Abaetetuba/PAEMF-ISN</v>
      </c>
      <c r="DU42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42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42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29" s="1" t="str">
        <f>_xlfn.XLOOKUP(OfficeForms.Table[[#This Row],[CHAVE LINK POLO]],'[1]Quadro Geral de Lotação'!$B:$B,'[1]Quadro Geral de Lotação'!$I:$I)</f>
        <v>Sandro Jose Santos Dos Santos</v>
      </c>
      <c r="DY429" s="1" t="str">
        <f>OfficeForms.Table[[#This Row],[Selecione a Ordem de Disciplina]]</f>
        <v>Ordem 1</v>
      </c>
    </row>
    <row r="430" spans="1:129" ht="34.15" customHeight="1">
      <c r="A430" s="1">
        <v>430</v>
      </c>
      <c r="B430" s="2">
        <v>46104.743773148097</v>
      </c>
      <c r="C430" s="2">
        <v>46104.745648148099</v>
      </c>
      <c r="D430" s="3" t="s">
        <v>1386</v>
      </c>
      <c r="E430" s="3" t="s">
        <v>1387</v>
      </c>
      <c r="G430" s="3"/>
      <c r="I430" s="3" t="s">
        <v>647</v>
      </c>
      <c r="K430" s="3"/>
      <c r="L430" s="1" t="s">
        <v>678</v>
      </c>
      <c r="O430" s="3" t="s">
        <v>184</v>
      </c>
      <c r="Q430" s="3"/>
      <c r="R430" s="3"/>
      <c r="T430" s="3"/>
      <c r="U430" s="5"/>
      <c r="W430" s="3"/>
      <c r="Z430" s="3"/>
      <c r="AA430" s="3"/>
      <c r="AC430" s="3"/>
      <c r="AD430" s="3"/>
      <c r="AF430" s="3"/>
      <c r="AG430" s="3" t="s">
        <v>1031</v>
      </c>
      <c r="AI430" s="3"/>
      <c r="AJ430" s="1">
        <v>46097</v>
      </c>
      <c r="AL430" s="3"/>
      <c r="AM430" s="1">
        <v>2</v>
      </c>
      <c r="AO430" s="3"/>
      <c r="AP430" s="3" t="s">
        <v>1398</v>
      </c>
      <c r="AR430" s="3"/>
      <c r="AS430" s="3" t="s">
        <v>1399</v>
      </c>
      <c r="AU430" s="3"/>
      <c r="AV430" s="3"/>
      <c r="AX430" s="3"/>
      <c r="AY430" s="5"/>
      <c r="BA430" s="3"/>
      <c r="BD430" s="3"/>
      <c r="BE430" s="3"/>
      <c r="BG430" s="3"/>
      <c r="BH430" s="3"/>
      <c r="BJ430" s="3"/>
      <c r="BK430" s="3"/>
      <c r="BM430" s="3"/>
      <c r="BN430" s="5"/>
      <c r="BP430" s="3"/>
      <c r="BS430" s="3"/>
      <c r="BT430" s="3"/>
      <c r="BV430" s="3"/>
      <c r="BW430" s="3"/>
      <c r="BY430" s="3"/>
      <c r="BZ430" s="3"/>
      <c r="CB430" s="3"/>
      <c r="CC430" s="5"/>
      <c r="CE430" s="3"/>
      <c r="CH430" s="3"/>
      <c r="CI430" s="3"/>
      <c r="CK430" s="3"/>
      <c r="CL430" s="3"/>
      <c r="CN430" s="3"/>
      <c r="CO430" s="3"/>
      <c r="CQ430" s="3"/>
      <c r="CR430" s="5"/>
      <c r="CT430" s="3"/>
      <c r="CW430" s="3"/>
      <c r="CX430" s="3"/>
      <c r="CZ430" s="3"/>
      <c r="DA430" s="3"/>
      <c r="DC430" s="3"/>
      <c r="DD430" s="3"/>
      <c r="DF430" s="3"/>
      <c r="DG430" s="5"/>
      <c r="DI430" s="3"/>
      <c r="DL430" s="3"/>
      <c r="DM430" s="3"/>
      <c r="DO430" s="3"/>
      <c r="DP430" s="3"/>
      <c r="DR430" s="3"/>
      <c r="DS430" s="1" t="str">
        <f>_xlfn.XLOOKUP(OfficeForms.Table[[#This Row],[Selecione a Categoria do Laboratório desta atividade prática:]],Planilha1!A:A,Planilha1!B:B)</f>
        <v>EMF-ISN</v>
      </c>
      <c r="DT430" s="1" t="str">
        <f>CONCATENATE(OfficeForms.Table[[#This Row],[Selecione seu Polo Laboratório de Atividades Presenciais:]],OfficeForms.Table[[#This Row],[CHAVE CONVERSÃO]])</f>
        <v>Abaetetuba/PAEMF-ISN</v>
      </c>
      <c r="DU43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43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43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30" s="1" t="str">
        <f>_xlfn.XLOOKUP(OfficeForms.Table[[#This Row],[CHAVE LINK POLO]],'[1]Quadro Geral de Lotação'!$B:$B,'[1]Quadro Geral de Lotação'!$I:$I)</f>
        <v>Sandro Jose Santos Dos Santos</v>
      </c>
      <c r="DY430" s="1" t="str">
        <f>OfficeForms.Table[[#This Row],[Selecione a Ordem de Disciplina]]</f>
        <v>Ordem 2</v>
      </c>
    </row>
    <row r="431" spans="1:129" ht="34.15" customHeight="1">
      <c r="A431" s="1">
        <v>431</v>
      </c>
      <c r="B431" s="2">
        <v>46104.818900462997</v>
      </c>
      <c r="C431" s="2">
        <v>46104.8215740741</v>
      </c>
      <c r="D431" s="3" t="s">
        <v>1021</v>
      </c>
      <c r="E431" s="3" t="s">
        <v>1022</v>
      </c>
      <c r="G431" s="3"/>
      <c r="I431" s="3" t="s">
        <v>1023</v>
      </c>
      <c r="K431" s="3"/>
      <c r="L431" s="1" t="s">
        <v>132</v>
      </c>
      <c r="O431" s="3" t="s">
        <v>184</v>
      </c>
      <c r="Q431" s="3"/>
      <c r="R431" s="3"/>
      <c r="T431" s="3"/>
      <c r="U431" s="5"/>
      <c r="W431" s="3"/>
      <c r="Z431" s="3"/>
      <c r="AA431" s="3"/>
      <c r="AC431" s="3"/>
      <c r="AD431" s="3"/>
      <c r="AF431" s="3"/>
      <c r="AG431" s="3" t="s">
        <v>1013</v>
      </c>
      <c r="AI431" s="3"/>
      <c r="AJ431" s="1">
        <v>46102</v>
      </c>
      <c r="AL431" s="3"/>
      <c r="AM431" s="1">
        <v>3</v>
      </c>
      <c r="AO431" s="3"/>
      <c r="AP431" s="3" t="s">
        <v>1400</v>
      </c>
      <c r="AR431" s="3"/>
      <c r="AS431" s="3" t="s">
        <v>1401</v>
      </c>
      <c r="AU431" s="3"/>
      <c r="AV431" s="3"/>
      <c r="AX431" s="3"/>
      <c r="AY431" s="5"/>
      <c r="BA431" s="3"/>
      <c r="BD431" s="3"/>
      <c r="BE431" s="3"/>
      <c r="BG431" s="3"/>
      <c r="BH431" s="3"/>
      <c r="BJ431" s="3"/>
      <c r="BK431" s="3"/>
      <c r="BM431" s="3"/>
      <c r="BN431" s="5"/>
      <c r="BP431" s="3"/>
      <c r="BS431" s="3"/>
      <c r="BT431" s="3"/>
      <c r="BV431" s="3"/>
      <c r="BW431" s="3"/>
      <c r="BY431" s="3"/>
      <c r="BZ431" s="3"/>
      <c r="CB431" s="3"/>
      <c r="CC431" s="5"/>
      <c r="CE431" s="3"/>
      <c r="CH431" s="3"/>
      <c r="CI431" s="3"/>
      <c r="CK431" s="3"/>
      <c r="CL431" s="3"/>
      <c r="CN431" s="3"/>
      <c r="CO431" s="3"/>
      <c r="CQ431" s="3"/>
      <c r="CR431" s="5"/>
      <c r="CT431" s="3"/>
      <c r="CW431" s="3"/>
      <c r="CX431" s="3"/>
      <c r="CZ431" s="3"/>
      <c r="DA431" s="3"/>
      <c r="DC431" s="3"/>
      <c r="DD431" s="3"/>
      <c r="DF431" s="3"/>
      <c r="DG431" s="5"/>
      <c r="DI431" s="3"/>
      <c r="DL431" s="3"/>
      <c r="DM431" s="3"/>
      <c r="DO431" s="3"/>
      <c r="DP431" s="3"/>
      <c r="DR431" s="3"/>
      <c r="DS431" s="1" t="str">
        <f>_xlfn.XLOOKUP(OfficeForms.Table[[#This Row],[Selecione a Categoria do Laboratório desta atividade prática:]],Planilha1!A:A,Planilha1!B:B)</f>
        <v>EMF-ISN</v>
      </c>
      <c r="DT431" s="1" t="str">
        <f>CONCATENATE(OfficeForms.Table[[#This Row],[Selecione seu Polo Laboratório de Atividades Presenciais:]],OfficeForms.Table[[#This Row],[CHAVE CONVERSÃO]])</f>
        <v>Janaúba/MG- Padre EustáquioEMF-ISN</v>
      </c>
      <c r="DU43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43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43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431" s="1" t="str">
        <f>_xlfn.XLOOKUP(OfficeForms.Table[[#This Row],[CHAVE LINK POLO]],'[1]Quadro Geral de Lotação'!$B:$B,'[1]Quadro Geral de Lotação'!$I:$I)</f>
        <v>Adalci Rosana Goncalves Dias</v>
      </c>
      <c r="DY431" s="1" t="str">
        <f>OfficeForms.Table[[#This Row],[Selecione a Ordem de Disciplina]]</f>
        <v>Ordem 1</v>
      </c>
    </row>
    <row r="432" spans="1:129" ht="34.15" customHeight="1">
      <c r="A432" s="1">
        <v>432</v>
      </c>
      <c r="B432" s="2">
        <v>46104.822094907402</v>
      </c>
      <c r="C432" s="2">
        <v>46104.832314814797</v>
      </c>
      <c r="D432" s="3" t="s">
        <v>1021</v>
      </c>
      <c r="E432" s="3" t="s">
        <v>1022</v>
      </c>
      <c r="G432" s="3"/>
      <c r="I432" s="3" t="s">
        <v>1023</v>
      </c>
      <c r="K432" s="3"/>
      <c r="L432" s="1" t="s">
        <v>132</v>
      </c>
      <c r="O432" s="3" t="s">
        <v>184</v>
      </c>
      <c r="Q432" s="3"/>
      <c r="R432" s="3"/>
      <c r="T432" s="3"/>
      <c r="U432" s="5"/>
      <c r="W432" s="3"/>
      <c r="Z432" s="3"/>
      <c r="AA432" s="3"/>
      <c r="AC432" s="3"/>
      <c r="AD432" s="3"/>
      <c r="AF432" s="3"/>
      <c r="AG432" s="3" t="s">
        <v>224</v>
      </c>
      <c r="AI432" s="3"/>
      <c r="AJ432" s="1">
        <v>46085</v>
      </c>
      <c r="AL432" s="3"/>
      <c r="AM432" s="1">
        <v>0</v>
      </c>
      <c r="AO432" s="3"/>
      <c r="AP432" s="3" t="s">
        <v>1402</v>
      </c>
      <c r="AR432" s="3"/>
      <c r="AS432" s="3" t="s">
        <v>1403</v>
      </c>
      <c r="AU432" s="3"/>
      <c r="AV432" s="3"/>
      <c r="AX432" s="3"/>
      <c r="AY432" s="5"/>
      <c r="BA432" s="3"/>
      <c r="BD432" s="3"/>
      <c r="BE432" s="3"/>
      <c r="BG432" s="3"/>
      <c r="BH432" s="3"/>
      <c r="BJ432" s="3"/>
      <c r="BK432" s="3"/>
      <c r="BM432" s="3"/>
      <c r="BN432" s="5"/>
      <c r="BP432" s="3"/>
      <c r="BS432" s="3"/>
      <c r="BT432" s="3"/>
      <c r="BV432" s="3"/>
      <c r="BW432" s="3"/>
      <c r="BY432" s="3"/>
      <c r="BZ432" s="3"/>
      <c r="CB432" s="3"/>
      <c r="CC432" s="5"/>
      <c r="CE432" s="3"/>
      <c r="CH432" s="3"/>
      <c r="CI432" s="3"/>
      <c r="CK432" s="3"/>
      <c r="CL432" s="3"/>
      <c r="CN432" s="3"/>
      <c r="CO432" s="3"/>
      <c r="CQ432" s="3"/>
      <c r="CR432" s="5"/>
      <c r="CT432" s="3"/>
      <c r="CW432" s="3"/>
      <c r="CX432" s="3"/>
      <c r="CZ432" s="3"/>
      <c r="DA432" s="3"/>
      <c r="DC432" s="3"/>
      <c r="DD432" s="3"/>
      <c r="DF432" s="3"/>
      <c r="DG432" s="5"/>
      <c r="DI432" s="3"/>
      <c r="DL432" s="3"/>
      <c r="DM432" s="3"/>
      <c r="DO432" s="3"/>
      <c r="DP432" s="3"/>
      <c r="DR432" s="3"/>
      <c r="DS432" s="1" t="str">
        <f>_xlfn.XLOOKUP(OfficeForms.Table[[#This Row],[Selecione a Categoria do Laboratório desta atividade prática:]],Planilha1!A:A,Planilha1!B:B)</f>
        <v>EMF-ISN</v>
      </c>
      <c r="DT432" s="1" t="str">
        <f>CONCATENATE(OfficeForms.Table[[#This Row],[Selecione seu Polo Laboratório de Atividades Presenciais:]],OfficeForms.Table[[#This Row],[CHAVE CONVERSÃO]])</f>
        <v>Janaúba/MG- Padre EustáquioEMF-ISN</v>
      </c>
      <c r="DU43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43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43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32" s="1" t="str">
        <f>_xlfn.XLOOKUP(OfficeForms.Table[[#This Row],[CHAVE LINK POLO]],'[1]Quadro Geral de Lotação'!$B:$B,'[1]Quadro Geral de Lotação'!$I:$I)</f>
        <v>Adalci Rosana Goncalves Dias</v>
      </c>
      <c r="DY432" s="1" t="str">
        <f>OfficeForms.Table[[#This Row],[Selecione a Ordem de Disciplina]]</f>
        <v>Ordem 1</v>
      </c>
    </row>
    <row r="433" spans="1:129" ht="34.15" customHeight="1">
      <c r="A433" s="1">
        <v>433</v>
      </c>
      <c r="B433" s="2">
        <v>46104.832476851901</v>
      </c>
      <c r="C433" s="2">
        <v>46104.842569444401</v>
      </c>
      <c r="D433" s="3" t="s">
        <v>1021</v>
      </c>
      <c r="E433" s="3" t="s">
        <v>1022</v>
      </c>
      <c r="G433" s="3"/>
      <c r="I433" s="3" t="s">
        <v>1023</v>
      </c>
      <c r="K433" s="3"/>
      <c r="L433" s="1" t="s">
        <v>132</v>
      </c>
      <c r="O433" s="3" t="s">
        <v>184</v>
      </c>
      <c r="Q433" s="3"/>
      <c r="R433" s="3"/>
      <c r="T433" s="3"/>
      <c r="U433" s="5"/>
      <c r="W433" s="3"/>
      <c r="Z433" s="3"/>
      <c r="AA433" s="3"/>
      <c r="AC433" s="3"/>
      <c r="AD433" s="3"/>
      <c r="AF433" s="3"/>
      <c r="AG433" s="3" t="s">
        <v>1026</v>
      </c>
      <c r="AI433" s="3"/>
      <c r="AJ433" s="1">
        <v>46092</v>
      </c>
      <c r="AL433" s="3"/>
      <c r="AM433" s="1">
        <v>0</v>
      </c>
      <c r="AO433" s="3"/>
      <c r="AP433" s="3" t="s">
        <v>1404</v>
      </c>
      <c r="AR433" s="3"/>
      <c r="AS433" s="3" t="s">
        <v>1405</v>
      </c>
      <c r="AU433" s="3"/>
      <c r="AV433" s="3"/>
      <c r="AX433" s="3"/>
      <c r="AY433" s="5"/>
      <c r="BA433" s="3"/>
      <c r="BD433" s="3"/>
      <c r="BE433" s="3"/>
      <c r="BG433" s="3"/>
      <c r="BH433" s="3"/>
      <c r="BJ433" s="3"/>
      <c r="BK433" s="3"/>
      <c r="BM433" s="3"/>
      <c r="BN433" s="5"/>
      <c r="BP433" s="3"/>
      <c r="BS433" s="3"/>
      <c r="BT433" s="3"/>
      <c r="BV433" s="3"/>
      <c r="BW433" s="3"/>
      <c r="BY433" s="3"/>
      <c r="BZ433" s="3"/>
      <c r="CB433" s="3"/>
      <c r="CC433" s="5"/>
      <c r="CE433" s="3"/>
      <c r="CH433" s="3"/>
      <c r="CI433" s="3"/>
      <c r="CK433" s="3"/>
      <c r="CL433" s="3"/>
      <c r="CN433" s="3"/>
      <c r="CO433" s="3"/>
      <c r="CQ433" s="3"/>
      <c r="CR433" s="5"/>
      <c r="CT433" s="3"/>
      <c r="CW433" s="3"/>
      <c r="CX433" s="3"/>
      <c r="CZ433" s="3"/>
      <c r="DA433" s="3"/>
      <c r="DC433" s="3"/>
      <c r="DD433" s="3"/>
      <c r="DF433" s="3"/>
      <c r="DG433" s="5"/>
      <c r="DI433" s="3"/>
      <c r="DL433" s="3"/>
      <c r="DM433" s="3"/>
      <c r="DO433" s="3"/>
      <c r="DP433" s="3"/>
      <c r="DR433" s="3"/>
      <c r="DS433" s="1" t="str">
        <f>_xlfn.XLOOKUP(OfficeForms.Table[[#This Row],[Selecione a Categoria do Laboratório desta atividade prática:]],Planilha1!A:A,Planilha1!B:B)</f>
        <v>EMF-ISN</v>
      </c>
      <c r="DT433" s="1" t="str">
        <f>CONCATENATE(OfficeForms.Table[[#This Row],[Selecione seu Polo Laboratório de Atividades Presenciais:]],OfficeForms.Table[[#This Row],[CHAVE CONVERSÃO]])</f>
        <v>Janaúba/MG- Padre EustáquioEMF-ISN</v>
      </c>
      <c r="DU43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Consulta de enfermagem no pré-natal de baixo risco + Administração de medicamento pela via intramuscular;Trabalho de parto natural + Emergências obstétricas</v>
      </c>
      <c r="DV43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43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33" s="1" t="str">
        <f>_xlfn.XLOOKUP(OfficeForms.Table[[#This Row],[CHAVE LINK POLO]],'[1]Quadro Geral de Lotação'!$B:$B,'[1]Quadro Geral de Lotação'!$I:$I)</f>
        <v>Adalci Rosana Goncalves Dias</v>
      </c>
      <c r="DY433" s="1" t="str">
        <f>OfficeForms.Table[[#This Row],[Selecione a Ordem de Disciplina]]</f>
        <v>Ordem 1</v>
      </c>
    </row>
    <row r="434" spans="1:129" ht="34.15" customHeight="1">
      <c r="A434" s="1">
        <v>434</v>
      </c>
      <c r="B434" s="2">
        <v>46104.846678240698</v>
      </c>
      <c r="C434" s="2">
        <v>46104.847569444399</v>
      </c>
      <c r="D434" s="3" t="s">
        <v>480</v>
      </c>
      <c r="E434" s="3" t="s">
        <v>481</v>
      </c>
      <c r="G434" s="3"/>
      <c r="I434" s="3" t="s">
        <v>482</v>
      </c>
      <c r="K434" s="3"/>
      <c r="L434" s="1" t="s">
        <v>678</v>
      </c>
      <c r="O434" s="3" t="s">
        <v>184</v>
      </c>
      <c r="Q434" s="3"/>
      <c r="R434" s="3"/>
      <c r="T434" s="3"/>
      <c r="U434" s="5"/>
      <c r="W434" s="3"/>
      <c r="Z434" s="3"/>
      <c r="AA434" s="3"/>
      <c r="AC434" s="3"/>
      <c r="AD434" s="3"/>
      <c r="AF434" s="3"/>
      <c r="AG434" s="3" t="s">
        <v>211</v>
      </c>
      <c r="AI434" s="3"/>
      <c r="AJ434" s="1">
        <v>46104</v>
      </c>
      <c r="AL434" s="3"/>
      <c r="AM434" s="1">
        <v>0</v>
      </c>
      <c r="AO434" s="3"/>
      <c r="AP434" s="3" t="s">
        <v>1406</v>
      </c>
      <c r="AR434" s="3"/>
      <c r="AS434" s="3" t="s">
        <v>1407</v>
      </c>
      <c r="AU434" s="3"/>
      <c r="AV434" s="3"/>
      <c r="AX434" s="3"/>
      <c r="AY434" s="5"/>
      <c r="BA434" s="3"/>
      <c r="BD434" s="3"/>
      <c r="BE434" s="3"/>
      <c r="BG434" s="3"/>
      <c r="BH434" s="3"/>
      <c r="BJ434" s="3"/>
      <c r="BK434" s="3"/>
      <c r="BM434" s="3"/>
      <c r="BN434" s="5"/>
      <c r="BP434" s="3"/>
      <c r="BS434" s="3"/>
      <c r="BT434" s="3"/>
      <c r="BV434" s="3"/>
      <c r="BW434" s="3"/>
      <c r="BY434" s="3"/>
      <c r="BZ434" s="3"/>
      <c r="CB434" s="3"/>
      <c r="CC434" s="5"/>
      <c r="CE434" s="3"/>
      <c r="CH434" s="3"/>
      <c r="CI434" s="3"/>
      <c r="CK434" s="3"/>
      <c r="CL434" s="3"/>
      <c r="CN434" s="3"/>
      <c r="CO434" s="3"/>
      <c r="CQ434" s="3"/>
      <c r="CR434" s="5"/>
      <c r="CT434" s="3"/>
      <c r="CW434" s="3"/>
      <c r="CX434" s="3"/>
      <c r="CZ434" s="3"/>
      <c r="DA434" s="3"/>
      <c r="DC434" s="3"/>
      <c r="DD434" s="3"/>
      <c r="DF434" s="3"/>
      <c r="DG434" s="5"/>
      <c r="DI434" s="3"/>
      <c r="DL434" s="3"/>
      <c r="DM434" s="3"/>
      <c r="DO434" s="3"/>
      <c r="DP434" s="3"/>
      <c r="DR434" s="3"/>
      <c r="DS434" s="1" t="str">
        <f>_xlfn.XLOOKUP(OfficeForms.Table[[#This Row],[Selecione a Categoria do Laboratório desta atividade prática:]],Planilha1!A:A,Planilha1!B:B)</f>
        <v>EMF-ISN</v>
      </c>
      <c r="DT434" s="1" t="str">
        <f>CONCATENATE(OfficeForms.Table[[#This Row],[Selecione seu Polo Laboratório de Atividades Presenciais:]],OfficeForms.Table[[#This Row],[CHAVE CONVERSÃO]])</f>
        <v>Três Lagoas/MSEMF-ISN</v>
      </c>
      <c r="DU43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43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43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34" s="1" t="str">
        <f>_xlfn.XLOOKUP(OfficeForms.Table[[#This Row],[CHAVE LINK POLO]],'[1]Quadro Geral de Lotação'!$B:$B,'[1]Quadro Geral de Lotação'!$I:$I)</f>
        <v>Gilberto Dellai Filho</v>
      </c>
      <c r="DY434" s="1" t="str">
        <f>OfficeForms.Table[[#This Row],[Selecione a Ordem de Disciplina]]</f>
        <v>Ordem 2</v>
      </c>
    </row>
    <row r="435" spans="1:129" ht="34.15" customHeight="1">
      <c r="A435" s="1">
        <v>435</v>
      </c>
      <c r="B435" s="2">
        <v>46104.934363425898</v>
      </c>
      <c r="C435" s="2">
        <v>46104.940046296302</v>
      </c>
      <c r="D435" s="3" t="s">
        <v>325</v>
      </c>
      <c r="E435" s="3" t="s">
        <v>326</v>
      </c>
      <c r="G435" s="3"/>
      <c r="I435" s="3" t="s">
        <v>275</v>
      </c>
      <c r="K435" s="3"/>
      <c r="L435" s="1" t="s">
        <v>678</v>
      </c>
      <c r="O435" s="3" t="s">
        <v>133</v>
      </c>
      <c r="Q435" s="3"/>
      <c r="R435" s="3"/>
      <c r="T435" s="3"/>
      <c r="U435" s="5"/>
      <c r="W435" s="3"/>
      <c r="Z435" s="3"/>
      <c r="AA435" s="3"/>
      <c r="AC435" s="3"/>
      <c r="AD435" s="3"/>
      <c r="AF435" s="3"/>
      <c r="AG435" s="3"/>
      <c r="AI435" s="3"/>
      <c r="AJ435" s="1"/>
      <c r="AL435" s="3"/>
      <c r="AO435" s="3"/>
      <c r="AP435" s="3"/>
      <c r="AR435" s="3"/>
      <c r="AS435" s="3"/>
      <c r="AU435" s="3"/>
      <c r="AV435" s="3" t="s">
        <v>380</v>
      </c>
      <c r="AX435" s="3"/>
      <c r="AY435" s="5">
        <v>46100</v>
      </c>
      <c r="BA435" s="3"/>
      <c r="BB435" s="1">
        <v>11</v>
      </c>
      <c r="BD435" s="3"/>
      <c r="BE435" s="3" t="s">
        <v>1408</v>
      </c>
      <c r="BG435" s="3"/>
      <c r="BH435" s="3" t="s">
        <v>1409</v>
      </c>
      <c r="BJ435" s="3"/>
      <c r="BK435" s="3"/>
      <c r="BM435" s="3"/>
      <c r="BN435" s="5"/>
      <c r="BP435" s="3"/>
      <c r="BS435" s="3"/>
      <c r="BT435" s="3"/>
      <c r="BV435" s="3"/>
      <c r="BW435" s="3"/>
      <c r="BY435" s="3"/>
      <c r="BZ435" s="3"/>
      <c r="CB435" s="3"/>
      <c r="CC435" s="5"/>
      <c r="CE435" s="3"/>
      <c r="CH435" s="3"/>
      <c r="CI435" s="3"/>
      <c r="CK435" s="3"/>
      <c r="CL435" s="3"/>
      <c r="CN435" s="3"/>
      <c r="CO435" s="3"/>
      <c r="CQ435" s="3"/>
      <c r="CR435" s="5"/>
      <c r="CT435" s="3"/>
      <c r="CW435" s="3"/>
      <c r="CX435" s="3"/>
      <c r="CZ435" s="3"/>
      <c r="DA435" s="3"/>
      <c r="DC435" s="3"/>
      <c r="DD435" s="3"/>
      <c r="DF435" s="3"/>
      <c r="DG435" s="5"/>
      <c r="DI435" s="3"/>
      <c r="DL435" s="3"/>
      <c r="DM435" s="3"/>
      <c r="DO435" s="3"/>
      <c r="DP435" s="3"/>
      <c r="DR435" s="3"/>
      <c r="DS435" s="1" t="str">
        <f>_xlfn.XLOOKUP(OfficeForms.Table[[#This Row],[Selecione a Categoria do Laboratório desta atividade prática:]],Planilha1!A:A,Planilha1!B:B)</f>
        <v>BFI</v>
      </c>
      <c r="DT435" s="1" t="str">
        <f>CONCATENATE(OfficeForms.Table[[#This Row],[Selecione seu Polo Laboratório de Atividades Presenciais:]],OfficeForms.Table[[#This Row],[CHAVE CONVERSÃO]])</f>
        <v>Porto Alegre/RS - Zona NorteBFI</v>
      </c>
      <c r="DU43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Mobilização Articular na Cinesioterapia: Avaliação e Intervenção Funcional</v>
      </c>
      <c r="DV43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43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435" s="1" t="str">
        <f>_xlfn.XLOOKUP(OfficeForms.Table[[#This Row],[CHAVE LINK POLO]],'[1]Quadro Geral de Lotação'!$B:$B,'[1]Quadro Geral de Lotação'!$I:$I)</f>
        <v>Fabiano Johnson Duarte Bartmann</v>
      </c>
      <c r="DY435" s="1" t="str">
        <f>OfficeForms.Table[[#This Row],[Selecione a Ordem de Disciplina]]</f>
        <v>Ordem 2</v>
      </c>
    </row>
    <row r="436" spans="1:129" ht="34.15" customHeight="1">
      <c r="A436" s="1">
        <v>436</v>
      </c>
      <c r="B436" s="2">
        <v>46104.940081018503</v>
      </c>
      <c r="C436" s="2">
        <v>46104.941354166702</v>
      </c>
      <c r="D436" s="3" t="s">
        <v>325</v>
      </c>
      <c r="E436" s="3" t="s">
        <v>326</v>
      </c>
      <c r="G436" s="3"/>
      <c r="I436" s="3" t="s">
        <v>275</v>
      </c>
      <c r="K436" s="3"/>
      <c r="L436" s="1" t="s">
        <v>678</v>
      </c>
      <c r="O436" s="3" t="s">
        <v>133</v>
      </c>
      <c r="Q436" s="3"/>
      <c r="R436" s="3"/>
      <c r="T436" s="3"/>
      <c r="U436" s="5"/>
      <c r="W436" s="3"/>
      <c r="Z436" s="3"/>
      <c r="AA436" s="3"/>
      <c r="AC436" s="3"/>
      <c r="AD436" s="3"/>
      <c r="AF436" s="3"/>
      <c r="AG436" s="3"/>
      <c r="AI436" s="3"/>
      <c r="AJ436" s="1"/>
      <c r="AL436" s="3"/>
      <c r="AO436" s="3"/>
      <c r="AP436" s="3"/>
      <c r="AR436" s="3"/>
      <c r="AS436" s="3"/>
      <c r="AU436" s="3"/>
      <c r="AV436" s="3" t="s">
        <v>1410</v>
      </c>
      <c r="AX436" s="3"/>
      <c r="AY436" s="5">
        <v>46100</v>
      </c>
      <c r="BA436" s="3"/>
      <c r="BB436" s="1">
        <v>16</v>
      </c>
      <c r="BD436" s="3"/>
      <c r="BE436" s="3" t="s">
        <v>1411</v>
      </c>
      <c r="BG436" s="3"/>
      <c r="BH436" s="3" t="s">
        <v>1412</v>
      </c>
      <c r="BJ436" s="3"/>
      <c r="BK436" s="3"/>
      <c r="BM436" s="3"/>
      <c r="BN436" s="5"/>
      <c r="BP436" s="3"/>
      <c r="BS436" s="3"/>
      <c r="BT436" s="3"/>
      <c r="BV436" s="3"/>
      <c r="BW436" s="3"/>
      <c r="BY436" s="3"/>
      <c r="BZ436" s="3"/>
      <c r="CB436" s="3"/>
      <c r="CC436" s="5"/>
      <c r="CE436" s="3"/>
      <c r="CH436" s="3"/>
      <c r="CI436" s="3"/>
      <c r="CK436" s="3"/>
      <c r="CL436" s="3"/>
      <c r="CN436" s="3"/>
      <c r="CO436" s="3"/>
      <c r="CQ436" s="3"/>
      <c r="CR436" s="5"/>
      <c r="CT436" s="3"/>
      <c r="CW436" s="3"/>
      <c r="CX436" s="3"/>
      <c r="CZ436" s="3"/>
      <c r="DA436" s="3"/>
      <c r="DC436" s="3"/>
      <c r="DD436" s="3"/>
      <c r="DF436" s="3"/>
      <c r="DG436" s="5"/>
      <c r="DI436" s="3"/>
      <c r="DL436" s="3"/>
      <c r="DM436" s="3"/>
      <c r="DO436" s="3"/>
      <c r="DP436" s="3"/>
      <c r="DR436" s="3"/>
      <c r="DS436" s="1" t="str">
        <f>_xlfn.XLOOKUP(OfficeForms.Table[[#This Row],[Selecione a Categoria do Laboratório desta atividade prática:]],Planilha1!A:A,Planilha1!B:B)</f>
        <v>BFI</v>
      </c>
      <c r="DT436" s="1" t="str">
        <f>CONCATENATE(OfficeForms.Table[[#This Row],[Selecione seu Polo Laboratório de Atividades Presenciais:]],OfficeForms.Table[[#This Row],[CHAVE CONVERSÃO]])</f>
        <v>Porto Alegre/RS - Zona NorteBFI</v>
      </c>
      <c r="DU43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Funcional e Cinesiologia da Marcha: Observação e Análise em Laboratório Prático</v>
      </c>
      <c r="DV43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43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16</v>
      </c>
      <c r="DX436" s="1" t="str">
        <f>_xlfn.XLOOKUP(OfficeForms.Table[[#This Row],[CHAVE LINK POLO]],'[1]Quadro Geral de Lotação'!$B:$B,'[1]Quadro Geral de Lotação'!$I:$I)</f>
        <v>Fabiano Johnson Duarte Bartmann</v>
      </c>
      <c r="DY436" s="1" t="str">
        <f>OfficeForms.Table[[#This Row],[Selecione a Ordem de Disciplina]]</f>
        <v>Ordem 2</v>
      </c>
    </row>
    <row r="437" spans="1:129" ht="34.15" customHeight="1">
      <c r="A437" s="1">
        <v>437</v>
      </c>
      <c r="B437" s="2">
        <v>46104.957511574103</v>
      </c>
      <c r="C437" s="2">
        <v>46104.958460648202</v>
      </c>
      <c r="D437" s="3" t="s">
        <v>273</v>
      </c>
      <c r="E437" s="3" t="s">
        <v>274</v>
      </c>
      <c r="G437" s="3"/>
      <c r="I437" s="3" t="s">
        <v>275</v>
      </c>
      <c r="K437" s="3"/>
      <c r="L437" s="1" t="s">
        <v>678</v>
      </c>
      <c r="O437" s="3" t="s">
        <v>133</v>
      </c>
      <c r="Q437" s="3"/>
      <c r="R437" s="3"/>
      <c r="T437" s="3"/>
      <c r="U437" s="5"/>
      <c r="W437" s="3"/>
      <c r="Z437" s="3"/>
      <c r="AA437" s="3"/>
      <c r="AC437" s="3"/>
      <c r="AD437" s="3"/>
      <c r="AF437" s="3"/>
      <c r="AG437" s="3"/>
      <c r="AI437" s="3"/>
      <c r="AJ437" s="1"/>
      <c r="AL437" s="3"/>
      <c r="AO437" s="3"/>
      <c r="AP437" s="3"/>
      <c r="AR437" s="3"/>
      <c r="AS437" s="3"/>
      <c r="AU437" s="3"/>
      <c r="AV437" s="3" t="s">
        <v>1351</v>
      </c>
      <c r="AX437" s="3"/>
      <c r="AY437" s="5">
        <v>46104</v>
      </c>
      <c r="BA437" s="3"/>
      <c r="BB437" s="1">
        <v>3</v>
      </c>
      <c r="BD437" s="3"/>
      <c r="BE437" s="3" t="s">
        <v>1413</v>
      </c>
      <c r="BG437" s="3"/>
      <c r="BH437" s="3" t="s">
        <v>1414</v>
      </c>
      <c r="BJ437" s="3"/>
      <c r="BK437" s="3"/>
      <c r="BM437" s="3"/>
      <c r="BN437" s="5"/>
      <c r="BP437" s="3"/>
      <c r="BS437" s="3"/>
      <c r="BT437" s="3"/>
      <c r="BV437" s="3"/>
      <c r="BW437" s="3"/>
      <c r="BY437" s="3"/>
      <c r="BZ437" s="3"/>
      <c r="CB437" s="3"/>
      <c r="CC437" s="5"/>
      <c r="CE437" s="3"/>
      <c r="CH437" s="3"/>
      <c r="CI437" s="3"/>
      <c r="CK437" s="3"/>
      <c r="CL437" s="3"/>
      <c r="CN437" s="3"/>
      <c r="CO437" s="3"/>
      <c r="CQ437" s="3"/>
      <c r="CR437" s="5"/>
      <c r="CT437" s="3"/>
      <c r="CW437" s="3"/>
      <c r="CX437" s="3"/>
      <c r="CZ437" s="3"/>
      <c r="DA437" s="3"/>
      <c r="DC437" s="3"/>
      <c r="DD437" s="3"/>
      <c r="DF437" s="3"/>
      <c r="DG437" s="5"/>
      <c r="DI437" s="3"/>
      <c r="DL437" s="3"/>
      <c r="DM437" s="3"/>
      <c r="DO437" s="3"/>
      <c r="DP437" s="3"/>
      <c r="DR437" s="3"/>
      <c r="DS437" s="1" t="str">
        <f>_xlfn.XLOOKUP(OfficeForms.Table[[#This Row],[Selecione a Categoria do Laboratório desta atividade prática:]],Planilha1!A:A,Planilha1!B:B)</f>
        <v>BFI</v>
      </c>
      <c r="DT437" s="1" t="str">
        <f>CONCATENATE(OfficeForms.Table[[#This Row],[Selecione seu Polo Laboratório de Atividades Presenciais:]],OfficeForms.Table[[#This Row],[CHAVE CONVERSÃO]])</f>
        <v>Porto Alegre/RS - Zona NorteBFI</v>
      </c>
      <c r="DU43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Escalda Pés</v>
      </c>
      <c r="DV43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43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437" s="1" t="str">
        <f>_xlfn.XLOOKUP(OfficeForms.Table[[#This Row],[CHAVE LINK POLO]],'[1]Quadro Geral de Lotação'!$B:$B,'[1]Quadro Geral de Lotação'!$I:$I)</f>
        <v>Fabiano Johnson Duarte Bartmann</v>
      </c>
      <c r="DY437" s="1" t="str">
        <f>OfficeForms.Table[[#This Row],[Selecione a Ordem de Disciplina]]</f>
        <v>Ordem 2</v>
      </c>
    </row>
    <row r="438" spans="1:129" ht="34.15" customHeight="1">
      <c r="A438" s="1">
        <v>438</v>
      </c>
      <c r="B438" s="2">
        <v>46104.958611111098</v>
      </c>
      <c r="C438" s="2">
        <v>46104.962974536997</v>
      </c>
      <c r="D438" s="3" t="s">
        <v>273</v>
      </c>
      <c r="E438" s="3" t="s">
        <v>274</v>
      </c>
      <c r="G438" s="3"/>
      <c r="I438" s="3" t="s">
        <v>275</v>
      </c>
      <c r="K438" s="3"/>
      <c r="L438" s="1" t="s">
        <v>678</v>
      </c>
      <c r="O438" s="3" t="s">
        <v>133</v>
      </c>
      <c r="Q438" s="3"/>
      <c r="R438" s="3"/>
      <c r="T438" s="3"/>
      <c r="U438" s="5"/>
      <c r="W438" s="3"/>
      <c r="Z438" s="3"/>
      <c r="AA438" s="3"/>
      <c r="AC438" s="3"/>
      <c r="AD438" s="3"/>
      <c r="AF438" s="3"/>
      <c r="AG438" s="3"/>
      <c r="AI438" s="3"/>
      <c r="AJ438" s="1"/>
      <c r="AL438" s="3"/>
      <c r="AO438" s="3"/>
      <c r="AP438" s="3"/>
      <c r="AR438" s="3"/>
      <c r="AS438" s="3"/>
      <c r="AU438" s="3"/>
      <c r="AV438" s="3" t="s">
        <v>1348</v>
      </c>
      <c r="AX438" s="3"/>
      <c r="AY438" s="5">
        <v>46104</v>
      </c>
      <c r="BA438" s="3"/>
      <c r="BB438" s="1">
        <v>4</v>
      </c>
      <c r="BD438" s="3"/>
      <c r="BE438" s="3" t="s">
        <v>1415</v>
      </c>
      <c r="BG438" s="3"/>
      <c r="BH438" s="3" t="s">
        <v>1416</v>
      </c>
      <c r="BJ438" s="3"/>
      <c r="BK438" s="3"/>
      <c r="BM438" s="3"/>
      <c r="BN438" s="5"/>
      <c r="BP438" s="3"/>
      <c r="BS438" s="3"/>
      <c r="BT438" s="3"/>
      <c r="BV438" s="3"/>
      <c r="BW438" s="3"/>
      <c r="BY438" s="3"/>
      <c r="BZ438" s="3"/>
      <c r="CB438" s="3"/>
      <c r="CC438" s="5"/>
      <c r="CE438" s="3"/>
      <c r="CH438" s="3"/>
      <c r="CI438" s="3"/>
      <c r="CK438" s="3"/>
      <c r="CL438" s="3"/>
      <c r="CN438" s="3"/>
      <c r="CO438" s="3"/>
      <c r="CQ438" s="3"/>
      <c r="CR438" s="5"/>
      <c r="CT438" s="3"/>
      <c r="CW438" s="3"/>
      <c r="CX438" s="3"/>
      <c r="CZ438" s="3"/>
      <c r="DA438" s="3"/>
      <c r="DC438" s="3"/>
      <c r="DD438" s="3"/>
      <c r="DF438" s="3"/>
      <c r="DG438" s="5"/>
      <c r="DI438" s="3"/>
      <c r="DL438" s="3"/>
      <c r="DM438" s="3"/>
      <c r="DO438" s="3"/>
      <c r="DP438" s="3"/>
      <c r="DR438" s="3"/>
      <c r="DS438" s="1" t="str">
        <f>_xlfn.XLOOKUP(OfficeForms.Table[[#This Row],[Selecione a Categoria do Laboratório desta atividade prática:]],Planilha1!A:A,Planilha1!B:B)</f>
        <v>BFI</v>
      </c>
      <c r="DT438" s="1" t="str">
        <f>CONCATENATE(OfficeForms.Table[[#This Row],[Selecione seu Polo Laboratório de Atividades Presenciais:]],OfficeForms.Table[[#This Row],[CHAVE CONVERSÃO]])</f>
        <v>Porto Alegre/RS - Zona NorteBFI</v>
      </c>
      <c r="DU43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Auriculoterapia</v>
      </c>
      <c r="DV43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43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438" s="1" t="str">
        <f>_xlfn.XLOOKUP(OfficeForms.Table[[#This Row],[CHAVE LINK POLO]],'[1]Quadro Geral de Lotação'!$B:$B,'[1]Quadro Geral de Lotação'!$I:$I)</f>
        <v>Fabiano Johnson Duarte Bartmann</v>
      </c>
      <c r="DY438" s="1" t="str">
        <f>OfficeForms.Table[[#This Row],[Selecione a Ordem de Disciplina]]</f>
        <v>Ordem 2</v>
      </c>
    </row>
    <row r="439" spans="1:129" ht="34.15" customHeight="1">
      <c r="A439" s="1">
        <v>439</v>
      </c>
      <c r="B439" s="2">
        <v>46105.044409722199</v>
      </c>
      <c r="C439" s="2">
        <v>46105.048831018503</v>
      </c>
      <c r="D439" s="3" t="s">
        <v>1417</v>
      </c>
      <c r="E439" s="3" t="s">
        <v>1418</v>
      </c>
      <c r="G439" s="3"/>
      <c r="I439" s="3" t="s">
        <v>1419</v>
      </c>
      <c r="K439" s="3"/>
      <c r="L439" s="1" t="s">
        <v>678</v>
      </c>
      <c r="O439" s="3" t="s">
        <v>133</v>
      </c>
      <c r="Q439" s="3"/>
      <c r="R439" s="3"/>
      <c r="T439" s="3"/>
      <c r="U439" s="5"/>
      <c r="W439" s="3"/>
      <c r="Z439" s="3"/>
      <c r="AA439" s="3"/>
      <c r="AC439" s="3"/>
      <c r="AD439" s="3"/>
      <c r="AF439" s="3"/>
      <c r="AG439" s="3"/>
      <c r="AI439" s="3"/>
      <c r="AJ439" s="1"/>
      <c r="AL439" s="3"/>
      <c r="AO439" s="3"/>
      <c r="AP439" s="3"/>
      <c r="AR439" s="3"/>
      <c r="AS439" s="3"/>
      <c r="AU439" s="3"/>
      <c r="AV439" s="3" t="s">
        <v>1375</v>
      </c>
      <c r="AX439" s="3"/>
      <c r="AY439" s="5">
        <v>46102</v>
      </c>
      <c r="BA439" s="3"/>
      <c r="BB439" s="1">
        <v>16</v>
      </c>
      <c r="BD439" s="3"/>
      <c r="BE439" s="3" t="s">
        <v>1420</v>
      </c>
      <c r="BG439" s="3"/>
      <c r="BH439" s="3" t="s">
        <v>1421</v>
      </c>
      <c r="BJ439" s="3"/>
      <c r="BK439" s="3"/>
      <c r="BM439" s="3"/>
      <c r="BN439" s="5"/>
      <c r="BP439" s="3"/>
      <c r="BS439" s="3"/>
      <c r="BT439" s="3"/>
      <c r="BV439" s="3"/>
      <c r="BW439" s="3"/>
      <c r="BY439" s="3"/>
      <c r="BZ439" s="3"/>
      <c r="CB439" s="3"/>
      <c r="CC439" s="5"/>
      <c r="CE439" s="3"/>
      <c r="CH439" s="3"/>
      <c r="CI439" s="3"/>
      <c r="CK439" s="3"/>
      <c r="CL439" s="3"/>
      <c r="CN439" s="3"/>
      <c r="CO439" s="3"/>
      <c r="CQ439" s="3"/>
      <c r="CR439" s="5"/>
      <c r="CT439" s="3"/>
      <c r="CW439" s="3"/>
      <c r="CX439" s="3"/>
      <c r="CZ439" s="3"/>
      <c r="DA439" s="3"/>
      <c r="DC439" s="3"/>
      <c r="DD439" s="3"/>
      <c r="DF439" s="3"/>
      <c r="DG439" s="5"/>
      <c r="DI439" s="3"/>
      <c r="DL439" s="3"/>
      <c r="DM439" s="3"/>
      <c r="DO439" s="3"/>
      <c r="DP439" s="3"/>
      <c r="DR439" s="3"/>
      <c r="DS439" s="1" t="str">
        <f>_xlfn.XLOOKUP(OfficeForms.Table[[#This Row],[Selecione a Categoria do Laboratório desta atividade prática:]],Planilha1!A:A,Planilha1!B:B)</f>
        <v>BFI</v>
      </c>
      <c r="DT439" s="1" t="str">
        <f>CONCATENATE(OfficeForms.Table[[#This Row],[Selecione seu Polo Laboratório de Atividades Presenciais:]],OfficeForms.Table[[#This Row],[CHAVE CONVERSÃO]])</f>
        <v>Macapá/APBFI</v>
      </c>
      <c r="DU43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Superiores</v>
      </c>
      <c r="DV43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43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16</v>
      </c>
      <c r="DX439" s="1" t="str">
        <f>_xlfn.XLOOKUP(OfficeForms.Table[[#This Row],[CHAVE LINK POLO]],'[1]Quadro Geral de Lotação'!$B:$B,'[1]Quadro Geral de Lotação'!$I:$I)</f>
        <v>-</v>
      </c>
      <c r="DY439" s="1" t="str">
        <f>OfficeForms.Table[[#This Row],[Selecione a Ordem de Disciplina]]</f>
        <v>Ordem 2</v>
      </c>
    </row>
    <row r="440" spans="1:129" ht="34.15" customHeight="1">
      <c r="A440" s="1">
        <v>440</v>
      </c>
      <c r="B440" s="2">
        <v>46105.049004629604</v>
      </c>
      <c r="C440" s="2">
        <v>46105.057662036997</v>
      </c>
      <c r="D440" s="3" t="s">
        <v>1417</v>
      </c>
      <c r="E440" s="3" t="s">
        <v>1418</v>
      </c>
      <c r="G440" s="3"/>
      <c r="I440" s="3" t="s">
        <v>1419</v>
      </c>
      <c r="K440" s="3"/>
      <c r="L440" s="1" t="s">
        <v>678</v>
      </c>
      <c r="O440" s="3" t="s">
        <v>133</v>
      </c>
      <c r="Q440" s="3"/>
      <c r="R440" s="3"/>
      <c r="T440" s="3"/>
      <c r="U440" s="5"/>
      <c r="W440" s="3"/>
      <c r="Z440" s="3"/>
      <c r="AA440" s="3"/>
      <c r="AC440" s="3"/>
      <c r="AD440" s="3"/>
      <c r="AF440" s="3"/>
      <c r="AG440" s="3"/>
      <c r="AI440" s="3"/>
      <c r="AJ440" s="1"/>
      <c r="AL440" s="3"/>
      <c r="AO440" s="3"/>
      <c r="AP440" s="3"/>
      <c r="AR440" s="3"/>
      <c r="AS440" s="3"/>
      <c r="AU440" s="3"/>
      <c r="AV440" s="3" t="s">
        <v>1375</v>
      </c>
      <c r="AX440" s="3"/>
      <c r="AY440" s="5">
        <v>46101</v>
      </c>
      <c r="BA440" s="3"/>
      <c r="BB440" s="1">
        <v>11</v>
      </c>
      <c r="BD440" s="3"/>
      <c r="BE440" s="3" t="s">
        <v>1422</v>
      </c>
      <c r="BG440" s="3"/>
      <c r="BH440" s="3" t="s">
        <v>1423</v>
      </c>
      <c r="BJ440" s="3"/>
      <c r="BK440" s="3"/>
      <c r="BM440" s="3"/>
      <c r="BN440" s="5"/>
      <c r="BP440" s="3"/>
      <c r="BS440" s="3"/>
      <c r="BT440" s="3"/>
      <c r="BV440" s="3"/>
      <c r="BW440" s="3"/>
      <c r="BY440" s="3"/>
      <c r="BZ440" s="3"/>
      <c r="CB440" s="3"/>
      <c r="CC440" s="5"/>
      <c r="CE440" s="3"/>
      <c r="CH440" s="3"/>
      <c r="CI440" s="3"/>
      <c r="CK440" s="3"/>
      <c r="CL440" s="3"/>
      <c r="CN440" s="3"/>
      <c r="CO440" s="3"/>
      <c r="CQ440" s="3"/>
      <c r="CR440" s="5"/>
      <c r="CT440" s="3"/>
      <c r="CW440" s="3"/>
      <c r="CX440" s="3"/>
      <c r="CZ440" s="3"/>
      <c r="DA440" s="3"/>
      <c r="DC440" s="3"/>
      <c r="DD440" s="3"/>
      <c r="DF440" s="3"/>
      <c r="DG440" s="5"/>
      <c r="DI440" s="3"/>
      <c r="DL440" s="3"/>
      <c r="DM440" s="3"/>
      <c r="DO440" s="3"/>
      <c r="DP440" s="3"/>
      <c r="DR440" s="3"/>
      <c r="DS440" s="1" t="str">
        <f>_xlfn.XLOOKUP(OfficeForms.Table[[#This Row],[Selecione a Categoria do Laboratório desta atividade prática:]],Planilha1!A:A,Planilha1!B:B)</f>
        <v>BFI</v>
      </c>
      <c r="DT440" s="1" t="str">
        <f>CONCATENATE(OfficeForms.Table[[#This Row],[Selecione seu Polo Laboratório de Atividades Presenciais:]],OfficeForms.Table[[#This Row],[CHAVE CONVERSÃO]])</f>
        <v>Macapá/APBFI</v>
      </c>
      <c r="DU44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Superiores</v>
      </c>
      <c r="DV44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46101</v>
      </c>
      <c r="DW44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440" s="1" t="str">
        <f>_xlfn.XLOOKUP(OfficeForms.Table[[#This Row],[CHAVE LINK POLO]],'[1]Quadro Geral de Lotação'!$B:$B,'[1]Quadro Geral de Lotação'!$I:$I)</f>
        <v>-</v>
      </c>
      <c r="DY440" s="1" t="str">
        <f>OfficeForms.Table[[#This Row],[Selecione a Ordem de Disciplina]]</f>
        <v>Ordem 2</v>
      </c>
    </row>
    <row r="441" spans="1:129" ht="34.15" customHeight="1">
      <c r="A441" s="1">
        <v>441</v>
      </c>
      <c r="B441" s="2">
        <v>46105.057719907403</v>
      </c>
      <c r="C441" s="2">
        <v>46105.080891203703</v>
      </c>
      <c r="D441" s="3" t="s">
        <v>1417</v>
      </c>
      <c r="E441" s="3" t="s">
        <v>1418</v>
      </c>
      <c r="G441" s="3"/>
      <c r="I441" s="3" t="s">
        <v>1419</v>
      </c>
      <c r="K441" s="3"/>
      <c r="L441" s="1" t="s">
        <v>678</v>
      </c>
      <c r="O441" s="3" t="s">
        <v>133</v>
      </c>
      <c r="Q441" s="3"/>
      <c r="R441" s="3"/>
      <c r="T441" s="3"/>
      <c r="U441" s="5"/>
      <c r="W441" s="3"/>
      <c r="Z441" s="3"/>
      <c r="AA441" s="3"/>
      <c r="AC441" s="3"/>
      <c r="AD441" s="3"/>
      <c r="AF441" s="3"/>
      <c r="AG441" s="3"/>
      <c r="AI441" s="3"/>
      <c r="AJ441" s="1"/>
      <c r="AL441" s="3"/>
      <c r="AO441" s="3"/>
      <c r="AP441" s="3"/>
      <c r="AR441" s="3"/>
      <c r="AS441" s="3"/>
      <c r="AU441" s="3"/>
      <c r="AV441" s="3" t="s">
        <v>150</v>
      </c>
      <c r="AX441" s="3"/>
      <c r="AY441" s="5">
        <v>46066</v>
      </c>
      <c r="BA441" s="3"/>
      <c r="BB441" s="1">
        <v>18</v>
      </c>
      <c r="BD441" s="3"/>
      <c r="BE441" s="3" t="s">
        <v>1424</v>
      </c>
      <c r="BG441" s="3"/>
      <c r="BH441" s="3" t="s">
        <v>1425</v>
      </c>
      <c r="BJ441" s="3"/>
      <c r="BK441" s="3"/>
      <c r="BM441" s="3"/>
      <c r="BN441" s="5"/>
      <c r="BP441" s="3"/>
      <c r="BS441" s="3"/>
      <c r="BT441" s="3"/>
      <c r="BV441" s="3"/>
      <c r="BW441" s="3"/>
      <c r="BY441" s="3"/>
      <c r="BZ441" s="3"/>
      <c r="CB441" s="3"/>
      <c r="CC441" s="5"/>
      <c r="CE441" s="3"/>
      <c r="CH441" s="3"/>
      <c r="CI441" s="3"/>
      <c r="CK441" s="3"/>
      <c r="CL441" s="3"/>
      <c r="CN441" s="3"/>
      <c r="CO441" s="3"/>
      <c r="CQ441" s="3"/>
      <c r="CR441" s="5"/>
      <c r="CT441" s="3"/>
      <c r="CW441" s="3"/>
      <c r="CX441" s="3"/>
      <c r="CZ441" s="3"/>
      <c r="DA441" s="3"/>
      <c r="DC441" s="3"/>
      <c r="DD441" s="3"/>
      <c r="DF441" s="3"/>
      <c r="DG441" s="5"/>
      <c r="DI441" s="3"/>
      <c r="DL441" s="3"/>
      <c r="DM441" s="3"/>
      <c r="DO441" s="3"/>
      <c r="DP441" s="3"/>
      <c r="DR441" s="3"/>
      <c r="DS441" s="1" t="str">
        <f>_xlfn.XLOOKUP(OfficeForms.Table[[#This Row],[Selecione a Categoria do Laboratório desta atividade prática:]],Planilha1!A:A,Planilha1!B:B)</f>
        <v>BFI</v>
      </c>
      <c r="DT441" s="1" t="str">
        <f>CONCATENATE(OfficeForms.Table[[#This Row],[Selecione seu Polo Laboratório de Atividades Presenciais:]],OfficeForms.Table[[#This Row],[CHAVE CONVERSÃO]])</f>
        <v>Macapá/APBFI</v>
      </c>
      <c r="DU44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Pontos cardeais</v>
      </c>
      <c r="DV44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46066</v>
      </c>
      <c r="DW44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18</v>
      </c>
      <c r="DX441" s="1" t="str">
        <f>_xlfn.XLOOKUP(OfficeForms.Table[[#This Row],[CHAVE LINK POLO]],'[1]Quadro Geral de Lotação'!$B:$B,'[1]Quadro Geral de Lotação'!$I:$I)</f>
        <v>-</v>
      </c>
      <c r="DY441" s="1" t="str">
        <f>OfficeForms.Table[[#This Row],[Selecione a Ordem de Disciplina]]</f>
        <v>Ordem 2</v>
      </c>
    </row>
    <row r="442" spans="1:129" ht="34.15" customHeight="1">
      <c r="A442" s="1">
        <v>442</v>
      </c>
      <c r="B442" s="2">
        <v>46105.3196412037</v>
      </c>
      <c r="C442" s="2">
        <v>46105.322546296302</v>
      </c>
      <c r="D442" s="3" t="s">
        <v>543</v>
      </c>
      <c r="E442" s="3" t="s">
        <v>544</v>
      </c>
      <c r="G442" s="3"/>
      <c r="I442" s="3" t="s">
        <v>545</v>
      </c>
      <c r="K442" s="3"/>
      <c r="L442" s="1" t="s">
        <v>678</v>
      </c>
      <c r="O442" s="3" t="s">
        <v>140</v>
      </c>
      <c r="Q442" s="3"/>
      <c r="R442" s="3"/>
      <c r="T442" s="3"/>
      <c r="U442" s="5"/>
      <c r="W442" s="3"/>
      <c r="Z442" s="3"/>
      <c r="AA442" s="3"/>
      <c r="AC442" s="3"/>
      <c r="AD442" s="3"/>
      <c r="AF442" s="3"/>
      <c r="AG442" s="3"/>
      <c r="AI442" s="3"/>
      <c r="AJ442" s="1"/>
      <c r="AL442" s="3"/>
      <c r="AO442" s="3"/>
      <c r="AP442" s="3"/>
      <c r="AR442" s="3"/>
      <c r="AS442" s="3"/>
      <c r="AU442" s="3"/>
      <c r="AV442" s="3"/>
      <c r="AX442" s="3"/>
      <c r="AY442" s="5"/>
      <c r="BA442" s="3"/>
      <c r="BD442" s="3"/>
      <c r="BE442" s="3"/>
      <c r="BG442" s="3"/>
      <c r="BH442" s="3"/>
      <c r="BJ442" s="3"/>
      <c r="BK442" s="3"/>
      <c r="BM442" s="3"/>
      <c r="BN442" s="5"/>
      <c r="BP442" s="3"/>
      <c r="BS442" s="3"/>
      <c r="BT442" s="3"/>
      <c r="BV442" s="3"/>
      <c r="BW442" s="3"/>
      <c r="BY442" s="3"/>
      <c r="BZ442" s="3" t="s">
        <v>1426</v>
      </c>
      <c r="CB442" s="3"/>
      <c r="CC442" s="5">
        <v>46104</v>
      </c>
      <c r="CE442" s="3"/>
      <c r="CF442" s="1">
        <v>1</v>
      </c>
      <c r="CH442" s="3"/>
      <c r="CI442" s="3" t="s">
        <v>1427</v>
      </c>
      <c r="CK442" s="3"/>
      <c r="CL442" s="3" t="s">
        <v>1428</v>
      </c>
      <c r="CN442" s="3"/>
      <c r="CO442" s="3"/>
      <c r="CQ442" s="3"/>
      <c r="CR442" s="5"/>
      <c r="CT442" s="3"/>
      <c r="CW442" s="3"/>
      <c r="CX442" s="3"/>
      <c r="CZ442" s="3"/>
      <c r="DA442" s="3"/>
      <c r="DC442" s="3"/>
      <c r="DD442" s="3"/>
      <c r="DF442" s="3"/>
      <c r="DG442" s="5"/>
      <c r="DI442" s="3"/>
      <c r="DL442" s="3"/>
      <c r="DM442" s="3"/>
      <c r="DO442" s="3"/>
      <c r="DP442" s="3"/>
      <c r="DR442" s="3"/>
      <c r="DS442" s="1" t="str">
        <f>_xlfn.XLOOKUP(OfficeForms.Table[[#This Row],[Selecione a Categoria do Laboratório desta atividade prática:]],Planilha1!A:A,Planilha1!B:B)</f>
        <v>ECE-ENM-ENS-ENG-EEA-GPI-CDE-OBR-SAN-TER-FSA-SLF-QUI</v>
      </c>
      <c r="DT442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44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Condições de equilíbrio de um corpo rígido</v>
      </c>
      <c r="DV44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44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42" s="1" t="e">
        <f>_xlfn.XLOOKUP(OfficeForms.Table[[#This Row],[CHAVE LINK POLO]],'[1]Quadro Geral de Lotação'!$B:$B,'[1]Quadro Geral de Lotação'!$I:$I)</f>
        <v>#N/A</v>
      </c>
      <c r="DY442" s="1" t="str">
        <f>OfficeForms.Table[[#This Row],[Selecione a Ordem de Disciplina]]</f>
        <v>Ordem 2</v>
      </c>
    </row>
    <row r="443" spans="1:129" ht="34.15" customHeight="1">
      <c r="A443" s="1">
        <v>443</v>
      </c>
      <c r="B443" s="2">
        <v>46105.4938541667</v>
      </c>
      <c r="C443" s="2">
        <v>46105.494837963</v>
      </c>
      <c r="D443" s="3" t="s">
        <v>197</v>
      </c>
      <c r="E443" s="3" t="s">
        <v>198</v>
      </c>
      <c r="G443" s="3"/>
      <c r="I443" s="3" t="s">
        <v>199</v>
      </c>
      <c r="K443" s="3"/>
      <c r="L443" s="1" t="s">
        <v>678</v>
      </c>
      <c r="O443" s="3" t="s">
        <v>177</v>
      </c>
      <c r="Q443" s="3"/>
      <c r="R443" s="3"/>
      <c r="T443" s="3"/>
      <c r="U443" s="5"/>
      <c r="W443" s="3"/>
      <c r="Z443" s="3"/>
      <c r="AA443" s="3"/>
      <c r="AC443" s="3"/>
      <c r="AD443" s="3"/>
      <c r="AF443" s="3"/>
      <c r="AG443" s="3"/>
      <c r="AI443" s="3"/>
      <c r="AJ443" s="1"/>
      <c r="AL443" s="3"/>
      <c r="AO443" s="3"/>
      <c r="AP443" s="3"/>
      <c r="AR443" s="3"/>
      <c r="AS443" s="3"/>
      <c r="AU443" s="3"/>
      <c r="AV443" s="3"/>
      <c r="AX443" s="3"/>
      <c r="AY443" s="5"/>
      <c r="BA443" s="3"/>
      <c r="BD443" s="3"/>
      <c r="BE443" s="3"/>
      <c r="BG443" s="3"/>
      <c r="BH443" s="3"/>
      <c r="BJ443" s="3"/>
      <c r="BK443" s="3"/>
      <c r="BM443" s="3"/>
      <c r="BN443" s="5"/>
      <c r="BP443" s="3"/>
      <c r="BS443" s="3"/>
      <c r="BT443" s="3"/>
      <c r="BV443" s="3"/>
      <c r="BW443" s="3"/>
      <c r="BY443" s="3"/>
      <c r="BZ443" s="3"/>
      <c r="CB443" s="3"/>
      <c r="CC443" s="5"/>
      <c r="CE443" s="3"/>
      <c r="CH443" s="3"/>
      <c r="CI443" s="3"/>
      <c r="CK443" s="3"/>
      <c r="CL443" s="3"/>
      <c r="CN443" s="3"/>
      <c r="CO443" s="3"/>
      <c r="CQ443" s="3"/>
      <c r="CR443" s="5"/>
      <c r="CT443" s="3"/>
      <c r="CW443" s="3"/>
      <c r="CX443" s="3"/>
      <c r="CZ443" s="3"/>
      <c r="DA443" s="3"/>
      <c r="DC443" s="3"/>
      <c r="DD443" s="3" t="s">
        <v>1160</v>
      </c>
      <c r="DF443" s="3"/>
      <c r="DG443" s="5">
        <v>46102</v>
      </c>
      <c r="DI443" s="3"/>
      <c r="DJ443" s="1">
        <v>0</v>
      </c>
      <c r="DL443" s="3"/>
      <c r="DM443" s="3" t="s">
        <v>1429</v>
      </c>
      <c r="DO443" s="3"/>
      <c r="DP443" s="3" t="s">
        <v>1430</v>
      </c>
      <c r="DR443" s="3"/>
      <c r="DS443" s="1" t="str">
        <f>_xlfn.XLOOKUP(OfficeForms.Table[[#This Row],[Selecione a Categoria do Laboratório desta atividade prática:]],Planilha1!A:A,Planilha1!B:B)</f>
        <v>AGM</v>
      </c>
      <c r="DT443" s="1" t="str">
        <f>CONCATENATE(OfficeForms.Table[[#This Row],[Selecione seu Polo Laboratório de Atividades Presenciais:]],OfficeForms.Table[[#This Row],[CHAVE CONVERSÃO]])</f>
        <v>Alagoinhas/BAAGM</v>
      </c>
      <c r="DU44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Identificação de plantas daninhas de interesse agronômico</v>
      </c>
      <c r="DV44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44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43" s="1" t="str">
        <f>_xlfn.XLOOKUP(OfficeForms.Table[[#This Row],[CHAVE LINK POLO]],'[1]Quadro Geral de Lotação'!$B:$B,'[1]Quadro Geral de Lotação'!$I:$I)</f>
        <v>Vitor Batista Pinheiro</v>
      </c>
      <c r="DY443" s="1" t="str">
        <f>OfficeForms.Table[[#This Row],[Selecione a Ordem de Disciplina]]</f>
        <v>Ordem 2</v>
      </c>
    </row>
    <row r="444" spans="1:129" ht="34.15" customHeight="1">
      <c r="A444" s="1">
        <v>444</v>
      </c>
      <c r="B444" s="2">
        <v>46105.5245601852</v>
      </c>
      <c r="C444" s="2">
        <v>46105.526967592603</v>
      </c>
      <c r="D444" s="3" t="s">
        <v>1431</v>
      </c>
      <c r="E444" s="3" t="s">
        <v>1432</v>
      </c>
      <c r="G444" s="3"/>
      <c r="I444" s="3" t="s">
        <v>825</v>
      </c>
      <c r="K444" s="3"/>
      <c r="L444" s="1" t="s">
        <v>678</v>
      </c>
      <c r="O444" s="3" t="s">
        <v>177</v>
      </c>
      <c r="Q444" s="3"/>
      <c r="R444" s="3"/>
      <c r="T444" s="3"/>
      <c r="U444" s="5"/>
      <c r="W444" s="3"/>
      <c r="Z444" s="3"/>
      <c r="AA444" s="3"/>
      <c r="AC444" s="3"/>
      <c r="AD444" s="3"/>
      <c r="AF444" s="3"/>
      <c r="AG444" s="3"/>
      <c r="AI444" s="3"/>
      <c r="AJ444" s="1"/>
      <c r="AL444" s="3"/>
      <c r="AO444" s="3"/>
      <c r="AP444" s="3"/>
      <c r="AR444" s="3"/>
      <c r="AS444" s="3"/>
      <c r="AU444" s="3"/>
      <c r="AV444" s="3"/>
      <c r="AX444" s="3"/>
      <c r="AY444" s="5"/>
      <c r="BA444" s="3"/>
      <c r="BD444" s="3"/>
      <c r="BE444" s="3"/>
      <c r="BG444" s="3"/>
      <c r="BH444" s="3"/>
      <c r="BJ444" s="3"/>
      <c r="BK444" s="3"/>
      <c r="BM444" s="3"/>
      <c r="BN444" s="5"/>
      <c r="BP444" s="3"/>
      <c r="BS444" s="3"/>
      <c r="BT444" s="3"/>
      <c r="BV444" s="3"/>
      <c r="BW444" s="3"/>
      <c r="BY444" s="3"/>
      <c r="BZ444" s="3"/>
      <c r="CB444" s="3"/>
      <c r="CC444" s="5"/>
      <c r="CE444" s="3"/>
      <c r="CH444" s="3"/>
      <c r="CI444" s="3"/>
      <c r="CK444" s="3"/>
      <c r="CL444" s="3"/>
      <c r="CN444" s="3"/>
      <c r="CO444" s="3"/>
      <c r="CQ444" s="3"/>
      <c r="CR444" s="5"/>
      <c r="CT444" s="3"/>
      <c r="CW444" s="3"/>
      <c r="CX444" s="3"/>
      <c r="CZ444" s="3"/>
      <c r="DA444" s="3"/>
      <c r="DC444" s="3"/>
      <c r="DD444" s="3" t="s">
        <v>1433</v>
      </c>
      <c r="DF444" s="3"/>
      <c r="DG444" s="5">
        <v>46088</v>
      </c>
      <c r="DI444" s="3"/>
      <c r="DJ444" s="1">
        <v>7</v>
      </c>
      <c r="DL444" s="3"/>
      <c r="DM444" s="3" t="s">
        <v>1434</v>
      </c>
      <c r="DO444" s="3"/>
      <c r="DP444" s="3" t="s">
        <v>1435</v>
      </c>
      <c r="DR444" s="3"/>
      <c r="DS444" s="1" t="str">
        <f>_xlfn.XLOOKUP(OfficeForms.Table[[#This Row],[Selecione a Categoria do Laboratório desta atividade prática:]],Planilha1!A:A,Planilha1!B:B)</f>
        <v>AGM</v>
      </c>
      <c r="DT444" s="1" t="str">
        <f>CONCATENATE(OfficeForms.Table[[#This Row],[Selecione seu Polo Laboratório de Atividades Presenciais:]],OfficeForms.Table[[#This Row],[CHAVE CONVERSÃO]])</f>
        <v>Manaus/AM - Cidade NovaAGM</v>
      </c>
      <c r="DU44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de Dados experimentais através de software estatístico;Técnicas de propagação de plantas</v>
      </c>
      <c r="DV44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46088</v>
      </c>
      <c r="DW44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444" s="1" t="str">
        <f>_xlfn.XLOOKUP(OfficeForms.Table[[#This Row],[CHAVE LINK POLO]],'[1]Quadro Geral de Lotação'!$B:$B,'[1]Quadro Geral de Lotação'!$I:$I)</f>
        <v>Mauro Da Silva Alves</v>
      </c>
      <c r="DY444" s="1" t="str">
        <f>OfficeForms.Table[[#This Row],[Selecione a Ordem de Disciplina]]</f>
        <v>Ordem 2</v>
      </c>
    </row>
    <row r="445" spans="1:129" ht="34.15" customHeight="1">
      <c r="A445" s="1">
        <v>445</v>
      </c>
      <c r="B445" s="2">
        <v>46105.610428240703</v>
      </c>
      <c r="C445" s="2">
        <v>46105.617615740703</v>
      </c>
      <c r="D445" s="3" t="s">
        <v>344</v>
      </c>
      <c r="E445" s="3" t="s">
        <v>345</v>
      </c>
      <c r="G445" s="3"/>
      <c r="I445" s="3" t="s">
        <v>346</v>
      </c>
      <c r="K445" s="3"/>
      <c r="L445" s="1" t="s">
        <v>678</v>
      </c>
      <c r="O445" s="3" t="s">
        <v>133</v>
      </c>
      <c r="Q445" s="3"/>
      <c r="R445" s="3"/>
      <c r="T445" s="3"/>
      <c r="U445" s="5"/>
      <c r="W445" s="3"/>
      <c r="Z445" s="3"/>
      <c r="AA445" s="3"/>
      <c r="AC445" s="3"/>
      <c r="AD445" s="3"/>
      <c r="AF445" s="3"/>
      <c r="AG445" s="3"/>
      <c r="AI445" s="3"/>
      <c r="AJ445" s="1"/>
      <c r="AL445" s="3"/>
      <c r="AO445" s="3"/>
      <c r="AP445" s="3"/>
      <c r="AR445" s="3"/>
      <c r="AS445" s="3"/>
      <c r="AU445" s="3"/>
      <c r="AV445" s="3" t="s">
        <v>1436</v>
      </c>
      <c r="AX445" s="3"/>
      <c r="AY445" s="5">
        <v>46097</v>
      </c>
      <c r="BA445" s="3"/>
      <c r="BB445" s="1">
        <v>23</v>
      </c>
      <c r="BD445" s="3"/>
      <c r="BE445" s="3" t="s">
        <v>1437</v>
      </c>
      <c r="BG445" s="3"/>
      <c r="BH445" s="3" t="s">
        <v>1438</v>
      </c>
      <c r="BJ445" s="3"/>
      <c r="BK445" s="3"/>
      <c r="BM445" s="3"/>
      <c r="BN445" s="5"/>
      <c r="BP445" s="3"/>
      <c r="BS445" s="3"/>
      <c r="BT445" s="3"/>
      <c r="BV445" s="3"/>
      <c r="BW445" s="3"/>
      <c r="BY445" s="3"/>
      <c r="BZ445" s="3"/>
      <c r="CB445" s="3"/>
      <c r="CC445" s="5"/>
      <c r="CE445" s="3"/>
      <c r="CH445" s="3"/>
      <c r="CI445" s="3"/>
      <c r="CK445" s="3"/>
      <c r="CL445" s="3"/>
      <c r="CN445" s="3"/>
      <c r="CO445" s="3"/>
      <c r="CQ445" s="3"/>
      <c r="CR445" s="5"/>
      <c r="CT445" s="3"/>
      <c r="CW445" s="3"/>
      <c r="CX445" s="3"/>
      <c r="CZ445" s="3"/>
      <c r="DA445" s="3"/>
      <c r="DC445" s="3"/>
      <c r="DD445" s="3"/>
      <c r="DF445" s="3"/>
      <c r="DG445" s="5"/>
      <c r="DI445" s="3"/>
      <c r="DL445" s="3"/>
      <c r="DM445" s="3"/>
      <c r="DO445" s="3"/>
      <c r="DP445" s="3"/>
      <c r="DR445" s="3"/>
      <c r="DS445" s="1" t="str">
        <f>_xlfn.XLOOKUP(OfficeForms.Table[[#This Row],[Selecione a Categoria do Laboratório desta atividade prática:]],Planilha1!A:A,Planilha1!B:B)</f>
        <v>BFI</v>
      </c>
      <c r="DT445" s="1" t="str">
        <f>CONCATENATE(OfficeForms.Table[[#This Row],[Selecione seu Polo Laboratório de Atividades Presenciais:]],OfficeForms.Table[[#This Row],[CHAVE CONVERSÃO]])</f>
        <v>Boa Viagem/CEBFI</v>
      </c>
      <c r="DU44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Cardiorrespiratória com Testes Incrementais: Protocolos e Interpretação dos Resultados</v>
      </c>
      <c r="DV44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44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23</v>
      </c>
      <c r="DX445" s="1" t="str">
        <f>_xlfn.XLOOKUP(OfficeForms.Table[[#This Row],[CHAVE LINK POLO]],'[1]Quadro Geral de Lotação'!$B:$B,'[1]Quadro Geral de Lotação'!$I:$I)</f>
        <v>Airton Souza Farias</v>
      </c>
      <c r="DY445" s="1" t="str">
        <f>OfficeForms.Table[[#This Row],[Selecione a Ordem de Disciplina]]</f>
        <v>Ordem 2</v>
      </c>
    </row>
    <row r="446" spans="1:129" ht="34.15" customHeight="1">
      <c r="A446" s="1">
        <v>446</v>
      </c>
      <c r="B446" s="2">
        <v>46105.6176851852</v>
      </c>
      <c r="C446" s="2">
        <v>46105.620092592602</v>
      </c>
      <c r="D446" s="3" t="s">
        <v>344</v>
      </c>
      <c r="E446" s="3" t="s">
        <v>345</v>
      </c>
      <c r="G446" s="3"/>
      <c r="I446" s="3" t="s">
        <v>346</v>
      </c>
      <c r="K446" s="3"/>
      <c r="L446" s="1" t="s">
        <v>678</v>
      </c>
      <c r="O446" s="3" t="s">
        <v>133</v>
      </c>
      <c r="Q446" s="3"/>
      <c r="R446" s="3"/>
      <c r="T446" s="3"/>
      <c r="U446" s="5"/>
      <c r="W446" s="3"/>
      <c r="Z446" s="3"/>
      <c r="AA446" s="3"/>
      <c r="AC446" s="3"/>
      <c r="AD446" s="3"/>
      <c r="AF446" s="3"/>
      <c r="AG446" s="3"/>
      <c r="AI446" s="3"/>
      <c r="AJ446" s="1"/>
      <c r="AL446" s="3"/>
      <c r="AO446" s="3"/>
      <c r="AP446" s="3"/>
      <c r="AR446" s="3"/>
      <c r="AS446" s="3"/>
      <c r="AU446" s="3"/>
      <c r="AV446" s="3" t="s">
        <v>1439</v>
      </c>
      <c r="AX446" s="3"/>
      <c r="AY446" s="5">
        <v>46104</v>
      </c>
      <c r="BA446" s="3"/>
      <c r="BB446" s="1">
        <v>16</v>
      </c>
      <c r="BD446" s="3"/>
      <c r="BE446" s="3" t="s">
        <v>1440</v>
      </c>
      <c r="BG446" s="3"/>
      <c r="BH446" s="3" t="s">
        <v>1441</v>
      </c>
      <c r="BJ446" s="3"/>
      <c r="BK446" s="3"/>
      <c r="BM446" s="3"/>
      <c r="BN446" s="5"/>
      <c r="BP446" s="3"/>
      <c r="BS446" s="3"/>
      <c r="BT446" s="3"/>
      <c r="BV446" s="3"/>
      <c r="BW446" s="3"/>
      <c r="BY446" s="3"/>
      <c r="BZ446" s="3"/>
      <c r="CB446" s="3"/>
      <c r="CC446" s="5"/>
      <c r="CE446" s="3"/>
      <c r="CH446" s="3"/>
      <c r="CI446" s="3"/>
      <c r="CK446" s="3"/>
      <c r="CL446" s="3"/>
      <c r="CN446" s="3"/>
      <c r="CO446" s="3"/>
      <c r="CQ446" s="3"/>
      <c r="CR446" s="5"/>
      <c r="CT446" s="3"/>
      <c r="CW446" s="3"/>
      <c r="CX446" s="3"/>
      <c r="CZ446" s="3"/>
      <c r="DA446" s="3"/>
      <c r="DC446" s="3"/>
      <c r="DD446" s="3"/>
      <c r="DF446" s="3"/>
      <c r="DG446" s="5"/>
      <c r="DI446" s="3"/>
      <c r="DL446" s="3"/>
      <c r="DM446" s="3"/>
      <c r="DO446" s="3"/>
      <c r="DP446" s="3"/>
      <c r="DR446" s="3"/>
      <c r="DS446" s="1" t="str">
        <f>_xlfn.XLOOKUP(OfficeForms.Table[[#This Row],[Selecione a Categoria do Laboratório desta atividade prática:]],Planilha1!A:A,Planilha1!B:B)</f>
        <v>BFI</v>
      </c>
      <c r="DT446" s="1" t="str">
        <f>CONCATENATE(OfficeForms.Table[[#This Row],[Selecione seu Polo Laboratório de Atividades Presenciais:]],OfficeForms.Table[[#This Row],[CHAVE CONVERSÃO]])</f>
        <v>Boa Viagem/CEBFI</v>
      </c>
      <c r="DU44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Semiológica Cardiorrespiratória: Métodos de Inspeção, Palpação e Ausculta no Diagnóstico Cardiovascular</v>
      </c>
      <c r="DV44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44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16</v>
      </c>
      <c r="DX446" s="1" t="str">
        <f>_xlfn.XLOOKUP(OfficeForms.Table[[#This Row],[CHAVE LINK POLO]],'[1]Quadro Geral de Lotação'!$B:$B,'[1]Quadro Geral de Lotação'!$I:$I)</f>
        <v>Airton Souza Farias</v>
      </c>
      <c r="DY446" s="1" t="str">
        <f>OfficeForms.Table[[#This Row],[Selecione a Ordem de Disciplina]]</f>
        <v>Ordem 2</v>
      </c>
    </row>
    <row r="447" spans="1:129" ht="34.15" customHeight="1">
      <c r="A447" s="1">
        <v>447</v>
      </c>
      <c r="B447" s="2">
        <v>46105.635462963</v>
      </c>
      <c r="C447" s="2">
        <v>46105.638715277797</v>
      </c>
      <c r="D447" s="3" t="s">
        <v>1442</v>
      </c>
      <c r="E447" s="3" t="s">
        <v>1443</v>
      </c>
      <c r="G447" s="3"/>
      <c r="I447" s="3" t="s">
        <v>396</v>
      </c>
      <c r="K447" s="3"/>
      <c r="L447" s="1" t="s">
        <v>678</v>
      </c>
      <c r="O447" s="3" t="s">
        <v>497</v>
      </c>
      <c r="Q447" s="3"/>
      <c r="R447" s="3" t="s">
        <v>1444</v>
      </c>
      <c r="T447" s="3"/>
      <c r="U447" s="5">
        <v>46092</v>
      </c>
      <c r="W447" s="3"/>
      <c r="X447" s="1">
        <v>0</v>
      </c>
      <c r="Z447" s="3"/>
      <c r="AA447" s="3" t="s">
        <v>1445</v>
      </c>
      <c r="AC447" s="3"/>
      <c r="AD447" s="3" t="s">
        <v>1446</v>
      </c>
      <c r="AF447" s="3"/>
      <c r="AG447" s="3"/>
      <c r="AI447" s="3"/>
      <c r="AJ447" s="1"/>
      <c r="AL447" s="3"/>
      <c r="AO447" s="3"/>
      <c r="AP447" s="3"/>
      <c r="AR447" s="3"/>
      <c r="AS447" s="3"/>
      <c r="AU447" s="3"/>
      <c r="AV447" s="3"/>
      <c r="AX447" s="3"/>
      <c r="AY447" s="5"/>
      <c r="BA447" s="3"/>
      <c r="BD447" s="3"/>
      <c r="BE447" s="3"/>
      <c r="BG447" s="3"/>
      <c r="BH447" s="3"/>
      <c r="BJ447" s="3"/>
      <c r="BK447" s="3"/>
      <c r="BM447" s="3"/>
      <c r="BN447" s="5"/>
      <c r="BP447" s="3"/>
      <c r="BS447" s="3"/>
      <c r="BT447" s="3"/>
      <c r="BV447" s="3"/>
      <c r="BW447" s="3"/>
      <c r="BY447" s="3"/>
      <c r="BZ447" s="3"/>
      <c r="CB447" s="3"/>
      <c r="CC447" s="5"/>
      <c r="CE447" s="3"/>
      <c r="CH447" s="3"/>
      <c r="CI447" s="3"/>
      <c r="CK447" s="3"/>
      <c r="CL447" s="3"/>
      <c r="CN447" s="3"/>
      <c r="CO447" s="3"/>
      <c r="CQ447" s="3"/>
      <c r="CR447" s="5"/>
      <c r="CT447" s="3"/>
      <c r="CW447" s="3"/>
      <c r="CX447" s="3"/>
      <c r="CZ447" s="3"/>
      <c r="DA447" s="3"/>
      <c r="DC447" s="3"/>
      <c r="DD447" s="3"/>
      <c r="DF447" s="3"/>
      <c r="DG447" s="5"/>
      <c r="DI447" s="3"/>
      <c r="DL447" s="3"/>
      <c r="DM447" s="3"/>
      <c r="DO447" s="3"/>
      <c r="DP447" s="3"/>
      <c r="DR447" s="3"/>
      <c r="DS447" s="1" t="str">
        <f>_xlfn.XLOOKUP(OfficeForms.Table[[#This Row],[Selecione a Categoria do Laboratório desta atividade prática:]],Planilha1!A:A,Planilha1!B:B)</f>
        <v>BFR-BBI</v>
      </c>
      <c r="DT447" s="1" t="str">
        <f>CONCATENATE(OfficeForms.Table[[#This Row],[Selecione seu Polo Laboratório de Atividades Presenciais:]],OfficeForms.Table[[#This Row],[CHAVE CONVERSÃO]])</f>
        <v>Blumenau/SC - Salto Do Norte (Centro Universitário Dante)BFR-BBI</v>
      </c>
      <c r="DU44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à fresco (exame direto) de fungos dermatófitos e leveduras;Desenvolvendo um Xampu;Desenvolvimento do Creme Lanette N + Xarope simples e composto;Análise macro e micromorfológica de fungos leveduriformes;Esfregaço e coloração de GRAM;Esfregaço sanguíneo e colorações  (contagem diferencial de leucócitos);Identificação de estreptococos;Preparo de meio de cultura I;Preparo de meio de cultura II;Técnicas de inoculação</v>
      </c>
      <c r="DV44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44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47" s="1" t="e">
        <f>_xlfn.XLOOKUP(OfficeForms.Table[[#This Row],[CHAVE LINK POLO]],'[1]Quadro Geral de Lotação'!$B:$B,'[1]Quadro Geral de Lotação'!$I:$I)</f>
        <v>#N/A</v>
      </c>
      <c r="DY447" s="1" t="str">
        <f>OfficeForms.Table[[#This Row],[Selecione a Ordem de Disciplina]]</f>
        <v>Ordem 2</v>
      </c>
    </row>
    <row r="448" spans="1:129" ht="34.15" customHeight="1">
      <c r="A448" s="1">
        <v>448</v>
      </c>
      <c r="B448" s="2">
        <v>46105.690671296303</v>
      </c>
      <c r="C448" s="2">
        <v>46105.700532407398</v>
      </c>
      <c r="D448" s="3" t="s">
        <v>352</v>
      </c>
      <c r="E448" s="3" t="s">
        <v>353</v>
      </c>
      <c r="G448" s="3"/>
      <c r="I448" s="3" t="s">
        <v>354</v>
      </c>
      <c r="K448" s="3"/>
      <c r="L448" s="1" t="s">
        <v>678</v>
      </c>
      <c r="O448" s="3" t="s">
        <v>184</v>
      </c>
      <c r="Q448" s="3"/>
      <c r="R448" s="3"/>
      <c r="T448" s="3"/>
      <c r="U448" s="5"/>
      <c r="W448" s="3"/>
      <c r="Z448" s="3"/>
      <c r="AA448" s="3"/>
      <c r="AC448" s="3"/>
      <c r="AD448" s="3"/>
      <c r="AF448" s="3"/>
      <c r="AG448" s="3" t="s">
        <v>1200</v>
      </c>
      <c r="AI448" s="3"/>
      <c r="AJ448" s="1">
        <v>46104</v>
      </c>
      <c r="AL448" s="3"/>
      <c r="AM448" s="1">
        <v>2</v>
      </c>
      <c r="AO448" s="3"/>
      <c r="AP448" s="3" t="s">
        <v>1447</v>
      </c>
      <c r="AR448" s="3"/>
      <c r="AS448" s="3" t="s">
        <v>1448</v>
      </c>
      <c r="AU448" s="3"/>
      <c r="AV448" s="3"/>
      <c r="AX448" s="3"/>
      <c r="AY448" s="5"/>
      <c r="BA448" s="3"/>
      <c r="BD448" s="3"/>
      <c r="BE448" s="3"/>
      <c r="BG448" s="3"/>
      <c r="BH448" s="3"/>
      <c r="BJ448" s="3"/>
      <c r="BK448" s="3"/>
      <c r="BM448" s="3"/>
      <c r="BN448" s="5"/>
      <c r="BP448" s="3"/>
      <c r="BS448" s="3"/>
      <c r="BT448" s="3"/>
      <c r="BV448" s="3"/>
      <c r="BW448" s="3"/>
      <c r="BY448" s="3"/>
      <c r="BZ448" s="3"/>
      <c r="CB448" s="3"/>
      <c r="CC448" s="5"/>
      <c r="CE448" s="3"/>
      <c r="CH448" s="3"/>
      <c r="CI448" s="3"/>
      <c r="CK448" s="3"/>
      <c r="CL448" s="3"/>
      <c r="CN448" s="3"/>
      <c r="CO448" s="3"/>
      <c r="CQ448" s="3"/>
      <c r="CR448" s="5"/>
      <c r="CT448" s="3"/>
      <c r="CW448" s="3"/>
      <c r="CX448" s="3"/>
      <c r="CZ448" s="3"/>
      <c r="DA448" s="3"/>
      <c r="DC448" s="3"/>
      <c r="DD448" s="3"/>
      <c r="DF448" s="3"/>
      <c r="DG448" s="5"/>
      <c r="DI448" s="3"/>
      <c r="DL448" s="3"/>
      <c r="DM448" s="3"/>
      <c r="DO448" s="3"/>
      <c r="DP448" s="3"/>
      <c r="DR448" s="3"/>
      <c r="DS448" s="1" t="str">
        <f>_xlfn.XLOOKUP(OfficeForms.Table[[#This Row],[Selecione a Categoria do Laboratório desta atividade prática:]],Planilha1!A:A,Planilha1!B:B)</f>
        <v>EMF-ISN</v>
      </c>
      <c r="DT448" s="1" t="str">
        <f>CONCATENATE(OfficeForms.Table[[#This Row],[Selecione seu Polo Laboratório de Atividades Presenciais:]],OfficeForms.Table[[#This Row],[CHAVE CONVERSÃO]])</f>
        <v>São Gonçalo/RJ - Partage ShoppingEMF-ISN</v>
      </c>
      <c r="DU44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44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44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48" s="1" t="str">
        <f>_xlfn.XLOOKUP(OfficeForms.Table[[#This Row],[CHAVE LINK POLO]],'[1]Quadro Geral de Lotação'!$B:$B,'[1]Quadro Geral de Lotação'!$I:$I)</f>
        <v>William Da Silva Coimbra</v>
      </c>
      <c r="DY448" s="1" t="str">
        <f>OfficeForms.Table[[#This Row],[Selecione a Ordem de Disciplina]]</f>
        <v>Ordem 2</v>
      </c>
    </row>
    <row r="449" spans="1:129" ht="34.15" customHeight="1">
      <c r="A449" s="1">
        <v>449</v>
      </c>
      <c r="B449" s="2">
        <v>46105.719687500001</v>
      </c>
      <c r="C449" s="2">
        <v>46105.720925925903</v>
      </c>
      <c r="D449" s="3" t="s">
        <v>1258</v>
      </c>
      <c r="E449" s="3" t="s">
        <v>1259</v>
      </c>
      <c r="G449" s="3"/>
      <c r="I449" s="3" t="s">
        <v>275</v>
      </c>
      <c r="K449" s="3"/>
      <c r="L449" s="1" t="s">
        <v>678</v>
      </c>
      <c r="O449" s="3" t="s">
        <v>156</v>
      </c>
      <c r="Q449" s="3"/>
      <c r="R449" s="3"/>
      <c r="T449" s="3"/>
      <c r="U449" s="5"/>
      <c r="W449" s="3"/>
      <c r="Z449" s="3"/>
      <c r="AA449" s="3"/>
      <c r="AC449" s="3"/>
      <c r="AD449" s="3"/>
      <c r="AF449" s="3"/>
      <c r="AG449" s="3"/>
      <c r="AI449" s="3"/>
      <c r="AJ449" s="1"/>
      <c r="AL449" s="3"/>
      <c r="AO449" s="3"/>
      <c r="AP449" s="3"/>
      <c r="AR449" s="3"/>
      <c r="AS449" s="3"/>
      <c r="AU449" s="3"/>
      <c r="AV449" s="3"/>
      <c r="AX449" s="3"/>
      <c r="AY449" s="5"/>
      <c r="BA449" s="3"/>
      <c r="BD449" s="3"/>
      <c r="BE449" s="3"/>
      <c r="BG449" s="3"/>
      <c r="BH449" s="3"/>
      <c r="BJ449" s="3"/>
      <c r="BK449" s="3" t="s">
        <v>1240</v>
      </c>
      <c r="BM449" s="3"/>
      <c r="BN449" s="5">
        <v>46098</v>
      </c>
      <c r="BP449" s="3"/>
      <c r="BQ449" s="1">
        <v>5</v>
      </c>
      <c r="BS449" s="3"/>
      <c r="BT449" s="3" t="s">
        <v>1449</v>
      </c>
      <c r="BV449" s="3"/>
      <c r="BW449" s="3" t="s">
        <v>1450</v>
      </c>
      <c r="BY449" s="3"/>
      <c r="BZ449" s="3"/>
      <c r="CB449" s="3"/>
      <c r="CC449" s="5"/>
      <c r="CE449" s="3"/>
      <c r="CH449" s="3"/>
      <c r="CI449" s="3"/>
      <c r="CK449" s="3"/>
      <c r="CL449" s="3"/>
      <c r="CN449" s="3"/>
      <c r="CO449" s="3"/>
      <c r="CQ449" s="3"/>
      <c r="CR449" s="5"/>
      <c r="CT449" s="3"/>
      <c r="CW449" s="3"/>
      <c r="CX449" s="3"/>
      <c r="CZ449" s="3"/>
      <c r="DA449" s="3"/>
      <c r="DC449" s="3"/>
      <c r="DD449" s="3"/>
      <c r="DF449" s="3"/>
      <c r="DG449" s="5"/>
      <c r="DI449" s="3"/>
      <c r="DL449" s="3"/>
      <c r="DM449" s="3"/>
      <c r="DO449" s="3"/>
      <c r="DP449" s="3"/>
      <c r="DR449" s="3"/>
      <c r="DS449" s="1" t="str">
        <f>_xlfn.XLOOKUP(OfficeForms.Table[[#This Row],[Selecione a Categoria do Laboratório desta atividade prática:]],Planilha1!A:A,Planilha1!B:B)</f>
        <v>NTR</v>
      </c>
      <c r="DT449" s="1" t="str">
        <f>CONCATENATE(OfficeForms.Table[[#This Row],[Selecione seu Polo Laboratório de Atividades Presenciais:]],OfficeForms.Table[[#This Row],[CHAVE CONVERSÃO]])</f>
        <v>Porto Alegre/RS - Zona NorteNTR</v>
      </c>
      <c r="DU44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44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44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449" s="1" t="str">
        <f>_xlfn.XLOOKUP(OfficeForms.Table[[#This Row],[CHAVE LINK POLO]],'[1]Quadro Geral de Lotação'!$B:$B,'[1]Quadro Geral de Lotação'!$I:$I)</f>
        <v>Janaina Pieruccini Pulgatti</v>
      </c>
      <c r="DY449" s="1" t="str">
        <f>OfficeForms.Table[[#This Row],[Selecione a Ordem de Disciplina]]</f>
        <v>Ordem 2</v>
      </c>
    </row>
    <row r="450" spans="1:129" ht="34.15" customHeight="1">
      <c r="A450" s="1">
        <v>450</v>
      </c>
      <c r="B450" s="2">
        <v>46105.721030092602</v>
      </c>
      <c r="C450" s="2">
        <v>46105.721898148098</v>
      </c>
      <c r="D450" s="3" t="s">
        <v>1258</v>
      </c>
      <c r="E450" s="3" t="s">
        <v>1259</v>
      </c>
      <c r="G450" s="3"/>
      <c r="I450" s="3" t="s">
        <v>275</v>
      </c>
      <c r="K450" s="3"/>
      <c r="L450" s="1" t="s">
        <v>678</v>
      </c>
      <c r="O450" s="3" t="s">
        <v>156</v>
      </c>
      <c r="Q450" s="3"/>
      <c r="R450" s="3"/>
      <c r="T450" s="3"/>
      <c r="U450" s="5"/>
      <c r="W450" s="3"/>
      <c r="Z450" s="3"/>
      <c r="AA450" s="3"/>
      <c r="AC450" s="3"/>
      <c r="AD450" s="3"/>
      <c r="AF450" s="3"/>
      <c r="AG450" s="3"/>
      <c r="AI450" s="3"/>
      <c r="AJ450" s="1"/>
      <c r="AL450" s="3"/>
      <c r="AO450" s="3"/>
      <c r="AP450" s="3"/>
      <c r="AR450" s="3"/>
      <c r="AS450" s="3"/>
      <c r="AU450" s="3"/>
      <c r="AV450" s="3"/>
      <c r="AX450" s="3"/>
      <c r="AY450" s="5"/>
      <c r="BA450" s="3"/>
      <c r="BD450" s="3"/>
      <c r="BE450" s="3"/>
      <c r="BG450" s="3"/>
      <c r="BH450" s="3"/>
      <c r="BJ450" s="3"/>
      <c r="BK450" s="3" t="s">
        <v>1237</v>
      </c>
      <c r="BM450" s="3"/>
      <c r="BN450" s="5">
        <v>46098</v>
      </c>
      <c r="BP450" s="3"/>
      <c r="BQ450" s="1">
        <v>5</v>
      </c>
      <c r="BS450" s="3"/>
      <c r="BT450" s="3" t="s">
        <v>1451</v>
      </c>
      <c r="BV450" s="3"/>
      <c r="BW450" s="3" t="s">
        <v>1452</v>
      </c>
      <c r="BY450" s="3"/>
      <c r="BZ450" s="3"/>
      <c r="CB450" s="3"/>
      <c r="CC450" s="5"/>
      <c r="CE450" s="3"/>
      <c r="CH450" s="3"/>
      <c r="CI450" s="3"/>
      <c r="CK450" s="3"/>
      <c r="CL450" s="3"/>
      <c r="CN450" s="3"/>
      <c r="CO450" s="3"/>
      <c r="CQ450" s="3"/>
      <c r="CR450" s="5"/>
      <c r="CT450" s="3"/>
      <c r="CW450" s="3"/>
      <c r="CX450" s="3"/>
      <c r="CZ450" s="3"/>
      <c r="DA450" s="3"/>
      <c r="DC450" s="3"/>
      <c r="DD450" s="3"/>
      <c r="DF450" s="3"/>
      <c r="DG450" s="5"/>
      <c r="DI450" s="3"/>
      <c r="DL450" s="3"/>
      <c r="DM450" s="3"/>
      <c r="DO450" s="3"/>
      <c r="DP450" s="3"/>
      <c r="DR450" s="3"/>
      <c r="DS450" s="1" t="str">
        <f>_xlfn.XLOOKUP(OfficeForms.Table[[#This Row],[Selecione a Categoria do Laboratório desta atividade prática:]],Planilha1!A:A,Planilha1!B:B)</f>
        <v>NTR</v>
      </c>
      <c r="DT450" s="1" t="str">
        <f>CONCATENATE(OfficeForms.Table[[#This Row],[Selecione seu Polo Laboratório de Atividades Presenciais:]],OfficeForms.Table[[#This Row],[CHAVE CONVERSÃO]])</f>
        <v>Porto Alegre/RS - Zona NorteNTR</v>
      </c>
      <c r="DU45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45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45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450" s="1" t="str">
        <f>_xlfn.XLOOKUP(OfficeForms.Table[[#This Row],[CHAVE LINK POLO]],'[1]Quadro Geral de Lotação'!$B:$B,'[1]Quadro Geral de Lotação'!$I:$I)</f>
        <v>Janaina Pieruccini Pulgatti</v>
      </c>
      <c r="DY450" s="1" t="str">
        <f>OfficeForms.Table[[#This Row],[Selecione a Ordem de Disciplina]]</f>
        <v>Ordem 2</v>
      </c>
    </row>
    <row r="451" spans="1:129" ht="34.15" customHeight="1">
      <c r="A451" s="1">
        <v>451</v>
      </c>
      <c r="B451" s="2">
        <v>46106.4141087963</v>
      </c>
      <c r="C451" s="2">
        <v>46106.415046296301</v>
      </c>
      <c r="D451" s="3" t="s">
        <v>160</v>
      </c>
      <c r="E451" s="3" t="s">
        <v>161</v>
      </c>
      <c r="G451" s="3"/>
      <c r="I451" s="3" t="s">
        <v>162</v>
      </c>
      <c r="K451" s="3"/>
      <c r="L451" s="1" t="s">
        <v>678</v>
      </c>
      <c r="O451" s="3" t="s">
        <v>156</v>
      </c>
      <c r="Q451" s="3"/>
      <c r="R451" s="3"/>
      <c r="T451" s="3"/>
      <c r="U451" s="5"/>
      <c r="W451" s="3"/>
      <c r="Z451" s="3"/>
      <c r="AA451" s="3"/>
      <c r="AC451" s="3"/>
      <c r="AD451" s="3"/>
      <c r="AF451" s="3"/>
      <c r="AG451" s="3"/>
      <c r="AI451" s="3"/>
      <c r="AJ451" s="1"/>
      <c r="AL451" s="3"/>
      <c r="AO451" s="3"/>
      <c r="AP451" s="3"/>
      <c r="AR451" s="3"/>
      <c r="AS451" s="3"/>
      <c r="AU451" s="3"/>
      <c r="AV451" s="3"/>
      <c r="AX451" s="3"/>
      <c r="AY451" s="5"/>
      <c r="BA451" s="3"/>
      <c r="BD451" s="3"/>
      <c r="BE451" s="3"/>
      <c r="BG451" s="3"/>
      <c r="BH451" s="3"/>
      <c r="BJ451" s="3"/>
      <c r="BK451" s="3" t="s">
        <v>1237</v>
      </c>
      <c r="BM451" s="3"/>
      <c r="BN451" s="5">
        <v>46105</v>
      </c>
      <c r="BP451" s="3"/>
      <c r="BQ451" s="1">
        <v>9</v>
      </c>
      <c r="BS451" s="3"/>
      <c r="BT451" s="3" t="s">
        <v>1453</v>
      </c>
      <c r="BV451" s="3"/>
      <c r="BW451" s="3" t="s">
        <v>1454</v>
      </c>
      <c r="BY451" s="3"/>
      <c r="BZ451" s="3"/>
      <c r="CB451" s="3"/>
      <c r="CC451" s="5"/>
      <c r="CE451" s="3"/>
      <c r="CH451" s="3"/>
      <c r="CI451" s="3"/>
      <c r="CK451" s="3"/>
      <c r="CL451" s="3"/>
      <c r="CN451" s="3"/>
      <c r="CO451" s="3"/>
      <c r="CQ451" s="3"/>
      <c r="CR451" s="5"/>
      <c r="CT451" s="3"/>
      <c r="CW451" s="3"/>
      <c r="CX451" s="3"/>
      <c r="CZ451" s="3"/>
      <c r="DA451" s="3"/>
      <c r="DC451" s="3"/>
      <c r="DD451" s="3"/>
      <c r="DF451" s="3"/>
      <c r="DG451" s="5"/>
      <c r="DI451" s="3"/>
      <c r="DL451" s="3"/>
      <c r="DM451" s="3"/>
      <c r="DO451" s="3"/>
      <c r="DP451" s="3"/>
      <c r="DR451" s="3"/>
      <c r="DS451" s="1" t="str">
        <f>_xlfn.XLOOKUP(OfficeForms.Table[[#This Row],[Selecione a Categoria do Laboratório desta atividade prática:]],Planilha1!A:A,Planilha1!B:B)</f>
        <v>NTR</v>
      </c>
      <c r="DT451" s="1" t="str">
        <f>CONCATENATE(OfficeForms.Table[[#This Row],[Selecione seu Polo Laboratório de Atividades Presenciais:]],OfficeForms.Table[[#This Row],[CHAVE CONVERSÃO]])</f>
        <v>Florianópolis/SC - CentroNTR</v>
      </c>
      <c r="DU45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45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5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451" s="1" t="str">
        <f>_xlfn.XLOOKUP(OfficeForms.Table[[#This Row],[CHAVE LINK POLO]],'[1]Quadro Geral de Lotação'!$B:$B,'[1]Quadro Geral de Lotação'!$I:$I)</f>
        <v>Laura Volpato</v>
      </c>
      <c r="DY451" s="1" t="str">
        <f>OfficeForms.Table[[#This Row],[Selecione a Ordem de Disciplina]]</f>
        <v>Ordem 2</v>
      </c>
    </row>
    <row r="452" spans="1:129" ht="34.15" customHeight="1">
      <c r="A452" s="1">
        <v>452</v>
      </c>
      <c r="B452" s="2">
        <v>46106.415092592601</v>
      </c>
      <c r="C452" s="2">
        <v>46106.415520833303</v>
      </c>
      <c r="D452" s="3" t="s">
        <v>160</v>
      </c>
      <c r="E452" s="3" t="s">
        <v>161</v>
      </c>
      <c r="G452" s="3"/>
      <c r="I452" s="3" t="s">
        <v>162</v>
      </c>
      <c r="K452" s="3"/>
      <c r="L452" s="1" t="s">
        <v>678</v>
      </c>
      <c r="O452" s="3" t="s">
        <v>156</v>
      </c>
      <c r="Q452" s="3"/>
      <c r="R452" s="3"/>
      <c r="T452" s="3"/>
      <c r="U452" s="5"/>
      <c r="W452" s="3"/>
      <c r="Z452" s="3"/>
      <c r="AA452" s="3"/>
      <c r="AC452" s="3"/>
      <c r="AD452" s="3"/>
      <c r="AF452" s="3"/>
      <c r="AG452" s="3"/>
      <c r="AI452" s="3"/>
      <c r="AJ452" s="1"/>
      <c r="AL452" s="3"/>
      <c r="AO452" s="3"/>
      <c r="AP452" s="3"/>
      <c r="AR452" s="3"/>
      <c r="AS452" s="3"/>
      <c r="AU452" s="3"/>
      <c r="AV452" s="3"/>
      <c r="AX452" s="3"/>
      <c r="AY452" s="5"/>
      <c r="BA452" s="3"/>
      <c r="BD452" s="3"/>
      <c r="BE452" s="3"/>
      <c r="BG452" s="3"/>
      <c r="BH452" s="3"/>
      <c r="BJ452" s="3"/>
      <c r="BK452" s="3" t="s">
        <v>1240</v>
      </c>
      <c r="BM452" s="3"/>
      <c r="BN452" s="5">
        <v>46105</v>
      </c>
      <c r="BP452" s="3"/>
      <c r="BQ452" s="1">
        <v>9</v>
      </c>
      <c r="BS452" s="3"/>
      <c r="BT452" s="3" t="s">
        <v>1455</v>
      </c>
      <c r="BV452" s="3"/>
      <c r="BW452" s="3" t="s">
        <v>1456</v>
      </c>
      <c r="BY452" s="3"/>
      <c r="BZ452" s="3"/>
      <c r="CB452" s="3"/>
      <c r="CC452" s="5"/>
      <c r="CE452" s="3"/>
      <c r="CH452" s="3"/>
      <c r="CI452" s="3"/>
      <c r="CK452" s="3"/>
      <c r="CL452" s="3"/>
      <c r="CN452" s="3"/>
      <c r="CO452" s="3"/>
      <c r="CQ452" s="3"/>
      <c r="CR452" s="5"/>
      <c r="CT452" s="3"/>
      <c r="CW452" s="3"/>
      <c r="CX452" s="3"/>
      <c r="CZ452" s="3"/>
      <c r="DA452" s="3"/>
      <c r="DC452" s="3"/>
      <c r="DD452" s="3"/>
      <c r="DF452" s="3"/>
      <c r="DG452" s="5"/>
      <c r="DI452" s="3"/>
      <c r="DL452" s="3"/>
      <c r="DM452" s="3"/>
      <c r="DO452" s="3"/>
      <c r="DP452" s="3"/>
      <c r="DR452" s="3"/>
      <c r="DS452" s="1" t="str">
        <f>_xlfn.XLOOKUP(OfficeForms.Table[[#This Row],[Selecione a Categoria do Laboratório desta atividade prática:]],Planilha1!A:A,Planilha1!B:B)</f>
        <v>NTR</v>
      </c>
      <c r="DT452" s="1" t="str">
        <f>CONCATENATE(OfficeForms.Table[[#This Row],[Selecione seu Polo Laboratório de Atividades Presenciais:]],OfficeForms.Table[[#This Row],[CHAVE CONVERSÃO]])</f>
        <v>Florianópolis/SC - CentroNTR</v>
      </c>
      <c r="DU45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45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5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452" s="1" t="str">
        <f>_xlfn.XLOOKUP(OfficeForms.Table[[#This Row],[CHAVE LINK POLO]],'[1]Quadro Geral de Lotação'!$B:$B,'[1]Quadro Geral de Lotação'!$I:$I)</f>
        <v>Laura Volpato</v>
      </c>
      <c r="DY452" s="1" t="str">
        <f>OfficeForms.Table[[#This Row],[Selecione a Ordem de Disciplina]]</f>
        <v>Ordem 2</v>
      </c>
    </row>
    <row r="453" spans="1:129" ht="34.15" customHeight="1">
      <c r="A453" s="1">
        <v>453</v>
      </c>
      <c r="B453" s="2">
        <v>46106.445439814801</v>
      </c>
      <c r="C453" s="2">
        <v>46106.448969907397</v>
      </c>
      <c r="D453" s="3" t="s">
        <v>313</v>
      </c>
      <c r="E453" s="3" t="s">
        <v>314</v>
      </c>
      <c r="G453" s="3"/>
      <c r="I453" s="3" t="s">
        <v>315</v>
      </c>
      <c r="K453" s="3"/>
      <c r="L453" s="1" t="s">
        <v>132</v>
      </c>
      <c r="O453" s="3" t="s">
        <v>184</v>
      </c>
      <c r="Q453" s="3"/>
      <c r="R453" s="3"/>
      <c r="T453" s="3"/>
      <c r="U453" s="5"/>
      <c r="W453" s="3"/>
      <c r="Z453" s="3"/>
      <c r="AA453" s="3"/>
      <c r="AC453" s="3"/>
      <c r="AD453" s="3"/>
      <c r="AF453" s="3"/>
      <c r="AG453" s="3" t="s">
        <v>185</v>
      </c>
      <c r="AI453" s="3"/>
      <c r="AJ453" s="1">
        <v>46101</v>
      </c>
      <c r="AL453" s="3"/>
      <c r="AM453" s="1">
        <v>0</v>
      </c>
      <c r="AO453" s="3"/>
      <c r="AP453" s="3" t="s">
        <v>1457</v>
      </c>
      <c r="AR453" s="3"/>
      <c r="AS453" s="3" t="s">
        <v>1458</v>
      </c>
      <c r="AU453" s="3"/>
      <c r="AV453" s="3"/>
      <c r="AX453" s="3"/>
      <c r="AY453" s="5"/>
      <c r="BA453" s="3"/>
      <c r="BD453" s="3"/>
      <c r="BE453" s="3"/>
      <c r="BG453" s="3"/>
      <c r="BH453" s="3"/>
      <c r="BJ453" s="3"/>
      <c r="BK453" s="3"/>
      <c r="BM453" s="3"/>
      <c r="BN453" s="5"/>
      <c r="BP453" s="3"/>
      <c r="BS453" s="3"/>
      <c r="BT453" s="3"/>
      <c r="BV453" s="3"/>
      <c r="BW453" s="3"/>
      <c r="BY453" s="3"/>
      <c r="BZ453" s="3"/>
      <c r="CB453" s="3"/>
      <c r="CC453" s="5"/>
      <c r="CE453" s="3"/>
      <c r="CH453" s="3"/>
      <c r="CI453" s="3"/>
      <c r="CK453" s="3"/>
      <c r="CL453" s="3"/>
      <c r="CN453" s="3"/>
      <c r="CO453" s="3"/>
      <c r="CQ453" s="3"/>
      <c r="CR453" s="5"/>
      <c r="CT453" s="3"/>
      <c r="CW453" s="3"/>
      <c r="CX453" s="3"/>
      <c r="CZ453" s="3"/>
      <c r="DA453" s="3"/>
      <c r="DC453" s="3"/>
      <c r="DD453" s="3"/>
      <c r="DF453" s="3"/>
      <c r="DG453" s="5"/>
      <c r="DI453" s="3"/>
      <c r="DL453" s="3"/>
      <c r="DM453" s="3"/>
      <c r="DO453" s="3"/>
      <c r="DP453" s="3"/>
      <c r="DR453" s="3"/>
      <c r="DS453" s="1" t="str">
        <f>_xlfn.XLOOKUP(OfficeForms.Table[[#This Row],[Selecione a Categoria do Laboratório desta atividade prática:]],Planilha1!A:A,Planilha1!B:B)</f>
        <v>EMF-ISN</v>
      </c>
      <c r="DT453" s="1" t="str">
        <f>CONCATENATE(OfficeForms.Table[[#This Row],[Selecione seu Polo Laboratório de Atividades Presenciais:]],OfficeForms.Table[[#This Row],[CHAVE CONVERSÃO]])</f>
        <v>Alenquer/PAEMF-ISN</v>
      </c>
      <c r="DU45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45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46101</v>
      </c>
      <c r="DW45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53" s="1" t="str">
        <f>_xlfn.XLOOKUP(OfficeForms.Table[[#This Row],[CHAVE LINK POLO]],'[1]Quadro Geral de Lotação'!$B:$B,'[1]Quadro Geral de Lotação'!$I:$I)</f>
        <v>Ana Flavia Chaves De Souza</v>
      </c>
      <c r="DY453" s="1" t="str">
        <f>OfficeForms.Table[[#This Row],[Selecione a Ordem de Disciplina]]</f>
        <v>Ordem 1</v>
      </c>
    </row>
    <row r="454" spans="1:129" ht="34.15" customHeight="1">
      <c r="A454" s="1">
        <v>454</v>
      </c>
      <c r="B454" s="2">
        <v>46106.412361111099</v>
      </c>
      <c r="C454" s="2">
        <v>46106.465995370403</v>
      </c>
      <c r="D454" s="3" t="s">
        <v>281</v>
      </c>
      <c r="E454" s="3" t="s">
        <v>282</v>
      </c>
      <c r="G454" s="3"/>
      <c r="I454" s="3" t="s">
        <v>283</v>
      </c>
      <c r="K454" s="3"/>
      <c r="L454" s="1" t="s">
        <v>678</v>
      </c>
      <c r="O454" s="3" t="s">
        <v>156</v>
      </c>
      <c r="Q454" s="3"/>
      <c r="R454" s="3"/>
      <c r="T454" s="3"/>
      <c r="U454" s="5"/>
      <c r="W454" s="3"/>
      <c r="Z454" s="3"/>
      <c r="AA454" s="3"/>
      <c r="AC454" s="3"/>
      <c r="AD454" s="3"/>
      <c r="AF454" s="3"/>
      <c r="AG454" s="3"/>
      <c r="AI454" s="3"/>
      <c r="AJ454" s="1"/>
      <c r="AL454" s="3"/>
      <c r="AO454" s="3"/>
      <c r="AP454" s="3"/>
      <c r="AR454" s="3"/>
      <c r="AS454" s="3"/>
      <c r="AU454" s="3"/>
      <c r="AV454" s="3"/>
      <c r="AX454" s="3"/>
      <c r="AY454" s="5"/>
      <c r="BA454" s="3"/>
      <c r="BD454" s="3"/>
      <c r="BE454" s="3"/>
      <c r="BG454" s="3"/>
      <c r="BH454" s="3"/>
      <c r="BJ454" s="3"/>
      <c r="BK454" s="3" t="s">
        <v>1237</v>
      </c>
      <c r="BM454" s="3"/>
      <c r="BN454" s="5">
        <v>46105</v>
      </c>
      <c r="BP454" s="3"/>
      <c r="BQ454" s="1">
        <v>6</v>
      </c>
      <c r="BS454" s="3"/>
      <c r="BT454" s="3" t="s">
        <v>1459</v>
      </c>
      <c r="BV454" s="3"/>
      <c r="BW454" s="3" t="s">
        <v>1460</v>
      </c>
      <c r="BY454" s="3"/>
      <c r="BZ454" s="3"/>
      <c r="CB454" s="3"/>
      <c r="CC454" s="5"/>
      <c r="CE454" s="3"/>
      <c r="CH454" s="3"/>
      <c r="CI454" s="3"/>
      <c r="CK454" s="3"/>
      <c r="CL454" s="3"/>
      <c r="CN454" s="3"/>
      <c r="CO454" s="3"/>
      <c r="CQ454" s="3"/>
      <c r="CR454" s="5"/>
      <c r="CT454" s="3"/>
      <c r="CW454" s="3"/>
      <c r="CX454" s="3"/>
      <c r="CZ454" s="3"/>
      <c r="DA454" s="3"/>
      <c r="DC454" s="3"/>
      <c r="DD454" s="3"/>
      <c r="DF454" s="3"/>
      <c r="DG454" s="5"/>
      <c r="DI454" s="3"/>
      <c r="DL454" s="3"/>
      <c r="DM454" s="3"/>
      <c r="DO454" s="3"/>
      <c r="DP454" s="3"/>
      <c r="DR454" s="3"/>
      <c r="DS454" s="1" t="str">
        <f>_xlfn.XLOOKUP(OfficeForms.Table[[#This Row],[Selecione a Categoria do Laboratório desta atividade prática:]],Planilha1!A:A,Planilha1!B:B)</f>
        <v>NTR</v>
      </c>
      <c r="DT454" s="1" t="str">
        <f>CONCATENATE(OfficeForms.Table[[#This Row],[Selecione seu Polo Laboratório de Atividades Presenciais:]],OfficeForms.Table[[#This Row],[CHAVE CONVERSÃO]])</f>
        <v>Criciúma/SCNTR</v>
      </c>
      <c r="DU45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45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5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454" s="1" t="str">
        <f>_xlfn.XLOOKUP(OfficeForms.Table[[#This Row],[CHAVE LINK POLO]],'[1]Quadro Geral de Lotação'!$B:$B,'[1]Quadro Geral de Lotação'!$I:$I)</f>
        <v>Izabela Cechinel Biela</v>
      </c>
      <c r="DY454" s="1" t="str">
        <f>OfficeForms.Table[[#This Row],[Selecione a Ordem de Disciplina]]</f>
        <v>Ordem 2</v>
      </c>
    </row>
    <row r="455" spans="1:129" ht="34.15" customHeight="1">
      <c r="A455" s="1">
        <v>455</v>
      </c>
      <c r="B455" s="2">
        <v>46106.466099537</v>
      </c>
      <c r="C455" s="2">
        <v>46106.466562499998</v>
      </c>
      <c r="D455" s="3" t="s">
        <v>281</v>
      </c>
      <c r="E455" s="3" t="s">
        <v>282</v>
      </c>
      <c r="G455" s="3"/>
      <c r="I455" s="3" t="s">
        <v>283</v>
      </c>
      <c r="K455" s="3"/>
      <c r="L455" s="1" t="s">
        <v>678</v>
      </c>
      <c r="O455" s="3" t="s">
        <v>156</v>
      </c>
      <c r="Q455" s="3"/>
      <c r="R455" s="3"/>
      <c r="T455" s="3"/>
      <c r="U455" s="5"/>
      <c r="W455" s="3"/>
      <c r="Z455" s="3"/>
      <c r="AA455" s="3"/>
      <c r="AC455" s="3"/>
      <c r="AD455" s="3"/>
      <c r="AF455" s="3"/>
      <c r="AG455" s="3"/>
      <c r="AI455" s="3"/>
      <c r="AJ455" s="1"/>
      <c r="AL455" s="3"/>
      <c r="AO455" s="3"/>
      <c r="AP455" s="3"/>
      <c r="AR455" s="3"/>
      <c r="AS455" s="3"/>
      <c r="AU455" s="3"/>
      <c r="AV455" s="3"/>
      <c r="AX455" s="3"/>
      <c r="AY455" s="5"/>
      <c r="BA455" s="3"/>
      <c r="BD455" s="3"/>
      <c r="BE455" s="3"/>
      <c r="BG455" s="3"/>
      <c r="BH455" s="3"/>
      <c r="BJ455" s="3"/>
      <c r="BK455" s="3" t="s">
        <v>1240</v>
      </c>
      <c r="BM455" s="3"/>
      <c r="BN455" s="5">
        <v>46105</v>
      </c>
      <c r="BP455" s="3"/>
      <c r="BQ455" s="1">
        <v>6</v>
      </c>
      <c r="BS455" s="3"/>
      <c r="BT455" s="3" t="s">
        <v>1461</v>
      </c>
      <c r="BV455" s="3"/>
      <c r="BW455" s="3" t="s">
        <v>1462</v>
      </c>
      <c r="BY455" s="3"/>
      <c r="BZ455" s="3"/>
      <c r="CB455" s="3"/>
      <c r="CC455" s="5"/>
      <c r="CE455" s="3"/>
      <c r="CH455" s="3"/>
      <c r="CI455" s="3"/>
      <c r="CK455" s="3"/>
      <c r="CL455" s="3"/>
      <c r="CN455" s="3"/>
      <c r="CO455" s="3"/>
      <c r="CQ455" s="3"/>
      <c r="CR455" s="5"/>
      <c r="CT455" s="3"/>
      <c r="CW455" s="3"/>
      <c r="CX455" s="3"/>
      <c r="CZ455" s="3"/>
      <c r="DA455" s="3"/>
      <c r="DC455" s="3"/>
      <c r="DD455" s="3"/>
      <c r="DF455" s="3"/>
      <c r="DG455" s="5"/>
      <c r="DI455" s="3"/>
      <c r="DL455" s="3"/>
      <c r="DM455" s="3"/>
      <c r="DO455" s="3"/>
      <c r="DP455" s="3"/>
      <c r="DR455" s="3"/>
      <c r="DS455" s="1" t="str">
        <f>_xlfn.XLOOKUP(OfficeForms.Table[[#This Row],[Selecione a Categoria do Laboratório desta atividade prática:]],Planilha1!A:A,Planilha1!B:B)</f>
        <v>NTR</v>
      </c>
      <c r="DT455" s="1" t="str">
        <f>CONCATENATE(OfficeForms.Table[[#This Row],[Selecione seu Polo Laboratório de Atividades Presenciais:]],OfficeForms.Table[[#This Row],[CHAVE CONVERSÃO]])</f>
        <v>Criciúma/SCNTR</v>
      </c>
      <c r="DU45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45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5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455" s="1" t="str">
        <f>_xlfn.XLOOKUP(OfficeForms.Table[[#This Row],[CHAVE LINK POLO]],'[1]Quadro Geral de Lotação'!$B:$B,'[1]Quadro Geral de Lotação'!$I:$I)</f>
        <v>Izabela Cechinel Biela</v>
      </c>
      <c r="DY455" s="1" t="str">
        <f>OfficeForms.Table[[#This Row],[Selecione a Ordem de Disciplina]]</f>
        <v>Ordem 2</v>
      </c>
    </row>
    <row r="456" spans="1:129" ht="34.15" customHeight="1">
      <c r="A456" s="1">
        <v>456</v>
      </c>
      <c r="B456" s="2">
        <v>46106.601689814801</v>
      </c>
      <c r="C456" s="2">
        <v>46106.628888888903</v>
      </c>
      <c r="D456" s="3" t="s">
        <v>448</v>
      </c>
      <c r="E456" s="3" t="s">
        <v>449</v>
      </c>
      <c r="G456" s="3"/>
      <c r="I456" s="3" t="s">
        <v>450</v>
      </c>
      <c r="K456" s="3"/>
      <c r="L456" s="1" t="s">
        <v>678</v>
      </c>
      <c r="O456" s="3" t="s">
        <v>184</v>
      </c>
      <c r="Q456" s="3"/>
      <c r="R456" s="3"/>
      <c r="T456" s="3"/>
      <c r="U456" s="5"/>
      <c r="W456" s="3"/>
      <c r="Z456" s="3"/>
      <c r="AA456" s="3"/>
      <c r="AC456" s="3"/>
      <c r="AD456" s="3"/>
      <c r="AF456" s="3"/>
      <c r="AG456" s="3" t="s">
        <v>1278</v>
      </c>
      <c r="AI456" s="3"/>
      <c r="AJ456" s="1">
        <v>46105</v>
      </c>
      <c r="AL456" s="3"/>
      <c r="AM456" s="1">
        <v>7</v>
      </c>
      <c r="AO456" s="3"/>
      <c r="AP456" s="3" t="s">
        <v>1463</v>
      </c>
      <c r="AR456" s="3"/>
      <c r="AS456" s="3" t="s">
        <v>1464</v>
      </c>
      <c r="AU456" s="3"/>
      <c r="AV456" s="3"/>
      <c r="AX456" s="3"/>
      <c r="AY456" s="5"/>
      <c r="BA456" s="3"/>
      <c r="BD456" s="3"/>
      <c r="BE456" s="3"/>
      <c r="BG456" s="3"/>
      <c r="BH456" s="3"/>
      <c r="BJ456" s="3"/>
      <c r="BK456" s="3"/>
      <c r="BM456" s="3"/>
      <c r="BN456" s="5"/>
      <c r="BP456" s="3"/>
      <c r="BS456" s="3"/>
      <c r="BT456" s="3"/>
      <c r="BV456" s="3"/>
      <c r="BW456" s="3"/>
      <c r="BY456" s="3"/>
      <c r="BZ456" s="3"/>
      <c r="CB456" s="3"/>
      <c r="CC456" s="5"/>
      <c r="CE456" s="3"/>
      <c r="CH456" s="3"/>
      <c r="CI456" s="3"/>
      <c r="CK456" s="3"/>
      <c r="CL456" s="3"/>
      <c r="CN456" s="3"/>
      <c r="CO456" s="3"/>
      <c r="CQ456" s="3"/>
      <c r="CR456" s="5"/>
      <c r="CT456" s="3"/>
      <c r="CW456" s="3"/>
      <c r="CX456" s="3"/>
      <c r="CZ456" s="3"/>
      <c r="DA456" s="3"/>
      <c r="DC456" s="3"/>
      <c r="DD456" s="3"/>
      <c r="DF456" s="3"/>
      <c r="DG456" s="5"/>
      <c r="DI456" s="3"/>
      <c r="DL456" s="3"/>
      <c r="DM456" s="3"/>
      <c r="DO456" s="3"/>
      <c r="DP456" s="3"/>
      <c r="DR456" s="3"/>
      <c r="DS456" s="1" t="str">
        <f>_xlfn.XLOOKUP(OfficeForms.Table[[#This Row],[Selecione a Categoria do Laboratório desta atividade prática:]],Planilha1!A:A,Planilha1!B:B)</f>
        <v>EMF-ISN</v>
      </c>
      <c r="DT456" s="1" t="str">
        <f>CONCATENATE(OfficeForms.Table[[#This Row],[Selecione seu Polo Laboratório de Atividades Presenciais:]],OfficeForms.Table[[#This Row],[CHAVE CONVERSÃO]])</f>
        <v>Montes Claros/MG - CentroEMF-ISN</v>
      </c>
      <c r="DU45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45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5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456" s="1" t="str">
        <f>_xlfn.XLOOKUP(OfficeForms.Table[[#This Row],[CHAVE LINK POLO]],'[1]Quadro Geral de Lotação'!$B:$B,'[1]Quadro Geral de Lotação'!$I:$I)</f>
        <v>Izabel Francisca Da Silva</v>
      </c>
      <c r="DY456" s="1" t="str">
        <f>OfficeForms.Table[[#This Row],[Selecione a Ordem de Disciplina]]</f>
        <v>Ordem 2</v>
      </c>
    </row>
    <row r="457" spans="1:129" ht="34.15" customHeight="1">
      <c r="A457" s="1">
        <v>457</v>
      </c>
      <c r="B457" s="2">
        <v>46106.629050925898</v>
      </c>
      <c r="C457" s="2">
        <v>46106.630613425899</v>
      </c>
      <c r="D457" s="3" t="s">
        <v>448</v>
      </c>
      <c r="E457" s="3" t="s">
        <v>449</v>
      </c>
      <c r="G457" s="3"/>
      <c r="I457" s="3" t="s">
        <v>450</v>
      </c>
      <c r="K457" s="3"/>
      <c r="L457" s="1" t="s">
        <v>678</v>
      </c>
      <c r="O457" s="3" t="s">
        <v>184</v>
      </c>
      <c r="Q457" s="3"/>
      <c r="R457" s="3"/>
      <c r="T457" s="3"/>
      <c r="U457" s="5"/>
      <c r="W457" s="3"/>
      <c r="Z457" s="3"/>
      <c r="AA457" s="3"/>
      <c r="AC457" s="3"/>
      <c r="AD457" s="3"/>
      <c r="AF457" s="3"/>
      <c r="AG457" s="3" t="s">
        <v>1105</v>
      </c>
      <c r="AI457" s="3"/>
      <c r="AJ457" s="1">
        <v>46105</v>
      </c>
      <c r="AL457" s="3"/>
      <c r="AM457" s="1">
        <v>7</v>
      </c>
      <c r="AO457" s="3"/>
      <c r="AP457" s="3" t="s">
        <v>1465</v>
      </c>
      <c r="AR457" s="3"/>
      <c r="AS457" s="3" t="s">
        <v>1466</v>
      </c>
      <c r="AU457" s="3"/>
      <c r="AV457" s="3"/>
      <c r="AX457" s="3"/>
      <c r="AY457" s="5"/>
      <c r="BA457" s="3"/>
      <c r="BD457" s="3"/>
      <c r="BE457" s="3"/>
      <c r="BG457" s="3"/>
      <c r="BH457" s="3"/>
      <c r="BJ457" s="3"/>
      <c r="BK457" s="3"/>
      <c r="BM457" s="3"/>
      <c r="BN457" s="5"/>
      <c r="BP457" s="3"/>
      <c r="BS457" s="3"/>
      <c r="BT457" s="3"/>
      <c r="BV457" s="3"/>
      <c r="BW457" s="3"/>
      <c r="BY457" s="3"/>
      <c r="BZ457" s="3"/>
      <c r="CB457" s="3"/>
      <c r="CC457" s="5"/>
      <c r="CE457" s="3"/>
      <c r="CH457" s="3"/>
      <c r="CI457" s="3"/>
      <c r="CK457" s="3"/>
      <c r="CL457" s="3"/>
      <c r="CN457" s="3"/>
      <c r="CO457" s="3"/>
      <c r="CQ457" s="3"/>
      <c r="CR457" s="5"/>
      <c r="CT457" s="3"/>
      <c r="CW457" s="3"/>
      <c r="CX457" s="3"/>
      <c r="CZ457" s="3"/>
      <c r="DA457" s="3"/>
      <c r="DC457" s="3"/>
      <c r="DD457" s="3"/>
      <c r="DF457" s="3"/>
      <c r="DG457" s="5"/>
      <c r="DI457" s="3"/>
      <c r="DL457" s="3"/>
      <c r="DM457" s="3"/>
      <c r="DO457" s="3"/>
      <c r="DP457" s="3"/>
      <c r="DR457" s="3"/>
      <c r="DS457" s="1" t="str">
        <f>_xlfn.XLOOKUP(OfficeForms.Table[[#This Row],[Selecione a Categoria do Laboratório desta atividade prática:]],Planilha1!A:A,Planilha1!B:B)</f>
        <v>EMF-ISN</v>
      </c>
      <c r="DT457" s="1" t="str">
        <f>CONCATENATE(OfficeForms.Table[[#This Row],[Selecione seu Polo Laboratório de Atividades Presenciais:]],OfficeForms.Table[[#This Row],[CHAVE CONVERSÃO]])</f>
        <v>Montes Claros/MG - CentroEMF-ISN</v>
      </c>
      <c r="DU45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45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5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457" s="1" t="str">
        <f>_xlfn.XLOOKUP(OfficeForms.Table[[#This Row],[CHAVE LINK POLO]],'[1]Quadro Geral de Lotação'!$B:$B,'[1]Quadro Geral de Lotação'!$I:$I)</f>
        <v>Izabel Francisca Da Silva</v>
      </c>
      <c r="DY457" s="1" t="str">
        <f>OfficeForms.Table[[#This Row],[Selecione a Ordem de Disciplina]]</f>
        <v>Ordem 2</v>
      </c>
    </row>
    <row r="458" spans="1:129" ht="34.15" customHeight="1">
      <c r="A458" s="1">
        <v>458</v>
      </c>
      <c r="B458" s="2">
        <v>46106.774270833303</v>
      </c>
      <c r="C458" s="2">
        <v>46106.776666666701</v>
      </c>
      <c r="D458" s="3" t="s">
        <v>1467</v>
      </c>
      <c r="E458" s="3" t="s">
        <v>1468</v>
      </c>
      <c r="G458" s="3"/>
      <c r="I458" s="3" t="s">
        <v>1469</v>
      </c>
      <c r="K458" s="3"/>
      <c r="L458" s="1" t="s">
        <v>132</v>
      </c>
      <c r="O458" s="3" t="s">
        <v>184</v>
      </c>
      <c r="Q458" s="3"/>
      <c r="R458" s="3"/>
      <c r="T458" s="3"/>
      <c r="U458" s="5"/>
      <c r="W458" s="3"/>
      <c r="Z458" s="3"/>
      <c r="AA458" s="3"/>
      <c r="AC458" s="3"/>
      <c r="AD458" s="3"/>
      <c r="AF458" s="3"/>
      <c r="AG458" s="3" t="s">
        <v>206</v>
      </c>
      <c r="AI458" s="3"/>
      <c r="AJ458" s="1">
        <v>46070</v>
      </c>
      <c r="AL458" s="3"/>
      <c r="AM458" s="1">
        <v>2</v>
      </c>
      <c r="AO458" s="3"/>
      <c r="AP458" s="3" t="s">
        <v>1470</v>
      </c>
      <c r="AR458" s="3"/>
      <c r="AS458" s="3" t="s">
        <v>1471</v>
      </c>
      <c r="AU458" s="3"/>
      <c r="AV458" s="3"/>
      <c r="AX458" s="3"/>
      <c r="AY458" s="5"/>
      <c r="BA458" s="3"/>
      <c r="BD458" s="3"/>
      <c r="BE458" s="3"/>
      <c r="BG458" s="3"/>
      <c r="BH458" s="3"/>
      <c r="BJ458" s="3"/>
      <c r="BK458" s="3"/>
      <c r="BM458" s="3"/>
      <c r="BN458" s="5"/>
      <c r="BP458" s="3"/>
      <c r="BS458" s="3"/>
      <c r="BT458" s="3"/>
      <c r="BV458" s="3"/>
      <c r="BW458" s="3"/>
      <c r="BY458" s="3"/>
      <c r="BZ458" s="3"/>
      <c r="CB458" s="3"/>
      <c r="CC458" s="5"/>
      <c r="CE458" s="3"/>
      <c r="CH458" s="3"/>
      <c r="CI458" s="3"/>
      <c r="CK458" s="3"/>
      <c r="CL458" s="3"/>
      <c r="CN458" s="3"/>
      <c r="CO458" s="3"/>
      <c r="CQ458" s="3"/>
      <c r="CR458" s="5"/>
      <c r="CT458" s="3"/>
      <c r="CW458" s="3"/>
      <c r="CX458" s="3"/>
      <c r="CZ458" s="3"/>
      <c r="DA458" s="3"/>
      <c r="DC458" s="3"/>
      <c r="DD458" s="3"/>
      <c r="DF458" s="3"/>
      <c r="DG458" s="5"/>
      <c r="DI458" s="3"/>
      <c r="DL458" s="3"/>
      <c r="DM458" s="3"/>
      <c r="DO458" s="3"/>
      <c r="DP458" s="3"/>
      <c r="DR458" s="3"/>
      <c r="DS458" s="1" t="str">
        <f>_xlfn.XLOOKUP(OfficeForms.Table[[#This Row],[Selecione a Categoria do Laboratório desta atividade prática:]],Planilha1!A:A,Planilha1!B:B)</f>
        <v>EMF-ISN</v>
      </c>
      <c r="DT458" s="1" t="str">
        <f>CONCATENATE(OfficeForms.Table[[#This Row],[Selecione seu Polo Laboratório de Atividades Presenciais:]],OfficeForms.Table[[#This Row],[CHAVE CONVERSÃO]])</f>
        <v>Rio Branco/AC - TangaráEMF-ISN</v>
      </c>
      <c r="DU45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45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46070</v>
      </c>
      <c r="DW45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58" s="1" t="str">
        <f>_xlfn.XLOOKUP(OfficeForms.Table[[#This Row],[CHAVE LINK POLO]],'[1]Quadro Geral de Lotação'!$B:$B,'[1]Quadro Geral de Lotação'!$I:$I)</f>
        <v>Jaysiane Azevedo Da Cunha</v>
      </c>
      <c r="DY458" s="1" t="str">
        <f>OfficeForms.Table[[#This Row],[Selecione a Ordem de Disciplina]]</f>
        <v>Ordem 1</v>
      </c>
    </row>
    <row r="459" spans="1:129" ht="34.15" customHeight="1">
      <c r="A459" s="1">
        <v>459</v>
      </c>
      <c r="B459" s="2">
        <v>46106.776851851901</v>
      </c>
      <c r="C459" s="2">
        <v>46106.7805324074</v>
      </c>
      <c r="D459" s="3" t="s">
        <v>1467</v>
      </c>
      <c r="E459" s="3" t="s">
        <v>1468</v>
      </c>
      <c r="G459" s="3"/>
      <c r="I459" s="3" t="s">
        <v>1469</v>
      </c>
      <c r="K459" s="3"/>
      <c r="L459" s="1" t="s">
        <v>132</v>
      </c>
      <c r="O459" s="3" t="s">
        <v>184</v>
      </c>
      <c r="Q459" s="3"/>
      <c r="R459" s="3"/>
      <c r="T459" s="3"/>
      <c r="U459" s="5"/>
      <c r="W459" s="3"/>
      <c r="Z459" s="3"/>
      <c r="AA459" s="3"/>
      <c r="AC459" s="3"/>
      <c r="AD459" s="3"/>
      <c r="AF459" s="3"/>
      <c r="AG459" s="3" t="s">
        <v>185</v>
      </c>
      <c r="AI459" s="3"/>
      <c r="AJ459" s="1">
        <v>46077</v>
      </c>
      <c r="AL459" s="3"/>
      <c r="AM459" s="1">
        <v>4</v>
      </c>
      <c r="AO459" s="3"/>
      <c r="AP459" s="3" t="s">
        <v>1472</v>
      </c>
      <c r="AR459" s="3"/>
      <c r="AS459" s="3" t="s">
        <v>1473</v>
      </c>
      <c r="AU459" s="3"/>
      <c r="AV459" s="3"/>
      <c r="AX459" s="3"/>
      <c r="AY459" s="5"/>
      <c r="BA459" s="3"/>
      <c r="BD459" s="3"/>
      <c r="BE459" s="3"/>
      <c r="BG459" s="3"/>
      <c r="BH459" s="3"/>
      <c r="BJ459" s="3"/>
      <c r="BK459" s="3"/>
      <c r="BM459" s="3"/>
      <c r="BN459" s="5"/>
      <c r="BP459" s="3"/>
      <c r="BS459" s="3"/>
      <c r="BT459" s="3"/>
      <c r="BV459" s="3"/>
      <c r="BW459" s="3"/>
      <c r="BY459" s="3"/>
      <c r="BZ459" s="3"/>
      <c r="CB459" s="3"/>
      <c r="CC459" s="5"/>
      <c r="CE459" s="3"/>
      <c r="CH459" s="3"/>
      <c r="CI459" s="3"/>
      <c r="CK459" s="3"/>
      <c r="CL459" s="3"/>
      <c r="CN459" s="3"/>
      <c r="CO459" s="3"/>
      <c r="CQ459" s="3"/>
      <c r="CR459" s="5"/>
      <c r="CT459" s="3"/>
      <c r="CW459" s="3"/>
      <c r="CX459" s="3"/>
      <c r="CZ459" s="3"/>
      <c r="DA459" s="3"/>
      <c r="DC459" s="3"/>
      <c r="DD459" s="3"/>
      <c r="DF459" s="3"/>
      <c r="DG459" s="5"/>
      <c r="DI459" s="3"/>
      <c r="DL459" s="3"/>
      <c r="DM459" s="3"/>
      <c r="DO459" s="3"/>
      <c r="DP459" s="3"/>
      <c r="DR459" s="3"/>
      <c r="DS459" s="1" t="str">
        <f>_xlfn.XLOOKUP(OfficeForms.Table[[#This Row],[Selecione a Categoria do Laboratório desta atividade prática:]],Planilha1!A:A,Planilha1!B:B)</f>
        <v>EMF-ISN</v>
      </c>
      <c r="DT459" s="1" t="str">
        <f>CONCATENATE(OfficeForms.Table[[#This Row],[Selecione seu Polo Laboratório de Atividades Presenciais:]],OfficeForms.Table[[#This Row],[CHAVE CONVERSÃO]])</f>
        <v>Rio Branco/AC - TangaráEMF-ISN</v>
      </c>
      <c r="DU45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45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45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459" s="1" t="str">
        <f>_xlfn.XLOOKUP(OfficeForms.Table[[#This Row],[CHAVE LINK POLO]],'[1]Quadro Geral de Lotação'!$B:$B,'[1]Quadro Geral de Lotação'!$I:$I)</f>
        <v>Jaysiane Azevedo Da Cunha</v>
      </c>
      <c r="DY459" s="1" t="str">
        <f>OfficeForms.Table[[#This Row],[Selecione a Ordem de Disciplina]]</f>
        <v>Ordem 1</v>
      </c>
    </row>
    <row r="460" spans="1:129" ht="34.15" customHeight="1">
      <c r="A460" s="1">
        <v>460</v>
      </c>
      <c r="B460" s="2">
        <v>46106.780590277798</v>
      </c>
      <c r="C460" s="2">
        <v>46106.782164351898</v>
      </c>
      <c r="D460" s="3" t="s">
        <v>1467</v>
      </c>
      <c r="E460" s="3" t="s">
        <v>1468</v>
      </c>
      <c r="G460" s="3"/>
      <c r="I460" s="3" t="s">
        <v>1469</v>
      </c>
      <c r="K460" s="3"/>
      <c r="L460" s="1" t="s">
        <v>132</v>
      </c>
      <c r="O460" s="3" t="s">
        <v>184</v>
      </c>
      <c r="Q460" s="3"/>
      <c r="R460" s="3"/>
      <c r="T460" s="3"/>
      <c r="U460" s="5"/>
      <c r="W460" s="3"/>
      <c r="Z460" s="3"/>
      <c r="AA460" s="3"/>
      <c r="AC460" s="3"/>
      <c r="AD460" s="3"/>
      <c r="AF460" s="3"/>
      <c r="AG460" s="3" t="s">
        <v>414</v>
      </c>
      <c r="AI460" s="3"/>
      <c r="AJ460" s="1">
        <v>46077</v>
      </c>
      <c r="AL460" s="3"/>
      <c r="AM460" s="1">
        <v>2</v>
      </c>
      <c r="AO460" s="3"/>
      <c r="AP460" s="3" t="s">
        <v>1474</v>
      </c>
      <c r="AR460" s="3"/>
      <c r="AS460" s="3" t="s">
        <v>1475</v>
      </c>
      <c r="AU460" s="3"/>
      <c r="AV460" s="3"/>
      <c r="AX460" s="3"/>
      <c r="AY460" s="5"/>
      <c r="BA460" s="3"/>
      <c r="BD460" s="3"/>
      <c r="BE460" s="3"/>
      <c r="BG460" s="3"/>
      <c r="BH460" s="3"/>
      <c r="BJ460" s="3"/>
      <c r="BK460" s="3"/>
      <c r="BM460" s="3"/>
      <c r="BN460" s="5"/>
      <c r="BP460" s="3"/>
      <c r="BS460" s="3"/>
      <c r="BT460" s="3"/>
      <c r="BV460" s="3"/>
      <c r="BW460" s="3"/>
      <c r="BY460" s="3"/>
      <c r="BZ460" s="3"/>
      <c r="CB460" s="3"/>
      <c r="CC460" s="5"/>
      <c r="CE460" s="3"/>
      <c r="CH460" s="3"/>
      <c r="CI460" s="3"/>
      <c r="CK460" s="3"/>
      <c r="CL460" s="3"/>
      <c r="CN460" s="3"/>
      <c r="CO460" s="3"/>
      <c r="CQ460" s="3"/>
      <c r="CR460" s="5"/>
      <c r="CT460" s="3"/>
      <c r="CW460" s="3"/>
      <c r="CX460" s="3"/>
      <c r="CZ460" s="3"/>
      <c r="DA460" s="3"/>
      <c r="DC460" s="3"/>
      <c r="DD460" s="3"/>
      <c r="DF460" s="3"/>
      <c r="DG460" s="5"/>
      <c r="DI460" s="3"/>
      <c r="DL460" s="3"/>
      <c r="DM460" s="3"/>
      <c r="DO460" s="3"/>
      <c r="DP460" s="3"/>
      <c r="DR460" s="3"/>
      <c r="DS460" s="1" t="str">
        <f>_xlfn.XLOOKUP(OfficeForms.Table[[#This Row],[Selecione a Categoria do Laboratório desta atividade prática:]],Planilha1!A:A,Planilha1!B:B)</f>
        <v>EMF-ISN</v>
      </c>
      <c r="DT460" s="1" t="str">
        <f>CONCATENATE(OfficeForms.Table[[#This Row],[Selecione seu Polo Laboratório de Atividades Presenciais:]],OfficeForms.Table[[#This Row],[CHAVE CONVERSÃO]])</f>
        <v>Rio Branco/AC - TangaráEMF-ISN</v>
      </c>
      <c r="DU46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46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46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60" s="1" t="str">
        <f>_xlfn.XLOOKUP(OfficeForms.Table[[#This Row],[CHAVE LINK POLO]],'[1]Quadro Geral de Lotação'!$B:$B,'[1]Quadro Geral de Lotação'!$I:$I)</f>
        <v>Jaysiane Azevedo Da Cunha</v>
      </c>
      <c r="DY460" s="1" t="str">
        <f>OfficeForms.Table[[#This Row],[Selecione a Ordem de Disciplina]]</f>
        <v>Ordem 1</v>
      </c>
    </row>
    <row r="461" spans="1:129" ht="34.15" customHeight="1">
      <c r="A461" s="1">
        <v>461</v>
      </c>
      <c r="B461" s="2">
        <v>46106.782280092601</v>
      </c>
      <c r="C461" s="2">
        <v>46106.7840393519</v>
      </c>
      <c r="D461" s="3" t="s">
        <v>1467</v>
      </c>
      <c r="E461" s="3" t="s">
        <v>1468</v>
      </c>
      <c r="G461" s="3"/>
      <c r="I461" s="3" t="s">
        <v>1469</v>
      </c>
      <c r="K461" s="3"/>
      <c r="L461" s="1" t="s">
        <v>132</v>
      </c>
      <c r="O461" s="3" t="s">
        <v>184</v>
      </c>
      <c r="Q461" s="3"/>
      <c r="R461" s="3"/>
      <c r="T461" s="3"/>
      <c r="U461" s="5"/>
      <c r="W461" s="3"/>
      <c r="Z461" s="3"/>
      <c r="AA461" s="3"/>
      <c r="AC461" s="3"/>
      <c r="AD461" s="3"/>
      <c r="AF461" s="3"/>
      <c r="AG461" s="3" t="s">
        <v>194</v>
      </c>
      <c r="AI461" s="3"/>
      <c r="AJ461" s="1">
        <v>46084</v>
      </c>
      <c r="AL461" s="3"/>
      <c r="AM461" s="1">
        <v>2</v>
      </c>
      <c r="AO461" s="3"/>
      <c r="AP461" s="3" t="s">
        <v>1476</v>
      </c>
      <c r="AR461" s="3"/>
      <c r="AS461" s="3" t="s">
        <v>1477</v>
      </c>
      <c r="AU461" s="3"/>
      <c r="AV461" s="3"/>
      <c r="AX461" s="3"/>
      <c r="AY461" s="5"/>
      <c r="BA461" s="3"/>
      <c r="BD461" s="3"/>
      <c r="BE461" s="3"/>
      <c r="BG461" s="3"/>
      <c r="BH461" s="3"/>
      <c r="BJ461" s="3"/>
      <c r="BK461" s="3"/>
      <c r="BM461" s="3"/>
      <c r="BN461" s="5"/>
      <c r="BP461" s="3"/>
      <c r="BS461" s="3"/>
      <c r="BT461" s="3"/>
      <c r="BV461" s="3"/>
      <c r="BW461" s="3"/>
      <c r="BY461" s="3"/>
      <c r="BZ461" s="3"/>
      <c r="CB461" s="3"/>
      <c r="CC461" s="5"/>
      <c r="CE461" s="3"/>
      <c r="CH461" s="3"/>
      <c r="CI461" s="3"/>
      <c r="CK461" s="3"/>
      <c r="CL461" s="3"/>
      <c r="CN461" s="3"/>
      <c r="CO461" s="3"/>
      <c r="CQ461" s="3"/>
      <c r="CR461" s="5"/>
      <c r="CT461" s="3"/>
      <c r="CW461" s="3"/>
      <c r="CX461" s="3"/>
      <c r="CZ461" s="3"/>
      <c r="DA461" s="3"/>
      <c r="DC461" s="3"/>
      <c r="DD461" s="3"/>
      <c r="DF461" s="3"/>
      <c r="DG461" s="5"/>
      <c r="DI461" s="3"/>
      <c r="DL461" s="3"/>
      <c r="DM461" s="3"/>
      <c r="DO461" s="3"/>
      <c r="DP461" s="3"/>
      <c r="DR461" s="3"/>
      <c r="DS461" s="1" t="str">
        <f>_xlfn.XLOOKUP(OfficeForms.Table[[#This Row],[Selecione a Categoria do Laboratório desta atividade prática:]],Planilha1!A:A,Planilha1!B:B)</f>
        <v>EMF-ISN</v>
      </c>
      <c r="DT461" s="1" t="str">
        <f>CONCATENATE(OfficeForms.Table[[#This Row],[Selecione seu Polo Laboratório de Atividades Presenciais:]],OfficeForms.Table[[#This Row],[CHAVE CONVERSÃO]])</f>
        <v>Rio Branco/AC - TangaráEMF-ISN</v>
      </c>
      <c r="DU46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46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46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61" s="1" t="str">
        <f>_xlfn.XLOOKUP(OfficeForms.Table[[#This Row],[CHAVE LINK POLO]],'[1]Quadro Geral de Lotação'!$B:$B,'[1]Quadro Geral de Lotação'!$I:$I)</f>
        <v>Jaysiane Azevedo Da Cunha</v>
      </c>
      <c r="DY461" s="1" t="str">
        <f>OfficeForms.Table[[#This Row],[Selecione a Ordem de Disciplina]]</f>
        <v>Ordem 1</v>
      </c>
    </row>
    <row r="462" spans="1:129" ht="34.15" customHeight="1">
      <c r="A462" s="1">
        <v>462</v>
      </c>
      <c r="B462" s="2">
        <v>46106.784097222197</v>
      </c>
      <c r="C462" s="2">
        <v>46106.785694444399</v>
      </c>
      <c r="D462" s="3" t="s">
        <v>1467</v>
      </c>
      <c r="E462" s="3" t="s">
        <v>1468</v>
      </c>
      <c r="G462" s="3"/>
      <c r="I462" s="3" t="s">
        <v>1469</v>
      </c>
      <c r="K462" s="3"/>
      <c r="L462" s="1" t="s">
        <v>132</v>
      </c>
      <c r="O462" s="3" t="s">
        <v>184</v>
      </c>
      <c r="Q462" s="3"/>
      <c r="R462" s="3"/>
      <c r="T462" s="3"/>
      <c r="U462" s="5"/>
      <c r="W462" s="3"/>
      <c r="Z462" s="3"/>
      <c r="AA462" s="3"/>
      <c r="AC462" s="3"/>
      <c r="AD462" s="3"/>
      <c r="AF462" s="3"/>
      <c r="AG462" s="3" t="s">
        <v>316</v>
      </c>
      <c r="AI462" s="3"/>
      <c r="AJ462" s="1">
        <v>46091</v>
      </c>
      <c r="AL462" s="3"/>
      <c r="AM462" s="1">
        <v>2</v>
      </c>
      <c r="AO462" s="3"/>
      <c r="AP462" s="3" t="s">
        <v>1478</v>
      </c>
      <c r="AR462" s="3"/>
      <c r="AS462" s="3" t="s">
        <v>1479</v>
      </c>
      <c r="AU462" s="3"/>
      <c r="AV462" s="3"/>
      <c r="AX462" s="3"/>
      <c r="AY462" s="5"/>
      <c r="BA462" s="3"/>
      <c r="BD462" s="3"/>
      <c r="BE462" s="3"/>
      <c r="BG462" s="3"/>
      <c r="BH462" s="3"/>
      <c r="BJ462" s="3"/>
      <c r="BK462" s="3"/>
      <c r="BM462" s="3"/>
      <c r="BN462" s="5"/>
      <c r="BP462" s="3"/>
      <c r="BS462" s="3"/>
      <c r="BT462" s="3"/>
      <c r="BV462" s="3"/>
      <c r="BW462" s="3"/>
      <c r="BY462" s="3"/>
      <c r="BZ462" s="3"/>
      <c r="CB462" s="3"/>
      <c r="CC462" s="5"/>
      <c r="CE462" s="3"/>
      <c r="CH462" s="3"/>
      <c r="CI462" s="3"/>
      <c r="CK462" s="3"/>
      <c r="CL462" s="3"/>
      <c r="CN462" s="3"/>
      <c r="CO462" s="3"/>
      <c r="CQ462" s="3"/>
      <c r="CR462" s="5"/>
      <c r="CT462" s="3"/>
      <c r="CW462" s="3"/>
      <c r="CX462" s="3"/>
      <c r="CZ462" s="3"/>
      <c r="DA462" s="3"/>
      <c r="DC462" s="3"/>
      <c r="DD462" s="3"/>
      <c r="DF462" s="3"/>
      <c r="DG462" s="5"/>
      <c r="DI462" s="3"/>
      <c r="DL462" s="3"/>
      <c r="DM462" s="3"/>
      <c r="DO462" s="3"/>
      <c r="DP462" s="3"/>
      <c r="DR462" s="3"/>
      <c r="DS462" s="1" t="str">
        <f>_xlfn.XLOOKUP(OfficeForms.Table[[#This Row],[Selecione a Categoria do Laboratório desta atividade prática:]],Planilha1!A:A,Planilha1!B:B)</f>
        <v>EMF-ISN</v>
      </c>
      <c r="DT462" s="1" t="str">
        <f>CONCATENATE(OfficeForms.Table[[#This Row],[Selecione seu Polo Laboratório de Atividades Presenciais:]],OfficeForms.Table[[#This Row],[CHAVE CONVERSÃO]])</f>
        <v>Rio Branco/AC - TangaráEMF-ISN</v>
      </c>
      <c r="DU46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46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46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62" s="1" t="str">
        <f>_xlfn.XLOOKUP(OfficeForms.Table[[#This Row],[CHAVE LINK POLO]],'[1]Quadro Geral de Lotação'!$B:$B,'[1]Quadro Geral de Lotação'!$I:$I)</f>
        <v>Jaysiane Azevedo Da Cunha</v>
      </c>
      <c r="DY462" s="1" t="str">
        <f>OfficeForms.Table[[#This Row],[Selecione a Ordem de Disciplina]]</f>
        <v>Ordem 1</v>
      </c>
    </row>
    <row r="463" spans="1:129" ht="34.15" customHeight="1">
      <c r="A463" s="1">
        <v>463</v>
      </c>
      <c r="B463" s="2">
        <v>46106.805960648097</v>
      </c>
      <c r="C463" s="2">
        <v>46106.842881944402</v>
      </c>
      <c r="D463" s="3" t="s">
        <v>1480</v>
      </c>
      <c r="E463" s="3" t="s">
        <v>1481</v>
      </c>
      <c r="G463" s="3"/>
      <c r="I463" s="3" t="s">
        <v>545</v>
      </c>
      <c r="K463" s="3"/>
      <c r="L463" s="1" t="s">
        <v>678</v>
      </c>
      <c r="O463" s="3" t="s">
        <v>1482</v>
      </c>
      <c r="Q463" s="3"/>
      <c r="R463" s="3"/>
      <c r="T463" s="3"/>
      <c r="U463" s="5"/>
      <c r="W463" s="3"/>
      <c r="Z463" s="3"/>
      <c r="AA463" s="3"/>
      <c r="AC463" s="3"/>
      <c r="AD463" s="3"/>
      <c r="AF463" s="3"/>
      <c r="AG463" s="3"/>
      <c r="AI463" s="3"/>
      <c r="AJ463" s="1"/>
      <c r="AL463" s="3"/>
      <c r="AO463" s="3"/>
      <c r="AP463" s="3"/>
      <c r="AR463" s="3"/>
      <c r="AS463" s="3"/>
      <c r="AU463" s="3"/>
      <c r="AV463" s="3"/>
      <c r="AX463" s="3"/>
      <c r="AY463" s="5"/>
      <c r="BA463" s="3"/>
      <c r="BD463" s="3"/>
      <c r="BE463" s="3"/>
      <c r="BG463" s="3"/>
      <c r="BH463" s="3"/>
      <c r="BJ463" s="3"/>
      <c r="BK463" s="3"/>
      <c r="BM463" s="3"/>
      <c r="BN463" s="5"/>
      <c r="BP463" s="3"/>
      <c r="BS463" s="3"/>
      <c r="BT463" s="3"/>
      <c r="BV463" s="3"/>
      <c r="BW463" s="3"/>
      <c r="BY463" s="3"/>
      <c r="BZ463" s="3"/>
      <c r="CB463" s="3"/>
      <c r="CC463" s="5"/>
      <c r="CE463" s="3"/>
      <c r="CH463" s="3"/>
      <c r="CI463" s="3"/>
      <c r="CK463" s="3"/>
      <c r="CL463" s="3"/>
      <c r="CN463" s="3"/>
      <c r="CO463" s="3" t="s">
        <v>1483</v>
      </c>
      <c r="CQ463" s="3"/>
      <c r="CR463" s="5">
        <v>46098</v>
      </c>
      <c r="CT463" s="3"/>
      <c r="CU463" s="1">
        <v>1</v>
      </c>
      <c r="CW463" s="3"/>
      <c r="CX463" s="3" t="s">
        <v>1484</v>
      </c>
      <c r="CZ463" s="3"/>
      <c r="DA463" s="3" t="s">
        <v>1485</v>
      </c>
      <c r="DC463" s="3"/>
      <c r="DD463" s="3"/>
      <c r="DF463" s="3"/>
      <c r="DG463" s="5"/>
      <c r="DI463" s="3"/>
      <c r="DL463" s="3"/>
      <c r="DM463" s="3"/>
      <c r="DO463" s="3"/>
      <c r="DP463" s="3"/>
      <c r="DR463" s="3"/>
      <c r="DS463" s="1" t="str">
        <f>_xlfn.XLOOKUP(OfficeForms.Table[[#This Row],[Selecione a Categoria do Laboratório desta atividade prática:]],Planilha1!A:A,Planilha1!B:B)</f>
        <v>BAU</v>
      </c>
      <c r="DT463" s="1" t="str">
        <f>CONCATENATE(OfficeForms.Table[[#This Row],[Selecione seu Polo Laboratório de Atividades Presenciais:]],OfficeForms.Table[[#This Row],[CHAVE CONVERSÃO]])</f>
        <v>Porto Alegre/RS - Centro HistóricoBAU</v>
      </c>
      <c r="DU46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Levantamento de cargas;Dimensionamento de Condutores e Dispositivos de Proteção</v>
      </c>
      <c r="DV46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46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63" s="1" t="str">
        <f>_xlfn.XLOOKUP(OfficeForms.Table[[#This Row],[CHAVE LINK POLO]],'[1]Quadro Geral de Lotação'!$B:$B,'[1]Quadro Geral de Lotação'!$I:$I)</f>
        <v>Maria Cristina De Freitas Guerreiro</v>
      </c>
      <c r="DY463" s="1" t="str">
        <f>OfficeForms.Table[[#This Row],[Selecione a Ordem de Disciplina]]</f>
        <v>Ordem 2</v>
      </c>
    </row>
    <row r="464" spans="1:129" ht="34.15" customHeight="1">
      <c r="A464" s="1">
        <v>464</v>
      </c>
      <c r="B464" s="2">
        <v>46106.843009259297</v>
      </c>
      <c r="C464" s="2">
        <v>46106.844166666699</v>
      </c>
      <c r="D464" s="3" t="s">
        <v>1480</v>
      </c>
      <c r="E464" s="3" t="s">
        <v>1481</v>
      </c>
      <c r="G464" s="3"/>
      <c r="I464" s="3" t="s">
        <v>545</v>
      </c>
      <c r="K464" s="3"/>
      <c r="L464" s="1" t="s">
        <v>678</v>
      </c>
      <c r="O464" s="3" t="s">
        <v>1482</v>
      </c>
      <c r="Q464" s="3"/>
      <c r="R464" s="3"/>
      <c r="T464" s="3"/>
      <c r="U464" s="5"/>
      <c r="W464" s="3"/>
      <c r="Z464" s="3"/>
      <c r="AA464" s="3"/>
      <c r="AC464" s="3"/>
      <c r="AD464" s="3"/>
      <c r="AF464" s="3"/>
      <c r="AG464" s="3"/>
      <c r="AI464" s="3"/>
      <c r="AJ464" s="1"/>
      <c r="AL464" s="3"/>
      <c r="AO464" s="3"/>
      <c r="AP464" s="3"/>
      <c r="AR464" s="3"/>
      <c r="AS464" s="3"/>
      <c r="AU464" s="3"/>
      <c r="AV464" s="3"/>
      <c r="AX464" s="3"/>
      <c r="AY464" s="5"/>
      <c r="BA464" s="3"/>
      <c r="BD464" s="3"/>
      <c r="BE464" s="3"/>
      <c r="BG464" s="3"/>
      <c r="BH464" s="3"/>
      <c r="BJ464" s="3"/>
      <c r="BK464" s="3"/>
      <c r="BM464" s="3"/>
      <c r="BN464" s="5"/>
      <c r="BP464" s="3"/>
      <c r="BS464" s="3"/>
      <c r="BT464" s="3"/>
      <c r="BV464" s="3"/>
      <c r="BW464" s="3"/>
      <c r="BY464" s="3"/>
      <c r="BZ464" s="3"/>
      <c r="CB464" s="3"/>
      <c r="CC464" s="5"/>
      <c r="CE464" s="3"/>
      <c r="CH464" s="3"/>
      <c r="CI464" s="3"/>
      <c r="CK464" s="3"/>
      <c r="CL464" s="3"/>
      <c r="CN464" s="3"/>
      <c r="CO464" s="3" t="s">
        <v>1486</v>
      </c>
      <c r="CQ464" s="3"/>
      <c r="CR464" s="5">
        <v>46105</v>
      </c>
      <c r="CT464" s="3"/>
      <c r="CU464" s="1">
        <v>1</v>
      </c>
      <c r="CW464" s="3"/>
      <c r="CX464" s="3" t="s">
        <v>1487</v>
      </c>
      <c r="CZ464" s="3"/>
      <c r="DA464" s="3" t="s">
        <v>1488</v>
      </c>
      <c r="DC464" s="3"/>
      <c r="DD464" s="3"/>
      <c r="DF464" s="3"/>
      <c r="DG464" s="5"/>
      <c r="DI464" s="3"/>
      <c r="DL464" s="3"/>
      <c r="DM464" s="3"/>
      <c r="DO464" s="3"/>
      <c r="DP464" s="3"/>
      <c r="DR464" s="3"/>
      <c r="DS464" s="1" t="str">
        <f>_xlfn.XLOOKUP(OfficeForms.Table[[#This Row],[Selecione a Categoria do Laboratório desta atividade prática:]],Planilha1!A:A,Planilha1!B:B)</f>
        <v>BAU</v>
      </c>
      <c r="DT464" s="1" t="str">
        <f>CONCATENATE(OfficeForms.Table[[#This Row],[Selecione seu Polo Laboratório de Atividades Presenciais:]],OfficeForms.Table[[#This Row],[CHAVE CONVERSÃO]])</f>
        <v>Porto Alegre/RS - Centro HistóricoBAU</v>
      </c>
      <c r="DU46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Acionamento de Iluminação;Acionamento de Cargas Remotamente e com sensores</v>
      </c>
      <c r="DV46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6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64" s="1" t="str">
        <f>_xlfn.XLOOKUP(OfficeForms.Table[[#This Row],[CHAVE LINK POLO]],'[1]Quadro Geral de Lotação'!$B:$B,'[1]Quadro Geral de Lotação'!$I:$I)</f>
        <v>Maria Cristina De Freitas Guerreiro</v>
      </c>
      <c r="DY464" s="1" t="str">
        <f>OfficeForms.Table[[#This Row],[Selecione a Ordem de Disciplina]]</f>
        <v>Ordem 2</v>
      </c>
    </row>
    <row r="465" spans="1:129" ht="34.15" customHeight="1">
      <c r="A465" s="1">
        <v>465</v>
      </c>
      <c r="B465" s="2">
        <v>46106.843379629601</v>
      </c>
      <c r="C465" s="2">
        <v>46106.844305555598</v>
      </c>
      <c r="D465" s="3" t="s">
        <v>1258</v>
      </c>
      <c r="E465" s="3" t="s">
        <v>1259</v>
      </c>
      <c r="G465" s="3"/>
      <c r="I465" s="3" t="s">
        <v>275</v>
      </c>
      <c r="K465" s="3"/>
      <c r="L465" s="1" t="s">
        <v>678</v>
      </c>
      <c r="O465" s="3" t="s">
        <v>156</v>
      </c>
      <c r="Q465" s="3"/>
      <c r="R465" s="3"/>
      <c r="T465" s="3"/>
      <c r="U465" s="5"/>
      <c r="W465" s="3"/>
      <c r="Z465" s="3"/>
      <c r="AA465" s="3"/>
      <c r="AC465" s="3"/>
      <c r="AD465" s="3"/>
      <c r="AF465" s="3"/>
      <c r="AG465" s="3"/>
      <c r="AI465" s="3"/>
      <c r="AJ465" s="1"/>
      <c r="AL465" s="3"/>
      <c r="AO465" s="3"/>
      <c r="AP465" s="3"/>
      <c r="AR465" s="3"/>
      <c r="AS465" s="3"/>
      <c r="AU465" s="3"/>
      <c r="AV465" s="3"/>
      <c r="AX465" s="3"/>
      <c r="AY465" s="5"/>
      <c r="BA465" s="3"/>
      <c r="BD465" s="3"/>
      <c r="BE465" s="3"/>
      <c r="BG465" s="3"/>
      <c r="BH465" s="3"/>
      <c r="BJ465" s="3"/>
      <c r="BK465" s="3" t="s">
        <v>1489</v>
      </c>
      <c r="BM465" s="3"/>
      <c r="BN465" s="5">
        <v>46098</v>
      </c>
      <c r="BP465" s="3"/>
      <c r="BQ465" s="1">
        <v>5</v>
      </c>
      <c r="BS465" s="3"/>
      <c r="BT465" s="3" t="s">
        <v>1490</v>
      </c>
      <c r="BV465" s="3"/>
      <c r="BW465" s="3" t="s">
        <v>1491</v>
      </c>
      <c r="BY465" s="3"/>
      <c r="BZ465" s="3"/>
      <c r="CB465" s="3"/>
      <c r="CC465" s="5"/>
      <c r="CE465" s="3"/>
      <c r="CH465" s="3"/>
      <c r="CI465" s="3"/>
      <c r="CK465" s="3"/>
      <c r="CL465" s="3"/>
      <c r="CN465" s="3"/>
      <c r="CO465" s="3"/>
      <c r="CQ465" s="3"/>
      <c r="CR465" s="5"/>
      <c r="CT465" s="3"/>
      <c r="CW465" s="3"/>
      <c r="CX465" s="3"/>
      <c r="CZ465" s="3"/>
      <c r="DA465" s="3"/>
      <c r="DC465" s="3"/>
      <c r="DD465" s="3"/>
      <c r="DF465" s="3"/>
      <c r="DG465" s="5"/>
      <c r="DI465" s="3"/>
      <c r="DL465" s="3"/>
      <c r="DM465" s="3"/>
      <c r="DO465" s="3"/>
      <c r="DP465" s="3"/>
      <c r="DR465" s="3"/>
      <c r="DS465" s="1" t="str">
        <f>_xlfn.XLOOKUP(OfficeForms.Table[[#This Row],[Selecione a Categoria do Laboratório desta atividade prática:]],Planilha1!A:A,Planilha1!B:B)</f>
        <v>NTR</v>
      </c>
      <c r="DT465" s="1" t="str">
        <f>CONCATENATE(OfficeForms.Table[[#This Row],[Selecione seu Polo Laboratório de Atividades Presenciais:]],OfficeForms.Table[[#This Row],[CHAVE CONVERSÃO]])</f>
        <v>Porto Alegre/RS - Zona NorteNTR</v>
      </c>
      <c r="DU46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nutricional;Avaliação antropométrico de adulto e de acamado</v>
      </c>
      <c r="DV46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46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465" s="1" t="str">
        <f>_xlfn.XLOOKUP(OfficeForms.Table[[#This Row],[CHAVE LINK POLO]],'[1]Quadro Geral de Lotação'!$B:$B,'[1]Quadro Geral de Lotação'!$I:$I)</f>
        <v>Janaina Pieruccini Pulgatti</v>
      </c>
      <c r="DY465" s="1" t="str">
        <f>OfficeForms.Table[[#This Row],[Selecione a Ordem de Disciplina]]</f>
        <v>Ordem 2</v>
      </c>
    </row>
    <row r="466" spans="1:129" ht="34.15" customHeight="1">
      <c r="A466" s="1">
        <v>466</v>
      </c>
      <c r="B466" s="2">
        <v>46106.844386574099</v>
      </c>
      <c r="C466" s="2">
        <v>46106.8450578704</v>
      </c>
      <c r="D466" s="3" t="s">
        <v>1258</v>
      </c>
      <c r="E466" s="3" t="s">
        <v>1259</v>
      </c>
      <c r="G466" s="3"/>
      <c r="I466" s="3" t="s">
        <v>275</v>
      </c>
      <c r="K466" s="3"/>
      <c r="L466" s="1" t="s">
        <v>678</v>
      </c>
      <c r="O466" s="3" t="s">
        <v>156</v>
      </c>
      <c r="Q466" s="3"/>
      <c r="R466" s="3"/>
      <c r="T466" s="3"/>
      <c r="U466" s="5"/>
      <c r="W466" s="3"/>
      <c r="Z466" s="3"/>
      <c r="AA466" s="3"/>
      <c r="AC466" s="3"/>
      <c r="AD466" s="3"/>
      <c r="AF466" s="3"/>
      <c r="AG466" s="3"/>
      <c r="AI466" s="3"/>
      <c r="AJ466" s="1"/>
      <c r="AL466" s="3"/>
      <c r="AO466" s="3"/>
      <c r="AP466" s="3"/>
      <c r="AR466" s="3"/>
      <c r="AS466" s="3"/>
      <c r="AU466" s="3"/>
      <c r="AV466" s="3"/>
      <c r="AX466" s="3"/>
      <c r="AY466" s="5"/>
      <c r="BA466" s="3"/>
      <c r="BD466" s="3"/>
      <c r="BE466" s="3"/>
      <c r="BG466" s="3"/>
      <c r="BH466" s="3"/>
      <c r="BJ466" s="3"/>
      <c r="BK466" s="3" t="s">
        <v>1240</v>
      </c>
      <c r="BM466" s="3"/>
      <c r="BN466" s="5">
        <v>46098</v>
      </c>
      <c r="BP466" s="3"/>
      <c r="BQ466" s="1">
        <v>5</v>
      </c>
      <c r="BS466" s="3"/>
      <c r="BT466" s="3" t="s">
        <v>1492</v>
      </c>
      <c r="BV466" s="3"/>
      <c r="BW466" s="3" t="s">
        <v>1493</v>
      </c>
      <c r="BY466" s="3"/>
      <c r="BZ466" s="3"/>
      <c r="CB466" s="3"/>
      <c r="CC466" s="5"/>
      <c r="CE466" s="3"/>
      <c r="CH466" s="3"/>
      <c r="CI466" s="3"/>
      <c r="CK466" s="3"/>
      <c r="CL466" s="3"/>
      <c r="CN466" s="3"/>
      <c r="CO466" s="3"/>
      <c r="CQ466" s="3"/>
      <c r="CR466" s="5"/>
      <c r="CT466" s="3"/>
      <c r="CW466" s="3"/>
      <c r="CX466" s="3"/>
      <c r="CZ466" s="3"/>
      <c r="DA466" s="3"/>
      <c r="DC466" s="3"/>
      <c r="DD466" s="3"/>
      <c r="DF466" s="3"/>
      <c r="DG466" s="5"/>
      <c r="DI466" s="3"/>
      <c r="DL466" s="3"/>
      <c r="DM466" s="3"/>
      <c r="DO466" s="3"/>
      <c r="DP466" s="3"/>
      <c r="DR466" s="3"/>
      <c r="DS466" s="1" t="str">
        <f>_xlfn.XLOOKUP(OfficeForms.Table[[#This Row],[Selecione a Categoria do Laboratório desta atividade prática:]],Planilha1!A:A,Planilha1!B:B)</f>
        <v>NTR</v>
      </c>
      <c r="DT466" s="1" t="str">
        <f>CONCATENATE(OfficeForms.Table[[#This Row],[Selecione seu Polo Laboratório de Atividades Presenciais:]],OfficeForms.Table[[#This Row],[CHAVE CONVERSÃO]])</f>
        <v>Porto Alegre/RS - Zona NorteNTR</v>
      </c>
      <c r="DU46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46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46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466" s="1" t="str">
        <f>_xlfn.XLOOKUP(OfficeForms.Table[[#This Row],[CHAVE LINK POLO]],'[1]Quadro Geral de Lotação'!$B:$B,'[1]Quadro Geral de Lotação'!$I:$I)</f>
        <v>Janaina Pieruccini Pulgatti</v>
      </c>
      <c r="DY466" s="1" t="str">
        <f>OfficeForms.Table[[#This Row],[Selecione a Ordem de Disciplina]]</f>
        <v>Ordem 2</v>
      </c>
    </row>
    <row r="467" spans="1:129" ht="34.15" customHeight="1">
      <c r="A467" s="1">
        <v>467</v>
      </c>
      <c r="B467" s="2">
        <v>46106.857986111099</v>
      </c>
      <c r="C467" s="2">
        <v>46106.861898148098</v>
      </c>
      <c r="D467" s="3" t="s">
        <v>357</v>
      </c>
      <c r="E467" s="3" t="s">
        <v>358</v>
      </c>
      <c r="G467" s="3"/>
      <c r="I467" s="3" t="s">
        <v>359</v>
      </c>
      <c r="K467" s="3"/>
      <c r="L467" s="1" t="s">
        <v>678</v>
      </c>
      <c r="O467" s="3" t="s">
        <v>156</v>
      </c>
      <c r="Q467" s="3"/>
      <c r="R467" s="3"/>
      <c r="T467" s="3"/>
      <c r="U467" s="5"/>
      <c r="W467" s="3"/>
      <c r="Z467" s="3"/>
      <c r="AA467" s="3"/>
      <c r="AC467" s="3"/>
      <c r="AD467" s="3"/>
      <c r="AF467" s="3"/>
      <c r="AG467" s="3"/>
      <c r="AI467" s="3"/>
      <c r="AJ467" s="1"/>
      <c r="AL467" s="3"/>
      <c r="AO467" s="3"/>
      <c r="AP467" s="3"/>
      <c r="AR467" s="3"/>
      <c r="AS467" s="3"/>
      <c r="AU467" s="3"/>
      <c r="AV467" s="3"/>
      <c r="AX467" s="3"/>
      <c r="AY467" s="5"/>
      <c r="BA467" s="3"/>
      <c r="BD467" s="3"/>
      <c r="BE467" s="3"/>
      <c r="BG467" s="3"/>
      <c r="BH467" s="3"/>
      <c r="BJ467" s="3"/>
      <c r="BK467" s="3" t="s">
        <v>1237</v>
      </c>
      <c r="BM467" s="3"/>
      <c r="BN467" s="5">
        <v>46098</v>
      </c>
      <c r="BP467" s="3"/>
      <c r="BQ467" s="1">
        <v>11</v>
      </c>
      <c r="BS467" s="3"/>
      <c r="BT467" s="3" t="s">
        <v>1494</v>
      </c>
      <c r="BV467" s="3"/>
      <c r="BW467" s="3" t="s">
        <v>1495</v>
      </c>
      <c r="BY467" s="3"/>
      <c r="BZ467" s="3"/>
      <c r="CB467" s="3"/>
      <c r="CC467" s="5"/>
      <c r="CE467" s="3"/>
      <c r="CH467" s="3"/>
      <c r="CI467" s="3"/>
      <c r="CK467" s="3"/>
      <c r="CL467" s="3"/>
      <c r="CN467" s="3"/>
      <c r="CO467" s="3"/>
      <c r="CQ467" s="3"/>
      <c r="CR467" s="5"/>
      <c r="CT467" s="3"/>
      <c r="CW467" s="3"/>
      <c r="CX467" s="3"/>
      <c r="CZ467" s="3"/>
      <c r="DA467" s="3"/>
      <c r="DC467" s="3"/>
      <c r="DD467" s="3"/>
      <c r="DF467" s="3"/>
      <c r="DG467" s="5"/>
      <c r="DI467" s="3"/>
      <c r="DL467" s="3"/>
      <c r="DM467" s="3"/>
      <c r="DO467" s="3"/>
      <c r="DP467" s="3"/>
      <c r="DR467" s="3"/>
      <c r="DS467" s="1" t="str">
        <f>_xlfn.XLOOKUP(OfficeForms.Table[[#This Row],[Selecione a Categoria do Laboratório desta atividade prática:]],Planilha1!A:A,Planilha1!B:B)</f>
        <v>NTR</v>
      </c>
      <c r="DT467" s="1" t="str">
        <f>CONCATENATE(OfficeForms.Table[[#This Row],[Selecione seu Polo Laboratório de Atividades Presenciais:]],OfficeForms.Table[[#This Row],[CHAVE CONVERSÃO]])</f>
        <v>São Pedro da Aldeia/RJNTR</v>
      </c>
      <c r="DU46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46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46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467" s="1" t="str">
        <f>_xlfn.XLOOKUP(OfficeForms.Table[[#This Row],[CHAVE LINK POLO]],'[1]Quadro Geral de Lotação'!$B:$B,'[1]Quadro Geral de Lotação'!$I:$I)</f>
        <v>Natalia Silva De Mattos</v>
      </c>
      <c r="DY467" s="1" t="str">
        <f>OfficeForms.Table[[#This Row],[Selecione a Ordem de Disciplina]]</f>
        <v>Ordem 2</v>
      </c>
    </row>
    <row r="468" spans="1:129" ht="34.15" customHeight="1">
      <c r="A468" s="1">
        <v>468</v>
      </c>
      <c r="B468" s="2">
        <v>46106.887407407397</v>
      </c>
      <c r="C468" s="2">
        <v>46106.888460648101</v>
      </c>
      <c r="D468" s="3" t="s">
        <v>319</v>
      </c>
      <c r="E468" s="3" t="s">
        <v>320</v>
      </c>
      <c r="G468" s="3"/>
      <c r="I468" s="3" t="s">
        <v>321</v>
      </c>
      <c r="K468" s="3"/>
      <c r="L468" s="1" t="s">
        <v>678</v>
      </c>
      <c r="O468" s="3" t="s">
        <v>184</v>
      </c>
      <c r="Q468" s="3"/>
      <c r="R468" s="3"/>
      <c r="T468" s="3"/>
      <c r="U468" s="5"/>
      <c r="W468" s="3"/>
      <c r="Z468" s="3"/>
      <c r="AA468" s="3"/>
      <c r="AC468" s="3"/>
      <c r="AD468" s="3"/>
      <c r="AF468" s="3"/>
      <c r="AG468" s="3" t="s">
        <v>1016</v>
      </c>
      <c r="AI468" s="3"/>
      <c r="AJ468" s="1">
        <v>46106</v>
      </c>
      <c r="AL468" s="3"/>
      <c r="AM468" s="1">
        <v>3</v>
      </c>
      <c r="AO468" s="3"/>
      <c r="AP468" s="3" t="s">
        <v>1496</v>
      </c>
      <c r="AR468" s="3"/>
      <c r="AS468" s="3" t="s">
        <v>1497</v>
      </c>
      <c r="AU468" s="3"/>
      <c r="AV468" s="3"/>
      <c r="AX468" s="3"/>
      <c r="AY468" s="5"/>
      <c r="BA468" s="3"/>
      <c r="BD468" s="3"/>
      <c r="BE468" s="3"/>
      <c r="BG468" s="3"/>
      <c r="BH468" s="3"/>
      <c r="BJ468" s="3"/>
      <c r="BK468" s="3"/>
      <c r="BM468" s="3"/>
      <c r="BN468" s="5"/>
      <c r="BP468" s="3"/>
      <c r="BS468" s="3"/>
      <c r="BT468" s="3"/>
      <c r="BV468" s="3"/>
      <c r="BW468" s="3"/>
      <c r="BY468" s="3"/>
      <c r="BZ468" s="3"/>
      <c r="CB468" s="3"/>
      <c r="CC468" s="5"/>
      <c r="CE468" s="3"/>
      <c r="CH468" s="3"/>
      <c r="CI468" s="3"/>
      <c r="CK468" s="3"/>
      <c r="CL468" s="3"/>
      <c r="CN468" s="3"/>
      <c r="CO468" s="3"/>
      <c r="CQ468" s="3"/>
      <c r="CR468" s="5"/>
      <c r="CT468" s="3"/>
      <c r="CW468" s="3"/>
      <c r="CX468" s="3"/>
      <c r="CZ468" s="3"/>
      <c r="DA468" s="3"/>
      <c r="DC468" s="3"/>
      <c r="DD468" s="3"/>
      <c r="DF468" s="3"/>
      <c r="DG468" s="5"/>
      <c r="DI468" s="3"/>
      <c r="DL468" s="3"/>
      <c r="DM468" s="3"/>
      <c r="DO468" s="3"/>
      <c r="DP468" s="3"/>
      <c r="DR468" s="3"/>
      <c r="DS468" s="1" t="str">
        <f>_xlfn.XLOOKUP(OfficeForms.Table[[#This Row],[Selecione a Categoria do Laboratório desta atividade prática:]],Planilha1!A:A,Planilha1!B:B)</f>
        <v>EMF-ISN</v>
      </c>
      <c r="DT468" s="1" t="str">
        <f>CONCATENATE(OfficeForms.Table[[#This Row],[Selecione seu Polo Laboratório de Atividades Presenciais:]],OfficeForms.Table[[#This Row],[CHAVE CONVERSÃO]])</f>
        <v>Praia Grande/SPEMF-ISN</v>
      </c>
      <c r="DU46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46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46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468" s="1" t="str">
        <f>_xlfn.XLOOKUP(OfficeForms.Table[[#This Row],[CHAVE LINK POLO]],'[1]Quadro Geral de Lotação'!$B:$B,'[1]Quadro Geral de Lotação'!$I:$I)</f>
        <v>Eliana Lazari Vieira Goncalves</v>
      </c>
      <c r="DY468" s="1" t="str">
        <f>OfficeForms.Table[[#This Row],[Selecione a Ordem de Disciplina]]</f>
        <v>Ordem 2</v>
      </c>
    </row>
    <row r="469" spans="1:129" ht="34.15" customHeight="1">
      <c r="A469" s="1">
        <v>469</v>
      </c>
      <c r="B469" s="2">
        <v>46106.895636574103</v>
      </c>
      <c r="C469" s="2">
        <v>46106.897650462997</v>
      </c>
      <c r="D469" s="3" t="s">
        <v>357</v>
      </c>
      <c r="E469" s="3" t="s">
        <v>358</v>
      </c>
      <c r="G469" s="3"/>
      <c r="I469" s="3" t="s">
        <v>359</v>
      </c>
      <c r="K469" s="3"/>
      <c r="L469" s="1" t="s">
        <v>678</v>
      </c>
      <c r="O469" s="3" t="s">
        <v>156</v>
      </c>
      <c r="Q469" s="3"/>
      <c r="R469" s="3"/>
      <c r="T469" s="3"/>
      <c r="U469" s="5"/>
      <c r="W469" s="3"/>
      <c r="Z469" s="3"/>
      <c r="AA469" s="3"/>
      <c r="AC469" s="3"/>
      <c r="AD469" s="3"/>
      <c r="AF469" s="3"/>
      <c r="AG469" s="3"/>
      <c r="AI469" s="3"/>
      <c r="AJ469" s="1"/>
      <c r="AL469" s="3"/>
      <c r="AO469" s="3"/>
      <c r="AP469" s="3"/>
      <c r="AR469" s="3"/>
      <c r="AS469" s="3"/>
      <c r="AU469" s="3"/>
      <c r="AV469" s="3"/>
      <c r="AX469" s="3"/>
      <c r="AY469" s="5"/>
      <c r="BA469" s="3"/>
      <c r="BD469" s="3"/>
      <c r="BE469" s="3"/>
      <c r="BG469" s="3"/>
      <c r="BH469" s="3"/>
      <c r="BJ469" s="3"/>
      <c r="BK469" s="3" t="s">
        <v>1240</v>
      </c>
      <c r="BM469" s="3"/>
      <c r="BN469" s="5">
        <v>46105</v>
      </c>
      <c r="BP469" s="3"/>
      <c r="BQ469" s="1">
        <v>12</v>
      </c>
      <c r="BS469" s="3"/>
      <c r="BT469" s="3" t="s">
        <v>1498</v>
      </c>
      <c r="BV469" s="3"/>
      <c r="BW469" s="3" t="s">
        <v>1499</v>
      </c>
      <c r="BY469" s="3"/>
      <c r="BZ469" s="3"/>
      <c r="CB469" s="3"/>
      <c r="CC469" s="5"/>
      <c r="CE469" s="3"/>
      <c r="CH469" s="3"/>
      <c r="CI469" s="3"/>
      <c r="CK469" s="3"/>
      <c r="CL469" s="3"/>
      <c r="CN469" s="3"/>
      <c r="CO469" s="3"/>
      <c r="CQ469" s="3"/>
      <c r="CR469" s="5"/>
      <c r="CT469" s="3"/>
      <c r="CW469" s="3"/>
      <c r="CX469" s="3"/>
      <c r="CZ469" s="3"/>
      <c r="DA469" s="3"/>
      <c r="DC469" s="3"/>
      <c r="DD469" s="3"/>
      <c r="DF469" s="3"/>
      <c r="DG469" s="5"/>
      <c r="DI469" s="3"/>
      <c r="DL469" s="3"/>
      <c r="DM469" s="3"/>
      <c r="DO469" s="3"/>
      <c r="DP469" s="3"/>
      <c r="DR469" s="3"/>
      <c r="DS469" s="1" t="str">
        <f>_xlfn.XLOOKUP(OfficeForms.Table[[#This Row],[Selecione a Categoria do Laboratório desta atividade prática:]],Planilha1!A:A,Planilha1!B:B)</f>
        <v>NTR</v>
      </c>
      <c r="DT469" s="1" t="str">
        <f>CONCATENATE(OfficeForms.Table[[#This Row],[Selecione seu Polo Laboratório de Atividades Presenciais:]],OfficeForms.Table[[#This Row],[CHAVE CONVERSÃO]])</f>
        <v>São Pedro da Aldeia/RJNTR</v>
      </c>
      <c r="DU46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46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6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469" s="1" t="str">
        <f>_xlfn.XLOOKUP(OfficeForms.Table[[#This Row],[CHAVE LINK POLO]],'[1]Quadro Geral de Lotação'!$B:$B,'[1]Quadro Geral de Lotação'!$I:$I)</f>
        <v>Natalia Silva De Mattos</v>
      </c>
      <c r="DY469" s="1" t="str">
        <f>OfficeForms.Table[[#This Row],[Selecione a Ordem de Disciplina]]</f>
        <v>Ordem 2</v>
      </c>
    </row>
    <row r="470" spans="1:129" ht="34.15" customHeight="1">
      <c r="A470" s="1">
        <v>470</v>
      </c>
      <c r="B470" s="2">
        <v>46106.917152777802</v>
      </c>
      <c r="C470" s="2">
        <v>46106.917939814797</v>
      </c>
      <c r="D470" s="3" t="s">
        <v>357</v>
      </c>
      <c r="E470" s="3" t="s">
        <v>358</v>
      </c>
      <c r="G470" s="3"/>
      <c r="I470" s="3" t="s">
        <v>359</v>
      </c>
      <c r="K470" s="3"/>
      <c r="L470" s="1" t="s">
        <v>678</v>
      </c>
      <c r="O470" s="3" t="s">
        <v>156</v>
      </c>
      <c r="Q470" s="3"/>
      <c r="R470" s="3"/>
      <c r="T470" s="3"/>
      <c r="U470" s="5"/>
      <c r="W470" s="3"/>
      <c r="Z470" s="3"/>
      <c r="AA470" s="3"/>
      <c r="AC470" s="3"/>
      <c r="AD470" s="3"/>
      <c r="AF470" s="3"/>
      <c r="AG470" s="3"/>
      <c r="AI470" s="3"/>
      <c r="AJ470" s="1"/>
      <c r="AL470" s="3"/>
      <c r="AO470" s="3"/>
      <c r="AP470" s="3"/>
      <c r="AR470" s="3"/>
      <c r="AS470" s="3"/>
      <c r="AU470" s="3"/>
      <c r="AV470" s="3"/>
      <c r="AX470" s="3"/>
      <c r="AY470" s="5"/>
      <c r="BA470" s="3"/>
      <c r="BD470" s="3"/>
      <c r="BE470" s="3"/>
      <c r="BG470" s="3"/>
      <c r="BH470" s="3"/>
      <c r="BJ470" s="3"/>
      <c r="BK470" s="3" t="s">
        <v>1500</v>
      </c>
      <c r="BM470" s="3"/>
      <c r="BN470" s="5">
        <v>46106</v>
      </c>
      <c r="BP470" s="3"/>
      <c r="BQ470" s="1">
        <v>0</v>
      </c>
      <c r="BS470" s="3"/>
      <c r="BT470" s="3" t="s">
        <v>1501</v>
      </c>
      <c r="BV470" s="3"/>
      <c r="BW470" s="3" t="s">
        <v>1502</v>
      </c>
      <c r="BY470" s="3"/>
      <c r="BZ470" s="3"/>
      <c r="CB470" s="3"/>
      <c r="CC470" s="5"/>
      <c r="CE470" s="3"/>
      <c r="CH470" s="3"/>
      <c r="CI470" s="3"/>
      <c r="CK470" s="3"/>
      <c r="CL470" s="3"/>
      <c r="CN470" s="3"/>
      <c r="CO470" s="3"/>
      <c r="CQ470" s="3"/>
      <c r="CR470" s="5"/>
      <c r="CT470" s="3"/>
      <c r="CW470" s="3"/>
      <c r="CX470" s="3"/>
      <c r="CZ470" s="3"/>
      <c r="DA470" s="3"/>
      <c r="DC470" s="3"/>
      <c r="DD470" s="3"/>
      <c r="DF470" s="3"/>
      <c r="DG470" s="5"/>
      <c r="DI470" s="3"/>
      <c r="DL470" s="3"/>
      <c r="DM470" s="3"/>
      <c r="DO470" s="3"/>
      <c r="DP470" s="3"/>
      <c r="DR470" s="3"/>
      <c r="DS470" s="1" t="str">
        <f>_xlfn.XLOOKUP(OfficeForms.Table[[#This Row],[Selecione a Categoria do Laboratório desta atividade prática:]],Planilha1!A:A,Planilha1!B:B)</f>
        <v>NTR</v>
      </c>
      <c r="DT470" s="1" t="str">
        <f>CONCATENATE(OfficeForms.Table[[#This Row],[Selecione seu Polo Laboratório de Atividades Presenciais:]],OfficeForms.Table[[#This Row],[CHAVE CONVERSÃO]])</f>
        <v>São Pedro da Aldeia/RJNTR</v>
      </c>
      <c r="DU47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Gastronomia pediátrica;Estudo de caso dirigido  - relacionado ao caso destacado na receita preparada.</v>
      </c>
      <c r="DV47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47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70" s="1" t="str">
        <f>_xlfn.XLOOKUP(OfficeForms.Table[[#This Row],[CHAVE LINK POLO]],'[1]Quadro Geral de Lotação'!$B:$B,'[1]Quadro Geral de Lotação'!$I:$I)</f>
        <v>Natalia Silva De Mattos</v>
      </c>
      <c r="DY470" s="1" t="str">
        <f>OfficeForms.Table[[#This Row],[Selecione a Ordem de Disciplina]]</f>
        <v>Ordem 2</v>
      </c>
    </row>
    <row r="471" spans="1:129" ht="34.15" customHeight="1">
      <c r="A471" s="1">
        <v>471</v>
      </c>
      <c r="B471" s="2">
        <v>46106.917627314797</v>
      </c>
      <c r="C471" s="2">
        <v>46106.920127314799</v>
      </c>
      <c r="D471" s="3" t="s">
        <v>1431</v>
      </c>
      <c r="E471" s="3" t="s">
        <v>1432</v>
      </c>
      <c r="G471" s="3"/>
      <c r="I471" s="3" t="s">
        <v>825</v>
      </c>
      <c r="K471" s="3"/>
      <c r="L471" s="1" t="s">
        <v>678</v>
      </c>
      <c r="O471" s="3" t="s">
        <v>177</v>
      </c>
      <c r="Q471" s="3"/>
      <c r="R471" s="3"/>
      <c r="T471" s="3"/>
      <c r="U471" s="5"/>
      <c r="W471" s="3"/>
      <c r="Z471" s="3"/>
      <c r="AA471" s="3"/>
      <c r="AC471" s="3"/>
      <c r="AD471" s="3"/>
      <c r="AF471" s="3"/>
      <c r="AG471" s="3"/>
      <c r="AI471" s="3"/>
      <c r="AJ471" s="1"/>
      <c r="AL471" s="3"/>
      <c r="AO471" s="3"/>
      <c r="AP471" s="3"/>
      <c r="AR471" s="3"/>
      <c r="AS471" s="3"/>
      <c r="AU471" s="3"/>
      <c r="AV471" s="3"/>
      <c r="AX471" s="3"/>
      <c r="AY471" s="5"/>
      <c r="BA471" s="3"/>
      <c r="BD471" s="3"/>
      <c r="BE471" s="3"/>
      <c r="BG471" s="3"/>
      <c r="BH471" s="3"/>
      <c r="BJ471" s="3"/>
      <c r="BK471" s="3"/>
      <c r="BM471" s="3"/>
      <c r="BN471" s="5"/>
      <c r="BP471" s="3"/>
      <c r="BS471" s="3"/>
      <c r="BT471" s="3"/>
      <c r="BV471" s="3"/>
      <c r="BW471" s="3"/>
      <c r="BY471" s="3"/>
      <c r="BZ471" s="3"/>
      <c r="CB471" s="3"/>
      <c r="CC471" s="5"/>
      <c r="CE471" s="3"/>
      <c r="CH471" s="3"/>
      <c r="CI471" s="3"/>
      <c r="CK471" s="3"/>
      <c r="CL471" s="3"/>
      <c r="CN471" s="3"/>
      <c r="CO471" s="3"/>
      <c r="CQ471" s="3"/>
      <c r="CR471" s="5"/>
      <c r="CT471" s="3"/>
      <c r="CW471" s="3"/>
      <c r="CX471" s="3"/>
      <c r="CZ471" s="3"/>
      <c r="DA471" s="3"/>
      <c r="DC471" s="3"/>
      <c r="DD471" s="3" t="s">
        <v>200</v>
      </c>
      <c r="DF471" s="3"/>
      <c r="DG471" s="5">
        <v>46095</v>
      </c>
      <c r="DI471" s="3"/>
      <c r="DJ471" s="1">
        <v>11</v>
      </c>
      <c r="DL471" s="3"/>
      <c r="DM471" s="3" t="s">
        <v>1503</v>
      </c>
      <c r="DO471" s="3"/>
      <c r="DP471" s="3" t="s">
        <v>1504</v>
      </c>
      <c r="DR471" s="3"/>
      <c r="DS471" s="1" t="str">
        <f>_xlfn.XLOOKUP(OfficeForms.Table[[#This Row],[Selecione a Categoria do Laboratório desta atividade prática:]],Planilha1!A:A,Planilha1!B:B)</f>
        <v>AGM</v>
      </c>
      <c r="DT471" s="1" t="str">
        <f>CONCATENATE(OfficeForms.Table[[#This Row],[Selecione seu Polo Laboratório de Atividades Presenciais:]],OfficeForms.Table[[#This Row],[CHAVE CONVERSÃO]])</f>
        <v>Manaus/AM - Cidade NovaAGM</v>
      </c>
      <c r="DU47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Métodos de determinação da fertilidade do solo</v>
      </c>
      <c r="DV47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47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471" s="1" t="str">
        <f>_xlfn.XLOOKUP(OfficeForms.Table[[#This Row],[CHAVE LINK POLO]],'[1]Quadro Geral de Lotação'!$B:$B,'[1]Quadro Geral de Lotação'!$I:$I)</f>
        <v>Mauro Da Silva Alves</v>
      </c>
      <c r="DY471" s="1" t="str">
        <f>OfficeForms.Table[[#This Row],[Selecione a Ordem de Disciplina]]</f>
        <v>Ordem 2</v>
      </c>
    </row>
    <row r="472" spans="1:129" ht="34.15" customHeight="1">
      <c r="A472" s="1">
        <v>472</v>
      </c>
      <c r="B472" s="2">
        <v>46106.920219907399</v>
      </c>
      <c r="C472" s="2">
        <v>46106.922835648104</v>
      </c>
      <c r="D472" s="3" t="s">
        <v>1431</v>
      </c>
      <c r="E472" s="3" t="s">
        <v>1432</v>
      </c>
      <c r="G472" s="3"/>
      <c r="I472" s="3" t="s">
        <v>825</v>
      </c>
      <c r="K472" s="3"/>
      <c r="L472" s="1" t="s">
        <v>678</v>
      </c>
      <c r="O472" s="3" t="s">
        <v>177</v>
      </c>
      <c r="Q472" s="3"/>
      <c r="R472" s="3"/>
      <c r="T472" s="3"/>
      <c r="U472" s="5"/>
      <c r="W472" s="3"/>
      <c r="Z472" s="3"/>
      <c r="AA472" s="3"/>
      <c r="AC472" s="3"/>
      <c r="AD472" s="3"/>
      <c r="AF472" s="3"/>
      <c r="AG472" s="3"/>
      <c r="AI472" s="3"/>
      <c r="AJ472" s="1"/>
      <c r="AL472" s="3"/>
      <c r="AO472" s="3"/>
      <c r="AP472" s="3"/>
      <c r="AR472" s="3"/>
      <c r="AS472" s="3"/>
      <c r="AU472" s="3"/>
      <c r="AV472" s="3"/>
      <c r="AX472" s="3"/>
      <c r="AY472" s="5"/>
      <c r="BA472" s="3"/>
      <c r="BD472" s="3"/>
      <c r="BE472" s="3"/>
      <c r="BG472" s="3"/>
      <c r="BH472" s="3"/>
      <c r="BJ472" s="3"/>
      <c r="BK472" s="3"/>
      <c r="BM472" s="3"/>
      <c r="BN472" s="5"/>
      <c r="BP472" s="3"/>
      <c r="BS472" s="3"/>
      <c r="BT472" s="3"/>
      <c r="BV472" s="3"/>
      <c r="BW472" s="3"/>
      <c r="BY472" s="3"/>
      <c r="BZ472" s="3"/>
      <c r="CB472" s="3"/>
      <c r="CC472" s="5"/>
      <c r="CE472" s="3"/>
      <c r="CH472" s="3"/>
      <c r="CI472" s="3"/>
      <c r="CK472" s="3"/>
      <c r="CL472" s="3"/>
      <c r="CN472" s="3"/>
      <c r="CO472" s="3"/>
      <c r="CQ472" s="3"/>
      <c r="CR472" s="5"/>
      <c r="CT472" s="3"/>
      <c r="CW472" s="3"/>
      <c r="CX472" s="3"/>
      <c r="CZ472" s="3"/>
      <c r="DA472" s="3"/>
      <c r="DC472" s="3"/>
      <c r="DD472" s="3" t="s">
        <v>458</v>
      </c>
      <c r="DF472" s="3"/>
      <c r="DG472" s="5">
        <v>46102</v>
      </c>
      <c r="DI472" s="3"/>
      <c r="DJ472" s="1">
        <v>7</v>
      </c>
      <c r="DL472" s="3"/>
      <c r="DM472" s="3" t="s">
        <v>1505</v>
      </c>
      <c r="DO472" s="3"/>
      <c r="DP472" s="3" t="s">
        <v>1506</v>
      </c>
      <c r="DR472" s="3"/>
      <c r="DS472" s="1" t="str">
        <f>_xlfn.XLOOKUP(OfficeForms.Table[[#This Row],[Selecione a Categoria do Laboratório desta atividade prática:]],Planilha1!A:A,Planilha1!B:B)</f>
        <v>AGM</v>
      </c>
      <c r="DT472" s="1" t="str">
        <f>CONCATENATE(OfficeForms.Table[[#This Row],[Selecione seu Polo Laboratório de Atividades Presenciais:]],OfficeForms.Table[[#This Row],[CHAVE CONVERSÃO]])</f>
        <v>Manaus/AM - Cidade NovaAGM</v>
      </c>
      <c r="DU47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Diagnóstico de Doenças de Plantas em laboratório: Identificação de Sintomas, Sinais e Estruturas Patogênicas</v>
      </c>
      <c r="DV47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47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472" s="1" t="str">
        <f>_xlfn.XLOOKUP(OfficeForms.Table[[#This Row],[CHAVE LINK POLO]],'[1]Quadro Geral de Lotação'!$B:$B,'[1]Quadro Geral de Lotação'!$I:$I)</f>
        <v>Mauro Da Silva Alves</v>
      </c>
      <c r="DY472" s="1" t="str">
        <f>OfficeForms.Table[[#This Row],[Selecione a Ordem de Disciplina]]</f>
        <v>Ordem 2</v>
      </c>
    </row>
    <row r="473" spans="1:129" ht="34.15" customHeight="1">
      <c r="A473" s="1">
        <v>473</v>
      </c>
      <c r="B473" s="2">
        <v>46106.924756944398</v>
      </c>
      <c r="C473" s="2">
        <v>46106.928668981498</v>
      </c>
      <c r="D473" s="3" t="s">
        <v>1431</v>
      </c>
      <c r="E473" s="3" t="s">
        <v>1432</v>
      </c>
      <c r="G473" s="3"/>
      <c r="I473" s="3" t="s">
        <v>825</v>
      </c>
      <c r="K473" s="3"/>
      <c r="L473" s="1" t="s">
        <v>678</v>
      </c>
      <c r="O473" s="3" t="s">
        <v>177</v>
      </c>
      <c r="Q473" s="3"/>
      <c r="R473" s="3"/>
      <c r="T473" s="3"/>
      <c r="U473" s="5"/>
      <c r="W473" s="3"/>
      <c r="Z473" s="3"/>
      <c r="AA473" s="3"/>
      <c r="AC473" s="3"/>
      <c r="AD473" s="3"/>
      <c r="AF473" s="3"/>
      <c r="AG473" s="3"/>
      <c r="AI473" s="3"/>
      <c r="AJ473" s="1"/>
      <c r="AL473" s="3"/>
      <c r="AO473" s="3"/>
      <c r="AP473" s="3"/>
      <c r="AR473" s="3"/>
      <c r="AS473" s="3"/>
      <c r="AU473" s="3"/>
      <c r="AV473" s="3"/>
      <c r="AX473" s="3"/>
      <c r="AY473" s="5"/>
      <c r="BA473" s="3"/>
      <c r="BD473" s="3"/>
      <c r="BE473" s="3"/>
      <c r="BG473" s="3"/>
      <c r="BH473" s="3"/>
      <c r="BJ473" s="3"/>
      <c r="BK473" s="3"/>
      <c r="BM473" s="3"/>
      <c r="BN473" s="5"/>
      <c r="BP473" s="3"/>
      <c r="BS473" s="3"/>
      <c r="BT473" s="3"/>
      <c r="BV473" s="3"/>
      <c r="BW473" s="3"/>
      <c r="BY473" s="3"/>
      <c r="BZ473" s="3"/>
      <c r="CB473" s="3"/>
      <c r="CC473" s="5"/>
      <c r="CE473" s="3"/>
      <c r="CH473" s="3"/>
      <c r="CI473" s="3"/>
      <c r="CK473" s="3"/>
      <c r="CL473" s="3"/>
      <c r="CN473" s="3"/>
      <c r="CO473" s="3"/>
      <c r="CQ473" s="3"/>
      <c r="CR473" s="5"/>
      <c r="CT473" s="3"/>
      <c r="CW473" s="3"/>
      <c r="CX473" s="3"/>
      <c r="CZ473" s="3"/>
      <c r="DA473" s="3"/>
      <c r="DC473" s="3"/>
      <c r="DD473" s="3" t="s">
        <v>458</v>
      </c>
      <c r="DF473" s="3"/>
      <c r="DG473" s="5">
        <v>46081</v>
      </c>
      <c r="DI473" s="3"/>
      <c r="DJ473" s="1">
        <v>7</v>
      </c>
      <c r="DL473" s="3"/>
      <c r="DM473" s="3" t="s">
        <v>1507</v>
      </c>
      <c r="DO473" s="3"/>
      <c r="DP473" s="3" t="s">
        <v>1508</v>
      </c>
      <c r="DR473" s="3"/>
      <c r="DS473" s="1" t="str">
        <f>_xlfn.XLOOKUP(OfficeForms.Table[[#This Row],[Selecione a Categoria do Laboratório desta atividade prática:]],Planilha1!A:A,Planilha1!B:B)</f>
        <v>AGM</v>
      </c>
      <c r="DT473" s="1" t="str">
        <f>CONCATENATE(OfficeForms.Table[[#This Row],[Selecione seu Polo Laboratório de Atividades Presenciais:]],OfficeForms.Table[[#This Row],[CHAVE CONVERSÃO]])</f>
        <v>Manaus/AM - Cidade NovaAGM</v>
      </c>
      <c r="DU47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Diagnóstico de Doenças de Plantas em laboratório: Identificação de Sintomas, Sinais e Estruturas Patogênicas</v>
      </c>
      <c r="DV47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47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473" s="1" t="str">
        <f>_xlfn.XLOOKUP(OfficeForms.Table[[#This Row],[CHAVE LINK POLO]],'[1]Quadro Geral de Lotação'!$B:$B,'[1]Quadro Geral de Lotação'!$I:$I)</f>
        <v>Mauro Da Silva Alves</v>
      </c>
      <c r="DY473" s="1" t="str">
        <f>OfficeForms.Table[[#This Row],[Selecione a Ordem de Disciplina]]</f>
        <v>Ordem 2</v>
      </c>
    </row>
    <row r="474" spans="1:129" ht="34.15" customHeight="1">
      <c r="A474" s="1">
        <v>474</v>
      </c>
      <c r="B474" s="2">
        <v>46107.3100694444</v>
      </c>
      <c r="C474" s="2">
        <v>46107.312916666699</v>
      </c>
      <c r="D474" s="3" t="s">
        <v>306</v>
      </c>
      <c r="E474" s="3" t="s">
        <v>307</v>
      </c>
      <c r="G474" s="3"/>
      <c r="I474" s="3" t="s">
        <v>308</v>
      </c>
      <c r="K474" s="3"/>
      <c r="L474" s="1" t="s">
        <v>678</v>
      </c>
      <c r="O474" s="3" t="s">
        <v>133</v>
      </c>
      <c r="Q474" s="3"/>
      <c r="R474" s="3"/>
      <c r="T474" s="3"/>
      <c r="U474" s="5"/>
      <c r="W474" s="3"/>
      <c r="Z474" s="3"/>
      <c r="AA474" s="3"/>
      <c r="AC474" s="3"/>
      <c r="AD474" s="3"/>
      <c r="AF474" s="3"/>
      <c r="AG474" s="3"/>
      <c r="AI474" s="3"/>
      <c r="AJ474" s="1"/>
      <c r="AL474" s="3"/>
      <c r="AO474" s="3"/>
      <c r="AP474" s="3"/>
      <c r="AR474" s="3"/>
      <c r="AS474" s="3"/>
      <c r="AU474" s="3"/>
      <c r="AV474" s="3" t="s">
        <v>1049</v>
      </c>
      <c r="AX474" s="3"/>
      <c r="AY474" s="5">
        <v>46106</v>
      </c>
      <c r="BA474" s="3"/>
      <c r="BB474" s="1">
        <v>3</v>
      </c>
      <c r="BD474" s="3"/>
      <c r="BE474" s="3" t="s">
        <v>1509</v>
      </c>
      <c r="BG474" s="3"/>
      <c r="BH474" s="3" t="s">
        <v>1510</v>
      </c>
      <c r="BJ474" s="3"/>
      <c r="BK474" s="3"/>
      <c r="BM474" s="3"/>
      <c r="BN474" s="5"/>
      <c r="BP474" s="3"/>
      <c r="BS474" s="3"/>
      <c r="BT474" s="3"/>
      <c r="BV474" s="3"/>
      <c r="BW474" s="3"/>
      <c r="BY474" s="3"/>
      <c r="BZ474" s="3"/>
      <c r="CB474" s="3"/>
      <c r="CC474" s="5"/>
      <c r="CE474" s="3"/>
      <c r="CH474" s="3"/>
      <c r="CI474" s="3"/>
      <c r="CK474" s="3"/>
      <c r="CL474" s="3"/>
      <c r="CN474" s="3"/>
      <c r="CO474" s="3"/>
      <c r="CQ474" s="3"/>
      <c r="CR474" s="5"/>
      <c r="CT474" s="3"/>
      <c r="CW474" s="3"/>
      <c r="CX474" s="3"/>
      <c r="CZ474" s="3"/>
      <c r="DA474" s="3"/>
      <c r="DC474" s="3"/>
      <c r="DD474" s="3"/>
      <c r="DF474" s="3"/>
      <c r="DG474" s="5"/>
      <c r="DI474" s="3"/>
      <c r="DL474" s="3"/>
      <c r="DM474" s="3"/>
      <c r="DO474" s="3"/>
      <c r="DP474" s="3"/>
      <c r="DR474" s="3"/>
      <c r="DS474" s="1" t="str">
        <f>_xlfn.XLOOKUP(OfficeForms.Table[[#This Row],[Selecione a Categoria do Laboratório desta atividade prática:]],Planilha1!A:A,Planilha1!B:B)</f>
        <v>BFI</v>
      </c>
      <c r="DT474" s="1" t="str">
        <f>CONCATENATE(OfficeForms.Table[[#This Row],[Selecione seu Polo Laboratório de Atividades Presenciais:]],OfficeForms.Table[[#This Row],[CHAVE CONVERSÃO]])</f>
        <v>Salvador/BA - Caminho das ÁrvoresBFI</v>
      </c>
      <c r="DU47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Tratamento de Redução de Medida;Tratamento Flacidez dérmica</v>
      </c>
      <c r="DV47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47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474" s="1" t="str">
        <f>_xlfn.XLOOKUP(OfficeForms.Table[[#This Row],[CHAVE LINK POLO]],'[1]Quadro Geral de Lotação'!$B:$B,'[1]Quadro Geral de Lotação'!$I:$I)</f>
        <v>Helenice Sacramento Souza Melo</v>
      </c>
      <c r="DY474" s="1" t="str">
        <f>OfficeForms.Table[[#This Row],[Selecione a Ordem de Disciplina]]</f>
        <v>Ordem 2</v>
      </c>
    </row>
    <row r="475" spans="1:129" ht="34.15" customHeight="1">
      <c r="A475" s="1">
        <v>475</v>
      </c>
      <c r="B475" s="2">
        <v>46107.497361111098</v>
      </c>
      <c r="C475" s="2">
        <v>46107.499004629601</v>
      </c>
      <c r="D475" s="3" t="s">
        <v>526</v>
      </c>
      <c r="E475" s="3" t="s">
        <v>527</v>
      </c>
      <c r="G475" s="3"/>
      <c r="I475" s="3" t="s">
        <v>528</v>
      </c>
      <c r="K475" s="3"/>
      <c r="L475" s="1" t="s">
        <v>678</v>
      </c>
      <c r="O475" s="3" t="s">
        <v>184</v>
      </c>
      <c r="Q475" s="3"/>
      <c r="R475" s="3"/>
      <c r="T475" s="3"/>
      <c r="U475" s="5"/>
      <c r="W475" s="3"/>
      <c r="Z475" s="3"/>
      <c r="AA475" s="3"/>
      <c r="AC475" s="3"/>
      <c r="AD475" s="3"/>
      <c r="AF475" s="3"/>
      <c r="AG475" s="3" t="s">
        <v>1511</v>
      </c>
      <c r="AI475" s="3"/>
      <c r="AJ475" s="1">
        <v>46105</v>
      </c>
      <c r="AL475" s="3"/>
      <c r="AM475" s="1">
        <v>3</v>
      </c>
      <c r="AO475" s="3"/>
      <c r="AP475" s="3" t="s">
        <v>1512</v>
      </c>
      <c r="AR475" s="3"/>
      <c r="AS475" s="3" t="s">
        <v>1513</v>
      </c>
      <c r="AU475" s="3"/>
      <c r="AV475" s="3"/>
      <c r="AX475" s="3"/>
      <c r="AY475" s="5"/>
      <c r="BA475" s="3"/>
      <c r="BD475" s="3"/>
      <c r="BE475" s="3"/>
      <c r="BG475" s="3"/>
      <c r="BH475" s="3"/>
      <c r="BJ475" s="3"/>
      <c r="BK475" s="3"/>
      <c r="BM475" s="3"/>
      <c r="BN475" s="5"/>
      <c r="BP475" s="3"/>
      <c r="BS475" s="3"/>
      <c r="BT475" s="3"/>
      <c r="BV475" s="3"/>
      <c r="BW475" s="3"/>
      <c r="BY475" s="3"/>
      <c r="BZ475" s="3"/>
      <c r="CB475" s="3"/>
      <c r="CC475" s="5"/>
      <c r="CE475" s="3"/>
      <c r="CH475" s="3"/>
      <c r="CI475" s="3"/>
      <c r="CK475" s="3"/>
      <c r="CL475" s="3"/>
      <c r="CN475" s="3"/>
      <c r="CO475" s="3"/>
      <c r="CQ475" s="3"/>
      <c r="CR475" s="5"/>
      <c r="CT475" s="3"/>
      <c r="CW475" s="3"/>
      <c r="CX475" s="3"/>
      <c r="CZ475" s="3"/>
      <c r="DA475" s="3"/>
      <c r="DC475" s="3"/>
      <c r="DD475" s="3"/>
      <c r="DF475" s="3"/>
      <c r="DG475" s="5"/>
      <c r="DI475" s="3"/>
      <c r="DL475" s="3"/>
      <c r="DM475" s="3"/>
      <c r="DO475" s="3"/>
      <c r="DP475" s="3"/>
      <c r="DR475" s="3"/>
      <c r="DS475" s="1" t="str">
        <f>_xlfn.XLOOKUP(OfficeForms.Table[[#This Row],[Selecione a Categoria do Laboratório desta atividade prática:]],Planilha1!A:A,Planilha1!B:B)</f>
        <v>EMF-ISN</v>
      </c>
      <c r="DT475" s="1" t="str">
        <f>CONCATENATE(OfficeForms.Table[[#This Row],[Selecione seu Polo Laboratório de Atividades Presenciais:]],OfficeForms.Table[[#This Row],[CHAVE CONVERSÃO]])</f>
        <v>Sinop/MTEMF-ISN</v>
      </c>
      <c r="DU47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Sondagem vesical de alívio + Sondagem vesical de demora</v>
      </c>
      <c r="DV47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7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475" s="1" t="str">
        <f>_xlfn.XLOOKUP(OfficeForms.Table[[#This Row],[CHAVE LINK POLO]],'[1]Quadro Geral de Lotação'!$B:$B,'[1]Quadro Geral de Lotação'!$I:$I)</f>
        <v>Sara Jane Amann</v>
      </c>
      <c r="DY475" s="1" t="str">
        <f>OfficeForms.Table[[#This Row],[Selecione a Ordem de Disciplina]]</f>
        <v>Ordem 2</v>
      </c>
    </row>
    <row r="476" spans="1:129" ht="34.15" customHeight="1">
      <c r="A476" s="1">
        <v>476</v>
      </c>
      <c r="B476" s="2">
        <v>46107.544374999998</v>
      </c>
      <c r="C476" s="2">
        <v>46107.546134259297</v>
      </c>
      <c r="D476" s="3" t="s">
        <v>129</v>
      </c>
      <c r="E476" s="3" t="s">
        <v>130</v>
      </c>
      <c r="G476" s="3"/>
      <c r="I476" s="3" t="s">
        <v>131</v>
      </c>
      <c r="K476" s="3"/>
      <c r="L476" s="1" t="s">
        <v>678</v>
      </c>
      <c r="O476" s="3" t="s">
        <v>133</v>
      </c>
      <c r="Q476" s="3"/>
      <c r="R476" s="3"/>
      <c r="T476" s="3"/>
      <c r="U476" s="5"/>
      <c r="W476" s="3"/>
      <c r="Z476" s="3"/>
      <c r="AA476" s="3"/>
      <c r="AC476" s="3"/>
      <c r="AD476" s="3"/>
      <c r="AF476" s="3"/>
      <c r="AG476" s="3"/>
      <c r="AI476" s="3"/>
      <c r="AJ476" s="1"/>
      <c r="AL476" s="3"/>
      <c r="AO476" s="3"/>
      <c r="AP476" s="3"/>
      <c r="AR476" s="3"/>
      <c r="AS476" s="3"/>
      <c r="AU476" s="3"/>
      <c r="AV476" s="3" t="s">
        <v>1514</v>
      </c>
      <c r="AX476" s="3"/>
      <c r="AY476" s="5">
        <v>46106</v>
      </c>
      <c r="BA476" s="3"/>
      <c r="BB476" s="1">
        <v>6</v>
      </c>
      <c r="BD476" s="3"/>
      <c r="BE476" s="3" t="s">
        <v>1515</v>
      </c>
      <c r="BG476" s="3"/>
      <c r="BH476" s="3" t="s">
        <v>1516</v>
      </c>
      <c r="BJ476" s="3"/>
      <c r="BK476" s="3"/>
      <c r="BM476" s="3"/>
      <c r="BN476" s="5"/>
      <c r="BP476" s="3"/>
      <c r="BS476" s="3"/>
      <c r="BT476" s="3"/>
      <c r="BV476" s="3"/>
      <c r="BW476" s="3"/>
      <c r="BY476" s="3"/>
      <c r="BZ476" s="3"/>
      <c r="CB476" s="3"/>
      <c r="CC476" s="5"/>
      <c r="CE476" s="3"/>
      <c r="CH476" s="3"/>
      <c r="CI476" s="3"/>
      <c r="CK476" s="3"/>
      <c r="CL476" s="3"/>
      <c r="CN476" s="3"/>
      <c r="CO476" s="3"/>
      <c r="CQ476" s="3"/>
      <c r="CR476" s="5"/>
      <c r="CT476" s="3"/>
      <c r="CW476" s="3"/>
      <c r="CX476" s="3"/>
      <c r="CZ476" s="3"/>
      <c r="DA476" s="3"/>
      <c r="DC476" s="3"/>
      <c r="DD476" s="3"/>
      <c r="DF476" s="3"/>
      <c r="DG476" s="5"/>
      <c r="DI476" s="3"/>
      <c r="DL476" s="3"/>
      <c r="DM476" s="3"/>
      <c r="DO476" s="3"/>
      <c r="DP476" s="3"/>
      <c r="DR476" s="3"/>
      <c r="DS476" s="1" t="str">
        <f>_xlfn.XLOOKUP(OfficeForms.Table[[#This Row],[Selecione a Categoria do Laboratório desta atividade prática:]],Planilha1!A:A,Planilha1!B:B)</f>
        <v>BFI</v>
      </c>
      <c r="DT476" s="1" t="str">
        <f>CONCATENATE(OfficeForms.Table[[#This Row],[Selecione seu Polo Laboratório de Atividades Presenciais:]],OfficeForms.Table[[#This Row],[CHAVE CONVERSÃO]])</f>
        <v>Guarujá/SPBFI</v>
      </c>
      <c r="DU47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Articular e Goniometria: Avaliação Quantitativa na Prática Fisioterapêutica</v>
      </c>
      <c r="DV47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47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476" s="1" t="str">
        <f>_xlfn.XLOOKUP(OfficeForms.Table[[#This Row],[CHAVE LINK POLO]],'[1]Quadro Geral de Lotação'!$B:$B,'[1]Quadro Geral de Lotação'!$I:$I)</f>
        <v>Lucas Soares De Medeiros</v>
      </c>
      <c r="DY476" s="1" t="str">
        <f>OfficeForms.Table[[#This Row],[Selecione a Ordem de Disciplina]]</f>
        <v>Ordem 2</v>
      </c>
    </row>
    <row r="477" spans="1:129" ht="34.15" customHeight="1">
      <c r="A477" s="1">
        <v>477</v>
      </c>
      <c r="B477" s="2">
        <v>46107.550462963001</v>
      </c>
      <c r="C477" s="2">
        <v>46107.551249999997</v>
      </c>
      <c r="D477" s="3" t="s">
        <v>129</v>
      </c>
      <c r="E477" s="3" t="s">
        <v>130</v>
      </c>
      <c r="G477" s="3"/>
      <c r="I477" s="3" t="s">
        <v>131</v>
      </c>
      <c r="K477" s="3"/>
      <c r="L477" s="1" t="s">
        <v>678</v>
      </c>
      <c r="O477" s="3" t="s">
        <v>133</v>
      </c>
      <c r="Q477" s="3"/>
      <c r="R477" s="3"/>
      <c r="T477" s="3"/>
      <c r="U477" s="5"/>
      <c r="W477" s="3"/>
      <c r="Z477" s="3"/>
      <c r="AA477" s="3"/>
      <c r="AC477" s="3"/>
      <c r="AD477" s="3"/>
      <c r="AF477" s="3"/>
      <c r="AG477" s="3"/>
      <c r="AI477" s="3"/>
      <c r="AJ477" s="1"/>
      <c r="AL477" s="3"/>
      <c r="AO477" s="3"/>
      <c r="AP477" s="3"/>
      <c r="AR477" s="3"/>
      <c r="AS477" s="3"/>
      <c r="AU477" s="3"/>
      <c r="AV477" s="3" t="s">
        <v>1410</v>
      </c>
      <c r="AX477" s="3"/>
      <c r="AY477" s="5">
        <v>46106</v>
      </c>
      <c r="BA477" s="3"/>
      <c r="BB477" s="1">
        <v>6</v>
      </c>
      <c r="BD477" s="3"/>
      <c r="BE477" s="3" t="s">
        <v>1517</v>
      </c>
      <c r="BG477" s="3"/>
      <c r="BH477" s="3" t="s">
        <v>1518</v>
      </c>
      <c r="BJ477" s="3"/>
      <c r="BK477" s="3"/>
      <c r="BM477" s="3"/>
      <c r="BN477" s="5"/>
      <c r="BP477" s="3"/>
      <c r="BS477" s="3"/>
      <c r="BT477" s="3"/>
      <c r="BV477" s="3"/>
      <c r="BW477" s="3"/>
      <c r="BY477" s="3"/>
      <c r="BZ477" s="3"/>
      <c r="CB477" s="3"/>
      <c r="CC477" s="5"/>
      <c r="CE477" s="3"/>
      <c r="CH477" s="3"/>
      <c r="CI477" s="3"/>
      <c r="CK477" s="3"/>
      <c r="CL477" s="3"/>
      <c r="CN477" s="3"/>
      <c r="CO477" s="3"/>
      <c r="CQ477" s="3"/>
      <c r="CR477" s="5"/>
      <c r="CT477" s="3"/>
      <c r="CW477" s="3"/>
      <c r="CX477" s="3"/>
      <c r="CZ477" s="3"/>
      <c r="DA477" s="3"/>
      <c r="DC477" s="3"/>
      <c r="DD477" s="3"/>
      <c r="DF477" s="3"/>
      <c r="DG477" s="5"/>
      <c r="DI477" s="3"/>
      <c r="DL477" s="3"/>
      <c r="DM477" s="3"/>
      <c r="DO477" s="3"/>
      <c r="DP477" s="3"/>
      <c r="DR477" s="3"/>
      <c r="DS477" s="1" t="str">
        <f>_xlfn.XLOOKUP(OfficeForms.Table[[#This Row],[Selecione a Categoria do Laboratório desta atividade prática:]],Planilha1!A:A,Planilha1!B:B)</f>
        <v>BFI</v>
      </c>
      <c r="DT477" s="1" t="str">
        <f>CONCATENATE(OfficeForms.Table[[#This Row],[Selecione seu Polo Laboratório de Atividades Presenciais:]],OfficeForms.Table[[#This Row],[CHAVE CONVERSÃO]])</f>
        <v>Guarujá/SPBFI</v>
      </c>
      <c r="DU47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Funcional e Cinesiologia da Marcha: Observação e Análise em Laboratório Prático</v>
      </c>
      <c r="DV47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47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477" s="1" t="str">
        <f>_xlfn.XLOOKUP(OfficeForms.Table[[#This Row],[CHAVE LINK POLO]],'[1]Quadro Geral de Lotação'!$B:$B,'[1]Quadro Geral de Lotação'!$I:$I)</f>
        <v>Lucas Soares De Medeiros</v>
      </c>
      <c r="DY477" s="1" t="str">
        <f>OfficeForms.Table[[#This Row],[Selecione a Ordem de Disciplina]]</f>
        <v>Ordem 2</v>
      </c>
    </row>
    <row r="478" spans="1:129" ht="34.15" customHeight="1">
      <c r="A478" s="1">
        <v>478</v>
      </c>
      <c r="B478" s="2">
        <v>46107.669236111098</v>
      </c>
      <c r="C478" s="2">
        <v>46107.673900463</v>
      </c>
      <c r="D478" s="3" t="s">
        <v>805</v>
      </c>
      <c r="E478" s="3" t="s">
        <v>806</v>
      </c>
      <c r="G478" s="3"/>
      <c r="I478" s="3" t="s">
        <v>807</v>
      </c>
      <c r="K478" s="3"/>
      <c r="L478" s="1" t="s">
        <v>132</v>
      </c>
      <c r="O478" s="3" t="s">
        <v>184</v>
      </c>
      <c r="Q478" s="3"/>
      <c r="R478" s="3"/>
      <c r="T478" s="3"/>
      <c r="U478" s="5"/>
      <c r="W478" s="3"/>
      <c r="Z478" s="3"/>
      <c r="AA478" s="3"/>
      <c r="AC478" s="3"/>
      <c r="AD478" s="3"/>
      <c r="AF478" s="3"/>
      <c r="AG478" s="3" t="s">
        <v>370</v>
      </c>
      <c r="AI478" s="3"/>
      <c r="AJ478" s="1">
        <v>46084</v>
      </c>
      <c r="AL478" s="3"/>
      <c r="AM478" s="1">
        <v>4</v>
      </c>
      <c r="AO478" s="3"/>
      <c r="AP478" s="3" t="s">
        <v>1519</v>
      </c>
      <c r="AR478" s="3"/>
      <c r="AS478" s="3" t="s">
        <v>1520</v>
      </c>
      <c r="AU478" s="3"/>
      <c r="AV478" s="3"/>
      <c r="AX478" s="3"/>
      <c r="AY478" s="5"/>
      <c r="BA478" s="3"/>
      <c r="BD478" s="3"/>
      <c r="BE478" s="3"/>
      <c r="BG478" s="3"/>
      <c r="BH478" s="3"/>
      <c r="BJ478" s="3"/>
      <c r="BK478" s="3"/>
      <c r="BM478" s="3"/>
      <c r="BN478" s="5"/>
      <c r="BP478" s="3"/>
      <c r="BS478" s="3"/>
      <c r="BT478" s="3"/>
      <c r="BV478" s="3"/>
      <c r="BW478" s="3"/>
      <c r="BY478" s="3"/>
      <c r="BZ478" s="3"/>
      <c r="CB478" s="3"/>
      <c r="CC478" s="5"/>
      <c r="CE478" s="3"/>
      <c r="CH478" s="3"/>
      <c r="CI478" s="3"/>
      <c r="CK478" s="3"/>
      <c r="CL478" s="3"/>
      <c r="CN478" s="3"/>
      <c r="CO478" s="3"/>
      <c r="CQ478" s="3"/>
      <c r="CR478" s="5"/>
      <c r="CT478" s="3"/>
      <c r="CW478" s="3"/>
      <c r="CX478" s="3"/>
      <c r="CZ478" s="3"/>
      <c r="DA478" s="3"/>
      <c r="DC478" s="3"/>
      <c r="DD478" s="3"/>
      <c r="DF478" s="3"/>
      <c r="DG478" s="5"/>
      <c r="DI478" s="3"/>
      <c r="DL478" s="3"/>
      <c r="DM478" s="3"/>
      <c r="DO478" s="3"/>
      <c r="DP478" s="3"/>
      <c r="DR478" s="3"/>
      <c r="DS478" s="1" t="str">
        <f>_xlfn.XLOOKUP(OfficeForms.Table[[#This Row],[Selecione a Categoria do Laboratório desta atividade prática:]],Planilha1!A:A,Planilha1!B:B)</f>
        <v>EMF-ISN</v>
      </c>
      <c r="DT478" s="1" t="str">
        <f>CONCATENATE(OfficeForms.Table[[#This Row],[Selecione seu Polo Laboratório de Atividades Presenciais:]],OfficeForms.Table[[#This Row],[CHAVE CONVERSÃO]])</f>
        <v>Sidrolândia/MSEMF-ISN</v>
      </c>
      <c r="DU47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47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47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478" s="1" t="str">
        <f>_xlfn.XLOOKUP(OfficeForms.Table[[#This Row],[CHAVE LINK POLO]],'[1]Quadro Geral de Lotação'!$B:$B,'[1]Quadro Geral de Lotação'!$I:$I)</f>
        <v>Maria Ignacia Fabricio Meirelles</v>
      </c>
      <c r="DY478" s="1" t="str">
        <f>OfficeForms.Table[[#This Row],[Selecione a Ordem de Disciplina]]</f>
        <v>Ordem 1</v>
      </c>
    </row>
    <row r="479" spans="1:129" ht="34.15" customHeight="1">
      <c r="A479" s="1">
        <v>479</v>
      </c>
      <c r="B479" s="2">
        <v>46107.7272800926</v>
      </c>
      <c r="C479" s="2">
        <v>46107.733842592599</v>
      </c>
      <c r="D479" s="3" t="s">
        <v>805</v>
      </c>
      <c r="E479" s="3" t="s">
        <v>806</v>
      </c>
      <c r="G479" s="3"/>
      <c r="I479" s="3" t="s">
        <v>807</v>
      </c>
      <c r="K479" s="3"/>
      <c r="L479" s="1" t="s">
        <v>678</v>
      </c>
      <c r="O479" s="3" t="s">
        <v>184</v>
      </c>
      <c r="Q479" s="3"/>
      <c r="R479" s="3"/>
      <c r="T479" s="3"/>
      <c r="U479" s="5"/>
      <c r="W479" s="3"/>
      <c r="Z479" s="3"/>
      <c r="AA479" s="3"/>
      <c r="AC479" s="3"/>
      <c r="AD479" s="3"/>
      <c r="AF479" s="3"/>
      <c r="AG479" s="3" t="s">
        <v>1062</v>
      </c>
      <c r="AI479" s="3"/>
      <c r="AJ479" s="1">
        <v>46100</v>
      </c>
      <c r="AL479" s="3"/>
      <c r="AM479" s="1">
        <v>1</v>
      </c>
      <c r="AO479" s="3"/>
      <c r="AP479" s="3" t="s">
        <v>1521</v>
      </c>
      <c r="AR479" s="3"/>
      <c r="AS479" s="3" t="s">
        <v>1522</v>
      </c>
      <c r="AU479" s="3"/>
      <c r="AV479" s="3"/>
      <c r="AX479" s="3"/>
      <c r="AY479" s="5"/>
      <c r="BA479" s="3"/>
      <c r="BD479" s="3"/>
      <c r="BE479" s="3"/>
      <c r="BG479" s="3"/>
      <c r="BH479" s="3"/>
      <c r="BJ479" s="3"/>
      <c r="BK479" s="3"/>
      <c r="BM479" s="3"/>
      <c r="BN479" s="5"/>
      <c r="BP479" s="3"/>
      <c r="BS479" s="3"/>
      <c r="BT479" s="3"/>
      <c r="BV479" s="3"/>
      <c r="BW479" s="3"/>
      <c r="BY479" s="3"/>
      <c r="BZ479" s="3"/>
      <c r="CB479" s="3"/>
      <c r="CC479" s="5"/>
      <c r="CE479" s="3"/>
      <c r="CH479" s="3"/>
      <c r="CI479" s="3"/>
      <c r="CK479" s="3"/>
      <c r="CL479" s="3"/>
      <c r="CN479" s="3"/>
      <c r="CO479" s="3"/>
      <c r="CQ479" s="3"/>
      <c r="CR479" s="5"/>
      <c r="CT479" s="3"/>
      <c r="CW479" s="3"/>
      <c r="CX479" s="3"/>
      <c r="CZ479" s="3"/>
      <c r="DA479" s="3"/>
      <c r="DC479" s="3"/>
      <c r="DD479" s="3"/>
      <c r="DF479" s="3"/>
      <c r="DG479" s="5"/>
      <c r="DI479" s="3"/>
      <c r="DL479" s="3"/>
      <c r="DM479" s="3"/>
      <c r="DO479" s="3"/>
      <c r="DP479" s="3"/>
      <c r="DR479" s="3"/>
      <c r="DS479" s="1" t="str">
        <f>_xlfn.XLOOKUP(OfficeForms.Table[[#This Row],[Selecione a Categoria do Laboratório desta atividade prática:]],Planilha1!A:A,Planilha1!B:B)</f>
        <v>EMF-ISN</v>
      </c>
      <c r="DT479" s="1" t="str">
        <f>CONCATENATE(OfficeForms.Table[[#This Row],[Selecione seu Polo Laboratório de Atividades Presenciais:]],OfficeForms.Table[[#This Row],[CHAVE CONVERSÃO]])</f>
        <v>Sidrolândia/MSEMF-ISN</v>
      </c>
      <c r="DU47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suicídio;Abordagem e cuidados de enfermagem em episódio de surto psicótico</v>
      </c>
      <c r="DV47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47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79" s="1" t="str">
        <f>_xlfn.XLOOKUP(OfficeForms.Table[[#This Row],[CHAVE LINK POLO]],'[1]Quadro Geral de Lotação'!$B:$B,'[1]Quadro Geral de Lotação'!$I:$I)</f>
        <v>Maria Ignacia Fabricio Meirelles</v>
      </c>
      <c r="DY479" s="1" t="str">
        <f>OfficeForms.Table[[#This Row],[Selecione a Ordem de Disciplina]]</f>
        <v>Ordem 2</v>
      </c>
    </row>
    <row r="480" spans="1:129" ht="34.15" customHeight="1">
      <c r="A480" s="1">
        <v>480</v>
      </c>
      <c r="B480" s="2">
        <v>46107.811342592599</v>
      </c>
      <c r="C480" s="2">
        <v>46107.812986111101</v>
      </c>
      <c r="D480" s="3" t="s">
        <v>751</v>
      </c>
      <c r="E480" s="3" t="s">
        <v>752</v>
      </c>
      <c r="G480" s="3"/>
      <c r="I480" s="3" t="s">
        <v>753</v>
      </c>
      <c r="K480" s="3"/>
      <c r="L480" s="1" t="s">
        <v>678</v>
      </c>
      <c r="O480" s="3" t="s">
        <v>184</v>
      </c>
      <c r="Q480" s="3"/>
      <c r="R480" s="3"/>
      <c r="T480" s="3"/>
      <c r="U480" s="5"/>
      <c r="W480" s="3"/>
      <c r="Z480" s="3"/>
      <c r="AA480" s="3"/>
      <c r="AC480" s="3"/>
      <c r="AD480" s="3"/>
      <c r="AF480" s="3"/>
      <c r="AG480" s="3" t="s">
        <v>1031</v>
      </c>
      <c r="AI480" s="3"/>
      <c r="AJ480" s="1">
        <v>46105</v>
      </c>
      <c r="AL480" s="3"/>
      <c r="AM480" s="1">
        <v>1</v>
      </c>
      <c r="AO480" s="3"/>
      <c r="AP480" s="3" t="s">
        <v>1523</v>
      </c>
      <c r="AR480" s="3"/>
      <c r="AS480" s="3" t="s">
        <v>1524</v>
      </c>
      <c r="AU480" s="3"/>
      <c r="AV480" s="3"/>
      <c r="AX480" s="3"/>
      <c r="AY480" s="5"/>
      <c r="BA480" s="3"/>
      <c r="BD480" s="3"/>
      <c r="BE480" s="3"/>
      <c r="BG480" s="3"/>
      <c r="BH480" s="3"/>
      <c r="BJ480" s="3"/>
      <c r="BK480" s="3"/>
      <c r="BM480" s="3"/>
      <c r="BN480" s="5"/>
      <c r="BP480" s="3"/>
      <c r="BS480" s="3"/>
      <c r="BT480" s="3"/>
      <c r="BV480" s="3"/>
      <c r="BW480" s="3"/>
      <c r="BY480" s="3"/>
      <c r="BZ480" s="3"/>
      <c r="CB480" s="3"/>
      <c r="CC480" s="5"/>
      <c r="CE480" s="3"/>
      <c r="CH480" s="3"/>
      <c r="CI480" s="3"/>
      <c r="CK480" s="3"/>
      <c r="CL480" s="3"/>
      <c r="CN480" s="3"/>
      <c r="CO480" s="3"/>
      <c r="CQ480" s="3"/>
      <c r="CR480" s="5"/>
      <c r="CT480" s="3"/>
      <c r="CW480" s="3"/>
      <c r="CX480" s="3"/>
      <c r="CZ480" s="3"/>
      <c r="DA480" s="3"/>
      <c r="DC480" s="3"/>
      <c r="DD480" s="3"/>
      <c r="DF480" s="3"/>
      <c r="DG480" s="5"/>
      <c r="DI480" s="3"/>
      <c r="DL480" s="3"/>
      <c r="DM480" s="3"/>
      <c r="DO480" s="3"/>
      <c r="DP480" s="3"/>
      <c r="DR480" s="3"/>
      <c r="DS480" s="1" t="str">
        <f>_xlfn.XLOOKUP(OfficeForms.Table[[#This Row],[Selecione a Categoria do Laboratório desta atividade prática:]],Planilha1!A:A,Planilha1!B:B)</f>
        <v>EMF-ISN</v>
      </c>
      <c r="DT480" s="1" t="str">
        <f>CONCATENATE(OfficeForms.Table[[#This Row],[Selecione seu Polo Laboratório de Atividades Presenciais:]],OfficeForms.Table[[#This Row],[CHAVE CONVERSÃO]])</f>
        <v>São Paulo/SP - TatuapéEMF-ISN</v>
      </c>
      <c r="DU48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48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8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80" s="1" t="str">
        <f>_xlfn.XLOOKUP(OfficeForms.Table[[#This Row],[CHAVE LINK POLO]],'[1]Quadro Geral de Lotação'!$B:$B,'[1]Quadro Geral de Lotação'!$I:$I)</f>
        <v>Luiz Dias Da Silva</v>
      </c>
      <c r="DY480" s="1" t="str">
        <f>OfficeForms.Table[[#This Row],[Selecione a Ordem de Disciplina]]</f>
        <v>Ordem 2</v>
      </c>
    </row>
    <row r="481" spans="1:129" ht="34.15" customHeight="1">
      <c r="A481" s="1">
        <v>481</v>
      </c>
      <c r="B481" s="2">
        <v>46107.813020833302</v>
      </c>
      <c r="C481" s="2">
        <v>46107.813726851797</v>
      </c>
      <c r="D481" s="3" t="s">
        <v>751</v>
      </c>
      <c r="E481" s="3" t="s">
        <v>752</v>
      </c>
      <c r="G481" s="3"/>
      <c r="I481" s="3" t="s">
        <v>753</v>
      </c>
      <c r="K481" s="3"/>
      <c r="L481" s="1" t="s">
        <v>678</v>
      </c>
      <c r="O481" s="3" t="s">
        <v>184</v>
      </c>
      <c r="Q481" s="3"/>
      <c r="R481" s="3"/>
      <c r="T481" s="3"/>
      <c r="U481" s="5"/>
      <c r="W481" s="3"/>
      <c r="Z481" s="3"/>
      <c r="AA481" s="3"/>
      <c r="AC481" s="3"/>
      <c r="AD481" s="3"/>
      <c r="AF481" s="3"/>
      <c r="AG481" s="3" t="s">
        <v>1016</v>
      </c>
      <c r="AI481" s="3"/>
      <c r="AJ481" s="1">
        <v>46105</v>
      </c>
      <c r="AL481" s="3"/>
      <c r="AM481" s="1">
        <v>1</v>
      </c>
      <c r="AO481" s="3"/>
      <c r="AP481" s="3" t="s">
        <v>1525</v>
      </c>
      <c r="AR481" s="3"/>
      <c r="AS481" s="3" t="s">
        <v>1526</v>
      </c>
      <c r="AU481" s="3"/>
      <c r="AV481" s="3"/>
      <c r="AX481" s="3"/>
      <c r="AY481" s="5"/>
      <c r="BA481" s="3"/>
      <c r="BD481" s="3"/>
      <c r="BE481" s="3"/>
      <c r="BG481" s="3"/>
      <c r="BH481" s="3"/>
      <c r="BJ481" s="3"/>
      <c r="BK481" s="3"/>
      <c r="BM481" s="3"/>
      <c r="BN481" s="5"/>
      <c r="BP481" s="3"/>
      <c r="BS481" s="3"/>
      <c r="BT481" s="3"/>
      <c r="BV481" s="3"/>
      <c r="BW481" s="3"/>
      <c r="BY481" s="3"/>
      <c r="BZ481" s="3"/>
      <c r="CB481" s="3"/>
      <c r="CC481" s="5"/>
      <c r="CE481" s="3"/>
      <c r="CH481" s="3"/>
      <c r="CI481" s="3"/>
      <c r="CK481" s="3"/>
      <c r="CL481" s="3"/>
      <c r="CN481" s="3"/>
      <c r="CO481" s="3"/>
      <c r="CQ481" s="3"/>
      <c r="CR481" s="5"/>
      <c r="CT481" s="3"/>
      <c r="CW481" s="3"/>
      <c r="CX481" s="3"/>
      <c r="CZ481" s="3"/>
      <c r="DA481" s="3"/>
      <c r="DC481" s="3"/>
      <c r="DD481" s="3"/>
      <c r="DF481" s="3"/>
      <c r="DG481" s="5"/>
      <c r="DI481" s="3"/>
      <c r="DL481" s="3"/>
      <c r="DM481" s="3"/>
      <c r="DO481" s="3"/>
      <c r="DP481" s="3"/>
      <c r="DR481" s="3"/>
      <c r="DS481" s="1" t="str">
        <f>_xlfn.XLOOKUP(OfficeForms.Table[[#This Row],[Selecione a Categoria do Laboratório desta atividade prática:]],Planilha1!A:A,Planilha1!B:B)</f>
        <v>EMF-ISN</v>
      </c>
      <c r="DT481" s="1" t="str">
        <f>CONCATENATE(OfficeForms.Table[[#This Row],[Selecione seu Polo Laboratório de Atividades Presenciais:]],OfficeForms.Table[[#This Row],[CHAVE CONVERSÃO]])</f>
        <v>São Paulo/SP - TatuapéEMF-ISN</v>
      </c>
      <c r="DU48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48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48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481" s="1" t="str">
        <f>_xlfn.XLOOKUP(OfficeForms.Table[[#This Row],[CHAVE LINK POLO]],'[1]Quadro Geral de Lotação'!$B:$B,'[1]Quadro Geral de Lotação'!$I:$I)</f>
        <v>Luiz Dias Da Silva</v>
      </c>
      <c r="DY481" s="1" t="str">
        <f>OfficeForms.Table[[#This Row],[Selecione a Ordem de Disciplina]]</f>
        <v>Ordem 2</v>
      </c>
    </row>
    <row r="482" spans="1:129" ht="34.15" customHeight="1">
      <c r="A482" s="1">
        <v>482</v>
      </c>
      <c r="B482" s="2">
        <v>46107.844305555598</v>
      </c>
      <c r="C482" s="2">
        <v>46107.845486111102</v>
      </c>
      <c r="D482" s="3" t="s">
        <v>1527</v>
      </c>
      <c r="E482" s="3" t="s">
        <v>1528</v>
      </c>
      <c r="G482" s="3"/>
      <c r="I482" s="3" t="s">
        <v>1529</v>
      </c>
      <c r="K482" s="3"/>
      <c r="L482" s="1" t="s">
        <v>678</v>
      </c>
      <c r="O482" s="3" t="s">
        <v>1482</v>
      </c>
      <c r="Q482" s="3"/>
      <c r="R482" s="3"/>
      <c r="T482" s="3"/>
      <c r="U482" s="5"/>
      <c r="W482" s="3"/>
      <c r="Z482" s="3"/>
      <c r="AA482" s="3"/>
      <c r="AC482" s="3"/>
      <c r="AD482" s="3"/>
      <c r="AF482" s="3"/>
      <c r="AG482" s="3"/>
      <c r="AI482" s="3"/>
      <c r="AJ482" s="1"/>
      <c r="AL482" s="3"/>
      <c r="AO482" s="3"/>
      <c r="AP482" s="3"/>
      <c r="AR482" s="3"/>
      <c r="AS482" s="3"/>
      <c r="AU482" s="3"/>
      <c r="AV482" s="3"/>
      <c r="AX482" s="3"/>
      <c r="AY482" s="5"/>
      <c r="BA482" s="3"/>
      <c r="BD482" s="3"/>
      <c r="BE482" s="3"/>
      <c r="BG482" s="3"/>
      <c r="BH482" s="3"/>
      <c r="BJ482" s="3"/>
      <c r="BK482" s="3"/>
      <c r="BM482" s="3"/>
      <c r="BN482" s="5"/>
      <c r="BP482" s="3"/>
      <c r="BS482" s="3"/>
      <c r="BT482" s="3"/>
      <c r="BV482" s="3"/>
      <c r="BW482" s="3"/>
      <c r="BY482" s="3"/>
      <c r="BZ482" s="3"/>
      <c r="CB482" s="3"/>
      <c r="CC482" s="5"/>
      <c r="CE482" s="3"/>
      <c r="CH482" s="3"/>
      <c r="CI482" s="3"/>
      <c r="CK482" s="3"/>
      <c r="CL482" s="3"/>
      <c r="CN482" s="3"/>
      <c r="CO482" s="3" t="s">
        <v>1530</v>
      </c>
      <c r="CQ482" s="3"/>
      <c r="CR482" s="5">
        <v>46102</v>
      </c>
      <c r="CT482" s="3"/>
      <c r="CU482" s="1">
        <v>4</v>
      </c>
      <c r="CW482" s="3"/>
      <c r="CX482" s="3" t="s">
        <v>1531</v>
      </c>
      <c r="CZ482" s="3"/>
      <c r="DA482" s="3" t="s">
        <v>1532</v>
      </c>
      <c r="DC482" s="3"/>
      <c r="DD482" s="3"/>
      <c r="DF482" s="3"/>
      <c r="DG482" s="5"/>
      <c r="DI482" s="3"/>
      <c r="DL482" s="3"/>
      <c r="DM482" s="3"/>
      <c r="DO482" s="3"/>
      <c r="DP482" s="3"/>
      <c r="DR482" s="3"/>
      <c r="DS482" s="1" t="str">
        <f>_xlfn.XLOOKUP(OfficeForms.Table[[#This Row],[Selecione a Categoria do Laboratório desta atividade prática:]],Planilha1!A:A,Planilha1!B:B)</f>
        <v>BAU</v>
      </c>
      <c r="DT482" s="1" t="str">
        <f>CONCATENATE(OfficeForms.Table[[#This Row],[Selecione seu Polo Laboratório de Atividades Presenciais:]],OfficeForms.Table[[#This Row],[CHAVE CONVERSÃO]])</f>
        <v>Itaguaí/RJ - Edifício ManancialBAU</v>
      </c>
      <c r="DU48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Desenho Técnico no AutoCAD: Prática Essencial para Iniciantes.;Conceitos Básicos do Desenho Auxiliado por Computador (AutoCAD)</v>
      </c>
      <c r="DV48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48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482" s="1" t="str">
        <f>_xlfn.XLOOKUP(OfficeForms.Table[[#This Row],[CHAVE LINK POLO]],'[1]Quadro Geral de Lotação'!$B:$B,'[1]Quadro Geral de Lotação'!$I:$I)</f>
        <v>Marcelly Marinho Dos Santos</v>
      </c>
      <c r="DY482" s="1" t="str">
        <f>OfficeForms.Table[[#This Row],[Selecione a Ordem de Disciplina]]</f>
        <v>Ordem 2</v>
      </c>
    </row>
    <row r="483" spans="1:129" ht="34.15" customHeight="1">
      <c r="A483" s="1">
        <v>483</v>
      </c>
      <c r="B483" s="2">
        <v>46107.863321759301</v>
      </c>
      <c r="C483" s="2">
        <v>46107.8644907407</v>
      </c>
      <c r="D483" s="3" t="s">
        <v>367</v>
      </c>
      <c r="E483" s="3" t="s">
        <v>368</v>
      </c>
      <c r="G483" s="3"/>
      <c r="I483" s="3" t="s">
        <v>369</v>
      </c>
      <c r="K483" s="3"/>
      <c r="L483" s="1" t="s">
        <v>678</v>
      </c>
      <c r="O483" s="3" t="s">
        <v>184</v>
      </c>
      <c r="Q483" s="3"/>
      <c r="R483" s="3"/>
      <c r="T483" s="3"/>
      <c r="U483" s="5"/>
      <c r="W483" s="3"/>
      <c r="Z483" s="3"/>
      <c r="AA483" s="3"/>
      <c r="AC483" s="3"/>
      <c r="AD483" s="3"/>
      <c r="AF483" s="3"/>
      <c r="AG483" s="3" t="s">
        <v>1302</v>
      </c>
      <c r="AI483" s="3"/>
      <c r="AJ483" s="1">
        <v>46107</v>
      </c>
      <c r="AL483" s="3"/>
      <c r="AM483" s="1">
        <v>0</v>
      </c>
      <c r="AO483" s="3"/>
      <c r="AP483" s="3" t="s">
        <v>1533</v>
      </c>
      <c r="AR483" s="3"/>
      <c r="AS483" s="3" t="s">
        <v>1534</v>
      </c>
      <c r="AU483" s="3"/>
      <c r="AV483" s="3"/>
      <c r="AX483" s="3"/>
      <c r="AY483" s="5"/>
      <c r="BA483" s="3"/>
      <c r="BD483" s="3"/>
      <c r="BE483" s="3"/>
      <c r="BG483" s="3"/>
      <c r="BH483" s="3"/>
      <c r="BJ483" s="3"/>
      <c r="BK483" s="3"/>
      <c r="BM483" s="3"/>
      <c r="BN483" s="5"/>
      <c r="BP483" s="3"/>
      <c r="BS483" s="3"/>
      <c r="BT483" s="3"/>
      <c r="BV483" s="3"/>
      <c r="BW483" s="3"/>
      <c r="BY483" s="3"/>
      <c r="BZ483" s="3"/>
      <c r="CB483" s="3"/>
      <c r="CC483" s="5"/>
      <c r="CE483" s="3"/>
      <c r="CH483" s="3"/>
      <c r="CI483" s="3"/>
      <c r="CK483" s="3"/>
      <c r="CL483" s="3"/>
      <c r="CN483" s="3"/>
      <c r="CO483" s="3"/>
      <c r="CQ483" s="3"/>
      <c r="CR483" s="5"/>
      <c r="CT483" s="3"/>
      <c r="CW483" s="3"/>
      <c r="CX483" s="3"/>
      <c r="CZ483" s="3"/>
      <c r="DA483" s="3"/>
      <c r="DC483" s="3"/>
      <c r="DD483" s="3"/>
      <c r="DF483" s="3"/>
      <c r="DG483" s="5"/>
      <c r="DI483" s="3"/>
      <c r="DL483" s="3"/>
      <c r="DM483" s="3"/>
      <c r="DO483" s="3"/>
      <c r="DP483" s="3"/>
      <c r="DR483" s="3"/>
      <c r="DS483" s="1" t="str">
        <f>_xlfn.XLOOKUP(OfficeForms.Table[[#This Row],[Selecione a Categoria do Laboratório desta atividade prática:]],Planilha1!A:A,Planilha1!B:B)</f>
        <v>EMF-ISN</v>
      </c>
      <c r="DT483" s="1" t="str">
        <f>CONCATENATE(OfficeForms.Table[[#This Row],[Selecione seu Polo Laboratório de Atividades Presenciais:]],OfficeForms.Table[[#This Row],[CHAVE CONVERSÃO]])</f>
        <v>Niterói/RJ - IngáEMF-ISN</v>
      </c>
      <c r="DU48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48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48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83" s="1" t="str">
        <f>_xlfn.XLOOKUP(OfficeForms.Table[[#This Row],[CHAVE LINK POLO]],'[1]Quadro Geral de Lotação'!$B:$B,'[1]Quadro Geral de Lotação'!$I:$I)</f>
        <v>Conceicao Ignacio da Silva Delphino</v>
      </c>
      <c r="DY483" s="1" t="str">
        <f>OfficeForms.Table[[#This Row],[Selecione a Ordem de Disciplina]]</f>
        <v>Ordem 2</v>
      </c>
    </row>
    <row r="484" spans="1:129" ht="34.15" customHeight="1">
      <c r="A484" s="1">
        <v>484</v>
      </c>
      <c r="B484" s="2">
        <v>46107.871608796297</v>
      </c>
      <c r="C484" s="2">
        <v>46107.886967592603</v>
      </c>
      <c r="D484" s="3" t="s">
        <v>404</v>
      </c>
      <c r="E484" s="3" t="s">
        <v>405</v>
      </c>
      <c r="G484" s="3"/>
      <c r="I484" s="3" t="s">
        <v>406</v>
      </c>
      <c r="K484" s="3"/>
      <c r="L484" s="1" t="s">
        <v>678</v>
      </c>
      <c r="O484" s="3" t="s">
        <v>184</v>
      </c>
      <c r="Q484" s="3"/>
      <c r="R484" s="3"/>
      <c r="T484" s="3"/>
      <c r="U484" s="5"/>
      <c r="W484" s="3"/>
      <c r="Z484" s="3"/>
      <c r="AA484" s="3"/>
      <c r="AC484" s="3"/>
      <c r="AD484" s="3"/>
      <c r="AF484" s="3"/>
      <c r="AG484" s="3" t="s">
        <v>1105</v>
      </c>
      <c r="AI484" s="3"/>
      <c r="AJ484" s="1">
        <v>46099</v>
      </c>
      <c r="AL484" s="3"/>
      <c r="AM484" s="1">
        <v>0</v>
      </c>
      <c r="AO484" s="3"/>
      <c r="AP484" s="3" t="s">
        <v>1535</v>
      </c>
      <c r="AR484" s="3"/>
      <c r="AS484" s="3" t="s">
        <v>1536</v>
      </c>
      <c r="AU484" s="3"/>
      <c r="AV484" s="3"/>
      <c r="AX484" s="3"/>
      <c r="AY484" s="5"/>
      <c r="BA484" s="3"/>
      <c r="BD484" s="3"/>
      <c r="BE484" s="3"/>
      <c r="BG484" s="3"/>
      <c r="BH484" s="3"/>
      <c r="BJ484" s="3"/>
      <c r="BK484" s="3"/>
      <c r="BM484" s="3"/>
      <c r="BN484" s="5"/>
      <c r="BP484" s="3"/>
      <c r="BS484" s="3"/>
      <c r="BT484" s="3"/>
      <c r="BV484" s="3"/>
      <c r="BW484" s="3"/>
      <c r="BY484" s="3"/>
      <c r="BZ484" s="3"/>
      <c r="CB484" s="3"/>
      <c r="CC484" s="5"/>
      <c r="CE484" s="3"/>
      <c r="CH484" s="3"/>
      <c r="CI484" s="3"/>
      <c r="CK484" s="3"/>
      <c r="CL484" s="3"/>
      <c r="CN484" s="3"/>
      <c r="CO484" s="3"/>
      <c r="CQ484" s="3"/>
      <c r="CR484" s="5"/>
      <c r="CT484" s="3"/>
      <c r="CW484" s="3"/>
      <c r="CX484" s="3"/>
      <c r="CZ484" s="3"/>
      <c r="DA484" s="3"/>
      <c r="DC484" s="3"/>
      <c r="DD484" s="3"/>
      <c r="DF484" s="3"/>
      <c r="DG484" s="5"/>
      <c r="DI484" s="3"/>
      <c r="DL484" s="3"/>
      <c r="DM484" s="3"/>
      <c r="DO484" s="3"/>
      <c r="DP484" s="3"/>
      <c r="DR484" s="3"/>
      <c r="DS484" s="1" t="str">
        <f>_xlfn.XLOOKUP(OfficeForms.Table[[#This Row],[Selecione a Categoria do Laboratório desta atividade prática:]],Planilha1!A:A,Planilha1!B:B)</f>
        <v>EMF-ISN</v>
      </c>
      <c r="DT484" s="1" t="str">
        <f>CONCATENATE(OfficeForms.Table[[#This Row],[Selecione seu Polo Laboratório de Atividades Presenciais:]],OfficeForms.Table[[#This Row],[CHAVE CONVERSÃO]])</f>
        <v>Conselheiro Lafaiete/MGEMF-ISN</v>
      </c>
      <c r="DU48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48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48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84" s="1" t="str">
        <f>_xlfn.XLOOKUP(OfficeForms.Table[[#This Row],[CHAVE LINK POLO]],'[1]Quadro Geral de Lotação'!$B:$B,'[1]Quadro Geral de Lotação'!$I:$I)</f>
        <v>Aline Graziele Goncalves Costa</v>
      </c>
      <c r="DY484" s="1" t="str">
        <f>OfficeForms.Table[[#This Row],[Selecione a Ordem de Disciplina]]</f>
        <v>Ordem 2</v>
      </c>
    </row>
    <row r="485" spans="1:129" ht="34.15" customHeight="1">
      <c r="A485" s="1">
        <v>485</v>
      </c>
      <c r="B485" s="2">
        <v>46107.882465277798</v>
      </c>
      <c r="C485" s="2">
        <v>46107.890405092599</v>
      </c>
      <c r="D485" s="3" t="s">
        <v>1127</v>
      </c>
      <c r="E485" s="3" t="s">
        <v>1128</v>
      </c>
      <c r="G485" s="3"/>
      <c r="I485" s="3" t="s">
        <v>1129</v>
      </c>
      <c r="K485" s="3"/>
      <c r="L485" s="1" t="s">
        <v>678</v>
      </c>
      <c r="O485" s="3" t="s">
        <v>497</v>
      </c>
      <c r="Q485" s="3"/>
      <c r="R485" s="3" t="s">
        <v>1537</v>
      </c>
      <c r="T485" s="3"/>
      <c r="U485" s="5">
        <v>46106</v>
      </c>
      <c r="W485" s="3"/>
      <c r="X485" s="1">
        <v>7</v>
      </c>
      <c r="Z485" s="3"/>
      <c r="AA485" s="3" t="s">
        <v>1538</v>
      </c>
      <c r="AC485" s="3"/>
      <c r="AD485" s="3" t="s">
        <v>1539</v>
      </c>
      <c r="AF485" s="3"/>
      <c r="AG485" s="3"/>
      <c r="AI485" s="3"/>
      <c r="AJ485" s="1"/>
      <c r="AL485" s="3"/>
      <c r="AO485" s="3"/>
      <c r="AP485" s="3"/>
      <c r="AR485" s="3"/>
      <c r="AS485" s="3"/>
      <c r="AU485" s="3"/>
      <c r="AV485" s="3"/>
      <c r="AX485" s="3"/>
      <c r="AY485" s="5"/>
      <c r="BA485" s="3"/>
      <c r="BD485" s="3"/>
      <c r="BE485" s="3"/>
      <c r="BG485" s="3"/>
      <c r="BH485" s="3"/>
      <c r="BJ485" s="3"/>
      <c r="BK485" s="3"/>
      <c r="BM485" s="3"/>
      <c r="BN485" s="5"/>
      <c r="BP485" s="3"/>
      <c r="BS485" s="3"/>
      <c r="BT485" s="3"/>
      <c r="BV485" s="3"/>
      <c r="BW485" s="3"/>
      <c r="BY485" s="3"/>
      <c r="BZ485" s="3"/>
      <c r="CB485" s="3"/>
      <c r="CC485" s="5"/>
      <c r="CE485" s="3"/>
      <c r="CH485" s="3"/>
      <c r="CI485" s="3"/>
      <c r="CK485" s="3"/>
      <c r="CL485" s="3"/>
      <c r="CN485" s="3"/>
      <c r="CO485" s="3"/>
      <c r="CQ485" s="3"/>
      <c r="CR485" s="5"/>
      <c r="CT485" s="3"/>
      <c r="CW485" s="3"/>
      <c r="CX485" s="3"/>
      <c r="CZ485" s="3"/>
      <c r="DA485" s="3"/>
      <c r="DC485" s="3"/>
      <c r="DD485" s="3"/>
      <c r="DF485" s="3"/>
      <c r="DG485" s="5"/>
      <c r="DI485" s="3"/>
      <c r="DL485" s="3"/>
      <c r="DM485" s="3"/>
      <c r="DO485" s="3"/>
      <c r="DP485" s="3"/>
      <c r="DR485" s="3"/>
      <c r="DS485" s="1" t="str">
        <f>_xlfn.XLOOKUP(OfficeForms.Table[[#This Row],[Selecione a Categoria do Laboratório desta atividade prática:]],Planilha1!A:A,Planilha1!B:B)</f>
        <v>BFR-BBI</v>
      </c>
      <c r="DT485" s="1" t="str">
        <f>CONCATENATE(OfficeForms.Table[[#This Row],[Selecione seu Polo Laboratório de Atividades Presenciais:]],OfficeForms.Table[[#This Row],[CHAVE CONVERSÃO]])</f>
        <v>Campina Grande/PBBFR-BBI</v>
      </c>
      <c r="DU48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Coleta de Sangue;Esfregaço sanguíneo e colorações  (contagem diferencial de leucócitos)</v>
      </c>
      <c r="DV48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48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485" s="1" t="e">
        <f>_xlfn.XLOOKUP(OfficeForms.Table[[#This Row],[CHAVE LINK POLO]],'[1]Quadro Geral de Lotação'!$B:$B,'[1]Quadro Geral de Lotação'!$I:$I)</f>
        <v>#N/A</v>
      </c>
      <c r="DY485" s="1" t="str">
        <f>OfficeForms.Table[[#This Row],[Selecione a Ordem de Disciplina]]</f>
        <v>Ordem 2</v>
      </c>
    </row>
    <row r="486" spans="1:129" ht="34.15" customHeight="1">
      <c r="A486" s="1">
        <v>486</v>
      </c>
      <c r="B486" s="2">
        <v>46107.887847222199</v>
      </c>
      <c r="C486" s="2">
        <v>46107.894930555602</v>
      </c>
      <c r="D486" s="3" t="s">
        <v>404</v>
      </c>
      <c r="E486" s="3" t="s">
        <v>405</v>
      </c>
      <c r="G486" s="3"/>
      <c r="I486" s="3" t="s">
        <v>406</v>
      </c>
      <c r="K486" s="3"/>
      <c r="L486" s="1" t="s">
        <v>678</v>
      </c>
      <c r="O486" s="3" t="s">
        <v>184</v>
      </c>
      <c r="Q486" s="3"/>
      <c r="R486" s="3"/>
      <c r="T486" s="3"/>
      <c r="U486" s="5"/>
      <c r="W486" s="3"/>
      <c r="Z486" s="3"/>
      <c r="AA486" s="3"/>
      <c r="AC486" s="3"/>
      <c r="AD486" s="3"/>
      <c r="AF486" s="3"/>
      <c r="AG486" s="3" t="s">
        <v>1278</v>
      </c>
      <c r="AI486" s="3"/>
      <c r="AJ486" s="1">
        <v>46099</v>
      </c>
      <c r="AL486" s="3"/>
      <c r="AM486" s="1">
        <v>0</v>
      </c>
      <c r="AO486" s="3"/>
      <c r="AP486" s="3" t="s">
        <v>1540</v>
      </c>
      <c r="AR486" s="3"/>
      <c r="AS486" s="3" t="s">
        <v>1541</v>
      </c>
      <c r="AU486" s="3"/>
      <c r="AV486" s="3"/>
      <c r="AX486" s="3"/>
      <c r="AY486" s="5"/>
      <c r="BA486" s="3"/>
      <c r="BD486" s="3"/>
      <c r="BE486" s="3"/>
      <c r="BG486" s="3"/>
      <c r="BH486" s="3"/>
      <c r="BJ486" s="3"/>
      <c r="BK486" s="3"/>
      <c r="BM486" s="3"/>
      <c r="BN486" s="5"/>
      <c r="BP486" s="3"/>
      <c r="BS486" s="3"/>
      <c r="BT486" s="3"/>
      <c r="BV486" s="3"/>
      <c r="BW486" s="3"/>
      <c r="BY486" s="3"/>
      <c r="BZ486" s="3"/>
      <c r="CB486" s="3"/>
      <c r="CC486" s="5"/>
      <c r="CE486" s="3"/>
      <c r="CH486" s="3"/>
      <c r="CI486" s="3"/>
      <c r="CK486" s="3"/>
      <c r="CL486" s="3"/>
      <c r="CN486" s="3"/>
      <c r="CO486" s="3"/>
      <c r="CQ486" s="3"/>
      <c r="CR486" s="5"/>
      <c r="CT486" s="3"/>
      <c r="CW486" s="3"/>
      <c r="CX486" s="3"/>
      <c r="CZ486" s="3"/>
      <c r="DA486" s="3"/>
      <c r="DC486" s="3"/>
      <c r="DD486" s="3"/>
      <c r="DF486" s="3"/>
      <c r="DG486" s="5"/>
      <c r="DI486" s="3"/>
      <c r="DL486" s="3"/>
      <c r="DM486" s="3"/>
      <c r="DO486" s="3"/>
      <c r="DP486" s="3"/>
      <c r="DR486" s="3"/>
      <c r="DS486" s="1" t="str">
        <f>_xlfn.XLOOKUP(OfficeForms.Table[[#This Row],[Selecione a Categoria do Laboratório desta atividade prática:]],Planilha1!A:A,Planilha1!B:B)</f>
        <v>EMF-ISN</v>
      </c>
      <c r="DT486" s="1" t="str">
        <f>CONCATENATE(OfficeForms.Table[[#This Row],[Selecione seu Polo Laboratório de Atividades Presenciais:]],OfficeForms.Table[[#This Row],[CHAVE CONVERSÃO]])</f>
        <v>Conselheiro Lafaiete/MGEMF-ISN</v>
      </c>
      <c r="DU48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48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48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486" s="1" t="str">
        <f>_xlfn.XLOOKUP(OfficeForms.Table[[#This Row],[CHAVE LINK POLO]],'[1]Quadro Geral de Lotação'!$B:$B,'[1]Quadro Geral de Lotação'!$I:$I)</f>
        <v>Aline Graziele Goncalves Costa</v>
      </c>
      <c r="DY486" s="1" t="str">
        <f>OfficeForms.Table[[#This Row],[Selecione a Ordem de Disciplina]]</f>
        <v>Ordem 2</v>
      </c>
    </row>
    <row r="487" spans="1:129" ht="34.15" customHeight="1">
      <c r="A487" s="1">
        <v>487</v>
      </c>
      <c r="B487" s="2">
        <v>46108.415081018502</v>
      </c>
      <c r="C487" s="2">
        <v>46108.418773148202</v>
      </c>
      <c r="D487" s="3" t="s">
        <v>463</v>
      </c>
      <c r="E487" s="3" t="s">
        <v>464</v>
      </c>
      <c r="G487" s="3"/>
      <c r="I487" s="3" t="s">
        <v>445</v>
      </c>
      <c r="K487" s="3"/>
      <c r="L487" s="1" t="s">
        <v>678</v>
      </c>
      <c r="O487" s="3" t="s">
        <v>156</v>
      </c>
      <c r="Q487" s="3"/>
      <c r="R487" s="3"/>
      <c r="T487" s="3"/>
      <c r="U487" s="5"/>
      <c r="W487" s="3"/>
      <c r="Z487" s="3"/>
      <c r="AA487" s="3"/>
      <c r="AC487" s="3"/>
      <c r="AD487" s="3"/>
      <c r="AF487" s="3"/>
      <c r="AG487" s="3"/>
      <c r="AI487" s="3"/>
      <c r="AJ487" s="1"/>
      <c r="AL487" s="3"/>
      <c r="AO487" s="3"/>
      <c r="AP487" s="3"/>
      <c r="AR487" s="3"/>
      <c r="AS487" s="3"/>
      <c r="AU487" s="3"/>
      <c r="AV487" s="3"/>
      <c r="AX487" s="3"/>
      <c r="AY487" s="5"/>
      <c r="BA487" s="3"/>
      <c r="BD487" s="3"/>
      <c r="BE487" s="3"/>
      <c r="BG487" s="3"/>
      <c r="BH487" s="3"/>
      <c r="BJ487" s="3"/>
      <c r="BK487" s="3" t="s">
        <v>1370</v>
      </c>
      <c r="BM487" s="3"/>
      <c r="BN487" s="5">
        <v>46100</v>
      </c>
      <c r="BP487" s="3"/>
      <c r="BQ487" s="1">
        <v>5</v>
      </c>
      <c r="BS487" s="3"/>
      <c r="BT487" s="3" t="s">
        <v>1542</v>
      </c>
      <c r="BV487" s="3"/>
      <c r="BW487" s="3" t="s">
        <v>1543</v>
      </c>
      <c r="BY487" s="3"/>
      <c r="BZ487" s="3"/>
      <c r="CB487" s="3"/>
      <c r="CC487" s="5"/>
      <c r="CE487" s="3"/>
      <c r="CH487" s="3"/>
      <c r="CI487" s="3"/>
      <c r="CK487" s="3"/>
      <c r="CL487" s="3"/>
      <c r="CN487" s="3"/>
      <c r="CO487" s="3"/>
      <c r="CQ487" s="3"/>
      <c r="CR487" s="5"/>
      <c r="CT487" s="3"/>
      <c r="CW487" s="3"/>
      <c r="CX487" s="3"/>
      <c r="CZ487" s="3"/>
      <c r="DA487" s="3"/>
      <c r="DC487" s="3"/>
      <c r="DD487" s="3"/>
      <c r="DF487" s="3"/>
      <c r="DG487" s="5"/>
      <c r="DI487" s="3"/>
      <c r="DL487" s="3"/>
      <c r="DM487" s="3"/>
      <c r="DO487" s="3"/>
      <c r="DP487" s="3"/>
      <c r="DR487" s="3"/>
      <c r="DS487" s="1" t="str">
        <f>_xlfn.XLOOKUP(OfficeForms.Table[[#This Row],[Selecione a Categoria do Laboratório desta atividade prática:]],Planilha1!A:A,Planilha1!B:B)</f>
        <v>NTR</v>
      </c>
      <c r="DT487" s="1" t="str">
        <f>CONCATENATE(OfficeForms.Table[[#This Row],[Selecione seu Polo Laboratório de Atividades Presenciais:]],OfficeForms.Table[[#This Row],[CHAVE CONVERSÃO]])</f>
        <v>Goiânia/GO - Jardim EuropaNTR</v>
      </c>
      <c r="DU48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acamado;Anamnese nutricional do adulto e Diagnóstico nutricional</v>
      </c>
      <c r="DV48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48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487" s="1" t="str">
        <f>_xlfn.XLOOKUP(OfficeForms.Table[[#This Row],[CHAVE LINK POLO]],'[1]Quadro Geral de Lotação'!$B:$B,'[1]Quadro Geral de Lotação'!$I:$I)</f>
        <v>Kellen Ferreira Nascimento</v>
      </c>
      <c r="DY487" s="1" t="str">
        <f>OfficeForms.Table[[#This Row],[Selecione a Ordem de Disciplina]]</f>
        <v>Ordem 2</v>
      </c>
    </row>
    <row r="488" spans="1:129" ht="34.15" customHeight="1">
      <c r="A488" s="1">
        <v>488</v>
      </c>
      <c r="B488" s="2">
        <v>46108.418831018498</v>
      </c>
      <c r="C488" s="2">
        <v>46108.419780092598</v>
      </c>
      <c r="D488" s="3" t="s">
        <v>463</v>
      </c>
      <c r="E488" s="3" t="s">
        <v>464</v>
      </c>
      <c r="G488" s="3"/>
      <c r="I488" s="3" t="s">
        <v>445</v>
      </c>
      <c r="K488" s="3"/>
      <c r="L488" s="1" t="s">
        <v>678</v>
      </c>
      <c r="O488" s="3" t="s">
        <v>156</v>
      </c>
      <c r="Q488" s="3"/>
      <c r="R488" s="3"/>
      <c r="T488" s="3"/>
      <c r="U488" s="5"/>
      <c r="W488" s="3"/>
      <c r="Z488" s="3"/>
      <c r="AA488" s="3"/>
      <c r="AC488" s="3"/>
      <c r="AD488" s="3"/>
      <c r="AF488" s="3"/>
      <c r="AG488" s="3"/>
      <c r="AI488" s="3"/>
      <c r="AJ488" s="1"/>
      <c r="AL488" s="3"/>
      <c r="AO488" s="3"/>
      <c r="AP488" s="3"/>
      <c r="AR488" s="3"/>
      <c r="AS488" s="3"/>
      <c r="AU488" s="3"/>
      <c r="AV488" s="3"/>
      <c r="AX488" s="3"/>
      <c r="AY488" s="5"/>
      <c r="BA488" s="3"/>
      <c r="BD488" s="3"/>
      <c r="BE488" s="3"/>
      <c r="BG488" s="3"/>
      <c r="BH488" s="3"/>
      <c r="BJ488" s="3"/>
      <c r="BK488" s="3" t="s">
        <v>1370</v>
      </c>
      <c r="BM488" s="3"/>
      <c r="BN488" s="5">
        <v>46107</v>
      </c>
      <c r="BP488" s="3"/>
      <c r="BQ488" s="1">
        <v>2</v>
      </c>
      <c r="BS488" s="3"/>
      <c r="BT488" s="3" t="s">
        <v>1544</v>
      </c>
      <c r="BV488" s="3"/>
      <c r="BW488" s="3" t="s">
        <v>1545</v>
      </c>
      <c r="BY488" s="3"/>
      <c r="BZ488" s="3"/>
      <c r="CB488" s="3"/>
      <c r="CC488" s="5"/>
      <c r="CE488" s="3"/>
      <c r="CH488" s="3"/>
      <c r="CI488" s="3"/>
      <c r="CK488" s="3"/>
      <c r="CL488" s="3"/>
      <c r="CN488" s="3"/>
      <c r="CO488" s="3"/>
      <c r="CQ488" s="3"/>
      <c r="CR488" s="5"/>
      <c r="CT488" s="3"/>
      <c r="CW488" s="3"/>
      <c r="CX488" s="3"/>
      <c r="CZ488" s="3"/>
      <c r="DA488" s="3"/>
      <c r="DC488" s="3"/>
      <c r="DD488" s="3"/>
      <c r="DF488" s="3"/>
      <c r="DG488" s="5"/>
      <c r="DI488" s="3"/>
      <c r="DL488" s="3"/>
      <c r="DM488" s="3"/>
      <c r="DO488" s="3"/>
      <c r="DP488" s="3"/>
      <c r="DR488" s="3"/>
      <c r="DS488" s="1" t="str">
        <f>_xlfn.XLOOKUP(OfficeForms.Table[[#This Row],[Selecione a Categoria do Laboratório desta atividade prática:]],Planilha1!A:A,Planilha1!B:B)</f>
        <v>NTR</v>
      </c>
      <c r="DT488" s="1" t="str">
        <f>CONCATENATE(OfficeForms.Table[[#This Row],[Selecione seu Polo Laboratório de Atividades Presenciais:]],OfficeForms.Table[[#This Row],[CHAVE CONVERSÃO]])</f>
        <v>Goiânia/GO - Jardim EuropaNTR</v>
      </c>
      <c r="DU48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acamado;Anamnese nutricional do adulto e Diagnóstico nutricional</v>
      </c>
      <c r="DV48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48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88" s="1" t="str">
        <f>_xlfn.XLOOKUP(OfficeForms.Table[[#This Row],[CHAVE LINK POLO]],'[1]Quadro Geral de Lotação'!$B:$B,'[1]Quadro Geral de Lotação'!$I:$I)</f>
        <v>Kellen Ferreira Nascimento</v>
      </c>
      <c r="DY488" s="1" t="str">
        <f>OfficeForms.Table[[#This Row],[Selecione a Ordem de Disciplina]]</f>
        <v>Ordem 2</v>
      </c>
    </row>
    <row r="489" spans="1:129" ht="34.15" customHeight="1">
      <c r="A489" s="1">
        <v>489</v>
      </c>
      <c r="B489" s="2">
        <v>46108.548842592601</v>
      </c>
      <c r="C489" s="2">
        <v>46108.5524421296</v>
      </c>
      <c r="D489" s="3" t="s">
        <v>168</v>
      </c>
      <c r="E489" s="3" t="s">
        <v>169</v>
      </c>
      <c r="G489" s="3"/>
      <c r="I489" s="3" t="s">
        <v>170</v>
      </c>
      <c r="K489" s="3"/>
      <c r="L489" s="1" t="s">
        <v>678</v>
      </c>
      <c r="O489" s="3" t="s">
        <v>133</v>
      </c>
      <c r="Q489" s="3"/>
      <c r="R489" s="3"/>
      <c r="T489" s="3"/>
      <c r="U489" s="5"/>
      <c r="W489" s="3"/>
      <c r="Z489" s="3"/>
      <c r="AA489" s="3"/>
      <c r="AC489" s="3"/>
      <c r="AD489" s="3"/>
      <c r="AF489" s="3"/>
      <c r="AG489" s="3"/>
      <c r="AI489" s="3"/>
      <c r="AJ489" s="1"/>
      <c r="AL489" s="3"/>
      <c r="AO489" s="3"/>
      <c r="AP489" s="3"/>
      <c r="AR489" s="3"/>
      <c r="AS489" s="3"/>
      <c r="AU489" s="3"/>
      <c r="AV489" s="3" t="s">
        <v>1546</v>
      </c>
      <c r="AX489" s="3"/>
      <c r="AY489" s="5">
        <v>46107</v>
      </c>
      <c r="BA489" s="3"/>
      <c r="BB489" s="1">
        <v>11</v>
      </c>
      <c r="BD489" s="3"/>
      <c r="BE489" s="3" t="s">
        <v>1547</v>
      </c>
      <c r="BG489" s="3"/>
      <c r="BH489" s="3" t="s">
        <v>1548</v>
      </c>
      <c r="BJ489" s="3"/>
      <c r="BK489" s="3"/>
      <c r="BM489" s="3"/>
      <c r="BN489" s="5"/>
      <c r="BP489" s="3"/>
      <c r="BS489" s="3"/>
      <c r="BT489" s="3"/>
      <c r="BV489" s="3"/>
      <c r="BW489" s="3"/>
      <c r="BY489" s="3"/>
      <c r="BZ489" s="3"/>
      <c r="CB489" s="3"/>
      <c r="CC489" s="5"/>
      <c r="CE489" s="3"/>
      <c r="CH489" s="3"/>
      <c r="CI489" s="3"/>
      <c r="CK489" s="3"/>
      <c r="CL489" s="3"/>
      <c r="CN489" s="3"/>
      <c r="CO489" s="3"/>
      <c r="CQ489" s="3"/>
      <c r="CR489" s="5"/>
      <c r="CT489" s="3"/>
      <c r="CW489" s="3"/>
      <c r="CX489" s="3"/>
      <c r="CZ489" s="3"/>
      <c r="DA489" s="3"/>
      <c r="DC489" s="3"/>
      <c r="DD489" s="3"/>
      <c r="DF489" s="3"/>
      <c r="DG489" s="5"/>
      <c r="DI489" s="3"/>
      <c r="DL489" s="3"/>
      <c r="DM489" s="3"/>
      <c r="DO489" s="3"/>
      <c r="DP489" s="3"/>
      <c r="DR489" s="3"/>
      <c r="DS489" s="1" t="str">
        <f>_xlfn.XLOOKUP(OfficeForms.Table[[#This Row],[Selecione a Categoria do Laboratório desta atividade prática:]],Planilha1!A:A,Planilha1!B:B)</f>
        <v>BFI</v>
      </c>
      <c r="DT489" s="1" t="str">
        <f>CONCATENATE(OfficeForms.Table[[#This Row],[Selecione seu Polo Laboratório de Atividades Presenciais:]],OfficeForms.Table[[#This Row],[CHAVE CONVERSÃO]])</f>
        <v>Paulo Afonso/BA - Tancredo Neves IIBFI</v>
      </c>
      <c r="DU48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Articular e Goniometria: Avaliação Quantitativa na Prática Fisioterapêutica;Movimento Funcional e Cinesiologia da Marcha: Observação e Análise em Laboratório Prático</v>
      </c>
      <c r="DV48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48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489" s="1" t="str">
        <f>_xlfn.XLOOKUP(OfficeForms.Table[[#This Row],[CHAVE LINK POLO]],'[1]Quadro Geral de Lotação'!$B:$B,'[1]Quadro Geral de Lotação'!$I:$I)</f>
        <v>Vanessa Das Neves Varjao</v>
      </c>
      <c r="DY489" s="1" t="str">
        <f>OfficeForms.Table[[#This Row],[Selecione a Ordem de Disciplina]]</f>
        <v>Ordem 2</v>
      </c>
    </row>
    <row r="490" spans="1:129" ht="34.15" customHeight="1">
      <c r="A490" s="1">
        <v>490</v>
      </c>
      <c r="B490" s="2">
        <v>46108.5964467593</v>
      </c>
      <c r="C490" s="2">
        <v>46108.599907407399</v>
      </c>
      <c r="D490" s="3" t="s">
        <v>214</v>
      </c>
      <c r="E490" s="3" t="s">
        <v>215</v>
      </c>
      <c r="G490" s="3"/>
      <c r="I490" s="3" t="s">
        <v>216</v>
      </c>
      <c r="K490" s="3"/>
      <c r="L490" s="1" t="s">
        <v>678</v>
      </c>
      <c r="O490" s="3" t="s">
        <v>133</v>
      </c>
      <c r="Q490" s="3"/>
      <c r="R490" s="3"/>
      <c r="T490" s="3"/>
      <c r="U490" s="5"/>
      <c r="W490" s="3"/>
      <c r="Z490" s="3"/>
      <c r="AA490" s="3"/>
      <c r="AC490" s="3"/>
      <c r="AD490" s="3"/>
      <c r="AF490" s="3"/>
      <c r="AG490" s="3"/>
      <c r="AI490" s="3"/>
      <c r="AJ490" s="1"/>
      <c r="AL490" s="3"/>
      <c r="AO490" s="3"/>
      <c r="AP490" s="3"/>
      <c r="AR490" s="3"/>
      <c r="AS490" s="3"/>
      <c r="AU490" s="3"/>
      <c r="AV490" s="3" t="s">
        <v>1145</v>
      </c>
      <c r="AX490" s="3"/>
      <c r="AY490" s="5">
        <v>46099</v>
      </c>
      <c r="BA490" s="3"/>
      <c r="BB490" s="1">
        <v>19</v>
      </c>
      <c r="BD490" s="3"/>
      <c r="BE490" s="3" t="s">
        <v>1549</v>
      </c>
      <c r="BG490" s="3"/>
      <c r="BH490" s="3" t="s">
        <v>1550</v>
      </c>
      <c r="BJ490" s="3"/>
      <c r="BK490" s="3"/>
      <c r="BM490" s="3"/>
      <c r="BN490" s="5"/>
      <c r="BP490" s="3"/>
      <c r="BS490" s="3"/>
      <c r="BT490" s="3"/>
      <c r="BV490" s="3"/>
      <c r="BW490" s="3"/>
      <c r="BY490" s="3"/>
      <c r="BZ490" s="3"/>
      <c r="CB490" s="3"/>
      <c r="CC490" s="5"/>
      <c r="CE490" s="3"/>
      <c r="CH490" s="3"/>
      <c r="CI490" s="3"/>
      <c r="CK490" s="3"/>
      <c r="CL490" s="3"/>
      <c r="CN490" s="3"/>
      <c r="CO490" s="3"/>
      <c r="CQ490" s="3"/>
      <c r="CR490" s="5"/>
      <c r="CT490" s="3"/>
      <c r="CW490" s="3"/>
      <c r="CX490" s="3"/>
      <c r="CZ490" s="3"/>
      <c r="DA490" s="3"/>
      <c r="DC490" s="3"/>
      <c r="DD490" s="3"/>
      <c r="DF490" s="3"/>
      <c r="DG490" s="5"/>
      <c r="DI490" s="3"/>
      <c r="DL490" s="3"/>
      <c r="DM490" s="3"/>
      <c r="DO490" s="3"/>
      <c r="DP490" s="3"/>
      <c r="DR490" s="3"/>
      <c r="DS490" s="1" t="str">
        <f>_xlfn.XLOOKUP(OfficeForms.Table[[#This Row],[Selecione a Categoria do Laboratório desta atividade prática:]],Planilha1!A:A,Planilha1!B:B)</f>
        <v>BFI</v>
      </c>
      <c r="DT490" s="1" t="str">
        <f>CONCATENATE(OfficeForms.Table[[#This Row],[Selecione seu Polo Laboratório de Atividades Presenciais:]],OfficeForms.Table[[#This Row],[CHAVE CONVERSÃO]])</f>
        <v>Feira De Santana/BA - CentroBFI</v>
      </c>
      <c r="DU49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Revisão de Anatomorfofisiologia</v>
      </c>
      <c r="DV49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49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19</v>
      </c>
      <c r="DX490" s="1" t="str">
        <f>_xlfn.XLOOKUP(OfficeForms.Table[[#This Row],[CHAVE LINK POLO]],'[1]Quadro Geral de Lotação'!$B:$B,'[1]Quadro Geral de Lotação'!$I:$I)</f>
        <v>Clara Oliveira E Oliveira</v>
      </c>
      <c r="DY490" s="1" t="str">
        <f>OfficeForms.Table[[#This Row],[Selecione a Ordem de Disciplina]]</f>
        <v>Ordem 2</v>
      </c>
    </row>
    <row r="491" spans="1:129" ht="34.15" customHeight="1">
      <c r="A491" s="1">
        <v>491</v>
      </c>
      <c r="B491" s="2">
        <v>46108.600266203699</v>
      </c>
      <c r="C491" s="2">
        <v>46108.604745370401</v>
      </c>
      <c r="D491" s="3" t="s">
        <v>214</v>
      </c>
      <c r="E491" s="3" t="s">
        <v>215</v>
      </c>
      <c r="G491" s="3"/>
      <c r="I491" s="3" t="s">
        <v>216</v>
      </c>
      <c r="K491" s="3"/>
      <c r="L491" s="1" t="s">
        <v>678</v>
      </c>
      <c r="O491" s="3" t="s">
        <v>133</v>
      </c>
      <c r="Q491" s="3"/>
      <c r="R491" s="3"/>
      <c r="T491" s="3"/>
      <c r="U491" s="5"/>
      <c r="W491" s="3"/>
      <c r="Z491" s="3"/>
      <c r="AA491" s="3"/>
      <c r="AC491" s="3"/>
      <c r="AD491" s="3"/>
      <c r="AF491" s="3"/>
      <c r="AG491" s="3"/>
      <c r="AI491" s="3"/>
      <c r="AJ491" s="1"/>
      <c r="AL491" s="3"/>
      <c r="AO491" s="3"/>
      <c r="AP491" s="3"/>
      <c r="AR491" s="3"/>
      <c r="AS491" s="3"/>
      <c r="AU491" s="3"/>
      <c r="AV491" s="3" t="s">
        <v>1145</v>
      </c>
      <c r="AX491" s="3"/>
      <c r="AY491" s="5">
        <v>46099</v>
      </c>
      <c r="BA491" s="3"/>
      <c r="BB491" s="1">
        <v>19</v>
      </c>
      <c r="BD491" s="3"/>
      <c r="BE491" s="3" t="s">
        <v>1551</v>
      </c>
      <c r="BG491" s="3"/>
      <c r="BH491" s="3" t="s">
        <v>1552</v>
      </c>
      <c r="BJ491" s="3"/>
      <c r="BK491" s="3"/>
      <c r="BM491" s="3"/>
      <c r="BN491" s="5"/>
      <c r="BP491" s="3"/>
      <c r="BS491" s="3"/>
      <c r="BT491" s="3"/>
      <c r="BV491" s="3"/>
      <c r="BW491" s="3"/>
      <c r="BY491" s="3"/>
      <c r="BZ491" s="3"/>
      <c r="CB491" s="3"/>
      <c r="CC491" s="5"/>
      <c r="CE491" s="3"/>
      <c r="CH491" s="3"/>
      <c r="CI491" s="3"/>
      <c r="CK491" s="3"/>
      <c r="CL491" s="3"/>
      <c r="CN491" s="3"/>
      <c r="CO491" s="3"/>
      <c r="CQ491" s="3"/>
      <c r="CR491" s="5"/>
      <c r="CT491" s="3"/>
      <c r="CW491" s="3"/>
      <c r="CX491" s="3"/>
      <c r="CZ491" s="3"/>
      <c r="DA491" s="3"/>
      <c r="DC491" s="3"/>
      <c r="DD491" s="3"/>
      <c r="DF491" s="3"/>
      <c r="DG491" s="5"/>
      <c r="DI491" s="3"/>
      <c r="DL491" s="3"/>
      <c r="DM491" s="3"/>
      <c r="DO491" s="3"/>
      <c r="DP491" s="3"/>
      <c r="DR491" s="3"/>
      <c r="DS491" s="1" t="str">
        <f>_xlfn.XLOOKUP(OfficeForms.Table[[#This Row],[Selecione a Categoria do Laboratório desta atividade prática:]],Planilha1!A:A,Planilha1!B:B)</f>
        <v>BFI</v>
      </c>
      <c r="DT491" s="1" t="str">
        <f>CONCATENATE(OfficeForms.Table[[#This Row],[Selecione seu Polo Laboratório de Atividades Presenciais:]],OfficeForms.Table[[#This Row],[CHAVE CONVERSÃO]])</f>
        <v>Feira De Santana/BA - CentroBFI</v>
      </c>
      <c r="DU49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Revisão de Anatomorfofisiologia</v>
      </c>
      <c r="DV49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49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19</v>
      </c>
      <c r="DX491" s="1" t="str">
        <f>_xlfn.XLOOKUP(OfficeForms.Table[[#This Row],[CHAVE LINK POLO]],'[1]Quadro Geral de Lotação'!$B:$B,'[1]Quadro Geral de Lotação'!$I:$I)</f>
        <v>Clara Oliveira E Oliveira</v>
      </c>
      <c r="DY491" s="1" t="str">
        <f>OfficeForms.Table[[#This Row],[Selecione a Ordem de Disciplina]]</f>
        <v>Ordem 2</v>
      </c>
    </row>
    <row r="492" spans="1:129" ht="34.15" customHeight="1">
      <c r="A492" s="1">
        <v>492</v>
      </c>
      <c r="B492" s="2">
        <v>46108.613182870402</v>
      </c>
      <c r="C492" s="2">
        <v>46108.6166435185</v>
      </c>
      <c r="D492" s="3" t="s">
        <v>214</v>
      </c>
      <c r="E492" s="3" t="s">
        <v>215</v>
      </c>
      <c r="G492" s="3"/>
      <c r="I492" s="3" t="s">
        <v>216</v>
      </c>
      <c r="K492" s="3"/>
      <c r="L492" s="1" t="s">
        <v>678</v>
      </c>
      <c r="O492" s="3" t="s">
        <v>133</v>
      </c>
      <c r="Q492" s="3"/>
      <c r="R492" s="3"/>
      <c r="T492" s="3"/>
      <c r="U492" s="5"/>
      <c r="W492" s="3"/>
      <c r="Z492" s="3"/>
      <c r="AA492" s="3"/>
      <c r="AC492" s="3"/>
      <c r="AD492" s="3"/>
      <c r="AF492" s="3"/>
      <c r="AG492" s="3"/>
      <c r="AI492" s="3"/>
      <c r="AJ492" s="1"/>
      <c r="AL492" s="3"/>
      <c r="AO492" s="3"/>
      <c r="AP492" s="3"/>
      <c r="AR492" s="3"/>
      <c r="AS492" s="3"/>
      <c r="AU492" s="3"/>
      <c r="AV492" s="3" t="s">
        <v>1148</v>
      </c>
      <c r="AX492" s="3"/>
      <c r="AY492" s="5">
        <v>46106</v>
      </c>
      <c r="BA492" s="3"/>
      <c r="BB492" s="1">
        <v>17</v>
      </c>
      <c r="BD492" s="3"/>
      <c r="BE492" s="3" t="s">
        <v>1553</v>
      </c>
      <c r="BG492" s="3"/>
      <c r="BH492" s="3" t="s">
        <v>1554</v>
      </c>
      <c r="BJ492" s="3"/>
      <c r="BK492" s="3"/>
      <c r="BM492" s="3"/>
      <c r="BN492" s="5"/>
      <c r="BP492" s="3"/>
      <c r="BS492" s="3"/>
      <c r="BT492" s="3"/>
      <c r="BV492" s="3"/>
      <c r="BW492" s="3"/>
      <c r="BY492" s="3"/>
      <c r="BZ492" s="3"/>
      <c r="CB492" s="3"/>
      <c r="CC492" s="5"/>
      <c r="CE492" s="3"/>
      <c r="CH492" s="3"/>
      <c r="CI492" s="3"/>
      <c r="CK492" s="3"/>
      <c r="CL492" s="3"/>
      <c r="CN492" s="3"/>
      <c r="CO492" s="3"/>
      <c r="CQ492" s="3"/>
      <c r="CR492" s="5"/>
      <c r="CT492" s="3"/>
      <c r="CW492" s="3"/>
      <c r="CX492" s="3"/>
      <c r="CZ492" s="3"/>
      <c r="DA492" s="3"/>
      <c r="DC492" s="3"/>
      <c r="DD492" s="3"/>
      <c r="DF492" s="3"/>
      <c r="DG492" s="5"/>
      <c r="DI492" s="3"/>
      <c r="DL492" s="3"/>
      <c r="DM492" s="3"/>
      <c r="DO492" s="3"/>
      <c r="DP492" s="3"/>
      <c r="DR492" s="3"/>
      <c r="DS492" s="1" t="str">
        <f>_xlfn.XLOOKUP(OfficeForms.Table[[#This Row],[Selecione a Categoria do Laboratório desta atividade prática:]],Planilha1!A:A,Planilha1!B:B)</f>
        <v>BFI</v>
      </c>
      <c r="DT492" s="1" t="str">
        <f>CONCATENATE(OfficeForms.Table[[#This Row],[Selecione seu Polo Laboratório de Atividades Presenciais:]],OfficeForms.Table[[#This Row],[CHAVE CONVERSÃO]])</f>
        <v>Feira De Santana/BA - CentroBFI</v>
      </c>
      <c r="DU49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Prático da Biomecânica Articular e Muscular no Movimento Funcional Humano</v>
      </c>
      <c r="DV49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49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17</v>
      </c>
      <c r="DX492" s="1" t="str">
        <f>_xlfn.XLOOKUP(OfficeForms.Table[[#This Row],[CHAVE LINK POLO]],'[1]Quadro Geral de Lotação'!$B:$B,'[1]Quadro Geral de Lotação'!$I:$I)</f>
        <v>Clara Oliveira E Oliveira</v>
      </c>
      <c r="DY492" s="1" t="str">
        <f>OfficeForms.Table[[#This Row],[Selecione a Ordem de Disciplina]]</f>
        <v>Ordem 2</v>
      </c>
    </row>
    <row r="493" spans="1:129" ht="34.15" customHeight="1">
      <c r="A493" s="1">
        <v>493</v>
      </c>
      <c r="B493" s="2">
        <v>46108.623391203699</v>
      </c>
      <c r="C493" s="2">
        <v>46108.6245023148</v>
      </c>
      <c r="D493" s="3" t="s">
        <v>214</v>
      </c>
      <c r="E493" s="3" t="s">
        <v>215</v>
      </c>
      <c r="G493" s="3"/>
      <c r="I493" s="3" t="s">
        <v>216</v>
      </c>
      <c r="K493" s="3"/>
      <c r="L493" s="1" t="s">
        <v>678</v>
      </c>
      <c r="O493" s="3" t="s">
        <v>133</v>
      </c>
      <c r="Q493" s="3"/>
      <c r="R493" s="3"/>
      <c r="T493" s="3"/>
      <c r="U493" s="5"/>
      <c r="W493" s="3"/>
      <c r="Z493" s="3"/>
      <c r="AA493" s="3"/>
      <c r="AC493" s="3"/>
      <c r="AD493" s="3"/>
      <c r="AF493" s="3"/>
      <c r="AG493" s="3"/>
      <c r="AI493" s="3"/>
      <c r="AJ493" s="1"/>
      <c r="AL493" s="3"/>
      <c r="AO493" s="3"/>
      <c r="AP493" s="3"/>
      <c r="AR493" s="3"/>
      <c r="AS493" s="3"/>
      <c r="AU493" s="3"/>
      <c r="AV493" s="3" t="s">
        <v>1148</v>
      </c>
      <c r="AX493" s="3"/>
      <c r="AY493" s="5">
        <v>46106</v>
      </c>
      <c r="BA493" s="3"/>
      <c r="BB493" s="1">
        <v>17</v>
      </c>
      <c r="BD493" s="3"/>
      <c r="BE493" s="3" t="s">
        <v>1555</v>
      </c>
      <c r="BG493" s="3"/>
      <c r="BH493" s="3" t="s">
        <v>1556</v>
      </c>
      <c r="BJ493" s="3"/>
      <c r="BK493" s="3"/>
      <c r="BM493" s="3"/>
      <c r="BN493" s="5"/>
      <c r="BP493" s="3"/>
      <c r="BS493" s="3"/>
      <c r="BT493" s="3"/>
      <c r="BV493" s="3"/>
      <c r="BW493" s="3"/>
      <c r="BY493" s="3"/>
      <c r="BZ493" s="3"/>
      <c r="CB493" s="3"/>
      <c r="CC493" s="5"/>
      <c r="CE493" s="3"/>
      <c r="CH493" s="3"/>
      <c r="CI493" s="3"/>
      <c r="CK493" s="3"/>
      <c r="CL493" s="3"/>
      <c r="CN493" s="3"/>
      <c r="CO493" s="3"/>
      <c r="CQ493" s="3"/>
      <c r="CR493" s="5"/>
      <c r="CT493" s="3"/>
      <c r="CW493" s="3"/>
      <c r="CX493" s="3"/>
      <c r="CZ493" s="3"/>
      <c r="DA493" s="3"/>
      <c r="DC493" s="3"/>
      <c r="DD493" s="3"/>
      <c r="DF493" s="3"/>
      <c r="DG493" s="5"/>
      <c r="DI493" s="3"/>
      <c r="DL493" s="3"/>
      <c r="DM493" s="3"/>
      <c r="DO493" s="3"/>
      <c r="DP493" s="3"/>
      <c r="DR493" s="3"/>
      <c r="DS493" s="1" t="str">
        <f>_xlfn.XLOOKUP(OfficeForms.Table[[#This Row],[Selecione a Categoria do Laboratório desta atividade prática:]],Planilha1!A:A,Planilha1!B:B)</f>
        <v>BFI</v>
      </c>
      <c r="DT493" s="1" t="str">
        <f>CONCATENATE(OfficeForms.Table[[#This Row],[Selecione seu Polo Laboratório de Atividades Presenciais:]],OfficeForms.Table[[#This Row],[CHAVE CONVERSÃO]])</f>
        <v>Feira De Santana/BA - CentroBFI</v>
      </c>
      <c r="DU49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Prático da Biomecânica Articular e Muscular no Movimento Funcional Humano</v>
      </c>
      <c r="DV49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49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17</v>
      </c>
      <c r="DX493" s="1" t="str">
        <f>_xlfn.XLOOKUP(OfficeForms.Table[[#This Row],[CHAVE LINK POLO]],'[1]Quadro Geral de Lotação'!$B:$B,'[1]Quadro Geral de Lotação'!$I:$I)</f>
        <v>Clara Oliveira E Oliveira</v>
      </c>
      <c r="DY493" s="1" t="str">
        <f>OfficeForms.Table[[#This Row],[Selecione a Ordem de Disciplina]]</f>
        <v>Ordem 2</v>
      </c>
    </row>
    <row r="494" spans="1:129" ht="34.15" customHeight="1">
      <c r="A494" s="1">
        <v>494</v>
      </c>
      <c r="B494" s="2">
        <v>46108.696284722202</v>
      </c>
      <c r="C494" s="2">
        <v>46108.698969907397</v>
      </c>
      <c r="D494" s="3" t="s">
        <v>658</v>
      </c>
      <c r="E494" s="3" t="s">
        <v>659</v>
      </c>
      <c r="G494" s="3"/>
      <c r="I494" s="3" t="s">
        <v>308</v>
      </c>
      <c r="K494" s="3"/>
      <c r="L494" s="1" t="s">
        <v>678</v>
      </c>
      <c r="O494" s="3" t="s">
        <v>133</v>
      </c>
      <c r="Q494" s="3"/>
      <c r="R494" s="3"/>
      <c r="T494" s="3"/>
      <c r="U494" s="5"/>
      <c r="W494" s="3"/>
      <c r="Z494" s="3"/>
      <c r="AA494" s="3"/>
      <c r="AC494" s="3"/>
      <c r="AD494" s="3"/>
      <c r="AF494" s="3"/>
      <c r="AG494" s="3"/>
      <c r="AI494" s="3"/>
      <c r="AJ494" s="1"/>
      <c r="AL494" s="3"/>
      <c r="AO494" s="3"/>
      <c r="AP494" s="3"/>
      <c r="AR494" s="3"/>
      <c r="AS494" s="3"/>
      <c r="AU494" s="3"/>
      <c r="AV494" s="3" t="s">
        <v>1557</v>
      </c>
      <c r="AX494" s="3"/>
      <c r="AY494" s="5">
        <v>46099</v>
      </c>
      <c r="BA494" s="3"/>
      <c r="BB494" s="1">
        <v>19</v>
      </c>
      <c r="BD494" s="3"/>
      <c r="BE494" s="3" t="s">
        <v>1558</v>
      </c>
      <c r="BG494" s="3"/>
      <c r="BH494" s="3" t="s">
        <v>1559</v>
      </c>
      <c r="BJ494" s="3"/>
      <c r="BK494" s="3"/>
      <c r="BM494" s="3"/>
      <c r="BN494" s="5"/>
      <c r="BP494" s="3"/>
      <c r="BS494" s="3"/>
      <c r="BT494" s="3"/>
      <c r="BV494" s="3"/>
      <c r="BW494" s="3"/>
      <c r="BY494" s="3"/>
      <c r="BZ494" s="3"/>
      <c r="CB494" s="3"/>
      <c r="CC494" s="5"/>
      <c r="CE494" s="3"/>
      <c r="CH494" s="3"/>
      <c r="CI494" s="3"/>
      <c r="CK494" s="3"/>
      <c r="CL494" s="3"/>
      <c r="CN494" s="3"/>
      <c r="CO494" s="3"/>
      <c r="CQ494" s="3"/>
      <c r="CR494" s="5"/>
      <c r="CT494" s="3"/>
      <c r="CW494" s="3"/>
      <c r="CX494" s="3"/>
      <c r="CZ494" s="3"/>
      <c r="DA494" s="3"/>
      <c r="DC494" s="3"/>
      <c r="DD494" s="3"/>
      <c r="DF494" s="3"/>
      <c r="DG494" s="5"/>
      <c r="DI494" s="3"/>
      <c r="DL494" s="3"/>
      <c r="DM494" s="3"/>
      <c r="DO494" s="3"/>
      <c r="DP494" s="3"/>
      <c r="DR494" s="3"/>
      <c r="DS494" s="1" t="str">
        <f>_xlfn.XLOOKUP(OfficeForms.Table[[#This Row],[Selecione a Categoria do Laboratório desta atividade prática:]],Planilha1!A:A,Planilha1!B:B)</f>
        <v>BFI</v>
      </c>
      <c r="DT494" s="1" t="str">
        <f>CONCATENATE(OfficeForms.Table[[#This Row],[Selecione seu Polo Laboratório de Atividades Presenciais:]],OfficeForms.Table[[#This Row],[CHAVE CONVERSÃO]])</f>
        <v>Salvador/BA - Caminho das ÁrvoresBFI</v>
      </c>
      <c r="DU49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Inferiores</v>
      </c>
      <c r="DV49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49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19</v>
      </c>
      <c r="DX494" s="1" t="str">
        <f>_xlfn.XLOOKUP(OfficeForms.Table[[#This Row],[CHAVE LINK POLO]],'[1]Quadro Geral de Lotação'!$B:$B,'[1]Quadro Geral de Lotação'!$I:$I)</f>
        <v>Helenice Sacramento Souza Melo</v>
      </c>
      <c r="DY494" s="1" t="str">
        <f>OfficeForms.Table[[#This Row],[Selecione a Ordem de Disciplina]]</f>
        <v>Ordem 2</v>
      </c>
    </row>
    <row r="495" spans="1:129" ht="34.15" customHeight="1">
      <c r="A495" s="1">
        <v>495</v>
      </c>
      <c r="B495" s="2">
        <v>46108.699097222197</v>
      </c>
      <c r="C495" s="2">
        <v>46108.701782407399</v>
      </c>
      <c r="D495" s="3" t="s">
        <v>658</v>
      </c>
      <c r="E495" s="3" t="s">
        <v>659</v>
      </c>
      <c r="G495" s="3"/>
      <c r="I495" s="3" t="s">
        <v>308</v>
      </c>
      <c r="K495" s="3"/>
      <c r="L495" s="1" t="s">
        <v>678</v>
      </c>
      <c r="O495" s="3" t="s">
        <v>133</v>
      </c>
      <c r="Q495" s="3"/>
      <c r="R495" s="3"/>
      <c r="T495" s="3"/>
      <c r="U495" s="5"/>
      <c r="W495" s="3"/>
      <c r="Z495" s="3"/>
      <c r="AA495" s="3"/>
      <c r="AC495" s="3"/>
      <c r="AD495" s="3"/>
      <c r="AF495" s="3"/>
      <c r="AG495" s="3"/>
      <c r="AI495" s="3"/>
      <c r="AJ495" s="1"/>
      <c r="AL495" s="3"/>
      <c r="AO495" s="3"/>
      <c r="AP495" s="3"/>
      <c r="AR495" s="3"/>
      <c r="AS495" s="3"/>
      <c r="AU495" s="3"/>
      <c r="AV495" s="3" t="s">
        <v>1375</v>
      </c>
      <c r="AX495" s="3"/>
      <c r="AY495" s="5">
        <v>46106</v>
      </c>
      <c r="BA495" s="3"/>
      <c r="BB495" s="1">
        <v>22</v>
      </c>
      <c r="BD495" s="3"/>
      <c r="BE495" s="3" t="s">
        <v>1560</v>
      </c>
      <c r="BG495" s="3"/>
      <c r="BH495" s="3" t="s">
        <v>1561</v>
      </c>
      <c r="BJ495" s="3"/>
      <c r="BK495" s="3"/>
      <c r="BM495" s="3"/>
      <c r="BN495" s="5"/>
      <c r="BP495" s="3"/>
      <c r="BS495" s="3"/>
      <c r="BT495" s="3"/>
      <c r="BV495" s="3"/>
      <c r="BW495" s="3"/>
      <c r="BY495" s="3"/>
      <c r="BZ495" s="3"/>
      <c r="CB495" s="3"/>
      <c r="CC495" s="5"/>
      <c r="CE495" s="3"/>
      <c r="CH495" s="3"/>
      <c r="CI495" s="3"/>
      <c r="CK495" s="3"/>
      <c r="CL495" s="3"/>
      <c r="CN495" s="3"/>
      <c r="CO495" s="3"/>
      <c r="CQ495" s="3"/>
      <c r="CR495" s="5"/>
      <c r="CT495" s="3"/>
      <c r="CW495" s="3"/>
      <c r="CX495" s="3"/>
      <c r="CZ495" s="3"/>
      <c r="DA495" s="3"/>
      <c r="DC495" s="3"/>
      <c r="DD495" s="3"/>
      <c r="DF495" s="3"/>
      <c r="DG495" s="5"/>
      <c r="DI495" s="3"/>
      <c r="DL495" s="3"/>
      <c r="DM495" s="3"/>
      <c r="DO495" s="3"/>
      <c r="DP495" s="3"/>
      <c r="DR495" s="3"/>
      <c r="DS495" s="1" t="str">
        <f>_xlfn.XLOOKUP(OfficeForms.Table[[#This Row],[Selecione a Categoria do Laboratório desta atividade prática:]],Planilha1!A:A,Planilha1!B:B)</f>
        <v>BFI</v>
      </c>
      <c r="DT495" s="1" t="str">
        <f>CONCATENATE(OfficeForms.Table[[#This Row],[Selecione seu Polo Laboratório de Atividades Presenciais:]],OfficeForms.Table[[#This Row],[CHAVE CONVERSÃO]])</f>
        <v>Salvador/BA - Caminho das ÁrvoresBFI</v>
      </c>
      <c r="DU49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Superiores</v>
      </c>
      <c r="DV49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49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22</v>
      </c>
      <c r="DX495" s="1" t="str">
        <f>_xlfn.XLOOKUP(OfficeForms.Table[[#This Row],[CHAVE LINK POLO]],'[1]Quadro Geral de Lotação'!$B:$B,'[1]Quadro Geral de Lotação'!$I:$I)</f>
        <v>Helenice Sacramento Souza Melo</v>
      </c>
      <c r="DY495" s="1" t="str">
        <f>OfficeForms.Table[[#This Row],[Selecione a Ordem de Disciplina]]</f>
        <v>Ordem 2</v>
      </c>
    </row>
    <row r="496" spans="1:129" ht="34.15" customHeight="1">
      <c r="A496" s="1">
        <v>496</v>
      </c>
      <c r="B496" s="2">
        <v>46102.7273726852</v>
      </c>
      <c r="C496" s="2">
        <v>46108.785937499997</v>
      </c>
      <c r="D496" s="3" t="s">
        <v>1562</v>
      </c>
      <c r="E496" s="3" t="s">
        <v>1563</v>
      </c>
      <c r="G496" s="3"/>
      <c r="I496" s="3" t="s">
        <v>1564</v>
      </c>
      <c r="K496" s="3"/>
      <c r="L496" s="1" t="s">
        <v>132</v>
      </c>
      <c r="O496" s="3" t="s">
        <v>184</v>
      </c>
      <c r="Q496" s="3"/>
      <c r="R496" s="3"/>
      <c r="T496" s="3"/>
      <c r="U496" s="5"/>
      <c r="W496" s="3"/>
      <c r="Z496" s="3"/>
      <c r="AA496" s="3"/>
      <c r="AC496" s="3"/>
      <c r="AD496" s="3"/>
      <c r="AF496" s="3"/>
      <c r="AG496" s="3" t="s">
        <v>185</v>
      </c>
      <c r="AI496" s="3"/>
      <c r="AJ496" s="1">
        <v>46086</v>
      </c>
      <c r="AL496" s="3"/>
      <c r="AM496" s="1">
        <v>4</v>
      </c>
      <c r="AO496" s="3"/>
      <c r="AP496" s="3" t="s">
        <v>1565</v>
      </c>
      <c r="AR496" s="3"/>
      <c r="AS496" s="3" t="s">
        <v>1566</v>
      </c>
      <c r="AU496" s="3"/>
      <c r="AV496" s="3"/>
      <c r="AX496" s="3"/>
      <c r="AY496" s="5"/>
      <c r="BA496" s="3"/>
      <c r="BD496" s="3"/>
      <c r="BE496" s="3"/>
      <c r="BG496" s="3"/>
      <c r="BH496" s="3"/>
      <c r="BJ496" s="3"/>
      <c r="BK496" s="3"/>
      <c r="BM496" s="3"/>
      <c r="BN496" s="5"/>
      <c r="BP496" s="3"/>
      <c r="BS496" s="3"/>
      <c r="BT496" s="3"/>
      <c r="BV496" s="3"/>
      <c r="BW496" s="3"/>
      <c r="BY496" s="3"/>
      <c r="BZ496" s="3"/>
      <c r="CB496" s="3"/>
      <c r="CC496" s="5"/>
      <c r="CE496" s="3"/>
      <c r="CH496" s="3"/>
      <c r="CI496" s="3"/>
      <c r="CK496" s="3"/>
      <c r="CL496" s="3"/>
      <c r="CN496" s="3"/>
      <c r="CO496" s="3"/>
      <c r="CQ496" s="3"/>
      <c r="CR496" s="5"/>
      <c r="CT496" s="3"/>
      <c r="CW496" s="3"/>
      <c r="CX496" s="3"/>
      <c r="CZ496" s="3"/>
      <c r="DA496" s="3"/>
      <c r="DC496" s="3"/>
      <c r="DD496" s="3"/>
      <c r="DF496" s="3"/>
      <c r="DG496" s="5"/>
      <c r="DI496" s="3"/>
      <c r="DL496" s="3"/>
      <c r="DM496" s="3"/>
      <c r="DO496" s="3"/>
      <c r="DP496" s="3"/>
      <c r="DR496" s="3"/>
      <c r="DS496" s="1" t="str">
        <f>_xlfn.XLOOKUP(OfficeForms.Table[[#This Row],[Selecione a Categoria do Laboratório desta atividade prática:]],Planilha1!A:A,Planilha1!B:B)</f>
        <v>EMF-ISN</v>
      </c>
      <c r="DT496" s="1" t="str">
        <f>CONCATENATE(OfficeForms.Table[[#This Row],[Selecione seu Polo Laboratório de Atividades Presenciais:]],OfficeForms.Table[[#This Row],[CHAVE CONVERSÃO]])</f>
        <v>Carapicuíba/SPEMF-ISN</v>
      </c>
      <c r="DU49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49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49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496" s="1" t="str">
        <f>_xlfn.XLOOKUP(OfficeForms.Table[[#This Row],[CHAVE LINK POLO]],'[1]Quadro Geral de Lotação'!$B:$B,'[1]Quadro Geral de Lotação'!$I:$I)</f>
        <v>Sandra Fernandes Massad</v>
      </c>
      <c r="DY496" s="1" t="str">
        <f>OfficeForms.Table[[#This Row],[Selecione a Ordem de Disciplina]]</f>
        <v>Ordem 1</v>
      </c>
    </row>
    <row r="497" spans="1:129" ht="34.15" customHeight="1">
      <c r="A497" s="1">
        <v>497</v>
      </c>
      <c r="B497" s="2">
        <v>46108.7869444444</v>
      </c>
      <c r="C497" s="2">
        <v>46108.802048611098</v>
      </c>
      <c r="D497" s="3" t="s">
        <v>1562</v>
      </c>
      <c r="E497" s="3" t="s">
        <v>1563</v>
      </c>
      <c r="G497" s="3"/>
      <c r="I497" s="3" t="s">
        <v>1564</v>
      </c>
      <c r="K497" s="3"/>
      <c r="L497" s="1" t="s">
        <v>132</v>
      </c>
      <c r="O497" s="3" t="s">
        <v>184</v>
      </c>
      <c r="Q497" s="3"/>
      <c r="R497" s="3"/>
      <c r="T497" s="3"/>
      <c r="U497" s="5"/>
      <c r="W497" s="3"/>
      <c r="Z497" s="3"/>
      <c r="AA497" s="3"/>
      <c r="AC497" s="3"/>
      <c r="AD497" s="3"/>
      <c r="AF497" s="3"/>
      <c r="AG497" s="3" t="s">
        <v>414</v>
      </c>
      <c r="AI497" s="3"/>
      <c r="AJ497" s="1">
        <v>46079</v>
      </c>
      <c r="AL497" s="3"/>
      <c r="AM497" s="1">
        <v>2</v>
      </c>
      <c r="AO497" s="3"/>
      <c r="AP497" s="3" t="s">
        <v>1567</v>
      </c>
      <c r="AR497" s="3"/>
      <c r="AS497" s="3" t="s">
        <v>1568</v>
      </c>
      <c r="AU497" s="3"/>
      <c r="AV497" s="3"/>
      <c r="AX497" s="3"/>
      <c r="AY497" s="5"/>
      <c r="BA497" s="3"/>
      <c r="BD497" s="3"/>
      <c r="BE497" s="3"/>
      <c r="BG497" s="3"/>
      <c r="BH497" s="3"/>
      <c r="BJ497" s="3"/>
      <c r="BK497" s="3"/>
      <c r="BM497" s="3"/>
      <c r="BN497" s="5"/>
      <c r="BP497" s="3"/>
      <c r="BS497" s="3"/>
      <c r="BT497" s="3"/>
      <c r="BV497" s="3"/>
      <c r="BW497" s="3"/>
      <c r="BY497" s="3"/>
      <c r="BZ497" s="3"/>
      <c r="CB497" s="3"/>
      <c r="CC497" s="5"/>
      <c r="CE497" s="3"/>
      <c r="CH497" s="3"/>
      <c r="CI497" s="3"/>
      <c r="CK497" s="3"/>
      <c r="CL497" s="3"/>
      <c r="CN497" s="3"/>
      <c r="CO497" s="3"/>
      <c r="CQ497" s="3"/>
      <c r="CR497" s="5"/>
      <c r="CT497" s="3"/>
      <c r="CW497" s="3"/>
      <c r="CX497" s="3"/>
      <c r="CZ497" s="3"/>
      <c r="DA497" s="3"/>
      <c r="DC497" s="3"/>
      <c r="DD497" s="3"/>
      <c r="DF497" s="3"/>
      <c r="DG497" s="5"/>
      <c r="DI497" s="3"/>
      <c r="DL497" s="3"/>
      <c r="DM497" s="3"/>
      <c r="DO497" s="3"/>
      <c r="DP497" s="3"/>
      <c r="DR497" s="3"/>
      <c r="DS497" s="1" t="str">
        <f>_xlfn.XLOOKUP(OfficeForms.Table[[#This Row],[Selecione a Categoria do Laboratório desta atividade prática:]],Planilha1!A:A,Planilha1!B:B)</f>
        <v>EMF-ISN</v>
      </c>
      <c r="DT497" s="1" t="str">
        <f>CONCATENATE(OfficeForms.Table[[#This Row],[Selecione seu Polo Laboratório de Atividades Presenciais:]],OfficeForms.Table[[#This Row],[CHAVE CONVERSÃO]])</f>
        <v>Carapicuíba/SPEMF-ISN</v>
      </c>
      <c r="DU49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49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49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97" s="1" t="str">
        <f>_xlfn.XLOOKUP(OfficeForms.Table[[#This Row],[CHAVE LINK POLO]],'[1]Quadro Geral de Lotação'!$B:$B,'[1]Quadro Geral de Lotação'!$I:$I)</f>
        <v>Sandra Fernandes Massad</v>
      </c>
      <c r="DY497" s="1" t="str">
        <f>OfficeForms.Table[[#This Row],[Selecione a Ordem de Disciplina]]</f>
        <v>Ordem 1</v>
      </c>
    </row>
    <row r="498" spans="1:129" ht="34.15" customHeight="1">
      <c r="A498" s="1">
        <v>498</v>
      </c>
      <c r="B498" s="2">
        <v>46108.802129629599</v>
      </c>
      <c r="C498" s="2">
        <v>46108.813287037003</v>
      </c>
      <c r="D498" s="3" t="s">
        <v>1562</v>
      </c>
      <c r="E498" s="3" t="s">
        <v>1563</v>
      </c>
      <c r="G498" s="3"/>
      <c r="I498" s="3" t="s">
        <v>1564</v>
      </c>
      <c r="K498" s="3"/>
      <c r="L498" s="1" t="s">
        <v>132</v>
      </c>
      <c r="O498" s="3" t="s">
        <v>184</v>
      </c>
      <c r="Q498" s="3"/>
      <c r="R498" s="3"/>
      <c r="T498" s="3"/>
      <c r="U498" s="5"/>
      <c r="W498" s="3"/>
      <c r="Z498" s="3"/>
      <c r="AA498" s="3"/>
      <c r="AC498" s="3"/>
      <c r="AD498" s="3"/>
      <c r="AF498" s="3"/>
      <c r="AG498" s="3" t="s">
        <v>414</v>
      </c>
      <c r="AI498" s="3"/>
      <c r="AJ498" s="1">
        <v>46079</v>
      </c>
      <c r="AL498" s="3"/>
      <c r="AM498" s="1">
        <v>2</v>
      </c>
      <c r="AO498" s="3"/>
      <c r="AP498" s="3" t="s">
        <v>1569</v>
      </c>
      <c r="AR498" s="3"/>
      <c r="AS498" s="3" t="s">
        <v>1570</v>
      </c>
      <c r="AU498" s="3"/>
      <c r="AV498" s="3"/>
      <c r="AX498" s="3"/>
      <c r="AY498" s="5"/>
      <c r="BA498" s="3"/>
      <c r="BD498" s="3"/>
      <c r="BE498" s="3"/>
      <c r="BG498" s="3"/>
      <c r="BH498" s="3"/>
      <c r="BJ498" s="3"/>
      <c r="BK498" s="3"/>
      <c r="BM498" s="3"/>
      <c r="BN498" s="5"/>
      <c r="BP498" s="3"/>
      <c r="BS498" s="3"/>
      <c r="BT498" s="3"/>
      <c r="BV498" s="3"/>
      <c r="BW498" s="3"/>
      <c r="BY498" s="3"/>
      <c r="BZ498" s="3"/>
      <c r="CB498" s="3"/>
      <c r="CC498" s="5"/>
      <c r="CE498" s="3"/>
      <c r="CH498" s="3"/>
      <c r="CI498" s="3"/>
      <c r="CK498" s="3"/>
      <c r="CL498" s="3"/>
      <c r="CN498" s="3"/>
      <c r="CO498" s="3"/>
      <c r="CQ498" s="3"/>
      <c r="CR498" s="5"/>
      <c r="CT498" s="3"/>
      <c r="CW498" s="3"/>
      <c r="CX498" s="3"/>
      <c r="CZ498" s="3"/>
      <c r="DA498" s="3"/>
      <c r="DC498" s="3"/>
      <c r="DD498" s="3"/>
      <c r="DF498" s="3"/>
      <c r="DG498" s="5"/>
      <c r="DI498" s="3"/>
      <c r="DL498" s="3"/>
      <c r="DM498" s="3"/>
      <c r="DO498" s="3"/>
      <c r="DP498" s="3"/>
      <c r="DR498" s="3"/>
      <c r="DS498" s="1" t="str">
        <f>_xlfn.XLOOKUP(OfficeForms.Table[[#This Row],[Selecione a Categoria do Laboratório desta atividade prática:]],Planilha1!A:A,Planilha1!B:B)</f>
        <v>EMF-ISN</v>
      </c>
      <c r="DT498" s="1" t="str">
        <f>CONCATENATE(OfficeForms.Table[[#This Row],[Selecione seu Polo Laboratório de Atividades Presenciais:]],OfficeForms.Table[[#This Row],[CHAVE CONVERSÃO]])</f>
        <v>Carapicuíba/SPEMF-ISN</v>
      </c>
      <c r="DU49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49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49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498" s="1" t="str">
        <f>_xlfn.XLOOKUP(OfficeForms.Table[[#This Row],[CHAVE LINK POLO]],'[1]Quadro Geral de Lotação'!$B:$B,'[1]Quadro Geral de Lotação'!$I:$I)</f>
        <v>Sandra Fernandes Massad</v>
      </c>
      <c r="DY498" s="1" t="str">
        <f>OfficeForms.Table[[#This Row],[Selecione a Ordem de Disciplina]]</f>
        <v>Ordem 1</v>
      </c>
    </row>
    <row r="499" spans="1:129" ht="34.15" customHeight="1">
      <c r="A499" s="1">
        <v>499</v>
      </c>
      <c r="B499" s="2">
        <v>46108.805011574099</v>
      </c>
      <c r="C499" s="2">
        <v>46108.816493055601</v>
      </c>
      <c r="D499" s="3" t="s">
        <v>1571</v>
      </c>
      <c r="E499" s="3" t="s">
        <v>1572</v>
      </c>
      <c r="G499" s="3"/>
      <c r="I499" s="3" t="s">
        <v>1573</v>
      </c>
      <c r="K499" s="3"/>
      <c r="L499" s="1" t="s">
        <v>678</v>
      </c>
      <c r="O499" s="3" t="s">
        <v>1482</v>
      </c>
      <c r="Q499" s="3"/>
      <c r="R499" s="3"/>
      <c r="T499" s="3"/>
      <c r="U499" s="5"/>
      <c r="W499" s="3"/>
      <c r="Z499" s="3"/>
      <c r="AA499" s="3"/>
      <c r="AC499" s="3"/>
      <c r="AD499" s="3"/>
      <c r="AF499" s="3"/>
      <c r="AG499" s="3"/>
      <c r="AI499" s="3"/>
      <c r="AJ499" s="1"/>
      <c r="AL499" s="3"/>
      <c r="AO499" s="3"/>
      <c r="AP499" s="3"/>
      <c r="AR499" s="3"/>
      <c r="AS499" s="3"/>
      <c r="AU499" s="3"/>
      <c r="AV499" s="3"/>
      <c r="AX499" s="3"/>
      <c r="AY499" s="5"/>
      <c r="BA499" s="3"/>
      <c r="BD499" s="3"/>
      <c r="BE499" s="3"/>
      <c r="BG499" s="3"/>
      <c r="BH499" s="3"/>
      <c r="BJ499" s="3"/>
      <c r="BK499" s="3"/>
      <c r="BM499" s="3"/>
      <c r="BN499" s="5"/>
      <c r="BP499" s="3"/>
      <c r="BS499" s="3"/>
      <c r="BT499" s="3"/>
      <c r="BV499" s="3"/>
      <c r="BW499" s="3"/>
      <c r="BY499" s="3"/>
      <c r="BZ499" s="3"/>
      <c r="CB499" s="3"/>
      <c r="CC499" s="5"/>
      <c r="CE499" s="3"/>
      <c r="CH499" s="3"/>
      <c r="CI499" s="3"/>
      <c r="CK499" s="3"/>
      <c r="CL499" s="3"/>
      <c r="CN499" s="3"/>
      <c r="CO499" s="3" t="s">
        <v>1574</v>
      </c>
      <c r="CQ499" s="3"/>
      <c r="CR499" s="5">
        <v>46100</v>
      </c>
      <c r="CT499" s="3"/>
      <c r="CU499" s="1">
        <v>3</v>
      </c>
      <c r="CW499" s="3"/>
      <c r="CX499" s="3" t="s">
        <v>1575</v>
      </c>
      <c r="CZ499" s="3"/>
      <c r="DA499" s="3" t="s">
        <v>1576</v>
      </c>
      <c r="DC499" s="3"/>
      <c r="DD499" s="3"/>
      <c r="DF499" s="3"/>
      <c r="DG499" s="5"/>
      <c r="DI499" s="3"/>
      <c r="DL499" s="3"/>
      <c r="DM499" s="3"/>
      <c r="DO499" s="3"/>
      <c r="DP499" s="3"/>
      <c r="DR499" s="3"/>
      <c r="DS499" s="1" t="str">
        <f>_xlfn.XLOOKUP(OfficeForms.Table[[#This Row],[Selecione a Categoria do Laboratório desta atividade prática:]],Planilha1!A:A,Planilha1!B:B)</f>
        <v>BAU</v>
      </c>
      <c r="DT499" s="1" t="str">
        <f>CONCATENATE(OfficeForms.Table[[#This Row],[Selecione seu Polo Laboratório de Atividades Presenciais:]],OfficeForms.Table[[#This Row],[CHAVE CONVERSÃO]])</f>
        <v>Camboriú/SCBAU</v>
      </c>
      <c r="DU49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Maquete Física Volumétrica (Parte 1)</v>
      </c>
      <c r="DV49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49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499" s="1" t="str">
        <f>_xlfn.XLOOKUP(OfficeForms.Table[[#This Row],[CHAVE LINK POLO]],'[1]Quadro Geral de Lotação'!$B:$B,'[1]Quadro Geral de Lotação'!$I:$I)</f>
        <v>Gilnei Da Silva Dias</v>
      </c>
      <c r="DY499" s="1" t="str">
        <f>OfficeForms.Table[[#This Row],[Selecione a Ordem de Disciplina]]</f>
        <v>Ordem 2</v>
      </c>
    </row>
    <row r="500" spans="1:129" ht="34.15" customHeight="1">
      <c r="A500" s="1">
        <v>500</v>
      </c>
      <c r="B500" s="2">
        <v>46108.813946759299</v>
      </c>
      <c r="C500" s="2">
        <v>46108.821469907401</v>
      </c>
      <c r="D500" s="3" t="s">
        <v>1562</v>
      </c>
      <c r="E500" s="3" t="s">
        <v>1563</v>
      </c>
      <c r="G500" s="3"/>
      <c r="I500" s="3" t="s">
        <v>1564</v>
      </c>
      <c r="K500" s="3"/>
      <c r="L500" s="1" t="s">
        <v>132</v>
      </c>
      <c r="O500" s="3" t="s">
        <v>184</v>
      </c>
      <c r="Q500" s="3"/>
      <c r="R500" s="3"/>
      <c r="T500" s="3"/>
      <c r="U500" s="5"/>
      <c r="W500" s="3"/>
      <c r="Z500" s="3"/>
      <c r="AA500" s="3"/>
      <c r="AC500" s="3"/>
      <c r="AD500" s="3"/>
      <c r="AF500" s="3"/>
      <c r="AG500" s="3" t="s">
        <v>194</v>
      </c>
      <c r="AI500" s="3"/>
      <c r="AJ500" s="1">
        <v>46093</v>
      </c>
      <c r="AL500" s="3"/>
      <c r="AM500" s="1">
        <v>3</v>
      </c>
      <c r="AO500" s="3"/>
      <c r="AP500" s="3" t="s">
        <v>1577</v>
      </c>
      <c r="AR500" s="3"/>
      <c r="AS500" s="3" t="s">
        <v>1578</v>
      </c>
      <c r="AU500" s="3"/>
      <c r="AV500" s="3"/>
      <c r="AX500" s="3"/>
      <c r="AY500" s="5"/>
      <c r="BA500" s="3"/>
      <c r="BD500" s="3"/>
      <c r="BE500" s="3"/>
      <c r="BG500" s="3"/>
      <c r="BH500" s="3"/>
      <c r="BJ500" s="3"/>
      <c r="BK500" s="3"/>
      <c r="BM500" s="3"/>
      <c r="BN500" s="5"/>
      <c r="BP500" s="3"/>
      <c r="BS500" s="3"/>
      <c r="BT500" s="3"/>
      <c r="BV500" s="3"/>
      <c r="BW500" s="3"/>
      <c r="BY500" s="3"/>
      <c r="BZ500" s="3"/>
      <c r="CB500" s="3"/>
      <c r="CC500" s="5"/>
      <c r="CE500" s="3"/>
      <c r="CH500" s="3"/>
      <c r="CI500" s="3"/>
      <c r="CK500" s="3"/>
      <c r="CL500" s="3"/>
      <c r="CN500" s="3"/>
      <c r="CO500" s="3"/>
      <c r="CQ500" s="3"/>
      <c r="CR500" s="5"/>
      <c r="CT500" s="3"/>
      <c r="CW500" s="3"/>
      <c r="CX500" s="3"/>
      <c r="CZ500" s="3"/>
      <c r="DA500" s="3"/>
      <c r="DC500" s="3"/>
      <c r="DD500" s="3"/>
      <c r="DF500" s="3"/>
      <c r="DG500" s="5"/>
      <c r="DI500" s="3"/>
      <c r="DL500" s="3"/>
      <c r="DM500" s="3"/>
      <c r="DO500" s="3"/>
      <c r="DP500" s="3"/>
      <c r="DR500" s="3"/>
      <c r="DS500" s="1" t="str">
        <f>_xlfn.XLOOKUP(OfficeForms.Table[[#This Row],[Selecione a Categoria do Laboratório desta atividade prática:]],Planilha1!A:A,Planilha1!B:B)</f>
        <v>EMF-ISN</v>
      </c>
      <c r="DT500" s="1" t="str">
        <f>CONCATENATE(OfficeForms.Table[[#This Row],[Selecione seu Polo Laboratório de Atividades Presenciais:]],OfficeForms.Table[[#This Row],[CHAVE CONVERSÃO]])</f>
        <v>Carapicuíba/SPEMF-ISN</v>
      </c>
      <c r="DU50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50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50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00" s="1" t="str">
        <f>_xlfn.XLOOKUP(OfficeForms.Table[[#This Row],[CHAVE LINK POLO]],'[1]Quadro Geral de Lotação'!$B:$B,'[1]Quadro Geral de Lotação'!$I:$I)</f>
        <v>Sandra Fernandes Massad</v>
      </c>
      <c r="DY500" s="1" t="str">
        <f>OfficeForms.Table[[#This Row],[Selecione a Ordem de Disciplina]]</f>
        <v>Ordem 1</v>
      </c>
    </row>
    <row r="501" spans="1:129" ht="34.15" customHeight="1">
      <c r="A501" s="1">
        <v>501</v>
      </c>
      <c r="B501" s="2">
        <v>46108.816643518498</v>
      </c>
      <c r="C501" s="2">
        <v>46108.822766203702</v>
      </c>
      <c r="D501" s="3" t="s">
        <v>1571</v>
      </c>
      <c r="E501" s="3" t="s">
        <v>1572</v>
      </c>
      <c r="G501" s="3"/>
      <c r="I501" s="3" t="s">
        <v>1573</v>
      </c>
      <c r="K501" s="3"/>
      <c r="L501" s="1" t="s">
        <v>678</v>
      </c>
      <c r="O501" s="3" t="s">
        <v>1482</v>
      </c>
      <c r="Q501" s="3"/>
      <c r="R501" s="3"/>
      <c r="T501" s="3"/>
      <c r="U501" s="5"/>
      <c r="W501" s="3"/>
      <c r="Z501" s="3"/>
      <c r="AA501" s="3"/>
      <c r="AC501" s="3"/>
      <c r="AD501" s="3"/>
      <c r="AF501" s="3"/>
      <c r="AG501" s="3"/>
      <c r="AI501" s="3"/>
      <c r="AJ501" s="1"/>
      <c r="AL501" s="3"/>
      <c r="AO501" s="3"/>
      <c r="AP501" s="3"/>
      <c r="AR501" s="3"/>
      <c r="AS501" s="3"/>
      <c r="AU501" s="3"/>
      <c r="AV501" s="3"/>
      <c r="AX501" s="3"/>
      <c r="AY501" s="5"/>
      <c r="BA501" s="3"/>
      <c r="BD501" s="3"/>
      <c r="BE501" s="3"/>
      <c r="BG501" s="3"/>
      <c r="BH501" s="3"/>
      <c r="BJ501" s="3"/>
      <c r="BK501" s="3"/>
      <c r="BM501" s="3"/>
      <c r="BN501" s="5"/>
      <c r="BP501" s="3"/>
      <c r="BS501" s="3"/>
      <c r="BT501" s="3"/>
      <c r="BV501" s="3"/>
      <c r="BW501" s="3"/>
      <c r="BY501" s="3"/>
      <c r="BZ501" s="3"/>
      <c r="CB501" s="3"/>
      <c r="CC501" s="5"/>
      <c r="CE501" s="3"/>
      <c r="CH501" s="3"/>
      <c r="CI501" s="3"/>
      <c r="CK501" s="3"/>
      <c r="CL501" s="3"/>
      <c r="CN501" s="3"/>
      <c r="CO501" s="3" t="s">
        <v>1579</v>
      </c>
      <c r="CQ501" s="3"/>
      <c r="CR501" s="5">
        <v>46100</v>
      </c>
      <c r="CT501" s="3"/>
      <c r="CU501" s="1">
        <v>5</v>
      </c>
      <c r="CW501" s="3"/>
      <c r="CX501" s="3" t="s">
        <v>1580</v>
      </c>
      <c r="CZ501" s="3"/>
      <c r="DA501" s="3" t="s">
        <v>1581</v>
      </c>
      <c r="DC501" s="3"/>
      <c r="DD501" s="3"/>
      <c r="DF501" s="3"/>
      <c r="DG501" s="5"/>
      <c r="DI501" s="3"/>
      <c r="DL501" s="3"/>
      <c r="DM501" s="3"/>
      <c r="DO501" s="3"/>
      <c r="DP501" s="3"/>
      <c r="DR501" s="3"/>
      <c r="DS501" s="1" t="str">
        <f>_xlfn.XLOOKUP(OfficeForms.Table[[#This Row],[Selecione a Categoria do Laboratório desta atividade prática:]],Planilha1!A:A,Planilha1!B:B)</f>
        <v>BAU</v>
      </c>
      <c r="DT501" s="1" t="str">
        <f>CONCATENATE(OfficeForms.Table[[#This Row],[Selecione seu Polo Laboratório de Atividades Presenciais:]],OfficeForms.Table[[#This Row],[CHAVE CONVERSÃO]])</f>
        <v>Camboriú/SCBAU</v>
      </c>
      <c r="DU50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Assessoramento no desenvolvimento da perspectiva arquitetônica (Parte 1)</v>
      </c>
      <c r="DV50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50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501" s="1" t="str">
        <f>_xlfn.XLOOKUP(OfficeForms.Table[[#This Row],[CHAVE LINK POLO]],'[1]Quadro Geral de Lotação'!$B:$B,'[1]Quadro Geral de Lotação'!$I:$I)</f>
        <v>Gilnei Da Silva Dias</v>
      </c>
      <c r="DY501" s="1" t="str">
        <f>OfficeForms.Table[[#This Row],[Selecione a Ordem de Disciplina]]</f>
        <v>Ordem 2</v>
      </c>
    </row>
    <row r="502" spans="1:129" ht="34.15" customHeight="1">
      <c r="A502" s="1">
        <v>502</v>
      </c>
      <c r="B502" s="2">
        <v>46108.822905092602</v>
      </c>
      <c r="C502" s="2">
        <v>46108.823703703703</v>
      </c>
      <c r="D502" s="3" t="s">
        <v>1571</v>
      </c>
      <c r="E502" s="3" t="s">
        <v>1572</v>
      </c>
      <c r="G502" s="3"/>
      <c r="I502" s="3" t="s">
        <v>1573</v>
      </c>
      <c r="K502" s="3"/>
      <c r="L502" s="1" t="s">
        <v>678</v>
      </c>
      <c r="O502" s="3" t="s">
        <v>1482</v>
      </c>
      <c r="Q502" s="3"/>
      <c r="R502" s="3"/>
      <c r="T502" s="3"/>
      <c r="U502" s="5"/>
      <c r="W502" s="3"/>
      <c r="Z502" s="3"/>
      <c r="AA502" s="3"/>
      <c r="AC502" s="3"/>
      <c r="AD502" s="3"/>
      <c r="AF502" s="3"/>
      <c r="AG502" s="3"/>
      <c r="AI502" s="3"/>
      <c r="AJ502" s="1"/>
      <c r="AL502" s="3"/>
      <c r="AO502" s="3"/>
      <c r="AP502" s="3"/>
      <c r="AR502" s="3"/>
      <c r="AS502" s="3"/>
      <c r="AU502" s="3"/>
      <c r="AV502" s="3"/>
      <c r="AX502" s="3"/>
      <c r="AY502" s="5"/>
      <c r="BA502" s="3"/>
      <c r="BD502" s="3"/>
      <c r="BE502" s="3"/>
      <c r="BG502" s="3"/>
      <c r="BH502" s="3"/>
      <c r="BJ502" s="3"/>
      <c r="BK502" s="3"/>
      <c r="BM502" s="3"/>
      <c r="BN502" s="5"/>
      <c r="BP502" s="3"/>
      <c r="BS502" s="3"/>
      <c r="BT502" s="3"/>
      <c r="BV502" s="3"/>
      <c r="BW502" s="3"/>
      <c r="BY502" s="3"/>
      <c r="BZ502" s="3"/>
      <c r="CB502" s="3"/>
      <c r="CC502" s="5"/>
      <c r="CE502" s="3"/>
      <c r="CH502" s="3"/>
      <c r="CI502" s="3"/>
      <c r="CK502" s="3"/>
      <c r="CL502" s="3"/>
      <c r="CN502" s="3"/>
      <c r="CO502" s="3" t="s">
        <v>1582</v>
      </c>
      <c r="CQ502" s="3"/>
      <c r="CR502" s="5">
        <v>46107</v>
      </c>
      <c r="CT502" s="3"/>
      <c r="CU502" s="1">
        <v>0</v>
      </c>
      <c r="CW502" s="3"/>
      <c r="CX502" s="3" t="s">
        <v>1583</v>
      </c>
      <c r="CZ502" s="3"/>
      <c r="DA502" s="3" t="s">
        <v>1584</v>
      </c>
      <c r="DC502" s="3"/>
      <c r="DD502" s="3"/>
      <c r="DF502" s="3"/>
      <c r="DG502" s="5"/>
      <c r="DI502" s="3"/>
      <c r="DL502" s="3"/>
      <c r="DM502" s="3"/>
      <c r="DO502" s="3"/>
      <c r="DP502" s="3"/>
      <c r="DR502" s="3"/>
      <c r="DS502" s="1" t="str">
        <f>_xlfn.XLOOKUP(OfficeForms.Table[[#This Row],[Selecione a Categoria do Laboratório desta atividade prática:]],Planilha1!A:A,Planilha1!B:B)</f>
        <v>BAU</v>
      </c>
      <c r="DT502" s="1" t="str">
        <f>CONCATENATE(OfficeForms.Table[[#This Row],[Selecione seu Polo Laboratório de Atividades Presenciais:]],OfficeForms.Table[[#This Row],[CHAVE CONVERSÃO]])</f>
        <v>Camboriú/SCBAU</v>
      </c>
      <c r="DU50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Levantamento de cargas</v>
      </c>
      <c r="DV50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0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02" s="1" t="str">
        <f>_xlfn.XLOOKUP(OfficeForms.Table[[#This Row],[CHAVE LINK POLO]],'[1]Quadro Geral de Lotação'!$B:$B,'[1]Quadro Geral de Lotação'!$I:$I)</f>
        <v>Gilnei Da Silva Dias</v>
      </c>
      <c r="DY502" s="1" t="str">
        <f>OfficeForms.Table[[#This Row],[Selecione a Ordem de Disciplina]]</f>
        <v>Ordem 2</v>
      </c>
    </row>
    <row r="503" spans="1:129" ht="34.15" customHeight="1">
      <c r="A503" s="1">
        <v>503</v>
      </c>
      <c r="B503" s="2">
        <v>46108.8208101852</v>
      </c>
      <c r="C503" s="2">
        <v>46108.824166666702</v>
      </c>
      <c r="D503" s="3" t="s">
        <v>268</v>
      </c>
      <c r="E503" s="3" t="s">
        <v>269</v>
      </c>
      <c r="G503" s="3"/>
      <c r="I503" s="3" t="s">
        <v>270</v>
      </c>
      <c r="K503" s="3"/>
      <c r="L503" s="1" t="s">
        <v>678</v>
      </c>
      <c r="O503" s="3" t="s">
        <v>184</v>
      </c>
      <c r="Q503" s="3"/>
      <c r="R503" s="3"/>
      <c r="T503" s="3"/>
      <c r="U503" s="5"/>
      <c r="W503" s="3"/>
      <c r="Z503" s="3"/>
      <c r="AA503" s="3"/>
      <c r="AC503" s="3"/>
      <c r="AD503" s="3"/>
      <c r="AF503" s="3"/>
      <c r="AG503" s="3" t="s">
        <v>185</v>
      </c>
      <c r="AI503" s="3"/>
      <c r="AJ503" s="1">
        <v>46078</v>
      </c>
      <c r="AL503" s="3"/>
      <c r="AM503" s="1">
        <v>13</v>
      </c>
      <c r="AO503" s="3"/>
      <c r="AP503" s="3" t="s">
        <v>1585</v>
      </c>
      <c r="AR503" s="3"/>
      <c r="AS503" s="3" t="s">
        <v>1586</v>
      </c>
      <c r="AU503" s="3"/>
      <c r="AV503" s="3"/>
      <c r="AX503" s="3"/>
      <c r="AY503" s="5"/>
      <c r="BA503" s="3"/>
      <c r="BD503" s="3"/>
      <c r="BE503" s="3"/>
      <c r="BG503" s="3"/>
      <c r="BH503" s="3"/>
      <c r="BJ503" s="3"/>
      <c r="BK503" s="3"/>
      <c r="BM503" s="3"/>
      <c r="BN503" s="5"/>
      <c r="BP503" s="3"/>
      <c r="BS503" s="3"/>
      <c r="BT503" s="3"/>
      <c r="BV503" s="3"/>
      <c r="BW503" s="3"/>
      <c r="BY503" s="3"/>
      <c r="BZ503" s="3"/>
      <c r="CB503" s="3"/>
      <c r="CC503" s="5"/>
      <c r="CE503" s="3"/>
      <c r="CH503" s="3"/>
      <c r="CI503" s="3"/>
      <c r="CK503" s="3"/>
      <c r="CL503" s="3"/>
      <c r="CN503" s="3"/>
      <c r="CO503" s="3"/>
      <c r="CQ503" s="3"/>
      <c r="CR503" s="5"/>
      <c r="CT503" s="3"/>
      <c r="CW503" s="3"/>
      <c r="CX503" s="3"/>
      <c r="CZ503" s="3"/>
      <c r="DA503" s="3"/>
      <c r="DC503" s="3"/>
      <c r="DD503" s="3"/>
      <c r="DF503" s="3"/>
      <c r="DG503" s="5"/>
      <c r="DI503" s="3"/>
      <c r="DL503" s="3"/>
      <c r="DM503" s="3"/>
      <c r="DO503" s="3"/>
      <c r="DP503" s="3"/>
      <c r="DR503" s="3"/>
      <c r="DS503" s="1" t="str">
        <f>_xlfn.XLOOKUP(OfficeForms.Table[[#This Row],[Selecione a Categoria do Laboratório desta atividade prática:]],Planilha1!A:A,Planilha1!B:B)</f>
        <v>EMF-ISN</v>
      </c>
      <c r="DT503" s="1" t="str">
        <f>CONCATENATE(OfficeForms.Table[[#This Row],[Selecione seu Polo Laboratório de Atividades Presenciais:]],OfficeForms.Table[[#This Row],[CHAVE CONVERSÃO]])</f>
        <v>Nossa Senhora da Glória/SEEMF-ISN</v>
      </c>
      <c r="DU50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50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50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503" s="1" t="str">
        <f>_xlfn.XLOOKUP(OfficeForms.Table[[#This Row],[CHAVE LINK POLO]],'[1]Quadro Geral de Lotação'!$B:$B,'[1]Quadro Geral de Lotação'!$I:$I)</f>
        <v>Amanda Santos</v>
      </c>
      <c r="DY503" s="1" t="str">
        <f>OfficeForms.Table[[#This Row],[Selecione a Ordem de Disciplina]]</f>
        <v>Ordem 2</v>
      </c>
    </row>
    <row r="504" spans="1:129" ht="34.15" customHeight="1">
      <c r="A504" s="1">
        <v>504</v>
      </c>
      <c r="B504" s="2">
        <v>46108.824027777802</v>
      </c>
      <c r="C504" s="2">
        <v>46108.8272685185</v>
      </c>
      <c r="D504" s="3" t="s">
        <v>1571</v>
      </c>
      <c r="E504" s="3" t="s">
        <v>1572</v>
      </c>
      <c r="G504" s="3"/>
      <c r="I504" s="3" t="s">
        <v>1573</v>
      </c>
      <c r="K504" s="3"/>
      <c r="L504" s="1" t="s">
        <v>678</v>
      </c>
      <c r="O504" s="3" t="s">
        <v>1482</v>
      </c>
      <c r="Q504" s="3"/>
      <c r="R504" s="3"/>
      <c r="T504" s="3"/>
      <c r="U504" s="5"/>
      <c r="W504" s="3"/>
      <c r="Z504" s="3"/>
      <c r="AA504" s="3"/>
      <c r="AC504" s="3"/>
      <c r="AD504" s="3"/>
      <c r="AF504" s="3"/>
      <c r="AG504" s="3"/>
      <c r="AI504" s="3"/>
      <c r="AJ504" s="1"/>
      <c r="AL504" s="3"/>
      <c r="AO504" s="3"/>
      <c r="AP504" s="3"/>
      <c r="AR504" s="3"/>
      <c r="AS504" s="3"/>
      <c r="AU504" s="3"/>
      <c r="AV504" s="3"/>
      <c r="AX504" s="3"/>
      <c r="AY504" s="5"/>
      <c r="BA504" s="3"/>
      <c r="BD504" s="3"/>
      <c r="BE504" s="3"/>
      <c r="BG504" s="3"/>
      <c r="BH504" s="3"/>
      <c r="BJ504" s="3"/>
      <c r="BK504" s="3"/>
      <c r="BM504" s="3"/>
      <c r="BN504" s="5"/>
      <c r="BP504" s="3"/>
      <c r="BS504" s="3"/>
      <c r="BT504" s="3"/>
      <c r="BV504" s="3"/>
      <c r="BW504" s="3"/>
      <c r="BY504" s="3"/>
      <c r="BZ504" s="3"/>
      <c r="CB504" s="3"/>
      <c r="CC504" s="5"/>
      <c r="CE504" s="3"/>
      <c r="CH504" s="3"/>
      <c r="CI504" s="3"/>
      <c r="CK504" s="3"/>
      <c r="CL504" s="3"/>
      <c r="CN504" s="3"/>
      <c r="CO504" s="3" t="s">
        <v>1587</v>
      </c>
      <c r="CQ504" s="3"/>
      <c r="CR504" s="5">
        <v>46107</v>
      </c>
      <c r="CT504" s="3"/>
      <c r="CU504" s="1">
        <v>0</v>
      </c>
      <c r="CW504" s="3"/>
      <c r="CX504" s="3" t="s">
        <v>1588</v>
      </c>
      <c r="CZ504" s="3"/>
      <c r="DA504" s="3" t="s">
        <v>1589</v>
      </c>
      <c r="DC504" s="3"/>
      <c r="DD504" s="3"/>
      <c r="DF504" s="3"/>
      <c r="DG504" s="5"/>
      <c r="DI504" s="3"/>
      <c r="DL504" s="3"/>
      <c r="DM504" s="3"/>
      <c r="DO504" s="3"/>
      <c r="DP504" s="3"/>
      <c r="DR504" s="3"/>
      <c r="DS504" s="1" t="str">
        <f>_xlfn.XLOOKUP(OfficeForms.Table[[#This Row],[Selecione a Categoria do Laboratório desta atividade prática:]],Planilha1!A:A,Planilha1!B:B)</f>
        <v>BAU</v>
      </c>
      <c r="DT504" s="1" t="str">
        <f>CONCATENATE(OfficeForms.Table[[#This Row],[Selecione seu Polo Laboratório de Atividades Presenciais:]],OfficeForms.Table[[#This Row],[CHAVE CONVERSÃO]])</f>
        <v>Camboriú/SCBAU</v>
      </c>
      <c r="DU50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Dimensionamento de Condutores e Dispositivos de Proteção</v>
      </c>
      <c r="DV50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0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04" s="1" t="str">
        <f>_xlfn.XLOOKUP(OfficeForms.Table[[#This Row],[CHAVE LINK POLO]],'[1]Quadro Geral de Lotação'!$B:$B,'[1]Quadro Geral de Lotação'!$I:$I)</f>
        <v>Gilnei Da Silva Dias</v>
      </c>
      <c r="DY504" s="1" t="str">
        <f>OfficeForms.Table[[#This Row],[Selecione a Ordem de Disciplina]]</f>
        <v>Ordem 2</v>
      </c>
    </row>
    <row r="505" spans="1:129" ht="34.15" customHeight="1">
      <c r="A505" s="1">
        <v>505</v>
      </c>
      <c r="B505" s="2">
        <v>46108.825891203698</v>
      </c>
      <c r="C505" s="2">
        <v>46108.827395833301</v>
      </c>
      <c r="D505" s="3" t="s">
        <v>1562</v>
      </c>
      <c r="E505" s="3" t="s">
        <v>1563</v>
      </c>
      <c r="G505" s="3"/>
      <c r="I505" s="3" t="s">
        <v>1564</v>
      </c>
      <c r="K505" s="3"/>
      <c r="L505" s="1" t="s">
        <v>678</v>
      </c>
      <c r="O505" s="3" t="s">
        <v>184</v>
      </c>
      <c r="Q505" s="3"/>
      <c r="R505" s="3"/>
      <c r="T505" s="3"/>
      <c r="U505" s="5"/>
      <c r="W505" s="3"/>
      <c r="Z505" s="3"/>
      <c r="AA505" s="3"/>
      <c r="AC505" s="3"/>
      <c r="AD505" s="3"/>
      <c r="AF505" s="3"/>
      <c r="AG505" s="3" t="s">
        <v>1105</v>
      </c>
      <c r="AI505" s="3"/>
      <c r="AJ505" s="1">
        <v>46100</v>
      </c>
      <c r="AL505" s="3"/>
      <c r="AM505" s="1">
        <v>4</v>
      </c>
      <c r="AO505" s="3"/>
      <c r="AP505" s="3" t="s">
        <v>1590</v>
      </c>
      <c r="AR505" s="3"/>
      <c r="AS505" s="3" t="s">
        <v>1591</v>
      </c>
      <c r="AU505" s="3"/>
      <c r="AV505" s="3"/>
      <c r="AX505" s="3"/>
      <c r="AY505" s="5"/>
      <c r="BA505" s="3"/>
      <c r="BD505" s="3"/>
      <c r="BE505" s="3"/>
      <c r="BG505" s="3"/>
      <c r="BH505" s="3"/>
      <c r="BJ505" s="3"/>
      <c r="BK505" s="3"/>
      <c r="BM505" s="3"/>
      <c r="BN505" s="5"/>
      <c r="BP505" s="3"/>
      <c r="BS505" s="3"/>
      <c r="BT505" s="3"/>
      <c r="BV505" s="3"/>
      <c r="BW505" s="3"/>
      <c r="BY505" s="3"/>
      <c r="BZ505" s="3"/>
      <c r="CB505" s="3"/>
      <c r="CC505" s="5"/>
      <c r="CE505" s="3"/>
      <c r="CH505" s="3"/>
      <c r="CI505" s="3"/>
      <c r="CK505" s="3"/>
      <c r="CL505" s="3"/>
      <c r="CN505" s="3"/>
      <c r="CO505" s="3"/>
      <c r="CQ505" s="3"/>
      <c r="CR505" s="5"/>
      <c r="CT505" s="3"/>
      <c r="CW505" s="3"/>
      <c r="CX505" s="3"/>
      <c r="CZ505" s="3"/>
      <c r="DA505" s="3"/>
      <c r="DC505" s="3"/>
      <c r="DD505" s="3"/>
      <c r="DF505" s="3"/>
      <c r="DG505" s="5"/>
      <c r="DI505" s="3"/>
      <c r="DL505" s="3"/>
      <c r="DM505" s="3"/>
      <c r="DO505" s="3"/>
      <c r="DP505" s="3"/>
      <c r="DR505" s="3"/>
      <c r="DS505" s="1" t="str">
        <f>_xlfn.XLOOKUP(OfficeForms.Table[[#This Row],[Selecione a Categoria do Laboratório desta atividade prática:]],Planilha1!A:A,Planilha1!B:B)</f>
        <v>EMF-ISN</v>
      </c>
      <c r="DT505" s="1" t="str">
        <f>CONCATENATE(OfficeForms.Table[[#This Row],[Selecione seu Polo Laboratório de Atividades Presenciais:]],OfficeForms.Table[[#This Row],[CHAVE CONVERSÃO]])</f>
        <v>Carapicuíba/SPEMF-ISN</v>
      </c>
      <c r="DU50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50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50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05" s="1" t="str">
        <f>_xlfn.XLOOKUP(OfficeForms.Table[[#This Row],[CHAVE LINK POLO]],'[1]Quadro Geral de Lotação'!$B:$B,'[1]Quadro Geral de Lotação'!$I:$I)</f>
        <v>Sandra Fernandes Massad</v>
      </c>
      <c r="DY505" s="1" t="str">
        <f>OfficeForms.Table[[#This Row],[Selecione a Ordem de Disciplina]]</f>
        <v>Ordem 2</v>
      </c>
    </row>
    <row r="506" spans="1:129" ht="34.15" customHeight="1">
      <c r="A506" s="1">
        <v>506</v>
      </c>
      <c r="B506" s="2">
        <v>46108.827523148197</v>
      </c>
      <c r="C506" s="2">
        <v>46108.833379629599</v>
      </c>
      <c r="D506" s="3" t="s">
        <v>1562</v>
      </c>
      <c r="E506" s="3" t="s">
        <v>1563</v>
      </c>
      <c r="G506" s="3"/>
      <c r="I506" s="3" t="s">
        <v>1564</v>
      </c>
      <c r="K506" s="3"/>
      <c r="L506" s="1" t="s">
        <v>678</v>
      </c>
      <c r="O506" s="3" t="s">
        <v>184</v>
      </c>
      <c r="Q506" s="3"/>
      <c r="R506" s="3"/>
      <c r="T506" s="3"/>
      <c r="U506" s="5"/>
      <c r="W506" s="3"/>
      <c r="Z506" s="3"/>
      <c r="AA506" s="3"/>
      <c r="AC506" s="3"/>
      <c r="AD506" s="3"/>
      <c r="AF506" s="3"/>
      <c r="AG506" s="3" t="s">
        <v>1278</v>
      </c>
      <c r="AI506" s="3"/>
      <c r="AJ506" s="1">
        <v>46100</v>
      </c>
      <c r="AL506" s="3"/>
      <c r="AM506" s="1">
        <v>4</v>
      </c>
      <c r="AO506" s="3"/>
      <c r="AP506" s="3" t="s">
        <v>1592</v>
      </c>
      <c r="AR506" s="3"/>
      <c r="AS506" s="3" t="s">
        <v>1593</v>
      </c>
      <c r="AU506" s="3"/>
      <c r="AV506" s="3"/>
      <c r="AX506" s="3"/>
      <c r="AY506" s="5"/>
      <c r="BA506" s="3"/>
      <c r="BD506" s="3"/>
      <c r="BE506" s="3"/>
      <c r="BG506" s="3"/>
      <c r="BH506" s="3"/>
      <c r="BJ506" s="3"/>
      <c r="BK506" s="3"/>
      <c r="BM506" s="3"/>
      <c r="BN506" s="5"/>
      <c r="BP506" s="3"/>
      <c r="BS506" s="3"/>
      <c r="BT506" s="3"/>
      <c r="BV506" s="3"/>
      <c r="BW506" s="3"/>
      <c r="BY506" s="3"/>
      <c r="BZ506" s="3"/>
      <c r="CB506" s="3"/>
      <c r="CC506" s="5"/>
      <c r="CE506" s="3"/>
      <c r="CH506" s="3"/>
      <c r="CI506" s="3"/>
      <c r="CK506" s="3"/>
      <c r="CL506" s="3"/>
      <c r="CN506" s="3"/>
      <c r="CO506" s="3"/>
      <c r="CQ506" s="3"/>
      <c r="CR506" s="5"/>
      <c r="CT506" s="3"/>
      <c r="CW506" s="3"/>
      <c r="CX506" s="3"/>
      <c r="CZ506" s="3"/>
      <c r="DA506" s="3"/>
      <c r="DC506" s="3"/>
      <c r="DD506" s="3"/>
      <c r="DF506" s="3"/>
      <c r="DG506" s="5"/>
      <c r="DI506" s="3"/>
      <c r="DL506" s="3"/>
      <c r="DM506" s="3"/>
      <c r="DO506" s="3"/>
      <c r="DP506" s="3"/>
      <c r="DR506" s="3"/>
      <c r="DS506" s="1" t="str">
        <f>_xlfn.XLOOKUP(OfficeForms.Table[[#This Row],[Selecione a Categoria do Laboratório desta atividade prática:]],Planilha1!A:A,Planilha1!B:B)</f>
        <v>EMF-ISN</v>
      </c>
      <c r="DT506" s="1" t="str">
        <f>CONCATENATE(OfficeForms.Table[[#This Row],[Selecione seu Polo Laboratório de Atividades Presenciais:]],OfficeForms.Table[[#This Row],[CHAVE CONVERSÃO]])</f>
        <v>Carapicuíba/SPEMF-ISN</v>
      </c>
      <c r="DU50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50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50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06" s="1" t="str">
        <f>_xlfn.XLOOKUP(OfficeForms.Table[[#This Row],[CHAVE LINK POLO]],'[1]Quadro Geral de Lotação'!$B:$B,'[1]Quadro Geral de Lotação'!$I:$I)</f>
        <v>Sandra Fernandes Massad</v>
      </c>
      <c r="DY506" s="1" t="str">
        <f>OfficeForms.Table[[#This Row],[Selecione a Ordem de Disciplina]]</f>
        <v>Ordem 2</v>
      </c>
    </row>
    <row r="507" spans="1:129" ht="34.15" customHeight="1">
      <c r="A507" s="1">
        <v>507</v>
      </c>
      <c r="B507" s="2">
        <v>46108.846319444398</v>
      </c>
      <c r="C507" s="2">
        <v>46108.849537037</v>
      </c>
      <c r="D507" s="3" t="s">
        <v>268</v>
      </c>
      <c r="E507" s="3" t="s">
        <v>269</v>
      </c>
      <c r="G507" s="3"/>
      <c r="I507" s="3" t="s">
        <v>270</v>
      </c>
      <c r="K507" s="3"/>
      <c r="L507" s="1" t="s">
        <v>678</v>
      </c>
      <c r="O507" s="3" t="s">
        <v>184</v>
      </c>
      <c r="Q507" s="3"/>
      <c r="R507" s="3"/>
      <c r="T507" s="3"/>
      <c r="U507" s="5"/>
      <c r="W507" s="3"/>
      <c r="Z507" s="3"/>
      <c r="AA507" s="3"/>
      <c r="AC507" s="3"/>
      <c r="AD507" s="3"/>
      <c r="AF507" s="3"/>
      <c r="AG507" s="3" t="s">
        <v>194</v>
      </c>
      <c r="AI507" s="3"/>
      <c r="AJ507" s="1">
        <v>46092</v>
      </c>
      <c r="AL507" s="3"/>
      <c r="AM507" s="1">
        <v>0</v>
      </c>
      <c r="AO507" s="3"/>
      <c r="AP507" s="3" t="s">
        <v>1594</v>
      </c>
      <c r="AR507" s="3"/>
      <c r="AS507" s="3" t="s">
        <v>1595</v>
      </c>
      <c r="AU507" s="3"/>
      <c r="AV507" s="3"/>
      <c r="AX507" s="3"/>
      <c r="AY507" s="5"/>
      <c r="BA507" s="3"/>
      <c r="BD507" s="3"/>
      <c r="BE507" s="3"/>
      <c r="BG507" s="3"/>
      <c r="BH507" s="3"/>
      <c r="BJ507" s="3"/>
      <c r="BK507" s="3"/>
      <c r="BM507" s="3"/>
      <c r="BN507" s="5"/>
      <c r="BP507" s="3"/>
      <c r="BS507" s="3"/>
      <c r="BT507" s="3"/>
      <c r="BV507" s="3"/>
      <c r="BW507" s="3"/>
      <c r="BY507" s="3"/>
      <c r="BZ507" s="3"/>
      <c r="CB507" s="3"/>
      <c r="CC507" s="5"/>
      <c r="CE507" s="3"/>
      <c r="CH507" s="3"/>
      <c r="CI507" s="3"/>
      <c r="CK507" s="3"/>
      <c r="CL507" s="3"/>
      <c r="CN507" s="3"/>
      <c r="CO507" s="3"/>
      <c r="CQ507" s="3"/>
      <c r="CR507" s="5"/>
      <c r="CT507" s="3"/>
      <c r="CW507" s="3"/>
      <c r="CX507" s="3"/>
      <c r="CZ507" s="3"/>
      <c r="DA507" s="3"/>
      <c r="DC507" s="3"/>
      <c r="DD507" s="3"/>
      <c r="DF507" s="3"/>
      <c r="DG507" s="5"/>
      <c r="DI507" s="3"/>
      <c r="DL507" s="3"/>
      <c r="DM507" s="3"/>
      <c r="DO507" s="3"/>
      <c r="DP507" s="3"/>
      <c r="DR507" s="3"/>
      <c r="DS507" s="1" t="str">
        <f>_xlfn.XLOOKUP(OfficeForms.Table[[#This Row],[Selecione a Categoria do Laboratório desta atividade prática:]],Planilha1!A:A,Planilha1!B:B)</f>
        <v>EMF-ISN</v>
      </c>
      <c r="DT507" s="1" t="str">
        <f>CONCATENATE(OfficeForms.Table[[#This Row],[Selecione seu Polo Laboratório de Atividades Presenciais:]],OfficeForms.Table[[#This Row],[CHAVE CONVERSÃO]])</f>
        <v>Nossa Senhora da Glória/SEEMF-ISN</v>
      </c>
      <c r="DU50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50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50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07" s="1" t="str">
        <f>_xlfn.XLOOKUP(OfficeForms.Table[[#This Row],[CHAVE LINK POLO]],'[1]Quadro Geral de Lotação'!$B:$B,'[1]Quadro Geral de Lotação'!$I:$I)</f>
        <v>Amanda Santos</v>
      </c>
      <c r="DY507" s="1" t="str">
        <f>OfficeForms.Table[[#This Row],[Selecione a Ordem de Disciplina]]</f>
        <v>Ordem 2</v>
      </c>
    </row>
    <row r="508" spans="1:129" ht="34.15" customHeight="1">
      <c r="A508" s="1">
        <v>508</v>
      </c>
      <c r="B508" s="2">
        <v>46108.904884259297</v>
      </c>
      <c r="C508" s="2">
        <v>46108.913356481498</v>
      </c>
      <c r="D508" s="3" t="s">
        <v>1596</v>
      </c>
      <c r="E508" s="3" t="s">
        <v>1597</v>
      </c>
      <c r="G508" s="3"/>
      <c r="I508" s="3" t="s">
        <v>1598</v>
      </c>
      <c r="K508" s="3"/>
      <c r="L508" s="1" t="s">
        <v>132</v>
      </c>
      <c r="O508" s="3" t="s">
        <v>184</v>
      </c>
      <c r="Q508" s="3"/>
      <c r="R508" s="3"/>
      <c r="T508" s="3"/>
      <c r="U508" s="5"/>
      <c r="W508" s="3"/>
      <c r="Z508" s="3"/>
      <c r="AA508" s="3"/>
      <c r="AC508" s="3"/>
      <c r="AD508" s="3"/>
      <c r="AF508" s="3"/>
      <c r="AG508" s="3" t="s">
        <v>414</v>
      </c>
      <c r="AI508" s="3"/>
      <c r="AJ508" s="1">
        <v>46079</v>
      </c>
      <c r="AL508" s="3"/>
      <c r="AM508" s="1">
        <v>4</v>
      </c>
      <c r="AO508" s="3"/>
      <c r="AP508" s="3" t="s">
        <v>1599</v>
      </c>
      <c r="AR508" s="3"/>
      <c r="AS508" s="3" t="s">
        <v>1600</v>
      </c>
      <c r="AU508" s="3"/>
      <c r="AV508" s="3"/>
      <c r="AX508" s="3"/>
      <c r="AY508" s="5"/>
      <c r="BA508" s="3"/>
      <c r="BD508" s="3"/>
      <c r="BE508" s="3"/>
      <c r="BG508" s="3"/>
      <c r="BH508" s="3"/>
      <c r="BJ508" s="3"/>
      <c r="BK508" s="3"/>
      <c r="BM508" s="3"/>
      <c r="BN508" s="5"/>
      <c r="BP508" s="3"/>
      <c r="BS508" s="3"/>
      <c r="BT508" s="3"/>
      <c r="BV508" s="3"/>
      <c r="BW508" s="3"/>
      <c r="BY508" s="3"/>
      <c r="BZ508" s="3"/>
      <c r="CB508" s="3"/>
      <c r="CC508" s="5"/>
      <c r="CE508" s="3"/>
      <c r="CH508" s="3"/>
      <c r="CI508" s="3"/>
      <c r="CK508" s="3"/>
      <c r="CL508" s="3"/>
      <c r="CN508" s="3"/>
      <c r="CO508" s="3"/>
      <c r="CQ508" s="3"/>
      <c r="CR508" s="5"/>
      <c r="CT508" s="3"/>
      <c r="CW508" s="3"/>
      <c r="CX508" s="3"/>
      <c r="CZ508" s="3"/>
      <c r="DA508" s="3"/>
      <c r="DC508" s="3"/>
      <c r="DD508" s="3"/>
      <c r="DF508" s="3"/>
      <c r="DG508" s="5"/>
      <c r="DI508" s="3"/>
      <c r="DL508" s="3"/>
      <c r="DM508" s="3"/>
      <c r="DO508" s="3"/>
      <c r="DP508" s="3"/>
      <c r="DR508" s="3"/>
      <c r="DS508" s="1" t="str">
        <f>_xlfn.XLOOKUP(OfficeForms.Table[[#This Row],[Selecione a Categoria do Laboratório desta atividade prática:]],Planilha1!A:A,Planilha1!B:B)</f>
        <v>EMF-ISN</v>
      </c>
      <c r="DT508" s="1" t="str">
        <f>CONCATENATE(OfficeForms.Table[[#This Row],[Selecione seu Polo Laboratório de Atividades Presenciais:]],OfficeForms.Table[[#This Row],[CHAVE CONVERSÃO]])</f>
        <v>Uberlândia/MGEMF-ISN</v>
      </c>
      <c r="DU50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50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50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08" s="1" t="str">
        <f>_xlfn.XLOOKUP(OfficeForms.Table[[#This Row],[CHAVE LINK POLO]],'[1]Quadro Geral de Lotação'!$B:$B,'[1]Quadro Geral de Lotação'!$I:$I)</f>
        <v>Marco Aurelio Afonso Abreu</v>
      </c>
      <c r="DY508" s="1" t="str">
        <f>OfficeForms.Table[[#This Row],[Selecione a Ordem de Disciplina]]</f>
        <v>Ordem 1</v>
      </c>
    </row>
    <row r="509" spans="1:129" ht="34.15" customHeight="1">
      <c r="A509" s="1">
        <v>509</v>
      </c>
      <c r="B509" s="2">
        <v>46108.913414351897</v>
      </c>
      <c r="C509" s="2">
        <v>46108.915960648097</v>
      </c>
      <c r="D509" s="3" t="s">
        <v>1596</v>
      </c>
      <c r="E509" s="3" t="s">
        <v>1597</v>
      </c>
      <c r="G509" s="3"/>
      <c r="I509" s="3" t="s">
        <v>1598</v>
      </c>
      <c r="K509" s="3"/>
      <c r="L509" s="1" t="s">
        <v>132</v>
      </c>
      <c r="O509" s="3" t="s">
        <v>184</v>
      </c>
      <c r="Q509" s="3"/>
      <c r="R509" s="3"/>
      <c r="T509" s="3"/>
      <c r="U509" s="5"/>
      <c r="W509" s="3"/>
      <c r="Z509" s="3"/>
      <c r="AA509" s="3"/>
      <c r="AC509" s="3"/>
      <c r="AD509" s="3"/>
      <c r="AF509" s="3"/>
      <c r="AG509" s="3" t="s">
        <v>370</v>
      </c>
      <c r="AI509" s="3"/>
      <c r="AJ509" s="1">
        <v>46087</v>
      </c>
      <c r="AL509" s="3"/>
      <c r="AM509" s="1">
        <v>2</v>
      </c>
      <c r="AO509" s="3"/>
      <c r="AP509" s="3" t="s">
        <v>1601</v>
      </c>
      <c r="AR509" s="3"/>
      <c r="AS509" s="3" t="s">
        <v>1602</v>
      </c>
      <c r="AU509" s="3"/>
      <c r="AV509" s="3"/>
      <c r="AX509" s="3"/>
      <c r="AY509" s="5"/>
      <c r="BA509" s="3"/>
      <c r="BD509" s="3"/>
      <c r="BE509" s="3"/>
      <c r="BG509" s="3"/>
      <c r="BH509" s="3"/>
      <c r="BJ509" s="3"/>
      <c r="BK509" s="3"/>
      <c r="BM509" s="3"/>
      <c r="BN509" s="5"/>
      <c r="BP509" s="3"/>
      <c r="BS509" s="3"/>
      <c r="BT509" s="3"/>
      <c r="BV509" s="3"/>
      <c r="BW509" s="3"/>
      <c r="BY509" s="3"/>
      <c r="BZ509" s="3"/>
      <c r="CB509" s="3"/>
      <c r="CC509" s="5"/>
      <c r="CE509" s="3"/>
      <c r="CH509" s="3"/>
      <c r="CI509" s="3"/>
      <c r="CK509" s="3"/>
      <c r="CL509" s="3"/>
      <c r="CN509" s="3"/>
      <c r="CO509" s="3"/>
      <c r="CQ509" s="3"/>
      <c r="CR509" s="5"/>
      <c r="CT509" s="3"/>
      <c r="CW509" s="3"/>
      <c r="CX509" s="3"/>
      <c r="CZ509" s="3"/>
      <c r="DA509" s="3"/>
      <c r="DC509" s="3"/>
      <c r="DD509" s="3"/>
      <c r="DF509" s="3"/>
      <c r="DG509" s="5"/>
      <c r="DI509" s="3"/>
      <c r="DL509" s="3"/>
      <c r="DM509" s="3"/>
      <c r="DO509" s="3"/>
      <c r="DP509" s="3"/>
      <c r="DR509" s="3"/>
      <c r="DS509" s="1" t="str">
        <f>_xlfn.XLOOKUP(OfficeForms.Table[[#This Row],[Selecione a Categoria do Laboratório desta atividade prática:]],Planilha1!A:A,Planilha1!B:B)</f>
        <v>EMF-ISN</v>
      </c>
      <c r="DT509" s="1" t="str">
        <f>CONCATENATE(OfficeForms.Table[[#This Row],[Selecione seu Polo Laboratório de Atividades Presenciais:]],OfficeForms.Table[[#This Row],[CHAVE CONVERSÃO]])</f>
        <v>Uberlândia/MGEMF-ISN</v>
      </c>
      <c r="DU50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50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50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09" s="1" t="str">
        <f>_xlfn.XLOOKUP(OfficeForms.Table[[#This Row],[CHAVE LINK POLO]],'[1]Quadro Geral de Lotação'!$B:$B,'[1]Quadro Geral de Lotação'!$I:$I)</f>
        <v>Marco Aurelio Afonso Abreu</v>
      </c>
      <c r="DY509" s="1" t="str">
        <f>OfficeForms.Table[[#This Row],[Selecione a Ordem de Disciplina]]</f>
        <v>Ordem 1</v>
      </c>
    </row>
    <row r="510" spans="1:129" ht="34.15" customHeight="1">
      <c r="A510" s="1">
        <v>510</v>
      </c>
      <c r="B510" s="2">
        <v>46108.916087963</v>
      </c>
      <c r="C510" s="2">
        <v>46108.917361111096</v>
      </c>
      <c r="D510" s="3" t="s">
        <v>1596</v>
      </c>
      <c r="E510" s="3" t="s">
        <v>1597</v>
      </c>
      <c r="G510" s="3"/>
      <c r="I510" s="3" t="s">
        <v>1598</v>
      </c>
      <c r="K510" s="3"/>
      <c r="L510" s="1" t="s">
        <v>132</v>
      </c>
      <c r="O510" s="3" t="s">
        <v>184</v>
      </c>
      <c r="Q510" s="3"/>
      <c r="R510" s="3"/>
      <c r="T510" s="3"/>
      <c r="U510" s="5"/>
      <c r="W510" s="3"/>
      <c r="Z510" s="3"/>
      <c r="AA510" s="3"/>
      <c r="AC510" s="3"/>
      <c r="AD510" s="3"/>
      <c r="AF510" s="3"/>
      <c r="AG510" s="3" t="s">
        <v>370</v>
      </c>
      <c r="AI510" s="3"/>
      <c r="AJ510" s="1">
        <v>46091</v>
      </c>
      <c r="AL510" s="3"/>
      <c r="AM510" s="1">
        <v>3</v>
      </c>
      <c r="AO510" s="3"/>
      <c r="AP510" s="3" t="s">
        <v>1603</v>
      </c>
      <c r="AR510" s="3"/>
      <c r="AS510" s="3" t="s">
        <v>1604</v>
      </c>
      <c r="AU510" s="3"/>
      <c r="AV510" s="3"/>
      <c r="AX510" s="3"/>
      <c r="AY510" s="5"/>
      <c r="BA510" s="3"/>
      <c r="BD510" s="3"/>
      <c r="BE510" s="3"/>
      <c r="BG510" s="3"/>
      <c r="BH510" s="3"/>
      <c r="BJ510" s="3"/>
      <c r="BK510" s="3"/>
      <c r="BM510" s="3"/>
      <c r="BN510" s="5"/>
      <c r="BP510" s="3"/>
      <c r="BS510" s="3"/>
      <c r="BT510" s="3"/>
      <c r="BV510" s="3"/>
      <c r="BW510" s="3"/>
      <c r="BY510" s="3"/>
      <c r="BZ510" s="3"/>
      <c r="CB510" s="3"/>
      <c r="CC510" s="5"/>
      <c r="CE510" s="3"/>
      <c r="CH510" s="3"/>
      <c r="CI510" s="3"/>
      <c r="CK510" s="3"/>
      <c r="CL510" s="3"/>
      <c r="CN510" s="3"/>
      <c r="CO510" s="3"/>
      <c r="CQ510" s="3"/>
      <c r="CR510" s="5"/>
      <c r="CT510" s="3"/>
      <c r="CW510" s="3"/>
      <c r="CX510" s="3"/>
      <c r="CZ510" s="3"/>
      <c r="DA510" s="3"/>
      <c r="DC510" s="3"/>
      <c r="DD510" s="3"/>
      <c r="DF510" s="3"/>
      <c r="DG510" s="5"/>
      <c r="DI510" s="3"/>
      <c r="DL510" s="3"/>
      <c r="DM510" s="3"/>
      <c r="DO510" s="3"/>
      <c r="DP510" s="3"/>
      <c r="DR510" s="3"/>
      <c r="DS510" s="1" t="str">
        <f>_xlfn.XLOOKUP(OfficeForms.Table[[#This Row],[Selecione a Categoria do Laboratório desta atividade prática:]],Planilha1!A:A,Planilha1!B:B)</f>
        <v>EMF-ISN</v>
      </c>
      <c r="DT510" s="1" t="str">
        <f>CONCATENATE(OfficeForms.Table[[#This Row],[Selecione seu Polo Laboratório de Atividades Presenciais:]],OfficeForms.Table[[#This Row],[CHAVE CONVERSÃO]])</f>
        <v>Uberlândia/MGEMF-ISN</v>
      </c>
      <c r="DU51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TOT);Administração  de medicamento por Cateter Venoso Central + Monitorização hemodinâmica  do paciente</v>
      </c>
      <c r="DV51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51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10" s="1" t="str">
        <f>_xlfn.XLOOKUP(OfficeForms.Table[[#This Row],[CHAVE LINK POLO]],'[1]Quadro Geral de Lotação'!$B:$B,'[1]Quadro Geral de Lotação'!$I:$I)</f>
        <v>Marco Aurelio Afonso Abreu</v>
      </c>
      <c r="DY510" s="1" t="str">
        <f>OfficeForms.Table[[#This Row],[Selecione a Ordem de Disciplina]]</f>
        <v>Ordem 1</v>
      </c>
    </row>
    <row r="511" spans="1:129" ht="34.15" customHeight="1">
      <c r="A511" s="1">
        <v>511</v>
      </c>
      <c r="B511" s="2">
        <v>46108.917766203696</v>
      </c>
      <c r="C511" s="2">
        <v>46108.918981481504</v>
      </c>
      <c r="D511" s="3" t="s">
        <v>1596</v>
      </c>
      <c r="E511" s="3" t="s">
        <v>1597</v>
      </c>
      <c r="G511" s="3"/>
      <c r="I511" s="3" t="s">
        <v>1598</v>
      </c>
      <c r="K511" s="3"/>
      <c r="L511" s="1" t="s">
        <v>132</v>
      </c>
      <c r="O511" s="3" t="s">
        <v>184</v>
      </c>
      <c r="Q511" s="3"/>
      <c r="R511" s="3"/>
      <c r="T511" s="3"/>
      <c r="U511" s="5"/>
      <c r="W511" s="3"/>
      <c r="Z511" s="3"/>
      <c r="AA511" s="3"/>
      <c r="AC511" s="3"/>
      <c r="AD511" s="3"/>
      <c r="AF511" s="3"/>
      <c r="AG511" s="3" t="s">
        <v>322</v>
      </c>
      <c r="AI511" s="3"/>
      <c r="AJ511" s="1">
        <v>46093</v>
      </c>
      <c r="AL511" s="3"/>
      <c r="AM511" s="1">
        <v>2</v>
      </c>
      <c r="AO511" s="3"/>
      <c r="AP511" s="3" t="s">
        <v>1605</v>
      </c>
      <c r="AR511" s="3"/>
      <c r="AS511" s="3" t="s">
        <v>1606</v>
      </c>
      <c r="AU511" s="3"/>
      <c r="AV511" s="3"/>
      <c r="AX511" s="3"/>
      <c r="AY511" s="5"/>
      <c r="BA511" s="3"/>
      <c r="BD511" s="3"/>
      <c r="BE511" s="3"/>
      <c r="BG511" s="3"/>
      <c r="BH511" s="3"/>
      <c r="BJ511" s="3"/>
      <c r="BK511" s="3"/>
      <c r="BM511" s="3"/>
      <c r="BN511" s="5"/>
      <c r="BP511" s="3"/>
      <c r="BS511" s="3"/>
      <c r="BT511" s="3"/>
      <c r="BV511" s="3"/>
      <c r="BW511" s="3"/>
      <c r="BY511" s="3"/>
      <c r="BZ511" s="3"/>
      <c r="CB511" s="3"/>
      <c r="CC511" s="5"/>
      <c r="CE511" s="3"/>
      <c r="CH511" s="3"/>
      <c r="CI511" s="3"/>
      <c r="CK511" s="3"/>
      <c r="CL511" s="3"/>
      <c r="CN511" s="3"/>
      <c r="CO511" s="3"/>
      <c r="CQ511" s="3"/>
      <c r="CR511" s="5"/>
      <c r="CT511" s="3"/>
      <c r="CW511" s="3"/>
      <c r="CX511" s="3"/>
      <c r="CZ511" s="3"/>
      <c r="DA511" s="3"/>
      <c r="DC511" s="3"/>
      <c r="DD511" s="3"/>
      <c r="DF511" s="3"/>
      <c r="DG511" s="5"/>
      <c r="DI511" s="3"/>
      <c r="DL511" s="3"/>
      <c r="DM511" s="3"/>
      <c r="DO511" s="3"/>
      <c r="DP511" s="3"/>
      <c r="DR511" s="3"/>
      <c r="DS511" s="1" t="str">
        <f>_xlfn.XLOOKUP(OfficeForms.Table[[#This Row],[Selecione a Categoria do Laboratório desta atividade prática:]],Planilha1!A:A,Planilha1!B:B)</f>
        <v>EMF-ISN</v>
      </c>
      <c r="DT511" s="1" t="str">
        <f>CONCATENATE(OfficeForms.Table[[#This Row],[Selecione seu Polo Laboratório de Atividades Presenciais:]],OfficeForms.Table[[#This Row],[CHAVE CONVERSÃO]])</f>
        <v>Uberlândia/MGEMF-ISN</v>
      </c>
      <c r="DU51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51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51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11" s="1" t="str">
        <f>_xlfn.XLOOKUP(OfficeForms.Table[[#This Row],[CHAVE LINK POLO]],'[1]Quadro Geral de Lotação'!$B:$B,'[1]Quadro Geral de Lotação'!$I:$I)</f>
        <v>Marco Aurelio Afonso Abreu</v>
      </c>
      <c r="DY511" s="1" t="str">
        <f>OfficeForms.Table[[#This Row],[Selecione a Ordem de Disciplina]]</f>
        <v>Ordem 1</v>
      </c>
    </row>
    <row r="512" spans="1:129" ht="34.15" customHeight="1">
      <c r="A512" s="1">
        <v>512</v>
      </c>
      <c r="B512" s="2">
        <v>46108.928391203699</v>
      </c>
      <c r="C512" s="2">
        <v>46108.932175925896</v>
      </c>
      <c r="D512" s="3" t="s">
        <v>417</v>
      </c>
      <c r="E512" s="3" t="s">
        <v>418</v>
      </c>
      <c r="G512" s="3"/>
      <c r="I512" s="3" t="s">
        <v>131</v>
      </c>
      <c r="K512" s="3"/>
      <c r="L512" s="1" t="s">
        <v>678</v>
      </c>
      <c r="O512" s="3" t="s">
        <v>184</v>
      </c>
      <c r="Q512" s="3"/>
      <c r="R512" s="3"/>
      <c r="T512" s="3"/>
      <c r="U512" s="5"/>
      <c r="W512" s="3"/>
      <c r="Z512" s="3"/>
      <c r="AA512" s="3"/>
      <c r="AC512" s="3"/>
      <c r="AD512" s="3"/>
      <c r="AF512" s="3"/>
      <c r="AG512" s="3" t="s">
        <v>1016</v>
      </c>
      <c r="AI512" s="3"/>
      <c r="AJ512" s="1">
        <v>46108</v>
      </c>
      <c r="AL512" s="3"/>
      <c r="AM512" s="1">
        <v>2</v>
      </c>
      <c r="AO512" s="3"/>
      <c r="AP512" s="3" t="s">
        <v>1607</v>
      </c>
      <c r="AR512" s="3"/>
      <c r="AS512" s="3" t="s">
        <v>1608</v>
      </c>
      <c r="AU512" s="3"/>
      <c r="AV512" s="3"/>
      <c r="AX512" s="3"/>
      <c r="AY512" s="5"/>
      <c r="BA512" s="3"/>
      <c r="BD512" s="3"/>
      <c r="BE512" s="3"/>
      <c r="BG512" s="3"/>
      <c r="BH512" s="3"/>
      <c r="BJ512" s="3"/>
      <c r="BK512" s="3"/>
      <c r="BM512" s="3"/>
      <c r="BN512" s="5"/>
      <c r="BP512" s="3"/>
      <c r="BS512" s="3"/>
      <c r="BT512" s="3"/>
      <c r="BV512" s="3"/>
      <c r="BW512" s="3"/>
      <c r="BY512" s="3"/>
      <c r="BZ512" s="3"/>
      <c r="CB512" s="3"/>
      <c r="CC512" s="5"/>
      <c r="CE512" s="3"/>
      <c r="CH512" s="3"/>
      <c r="CI512" s="3"/>
      <c r="CK512" s="3"/>
      <c r="CL512" s="3"/>
      <c r="CN512" s="3"/>
      <c r="CO512" s="3"/>
      <c r="CQ512" s="3"/>
      <c r="CR512" s="5"/>
      <c r="CT512" s="3"/>
      <c r="CW512" s="3"/>
      <c r="CX512" s="3"/>
      <c r="CZ512" s="3"/>
      <c r="DA512" s="3"/>
      <c r="DC512" s="3"/>
      <c r="DD512" s="3"/>
      <c r="DF512" s="3"/>
      <c r="DG512" s="5"/>
      <c r="DI512" s="3"/>
      <c r="DL512" s="3"/>
      <c r="DM512" s="3"/>
      <c r="DO512" s="3"/>
      <c r="DP512" s="3"/>
      <c r="DR512" s="3"/>
      <c r="DS512" s="1" t="str">
        <f>_xlfn.XLOOKUP(OfficeForms.Table[[#This Row],[Selecione a Categoria do Laboratório desta atividade prática:]],Planilha1!A:A,Planilha1!B:B)</f>
        <v>EMF-ISN</v>
      </c>
      <c r="DT512" s="1" t="str">
        <f>CONCATENATE(OfficeForms.Table[[#This Row],[Selecione seu Polo Laboratório de Atividades Presenciais:]],OfficeForms.Table[[#This Row],[CHAVE CONVERSÃO]])</f>
        <v>Guarujá/SPEMF-ISN</v>
      </c>
      <c r="DU51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51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46108</v>
      </c>
      <c r="DW51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12" s="1" t="str">
        <f>_xlfn.XLOOKUP(OfficeForms.Table[[#This Row],[CHAVE LINK POLO]],'[1]Quadro Geral de Lotação'!$B:$B,'[1]Quadro Geral de Lotação'!$I:$I)</f>
        <v>Marilene Da Fonseca Magalhaes Silva</v>
      </c>
      <c r="DY512" s="1" t="str">
        <f>OfficeForms.Table[[#This Row],[Selecione a Ordem de Disciplina]]</f>
        <v>Ordem 2</v>
      </c>
    </row>
    <row r="513" spans="1:129" ht="34.15" customHeight="1">
      <c r="A513" s="1">
        <v>513</v>
      </c>
      <c r="B513" s="2">
        <v>46108.9323842593</v>
      </c>
      <c r="C513" s="2">
        <v>46108.933333333298</v>
      </c>
      <c r="D513" s="3" t="s">
        <v>417</v>
      </c>
      <c r="E513" s="3" t="s">
        <v>418</v>
      </c>
      <c r="G513" s="3"/>
      <c r="I513" s="3" t="s">
        <v>131</v>
      </c>
      <c r="K513" s="3"/>
      <c r="L513" s="1" t="s">
        <v>678</v>
      </c>
      <c r="O513" s="3" t="s">
        <v>184</v>
      </c>
      <c r="Q513" s="3"/>
      <c r="R513" s="3"/>
      <c r="T513" s="3"/>
      <c r="U513" s="5"/>
      <c r="W513" s="3"/>
      <c r="Z513" s="3"/>
      <c r="AA513" s="3"/>
      <c r="AC513" s="3"/>
      <c r="AD513" s="3"/>
      <c r="AF513" s="3"/>
      <c r="AG513" s="3" t="s">
        <v>1013</v>
      </c>
      <c r="AI513" s="3"/>
      <c r="AJ513" s="1">
        <v>46108</v>
      </c>
      <c r="AL513" s="3"/>
      <c r="AM513" s="1">
        <v>1</v>
      </c>
      <c r="AO513" s="3"/>
      <c r="AP513" s="3" t="s">
        <v>1609</v>
      </c>
      <c r="AR513" s="3"/>
      <c r="AS513" s="3" t="s">
        <v>1610</v>
      </c>
      <c r="AU513" s="3"/>
      <c r="AV513" s="3"/>
      <c r="AX513" s="3"/>
      <c r="AY513" s="5"/>
      <c r="BA513" s="3"/>
      <c r="BD513" s="3"/>
      <c r="BE513" s="3"/>
      <c r="BG513" s="3"/>
      <c r="BH513" s="3"/>
      <c r="BJ513" s="3"/>
      <c r="BK513" s="3"/>
      <c r="BM513" s="3"/>
      <c r="BN513" s="5"/>
      <c r="BP513" s="3"/>
      <c r="BS513" s="3"/>
      <c r="BT513" s="3"/>
      <c r="BV513" s="3"/>
      <c r="BW513" s="3"/>
      <c r="BY513" s="3"/>
      <c r="BZ513" s="3"/>
      <c r="CB513" s="3"/>
      <c r="CC513" s="5"/>
      <c r="CE513" s="3"/>
      <c r="CH513" s="3"/>
      <c r="CI513" s="3"/>
      <c r="CK513" s="3"/>
      <c r="CL513" s="3"/>
      <c r="CN513" s="3"/>
      <c r="CO513" s="3"/>
      <c r="CQ513" s="3"/>
      <c r="CR513" s="5"/>
      <c r="CT513" s="3"/>
      <c r="CW513" s="3"/>
      <c r="CX513" s="3"/>
      <c r="CZ513" s="3"/>
      <c r="DA513" s="3"/>
      <c r="DC513" s="3"/>
      <c r="DD513" s="3"/>
      <c r="DF513" s="3"/>
      <c r="DG513" s="5"/>
      <c r="DI513" s="3"/>
      <c r="DL513" s="3"/>
      <c r="DM513" s="3"/>
      <c r="DO513" s="3"/>
      <c r="DP513" s="3"/>
      <c r="DR513" s="3"/>
      <c r="DS513" s="1" t="str">
        <f>_xlfn.XLOOKUP(OfficeForms.Table[[#This Row],[Selecione a Categoria do Laboratório desta atividade prática:]],Planilha1!A:A,Planilha1!B:B)</f>
        <v>EMF-ISN</v>
      </c>
      <c r="DT513" s="1" t="str">
        <f>CONCATENATE(OfficeForms.Table[[#This Row],[Selecione seu Polo Laboratório de Atividades Presenciais:]],OfficeForms.Table[[#This Row],[CHAVE CONVERSÃO]])</f>
        <v>Guarujá/SPEMF-ISN</v>
      </c>
      <c r="DU51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51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46108</v>
      </c>
      <c r="DW51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13" s="1" t="str">
        <f>_xlfn.XLOOKUP(OfficeForms.Table[[#This Row],[CHAVE LINK POLO]],'[1]Quadro Geral de Lotação'!$B:$B,'[1]Quadro Geral de Lotação'!$I:$I)</f>
        <v>Marilene Da Fonseca Magalhaes Silva</v>
      </c>
      <c r="DY513" s="1" t="str">
        <f>OfficeForms.Table[[#This Row],[Selecione a Ordem de Disciplina]]</f>
        <v>Ordem 2</v>
      </c>
    </row>
    <row r="514" spans="1:129" ht="34.15" customHeight="1">
      <c r="A514" s="1">
        <v>514</v>
      </c>
      <c r="B514" s="2">
        <v>46108.973043981503</v>
      </c>
      <c r="C514" s="2">
        <v>46108.975474537001</v>
      </c>
      <c r="D514" s="3" t="s">
        <v>1611</v>
      </c>
      <c r="E514" s="3" t="s">
        <v>1612</v>
      </c>
      <c r="G514" s="3"/>
      <c r="I514" s="3" t="s">
        <v>1613</v>
      </c>
      <c r="K514" s="3"/>
      <c r="L514" s="1" t="s">
        <v>132</v>
      </c>
      <c r="O514" s="3" t="s">
        <v>184</v>
      </c>
      <c r="Q514" s="3"/>
      <c r="R514" s="3"/>
      <c r="T514" s="3"/>
      <c r="U514" s="5"/>
      <c r="W514" s="3"/>
      <c r="Z514" s="3"/>
      <c r="AA514" s="3"/>
      <c r="AC514" s="3"/>
      <c r="AD514" s="3"/>
      <c r="AF514" s="3"/>
      <c r="AG514" s="3" t="s">
        <v>322</v>
      </c>
      <c r="AI514" s="3"/>
      <c r="AJ514" s="1">
        <v>46074</v>
      </c>
      <c r="AL514" s="3"/>
      <c r="AM514" s="1">
        <v>2</v>
      </c>
      <c r="AO514" s="3"/>
      <c r="AP514" s="3" t="s">
        <v>1614</v>
      </c>
      <c r="AR514" s="3"/>
      <c r="AS514" s="3" t="s">
        <v>1615</v>
      </c>
      <c r="AU514" s="3"/>
      <c r="AV514" s="3"/>
      <c r="AX514" s="3"/>
      <c r="AY514" s="5"/>
      <c r="BA514" s="3"/>
      <c r="BD514" s="3"/>
      <c r="BE514" s="3"/>
      <c r="BG514" s="3"/>
      <c r="BH514" s="3"/>
      <c r="BJ514" s="3"/>
      <c r="BK514" s="3"/>
      <c r="BM514" s="3"/>
      <c r="BN514" s="5"/>
      <c r="BP514" s="3"/>
      <c r="BS514" s="3"/>
      <c r="BT514" s="3"/>
      <c r="BV514" s="3"/>
      <c r="BW514" s="3"/>
      <c r="BY514" s="3"/>
      <c r="BZ514" s="3"/>
      <c r="CB514" s="3"/>
      <c r="CC514" s="5"/>
      <c r="CE514" s="3"/>
      <c r="CH514" s="3"/>
      <c r="CI514" s="3"/>
      <c r="CK514" s="3"/>
      <c r="CL514" s="3"/>
      <c r="CN514" s="3"/>
      <c r="CO514" s="3"/>
      <c r="CQ514" s="3"/>
      <c r="CR514" s="5"/>
      <c r="CT514" s="3"/>
      <c r="CW514" s="3"/>
      <c r="CX514" s="3"/>
      <c r="CZ514" s="3"/>
      <c r="DA514" s="3"/>
      <c r="DC514" s="3"/>
      <c r="DD514" s="3"/>
      <c r="DF514" s="3"/>
      <c r="DG514" s="5"/>
      <c r="DI514" s="3"/>
      <c r="DL514" s="3"/>
      <c r="DM514" s="3"/>
      <c r="DO514" s="3"/>
      <c r="DP514" s="3"/>
      <c r="DR514" s="3"/>
      <c r="DS514" s="1" t="str">
        <f>_xlfn.XLOOKUP(OfficeForms.Table[[#This Row],[Selecione a Categoria do Laboratório desta atividade prática:]],Planilha1!A:A,Planilha1!B:B)</f>
        <v>EMF-ISN</v>
      </c>
      <c r="DT514" s="1" t="str">
        <f>CONCATENATE(OfficeForms.Table[[#This Row],[Selecione seu Polo Laboratório de Atividades Presenciais:]],OfficeForms.Table[[#This Row],[CHAVE CONVERSÃO]])</f>
        <v>Santarém/PAEMF-ISN</v>
      </c>
      <c r="DU51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vitais;Curativo</v>
      </c>
      <c r="DV51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46074</v>
      </c>
      <c r="DW51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14" s="1" t="str">
        <f>_xlfn.XLOOKUP(OfficeForms.Table[[#This Row],[CHAVE LINK POLO]],'[1]Quadro Geral de Lotação'!$B:$B,'[1]Quadro Geral de Lotação'!$I:$I)</f>
        <v>Lulucha De Fatima Lima Da Silva</v>
      </c>
      <c r="DY514" s="1" t="str">
        <f>OfficeForms.Table[[#This Row],[Selecione a Ordem de Disciplina]]</f>
        <v>Ordem 1</v>
      </c>
    </row>
    <row r="515" spans="1:129" ht="34.15" customHeight="1">
      <c r="A515" s="1">
        <v>515</v>
      </c>
      <c r="B515" s="2">
        <v>46108.986643518503</v>
      </c>
      <c r="C515" s="2">
        <v>46108.996932870403</v>
      </c>
      <c r="D515" s="3" t="s">
        <v>1611</v>
      </c>
      <c r="E515" s="3" t="s">
        <v>1612</v>
      </c>
      <c r="G515" s="3"/>
      <c r="I515" s="3" t="s">
        <v>1613</v>
      </c>
      <c r="K515" s="3"/>
      <c r="L515" s="1" t="s">
        <v>132</v>
      </c>
      <c r="O515" s="3" t="s">
        <v>184</v>
      </c>
      <c r="Q515" s="3"/>
      <c r="R515" s="3"/>
      <c r="T515" s="3"/>
      <c r="U515" s="5"/>
      <c r="W515" s="3"/>
      <c r="Z515" s="3"/>
      <c r="AA515" s="3"/>
      <c r="AC515" s="3"/>
      <c r="AD515" s="3"/>
      <c r="AF515" s="3"/>
      <c r="AG515" s="3" t="s">
        <v>414</v>
      </c>
      <c r="AI515" s="3"/>
      <c r="AJ515" s="1">
        <v>46081</v>
      </c>
      <c r="AL515" s="3"/>
      <c r="AM515" s="1">
        <v>2</v>
      </c>
      <c r="AO515" s="3"/>
      <c r="AP515" s="3" t="s">
        <v>1616</v>
      </c>
      <c r="AR515" s="3"/>
      <c r="AS515" s="3" t="s">
        <v>1617</v>
      </c>
      <c r="AU515" s="3"/>
      <c r="AV515" s="3"/>
      <c r="AX515" s="3"/>
      <c r="AY515" s="5"/>
      <c r="BA515" s="3"/>
      <c r="BD515" s="3"/>
      <c r="BE515" s="3"/>
      <c r="BG515" s="3"/>
      <c r="BH515" s="3"/>
      <c r="BJ515" s="3"/>
      <c r="BK515" s="3"/>
      <c r="BM515" s="3"/>
      <c r="BN515" s="5"/>
      <c r="BP515" s="3"/>
      <c r="BS515" s="3"/>
      <c r="BT515" s="3"/>
      <c r="BV515" s="3"/>
      <c r="BW515" s="3"/>
      <c r="BY515" s="3"/>
      <c r="BZ515" s="3"/>
      <c r="CB515" s="3"/>
      <c r="CC515" s="5"/>
      <c r="CE515" s="3"/>
      <c r="CH515" s="3"/>
      <c r="CI515" s="3"/>
      <c r="CK515" s="3"/>
      <c r="CL515" s="3"/>
      <c r="CN515" s="3"/>
      <c r="CO515" s="3"/>
      <c r="CQ515" s="3"/>
      <c r="CR515" s="5"/>
      <c r="CT515" s="3"/>
      <c r="CW515" s="3"/>
      <c r="CX515" s="3"/>
      <c r="CZ515" s="3"/>
      <c r="DA515" s="3"/>
      <c r="DC515" s="3"/>
      <c r="DD515" s="3"/>
      <c r="DF515" s="3"/>
      <c r="DG515" s="5"/>
      <c r="DI515" s="3"/>
      <c r="DL515" s="3"/>
      <c r="DM515" s="3"/>
      <c r="DO515" s="3"/>
      <c r="DP515" s="3"/>
      <c r="DR515" s="3"/>
      <c r="DS515" s="1" t="str">
        <f>_xlfn.XLOOKUP(OfficeForms.Table[[#This Row],[Selecione a Categoria do Laboratório desta atividade prática:]],Planilha1!A:A,Planilha1!B:B)</f>
        <v>EMF-ISN</v>
      </c>
      <c r="DT515" s="1" t="str">
        <f>CONCATENATE(OfficeForms.Table[[#This Row],[Selecione seu Polo Laboratório de Atividades Presenciais:]],OfficeForms.Table[[#This Row],[CHAVE CONVERSÃO]])</f>
        <v>Santarém/PAEMF-ISN</v>
      </c>
      <c r="DU51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51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51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15" s="1" t="str">
        <f>_xlfn.XLOOKUP(OfficeForms.Table[[#This Row],[CHAVE LINK POLO]],'[1]Quadro Geral de Lotação'!$B:$B,'[1]Quadro Geral de Lotação'!$I:$I)</f>
        <v>Lulucha De Fatima Lima Da Silva</v>
      </c>
      <c r="DY515" s="1" t="str">
        <f>OfficeForms.Table[[#This Row],[Selecione a Ordem de Disciplina]]</f>
        <v>Ordem 1</v>
      </c>
    </row>
    <row r="516" spans="1:129" ht="34.15" customHeight="1">
      <c r="A516" s="1">
        <v>516</v>
      </c>
      <c r="B516" s="2">
        <v>46109.0155324074</v>
      </c>
      <c r="C516" s="2">
        <v>46109.056967592602</v>
      </c>
      <c r="D516" s="3" t="s">
        <v>1618</v>
      </c>
      <c r="E516" s="3" t="s">
        <v>1619</v>
      </c>
      <c r="G516" s="3"/>
      <c r="I516" s="3" t="s">
        <v>1620</v>
      </c>
      <c r="K516" s="3"/>
      <c r="L516" s="1" t="s">
        <v>678</v>
      </c>
      <c r="O516" s="3" t="s">
        <v>497</v>
      </c>
      <c r="Q516" s="3"/>
      <c r="R516" s="3" t="s">
        <v>1621</v>
      </c>
      <c r="T516" s="3"/>
      <c r="U516" s="5">
        <v>46098</v>
      </c>
      <c r="W516" s="3"/>
      <c r="X516" s="1">
        <v>7</v>
      </c>
      <c r="Z516" s="3"/>
      <c r="AA516" s="3" t="s">
        <v>1622</v>
      </c>
      <c r="AC516" s="3"/>
      <c r="AD516" s="3" t="s">
        <v>1623</v>
      </c>
      <c r="AF516" s="3"/>
      <c r="AG516" s="3"/>
      <c r="AI516" s="3"/>
      <c r="AJ516" s="1"/>
      <c r="AL516" s="3"/>
      <c r="AO516" s="3"/>
      <c r="AP516" s="3"/>
      <c r="AR516" s="3"/>
      <c r="AS516" s="3"/>
      <c r="AU516" s="3"/>
      <c r="AV516" s="3"/>
      <c r="AX516" s="3"/>
      <c r="AY516" s="5"/>
      <c r="BA516" s="3"/>
      <c r="BD516" s="3"/>
      <c r="BE516" s="3"/>
      <c r="BG516" s="3"/>
      <c r="BH516" s="3"/>
      <c r="BJ516" s="3"/>
      <c r="BK516" s="3"/>
      <c r="BM516" s="3"/>
      <c r="BN516" s="5"/>
      <c r="BP516" s="3"/>
      <c r="BS516" s="3"/>
      <c r="BT516" s="3"/>
      <c r="BV516" s="3"/>
      <c r="BW516" s="3"/>
      <c r="BY516" s="3"/>
      <c r="BZ516" s="3"/>
      <c r="CB516" s="3"/>
      <c r="CC516" s="5"/>
      <c r="CE516" s="3"/>
      <c r="CH516" s="3"/>
      <c r="CI516" s="3"/>
      <c r="CK516" s="3"/>
      <c r="CL516" s="3"/>
      <c r="CN516" s="3"/>
      <c r="CO516" s="3"/>
      <c r="CQ516" s="3"/>
      <c r="CR516" s="5"/>
      <c r="CT516" s="3"/>
      <c r="CW516" s="3"/>
      <c r="CX516" s="3"/>
      <c r="CZ516" s="3"/>
      <c r="DA516" s="3"/>
      <c r="DC516" s="3"/>
      <c r="DD516" s="3"/>
      <c r="DF516" s="3"/>
      <c r="DG516" s="5"/>
      <c r="DI516" s="3"/>
      <c r="DL516" s="3"/>
      <c r="DM516" s="3"/>
      <c r="DO516" s="3"/>
      <c r="DP516" s="3"/>
      <c r="DR516" s="3"/>
      <c r="DS516" s="1" t="str">
        <f>_xlfn.XLOOKUP(OfficeForms.Table[[#This Row],[Selecione a Categoria do Laboratório desta atividade prática:]],Planilha1!A:A,Planilha1!B:B)</f>
        <v>BFR-BBI</v>
      </c>
      <c r="DT516" s="1" t="str">
        <f>CONCATENATE(OfficeForms.Table[[#This Row],[Selecione seu Polo Laboratório de Atividades Presenciais:]],OfficeForms.Table[[#This Row],[CHAVE CONVERSÃO]])</f>
        <v>Dourados/MSBFR-BBI</v>
      </c>
      <c r="DU51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Preparo de meio de cultura II</v>
      </c>
      <c r="DV51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51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516" s="1" t="e">
        <f>_xlfn.XLOOKUP(OfficeForms.Table[[#This Row],[CHAVE LINK POLO]],'[1]Quadro Geral de Lotação'!$B:$B,'[1]Quadro Geral de Lotação'!$I:$I)</f>
        <v>#N/A</v>
      </c>
      <c r="DY516" s="1" t="str">
        <f>OfficeForms.Table[[#This Row],[Selecione a Ordem de Disciplina]]</f>
        <v>Ordem 2</v>
      </c>
    </row>
    <row r="517" spans="1:129" ht="34.15" customHeight="1">
      <c r="A517" s="1">
        <v>517</v>
      </c>
      <c r="B517" s="2">
        <v>46108.9972106481</v>
      </c>
      <c r="C517" s="2">
        <v>46109.067442129599</v>
      </c>
      <c r="D517" s="3" t="s">
        <v>1611</v>
      </c>
      <c r="E517" s="3" t="s">
        <v>1612</v>
      </c>
      <c r="G517" s="3"/>
      <c r="I517" s="3" t="s">
        <v>1613</v>
      </c>
      <c r="K517" s="3"/>
      <c r="L517" s="1" t="s">
        <v>132</v>
      </c>
      <c r="O517" s="3" t="s">
        <v>184</v>
      </c>
      <c r="Q517" s="3"/>
      <c r="R517" s="3"/>
      <c r="T517" s="3"/>
      <c r="U517" s="5"/>
      <c r="W517" s="3"/>
      <c r="Z517" s="3"/>
      <c r="AA517" s="3"/>
      <c r="AC517" s="3"/>
      <c r="AD517" s="3"/>
      <c r="AF517" s="3"/>
      <c r="AG517" s="3" t="s">
        <v>206</v>
      </c>
      <c r="AI517" s="3"/>
      <c r="AJ517" s="1">
        <v>46090</v>
      </c>
      <c r="AL517" s="3"/>
      <c r="AM517" s="1">
        <v>2</v>
      </c>
      <c r="AO517" s="3"/>
      <c r="AP517" s="3" t="s">
        <v>1624</v>
      </c>
      <c r="AR517" s="3"/>
      <c r="AS517" s="3" t="s">
        <v>1625</v>
      </c>
      <c r="AU517" s="3"/>
      <c r="AV517" s="3"/>
      <c r="AX517" s="3"/>
      <c r="AY517" s="5"/>
      <c r="BA517" s="3"/>
      <c r="BD517" s="3"/>
      <c r="BE517" s="3"/>
      <c r="BG517" s="3"/>
      <c r="BH517" s="3"/>
      <c r="BJ517" s="3"/>
      <c r="BK517" s="3"/>
      <c r="BM517" s="3"/>
      <c r="BN517" s="5"/>
      <c r="BP517" s="3"/>
      <c r="BS517" s="3"/>
      <c r="BT517" s="3"/>
      <c r="BV517" s="3"/>
      <c r="BW517" s="3"/>
      <c r="BY517" s="3"/>
      <c r="BZ517" s="3"/>
      <c r="CB517" s="3"/>
      <c r="CC517" s="5"/>
      <c r="CE517" s="3"/>
      <c r="CH517" s="3"/>
      <c r="CI517" s="3"/>
      <c r="CK517" s="3"/>
      <c r="CL517" s="3"/>
      <c r="CN517" s="3"/>
      <c r="CO517" s="3"/>
      <c r="CQ517" s="3"/>
      <c r="CR517" s="5"/>
      <c r="CT517" s="3"/>
      <c r="CW517" s="3"/>
      <c r="CX517" s="3"/>
      <c r="CZ517" s="3"/>
      <c r="DA517" s="3"/>
      <c r="DC517" s="3"/>
      <c r="DD517" s="3"/>
      <c r="DF517" s="3"/>
      <c r="DG517" s="5"/>
      <c r="DI517" s="3"/>
      <c r="DL517" s="3"/>
      <c r="DM517" s="3"/>
      <c r="DO517" s="3"/>
      <c r="DP517" s="3"/>
      <c r="DR517" s="3"/>
      <c r="DS517" s="1" t="str">
        <f>_xlfn.XLOOKUP(OfficeForms.Table[[#This Row],[Selecione a Categoria do Laboratório desta atividade prática:]],Planilha1!A:A,Planilha1!B:B)</f>
        <v>EMF-ISN</v>
      </c>
      <c r="DT517" s="1" t="str">
        <f>CONCATENATE(OfficeForms.Table[[#This Row],[Selecione seu Polo Laboratório de Atividades Presenciais:]],OfficeForms.Table[[#This Row],[CHAVE CONVERSÃO]])</f>
        <v>Santarém/PAEMF-ISN</v>
      </c>
      <c r="DU51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51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46090</v>
      </c>
      <c r="DW51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17" s="1" t="str">
        <f>_xlfn.XLOOKUP(OfficeForms.Table[[#This Row],[CHAVE LINK POLO]],'[1]Quadro Geral de Lotação'!$B:$B,'[1]Quadro Geral de Lotação'!$I:$I)</f>
        <v>Lulucha De Fatima Lima Da Silva</v>
      </c>
      <c r="DY517" s="1" t="str">
        <f>OfficeForms.Table[[#This Row],[Selecione a Ordem de Disciplina]]</f>
        <v>Ordem 1</v>
      </c>
    </row>
    <row r="518" spans="1:129" ht="34.15" customHeight="1">
      <c r="A518" s="1">
        <v>518</v>
      </c>
      <c r="B518" s="2">
        <v>46109.391585648104</v>
      </c>
      <c r="C518" s="2">
        <v>46109.3980324074</v>
      </c>
      <c r="D518" s="3" t="s">
        <v>191</v>
      </c>
      <c r="E518" s="3" t="s">
        <v>192</v>
      </c>
      <c r="G518" s="3"/>
      <c r="I518" s="3" t="s">
        <v>193</v>
      </c>
      <c r="K518" s="3"/>
      <c r="L518" s="1" t="s">
        <v>678</v>
      </c>
      <c r="O518" s="3" t="s">
        <v>184</v>
      </c>
      <c r="Q518" s="3"/>
      <c r="R518" s="3"/>
      <c r="T518" s="3"/>
      <c r="U518" s="5"/>
      <c r="W518" s="3"/>
      <c r="Z518" s="3"/>
      <c r="AA518" s="3"/>
      <c r="AC518" s="3"/>
      <c r="AD518" s="3"/>
      <c r="AF518" s="3"/>
      <c r="AG518" s="3" t="s">
        <v>1031</v>
      </c>
      <c r="AI518" s="3"/>
      <c r="AJ518" s="1">
        <v>46109</v>
      </c>
      <c r="AL518" s="3"/>
      <c r="AM518" s="1">
        <v>1</v>
      </c>
      <c r="AO518" s="3"/>
      <c r="AP518" s="3" t="s">
        <v>1626</v>
      </c>
      <c r="AR518" s="3"/>
      <c r="AS518" s="3" t="s">
        <v>1627</v>
      </c>
      <c r="AU518" s="3"/>
      <c r="AV518" s="3"/>
      <c r="AX518" s="3"/>
      <c r="AY518" s="5"/>
      <c r="BA518" s="3"/>
      <c r="BD518" s="3"/>
      <c r="BE518" s="3"/>
      <c r="BG518" s="3"/>
      <c r="BH518" s="3"/>
      <c r="BJ518" s="3"/>
      <c r="BK518" s="3"/>
      <c r="BM518" s="3"/>
      <c r="BN518" s="5"/>
      <c r="BP518" s="3"/>
      <c r="BS518" s="3"/>
      <c r="BT518" s="3"/>
      <c r="BV518" s="3"/>
      <c r="BW518" s="3"/>
      <c r="BY518" s="3"/>
      <c r="BZ518" s="3"/>
      <c r="CB518" s="3"/>
      <c r="CC518" s="5"/>
      <c r="CE518" s="3"/>
      <c r="CH518" s="3"/>
      <c r="CI518" s="3"/>
      <c r="CK518" s="3"/>
      <c r="CL518" s="3"/>
      <c r="CN518" s="3"/>
      <c r="CO518" s="3"/>
      <c r="CQ518" s="3"/>
      <c r="CR518" s="5"/>
      <c r="CT518" s="3"/>
      <c r="CW518" s="3"/>
      <c r="CX518" s="3"/>
      <c r="CZ518" s="3"/>
      <c r="DA518" s="3"/>
      <c r="DC518" s="3"/>
      <c r="DD518" s="3"/>
      <c r="DF518" s="3"/>
      <c r="DG518" s="5"/>
      <c r="DI518" s="3"/>
      <c r="DL518" s="3"/>
      <c r="DM518" s="3"/>
      <c r="DO518" s="3"/>
      <c r="DP518" s="3"/>
      <c r="DR518" s="3"/>
      <c r="DS518" s="1" t="str">
        <f>_xlfn.XLOOKUP(OfficeForms.Table[[#This Row],[Selecione a Categoria do Laboratório desta atividade prática:]],Planilha1!A:A,Planilha1!B:B)</f>
        <v>EMF-ISN</v>
      </c>
      <c r="DT518" s="1" t="str">
        <f>CONCATENATE(OfficeForms.Table[[#This Row],[Selecione seu Polo Laboratório de Atividades Presenciais:]],OfficeForms.Table[[#This Row],[CHAVE CONVERSÃO]])</f>
        <v>Ananindeua/PA - Cidade NovaEMF-ISN</v>
      </c>
      <c r="DU51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51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1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18" s="1" t="str">
        <f>_xlfn.XLOOKUP(OfficeForms.Table[[#This Row],[CHAVE LINK POLO]],'[1]Quadro Geral de Lotação'!$B:$B,'[1]Quadro Geral de Lotação'!$I:$I)</f>
        <v>Alina Dariane Freitas Da Silva</v>
      </c>
      <c r="DY518" s="1" t="str">
        <f>OfficeForms.Table[[#This Row],[Selecione a Ordem de Disciplina]]</f>
        <v>Ordem 2</v>
      </c>
    </row>
    <row r="519" spans="1:129" ht="34.15" customHeight="1">
      <c r="A519" s="1">
        <v>519</v>
      </c>
      <c r="B519" s="2">
        <v>46109.3903125</v>
      </c>
      <c r="C519" s="2">
        <v>46109.401145833297</v>
      </c>
      <c r="D519" s="3" t="s">
        <v>227</v>
      </c>
      <c r="E519" s="3" t="s">
        <v>228</v>
      </c>
      <c r="G519" s="3"/>
      <c r="I519" s="3" t="s">
        <v>229</v>
      </c>
      <c r="K519" s="3"/>
      <c r="L519" s="1" t="s">
        <v>678</v>
      </c>
      <c r="O519" s="3" t="s">
        <v>184</v>
      </c>
      <c r="Q519" s="3"/>
      <c r="R519" s="3"/>
      <c r="T519" s="3"/>
      <c r="U519" s="5"/>
      <c r="W519" s="3"/>
      <c r="Z519" s="3"/>
      <c r="AA519" s="3"/>
      <c r="AC519" s="3"/>
      <c r="AD519" s="3"/>
      <c r="AF519" s="3"/>
      <c r="AG519" s="3" t="s">
        <v>1302</v>
      </c>
      <c r="AI519" s="3"/>
      <c r="AJ519" s="1">
        <v>46109</v>
      </c>
      <c r="AL519" s="3"/>
      <c r="AM519" s="1">
        <v>0</v>
      </c>
      <c r="AO519" s="3"/>
      <c r="AP519" s="3" t="s">
        <v>1628</v>
      </c>
      <c r="AR519" s="3"/>
      <c r="AS519" s="3" t="s">
        <v>1629</v>
      </c>
      <c r="AU519" s="3"/>
      <c r="AV519" s="3"/>
      <c r="AX519" s="3"/>
      <c r="AY519" s="5"/>
      <c r="BA519" s="3"/>
      <c r="BD519" s="3"/>
      <c r="BE519" s="3"/>
      <c r="BG519" s="3"/>
      <c r="BH519" s="3"/>
      <c r="BJ519" s="3"/>
      <c r="BK519" s="3"/>
      <c r="BM519" s="3"/>
      <c r="BN519" s="5"/>
      <c r="BP519" s="3"/>
      <c r="BS519" s="3"/>
      <c r="BT519" s="3"/>
      <c r="BV519" s="3"/>
      <c r="BW519" s="3"/>
      <c r="BY519" s="3"/>
      <c r="BZ519" s="3"/>
      <c r="CB519" s="3"/>
      <c r="CC519" s="5"/>
      <c r="CE519" s="3"/>
      <c r="CH519" s="3"/>
      <c r="CI519" s="3"/>
      <c r="CK519" s="3"/>
      <c r="CL519" s="3"/>
      <c r="CN519" s="3"/>
      <c r="CO519" s="3"/>
      <c r="CQ519" s="3"/>
      <c r="CR519" s="5"/>
      <c r="CT519" s="3"/>
      <c r="CW519" s="3"/>
      <c r="CX519" s="3"/>
      <c r="CZ519" s="3"/>
      <c r="DA519" s="3"/>
      <c r="DC519" s="3"/>
      <c r="DD519" s="3"/>
      <c r="DF519" s="3"/>
      <c r="DG519" s="5"/>
      <c r="DI519" s="3"/>
      <c r="DL519" s="3"/>
      <c r="DM519" s="3"/>
      <c r="DO519" s="3"/>
      <c r="DP519" s="3"/>
      <c r="DR519" s="3"/>
      <c r="DS519" s="1" t="str">
        <f>_xlfn.XLOOKUP(OfficeForms.Table[[#This Row],[Selecione a Categoria do Laboratório desta atividade prática:]],Planilha1!A:A,Planilha1!B:B)</f>
        <v>EMF-ISN</v>
      </c>
      <c r="DT519" s="1" t="str">
        <f>CONCATENATE(OfficeForms.Table[[#This Row],[Selecione seu Polo Laboratório de Atividades Presenciais:]],OfficeForms.Table[[#This Row],[CHAVE CONVERSÃO]])</f>
        <v>Lages/SC - CentroEMF-ISN</v>
      </c>
      <c r="DU51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51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1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19" s="1" t="str">
        <f>_xlfn.XLOOKUP(OfficeForms.Table[[#This Row],[CHAVE LINK POLO]],'[1]Quadro Geral de Lotação'!$B:$B,'[1]Quadro Geral de Lotação'!$I:$I)</f>
        <v>Daniela Madruga</v>
      </c>
      <c r="DY519" s="1" t="str">
        <f>OfficeForms.Table[[#This Row],[Selecione a Ordem de Disciplina]]</f>
        <v>Ordem 2</v>
      </c>
    </row>
    <row r="520" spans="1:129" ht="34.15" customHeight="1">
      <c r="A520" s="1">
        <v>520</v>
      </c>
      <c r="B520" s="2">
        <v>46109.428136574097</v>
      </c>
      <c r="C520" s="2">
        <v>46109.432372685202</v>
      </c>
      <c r="D520" s="3" t="s">
        <v>191</v>
      </c>
      <c r="E520" s="3" t="s">
        <v>192</v>
      </c>
      <c r="G520" s="3"/>
      <c r="I520" s="3" t="s">
        <v>193</v>
      </c>
      <c r="K520" s="3"/>
      <c r="L520" s="1" t="s">
        <v>678</v>
      </c>
      <c r="O520" s="3" t="s">
        <v>184</v>
      </c>
      <c r="Q520" s="3"/>
      <c r="R520" s="3"/>
      <c r="T520" s="3"/>
      <c r="U520" s="5"/>
      <c r="W520" s="3"/>
      <c r="Z520" s="3"/>
      <c r="AA520" s="3"/>
      <c r="AC520" s="3"/>
      <c r="AD520" s="3"/>
      <c r="AF520" s="3"/>
      <c r="AG520" s="3" t="s">
        <v>211</v>
      </c>
      <c r="AI520" s="3"/>
      <c r="AJ520" s="1">
        <v>46109</v>
      </c>
      <c r="AL520" s="3"/>
      <c r="AM520" s="1">
        <v>1</v>
      </c>
      <c r="AO520" s="3"/>
      <c r="AP520" s="3" t="s">
        <v>1630</v>
      </c>
      <c r="AR520" s="3"/>
      <c r="AS520" s="3" t="s">
        <v>1631</v>
      </c>
      <c r="AU520" s="3"/>
      <c r="AV520" s="3"/>
      <c r="AX520" s="3"/>
      <c r="AY520" s="5"/>
      <c r="BA520" s="3"/>
      <c r="BD520" s="3"/>
      <c r="BE520" s="3"/>
      <c r="BG520" s="3"/>
      <c r="BH520" s="3"/>
      <c r="BJ520" s="3"/>
      <c r="BK520" s="3"/>
      <c r="BM520" s="3"/>
      <c r="BN520" s="5"/>
      <c r="BP520" s="3"/>
      <c r="BS520" s="3"/>
      <c r="BT520" s="3"/>
      <c r="BV520" s="3"/>
      <c r="BW520" s="3"/>
      <c r="BY520" s="3"/>
      <c r="BZ520" s="3"/>
      <c r="CB520" s="3"/>
      <c r="CC520" s="5"/>
      <c r="CE520" s="3"/>
      <c r="CH520" s="3"/>
      <c r="CI520" s="3"/>
      <c r="CK520" s="3"/>
      <c r="CL520" s="3"/>
      <c r="CN520" s="3"/>
      <c r="CO520" s="3"/>
      <c r="CQ520" s="3"/>
      <c r="CR520" s="5"/>
      <c r="CT520" s="3"/>
      <c r="CW520" s="3"/>
      <c r="CX520" s="3"/>
      <c r="CZ520" s="3"/>
      <c r="DA520" s="3"/>
      <c r="DC520" s="3"/>
      <c r="DD520" s="3"/>
      <c r="DF520" s="3"/>
      <c r="DG520" s="5"/>
      <c r="DI520" s="3"/>
      <c r="DL520" s="3"/>
      <c r="DM520" s="3"/>
      <c r="DO520" s="3"/>
      <c r="DP520" s="3"/>
      <c r="DR520" s="3"/>
      <c r="DS520" s="1" t="str">
        <f>_xlfn.XLOOKUP(OfficeForms.Table[[#This Row],[Selecione a Categoria do Laboratório desta atividade prática:]],Planilha1!A:A,Planilha1!B:B)</f>
        <v>EMF-ISN</v>
      </c>
      <c r="DT520" s="1" t="str">
        <f>CONCATENATE(OfficeForms.Table[[#This Row],[Selecione seu Polo Laboratório de Atividades Presenciais:]],OfficeForms.Table[[#This Row],[CHAVE CONVERSÃO]])</f>
        <v>Ananindeua/PA - Cidade NovaEMF-ISN</v>
      </c>
      <c r="DU52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52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2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20" s="1" t="str">
        <f>_xlfn.XLOOKUP(OfficeForms.Table[[#This Row],[CHAVE LINK POLO]],'[1]Quadro Geral de Lotação'!$B:$B,'[1]Quadro Geral de Lotação'!$I:$I)</f>
        <v>Alina Dariane Freitas Da Silva</v>
      </c>
      <c r="DY520" s="1" t="str">
        <f>OfficeForms.Table[[#This Row],[Selecione a Ordem de Disciplina]]</f>
        <v>Ordem 2</v>
      </c>
    </row>
    <row r="521" spans="1:129" ht="34.15" customHeight="1">
      <c r="A521" s="1">
        <v>521</v>
      </c>
      <c r="B521" s="2">
        <v>46110.597592592603</v>
      </c>
      <c r="C521" s="2">
        <v>46110.600127314799</v>
      </c>
      <c r="D521" s="3" t="s">
        <v>436</v>
      </c>
      <c r="E521" s="3" t="s">
        <v>437</v>
      </c>
      <c r="G521" s="3"/>
      <c r="I521" s="3" t="s">
        <v>438</v>
      </c>
      <c r="K521" s="3"/>
      <c r="L521" s="1" t="s">
        <v>678</v>
      </c>
      <c r="O521" s="3" t="s">
        <v>184</v>
      </c>
      <c r="Q521" s="3"/>
      <c r="R521" s="3"/>
      <c r="T521" s="3"/>
      <c r="U521" s="5"/>
      <c r="W521" s="3"/>
      <c r="Z521" s="3"/>
      <c r="AA521" s="3"/>
      <c r="AC521" s="3"/>
      <c r="AD521" s="3"/>
      <c r="AF521" s="3"/>
      <c r="AG521" s="3" t="s">
        <v>316</v>
      </c>
      <c r="AI521" s="3"/>
      <c r="AJ521" s="1">
        <v>46087</v>
      </c>
      <c r="AL521" s="3"/>
      <c r="AM521" s="1">
        <v>4</v>
      </c>
      <c r="AO521" s="3"/>
      <c r="AP521" s="3" t="s">
        <v>1632</v>
      </c>
      <c r="AR521" s="3"/>
      <c r="AS521" s="3" t="s">
        <v>1633</v>
      </c>
      <c r="AU521" s="3"/>
      <c r="AV521" s="3"/>
      <c r="AX521" s="3"/>
      <c r="AY521" s="5"/>
      <c r="BA521" s="3"/>
      <c r="BD521" s="3"/>
      <c r="BE521" s="3"/>
      <c r="BG521" s="3"/>
      <c r="BH521" s="3"/>
      <c r="BJ521" s="3"/>
      <c r="BK521" s="3"/>
      <c r="BM521" s="3"/>
      <c r="BN521" s="5"/>
      <c r="BP521" s="3"/>
      <c r="BS521" s="3"/>
      <c r="BT521" s="3"/>
      <c r="BV521" s="3"/>
      <c r="BW521" s="3"/>
      <c r="BY521" s="3"/>
      <c r="BZ521" s="3"/>
      <c r="CB521" s="3"/>
      <c r="CC521" s="5"/>
      <c r="CE521" s="3"/>
      <c r="CH521" s="3"/>
      <c r="CI521" s="3"/>
      <c r="CK521" s="3"/>
      <c r="CL521" s="3"/>
      <c r="CN521" s="3"/>
      <c r="CO521" s="3"/>
      <c r="CQ521" s="3"/>
      <c r="CR521" s="5"/>
      <c r="CT521" s="3"/>
      <c r="CW521" s="3"/>
      <c r="CX521" s="3"/>
      <c r="CZ521" s="3"/>
      <c r="DA521" s="3"/>
      <c r="DC521" s="3"/>
      <c r="DD521" s="3"/>
      <c r="DF521" s="3"/>
      <c r="DG521" s="5"/>
      <c r="DI521" s="3"/>
      <c r="DL521" s="3"/>
      <c r="DM521" s="3"/>
      <c r="DO521" s="3"/>
      <c r="DP521" s="3"/>
      <c r="DR521" s="3"/>
      <c r="DS521" s="1" t="str">
        <f>_xlfn.XLOOKUP(OfficeForms.Table[[#This Row],[Selecione a Categoria do Laboratório desta atividade prática:]],Planilha1!A:A,Planilha1!B:B)</f>
        <v>EMF-ISN</v>
      </c>
      <c r="DT521" s="1" t="str">
        <f>CONCATENATE(OfficeForms.Table[[#This Row],[Selecione seu Polo Laboratório de Atividades Presenciais:]],OfficeForms.Table[[#This Row],[CHAVE CONVERSÃO]])</f>
        <v>MÃE DO RIO/PAEMF-ISN</v>
      </c>
      <c r="DU52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52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52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21" s="1" t="str">
        <f>_xlfn.XLOOKUP(OfficeForms.Table[[#This Row],[CHAVE LINK POLO]],'[1]Quadro Geral de Lotação'!$B:$B,'[1]Quadro Geral de Lotação'!$I:$I)</f>
        <v>Maria Marly De Oliveira Reis Lopes</v>
      </c>
      <c r="DY521" s="1" t="str">
        <f>OfficeForms.Table[[#This Row],[Selecione a Ordem de Disciplina]]</f>
        <v>Ordem 2</v>
      </c>
    </row>
    <row r="522" spans="1:129" ht="34.15" customHeight="1">
      <c r="A522" s="1">
        <v>522</v>
      </c>
      <c r="B522" s="2">
        <v>46110.600694444402</v>
      </c>
      <c r="C522" s="2">
        <v>46110.602523148104</v>
      </c>
      <c r="D522" s="3" t="s">
        <v>436</v>
      </c>
      <c r="E522" s="3" t="s">
        <v>437</v>
      </c>
      <c r="G522" s="3"/>
      <c r="I522" s="3" t="s">
        <v>438</v>
      </c>
      <c r="K522" s="3"/>
      <c r="L522" s="1" t="s">
        <v>678</v>
      </c>
      <c r="O522" s="3" t="s">
        <v>184</v>
      </c>
      <c r="Q522" s="3"/>
      <c r="R522" s="3"/>
      <c r="T522" s="3"/>
      <c r="U522" s="5"/>
      <c r="W522" s="3"/>
      <c r="Z522" s="3"/>
      <c r="AA522" s="3"/>
      <c r="AC522" s="3"/>
      <c r="AD522" s="3"/>
      <c r="AF522" s="3"/>
      <c r="AG522" s="3" t="s">
        <v>414</v>
      </c>
      <c r="AI522" s="3"/>
      <c r="AJ522" s="1">
        <v>46101</v>
      </c>
      <c r="AL522" s="3"/>
      <c r="AM522" s="1">
        <v>5</v>
      </c>
      <c r="AO522" s="3"/>
      <c r="AP522" s="3" t="s">
        <v>1634</v>
      </c>
      <c r="AR522" s="3"/>
      <c r="AS522" s="3" t="s">
        <v>1635</v>
      </c>
      <c r="AU522" s="3"/>
      <c r="AV522" s="3"/>
      <c r="AX522" s="3"/>
      <c r="AY522" s="5"/>
      <c r="BA522" s="3"/>
      <c r="BD522" s="3"/>
      <c r="BE522" s="3"/>
      <c r="BG522" s="3"/>
      <c r="BH522" s="3"/>
      <c r="BJ522" s="3"/>
      <c r="BK522" s="3"/>
      <c r="BM522" s="3"/>
      <c r="BN522" s="5"/>
      <c r="BP522" s="3"/>
      <c r="BS522" s="3"/>
      <c r="BT522" s="3"/>
      <c r="BV522" s="3"/>
      <c r="BW522" s="3"/>
      <c r="BY522" s="3"/>
      <c r="BZ522" s="3"/>
      <c r="CB522" s="3"/>
      <c r="CC522" s="5"/>
      <c r="CE522" s="3"/>
      <c r="CH522" s="3"/>
      <c r="CI522" s="3"/>
      <c r="CK522" s="3"/>
      <c r="CL522" s="3"/>
      <c r="CN522" s="3"/>
      <c r="CO522" s="3"/>
      <c r="CQ522" s="3"/>
      <c r="CR522" s="5"/>
      <c r="CT522" s="3"/>
      <c r="CW522" s="3"/>
      <c r="CX522" s="3"/>
      <c r="CZ522" s="3"/>
      <c r="DA522" s="3"/>
      <c r="DC522" s="3"/>
      <c r="DD522" s="3"/>
      <c r="DF522" s="3"/>
      <c r="DG522" s="5"/>
      <c r="DI522" s="3"/>
      <c r="DL522" s="3"/>
      <c r="DM522" s="3"/>
      <c r="DO522" s="3"/>
      <c r="DP522" s="3"/>
      <c r="DR522" s="3"/>
      <c r="DS522" s="1" t="str">
        <f>_xlfn.XLOOKUP(OfficeForms.Table[[#This Row],[Selecione a Categoria do Laboratório desta atividade prática:]],Planilha1!A:A,Planilha1!B:B)</f>
        <v>EMF-ISN</v>
      </c>
      <c r="DT522" s="1" t="str">
        <f>CONCATENATE(OfficeForms.Table[[#This Row],[Selecione seu Polo Laboratório de Atividades Presenciais:]],OfficeForms.Table[[#This Row],[CHAVE CONVERSÃO]])</f>
        <v>MÃE DO RIO/PAEMF-ISN</v>
      </c>
      <c r="DU52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52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46101</v>
      </c>
      <c r="DW52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522" s="1" t="str">
        <f>_xlfn.XLOOKUP(OfficeForms.Table[[#This Row],[CHAVE LINK POLO]],'[1]Quadro Geral de Lotação'!$B:$B,'[1]Quadro Geral de Lotação'!$I:$I)</f>
        <v>Maria Marly De Oliveira Reis Lopes</v>
      </c>
      <c r="DY522" s="1" t="str">
        <f>OfficeForms.Table[[#This Row],[Selecione a Ordem de Disciplina]]</f>
        <v>Ordem 2</v>
      </c>
    </row>
    <row r="523" spans="1:129" ht="34.15" customHeight="1">
      <c r="A523" s="1">
        <v>523</v>
      </c>
      <c r="B523" s="2">
        <v>46110.654305555603</v>
      </c>
      <c r="C523" s="2">
        <v>46110.656493055598</v>
      </c>
      <c r="D523" s="3" t="s">
        <v>221</v>
      </c>
      <c r="E523" s="3" t="s">
        <v>222</v>
      </c>
      <c r="G523" s="3"/>
      <c r="I523" s="3" t="s">
        <v>223</v>
      </c>
      <c r="K523" s="3"/>
      <c r="L523" s="1" t="s">
        <v>678</v>
      </c>
      <c r="O523" s="3" t="s">
        <v>184</v>
      </c>
      <c r="Q523" s="3"/>
      <c r="R523" s="3"/>
      <c r="T523" s="3"/>
      <c r="U523" s="5"/>
      <c r="W523" s="3"/>
      <c r="Z523" s="3"/>
      <c r="AA523" s="3"/>
      <c r="AC523" s="3"/>
      <c r="AD523" s="3"/>
      <c r="AF523" s="3"/>
      <c r="AG523" s="3" t="s">
        <v>1013</v>
      </c>
      <c r="AI523" s="3"/>
      <c r="AJ523" s="1">
        <v>46097</v>
      </c>
      <c r="AL523" s="3"/>
      <c r="AM523" s="1">
        <v>3</v>
      </c>
      <c r="AO523" s="3"/>
      <c r="AP523" s="3" t="s">
        <v>1636</v>
      </c>
      <c r="AR523" s="3"/>
      <c r="AS523" s="3" t="s">
        <v>1637</v>
      </c>
      <c r="AU523" s="3"/>
      <c r="AV523" s="3"/>
      <c r="AX523" s="3"/>
      <c r="AY523" s="5"/>
      <c r="BA523" s="3"/>
      <c r="BD523" s="3"/>
      <c r="BE523" s="3"/>
      <c r="BG523" s="3"/>
      <c r="BH523" s="3"/>
      <c r="BJ523" s="3"/>
      <c r="BK523" s="3"/>
      <c r="BM523" s="3"/>
      <c r="BN523" s="5"/>
      <c r="BP523" s="3"/>
      <c r="BS523" s="3"/>
      <c r="BT523" s="3"/>
      <c r="BV523" s="3"/>
      <c r="BW523" s="3"/>
      <c r="BY523" s="3"/>
      <c r="BZ523" s="3"/>
      <c r="CB523" s="3"/>
      <c r="CC523" s="5"/>
      <c r="CE523" s="3"/>
      <c r="CH523" s="3"/>
      <c r="CI523" s="3"/>
      <c r="CK523" s="3"/>
      <c r="CL523" s="3"/>
      <c r="CN523" s="3"/>
      <c r="CO523" s="3"/>
      <c r="CQ523" s="3"/>
      <c r="CR523" s="5"/>
      <c r="CT523" s="3"/>
      <c r="CW523" s="3"/>
      <c r="CX523" s="3"/>
      <c r="CZ523" s="3"/>
      <c r="DA523" s="3"/>
      <c r="DC523" s="3"/>
      <c r="DD523" s="3"/>
      <c r="DF523" s="3"/>
      <c r="DG523" s="5"/>
      <c r="DI523" s="3"/>
      <c r="DL523" s="3"/>
      <c r="DM523" s="3"/>
      <c r="DO523" s="3"/>
      <c r="DP523" s="3"/>
      <c r="DR523" s="3"/>
      <c r="DS523" s="1" t="str">
        <f>_xlfn.XLOOKUP(OfficeForms.Table[[#This Row],[Selecione a Categoria do Laboratório desta atividade prática:]],Planilha1!A:A,Planilha1!B:B)</f>
        <v>EMF-ISN</v>
      </c>
      <c r="DT523" s="1" t="str">
        <f>CONCATENATE(OfficeForms.Table[[#This Row],[Selecione seu Polo Laboratório de Atividades Presenciais:]],OfficeForms.Table[[#This Row],[CHAVE CONVERSÃO]])</f>
        <v>Presidente Prudente/SP - Jardim GuanabaraEMF-ISN</v>
      </c>
      <c r="DU52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52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52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23" s="1" t="str">
        <f>_xlfn.XLOOKUP(OfficeForms.Table[[#This Row],[CHAVE LINK POLO]],'[1]Quadro Geral de Lotação'!$B:$B,'[1]Quadro Geral de Lotação'!$I:$I)</f>
        <v>Aquiles Gonzales De Andrade</v>
      </c>
      <c r="DY523" s="1" t="str">
        <f>OfficeForms.Table[[#This Row],[Selecione a Ordem de Disciplina]]</f>
        <v>Ordem 2</v>
      </c>
    </row>
    <row r="524" spans="1:129" ht="34.15" customHeight="1">
      <c r="A524" s="1">
        <v>524</v>
      </c>
      <c r="B524" s="2">
        <v>46110.6566087963</v>
      </c>
      <c r="C524" s="2">
        <v>46110.657835648097</v>
      </c>
      <c r="D524" s="3" t="s">
        <v>221</v>
      </c>
      <c r="E524" s="3" t="s">
        <v>222</v>
      </c>
      <c r="G524" s="3"/>
      <c r="I524" s="3" t="s">
        <v>223</v>
      </c>
      <c r="K524" s="3"/>
      <c r="L524" s="1" t="s">
        <v>678</v>
      </c>
      <c r="O524" s="3" t="s">
        <v>184</v>
      </c>
      <c r="Q524" s="3"/>
      <c r="R524" s="3"/>
      <c r="T524" s="3"/>
      <c r="U524" s="5"/>
      <c r="W524" s="3"/>
      <c r="Z524" s="3"/>
      <c r="AA524" s="3"/>
      <c r="AC524" s="3"/>
      <c r="AD524" s="3"/>
      <c r="AF524" s="3"/>
      <c r="AG524" s="3" t="s">
        <v>1638</v>
      </c>
      <c r="AI524" s="3"/>
      <c r="AJ524" s="1">
        <v>46104</v>
      </c>
      <c r="AL524" s="3"/>
      <c r="AM524" s="1">
        <v>1</v>
      </c>
      <c r="AO524" s="3"/>
      <c r="AP524" s="3" t="s">
        <v>1639</v>
      </c>
      <c r="AR524" s="3"/>
      <c r="AS524" s="3" t="s">
        <v>1640</v>
      </c>
      <c r="AU524" s="3"/>
      <c r="AV524" s="3"/>
      <c r="AX524" s="3"/>
      <c r="AY524" s="5"/>
      <c r="BA524" s="3"/>
      <c r="BD524" s="3"/>
      <c r="BE524" s="3"/>
      <c r="BG524" s="3"/>
      <c r="BH524" s="3"/>
      <c r="BJ524" s="3"/>
      <c r="BK524" s="3"/>
      <c r="BM524" s="3"/>
      <c r="BN524" s="5"/>
      <c r="BP524" s="3"/>
      <c r="BS524" s="3"/>
      <c r="BT524" s="3"/>
      <c r="BV524" s="3"/>
      <c r="BW524" s="3"/>
      <c r="BY524" s="3"/>
      <c r="BZ524" s="3"/>
      <c r="CB524" s="3"/>
      <c r="CC524" s="5"/>
      <c r="CE524" s="3"/>
      <c r="CH524" s="3"/>
      <c r="CI524" s="3"/>
      <c r="CK524" s="3"/>
      <c r="CL524" s="3"/>
      <c r="CN524" s="3"/>
      <c r="CO524" s="3"/>
      <c r="CQ524" s="3"/>
      <c r="CR524" s="5"/>
      <c r="CT524" s="3"/>
      <c r="CW524" s="3"/>
      <c r="CX524" s="3"/>
      <c r="CZ524" s="3"/>
      <c r="DA524" s="3"/>
      <c r="DC524" s="3"/>
      <c r="DD524" s="3"/>
      <c r="DF524" s="3"/>
      <c r="DG524" s="5"/>
      <c r="DI524" s="3"/>
      <c r="DL524" s="3"/>
      <c r="DM524" s="3"/>
      <c r="DO524" s="3"/>
      <c r="DP524" s="3"/>
      <c r="DR524" s="3"/>
      <c r="DS524" s="1" t="str">
        <f>_xlfn.XLOOKUP(OfficeForms.Table[[#This Row],[Selecione a Categoria do Laboratório desta atividade prática:]],Planilha1!A:A,Planilha1!B:B)</f>
        <v>EMF-ISN</v>
      </c>
      <c r="DT524" s="1" t="str">
        <f>CONCATENATE(OfficeForms.Table[[#This Row],[Selecione seu Polo Laboratório de Atividades Presenciais:]],OfficeForms.Table[[#This Row],[CHAVE CONVERSÃO]])</f>
        <v>Presidente Prudente/SP - Jardim GuanabaraEMF-ISN</v>
      </c>
      <c r="DU52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Vida;Avaliação de enfermagem ao paciente com queimadura + Escala de Coma de Glasgow</v>
      </c>
      <c r="DV52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52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24" s="1" t="str">
        <f>_xlfn.XLOOKUP(OfficeForms.Table[[#This Row],[CHAVE LINK POLO]],'[1]Quadro Geral de Lotação'!$B:$B,'[1]Quadro Geral de Lotação'!$I:$I)</f>
        <v>Aquiles Gonzales De Andrade</v>
      </c>
      <c r="DY524" s="1" t="str">
        <f>OfficeForms.Table[[#This Row],[Selecione a Ordem de Disciplina]]</f>
        <v>Ordem 2</v>
      </c>
    </row>
    <row r="525" spans="1:129" ht="34.15" customHeight="1">
      <c r="A525" s="1">
        <v>525</v>
      </c>
      <c r="B525" s="2">
        <v>46110.667094907403</v>
      </c>
      <c r="C525" s="2">
        <v>46110.668506944399</v>
      </c>
      <c r="D525" s="3" t="s">
        <v>237</v>
      </c>
      <c r="E525" s="3" t="s">
        <v>238</v>
      </c>
      <c r="G525" s="3"/>
      <c r="I525" s="3" t="s">
        <v>239</v>
      </c>
      <c r="K525" s="3"/>
      <c r="L525" s="1" t="s">
        <v>678</v>
      </c>
      <c r="O525" s="3" t="s">
        <v>184</v>
      </c>
      <c r="Q525" s="3"/>
      <c r="R525" s="3"/>
      <c r="T525" s="3"/>
      <c r="U525" s="5"/>
      <c r="W525" s="3"/>
      <c r="Z525" s="3"/>
      <c r="AA525" s="3"/>
      <c r="AC525" s="3"/>
      <c r="AD525" s="3"/>
      <c r="AF525" s="3"/>
      <c r="AG525" s="3" t="s">
        <v>1200</v>
      </c>
      <c r="AI525" s="3"/>
      <c r="AJ525" s="1">
        <v>46109</v>
      </c>
      <c r="AL525" s="3"/>
      <c r="AM525" s="1">
        <v>2</v>
      </c>
      <c r="AO525" s="3"/>
      <c r="AP525" s="3" t="s">
        <v>1641</v>
      </c>
      <c r="AR525" s="3"/>
      <c r="AS525" s="3" t="s">
        <v>1642</v>
      </c>
      <c r="AU525" s="3"/>
      <c r="AV525" s="3"/>
      <c r="AX525" s="3"/>
      <c r="AY525" s="5"/>
      <c r="BA525" s="3"/>
      <c r="BD525" s="3"/>
      <c r="BE525" s="3"/>
      <c r="BG525" s="3"/>
      <c r="BH525" s="3"/>
      <c r="BJ525" s="3"/>
      <c r="BK525" s="3"/>
      <c r="BM525" s="3"/>
      <c r="BN525" s="5"/>
      <c r="BP525" s="3"/>
      <c r="BS525" s="3"/>
      <c r="BT525" s="3"/>
      <c r="BV525" s="3"/>
      <c r="BW525" s="3"/>
      <c r="BY525" s="3"/>
      <c r="BZ525" s="3"/>
      <c r="CB525" s="3"/>
      <c r="CC525" s="5"/>
      <c r="CE525" s="3"/>
      <c r="CH525" s="3"/>
      <c r="CI525" s="3"/>
      <c r="CK525" s="3"/>
      <c r="CL525" s="3"/>
      <c r="CN525" s="3"/>
      <c r="CO525" s="3"/>
      <c r="CQ525" s="3"/>
      <c r="CR525" s="5"/>
      <c r="CT525" s="3"/>
      <c r="CW525" s="3"/>
      <c r="CX525" s="3"/>
      <c r="CZ525" s="3"/>
      <c r="DA525" s="3"/>
      <c r="DC525" s="3"/>
      <c r="DD525" s="3"/>
      <c r="DF525" s="3"/>
      <c r="DG525" s="5"/>
      <c r="DI525" s="3"/>
      <c r="DL525" s="3"/>
      <c r="DM525" s="3"/>
      <c r="DO525" s="3"/>
      <c r="DP525" s="3"/>
      <c r="DR525" s="3"/>
      <c r="DS525" s="1" t="str">
        <f>_xlfn.XLOOKUP(OfficeForms.Table[[#This Row],[Selecione a Categoria do Laboratório desta atividade prática:]],Planilha1!A:A,Planilha1!B:B)</f>
        <v>EMF-ISN</v>
      </c>
      <c r="DT525" s="1" t="str">
        <f>CONCATENATE(OfficeForms.Table[[#This Row],[Selecione seu Polo Laboratório de Atividades Presenciais:]],OfficeForms.Table[[#This Row],[CHAVE CONVERSÃO]])</f>
        <v>Itapecuru Mirim/MAEMF-ISN</v>
      </c>
      <c r="DU52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52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2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25" s="1" t="str">
        <f>_xlfn.XLOOKUP(OfficeForms.Table[[#This Row],[CHAVE LINK POLO]],'[1]Quadro Geral de Lotação'!$B:$B,'[1]Quadro Geral de Lotação'!$I:$I)</f>
        <v>Deborah Da Silva Vasconcelos Ewerton</v>
      </c>
      <c r="DY525" s="1" t="str">
        <f>OfficeForms.Table[[#This Row],[Selecione a Ordem de Disciplina]]</f>
        <v>Ordem 2</v>
      </c>
    </row>
    <row r="526" spans="1:129" ht="34.15" customHeight="1">
      <c r="A526" s="1">
        <v>526</v>
      </c>
      <c r="B526" s="2">
        <v>46110.668946759302</v>
      </c>
      <c r="C526" s="2">
        <v>46110.670648148203</v>
      </c>
      <c r="D526" s="3" t="s">
        <v>237</v>
      </c>
      <c r="E526" s="3" t="s">
        <v>238</v>
      </c>
      <c r="G526" s="3"/>
      <c r="I526" s="3" t="s">
        <v>239</v>
      </c>
      <c r="K526" s="3"/>
      <c r="L526" s="1" t="s">
        <v>678</v>
      </c>
      <c r="O526" s="3" t="s">
        <v>184</v>
      </c>
      <c r="Q526" s="3"/>
      <c r="R526" s="3"/>
      <c r="T526" s="3"/>
      <c r="U526" s="5"/>
      <c r="W526" s="3"/>
      <c r="Z526" s="3"/>
      <c r="AA526" s="3"/>
      <c r="AC526" s="3"/>
      <c r="AD526" s="3"/>
      <c r="AF526" s="3"/>
      <c r="AG526" s="3" t="s">
        <v>1016</v>
      </c>
      <c r="AI526" s="3"/>
      <c r="AJ526" s="1">
        <v>46109</v>
      </c>
      <c r="AL526" s="3"/>
      <c r="AM526" s="1">
        <v>6</v>
      </c>
      <c r="AO526" s="3"/>
      <c r="AP526" s="3" t="s">
        <v>1643</v>
      </c>
      <c r="AR526" s="3"/>
      <c r="AS526" s="3" t="s">
        <v>1644</v>
      </c>
      <c r="AU526" s="3"/>
      <c r="AV526" s="3"/>
      <c r="AX526" s="3"/>
      <c r="AY526" s="5"/>
      <c r="BA526" s="3"/>
      <c r="BD526" s="3"/>
      <c r="BE526" s="3"/>
      <c r="BG526" s="3"/>
      <c r="BH526" s="3"/>
      <c r="BJ526" s="3"/>
      <c r="BK526" s="3"/>
      <c r="BM526" s="3"/>
      <c r="BN526" s="5"/>
      <c r="BP526" s="3"/>
      <c r="BS526" s="3"/>
      <c r="BT526" s="3"/>
      <c r="BV526" s="3"/>
      <c r="BW526" s="3"/>
      <c r="BY526" s="3"/>
      <c r="BZ526" s="3"/>
      <c r="CB526" s="3"/>
      <c r="CC526" s="5"/>
      <c r="CE526" s="3"/>
      <c r="CH526" s="3"/>
      <c r="CI526" s="3"/>
      <c r="CK526" s="3"/>
      <c r="CL526" s="3"/>
      <c r="CN526" s="3"/>
      <c r="CO526" s="3"/>
      <c r="CQ526" s="3"/>
      <c r="CR526" s="5"/>
      <c r="CT526" s="3"/>
      <c r="CW526" s="3"/>
      <c r="CX526" s="3"/>
      <c r="CZ526" s="3"/>
      <c r="DA526" s="3"/>
      <c r="DC526" s="3"/>
      <c r="DD526" s="3"/>
      <c r="DF526" s="3"/>
      <c r="DG526" s="5"/>
      <c r="DI526" s="3"/>
      <c r="DL526" s="3"/>
      <c r="DM526" s="3"/>
      <c r="DO526" s="3"/>
      <c r="DP526" s="3"/>
      <c r="DR526" s="3"/>
      <c r="DS526" s="1" t="str">
        <f>_xlfn.XLOOKUP(OfficeForms.Table[[#This Row],[Selecione a Categoria do Laboratório desta atividade prática:]],Planilha1!A:A,Planilha1!B:B)</f>
        <v>EMF-ISN</v>
      </c>
      <c r="DT526" s="1" t="str">
        <f>CONCATENATE(OfficeForms.Table[[#This Row],[Selecione seu Polo Laboratório de Atividades Presenciais:]],OfficeForms.Table[[#This Row],[CHAVE CONVERSÃO]])</f>
        <v>Itapecuru Mirim/MAEMF-ISN</v>
      </c>
      <c r="DU52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52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2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526" s="1" t="str">
        <f>_xlfn.XLOOKUP(OfficeForms.Table[[#This Row],[CHAVE LINK POLO]],'[1]Quadro Geral de Lotação'!$B:$B,'[1]Quadro Geral de Lotação'!$I:$I)</f>
        <v>Deborah Da Silva Vasconcelos Ewerton</v>
      </c>
      <c r="DY526" s="1" t="str">
        <f>OfficeForms.Table[[#This Row],[Selecione a Ordem de Disciplina]]</f>
        <v>Ordem 2</v>
      </c>
    </row>
    <row r="527" spans="1:129" ht="34.15" customHeight="1">
      <c r="A527" s="1">
        <v>527</v>
      </c>
      <c r="B527" s="2">
        <v>46110.671099537001</v>
      </c>
      <c r="C527" s="2">
        <v>46110.672511574099</v>
      </c>
      <c r="D527" s="3" t="s">
        <v>237</v>
      </c>
      <c r="E527" s="3" t="s">
        <v>238</v>
      </c>
      <c r="G527" s="3"/>
      <c r="I527" s="3" t="s">
        <v>239</v>
      </c>
      <c r="K527" s="3"/>
      <c r="L527" s="1" t="s">
        <v>678</v>
      </c>
      <c r="O527" s="3" t="s">
        <v>184</v>
      </c>
      <c r="Q527" s="3"/>
      <c r="R527" s="3"/>
      <c r="T527" s="3"/>
      <c r="U527" s="5"/>
      <c r="W527" s="3"/>
      <c r="Z527" s="3"/>
      <c r="AA527" s="3"/>
      <c r="AC527" s="3"/>
      <c r="AD527" s="3"/>
      <c r="AF527" s="3"/>
      <c r="AG527" s="3" t="s">
        <v>1013</v>
      </c>
      <c r="AI527" s="3"/>
      <c r="AJ527" s="1">
        <v>46109</v>
      </c>
      <c r="AL527" s="3"/>
      <c r="AM527" s="1">
        <v>12</v>
      </c>
      <c r="AO527" s="3"/>
      <c r="AP527" s="3" t="s">
        <v>1645</v>
      </c>
      <c r="AR527" s="3"/>
      <c r="AS527" s="3" t="s">
        <v>1646</v>
      </c>
      <c r="AU527" s="3"/>
      <c r="AV527" s="3"/>
      <c r="AX527" s="3"/>
      <c r="AY527" s="5"/>
      <c r="BA527" s="3"/>
      <c r="BD527" s="3"/>
      <c r="BE527" s="3"/>
      <c r="BG527" s="3"/>
      <c r="BH527" s="3"/>
      <c r="BJ527" s="3"/>
      <c r="BK527" s="3"/>
      <c r="BM527" s="3"/>
      <c r="BN527" s="5"/>
      <c r="BP527" s="3"/>
      <c r="BS527" s="3"/>
      <c r="BT527" s="3"/>
      <c r="BV527" s="3"/>
      <c r="BW527" s="3"/>
      <c r="BY527" s="3"/>
      <c r="BZ527" s="3"/>
      <c r="CB527" s="3"/>
      <c r="CC527" s="5"/>
      <c r="CE527" s="3"/>
      <c r="CH527" s="3"/>
      <c r="CI527" s="3"/>
      <c r="CK527" s="3"/>
      <c r="CL527" s="3"/>
      <c r="CN527" s="3"/>
      <c r="CO527" s="3"/>
      <c r="CQ527" s="3"/>
      <c r="CR527" s="5"/>
      <c r="CT527" s="3"/>
      <c r="CW527" s="3"/>
      <c r="CX527" s="3"/>
      <c r="CZ527" s="3"/>
      <c r="DA527" s="3"/>
      <c r="DC527" s="3"/>
      <c r="DD527" s="3"/>
      <c r="DF527" s="3"/>
      <c r="DG527" s="5"/>
      <c r="DI527" s="3"/>
      <c r="DL527" s="3"/>
      <c r="DM527" s="3"/>
      <c r="DO527" s="3"/>
      <c r="DP527" s="3"/>
      <c r="DR527" s="3"/>
      <c r="DS527" s="1" t="str">
        <f>_xlfn.XLOOKUP(OfficeForms.Table[[#This Row],[Selecione a Categoria do Laboratório desta atividade prática:]],Planilha1!A:A,Planilha1!B:B)</f>
        <v>EMF-ISN</v>
      </c>
      <c r="DT527" s="1" t="str">
        <f>CONCATENATE(OfficeForms.Table[[#This Row],[Selecione seu Polo Laboratório de Atividades Presenciais:]],OfficeForms.Table[[#This Row],[CHAVE CONVERSÃO]])</f>
        <v>Itapecuru Mirim/MAEMF-ISN</v>
      </c>
      <c r="DU52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52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2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527" s="1" t="str">
        <f>_xlfn.XLOOKUP(OfficeForms.Table[[#This Row],[CHAVE LINK POLO]],'[1]Quadro Geral de Lotação'!$B:$B,'[1]Quadro Geral de Lotação'!$I:$I)</f>
        <v>Deborah Da Silva Vasconcelos Ewerton</v>
      </c>
      <c r="DY527" s="1" t="str">
        <f>OfficeForms.Table[[#This Row],[Selecione a Ordem de Disciplina]]</f>
        <v>Ordem 2</v>
      </c>
    </row>
    <row r="528" spans="1:129" ht="34.15" customHeight="1">
      <c r="A528" s="1">
        <v>528</v>
      </c>
      <c r="B528" s="2">
        <v>46110.696354166699</v>
      </c>
      <c r="C528" s="2">
        <v>46110.706168981502</v>
      </c>
      <c r="D528" s="3" t="s">
        <v>697</v>
      </c>
      <c r="E528" s="3" t="s">
        <v>698</v>
      </c>
      <c r="G528" s="3"/>
      <c r="I528" s="3" t="s">
        <v>699</v>
      </c>
      <c r="K528" s="3"/>
      <c r="L528" s="1" t="s">
        <v>678</v>
      </c>
      <c r="O528" s="3" t="s">
        <v>184</v>
      </c>
      <c r="Q528" s="3"/>
      <c r="R528" s="3"/>
      <c r="T528" s="3"/>
      <c r="U528" s="5"/>
      <c r="W528" s="3"/>
      <c r="Z528" s="3"/>
      <c r="AA528" s="3"/>
      <c r="AC528" s="3"/>
      <c r="AD528" s="3"/>
      <c r="AF528" s="3"/>
      <c r="AG528" s="3" t="s">
        <v>1105</v>
      </c>
      <c r="AI528" s="3"/>
      <c r="AJ528" s="1">
        <v>46099</v>
      </c>
      <c r="AL528" s="3"/>
      <c r="AM528" s="1">
        <v>2</v>
      </c>
      <c r="AO528" s="3"/>
      <c r="AP528" s="3" t="s">
        <v>1647</v>
      </c>
      <c r="AR528" s="3"/>
      <c r="AS528" s="3" t="s">
        <v>1648</v>
      </c>
      <c r="AU528" s="3"/>
      <c r="AV528" s="3"/>
      <c r="AX528" s="3"/>
      <c r="AY528" s="5"/>
      <c r="BA528" s="3"/>
      <c r="BD528" s="3"/>
      <c r="BE528" s="3"/>
      <c r="BG528" s="3"/>
      <c r="BH528" s="3"/>
      <c r="BJ528" s="3"/>
      <c r="BK528" s="3"/>
      <c r="BM528" s="3"/>
      <c r="BN528" s="5"/>
      <c r="BP528" s="3"/>
      <c r="BS528" s="3"/>
      <c r="BT528" s="3"/>
      <c r="BV528" s="3"/>
      <c r="BW528" s="3"/>
      <c r="BY528" s="3"/>
      <c r="BZ528" s="3"/>
      <c r="CB528" s="3"/>
      <c r="CC528" s="5"/>
      <c r="CE528" s="3"/>
      <c r="CH528" s="3"/>
      <c r="CI528" s="3"/>
      <c r="CK528" s="3"/>
      <c r="CL528" s="3"/>
      <c r="CN528" s="3"/>
      <c r="CO528" s="3"/>
      <c r="CQ528" s="3"/>
      <c r="CR528" s="5"/>
      <c r="CT528" s="3"/>
      <c r="CW528" s="3"/>
      <c r="CX528" s="3"/>
      <c r="CZ528" s="3"/>
      <c r="DA528" s="3"/>
      <c r="DC528" s="3"/>
      <c r="DD528" s="3"/>
      <c r="DF528" s="3"/>
      <c r="DG528" s="5"/>
      <c r="DI528" s="3"/>
      <c r="DL528" s="3"/>
      <c r="DM528" s="3"/>
      <c r="DO528" s="3"/>
      <c r="DP528" s="3"/>
      <c r="DR528" s="3"/>
      <c r="DS528" s="1" t="str">
        <f>_xlfn.XLOOKUP(OfficeForms.Table[[#This Row],[Selecione a Categoria do Laboratório desta atividade prática:]],Planilha1!A:A,Planilha1!B:B)</f>
        <v>EMF-ISN</v>
      </c>
      <c r="DT528" s="1" t="str">
        <f>CONCATENATE(OfficeForms.Table[[#This Row],[Selecione seu Polo Laboratório de Atividades Presenciais:]],OfficeForms.Table[[#This Row],[CHAVE CONVERSÃO]])</f>
        <v>Curitiba/PR - BoqueirãoEMF-ISN</v>
      </c>
      <c r="DU52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52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52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28" s="1" t="str">
        <f>_xlfn.XLOOKUP(OfficeForms.Table[[#This Row],[CHAVE LINK POLO]],'[1]Quadro Geral de Lotação'!$B:$B,'[1]Quadro Geral de Lotação'!$I:$I)</f>
        <v>Fadia Amira Baitala</v>
      </c>
      <c r="DY528" s="1" t="str">
        <f>OfficeForms.Table[[#This Row],[Selecione a Ordem de Disciplina]]</f>
        <v>Ordem 2</v>
      </c>
    </row>
    <row r="529" spans="1:129" ht="34.15" customHeight="1">
      <c r="A529" s="1">
        <v>529</v>
      </c>
      <c r="B529" s="2">
        <v>46110.706319444398</v>
      </c>
      <c r="C529" s="2">
        <v>46110.7093171296</v>
      </c>
      <c r="D529" s="3" t="s">
        <v>697</v>
      </c>
      <c r="E529" s="3" t="s">
        <v>698</v>
      </c>
      <c r="G529" s="3"/>
      <c r="I529" s="3" t="s">
        <v>699</v>
      </c>
      <c r="K529" s="3"/>
      <c r="L529" s="1" t="s">
        <v>678</v>
      </c>
      <c r="O529" s="3" t="s">
        <v>184</v>
      </c>
      <c r="Q529" s="3"/>
      <c r="R529" s="3"/>
      <c r="T529" s="3"/>
      <c r="U529" s="5"/>
      <c r="W529" s="3"/>
      <c r="Z529" s="3"/>
      <c r="AA529" s="3"/>
      <c r="AC529" s="3"/>
      <c r="AD529" s="3"/>
      <c r="AF529" s="3"/>
      <c r="AG529" s="3" t="s">
        <v>211</v>
      </c>
      <c r="AI529" s="3"/>
      <c r="AJ529" s="1">
        <v>46099</v>
      </c>
      <c r="AL529" s="3"/>
      <c r="AM529" s="1">
        <v>2</v>
      </c>
      <c r="AO529" s="3"/>
      <c r="AP529" s="3" t="s">
        <v>1649</v>
      </c>
      <c r="AR529" s="3"/>
      <c r="AS529" s="3" t="s">
        <v>1650</v>
      </c>
      <c r="AU529" s="3"/>
      <c r="AV529" s="3"/>
      <c r="AX529" s="3"/>
      <c r="AY529" s="5"/>
      <c r="BA529" s="3"/>
      <c r="BD529" s="3"/>
      <c r="BE529" s="3"/>
      <c r="BG529" s="3"/>
      <c r="BH529" s="3"/>
      <c r="BJ529" s="3"/>
      <c r="BK529" s="3"/>
      <c r="BM529" s="3"/>
      <c r="BN529" s="5"/>
      <c r="BP529" s="3"/>
      <c r="BS529" s="3"/>
      <c r="BT529" s="3"/>
      <c r="BV529" s="3"/>
      <c r="BW529" s="3"/>
      <c r="BY529" s="3"/>
      <c r="BZ529" s="3"/>
      <c r="CB529" s="3"/>
      <c r="CC529" s="5"/>
      <c r="CE529" s="3"/>
      <c r="CH529" s="3"/>
      <c r="CI529" s="3"/>
      <c r="CK529" s="3"/>
      <c r="CL529" s="3"/>
      <c r="CN529" s="3"/>
      <c r="CO529" s="3"/>
      <c r="CQ529" s="3"/>
      <c r="CR529" s="5"/>
      <c r="CT529" s="3"/>
      <c r="CW529" s="3"/>
      <c r="CX529" s="3"/>
      <c r="CZ529" s="3"/>
      <c r="DA529" s="3"/>
      <c r="DC529" s="3"/>
      <c r="DD529" s="3"/>
      <c r="DF529" s="3"/>
      <c r="DG529" s="5"/>
      <c r="DI529" s="3"/>
      <c r="DL529" s="3"/>
      <c r="DM529" s="3"/>
      <c r="DO529" s="3"/>
      <c r="DP529" s="3"/>
      <c r="DR529" s="3"/>
      <c r="DS529" s="1" t="str">
        <f>_xlfn.XLOOKUP(OfficeForms.Table[[#This Row],[Selecione a Categoria do Laboratório desta atividade prática:]],Planilha1!A:A,Planilha1!B:B)</f>
        <v>EMF-ISN</v>
      </c>
      <c r="DT529" s="1" t="str">
        <f>CONCATENATE(OfficeForms.Table[[#This Row],[Selecione seu Polo Laboratório de Atividades Presenciais:]],OfficeForms.Table[[#This Row],[CHAVE CONVERSÃO]])</f>
        <v>Curitiba/PR - BoqueirãoEMF-ISN</v>
      </c>
      <c r="DU52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52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52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29" s="1" t="str">
        <f>_xlfn.XLOOKUP(OfficeForms.Table[[#This Row],[CHAVE LINK POLO]],'[1]Quadro Geral de Lotação'!$B:$B,'[1]Quadro Geral de Lotação'!$I:$I)</f>
        <v>Fadia Amira Baitala</v>
      </c>
      <c r="DY529" s="1" t="str">
        <f>OfficeForms.Table[[#This Row],[Selecione a Ordem de Disciplina]]</f>
        <v>Ordem 2</v>
      </c>
    </row>
    <row r="530" spans="1:129" ht="34.15" customHeight="1">
      <c r="A530" s="1">
        <v>530</v>
      </c>
      <c r="B530" s="2">
        <v>46110.709374999999</v>
      </c>
      <c r="C530" s="2">
        <v>46110.713564814803</v>
      </c>
      <c r="D530" s="3" t="s">
        <v>697</v>
      </c>
      <c r="E530" s="3" t="s">
        <v>698</v>
      </c>
      <c r="G530" s="3"/>
      <c r="I530" s="3" t="s">
        <v>699</v>
      </c>
      <c r="K530" s="3"/>
      <c r="L530" s="1" t="s">
        <v>678</v>
      </c>
      <c r="O530" s="3" t="s">
        <v>184</v>
      </c>
      <c r="Q530" s="3"/>
      <c r="R530" s="3"/>
      <c r="T530" s="3"/>
      <c r="U530" s="5"/>
      <c r="W530" s="3"/>
      <c r="Z530" s="3"/>
      <c r="AA530" s="3"/>
      <c r="AC530" s="3"/>
      <c r="AD530" s="3"/>
      <c r="AF530" s="3"/>
      <c r="AG530" s="3" t="s">
        <v>1013</v>
      </c>
      <c r="AI530" s="3"/>
      <c r="AJ530" s="1">
        <v>46104</v>
      </c>
      <c r="AL530" s="3"/>
      <c r="AM530" s="1">
        <v>3</v>
      </c>
      <c r="AO530" s="3"/>
      <c r="AP530" s="3" t="s">
        <v>1651</v>
      </c>
      <c r="AR530" s="3"/>
      <c r="AS530" s="3" t="s">
        <v>1652</v>
      </c>
      <c r="AU530" s="3"/>
      <c r="AV530" s="3"/>
      <c r="AX530" s="3"/>
      <c r="AY530" s="5"/>
      <c r="BA530" s="3"/>
      <c r="BD530" s="3"/>
      <c r="BE530" s="3"/>
      <c r="BG530" s="3"/>
      <c r="BH530" s="3"/>
      <c r="BJ530" s="3"/>
      <c r="BK530" s="3"/>
      <c r="BM530" s="3"/>
      <c r="BN530" s="5"/>
      <c r="BP530" s="3"/>
      <c r="BS530" s="3"/>
      <c r="BT530" s="3"/>
      <c r="BV530" s="3"/>
      <c r="BW530" s="3"/>
      <c r="BY530" s="3"/>
      <c r="BZ530" s="3"/>
      <c r="CB530" s="3"/>
      <c r="CC530" s="5"/>
      <c r="CE530" s="3"/>
      <c r="CH530" s="3"/>
      <c r="CI530" s="3"/>
      <c r="CK530" s="3"/>
      <c r="CL530" s="3"/>
      <c r="CN530" s="3"/>
      <c r="CO530" s="3"/>
      <c r="CQ530" s="3"/>
      <c r="CR530" s="5"/>
      <c r="CT530" s="3"/>
      <c r="CW530" s="3"/>
      <c r="CX530" s="3"/>
      <c r="CZ530" s="3"/>
      <c r="DA530" s="3"/>
      <c r="DC530" s="3"/>
      <c r="DD530" s="3"/>
      <c r="DF530" s="3"/>
      <c r="DG530" s="5"/>
      <c r="DI530" s="3"/>
      <c r="DL530" s="3"/>
      <c r="DM530" s="3"/>
      <c r="DO530" s="3"/>
      <c r="DP530" s="3"/>
      <c r="DR530" s="3"/>
      <c r="DS530" s="1" t="str">
        <f>_xlfn.XLOOKUP(OfficeForms.Table[[#This Row],[Selecione a Categoria do Laboratório desta atividade prática:]],Planilha1!A:A,Planilha1!B:B)</f>
        <v>EMF-ISN</v>
      </c>
      <c r="DT530" s="1" t="str">
        <f>CONCATENATE(OfficeForms.Table[[#This Row],[Selecione seu Polo Laboratório de Atividades Presenciais:]],OfficeForms.Table[[#This Row],[CHAVE CONVERSÃO]])</f>
        <v>Curitiba/PR - BoqueirãoEMF-ISN</v>
      </c>
      <c r="DU53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53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53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30" s="1" t="str">
        <f>_xlfn.XLOOKUP(OfficeForms.Table[[#This Row],[CHAVE LINK POLO]],'[1]Quadro Geral de Lotação'!$B:$B,'[1]Quadro Geral de Lotação'!$I:$I)</f>
        <v>Fadia Amira Baitala</v>
      </c>
      <c r="DY530" s="1" t="str">
        <f>OfficeForms.Table[[#This Row],[Selecione a Ordem de Disciplina]]</f>
        <v>Ordem 2</v>
      </c>
    </row>
    <row r="531" spans="1:129" ht="34.15" customHeight="1">
      <c r="A531" s="1">
        <v>531</v>
      </c>
      <c r="B531" s="2">
        <v>46110.713599536997</v>
      </c>
      <c r="C531" s="2">
        <v>46110.716134259303</v>
      </c>
      <c r="D531" s="3" t="s">
        <v>697</v>
      </c>
      <c r="E531" s="3" t="s">
        <v>698</v>
      </c>
      <c r="G531" s="3"/>
      <c r="I531" s="3" t="s">
        <v>699</v>
      </c>
      <c r="K531" s="3"/>
      <c r="L531" s="1" t="s">
        <v>678</v>
      </c>
      <c r="O531" s="3" t="s">
        <v>184</v>
      </c>
      <c r="Q531" s="3"/>
      <c r="R531" s="3"/>
      <c r="T531" s="3"/>
      <c r="U531" s="5"/>
      <c r="W531" s="3"/>
      <c r="Z531" s="3"/>
      <c r="AA531" s="3"/>
      <c r="AC531" s="3"/>
      <c r="AD531" s="3"/>
      <c r="AF531" s="3"/>
      <c r="AG531" s="3" t="s">
        <v>1016</v>
      </c>
      <c r="AI531" s="3"/>
      <c r="AJ531" s="1">
        <v>46106</v>
      </c>
      <c r="AL531" s="3"/>
      <c r="AM531" s="1">
        <v>1</v>
      </c>
      <c r="AO531" s="3"/>
      <c r="AP531" s="3" t="s">
        <v>1653</v>
      </c>
      <c r="AR531" s="3"/>
      <c r="AS531" s="3" t="s">
        <v>1654</v>
      </c>
      <c r="AU531" s="3"/>
      <c r="AV531" s="3"/>
      <c r="AX531" s="3"/>
      <c r="AY531" s="5"/>
      <c r="BA531" s="3"/>
      <c r="BD531" s="3"/>
      <c r="BE531" s="3"/>
      <c r="BG531" s="3"/>
      <c r="BH531" s="3"/>
      <c r="BJ531" s="3"/>
      <c r="BK531" s="3"/>
      <c r="BM531" s="3"/>
      <c r="BN531" s="5"/>
      <c r="BP531" s="3"/>
      <c r="BS531" s="3"/>
      <c r="BT531" s="3"/>
      <c r="BV531" s="3"/>
      <c r="BW531" s="3"/>
      <c r="BY531" s="3"/>
      <c r="BZ531" s="3"/>
      <c r="CB531" s="3"/>
      <c r="CC531" s="5"/>
      <c r="CE531" s="3"/>
      <c r="CH531" s="3"/>
      <c r="CI531" s="3"/>
      <c r="CK531" s="3"/>
      <c r="CL531" s="3"/>
      <c r="CN531" s="3"/>
      <c r="CO531" s="3"/>
      <c r="CQ531" s="3"/>
      <c r="CR531" s="5"/>
      <c r="CT531" s="3"/>
      <c r="CW531" s="3"/>
      <c r="CX531" s="3"/>
      <c r="CZ531" s="3"/>
      <c r="DA531" s="3"/>
      <c r="DC531" s="3"/>
      <c r="DD531" s="3"/>
      <c r="DF531" s="3"/>
      <c r="DG531" s="5"/>
      <c r="DI531" s="3"/>
      <c r="DL531" s="3"/>
      <c r="DM531" s="3"/>
      <c r="DO531" s="3"/>
      <c r="DP531" s="3"/>
      <c r="DR531" s="3"/>
      <c r="DS531" s="1" t="str">
        <f>_xlfn.XLOOKUP(OfficeForms.Table[[#This Row],[Selecione a Categoria do Laboratório desta atividade prática:]],Planilha1!A:A,Planilha1!B:B)</f>
        <v>EMF-ISN</v>
      </c>
      <c r="DT531" s="1" t="str">
        <f>CONCATENATE(OfficeForms.Table[[#This Row],[Selecione seu Polo Laboratório de Atividades Presenciais:]],OfficeForms.Table[[#This Row],[CHAVE CONVERSÃO]])</f>
        <v>Curitiba/PR - BoqueirãoEMF-ISN</v>
      </c>
      <c r="DU53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53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53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31" s="1" t="str">
        <f>_xlfn.XLOOKUP(OfficeForms.Table[[#This Row],[CHAVE LINK POLO]],'[1]Quadro Geral de Lotação'!$B:$B,'[1]Quadro Geral de Lotação'!$I:$I)</f>
        <v>Fadia Amira Baitala</v>
      </c>
      <c r="DY531" s="1" t="str">
        <f>OfficeForms.Table[[#This Row],[Selecione a Ordem de Disciplina]]</f>
        <v>Ordem 2</v>
      </c>
    </row>
    <row r="532" spans="1:129" ht="34.15" customHeight="1">
      <c r="A532" s="1">
        <v>532</v>
      </c>
      <c r="B532" s="2">
        <v>46110.764629629601</v>
      </c>
      <c r="C532" s="2">
        <v>46110.769513888903</v>
      </c>
      <c r="D532" s="3" t="s">
        <v>325</v>
      </c>
      <c r="E532" s="3" t="s">
        <v>326</v>
      </c>
      <c r="G532" s="3"/>
      <c r="I532" s="3" t="s">
        <v>275</v>
      </c>
      <c r="K532" s="3"/>
      <c r="L532" s="1" t="s">
        <v>678</v>
      </c>
      <c r="O532" s="3" t="s">
        <v>133</v>
      </c>
      <c r="Q532" s="3"/>
      <c r="R532" s="3"/>
      <c r="T532" s="3"/>
      <c r="U532" s="5"/>
      <c r="W532" s="3"/>
      <c r="Z532" s="3"/>
      <c r="AA532" s="3"/>
      <c r="AC532" s="3"/>
      <c r="AD532" s="3"/>
      <c r="AF532" s="3"/>
      <c r="AG532" s="3"/>
      <c r="AI532" s="3"/>
      <c r="AJ532" s="1"/>
      <c r="AL532" s="3"/>
      <c r="AO532" s="3"/>
      <c r="AP532" s="3"/>
      <c r="AR532" s="3"/>
      <c r="AS532" s="3"/>
      <c r="AU532" s="3"/>
      <c r="AV532" s="3" t="s">
        <v>1514</v>
      </c>
      <c r="AX532" s="3"/>
      <c r="AY532" s="5">
        <v>46107</v>
      </c>
      <c r="BA532" s="3"/>
      <c r="BB532" s="1">
        <v>11</v>
      </c>
      <c r="BD532" s="3"/>
      <c r="BE532" s="3" t="s">
        <v>1655</v>
      </c>
      <c r="BG532" s="3"/>
      <c r="BH532" s="3" t="s">
        <v>1656</v>
      </c>
      <c r="BJ532" s="3"/>
      <c r="BK532" s="3"/>
      <c r="BM532" s="3"/>
      <c r="BN532" s="5"/>
      <c r="BP532" s="3"/>
      <c r="BS532" s="3"/>
      <c r="BT532" s="3"/>
      <c r="BV532" s="3"/>
      <c r="BW532" s="3"/>
      <c r="BY532" s="3"/>
      <c r="BZ532" s="3"/>
      <c r="CB532" s="3"/>
      <c r="CC532" s="5"/>
      <c r="CE532" s="3"/>
      <c r="CH532" s="3"/>
      <c r="CI532" s="3"/>
      <c r="CK532" s="3"/>
      <c r="CL532" s="3"/>
      <c r="CN532" s="3"/>
      <c r="CO532" s="3"/>
      <c r="CQ532" s="3"/>
      <c r="CR532" s="5"/>
      <c r="CT532" s="3"/>
      <c r="CW532" s="3"/>
      <c r="CX532" s="3"/>
      <c r="CZ532" s="3"/>
      <c r="DA532" s="3"/>
      <c r="DC532" s="3"/>
      <c r="DD532" s="3"/>
      <c r="DF532" s="3"/>
      <c r="DG532" s="5"/>
      <c r="DI532" s="3"/>
      <c r="DL532" s="3"/>
      <c r="DM532" s="3"/>
      <c r="DO532" s="3"/>
      <c r="DP532" s="3"/>
      <c r="DR532" s="3"/>
      <c r="DS532" s="1" t="str">
        <f>_xlfn.XLOOKUP(OfficeForms.Table[[#This Row],[Selecione a Categoria do Laboratório desta atividade prática:]],Planilha1!A:A,Planilha1!B:B)</f>
        <v>BFI</v>
      </c>
      <c r="DT532" s="1" t="str">
        <f>CONCATENATE(OfficeForms.Table[[#This Row],[Selecione seu Polo Laboratório de Atividades Presenciais:]],OfficeForms.Table[[#This Row],[CHAVE CONVERSÃO]])</f>
        <v>Porto Alegre/RS - Zona NorteBFI</v>
      </c>
      <c r="DU53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Articular e Goniometria: Avaliação Quantitativa na Prática Fisioterapêutica</v>
      </c>
      <c r="DV53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3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532" s="1" t="str">
        <f>_xlfn.XLOOKUP(OfficeForms.Table[[#This Row],[CHAVE LINK POLO]],'[1]Quadro Geral de Lotação'!$B:$B,'[1]Quadro Geral de Lotação'!$I:$I)</f>
        <v>Fabiano Johnson Duarte Bartmann</v>
      </c>
      <c r="DY532" s="1" t="str">
        <f>OfficeForms.Table[[#This Row],[Selecione a Ordem de Disciplina]]</f>
        <v>Ordem 2</v>
      </c>
    </row>
    <row r="533" spans="1:129" ht="34.15" customHeight="1">
      <c r="A533" s="1">
        <v>533</v>
      </c>
      <c r="B533" s="2">
        <v>46110.769548611097</v>
      </c>
      <c r="C533" s="2">
        <v>46110.770972222199</v>
      </c>
      <c r="D533" s="3" t="s">
        <v>325</v>
      </c>
      <c r="E533" s="3" t="s">
        <v>326</v>
      </c>
      <c r="G533" s="3"/>
      <c r="I533" s="3" t="s">
        <v>275</v>
      </c>
      <c r="K533" s="3"/>
      <c r="L533" s="1" t="s">
        <v>678</v>
      </c>
      <c r="O533" s="3" t="s">
        <v>133</v>
      </c>
      <c r="Q533" s="3"/>
      <c r="R533" s="3"/>
      <c r="T533" s="3"/>
      <c r="U533" s="5"/>
      <c r="W533" s="3"/>
      <c r="Z533" s="3"/>
      <c r="AA533" s="3"/>
      <c r="AC533" s="3"/>
      <c r="AD533" s="3"/>
      <c r="AF533" s="3"/>
      <c r="AG533" s="3"/>
      <c r="AI533" s="3"/>
      <c r="AJ533" s="1"/>
      <c r="AL533" s="3"/>
      <c r="AO533" s="3"/>
      <c r="AP533" s="3"/>
      <c r="AR533" s="3"/>
      <c r="AS533" s="3"/>
      <c r="AU533" s="3"/>
      <c r="AV533" s="3" t="s">
        <v>1657</v>
      </c>
      <c r="AX533" s="3"/>
      <c r="AY533" s="5">
        <v>46107</v>
      </c>
      <c r="BA533" s="3"/>
      <c r="BB533" s="1">
        <v>10</v>
      </c>
      <c r="BD533" s="3"/>
      <c r="BE533" s="3" t="s">
        <v>1658</v>
      </c>
      <c r="BG533" s="3"/>
      <c r="BH533" s="3" t="s">
        <v>1659</v>
      </c>
      <c r="BJ533" s="3"/>
      <c r="BK533" s="3"/>
      <c r="BM533" s="3"/>
      <c r="BN533" s="5"/>
      <c r="BP533" s="3"/>
      <c r="BS533" s="3"/>
      <c r="BT533" s="3"/>
      <c r="BV533" s="3"/>
      <c r="BW533" s="3"/>
      <c r="BY533" s="3"/>
      <c r="BZ533" s="3"/>
      <c r="CB533" s="3"/>
      <c r="CC533" s="5"/>
      <c r="CE533" s="3"/>
      <c r="CH533" s="3"/>
      <c r="CI533" s="3"/>
      <c r="CK533" s="3"/>
      <c r="CL533" s="3"/>
      <c r="CN533" s="3"/>
      <c r="CO533" s="3"/>
      <c r="CQ533" s="3"/>
      <c r="CR533" s="5"/>
      <c r="CT533" s="3"/>
      <c r="CW533" s="3"/>
      <c r="CX533" s="3"/>
      <c r="CZ533" s="3"/>
      <c r="DA533" s="3"/>
      <c r="DC533" s="3"/>
      <c r="DD533" s="3"/>
      <c r="DF533" s="3"/>
      <c r="DG533" s="5"/>
      <c r="DI533" s="3"/>
      <c r="DL533" s="3"/>
      <c r="DM533" s="3"/>
      <c r="DO533" s="3"/>
      <c r="DP533" s="3"/>
      <c r="DR533" s="3"/>
      <c r="DS533" s="1" t="str">
        <f>_xlfn.XLOOKUP(OfficeForms.Table[[#This Row],[Selecione a Categoria do Laboratório desta atividade prática:]],Planilha1!A:A,Planilha1!B:B)</f>
        <v>BFI</v>
      </c>
      <c r="DT533" s="1" t="str">
        <f>CONCATENATE(OfficeForms.Table[[#This Row],[Selecione seu Polo Laboratório de Atividades Presenciais:]],OfficeForms.Table[[#This Row],[CHAVE CONVERSÃO]])</f>
        <v>Porto Alegre/RS - Zona NorteBFI</v>
      </c>
      <c r="DU53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Cinesioterapia Aplicada ao Fortalecimento Muscular: Prática de Exercícios</v>
      </c>
      <c r="DV53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3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533" s="1" t="str">
        <f>_xlfn.XLOOKUP(OfficeForms.Table[[#This Row],[CHAVE LINK POLO]],'[1]Quadro Geral de Lotação'!$B:$B,'[1]Quadro Geral de Lotação'!$I:$I)</f>
        <v>Fabiano Johnson Duarte Bartmann</v>
      </c>
      <c r="DY533" s="1" t="str">
        <f>OfficeForms.Table[[#This Row],[Selecione a Ordem de Disciplina]]</f>
        <v>Ordem 2</v>
      </c>
    </row>
    <row r="534" spans="1:129" ht="34.15" customHeight="1">
      <c r="A534" s="1">
        <v>534</v>
      </c>
      <c r="B534" s="2">
        <v>46110.788310185198</v>
      </c>
      <c r="C534" s="2">
        <v>46110.797604166699</v>
      </c>
      <c r="D534" s="3" t="s">
        <v>297</v>
      </c>
      <c r="E534" s="3" t="s">
        <v>298</v>
      </c>
      <c r="G534" s="3"/>
      <c r="I534" s="3" t="s">
        <v>299</v>
      </c>
      <c r="K534" s="3"/>
      <c r="L534" s="1" t="s">
        <v>678</v>
      </c>
      <c r="O534" s="3" t="s">
        <v>156</v>
      </c>
      <c r="Q534" s="3"/>
      <c r="R534" s="3"/>
      <c r="T534" s="3"/>
      <c r="U534" s="5"/>
      <c r="W534" s="3"/>
      <c r="Z534" s="3"/>
      <c r="AA534" s="3"/>
      <c r="AC534" s="3"/>
      <c r="AD534" s="3"/>
      <c r="AF534" s="3"/>
      <c r="AG534" s="3"/>
      <c r="AI534" s="3"/>
      <c r="AJ534" s="1"/>
      <c r="AL534" s="3"/>
      <c r="AO534" s="3"/>
      <c r="AP534" s="3"/>
      <c r="AR534" s="3"/>
      <c r="AS534" s="3"/>
      <c r="AU534" s="3"/>
      <c r="AV534" s="3"/>
      <c r="AX534" s="3"/>
      <c r="AY534" s="5"/>
      <c r="BA534" s="3"/>
      <c r="BD534" s="3"/>
      <c r="BE534" s="3"/>
      <c r="BG534" s="3"/>
      <c r="BH534" s="3"/>
      <c r="BJ534" s="3"/>
      <c r="BK534" s="3" t="s">
        <v>1237</v>
      </c>
      <c r="BM534" s="3"/>
      <c r="BN534" s="5">
        <v>46105</v>
      </c>
      <c r="BP534" s="3"/>
      <c r="BQ534" s="1">
        <v>5</v>
      </c>
      <c r="BS534" s="3"/>
      <c r="BT534" s="3" t="s">
        <v>1660</v>
      </c>
      <c r="BV534" s="3"/>
      <c r="BW534" s="3" t="s">
        <v>1661</v>
      </c>
      <c r="BY534" s="3"/>
      <c r="BZ534" s="3"/>
      <c r="CB534" s="3"/>
      <c r="CC534" s="5"/>
      <c r="CE534" s="3"/>
      <c r="CH534" s="3"/>
      <c r="CI534" s="3"/>
      <c r="CK534" s="3"/>
      <c r="CL534" s="3"/>
      <c r="CN534" s="3"/>
      <c r="CO534" s="3"/>
      <c r="CQ534" s="3"/>
      <c r="CR534" s="5"/>
      <c r="CT534" s="3"/>
      <c r="CW534" s="3"/>
      <c r="CX534" s="3"/>
      <c r="CZ534" s="3"/>
      <c r="DA534" s="3"/>
      <c r="DC534" s="3"/>
      <c r="DD534" s="3"/>
      <c r="DF534" s="3"/>
      <c r="DG534" s="5"/>
      <c r="DI534" s="3"/>
      <c r="DL534" s="3"/>
      <c r="DM534" s="3"/>
      <c r="DO534" s="3"/>
      <c r="DP534" s="3"/>
      <c r="DR534" s="3"/>
      <c r="DS534" s="1" t="str">
        <f>_xlfn.XLOOKUP(OfficeForms.Table[[#This Row],[Selecione a Categoria do Laboratório desta atividade prática:]],Planilha1!A:A,Planilha1!B:B)</f>
        <v>NTR</v>
      </c>
      <c r="DT534" s="1" t="str">
        <f>CONCATENATE(OfficeForms.Table[[#This Row],[Selecione seu Polo Laboratório de Atividades Presenciais:]],OfficeForms.Table[[#This Row],[CHAVE CONVERSÃO]])</f>
        <v>Indaial/SC - Vitória Regia ( Centro Universitário  Leonardo da Vinci)NTR</v>
      </c>
      <c r="DU53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53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53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534" s="1" t="str">
        <f>_xlfn.XLOOKUP(OfficeForms.Table[[#This Row],[CHAVE LINK POLO]],'[1]Quadro Geral de Lotação'!$B:$B,'[1]Quadro Geral de Lotação'!$I:$I)</f>
        <v>-</v>
      </c>
      <c r="DY534" s="1" t="str">
        <f>OfficeForms.Table[[#This Row],[Selecione a Ordem de Disciplina]]</f>
        <v>Ordem 2</v>
      </c>
    </row>
    <row r="535" spans="1:129" ht="34.15" customHeight="1">
      <c r="A535" s="1">
        <v>535</v>
      </c>
      <c r="B535" s="2">
        <v>46110.932442129597</v>
      </c>
      <c r="C535" s="2">
        <v>46110.942905092597</v>
      </c>
      <c r="D535" s="3" t="s">
        <v>252</v>
      </c>
      <c r="E535" s="3" t="s">
        <v>253</v>
      </c>
      <c r="G535" s="3"/>
      <c r="I535" s="3" t="s">
        <v>254</v>
      </c>
      <c r="K535" s="3"/>
      <c r="L535" s="1" t="s">
        <v>678</v>
      </c>
      <c r="O535" s="3" t="s">
        <v>184</v>
      </c>
      <c r="Q535" s="3"/>
      <c r="R535" s="3"/>
      <c r="T535" s="3"/>
      <c r="U535" s="5"/>
      <c r="W535" s="3"/>
      <c r="Z535" s="3"/>
      <c r="AA535" s="3"/>
      <c r="AC535" s="3"/>
      <c r="AD535" s="3"/>
      <c r="AF535" s="3"/>
      <c r="AG535" s="3" t="s">
        <v>1302</v>
      </c>
      <c r="AI535" s="3"/>
      <c r="AJ535" s="1">
        <v>46109</v>
      </c>
      <c r="AL535" s="3"/>
      <c r="AM535" s="1">
        <v>0</v>
      </c>
      <c r="AO535" s="3"/>
      <c r="AP535" s="3" t="s">
        <v>1662</v>
      </c>
      <c r="AR535" s="3"/>
      <c r="AS535" s="3" t="s">
        <v>1663</v>
      </c>
      <c r="AU535" s="3"/>
      <c r="AV535" s="3"/>
      <c r="AX535" s="3"/>
      <c r="AY535" s="5"/>
      <c r="BA535" s="3"/>
      <c r="BD535" s="3"/>
      <c r="BE535" s="3"/>
      <c r="BG535" s="3"/>
      <c r="BH535" s="3"/>
      <c r="BJ535" s="3"/>
      <c r="BK535" s="3"/>
      <c r="BM535" s="3"/>
      <c r="BN535" s="5"/>
      <c r="BP535" s="3"/>
      <c r="BS535" s="3"/>
      <c r="BT535" s="3"/>
      <c r="BV535" s="3"/>
      <c r="BW535" s="3"/>
      <c r="BY535" s="3"/>
      <c r="BZ535" s="3"/>
      <c r="CB535" s="3"/>
      <c r="CC535" s="5"/>
      <c r="CE535" s="3"/>
      <c r="CH535" s="3"/>
      <c r="CI535" s="3"/>
      <c r="CK535" s="3"/>
      <c r="CL535" s="3"/>
      <c r="CN535" s="3"/>
      <c r="CO535" s="3"/>
      <c r="CQ535" s="3"/>
      <c r="CR535" s="5"/>
      <c r="CT535" s="3"/>
      <c r="CW535" s="3"/>
      <c r="CX535" s="3"/>
      <c r="CZ535" s="3"/>
      <c r="DA535" s="3"/>
      <c r="DC535" s="3"/>
      <c r="DD535" s="3"/>
      <c r="DF535" s="3"/>
      <c r="DG535" s="5"/>
      <c r="DI535" s="3"/>
      <c r="DL535" s="3"/>
      <c r="DM535" s="3"/>
      <c r="DO535" s="3"/>
      <c r="DP535" s="3"/>
      <c r="DR535" s="3"/>
      <c r="DS535" s="1" t="str">
        <f>_xlfn.XLOOKUP(OfficeForms.Table[[#This Row],[Selecione a Categoria do Laboratório desta atividade prática:]],Planilha1!A:A,Planilha1!B:B)</f>
        <v>EMF-ISN</v>
      </c>
      <c r="DT535" s="1" t="str">
        <f>CONCATENATE(OfficeForms.Table[[#This Row],[Selecione seu Polo Laboratório de Atividades Presenciais:]],OfficeForms.Table[[#This Row],[CHAVE CONVERSÃO]])</f>
        <v>Curitibanos/SCEMF-ISN</v>
      </c>
      <c r="DU53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53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3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35" s="1" t="str">
        <f>_xlfn.XLOOKUP(OfficeForms.Table[[#This Row],[CHAVE LINK POLO]],'[1]Quadro Geral de Lotação'!$B:$B,'[1]Quadro Geral de Lotação'!$I:$I)</f>
        <v>Clademir Jose Fernandes Da Silva</v>
      </c>
      <c r="DY535" s="1" t="str">
        <f>OfficeForms.Table[[#This Row],[Selecione a Ordem de Disciplina]]</f>
        <v>Ordem 2</v>
      </c>
    </row>
    <row r="536" spans="1:129" ht="34.15" customHeight="1">
      <c r="A536" s="1">
        <v>536</v>
      </c>
      <c r="B536" s="2">
        <v>46111.049016203702</v>
      </c>
      <c r="C536" s="2">
        <v>46111.0612847222</v>
      </c>
      <c r="D536" s="3" t="s">
        <v>147</v>
      </c>
      <c r="E536" s="3" t="s">
        <v>148</v>
      </c>
      <c r="G536" s="3"/>
      <c r="I536" s="3" t="s">
        <v>149</v>
      </c>
      <c r="K536" s="3"/>
      <c r="L536" s="1" t="s">
        <v>678</v>
      </c>
      <c r="O536" s="3" t="s">
        <v>133</v>
      </c>
      <c r="Q536" s="3"/>
      <c r="R536" s="3"/>
      <c r="T536" s="3"/>
      <c r="U536" s="5"/>
      <c r="W536" s="3"/>
      <c r="Z536" s="3"/>
      <c r="AA536" s="3"/>
      <c r="AC536" s="3"/>
      <c r="AD536" s="3"/>
      <c r="AF536" s="3"/>
      <c r="AG536" s="3"/>
      <c r="AI536" s="3"/>
      <c r="AJ536" s="1"/>
      <c r="AL536" s="3"/>
      <c r="AO536" s="3"/>
      <c r="AP536" s="3"/>
      <c r="AR536" s="3"/>
      <c r="AS536" s="3"/>
      <c r="AU536" s="3"/>
      <c r="AV536" s="3" t="s">
        <v>1375</v>
      </c>
      <c r="AX536" s="3"/>
      <c r="AY536" s="5">
        <v>46107</v>
      </c>
      <c r="BA536" s="3"/>
      <c r="BB536" s="1">
        <v>10</v>
      </c>
      <c r="BD536" s="3"/>
      <c r="BE536" s="3" t="s">
        <v>1664</v>
      </c>
      <c r="BG536" s="3"/>
      <c r="BH536" s="3" t="s">
        <v>1665</v>
      </c>
      <c r="BJ536" s="3"/>
      <c r="BK536" s="3"/>
      <c r="BM536" s="3"/>
      <c r="BN536" s="5"/>
      <c r="BP536" s="3"/>
      <c r="BS536" s="3"/>
      <c r="BT536" s="3"/>
      <c r="BV536" s="3"/>
      <c r="BW536" s="3"/>
      <c r="BY536" s="3"/>
      <c r="BZ536" s="3"/>
      <c r="CB536" s="3"/>
      <c r="CC536" s="5"/>
      <c r="CE536" s="3"/>
      <c r="CH536" s="3"/>
      <c r="CI536" s="3"/>
      <c r="CK536" s="3"/>
      <c r="CL536" s="3"/>
      <c r="CN536" s="3"/>
      <c r="CO536" s="3"/>
      <c r="CQ536" s="3"/>
      <c r="CR536" s="5"/>
      <c r="CT536" s="3"/>
      <c r="CW536" s="3"/>
      <c r="CX536" s="3"/>
      <c r="CZ536" s="3"/>
      <c r="DA536" s="3"/>
      <c r="DC536" s="3"/>
      <c r="DD536" s="3"/>
      <c r="DF536" s="3"/>
      <c r="DG536" s="5"/>
      <c r="DI536" s="3"/>
      <c r="DL536" s="3"/>
      <c r="DM536" s="3"/>
      <c r="DO536" s="3"/>
      <c r="DP536" s="3"/>
      <c r="DR536" s="3"/>
      <c r="DS536" s="1" t="str">
        <f>_xlfn.XLOOKUP(OfficeForms.Table[[#This Row],[Selecione a Categoria do Laboratório desta atividade prática:]],Planilha1!A:A,Planilha1!B:B)</f>
        <v>BFI</v>
      </c>
      <c r="DT536" s="1" t="str">
        <f>CONCATENATE(OfficeForms.Table[[#This Row],[Selecione seu Polo Laboratório de Atividades Presenciais:]],OfficeForms.Table[[#This Row],[CHAVE CONVERSÃO]])</f>
        <v>Itajaí/SC - São VicenteBFI</v>
      </c>
      <c r="DU53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Superiores</v>
      </c>
      <c r="DV53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3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536" s="1" t="str">
        <f>_xlfn.XLOOKUP(OfficeForms.Table[[#This Row],[CHAVE LINK POLO]],'[1]Quadro Geral de Lotação'!$B:$B,'[1]Quadro Geral de Lotação'!$I:$I)</f>
        <v>Tuani Rafaela Matana Neves</v>
      </c>
      <c r="DY536" s="1" t="str">
        <f>OfficeForms.Table[[#This Row],[Selecione a Ordem de Disciplina]]</f>
        <v>Ordem 2</v>
      </c>
    </row>
    <row r="537" spans="1:129" ht="34.15" customHeight="1">
      <c r="A537" s="1">
        <v>537</v>
      </c>
      <c r="B537" s="2">
        <v>46111.061342592599</v>
      </c>
      <c r="C537" s="2">
        <v>46111.062615740702</v>
      </c>
      <c r="D537" s="3" t="s">
        <v>147</v>
      </c>
      <c r="E537" s="3" t="s">
        <v>148</v>
      </c>
      <c r="G537" s="3"/>
      <c r="I537" s="3" t="s">
        <v>149</v>
      </c>
      <c r="K537" s="3"/>
      <c r="L537" s="1" t="s">
        <v>678</v>
      </c>
      <c r="O537" s="3" t="s">
        <v>133</v>
      </c>
      <c r="Q537" s="3"/>
      <c r="R537" s="3"/>
      <c r="T537" s="3"/>
      <c r="U537" s="5"/>
      <c r="W537" s="3"/>
      <c r="Z537" s="3"/>
      <c r="AA537" s="3"/>
      <c r="AC537" s="3"/>
      <c r="AD537" s="3"/>
      <c r="AF537" s="3"/>
      <c r="AG537" s="3"/>
      <c r="AI537" s="3"/>
      <c r="AJ537" s="1"/>
      <c r="AL537" s="3"/>
      <c r="AO537" s="3"/>
      <c r="AP537" s="3"/>
      <c r="AR537" s="3"/>
      <c r="AS537" s="3"/>
      <c r="AU537" s="3"/>
      <c r="AV537" s="3" t="s">
        <v>1557</v>
      </c>
      <c r="AX537" s="3"/>
      <c r="AY537" s="5">
        <v>46107</v>
      </c>
      <c r="BA537" s="3"/>
      <c r="BB537" s="1">
        <v>10</v>
      </c>
      <c r="BD537" s="3"/>
      <c r="BE537" s="3" t="s">
        <v>1666</v>
      </c>
      <c r="BG537" s="3"/>
      <c r="BH537" s="3" t="s">
        <v>1667</v>
      </c>
      <c r="BJ537" s="3"/>
      <c r="BK537" s="3"/>
      <c r="BM537" s="3"/>
      <c r="BN537" s="5"/>
      <c r="BP537" s="3"/>
      <c r="BS537" s="3"/>
      <c r="BT537" s="3"/>
      <c r="BV537" s="3"/>
      <c r="BW537" s="3"/>
      <c r="BY537" s="3"/>
      <c r="BZ537" s="3"/>
      <c r="CB537" s="3"/>
      <c r="CC537" s="5"/>
      <c r="CE537" s="3"/>
      <c r="CH537" s="3"/>
      <c r="CI537" s="3"/>
      <c r="CK537" s="3"/>
      <c r="CL537" s="3"/>
      <c r="CN537" s="3"/>
      <c r="CO537" s="3"/>
      <c r="CQ537" s="3"/>
      <c r="CR537" s="5"/>
      <c r="CT537" s="3"/>
      <c r="CW537" s="3"/>
      <c r="CX537" s="3"/>
      <c r="CZ537" s="3"/>
      <c r="DA537" s="3"/>
      <c r="DC537" s="3"/>
      <c r="DD537" s="3"/>
      <c r="DF537" s="3"/>
      <c r="DG537" s="5"/>
      <c r="DI537" s="3"/>
      <c r="DL537" s="3"/>
      <c r="DM537" s="3"/>
      <c r="DO537" s="3"/>
      <c r="DP537" s="3"/>
      <c r="DR537" s="3"/>
      <c r="DS537" s="1" t="str">
        <f>_xlfn.XLOOKUP(OfficeForms.Table[[#This Row],[Selecione a Categoria do Laboratório desta atividade prática:]],Planilha1!A:A,Planilha1!B:B)</f>
        <v>BFI</v>
      </c>
      <c r="DT537" s="1" t="str">
        <f>CONCATENATE(OfficeForms.Table[[#This Row],[Selecione seu Polo Laboratório de Atividades Presenciais:]],OfficeForms.Table[[#This Row],[CHAVE CONVERSÃO]])</f>
        <v>Itajaí/SC - São VicenteBFI</v>
      </c>
      <c r="DU53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Inferiores</v>
      </c>
      <c r="DV53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3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537" s="1" t="str">
        <f>_xlfn.XLOOKUP(OfficeForms.Table[[#This Row],[CHAVE LINK POLO]],'[1]Quadro Geral de Lotação'!$B:$B,'[1]Quadro Geral de Lotação'!$I:$I)</f>
        <v>Tuani Rafaela Matana Neves</v>
      </c>
      <c r="DY537" s="1" t="str">
        <f>OfficeForms.Table[[#This Row],[Selecione a Ordem de Disciplina]]</f>
        <v>Ordem 2</v>
      </c>
    </row>
    <row r="538" spans="1:129" ht="34.15" customHeight="1">
      <c r="A538" s="1">
        <v>538</v>
      </c>
      <c r="B538" s="2">
        <v>46111.6469097222</v>
      </c>
      <c r="C538" s="2">
        <v>46111.656932870399</v>
      </c>
      <c r="D538" s="3" t="s">
        <v>174</v>
      </c>
      <c r="E538" s="3" t="s">
        <v>175</v>
      </c>
      <c r="G538" s="3"/>
      <c r="I538" s="3" t="s">
        <v>176</v>
      </c>
      <c r="K538" s="3"/>
      <c r="L538" s="1" t="s">
        <v>678</v>
      </c>
      <c r="O538" s="3" t="s">
        <v>177</v>
      </c>
      <c r="Q538" s="3"/>
      <c r="R538" s="3"/>
      <c r="T538" s="3"/>
      <c r="U538" s="5"/>
      <c r="W538" s="3"/>
      <c r="Z538" s="3"/>
      <c r="AA538" s="3"/>
      <c r="AC538" s="3"/>
      <c r="AD538" s="3"/>
      <c r="AF538" s="3"/>
      <c r="AG538" s="3"/>
      <c r="AI538" s="3"/>
      <c r="AJ538" s="1"/>
      <c r="AL538" s="3"/>
      <c r="AO538" s="3"/>
      <c r="AP538" s="3"/>
      <c r="AR538" s="3"/>
      <c r="AS538" s="3"/>
      <c r="AU538" s="3"/>
      <c r="AV538" s="3"/>
      <c r="AX538" s="3"/>
      <c r="AY538" s="5"/>
      <c r="BA538" s="3"/>
      <c r="BD538" s="3"/>
      <c r="BE538" s="3"/>
      <c r="BG538" s="3"/>
      <c r="BH538" s="3"/>
      <c r="BJ538" s="3"/>
      <c r="BK538" s="3"/>
      <c r="BM538" s="3"/>
      <c r="BN538" s="5"/>
      <c r="BP538" s="3"/>
      <c r="BS538" s="3"/>
      <c r="BT538" s="3"/>
      <c r="BV538" s="3"/>
      <c r="BW538" s="3"/>
      <c r="BY538" s="3"/>
      <c r="BZ538" s="3"/>
      <c r="CB538" s="3"/>
      <c r="CC538" s="5"/>
      <c r="CE538" s="3"/>
      <c r="CH538" s="3"/>
      <c r="CI538" s="3"/>
      <c r="CK538" s="3"/>
      <c r="CL538" s="3"/>
      <c r="CN538" s="3"/>
      <c r="CO538" s="3"/>
      <c r="CQ538" s="3"/>
      <c r="CR538" s="5"/>
      <c r="CT538" s="3"/>
      <c r="CW538" s="3"/>
      <c r="CX538" s="3"/>
      <c r="CZ538" s="3"/>
      <c r="DA538" s="3"/>
      <c r="DC538" s="3"/>
      <c r="DD538" s="3" t="s">
        <v>178</v>
      </c>
      <c r="DF538" s="3"/>
      <c r="DG538" s="5">
        <v>46107</v>
      </c>
      <c r="DI538" s="3"/>
      <c r="DJ538" s="1">
        <v>4</v>
      </c>
      <c r="DL538" s="3"/>
      <c r="DM538" s="3" t="s">
        <v>1668</v>
      </c>
      <c r="DO538" s="3"/>
      <c r="DP538" s="3" t="s">
        <v>1669</v>
      </c>
      <c r="DR538" s="3"/>
      <c r="DS538" s="1" t="str">
        <f>_xlfn.XLOOKUP(OfficeForms.Table[[#This Row],[Selecione a Categoria do Laboratório desta atividade prática:]],Planilha1!A:A,Planilha1!B:B)</f>
        <v>AGM</v>
      </c>
      <c r="DT538" s="1" t="str">
        <f>CONCATENATE(OfficeForms.Table[[#This Row],[Selecione seu Polo Laboratório de Atividades Presenciais:]],OfficeForms.Table[[#This Row],[CHAVE CONVERSÃO]])</f>
        <v>Catalão/GOAGM</v>
      </c>
      <c r="DU53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de propagação de plantas</v>
      </c>
      <c r="DV53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3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38" s="1" t="str">
        <f>_xlfn.XLOOKUP(OfficeForms.Table[[#This Row],[CHAVE LINK POLO]],'[1]Quadro Geral de Lotação'!$B:$B,'[1]Quadro Geral de Lotação'!$I:$I)</f>
        <v>Marla Maria Ferreira De Souza</v>
      </c>
      <c r="DY538" s="1" t="str">
        <f>OfficeForms.Table[[#This Row],[Selecione a Ordem de Disciplina]]</f>
        <v>Ordem 2</v>
      </c>
    </row>
    <row r="539" spans="1:129" ht="34.15" customHeight="1">
      <c r="A539" s="1">
        <v>539</v>
      </c>
      <c r="B539" s="2">
        <v>46111.731817129599</v>
      </c>
      <c r="C539" s="2">
        <v>46111.733437499999</v>
      </c>
      <c r="D539" s="3" t="s">
        <v>388</v>
      </c>
      <c r="E539" s="3" t="s">
        <v>389</v>
      </c>
      <c r="G539" s="3"/>
      <c r="I539" s="3" t="s">
        <v>390</v>
      </c>
      <c r="K539" s="3"/>
      <c r="L539" s="1" t="s">
        <v>678</v>
      </c>
      <c r="O539" s="3" t="s">
        <v>184</v>
      </c>
      <c r="Q539" s="3"/>
      <c r="R539" s="3"/>
      <c r="T539" s="3"/>
      <c r="U539" s="5"/>
      <c r="W539" s="3"/>
      <c r="Z539" s="3"/>
      <c r="AA539" s="3"/>
      <c r="AC539" s="3"/>
      <c r="AD539" s="3"/>
      <c r="AF539" s="3"/>
      <c r="AG539" s="3" t="s">
        <v>211</v>
      </c>
      <c r="AI539" s="3"/>
      <c r="AJ539" s="1">
        <v>46108</v>
      </c>
      <c r="AL539" s="3"/>
      <c r="AM539" s="1">
        <v>1</v>
      </c>
      <c r="AO539" s="3"/>
      <c r="AP539" s="3" t="s">
        <v>1670</v>
      </c>
      <c r="AR539" s="3"/>
      <c r="AS539" s="3" t="s">
        <v>1671</v>
      </c>
      <c r="AU539" s="3"/>
      <c r="AV539" s="3"/>
      <c r="AX539" s="3"/>
      <c r="AY539" s="5"/>
      <c r="BA539" s="3"/>
      <c r="BD539" s="3"/>
      <c r="BE539" s="3"/>
      <c r="BG539" s="3"/>
      <c r="BH539" s="3"/>
      <c r="BJ539" s="3"/>
      <c r="BK539" s="3"/>
      <c r="BM539" s="3"/>
      <c r="BN539" s="5"/>
      <c r="BP539" s="3"/>
      <c r="BS539" s="3"/>
      <c r="BT539" s="3"/>
      <c r="BV539" s="3"/>
      <c r="BW539" s="3"/>
      <c r="BY539" s="3"/>
      <c r="BZ539" s="3"/>
      <c r="CB539" s="3"/>
      <c r="CC539" s="5"/>
      <c r="CE539" s="3"/>
      <c r="CH539" s="3"/>
      <c r="CI539" s="3"/>
      <c r="CK539" s="3"/>
      <c r="CL539" s="3"/>
      <c r="CN539" s="3"/>
      <c r="CO539" s="3"/>
      <c r="CQ539" s="3"/>
      <c r="CR539" s="5"/>
      <c r="CT539" s="3"/>
      <c r="CW539" s="3"/>
      <c r="CX539" s="3"/>
      <c r="CZ539" s="3"/>
      <c r="DA539" s="3"/>
      <c r="DC539" s="3"/>
      <c r="DD539" s="3"/>
      <c r="DF539" s="3"/>
      <c r="DG539" s="5"/>
      <c r="DI539" s="3"/>
      <c r="DL539" s="3"/>
      <c r="DM539" s="3"/>
      <c r="DO539" s="3"/>
      <c r="DP539" s="3"/>
      <c r="DR539" s="3"/>
      <c r="DS539" s="1" t="str">
        <f>_xlfn.XLOOKUP(OfficeForms.Table[[#This Row],[Selecione a Categoria do Laboratório desta atividade prática:]],Planilha1!A:A,Planilha1!B:B)</f>
        <v>EMF-ISN</v>
      </c>
      <c r="DT539" s="1" t="str">
        <f>CONCATENATE(OfficeForms.Table[[#This Row],[Selecione seu Polo Laboratório de Atividades Presenciais:]],OfficeForms.Table[[#This Row],[CHAVE CONVERSÃO]])</f>
        <v>Salinópolis/PAEMF-ISN</v>
      </c>
      <c r="DU53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53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46108</v>
      </c>
      <c r="DW53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39" s="1" t="str">
        <f>_xlfn.XLOOKUP(OfficeForms.Table[[#This Row],[CHAVE LINK POLO]],'[1]Quadro Geral de Lotação'!$B:$B,'[1]Quadro Geral de Lotação'!$I:$I)</f>
        <v>Jean Sousa Dos Santos</v>
      </c>
      <c r="DY539" s="1" t="str">
        <f>OfficeForms.Table[[#This Row],[Selecione a Ordem de Disciplina]]</f>
        <v>Ordem 2</v>
      </c>
    </row>
    <row r="540" spans="1:129" ht="34.15" customHeight="1">
      <c r="A540" s="1">
        <v>540</v>
      </c>
      <c r="B540" s="2">
        <v>46111.804097222201</v>
      </c>
      <c r="C540" s="2">
        <v>46111.8073842593</v>
      </c>
      <c r="D540" s="3" t="s">
        <v>232</v>
      </c>
      <c r="E540" s="3" t="s">
        <v>233</v>
      </c>
      <c r="G540" s="3"/>
      <c r="I540" s="3" t="s">
        <v>234</v>
      </c>
      <c r="K540" s="3"/>
      <c r="L540" s="1" t="s">
        <v>678</v>
      </c>
      <c r="O540" s="3" t="s">
        <v>184</v>
      </c>
      <c r="Q540" s="3"/>
      <c r="R540" s="3"/>
      <c r="T540" s="3"/>
      <c r="U540" s="5"/>
      <c r="W540" s="3"/>
      <c r="Z540" s="3"/>
      <c r="AA540" s="3"/>
      <c r="AC540" s="3"/>
      <c r="AD540" s="3"/>
      <c r="AF540" s="3"/>
      <c r="AG540" s="3" t="s">
        <v>1016</v>
      </c>
      <c r="AI540" s="3"/>
      <c r="AJ540" s="1">
        <v>46099</v>
      </c>
      <c r="AL540" s="3"/>
      <c r="AM540" s="1">
        <v>4</v>
      </c>
      <c r="AO540" s="3"/>
      <c r="AP540" s="3" t="s">
        <v>1672</v>
      </c>
      <c r="AR540" s="3"/>
      <c r="AS540" s="3" t="s">
        <v>1673</v>
      </c>
      <c r="AU540" s="3"/>
      <c r="AV540" s="3"/>
      <c r="AX540" s="3"/>
      <c r="AY540" s="5"/>
      <c r="BA540" s="3"/>
      <c r="BD540" s="3"/>
      <c r="BE540" s="3"/>
      <c r="BG540" s="3"/>
      <c r="BH540" s="3"/>
      <c r="BJ540" s="3"/>
      <c r="BK540" s="3"/>
      <c r="BM540" s="3"/>
      <c r="BN540" s="5"/>
      <c r="BP540" s="3"/>
      <c r="BS540" s="3"/>
      <c r="BT540" s="3"/>
      <c r="BV540" s="3"/>
      <c r="BW540" s="3"/>
      <c r="BY540" s="3"/>
      <c r="BZ540" s="3"/>
      <c r="CB540" s="3"/>
      <c r="CC540" s="5"/>
      <c r="CE540" s="3"/>
      <c r="CH540" s="3"/>
      <c r="CI540" s="3"/>
      <c r="CK540" s="3"/>
      <c r="CL540" s="3"/>
      <c r="CN540" s="3"/>
      <c r="CO540" s="3"/>
      <c r="CQ540" s="3"/>
      <c r="CR540" s="5"/>
      <c r="CT540" s="3"/>
      <c r="CW540" s="3"/>
      <c r="CX540" s="3"/>
      <c r="CZ540" s="3"/>
      <c r="DA540" s="3"/>
      <c r="DC540" s="3"/>
      <c r="DD540" s="3"/>
      <c r="DF540" s="3"/>
      <c r="DG540" s="5"/>
      <c r="DI540" s="3"/>
      <c r="DL540" s="3"/>
      <c r="DM540" s="3"/>
      <c r="DO540" s="3"/>
      <c r="DP540" s="3"/>
      <c r="DR540" s="3"/>
      <c r="DS540" s="1" t="str">
        <f>_xlfn.XLOOKUP(OfficeForms.Table[[#This Row],[Selecione a Categoria do Laboratório desta atividade prática:]],Planilha1!A:A,Planilha1!B:B)</f>
        <v>EMF-ISN</v>
      </c>
      <c r="DT540" s="1" t="str">
        <f>CONCATENATE(OfficeForms.Table[[#This Row],[Selecione seu Polo Laboratório de Atividades Presenciais:]],OfficeForms.Table[[#This Row],[CHAVE CONVERSÃO]])</f>
        <v>Santa Fé do Sul/SPEMF-ISN</v>
      </c>
      <c r="DU54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54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54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40" s="1" t="str">
        <f>_xlfn.XLOOKUP(OfficeForms.Table[[#This Row],[CHAVE LINK POLO]],'[1]Quadro Geral de Lotação'!$B:$B,'[1]Quadro Geral de Lotação'!$I:$I)</f>
        <v>Mariana Mirian Correia</v>
      </c>
      <c r="DY540" s="1" t="str">
        <f>OfficeForms.Table[[#This Row],[Selecione a Ordem de Disciplina]]</f>
        <v>Ordem 2</v>
      </c>
    </row>
    <row r="541" spans="1:129" ht="34.15" customHeight="1">
      <c r="A541" s="1">
        <v>541</v>
      </c>
      <c r="B541" s="2">
        <v>46111.898611111101</v>
      </c>
      <c r="C541" s="2">
        <v>46111.903495370403</v>
      </c>
      <c r="D541" s="3" t="s">
        <v>399</v>
      </c>
      <c r="E541" s="3" t="s">
        <v>400</v>
      </c>
      <c r="G541" s="3"/>
      <c r="I541" s="3" t="s">
        <v>401</v>
      </c>
      <c r="K541" s="3"/>
      <c r="L541" s="1" t="s">
        <v>678</v>
      </c>
      <c r="O541" s="3" t="s">
        <v>184</v>
      </c>
      <c r="Q541" s="3"/>
      <c r="R541" s="3"/>
      <c r="T541" s="3"/>
      <c r="U541" s="5"/>
      <c r="W541" s="3"/>
      <c r="Z541" s="3"/>
      <c r="AA541" s="3"/>
      <c r="AC541" s="3"/>
      <c r="AD541" s="3"/>
      <c r="AF541" s="3"/>
      <c r="AG541" s="3" t="s">
        <v>1302</v>
      </c>
      <c r="AI541" s="3"/>
      <c r="AJ541" s="1">
        <v>46100</v>
      </c>
      <c r="AL541" s="3"/>
      <c r="AM541" s="1">
        <v>2</v>
      </c>
      <c r="AO541" s="3"/>
      <c r="AP541" s="3" t="s">
        <v>1674</v>
      </c>
      <c r="AR541" s="3"/>
      <c r="AS541" s="3" t="s">
        <v>1675</v>
      </c>
      <c r="AU541" s="3"/>
      <c r="AV541" s="3"/>
      <c r="AX541" s="3"/>
      <c r="AY541" s="5"/>
      <c r="BA541" s="3"/>
      <c r="BD541" s="3"/>
      <c r="BE541" s="3"/>
      <c r="BG541" s="3"/>
      <c r="BH541" s="3"/>
      <c r="BJ541" s="3"/>
      <c r="BK541" s="3"/>
      <c r="BM541" s="3"/>
      <c r="BN541" s="5"/>
      <c r="BP541" s="3"/>
      <c r="BS541" s="3"/>
      <c r="BT541" s="3"/>
      <c r="BV541" s="3"/>
      <c r="BW541" s="3"/>
      <c r="BY541" s="3"/>
      <c r="BZ541" s="3"/>
      <c r="CB541" s="3"/>
      <c r="CC541" s="5"/>
      <c r="CE541" s="3"/>
      <c r="CH541" s="3"/>
      <c r="CI541" s="3"/>
      <c r="CK541" s="3"/>
      <c r="CL541" s="3"/>
      <c r="CN541" s="3"/>
      <c r="CO541" s="3"/>
      <c r="CQ541" s="3"/>
      <c r="CR541" s="5"/>
      <c r="CT541" s="3"/>
      <c r="CW541" s="3"/>
      <c r="CX541" s="3"/>
      <c r="CZ541" s="3"/>
      <c r="DA541" s="3"/>
      <c r="DC541" s="3"/>
      <c r="DD541" s="3"/>
      <c r="DF541" s="3"/>
      <c r="DG541" s="5"/>
      <c r="DI541" s="3"/>
      <c r="DL541" s="3"/>
      <c r="DM541" s="3"/>
      <c r="DO541" s="3"/>
      <c r="DP541" s="3"/>
      <c r="DR541" s="3"/>
      <c r="DS541" s="1" t="str">
        <f>_xlfn.XLOOKUP(OfficeForms.Table[[#This Row],[Selecione a Categoria do Laboratório desta atividade prática:]],Planilha1!A:A,Planilha1!B:B)</f>
        <v>EMF-ISN</v>
      </c>
      <c r="DT541" s="1" t="str">
        <f>CONCATENATE(OfficeForms.Table[[#This Row],[Selecione seu Polo Laboratório de Atividades Presenciais:]],OfficeForms.Table[[#This Row],[CHAVE CONVERSÃO]])</f>
        <v>Itaboraí/RJEMF-ISN</v>
      </c>
      <c r="DU54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54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54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41" s="1" t="str">
        <f>_xlfn.XLOOKUP(OfficeForms.Table[[#This Row],[CHAVE LINK POLO]],'[1]Quadro Geral de Lotação'!$B:$B,'[1]Quadro Geral de Lotação'!$I:$I)</f>
        <v>Patricia da Silva Trasmontano</v>
      </c>
      <c r="DY541" s="1" t="str">
        <f>OfficeForms.Table[[#This Row],[Selecione a Ordem de Disciplina]]</f>
        <v>Ordem 2</v>
      </c>
    </row>
    <row r="542" spans="1:129" ht="34.15" customHeight="1">
      <c r="A542" s="1">
        <v>542</v>
      </c>
      <c r="B542" s="2">
        <v>46111.898645833302</v>
      </c>
      <c r="C542" s="2">
        <v>46111.908622685201</v>
      </c>
      <c r="D542" s="3" t="s">
        <v>399</v>
      </c>
      <c r="E542" s="3" t="s">
        <v>400</v>
      </c>
      <c r="G542" s="3"/>
      <c r="I542" s="3" t="s">
        <v>401</v>
      </c>
      <c r="K542" s="3"/>
      <c r="L542" s="1" t="s">
        <v>678</v>
      </c>
      <c r="O542" s="3" t="s">
        <v>184</v>
      </c>
      <c r="Q542" s="3"/>
      <c r="R542" s="3"/>
      <c r="T542" s="3"/>
      <c r="U542" s="5"/>
      <c r="W542" s="3"/>
      <c r="Z542" s="3"/>
      <c r="AA542" s="3"/>
      <c r="AC542" s="3"/>
      <c r="AD542" s="3"/>
      <c r="AF542" s="3"/>
      <c r="AG542" s="3" t="s">
        <v>1200</v>
      </c>
      <c r="AI542" s="3"/>
      <c r="AJ542" s="1">
        <v>46107</v>
      </c>
      <c r="AL542" s="3"/>
      <c r="AM542" s="1">
        <v>2</v>
      </c>
      <c r="AO542" s="3"/>
      <c r="AP542" s="3" t="s">
        <v>1676</v>
      </c>
      <c r="AR542" s="3"/>
      <c r="AS542" s="3" t="s">
        <v>1677</v>
      </c>
      <c r="AU542" s="3"/>
      <c r="AV542" s="3"/>
      <c r="AX542" s="3"/>
      <c r="AY542" s="5"/>
      <c r="BA542" s="3"/>
      <c r="BD542" s="3"/>
      <c r="BE542" s="3"/>
      <c r="BG542" s="3"/>
      <c r="BH542" s="3"/>
      <c r="BJ542" s="3"/>
      <c r="BK542" s="3"/>
      <c r="BM542" s="3"/>
      <c r="BN542" s="5"/>
      <c r="BP542" s="3"/>
      <c r="BS542" s="3"/>
      <c r="BT542" s="3"/>
      <c r="BV542" s="3"/>
      <c r="BW542" s="3"/>
      <c r="BY542" s="3"/>
      <c r="BZ542" s="3"/>
      <c r="CB542" s="3"/>
      <c r="CC542" s="5"/>
      <c r="CE542" s="3"/>
      <c r="CH542" s="3"/>
      <c r="CI542" s="3"/>
      <c r="CK542" s="3"/>
      <c r="CL542" s="3"/>
      <c r="CN542" s="3"/>
      <c r="CO542" s="3"/>
      <c r="CQ542" s="3"/>
      <c r="CR542" s="5"/>
      <c r="CT542" s="3"/>
      <c r="CW542" s="3"/>
      <c r="CX542" s="3"/>
      <c r="CZ542" s="3"/>
      <c r="DA542" s="3"/>
      <c r="DC542" s="3"/>
      <c r="DD542" s="3"/>
      <c r="DF542" s="3"/>
      <c r="DG542" s="5"/>
      <c r="DI542" s="3"/>
      <c r="DL542" s="3"/>
      <c r="DM542" s="3"/>
      <c r="DO542" s="3"/>
      <c r="DP542" s="3"/>
      <c r="DR542" s="3"/>
      <c r="DS542" s="1" t="str">
        <f>_xlfn.XLOOKUP(OfficeForms.Table[[#This Row],[Selecione a Categoria do Laboratório desta atividade prática:]],Planilha1!A:A,Planilha1!B:B)</f>
        <v>EMF-ISN</v>
      </c>
      <c r="DT542" s="1" t="str">
        <f>CONCATENATE(OfficeForms.Table[[#This Row],[Selecione seu Polo Laboratório de Atividades Presenciais:]],OfficeForms.Table[[#This Row],[CHAVE CONVERSÃO]])</f>
        <v>Itaboraí/RJEMF-ISN</v>
      </c>
      <c r="DU54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54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4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42" s="1" t="str">
        <f>_xlfn.XLOOKUP(OfficeForms.Table[[#This Row],[CHAVE LINK POLO]],'[1]Quadro Geral de Lotação'!$B:$B,'[1]Quadro Geral de Lotação'!$I:$I)</f>
        <v>Patricia da Silva Trasmontano</v>
      </c>
      <c r="DY542" s="1" t="str">
        <f>OfficeForms.Table[[#This Row],[Selecione a Ordem de Disciplina]]</f>
        <v>Ordem 2</v>
      </c>
    </row>
    <row r="543" spans="1:129" ht="34.15" customHeight="1">
      <c r="A543" s="1">
        <v>543</v>
      </c>
      <c r="B543" s="2">
        <v>46111.934618055602</v>
      </c>
      <c r="C543" s="2">
        <v>46111.938090277799</v>
      </c>
      <c r="D543" s="3" t="s">
        <v>273</v>
      </c>
      <c r="E543" s="3" t="s">
        <v>274</v>
      </c>
      <c r="G543" s="3"/>
      <c r="I543" s="3" t="s">
        <v>275</v>
      </c>
      <c r="K543" s="3"/>
      <c r="L543" s="1" t="s">
        <v>678</v>
      </c>
      <c r="O543" s="3" t="s">
        <v>133</v>
      </c>
      <c r="Q543" s="3"/>
      <c r="R543" s="3"/>
      <c r="T543" s="3"/>
      <c r="U543" s="5"/>
      <c r="W543" s="3"/>
      <c r="Z543" s="3"/>
      <c r="AA543" s="3"/>
      <c r="AC543" s="3"/>
      <c r="AD543" s="3"/>
      <c r="AF543" s="3"/>
      <c r="AG543" s="3"/>
      <c r="AI543" s="3"/>
      <c r="AJ543" s="1"/>
      <c r="AL543" s="3"/>
      <c r="AO543" s="3"/>
      <c r="AP543" s="3"/>
      <c r="AR543" s="3"/>
      <c r="AS543" s="3"/>
      <c r="AU543" s="3"/>
      <c r="AV543" s="3" t="s">
        <v>1678</v>
      </c>
      <c r="AX543" s="3"/>
      <c r="AY543" s="5">
        <v>46111</v>
      </c>
      <c r="BA543" s="3"/>
      <c r="BB543" s="1">
        <v>7</v>
      </c>
      <c r="BD543" s="3"/>
      <c r="BE543" s="3" t="s">
        <v>1679</v>
      </c>
      <c r="BG543" s="3"/>
      <c r="BH543" s="3" t="s">
        <v>1680</v>
      </c>
      <c r="BJ543" s="3"/>
      <c r="BK543" s="3"/>
      <c r="BM543" s="3"/>
      <c r="BN543" s="5"/>
      <c r="BP543" s="3"/>
      <c r="BS543" s="3"/>
      <c r="BT543" s="3"/>
      <c r="BV543" s="3"/>
      <c r="BW543" s="3"/>
      <c r="BY543" s="3"/>
      <c r="BZ543" s="3"/>
      <c r="CB543" s="3"/>
      <c r="CC543" s="5"/>
      <c r="CE543" s="3"/>
      <c r="CH543" s="3"/>
      <c r="CI543" s="3"/>
      <c r="CK543" s="3"/>
      <c r="CL543" s="3"/>
      <c r="CN543" s="3"/>
      <c r="CO543" s="3"/>
      <c r="CQ543" s="3"/>
      <c r="CR543" s="5"/>
      <c r="CT543" s="3"/>
      <c r="CW543" s="3"/>
      <c r="CX543" s="3"/>
      <c r="CZ543" s="3"/>
      <c r="DA543" s="3"/>
      <c r="DC543" s="3"/>
      <c r="DD543" s="3"/>
      <c r="DF543" s="3"/>
      <c r="DG543" s="5"/>
      <c r="DI543" s="3"/>
      <c r="DL543" s="3"/>
      <c r="DM543" s="3"/>
      <c r="DO543" s="3"/>
      <c r="DP543" s="3"/>
      <c r="DR543" s="3"/>
      <c r="DS543" s="1" t="str">
        <f>_xlfn.XLOOKUP(OfficeForms.Table[[#This Row],[Selecione a Categoria do Laboratório desta atividade prática:]],Planilha1!A:A,Planilha1!B:B)</f>
        <v>BFI</v>
      </c>
      <c r="DT543" s="1" t="str">
        <f>CONCATENATE(OfficeForms.Table[[#This Row],[Selecione seu Polo Laboratório de Atividades Presenciais:]],OfficeForms.Table[[#This Row],[CHAVE CONVERSÃO]])</f>
        <v>Porto Alegre/RS - Zona NorteBFI</v>
      </c>
      <c r="DU54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Preparação da pele para receber a maquiagem;Maquiagem social</v>
      </c>
      <c r="DV54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54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543" s="1" t="str">
        <f>_xlfn.XLOOKUP(OfficeForms.Table[[#This Row],[CHAVE LINK POLO]],'[1]Quadro Geral de Lotação'!$B:$B,'[1]Quadro Geral de Lotação'!$I:$I)</f>
        <v>Fabiano Johnson Duarte Bartmann</v>
      </c>
      <c r="DY543" s="1" t="str">
        <f>OfficeForms.Table[[#This Row],[Selecione a Ordem de Disciplina]]</f>
        <v>Ordem 2</v>
      </c>
    </row>
    <row r="544" spans="1:129" ht="34.15" customHeight="1">
      <c r="A544" s="1">
        <v>544</v>
      </c>
      <c r="B544" s="2">
        <v>46112.347546296303</v>
      </c>
      <c r="C544" s="2">
        <v>46112.348437499997</v>
      </c>
      <c r="D544" s="3" t="s">
        <v>221</v>
      </c>
      <c r="E544" s="3" t="s">
        <v>222</v>
      </c>
      <c r="G544" s="3"/>
      <c r="I544" s="3" t="s">
        <v>223</v>
      </c>
      <c r="K544" s="3"/>
      <c r="L544" s="1" t="s">
        <v>678</v>
      </c>
      <c r="O544" s="3" t="s">
        <v>184</v>
      </c>
      <c r="Q544" s="3"/>
      <c r="R544" s="3"/>
      <c r="T544" s="3"/>
      <c r="U544" s="5"/>
      <c r="W544" s="3"/>
      <c r="Z544" s="3"/>
      <c r="AA544" s="3"/>
      <c r="AC544" s="3"/>
      <c r="AD544" s="3"/>
      <c r="AF544" s="3"/>
      <c r="AG544" s="3" t="s">
        <v>211</v>
      </c>
      <c r="AI544" s="3"/>
      <c r="AJ544" s="1">
        <v>46111</v>
      </c>
      <c r="AL544" s="3"/>
      <c r="AM544" s="1">
        <v>0</v>
      </c>
      <c r="AO544" s="3"/>
      <c r="AP544" s="3" t="s">
        <v>1681</v>
      </c>
      <c r="AR544" s="3"/>
      <c r="AS544" s="3" t="s">
        <v>1682</v>
      </c>
      <c r="AU544" s="3"/>
      <c r="AV544" s="3"/>
      <c r="AX544" s="3"/>
      <c r="AY544" s="5"/>
      <c r="BA544" s="3"/>
      <c r="BD544" s="3"/>
      <c r="BE544" s="3"/>
      <c r="BG544" s="3"/>
      <c r="BH544" s="3"/>
      <c r="BJ544" s="3"/>
      <c r="BK544" s="3"/>
      <c r="BM544" s="3"/>
      <c r="BN544" s="5"/>
      <c r="BP544" s="3"/>
      <c r="BS544" s="3"/>
      <c r="BT544" s="3"/>
      <c r="BV544" s="3"/>
      <c r="BW544" s="3"/>
      <c r="BY544" s="3"/>
      <c r="BZ544" s="3"/>
      <c r="CB544" s="3"/>
      <c r="CC544" s="5"/>
      <c r="CE544" s="3"/>
      <c r="CH544" s="3"/>
      <c r="CI544" s="3"/>
      <c r="CK544" s="3"/>
      <c r="CL544" s="3"/>
      <c r="CN544" s="3"/>
      <c r="CO544" s="3"/>
      <c r="CQ544" s="3"/>
      <c r="CR544" s="5"/>
      <c r="CT544" s="3"/>
      <c r="CW544" s="3"/>
      <c r="CX544" s="3"/>
      <c r="CZ544" s="3"/>
      <c r="DA544" s="3"/>
      <c r="DC544" s="3"/>
      <c r="DD544" s="3"/>
      <c r="DF544" s="3"/>
      <c r="DG544" s="5"/>
      <c r="DI544" s="3"/>
      <c r="DL544" s="3"/>
      <c r="DM544" s="3"/>
      <c r="DO544" s="3"/>
      <c r="DP544" s="3"/>
      <c r="DR544" s="3"/>
      <c r="DS544" s="1" t="str">
        <f>_xlfn.XLOOKUP(OfficeForms.Table[[#This Row],[Selecione a Categoria do Laboratório desta atividade prática:]],Planilha1!A:A,Planilha1!B:B)</f>
        <v>EMF-ISN</v>
      </c>
      <c r="DT544" s="1" t="str">
        <f>CONCATENATE(OfficeForms.Table[[#This Row],[Selecione seu Polo Laboratório de Atividades Presenciais:]],OfficeForms.Table[[#This Row],[CHAVE CONVERSÃO]])</f>
        <v>Presidente Prudente/SP - Jardim GuanabaraEMF-ISN</v>
      </c>
      <c r="DU54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54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54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44" s="1" t="str">
        <f>_xlfn.XLOOKUP(OfficeForms.Table[[#This Row],[CHAVE LINK POLO]],'[1]Quadro Geral de Lotação'!$B:$B,'[1]Quadro Geral de Lotação'!$I:$I)</f>
        <v>Aquiles Gonzales De Andrade</v>
      </c>
      <c r="DY544" s="1" t="str">
        <f>OfficeForms.Table[[#This Row],[Selecione a Ordem de Disciplina]]</f>
        <v>Ordem 2</v>
      </c>
    </row>
    <row r="545" spans="1:129" ht="34.15" customHeight="1">
      <c r="A545" s="1">
        <v>545</v>
      </c>
      <c r="B545" s="2">
        <v>46112.348206018498</v>
      </c>
      <c r="C545" s="2">
        <v>46112.349849537</v>
      </c>
      <c r="D545" s="3" t="s">
        <v>543</v>
      </c>
      <c r="E545" s="3" t="s">
        <v>544</v>
      </c>
      <c r="G545" s="3"/>
      <c r="I545" s="3" t="s">
        <v>545</v>
      </c>
      <c r="K545" s="3"/>
      <c r="L545" s="1" t="s">
        <v>678</v>
      </c>
      <c r="O545" s="3" t="s">
        <v>140</v>
      </c>
      <c r="Q545" s="3"/>
      <c r="R545" s="3"/>
      <c r="T545" s="3"/>
      <c r="U545" s="5"/>
      <c r="W545" s="3"/>
      <c r="Z545" s="3"/>
      <c r="AA545" s="3"/>
      <c r="AC545" s="3"/>
      <c r="AD545" s="3"/>
      <c r="AF545" s="3"/>
      <c r="AG545" s="3"/>
      <c r="AI545" s="3"/>
      <c r="AJ545" s="1"/>
      <c r="AL545" s="3"/>
      <c r="AO545" s="3"/>
      <c r="AP545" s="3"/>
      <c r="AR545" s="3"/>
      <c r="AS545" s="3"/>
      <c r="AU545" s="3"/>
      <c r="AV545" s="3"/>
      <c r="AX545" s="3"/>
      <c r="AY545" s="5"/>
      <c r="BA545" s="3"/>
      <c r="BD545" s="3"/>
      <c r="BE545" s="3"/>
      <c r="BG545" s="3"/>
      <c r="BH545" s="3"/>
      <c r="BJ545" s="3"/>
      <c r="BK545" s="3"/>
      <c r="BM545" s="3"/>
      <c r="BN545" s="5"/>
      <c r="BP545" s="3"/>
      <c r="BS545" s="3"/>
      <c r="BT545" s="3"/>
      <c r="BV545" s="3"/>
      <c r="BW545" s="3"/>
      <c r="BY545" s="3"/>
      <c r="BZ545" s="3" t="s">
        <v>144</v>
      </c>
      <c r="CB545" s="3"/>
      <c r="CC545" s="5">
        <v>46105</v>
      </c>
      <c r="CE545" s="3"/>
      <c r="CF545" s="1">
        <v>1</v>
      </c>
      <c r="CH545" s="3"/>
      <c r="CI545" s="3" t="s">
        <v>1683</v>
      </c>
      <c r="CK545" s="3"/>
      <c r="CL545" s="3" t="s">
        <v>1684</v>
      </c>
      <c r="CN545" s="3"/>
      <c r="CO545" s="3"/>
      <c r="CQ545" s="3"/>
      <c r="CR545" s="5"/>
      <c r="CT545" s="3"/>
      <c r="CW545" s="3"/>
      <c r="CX545" s="3"/>
      <c r="CZ545" s="3"/>
      <c r="DA545" s="3"/>
      <c r="DC545" s="3"/>
      <c r="DD545" s="3"/>
      <c r="DF545" s="3"/>
      <c r="DG545" s="5"/>
      <c r="DI545" s="3"/>
      <c r="DL545" s="3"/>
      <c r="DM545" s="3"/>
      <c r="DO545" s="3"/>
      <c r="DP545" s="3"/>
      <c r="DR545" s="3"/>
      <c r="DS545" s="1" t="str">
        <f>_xlfn.XLOOKUP(OfficeForms.Table[[#This Row],[Selecione a Categoria do Laboratório desta atividade prática:]],Planilha1!A:A,Planilha1!B:B)</f>
        <v>ECE-ENM-ENS-ENG-EEA-GPI-CDE-OBR-SAN-TER-FSA-SLF-QUI</v>
      </c>
      <c r="DT545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54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Associação De Resistores Em Série e Paralelo</v>
      </c>
      <c r="DV54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54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45" s="1" t="e">
        <f>_xlfn.XLOOKUP(OfficeForms.Table[[#This Row],[CHAVE LINK POLO]],'[1]Quadro Geral de Lotação'!$B:$B,'[1]Quadro Geral de Lotação'!$I:$I)</f>
        <v>#N/A</v>
      </c>
      <c r="DY545" s="1" t="str">
        <f>OfficeForms.Table[[#This Row],[Selecione a Ordem de Disciplina]]</f>
        <v>Ordem 2</v>
      </c>
    </row>
    <row r="546" spans="1:129" ht="34.15" customHeight="1">
      <c r="A546" s="1">
        <v>546</v>
      </c>
      <c r="B546" s="2">
        <v>46112.348194444399</v>
      </c>
      <c r="C546" s="2">
        <v>46112.350902777798</v>
      </c>
      <c r="D546" s="3" t="s">
        <v>543</v>
      </c>
      <c r="E546" s="3" t="s">
        <v>544</v>
      </c>
      <c r="G546" s="3"/>
      <c r="I546" s="3" t="s">
        <v>545</v>
      </c>
      <c r="K546" s="3"/>
      <c r="L546" s="1" t="s">
        <v>678</v>
      </c>
      <c r="O546" s="3" t="s">
        <v>140</v>
      </c>
      <c r="Q546" s="3"/>
      <c r="R546" s="3"/>
      <c r="T546" s="3"/>
      <c r="U546" s="5"/>
      <c r="W546" s="3"/>
      <c r="Z546" s="3"/>
      <c r="AA546" s="3"/>
      <c r="AC546" s="3"/>
      <c r="AD546" s="3"/>
      <c r="AF546" s="3"/>
      <c r="AG546" s="3"/>
      <c r="AI546" s="3"/>
      <c r="AJ546" s="1"/>
      <c r="AL546" s="3"/>
      <c r="AO546" s="3"/>
      <c r="AP546" s="3"/>
      <c r="AR546" s="3"/>
      <c r="AS546" s="3"/>
      <c r="AU546" s="3"/>
      <c r="AV546" s="3"/>
      <c r="AX546" s="3"/>
      <c r="AY546" s="5"/>
      <c r="BA546" s="3"/>
      <c r="BD546" s="3"/>
      <c r="BE546" s="3"/>
      <c r="BG546" s="3"/>
      <c r="BH546" s="3"/>
      <c r="BJ546" s="3"/>
      <c r="BK546" s="3"/>
      <c r="BM546" s="3"/>
      <c r="BN546" s="5"/>
      <c r="BP546" s="3"/>
      <c r="BS546" s="3"/>
      <c r="BT546" s="3"/>
      <c r="BV546" s="3"/>
      <c r="BW546" s="3"/>
      <c r="BY546" s="3"/>
      <c r="BZ546" s="3" t="s">
        <v>144</v>
      </c>
      <c r="CB546" s="3"/>
      <c r="CC546" s="5">
        <v>46105</v>
      </c>
      <c r="CE546" s="3"/>
      <c r="CF546" s="1">
        <v>1</v>
      </c>
      <c r="CH546" s="3"/>
      <c r="CI546" s="3" t="s">
        <v>1685</v>
      </c>
      <c r="CK546" s="3"/>
      <c r="CL546" s="3" t="s">
        <v>1686</v>
      </c>
      <c r="CN546" s="3"/>
      <c r="CO546" s="3"/>
      <c r="CQ546" s="3"/>
      <c r="CR546" s="5"/>
      <c r="CT546" s="3"/>
      <c r="CW546" s="3"/>
      <c r="CX546" s="3"/>
      <c r="CZ546" s="3"/>
      <c r="DA546" s="3"/>
      <c r="DC546" s="3"/>
      <c r="DD546" s="3"/>
      <c r="DF546" s="3"/>
      <c r="DG546" s="5"/>
      <c r="DI546" s="3"/>
      <c r="DL546" s="3"/>
      <c r="DM546" s="3"/>
      <c r="DO546" s="3"/>
      <c r="DP546" s="3"/>
      <c r="DR546" s="3"/>
      <c r="DS546" s="1" t="str">
        <f>_xlfn.XLOOKUP(OfficeForms.Table[[#This Row],[Selecione a Categoria do Laboratório desta atividade prática:]],Planilha1!A:A,Planilha1!B:B)</f>
        <v>ECE-ENM-ENS-ENG-EEA-GPI-CDE-OBR-SAN-TER-FSA-SLF-QUI</v>
      </c>
      <c r="DT546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54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Associação De Resistores Em Série e Paralelo</v>
      </c>
      <c r="DV54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54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46" s="1" t="e">
        <f>_xlfn.XLOOKUP(OfficeForms.Table[[#This Row],[CHAVE LINK POLO]],'[1]Quadro Geral de Lotação'!$B:$B,'[1]Quadro Geral de Lotação'!$I:$I)</f>
        <v>#N/A</v>
      </c>
      <c r="DY546" s="1" t="str">
        <f>OfficeForms.Table[[#This Row],[Selecione a Ordem de Disciplina]]</f>
        <v>Ordem 2</v>
      </c>
    </row>
    <row r="547" spans="1:129" ht="34.15" customHeight="1">
      <c r="A547" s="1">
        <v>547</v>
      </c>
      <c r="B547" s="2">
        <v>46112.364814814799</v>
      </c>
      <c r="C547" s="2">
        <v>46112.366967592599</v>
      </c>
      <c r="D547" s="3" t="s">
        <v>543</v>
      </c>
      <c r="E547" s="3" t="s">
        <v>544</v>
      </c>
      <c r="G547" s="3"/>
      <c r="I547" s="3" t="s">
        <v>545</v>
      </c>
      <c r="K547" s="3"/>
      <c r="L547" s="1" t="s">
        <v>678</v>
      </c>
      <c r="O547" s="3" t="s">
        <v>140</v>
      </c>
      <c r="Q547" s="3"/>
      <c r="R547" s="3"/>
      <c r="T547" s="3"/>
      <c r="U547" s="5"/>
      <c r="W547" s="3"/>
      <c r="Z547" s="3"/>
      <c r="AA547" s="3"/>
      <c r="AC547" s="3"/>
      <c r="AD547" s="3"/>
      <c r="AF547" s="3"/>
      <c r="AG547" s="3"/>
      <c r="AI547" s="3"/>
      <c r="AJ547" s="1"/>
      <c r="AL547" s="3"/>
      <c r="AO547" s="3"/>
      <c r="AP547" s="3"/>
      <c r="AR547" s="3"/>
      <c r="AS547" s="3"/>
      <c r="AU547" s="3"/>
      <c r="AV547" s="3"/>
      <c r="AX547" s="3"/>
      <c r="AY547" s="5"/>
      <c r="BA547" s="3"/>
      <c r="BD547" s="3"/>
      <c r="BE547" s="3"/>
      <c r="BG547" s="3"/>
      <c r="BH547" s="3"/>
      <c r="BJ547" s="3"/>
      <c r="BK547" s="3"/>
      <c r="BM547" s="3"/>
      <c r="BN547" s="5"/>
      <c r="BP547" s="3"/>
      <c r="BS547" s="3"/>
      <c r="BT547" s="3"/>
      <c r="BV547" s="3"/>
      <c r="BW547" s="3"/>
      <c r="BY547" s="3"/>
      <c r="BZ547" s="3" t="s">
        <v>1687</v>
      </c>
      <c r="CB547" s="3"/>
      <c r="CC547" s="5">
        <v>46111</v>
      </c>
      <c r="CE547" s="3"/>
      <c r="CF547" s="1">
        <v>4</v>
      </c>
      <c r="CH547" s="3"/>
      <c r="CI547" s="3" t="s">
        <v>1688</v>
      </c>
      <c r="CK547" s="3"/>
      <c r="CL547" s="3" t="s">
        <v>1689</v>
      </c>
      <c r="CN547" s="3"/>
      <c r="CO547" s="3"/>
      <c r="CQ547" s="3"/>
      <c r="CR547" s="5"/>
      <c r="CT547" s="3"/>
      <c r="CW547" s="3"/>
      <c r="CX547" s="3"/>
      <c r="CZ547" s="3"/>
      <c r="DA547" s="3"/>
      <c r="DC547" s="3"/>
      <c r="DD547" s="3"/>
      <c r="DF547" s="3"/>
      <c r="DG547" s="5"/>
      <c r="DI547" s="3"/>
      <c r="DL547" s="3"/>
      <c r="DM547" s="3"/>
      <c r="DO547" s="3"/>
      <c r="DP547" s="3"/>
      <c r="DR547" s="3"/>
      <c r="DS547" s="1" t="str">
        <f>_xlfn.XLOOKUP(OfficeForms.Table[[#This Row],[Selecione a Categoria do Laboratório desta atividade prática:]],Planilha1!A:A,Planilha1!B:B)</f>
        <v>ECE-ENM-ENS-ENG-EEA-GPI-CDE-OBR-SAN-TER-FSA-SLF-QUI</v>
      </c>
      <c r="DT547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54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Determinação Do Calor Especifíco De Líquidos E Sólidos</v>
      </c>
      <c r="DV54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54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47" s="1" t="e">
        <f>_xlfn.XLOOKUP(OfficeForms.Table[[#This Row],[CHAVE LINK POLO]],'[1]Quadro Geral de Lotação'!$B:$B,'[1]Quadro Geral de Lotação'!$I:$I)</f>
        <v>#N/A</v>
      </c>
      <c r="DY547" s="1" t="str">
        <f>OfficeForms.Table[[#This Row],[Selecione a Ordem de Disciplina]]</f>
        <v>Ordem 2</v>
      </c>
    </row>
    <row r="548" spans="1:129" ht="34.15" customHeight="1">
      <c r="A548" s="1">
        <v>548</v>
      </c>
      <c r="B548" s="2">
        <v>46112.433472222197</v>
      </c>
      <c r="C548" s="2">
        <v>46112.4370023148</v>
      </c>
      <c r="D548" s="3" t="s">
        <v>339</v>
      </c>
      <c r="E548" s="3" t="s">
        <v>340</v>
      </c>
      <c r="G548" s="3"/>
      <c r="I548" s="3" t="s">
        <v>162</v>
      </c>
      <c r="K548" s="3"/>
      <c r="L548" s="1" t="s">
        <v>678</v>
      </c>
      <c r="O548" s="3" t="s">
        <v>177</v>
      </c>
      <c r="Q548" s="3"/>
      <c r="R548" s="3"/>
      <c r="T548" s="3"/>
      <c r="U548" s="5"/>
      <c r="W548" s="3"/>
      <c r="Z548" s="3"/>
      <c r="AA548" s="3"/>
      <c r="AC548" s="3"/>
      <c r="AD548" s="3"/>
      <c r="AF548" s="3"/>
      <c r="AG548" s="3"/>
      <c r="AI548" s="3"/>
      <c r="AJ548" s="1"/>
      <c r="AL548" s="3"/>
      <c r="AO548" s="3"/>
      <c r="AP548" s="3"/>
      <c r="AR548" s="3"/>
      <c r="AS548" s="3"/>
      <c r="AU548" s="3"/>
      <c r="AV548" s="3"/>
      <c r="AX548" s="3"/>
      <c r="AY548" s="5"/>
      <c r="BA548" s="3"/>
      <c r="BD548" s="3"/>
      <c r="BE548" s="3"/>
      <c r="BG548" s="3"/>
      <c r="BH548" s="3"/>
      <c r="BJ548" s="3"/>
      <c r="BK548" s="3"/>
      <c r="BM548" s="3"/>
      <c r="BN548" s="5"/>
      <c r="BP548" s="3"/>
      <c r="BS548" s="3"/>
      <c r="BT548" s="3"/>
      <c r="BV548" s="3"/>
      <c r="BW548" s="3"/>
      <c r="BY548" s="3"/>
      <c r="BZ548" s="3"/>
      <c r="CB548" s="3"/>
      <c r="CC548" s="5"/>
      <c r="CE548" s="3"/>
      <c r="CH548" s="3"/>
      <c r="CI548" s="3"/>
      <c r="CK548" s="3"/>
      <c r="CL548" s="3"/>
      <c r="CN548" s="3"/>
      <c r="CO548" s="3"/>
      <c r="CQ548" s="3"/>
      <c r="CR548" s="5"/>
      <c r="CT548" s="3"/>
      <c r="CW548" s="3"/>
      <c r="CX548" s="3"/>
      <c r="CZ548" s="3"/>
      <c r="DA548" s="3"/>
      <c r="DC548" s="3"/>
      <c r="DD548" s="3" t="s">
        <v>1160</v>
      </c>
      <c r="DF548" s="3"/>
      <c r="DG548" s="5">
        <v>46107</v>
      </c>
      <c r="DI548" s="3"/>
      <c r="DJ548" s="1">
        <v>0</v>
      </c>
      <c r="DL548" s="3"/>
      <c r="DM548" s="3" t="s">
        <v>1690</v>
      </c>
      <c r="DO548" s="3"/>
      <c r="DP548" s="3" t="s">
        <v>1691</v>
      </c>
      <c r="DR548" s="3"/>
      <c r="DS548" s="1" t="str">
        <f>_xlfn.XLOOKUP(OfficeForms.Table[[#This Row],[Selecione a Categoria do Laboratório desta atividade prática:]],Planilha1!A:A,Planilha1!B:B)</f>
        <v>AGM</v>
      </c>
      <c r="DT548" s="1" t="str">
        <f>CONCATENATE(OfficeForms.Table[[#This Row],[Selecione seu Polo Laboratório de Atividades Presenciais:]],OfficeForms.Table[[#This Row],[CHAVE CONVERSÃO]])</f>
        <v>Florianópolis/SC - CentroAGM</v>
      </c>
      <c r="DU54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Identificação de plantas daninhas de interesse agronômico</v>
      </c>
      <c r="DV54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4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48" s="1" t="str">
        <f>_xlfn.XLOOKUP(OfficeForms.Table[[#This Row],[CHAVE LINK POLO]],'[1]Quadro Geral de Lotação'!$B:$B,'[1]Quadro Geral de Lotação'!$I:$I)</f>
        <v>Michelle Barros Pantoja</v>
      </c>
      <c r="DY548" s="1" t="str">
        <f>OfficeForms.Table[[#This Row],[Selecione a Ordem de Disciplina]]</f>
        <v>Ordem 2</v>
      </c>
    </row>
    <row r="549" spans="1:129" ht="34.15" customHeight="1">
      <c r="A549" s="1">
        <v>549</v>
      </c>
      <c r="B549" s="2">
        <v>46112.620590277802</v>
      </c>
      <c r="C549" s="2">
        <v>46112.622719907398</v>
      </c>
      <c r="D549" s="3" t="s">
        <v>429</v>
      </c>
      <c r="E549" s="3" t="s">
        <v>430</v>
      </c>
      <c r="G549" s="3"/>
      <c r="I549" s="3" t="s">
        <v>431</v>
      </c>
      <c r="K549" s="3"/>
      <c r="L549" s="1" t="s">
        <v>678</v>
      </c>
      <c r="O549" s="3" t="s">
        <v>184</v>
      </c>
      <c r="Q549" s="3"/>
      <c r="R549" s="3"/>
      <c r="T549" s="3"/>
      <c r="U549" s="5"/>
      <c r="W549" s="3"/>
      <c r="Z549" s="3"/>
      <c r="AA549" s="3"/>
      <c r="AC549" s="3"/>
      <c r="AD549" s="3"/>
      <c r="AF549" s="3"/>
      <c r="AG549" s="3" t="s">
        <v>1013</v>
      </c>
      <c r="AI549" s="3"/>
      <c r="AJ549" s="1">
        <v>46106</v>
      </c>
      <c r="AL549" s="3"/>
      <c r="AM549" s="1">
        <v>2</v>
      </c>
      <c r="AO549" s="3"/>
      <c r="AP549" s="3" t="s">
        <v>1692</v>
      </c>
      <c r="AR549" s="3"/>
      <c r="AS549" s="3" t="s">
        <v>1693</v>
      </c>
      <c r="AU549" s="3"/>
      <c r="AV549" s="3"/>
      <c r="AX549" s="3"/>
      <c r="AY549" s="5"/>
      <c r="BA549" s="3"/>
      <c r="BD549" s="3"/>
      <c r="BE549" s="3"/>
      <c r="BG549" s="3"/>
      <c r="BH549" s="3"/>
      <c r="BJ549" s="3"/>
      <c r="BK549" s="3"/>
      <c r="BM549" s="3"/>
      <c r="BN549" s="5"/>
      <c r="BP549" s="3"/>
      <c r="BS549" s="3"/>
      <c r="BT549" s="3"/>
      <c r="BV549" s="3"/>
      <c r="BW549" s="3"/>
      <c r="BY549" s="3"/>
      <c r="BZ549" s="3"/>
      <c r="CB549" s="3"/>
      <c r="CC549" s="5"/>
      <c r="CE549" s="3"/>
      <c r="CH549" s="3"/>
      <c r="CI549" s="3"/>
      <c r="CK549" s="3"/>
      <c r="CL549" s="3"/>
      <c r="CN549" s="3"/>
      <c r="CO549" s="3"/>
      <c r="CQ549" s="3"/>
      <c r="CR549" s="5"/>
      <c r="CT549" s="3"/>
      <c r="CW549" s="3"/>
      <c r="CX549" s="3"/>
      <c r="CZ549" s="3"/>
      <c r="DA549" s="3"/>
      <c r="DC549" s="3"/>
      <c r="DD549" s="3"/>
      <c r="DF549" s="3"/>
      <c r="DG549" s="5"/>
      <c r="DI549" s="3"/>
      <c r="DL549" s="3"/>
      <c r="DM549" s="3"/>
      <c r="DO549" s="3"/>
      <c r="DP549" s="3"/>
      <c r="DR549" s="3"/>
      <c r="DS549" s="1" t="str">
        <f>_xlfn.XLOOKUP(OfficeForms.Table[[#This Row],[Selecione a Categoria do Laboratório desta atividade prática:]],Planilha1!A:A,Planilha1!B:B)</f>
        <v>EMF-ISN</v>
      </c>
      <c r="DT549" s="1" t="str">
        <f>CONCATENATE(OfficeForms.Table[[#This Row],[Selecione seu Polo Laboratório de Atividades Presenciais:]],OfficeForms.Table[[#This Row],[CHAVE CONVERSÃO]])</f>
        <v>Assú/RNEMF-ISN</v>
      </c>
      <c r="DU54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54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54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49" s="1" t="str">
        <f>_xlfn.XLOOKUP(OfficeForms.Table[[#This Row],[CHAVE LINK POLO]],'[1]Quadro Geral de Lotação'!$B:$B,'[1]Quadro Geral de Lotação'!$I:$I)</f>
        <v>Romulo Freire Pinto</v>
      </c>
      <c r="DY549" s="1" t="str">
        <f>OfficeForms.Table[[#This Row],[Selecione a Ordem de Disciplina]]</f>
        <v>Ordem 2</v>
      </c>
    </row>
    <row r="550" spans="1:129" ht="34.15" customHeight="1">
      <c r="A550" s="1">
        <v>550</v>
      </c>
      <c r="B550" s="2">
        <v>46112.6648263889</v>
      </c>
      <c r="C550" s="2">
        <v>46112.675543981502</v>
      </c>
      <c r="D550" s="3" t="s">
        <v>882</v>
      </c>
      <c r="E550" s="3" t="s">
        <v>883</v>
      </c>
      <c r="G550" s="3"/>
      <c r="I550" s="3" t="s">
        <v>884</v>
      </c>
      <c r="K550" s="3"/>
      <c r="L550" s="1" t="s">
        <v>678</v>
      </c>
      <c r="O550" s="3" t="s">
        <v>184</v>
      </c>
      <c r="Q550" s="3"/>
      <c r="R550" s="3"/>
      <c r="T550" s="3"/>
      <c r="U550" s="5"/>
      <c r="W550" s="3"/>
      <c r="Z550" s="3"/>
      <c r="AA550" s="3"/>
      <c r="AC550" s="3"/>
      <c r="AD550" s="3"/>
      <c r="AF550" s="3"/>
      <c r="AG550" s="3" t="s">
        <v>1013</v>
      </c>
      <c r="AI550" s="3"/>
      <c r="AJ550" s="1">
        <v>46112</v>
      </c>
      <c r="AL550" s="3"/>
      <c r="AM550" s="1">
        <v>0</v>
      </c>
      <c r="AO550" s="3"/>
      <c r="AP550" s="3" t="s">
        <v>1694</v>
      </c>
      <c r="AR550" s="3"/>
      <c r="AS550" s="3" t="s">
        <v>1695</v>
      </c>
      <c r="AU550" s="3"/>
      <c r="AV550" s="3"/>
      <c r="AX550" s="3"/>
      <c r="AY550" s="5"/>
      <c r="BA550" s="3"/>
      <c r="BD550" s="3"/>
      <c r="BE550" s="3"/>
      <c r="BG550" s="3"/>
      <c r="BH550" s="3"/>
      <c r="BJ550" s="3"/>
      <c r="BK550" s="3"/>
      <c r="BM550" s="3"/>
      <c r="BN550" s="5"/>
      <c r="BP550" s="3"/>
      <c r="BS550" s="3"/>
      <c r="BT550" s="3"/>
      <c r="BV550" s="3"/>
      <c r="BW550" s="3"/>
      <c r="BY550" s="3"/>
      <c r="BZ550" s="3"/>
      <c r="CB550" s="3"/>
      <c r="CC550" s="5"/>
      <c r="CE550" s="3"/>
      <c r="CH550" s="3"/>
      <c r="CI550" s="3"/>
      <c r="CK550" s="3"/>
      <c r="CL550" s="3"/>
      <c r="CN550" s="3"/>
      <c r="CO550" s="3"/>
      <c r="CQ550" s="3"/>
      <c r="CR550" s="5"/>
      <c r="CT550" s="3"/>
      <c r="CW550" s="3"/>
      <c r="CX550" s="3"/>
      <c r="CZ550" s="3"/>
      <c r="DA550" s="3"/>
      <c r="DC550" s="3"/>
      <c r="DD550" s="3"/>
      <c r="DF550" s="3"/>
      <c r="DG550" s="5"/>
      <c r="DI550" s="3"/>
      <c r="DL550" s="3"/>
      <c r="DM550" s="3"/>
      <c r="DO550" s="3"/>
      <c r="DP550" s="3"/>
      <c r="DR550" s="3"/>
      <c r="DS550" s="1" t="str">
        <f>_xlfn.XLOOKUP(OfficeForms.Table[[#This Row],[Selecione a Categoria do Laboratório desta atividade prática:]],Planilha1!A:A,Planilha1!B:B)</f>
        <v>EMF-ISN</v>
      </c>
      <c r="DT550" s="1" t="str">
        <f>CONCATENATE(OfficeForms.Table[[#This Row],[Selecione seu Polo Laboratório de Atividades Presenciais:]],OfficeForms.Table[[#This Row],[CHAVE CONVERSÃO]])</f>
        <v>Juazeiro/BAEMF-ISN</v>
      </c>
      <c r="DU55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55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55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50" s="1" t="str">
        <f>_xlfn.XLOOKUP(OfficeForms.Table[[#This Row],[CHAVE LINK POLO]],'[1]Quadro Geral de Lotação'!$B:$B,'[1]Quadro Geral de Lotação'!$I:$I)</f>
        <v>Rafaela Carla Da Silva Hilariao</v>
      </c>
      <c r="DY550" s="1" t="str">
        <f>OfficeForms.Table[[#This Row],[Selecione a Ordem de Disciplina]]</f>
        <v>Ordem 2</v>
      </c>
    </row>
    <row r="551" spans="1:129" ht="34.15" customHeight="1">
      <c r="A551" s="1">
        <v>551</v>
      </c>
      <c r="B551" s="2">
        <v>46112.680416666699</v>
      </c>
      <c r="C551" s="2">
        <v>46112.685196759303</v>
      </c>
      <c r="D551" s="3" t="s">
        <v>882</v>
      </c>
      <c r="E551" s="3" t="s">
        <v>883</v>
      </c>
      <c r="G551" s="3"/>
      <c r="I551" s="3" t="s">
        <v>884</v>
      </c>
      <c r="K551" s="3"/>
      <c r="L551" s="1" t="s">
        <v>678</v>
      </c>
      <c r="O551" s="3" t="s">
        <v>184</v>
      </c>
      <c r="Q551" s="3"/>
      <c r="R551" s="3"/>
      <c r="T551" s="3"/>
      <c r="U551" s="5"/>
      <c r="W551" s="3"/>
      <c r="Z551" s="3"/>
      <c r="AA551" s="3"/>
      <c r="AC551" s="3"/>
      <c r="AD551" s="3"/>
      <c r="AF551" s="3"/>
      <c r="AG551" s="3" t="s">
        <v>1278</v>
      </c>
      <c r="AI551" s="3"/>
      <c r="AJ551" s="1">
        <v>46111</v>
      </c>
      <c r="AL551" s="3"/>
      <c r="AM551" s="1">
        <v>1</v>
      </c>
      <c r="AO551" s="3"/>
      <c r="AP551" s="3" t="s">
        <v>1696</v>
      </c>
      <c r="AR551" s="3"/>
      <c r="AS551" s="3" t="s">
        <v>1697</v>
      </c>
      <c r="AU551" s="3"/>
      <c r="AV551" s="3"/>
      <c r="AX551" s="3"/>
      <c r="AY551" s="5"/>
      <c r="BA551" s="3"/>
      <c r="BD551" s="3"/>
      <c r="BE551" s="3"/>
      <c r="BG551" s="3"/>
      <c r="BH551" s="3"/>
      <c r="BJ551" s="3"/>
      <c r="BK551" s="3"/>
      <c r="BM551" s="3"/>
      <c r="BN551" s="5"/>
      <c r="BP551" s="3"/>
      <c r="BS551" s="3"/>
      <c r="BT551" s="3"/>
      <c r="BV551" s="3"/>
      <c r="BW551" s="3"/>
      <c r="BY551" s="3"/>
      <c r="BZ551" s="3"/>
      <c r="CB551" s="3"/>
      <c r="CC551" s="5"/>
      <c r="CE551" s="3"/>
      <c r="CH551" s="3"/>
      <c r="CI551" s="3"/>
      <c r="CK551" s="3"/>
      <c r="CL551" s="3"/>
      <c r="CN551" s="3"/>
      <c r="CO551" s="3"/>
      <c r="CQ551" s="3"/>
      <c r="CR551" s="5"/>
      <c r="CT551" s="3"/>
      <c r="CW551" s="3"/>
      <c r="CX551" s="3"/>
      <c r="CZ551" s="3"/>
      <c r="DA551" s="3"/>
      <c r="DC551" s="3"/>
      <c r="DD551" s="3"/>
      <c r="DF551" s="3"/>
      <c r="DG551" s="5"/>
      <c r="DI551" s="3"/>
      <c r="DL551" s="3"/>
      <c r="DM551" s="3"/>
      <c r="DO551" s="3"/>
      <c r="DP551" s="3"/>
      <c r="DR551" s="3"/>
      <c r="DS551" s="1" t="str">
        <f>_xlfn.XLOOKUP(OfficeForms.Table[[#This Row],[Selecione a Categoria do Laboratório desta atividade prática:]],Planilha1!A:A,Planilha1!B:B)</f>
        <v>EMF-ISN</v>
      </c>
      <c r="DT551" s="1" t="str">
        <f>CONCATENATE(OfficeForms.Table[[#This Row],[Selecione seu Polo Laboratório de Atividades Presenciais:]],OfficeForms.Table[[#This Row],[CHAVE CONVERSÃO]])</f>
        <v>Juazeiro/BAEMF-ISN</v>
      </c>
      <c r="DU55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55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55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51" s="1" t="str">
        <f>_xlfn.XLOOKUP(OfficeForms.Table[[#This Row],[CHAVE LINK POLO]],'[1]Quadro Geral de Lotação'!$B:$B,'[1]Quadro Geral de Lotação'!$I:$I)</f>
        <v>Rafaela Carla Da Silva Hilariao</v>
      </c>
      <c r="DY551" s="1" t="str">
        <f>OfficeForms.Table[[#This Row],[Selecione a Ordem de Disciplina]]</f>
        <v>Ordem 2</v>
      </c>
    </row>
    <row r="552" spans="1:129" ht="34.15" customHeight="1">
      <c r="A552" s="1">
        <v>552</v>
      </c>
      <c r="B552" s="2">
        <v>46112.685324074097</v>
      </c>
      <c r="C552" s="2">
        <v>46112.688159722202</v>
      </c>
      <c r="D552" s="3" t="s">
        <v>882</v>
      </c>
      <c r="E552" s="3" t="s">
        <v>883</v>
      </c>
      <c r="G552" s="3"/>
      <c r="I552" s="3" t="s">
        <v>884</v>
      </c>
      <c r="K552" s="3"/>
      <c r="L552" s="1" t="s">
        <v>678</v>
      </c>
      <c r="O552" s="3" t="s">
        <v>184</v>
      </c>
      <c r="Q552" s="3"/>
      <c r="R552" s="3"/>
      <c r="T552" s="3"/>
      <c r="U552" s="5"/>
      <c r="W552" s="3"/>
      <c r="Z552" s="3"/>
      <c r="AA552" s="3"/>
      <c r="AC552" s="3"/>
      <c r="AD552" s="3"/>
      <c r="AF552" s="3"/>
      <c r="AG552" s="3" t="s">
        <v>1105</v>
      </c>
      <c r="AI552" s="3"/>
      <c r="AJ552" s="1">
        <v>46111</v>
      </c>
      <c r="AL552" s="3"/>
      <c r="AM552" s="1">
        <v>1</v>
      </c>
      <c r="AO552" s="3"/>
      <c r="AP552" s="3" t="s">
        <v>1698</v>
      </c>
      <c r="AR552" s="3"/>
      <c r="AS552" s="3" t="s">
        <v>1699</v>
      </c>
      <c r="AU552" s="3"/>
      <c r="AV552" s="3"/>
      <c r="AX552" s="3"/>
      <c r="AY552" s="5"/>
      <c r="BA552" s="3"/>
      <c r="BD552" s="3"/>
      <c r="BE552" s="3"/>
      <c r="BG552" s="3"/>
      <c r="BH552" s="3"/>
      <c r="BJ552" s="3"/>
      <c r="BK552" s="3"/>
      <c r="BM552" s="3"/>
      <c r="BN552" s="5"/>
      <c r="BP552" s="3"/>
      <c r="BS552" s="3"/>
      <c r="BT552" s="3"/>
      <c r="BV552" s="3"/>
      <c r="BW552" s="3"/>
      <c r="BY552" s="3"/>
      <c r="BZ552" s="3"/>
      <c r="CB552" s="3"/>
      <c r="CC552" s="5"/>
      <c r="CE552" s="3"/>
      <c r="CH552" s="3"/>
      <c r="CI552" s="3"/>
      <c r="CK552" s="3"/>
      <c r="CL552" s="3"/>
      <c r="CN552" s="3"/>
      <c r="CO552" s="3"/>
      <c r="CQ552" s="3"/>
      <c r="CR552" s="5"/>
      <c r="CT552" s="3"/>
      <c r="CW552" s="3"/>
      <c r="CX552" s="3"/>
      <c r="CZ552" s="3"/>
      <c r="DA552" s="3"/>
      <c r="DC552" s="3"/>
      <c r="DD552" s="3"/>
      <c r="DF552" s="3"/>
      <c r="DG552" s="5"/>
      <c r="DI552" s="3"/>
      <c r="DL552" s="3"/>
      <c r="DM552" s="3"/>
      <c r="DO552" s="3"/>
      <c r="DP552" s="3"/>
      <c r="DR552" s="3"/>
      <c r="DS552" s="1" t="str">
        <f>_xlfn.XLOOKUP(OfficeForms.Table[[#This Row],[Selecione a Categoria do Laboratório desta atividade prática:]],Planilha1!A:A,Planilha1!B:B)</f>
        <v>EMF-ISN</v>
      </c>
      <c r="DT552" s="1" t="str">
        <f>CONCATENATE(OfficeForms.Table[[#This Row],[Selecione seu Polo Laboratório de Atividades Presenciais:]],OfficeForms.Table[[#This Row],[CHAVE CONVERSÃO]])</f>
        <v>Juazeiro/BAEMF-ISN</v>
      </c>
      <c r="DU55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55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55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52" s="1" t="str">
        <f>_xlfn.XLOOKUP(OfficeForms.Table[[#This Row],[CHAVE LINK POLO]],'[1]Quadro Geral de Lotação'!$B:$B,'[1]Quadro Geral de Lotação'!$I:$I)</f>
        <v>Rafaela Carla Da Silva Hilariao</v>
      </c>
      <c r="DY552" s="1" t="str">
        <f>OfficeForms.Table[[#This Row],[Selecione a Ordem de Disciplina]]</f>
        <v>Ordem 2</v>
      </c>
    </row>
    <row r="553" spans="1:129" ht="34.15" customHeight="1">
      <c r="A553" s="1">
        <v>553</v>
      </c>
      <c r="B553" s="2">
        <v>46112.6963888889</v>
      </c>
      <c r="C553" s="2">
        <v>46112.699849536999</v>
      </c>
      <c r="D553" s="3" t="s">
        <v>882</v>
      </c>
      <c r="E553" s="3" t="s">
        <v>883</v>
      </c>
      <c r="G553" s="3"/>
      <c r="I553" s="3" t="s">
        <v>884</v>
      </c>
      <c r="K553" s="3"/>
      <c r="L553" s="1" t="s">
        <v>678</v>
      </c>
      <c r="O553" s="3" t="s">
        <v>184</v>
      </c>
      <c r="Q553" s="3"/>
      <c r="R553" s="3"/>
      <c r="T553" s="3"/>
      <c r="U553" s="5"/>
      <c r="W553" s="3"/>
      <c r="Z553" s="3"/>
      <c r="AA553" s="3"/>
      <c r="AC553" s="3"/>
      <c r="AD553" s="3"/>
      <c r="AF553" s="3"/>
      <c r="AG553" s="3" t="s">
        <v>1016</v>
      </c>
      <c r="AI553" s="3"/>
      <c r="AJ553" s="1">
        <v>46097</v>
      </c>
      <c r="AL553" s="3"/>
      <c r="AM553" s="1">
        <v>2</v>
      </c>
      <c r="AO553" s="3"/>
      <c r="AP553" s="3" t="s">
        <v>1700</v>
      </c>
      <c r="AR553" s="3"/>
      <c r="AS553" s="3" t="s">
        <v>1701</v>
      </c>
      <c r="AU553" s="3"/>
      <c r="AV553" s="3"/>
      <c r="AX553" s="3"/>
      <c r="AY553" s="5"/>
      <c r="BA553" s="3"/>
      <c r="BD553" s="3"/>
      <c r="BE553" s="3"/>
      <c r="BG553" s="3"/>
      <c r="BH553" s="3"/>
      <c r="BJ553" s="3"/>
      <c r="BK553" s="3"/>
      <c r="BM553" s="3"/>
      <c r="BN553" s="5"/>
      <c r="BP553" s="3"/>
      <c r="BS553" s="3"/>
      <c r="BT553" s="3"/>
      <c r="BV553" s="3"/>
      <c r="BW553" s="3"/>
      <c r="BY553" s="3"/>
      <c r="BZ553" s="3"/>
      <c r="CB553" s="3"/>
      <c r="CC553" s="5"/>
      <c r="CE553" s="3"/>
      <c r="CH553" s="3"/>
      <c r="CI553" s="3"/>
      <c r="CK553" s="3"/>
      <c r="CL553" s="3"/>
      <c r="CN553" s="3"/>
      <c r="CO553" s="3"/>
      <c r="CQ553" s="3"/>
      <c r="CR553" s="5"/>
      <c r="CT553" s="3"/>
      <c r="CW553" s="3"/>
      <c r="CX553" s="3"/>
      <c r="CZ553" s="3"/>
      <c r="DA553" s="3"/>
      <c r="DC553" s="3"/>
      <c r="DD553" s="3"/>
      <c r="DF553" s="3"/>
      <c r="DG553" s="5"/>
      <c r="DI553" s="3"/>
      <c r="DL553" s="3"/>
      <c r="DM553" s="3"/>
      <c r="DO553" s="3"/>
      <c r="DP553" s="3"/>
      <c r="DR553" s="3"/>
      <c r="DS553" s="1" t="str">
        <f>_xlfn.XLOOKUP(OfficeForms.Table[[#This Row],[Selecione a Categoria do Laboratório desta atividade prática:]],Planilha1!A:A,Planilha1!B:B)</f>
        <v>EMF-ISN</v>
      </c>
      <c r="DT553" s="1" t="str">
        <f>CONCATENATE(OfficeForms.Table[[#This Row],[Selecione seu Polo Laboratório de Atividades Presenciais:]],OfficeForms.Table[[#This Row],[CHAVE CONVERSÃO]])</f>
        <v>Juazeiro/BAEMF-ISN</v>
      </c>
      <c r="DU55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55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55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53" s="1" t="str">
        <f>_xlfn.XLOOKUP(OfficeForms.Table[[#This Row],[CHAVE LINK POLO]],'[1]Quadro Geral de Lotação'!$B:$B,'[1]Quadro Geral de Lotação'!$I:$I)</f>
        <v>Rafaela Carla Da Silva Hilariao</v>
      </c>
      <c r="DY553" s="1" t="str">
        <f>OfficeForms.Table[[#This Row],[Selecione a Ordem de Disciplina]]</f>
        <v>Ordem 2</v>
      </c>
    </row>
    <row r="554" spans="1:129" ht="34.15" customHeight="1">
      <c r="A554" s="1">
        <v>554</v>
      </c>
      <c r="B554" s="2">
        <v>46112.702118055597</v>
      </c>
      <c r="C554" s="2">
        <v>46112.705532407403</v>
      </c>
      <c r="D554" s="3" t="s">
        <v>882</v>
      </c>
      <c r="E554" s="3" t="s">
        <v>883</v>
      </c>
      <c r="G554" s="3"/>
      <c r="I554" s="3" t="s">
        <v>884</v>
      </c>
      <c r="K554" s="3"/>
      <c r="L554" s="1" t="s">
        <v>678</v>
      </c>
      <c r="O554" s="3" t="s">
        <v>184</v>
      </c>
      <c r="Q554" s="3"/>
      <c r="R554" s="3"/>
      <c r="T554" s="3"/>
      <c r="U554" s="5"/>
      <c r="W554" s="3"/>
      <c r="Z554" s="3"/>
      <c r="AA554" s="3"/>
      <c r="AC554" s="3"/>
      <c r="AD554" s="3"/>
      <c r="AF554" s="3"/>
      <c r="AG554" s="3" t="s">
        <v>1031</v>
      </c>
      <c r="AI554" s="3"/>
      <c r="AJ554" s="1">
        <v>46097</v>
      </c>
      <c r="AL554" s="3"/>
      <c r="AM554" s="1">
        <v>2</v>
      </c>
      <c r="AO554" s="3"/>
      <c r="AP554" s="3" t="s">
        <v>1702</v>
      </c>
      <c r="AR554" s="3"/>
      <c r="AS554" s="3" t="s">
        <v>1703</v>
      </c>
      <c r="AU554" s="3"/>
      <c r="AV554" s="3"/>
      <c r="AX554" s="3"/>
      <c r="AY554" s="5"/>
      <c r="BA554" s="3"/>
      <c r="BD554" s="3"/>
      <c r="BE554" s="3"/>
      <c r="BG554" s="3"/>
      <c r="BH554" s="3"/>
      <c r="BJ554" s="3"/>
      <c r="BK554" s="3"/>
      <c r="BM554" s="3"/>
      <c r="BN554" s="5"/>
      <c r="BP554" s="3"/>
      <c r="BS554" s="3"/>
      <c r="BT554" s="3"/>
      <c r="BV554" s="3"/>
      <c r="BW554" s="3"/>
      <c r="BY554" s="3"/>
      <c r="BZ554" s="3"/>
      <c r="CB554" s="3"/>
      <c r="CC554" s="5"/>
      <c r="CE554" s="3"/>
      <c r="CH554" s="3"/>
      <c r="CI554" s="3"/>
      <c r="CK554" s="3"/>
      <c r="CL554" s="3"/>
      <c r="CN554" s="3"/>
      <c r="CO554" s="3"/>
      <c r="CQ554" s="3"/>
      <c r="CR554" s="5"/>
      <c r="CT554" s="3"/>
      <c r="CW554" s="3"/>
      <c r="CX554" s="3"/>
      <c r="CZ554" s="3"/>
      <c r="DA554" s="3"/>
      <c r="DC554" s="3"/>
      <c r="DD554" s="3"/>
      <c r="DF554" s="3"/>
      <c r="DG554" s="5"/>
      <c r="DI554" s="3"/>
      <c r="DL554" s="3"/>
      <c r="DM554" s="3"/>
      <c r="DO554" s="3"/>
      <c r="DP554" s="3"/>
      <c r="DR554" s="3"/>
      <c r="DS554" s="1" t="str">
        <f>_xlfn.XLOOKUP(OfficeForms.Table[[#This Row],[Selecione a Categoria do Laboratório desta atividade prática:]],Planilha1!A:A,Planilha1!B:B)</f>
        <v>EMF-ISN</v>
      </c>
      <c r="DT554" s="1" t="str">
        <f>CONCATENATE(OfficeForms.Table[[#This Row],[Selecione seu Polo Laboratório de Atividades Presenciais:]],OfficeForms.Table[[#This Row],[CHAVE CONVERSÃO]])</f>
        <v>Juazeiro/BAEMF-ISN</v>
      </c>
      <c r="DU55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55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55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54" s="1" t="str">
        <f>_xlfn.XLOOKUP(OfficeForms.Table[[#This Row],[CHAVE LINK POLO]],'[1]Quadro Geral de Lotação'!$B:$B,'[1]Quadro Geral de Lotação'!$I:$I)</f>
        <v>Rafaela Carla Da Silva Hilariao</v>
      </c>
      <c r="DY554" s="1" t="str">
        <f>OfficeForms.Table[[#This Row],[Selecione a Ordem de Disciplina]]</f>
        <v>Ordem 2</v>
      </c>
    </row>
    <row r="555" spans="1:129" ht="34.15" customHeight="1">
      <c r="A555" s="1">
        <v>555</v>
      </c>
      <c r="B555" s="2">
        <v>46112.709699074097</v>
      </c>
      <c r="C555" s="2">
        <v>46112.713159722203</v>
      </c>
      <c r="D555" s="3" t="s">
        <v>882</v>
      </c>
      <c r="E555" s="3" t="s">
        <v>883</v>
      </c>
      <c r="G555" s="3"/>
      <c r="I555" s="3" t="s">
        <v>884</v>
      </c>
      <c r="K555" s="3"/>
      <c r="L555" s="1" t="s">
        <v>678</v>
      </c>
      <c r="O555" s="3" t="s">
        <v>184</v>
      </c>
      <c r="Q555" s="3"/>
      <c r="R555" s="3"/>
      <c r="T555" s="3"/>
      <c r="U555" s="5"/>
      <c r="W555" s="3"/>
      <c r="Z555" s="3"/>
      <c r="AA555" s="3"/>
      <c r="AC555" s="3"/>
      <c r="AD555" s="3"/>
      <c r="AF555" s="3"/>
      <c r="AG555" s="3" t="s">
        <v>206</v>
      </c>
      <c r="AI555" s="3"/>
      <c r="AJ555" s="1">
        <v>46094</v>
      </c>
      <c r="AL555" s="3"/>
      <c r="AM555" s="1">
        <v>5</v>
      </c>
      <c r="AO555" s="3"/>
      <c r="AP555" s="3" t="s">
        <v>1704</v>
      </c>
      <c r="AR555" s="3"/>
      <c r="AS555" s="3" t="s">
        <v>1705</v>
      </c>
      <c r="AU555" s="3"/>
      <c r="AV555" s="3"/>
      <c r="AX555" s="3"/>
      <c r="AY555" s="5"/>
      <c r="BA555" s="3"/>
      <c r="BD555" s="3"/>
      <c r="BE555" s="3"/>
      <c r="BG555" s="3"/>
      <c r="BH555" s="3"/>
      <c r="BJ555" s="3"/>
      <c r="BK555" s="3"/>
      <c r="BM555" s="3"/>
      <c r="BN555" s="5"/>
      <c r="BP555" s="3"/>
      <c r="BS555" s="3"/>
      <c r="BT555" s="3"/>
      <c r="BV555" s="3"/>
      <c r="BW555" s="3"/>
      <c r="BY555" s="3"/>
      <c r="BZ555" s="3"/>
      <c r="CB555" s="3"/>
      <c r="CC555" s="5"/>
      <c r="CE555" s="3"/>
      <c r="CH555" s="3"/>
      <c r="CI555" s="3"/>
      <c r="CK555" s="3"/>
      <c r="CL555" s="3"/>
      <c r="CN555" s="3"/>
      <c r="CO555" s="3"/>
      <c r="CQ555" s="3"/>
      <c r="CR555" s="5"/>
      <c r="CT555" s="3"/>
      <c r="CW555" s="3"/>
      <c r="CX555" s="3"/>
      <c r="CZ555" s="3"/>
      <c r="DA555" s="3"/>
      <c r="DC555" s="3"/>
      <c r="DD555" s="3"/>
      <c r="DF555" s="3"/>
      <c r="DG555" s="5"/>
      <c r="DI555" s="3"/>
      <c r="DL555" s="3"/>
      <c r="DM555" s="3"/>
      <c r="DO555" s="3"/>
      <c r="DP555" s="3"/>
      <c r="DR555" s="3"/>
      <c r="DS555" s="1" t="str">
        <f>_xlfn.XLOOKUP(OfficeForms.Table[[#This Row],[Selecione a Categoria do Laboratório desta atividade prática:]],Planilha1!A:A,Planilha1!B:B)</f>
        <v>EMF-ISN</v>
      </c>
      <c r="DT555" s="1" t="str">
        <f>CONCATENATE(OfficeForms.Table[[#This Row],[Selecione seu Polo Laboratório de Atividades Presenciais:]],OfficeForms.Table[[#This Row],[CHAVE CONVERSÃO]])</f>
        <v>Juazeiro/BAEMF-ISN</v>
      </c>
      <c r="DU55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55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55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555" s="1" t="str">
        <f>_xlfn.XLOOKUP(OfficeForms.Table[[#This Row],[CHAVE LINK POLO]],'[1]Quadro Geral de Lotação'!$B:$B,'[1]Quadro Geral de Lotação'!$I:$I)</f>
        <v>Rafaela Carla Da Silva Hilariao</v>
      </c>
      <c r="DY555" s="1" t="str">
        <f>OfficeForms.Table[[#This Row],[Selecione a Ordem de Disciplina]]</f>
        <v>Ordem 2</v>
      </c>
    </row>
    <row r="556" spans="1:129" ht="34.15" customHeight="1">
      <c r="A556" s="1">
        <v>556</v>
      </c>
      <c r="B556" s="2">
        <v>46112.713206018503</v>
      </c>
      <c r="C556" s="2">
        <v>46112.714988425898</v>
      </c>
      <c r="D556" s="3" t="s">
        <v>882</v>
      </c>
      <c r="E556" s="3" t="s">
        <v>883</v>
      </c>
      <c r="G556" s="3"/>
      <c r="I556" s="3" t="s">
        <v>884</v>
      </c>
      <c r="K556" s="3"/>
      <c r="L556" s="1" t="s">
        <v>678</v>
      </c>
      <c r="O556" s="3" t="s">
        <v>184</v>
      </c>
      <c r="Q556" s="3"/>
      <c r="R556" s="3"/>
      <c r="T556" s="3"/>
      <c r="U556" s="5"/>
      <c r="W556" s="3"/>
      <c r="Z556" s="3"/>
      <c r="AA556" s="3"/>
      <c r="AC556" s="3"/>
      <c r="AD556" s="3"/>
      <c r="AF556" s="3"/>
      <c r="AG556" s="3" t="s">
        <v>185</v>
      </c>
      <c r="AI556" s="3"/>
      <c r="AJ556" s="1">
        <v>46094</v>
      </c>
      <c r="AL556" s="3"/>
      <c r="AM556" s="1">
        <v>5</v>
      </c>
      <c r="AO556" s="3"/>
      <c r="AP556" s="3" t="s">
        <v>1706</v>
      </c>
      <c r="AR556" s="3"/>
      <c r="AS556" s="3" t="s">
        <v>1707</v>
      </c>
      <c r="AU556" s="3"/>
      <c r="AV556" s="3"/>
      <c r="AX556" s="3"/>
      <c r="AY556" s="5"/>
      <c r="BA556" s="3"/>
      <c r="BD556" s="3"/>
      <c r="BE556" s="3"/>
      <c r="BG556" s="3"/>
      <c r="BH556" s="3"/>
      <c r="BJ556" s="3"/>
      <c r="BK556" s="3"/>
      <c r="BM556" s="3"/>
      <c r="BN556" s="5"/>
      <c r="BP556" s="3"/>
      <c r="BS556" s="3"/>
      <c r="BT556" s="3"/>
      <c r="BV556" s="3"/>
      <c r="BW556" s="3"/>
      <c r="BY556" s="3"/>
      <c r="BZ556" s="3"/>
      <c r="CB556" s="3"/>
      <c r="CC556" s="5"/>
      <c r="CE556" s="3"/>
      <c r="CH556" s="3"/>
      <c r="CI556" s="3"/>
      <c r="CK556" s="3"/>
      <c r="CL556" s="3"/>
      <c r="CN556" s="3"/>
      <c r="CO556" s="3"/>
      <c r="CQ556" s="3"/>
      <c r="CR556" s="5"/>
      <c r="CT556" s="3"/>
      <c r="CW556" s="3"/>
      <c r="CX556" s="3"/>
      <c r="CZ556" s="3"/>
      <c r="DA556" s="3"/>
      <c r="DC556" s="3"/>
      <c r="DD556" s="3"/>
      <c r="DF556" s="3"/>
      <c r="DG556" s="5"/>
      <c r="DI556" s="3"/>
      <c r="DL556" s="3"/>
      <c r="DM556" s="3"/>
      <c r="DO556" s="3"/>
      <c r="DP556" s="3"/>
      <c r="DR556" s="3"/>
      <c r="DS556" s="1" t="str">
        <f>_xlfn.XLOOKUP(OfficeForms.Table[[#This Row],[Selecione a Categoria do Laboratório desta atividade prática:]],Planilha1!A:A,Planilha1!B:B)</f>
        <v>EMF-ISN</v>
      </c>
      <c r="DT556" s="1" t="str">
        <f>CONCATENATE(OfficeForms.Table[[#This Row],[Selecione seu Polo Laboratório de Atividades Presenciais:]],OfficeForms.Table[[#This Row],[CHAVE CONVERSÃO]])</f>
        <v>Juazeiro/BAEMF-ISN</v>
      </c>
      <c r="DU55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55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46094</v>
      </c>
      <c r="DW55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556" s="1" t="str">
        <f>_xlfn.XLOOKUP(OfficeForms.Table[[#This Row],[CHAVE LINK POLO]],'[1]Quadro Geral de Lotação'!$B:$B,'[1]Quadro Geral de Lotação'!$I:$I)</f>
        <v>Rafaela Carla Da Silva Hilariao</v>
      </c>
      <c r="DY556" s="1" t="str">
        <f>OfficeForms.Table[[#This Row],[Selecione a Ordem de Disciplina]]</f>
        <v>Ordem 2</v>
      </c>
    </row>
    <row r="557" spans="1:129" ht="34.15" customHeight="1">
      <c r="A557" s="1">
        <v>557</v>
      </c>
      <c r="B557" s="2">
        <v>46112.718553240702</v>
      </c>
      <c r="C557" s="2">
        <v>46112.720914351899</v>
      </c>
      <c r="D557" s="3" t="s">
        <v>882</v>
      </c>
      <c r="E557" s="3" t="s">
        <v>883</v>
      </c>
      <c r="G557" s="3"/>
      <c r="I557" s="3" t="s">
        <v>884</v>
      </c>
      <c r="K557" s="3"/>
      <c r="L557" s="1" t="s">
        <v>132</v>
      </c>
      <c r="O557" s="3" t="s">
        <v>184</v>
      </c>
      <c r="Q557" s="3"/>
      <c r="R557" s="3"/>
      <c r="T557" s="3"/>
      <c r="U557" s="5"/>
      <c r="W557" s="3"/>
      <c r="Z557" s="3"/>
      <c r="AA557" s="3"/>
      <c r="AC557" s="3"/>
      <c r="AD557" s="3"/>
      <c r="AF557" s="3"/>
      <c r="AG557" s="3" t="s">
        <v>316</v>
      </c>
      <c r="AI557" s="3"/>
      <c r="AJ557" s="1">
        <v>46084</v>
      </c>
      <c r="AL557" s="3"/>
      <c r="AM557" s="1">
        <v>2</v>
      </c>
      <c r="AO557" s="3"/>
      <c r="AP557" s="3" t="s">
        <v>1708</v>
      </c>
      <c r="AR557" s="3"/>
      <c r="AS557" s="3" t="s">
        <v>1709</v>
      </c>
      <c r="AU557" s="3"/>
      <c r="AV557" s="3"/>
      <c r="AX557" s="3"/>
      <c r="AY557" s="5"/>
      <c r="BA557" s="3"/>
      <c r="BD557" s="3"/>
      <c r="BE557" s="3"/>
      <c r="BG557" s="3"/>
      <c r="BH557" s="3"/>
      <c r="BJ557" s="3"/>
      <c r="BK557" s="3"/>
      <c r="BM557" s="3"/>
      <c r="BN557" s="5"/>
      <c r="BP557" s="3"/>
      <c r="BS557" s="3"/>
      <c r="BT557" s="3"/>
      <c r="BV557" s="3"/>
      <c r="BW557" s="3"/>
      <c r="BY557" s="3"/>
      <c r="BZ557" s="3"/>
      <c r="CB557" s="3"/>
      <c r="CC557" s="5"/>
      <c r="CE557" s="3"/>
      <c r="CH557" s="3"/>
      <c r="CI557" s="3"/>
      <c r="CK557" s="3"/>
      <c r="CL557" s="3"/>
      <c r="CN557" s="3"/>
      <c r="CO557" s="3"/>
      <c r="CQ557" s="3"/>
      <c r="CR557" s="5"/>
      <c r="CT557" s="3"/>
      <c r="CW557" s="3"/>
      <c r="CX557" s="3"/>
      <c r="CZ557" s="3"/>
      <c r="DA557" s="3"/>
      <c r="DC557" s="3"/>
      <c r="DD557" s="3"/>
      <c r="DF557" s="3"/>
      <c r="DG557" s="5"/>
      <c r="DI557" s="3"/>
      <c r="DL557" s="3"/>
      <c r="DM557" s="3"/>
      <c r="DO557" s="3"/>
      <c r="DP557" s="3"/>
      <c r="DR557" s="3"/>
      <c r="DS557" s="1" t="str">
        <f>_xlfn.XLOOKUP(OfficeForms.Table[[#This Row],[Selecione a Categoria do Laboratório desta atividade prática:]],Planilha1!A:A,Planilha1!B:B)</f>
        <v>EMF-ISN</v>
      </c>
      <c r="DT557" s="1" t="str">
        <f>CONCATENATE(OfficeForms.Table[[#This Row],[Selecione seu Polo Laboratório de Atividades Presenciais:]],OfficeForms.Table[[#This Row],[CHAVE CONVERSÃO]])</f>
        <v>Juazeiro/BAEMF-ISN</v>
      </c>
      <c r="DU55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55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55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57" s="1" t="str">
        <f>_xlfn.XLOOKUP(OfficeForms.Table[[#This Row],[CHAVE LINK POLO]],'[1]Quadro Geral de Lotação'!$B:$B,'[1]Quadro Geral de Lotação'!$I:$I)</f>
        <v>Rafaela Carla Da Silva Hilariao</v>
      </c>
      <c r="DY557" s="1" t="str">
        <f>OfficeForms.Table[[#This Row],[Selecione a Ordem de Disciplina]]</f>
        <v>Ordem 1</v>
      </c>
    </row>
    <row r="558" spans="1:129" ht="34.15" customHeight="1">
      <c r="A558" s="1">
        <v>558</v>
      </c>
      <c r="B558" s="2">
        <v>46112.720983796302</v>
      </c>
      <c r="C558" s="2">
        <v>46112.722662036998</v>
      </c>
      <c r="D558" s="3" t="s">
        <v>882</v>
      </c>
      <c r="E558" s="3" t="s">
        <v>883</v>
      </c>
      <c r="G558" s="3"/>
      <c r="I558" s="3" t="s">
        <v>884</v>
      </c>
      <c r="K558" s="3"/>
      <c r="L558" s="1" t="s">
        <v>132</v>
      </c>
      <c r="O558" s="3" t="s">
        <v>184</v>
      </c>
      <c r="Q558" s="3"/>
      <c r="R558" s="3"/>
      <c r="T558" s="3"/>
      <c r="U558" s="5"/>
      <c r="W558" s="3"/>
      <c r="Z558" s="3"/>
      <c r="AA558" s="3"/>
      <c r="AC558" s="3"/>
      <c r="AD558" s="3"/>
      <c r="AF558" s="3"/>
      <c r="AG558" s="3" t="s">
        <v>414</v>
      </c>
      <c r="AI558" s="3"/>
      <c r="AJ558" s="1">
        <v>46084</v>
      </c>
      <c r="AL558" s="3"/>
      <c r="AM558" s="1">
        <v>2</v>
      </c>
      <c r="AO558" s="3"/>
      <c r="AP558" s="3" t="s">
        <v>1710</v>
      </c>
      <c r="AR558" s="3"/>
      <c r="AS558" s="3" t="s">
        <v>1711</v>
      </c>
      <c r="AU558" s="3"/>
      <c r="AV558" s="3"/>
      <c r="AX558" s="3"/>
      <c r="AY558" s="5"/>
      <c r="BA558" s="3"/>
      <c r="BD558" s="3"/>
      <c r="BE558" s="3"/>
      <c r="BG558" s="3"/>
      <c r="BH558" s="3"/>
      <c r="BJ558" s="3"/>
      <c r="BK558" s="3"/>
      <c r="BM558" s="3"/>
      <c r="BN558" s="5"/>
      <c r="BP558" s="3"/>
      <c r="BS558" s="3"/>
      <c r="BT558" s="3"/>
      <c r="BV558" s="3"/>
      <c r="BW558" s="3"/>
      <c r="BY558" s="3"/>
      <c r="BZ558" s="3"/>
      <c r="CB558" s="3"/>
      <c r="CC558" s="5"/>
      <c r="CE558" s="3"/>
      <c r="CH558" s="3"/>
      <c r="CI558" s="3"/>
      <c r="CK558" s="3"/>
      <c r="CL558" s="3"/>
      <c r="CN558" s="3"/>
      <c r="CO558" s="3"/>
      <c r="CQ558" s="3"/>
      <c r="CR558" s="5"/>
      <c r="CT558" s="3"/>
      <c r="CW558" s="3"/>
      <c r="CX558" s="3"/>
      <c r="CZ558" s="3"/>
      <c r="DA558" s="3"/>
      <c r="DC558" s="3"/>
      <c r="DD558" s="3"/>
      <c r="DF558" s="3"/>
      <c r="DG558" s="5"/>
      <c r="DI558" s="3"/>
      <c r="DL558" s="3"/>
      <c r="DM558" s="3"/>
      <c r="DO558" s="3"/>
      <c r="DP558" s="3"/>
      <c r="DR558" s="3"/>
      <c r="DS558" s="1" t="str">
        <f>_xlfn.XLOOKUP(OfficeForms.Table[[#This Row],[Selecione a Categoria do Laboratório desta atividade prática:]],Planilha1!A:A,Planilha1!B:B)</f>
        <v>EMF-ISN</v>
      </c>
      <c r="DT558" s="1" t="str">
        <f>CONCATENATE(OfficeForms.Table[[#This Row],[Selecione seu Polo Laboratório de Atividades Presenciais:]],OfficeForms.Table[[#This Row],[CHAVE CONVERSÃO]])</f>
        <v>Juazeiro/BAEMF-ISN</v>
      </c>
      <c r="DU55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55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46084</v>
      </c>
      <c r="DW55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58" s="1" t="str">
        <f>_xlfn.XLOOKUP(OfficeForms.Table[[#This Row],[CHAVE LINK POLO]],'[1]Quadro Geral de Lotação'!$B:$B,'[1]Quadro Geral de Lotação'!$I:$I)</f>
        <v>Rafaela Carla Da Silva Hilariao</v>
      </c>
      <c r="DY558" s="1" t="str">
        <f>OfficeForms.Table[[#This Row],[Selecione a Ordem de Disciplina]]</f>
        <v>Ordem 1</v>
      </c>
    </row>
    <row r="559" spans="1:129" ht="34.15" customHeight="1">
      <c r="A559" s="1">
        <v>559</v>
      </c>
      <c r="B559" s="2">
        <v>46112.805740740703</v>
      </c>
      <c r="C559" s="2">
        <v>46112.807893518497</v>
      </c>
      <c r="D559" s="3" t="s">
        <v>1712</v>
      </c>
      <c r="E559" s="3" t="s">
        <v>1713</v>
      </c>
      <c r="G559" s="3"/>
      <c r="I559" s="3" t="s">
        <v>1023</v>
      </c>
      <c r="K559" s="3"/>
      <c r="L559" s="1" t="s">
        <v>678</v>
      </c>
      <c r="O559" s="3" t="s">
        <v>184</v>
      </c>
      <c r="Q559" s="3"/>
      <c r="R559" s="3"/>
      <c r="T559" s="3"/>
      <c r="U559" s="5"/>
      <c r="W559" s="3"/>
      <c r="Z559" s="3"/>
      <c r="AA559" s="3"/>
      <c r="AC559" s="3"/>
      <c r="AD559" s="3"/>
      <c r="AF559" s="3"/>
      <c r="AG559" s="3" t="s">
        <v>1302</v>
      </c>
      <c r="AI559" s="3"/>
      <c r="AJ559" s="1">
        <v>46106</v>
      </c>
      <c r="AL559" s="3"/>
      <c r="AM559" s="1">
        <v>0</v>
      </c>
      <c r="AO559" s="3"/>
      <c r="AP559" s="3" t="s">
        <v>1714</v>
      </c>
      <c r="AR559" s="3"/>
      <c r="AS559" s="3" t="s">
        <v>1715</v>
      </c>
      <c r="AU559" s="3"/>
      <c r="AV559" s="3"/>
      <c r="AX559" s="3"/>
      <c r="AY559" s="5"/>
      <c r="BA559" s="3"/>
      <c r="BD559" s="3"/>
      <c r="BE559" s="3"/>
      <c r="BG559" s="3"/>
      <c r="BH559" s="3"/>
      <c r="BJ559" s="3"/>
      <c r="BK559" s="3"/>
      <c r="BM559" s="3"/>
      <c r="BN559" s="5"/>
      <c r="BP559" s="3"/>
      <c r="BS559" s="3"/>
      <c r="BT559" s="3"/>
      <c r="BV559" s="3"/>
      <c r="BW559" s="3"/>
      <c r="BY559" s="3"/>
      <c r="BZ559" s="3"/>
      <c r="CB559" s="3"/>
      <c r="CC559" s="5"/>
      <c r="CE559" s="3"/>
      <c r="CH559" s="3"/>
      <c r="CI559" s="3"/>
      <c r="CK559" s="3"/>
      <c r="CL559" s="3"/>
      <c r="CN559" s="3"/>
      <c r="CO559" s="3"/>
      <c r="CQ559" s="3"/>
      <c r="CR559" s="5"/>
      <c r="CT559" s="3"/>
      <c r="CW559" s="3"/>
      <c r="CX559" s="3"/>
      <c r="CZ559" s="3"/>
      <c r="DA559" s="3"/>
      <c r="DC559" s="3"/>
      <c r="DD559" s="3"/>
      <c r="DF559" s="3"/>
      <c r="DG559" s="5"/>
      <c r="DI559" s="3"/>
      <c r="DL559" s="3"/>
      <c r="DM559" s="3"/>
      <c r="DO559" s="3"/>
      <c r="DP559" s="3"/>
      <c r="DR559" s="3"/>
      <c r="DS559" s="1" t="str">
        <f>_xlfn.XLOOKUP(OfficeForms.Table[[#This Row],[Selecione a Categoria do Laboratório desta atividade prática:]],Planilha1!A:A,Planilha1!B:B)</f>
        <v>EMF-ISN</v>
      </c>
      <c r="DT559" s="1" t="str">
        <f>CONCATENATE(OfficeForms.Table[[#This Row],[Selecione seu Polo Laboratório de Atividades Presenciais:]],OfficeForms.Table[[#This Row],[CHAVE CONVERSÃO]])</f>
        <v>Janaúba/MG- Padre EustáquioEMF-ISN</v>
      </c>
      <c r="DU55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55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55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59" s="1" t="str">
        <f>_xlfn.XLOOKUP(OfficeForms.Table[[#This Row],[CHAVE LINK POLO]],'[1]Quadro Geral de Lotação'!$B:$B,'[1]Quadro Geral de Lotação'!$I:$I)</f>
        <v>Adalci Rosana Goncalves Dias</v>
      </c>
      <c r="DY559" s="1" t="str">
        <f>OfficeForms.Table[[#This Row],[Selecione a Ordem de Disciplina]]</f>
        <v>Ordem 2</v>
      </c>
    </row>
    <row r="560" spans="1:129" ht="34.15" customHeight="1">
      <c r="A560" s="1">
        <v>560</v>
      </c>
      <c r="B560" s="2">
        <v>46112.812152777798</v>
      </c>
      <c r="C560" s="2">
        <v>46112.824710648099</v>
      </c>
      <c r="D560" s="3" t="s">
        <v>362</v>
      </c>
      <c r="E560" s="3" t="s">
        <v>363</v>
      </c>
      <c r="G560" s="3"/>
      <c r="I560" s="3" t="s">
        <v>364</v>
      </c>
      <c r="K560" s="3"/>
      <c r="L560" s="1" t="s">
        <v>678</v>
      </c>
      <c r="O560" s="3" t="s">
        <v>184</v>
      </c>
      <c r="Q560" s="3"/>
      <c r="R560" s="3"/>
      <c r="T560" s="3"/>
      <c r="U560" s="5"/>
      <c r="W560" s="3"/>
      <c r="Z560" s="3"/>
      <c r="AA560" s="3"/>
      <c r="AC560" s="3"/>
      <c r="AD560" s="3"/>
      <c r="AF560" s="3"/>
      <c r="AG560" s="3" t="s">
        <v>1278</v>
      </c>
      <c r="AI560" s="3"/>
      <c r="AJ560" s="1">
        <v>46109</v>
      </c>
      <c r="AL560" s="3"/>
      <c r="AM560" s="1">
        <v>11</v>
      </c>
      <c r="AO560" s="3"/>
      <c r="AP560" s="3" t="s">
        <v>1716</v>
      </c>
      <c r="AR560" s="3"/>
      <c r="AS560" s="3" t="s">
        <v>1717</v>
      </c>
      <c r="AU560" s="3"/>
      <c r="AV560" s="3"/>
      <c r="AX560" s="3"/>
      <c r="AY560" s="5"/>
      <c r="BA560" s="3"/>
      <c r="BD560" s="3"/>
      <c r="BE560" s="3"/>
      <c r="BG560" s="3"/>
      <c r="BH560" s="3"/>
      <c r="BJ560" s="3"/>
      <c r="BK560" s="3"/>
      <c r="BM560" s="3"/>
      <c r="BN560" s="5"/>
      <c r="BP560" s="3"/>
      <c r="BS560" s="3"/>
      <c r="BT560" s="3"/>
      <c r="BV560" s="3"/>
      <c r="BW560" s="3"/>
      <c r="BY560" s="3"/>
      <c r="BZ560" s="3"/>
      <c r="CB560" s="3"/>
      <c r="CC560" s="5"/>
      <c r="CE560" s="3"/>
      <c r="CH560" s="3"/>
      <c r="CI560" s="3"/>
      <c r="CK560" s="3"/>
      <c r="CL560" s="3"/>
      <c r="CN560" s="3"/>
      <c r="CO560" s="3"/>
      <c r="CQ560" s="3"/>
      <c r="CR560" s="5"/>
      <c r="CT560" s="3"/>
      <c r="CW560" s="3"/>
      <c r="CX560" s="3"/>
      <c r="CZ560" s="3"/>
      <c r="DA560" s="3"/>
      <c r="DC560" s="3"/>
      <c r="DD560" s="3"/>
      <c r="DF560" s="3"/>
      <c r="DG560" s="5"/>
      <c r="DI560" s="3"/>
      <c r="DL560" s="3"/>
      <c r="DM560" s="3"/>
      <c r="DO560" s="3"/>
      <c r="DP560" s="3"/>
      <c r="DR560" s="3"/>
      <c r="DS560" s="1" t="str">
        <f>_xlfn.XLOOKUP(OfficeForms.Table[[#This Row],[Selecione a Categoria do Laboratório desta atividade prática:]],Planilha1!A:A,Planilha1!B:B)</f>
        <v>EMF-ISN</v>
      </c>
      <c r="DT560" s="1" t="str">
        <f>CONCATENATE(OfficeForms.Table[[#This Row],[Selecione seu Polo Laboratório de Atividades Presenciais:]],OfficeForms.Table[[#This Row],[CHAVE CONVERSÃO]])</f>
        <v>Maués/AMEMF-ISN</v>
      </c>
      <c r="DU56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56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6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560" s="1" t="str">
        <f>_xlfn.XLOOKUP(OfficeForms.Table[[#This Row],[CHAVE LINK POLO]],'[1]Quadro Geral de Lotação'!$B:$B,'[1]Quadro Geral de Lotação'!$I:$I)</f>
        <v>Nelma Rita Passos Martins</v>
      </c>
      <c r="DY560" s="1" t="str">
        <f>OfficeForms.Table[[#This Row],[Selecione a Ordem de Disciplina]]</f>
        <v>Ordem 2</v>
      </c>
    </row>
    <row r="561" spans="1:129" ht="34.15" customHeight="1">
      <c r="A561" s="1">
        <v>561</v>
      </c>
      <c r="B561" s="2">
        <v>46112.823425925897</v>
      </c>
      <c r="C561" s="2">
        <v>46112.8257407407</v>
      </c>
      <c r="D561" s="3" t="s">
        <v>506</v>
      </c>
      <c r="E561" s="3" t="s">
        <v>507</v>
      </c>
      <c r="G561" s="3"/>
      <c r="I561" s="3" t="s">
        <v>508</v>
      </c>
      <c r="K561" s="3"/>
      <c r="L561" s="1" t="s">
        <v>678</v>
      </c>
      <c r="O561" s="3" t="s">
        <v>156</v>
      </c>
      <c r="Q561" s="3"/>
      <c r="R561" s="3"/>
      <c r="T561" s="3"/>
      <c r="U561" s="5"/>
      <c r="W561" s="3"/>
      <c r="Z561" s="3"/>
      <c r="AA561" s="3"/>
      <c r="AC561" s="3"/>
      <c r="AD561" s="3"/>
      <c r="AF561" s="3"/>
      <c r="AG561" s="3"/>
      <c r="AI561" s="3"/>
      <c r="AJ561" s="1"/>
      <c r="AL561" s="3"/>
      <c r="AO561" s="3"/>
      <c r="AP561" s="3"/>
      <c r="AR561" s="3"/>
      <c r="AS561" s="3"/>
      <c r="AU561" s="3"/>
      <c r="AV561" s="3"/>
      <c r="AX561" s="3"/>
      <c r="AY561" s="5"/>
      <c r="BA561" s="3"/>
      <c r="BD561" s="3"/>
      <c r="BE561" s="3"/>
      <c r="BG561" s="3"/>
      <c r="BH561" s="3"/>
      <c r="BJ561" s="3"/>
      <c r="BK561" s="3" t="s">
        <v>1489</v>
      </c>
      <c r="BM561" s="3"/>
      <c r="BN561" s="5">
        <v>46098</v>
      </c>
      <c r="BP561" s="3"/>
      <c r="BQ561" s="1">
        <v>4</v>
      </c>
      <c r="BS561" s="3"/>
      <c r="BT561" s="3" t="s">
        <v>1718</v>
      </c>
      <c r="BV561" s="3"/>
      <c r="BW561" s="3" t="s">
        <v>1719</v>
      </c>
      <c r="BY561" s="3"/>
      <c r="BZ561" s="3"/>
      <c r="CB561" s="3"/>
      <c r="CC561" s="5"/>
      <c r="CE561" s="3"/>
      <c r="CH561" s="3"/>
      <c r="CI561" s="3"/>
      <c r="CK561" s="3"/>
      <c r="CL561" s="3"/>
      <c r="CN561" s="3"/>
      <c r="CO561" s="3"/>
      <c r="CQ561" s="3"/>
      <c r="CR561" s="5"/>
      <c r="CT561" s="3"/>
      <c r="CW561" s="3"/>
      <c r="CX561" s="3"/>
      <c r="CZ561" s="3"/>
      <c r="DA561" s="3"/>
      <c r="DC561" s="3"/>
      <c r="DD561" s="3"/>
      <c r="DF561" s="3"/>
      <c r="DG561" s="5"/>
      <c r="DI561" s="3"/>
      <c r="DL561" s="3"/>
      <c r="DM561" s="3"/>
      <c r="DO561" s="3"/>
      <c r="DP561" s="3"/>
      <c r="DR561" s="3"/>
      <c r="DS561" s="1" t="str">
        <f>_xlfn.XLOOKUP(OfficeForms.Table[[#This Row],[Selecione a Categoria do Laboratório desta atividade prática:]],Planilha1!A:A,Planilha1!B:B)</f>
        <v>NTR</v>
      </c>
      <c r="DT561" s="1" t="str">
        <f>CONCATENATE(OfficeForms.Table[[#This Row],[Selecione seu Polo Laboratório de Atividades Presenciais:]],OfficeForms.Table[[#This Row],[CHAVE CONVERSÃO]])</f>
        <v>Rondonópolis/MTNTR</v>
      </c>
      <c r="DU56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nutricional;Avaliação antropométrico de adulto e de acamado</v>
      </c>
      <c r="DV56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56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61" s="1" t="str">
        <f>_xlfn.XLOOKUP(OfficeForms.Table[[#This Row],[CHAVE LINK POLO]],'[1]Quadro Geral de Lotação'!$B:$B,'[1]Quadro Geral de Lotação'!$I:$I)</f>
        <v>Nathane Beatrys Dos Santos Ramos</v>
      </c>
      <c r="DY561" s="1" t="str">
        <f>OfficeForms.Table[[#This Row],[Selecione a Ordem de Disciplina]]</f>
        <v>Ordem 2</v>
      </c>
    </row>
    <row r="562" spans="1:129" ht="34.15" customHeight="1">
      <c r="A562" s="1">
        <v>562</v>
      </c>
      <c r="B562" s="2">
        <v>46112.825914351903</v>
      </c>
      <c r="C562" s="2">
        <v>46112.827280092599</v>
      </c>
      <c r="D562" s="3" t="s">
        <v>506</v>
      </c>
      <c r="E562" s="3" t="s">
        <v>507</v>
      </c>
      <c r="G562" s="3"/>
      <c r="I562" s="3" t="s">
        <v>508</v>
      </c>
      <c r="K562" s="3"/>
      <c r="L562" s="1" t="s">
        <v>678</v>
      </c>
      <c r="O562" s="3" t="s">
        <v>156</v>
      </c>
      <c r="Q562" s="3"/>
      <c r="R562" s="3"/>
      <c r="T562" s="3"/>
      <c r="U562" s="5"/>
      <c r="W562" s="3"/>
      <c r="Z562" s="3"/>
      <c r="AA562" s="3"/>
      <c r="AC562" s="3"/>
      <c r="AD562" s="3"/>
      <c r="AF562" s="3"/>
      <c r="AG562" s="3"/>
      <c r="AI562" s="3"/>
      <c r="AJ562" s="1"/>
      <c r="AL562" s="3"/>
      <c r="AO562" s="3"/>
      <c r="AP562" s="3"/>
      <c r="AR562" s="3"/>
      <c r="AS562" s="3"/>
      <c r="AU562" s="3"/>
      <c r="AV562" s="3"/>
      <c r="AX562" s="3"/>
      <c r="AY562" s="5"/>
      <c r="BA562" s="3"/>
      <c r="BD562" s="3"/>
      <c r="BE562" s="3"/>
      <c r="BG562" s="3"/>
      <c r="BH562" s="3"/>
      <c r="BJ562" s="3"/>
      <c r="BK562" s="3" t="s">
        <v>1720</v>
      </c>
      <c r="BM562" s="3"/>
      <c r="BN562" s="5">
        <v>46105</v>
      </c>
      <c r="BP562" s="3"/>
      <c r="BQ562" s="1">
        <v>7</v>
      </c>
      <c r="BS562" s="3"/>
      <c r="BT562" s="3" t="s">
        <v>1721</v>
      </c>
      <c r="BV562" s="3"/>
      <c r="BW562" s="3" t="s">
        <v>1722</v>
      </c>
      <c r="BY562" s="3"/>
      <c r="BZ562" s="3"/>
      <c r="CB562" s="3"/>
      <c r="CC562" s="5"/>
      <c r="CE562" s="3"/>
      <c r="CH562" s="3"/>
      <c r="CI562" s="3"/>
      <c r="CK562" s="3"/>
      <c r="CL562" s="3"/>
      <c r="CN562" s="3"/>
      <c r="CO562" s="3"/>
      <c r="CQ562" s="3"/>
      <c r="CR562" s="5"/>
      <c r="CT562" s="3"/>
      <c r="CW562" s="3"/>
      <c r="CX562" s="3"/>
      <c r="CZ562" s="3"/>
      <c r="DA562" s="3"/>
      <c r="DC562" s="3"/>
      <c r="DD562" s="3"/>
      <c r="DF562" s="3"/>
      <c r="DG562" s="5"/>
      <c r="DI562" s="3"/>
      <c r="DL562" s="3"/>
      <c r="DM562" s="3"/>
      <c r="DO562" s="3"/>
      <c r="DP562" s="3"/>
      <c r="DR562" s="3"/>
      <c r="DS562" s="1" t="str">
        <f>_xlfn.XLOOKUP(OfficeForms.Table[[#This Row],[Selecione a Categoria do Laboratório desta atividade prática:]],Planilha1!A:A,Planilha1!B:B)</f>
        <v>NTR</v>
      </c>
      <c r="DT562" s="1" t="str">
        <f>CONCATENATE(OfficeForms.Table[[#This Row],[Selecione seu Polo Laboratório de Atividades Presenciais:]],OfficeForms.Table[[#This Row],[CHAVE CONVERSÃO]])</f>
        <v>Rondonópolis/MTNTR</v>
      </c>
      <c r="DU56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corporal;Avaliação nutricional de atleta e desportista II: Anamnese e diagnóstico</v>
      </c>
      <c r="DV56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56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562" s="1" t="str">
        <f>_xlfn.XLOOKUP(OfficeForms.Table[[#This Row],[CHAVE LINK POLO]],'[1]Quadro Geral de Lotação'!$B:$B,'[1]Quadro Geral de Lotação'!$I:$I)</f>
        <v>Nathane Beatrys Dos Santos Ramos</v>
      </c>
      <c r="DY562" s="1" t="str">
        <f>OfficeForms.Table[[#This Row],[Selecione a Ordem de Disciplina]]</f>
        <v>Ordem 2</v>
      </c>
    </row>
    <row r="563" spans="1:129" ht="34.15" customHeight="1">
      <c r="A563" s="1">
        <v>563</v>
      </c>
      <c r="B563" s="2">
        <v>46112.845543981501</v>
      </c>
      <c r="C563" s="2">
        <v>46112.864976851903</v>
      </c>
      <c r="D563" s="3" t="s">
        <v>494</v>
      </c>
      <c r="E563" s="3" t="s">
        <v>495</v>
      </c>
      <c r="G563" s="3"/>
      <c r="I563" s="3" t="s">
        <v>496</v>
      </c>
      <c r="K563" s="3"/>
      <c r="L563" s="1" t="s">
        <v>678</v>
      </c>
      <c r="O563" s="3" t="s">
        <v>497</v>
      </c>
      <c r="Q563" s="3"/>
      <c r="R563" s="3" t="s">
        <v>498</v>
      </c>
      <c r="T563" s="3"/>
      <c r="U563" s="5">
        <v>46098</v>
      </c>
      <c r="W563" s="3"/>
      <c r="X563" s="1">
        <v>8</v>
      </c>
      <c r="Z563" s="3"/>
      <c r="AA563" s="3" t="s">
        <v>1723</v>
      </c>
      <c r="AC563" s="3"/>
      <c r="AD563" s="3" t="s">
        <v>1724</v>
      </c>
      <c r="AF563" s="3"/>
      <c r="AG563" s="3"/>
      <c r="AI563" s="3"/>
      <c r="AJ563" s="1"/>
      <c r="AL563" s="3"/>
      <c r="AO563" s="3"/>
      <c r="AP563" s="3"/>
      <c r="AR563" s="3"/>
      <c r="AS563" s="3"/>
      <c r="AU563" s="3"/>
      <c r="AV563" s="3"/>
      <c r="AX563" s="3"/>
      <c r="AY563" s="5"/>
      <c r="BA563" s="3"/>
      <c r="BD563" s="3"/>
      <c r="BE563" s="3"/>
      <c r="BG563" s="3"/>
      <c r="BH563" s="3"/>
      <c r="BJ563" s="3"/>
      <c r="BK563" s="3"/>
      <c r="BM563" s="3"/>
      <c r="BN563" s="5"/>
      <c r="BP563" s="3"/>
      <c r="BS563" s="3"/>
      <c r="BT563" s="3"/>
      <c r="BV563" s="3"/>
      <c r="BW563" s="3"/>
      <c r="BY563" s="3"/>
      <c r="BZ563" s="3"/>
      <c r="CB563" s="3"/>
      <c r="CC563" s="5"/>
      <c r="CE563" s="3"/>
      <c r="CH563" s="3"/>
      <c r="CI563" s="3"/>
      <c r="CK563" s="3"/>
      <c r="CL563" s="3"/>
      <c r="CN563" s="3"/>
      <c r="CO563" s="3"/>
      <c r="CQ563" s="3"/>
      <c r="CR563" s="5"/>
      <c r="CT563" s="3"/>
      <c r="CW563" s="3"/>
      <c r="CX563" s="3"/>
      <c r="CZ563" s="3"/>
      <c r="DA563" s="3"/>
      <c r="DC563" s="3"/>
      <c r="DD563" s="3"/>
      <c r="DF563" s="3"/>
      <c r="DG563" s="5"/>
      <c r="DI563" s="3"/>
      <c r="DL563" s="3"/>
      <c r="DM563" s="3"/>
      <c r="DO563" s="3"/>
      <c r="DP563" s="3"/>
      <c r="DR563" s="3"/>
      <c r="DS563" s="1" t="str">
        <f>_xlfn.XLOOKUP(OfficeForms.Table[[#This Row],[Selecione a Categoria do Laboratório desta atividade prática:]],Planilha1!A:A,Planilha1!B:B)</f>
        <v>BFR-BBI</v>
      </c>
      <c r="DT563" s="1" t="str">
        <f>CONCATENATE(OfficeForms.Table[[#This Row],[Selecione seu Polo Laboratório de Atividades Presenciais:]],OfficeForms.Table[[#This Row],[CHAVE CONVERSÃO]])</f>
        <v>Campo Grande/MS - Santo AntonioBFR-BBI</v>
      </c>
      <c r="DU56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Coleta de Sangue</v>
      </c>
      <c r="DV56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56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563" s="1" t="e">
        <f>_xlfn.XLOOKUP(OfficeForms.Table[[#This Row],[CHAVE LINK POLO]],'[1]Quadro Geral de Lotação'!$B:$B,'[1]Quadro Geral de Lotação'!$I:$I)</f>
        <v>#N/A</v>
      </c>
      <c r="DY563" s="1" t="str">
        <f>OfficeForms.Table[[#This Row],[Selecione a Ordem de Disciplina]]</f>
        <v>Ordem 2</v>
      </c>
    </row>
    <row r="564" spans="1:129" ht="34.15" customHeight="1">
      <c r="A564" s="1">
        <v>564</v>
      </c>
      <c r="B564" s="2">
        <v>46112.8650694444</v>
      </c>
      <c r="C564" s="2">
        <v>46112.921446759297</v>
      </c>
      <c r="D564" s="3" t="s">
        <v>494</v>
      </c>
      <c r="E564" s="3" t="s">
        <v>495</v>
      </c>
      <c r="G564" s="3"/>
      <c r="I564" s="3" t="s">
        <v>496</v>
      </c>
      <c r="K564" s="3"/>
      <c r="L564" s="1" t="s">
        <v>678</v>
      </c>
      <c r="O564" s="3" t="s">
        <v>497</v>
      </c>
      <c r="Q564" s="3"/>
      <c r="R564" s="3" t="s">
        <v>879</v>
      </c>
      <c r="T564" s="3"/>
      <c r="U564" s="5">
        <v>46105</v>
      </c>
      <c r="W564" s="3"/>
      <c r="X564" s="1">
        <v>9</v>
      </c>
      <c r="Z564" s="3"/>
      <c r="AA564" s="3" t="s">
        <v>1725</v>
      </c>
      <c r="AC564" s="3"/>
      <c r="AD564" s="3" t="s">
        <v>1726</v>
      </c>
      <c r="AF564" s="3"/>
      <c r="AG564" s="3"/>
      <c r="AI564" s="3"/>
      <c r="AJ564" s="1"/>
      <c r="AL564" s="3"/>
      <c r="AO564" s="3"/>
      <c r="AP564" s="3"/>
      <c r="AR564" s="3"/>
      <c r="AS564" s="3"/>
      <c r="AU564" s="3"/>
      <c r="AV564" s="3"/>
      <c r="AX564" s="3"/>
      <c r="AY564" s="5"/>
      <c r="BA564" s="3"/>
      <c r="BD564" s="3"/>
      <c r="BE564" s="3"/>
      <c r="BG564" s="3"/>
      <c r="BH564" s="3"/>
      <c r="BJ564" s="3"/>
      <c r="BK564" s="3"/>
      <c r="BM564" s="3"/>
      <c r="BN564" s="5"/>
      <c r="BP564" s="3"/>
      <c r="BS564" s="3"/>
      <c r="BT564" s="3"/>
      <c r="BV564" s="3"/>
      <c r="BW564" s="3"/>
      <c r="BY564" s="3"/>
      <c r="BZ564" s="3"/>
      <c r="CB564" s="3"/>
      <c r="CC564" s="5"/>
      <c r="CE564" s="3"/>
      <c r="CH564" s="3"/>
      <c r="CI564" s="3"/>
      <c r="CK564" s="3"/>
      <c r="CL564" s="3"/>
      <c r="CN564" s="3"/>
      <c r="CO564" s="3"/>
      <c r="CQ564" s="3"/>
      <c r="CR564" s="5"/>
      <c r="CT564" s="3"/>
      <c r="CW564" s="3"/>
      <c r="CX564" s="3"/>
      <c r="CZ564" s="3"/>
      <c r="DA564" s="3"/>
      <c r="DC564" s="3"/>
      <c r="DD564" s="3"/>
      <c r="DF564" s="3"/>
      <c r="DG564" s="5"/>
      <c r="DI564" s="3"/>
      <c r="DL564" s="3"/>
      <c r="DM564" s="3"/>
      <c r="DO564" s="3"/>
      <c r="DP564" s="3"/>
      <c r="DR564" s="3"/>
      <c r="DS564" s="1" t="str">
        <f>_xlfn.XLOOKUP(OfficeForms.Table[[#This Row],[Selecione a Categoria do Laboratório desta atividade prática:]],Planilha1!A:A,Planilha1!B:B)</f>
        <v>BFR-BBI</v>
      </c>
      <c r="DT564" s="1" t="str">
        <f>CONCATENATE(OfficeForms.Table[[#This Row],[Selecione seu Polo Laboratório de Atividades Presenciais:]],OfficeForms.Table[[#This Row],[CHAVE CONVERSÃO]])</f>
        <v>Campo Grande/MS - Santo AntonioBFR-BBI</v>
      </c>
      <c r="DU56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Contagem diferencial de leucócitos</v>
      </c>
      <c r="DV56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56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564" s="1" t="e">
        <f>_xlfn.XLOOKUP(OfficeForms.Table[[#This Row],[CHAVE LINK POLO]],'[1]Quadro Geral de Lotação'!$B:$B,'[1]Quadro Geral de Lotação'!$I:$I)</f>
        <v>#N/A</v>
      </c>
      <c r="DY564" s="1" t="str">
        <f>OfficeForms.Table[[#This Row],[Selecione a Ordem de Disciplina]]</f>
        <v>Ordem 2</v>
      </c>
    </row>
    <row r="565" spans="1:129" ht="34.15" customHeight="1">
      <c r="A565" s="1">
        <v>565</v>
      </c>
      <c r="B565" s="2">
        <v>46112.928981481498</v>
      </c>
      <c r="C565" s="2">
        <v>46112.931122685201</v>
      </c>
      <c r="D565" s="3" t="s">
        <v>1727</v>
      </c>
      <c r="E565" s="3" t="s">
        <v>1728</v>
      </c>
      <c r="G565" s="3"/>
      <c r="I565" s="3" t="s">
        <v>1729</v>
      </c>
      <c r="K565" s="3"/>
      <c r="L565" s="1" t="s">
        <v>132</v>
      </c>
      <c r="O565" s="3" t="s">
        <v>184</v>
      </c>
      <c r="Q565" s="3"/>
      <c r="R565" s="3"/>
      <c r="T565" s="3"/>
      <c r="U565" s="5"/>
      <c r="W565" s="3"/>
      <c r="Z565" s="3"/>
      <c r="AA565" s="3"/>
      <c r="AC565" s="3"/>
      <c r="AD565" s="3"/>
      <c r="AF565" s="3"/>
      <c r="AG565" s="3" t="s">
        <v>206</v>
      </c>
      <c r="AI565" s="3"/>
      <c r="AJ565" s="1">
        <v>46072</v>
      </c>
      <c r="AL565" s="3"/>
      <c r="AM565" s="1">
        <v>7</v>
      </c>
      <c r="AO565" s="3"/>
      <c r="AP565" s="3" t="s">
        <v>1730</v>
      </c>
      <c r="AR565" s="3"/>
      <c r="AS565" s="3" t="s">
        <v>1731</v>
      </c>
      <c r="AU565" s="3"/>
      <c r="AV565" s="3"/>
      <c r="AX565" s="3"/>
      <c r="AY565" s="5"/>
      <c r="BA565" s="3"/>
      <c r="BD565" s="3"/>
      <c r="BE565" s="3"/>
      <c r="BG565" s="3"/>
      <c r="BH565" s="3"/>
      <c r="BJ565" s="3"/>
      <c r="BK565" s="3"/>
      <c r="BM565" s="3"/>
      <c r="BN565" s="5"/>
      <c r="BP565" s="3"/>
      <c r="BS565" s="3"/>
      <c r="BT565" s="3"/>
      <c r="BV565" s="3"/>
      <c r="BW565" s="3"/>
      <c r="BY565" s="3"/>
      <c r="BZ565" s="3"/>
      <c r="CB565" s="3"/>
      <c r="CC565" s="5"/>
      <c r="CE565" s="3"/>
      <c r="CH565" s="3"/>
      <c r="CI565" s="3"/>
      <c r="CK565" s="3"/>
      <c r="CL565" s="3"/>
      <c r="CN565" s="3"/>
      <c r="CO565" s="3"/>
      <c r="CQ565" s="3"/>
      <c r="CR565" s="5"/>
      <c r="CT565" s="3"/>
      <c r="CW565" s="3"/>
      <c r="CX565" s="3"/>
      <c r="CZ565" s="3"/>
      <c r="DA565" s="3"/>
      <c r="DC565" s="3"/>
      <c r="DD565" s="3"/>
      <c r="DF565" s="3"/>
      <c r="DG565" s="5"/>
      <c r="DI565" s="3"/>
      <c r="DL565" s="3"/>
      <c r="DM565" s="3"/>
      <c r="DO565" s="3"/>
      <c r="DP565" s="3"/>
      <c r="DR565" s="3"/>
      <c r="DS565" s="1" t="str">
        <f>_xlfn.XLOOKUP(OfficeForms.Table[[#This Row],[Selecione a Categoria do Laboratório desta atividade prática:]],Planilha1!A:A,Planilha1!B:B)</f>
        <v>EMF-ISN</v>
      </c>
      <c r="DT565" s="1" t="str">
        <f>CONCATENATE(OfficeForms.Table[[#This Row],[Selecione seu Polo Laboratório de Atividades Presenciais:]],OfficeForms.Table[[#This Row],[CHAVE CONVERSÃO]])</f>
        <v>Goiânia/GO - CerradoEMF-ISN</v>
      </c>
      <c r="DU56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56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56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565" s="1" t="str">
        <f>_xlfn.XLOOKUP(OfficeForms.Table[[#This Row],[CHAVE LINK POLO]],'[1]Quadro Geral de Lotação'!$B:$B,'[1]Quadro Geral de Lotação'!$I:$I)</f>
        <v>Marina Almeida Rodrigues</v>
      </c>
      <c r="DY565" s="1" t="str">
        <f>OfficeForms.Table[[#This Row],[Selecione a Ordem de Disciplina]]</f>
        <v>Ordem 1</v>
      </c>
    </row>
    <row r="566" spans="1:129" ht="34.15" customHeight="1">
      <c r="A566" s="1">
        <v>566</v>
      </c>
      <c r="B566" s="2">
        <v>46112.931469907402</v>
      </c>
      <c r="C566" s="2">
        <v>46112.932650463001</v>
      </c>
      <c r="D566" s="3" t="s">
        <v>1727</v>
      </c>
      <c r="E566" s="3" t="s">
        <v>1728</v>
      </c>
      <c r="G566" s="3"/>
      <c r="I566" s="3" t="s">
        <v>1729</v>
      </c>
      <c r="K566" s="3"/>
      <c r="L566" s="1" t="s">
        <v>132</v>
      </c>
      <c r="O566" s="3" t="s">
        <v>184</v>
      </c>
      <c r="Q566" s="3"/>
      <c r="R566" s="3"/>
      <c r="T566" s="3"/>
      <c r="U566" s="5"/>
      <c r="W566" s="3"/>
      <c r="Z566" s="3"/>
      <c r="AA566" s="3"/>
      <c r="AC566" s="3"/>
      <c r="AD566" s="3"/>
      <c r="AF566" s="3"/>
      <c r="AG566" s="3" t="s">
        <v>194</v>
      </c>
      <c r="AI566" s="3"/>
      <c r="AJ566" s="1">
        <v>46076</v>
      </c>
      <c r="AL566" s="3"/>
      <c r="AM566" s="1">
        <v>0</v>
      </c>
      <c r="AO566" s="3"/>
      <c r="AP566" s="3" t="s">
        <v>1732</v>
      </c>
      <c r="AR566" s="3"/>
      <c r="AS566" s="3" t="s">
        <v>1733</v>
      </c>
      <c r="AU566" s="3"/>
      <c r="AV566" s="3"/>
      <c r="AX566" s="3"/>
      <c r="AY566" s="5"/>
      <c r="BA566" s="3"/>
      <c r="BD566" s="3"/>
      <c r="BE566" s="3"/>
      <c r="BG566" s="3"/>
      <c r="BH566" s="3"/>
      <c r="BJ566" s="3"/>
      <c r="BK566" s="3"/>
      <c r="BM566" s="3"/>
      <c r="BN566" s="5"/>
      <c r="BP566" s="3"/>
      <c r="BS566" s="3"/>
      <c r="BT566" s="3"/>
      <c r="BV566" s="3"/>
      <c r="BW566" s="3"/>
      <c r="BY566" s="3"/>
      <c r="BZ566" s="3"/>
      <c r="CB566" s="3"/>
      <c r="CC566" s="5"/>
      <c r="CE566" s="3"/>
      <c r="CH566" s="3"/>
      <c r="CI566" s="3"/>
      <c r="CK566" s="3"/>
      <c r="CL566" s="3"/>
      <c r="CN566" s="3"/>
      <c r="CO566" s="3"/>
      <c r="CQ566" s="3"/>
      <c r="CR566" s="5"/>
      <c r="CT566" s="3"/>
      <c r="CW566" s="3"/>
      <c r="CX566" s="3"/>
      <c r="CZ566" s="3"/>
      <c r="DA566" s="3"/>
      <c r="DC566" s="3"/>
      <c r="DD566" s="3"/>
      <c r="DF566" s="3"/>
      <c r="DG566" s="5"/>
      <c r="DI566" s="3"/>
      <c r="DL566" s="3"/>
      <c r="DM566" s="3"/>
      <c r="DO566" s="3"/>
      <c r="DP566" s="3"/>
      <c r="DR566" s="3"/>
      <c r="DS566" s="1" t="str">
        <f>_xlfn.XLOOKUP(OfficeForms.Table[[#This Row],[Selecione a Categoria do Laboratório desta atividade prática:]],Planilha1!A:A,Planilha1!B:B)</f>
        <v>EMF-ISN</v>
      </c>
      <c r="DT566" s="1" t="str">
        <f>CONCATENATE(OfficeForms.Table[[#This Row],[Selecione seu Polo Laboratório de Atividades Presenciais:]],OfficeForms.Table[[#This Row],[CHAVE CONVERSÃO]])</f>
        <v>Goiânia/GO - CerradoEMF-ISN</v>
      </c>
      <c r="DU56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56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46076</v>
      </c>
      <c r="DW56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66" s="1" t="str">
        <f>_xlfn.XLOOKUP(OfficeForms.Table[[#This Row],[CHAVE LINK POLO]],'[1]Quadro Geral de Lotação'!$B:$B,'[1]Quadro Geral de Lotação'!$I:$I)</f>
        <v>Marina Almeida Rodrigues</v>
      </c>
      <c r="DY566" s="1" t="str">
        <f>OfficeForms.Table[[#This Row],[Selecione a Ordem de Disciplina]]</f>
        <v>Ordem 1</v>
      </c>
    </row>
    <row r="567" spans="1:129" ht="34.15" customHeight="1">
      <c r="A567" s="1">
        <v>567</v>
      </c>
      <c r="B567" s="2">
        <v>46112.932777777802</v>
      </c>
      <c r="C567" s="2">
        <v>46112.933645833298</v>
      </c>
      <c r="D567" s="3" t="s">
        <v>1727</v>
      </c>
      <c r="E567" s="3" t="s">
        <v>1728</v>
      </c>
      <c r="G567" s="3"/>
      <c r="I567" s="3" t="s">
        <v>1729</v>
      </c>
      <c r="K567" s="3"/>
      <c r="L567" s="1" t="s">
        <v>132</v>
      </c>
      <c r="O567" s="3" t="s">
        <v>184</v>
      </c>
      <c r="Q567" s="3"/>
      <c r="R567" s="3"/>
      <c r="T567" s="3"/>
      <c r="U567" s="5"/>
      <c r="W567" s="3"/>
      <c r="Z567" s="3"/>
      <c r="AA567" s="3"/>
      <c r="AC567" s="3"/>
      <c r="AD567" s="3"/>
      <c r="AF567" s="3"/>
      <c r="AG567" s="3" t="s">
        <v>316</v>
      </c>
      <c r="AI567" s="3"/>
      <c r="AJ567" s="1">
        <v>46077</v>
      </c>
      <c r="AL567" s="3"/>
      <c r="AM567" s="1">
        <v>8</v>
      </c>
      <c r="AO567" s="3"/>
      <c r="AP567" s="3" t="s">
        <v>1734</v>
      </c>
      <c r="AR567" s="3"/>
      <c r="AS567" s="3" t="s">
        <v>1735</v>
      </c>
      <c r="AU567" s="3"/>
      <c r="AV567" s="3"/>
      <c r="AX567" s="3"/>
      <c r="AY567" s="5"/>
      <c r="BA567" s="3"/>
      <c r="BD567" s="3"/>
      <c r="BE567" s="3"/>
      <c r="BG567" s="3"/>
      <c r="BH567" s="3"/>
      <c r="BJ567" s="3"/>
      <c r="BK567" s="3"/>
      <c r="BM567" s="3"/>
      <c r="BN567" s="5"/>
      <c r="BP567" s="3"/>
      <c r="BS567" s="3"/>
      <c r="BT567" s="3"/>
      <c r="BV567" s="3"/>
      <c r="BW567" s="3"/>
      <c r="BY567" s="3"/>
      <c r="BZ567" s="3"/>
      <c r="CB567" s="3"/>
      <c r="CC567" s="5"/>
      <c r="CE567" s="3"/>
      <c r="CH567" s="3"/>
      <c r="CI567" s="3"/>
      <c r="CK567" s="3"/>
      <c r="CL567" s="3"/>
      <c r="CN567" s="3"/>
      <c r="CO567" s="3"/>
      <c r="CQ567" s="3"/>
      <c r="CR567" s="5"/>
      <c r="CT567" s="3"/>
      <c r="CW567" s="3"/>
      <c r="CX567" s="3"/>
      <c r="CZ567" s="3"/>
      <c r="DA567" s="3"/>
      <c r="DC567" s="3"/>
      <c r="DD567" s="3"/>
      <c r="DF567" s="3"/>
      <c r="DG567" s="5"/>
      <c r="DI567" s="3"/>
      <c r="DL567" s="3"/>
      <c r="DM567" s="3"/>
      <c r="DO567" s="3"/>
      <c r="DP567" s="3"/>
      <c r="DR567" s="3"/>
      <c r="DS567" s="1" t="str">
        <f>_xlfn.XLOOKUP(OfficeForms.Table[[#This Row],[Selecione a Categoria do Laboratório desta atividade prática:]],Planilha1!A:A,Planilha1!B:B)</f>
        <v>EMF-ISN</v>
      </c>
      <c r="DT567" s="1" t="str">
        <f>CONCATENATE(OfficeForms.Table[[#This Row],[Selecione seu Polo Laboratório de Atividades Presenciais:]],OfficeForms.Table[[#This Row],[CHAVE CONVERSÃO]])</f>
        <v>Goiânia/GO - CerradoEMF-ISN</v>
      </c>
      <c r="DU56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56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46077</v>
      </c>
      <c r="DW56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567" s="1" t="str">
        <f>_xlfn.XLOOKUP(OfficeForms.Table[[#This Row],[CHAVE LINK POLO]],'[1]Quadro Geral de Lotação'!$B:$B,'[1]Quadro Geral de Lotação'!$I:$I)</f>
        <v>Marina Almeida Rodrigues</v>
      </c>
      <c r="DY567" s="1" t="str">
        <f>OfficeForms.Table[[#This Row],[Selecione a Ordem de Disciplina]]</f>
        <v>Ordem 1</v>
      </c>
    </row>
    <row r="568" spans="1:129" ht="34.15" customHeight="1">
      <c r="A568" s="1">
        <v>568</v>
      </c>
      <c r="B568" s="2">
        <v>46112.933923611097</v>
      </c>
      <c r="C568" s="2">
        <v>46112.934884259303</v>
      </c>
      <c r="D568" s="3" t="s">
        <v>1727</v>
      </c>
      <c r="E568" s="3" t="s">
        <v>1728</v>
      </c>
      <c r="G568" s="3"/>
      <c r="I568" s="3" t="s">
        <v>1729</v>
      </c>
      <c r="K568" s="3"/>
      <c r="L568" s="1" t="s">
        <v>132</v>
      </c>
      <c r="O568" s="3" t="s">
        <v>184</v>
      </c>
      <c r="Q568" s="3"/>
      <c r="R568" s="3"/>
      <c r="T568" s="3"/>
      <c r="U568" s="5"/>
      <c r="W568" s="3"/>
      <c r="Z568" s="3"/>
      <c r="AA568" s="3"/>
      <c r="AC568" s="3"/>
      <c r="AD568" s="3"/>
      <c r="AF568" s="3"/>
      <c r="AG568" s="3" t="s">
        <v>414</v>
      </c>
      <c r="AI568" s="3"/>
      <c r="AJ568" s="1">
        <v>46085</v>
      </c>
      <c r="AL568" s="3"/>
      <c r="AM568" s="1">
        <v>7</v>
      </c>
      <c r="AO568" s="3"/>
      <c r="AP568" s="3" t="s">
        <v>1736</v>
      </c>
      <c r="AR568" s="3"/>
      <c r="AS568" s="3" t="s">
        <v>1737</v>
      </c>
      <c r="AU568" s="3"/>
      <c r="AV568" s="3"/>
      <c r="AX568" s="3"/>
      <c r="AY568" s="5"/>
      <c r="BA568" s="3"/>
      <c r="BD568" s="3"/>
      <c r="BE568" s="3"/>
      <c r="BG568" s="3"/>
      <c r="BH568" s="3"/>
      <c r="BJ568" s="3"/>
      <c r="BK568" s="3"/>
      <c r="BM568" s="3"/>
      <c r="BN568" s="5"/>
      <c r="BP568" s="3"/>
      <c r="BS568" s="3"/>
      <c r="BT568" s="3"/>
      <c r="BV568" s="3"/>
      <c r="BW568" s="3"/>
      <c r="BY568" s="3"/>
      <c r="BZ568" s="3"/>
      <c r="CB568" s="3"/>
      <c r="CC568" s="5"/>
      <c r="CE568" s="3"/>
      <c r="CH568" s="3"/>
      <c r="CI568" s="3"/>
      <c r="CK568" s="3"/>
      <c r="CL568" s="3"/>
      <c r="CN568" s="3"/>
      <c r="CO568" s="3"/>
      <c r="CQ568" s="3"/>
      <c r="CR568" s="5"/>
      <c r="CT568" s="3"/>
      <c r="CW568" s="3"/>
      <c r="CX568" s="3"/>
      <c r="CZ568" s="3"/>
      <c r="DA568" s="3"/>
      <c r="DC568" s="3"/>
      <c r="DD568" s="3"/>
      <c r="DF568" s="3"/>
      <c r="DG568" s="5"/>
      <c r="DI568" s="3"/>
      <c r="DL568" s="3"/>
      <c r="DM568" s="3"/>
      <c r="DO568" s="3"/>
      <c r="DP568" s="3"/>
      <c r="DR568" s="3"/>
      <c r="DS568" s="1" t="str">
        <f>_xlfn.XLOOKUP(OfficeForms.Table[[#This Row],[Selecione a Categoria do Laboratório desta atividade prática:]],Planilha1!A:A,Planilha1!B:B)</f>
        <v>EMF-ISN</v>
      </c>
      <c r="DT568" s="1" t="str">
        <f>CONCATENATE(OfficeForms.Table[[#This Row],[Selecione seu Polo Laboratório de Atividades Presenciais:]],OfficeForms.Table[[#This Row],[CHAVE CONVERSÃO]])</f>
        <v>Goiânia/GO - CerradoEMF-ISN</v>
      </c>
      <c r="DU56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56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46085</v>
      </c>
      <c r="DW56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568" s="1" t="str">
        <f>_xlfn.XLOOKUP(OfficeForms.Table[[#This Row],[CHAVE LINK POLO]],'[1]Quadro Geral de Lotação'!$B:$B,'[1]Quadro Geral de Lotação'!$I:$I)</f>
        <v>Marina Almeida Rodrigues</v>
      </c>
      <c r="DY568" s="1" t="str">
        <f>OfficeForms.Table[[#This Row],[Selecione a Ordem de Disciplina]]</f>
        <v>Ordem 1</v>
      </c>
    </row>
    <row r="569" spans="1:129" ht="34.15" customHeight="1">
      <c r="A569" s="1">
        <v>569</v>
      </c>
      <c r="B569" s="2">
        <v>46112.934942129599</v>
      </c>
      <c r="C569" s="2">
        <v>46112.935717592598</v>
      </c>
      <c r="D569" s="3" t="s">
        <v>1727</v>
      </c>
      <c r="E569" s="3" t="s">
        <v>1728</v>
      </c>
      <c r="G569" s="3"/>
      <c r="I569" s="3" t="s">
        <v>1729</v>
      </c>
      <c r="K569" s="3"/>
      <c r="L569" s="1" t="s">
        <v>132</v>
      </c>
      <c r="O569" s="3" t="s">
        <v>184</v>
      </c>
      <c r="Q569" s="3"/>
      <c r="R569" s="3"/>
      <c r="T569" s="3"/>
      <c r="U569" s="5"/>
      <c r="W569" s="3"/>
      <c r="Z569" s="3"/>
      <c r="AA569" s="3"/>
      <c r="AC569" s="3"/>
      <c r="AD569" s="3"/>
      <c r="AF569" s="3"/>
      <c r="AG569" s="3" t="s">
        <v>206</v>
      </c>
      <c r="AI569" s="3"/>
      <c r="AJ569" s="1">
        <v>46086</v>
      </c>
      <c r="AL569" s="3"/>
      <c r="AM569" s="1">
        <v>9</v>
      </c>
      <c r="AO569" s="3"/>
      <c r="AP569" s="3" t="s">
        <v>1738</v>
      </c>
      <c r="AR569" s="3"/>
      <c r="AS569" s="3" t="s">
        <v>1739</v>
      </c>
      <c r="AU569" s="3"/>
      <c r="AV569" s="3"/>
      <c r="AX569" s="3"/>
      <c r="AY569" s="5"/>
      <c r="BA569" s="3"/>
      <c r="BD569" s="3"/>
      <c r="BE569" s="3"/>
      <c r="BG569" s="3"/>
      <c r="BH569" s="3"/>
      <c r="BJ569" s="3"/>
      <c r="BK569" s="3"/>
      <c r="BM569" s="3"/>
      <c r="BN569" s="5"/>
      <c r="BP569" s="3"/>
      <c r="BS569" s="3"/>
      <c r="BT569" s="3"/>
      <c r="BV569" s="3"/>
      <c r="BW569" s="3"/>
      <c r="BY569" s="3"/>
      <c r="BZ569" s="3"/>
      <c r="CB569" s="3"/>
      <c r="CC569" s="5"/>
      <c r="CE569" s="3"/>
      <c r="CH569" s="3"/>
      <c r="CI569" s="3"/>
      <c r="CK569" s="3"/>
      <c r="CL569" s="3"/>
      <c r="CN569" s="3"/>
      <c r="CO569" s="3"/>
      <c r="CQ569" s="3"/>
      <c r="CR569" s="5"/>
      <c r="CT569" s="3"/>
      <c r="CW569" s="3"/>
      <c r="CX569" s="3"/>
      <c r="CZ569" s="3"/>
      <c r="DA569" s="3"/>
      <c r="DC569" s="3"/>
      <c r="DD569" s="3"/>
      <c r="DF569" s="3"/>
      <c r="DG569" s="5"/>
      <c r="DI569" s="3"/>
      <c r="DL569" s="3"/>
      <c r="DM569" s="3"/>
      <c r="DO569" s="3"/>
      <c r="DP569" s="3"/>
      <c r="DR569" s="3"/>
      <c r="DS569" s="1" t="str">
        <f>_xlfn.XLOOKUP(OfficeForms.Table[[#This Row],[Selecione a Categoria do Laboratório desta atividade prática:]],Planilha1!A:A,Planilha1!B:B)</f>
        <v>EMF-ISN</v>
      </c>
      <c r="DT569" s="1" t="str">
        <f>CONCATENATE(OfficeForms.Table[[#This Row],[Selecione seu Polo Laboratório de Atividades Presenciais:]],OfficeForms.Table[[#This Row],[CHAVE CONVERSÃO]])</f>
        <v>Goiânia/GO - CerradoEMF-ISN</v>
      </c>
      <c r="DU56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Aspiração de vias aéreas (com e sem TOT)</v>
      </c>
      <c r="DV56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56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569" s="1" t="str">
        <f>_xlfn.XLOOKUP(OfficeForms.Table[[#This Row],[CHAVE LINK POLO]],'[1]Quadro Geral de Lotação'!$B:$B,'[1]Quadro Geral de Lotação'!$I:$I)</f>
        <v>Marina Almeida Rodrigues</v>
      </c>
      <c r="DY569" s="1" t="str">
        <f>OfficeForms.Table[[#This Row],[Selecione a Ordem de Disciplina]]</f>
        <v>Ordem 1</v>
      </c>
    </row>
    <row r="570" spans="1:129" ht="34.15" customHeight="1">
      <c r="A570" s="1">
        <v>570</v>
      </c>
      <c r="B570" s="2">
        <v>46112.935775462996</v>
      </c>
      <c r="C570" s="2">
        <v>46112.9365972222</v>
      </c>
      <c r="D570" s="3" t="s">
        <v>1727</v>
      </c>
      <c r="E570" s="3" t="s">
        <v>1728</v>
      </c>
      <c r="G570" s="3"/>
      <c r="I570" s="3" t="s">
        <v>1729</v>
      </c>
      <c r="K570" s="3"/>
      <c r="L570" s="1" t="s">
        <v>132</v>
      </c>
      <c r="O570" s="3" t="s">
        <v>184</v>
      </c>
      <c r="Q570" s="3"/>
      <c r="R570" s="3"/>
      <c r="T570" s="3"/>
      <c r="U570" s="5"/>
      <c r="W570" s="3"/>
      <c r="Z570" s="3"/>
      <c r="AA570" s="3"/>
      <c r="AC570" s="3"/>
      <c r="AD570" s="3"/>
      <c r="AF570" s="3"/>
      <c r="AG570" s="3" t="s">
        <v>185</v>
      </c>
      <c r="AI570" s="3"/>
      <c r="AJ570" s="1">
        <v>46087</v>
      </c>
      <c r="AL570" s="3"/>
      <c r="AM570" s="1">
        <v>9</v>
      </c>
      <c r="AO570" s="3"/>
      <c r="AP570" s="3" t="s">
        <v>1740</v>
      </c>
      <c r="AR570" s="3"/>
      <c r="AS570" s="3" t="s">
        <v>1741</v>
      </c>
      <c r="AU570" s="3"/>
      <c r="AV570" s="3"/>
      <c r="AX570" s="3"/>
      <c r="AY570" s="5"/>
      <c r="BA570" s="3"/>
      <c r="BD570" s="3"/>
      <c r="BE570" s="3"/>
      <c r="BG570" s="3"/>
      <c r="BH570" s="3"/>
      <c r="BJ570" s="3"/>
      <c r="BK570" s="3"/>
      <c r="BM570" s="3"/>
      <c r="BN570" s="5"/>
      <c r="BP570" s="3"/>
      <c r="BS570" s="3"/>
      <c r="BT570" s="3"/>
      <c r="BV570" s="3"/>
      <c r="BW570" s="3"/>
      <c r="BY570" s="3"/>
      <c r="BZ570" s="3"/>
      <c r="CB570" s="3"/>
      <c r="CC570" s="5"/>
      <c r="CE570" s="3"/>
      <c r="CH570" s="3"/>
      <c r="CI570" s="3"/>
      <c r="CK570" s="3"/>
      <c r="CL570" s="3"/>
      <c r="CN570" s="3"/>
      <c r="CO570" s="3"/>
      <c r="CQ570" s="3"/>
      <c r="CR570" s="5"/>
      <c r="CT570" s="3"/>
      <c r="CW570" s="3"/>
      <c r="CX570" s="3"/>
      <c r="CZ570" s="3"/>
      <c r="DA570" s="3"/>
      <c r="DC570" s="3"/>
      <c r="DD570" s="3"/>
      <c r="DF570" s="3"/>
      <c r="DG570" s="5"/>
      <c r="DI570" s="3"/>
      <c r="DL570" s="3"/>
      <c r="DM570" s="3"/>
      <c r="DO570" s="3"/>
      <c r="DP570" s="3"/>
      <c r="DR570" s="3"/>
      <c r="DS570" s="1" t="str">
        <f>_xlfn.XLOOKUP(OfficeForms.Table[[#This Row],[Selecione a Categoria do Laboratório desta atividade prática:]],Planilha1!A:A,Planilha1!B:B)</f>
        <v>EMF-ISN</v>
      </c>
      <c r="DT570" s="1" t="str">
        <f>CONCATENATE(OfficeForms.Table[[#This Row],[Selecione seu Polo Laboratório de Atividades Presenciais:]],OfficeForms.Table[[#This Row],[CHAVE CONVERSÃO]])</f>
        <v>Goiânia/GO - CerradoEMF-ISN</v>
      </c>
      <c r="DU57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57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57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570" s="1" t="str">
        <f>_xlfn.XLOOKUP(OfficeForms.Table[[#This Row],[CHAVE LINK POLO]],'[1]Quadro Geral de Lotação'!$B:$B,'[1]Quadro Geral de Lotação'!$I:$I)</f>
        <v>Marina Almeida Rodrigues</v>
      </c>
      <c r="DY570" s="1" t="str">
        <f>OfficeForms.Table[[#This Row],[Selecione a Ordem de Disciplina]]</f>
        <v>Ordem 1</v>
      </c>
    </row>
    <row r="571" spans="1:129" ht="34.15" customHeight="1">
      <c r="A571" s="1">
        <v>571</v>
      </c>
      <c r="B571" s="2">
        <v>46112.936655092599</v>
      </c>
      <c r="C571" s="2">
        <v>46112.938333333303</v>
      </c>
      <c r="D571" s="3" t="s">
        <v>1727</v>
      </c>
      <c r="E571" s="3" t="s">
        <v>1728</v>
      </c>
      <c r="G571" s="3"/>
      <c r="I571" s="3" t="s">
        <v>1729</v>
      </c>
      <c r="K571" s="3"/>
      <c r="L571" s="1" t="s">
        <v>678</v>
      </c>
      <c r="O571" s="3" t="s">
        <v>184</v>
      </c>
      <c r="Q571" s="3"/>
      <c r="R571" s="3"/>
      <c r="T571" s="3"/>
      <c r="U571" s="5"/>
      <c r="W571" s="3"/>
      <c r="Z571" s="3"/>
      <c r="AA571" s="3"/>
      <c r="AC571" s="3"/>
      <c r="AD571" s="3"/>
      <c r="AF571" s="3"/>
      <c r="AG571" s="3" t="s">
        <v>1105</v>
      </c>
      <c r="AI571" s="3"/>
      <c r="AJ571" s="1">
        <v>46104</v>
      </c>
      <c r="AL571" s="3"/>
      <c r="AM571" s="1">
        <v>3</v>
      </c>
      <c r="AO571" s="3"/>
      <c r="AP571" s="3" t="s">
        <v>1742</v>
      </c>
      <c r="AR571" s="3"/>
      <c r="AS571" s="3" t="s">
        <v>1743</v>
      </c>
      <c r="AU571" s="3"/>
      <c r="AV571" s="3"/>
      <c r="AX571" s="3"/>
      <c r="AY571" s="5"/>
      <c r="BA571" s="3"/>
      <c r="BD571" s="3"/>
      <c r="BE571" s="3"/>
      <c r="BG571" s="3"/>
      <c r="BH571" s="3"/>
      <c r="BJ571" s="3"/>
      <c r="BK571" s="3"/>
      <c r="BM571" s="3"/>
      <c r="BN571" s="5"/>
      <c r="BP571" s="3"/>
      <c r="BS571" s="3"/>
      <c r="BT571" s="3"/>
      <c r="BV571" s="3"/>
      <c r="BW571" s="3"/>
      <c r="BY571" s="3"/>
      <c r="BZ571" s="3"/>
      <c r="CB571" s="3"/>
      <c r="CC571" s="5"/>
      <c r="CE571" s="3"/>
      <c r="CH571" s="3"/>
      <c r="CI571" s="3"/>
      <c r="CK571" s="3"/>
      <c r="CL571" s="3"/>
      <c r="CN571" s="3"/>
      <c r="CO571" s="3"/>
      <c r="CQ571" s="3"/>
      <c r="CR571" s="5"/>
      <c r="CT571" s="3"/>
      <c r="CW571" s="3"/>
      <c r="CX571" s="3"/>
      <c r="CZ571" s="3"/>
      <c r="DA571" s="3"/>
      <c r="DC571" s="3"/>
      <c r="DD571" s="3"/>
      <c r="DF571" s="3"/>
      <c r="DG571" s="5"/>
      <c r="DI571" s="3"/>
      <c r="DL571" s="3"/>
      <c r="DM571" s="3"/>
      <c r="DO571" s="3"/>
      <c r="DP571" s="3"/>
      <c r="DR571" s="3"/>
      <c r="DS571" s="1" t="str">
        <f>_xlfn.XLOOKUP(OfficeForms.Table[[#This Row],[Selecione a Categoria do Laboratório desta atividade prática:]],Planilha1!A:A,Planilha1!B:B)</f>
        <v>EMF-ISN</v>
      </c>
      <c r="DT571" s="1" t="str">
        <f>CONCATENATE(OfficeForms.Table[[#This Row],[Selecione seu Polo Laboratório de Atividades Presenciais:]],OfficeForms.Table[[#This Row],[CHAVE CONVERSÃO]])</f>
        <v>Goiânia/GO - CerradoEMF-ISN</v>
      </c>
      <c r="DU57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57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57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71" s="1" t="str">
        <f>_xlfn.XLOOKUP(OfficeForms.Table[[#This Row],[CHAVE LINK POLO]],'[1]Quadro Geral de Lotação'!$B:$B,'[1]Quadro Geral de Lotação'!$I:$I)</f>
        <v>Marina Almeida Rodrigues</v>
      </c>
      <c r="DY571" s="1" t="str">
        <f>OfficeForms.Table[[#This Row],[Selecione a Ordem de Disciplina]]</f>
        <v>Ordem 2</v>
      </c>
    </row>
    <row r="572" spans="1:129" ht="34.15" customHeight="1">
      <c r="A572" s="1">
        <v>572</v>
      </c>
      <c r="B572" s="2">
        <v>46112.938425925902</v>
      </c>
      <c r="C572" s="2">
        <v>46112.9390277778</v>
      </c>
      <c r="D572" s="3" t="s">
        <v>1727</v>
      </c>
      <c r="E572" s="3" t="s">
        <v>1728</v>
      </c>
      <c r="G572" s="3"/>
      <c r="I572" s="3" t="s">
        <v>1729</v>
      </c>
      <c r="K572" s="3"/>
      <c r="L572" s="1" t="s">
        <v>678</v>
      </c>
      <c r="O572" s="3" t="s">
        <v>184</v>
      </c>
      <c r="Q572" s="3"/>
      <c r="R572" s="3"/>
      <c r="T572" s="3"/>
      <c r="U572" s="5"/>
      <c r="W572" s="3"/>
      <c r="Z572" s="3"/>
      <c r="AA572" s="3"/>
      <c r="AC572" s="3"/>
      <c r="AD572" s="3"/>
      <c r="AF572" s="3"/>
      <c r="AG572" s="3" t="s">
        <v>211</v>
      </c>
      <c r="AI572" s="3"/>
      <c r="AJ572" s="1">
        <v>46105</v>
      </c>
      <c r="AL572" s="3"/>
      <c r="AM572" s="1">
        <v>3</v>
      </c>
      <c r="AO572" s="3"/>
      <c r="AP572" s="3" t="s">
        <v>1744</v>
      </c>
      <c r="AR572" s="3"/>
      <c r="AS572" s="3" t="s">
        <v>1745</v>
      </c>
      <c r="AU572" s="3"/>
      <c r="AV572" s="3"/>
      <c r="AX572" s="3"/>
      <c r="AY572" s="5"/>
      <c r="BA572" s="3"/>
      <c r="BD572" s="3"/>
      <c r="BE572" s="3"/>
      <c r="BG572" s="3"/>
      <c r="BH572" s="3"/>
      <c r="BJ572" s="3"/>
      <c r="BK572" s="3"/>
      <c r="BM572" s="3"/>
      <c r="BN572" s="5"/>
      <c r="BP572" s="3"/>
      <c r="BS572" s="3"/>
      <c r="BT572" s="3"/>
      <c r="BV572" s="3"/>
      <c r="BW572" s="3"/>
      <c r="BY572" s="3"/>
      <c r="BZ572" s="3"/>
      <c r="CB572" s="3"/>
      <c r="CC572" s="5"/>
      <c r="CE572" s="3"/>
      <c r="CH572" s="3"/>
      <c r="CI572" s="3"/>
      <c r="CK572" s="3"/>
      <c r="CL572" s="3"/>
      <c r="CN572" s="3"/>
      <c r="CO572" s="3"/>
      <c r="CQ572" s="3"/>
      <c r="CR572" s="5"/>
      <c r="CT572" s="3"/>
      <c r="CW572" s="3"/>
      <c r="CX572" s="3"/>
      <c r="CZ572" s="3"/>
      <c r="DA572" s="3"/>
      <c r="DC572" s="3"/>
      <c r="DD572" s="3"/>
      <c r="DF572" s="3"/>
      <c r="DG572" s="5"/>
      <c r="DI572" s="3"/>
      <c r="DL572" s="3"/>
      <c r="DM572" s="3"/>
      <c r="DO572" s="3"/>
      <c r="DP572" s="3"/>
      <c r="DR572" s="3"/>
      <c r="DS572" s="1" t="str">
        <f>_xlfn.XLOOKUP(OfficeForms.Table[[#This Row],[Selecione a Categoria do Laboratório desta atividade prática:]],Planilha1!A:A,Planilha1!B:B)</f>
        <v>EMF-ISN</v>
      </c>
      <c r="DT572" s="1" t="str">
        <f>CONCATENATE(OfficeForms.Table[[#This Row],[Selecione seu Polo Laboratório de Atividades Presenciais:]],OfficeForms.Table[[#This Row],[CHAVE CONVERSÃO]])</f>
        <v>Goiânia/GO - CerradoEMF-ISN</v>
      </c>
      <c r="DU57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57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57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72" s="1" t="str">
        <f>_xlfn.XLOOKUP(OfficeForms.Table[[#This Row],[CHAVE LINK POLO]],'[1]Quadro Geral de Lotação'!$B:$B,'[1]Quadro Geral de Lotação'!$I:$I)</f>
        <v>Marina Almeida Rodrigues</v>
      </c>
      <c r="DY572" s="1" t="str">
        <f>OfficeForms.Table[[#This Row],[Selecione a Ordem de Disciplina]]</f>
        <v>Ordem 2</v>
      </c>
    </row>
    <row r="573" spans="1:129" ht="34.15" customHeight="1">
      <c r="A573" s="1">
        <v>573</v>
      </c>
      <c r="B573" s="2">
        <v>46112.939085648097</v>
      </c>
      <c r="C573" s="2">
        <v>46112.9401967593</v>
      </c>
      <c r="D573" s="3" t="s">
        <v>1727</v>
      </c>
      <c r="E573" s="3" t="s">
        <v>1728</v>
      </c>
      <c r="G573" s="3"/>
      <c r="I573" s="3" t="s">
        <v>1729</v>
      </c>
      <c r="K573" s="3"/>
      <c r="L573" s="1" t="s">
        <v>678</v>
      </c>
      <c r="O573" s="3" t="s">
        <v>184</v>
      </c>
      <c r="Q573" s="3"/>
      <c r="R573" s="3"/>
      <c r="T573" s="3"/>
      <c r="U573" s="5"/>
      <c r="W573" s="3"/>
      <c r="Z573" s="3"/>
      <c r="AA573" s="3"/>
      <c r="AC573" s="3"/>
      <c r="AD573" s="3"/>
      <c r="AF573" s="3"/>
      <c r="AG573" s="3" t="s">
        <v>1016</v>
      </c>
      <c r="AI573" s="3"/>
      <c r="AJ573" s="1">
        <v>46106</v>
      </c>
      <c r="AL573" s="3"/>
      <c r="AM573" s="1">
        <v>5</v>
      </c>
      <c r="AO573" s="3"/>
      <c r="AP573" s="3" t="s">
        <v>1746</v>
      </c>
      <c r="AR573" s="3"/>
      <c r="AS573" s="3" t="s">
        <v>1747</v>
      </c>
      <c r="AU573" s="3"/>
      <c r="AV573" s="3"/>
      <c r="AX573" s="3"/>
      <c r="AY573" s="5"/>
      <c r="BA573" s="3"/>
      <c r="BD573" s="3"/>
      <c r="BE573" s="3"/>
      <c r="BG573" s="3"/>
      <c r="BH573" s="3"/>
      <c r="BJ573" s="3"/>
      <c r="BK573" s="3"/>
      <c r="BM573" s="3"/>
      <c r="BN573" s="5"/>
      <c r="BP573" s="3"/>
      <c r="BS573" s="3"/>
      <c r="BT573" s="3"/>
      <c r="BV573" s="3"/>
      <c r="BW573" s="3"/>
      <c r="BY573" s="3"/>
      <c r="BZ573" s="3"/>
      <c r="CB573" s="3"/>
      <c r="CC573" s="5"/>
      <c r="CE573" s="3"/>
      <c r="CH573" s="3"/>
      <c r="CI573" s="3"/>
      <c r="CK573" s="3"/>
      <c r="CL573" s="3"/>
      <c r="CN573" s="3"/>
      <c r="CO573" s="3"/>
      <c r="CQ573" s="3"/>
      <c r="CR573" s="5"/>
      <c r="CT573" s="3"/>
      <c r="CW573" s="3"/>
      <c r="CX573" s="3"/>
      <c r="CZ573" s="3"/>
      <c r="DA573" s="3"/>
      <c r="DC573" s="3"/>
      <c r="DD573" s="3"/>
      <c r="DF573" s="3"/>
      <c r="DG573" s="5"/>
      <c r="DI573" s="3"/>
      <c r="DL573" s="3"/>
      <c r="DM573" s="3"/>
      <c r="DO573" s="3"/>
      <c r="DP573" s="3"/>
      <c r="DR573" s="3"/>
      <c r="DS573" s="1" t="str">
        <f>_xlfn.XLOOKUP(OfficeForms.Table[[#This Row],[Selecione a Categoria do Laboratório desta atividade prática:]],Planilha1!A:A,Planilha1!B:B)</f>
        <v>EMF-ISN</v>
      </c>
      <c r="DT573" s="1" t="str">
        <f>CONCATENATE(OfficeForms.Table[[#This Row],[Selecione seu Polo Laboratório de Atividades Presenciais:]],OfficeForms.Table[[#This Row],[CHAVE CONVERSÃO]])</f>
        <v>Goiânia/GO - CerradoEMF-ISN</v>
      </c>
      <c r="DU57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57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57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573" s="1" t="str">
        <f>_xlfn.XLOOKUP(OfficeForms.Table[[#This Row],[CHAVE LINK POLO]],'[1]Quadro Geral de Lotação'!$B:$B,'[1]Quadro Geral de Lotação'!$I:$I)</f>
        <v>Marina Almeida Rodrigues</v>
      </c>
      <c r="DY573" s="1" t="str">
        <f>OfficeForms.Table[[#This Row],[Selecione a Ordem de Disciplina]]</f>
        <v>Ordem 2</v>
      </c>
    </row>
    <row r="574" spans="1:129" ht="34.15" customHeight="1">
      <c r="A574" s="1">
        <v>574</v>
      </c>
      <c r="B574" s="2">
        <v>46112.9402430556</v>
      </c>
      <c r="C574" s="2">
        <v>46112.940902777802</v>
      </c>
      <c r="D574" s="3" t="s">
        <v>1727</v>
      </c>
      <c r="E574" s="3" t="s">
        <v>1728</v>
      </c>
      <c r="G574" s="3"/>
      <c r="I574" s="3" t="s">
        <v>1729</v>
      </c>
      <c r="K574" s="3"/>
      <c r="L574" s="1" t="s">
        <v>678</v>
      </c>
      <c r="O574" s="3" t="s">
        <v>184</v>
      </c>
      <c r="Q574" s="3"/>
      <c r="R574" s="3"/>
      <c r="T574" s="3"/>
      <c r="U574" s="5"/>
      <c r="W574" s="3"/>
      <c r="Z574" s="3"/>
      <c r="AA574" s="3"/>
      <c r="AC574" s="3"/>
      <c r="AD574" s="3"/>
      <c r="AF574" s="3"/>
      <c r="AG574" s="3" t="s">
        <v>1016</v>
      </c>
      <c r="AI574" s="3"/>
      <c r="AJ574" s="1">
        <v>46107</v>
      </c>
      <c r="AL574" s="3"/>
      <c r="AM574" s="1">
        <v>4</v>
      </c>
      <c r="AO574" s="3"/>
      <c r="AP574" s="3" t="s">
        <v>1748</v>
      </c>
      <c r="AR574" s="3"/>
      <c r="AS574" s="3" t="s">
        <v>1749</v>
      </c>
      <c r="AU574" s="3"/>
      <c r="AV574" s="3"/>
      <c r="AX574" s="3"/>
      <c r="AY574" s="5"/>
      <c r="BA574" s="3"/>
      <c r="BD574" s="3"/>
      <c r="BE574" s="3"/>
      <c r="BG574" s="3"/>
      <c r="BH574" s="3"/>
      <c r="BJ574" s="3"/>
      <c r="BK574" s="3"/>
      <c r="BM574" s="3"/>
      <c r="BN574" s="5"/>
      <c r="BP574" s="3"/>
      <c r="BS574" s="3"/>
      <c r="BT574" s="3"/>
      <c r="BV574" s="3"/>
      <c r="BW574" s="3"/>
      <c r="BY574" s="3"/>
      <c r="BZ574" s="3"/>
      <c r="CB574" s="3"/>
      <c r="CC574" s="5"/>
      <c r="CE574" s="3"/>
      <c r="CH574" s="3"/>
      <c r="CI574" s="3"/>
      <c r="CK574" s="3"/>
      <c r="CL574" s="3"/>
      <c r="CN574" s="3"/>
      <c r="CO574" s="3"/>
      <c r="CQ574" s="3"/>
      <c r="CR574" s="5"/>
      <c r="CT574" s="3"/>
      <c r="CW574" s="3"/>
      <c r="CX574" s="3"/>
      <c r="CZ574" s="3"/>
      <c r="DA574" s="3"/>
      <c r="DC574" s="3"/>
      <c r="DD574" s="3"/>
      <c r="DF574" s="3"/>
      <c r="DG574" s="5"/>
      <c r="DI574" s="3"/>
      <c r="DL574" s="3"/>
      <c r="DM574" s="3"/>
      <c r="DO574" s="3"/>
      <c r="DP574" s="3"/>
      <c r="DR574" s="3"/>
      <c r="DS574" s="1" t="str">
        <f>_xlfn.XLOOKUP(OfficeForms.Table[[#This Row],[Selecione a Categoria do Laboratório desta atividade prática:]],Planilha1!A:A,Planilha1!B:B)</f>
        <v>EMF-ISN</v>
      </c>
      <c r="DT574" s="1" t="str">
        <f>CONCATENATE(OfficeForms.Table[[#This Row],[Selecione seu Polo Laboratório de Atividades Presenciais:]],OfficeForms.Table[[#This Row],[CHAVE CONVERSÃO]])</f>
        <v>Goiânia/GO - CerradoEMF-ISN</v>
      </c>
      <c r="DU57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57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7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74" s="1" t="str">
        <f>_xlfn.XLOOKUP(OfficeForms.Table[[#This Row],[CHAVE LINK POLO]],'[1]Quadro Geral de Lotação'!$B:$B,'[1]Quadro Geral de Lotação'!$I:$I)</f>
        <v>Marina Almeida Rodrigues</v>
      </c>
      <c r="DY574" s="1" t="str">
        <f>OfficeForms.Table[[#This Row],[Selecione a Ordem de Disciplina]]</f>
        <v>Ordem 2</v>
      </c>
    </row>
    <row r="575" spans="1:129" ht="34.15" customHeight="1">
      <c r="A575" s="1">
        <v>575</v>
      </c>
      <c r="B575" s="2">
        <v>46112.940949074102</v>
      </c>
      <c r="C575" s="2">
        <v>46112.941597222198</v>
      </c>
      <c r="D575" s="3" t="s">
        <v>1727</v>
      </c>
      <c r="E575" s="3" t="s">
        <v>1728</v>
      </c>
      <c r="G575" s="3"/>
      <c r="I575" s="3" t="s">
        <v>1729</v>
      </c>
      <c r="K575" s="3"/>
      <c r="L575" s="1" t="s">
        <v>678</v>
      </c>
      <c r="O575" s="3" t="s">
        <v>184</v>
      </c>
      <c r="Q575" s="3"/>
      <c r="R575" s="3"/>
      <c r="T575" s="3"/>
      <c r="U575" s="5"/>
      <c r="W575" s="3"/>
      <c r="Z575" s="3"/>
      <c r="AA575" s="3"/>
      <c r="AC575" s="3"/>
      <c r="AD575" s="3"/>
      <c r="AF575" s="3"/>
      <c r="AG575" s="3" t="s">
        <v>1278</v>
      </c>
      <c r="AI575" s="3"/>
      <c r="AJ575" s="1">
        <v>46111</v>
      </c>
      <c r="AL575" s="3"/>
      <c r="AM575" s="1">
        <v>3</v>
      </c>
      <c r="AO575" s="3"/>
      <c r="AP575" s="3" t="s">
        <v>1750</v>
      </c>
      <c r="AR575" s="3"/>
      <c r="AS575" s="3" t="s">
        <v>1751</v>
      </c>
      <c r="AU575" s="3"/>
      <c r="AV575" s="3"/>
      <c r="AX575" s="3"/>
      <c r="AY575" s="5"/>
      <c r="BA575" s="3"/>
      <c r="BD575" s="3"/>
      <c r="BE575" s="3"/>
      <c r="BG575" s="3"/>
      <c r="BH575" s="3"/>
      <c r="BJ575" s="3"/>
      <c r="BK575" s="3"/>
      <c r="BM575" s="3"/>
      <c r="BN575" s="5"/>
      <c r="BP575" s="3"/>
      <c r="BS575" s="3"/>
      <c r="BT575" s="3"/>
      <c r="BV575" s="3"/>
      <c r="BW575" s="3"/>
      <c r="BY575" s="3"/>
      <c r="BZ575" s="3"/>
      <c r="CB575" s="3"/>
      <c r="CC575" s="5"/>
      <c r="CE575" s="3"/>
      <c r="CH575" s="3"/>
      <c r="CI575" s="3"/>
      <c r="CK575" s="3"/>
      <c r="CL575" s="3"/>
      <c r="CN575" s="3"/>
      <c r="CO575" s="3"/>
      <c r="CQ575" s="3"/>
      <c r="CR575" s="5"/>
      <c r="CT575" s="3"/>
      <c r="CW575" s="3"/>
      <c r="CX575" s="3"/>
      <c r="CZ575" s="3"/>
      <c r="DA575" s="3"/>
      <c r="DC575" s="3"/>
      <c r="DD575" s="3"/>
      <c r="DF575" s="3"/>
      <c r="DG575" s="5"/>
      <c r="DI575" s="3"/>
      <c r="DL575" s="3"/>
      <c r="DM575" s="3"/>
      <c r="DO575" s="3"/>
      <c r="DP575" s="3"/>
      <c r="DR575" s="3"/>
      <c r="DS575" s="1" t="str">
        <f>_xlfn.XLOOKUP(OfficeForms.Table[[#This Row],[Selecione a Categoria do Laboratório desta atividade prática:]],Planilha1!A:A,Planilha1!B:B)</f>
        <v>EMF-ISN</v>
      </c>
      <c r="DT575" s="1" t="str">
        <f>CONCATENATE(OfficeForms.Table[[#This Row],[Selecione seu Polo Laboratório de Atividades Presenciais:]],OfficeForms.Table[[#This Row],[CHAVE CONVERSÃO]])</f>
        <v>Goiânia/GO - CerradoEMF-ISN</v>
      </c>
      <c r="DU57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57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57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75" s="1" t="str">
        <f>_xlfn.XLOOKUP(OfficeForms.Table[[#This Row],[CHAVE LINK POLO]],'[1]Quadro Geral de Lotação'!$B:$B,'[1]Quadro Geral de Lotação'!$I:$I)</f>
        <v>Marina Almeida Rodrigues</v>
      </c>
      <c r="DY575" s="1" t="str">
        <f>OfficeForms.Table[[#This Row],[Selecione a Ordem de Disciplina]]</f>
        <v>Ordem 2</v>
      </c>
    </row>
    <row r="576" spans="1:129" ht="34.15" customHeight="1">
      <c r="A576" s="1">
        <v>576</v>
      </c>
      <c r="B576" s="2">
        <v>46112.941689814797</v>
      </c>
      <c r="C576" s="2">
        <v>46112.942592592597</v>
      </c>
      <c r="D576" s="3" t="s">
        <v>1727</v>
      </c>
      <c r="E576" s="3" t="s">
        <v>1728</v>
      </c>
      <c r="G576" s="3"/>
      <c r="I576" s="3" t="s">
        <v>1729</v>
      </c>
      <c r="K576" s="3"/>
      <c r="L576" s="1" t="s">
        <v>678</v>
      </c>
      <c r="O576" s="3" t="s">
        <v>184</v>
      </c>
      <c r="Q576" s="3"/>
      <c r="R576" s="3"/>
      <c r="T576" s="3"/>
      <c r="U576" s="5"/>
      <c r="W576" s="3"/>
      <c r="Z576" s="3"/>
      <c r="AA576" s="3"/>
      <c r="AC576" s="3"/>
      <c r="AD576" s="3"/>
      <c r="AF576" s="3"/>
      <c r="AG576" s="3" t="s">
        <v>1013</v>
      </c>
      <c r="AI576" s="3"/>
      <c r="AJ576" s="1">
        <v>46112</v>
      </c>
      <c r="AL576" s="3"/>
      <c r="AM576" s="1">
        <v>6</v>
      </c>
      <c r="AO576" s="3"/>
      <c r="AP576" s="3" t="s">
        <v>1752</v>
      </c>
      <c r="AR576" s="3"/>
      <c r="AS576" s="3" t="s">
        <v>1753</v>
      </c>
      <c r="AU576" s="3"/>
      <c r="AV576" s="3"/>
      <c r="AX576" s="3"/>
      <c r="AY576" s="5"/>
      <c r="BA576" s="3"/>
      <c r="BD576" s="3"/>
      <c r="BE576" s="3"/>
      <c r="BG576" s="3"/>
      <c r="BH576" s="3"/>
      <c r="BJ576" s="3"/>
      <c r="BK576" s="3"/>
      <c r="BM576" s="3"/>
      <c r="BN576" s="5"/>
      <c r="BP576" s="3"/>
      <c r="BS576" s="3"/>
      <c r="BT576" s="3"/>
      <c r="BV576" s="3"/>
      <c r="BW576" s="3"/>
      <c r="BY576" s="3"/>
      <c r="BZ576" s="3"/>
      <c r="CB576" s="3"/>
      <c r="CC576" s="5"/>
      <c r="CE576" s="3"/>
      <c r="CH576" s="3"/>
      <c r="CI576" s="3"/>
      <c r="CK576" s="3"/>
      <c r="CL576" s="3"/>
      <c r="CN576" s="3"/>
      <c r="CO576" s="3"/>
      <c r="CQ576" s="3"/>
      <c r="CR576" s="5"/>
      <c r="CT576" s="3"/>
      <c r="CW576" s="3"/>
      <c r="CX576" s="3"/>
      <c r="CZ576" s="3"/>
      <c r="DA576" s="3"/>
      <c r="DC576" s="3"/>
      <c r="DD576" s="3"/>
      <c r="DF576" s="3"/>
      <c r="DG576" s="5"/>
      <c r="DI576" s="3"/>
      <c r="DL576" s="3"/>
      <c r="DM576" s="3"/>
      <c r="DO576" s="3"/>
      <c r="DP576" s="3"/>
      <c r="DR576" s="3"/>
      <c r="DS576" s="1" t="str">
        <f>_xlfn.XLOOKUP(OfficeForms.Table[[#This Row],[Selecione a Categoria do Laboratório desta atividade prática:]],Planilha1!A:A,Planilha1!B:B)</f>
        <v>EMF-ISN</v>
      </c>
      <c r="DT576" s="1" t="str">
        <f>CONCATENATE(OfficeForms.Table[[#This Row],[Selecione seu Polo Laboratório de Atividades Presenciais:]],OfficeForms.Table[[#This Row],[CHAVE CONVERSÃO]])</f>
        <v>Goiânia/GO - CerradoEMF-ISN</v>
      </c>
      <c r="DU57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57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57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576" s="1" t="str">
        <f>_xlfn.XLOOKUP(OfficeForms.Table[[#This Row],[CHAVE LINK POLO]],'[1]Quadro Geral de Lotação'!$B:$B,'[1]Quadro Geral de Lotação'!$I:$I)</f>
        <v>Marina Almeida Rodrigues</v>
      </c>
      <c r="DY576" s="1" t="str">
        <f>OfficeForms.Table[[#This Row],[Selecione a Ordem de Disciplina]]</f>
        <v>Ordem 2</v>
      </c>
    </row>
    <row r="577" spans="1:129" ht="34.15" customHeight="1">
      <c r="A577" s="1">
        <v>577</v>
      </c>
      <c r="B577" s="2">
        <v>46112.943078703698</v>
      </c>
      <c r="C577" s="2">
        <v>46112.944618055597</v>
      </c>
      <c r="D577" s="3" t="s">
        <v>362</v>
      </c>
      <c r="E577" s="3" t="s">
        <v>363</v>
      </c>
      <c r="G577" s="3"/>
      <c r="I577" s="3" t="s">
        <v>364</v>
      </c>
      <c r="K577" s="3"/>
      <c r="L577" s="1" t="s">
        <v>678</v>
      </c>
      <c r="O577" s="3" t="s">
        <v>184</v>
      </c>
      <c r="Q577" s="3"/>
      <c r="R577" s="3"/>
      <c r="T577" s="3"/>
      <c r="U577" s="5"/>
      <c r="W577" s="3"/>
      <c r="Z577" s="3"/>
      <c r="AA577" s="3"/>
      <c r="AC577" s="3"/>
      <c r="AD577" s="3"/>
      <c r="AF577" s="3"/>
      <c r="AG577" s="3" t="s">
        <v>1105</v>
      </c>
      <c r="AI577" s="3"/>
      <c r="AJ577" s="1">
        <v>46109</v>
      </c>
      <c r="AL577" s="3"/>
      <c r="AM577" s="1">
        <v>11</v>
      </c>
      <c r="AO577" s="3"/>
      <c r="AP577" s="3" t="s">
        <v>1754</v>
      </c>
      <c r="AR577" s="3"/>
      <c r="AS577" s="3" t="s">
        <v>1755</v>
      </c>
      <c r="AU577" s="3"/>
      <c r="AV577" s="3"/>
      <c r="AX577" s="3"/>
      <c r="AY577" s="5"/>
      <c r="BA577" s="3"/>
      <c r="BD577" s="3"/>
      <c r="BE577" s="3"/>
      <c r="BG577" s="3"/>
      <c r="BH577" s="3"/>
      <c r="BJ577" s="3"/>
      <c r="BK577" s="3"/>
      <c r="BM577" s="3"/>
      <c r="BN577" s="5"/>
      <c r="BP577" s="3"/>
      <c r="BS577" s="3"/>
      <c r="BT577" s="3"/>
      <c r="BV577" s="3"/>
      <c r="BW577" s="3"/>
      <c r="BY577" s="3"/>
      <c r="BZ577" s="3"/>
      <c r="CB577" s="3"/>
      <c r="CC577" s="5"/>
      <c r="CE577" s="3"/>
      <c r="CH577" s="3"/>
      <c r="CI577" s="3"/>
      <c r="CK577" s="3"/>
      <c r="CL577" s="3"/>
      <c r="CN577" s="3"/>
      <c r="CO577" s="3"/>
      <c r="CQ577" s="3"/>
      <c r="CR577" s="5"/>
      <c r="CT577" s="3"/>
      <c r="CW577" s="3"/>
      <c r="CX577" s="3"/>
      <c r="CZ577" s="3"/>
      <c r="DA577" s="3"/>
      <c r="DC577" s="3"/>
      <c r="DD577" s="3"/>
      <c r="DF577" s="3"/>
      <c r="DG577" s="5"/>
      <c r="DI577" s="3"/>
      <c r="DL577" s="3"/>
      <c r="DM577" s="3"/>
      <c r="DO577" s="3"/>
      <c r="DP577" s="3"/>
      <c r="DR577" s="3"/>
      <c r="DS577" s="1" t="str">
        <f>_xlfn.XLOOKUP(OfficeForms.Table[[#This Row],[Selecione a Categoria do Laboratório desta atividade prática:]],Planilha1!A:A,Planilha1!B:B)</f>
        <v>EMF-ISN</v>
      </c>
      <c r="DT577" s="1" t="str">
        <f>CONCATENATE(OfficeForms.Table[[#This Row],[Selecione seu Polo Laboratório de Atividades Presenciais:]],OfficeForms.Table[[#This Row],[CHAVE CONVERSÃO]])</f>
        <v>Maués/AMEMF-ISN</v>
      </c>
      <c r="DU57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57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7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577" s="1" t="str">
        <f>_xlfn.XLOOKUP(OfficeForms.Table[[#This Row],[CHAVE LINK POLO]],'[1]Quadro Geral de Lotação'!$B:$B,'[1]Quadro Geral de Lotação'!$I:$I)</f>
        <v>Nelma Rita Passos Martins</v>
      </c>
      <c r="DY577" s="1" t="str">
        <f>OfficeForms.Table[[#This Row],[Selecione a Ordem de Disciplina]]</f>
        <v>Ordem 2</v>
      </c>
    </row>
    <row r="578" spans="1:129" ht="34.15" customHeight="1">
      <c r="A578" s="1">
        <v>578</v>
      </c>
      <c r="B578" s="2">
        <v>46113.335358796299</v>
      </c>
      <c r="C578" s="2">
        <v>46113.337719907402</v>
      </c>
      <c r="D578" s="3" t="s">
        <v>281</v>
      </c>
      <c r="E578" s="3" t="s">
        <v>282</v>
      </c>
      <c r="G578" s="3"/>
      <c r="I578" s="3" t="s">
        <v>283</v>
      </c>
      <c r="K578" s="3"/>
      <c r="L578" s="1" t="s">
        <v>678</v>
      </c>
      <c r="O578" s="3" t="s">
        <v>156</v>
      </c>
      <c r="Q578" s="3"/>
      <c r="R578" s="3"/>
      <c r="T578" s="3"/>
      <c r="U578" s="5"/>
      <c r="W578" s="3"/>
      <c r="Z578" s="3"/>
      <c r="AA578" s="3"/>
      <c r="AC578" s="3"/>
      <c r="AD578" s="3"/>
      <c r="AF578" s="3"/>
      <c r="AG578" s="3"/>
      <c r="AI578" s="3"/>
      <c r="AJ578" s="1"/>
      <c r="AL578" s="3"/>
      <c r="AO578" s="3"/>
      <c r="AP578" s="3"/>
      <c r="AR578" s="3"/>
      <c r="AS578" s="3"/>
      <c r="AU578" s="3"/>
      <c r="AV578" s="3"/>
      <c r="AX578" s="3"/>
      <c r="AY578" s="5"/>
      <c r="BA578" s="3"/>
      <c r="BD578" s="3"/>
      <c r="BE578" s="3"/>
      <c r="BG578" s="3"/>
      <c r="BH578" s="3"/>
      <c r="BJ578" s="3"/>
      <c r="BK578" s="3" t="s">
        <v>1756</v>
      </c>
      <c r="BM578" s="3"/>
      <c r="BN578" s="5">
        <v>46112</v>
      </c>
      <c r="BP578" s="3"/>
      <c r="BQ578" s="1">
        <v>5</v>
      </c>
      <c r="BS578" s="3"/>
      <c r="BT578" s="3" t="s">
        <v>1757</v>
      </c>
      <c r="BV578" s="3"/>
      <c r="BW578" s="3" t="s">
        <v>1758</v>
      </c>
      <c r="BY578" s="3"/>
      <c r="BZ578" s="3"/>
      <c r="CB578" s="3"/>
      <c r="CC578" s="5"/>
      <c r="CE578" s="3"/>
      <c r="CH578" s="3"/>
      <c r="CI578" s="3"/>
      <c r="CK578" s="3"/>
      <c r="CL578" s="3"/>
      <c r="CN578" s="3"/>
      <c r="CO578" s="3"/>
      <c r="CQ578" s="3"/>
      <c r="CR578" s="5"/>
      <c r="CT578" s="3"/>
      <c r="CW578" s="3"/>
      <c r="CX578" s="3"/>
      <c r="CZ578" s="3"/>
      <c r="DA578" s="3"/>
      <c r="DC578" s="3"/>
      <c r="DD578" s="3"/>
      <c r="DF578" s="3"/>
      <c r="DG578" s="5"/>
      <c r="DI578" s="3"/>
      <c r="DL578" s="3"/>
      <c r="DM578" s="3"/>
      <c r="DO578" s="3"/>
      <c r="DP578" s="3"/>
      <c r="DR578" s="3"/>
      <c r="DS578" s="1" t="str">
        <f>_xlfn.XLOOKUP(OfficeForms.Table[[#This Row],[Selecione a Categoria do Laboratório desta atividade prática:]],Planilha1!A:A,Planilha1!B:B)</f>
        <v>NTR</v>
      </c>
      <c r="DT578" s="1" t="str">
        <f>CONCATENATE(OfficeForms.Table[[#This Row],[Selecione seu Polo Laboratório de Atividades Presenciais:]],OfficeForms.Table[[#This Row],[CHAVE CONVERSÃO]])</f>
        <v>Criciúma/SCNTR</v>
      </c>
      <c r="DU57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</v>
      </c>
      <c r="DV57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57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578" s="1" t="str">
        <f>_xlfn.XLOOKUP(OfficeForms.Table[[#This Row],[CHAVE LINK POLO]],'[1]Quadro Geral de Lotação'!$B:$B,'[1]Quadro Geral de Lotação'!$I:$I)</f>
        <v>Izabela Cechinel Biela</v>
      </c>
      <c r="DY578" s="1" t="str">
        <f>OfficeForms.Table[[#This Row],[Selecione a Ordem de Disciplina]]</f>
        <v>Ordem 2</v>
      </c>
    </row>
    <row r="579" spans="1:129" ht="34.15" customHeight="1">
      <c r="A579" s="1">
        <v>579</v>
      </c>
      <c r="B579" s="2">
        <v>46113.337789351797</v>
      </c>
      <c r="C579" s="2">
        <v>46113.338518518503</v>
      </c>
      <c r="D579" s="3" t="s">
        <v>281</v>
      </c>
      <c r="E579" s="3" t="s">
        <v>282</v>
      </c>
      <c r="G579" s="3"/>
      <c r="I579" s="3" t="s">
        <v>283</v>
      </c>
      <c r="K579" s="3"/>
      <c r="L579" s="1" t="s">
        <v>678</v>
      </c>
      <c r="O579" s="3" t="s">
        <v>156</v>
      </c>
      <c r="Q579" s="3"/>
      <c r="R579" s="3"/>
      <c r="T579" s="3"/>
      <c r="U579" s="5"/>
      <c r="W579" s="3"/>
      <c r="Z579" s="3"/>
      <c r="AA579" s="3"/>
      <c r="AC579" s="3"/>
      <c r="AD579" s="3"/>
      <c r="AF579" s="3"/>
      <c r="AG579" s="3"/>
      <c r="AI579" s="3"/>
      <c r="AJ579" s="1"/>
      <c r="AL579" s="3"/>
      <c r="AO579" s="3"/>
      <c r="AP579" s="3"/>
      <c r="AR579" s="3"/>
      <c r="AS579" s="3"/>
      <c r="AU579" s="3"/>
      <c r="AV579" s="3"/>
      <c r="AX579" s="3"/>
      <c r="AY579" s="5"/>
      <c r="BA579" s="3"/>
      <c r="BD579" s="3"/>
      <c r="BE579" s="3"/>
      <c r="BG579" s="3"/>
      <c r="BH579" s="3"/>
      <c r="BJ579" s="3"/>
      <c r="BK579" s="3" t="s">
        <v>455</v>
      </c>
      <c r="BM579" s="3"/>
      <c r="BN579" s="5">
        <v>46112</v>
      </c>
      <c r="BP579" s="3"/>
      <c r="BQ579" s="1">
        <v>5</v>
      </c>
      <c r="BS579" s="3"/>
      <c r="BT579" s="3" t="s">
        <v>1759</v>
      </c>
      <c r="BV579" s="3"/>
      <c r="BW579" s="3" t="s">
        <v>1760</v>
      </c>
      <c r="BY579" s="3"/>
      <c r="BZ579" s="3"/>
      <c r="CB579" s="3"/>
      <c r="CC579" s="5"/>
      <c r="CE579" s="3"/>
      <c r="CH579" s="3"/>
      <c r="CI579" s="3"/>
      <c r="CK579" s="3"/>
      <c r="CL579" s="3"/>
      <c r="CN579" s="3"/>
      <c r="CO579" s="3"/>
      <c r="CQ579" s="3"/>
      <c r="CR579" s="5"/>
      <c r="CT579" s="3"/>
      <c r="CW579" s="3"/>
      <c r="CX579" s="3"/>
      <c r="CZ579" s="3"/>
      <c r="DA579" s="3"/>
      <c r="DC579" s="3"/>
      <c r="DD579" s="3"/>
      <c r="DF579" s="3"/>
      <c r="DG579" s="5"/>
      <c r="DI579" s="3"/>
      <c r="DL579" s="3"/>
      <c r="DM579" s="3"/>
      <c r="DO579" s="3"/>
      <c r="DP579" s="3"/>
      <c r="DR579" s="3"/>
      <c r="DS579" s="1" t="str">
        <f>_xlfn.XLOOKUP(OfficeForms.Table[[#This Row],[Selecione a Categoria do Laboratório desta atividade prática:]],Planilha1!A:A,Planilha1!B:B)</f>
        <v>NTR</v>
      </c>
      <c r="DT579" s="1" t="str">
        <f>CONCATENATE(OfficeForms.Table[[#This Row],[Selecione seu Polo Laboratório de Atividades Presenciais:]],OfficeForms.Table[[#This Row],[CHAVE CONVERSÃO]])</f>
        <v>Criciúma/SCNTR</v>
      </c>
      <c r="DU57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II: Anamnese e diagnóstico</v>
      </c>
      <c r="DV57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57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579" s="1" t="str">
        <f>_xlfn.XLOOKUP(OfficeForms.Table[[#This Row],[CHAVE LINK POLO]],'[1]Quadro Geral de Lotação'!$B:$B,'[1]Quadro Geral de Lotação'!$I:$I)</f>
        <v>Izabela Cechinel Biela</v>
      </c>
      <c r="DY579" s="1" t="str">
        <f>OfficeForms.Table[[#This Row],[Selecione a Ordem de Disciplina]]</f>
        <v>Ordem 2</v>
      </c>
    </row>
    <row r="580" spans="1:129" ht="34.15" customHeight="1">
      <c r="A580" s="1">
        <v>580</v>
      </c>
      <c r="B580" s="2">
        <v>46113.3534953704</v>
      </c>
      <c r="C580" s="2">
        <v>46113.355543981503</v>
      </c>
      <c r="D580" s="3" t="s">
        <v>543</v>
      </c>
      <c r="E580" s="3" t="s">
        <v>544</v>
      </c>
      <c r="G580" s="3"/>
      <c r="I580" s="3" t="s">
        <v>545</v>
      </c>
      <c r="K580" s="3"/>
      <c r="L580" s="1" t="s">
        <v>678</v>
      </c>
      <c r="O580" s="3" t="s">
        <v>140</v>
      </c>
      <c r="Q580" s="3"/>
      <c r="R580" s="3"/>
      <c r="T580" s="3"/>
      <c r="U580" s="5"/>
      <c r="W580" s="3"/>
      <c r="Z580" s="3"/>
      <c r="AA580" s="3"/>
      <c r="AC580" s="3"/>
      <c r="AD580" s="3"/>
      <c r="AF580" s="3"/>
      <c r="AG580" s="3"/>
      <c r="AI580" s="3"/>
      <c r="AJ580" s="1"/>
      <c r="AL580" s="3"/>
      <c r="AO580" s="3"/>
      <c r="AP580" s="3"/>
      <c r="AR580" s="3"/>
      <c r="AS580" s="3"/>
      <c r="AU580" s="3"/>
      <c r="AV580" s="3"/>
      <c r="AX580" s="3"/>
      <c r="AY580" s="5"/>
      <c r="BA580" s="3"/>
      <c r="BD580" s="3"/>
      <c r="BE580" s="3"/>
      <c r="BG580" s="3"/>
      <c r="BH580" s="3"/>
      <c r="BJ580" s="3"/>
      <c r="BK580" s="3"/>
      <c r="BM580" s="3"/>
      <c r="BN580" s="5"/>
      <c r="BP580" s="3"/>
      <c r="BS580" s="3"/>
      <c r="BT580" s="3"/>
      <c r="BV580" s="3"/>
      <c r="BW580" s="3"/>
      <c r="BY580" s="3"/>
      <c r="BZ580" s="3" t="s">
        <v>144</v>
      </c>
      <c r="CB580" s="3"/>
      <c r="CC580" s="5">
        <v>46112</v>
      </c>
      <c r="CE580" s="3"/>
      <c r="CF580" s="1">
        <v>2</v>
      </c>
      <c r="CH580" s="3"/>
      <c r="CI580" s="3" t="s">
        <v>1761</v>
      </c>
      <c r="CK580" s="3"/>
      <c r="CL580" s="3" t="s">
        <v>1762</v>
      </c>
      <c r="CN580" s="3"/>
      <c r="CO580" s="3"/>
      <c r="CQ580" s="3"/>
      <c r="CR580" s="5"/>
      <c r="CT580" s="3"/>
      <c r="CW580" s="3"/>
      <c r="CX580" s="3"/>
      <c r="CZ580" s="3"/>
      <c r="DA580" s="3"/>
      <c r="DC580" s="3"/>
      <c r="DD580" s="3"/>
      <c r="DF580" s="3"/>
      <c r="DG580" s="5"/>
      <c r="DI580" s="3"/>
      <c r="DL580" s="3"/>
      <c r="DM580" s="3"/>
      <c r="DO580" s="3"/>
      <c r="DP580" s="3"/>
      <c r="DR580" s="3"/>
      <c r="DS580" s="1" t="str">
        <f>_xlfn.XLOOKUP(OfficeForms.Table[[#This Row],[Selecione a Categoria do Laboratório desta atividade prática:]],Planilha1!A:A,Planilha1!B:B)</f>
        <v>ECE-ENM-ENS-ENG-EEA-GPI-CDE-OBR-SAN-TER-FSA-SLF-QUI</v>
      </c>
      <c r="DT580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58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Associação De Resistores Em Série e Paralelo</v>
      </c>
      <c r="DV58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58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80" s="1" t="e">
        <f>_xlfn.XLOOKUP(OfficeForms.Table[[#This Row],[CHAVE LINK POLO]],'[1]Quadro Geral de Lotação'!$B:$B,'[1]Quadro Geral de Lotação'!$I:$I)</f>
        <v>#N/A</v>
      </c>
      <c r="DY580" s="1" t="str">
        <f>OfficeForms.Table[[#This Row],[Selecione a Ordem de Disciplina]]</f>
        <v>Ordem 2</v>
      </c>
    </row>
    <row r="581" spans="1:129" ht="34.15" customHeight="1">
      <c r="A581" s="1">
        <v>581</v>
      </c>
      <c r="B581" s="2">
        <v>46113.415821759299</v>
      </c>
      <c r="C581" s="2">
        <v>46113.427557870396</v>
      </c>
      <c r="D581" s="3" t="s">
        <v>557</v>
      </c>
      <c r="E581" s="3" t="s">
        <v>558</v>
      </c>
      <c r="G581" s="3"/>
      <c r="I581" s="3" t="s">
        <v>559</v>
      </c>
      <c r="K581" s="3"/>
      <c r="L581" s="1" t="s">
        <v>678</v>
      </c>
      <c r="O581" s="3" t="s">
        <v>184</v>
      </c>
      <c r="Q581" s="3"/>
      <c r="R581" s="3"/>
      <c r="T581" s="3"/>
      <c r="U581" s="5"/>
      <c r="W581" s="3"/>
      <c r="Z581" s="3"/>
      <c r="AA581" s="3"/>
      <c r="AC581" s="3"/>
      <c r="AD581" s="3"/>
      <c r="AF581" s="3"/>
      <c r="AG581" s="3" t="s">
        <v>1016</v>
      </c>
      <c r="AI581" s="3"/>
      <c r="AJ581" s="1">
        <v>46140</v>
      </c>
      <c r="AL581" s="3"/>
      <c r="AM581" s="1">
        <v>2</v>
      </c>
      <c r="AO581" s="3"/>
      <c r="AP581" s="3" t="s">
        <v>1763</v>
      </c>
      <c r="AR581" s="3"/>
      <c r="AS581" s="3" t="s">
        <v>1764</v>
      </c>
      <c r="AU581" s="3"/>
      <c r="AV581" s="3"/>
      <c r="AX581" s="3"/>
      <c r="AY581" s="5"/>
      <c r="BA581" s="3"/>
      <c r="BD581" s="3"/>
      <c r="BE581" s="3"/>
      <c r="BG581" s="3"/>
      <c r="BH581" s="3"/>
      <c r="BJ581" s="3"/>
      <c r="BK581" s="3"/>
      <c r="BM581" s="3"/>
      <c r="BN581" s="5"/>
      <c r="BP581" s="3"/>
      <c r="BS581" s="3"/>
      <c r="BT581" s="3"/>
      <c r="BV581" s="3"/>
      <c r="BW581" s="3"/>
      <c r="BY581" s="3"/>
      <c r="BZ581" s="3"/>
      <c r="CB581" s="3"/>
      <c r="CC581" s="5"/>
      <c r="CE581" s="3"/>
      <c r="CH581" s="3"/>
      <c r="CI581" s="3"/>
      <c r="CK581" s="3"/>
      <c r="CL581" s="3"/>
      <c r="CN581" s="3"/>
      <c r="CO581" s="3"/>
      <c r="CQ581" s="3"/>
      <c r="CR581" s="5"/>
      <c r="CT581" s="3"/>
      <c r="CW581" s="3"/>
      <c r="CX581" s="3"/>
      <c r="CZ581" s="3"/>
      <c r="DA581" s="3"/>
      <c r="DC581" s="3"/>
      <c r="DD581" s="3"/>
      <c r="DF581" s="3"/>
      <c r="DG581" s="5"/>
      <c r="DI581" s="3"/>
      <c r="DL581" s="3"/>
      <c r="DM581" s="3"/>
      <c r="DO581" s="3"/>
      <c r="DP581" s="3"/>
      <c r="DR581" s="3"/>
      <c r="DS581" s="1" t="str">
        <f>_xlfn.XLOOKUP(OfficeForms.Table[[#This Row],[Selecione a Categoria do Laboratório desta atividade prática:]],Planilha1!A:A,Planilha1!B:B)</f>
        <v>EMF-ISN</v>
      </c>
      <c r="DT581" s="1" t="str">
        <f>CONCATENATE(OfficeForms.Table[[#This Row],[Selecione seu Polo Laboratório de Atividades Presenciais:]],OfficeForms.Table[[#This Row],[CHAVE CONVERSÃO]])</f>
        <v>Sapé/PBEMF-ISN</v>
      </c>
      <c r="DU58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58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46140</v>
      </c>
      <c r="DW58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81" s="1" t="str">
        <f>_xlfn.XLOOKUP(OfficeForms.Table[[#This Row],[CHAVE LINK POLO]],'[1]Quadro Geral de Lotação'!$B:$B,'[1]Quadro Geral de Lotação'!$I:$I)</f>
        <v>Sara Luana De Vasconcelos Gomes</v>
      </c>
      <c r="DY581" s="1" t="str">
        <f>OfficeForms.Table[[#This Row],[Selecione a Ordem de Disciplina]]</f>
        <v>Ordem 2</v>
      </c>
    </row>
    <row r="582" spans="1:129" ht="34.15" customHeight="1">
      <c r="A582" s="1">
        <v>582</v>
      </c>
      <c r="B582" s="2">
        <v>46113.427673611099</v>
      </c>
      <c r="C582" s="2">
        <v>46113.429085648197</v>
      </c>
      <c r="D582" s="3" t="s">
        <v>557</v>
      </c>
      <c r="E582" s="3" t="s">
        <v>558</v>
      </c>
      <c r="G582" s="3"/>
      <c r="I582" s="3" t="s">
        <v>559</v>
      </c>
      <c r="K582" s="3"/>
      <c r="L582" s="1" t="s">
        <v>678</v>
      </c>
      <c r="O582" s="3" t="s">
        <v>184</v>
      </c>
      <c r="Q582" s="3"/>
      <c r="R582" s="3"/>
      <c r="T582" s="3"/>
      <c r="U582" s="5"/>
      <c r="W582" s="3"/>
      <c r="Z582" s="3"/>
      <c r="AA582" s="3"/>
      <c r="AC582" s="3"/>
      <c r="AD582" s="3"/>
      <c r="AF582" s="3"/>
      <c r="AG582" s="3" t="s">
        <v>1031</v>
      </c>
      <c r="AI582" s="3"/>
      <c r="AJ582" s="1">
        <v>46109</v>
      </c>
      <c r="AL582" s="3"/>
      <c r="AM582" s="1">
        <v>2</v>
      </c>
      <c r="AO582" s="3"/>
      <c r="AP582" s="3" t="s">
        <v>1765</v>
      </c>
      <c r="AR582" s="3"/>
      <c r="AS582" s="3" t="s">
        <v>1766</v>
      </c>
      <c r="AU582" s="3"/>
      <c r="AV582" s="3"/>
      <c r="AX582" s="3"/>
      <c r="AY582" s="5"/>
      <c r="BA582" s="3"/>
      <c r="BD582" s="3"/>
      <c r="BE582" s="3"/>
      <c r="BG582" s="3"/>
      <c r="BH582" s="3"/>
      <c r="BJ582" s="3"/>
      <c r="BK582" s="3"/>
      <c r="BM582" s="3"/>
      <c r="BN582" s="5"/>
      <c r="BP582" s="3"/>
      <c r="BS582" s="3"/>
      <c r="BT582" s="3"/>
      <c r="BV582" s="3"/>
      <c r="BW582" s="3"/>
      <c r="BY582" s="3"/>
      <c r="BZ582" s="3"/>
      <c r="CB582" s="3"/>
      <c r="CC582" s="5"/>
      <c r="CE582" s="3"/>
      <c r="CH582" s="3"/>
      <c r="CI582" s="3"/>
      <c r="CK582" s="3"/>
      <c r="CL582" s="3"/>
      <c r="CN582" s="3"/>
      <c r="CO582" s="3"/>
      <c r="CQ582" s="3"/>
      <c r="CR582" s="5"/>
      <c r="CT582" s="3"/>
      <c r="CW582" s="3"/>
      <c r="CX582" s="3"/>
      <c r="CZ582" s="3"/>
      <c r="DA582" s="3"/>
      <c r="DC582" s="3"/>
      <c r="DD582" s="3"/>
      <c r="DF582" s="3"/>
      <c r="DG582" s="5"/>
      <c r="DI582" s="3"/>
      <c r="DL582" s="3"/>
      <c r="DM582" s="3"/>
      <c r="DO582" s="3"/>
      <c r="DP582" s="3"/>
      <c r="DR582" s="3"/>
      <c r="DS582" s="1" t="str">
        <f>_xlfn.XLOOKUP(OfficeForms.Table[[#This Row],[Selecione a Categoria do Laboratório desta atividade prática:]],Planilha1!A:A,Planilha1!B:B)</f>
        <v>EMF-ISN</v>
      </c>
      <c r="DT582" s="1" t="str">
        <f>CONCATENATE(OfficeForms.Table[[#This Row],[Selecione seu Polo Laboratório de Atividades Presenciais:]],OfficeForms.Table[[#This Row],[CHAVE CONVERSÃO]])</f>
        <v>Sapé/PBEMF-ISN</v>
      </c>
      <c r="DU58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58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8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82" s="1" t="str">
        <f>_xlfn.XLOOKUP(OfficeForms.Table[[#This Row],[CHAVE LINK POLO]],'[1]Quadro Geral de Lotação'!$B:$B,'[1]Quadro Geral de Lotação'!$I:$I)</f>
        <v>Sara Luana De Vasconcelos Gomes</v>
      </c>
      <c r="DY582" s="1" t="str">
        <f>OfficeForms.Table[[#This Row],[Selecione a Ordem de Disciplina]]</f>
        <v>Ordem 2</v>
      </c>
    </row>
    <row r="583" spans="1:129" ht="34.15" customHeight="1">
      <c r="A583" s="1">
        <v>583</v>
      </c>
      <c r="B583" s="2">
        <v>46113.429131944402</v>
      </c>
      <c r="C583" s="2">
        <v>46113.430173611101</v>
      </c>
      <c r="D583" s="3" t="s">
        <v>557</v>
      </c>
      <c r="E583" s="3" t="s">
        <v>558</v>
      </c>
      <c r="G583" s="3"/>
      <c r="I583" s="3" t="s">
        <v>559</v>
      </c>
      <c r="K583" s="3"/>
      <c r="L583" s="1" t="s">
        <v>678</v>
      </c>
      <c r="O583" s="3" t="s">
        <v>184</v>
      </c>
      <c r="Q583" s="3"/>
      <c r="R583" s="3"/>
      <c r="T583" s="3"/>
      <c r="U583" s="5"/>
      <c r="W583" s="3"/>
      <c r="Z583" s="3"/>
      <c r="AA583" s="3"/>
      <c r="AC583" s="3"/>
      <c r="AD583" s="3"/>
      <c r="AF583" s="3"/>
      <c r="AG583" s="3" t="s">
        <v>1031</v>
      </c>
      <c r="AI583" s="3"/>
      <c r="AJ583" s="1">
        <v>46109</v>
      </c>
      <c r="AL583" s="3"/>
      <c r="AM583" s="1">
        <v>2</v>
      </c>
      <c r="AO583" s="3"/>
      <c r="AP583" s="3" t="s">
        <v>1767</v>
      </c>
      <c r="AR583" s="3"/>
      <c r="AS583" s="3" t="s">
        <v>1768</v>
      </c>
      <c r="AU583" s="3"/>
      <c r="AV583" s="3"/>
      <c r="AX583" s="3"/>
      <c r="AY583" s="5"/>
      <c r="BA583" s="3"/>
      <c r="BD583" s="3"/>
      <c r="BE583" s="3"/>
      <c r="BG583" s="3"/>
      <c r="BH583" s="3"/>
      <c r="BJ583" s="3"/>
      <c r="BK583" s="3"/>
      <c r="BM583" s="3"/>
      <c r="BN583" s="5"/>
      <c r="BP583" s="3"/>
      <c r="BS583" s="3"/>
      <c r="BT583" s="3"/>
      <c r="BV583" s="3"/>
      <c r="BW583" s="3"/>
      <c r="BY583" s="3"/>
      <c r="BZ583" s="3"/>
      <c r="CB583" s="3"/>
      <c r="CC583" s="5"/>
      <c r="CE583" s="3"/>
      <c r="CH583" s="3"/>
      <c r="CI583" s="3"/>
      <c r="CK583" s="3"/>
      <c r="CL583" s="3"/>
      <c r="CN583" s="3"/>
      <c r="CO583" s="3"/>
      <c r="CQ583" s="3"/>
      <c r="CR583" s="5"/>
      <c r="CT583" s="3"/>
      <c r="CW583" s="3"/>
      <c r="CX583" s="3"/>
      <c r="CZ583" s="3"/>
      <c r="DA583" s="3"/>
      <c r="DC583" s="3"/>
      <c r="DD583" s="3"/>
      <c r="DF583" s="3"/>
      <c r="DG583" s="5"/>
      <c r="DI583" s="3"/>
      <c r="DL583" s="3"/>
      <c r="DM583" s="3"/>
      <c r="DO583" s="3"/>
      <c r="DP583" s="3"/>
      <c r="DR583" s="3"/>
      <c r="DS583" s="1" t="str">
        <f>_xlfn.XLOOKUP(OfficeForms.Table[[#This Row],[Selecione a Categoria do Laboratório desta atividade prática:]],Planilha1!A:A,Planilha1!B:B)</f>
        <v>EMF-ISN</v>
      </c>
      <c r="DT583" s="1" t="str">
        <f>CONCATENATE(OfficeForms.Table[[#This Row],[Selecione seu Polo Laboratório de Atividades Presenciais:]],OfficeForms.Table[[#This Row],[CHAVE CONVERSÃO]])</f>
        <v>Sapé/PBEMF-ISN</v>
      </c>
      <c r="DU58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58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8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83" s="1" t="str">
        <f>_xlfn.XLOOKUP(OfficeForms.Table[[#This Row],[CHAVE LINK POLO]],'[1]Quadro Geral de Lotação'!$B:$B,'[1]Quadro Geral de Lotação'!$I:$I)</f>
        <v>Sara Luana De Vasconcelos Gomes</v>
      </c>
      <c r="DY583" s="1" t="str">
        <f>OfficeForms.Table[[#This Row],[Selecione a Ordem de Disciplina]]</f>
        <v>Ordem 2</v>
      </c>
    </row>
    <row r="584" spans="1:129" ht="34.15" customHeight="1">
      <c r="A584" s="1">
        <v>584</v>
      </c>
      <c r="B584" s="2">
        <v>46113.437650462998</v>
      </c>
      <c r="C584" s="2">
        <v>46113.442812499998</v>
      </c>
      <c r="D584" s="3" t="s">
        <v>557</v>
      </c>
      <c r="E584" s="3" t="s">
        <v>558</v>
      </c>
      <c r="G584" s="3"/>
      <c r="I584" s="3" t="s">
        <v>559</v>
      </c>
      <c r="K584" s="3"/>
      <c r="L584" s="1" t="s">
        <v>678</v>
      </c>
      <c r="O584" s="3" t="s">
        <v>184</v>
      </c>
      <c r="Q584" s="3"/>
      <c r="R584" s="3"/>
      <c r="T584" s="3"/>
      <c r="U584" s="5"/>
      <c r="W584" s="3"/>
      <c r="Z584" s="3"/>
      <c r="AA584" s="3"/>
      <c r="AC584" s="3"/>
      <c r="AD584" s="3"/>
      <c r="AF584" s="3"/>
      <c r="AG584" s="3" t="s">
        <v>1105</v>
      </c>
      <c r="AI584" s="3"/>
      <c r="AJ584" s="1">
        <v>46109</v>
      </c>
      <c r="AL584" s="3"/>
      <c r="AM584" s="1">
        <v>1</v>
      </c>
      <c r="AO584" s="3"/>
      <c r="AP584" s="3" t="s">
        <v>1769</v>
      </c>
      <c r="AR584" s="3"/>
      <c r="AS584" s="3" t="s">
        <v>1770</v>
      </c>
      <c r="AU584" s="3"/>
      <c r="AV584" s="3"/>
      <c r="AX584" s="3"/>
      <c r="AY584" s="5"/>
      <c r="BA584" s="3"/>
      <c r="BD584" s="3"/>
      <c r="BE584" s="3"/>
      <c r="BG584" s="3"/>
      <c r="BH584" s="3"/>
      <c r="BJ584" s="3"/>
      <c r="BK584" s="3"/>
      <c r="BM584" s="3"/>
      <c r="BN584" s="5"/>
      <c r="BP584" s="3"/>
      <c r="BS584" s="3"/>
      <c r="BT584" s="3"/>
      <c r="BV584" s="3"/>
      <c r="BW584" s="3"/>
      <c r="BY584" s="3"/>
      <c r="BZ584" s="3"/>
      <c r="CB584" s="3"/>
      <c r="CC584" s="5"/>
      <c r="CE584" s="3"/>
      <c r="CH584" s="3"/>
      <c r="CI584" s="3"/>
      <c r="CK584" s="3"/>
      <c r="CL584" s="3"/>
      <c r="CN584" s="3"/>
      <c r="CO584" s="3"/>
      <c r="CQ584" s="3"/>
      <c r="CR584" s="5"/>
      <c r="CT584" s="3"/>
      <c r="CW584" s="3"/>
      <c r="CX584" s="3"/>
      <c r="CZ584" s="3"/>
      <c r="DA584" s="3"/>
      <c r="DC584" s="3"/>
      <c r="DD584" s="3"/>
      <c r="DF584" s="3"/>
      <c r="DG584" s="5"/>
      <c r="DI584" s="3"/>
      <c r="DL584" s="3"/>
      <c r="DM584" s="3"/>
      <c r="DO584" s="3"/>
      <c r="DP584" s="3"/>
      <c r="DR584" s="3"/>
      <c r="DS584" s="1" t="str">
        <f>_xlfn.XLOOKUP(OfficeForms.Table[[#This Row],[Selecione a Categoria do Laboratório desta atividade prática:]],Planilha1!A:A,Planilha1!B:B)</f>
        <v>EMF-ISN</v>
      </c>
      <c r="DT584" s="1" t="str">
        <f>CONCATENATE(OfficeForms.Table[[#This Row],[Selecione seu Polo Laboratório de Atividades Presenciais:]],OfficeForms.Table[[#This Row],[CHAVE CONVERSÃO]])</f>
        <v>Sapé/PBEMF-ISN</v>
      </c>
      <c r="DU58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58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8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84" s="1" t="str">
        <f>_xlfn.XLOOKUP(OfficeForms.Table[[#This Row],[CHAVE LINK POLO]],'[1]Quadro Geral de Lotação'!$B:$B,'[1]Quadro Geral de Lotação'!$I:$I)</f>
        <v>Sara Luana De Vasconcelos Gomes</v>
      </c>
      <c r="DY584" s="1" t="str">
        <f>OfficeForms.Table[[#This Row],[Selecione a Ordem de Disciplina]]</f>
        <v>Ordem 2</v>
      </c>
    </row>
    <row r="585" spans="1:129" ht="34.15" customHeight="1">
      <c r="A585" s="1">
        <v>585</v>
      </c>
      <c r="B585" s="2">
        <v>46113.442893518499</v>
      </c>
      <c r="C585" s="2">
        <v>46113.443877314799</v>
      </c>
      <c r="D585" s="3" t="s">
        <v>557</v>
      </c>
      <c r="E585" s="3" t="s">
        <v>558</v>
      </c>
      <c r="G585" s="3"/>
      <c r="I585" s="3" t="s">
        <v>559</v>
      </c>
      <c r="K585" s="3"/>
      <c r="L585" s="1" t="s">
        <v>678</v>
      </c>
      <c r="O585" s="3" t="s">
        <v>184</v>
      </c>
      <c r="Q585" s="3"/>
      <c r="R585" s="3"/>
      <c r="T585" s="3"/>
      <c r="U585" s="5"/>
      <c r="W585" s="3"/>
      <c r="Z585" s="3"/>
      <c r="AA585" s="3"/>
      <c r="AC585" s="3"/>
      <c r="AD585" s="3"/>
      <c r="AF585" s="3"/>
      <c r="AG585" s="3" t="s">
        <v>1278</v>
      </c>
      <c r="AI585" s="3"/>
      <c r="AJ585" s="1">
        <v>46109</v>
      </c>
      <c r="AL585" s="3"/>
      <c r="AM585" s="1">
        <v>1</v>
      </c>
      <c r="AO585" s="3"/>
      <c r="AP585" s="3" t="s">
        <v>1771</v>
      </c>
      <c r="AR585" s="3"/>
      <c r="AS585" s="3" t="s">
        <v>1772</v>
      </c>
      <c r="AU585" s="3"/>
      <c r="AV585" s="3"/>
      <c r="AX585" s="3"/>
      <c r="AY585" s="5"/>
      <c r="BA585" s="3"/>
      <c r="BD585" s="3"/>
      <c r="BE585" s="3"/>
      <c r="BG585" s="3"/>
      <c r="BH585" s="3"/>
      <c r="BJ585" s="3"/>
      <c r="BK585" s="3"/>
      <c r="BM585" s="3"/>
      <c r="BN585" s="5"/>
      <c r="BP585" s="3"/>
      <c r="BS585" s="3"/>
      <c r="BT585" s="3"/>
      <c r="BV585" s="3"/>
      <c r="BW585" s="3"/>
      <c r="BY585" s="3"/>
      <c r="BZ585" s="3"/>
      <c r="CB585" s="3"/>
      <c r="CC585" s="5"/>
      <c r="CE585" s="3"/>
      <c r="CH585" s="3"/>
      <c r="CI585" s="3"/>
      <c r="CK585" s="3"/>
      <c r="CL585" s="3"/>
      <c r="CN585" s="3"/>
      <c r="CO585" s="3"/>
      <c r="CQ585" s="3"/>
      <c r="CR585" s="5"/>
      <c r="CT585" s="3"/>
      <c r="CW585" s="3"/>
      <c r="CX585" s="3"/>
      <c r="CZ585" s="3"/>
      <c r="DA585" s="3"/>
      <c r="DC585" s="3"/>
      <c r="DD585" s="3"/>
      <c r="DF585" s="3"/>
      <c r="DG585" s="5"/>
      <c r="DI585" s="3"/>
      <c r="DL585" s="3"/>
      <c r="DM585" s="3"/>
      <c r="DO585" s="3"/>
      <c r="DP585" s="3"/>
      <c r="DR585" s="3"/>
      <c r="DS585" s="1" t="str">
        <f>_xlfn.XLOOKUP(OfficeForms.Table[[#This Row],[Selecione a Categoria do Laboratório desta atividade prática:]],Planilha1!A:A,Planilha1!B:B)</f>
        <v>EMF-ISN</v>
      </c>
      <c r="DT585" s="1" t="str">
        <f>CONCATENATE(OfficeForms.Table[[#This Row],[Selecione seu Polo Laboratório de Atividades Presenciais:]],OfficeForms.Table[[#This Row],[CHAVE CONVERSÃO]])</f>
        <v>Sapé/PBEMF-ISN</v>
      </c>
      <c r="DU58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58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8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85" s="1" t="str">
        <f>_xlfn.XLOOKUP(OfficeForms.Table[[#This Row],[CHAVE LINK POLO]],'[1]Quadro Geral de Lotação'!$B:$B,'[1]Quadro Geral de Lotação'!$I:$I)</f>
        <v>Sara Luana De Vasconcelos Gomes</v>
      </c>
      <c r="DY585" s="1" t="str">
        <f>OfficeForms.Table[[#This Row],[Selecione a Ordem de Disciplina]]</f>
        <v>Ordem 2</v>
      </c>
    </row>
    <row r="586" spans="1:129" ht="34.15" customHeight="1">
      <c r="A586" s="1">
        <v>586</v>
      </c>
      <c r="B586" s="2">
        <v>46113.615474537</v>
      </c>
      <c r="C586" s="2">
        <v>46113.616875</v>
      </c>
      <c r="D586" s="3" t="s">
        <v>429</v>
      </c>
      <c r="E586" s="3" t="s">
        <v>430</v>
      </c>
      <c r="G586" s="3"/>
      <c r="I586" s="3" t="s">
        <v>431</v>
      </c>
      <c r="K586" s="3"/>
      <c r="L586" s="1" t="s">
        <v>678</v>
      </c>
      <c r="O586" s="3" t="s">
        <v>184</v>
      </c>
      <c r="Q586" s="3"/>
      <c r="R586" s="3"/>
      <c r="T586" s="3"/>
      <c r="U586" s="5"/>
      <c r="W586" s="3"/>
      <c r="Z586" s="3"/>
      <c r="AA586" s="3"/>
      <c r="AC586" s="3"/>
      <c r="AD586" s="3"/>
      <c r="AF586" s="3"/>
      <c r="AG586" s="3" t="s">
        <v>211</v>
      </c>
      <c r="AI586" s="3"/>
      <c r="AJ586" s="1">
        <v>46106</v>
      </c>
      <c r="AL586" s="3"/>
      <c r="AM586" s="1">
        <v>0</v>
      </c>
      <c r="AO586" s="3"/>
      <c r="AP586" s="3" t="s">
        <v>1773</v>
      </c>
      <c r="AR586" s="3"/>
      <c r="AS586" s="3" t="s">
        <v>1774</v>
      </c>
      <c r="AU586" s="3"/>
      <c r="AV586" s="3"/>
      <c r="AX586" s="3"/>
      <c r="AY586" s="5"/>
      <c r="BA586" s="3"/>
      <c r="BD586" s="3"/>
      <c r="BE586" s="3"/>
      <c r="BG586" s="3"/>
      <c r="BH586" s="3"/>
      <c r="BJ586" s="3"/>
      <c r="BK586" s="3"/>
      <c r="BM586" s="3"/>
      <c r="BN586" s="5"/>
      <c r="BP586" s="3"/>
      <c r="BS586" s="3"/>
      <c r="BT586" s="3"/>
      <c r="BV586" s="3"/>
      <c r="BW586" s="3"/>
      <c r="BY586" s="3"/>
      <c r="BZ586" s="3"/>
      <c r="CB586" s="3"/>
      <c r="CC586" s="5"/>
      <c r="CE586" s="3"/>
      <c r="CH586" s="3"/>
      <c r="CI586" s="3"/>
      <c r="CK586" s="3"/>
      <c r="CL586" s="3"/>
      <c r="CN586" s="3"/>
      <c r="CO586" s="3"/>
      <c r="CQ586" s="3"/>
      <c r="CR586" s="5"/>
      <c r="CT586" s="3"/>
      <c r="CW586" s="3"/>
      <c r="CX586" s="3"/>
      <c r="CZ586" s="3"/>
      <c r="DA586" s="3"/>
      <c r="DC586" s="3"/>
      <c r="DD586" s="3"/>
      <c r="DF586" s="3"/>
      <c r="DG586" s="5"/>
      <c r="DI586" s="3"/>
      <c r="DL586" s="3"/>
      <c r="DM586" s="3"/>
      <c r="DO586" s="3"/>
      <c r="DP586" s="3"/>
      <c r="DR586" s="3"/>
      <c r="DS586" s="1" t="str">
        <f>_xlfn.XLOOKUP(OfficeForms.Table[[#This Row],[Selecione a Categoria do Laboratório desta atividade prática:]],Planilha1!A:A,Planilha1!B:B)</f>
        <v>EMF-ISN</v>
      </c>
      <c r="DT586" s="1" t="str">
        <f>CONCATENATE(OfficeForms.Table[[#This Row],[Selecione seu Polo Laboratório de Atividades Presenciais:]],OfficeForms.Table[[#This Row],[CHAVE CONVERSÃO]])</f>
        <v>Assú/RNEMF-ISN</v>
      </c>
      <c r="DU58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58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58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86" s="1" t="str">
        <f>_xlfn.XLOOKUP(OfficeForms.Table[[#This Row],[CHAVE LINK POLO]],'[1]Quadro Geral de Lotação'!$B:$B,'[1]Quadro Geral de Lotação'!$I:$I)</f>
        <v>Romulo Freire Pinto</v>
      </c>
      <c r="DY586" s="1" t="str">
        <f>OfficeForms.Table[[#This Row],[Selecione a Ordem de Disciplina]]</f>
        <v>Ordem 2</v>
      </c>
    </row>
    <row r="587" spans="1:129" ht="34.15" customHeight="1">
      <c r="A587" s="1">
        <v>587</v>
      </c>
      <c r="B587" s="2">
        <v>46113.619016203702</v>
      </c>
      <c r="C587" s="2">
        <v>46113.627303240697</v>
      </c>
      <c r="D587" s="3" t="s">
        <v>511</v>
      </c>
      <c r="E587" s="3" t="s">
        <v>512</v>
      </c>
      <c r="G587" s="3"/>
      <c r="I587" s="3" t="s">
        <v>513</v>
      </c>
      <c r="K587" s="3"/>
      <c r="L587" s="1" t="s">
        <v>678</v>
      </c>
      <c r="O587" s="3" t="s">
        <v>184</v>
      </c>
      <c r="Q587" s="3"/>
      <c r="R587" s="3"/>
      <c r="T587" s="3"/>
      <c r="U587" s="5"/>
      <c r="W587" s="3"/>
      <c r="Z587" s="3"/>
      <c r="AA587" s="3"/>
      <c r="AC587" s="3"/>
      <c r="AD587" s="3"/>
      <c r="AF587" s="3"/>
      <c r="AG587" s="3" t="s">
        <v>1013</v>
      </c>
      <c r="AI587" s="3"/>
      <c r="AJ587" s="1">
        <v>46111</v>
      </c>
      <c r="AL587" s="3"/>
      <c r="AM587" s="1">
        <v>5</v>
      </c>
      <c r="AO587" s="3"/>
      <c r="AP587" s="3" t="s">
        <v>1775</v>
      </c>
      <c r="AR587" s="3"/>
      <c r="AS587" s="3" t="s">
        <v>1776</v>
      </c>
      <c r="AU587" s="3"/>
      <c r="AV587" s="3"/>
      <c r="AX587" s="3"/>
      <c r="AY587" s="5"/>
      <c r="BA587" s="3"/>
      <c r="BD587" s="3"/>
      <c r="BE587" s="3"/>
      <c r="BG587" s="3"/>
      <c r="BH587" s="3"/>
      <c r="BJ587" s="3"/>
      <c r="BK587" s="3"/>
      <c r="BM587" s="3"/>
      <c r="BN587" s="5"/>
      <c r="BP587" s="3"/>
      <c r="BS587" s="3"/>
      <c r="BT587" s="3"/>
      <c r="BV587" s="3"/>
      <c r="BW587" s="3"/>
      <c r="BY587" s="3"/>
      <c r="BZ587" s="3"/>
      <c r="CB587" s="3"/>
      <c r="CC587" s="5"/>
      <c r="CE587" s="3"/>
      <c r="CH587" s="3"/>
      <c r="CI587" s="3"/>
      <c r="CK587" s="3"/>
      <c r="CL587" s="3"/>
      <c r="CN587" s="3"/>
      <c r="CO587" s="3"/>
      <c r="CQ587" s="3"/>
      <c r="CR587" s="5"/>
      <c r="CT587" s="3"/>
      <c r="CW587" s="3"/>
      <c r="CX587" s="3"/>
      <c r="CZ587" s="3"/>
      <c r="DA587" s="3"/>
      <c r="DC587" s="3"/>
      <c r="DD587" s="3"/>
      <c r="DF587" s="3"/>
      <c r="DG587" s="5"/>
      <c r="DI587" s="3"/>
      <c r="DL587" s="3"/>
      <c r="DM587" s="3"/>
      <c r="DO587" s="3"/>
      <c r="DP587" s="3"/>
      <c r="DR587" s="3"/>
      <c r="DS587" s="1" t="str">
        <f>_xlfn.XLOOKUP(OfficeForms.Table[[#This Row],[Selecione a Categoria do Laboratório desta atividade prática:]],Planilha1!A:A,Planilha1!B:B)</f>
        <v>EMF-ISN</v>
      </c>
      <c r="DT587" s="1" t="str">
        <f>CONCATENATE(OfficeForms.Table[[#This Row],[Selecione seu Polo Laboratório de Atividades Presenciais:]],OfficeForms.Table[[#This Row],[CHAVE CONVERSÃO]])</f>
        <v>Aracaju/SE - Ponto NovoEMF-ISN</v>
      </c>
      <c r="DU58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58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58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587" s="1" t="str">
        <f>_xlfn.XLOOKUP(OfficeForms.Table[[#This Row],[CHAVE LINK POLO]],'[1]Quadro Geral de Lotação'!$B:$B,'[1]Quadro Geral de Lotação'!$I:$I)</f>
        <v>Caio Guilherme Santos Morais Oliveira</v>
      </c>
      <c r="DY587" s="1" t="str">
        <f>OfficeForms.Table[[#This Row],[Selecione a Ordem de Disciplina]]</f>
        <v>Ordem 2</v>
      </c>
    </row>
    <row r="588" spans="1:129" ht="34.15" customHeight="1">
      <c r="A588" s="1">
        <v>588</v>
      </c>
      <c r="B588" s="2">
        <v>46113.662592592598</v>
      </c>
      <c r="C588" s="2">
        <v>46113.663854166698</v>
      </c>
      <c r="D588" s="3" t="s">
        <v>526</v>
      </c>
      <c r="E588" s="3" t="s">
        <v>527</v>
      </c>
      <c r="G588" s="3"/>
      <c r="I588" s="3" t="s">
        <v>528</v>
      </c>
      <c r="K588" s="3"/>
      <c r="L588" s="1" t="s">
        <v>710</v>
      </c>
      <c r="O588" s="3" t="s">
        <v>184</v>
      </c>
      <c r="Q588" s="3"/>
      <c r="R588" s="3"/>
      <c r="T588" s="3"/>
      <c r="U588" s="5"/>
      <c r="W588" s="3"/>
      <c r="Z588" s="3"/>
      <c r="AA588" s="3"/>
      <c r="AC588" s="3"/>
      <c r="AD588" s="3"/>
      <c r="AF588" s="3"/>
      <c r="AG588" s="3" t="s">
        <v>1777</v>
      </c>
      <c r="AI588" s="3"/>
      <c r="AJ588" s="1">
        <v>46112</v>
      </c>
      <c r="AL588" s="3"/>
      <c r="AM588" s="1">
        <v>2</v>
      </c>
      <c r="AO588" s="3"/>
      <c r="AP588" s="3" t="s">
        <v>1778</v>
      </c>
      <c r="AR588" s="3"/>
      <c r="AS588" s="3" t="s">
        <v>1779</v>
      </c>
      <c r="AU588" s="3"/>
      <c r="AV588" s="3"/>
      <c r="AX588" s="3"/>
      <c r="AY588" s="5"/>
      <c r="BA588" s="3"/>
      <c r="BD588" s="3"/>
      <c r="BE588" s="3"/>
      <c r="BG588" s="3"/>
      <c r="BH588" s="3"/>
      <c r="BJ588" s="3"/>
      <c r="BK588" s="3"/>
      <c r="BM588" s="3"/>
      <c r="BN588" s="5"/>
      <c r="BP588" s="3"/>
      <c r="BS588" s="3"/>
      <c r="BT588" s="3"/>
      <c r="BV588" s="3"/>
      <c r="BW588" s="3"/>
      <c r="BY588" s="3"/>
      <c r="BZ588" s="3"/>
      <c r="CB588" s="3"/>
      <c r="CC588" s="5"/>
      <c r="CE588" s="3"/>
      <c r="CH588" s="3"/>
      <c r="CI588" s="3"/>
      <c r="CK588" s="3"/>
      <c r="CL588" s="3"/>
      <c r="CN588" s="3"/>
      <c r="CO588" s="3"/>
      <c r="CQ588" s="3"/>
      <c r="CR588" s="5"/>
      <c r="CT588" s="3"/>
      <c r="CW588" s="3"/>
      <c r="CX588" s="3"/>
      <c r="CZ588" s="3"/>
      <c r="DA588" s="3"/>
      <c r="DC588" s="3"/>
      <c r="DD588" s="3"/>
      <c r="DF588" s="3"/>
      <c r="DG588" s="5"/>
      <c r="DI588" s="3"/>
      <c r="DL588" s="3"/>
      <c r="DM588" s="3"/>
      <c r="DO588" s="3"/>
      <c r="DP588" s="3"/>
      <c r="DR588" s="3"/>
      <c r="DS588" s="1" t="str">
        <f>_xlfn.XLOOKUP(OfficeForms.Table[[#This Row],[Selecione a Categoria do Laboratório desta atividade prática:]],Planilha1!A:A,Planilha1!B:B)</f>
        <v>EMF-ISN</v>
      </c>
      <c r="DT588" s="1" t="str">
        <f>CONCATENATE(OfficeForms.Table[[#This Row],[Selecione seu Polo Laboratório de Atividades Presenciais:]],OfficeForms.Table[[#This Row],[CHAVE CONVERSÃO]])</f>
        <v>Sinop/MTEMF-ISN</v>
      </c>
      <c r="DU58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vitais;Avaliação de enfermagem ao paciente com queimadura + Escala de Coma de Glasgow;Exame físico - sistema cardiovascular + Atuação de enfermagem nas doenças locomotoras</v>
      </c>
      <c r="DV58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58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88" s="1" t="str">
        <f>_xlfn.XLOOKUP(OfficeForms.Table[[#This Row],[CHAVE LINK POLO]],'[1]Quadro Geral de Lotação'!$B:$B,'[1]Quadro Geral de Lotação'!$I:$I)</f>
        <v>Sara Jane Amann</v>
      </c>
      <c r="DY588" s="1" t="str">
        <f>OfficeForms.Table[[#This Row],[Selecione a Ordem de Disciplina]]</f>
        <v>Ordem 5</v>
      </c>
    </row>
    <row r="589" spans="1:129" ht="34.15" customHeight="1">
      <c r="A589" s="1">
        <v>589</v>
      </c>
      <c r="B589" s="2">
        <v>46113.67</v>
      </c>
      <c r="C589" s="2">
        <v>46113.673333333303</v>
      </c>
      <c r="D589" s="3" t="s">
        <v>1320</v>
      </c>
      <c r="E589" s="3" t="s">
        <v>1321</v>
      </c>
      <c r="G589" s="3"/>
      <c r="I589" s="3" t="s">
        <v>1322</v>
      </c>
      <c r="K589" s="3"/>
      <c r="L589" s="1" t="s">
        <v>1325</v>
      </c>
      <c r="O589" s="3" t="s">
        <v>184</v>
      </c>
      <c r="Q589" s="3"/>
      <c r="R589" s="3"/>
      <c r="T589" s="3"/>
      <c r="U589" s="5"/>
      <c r="W589" s="3"/>
      <c r="Z589" s="3"/>
      <c r="AA589" s="3"/>
      <c r="AC589" s="3"/>
      <c r="AD589" s="3"/>
      <c r="AF589" s="3"/>
      <c r="AG589" s="3" t="s">
        <v>816</v>
      </c>
      <c r="AI589" s="3"/>
      <c r="AJ589" s="1">
        <v>46107</v>
      </c>
      <c r="AL589" s="3"/>
      <c r="AM589" s="1">
        <v>1</v>
      </c>
      <c r="AO589" s="3"/>
      <c r="AP589" s="3" t="s">
        <v>1780</v>
      </c>
      <c r="AR589" s="3"/>
      <c r="AS589" s="3" t="s">
        <v>1781</v>
      </c>
      <c r="AU589" s="3"/>
      <c r="AV589" s="3"/>
      <c r="AX589" s="3"/>
      <c r="AY589" s="5"/>
      <c r="BA589" s="3"/>
      <c r="BD589" s="3"/>
      <c r="BE589" s="3"/>
      <c r="BG589" s="3"/>
      <c r="BH589" s="3"/>
      <c r="BJ589" s="3"/>
      <c r="BK589" s="3"/>
      <c r="BM589" s="3"/>
      <c r="BN589" s="5"/>
      <c r="BP589" s="3"/>
      <c r="BS589" s="3"/>
      <c r="BT589" s="3"/>
      <c r="BV589" s="3"/>
      <c r="BW589" s="3"/>
      <c r="BY589" s="3"/>
      <c r="BZ589" s="3"/>
      <c r="CB589" s="3"/>
      <c r="CC589" s="5"/>
      <c r="CE589" s="3"/>
      <c r="CH589" s="3"/>
      <c r="CI589" s="3"/>
      <c r="CK589" s="3"/>
      <c r="CL589" s="3"/>
      <c r="CN589" s="3"/>
      <c r="CO589" s="3"/>
      <c r="CQ589" s="3"/>
      <c r="CR589" s="5"/>
      <c r="CT589" s="3"/>
      <c r="CW589" s="3"/>
      <c r="CX589" s="3"/>
      <c r="CZ589" s="3"/>
      <c r="DA589" s="3"/>
      <c r="DC589" s="3"/>
      <c r="DD589" s="3"/>
      <c r="DF589" s="3"/>
      <c r="DG589" s="5"/>
      <c r="DI589" s="3"/>
      <c r="DL589" s="3"/>
      <c r="DM589" s="3"/>
      <c r="DO589" s="3"/>
      <c r="DP589" s="3"/>
      <c r="DR589" s="3"/>
      <c r="DS589" s="1" t="str">
        <f>_xlfn.XLOOKUP(OfficeForms.Table[[#This Row],[Selecione a Categoria do Laboratório desta atividade prática:]],Planilha1!A:A,Planilha1!B:B)</f>
        <v>EMF-ISN</v>
      </c>
      <c r="DT589" s="1" t="str">
        <f>CONCATENATE(OfficeForms.Table[[#This Row],[Selecione seu Polo Laboratório de Atividades Presenciais:]],OfficeForms.Table[[#This Row],[CHAVE CONVERSÃO]])</f>
        <v>Itacoatiara/AMEMF-ISN</v>
      </c>
      <c r="DU58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58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8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89" s="1" t="str">
        <f>_xlfn.XLOOKUP(OfficeForms.Table[[#This Row],[CHAVE LINK POLO]],'[1]Quadro Geral de Lotação'!$B:$B,'[1]Quadro Geral de Lotação'!$I:$I)</f>
        <v>Cinthia Clece Dos Santos Macedo</v>
      </c>
      <c r="DY589" s="1" t="str">
        <f>OfficeForms.Table[[#This Row],[Selecione a Ordem de Disciplina]]</f>
        <v>Ordem 3</v>
      </c>
    </row>
    <row r="590" spans="1:129" ht="34.15" customHeight="1">
      <c r="A590" s="1">
        <v>590</v>
      </c>
      <c r="B590" s="2">
        <v>46113.673425925903</v>
      </c>
      <c r="C590" s="2">
        <v>46113.675081018497</v>
      </c>
      <c r="D590" s="3" t="s">
        <v>1320</v>
      </c>
      <c r="E590" s="3" t="s">
        <v>1321</v>
      </c>
      <c r="G590" s="3"/>
      <c r="I590" s="3" t="s">
        <v>1322</v>
      </c>
      <c r="K590" s="3"/>
      <c r="L590" s="1" t="s">
        <v>1325</v>
      </c>
      <c r="O590" s="3" t="s">
        <v>184</v>
      </c>
      <c r="Q590" s="3"/>
      <c r="R590" s="3"/>
      <c r="T590" s="3"/>
      <c r="U590" s="5"/>
      <c r="W590" s="3"/>
      <c r="Z590" s="3"/>
      <c r="AA590" s="3"/>
      <c r="AC590" s="3"/>
      <c r="AD590" s="3"/>
      <c r="AF590" s="3"/>
      <c r="AG590" s="3" t="s">
        <v>1511</v>
      </c>
      <c r="AI590" s="3"/>
      <c r="AJ590" s="1">
        <v>46107</v>
      </c>
      <c r="AL590" s="3"/>
      <c r="AM590" s="1">
        <v>1</v>
      </c>
      <c r="AO590" s="3"/>
      <c r="AP590" s="3" t="s">
        <v>1782</v>
      </c>
      <c r="AR590" s="3"/>
      <c r="AS590" s="3" t="s">
        <v>1783</v>
      </c>
      <c r="AU590" s="3"/>
      <c r="AV590" s="3"/>
      <c r="AX590" s="3"/>
      <c r="AY590" s="5"/>
      <c r="BA590" s="3"/>
      <c r="BD590" s="3"/>
      <c r="BE590" s="3"/>
      <c r="BG590" s="3"/>
      <c r="BH590" s="3"/>
      <c r="BJ590" s="3"/>
      <c r="BK590" s="3"/>
      <c r="BM590" s="3"/>
      <c r="BN590" s="5"/>
      <c r="BP590" s="3"/>
      <c r="BS590" s="3"/>
      <c r="BT590" s="3"/>
      <c r="BV590" s="3"/>
      <c r="BW590" s="3"/>
      <c r="BY590" s="3"/>
      <c r="BZ590" s="3"/>
      <c r="CB590" s="3"/>
      <c r="CC590" s="5"/>
      <c r="CE590" s="3"/>
      <c r="CH590" s="3"/>
      <c r="CI590" s="3"/>
      <c r="CK590" s="3"/>
      <c r="CL590" s="3"/>
      <c r="CN590" s="3"/>
      <c r="CO590" s="3"/>
      <c r="CQ590" s="3"/>
      <c r="CR590" s="5"/>
      <c r="CT590" s="3"/>
      <c r="CW590" s="3"/>
      <c r="CX590" s="3"/>
      <c r="CZ590" s="3"/>
      <c r="DA590" s="3"/>
      <c r="DC590" s="3"/>
      <c r="DD590" s="3"/>
      <c r="DF590" s="3"/>
      <c r="DG590" s="5"/>
      <c r="DI590" s="3"/>
      <c r="DL590" s="3"/>
      <c r="DM590" s="3"/>
      <c r="DO590" s="3"/>
      <c r="DP590" s="3"/>
      <c r="DR590" s="3"/>
      <c r="DS590" s="1" t="str">
        <f>_xlfn.XLOOKUP(OfficeForms.Table[[#This Row],[Selecione a Categoria do Laboratório desta atividade prática:]],Planilha1!A:A,Planilha1!B:B)</f>
        <v>EMF-ISN</v>
      </c>
      <c r="DT590" s="1" t="str">
        <f>CONCATENATE(OfficeForms.Table[[#This Row],[Selecione seu Polo Laboratório de Atividades Presenciais:]],OfficeForms.Table[[#This Row],[CHAVE CONVERSÃO]])</f>
        <v>Itacoatiara/AMEMF-ISN</v>
      </c>
      <c r="DU59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Sondagem vesical de alívio + Sondagem vesical de demora</v>
      </c>
      <c r="DV59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9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90" s="1" t="str">
        <f>_xlfn.XLOOKUP(OfficeForms.Table[[#This Row],[CHAVE LINK POLO]],'[1]Quadro Geral de Lotação'!$B:$B,'[1]Quadro Geral de Lotação'!$I:$I)</f>
        <v>Cinthia Clece Dos Santos Macedo</v>
      </c>
      <c r="DY590" s="1" t="str">
        <f>OfficeForms.Table[[#This Row],[Selecione a Ordem de Disciplina]]</f>
        <v>Ordem 3</v>
      </c>
    </row>
    <row r="591" spans="1:129" ht="34.15" customHeight="1">
      <c r="A591" s="1">
        <v>591</v>
      </c>
      <c r="B591" s="2">
        <v>46113.751712963</v>
      </c>
      <c r="C591" s="2">
        <v>46113.7524305556</v>
      </c>
      <c r="D591" s="3" t="s">
        <v>1417</v>
      </c>
      <c r="E591" s="3" t="s">
        <v>1418</v>
      </c>
      <c r="G591" s="3"/>
      <c r="I591" s="3" t="s">
        <v>1419</v>
      </c>
      <c r="K591" s="3"/>
      <c r="L591" s="1" t="s">
        <v>678</v>
      </c>
      <c r="O591" s="3" t="s">
        <v>133</v>
      </c>
      <c r="Q591" s="3"/>
      <c r="R591" s="3"/>
      <c r="T591" s="3"/>
      <c r="U591" s="5"/>
      <c r="W591" s="3"/>
      <c r="Z591" s="3"/>
      <c r="AA591" s="3"/>
      <c r="AC591" s="3"/>
      <c r="AD591" s="3"/>
      <c r="AF591" s="3"/>
      <c r="AG591" s="3"/>
      <c r="AI591" s="3"/>
      <c r="AJ591" s="1"/>
      <c r="AL591" s="3"/>
      <c r="AO591" s="3"/>
      <c r="AP591" s="3"/>
      <c r="AR591" s="3"/>
      <c r="AS591" s="3"/>
      <c r="AU591" s="3"/>
      <c r="AV591" s="3" t="s">
        <v>150</v>
      </c>
      <c r="AX591" s="3"/>
      <c r="AY591" s="5">
        <v>46112</v>
      </c>
      <c r="BA591" s="3"/>
      <c r="BB591" s="1">
        <v>15</v>
      </c>
      <c r="BD591" s="3"/>
      <c r="BE591" s="3" t="s">
        <v>1784</v>
      </c>
      <c r="BG591" s="3"/>
      <c r="BH591" s="3" t="s">
        <v>1785</v>
      </c>
      <c r="BJ591" s="3"/>
      <c r="BK591" s="3"/>
      <c r="BM591" s="3"/>
      <c r="BN591" s="5"/>
      <c r="BP591" s="3"/>
      <c r="BS591" s="3"/>
      <c r="BT591" s="3"/>
      <c r="BV591" s="3"/>
      <c r="BW591" s="3"/>
      <c r="BY591" s="3"/>
      <c r="BZ591" s="3"/>
      <c r="CB591" s="3"/>
      <c r="CC591" s="5"/>
      <c r="CE591" s="3"/>
      <c r="CH591" s="3"/>
      <c r="CI591" s="3"/>
      <c r="CK591" s="3"/>
      <c r="CL591" s="3"/>
      <c r="CN591" s="3"/>
      <c r="CO591" s="3"/>
      <c r="CQ591" s="3"/>
      <c r="CR591" s="5"/>
      <c r="CT591" s="3"/>
      <c r="CW591" s="3"/>
      <c r="CX591" s="3"/>
      <c r="CZ591" s="3"/>
      <c r="DA591" s="3"/>
      <c r="DC591" s="3"/>
      <c r="DD591" s="3"/>
      <c r="DF591" s="3"/>
      <c r="DG591" s="5"/>
      <c r="DI591" s="3"/>
      <c r="DL591" s="3"/>
      <c r="DM591" s="3"/>
      <c r="DO591" s="3"/>
      <c r="DP591" s="3"/>
      <c r="DR591" s="3"/>
      <c r="DS591" s="1" t="str">
        <f>_xlfn.XLOOKUP(OfficeForms.Table[[#This Row],[Selecione a Categoria do Laboratório desta atividade prática:]],Planilha1!A:A,Planilha1!B:B)</f>
        <v>BFI</v>
      </c>
      <c r="DT591" s="1" t="str">
        <f>CONCATENATE(OfficeForms.Table[[#This Row],[Selecione seu Polo Laboratório de Atividades Presenciais:]],OfficeForms.Table[[#This Row],[CHAVE CONVERSÃO]])</f>
        <v>Macapá/APBFI</v>
      </c>
      <c r="DU59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Pontos cardeais</v>
      </c>
      <c r="DV59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59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591" s="1" t="str">
        <f>_xlfn.XLOOKUP(OfficeForms.Table[[#This Row],[CHAVE LINK POLO]],'[1]Quadro Geral de Lotação'!$B:$B,'[1]Quadro Geral de Lotação'!$I:$I)</f>
        <v>-</v>
      </c>
      <c r="DY591" s="1" t="str">
        <f>OfficeForms.Table[[#This Row],[Selecione a Ordem de Disciplina]]</f>
        <v>Ordem 2</v>
      </c>
    </row>
    <row r="592" spans="1:129" ht="34.15" customHeight="1">
      <c r="A592" s="1">
        <v>592</v>
      </c>
      <c r="B592" s="2">
        <v>46113.763587963003</v>
      </c>
      <c r="C592" s="2">
        <v>46113.767361111102</v>
      </c>
      <c r="D592" s="3" t="s">
        <v>197</v>
      </c>
      <c r="E592" s="3" t="s">
        <v>198</v>
      </c>
      <c r="G592" s="3"/>
      <c r="I592" s="3" t="s">
        <v>199</v>
      </c>
      <c r="K592" s="3"/>
      <c r="L592" s="1" t="s">
        <v>678</v>
      </c>
      <c r="O592" s="3" t="s">
        <v>177</v>
      </c>
      <c r="Q592" s="3"/>
      <c r="R592" s="3"/>
      <c r="T592" s="3"/>
      <c r="U592" s="5"/>
      <c r="W592" s="3"/>
      <c r="Z592" s="3"/>
      <c r="AA592" s="3"/>
      <c r="AC592" s="3"/>
      <c r="AD592" s="3"/>
      <c r="AF592" s="3"/>
      <c r="AG592" s="3"/>
      <c r="AI592" s="3"/>
      <c r="AJ592" s="1"/>
      <c r="AL592" s="3"/>
      <c r="AO592" s="3"/>
      <c r="AP592" s="3"/>
      <c r="AR592" s="3"/>
      <c r="AS592" s="3"/>
      <c r="AU592" s="3"/>
      <c r="AV592" s="3"/>
      <c r="AX592" s="3"/>
      <c r="AY592" s="5"/>
      <c r="BA592" s="3"/>
      <c r="BD592" s="3"/>
      <c r="BE592" s="3"/>
      <c r="BG592" s="3"/>
      <c r="BH592" s="3"/>
      <c r="BJ592" s="3"/>
      <c r="BK592" s="3"/>
      <c r="BM592" s="3"/>
      <c r="BN592" s="5"/>
      <c r="BP592" s="3"/>
      <c r="BS592" s="3"/>
      <c r="BT592" s="3"/>
      <c r="BV592" s="3"/>
      <c r="BW592" s="3"/>
      <c r="BY592" s="3"/>
      <c r="BZ592" s="3"/>
      <c r="CB592" s="3"/>
      <c r="CC592" s="5"/>
      <c r="CE592" s="3"/>
      <c r="CH592" s="3"/>
      <c r="CI592" s="3"/>
      <c r="CK592" s="3"/>
      <c r="CL592" s="3"/>
      <c r="CN592" s="3"/>
      <c r="CO592" s="3"/>
      <c r="CQ592" s="3"/>
      <c r="CR592" s="5"/>
      <c r="CT592" s="3"/>
      <c r="CW592" s="3"/>
      <c r="CX592" s="3"/>
      <c r="CZ592" s="3"/>
      <c r="DA592" s="3"/>
      <c r="DC592" s="3"/>
      <c r="DD592" s="3" t="s">
        <v>1160</v>
      </c>
      <c r="DF592" s="3"/>
      <c r="DG592" s="5">
        <v>46109</v>
      </c>
      <c r="DI592" s="3"/>
      <c r="DJ592" s="1">
        <v>0</v>
      </c>
      <c r="DL592" s="3"/>
      <c r="DM592" s="3" t="s">
        <v>1786</v>
      </c>
      <c r="DO592" s="3"/>
      <c r="DP592" s="3" t="s">
        <v>1787</v>
      </c>
      <c r="DR592" s="3"/>
      <c r="DS592" s="1" t="str">
        <f>_xlfn.XLOOKUP(OfficeForms.Table[[#This Row],[Selecione a Categoria do Laboratório desta atividade prática:]],Planilha1!A:A,Planilha1!B:B)</f>
        <v>AGM</v>
      </c>
      <c r="DT592" s="1" t="str">
        <f>CONCATENATE(OfficeForms.Table[[#This Row],[Selecione seu Polo Laboratório de Atividades Presenciais:]],OfficeForms.Table[[#This Row],[CHAVE CONVERSÃO]])</f>
        <v>Alagoinhas/BAAGM</v>
      </c>
      <c r="DU59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Identificação de plantas daninhas de interesse agronômico</v>
      </c>
      <c r="DV59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59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592" s="1" t="str">
        <f>_xlfn.XLOOKUP(OfficeForms.Table[[#This Row],[CHAVE LINK POLO]],'[1]Quadro Geral de Lotação'!$B:$B,'[1]Quadro Geral de Lotação'!$I:$I)</f>
        <v>Vitor Batista Pinheiro</v>
      </c>
      <c r="DY592" s="1" t="str">
        <f>OfficeForms.Table[[#This Row],[Selecione a Ordem de Disciplina]]</f>
        <v>Ordem 2</v>
      </c>
    </row>
    <row r="593" spans="1:129" ht="34.15" customHeight="1">
      <c r="A593" s="1">
        <v>593</v>
      </c>
      <c r="B593" s="2">
        <v>46113.819305555597</v>
      </c>
      <c r="C593" s="2">
        <v>46113.8203125</v>
      </c>
      <c r="D593" s="3" t="s">
        <v>751</v>
      </c>
      <c r="E593" s="3" t="s">
        <v>752</v>
      </c>
      <c r="G593" s="3"/>
      <c r="I593" s="3" t="s">
        <v>753</v>
      </c>
      <c r="K593" s="3"/>
      <c r="L593" s="1" t="s">
        <v>678</v>
      </c>
      <c r="O593" s="3" t="s">
        <v>184</v>
      </c>
      <c r="Q593" s="3"/>
      <c r="R593" s="3"/>
      <c r="T593" s="3"/>
      <c r="U593" s="5"/>
      <c r="W593" s="3"/>
      <c r="Z593" s="3"/>
      <c r="AA593" s="3"/>
      <c r="AC593" s="3"/>
      <c r="AD593" s="3"/>
      <c r="AF593" s="3"/>
      <c r="AG593" s="3" t="s">
        <v>1013</v>
      </c>
      <c r="AI593" s="3"/>
      <c r="AJ593" s="1">
        <v>46112</v>
      </c>
      <c r="AL593" s="3"/>
      <c r="AM593" s="1">
        <v>3</v>
      </c>
      <c r="AO593" s="3"/>
      <c r="AP593" s="3" t="s">
        <v>1788</v>
      </c>
      <c r="AR593" s="3"/>
      <c r="AS593" s="3" t="s">
        <v>1789</v>
      </c>
      <c r="AU593" s="3"/>
      <c r="AV593" s="3"/>
      <c r="AX593" s="3"/>
      <c r="AY593" s="5"/>
      <c r="BA593" s="3"/>
      <c r="BD593" s="3"/>
      <c r="BE593" s="3"/>
      <c r="BG593" s="3"/>
      <c r="BH593" s="3"/>
      <c r="BJ593" s="3"/>
      <c r="BK593" s="3"/>
      <c r="BM593" s="3"/>
      <c r="BN593" s="5"/>
      <c r="BP593" s="3"/>
      <c r="BS593" s="3"/>
      <c r="BT593" s="3"/>
      <c r="BV593" s="3"/>
      <c r="BW593" s="3"/>
      <c r="BY593" s="3"/>
      <c r="BZ593" s="3"/>
      <c r="CB593" s="3"/>
      <c r="CC593" s="5"/>
      <c r="CE593" s="3"/>
      <c r="CH593" s="3"/>
      <c r="CI593" s="3"/>
      <c r="CK593" s="3"/>
      <c r="CL593" s="3"/>
      <c r="CN593" s="3"/>
      <c r="CO593" s="3"/>
      <c r="CQ593" s="3"/>
      <c r="CR593" s="5"/>
      <c r="CT593" s="3"/>
      <c r="CW593" s="3"/>
      <c r="CX593" s="3"/>
      <c r="CZ593" s="3"/>
      <c r="DA593" s="3"/>
      <c r="DC593" s="3"/>
      <c r="DD593" s="3"/>
      <c r="DF593" s="3"/>
      <c r="DG593" s="5"/>
      <c r="DI593" s="3"/>
      <c r="DL593" s="3"/>
      <c r="DM593" s="3"/>
      <c r="DO593" s="3"/>
      <c r="DP593" s="3"/>
      <c r="DR593" s="3"/>
      <c r="DS593" s="1" t="str">
        <f>_xlfn.XLOOKUP(OfficeForms.Table[[#This Row],[Selecione a Categoria do Laboratório desta atividade prática:]],Planilha1!A:A,Planilha1!B:B)</f>
        <v>EMF-ISN</v>
      </c>
      <c r="DT593" s="1" t="str">
        <f>CONCATENATE(OfficeForms.Table[[#This Row],[Selecione seu Polo Laboratório de Atividades Presenciais:]],OfficeForms.Table[[#This Row],[CHAVE CONVERSÃO]])</f>
        <v>São Paulo/SP - TatuapéEMF-ISN</v>
      </c>
      <c r="DU59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59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59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93" s="1" t="str">
        <f>_xlfn.XLOOKUP(OfficeForms.Table[[#This Row],[CHAVE LINK POLO]],'[1]Quadro Geral de Lotação'!$B:$B,'[1]Quadro Geral de Lotação'!$I:$I)</f>
        <v>Luiz Dias Da Silva</v>
      </c>
      <c r="DY593" s="1" t="str">
        <f>OfficeForms.Table[[#This Row],[Selecione a Ordem de Disciplina]]</f>
        <v>Ordem 2</v>
      </c>
    </row>
    <row r="594" spans="1:129" ht="34.15" customHeight="1">
      <c r="A594" s="1">
        <v>594</v>
      </c>
      <c r="B594" s="2">
        <v>46113.807719907403</v>
      </c>
      <c r="C594" s="2">
        <v>46113.8224305556</v>
      </c>
      <c r="D594" s="3" t="s">
        <v>373</v>
      </c>
      <c r="E594" s="3" t="s">
        <v>374</v>
      </c>
      <c r="G594" s="3"/>
      <c r="I594" s="3" t="s">
        <v>375</v>
      </c>
      <c r="K594" s="3"/>
      <c r="L594" s="1" t="s">
        <v>678</v>
      </c>
      <c r="O594" s="3" t="s">
        <v>184</v>
      </c>
      <c r="Q594" s="3"/>
      <c r="R594" s="3"/>
      <c r="T594" s="3"/>
      <c r="U594" s="5"/>
      <c r="W594" s="3"/>
      <c r="Z594" s="3"/>
      <c r="AA594" s="3"/>
      <c r="AC594" s="3"/>
      <c r="AD594" s="3"/>
      <c r="AF594" s="3"/>
      <c r="AG594" s="3" t="s">
        <v>1200</v>
      </c>
      <c r="AI594" s="3"/>
      <c r="AJ594" s="1">
        <v>46098</v>
      </c>
      <c r="AL594" s="3"/>
      <c r="AM594" s="1">
        <v>6</v>
      </c>
      <c r="AO594" s="3"/>
      <c r="AP594" s="3" t="s">
        <v>1790</v>
      </c>
      <c r="AR594" s="3"/>
      <c r="AS594" s="3" t="s">
        <v>1791</v>
      </c>
      <c r="AU594" s="3"/>
      <c r="AV594" s="3"/>
      <c r="AX594" s="3"/>
      <c r="AY594" s="5"/>
      <c r="BA594" s="3"/>
      <c r="BD594" s="3"/>
      <c r="BE594" s="3"/>
      <c r="BG594" s="3"/>
      <c r="BH594" s="3"/>
      <c r="BJ594" s="3"/>
      <c r="BK594" s="3"/>
      <c r="BM594" s="3"/>
      <c r="BN594" s="5"/>
      <c r="BP594" s="3"/>
      <c r="BS594" s="3"/>
      <c r="BT594" s="3"/>
      <c r="BV594" s="3"/>
      <c r="BW594" s="3"/>
      <c r="BY594" s="3"/>
      <c r="BZ594" s="3"/>
      <c r="CB594" s="3"/>
      <c r="CC594" s="5"/>
      <c r="CE594" s="3"/>
      <c r="CH594" s="3"/>
      <c r="CI594" s="3"/>
      <c r="CK594" s="3"/>
      <c r="CL594" s="3"/>
      <c r="CN594" s="3"/>
      <c r="CO594" s="3"/>
      <c r="CQ594" s="3"/>
      <c r="CR594" s="5"/>
      <c r="CT594" s="3"/>
      <c r="CW594" s="3"/>
      <c r="CX594" s="3"/>
      <c r="CZ594" s="3"/>
      <c r="DA594" s="3"/>
      <c r="DC594" s="3"/>
      <c r="DD594" s="3"/>
      <c r="DF594" s="3"/>
      <c r="DG594" s="5"/>
      <c r="DI594" s="3"/>
      <c r="DL594" s="3"/>
      <c r="DM594" s="3"/>
      <c r="DO594" s="3"/>
      <c r="DP594" s="3"/>
      <c r="DR594" s="3"/>
      <c r="DS594" s="1" t="str">
        <f>_xlfn.XLOOKUP(OfficeForms.Table[[#This Row],[Selecione a Categoria do Laboratório desta atividade prática:]],Planilha1!A:A,Planilha1!B:B)</f>
        <v>EMF-ISN</v>
      </c>
      <c r="DT594" s="1" t="str">
        <f>CONCATENATE(OfficeForms.Table[[#This Row],[Selecione seu Polo Laboratório de Atividades Presenciais:]],OfficeForms.Table[[#This Row],[CHAVE CONVERSÃO]])</f>
        <v>Brasília/DF - TaguatingaEMF-ISN</v>
      </c>
      <c r="DU59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59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59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594" s="1" t="str">
        <f>_xlfn.XLOOKUP(OfficeForms.Table[[#This Row],[CHAVE LINK POLO]],'[1]Quadro Geral de Lotação'!$B:$B,'[1]Quadro Geral de Lotação'!$I:$I)</f>
        <v>Tatiane Da Silva Rodrigues</v>
      </c>
      <c r="DY594" s="1" t="str">
        <f>OfficeForms.Table[[#This Row],[Selecione a Ordem de Disciplina]]</f>
        <v>Ordem 2</v>
      </c>
    </row>
    <row r="595" spans="1:129" ht="34.15" customHeight="1">
      <c r="A595" s="1">
        <v>595</v>
      </c>
      <c r="B595" s="2">
        <v>46113.823449074102</v>
      </c>
      <c r="C595" s="2">
        <v>46113.838888888902</v>
      </c>
      <c r="D595" s="3" t="s">
        <v>373</v>
      </c>
      <c r="E595" s="3" t="s">
        <v>374</v>
      </c>
      <c r="G595" s="3"/>
      <c r="I595" s="3" t="s">
        <v>375</v>
      </c>
      <c r="K595" s="3"/>
      <c r="L595" s="1" t="s">
        <v>678</v>
      </c>
      <c r="O595" s="3" t="s">
        <v>184</v>
      </c>
      <c r="Q595" s="3"/>
      <c r="R595" s="3"/>
      <c r="T595" s="3"/>
      <c r="U595" s="5"/>
      <c r="W595" s="3"/>
      <c r="Z595" s="3"/>
      <c r="AA595" s="3"/>
      <c r="AC595" s="3"/>
      <c r="AD595" s="3"/>
      <c r="AF595" s="3"/>
      <c r="AG595" s="3" t="s">
        <v>1200</v>
      </c>
      <c r="AI595" s="3"/>
      <c r="AJ595" s="1">
        <v>46105</v>
      </c>
      <c r="AL595" s="3"/>
      <c r="AM595" s="1">
        <v>2</v>
      </c>
      <c r="AO595" s="3"/>
      <c r="AP595" s="3" t="s">
        <v>1792</v>
      </c>
      <c r="AR595" s="3"/>
      <c r="AS595" s="3" t="s">
        <v>1793</v>
      </c>
      <c r="AU595" s="3"/>
      <c r="AV595" s="3"/>
      <c r="AX595" s="3"/>
      <c r="AY595" s="5"/>
      <c r="BA595" s="3"/>
      <c r="BD595" s="3"/>
      <c r="BE595" s="3"/>
      <c r="BG595" s="3"/>
      <c r="BH595" s="3"/>
      <c r="BJ595" s="3"/>
      <c r="BK595" s="3"/>
      <c r="BM595" s="3"/>
      <c r="BN595" s="5"/>
      <c r="BP595" s="3"/>
      <c r="BS595" s="3"/>
      <c r="BT595" s="3"/>
      <c r="BV595" s="3"/>
      <c r="BW595" s="3"/>
      <c r="BY595" s="3"/>
      <c r="BZ595" s="3"/>
      <c r="CB595" s="3"/>
      <c r="CC595" s="5"/>
      <c r="CE595" s="3"/>
      <c r="CH595" s="3"/>
      <c r="CI595" s="3"/>
      <c r="CK595" s="3"/>
      <c r="CL595" s="3"/>
      <c r="CN595" s="3"/>
      <c r="CO595" s="3"/>
      <c r="CQ595" s="3"/>
      <c r="CR595" s="5"/>
      <c r="CT595" s="3"/>
      <c r="CW595" s="3"/>
      <c r="CX595" s="3"/>
      <c r="CZ595" s="3"/>
      <c r="DA595" s="3"/>
      <c r="DC595" s="3"/>
      <c r="DD595" s="3"/>
      <c r="DF595" s="3"/>
      <c r="DG595" s="5"/>
      <c r="DI595" s="3"/>
      <c r="DL595" s="3"/>
      <c r="DM595" s="3"/>
      <c r="DO595" s="3"/>
      <c r="DP595" s="3"/>
      <c r="DR595" s="3"/>
      <c r="DS595" s="1" t="str">
        <f>_xlfn.XLOOKUP(OfficeForms.Table[[#This Row],[Selecione a Categoria do Laboratório desta atividade prática:]],Planilha1!A:A,Planilha1!B:B)</f>
        <v>EMF-ISN</v>
      </c>
      <c r="DT595" s="1" t="str">
        <f>CONCATENATE(OfficeForms.Table[[#This Row],[Selecione seu Polo Laboratório de Atividades Presenciais:]],OfficeForms.Table[[#This Row],[CHAVE CONVERSÃO]])</f>
        <v>Brasília/DF - TaguatingaEMF-ISN</v>
      </c>
      <c r="DU59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59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59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595" s="1" t="str">
        <f>_xlfn.XLOOKUP(OfficeForms.Table[[#This Row],[CHAVE LINK POLO]],'[1]Quadro Geral de Lotação'!$B:$B,'[1]Quadro Geral de Lotação'!$I:$I)</f>
        <v>Tatiane Da Silva Rodrigues</v>
      </c>
      <c r="DY595" s="1" t="str">
        <f>OfficeForms.Table[[#This Row],[Selecione a Ordem de Disciplina]]</f>
        <v>Ordem 2</v>
      </c>
    </row>
    <row r="596" spans="1:129" ht="34.15" customHeight="1">
      <c r="A596" s="1">
        <v>596</v>
      </c>
      <c r="B596" s="2">
        <v>46113.839606481502</v>
      </c>
      <c r="C596" s="2">
        <v>46113.847164351901</v>
      </c>
      <c r="D596" s="3" t="s">
        <v>373</v>
      </c>
      <c r="E596" s="3" t="s">
        <v>374</v>
      </c>
      <c r="G596" s="3"/>
      <c r="I596" s="3" t="s">
        <v>375</v>
      </c>
      <c r="K596" s="3"/>
      <c r="L596" s="1" t="s">
        <v>678</v>
      </c>
      <c r="O596" s="3" t="s">
        <v>184</v>
      </c>
      <c r="Q596" s="3"/>
      <c r="R596" s="3"/>
      <c r="T596" s="3"/>
      <c r="U596" s="5"/>
      <c r="W596" s="3"/>
      <c r="Z596" s="3"/>
      <c r="AA596" s="3"/>
      <c r="AC596" s="3"/>
      <c r="AD596" s="3"/>
      <c r="AF596" s="3"/>
      <c r="AG596" s="3" t="s">
        <v>1638</v>
      </c>
      <c r="AI596" s="3"/>
      <c r="AJ596" s="1">
        <v>46099</v>
      </c>
      <c r="AL596" s="3"/>
      <c r="AM596" s="1">
        <v>4</v>
      </c>
      <c r="AO596" s="3"/>
      <c r="AP596" s="3" t="s">
        <v>1794</v>
      </c>
      <c r="AR596" s="3"/>
      <c r="AS596" s="3" t="s">
        <v>1795</v>
      </c>
      <c r="AU596" s="3"/>
      <c r="AV596" s="3"/>
      <c r="AX596" s="3"/>
      <c r="AY596" s="5"/>
      <c r="BA596" s="3"/>
      <c r="BD596" s="3"/>
      <c r="BE596" s="3"/>
      <c r="BG596" s="3"/>
      <c r="BH596" s="3"/>
      <c r="BJ596" s="3"/>
      <c r="BK596" s="3"/>
      <c r="BM596" s="3"/>
      <c r="BN596" s="5"/>
      <c r="BP596" s="3"/>
      <c r="BS596" s="3"/>
      <c r="BT596" s="3"/>
      <c r="BV596" s="3"/>
      <c r="BW596" s="3"/>
      <c r="BY596" s="3"/>
      <c r="BZ596" s="3"/>
      <c r="CB596" s="3"/>
      <c r="CC596" s="5"/>
      <c r="CE596" s="3"/>
      <c r="CH596" s="3"/>
      <c r="CI596" s="3"/>
      <c r="CK596" s="3"/>
      <c r="CL596" s="3"/>
      <c r="CN596" s="3"/>
      <c r="CO596" s="3"/>
      <c r="CQ596" s="3"/>
      <c r="CR596" s="5"/>
      <c r="CT596" s="3"/>
      <c r="CW596" s="3"/>
      <c r="CX596" s="3"/>
      <c r="CZ596" s="3"/>
      <c r="DA596" s="3"/>
      <c r="DC596" s="3"/>
      <c r="DD596" s="3"/>
      <c r="DF596" s="3"/>
      <c r="DG596" s="5"/>
      <c r="DI596" s="3"/>
      <c r="DL596" s="3"/>
      <c r="DM596" s="3"/>
      <c r="DO596" s="3"/>
      <c r="DP596" s="3"/>
      <c r="DR596" s="3"/>
      <c r="DS596" s="1" t="str">
        <f>_xlfn.XLOOKUP(OfficeForms.Table[[#This Row],[Selecione a Categoria do Laboratório desta atividade prática:]],Planilha1!A:A,Planilha1!B:B)</f>
        <v>EMF-ISN</v>
      </c>
      <c r="DT596" s="1" t="str">
        <f>CONCATENATE(OfficeForms.Table[[#This Row],[Selecione seu Polo Laboratório de Atividades Presenciais:]],OfficeForms.Table[[#This Row],[CHAVE CONVERSÃO]])</f>
        <v>Brasília/DF - TaguatingaEMF-ISN</v>
      </c>
      <c r="DU59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Vida;Avaliação de enfermagem ao paciente com queimadura + Escala de Coma de Glasgow</v>
      </c>
      <c r="DV59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59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96" s="1" t="str">
        <f>_xlfn.XLOOKUP(OfficeForms.Table[[#This Row],[CHAVE LINK POLO]],'[1]Quadro Geral de Lotação'!$B:$B,'[1]Quadro Geral de Lotação'!$I:$I)</f>
        <v>Tatiane Da Silva Rodrigues</v>
      </c>
      <c r="DY596" s="1" t="str">
        <f>OfficeForms.Table[[#This Row],[Selecione a Ordem de Disciplina]]</f>
        <v>Ordem 2</v>
      </c>
    </row>
    <row r="597" spans="1:129" ht="34.15" customHeight="1">
      <c r="A597" s="1">
        <v>597</v>
      </c>
      <c r="B597" s="2">
        <v>46113.868935185201</v>
      </c>
      <c r="C597" s="2">
        <v>46113.870787036998</v>
      </c>
      <c r="D597" s="3" t="s">
        <v>373</v>
      </c>
      <c r="E597" s="3" t="s">
        <v>374</v>
      </c>
      <c r="G597" s="3"/>
      <c r="I597" s="3" t="s">
        <v>375</v>
      </c>
      <c r="K597" s="3"/>
      <c r="L597" s="1" t="s">
        <v>678</v>
      </c>
      <c r="O597" s="3" t="s">
        <v>184</v>
      </c>
      <c r="Q597" s="3"/>
      <c r="R597" s="3"/>
      <c r="T597" s="3"/>
      <c r="U597" s="5"/>
      <c r="W597" s="3"/>
      <c r="Z597" s="3"/>
      <c r="AA597" s="3"/>
      <c r="AC597" s="3"/>
      <c r="AD597" s="3"/>
      <c r="AF597" s="3"/>
      <c r="AG597" s="3" t="s">
        <v>211</v>
      </c>
      <c r="AI597" s="3"/>
      <c r="AJ597" s="1">
        <v>46100</v>
      </c>
      <c r="AL597" s="3"/>
      <c r="AM597" s="1">
        <v>1</v>
      </c>
      <c r="AO597" s="3"/>
      <c r="AP597" s="3" t="s">
        <v>1796</v>
      </c>
      <c r="AR597" s="3"/>
      <c r="AS597" s="3" t="s">
        <v>1797</v>
      </c>
      <c r="AU597" s="3"/>
      <c r="AV597" s="3"/>
      <c r="AX597" s="3"/>
      <c r="AY597" s="5"/>
      <c r="BA597" s="3"/>
      <c r="BD597" s="3"/>
      <c r="BE597" s="3"/>
      <c r="BG597" s="3"/>
      <c r="BH597" s="3"/>
      <c r="BJ597" s="3"/>
      <c r="BK597" s="3"/>
      <c r="BM597" s="3"/>
      <c r="BN597" s="5"/>
      <c r="BP597" s="3"/>
      <c r="BS597" s="3"/>
      <c r="BT597" s="3"/>
      <c r="BV597" s="3"/>
      <c r="BW597" s="3"/>
      <c r="BY597" s="3"/>
      <c r="BZ597" s="3"/>
      <c r="CB597" s="3"/>
      <c r="CC597" s="5"/>
      <c r="CE597" s="3"/>
      <c r="CH597" s="3"/>
      <c r="CI597" s="3"/>
      <c r="CK597" s="3"/>
      <c r="CL597" s="3"/>
      <c r="CN597" s="3"/>
      <c r="CO597" s="3"/>
      <c r="CQ597" s="3"/>
      <c r="CR597" s="5"/>
      <c r="CT597" s="3"/>
      <c r="CW597" s="3"/>
      <c r="CX597" s="3"/>
      <c r="CZ597" s="3"/>
      <c r="DA597" s="3"/>
      <c r="DC597" s="3"/>
      <c r="DD597" s="3"/>
      <c r="DF597" s="3"/>
      <c r="DG597" s="5"/>
      <c r="DI597" s="3"/>
      <c r="DL597" s="3"/>
      <c r="DM597" s="3"/>
      <c r="DO597" s="3"/>
      <c r="DP597" s="3"/>
      <c r="DR597" s="3"/>
      <c r="DS597" s="1" t="str">
        <f>_xlfn.XLOOKUP(OfficeForms.Table[[#This Row],[Selecione a Categoria do Laboratório desta atividade prática:]],Planilha1!A:A,Planilha1!B:B)</f>
        <v>EMF-ISN</v>
      </c>
      <c r="DT597" s="1" t="str">
        <f>CONCATENATE(OfficeForms.Table[[#This Row],[Selecione seu Polo Laboratório de Atividades Presenciais:]],OfficeForms.Table[[#This Row],[CHAVE CONVERSÃO]])</f>
        <v>Brasília/DF - TaguatingaEMF-ISN</v>
      </c>
      <c r="DU59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59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59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597" s="1" t="str">
        <f>_xlfn.XLOOKUP(OfficeForms.Table[[#This Row],[CHAVE LINK POLO]],'[1]Quadro Geral de Lotação'!$B:$B,'[1]Quadro Geral de Lotação'!$I:$I)</f>
        <v>Tatiane Da Silva Rodrigues</v>
      </c>
      <c r="DY597" s="1" t="str">
        <f>OfficeForms.Table[[#This Row],[Selecione a Ordem de Disciplina]]</f>
        <v>Ordem 2</v>
      </c>
    </row>
    <row r="598" spans="1:129" ht="34.15" customHeight="1">
      <c r="A598" s="1">
        <v>598</v>
      </c>
      <c r="B598" s="2">
        <v>46113.871851851902</v>
      </c>
      <c r="C598" s="2">
        <v>46113.890879629602</v>
      </c>
      <c r="D598" s="3" t="s">
        <v>373</v>
      </c>
      <c r="E598" s="3" t="s">
        <v>374</v>
      </c>
      <c r="G598" s="3"/>
      <c r="I598" s="3" t="s">
        <v>375</v>
      </c>
      <c r="K598" s="3"/>
      <c r="L598" s="1" t="s">
        <v>678</v>
      </c>
      <c r="O598" s="3" t="s">
        <v>184</v>
      </c>
      <c r="Q598" s="3"/>
      <c r="R598" s="3"/>
      <c r="T598" s="3"/>
      <c r="U598" s="5"/>
      <c r="W598" s="3"/>
      <c r="Z598" s="3"/>
      <c r="AA598" s="3"/>
      <c r="AC598" s="3"/>
      <c r="AD598" s="3"/>
      <c r="AF598" s="3"/>
      <c r="AG598" s="3" t="s">
        <v>1013</v>
      </c>
      <c r="AI598" s="3"/>
      <c r="AJ598" s="1">
        <v>46107</v>
      </c>
      <c r="AL598" s="3"/>
      <c r="AM598" s="1">
        <v>3</v>
      </c>
      <c r="AO598" s="3"/>
      <c r="AP598" s="3" t="s">
        <v>1798</v>
      </c>
      <c r="AR598" s="3"/>
      <c r="AS598" s="3" t="s">
        <v>1799</v>
      </c>
      <c r="AU598" s="3"/>
      <c r="AV598" s="3"/>
      <c r="AX598" s="3"/>
      <c r="AY598" s="5"/>
      <c r="BA598" s="3"/>
      <c r="BD598" s="3"/>
      <c r="BE598" s="3"/>
      <c r="BG598" s="3"/>
      <c r="BH598" s="3"/>
      <c r="BJ598" s="3"/>
      <c r="BK598" s="3"/>
      <c r="BM598" s="3"/>
      <c r="BN598" s="5"/>
      <c r="BP598" s="3"/>
      <c r="BS598" s="3"/>
      <c r="BT598" s="3"/>
      <c r="BV598" s="3"/>
      <c r="BW598" s="3"/>
      <c r="BY598" s="3"/>
      <c r="BZ598" s="3"/>
      <c r="CB598" s="3"/>
      <c r="CC598" s="5"/>
      <c r="CE598" s="3"/>
      <c r="CH598" s="3"/>
      <c r="CI598" s="3"/>
      <c r="CK598" s="3"/>
      <c r="CL598" s="3"/>
      <c r="CN598" s="3"/>
      <c r="CO598" s="3"/>
      <c r="CQ598" s="3"/>
      <c r="CR598" s="5"/>
      <c r="CT598" s="3"/>
      <c r="CW598" s="3"/>
      <c r="CX598" s="3"/>
      <c r="CZ598" s="3"/>
      <c r="DA598" s="3"/>
      <c r="DC598" s="3"/>
      <c r="DD598" s="3"/>
      <c r="DF598" s="3"/>
      <c r="DG598" s="5"/>
      <c r="DI598" s="3"/>
      <c r="DL598" s="3"/>
      <c r="DM598" s="3"/>
      <c r="DO598" s="3"/>
      <c r="DP598" s="3"/>
      <c r="DR598" s="3"/>
      <c r="DS598" s="1" t="str">
        <f>_xlfn.XLOOKUP(OfficeForms.Table[[#This Row],[Selecione a Categoria do Laboratório desta atividade prática:]],Planilha1!A:A,Planilha1!B:B)</f>
        <v>EMF-ISN</v>
      </c>
      <c r="DT598" s="1" t="str">
        <f>CONCATENATE(OfficeForms.Table[[#This Row],[Selecione seu Polo Laboratório de Atividades Presenciais:]],OfficeForms.Table[[#This Row],[CHAVE CONVERSÃO]])</f>
        <v>Brasília/DF - TaguatingaEMF-ISN</v>
      </c>
      <c r="DU59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59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59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598" s="1" t="str">
        <f>_xlfn.XLOOKUP(OfficeForms.Table[[#This Row],[CHAVE LINK POLO]],'[1]Quadro Geral de Lotação'!$B:$B,'[1]Quadro Geral de Lotação'!$I:$I)</f>
        <v>Tatiane Da Silva Rodrigues</v>
      </c>
      <c r="DY598" s="1" t="str">
        <f>OfficeForms.Table[[#This Row],[Selecione a Ordem de Disciplina]]</f>
        <v>Ordem 2</v>
      </c>
    </row>
    <row r="599" spans="1:129" ht="34.15" customHeight="1">
      <c r="A599" s="1">
        <v>599</v>
      </c>
      <c r="B599" s="2">
        <v>46114.4163541667</v>
      </c>
      <c r="C599" s="2">
        <v>46114.417187500003</v>
      </c>
      <c r="D599" s="3" t="s">
        <v>306</v>
      </c>
      <c r="E599" s="3" t="s">
        <v>307</v>
      </c>
      <c r="G599" s="3"/>
      <c r="I599" s="3" t="s">
        <v>308</v>
      </c>
      <c r="K599" s="3"/>
      <c r="L599" s="1" t="s">
        <v>678</v>
      </c>
      <c r="O599" s="3" t="s">
        <v>133</v>
      </c>
      <c r="Q599" s="3"/>
      <c r="R599" s="3"/>
      <c r="T599" s="3"/>
      <c r="U599" s="5"/>
      <c r="W599" s="3"/>
      <c r="Z599" s="3"/>
      <c r="AA599" s="3"/>
      <c r="AC599" s="3"/>
      <c r="AD599" s="3"/>
      <c r="AF599" s="3"/>
      <c r="AG599" s="3"/>
      <c r="AI599" s="3"/>
      <c r="AJ599" s="1"/>
      <c r="AL599" s="3"/>
      <c r="AO599" s="3"/>
      <c r="AP599" s="3"/>
      <c r="AR599" s="3"/>
      <c r="AS599" s="3"/>
      <c r="AU599" s="3"/>
      <c r="AV599" s="3" t="s">
        <v>1800</v>
      </c>
      <c r="AX599" s="3"/>
      <c r="AY599" s="5">
        <v>46113</v>
      </c>
      <c r="BA599" s="3"/>
      <c r="BB599" s="1">
        <v>4</v>
      </c>
      <c r="BD599" s="3"/>
      <c r="BE599" s="3" t="s">
        <v>1801</v>
      </c>
      <c r="BG599" s="3"/>
      <c r="BH599" s="3" t="s">
        <v>1802</v>
      </c>
      <c r="BJ599" s="3"/>
      <c r="BK599" s="3"/>
      <c r="BM599" s="3"/>
      <c r="BN599" s="5"/>
      <c r="BP599" s="3"/>
      <c r="BS599" s="3"/>
      <c r="BT599" s="3"/>
      <c r="BV599" s="3"/>
      <c r="BW599" s="3"/>
      <c r="BY599" s="3"/>
      <c r="BZ599" s="3"/>
      <c r="CB599" s="3"/>
      <c r="CC599" s="5"/>
      <c r="CE599" s="3"/>
      <c r="CH599" s="3"/>
      <c r="CI599" s="3"/>
      <c r="CK599" s="3"/>
      <c r="CL599" s="3"/>
      <c r="CN599" s="3"/>
      <c r="CO599" s="3"/>
      <c r="CQ599" s="3"/>
      <c r="CR599" s="5"/>
      <c r="CT599" s="3"/>
      <c r="CW599" s="3"/>
      <c r="CX599" s="3"/>
      <c r="CZ599" s="3"/>
      <c r="DA599" s="3"/>
      <c r="DC599" s="3"/>
      <c r="DD599" s="3"/>
      <c r="DF599" s="3"/>
      <c r="DG599" s="5"/>
      <c r="DI599" s="3"/>
      <c r="DL599" s="3"/>
      <c r="DM599" s="3"/>
      <c r="DO599" s="3"/>
      <c r="DP599" s="3"/>
      <c r="DR599" s="3"/>
      <c r="DS599" s="1" t="str">
        <f>_xlfn.XLOOKUP(OfficeForms.Table[[#This Row],[Selecione a Categoria do Laboratório desta atividade prática:]],Planilha1!A:A,Planilha1!B:B)</f>
        <v>BFI</v>
      </c>
      <c r="DT599" s="1" t="str">
        <f>CONCATENATE(OfficeForms.Table[[#This Row],[Selecione seu Polo Laboratório de Atividades Presenciais:]],OfficeForms.Table[[#This Row],[CHAVE CONVERSÃO]])</f>
        <v>Salvador/BA - Caminho das ÁrvoresBFI</v>
      </c>
      <c r="DU59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Maquiagem social;Preparação da pele para receber a maquiagem</v>
      </c>
      <c r="DV59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59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599" s="1" t="str">
        <f>_xlfn.XLOOKUP(OfficeForms.Table[[#This Row],[CHAVE LINK POLO]],'[1]Quadro Geral de Lotação'!$B:$B,'[1]Quadro Geral de Lotação'!$I:$I)</f>
        <v>Helenice Sacramento Souza Melo</v>
      </c>
      <c r="DY599" s="1" t="str">
        <f>OfficeForms.Table[[#This Row],[Selecione a Ordem de Disciplina]]</f>
        <v>Ordem 2</v>
      </c>
    </row>
    <row r="600" spans="1:129" ht="34.15" customHeight="1">
      <c r="A600" s="1">
        <v>600</v>
      </c>
      <c r="B600" s="2">
        <v>46114.446157407401</v>
      </c>
      <c r="C600" s="2">
        <v>46114.449826388904</v>
      </c>
      <c r="D600" s="3" t="s">
        <v>160</v>
      </c>
      <c r="E600" s="3" t="s">
        <v>161</v>
      </c>
      <c r="G600" s="3"/>
      <c r="I600" s="3" t="s">
        <v>162</v>
      </c>
      <c r="K600" s="3"/>
      <c r="L600" s="1" t="s">
        <v>678</v>
      </c>
      <c r="O600" s="3" t="s">
        <v>156</v>
      </c>
      <c r="Q600" s="3"/>
      <c r="R600" s="3"/>
      <c r="T600" s="3"/>
      <c r="U600" s="5"/>
      <c r="W600" s="3"/>
      <c r="Z600" s="3"/>
      <c r="AA600" s="3"/>
      <c r="AC600" s="3"/>
      <c r="AD600" s="3"/>
      <c r="AF600" s="3"/>
      <c r="AG600" s="3"/>
      <c r="AI600" s="3"/>
      <c r="AJ600" s="1"/>
      <c r="AL600" s="3"/>
      <c r="AO600" s="3"/>
      <c r="AP600" s="3"/>
      <c r="AR600" s="3"/>
      <c r="AS600" s="3"/>
      <c r="AU600" s="3"/>
      <c r="AV600" s="3"/>
      <c r="AX600" s="3"/>
      <c r="AY600" s="5"/>
      <c r="BA600" s="3"/>
      <c r="BD600" s="3"/>
      <c r="BE600" s="3"/>
      <c r="BG600" s="3"/>
      <c r="BH600" s="3"/>
      <c r="BJ600" s="3"/>
      <c r="BK600" s="3" t="s">
        <v>1803</v>
      </c>
      <c r="BM600" s="3"/>
      <c r="BN600" s="5">
        <v>46112</v>
      </c>
      <c r="BP600" s="3"/>
      <c r="BQ600" s="1">
        <v>9</v>
      </c>
      <c r="BS600" s="3"/>
      <c r="BT600" s="3" t="s">
        <v>1804</v>
      </c>
      <c r="BV600" s="3"/>
      <c r="BW600" s="3" t="s">
        <v>1805</v>
      </c>
      <c r="BY600" s="3"/>
      <c r="BZ600" s="3"/>
      <c r="CB600" s="3"/>
      <c r="CC600" s="5"/>
      <c r="CE600" s="3"/>
      <c r="CH600" s="3"/>
      <c r="CI600" s="3"/>
      <c r="CK600" s="3"/>
      <c r="CL600" s="3"/>
      <c r="CN600" s="3"/>
      <c r="CO600" s="3"/>
      <c r="CQ600" s="3"/>
      <c r="CR600" s="5"/>
      <c r="CT600" s="3"/>
      <c r="CW600" s="3"/>
      <c r="CX600" s="3"/>
      <c r="CZ600" s="3"/>
      <c r="DA600" s="3"/>
      <c r="DC600" s="3"/>
      <c r="DD600" s="3"/>
      <c r="DF600" s="3"/>
      <c r="DG600" s="5"/>
      <c r="DI600" s="3"/>
      <c r="DL600" s="3"/>
      <c r="DM600" s="3"/>
      <c r="DO600" s="3"/>
      <c r="DP600" s="3"/>
      <c r="DR600" s="3"/>
      <c r="DS600" s="1" t="str">
        <f>_xlfn.XLOOKUP(OfficeForms.Table[[#This Row],[Selecione a Categoria do Laboratório desta atividade prática:]],Planilha1!A:A,Planilha1!B:B)</f>
        <v>NTR</v>
      </c>
      <c r="DT600" s="1" t="str">
        <f>CONCATENATE(OfficeForms.Table[[#This Row],[Selecione seu Polo Laboratório de Atividades Presenciais:]],OfficeForms.Table[[#This Row],[CHAVE CONVERSÃO]])</f>
        <v>Florianópolis/SC - CentroNTR</v>
      </c>
      <c r="DU60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Gastronomia pediátrica</v>
      </c>
      <c r="DV60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0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600" s="1" t="str">
        <f>_xlfn.XLOOKUP(OfficeForms.Table[[#This Row],[CHAVE LINK POLO]],'[1]Quadro Geral de Lotação'!$B:$B,'[1]Quadro Geral de Lotação'!$I:$I)</f>
        <v>Laura Volpato</v>
      </c>
      <c r="DY600" s="1" t="str">
        <f>OfficeForms.Table[[#This Row],[Selecione a Ordem de Disciplina]]</f>
        <v>Ordem 2</v>
      </c>
    </row>
    <row r="601" spans="1:129" ht="34.15" customHeight="1">
      <c r="A601" s="1">
        <v>601</v>
      </c>
      <c r="B601" s="2">
        <v>46114.449872685203</v>
      </c>
      <c r="C601" s="2">
        <v>46114.4508333333</v>
      </c>
      <c r="D601" s="3" t="s">
        <v>160</v>
      </c>
      <c r="E601" s="3" t="s">
        <v>161</v>
      </c>
      <c r="G601" s="3"/>
      <c r="I601" s="3" t="s">
        <v>162</v>
      </c>
      <c r="K601" s="3"/>
      <c r="L601" s="1" t="s">
        <v>678</v>
      </c>
      <c r="O601" s="3" t="s">
        <v>156</v>
      </c>
      <c r="Q601" s="3"/>
      <c r="R601" s="3"/>
      <c r="T601" s="3"/>
      <c r="U601" s="5"/>
      <c r="W601" s="3"/>
      <c r="Z601" s="3"/>
      <c r="AA601" s="3"/>
      <c r="AC601" s="3"/>
      <c r="AD601" s="3"/>
      <c r="AF601" s="3"/>
      <c r="AG601" s="3"/>
      <c r="AI601" s="3"/>
      <c r="AJ601" s="1"/>
      <c r="AL601" s="3"/>
      <c r="AO601" s="3"/>
      <c r="AP601" s="3"/>
      <c r="AR601" s="3"/>
      <c r="AS601" s="3"/>
      <c r="AU601" s="3"/>
      <c r="AV601" s="3"/>
      <c r="AX601" s="3"/>
      <c r="AY601" s="5"/>
      <c r="BA601" s="3"/>
      <c r="BD601" s="3"/>
      <c r="BE601" s="3"/>
      <c r="BG601" s="3"/>
      <c r="BH601" s="3"/>
      <c r="BJ601" s="3"/>
      <c r="BK601" s="3" t="s">
        <v>1273</v>
      </c>
      <c r="BM601" s="3"/>
      <c r="BN601" s="5">
        <v>46112</v>
      </c>
      <c r="BP601" s="3"/>
      <c r="BQ601" s="1">
        <v>9</v>
      </c>
      <c r="BS601" s="3"/>
      <c r="BT601" s="3" t="s">
        <v>1806</v>
      </c>
      <c r="BV601" s="3"/>
      <c r="BW601" s="3" t="s">
        <v>1807</v>
      </c>
      <c r="BY601" s="3"/>
      <c r="BZ601" s="3"/>
      <c r="CB601" s="3"/>
      <c r="CC601" s="5"/>
      <c r="CE601" s="3"/>
      <c r="CH601" s="3"/>
      <c r="CI601" s="3"/>
      <c r="CK601" s="3"/>
      <c r="CL601" s="3"/>
      <c r="CN601" s="3"/>
      <c r="CO601" s="3"/>
      <c r="CQ601" s="3"/>
      <c r="CR601" s="5"/>
      <c r="CT601" s="3"/>
      <c r="CW601" s="3"/>
      <c r="CX601" s="3"/>
      <c r="CZ601" s="3"/>
      <c r="DA601" s="3"/>
      <c r="DC601" s="3"/>
      <c r="DD601" s="3"/>
      <c r="DF601" s="3"/>
      <c r="DG601" s="5"/>
      <c r="DI601" s="3"/>
      <c r="DL601" s="3"/>
      <c r="DM601" s="3"/>
      <c r="DO601" s="3"/>
      <c r="DP601" s="3"/>
      <c r="DR601" s="3"/>
      <c r="DS601" s="1" t="str">
        <f>_xlfn.XLOOKUP(OfficeForms.Table[[#This Row],[Selecione a Categoria do Laboratório desta atividade prática:]],Planilha1!A:A,Planilha1!B:B)</f>
        <v>NTR</v>
      </c>
      <c r="DT601" s="1" t="str">
        <f>CONCATENATE(OfficeForms.Table[[#This Row],[Selecione seu Polo Laboratório de Atividades Presenciais:]],OfficeForms.Table[[#This Row],[CHAVE CONVERSÃO]])</f>
        <v>Florianópolis/SC - CentroNTR</v>
      </c>
      <c r="DU60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de caso dirigido  - relacionado ao caso destacado na receita preparada.</v>
      </c>
      <c r="DV60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0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601" s="1" t="str">
        <f>_xlfn.XLOOKUP(OfficeForms.Table[[#This Row],[CHAVE LINK POLO]],'[1]Quadro Geral de Lotação'!$B:$B,'[1]Quadro Geral de Lotação'!$I:$I)</f>
        <v>Laura Volpato</v>
      </c>
      <c r="DY601" s="1" t="str">
        <f>OfficeForms.Table[[#This Row],[Selecione a Ordem de Disciplina]]</f>
        <v>Ordem 2</v>
      </c>
    </row>
    <row r="602" spans="1:129" ht="34.15" customHeight="1">
      <c r="A602" s="1">
        <v>602</v>
      </c>
      <c r="B602" s="2">
        <v>46114.525196759299</v>
      </c>
      <c r="C602" s="2">
        <v>46114.527499999997</v>
      </c>
      <c r="D602" s="3" t="s">
        <v>1127</v>
      </c>
      <c r="E602" s="3" t="s">
        <v>1128</v>
      </c>
      <c r="G602" s="3"/>
      <c r="I602" s="3" t="s">
        <v>1129</v>
      </c>
      <c r="K602" s="3"/>
      <c r="L602" s="1" t="s">
        <v>678</v>
      </c>
      <c r="O602" s="3" t="s">
        <v>497</v>
      </c>
      <c r="Q602" s="3"/>
      <c r="R602" s="3" t="s">
        <v>1808</v>
      </c>
      <c r="T602" s="3"/>
      <c r="U602" s="5">
        <v>46113</v>
      </c>
      <c r="W602" s="3"/>
      <c r="X602" s="1">
        <v>6</v>
      </c>
      <c r="Z602" s="3"/>
      <c r="AA602" s="3" t="s">
        <v>1809</v>
      </c>
      <c r="AC602" s="3"/>
      <c r="AD602" s="3" t="s">
        <v>1810</v>
      </c>
      <c r="AF602" s="3"/>
      <c r="AG602" s="3"/>
      <c r="AI602" s="3"/>
      <c r="AJ602" s="1"/>
      <c r="AL602" s="3"/>
      <c r="AO602" s="3"/>
      <c r="AP602" s="3"/>
      <c r="AR602" s="3"/>
      <c r="AS602" s="3"/>
      <c r="AU602" s="3"/>
      <c r="AV602" s="3"/>
      <c r="AX602" s="3"/>
      <c r="AY602" s="5"/>
      <c r="BA602" s="3"/>
      <c r="BD602" s="3"/>
      <c r="BE602" s="3"/>
      <c r="BG602" s="3"/>
      <c r="BH602" s="3"/>
      <c r="BJ602" s="3"/>
      <c r="BK602" s="3"/>
      <c r="BM602" s="3"/>
      <c r="BN602" s="5"/>
      <c r="BP602" s="3"/>
      <c r="BS602" s="3"/>
      <c r="BT602" s="3"/>
      <c r="BV602" s="3"/>
      <c r="BW602" s="3"/>
      <c r="BY602" s="3"/>
      <c r="BZ602" s="3"/>
      <c r="CB602" s="3"/>
      <c r="CC602" s="5"/>
      <c r="CE602" s="3"/>
      <c r="CH602" s="3"/>
      <c r="CI602" s="3"/>
      <c r="CK602" s="3"/>
      <c r="CL602" s="3"/>
      <c r="CN602" s="3"/>
      <c r="CO602" s="3"/>
      <c r="CQ602" s="3"/>
      <c r="CR602" s="5"/>
      <c r="CT602" s="3"/>
      <c r="CW602" s="3"/>
      <c r="CX602" s="3"/>
      <c r="CZ602" s="3"/>
      <c r="DA602" s="3"/>
      <c r="DC602" s="3"/>
      <c r="DD602" s="3"/>
      <c r="DF602" s="3"/>
      <c r="DG602" s="5"/>
      <c r="DI602" s="3"/>
      <c r="DL602" s="3"/>
      <c r="DM602" s="3"/>
      <c r="DO602" s="3"/>
      <c r="DP602" s="3"/>
      <c r="DR602" s="3"/>
      <c r="DS602" s="1" t="str">
        <f>_xlfn.XLOOKUP(OfficeForms.Table[[#This Row],[Selecione a Categoria do Laboratório desta atividade prática:]],Planilha1!A:A,Planilha1!B:B)</f>
        <v>BFR-BBI</v>
      </c>
      <c r="DT602" s="1" t="str">
        <f>CONCATENATE(OfficeForms.Table[[#This Row],[Selecione seu Polo Laboratório de Atividades Presenciais:]],OfficeForms.Table[[#This Row],[CHAVE CONVERSÃO]])</f>
        <v>Campina Grande/PBBFR-BBI</v>
      </c>
      <c r="DU60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Contagem diferencial de leucócitos;Tipagem sanguínea em lâminas</v>
      </c>
      <c r="DV60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60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602" s="1" t="e">
        <f>_xlfn.XLOOKUP(OfficeForms.Table[[#This Row],[CHAVE LINK POLO]],'[1]Quadro Geral de Lotação'!$B:$B,'[1]Quadro Geral de Lotação'!$I:$I)</f>
        <v>#N/A</v>
      </c>
      <c r="DY602" s="1" t="str">
        <f>OfficeForms.Table[[#This Row],[Selecione a Ordem de Disciplina]]</f>
        <v>Ordem 2</v>
      </c>
    </row>
    <row r="603" spans="1:129" ht="34.15" customHeight="1">
      <c r="A603" s="1">
        <v>603</v>
      </c>
      <c r="B603" s="2">
        <v>46114.83625</v>
      </c>
      <c r="C603" s="2">
        <v>46114.838020833296</v>
      </c>
      <c r="D603" s="3" t="s">
        <v>367</v>
      </c>
      <c r="E603" s="3" t="s">
        <v>368</v>
      </c>
      <c r="G603" s="3"/>
      <c r="I603" s="3" t="s">
        <v>369</v>
      </c>
      <c r="K603" s="3"/>
      <c r="L603" s="1" t="s">
        <v>678</v>
      </c>
      <c r="O603" s="3" t="s">
        <v>184</v>
      </c>
      <c r="Q603" s="3"/>
      <c r="R603" s="3"/>
      <c r="T603" s="3"/>
      <c r="U603" s="5"/>
      <c r="W603" s="3"/>
      <c r="Z603" s="3"/>
      <c r="AA603" s="3"/>
      <c r="AC603" s="3"/>
      <c r="AD603" s="3"/>
      <c r="AF603" s="3"/>
      <c r="AG603" s="3" t="s">
        <v>211</v>
      </c>
      <c r="AI603" s="3"/>
      <c r="AJ603" s="1">
        <v>46114</v>
      </c>
      <c r="AL603" s="3"/>
      <c r="AM603" s="1">
        <v>1</v>
      </c>
      <c r="AO603" s="3"/>
      <c r="AP603" s="3" t="s">
        <v>1811</v>
      </c>
      <c r="AR603" s="3"/>
      <c r="AS603" s="3" t="s">
        <v>1812</v>
      </c>
      <c r="AU603" s="3"/>
      <c r="AV603" s="3"/>
      <c r="AX603" s="3"/>
      <c r="AY603" s="5"/>
      <c r="BA603" s="3"/>
      <c r="BD603" s="3"/>
      <c r="BE603" s="3"/>
      <c r="BG603" s="3"/>
      <c r="BH603" s="3"/>
      <c r="BJ603" s="3"/>
      <c r="BK603" s="3"/>
      <c r="BM603" s="3"/>
      <c r="BN603" s="5"/>
      <c r="BP603" s="3"/>
      <c r="BS603" s="3"/>
      <c r="BT603" s="3"/>
      <c r="BV603" s="3"/>
      <c r="BW603" s="3"/>
      <c r="BY603" s="3"/>
      <c r="BZ603" s="3"/>
      <c r="CB603" s="3"/>
      <c r="CC603" s="5"/>
      <c r="CE603" s="3"/>
      <c r="CH603" s="3"/>
      <c r="CI603" s="3"/>
      <c r="CK603" s="3"/>
      <c r="CL603" s="3"/>
      <c r="CN603" s="3"/>
      <c r="CO603" s="3"/>
      <c r="CQ603" s="3"/>
      <c r="CR603" s="5"/>
      <c r="CT603" s="3"/>
      <c r="CW603" s="3"/>
      <c r="CX603" s="3"/>
      <c r="CZ603" s="3"/>
      <c r="DA603" s="3"/>
      <c r="DC603" s="3"/>
      <c r="DD603" s="3"/>
      <c r="DF603" s="3"/>
      <c r="DG603" s="5"/>
      <c r="DI603" s="3"/>
      <c r="DL603" s="3"/>
      <c r="DM603" s="3"/>
      <c r="DO603" s="3"/>
      <c r="DP603" s="3"/>
      <c r="DR603" s="3"/>
      <c r="DS603" s="1" t="str">
        <f>_xlfn.XLOOKUP(OfficeForms.Table[[#This Row],[Selecione a Categoria do Laboratório desta atividade prática:]],Planilha1!A:A,Planilha1!B:B)</f>
        <v>EMF-ISN</v>
      </c>
      <c r="DT603" s="1" t="str">
        <f>CONCATENATE(OfficeForms.Table[[#This Row],[Selecione seu Polo Laboratório de Atividades Presenciais:]],OfficeForms.Table[[#This Row],[CHAVE CONVERSÃO]])</f>
        <v>Niterói/RJ - IngáEMF-ISN</v>
      </c>
      <c r="DU60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60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60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03" s="1" t="str">
        <f>_xlfn.XLOOKUP(OfficeForms.Table[[#This Row],[CHAVE LINK POLO]],'[1]Quadro Geral de Lotação'!$B:$B,'[1]Quadro Geral de Lotação'!$I:$I)</f>
        <v>Conceicao Ignacio da Silva Delphino</v>
      </c>
      <c r="DY603" s="1" t="str">
        <f>OfficeForms.Table[[#This Row],[Selecione a Ordem de Disciplina]]</f>
        <v>Ordem 2</v>
      </c>
    </row>
    <row r="604" spans="1:129" ht="34.15" customHeight="1">
      <c r="A604" s="1">
        <v>604</v>
      </c>
      <c r="B604" s="2">
        <v>46114.967592592599</v>
      </c>
      <c r="C604" s="2">
        <v>46114.970972222203</v>
      </c>
      <c r="D604" s="3" t="s">
        <v>1813</v>
      </c>
      <c r="E604" s="3" t="s">
        <v>1814</v>
      </c>
      <c r="G604" s="3"/>
      <c r="I604" s="3" t="s">
        <v>155</v>
      </c>
      <c r="K604" s="3"/>
      <c r="L604" s="1" t="s">
        <v>132</v>
      </c>
      <c r="O604" s="3" t="s">
        <v>133</v>
      </c>
      <c r="Q604" s="3"/>
      <c r="R604" s="3"/>
      <c r="T604" s="3"/>
      <c r="U604" s="5"/>
      <c r="W604" s="3"/>
      <c r="Z604" s="3"/>
      <c r="AA604" s="3"/>
      <c r="AC604" s="3"/>
      <c r="AD604" s="3"/>
      <c r="AF604" s="3"/>
      <c r="AG604" s="3"/>
      <c r="AI604" s="3"/>
      <c r="AJ604" s="1"/>
      <c r="AL604" s="3"/>
      <c r="AO604" s="3"/>
      <c r="AP604" s="3"/>
      <c r="AR604" s="3"/>
      <c r="AS604" s="3"/>
      <c r="AU604" s="3"/>
      <c r="AV604" s="3" t="s">
        <v>1145</v>
      </c>
      <c r="AX604" s="3"/>
      <c r="AY604" s="5">
        <v>46098</v>
      </c>
      <c r="BA604" s="3"/>
      <c r="BB604" s="1">
        <v>17</v>
      </c>
      <c r="BD604" s="3"/>
      <c r="BE604" s="3" t="s">
        <v>1815</v>
      </c>
      <c r="BG604" s="3"/>
      <c r="BH604" s="3" t="s">
        <v>1816</v>
      </c>
      <c r="BJ604" s="3"/>
      <c r="BK604" s="3"/>
      <c r="BM604" s="3"/>
      <c r="BN604" s="5"/>
      <c r="BP604" s="3"/>
      <c r="BS604" s="3"/>
      <c r="BT604" s="3"/>
      <c r="BV604" s="3"/>
      <c r="BW604" s="3"/>
      <c r="BY604" s="3"/>
      <c r="BZ604" s="3"/>
      <c r="CB604" s="3"/>
      <c r="CC604" s="5"/>
      <c r="CE604" s="3"/>
      <c r="CH604" s="3"/>
      <c r="CI604" s="3"/>
      <c r="CK604" s="3"/>
      <c r="CL604" s="3"/>
      <c r="CN604" s="3"/>
      <c r="CO604" s="3"/>
      <c r="CQ604" s="3"/>
      <c r="CR604" s="5"/>
      <c r="CT604" s="3"/>
      <c r="CW604" s="3"/>
      <c r="CX604" s="3"/>
      <c r="CZ604" s="3"/>
      <c r="DA604" s="3"/>
      <c r="DC604" s="3"/>
      <c r="DD604" s="3"/>
      <c r="DF604" s="3"/>
      <c r="DG604" s="5"/>
      <c r="DI604" s="3"/>
      <c r="DL604" s="3"/>
      <c r="DM604" s="3"/>
      <c r="DO604" s="3"/>
      <c r="DP604" s="3"/>
      <c r="DR604" s="3"/>
      <c r="DS604" s="1" t="str">
        <f>_xlfn.XLOOKUP(OfficeForms.Table[[#This Row],[Selecione a Categoria do Laboratório desta atividade prática:]],Planilha1!A:A,Planilha1!B:B)</f>
        <v>BFI</v>
      </c>
      <c r="DT604" s="1" t="str">
        <f>CONCATENATE(OfficeForms.Table[[#This Row],[Selecione seu Polo Laboratório de Atividades Presenciais:]],OfficeForms.Table[[#This Row],[CHAVE CONVERSÃO]])</f>
        <v>Novo Hamburgo/RS - CentroBFI</v>
      </c>
      <c r="DU60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Revisão de Anatomorfofisiologia</v>
      </c>
      <c r="DV60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60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17</v>
      </c>
      <c r="DX604" s="1" t="str">
        <f>_xlfn.XLOOKUP(OfficeForms.Table[[#This Row],[CHAVE LINK POLO]],'[1]Quadro Geral de Lotação'!$B:$B,'[1]Quadro Geral de Lotação'!$I:$I)</f>
        <v>Stelen Bondan</v>
      </c>
      <c r="DY604" s="1" t="str">
        <f>OfficeForms.Table[[#This Row],[Selecione a Ordem de Disciplina]]</f>
        <v>Ordem 1</v>
      </c>
    </row>
    <row r="605" spans="1:129" ht="34.15" customHeight="1">
      <c r="A605" s="1">
        <v>605</v>
      </c>
      <c r="B605" s="2">
        <v>46115.669050925899</v>
      </c>
      <c r="C605" s="2">
        <v>46115.670312499999</v>
      </c>
      <c r="D605" s="3" t="s">
        <v>197</v>
      </c>
      <c r="E605" s="3" t="s">
        <v>198</v>
      </c>
      <c r="G605" s="3"/>
      <c r="I605" s="3" t="s">
        <v>199</v>
      </c>
      <c r="K605" s="3"/>
      <c r="L605" s="1" t="s">
        <v>678</v>
      </c>
      <c r="O605" s="3" t="s">
        <v>177</v>
      </c>
      <c r="Q605" s="3"/>
      <c r="R605" s="3"/>
      <c r="T605" s="3"/>
      <c r="U605" s="5"/>
      <c r="W605" s="3"/>
      <c r="Z605" s="3"/>
      <c r="AA605" s="3"/>
      <c r="AC605" s="3"/>
      <c r="AD605" s="3"/>
      <c r="AF605" s="3"/>
      <c r="AG605" s="3"/>
      <c r="AI605" s="3"/>
      <c r="AJ605" s="1"/>
      <c r="AL605" s="3"/>
      <c r="AO605" s="3"/>
      <c r="AP605" s="3"/>
      <c r="AR605" s="3"/>
      <c r="AS605" s="3"/>
      <c r="AU605" s="3"/>
      <c r="AV605" s="3"/>
      <c r="AX605" s="3"/>
      <c r="AY605" s="5"/>
      <c r="BA605" s="3"/>
      <c r="BD605" s="3"/>
      <c r="BE605" s="3"/>
      <c r="BG605" s="3"/>
      <c r="BH605" s="3"/>
      <c r="BJ605" s="3"/>
      <c r="BK605" s="3"/>
      <c r="BM605" s="3"/>
      <c r="BN605" s="5"/>
      <c r="BP605" s="3"/>
      <c r="BS605" s="3"/>
      <c r="BT605" s="3"/>
      <c r="BV605" s="3"/>
      <c r="BW605" s="3"/>
      <c r="BY605" s="3"/>
      <c r="BZ605" s="3"/>
      <c r="CB605" s="3"/>
      <c r="CC605" s="5"/>
      <c r="CE605" s="3"/>
      <c r="CH605" s="3"/>
      <c r="CI605" s="3"/>
      <c r="CK605" s="3"/>
      <c r="CL605" s="3"/>
      <c r="CN605" s="3"/>
      <c r="CO605" s="3"/>
      <c r="CQ605" s="3"/>
      <c r="CR605" s="5"/>
      <c r="CT605" s="3"/>
      <c r="CW605" s="3"/>
      <c r="CX605" s="3"/>
      <c r="CZ605" s="3"/>
      <c r="DA605" s="3"/>
      <c r="DC605" s="3"/>
      <c r="DD605" s="3" t="s">
        <v>178</v>
      </c>
      <c r="DF605" s="3"/>
      <c r="DG605" s="5">
        <v>46114</v>
      </c>
      <c r="DI605" s="3"/>
      <c r="DJ605" s="1">
        <v>0</v>
      </c>
      <c r="DL605" s="3"/>
      <c r="DM605" s="3" t="s">
        <v>1817</v>
      </c>
      <c r="DO605" s="3"/>
      <c r="DP605" s="3" t="s">
        <v>1818</v>
      </c>
      <c r="DR605" s="3"/>
      <c r="DS605" s="1" t="str">
        <f>_xlfn.XLOOKUP(OfficeForms.Table[[#This Row],[Selecione a Categoria do Laboratório desta atividade prática:]],Planilha1!A:A,Planilha1!B:B)</f>
        <v>AGM</v>
      </c>
      <c r="DT605" s="1" t="str">
        <f>CONCATENATE(OfficeForms.Table[[#This Row],[Selecione seu Polo Laboratório de Atividades Presenciais:]],OfficeForms.Table[[#This Row],[CHAVE CONVERSÃO]])</f>
        <v>Alagoinhas/BAAGM</v>
      </c>
      <c r="DU60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de propagação de plantas</v>
      </c>
      <c r="DV60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60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05" s="1" t="str">
        <f>_xlfn.XLOOKUP(OfficeForms.Table[[#This Row],[CHAVE LINK POLO]],'[1]Quadro Geral de Lotação'!$B:$B,'[1]Quadro Geral de Lotação'!$I:$I)</f>
        <v>Vitor Batista Pinheiro</v>
      </c>
      <c r="DY605" s="1" t="str">
        <f>OfficeForms.Table[[#This Row],[Selecione a Ordem de Disciplina]]</f>
        <v>Ordem 2</v>
      </c>
    </row>
    <row r="606" spans="1:129" ht="34.15" customHeight="1">
      <c r="A606" s="1">
        <v>606</v>
      </c>
      <c r="B606" s="2">
        <v>46116.661087963003</v>
      </c>
      <c r="C606" s="2">
        <v>46116.665532407402</v>
      </c>
      <c r="D606" s="3" t="s">
        <v>257</v>
      </c>
      <c r="E606" s="3" t="s">
        <v>258</v>
      </c>
      <c r="G606" s="3"/>
      <c r="I606" s="3" t="s">
        <v>259</v>
      </c>
      <c r="K606" s="3"/>
      <c r="L606" s="1" t="s">
        <v>678</v>
      </c>
      <c r="O606" s="3" t="s">
        <v>156</v>
      </c>
      <c r="Q606" s="3"/>
      <c r="R606" s="3"/>
      <c r="T606" s="3"/>
      <c r="U606" s="5"/>
      <c r="W606" s="3"/>
      <c r="Z606" s="3"/>
      <c r="AA606" s="3"/>
      <c r="AC606" s="3"/>
      <c r="AD606" s="3"/>
      <c r="AF606" s="3"/>
      <c r="AG606" s="3"/>
      <c r="AI606" s="3"/>
      <c r="AJ606" s="1"/>
      <c r="AL606" s="3"/>
      <c r="AO606" s="3"/>
      <c r="AP606" s="3"/>
      <c r="AR606" s="3"/>
      <c r="AS606" s="3"/>
      <c r="AU606" s="3"/>
      <c r="AV606" s="3"/>
      <c r="AX606" s="3"/>
      <c r="AY606" s="5"/>
      <c r="BA606" s="3"/>
      <c r="BD606" s="3"/>
      <c r="BE606" s="3"/>
      <c r="BG606" s="3"/>
      <c r="BH606" s="3"/>
      <c r="BJ606" s="3"/>
      <c r="BK606" s="3" t="s">
        <v>1489</v>
      </c>
      <c r="BM606" s="3"/>
      <c r="BN606" s="5">
        <v>46100</v>
      </c>
      <c r="BP606" s="3"/>
      <c r="BQ606" s="1">
        <v>2</v>
      </c>
      <c r="BS606" s="3"/>
      <c r="BT606" s="3" t="s">
        <v>1819</v>
      </c>
      <c r="BV606" s="3"/>
      <c r="BW606" s="3" t="s">
        <v>1820</v>
      </c>
      <c r="BY606" s="3"/>
      <c r="BZ606" s="3"/>
      <c r="CB606" s="3"/>
      <c r="CC606" s="5"/>
      <c r="CE606" s="3"/>
      <c r="CH606" s="3"/>
      <c r="CI606" s="3"/>
      <c r="CK606" s="3"/>
      <c r="CL606" s="3"/>
      <c r="CN606" s="3"/>
      <c r="CO606" s="3"/>
      <c r="CQ606" s="3"/>
      <c r="CR606" s="5"/>
      <c r="CT606" s="3"/>
      <c r="CW606" s="3"/>
      <c r="CX606" s="3"/>
      <c r="CZ606" s="3"/>
      <c r="DA606" s="3"/>
      <c r="DC606" s="3"/>
      <c r="DD606" s="3"/>
      <c r="DF606" s="3"/>
      <c r="DG606" s="5"/>
      <c r="DI606" s="3"/>
      <c r="DL606" s="3"/>
      <c r="DM606" s="3"/>
      <c r="DO606" s="3"/>
      <c r="DP606" s="3"/>
      <c r="DR606" s="3"/>
      <c r="DS606" s="1" t="str">
        <f>_xlfn.XLOOKUP(OfficeForms.Table[[#This Row],[Selecione a Categoria do Laboratório desta atividade prática:]],Planilha1!A:A,Planilha1!B:B)</f>
        <v>NTR</v>
      </c>
      <c r="DT606" s="1" t="str">
        <f>CONCATENATE(OfficeForms.Table[[#This Row],[Selecione seu Polo Laboratório de Atividades Presenciais:]],OfficeForms.Table[[#This Row],[CHAVE CONVERSÃO]])</f>
        <v>Capão Da Canoa/RSNTR</v>
      </c>
      <c r="DU60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nutricional;Avaliação antropométrico de adulto e de acamado</v>
      </c>
      <c r="DV60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60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06" s="1" t="str">
        <f>_xlfn.XLOOKUP(OfficeForms.Table[[#This Row],[CHAVE LINK POLO]],'[1]Quadro Geral de Lotação'!$B:$B,'[1]Quadro Geral de Lotação'!$I:$I)</f>
        <v>Ana Carolina Da Silva Sedrez</v>
      </c>
      <c r="DY606" s="1" t="str">
        <f>OfficeForms.Table[[#This Row],[Selecione a Ordem de Disciplina]]</f>
        <v>Ordem 2</v>
      </c>
    </row>
    <row r="607" spans="1:129" ht="34.15" customHeight="1">
      <c r="A607" s="1">
        <v>607</v>
      </c>
      <c r="B607" s="2">
        <v>46116.678344907399</v>
      </c>
      <c r="C607" s="2">
        <v>46116.679039351897</v>
      </c>
      <c r="D607" s="3" t="s">
        <v>257</v>
      </c>
      <c r="E607" s="3" t="s">
        <v>258</v>
      </c>
      <c r="G607" s="3"/>
      <c r="I607" s="3" t="s">
        <v>259</v>
      </c>
      <c r="K607" s="3"/>
      <c r="L607" s="1" t="s">
        <v>678</v>
      </c>
      <c r="O607" s="3" t="s">
        <v>156</v>
      </c>
      <c r="Q607" s="3"/>
      <c r="R607" s="3"/>
      <c r="T607" s="3"/>
      <c r="U607" s="5"/>
      <c r="W607" s="3"/>
      <c r="Z607" s="3"/>
      <c r="AA607" s="3"/>
      <c r="AC607" s="3"/>
      <c r="AD607" s="3"/>
      <c r="AF607" s="3"/>
      <c r="AG607" s="3"/>
      <c r="AI607" s="3"/>
      <c r="AJ607" s="1"/>
      <c r="AL607" s="3"/>
      <c r="AO607" s="3"/>
      <c r="AP607" s="3"/>
      <c r="AR607" s="3"/>
      <c r="AS607" s="3"/>
      <c r="AU607" s="3"/>
      <c r="AV607" s="3"/>
      <c r="AX607" s="3"/>
      <c r="AY607" s="5"/>
      <c r="BA607" s="3"/>
      <c r="BD607" s="3"/>
      <c r="BE607" s="3"/>
      <c r="BG607" s="3"/>
      <c r="BH607" s="3"/>
      <c r="BJ607" s="3"/>
      <c r="BK607" s="3" t="s">
        <v>1489</v>
      </c>
      <c r="BM607" s="3"/>
      <c r="BN607" s="5">
        <v>46109</v>
      </c>
      <c r="BP607" s="3"/>
      <c r="BQ607" s="1">
        <v>15</v>
      </c>
      <c r="BS607" s="3"/>
      <c r="BT607" s="3" t="s">
        <v>1821</v>
      </c>
      <c r="BV607" s="3"/>
      <c r="BW607" s="3" t="s">
        <v>1822</v>
      </c>
      <c r="BY607" s="3"/>
      <c r="BZ607" s="3"/>
      <c r="CB607" s="3"/>
      <c r="CC607" s="5"/>
      <c r="CE607" s="3"/>
      <c r="CH607" s="3"/>
      <c r="CI607" s="3"/>
      <c r="CK607" s="3"/>
      <c r="CL607" s="3"/>
      <c r="CN607" s="3"/>
      <c r="CO607" s="3"/>
      <c r="CQ607" s="3"/>
      <c r="CR607" s="5"/>
      <c r="CT607" s="3"/>
      <c r="CW607" s="3"/>
      <c r="CX607" s="3"/>
      <c r="CZ607" s="3"/>
      <c r="DA607" s="3"/>
      <c r="DC607" s="3"/>
      <c r="DD607" s="3"/>
      <c r="DF607" s="3"/>
      <c r="DG607" s="5"/>
      <c r="DI607" s="3"/>
      <c r="DL607" s="3"/>
      <c r="DM607" s="3"/>
      <c r="DO607" s="3"/>
      <c r="DP607" s="3"/>
      <c r="DR607" s="3"/>
      <c r="DS607" s="1" t="str">
        <f>_xlfn.XLOOKUP(OfficeForms.Table[[#This Row],[Selecione a Categoria do Laboratório desta atividade prática:]],Planilha1!A:A,Planilha1!B:B)</f>
        <v>NTR</v>
      </c>
      <c r="DT607" s="1" t="str">
        <f>CONCATENATE(OfficeForms.Table[[#This Row],[Selecione seu Polo Laboratório de Atividades Presenciais:]],OfficeForms.Table[[#This Row],[CHAVE CONVERSÃO]])</f>
        <v>Capão Da Canoa/RSNTR</v>
      </c>
      <c r="DU60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nutricional;Avaliação antropométrico de adulto e de acamado</v>
      </c>
      <c r="DV60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60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607" s="1" t="str">
        <f>_xlfn.XLOOKUP(OfficeForms.Table[[#This Row],[CHAVE LINK POLO]],'[1]Quadro Geral de Lotação'!$B:$B,'[1]Quadro Geral de Lotação'!$I:$I)</f>
        <v>Ana Carolina Da Silva Sedrez</v>
      </c>
      <c r="DY607" s="1" t="str">
        <f>OfficeForms.Table[[#This Row],[Selecione a Ordem de Disciplina]]</f>
        <v>Ordem 2</v>
      </c>
    </row>
    <row r="608" spans="1:129" ht="34.15" customHeight="1">
      <c r="A608" s="1">
        <v>608</v>
      </c>
      <c r="B608" s="2">
        <v>46116.704270833303</v>
      </c>
      <c r="C608" s="2">
        <v>46116.708379629599</v>
      </c>
      <c r="D608" s="3" t="s">
        <v>257</v>
      </c>
      <c r="E608" s="3" t="s">
        <v>258</v>
      </c>
      <c r="G608" s="3"/>
      <c r="I608" s="3" t="s">
        <v>259</v>
      </c>
      <c r="K608" s="3"/>
      <c r="L608" s="1" t="s">
        <v>678</v>
      </c>
      <c r="O608" s="3" t="s">
        <v>156</v>
      </c>
      <c r="Q608" s="3"/>
      <c r="R608" s="3"/>
      <c r="T608" s="3"/>
      <c r="U608" s="5"/>
      <c r="W608" s="3"/>
      <c r="Z608" s="3"/>
      <c r="AA608" s="3"/>
      <c r="AC608" s="3"/>
      <c r="AD608" s="3"/>
      <c r="AF608" s="3"/>
      <c r="AG608" s="3"/>
      <c r="AI608" s="3"/>
      <c r="AJ608" s="1"/>
      <c r="AL608" s="3"/>
      <c r="AO608" s="3"/>
      <c r="AP608" s="3"/>
      <c r="AR608" s="3"/>
      <c r="AS608" s="3"/>
      <c r="AU608" s="3"/>
      <c r="AV608" s="3"/>
      <c r="AX608" s="3"/>
      <c r="AY608" s="5"/>
      <c r="BA608" s="3"/>
      <c r="BD608" s="3"/>
      <c r="BE608" s="3"/>
      <c r="BG608" s="3"/>
      <c r="BH608" s="3"/>
      <c r="BJ608" s="3"/>
      <c r="BK608" s="3" t="s">
        <v>1756</v>
      </c>
      <c r="BM608" s="3"/>
      <c r="BN608" s="5">
        <v>46114</v>
      </c>
      <c r="BP608" s="3"/>
      <c r="BQ608" s="1">
        <v>3</v>
      </c>
      <c r="BS608" s="3"/>
      <c r="BT608" s="3" t="s">
        <v>1823</v>
      </c>
      <c r="BV608" s="3"/>
      <c r="BW608" s="3" t="s">
        <v>1824</v>
      </c>
      <c r="BY608" s="3"/>
      <c r="BZ608" s="3"/>
      <c r="CB608" s="3"/>
      <c r="CC608" s="5"/>
      <c r="CE608" s="3"/>
      <c r="CH608" s="3"/>
      <c r="CI608" s="3"/>
      <c r="CK608" s="3"/>
      <c r="CL608" s="3"/>
      <c r="CN608" s="3"/>
      <c r="CO608" s="3"/>
      <c r="CQ608" s="3"/>
      <c r="CR608" s="5"/>
      <c r="CT608" s="3"/>
      <c r="CW608" s="3"/>
      <c r="CX608" s="3"/>
      <c r="CZ608" s="3"/>
      <c r="DA608" s="3"/>
      <c r="DC608" s="3"/>
      <c r="DD608" s="3"/>
      <c r="DF608" s="3"/>
      <c r="DG608" s="5"/>
      <c r="DI608" s="3"/>
      <c r="DL608" s="3"/>
      <c r="DM608" s="3"/>
      <c r="DO608" s="3"/>
      <c r="DP608" s="3"/>
      <c r="DR608" s="3"/>
      <c r="DS608" s="1" t="str">
        <f>_xlfn.XLOOKUP(OfficeForms.Table[[#This Row],[Selecione a Categoria do Laboratório desta atividade prática:]],Planilha1!A:A,Planilha1!B:B)</f>
        <v>NTR</v>
      </c>
      <c r="DT608" s="1" t="str">
        <f>CONCATENATE(OfficeForms.Table[[#This Row],[Selecione seu Polo Laboratório de Atividades Presenciais:]],OfficeForms.Table[[#This Row],[CHAVE CONVERSÃO]])</f>
        <v>Capão Da Canoa/RSNTR</v>
      </c>
      <c r="DU60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</v>
      </c>
      <c r="DV60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60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08" s="1" t="str">
        <f>_xlfn.XLOOKUP(OfficeForms.Table[[#This Row],[CHAVE LINK POLO]],'[1]Quadro Geral de Lotação'!$B:$B,'[1]Quadro Geral de Lotação'!$I:$I)</f>
        <v>Ana Carolina Da Silva Sedrez</v>
      </c>
      <c r="DY608" s="1" t="str">
        <f>OfficeForms.Table[[#This Row],[Selecione a Ordem de Disciplina]]</f>
        <v>Ordem 2</v>
      </c>
    </row>
    <row r="609" spans="1:129" ht="34.15" customHeight="1">
      <c r="A609" s="1">
        <v>609</v>
      </c>
      <c r="B609" s="2">
        <v>46116.861643518503</v>
      </c>
      <c r="C609" s="2">
        <v>46116.863819444399</v>
      </c>
      <c r="D609" s="3" t="s">
        <v>1562</v>
      </c>
      <c r="E609" s="3" t="s">
        <v>1563</v>
      </c>
      <c r="G609" s="3"/>
      <c r="I609" s="3" t="s">
        <v>1564</v>
      </c>
      <c r="K609" s="3"/>
      <c r="L609" s="1" t="s">
        <v>678</v>
      </c>
      <c r="O609" s="3" t="s">
        <v>184</v>
      </c>
      <c r="Q609" s="3"/>
      <c r="R609" s="3"/>
      <c r="T609" s="3"/>
      <c r="U609" s="5"/>
      <c r="W609" s="3"/>
      <c r="Z609" s="3"/>
      <c r="AA609" s="3"/>
      <c r="AC609" s="3"/>
      <c r="AD609" s="3"/>
      <c r="AF609" s="3"/>
      <c r="AG609" s="3" t="s">
        <v>1302</v>
      </c>
      <c r="AI609" s="3"/>
      <c r="AJ609" s="1">
        <v>46114</v>
      </c>
      <c r="AL609" s="3"/>
      <c r="AM609" s="1">
        <v>1</v>
      </c>
      <c r="AO609" s="3"/>
      <c r="AP609" s="3" t="s">
        <v>1825</v>
      </c>
      <c r="AR609" s="3"/>
      <c r="AS609" s="3" t="s">
        <v>1826</v>
      </c>
      <c r="AU609" s="3"/>
      <c r="AV609" s="3"/>
      <c r="AX609" s="3"/>
      <c r="AY609" s="5"/>
      <c r="BA609" s="3"/>
      <c r="BD609" s="3"/>
      <c r="BE609" s="3"/>
      <c r="BG609" s="3"/>
      <c r="BH609" s="3"/>
      <c r="BJ609" s="3"/>
      <c r="BK609" s="3"/>
      <c r="BM609" s="3"/>
      <c r="BN609" s="5"/>
      <c r="BP609" s="3"/>
      <c r="BS609" s="3"/>
      <c r="BT609" s="3"/>
      <c r="BV609" s="3"/>
      <c r="BW609" s="3"/>
      <c r="BY609" s="3"/>
      <c r="BZ609" s="3"/>
      <c r="CB609" s="3"/>
      <c r="CC609" s="5"/>
      <c r="CE609" s="3"/>
      <c r="CH609" s="3"/>
      <c r="CI609" s="3"/>
      <c r="CK609" s="3"/>
      <c r="CL609" s="3"/>
      <c r="CN609" s="3"/>
      <c r="CO609" s="3"/>
      <c r="CQ609" s="3"/>
      <c r="CR609" s="5"/>
      <c r="CT609" s="3"/>
      <c r="CW609" s="3"/>
      <c r="CX609" s="3"/>
      <c r="CZ609" s="3"/>
      <c r="DA609" s="3"/>
      <c r="DC609" s="3"/>
      <c r="DD609" s="3"/>
      <c r="DF609" s="3"/>
      <c r="DG609" s="5"/>
      <c r="DI609" s="3"/>
      <c r="DL609" s="3"/>
      <c r="DM609" s="3"/>
      <c r="DO609" s="3"/>
      <c r="DP609" s="3"/>
      <c r="DR609" s="3"/>
      <c r="DS609" s="1" t="str">
        <f>_xlfn.XLOOKUP(OfficeForms.Table[[#This Row],[Selecione a Categoria do Laboratório desta atividade prática:]],Planilha1!A:A,Planilha1!B:B)</f>
        <v>EMF-ISN</v>
      </c>
      <c r="DT609" s="1" t="str">
        <f>CONCATENATE(OfficeForms.Table[[#This Row],[Selecione seu Polo Laboratório de Atividades Presenciais:]],OfficeForms.Table[[#This Row],[CHAVE CONVERSÃO]])</f>
        <v>Carapicuíba/SPEMF-ISN</v>
      </c>
      <c r="DU60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60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60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09" s="1" t="str">
        <f>_xlfn.XLOOKUP(OfficeForms.Table[[#This Row],[CHAVE LINK POLO]],'[1]Quadro Geral de Lotação'!$B:$B,'[1]Quadro Geral de Lotação'!$I:$I)</f>
        <v>Sandra Fernandes Massad</v>
      </c>
      <c r="DY609" s="1" t="str">
        <f>OfficeForms.Table[[#This Row],[Selecione a Ordem de Disciplina]]</f>
        <v>Ordem 2</v>
      </c>
    </row>
    <row r="610" spans="1:129" ht="34.15" customHeight="1">
      <c r="A610" s="1">
        <v>610</v>
      </c>
      <c r="B610" s="2">
        <v>46116.863888888904</v>
      </c>
      <c r="C610" s="2">
        <v>46116.864606481497</v>
      </c>
      <c r="D610" s="3" t="s">
        <v>1417</v>
      </c>
      <c r="E610" s="3" t="s">
        <v>1418</v>
      </c>
      <c r="G610" s="3"/>
      <c r="I610" s="3" t="s">
        <v>1419</v>
      </c>
      <c r="K610" s="3"/>
      <c r="L610" s="1" t="s">
        <v>678</v>
      </c>
      <c r="O610" s="3" t="s">
        <v>133</v>
      </c>
      <c r="Q610" s="3"/>
      <c r="R610" s="3"/>
      <c r="T610" s="3"/>
      <c r="U610" s="5"/>
      <c r="W610" s="3"/>
      <c r="Z610" s="3"/>
      <c r="AA610" s="3"/>
      <c r="AC610" s="3"/>
      <c r="AD610" s="3"/>
      <c r="AF610" s="3"/>
      <c r="AG610" s="3"/>
      <c r="AI610" s="3"/>
      <c r="AJ610" s="1"/>
      <c r="AL610" s="3"/>
      <c r="AO610" s="3"/>
      <c r="AP610" s="3"/>
      <c r="AR610" s="3"/>
      <c r="AS610" s="3"/>
      <c r="AU610" s="3"/>
      <c r="AV610" s="3" t="s">
        <v>1557</v>
      </c>
      <c r="AX610" s="3"/>
      <c r="AY610" s="5">
        <v>46109</v>
      </c>
      <c r="BA610" s="3"/>
      <c r="BB610" s="1">
        <v>18</v>
      </c>
      <c r="BD610" s="3"/>
      <c r="BE610" s="3" t="s">
        <v>1827</v>
      </c>
      <c r="BG610" s="3"/>
      <c r="BH610" s="3" t="s">
        <v>1828</v>
      </c>
      <c r="BJ610" s="3"/>
      <c r="BK610" s="3"/>
      <c r="BM610" s="3"/>
      <c r="BN610" s="5"/>
      <c r="BP610" s="3"/>
      <c r="BS610" s="3"/>
      <c r="BT610" s="3"/>
      <c r="BV610" s="3"/>
      <c r="BW610" s="3"/>
      <c r="BY610" s="3"/>
      <c r="BZ610" s="3"/>
      <c r="CB610" s="3"/>
      <c r="CC610" s="5"/>
      <c r="CE610" s="3"/>
      <c r="CH610" s="3"/>
      <c r="CI610" s="3"/>
      <c r="CK610" s="3"/>
      <c r="CL610" s="3"/>
      <c r="CN610" s="3"/>
      <c r="CO610" s="3"/>
      <c r="CQ610" s="3"/>
      <c r="CR610" s="5"/>
      <c r="CT610" s="3"/>
      <c r="CW610" s="3"/>
      <c r="CX610" s="3"/>
      <c r="CZ610" s="3"/>
      <c r="DA610" s="3"/>
      <c r="DC610" s="3"/>
      <c r="DD610" s="3"/>
      <c r="DF610" s="3"/>
      <c r="DG610" s="5"/>
      <c r="DI610" s="3"/>
      <c r="DL610" s="3"/>
      <c r="DM610" s="3"/>
      <c r="DO610" s="3"/>
      <c r="DP610" s="3"/>
      <c r="DR610" s="3"/>
      <c r="DS610" s="1" t="str">
        <f>_xlfn.XLOOKUP(OfficeForms.Table[[#This Row],[Selecione a Categoria do Laboratório desta atividade prática:]],Planilha1!A:A,Planilha1!B:B)</f>
        <v>BFI</v>
      </c>
      <c r="DT610" s="1" t="str">
        <f>CONCATENATE(OfficeForms.Table[[#This Row],[Selecione seu Polo Laboratório de Atividades Presenciais:]],OfficeForms.Table[[#This Row],[CHAVE CONVERSÃO]])</f>
        <v>Macapá/APBFI</v>
      </c>
      <c r="DU61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Inferiores</v>
      </c>
      <c r="DV61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61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18</v>
      </c>
      <c r="DX610" s="1" t="str">
        <f>_xlfn.XLOOKUP(OfficeForms.Table[[#This Row],[CHAVE LINK POLO]],'[1]Quadro Geral de Lotação'!$B:$B,'[1]Quadro Geral de Lotação'!$I:$I)</f>
        <v>-</v>
      </c>
      <c r="DY610" s="1" t="str">
        <f>OfficeForms.Table[[#This Row],[Selecione a Ordem de Disciplina]]</f>
        <v>Ordem 2</v>
      </c>
    </row>
    <row r="611" spans="1:129" ht="34.15" customHeight="1">
      <c r="A611" s="1">
        <v>611</v>
      </c>
      <c r="B611" s="2">
        <v>46116.890601851803</v>
      </c>
      <c r="C611" s="2">
        <v>46116.898229166698</v>
      </c>
      <c r="D611" s="3" t="s">
        <v>443</v>
      </c>
      <c r="E611" s="3" t="s">
        <v>444</v>
      </c>
      <c r="G611" s="3"/>
      <c r="I611" s="3" t="s">
        <v>445</v>
      </c>
      <c r="K611" s="3"/>
      <c r="L611" s="1" t="s">
        <v>678</v>
      </c>
      <c r="O611" s="3" t="s">
        <v>133</v>
      </c>
      <c r="Q611" s="3"/>
      <c r="R611" s="3"/>
      <c r="T611" s="3"/>
      <c r="U611" s="5"/>
      <c r="W611" s="3"/>
      <c r="Z611" s="3"/>
      <c r="AA611" s="3"/>
      <c r="AC611" s="3"/>
      <c r="AD611" s="3"/>
      <c r="AF611" s="3"/>
      <c r="AG611" s="3"/>
      <c r="AI611" s="3"/>
      <c r="AJ611" s="1"/>
      <c r="AL611" s="3"/>
      <c r="AO611" s="3"/>
      <c r="AP611" s="3"/>
      <c r="AR611" s="3"/>
      <c r="AS611" s="3"/>
      <c r="AU611" s="3"/>
      <c r="AV611" s="3" t="s">
        <v>1145</v>
      </c>
      <c r="AX611" s="3"/>
      <c r="AY611" s="5">
        <v>46098</v>
      </c>
      <c r="BA611" s="3"/>
      <c r="BB611" s="1">
        <v>5</v>
      </c>
      <c r="BD611" s="3"/>
      <c r="BE611" s="3" t="s">
        <v>1829</v>
      </c>
      <c r="BG611" s="3"/>
      <c r="BH611" s="3" t="s">
        <v>1830</v>
      </c>
      <c r="BJ611" s="3"/>
      <c r="BK611" s="3"/>
      <c r="BM611" s="3"/>
      <c r="BN611" s="5"/>
      <c r="BP611" s="3"/>
      <c r="BS611" s="3"/>
      <c r="BT611" s="3"/>
      <c r="BV611" s="3"/>
      <c r="BW611" s="3"/>
      <c r="BY611" s="3"/>
      <c r="BZ611" s="3"/>
      <c r="CB611" s="3"/>
      <c r="CC611" s="5"/>
      <c r="CE611" s="3"/>
      <c r="CH611" s="3"/>
      <c r="CI611" s="3"/>
      <c r="CK611" s="3"/>
      <c r="CL611" s="3"/>
      <c r="CN611" s="3"/>
      <c r="CO611" s="3"/>
      <c r="CQ611" s="3"/>
      <c r="CR611" s="5"/>
      <c r="CT611" s="3"/>
      <c r="CW611" s="3"/>
      <c r="CX611" s="3"/>
      <c r="CZ611" s="3"/>
      <c r="DA611" s="3"/>
      <c r="DC611" s="3"/>
      <c r="DD611" s="3"/>
      <c r="DF611" s="3"/>
      <c r="DG611" s="5"/>
      <c r="DI611" s="3"/>
      <c r="DL611" s="3"/>
      <c r="DM611" s="3"/>
      <c r="DO611" s="3"/>
      <c r="DP611" s="3"/>
      <c r="DR611" s="3"/>
      <c r="DS611" s="1" t="str">
        <f>_xlfn.XLOOKUP(OfficeForms.Table[[#This Row],[Selecione a Categoria do Laboratório desta atividade prática:]],Planilha1!A:A,Planilha1!B:B)</f>
        <v>BFI</v>
      </c>
      <c r="DT611" s="1" t="str">
        <f>CONCATENATE(OfficeForms.Table[[#This Row],[Selecione seu Polo Laboratório de Atividades Presenciais:]],OfficeForms.Table[[#This Row],[CHAVE CONVERSÃO]])</f>
        <v>Goiânia/GO - Jardim EuropaBFI</v>
      </c>
      <c r="DU61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Revisão de Anatomorfofisiologia</v>
      </c>
      <c r="DV61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61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611" s="1" t="str">
        <f>_xlfn.XLOOKUP(OfficeForms.Table[[#This Row],[CHAVE LINK POLO]],'[1]Quadro Geral de Lotação'!$B:$B,'[1]Quadro Geral de Lotação'!$I:$I)</f>
        <v>Luiza Rodrigues De Assis Brito</v>
      </c>
      <c r="DY611" s="1" t="str">
        <f>OfficeForms.Table[[#This Row],[Selecione a Ordem de Disciplina]]</f>
        <v>Ordem 2</v>
      </c>
    </row>
    <row r="612" spans="1:129" ht="34.15" customHeight="1">
      <c r="A612" s="1">
        <v>612</v>
      </c>
      <c r="B612" s="2">
        <v>46116.898321759298</v>
      </c>
      <c r="C612" s="2">
        <v>46116.900300925903</v>
      </c>
      <c r="D612" s="3" t="s">
        <v>443</v>
      </c>
      <c r="E612" s="3" t="s">
        <v>444</v>
      </c>
      <c r="G612" s="3"/>
      <c r="I612" s="3" t="s">
        <v>445</v>
      </c>
      <c r="K612" s="3"/>
      <c r="L612" s="1" t="s">
        <v>678</v>
      </c>
      <c r="O612" s="3" t="s">
        <v>133</v>
      </c>
      <c r="Q612" s="3"/>
      <c r="R612" s="3"/>
      <c r="T612" s="3"/>
      <c r="U612" s="5"/>
      <c r="W612" s="3"/>
      <c r="Z612" s="3"/>
      <c r="AA612" s="3"/>
      <c r="AC612" s="3"/>
      <c r="AD612" s="3"/>
      <c r="AF612" s="3"/>
      <c r="AG612" s="3"/>
      <c r="AI612" s="3"/>
      <c r="AJ612" s="1"/>
      <c r="AL612" s="3"/>
      <c r="AO612" s="3"/>
      <c r="AP612" s="3"/>
      <c r="AR612" s="3"/>
      <c r="AS612" s="3"/>
      <c r="AU612" s="3"/>
      <c r="AV612" s="3" t="s">
        <v>1148</v>
      </c>
      <c r="AX612" s="3"/>
      <c r="AY612" s="5">
        <v>46105</v>
      </c>
      <c r="BA612" s="3"/>
      <c r="BB612" s="1">
        <v>5</v>
      </c>
      <c r="BD612" s="3"/>
      <c r="BE612" s="3" t="s">
        <v>1831</v>
      </c>
      <c r="BG612" s="3"/>
      <c r="BH612" s="3" t="s">
        <v>1832</v>
      </c>
      <c r="BJ612" s="3"/>
      <c r="BK612" s="3"/>
      <c r="BM612" s="3"/>
      <c r="BN612" s="5"/>
      <c r="BP612" s="3"/>
      <c r="BS612" s="3"/>
      <c r="BT612" s="3"/>
      <c r="BV612" s="3"/>
      <c r="BW612" s="3"/>
      <c r="BY612" s="3"/>
      <c r="BZ612" s="3"/>
      <c r="CB612" s="3"/>
      <c r="CC612" s="5"/>
      <c r="CE612" s="3"/>
      <c r="CH612" s="3"/>
      <c r="CI612" s="3"/>
      <c r="CK612" s="3"/>
      <c r="CL612" s="3"/>
      <c r="CN612" s="3"/>
      <c r="CO612" s="3"/>
      <c r="CQ612" s="3"/>
      <c r="CR612" s="5"/>
      <c r="CT612" s="3"/>
      <c r="CW612" s="3"/>
      <c r="CX612" s="3"/>
      <c r="CZ612" s="3"/>
      <c r="DA612" s="3"/>
      <c r="DC612" s="3"/>
      <c r="DD612" s="3"/>
      <c r="DF612" s="3"/>
      <c r="DG612" s="5"/>
      <c r="DI612" s="3"/>
      <c r="DL612" s="3"/>
      <c r="DM612" s="3"/>
      <c r="DO612" s="3"/>
      <c r="DP612" s="3"/>
      <c r="DR612" s="3"/>
      <c r="DS612" s="1" t="str">
        <f>_xlfn.XLOOKUP(OfficeForms.Table[[#This Row],[Selecione a Categoria do Laboratório desta atividade prática:]],Planilha1!A:A,Planilha1!B:B)</f>
        <v>BFI</v>
      </c>
      <c r="DT612" s="1" t="str">
        <f>CONCATENATE(OfficeForms.Table[[#This Row],[Selecione seu Polo Laboratório de Atividades Presenciais:]],OfficeForms.Table[[#This Row],[CHAVE CONVERSÃO]])</f>
        <v>Goiânia/GO - Jardim EuropaBFI</v>
      </c>
      <c r="DU61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Prático da Biomecânica Articular e Muscular no Movimento Funcional Humano</v>
      </c>
      <c r="DV61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61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612" s="1" t="str">
        <f>_xlfn.XLOOKUP(OfficeForms.Table[[#This Row],[CHAVE LINK POLO]],'[1]Quadro Geral de Lotação'!$B:$B,'[1]Quadro Geral de Lotação'!$I:$I)</f>
        <v>Luiza Rodrigues De Assis Brito</v>
      </c>
      <c r="DY612" s="1" t="str">
        <f>OfficeForms.Table[[#This Row],[Selecione a Ordem de Disciplina]]</f>
        <v>Ordem 2</v>
      </c>
    </row>
    <row r="613" spans="1:129" ht="34.15" customHeight="1">
      <c r="A613" s="1">
        <v>613</v>
      </c>
      <c r="B613" s="2">
        <v>46116.901030092602</v>
      </c>
      <c r="C613" s="2">
        <v>46116.902083333298</v>
      </c>
      <c r="D613" s="3" t="s">
        <v>443</v>
      </c>
      <c r="E613" s="3" t="s">
        <v>444</v>
      </c>
      <c r="G613" s="3"/>
      <c r="I613" s="3" t="s">
        <v>445</v>
      </c>
      <c r="K613" s="3"/>
      <c r="L613" s="1" t="s">
        <v>678</v>
      </c>
      <c r="O613" s="3" t="s">
        <v>133</v>
      </c>
      <c r="Q613" s="3"/>
      <c r="R613" s="3"/>
      <c r="T613" s="3"/>
      <c r="U613" s="5"/>
      <c r="W613" s="3"/>
      <c r="Z613" s="3"/>
      <c r="AA613" s="3"/>
      <c r="AC613" s="3"/>
      <c r="AD613" s="3"/>
      <c r="AF613" s="3"/>
      <c r="AG613" s="3"/>
      <c r="AI613" s="3"/>
      <c r="AJ613" s="1"/>
      <c r="AL613" s="3"/>
      <c r="AO613" s="3"/>
      <c r="AP613" s="3"/>
      <c r="AR613" s="3"/>
      <c r="AS613" s="3"/>
      <c r="AU613" s="3"/>
      <c r="AV613" s="3" t="s">
        <v>1514</v>
      </c>
      <c r="AX613" s="3"/>
      <c r="AY613" s="5">
        <v>46112</v>
      </c>
      <c r="BA613" s="3"/>
      <c r="BB613" s="1">
        <v>4</v>
      </c>
      <c r="BD613" s="3"/>
      <c r="BE613" s="3" t="s">
        <v>1833</v>
      </c>
      <c r="BG613" s="3"/>
      <c r="BH613" s="3" t="s">
        <v>1834</v>
      </c>
      <c r="BJ613" s="3"/>
      <c r="BK613" s="3"/>
      <c r="BM613" s="3"/>
      <c r="BN613" s="5"/>
      <c r="BP613" s="3"/>
      <c r="BS613" s="3"/>
      <c r="BT613" s="3"/>
      <c r="BV613" s="3"/>
      <c r="BW613" s="3"/>
      <c r="BY613" s="3"/>
      <c r="BZ613" s="3"/>
      <c r="CB613" s="3"/>
      <c r="CC613" s="5"/>
      <c r="CE613" s="3"/>
      <c r="CH613" s="3"/>
      <c r="CI613" s="3"/>
      <c r="CK613" s="3"/>
      <c r="CL613" s="3"/>
      <c r="CN613" s="3"/>
      <c r="CO613" s="3"/>
      <c r="CQ613" s="3"/>
      <c r="CR613" s="5"/>
      <c r="CT613" s="3"/>
      <c r="CW613" s="3"/>
      <c r="CX613" s="3"/>
      <c r="CZ613" s="3"/>
      <c r="DA613" s="3"/>
      <c r="DC613" s="3"/>
      <c r="DD613" s="3"/>
      <c r="DF613" s="3"/>
      <c r="DG613" s="5"/>
      <c r="DI613" s="3"/>
      <c r="DL613" s="3"/>
      <c r="DM613" s="3"/>
      <c r="DO613" s="3"/>
      <c r="DP613" s="3"/>
      <c r="DR613" s="3"/>
      <c r="DS613" s="1" t="str">
        <f>_xlfn.XLOOKUP(OfficeForms.Table[[#This Row],[Selecione a Categoria do Laboratório desta atividade prática:]],Planilha1!A:A,Planilha1!B:B)</f>
        <v>BFI</v>
      </c>
      <c r="DT613" s="1" t="str">
        <f>CONCATENATE(OfficeForms.Table[[#This Row],[Selecione seu Polo Laboratório de Atividades Presenciais:]],OfficeForms.Table[[#This Row],[CHAVE CONVERSÃO]])</f>
        <v>Goiânia/GO - Jardim EuropaBFI</v>
      </c>
      <c r="DU61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Articular e Goniometria: Avaliação Quantitativa na Prática Fisioterapêutica</v>
      </c>
      <c r="DV61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1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613" s="1" t="str">
        <f>_xlfn.XLOOKUP(OfficeForms.Table[[#This Row],[CHAVE LINK POLO]],'[1]Quadro Geral de Lotação'!$B:$B,'[1]Quadro Geral de Lotação'!$I:$I)</f>
        <v>Luiza Rodrigues De Assis Brito</v>
      </c>
      <c r="DY613" s="1" t="str">
        <f>OfficeForms.Table[[#This Row],[Selecione a Ordem de Disciplina]]</f>
        <v>Ordem 2</v>
      </c>
    </row>
    <row r="614" spans="1:129" ht="34.15" customHeight="1">
      <c r="A614" s="1">
        <v>614</v>
      </c>
      <c r="B614" s="2">
        <v>46117.4466203704</v>
      </c>
      <c r="C614" s="2">
        <v>46117.448900463001</v>
      </c>
      <c r="D614" s="3" t="s">
        <v>463</v>
      </c>
      <c r="E614" s="3" t="s">
        <v>464</v>
      </c>
      <c r="G614" s="3"/>
      <c r="I614" s="3" t="s">
        <v>445</v>
      </c>
      <c r="K614" s="3"/>
      <c r="L614" s="1" t="s">
        <v>678</v>
      </c>
      <c r="O614" s="3" t="s">
        <v>156</v>
      </c>
      <c r="Q614" s="3"/>
      <c r="R614" s="3"/>
      <c r="T614" s="3"/>
      <c r="U614" s="5"/>
      <c r="W614" s="3"/>
      <c r="Z614" s="3"/>
      <c r="AA614" s="3"/>
      <c r="AC614" s="3"/>
      <c r="AD614" s="3"/>
      <c r="AF614" s="3"/>
      <c r="AG614" s="3"/>
      <c r="AI614" s="3"/>
      <c r="AJ614" s="1"/>
      <c r="AL614" s="3"/>
      <c r="AO614" s="3"/>
      <c r="AP614" s="3"/>
      <c r="AR614" s="3"/>
      <c r="AS614" s="3"/>
      <c r="AU614" s="3"/>
      <c r="AV614" s="3"/>
      <c r="AX614" s="3"/>
      <c r="AY614" s="5"/>
      <c r="BA614" s="3"/>
      <c r="BD614" s="3"/>
      <c r="BE614" s="3"/>
      <c r="BG614" s="3"/>
      <c r="BH614" s="3"/>
      <c r="BJ614" s="3"/>
      <c r="BK614" s="3" t="s">
        <v>1720</v>
      </c>
      <c r="BM614" s="3"/>
      <c r="BN614" s="5">
        <v>46114</v>
      </c>
      <c r="BP614" s="3"/>
      <c r="BQ614" s="1">
        <v>6</v>
      </c>
      <c r="BS614" s="3"/>
      <c r="BT614" s="3" t="s">
        <v>1835</v>
      </c>
      <c r="BV614" s="3"/>
      <c r="BW614" s="3" t="s">
        <v>1836</v>
      </c>
      <c r="BY614" s="3"/>
      <c r="BZ614" s="3"/>
      <c r="CB614" s="3"/>
      <c r="CC614" s="5"/>
      <c r="CE614" s="3"/>
      <c r="CH614" s="3"/>
      <c r="CI614" s="3"/>
      <c r="CK614" s="3"/>
      <c r="CL614" s="3"/>
      <c r="CN614" s="3"/>
      <c r="CO614" s="3"/>
      <c r="CQ614" s="3"/>
      <c r="CR614" s="5"/>
      <c r="CT614" s="3"/>
      <c r="CW614" s="3"/>
      <c r="CX614" s="3"/>
      <c r="CZ614" s="3"/>
      <c r="DA614" s="3"/>
      <c r="DC614" s="3"/>
      <c r="DD614" s="3"/>
      <c r="DF614" s="3"/>
      <c r="DG614" s="5"/>
      <c r="DI614" s="3"/>
      <c r="DL614" s="3"/>
      <c r="DM614" s="3"/>
      <c r="DO614" s="3"/>
      <c r="DP614" s="3"/>
      <c r="DR614" s="3"/>
      <c r="DS614" s="1" t="str">
        <f>_xlfn.XLOOKUP(OfficeForms.Table[[#This Row],[Selecione a Categoria do Laboratório desta atividade prática:]],Planilha1!A:A,Planilha1!B:B)</f>
        <v>NTR</v>
      </c>
      <c r="DT614" s="1" t="str">
        <f>CONCATENATE(OfficeForms.Table[[#This Row],[Selecione seu Polo Laboratório de Atividades Presenciais:]],OfficeForms.Table[[#This Row],[CHAVE CONVERSÃO]])</f>
        <v>Goiânia/GO - Jardim EuropaNTR</v>
      </c>
      <c r="DU61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corporal;Avaliação nutricional de atleta e desportista II: Anamnese e diagnóstico</v>
      </c>
      <c r="DV61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61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614" s="1" t="str">
        <f>_xlfn.XLOOKUP(OfficeForms.Table[[#This Row],[CHAVE LINK POLO]],'[1]Quadro Geral de Lotação'!$B:$B,'[1]Quadro Geral de Lotação'!$I:$I)</f>
        <v>Kellen Ferreira Nascimento</v>
      </c>
      <c r="DY614" s="1" t="str">
        <f>OfficeForms.Table[[#This Row],[Selecione a Ordem de Disciplina]]</f>
        <v>Ordem 2</v>
      </c>
    </row>
    <row r="615" spans="1:129" ht="34.15" customHeight="1">
      <c r="A615" s="1">
        <v>615</v>
      </c>
      <c r="B615" s="2">
        <v>46117.973159722198</v>
      </c>
      <c r="C615" s="2">
        <v>46117.9870717593</v>
      </c>
      <c r="D615" s="3" t="s">
        <v>297</v>
      </c>
      <c r="E615" s="3" t="s">
        <v>298</v>
      </c>
      <c r="G615" s="3"/>
      <c r="I615" s="3" t="s">
        <v>299</v>
      </c>
      <c r="K615" s="3"/>
      <c r="L615" s="1" t="s">
        <v>678</v>
      </c>
      <c r="O615" s="3" t="s">
        <v>156</v>
      </c>
      <c r="Q615" s="3"/>
      <c r="R615" s="3"/>
      <c r="T615" s="3"/>
      <c r="U615" s="5"/>
      <c r="W615" s="3"/>
      <c r="Z615" s="3"/>
      <c r="AA615" s="3"/>
      <c r="AC615" s="3"/>
      <c r="AD615" s="3"/>
      <c r="AF615" s="3"/>
      <c r="AG615" s="3"/>
      <c r="AI615" s="3"/>
      <c r="AJ615" s="1"/>
      <c r="AL615" s="3"/>
      <c r="AO615" s="3"/>
      <c r="AP615" s="3"/>
      <c r="AR615" s="3"/>
      <c r="AS615" s="3"/>
      <c r="AU615" s="3"/>
      <c r="AV615" s="3"/>
      <c r="AX615" s="3"/>
      <c r="AY615" s="5"/>
      <c r="BA615" s="3"/>
      <c r="BD615" s="3"/>
      <c r="BE615" s="3"/>
      <c r="BG615" s="3"/>
      <c r="BH615" s="3"/>
      <c r="BJ615" s="3"/>
      <c r="BK615" s="3" t="s">
        <v>1720</v>
      </c>
      <c r="BM615" s="3"/>
      <c r="BN615" s="5">
        <v>46112</v>
      </c>
      <c r="BP615" s="3"/>
      <c r="BQ615" s="1">
        <v>1</v>
      </c>
      <c r="BS615" s="3"/>
      <c r="BT615" s="3" t="s">
        <v>1837</v>
      </c>
      <c r="BV615" s="3"/>
      <c r="BW615" s="3" t="s">
        <v>1838</v>
      </c>
      <c r="BY615" s="3"/>
      <c r="BZ615" s="3"/>
      <c r="CB615" s="3"/>
      <c r="CC615" s="5"/>
      <c r="CE615" s="3"/>
      <c r="CH615" s="3"/>
      <c r="CI615" s="3"/>
      <c r="CK615" s="3"/>
      <c r="CL615" s="3"/>
      <c r="CN615" s="3"/>
      <c r="CO615" s="3"/>
      <c r="CQ615" s="3"/>
      <c r="CR615" s="5"/>
      <c r="CT615" s="3"/>
      <c r="CW615" s="3"/>
      <c r="CX615" s="3"/>
      <c r="CZ615" s="3"/>
      <c r="DA615" s="3"/>
      <c r="DC615" s="3"/>
      <c r="DD615" s="3"/>
      <c r="DF615" s="3"/>
      <c r="DG615" s="5"/>
      <c r="DI615" s="3"/>
      <c r="DL615" s="3"/>
      <c r="DM615" s="3"/>
      <c r="DO615" s="3"/>
      <c r="DP615" s="3"/>
      <c r="DR615" s="3"/>
      <c r="DS615" s="1" t="str">
        <f>_xlfn.XLOOKUP(OfficeForms.Table[[#This Row],[Selecione a Categoria do Laboratório desta atividade prática:]],Planilha1!A:A,Planilha1!B:B)</f>
        <v>NTR</v>
      </c>
      <c r="DT615" s="1" t="str">
        <f>CONCATENATE(OfficeForms.Table[[#This Row],[Selecione seu Polo Laboratório de Atividades Presenciais:]],OfficeForms.Table[[#This Row],[CHAVE CONVERSÃO]])</f>
        <v>Indaial/SC - Vitória Regia ( Centro Universitário  Leonardo da Vinci)NTR</v>
      </c>
      <c r="DU61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corporal;Avaliação nutricional de atleta e desportista II: Anamnese e diagnóstico</v>
      </c>
      <c r="DV61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1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15" s="1" t="str">
        <f>_xlfn.XLOOKUP(OfficeForms.Table[[#This Row],[CHAVE LINK POLO]],'[1]Quadro Geral de Lotação'!$B:$B,'[1]Quadro Geral de Lotação'!$I:$I)</f>
        <v>-</v>
      </c>
      <c r="DY615" s="1" t="str">
        <f>OfficeForms.Table[[#This Row],[Selecione a Ordem de Disciplina]]</f>
        <v>Ordem 2</v>
      </c>
    </row>
    <row r="616" spans="1:129" ht="34.15" customHeight="1">
      <c r="A616" s="1">
        <v>616</v>
      </c>
      <c r="B616" s="2">
        <v>46118.287372685198</v>
      </c>
      <c r="C616" s="2">
        <v>46118.288009259297</v>
      </c>
      <c r="D616" s="3" t="s">
        <v>1839</v>
      </c>
      <c r="E616" s="3" t="s">
        <v>1840</v>
      </c>
      <c r="G616" s="3"/>
      <c r="I616" s="3" t="s">
        <v>149</v>
      </c>
      <c r="K616" s="3"/>
      <c r="L616" s="1" t="s">
        <v>132</v>
      </c>
      <c r="O616" s="3" t="s">
        <v>133</v>
      </c>
      <c r="Q616" s="3"/>
      <c r="R616" s="3"/>
      <c r="T616" s="3"/>
      <c r="U616" s="5"/>
      <c r="W616" s="3"/>
      <c r="Z616" s="3"/>
      <c r="AA616" s="3"/>
      <c r="AC616" s="3"/>
      <c r="AD616" s="3"/>
      <c r="AF616" s="3"/>
      <c r="AG616" s="3"/>
      <c r="AI616" s="3"/>
      <c r="AJ616" s="1"/>
      <c r="AL616" s="3"/>
      <c r="AO616" s="3"/>
      <c r="AP616" s="3"/>
      <c r="AR616" s="3"/>
      <c r="AS616" s="3"/>
      <c r="AU616" s="3"/>
      <c r="AV616" s="3" t="s">
        <v>385</v>
      </c>
      <c r="AX616" s="3"/>
      <c r="AY616" s="5">
        <v>46091</v>
      </c>
      <c r="BA616" s="3"/>
      <c r="BB616" s="1">
        <v>6</v>
      </c>
      <c r="BD616" s="3"/>
      <c r="BE616" s="3" t="s">
        <v>1841</v>
      </c>
      <c r="BG616" s="3"/>
      <c r="BH616" s="3" t="s">
        <v>1842</v>
      </c>
      <c r="BJ616" s="3"/>
      <c r="BK616" s="3"/>
      <c r="BM616" s="3"/>
      <c r="BN616" s="5"/>
      <c r="BP616" s="3"/>
      <c r="BS616" s="3"/>
      <c r="BT616" s="3"/>
      <c r="BV616" s="3"/>
      <c r="BW616" s="3"/>
      <c r="BY616" s="3"/>
      <c r="BZ616" s="3"/>
      <c r="CB616" s="3"/>
      <c r="CC616" s="5"/>
      <c r="CE616" s="3"/>
      <c r="CH616" s="3"/>
      <c r="CI616" s="3"/>
      <c r="CK616" s="3"/>
      <c r="CL616" s="3"/>
      <c r="CN616" s="3"/>
      <c r="CO616" s="3"/>
      <c r="CQ616" s="3"/>
      <c r="CR616" s="5"/>
      <c r="CT616" s="3"/>
      <c r="CW616" s="3"/>
      <c r="CX616" s="3"/>
      <c r="CZ616" s="3"/>
      <c r="DA616" s="3"/>
      <c r="DC616" s="3"/>
      <c r="DD616" s="3"/>
      <c r="DF616" s="3"/>
      <c r="DG616" s="5"/>
      <c r="DI616" s="3"/>
      <c r="DL616" s="3"/>
      <c r="DM616" s="3"/>
      <c r="DO616" s="3"/>
      <c r="DP616" s="3"/>
      <c r="DR616" s="3"/>
      <c r="DS616" s="1" t="str">
        <f>_xlfn.XLOOKUP(OfficeForms.Table[[#This Row],[Selecione a Categoria do Laboratório desta atividade prática:]],Planilha1!A:A,Planilha1!B:B)</f>
        <v>BFI</v>
      </c>
      <c r="DT616" s="1" t="str">
        <f>CONCATENATE(OfficeForms.Table[[#This Row],[Selecione seu Polo Laboratório de Atividades Presenciais:]],OfficeForms.Table[[#This Row],[CHAVE CONVERSÃO]])</f>
        <v>Itajaí/SC - São VicenteBFI</v>
      </c>
      <c r="DU61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Geral Terapêutica: Técnicas e Aplicações em Recursos Manuais;Prática de Drenagem Linfática Manual: Estímulo à Circulação Linfática e Redução de Edema</v>
      </c>
      <c r="DV61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46091</v>
      </c>
      <c r="DW61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616" s="1" t="str">
        <f>_xlfn.XLOOKUP(OfficeForms.Table[[#This Row],[CHAVE LINK POLO]],'[1]Quadro Geral de Lotação'!$B:$B,'[1]Quadro Geral de Lotação'!$I:$I)</f>
        <v>Tuani Rafaela Matana Neves</v>
      </c>
      <c r="DY616" s="1" t="str">
        <f>OfficeForms.Table[[#This Row],[Selecione a Ordem de Disciplina]]</f>
        <v>Ordem 1</v>
      </c>
    </row>
    <row r="617" spans="1:129" ht="34.15" customHeight="1">
      <c r="A617" s="1">
        <v>617</v>
      </c>
      <c r="B617" s="2">
        <v>46118.453229166698</v>
      </c>
      <c r="C617" s="2">
        <v>46118.454120370399</v>
      </c>
      <c r="D617" s="3" t="s">
        <v>616</v>
      </c>
      <c r="E617" s="3" t="s">
        <v>617</v>
      </c>
      <c r="G617" s="3"/>
      <c r="I617" s="3" t="s">
        <v>618</v>
      </c>
      <c r="K617" s="3"/>
      <c r="L617" s="1" t="s">
        <v>1325</v>
      </c>
      <c r="O617" s="3" t="s">
        <v>184</v>
      </c>
      <c r="Q617" s="3"/>
      <c r="R617" s="3"/>
      <c r="T617" s="3"/>
      <c r="U617" s="5"/>
      <c r="W617" s="3"/>
      <c r="Z617" s="3"/>
      <c r="AA617" s="3"/>
      <c r="AC617" s="3"/>
      <c r="AD617" s="3"/>
      <c r="AF617" s="3"/>
      <c r="AG617" s="3" t="s">
        <v>1843</v>
      </c>
      <c r="AI617" s="3"/>
      <c r="AJ617" s="1">
        <v>46111</v>
      </c>
      <c r="AL617" s="3"/>
      <c r="AM617" s="1">
        <v>2</v>
      </c>
      <c r="AO617" s="3"/>
      <c r="AP617" s="3" t="s">
        <v>1844</v>
      </c>
      <c r="AR617" s="3"/>
      <c r="AS617" s="3" t="s">
        <v>1845</v>
      </c>
      <c r="AU617" s="3"/>
      <c r="AV617" s="3"/>
      <c r="AX617" s="3"/>
      <c r="AY617" s="5"/>
      <c r="BA617" s="3"/>
      <c r="BD617" s="3"/>
      <c r="BE617" s="3"/>
      <c r="BG617" s="3"/>
      <c r="BH617" s="3"/>
      <c r="BJ617" s="3"/>
      <c r="BK617" s="3"/>
      <c r="BM617" s="3"/>
      <c r="BN617" s="5"/>
      <c r="BP617" s="3"/>
      <c r="BS617" s="3"/>
      <c r="BT617" s="3"/>
      <c r="BV617" s="3"/>
      <c r="BW617" s="3"/>
      <c r="BY617" s="3"/>
      <c r="BZ617" s="3"/>
      <c r="CB617" s="3"/>
      <c r="CC617" s="5"/>
      <c r="CE617" s="3"/>
      <c r="CH617" s="3"/>
      <c r="CI617" s="3"/>
      <c r="CK617" s="3"/>
      <c r="CL617" s="3"/>
      <c r="CN617" s="3"/>
      <c r="CO617" s="3"/>
      <c r="CQ617" s="3"/>
      <c r="CR617" s="5"/>
      <c r="CT617" s="3"/>
      <c r="CW617" s="3"/>
      <c r="CX617" s="3"/>
      <c r="CZ617" s="3"/>
      <c r="DA617" s="3"/>
      <c r="DC617" s="3"/>
      <c r="DD617" s="3"/>
      <c r="DF617" s="3"/>
      <c r="DG617" s="5"/>
      <c r="DI617" s="3"/>
      <c r="DL617" s="3"/>
      <c r="DM617" s="3"/>
      <c r="DO617" s="3"/>
      <c r="DP617" s="3"/>
      <c r="DR617" s="3"/>
      <c r="DS617" s="1" t="str">
        <f>_xlfn.XLOOKUP(OfficeForms.Table[[#This Row],[Selecione a Categoria do Laboratório desta atividade prática:]],Planilha1!A:A,Planilha1!B:B)</f>
        <v>EMF-ISN</v>
      </c>
      <c r="DT617" s="1" t="str">
        <f>CONCATENATE(OfficeForms.Table[[#This Row],[Selecione seu Polo Laboratório de Atividades Presenciais:]],OfficeForms.Table[[#This Row],[CHAVE CONVERSÃO]])</f>
        <v>Santo André/SPEMF-ISN</v>
      </c>
      <c r="DU61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paciente;Administração de medicamento pela via subcutânea + Administração de medicamento pela via oral</v>
      </c>
      <c r="DV61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61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17" s="1" t="str">
        <f>_xlfn.XLOOKUP(OfficeForms.Table[[#This Row],[CHAVE LINK POLO]],'[1]Quadro Geral de Lotação'!$B:$B,'[1]Quadro Geral de Lotação'!$I:$I)</f>
        <v>Kamila Cabral Sena</v>
      </c>
      <c r="DY617" s="1" t="str">
        <f>OfficeForms.Table[[#This Row],[Selecione a Ordem de Disciplina]]</f>
        <v>Ordem 3</v>
      </c>
    </row>
    <row r="618" spans="1:129" ht="34.15" customHeight="1">
      <c r="A618" s="1">
        <v>618</v>
      </c>
      <c r="B618" s="2">
        <v>46118.454166666699</v>
      </c>
      <c r="C618" s="2">
        <v>46118.456504629597</v>
      </c>
      <c r="D618" s="3" t="s">
        <v>616</v>
      </c>
      <c r="E618" s="3" t="s">
        <v>617</v>
      </c>
      <c r="G618" s="3"/>
      <c r="I618" s="3" t="s">
        <v>618</v>
      </c>
      <c r="K618" s="3"/>
      <c r="L618" s="1" t="s">
        <v>678</v>
      </c>
      <c r="O618" s="3" t="s">
        <v>184</v>
      </c>
      <c r="Q618" s="3"/>
      <c r="R618" s="3"/>
      <c r="T618" s="3"/>
      <c r="U618" s="5"/>
      <c r="W618" s="3"/>
      <c r="Z618" s="3"/>
      <c r="AA618" s="3"/>
      <c r="AC618" s="3"/>
      <c r="AD618" s="3"/>
      <c r="AF618" s="3"/>
      <c r="AG618" s="3" t="s">
        <v>1302</v>
      </c>
      <c r="AI618" s="3"/>
      <c r="AJ618" s="1">
        <v>46104</v>
      </c>
      <c r="AL618" s="3"/>
      <c r="AM618" s="1">
        <v>4</v>
      </c>
      <c r="AO618" s="3"/>
      <c r="AP618" s="3" t="s">
        <v>1846</v>
      </c>
      <c r="AR618" s="3"/>
      <c r="AS618" s="3" t="s">
        <v>1847</v>
      </c>
      <c r="AU618" s="3"/>
      <c r="AV618" s="3"/>
      <c r="AX618" s="3"/>
      <c r="AY618" s="5"/>
      <c r="BA618" s="3"/>
      <c r="BD618" s="3"/>
      <c r="BE618" s="3"/>
      <c r="BG618" s="3"/>
      <c r="BH618" s="3"/>
      <c r="BJ618" s="3"/>
      <c r="BK618" s="3"/>
      <c r="BM618" s="3"/>
      <c r="BN618" s="5"/>
      <c r="BP618" s="3"/>
      <c r="BS618" s="3"/>
      <c r="BT618" s="3"/>
      <c r="BV618" s="3"/>
      <c r="BW618" s="3"/>
      <c r="BY618" s="3"/>
      <c r="BZ618" s="3"/>
      <c r="CB618" s="3"/>
      <c r="CC618" s="5"/>
      <c r="CE618" s="3"/>
      <c r="CH618" s="3"/>
      <c r="CI618" s="3"/>
      <c r="CK618" s="3"/>
      <c r="CL618" s="3"/>
      <c r="CN618" s="3"/>
      <c r="CO618" s="3"/>
      <c r="CQ618" s="3"/>
      <c r="CR618" s="5"/>
      <c r="CT618" s="3"/>
      <c r="CW618" s="3"/>
      <c r="CX618" s="3"/>
      <c r="CZ618" s="3"/>
      <c r="DA618" s="3"/>
      <c r="DC618" s="3"/>
      <c r="DD618" s="3"/>
      <c r="DF618" s="3"/>
      <c r="DG618" s="5"/>
      <c r="DI618" s="3"/>
      <c r="DL618" s="3"/>
      <c r="DM618" s="3"/>
      <c r="DO618" s="3"/>
      <c r="DP618" s="3"/>
      <c r="DR618" s="3"/>
      <c r="DS618" s="1" t="str">
        <f>_xlfn.XLOOKUP(OfficeForms.Table[[#This Row],[Selecione a Categoria do Laboratório desta atividade prática:]],Planilha1!A:A,Planilha1!B:B)</f>
        <v>EMF-ISN</v>
      </c>
      <c r="DT618" s="1" t="str">
        <f>CONCATENATE(OfficeForms.Table[[#This Row],[Selecione seu Polo Laboratório de Atividades Presenciais:]],OfficeForms.Table[[#This Row],[CHAVE CONVERSÃO]])</f>
        <v>Santo André/SPEMF-ISN</v>
      </c>
      <c r="DU61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61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61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618" s="1" t="str">
        <f>_xlfn.XLOOKUP(OfficeForms.Table[[#This Row],[CHAVE LINK POLO]],'[1]Quadro Geral de Lotação'!$B:$B,'[1]Quadro Geral de Lotação'!$I:$I)</f>
        <v>Kamila Cabral Sena</v>
      </c>
      <c r="DY618" s="1" t="str">
        <f>OfficeForms.Table[[#This Row],[Selecione a Ordem de Disciplina]]</f>
        <v>Ordem 2</v>
      </c>
    </row>
    <row r="619" spans="1:129" ht="34.15" customHeight="1">
      <c r="A619" s="1">
        <v>619</v>
      </c>
      <c r="B619" s="2">
        <v>46118.6879513889</v>
      </c>
      <c r="C619" s="2">
        <v>46118.6886226852</v>
      </c>
      <c r="D619" s="3" t="s">
        <v>263</v>
      </c>
      <c r="E619" s="3" t="s">
        <v>264</v>
      </c>
      <c r="G619" s="3"/>
      <c r="I619" s="3" t="s">
        <v>265</v>
      </c>
      <c r="K619" s="3"/>
      <c r="L619" s="1" t="s">
        <v>1325</v>
      </c>
      <c r="O619" s="3" t="s">
        <v>184</v>
      </c>
      <c r="Q619" s="3"/>
      <c r="R619" s="3"/>
      <c r="T619" s="3"/>
      <c r="U619" s="5"/>
      <c r="W619" s="3"/>
      <c r="Z619" s="3"/>
      <c r="AA619" s="3"/>
      <c r="AC619" s="3"/>
      <c r="AD619" s="3"/>
      <c r="AF619" s="3"/>
      <c r="AG619" s="3" t="s">
        <v>1105</v>
      </c>
      <c r="AI619" s="3"/>
      <c r="AJ619" s="1">
        <v>46118</v>
      </c>
      <c r="AL619" s="3"/>
      <c r="AM619" s="1">
        <v>1</v>
      </c>
      <c r="AO619" s="3"/>
      <c r="AP619" s="3" t="s">
        <v>1848</v>
      </c>
      <c r="AR619" s="3"/>
      <c r="AS619" s="3" t="s">
        <v>1849</v>
      </c>
      <c r="AU619" s="3"/>
      <c r="AV619" s="3"/>
      <c r="AX619" s="3"/>
      <c r="AY619" s="5"/>
      <c r="BA619" s="3"/>
      <c r="BD619" s="3"/>
      <c r="BE619" s="3"/>
      <c r="BG619" s="3"/>
      <c r="BH619" s="3"/>
      <c r="BJ619" s="3"/>
      <c r="BK619" s="3"/>
      <c r="BM619" s="3"/>
      <c r="BN619" s="5"/>
      <c r="BP619" s="3"/>
      <c r="BS619" s="3"/>
      <c r="BT619" s="3"/>
      <c r="BV619" s="3"/>
      <c r="BW619" s="3"/>
      <c r="BY619" s="3"/>
      <c r="BZ619" s="3"/>
      <c r="CB619" s="3"/>
      <c r="CC619" s="5"/>
      <c r="CE619" s="3"/>
      <c r="CH619" s="3"/>
      <c r="CI619" s="3"/>
      <c r="CK619" s="3"/>
      <c r="CL619" s="3"/>
      <c r="CN619" s="3"/>
      <c r="CO619" s="3"/>
      <c r="CQ619" s="3"/>
      <c r="CR619" s="5"/>
      <c r="CT619" s="3"/>
      <c r="CW619" s="3"/>
      <c r="CX619" s="3"/>
      <c r="CZ619" s="3"/>
      <c r="DA619" s="3"/>
      <c r="DC619" s="3"/>
      <c r="DD619" s="3"/>
      <c r="DF619" s="3"/>
      <c r="DG619" s="5"/>
      <c r="DI619" s="3"/>
      <c r="DL619" s="3"/>
      <c r="DM619" s="3"/>
      <c r="DO619" s="3"/>
      <c r="DP619" s="3"/>
      <c r="DR619" s="3"/>
      <c r="DS619" s="1" t="str">
        <f>_xlfn.XLOOKUP(OfficeForms.Table[[#This Row],[Selecione a Categoria do Laboratório desta atividade prática:]],Planilha1!A:A,Planilha1!B:B)</f>
        <v>EMF-ISN</v>
      </c>
      <c r="DT619" s="1" t="str">
        <f>CONCATENATE(OfficeForms.Table[[#This Row],[Selecione seu Polo Laboratório de Atividades Presenciais:]],OfficeForms.Table[[#This Row],[CHAVE CONVERSÃO]])</f>
        <v>Brusque/SCEMF-ISN</v>
      </c>
      <c r="DU61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61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46118</v>
      </c>
      <c r="DW61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19" s="1" t="str">
        <f>_xlfn.XLOOKUP(OfficeForms.Table[[#This Row],[CHAVE LINK POLO]],'[1]Quadro Geral de Lotação'!$B:$B,'[1]Quadro Geral de Lotação'!$I:$I)</f>
        <v>Fabio Junior da Rosa</v>
      </c>
      <c r="DY619" s="1" t="str">
        <f>OfficeForms.Table[[#This Row],[Selecione a Ordem de Disciplina]]</f>
        <v>Ordem 3</v>
      </c>
    </row>
    <row r="620" spans="1:129" ht="34.15" customHeight="1">
      <c r="A620" s="1">
        <v>620</v>
      </c>
      <c r="B620" s="2">
        <v>46118.741493055597</v>
      </c>
      <c r="C620" s="2">
        <v>46118.7421875</v>
      </c>
      <c r="D620" s="3" t="s">
        <v>1314</v>
      </c>
      <c r="E620" s="3" t="s">
        <v>1315</v>
      </c>
      <c r="G620" s="3"/>
      <c r="I620" s="3" t="s">
        <v>513</v>
      </c>
      <c r="K620" s="3"/>
      <c r="L620" s="1" t="s">
        <v>132</v>
      </c>
      <c r="O620" s="3" t="s">
        <v>497</v>
      </c>
      <c r="Q620" s="3"/>
      <c r="R620" s="3" t="s">
        <v>1181</v>
      </c>
      <c r="T620" s="3"/>
      <c r="U620" s="5">
        <v>46092</v>
      </c>
      <c r="W620" s="3"/>
      <c r="X620" s="1">
        <v>3</v>
      </c>
      <c r="Z620" s="3"/>
      <c r="AA620" s="3" t="s">
        <v>1850</v>
      </c>
      <c r="AC620" s="3"/>
      <c r="AD620" s="3" t="s">
        <v>1851</v>
      </c>
      <c r="AF620" s="3"/>
      <c r="AG620" s="3"/>
      <c r="AI620" s="3"/>
      <c r="AJ620" s="1"/>
      <c r="AL620" s="3"/>
      <c r="AO620" s="3"/>
      <c r="AP620" s="3"/>
      <c r="AR620" s="3"/>
      <c r="AS620" s="3"/>
      <c r="AU620" s="3"/>
      <c r="AV620" s="3"/>
      <c r="AX620" s="3"/>
      <c r="AY620" s="5"/>
      <c r="BA620" s="3"/>
      <c r="BD620" s="3"/>
      <c r="BE620" s="3"/>
      <c r="BG620" s="3"/>
      <c r="BH620" s="3"/>
      <c r="BJ620" s="3"/>
      <c r="BK620" s="3"/>
      <c r="BM620" s="3"/>
      <c r="BN620" s="5"/>
      <c r="BP620" s="3"/>
      <c r="BS620" s="3"/>
      <c r="BT620" s="3"/>
      <c r="BV620" s="3"/>
      <c r="BW620" s="3"/>
      <c r="BY620" s="3"/>
      <c r="BZ620" s="3"/>
      <c r="CB620" s="3"/>
      <c r="CC620" s="5"/>
      <c r="CE620" s="3"/>
      <c r="CH620" s="3"/>
      <c r="CI620" s="3"/>
      <c r="CK620" s="3"/>
      <c r="CL620" s="3"/>
      <c r="CN620" s="3"/>
      <c r="CO620" s="3"/>
      <c r="CQ620" s="3"/>
      <c r="CR620" s="5"/>
      <c r="CT620" s="3"/>
      <c r="CW620" s="3"/>
      <c r="CX620" s="3"/>
      <c r="CZ620" s="3"/>
      <c r="DA620" s="3"/>
      <c r="DC620" s="3"/>
      <c r="DD620" s="3"/>
      <c r="DF620" s="3"/>
      <c r="DG620" s="5"/>
      <c r="DI620" s="3"/>
      <c r="DL620" s="3"/>
      <c r="DM620" s="3"/>
      <c r="DO620" s="3"/>
      <c r="DP620" s="3"/>
      <c r="DR620" s="3"/>
      <c r="DS620" s="1" t="str">
        <f>_xlfn.XLOOKUP(OfficeForms.Table[[#This Row],[Selecione a Categoria do Laboratório desta atividade prática:]],Planilha1!A:A,Planilha1!B:B)</f>
        <v>BFR-BBI</v>
      </c>
      <c r="DT620" s="1" t="str">
        <f>CONCATENATE(OfficeForms.Table[[#This Row],[Selecione seu Polo Laboratório de Atividades Presenciais:]],OfficeForms.Table[[#This Row],[CHAVE CONVERSÃO]])</f>
        <v>Aracaju/SE - Ponto NovoBFR-BBI</v>
      </c>
      <c r="DU62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Tipagem sanguínea em lâminas</v>
      </c>
      <c r="DV62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62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20" s="1" t="e">
        <f>_xlfn.XLOOKUP(OfficeForms.Table[[#This Row],[CHAVE LINK POLO]],'[1]Quadro Geral de Lotação'!$B:$B,'[1]Quadro Geral de Lotação'!$I:$I)</f>
        <v>#N/A</v>
      </c>
      <c r="DY620" s="1" t="str">
        <f>OfficeForms.Table[[#This Row],[Selecione a Ordem de Disciplina]]</f>
        <v>Ordem 1</v>
      </c>
    </row>
    <row r="621" spans="1:129" ht="34.15" customHeight="1">
      <c r="A621" s="1">
        <v>621</v>
      </c>
      <c r="B621" s="2">
        <v>46118.741574074098</v>
      </c>
      <c r="C621" s="2">
        <v>46118.742673611101</v>
      </c>
      <c r="D621" s="3" t="s">
        <v>480</v>
      </c>
      <c r="E621" s="3" t="s">
        <v>481</v>
      </c>
      <c r="G621" s="3"/>
      <c r="I621" s="3" t="s">
        <v>482</v>
      </c>
      <c r="K621" s="3"/>
      <c r="L621" s="1" t="s">
        <v>678</v>
      </c>
      <c r="O621" s="3" t="s">
        <v>184</v>
      </c>
      <c r="Q621" s="3"/>
      <c r="R621" s="3"/>
      <c r="T621" s="3"/>
      <c r="U621" s="5"/>
      <c r="W621" s="3"/>
      <c r="Z621" s="3"/>
      <c r="AA621" s="3"/>
      <c r="AC621" s="3"/>
      <c r="AD621" s="3"/>
      <c r="AF621" s="3"/>
      <c r="AG621" s="3" t="s">
        <v>1278</v>
      </c>
      <c r="AI621" s="3"/>
      <c r="AJ621" s="1">
        <v>46111</v>
      </c>
      <c r="AL621" s="3"/>
      <c r="AM621" s="1">
        <v>1</v>
      </c>
      <c r="AO621" s="3"/>
      <c r="AP621" s="3" t="s">
        <v>1852</v>
      </c>
      <c r="AR621" s="3"/>
      <c r="AS621" s="3" t="s">
        <v>1853</v>
      </c>
      <c r="AU621" s="3"/>
      <c r="AV621" s="3"/>
      <c r="AX621" s="3"/>
      <c r="AY621" s="5"/>
      <c r="BA621" s="3"/>
      <c r="BD621" s="3"/>
      <c r="BE621" s="3"/>
      <c r="BG621" s="3"/>
      <c r="BH621" s="3"/>
      <c r="BJ621" s="3"/>
      <c r="BK621" s="3"/>
      <c r="BM621" s="3"/>
      <c r="BN621" s="5"/>
      <c r="BP621" s="3"/>
      <c r="BS621" s="3"/>
      <c r="BT621" s="3"/>
      <c r="BV621" s="3"/>
      <c r="BW621" s="3"/>
      <c r="BY621" s="3"/>
      <c r="BZ621" s="3"/>
      <c r="CB621" s="3"/>
      <c r="CC621" s="5"/>
      <c r="CE621" s="3"/>
      <c r="CH621" s="3"/>
      <c r="CI621" s="3"/>
      <c r="CK621" s="3"/>
      <c r="CL621" s="3"/>
      <c r="CN621" s="3"/>
      <c r="CO621" s="3"/>
      <c r="CQ621" s="3"/>
      <c r="CR621" s="5"/>
      <c r="CT621" s="3"/>
      <c r="CW621" s="3"/>
      <c r="CX621" s="3"/>
      <c r="CZ621" s="3"/>
      <c r="DA621" s="3"/>
      <c r="DC621" s="3"/>
      <c r="DD621" s="3"/>
      <c r="DF621" s="3"/>
      <c r="DG621" s="5"/>
      <c r="DI621" s="3"/>
      <c r="DL621" s="3"/>
      <c r="DM621" s="3"/>
      <c r="DO621" s="3"/>
      <c r="DP621" s="3"/>
      <c r="DR621" s="3"/>
      <c r="DS621" s="1" t="str">
        <f>_xlfn.XLOOKUP(OfficeForms.Table[[#This Row],[Selecione a Categoria do Laboratório desta atividade prática:]],Planilha1!A:A,Planilha1!B:B)</f>
        <v>EMF-ISN</v>
      </c>
      <c r="DT621" s="1" t="str">
        <f>CONCATENATE(OfficeForms.Table[[#This Row],[Selecione seu Polo Laboratório de Atividades Presenciais:]],OfficeForms.Table[[#This Row],[CHAVE CONVERSÃO]])</f>
        <v>Três Lagoas/MSEMF-ISN</v>
      </c>
      <c r="DU62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62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62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21" s="1" t="str">
        <f>_xlfn.XLOOKUP(OfficeForms.Table[[#This Row],[CHAVE LINK POLO]],'[1]Quadro Geral de Lotação'!$B:$B,'[1]Quadro Geral de Lotação'!$I:$I)</f>
        <v>Gilberto Dellai Filho</v>
      </c>
      <c r="DY621" s="1" t="str">
        <f>OfficeForms.Table[[#This Row],[Selecione a Ordem de Disciplina]]</f>
        <v>Ordem 2</v>
      </c>
    </row>
    <row r="622" spans="1:129" ht="34.15" customHeight="1">
      <c r="A622" s="1">
        <v>622</v>
      </c>
      <c r="B622" s="2">
        <v>46118.742337962998</v>
      </c>
      <c r="C622" s="2">
        <v>46118.743368055599</v>
      </c>
      <c r="D622" s="3" t="s">
        <v>1314</v>
      </c>
      <c r="E622" s="3" t="s">
        <v>1315</v>
      </c>
      <c r="G622" s="3"/>
      <c r="I622" s="3" t="s">
        <v>513</v>
      </c>
      <c r="K622" s="3"/>
      <c r="L622" s="1" t="s">
        <v>678</v>
      </c>
      <c r="O622" s="3" t="s">
        <v>497</v>
      </c>
      <c r="Q622" s="3"/>
      <c r="R622" s="3" t="s">
        <v>1854</v>
      </c>
      <c r="T622" s="3"/>
      <c r="U622" s="5">
        <v>46113</v>
      </c>
      <c r="W622" s="3"/>
      <c r="X622" s="1">
        <v>3</v>
      </c>
      <c r="Z622" s="3"/>
      <c r="AA622" s="3" t="s">
        <v>1855</v>
      </c>
      <c r="AC622" s="3"/>
      <c r="AD622" s="3" t="s">
        <v>1856</v>
      </c>
      <c r="AF622" s="3"/>
      <c r="AG622" s="3"/>
      <c r="AI622" s="3"/>
      <c r="AJ622" s="1"/>
      <c r="AL622" s="3"/>
      <c r="AO622" s="3"/>
      <c r="AP622" s="3"/>
      <c r="AR622" s="3"/>
      <c r="AS622" s="3"/>
      <c r="AU622" s="3"/>
      <c r="AV622" s="3"/>
      <c r="AX622" s="3"/>
      <c r="AY622" s="5"/>
      <c r="BA622" s="3"/>
      <c r="BD622" s="3"/>
      <c r="BE622" s="3"/>
      <c r="BG622" s="3"/>
      <c r="BH622" s="3"/>
      <c r="BJ622" s="3"/>
      <c r="BK622" s="3"/>
      <c r="BM622" s="3"/>
      <c r="BN622" s="5"/>
      <c r="BP622" s="3"/>
      <c r="BS622" s="3"/>
      <c r="BT622" s="3"/>
      <c r="BV622" s="3"/>
      <c r="BW622" s="3"/>
      <c r="BY622" s="3"/>
      <c r="BZ622" s="3"/>
      <c r="CB622" s="3"/>
      <c r="CC622" s="5"/>
      <c r="CE622" s="3"/>
      <c r="CH622" s="3"/>
      <c r="CI622" s="3"/>
      <c r="CK622" s="3"/>
      <c r="CL622" s="3"/>
      <c r="CN622" s="3"/>
      <c r="CO622" s="3"/>
      <c r="CQ622" s="3"/>
      <c r="CR622" s="5"/>
      <c r="CT622" s="3"/>
      <c r="CW622" s="3"/>
      <c r="CX622" s="3"/>
      <c r="CZ622" s="3"/>
      <c r="DA622" s="3"/>
      <c r="DC622" s="3"/>
      <c r="DD622" s="3"/>
      <c r="DF622" s="3"/>
      <c r="DG622" s="5"/>
      <c r="DI622" s="3"/>
      <c r="DL622" s="3"/>
      <c r="DM622" s="3"/>
      <c r="DO622" s="3"/>
      <c r="DP622" s="3"/>
      <c r="DR622" s="3"/>
      <c r="DS622" s="1" t="str">
        <f>_xlfn.XLOOKUP(OfficeForms.Table[[#This Row],[Selecione a Categoria do Laboratório desta atividade prática:]],Planilha1!A:A,Planilha1!B:B)</f>
        <v>BFR-BBI</v>
      </c>
      <c r="DT622" s="1" t="str">
        <f>CONCATENATE(OfficeForms.Table[[#This Row],[Selecione seu Polo Laboratório de Atividades Presenciais:]],OfficeForms.Table[[#This Row],[CHAVE CONVERSÃO]])</f>
        <v>Aracaju/SE - Ponto NovoBFR-BBI</v>
      </c>
      <c r="DU62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Velocidade de Hemossedimentação</v>
      </c>
      <c r="DV62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62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22" s="1" t="e">
        <f>_xlfn.XLOOKUP(OfficeForms.Table[[#This Row],[CHAVE LINK POLO]],'[1]Quadro Geral de Lotação'!$B:$B,'[1]Quadro Geral de Lotação'!$I:$I)</f>
        <v>#N/A</v>
      </c>
      <c r="DY622" s="1" t="str">
        <f>OfficeForms.Table[[#This Row],[Selecione a Ordem de Disciplina]]</f>
        <v>Ordem 2</v>
      </c>
    </row>
    <row r="623" spans="1:129" ht="34.15" customHeight="1">
      <c r="A623" s="1">
        <v>623</v>
      </c>
      <c r="B623" s="2">
        <v>46118.742800925902</v>
      </c>
      <c r="C623" s="2">
        <v>46118.743599537003</v>
      </c>
      <c r="D623" s="3" t="s">
        <v>480</v>
      </c>
      <c r="E623" s="3" t="s">
        <v>481</v>
      </c>
      <c r="G623" s="3"/>
      <c r="I623" s="3" t="s">
        <v>482</v>
      </c>
      <c r="K623" s="3"/>
      <c r="L623" s="1" t="s">
        <v>678</v>
      </c>
      <c r="O623" s="3" t="s">
        <v>184</v>
      </c>
      <c r="Q623" s="3"/>
      <c r="R623" s="3"/>
      <c r="T623" s="3"/>
      <c r="U623" s="5"/>
      <c r="W623" s="3"/>
      <c r="Z623" s="3"/>
      <c r="AA623" s="3"/>
      <c r="AC623" s="3"/>
      <c r="AD623" s="3"/>
      <c r="AF623" s="3"/>
      <c r="AG623" s="3" t="s">
        <v>1105</v>
      </c>
      <c r="AI623" s="3"/>
      <c r="AJ623" s="1">
        <v>46111</v>
      </c>
      <c r="AL623" s="3"/>
      <c r="AM623" s="1">
        <v>1</v>
      </c>
      <c r="AO623" s="3"/>
      <c r="AP623" s="3" t="s">
        <v>1857</v>
      </c>
      <c r="AR623" s="3"/>
      <c r="AS623" s="3" t="s">
        <v>1858</v>
      </c>
      <c r="AU623" s="3"/>
      <c r="AV623" s="3"/>
      <c r="AX623" s="3"/>
      <c r="AY623" s="5"/>
      <c r="BA623" s="3"/>
      <c r="BD623" s="3"/>
      <c r="BE623" s="3"/>
      <c r="BG623" s="3"/>
      <c r="BH623" s="3"/>
      <c r="BJ623" s="3"/>
      <c r="BK623" s="3"/>
      <c r="BM623" s="3"/>
      <c r="BN623" s="5"/>
      <c r="BP623" s="3"/>
      <c r="BS623" s="3"/>
      <c r="BT623" s="3"/>
      <c r="BV623" s="3"/>
      <c r="BW623" s="3"/>
      <c r="BY623" s="3"/>
      <c r="BZ623" s="3"/>
      <c r="CB623" s="3"/>
      <c r="CC623" s="5"/>
      <c r="CE623" s="3"/>
      <c r="CH623" s="3"/>
      <c r="CI623" s="3"/>
      <c r="CK623" s="3"/>
      <c r="CL623" s="3"/>
      <c r="CN623" s="3"/>
      <c r="CO623" s="3"/>
      <c r="CQ623" s="3"/>
      <c r="CR623" s="5"/>
      <c r="CT623" s="3"/>
      <c r="CW623" s="3"/>
      <c r="CX623" s="3"/>
      <c r="CZ623" s="3"/>
      <c r="DA623" s="3"/>
      <c r="DC623" s="3"/>
      <c r="DD623" s="3"/>
      <c r="DF623" s="3"/>
      <c r="DG623" s="5"/>
      <c r="DI623" s="3"/>
      <c r="DL623" s="3"/>
      <c r="DM623" s="3"/>
      <c r="DO623" s="3"/>
      <c r="DP623" s="3"/>
      <c r="DR623" s="3"/>
      <c r="DS623" s="1" t="str">
        <f>_xlfn.XLOOKUP(OfficeForms.Table[[#This Row],[Selecione a Categoria do Laboratório desta atividade prática:]],Planilha1!A:A,Planilha1!B:B)</f>
        <v>EMF-ISN</v>
      </c>
      <c r="DT623" s="1" t="str">
        <f>CONCATENATE(OfficeForms.Table[[#This Row],[Selecione seu Polo Laboratório de Atividades Presenciais:]],OfficeForms.Table[[#This Row],[CHAVE CONVERSÃO]])</f>
        <v>Três Lagoas/MSEMF-ISN</v>
      </c>
      <c r="DU62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62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62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23" s="1" t="str">
        <f>_xlfn.XLOOKUP(OfficeForms.Table[[#This Row],[CHAVE LINK POLO]],'[1]Quadro Geral de Lotação'!$B:$B,'[1]Quadro Geral de Lotação'!$I:$I)</f>
        <v>Gilberto Dellai Filho</v>
      </c>
      <c r="DY623" s="1" t="str">
        <f>OfficeForms.Table[[#This Row],[Selecione a Ordem de Disciplina]]</f>
        <v>Ordem 2</v>
      </c>
    </row>
    <row r="624" spans="1:129" ht="34.15" customHeight="1">
      <c r="A624" s="1">
        <v>624</v>
      </c>
      <c r="B624" s="2">
        <v>46118.743460648097</v>
      </c>
      <c r="C624" s="2">
        <v>46118.743935185201</v>
      </c>
      <c r="D624" s="3" t="s">
        <v>1314</v>
      </c>
      <c r="E624" s="3" t="s">
        <v>1315</v>
      </c>
      <c r="G624" s="3"/>
      <c r="I624" s="3" t="s">
        <v>513</v>
      </c>
      <c r="K624" s="3"/>
      <c r="L624" s="1" t="s">
        <v>678</v>
      </c>
      <c r="O624" s="3" t="s">
        <v>497</v>
      </c>
      <c r="Q624" s="3"/>
      <c r="R624" s="3" t="s">
        <v>690</v>
      </c>
      <c r="T624" s="3"/>
      <c r="U624" s="5">
        <v>46113</v>
      </c>
      <c r="W624" s="3"/>
      <c r="X624" s="1">
        <v>3</v>
      </c>
      <c r="Z624" s="3"/>
      <c r="AA624" s="3" t="s">
        <v>1859</v>
      </c>
      <c r="AC624" s="3"/>
      <c r="AD624" s="3" t="s">
        <v>1860</v>
      </c>
      <c r="AF624" s="3"/>
      <c r="AG624" s="3"/>
      <c r="AI624" s="3"/>
      <c r="AJ624" s="1"/>
      <c r="AL624" s="3"/>
      <c r="AO624" s="3"/>
      <c r="AP624" s="3"/>
      <c r="AR624" s="3"/>
      <c r="AS624" s="3"/>
      <c r="AU624" s="3"/>
      <c r="AV624" s="3"/>
      <c r="AX624" s="3"/>
      <c r="AY624" s="5"/>
      <c r="BA624" s="3"/>
      <c r="BD624" s="3"/>
      <c r="BE624" s="3"/>
      <c r="BG624" s="3"/>
      <c r="BH624" s="3"/>
      <c r="BJ624" s="3"/>
      <c r="BK624" s="3"/>
      <c r="BM624" s="3"/>
      <c r="BN624" s="5"/>
      <c r="BP624" s="3"/>
      <c r="BS624" s="3"/>
      <c r="BT624" s="3"/>
      <c r="BV624" s="3"/>
      <c r="BW624" s="3"/>
      <c r="BY624" s="3"/>
      <c r="BZ624" s="3"/>
      <c r="CB624" s="3"/>
      <c r="CC624" s="5"/>
      <c r="CE624" s="3"/>
      <c r="CH624" s="3"/>
      <c r="CI624" s="3"/>
      <c r="CK624" s="3"/>
      <c r="CL624" s="3"/>
      <c r="CN624" s="3"/>
      <c r="CO624" s="3"/>
      <c r="CQ624" s="3"/>
      <c r="CR624" s="5"/>
      <c r="CT624" s="3"/>
      <c r="CW624" s="3"/>
      <c r="CX624" s="3"/>
      <c r="CZ624" s="3"/>
      <c r="DA624" s="3"/>
      <c r="DC624" s="3"/>
      <c r="DD624" s="3"/>
      <c r="DF624" s="3"/>
      <c r="DG624" s="5"/>
      <c r="DI624" s="3"/>
      <c r="DL624" s="3"/>
      <c r="DM624" s="3"/>
      <c r="DO624" s="3"/>
      <c r="DP624" s="3"/>
      <c r="DR624" s="3"/>
      <c r="DS624" s="1" t="str">
        <f>_xlfn.XLOOKUP(OfficeForms.Table[[#This Row],[Selecione a Categoria do Laboratório desta atividade prática:]],Planilha1!A:A,Planilha1!B:B)</f>
        <v>BFR-BBI</v>
      </c>
      <c r="DT624" s="1" t="str">
        <f>CONCATENATE(OfficeForms.Table[[#This Row],[Selecione seu Polo Laboratório de Atividades Presenciais:]],OfficeForms.Table[[#This Row],[CHAVE CONVERSÃO]])</f>
        <v>Aracaju/SE - Ponto NovoBFR-BBI</v>
      </c>
      <c r="DU62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Esfregaço sanguíneo e colorações  (contagem diferencial de leucócitos)</v>
      </c>
      <c r="DV62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62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24" s="1" t="e">
        <f>_xlfn.XLOOKUP(OfficeForms.Table[[#This Row],[CHAVE LINK POLO]],'[1]Quadro Geral de Lotação'!$B:$B,'[1]Quadro Geral de Lotação'!$I:$I)</f>
        <v>#N/A</v>
      </c>
      <c r="DY624" s="1" t="str">
        <f>OfficeForms.Table[[#This Row],[Selecione a Ordem de Disciplina]]</f>
        <v>Ordem 2</v>
      </c>
    </row>
    <row r="625" spans="1:129" ht="34.15" customHeight="1">
      <c r="A625" s="1">
        <v>625</v>
      </c>
      <c r="B625" s="2">
        <v>46118.787569444401</v>
      </c>
      <c r="C625" s="2">
        <v>46118.78875</v>
      </c>
      <c r="D625" s="3" t="s">
        <v>232</v>
      </c>
      <c r="E625" s="3" t="s">
        <v>233</v>
      </c>
      <c r="G625" s="3"/>
      <c r="I625" s="3" t="s">
        <v>234</v>
      </c>
      <c r="K625" s="3"/>
      <c r="L625" s="1" t="s">
        <v>678</v>
      </c>
      <c r="O625" s="3" t="s">
        <v>184</v>
      </c>
      <c r="Q625" s="3"/>
      <c r="R625" s="3"/>
      <c r="T625" s="3"/>
      <c r="U625" s="5"/>
      <c r="W625" s="3"/>
      <c r="Z625" s="3"/>
      <c r="AA625" s="3"/>
      <c r="AC625" s="3"/>
      <c r="AD625" s="3"/>
      <c r="AF625" s="3"/>
      <c r="AG625" s="3" t="s">
        <v>1200</v>
      </c>
      <c r="AI625" s="3"/>
      <c r="AJ625" s="1">
        <v>46106</v>
      </c>
      <c r="AL625" s="3"/>
      <c r="AM625" s="1">
        <v>3</v>
      </c>
      <c r="AO625" s="3"/>
      <c r="AP625" s="3" t="s">
        <v>1861</v>
      </c>
      <c r="AR625" s="3"/>
      <c r="AS625" s="3" t="s">
        <v>1862</v>
      </c>
      <c r="AU625" s="3"/>
      <c r="AV625" s="3"/>
      <c r="AX625" s="3"/>
      <c r="AY625" s="5"/>
      <c r="BA625" s="3"/>
      <c r="BD625" s="3"/>
      <c r="BE625" s="3"/>
      <c r="BG625" s="3"/>
      <c r="BH625" s="3"/>
      <c r="BJ625" s="3"/>
      <c r="BK625" s="3"/>
      <c r="BM625" s="3"/>
      <c r="BN625" s="5"/>
      <c r="BP625" s="3"/>
      <c r="BS625" s="3"/>
      <c r="BT625" s="3"/>
      <c r="BV625" s="3"/>
      <c r="BW625" s="3"/>
      <c r="BY625" s="3"/>
      <c r="BZ625" s="3"/>
      <c r="CB625" s="3"/>
      <c r="CC625" s="5"/>
      <c r="CE625" s="3"/>
      <c r="CH625" s="3"/>
      <c r="CI625" s="3"/>
      <c r="CK625" s="3"/>
      <c r="CL625" s="3"/>
      <c r="CN625" s="3"/>
      <c r="CO625" s="3"/>
      <c r="CQ625" s="3"/>
      <c r="CR625" s="5"/>
      <c r="CT625" s="3"/>
      <c r="CW625" s="3"/>
      <c r="CX625" s="3"/>
      <c r="CZ625" s="3"/>
      <c r="DA625" s="3"/>
      <c r="DC625" s="3"/>
      <c r="DD625" s="3"/>
      <c r="DF625" s="3"/>
      <c r="DG625" s="5"/>
      <c r="DI625" s="3"/>
      <c r="DL625" s="3"/>
      <c r="DM625" s="3"/>
      <c r="DO625" s="3"/>
      <c r="DP625" s="3"/>
      <c r="DR625" s="3"/>
      <c r="DS625" s="1" t="str">
        <f>_xlfn.XLOOKUP(OfficeForms.Table[[#This Row],[Selecione a Categoria do Laboratório desta atividade prática:]],Planilha1!A:A,Planilha1!B:B)</f>
        <v>EMF-ISN</v>
      </c>
      <c r="DT625" s="1" t="str">
        <f>CONCATENATE(OfficeForms.Table[[#This Row],[Selecione seu Polo Laboratório de Atividades Presenciais:]],OfficeForms.Table[[#This Row],[CHAVE CONVERSÃO]])</f>
        <v>Santa Fé do Sul/SPEMF-ISN</v>
      </c>
      <c r="DU62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62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62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25" s="1" t="str">
        <f>_xlfn.XLOOKUP(OfficeForms.Table[[#This Row],[CHAVE LINK POLO]],'[1]Quadro Geral de Lotação'!$B:$B,'[1]Quadro Geral de Lotação'!$I:$I)</f>
        <v>Mariana Mirian Correia</v>
      </c>
      <c r="DY625" s="1" t="str">
        <f>OfficeForms.Table[[#This Row],[Selecione a Ordem de Disciplina]]</f>
        <v>Ordem 2</v>
      </c>
    </row>
    <row r="626" spans="1:129" ht="34.15" customHeight="1">
      <c r="A626" s="1">
        <v>626</v>
      </c>
      <c r="B626" s="2">
        <v>46118.919074074103</v>
      </c>
      <c r="C626" s="2">
        <v>46118.9215162037</v>
      </c>
      <c r="D626" s="3" t="s">
        <v>325</v>
      </c>
      <c r="E626" s="3" t="s">
        <v>326</v>
      </c>
      <c r="G626" s="3"/>
      <c r="I626" s="3" t="s">
        <v>275</v>
      </c>
      <c r="K626" s="3"/>
      <c r="L626" s="1" t="s">
        <v>678</v>
      </c>
      <c r="O626" s="3" t="s">
        <v>133</v>
      </c>
      <c r="Q626" s="3"/>
      <c r="R626" s="3"/>
      <c r="T626" s="3"/>
      <c r="U626" s="5"/>
      <c r="W626" s="3"/>
      <c r="Z626" s="3"/>
      <c r="AA626" s="3"/>
      <c r="AC626" s="3"/>
      <c r="AD626" s="3"/>
      <c r="AF626" s="3"/>
      <c r="AG626" s="3"/>
      <c r="AI626" s="3"/>
      <c r="AJ626" s="1"/>
      <c r="AL626" s="3"/>
      <c r="AO626" s="3"/>
      <c r="AP626" s="3"/>
      <c r="AR626" s="3"/>
      <c r="AS626" s="3"/>
      <c r="AU626" s="3"/>
      <c r="AV626" s="3" t="s">
        <v>1148</v>
      </c>
      <c r="AX626" s="3"/>
      <c r="AY626" s="5">
        <v>46114</v>
      </c>
      <c r="BA626" s="3"/>
      <c r="BB626" s="1">
        <v>7</v>
      </c>
      <c r="BD626" s="3"/>
      <c r="BE626" s="3" t="s">
        <v>1863</v>
      </c>
      <c r="BG626" s="3"/>
      <c r="BH626" s="3" t="s">
        <v>1864</v>
      </c>
      <c r="BJ626" s="3"/>
      <c r="BK626" s="3"/>
      <c r="BM626" s="3"/>
      <c r="BN626" s="5"/>
      <c r="BP626" s="3"/>
      <c r="BS626" s="3"/>
      <c r="BT626" s="3"/>
      <c r="BV626" s="3"/>
      <c r="BW626" s="3"/>
      <c r="BY626" s="3"/>
      <c r="BZ626" s="3"/>
      <c r="CB626" s="3"/>
      <c r="CC626" s="5"/>
      <c r="CE626" s="3"/>
      <c r="CH626" s="3"/>
      <c r="CI626" s="3"/>
      <c r="CK626" s="3"/>
      <c r="CL626" s="3"/>
      <c r="CN626" s="3"/>
      <c r="CO626" s="3"/>
      <c r="CQ626" s="3"/>
      <c r="CR626" s="5"/>
      <c r="CT626" s="3"/>
      <c r="CW626" s="3"/>
      <c r="CX626" s="3"/>
      <c r="CZ626" s="3"/>
      <c r="DA626" s="3"/>
      <c r="DC626" s="3"/>
      <c r="DD626" s="3"/>
      <c r="DF626" s="3"/>
      <c r="DG626" s="5"/>
      <c r="DI626" s="3"/>
      <c r="DL626" s="3"/>
      <c r="DM626" s="3"/>
      <c r="DO626" s="3"/>
      <c r="DP626" s="3"/>
      <c r="DR626" s="3"/>
      <c r="DS626" s="1" t="str">
        <f>_xlfn.XLOOKUP(OfficeForms.Table[[#This Row],[Selecione a Categoria do Laboratório desta atividade prática:]],Planilha1!A:A,Planilha1!B:B)</f>
        <v>BFI</v>
      </c>
      <c r="DT626" s="1" t="str">
        <f>CONCATENATE(OfficeForms.Table[[#This Row],[Selecione seu Polo Laboratório de Atividades Presenciais:]],OfficeForms.Table[[#This Row],[CHAVE CONVERSÃO]])</f>
        <v>Porto Alegre/RS - Zona NorteBFI</v>
      </c>
      <c r="DU62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Prático da Biomecânica Articular e Muscular no Movimento Funcional Humano</v>
      </c>
      <c r="DV62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62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626" s="1" t="str">
        <f>_xlfn.XLOOKUP(OfficeForms.Table[[#This Row],[CHAVE LINK POLO]],'[1]Quadro Geral de Lotação'!$B:$B,'[1]Quadro Geral de Lotação'!$I:$I)</f>
        <v>Fabiano Johnson Duarte Bartmann</v>
      </c>
      <c r="DY626" s="1" t="str">
        <f>OfficeForms.Table[[#This Row],[Selecione a Ordem de Disciplina]]</f>
        <v>Ordem 2</v>
      </c>
    </row>
    <row r="627" spans="1:129" ht="34.15" customHeight="1">
      <c r="A627" s="1">
        <v>627</v>
      </c>
      <c r="B627" s="2">
        <v>46118.921631944402</v>
      </c>
      <c r="C627" s="2">
        <v>46118.923113425903</v>
      </c>
      <c r="D627" s="3" t="s">
        <v>325</v>
      </c>
      <c r="E627" s="3" t="s">
        <v>326</v>
      </c>
      <c r="G627" s="3"/>
      <c r="I627" s="3" t="s">
        <v>275</v>
      </c>
      <c r="K627" s="3"/>
      <c r="L627" s="1" t="s">
        <v>678</v>
      </c>
      <c r="O627" s="3" t="s">
        <v>133</v>
      </c>
      <c r="Q627" s="3"/>
      <c r="R627" s="3"/>
      <c r="T627" s="3"/>
      <c r="U627" s="5"/>
      <c r="W627" s="3"/>
      <c r="Z627" s="3"/>
      <c r="AA627" s="3"/>
      <c r="AC627" s="3"/>
      <c r="AD627" s="3"/>
      <c r="AF627" s="3"/>
      <c r="AG627" s="3"/>
      <c r="AI627" s="3"/>
      <c r="AJ627" s="1"/>
      <c r="AL627" s="3"/>
      <c r="AO627" s="3"/>
      <c r="AP627" s="3"/>
      <c r="AR627" s="3"/>
      <c r="AS627" s="3"/>
      <c r="AU627" s="3"/>
      <c r="AV627" s="3" t="s">
        <v>1865</v>
      </c>
      <c r="AX627" s="3"/>
      <c r="AY627" s="5">
        <v>46114</v>
      </c>
      <c r="BA627" s="3"/>
      <c r="BB627" s="1">
        <v>9</v>
      </c>
      <c r="BD627" s="3"/>
      <c r="BE627" s="3" t="s">
        <v>1866</v>
      </c>
      <c r="BG627" s="3"/>
      <c r="BH627" s="3" t="s">
        <v>1867</v>
      </c>
      <c r="BJ627" s="3"/>
      <c r="BK627" s="3"/>
      <c r="BM627" s="3"/>
      <c r="BN627" s="5"/>
      <c r="BP627" s="3"/>
      <c r="BS627" s="3"/>
      <c r="BT627" s="3"/>
      <c r="BV627" s="3"/>
      <c r="BW627" s="3"/>
      <c r="BY627" s="3"/>
      <c r="BZ627" s="3"/>
      <c r="CB627" s="3"/>
      <c r="CC627" s="5"/>
      <c r="CE627" s="3"/>
      <c r="CH627" s="3"/>
      <c r="CI627" s="3"/>
      <c r="CK627" s="3"/>
      <c r="CL627" s="3"/>
      <c r="CN627" s="3"/>
      <c r="CO627" s="3"/>
      <c r="CQ627" s="3"/>
      <c r="CR627" s="5"/>
      <c r="CT627" s="3"/>
      <c r="CW627" s="3"/>
      <c r="CX627" s="3"/>
      <c r="CZ627" s="3"/>
      <c r="DA627" s="3"/>
      <c r="DC627" s="3"/>
      <c r="DD627" s="3"/>
      <c r="DF627" s="3"/>
      <c r="DG627" s="5"/>
      <c r="DI627" s="3"/>
      <c r="DL627" s="3"/>
      <c r="DM627" s="3"/>
      <c r="DO627" s="3"/>
      <c r="DP627" s="3"/>
      <c r="DR627" s="3"/>
      <c r="DS627" s="1" t="str">
        <f>_xlfn.XLOOKUP(OfficeForms.Table[[#This Row],[Selecione a Categoria do Laboratório desta atividade prática:]],Planilha1!A:A,Planilha1!B:B)</f>
        <v>BFI</v>
      </c>
      <c r="DT627" s="1" t="str">
        <f>CONCATENATE(OfficeForms.Table[[#This Row],[Selecione seu Polo Laboratório de Atividades Presenciais:]],OfficeForms.Table[[#This Row],[CHAVE CONVERSÃO]])</f>
        <v>Porto Alegre/RS - Zona NorteBFI</v>
      </c>
      <c r="DU62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Alongamento Muscular: Estratégias Cinesioterapêuticas para Ganho de Flexibilidade e Função</v>
      </c>
      <c r="DV62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62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627" s="1" t="str">
        <f>_xlfn.XLOOKUP(OfficeForms.Table[[#This Row],[CHAVE LINK POLO]],'[1]Quadro Geral de Lotação'!$B:$B,'[1]Quadro Geral de Lotação'!$I:$I)</f>
        <v>Fabiano Johnson Duarte Bartmann</v>
      </c>
      <c r="DY627" s="1" t="str">
        <f>OfficeForms.Table[[#This Row],[Selecione a Ordem de Disciplina]]</f>
        <v>Ordem 2</v>
      </c>
    </row>
    <row r="628" spans="1:129" ht="34.15" customHeight="1">
      <c r="A628" s="1">
        <v>628</v>
      </c>
      <c r="B628" s="2">
        <v>46118.932314814803</v>
      </c>
      <c r="C628" s="2">
        <v>46118.9355208333</v>
      </c>
      <c r="D628" s="3" t="s">
        <v>429</v>
      </c>
      <c r="E628" s="3" t="s">
        <v>430</v>
      </c>
      <c r="G628" s="3"/>
      <c r="I628" s="3" t="s">
        <v>431</v>
      </c>
      <c r="K628" s="3"/>
      <c r="L628" s="1" t="s">
        <v>678</v>
      </c>
      <c r="O628" s="3" t="s">
        <v>184</v>
      </c>
      <c r="Q628" s="3"/>
      <c r="R628" s="3"/>
      <c r="T628" s="3"/>
      <c r="U628" s="5"/>
      <c r="W628" s="3"/>
      <c r="Z628" s="3"/>
      <c r="AA628" s="3"/>
      <c r="AC628" s="3"/>
      <c r="AD628" s="3"/>
      <c r="AF628" s="3"/>
      <c r="AG628" s="3" t="s">
        <v>1016</v>
      </c>
      <c r="AI628" s="3"/>
      <c r="AJ628" s="1">
        <v>46113</v>
      </c>
      <c r="AL628" s="3"/>
      <c r="AM628" s="1">
        <v>7</v>
      </c>
      <c r="AO628" s="3"/>
      <c r="AP628" s="3" t="s">
        <v>1868</v>
      </c>
      <c r="AR628" s="3"/>
      <c r="AS628" s="3" t="s">
        <v>1869</v>
      </c>
      <c r="AU628" s="3"/>
      <c r="AV628" s="3"/>
      <c r="AX628" s="3"/>
      <c r="AY628" s="5"/>
      <c r="BA628" s="3"/>
      <c r="BD628" s="3"/>
      <c r="BE628" s="3"/>
      <c r="BG628" s="3"/>
      <c r="BH628" s="3"/>
      <c r="BJ628" s="3"/>
      <c r="BK628" s="3"/>
      <c r="BM628" s="3"/>
      <c r="BN628" s="5"/>
      <c r="BP628" s="3"/>
      <c r="BS628" s="3"/>
      <c r="BT628" s="3"/>
      <c r="BV628" s="3"/>
      <c r="BW628" s="3"/>
      <c r="BY628" s="3"/>
      <c r="BZ628" s="3"/>
      <c r="CB628" s="3"/>
      <c r="CC628" s="5"/>
      <c r="CE628" s="3"/>
      <c r="CH628" s="3"/>
      <c r="CI628" s="3"/>
      <c r="CK628" s="3"/>
      <c r="CL628" s="3"/>
      <c r="CN628" s="3"/>
      <c r="CO628" s="3"/>
      <c r="CQ628" s="3"/>
      <c r="CR628" s="5"/>
      <c r="CT628" s="3"/>
      <c r="CW628" s="3"/>
      <c r="CX628" s="3"/>
      <c r="CZ628" s="3"/>
      <c r="DA628" s="3"/>
      <c r="DC628" s="3"/>
      <c r="DD628" s="3"/>
      <c r="DF628" s="3"/>
      <c r="DG628" s="5"/>
      <c r="DI628" s="3"/>
      <c r="DL628" s="3"/>
      <c r="DM628" s="3"/>
      <c r="DO628" s="3"/>
      <c r="DP628" s="3"/>
      <c r="DR628" s="3"/>
      <c r="DS628" s="1" t="str">
        <f>_xlfn.XLOOKUP(OfficeForms.Table[[#This Row],[Selecione a Categoria do Laboratório desta atividade prática:]],Planilha1!A:A,Planilha1!B:B)</f>
        <v>EMF-ISN</v>
      </c>
      <c r="DT628" s="1" t="str">
        <f>CONCATENATE(OfficeForms.Table[[#This Row],[Selecione seu Polo Laboratório de Atividades Presenciais:]],OfficeForms.Table[[#This Row],[CHAVE CONVERSÃO]])</f>
        <v>Assú/RNEMF-ISN</v>
      </c>
      <c r="DU62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62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62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628" s="1" t="str">
        <f>_xlfn.XLOOKUP(OfficeForms.Table[[#This Row],[CHAVE LINK POLO]],'[1]Quadro Geral de Lotação'!$B:$B,'[1]Quadro Geral de Lotação'!$I:$I)</f>
        <v>Romulo Freire Pinto</v>
      </c>
      <c r="DY628" s="1" t="str">
        <f>OfficeForms.Table[[#This Row],[Selecione a Ordem de Disciplina]]</f>
        <v>Ordem 2</v>
      </c>
    </row>
    <row r="629" spans="1:129" ht="34.15" customHeight="1">
      <c r="A629" s="1">
        <v>629</v>
      </c>
      <c r="B629" s="2">
        <v>46119.3282638889</v>
      </c>
      <c r="C629" s="2">
        <v>46119.330844907403</v>
      </c>
      <c r="D629" s="3" t="s">
        <v>543</v>
      </c>
      <c r="E629" s="3" t="s">
        <v>544</v>
      </c>
      <c r="G629" s="3"/>
      <c r="I629" s="3" t="s">
        <v>545</v>
      </c>
      <c r="K629" s="3"/>
      <c r="L629" s="1" t="s">
        <v>678</v>
      </c>
      <c r="O629" s="3" t="s">
        <v>140</v>
      </c>
      <c r="Q629" s="3"/>
      <c r="R629" s="3"/>
      <c r="T629" s="3"/>
      <c r="U629" s="5"/>
      <c r="W629" s="3"/>
      <c r="Z629" s="3"/>
      <c r="AA629" s="3"/>
      <c r="AC629" s="3"/>
      <c r="AD629" s="3"/>
      <c r="AF629" s="3"/>
      <c r="AG629" s="3"/>
      <c r="AI629" s="3"/>
      <c r="AJ629" s="1"/>
      <c r="AL629" s="3"/>
      <c r="AO629" s="3"/>
      <c r="AP629" s="3"/>
      <c r="AR629" s="3"/>
      <c r="AS629" s="3"/>
      <c r="AU629" s="3"/>
      <c r="AV629" s="3"/>
      <c r="AX629" s="3"/>
      <c r="AY629" s="5"/>
      <c r="BA629" s="3"/>
      <c r="BD629" s="3"/>
      <c r="BE629" s="3"/>
      <c r="BG629" s="3"/>
      <c r="BH629" s="3"/>
      <c r="BJ629" s="3"/>
      <c r="BK629" s="3"/>
      <c r="BM629" s="3"/>
      <c r="BN629" s="5"/>
      <c r="BP629" s="3"/>
      <c r="BS629" s="3"/>
      <c r="BT629" s="3"/>
      <c r="BV629" s="3"/>
      <c r="BW629" s="3"/>
      <c r="BY629" s="3"/>
      <c r="BZ629" s="3" t="s">
        <v>1098</v>
      </c>
      <c r="CB629" s="3"/>
      <c r="CC629" s="5">
        <v>46118</v>
      </c>
      <c r="CE629" s="3"/>
      <c r="CF629" s="1">
        <v>2</v>
      </c>
      <c r="CH629" s="3"/>
      <c r="CI629" s="3" t="s">
        <v>1870</v>
      </c>
      <c r="CK629" s="3"/>
      <c r="CL629" s="3" t="s">
        <v>1871</v>
      </c>
      <c r="CN629" s="3"/>
      <c r="CO629" s="3"/>
      <c r="CQ629" s="3"/>
      <c r="CR629" s="5"/>
      <c r="CT629" s="3"/>
      <c r="CW629" s="3"/>
      <c r="CX629" s="3"/>
      <c r="CZ629" s="3"/>
      <c r="DA629" s="3"/>
      <c r="DC629" s="3"/>
      <c r="DD629" s="3"/>
      <c r="DF629" s="3"/>
      <c r="DG629" s="5"/>
      <c r="DI629" s="3"/>
      <c r="DL629" s="3"/>
      <c r="DM629" s="3"/>
      <c r="DO629" s="3"/>
      <c r="DP629" s="3"/>
      <c r="DR629" s="3"/>
      <c r="DS629" s="1" t="str">
        <f>_xlfn.XLOOKUP(OfficeForms.Table[[#This Row],[Selecione a Categoria do Laboratório desta atividade prática:]],Planilha1!A:A,Planilha1!B:B)</f>
        <v>ECE-ENM-ENS-ENG-EEA-GPI-CDE-OBR-SAN-TER-FSA-SLF-QUI</v>
      </c>
      <c r="DT629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62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Experimento de Oersted</v>
      </c>
      <c r="DV62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46118</v>
      </c>
      <c r="DW62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29" s="1" t="e">
        <f>_xlfn.XLOOKUP(OfficeForms.Table[[#This Row],[CHAVE LINK POLO]],'[1]Quadro Geral de Lotação'!$B:$B,'[1]Quadro Geral de Lotação'!$I:$I)</f>
        <v>#N/A</v>
      </c>
      <c r="DY629" s="1" t="str">
        <f>OfficeForms.Table[[#This Row],[Selecione a Ordem de Disciplina]]</f>
        <v>Ordem 2</v>
      </c>
    </row>
    <row r="630" spans="1:129" ht="34.15" customHeight="1">
      <c r="A630" s="1">
        <v>630</v>
      </c>
      <c r="B630" s="2">
        <v>46119.4944791667</v>
      </c>
      <c r="C630" s="2">
        <v>46119.503611111097</v>
      </c>
      <c r="D630" s="3" t="s">
        <v>1214</v>
      </c>
      <c r="E630" s="3" t="s">
        <v>1215</v>
      </c>
      <c r="G630" s="3"/>
      <c r="I630" s="3" t="s">
        <v>1216</v>
      </c>
      <c r="K630" s="3"/>
      <c r="L630" s="1" t="s">
        <v>678</v>
      </c>
      <c r="O630" s="3" t="s">
        <v>133</v>
      </c>
      <c r="Q630" s="3"/>
      <c r="R630" s="3"/>
      <c r="T630" s="3"/>
      <c r="U630" s="5"/>
      <c r="W630" s="3"/>
      <c r="Z630" s="3"/>
      <c r="AA630" s="3"/>
      <c r="AC630" s="3"/>
      <c r="AD630" s="3"/>
      <c r="AF630" s="3"/>
      <c r="AG630" s="3"/>
      <c r="AI630" s="3"/>
      <c r="AJ630" s="1"/>
      <c r="AL630" s="3"/>
      <c r="AO630" s="3"/>
      <c r="AP630" s="3"/>
      <c r="AR630" s="3"/>
      <c r="AS630" s="3"/>
      <c r="AU630" s="3"/>
      <c r="AV630" s="3" t="s">
        <v>1148</v>
      </c>
      <c r="AX630" s="3"/>
      <c r="AY630" s="5">
        <v>46101</v>
      </c>
      <c r="BA630" s="3"/>
      <c r="BB630" s="1">
        <v>5</v>
      </c>
      <c r="BD630" s="3"/>
      <c r="BE630" s="3" t="s">
        <v>1872</v>
      </c>
      <c r="BG630" s="3"/>
      <c r="BH630" s="3" t="s">
        <v>1873</v>
      </c>
      <c r="BJ630" s="3"/>
      <c r="BK630" s="3"/>
      <c r="BM630" s="3"/>
      <c r="BN630" s="5"/>
      <c r="BP630" s="3"/>
      <c r="BS630" s="3"/>
      <c r="BT630" s="3"/>
      <c r="BV630" s="3"/>
      <c r="BW630" s="3"/>
      <c r="BY630" s="3"/>
      <c r="BZ630" s="3"/>
      <c r="CB630" s="3"/>
      <c r="CC630" s="5"/>
      <c r="CE630" s="3"/>
      <c r="CH630" s="3"/>
      <c r="CI630" s="3"/>
      <c r="CK630" s="3"/>
      <c r="CL630" s="3"/>
      <c r="CN630" s="3"/>
      <c r="CO630" s="3"/>
      <c r="CQ630" s="3"/>
      <c r="CR630" s="5"/>
      <c r="CT630" s="3"/>
      <c r="CW630" s="3"/>
      <c r="CX630" s="3"/>
      <c r="CZ630" s="3"/>
      <c r="DA630" s="3"/>
      <c r="DC630" s="3"/>
      <c r="DD630" s="3"/>
      <c r="DF630" s="3"/>
      <c r="DG630" s="5"/>
      <c r="DI630" s="3"/>
      <c r="DL630" s="3"/>
      <c r="DM630" s="3"/>
      <c r="DO630" s="3"/>
      <c r="DP630" s="3"/>
      <c r="DR630" s="3"/>
      <c r="DS630" s="1" t="str">
        <f>_xlfn.XLOOKUP(OfficeForms.Table[[#This Row],[Selecione a Categoria do Laboratório desta atividade prática:]],Planilha1!A:A,Planilha1!B:B)</f>
        <v>BFI</v>
      </c>
      <c r="DT630" s="1" t="str">
        <f>CONCATENATE(OfficeForms.Table[[#This Row],[Selecione seu Polo Laboratório de Atividades Presenciais:]],OfficeForms.Table[[#This Row],[CHAVE CONVERSÃO]])</f>
        <v>Canindé/CEBFI</v>
      </c>
      <c r="DU63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Prático da Biomecânica Articular e Muscular no Movimento Funcional Humano</v>
      </c>
      <c r="DV63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46101</v>
      </c>
      <c r="DW63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630" s="1" t="str">
        <f>_xlfn.XLOOKUP(OfficeForms.Table[[#This Row],[CHAVE LINK POLO]],'[1]Quadro Geral de Lotação'!$B:$B,'[1]Quadro Geral de Lotação'!$I:$I)</f>
        <v>Antonio Elinardo Abreu Sales</v>
      </c>
      <c r="DY630" s="1" t="str">
        <f>OfficeForms.Table[[#This Row],[Selecione a Ordem de Disciplina]]</f>
        <v>Ordem 2</v>
      </c>
    </row>
    <row r="631" spans="1:129" ht="34.15" customHeight="1">
      <c r="A631" s="1">
        <v>631</v>
      </c>
      <c r="B631" s="2">
        <v>46119.514178240701</v>
      </c>
      <c r="C631" s="2">
        <v>46119.5162962963</v>
      </c>
      <c r="D631" s="3" t="s">
        <v>1214</v>
      </c>
      <c r="E631" s="3" t="s">
        <v>1215</v>
      </c>
      <c r="G631" s="3"/>
      <c r="I631" s="3" t="s">
        <v>1216</v>
      </c>
      <c r="K631" s="3"/>
      <c r="L631" s="1" t="s">
        <v>132</v>
      </c>
      <c r="O631" s="3" t="s">
        <v>133</v>
      </c>
      <c r="Q631" s="3"/>
      <c r="R631" s="3"/>
      <c r="T631" s="3"/>
      <c r="U631" s="5"/>
      <c r="W631" s="3"/>
      <c r="Z631" s="3"/>
      <c r="AA631" s="3"/>
      <c r="AC631" s="3"/>
      <c r="AD631" s="3"/>
      <c r="AF631" s="3"/>
      <c r="AG631" s="3"/>
      <c r="AI631" s="3"/>
      <c r="AJ631" s="1"/>
      <c r="AL631" s="3"/>
      <c r="AO631" s="3"/>
      <c r="AP631" s="3"/>
      <c r="AR631" s="3"/>
      <c r="AS631" s="3"/>
      <c r="AU631" s="3"/>
      <c r="AV631" s="3" t="s">
        <v>1874</v>
      </c>
      <c r="AX631" s="3"/>
      <c r="AY631" s="5">
        <v>46101</v>
      </c>
      <c r="BA631" s="3"/>
      <c r="BB631" s="1">
        <v>4</v>
      </c>
      <c r="BD631" s="3"/>
      <c r="BE631" s="3" t="s">
        <v>1875</v>
      </c>
      <c r="BG631" s="3"/>
      <c r="BH631" s="3" t="s">
        <v>1876</v>
      </c>
      <c r="BJ631" s="3"/>
      <c r="BK631" s="3"/>
      <c r="BM631" s="3"/>
      <c r="BN631" s="5"/>
      <c r="BP631" s="3"/>
      <c r="BS631" s="3"/>
      <c r="BT631" s="3"/>
      <c r="BV631" s="3"/>
      <c r="BW631" s="3"/>
      <c r="BY631" s="3"/>
      <c r="BZ631" s="3"/>
      <c r="CB631" s="3"/>
      <c r="CC631" s="5"/>
      <c r="CE631" s="3"/>
      <c r="CH631" s="3"/>
      <c r="CI631" s="3"/>
      <c r="CK631" s="3"/>
      <c r="CL631" s="3"/>
      <c r="CN631" s="3"/>
      <c r="CO631" s="3"/>
      <c r="CQ631" s="3"/>
      <c r="CR631" s="5"/>
      <c r="CT631" s="3"/>
      <c r="CW631" s="3"/>
      <c r="CX631" s="3"/>
      <c r="CZ631" s="3"/>
      <c r="DA631" s="3"/>
      <c r="DC631" s="3"/>
      <c r="DD631" s="3"/>
      <c r="DF631" s="3"/>
      <c r="DG631" s="5"/>
      <c r="DI631" s="3"/>
      <c r="DL631" s="3"/>
      <c r="DM631" s="3"/>
      <c r="DO631" s="3"/>
      <c r="DP631" s="3"/>
      <c r="DR631" s="3"/>
      <c r="DS631" s="1" t="str">
        <f>_xlfn.XLOOKUP(OfficeForms.Table[[#This Row],[Selecione a Categoria do Laboratório desta atividade prática:]],Planilha1!A:A,Planilha1!B:B)</f>
        <v>BFI</v>
      </c>
      <c r="DT631" s="1" t="str">
        <f>CONCATENATE(OfficeForms.Table[[#This Row],[Selecione seu Polo Laboratório de Atividades Presenciais:]],OfficeForms.Table[[#This Row],[CHAVE CONVERSÃO]])</f>
        <v>Canindé/CEBFI</v>
      </c>
      <c r="DU63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Mobilização Articular: Abordagens Terapêuticas em Recursos Manuais;Movimento Articular e Goniometria: Avaliação Quantitativa na Prática Fisioterapêutica</v>
      </c>
      <c r="DV63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46101</v>
      </c>
      <c r="DW63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631" s="1" t="str">
        <f>_xlfn.XLOOKUP(OfficeForms.Table[[#This Row],[CHAVE LINK POLO]],'[1]Quadro Geral de Lotação'!$B:$B,'[1]Quadro Geral de Lotação'!$I:$I)</f>
        <v>Antonio Elinardo Abreu Sales</v>
      </c>
      <c r="DY631" s="1" t="str">
        <f>OfficeForms.Table[[#This Row],[Selecione a Ordem de Disciplina]]</f>
        <v>Ordem 1</v>
      </c>
    </row>
    <row r="632" spans="1:129" ht="34.15" customHeight="1">
      <c r="A632" s="1">
        <v>632</v>
      </c>
      <c r="B632" s="2">
        <v>46119.531192129602</v>
      </c>
      <c r="C632" s="2">
        <v>46119.532476851797</v>
      </c>
      <c r="D632" s="3" t="s">
        <v>1214</v>
      </c>
      <c r="E632" s="3" t="s">
        <v>1215</v>
      </c>
      <c r="G632" s="3"/>
      <c r="I632" s="3" t="s">
        <v>1216</v>
      </c>
      <c r="K632" s="3"/>
      <c r="L632" s="1" t="s">
        <v>678</v>
      </c>
      <c r="O632" s="3" t="s">
        <v>133</v>
      </c>
      <c r="Q632" s="3"/>
      <c r="R632" s="3"/>
      <c r="T632" s="3"/>
      <c r="U632" s="5"/>
      <c r="W632" s="3"/>
      <c r="Z632" s="3"/>
      <c r="AA632" s="3"/>
      <c r="AC632" s="3"/>
      <c r="AD632" s="3"/>
      <c r="AF632" s="3"/>
      <c r="AG632" s="3"/>
      <c r="AI632" s="3"/>
      <c r="AJ632" s="1"/>
      <c r="AL632" s="3"/>
      <c r="AO632" s="3"/>
      <c r="AP632" s="3"/>
      <c r="AR632" s="3"/>
      <c r="AS632" s="3"/>
      <c r="AU632" s="3"/>
      <c r="AV632" s="3" t="s">
        <v>1145</v>
      </c>
      <c r="AX632" s="3"/>
      <c r="AY632" s="5">
        <v>46108</v>
      </c>
      <c r="BA632" s="3"/>
      <c r="BB632" s="1">
        <v>7</v>
      </c>
      <c r="BD632" s="3"/>
      <c r="BE632" s="3" t="s">
        <v>1877</v>
      </c>
      <c r="BG632" s="3"/>
      <c r="BH632" s="3" t="s">
        <v>1878</v>
      </c>
      <c r="BJ632" s="3"/>
      <c r="BK632" s="3"/>
      <c r="BM632" s="3"/>
      <c r="BN632" s="5"/>
      <c r="BP632" s="3"/>
      <c r="BS632" s="3"/>
      <c r="BT632" s="3"/>
      <c r="BV632" s="3"/>
      <c r="BW632" s="3"/>
      <c r="BY632" s="3"/>
      <c r="BZ632" s="3"/>
      <c r="CB632" s="3"/>
      <c r="CC632" s="5"/>
      <c r="CE632" s="3"/>
      <c r="CH632" s="3"/>
      <c r="CI632" s="3"/>
      <c r="CK632" s="3"/>
      <c r="CL632" s="3"/>
      <c r="CN632" s="3"/>
      <c r="CO632" s="3"/>
      <c r="CQ632" s="3"/>
      <c r="CR632" s="5"/>
      <c r="CT632" s="3"/>
      <c r="CW632" s="3"/>
      <c r="CX632" s="3"/>
      <c r="CZ632" s="3"/>
      <c r="DA632" s="3"/>
      <c r="DC632" s="3"/>
      <c r="DD632" s="3"/>
      <c r="DF632" s="3"/>
      <c r="DG632" s="5"/>
      <c r="DI632" s="3"/>
      <c r="DL632" s="3"/>
      <c r="DM632" s="3"/>
      <c r="DO632" s="3"/>
      <c r="DP632" s="3"/>
      <c r="DR632" s="3"/>
      <c r="DS632" s="1" t="str">
        <f>_xlfn.XLOOKUP(OfficeForms.Table[[#This Row],[Selecione a Categoria do Laboratório desta atividade prática:]],Planilha1!A:A,Planilha1!B:B)</f>
        <v>BFI</v>
      </c>
      <c r="DT632" s="1" t="str">
        <f>CONCATENATE(OfficeForms.Table[[#This Row],[Selecione seu Polo Laboratório de Atividades Presenciais:]],OfficeForms.Table[[#This Row],[CHAVE CONVERSÃO]])</f>
        <v>Canindé/CEBFI</v>
      </c>
      <c r="DU63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Revisão de Anatomorfofisiologia</v>
      </c>
      <c r="DV63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46108</v>
      </c>
      <c r="DW63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632" s="1" t="str">
        <f>_xlfn.XLOOKUP(OfficeForms.Table[[#This Row],[CHAVE LINK POLO]],'[1]Quadro Geral de Lotação'!$B:$B,'[1]Quadro Geral de Lotação'!$I:$I)</f>
        <v>Antonio Elinardo Abreu Sales</v>
      </c>
      <c r="DY632" s="1" t="str">
        <f>OfficeForms.Table[[#This Row],[Selecione a Ordem de Disciplina]]</f>
        <v>Ordem 2</v>
      </c>
    </row>
    <row r="633" spans="1:129" ht="34.15" customHeight="1">
      <c r="A633" s="1">
        <v>633</v>
      </c>
      <c r="B633" s="2">
        <v>46119.536493055602</v>
      </c>
      <c r="C633" s="2">
        <v>46119.537928240701</v>
      </c>
      <c r="D633" s="3" t="s">
        <v>1214</v>
      </c>
      <c r="E633" s="3" t="s">
        <v>1215</v>
      </c>
      <c r="G633" s="3"/>
      <c r="I633" s="3" t="s">
        <v>1216</v>
      </c>
      <c r="K633" s="3"/>
      <c r="L633" s="1" t="s">
        <v>678</v>
      </c>
      <c r="O633" s="3" t="s">
        <v>133</v>
      </c>
      <c r="Q633" s="3"/>
      <c r="R633" s="3"/>
      <c r="T633" s="3"/>
      <c r="U633" s="5"/>
      <c r="W633" s="3"/>
      <c r="Z633" s="3"/>
      <c r="AA633" s="3"/>
      <c r="AC633" s="3"/>
      <c r="AD633" s="3"/>
      <c r="AF633" s="3"/>
      <c r="AG633" s="3"/>
      <c r="AI633" s="3"/>
      <c r="AJ633" s="1"/>
      <c r="AL633" s="3"/>
      <c r="AO633" s="3"/>
      <c r="AP633" s="3"/>
      <c r="AR633" s="3"/>
      <c r="AS633" s="3"/>
      <c r="AU633" s="3"/>
      <c r="AV633" s="3" t="s">
        <v>1657</v>
      </c>
      <c r="AX633" s="3"/>
      <c r="AY633" s="5">
        <v>46108</v>
      </c>
      <c r="BA633" s="3"/>
      <c r="BB633" s="1">
        <v>7</v>
      </c>
      <c r="BD633" s="3"/>
      <c r="BE633" s="3" t="s">
        <v>1879</v>
      </c>
      <c r="BG633" s="3"/>
      <c r="BH633" s="3" t="s">
        <v>1880</v>
      </c>
      <c r="BJ633" s="3"/>
      <c r="BK633" s="3"/>
      <c r="BM633" s="3"/>
      <c r="BN633" s="5"/>
      <c r="BP633" s="3"/>
      <c r="BS633" s="3"/>
      <c r="BT633" s="3"/>
      <c r="BV633" s="3"/>
      <c r="BW633" s="3"/>
      <c r="BY633" s="3"/>
      <c r="BZ633" s="3"/>
      <c r="CB633" s="3"/>
      <c r="CC633" s="5"/>
      <c r="CE633" s="3"/>
      <c r="CH633" s="3"/>
      <c r="CI633" s="3"/>
      <c r="CK633" s="3"/>
      <c r="CL633" s="3"/>
      <c r="CN633" s="3"/>
      <c r="CO633" s="3"/>
      <c r="CQ633" s="3"/>
      <c r="CR633" s="5"/>
      <c r="CT633" s="3"/>
      <c r="CW633" s="3"/>
      <c r="CX633" s="3"/>
      <c r="CZ633" s="3"/>
      <c r="DA633" s="3"/>
      <c r="DC633" s="3"/>
      <c r="DD633" s="3"/>
      <c r="DF633" s="3"/>
      <c r="DG633" s="5"/>
      <c r="DI633" s="3"/>
      <c r="DL633" s="3"/>
      <c r="DM633" s="3"/>
      <c r="DO633" s="3"/>
      <c r="DP633" s="3"/>
      <c r="DR633" s="3"/>
      <c r="DS633" s="1" t="str">
        <f>_xlfn.XLOOKUP(OfficeForms.Table[[#This Row],[Selecione a Categoria do Laboratório desta atividade prática:]],Planilha1!A:A,Planilha1!B:B)</f>
        <v>BFI</v>
      </c>
      <c r="DT633" s="1" t="str">
        <f>CONCATENATE(OfficeForms.Table[[#This Row],[Selecione seu Polo Laboratório de Atividades Presenciais:]],OfficeForms.Table[[#This Row],[CHAVE CONVERSÃO]])</f>
        <v>Canindé/CEBFI</v>
      </c>
      <c r="DU63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Cinesioterapia Aplicada ao Fortalecimento Muscular: Prática de Exercícios</v>
      </c>
      <c r="DV63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46108</v>
      </c>
      <c r="DW63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633" s="1" t="str">
        <f>_xlfn.XLOOKUP(OfficeForms.Table[[#This Row],[CHAVE LINK POLO]],'[1]Quadro Geral de Lotação'!$B:$B,'[1]Quadro Geral de Lotação'!$I:$I)</f>
        <v>Antonio Elinardo Abreu Sales</v>
      </c>
      <c r="DY633" s="1" t="str">
        <f>OfficeForms.Table[[#This Row],[Selecione a Ordem de Disciplina]]</f>
        <v>Ordem 2</v>
      </c>
    </row>
    <row r="634" spans="1:129" ht="34.15" customHeight="1">
      <c r="A634" s="1">
        <v>634</v>
      </c>
      <c r="B634" s="2">
        <v>46119.551284722198</v>
      </c>
      <c r="C634" s="2">
        <v>46119.552534722199</v>
      </c>
      <c r="D634" s="3" t="s">
        <v>1214</v>
      </c>
      <c r="E634" s="3" t="s">
        <v>1215</v>
      </c>
      <c r="G634" s="3"/>
      <c r="I634" s="3" t="s">
        <v>1216</v>
      </c>
      <c r="K634" s="3"/>
      <c r="L634" s="1" t="s">
        <v>132</v>
      </c>
      <c r="O634" s="3" t="s">
        <v>133</v>
      </c>
      <c r="Q634" s="3"/>
      <c r="R634" s="3"/>
      <c r="T634" s="3"/>
      <c r="U634" s="5"/>
      <c r="W634" s="3"/>
      <c r="Z634" s="3"/>
      <c r="AA634" s="3"/>
      <c r="AC634" s="3"/>
      <c r="AD634" s="3"/>
      <c r="AF634" s="3"/>
      <c r="AG634" s="3"/>
      <c r="AI634" s="3"/>
      <c r="AJ634" s="1"/>
      <c r="AL634" s="3"/>
      <c r="AO634" s="3"/>
      <c r="AP634" s="3"/>
      <c r="AR634" s="3"/>
      <c r="AS634" s="3"/>
      <c r="AU634" s="3"/>
      <c r="AV634" s="3" t="s">
        <v>330</v>
      </c>
      <c r="AX634" s="3"/>
      <c r="AY634" s="5">
        <v>46073</v>
      </c>
      <c r="BA634" s="3"/>
      <c r="BB634" s="1">
        <v>1</v>
      </c>
      <c r="BD634" s="3"/>
      <c r="BE634" s="3" t="s">
        <v>1881</v>
      </c>
      <c r="BG634" s="3"/>
      <c r="BH634" s="3" t="s">
        <v>1882</v>
      </c>
      <c r="BJ634" s="3"/>
      <c r="BK634" s="3"/>
      <c r="BM634" s="3"/>
      <c r="BN634" s="5"/>
      <c r="BP634" s="3"/>
      <c r="BS634" s="3"/>
      <c r="BT634" s="3"/>
      <c r="BV634" s="3"/>
      <c r="BW634" s="3"/>
      <c r="BY634" s="3"/>
      <c r="BZ634" s="3"/>
      <c r="CB634" s="3"/>
      <c r="CC634" s="5"/>
      <c r="CE634" s="3"/>
      <c r="CH634" s="3"/>
      <c r="CI634" s="3"/>
      <c r="CK634" s="3"/>
      <c r="CL634" s="3"/>
      <c r="CN634" s="3"/>
      <c r="CO634" s="3"/>
      <c r="CQ634" s="3"/>
      <c r="CR634" s="5"/>
      <c r="CT634" s="3"/>
      <c r="CW634" s="3"/>
      <c r="CX634" s="3"/>
      <c r="CZ634" s="3"/>
      <c r="DA634" s="3"/>
      <c r="DC634" s="3"/>
      <c r="DD634" s="3"/>
      <c r="DF634" s="3"/>
      <c r="DG634" s="5"/>
      <c r="DI634" s="3"/>
      <c r="DL634" s="3"/>
      <c r="DM634" s="3"/>
      <c r="DO634" s="3"/>
      <c r="DP634" s="3"/>
      <c r="DR634" s="3"/>
      <c r="DS634" s="1" t="str">
        <f>_xlfn.XLOOKUP(OfficeForms.Table[[#This Row],[Selecione a Categoria do Laboratório desta atividade prática:]],Planilha1!A:A,Planilha1!B:B)</f>
        <v>BFI</v>
      </c>
      <c r="DT634" s="1" t="str">
        <f>CONCATENATE(OfficeForms.Table[[#This Row],[Selecione seu Polo Laboratório de Atividades Presenciais:]],OfficeForms.Table[[#This Row],[CHAVE CONVERSÃO]])</f>
        <v>Canindé/CEBFI</v>
      </c>
      <c r="DU63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Reabilitação Funcional dos Membros Superiores: Prática em Fisioterapia Traumato-Ortopédica</v>
      </c>
      <c r="DV63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46073</v>
      </c>
      <c r="DW63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34" s="1" t="str">
        <f>_xlfn.XLOOKUP(OfficeForms.Table[[#This Row],[CHAVE LINK POLO]],'[1]Quadro Geral de Lotação'!$B:$B,'[1]Quadro Geral de Lotação'!$I:$I)</f>
        <v>Antonio Elinardo Abreu Sales</v>
      </c>
      <c r="DY634" s="1" t="str">
        <f>OfficeForms.Table[[#This Row],[Selecione a Ordem de Disciplina]]</f>
        <v>Ordem 1</v>
      </c>
    </row>
    <row r="635" spans="1:129" ht="34.15" customHeight="1">
      <c r="A635" s="1">
        <v>635</v>
      </c>
      <c r="B635" s="2">
        <v>46119.555717592601</v>
      </c>
      <c r="C635" s="2">
        <v>46119.556851851899</v>
      </c>
      <c r="D635" s="3" t="s">
        <v>1214</v>
      </c>
      <c r="E635" s="3" t="s">
        <v>1215</v>
      </c>
      <c r="G635" s="3"/>
      <c r="I635" s="3" t="s">
        <v>1216</v>
      </c>
      <c r="K635" s="3"/>
      <c r="L635" s="1" t="s">
        <v>132</v>
      </c>
      <c r="O635" s="3" t="s">
        <v>133</v>
      </c>
      <c r="Q635" s="3"/>
      <c r="R635" s="3"/>
      <c r="T635" s="3"/>
      <c r="U635" s="5"/>
      <c r="W635" s="3"/>
      <c r="Z635" s="3"/>
      <c r="AA635" s="3"/>
      <c r="AC635" s="3"/>
      <c r="AD635" s="3"/>
      <c r="AF635" s="3"/>
      <c r="AG635" s="3"/>
      <c r="AI635" s="3"/>
      <c r="AJ635" s="1"/>
      <c r="AL635" s="3"/>
      <c r="AO635" s="3"/>
      <c r="AP635" s="3"/>
      <c r="AR635" s="3"/>
      <c r="AS635" s="3"/>
      <c r="AU635" s="3"/>
      <c r="AV635" s="3" t="s">
        <v>781</v>
      </c>
      <c r="AX635" s="3"/>
      <c r="AY635" s="5">
        <v>46073</v>
      </c>
      <c r="BA635" s="3"/>
      <c r="BB635" s="1">
        <v>1</v>
      </c>
      <c r="BD635" s="3"/>
      <c r="BE635" s="3" t="s">
        <v>1883</v>
      </c>
      <c r="BG635" s="3"/>
      <c r="BH635" s="3" t="s">
        <v>1884</v>
      </c>
      <c r="BJ635" s="3"/>
      <c r="BK635" s="3"/>
      <c r="BM635" s="3"/>
      <c r="BN635" s="5"/>
      <c r="BP635" s="3"/>
      <c r="BS635" s="3"/>
      <c r="BT635" s="3"/>
      <c r="BV635" s="3"/>
      <c r="BW635" s="3"/>
      <c r="BY635" s="3"/>
      <c r="BZ635" s="3"/>
      <c r="CB635" s="3"/>
      <c r="CC635" s="5"/>
      <c r="CE635" s="3"/>
      <c r="CH635" s="3"/>
      <c r="CI635" s="3"/>
      <c r="CK635" s="3"/>
      <c r="CL635" s="3"/>
      <c r="CN635" s="3"/>
      <c r="CO635" s="3"/>
      <c r="CQ635" s="3"/>
      <c r="CR635" s="5"/>
      <c r="CT635" s="3"/>
      <c r="CW635" s="3"/>
      <c r="CX635" s="3"/>
      <c r="CZ635" s="3"/>
      <c r="DA635" s="3"/>
      <c r="DC635" s="3"/>
      <c r="DD635" s="3"/>
      <c r="DF635" s="3"/>
      <c r="DG635" s="5"/>
      <c r="DI635" s="3"/>
      <c r="DL635" s="3"/>
      <c r="DM635" s="3"/>
      <c r="DO635" s="3"/>
      <c r="DP635" s="3"/>
      <c r="DR635" s="3"/>
      <c r="DS635" s="1" t="str">
        <f>_xlfn.XLOOKUP(OfficeForms.Table[[#This Row],[Selecione a Categoria do Laboratório desta atividade prática:]],Planilha1!A:A,Planilha1!B:B)</f>
        <v>BFI</v>
      </c>
      <c r="DT635" s="1" t="str">
        <f>CONCATENATE(OfficeForms.Table[[#This Row],[Selecione seu Polo Laboratório de Atividades Presenciais:]],OfficeForms.Table[[#This Row],[CHAVE CONVERSÃO]])</f>
        <v>Canindé/CEBFI</v>
      </c>
      <c r="DU63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Terapêutica com Órteses: Abordagens Funcionais na Reabilitação Musculoesquelética</v>
      </c>
      <c r="DV63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46073</v>
      </c>
      <c r="DW63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35" s="1" t="str">
        <f>_xlfn.XLOOKUP(OfficeForms.Table[[#This Row],[CHAVE LINK POLO]],'[1]Quadro Geral de Lotação'!$B:$B,'[1]Quadro Geral de Lotação'!$I:$I)</f>
        <v>Antonio Elinardo Abreu Sales</v>
      </c>
      <c r="DY635" s="1" t="str">
        <f>OfficeForms.Table[[#This Row],[Selecione a Ordem de Disciplina]]</f>
        <v>Ordem 1</v>
      </c>
    </row>
    <row r="636" spans="1:129" ht="34.15" customHeight="1">
      <c r="A636" s="1">
        <v>636</v>
      </c>
      <c r="B636" s="2">
        <v>46119.578275462998</v>
      </c>
      <c r="C636" s="2">
        <v>46119.583402777796</v>
      </c>
      <c r="D636" s="3" t="s">
        <v>1151</v>
      </c>
      <c r="E636" s="3" t="s">
        <v>1152</v>
      </c>
      <c r="G636" s="3"/>
      <c r="I636" s="3" t="s">
        <v>1153</v>
      </c>
      <c r="K636" s="3"/>
      <c r="L636" s="1" t="s">
        <v>678</v>
      </c>
      <c r="O636" s="3" t="s">
        <v>177</v>
      </c>
      <c r="Q636" s="3"/>
      <c r="R636" s="3"/>
      <c r="T636" s="3"/>
      <c r="U636" s="5"/>
      <c r="W636" s="3"/>
      <c r="Z636" s="3"/>
      <c r="AA636" s="3"/>
      <c r="AC636" s="3"/>
      <c r="AD636" s="3"/>
      <c r="AF636" s="3"/>
      <c r="AG636" s="3"/>
      <c r="AI636" s="3"/>
      <c r="AJ636" s="1"/>
      <c r="AL636" s="3"/>
      <c r="AO636" s="3"/>
      <c r="AP636" s="3"/>
      <c r="AR636" s="3"/>
      <c r="AS636" s="3"/>
      <c r="AU636" s="3"/>
      <c r="AV636" s="3"/>
      <c r="AX636" s="3"/>
      <c r="AY636" s="5"/>
      <c r="BA636" s="3"/>
      <c r="BD636" s="3"/>
      <c r="BE636" s="3"/>
      <c r="BG636" s="3"/>
      <c r="BH636" s="3"/>
      <c r="BJ636" s="3"/>
      <c r="BK636" s="3"/>
      <c r="BM636" s="3"/>
      <c r="BN636" s="5"/>
      <c r="BP636" s="3"/>
      <c r="BS636" s="3"/>
      <c r="BT636" s="3"/>
      <c r="BV636" s="3"/>
      <c r="BW636" s="3"/>
      <c r="BY636" s="3"/>
      <c r="BZ636" s="3"/>
      <c r="CB636" s="3"/>
      <c r="CC636" s="5"/>
      <c r="CE636" s="3"/>
      <c r="CH636" s="3"/>
      <c r="CI636" s="3"/>
      <c r="CK636" s="3"/>
      <c r="CL636" s="3"/>
      <c r="CN636" s="3"/>
      <c r="CO636" s="3"/>
      <c r="CQ636" s="3"/>
      <c r="CR636" s="5"/>
      <c r="CT636" s="3"/>
      <c r="CW636" s="3"/>
      <c r="CX636" s="3"/>
      <c r="CZ636" s="3"/>
      <c r="DA636" s="3"/>
      <c r="DC636" s="3"/>
      <c r="DD636" s="3" t="s">
        <v>1885</v>
      </c>
      <c r="DF636" s="3"/>
      <c r="DG636" s="5">
        <v>46106</v>
      </c>
      <c r="DI636" s="3"/>
      <c r="DJ636" s="1">
        <v>3</v>
      </c>
      <c r="DL636" s="3"/>
      <c r="DM636" s="3" t="s">
        <v>1886</v>
      </c>
      <c r="DO636" s="3"/>
      <c r="DP636" s="3" t="s">
        <v>1887</v>
      </c>
      <c r="DR636" s="3"/>
      <c r="DS636" s="1" t="str">
        <f>_xlfn.XLOOKUP(OfficeForms.Table[[#This Row],[Selecione a Categoria do Laboratório desta atividade prática:]],Planilha1!A:A,Planilha1!B:B)</f>
        <v>AGM</v>
      </c>
      <c r="DT636" s="1" t="str">
        <f>CONCATENATE(OfficeForms.Table[[#This Row],[Selecione seu Polo Laboratório de Atividades Presenciais:]],OfficeForms.Table[[#This Row],[CHAVE CONVERSÃO]])</f>
        <v>Formosa/GOAGM</v>
      </c>
      <c r="DU63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de Extração e Purificação de DNA, Fundamentos, Etapas e Aplicações em Biotecnologia Agrícola</v>
      </c>
      <c r="DV63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63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36" s="1" t="str">
        <f>_xlfn.XLOOKUP(OfficeForms.Table[[#This Row],[CHAVE LINK POLO]],'[1]Quadro Geral de Lotação'!$B:$B,'[1]Quadro Geral de Lotação'!$I:$I)</f>
        <v>Thecica Layme De Sousa Santos</v>
      </c>
      <c r="DY636" s="1" t="str">
        <f>OfficeForms.Table[[#This Row],[Selecione a Ordem de Disciplina]]</f>
        <v>Ordem 2</v>
      </c>
    </row>
    <row r="637" spans="1:129" ht="34.15" customHeight="1">
      <c r="A637" s="1">
        <v>637</v>
      </c>
      <c r="B637" s="2">
        <v>46119.5922222222</v>
      </c>
      <c r="C637" s="2">
        <v>46119.595092592601</v>
      </c>
      <c r="D637" s="3" t="s">
        <v>1151</v>
      </c>
      <c r="E637" s="3" t="s">
        <v>1152</v>
      </c>
      <c r="G637" s="3"/>
      <c r="I637" s="3" t="s">
        <v>1153</v>
      </c>
      <c r="K637" s="3"/>
      <c r="L637" s="1" t="s">
        <v>678</v>
      </c>
      <c r="O637" s="3" t="s">
        <v>177</v>
      </c>
      <c r="Q637" s="3"/>
      <c r="R637" s="3"/>
      <c r="T637" s="3"/>
      <c r="U637" s="5"/>
      <c r="W637" s="3"/>
      <c r="Z637" s="3"/>
      <c r="AA637" s="3"/>
      <c r="AC637" s="3"/>
      <c r="AD637" s="3"/>
      <c r="AF637" s="3"/>
      <c r="AG637" s="3"/>
      <c r="AI637" s="3"/>
      <c r="AJ637" s="1"/>
      <c r="AL637" s="3"/>
      <c r="AO637" s="3"/>
      <c r="AP637" s="3"/>
      <c r="AR637" s="3"/>
      <c r="AS637" s="3"/>
      <c r="AU637" s="3"/>
      <c r="AV637" s="3"/>
      <c r="AX637" s="3"/>
      <c r="AY637" s="5"/>
      <c r="BA637" s="3"/>
      <c r="BD637" s="3"/>
      <c r="BE637" s="3"/>
      <c r="BG637" s="3"/>
      <c r="BH637" s="3"/>
      <c r="BJ637" s="3"/>
      <c r="BK637" s="3"/>
      <c r="BM637" s="3"/>
      <c r="BN637" s="5"/>
      <c r="BP637" s="3"/>
      <c r="BS637" s="3"/>
      <c r="BT637" s="3"/>
      <c r="BV637" s="3"/>
      <c r="BW637" s="3"/>
      <c r="BY637" s="3"/>
      <c r="BZ637" s="3"/>
      <c r="CB637" s="3"/>
      <c r="CC637" s="5"/>
      <c r="CE637" s="3"/>
      <c r="CH637" s="3"/>
      <c r="CI637" s="3"/>
      <c r="CK637" s="3"/>
      <c r="CL637" s="3"/>
      <c r="CN637" s="3"/>
      <c r="CO637" s="3"/>
      <c r="CQ637" s="3"/>
      <c r="CR637" s="5"/>
      <c r="CT637" s="3"/>
      <c r="CW637" s="3"/>
      <c r="CX637" s="3"/>
      <c r="CZ637" s="3"/>
      <c r="DA637" s="3"/>
      <c r="DC637" s="3"/>
      <c r="DD637" s="3" t="s">
        <v>178</v>
      </c>
      <c r="DF637" s="3"/>
      <c r="DG637" s="5">
        <v>46113</v>
      </c>
      <c r="DI637" s="3"/>
      <c r="DJ637" s="1">
        <v>12</v>
      </c>
      <c r="DL637" s="3"/>
      <c r="DM637" s="3" t="s">
        <v>1888</v>
      </c>
      <c r="DO637" s="3"/>
      <c r="DP637" s="3" t="s">
        <v>1889</v>
      </c>
      <c r="DR637" s="3"/>
      <c r="DS637" s="1" t="str">
        <f>_xlfn.XLOOKUP(OfficeForms.Table[[#This Row],[Selecione a Categoria do Laboratório desta atividade prática:]],Planilha1!A:A,Planilha1!B:B)</f>
        <v>AGM</v>
      </c>
      <c r="DT637" s="1" t="str">
        <f>CONCATENATE(OfficeForms.Table[[#This Row],[Selecione seu Polo Laboratório de Atividades Presenciais:]],OfficeForms.Table[[#This Row],[CHAVE CONVERSÃO]])</f>
        <v>Formosa/GOAGM</v>
      </c>
      <c r="DU63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de propagação de plantas</v>
      </c>
      <c r="DV63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63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637" s="1" t="str">
        <f>_xlfn.XLOOKUP(OfficeForms.Table[[#This Row],[CHAVE LINK POLO]],'[1]Quadro Geral de Lotação'!$B:$B,'[1]Quadro Geral de Lotação'!$I:$I)</f>
        <v>Thecica Layme De Sousa Santos</v>
      </c>
      <c r="DY637" s="1" t="str">
        <f>OfficeForms.Table[[#This Row],[Selecione a Ordem de Disciplina]]</f>
        <v>Ordem 2</v>
      </c>
    </row>
    <row r="638" spans="1:129" ht="34.15" customHeight="1">
      <c r="A638" s="1">
        <v>638</v>
      </c>
      <c r="B638" s="2">
        <v>46119.595902777801</v>
      </c>
      <c r="C638" s="2">
        <v>46119.597453703696</v>
      </c>
      <c r="D638" s="3" t="s">
        <v>1214</v>
      </c>
      <c r="E638" s="3" t="s">
        <v>1215</v>
      </c>
      <c r="G638" s="3"/>
      <c r="I638" s="3" t="s">
        <v>1216</v>
      </c>
      <c r="K638" s="3"/>
      <c r="L638" s="1" t="s">
        <v>132</v>
      </c>
      <c r="O638" s="3" t="s">
        <v>133</v>
      </c>
      <c r="Q638" s="3"/>
      <c r="R638" s="3"/>
      <c r="T638" s="3"/>
      <c r="U638" s="5"/>
      <c r="W638" s="3"/>
      <c r="Z638" s="3"/>
      <c r="AA638" s="3"/>
      <c r="AC638" s="3"/>
      <c r="AD638" s="3"/>
      <c r="AF638" s="3"/>
      <c r="AG638" s="3"/>
      <c r="AI638" s="3"/>
      <c r="AJ638" s="1"/>
      <c r="AL638" s="3"/>
      <c r="AO638" s="3"/>
      <c r="AP638" s="3"/>
      <c r="AR638" s="3"/>
      <c r="AS638" s="3"/>
      <c r="AU638" s="3"/>
      <c r="AV638" s="3" t="s">
        <v>537</v>
      </c>
      <c r="AX638" s="3"/>
      <c r="AY638" s="5">
        <v>46087</v>
      </c>
      <c r="BA638" s="3"/>
      <c r="BB638" s="1">
        <v>5</v>
      </c>
      <c r="BD638" s="3"/>
      <c r="BE638" s="3" t="s">
        <v>1890</v>
      </c>
      <c r="BG638" s="3"/>
      <c r="BH638" s="3" t="s">
        <v>1891</v>
      </c>
      <c r="BJ638" s="3"/>
      <c r="BK638" s="3"/>
      <c r="BM638" s="3"/>
      <c r="BN638" s="5"/>
      <c r="BP638" s="3"/>
      <c r="BS638" s="3"/>
      <c r="BT638" s="3"/>
      <c r="BV638" s="3"/>
      <c r="BW638" s="3"/>
      <c r="BY638" s="3"/>
      <c r="BZ638" s="3"/>
      <c r="CB638" s="3"/>
      <c r="CC638" s="5"/>
      <c r="CE638" s="3"/>
      <c r="CH638" s="3"/>
      <c r="CI638" s="3"/>
      <c r="CK638" s="3"/>
      <c r="CL638" s="3"/>
      <c r="CN638" s="3"/>
      <c r="CO638" s="3"/>
      <c r="CQ638" s="3"/>
      <c r="CR638" s="5"/>
      <c r="CT638" s="3"/>
      <c r="CW638" s="3"/>
      <c r="CX638" s="3"/>
      <c r="CZ638" s="3"/>
      <c r="DA638" s="3"/>
      <c r="DC638" s="3"/>
      <c r="DD638" s="3"/>
      <c r="DF638" s="3"/>
      <c r="DG638" s="5"/>
      <c r="DI638" s="3"/>
      <c r="DL638" s="3"/>
      <c r="DM638" s="3"/>
      <c r="DO638" s="3"/>
      <c r="DP638" s="3"/>
      <c r="DR638" s="3"/>
      <c r="DS638" s="1" t="str">
        <f>_xlfn.XLOOKUP(OfficeForms.Table[[#This Row],[Selecione a Categoria do Laboratório desta atividade prática:]],Planilha1!A:A,Planilha1!B:B)</f>
        <v>BFI</v>
      </c>
      <c r="DT638" s="1" t="str">
        <f>CONCATENATE(OfficeForms.Table[[#This Row],[Selecione seu Polo Laboratório de Atividades Presenciais:]],OfficeForms.Table[[#This Row],[CHAVE CONVERSÃO]])</f>
        <v>Canindé/CEBFI</v>
      </c>
      <c r="DU63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Traumato-Ortopédica em Coluna Vertebral: Manejo de Disfunções Cervicais, Torácicas e Lombares</v>
      </c>
      <c r="DV63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63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638" s="1" t="str">
        <f>_xlfn.XLOOKUP(OfficeForms.Table[[#This Row],[CHAVE LINK POLO]],'[1]Quadro Geral de Lotação'!$B:$B,'[1]Quadro Geral de Lotação'!$I:$I)</f>
        <v>Antonio Elinardo Abreu Sales</v>
      </c>
      <c r="DY638" s="1" t="str">
        <f>OfficeForms.Table[[#This Row],[Selecione a Ordem de Disciplina]]</f>
        <v>Ordem 1</v>
      </c>
    </row>
    <row r="639" spans="1:129" ht="34.15" customHeight="1">
      <c r="A639" s="1">
        <v>639</v>
      </c>
      <c r="B639" s="2">
        <v>46119.611921296302</v>
      </c>
      <c r="C639" s="2">
        <v>46119.718090277798</v>
      </c>
      <c r="D639" s="3" t="s">
        <v>344</v>
      </c>
      <c r="E639" s="3" t="s">
        <v>345</v>
      </c>
      <c r="G639" s="3"/>
      <c r="I639" s="3" t="s">
        <v>346</v>
      </c>
      <c r="K639" s="3"/>
      <c r="L639" s="1" t="s">
        <v>678</v>
      </c>
      <c r="O639" s="3" t="s">
        <v>133</v>
      </c>
      <c r="Q639" s="3"/>
      <c r="R639" s="3"/>
      <c r="T639" s="3"/>
      <c r="U639" s="5"/>
      <c r="W639" s="3"/>
      <c r="Z639" s="3"/>
      <c r="AA639" s="3"/>
      <c r="AC639" s="3"/>
      <c r="AD639" s="3"/>
      <c r="AF639" s="3"/>
      <c r="AG639" s="3"/>
      <c r="AI639" s="3"/>
      <c r="AJ639" s="1"/>
      <c r="AL639" s="3"/>
      <c r="AO639" s="3"/>
      <c r="AP639" s="3"/>
      <c r="AR639" s="3"/>
      <c r="AS639" s="3"/>
      <c r="AU639" s="3"/>
      <c r="AV639" s="3" t="s">
        <v>1234</v>
      </c>
      <c r="AX639" s="3"/>
      <c r="AY639" s="5">
        <v>46111</v>
      </c>
      <c r="BA639" s="3"/>
      <c r="BB639" s="1">
        <v>4</v>
      </c>
      <c r="BD639" s="3"/>
      <c r="BE639" s="3" t="s">
        <v>1892</v>
      </c>
      <c r="BG639" s="3"/>
      <c r="BH639" s="3" t="s">
        <v>1893</v>
      </c>
      <c r="BJ639" s="3"/>
      <c r="BK639" s="3"/>
      <c r="BM639" s="3"/>
      <c r="BN639" s="5"/>
      <c r="BP639" s="3"/>
      <c r="BS639" s="3"/>
      <c r="BT639" s="3"/>
      <c r="BV639" s="3"/>
      <c r="BW639" s="3"/>
      <c r="BY639" s="3"/>
      <c r="BZ639" s="3"/>
      <c r="CB639" s="3"/>
      <c r="CC639" s="5"/>
      <c r="CE639" s="3"/>
      <c r="CH639" s="3"/>
      <c r="CI639" s="3"/>
      <c r="CK639" s="3"/>
      <c r="CL639" s="3"/>
      <c r="CN639" s="3"/>
      <c r="CO639" s="3"/>
      <c r="CQ639" s="3"/>
      <c r="CR639" s="5"/>
      <c r="CT639" s="3"/>
      <c r="CW639" s="3"/>
      <c r="CX639" s="3"/>
      <c r="CZ639" s="3"/>
      <c r="DA639" s="3"/>
      <c r="DC639" s="3"/>
      <c r="DD639" s="3"/>
      <c r="DF639" s="3"/>
      <c r="DG639" s="5"/>
      <c r="DI639" s="3"/>
      <c r="DL639" s="3"/>
      <c r="DM639" s="3"/>
      <c r="DO639" s="3"/>
      <c r="DP639" s="3"/>
      <c r="DR639" s="3"/>
      <c r="DS639" s="1" t="str">
        <f>_xlfn.XLOOKUP(OfficeForms.Table[[#This Row],[Selecione a Categoria do Laboratório desta atividade prática:]],Planilha1!A:A,Planilha1!B:B)</f>
        <v>BFI</v>
      </c>
      <c r="DT639" s="1" t="str">
        <f>CONCATENATE(OfficeForms.Table[[#This Row],[Selecione seu Polo Laboratório de Atividades Presenciais:]],OfficeForms.Table[[#This Row],[CHAVE CONVERSÃO]])</f>
        <v>Boa Viagem/CEBFI</v>
      </c>
      <c r="DU63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Revisão de Anatomorfofisiologia;Estudo Prático da Biomecânica Articular e Muscular no Movimento Funcional Humano</v>
      </c>
      <c r="DV63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63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639" s="1" t="str">
        <f>_xlfn.XLOOKUP(OfficeForms.Table[[#This Row],[CHAVE LINK POLO]],'[1]Quadro Geral de Lotação'!$B:$B,'[1]Quadro Geral de Lotação'!$I:$I)</f>
        <v>Airton Souza Farias</v>
      </c>
      <c r="DY639" s="1" t="str">
        <f>OfficeForms.Table[[#This Row],[Selecione a Ordem de Disciplina]]</f>
        <v>Ordem 2</v>
      </c>
    </row>
    <row r="640" spans="1:129" ht="34.15" customHeight="1">
      <c r="A640" s="1">
        <v>640</v>
      </c>
      <c r="B640" s="2">
        <v>46119.718055555597</v>
      </c>
      <c r="C640" s="2">
        <v>46119.7196527778</v>
      </c>
      <c r="D640" s="3" t="s">
        <v>129</v>
      </c>
      <c r="E640" s="3" t="s">
        <v>130</v>
      </c>
      <c r="G640" s="3"/>
      <c r="I640" s="3" t="s">
        <v>131</v>
      </c>
      <c r="K640" s="3"/>
      <c r="L640" s="1" t="s">
        <v>678</v>
      </c>
      <c r="O640" s="3" t="s">
        <v>133</v>
      </c>
      <c r="Q640" s="3"/>
      <c r="R640" s="3"/>
      <c r="T640" s="3"/>
      <c r="U640" s="5"/>
      <c r="W640" s="3"/>
      <c r="Z640" s="3"/>
      <c r="AA640" s="3"/>
      <c r="AC640" s="3"/>
      <c r="AD640" s="3"/>
      <c r="AF640" s="3"/>
      <c r="AG640" s="3"/>
      <c r="AI640" s="3"/>
      <c r="AJ640" s="1"/>
      <c r="AL640" s="3"/>
      <c r="AO640" s="3"/>
      <c r="AP640" s="3"/>
      <c r="AR640" s="3"/>
      <c r="AS640" s="3"/>
      <c r="AU640" s="3"/>
      <c r="AV640" s="3" t="s">
        <v>1657</v>
      </c>
      <c r="AX640" s="3"/>
      <c r="AY640" s="5">
        <v>46113</v>
      </c>
      <c r="BA640" s="3"/>
      <c r="BB640" s="1">
        <v>1</v>
      </c>
      <c r="BD640" s="3"/>
      <c r="BE640" s="3" t="s">
        <v>1894</v>
      </c>
      <c r="BG640" s="3"/>
      <c r="BH640" s="3" t="s">
        <v>1895</v>
      </c>
      <c r="BJ640" s="3"/>
      <c r="BK640" s="3"/>
      <c r="BM640" s="3"/>
      <c r="BN640" s="5"/>
      <c r="BP640" s="3"/>
      <c r="BS640" s="3"/>
      <c r="BT640" s="3"/>
      <c r="BV640" s="3"/>
      <c r="BW640" s="3"/>
      <c r="BY640" s="3"/>
      <c r="BZ640" s="3"/>
      <c r="CB640" s="3"/>
      <c r="CC640" s="5"/>
      <c r="CE640" s="3"/>
      <c r="CH640" s="3"/>
      <c r="CI640" s="3"/>
      <c r="CK640" s="3"/>
      <c r="CL640" s="3"/>
      <c r="CN640" s="3"/>
      <c r="CO640" s="3"/>
      <c r="CQ640" s="3"/>
      <c r="CR640" s="5"/>
      <c r="CT640" s="3"/>
      <c r="CW640" s="3"/>
      <c r="CX640" s="3"/>
      <c r="CZ640" s="3"/>
      <c r="DA640" s="3"/>
      <c r="DC640" s="3"/>
      <c r="DD640" s="3"/>
      <c r="DF640" s="3"/>
      <c r="DG640" s="5"/>
      <c r="DI640" s="3"/>
      <c r="DL640" s="3"/>
      <c r="DM640" s="3"/>
      <c r="DO640" s="3"/>
      <c r="DP640" s="3"/>
      <c r="DR640" s="3"/>
      <c r="DS640" s="1" t="str">
        <f>_xlfn.XLOOKUP(OfficeForms.Table[[#This Row],[Selecione a Categoria do Laboratório desta atividade prática:]],Planilha1!A:A,Planilha1!B:B)</f>
        <v>BFI</v>
      </c>
      <c r="DT640" s="1" t="str">
        <f>CONCATENATE(OfficeForms.Table[[#This Row],[Selecione seu Polo Laboratório de Atividades Presenciais:]],OfficeForms.Table[[#This Row],[CHAVE CONVERSÃO]])</f>
        <v>Guarujá/SPBFI</v>
      </c>
      <c r="DU64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Cinesioterapia Aplicada ao Fortalecimento Muscular: Prática de Exercícios</v>
      </c>
      <c r="DV64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64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40" s="1" t="str">
        <f>_xlfn.XLOOKUP(OfficeForms.Table[[#This Row],[CHAVE LINK POLO]],'[1]Quadro Geral de Lotação'!$B:$B,'[1]Quadro Geral de Lotação'!$I:$I)</f>
        <v>Lucas Soares De Medeiros</v>
      </c>
      <c r="DY640" s="1" t="str">
        <f>OfficeForms.Table[[#This Row],[Selecione a Ordem de Disciplina]]</f>
        <v>Ordem 2</v>
      </c>
    </row>
    <row r="641" spans="1:129" ht="34.15" customHeight="1">
      <c r="A641" s="1">
        <v>641</v>
      </c>
      <c r="B641" s="2">
        <v>46119.719710648104</v>
      </c>
      <c r="C641" s="2">
        <v>46119.720902777801</v>
      </c>
      <c r="D641" s="3" t="s">
        <v>129</v>
      </c>
      <c r="E641" s="3" t="s">
        <v>130</v>
      </c>
      <c r="G641" s="3"/>
      <c r="I641" s="3" t="s">
        <v>131</v>
      </c>
      <c r="K641" s="3"/>
      <c r="L641" s="1" t="s">
        <v>678</v>
      </c>
      <c r="O641" s="3" t="s">
        <v>133</v>
      </c>
      <c r="Q641" s="3"/>
      <c r="R641" s="3"/>
      <c r="T641" s="3"/>
      <c r="U641" s="5"/>
      <c r="W641" s="3"/>
      <c r="Z641" s="3"/>
      <c r="AA641" s="3"/>
      <c r="AC641" s="3"/>
      <c r="AD641" s="3"/>
      <c r="AF641" s="3"/>
      <c r="AG641" s="3"/>
      <c r="AI641" s="3"/>
      <c r="AJ641" s="1"/>
      <c r="AL641" s="3"/>
      <c r="AO641" s="3"/>
      <c r="AP641" s="3"/>
      <c r="AR641" s="3"/>
      <c r="AS641" s="3"/>
      <c r="AU641" s="3"/>
      <c r="AV641" s="3" t="s">
        <v>380</v>
      </c>
      <c r="AX641" s="3"/>
      <c r="AY641" s="5">
        <v>46113</v>
      </c>
      <c r="BA641" s="3"/>
      <c r="BB641" s="1">
        <v>1</v>
      </c>
      <c r="BD641" s="3"/>
      <c r="BE641" s="3" t="s">
        <v>1896</v>
      </c>
      <c r="BG641" s="3"/>
      <c r="BH641" s="3" t="s">
        <v>1897</v>
      </c>
      <c r="BJ641" s="3"/>
      <c r="BK641" s="3"/>
      <c r="BM641" s="3"/>
      <c r="BN641" s="5"/>
      <c r="BP641" s="3"/>
      <c r="BS641" s="3"/>
      <c r="BT641" s="3"/>
      <c r="BV641" s="3"/>
      <c r="BW641" s="3"/>
      <c r="BY641" s="3"/>
      <c r="BZ641" s="3"/>
      <c r="CB641" s="3"/>
      <c r="CC641" s="5"/>
      <c r="CE641" s="3"/>
      <c r="CH641" s="3"/>
      <c r="CI641" s="3"/>
      <c r="CK641" s="3"/>
      <c r="CL641" s="3"/>
      <c r="CN641" s="3"/>
      <c r="CO641" s="3"/>
      <c r="CQ641" s="3"/>
      <c r="CR641" s="5"/>
      <c r="CT641" s="3"/>
      <c r="CW641" s="3"/>
      <c r="CX641" s="3"/>
      <c r="CZ641" s="3"/>
      <c r="DA641" s="3"/>
      <c r="DC641" s="3"/>
      <c r="DD641" s="3"/>
      <c r="DF641" s="3"/>
      <c r="DG641" s="5"/>
      <c r="DI641" s="3"/>
      <c r="DL641" s="3"/>
      <c r="DM641" s="3"/>
      <c r="DO641" s="3"/>
      <c r="DP641" s="3"/>
      <c r="DR641" s="3"/>
      <c r="DS641" s="1" t="str">
        <f>_xlfn.XLOOKUP(OfficeForms.Table[[#This Row],[Selecione a Categoria do Laboratório desta atividade prática:]],Planilha1!A:A,Planilha1!B:B)</f>
        <v>BFI</v>
      </c>
      <c r="DT641" s="1" t="str">
        <f>CONCATENATE(OfficeForms.Table[[#This Row],[Selecione seu Polo Laboratório de Atividades Presenciais:]],OfficeForms.Table[[#This Row],[CHAVE CONVERSÃO]])</f>
        <v>Guarujá/SPBFI</v>
      </c>
      <c r="DU64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Mobilização Articular na Cinesioterapia: Avaliação e Intervenção Funcional</v>
      </c>
      <c r="DV64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64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41" s="1" t="str">
        <f>_xlfn.XLOOKUP(OfficeForms.Table[[#This Row],[CHAVE LINK POLO]],'[1]Quadro Geral de Lotação'!$B:$B,'[1]Quadro Geral de Lotação'!$I:$I)</f>
        <v>Lucas Soares De Medeiros</v>
      </c>
      <c r="DY641" s="1" t="str">
        <f>OfficeForms.Table[[#This Row],[Selecione a Ordem de Disciplina]]</f>
        <v>Ordem 2</v>
      </c>
    </row>
    <row r="642" spans="1:129" ht="34.15" customHeight="1">
      <c r="A642" s="1">
        <v>642</v>
      </c>
      <c r="B642" s="2">
        <v>46119.768784722197</v>
      </c>
      <c r="C642" s="2">
        <v>46119.770266203697</v>
      </c>
      <c r="D642" s="3" t="s">
        <v>221</v>
      </c>
      <c r="E642" s="3" t="s">
        <v>222</v>
      </c>
      <c r="G642" s="3"/>
      <c r="I642" s="3" t="s">
        <v>223</v>
      </c>
      <c r="K642" s="3"/>
      <c r="L642" s="1" t="s">
        <v>678</v>
      </c>
      <c r="O642" s="3" t="s">
        <v>184</v>
      </c>
      <c r="Q642" s="3"/>
      <c r="R642" s="3"/>
      <c r="T642" s="3"/>
      <c r="U642" s="5"/>
      <c r="W642" s="3"/>
      <c r="Z642" s="3"/>
      <c r="AA642" s="3"/>
      <c r="AC642" s="3"/>
      <c r="AD642" s="3"/>
      <c r="AF642" s="3"/>
      <c r="AG642" s="3" t="s">
        <v>1200</v>
      </c>
      <c r="AI642" s="3"/>
      <c r="AJ642" s="1">
        <v>46118</v>
      </c>
      <c r="AL642" s="3"/>
      <c r="AM642" s="1">
        <v>0</v>
      </c>
      <c r="AO642" s="3"/>
      <c r="AP642" s="3" t="s">
        <v>1898</v>
      </c>
      <c r="AR642" s="3"/>
      <c r="AS642" s="3" t="s">
        <v>1899</v>
      </c>
      <c r="AU642" s="3"/>
      <c r="AV642" s="3"/>
      <c r="AX642" s="3"/>
      <c r="AY642" s="5"/>
      <c r="BA642" s="3"/>
      <c r="BD642" s="3"/>
      <c r="BE642" s="3"/>
      <c r="BG642" s="3"/>
      <c r="BH642" s="3"/>
      <c r="BJ642" s="3"/>
      <c r="BK642" s="3"/>
      <c r="BM642" s="3"/>
      <c r="BN642" s="5"/>
      <c r="BP642" s="3"/>
      <c r="BS642" s="3"/>
      <c r="BT642" s="3"/>
      <c r="BV642" s="3"/>
      <c r="BW642" s="3"/>
      <c r="BY642" s="3"/>
      <c r="BZ642" s="3"/>
      <c r="CB642" s="3"/>
      <c r="CC642" s="5"/>
      <c r="CE642" s="3"/>
      <c r="CH642" s="3"/>
      <c r="CI642" s="3"/>
      <c r="CK642" s="3"/>
      <c r="CL642" s="3"/>
      <c r="CN642" s="3"/>
      <c r="CO642" s="3"/>
      <c r="CQ642" s="3"/>
      <c r="CR642" s="5"/>
      <c r="CT642" s="3"/>
      <c r="CW642" s="3"/>
      <c r="CX642" s="3"/>
      <c r="CZ642" s="3"/>
      <c r="DA642" s="3"/>
      <c r="DC642" s="3"/>
      <c r="DD642" s="3"/>
      <c r="DF642" s="3"/>
      <c r="DG642" s="5"/>
      <c r="DI642" s="3"/>
      <c r="DL642" s="3"/>
      <c r="DM642" s="3"/>
      <c r="DO642" s="3"/>
      <c r="DP642" s="3"/>
      <c r="DR642" s="3"/>
      <c r="DS642" s="1" t="str">
        <f>_xlfn.XLOOKUP(OfficeForms.Table[[#This Row],[Selecione a Categoria do Laboratório desta atividade prática:]],Planilha1!A:A,Planilha1!B:B)</f>
        <v>EMF-ISN</v>
      </c>
      <c r="DT642" s="1" t="str">
        <f>CONCATENATE(OfficeForms.Table[[#This Row],[Selecione seu Polo Laboratório de Atividades Presenciais:]],OfficeForms.Table[[#This Row],[CHAVE CONVERSÃO]])</f>
        <v>Presidente Prudente/SP - Jardim GuanabaraEMF-ISN</v>
      </c>
      <c r="DU64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64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46118</v>
      </c>
      <c r="DW64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42" s="1" t="str">
        <f>_xlfn.XLOOKUP(OfficeForms.Table[[#This Row],[CHAVE LINK POLO]],'[1]Quadro Geral de Lotação'!$B:$B,'[1]Quadro Geral de Lotação'!$I:$I)</f>
        <v>Aquiles Gonzales De Andrade</v>
      </c>
      <c r="DY642" s="1" t="str">
        <f>OfficeForms.Table[[#This Row],[Selecione a Ordem de Disciplina]]</f>
        <v>Ordem 2</v>
      </c>
    </row>
    <row r="643" spans="1:129" ht="34.15" customHeight="1">
      <c r="A643" s="1">
        <v>643</v>
      </c>
      <c r="B643" s="2">
        <v>46119.799479166701</v>
      </c>
      <c r="C643" s="2">
        <v>46119.801747685196</v>
      </c>
      <c r="D643" s="3" t="s">
        <v>181</v>
      </c>
      <c r="E643" s="3" t="s">
        <v>182</v>
      </c>
      <c r="G643" s="3"/>
      <c r="I643" s="3" t="s">
        <v>183</v>
      </c>
      <c r="K643" s="3"/>
      <c r="L643" s="1" t="s">
        <v>132</v>
      </c>
      <c r="O643" s="3" t="s">
        <v>184</v>
      </c>
      <c r="Q643" s="3"/>
      <c r="R643" s="3"/>
      <c r="T643" s="3"/>
      <c r="U643" s="5"/>
      <c r="W643" s="3"/>
      <c r="Z643" s="3"/>
      <c r="AA643" s="3"/>
      <c r="AC643" s="3"/>
      <c r="AD643" s="3"/>
      <c r="AF643" s="3"/>
      <c r="AG643" s="3" t="s">
        <v>194</v>
      </c>
      <c r="AI643" s="3"/>
      <c r="AJ643" s="1">
        <v>46101</v>
      </c>
      <c r="AL643" s="3"/>
      <c r="AM643" s="1">
        <v>2</v>
      </c>
      <c r="AO643" s="3"/>
      <c r="AP643" s="3" t="s">
        <v>1900</v>
      </c>
      <c r="AR643" s="3"/>
      <c r="AS643" s="3" t="s">
        <v>1901</v>
      </c>
      <c r="AU643" s="3"/>
      <c r="AV643" s="3"/>
      <c r="AX643" s="3"/>
      <c r="AY643" s="5"/>
      <c r="BA643" s="3"/>
      <c r="BD643" s="3"/>
      <c r="BE643" s="3"/>
      <c r="BG643" s="3"/>
      <c r="BH643" s="3"/>
      <c r="BJ643" s="3"/>
      <c r="BK643" s="3"/>
      <c r="BM643" s="3"/>
      <c r="BN643" s="5"/>
      <c r="BP643" s="3"/>
      <c r="BS643" s="3"/>
      <c r="BT643" s="3"/>
      <c r="BV643" s="3"/>
      <c r="BW643" s="3"/>
      <c r="BY643" s="3"/>
      <c r="BZ643" s="3"/>
      <c r="CB643" s="3"/>
      <c r="CC643" s="5"/>
      <c r="CE643" s="3"/>
      <c r="CH643" s="3"/>
      <c r="CI643" s="3"/>
      <c r="CK643" s="3"/>
      <c r="CL643" s="3"/>
      <c r="CN643" s="3"/>
      <c r="CO643" s="3"/>
      <c r="CQ643" s="3"/>
      <c r="CR643" s="5"/>
      <c r="CT643" s="3"/>
      <c r="CW643" s="3"/>
      <c r="CX643" s="3"/>
      <c r="CZ643" s="3"/>
      <c r="DA643" s="3"/>
      <c r="DC643" s="3"/>
      <c r="DD643" s="3"/>
      <c r="DF643" s="3"/>
      <c r="DG643" s="5"/>
      <c r="DI643" s="3"/>
      <c r="DL643" s="3"/>
      <c r="DM643" s="3"/>
      <c r="DO643" s="3"/>
      <c r="DP643" s="3"/>
      <c r="DR643" s="3"/>
      <c r="DS643" s="1" t="str">
        <f>_xlfn.XLOOKUP(OfficeForms.Table[[#This Row],[Selecione a Categoria do Laboratório desta atividade prática:]],Planilha1!A:A,Planilha1!B:B)</f>
        <v>EMF-ISN</v>
      </c>
      <c r="DT643" s="1" t="str">
        <f>CONCATENATE(OfficeForms.Table[[#This Row],[Selecione seu Polo Laboratório de Atividades Presenciais:]],OfficeForms.Table[[#This Row],[CHAVE CONVERSÃO]])</f>
        <v>Herval D'Oeste/SCEMF-ISN</v>
      </c>
      <c r="DU64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64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46101</v>
      </c>
      <c r="DW64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43" s="1" t="str">
        <f>_xlfn.XLOOKUP(OfficeForms.Table[[#This Row],[CHAVE LINK POLO]],'[1]Quadro Geral de Lotação'!$B:$B,'[1]Quadro Geral de Lotação'!$I:$I)</f>
        <v>Maksllene Ingrid De Souza Cavalcanti Spessatto</v>
      </c>
      <c r="DY643" s="1" t="str">
        <f>OfficeForms.Table[[#This Row],[Selecione a Ordem de Disciplina]]</f>
        <v>Ordem 1</v>
      </c>
    </row>
    <row r="644" spans="1:129" ht="34.15" customHeight="1">
      <c r="A644" s="1">
        <v>644</v>
      </c>
      <c r="B644" s="2">
        <v>46119.801840277803</v>
      </c>
      <c r="C644" s="2">
        <v>46119.802928240701</v>
      </c>
      <c r="D644" s="3" t="s">
        <v>181</v>
      </c>
      <c r="E644" s="3" t="s">
        <v>182</v>
      </c>
      <c r="G644" s="3"/>
      <c r="I644" s="3" t="s">
        <v>183</v>
      </c>
      <c r="K644" s="3"/>
      <c r="L644" s="1" t="s">
        <v>132</v>
      </c>
      <c r="O644" s="3" t="s">
        <v>184</v>
      </c>
      <c r="Q644" s="3"/>
      <c r="R644" s="3"/>
      <c r="T644" s="3"/>
      <c r="U644" s="5"/>
      <c r="W644" s="3"/>
      <c r="Z644" s="3"/>
      <c r="AA644" s="3"/>
      <c r="AC644" s="3"/>
      <c r="AD644" s="3"/>
      <c r="AF644" s="3"/>
      <c r="AG644" s="3" t="s">
        <v>211</v>
      </c>
      <c r="AI644" s="3"/>
      <c r="AJ644" s="1">
        <v>46108</v>
      </c>
      <c r="AL644" s="3"/>
      <c r="AM644" s="1">
        <v>1</v>
      </c>
      <c r="AO644" s="3"/>
      <c r="AP644" s="3" t="s">
        <v>1902</v>
      </c>
      <c r="AR644" s="3"/>
      <c r="AS644" s="3" t="s">
        <v>1903</v>
      </c>
      <c r="AU644" s="3"/>
      <c r="AV644" s="3"/>
      <c r="AX644" s="3"/>
      <c r="AY644" s="5"/>
      <c r="BA644" s="3"/>
      <c r="BD644" s="3"/>
      <c r="BE644" s="3"/>
      <c r="BG644" s="3"/>
      <c r="BH644" s="3"/>
      <c r="BJ644" s="3"/>
      <c r="BK644" s="3"/>
      <c r="BM644" s="3"/>
      <c r="BN644" s="5"/>
      <c r="BP644" s="3"/>
      <c r="BS644" s="3"/>
      <c r="BT644" s="3"/>
      <c r="BV644" s="3"/>
      <c r="BW644" s="3"/>
      <c r="BY644" s="3"/>
      <c r="BZ644" s="3"/>
      <c r="CB644" s="3"/>
      <c r="CC644" s="5"/>
      <c r="CE644" s="3"/>
      <c r="CH644" s="3"/>
      <c r="CI644" s="3"/>
      <c r="CK644" s="3"/>
      <c r="CL644" s="3"/>
      <c r="CN644" s="3"/>
      <c r="CO644" s="3"/>
      <c r="CQ644" s="3"/>
      <c r="CR644" s="5"/>
      <c r="CT644" s="3"/>
      <c r="CW644" s="3"/>
      <c r="CX644" s="3"/>
      <c r="CZ644" s="3"/>
      <c r="DA644" s="3"/>
      <c r="DC644" s="3"/>
      <c r="DD644" s="3"/>
      <c r="DF644" s="3"/>
      <c r="DG644" s="5"/>
      <c r="DI644" s="3"/>
      <c r="DL644" s="3"/>
      <c r="DM644" s="3"/>
      <c r="DO644" s="3"/>
      <c r="DP644" s="3"/>
      <c r="DR644" s="3"/>
      <c r="DS644" s="1" t="str">
        <f>_xlfn.XLOOKUP(OfficeForms.Table[[#This Row],[Selecione a Categoria do Laboratório desta atividade prática:]],Planilha1!A:A,Planilha1!B:B)</f>
        <v>EMF-ISN</v>
      </c>
      <c r="DT644" s="1" t="str">
        <f>CONCATENATE(OfficeForms.Table[[#This Row],[Selecione seu Polo Laboratório de Atividades Presenciais:]],OfficeForms.Table[[#This Row],[CHAVE CONVERSÃO]])</f>
        <v>Herval D'Oeste/SCEMF-ISN</v>
      </c>
      <c r="DU64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64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46108</v>
      </c>
      <c r="DW64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44" s="1" t="str">
        <f>_xlfn.XLOOKUP(OfficeForms.Table[[#This Row],[CHAVE LINK POLO]],'[1]Quadro Geral de Lotação'!$B:$B,'[1]Quadro Geral de Lotação'!$I:$I)</f>
        <v>Maksllene Ingrid De Souza Cavalcanti Spessatto</v>
      </c>
      <c r="DY644" s="1" t="str">
        <f>OfficeForms.Table[[#This Row],[Selecione a Ordem de Disciplina]]</f>
        <v>Ordem 1</v>
      </c>
    </row>
    <row r="645" spans="1:129" ht="34.15" customHeight="1">
      <c r="A645" s="1">
        <v>645</v>
      </c>
      <c r="B645" s="2">
        <v>46119.837974536997</v>
      </c>
      <c r="C645" s="2">
        <v>46119.851342592599</v>
      </c>
      <c r="D645" s="3" t="s">
        <v>494</v>
      </c>
      <c r="E645" s="3" t="s">
        <v>495</v>
      </c>
      <c r="G645" s="3"/>
      <c r="I645" s="3" t="s">
        <v>496</v>
      </c>
      <c r="K645" s="3"/>
      <c r="L645" s="1" t="s">
        <v>678</v>
      </c>
      <c r="O645" s="3" t="s">
        <v>497</v>
      </c>
      <c r="Q645" s="3"/>
      <c r="R645" s="3" t="s">
        <v>879</v>
      </c>
      <c r="T645" s="3"/>
      <c r="U645" s="5">
        <v>46105</v>
      </c>
      <c r="W645" s="3"/>
      <c r="X645" s="1">
        <v>9</v>
      </c>
      <c r="Z645" s="3"/>
      <c r="AA645" s="3" t="s">
        <v>1904</v>
      </c>
      <c r="AC645" s="3"/>
      <c r="AD645" s="3" t="s">
        <v>1905</v>
      </c>
      <c r="AF645" s="3"/>
      <c r="AG645" s="3"/>
      <c r="AI645" s="3"/>
      <c r="AJ645" s="1"/>
      <c r="AL645" s="3"/>
      <c r="AO645" s="3"/>
      <c r="AP645" s="3"/>
      <c r="AR645" s="3"/>
      <c r="AS645" s="3"/>
      <c r="AU645" s="3"/>
      <c r="AV645" s="3"/>
      <c r="AX645" s="3"/>
      <c r="AY645" s="5"/>
      <c r="BA645" s="3"/>
      <c r="BD645" s="3"/>
      <c r="BE645" s="3"/>
      <c r="BG645" s="3"/>
      <c r="BH645" s="3"/>
      <c r="BJ645" s="3"/>
      <c r="BK645" s="3"/>
      <c r="BM645" s="3"/>
      <c r="BN645" s="5"/>
      <c r="BP645" s="3"/>
      <c r="BS645" s="3"/>
      <c r="BT645" s="3"/>
      <c r="BV645" s="3"/>
      <c r="BW645" s="3"/>
      <c r="BY645" s="3"/>
      <c r="BZ645" s="3"/>
      <c r="CB645" s="3"/>
      <c r="CC645" s="5"/>
      <c r="CE645" s="3"/>
      <c r="CH645" s="3"/>
      <c r="CI645" s="3"/>
      <c r="CK645" s="3"/>
      <c r="CL645" s="3"/>
      <c r="CN645" s="3"/>
      <c r="CO645" s="3"/>
      <c r="CQ645" s="3"/>
      <c r="CR645" s="5"/>
      <c r="CT645" s="3"/>
      <c r="CW645" s="3"/>
      <c r="CX645" s="3"/>
      <c r="CZ645" s="3"/>
      <c r="DA645" s="3"/>
      <c r="DC645" s="3"/>
      <c r="DD645" s="3"/>
      <c r="DF645" s="3"/>
      <c r="DG645" s="5"/>
      <c r="DI645" s="3"/>
      <c r="DL645" s="3"/>
      <c r="DM645" s="3"/>
      <c r="DO645" s="3"/>
      <c r="DP645" s="3"/>
      <c r="DR645" s="3"/>
      <c r="DS645" s="1" t="str">
        <f>_xlfn.XLOOKUP(OfficeForms.Table[[#This Row],[Selecione a Categoria do Laboratório desta atividade prática:]],Planilha1!A:A,Planilha1!B:B)</f>
        <v>BFR-BBI</v>
      </c>
      <c r="DT645" s="1" t="str">
        <f>CONCATENATE(OfficeForms.Table[[#This Row],[Selecione seu Polo Laboratório de Atividades Presenciais:]],OfficeForms.Table[[#This Row],[CHAVE CONVERSÃO]])</f>
        <v>Campo Grande/MS - Santo AntonioBFR-BBI</v>
      </c>
      <c r="DU64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Contagem diferencial de leucócitos</v>
      </c>
      <c r="DV64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64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645" s="1" t="e">
        <f>_xlfn.XLOOKUP(OfficeForms.Table[[#This Row],[CHAVE LINK POLO]],'[1]Quadro Geral de Lotação'!$B:$B,'[1]Quadro Geral de Lotação'!$I:$I)</f>
        <v>#N/A</v>
      </c>
      <c r="DY645" s="1" t="str">
        <f>OfficeForms.Table[[#This Row],[Selecione a Ordem de Disciplina]]</f>
        <v>Ordem 2</v>
      </c>
    </row>
    <row r="646" spans="1:129" ht="34.15" customHeight="1">
      <c r="A646" s="1">
        <v>646</v>
      </c>
      <c r="B646" s="2">
        <v>46119.948495370401</v>
      </c>
      <c r="C646" s="2">
        <v>46119.959513888898</v>
      </c>
      <c r="D646" s="3" t="s">
        <v>288</v>
      </c>
      <c r="E646" s="3" t="s">
        <v>289</v>
      </c>
      <c r="G646" s="3"/>
      <c r="I646" s="3" t="s">
        <v>216</v>
      </c>
      <c r="K646" s="3"/>
      <c r="L646" s="1" t="s">
        <v>678</v>
      </c>
      <c r="O646" s="3" t="s">
        <v>156</v>
      </c>
      <c r="Q646" s="3"/>
      <c r="R646" s="3"/>
      <c r="T646" s="3"/>
      <c r="U646" s="5"/>
      <c r="W646" s="3"/>
      <c r="Z646" s="3"/>
      <c r="AA646" s="3"/>
      <c r="AC646" s="3"/>
      <c r="AD646" s="3"/>
      <c r="AF646" s="3"/>
      <c r="AG646" s="3"/>
      <c r="AI646" s="3"/>
      <c r="AJ646" s="1"/>
      <c r="AL646" s="3"/>
      <c r="AO646" s="3"/>
      <c r="AP646" s="3"/>
      <c r="AR646" s="3"/>
      <c r="AS646" s="3"/>
      <c r="AU646" s="3"/>
      <c r="AV646" s="3"/>
      <c r="AX646" s="3"/>
      <c r="AY646" s="5"/>
      <c r="BA646" s="3"/>
      <c r="BD646" s="3"/>
      <c r="BE646" s="3"/>
      <c r="BG646" s="3"/>
      <c r="BH646" s="3"/>
      <c r="BJ646" s="3"/>
      <c r="BK646" s="3" t="s">
        <v>1756</v>
      </c>
      <c r="BM646" s="3"/>
      <c r="BN646" s="5">
        <v>46112</v>
      </c>
      <c r="BP646" s="3"/>
      <c r="BQ646" s="1">
        <v>8</v>
      </c>
      <c r="BS646" s="3"/>
      <c r="BT646" s="3" t="s">
        <v>1906</v>
      </c>
      <c r="BV646" s="3"/>
      <c r="BW646" s="3" t="s">
        <v>1907</v>
      </c>
      <c r="BY646" s="3"/>
      <c r="BZ646" s="3"/>
      <c r="CB646" s="3"/>
      <c r="CC646" s="5"/>
      <c r="CE646" s="3"/>
      <c r="CH646" s="3"/>
      <c r="CI646" s="3"/>
      <c r="CK646" s="3"/>
      <c r="CL646" s="3"/>
      <c r="CN646" s="3"/>
      <c r="CO646" s="3"/>
      <c r="CQ646" s="3"/>
      <c r="CR646" s="5"/>
      <c r="CT646" s="3"/>
      <c r="CW646" s="3"/>
      <c r="CX646" s="3"/>
      <c r="CZ646" s="3"/>
      <c r="DA646" s="3"/>
      <c r="DC646" s="3"/>
      <c r="DD646" s="3"/>
      <c r="DF646" s="3"/>
      <c r="DG646" s="5"/>
      <c r="DI646" s="3"/>
      <c r="DL646" s="3"/>
      <c r="DM646" s="3"/>
      <c r="DO646" s="3"/>
      <c r="DP646" s="3"/>
      <c r="DR646" s="3"/>
      <c r="DS646" s="1" t="str">
        <f>_xlfn.XLOOKUP(OfficeForms.Table[[#This Row],[Selecione a Categoria do Laboratório desta atividade prática:]],Planilha1!A:A,Planilha1!B:B)</f>
        <v>NTR</v>
      </c>
      <c r="DT646" s="1" t="str">
        <f>CONCATENATE(OfficeForms.Table[[#This Row],[Selecione seu Polo Laboratório de Atividades Presenciais:]],OfficeForms.Table[[#This Row],[CHAVE CONVERSÃO]])</f>
        <v>Feira De Santana/BA - CentroNTR</v>
      </c>
      <c r="DU64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</v>
      </c>
      <c r="DV64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4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646" s="1" t="str">
        <f>_xlfn.XLOOKUP(OfficeForms.Table[[#This Row],[CHAVE LINK POLO]],'[1]Quadro Geral de Lotação'!$B:$B,'[1]Quadro Geral de Lotação'!$I:$I)</f>
        <v>Daiane Dias Ferreira</v>
      </c>
      <c r="DY646" s="1" t="str">
        <f>OfficeForms.Table[[#This Row],[Selecione a Ordem de Disciplina]]</f>
        <v>Ordem 2</v>
      </c>
    </row>
    <row r="647" spans="1:129" ht="34.15" customHeight="1">
      <c r="A647" s="1">
        <v>647</v>
      </c>
      <c r="B647" s="2">
        <v>46119.959560185198</v>
      </c>
      <c r="C647" s="2">
        <v>46119.962812500002</v>
      </c>
      <c r="D647" s="3" t="s">
        <v>288</v>
      </c>
      <c r="E647" s="3" t="s">
        <v>289</v>
      </c>
      <c r="G647" s="3"/>
      <c r="I647" s="3" t="s">
        <v>216</v>
      </c>
      <c r="K647" s="3"/>
      <c r="L647" s="1" t="s">
        <v>678</v>
      </c>
      <c r="O647" s="3" t="s">
        <v>156</v>
      </c>
      <c r="Q647" s="3"/>
      <c r="R647" s="3"/>
      <c r="T647" s="3"/>
      <c r="U647" s="5"/>
      <c r="W647" s="3"/>
      <c r="Z647" s="3"/>
      <c r="AA647" s="3"/>
      <c r="AC647" s="3"/>
      <c r="AD647" s="3"/>
      <c r="AF647" s="3"/>
      <c r="AG647" s="3"/>
      <c r="AI647" s="3"/>
      <c r="AJ647" s="1"/>
      <c r="AL647" s="3"/>
      <c r="AO647" s="3"/>
      <c r="AP647" s="3"/>
      <c r="AR647" s="3"/>
      <c r="AS647" s="3"/>
      <c r="AU647" s="3"/>
      <c r="AV647" s="3"/>
      <c r="AX647" s="3"/>
      <c r="AY647" s="5"/>
      <c r="BA647" s="3"/>
      <c r="BD647" s="3"/>
      <c r="BE647" s="3"/>
      <c r="BG647" s="3"/>
      <c r="BH647" s="3"/>
      <c r="BJ647" s="3"/>
      <c r="BK647" s="3" t="s">
        <v>455</v>
      </c>
      <c r="BM647" s="3"/>
      <c r="BN647" s="5">
        <v>46119</v>
      </c>
      <c r="BP647" s="3"/>
      <c r="BQ647" s="1">
        <v>8</v>
      </c>
      <c r="BS647" s="3"/>
      <c r="BT647" s="3" t="s">
        <v>1908</v>
      </c>
      <c r="BV647" s="3"/>
      <c r="BW647" s="3" t="s">
        <v>1909</v>
      </c>
      <c r="BY647" s="3"/>
      <c r="BZ647" s="3"/>
      <c r="CB647" s="3"/>
      <c r="CC647" s="5"/>
      <c r="CE647" s="3"/>
      <c r="CH647" s="3"/>
      <c r="CI647" s="3"/>
      <c r="CK647" s="3"/>
      <c r="CL647" s="3"/>
      <c r="CN647" s="3"/>
      <c r="CO647" s="3"/>
      <c r="CQ647" s="3"/>
      <c r="CR647" s="5"/>
      <c r="CT647" s="3"/>
      <c r="CW647" s="3"/>
      <c r="CX647" s="3"/>
      <c r="CZ647" s="3"/>
      <c r="DA647" s="3"/>
      <c r="DC647" s="3"/>
      <c r="DD647" s="3"/>
      <c r="DF647" s="3"/>
      <c r="DG647" s="5"/>
      <c r="DI647" s="3"/>
      <c r="DL647" s="3"/>
      <c r="DM647" s="3"/>
      <c r="DO647" s="3"/>
      <c r="DP647" s="3"/>
      <c r="DR647" s="3"/>
      <c r="DS647" s="1" t="str">
        <f>_xlfn.XLOOKUP(OfficeForms.Table[[#This Row],[Selecione a Categoria do Laboratório desta atividade prática:]],Planilha1!A:A,Planilha1!B:B)</f>
        <v>NTR</v>
      </c>
      <c r="DT647" s="1" t="str">
        <f>CONCATENATE(OfficeForms.Table[[#This Row],[Selecione seu Polo Laboratório de Atividades Presenciais:]],OfficeForms.Table[[#This Row],[CHAVE CONVERSÃO]])</f>
        <v>Feira De Santana/BA - CentroNTR</v>
      </c>
      <c r="DU64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II: Anamnese e diagnóstico</v>
      </c>
      <c r="DV64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4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647" s="1" t="str">
        <f>_xlfn.XLOOKUP(OfficeForms.Table[[#This Row],[CHAVE LINK POLO]],'[1]Quadro Geral de Lotação'!$B:$B,'[1]Quadro Geral de Lotação'!$I:$I)</f>
        <v>Daiane Dias Ferreira</v>
      </c>
      <c r="DY647" s="1" t="str">
        <f>OfficeForms.Table[[#This Row],[Selecione a Ordem de Disciplina]]</f>
        <v>Ordem 2</v>
      </c>
    </row>
    <row r="648" spans="1:129" ht="34.15" customHeight="1">
      <c r="A648" s="1">
        <v>648</v>
      </c>
      <c r="B648" s="2">
        <v>46120.352789351797</v>
      </c>
      <c r="C648" s="2">
        <v>46120.355601851901</v>
      </c>
      <c r="D648" s="3" t="s">
        <v>281</v>
      </c>
      <c r="E648" s="3" t="s">
        <v>282</v>
      </c>
      <c r="G648" s="3"/>
      <c r="I648" s="3" t="s">
        <v>283</v>
      </c>
      <c r="K648" s="3"/>
      <c r="L648" s="1" t="s">
        <v>678</v>
      </c>
      <c r="O648" s="3" t="s">
        <v>156</v>
      </c>
      <c r="Q648" s="3"/>
      <c r="R648" s="3"/>
      <c r="T648" s="3"/>
      <c r="U648" s="5"/>
      <c r="W648" s="3"/>
      <c r="Z648" s="3"/>
      <c r="AA648" s="3"/>
      <c r="AC648" s="3"/>
      <c r="AD648" s="3"/>
      <c r="AF648" s="3"/>
      <c r="AG648" s="3"/>
      <c r="AI648" s="3"/>
      <c r="AJ648" s="1"/>
      <c r="AL648" s="3"/>
      <c r="AO648" s="3"/>
      <c r="AP648" s="3"/>
      <c r="AR648" s="3"/>
      <c r="AS648" s="3"/>
      <c r="AU648" s="3"/>
      <c r="AV648" s="3"/>
      <c r="AX648" s="3"/>
      <c r="AY648" s="5"/>
      <c r="BA648" s="3"/>
      <c r="BD648" s="3"/>
      <c r="BE648" s="3"/>
      <c r="BG648" s="3"/>
      <c r="BH648" s="3"/>
      <c r="BJ648" s="3"/>
      <c r="BK648" s="3" t="s">
        <v>1273</v>
      </c>
      <c r="BM648" s="3"/>
      <c r="BN648" s="5">
        <v>46119</v>
      </c>
      <c r="BP648" s="3"/>
      <c r="BQ648" s="1">
        <v>6</v>
      </c>
      <c r="BS648" s="3"/>
      <c r="BT648" s="3" t="s">
        <v>1910</v>
      </c>
      <c r="BV648" s="3"/>
      <c r="BW648" s="3" t="s">
        <v>1911</v>
      </c>
      <c r="BY648" s="3"/>
      <c r="BZ648" s="3"/>
      <c r="CB648" s="3"/>
      <c r="CC648" s="5"/>
      <c r="CE648" s="3"/>
      <c r="CH648" s="3"/>
      <c r="CI648" s="3"/>
      <c r="CK648" s="3"/>
      <c r="CL648" s="3"/>
      <c r="CN648" s="3"/>
      <c r="CO648" s="3"/>
      <c r="CQ648" s="3"/>
      <c r="CR648" s="5"/>
      <c r="CT648" s="3"/>
      <c r="CW648" s="3"/>
      <c r="CX648" s="3"/>
      <c r="CZ648" s="3"/>
      <c r="DA648" s="3"/>
      <c r="DC648" s="3"/>
      <c r="DD648" s="3"/>
      <c r="DF648" s="3"/>
      <c r="DG648" s="5"/>
      <c r="DI648" s="3"/>
      <c r="DL648" s="3"/>
      <c r="DM648" s="3"/>
      <c r="DO648" s="3"/>
      <c r="DP648" s="3"/>
      <c r="DR648" s="3"/>
      <c r="DS648" s="1" t="str">
        <f>_xlfn.XLOOKUP(OfficeForms.Table[[#This Row],[Selecione a Categoria do Laboratório desta atividade prática:]],Planilha1!A:A,Planilha1!B:B)</f>
        <v>NTR</v>
      </c>
      <c r="DT648" s="1" t="str">
        <f>CONCATENATE(OfficeForms.Table[[#This Row],[Selecione seu Polo Laboratório de Atividades Presenciais:]],OfficeForms.Table[[#This Row],[CHAVE CONVERSÃO]])</f>
        <v>Criciúma/SCNTR</v>
      </c>
      <c r="DU64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de caso dirigido  - relacionado ao caso destacado na receita preparada.</v>
      </c>
      <c r="DV64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4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648" s="1" t="str">
        <f>_xlfn.XLOOKUP(OfficeForms.Table[[#This Row],[CHAVE LINK POLO]],'[1]Quadro Geral de Lotação'!$B:$B,'[1]Quadro Geral de Lotação'!$I:$I)</f>
        <v>Izabela Cechinel Biela</v>
      </c>
      <c r="DY648" s="1" t="str">
        <f>OfficeForms.Table[[#This Row],[Selecione a Ordem de Disciplina]]</f>
        <v>Ordem 2</v>
      </c>
    </row>
    <row r="649" spans="1:129" ht="34.15" customHeight="1">
      <c r="A649" s="1">
        <v>649</v>
      </c>
      <c r="B649" s="2">
        <v>46120.377314814803</v>
      </c>
      <c r="C649" s="2">
        <v>46120.378807870402</v>
      </c>
      <c r="D649" s="3" t="s">
        <v>543</v>
      </c>
      <c r="E649" s="3" t="s">
        <v>544</v>
      </c>
      <c r="G649" s="3"/>
      <c r="I649" s="3" t="s">
        <v>545</v>
      </c>
      <c r="K649" s="3"/>
      <c r="L649" s="1" t="s">
        <v>678</v>
      </c>
      <c r="O649" s="3" t="s">
        <v>140</v>
      </c>
      <c r="Q649" s="3"/>
      <c r="R649" s="3"/>
      <c r="T649" s="3"/>
      <c r="U649" s="5"/>
      <c r="W649" s="3"/>
      <c r="Z649" s="3"/>
      <c r="AA649" s="3"/>
      <c r="AC649" s="3"/>
      <c r="AD649" s="3"/>
      <c r="AF649" s="3"/>
      <c r="AG649" s="3"/>
      <c r="AI649" s="3"/>
      <c r="AJ649" s="1"/>
      <c r="AL649" s="3"/>
      <c r="AO649" s="3"/>
      <c r="AP649" s="3"/>
      <c r="AR649" s="3"/>
      <c r="AS649" s="3"/>
      <c r="AU649" s="3"/>
      <c r="AV649" s="3"/>
      <c r="AX649" s="3"/>
      <c r="AY649" s="5"/>
      <c r="BA649" s="3"/>
      <c r="BD649" s="3"/>
      <c r="BE649" s="3"/>
      <c r="BG649" s="3"/>
      <c r="BH649" s="3"/>
      <c r="BJ649" s="3"/>
      <c r="BK649" s="3"/>
      <c r="BM649" s="3"/>
      <c r="BN649" s="5"/>
      <c r="BP649" s="3"/>
      <c r="BS649" s="3"/>
      <c r="BT649" s="3"/>
      <c r="BV649" s="3"/>
      <c r="BW649" s="3"/>
      <c r="BY649" s="3"/>
      <c r="BZ649" s="3" t="s">
        <v>1687</v>
      </c>
      <c r="CB649" s="3"/>
      <c r="CC649" s="5">
        <v>46119</v>
      </c>
      <c r="CE649" s="3"/>
      <c r="CF649" s="1">
        <v>3</v>
      </c>
      <c r="CH649" s="3"/>
      <c r="CI649" s="3" t="s">
        <v>1912</v>
      </c>
      <c r="CK649" s="3"/>
      <c r="CL649" s="3" t="s">
        <v>1913</v>
      </c>
      <c r="CN649" s="3"/>
      <c r="CO649" s="3"/>
      <c r="CQ649" s="3"/>
      <c r="CR649" s="5"/>
      <c r="CT649" s="3"/>
      <c r="CW649" s="3"/>
      <c r="CX649" s="3"/>
      <c r="CZ649" s="3"/>
      <c r="DA649" s="3"/>
      <c r="DC649" s="3"/>
      <c r="DD649" s="3"/>
      <c r="DF649" s="3"/>
      <c r="DG649" s="5"/>
      <c r="DI649" s="3"/>
      <c r="DL649" s="3"/>
      <c r="DM649" s="3"/>
      <c r="DO649" s="3"/>
      <c r="DP649" s="3"/>
      <c r="DR649" s="3"/>
      <c r="DS649" s="1" t="str">
        <f>_xlfn.XLOOKUP(OfficeForms.Table[[#This Row],[Selecione a Categoria do Laboratório desta atividade prática:]],Planilha1!A:A,Planilha1!B:B)</f>
        <v>ECE-ENM-ENS-ENG-EEA-GPI-CDE-OBR-SAN-TER-FSA-SLF-QUI</v>
      </c>
      <c r="DT649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64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Determinação Do Calor Especifíco De Líquidos E Sólidos</v>
      </c>
      <c r="DV64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4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49" s="1" t="e">
        <f>_xlfn.XLOOKUP(OfficeForms.Table[[#This Row],[CHAVE LINK POLO]],'[1]Quadro Geral de Lotação'!$B:$B,'[1]Quadro Geral de Lotação'!$I:$I)</f>
        <v>#N/A</v>
      </c>
      <c r="DY649" s="1" t="str">
        <f>OfficeForms.Table[[#This Row],[Selecione a Ordem de Disciplina]]</f>
        <v>Ordem 2</v>
      </c>
    </row>
    <row r="650" spans="1:129" ht="34.15" customHeight="1">
      <c r="A650" s="1">
        <v>650</v>
      </c>
      <c r="B650" s="2">
        <v>46120.422037037002</v>
      </c>
      <c r="C650" s="2">
        <v>46120.424976851798</v>
      </c>
      <c r="D650" s="3" t="s">
        <v>344</v>
      </c>
      <c r="E650" s="3" t="s">
        <v>345</v>
      </c>
      <c r="G650" s="3"/>
      <c r="I650" s="3" t="s">
        <v>346</v>
      </c>
      <c r="K650" s="3"/>
      <c r="L650" s="1" t="s">
        <v>678</v>
      </c>
      <c r="O650" s="3" t="s">
        <v>133</v>
      </c>
      <c r="Q650" s="3"/>
      <c r="R650" s="3"/>
      <c r="T650" s="3"/>
      <c r="U650" s="5"/>
      <c r="W650" s="3"/>
      <c r="Z650" s="3"/>
      <c r="AA650" s="3"/>
      <c r="AC650" s="3"/>
      <c r="AD650" s="3"/>
      <c r="AF650" s="3"/>
      <c r="AG650" s="3"/>
      <c r="AI650" s="3"/>
      <c r="AJ650" s="1"/>
      <c r="AL650" s="3"/>
      <c r="AO650" s="3"/>
      <c r="AP650" s="3"/>
      <c r="AR650" s="3"/>
      <c r="AS650" s="3"/>
      <c r="AU650" s="3"/>
      <c r="AV650" s="3" t="s">
        <v>1546</v>
      </c>
      <c r="AX650" s="3"/>
      <c r="AY650" s="5">
        <v>46118</v>
      </c>
      <c r="BA650" s="3"/>
      <c r="BB650" s="1">
        <v>5</v>
      </c>
      <c r="BD650" s="3"/>
      <c r="BE650" s="3" t="s">
        <v>1914</v>
      </c>
      <c r="BG650" s="3"/>
      <c r="BH650" s="3" t="s">
        <v>1915</v>
      </c>
      <c r="BJ650" s="3"/>
      <c r="BK650" s="3"/>
      <c r="BM650" s="3"/>
      <c r="BN650" s="5"/>
      <c r="BP650" s="3"/>
      <c r="BS650" s="3"/>
      <c r="BT650" s="3"/>
      <c r="BV650" s="3"/>
      <c r="BW650" s="3"/>
      <c r="BY650" s="3"/>
      <c r="BZ650" s="3"/>
      <c r="CB650" s="3"/>
      <c r="CC650" s="5"/>
      <c r="CE650" s="3"/>
      <c r="CH650" s="3"/>
      <c r="CI650" s="3"/>
      <c r="CK650" s="3"/>
      <c r="CL650" s="3"/>
      <c r="CN650" s="3"/>
      <c r="CO650" s="3"/>
      <c r="CQ650" s="3"/>
      <c r="CR650" s="5"/>
      <c r="CT650" s="3"/>
      <c r="CW650" s="3"/>
      <c r="CX650" s="3"/>
      <c r="CZ650" s="3"/>
      <c r="DA650" s="3"/>
      <c r="DC650" s="3"/>
      <c r="DD650" s="3"/>
      <c r="DF650" s="3"/>
      <c r="DG650" s="5"/>
      <c r="DI650" s="3"/>
      <c r="DL650" s="3"/>
      <c r="DM650" s="3"/>
      <c r="DO650" s="3"/>
      <c r="DP650" s="3"/>
      <c r="DR650" s="3"/>
      <c r="DS650" s="1" t="str">
        <f>_xlfn.XLOOKUP(OfficeForms.Table[[#This Row],[Selecione a Categoria do Laboratório desta atividade prática:]],Planilha1!A:A,Planilha1!B:B)</f>
        <v>BFI</v>
      </c>
      <c r="DT650" s="1" t="str">
        <f>CONCATENATE(OfficeForms.Table[[#This Row],[Selecione seu Polo Laboratório de Atividades Presenciais:]],OfficeForms.Table[[#This Row],[CHAVE CONVERSÃO]])</f>
        <v>Boa Viagem/CEBFI</v>
      </c>
      <c r="DU65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Articular e Goniometria: Avaliação Quantitativa na Prática Fisioterapêutica;Movimento Funcional e Cinesiologia da Marcha: Observação e Análise em Laboratório Prático</v>
      </c>
      <c r="DV65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46118</v>
      </c>
      <c r="DW65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650" s="1" t="str">
        <f>_xlfn.XLOOKUP(OfficeForms.Table[[#This Row],[CHAVE LINK POLO]],'[1]Quadro Geral de Lotação'!$B:$B,'[1]Quadro Geral de Lotação'!$I:$I)</f>
        <v>Airton Souza Farias</v>
      </c>
      <c r="DY650" s="1" t="str">
        <f>OfficeForms.Table[[#This Row],[Selecione a Ordem de Disciplina]]</f>
        <v>Ordem 2</v>
      </c>
    </row>
    <row r="651" spans="1:129" ht="34.15" customHeight="1">
      <c r="A651" s="1">
        <v>651</v>
      </c>
      <c r="B651" s="2">
        <v>46120.497002314798</v>
      </c>
      <c r="C651" s="2">
        <v>46120.498356481497</v>
      </c>
      <c r="D651" s="3" t="s">
        <v>1258</v>
      </c>
      <c r="E651" s="3" t="s">
        <v>1259</v>
      </c>
      <c r="G651" s="3"/>
      <c r="I651" s="3" t="s">
        <v>275</v>
      </c>
      <c r="K651" s="3"/>
      <c r="L651" s="1" t="s">
        <v>678</v>
      </c>
      <c r="O651" s="3" t="s">
        <v>156</v>
      </c>
      <c r="Q651" s="3"/>
      <c r="R651" s="3"/>
      <c r="T651" s="3"/>
      <c r="U651" s="5"/>
      <c r="W651" s="3"/>
      <c r="Z651" s="3"/>
      <c r="AA651" s="3"/>
      <c r="AC651" s="3"/>
      <c r="AD651" s="3"/>
      <c r="AF651" s="3"/>
      <c r="AG651" s="3"/>
      <c r="AI651" s="3"/>
      <c r="AJ651" s="1"/>
      <c r="AL651" s="3"/>
      <c r="AO651" s="3"/>
      <c r="AP651" s="3"/>
      <c r="AR651" s="3"/>
      <c r="AS651" s="3"/>
      <c r="AU651" s="3"/>
      <c r="AV651" s="3"/>
      <c r="AX651" s="3"/>
      <c r="AY651" s="5"/>
      <c r="BA651" s="3"/>
      <c r="BD651" s="3"/>
      <c r="BE651" s="3"/>
      <c r="BG651" s="3"/>
      <c r="BH651" s="3"/>
      <c r="BJ651" s="3"/>
      <c r="BK651" s="3" t="s">
        <v>1756</v>
      </c>
      <c r="BM651" s="3"/>
      <c r="BN651" s="5">
        <v>46119</v>
      </c>
      <c r="BP651" s="3"/>
      <c r="BQ651" s="1">
        <v>4</v>
      </c>
      <c r="BS651" s="3"/>
      <c r="BT651" s="3" t="s">
        <v>1916</v>
      </c>
      <c r="BV651" s="3"/>
      <c r="BW651" s="3" t="s">
        <v>1917</v>
      </c>
      <c r="BY651" s="3"/>
      <c r="BZ651" s="3"/>
      <c r="CB651" s="3"/>
      <c r="CC651" s="5"/>
      <c r="CE651" s="3"/>
      <c r="CH651" s="3"/>
      <c r="CI651" s="3"/>
      <c r="CK651" s="3"/>
      <c r="CL651" s="3"/>
      <c r="CN651" s="3"/>
      <c r="CO651" s="3"/>
      <c r="CQ651" s="3"/>
      <c r="CR651" s="5"/>
      <c r="CT651" s="3"/>
      <c r="CW651" s="3"/>
      <c r="CX651" s="3"/>
      <c r="CZ651" s="3"/>
      <c r="DA651" s="3"/>
      <c r="DC651" s="3"/>
      <c r="DD651" s="3"/>
      <c r="DF651" s="3"/>
      <c r="DG651" s="5"/>
      <c r="DI651" s="3"/>
      <c r="DL651" s="3"/>
      <c r="DM651" s="3"/>
      <c r="DO651" s="3"/>
      <c r="DP651" s="3"/>
      <c r="DR651" s="3"/>
      <c r="DS651" s="1" t="str">
        <f>_xlfn.XLOOKUP(OfficeForms.Table[[#This Row],[Selecione a Categoria do Laboratório desta atividade prática:]],Planilha1!A:A,Planilha1!B:B)</f>
        <v>NTR</v>
      </c>
      <c r="DT651" s="1" t="str">
        <f>CONCATENATE(OfficeForms.Table[[#This Row],[Selecione seu Polo Laboratório de Atividades Presenciais:]],OfficeForms.Table[[#This Row],[CHAVE CONVERSÃO]])</f>
        <v>Porto Alegre/RS - Zona NorteNTR</v>
      </c>
      <c r="DU65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</v>
      </c>
      <c r="DV65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5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651" s="1" t="str">
        <f>_xlfn.XLOOKUP(OfficeForms.Table[[#This Row],[CHAVE LINK POLO]],'[1]Quadro Geral de Lotação'!$B:$B,'[1]Quadro Geral de Lotação'!$I:$I)</f>
        <v>Janaina Pieruccini Pulgatti</v>
      </c>
      <c r="DY651" s="1" t="str">
        <f>OfficeForms.Table[[#This Row],[Selecione a Ordem de Disciplina]]</f>
        <v>Ordem 2</v>
      </c>
    </row>
    <row r="652" spans="1:129" ht="34.15" customHeight="1">
      <c r="A652" s="1">
        <v>652</v>
      </c>
      <c r="B652" s="2">
        <v>46120.4984259259</v>
      </c>
      <c r="C652" s="2">
        <v>46120.4991435185</v>
      </c>
      <c r="D652" s="3" t="s">
        <v>1258</v>
      </c>
      <c r="E652" s="3" t="s">
        <v>1259</v>
      </c>
      <c r="G652" s="3"/>
      <c r="I652" s="3" t="s">
        <v>275</v>
      </c>
      <c r="K652" s="3"/>
      <c r="L652" s="1" t="s">
        <v>678</v>
      </c>
      <c r="O652" s="3" t="s">
        <v>156</v>
      </c>
      <c r="Q652" s="3"/>
      <c r="R652" s="3"/>
      <c r="T652" s="3"/>
      <c r="U652" s="5"/>
      <c r="W652" s="3"/>
      <c r="Z652" s="3"/>
      <c r="AA652" s="3"/>
      <c r="AC652" s="3"/>
      <c r="AD652" s="3"/>
      <c r="AF652" s="3"/>
      <c r="AG652" s="3"/>
      <c r="AI652" s="3"/>
      <c r="AJ652" s="1"/>
      <c r="AL652" s="3"/>
      <c r="AO652" s="3"/>
      <c r="AP652" s="3"/>
      <c r="AR652" s="3"/>
      <c r="AS652" s="3"/>
      <c r="AU652" s="3"/>
      <c r="AV652" s="3"/>
      <c r="AX652" s="3"/>
      <c r="AY652" s="5"/>
      <c r="BA652" s="3"/>
      <c r="BD652" s="3"/>
      <c r="BE652" s="3"/>
      <c r="BG652" s="3"/>
      <c r="BH652" s="3"/>
      <c r="BJ652" s="3"/>
      <c r="BK652" s="3" t="s">
        <v>455</v>
      </c>
      <c r="BM652" s="3"/>
      <c r="BN652" s="5">
        <v>46119</v>
      </c>
      <c r="BP652" s="3"/>
      <c r="BQ652" s="1">
        <v>4</v>
      </c>
      <c r="BS652" s="3"/>
      <c r="BT652" s="3" t="s">
        <v>1918</v>
      </c>
      <c r="BV652" s="3"/>
      <c r="BW652" s="3" t="s">
        <v>1919</v>
      </c>
      <c r="BY652" s="3"/>
      <c r="BZ652" s="3"/>
      <c r="CB652" s="3"/>
      <c r="CC652" s="5"/>
      <c r="CE652" s="3"/>
      <c r="CH652" s="3"/>
      <c r="CI652" s="3"/>
      <c r="CK652" s="3"/>
      <c r="CL652" s="3"/>
      <c r="CN652" s="3"/>
      <c r="CO652" s="3"/>
      <c r="CQ652" s="3"/>
      <c r="CR652" s="5"/>
      <c r="CT652" s="3"/>
      <c r="CW652" s="3"/>
      <c r="CX652" s="3"/>
      <c r="CZ652" s="3"/>
      <c r="DA652" s="3"/>
      <c r="DC652" s="3"/>
      <c r="DD652" s="3"/>
      <c r="DF652" s="3"/>
      <c r="DG652" s="5"/>
      <c r="DI652" s="3"/>
      <c r="DL652" s="3"/>
      <c r="DM652" s="3"/>
      <c r="DO652" s="3"/>
      <c r="DP652" s="3"/>
      <c r="DR652" s="3"/>
      <c r="DS652" s="1" t="str">
        <f>_xlfn.XLOOKUP(OfficeForms.Table[[#This Row],[Selecione a Categoria do Laboratório desta atividade prática:]],Planilha1!A:A,Planilha1!B:B)</f>
        <v>NTR</v>
      </c>
      <c r="DT652" s="1" t="str">
        <f>CONCATENATE(OfficeForms.Table[[#This Row],[Selecione seu Polo Laboratório de Atividades Presenciais:]],OfficeForms.Table[[#This Row],[CHAVE CONVERSÃO]])</f>
        <v>Porto Alegre/RS - Zona NorteNTR</v>
      </c>
      <c r="DU65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II: Anamnese e diagnóstico</v>
      </c>
      <c r="DV65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5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652" s="1" t="str">
        <f>_xlfn.XLOOKUP(OfficeForms.Table[[#This Row],[CHAVE LINK POLO]],'[1]Quadro Geral de Lotação'!$B:$B,'[1]Quadro Geral de Lotação'!$I:$I)</f>
        <v>Janaina Pieruccini Pulgatti</v>
      </c>
      <c r="DY652" s="1" t="str">
        <f>OfficeForms.Table[[#This Row],[Selecione a Ordem de Disciplina]]</f>
        <v>Ordem 2</v>
      </c>
    </row>
    <row r="653" spans="1:129" ht="34.15" customHeight="1">
      <c r="A653" s="1">
        <v>653</v>
      </c>
      <c r="B653" s="2">
        <v>46120.664803240703</v>
      </c>
      <c r="C653" s="2">
        <v>46120.679629629602</v>
      </c>
      <c r="D653" s="3" t="s">
        <v>1920</v>
      </c>
      <c r="E653" s="3" t="s">
        <v>1921</v>
      </c>
      <c r="G653" s="3"/>
      <c r="I653" s="3" t="s">
        <v>1922</v>
      </c>
      <c r="K653" s="3"/>
      <c r="L653" s="1" t="s">
        <v>132</v>
      </c>
      <c r="O653" s="3" t="s">
        <v>184</v>
      </c>
      <c r="Q653" s="3"/>
      <c r="R653" s="3"/>
      <c r="T653" s="3"/>
      <c r="U653" s="5"/>
      <c r="W653" s="3"/>
      <c r="Z653" s="3"/>
      <c r="AA653" s="3"/>
      <c r="AC653" s="3"/>
      <c r="AD653" s="3"/>
      <c r="AF653" s="3"/>
      <c r="AG653" s="3" t="s">
        <v>185</v>
      </c>
      <c r="AI653" s="3"/>
      <c r="AJ653" s="1">
        <v>46071</v>
      </c>
      <c r="AL653" s="3"/>
      <c r="AM653" s="1">
        <v>6</v>
      </c>
      <c r="AO653" s="3"/>
      <c r="AP653" s="3" t="s">
        <v>1923</v>
      </c>
      <c r="AR653" s="3"/>
      <c r="AS653" s="3" t="s">
        <v>1924</v>
      </c>
      <c r="AU653" s="3"/>
      <c r="AV653" s="3"/>
      <c r="AX653" s="3"/>
      <c r="AY653" s="5"/>
      <c r="BA653" s="3"/>
      <c r="BD653" s="3"/>
      <c r="BE653" s="3"/>
      <c r="BG653" s="3"/>
      <c r="BH653" s="3"/>
      <c r="BJ653" s="3"/>
      <c r="BK653" s="3"/>
      <c r="BM653" s="3"/>
      <c r="BN653" s="5"/>
      <c r="BP653" s="3"/>
      <c r="BS653" s="3"/>
      <c r="BT653" s="3"/>
      <c r="BV653" s="3"/>
      <c r="BW653" s="3"/>
      <c r="BY653" s="3"/>
      <c r="BZ653" s="3"/>
      <c r="CB653" s="3"/>
      <c r="CC653" s="5"/>
      <c r="CE653" s="3"/>
      <c r="CH653" s="3"/>
      <c r="CI653" s="3"/>
      <c r="CK653" s="3"/>
      <c r="CL653" s="3"/>
      <c r="CN653" s="3"/>
      <c r="CO653" s="3"/>
      <c r="CQ653" s="3"/>
      <c r="CR653" s="5"/>
      <c r="CT653" s="3"/>
      <c r="CW653" s="3"/>
      <c r="CX653" s="3"/>
      <c r="CZ653" s="3"/>
      <c r="DA653" s="3"/>
      <c r="DC653" s="3"/>
      <c r="DD653" s="3"/>
      <c r="DF653" s="3"/>
      <c r="DG653" s="5"/>
      <c r="DI653" s="3"/>
      <c r="DL653" s="3"/>
      <c r="DM653" s="3"/>
      <c r="DO653" s="3"/>
      <c r="DP653" s="3"/>
      <c r="DR653" s="3"/>
      <c r="DS653" s="1" t="str">
        <f>_xlfn.XLOOKUP(OfficeForms.Table[[#This Row],[Selecione a Categoria do Laboratório desta atividade prática:]],Planilha1!A:A,Planilha1!B:B)</f>
        <v>EMF-ISN</v>
      </c>
      <c r="DT653" s="1" t="str">
        <f>CONCATENATE(OfficeForms.Table[[#This Row],[Selecione seu Polo Laboratório de Atividades Presenciais:]],OfficeForms.Table[[#This Row],[CHAVE CONVERSÃO]])</f>
        <v>Fortaleza/CE - AguanambiEMF-ISN</v>
      </c>
      <c r="DU65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65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65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653" s="1" t="str">
        <f>_xlfn.XLOOKUP(OfficeForms.Table[[#This Row],[CHAVE LINK POLO]],'[1]Quadro Geral de Lotação'!$B:$B,'[1]Quadro Geral de Lotação'!$I:$I)</f>
        <v>Karla Ingridy Cardoso Oliveira</v>
      </c>
      <c r="DY653" s="1" t="str">
        <f>OfficeForms.Table[[#This Row],[Selecione a Ordem de Disciplina]]</f>
        <v>Ordem 1</v>
      </c>
    </row>
    <row r="654" spans="1:129" ht="34.15" customHeight="1">
      <c r="A654" s="1">
        <v>654</v>
      </c>
      <c r="B654" s="2">
        <v>46120.794513888897</v>
      </c>
      <c r="C654" s="2">
        <v>46120.805717592601</v>
      </c>
      <c r="D654" s="3" t="s">
        <v>1480</v>
      </c>
      <c r="E654" s="3" t="s">
        <v>1481</v>
      </c>
      <c r="G654" s="3"/>
      <c r="I654" s="3" t="s">
        <v>545</v>
      </c>
      <c r="K654" s="3"/>
      <c r="L654" s="1" t="s">
        <v>678</v>
      </c>
      <c r="O654" s="3" t="s">
        <v>1482</v>
      </c>
      <c r="Q654" s="3"/>
      <c r="R654" s="3"/>
      <c r="T654" s="3"/>
      <c r="U654" s="5"/>
      <c r="W654" s="3"/>
      <c r="Z654" s="3"/>
      <c r="AA654" s="3"/>
      <c r="AC654" s="3"/>
      <c r="AD654" s="3"/>
      <c r="AF654" s="3"/>
      <c r="AG654" s="3"/>
      <c r="AI654" s="3"/>
      <c r="AJ654" s="1"/>
      <c r="AL654" s="3"/>
      <c r="AO654" s="3"/>
      <c r="AP654" s="3"/>
      <c r="AR654" s="3"/>
      <c r="AS654" s="3"/>
      <c r="AU654" s="3"/>
      <c r="AV654" s="3"/>
      <c r="AX654" s="3"/>
      <c r="AY654" s="5"/>
      <c r="BA654" s="3"/>
      <c r="BD654" s="3"/>
      <c r="BE654" s="3"/>
      <c r="BG654" s="3"/>
      <c r="BH654" s="3"/>
      <c r="BJ654" s="3"/>
      <c r="BK654" s="3"/>
      <c r="BM654" s="3"/>
      <c r="BN654" s="5"/>
      <c r="BP654" s="3"/>
      <c r="BS654" s="3"/>
      <c r="BT654" s="3"/>
      <c r="BV654" s="3"/>
      <c r="BW654" s="3"/>
      <c r="BY654" s="3"/>
      <c r="BZ654" s="3"/>
      <c r="CB654" s="3"/>
      <c r="CC654" s="5"/>
      <c r="CE654" s="3"/>
      <c r="CH654" s="3"/>
      <c r="CI654" s="3"/>
      <c r="CK654" s="3"/>
      <c r="CL654" s="3"/>
      <c r="CN654" s="3"/>
      <c r="CO654" s="3" t="s">
        <v>1925</v>
      </c>
      <c r="CQ654" s="3"/>
      <c r="CR654" s="5">
        <v>46112</v>
      </c>
      <c r="CT654" s="3"/>
      <c r="CU654" s="1">
        <v>0</v>
      </c>
      <c r="CW654" s="3"/>
      <c r="CX654" s="3" t="s">
        <v>1926</v>
      </c>
      <c r="CZ654" s="3"/>
      <c r="DA654" s="3" t="s">
        <v>1927</v>
      </c>
      <c r="DC654" s="3"/>
      <c r="DD654" s="3"/>
      <c r="DF654" s="3"/>
      <c r="DG654" s="5"/>
      <c r="DI654" s="3"/>
      <c r="DL654" s="3"/>
      <c r="DM654" s="3"/>
      <c r="DO654" s="3"/>
      <c r="DP654" s="3"/>
      <c r="DR654" s="3"/>
      <c r="DS654" s="1" t="str">
        <f>_xlfn.XLOOKUP(OfficeForms.Table[[#This Row],[Selecione a Categoria do Laboratório desta atividade prática:]],Planilha1!A:A,Planilha1!B:B)</f>
        <v>BAU</v>
      </c>
      <c r="DT654" s="1" t="str">
        <f>CONCATENATE(OfficeForms.Table[[#This Row],[Selecione seu Polo Laboratório de Atividades Presenciais:]],OfficeForms.Table[[#This Row],[CHAVE CONVERSÃO]])</f>
        <v>Porto Alegre/RS - Centro HistóricoBAU</v>
      </c>
      <c r="DU65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Assessoramento do perfil viário e detalhamento técnico de um lote (Parte 1)</v>
      </c>
      <c r="DV65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5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54" s="1" t="str">
        <f>_xlfn.XLOOKUP(OfficeForms.Table[[#This Row],[CHAVE LINK POLO]],'[1]Quadro Geral de Lotação'!$B:$B,'[1]Quadro Geral de Lotação'!$I:$I)</f>
        <v>Maria Cristina De Freitas Guerreiro</v>
      </c>
      <c r="DY654" s="1" t="str">
        <f>OfficeForms.Table[[#This Row],[Selecione a Ordem de Disciplina]]</f>
        <v>Ordem 2</v>
      </c>
    </row>
    <row r="655" spans="1:129" ht="34.15" customHeight="1">
      <c r="A655" s="1">
        <v>655</v>
      </c>
      <c r="B655" s="2">
        <v>46120.794479166703</v>
      </c>
      <c r="C655" s="2">
        <v>46120.807766203703</v>
      </c>
      <c r="D655" s="3" t="s">
        <v>1480</v>
      </c>
      <c r="E655" s="3" t="s">
        <v>1481</v>
      </c>
      <c r="G655" s="3"/>
      <c r="I655" s="3" t="s">
        <v>545</v>
      </c>
      <c r="K655" s="3"/>
      <c r="L655" s="1" t="s">
        <v>678</v>
      </c>
      <c r="O655" s="3" t="s">
        <v>1482</v>
      </c>
      <c r="Q655" s="3"/>
      <c r="R655" s="3"/>
      <c r="T655" s="3"/>
      <c r="U655" s="5"/>
      <c r="W655" s="3"/>
      <c r="Z655" s="3"/>
      <c r="AA655" s="3"/>
      <c r="AC655" s="3"/>
      <c r="AD655" s="3"/>
      <c r="AF655" s="3"/>
      <c r="AG655" s="3"/>
      <c r="AI655" s="3"/>
      <c r="AJ655" s="1"/>
      <c r="AL655" s="3"/>
      <c r="AO655" s="3"/>
      <c r="AP655" s="3"/>
      <c r="AR655" s="3"/>
      <c r="AS655" s="3"/>
      <c r="AU655" s="3"/>
      <c r="AV655" s="3"/>
      <c r="AX655" s="3"/>
      <c r="AY655" s="5"/>
      <c r="BA655" s="3"/>
      <c r="BD655" s="3"/>
      <c r="BE655" s="3"/>
      <c r="BG655" s="3"/>
      <c r="BH655" s="3"/>
      <c r="BJ655" s="3"/>
      <c r="BK655" s="3"/>
      <c r="BM655" s="3"/>
      <c r="BN655" s="5"/>
      <c r="BP655" s="3"/>
      <c r="BS655" s="3"/>
      <c r="BT655" s="3"/>
      <c r="BV655" s="3"/>
      <c r="BW655" s="3"/>
      <c r="BY655" s="3"/>
      <c r="BZ655" s="3"/>
      <c r="CB655" s="3"/>
      <c r="CC655" s="5"/>
      <c r="CE655" s="3"/>
      <c r="CH655" s="3"/>
      <c r="CI655" s="3"/>
      <c r="CK655" s="3"/>
      <c r="CL655" s="3"/>
      <c r="CN655" s="3"/>
      <c r="CO655" s="3" t="s">
        <v>1574</v>
      </c>
      <c r="CQ655" s="3"/>
      <c r="CR655" s="5">
        <v>46112</v>
      </c>
      <c r="CT655" s="3"/>
      <c r="CU655" s="1">
        <v>0</v>
      </c>
      <c r="CW655" s="3"/>
      <c r="CX655" s="3" t="s">
        <v>1928</v>
      </c>
      <c r="CZ655" s="3"/>
      <c r="DA655" s="3" t="s">
        <v>1929</v>
      </c>
      <c r="DC655" s="3"/>
      <c r="DD655" s="3"/>
      <c r="DF655" s="3"/>
      <c r="DG655" s="5"/>
      <c r="DI655" s="3"/>
      <c r="DL655" s="3"/>
      <c r="DM655" s="3"/>
      <c r="DO655" s="3"/>
      <c r="DP655" s="3"/>
      <c r="DR655" s="3"/>
      <c r="DS655" s="1" t="str">
        <f>_xlfn.XLOOKUP(OfficeForms.Table[[#This Row],[Selecione a Categoria do Laboratório desta atividade prática:]],Planilha1!A:A,Planilha1!B:B)</f>
        <v>BAU</v>
      </c>
      <c r="DT655" s="1" t="str">
        <f>CONCATENATE(OfficeForms.Table[[#This Row],[Selecione seu Polo Laboratório de Atividades Presenciais:]],OfficeForms.Table[[#This Row],[CHAVE CONVERSÃO]])</f>
        <v>Porto Alegre/RS - Centro HistóricoBAU</v>
      </c>
      <c r="DU65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Maquete Física Volumétrica (Parte 1)</v>
      </c>
      <c r="DV65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5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55" s="1" t="str">
        <f>_xlfn.XLOOKUP(OfficeForms.Table[[#This Row],[CHAVE LINK POLO]],'[1]Quadro Geral de Lotação'!$B:$B,'[1]Quadro Geral de Lotação'!$I:$I)</f>
        <v>Maria Cristina De Freitas Guerreiro</v>
      </c>
      <c r="DY655" s="1" t="str">
        <f>OfficeForms.Table[[#This Row],[Selecione a Ordem de Disciplina]]</f>
        <v>Ordem 2</v>
      </c>
    </row>
    <row r="656" spans="1:129" ht="34.15" customHeight="1">
      <c r="A656" s="1">
        <v>656</v>
      </c>
      <c r="B656" s="2">
        <v>46120.807962963001</v>
      </c>
      <c r="C656" s="2">
        <v>46120.812418981499</v>
      </c>
      <c r="D656" s="3" t="s">
        <v>1480</v>
      </c>
      <c r="E656" s="3" t="s">
        <v>1481</v>
      </c>
      <c r="G656" s="3"/>
      <c r="I656" s="3" t="s">
        <v>545</v>
      </c>
      <c r="K656" s="3"/>
      <c r="L656" s="1" t="s">
        <v>1325</v>
      </c>
      <c r="O656" s="3" t="s">
        <v>1482</v>
      </c>
      <c r="Q656" s="3"/>
      <c r="R656" s="3"/>
      <c r="T656" s="3"/>
      <c r="U656" s="5"/>
      <c r="W656" s="3"/>
      <c r="Z656" s="3"/>
      <c r="AA656" s="3"/>
      <c r="AC656" s="3"/>
      <c r="AD656" s="3"/>
      <c r="AF656" s="3"/>
      <c r="AG656" s="3"/>
      <c r="AI656" s="3"/>
      <c r="AJ656" s="1"/>
      <c r="AL656" s="3"/>
      <c r="AO656" s="3"/>
      <c r="AP656" s="3"/>
      <c r="AR656" s="3"/>
      <c r="AS656" s="3"/>
      <c r="AU656" s="3"/>
      <c r="AV656" s="3"/>
      <c r="AX656" s="3"/>
      <c r="AY656" s="5"/>
      <c r="BA656" s="3"/>
      <c r="BD656" s="3"/>
      <c r="BE656" s="3"/>
      <c r="BG656" s="3"/>
      <c r="BH656" s="3"/>
      <c r="BJ656" s="3"/>
      <c r="BK656" s="3"/>
      <c r="BM656" s="3"/>
      <c r="BN656" s="5"/>
      <c r="BP656" s="3"/>
      <c r="BS656" s="3"/>
      <c r="BT656" s="3"/>
      <c r="BV656" s="3"/>
      <c r="BW656" s="3"/>
      <c r="BY656" s="3"/>
      <c r="BZ656" s="3"/>
      <c r="CB656" s="3"/>
      <c r="CC656" s="5"/>
      <c r="CE656" s="3"/>
      <c r="CH656" s="3"/>
      <c r="CI656" s="3"/>
      <c r="CK656" s="3"/>
      <c r="CL656" s="3"/>
      <c r="CN656" s="3"/>
      <c r="CO656" s="3" t="s">
        <v>1930</v>
      </c>
      <c r="CQ656" s="3"/>
      <c r="CR656" s="5">
        <v>46119</v>
      </c>
      <c r="CT656" s="3"/>
      <c r="CU656" s="1">
        <v>3</v>
      </c>
      <c r="CW656" s="3"/>
      <c r="CX656" s="3" t="s">
        <v>1931</v>
      </c>
      <c r="CZ656" s="3"/>
      <c r="DA656" s="3" t="s">
        <v>1932</v>
      </c>
      <c r="DC656" s="3"/>
      <c r="DD656" s="3"/>
      <c r="DF656" s="3"/>
      <c r="DG656" s="5"/>
      <c r="DI656" s="3"/>
      <c r="DL656" s="3"/>
      <c r="DM656" s="3"/>
      <c r="DO656" s="3"/>
      <c r="DP656" s="3"/>
      <c r="DR656" s="3"/>
      <c r="DS656" s="1" t="str">
        <f>_xlfn.XLOOKUP(OfficeForms.Table[[#This Row],[Selecione a Categoria do Laboratório desta atividade prática:]],Planilha1!A:A,Planilha1!B:B)</f>
        <v>BAU</v>
      </c>
      <c r="DT656" s="1" t="str">
        <f>CONCATENATE(OfficeForms.Table[[#This Row],[Selecione seu Polo Laboratório de Atividades Presenciais:]],OfficeForms.Table[[#This Row],[CHAVE CONVERSÃO]])</f>
        <v>Porto Alegre/RS - Centro HistóricoBAU</v>
      </c>
      <c r="DU65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Conceitos Básicos do Desenho Auxiliado por Computador (AutoCAD)</v>
      </c>
      <c r="DV65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5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56" s="1" t="str">
        <f>_xlfn.XLOOKUP(OfficeForms.Table[[#This Row],[CHAVE LINK POLO]],'[1]Quadro Geral de Lotação'!$B:$B,'[1]Quadro Geral de Lotação'!$I:$I)</f>
        <v>Maria Cristina De Freitas Guerreiro</v>
      </c>
      <c r="DY656" s="1" t="str">
        <f>OfficeForms.Table[[#This Row],[Selecione a Ordem de Disciplina]]</f>
        <v>Ordem 3</v>
      </c>
    </row>
    <row r="657" spans="1:129" ht="34.15" customHeight="1">
      <c r="A657" s="1">
        <v>657</v>
      </c>
      <c r="B657" s="2">
        <v>46120.812604166698</v>
      </c>
      <c r="C657" s="2">
        <v>46120.813773148097</v>
      </c>
      <c r="D657" s="3" t="s">
        <v>1480</v>
      </c>
      <c r="E657" s="3" t="s">
        <v>1481</v>
      </c>
      <c r="G657" s="3"/>
      <c r="I657" s="3" t="s">
        <v>545</v>
      </c>
      <c r="K657" s="3"/>
      <c r="L657" s="1" t="s">
        <v>678</v>
      </c>
      <c r="O657" s="3" t="s">
        <v>1482</v>
      </c>
      <c r="Q657" s="3"/>
      <c r="R657" s="3"/>
      <c r="T657" s="3"/>
      <c r="U657" s="5"/>
      <c r="W657" s="3"/>
      <c r="Z657" s="3"/>
      <c r="AA657" s="3"/>
      <c r="AC657" s="3"/>
      <c r="AD657" s="3"/>
      <c r="AF657" s="3"/>
      <c r="AG657" s="3"/>
      <c r="AI657" s="3"/>
      <c r="AJ657" s="1"/>
      <c r="AL657" s="3"/>
      <c r="AO657" s="3"/>
      <c r="AP657" s="3"/>
      <c r="AR657" s="3"/>
      <c r="AS657" s="3"/>
      <c r="AU657" s="3"/>
      <c r="AV657" s="3"/>
      <c r="AX657" s="3"/>
      <c r="AY657" s="5"/>
      <c r="BA657" s="3"/>
      <c r="BD657" s="3"/>
      <c r="BE657" s="3"/>
      <c r="BG657" s="3"/>
      <c r="BH657" s="3"/>
      <c r="BJ657" s="3"/>
      <c r="BK657" s="3"/>
      <c r="BM657" s="3"/>
      <c r="BN657" s="5"/>
      <c r="BP657" s="3"/>
      <c r="BS657" s="3"/>
      <c r="BT657" s="3"/>
      <c r="BV657" s="3"/>
      <c r="BW657" s="3"/>
      <c r="BY657" s="3"/>
      <c r="BZ657" s="3"/>
      <c r="CB657" s="3"/>
      <c r="CC657" s="5"/>
      <c r="CE657" s="3"/>
      <c r="CH657" s="3"/>
      <c r="CI657" s="3"/>
      <c r="CK657" s="3"/>
      <c r="CL657" s="3"/>
      <c r="CN657" s="3"/>
      <c r="CO657" s="3" t="s">
        <v>1933</v>
      </c>
      <c r="CQ657" s="3"/>
      <c r="CR657" s="5">
        <v>46119</v>
      </c>
      <c r="CT657" s="3"/>
      <c r="CU657" s="1">
        <v>3</v>
      </c>
      <c r="CW657" s="3"/>
      <c r="CX657" s="3" t="s">
        <v>1934</v>
      </c>
      <c r="CZ657" s="3"/>
      <c r="DA657" s="3" t="s">
        <v>1935</v>
      </c>
      <c r="DC657" s="3"/>
      <c r="DD657" s="3"/>
      <c r="DF657" s="3"/>
      <c r="DG657" s="5"/>
      <c r="DI657" s="3"/>
      <c r="DL657" s="3"/>
      <c r="DM657" s="3"/>
      <c r="DO657" s="3"/>
      <c r="DP657" s="3"/>
      <c r="DR657" s="3"/>
      <c r="DS657" s="1" t="str">
        <f>_xlfn.XLOOKUP(OfficeForms.Table[[#This Row],[Selecione a Categoria do Laboratório desta atividade prática:]],Planilha1!A:A,Planilha1!B:B)</f>
        <v>BAU</v>
      </c>
      <c r="DT657" s="1" t="str">
        <f>CONCATENATE(OfficeForms.Table[[#This Row],[Selecione seu Polo Laboratório de Atividades Presenciais:]],OfficeForms.Table[[#This Row],[CHAVE CONVERSÃO]])</f>
        <v>Porto Alegre/RS - Centro HistóricoBAU</v>
      </c>
      <c r="DU65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Desenho Técnico no AutoCAD: Prática Essencial para Iniciantes.</v>
      </c>
      <c r="DV65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5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57" s="1" t="str">
        <f>_xlfn.XLOOKUP(OfficeForms.Table[[#This Row],[CHAVE LINK POLO]],'[1]Quadro Geral de Lotação'!$B:$B,'[1]Quadro Geral de Lotação'!$I:$I)</f>
        <v>Maria Cristina De Freitas Guerreiro</v>
      </c>
      <c r="DY657" s="1" t="str">
        <f>OfficeForms.Table[[#This Row],[Selecione a Ordem de Disciplina]]</f>
        <v>Ordem 2</v>
      </c>
    </row>
    <row r="658" spans="1:129" ht="34.15" customHeight="1">
      <c r="A658" s="1">
        <v>658</v>
      </c>
      <c r="B658" s="2">
        <v>46120.890208333301</v>
      </c>
      <c r="C658" s="2">
        <v>46120.891909722202</v>
      </c>
      <c r="D658" s="3" t="s">
        <v>297</v>
      </c>
      <c r="E658" s="3" t="s">
        <v>298</v>
      </c>
      <c r="G658" s="3"/>
      <c r="I658" s="3" t="s">
        <v>299</v>
      </c>
      <c r="K658" s="3"/>
      <c r="L658" s="1" t="s">
        <v>678</v>
      </c>
      <c r="O658" s="3" t="s">
        <v>156</v>
      </c>
      <c r="Q658" s="3"/>
      <c r="R658" s="3"/>
      <c r="T658" s="3"/>
      <c r="U658" s="5"/>
      <c r="W658" s="3"/>
      <c r="Z658" s="3"/>
      <c r="AA658" s="3"/>
      <c r="AC658" s="3"/>
      <c r="AD658" s="3"/>
      <c r="AF658" s="3"/>
      <c r="AG658" s="3"/>
      <c r="AI658" s="3"/>
      <c r="AJ658" s="1"/>
      <c r="AL658" s="3"/>
      <c r="AO658" s="3"/>
      <c r="AP658" s="3"/>
      <c r="AR658" s="3"/>
      <c r="AS658" s="3"/>
      <c r="AU658" s="3"/>
      <c r="AV658" s="3"/>
      <c r="AX658" s="3"/>
      <c r="AY658" s="5"/>
      <c r="BA658" s="3"/>
      <c r="BD658" s="3"/>
      <c r="BE658" s="3"/>
      <c r="BG658" s="3"/>
      <c r="BH658" s="3"/>
      <c r="BJ658" s="3"/>
      <c r="BK658" s="3" t="s">
        <v>1273</v>
      </c>
      <c r="BM658" s="3"/>
      <c r="BN658" s="5">
        <v>46119</v>
      </c>
      <c r="BP658" s="3"/>
      <c r="BQ658" s="1">
        <v>5</v>
      </c>
      <c r="BS658" s="3"/>
      <c r="BT658" s="3" t="s">
        <v>1936</v>
      </c>
      <c r="BV658" s="3"/>
      <c r="BW658" s="3" t="s">
        <v>1937</v>
      </c>
      <c r="BY658" s="3"/>
      <c r="BZ658" s="3"/>
      <c r="CB658" s="3"/>
      <c r="CC658" s="5"/>
      <c r="CE658" s="3"/>
      <c r="CH658" s="3"/>
      <c r="CI658" s="3"/>
      <c r="CK658" s="3"/>
      <c r="CL658" s="3"/>
      <c r="CN658" s="3"/>
      <c r="CO658" s="3"/>
      <c r="CQ658" s="3"/>
      <c r="CR658" s="5"/>
      <c r="CT658" s="3"/>
      <c r="CW658" s="3"/>
      <c r="CX658" s="3"/>
      <c r="CZ658" s="3"/>
      <c r="DA658" s="3"/>
      <c r="DC658" s="3"/>
      <c r="DD658" s="3"/>
      <c r="DF658" s="3"/>
      <c r="DG658" s="5"/>
      <c r="DI658" s="3"/>
      <c r="DL658" s="3"/>
      <c r="DM658" s="3"/>
      <c r="DO658" s="3"/>
      <c r="DP658" s="3"/>
      <c r="DR658" s="3"/>
      <c r="DS658" s="1" t="str">
        <f>_xlfn.XLOOKUP(OfficeForms.Table[[#This Row],[Selecione a Categoria do Laboratório desta atividade prática:]],Planilha1!A:A,Planilha1!B:B)</f>
        <v>NTR</v>
      </c>
      <c r="DT658" s="1" t="str">
        <f>CONCATENATE(OfficeForms.Table[[#This Row],[Selecione seu Polo Laboratório de Atividades Presenciais:]],OfficeForms.Table[[#This Row],[CHAVE CONVERSÃO]])</f>
        <v>Indaial/SC - Vitória Regia ( Centro Universitário  Leonardo da Vinci)NTR</v>
      </c>
      <c r="DU65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de caso dirigido  - relacionado ao caso destacado na receita preparada.</v>
      </c>
      <c r="DV65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5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658" s="1" t="str">
        <f>_xlfn.XLOOKUP(OfficeForms.Table[[#This Row],[CHAVE LINK POLO]],'[1]Quadro Geral de Lotação'!$B:$B,'[1]Quadro Geral de Lotação'!$I:$I)</f>
        <v>-</v>
      </c>
      <c r="DY658" s="1" t="str">
        <f>OfficeForms.Table[[#This Row],[Selecione a Ordem de Disciplina]]</f>
        <v>Ordem 2</v>
      </c>
    </row>
    <row r="659" spans="1:129" ht="34.15" customHeight="1">
      <c r="A659" s="1">
        <v>659</v>
      </c>
      <c r="B659" s="2">
        <v>46120.914745370399</v>
      </c>
      <c r="C659" s="2">
        <v>46120.918576388904</v>
      </c>
      <c r="D659" s="3" t="s">
        <v>168</v>
      </c>
      <c r="E659" s="3" t="s">
        <v>169</v>
      </c>
      <c r="G659" s="3"/>
      <c r="I659" s="3" t="s">
        <v>170</v>
      </c>
      <c r="K659" s="3"/>
      <c r="L659" s="1" t="s">
        <v>678</v>
      </c>
      <c r="O659" s="3" t="s">
        <v>133</v>
      </c>
      <c r="Q659" s="3"/>
      <c r="R659" s="3"/>
      <c r="T659" s="3"/>
      <c r="U659" s="5"/>
      <c r="W659" s="3"/>
      <c r="Z659" s="3"/>
      <c r="AA659" s="3"/>
      <c r="AC659" s="3"/>
      <c r="AD659" s="3"/>
      <c r="AF659" s="3"/>
      <c r="AG659" s="3"/>
      <c r="AI659" s="3"/>
      <c r="AJ659" s="1"/>
      <c r="AL659" s="3"/>
      <c r="AO659" s="3"/>
      <c r="AP659" s="3"/>
      <c r="AR659" s="3"/>
      <c r="AS659" s="3"/>
      <c r="AU659" s="3"/>
      <c r="AV659" s="3" t="s">
        <v>1938</v>
      </c>
      <c r="AX659" s="3"/>
      <c r="AY659" s="5">
        <v>46120</v>
      </c>
      <c r="BA659" s="3"/>
      <c r="BB659" s="1">
        <v>3</v>
      </c>
      <c r="BD659" s="3"/>
      <c r="BE659" s="3" t="s">
        <v>1939</v>
      </c>
      <c r="BG659" s="3"/>
      <c r="BH659" s="3" t="s">
        <v>1940</v>
      </c>
      <c r="BJ659" s="3"/>
      <c r="BK659" s="3"/>
      <c r="BM659" s="3"/>
      <c r="BN659" s="5"/>
      <c r="BP659" s="3"/>
      <c r="BS659" s="3"/>
      <c r="BT659" s="3"/>
      <c r="BV659" s="3"/>
      <c r="BW659" s="3"/>
      <c r="BY659" s="3"/>
      <c r="BZ659" s="3"/>
      <c r="CB659" s="3"/>
      <c r="CC659" s="5"/>
      <c r="CE659" s="3"/>
      <c r="CH659" s="3"/>
      <c r="CI659" s="3"/>
      <c r="CK659" s="3"/>
      <c r="CL659" s="3"/>
      <c r="CN659" s="3"/>
      <c r="CO659" s="3"/>
      <c r="CQ659" s="3"/>
      <c r="CR659" s="5"/>
      <c r="CT659" s="3"/>
      <c r="CW659" s="3"/>
      <c r="CX659" s="3"/>
      <c r="CZ659" s="3"/>
      <c r="DA659" s="3"/>
      <c r="DC659" s="3"/>
      <c r="DD659" s="3"/>
      <c r="DF659" s="3"/>
      <c r="DG659" s="5"/>
      <c r="DI659" s="3"/>
      <c r="DL659" s="3"/>
      <c r="DM659" s="3"/>
      <c r="DO659" s="3"/>
      <c r="DP659" s="3"/>
      <c r="DR659" s="3"/>
      <c r="DS659" s="1" t="str">
        <f>_xlfn.XLOOKUP(OfficeForms.Table[[#This Row],[Selecione a Categoria do Laboratório desta atividade prática:]],Planilha1!A:A,Planilha1!B:B)</f>
        <v>BFI</v>
      </c>
      <c r="DT659" s="1" t="str">
        <f>CONCATENATE(OfficeForms.Table[[#This Row],[Selecione seu Polo Laboratório de Atividades Presenciais:]],OfficeForms.Table[[#This Row],[CHAVE CONVERSÃO]])</f>
        <v>Paulo Afonso/BA - Tancredo Neves IIBFI</v>
      </c>
      <c r="DU65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Respiratórias na Fisioterapia Intensiva;Prática de Avaliação Intensiva: Uso de Simuladores para Diagnóstico e Intervenção Respiratória</v>
      </c>
      <c r="DV65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65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59" s="1" t="str">
        <f>_xlfn.XLOOKUP(OfficeForms.Table[[#This Row],[CHAVE LINK POLO]],'[1]Quadro Geral de Lotação'!$B:$B,'[1]Quadro Geral de Lotação'!$I:$I)</f>
        <v>Vanessa Das Neves Varjao</v>
      </c>
      <c r="DY659" s="1" t="str">
        <f>OfficeForms.Table[[#This Row],[Selecione a Ordem de Disciplina]]</f>
        <v>Ordem 2</v>
      </c>
    </row>
    <row r="660" spans="1:129" ht="34.15" customHeight="1">
      <c r="A660" s="1">
        <v>660</v>
      </c>
      <c r="B660" s="2">
        <v>46121.317905092597</v>
      </c>
      <c r="C660" s="2">
        <v>46121.320775462998</v>
      </c>
      <c r="D660" s="3" t="s">
        <v>306</v>
      </c>
      <c r="E660" s="3" t="s">
        <v>307</v>
      </c>
      <c r="G660" s="3"/>
      <c r="I660" s="3" t="s">
        <v>308</v>
      </c>
      <c r="K660" s="3"/>
      <c r="L660" s="1" t="s">
        <v>678</v>
      </c>
      <c r="O660" s="3" t="s">
        <v>133</v>
      </c>
      <c r="Q660" s="3"/>
      <c r="R660" s="3"/>
      <c r="T660" s="3"/>
      <c r="U660" s="5"/>
      <c r="W660" s="3"/>
      <c r="Z660" s="3"/>
      <c r="AA660" s="3"/>
      <c r="AC660" s="3"/>
      <c r="AD660" s="3"/>
      <c r="AF660" s="3"/>
      <c r="AG660" s="3"/>
      <c r="AI660" s="3"/>
      <c r="AJ660" s="1"/>
      <c r="AL660" s="3"/>
      <c r="AO660" s="3"/>
      <c r="AP660" s="3"/>
      <c r="AR660" s="3"/>
      <c r="AS660" s="3"/>
      <c r="AU660" s="3"/>
      <c r="AV660" s="3" t="s">
        <v>1800</v>
      </c>
      <c r="AX660" s="3"/>
      <c r="AY660" s="5">
        <v>46120</v>
      </c>
      <c r="BA660" s="3"/>
      <c r="BB660" s="1">
        <v>12</v>
      </c>
      <c r="BD660" s="3"/>
      <c r="BE660" s="3" t="s">
        <v>1941</v>
      </c>
      <c r="BG660" s="3"/>
      <c r="BH660" s="3" t="s">
        <v>1942</v>
      </c>
      <c r="BJ660" s="3"/>
      <c r="BK660" s="3"/>
      <c r="BM660" s="3"/>
      <c r="BN660" s="5"/>
      <c r="BP660" s="3"/>
      <c r="BS660" s="3"/>
      <c r="BT660" s="3"/>
      <c r="BV660" s="3"/>
      <c r="BW660" s="3"/>
      <c r="BY660" s="3"/>
      <c r="BZ660" s="3"/>
      <c r="CB660" s="3"/>
      <c r="CC660" s="5"/>
      <c r="CE660" s="3"/>
      <c r="CH660" s="3"/>
      <c r="CI660" s="3"/>
      <c r="CK660" s="3"/>
      <c r="CL660" s="3"/>
      <c r="CN660" s="3"/>
      <c r="CO660" s="3"/>
      <c r="CQ660" s="3"/>
      <c r="CR660" s="5"/>
      <c r="CT660" s="3"/>
      <c r="CW660" s="3"/>
      <c r="CX660" s="3"/>
      <c r="CZ660" s="3"/>
      <c r="DA660" s="3"/>
      <c r="DC660" s="3"/>
      <c r="DD660" s="3"/>
      <c r="DF660" s="3"/>
      <c r="DG660" s="5"/>
      <c r="DI660" s="3"/>
      <c r="DL660" s="3"/>
      <c r="DM660" s="3"/>
      <c r="DO660" s="3"/>
      <c r="DP660" s="3"/>
      <c r="DR660" s="3"/>
      <c r="DS660" s="1" t="str">
        <f>_xlfn.XLOOKUP(OfficeForms.Table[[#This Row],[Selecione a Categoria do Laboratório desta atividade prática:]],Planilha1!A:A,Planilha1!B:B)</f>
        <v>BFI</v>
      </c>
      <c r="DT660" s="1" t="str">
        <f>CONCATENATE(OfficeForms.Table[[#This Row],[Selecione seu Polo Laboratório de Atividades Presenciais:]],OfficeForms.Table[[#This Row],[CHAVE CONVERSÃO]])</f>
        <v>Salvador/BA - Caminho das ÁrvoresBFI</v>
      </c>
      <c r="DU66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Maquiagem social;Preparação da pele para receber a maquiagem</v>
      </c>
      <c r="DV66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66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660" s="1" t="str">
        <f>_xlfn.XLOOKUP(OfficeForms.Table[[#This Row],[CHAVE LINK POLO]],'[1]Quadro Geral de Lotação'!$B:$B,'[1]Quadro Geral de Lotação'!$I:$I)</f>
        <v>Helenice Sacramento Souza Melo</v>
      </c>
      <c r="DY660" s="1" t="str">
        <f>OfficeForms.Table[[#This Row],[Selecione a Ordem de Disciplina]]</f>
        <v>Ordem 2</v>
      </c>
    </row>
    <row r="661" spans="1:129" ht="34.15" customHeight="1">
      <c r="A661" s="1">
        <v>661</v>
      </c>
      <c r="B661" s="2">
        <v>46121.337407407402</v>
      </c>
      <c r="C661" s="2">
        <v>46121.341342592597</v>
      </c>
      <c r="D661" s="3" t="s">
        <v>1571</v>
      </c>
      <c r="E661" s="3" t="s">
        <v>1572</v>
      </c>
      <c r="G661" s="3"/>
      <c r="I661" s="3" t="s">
        <v>1573</v>
      </c>
      <c r="K661" s="3"/>
      <c r="L661" s="1" t="s">
        <v>678</v>
      </c>
      <c r="O661" s="3" t="s">
        <v>1482</v>
      </c>
      <c r="Q661" s="3"/>
      <c r="R661" s="3"/>
      <c r="T661" s="3"/>
      <c r="U661" s="5"/>
      <c r="W661" s="3"/>
      <c r="Z661" s="3"/>
      <c r="AA661" s="3"/>
      <c r="AC661" s="3"/>
      <c r="AD661" s="3"/>
      <c r="AF661" s="3"/>
      <c r="AG661" s="3"/>
      <c r="AI661" s="3"/>
      <c r="AJ661" s="1"/>
      <c r="AL661" s="3"/>
      <c r="AO661" s="3"/>
      <c r="AP661" s="3"/>
      <c r="AR661" s="3"/>
      <c r="AS661" s="3"/>
      <c r="AU661" s="3"/>
      <c r="AV661" s="3"/>
      <c r="AX661" s="3"/>
      <c r="AY661" s="5"/>
      <c r="BA661" s="3"/>
      <c r="BD661" s="3"/>
      <c r="BE661" s="3"/>
      <c r="BG661" s="3"/>
      <c r="BH661" s="3"/>
      <c r="BJ661" s="3"/>
      <c r="BK661" s="3"/>
      <c r="BM661" s="3"/>
      <c r="BN661" s="5"/>
      <c r="BP661" s="3"/>
      <c r="BS661" s="3"/>
      <c r="BT661" s="3"/>
      <c r="BV661" s="3"/>
      <c r="BW661" s="3"/>
      <c r="BY661" s="3"/>
      <c r="BZ661" s="3"/>
      <c r="CB661" s="3"/>
      <c r="CC661" s="5"/>
      <c r="CE661" s="3"/>
      <c r="CH661" s="3"/>
      <c r="CI661" s="3"/>
      <c r="CK661" s="3"/>
      <c r="CL661" s="3"/>
      <c r="CN661" s="3"/>
      <c r="CO661" s="3" t="s">
        <v>1486</v>
      </c>
      <c r="CQ661" s="3"/>
      <c r="CR661" s="5">
        <v>46114</v>
      </c>
      <c r="CT661" s="3"/>
      <c r="CU661" s="1">
        <v>0</v>
      </c>
      <c r="CW661" s="3"/>
      <c r="CX661" s="3" t="s">
        <v>1943</v>
      </c>
      <c r="CZ661" s="3"/>
      <c r="DA661" s="3" t="s">
        <v>1944</v>
      </c>
      <c r="DC661" s="3"/>
      <c r="DD661" s="3"/>
      <c r="DF661" s="3"/>
      <c r="DG661" s="5"/>
      <c r="DI661" s="3"/>
      <c r="DL661" s="3"/>
      <c r="DM661" s="3"/>
      <c r="DO661" s="3"/>
      <c r="DP661" s="3"/>
      <c r="DR661" s="3"/>
      <c r="DS661" s="1" t="str">
        <f>_xlfn.XLOOKUP(OfficeForms.Table[[#This Row],[Selecione a Categoria do Laboratório desta atividade prática:]],Planilha1!A:A,Planilha1!B:B)</f>
        <v>BAU</v>
      </c>
      <c r="DT661" s="1" t="str">
        <f>CONCATENATE(OfficeForms.Table[[#This Row],[Selecione seu Polo Laboratório de Atividades Presenciais:]],OfficeForms.Table[[#This Row],[CHAVE CONVERSÃO]])</f>
        <v>Camboriú/SCBAU</v>
      </c>
      <c r="DU66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Acionamento de Iluminação;Acionamento de Cargas Remotamente e com sensores</v>
      </c>
      <c r="DV66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66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61" s="1" t="str">
        <f>_xlfn.XLOOKUP(OfficeForms.Table[[#This Row],[CHAVE LINK POLO]],'[1]Quadro Geral de Lotação'!$B:$B,'[1]Quadro Geral de Lotação'!$I:$I)</f>
        <v>Gilnei Da Silva Dias</v>
      </c>
      <c r="DY661" s="1" t="str">
        <f>OfficeForms.Table[[#This Row],[Selecione a Ordem de Disciplina]]</f>
        <v>Ordem 2</v>
      </c>
    </row>
    <row r="662" spans="1:129" ht="34.15" customHeight="1">
      <c r="A662" s="1">
        <v>662</v>
      </c>
      <c r="B662" s="2">
        <v>46121.569942129601</v>
      </c>
      <c r="C662" s="2">
        <v>46121.571828703702</v>
      </c>
      <c r="D662" s="3" t="s">
        <v>129</v>
      </c>
      <c r="E662" s="3" t="s">
        <v>130</v>
      </c>
      <c r="G662" s="3"/>
      <c r="I662" s="3" t="s">
        <v>131</v>
      </c>
      <c r="K662" s="3"/>
      <c r="L662" s="1" t="s">
        <v>678</v>
      </c>
      <c r="O662" s="3" t="s">
        <v>133</v>
      </c>
      <c r="Q662" s="3"/>
      <c r="R662" s="3"/>
      <c r="T662" s="3"/>
      <c r="U662" s="5"/>
      <c r="W662" s="3"/>
      <c r="Z662" s="3"/>
      <c r="AA662" s="3"/>
      <c r="AC662" s="3"/>
      <c r="AD662" s="3"/>
      <c r="AF662" s="3"/>
      <c r="AG662" s="3"/>
      <c r="AI662" s="3"/>
      <c r="AJ662" s="1"/>
      <c r="AL662" s="3"/>
      <c r="AO662" s="3"/>
      <c r="AP662" s="3"/>
      <c r="AR662" s="3"/>
      <c r="AS662" s="3"/>
      <c r="AU662" s="3"/>
      <c r="AV662" s="3" t="s">
        <v>1865</v>
      </c>
      <c r="AX662" s="3"/>
      <c r="AY662" s="5">
        <v>46120</v>
      </c>
      <c r="BA662" s="3"/>
      <c r="BB662" s="1">
        <v>1</v>
      </c>
      <c r="BD662" s="3"/>
      <c r="BE662" s="3" t="s">
        <v>1945</v>
      </c>
      <c r="BG662" s="3"/>
      <c r="BH662" s="3" t="s">
        <v>1946</v>
      </c>
      <c r="BJ662" s="3"/>
      <c r="BK662" s="3"/>
      <c r="BM662" s="3"/>
      <c r="BN662" s="5"/>
      <c r="BP662" s="3"/>
      <c r="BS662" s="3"/>
      <c r="BT662" s="3"/>
      <c r="BV662" s="3"/>
      <c r="BW662" s="3"/>
      <c r="BY662" s="3"/>
      <c r="BZ662" s="3"/>
      <c r="CB662" s="3"/>
      <c r="CC662" s="5"/>
      <c r="CE662" s="3"/>
      <c r="CH662" s="3"/>
      <c r="CI662" s="3"/>
      <c r="CK662" s="3"/>
      <c r="CL662" s="3"/>
      <c r="CN662" s="3"/>
      <c r="CO662" s="3"/>
      <c r="CQ662" s="3"/>
      <c r="CR662" s="5"/>
      <c r="CT662" s="3"/>
      <c r="CW662" s="3"/>
      <c r="CX662" s="3"/>
      <c r="CZ662" s="3"/>
      <c r="DA662" s="3"/>
      <c r="DC662" s="3"/>
      <c r="DD662" s="3"/>
      <c r="DF662" s="3"/>
      <c r="DG662" s="5"/>
      <c r="DI662" s="3"/>
      <c r="DL662" s="3"/>
      <c r="DM662" s="3"/>
      <c r="DO662" s="3"/>
      <c r="DP662" s="3"/>
      <c r="DR662" s="3"/>
      <c r="DS662" s="1" t="str">
        <f>_xlfn.XLOOKUP(OfficeForms.Table[[#This Row],[Selecione a Categoria do Laboratório desta atividade prática:]],Planilha1!A:A,Planilha1!B:B)</f>
        <v>BFI</v>
      </c>
      <c r="DT662" s="1" t="str">
        <f>CONCATENATE(OfficeForms.Table[[#This Row],[Selecione seu Polo Laboratório de Atividades Presenciais:]],OfficeForms.Table[[#This Row],[CHAVE CONVERSÃO]])</f>
        <v>Guarujá/SPBFI</v>
      </c>
      <c r="DU66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Alongamento Muscular: Estratégias Cinesioterapêuticas para Ganho de Flexibilidade e Função</v>
      </c>
      <c r="DV66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66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62" s="1" t="str">
        <f>_xlfn.XLOOKUP(OfficeForms.Table[[#This Row],[CHAVE LINK POLO]],'[1]Quadro Geral de Lotação'!$B:$B,'[1]Quadro Geral de Lotação'!$I:$I)</f>
        <v>Lucas Soares De Medeiros</v>
      </c>
      <c r="DY662" s="1" t="str">
        <f>OfficeForms.Table[[#This Row],[Selecione a Ordem de Disciplina]]</f>
        <v>Ordem 2</v>
      </c>
    </row>
    <row r="663" spans="1:129" ht="34.15" customHeight="1">
      <c r="A663" s="1">
        <v>663</v>
      </c>
      <c r="B663" s="2">
        <v>46121.576157407399</v>
      </c>
      <c r="C663" s="2">
        <v>46121.577442129601</v>
      </c>
      <c r="D663" s="3" t="s">
        <v>129</v>
      </c>
      <c r="E663" s="3" t="s">
        <v>130</v>
      </c>
      <c r="G663" s="3"/>
      <c r="I663" s="3" t="s">
        <v>131</v>
      </c>
      <c r="K663" s="3"/>
      <c r="L663" s="1" t="s">
        <v>678</v>
      </c>
      <c r="O663" s="3" t="s">
        <v>133</v>
      </c>
      <c r="Q663" s="3"/>
      <c r="R663" s="3"/>
      <c r="T663" s="3"/>
      <c r="U663" s="5"/>
      <c r="W663" s="3"/>
      <c r="Z663" s="3"/>
      <c r="AA663" s="3"/>
      <c r="AC663" s="3"/>
      <c r="AD663" s="3"/>
      <c r="AF663" s="3"/>
      <c r="AG663" s="3"/>
      <c r="AI663" s="3"/>
      <c r="AJ663" s="1"/>
      <c r="AL663" s="3"/>
      <c r="AO663" s="3"/>
      <c r="AP663" s="3"/>
      <c r="AR663" s="3"/>
      <c r="AS663" s="3"/>
      <c r="AU663" s="3"/>
      <c r="AV663" s="3" t="s">
        <v>1947</v>
      </c>
      <c r="AX663" s="3"/>
      <c r="AY663" s="5">
        <v>46120</v>
      </c>
      <c r="BA663" s="3"/>
      <c r="BB663" s="1">
        <v>2</v>
      </c>
      <c r="BD663" s="3"/>
      <c r="BE663" s="3" t="s">
        <v>1948</v>
      </c>
      <c r="BG663" s="3"/>
      <c r="BH663" s="3" t="s">
        <v>1949</v>
      </c>
      <c r="BJ663" s="3"/>
      <c r="BK663" s="3"/>
      <c r="BM663" s="3"/>
      <c r="BN663" s="5"/>
      <c r="BP663" s="3"/>
      <c r="BS663" s="3"/>
      <c r="BT663" s="3"/>
      <c r="BV663" s="3"/>
      <c r="BW663" s="3"/>
      <c r="BY663" s="3"/>
      <c r="BZ663" s="3"/>
      <c r="CB663" s="3"/>
      <c r="CC663" s="5"/>
      <c r="CE663" s="3"/>
      <c r="CH663" s="3"/>
      <c r="CI663" s="3"/>
      <c r="CK663" s="3"/>
      <c r="CL663" s="3"/>
      <c r="CN663" s="3"/>
      <c r="CO663" s="3"/>
      <c r="CQ663" s="3"/>
      <c r="CR663" s="5"/>
      <c r="CT663" s="3"/>
      <c r="CW663" s="3"/>
      <c r="CX663" s="3"/>
      <c r="CZ663" s="3"/>
      <c r="DA663" s="3"/>
      <c r="DC663" s="3"/>
      <c r="DD663" s="3"/>
      <c r="DF663" s="3"/>
      <c r="DG663" s="5"/>
      <c r="DI663" s="3"/>
      <c r="DL663" s="3"/>
      <c r="DM663" s="3"/>
      <c r="DO663" s="3"/>
      <c r="DP663" s="3"/>
      <c r="DR663" s="3"/>
      <c r="DS663" s="1" t="str">
        <f>_xlfn.XLOOKUP(OfficeForms.Table[[#This Row],[Selecione a Categoria do Laboratório desta atividade prática:]],Planilha1!A:A,Planilha1!B:B)</f>
        <v>BFI</v>
      </c>
      <c r="DT663" s="1" t="str">
        <f>CONCATENATE(OfficeForms.Table[[#This Row],[Selecione seu Polo Laboratório de Atividades Presenciais:]],OfficeForms.Table[[#This Row],[CHAVE CONVERSÃO]])</f>
        <v>Guarujá/SPBFI</v>
      </c>
      <c r="DU66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e Aplicação de Recursos Eletrotermofototerapeuticos em Disfunções Dermatofuncionais</v>
      </c>
      <c r="DV66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66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63" s="1" t="str">
        <f>_xlfn.XLOOKUP(OfficeForms.Table[[#This Row],[CHAVE LINK POLO]],'[1]Quadro Geral de Lotação'!$B:$B,'[1]Quadro Geral de Lotação'!$I:$I)</f>
        <v>Lucas Soares De Medeiros</v>
      </c>
      <c r="DY663" s="1" t="str">
        <f>OfficeForms.Table[[#This Row],[Selecione a Ordem de Disciplina]]</f>
        <v>Ordem 2</v>
      </c>
    </row>
    <row r="664" spans="1:129" ht="34.15" customHeight="1">
      <c r="A664" s="1">
        <v>664</v>
      </c>
      <c r="B664" s="2">
        <v>46121.861145833303</v>
      </c>
      <c r="C664" s="2">
        <v>46121.862465277802</v>
      </c>
      <c r="D664" s="3" t="s">
        <v>1571</v>
      </c>
      <c r="E664" s="3" t="s">
        <v>1572</v>
      </c>
      <c r="G664" s="3"/>
      <c r="I664" s="3" t="s">
        <v>1573</v>
      </c>
      <c r="K664" s="3"/>
      <c r="L664" s="1" t="s">
        <v>678</v>
      </c>
      <c r="O664" s="3" t="s">
        <v>1482</v>
      </c>
      <c r="Q664" s="3"/>
      <c r="R664" s="3"/>
      <c r="T664" s="3"/>
      <c r="U664" s="5"/>
      <c r="W664" s="3"/>
      <c r="Z664" s="3"/>
      <c r="AA664" s="3"/>
      <c r="AC664" s="3"/>
      <c r="AD664" s="3"/>
      <c r="AF664" s="3"/>
      <c r="AG664" s="3"/>
      <c r="AI664" s="3"/>
      <c r="AJ664" s="1"/>
      <c r="AL664" s="3"/>
      <c r="AO664" s="3"/>
      <c r="AP664" s="3"/>
      <c r="AR664" s="3"/>
      <c r="AS664" s="3"/>
      <c r="AU664" s="3"/>
      <c r="AV664" s="3"/>
      <c r="AX664" s="3"/>
      <c r="AY664" s="5"/>
      <c r="BA664" s="3"/>
      <c r="BD664" s="3"/>
      <c r="BE664" s="3"/>
      <c r="BG664" s="3"/>
      <c r="BH664" s="3"/>
      <c r="BJ664" s="3"/>
      <c r="BK664" s="3"/>
      <c r="BM664" s="3"/>
      <c r="BN664" s="5"/>
      <c r="BP664" s="3"/>
      <c r="BS664" s="3"/>
      <c r="BT664" s="3"/>
      <c r="BV664" s="3"/>
      <c r="BW664" s="3"/>
      <c r="BY664" s="3"/>
      <c r="BZ664" s="3"/>
      <c r="CB664" s="3"/>
      <c r="CC664" s="5"/>
      <c r="CE664" s="3"/>
      <c r="CH664" s="3"/>
      <c r="CI664" s="3"/>
      <c r="CK664" s="3"/>
      <c r="CL664" s="3"/>
      <c r="CN664" s="3"/>
      <c r="CO664" s="3" t="s">
        <v>1950</v>
      </c>
      <c r="CQ664" s="3"/>
      <c r="CR664" s="5">
        <v>46121</v>
      </c>
      <c r="CT664" s="3"/>
      <c r="CU664" s="1">
        <v>0</v>
      </c>
      <c r="CW664" s="3"/>
      <c r="CX664" s="3" t="s">
        <v>1951</v>
      </c>
      <c r="CZ664" s="3"/>
      <c r="DA664" s="3" t="s">
        <v>1952</v>
      </c>
      <c r="DC664" s="3"/>
      <c r="DD664" s="3"/>
      <c r="DF664" s="3"/>
      <c r="DG664" s="5"/>
      <c r="DI664" s="3"/>
      <c r="DL664" s="3"/>
      <c r="DM664" s="3"/>
      <c r="DO664" s="3"/>
      <c r="DP664" s="3"/>
      <c r="DR664" s="3"/>
      <c r="DS664" s="1" t="str">
        <f>_xlfn.XLOOKUP(OfficeForms.Table[[#This Row],[Selecione a Categoria do Laboratório desta atividade prática:]],Planilha1!A:A,Planilha1!B:B)</f>
        <v>BAU</v>
      </c>
      <c r="DT664" s="1" t="str">
        <f>CONCATENATE(OfficeForms.Table[[#This Row],[Selecione seu Polo Laboratório de Atividades Presenciais:]],OfficeForms.Table[[#This Row],[CHAVE CONVERSÃO]])</f>
        <v>Camboriú/SCBAU</v>
      </c>
      <c r="DU66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Assessoramento das diretrizes de conforto ambiental (Parte 1);Assessoramento das técnicas de restauro utilizadas e especificações das espécies de vegatação (Parte 1)</v>
      </c>
      <c r="DV66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66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64" s="1" t="str">
        <f>_xlfn.XLOOKUP(OfficeForms.Table[[#This Row],[CHAVE LINK POLO]],'[1]Quadro Geral de Lotação'!$B:$B,'[1]Quadro Geral de Lotação'!$I:$I)</f>
        <v>Gilnei Da Silva Dias</v>
      </c>
      <c r="DY664" s="1" t="str">
        <f>OfficeForms.Table[[#This Row],[Selecione a Ordem de Disciplina]]</f>
        <v>Ordem 2</v>
      </c>
    </row>
    <row r="665" spans="1:129" ht="34.15" customHeight="1">
      <c r="A665" s="1">
        <v>665</v>
      </c>
      <c r="B665" s="2">
        <v>46121.945023148102</v>
      </c>
      <c r="C665" s="2">
        <v>46121.948148148098</v>
      </c>
      <c r="D665" s="3" t="s">
        <v>168</v>
      </c>
      <c r="E665" s="3" t="s">
        <v>169</v>
      </c>
      <c r="G665" s="3"/>
      <c r="I665" s="3" t="s">
        <v>170</v>
      </c>
      <c r="K665" s="3"/>
      <c r="L665" s="1" t="s">
        <v>678</v>
      </c>
      <c r="O665" s="3" t="s">
        <v>133</v>
      </c>
      <c r="Q665" s="3"/>
      <c r="R665" s="3"/>
      <c r="T665" s="3"/>
      <c r="U665" s="5"/>
      <c r="W665" s="3"/>
      <c r="Z665" s="3"/>
      <c r="AA665" s="3"/>
      <c r="AC665" s="3"/>
      <c r="AD665" s="3"/>
      <c r="AF665" s="3"/>
      <c r="AG665" s="3"/>
      <c r="AI665" s="3"/>
      <c r="AJ665" s="1"/>
      <c r="AL665" s="3"/>
      <c r="AO665" s="3"/>
      <c r="AP665" s="3"/>
      <c r="AR665" s="3"/>
      <c r="AS665" s="3"/>
      <c r="AU665" s="3"/>
      <c r="AV665" s="3" t="s">
        <v>1953</v>
      </c>
      <c r="AX665" s="3"/>
      <c r="AY665" s="5">
        <v>46121</v>
      </c>
      <c r="BA665" s="3"/>
      <c r="BB665" s="1">
        <v>3</v>
      </c>
      <c r="BD665" s="3"/>
      <c r="BE665" s="3" t="s">
        <v>1954</v>
      </c>
      <c r="BG665" s="3"/>
      <c r="BH665" s="3" t="s">
        <v>1955</v>
      </c>
      <c r="BJ665" s="3"/>
      <c r="BK665" s="3"/>
      <c r="BM665" s="3"/>
      <c r="BN665" s="5"/>
      <c r="BP665" s="3"/>
      <c r="BS665" s="3"/>
      <c r="BT665" s="3"/>
      <c r="BV665" s="3"/>
      <c r="BW665" s="3"/>
      <c r="BY665" s="3"/>
      <c r="BZ665" s="3"/>
      <c r="CB665" s="3"/>
      <c r="CC665" s="5"/>
      <c r="CE665" s="3"/>
      <c r="CH665" s="3"/>
      <c r="CI665" s="3"/>
      <c r="CK665" s="3"/>
      <c r="CL665" s="3"/>
      <c r="CN665" s="3"/>
      <c r="CO665" s="3"/>
      <c r="CQ665" s="3"/>
      <c r="CR665" s="5"/>
      <c r="CT665" s="3"/>
      <c r="CW665" s="3"/>
      <c r="CX665" s="3"/>
      <c r="CZ665" s="3"/>
      <c r="DA665" s="3"/>
      <c r="DC665" s="3"/>
      <c r="DD665" s="3"/>
      <c r="DF665" s="3"/>
      <c r="DG665" s="5"/>
      <c r="DI665" s="3"/>
      <c r="DL665" s="3"/>
      <c r="DM665" s="3"/>
      <c r="DO665" s="3"/>
      <c r="DP665" s="3"/>
      <c r="DR665" s="3"/>
      <c r="DS665" s="1" t="str">
        <f>_xlfn.XLOOKUP(OfficeForms.Table[[#This Row],[Selecione a Categoria do Laboratório desta atividade prática:]],Planilha1!A:A,Planilha1!B:B)</f>
        <v>BFI</v>
      </c>
      <c r="DT665" s="1" t="str">
        <f>CONCATENATE(OfficeForms.Table[[#This Row],[Selecione seu Polo Laboratório de Atividades Presenciais:]],OfficeForms.Table[[#This Row],[CHAVE CONVERSÃO]])</f>
        <v>Paulo Afonso/BA - Tancredo Neves IIBFI</v>
      </c>
      <c r="DU66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Cardiorrespiratória com Testes Incrementais: Protocolos e Interpretação dos Resultados;Avaliação Semiológica Cardiorrespiratória: Técnicas e Protocolos na Fisioterapia Cardiovascular</v>
      </c>
      <c r="DV66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66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65" s="1" t="str">
        <f>_xlfn.XLOOKUP(OfficeForms.Table[[#This Row],[CHAVE LINK POLO]],'[1]Quadro Geral de Lotação'!$B:$B,'[1]Quadro Geral de Lotação'!$I:$I)</f>
        <v>Vanessa Das Neves Varjao</v>
      </c>
      <c r="DY665" s="1" t="str">
        <f>OfficeForms.Table[[#This Row],[Selecione a Ordem de Disciplina]]</f>
        <v>Ordem 2</v>
      </c>
    </row>
    <row r="666" spans="1:129" ht="34.15" customHeight="1">
      <c r="A666" s="1">
        <v>666</v>
      </c>
      <c r="B666" s="2">
        <v>46122.447002314802</v>
      </c>
      <c r="C666" s="2">
        <v>46122.449826388904</v>
      </c>
      <c r="D666" s="3" t="s">
        <v>1127</v>
      </c>
      <c r="E666" s="3" t="s">
        <v>1128</v>
      </c>
      <c r="G666" s="3"/>
      <c r="I666" s="3" t="s">
        <v>1129</v>
      </c>
      <c r="K666" s="3"/>
      <c r="L666" s="1" t="s">
        <v>678</v>
      </c>
      <c r="O666" s="3" t="s">
        <v>497</v>
      </c>
      <c r="Q666" s="3"/>
      <c r="R666" s="3" t="s">
        <v>1956</v>
      </c>
      <c r="T666" s="3"/>
      <c r="U666" s="5">
        <v>46120</v>
      </c>
      <c r="W666" s="3"/>
      <c r="X666" s="1">
        <v>7</v>
      </c>
      <c r="Z666" s="3"/>
      <c r="AA666" s="3" t="s">
        <v>1957</v>
      </c>
      <c r="AC666" s="3"/>
      <c r="AD666" s="3" t="s">
        <v>1958</v>
      </c>
      <c r="AF666" s="3"/>
      <c r="AG666" s="3"/>
      <c r="AI666" s="3"/>
      <c r="AJ666" s="1"/>
      <c r="AL666" s="3"/>
      <c r="AO666" s="3"/>
      <c r="AP666" s="3"/>
      <c r="AR666" s="3"/>
      <c r="AS666" s="3"/>
      <c r="AU666" s="3"/>
      <c r="AV666" s="3"/>
      <c r="AX666" s="3"/>
      <c r="AY666" s="5"/>
      <c r="BA666" s="3"/>
      <c r="BD666" s="3"/>
      <c r="BE666" s="3"/>
      <c r="BG666" s="3"/>
      <c r="BH666" s="3"/>
      <c r="BJ666" s="3"/>
      <c r="BK666" s="3"/>
      <c r="BM666" s="3"/>
      <c r="BN666" s="5"/>
      <c r="BP666" s="3"/>
      <c r="BS666" s="3"/>
      <c r="BT666" s="3"/>
      <c r="BV666" s="3"/>
      <c r="BW666" s="3"/>
      <c r="BY666" s="3"/>
      <c r="BZ666" s="3"/>
      <c r="CB666" s="3"/>
      <c r="CC666" s="5"/>
      <c r="CE666" s="3"/>
      <c r="CH666" s="3"/>
      <c r="CI666" s="3"/>
      <c r="CK666" s="3"/>
      <c r="CL666" s="3"/>
      <c r="CN666" s="3"/>
      <c r="CO666" s="3"/>
      <c r="CQ666" s="3"/>
      <c r="CR666" s="5"/>
      <c r="CT666" s="3"/>
      <c r="CW666" s="3"/>
      <c r="CX666" s="3"/>
      <c r="CZ666" s="3"/>
      <c r="DA666" s="3"/>
      <c r="DC666" s="3"/>
      <c r="DD666" s="3"/>
      <c r="DF666" s="3"/>
      <c r="DG666" s="5"/>
      <c r="DI666" s="3"/>
      <c r="DL666" s="3"/>
      <c r="DM666" s="3"/>
      <c r="DO666" s="3"/>
      <c r="DP666" s="3"/>
      <c r="DR666" s="3"/>
      <c r="DS666" s="1" t="str">
        <f>_xlfn.XLOOKUP(OfficeForms.Table[[#This Row],[Selecione a Categoria do Laboratório desta atividade prática:]],Planilha1!A:A,Planilha1!B:B)</f>
        <v>BFR-BBI</v>
      </c>
      <c r="DT666" s="1" t="str">
        <f>CONCATENATE(OfficeForms.Table[[#This Row],[Selecione seu Polo Laboratório de Atividades Presenciais:]],OfficeForms.Table[[#This Row],[CHAVE CONVERSÃO]])</f>
        <v>Campina Grande/PBBFR-BBI</v>
      </c>
      <c r="DU66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Exame direto a fresco e gota espessa;Laminário de ovos de helmintos;Método de Hoffman</v>
      </c>
      <c r="DV66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66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666" s="1" t="e">
        <f>_xlfn.XLOOKUP(OfficeForms.Table[[#This Row],[CHAVE LINK POLO]],'[1]Quadro Geral de Lotação'!$B:$B,'[1]Quadro Geral de Lotação'!$I:$I)</f>
        <v>#N/A</v>
      </c>
      <c r="DY666" s="1" t="str">
        <f>OfficeForms.Table[[#This Row],[Selecione a Ordem de Disciplina]]</f>
        <v>Ordem 2</v>
      </c>
    </row>
    <row r="667" spans="1:129" ht="34.15" customHeight="1">
      <c r="A667" s="1">
        <v>667</v>
      </c>
      <c r="B667" s="2">
        <v>46122.534178240698</v>
      </c>
      <c r="C667" s="2">
        <v>46122.535358796304</v>
      </c>
      <c r="D667" s="3" t="s">
        <v>174</v>
      </c>
      <c r="E667" s="3" t="s">
        <v>175</v>
      </c>
      <c r="G667" s="3"/>
      <c r="I667" s="3" t="s">
        <v>176</v>
      </c>
      <c r="K667" s="3"/>
      <c r="L667" s="1" t="s">
        <v>1325</v>
      </c>
      <c r="O667" s="3" t="s">
        <v>177</v>
      </c>
      <c r="Q667" s="3"/>
      <c r="R667" s="3"/>
      <c r="T667" s="3"/>
      <c r="U667" s="5"/>
      <c r="W667" s="3"/>
      <c r="Z667" s="3"/>
      <c r="AA667" s="3"/>
      <c r="AC667" s="3"/>
      <c r="AD667" s="3"/>
      <c r="AF667" s="3"/>
      <c r="AG667" s="3"/>
      <c r="AI667" s="3"/>
      <c r="AJ667" s="1"/>
      <c r="AL667" s="3"/>
      <c r="AO667" s="3"/>
      <c r="AP667" s="3"/>
      <c r="AR667" s="3"/>
      <c r="AS667" s="3"/>
      <c r="AU667" s="3"/>
      <c r="AV667" s="3"/>
      <c r="AX667" s="3"/>
      <c r="AY667" s="5"/>
      <c r="BA667" s="3"/>
      <c r="BD667" s="3"/>
      <c r="BE667" s="3"/>
      <c r="BG667" s="3"/>
      <c r="BH667" s="3"/>
      <c r="BJ667" s="3"/>
      <c r="BK667" s="3"/>
      <c r="BM667" s="3"/>
      <c r="BN667" s="5"/>
      <c r="BP667" s="3"/>
      <c r="BS667" s="3"/>
      <c r="BT667" s="3"/>
      <c r="BV667" s="3"/>
      <c r="BW667" s="3"/>
      <c r="BY667" s="3"/>
      <c r="BZ667" s="3"/>
      <c r="CB667" s="3"/>
      <c r="CC667" s="5"/>
      <c r="CE667" s="3"/>
      <c r="CH667" s="3"/>
      <c r="CI667" s="3"/>
      <c r="CK667" s="3"/>
      <c r="CL667" s="3"/>
      <c r="CN667" s="3"/>
      <c r="CO667" s="3"/>
      <c r="CQ667" s="3"/>
      <c r="CR667" s="5"/>
      <c r="CT667" s="3"/>
      <c r="CW667" s="3"/>
      <c r="CX667" s="3"/>
      <c r="CZ667" s="3"/>
      <c r="DA667" s="3"/>
      <c r="DC667" s="3"/>
      <c r="DD667" s="3" t="s">
        <v>1885</v>
      </c>
      <c r="DF667" s="3"/>
      <c r="DG667" s="5">
        <v>46121</v>
      </c>
      <c r="DI667" s="3"/>
      <c r="DJ667" s="1">
        <v>0</v>
      </c>
      <c r="DL667" s="3"/>
      <c r="DM667" s="3" t="s">
        <v>1959</v>
      </c>
      <c r="DO667" s="3"/>
      <c r="DP667" s="3" t="s">
        <v>1960</v>
      </c>
      <c r="DR667" s="3"/>
      <c r="DS667" s="1" t="str">
        <f>_xlfn.XLOOKUP(OfficeForms.Table[[#This Row],[Selecione a Categoria do Laboratório desta atividade prática:]],Planilha1!A:A,Planilha1!B:B)</f>
        <v>AGM</v>
      </c>
      <c r="DT667" s="1" t="str">
        <f>CONCATENATE(OfficeForms.Table[[#This Row],[Selecione seu Polo Laboratório de Atividades Presenciais:]],OfficeForms.Table[[#This Row],[CHAVE CONVERSÃO]])</f>
        <v>Catalão/GOAGM</v>
      </c>
      <c r="DU66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de Extração e Purificação de DNA, Fundamentos, Etapas e Aplicações em Biotecnologia Agrícola</v>
      </c>
      <c r="DV66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66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67" s="1" t="str">
        <f>_xlfn.XLOOKUP(OfficeForms.Table[[#This Row],[CHAVE LINK POLO]],'[1]Quadro Geral de Lotação'!$B:$B,'[1]Quadro Geral de Lotação'!$I:$I)</f>
        <v>Marla Maria Ferreira De Souza</v>
      </c>
      <c r="DY667" s="1" t="str">
        <f>OfficeForms.Table[[#This Row],[Selecione a Ordem de Disciplina]]</f>
        <v>Ordem 3</v>
      </c>
    </row>
    <row r="668" spans="1:129" ht="34.15" customHeight="1">
      <c r="A668" s="1">
        <v>668</v>
      </c>
      <c r="B668" s="2">
        <v>46122.550555555601</v>
      </c>
      <c r="C668" s="2">
        <v>46122.551678240699</v>
      </c>
      <c r="D668" s="3" t="s">
        <v>394</v>
      </c>
      <c r="E668" s="3" t="s">
        <v>395</v>
      </c>
      <c r="G668" s="3"/>
      <c r="I668" s="3" t="s">
        <v>396</v>
      </c>
      <c r="K668" s="3"/>
      <c r="L668" s="1" t="s">
        <v>678</v>
      </c>
      <c r="O668" s="3" t="s">
        <v>133</v>
      </c>
      <c r="Q668" s="3"/>
      <c r="R668" s="3"/>
      <c r="T668" s="3"/>
      <c r="U668" s="5"/>
      <c r="W668" s="3"/>
      <c r="Z668" s="3"/>
      <c r="AA668" s="3"/>
      <c r="AC668" s="3"/>
      <c r="AD668" s="3"/>
      <c r="AF668" s="3"/>
      <c r="AG668" s="3"/>
      <c r="AI668" s="3"/>
      <c r="AJ668" s="1"/>
      <c r="AL668" s="3"/>
      <c r="AO668" s="3"/>
      <c r="AP668" s="3"/>
      <c r="AR668" s="3"/>
      <c r="AS668" s="3"/>
      <c r="AU668" s="3"/>
      <c r="AV668" s="3" t="s">
        <v>1961</v>
      </c>
      <c r="AX668" s="3"/>
      <c r="AY668" s="5">
        <v>46114</v>
      </c>
      <c r="BA668" s="3"/>
      <c r="BB668" s="1">
        <v>0</v>
      </c>
      <c r="BD668" s="3"/>
      <c r="BE668" s="3" t="s">
        <v>1962</v>
      </c>
      <c r="BG668" s="3"/>
      <c r="BH668" s="3" t="s">
        <v>1963</v>
      </c>
      <c r="BJ668" s="3"/>
      <c r="BK668" s="3"/>
      <c r="BM668" s="3"/>
      <c r="BN668" s="5"/>
      <c r="BP668" s="3"/>
      <c r="BS668" s="3"/>
      <c r="BT668" s="3"/>
      <c r="BV668" s="3"/>
      <c r="BW668" s="3"/>
      <c r="BY668" s="3"/>
      <c r="BZ668" s="3"/>
      <c r="CB668" s="3"/>
      <c r="CC668" s="5"/>
      <c r="CE668" s="3"/>
      <c r="CH668" s="3"/>
      <c r="CI668" s="3"/>
      <c r="CK668" s="3"/>
      <c r="CL668" s="3"/>
      <c r="CN668" s="3"/>
      <c r="CO668" s="3"/>
      <c r="CQ668" s="3"/>
      <c r="CR668" s="5"/>
      <c r="CT668" s="3"/>
      <c r="CW668" s="3"/>
      <c r="CX668" s="3"/>
      <c r="CZ668" s="3"/>
      <c r="DA668" s="3"/>
      <c r="DC668" s="3"/>
      <c r="DD668" s="3"/>
      <c r="DF668" s="3"/>
      <c r="DG668" s="5"/>
      <c r="DI668" s="3"/>
      <c r="DL668" s="3"/>
      <c r="DM668" s="3"/>
      <c r="DO668" s="3"/>
      <c r="DP668" s="3"/>
      <c r="DR668" s="3"/>
      <c r="DS668" s="1" t="str">
        <f>_xlfn.XLOOKUP(OfficeForms.Table[[#This Row],[Selecione a Categoria do Laboratório desta atividade prática:]],Planilha1!A:A,Planilha1!B:B)</f>
        <v>BFI</v>
      </c>
      <c r="DT668" s="1" t="str">
        <f>CONCATENATE(OfficeForms.Table[[#This Row],[Selecione seu Polo Laboratório de Atividades Presenciais:]],OfficeForms.Table[[#This Row],[CHAVE CONVERSÃO]])</f>
        <v>Blumenau/SC - Salto Do Norte (Centro Universitário Dante)BFI</v>
      </c>
      <c r="DU66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Tratamento Flacidez dérmica;Tratamento de Redução de Medida</v>
      </c>
      <c r="DV66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66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68" s="1" t="str">
        <f>_xlfn.XLOOKUP(OfficeForms.Table[[#This Row],[CHAVE LINK POLO]],'[1]Quadro Geral de Lotação'!$B:$B,'[1]Quadro Geral de Lotação'!$I:$I)</f>
        <v>-</v>
      </c>
      <c r="DY668" s="1" t="str">
        <f>OfficeForms.Table[[#This Row],[Selecione a Ordem de Disciplina]]</f>
        <v>Ordem 2</v>
      </c>
    </row>
    <row r="669" spans="1:129" ht="34.15" customHeight="1">
      <c r="A669" s="1">
        <v>669</v>
      </c>
      <c r="B669" s="2">
        <v>46122.8656597222</v>
      </c>
      <c r="C669" s="2">
        <v>46122.873368055603</v>
      </c>
      <c r="D669" s="3" t="s">
        <v>399</v>
      </c>
      <c r="E669" s="3" t="s">
        <v>400</v>
      </c>
      <c r="G669" s="3"/>
      <c r="I669" s="3" t="s">
        <v>401</v>
      </c>
      <c r="K669" s="3"/>
      <c r="L669" s="1" t="s">
        <v>678</v>
      </c>
      <c r="O669" s="3" t="s">
        <v>184</v>
      </c>
      <c r="Q669" s="3"/>
      <c r="R669" s="3"/>
      <c r="T669" s="3"/>
      <c r="U669" s="5"/>
      <c r="W669" s="3"/>
      <c r="Z669" s="3"/>
      <c r="AA669" s="3"/>
      <c r="AC669" s="3"/>
      <c r="AD669" s="3"/>
      <c r="AF669" s="3"/>
      <c r="AG669" s="3" t="s">
        <v>1013</v>
      </c>
      <c r="AI669" s="3"/>
      <c r="AJ669" s="1">
        <v>46120</v>
      </c>
      <c r="AL669" s="3"/>
      <c r="AM669" s="1">
        <v>1</v>
      </c>
      <c r="AO669" s="3"/>
      <c r="AP669" s="3" t="s">
        <v>1964</v>
      </c>
      <c r="AR669" s="3"/>
      <c r="AS669" s="3" t="s">
        <v>1965</v>
      </c>
      <c r="AU669" s="3"/>
      <c r="AV669" s="3"/>
      <c r="AX669" s="3"/>
      <c r="AY669" s="5"/>
      <c r="BA669" s="3"/>
      <c r="BD669" s="3"/>
      <c r="BE669" s="3"/>
      <c r="BG669" s="3"/>
      <c r="BH669" s="3"/>
      <c r="BJ669" s="3"/>
      <c r="BK669" s="3"/>
      <c r="BM669" s="3"/>
      <c r="BN669" s="5"/>
      <c r="BP669" s="3"/>
      <c r="BS669" s="3"/>
      <c r="BT669" s="3"/>
      <c r="BV669" s="3"/>
      <c r="BW669" s="3"/>
      <c r="BY669" s="3"/>
      <c r="BZ669" s="3"/>
      <c r="CB669" s="3"/>
      <c r="CC669" s="5"/>
      <c r="CE669" s="3"/>
      <c r="CH669" s="3"/>
      <c r="CI669" s="3"/>
      <c r="CK669" s="3"/>
      <c r="CL669" s="3"/>
      <c r="CN669" s="3"/>
      <c r="CO669" s="3"/>
      <c r="CQ669" s="3"/>
      <c r="CR669" s="5"/>
      <c r="CT669" s="3"/>
      <c r="CW669" s="3"/>
      <c r="CX669" s="3"/>
      <c r="CZ669" s="3"/>
      <c r="DA669" s="3"/>
      <c r="DC669" s="3"/>
      <c r="DD669" s="3"/>
      <c r="DF669" s="3"/>
      <c r="DG669" s="5"/>
      <c r="DI669" s="3"/>
      <c r="DL669" s="3"/>
      <c r="DM669" s="3"/>
      <c r="DO669" s="3"/>
      <c r="DP669" s="3"/>
      <c r="DR669" s="3"/>
      <c r="DS669" s="1" t="str">
        <f>_xlfn.XLOOKUP(OfficeForms.Table[[#This Row],[Selecione a Categoria do Laboratório desta atividade prática:]],Planilha1!A:A,Planilha1!B:B)</f>
        <v>EMF-ISN</v>
      </c>
      <c r="DT669" s="1" t="str">
        <f>CONCATENATE(OfficeForms.Table[[#This Row],[Selecione seu Polo Laboratório de Atividades Presenciais:]],OfficeForms.Table[[#This Row],[CHAVE CONVERSÃO]])</f>
        <v>Itaboraí/RJEMF-ISN</v>
      </c>
      <c r="DU66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66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66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69" s="1" t="str">
        <f>_xlfn.XLOOKUP(OfficeForms.Table[[#This Row],[CHAVE LINK POLO]],'[1]Quadro Geral de Lotação'!$B:$B,'[1]Quadro Geral de Lotação'!$I:$I)</f>
        <v>Patricia da Silva Trasmontano</v>
      </c>
      <c r="DY669" s="1" t="str">
        <f>OfficeForms.Table[[#This Row],[Selecione a Ordem de Disciplina]]</f>
        <v>Ordem 2</v>
      </c>
    </row>
    <row r="670" spans="1:129" ht="34.15" customHeight="1">
      <c r="A670" s="1">
        <v>670</v>
      </c>
      <c r="B670" s="2">
        <v>46122.873553240701</v>
      </c>
      <c r="C670" s="2">
        <v>46122.884421296301</v>
      </c>
      <c r="D670" s="3" t="s">
        <v>399</v>
      </c>
      <c r="E670" s="3" t="s">
        <v>400</v>
      </c>
      <c r="G670" s="3"/>
      <c r="I670" s="3" t="s">
        <v>401</v>
      </c>
      <c r="K670" s="3"/>
      <c r="L670" s="1" t="s">
        <v>678</v>
      </c>
      <c r="O670" s="3" t="s">
        <v>184</v>
      </c>
      <c r="Q670" s="3"/>
      <c r="R670" s="3"/>
      <c r="T670" s="3"/>
      <c r="U670" s="5"/>
      <c r="W670" s="3"/>
      <c r="Z670" s="3"/>
      <c r="AA670" s="3"/>
      <c r="AC670" s="3"/>
      <c r="AD670" s="3"/>
      <c r="AF670" s="3"/>
      <c r="AG670" s="3" t="s">
        <v>211</v>
      </c>
      <c r="AI670" s="3"/>
      <c r="AJ670" s="1">
        <v>46121</v>
      </c>
      <c r="AL670" s="3"/>
      <c r="AM670" s="1">
        <v>2</v>
      </c>
      <c r="AO670" s="3"/>
      <c r="AP670" s="3" t="s">
        <v>1966</v>
      </c>
      <c r="AR670" s="3"/>
      <c r="AS670" s="3" t="s">
        <v>1967</v>
      </c>
      <c r="AU670" s="3"/>
      <c r="AV670" s="3"/>
      <c r="AX670" s="3"/>
      <c r="AY670" s="5"/>
      <c r="BA670" s="3"/>
      <c r="BD670" s="3"/>
      <c r="BE670" s="3"/>
      <c r="BG670" s="3"/>
      <c r="BH670" s="3"/>
      <c r="BJ670" s="3"/>
      <c r="BK670" s="3"/>
      <c r="BM670" s="3"/>
      <c r="BN670" s="5"/>
      <c r="BP670" s="3"/>
      <c r="BS670" s="3"/>
      <c r="BT670" s="3"/>
      <c r="BV670" s="3"/>
      <c r="BW670" s="3"/>
      <c r="BY670" s="3"/>
      <c r="BZ670" s="3"/>
      <c r="CB670" s="3"/>
      <c r="CC670" s="5"/>
      <c r="CE670" s="3"/>
      <c r="CH670" s="3"/>
      <c r="CI670" s="3"/>
      <c r="CK670" s="3"/>
      <c r="CL670" s="3"/>
      <c r="CN670" s="3"/>
      <c r="CO670" s="3"/>
      <c r="CQ670" s="3"/>
      <c r="CR670" s="5"/>
      <c r="CT670" s="3"/>
      <c r="CW670" s="3"/>
      <c r="CX670" s="3"/>
      <c r="CZ670" s="3"/>
      <c r="DA670" s="3"/>
      <c r="DC670" s="3"/>
      <c r="DD670" s="3"/>
      <c r="DF670" s="3"/>
      <c r="DG670" s="5"/>
      <c r="DI670" s="3"/>
      <c r="DL670" s="3"/>
      <c r="DM670" s="3"/>
      <c r="DO670" s="3"/>
      <c r="DP670" s="3"/>
      <c r="DR670" s="3"/>
      <c r="DS670" s="1" t="str">
        <f>_xlfn.XLOOKUP(OfficeForms.Table[[#This Row],[Selecione a Categoria do Laboratório desta atividade prática:]],Planilha1!A:A,Planilha1!B:B)</f>
        <v>EMF-ISN</v>
      </c>
      <c r="DT670" s="1" t="str">
        <f>CONCATENATE(OfficeForms.Table[[#This Row],[Selecione seu Polo Laboratório de Atividades Presenciais:]],OfficeForms.Table[[#This Row],[CHAVE CONVERSÃO]])</f>
        <v>Itaboraí/RJEMF-ISN</v>
      </c>
      <c r="DU67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67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67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70" s="1" t="str">
        <f>_xlfn.XLOOKUP(OfficeForms.Table[[#This Row],[CHAVE LINK POLO]],'[1]Quadro Geral de Lotação'!$B:$B,'[1]Quadro Geral de Lotação'!$I:$I)</f>
        <v>Patricia da Silva Trasmontano</v>
      </c>
      <c r="DY670" s="1" t="str">
        <f>OfficeForms.Table[[#This Row],[Selecione a Ordem de Disciplina]]</f>
        <v>Ordem 2</v>
      </c>
    </row>
    <row r="671" spans="1:129" ht="34.15" customHeight="1">
      <c r="A671" s="1">
        <v>671</v>
      </c>
      <c r="B671" s="2">
        <v>46123.375127314801</v>
      </c>
      <c r="C671" s="2">
        <v>46123.393865740698</v>
      </c>
      <c r="D671" s="3" t="s">
        <v>227</v>
      </c>
      <c r="E671" s="3" t="s">
        <v>228</v>
      </c>
      <c r="G671" s="3"/>
      <c r="I671" s="3" t="s">
        <v>229</v>
      </c>
      <c r="K671" s="3"/>
      <c r="L671" s="1" t="s">
        <v>678</v>
      </c>
      <c r="O671" s="3" t="s">
        <v>184</v>
      </c>
      <c r="Q671" s="3"/>
      <c r="R671" s="3"/>
      <c r="T671" s="3"/>
      <c r="U671" s="5"/>
      <c r="W671" s="3"/>
      <c r="Z671" s="3"/>
      <c r="AA671" s="3"/>
      <c r="AC671" s="3"/>
      <c r="AD671" s="3"/>
      <c r="AF671" s="3"/>
      <c r="AG671" s="3" t="s">
        <v>1013</v>
      </c>
      <c r="AI671" s="3"/>
      <c r="AJ671" s="1">
        <v>46123</v>
      </c>
      <c r="AL671" s="3"/>
      <c r="AM671" s="1">
        <v>0</v>
      </c>
      <c r="AO671" s="3"/>
      <c r="AP671" s="3" t="s">
        <v>1968</v>
      </c>
      <c r="AR671" s="3"/>
      <c r="AS671" s="3" t="s">
        <v>1969</v>
      </c>
      <c r="AU671" s="3"/>
      <c r="AV671" s="3"/>
      <c r="AX671" s="3"/>
      <c r="AY671" s="5"/>
      <c r="BA671" s="3"/>
      <c r="BD671" s="3"/>
      <c r="BE671" s="3"/>
      <c r="BG671" s="3"/>
      <c r="BH671" s="3"/>
      <c r="BJ671" s="3"/>
      <c r="BK671" s="3"/>
      <c r="BM671" s="3"/>
      <c r="BN671" s="5"/>
      <c r="BP671" s="3"/>
      <c r="BS671" s="3"/>
      <c r="BT671" s="3"/>
      <c r="BV671" s="3"/>
      <c r="BW671" s="3"/>
      <c r="BY671" s="3"/>
      <c r="BZ671" s="3"/>
      <c r="CB671" s="3"/>
      <c r="CC671" s="5"/>
      <c r="CE671" s="3"/>
      <c r="CH671" s="3"/>
      <c r="CI671" s="3"/>
      <c r="CK671" s="3"/>
      <c r="CL671" s="3"/>
      <c r="CN671" s="3"/>
      <c r="CO671" s="3"/>
      <c r="CQ671" s="3"/>
      <c r="CR671" s="5"/>
      <c r="CT671" s="3"/>
      <c r="CW671" s="3"/>
      <c r="CX671" s="3"/>
      <c r="CZ671" s="3"/>
      <c r="DA671" s="3"/>
      <c r="DC671" s="3"/>
      <c r="DD671" s="3"/>
      <c r="DF671" s="3"/>
      <c r="DG671" s="5"/>
      <c r="DI671" s="3"/>
      <c r="DL671" s="3"/>
      <c r="DM671" s="3"/>
      <c r="DO671" s="3"/>
      <c r="DP671" s="3"/>
      <c r="DR671" s="3"/>
      <c r="DS671" s="1" t="str">
        <f>_xlfn.XLOOKUP(OfficeForms.Table[[#This Row],[Selecione a Categoria do Laboratório desta atividade prática:]],Planilha1!A:A,Planilha1!B:B)</f>
        <v>EMF-ISN</v>
      </c>
      <c r="DT671" s="1" t="str">
        <f>CONCATENATE(OfficeForms.Table[[#This Row],[Selecione seu Polo Laboratório de Atividades Presenciais:]],OfficeForms.Table[[#This Row],[CHAVE CONVERSÃO]])</f>
        <v>Lages/SC - CentroEMF-ISN</v>
      </c>
      <c r="DU67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67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46123</v>
      </c>
      <c r="DW67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71" s="1" t="str">
        <f>_xlfn.XLOOKUP(OfficeForms.Table[[#This Row],[CHAVE LINK POLO]],'[1]Quadro Geral de Lotação'!$B:$B,'[1]Quadro Geral de Lotação'!$I:$I)</f>
        <v>Daniela Madruga</v>
      </c>
      <c r="DY671" s="1" t="str">
        <f>OfficeForms.Table[[#This Row],[Selecione a Ordem de Disciplina]]</f>
        <v>Ordem 2</v>
      </c>
    </row>
    <row r="672" spans="1:129" ht="34.15" customHeight="1">
      <c r="A672" s="1">
        <v>672</v>
      </c>
      <c r="B672" s="2">
        <v>46123.438148148103</v>
      </c>
      <c r="C672" s="2">
        <v>46123.4405555556</v>
      </c>
      <c r="D672" s="3" t="s">
        <v>952</v>
      </c>
      <c r="E672" s="3" t="s">
        <v>953</v>
      </c>
      <c r="G672" s="3"/>
      <c r="I672" s="3" t="s">
        <v>954</v>
      </c>
      <c r="K672" s="3"/>
      <c r="L672" s="1" t="s">
        <v>678</v>
      </c>
      <c r="O672" s="3" t="s">
        <v>184</v>
      </c>
      <c r="Q672" s="3"/>
      <c r="R672" s="3"/>
      <c r="T672" s="3"/>
      <c r="U672" s="5"/>
      <c r="W672" s="3"/>
      <c r="Z672" s="3"/>
      <c r="AA672" s="3"/>
      <c r="AC672" s="3"/>
      <c r="AD672" s="3"/>
      <c r="AF672" s="3"/>
      <c r="AG672" s="3" t="s">
        <v>1970</v>
      </c>
      <c r="AI672" s="3"/>
      <c r="AJ672" s="1">
        <v>46099</v>
      </c>
      <c r="AL672" s="3"/>
      <c r="AM672" s="1">
        <v>1</v>
      </c>
      <c r="AO672" s="3"/>
      <c r="AP672" s="3" t="s">
        <v>1971</v>
      </c>
      <c r="AR672" s="3"/>
      <c r="AS672" s="3" t="s">
        <v>1972</v>
      </c>
      <c r="AU672" s="3"/>
      <c r="AV672" s="3"/>
      <c r="AX672" s="3"/>
      <c r="AY672" s="5"/>
      <c r="BA672" s="3"/>
      <c r="BD672" s="3"/>
      <c r="BE672" s="3"/>
      <c r="BG672" s="3"/>
      <c r="BH672" s="3"/>
      <c r="BJ672" s="3"/>
      <c r="BK672" s="3"/>
      <c r="BM672" s="3"/>
      <c r="BN672" s="5"/>
      <c r="BP672" s="3"/>
      <c r="BS672" s="3"/>
      <c r="BT672" s="3"/>
      <c r="BV672" s="3"/>
      <c r="BW672" s="3"/>
      <c r="BY672" s="3"/>
      <c r="BZ672" s="3"/>
      <c r="CB672" s="3"/>
      <c r="CC672" s="5"/>
      <c r="CE672" s="3"/>
      <c r="CH672" s="3"/>
      <c r="CI672" s="3"/>
      <c r="CK672" s="3"/>
      <c r="CL672" s="3"/>
      <c r="CN672" s="3"/>
      <c r="CO672" s="3"/>
      <c r="CQ672" s="3"/>
      <c r="CR672" s="5"/>
      <c r="CT672" s="3"/>
      <c r="CW672" s="3"/>
      <c r="CX672" s="3"/>
      <c r="CZ672" s="3"/>
      <c r="DA672" s="3"/>
      <c r="DC672" s="3"/>
      <c r="DD672" s="3"/>
      <c r="DF672" s="3"/>
      <c r="DG672" s="5"/>
      <c r="DI672" s="3"/>
      <c r="DL672" s="3"/>
      <c r="DM672" s="3"/>
      <c r="DO672" s="3"/>
      <c r="DP672" s="3"/>
      <c r="DR672" s="3"/>
      <c r="DS672" s="1" t="str">
        <f>_xlfn.XLOOKUP(OfficeForms.Table[[#This Row],[Selecione a Categoria do Laboratório desta atividade prática:]],Planilha1!A:A,Planilha1!B:B)</f>
        <v>EMF-ISN</v>
      </c>
      <c r="DT672" s="1" t="str">
        <f>CONCATENATE(OfficeForms.Table[[#This Row],[Selecione seu Polo Laboratório de Atividades Presenciais:]],OfficeForms.Table[[#This Row],[CHAVE CONVERSÃO]])</f>
        <v>Barreirinhas/MAEMF-ISN</v>
      </c>
      <c r="DU67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Vida;Punção e manutenção de cateter de longa permanência + Troca de bolsa de ostomia</v>
      </c>
      <c r="DV67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67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672" s="1" t="str">
        <f>_xlfn.XLOOKUP(OfficeForms.Table[[#This Row],[CHAVE LINK POLO]],'[1]Quadro Geral de Lotação'!$B:$B,'[1]Quadro Geral de Lotação'!$I:$I)</f>
        <v>Hozana De Almeida Evangelista</v>
      </c>
      <c r="DY672" s="1" t="str">
        <f>OfficeForms.Table[[#This Row],[Selecione a Ordem de Disciplina]]</f>
        <v>Ordem 2</v>
      </c>
    </row>
    <row r="673" spans="1:129" ht="34.15" customHeight="1">
      <c r="A673" s="1">
        <v>673</v>
      </c>
      <c r="B673" s="2">
        <v>46123.765289351897</v>
      </c>
      <c r="C673" s="2">
        <v>46123.768900463001</v>
      </c>
      <c r="D673" s="3" t="s">
        <v>1973</v>
      </c>
      <c r="E673" s="3" t="s">
        <v>1974</v>
      </c>
      <c r="G673" s="3"/>
      <c r="I673" s="3" t="s">
        <v>1975</v>
      </c>
      <c r="K673" s="3"/>
      <c r="L673" s="1" t="s">
        <v>132</v>
      </c>
      <c r="O673" s="3" t="s">
        <v>184</v>
      </c>
      <c r="Q673" s="3"/>
      <c r="R673" s="3"/>
      <c r="T673" s="3"/>
      <c r="U673" s="5"/>
      <c r="W673" s="3"/>
      <c r="Z673" s="3"/>
      <c r="AA673" s="3"/>
      <c r="AC673" s="3"/>
      <c r="AD673" s="3"/>
      <c r="AF673" s="3"/>
      <c r="AG673" s="3" t="s">
        <v>211</v>
      </c>
      <c r="AI673" s="3"/>
      <c r="AJ673" s="1">
        <v>46122</v>
      </c>
      <c r="AL673" s="3"/>
      <c r="AM673" s="1">
        <v>13</v>
      </c>
      <c r="AO673" s="3"/>
      <c r="AP673" s="3" t="s">
        <v>1976</v>
      </c>
      <c r="AR673" s="3"/>
      <c r="AS673" s="3" t="s">
        <v>1977</v>
      </c>
      <c r="AU673" s="3"/>
      <c r="AV673" s="3"/>
      <c r="AX673" s="3"/>
      <c r="AY673" s="5"/>
      <c r="BA673" s="3"/>
      <c r="BD673" s="3"/>
      <c r="BE673" s="3"/>
      <c r="BG673" s="3"/>
      <c r="BH673" s="3"/>
      <c r="BJ673" s="3"/>
      <c r="BK673" s="3"/>
      <c r="BM673" s="3"/>
      <c r="BN673" s="5"/>
      <c r="BP673" s="3"/>
      <c r="BS673" s="3"/>
      <c r="BT673" s="3"/>
      <c r="BV673" s="3"/>
      <c r="BW673" s="3"/>
      <c r="BY673" s="3"/>
      <c r="BZ673" s="3"/>
      <c r="CB673" s="3"/>
      <c r="CC673" s="5"/>
      <c r="CE673" s="3"/>
      <c r="CH673" s="3"/>
      <c r="CI673" s="3"/>
      <c r="CK673" s="3"/>
      <c r="CL673" s="3"/>
      <c r="CN673" s="3"/>
      <c r="CO673" s="3"/>
      <c r="CQ673" s="3"/>
      <c r="CR673" s="5"/>
      <c r="CT673" s="3"/>
      <c r="CW673" s="3"/>
      <c r="CX673" s="3"/>
      <c r="CZ673" s="3"/>
      <c r="DA673" s="3"/>
      <c r="DC673" s="3"/>
      <c r="DD673" s="3"/>
      <c r="DF673" s="3"/>
      <c r="DG673" s="5"/>
      <c r="DI673" s="3"/>
      <c r="DL673" s="3"/>
      <c r="DM673" s="3"/>
      <c r="DO673" s="3"/>
      <c r="DP673" s="3"/>
      <c r="DR673" s="3"/>
      <c r="DS673" s="1" t="str">
        <f>_xlfn.XLOOKUP(OfficeForms.Table[[#This Row],[Selecione a Categoria do Laboratório desta atividade prática:]],Planilha1!A:A,Planilha1!B:B)</f>
        <v>EMF-ISN</v>
      </c>
      <c r="DT673" s="1" t="str">
        <f>CONCATENATE(OfficeForms.Table[[#This Row],[Selecione seu Polo Laboratório de Atividades Presenciais:]],OfficeForms.Table[[#This Row],[CHAVE CONVERSÃO]])</f>
        <v>Porto Velho/RO - Distrito de ExtremaEMF-ISN</v>
      </c>
      <c r="DU67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67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46122</v>
      </c>
      <c r="DW67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673" s="1" t="str">
        <f>_xlfn.XLOOKUP(OfficeForms.Table[[#This Row],[CHAVE LINK POLO]],'[1]Quadro Geral de Lotação'!$B:$B,'[1]Quadro Geral de Lotação'!$I:$I)</f>
        <v>Raul Dos Santos Aguirre</v>
      </c>
      <c r="DY673" s="1" t="str">
        <f>OfficeForms.Table[[#This Row],[Selecione a Ordem de Disciplina]]</f>
        <v>Ordem 1</v>
      </c>
    </row>
    <row r="674" spans="1:129" ht="34.15" customHeight="1">
      <c r="A674" s="1">
        <v>674</v>
      </c>
      <c r="B674" s="2">
        <v>46124.803668981498</v>
      </c>
      <c r="C674" s="2">
        <v>46124.807673611103</v>
      </c>
      <c r="D674" s="3" t="s">
        <v>697</v>
      </c>
      <c r="E674" s="3" t="s">
        <v>698</v>
      </c>
      <c r="G674" s="3"/>
      <c r="I674" s="3" t="s">
        <v>699</v>
      </c>
      <c r="K674" s="3"/>
      <c r="L674" s="1" t="s">
        <v>678</v>
      </c>
      <c r="O674" s="3" t="s">
        <v>184</v>
      </c>
      <c r="Q674" s="3"/>
      <c r="R674" s="3"/>
      <c r="T674" s="3"/>
      <c r="U674" s="5"/>
      <c r="W674" s="3"/>
      <c r="Z674" s="3"/>
      <c r="AA674" s="3"/>
      <c r="AC674" s="3"/>
      <c r="AD674" s="3"/>
      <c r="AF674" s="3"/>
      <c r="AG674" s="3" t="s">
        <v>1278</v>
      </c>
      <c r="AI674" s="3"/>
      <c r="AJ674" s="1">
        <v>46112</v>
      </c>
      <c r="AL674" s="3"/>
      <c r="AM674" s="1">
        <v>0</v>
      </c>
      <c r="AO674" s="3"/>
      <c r="AP674" s="3" t="s">
        <v>1978</v>
      </c>
      <c r="AR674" s="3"/>
      <c r="AS674" s="3" t="s">
        <v>1979</v>
      </c>
      <c r="AU674" s="3"/>
      <c r="AV674" s="3"/>
      <c r="AX674" s="3"/>
      <c r="AY674" s="5"/>
      <c r="BA674" s="3"/>
      <c r="BD674" s="3"/>
      <c r="BE674" s="3"/>
      <c r="BG674" s="3"/>
      <c r="BH674" s="3"/>
      <c r="BJ674" s="3"/>
      <c r="BK674" s="3"/>
      <c r="BM674" s="3"/>
      <c r="BN674" s="5"/>
      <c r="BP674" s="3"/>
      <c r="BS674" s="3"/>
      <c r="BT674" s="3"/>
      <c r="BV674" s="3"/>
      <c r="BW674" s="3"/>
      <c r="BY674" s="3"/>
      <c r="BZ674" s="3"/>
      <c r="CB674" s="3"/>
      <c r="CC674" s="5"/>
      <c r="CE674" s="3"/>
      <c r="CH674" s="3"/>
      <c r="CI674" s="3"/>
      <c r="CK674" s="3"/>
      <c r="CL674" s="3"/>
      <c r="CN674" s="3"/>
      <c r="CO674" s="3"/>
      <c r="CQ674" s="3"/>
      <c r="CR674" s="5"/>
      <c r="CT674" s="3"/>
      <c r="CW674" s="3"/>
      <c r="CX674" s="3"/>
      <c r="CZ674" s="3"/>
      <c r="DA674" s="3"/>
      <c r="DC674" s="3"/>
      <c r="DD674" s="3"/>
      <c r="DF674" s="3"/>
      <c r="DG674" s="5"/>
      <c r="DI674" s="3"/>
      <c r="DL674" s="3"/>
      <c r="DM674" s="3"/>
      <c r="DO674" s="3"/>
      <c r="DP674" s="3"/>
      <c r="DR674" s="3"/>
      <c r="DS674" s="1" t="str">
        <f>_xlfn.XLOOKUP(OfficeForms.Table[[#This Row],[Selecione a Categoria do Laboratório desta atividade prática:]],Planilha1!A:A,Planilha1!B:B)</f>
        <v>EMF-ISN</v>
      </c>
      <c r="DT674" s="1" t="str">
        <f>CONCATENATE(OfficeForms.Table[[#This Row],[Selecione seu Polo Laboratório de Atividades Presenciais:]],OfficeForms.Table[[#This Row],[CHAVE CONVERSÃO]])</f>
        <v>Curitiba/PR - BoqueirãoEMF-ISN</v>
      </c>
      <c r="DU67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67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7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74" s="1" t="str">
        <f>_xlfn.XLOOKUP(OfficeForms.Table[[#This Row],[CHAVE LINK POLO]],'[1]Quadro Geral de Lotação'!$B:$B,'[1]Quadro Geral de Lotação'!$I:$I)</f>
        <v>Fadia Amira Baitala</v>
      </c>
      <c r="DY674" s="1" t="str">
        <f>OfficeForms.Table[[#This Row],[Selecione a Ordem de Disciplina]]</f>
        <v>Ordem 2</v>
      </c>
    </row>
    <row r="675" spans="1:129" ht="34.15" customHeight="1">
      <c r="A675" s="1">
        <v>675</v>
      </c>
      <c r="B675" s="2">
        <v>46124.807754629597</v>
      </c>
      <c r="C675" s="2">
        <v>46124.809606481504</v>
      </c>
      <c r="D675" s="3" t="s">
        <v>697</v>
      </c>
      <c r="E675" s="3" t="s">
        <v>698</v>
      </c>
      <c r="G675" s="3"/>
      <c r="I675" s="3" t="s">
        <v>699</v>
      </c>
      <c r="K675" s="3"/>
      <c r="L675" s="1" t="s">
        <v>678</v>
      </c>
      <c r="O675" s="3" t="s">
        <v>184</v>
      </c>
      <c r="Q675" s="3"/>
      <c r="R675" s="3"/>
      <c r="T675" s="3"/>
      <c r="U675" s="5"/>
      <c r="W675" s="3"/>
      <c r="Z675" s="3"/>
      <c r="AA675" s="3"/>
      <c r="AC675" s="3"/>
      <c r="AD675" s="3"/>
      <c r="AF675" s="3"/>
      <c r="AG675" s="3" t="s">
        <v>1031</v>
      </c>
      <c r="AI675" s="3"/>
      <c r="AJ675" s="1">
        <v>46121</v>
      </c>
      <c r="AL675" s="3"/>
      <c r="AM675" s="1">
        <v>0</v>
      </c>
      <c r="AO675" s="3"/>
      <c r="AP675" s="3" t="s">
        <v>1980</v>
      </c>
      <c r="AR675" s="3"/>
      <c r="AS675" s="3" t="s">
        <v>1981</v>
      </c>
      <c r="AU675" s="3"/>
      <c r="AV675" s="3"/>
      <c r="AX675" s="3"/>
      <c r="AY675" s="5"/>
      <c r="BA675" s="3"/>
      <c r="BD675" s="3"/>
      <c r="BE675" s="3"/>
      <c r="BG675" s="3"/>
      <c r="BH675" s="3"/>
      <c r="BJ675" s="3"/>
      <c r="BK675" s="3"/>
      <c r="BM675" s="3"/>
      <c r="BN675" s="5"/>
      <c r="BP675" s="3"/>
      <c r="BS675" s="3"/>
      <c r="BT675" s="3"/>
      <c r="BV675" s="3"/>
      <c r="BW675" s="3"/>
      <c r="BY675" s="3"/>
      <c r="BZ675" s="3"/>
      <c r="CB675" s="3"/>
      <c r="CC675" s="5"/>
      <c r="CE675" s="3"/>
      <c r="CH675" s="3"/>
      <c r="CI675" s="3"/>
      <c r="CK675" s="3"/>
      <c r="CL675" s="3"/>
      <c r="CN675" s="3"/>
      <c r="CO675" s="3"/>
      <c r="CQ675" s="3"/>
      <c r="CR675" s="5"/>
      <c r="CT675" s="3"/>
      <c r="CW675" s="3"/>
      <c r="CX675" s="3"/>
      <c r="CZ675" s="3"/>
      <c r="DA675" s="3"/>
      <c r="DC675" s="3"/>
      <c r="DD675" s="3"/>
      <c r="DF675" s="3"/>
      <c r="DG675" s="5"/>
      <c r="DI675" s="3"/>
      <c r="DL675" s="3"/>
      <c r="DM675" s="3"/>
      <c r="DO675" s="3"/>
      <c r="DP675" s="3"/>
      <c r="DR675" s="3"/>
      <c r="DS675" s="1" t="str">
        <f>_xlfn.XLOOKUP(OfficeForms.Table[[#This Row],[Selecione a Categoria do Laboratório desta atividade prática:]],Planilha1!A:A,Planilha1!B:B)</f>
        <v>EMF-ISN</v>
      </c>
      <c r="DT675" s="1" t="str">
        <f>CONCATENATE(OfficeForms.Table[[#This Row],[Selecione seu Polo Laboratório de Atividades Presenciais:]],OfficeForms.Table[[#This Row],[CHAVE CONVERSÃO]])</f>
        <v>Curitiba/PR - BoqueirãoEMF-ISN</v>
      </c>
      <c r="DU67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67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67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75" s="1" t="str">
        <f>_xlfn.XLOOKUP(OfficeForms.Table[[#This Row],[CHAVE LINK POLO]],'[1]Quadro Geral de Lotação'!$B:$B,'[1]Quadro Geral de Lotação'!$I:$I)</f>
        <v>Fadia Amira Baitala</v>
      </c>
      <c r="DY675" s="1" t="str">
        <f>OfficeForms.Table[[#This Row],[Selecione a Ordem de Disciplina]]</f>
        <v>Ordem 2</v>
      </c>
    </row>
    <row r="676" spans="1:129" ht="34.15" customHeight="1">
      <c r="A676" s="1">
        <v>676</v>
      </c>
      <c r="B676" s="2">
        <v>46124.876412037003</v>
      </c>
      <c r="C676" s="2">
        <v>46124.878032407403</v>
      </c>
      <c r="D676" s="3" t="s">
        <v>357</v>
      </c>
      <c r="E676" s="3" t="s">
        <v>358</v>
      </c>
      <c r="G676" s="3"/>
      <c r="I676" s="3" t="s">
        <v>359</v>
      </c>
      <c r="K676" s="3"/>
      <c r="L676" s="1" t="s">
        <v>678</v>
      </c>
      <c r="O676" s="3" t="s">
        <v>156</v>
      </c>
      <c r="Q676" s="3"/>
      <c r="R676" s="3"/>
      <c r="T676" s="3"/>
      <c r="U676" s="5"/>
      <c r="W676" s="3"/>
      <c r="Z676" s="3"/>
      <c r="AA676" s="3"/>
      <c r="AC676" s="3"/>
      <c r="AD676" s="3"/>
      <c r="AF676" s="3"/>
      <c r="AG676" s="3"/>
      <c r="AI676" s="3"/>
      <c r="AJ676" s="1"/>
      <c r="AL676" s="3"/>
      <c r="AO676" s="3"/>
      <c r="AP676" s="3"/>
      <c r="AR676" s="3"/>
      <c r="AS676" s="3"/>
      <c r="AU676" s="3"/>
      <c r="AV676" s="3"/>
      <c r="AX676" s="3"/>
      <c r="AY676" s="5"/>
      <c r="BA676" s="3"/>
      <c r="BD676" s="3"/>
      <c r="BE676" s="3"/>
      <c r="BG676" s="3"/>
      <c r="BH676" s="3"/>
      <c r="BJ676" s="3"/>
      <c r="BK676" s="3" t="s">
        <v>1756</v>
      </c>
      <c r="BM676" s="3"/>
      <c r="BN676" s="5">
        <v>46119</v>
      </c>
      <c r="BP676" s="3"/>
      <c r="BQ676" s="1">
        <v>5</v>
      </c>
      <c r="BS676" s="3"/>
      <c r="BT676" s="3" t="s">
        <v>1982</v>
      </c>
      <c r="BV676" s="3"/>
      <c r="BW676" s="3" t="s">
        <v>1983</v>
      </c>
      <c r="BY676" s="3"/>
      <c r="BZ676" s="3"/>
      <c r="CB676" s="3"/>
      <c r="CC676" s="5"/>
      <c r="CE676" s="3"/>
      <c r="CH676" s="3"/>
      <c r="CI676" s="3"/>
      <c r="CK676" s="3"/>
      <c r="CL676" s="3"/>
      <c r="CN676" s="3"/>
      <c r="CO676" s="3"/>
      <c r="CQ676" s="3"/>
      <c r="CR676" s="5"/>
      <c r="CT676" s="3"/>
      <c r="CW676" s="3"/>
      <c r="CX676" s="3"/>
      <c r="CZ676" s="3"/>
      <c r="DA676" s="3"/>
      <c r="DC676" s="3"/>
      <c r="DD676" s="3"/>
      <c r="DF676" s="3"/>
      <c r="DG676" s="5"/>
      <c r="DI676" s="3"/>
      <c r="DL676" s="3"/>
      <c r="DM676" s="3"/>
      <c r="DO676" s="3"/>
      <c r="DP676" s="3"/>
      <c r="DR676" s="3"/>
      <c r="DS676" s="1" t="str">
        <f>_xlfn.XLOOKUP(OfficeForms.Table[[#This Row],[Selecione a Categoria do Laboratório desta atividade prática:]],Planilha1!A:A,Planilha1!B:B)</f>
        <v>NTR</v>
      </c>
      <c r="DT676" s="1" t="str">
        <f>CONCATENATE(OfficeForms.Table[[#This Row],[Selecione seu Polo Laboratório de Atividades Presenciais:]],OfficeForms.Table[[#This Row],[CHAVE CONVERSÃO]])</f>
        <v>São Pedro da Aldeia/RJNTR</v>
      </c>
      <c r="DU67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</v>
      </c>
      <c r="DV67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7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676" s="1" t="str">
        <f>_xlfn.XLOOKUP(OfficeForms.Table[[#This Row],[CHAVE LINK POLO]],'[1]Quadro Geral de Lotação'!$B:$B,'[1]Quadro Geral de Lotação'!$I:$I)</f>
        <v>Natalia Silva De Mattos</v>
      </c>
      <c r="DY676" s="1" t="str">
        <f>OfficeForms.Table[[#This Row],[Selecione a Ordem de Disciplina]]</f>
        <v>Ordem 2</v>
      </c>
    </row>
    <row r="677" spans="1:129" ht="34.15" customHeight="1">
      <c r="A677" s="1">
        <v>677</v>
      </c>
      <c r="B677" s="2">
        <v>46124.878483796303</v>
      </c>
      <c r="C677" s="2">
        <v>46124.881458333301</v>
      </c>
      <c r="D677" s="3" t="s">
        <v>357</v>
      </c>
      <c r="E677" s="3" t="s">
        <v>358</v>
      </c>
      <c r="G677" s="3"/>
      <c r="I677" s="3" t="s">
        <v>359</v>
      </c>
      <c r="K677" s="3"/>
      <c r="L677" s="1" t="s">
        <v>678</v>
      </c>
      <c r="O677" s="3" t="s">
        <v>156</v>
      </c>
      <c r="Q677" s="3"/>
      <c r="R677" s="3"/>
      <c r="T677" s="3"/>
      <c r="U677" s="5"/>
      <c r="W677" s="3"/>
      <c r="Z677" s="3"/>
      <c r="AA677" s="3"/>
      <c r="AC677" s="3"/>
      <c r="AD677" s="3"/>
      <c r="AF677" s="3"/>
      <c r="AG677" s="3"/>
      <c r="AI677" s="3"/>
      <c r="AJ677" s="1"/>
      <c r="AL677" s="3"/>
      <c r="AO677" s="3"/>
      <c r="AP677" s="3"/>
      <c r="AR677" s="3"/>
      <c r="AS677" s="3"/>
      <c r="AU677" s="3"/>
      <c r="AV677" s="3"/>
      <c r="AX677" s="3"/>
      <c r="AY677" s="5"/>
      <c r="BA677" s="3"/>
      <c r="BD677" s="3"/>
      <c r="BE677" s="3"/>
      <c r="BG677" s="3"/>
      <c r="BH677" s="3"/>
      <c r="BJ677" s="3"/>
      <c r="BK677" s="3" t="s">
        <v>455</v>
      </c>
      <c r="BM677" s="3"/>
      <c r="BN677" s="5">
        <v>46119</v>
      </c>
      <c r="BP677" s="3"/>
      <c r="BQ677" s="1">
        <v>9</v>
      </c>
      <c r="BS677" s="3"/>
      <c r="BT677" s="3" t="s">
        <v>1984</v>
      </c>
      <c r="BV677" s="3"/>
      <c r="BW677" s="3" t="s">
        <v>1985</v>
      </c>
      <c r="BY677" s="3"/>
      <c r="BZ677" s="3"/>
      <c r="CB677" s="3"/>
      <c r="CC677" s="5"/>
      <c r="CE677" s="3"/>
      <c r="CH677" s="3"/>
      <c r="CI677" s="3"/>
      <c r="CK677" s="3"/>
      <c r="CL677" s="3"/>
      <c r="CN677" s="3"/>
      <c r="CO677" s="3"/>
      <c r="CQ677" s="3"/>
      <c r="CR677" s="5"/>
      <c r="CT677" s="3"/>
      <c r="CW677" s="3"/>
      <c r="CX677" s="3"/>
      <c r="CZ677" s="3"/>
      <c r="DA677" s="3"/>
      <c r="DC677" s="3"/>
      <c r="DD677" s="3"/>
      <c r="DF677" s="3"/>
      <c r="DG677" s="5"/>
      <c r="DI677" s="3"/>
      <c r="DL677" s="3"/>
      <c r="DM677" s="3"/>
      <c r="DO677" s="3"/>
      <c r="DP677" s="3"/>
      <c r="DR677" s="3"/>
      <c r="DS677" s="1" t="str">
        <f>_xlfn.XLOOKUP(OfficeForms.Table[[#This Row],[Selecione a Categoria do Laboratório desta atividade prática:]],Planilha1!A:A,Planilha1!B:B)</f>
        <v>NTR</v>
      </c>
      <c r="DT677" s="1" t="str">
        <f>CONCATENATE(OfficeForms.Table[[#This Row],[Selecione seu Polo Laboratório de Atividades Presenciais:]],OfficeForms.Table[[#This Row],[CHAVE CONVERSÃO]])</f>
        <v>São Pedro da Aldeia/RJNTR</v>
      </c>
      <c r="DU67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II: Anamnese e diagnóstico</v>
      </c>
      <c r="DV67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7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677" s="1" t="str">
        <f>_xlfn.XLOOKUP(OfficeForms.Table[[#This Row],[CHAVE LINK POLO]],'[1]Quadro Geral de Lotação'!$B:$B,'[1]Quadro Geral de Lotação'!$I:$I)</f>
        <v>Natalia Silva De Mattos</v>
      </c>
      <c r="DY677" s="1" t="str">
        <f>OfficeForms.Table[[#This Row],[Selecione a Ordem de Disciplina]]</f>
        <v>Ordem 2</v>
      </c>
    </row>
    <row r="678" spans="1:129" ht="34.15" customHeight="1">
      <c r="A678" s="1">
        <v>678</v>
      </c>
      <c r="B678" s="2">
        <v>46124.886921296304</v>
      </c>
      <c r="C678" s="2">
        <v>46124.889710648102</v>
      </c>
      <c r="D678" s="3" t="s">
        <v>357</v>
      </c>
      <c r="E678" s="3" t="s">
        <v>358</v>
      </c>
      <c r="G678" s="3"/>
      <c r="I678" s="3" t="s">
        <v>359</v>
      </c>
      <c r="K678" s="3"/>
      <c r="L678" s="1" t="s">
        <v>678</v>
      </c>
      <c r="O678" s="3" t="s">
        <v>156</v>
      </c>
      <c r="Q678" s="3"/>
      <c r="R678" s="3"/>
      <c r="T678" s="3"/>
      <c r="U678" s="5"/>
      <c r="W678" s="3"/>
      <c r="Z678" s="3"/>
      <c r="AA678" s="3"/>
      <c r="AC678" s="3"/>
      <c r="AD678" s="3"/>
      <c r="AF678" s="3"/>
      <c r="AG678" s="3"/>
      <c r="AI678" s="3"/>
      <c r="AJ678" s="1"/>
      <c r="AL678" s="3"/>
      <c r="AO678" s="3"/>
      <c r="AP678" s="3"/>
      <c r="AR678" s="3"/>
      <c r="AS678" s="3"/>
      <c r="AU678" s="3"/>
      <c r="AV678" s="3"/>
      <c r="AX678" s="3"/>
      <c r="AY678" s="5"/>
      <c r="BA678" s="3"/>
      <c r="BD678" s="3"/>
      <c r="BE678" s="3"/>
      <c r="BG678" s="3"/>
      <c r="BH678" s="3"/>
      <c r="BJ678" s="3"/>
      <c r="BK678" s="3" t="s">
        <v>1756</v>
      </c>
      <c r="BM678" s="3"/>
      <c r="BN678" s="5">
        <v>46112</v>
      </c>
      <c r="BP678" s="3"/>
      <c r="BQ678" s="1">
        <v>5</v>
      </c>
      <c r="BS678" s="3"/>
      <c r="BT678" s="3" t="s">
        <v>1986</v>
      </c>
      <c r="BV678" s="3"/>
      <c r="BW678" s="3" t="s">
        <v>1987</v>
      </c>
      <c r="BY678" s="3"/>
      <c r="BZ678" s="3"/>
      <c r="CB678" s="3"/>
      <c r="CC678" s="5"/>
      <c r="CE678" s="3"/>
      <c r="CH678" s="3"/>
      <c r="CI678" s="3"/>
      <c r="CK678" s="3"/>
      <c r="CL678" s="3"/>
      <c r="CN678" s="3"/>
      <c r="CO678" s="3"/>
      <c r="CQ678" s="3"/>
      <c r="CR678" s="5"/>
      <c r="CT678" s="3"/>
      <c r="CW678" s="3"/>
      <c r="CX678" s="3"/>
      <c r="CZ678" s="3"/>
      <c r="DA678" s="3"/>
      <c r="DC678" s="3"/>
      <c r="DD678" s="3"/>
      <c r="DF678" s="3"/>
      <c r="DG678" s="5"/>
      <c r="DI678" s="3"/>
      <c r="DL678" s="3"/>
      <c r="DM678" s="3"/>
      <c r="DO678" s="3"/>
      <c r="DP678" s="3"/>
      <c r="DR678" s="3"/>
      <c r="DS678" s="1" t="str">
        <f>_xlfn.XLOOKUP(OfficeForms.Table[[#This Row],[Selecione a Categoria do Laboratório desta atividade prática:]],Planilha1!A:A,Planilha1!B:B)</f>
        <v>NTR</v>
      </c>
      <c r="DT678" s="1" t="str">
        <f>CONCATENATE(OfficeForms.Table[[#This Row],[Selecione seu Polo Laboratório de Atividades Presenciais:]],OfficeForms.Table[[#This Row],[CHAVE CONVERSÃO]])</f>
        <v>São Pedro da Aldeia/RJNTR</v>
      </c>
      <c r="DU67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</v>
      </c>
      <c r="DV67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7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678" s="1" t="str">
        <f>_xlfn.XLOOKUP(OfficeForms.Table[[#This Row],[CHAVE LINK POLO]],'[1]Quadro Geral de Lotação'!$B:$B,'[1]Quadro Geral de Lotação'!$I:$I)</f>
        <v>Natalia Silva De Mattos</v>
      </c>
      <c r="DY678" s="1" t="str">
        <f>OfficeForms.Table[[#This Row],[Selecione a Ordem de Disciplina]]</f>
        <v>Ordem 2</v>
      </c>
    </row>
    <row r="679" spans="1:129" ht="34.15" customHeight="1">
      <c r="A679" s="1">
        <v>679</v>
      </c>
      <c r="B679" s="2">
        <v>46125.414178240702</v>
      </c>
      <c r="C679" s="2">
        <v>46125.415879629603</v>
      </c>
      <c r="D679" s="3" t="s">
        <v>1988</v>
      </c>
      <c r="E679" s="3" t="s">
        <v>1989</v>
      </c>
      <c r="G679" s="3"/>
      <c r="I679" s="3" t="s">
        <v>767</v>
      </c>
      <c r="K679" s="3"/>
      <c r="L679" s="1" t="s">
        <v>678</v>
      </c>
      <c r="O679" s="3" t="s">
        <v>184</v>
      </c>
      <c r="Q679" s="3"/>
      <c r="R679" s="3"/>
      <c r="T679" s="3"/>
      <c r="U679" s="5"/>
      <c r="W679" s="3"/>
      <c r="Z679" s="3"/>
      <c r="AA679" s="3"/>
      <c r="AC679" s="3"/>
      <c r="AD679" s="3"/>
      <c r="AF679" s="3"/>
      <c r="AG679" s="3" t="s">
        <v>1200</v>
      </c>
      <c r="AI679" s="3"/>
      <c r="AJ679" s="1">
        <v>46105</v>
      </c>
      <c r="AL679" s="3"/>
      <c r="AM679" s="1">
        <v>7</v>
      </c>
      <c r="AO679" s="3"/>
      <c r="AP679" s="3" t="s">
        <v>1990</v>
      </c>
      <c r="AR679" s="3"/>
      <c r="AS679" s="3" t="s">
        <v>1991</v>
      </c>
      <c r="AU679" s="3"/>
      <c r="AV679" s="3"/>
      <c r="AX679" s="3"/>
      <c r="AY679" s="5"/>
      <c r="BA679" s="3"/>
      <c r="BD679" s="3"/>
      <c r="BE679" s="3"/>
      <c r="BG679" s="3"/>
      <c r="BH679" s="3"/>
      <c r="BJ679" s="3"/>
      <c r="BK679" s="3"/>
      <c r="BM679" s="3"/>
      <c r="BN679" s="5"/>
      <c r="BP679" s="3"/>
      <c r="BS679" s="3"/>
      <c r="BT679" s="3"/>
      <c r="BV679" s="3"/>
      <c r="BW679" s="3"/>
      <c r="BY679" s="3"/>
      <c r="BZ679" s="3"/>
      <c r="CB679" s="3"/>
      <c r="CC679" s="5"/>
      <c r="CE679" s="3"/>
      <c r="CH679" s="3"/>
      <c r="CI679" s="3"/>
      <c r="CK679" s="3"/>
      <c r="CL679" s="3"/>
      <c r="CN679" s="3"/>
      <c r="CO679" s="3"/>
      <c r="CQ679" s="3"/>
      <c r="CR679" s="5"/>
      <c r="CT679" s="3"/>
      <c r="CW679" s="3"/>
      <c r="CX679" s="3"/>
      <c r="CZ679" s="3"/>
      <c r="DA679" s="3"/>
      <c r="DC679" s="3"/>
      <c r="DD679" s="3"/>
      <c r="DF679" s="3"/>
      <c r="DG679" s="5"/>
      <c r="DI679" s="3"/>
      <c r="DL679" s="3"/>
      <c r="DM679" s="3"/>
      <c r="DO679" s="3"/>
      <c r="DP679" s="3"/>
      <c r="DR679" s="3"/>
      <c r="DS679" s="1" t="str">
        <f>_xlfn.XLOOKUP(OfficeForms.Table[[#This Row],[Selecione a Categoria do Laboratório desta atividade prática:]],Planilha1!A:A,Planilha1!B:B)</f>
        <v>EMF-ISN</v>
      </c>
      <c r="DT679" s="1" t="str">
        <f>CONCATENATE(OfficeForms.Table[[#This Row],[Selecione seu Polo Laboratório de Atividades Presenciais:]],OfficeForms.Table[[#This Row],[CHAVE CONVERSÃO]])</f>
        <v>Livramento de Nossa Senhora/BAEMF-ISN</v>
      </c>
      <c r="DU67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67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67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679" s="1" t="str">
        <f>_xlfn.XLOOKUP(OfficeForms.Table[[#This Row],[CHAVE LINK POLO]],'[1]Quadro Geral de Lotação'!$B:$B,'[1]Quadro Geral de Lotação'!$I:$I)</f>
        <v>Nadia Carla Rodrigues Azevedo</v>
      </c>
      <c r="DY679" s="1" t="str">
        <f>OfficeForms.Table[[#This Row],[Selecione a Ordem de Disciplina]]</f>
        <v>Ordem 2</v>
      </c>
    </row>
    <row r="680" spans="1:129" ht="34.15" customHeight="1">
      <c r="A680" s="1">
        <v>680</v>
      </c>
      <c r="B680" s="2">
        <v>46125.416284722203</v>
      </c>
      <c r="C680" s="2">
        <v>46125.417569444398</v>
      </c>
      <c r="D680" s="3" t="s">
        <v>1988</v>
      </c>
      <c r="E680" s="3" t="s">
        <v>1989</v>
      </c>
      <c r="G680" s="3"/>
      <c r="I680" s="3" t="s">
        <v>767</v>
      </c>
      <c r="K680" s="3"/>
      <c r="L680" s="1" t="s">
        <v>678</v>
      </c>
      <c r="O680" s="3" t="s">
        <v>184</v>
      </c>
      <c r="Q680" s="3"/>
      <c r="R680" s="3"/>
      <c r="T680" s="3"/>
      <c r="U680" s="5"/>
      <c r="W680" s="3"/>
      <c r="Z680" s="3"/>
      <c r="AA680" s="3"/>
      <c r="AC680" s="3"/>
      <c r="AD680" s="3"/>
      <c r="AF680" s="3"/>
      <c r="AG680" s="3" t="s">
        <v>1302</v>
      </c>
      <c r="AI680" s="3"/>
      <c r="AJ680" s="1">
        <v>46112</v>
      </c>
      <c r="AL680" s="3"/>
      <c r="AM680" s="1">
        <v>0</v>
      </c>
      <c r="AO680" s="3"/>
      <c r="AP680" s="3" t="s">
        <v>1992</v>
      </c>
      <c r="AR680" s="3"/>
      <c r="AS680" s="3" t="s">
        <v>1993</v>
      </c>
      <c r="AU680" s="3"/>
      <c r="AV680" s="3"/>
      <c r="AX680" s="3"/>
      <c r="AY680" s="5"/>
      <c r="BA680" s="3"/>
      <c r="BD680" s="3"/>
      <c r="BE680" s="3"/>
      <c r="BG680" s="3"/>
      <c r="BH680" s="3"/>
      <c r="BJ680" s="3"/>
      <c r="BK680" s="3"/>
      <c r="BM680" s="3"/>
      <c r="BN680" s="5"/>
      <c r="BP680" s="3"/>
      <c r="BS680" s="3"/>
      <c r="BT680" s="3"/>
      <c r="BV680" s="3"/>
      <c r="BW680" s="3"/>
      <c r="BY680" s="3"/>
      <c r="BZ680" s="3"/>
      <c r="CB680" s="3"/>
      <c r="CC680" s="5"/>
      <c r="CE680" s="3"/>
      <c r="CH680" s="3"/>
      <c r="CI680" s="3"/>
      <c r="CK680" s="3"/>
      <c r="CL680" s="3"/>
      <c r="CN680" s="3"/>
      <c r="CO680" s="3"/>
      <c r="CQ680" s="3"/>
      <c r="CR680" s="5"/>
      <c r="CT680" s="3"/>
      <c r="CW680" s="3"/>
      <c r="CX680" s="3"/>
      <c r="CZ680" s="3"/>
      <c r="DA680" s="3"/>
      <c r="DC680" s="3"/>
      <c r="DD680" s="3"/>
      <c r="DF680" s="3"/>
      <c r="DG680" s="5"/>
      <c r="DI680" s="3"/>
      <c r="DL680" s="3"/>
      <c r="DM680" s="3"/>
      <c r="DO680" s="3"/>
      <c r="DP680" s="3"/>
      <c r="DR680" s="3"/>
      <c r="DS680" s="1" t="str">
        <f>_xlfn.XLOOKUP(OfficeForms.Table[[#This Row],[Selecione a Categoria do Laboratório desta atividade prática:]],Planilha1!A:A,Planilha1!B:B)</f>
        <v>EMF-ISN</v>
      </c>
      <c r="DT680" s="1" t="str">
        <f>CONCATENATE(OfficeForms.Table[[#This Row],[Selecione seu Polo Laboratório de Atividades Presenciais:]],OfficeForms.Table[[#This Row],[CHAVE CONVERSÃO]])</f>
        <v>Livramento de Nossa Senhora/BAEMF-ISN</v>
      </c>
      <c r="DU68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68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8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80" s="1" t="str">
        <f>_xlfn.XLOOKUP(OfficeForms.Table[[#This Row],[CHAVE LINK POLO]],'[1]Quadro Geral de Lotação'!$B:$B,'[1]Quadro Geral de Lotação'!$I:$I)</f>
        <v>Nadia Carla Rodrigues Azevedo</v>
      </c>
      <c r="DY680" s="1" t="str">
        <f>OfficeForms.Table[[#This Row],[Selecione a Ordem de Disciplina]]</f>
        <v>Ordem 2</v>
      </c>
    </row>
    <row r="681" spans="1:129" ht="34.15" customHeight="1">
      <c r="A681" s="1">
        <v>681</v>
      </c>
      <c r="B681" s="2">
        <v>46125.417800925898</v>
      </c>
      <c r="C681" s="2">
        <v>46125.418506944399</v>
      </c>
      <c r="D681" s="3" t="s">
        <v>1988</v>
      </c>
      <c r="E681" s="3" t="s">
        <v>1989</v>
      </c>
      <c r="G681" s="3"/>
      <c r="I681" s="3" t="s">
        <v>767</v>
      </c>
      <c r="K681" s="3"/>
      <c r="L681" s="1" t="s">
        <v>678</v>
      </c>
      <c r="O681" s="3" t="s">
        <v>184</v>
      </c>
      <c r="Q681" s="3"/>
      <c r="R681" s="3"/>
      <c r="T681" s="3"/>
      <c r="U681" s="5"/>
      <c r="W681" s="3"/>
      <c r="Z681" s="3"/>
      <c r="AA681" s="3"/>
      <c r="AC681" s="3"/>
      <c r="AD681" s="3"/>
      <c r="AF681" s="3"/>
      <c r="AG681" s="3" t="s">
        <v>211</v>
      </c>
      <c r="AI681" s="3"/>
      <c r="AJ681" s="1">
        <v>46119</v>
      </c>
      <c r="AL681" s="3"/>
      <c r="AM681" s="1">
        <v>0</v>
      </c>
      <c r="AO681" s="3"/>
      <c r="AP681" s="3" t="s">
        <v>1994</v>
      </c>
      <c r="AR681" s="3"/>
      <c r="AS681" s="3" t="s">
        <v>1995</v>
      </c>
      <c r="AU681" s="3"/>
      <c r="AV681" s="3"/>
      <c r="AX681" s="3"/>
      <c r="AY681" s="5"/>
      <c r="BA681" s="3"/>
      <c r="BD681" s="3"/>
      <c r="BE681" s="3"/>
      <c r="BG681" s="3"/>
      <c r="BH681" s="3"/>
      <c r="BJ681" s="3"/>
      <c r="BK681" s="3"/>
      <c r="BM681" s="3"/>
      <c r="BN681" s="5"/>
      <c r="BP681" s="3"/>
      <c r="BS681" s="3"/>
      <c r="BT681" s="3"/>
      <c r="BV681" s="3"/>
      <c r="BW681" s="3"/>
      <c r="BY681" s="3"/>
      <c r="BZ681" s="3"/>
      <c r="CB681" s="3"/>
      <c r="CC681" s="5"/>
      <c r="CE681" s="3"/>
      <c r="CH681" s="3"/>
      <c r="CI681" s="3"/>
      <c r="CK681" s="3"/>
      <c r="CL681" s="3"/>
      <c r="CN681" s="3"/>
      <c r="CO681" s="3"/>
      <c r="CQ681" s="3"/>
      <c r="CR681" s="5"/>
      <c r="CT681" s="3"/>
      <c r="CW681" s="3"/>
      <c r="CX681" s="3"/>
      <c r="CZ681" s="3"/>
      <c r="DA681" s="3"/>
      <c r="DC681" s="3"/>
      <c r="DD681" s="3"/>
      <c r="DF681" s="3"/>
      <c r="DG681" s="5"/>
      <c r="DI681" s="3"/>
      <c r="DL681" s="3"/>
      <c r="DM681" s="3"/>
      <c r="DO681" s="3"/>
      <c r="DP681" s="3"/>
      <c r="DR681" s="3"/>
      <c r="DS681" s="1" t="str">
        <f>_xlfn.XLOOKUP(OfficeForms.Table[[#This Row],[Selecione a Categoria do Laboratório desta atividade prática:]],Planilha1!A:A,Planilha1!B:B)</f>
        <v>EMF-ISN</v>
      </c>
      <c r="DT681" s="1" t="str">
        <f>CONCATENATE(OfficeForms.Table[[#This Row],[Selecione seu Polo Laboratório de Atividades Presenciais:]],OfficeForms.Table[[#This Row],[CHAVE CONVERSÃO]])</f>
        <v>Livramento de Nossa Senhora/BAEMF-ISN</v>
      </c>
      <c r="DU68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68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8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81" s="1" t="str">
        <f>_xlfn.XLOOKUP(OfficeForms.Table[[#This Row],[CHAVE LINK POLO]],'[1]Quadro Geral de Lotação'!$B:$B,'[1]Quadro Geral de Lotação'!$I:$I)</f>
        <v>Nadia Carla Rodrigues Azevedo</v>
      </c>
      <c r="DY681" s="1" t="str">
        <f>OfficeForms.Table[[#This Row],[Selecione a Ordem de Disciplina]]</f>
        <v>Ordem 2</v>
      </c>
    </row>
    <row r="682" spans="1:129" ht="34.15" customHeight="1">
      <c r="A682" s="1">
        <v>682</v>
      </c>
      <c r="B682" s="2">
        <v>46125.418680555602</v>
      </c>
      <c r="C682" s="2">
        <v>46125.419293981497</v>
      </c>
      <c r="D682" s="3" t="s">
        <v>1988</v>
      </c>
      <c r="E682" s="3" t="s">
        <v>1989</v>
      </c>
      <c r="G682" s="3"/>
      <c r="I682" s="3" t="s">
        <v>767</v>
      </c>
      <c r="K682" s="3"/>
      <c r="L682" s="1" t="s">
        <v>678</v>
      </c>
      <c r="O682" s="3" t="s">
        <v>184</v>
      </c>
      <c r="Q682" s="3"/>
      <c r="R682" s="3"/>
      <c r="T682" s="3"/>
      <c r="U682" s="5"/>
      <c r="W682" s="3"/>
      <c r="Z682" s="3"/>
      <c r="AA682" s="3"/>
      <c r="AC682" s="3"/>
      <c r="AD682" s="3"/>
      <c r="AF682" s="3"/>
      <c r="AG682" s="3" t="s">
        <v>1013</v>
      </c>
      <c r="AI682" s="3"/>
      <c r="AJ682" s="1">
        <v>46119</v>
      </c>
      <c r="AL682" s="3"/>
      <c r="AM682" s="1">
        <v>0</v>
      </c>
      <c r="AO682" s="3"/>
      <c r="AP682" s="3" t="s">
        <v>1996</v>
      </c>
      <c r="AR682" s="3"/>
      <c r="AS682" s="3" t="s">
        <v>1997</v>
      </c>
      <c r="AU682" s="3"/>
      <c r="AV682" s="3"/>
      <c r="AX682" s="3"/>
      <c r="AY682" s="5"/>
      <c r="BA682" s="3"/>
      <c r="BD682" s="3"/>
      <c r="BE682" s="3"/>
      <c r="BG682" s="3"/>
      <c r="BH682" s="3"/>
      <c r="BJ682" s="3"/>
      <c r="BK682" s="3"/>
      <c r="BM682" s="3"/>
      <c r="BN682" s="5"/>
      <c r="BP682" s="3"/>
      <c r="BS682" s="3"/>
      <c r="BT682" s="3"/>
      <c r="BV682" s="3"/>
      <c r="BW682" s="3"/>
      <c r="BY682" s="3"/>
      <c r="BZ682" s="3"/>
      <c r="CB682" s="3"/>
      <c r="CC682" s="5"/>
      <c r="CE682" s="3"/>
      <c r="CH682" s="3"/>
      <c r="CI682" s="3"/>
      <c r="CK682" s="3"/>
      <c r="CL682" s="3"/>
      <c r="CN682" s="3"/>
      <c r="CO682" s="3"/>
      <c r="CQ682" s="3"/>
      <c r="CR682" s="5"/>
      <c r="CT682" s="3"/>
      <c r="CW682" s="3"/>
      <c r="CX682" s="3"/>
      <c r="CZ682" s="3"/>
      <c r="DA682" s="3"/>
      <c r="DC682" s="3"/>
      <c r="DD682" s="3"/>
      <c r="DF682" s="3"/>
      <c r="DG682" s="5"/>
      <c r="DI682" s="3"/>
      <c r="DL682" s="3"/>
      <c r="DM682" s="3"/>
      <c r="DO682" s="3"/>
      <c r="DP682" s="3"/>
      <c r="DR682" s="3"/>
      <c r="DS682" s="1" t="str">
        <f>_xlfn.XLOOKUP(OfficeForms.Table[[#This Row],[Selecione a Categoria do Laboratório desta atividade prática:]],Planilha1!A:A,Planilha1!B:B)</f>
        <v>EMF-ISN</v>
      </c>
      <c r="DT682" s="1" t="str">
        <f>CONCATENATE(OfficeForms.Table[[#This Row],[Selecione seu Polo Laboratório de Atividades Presenciais:]],OfficeForms.Table[[#This Row],[CHAVE CONVERSÃO]])</f>
        <v>Livramento de Nossa Senhora/BAEMF-ISN</v>
      </c>
      <c r="DU68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68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68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82" s="1" t="str">
        <f>_xlfn.XLOOKUP(OfficeForms.Table[[#This Row],[CHAVE LINK POLO]],'[1]Quadro Geral de Lotação'!$B:$B,'[1]Quadro Geral de Lotação'!$I:$I)</f>
        <v>Nadia Carla Rodrigues Azevedo</v>
      </c>
      <c r="DY682" s="1" t="str">
        <f>OfficeForms.Table[[#This Row],[Selecione a Ordem de Disciplina]]</f>
        <v>Ordem 2</v>
      </c>
    </row>
    <row r="683" spans="1:129" ht="34.15" customHeight="1">
      <c r="A683" s="1">
        <v>683</v>
      </c>
      <c r="B683" s="2">
        <v>46125.471481481502</v>
      </c>
      <c r="C683" s="2">
        <v>46125.474814814799</v>
      </c>
      <c r="D683" s="3" t="s">
        <v>1151</v>
      </c>
      <c r="E683" s="3" t="s">
        <v>1152</v>
      </c>
      <c r="G683" s="3"/>
      <c r="I683" s="3" t="s">
        <v>1153</v>
      </c>
      <c r="K683" s="3"/>
      <c r="L683" s="1" t="s">
        <v>678</v>
      </c>
      <c r="O683" s="3" t="s">
        <v>177</v>
      </c>
      <c r="Q683" s="3"/>
      <c r="R683" s="3"/>
      <c r="T683" s="3"/>
      <c r="U683" s="5"/>
      <c r="W683" s="3"/>
      <c r="Z683" s="3"/>
      <c r="AA683" s="3"/>
      <c r="AC683" s="3"/>
      <c r="AD683" s="3"/>
      <c r="AF683" s="3"/>
      <c r="AG683" s="3"/>
      <c r="AI683" s="3"/>
      <c r="AJ683" s="1"/>
      <c r="AL683" s="3"/>
      <c r="AO683" s="3"/>
      <c r="AP683" s="3"/>
      <c r="AR683" s="3"/>
      <c r="AS683" s="3"/>
      <c r="AU683" s="3"/>
      <c r="AV683" s="3"/>
      <c r="AX683" s="3"/>
      <c r="AY683" s="5"/>
      <c r="BA683" s="3"/>
      <c r="BD683" s="3"/>
      <c r="BE683" s="3"/>
      <c r="BG683" s="3"/>
      <c r="BH683" s="3"/>
      <c r="BJ683" s="3"/>
      <c r="BK683" s="3"/>
      <c r="BM683" s="3"/>
      <c r="BN683" s="5"/>
      <c r="BP683" s="3"/>
      <c r="BS683" s="3"/>
      <c r="BT683" s="3"/>
      <c r="BV683" s="3"/>
      <c r="BW683" s="3"/>
      <c r="BY683" s="3"/>
      <c r="BZ683" s="3"/>
      <c r="CB683" s="3"/>
      <c r="CC683" s="5"/>
      <c r="CE683" s="3"/>
      <c r="CH683" s="3"/>
      <c r="CI683" s="3"/>
      <c r="CK683" s="3"/>
      <c r="CL683" s="3"/>
      <c r="CN683" s="3"/>
      <c r="CO683" s="3"/>
      <c r="CQ683" s="3"/>
      <c r="CR683" s="5"/>
      <c r="CT683" s="3"/>
      <c r="CW683" s="3"/>
      <c r="CX683" s="3"/>
      <c r="CZ683" s="3"/>
      <c r="DA683" s="3"/>
      <c r="DC683" s="3"/>
      <c r="DD683" s="3" t="s">
        <v>200</v>
      </c>
      <c r="DF683" s="3"/>
      <c r="DG683" s="5">
        <v>46120</v>
      </c>
      <c r="DI683" s="3"/>
      <c r="DJ683" s="1">
        <v>6</v>
      </c>
      <c r="DL683" s="3"/>
      <c r="DM683" s="3" t="s">
        <v>1998</v>
      </c>
      <c r="DO683" s="3"/>
      <c r="DP683" s="3" t="s">
        <v>1999</v>
      </c>
      <c r="DR683" s="3"/>
      <c r="DS683" s="1" t="str">
        <f>_xlfn.XLOOKUP(OfficeForms.Table[[#This Row],[Selecione a Categoria do Laboratório desta atividade prática:]],Planilha1!A:A,Planilha1!B:B)</f>
        <v>AGM</v>
      </c>
      <c r="DT683" s="1" t="str">
        <f>CONCATENATE(OfficeForms.Table[[#This Row],[Selecione seu Polo Laboratório de Atividades Presenciais:]],OfficeForms.Table[[#This Row],[CHAVE CONVERSÃO]])</f>
        <v>Formosa/GOAGM</v>
      </c>
      <c r="DU68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Métodos de determinação da fertilidade do solo</v>
      </c>
      <c r="DV68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68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683" s="1" t="str">
        <f>_xlfn.XLOOKUP(OfficeForms.Table[[#This Row],[CHAVE LINK POLO]],'[1]Quadro Geral de Lotação'!$B:$B,'[1]Quadro Geral de Lotação'!$I:$I)</f>
        <v>Thecica Layme De Sousa Santos</v>
      </c>
      <c r="DY683" s="1" t="str">
        <f>OfficeForms.Table[[#This Row],[Selecione a Ordem de Disciplina]]</f>
        <v>Ordem 2</v>
      </c>
    </row>
    <row r="684" spans="1:129" ht="34.15" customHeight="1">
      <c r="A684" s="1">
        <v>684</v>
      </c>
      <c r="B684" s="2">
        <v>46125.501423611102</v>
      </c>
      <c r="C684" s="2">
        <v>46125.502280092602</v>
      </c>
      <c r="D684" s="3" t="s">
        <v>160</v>
      </c>
      <c r="E684" s="3" t="s">
        <v>161</v>
      </c>
      <c r="G684" s="3"/>
      <c r="I684" s="3" t="s">
        <v>162</v>
      </c>
      <c r="K684" s="3"/>
      <c r="L684" s="1" t="s">
        <v>678</v>
      </c>
      <c r="O684" s="3" t="s">
        <v>156</v>
      </c>
      <c r="Q684" s="3"/>
      <c r="R684" s="3"/>
      <c r="T684" s="3"/>
      <c r="U684" s="5"/>
      <c r="W684" s="3"/>
      <c r="Z684" s="3"/>
      <c r="AA684" s="3"/>
      <c r="AC684" s="3"/>
      <c r="AD684" s="3"/>
      <c r="AF684" s="3"/>
      <c r="AG684" s="3"/>
      <c r="AI684" s="3"/>
      <c r="AJ684" s="1"/>
      <c r="AL684" s="3"/>
      <c r="AO684" s="3"/>
      <c r="AP684" s="3"/>
      <c r="AR684" s="3"/>
      <c r="AS684" s="3"/>
      <c r="AU684" s="3"/>
      <c r="AV684" s="3"/>
      <c r="AX684" s="3"/>
      <c r="AY684" s="5"/>
      <c r="BA684" s="3"/>
      <c r="BD684" s="3"/>
      <c r="BE684" s="3"/>
      <c r="BG684" s="3"/>
      <c r="BH684" s="3"/>
      <c r="BJ684" s="3"/>
      <c r="BK684" s="3" t="s">
        <v>1756</v>
      </c>
      <c r="BM684" s="3"/>
      <c r="BN684" s="5">
        <v>46121</v>
      </c>
      <c r="BP684" s="3"/>
      <c r="BQ684" s="1">
        <v>13</v>
      </c>
      <c r="BS684" s="3"/>
      <c r="BT684" s="3" t="s">
        <v>2000</v>
      </c>
      <c r="BV684" s="3"/>
      <c r="BW684" s="3" t="s">
        <v>2001</v>
      </c>
      <c r="BY684" s="3"/>
      <c r="BZ684" s="3"/>
      <c r="CB684" s="3"/>
      <c r="CC684" s="5"/>
      <c r="CE684" s="3"/>
      <c r="CH684" s="3"/>
      <c r="CI684" s="3"/>
      <c r="CK684" s="3"/>
      <c r="CL684" s="3"/>
      <c r="CN684" s="3"/>
      <c r="CO684" s="3"/>
      <c r="CQ684" s="3"/>
      <c r="CR684" s="5"/>
      <c r="CT684" s="3"/>
      <c r="CW684" s="3"/>
      <c r="CX684" s="3"/>
      <c r="CZ684" s="3"/>
      <c r="DA684" s="3"/>
      <c r="DC684" s="3"/>
      <c r="DD684" s="3"/>
      <c r="DF684" s="3"/>
      <c r="DG684" s="5"/>
      <c r="DI684" s="3"/>
      <c r="DL684" s="3"/>
      <c r="DM684" s="3"/>
      <c r="DO684" s="3"/>
      <c r="DP684" s="3"/>
      <c r="DR684" s="3"/>
      <c r="DS684" s="1" t="str">
        <f>_xlfn.XLOOKUP(OfficeForms.Table[[#This Row],[Selecione a Categoria do Laboratório desta atividade prática:]],Planilha1!A:A,Planilha1!B:B)</f>
        <v>NTR</v>
      </c>
      <c r="DT684" s="1" t="str">
        <f>CONCATENATE(OfficeForms.Table[[#This Row],[Selecione seu Polo Laboratório de Atividades Presenciais:]],OfficeForms.Table[[#This Row],[CHAVE CONVERSÃO]])</f>
        <v>Florianópolis/SC - CentroNTR</v>
      </c>
      <c r="DU68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</v>
      </c>
      <c r="DV68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68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684" s="1" t="str">
        <f>_xlfn.XLOOKUP(OfficeForms.Table[[#This Row],[CHAVE LINK POLO]],'[1]Quadro Geral de Lotação'!$B:$B,'[1]Quadro Geral de Lotação'!$I:$I)</f>
        <v>Laura Volpato</v>
      </c>
      <c r="DY684" s="1" t="str">
        <f>OfficeForms.Table[[#This Row],[Selecione a Ordem de Disciplina]]</f>
        <v>Ordem 2</v>
      </c>
    </row>
    <row r="685" spans="1:129" ht="34.15" customHeight="1">
      <c r="A685" s="1">
        <v>685</v>
      </c>
      <c r="B685" s="2">
        <v>46125.503587963001</v>
      </c>
      <c r="C685" s="2">
        <v>46125.504050925898</v>
      </c>
      <c r="D685" s="3" t="s">
        <v>160</v>
      </c>
      <c r="E685" s="3" t="s">
        <v>161</v>
      </c>
      <c r="G685" s="3"/>
      <c r="I685" s="3" t="s">
        <v>162</v>
      </c>
      <c r="K685" s="3"/>
      <c r="L685" s="1" t="s">
        <v>678</v>
      </c>
      <c r="O685" s="3" t="s">
        <v>156</v>
      </c>
      <c r="Q685" s="3"/>
      <c r="R685" s="3"/>
      <c r="T685" s="3"/>
      <c r="U685" s="5"/>
      <c r="W685" s="3"/>
      <c r="Z685" s="3"/>
      <c r="AA685" s="3"/>
      <c r="AC685" s="3"/>
      <c r="AD685" s="3"/>
      <c r="AF685" s="3"/>
      <c r="AG685" s="3"/>
      <c r="AI685" s="3"/>
      <c r="AJ685" s="1"/>
      <c r="AL685" s="3"/>
      <c r="AO685" s="3"/>
      <c r="AP685" s="3"/>
      <c r="AR685" s="3"/>
      <c r="AS685" s="3"/>
      <c r="AU685" s="3"/>
      <c r="AV685" s="3"/>
      <c r="AX685" s="3"/>
      <c r="AY685" s="5"/>
      <c r="BA685" s="3"/>
      <c r="BD685" s="3"/>
      <c r="BE685" s="3"/>
      <c r="BG685" s="3"/>
      <c r="BH685" s="3"/>
      <c r="BJ685" s="3"/>
      <c r="BK685" s="3" t="s">
        <v>455</v>
      </c>
      <c r="BM685" s="3"/>
      <c r="BN685" s="5">
        <v>46121</v>
      </c>
      <c r="BP685" s="3"/>
      <c r="BQ685" s="1">
        <v>13</v>
      </c>
      <c r="BS685" s="3"/>
      <c r="BT685" s="3" t="s">
        <v>2002</v>
      </c>
      <c r="BV685" s="3"/>
      <c r="BW685" s="3" t="s">
        <v>2003</v>
      </c>
      <c r="BY685" s="3"/>
      <c r="BZ685" s="3"/>
      <c r="CB685" s="3"/>
      <c r="CC685" s="5"/>
      <c r="CE685" s="3"/>
      <c r="CH685" s="3"/>
      <c r="CI685" s="3"/>
      <c r="CK685" s="3"/>
      <c r="CL685" s="3"/>
      <c r="CN685" s="3"/>
      <c r="CO685" s="3"/>
      <c r="CQ685" s="3"/>
      <c r="CR685" s="5"/>
      <c r="CT685" s="3"/>
      <c r="CW685" s="3"/>
      <c r="CX685" s="3"/>
      <c r="CZ685" s="3"/>
      <c r="DA685" s="3"/>
      <c r="DC685" s="3"/>
      <c r="DD685" s="3"/>
      <c r="DF685" s="3"/>
      <c r="DG685" s="5"/>
      <c r="DI685" s="3"/>
      <c r="DL685" s="3"/>
      <c r="DM685" s="3"/>
      <c r="DO685" s="3"/>
      <c r="DP685" s="3"/>
      <c r="DR685" s="3"/>
      <c r="DS685" s="1" t="str">
        <f>_xlfn.XLOOKUP(OfficeForms.Table[[#This Row],[Selecione a Categoria do Laboratório desta atividade prática:]],Planilha1!A:A,Planilha1!B:B)</f>
        <v>NTR</v>
      </c>
      <c r="DT685" s="1" t="str">
        <f>CONCATENATE(OfficeForms.Table[[#This Row],[Selecione seu Polo Laboratório de Atividades Presenciais:]],OfficeForms.Table[[#This Row],[CHAVE CONVERSÃO]])</f>
        <v>Florianópolis/SC - CentroNTR</v>
      </c>
      <c r="DU68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II: Anamnese e diagnóstico</v>
      </c>
      <c r="DV68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68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685" s="1" t="str">
        <f>_xlfn.XLOOKUP(OfficeForms.Table[[#This Row],[CHAVE LINK POLO]],'[1]Quadro Geral de Lotação'!$B:$B,'[1]Quadro Geral de Lotação'!$I:$I)</f>
        <v>Laura Volpato</v>
      </c>
      <c r="DY685" s="1" t="str">
        <f>OfficeForms.Table[[#This Row],[Selecione a Ordem de Disciplina]]</f>
        <v>Ordem 2</v>
      </c>
    </row>
    <row r="686" spans="1:129" ht="34.15" customHeight="1">
      <c r="A686" s="1">
        <v>686</v>
      </c>
      <c r="B686" s="2">
        <v>46125.609953703701</v>
      </c>
      <c r="C686" s="2">
        <v>46125.613888888904</v>
      </c>
      <c r="D686" s="3" t="s">
        <v>2004</v>
      </c>
      <c r="E686" s="3" t="s">
        <v>2005</v>
      </c>
      <c r="G686" s="3"/>
      <c r="I686" s="3" t="s">
        <v>155</v>
      </c>
      <c r="K686" s="3"/>
      <c r="L686" s="1" t="s">
        <v>678</v>
      </c>
      <c r="O686" s="3" t="s">
        <v>133</v>
      </c>
      <c r="Q686" s="3"/>
      <c r="R686" s="3"/>
      <c r="T686" s="3"/>
      <c r="U686" s="5"/>
      <c r="W686" s="3"/>
      <c r="Z686" s="3"/>
      <c r="AA686" s="3"/>
      <c r="AC686" s="3"/>
      <c r="AD686" s="3"/>
      <c r="AF686" s="3"/>
      <c r="AG686" s="3"/>
      <c r="AI686" s="3"/>
      <c r="AJ686" s="1"/>
      <c r="AL686" s="3"/>
      <c r="AO686" s="3"/>
      <c r="AP686" s="3"/>
      <c r="AR686" s="3"/>
      <c r="AS686" s="3"/>
      <c r="AU686" s="3"/>
      <c r="AV686" s="3" t="s">
        <v>150</v>
      </c>
      <c r="AX686" s="3"/>
      <c r="AY686" s="5">
        <v>46104</v>
      </c>
      <c r="BA686" s="3"/>
      <c r="BB686" s="1">
        <v>6</v>
      </c>
      <c r="BD686" s="3"/>
      <c r="BE686" s="3" t="s">
        <v>2006</v>
      </c>
      <c r="BG686" s="3"/>
      <c r="BH686" s="3" t="s">
        <v>2007</v>
      </c>
      <c r="BJ686" s="3"/>
      <c r="BK686" s="3"/>
      <c r="BM686" s="3"/>
      <c r="BN686" s="5"/>
      <c r="BP686" s="3"/>
      <c r="BS686" s="3"/>
      <c r="BT686" s="3"/>
      <c r="BV686" s="3"/>
      <c r="BW686" s="3"/>
      <c r="BY686" s="3"/>
      <c r="BZ686" s="3"/>
      <c r="CB686" s="3"/>
      <c r="CC686" s="5"/>
      <c r="CE686" s="3"/>
      <c r="CH686" s="3"/>
      <c r="CI686" s="3"/>
      <c r="CK686" s="3"/>
      <c r="CL686" s="3"/>
      <c r="CN686" s="3"/>
      <c r="CO686" s="3"/>
      <c r="CQ686" s="3"/>
      <c r="CR686" s="5"/>
      <c r="CT686" s="3"/>
      <c r="CW686" s="3"/>
      <c r="CX686" s="3"/>
      <c r="CZ686" s="3"/>
      <c r="DA686" s="3"/>
      <c r="DC686" s="3"/>
      <c r="DD686" s="3"/>
      <c r="DF686" s="3"/>
      <c r="DG686" s="5"/>
      <c r="DI686" s="3"/>
      <c r="DL686" s="3"/>
      <c r="DM686" s="3"/>
      <c r="DO686" s="3"/>
      <c r="DP686" s="3"/>
      <c r="DR686" s="3"/>
      <c r="DS686" s="1" t="str">
        <f>_xlfn.XLOOKUP(OfficeForms.Table[[#This Row],[Selecione a Categoria do Laboratório desta atividade prática:]],Planilha1!A:A,Planilha1!B:B)</f>
        <v>BFI</v>
      </c>
      <c r="DT686" s="1" t="str">
        <f>CONCATENATE(OfficeForms.Table[[#This Row],[Selecione seu Polo Laboratório de Atividades Presenciais:]],OfficeForms.Table[[#This Row],[CHAVE CONVERSÃO]])</f>
        <v>Novo Hamburgo/RS - CentroBFI</v>
      </c>
      <c r="DU68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Pontos cardeais</v>
      </c>
      <c r="DV68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46104</v>
      </c>
      <c r="DW68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686" s="1" t="str">
        <f>_xlfn.XLOOKUP(OfficeForms.Table[[#This Row],[CHAVE LINK POLO]],'[1]Quadro Geral de Lotação'!$B:$B,'[1]Quadro Geral de Lotação'!$I:$I)</f>
        <v>Stelen Bondan</v>
      </c>
      <c r="DY686" s="1" t="str">
        <f>OfficeForms.Table[[#This Row],[Selecione a Ordem de Disciplina]]</f>
        <v>Ordem 2</v>
      </c>
    </row>
    <row r="687" spans="1:129" ht="34.15" customHeight="1">
      <c r="A687" s="1">
        <v>687</v>
      </c>
      <c r="B687" s="2">
        <v>46125.614259259302</v>
      </c>
      <c r="C687" s="2">
        <v>46125.621516203697</v>
      </c>
      <c r="D687" s="3" t="s">
        <v>2004</v>
      </c>
      <c r="E687" s="3" t="s">
        <v>2005</v>
      </c>
      <c r="G687" s="3"/>
      <c r="I687" s="3" t="s">
        <v>155</v>
      </c>
      <c r="K687" s="3"/>
      <c r="L687" s="1" t="s">
        <v>678</v>
      </c>
      <c r="O687" s="3" t="s">
        <v>133</v>
      </c>
      <c r="Q687" s="3"/>
      <c r="R687" s="3"/>
      <c r="T687" s="3"/>
      <c r="U687" s="5"/>
      <c r="W687" s="3"/>
      <c r="Z687" s="3"/>
      <c r="AA687" s="3"/>
      <c r="AC687" s="3"/>
      <c r="AD687" s="3"/>
      <c r="AF687" s="3"/>
      <c r="AG687" s="3"/>
      <c r="AI687" s="3"/>
      <c r="AJ687" s="1"/>
      <c r="AL687" s="3"/>
      <c r="AO687" s="3"/>
      <c r="AP687" s="3"/>
      <c r="AR687" s="3"/>
      <c r="AS687" s="3"/>
      <c r="AU687" s="3"/>
      <c r="AV687" s="3" t="s">
        <v>1307</v>
      </c>
      <c r="AX687" s="3"/>
      <c r="AY687" s="5">
        <v>46111</v>
      </c>
      <c r="BA687" s="3"/>
      <c r="BB687" s="1">
        <v>7</v>
      </c>
      <c r="BD687" s="3"/>
      <c r="BE687" s="3" t="s">
        <v>2008</v>
      </c>
      <c r="BG687" s="3"/>
      <c r="BH687" s="3" t="s">
        <v>2009</v>
      </c>
      <c r="BJ687" s="3"/>
      <c r="BK687" s="3"/>
      <c r="BM687" s="3"/>
      <c r="BN687" s="5"/>
      <c r="BP687" s="3"/>
      <c r="BS687" s="3"/>
      <c r="BT687" s="3"/>
      <c r="BV687" s="3"/>
      <c r="BW687" s="3"/>
      <c r="BY687" s="3"/>
      <c r="BZ687" s="3"/>
      <c r="CB687" s="3"/>
      <c r="CC687" s="5"/>
      <c r="CE687" s="3"/>
      <c r="CH687" s="3"/>
      <c r="CI687" s="3"/>
      <c r="CK687" s="3"/>
      <c r="CL687" s="3"/>
      <c r="CN687" s="3"/>
      <c r="CO687" s="3"/>
      <c r="CQ687" s="3"/>
      <c r="CR687" s="5"/>
      <c r="CT687" s="3"/>
      <c r="CW687" s="3"/>
      <c r="CX687" s="3"/>
      <c r="CZ687" s="3"/>
      <c r="DA687" s="3"/>
      <c r="DC687" s="3"/>
      <c r="DD687" s="3"/>
      <c r="DF687" s="3"/>
      <c r="DG687" s="5"/>
      <c r="DI687" s="3"/>
      <c r="DL687" s="3"/>
      <c r="DM687" s="3"/>
      <c r="DO687" s="3"/>
      <c r="DP687" s="3"/>
      <c r="DR687" s="3"/>
      <c r="DS687" s="1" t="str">
        <f>_xlfn.XLOOKUP(OfficeForms.Table[[#This Row],[Selecione a Categoria do Laboratório desta atividade prática:]],Planilha1!A:A,Planilha1!B:B)</f>
        <v>BFI</v>
      </c>
      <c r="DT687" s="1" t="str">
        <f>CONCATENATE(OfficeForms.Table[[#This Row],[Selecione seu Polo Laboratório de Atividades Presenciais:]],OfficeForms.Table[[#This Row],[CHAVE CONVERSÃO]])</f>
        <v>Novo Hamburgo/RS - CentroBFI</v>
      </c>
      <c r="DU68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Braintom</v>
      </c>
      <c r="DV68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46111</v>
      </c>
      <c r="DW68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687" s="1" t="str">
        <f>_xlfn.XLOOKUP(OfficeForms.Table[[#This Row],[CHAVE LINK POLO]],'[1]Quadro Geral de Lotação'!$B:$B,'[1]Quadro Geral de Lotação'!$I:$I)</f>
        <v>Stelen Bondan</v>
      </c>
      <c r="DY687" s="1" t="str">
        <f>OfficeForms.Table[[#This Row],[Selecione a Ordem de Disciplina]]</f>
        <v>Ordem 2</v>
      </c>
    </row>
    <row r="688" spans="1:129" ht="34.15" customHeight="1">
      <c r="A688" s="1">
        <v>688</v>
      </c>
      <c r="B688" s="2">
        <v>46125.6231134259</v>
      </c>
      <c r="C688" s="2">
        <v>46125.628495370402</v>
      </c>
      <c r="D688" s="3" t="s">
        <v>2004</v>
      </c>
      <c r="E688" s="3" t="s">
        <v>2005</v>
      </c>
      <c r="G688" s="3"/>
      <c r="I688" s="3" t="s">
        <v>155</v>
      </c>
      <c r="K688" s="3"/>
      <c r="L688" s="1" t="s">
        <v>678</v>
      </c>
      <c r="O688" s="3" t="s">
        <v>133</v>
      </c>
      <c r="Q688" s="3"/>
      <c r="R688" s="3"/>
      <c r="T688" s="3"/>
      <c r="U688" s="5"/>
      <c r="W688" s="3"/>
      <c r="Z688" s="3"/>
      <c r="AA688" s="3"/>
      <c r="AC688" s="3"/>
      <c r="AD688" s="3"/>
      <c r="AF688" s="3"/>
      <c r="AG688" s="3"/>
      <c r="AI688" s="3"/>
      <c r="AJ688" s="1"/>
      <c r="AL688" s="3"/>
      <c r="AO688" s="3"/>
      <c r="AP688" s="3"/>
      <c r="AR688" s="3"/>
      <c r="AS688" s="3"/>
      <c r="AU688" s="3"/>
      <c r="AV688" s="3" t="s">
        <v>2010</v>
      </c>
      <c r="AX688" s="3"/>
      <c r="AY688" s="5">
        <v>46112</v>
      </c>
      <c r="BA688" s="3"/>
      <c r="BB688" s="1">
        <v>6</v>
      </c>
      <c r="BD688" s="3"/>
      <c r="BE688" s="3" t="s">
        <v>2011</v>
      </c>
      <c r="BG688" s="3"/>
      <c r="BH688" s="3" t="s">
        <v>2012</v>
      </c>
      <c r="BJ688" s="3"/>
      <c r="BK688" s="3"/>
      <c r="BM688" s="3"/>
      <c r="BN688" s="5"/>
      <c r="BP688" s="3"/>
      <c r="BS688" s="3"/>
      <c r="BT688" s="3"/>
      <c r="BV688" s="3"/>
      <c r="BW688" s="3"/>
      <c r="BY688" s="3"/>
      <c r="BZ688" s="3"/>
      <c r="CB688" s="3"/>
      <c r="CC688" s="5"/>
      <c r="CE688" s="3"/>
      <c r="CH688" s="3"/>
      <c r="CI688" s="3"/>
      <c r="CK688" s="3"/>
      <c r="CL688" s="3"/>
      <c r="CN688" s="3"/>
      <c r="CO688" s="3"/>
      <c r="CQ688" s="3"/>
      <c r="CR688" s="5"/>
      <c r="CT688" s="3"/>
      <c r="CW688" s="3"/>
      <c r="CX688" s="3"/>
      <c r="CZ688" s="3"/>
      <c r="DA688" s="3"/>
      <c r="DC688" s="3"/>
      <c r="DD688" s="3"/>
      <c r="DF688" s="3"/>
      <c r="DG688" s="5"/>
      <c r="DI688" s="3"/>
      <c r="DL688" s="3"/>
      <c r="DM688" s="3"/>
      <c r="DO688" s="3"/>
      <c r="DP688" s="3"/>
      <c r="DR688" s="3"/>
      <c r="DS688" s="1" t="str">
        <f>_xlfn.XLOOKUP(OfficeForms.Table[[#This Row],[Selecione a Categoria do Laboratório desta atividade prática:]],Planilha1!A:A,Planilha1!B:B)</f>
        <v>BFI</v>
      </c>
      <c r="DT688" s="1" t="str">
        <f>CONCATENATE(OfficeForms.Table[[#This Row],[Selecione seu Polo Laboratório de Atividades Presenciais:]],OfficeForms.Table[[#This Row],[CHAVE CONVERSÃO]])</f>
        <v>Novo Hamburgo/RS - CentroBFI</v>
      </c>
      <c r="DU68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Inferiores;Treino de Atividades da Vida Diária - Membros Superiores</v>
      </c>
      <c r="DV68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68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688" s="1" t="str">
        <f>_xlfn.XLOOKUP(OfficeForms.Table[[#This Row],[CHAVE LINK POLO]],'[1]Quadro Geral de Lotação'!$B:$B,'[1]Quadro Geral de Lotação'!$I:$I)</f>
        <v>Stelen Bondan</v>
      </c>
      <c r="DY688" s="1" t="str">
        <f>OfficeForms.Table[[#This Row],[Selecione a Ordem de Disciplina]]</f>
        <v>Ordem 2</v>
      </c>
    </row>
    <row r="689" spans="1:129" ht="34.15" customHeight="1">
      <c r="A689" s="1">
        <v>689</v>
      </c>
      <c r="B689" s="2">
        <v>46125.628784722197</v>
      </c>
      <c r="C689" s="2">
        <v>46125.632997685199</v>
      </c>
      <c r="D689" s="3" t="s">
        <v>2004</v>
      </c>
      <c r="E689" s="3" t="s">
        <v>2005</v>
      </c>
      <c r="G689" s="3"/>
      <c r="I689" s="3" t="s">
        <v>155</v>
      </c>
      <c r="K689" s="3"/>
      <c r="L689" s="1" t="s">
        <v>678</v>
      </c>
      <c r="O689" s="3" t="s">
        <v>133</v>
      </c>
      <c r="Q689" s="3"/>
      <c r="R689" s="3"/>
      <c r="T689" s="3"/>
      <c r="U689" s="5"/>
      <c r="W689" s="3"/>
      <c r="Z689" s="3"/>
      <c r="AA689" s="3"/>
      <c r="AC689" s="3"/>
      <c r="AD689" s="3"/>
      <c r="AF689" s="3"/>
      <c r="AG689" s="3"/>
      <c r="AI689" s="3"/>
      <c r="AJ689" s="1"/>
      <c r="AL689" s="3"/>
      <c r="AO689" s="3"/>
      <c r="AP689" s="3"/>
      <c r="AR689" s="3"/>
      <c r="AS689" s="3"/>
      <c r="AU689" s="3"/>
      <c r="AV689" s="3" t="s">
        <v>2010</v>
      </c>
      <c r="AX689" s="3"/>
      <c r="AY689" s="5">
        <v>46118</v>
      </c>
      <c r="BA689" s="3"/>
      <c r="BB689" s="1">
        <v>4</v>
      </c>
      <c r="BD689" s="3"/>
      <c r="BE689" s="3" t="s">
        <v>2013</v>
      </c>
      <c r="BG689" s="3"/>
      <c r="BH689" s="3" t="s">
        <v>2014</v>
      </c>
      <c r="BJ689" s="3"/>
      <c r="BK689" s="3"/>
      <c r="BM689" s="3"/>
      <c r="BN689" s="5"/>
      <c r="BP689" s="3"/>
      <c r="BS689" s="3"/>
      <c r="BT689" s="3"/>
      <c r="BV689" s="3"/>
      <c r="BW689" s="3"/>
      <c r="BY689" s="3"/>
      <c r="BZ689" s="3"/>
      <c r="CB689" s="3"/>
      <c r="CC689" s="5"/>
      <c r="CE689" s="3"/>
      <c r="CH689" s="3"/>
      <c r="CI689" s="3"/>
      <c r="CK689" s="3"/>
      <c r="CL689" s="3"/>
      <c r="CN689" s="3"/>
      <c r="CO689" s="3"/>
      <c r="CQ689" s="3"/>
      <c r="CR689" s="5"/>
      <c r="CT689" s="3"/>
      <c r="CW689" s="3"/>
      <c r="CX689" s="3"/>
      <c r="CZ689" s="3"/>
      <c r="DA689" s="3"/>
      <c r="DC689" s="3"/>
      <c r="DD689" s="3"/>
      <c r="DF689" s="3"/>
      <c r="DG689" s="5"/>
      <c r="DI689" s="3"/>
      <c r="DL689" s="3"/>
      <c r="DM689" s="3"/>
      <c r="DO689" s="3"/>
      <c r="DP689" s="3"/>
      <c r="DR689" s="3"/>
      <c r="DS689" s="1" t="str">
        <f>_xlfn.XLOOKUP(OfficeForms.Table[[#This Row],[Selecione a Categoria do Laboratório desta atividade prática:]],Planilha1!A:A,Planilha1!B:B)</f>
        <v>BFI</v>
      </c>
      <c r="DT689" s="1" t="str">
        <f>CONCATENATE(OfficeForms.Table[[#This Row],[Selecione seu Polo Laboratório de Atividades Presenciais:]],OfficeForms.Table[[#This Row],[CHAVE CONVERSÃO]])</f>
        <v>Novo Hamburgo/RS - CentroBFI</v>
      </c>
      <c r="DU68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Inferiores;Treino de Atividades da Vida Diária - Membros Superiores</v>
      </c>
      <c r="DV68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46118</v>
      </c>
      <c r="DW68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689" s="1" t="str">
        <f>_xlfn.XLOOKUP(OfficeForms.Table[[#This Row],[CHAVE LINK POLO]],'[1]Quadro Geral de Lotação'!$B:$B,'[1]Quadro Geral de Lotação'!$I:$I)</f>
        <v>Stelen Bondan</v>
      </c>
      <c r="DY689" s="1" t="str">
        <f>OfficeForms.Table[[#This Row],[Selecione a Ordem de Disciplina]]</f>
        <v>Ordem 2</v>
      </c>
    </row>
    <row r="690" spans="1:129" ht="34.15" customHeight="1">
      <c r="A690" s="1">
        <v>690</v>
      </c>
      <c r="B690" s="2">
        <v>46125.640011574098</v>
      </c>
      <c r="C690" s="2">
        <v>46125.641620370399</v>
      </c>
      <c r="D690" s="3" t="s">
        <v>511</v>
      </c>
      <c r="E690" s="3" t="s">
        <v>512</v>
      </c>
      <c r="G690" s="3"/>
      <c r="I690" s="3" t="s">
        <v>513</v>
      </c>
      <c r="K690" s="3"/>
      <c r="L690" s="1" t="s">
        <v>678</v>
      </c>
      <c r="O690" s="3" t="s">
        <v>184</v>
      </c>
      <c r="Q690" s="3"/>
      <c r="R690" s="3"/>
      <c r="T690" s="3"/>
      <c r="U690" s="5"/>
      <c r="W690" s="3"/>
      <c r="Z690" s="3"/>
      <c r="AA690" s="3"/>
      <c r="AC690" s="3"/>
      <c r="AD690" s="3"/>
      <c r="AF690" s="3"/>
      <c r="AG690" s="3" t="s">
        <v>1200</v>
      </c>
      <c r="AI690" s="3"/>
      <c r="AJ690" s="1">
        <v>46118</v>
      </c>
      <c r="AL690" s="3"/>
      <c r="AM690" s="1">
        <v>2</v>
      </c>
      <c r="AO690" s="3"/>
      <c r="AP690" s="3" t="s">
        <v>2015</v>
      </c>
      <c r="AR690" s="3"/>
      <c r="AS690" s="3" t="s">
        <v>2016</v>
      </c>
      <c r="AU690" s="3"/>
      <c r="AV690" s="3"/>
      <c r="AX690" s="3"/>
      <c r="AY690" s="5"/>
      <c r="BA690" s="3"/>
      <c r="BD690" s="3"/>
      <c r="BE690" s="3"/>
      <c r="BG690" s="3"/>
      <c r="BH690" s="3"/>
      <c r="BJ690" s="3"/>
      <c r="BK690" s="3"/>
      <c r="BM690" s="3"/>
      <c r="BN690" s="5"/>
      <c r="BP690" s="3"/>
      <c r="BS690" s="3"/>
      <c r="BT690" s="3"/>
      <c r="BV690" s="3"/>
      <c r="BW690" s="3"/>
      <c r="BY690" s="3"/>
      <c r="BZ690" s="3"/>
      <c r="CB690" s="3"/>
      <c r="CC690" s="5"/>
      <c r="CE690" s="3"/>
      <c r="CH690" s="3"/>
      <c r="CI690" s="3"/>
      <c r="CK690" s="3"/>
      <c r="CL690" s="3"/>
      <c r="CN690" s="3"/>
      <c r="CO690" s="3"/>
      <c r="CQ690" s="3"/>
      <c r="CR690" s="5"/>
      <c r="CT690" s="3"/>
      <c r="CW690" s="3"/>
      <c r="CX690" s="3"/>
      <c r="CZ690" s="3"/>
      <c r="DA690" s="3"/>
      <c r="DC690" s="3"/>
      <c r="DD690" s="3"/>
      <c r="DF690" s="3"/>
      <c r="DG690" s="5"/>
      <c r="DI690" s="3"/>
      <c r="DL690" s="3"/>
      <c r="DM690" s="3"/>
      <c r="DO690" s="3"/>
      <c r="DP690" s="3"/>
      <c r="DR690" s="3"/>
      <c r="DS690" s="1" t="str">
        <f>_xlfn.XLOOKUP(OfficeForms.Table[[#This Row],[Selecione a Categoria do Laboratório desta atividade prática:]],Planilha1!A:A,Planilha1!B:B)</f>
        <v>EMF-ISN</v>
      </c>
      <c r="DT690" s="1" t="str">
        <f>CONCATENATE(OfficeForms.Table[[#This Row],[Selecione seu Polo Laboratório de Atividades Presenciais:]],OfficeForms.Table[[#This Row],[CHAVE CONVERSÃO]])</f>
        <v>Aracaju/SE - Ponto NovoEMF-ISN</v>
      </c>
      <c r="DU69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69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46118</v>
      </c>
      <c r="DW69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90" s="1" t="str">
        <f>_xlfn.XLOOKUP(OfficeForms.Table[[#This Row],[CHAVE LINK POLO]],'[1]Quadro Geral de Lotação'!$B:$B,'[1]Quadro Geral de Lotação'!$I:$I)</f>
        <v>Caio Guilherme Santos Morais Oliveira</v>
      </c>
      <c r="DY690" s="1" t="str">
        <f>OfficeForms.Table[[#This Row],[Selecione a Ordem de Disciplina]]</f>
        <v>Ordem 2</v>
      </c>
    </row>
    <row r="691" spans="1:129" ht="34.15" customHeight="1">
      <c r="A691" s="1">
        <v>691</v>
      </c>
      <c r="B691" s="2">
        <v>46125.654849537001</v>
      </c>
      <c r="C691" s="2">
        <v>46125.656145833302</v>
      </c>
      <c r="D691" s="3" t="s">
        <v>333</v>
      </c>
      <c r="E691" s="3" t="s">
        <v>334</v>
      </c>
      <c r="G691" s="3"/>
      <c r="I691" s="3" t="s">
        <v>275</v>
      </c>
      <c r="K691" s="3"/>
      <c r="L691" s="1" t="s">
        <v>1325</v>
      </c>
      <c r="O691" s="3" t="s">
        <v>184</v>
      </c>
      <c r="Q691" s="3"/>
      <c r="R691" s="3"/>
      <c r="T691" s="3"/>
      <c r="U691" s="5"/>
      <c r="W691" s="3"/>
      <c r="Z691" s="3"/>
      <c r="AA691" s="3"/>
      <c r="AC691" s="3"/>
      <c r="AD691" s="3"/>
      <c r="AF691" s="3"/>
      <c r="AG691" s="3" t="s">
        <v>816</v>
      </c>
      <c r="AI691" s="3"/>
      <c r="AJ691" s="1">
        <v>46125</v>
      </c>
      <c r="AL691" s="3"/>
      <c r="AM691" s="1">
        <v>2</v>
      </c>
      <c r="AO691" s="3"/>
      <c r="AP691" s="3" t="s">
        <v>2017</v>
      </c>
      <c r="AR691" s="3"/>
      <c r="AS691" s="3" t="s">
        <v>2018</v>
      </c>
      <c r="AU691" s="3"/>
      <c r="AV691" s="3"/>
      <c r="AX691" s="3"/>
      <c r="AY691" s="5"/>
      <c r="BA691" s="3"/>
      <c r="BD691" s="3"/>
      <c r="BE691" s="3"/>
      <c r="BG691" s="3"/>
      <c r="BH691" s="3"/>
      <c r="BJ691" s="3"/>
      <c r="BK691" s="3"/>
      <c r="BM691" s="3"/>
      <c r="BN691" s="5"/>
      <c r="BP691" s="3"/>
      <c r="BS691" s="3"/>
      <c r="BT691" s="3"/>
      <c r="BV691" s="3"/>
      <c r="BW691" s="3"/>
      <c r="BY691" s="3"/>
      <c r="BZ691" s="3"/>
      <c r="CB691" s="3"/>
      <c r="CC691" s="5"/>
      <c r="CE691" s="3"/>
      <c r="CH691" s="3"/>
      <c r="CI691" s="3"/>
      <c r="CK691" s="3"/>
      <c r="CL691" s="3"/>
      <c r="CN691" s="3"/>
      <c r="CO691" s="3"/>
      <c r="CQ691" s="3"/>
      <c r="CR691" s="5"/>
      <c r="CT691" s="3"/>
      <c r="CW691" s="3"/>
      <c r="CX691" s="3"/>
      <c r="CZ691" s="3"/>
      <c r="DA691" s="3"/>
      <c r="DC691" s="3"/>
      <c r="DD691" s="3"/>
      <c r="DF691" s="3"/>
      <c r="DG691" s="5"/>
      <c r="DI691" s="3"/>
      <c r="DL691" s="3"/>
      <c r="DM691" s="3"/>
      <c r="DO691" s="3"/>
      <c r="DP691" s="3"/>
      <c r="DR691" s="3"/>
      <c r="DS691" s="1" t="str">
        <f>_xlfn.XLOOKUP(OfficeForms.Table[[#This Row],[Selecione a Categoria do Laboratório desta atividade prática:]],Planilha1!A:A,Planilha1!B:B)</f>
        <v>EMF-ISN</v>
      </c>
      <c r="DT691" s="1" t="str">
        <f>CONCATENATE(OfficeForms.Table[[#This Row],[Selecione seu Polo Laboratório de Atividades Presenciais:]],OfficeForms.Table[[#This Row],[CHAVE CONVERSÃO]])</f>
        <v>Porto Alegre/RS - Zona NorteEMF-ISN</v>
      </c>
      <c r="DU69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69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69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91" s="1" t="str">
        <f>_xlfn.XLOOKUP(OfficeForms.Table[[#This Row],[CHAVE LINK POLO]],'[1]Quadro Geral de Lotação'!$B:$B,'[1]Quadro Geral de Lotação'!$I:$I)</f>
        <v>Cristiane Ribeiro Maciel</v>
      </c>
      <c r="DY691" s="1" t="str">
        <f>OfficeForms.Table[[#This Row],[Selecione a Ordem de Disciplina]]</f>
        <v>Ordem 3</v>
      </c>
    </row>
    <row r="692" spans="1:129" ht="34.15" customHeight="1">
      <c r="A692" s="1">
        <v>692</v>
      </c>
      <c r="B692" s="2">
        <v>46125.6563425926</v>
      </c>
      <c r="C692" s="2">
        <v>46125.658217592601</v>
      </c>
      <c r="D692" s="3" t="s">
        <v>333</v>
      </c>
      <c r="E692" s="3" t="s">
        <v>334</v>
      </c>
      <c r="G692" s="3"/>
      <c r="I692" s="3" t="s">
        <v>275</v>
      </c>
      <c r="K692" s="3"/>
      <c r="L692" s="1" t="s">
        <v>1325</v>
      </c>
      <c r="O692" s="3" t="s">
        <v>184</v>
      </c>
      <c r="Q692" s="3"/>
      <c r="R692" s="3"/>
      <c r="T692" s="3"/>
      <c r="U692" s="5"/>
      <c r="W692" s="3"/>
      <c r="Z692" s="3"/>
      <c r="AA692" s="3"/>
      <c r="AC692" s="3"/>
      <c r="AD692" s="3"/>
      <c r="AF692" s="3"/>
      <c r="AG692" s="3" t="s">
        <v>1013</v>
      </c>
      <c r="AI692" s="3"/>
      <c r="AJ692" s="1">
        <v>46121</v>
      </c>
      <c r="AL692" s="3"/>
      <c r="AM692" s="1">
        <v>3</v>
      </c>
      <c r="AO692" s="3"/>
      <c r="AP692" s="3" t="s">
        <v>2019</v>
      </c>
      <c r="AR692" s="3"/>
      <c r="AS692" s="3" t="s">
        <v>2020</v>
      </c>
      <c r="AU692" s="3"/>
      <c r="AV692" s="3"/>
      <c r="AX692" s="3"/>
      <c r="AY692" s="5"/>
      <c r="BA692" s="3"/>
      <c r="BD692" s="3"/>
      <c r="BE692" s="3"/>
      <c r="BG692" s="3"/>
      <c r="BH692" s="3"/>
      <c r="BJ692" s="3"/>
      <c r="BK692" s="3"/>
      <c r="BM692" s="3"/>
      <c r="BN692" s="5"/>
      <c r="BP692" s="3"/>
      <c r="BS692" s="3"/>
      <c r="BT692" s="3"/>
      <c r="BV692" s="3"/>
      <c r="BW692" s="3"/>
      <c r="BY692" s="3"/>
      <c r="BZ692" s="3"/>
      <c r="CB692" s="3"/>
      <c r="CC692" s="5"/>
      <c r="CE692" s="3"/>
      <c r="CH692" s="3"/>
      <c r="CI692" s="3"/>
      <c r="CK692" s="3"/>
      <c r="CL692" s="3"/>
      <c r="CN692" s="3"/>
      <c r="CO692" s="3"/>
      <c r="CQ692" s="3"/>
      <c r="CR692" s="5"/>
      <c r="CT692" s="3"/>
      <c r="CW692" s="3"/>
      <c r="CX692" s="3"/>
      <c r="CZ692" s="3"/>
      <c r="DA692" s="3"/>
      <c r="DC692" s="3"/>
      <c r="DD692" s="3"/>
      <c r="DF692" s="3"/>
      <c r="DG692" s="5"/>
      <c r="DI692" s="3"/>
      <c r="DL692" s="3"/>
      <c r="DM692" s="3"/>
      <c r="DO692" s="3"/>
      <c r="DP692" s="3"/>
      <c r="DR692" s="3"/>
      <c r="DS692" s="1" t="str">
        <f>_xlfn.XLOOKUP(OfficeForms.Table[[#This Row],[Selecione a Categoria do Laboratório desta atividade prática:]],Planilha1!A:A,Planilha1!B:B)</f>
        <v>EMF-ISN</v>
      </c>
      <c r="DT692" s="1" t="str">
        <f>CONCATENATE(OfficeForms.Table[[#This Row],[Selecione seu Polo Laboratório de Atividades Presenciais:]],OfficeForms.Table[[#This Row],[CHAVE CONVERSÃO]])</f>
        <v>Porto Alegre/RS - Zona NorteEMF-ISN</v>
      </c>
      <c r="DU69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69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69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692" s="1" t="str">
        <f>_xlfn.XLOOKUP(OfficeForms.Table[[#This Row],[CHAVE LINK POLO]],'[1]Quadro Geral de Lotação'!$B:$B,'[1]Quadro Geral de Lotação'!$I:$I)</f>
        <v>Cristiane Ribeiro Maciel</v>
      </c>
      <c r="DY692" s="1" t="str">
        <f>OfficeForms.Table[[#This Row],[Selecione a Ordem de Disciplina]]</f>
        <v>Ordem 3</v>
      </c>
    </row>
    <row r="693" spans="1:129" ht="34.15" customHeight="1">
      <c r="A693" s="1">
        <v>693</v>
      </c>
      <c r="B693" s="2">
        <v>46125.637789351902</v>
      </c>
      <c r="C693" s="2">
        <v>46125.684884259303</v>
      </c>
      <c r="D693" s="3" t="s">
        <v>1167</v>
      </c>
      <c r="E693" s="3" t="s">
        <v>1168</v>
      </c>
      <c r="G693" s="3"/>
      <c r="I693" s="3" t="s">
        <v>216</v>
      </c>
      <c r="K693" s="3"/>
      <c r="L693" s="1" t="s">
        <v>678</v>
      </c>
      <c r="O693" s="3" t="s">
        <v>184</v>
      </c>
      <c r="Q693" s="3"/>
      <c r="R693" s="3"/>
      <c r="T693" s="3"/>
      <c r="U693" s="5"/>
      <c r="W693" s="3"/>
      <c r="Z693" s="3"/>
      <c r="AA693" s="3"/>
      <c r="AC693" s="3"/>
      <c r="AD693" s="3"/>
      <c r="AF693" s="3"/>
      <c r="AG693" s="3" t="s">
        <v>1302</v>
      </c>
      <c r="AI693" s="3"/>
      <c r="AJ693" s="1">
        <v>46102</v>
      </c>
      <c r="AL693" s="3"/>
      <c r="AM693" s="1">
        <v>2</v>
      </c>
      <c r="AO693" s="3"/>
      <c r="AP693" s="3" t="s">
        <v>2021</v>
      </c>
      <c r="AR693" s="3"/>
      <c r="AS693" s="3" t="s">
        <v>2022</v>
      </c>
      <c r="AU693" s="3"/>
      <c r="AV693" s="3"/>
      <c r="AX693" s="3"/>
      <c r="AY693" s="5"/>
      <c r="BA693" s="3"/>
      <c r="BD693" s="3"/>
      <c r="BE693" s="3"/>
      <c r="BG693" s="3"/>
      <c r="BH693" s="3"/>
      <c r="BJ693" s="3"/>
      <c r="BK693" s="3"/>
      <c r="BM693" s="3"/>
      <c r="BN693" s="5"/>
      <c r="BP693" s="3"/>
      <c r="BS693" s="3"/>
      <c r="BT693" s="3"/>
      <c r="BV693" s="3"/>
      <c r="BW693" s="3"/>
      <c r="BY693" s="3"/>
      <c r="BZ693" s="3"/>
      <c r="CB693" s="3"/>
      <c r="CC693" s="5"/>
      <c r="CE693" s="3"/>
      <c r="CH693" s="3"/>
      <c r="CI693" s="3"/>
      <c r="CK693" s="3"/>
      <c r="CL693" s="3"/>
      <c r="CN693" s="3"/>
      <c r="CO693" s="3"/>
      <c r="CQ693" s="3"/>
      <c r="CR693" s="5"/>
      <c r="CT693" s="3"/>
      <c r="CW693" s="3"/>
      <c r="CX693" s="3"/>
      <c r="CZ693" s="3"/>
      <c r="DA693" s="3"/>
      <c r="DC693" s="3"/>
      <c r="DD693" s="3"/>
      <c r="DF693" s="3"/>
      <c r="DG693" s="5"/>
      <c r="DI693" s="3"/>
      <c r="DL693" s="3"/>
      <c r="DM693" s="3"/>
      <c r="DO693" s="3"/>
      <c r="DP693" s="3"/>
      <c r="DR693" s="3"/>
      <c r="DS693" s="1" t="str">
        <f>_xlfn.XLOOKUP(OfficeForms.Table[[#This Row],[Selecione a Categoria do Laboratório desta atividade prática:]],Planilha1!A:A,Planilha1!B:B)</f>
        <v>EMF-ISN</v>
      </c>
      <c r="DT693" s="1" t="str">
        <f>CONCATENATE(OfficeForms.Table[[#This Row],[Selecione seu Polo Laboratório de Atividades Presenciais:]],OfficeForms.Table[[#This Row],[CHAVE CONVERSÃO]])</f>
        <v>Feira De Santana/BA - CentroEMF-ISN</v>
      </c>
      <c r="DU69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69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46102</v>
      </c>
      <c r="DW69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93" s="1" t="str">
        <f>_xlfn.XLOOKUP(OfficeForms.Table[[#This Row],[CHAVE LINK POLO]],'[1]Quadro Geral de Lotação'!$B:$B,'[1]Quadro Geral de Lotação'!$I:$I)</f>
        <v>Karine Tosta Souza Borges</v>
      </c>
      <c r="DY693" s="1" t="str">
        <f>OfficeForms.Table[[#This Row],[Selecione a Ordem de Disciplina]]</f>
        <v>Ordem 2</v>
      </c>
    </row>
    <row r="694" spans="1:129" ht="34.15" customHeight="1">
      <c r="A694" s="1">
        <v>694</v>
      </c>
      <c r="B694" s="2">
        <v>46125.684988425899</v>
      </c>
      <c r="C694" s="2">
        <v>46125.696550925903</v>
      </c>
      <c r="D694" s="3" t="s">
        <v>1167</v>
      </c>
      <c r="E694" s="3" t="s">
        <v>1168</v>
      </c>
      <c r="G694" s="3"/>
      <c r="I694" s="3" t="s">
        <v>216</v>
      </c>
      <c r="K694" s="3"/>
      <c r="L694" s="1" t="s">
        <v>678</v>
      </c>
      <c r="O694" s="3" t="s">
        <v>184</v>
      </c>
      <c r="Q694" s="3"/>
      <c r="R694" s="3"/>
      <c r="T694" s="3"/>
      <c r="U694" s="5"/>
      <c r="W694" s="3"/>
      <c r="Z694" s="3"/>
      <c r="AA694" s="3"/>
      <c r="AC694" s="3"/>
      <c r="AD694" s="3"/>
      <c r="AF694" s="3"/>
      <c r="AG694" s="3" t="s">
        <v>1302</v>
      </c>
      <c r="AI694" s="3"/>
      <c r="AJ694" s="1">
        <v>46106</v>
      </c>
      <c r="AL694" s="3"/>
      <c r="AM694" s="1">
        <v>0</v>
      </c>
      <c r="AO694" s="3"/>
      <c r="AP694" s="3" t="s">
        <v>2023</v>
      </c>
      <c r="AR694" s="3"/>
      <c r="AS694" s="3" t="s">
        <v>2024</v>
      </c>
      <c r="AU694" s="3"/>
      <c r="AV694" s="3"/>
      <c r="AX694" s="3"/>
      <c r="AY694" s="5"/>
      <c r="BA694" s="3"/>
      <c r="BD694" s="3"/>
      <c r="BE694" s="3"/>
      <c r="BG694" s="3"/>
      <c r="BH694" s="3"/>
      <c r="BJ694" s="3"/>
      <c r="BK694" s="3"/>
      <c r="BM694" s="3"/>
      <c r="BN694" s="5"/>
      <c r="BP694" s="3"/>
      <c r="BS694" s="3"/>
      <c r="BT694" s="3"/>
      <c r="BV694" s="3"/>
      <c r="BW694" s="3"/>
      <c r="BY694" s="3"/>
      <c r="BZ694" s="3"/>
      <c r="CB694" s="3"/>
      <c r="CC694" s="5"/>
      <c r="CE694" s="3"/>
      <c r="CH694" s="3"/>
      <c r="CI694" s="3"/>
      <c r="CK694" s="3"/>
      <c r="CL694" s="3"/>
      <c r="CN694" s="3"/>
      <c r="CO694" s="3"/>
      <c r="CQ694" s="3"/>
      <c r="CR694" s="5"/>
      <c r="CT694" s="3"/>
      <c r="CW694" s="3"/>
      <c r="CX694" s="3"/>
      <c r="CZ694" s="3"/>
      <c r="DA694" s="3"/>
      <c r="DC694" s="3"/>
      <c r="DD694" s="3"/>
      <c r="DF694" s="3"/>
      <c r="DG694" s="5"/>
      <c r="DI694" s="3"/>
      <c r="DL694" s="3"/>
      <c r="DM694" s="3"/>
      <c r="DO694" s="3"/>
      <c r="DP694" s="3"/>
      <c r="DR694" s="3"/>
      <c r="DS694" s="1" t="str">
        <f>_xlfn.XLOOKUP(OfficeForms.Table[[#This Row],[Selecione a Categoria do Laboratório desta atividade prática:]],Planilha1!A:A,Planilha1!B:B)</f>
        <v>EMF-ISN</v>
      </c>
      <c r="DT694" s="1" t="str">
        <f>CONCATENATE(OfficeForms.Table[[#This Row],[Selecione seu Polo Laboratório de Atividades Presenciais:]],OfficeForms.Table[[#This Row],[CHAVE CONVERSÃO]])</f>
        <v>Feira De Santana/BA - CentroEMF-ISN</v>
      </c>
      <c r="DU69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69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69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94" s="1" t="str">
        <f>_xlfn.XLOOKUP(OfficeForms.Table[[#This Row],[CHAVE LINK POLO]],'[1]Quadro Geral de Lotação'!$B:$B,'[1]Quadro Geral de Lotação'!$I:$I)</f>
        <v>Karine Tosta Souza Borges</v>
      </c>
      <c r="DY694" s="1" t="str">
        <f>OfficeForms.Table[[#This Row],[Selecione a Ordem de Disciplina]]</f>
        <v>Ordem 2</v>
      </c>
    </row>
    <row r="695" spans="1:129" ht="34.15" customHeight="1">
      <c r="A695" s="1">
        <v>695</v>
      </c>
      <c r="B695" s="2">
        <v>46125.696597222202</v>
      </c>
      <c r="C695" s="2">
        <v>46125.707372685203</v>
      </c>
      <c r="D695" s="3" t="s">
        <v>1167</v>
      </c>
      <c r="E695" s="3" t="s">
        <v>1168</v>
      </c>
      <c r="G695" s="3"/>
      <c r="I695" s="3" t="s">
        <v>216</v>
      </c>
      <c r="K695" s="3"/>
      <c r="L695" s="1" t="s">
        <v>678</v>
      </c>
      <c r="O695" s="3" t="s">
        <v>184</v>
      </c>
      <c r="Q695" s="3"/>
      <c r="R695" s="3"/>
      <c r="T695" s="3"/>
      <c r="U695" s="5"/>
      <c r="W695" s="3"/>
      <c r="Z695" s="3"/>
      <c r="AA695" s="3"/>
      <c r="AC695" s="3"/>
      <c r="AD695" s="3"/>
      <c r="AF695" s="3"/>
      <c r="AG695" s="3" t="s">
        <v>211</v>
      </c>
      <c r="AI695" s="3"/>
      <c r="AJ695" s="1">
        <v>46113</v>
      </c>
      <c r="AL695" s="3"/>
      <c r="AM695" s="1">
        <v>2</v>
      </c>
      <c r="AO695" s="3"/>
      <c r="AP695" s="3" t="s">
        <v>2025</v>
      </c>
      <c r="AR695" s="3"/>
      <c r="AS695" s="3" t="s">
        <v>2026</v>
      </c>
      <c r="AU695" s="3"/>
      <c r="AV695" s="3"/>
      <c r="AX695" s="3"/>
      <c r="AY695" s="5"/>
      <c r="BA695" s="3"/>
      <c r="BD695" s="3"/>
      <c r="BE695" s="3"/>
      <c r="BG695" s="3"/>
      <c r="BH695" s="3"/>
      <c r="BJ695" s="3"/>
      <c r="BK695" s="3"/>
      <c r="BM695" s="3"/>
      <c r="BN695" s="5"/>
      <c r="BP695" s="3"/>
      <c r="BS695" s="3"/>
      <c r="BT695" s="3"/>
      <c r="BV695" s="3"/>
      <c r="BW695" s="3"/>
      <c r="BY695" s="3"/>
      <c r="BZ695" s="3"/>
      <c r="CB695" s="3"/>
      <c r="CC695" s="5"/>
      <c r="CE695" s="3"/>
      <c r="CH695" s="3"/>
      <c r="CI695" s="3"/>
      <c r="CK695" s="3"/>
      <c r="CL695" s="3"/>
      <c r="CN695" s="3"/>
      <c r="CO695" s="3"/>
      <c r="CQ695" s="3"/>
      <c r="CR695" s="5"/>
      <c r="CT695" s="3"/>
      <c r="CW695" s="3"/>
      <c r="CX695" s="3"/>
      <c r="CZ695" s="3"/>
      <c r="DA695" s="3"/>
      <c r="DC695" s="3"/>
      <c r="DD695" s="3"/>
      <c r="DF695" s="3"/>
      <c r="DG695" s="5"/>
      <c r="DI695" s="3"/>
      <c r="DL695" s="3"/>
      <c r="DM695" s="3"/>
      <c r="DO695" s="3"/>
      <c r="DP695" s="3"/>
      <c r="DR695" s="3"/>
      <c r="DS695" s="1" t="str">
        <f>_xlfn.XLOOKUP(OfficeForms.Table[[#This Row],[Selecione a Categoria do Laboratório desta atividade prática:]],Planilha1!A:A,Planilha1!B:B)</f>
        <v>EMF-ISN</v>
      </c>
      <c r="DT695" s="1" t="str">
        <f>CONCATENATE(OfficeForms.Table[[#This Row],[Selecione seu Polo Laboratório de Atividades Presenciais:]],OfficeForms.Table[[#This Row],[CHAVE CONVERSÃO]])</f>
        <v>Feira De Santana/BA - CentroEMF-ISN</v>
      </c>
      <c r="DU69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69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69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695" s="1" t="str">
        <f>_xlfn.XLOOKUP(OfficeForms.Table[[#This Row],[CHAVE LINK POLO]],'[1]Quadro Geral de Lotação'!$B:$B,'[1]Quadro Geral de Lotação'!$I:$I)</f>
        <v>Karine Tosta Souza Borges</v>
      </c>
      <c r="DY695" s="1" t="str">
        <f>OfficeForms.Table[[#This Row],[Selecione a Ordem de Disciplina]]</f>
        <v>Ordem 2</v>
      </c>
    </row>
    <row r="696" spans="1:129" ht="34.15" customHeight="1">
      <c r="A696" s="1">
        <v>696</v>
      </c>
      <c r="B696" s="2">
        <v>46125.707418981503</v>
      </c>
      <c r="C696" s="2">
        <v>46125.711307870399</v>
      </c>
      <c r="D696" s="3" t="s">
        <v>1167</v>
      </c>
      <c r="E696" s="3" t="s">
        <v>1168</v>
      </c>
      <c r="G696" s="3"/>
      <c r="I696" s="3" t="s">
        <v>216</v>
      </c>
      <c r="K696" s="3"/>
      <c r="L696" s="1" t="s">
        <v>678</v>
      </c>
      <c r="O696" s="3" t="s">
        <v>184</v>
      </c>
      <c r="Q696" s="3"/>
      <c r="R696" s="3"/>
      <c r="T696" s="3"/>
      <c r="U696" s="5"/>
      <c r="W696" s="3"/>
      <c r="Z696" s="3"/>
      <c r="AA696" s="3"/>
      <c r="AC696" s="3"/>
      <c r="AD696" s="3"/>
      <c r="AF696" s="3"/>
      <c r="AG696" s="3" t="s">
        <v>211</v>
      </c>
      <c r="AI696" s="3"/>
      <c r="AJ696" s="1">
        <v>46109</v>
      </c>
      <c r="AL696" s="3"/>
      <c r="AM696" s="1">
        <v>0</v>
      </c>
      <c r="AO696" s="3"/>
      <c r="AP696" s="3" t="s">
        <v>2027</v>
      </c>
      <c r="AR696" s="3"/>
      <c r="AS696" s="3" t="s">
        <v>2028</v>
      </c>
      <c r="AU696" s="3"/>
      <c r="AV696" s="3"/>
      <c r="AX696" s="3"/>
      <c r="AY696" s="5"/>
      <c r="BA696" s="3"/>
      <c r="BD696" s="3"/>
      <c r="BE696" s="3"/>
      <c r="BG696" s="3"/>
      <c r="BH696" s="3"/>
      <c r="BJ696" s="3"/>
      <c r="BK696" s="3"/>
      <c r="BM696" s="3"/>
      <c r="BN696" s="5"/>
      <c r="BP696" s="3"/>
      <c r="BS696" s="3"/>
      <c r="BT696" s="3"/>
      <c r="BV696" s="3"/>
      <c r="BW696" s="3"/>
      <c r="BY696" s="3"/>
      <c r="BZ696" s="3"/>
      <c r="CB696" s="3"/>
      <c r="CC696" s="5"/>
      <c r="CE696" s="3"/>
      <c r="CH696" s="3"/>
      <c r="CI696" s="3"/>
      <c r="CK696" s="3"/>
      <c r="CL696" s="3"/>
      <c r="CN696" s="3"/>
      <c r="CO696" s="3"/>
      <c r="CQ696" s="3"/>
      <c r="CR696" s="5"/>
      <c r="CT696" s="3"/>
      <c r="CW696" s="3"/>
      <c r="CX696" s="3"/>
      <c r="CZ696" s="3"/>
      <c r="DA696" s="3"/>
      <c r="DC696" s="3"/>
      <c r="DD696" s="3"/>
      <c r="DF696" s="3"/>
      <c r="DG696" s="5"/>
      <c r="DI696" s="3"/>
      <c r="DL696" s="3"/>
      <c r="DM696" s="3"/>
      <c r="DO696" s="3"/>
      <c r="DP696" s="3"/>
      <c r="DR696" s="3"/>
      <c r="DS696" s="1" t="str">
        <f>_xlfn.XLOOKUP(OfficeForms.Table[[#This Row],[Selecione a Categoria do Laboratório desta atividade prática:]],Planilha1!A:A,Planilha1!B:B)</f>
        <v>EMF-ISN</v>
      </c>
      <c r="DT696" s="1" t="str">
        <f>CONCATENATE(OfficeForms.Table[[#This Row],[Selecione seu Polo Laboratório de Atividades Presenciais:]],OfficeForms.Table[[#This Row],[CHAVE CONVERSÃO]])</f>
        <v>Feira De Santana/BA - CentroEMF-ISN</v>
      </c>
      <c r="DU69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69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69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696" s="1" t="str">
        <f>_xlfn.XLOOKUP(OfficeForms.Table[[#This Row],[CHAVE LINK POLO]],'[1]Quadro Geral de Lotação'!$B:$B,'[1]Quadro Geral de Lotação'!$I:$I)</f>
        <v>Karine Tosta Souza Borges</v>
      </c>
      <c r="DY696" s="1" t="str">
        <f>OfficeForms.Table[[#This Row],[Selecione a Ordem de Disciplina]]</f>
        <v>Ordem 2</v>
      </c>
    </row>
    <row r="697" spans="1:129" ht="34.15" customHeight="1">
      <c r="A697" s="1">
        <v>697</v>
      </c>
      <c r="B697" s="2">
        <v>46125.711354166699</v>
      </c>
      <c r="C697" s="2">
        <v>46125.723113425898</v>
      </c>
      <c r="D697" s="3" t="s">
        <v>1167</v>
      </c>
      <c r="E697" s="3" t="s">
        <v>1168</v>
      </c>
      <c r="G697" s="3"/>
      <c r="I697" s="3" t="s">
        <v>216</v>
      </c>
      <c r="K697" s="3"/>
      <c r="L697" s="1" t="s">
        <v>678</v>
      </c>
      <c r="O697" s="3" t="s">
        <v>184</v>
      </c>
      <c r="Q697" s="3"/>
      <c r="R697" s="3"/>
      <c r="T697" s="3"/>
      <c r="U697" s="5"/>
      <c r="W697" s="3"/>
      <c r="Z697" s="3"/>
      <c r="AA697" s="3"/>
      <c r="AC697" s="3"/>
      <c r="AD697" s="3"/>
      <c r="AF697" s="3"/>
      <c r="AG697" s="3" t="s">
        <v>1062</v>
      </c>
      <c r="AI697" s="3"/>
      <c r="AJ697" s="1">
        <v>46120</v>
      </c>
      <c r="AL697" s="3"/>
      <c r="AM697" s="1">
        <v>12</v>
      </c>
      <c r="AO697" s="3"/>
      <c r="AP697" s="3" t="s">
        <v>2029</v>
      </c>
      <c r="AR697" s="3"/>
      <c r="AS697" s="3" t="s">
        <v>2030</v>
      </c>
      <c r="AU697" s="3"/>
      <c r="AV697" s="3"/>
      <c r="AX697" s="3"/>
      <c r="AY697" s="5"/>
      <c r="BA697" s="3"/>
      <c r="BD697" s="3"/>
      <c r="BE697" s="3"/>
      <c r="BG697" s="3"/>
      <c r="BH697" s="3"/>
      <c r="BJ697" s="3"/>
      <c r="BK697" s="3"/>
      <c r="BM697" s="3"/>
      <c r="BN697" s="5"/>
      <c r="BP697" s="3"/>
      <c r="BS697" s="3"/>
      <c r="BT697" s="3"/>
      <c r="BV697" s="3"/>
      <c r="BW697" s="3"/>
      <c r="BY697" s="3"/>
      <c r="BZ697" s="3"/>
      <c r="CB697" s="3"/>
      <c r="CC697" s="5"/>
      <c r="CE697" s="3"/>
      <c r="CH697" s="3"/>
      <c r="CI697" s="3"/>
      <c r="CK697" s="3"/>
      <c r="CL697" s="3"/>
      <c r="CN697" s="3"/>
      <c r="CO697" s="3"/>
      <c r="CQ697" s="3"/>
      <c r="CR697" s="5"/>
      <c r="CT697" s="3"/>
      <c r="CW697" s="3"/>
      <c r="CX697" s="3"/>
      <c r="CZ697" s="3"/>
      <c r="DA697" s="3"/>
      <c r="DC697" s="3"/>
      <c r="DD697" s="3"/>
      <c r="DF697" s="3"/>
      <c r="DG697" s="5"/>
      <c r="DI697" s="3"/>
      <c r="DL697" s="3"/>
      <c r="DM697" s="3"/>
      <c r="DO697" s="3"/>
      <c r="DP697" s="3"/>
      <c r="DR697" s="3"/>
      <c r="DS697" s="1" t="str">
        <f>_xlfn.XLOOKUP(OfficeForms.Table[[#This Row],[Selecione a Categoria do Laboratório desta atividade prática:]],Planilha1!A:A,Planilha1!B:B)</f>
        <v>EMF-ISN</v>
      </c>
      <c r="DT697" s="1" t="str">
        <f>CONCATENATE(OfficeForms.Table[[#This Row],[Selecione seu Polo Laboratório de Atividades Presenciais:]],OfficeForms.Table[[#This Row],[CHAVE CONVERSÃO]])</f>
        <v>Feira De Santana/BA - CentroEMF-ISN</v>
      </c>
      <c r="DU69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suicídio;Abordagem e cuidados de enfermagem em episódio de surto psicótico</v>
      </c>
      <c r="DV69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69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697" s="1" t="str">
        <f>_xlfn.XLOOKUP(OfficeForms.Table[[#This Row],[CHAVE LINK POLO]],'[1]Quadro Geral de Lotação'!$B:$B,'[1]Quadro Geral de Lotação'!$I:$I)</f>
        <v>Karine Tosta Souza Borges</v>
      </c>
      <c r="DY697" s="1" t="str">
        <f>OfficeForms.Table[[#This Row],[Selecione a Ordem de Disciplina]]</f>
        <v>Ordem 2</v>
      </c>
    </row>
    <row r="698" spans="1:129" ht="34.15" customHeight="1">
      <c r="A698" s="1">
        <v>698</v>
      </c>
      <c r="B698" s="2">
        <v>46125.723148148099</v>
      </c>
      <c r="C698" s="2">
        <v>46125.728587963</v>
      </c>
      <c r="D698" s="3" t="s">
        <v>1167</v>
      </c>
      <c r="E698" s="3" t="s">
        <v>1168</v>
      </c>
      <c r="G698" s="3"/>
      <c r="I698" s="3" t="s">
        <v>216</v>
      </c>
      <c r="K698" s="3"/>
      <c r="L698" s="1" t="s">
        <v>678</v>
      </c>
      <c r="O698" s="3" t="s">
        <v>184</v>
      </c>
      <c r="Q698" s="3"/>
      <c r="R698" s="3"/>
      <c r="T698" s="3"/>
      <c r="U698" s="5"/>
      <c r="W698" s="3"/>
      <c r="Z698" s="3"/>
      <c r="AA698" s="3"/>
      <c r="AC698" s="3"/>
      <c r="AD698" s="3"/>
      <c r="AF698" s="3"/>
      <c r="AG698" s="3" t="s">
        <v>1200</v>
      </c>
      <c r="AI698" s="3"/>
      <c r="AJ698" s="1">
        <v>46123</v>
      </c>
      <c r="AL698" s="3"/>
      <c r="AM698" s="1">
        <v>9</v>
      </c>
      <c r="AO698" s="3"/>
      <c r="AP698" s="3" t="s">
        <v>2031</v>
      </c>
      <c r="AR698" s="3"/>
      <c r="AS698" s="3" t="s">
        <v>2032</v>
      </c>
      <c r="AU698" s="3"/>
      <c r="AV698" s="3"/>
      <c r="AX698" s="3"/>
      <c r="AY698" s="5"/>
      <c r="BA698" s="3"/>
      <c r="BD698" s="3"/>
      <c r="BE698" s="3"/>
      <c r="BG698" s="3"/>
      <c r="BH698" s="3"/>
      <c r="BJ698" s="3"/>
      <c r="BK698" s="3"/>
      <c r="BM698" s="3"/>
      <c r="BN698" s="5"/>
      <c r="BP698" s="3"/>
      <c r="BS698" s="3"/>
      <c r="BT698" s="3"/>
      <c r="BV698" s="3"/>
      <c r="BW698" s="3"/>
      <c r="BY698" s="3"/>
      <c r="BZ698" s="3"/>
      <c r="CB698" s="3"/>
      <c r="CC698" s="5"/>
      <c r="CE698" s="3"/>
      <c r="CH698" s="3"/>
      <c r="CI698" s="3"/>
      <c r="CK698" s="3"/>
      <c r="CL698" s="3"/>
      <c r="CN698" s="3"/>
      <c r="CO698" s="3"/>
      <c r="CQ698" s="3"/>
      <c r="CR698" s="5"/>
      <c r="CT698" s="3"/>
      <c r="CW698" s="3"/>
      <c r="CX698" s="3"/>
      <c r="CZ698" s="3"/>
      <c r="DA698" s="3"/>
      <c r="DC698" s="3"/>
      <c r="DD698" s="3"/>
      <c r="DF698" s="3"/>
      <c r="DG698" s="5"/>
      <c r="DI698" s="3"/>
      <c r="DL698" s="3"/>
      <c r="DM698" s="3"/>
      <c r="DO698" s="3"/>
      <c r="DP698" s="3"/>
      <c r="DR698" s="3"/>
      <c r="DS698" s="1" t="str">
        <f>_xlfn.XLOOKUP(OfficeForms.Table[[#This Row],[Selecione a Categoria do Laboratório desta atividade prática:]],Planilha1!A:A,Planilha1!B:B)</f>
        <v>EMF-ISN</v>
      </c>
      <c r="DT698" s="1" t="str">
        <f>CONCATENATE(OfficeForms.Table[[#This Row],[Selecione seu Polo Laboratório de Atividades Presenciais:]],OfficeForms.Table[[#This Row],[CHAVE CONVERSÃO]])</f>
        <v>Feira De Santana/BA - CentroEMF-ISN</v>
      </c>
      <c r="DU69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69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46123</v>
      </c>
      <c r="DW69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698" s="1" t="str">
        <f>_xlfn.XLOOKUP(OfficeForms.Table[[#This Row],[CHAVE LINK POLO]],'[1]Quadro Geral de Lotação'!$B:$B,'[1]Quadro Geral de Lotação'!$I:$I)</f>
        <v>Karine Tosta Souza Borges</v>
      </c>
      <c r="DY698" s="1" t="str">
        <f>OfficeForms.Table[[#This Row],[Selecione a Ordem de Disciplina]]</f>
        <v>Ordem 2</v>
      </c>
    </row>
    <row r="699" spans="1:129" ht="34.15" customHeight="1">
      <c r="A699" s="1">
        <v>699</v>
      </c>
      <c r="B699" s="2">
        <v>46125.7286342593</v>
      </c>
      <c r="C699" s="2">
        <v>46125.749166666697</v>
      </c>
      <c r="D699" s="3" t="s">
        <v>1167</v>
      </c>
      <c r="E699" s="3" t="s">
        <v>1168</v>
      </c>
      <c r="G699" s="3"/>
      <c r="I699" s="3" t="s">
        <v>216</v>
      </c>
      <c r="K699" s="3"/>
      <c r="L699" s="1" t="s">
        <v>678</v>
      </c>
      <c r="O699" s="3" t="s">
        <v>184</v>
      </c>
      <c r="Q699" s="3"/>
      <c r="R699" s="3"/>
      <c r="T699" s="3"/>
      <c r="U699" s="5"/>
      <c r="W699" s="3"/>
      <c r="Z699" s="3"/>
      <c r="AA699" s="3"/>
      <c r="AC699" s="3"/>
      <c r="AD699" s="3"/>
      <c r="AF699" s="3"/>
      <c r="AG699" s="3" t="s">
        <v>1013</v>
      </c>
      <c r="AI699" s="3"/>
      <c r="AJ699" s="1">
        <v>46099</v>
      </c>
      <c r="AL699" s="3"/>
      <c r="AM699" s="1">
        <v>4</v>
      </c>
      <c r="AO699" s="3"/>
      <c r="AP699" s="3" t="s">
        <v>2033</v>
      </c>
      <c r="AR699" s="3"/>
      <c r="AS699" s="3" t="s">
        <v>2034</v>
      </c>
      <c r="AU699" s="3"/>
      <c r="AV699" s="3"/>
      <c r="AX699" s="3"/>
      <c r="AY699" s="5"/>
      <c r="BA699" s="3"/>
      <c r="BD699" s="3"/>
      <c r="BE699" s="3"/>
      <c r="BG699" s="3"/>
      <c r="BH699" s="3"/>
      <c r="BJ699" s="3"/>
      <c r="BK699" s="3"/>
      <c r="BM699" s="3"/>
      <c r="BN699" s="5"/>
      <c r="BP699" s="3"/>
      <c r="BS699" s="3"/>
      <c r="BT699" s="3"/>
      <c r="BV699" s="3"/>
      <c r="BW699" s="3"/>
      <c r="BY699" s="3"/>
      <c r="BZ699" s="3"/>
      <c r="CB699" s="3"/>
      <c r="CC699" s="5"/>
      <c r="CE699" s="3"/>
      <c r="CH699" s="3"/>
      <c r="CI699" s="3"/>
      <c r="CK699" s="3"/>
      <c r="CL699" s="3"/>
      <c r="CN699" s="3"/>
      <c r="CO699" s="3"/>
      <c r="CQ699" s="3"/>
      <c r="CR699" s="5"/>
      <c r="CT699" s="3"/>
      <c r="CW699" s="3"/>
      <c r="CX699" s="3"/>
      <c r="CZ699" s="3"/>
      <c r="DA699" s="3"/>
      <c r="DC699" s="3"/>
      <c r="DD699" s="3"/>
      <c r="DF699" s="3"/>
      <c r="DG699" s="5"/>
      <c r="DI699" s="3"/>
      <c r="DL699" s="3"/>
      <c r="DM699" s="3"/>
      <c r="DO699" s="3"/>
      <c r="DP699" s="3"/>
      <c r="DR699" s="3"/>
      <c r="DS699" s="1" t="str">
        <f>_xlfn.XLOOKUP(OfficeForms.Table[[#This Row],[Selecione a Categoria do Laboratório desta atividade prática:]],Planilha1!A:A,Planilha1!B:B)</f>
        <v>EMF-ISN</v>
      </c>
      <c r="DT699" s="1" t="str">
        <f>CONCATENATE(OfficeForms.Table[[#This Row],[Selecione seu Polo Laboratório de Atividades Presenciais:]],OfficeForms.Table[[#This Row],[CHAVE CONVERSÃO]])</f>
        <v>Feira De Santana/BA - CentroEMF-ISN</v>
      </c>
      <c r="DU69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69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69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699" s="1" t="str">
        <f>_xlfn.XLOOKUP(OfficeForms.Table[[#This Row],[CHAVE LINK POLO]],'[1]Quadro Geral de Lotação'!$B:$B,'[1]Quadro Geral de Lotação'!$I:$I)</f>
        <v>Karine Tosta Souza Borges</v>
      </c>
      <c r="DY699" s="1" t="str">
        <f>OfficeForms.Table[[#This Row],[Selecione a Ordem de Disciplina]]</f>
        <v>Ordem 2</v>
      </c>
    </row>
    <row r="700" spans="1:129" ht="34.15" customHeight="1">
      <c r="A700" s="1">
        <v>700</v>
      </c>
      <c r="B700" s="2">
        <v>46125.749224537001</v>
      </c>
      <c r="C700" s="2">
        <v>46125.761504629598</v>
      </c>
      <c r="D700" s="3" t="s">
        <v>1167</v>
      </c>
      <c r="E700" s="3" t="s">
        <v>1168</v>
      </c>
      <c r="G700" s="3"/>
      <c r="I700" s="3" t="s">
        <v>216</v>
      </c>
      <c r="K700" s="3"/>
      <c r="L700" s="1" t="s">
        <v>678</v>
      </c>
      <c r="O700" s="3" t="s">
        <v>184</v>
      </c>
      <c r="Q700" s="3"/>
      <c r="R700" s="3"/>
      <c r="T700" s="3"/>
      <c r="U700" s="5"/>
      <c r="W700" s="3"/>
      <c r="Z700" s="3"/>
      <c r="AA700" s="3"/>
      <c r="AC700" s="3"/>
      <c r="AD700" s="3"/>
      <c r="AF700" s="3"/>
      <c r="AG700" s="3" t="s">
        <v>1013</v>
      </c>
      <c r="AI700" s="3"/>
      <c r="AJ700" s="1">
        <v>46095</v>
      </c>
      <c r="AL700" s="3"/>
      <c r="AM700" s="1">
        <v>5</v>
      </c>
      <c r="AO700" s="3"/>
      <c r="AP700" s="3" t="s">
        <v>2035</v>
      </c>
      <c r="AR700" s="3"/>
      <c r="AS700" s="3" t="s">
        <v>2036</v>
      </c>
      <c r="AU700" s="3"/>
      <c r="AV700" s="3"/>
      <c r="AX700" s="3"/>
      <c r="AY700" s="5"/>
      <c r="BA700" s="3"/>
      <c r="BD700" s="3"/>
      <c r="BE700" s="3"/>
      <c r="BG700" s="3"/>
      <c r="BH700" s="3"/>
      <c r="BJ700" s="3"/>
      <c r="BK700" s="3"/>
      <c r="BM700" s="3"/>
      <c r="BN700" s="5"/>
      <c r="BP700" s="3"/>
      <c r="BS700" s="3"/>
      <c r="BT700" s="3"/>
      <c r="BV700" s="3"/>
      <c r="BW700" s="3"/>
      <c r="BY700" s="3"/>
      <c r="BZ700" s="3"/>
      <c r="CB700" s="3"/>
      <c r="CC700" s="5"/>
      <c r="CE700" s="3"/>
      <c r="CH700" s="3"/>
      <c r="CI700" s="3"/>
      <c r="CK700" s="3"/>
      <c r="CL700" s="3"/>
      <c r="CN700" s="3"/>
      <c r="CO700" s="3"/>
      <c r="CQ700" s="3"/>
      <c r="CR700" s="5"/>
      <c r="CT700" s="3"/>
      <c r="CW700" s="3"/>
      <c r="CX700" s="3"/>
      <c r="CZ700" s="3"/>
      <c r="DA700" s="3"/>
      <c r="DC700" s="3"/>
      <c r="DD700" s="3"/>
      <c r="DF700" s="3"/>
      <c r="DG700" s="5"/>
      <c r="DI700" s="3"/>
      <c r="DL700" s="3"/>
      <c r="DM700" s="3"/>
      <c r="DO700" s="3"/>
      <c r="DP700" s="3"/>
      <c r="DR700" s="3"/>
      <c r="DS700" s="1" t="str">
        <f>_xlfn.XLOOKUP(OfficeForms.Table[[#This Row],[Selecione a Categoria do Laboratório desta atividade prática:]],Planilha1!A:A,Planilha1!B:B)</f>
        <v>EMF-ISN</v>
      </c>
      <c r="DT700" s="1" t="str">
        <f>CONCATENATE(OfficeForms.Table[[#This Row],[Selecione seu Polo Laboratório de Atividades Presenciais:]],OfficeForms.Table[[#This Row],[CHAVE CONVERSÃO]])</f>
        <v>Feira De Santana/BA - CentroEMF-ISN</v>
      </c>
      <c r="DU70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70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46095</v>
      </c>
      <c r="DW70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700" s="1" t="str">
        <f>_xlfn.XLOOKUP(OfficeForms.Table[[#This Row],[CHAVE LINK POLO]],'[1]Quadro Geral de Lotação'!$B:$B,'[1]Quadro Geral de Lotação'!$I:$I)</f>
        <v>Karine Tosta Souza Borges</v>
      </c>
      <c r="DY700" s="1" t="str">
        <f>OfficeForms.Table[[#This Row],[Selecione a Ordem de Disciplina]]</f>
        <v>Ordem 2</v>
      </c>
    </row>
    <row r="701" spans="1:129" ht="34.15" customHeight="1">
      <c r="A701" s="1">
        <v>701</v>
      </c>
      <c r="B701" s="2">
        <v>46125.781041666698</v>
      </c>
      <c r="C701" s="2">
        <v>46125.782349537003</v>
      </c>
      <c r="D701" s="3" t="s">
        <v>197</v>
      </c>
      <c r="E701" s="3" t="s">
        <v>198</v>
      </c>
      <c r="G701" s="3"/>
      <c r="I701" s="3" t="s">
        <v>199</v>
      </c>
      <c r="K701" s="3"/>
      <c r="L701" s="1" t="s">
        <v>678</v>
      </c>
      <c r="O701" s="3" t="s">
        <v>177</v>
      </c>
      <c r="Q701" s="3"/>
      <c r="R701" s="3"/>
      <c r="T701" s="3"/>
      <c r="U701" s="5"/>
      <c r="W701" s="3"/>
      <c r="Z701" s="3"/>
      <c r="AA701" s="3"/>
      <c r="AC701" s="3"/>
      <c r="AD701" s="3"/>
      <c r="AF701" s="3"/>
      <c r="AG701" s="3"/>
      <c r="AI701" s="3"/>
      <c r="AJ701" s="1"/>
      <c r="AL701" s="3"/>
      <c r="AO701" s="3"/>
      <c r="AP701" s="3"/>
      <c r="AR701" s="3"/>
      <c r="AS701" s="3"/>
      <c r="AU701" s="3"/>
      <c r="AV701" s="3"/>
      <c r="AX701" s="3"/>
      <c r="AY701" s="5"/>
      <c r="BA701" s="3"/>
      <c r="BD701" s="3"/>
      <c r="BE701" s="3"/>
      <c r="BG701" s="3"/>
      <c r="BH701" s="3"/>
      <c r="BJ701" s="3"/>
      <c r="BK701" s="3"/>
      <c r="BM701" s="3"/>
      <c r="BN701" s="5"/>
      <c r="BP701" s="3"/>
      <c r="BS701" s="3"/>
      <c r="BT701" s="3"/>
      <c r="BV701" s="3"/>
      <c r="BW701" s="3"/>
      <c r="BY701" s="3"/>
      <c r="BZ701" s="3"/>
      <c r="CB701" s="3"/>
      <c r="CC701" s="5"/>
      <c r="CE701" s="3"/>
      <c r="CH701" s="3"/>
      <c r="CI701" s="3"/>
      <c r="CK701" s="3"/>
      <c r="CL701" s="3"/>
      <c r="CN701" s="3"/>
      <c r="CO701" s="3"/>
      <c r="CQ701" s="3"/>
      <c r="CR701" s="5"/>
      <c r="CT701" s="3"/>
      <c r="CW701" s="3"/>
      <c r="CX701" s="3"/>
      <c r="CZ701" s="3"/>
      <c r="DA701" s="3"/>
      <c r="DC701" s="3"/>
      <c r="DD701" s="3" t="s">
        <v>1160</v>
      </c>
      <c r="DF701" s="3"/>
      <c r="DG701" s="5">
        <v>46123</v>
      </c>
      <c r="DI701" s="3"/>
      <c r="DJ701" s="1">
        <v>2</v>
      </c>
      <c r="DL701" s="3"/>
      <c r="DM701" s="3" t="s">
        <v>2037</v>
      </c>
      <c r="DO701" s="3"/>
      <c r="DP701" s="3" t="s">
        <v>2038</v>
      </c>
      <c r="DR701" s="3"/>
      <c r="DS701" s="1" t="str">
        <f>_xlfn.XLOOKUP(OfficeForms.Table[[#This Row],[Selecione a Categoria do Laboratório desta atividade prática:]],Planilha1!A:A,Planilha1!B:B)</f>
        <v>AGM</v>
      </c>
      <c r="DT701" s="1" t="str">
        <f>CONCATENATE(OfficeForms.Table[[#This Row],[Selecione seu Polo Laboratório de Atividades Presenciais:]],OfficeForms.Table[[#This Row],[CHAVE CONVERSÃO]])</f>
        <v>Alagoinhas/BAAGM</v>
      </c>
      <c r="DU70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Identificação de plantas daninhas de interesse agronômico</v>
      </c>
      <c r="DV70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46123</v>
      </c>
      <c r="DW70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01" s="1" t="str">
        <f>_xlfn.XLOOKUP(OfficeForms.Table[[#This Row],[CHAVE LINK POLO]],'[1]Quadro Geral de Lotação'!$B:$B,'[1]Quadro Geral de Lotação'!$I:$I)</f>
        <v>Vitor Batista Pinheiro</v>
      </c>
      <c r="DY701" s="1" t="str">
        <f>OfficeForms.Table[[#This Row],[Selecione a Ordem de Disciplina]]</f>
        <v>Ordem 2</v>
      </c>
    </row>
    <row r="702" spans="1:129" ht="34.15" customHeight="1">
      <c r="A702" s="1">
        <v>702</v>
      </c>
      <c r="B702" s="2">
        <v>46125.832407407397</v>
      </c>
      <c r="C702" s="2">
        <v>46125.842384259297</v>
      </c>
      <c r="D702" s="3" t="s">
        <v>2039</v>
      </c>
      <c r="E702" s="3" t="s">
        <v>2040</v>
      </c>
      <c r="G702" s="3"/>
      <c r="I702" s="3" t="s">
        <v>2041</v>
      </c>
      <c r="K702" s="3"/>
      <c r="L702" s="1" t="s">
        <v>1325</v>
      </c>
      <c r="O702" s="3" t="s">
        <v>184</v>
      </c>
      <c r="Q702" s="3"/>
      <c r="R702" s="3"/>
      <c r="T702" s="3"/>
      <c r="U702" s="5"/>
      <c r="W702" s="3"/>
      <c r="Z702" s="3"/>
      <c r="AA702" s="3"/>
      <c r="AC702" s="3"/>
      <c r="AD702" s="3"/>
      <c r="AF702" s="3"/>
      <c r="AG702" s="3" t="s">
        <v>1511</v>
      </c>
      <c r="AI702" s="3"/>
      <c r="AJ702" s="1">
        <v>46125</v>
      </c>
      <c r="AL702" s="3"/>
      <c r="AM702" s="1">
        <v>0</v>
      </c>
      <c r="AO702" s="3"/>
      <c r="AP702" s="3" t="s">
        <v>2042</v>
      </c>
      <c r="AR702" s="3"/>
      <c r="AS702" s="3" t="s">
        <v>2043</v>
      </c>
      <c r="AU702" s="3"/>
      <c r="AV702" s="3"/>
      <c r="AX702" s="3"/>
      <c r="AY702" s="5"/>
      <c r="BA702" s="3"/>
      <c r="BD702" s="3"/>
      <c r="BE702" s="3"/>
      <c r="BG702" s="3"/>
      <c r="BH702" s="3"/>
      <c r="BJ702" s="3"/>
      <c r="BK702" s="3"/>
      <c r="BM702" s="3"/>
      <c r="BN702" s="5"/>
      <c r="BP702" s="3"/>
      <c r="BS702" s="3"/>
      <c r="BT702" s="3"/>
      <c r="BV702" s="3"/>
      <c r="BW702" s="3"/>
      <c r="BY702" s="3"/>
      <c r="BZ702" s="3"/>
      <c r="CB702" s="3"/>
      <c r="CC702" s="5"/>
      <c r="CE702" s="3"/>
      <c r="CH702" s="3"/>
      <c r="CI702" s="3"/>
      <c r="CK702" s="3"/>
      <c r="CL702" s="3"/>
      <c r="CN702" s="3"/>
      <c r="CO702" s="3"/>
      <c r="CQ702" s="3"/>
      <c r="CR702" s="5"/>
      <c r="CT702" s="3"/>
      <c r="CW702" s="3"/>
      <c r="CX702" s="3"/>
      <c r="CZ702" s="3"/>
      <c r="DA702" s="3"/>
      <c r="DC702" s="3"/>
      <c r="DD702" s="3"/>
      <c r="DF702" s="3"/>
      <c r="DG702" s="5"/>
      <c r="DI702" s="3"/>
      <c r="DL702" s="3"/>
      <c r="DM702" s="3"/>
      <c r="DO702" s="3"/>
      <c r="DP702" s="3"/>
      <c r="DR702" s="3"/>
      <c r="DS702" s="1" t="str">
        <f>_xlfn.XLOOKUP(OfficeForms.Table[[#This Row],[Selecione a Categoria do Laboratório desta atividade prática:]],Planilha1!A:A,Planilha1!B:B)</f>
        <v>EMF-ISN</v>
      </c>
      <c r="DT702" s="1" t="str">
        <f>CONCATENATE(OfficeForms.Table[[#This Row],[Selecione seu Polo Laboratório de Atividades Presenciais:]],OfficeForms.Table[[#This Row],[CHAVE CONVERSÃO]])</f>
        <v>Ponta Grossa/PR - CentroEMF-ISN</v>
      </c>
      <c r="DU70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Sondagem vesical de alívio + Sondagem vesical de demora</v>
      </c>
      <c r="DV70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70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02" s="1" t="str">
        <f>_xlfn.XLOOKUP(OfficeForms.Table[[#This Row],[CHAVE LINK POLO]],'[1]Quadro Geral de Lotação'!$B:$B,'[1]Quadro Geral de Lotação'!$I:$I)</f>
        <v>-</v>
      </c>
      <c r="DY702" s="1" t="str">
        <f>OfficeForms.Table[[#This Row],[Selecione a Ordem de Disciplina]]</f>
        <v>Ordem 3</v>
      </c>
    </row>
    <row r="703" spans="1:129" ht="34.15" customHeight="1">
      <c r="A703" s="1">
        <v>703</v>
      </c>
      <c r="B703" s="2">
        <v>46125.912685185198</v>
      </c>
      <c r="C703" s="2">
        <v>46125.919861111099</v>
      </c>
      <c r="D703" s="3" t="s">
        <v>2044</v>
      </c>
      <c r="E703" s="3" t="s">
        <v>2045</v>
      </c>
      <c r="G703" s="3"/>
      <c r="I703" s="3" t="s">
        <v>2046</v>
      </c>
      <c r="K703" s="3"/>
      <c r="L703" s="1" t="s">
        <v>1325</v>
      </c>
      <c r="O703" s="3" t="s">
        <v>184</v>
      </c>
      <c r="Q703" s="3"/>
      <c r="R703" s="3"/>
      <c r="T703" s="3"/>
      <c r="U703" s="5"/>
      <c r="W703" s="3"/>
      <c r="Z703" s="3"/>
      <c r="AA703" s="3"/>
      <c r="AC703" s="3"/>
      <c r="AD703" s="3"/>
      <c r="AF703" s="3"/>
      <c r="AG703" s="3" t="s">
        <v>1511</v>
      </c>
      <c r="AI703" s="3"/>
      <c r="AJ703" s="1">
        <v>46125</v>
      </c>
      <c r="AL703" s="3"/>
      <c r="AM703" s="1">
        <v>0</v>
      </c>
      <c r="AO703" s="3"/>
      <c r="AP703" s="3" t="s">
        <v>2047</v>
      </c>
      <c r="AR703" s="3"/>
      <c r="AS703" s="3" t="s">
        <v>2048</v>
      </c>
      <c r="AU703" s="3"/>
      <c r="AV703" s="3"/>
      <c r="AX703" s="3"/>
      <c r="AY703" s="5"/>
      <c r="BA703" s="3"/>
      <c r="BD703" s="3"/>
      <c r="BE703" s="3"/>
      <c r="BG703" s="3"/>
      <c r="BH703" s="3"/>
      <c r="BJ703" s="3"/>
      <c r="BK703" s="3"/>
      <c r="BM703" s="3"/>
      <c r="BN703" s="5"/>
      <c r="BP703" s="3"/>
      <c r="BS703" s="3"/>
      <c r="BT703" s="3"/>
      <c r="BV703" s="3"/>
      <c r="BW703" s="3"/>
      <c r="BY703" s="3"/>
      <c r="BZ703" s="3"/>
      <c r="CB703" s="3"/>
      <c r="CC703" s="5"/>
      <c r="CE703" s="3"/>
      <c r="CH703" s="3"/>
      <c r="CI703" s="3"/>
      <c r="CK703" s="3"/>
      <c r="CL703" s="3"/>
      <c r="CN703" s="3"/>
      <c r="CO703" s="3"/>
      <c r="CQ703" s="3"/>
      <c r="CR703" s="5"/>
      <c r="CT703" s="3"/>
      <c r="CW703" s="3"/>
      <c r="CX703" s="3"/>
      <c r="CZ703" s="3"/>
      <c r="DA703" s="3"/>
      <c r="DC703" s="3"/>
      <c r="DD703" s="3"/>
      <c r="DF703" s="3"/>
      <c r="DG703" s="5"/>
      <c r="DI703" s="3"/>
      <c r="DL703" s="3"/>
      <c r="DM703" s="3"/>
      <c r="DO703" s="3"/>
      <c r="DP703" s="3"/>
      <c r="DR703" s="3"/>
      <c r="DS703" s="1" t="str">
        <f>_xlfn.XLOOKUP(OfficeForms.Table[[#This Row],[Selecione a Categoria do Laboratório desta atividade prática:]],Planilha1!A:A,Planilha1!B:B)</f>
        <v>EMF-ISN</v>
      </c>
      <c r="DT703" s="1" t="str">
        <f>CONCATENATE(OfficeForms.Table[[#This Row],[Selecione seu Polo Laboratório de Atividades Presenciais:]],OfficeForms.Table[[#This Row],[CHAVE CONVERSÃO]])</f>
        <v>Jacobina/BAEMF-ISN</v>
      </c>
      <c r="DU70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Sondagem vesical de alívio + Sondagem vesical de demora</v>
      </c>
      <c r="DV70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70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03" s="1" t="str">
        <f>_xlfn.XLOOKUP(OfficeForms.Table[[#This Row],[CHAVE LINK POLO]],'[1]Quadro Geral de Lotação'!$B:$B,'[1]Quadro Geral de Lotação'!$I:$I)</f>
        <v>Amanda Jaqueline Chagas Bispo</v>
      </c>
      <c r="DY703" s="1" t="str">
        <f>OfficeForms.Table[[#This Row],[Selecione a Ordem de Disciplina]]</f>
        <v>Ordem 3</v>
      </c>
    </row>
    <row r="704" spans="1:129" ht="34.15" customHeight="1">
      <c r="A704" s="1">
        <v>704</v>
      </c>
      <c r="B704" s="2">
        <v>46125.920601851903</v>
      </c>
      <c r="C704" s="2">
        <v>46125.9215625</v>
      </c>
      <c r="D704" s="3" t="s">
        <v>237</v>
      </c>
      <c r="E704" s="3" t="s">
        <v>238</v>
      </c>
      <c r="G704" s="3"/>
      <c r="I704" s="3" t="s">
        <v>239</v>
      </c>
      <c r="K704" s="3"/>
      <c r="L704" s="1" t="s">
        <v>678</v>
      </c>
      <c r="O704" s="3" t="s">
        <v>184</v>
      </c>
      <c r="Q704" s="3"/>
      <c r="R704" s="3"/>
      <c r="T704" s="3"/>
      <c r="U704" s="5"/>
      <c r="W704" s="3"/>
      <c r="Z704" s="3"/>
      <c r="AA704" s="3"/>
      <c r="AC704" s="3"/>
      <c r="AD704" s="3"/>
      <c r="AF704" s="3"/>
      <c r="AG704" s="3" t="s">
        <v>211</v>
      </c>
      <c r="AI704" s="3"/>
      <c r="AJ704" s="1">
        <v>46123</v>
      </c>
      <c r="AL704" s="3"/>
      <c r="AM704" s="1">
        <v>15</v>
      </c>
      <c r="AO704" s="3"/>
      <c r="AP704" s="3" t="s">
        <v>2049</v>
      </c>
      <c r="AR704" s="3"/>
      <c r="AS704" s="3" t="s">
        <v>2050</v>
      </c>
      <c r="AU704" s="3"/>
      <c r="AV704" s="3"/>
      <c r="AX704" s="3"/>
      <c r="AY704" s="5"/>
      <c r="BA704" s="3"/>
      <c r="BD704" s="3"/>
      <c r="BE704" s="3"/>
      <c r="BG704" s="3"/>
      <c r="BH704" s="3"/>
      <c r="BJ704" s="3"/>
      <c r="BK704" s="3"/>
      <c r="BM704" s="3"/>
      <c r="BN704" s="5"/>
      <c r="BP704" s="3"/>
      <c r="BS704" s="3"/>
      <c r="BT704" s="3"/>
      <c r="BV704" s="3"/>
      <c r="BW704" s="3"/>
      <c r="BY704" s="3"/>
      <c r="BZ704" s="3"/>
      <c r="CB704" s="3"/>
      <c r="CC704" s="5"/>
      <c r="CE704" s="3"/>
      <c r="CH704" s="3"/>
      <c r="CI704" s="3"/>
      <c r="CK704" s="3"/>
      <c r="CL704" s="3"/>
      <c r="CN704" s="3"/>
      <c r="CO704" s="3"/>
      <c r="CQ704" s="3"/>
      <c r="CR704" s="5"/>
      <c r="CT704" s="3"/>
      <c r="CW704" s="3"/>
      <c r="CX704" s="3"/>
      <c r="CZ704" s="3"/>
      <c r="DA704" s="3"/>
      <c r="DC704" s="3"/>
      <c r="DD704" s="3"/>
      <c r="DF704" s="3"/>
      <c r="DG704" s="5"/>
      <c r="DI704" s="3"/>
      <c r="DL704" s="3"/>
      <c r="DM704" s="3"/>
      <c r="DO704" s="3"/>
      <c r="DP704" s="3"/>
      <c r="DR704" s="3"/>
      <c r="DS704" s="1" t="str">
        <f>_xlfn.XLOOKUP(OfficeForms.Table[[#This Row],[Selecione a Categoria do Laboratório desta atividade prática:]],Planilha1!A:A,Planilha1!B:B)</f>
        <v>EMF-ISN</v>
      </c>
      <c r="DT704" s="1" t="str">
        <f>CONCATENATE(OfficeForms.Table[[#This Row],[Selecione seu Polo Laboratório de Atividades Presenciais:]],OfficeForms.Table[[#This Row],[CHAVE CONVERSÃO]])</f>
        <v>Itapecuru Mirim/MAEMF-ISN</v>
      </c>
      <c r="DU70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70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46123</v>
      </c>
      <c r="DW70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15</v>
      </c>
      <c r="DX704" s="1" t="str">
        <f>_xlfn.XLOOKUP(OfficeForms.Table[[#This Row],[CHAVE LINK POLO]],'[1]Quadro Geral de Lotação'!$B:$B,'[1]Quadro Geral de Lotação'!$I:$I)</f>
        <v>Deborah Da Silva Vasconcelos Ewerton</v>
      </c>
      <c r="DY704" s="1" t="str">
        <f>OfficeForms.Table[[#This Row],[Selecione a Ordem de Disciplina]]</f>
        <v>Ordem 2</v>
      </c>
    </row>
    <row r="705" spans="1:129" ht="34.15" customHeight="1">
      <c r="A705" s="1">
        <v>705</v>
      </c>
      <c r="B705" s="2">
        <v>46125.920092592598</v>
      </c>
      <c r="C705" s="2">
        <v>46125.923206018502</v>
      </c>
      <c r="D705" s="3" t="s">
        <v>2044</v>
      </c>
      <c r="E705" s="3" t="s">
        <v>2045</v>
      </c>
      <c r="G705" s="3"/>
      <c r="I705" s="3" t="s">
        <v>2046</v>
      </c>
      <c r="K705" s="3"/>
      <c r="L705" s="1" t="s">
        <v>1325</v>
      </c>
      <c r="O705" s="3" t="s">
        <v>184</v>
      </c>
      <c r="Q705" s="3"/>
      <c r="R705" s="3"/>
      <c r="T705" s="3"/>
      <c r="U705" s="5"/>
      <c r="W705" s="3"/>
      <c r="Z705" s="3"/>
      <c r="AA705" s="3"/>
      <c r="AC705" s="3"/>
      <c r="AD705" s="3"/>
      <c r="AF705" s="3"/>
      <c r="AG705" s="3" t="s">
        <v>816</v>
      </c>
      <c r="AI705" s="3"/>
      <c r="AJ705" s="1">
        <v>46125</v>
      </c>
      <c r="AL705" s="3"/>
      <c r="AM705" s="1">
        <v>0</v>
      </c>
      <c r="AO705" s="3"/>
      <c r="AP705" s="3" t="s">
        <v>2051</v>
      </c>
      <c r="AR705" s="3"/>
      <c r="AS705" s="3" t="s">
        <v>2052</v>
      </c>
      <c r="AU705" s="3"/>
      <c r="AV705" s="3"/>
      <c r="AX705" s="3"/>
      <c r="AY705" s="5"/>
      <c r="BA705" s="3"/>
      <c r="BD705" s="3"/>
      <c r="BE705" s="3"/>
      <c r="BG705" s="3"/>
      <c r="BH705" s="3"/>
      <c r="BJ705" s="3"/>
      <c r="BK705" s="3"/>
      <c r="BM705" s="3"/>
      <c r="BN705" s="5"/>
      <c r="BP705" s="3"/>
      <c r="BS705" s="3"/>
      <c r="BT705" s="3"/>
      <c r="BV705" s="3"/>
      <c r="BW705" s="3"/>
      <c r="BY705" s="3"/>
      <c r="BZ705" s="3"/>
      <c r="CB705" s="3"/>
      <c r="CC705" s="5"/>
      <c r="CE705" s="3"/>
      <c r="CH705" s="3"/>
      <c r="CI705" s="3"/>
      <c r="CK705" s="3"/>
      <c r="CL705" s="3"/>
      <c r="CN705" s="3"/>
      <c r="CO705" s="3"/>
      <c r="CQ705" s="3"/>
      <c r="CR705" s="5"/>
      <c r="CT705" s="3"/>
      <c r="CW705" s="3"/>
      <c r="CX705" s="3"/>
      <c r="CZ705" s="3"/>
      <c r="DA705" s="3"/>
      <c r="DC705" s="3"/>
      <c r="DD705" s="3"/>
      <c r="DF705" s="3"/>
      <c r="DG705" s="5"/>
      <c r="DI705" s="3"/>
      <c r="DL705" s="3"/>
      <c r="DM705" s="3"/>
      <c r="DO705" s="3"/>
      <c r="DP705" s="3"/>
      <c r="DR705" s="3"/>
      <c r="DS705" s="1" t="str">
        <f>_xlfn.XLOOKUP(OfficeForms.Table[[#This Row],[Selecione a Categoria do Laboratório desta atividade prática:]],Planilha1!A:A,Planilha1!B:B)</f>
        <v>EMF-ISN</v>
      </c>
      <c r="DT705" s="1" t="str">
        <f>CONCATENATE(OfficeForms.Table[[#This Row],[Selecione seu Polo Laboratório de Atividades Presenciais:]],OfficeForms.Table[[#This Row],[CHAVE CONVERSÃO]])</f>
        <v>Jacobina/BAEMF-ISN</v>
      </c>
      <c r="DU70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70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70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05" s="1" t="str">
        <f>_xlfn.XLOOKUP(OfficeForms.Table[[#This Row],[CHAVE LINK POLO]],'[1]Quadro Geral de Lotação'!$B:$B,'[1]Quadro Geral de Lotação'!$I:$I)</f>
        <v>Amanda Jaqueline Chagas Bispo</v>
      </c>
      <c r="DY705" s="1" t="str">
        <f>OfficeForms.Table[[#This Row],[Selecione a Ordem de Disciplina]]</f>
        <v>Ordem 3</v>
      </c>
    </row>
    <row r="706" spans="1:129" ht="34.15" customHeight="1">
      <c r="A706" s="1">
        <v>706</v>
      </c>
      <c r="B706" s="2">
        <v>46125.9219675926</v>
      </c>
      <c r="C706" s="2">
        <v>46125.924143518503</v>
      </c>
      <c r="D706" s="3" t="s">
        <v>237</v>
      </c>
      <c r="E706" s="3" t="s">
        <v>238</v>
      </c>
      <c r="G706" s="3"/>
      <c r="I706" s="3" t="s">
        <v>239</v>
      </c>
      <c r="K706" s="3"/>
      <c r="L706" s="1" t="s">
        <v>678</v>
      </c>
      <c r="O706" s="3" t="s">
        <v>184</v>
      </c>
      <c r="Q706" s="3"/>
      <c r="R706" s="3"/>
      <c r="T706" s="3"/>
      <c r="U706" s="5"/>
      <c r="W706" s="3"/>
      <c r="Z706" s="3"/>
      <c r="AA706" s="3"/>
      <c r="AC706" s="3"/>
      <c r="AD706" s="3"/>
      <c r="AF706" s="3"/>
      <c r="AG706" s="3" t="s">
        <v>1031</v>
      </c>
      <c r="AI706" s="3"/>
      <c r="AJ706" s="1">
        <v>46123</v>
      </c>
      <c r="AL706" s="3"/>
      <c r="AM706" s="1">
        <v>11</v>
      </c>
      <c r="AO706" s="3"/>
      <c r="AP706" s="3" t="s">
        <v>2053</v>
      </c>
      <c r="AR706" s="3"/>
      <c r="AS706" s="3" t="s">
        <v>2054</v>
      </c>
      <c r="AU706" s="3"/>
      <c r="AV706" s="3"/>
      <c r="AX706" s="3"/>
      <c r="AY706" s="5"/>
      <c r="BA706" s="3"/>
      <c r="BD706" s="3"/>
      <c r="BE706" s="3"/>
      <c r="BG706" s="3"/>
      <c r="BH706" s="3"/>
      <c r="BJ706" s="3"/>
      <c r="BK706" s="3"/>
      <c r="BM706" s="3"/>
      <c r="BN706" s="5"/>
      <c r="BP706" s="3"/>
      <c r="BS706" s="3"/>
      <c r="BT706" s="3"/>
      <c r="BV706" s="3"/>
      <c r="BW706" s="3"/>
      <c r="BY706" s="3"/>
      <c r="BZ706" s="3"/>
      <c r="CB706" s="3"/>
      <c r="CC706" s="5"/>
      <c r="CE706" s="3"/>
      <c r="CH706" s="3"/>
      <c r="CI706" s="3"/>
      <c r="CK706" s="3"/>
      <c r="CL706" s="3"/>
      <c r="CN706" s="3"/>
      <c r="CO706" s="3"/>
      <c r="CQ706" s="3"/>
      <c r="CR706" s="5"/>
      <c r="CT706" s="3"/>
      <c r="CW706" s="3"/>
      <c r="CX706" s="3"/>
      <c r="CZ706" s="3"/>
      <c r="DA706" s="3"/>
      <c r="DC706" s="3"/>
      <c r="DD706" s="3"/>
      <c r="DF706" s="3"/>
      <c r="DG706" s="5"/>
      <c r="DI706" s="3"/>
      <c r="DL706" s="3"/>
      <c r="DM706" s="3"/>
      <c r="DO706" s="3"/>
      <c r="DP706" s="3"/>
      <c r="DR706" s="3"/>
      <c r="DS706" s="1" t="str">
        <f>_xlfn.XLOOKUP(OfficeForms.Table[[#This Row],[Selecione a Categoria do Laboratório desta atividade prática:]],Planilha1!A:A,Planilha1!B:B)</f>
        <v>EMF-ISN</v>
      </c>
      <c r="DT706" s="1" t="str">
        <f>CONCATENATE(OfficeForms.Table[[#This Row],[Selecione seu Polo Laboratório de Atividades Presenciais:]],OfficeForms.Table[[#This Row],[CHAVE CONVERSÃO]])</f>
        <v>Itapecuru Mirim/MAEMF-ISN</v>
      </c>
      <c r="DU70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70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46123</v>
      </c>
      <c r="DW70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706" s="1" t="str">
        <f>_xlfn.XLOOKUP(OfficeForms.Table[[#This Row],[CHAVE LINK POLO]],'[1]Quadro Geral de Lotação'!$B:$B,'[1]Quadro Geral de Lotação'!$I:$I)</f>
        <v>Deborah Da Silva Vasconcelos Ewerton</v>
      </c>
      <c r="DY706" s="1" t="str">
        <f>OfficeForms.Table[[#This Row],[Selecione a Ordem de Disciplina]]</f>
        <v>Ordem 2</v>
      </c>
    </row>
    <row r="707" spans="1:129" ht="34.15" customHeight="1">
      <c r="A707" s="1">
        <v>707</v>
      </c>
      <c r="B707" s="2">
        <v>46125.930520833303</v>
      </c>
      <c r="C707" s="2">
        <v>46125.933067129597</v>
      </c>
      <c r="D707" s="3" t="s">
        <v>273</v>
      </c>
      <c r="E707" s="3" t="s">
        <v>274</v>
      </c>
      <c r="G707" s="3"/>
      <c r="I707" s="3" t="s">
        <v>275</v>
      </c>
      <c r="K707" s="3"/>
      <c r="L707" s="1" t="s">
        <v>1325</v>
      </c>
      <c r="O707" s="3" t="s">
        <v>133</v>
      </c>
      <c r="Q707" s="3"/>
      <c r="R707" s="3"/>
      <c r="T707" s="3"/>
      <c r="U707" s="5"/>
      <c r="W707" s="3"/>
      <c r="Z707" s="3"/>
      <c r="AA707" s="3"/>
      <c r="AC707" s="3"/>
      <c r="AD707" s="3"/>
      <c r="AF707" s="3"/>
      <c r="AG707" s="3"/>
      <c r="AI707" s="3"/>
      <c r="AJ707" s="1"/>
      <c r="AL707" s="3"/>
      <c r="AO707" s="3"/>
      <c r="AP707" s="3"/>
      <c r="AR707" s="3"/>
      <c r="AS707" s="3"/>
      <c r="AU707" s="3"/>
      <c r="AV707" s="3" t="s">
        <v>2055</v>
      </c>
      <c r="AX707" s="3"/>
      <c r="AY707" s="5">
        <v>46125</v>
      </c>
      <c r="BA707" s="3"/>
      <c r="BB707" s="1">
        <v>2</v>
      </c>
      <c r="BD707" s="3"/>
      <c r="BE707" s="3" t="s">
        <v>2056</v>
      </c>
      <c r="BG707" s="3"/>
      <c r="BH707" s="3" t="s">
        <v>2057</v>
      </c>
      <c r="BJ707" s="3"/>
      <c r="BK707" s="3"/>
      <c r="BM707" s="3"/>
      <c r="BN707" s="5"/>
      <c r="BP707" s="3"/>
      <c r="BS707" s="3"/>
      <c r="BT707" s="3"/>
      <c r="BV707" s="3"/>
      <c r="BW707" s="3"/>
      <c r="BY707" s="3"/>
      <c r="BZ707" s="3"/>
      <c r="CB707" s="3"/>
      <c r="CC707" s="5"/>
      <c r="CE707" s="3"/>
      <c r="CH707" s="3"/>
      <c r="CI707" s="3"/>
      <c r="CK707" s="3"/>
      <c r="CL707" s="3"/>
      <c r="CN707" s="3"/>
      <c r="CO707" s="3"/>
      <c r="CQ707" s="3"/>
      <c r="CR707" s="5"/>
      <c r="CT707" s="3"/>
      <c r="CW707" s="3"/>
      <c r="CX707" s="3"/>
      <c r="CZ707" s="3"/>
      <c r="DA707" s="3"/>
      <c r="DC707" s="3"/>
      <c r="DD707" s="3"/>
      <c r="DF707" s="3"/>
      <c r="DG707" s="5"/>
      <c r="DI707" s="3"/>
      <c r="DL707" s="3"/>
      <c r="DM707" s="3"/>
      <c r="DO707" s="3"/>
      <c r="DP707" s="3"/>
      <c r="DR707" s="3"/>
      <c r="DS707" s="1" t="str">
        <f>_xlfn.XLOOKUP(OfficeForms.Table[[#This Row],[Selecione a Categoria do Laboratório desta atividade prática:]],Planilha1!A:A,Planilha1!B:B)</f>
        <v>BFI</v>
      </c>
      <c r="DT707" s="1" t="str">
        <f>CONCATENATE(OfficeForms.Table[[#This Row],[Selecione seu Polo Laboratório de Atividades Presenciais:]],OfficeForms.Table[[#This Row],[CHAVE CONVERSÃO]])</f>
        <v>Porto Alegre/RS - Zona NorteBFI</v>
      </c>
      <c r="DU70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Relaxante;Massagem Modeladora</v>
      </c>
      <c r="DV70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70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07" s="1" t="str">
        <f>_xlfn.XLOOKUP(OfficeForms.Table[[#This Row],[CHAVE LINK POLO]],'[1]Quadro Geral de Lotação'!$B:$B,'[1]Quadro Geral de Lotação'!$I:$I)</f>
        <v>Fabiano Johnson Duarte Bartmann</v>
      </c>
      <c r="DY707" s="1" t="str">
        <f>OfficeForms.Table[[#This Row],[Selecione a Ordem de Disciplina]]</f>
        <v>Ordem 3</v>
      </c>
    </row>
    <row r="708" spans="1:129" ht="34.15" customHeight="1">
      <c r="A708" s="1">
        <v>708</v>
      </c>
      <c r="B708" s="2">
        <v>46126.1418865741</v>
      </c>
      <c r="C708" s="2">
        <v>46126.143854166701</v>
      </c>
      <c r="D708" s="3" t="s">
        <v>1973</v>
      </c>
      <c r="E708" s="3" t="s">
        <v>1974</v>
      </c>
      <c r="G708" s="3"/>
      <c r="I708" s="3" t="s">
        <v>1975</v>
      </c>
      <c r="K708" s="3"/>
      <c r="L708" s="1" t="s">
        <v>132</v>
      </c>
      <c r="O708" s="3" t="s">
        <v>184</v>
      </c>
      <c r="Q708" s="3"/>
      <c r="R708" s="3"/>
      <c r="T708" s="3"/>
      <c r="U708" s="5"/>
      <c r="W708" s="3"/>
      <c r="Z708" s="3"/>
      <c r="AA708" s="3"/>
      <c r="AC708" s="3"/>
      <c r="AD708" s="3"/>
      <c r="AF708" s="3"/>
      <c r="AG708" s="3" t="s">
        <v>194</v>
      </c>
      <c r="AI708" s="3"/>
      <c r="AJ708" s="1">
        <v>46087</v>
      </c>
      <c r="AL708" s="3"/>
      <c r="AM708" s="1">
        <v>12</v>
      </c>
      <c r="AO708" s="3"/>
      <c r="AP708" s="3" t="s">
        <v>2058</v>
      </c>
      <c r="AR708" s="3"/>
      <c r="AS708" s="3" t="s">
        <v>2059</v>
      </c>
      <c r="AU708" s="3"/>
      <c r="AV708" s="3"/>
      <c r="AX708" s="3"/>
      <c r="AY708" s="5"/>
      <c r="BA708" s="3"/>
      <c r="BD708" s="3"/>
      <c r="BE708" s="3"/>
      <c r="BG708" s="3"/>
      <c r="BH708" s="3"/>
      <c r="BJ708" s="3"/>
      <c r="BK708" s="3"/>
      <c r="BM708" s="3"/>
      <c r="BN708" s="5"/>
      <c r="BP708" s="3"/>
      <c r="BS708" s="3"/>
      <c r="BT708" s="3"/>
      <c r="BV708" s="3"/>
      <c r="BW708" s="3"/>
      <c r="BY708" s="3"/>
      <c r="BZ708" s="3"/>
      <c r="CB708" s="3"/>
      <c r="CC708" s="5"/>
      <c r="CE708" s="3"/>
      <c r="CH708" s="3"/>
      <c r="CI708" s="3"/>
      <c r="CK708" s="3"/>
      <c r="CL708" s="3"/>
      <c r="CN708" s="3"/>
      <c r="CO708" s="3"/>
      <c r="CQ708" s="3"/>
      <c r="CR708" s="5"/>
      <c r="CT708" s="3"/>
      <c r="CW708" s="3"/>
      <c r="CX708" s="3"/>
      <c r="CZ708" s="3"/>
      <c r="DA708" s="3"/>
      <c r="DC708" s="3"/>
      <c r="DD708" s="3"/>
      <c r="DF708" s="3"/>
      <c r="DG708" s="5"/>
      <c r="DI708" s="3"/>
      <c r="DL708" s="3"/>
      <c r="DM708" s="3"/>
      <c r="DO708" s="3"/>
      <c r="DP708" s="3"/>
      <c r="DR708" s="3"/>
      <c r="DS708" s="1" t="str">
        <f>_xlfn.XLOOKUP(OfficeForms.Table[[#This Row],[Selecione a Categoria do Laboratório desta atividade prática:]],Planilha1!A:A,Planilha1!B:B)</f>
        <v>EMF-ISN</v>
      </c>
      <c r="DT708" s="1" t="str">
        <f>CONCATENATE(OfficeForms.Table[[#This Row],[Selecione seu Polo Laboratório de Atividades Presenciais:]],OfficeForms.Table[[#This Row],[CHAVE CONVERSÃO]])</f>
        <v>Porto Velho/RO - Distrito de ExtremaEMF-ISN</v>
      </c>
      <c r="DU70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70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46087</v>
      </c>
      <c r="DW70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708" s="1" t="str">
        <f>_xlfn.XLOOKUP(OfficeForms.Table[[#This Row],[CHAVE LINK POLO]],'[1]Quadro Geral de Lotação'!$B:$B,'[1]Quadro Geral de Lotação'!$I:$I)</f>
        <v>Raul Dos Santos Aguirre</v>
      </c>
      <c r="DY708" s="1" t="str">
        <f>OfficeForms.Table[[#This Row],[Selecione a Ordem de Disciplina]]</f>
        <v>Ordem 1</v>
      </c>
    </row>
    <row r="709" spans="1:129" ht="34.15" customHeight="1">
      <c r="A709" s="1">
        <v>709</v>
      </c>
      <c r="B709" s="2">
        <v>46126.355729166702</v>
      </c>
      <c r="C709" s="2">
        <v>46126.355972222198</v>
      </c>
      <c r="D709" s="3" t="s">
        <v>543</v>
      </c>
      <c r="E709" s="3" t="s">
        <v>544</v>
      </c>
      <c r="G709" s="3"/>
      <c r="I709" s="3" t="s">
        <v>545</v>
      </c>
      <c r="K709" s="3"/>
      <c r="L709" s="1" t="s">
        <v>1325</v>
      </c>
      <c r="O709" s="3" t="s">
        <v>140</v>
      </c>
      <c r="Q709" s="3"/>
      <c r="R709" s="3"/>
      <c r="T709" s="3"/>
      <c r="U709" s="5"/>
      <c r="W709" s="3"/>
      <c r="Z709" s="3"/>
      <c r="AA709" s="3"/>
      <c r="AC709" s="3"/>
      <c r="AD709" s="3"/>
      <c r="AF709" s="3"/>
      <c r="AG709" s="3"/>
      <c r="AI709" s="3"/>
      <c r="AJ709" s="1"/>
      <c r="AL709" s="3"/>
      <c r="AO709" s="3"/>
      <c r="AP709" s="3"/>
      <c r="AR709" s="3"/>
      <c r="AS709" s="3"/>
      <c r="AU709" s="3"/>
      <c r="AV709" s="3"/>
      <c r="AX709" s="3"/>
      <c r="AY709" s="5"/>
      <c r="BA709" s="3"/>
      <c r="BD709" s="3"/>
      <c r="BE709" s="3"/>
      <c r="BG709" s="3"/>
      <c r="BH709" s="3"/>
      <c r="BJ709" s="3"/>
      <c r="BK709" s="3"/>
      <c r="BM709" s="3"/>
      <c r="BN709" s="5"/>
      <c r="BP709" s="3"/>
      <c r="BS709" s="3"/>
      <c r="BT709" s="3"/>
      <c r="BV709" s="3"/>
      <c r="BW709" s="3"/>
      <c r="BY709" s="3"/>
      <c r="BZ709" s="3" t="s">
        <v>1231</v>
      </c>
      <c r="CB709" s="3"/>
      <c r="CC709" s="5">
        <v>46125</v>
      </c>
      <c r="CE709" s="3"/>
      <c r="CF709" s="1">
        <v>10</v>
      </c>
      <c r="CH709" s="3"/>
      <c r="CI709" s="3" t="s">
        <v>2060</v>
      </c>
      <c r="CK709" s="3"/>
      <c r="CL709" s="3" t="s">
        <v>2061</v>
      </c>
      <c r="CN709" s="3"/>
      <c r="CO709" s="3"/>
      <c r="CQ709" s="3"/>
      <c r="CR709" s="5"/>
      <c r="CT709" s="3"/>
      <c r="CW709" s="3"/>
      <c r="CX709" s="3"/>
      <c r="CZ709" s="3"/>
      <c r="DA709" s="3"/>
      <c r="DC709" s="3"/>
      <c r="DD709" s="3"/>
      <c r="DF709" s="3"/>
      <c r="DG709" s="5"/>
      <c r="DI709" s="3"/>
      <c r="DL709" s="3"/>
      <c r="DM709" s="3"/>
      <c r="DO709" s="3"/>
      <c r="DP709" s="3"/>
      <c r="DR709" s="3"/>
      <c r="DS709" s="1" t="str">
        <f>_xlfn.XLOOKUP(OfficeForms.Table[[#This Row],[Selecione a Categoria do Laboratório desta atividade prática:]],Planilha1!A:A,Planilha1!B:B)</f>
        <v>ECE-ENM-ENS-ENG-EEA-GPI-CDE-OBR-SAN-TER-FSA-SLF-QUI</v>
      </c>
      <c r="DT709" s="1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70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 Introdução a Caligrafia Técnica dentro das normas da ABNT (NBR 6492). +  Introdução aos Primeiros Passos</v>
      </c>
      <c r="DV70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70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709" s="1" t="e">
        <f>_xlfn.XLOOKUP(OfficeForms.Table[[#This Row],[CHAVE LINK POLO]],'[1]Quadro Geral de Lotação'!$B:$B,'[1]Quadro Geral de Lotação'!$I:$I)</f>
        <v>#N/A</v>
      </c>
      <c r="DY709" s="1" t="str">
        <f>OfficeForms.Table[[#This Row],[Selecione a Ordem de Disciplina]]</f>
        <v>Ordem 3</v>
      </c>
    </row>
    <row r="710" spans="1:129" ht="34.15" customHeight="1">
      <c r="A710" s="1">
        <v>710</v>
      </c>
      <c r="B710" s="2">
        <v>46126.418449074103</v>
      </c>
      <c r="C710" s="2">
        <v>46126.424074074101</v>
      </c>
      <c r="D710" s="3" t="s">
        <v>339</v>
      </c>
      <c r="E710" s="3" t="s">
        <v>340</v>
      </c>
      <c r="G710" s="3"/>
      <c r="I710" s="3" t="s">
        <v>162</v>
      </c>
      <c r="K710" s="3"/>
      <c r="L710" s="1" t="s">
        <v>678</v>
      </c>
      <c r="O710" s="3" t="s">
        <v>177</v>
      </c>
      <c r="Q710" s="3"/>
      <c r="R710" s="3"/>
      <c r="T710" s="3"/>
      <c r="U710" s="5"/>
      <c r="W710" s="3"/>
      <c r="Z710" s="3"/>
      <c r="AA710" s="3"/>
      <c r="AC710" s="3"/>
      <c r="AD710" s="3"/>
      <c r="AF710" s="3"/>
      <c r="AG710" s="3"/>
      <c r="AI710" s="3"/>
      <c r="AJ710" s="1"/>
      <c r="AL710" s="3"/>
      <c r="AO710" s="3"/>
      <c r="AP710" s="3"/>
      <c r="AR710" s="3"/>
      <c r="AS710" s="3"/>
      <c r="AU710" s="3"/>
      <c r="AV710" s="3"/>
      <c r="AX710" s="3"/>
      <c r="AY710" s="5"/>
      <c r="BA710" s="3"/>
      <c r="BD710" s="3"/>
      <c r="BE710" s="3"/>
      <c r="BG710" s="3"/>
      <c r="BH710" s="3"/>
      <c r="BJ710" s="3"/>
      <c r="BK710" s="3"/>
      <c r="BM710" s="3"/>
      <c r="BN710" s="5"/>
      <c r="BP710" s="3"/>
      <c r="BS710" s="3"/>
      <c r="BT710" s="3"/>
      <c r="BV710" s="3"/>
      <c r="BW710" s="3"/>
      <c r="BY710" s="3"/>
      <c r="BZ710" s="3"/>
      <c r="CB710" s="3"/>
      <c r="CC710" s="5"/>
      <c r="CE710" s="3"/>
      <c r="CH710" s="3"/>
      <c r="CI710" s="3"/>
      <c r="CK710" s="3"/>
      <c r="CL710" s="3"/>
      <c r="CN710" s="3"/>
      <c r="CO710" s="3"/>
      <c r="CQ710" s="3"/>
      <c r="CR710" s="5"/>
      <c r="CT710" s="3"/>
      <c r="CW710" s="3"/>
      <c r="CX710" s="3"/>
      <c r="CZ710" s="3"/>
      <c r="DA710" s="3"/>
      <c r="DC710" s="3"/>
      <c r="DD710" s="3" t="s">
        <v>178</v>
      </c>
      <c r="DF710" s="3"/>
      <c r="DG710" s="5">
        <v>46121</v>
      </c>
      <c r="DI710" s="3"/>
      <c r="DJ710" s="1">
        <v>0</v>
      </c>
      <c r="DL710" s="3"/>
      <c r="DM710" s="3" t="s">
        <v>2062</v>
      </c>
      <c r="DO710" s="3"/>
      <c r="DP710" s="3" t="s">
        <v>2063</v>
      </c>
      <c r="DR710" s="3"/>
      <c r="DS710" s="1" t="str">
        <f>_xlfn.XLOOKUP(OfficeForms.Table[[#This Row],[Selecione a Categoria do Laboratório desta atividade prática:]],Planilha1!A:A,Planilha1!B:B)</f>
        <v>AGM</v>
      </c>
      <c r="DT710" s="1" t="str">
        <f>CONCATENATE(OfficeForms.Table[[#This Row],[Selecione seu Polo Laboratório de Atividades Presenciais:]],OfficeForms.Table[[#This Row],[CHAVE CONVERSÃO]])</f>
        <v>Florianópolis/SC - CentroAGM</v>
      </c>
      <c r="DU71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de propagação de plantas</v>
      </c>
      <c r="DV71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71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10" s="1" t="str">
        <f>_xlfn.XLOOKUP(OfficeForms.Table[[#This Row],[CHAVE LINK POLO]],'[1]Quadro Geral de Lotação'!$B:$B,'[1]Quadro Geral de Lotação'!$I:$I)</f>
        <v>Michelle Barros Pantoja</v>
      </c>
      <c r="DY710" s="1" t="str">
        <f>OfficeForms.Table[[#This Row],[Selecione a Ordem de Disciplina]]</f>
        <v>Ordem 2</v>
      </c>
    </row>
    <row r="711" spans="1:129" ht="34.15" customHeight="1">
      <c r="A711" s="1">
        <v>711</v>
      </c>
      <c r="B711" s="2">
        <v>46126.421087962997</v>
      </c>
      <c r="C711" s="2">
        <v>46126.471203703702</v>
      </c>
      <c r="D711" s="3" t="s">
        <v>2064</v>
      </c>
      <c r="E711" s="3" t="s">
        <v>2065</v>
      </c>
      <c r="G711" s="3"/>
      <c r="I711" s="3" t="s">
        <v>199</v>
      </c>
      <c r="K711" s="3"/>
      <c r="L711" s="1" t="s">
        <v>678</v>
      </c>
      <c r="O711" s="3" t="s">
        <v>133</v>
      </c>
      <c r="Q711" s="3"/>
      <c r="R711" s="3"/>
      <c r="T711" s="3"/>
      <c r="U711" s="5"/>
      <c r="W711" s="3"/>
      <c r="Z711" s="3"/>
      <c r="AA711" s="3"/>
      <c r="AC711" s="3"/>
      <c r="AD711" s="3"/>
      <c r="AF711" s="3"/>
      <c r="AG711" s="3"/>
      <c r="AI711" s="3"/>
      <c r="AJ711" s="1"/>
      <c r="AL711" s="3"/>
      <c r="AO711" s="3"/>
      <c r="AP711" s="3"/>
      <c r="AR711" s="3"/>
      <c r="AS711" s="3"/>
      <c r="AU711" s="3"/>
      <c r="AV711" s="3" t="s">
        <v>1148</v>
      </c>
      <c r="AX711" s="3"/>
      <c r="AY711" s="5">
        <v>46119</v>
      </c>
      <c r="BA711" s="3"/>
      <c r="BB711" s="1">
        <v>6</v>
      </c>
      <c r="BD711" s="3"/>
      <c r="BE711" s="3" t="s">
        <v>2066</v>
      </c>
      <c r="BG711" s="3"/>
      <c r="BH711" s="3" t="s">
        <v>2067</v>
      </c>
      <c r="BJ711" s="3"/>
      <c r="BK711" s="3"/>
      <c r="BM711" s="3"/>
      <c r="BN711" s="5"/>
      <c r="BP711" s="3"/>
      <c r="BS711" s="3"/>
      <c r="BT711" s="3"/>
      <c r="BV711" s="3"/>
      <c r="BW711" s="3"/>
      <c r="BY711" s="3"/>
      <c r="BZ711" s="3"/>
      <c r="CB711" s="3"/>
      <c r="CC711" s="5"/>
      <c r="CE711" s="3"/>
      <c r="CH711" s="3"/>
      <c r="CI711" s="3"/>
      <c r="CK711" s="3"/>
      <c r="CL711" s="3"/>
      <c r="CN711" s="3"/>
      <c r="CO711" s="3"/>
      <c r="CQ711" s="3"/>
      <c r="CR711" s="5"/>
      <c r="CT711" s="3"/>
      <c r="CW711" s="3"/>
      <c r="CX711" s="3"/>
      <c r="CZ711" s="3"/>
      <c r="DA711" s="3"/>
      <c r="DC711" s="3"/>
      <c r="DD711" s="3"/>
      <c r="DF711" s="3"/>
      <c r="DG711" s="5"/>
      <c r="DI711" s="3"/>
      <c r="DL711" s="3"/>
      <c r="DM711" s="3"/>
      <c r="DO711" s="3"/>
      <c r="DP711" s="3"/>
      <c r="DR711" s="3"/>
      <c r="DS711" s="1" t="str">
        <f>_xlfn.XLOOKUP(OfficeForms.Table[[#This Row],[Selecione a Categoria do Laboratório desta atividade prática:]],Planilha1!A:A,Planilha1!B:B)</f>
        <v>BFI</v>
      </c>
      <c r="DT711" s="1" t="str">
        <f>CONCATENATE(OfficeForms.Table[[#This Row],[Selecione seu Polo Laboratório de Atividades Presenciais:]],OfficeForms.Table[[#This Row],[CHAVE CONVERSÃO]])</f>
        <v>Alagoinhas/BABFI</v>
      </c>
      <c r="DU71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Estudo Prático da Biomecânica Articular e Muscular no Movimento Funcional Humano</v>
      </c>
      <c r="DV71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71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711" s="1" t="str">
        <f>_xlfn.XLOOKUP(OfficeForms.Table[[#This Row],[CHAVE LINK POLO]],'[1]Quadro Geral de Lotação'!$B:$B,'[1]Quadro Geral de Lotação'!$I:$I)</f>
        <v>Priscila Maria Bittencourt Alves</v>
      </c>
      <c r="DY711" s="1" t="str">
        <f>OfficeForms.Table[[#This Row],[Selecione a Ordem de Disciplina]]</f>
        <v>Ordem 2</v>
      </c>
    </row>
    <row r="712" spans="1:129" ht="34.15" customHeight="1">
      <c r="A712" s="1">
        <v>712</v>
      </c>
      <c r="B712" s="2">
        <v>46126.4744444444</v>
      </c>
      <c r="C712" s="2">
        <v>46126.480370370402</v>
      </c>
      <c r="D712" s="3" t="s">
        <v>823</v>
      </c>
      <c r="E712" s="3" t="s">
        <v>824</v>
      </c>
      <c r="G712" s="3"/>
      <c r="I712" s="3" t="s">
        <v>825</v>
      </c>
      <c r="K712" s="3"/>
      <c r="L712" s="1" t="s">
        <v>678</v>
      </c>
      <c r="O712" s="3" t="s">
        <v>133</v>
      </c>
      <c r="Q712" s="3"/>
      <c r="R712" s="3"/>
      <c r="T712" s="3"/>
      <c r="U712" s="5"/>
      <c r="W712" s="3"/>
      <c r="Z712" s="3"/>
      <c r="AA712" s="3"/>
      <c r="AC712" s="3"/>
      <c r="AD712" s="3"/>
      <c r="AF712" s="3"/>
      <c r="AG712" s="3"/>
      <c r="AI712" s="3"/>
      <c r="AJ712" s="1"/>
      <c r="AL712" s="3"/>
      <c r="AO712" s="3"/>
      <c r="AP712" s="3"/>
      <c r="AR712" s="3"/>
      <c r="AS712" s="3"/>
      <c r="AU712" s="3"/>
      <c r="AV712" s="3" t="s">
        <v>1657</v>
      </c>
      <c r="AX712" s="3"/>
      <c r="AY712" s="5">
        <v>46109</v>
      </c>
      <c r="BA712" s="3"/>
      <c r="BB712" s="1">
        <v>11</v>
      </c>
      <c r="BD712" s="3"/>
      <c r="BE712" s="3" t="s">
        <v>2068</v>
      </c>
      <c r="BG712" s="3"/>
      <c r="BH712" s="3" t="s">
        <v>2069</v>
      </c>
      <c r="BJ712" s="3"/>
      <c r="BK712" s="3"/>
      <c r="BM712" s="3"/>
      <c r="BN712" s="5"/>
      <c r="BP712" s="3"/>
      <c r="BS712" s="3"/>
      <c r="BT712" s="3"/>
      <c r="BV712" s="3"/>
      <c r="BW712" s="3"/>
      <c r="BY712" s="3"/>
      <c r="BZ712" s="3"/>
      <c r="CB712" s="3"/>
      <c r="CC712" s="5"/>
      <c r="CE712" s="3"/>
      <c r="CH712" s="3"/>
      <c r="CI712" s="3"/>
      <c r="CK712" s="3"/>
      <c r="CL712" s="3"/>
      <c r="CN712" s="3"/>
      <c r="CO712" s="3"/>
      <c r="CQ712" s="3"/>
      <c r="CR712" s="5"/>
      <c r="CT712" s="3"/>
      <c r="CW712" s="3"/>
      <c r="CX712" s="3"/>
      <c r="CZ712" s="3"/>
      <c r="DA712" s="3"/>
      <c r="DC712" s="3"/>
      <c r="DD712" s="3"/>
      <c r="DF712" s="3"/>
      <c r="DG712" s="5"/>
      <c r="DI712" s="3"/>
      <c r="DL712" s="3"/>
      <c r="DM712" s="3"/>
      <c r="DO712" s="3"/>
      <c r="DP712" s="3"/>
      <c r="DR712" s="3"/>
      <c r="DS712" s="1" t="str">
        <f>_xlfn.XLOOKUP(OfficeForms.Table[[#This Row],[Selecione a Categoria do Laboratório desta atividade prática:]],Planilha1!A:A,Planilha1!B:B)</f>
        <v>BFI</v>
      </c>
      <c r="DT712" s="1" t="str">
        <f>CONCATENATE(OfficeForms.Table[[#This Row],[Selecione seu Polo Laboratório de Atividades Presenciais:]],OfficeForms.Table[[#This Row],[CHAVE CONVERSÃO]])</f>
        <v>Manaus/AM - Cidade NovaBFI</v>
      </c>
      <c r="DU71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Cinesioterapia Aplicada ao Fortalecimento Muscular: Prática de Exercícios</v>
      </c>
      <c r="DV71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71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712" s="1" t="str">
        <f>_xlfn.XLOOKUP(OfficeForms.Table[[#This Row],[CHAVE LINK POLO]],'[1]Quadro Geral de Lotação'!$B:$B,'[1]Quadro Geral de Lotação'!$I:$I)</f>
        <v>Sancha Victoria Coelho Cardoso</v>
      </c>
      <c r="DY712" s="1" t="str">
        <f>OfficeForms.Table[[#This Row],[Selecione a Ordem de Disciplina]]</f>
        <v>Ordem 2</v>
      </c>
    </row>
    <row r="713" spans="1:129" ht="34.15" customHeight="1">
      <c r="A713" s="1">
        <v>713</v>
      </c>
      <c r="B713" s="2">
        <v>46126.482824074097</v>
      </c>
      <c r="C713" s="2">
        <v>46126.485833333303</v>
      </c>
      <c r="D713" s="3" t="s">
        <v>388</v>
      </c>
      <c r="E713" s="3" t="s">
        <v>389</v>
      </c>
      <c r="G713" s="3"/>
      <c r="I713" s="3" t="s">
        <v>390</v>
      </c>
      <c r="K713" s="3"/>
      <c r="L713" s="1" t="s">
        <v>678</v>
      </c>
      <c r="O713" s="3" t="s">
        <v>184</v>
      </c>
      <c r="Q713" s="3"/>
      <c r="R713" s="3"/>
      <c r="T713" s="3"/>
      <c r="U713" s="5"/>
      <c r="W713" s="3"/>
      <c r="Z713" s="3"/>
      <c r="AA713" s="3"/>
      <c r="AC713" s="3"/>
      <c r="AD713" s="3"/>
      <c r="AF713" s="3"/>
      <c r="AG713" s="3" t="s">
        <v>1200</v>
      </c>
      <c r="AI713" s="3"/>
      <c r="AJ713" s="1">
        <v>46113</v>
      </c>
      <c r="AL713" s="3"/>
      <c r="AM713" s="1">
        <v>3</v>
      </c>
      <c r="AO713" s="3"/>
      <c r="AP713" s="3" t="s">
        <v>2070</v>
      </c>
      <c r="AR713" s="3"/>
      <c r="AS713" s="3" t="s">
        <v>2071</v>
      </c>
      <c r="AU713" s="3"/>
      <c r="AV713" s="3"/>
      <c r="AX713" s="3"/>
      <c r="AY713" s="5"/>
      <c r="BA713" s="3"/>
      <c r="BD713" s="3"/>
      <c r="BE713" s="3"/>
      <c r="BG713" s="3"/>
      <c r="BH713" s="3"/>
      <c r="BJ713" s="3"/>
      <c r="BK713" s="3"/>
      <c r="BM713" s="3"/>
      <c r="BN713" s="5"/>
      <c r="BP713" s="3"/>
      <c r="BS713" s="3"/>
      <c r="BT713" s="3"/>
      <c r="BV713" s="3"/>
      <c r="BW713" s="3"/>
      <c r="BY713" s="3"/>
      <c r="BZ713" s="3"/>
      <c r="CB713" s="3"/>
      <c r="CC713" s="5"/>
      <c r="CE713" s="3"/>
      <c r="CH713" s="3"/>
      <c r="CI713" s="3"/>
      <c r="CK713" s="3"/>
      <c r="CL713" s="3"/>
      <c r="CN713" s="3"/>
      <c r="CO713" s="3"/>
      <c r="CQ713" s="3"/>
      <c r="CR713" s="5"/>
      <c r="CT713" s="3"/>
      <c r="CW713" s="3"/>
      <c r="CX713" s="3"/>
      <c r="CZ713" s="3"/>
      <c r="DA713" s="3"/>
      <c r="DC713" s="3"/>
      <c r="DD713" s="3"/>
      <c r="DF713" s="3"/>
      <c r="DG713" s="5"/>
      <c r="DI713" s="3"/>
      <c r="DL713" s="3"/>
      <c r="DM713" s="3"/>
      <c r="DO713" s="3"/>
      <c r="DP713" s="3"/>
      <c r="DR713" s="3"/>
      <c r="DS713" s="1" t="str">
        <f>_xlfn.XLOOKUP(OfficeForms.Table[[#This Row],[Selecione a Categoria do Laboratório desta atividade prática:]],Planilha1!A:A,Planilha1!B:B)</f>
        <v>EMF-ISN</v>
      </c>
      <c r="DT713" s="1" t="str">
        <f>CONCATENATE(OfficeForms.Table[[#This Row],[Selecione seu Polo Laboratório de Atividades Presenciais:]],OfficeForms.Table[[#This Row],[CHAVE CONVERSÃO]])</f>
        <v>Salinópolis/PAEMF-ISN</v>
      </c>
      <c r="DU71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71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71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13" s="1" t="str">
        <f>_xlfn.XLOOKUP(OfficeForms.Table[[#This Row],[CHAVE LINK POLO]],'[1]Quadro Geral de Lotação'!$B:$B,'[1]Quadro Geral de Lotação'!$I:$I)</f>
        <v>Jean Sousa Dos Santos</v>
      </c>
      <c r="DY713" s="1" t="str">
        <f>OfficeForms.Table[[#This Row],[Selecione a Ordem de Disciplina]]</f>
        <v>Ordem 2</v>
      </c>
    </row>
    <row r="714" spans="1:129" ht="34.15" customHeight="1">
      <c r="A714" s="1">
        <v>714</v>
      </c>
      <c r="B714" s="2">
        <v>46126.485034722202</v>
      </c>
      <c r="C714" s="2">
        <v>46126.492337962998</v>
      </c>
      <c r="D714" s="3" t="s">
        <v>823</v>
      </c>
      <c r="E714" s="3" t="s">
        <v>824</v>
      </c>
      <c r="G714" s="3"/>
      <c r="I714" s="3" t="s">
        <v>825</v>
      </c>
      <c r="K714" s="3"/>
      <c r="L714" s="1" t="s">
        <v>678</v>
      </c>
      <c r="O714" s="3" t="s">
        <v>133</v>
      </c>
      <c r="Q714" s="3"/>
      <c r="R714" s="3"/>
      <c r="T714" s="3"/>
      <c r="U714" s="5"/>
      <c r="W714" s="3"/>
      <c r="Z714" s="3"/>
      <c r="AA714" s="3"/>
      <c r="AC714" s="3"/>
      <c r="AD714" s="3"/>
      <c r="AF714" s="3"/>
      <c r="AG714" s="3"/>
      <c r="AI714" s="3"/>
      <c r="AJ714" s="1"/>
      <c r="AL714" s="3"/>
      <c r="AO714" s="3"/>
      <c r="AP714" s="3"/>
      <c r="AR714" s="3"/>
      <c r="AS714" s="3"/>
      <c r="AU714" s="3"/>
      <c r="AV714" s="3" t="s">
        <v>2072</v>
      </c>
      <c r="AX714" s="3"/>
      <c r="AY714" s="5">
        <v>46109</v>
      </c>
      <c r="BA714" s="3"/>
      <c r="BB714" s="1">
        <v>6</v>
      </c>
      <c r="BD714" s="3"/>
      <c r="BE714" s="3" t="s">
        <v>2073</v>
      </c>
      <c r="BG714" s="3"/>
      <c r="BH714" s="3" t="s">
        <v>2074</v>
      </c>
      <c r="BJ714" s="3"/>
      <c r="BK714" s="3"/>
      <c r="BM714" s="3"/>
      <c r="BN714" s="5"/>
      <c r="BP714" s="3"/>
      <c r="BS714" s="3"/>
      <c r="BT714" s="3"/>
      <c r="BV714" s="3"/>
      <c r="BW714" s="3"/>
      <c r="BY714" s="3"/>
      <c r="BZ714" s="3"/>
      <c r="CB714" s="3"/>
      <c r="CC714" s="5"/>
      <c r="CE714" s="3"/>
      <c r="CH714" s="3"/>
      <c r="CI714" s="3"/>
      <c r="CK714" s="3"/>
      <c r="CL714" s="3"/>
      <c r="CN714" s="3"/>
      <c r="CO714" s="3"/>
      <c r="CQ714" s="3"/>
      <c r="CR714" s="5"/>
      <c r="CT714" s="3"/>
      <c r="CW714" s="3"/>
      <c r="CX714" s="3"/>
      <c r="CZ714" s="3"/>
      <c r="DA714" s="3"/>
      <c r="DC714" s="3"/>
      <c r="DD714" s="3"/>
      <c r="DF714" s="3"/>
      <c r="DG714" s="5"/>
      <c r="DI714" s="3"/>
      <c r="DL714" s="3"/>
      <c r="DM714" s="3"/>
      <c r="DO714" s="3"/>
      <c r="DP714" s="3"/>
      <c r="DR714" s="3"/>
      <c r="DS714" s="1" t="str">
        <f>_xlfn.XLOOKUP(OfficeForms.Table[[#This Row],[Selecione a Categoria do Laboratório desta atividade prática:]],Planilha1!A:A,Planilha1!B:B)</f>
        <v>BFI</v>
      </c>
      <c r="DT714" s="1" t="str">
        <f>CONCATENATE(OfficeForms.Table[[#This Row],[Selecione seu Polo Laboratório de Atividades Presenciais:]],OfficeForms.Table[[#This Row],[CHAVE CONVERSÃO]])</f>
        <v>Manaus/AM - Cidade NovaBFI</v>
      </c>
      <c r="DU71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Articular e Goniometria: Avaliação Quantitativa na Prática Fisioterapêutica;Prática de Alongamento Muscular: Estratégias Cinesioterapêuticas para Ganho de Flexibilidade e Função</v>
      </c>
      <c r="DV71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71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714" s="1" t="str">
        <f>_xlfn.XLOOKUP(OfficeForms.Table[[#This Row],[CHAVE LINK POLO]],'[1]Quadro Geral de Lotação'!$B:$B,'[1]Quadro Geral de Lotação'!$I:$I)</f>
        <v>Sancha Victoria Coelho Cardoso</v>
      </c>
      <c r="DY714" s="1" t="str">
        <f>OfficeForms.Table[[#This Row],[Selecione a Ordem de Disciplina]]</f>
        <v>Ordem 2</v>
      </c>
    </row>
    <row r="715" spans="1:129" ht="34.15" customHeight="1">
      <c r="A715" s="1">
        <v>715</v>
      </c>
      <c r="B715" s="2">
        <v>46126.494687500002</v>
      </c>
      <c r="C715" s="2">
        <v>46126.495543981502</v>
      </c>
      <c r="D715" s="3" t="s">
        <v>823</v>
      </c>
      <c r="E715" s="3" t="s">
        <v>824</v>
      </c>
      <c r="G715" s="3"/>
      <c r="I715" s="3" t="s">
        <v>825</v>
      </c>
      <c r="K715" s="3"/>
      <c r="L715" s="1" t="s">
        <v>678</v>
      </c>
      <c r="O715" s="3" t="s">
        <v>133</v>
      </c>
      <c r="Q715" s="3"/>
      <c r="R715" s="3"/>
      <c r="T715" s="3"/>
      <c r="U715" s="5"/>
      <c r="W715" s="3"/>
      <c r="Z715" s="3"/>
      <c r="AA715" s="3"/>
      <c r="AC715" s="3"/>
      <c r="AD715" s="3"/>
      <c r="AF715" s="3"/>
      <c r="AG715" s="3"/>
      <c r="AI715" s="3"/>
      <c r="AJ715" s="1"/>
      <c r="AL715" s="3"/>
      <c r="AO715" s="3"/>
      <c r="AP715" s="3"/>
      <c r="AR715" s="3"/>
      <c r="AS715" s="3"/>
      <c r="AU715" s="3"/>
      <c r="AV715" s="3" t="s">
        <v>2075</v>
      </c>
      <c r="AX715" s="3"/>
      <c r="AY715" s="5">
        <v>46119</v>
      </c>
      <c r="BA715" s="3"/>
      <c r="BB715" s="1">
        <v>3</v>
      </c>
      <c r="BD715" s="3"/>
      <c r="BE715" s="3" t="s">
        <v>2076</v>
      </c>
      <c r="BG715" s="3"/>
      <c r="BH715" s="3" t="s">
        <v>2077</v>
      </c>
      <c r="BJ715" s="3"/>
      <c r="BK715" s="3"/>
      <c r="BM715" s="3"/>
      <c r="BN715" s="5"/>
      <c r="BP715" s="3"/>
      <c r="BS715" s="3"/>
      <c r="BT715" s="3"/>
      <c r="BV715" s="3"/>
      <c r="BW715" s="3"/>
      <c r="BY715" s="3"/>
      <c r="BZ715" s="3"/>
      <c r="CB715" s="3"/>
      <c r="CC715" s="5"/>
      <c r="CE715" s="3"/>
      <c r="CH715" s="3"/>
      <c r="CI715" s="3"/>
      <c r="CK715" s="3"/>
      <c r="CL715" s="3"/>
      <c r="CN715" s="3"/>
      <c r="CO715" s="3"/>
      <c r="CQ715" s="3"/>
      <c r="CR715" s="5"/>
      <c r="CT715" s="3"/>
      <c r="CW715" s="3"/>
      <c r="CX715" s="3"/>
      <c r="CZ715" s="3"/>
      <c r="DA715" s="3"/>
      <c r="DC715" s="3"/>
      <c r="DD715" s="3"/>
      <c r="DF715" s="3"/>
      <c r="DG715" s="5"/>
      <c r="DI715" s="3"/>
      <c r="DL715" s="3"/>
      <c r="DM715" s="3"/>
      <c r="DO715" s="3"/>
      <c r="DP715" s="3"/>
      <c r="DR715" s="3"/>
      <c r="DS715" s="1" t="str">
        <f>_xlfn.XLOOKUP(OfficeForms.Table[[#This Row],[Selecione a Categoria do Laboratório desta atividade prática:]],Planilha1!A:A,Planilha1!B:B)</f>
        <v>BFI</v>
      </c>
      <c r="DT715" s="1" t="str">
        <f>CONCATENATE(OfficeForms.Table[[#This Row],[Selecione seu Polo Laboratório de Atividades Presenciais:]],OfficeForms.Table[[#This Row],[CHAVE CONVERSÃO]])</f>
        <v>Manaus/AM - Cidade NovaBFI</v>
      </c>
      <c r="DU715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Respiratórias na Fisioterapia Intensiva</v>
      </c>
      <c r="DV715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715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15" s="1" t="str">
        <f>_xlfn.XLOOKUP(OfficeForms.Table[[#This Row],[CHAVE LINK POLO]],'[1]Quadro Geral de Lotação'!$B:$B,'[1]Quadro Geral de Lotação'!$I:$I)</f>
        <v>Sancha Victoria Coelho Cardoso</v>
      </c>
      <c r="DY715" s="1" t="str">
        <f>OfficeForms.Table[[#This Row],[Selecione a Ordem de Disciplina]]</f>
        <v>Ordem 2</v>
      </c>
    </row>
    <row r="716" spans="1:129" ht="34.15" customHeight="1">
      <c r="A716" s="1">
        <v>716</v>
      </c>
      <c r="B716" s="2">
        <v>46126.486238425903</v>
      </c>
      <c r="C716" s="2">
        <v>46126.496203703697</v>
      </c>
      <c r="D716" s="3" t="s">
        <v>388</v>
      </c>
      <c r="E716" s="3" t="s">
        <v>389</v>
      </c>
      <c r="G716" s="3"/>
      <c r="I716" s="3" t="s">
        <v>390</v>
      </c>
      <c r="K716" s="3"/>
      <c r="L716" s="1" t="s">
        <v>678</v>
      </c>
      <c r="O716" s="3" t="s">
        <v>184</v>
      </c>
      <c r="Q716" s="3"/>
      <c r="R716" s="3"/>
      <c r="T716" s="3"/>
      <c r="U716" s="5"/>
      <c r="W716" s="3"/>
      <c r="Z716" s="3"/>
      <c r="AA716" s="3"/>
      <c r="AC716" s="3"/>
      <c r="AD716" s="3"/>
      <c r="AF716" s="3"/>
      <c r="AG716" s="3" t="s">
        <v>1016</v>
      </c>
      <c r="AI716" s="3"/>
      <c r="AJ716" s="1">
        <v>46113</v>
      </c>
      <c r="AL716" s="3"/>
      <c r="AM716" s="1">
        <v>0</v>
      </c>
      <c r="AO716" s="3"/>
      <c r="AP716" s="3" t="s">
        <v>2078</v>
      </c>
      <c r="AR716" s="3"/>
      <c r="AS716" s="3" t="s">
        <v>2079</v>
      </c>
      <c r="AU716" s="3"/>
      <c r="AV716" s="3"/>
      <c r="AX716" s="3"/>
      <c r="AY716" s="5"/>
      <c r="BA716" s="3"/>
      <c r="BD716" s="3"/>
      <c r="BE716" s="3"/>
      <c r="BG716" s="3"/>
      <c r="BH716" s="3"/>
      <c r="BJ716" s="3"/>
      <c r="BK716" s="3"/>
      <c r="BM716" s="3"/>
      <c r="BN716" s="5"/>
      <c r="BP716" s="3"/>
      <c r="BS716" s="3"/>
      <c r="BT716" s="3"/>
      <c r="BV716" s="3"/>
      <c r="BW716" s="3"/>
      <c r="BY716" s="3"/>
      <c r="BZ716" s="3"/>
      <c r="CB716" s="3"/>
      <c r="CC716" s="5"/>
      <c r="CE716" s="3"/>
      <c r="CH716" s="3"/>
      <c r="CI716" s="3"/>
      <c r="CK716" s="3"/>
      <c r="CL716" s="3"/>
      <c r="CN716" s="3"/>
      <c r="CO716" s="3"/>
      <c r="CQ716" s="3"/>
      <c r="CR716" s="5"/>
      <c r="CT716" s="3"/>
      <c r="CW716" s="3"/>
      <c r="CX716" s="3"/>
      <c r="CZ716" s="3"/>
      <c r="DA716" s="3"/>
      <c r="DC716" s="3"/>
      <c r="DD716" s="3"/>
      <c r="DF716" s="3"/>
      <c r="DG716" s="5"/>
      <c r="DI716" s="3"/>
      <c r="DL716" s="3"/>
      <c r="DM716" s="3"/>
      <c r="DO716" s="3"/>
      <c r="DP716" s="3"/>
      <c r="DR716" s="3"/>
      <c r="DS716" s="1" t="str">
        <f>_xlfn.XLOOKUP(OfficeForms.Table[[#This Row],[Selecione a Categoria do Laboratório desta atividade prática:]],Planilha1!A:A,Planilha1!B:B)</f>
        <v>EMF-ISN</v>
      </c>
      <c r="DT716" s="1" t="str">
        <f>CONCATENATE(OfficeForms.Table[[#This Row],[Selecione seu Polo Laboratório de Atividades Presenciais:]],OfficeForms.Table[[#This Row],[CHAVE CONVERSÃO]])</f>
        <v>Salinópolis/PAEMF-ISN</v>
      </c>
      <c r="DU716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716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716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16" s="1" t="str">
        <f>_xlfn.XLOOKUP(OfficeForms.Table[[#This Row],[CHAVE LINK POLO]],'[1]Quadro Geral de Lotação'!$B:$B,'[1]Quadro Geral de Lotação'!$I:$I)</f>
        <v>Jean Sousa Dos Santos</v>
      </c>
      <c r="DY716" s="1" t="str">
        <f>OfficeForms.Table[[#This Row],[Selecione a Ordem de Disciplina]]</f>
        <v>Ordem 2</v>
      </c>
    </row>
    <row r="717" spans="1:129" ht="34.15" customHeight="1">
      <c r="A717" s="1">
        <v>717</v>
      </c>
      <c r="B717" s="2">
        <v>46126.485752314802</v>
      </c>
      <c r="C717" s="2">
        <v>46126.504641203697</v>
      </c>
      <c r="D717" s="3" t="s">
        <v>263</v>
      </c>
      <c r="E717" s="3" t="s">
        <v>264</v>
      </c>
      <c r="G717" s="3"/>
      <c r="I717" s="3" t="s">
        <v>265</v>
      </c>
      <c r="K717" s="3"/>
      <c r="L717" s="1" t="s">
        <v>1325</v>
      </c>
      <c r="O717" s="3" t="s">
        <v>184</v>
      </c>
      <c r="Q717" s="3"/>
      <c r="R717" s="3"/>
      <c r="T717" s="3"/>
      <c r="U717" s="5"/>
      <c r="W717" s="3"/>
      <c r="Z717" s="3"/>
      <c r="AA717" s="3"/>
      <c r="AC717" s="3"/>
      <c r="AD717" s="3"/>
      <c r="AF717" s="3"/>
      <c r="AG717" s="3" t="s">
        <v>2080</v>
      </c>
      <c r="AI717" s="3"/>
      <c r="AJ717" s="1">
        <v>46126</v>
      </c>
      <c r="AL717" s="3"/>
      <c r="AM717" s="1">
        <v>2</v>
      </c>
      <c r="AO717" s="3"/>
      <c r="AP717" s="3" t="s">
        <v>2081</v>
      </c>
      <c r="AR717" s="3"/>
      <c r="AS717" s="3" t="s">
        <v>2082</v>
      </c>
      <c r="AU717" s="3"/>
      <c r="AV717" s="3"/>
      <c r="AX717" s="3"/>
      <c r="AY717" s="5"/>
      <c r="BA717" s="3"/>
      <c r="BD717" s="3"/>
      <c r="BE717" s="3"/>
      <c r="BG717" s="3"/>
      <c r="BH717" s="3"/>
      <c r="BJ717" s="3"/>
      <c r="BK717" s="3"/>
      <c r="BM717" s="3"/>
      <c r="BN717" s="5"/>
      <c r="BP717" s="3"/>
      <c r="BS717" s="3"/>
      <c r="BT717" s="3"/>
      <c r="BV717" s="3"/>
      <c r="BW717" s="3"/>
      <c r="BY717" s="3"/>
      <c r="BZ717" s="3"/>
      <c r="CB717" s="3"/>
      <c r="CC717" s="5"/>
      <c r="CE717" s="3"/>
      <c r="CH717" s="3"/>
      <c r="CI717" s="3"/>
      <c r="CK717" s="3"/>
      <c r="CL717" s="3"/>
      <c r="CN717" s="3"/>
      <c r="CO717" s="3"/>
      <c r="CQ717" s="3"/>
      <c r="CR717" s="5"/>
      <c r="CT717" s="3"/>
      <c r="CW717" s="3"/>
      <c r="CX717" s="3"/>
      <c r="CZ717" s="3"/>
      <c r="DA717" s="3"/>
      <c r="DC717" s="3"/>
      <c r="DD717" s="3"/>
      <c r="DF717" s="3"/>
      <c r="DG717" s="5"/>
      <c r="DI717" s="3"/>
      <c r="DL717" s="3"/>
      <c r="DM717" s="3"/>
      <c r="DO717" s="3"/>
      <c r="DP717" s="3"/>
      <c r="DR717" s="3"/>
      <c r="DS717" s="1" t="str">
        <f>_xlfn.XLOOKUP(OfficeForms.Table[[#This Row],[Selecione a Categoria do Laboratório desta atividade prática:]],Planilha1!A:A,Planilha1!B:B)</f>
        <v>EMF-ISN</v>
      </c>
      <c r="DT717" s="1" t="str">
        <f>CONCATENATE(OfficeForms.Table[[#This Row],[Selecione seu Polo Laboratório de Atividades Presenciais:]],OfficeForms.Table[[#This Row],[CHAVE CONVERSÃO]])</f>
        <v>Brusque/SCEMF-ISN</v>
      </c>
      <c r="DU717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</v>
      </c>
      <c r="DV717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717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17" s="1" t="str">
        <f>_xlfn.XLOOKUP(OfficeForms.Table[[#This Row],[CHAVE LINK POLO]],'[1]Quadro Geral de Lotação'!$B:$B,'[1]Quadro Geral de Lotação'!$I:$I)</f>
        <v>Fabio Junior da Rosa</v>
      </c>
      <c r="DY717" s="1" t="str">
        <f>OfficeForms.Table[[#This Row],[Selecione a Ordem de Disciplina]]</f>
        <v>Ordem 3</v>
      </c>
    </row>
    <row r="718" spans="1:129" ht="34.15" customHeight="1">
      <c r="A718" s="1">
        <v>718</v>
      </c>
      <c r="B718" s="2">
        <v>46126.519629629598</v>
      </c>
      <c r="C718" s="2">
        <v>46126.520902777796</v>
      </c>
      <c r="D718" s="3" t="s">
        <v>683</v>
      </c>
      <c r="E718" s="3" t="s">
        <v>684</v>
      </c>
      <c r="G718" s="3"/>
      <c r="I718" s="3" t="s">
        <v>508</v>
      </c>
      <c r="K718" s="3"/>
      <c r="L718" s="1" t="s">
        <v>678</v>
      </c>
      <c r="O718" s="3" t="s">
        <v>497</v>
      </c>
      <c r="Q718" s="3"/>
      <c r="R718" s="3" t="s">
        <v>1621</v>
      </c>
      <c r="T718" s="3"/>
      <c r="U718" s="5">
        <v>46098</v>
      </c>
      <c r="W718" s="3"/>
      <c r="X718" s="1">
        <v>8</v>
      </c>
      <c r="Z718" s="3"/>
      <c r="AA718" s="3" t="s">
        <v>2083</v>
      </c>
      <c r="AC718" s="3"/>
      <c r="AD718" s="3" t="s">
        <v>2084</v>
      </c>
      <c r="AF718" s="3"/>
      <c r="AG718" s="3"/>
      <c r="AI718" s="3"/>
      <c r="AJ718" s="1"/>
      <c r="AL718" s="3"/>
      <c r="AO718" s="3"/>
      <c r="AP718" s="3"/>
      <c r="AR718" s="3"/>
      <c r="AS718" s="3"/>
      <c r="AU718" s="3"/>
      <c r="AV718" s="3"/>
      <c r="AX718" s="3"/>
      <c r="AY718" s="5"/>
      <c r="BA718" s="3"/>
      <c r="BD718" s="3"/>
      <c r="BE718" s="3"/>
      <c r="BG718" s="3"/>
      <c r="BH718" s="3"/>
      <c r="BJ718" s="3"/>
      <c r="BK718" s="3"/>
      <c r="BM718" s="3"/>
      <c r="BN718" s="5"/>
      <c r="BP718" s="3"/>
      <c r="BS718" s="3"/>
      <c r="BT718" s="3"/>
      <c r="BV718" s="3"/>
      <c r="BW718" s="3"/>
      <c r="BY718" s="3"/>
      <c r="BZ718" s="3"/>
      <c r="CB718" s="3"/>
      <c r="CC718" s="5"/>
      <c r="CE718" s="3"/>
      <c r="CH718" s="3"/>
      <c r="CI718" s="3"/>
      <c r="CK718" s="3"/>
      <c r="CL718" s="3"/>
      <c r="CN718" s="3"/>
      <c r="CO718" s="3"/>
      <c r="CQ718" s="3"/>
      <c r="CR718" s="5"/>
      <c r="CT718" s="3"/>
      <c r="CW718" s="3"/>
      <c r="CX718" s="3"/>
      <c r="CZ718" s="3"/>
      <c r="DA718" s="3"/>
      <c r="DC718" s="3"/>
      <c r="DD718" s="3"/>
      <c r="DF718" s="3"/>
      <c r="DG718" s="5"/>
      <c r="DI718" s="3"/>
      <c r="DL718" s="3"/>
      <c r="DM718" s="3"/>
      <c r="DO718" s="3"/>
      <c r="DP718" s="3"/>
      <c r="DR718" s="3"/>
      <c r="DS718" s="1" t="str">
        <f>_xlfn.XLOOKUP(OfficeForms.Table[[#This Row],[Selecione a Categoria do Laboratório desta atividade prática:]],Planilha1!A:A,Planilha1!B:B)</f>
        <v>BFR-BBI</v>
      </c>
      <c r="DT718" s="1" t="str">
        <f>CONCATENATE(OfficeForms.Table[[#This Row],[Selecione seu Polo Laboratório de Atividades Presenciais:]],OfficeForms.Table[[#This Row],[CHAVE CONVERSÃO]])</f>
        <v>Rondonópolis/MTBFR-BBI</v>
      </c>
      <c r="DU718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Preparo de meio de cultura II</v>
      </c>
      <c r="DV718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718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718" s="1" t="e">
        <f>_xlfn.XLOOKUP(OfficeForms.Table[[#This Row],[CHAVE LINK POLO]],'[1]Quadro Geral de Lotação'!$B:$B,'[1]Quadro Geral de Lotação'!$I:$I)</f>
        <v>#N/A</v>
      </c>
      <c r="DY718" s="1" t="str">
        <f>OfficeForms.Table[[#This Row],[Selecione a Ordem de Disciplina]]</f>
        <v>Ordem 2</v>
      </c>
    </row>
    <row r="719" spans="1:129" ht="34.15" customHeight="1">
      <c r="A719" s="1">
        <v>719</v>
      </c>
      <c r="B719" s="2">
        <v>46126.521030092597</v>
      </c>
      <c r="C719" s="2">
        <v>46126.528738425899</v>
      </c>
      <c r="D719" s="3" t="s">
        <v>683</v>
      </c>
      <c r="E719" s="3" t="s">
        <v>684</v>
      </c>
      <c r="G719" s="3"/>
      <c r="I719" s="3" t="s">
        <v>508</v>
      </c>
      <c r="K719" s="3"/>
      <c r="L719" s="1" t="s">
        <v>678</v>
      </c>
      <c r="O719" s="3" t="s">
        <v>497</v>
      </c>
      <c r="Q719" s="3"/>
      <c r="R719" s="3" t="s">
        <v>2085</v>
      </c>
      <c r="T719" s="3"/>
      <c r="U719" s="5">
        <v>46105</v>
      </c>
      <c r="W719" s="3"/>
      <c r="X719" s="1">
        <v>13</v>
      </c>
      <c r="Z719" s="3"/>
      <c r="AA719" s="3" t="s">
        <v>2086</v>
      </c>
      <c r="AC719" s="3"/>
      <c r="AD719" s="3" t="s">
        <v>2087</v>
      </c>
      <c r="AF719" s="3"/>
      <c r="AG719" s="3"/>
      <c r="AI719" s="3"/>
      <c r="AJ719" s="1"/>
      <c r="AL719" s="3"/>
      <c r="AO719" s="3"/>
      <c r="AP719" s="3"/>
      <c r="AR719" s="3"/>
      <c r="AS719" s="3"/>
      <c r="AU719" s="3"/>
      <c r="AV719" s="3"/>
      <c r="AX719" s="3"/>
      <c r="AY719" s="5"/>
      <c r="BA719" s="3"/>
      <c r="BD719" s="3"/>
      <c r="BE719" s="3"/>
      <c r="BG719" s="3"/>
      <c r="BH719" s="3"/>
      <c r="BJ719" s="3"/>
      <c r="BK719" s="3"/>
      <c r="BM719" s="3"/>
      <c r="BN719" s="5"/>
      <c r="BP719" s="3"/>
      <c r="BS719" s="3"/>
      <c r="BT719" s="3"/>
      <c r="BV719" s="3"/>
      <c r="BW719" s="3"/>
      <c r="BY719" s="3"/>
      <c r="BZ719" s="3"/>
      <c r="CB719" s="3"/>
      <c r="CC719" s="5"/>
      <c r="CE719" s="3"/>
      <c r="CH719" s="3"/>
      <c r="CI719" s="3"/>
      <c r="CK719" s="3"/>
      <c r="CL719" s="3"/>
      <c r="CN719" s="3"/>
      <c r="CO719" s="3"/>
      <c r="CQ719" s="3"/>
      <c r="CR719" s="5"/>
      <c r="CT719" s="3"/>
      <c r="CW719" s="3"/>
      <c r="CX719" s="3"/>
      <c r="CZ719" s="3"/>
      <c r="DA719" s="3"/>
      <c r="DC719" s="3"/>
      <c r="DD719" s="3"/>
      <c r="DF719" s="3"/>
      <c r="DG719" s="5"/>
      <c r="DI719" s="3"/>
      <c r="DL719" s="3"/>
      <c r="DM719" s="3"/>
      <c r="DO719" s="3"/>
      <c r="DP719" s="3"/>
      <c r="DR719" s="3"/>
      <c r="DS719" s="1" t="str">
        <f>_xlfn.XLOOKUP(OfficeForms.Table[[#This Row],[Selecione a Categoria do Laboratório desta atividade prática:]],Planilha1!A:A,Planilha1!B:B)</f>
        <v>BFR-BBI</v>
      </c>
      <c r="DT719" s="1" t="str">
        <f>CONCATENATE(OfficeForms.Table[[#This Row],[Selecione seu Polo Laboratório de Atividades Presenciais:]],OfficeForms.Table[[#This Row],[CHAVE CONVERSÃO]])</f>
        <v>Rondonópolis/MTBFR-BBI</v>
      </c>
      <c r="DU719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Método de Hoffman;Laminário de ovos de helmintos</v>
      </c>
      <c r="DV719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719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719" s="1" t="e">
        <f>_xlfn.XLOOKUP(OfficeForms.Table[[#This Row],[CHAVE LINK POLO]],'[1]Quadro Geral de Lotação'!$B:$B,'[1]Quadro Geral de Lotação'!$I:$I)</f>
        <v>#N/A</v>
      </c>
      <c r="DY719" s="1" t="str">
        <f>OfficeForms.Table[[#This Row],[Selecione a Ordem de Disciplina]]</f>
        <v>Ordem 2</v>
      </c>
    </row>
    <row r="720" spans="1:129" ht="34.15" customHeight="1">
      <c r="A720" s="1">
        <v>720</v>
      </c>
      <c r="B720" s="2">
        <v>46126.528888888897</v>
      </c>
      <c r="C720" s="2">
        <v>46126.534166666701</v>
      </c>
      <c r="D720" s="3" t="s">
        <v>683</v>
      </c>
      <c r="E720" s="3" t="s">
        <v>684</v>
      </c>
      <c r="G720" s="3"/>
      <c r="I720" s="3" t="s">
        <v>508</v>
      </c>
      <c r="K720" s="3"/>
      <c r="L720" s="1" t="s">
        <v>678</v>
      </c>
      <c r="O720" s="3" t="s">
        <v>497</v>
      </c>
      <c r="Q720" s="3"/>
      <c r="R720" s="3" t="s">
        <v>1130</v>
      </c>
      <c r="T720" s="3"/>
      <c r="U720" s="5">
        <v>46112</v>
      </c>
      <c r="W720" s="3"/>
      <c r="X720" s="1">
        <v>13</v>
      </c>
      <c r="Z720" s="3"/>
      <c r="AA720" s="3" t="s">
        <v>2088</v>
      </c>
      <c r="AC720" s="3"/>
      <c r="AD720" s="3" t="s">
        <v>2089</v>
      </c>
      <c r="AF720" s="3"/>
      <c r="AG720" s="3"/>
      <c r="AI720" s="3"/>
      <c r="AJ720" s="1"/>
      <c r="AL720" s="3"/>
      <c r="AO720" s="3"/>
      <c r="AP720" s="3"/>
      <c r="AR720" s="3"/>
      <c r="AS720" s="3"/>
      <c r="AU720" s="3"/>
      <c r="AV720" s="3"/>
      <c r="AX720" s="3"/>
      <c r="AY720" s="5"/>
      <c r="BA720" s="3"/>
      <c r="BD720" s="3"/>
      <c r="BE720" s="3"/>
      <c r="BG720" s="3"/>
      <c r="BH720" s="3"/>
      <c r="BJ720" s="3"/>
      <c r="BK720" s="3"/>
      <c r="BM720" s="3"/>
      <c r="BN720" s="5"/>
      <c r="BP720" s="3"/>
      <c r="BS720" s="3"/>
      <c r="BT720" s="3"/>
      <c r="BV720" s="3"/>
      <c r="BW720" s="3"/>
      <c r="BY720" s="3"/>
      <c r="BZ720" s="3"/>
      <c r="CB720" s="3"/>
      <c r="CC720" s="5"/>
      <c r="CE720" s="3"/>
      <c r="CH720" s="3"/>
      <c r="CI720" s="3"/>
      <c r="CK720" s="3"/>
      <c r="CL720" s="3"/>
      <c r="CN720" s="3"/>
      <c r="CO720" s="3"/>
      <c r="CQ720" s="3"/>
      <c r="CR720" s="5"/>
      <c r="CT720" s="3"/>
      <c r="CW720" s="3"/>
      <c r="CX720" s="3"/>
      <c r="CZ720" s="3"/>
      <c r="DA720" s="3"/>
      <c r="DC720" s="3"/>
      <c r="DD720" s="3"/>
      <c r="DF720" s="3"/>
      <c r="DG720" s="5"/>
      <c r="DI720" s="3"/>
      <c r="DL720" s="3"/>
      <c r="DM720" s="3"/>
      <c r="DO720" s="3"/>
      <c r="DP720" s="3"/>
      <c r="DR720" s="3"/>
      <c r="DS720" s="1" t="str">
        <f>_xlfn.XLOOKUP(OfficeForms.Table[[#This Row],[Selecione a Categoria do Laboratório desta atividade prática:]],Planilha1!A:A,Planilha1!B:B)</f>
        <v>BFR-BBI</v>
      </c>
      <c r="DT720" s="1" t="str">
        <f>CONCATENATE(OfficeForms.Table[[#This Row],[Selecione seu Polo Laboratório de Atividades Presenciais:]],OfficeForms.Table[[#This Row],[CHAVE CONVERSÃO]])</f>
        <v>Rondonópolis/MTBFR-BBI</v>
      </c>
      <c r="DU720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físico-química da urina;Análise de sedimento urinário</v>
      </c>
      <c r="DV720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720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720" s="1" t="e">
        <f>_xlfn.XLOOKUP(OfficeForms.Table[[#This Row],[CHAVE LINK POLO]],'[1]Quadro Geral de Lotação'!$B:$B,'[1]Quadro Geral de Lotação'!$I:$I)</f>
        <v>#N/A</v>
      </c>
      <c r="DY720" s="1" t="str">
        <f>OfficeForms.Table[[#This Row],[Selecione a Ordem de Disciplina]]</f>
        <v>Ordem 2</v>
      </c>
    </row>
    <row r="721" spans="1:129" ht="34.15" customHeight="1">
      <c r="A721" s="1">
        <v>721</v>
      </c>
      <c r="B721" s="2">
        <v>46126.534212963001</v>
      </c>
      <c r="C721" s="2">
        <v>46126.537465277797</v>
      </c>
      <c r="D721" s="3" t="s">
        <v>683</v>
      </c>
      <c r="E721" s="3" t="s">
        <v>684</v>
      </c>
      <c r="G721" s="3"/>
      <c r="I721" s="3" t="s">
        <v>508</v>
      </c>
      <c r="K721" s="3"/>
      <c r="L721" s="1" t="s">
        <v>678</v>
      </c>
      <c r="O721" s="3" t="s">
        <v>497</v>
      </c>
      <c r="Q721" s="3"/>
      <c r="R721" s="3" t="s">
        <v>2090</v>
      </c>
      <c r="T721" s="3"/>
      <c r="U721" s="5">
        <v>46119</v>
      </c>
      <c r="W721" s="3"/>
      <c r="X721" s="1">
        <v>11</v>
      </c>
      <c r="Z721" s="3"/>
      <c r="AA721" s="3" t="s">
        <v>2091</v>
      </c>
      <c r="AC721" s="3"/>
      <c r="AD721" s="3" t="s">
        <v>2092</v>
      </c>
      <c r="AF721" s="3"/>
      <c r="AG721" s="3"/>
      <c r="AI721" s="3"/>
      <c r="AJ721" s="1"/>
      <c r="AL721" s="3"/>
      <c r="AO721" s="3"/>
      <c r="AP721" s="3"/>
      <c r="AR721" s="3"/>
      <c r="AS721" s="3"/>
      <c r="AU721" s="3"/>
      <c r="AV721" s="3"/>
      <c r="AX721" s="3"/>
      <c r="AY721" s="5"/>
      <c r="BA721" s="3"/>
      <c r="BD721" s="3"/>
      <c r="BE721" s="3"/>
      <c r="BG721" s="3"/>
      <c r="BH721" s="3"/>
      <c r="BJ721" s="3"/>
      <c r="BK721" s="3"/>
      <c r="BM721" s="3"/>
      <c r="BN721" s="5"/>
      <c r="BP721" s="3"/>
      <c r="BS721" s="3"/>
      <c r="BT721" s="3"/>
      <c r="BV721" s="3"/>
      <c r="BW721" s="3"/>
      <c r="BY721" s="3"/>
      <c r="BZ721" s="3"/>
      <c r="CB721" s="3"/>
      <c r="CC721" s="5"/>
      <c r="CE721" s="3"/>
      <c r="CH721" s="3"/>
      <c r="CI721" s="3"/>
      <c r="CK721" s="3"/>
      <c r="CL721" s="3"/>
      <c r="CN721" s="3"/>
      <c r="CO721" s="3"/>
      <c r="CQ721" s="3"/>
      <c r="CR721" s="5"/>
      <c r="CT721" s="3"/>
      <c r="CW721" s="3"/>
      <c r="CX721" s="3"/>
      <c r="CZ721" s="3"/>
      <c r="DA721" s="3"/>
      <c r="DC721" s="3"/>
      <c r="DD721" s="3"/>
      <c r="DF721" s="3"/>
      <c r="DG721" s="5"/>
      <c r="DI721" s="3"/>
      <c r="DL721" s="3"/>
      <c r="DM721" s="3"/>
      <c r="DO721" s="3"/>
      <c r="DP721" s="3"/>
      <c r="DR721" s="3"/>
      <c r="DS721" s="1" t="str">
        <f>_xlfn.XLOOKUP(OfficeForms.Table[[#This Row],[Selecione a Categoria do Laboratório desta atividade prática:]],Planilha1!A:A,Planilha1!B:B)</f>
        <v>BFR-BBI</v>
      </c>
      <c r="DT721" s="1" t="str">
        <f>CONCATENATE(OfficeForms.Table[[#This Row],[Selecione seu Polo Laboratório de Atividades Presenciais:]],OfficeForms.Table[[#This Row],[CHAVE CONVERSÃO]])</f>
        <v>Rondonópolis/MTBFR-BBI</v>
      </c>
      <c r="DU721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de inoculação</v>
      </c>
      <c r="DV721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721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721" s="1" t="e">
        <f>_xlfn.XLOOKUP(OfficeForms.Table[[#This Row],[CHAVE LINK POLO]],'[1]Quadro Geral de Lotação'!$B:$B,'[1]Quadro Geral de Lotação'!$I:$I)</f>
        <v>#N/A</v>
      </c>
      <c r="DY721" s="1" t="str">
        <f>OfficeForms.Table[[#This Row],[Selecione a Ordem de Disciplina]]</f>
        <v>Ordem 2</v>
      </c>
    </row>
    <row r="722" spans="1:129" ht="34.15" customHeight="1">
      <c r="A722" s="1">
        <v>722</v>
      </c>
      <c r="B722" s="2">
        <v>46126.674768518496</v>
      </c>
      <c r="C722" s="2">
        <v>46126.683379629598</v>
      </c>
      <c r="D722" s="3" t="s">
        <v>2093</v>
      </c>
      <c r="E722" s="3" t="s">
        <v>2094</v>
      </c>
      <c r="G722" s="3"/>
      <c r="I722" s="3" t="s">
        <v>2095</v>
      </c>
      <c r="K722" s="3"/>
      <c r="L722" s="1" t="s">
        <v>1325</v>
      </c>
      <c r="O722" s="3" t="s">
        <v>184</v>
      </c>
      <c r="Q722" s="3"/>
      <c r="R722" s="3"/>
      <c r="T722" s="3"/>
      <c r="U722" s="5"/>
      <c r="W722" s="3"/>
      <c r="Z722" s="3"/>
      <c r="AA722" s="3"/>
      <c r="AC722" s="3"/>
      <c r="AD722" s="3"/>
      <c r="AF722" s="3"/>
      <c r="AG722" s="3" t="s">
        <v>1200</v>
      </c>
      <c r="AI722" s="3"/>
      <c r="AJ722" s="1">
        <v>46120</v>
      </c>
      <c r="AL722" s="3"/>
      <c r="AM722" s="1">
        <v>0</v>
      </c>
      <c r="AO722" s="3"/>
      <c r="AP722" s="3" t="s">
        <v>2096</v>
      </c>
      <c r="AR722" s="3"/>
      <c r="AS722" s="3" t="s">
        <v>2097</v>
      </c>
      <c r="AU722" s="3"/>
      <c r="AV722" s="3"/>
      <c r="AX722" s="3"/>
      <c r="AY722" s="5"/>
      <c r="BA722" s="3"/>
      <c r="BD722" s="3"/>
      <c r="BE722" s="3"/>
      <c r="BG722" s="3"/>
      <c r="BH722" s="3"/>
      <c r="BJ722" s="3"/>
      <c r="BK722" s="3"/>
      <c r="BM722" s="3"/>
      <c r="BN722" s="5"/>
      <c r="BP722" s="3"/>
      <c r="BS722" s="3"/>
      <c r="BT722" s="3"/>
      <c r="BV722" s="3"/>
      <c r="BW722" s="3"/>
      <c r="BY722" s="3"/>
      <c r="BZ722" s="3"/>
      <c r="CB722" s="3"/>
      <c r="CC722" s="5"/>
      <c r="CE722" s="3"/>
      <c r="CH722" s="3"/>
      <c r="CI722" s="3"/>
      <c r="CK722" s="3"/>
      <c r="CL722" s="3"/>
      <c r="CN722" s="3"/>
      <c r="CO722" s="3"/>
      <c r="CQ722" s="3"/>
      <c r="CR722" s="5"/>
      <c r="CT722" s="3"/>
      <c r="CW722" s="3"/>
      <c r="CX722" s="3"/>
      <c r="CZ722" s="3"/>
      <c r="DA722" s="3"/>
      <c r="DC722" s="3"/>
      <c r="DD722" s="3"/>
      <c r="DF722" s="3"/>
      <c r="DG722" s="5"/>
      <c r="DI722" s="3"/>
      <c r="DL722" s="3"/>
      <c r="DM722" s="3"/>
      <c r="DO722" s="3"/>
      <c r="DP722" s="3"/>
      <c r="DR722" s="3"/>
      <c r="DS722" s="3" t="str">
        <f>_xlfn.XLOOKUP(OfficeForms.Table[[#This Row],[Selecione a Categoria do Laboratório desta atividade prática:]],Planilha1!A:A,Planilha1!B:B)</f>
        <v>EMF-ISN</v>
      </c>
      <c r="DT722" s="1" t="str">
        <f>CONCATENATE(OfficeForms.Table[[#This Row],[Selecione seu Polo Laboratório de Atividades Presenciais:]],OfficeForms.Table[[#This Row],[CHAVE CONVERSÃO]])</f>
        <v>Curitiba/PR - CentroEMF-ISN</v>
      </c>
      <c r="DU722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psicótico;Triagem de paciente com transtorno neurológico e risco de suicídio</v>
      </c>
      <c r="DV722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722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22" s="1" t="str">
        <f>_xlfn.XLOOKUP(OfficeForms.Table[[#This Row],[CHAVE LINK POLO]],'[1]Quadro Geral de Lotação'!$B:$B,'[1]Quadro Geral de Lotação'!$I:$I)</f>
        <v>Vania Carvalho De Oliveira Schuertz</v>
      </c>
      <c r="DY722" s="1" t="str">
        <f>OfficeForms.Table[[#This Row],[Selecione a Ordem de Disciplina]]</f>
        <v>Ordem 3</v>
      </c>
    </row>
    <row r="723" spans="1:129" ht="34.15" customHeight="1">
      <c r="A723" s="1">
        <v>723</v>
      </c>
      <c r="B723" s="2">
        <v>46126.683831018498</v>
      </c>
      <c r="C723" s="2">
        <v>46126.688090277799</v>
      </c>
      <c r="D723" s="3" t="s">
        <v>2093</v>
      </c>
      <c r="E723" s="3" t="s">
        <v>2094</v>
      </c>
      <c r="G723" s="3"/>
      <c r="I723" s="3" t="s">
        <v>2095</v>
      </c>
      <c r="K723" s="3"/>
      <c r="L723" s="1" t="s">
        <v>1325</v>
      </c>
      <c r="O723" s="3" t="s">
        <v>184</v>
      </c>
      <c r="Q723" s="3"/>
      <c r="R723" s="3"/>
      <c r="T723" s="3"/>
      <c r="U723" s="5"/>
      <c r="W723" s="3"/>
      <c r="Z723" s="3"/>
      <c r="AA723" s="3"/>
      <c r="AC723" s="3"/>
      <c r="AD723" s="3"/>
      <c r="AF723" s="3"/>
      <c r="AG723" s="3" t="s">
        <v>2098</v>
      </c>
      <c r="AI723" s="3"/>
      <c r="AJ723" s="1">
        <v>46126</v>
      </c>
      <c r="AL723" s="3"/>
      <c r="AM723" s="1">
        <v>0</v>
      </c>
      <c r="AO723" s="3"/>
      <c r="AP723" s="3" t="s">
        <v>2099</v>
      </c>
      <c r="AR723" s="3"/>
      <c r="AS723" s="3" t="s">
        <v>2100</v>
      </c>
      <c r="AU723" s="3"/>
      <c r="AV723" s="3"/>
      <c r="AX723" s="3"/>
      <c r="AY723" s="5"/>
      <c r="BA723" s="3"/>
      <c r="BD723" s="3"/>
      <c r="BE723" s="3"/>
      <c r="BG723" s="3"/>
      <c r="BH723" s="3"/>
      <c r="BJ723" s="3"/>
      <c r="BK723" s="3"/>
      <c r="BM723" s="3"/>
      <c r="BN723" s="5"/>
      <c r="BP723" s="3"/>
      <c r="BS723" s="3"/>
      <c r="BT723" s="3"/>
      <c r="BV723" s="3"/>
      <c r="BW723" s="3"/>
      <c r="BY723" s="3"/>
      <c r="BZ723" s="3"/>
      <c r="CB723" s="3"/>
      <c r="CC723" s="5"/>
      <c r="CE723" s="3"/>
      <c r="CH723" s="3"/>
      <c r="CI723" s="3"/>
      <c r="CK723" s="3"/>
      <c r="CL723" s="3"/>
      <c r="CN723" s="3"/>
      <c r="CO723" s="3"/>
      <c r="CQ723" s="3"/>
      <c r="CR723" s="5"/>
      <c r="CT723" s="3"/>
      <c r="CW723" s="3"/>
      <c r="CX723" s="3"/>
      <c r="CZ723" s="3"/>
      <c r="DA723" s="3"/>
      <c r="DC723" s="3"/>
      <c r="DD723" s="3"/>
      <c r="DF723" s="3"/>
      <c r="DG723" s="5"/>
      <c r="DI723" s="3"/>
      <c r="DL723" s="3"/>
      <c r="DM723" s="3"/>
      <c r="DO723" s="3"/>
      <c r="DP723" s="3"/>
      <c r="DR723" s="3"/>
      <c r="DS723" s="3" t="str">
        <f>_xlfn.XLOOKUP(OfficeForms.Table[[#This Row],[Selecione a Categoria do Laboratório desta atividade prática:]],Planilha1!A:A,Planilha1!B:B)</f>
        <v>EMF-ISN</v>
      </c>
      <c r="DT723" s="1" t="str">
        <f>CONCATENATE(OfficeForms.Table[[#This Row],[Selecione seu Polo Laboratório de Atividades Presenciais:]],OfficeForms.Table[[#This Row],[CHAVE CONVERSÃO]])</f>
        <v>Curitiba/PR - CentroEMF-ISN</v>
      </c>
      <c r="DU723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Lavagem cirúrgica das mãos + Calço de luvas cirúrgicas</v>
      </c>
      <c r="DV723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723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23" s="1" t="str">
        <f>_xlfn.XLOOKUP(OfficeForms.Table[[#This Row],[CHAVE LINK POLO]],'[1]Quadro Geral de Lotação'!$B:$B,'[1]Quadro Geral de Lotação'!$I:$I)</f>
        <v>Vania Carvalho De Oliveira Schuertz</v>
      </c>
      <c r="DY723" s="1" t="str">
        <f>OfficeForms.Table[[#This Row],[Selecione a Ordem de Disciplina]]</f>
        <v>Ordem 3</v>
      </c>
    </row>
    <row r="724" spans="1:129" ht="34.15" customHeight="1">
      <c r="A724" s="1">
        <v>724</v>
      </c>
      <c r="B724" s="2">
        <v>46126.6948611111</v>
      </c>
      <c r="C724" s="2">
        <v>46126.697453703702</v>
      </c>
      <c r="D724" s="3" t="s">
        <v>352</v>
      </c>
      <c r="E724" s="3" t="s">
        <v>353</v>
      </c>
      <c r="G724" s="3"/>
      <c r="I724" s="3" t="s">
        <v>354</v>
      </c>
      <c r="K724" s="3"/>
      <c r="L724" s="1" t="s">
        <v>1325</v>
      </c>
      <c r="O724" s="3" t="s">
        <v>184</v>
      </c>
      <c r="Q724" s="3"/>
      <c r="R724" s="3"/>
      <c r="T724" s="3"/>
      <c r="U724" s="5"/>
      <c r="W724" s="3"/>
      <c r="Z724" s="3"/>
      <c r="AA724" s="3"/>
      <c r="AC724" s="3"/>
      <c r="AD724" s="3"/>
      <c r="AF724" s="3"/>
      <c r="AG724" s="3" t="s">
        <v>2101</v>
      </c>
      <c r="AI724" s="3"/>
      <c r="AJ724" s="1">
        <v>46125</v>
      </c>
      <c r="AL724" s="3"/>
      <c r="AM724" s="1">
        <v>3</v>
      </c>
      <c r="AO724" s="3"/>
      <c r="AP724" s="3" t="s">
        <v>2102</v>
      </c>
      <c r="AR724" s="3"/>
      <c r="AS724" s="3" t="s">
        <v>2103</v>
      </c>
      <c r="AU724" s="3"/>
      <c r="AV724" s="3"/>
      <c r="AX724" s="3"/>
      <c r="AY724" s="5"/>
      <c r="BA724" s="3"/>
      <c r="BD724" s="3"/>
      <c r="BE724" s="3"/>
      <c r="BG724" s="3"/>
      <c r="BH724" s="3"/>
      <c r="BJ724" s="3"/>
      <c r="BK724" s="3"/>
      <c r="BM724" s="3"/>
      <c r="BN724" s="5"/>
      <c r="BP724" s="3"/>
      <c r="BS724" s="3"/>
      <c r="BT724" s="3"/>
      <c r="BV724" s="3"/>
      <c r="BW724" s="3"/>
      <c r="BY724" s="3"/>
      <c r="BZ724" s="3"/>
      <c r="CB724" s="3"/>
      <c r="CC724" s="5"/>
      <c r="CE724" s="3"/>
      <c r="CH724" s="3"/>
      <c r="CI724" s="3"/>
      <c r="CK724" s="3"/>
      <c r="CL724" s="3"/>
      <c r="CN724" s="3"/>
      <c r="CO724" s="3"/>
      <c r="CQ724" s="3"/>
      <c r="CR724" s="5"/>
      <c r="CT724" s="3"/>
      <c r="CW724" s="3"/>
      <c r="CX724" s="3"/>
      <c r="CZ724" s="3"/>
      <c r="DA724" s="3"/>
      <c r="DC724" s="3"/>
      <c r="DD724" s="3"/>
      <c r="DF724" s="3"/>
      <c r="DG724" s="5"/>
      <c r="DI724" s="3"/>
      <c r="DL724" s="3"/>
      <c r="DM724" s="3"/>
      <c r="DO724" s="3"/>
      <c r="DP724" s="3"/>
      <c r="DR724" s="3"/>
      <c r="DS724" s="3" t="str">
        <f>_xlfn.XLOOKUP(OfficeForms.Table[[#This Row],[Selecione a Categoria do Laboratório desta atividade prática:]],Planilha1!A:A,Planilha1!B:B)</f>
        <v>EMF-ISN</v>
      </c>
      <c r="DT724" s="1" t="str">
        <f>CONCATENATE(OfficeForms.Table[[#This Row],[Selecione seu Polo Laboratório de Atividades Presenciais:]],OfficeForms.Table[[#This Row],[CHAVE CONVERSÃO]])</f>
        <v>São Gonçalo/RJ - Partage ShoppingEMF-ISN</v>
      </c>
      <c r="DU724" s="1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gástrica;Punção Venosa + Retirada de pontos</v>
      </c>
      <c r="DV724" s="5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724" s="1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24" s="1" t="str">
        <f>_xlfn.XLOOKUP(OfficeForms.Table[[#This Row],[CHAVE LINK POLO]],'[1]Quadro Geral de Lotação'!$B:$B,'[1]Quadro Geral de Lotação'!$I:$I)</f>
        <v>William Da Silva Coimbra</v>
      </c>
      <c r="DY724" s="1" t="str">
        <f>OfficeForms.Table[[#This Row],[Selecione a Ordem de Disciplina]]</f>
        <v>Ordem 3</v>
      </c>
    </row>
    <row r="725" spans="1:129" ht="34.15" customHeight="1">
      <c r="A725" s="6">
        <v>725</v>
      </c>
      <c r="B725" s="2">
        <v>46126.779826388898</v>
      </c>
      <c r="C725" s="2">
        <v>46126.788530092599</v>
      </c>
      <c r="D725" s="3" t="s">
        <v>232</v>
      </c>
      <c r="E725" s="3" t="s">
        <v>233</v>
      </c>
      <c r="F725" s="6"/>
      <c r="G725" s="3"/>
      <c r="I725" s="3" t="s">
        <v>234</v>
      </c>
      <c r="J725" s="6"/>
      <c r="K725" s="3"/>
      <c r="L725" s="6" t="s">
        <v>678</v>
      </c>
      <c r="M725" s="6"/>
      <c r="N725" s="6"/>
      <c r="O725" s="3" t="s">
        <v>184</v>
      </c>
      <c r="P725" s="6"/>
      <c r="Q725" s="3"/>
      <c r="R725" s="3"/>
      <c r="S725" s="6"/>
      <c r="T725" s="3"/>
      <c r="U725" s="7"/>
      <c r="V725" s="6"/>
      <c r="W725" s="3"/>
      <c r="X725" s="6"/>
      <c r="Y725" s="6"/>
      <c r="Z725" s="3"/>
      <c r="AA725" s="3"/>
      <c r="AB725" s="6"/>
      <c r="AC725" s="3"/>
      <c r="AD725" s="3"/>
      <c r="AE725" s="6"/>
      <c r="AF725" s="3"/>
      <c r="AG725" s="3" t="s">
        <v>1031</v>
      </c>
      <c r="AH725" s="6"/>
      <c r="AI725" s="3"/>
      <c r="AJ725" s="1">
        <v>46113</v>
      </c>
      <c r="AK725" s="6"/>
      <c r="AL725" s="3"/>
      <c r="AM725" s="6">
        <v>4</v>
      </c>
      <c r="AN725" s="6"/>
      <c r="AO725" s="3"/>
      <c r="AP725" s="3" t="s">
        <v>2104</v>
      </c>
      <c r="AQ725" s="6"/>
      <c r="AR725" s="3"/>
      <c r="AS725" s="3" t="s">
        <v>2105</v>
      </c>
      <c r="AT725" s="6"/>
      <c r="AU725" s="3"/>
      <c r="AV725" s="3"/>
      <c r="AW725" s="6"/>
      <c r="AX725" s="3"/>
      <c r="AY725" s="7"/>
      <c r="AZ725" s="6"/>
      <c r="BA725" s="3"/>
      <c r="BB725" s="6"/>
      <c r="BC725" s="6"/>
      <c r="BD725" s="3"/>
      <c r="BE725" s="3"/>
      <c r="BF725" s="6"/>
      <c r="BG725" s="3"/>
      <c r="BH725" s="3"/>
      <c r="BI725" s="6"/>
      <c r="BJ725" s="3"/>
      <c r="BK725" s="3"/>
      <c r="BL725" s="6"/>
      <c r="BM725" s="3"/>
      <c r="BN725" s="7"/>
      <c r="BO725" s="6"/>
      <c r="BP725" s="3"/>
      <c r="BQ725" s="6"/>
      <c r="BR725" s="6"/>
      <c r="BS725" s="3"/>
      <c r="BT725" s="3"/>
      <c r="BU725" s="6"/>
      <c r="BV725" s="3"/>
      <c r="BW725" s="3"/>
      <c r="BX725" s="6"/>
      <c r="BY725" s="3"/>
      <c r="BZ725" s="3"/>
      <c r="CA725" s="6"/>
      <c r="CB725" s="3"/>
      <c r="CC725" s="7"/>
      <c r="CD725" s="6"/>
      <c r="CE725" s="3"/>
      <c r="CF725" s="6"/>
      <c r="CG725" s="6"/>
      <c r="CH725" s="3"/>
      <c r="CI725" s="3"/>
      <c r="CJ725" s="6"/>
      <c r="CK725" s="3"/>
      <c r="CL725" s="3"/>
      <c r="CM725" s="6"/>
      <c r="CN725" s="3"/>
      <c r="CO725" s="3"/>
      <c r="CP725" s="6"/>
      <c r="CQ725" s="3"/>
      <c r="CR725" s="7"/>
      <c r="CS725" s="6"/>
      <c r="CT725" s="3"/>
      <c r="CU725" s="6"/>
      <c r="CV725" s="6"/>
      <c r="CW725" s="3"/>
      <c r="CX725" s="3"/>
      <c r="CY725" s="6"/>
      <c r="CZ725" s="3"/>
      <c r="DA725" s="3"/>
      <c r="DB725" s="6"/>
      <c r="DC725" s="3"/>
      <c r="DD725" s="3"/>
      <c r="DE725" s="6"/>
      <c r="DF725" s="3"/>
      <c r="DG725" s="7"/>
      <c r="DH725" s="6"/>
      <c r="DI725" s="3"/>
      <c r="DJ725" s="6"/>
      <c r="DK725" s="6"/>
      <c r="DL725" s="3"/>
      <c r="DM725" s="3"/>
      <c r="DN725" s="6"/>
      <c r="DO725" s="3"/>
      <c r="DP725" s="3"/>
      <c r="DQ725" s="6"/>
      <c r="DR725" s="3"/>
      <c r="DS725" s="3" t="str">
        <f>_xlfn.XLOOKUP(OfficeForms.Table[[#This Row],[Selecione a Categoria do Laboratório desta atividade prática:]],Planilha1!A:A,Planilha1!B:B)</f>
        <v>EMF-ISN</v>
      </c>
      <c r="DT725" s="6" t="str">
        <f>CONCATENATE(OfficeForms.Table[[#This Row],[Selecione seu Polo Laboratório de Atividades Presenciais:]],OfficeForms.Table[[#This Row],[CHAVE CONVERSÃO]])</f>
        <v>Santa Fé do Sul/SPEMF-ISN</v>
      </c>
      <c r="DU72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72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72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725" s="6" t="str">
        <f>_xlfn.XLOOKUP(OfficeForms.Table[[#This Row],[CHAVE LINK POLO]],'[1]Quadro Geral de Lotação'!$B:$B,'[1]Quadro Geral de Lotação'!$I:$I)</f>
        <v>Mariana Mirian Correia</v>
      </c>
      <c r="DY725" s="6" t="str">
        <f>OfficeForms.Table[[#This Row],[Selecione a Ordem de Disciplina]]</f>
        <v>Ordem 2</v>
      </c>
    </row>
    <row r="726" spans="1:129" ht="34.15" customHeight="1">
      <c r="A726" s="6">
        <v>726</v>
      </c>
      <c r="B726" s="2">
        <v>46126.788587962998</v>
      </c>
      <c r="C726" s="2">
        <v>46126.793344907397</v>
      </c>
      <c r="D726" s="3" t="s">
        <v>232</v>
      </c>
      <c r="E726" s="3" t="s">
        <v>233</v>
      </c>
      <c r="F726" s="6"/>
      <c r="G726" s="3"/>
      <c r="I726" s="3" t="s">
        <v>234</v>
      </c>
      <c r="J726" s="6"/>
      <c r="K726" s="3"/>
      <c r="L726" s="6" t="s">
        <v>678</v>
      </c>
      <c r="M726" s="6"/>
      <c r="N726" s="6"/>
      <c r="O726" s="3" t="s">
        <v>184</v>
      </c>
      <c r="P726" s="6"/>
      <c r="Q726" s="3"/>
      <c r="R726" s="3"/>
      <c r="S726" s="6"/>
      <c r="T726" s="3"/>
      <c r="U726" s="7"/>
      <c r="V726" s="6"/>
      <c r="W726" s="3"/>
      <c r="X726" s="6"/>
      <c r="Y726" s="6"/>
      <c r="Z726" s="3"/>
      <c r="AA726" s="3"/>
      <c r="AB726" s="6"/>
      <c r="AC726" s="3"/>
      <c r="AD726" s="3"/>
      <c r="AE726" s="6"/>
      <c r="AF726" s="3"/>
      <c r="AG726" s="3" t="s">
        <v>211</v>
      </c>
      <c r="AH726" s="6"/>
      <c r="AI726" s="3"/>
      <c r="AJ726" s="1">
        <v>46120</v>
      </c>
      <c r="AK726" s="6"/>
      <c r="AL726" s="3"/>
      <c r="AM726" s="6">
        <v>0</v>
      </c>
      <c r="AN726" s="6"/>
      <c r="AO726" s="3"/>
      <c r="AP726" s="3" t="s">
        <v>2106</v>
      </c>
      <c r="AQ726" s="6"/>
      <c r="AR726" s="3"/>
      <c r="AS726" s="3" t="s">
        <v>2107</v>
      </c>
      <c r="AT726" s="6"/>
      <c r="AU726" s="3"/>
      <c r="AV726" s="3"/>
      <c r="AW726" s="6"/>
      <c r="AX726" s="3"/>
      <c r="AY726" s="7"/>
      <c r="AZ726" s="6"/>
      <c r="BA726" s="3"/>
      <c r="BB726" s="6"/>
      <c r="BC726" s="6"/>
      <c r="BD726" s="3"/>
      <c r="BE726" s="3"/>
      <c r="BF726" s="6"/>
      <c r="BG726" s="3"/>
      <c r="BH726" s="3"/>
      <c r="BI726" s="6"/>
      <c r="BJ726" s="3"/>
      <c r="BK726" s="3"/>
      <c r="BL726" s="6"/>
      <c r="BM726" s="3"/>
      <c r="BN726" s="7"/>
      <c r="BO726" s="6"/>
      <c r="BP726" s="3"/>
      <c r="BQ726" s="6"/>
      <c r="BR726" s="6"/>
      <c r="BS726" s="3"/>
      <c r="BT726" s="3"/>
      <c r="BU726" s="6"/>
      <c r="BV726" s="3"/>
      <c r="BW726" s="3"/>
      <c r="BX726" s="6"/>
      <c r="BY726" s="3"/>
      <c r="BZ726" s="3"/>
      <c r="CA726" s="6"/>
      <c r="CB726" s="3"/>
      <c r="CC726" s="7"/>
      <c r="CD726" s="6"/>
      <c r="CE726" s="3"/>
      <c r="CF726" s="6"/>
      <c r="CG726" s="6"/>
      <c r="CH726" s="3"/>
      <c r="CI726" s="3"/>
      <c r="CJ726" s="6"/>
      <c r="CK726" s="3"/>
      <c r="CL726" s="3"/>
      <c r="CM726" s="6"/>
      <c r="CN726" s="3"/>
      <c r="CO726" s="3"/>
      <c r="CP726" s="6"/>
      <c r="CQ726" s="3"/>
      <c r="CR726" s="7"/>
      <c r="CS726" s="6"/>
      <c r="CT726" s="3"/>
      <c r="CU726" s="6"/>
      <c r="CV726" s="6"/>
      <c r="CW726" s="3"/>
      <c r="CX726" s="3"/>
      <c r="CY726" s="6"/>
      <c r="CZ726" s="3"/>
      <c r="DA726" s="3"/>
      <c r="DB726" s="6"/>
      <c r="DC726" s="3"/>
      <c r="DD726" s="3"/>
      <c r="DE726" s="6"/>
      <c r="DF726" s="3"/>
      <c r="DG726" s="7"/>
      <c r="DH726" s="6"/>
      <c r="DI726" s="3"/>
      <c r="DJ726" s="6"/>
      <c r="DK726" s="6"/>
      <c r="DL726" s="3"/>
      <c r="DM726" s="3"/>
      <c r="DN726" s="6"/>
      <c r="DO726" s="3"/>
      <c r="DP726" s="3"/>
      <c r="DQ726" s="6"/>
      <c r="DR726" s="3"/>
      <c r="DS726" s="3" t="str">
        <f>_xlfn.XLOOKUP(OfficeForms.Table[[#This Row],[Selecione a Categoria do Laboratório desta atividade prática:]],Planilha1!A:A,Planilha1!B:B)</f>
        <v>EMF-ISN</v>
      </c>
      <c r="DT726" s="6" t="str">
        <f>CONCATENATE(OfficeForms.Table[[#This Row],[Selecione seu Polo Laboratório de Atividades Presenciais:]],OfficeForms.Table[[#This Row],[CHAVE CONVERSÃO]])</f>
        <v>Santa Fé do Sul/SPEMF-ISN</v>
      </c>
      <c r="DU72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72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72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26" s="6" t="str">
        <f>_xlfn.XLOOKUP(OfficeForms.Table[[#This Row],[CHAVE LINK POLO]],'[1]Quadro Geral de Lotação'!$B:$B,'[1]Quadro Geral de Lotação'!$I:$I)</f>
        <v>Mariana Mirian Correia</v>
      </c>
      <c r="DY726" s="6" t="str">
        <f>OfficeForms.Table[[#This Row],[Selecione a Ordem de Disciplina]]</f>
        <v>Ordem 2</v>
      </c>
    </row>
    <row r="727" spans="1:129" ht="34.15" customHeight="1">
      <c r="A727" s="6">
        <v>727</v>
      </c>
      <c r="B727" s="2">
        <v>46126.795289351903</v>
      </c>
      <c r="C727" s="2">
        <v>46126.801400463002</v>
      </c>
      <c r="D727" s="3" t="s">
        <v>325</v>
      </c>
      <c r="E727" s="3" t="s">
        <v>326</v>
      </c>
      <c r="F727" s="6"/>
      <c r="G727" s="3"/>
      <c r="I727" s="3" t="s">
        <v>275</v>
      </c>
      <c r="J727" s="6"/>
      <c r="K727" s="3"/>
      <c r="L727" s="6" t="s">
        <v>1325</v>
      </c>
      <c r="M727" s="6"/>
      <c r="N727" s="6"/>
      <c r="O727" s="3" t="s">
        <v>133</v>
      </c>
      <c r="P727" s="6"/>
      <c r="Q727" s="3"/>
      <c r="R727" s="3"/>
      <c r="S727" s="6"/>
      <c r="T727" s="3"/>
      <c r="U727" s="7"/>
      <c r="V727" s="6"/>
      <c r="W727" s="3"/>
      <c r="X727" s="6"/>
      <c r="Y727" s="6"/>
      <c r="Z727" s="3"/>
      <c r="AA727" s="3"/>
      <c r="AB727" s="6"/>
      <c r="AC727" s="3"/>
      <c r="AD727" s="3"/>
      <c r="AE727" s="6"/>
      <c r="AF727" s="3"/>
      <c r="AG727" s="3"/>
      <c r="AH727" s="6"/>
      <c r="AI727" s="3"/>
      <c r="AJ727" s="1"/>
      <c r="AK727" s="6"/>
      <c r="AL727" s="3"/>
      <c r="AM727" s="6"/>
      <c r="AN727" s="6"/>
      <c r="AO727" s="3"/>
      <c r="AP727" s="3"/>
      <c r="AQ727" s="6"/>
      <c r="AR727" s="3"/>
      <c r="AS727" s="3"/>
      <c r="AT727" s="6"/>
      <c r="AU727" s="3"/>
      <c r="AV727" s="3" t="s">
        <v>1145</v>
      </c>
      <c r="AW727" s="6"/>
      <c r="AX727" s="3"/>
      <c r="AY727" s="7">
        <v>46121</v>
      </c>
      <c r="AZ727" s="6"/>
      <c r="BA727" s="3"/>
      <c r="BB727" s="6">
        <v>7</v>
      </c>
      <c r="BC727" s="6"/>
      <c r="BD727" s="3"/>
      <c r="BE727" s="3" t="s">
        <v>2108</v>
      </c>
      <c r="BF727" s="6"/>
      <c r="BG727" s="3"/>
      <c r="BH727" s="3" t="s">
        <v>2109</v>
      </c>
      <c r="BI727" s="6"/>
      <c r="BJ727" s="3"/>
      <c r="BK727" s="3"/>
      <c r="BL727" s="6"/>
      <c r="BM727" s="3"/>
      <c r="BN727" s="7"/>
      <c r="BO727" s="6"/>
      <c r="BP727" s="3"/>
      <c r="BQ727" s="6"/>
      <c r="BR727" s="6"/>
      <c r="BS727" s="3"/>
      <c r="BT727" s="3"/>
      <c r="BU727" s="6"/>
      <c r="BV727" s="3"/>
      <c r="BW727" s="3"/>
      <c r="BX727" s="6"/>
      <c r="BY727" s="3"/>
      <c r="BZ727" s="3"/>
      <c r="CA727" s="6"/>
      <c r="CB727" s="3"/>
      <c r="CC727" s="7"/>
      <c r="CD727" s="6"/>
      <c r="CE727" s="3"/>
      <c r="CF727" s="6"/>
      <c r="CG727" s="6"/>
      <c r="CH727" s="3"/>
      <c r="CI727" s="3"/>
      <c r="CJ727" s="6"/>
      <c r="CK727" s="3"/>
      <c r="CL727" s="3"/>
      <c r="CM727" s="6"/>
      <c r="CN727" s="3"/>
      <c r="CO727" s="3"/>
      <c r="CP727" s="6"/>
      <c r="CQ727" s="3"/>
      <c r="CR727" s="7"/>
      <c r="CS727" s="6"/>
      <c r="CT727" s="3"/>
      <c r="CU727" s="6"/>
      <c r="CV727" s="6"/>
      <c r="CW727" s="3"/>
      <c r="CX727" s="3"/>
      <c r="CY727" s="6"/>
      <c r="CZ727" s="3"/>
      <c r="DA727" s="3"/>
      <c r="DB727" s="6"/>
      <c r="DC727" s="3"/>
      <c r="DD727" s="3"/>
      <c r="DE727" s="6"/>
      <c r="DF727" s="3"/>
      <c r="DG727" s="7"/>
      <c r="DH727" s="6"/>
      <c r="DI727" s="3"/>
      <c r="DJ727" s="6"/>
      <c r="DK727" s="6"/>
      <c r="DL727" s="3"/>
      <c r="DM727" s="3"/>
      <c r="DN727" s="6"/>
      <c r="DO727" s="3"/>
      <c r="DP727" s="3"/>
      <c r="DQ727" s="6"/>
      <c r="DR727" s="3"/>
      <c r="DS727" s="3" t="str">
        <f>_xlfn.XLOOKUP(OfficeForms.Table[[#This Row],[Selecione a Categoria do Laboratório desta atividade prática:]],Planilha1!A:A,Planilha1!B:B)</f>
        <v>BFI</v>
      </c>
      <c r="DT727" s="6" t="str">
        <f>CONCATENATE(OfficeForms.Table[[#This Row],[Selecione seu Polo Laboratório de Atividades Presenciais:]],OfficeForms.Table[[#This Row],[CHAVE CONVERSÃO]])</f>
        <v>Porto Alegre/RS - Zona NorteBFI</v>
      </c>
      <c r="DU72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Revisão de Anatomorfofisiologia</v>
      </c>
      <c r="DV72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72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727" s="6" t="str">
        <f>_xlfn.XLOOKUP(OfficeForms.Table[[#This Row],[CHAVE LINK POLO]],'[1]Quadro Geral de Lotação'!$B:$B,'[1]Quadro Geral de Lotação'!$I:$I)</f>
        <v>Fabiano Johnson Duarte Bartmann</v>
      </c>
      <c r="DY727" s="6" t="str">
        <f>OfficeForms.Table[[#This Row],[Selecione a Ordem de Disciplina]]</f>
        <v>Ordem 3</v>
      </c>
    </row>
    <row r="728" spans="1:129" ht="34.15" customHeight="1">
      <c r="A728" s="6">
        <v>728</v>
      </c>
      <c r="B728" s="2">
        <v>46126.801446759302</v>
      </c>
      <c r="C728" s="2">
        <v>46126.802222222199</v>
      </c>
      <c r="D728" s="3" t="s">
        <v>325</v>
      </c>
      <c r="E728" s="3" t="s">
        <v>326</v>
      </c>
      <c r="F728" s="6"/>
      <c r="G728" s="3"/>
      <c r="I728" s="3" t="s">
        <v>275</v>
      </c>
      <c r="J728" s="6"/>
      <c r="K728" s="3"/>
      <c r="L728" s="6" t="s">
        <v>1325</v>
      </c>
      <c r="M728" s="6"/>
      <c r="N728" s="6"/>
      <c r="O728" s="3" t="s">
        <v>133</v>
      </c>
      <c r="P728" s="6"/>
      <c r="Q728" s="3"/>
      <c r="R728" s="3"/>
      <c r="S728" s="6"/>
      <c r="T728" s="3"/>
      <c r="U728" s="7"/>
      <c r="V728" s="6"/>
      <c r="W728" s="3"/>
      <c r="X728" s="6"/>
      <c r="Y728" s="6"/>
      <c r="Z728" s="3"/>
      <c r="AA728" s="3"/>
      <c r="AB728" s="6"/>
      <c r="AC728" s="3"/>
      <c r="AD728" s="3"/>
      <c r="AE728" s="6"/>
      <c r="AF728" s="3"/>
      <c r="AG728" s="3"/>
      <c r="AH728" s="6"/>
      <c r="AI728" s="3"/>
      <c r="AJ728" s="1"/>
      <c r="AK728" s="6"/>
      <c r="AL728" s="3"/>
      <c r="AM728" s="6"/>
      <c r="AN728" s="6"/>
      <c r="AO728" s="3"/>
      <c r="AP728" s="3"/>
      <c r="AQ728" s="6"/>
      <c r="AR728" s="3"/>
      <c r="AS728" s="3"/>
      <c r="AT728" s="6"/>
      <c r="AU728" s="3"/>
      <c r="AV728" s="3" t="s">
        <v>1145</v>
      </c>
      <c r="AW728" s="6"/>
      <c r="AX728" s="3"/>
      <c r="AY728" s="7">
        <v>46121</v>
      </c>
      <c r="AZ728" s="6"/>
      <c r="BA728" s="3"/>
      <c r="BB728" s="6">
        <v>3</v>
      </c>
      <c r="BC728" s="6"/>
      <c r="BD728" s="3"/>
      <c r="BE728" s="3" t="s">
        <v>2110</v>
      </c>
      <c r="BF728" s="6"/>
      <c r="BG728" s="3"/>
      <c r="BH728" s="3" t="s">
        <v>2111</v>
      </c>
      <c r="BI728" s="6"/>
      <c r="BJ728" s="3"/>
      <c r="BK728" s="3"/>
      <c r="BL728" s="6"/>
      <c r="BM728" s="3"/>
      <c r="BN728" s="7"/>
      <c r="BO728" s="6"/>
      <c r="BP728" s="3"/>
      <c r="BQ728" s="6"/>
      <c r="BR728" s="6"/>
      <c r="BS728" s="3"/>
      <c r="BT728" s="3"/>
      <c r="BU728" s="6"/>
      <c r="BV728" s="3"/>
      <c r="BW728" s="3"/>
      <c r="BX728" s="6"/>
      <c r="BY728" s="3"/>
      <c r="BZ728" s="3"/>
      <c r="CA728" s="6"/>
      <c r="CB728" s="3"/>
      <c r="CC728" s="7"/>
      <c r="CD728" s="6"/>
      <c r="CE728" s="3"/>
      <c r="CF728" s="6"/>
      <c r="CG728" s="6"/>
      <c r="CH728" s="3"/>
      <c r="CI728" s="3"/>
      <c r="CJ728" s="6"/>
      <c r="CK728" s="3"/>
      <c r="CL728" s="3"/>
      <c r="CM728" s="6"/>
      <c r="CN728" s="3"/>
      <c r="CO728" s="3"/>
      <c r="CP728" s="6"/>
      <c r="CQ728" s="3"/>
      <c r="CR728" s="7"/>
      <c r="CS728" s="6"/>
      <c r="CT728" s="3"/>
      <c r="CU728" s="6"/>
      <c r="CV728" s="6"/>
      <c r="CW728" s="3"/>
      <c r="CX728" s="3"/>
      <c r="CY728" s="6"/>
      <c r="CZ728" s="3"/>
      <c r="DA728" s="3"/>
      <c r="DB728" s="6"/>
      <c r="DC728" s="3"/>
      <c r="DD728" s="3"/>
      <c r="DE728" s="6"/>
      <c r="DF728" s="3"/>
      <c r="DG728" s="7"/>
      <c r="DH728" s="6"/>
      <c r="DI728" s="3"/>
      <c r="DJ728" s="6"/>
      <c r="DK728" s="6"/>
      <c r="DL728" s="3"/>
      <c r="DM728" s="3"/>
      <c r="DN728" s="6"/>
      <c r="DO728" s="3"/>
      <c r="DP728" s="3"/>
      <c r="DQ728" s="6"/>
      <c r="DR728" s="3"/>
      <c r="DS728" s="3" t="str">
        <f>_xlfn.XLOOKUP(OfficeForms.Table[[#This Row],[Selecione a Categoria do Laboratório desta atividade prática:]],Planilha1!A:A,Planilha1!B:B)</f>
        <v>BFI</v>
      </c>
      <c r="DT728" s="6" t="str">
        <f>CONCATENATE(OfficeForms.Table[[#This Row],[Selecione seu Polo Laboratório de Atividades Presenciais:]],OfficeForms.Table[[#This Row],[CHAVE CONVERSÃO]])</f>
        <v>Porto Alegre/RS - Zona NorteBFI</v>
      </c>
      <c r="DU72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Revisão de Anatomorfofisiologia</v>
      </c>
      <c r="DV72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72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28" s="6" t="str">
        <f>_xlfn.XLOOKUP(OfficeForms.Table[[#This Row],[CHAVE LINK POLO]],'[1]Quadro Geral de Lotação'!$B:$B,'[1]Quadro Geral de Lotação'!$I:$I)</f>
        <v>Fabiano Johnson Duarte Bartmann</v>
      </c>
      <c r="DY728" s="6" t="str">
        <f>OfficeForms.Table[[#This Row],[Selecione a Ordem de Disciplina]]</f>
        <v>Ordem 3</v>
      </c>
    </row>
    <row r="729" spans="1:129" ht="34.15" customHeight="1">
      <c r="A729" s="6">
        <v>729</v>
      </c>
      <c r="B729" s="2">
        <v>46126.794039351902</v>
      </c>
      <c r="C729" s="2">
        <v>46126.8672800926</v>
      </c>
      <c r="D729" s="3" t="s">
        <v>232</v>
      </c>
      <c r="E729" s="3" t="s">
        <v>233</v>
      </c>
      <c r="F729" s="6"/>
      <c r="G729" s="3"/>
      <c r="I729" s="3" t="s">
        <v>234</v>
      </c>
      <c r="J729" s="6"/>
      <c r="K729" s="3"/>
      <c r="L729" s="6" t="s">
        <v>678</v>
      </c>
      <c r="M729" s="6"/>
      <c r="N729" s="6"/>
      <c r="O729" s="3" t="s">
        <v>184</v>
      </c>
      <c r="P729" s="6"/>
      <c r="Q729" s="3"/>
      <c r="R729" s="3"/>
      <c r="S729" s="6"/>
      <c r="T729" s="3"/>
      <c r="U729" s="7"/>
      <c r="V729" s="6"/>
      <c r="W729" s="3"/>
      <c r="X729" s="6"/>
      <c r="Y729" s="6"/>
      <c r="Z729" s="3"/>
      <c r="AA729" s="3"/>
      <c r="AB729" s="6"/>
      <c r="AC729" s="3"/>
      <c r="AD729" s="3"/>
      <c r="AE729" s="6"/>
      <c r="AF729" s="3"/>
      <c r="AG729" s="3" t="s">
        <v>1013</v>
      </c>
      <c r="AH729" s="6"/>
      <c r="AI729" s="3"/>
      <c r="AJ729" s="1">
        <v>46120</v>
      </c>
      <c r="AK729" s="6"/>
      <c r="AL729" s="3"/>
      <c r="AM729" s="6">
        <v>2</v>
      </c>
      <c r="AN729" s="6"/>
      <c r="AO729" s="3"/>
      <c r="AP729" s="3" t="s">
        <v>2112</v>
      </c>
      <c r="AQ729" s="6"/>
      <c r="AR729" s="3"/>
      <c r="AS729" s="3" t="s">
        <v>2113</v>
      </c>
      <c r="AT729" s="6"/>
      <c r="AU729" s="3"/>
      <c r="AV729" s="3"/>
      <c r="AW729" s="6"/>
      <c r="AX729" s="3"/>
      <c r="AY729" s="7"/>
      <c r="AZ729" s="6"/>
      <c r="BA729" s="3"/>
      <c r="BB729" s="6"/>
      <c r="BC729" s="6"/>
      <c r="BD729" s="3"/>
      <c r="BE729" s="3"/>
      <c r="BF729" s="6"/>
      <c r="BG729" s="3"/>
      <c r="BH729" s="3"/>
      <c r="BI729" s="6"/>
      <c r="BJ729" s="3"/>
      <c r="BK729" s="3"/>
      <c r="BL729" s="6"/>
      <c r="BM729" s="3"/>
      <c r="BN729" s="7"/>
      <c r="BO729" s="6"/>
      <c r="BP729" s="3"/>
      <c r="BQ729" s="6"/>
      <c r="BR729" s="6"/>
      <c r="BS729" s="3"/>
      <c r="BT729" s="3"/>
      <c r="BU729" s="6"/>
      <c r="BV729" s="3"/>
      <c r="BW729" s="3"/>
      <c r="BX729" s="6"/>
      <c r="BY729" s="3"/>
      <c r="BZ729" s="3"/>
      <c r="CA729" s="6"/>
      <c r="CB729" s="3"/>
      <c r="CC729" s="7"/>
      <c r="CD729" s="6"/>
      <c r="CE729" s="3"/>
      <c r="CF729" s="6"/>
      <c r="CG729" s="6"/>
      <c r="CH729" s="3"/>
      <c r="CI729" s="3"/>
      <c r="CJ729" s="6"/>
      <c r="CK729" s="3"/>
      <c r="CL729" s="3"/>
      <c r="CM729" s="6"/>
      <c r="CN729" s="3"/>
      <c r="CO729" s="3"/>
      <c r="CP729" s="6"/>
      <c r="CQ729" s="3"/>
      <c r="CR729" s="7"/>
      <c r="CS729" s="6"/>
      <c r="CT729" s="3"/>
      <c r="CU729" s="6"/>
      <c r="CV729" s="6"/>
      <c r="CW729" s="3"/>
      <c r="CX729" s="3"/>
      <c r="CY729" s="6"/>
      <c r="CZ729" s="3"/>
      <c r="DA729" s="3"/>
      <c r="DB729" s="6"/>
      <c r="DC729" s="3"/>
      <c r="DD729" s="3"/>
      <c r="DE729" s="6"/>
      <c r="DF729" s="3"/>
      <c r="DG729" s="7"/>
      <c r="DH729" s="6"/>
      <c r="DI729" s="3"/>
      <c r="DJ729" s="6"/>
      <c r="DK729" s="6"/>
      <c r="DL729" s="3"/>
      <c r="DM729" s="3"/>
      <c r="DN729" s="6"/>
      <c r="DO729" s="3"/>
      <c r="DP729" s="3"/>
      <c r="DQ729" s="6"/>
      <c r="DR729" s="3"/>
      <c r="DS729" s="3" t="str">
        <f>_xlfn.XLOOKUP(OfficeForms.Table[[#This Row],[Selecione a Categoria do Laboratório desta atividade prática:]],Planilha1!A:A,Planilha1!B:B)</f>
        <v>EMF-ISN</v>
      </c>
      <c r="DT729" s="6" t="str">
        <f>CONCATENATE(OfficeForms.Table[[#This Row],[Selecione seu Polo Laboratório de Atividades Presenciais:]],OfficeForms.Table[[#This Row],[CHAVE CONVERSÃO]])</f>
        <v>Santa Fé do Sul/SPEMF-ISN</v>
      </c>
      <c r="DU72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72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72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29" s="6" t="str">
        <f>_xlfn.XLOOKUP(OfficeForms.Table[[#This Row],[CHAVE LINK POLO]],'[1]Quadro Geral de Lotação'!$B:$B,'[1]Quadro Geral de Lotação'!$I:$I)</f>
        <v>Mariana Mirian Correia</v>
      </c>
      <c r="DY729" s="6" t="str">
        <f>OfficeForms.Table[[#This Row],[Selecione a Ordem de Disciplina]]</f>
        <v>Ordem 2</v>
      </c>
    </row>
    <row r="730" spans="1:129" ht="34.15" customHeight="1">
      <c r="A730" s="6">
        <v>730</v>
      </c>
      <c r="B730" s="2">
        <v>46126.910439814797</v>
      </c>
      <c r="C730" s="2">
        <v>46126.911585648202</v>
      </c>
      <c r="D730" s="3" t="s">
        <v>2114</v>
      </c>
      <c r="E730" s="3" t="s">
        <v>2115</v>
      </c>
      <c r="F730" s="6"/>
      <c r="G730" s="3"/>
      <c r="I730" s="3" t="s">
        <v>2116</v>
      </c>
      <c r="J730" s="6"/>
      <c r="K730" s="3"/>
      <c r="L730" s="6" t="s">
        <v>1325</v>
      </c>
      <c r="M730" s="6"/>
      <c r="N730" s="6"/>
      <c r="O730" s="3" t="s">
        <v>184</v>
      </c>
      <c r="P730" s="6"/>
      <c r="Q730" s="3"/>
      <c r="R730" s="3"/>
      <c r="S730" s="6"/>
      <c r="T730" s="3"/>
      <c r="U730" s="7"/>
      <c r="V730" s="6"/>
      <c r="W730" s="3"/>
      <c r="X730" s="6"/>
      <c r="Y730" s="6"/>
      <c r="Z730" s="3"/>
      <c r="AA730" s="3"/>
      <c r="AB730" s="6"/>
      <c r="AC730" s="3"/>
      <c r="AD730" s="3"/>
      <c r="AE730" s="6"/>
      <c r="AF730" s="3"/>
      <c r="AG730" s="3" t="s">
        <v>2117</v>
      </c>
      <c r="AH730" s="6"/>
      <c r="AI730" s="3"/>
      <c r="AJ730" s="1">
        <v>46125</v>
      </c>
      <c r="AK730" s="6"/>
      <c r="AL730" s="3"/>
      <c r="AM730" s="6">
        <v>4</v>
      </c>
      <c r="AN730" s="6"/>
      <c r="AO730" s="3"/>
      <c r="AP730" s="3" t="s">
        <v>2118</v>
      </c>
      <c r="AQ730" s="6"/>
      <c r="AR730" s="3"/>
      <c r="AS730" s="3" t="s">
        <v>2119</v>
      </c>
      <c r="AT730" s="6"/>
      <c r="AU730" s="3"/>
      <c r="AV730" s="3"/>
      <c r="AW730" s="6"/>
      <c r="AX730" s="3"/>
      <c r="AY730" s="7"/>
      <c r="AZ730" s="6"/>
      <c r="BA730" s="3"/>
      <c r="BB730" s="6"/>
      <c r="BC730" s="6"/>
      <c r="BD730" s="3"/>
      <c r="BE730" s="3"/>
      <c r="BF730" s="6"/>
      <c r="BG730" s="3"/>
      <c r="BH730" s="3"/>
      <c r="BI730" s="6"/>
      <c r="BJ730" s="3"/>
      <c r="BK730" s="3"/>
      <c r="BL730" s="6"/>
      <c r="BM730" s="3"/>
      <c r="BN730" s="7"/>
      <c r="BO730" s="6"/>
      <c r="BP730" s="3"/>
      <c r="BQ730" s="6"/>
      <c r="BR730" s="6"/>
      <c r="BS730" s="3"/>
      <c r="BT730" s="3"/>
      <c r="BU730" s="6"/>
      <c r="BV730" s="3"/>
      <c r="BW730" s="3"/>
      <c r="BX730" s="6"/>
      <c r="BY730" s="3"/>
      <c r="BZ730" s="3"/>
      <c r="CA730" s="6"/>
      <c r="CB730" s="3"/>
      <c r="CC730" s="7"/>
      <c r="CD730" s="6"/>
      <c r="CE730" s="3"/>
      <c r="CF730" s="6"/>
      <c r="CG730" s="6"/>
      <c r="CH730" s="3"/>
      <c r="CI730" s="3"/>
      <c r="CJ730" s="6"/>
      <c r="CK730" s="3"/>
      <c r="CL730" s="3"/>
      <c r="CM730" s="6"/>
      <c r="CN730" s="3"/>
      <c r="CO730" s="3"/>
      <c r="CP730" s="6"/>
      <c r="CQ730" s="3"/>
      <c r="CR730" s="7"/>
      <c r="CS730" s="6"/>
      <c r="CT730" s="3"/>
      <c r="CU730" s="6"/>
      <c r="CV730" s="6"/>
      <c r="CW730" s="3"/>
      <c r="CX730" s="3"/>
      <c r="CY730" s="6"/>
      <c r="CZ730" s="3"/>
      <c r="DA730" s="3"/>
      <c r="DB730" s="6"/>
      <c r="DC730" s="3"/>
      <c r="DD730" s="3"/>
      <c r="DE730" s="6"/>
      <c r="DF730" s="3"/>
      <c r="DG730" s="7"/>
      <c r="DH730" s="6"/>
      <c r="DI730" s="3"/>
      <c r="DJ730" s="6"/>
      <c r="DK730" s="6"/>
      <c r="DL730" s="3"/>
      <c r="DM730" s="3"/>
      <c r="DN730" s="6"/>
      <c r="DO730" s="3"/>
      <c r="DP730" s="3"/>
      <c r="DQ730" s="6"/>
      <c r="DR730" s="3"/>
      <c r="DS730" s="3" t="str">
        <f>_xlfn.XLOOKUP(OfficeForms.Table[[#This Row],[Selecione a Categoria do Laboratório desta atividade prática:]],Planilha1!A:A,Planilha1!B:B)</f>
        <v>EMF-ISN</v>
      </c>
      <c r="DT730" s="6" t="str">
        <f>CONCATENATE(OfficeForms.Table[[#This Row],[Selecione seu Polo Laboratório de Atividades Presenciais:]],OfficeForms.Table[[#This Row],[CHAVE CONVERSÃO]])</f>
        <v>Pouso Alegre/MGEMF-ISN</v>
      </c>
      <c r="DU73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gravídico-puerperal;Saúde da mulher reprodutiva + Realização do exame de Papanicolau</v>
      </c>
      <c r="DV73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73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730" s="6" t="str">
        <f>_xlfn.XLOOKUP(OfficeForms.Table[[#This Row],[CHAVE LINK POLO]],'[1]Quadro Geral de Lotação'!$B:$B,'[1]Quadro Geral de Lotação'!$I:$I)</f>
        <v>Leonardo Lucio Augusto Felipe</v>
      </c>
      <c r="DY730" s="6" t="str">
        <f>OfficeForms.Table[[#This Row],[Selecione a Ordem de Disciplina]]</f>
        <v>Ordem 3</v>
      </c>
    </row>
    <row r="731" spans="1:129" ht="34.15" customHeight="1">
      <c r="A731" s="6">
        <v>731</v>
      </c>
      <c r="B731" s="2">
        <v>46127.429247685199</v>
      </c>
      <c r="C731" s="2">
        <v>46127.433981481503</v>
      </c>
      <c r="D731" s="3" t="s">
        <v>2039</v>
      </c>
      <c r="E731" s="3" t="s">
        <v>2040</v>
      </c>
      <c r="F731" s="6"/>
      <c r="G731" s="3"/>
      <c r="I731" s="3" t="s">
        <v>2041</v>
      </c>
      <c r="J731" s="6"/>
      <c r="K731" s="3"/>
      <c r="L731" s="6" t="s">
        <v>1325</v>
      </c>
      <c r="M731" s="6"/>
      <c r="N731" s="6"/>
      <c r="O731" s="3" t="s">
        <v>184</v>
      </c>
      <c r="P731" s="6"/>
      <c r="Q731" s="3"/>
      <c r="R731" s="3"/>
      <c r="S731" s="6"/>
      <c r="T731" s="3"/>
      <c r="U731" s="7"/>
      <c r="V731" s="6"/>
      <c r="W731" s="3"/>
      <c r="X731" s="6"/>
      <c r="Y731" s="6"/>
      <c r="Z731" s="3"/>
      <c r="AA731" s="3"/>
      <c r="AB731" s="6"/>
      <c r="AC731" s="3"/>
      <c r="AD731" s="3"/>
      <c r="AE731" s="6"/>
      <c r="AF731" s="3"/>
      <c r="AG731" s="3" t="s">
        <v>2120</v>
      </c>
      <c r="AH731" s="6"/>
      <c r="AI731" s="3"/>
      <c r="AJ731" s="1">
        <v>46126</v>
      </c>
      <c r="AK731" s="6"/>
      <c r="AL731" s="3"/>
      <c r="AM731" s="6">
        <v>0</v>
      </c>
      <c r="AN731" s="6"/>
      <c r="AO731" s="3"/>
      <c r="AP731" s="3" t="s">
        <v>2121</v>
      </c>
      <c r="AQ731" s="6"/>
      <c r="AR731" s="3"/>
      <c r="AS731" s="3" t="s">
        <v>2122</v>
      </c>
      <c r="AT731" s="6"/>
      <c r="AU731" s="3"/>
      <c r="AV731" s="3"/>
      <c r="AW731" s="6"/>
      <c r="AX731" s="3"/>
      <c r="AY731" s="7"/>
      <c r="AZ731" s="6"/>
      <c r="BA731" s="3"/>
      <c r="BB731" s="6"/>
      <c r="BC731" s="6"/>
      <c r="BD731" s="3"/>
      <c r="BE731" s="3"/>
      <c r="BF731" s="6"/>
      <c r="BG731" s="3"/>
      <c r="BH731" s="3"/>
      <c r="BI731" s="6"/>
      <c r="BJ731" s="3"/>
      <c r="BK731" s="3"/>
      <c r="BL731" s="6"/>
      <c r="BM731" s="3"/>
      <c r="BN731" s="7"/>
      <c r="BO731" s="6"/>
      <c r="BP731" s="3"/>
      <c r="BQ731" s="6"/>
      <c r="BR731" s="6"/>
      <c r="BS731" s="3"/>
      <c r="BT731" s="3"/>
      <c r="BU731" s="6"/>
      <c r="BV731" s="3"/>
      <c r="BW731" s="3"/>
      <c r="BX731" s="6"/>
      <c r="BY731" s="3"/>
      <c r="BZ731" s="3"/>
      <c r="CA731" s="6"/>
      <c r="CB731" s="3"/>
      <c r="CC731" s="7"/>
      <c r="CD731" s="6"/>
      <c r="CE731" s="3"/>
      <c r="CF731" s="6"/>
      <c r="CG731" s="6"/>
      <c r="CH731" s="3"/>
      <c r="CI731" s="3"/>
      <c r="CJ731" s="6"/>
      <c r="CK731" s="3"/>
      <c r="CL731" s="3"/>
      <c r="CM731" s="6"/>
      <c r="CN731" s="3"/>
      <c r="CO731" s="3"/>
      <c r="CP731" s="6"/>
      <c r="CQ731" s="3"/>
      <c r="CR731" s="7"/>
      <c r="CS731" s="6"/>
      <c r="CT731" s="3"/>
      <c r="CU731" s="6"/>
      <c r="CV731" s="6"/>
      <c r="CW731" s="3"/>
      <c r="CX731" s="3"/>
      <c r="CY731" s="6"/>
      <c r="CZ731" s="3"/>
      <c r="DA731" s="3"/>
      <c r="DB731" s="6"/>
      <c r="DC731" s="3"/>
      <c r="DD731" s="3"/>
      <c r="DE731" s="6"/>
      <c r="DF731" s="3"/>
      <c r="DG731" s="7"/>
      <c r="DH731" s="6"/>
      <c r="DI731" s="3"/>
      <c r="DJ731" s="6"/>
      <c r="DK731" s="6"/>
      <c r="DL731" s="3"/>
      <c r="DM731" s="3"/>
      <c r="DN731" s="6"/>
      <c r="DO731" s="3"/>
      <c r="DP731" s="3"/>
      <c r="DQ731" s="6"/>
      <c r="DR731" s="3"/>
      <c r="DS731" s="3" t="str">
        <f>_xlfn.XLOOKUP(OfficeForms.Table[[#This Row],[Selecione a Categoria do Laboratório desta atividade prática:]],Planilha1!A:A,Planilha1!B:B)</f>
        <v>EMF-ISN</v>
      </c>
      <c r="DT731" s="6" t="str">
        <f>CONCATENATE(OfficeForms.Table[[#This Row],[Selecione seu Polo Laboratório de Atividades Presenciais:]],OfficeForms.Table[[#This Row],[CHAVE CONVERSÃO]])</f>
        <v>Ponta Grossa/PR - CentroEMF-ISN</v>
      </c>
      <c r="DU73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Venosa + Retirada de pontos</v>
      </c>
      <c r="DV73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73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31" s="6" t="str">
        <f>_xlfn.XLOOKUP(OfficeForms.Table[[#This Row],[CHAVE LINK POLO]],'[1]Quadro Geral de Lotação'!$B:$B,'[1]Quadro Geral de Lotação'!$I:$I)</f>
        <v>-</v>
      </c>
      <c r="DY731" s="6" t="str">
        <f>OfficeForms.Table[[#This Row],[Selecione a Ordem de Disciplina]]</f>
        <v>Ordem 3</v>
      </c>
    </row>
    <row r="732" spans="1:129" ht="34.15" customHeight="1">
      <c r="A732" s="6">
        <v>732</v>
      </c>
      <c r="B732" s="2">
        <v>46127.456111111103</v>
      </c>
      <c r="C732" s="2">
        <v>46127.4581944444</v>
      </c>
      <c r="D732" s="3" t="s">
        <v>2123</v>
      </c>
      <c r="E732" s="3" t="s">
        <v>2124</v>
      </c>
      <c r="F732" s="6"/>
      <c r="G732" s="3"/>
      <c r="I732" s="3" t="s">
        <v>1247</v>
      </c>
      <c r="J732" s="6"/>
      <c r="K732" s="3"/>
      <c r="L732" s="6" t="s">
        <v>1325</v>
      </c>
      <c r="M732" s="6"/>
      <c r="N732" s="6"/>
      <c r="O732" s="3" t="s">
        <v>156</v>
      </c>
      <c r="P732" s="6"/>
      <c r="Q732" s="3"/>
      <c r="R732" s="3"/>
      <c r="S732" s="6"/>
      <c r="T732" s="3"/>
      <c r="U732" s="7"/>
      <c r="V732" s="6"/>
      <c r="W732" s="3"/>
      <c r="X732" s="6"/>
      <c r="Y732" s="6"/>
      <c r="Z732" s="3"/>
      <c r="AA732" s="3"/>
      <c r="AB732" s="6"/>
      <c r="AC732" s="3"/>
      <c r="AD732" s="3"/>
      <c r="AE732" s="6"/>
      <c r="AF732" s="3"/>
      <c r="AG732" s="3"/>
      <c r="AH732" s="6"/>
      <c r="AI732" s="3"/>
      <c r="AJ732" s="1"/>
      <c r="AK732" s="6"/>
      <c r="AL732" s="3"/>
      <c r="AM732" s="6"/>
      <c r="AN732" s="6"/>
      <c r="AO732" s="3"/>
      <c r="AP732" s="3"/>
      <c r="AQ732" s="6"/>
      <c r="AR732" s="3"/>
      <c r="AS732" s="3"/>
      <c r="AT732" s="6"/>
      <c r="AU732" s="3"/>
      <c r="AV732" s="3"/>
      <c r="AW732" s="6"/>
      <c r="AX732" s="3"/>
      <c r="AY732" s="7"/>
      <c r="AZ732" s="6"/>
      <c r="BA732" s="3"/>
      <c r="BB732" s="6"/>
      <c r="BC732" s="6"/>
      <c r="BD732" s="3"/>
      <c r="BE732" s="3"/>
      <c r="BF732" s="6"/>
      <c r="BG732" s="3"/>
      <c r="BH732" s="3"/>
      <c r="BI732" s="6"/>
      <c r="BJ732" s="3"/>
      <c r="BK732" s="3" t="s">
        <v>1370</v>
      </c>
      <c r="BL732" s="6"/>
      <c r="BM732" s="3"/>
      <c r="BN732" s="7">
        <v>46126</v>
      </c>
      <c r="BO732" s="6"/>
      <c r="BP732" s="3"/>
      <c r="BQ732" s="6">
        <v>3</v>
      </c>
      <c r="BR732" s="6"/>
      <c r="BS732" s="3"/>
      <c r="BT732" s="3" t="s">
        <v>2125</v>
      </c>
      <c r="BU732" s="6"/>
      <c r="BV732" s="3"/>
      <c r="BW732" s="3" t="s">
        <v>2126</v>
      </c>
      <c r="BX732" s="6"/>
      <c r="BY732" s="3"/>
      <c r="BZ732" s="3"/>
      <c r="CA732" s="6"/>
      <c r="CB732" s="3"/>
      <c r="CC732" s="7"/>
      <c r="CD732" s="6"/>
      <c r="CE732" s="3"/>
      <c r="CF732" s="6"/>
      <c r="CG732" s="6"/>
      <c r="CH732" s="3"/>
      <c r="CI732" s="3"/>
      <c r="CJ732" s="6"/>
      <c r="CK732" s="3"/>
      <c r="CL732" s="3"/>
      <c r="CM732" s="6"/>
      <c r="CN732" s="3"/>
      <c r="CO732" s="3"/>
      <c r="CP732" s="6"/>
      <c r="CQ732" s="3"/>
      <c r="CR732" s="7"/>
      <c r="CS732" s="6"/>
      <c r="CT732" s="3"/>
      <c r="CU732" s="6"/>
      <c r="CV732" s="6"/>
      <c r="CW732" s="3"/>
      <c r="CX732" s="3"/>
      <c r="CY732" s="6"/>
      <c r="CZ732" s="3"/>
      <c r="DA732" s="3"/>
      <c r="DB732" s="6"/>
      <c r="DC732" s="3"/>
      <c r="DD732" s="3"/>
      <c r="DE732" s="6"/>
      <c r="DF732" s="3"/>
      <c r="DG732" s="7"/>
      <c r="DH732" s="6"/>
      <c r="DI732" s="3"/>
      <c r="DJ732" s="6"/>
      <c r="DK732" s="6"/>
      <c r="DL732" s="3"/>
      <c r="DM732" s="3"/>
      <c r="DN732" s="6"/>
      <c r="DO732" s="3"/>
      <c r="DP732" s="3"/>
      <c r="DQ732" s="6"/>
      <c r="DR732" s="3"/>
      <c r="DS732" s="3" t="str">
        <f>_xlfn.XLOOKUP(OfficeForms.Table[[#This Row],[Selecione a Categoria do Laboratório desta atividade prática:]],Planilha1!A:A,Planilha1!B:B)</f>
        <v>NTR</v>
      </c>
      <c r="DT732" s="6" t="str">
        <f>CONCATENATE(OfficeForms.Table[[#This Row],[Selecione seu Polo Laboratório de Atividades Presenciais:]],OfficeForms.Table[[#This Row],[CHAVE CONVERSÃO]])</f>
        <v>Belo Horizonte/MG - Shopping Estação BHNTR</v>
      </c>
      <c r="DU73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acamado;Anamnese nutricional do adulto e Diagnóstico nutricional</v>
      </c>
      <c r="DV73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73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32" s="6" t="str">
        <f>_xlfn.XLOOKUP(OfficeForms.Table[[#This Row],[CHAVE LINK POLO]],'[1]Quadro Geral de Lotação'!$B:$B,'[1]Quadro Geral de Lotação'!$I:$I)</f>
        <v>Vinicius Augusto Da Silva</v>
      </c>
      <c r="DY732" s="6" t="str">
        <f>OfficeForms.Table[[#This Row],[Selecione a Ordem de Disciplina]]</f>
        <v>Ordem 3</v>
      </c>
    </row>
    <row r="733" spans="1:129" ht="34.15" customHeight="1">
      <c r="A733" s="6">
        <v>733</v>
      </c>
      <c r="B733" s="2">
        <v>46127.459131944401</v>
      </c>
      <c r="C733" s="2">
        <v>46127.4598148148</v>
      </c>
      <c r="D733" s="3" t="s">
        <v>2127</v>
      </c>
      <c r="E733" s="3" t="s">
        <v>2128</v>
      </c>
      <c r="F733" s="6"/>
      <c r="G733" s="3"/>
      <c r="I733" s="3" t="s">
        <v>1247</v>
      </c>
      <c r="J733" s="6"/>
      <c r="K733" s="3"/>
      <c r="L733" s="6" t="s">
        <v>1325</v>
      </c>
      <c r="M733" s="6"/>
      <c r="N733" s="6"/>
      <c r="O733" s="3" t="s">
        <v>156</v>
      </c>
      <c r="P733" s="6"/>
      <c r="Q733" s="3"/>
      <c r="R733" s="3"/>
      <c r="S733" s="6"/>
      <c r="T733" s="3"/>
      <c r="U733" s="7"/>
      <c r="V733" s="6"/>
      <c r="W733" s="3"/>
      <c r="X733" s="6"/>
      <c r="Y733" s="6"/>
      <c r="Z733" s="3"/>
      <c r="AA733" s="3"/>
      <c r="AB733" s="6"/>
      <c r="AC733" s="3"/>
      <c r="AD733" s="3"/>
      <c r="AE733" s="6"/>
      <c r="AF733" s="3"/>
      <c r="AG733" s="3"/>
      <c r="AH733" s="6"/>
      <c r="AI733" s="3"/>
      <c r="AJ733" s="1"/>
      <c r="AK733" s="6"/>
      <c r="AL733" s="3"/>
      <c r="AM733" s="6"/>
      <c r="AN733" s="6"/>
      <c r="AO733" s="3"/>
      <c r="AP733" s="3"/>
      <c r="AQ733" s="6"/>
      <c r="AR733" s="3"/>
      <c r="AS733" s="3"/>
      <c r="AT733" s="6"/>
      <c r="AU733" s="3"/>
      <c r="AV733" s="3"/>
      <c r="AW733" s="6"/>
      <c r="AX733" s="3"/>
      <c r="AY733" s="7"/>
      <c r="AZ733" s="6"/>
      <c r="BA733" s="3"/>
      <c r="BB733" s="6"/>
      <c r="BC733" s="6"/>
      <c r="BD733" s="3"/>
      <c r="BE733" s="3"/>
      <c r="BF733" s="6"/>
      <c r="BG733" s="3"/>
      <c r="BH733" s="3"/>
      <c r="BI733" s="6"/>
      <c r="BJ733" s="3"/>
      <c r="BK733" s="3" t="s">
        <v>1370</v>
      </c>
      <c r="BL733" s="6"/>
      <c r="BM733" s="3"/>
      <c r="BN733" s="7">
        <v>46126</v>
      </c>
      <c r="BO733" s="6"/>
      <c r="BP733" s="3"/>
      <c r="BQ733" s="6">
        <v>3</v>
      </c>
      <c r="BR733" s="6"/>
      <c r="BS733" s="3"/>
      <c r="BT733" s="3" t="s">
        <v>2129</v>
      </c>
      <c r="BU733" s="6"/>
      <c r="BV733" s="3"/>
      <c r="BW733" s="3" t="s">
        <v>2130</v>
      </c>
      <c r="BX733" s="6"/>
      <c r="BY733" s="3"/>
      <c r="BZ733" s="3"/>
      <c r="CA733" s="6"/>
      <c r="CB733" s="3"/>
      <c r="CC733" s="7"/>
      <c r="CD733" s="6"/>
      <c r="CE733" s="3"/>
      <c r="CF733" s="6"/>
      <c r="CG733" s="6"/>
      <c r="CH733" s="3"/>
      <c r="CI733" s="3"/>
      <c r="CJ733" s="6"/>
      <c r="CK733" s="3"/>
      <c r="CL733" s="3"/>
      <c r="CM733" s="6"/>
      <c r="CN733" s="3"/>
      <c r="CO733" s="3"/>
      <c r="CP733" s="6"/>
      <c r="CQ733" s="3"/>
      <c r="CR733" s="7"/>
      <c r="CS733" s="6"/>
      <c r="CT733" s="3"/>
      <c r="CU733" s="6"/>
      <c r="CV733" s="6"/>
      <c r="CW733" s="3"/>
      <c r="CX733" s="3"/>
      <c r="CY733" s="6"/>
      <c r="CZ733" s="3"/>
      <c r="DA733" s="3"/>
      <c r="DB733" s="6"/>
      <c r="DC733" s="3"/>
      <c r="DD733" s="3"/>
      <c r="DE733" s="6"/>
      <c r="DF733" s="3"/>
      <c r="DG733" s="7"/>
      <c r="DH733" s="6"/>
      <c r="DI733" s="3"/>
      <c r="DJ733" s="6"/>
      <c r="DK733" s="6"/>
      <c r="DL733" s="3"/>
      <c r="DM733" s="3"/>
      <c r="DN733" s="6"/>
      <c r="DO733" s="3"/>
      <c r="DP733" s="3"/>
      <c r="DQ733" s="6"/>
      <c r="DR733" s="3"/>
      <c r="DS733" s="3" t="str">
        <f>_xlfn.XLOOKUP(OfficeForms.Table[[#This Row],[Selecione a Categoria do Laboratório desta atividade prática:]],Planilha1!A:A,Planilha1!B:B)</f>
        <v>NTR</v>
      </c>
      <c r="DT733" s="6" t="str">
        <f>CONCATENATE(OfficeForms.Table[[#This Row],[Selecione seu Polo Laboratório de Atividades Presenciais:]],OfficeForms.Table[[#This Row],[CHAVE CONVERSÃO]])</f>
        <v>Belo Horizonte/MG - Shopping Estação BHNTR</v>
      </c>
      <c r="DU73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acamado;Anamnese nutricional do adulto e Diagnóstico nutricional</v>
      </c>
      <c r="DV73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73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33" s="6" t="str">
        <f>_xlfn.XLOOKUP(OfficeForms.Table[[#This Row],[CHAVE LINK POLO]],'[1]Quadro Geral de Lotação'!$B:$B,'[1]Quadro Geral de Lotação'!$I:$I)</f>
        <v>Vinicius Augusto Da Silva</v>
      </c>
      <c r="DY733" s="6" t="str">
        <f>OfficeForms.Table[[#This Row],[Selecione a Ordem de Disciplina]]</f>
        <v>Ordem 3</v>
      </c>
    </row>
    <row r="734" spans="1:129" ht="34.15" customHeight="1">
      <c r="A734" s="6">
        <v>734</v>
      </c>
      <c r="B734" s="2">
        <v>46127.5136921296</v>
      </c>
      <c r="C734" s="2">
        <v>46127.515949074099</v>
      </c>
      <c r="D734" s="3" t="s">
        <v>1314</v>
      </c>
      <c r="E734" s="3" t="s">
        <v>1315</v>
      </c>
      <c r="F734" s="6"/>
      <c r="G734" s="3"/>
      <c r="I734" s="3" t="s">
        <v>513</v>
      </c>
      <c r="J734" s="6"/>
      <c r="K734" s="3"/>
      <c r="L734" s="6" t="s">
        <v>1325</v>
      </c>
      <c r="M734" s="6"/>
      <c r="N734" s="6"/>
      <c r="O734" s="3" t="s">
        <v>497</v>
      </c>
      <c r="P734" s="6"/>
      <c r="Q734" s="3"/>
      <c r="R734" s="3" t="s">
        <v>2131</v>
      </c>
      <c r="S734" s="6"/>
      <c r="T734" s="3"/>
      <c r="U734" s="7">
        <v>46120</v>
      </c>
      <c r="V734" s="6"/>
      <c r="W734" s="3"/>
      <c r="X734" s="6">
        <v>3</v>
      </c>
      <c r="Y734" s="6"/>
      <c r="Z734" s="3"/>
      <c r="AA734" s="3" t="s">
        <v>2132</v>
      </c>
      <c r="AB734" s="6"/>
      <c r="AC734" s="3"/>
      <c r="AD734" s="3" t="s">
        <v>2133</v>
      </c>
      <c r="AE734" s="6"/>
      <c r="AF734" s="3"/>
      <c r="AG734" s="3"/>
      <c r="AH734" s="6"/>
      <c r="AI734" s="3"/>
      <c r="AJ734" s="1"/>
      <c r="AK734" s="6"/>
      <c r="AL734" s="3"/>
      <c r="AM734" s="6"/>
      <c r="AN734" s="6"/>
      <c r="AO734" s="3"/>
      <c r="AP734" s="3"/>
      <c r="AQ734" s="6"/>
      <c r="AR734" s="3"/>
      <c r="AS734" s="3"/>
      <c r="AT734" s="6"/>
      <c r="AU734" s="3"/>
      <c r="AV734" s="3"/>
      <c r="AW734" s="6"/>
      <c r="AX734" s="3"/>
      <c r="AY734" s="7"/>
      <c r="AZ734" s="6"/>
      <c r="BA734" s="3"/>
      <c r="BB734" s="6"/>
      <c r="BC734" s="6"/>
      <c r="BD734" s="3"/>
      <c r="BE734" s="3"/>
      <c r="BF734" s="6"/>
      <c r="BG734" s="3"/>
      <c r="BH734" s="3"/>
      <c r="BI734" s="6"/>
      <c r="BJ734" s="3"/>
      <c r="BK734" s="3"/>
      <c r="BL734" s="6"/>
      <c r="BM734" s="3"/>
      <c r="BN734" s="7"/>
      <c r="BO734" s="6"/>
      <c r="BP734" s="3"/>
      <c r="BQ734" s="6"/>
      <c r="BR734" s="6"/>
      <c r="BS734" s="3"/>
      <c r="BT734" s="3"/>
      <c r="BU734" s="6"/>
      <c r="BV734" s="3"/>
      <c r="BW734" s="3"/>
      <c r="BX734" s="6"/>
      <c r="BY734" s="3"/>
      <c r="BZ734" s="3"/>
      <c r="CA734" s="6"/>
      <c r="CB734" s="3"/>
      <c r="CC734" s="7"/>
      <c r="CD734" s="6"/>
      <c r="CE734" s="3"/>
      <c r="CF734" s="6"/>
      <c r="CG734" s="6"/>
      <c r="CH734" s="3"/>
      <c r="CI734" s="3"/>
      <c r="CJ734" s="6"/>
      <c r="CK734" s="3"/>
      <c r="CL734" s="3"/>
      <c r="CM734" s="6"/>
      <c r="CN734" s="3"/>
      <c r="CO734" s="3"/>
      <c r="CP734" s="6"/>
      <c r="CQ734" s="3"/>
      <c r="CR734" s="7"/>
      <c r="CS734" s="6"/>
      <c r="CT734" s="3"/>
      <c r="CU734" s="6"/>
      <c r="CV734" s="6"/>
      <c r="CW734" s="3"/>
      <c r="CX734" s="3"/>
      <c r="CY734" s="6"/>
      <c r="CZ734" s="3"/>
      <c r="DA734" s="3"/>
      <c r="DB734" s="6"/>
      <c r="DC734" s="3"/>
      <c r="DD734" s="3"/>
      <c r="DE734" s="6"/>
      <c r="DF734" s="3"/>
      <c r="DG734" s="7"/>
      <c r="DH734" s="6"/>
      <c r="DI734" s="3"/>
      <c r="DJ734" s="6"/>
      <c r="DK734" s="6"/>
      <c r="DL734" s="3"/>
      <c r="DM734" s="3"/>
      <c r="DN734" s="6"/>
      <c r="DO734" s="3"/>
      <c r="DP734" s="3"/>
      <c r="DQ734" s="6"/>
      <c r="DR734" s="3"/>
      <c r="DS734" s="3" t="str">
        <f>_xlfn.XLOOKUP(OfficeForms.Table[[#This Row],[Selecione a Categoria do Laboratório desta atividade prática:]],Planilha1!A:A,Planilha1!B:B)</f>
        <v>BFR-BBI</v>
      </c>
      <c r="DT734" s="6" t="str">
        <f>CONCATENATE(OfficeForms.Table[[#This Row],[Selecione seu Polo Laboratório de Atividades Presenciais:]],OfficeForms.Table[[#This Row],[CHAVE CONVERSÃO]])</f>
        <v>Aracaju/SE - Ponto NovoBFR-BBI</v>
      </c>
      <c r="DU73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Latex (fator reumatoide), ALSO e PCR</v>
      </c>
      <c r="DV73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73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34" s="6" t="e">
        <f>_xlfn.XLOOKUP(OfficeForms.Table[[#This Row],[CHAVE LINK POLO]],'[1]Quadro Geral de Lotação'!$B:$B,'[1]Quadro Geral de Lotação'!$I:$I)</f>
        <v>#N/A</v>
      </c>
      <c r="DY734" s="6" t="str">
        <f>OfficeForms.Table[[#This Row],[Selecione a Ordem de Disciplina]]</f>
        <v>Ordem 3</v>
      </c>
    </row>
    <row r="735" spans="1:129" ht="34.15" customHeight="1">
      <c r="A735" s="6">
        <v>735</v>
      </c>
      <c r="B735" s="2">
        <v>46127.688530092601</v>
      </c>
      <c r="C735" s="2">
        <v>46127.694224537001</v>
      </c>
      <c r="D735" s="3" t="s">
        <v>751</v>
      </c>
      <c r="E735" s="3" t="s">
        <v>752</v>
      </c>
      <c r="F735" s="6"/>
      <c r="G735" s="3"/>
      <c r="I735" s="3" t="s">
        <v>753</v>
      </c>
      <c r="J735" s="6"/>
      <c r="K735" s="3"/>
      <c r="L735" s="6" t="s">
        <v>1325</v>
      </c>
      <c r="M735" s="6"/>
      <c r="N735" s="6"/>
      <c r="O735" s="3" t="s">
        <v>184</v>
      </c>
      <c r="P735" s="6"/>
      <c r="Q735" s="3"/>
      <c r="R735" s="3"/>
      <c r="S735" s="6"/>
      <c r="T735" s="3"/>
      <c r="U735" s="7"/>
      <c r="V735" s="6"/>
      <c r="W735" s="3"/>
      <c r="X735" s="6"/>
      <c r="Y735" s="6"/>
      <c r="Z735" s="3"/>
      <c r="AA735" s="3"/>
      <c r="AB735" s="6"/>
      <c r="AC735" s="3"/>
      <c r="AD735" s="3"/>
      <c r="AE735" s="6"/>
      <c r="AF735" s="3"/>
      <c r="AG735" s="3" t="s">
        <v>2134</v>
      </c>
      <c r="AH735" s="6"/>
      <c r="AI735" s="3"/>
      <c r="AJ735" s="1">
        <v>46126</v>
      </c>
      <c r="AK735" s="6"/>
      <c r="AL735" s="3"/>
      <c r="AM735" s="6">
        <v>0</v>
      </c>
      <c r="AN735" s="6"/>
      <c r="AO735" s="3"/>
      <c r="AP735" s="3" t="s">
        <v>2135</v>
      </c>
      <c r="AQ735" s="6"/>
      <c r="AR735" s="3"/>
      <c r="AS735" s="3" t="s">
        <v>2136</v>
      </c>
      <c r="AT735" s="6"/>
      <c r="AU735" s="3"/>
      <c r="AV735" s="3"/>
      <c r="AW735" s="6"/>
      <c r="AX735" s="3"/>
      <c r="AY735" s="7"/>
      <c r="AZ735" s="6"/>
      <c r="BA735" s="3"/>
      <c r="BB735" s="6"/>
      <c r="BC735" s="6"/>
      <c r="BD735" s="3"/>
      <c r="BE735" s="3"/>
      <c r="BF735" s="6"/>
      <c r="BG735" s="3"/>
      <c r="BH735" s="3"/>
      <c r="BI735" s="6"/>
      <c r="BJ735" s="3"/>
      <c r="BK735" s="3"/>
      <c r="BL735" s="6"/>
      <c r="BM735" s="3"/>
      <c r="BN735" s="7"/>
      <c r="BO735" s="6"/>
      <c r="BP735" s="3"/>
      <c r="BQ735" s="6"/>
      <c r="BR735" s="6"/>
      <c r="BS735" s="3"/>
      <c r="BT735" s="3"/>
      <c r="BU735" s="6"/>
      <c r="BV735" s="3"/>
      <c r="BW735" s="3"/>
      <c r="BX735" s="6"/>
      <c r="BY735" s="3"/>
      <c r="BZ735" s="3"/>
      <c r="CA735" s="6"/>
      <c r="CB735" s="3"/>
      <c r="CC735" s="7"/>
      <c r="CD735" s="6"/>
      <c r="CE735" s="3"/>
      <c r="CF735" s="6"/>
      <c r="CG735" s="6"/>
      <c r="CH735" s="3"/>
      <c r="CI735" s="3"/>
      <c r="CJ735" s="6"/>
      <c r="CK735" s="3"/>
      <c r="CL735" s="3"/>
      <c r="CM735" s="6"/>
      <c r="CN735" s="3"/>
      <c r="CO735" s="3"/>
      <c r="CP735" s="6"/>
      <c r="CQ735" s="3"/>
      <c r="CR735" s="7"/>
      <c r="CS735" s="6"/>
      <c r="CT735" s="3"/>
      <c r="CU735" s="6"/>
      <c r="CV735" s="6"/>
      <c r="CW735" s="3"/>
      <c r="CX735" s="3"/>
      <c r="CY735" s="6"/>
      <c r="CZ735" s="3"/>
      <c r="DA735" s="3"/>
      <c r="DB735" s="6"/>
      <c r="DC735" s="3"/>
      <c r="DD735" s="3"/>
      <c r="DE735" s="6"/>
      <c r="DF735" s="3"/>
      <c r="DG735" s="7"/>
      <c r="DH735" s="6"/>
      <c r="DI735" s="3"/>
      <c r="DJ735" s="6"/>
      <c r="DK735" s="6"/>
      <c r="DL735" s="3"/>
      <c r="DM735" s="3"/>
      <c r="DN735" s="6"/>
      <c r="DO735" s="3"/>
      <c r="DP735" s="3"/>
      <c r="DQ735" s="6"/>
      <c r="DR735" s="3"/>
      <c r="DS735" s="3" t="str">
        <f>_xlfn.XLOOKUP(OfficeForms.Table[[#This Row],[Selecione a Categoria do Laboratório desta atividade prática:]],Planilha1!A:A,Planilha1!B:B)</f>
        <v>EMF-ISN</v>
      </c>
      <c r="DT735" s="6" t="str">
        <f>CONCATENATE(OfficeForms.Table[[#This Row],[Selecione seu Polo Laboratório de Atividades Presenciais:]],OfficeForms.Table[[#This Row],[CHAVE CONVERSÃO]])</f>
        <v>São Paulo/SP - TatuapéEMF-ISN</v>
      </c>
      <c r="DU73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Medidas antropométricas da criança e adolescente + Acolhimento e escala de Manchester pediatria</v>
      </c>
      <c r="DV73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73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35" s="6" t="str">
        <f>_xlfn.XLOOKUP(OfficeForms.Table[[#This Row],[CHAVE LINK POLO]],'[1]Quadro Geral de Lotação'!$B:$B,'[1]Quadro Geral de Lotação'!$I:$I)</f>
        <v>Luiz Dias Da Silva</v>
      </c>
      <c r="DY735" s="6" t="str">
        <f>OfficeForms.Table[[#This Row],[Selecione a Ordem de Disciplina]]</f>
        <v>Ordem 3</v>
      </c>
    </row>
    <row r="736" spans="1:129" ht="34.15" customHeight="1">
      <c r="A736" s="6">
        <v>736</v>
      </c>
      <c r="B736" s="2">
        <v>46127.688321759299</v>
      </c>
      <c r="C736" s="2">
        <v>46127.695486111101</v>
      </c>
      <c r="D736" s="3" t="s">
        <v>2137</v>
      </c>
      <c r="E736" s="3" t="s">
        <v>2138</v>
      </c>
      <c r="F736" s="6"/>
      <c r="G736" s="3"/>
      <c r="I736" s="3" t="s">
        <v>2139</v>
      </c>
      <c r="J736" s="6"/>
      <c r="K736" s="3"/>
      <c r="L736" s="6" t="s">
        <v>132</v>
      </c>
      <c r="M736" s="6"/>
      <c r="N736" s="6"/>
      <c r="O736" s="3" t="s">
        <v>184</v>
      </c>
      <c r="P736" s="6"/>
      <c r="Q736" s="3"/>
      <c r="R736" s="3"/>
      <c r="S736" s="6"/>
      <c r="T736" s="3"/>
      <c r="U736" s="7"/>
      <c r="V736" s="6"/>
      <c r="W736" s="3"/>
      <c r="X736" s="6"/>
      <c r="Y736" s="6"/>
      <c r="Z736" s="3"/>
      <c r="AA736" s="3"/>
      <c r="AB736" s="6"/>
      <c r="AC736" s="3"/>
      <c r="AD736" s="3"/>
      <c r="AE736" s="6"/>
      <c r="AF736" s="3"/>
      <c r="AG736" s="3" t="s">
        <v>2140</v>
      </c>
      <c r="AH736" s="6"/>
      <c r="AI736" s="3"/>
      <c r="AJ736" s="1">
        <v>46086</v>
      </c>
      <c r="AK736" s="6"/>
      <c r="AL736" s="3"/>
      <c r="AM736" s="6">
        <v>3</v>
      </c>
      <c r="AN736" s="6"/>
      <c r="AO736" s="3"/>
      <c r="AP736" s="3" t="s">
        <v>2141</v>
      </c>
      <c r="AQ736" s="6"/>
      <c r="AR736" s="3"/>
      <c r="AS736" s="3" t="s">
        <v>2142</v>
      </c>
      <c r="AT736" s="6"/>
      <c r="AU736" s="3"/>
      <c r="AV736" s="3"/>
      <c r="AW736" s="6"/>
      <c r="AX736" s="3"/>
      <c r="AY736" s="7"/>
      <c r="AZ736" s="6"/>
      <c r="BA736" s="3"/>
      <c r="BB736" s="6"/>
      <c r="BC736" s="6"/>
      <c r="BD736" s="3"/>
      <c r="BE736" s="3"/>
      <c r="BF736" s="6"/>
      <c r="BG736" s="3"/>
      <c r="BH736" s="3"/>
      <c r="BI736" s="6"/>
      <c r="BJ736" s="3"/>
      <c r="BK736" s="3"/>
      <c r="BL736" s="6"/>
      <c r="BM736" s="3"/>
      <c r="BN736" s="7"/>
      <c r="BO736" s="6"/>
      <c r="BP736" s="3"/>
      <c r="BQ736" s="6"/>
      <c r="BR736" s="6"/>
      <c r="BS736" s="3"/>
      <c r="BT736" s="3"/>
      <c r="BU736" s="6"/>
      <c r="BV736" s="3"/>
      <c r="BW736" s="3"/>
      <c r="BX736" s="6"/>
      <c r="BY736" s="3"/>
      <c r="BZ736" s="3"/>
      <c r="CA736" s="6"/>
      <c r="CB736" s="3"/>
      <c r="CC736" s="7"/>
      <c r="CD736" s="6"/>
      <c r="CE736" s="3"/>
      <c r="CF736" s="6"/>
      <c r="CG736" s="6"/>
      <c r="CH736" s="3"/>
      <c r="CI736" s="3"/>
      <c r="CJ736" s="6"/>
      <c r="CK736" s="3"/>
      <c r="CL736" s="3"/>
      <c r="CM736" s="6"/>
      <c r="CN736" s="3"/>
      <c r="CO736" s="3"/>
      <c r="CP736" s="6"/>
      <c r="CQ736" s="3"/>
      <c r="CR736" s="7"/>
      <c r="CS736" s="6"/>
      <c r="CT736" s="3"/>
      <c r="CU736" s="6"/>
      <c r="CV736" s="6"/>
      <c r="CW736" s="3"/>
      <c r="CX736" s="3"/>
      <c r="CY736" s="6"/>
      <c r="CZ736" s="3"/>
      <c r="DA736" s="3"/>
      <c r="DB736" s="6"/>
      <c r="DC736" s="3"/>
      <c r="DD736" s="3"/>
      <c r="DE736" s="6"/>
      <c r="DF736" s="3"/>
      <c r="DG736" s="7"/>
      <c r="DH736" s="6"/>
      <c r="DI736" s="3"/>
      <c r="DJ736" s="6"/>
      <c r="DK736" s="6"/>
      <c r="DL736" s="3"/>
      <c r="DM736" s="3"/>
      <c r="DN736" s="6"/>
      <c r="DO736" s="3"/>
      <c r="DP736" s="3"/>
      <c r="DQ736" s="6"/>
      <c r="DR736" s="3"/>
      <c r="DS736" s="3" t="str">
        <f>_xlfn.XLOOKUP(OfficeForms.Table[[#This Row],[Selecione a Categoria do Laboratório desta atividade prática:]],Planilha1!A:A,Planilha1!B:B)</f>
        <v>EMF-ISN</v>
      </c>
      <c r="DT736" s="6" t="str">
        <f>CONCATENATE(OfficeForms.Table[[#This Row],[Selecione seu Polo Laboratório de Atividades Presenciais:]],OfficeForms.Table[[#This Row],[CHAVE CONVERSÃO]])</f>
        <v>Cruzeiro Do Sul/ACEMF-ISN</v>
      </c>
      <c r="DU73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psicótico;Administração de medicamento pela via subcutânea + Administração de medicamento pela via oral;Avaliação corporal + Ausculta pulmonar + Ausculta cardiaca + Verificação de sinais vitais;Banho de leito + Lavagem gástrica;Consulta de enfermagem no pré-natal de baixo risco + Administração de medicamento pela via intramuscular;Curativo;Exame físico - sistema cardiovascular + Atuação de enfermagem nas doenças locomotoras;Lavagem cirúrgica das mãos + Calço de luvas cirúrgicas;Manobra de Suporte Básico de Vida;Sondagem vesical de alívio + Sondagem vesical de demora;Saúde da mulher reprodutiva + Realização do exame de Papanicolau;Saúde da mulher no período gravídico-puerperal;Punção Venosa + Retirada de pontos;Punção e manutenção de cateter de longa permanência + Troca de bolsa de ostomia;Paramentação cirúrgica: vestimenta estéril + Colocação de campos cirúrgicos no paciente;Obstrução de vias aéreas + Prática de vacinação</v>
      </c>
      <c r="DV73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73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36" s="6" t="str">
        <f>_xlfn.XLOOKUP(OfficeForms.Table[[#This Row],[CHAVE LINK POLO]],'[1]Quadro Geral de Lotação'!$B:$B,'[1]Quadro Geral de Lotação'!$I:$I)</f>
        <v>Antonia Fabricia Martins Da Silva</v>
      </c>
      <c r="DY736" s="6" t="str">
        <f>OfficeForms.Table[[#This Row],[Selecione a Ordem de Disciplina]]</f>
        <v>Ordem 1</v>
      </c>
    </row>
    <row r="737" spans="1:129" ht="34.15" customHeight="1">
      <c r="A737" s="6">
        <v>737</v>
      </c>
      <c r="B737" s="2">
        <v>46127.696365740703</v>
      </c>
      <c r="C737" s="2">
        <v>46127.697106481501</v>
      </c>
      <c r="D737" s="3" t="s">
        <v>751</v>
      </c>
      <c r="E737" s="3" t="s">
        <v>752</v>
      </c>
      <c r="F737" s="6"/>
      <c r="G737" s="3"/>
      <c r="I737" s="3" t="s">
        <v>753</v>
      </c>
      <c r="J737" s="6"/>
      <c r="K737" s="3"/>
      <c r="L737" s="6" t="s">
        <v>1325</v>
      </c>
      <c r="M737" s="6"/>
      <c r="N737" s="6"/>
      <c r="O737" s="3" t="s">
        <v>184</v>
      </c>
      <c r="P737" s="6"/>
      <c r="Q737" s="3"/>
      <c r="R737" s="3"/>
      <c r="S737" s="6"/>
      <c r="T737" s="3"/>
      <c r="U737" s="7"/>
      <c r="V737" s="6"/>
      <c r="W737" s="3"/>
      <c r="X737" s="6"/>
      <c r="Y737" s="6"/>
      <c r="Z737" s="3"/>
      <c r="AA737" s="3"/>
      <c r="AB737" s="6"/>
      <c r="AC737" s="3"/>
      <c r="AD737" s="3"/>
      <c r="AE737" s="6"/>
      <c r="AF737" s="3"/>
      <c r="AG737" s="3" t="s">
        <v>2080</v>
      </c>
      <c r="AH737" s="6"/>
      <c r="AI737" s="3"/>
      <c r="AJ737" s="1">
        <v>46126</v>
      </c>
      <c r="AK737" s="6"/>
      <c r="AL737" s="3"/>
      <c r="AM737" s="6">
        <v>3</v>
      </c>
      <c r="AN737" s="6"/>
      <c r="AO737" s="3"/>
      <c r="AP737" s="3" t="s">
        <v>2143</v>
      </c>
      <c r="AQ737" s="6"/>
      <c r="AR737" s="3"/>
      <c r="AS737" s="3" t="s">
        <v>2144</v>
      </c>
      <c r="AT737" s="6"/>
      <c r="AU737" s="3"/>
      <c r="AV737" s="3"/>
      <c r="AW737" s="6"/>
      <c r="AX737" s="3"/>
      <c r="AY737" s="7"/>
      <c r="AZ737" s="6"/>
      <c r="BA737" s="3"/>
      <c r="BB737" s="6"/>
      <c r="BC737" s="6"/>
      <c r="BD737" s="3"/>
      <c r="BE737" s="3"/>
      <c r="BF737" s="6"/>
      <c r="BG737" s="3"/>
      <c r="BH737" s="3"/>
      <c r="BI737" s="6"/>
      <c r="BJ737" s="3"/>
      <c r="BK737" s="3"/>
      <c r="BL737" s="6"/>
      <c r="BM737" s="3"/>
      <c r="BN737" s="7"/>
      <c r="BO737" s="6"/>
      <c r="BP737" s="3"/>
      <c r="BQ737" s="6"/>
      <c r="BR737" s="6"/>
      <c r="BS737" s="3"/>
      <c r="BT737" s="3"/>
      <c r="BU737" s="6"/>
      <c r="BV737" s="3"/>
      <c r="BW737" s="3"/>
      <c r="BX737" s="6"/>
      <c r="BY737" s="3"/>
      <c r="BZ737" s="3"/>
      <c r="CA737" s="6"/>
      <c r="CB737" s="3"/>
      <c r="CC737" s="7"/>
      <c r="CD737" s="6"/>
      <c r="CE737" s="3"/>
      <c r="CF737" s="6"/>
      <c r="CG737" s="6"/>
      <c r="CH737" s="3"/>
      <c r="CI737" s="3"/>
      <c r="CJ737" s="6"/>
      <c r="CK737" s="3"/>
      <c r="CL737" s="3"/>
      <c r="CM737" s="6"/>
      <c r="CN737" s="3"/>
      <c r="CO737" s="3"/>
      <c r="CP737" s="6"/>
      <c r="CQ737" s="3"/>
      <c r="CR737" s="7"/>
      <c r="CS737" s="6"/>
      <c r="CT737" s="3"/>
      <c r="CU737" s="6"/>
      <c r="CV737" s="6"/>
      <c r="CW737" s="3"/>
      <c r="CX737" s="3"/>
      <c r="CY737" s="6"/>
      <c r="CZ737" s="3"/>
      <c r="DA737" s="3"/>
      <c r="DB737" s="6"/>
      <c r="DC737" s="3"/>
      <c r="DD737" s="3"/>
      <c r="DE737" s="6"/>
      <c r="DF737" s="3"/>
      <c r="DG737" s="7"/>
      <c r="DH737" s="6"/>
      <c r="DI737" s="3"/>
      <c r="DJ737" s="6"/>
      <c r="DK737" s="6"/>
      <c r="DL737" s="3"/>
      <c r="DM737" s="3"/>
      <c r="DN737" s="6"/>
      <c r="DO737" s="3"/>
      <c r="DP737" s="3"/>
      <c r="DQ737" s="6"/>
      <c r="DR737" s="3"/>
      <c r="DS737" s="3" t="str">
        <f>_xlfn.XLOOKUP(OfficeForms.Table[[#This Row],[Selecione a Categoria do Laboratório desta atividade prática:]],Planilha1!A:A,Planilha1!B:B)</f>
        <v>EMF-ISN</v>
      </c>
      <c r="DT737" s="6" t="str">
        <f>CONCATENATE(OfficeForms.Table[[#This Row],[Selecione seu Polo Laboratório de Atividades Presenciais:]],OfficeForms.Table[[#This Row],[CHAVE CONVERSÃO]])</f>
        <v>São Paulo/SP - TatuapéEMF-ISN</v>
      </c>
      <c r="DU73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</v>
      </c>
      <c r="DV73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73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37" s="6" t="str">
        <f>_xlfn.XLOOKUP(OfficeForms.Table[[#This Row],[CHAVE LINK POLO]],'[1]Quadro Geral de Lotação'!$B:$B,'[1]Quadro Geral de Lotação'!$I:$I)</f>
        <v>Luiz Dias Da Silva</v>
      </c>
      <c r="DY737" s="6" t="str">
        <f>OfficeForms.Table[[#This Row],[Selecione a Ordem de Disciplina]]</f>
        <v>Ordem 3</v>
      </c>
    </row>
    <row r="738" spans="1:129" ht="34.15" customHeight="1">
      <c r="A738" s="6">
        <v>738</v>
      </c>
      <c r="B738" s="2">
        <v>46127.695833333302</v>
      </c>
      <c r="C738" s="2">
        <v>46127.705694444398</v>
      </c>
      <c r="D738" s="3" t="s">
        <v>2137</v>
      </c>
      <c r="E738" s="3" t="s">
        <v>2138</v>
      </c>
      <c r="F738" s="6"/>
      <c r="G738" s="3"/>
      <c r="I738" s="3" t="s">
        <v>2139</v>
      </c>
      <c r="J738" s="6"/>
      <c r="K738" s="3"/>
      <c r="L738" s="6" t="s">
        <v>678</v>
      </c>
      <c r="M738" s="6"/>
      <c r="N738" s="6"/>
      <c r="O738" s="3" t="s">
        <v>184</v>
      </c>
      <c r="P738" s="6"/>
      <c r="Q738" s="3"/>
      <c r="R738" s="3"/>
      <c r="S738" s="6"/>
      <c r="T738" s="3"/>
      <c r="U738" s="7"/>
      <c r="V738" s="6"/>
      <c r="W738" s="3"/>
      <c r="X738" s="6"/>
      <c r="Y738" s="6"/>
      <c r="Z738" s="3"/>
      <c r="AA738" s="3"/>
      <c r="AB738" s="6"/>
      <c r="AC738" s="3"/>
      <c r="AD738" s="3"/>
      <c r="AE738" s="6"/>
      <c r="AF738" s="3"/>
      <c r="AG738" s="3" t="s">
        <v>2145</v>
      </c>
      <c r="AH738" s="6"/>
      <c r="AI738" s="3"/>
      <c r="AJ738" s="1">
        <v>46092</v>
      </c>
      <c r="AK738" s="6"/>
      <c r="AL738" s="3"/>
      <c r="AM738" s="6">
        <v>2</v>
      </c>
      <c r="AN738" s="6"/>
      <c r="AO738" s="3"/>
      <c r="AP738" s="3" t="s">
        <v>2146</v>
      </c>
      <c r="AQ738" s="6"/>
      <c r="AR738" s="3"/>
      <c r="AS738" s="3" t="s">
        <v>2147</v>
      </c>
      <c r="AT738" s="6"/>
      <c r="AU738" s="3"/>
      <c r="AV738" s="3"/>
      <c r="AW738" s="6"/>
      <c r="AX738" s="3"/>
      <c r="AY738" s="7"/>
      <c r="AZ738" s="6"/>
      <c r="BA738" s="3"/>
      <c r="BB738" s="6"/>
      <c r="BC738" s="6"/>
      <c r="BD738" s="3"/>
      <c r="BE738" s="3"/>
      <c r="BF738" s="6"/>
      <c r="BG738" s="3"/>
      <c r="BH738" s="3"/>
      <c r="BI738" s="6"/>
      <c r="BJ738" s="3"/>
      <c r="BK738" s="3"/>
      <c r="BL738" s="6"/>
      <c r="BM738" s="3"/>
      <c r="BN738" s="7"/>
      <c r="BO738" s="6"/>
      <c r="BP738" s="3"/>
      <c r="BQ738" s="6"/>
      <c r="BR738" s="6"/>
      <c r="BS738" s="3"/>
      <c r="BT738" s="3"/>
      <c r="BU738" s="6"/>
      <c r="BV738" s="3"/>
      <c r="BW738" s="3"/>
      <c r="BX738" s="6"/>
      <c r="BY738" s="3"/>
      <c r="BZ738" s="3"/>
      <c r="CA738" s="6"/>
      <c r="CB738" s="3"/>
      <c r="CC738" s="7"/>
      <c r="CD738" s="6"/>
      <c r="CE738" s="3"/>
      <c r="CF738" s="6"/>
      <c r="CG738" s="6"/>
      <c r="CH738" s="3"/>
      <c r="CI738" s="3"/>
      <c r="CJ738" s="6"/>
      <c r="CK738" s="3"/>
      <c r="CL738" s="3"/>
      <c r="CM738" s="6"/>
      <c r="CN738" s="3"/>
      <c r="CO738" s="3"/>
      <c r="CP738" s="6"/>
      <c r="CQ738" s="3"/>
      <c r="CR738" s="7"/>
      <c r="CS738" s="6"/>
      <c r="CT738" s="3"/>
      <c r="CU738" s="6"/>
      <c r="CV738" s="6"/>
      <c r="CW738" s="3"/>
      <c r="CX738" s="3"/>
      <c r="CY738" s="6"/>
      <c r="CZ738" s="3"/>
      <c r="DA738" s="3"/>
      <c r="DB738" s="6"/>
      <c r="DC738" s="3"/>
      <c r="DD738" s="3"/>
      <c r="DE738" s="6"/>
      <c r="DF738" s="3"/>
      <c r="DG738" s="7"/>
      <c r="DH738" s="6"/>
      <c r="DI738" s="3"/>
      <c r="DJ738" s="6"/>
      <c r="DK738" s="6"/>
      <c r="DL738" s="3"/>
      <c r="DM738" s="3"/>
      <c r="DN738" s="6"/>
      <c r="DO738" s="3"/>
      <c r="DP738" s="3"/>
      <c r="DQ738" s="6"/>
      <c r="DR738" s="3"/>
      <c r="DS738" s="3" t="str">
        <f>_xlfn.XLOOKUP(OfficeForms.Table[[#This Row],[Selecione a Categoria do Laboratório desta atividade prática:]],Planilha1!A:A,Planilha1!B:B)</f>
        <v>EMF-ISN</v>
      </c>
      <c r="DT738" s="6" t="str">
        <f>CONCATENATE(OfficeForms.Table[[#This Row],[Selecione seu Polo Laboratório de Atividades Presenciais:]],OfficeForms.Table[[#This Row],[CHAVE CONVERSÃO]])</f>
        <v>Cruzeiro Do Sul/ACEMF-ISN</v>
      </c>
      <c r="DU73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gástrica;Curativo;Consulta de enfermagem no pré-natal de baixo risco + Administração de medicamento pela via intramuscular;Lavagem cirúrgica das mãos + Calço de luvas cirúrgicas</v>
      </c>
      <c r="DV73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46092</v>
      </c>
      <c r="DW73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38" s="6" t="str">
        <f>_xlfn.XLOOKUP(OfficeForms.Table[[#This Row],[CHAVE LINK POLO]],'[1]Quadro Geral de Lotação'!$B:$B,'[1]Quadro Geral de Lotação'!$I:$I)</f>
        <v>Antonia Fabricia Martins Da Silva</v>
      </c>
      <c r="DY738" s="6" t="str">
        <f>OfficeForms.Table[[#This Row],[Selecione a Ordem de Disciplina]]</f>
        <v>Ordem 2</v>
      </c>
    </row>
    <row r="739" spans="1:129" ht="34.15" customHeight="1">
      <c r="A739" s="6">
        <v>739</v>
      </c>
      <c r="B739" s="2">
        <v>46127.814212963</v>
      </c>
      <c r="C739" s="2">
        <v>46127.816817129598</v>
      </c>
      <c r="D739" s="3" t="s">
        <v>1206</v>
      </c>
      <c r="E739" s="3" t="s">
        <v>1207</v>
      </c>
      <c r="F739" s="6"/>
      <c r="G739" s="3"/>
      <c r="I739" s="3" t="s">
        <v>299</v>
      </c>
      <c r="J739" s="6"/>
      <c r="K739" s="3"/>
      <c r="L739" s="6" t="s">
        <v>678</v>
      </c>
      <c r="M739" s="6"/>
      <c r="N739" s="6"/>
      <c r="O739" s="3" t="s">
        <v>184</v>
      </c>
      <c r="P739" s="6"/>
      <c r="Q739" s="3"/>
      <c r="R739" s="3"/>
      <c r="S739" s="6"/>
      <c r="T739" s="3"/>
      <c r="U739" s="7"/>
      <c r="V739" s="6"/>
      <c r="W739" s="3"/>
      <c r="X739" s="6"/>
      <c r="Y739" s="6"/>
      <c r="Z739" s="3"/>
      <c r="AA739" s="3"/>
      <c r="AB739" s="6"/>
      <c r="AC739" s="3"/>
      <c r="AD739" s="3"/>
      <c r="AE739" s="6"/>
      <c r="AF739" s="3"/>
      <c r="AG739" s="3" t="s">
        <v>1105</v>
      </c>
      <c r="AH739" s="6"/>
      <c r="AI739" s="3"/>
      <c r="AJ739" s="1">
        <v>46099</v>
      </c>
      <c r="AK739" s="6"/>
      <c r="AL739" s="3"/>
      <c r="AM739" s="6">
        <v>7</v>
      </c>
      <c r="AN739" s="6"/>
      <c r="AO739" s="3"/>
      <c r="AP739" s="3" t="s">
        <v>2148</v>
      </c>
      <c r="AQ739" s="6"/>
      <c r="AR739" s="3"/>
      <c r="AS739" s="3" t="s">
        <v>2149</v>
      </c>
      <c r="AT739" s="6"/>
      <c r="AU739" s="3"/>
      <c r="AV739" s="3"/>
      <c r="AW739" s="6"/>
      <c r="AX739" s="3"/>
      <c r="AY739" s="7"/>
      <c r="AZ739" s="6"/>
      <c r="BA739" s="3"/>
      <c r="BB739" s="6"/>
      <c r="BC739" s="6"/>
      <c r="BD739" s="3"/>
      <c r="BE739" s="3"/>
      <c r="BF739" s="6"/>
      <c r="BG739" s="3"/>
      <c r="BH739" s="3"/>
      <c r="BI739" s="6"/>
      <c r="BJ739" s="3"/>
      <c r="BK739" s="3"/>
      <c r="BL739" s="6"/>
      <c r="BM739" s="3"/>
      <c r="BN739" s="7"/>
      <c r="BO739" s="6"/>
      <c r="BP739" s="3"/>
      <c r="BQ739" s="6"/>
      <c r="BR739" s="6"/>
      <c r="BS739" s="3"/>
      <c r="BT739" s="3"/>
      <c r="BU739" s="6"/>
      <c r="BV739" s="3"/>
      <c r="BW739" s="3"/>
      <c r="BX739" s="6"/>
      <c r="BY739" s="3"/>
      <c r="BZ739" s="3"/>
      <c r="CA739" s="6"/>
      <c r="CB739" s="3"/>
      <c r="CC739" s="7"/>
      <c r="CD739" s="6"/>
      <c r="CE739" s="3"/>
      <c r="CF739" s="6"/>
      <c r="CG739" s="6"/>
      <c r="CH739" s="3"/>
      <c r="CI739" s="3"/>
      <c r="CJ739" s="6"/>
      <c r="CK739" s="3"/>
      <c r="CL739" s="3"/>
      <c r="CM739" s="6"/>
      <c r="CN739" s="3"/>
      <c r="CO739" s="3"/>
      <c r="CP739" s="6"/>
      <c r="CQ739" s="3"/>
      <c r="CR739" s="7"/>
      <c r="CS739" s="6"/>
      <c r="CT739" s="3"/>
      <c r="CU739" s="6"/>
      <c r="CV739" s="6"/>
      <c r="CW739" s="3"/>
      <c r="CX739" s="3"/>
      <c r="CY739" s="6"/>
      <c r="CZ739" s="3"/>
      <c r="DA739" s="3"/>
      <c r="DB739" s="6"/>
      <c r="DC739" s="3"/>
      <c r="DD739" s="3"/>
      <c r="DE739" s="6"/>
      <c r="DF739" s="3"/>
      <c r="DG739" s="7"/>
      <c r="DH739" s="6"/>
      <c r="DI739" s="3"/>
      <c r="DJ739" s="6"/>
      <c r="DK739" s="6"/>
      <c r="DL739" s="3"/>
      <c r="DM739" s="3"/>
      <c r="DN739" s="6"/>
      <c r="DO739" s="3"/>
      <c r="DP739" s="3"/>
      <c r="DQ739" s="6"/>
      <c r="DR739" s="3"/>
      <c r="DS739" s="3" t="str">
        <f>_xlfn.XLOOKUP(OfficeForms.Table[[#This Row],[Selecione a Categoria do Laboratório desta atividade prática:]],Planilha1!A:A,Planilha1!B:B)</f>
        <v>EMF-ISN</v>
      </c>
      <c r="DT739" s="6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73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73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73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739" s="6" t="str">
        <f>_xlfn.XLOOKUP(OfficeForms.Table[[#This Row],[CHAVE LINK POLO]],'[1]Quadro Geral de Lotação'!$B:$B,'[1]Quadro Geral de Lotação'!$I:$I)</f>
        <v>-</v>
      </c>
      <c r="DY739" s="6" t="str">
        <f>OfficeForms.Table[[#This Row],[Selecione a Ordem de Disciplina]]</f>
        <v>Ordem 2</v>
      </c>
    </row>
    <row r="740" spans="1:129" ht="34.15" customHeight="1">
      <c r="A740" s="6">
        <v>740</v>
      </c>
      <c r="B740" s="2">
        <v>46127.816886574103</v>
      </c>
      <c r="C740" s="2">
        <v>46127.819513888899</v>
      </c>
      <c r="D740" s="3" t="s">
        <v>1206</v>
      </c>
      <c r="E740" s="3" t="s">
        <v>1207</v>
      </c>
      <c r="F740" s="6"/>
      <c r="G740" s="3"/>
      <c r="I740" s="3" t="s">
        <v>299</v>
      </c>
      <c r="J740" s="6"/>
      <c r="K740" s="3"/>
      <c r="L740" s="6" t="s">
        <v>678</v>
      </c>
      <c r="M740" s="6"/>
      <c r="N740" s="6"/>
      <c r="O740" s="3" t="s">
        <v>184</v>
      </c>
      <c r="P740" s="6"/>
      <c r="Q740" s="3"/>
      <c r="R740" s="3"/>
      <c r="S740" s="6"/>
      <c r="T740" s="3"/>
      <c r="U740" s="7"/>
      <c r="V740" s="6"/>
      <c r="W740" s="3"/>
      <c r="X740" s="6"/>
      <c r="Y740" s="6"/>
      <c r="Z740" s="3"/>
      <c r="AA740" s="3"/>
      <c r="AB740" s="6"/>
      <c r="AC740" s="3"/>
      <c r="AD740" s="3"/>
      <c r="AE740" s="6"/>
      <c r="AF740" s="3"/>
      <c r="AG740" s="3" t="s">
        <v>1016</v>
      </c>
      <c r="AH740" s="6"/>
      <c r="AI740" s="3"/>
      <c r="AJ740" s="1">
        <v>46118</v>
      </c>
      <c r="AK740" s="6"/>
      <c r="AL740" s="3"/>
      <c r="AM740" s="6">
        <v>4</v>
      </c>
      <c r="AN740" s="6"/>
      <c r="AO740" s="3"/>
      <c r="AP740" s="3" t="s">
        <v>2150</v>
      </c>
      <c r="AQ740" s="6"/>
      <c r="AR740" s="3"/>
      <c r="AS740" s="3" t="s">
        <v>2151</v>
      </c>
      <c r="AT740" s="6"/>
      <c r="AU740" s="3"/>
      <c r="AV740" s="3"/>
      <c r="AW740" s="6"/>
      <c r="AX740" s="3"/>
      <c r="AY740" s="7"/>
      <c r="AZ740" s="6"/>
      <c r="BA740" s="3"/>
      <c r="BB740" s="6"/>
      <c r="BC740" s="6"/>
      <c r="BD740" s="3"/>
      <c r="BE740" s="3"/>
      <c r="BF740" s="6"/>
      <c r="BG740" s="3"/>
      <c r="BH740" s="3"/>
      <c r="BI740" s="6"/>
      <c r="BJ740" s="3"/>
      <c r="BK740" s="3"/>
      <c r="BL740" s="6"/>
      <c r="BM740" s="3"/>
      <c r="BN740" s="7"/>
      <c r="BO740" s="6"/>
      <c r="BP740" s="3"/>
      <c r="BQ740" s="6"/>
      <c r="BR740" s="6"/>
      <c r="BS740" s="3"/>
      <c r="BT740" s="3"/>
      <c r="BU740" s="6"/>
      <c r="BV740" s="3"/>
      <c r="BW740" s="3"/>
      <c r="BX740" s="6"/>
      <c r="BY740" s="3"/>
      <c r="BZ740" s="3"/>
      <c r="CA740" s="6"/>
      <c r="CB740" s="3"/>
      <c r="CC740" s="7"/>
      <c r="CD740" s="6"/>
      <c r="CE740" s="3"/>
      <c r="CF740" s="6"/>
      <c r="CG740" s="6"/>
      <c r="CH740" s="3"/>
      <c r="CI740" s="3"/>
      <c r="CJ740" s="6"/>
      <c r="CK740" s="3"/>
      <c r="CL740" s="3"/>
      <c r="CM740" s="6"/>
      <c r="CN740" s="3"/>
      <c r="CO740" s="3"/>
      <c r="CP740" s="6"/>
      <c r="CQ740" s="3"/>
      <c r="CR740" s="7"/>
      <c r="CS740" s="6"/>
      <c r="CT740" s="3"/>
      <c r="CU740" s="6"/>
      <c r="CV740" s="6"/>
      <c r="CW740" s="3"/>
      <c r="CX740" s="3"/>
      <c r="CY740" s="6"/>
      <c r="CZ740" s="3"/>
      <c r="DA740" s="3"/>
      <c r="DB740" s="6"/>
      <c r="DC740" s="3"/>
      <c r="DD740" s="3"/>
      <c r="DE740" s="6"/>
      <c r="DF740" s="3"/>
      <c r="DG740" s="7"/>
      <c r="DH740" s="6"/>
      <c r="DI740" s="3"/>
      <c r="DJ740" s="6"/>
      <c r="DK740" s="6"/>
      <c r="DL740" s="3"/>
      <c r="DM740" s="3"/>
      <c r="DN740" s="6"/>
      <c r="DO740" s="3"/>
      <c r="DP740" s="3"/>
      <c r="DQ740" s="6"/>
      <c r="DR740" s="3"/>
      <c r="DS740" s="3" t="str">
        <f>_xlfn.XLOOKUP(OfficeForms.Table[[#This Row],[Selecione a Categoria do Laboratório desta atividade prática:]],Planilha1!A:A,Planilha1!B:B)</f>
        <v>EMF-ISN</v>
      </c>
      <c r="DT740" s="6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74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74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46118</v>
      </c>
      <c r="DW74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740" s="6" t="str">
        <f>_xlfn.XLOOKUP(OfficeForms.Table[[#This Row],[CHAVE LINK POLO]],'[1]Quadro Geral de Lotação'!$B:$B,'[1]Quadro Geral de Lotação'!$I:$I)</f>
        <v>-</v>
      </c>
      <c r="DY740" s="6" t="str">
        <f>OfficeForms.Table[[#This Row],[Selecione a Ordem de Disciplina]]</f>
        <v>Ordem 2</v>
      </c>
    </row>
    <row r="741" spans="1:129" ht="34.15" customHeight="1">
      <c r="A741" s="6">
        <v>741</v>
      </c>
      <c r="B741" s="2">
        <v>46127.819560185198</v>
      </c>
      <c r="C741" s="2">
        <v>46127.8213888889</v>
      </c>
      <c r="D741" s="3" t="s">
        <v>1206</v>
      </c>
      <c r="E741" s="3" t="s">
        <v>1207</v>
      </c>
      <c r="F741" s="6"/>
      <c r="G741" s="3"/>
      <c r="I741" s="3" t="s">
        <v>299</v>
      </c>
      <c r="J741" s="6"/>
      <c r="K741" s="3"/>
      <c r="L741" s="6" t="s">
        <v>678</v>
      </c>
      <c r="M741" s="6"/>
      <c r="N741" s="6"/>
      <c r="O741" s="3" t="s">
        <v>184</v>
      </c>
      <c r="P741" s="6"/>
      <c r="Q741" s="3"/>
      <c r="R741" s="3"/>
      <c r="S741" s="6"/>
      <c r="T741" s="3"/>
      <c r="U741" s="7"/>
      <c r="V741" s="6"/>
      <c r="W741" s="3"/>
      <c r="X741" s="6"/>
      <c r="Y741" s="6"/>
      <c r="Z741" s="3"/>
      <c r="AA741" s="3"/>
      <c r="AB741" s="6"/>
      <c r="AC741" s="3"/>
      <c r="AD741" s="3"/>
      <c r="AE741" s="6"/>
      <c r="AF741" s="3"/>
      <c r="AG741" s="3" t="s">
        <v>1031</v>
      </c>
      <c r="AH741" s="6"/>
      <c r="AI741" s="3"/>
      <c r="AJ741" s="1">
        <v>46106</v>
      </c>
      <c r="AK741" s="6"/>
      <c r="AL741" s="3"/>
      <c r="AM741" s="6">
        <v>6</v>
      </c>
      <c r="AN741" s="6"/>
      <c r="AO741" s="3"/>
      <c r="AP741" s="3" t="s">
        <v>2152</v>
      </c>
      <c r="AQ741" s="6"/>
      <c r="AR741" s="3"/>
      <c r="AS741" s="3" t="s">
        <v>2153</v>
      </c>
      <c r="AT741" s="6"/>
      <c r="AU741" s="3"/>
      <c r="AV741" s="3"/>
      <c r="AW741" s="6"/>
      <c r="AX741" s="3"/>
      <c r="AY741" s="7"/>
      <c r="AZ741" s="6"/>
      <c r="BA741" s="3"/>
      <c r="BB741" s="6"/>
      <c r="BC741" s="6"/>
      <c r="BD741" s="3"/>
      <c r="BE741" s="3"/>
      <c r="BF741" s="6"/>
      <c r="BG741" s="3"/>
      <c r="BH741" s="3"/>
      <c r="BI741" s="6"/>
      <c r="BJ741" s="3"/>
      <c r="BK741" s="3"/>
      <c r="BL741" s="6"/>
      <c r="BM741" s="3"/>
      <c r="BN741" s="7"/>
      <c r="BO741" s="6"/>
      <c r="BP741" s="3"/>
      <c r="BQ741" s="6"/>
      <c r="BR741" s="6"/>
      <c r="BS741" s="3"/>
      <c r="BT741" s="3"/>
      <c r="BU741" s="6"/>
      <c r="BV741" s="3"/>
      <c r="BW741" s="3"/>
      <c r="BX741" s="6"/>
      <c r="BY741" s="3"/>
      <c r="BZ741" s="3"/>
      <c r="CA741" s="6"/>
      <c r="CB741" s="3"/>
      <c r="CC741" s="7"/>
      <c r="CD741" s="6"/>
      <c r="CE741" s="3"/>
      <c r="CF741" s="6"/>
      <c r="CG741" s="6"/>
      <c r="CH741" s="3"/>
      <c r="CI741" s="3"/>
      <c r="CJ741" s="6"/>
      <c r="CK741" s="3"/>
      <c r="CL741" s="3"/>
      <c r="CM741" s="6"/>
      <c r="CN741" s="3"/>
      <c r="CO741" s="3"/>
      <c r="CP741" s="6"/>
      <c r="CQ741" s="3"/>
      <c r="CR741" s="7"/>
      <c r="CS741" s="6"/>
      <c r="CT741" s="3"/>
      <c r="CU741" s="6"/>
      <c r="CV741" s="6"/>
      <c r="CW741" s="3"/>
      <c r="CX741" s="3"/>
      <c r="CY741" s="6"/>
      <c r="CZ741" s="3"/>
      <c r="DA741" s="3"/>
      <c r="DB741" s="6"/>
      <c r="DC741" s="3"/>
      <c r="DD741" s="3"/>
      <c r="DE741" s="6"/>
      <c r="DF741" s="3"/>
      <c r="DG741" s="7"/>
      <c r="DH741" s="6"/>
      <c r="DI741" s="3"/>
      <c r="DJ741" s="6"/>
      <c r="DK741" s="6"/>
      <c r="DL741" s="3"/>
      <c r="DM741" s="3"/>
      <c r="DN741" s="6"/>
      <c r="DO741" s="3"/>
      <c r="DP741" s="3"/>
      <c r="DQ741" s="6"/>
      <c r="DR741" s="3"/>
      <c r="DS741" s="3" t="str">
        <f>_xlfn.XLOOKUP(OfficeForms.Table[[#This Row],[Selecione a Categoria do Laboratório desta atividade prática:]],Planilha1!A:A,Planilha1!B:B)</f>
        <v>EMF-ISN</v>
      </c>
      <c r="DT741" s="6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74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74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74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741" s="6" t="str">
        <f>_xlfn.XLOOKUP(OfficeForms.Table[[#This Row],[CHAVE LINK POLO]],'[1]Quadro Geral de Lotação'!$B:$B,'[1]Quadro Geral de Lotação'!$I:$I)</f>
        <v>-</v>
      </c>
      <c r="DY741" s="6" t="str">
        <f>OfficeForms.Table[[#This Row],[Selecione a Ordem de Disciplina]]</f>
        <v>Ordem 2</v>
      </c>
    </row>
    <row r="742" spans="1:129" ht="34.15" customHeight="1">
      <c r="A742" s="6">
        <v>742</v>
      </c>
      <c r="B742" s="2">
        <v>46127.821446759299</v>
      </c>
      <c r="C742" s="2">
        <v>46127.825439814798</v>
      </c>
      <c r="D742" s="3" t="s">
        <v>1206</v>
      </c>
      <c r="E742" s="3" t="s">
        <v>1207</v>
      </c>
      <c r="F742" s="6"/>
      <c r="G742" s="3"/>
      <c r="I742" s="3" t="s">
        <v>299</v>
      </c>
      <c r="J742" s="6"/>
      <c r="K742" s="3"/>
      <c r="L742" s="6" t="s">
        <v>678</v>
      </c>
      <c r="M742" s="6"/>
      <c r="N742" s="6"/>
      <c r="O742" s="3" t="s">
        <v>184</v>
      </c>
      <c r="P742" s="6"/>
      <c r="Q742" s="3"/>
      <c r="R742" s="3"/>
      <c r="S742" s="6"/>
      <c r="T742" s="3"/>
      <c r="U742" s="7"/>
      <c r="V742" s="6"/>
      <c r="W742" s="3"/>
      <c r="X742" s="6"/>
      <c r="Y742" s="6"/>
      <c r="Z742" s="3"/>
      <c r="AA742" s="3"/>
      <c r="AB742" s="6"/>
      <c r="AC742" s="3"/>
      <c r="AD742" s="3"/>
      <c r="AE742" s="6"/>
      <c r="AF742" s="3"/>
      <c r="AG742" s="3" t="s">
        <v>1278</v>
      </c>
      <c r="AH742" s="6"/>
      <c r="AI742" s="3"/>
      <c r="AJ742" s="1">
        <v>46122</v>
      </c>
      <c r="AK742" s="6"/>
      <c r="AL742" s="3"/>
      <c r="AM742" s="6">
        <v>8</v>
      </c>
      <c r="AN742" s="6"/>
      <c r="AO742" s="3"/>
      <c r="AP742" s="3" t="s">
        <v>2154</v>
      </c>
      <c r="AQ742" s="6"/>
      <c r="AR742" s="3"/>
      <c r="AS742" s="3" t="s">
        <v>2155</v>
      </c>
      <c r="AT742" s="6"/>
      <c r="AU742" s="3"/>
      <c r="AV742" s="3"/>
      <c r="AW742" s="6"/>
      <c r="AX742" s="3"/>
      <c r="AY742" s="7"/>
      <c r="AZ742" s="6"/>
      <c r="BA742" s="3"/>
      <c r="BB742" s="6"/>
      <c r="BC742" s="6"/>
      <c r="BD742" s="3"/>
      <c r="BE742" s="3"/>
      <c r="BF742" s="6"/>
      <c r="BG742" s="3"/>
      <c r="BH742" s="3"/>
      <c r="BI742" s="6"/>
      <c r="BJ742" s="3"/>
      <c r="BK742" s="3"/>
      <c r="BL742" s="6"/>
      <c r="BM742" s="3"/>
      <c r="BN742" s="7"/>
      <c r="BO742" s="6"/>
      <c r="BP742" s="3"/>
      <c r="BQ742" s="6"/>
      <c r="BR742" s="6"/>
      <c r="BS742" s="3"/>
      <c r="BT742" s="3"/>
      <c r="BU742" s="6"/>
      <c r="BV742" s="3"/>
      <c r="BW742" s="3"/>
      <c r="BX742" s="6"/>
      <c r="BY742" s="3"/>
      <c r="BZ742" s="3"/>
      <c r="CA742" s="6"/>
      <c r="CB742" s="3"/>
      <c r="CC742" s="7"/>
      <c r="CD742" s="6"/>
      <c r="CE742" s="3"/>
      <c r="CF742" s="6"/>
      <c r="CG742" s="6"/>
      <c r="CH742" s="3"/>
      <c r="CI742" s="3"/>
      <c r="CJ742" s="6"/>
      <c r="CK742" s="3"/>
      <c r="CL742" s="3"/>
      <c r="CM742" s="6"/>
      <c r="CN742" s="3"/>
      <c r="CO742" s="3"/>
      <c r="CP742" s="6"/>
      <c r="CQ742" s="3"/>
      <c r="CR742" s="7"/>
      <c r="CS742" s="6"/>
      <c r="CT742" s="3"/>
      <c r="CU742" s="6"/>
      <c r="CV742" s="6"/>
      <c r="CW742" s="3"/>
      <c r="CX742" s="3"/>
      <c r="CY742" s="6"/>
      <c r="CZ742" s="3"/>
      <c r="DA742" s="3"/>
      <c r="DB742" s="6"/>
      <c r="DC742" s="3"/>
      <c r="DD742" s="3"/>
      <c r="DE742" s="6"/>
      <c r="DF742" s="3"/>
      <c r="DG742" s="7"/>
      <c r="DH742" s="6"/>
      <c r="DI742" s="3"/>
      <c r="DJ742" s="6"/>
      <c r="DK742" s="6"/>
      <c r="DL742" s="3"/>
      <c r="DM742" s="3"/>
      <c r="DN742" s="6"/>
      <c r="DO742" s="3"/>
      <c r="DP742" s="3"/>
      <c r="DQ742" s="6"/>
      <c r="DR742" s="3"/>
      <c r="DS742" s="3" t="str">
        <f>_xlfn.XLOOKUP(OfficeForms.Table[[#This Row],[Selecione a Categoria do Laboratório desta atividade prática:]],Planilha1!A:A,Planilha1!B:B)</f>
        <v>EMF-ISN</v>
      </c>
      <c r="DT742" s="6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74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74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46122</v>
      </c>
      <c r="DW74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742" s="6" t="str">
        <f>_xlfn.XLOOKUP(OfficeForms.Table[[#This Row],[CHAVE LINK POLO]],'[1]Quadro Geral de Lotação'!$B:$B,'[1]Quadro Geral de Lotação'!$I:$I)</f>
        <v>-</v>
      </c>
      <c r="DY742" s="6" t="str">
        <f>OfficeForms.Table[[#This Row],[Selecione a Ordem de Disciplina]]</f>
        <v>Ordem 2</v>
      </c>
    </row>
    <row r="743" spans="1:129" ht="34.15" customHeight="1">
      <c r="A743" s="6">
        <v>743</v>
      </c>
      <c r="B743" s="2">
        <v>46127.825567129599</v>
      </c>
      <c r="C743" s="2">
        <v>46127.827129629601</v>
      </c>
      <c r="D743" s="3" t="s">
        <v>1206</v>
      </c>
      <c r="E743" s="3" t="s">
        <v>1207</v>
      </c>
      <c r="F743" s="6"/>
      <c r="G743" s="3"/>
      <c r="I743" s="3" t="s">
        <v>299</v>
      </c>
      <c r="J743" s="6"/>
      <c r="K743" s="3"/>
      <c r="L743" s="6" t="s">
        <v>1325</v>
      </c>
      <c r="M743" s="6"/>
      <c r="N743" s="6"/>
      <c r="O743" s="3" t="s">
        <v>184</v>
      </c>
      <c r="P743" s="6"/>
      <c r="Q743" s="3"/>
      <c r="R743" s="3"/>
      <c r="S743" s="6"/>
      <c r="T743" s="3"/>
      <c r="U743" s="7"/>
      <c r="V743" s="6"/>
      <c r="W743" s="3"/>
      <c r="X743" s="6"/>
      <c r="Y743" s="6"/>
      <c r="Z743" s="3"/>
      <c r="AA743" s="3"/>
      <c r="AB743" s="6"/>
      <c r="AC743" s="3"/>
      <c r="AD743" s="3"/>
      <c r="AE743" s="6"/>
      <c r="AF743" s="3"/>
      <c r="AG743" s="3" t="s">
        <v>2080</v>
      </c>
      <c r="AH743" s="6"/>
      <c r="AI743" s="3"/>
      <c r="AJ743" s="1">
        <v>46125</v>
      </c>
      <c r="AK743" s="6"/>
      <c r="AL743" s="3"/>
      <c r="AM743" s="6">
        <v>1</v>
      </c>
      <c r="AN743" s="6"/>
      <c r="AO743" s="3"/>
      <c r="AP743" s="3" t="s">
        <v>2156</v>
      </c>
      <c r="AQ743" s="6"/>
      <c r="AR743" s="3"/>
      <c r="AS743" s="3" t="s">
        <v>2157</v>
      </c>
      <c r="AT743" s="6"/>
      <c r="AU743" s="3"/>
      <c r="AV743" s="3"/>
      <c r="AW743" s="6"/>
      <c r="AX743" s="3"/>
      <c r="AY743" s="7"/>
      <c r="AZ743" s="6"/>
      <c r="BA743" s="3"/>
      <c r="BB743" s="6"/>
      <c r="BC743" s="6"/>
      <c r="BD743" s="3"/>
      <c r="BE743" s="3"/>
      <c r="BF743" s="6"/>
      <c r="BG743" s="3"/>
      <c r="BH743" s="3"/>
      <c r="BI743" s="6"/>
      <c r="BJ743" s="3"/>
      <c r="BK743" s="3"/>
      <c r="BL743" s="6"/>
      <c r="BM743" s="3"/>
      <c r="BN743" s="7"/>
      <c r="BO743" s="6"/>
      <c r="BP743" s="3"/>
      <c r="BQ743" s="6"/>
      <c r="BR743" s="6"/>
      <c r="BS743" s="3"/>
      <c r="BT743" s="3"/>
      <c r="BU743" s="6"/>
      <c r="BV743" s="3"/>
      <c r="BW743" s="3"/>
      <c r="BX743" s="6"/>
      <c r="BY743" s="3"/>
      <c r="BZ743" s="3"/>
      <c r="CA743" s="6"/>
      <c r="CB743" s="3"/>
      <c r="CC743" s="7"/>
      <c r="CD743" s="6"/>
      <c r="CE743" s="3"/>
      <c r="CF743" s="6"/>
      <c r="CG743" s="6"/>
      <c r="CH743" s="3"/>
      <c r="CI743" s="3"/>
      <c r="CJ743" s="6"/>
      <c r="CK743" s="3"/>
      <c r="CL743" s="3"/>
      <c r="CM743" s="6"/>
      <c r="CN743" s="3"/>
      <c r="CO743" s="3"/>
      <c r="CP743" s="6"/>
      <c r="CQ743" s="3"/>
      <c r="CR743" s="7"/>
      <c r="CS743" s="6"/>
      <c r="CT743" s="3"/>
      <c r="CU743" s="6"/>
      <c r="CV743" s="6"/>
      <c r="CW743" s="3"/>
      <c r="CX743" s="3"/>
      <c r="CY743" s="6"/>
      <c r="CZ743" s="3"/>
      <c r="DA743" s="3"/>
      <c r="DB743" s="6"/>
      <c r="DC743" s="3"/>
      <c r="DD743" s="3"/>
      <c r="DE743" s="6"/>
      <c r="DF743" s="3"/>
      <c r="DG743" s="7"/>
      <c r="DH743" s="6"/>
      <c r="DI743" s="3"/>
      <c r="DJ743" s="6"/>
      <c r="DK743" s="6"/>
      <c r="DL743" s="3"/>
      <c r="DM743" s="3"/>
      <c r="DN743" s="6"/>
      <c r="DO743" s="3"/>
      <c r="DP743" s="3"/>
      <c r="DQ743" s="6"/>
      <c r="DR743" s="3"/>
      <c r="DS743" s="3" t="str">
        <f>_xlfn.XLOOKUP(OfficeForms.Table[[#This Row],[Selecione a Categoria do Laboratório desta atividade prática:]],Planilha1!A:A,Planilha1!B:B)</f>
        <v>EMF-ISN</v>
      </c>
      <c r="DT743" s="6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74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</v>
      </c>
      <c r="DV74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74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743" s="6" t="str">
        <f>_xlfn.XLOOKUP(OfficeForms.Table[[#This Row],[CHAVE LINK POLO]],'[1]Quadro Geral de Lotação'!$B:$B,'[1]Quadro Geral de Lotação'!$I:$I)</f>
        <v>-</v>
      </c>
      <c r="DY743" s="6" t="str">
        <f>OfficeForms.Table[[#This Row],[Selecione a Ordem de Disciplina]]</f>
        <v>Ordem 3</v>
      </c>
    </row>
    <row r="744" spans="1:129" ht="34.15" customHeight="1">
      <c r="A744" s="6">
        <v>744</v>
      </c>
      <c r="B744" s="2">
        <v>46127.828726851803</v>
      </c>
      <c r="C744" s="2">
        <v>46127.831377314797</v>
      </c>
      <c r="D744" s="3" t="s">
        <v>1206</v>
      </c>
      <c r="E744" s="3" t="s">
        <v>1207</v>
      </c>
      <c r="F744" s="6"/>
      <c r="G744" s="3"/>
      <c r="I744" s="3" t="s">
        <v>299</v>
      </c>
      <c r="J744" s="6"/>
      <c r="K744" s="3"/>
      <c r="L744" s="6" t="s">
        <v>678</v>
      </c>
      <c r="M744" s="6"/>
      <c r="N744" s="6"/>
      <c r="O744" s="3" t="s">
        <v>184</v>
      </c>
      <c r="P744" s="6"/>
      <c r="Q744" s="3"/>
      <c r="R744" s="3"/>
      <c r="S744" s="6"/>
      <c r="T744" s="3"/>
      <c r="U744" s="7"/>
      <c r="V744" s="6"/>
      <c r="W744" s="3"/>
      <c r="X744" s="6"/>
      <c r="Y744" s="6"/>
      <c r="Z744" s="3"/>
      <c r="AA744" s="3"/>
      <c r="AB744" s="6"/>
      <c r="AC744" s="3"/>
      <c r="AD744" s="3"/>
      <c r="AE744" s="6"/>
      <c r="AF744" s="3"/>
      <c r="AG744" s="3" t="s">
        <v>211</v>
      </c>
      <c r="AH744" s="6"/>
      <c r="AI744" s="3"/>
      <c r="AJ744" s="1">
        <v>46101</v>
      </c>
      <c r="AK744" s="6"/>
      <c r="AL744" s="3"/>
      <c r="AM744" s="6">
        <v>0</v>
      </c>
      <c r="AN744" s="6"/>
      <c r="AO744" s="3"/>
      <c r="AP744" s="3" t="s">
        <v>2158</v>
      </c>
      <c r="AQ744" s="6"/>
      <c r="AR744" s="3"/>
      <c r="AS744" s="3" t="s">
        <v>2159</v>
      </c>
      <c r="AT744" s="6"/>
      <c r="AU744" s="3"/>
      <c r="AV744" s="3"/>
      <c r="AW744" s="6"/>
      <c r="AX744" s="3"/>
      <c r="AY744" s="7"/>
      <c r="AZ744" s="6"/>
      <c r="BA744" s="3"/>
      <c r="BB744" s="6"/>
      <c r="BC744" s="6"/>
      <c r="BD744" s="3"/>
      <c r="BE744" s="3"/>
      <c r="BF744" s="6"/>
      <c r="BG744" s="3"/>
      <c r="BH744" s="3"/>
      <c r="BI744" s="6"/>
      <c r="BJ744" s="3"/>
      <c r="BK744" s="3"/>
      <c r="BL744" s="6"/>
      <c r="BM744" s="3"/>
      <c r="BN744" s="7"/>
      <c r="BO744" s="6"/>
      <c r="BP744" s="3"/>
      <c r="BQ744" s="6"/>
      <c r="BR744" s="6"/>
      <c r="BS744" s="3"/>
      <c r="BT744" s="3"/>
      <c r="BU744" s="6"/>
      <c r="BV744" s="3"/>
      <c r="BW744" s="3"/>
      <c r="BX744" s="6"/>
      <c r="BY744" s="3"/>
      <c r="BZ744" s="3"/>
      <c r="CA744" s="6"/>
      <c r="CB744" s="3"/>
      <c r="CC744" s="7"/>
      <c r="CD744" s="6"/>
      <c r="CE744" s="3"/>
      <c r="CF744" s="6"/>
      <c r="CG744" s="6"/>
      <c r="CH744" s="3"/>
      <c r="CI744" s="3"/>
      <c r="CJ744" s="6"/>
      <c r="CK744" s="3"/>
      <c r="CL744" s="3"/>
      <c r="CM744" s="6"/>
      <c r="CN744" s="3"/>
      <c r="CO744" s="3"/>
      <c r="CP744" s="6"/>
      <c r="CQ744" s="3"/>
      <c r="CR744" s="7"/>
      <c r="CS744" s="6"/>
      <c r="CT744" s="3"/>
      <c r="CU744" s="6"/>
      <c r="CV744" s="6"/>
      <c r="CW744" s="3"/>
      <c r="CX744" s="3"/>
      <c r="CY744" s="6"/>
      <c r="CZ744" s="3"/>
      <c r="DA744" s="3"/>
      <c r="DB744" s="6"/>
      <c r="DC744" s="3"/>
      <c r="DD744" s="3"/>
      <c r="DE744" s="6"/>
      <c r="DF744" s="3"/>
      <c r="DG744" s="7"/>
      <c r="DH744" s="6"/>
      <c r="DI744" s="3"/>
      <c r="DJ744" s="6"/>
      <c r="DK744" s="6"/>
      <c r="DL744" s="3"/>
      <c r="DM744" s="3"/>
      <c r="DN744" s="6"/>
      <c r="DO744" s="3"/>
      <c r="DP744" s="3"/>
      <c r="DQ744" s="6"/>
      <c r="DR744" s="3"/>
      <c r="DS744" s="3" t="str">
        <f>_xlfn.XLOOKUP(OfficeForms.Table[[#This Row],[Selecione a Categoria do Laboratório desta atividade prática:]],Planilha1!A:A,Planilha1!B:B)</f>
        <v>EMF-ISN</v>
      </c>
      <c r="DT744" s="6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74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74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46101</v>
      </c>
      <c r="DW74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44" s="6" t="str">
        <f>_xlfn.XLOOKUP(OfficeForms.Table[[#This Row],[CHAVE LINK POLO]],'[1]Quadro Geral de Lotação'!$B:$B,'[1]Quadro Geral de Lotação'!$I:$I)</f>
        <v>-</v>
      </c>
      <c r="DY744" s="6" t="str">
        <f>OfficeForms.Table[[#This Row],[Selecione a Ordem de Disciplina]]</f>
        <v>Ordem 2</v>
      </c>
    </row>
    <row r="745" spans="1:129" ht="34.15" customHeight="1">
      <c r="A745" s="6">
        <v>745</v>
      </c>
      <c r="B745" s="2">
        <v>46127.831435185202</v>
      </c>
      <c r="C745" s="2">
        <v>46127.832465277803</v>
      </c>
      <c r="D745" s="3" t="s">
        <v>1206</v>
      </c>
      <c r="E745" s="3" t="s">
        <v>1207</v>
      </c>
      <c r="F745" s="6"/>
      <c r="G745" s="3"/>
      <c r="I745" s="3" t="s">
        <v>299</v>
      </c>
      <c r="J745" s="6"/>
      <c r="K745" s="3"/>
      <c r="L745" s="6" t="s">
        <v>1325</v>
      </c>
      <c r="M745" s="6"/>
      <c r="N745" s="6"/>
      <c r="O745" s="3" t="s">
        <v>184</v>
      </c>
      <c r="P745" s="6"/>
      <c r="Q745" s="3"/>
      <c r="R745" s="3"/>
      <c r="S745" s="6"/>
      <c r="T745" s="3"/>
      <c r="U745" s="7"/>
      <c r="V745" s="6"/>
      <c r="W745" s="3"/>
      <c r="X745" s="6"/>
      <c r="Y745" s="6"/>
      <c r="Z745" s="3"/>
      <c r="AA745" s="3"/>
      <c r="AB745" s="6"/>
      <c r="AC745" s="3"/>
      <c r="AD745" s="3"/>
      <c r="AE745" s="6"/>
      <c r="AF745" s="3"/>
      <c r="AG745" s="3" t="s">
        <v>2134</v>
      </c>
      <c r="AH745" s="6"/>
      <c r="AI745" s="3"/>
      <c r="AJ745" s="1">
        <v>46127</v>
      </c>
      <c r="AK745" s="6"/>
      <c r="AL745" s="3"/>
      <c r="AM745" s="6">
        <v>0</v>
      </c>
      <c r="AN745" s="6"/>
      <c r="AO745" s="3"/>
      <c r="AP745" s="3" t="s">
        <v>2160</v>
      </c>
      <c r="AQ745" s="6"/>
      <c r="AR745" s="3"/>
      <c r="AS745" s="3" t="s">
        <v>2161</v>
      </c>
      <c r="AT745" s="6"/>
      <c r="AU745" s="3"/>
      <c r="AV745" s="3"/>
      <c r="AW745" s="6"/>
      <c r="AX745" s="3"/>
      <c r="AY745" s="7"/>
      <c r="AZ745" s="6"/>
      <c r="BA745" s="3"/>
      <c r="BB745" s="6"/>
      <c r="BC745" s="6"/>
      <c r="BD745" s="3"/>
      <c r="BE745" s="3"/>
      <c r="BF745" s="6"/>
      <c r="BG745" s="3"/>
      <c r="BH745" s="3"/>
      <c r="BI745" s="6"/>
      <c r="BJ745" s="3"/>
      <c r="BK745" s="3"/>
      <c r="BL745" s="6"/>
      <c r="BM745" s="3"/>
      <c r="BN745" s="7"/>
      <c r="BO745" s="6"/>
      <c r="BP745" s="3"/>
      <c r="BQ745" s="6"/>
      <c r="BR745" s="6"/>
      <c r="BS745" s="3"/>
      <c r="BT745" s="3"/>
      <c r="BU745" s="6"/>
      <c r="BV745" s="3"/>
      <c r="BW745" s="3"/>
      <c r="BX745" s="6"/>
      <c r="BY745" s="3"/>
      <c r="BZ745" s="3"/>
      <c r="CA745" s="6"/>
      <c r="CB745" s="3"/>
      <c r="CC745" s="7"/>
      <c r="CD745" s="6"/>
      <c r="CE745" s="3"/>
      <c r="CF745" s="6"/>
      <c r="CG745" s="6"/>
      <c r="CH745" s="3"/>
      <c r="CI745" s="3"/>
      <c r="CJ745" s="6"/>
      <c r="CK745" s="3"/>
      <c r="CL745" s="3"/>
      <c r="CM745" s="6"/>
      <c r="CN745" s="3"/>
      <c r="CO745" s="3"/>
      <c r="CP745" s="6"/>
      <c r="CQ745" s="3"/>
      <c r="CR745" s="7"/>
      <c r="CS745" s="6"/>
      <c r="CT745" s="3"/>
      <c r="CU745" s="6"/>
      <c r="CV745" s="6"/>
      <c r="CW745" s="3"/>
      <c r="CX745" s="3"/>
      <c r="CY745" s="6"/>
      <c r="CZ745" s="3"/>
      <c r="DA745" s="3"/>
      <c r="DB745" s="6"/>
      <c r="DC745" s="3"/>
      <c r="DD745" s="3"/>
      <c r="DE745" s="6"/>
      <c r="DF745" s="3"/>
      <c r="DG745" s="7"/>
      <c r="DH745" s="6"/>
      <c r="DI745" s="3"/>
      <c r="DJ745" s="6"/>
      <c r="DK745" s="6"/>
      <c r="DL745" s="3"/>
      <c r="DM745" s="3"/>
      <c r="DN745" s="6"/>
      <c r="DO745" s="3"/>
      <c r="DP745" s="3"/>
      <c r="DQ745" s="6"/>
      <c r="DR745" s="3"/>
      <c r="DS745" s="3" t="str">
        <f>_xlfn.XLOOKUP(OfficeForms.Table[[#This Row],[Selecione a Categoria do Laboratório desta atividade prática:]],Planilha1!A:A,Planilha1!B:B)</f>
        <v>EMF-ISN</v>
      </c>
      <c r="DT745" s="6" t="str">
        <f>CONCATENATE(OfficeForms.Table[[#This Row],[Selecione seu Polo Laboratório de Atividades Presenciais:]],OfficeForms.Table[[#This Row],[CHAVE CONVERSÃO]])</f>
        <v>Indaial/SC - Vitória Regia ( Centro Universitário  Leonardo da Vinci)EMF-ISN</v>
      </c>
      <c r="DU74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Medidas antropométricas da criança e adolescente + Acolhimento e escala de Manchester pediatria</v>
      </c>
      <c r="DV74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74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45" s="6" t="str">
        <f>_xlfn.XLOOKUP(OfficeForms.Table[[#This Row],[CHAVE LINK POLO]],'[1]Quadro Geral de Lotação'!$B:$B,'[1]Quadro Geral de Lotação'!$I:$I)</f>
        <v>-</v>
      </c>
      <c r="DY745" s="6" t="str">
        <f>OfficeForms.Table[[#This Row],[Selecione a Ordem de Disciplina]]</f>
        <v>Ordem 3</v>
      </c>
    </row>
    <row r="746" spans="1:129" ht="34.15" customHeight="1">
      <c r="A746" s="6">
        <v>746</v>
      </c>
      <c r="B746" s="2">
        <v>46127.860625000001</v>
      </c>
      <c r="C746" s="2">
        <v>46127.864027777803</v>
      </c>
      <c r="D746" s="3" t="s">
        <v>1480</v>
      </c>
      <c r="E746" s="3" t="s">
        <v>1481</v>
      </c>
      <c r="F746" s="6"/>
      <c r="G746" s="3"/>
      <c r="I746" s="3" t="s">
        <v>545</v>
      </c>
      <c r="J746" s="6"/>
      <c r="K746" s="3"/>
      <c r="L746" s="6" t="s">
        <v>1325</v>
      </c>
      <c r="M746" s="6"/>
      <c r="N746" s="6"/>
      <c r="O746" s="3" t="s">
        <v>1482</v>
      </c>
      <c r="P746" s="6"/>
      <c r="Q746" s="3"/>
      <c r="R746" s="3"/>
      <c r="S746" s="6"/>
      <c r="T746" s="3"/>
      <c r="U746" s="7"/>
      <c r="V746" s="6"/>
      <c r="W746" s="3"/>
      <c r="X746" s="6"/>
      <c r="Y746" s="6"/>
      <c r="Z746" s="3"/>
      <c r="AA746" s="3"/>
      <c r="AB746" s="6"/>
      <c r="AC746" s="3"/>
      <c r="AD746" s="3"/>
      <c r="AE746" s="6"/>
      <c r="AF746" s="3"/>
      <c r="AG746" s="3"/>
      <c r="AH746" s="6"/>
      <c r="AI746" s="3"/>
      <c r="AJ746" s="1"/>
      <c r="AK746" s="6"/>
      <c r="AL746" s="3"/>
      <c r="AM746" s="6"/>
      <c r="AN746" s="6"/>
      <c r="AO746" s="3"/>
      <c r="AP746" s="3"/>
      <c r="AQ746" s="6"/>
      <c r="AR746" s="3"/>
      <c r="AS746" s="3"/>
      <c r="AT746" s="6"/>
      <c r="AU746" s="3"/>
      <c r="AV746" s="3"/>
      <c r="AW746" s="6"/>
      <c r="AX746" s="3"/>
      <c r="AY746" s="7"/>
      <c r="AZ746" s="6"/>
      <c r="BA746" s="3"/>
      <c r="BB746" s="6"/>
      <c r="BC746" s="6"/>
      <c r="BD746" s="3"/>
      <c r="BE746" s="3"/>
      <c r="BF746" s="6"/>
      <c r="BG746" s="3"/>
      <c r="BH746" s="3"/>
      <c r="BI746" s="6"/>
      <c r="BJ746" s="3"/>
      <c r="BK746" s="3"/>
      <c r="BL746" s="6"/>
      <c r="BM746" s="3"/>
      <c r="BN746" s="7"/>
      <c r="BO746" s="6"/>
      <c r="BP746" s="3"/>
      <c r="BQ746" s="6"/>
      <c r="BR746" s="6"/>
      <c r="BS746" s="3"/>
      <c r="BT746" s="3"/>
      <c r="BU746" s="6"/>
      <c r="BV746" s="3"/>
      <c r="BW746" s="3"/>
      <c r="BX746" s="6"/>
      <c r="BY746" s="3"/>
      <c r="BZ746" s="3"/>
      <c r="CA746" s="6"/>
      <c r="CB746" s="3"/>
      <c r="CC746" s="7"/>
      <c r="CD746" s="6"/>
      <c r="CE746" s="3"/>
      <c r="CF746" s="6"/>
      <c r="CG746" s="6"/>
      <c r="CH746" s="3"/>
      <c r="CI746" s="3"/>
      <c r="CJ746" s="6"/>
      <c r="CK746" s="3"/>
      <c r="CL746" s="3"/>
      <c r="CM746" s="6"/>
      <c r="CN746" s="3"/>
      <c r="CO746" s="3" t="s">
        <v>2162</v>
      </c>
      <c r="CP746" s="6"/>
      <c r="CQ746" s="3"/>
      <c r="CR746" s="7">
        <v>46126</v>
      </c>
      <c r="CS746" s="6"/>
      <c r="CT746" s="3"/>
      <c r="CU746" s="6">
        <v>27</v>
      </c>
      <c r="CV746" s="6"/>
      <c r="CW746" s="3"/>
      <c r="CX746" s="3" t="s">
        <v>2163</v>
      </c>
      <c r="CY746" s="6"/>
      <c r="CZ746" s="3"/>
      <c r="DA746" s="3" t="s">
        <v>2164</v>
      </c>
      <c r="DB746" s="6"/>
      <c r="DC746" s="3"/>
      <c r="DD746" s="3"/>
      <c r="DE746" s="6"/>
      <c r="DF746" s="3"/>
      <c r="DG746" s="7"/>
      <c r="DH746" s="6"/>
      <c r="DI746" s="3"/>
      <c r="DJ746" s="6"/>
      <c r="DK746" s="6"/>
      <c r="DL746" s="3"/>
      <c r="DM746" s="3"/>
      <c r="DN746" s="6"/>
      <c r="DO746" s="3"/>
      <c r="DP746" s="3"/>
      <c r="DQ746" s="6"/>
      <c r="DR746" s="3"/>
      <c r="DS746" s="3" t="str">
        <f>_xlfn.XLOOKUP(OfficeForms.Table[[#This Row],[Selecione a Categoria do Laboratório desta atividade prática:]],Planilha1!A:A,Planilha1!B:B)</f>
        <v>BAU</v>
      </c>
      <c r="DT746" s="6" t="str">
        <f>CONCATENATE(OfficeForms.Table[[#This Row],[Selecione seu Polo Laboratório de Atividades Presenciais:]],OfficeForms.Table[[#This Row],[CHAVE CONVERSÃO]])</f>
        <v>Porto Alegre/RS - Centro HistóricoBAU</v>
      </c>
      <c r="DU74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Introdução a Caligrafia Técnica dentro das normas da ABNT (NBR 6492). +  Introdução aos Primeiros Passos;Representações do Desenho Técnico + Cotas e Escalas</v>
      </c>
      <c r="DV74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74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27</v>
      </c>
      <c r="DX746" s="6" t="str">
        <f>_xlfn.XLOOKUP(OfficeForms.Table[[#This Row],[CHAVE LINK POLO]],'[1]Quadro Geral de Lotação'!$B:$B,'[1]Quadro Geral de Lotação'!$I:$I)</f>
        <v>Maria Cristina De Freitas Guerreiro</v>
      </c>
      <c r="DY746" s="6" t="str">
        <f>OfficeForms.Table[[#This Row],[Selecione a Ordem de Disciplina]]</f>
        <v>Ordem 3</v>
      </c>
    </row>
    <row r="747" spans="1:129" ht="34.15" customHeight="1">
      <c r="A747" s="6">
        <v>747</v>
      </c>
      <c r="B747" s="2">
        <v>46127.886168981502</v>
      </c>
      <c r="C747" s="2">
        <v>46127.893206018503</v>
      </c>
      <c r="D747" s="3" t="s">
        <v>607</v>
      </c>
      <c r="E747" s="3" t="s">
        <v>608</v>
      </c>
      <c r="F747" s="6"/>
      <c r="G747" s="3"/>
      <c r="I747" s="3" t="s">
        <v>609</v>
      </c>
      <c r="J747" s="6"/>
      <c r="K747" s="3"/>
      <c r="L747" s="6" t="s">
        <v>678</v>
      </c>
      <c r="M747" s="6"/>
      <c r="N747" s="6"/>
      <c r="O747" s="3" t="s">
        <v>184</v>
      </c>
      <c r="P747" s="6"/>
      <c r="Q747" s="3"/>
      <c r="R747" s="3"/>
      <c r="S747" s="6"/>
      <c r="T747" s="3"/>
      <c r="U747" s="7"/>
      <c r="V747" s="6"/>
      <c r="W747" s="3"/>
      <c r="X747" s="6"/>
      <c r="Y747" s="6"/>
      <c r="Z747" s="3"/>
      <c r="AA747" s="3"/>
      <c r="AB747" s="6"/>
      <c r="AC747" s="3"/>
      <c r="AD747" s="3"/>
      <c r="AE747" s="6"/>
      <c r="AF747" s="3"/>
      <c r="AG747" s="3" t="s">
        <v>1031</v>
      </c>
      <c r="AH747" s="6"/>
      <c r="AI747" s="3"/>
      <c r="AJ747" s="1">
        <v>46116</v>
      </c>
      <c r="AK747" s="6"/>
      <c r="AL747" s="3"/>
      <c r="AM747" s="6">
        <v>10</v>
      </c>
      <c r="AN747" s="6"/>
      <c r="AO747" s="3"/>
      <c r="AP747" s="3" t="s">
        <v>2165</v>
      </c>
      <c r="AQ747" s="6"/>
      <c r="AR747" s="3"/>
      <c r="AS747" s="3" t="s">
        <v>2166</v>
      </c>
      <c r="AT747" s="6"/>
      <c r="AU747" s="3"/>
      <c r="AV747" s="3"/>
      <c r="AW747" s="6"/>
      <c r="AX747" s="3"/>
      <c r="AY747" s="7"/>
      <c r="AZ747" s="6"/>
      <c r="BA747" s="3"/>
      <c r="BB747" s="6"/>
      <c r="BC747" s="6"/>
      <c r="BD747" s="3"/>
      <c r="BE747" s="3"/>
      <c r="BF747" s="6"/>
      <c r="BG747" s="3"/>
      <c r="BH747" s="3"/>
      <c r="BI747" s="6"/>
      <c r="BJ747" s="3"/>
      <c r="BK747" s="3"/>
      <c r="BL747" s="6"/>
      <c r="BM747" s="3"/>
      <c r="BN747" s="7"/>
      <c r="BO747" s="6"/>
      <c r="BP747" s="3"/>
      <c r="BQ747" s="6"/>
      <c r="BR747" s="6"/>
      <c r="BS747" s="3"/>
      <c r="BT747" s="3"/>
      <c r="BU747" s="6"/>
      <c r="BV747" s="3"/>
      <c r="BW747" s="3"/>
      <c r="BX747" s="6"/>
      <c r="BY747" s="3"/>
      <c r="BZ747" s="3"/>
      <c r="CA747" s="6"/>
      <c r="CB747" s="3"/>
      <c r="CC747" s="7"/>
      <c r="CD747" s="6"/>
      <c r="CE747" s="3"/>
      <c r="CF747" s="6"/>
      <c r="CG747" s="6"/>
      <c r="CH747" s="3"/>
      <c r="CI747" s="3"/>
      <c r="CJ747" s="6"/>
      <c r="CK747" s="3"/>
      <c r="CL747" s="3"/>
      <c r="CM747" s="6"/>
      <c r="CN747" s="3"/>
      <c r="CO747" s="3"/>
      <c r="CP747" s="6"/>
      <c r="CQ747" s="3"/>
      <c r="CR747" s="7"/>
      <c r="CS747" s="6"/>
      <c r="CT747" s="3"/>
      <c r="CU747" s="6"/>
      <c r="CV747" s="6"/>
      <c r="CW747" s="3"/>
      <c r="CX747" s="3"/>
      <c r="CY747" s="6"/>
      <c r="CZ747" s="3"/>
      <c r="DA747" s="3"/>
      <c r="DB747" s="6"/>
      <c r="DC747" s="3"/>
      <c r="DD747" s="3"/>
      <c r="DE747" s="6"/>
      <c r="DF747" s="3"/>
      <c r="DG747" s="7"/>
      <c r="DH747" s="6"/>
      <c r="DI747" s="3"/>
      <c r="DJ747" s="6"/>
      <c r="DK747" s="6"/>
      <c r="DL747" s="3"/>
      <c r="DM747" s="3"/>
      <c r="DN747" s="6"/>
      <c r="DO747" s="3"/>
      <c r="DP747" s="3"/>
      <c r="DQ747" s="6"/>
      <c r="DR747" s="3"/>
      <c r="DS747" s="3" t="str">
        <f>_xlfn.XLOOKUP(OfficeForms.Table[[#This Row],[Selecione a Categoria do Laboratório desta atividade prática:]],Planilha1!A:A,Planilha1!B:B)</f>
        <v>EMF-ISN</v>
      </c>
      <c r="DT747" s="6" t="str">
        <f>CONCATENATE(OfficeForms.Table[[#This Row],[Selecione seu Polo Laboratório de Atividades Presenciais:]],OfficeForms.Table[[#This Row],[CHAVE CONVERSÃO]])</f>
        <v>Novo Progresso/PAEMF-ISN</v>
      </c>
      <c r="DU74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74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46116</v>
      </c>
      <c r="DW74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747" s="6" t="str">
        <f>_xlfn.XLOOKUP(OfficeForms.Table[[#This Row],[CHAVE LINK POLO]],'[1]Quadro Geral de Lotação'!$B:$B,'[1]Quadro Geral de Lotação'!$I:$I)</f>
        <v>Laurilene Oliveira Mota</v>
      </c>
      <c r="DY747" s="6" t="str">
        <f>OfficeForms.Table[[#This Row],[Selecione a Ordem de Disciplina]]</f>
        <v>Ordem 2</v>
      </c>
    </row>
    <row r="748" spans="1:129" ht="34.15" customHeight="1">
      <c r="A748" s="6">
        <v>748</v>
      </c>
      <c r="B748" s="2">
        <v>46127.912557870397</v>
      </c>
      <c r="C748" s="2">
        <v>46127.9137962963</v>
      </c>
      <c r="D748" s="3" t="s">
        <v>607</v>
      </c>
      <c r="E748" s="3" t="s">
        <v>608</v>
      </c>
      <c r="F748" s="6"/>
      <c r="G748" s="3"/>
      <c r="I748" s="3" t="s">
        <v>609</v>
      </c>
      <c r="J748" s="6"/>
      <c r="K748" s="3"/>
      <c r="L748" s="6" t="s">
        <v>678</v>
      </c>
      <c r="M748" s="6"/>
      <c r="N748" s="6"/>
      <c r="O748" s="3" t="s">
        <v>184</v>
      </c>
      <c r="P748" s="6"/>
      <c r="Q748" s="3"/>
      <c r="R748" s="3"/>
      <c r="S748" s="6"/>
      <c r="T748" s="3"/>
      <c r="U748" s="7"/>
      <c r="V748" s="6"/>
      <c r="W748" s="3"/>
      <c r="X748" s="6"/>
      <c r="Y748" s="6"/>
      <c r="Z748" s="3"/>
      <c r="AA748" s="3"/>
      <c r="AB748" s="6"/>
      <c r="AC748" s="3"/>
      <c r="AD748" s="3"/>
      <c r="AE748" s="6"/>
      <c r="AF748" s="3"/>
      <c r="AG748" s="3" t="s">
        <v>1016</v>
      </c>
      <c r="AH748" s="6"/>
      <c r="AI748" s="3"/>
      <c r="AJ748" s="1">
        <v>46116</v>
      </c>
      <c r="AK748" s="6"/>
      <c r="AL748" s="3"/>
      <c r="AM748" s="6">
        <v>10</v>
      </c>
      <c r="AN748" s="6"/>
      <c r="AO748" s="3"/>
      <c r="AP748" s="3" t="s">
        <v>2167</v>
      </c>
      <c r="AQ748" s="6"/>
      <c r="AR748" s="3"/>
      <c r="AS748" s="3" t="s">
        <v>2168</v>
      </c>
      <c r="AT748" s="6"/>
      <c r="AU748" s="3"/>
      <c r="AV748" s="3"/>
      <c r="AW748" s="6"/>
      <c r="AX748" s="3"/>
      <c r="AY748" s="7"/>
      <c r="AZ748" s="6"/>
      <c r="BA748" s="3"/>
      <c r="BB748" s="6"/>
      <c r="BC748" s="6"/>
      <c r="BD748" s="3"/>
      <c r="BE748" s="3"/>
      <c r="BF748" s="6"/>
      <c r="BG748" s="3"/>
      <c r="BH748" s="3"/>
      <c r="BI748" s="6"/>
      <c r="BJ748" s="3"/>
      <c r="BK748" s="3"/>
      <c r="BL748" s="6"/>
      <c r="BM748" s="3"/>
      <c r="BN748" s="7"/>
      <c r="BO748" s="6"/>
      <c r="BP748" s="3"/>
      <c r="BQ748" s="6"/>
      <c r="BR748" s="6"/>
      <c r="BS748" s="3"/>
      <c r="BT748" s="3"/>
      <c r="BU748" s="6"/>
      <c r="BV748" s="3"/>
      <c r="BW748" s="3"/>
      <c r="BX748" s="6"/>
      <c r="BY748" s="3"/>
      <c r="BZ748" s="3"/>
      <c r="CA748" s="6"/>
      <c r="CB748" s="3"/>
      <c r="CC748" s="7"/>
      <c r="CD748" s="6"/>
      <c r="CE748" s="3"/>
      <c r="CF748" s="6"/>
      <c r="CG748" s="6"/>
      <c r="CH748" s="3"/>
      <c r="CI748" s="3"/>
      <c r="CJ748" s="6"/>
      <c r="CK748" s="3"/>
      <c r="CL748" s="3"/>
      <c r="CM748" s="6"/>
      <c r="CN748" s="3"/>
      <c r="CO748" s="3"/>
      <c r="CP748" s="6"/>
      <c r="CQ748" s="3"/>
      <c r="CR748" s="7"/>
      <c r="CS748" s="6"/>
      <c r="CT748" s="3"/>
      <c r="CU748" s="6"/>
      <c r="CV748" s="6"/>
      <c r="CW748" s="3"/>
      <c r="CX748" s="3"/>
      <c r="CY748" s="6"/>
      <c r="CZ748" s="3"/>
      <c r="DA748" s="3"/>
      <c r="DB748" s="6"/>
      <c r="DC748" s="3"/>
      <c r="DD748" s="3"/>
      <c r="DE748" s="6"/>
      <c r="DF748" s="3"/>
      <c r="DG748" s="7"/>
      <c r="DH748" s="6"/>
      <c r="DI748" s="3"/>
      <c r="DJ748" s="6"/>
      <c r="DK748" s="6"/>
      <c r="DL748" s="3"/>
      <c r="DM748" s="3"/>
      <c r="DN748" s="6"/>
      <c r="DO748" s="3"/>
      <c r="DP748" s="3"/>
      <c r="DQ748" s="6"/>
      <c r="DR748" s="3"/>
      <c r="DS748" s="3" t="str">
        <f>_xlfn.XLOOKUP(OfficeForms.Table[[#This Row],[Selecione a Categoria do Laboratório desta atividade prática:]],Planilha1!A:A,Planilha1!B:B)</f>
        <v>EMF-ISN</v>
      </c>
      <c r="DT748" s="6" t="str">
        <f>CONCATENATE(OfficeForms.Table[[#This Row],[Selecione seu Polo Laboratório de Atividades Presenciais:]],OfficeForms.Table[[#This Row],[CHAVE CONVERSÃO]])</f>
        <v>Novo Progresso/PAEMF-ISN</v>
      </c>
      <c r="DU74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74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46116</v>
      </c>
      <c r="DW74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748" s="6" t="str">
        <f>_xlfn.XLOOKUP(OfficeForms.Table[[#This Row],[CHAVE LINK POLO]],'[1]Quadro Geral de Lotação'!$B:$B,'[1]Quadro Geral de Lotação'!$I:$I)</f>
        <v>Laurilene Oliveira Mota</v>
      </c>
      <c r="DY748" s="6" t="str">
        <f>OfficeForms.Table[[#This Row],[Selecione a Ordem de Disciplina]]</f>
        <v>Ordem 2</v>
      </c>
    </row>
    <row r="749" spans="1:129" ht="34.15" customHeight="1">
      <c r="A749" s="6">
        <v>749</v>
      </c>
      <c r="B749" s="2">
        <v>46127.987604166701</v>
      </c>
      <c r="C749" s="2">
        <v>46127.991076388898</v>
      </c>
      <c r="D749" s="3" t="s">
        <v>607</v>
      </c>
      <c r="E749" s="3" t="s">
        <v>608</v>
      </c>
      <c r="F749" s="6"/>
      <c r="G749" s="3"/>
      <c r="I749" s="3" t="s">
        <v>609</v>
      </c>
      <c r="J749" s="6"/>
      <c r="K749" s="3"/>
      <c r="L749" s="6" t="s">
        <v>678</v>
      </c>
      <c r="M749" s="6"/>
      <c r="N749" s="6"/>
      <c r="O749" s="3" t="s">
        <v>184</v>
      </c>
      <c r="P749" s="6"/>
      <c r="Q749" s="3"/>
      <c r="R749" s="3"/>
      <c r="S749" s="6"/>
      <c r="T749" s="3"/>
      <c r="U749" s="7"/>
      <c r="V749" s="6"/>
      <c r="W749" s="3"/>
      <c r="X749" s="6"/>
      <c r="Y749" s="6"/>
      <c r="Z749" s="3"/>
      <c r="AA749" s="3"/>
      <c r="AB749" s="6"/>
      <c r="AC749" s="3"/>
      <c r="AD749" s="3"/>
      <c r="AE749" s="6"/>
      <c r="AF749" s="3"/>
      <c r="AG749" s="3" t="s">
        <v>1031</v>
      </c>
      <c r="AH749" s="6"/>
      <c r="AI749" s="3"/>
      <c r="AJ749" s="1">
        <v>46116</v>
      </c>
      <c r="AK749" s="6"/>
      <c r="AL749" s="3"/>
      <c r="AM749" s="6">
        <v>10</v>
      </c>
      <c r="AN749" s="6"/>
      <c r="AO749" s="3"/>
      <c r="AP749" s="3" t="s">
        <v>2169</v>
      </c>
      <c r="AQ749" s="6"/>
      <c r="AR749" s="3"/>
      <c r="AS749" s="3" t="s">
        <v>2170</v>
      </c>
      <c r="AT749" s="6"/>
      <c r="AU749" s="3"/>
      <c r="AV749" s="3"/>
      <c r="AW749" s="6"/>
      <c r="AX749" s="3"/>
      <c r="AY749" s="7"/>
      <c r="AZ749" s="6"/>
      <c r="BA749" s="3"/>
      <c r="BB749" s="6"/>
      <c r="BC749" s="6"/>
      <c r="BD749" s="3"/>
      <c r="BE749" s="3"/>
      <c r="BF749" s="6"/>
      <c r="BG749" s="3"/>
      <c r="BH749" s="3"/>
      <c r="BI749" s="6"/>
      <c r="BJ749" s="3"/>
      <c r="BK749" s="3"/>
      <c r="BL749" s="6"/>
      <c r="BM749" s="3"/>
      <c r="BN749" s="7"/>
      <c r="BO749" s="6"/>
      <c r="BP749" s="3"/>
      <c r="BQ749" s="6"/>
      <c r="BR749" s="6"/>
      <c r="BS749" s="3"/>
      <c r="BT749" s="3"/>
      <c r="BU749" s="6"/>
      <c r="BV749" s="3"/>
      <c r="BW749" s="3"/>
      <c r="BX749" s="6"/>
      <c r="BY749" s="3"/>
      <c r="BZ749" s="3"/>
      <c r="CA749" s="6"/>
      <c r="CB749" s="3"/>
      <c r="CC749" s="7"/>
      <c r="CD749" s="6"/>
      <c r="CE749" s="3"/>
      <c r="CF749" s="6"/>
      <c r="CG749" s="6"/>
      <c r="CH749" s="3"/>
      <c r="CI749" s="3"/>
      <c r="CJ749" s="6"/>
      <c r="CK749" s="3"/>
      <c r="CL749" s="3"/>
      <c r="CM749" s="6"/>
      <c r="CN749" s="3"/>
      <c r="CO749" s="3"/>
      <c r="CP749" s="6"/>
      <c r="CQ749" s="3"/>
      <c r="CR749" s="7"/>
      <c r="CS749" s="6"/>
      <c r="CT749" s="3"/>
      <c r="CU749" s="6"/>
      <c r="CV749" s="6"/>
      <c r="CW749" s="3"/>
      <c r="CX749" s="3"/>
      <c r="CY749" s="6"/>
      <c r="CZ749" s="3"/>
      <c r="DA749" s="3"/>
      <c r="DB749" s="6"/>
      <c r="DC749" s="3"/>
      <c r="DD749" s="3"/>
      <c r="DE749" s="6"/>
      <c r="DF749" s="3"/>
      <c r="DG749" s="7"/>
      <c r="DH749" s="6"/>
      <c r="DI749" s="3"/>
      <c r="DJ749" s="6"/>
      <c r="DK749" s="6"/>
      <c r="DL749" s="3"/>
      <c r="DM749" s="3"/>
      <c r="DN749" s="6"/>
      <c r="DO749" s="3"/>
      <c r="DP749" s="3"/>
      <c r="DQ749" s="6"/>
      <c r="DR749" s="3"/>
      <c r="DS749" s="3" t="str">
        <f>_xlfn.XLOOKUP(OfficeForms.Table[[#This Row],[Selecione a Categoria do Laboratório desta atividade prática:]],Planilha1!A:A,Planilha1!B:B)</f>
        <v>EMF-ISN</v>
      </c>
      <c r="DT749" s="6" t="str">
        <f>CONCATENATE(OfficeForms.Table[[#This Row],[Selecione seu Polo Laboratório de Atividades Presenciais:]],OfficeForms.Table[[#This Row],[CHAVE CONVERSÃO]])</f>
        <v>Novo Progresso/PAEMF-ISN</v>
      </c>
      <c r="DU74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74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46116</v>
      </c>
      <c r="DW74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749" s="6" t="str">
        <f>_xlfn.XLOOKUP(OfficeForms.Table[[#This Row],[CHAVE LINK POLO]],'[1]Quadro Geral de Lotação'!$B:$B,'[1]Quadro Geral de Lotação'!$I:$I)</f>
        <v>Laurilene Oliveira Mota</v>
      </c>
      <c r="DY749" s="6" t="str">
        <f>OfficeForms.Table[[#This Row],[Selecione a Ordem de Disciplina]]</f>
        <v>Ordem 2</v>
      </c>
    </row>
    <row r="750" spans="1:129" ht="34.15" customHeight="1">
      <c r="A750" s="6">
        <v>750</v>
      </c>
      <c r="B750" s="2">
        <v>46128.297500000001</v>
      </c>
      <c r="C750" s="2">
        <v>46128.299733796302</v>
      </c>
      <c r="D750" s="3" t="s">
        <v>306</v>
      </c>
      <c r="E750" s="3" t="s">
        <v>307</v>
      </c>
      <c r="F750" s="6"/>
      <c r="G750" s="3"/>
      <c r="I750" s="3" t="s">
        <v>308</v>
      </c>
      <c r="J750" s="6"/>
      <c r="K750" s="3"/>
      <c r="L750" s="6" t="s">
        <v>1325</v>
      </c>
      <c r="M750" s="6"/>
      <c r="N750" s="6"/>
      <c r="O750" s="3" t="s">
        <v>133</v>
      </c>
      <c r="P750" s="6"/>
      <c r="Q750" s="3"/>
      <c r="R750" s="3"/>
      <c r="S750" s="6"/>
      <c r="T750" s="3"/>
      <c r="U750" s="7"/>
      <c r="V750" s="6"/>
      <c r="W750" s="3"/>
      <c r="X750" s="6"/>
      <c r="Y750" s="6"/>
      <c r="Z750" s="3"/>
      <c r="AA750" s="3"/>
      <c r="AB750" s="6"/>
      <c r="AC750" s="3"/>
      <c r="AD750" s="3"/>
      <c r="AE750" s="6"/>
      <c r="AF750" s="3"/>
      <c r="AG750" s="3"/>
      <c r="AH750" s="6"/>
      <c r="AI750" s="3"/>
      <c r="AJ750" s="1"/>
      <c r="AK750" s="6"/>
      <c r="AL750" s="3"/>
      <c r="AM750" s="6"/>
      <c r="AN750" s="6"/>
      <c r="AO750" s="3"/>
      <c r="AP750" s="3"/>
      <c r="AQ750" s="6"/>
      <c r="AR750" s="3"/>
      <c r="AS750" s="3"/>
      <c r="AT750" s="6"/>
      <c r="AU750" s="3"/>
      <c r="AV750" s="3" t="s">
        <v>2171</v>
      </c>
      <c r="AW750" s="6"/>
      <c r="AX750" s="3"/>
      <c r="AY750" s="7">
        <v>46127</v>
      </c>
      <c r="AZ750" s="6"/>
      <c r="BA750" s="3"/>
      <c r="BB750" s="6">
        <v>4</v>
      </c>
      <c r="BC750" s="6"/>
      <c r="BD750" s="3"/>
      <c r="BE750" s="3" t="s">
        <v>2172</v>
      </c>
      <c r="BF750" s="6"/>
      <c r="BG750" s="3"/>
      <c r="BH750" s="3" t="s">
        <v>2173</v>
      </c>
      <c r="BI750" s="6"/>
      <c r="BJ750" s="3"/>
      <c r="BK750" s="3"/>
      <c r="BL750" s="6"/>
      <c r="BM750" s="3"/>
      <c r="BN750" s="7"/>
      <c r="BO750" s="6"/>
      <c r="BP750" s="3"/>
      <c r="BQ750" s="6"/>
      <c r="BR750" s="6"/>
      <c r="BS750" s="3"/>
      <c r="BT750" s="3"/>
      <c r="BU750" s="6"/>
      <c r="BV750" s="3"/>
      <c r="BW750" s="3"/>
      <c r="BX750" s="6"/>
      <c r="BY750" s="3"/>
      <c r="BZ750" s="3"/>
      <c r="CA750" s="6"/>
      <c r="CB750" s="3"/>
      <c r="CC750" s="7"/>
      <c r="CD750" s="6"/>
      <c r="CE750" s="3"/>
      <c r="CF750" s="6"/>
      <c r="CG750" s="6"/>
      <c r="CH750" s="3"/>
      <c r="CI750" s="3"/>
      <c r="CJ750" s="6"/>
      <c r="CK750" s="3"/>
      <c r="CL750" s="3"/>
      <c r="CM750" s="6"/>
      <c r="CN750" s="3"/>
      <c r="CO750" s="3"/>
      <c r="CP750" s="6"/>
      <c r="CQ750" s="3"/>
      <c r="CR750" s="7"/>
      <c r="CS750" s="6"/>
      <c r="CT750" s="3"/>
      <c r="CU750" s="6"/>
      <c r="CV750" s="6"/>
      <c r="CW750" s="3"/>
      <c r="CX750" s="3"/>
      <c r="CY750" s="6"/>
      <c r="CZ750" s="3"/>
      <c r="DA750" s="3"/>
      <c r="DB750" s="6"/>
      <c r="DC750" s="3"/>
      <c r="DD750" s="3"/>
      <c r="DE750" s="6"/>
      <c r="DF750" s="3"/>
      <c r="DG750" s="7"/>
      <c r="DH750" s="6"/>
      <c r="DI750" s="3"/>
      <c r="DJ750" s="6"/>
      <c r="DK750" s="6"/>
      <c r="DL750" s="3"/>
      <c r="DM750" s="3"/>
      <c r="DN750" s="6"/>
      <c r="DO750" s="3"/>
      <c r="DP750" s="3"/>
      <c r="DQ750" s="6"/>
      <c r="DR750" s="3"/>
      <c r="DS750" s="3" t="str">
        <f>_xlfn.XLOOKUP(OfficeForms.Table[[#This Row],[Selecione a Categoria do Laboratório desta atividade prática:]],Planilha1!A:A,Planilha1!B:B)</f>
        <v>BFI</v>
      </c>
      <c r="DT750" s="6" t="str">
        <f>CONCATENATE(OfficeForms.Table[[#This Row],[Selecione seu Polo Laboratório de Atividades Presenciais:]],OfficeForms.Table[[#This Row],[CHAVE CONVERSÃO]])</f>
        <v>Salvador/BA - Caminho das ÁrvoresBFI</v>
      </c>
      <c r="DU75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Laser e LED;Ultrassom Terapêutico (UST)</v>
      </c>
      <c r="DV75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75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750" s="6" t="str">
        <f>_xlfn.XLOOKUP(OfficeForms.Table[[#This Row],[CHAVE LINK POLO]],'[1]Quadro Geral de Lotação'!$B:$B,'[1]Quadro Geral de Lotação'!$I:$I)</f>
        <v>Helenice Sacramento Souza Melo</v>
      </c>
      <c r="DY750" s="6" t="str">
        <f>OfficeForms.Table[[#This Row],[Selecione a Ordem de Disciplina]]</f>
        <v>Ordem 3</v>
      </c>
    </row>
    <row r="751" spans="1:129" ht="34.15" customHeight="1">
      <c r="A751" s="6">
        <v>751</v>
      </c>
      <c r="B751" s="2">
        <v>46128.349699074097</v>
      </c>
      <c r="C751" s="2">
        <v>46128.351851851898</v>
      </c>
      <c r="D751" s="3" t="s">
        <v>543</v>
      </c>
      <c r="E751" s="3" t="s">
        <v>544</v>
      </c>
      <c r="F751" s="6"/>
      <c r="G751" s="3"/>
      <c r="I751" s="3" t="s">
        <v>545</v>
      </c>
      <c r="J751" s="6"/>
      <c r="K751" s="3"/>
      <c r="L751" s="6" t="s">
        <v>1325</v>
      </c>
      <c r="M751" s="6"/>
      <c r="N751" s="6"/>
      <c r="O751" s="3" t="s">
        <v>140</v>
      </c>
      <c r="P751" s="6"/>
      <c r="Q751" s="3"/>
      <c r="R751" s="3"/>
      <c r="S751" s="6"/>
      <c r="T751" s="3"/>
      <c r="U751" s="7"/>
      <c r="V751" s="6"/>
      <c r="W751" s="3"/>
      <c r="X751" s="6"/>
      <c r="Y751" s="6"/>
      <c r="Z751" s="3"/>
      <c r="AA751" s="3"/>
      <c r="AB751" s="6"/>
      <c r="AC751" s="3"/>
      <c r="AD751" s="3"/>
      <c r="AE751" s="6"/>
      <c r="AF751" s="3"/>
      <c r="AG751" s="3"/>
      <c r="AH751" s="6"/>
      <c r="AI751" s="3"/>
      <c r="AJ751" s="1"/>
      <c r="AK751" s="6"/>
      <c r="AL751" s="3"/>
      <c r="AM751" s="6"/>
      <c r="AN751" s="6"/>
      <c r="AO751" s="3"/>
      <c r="AP751" s="3"/>
      <c r="AQ751" s="6"/>
      <c r="AR751" s="3"/>
      <c r="AS751" s="3"/>
      <c r="AT751" s="6"/>
      <c r="AU751" s="3"/>
      <c r="AV751" s="3"/>
      <c r="AW751" s="6"/>
      <c r="AX751" s="3"/>
      <c r="AY751" s="7"/>
      <c r="AZ751" s="6"/>
      <c r="BA751" s="3"/>
      <c r="BB751" s="6"/>
      <c r="BC751" s="6"/>
      <c r="BD751" s="3"/>
      <c r="BE751" s="3"/>
      <c r="BF751" s="6"/>
      <c r="BG751" s="3"/>
      <c r="BH751" s="3"/>
      <c r="BI751" s="6"/>
      <c r="BJ751" s="3"/>
      <c r="BK751" s="3"/>
      <c r="BL751" s="6"/>
      <c r="BM751" s="3"/>
      <c r="BN751" s="7"/>
      <c r="BO751" s="6"/>
      <c r="BP751" s="3"/>
      <c r="BQ751" s="6"/>
      <c r="BR751" s="6"/>
      <c r="BS751" s="3"/>
      <c r="BT751" s="3"/>
      <c r="BU751" s="6"/>
      <c r="BV751" s="3"/>
      <c r="BW751" s="3"/>
      <c r="BX751" s="6"/>
      <c r="BY751" s="3"/>
      <c r="BZ751" s="3" t="s">
        <v>1231</v>
      </c>
      <c r="CA751" s="6"/>
      <c r="CB751" s="3"/>
      <c r="CC751" s="7">
        <v>46126</v>
      </c>
      <c r="CD751" s="6"/>
      <c r="CE751" s="3"/>
      <c r="CF751" s="6">
        <v>4</v>
      </c>
      <c r="CG751" s="6"/>
      <c r="CH751" s="3"/>
      <c r="CI751" s="3" t="s">
        <v>2174</v>
      </c>
      <c r="CJ751" s="6"/>
      <c r="CK751" s="3"/>
      <c r="CL751" s="3" t="s">
        <v>2175</v>
      </c>
      <c r="CM751" s="6"/>
      <c r="CN751" s="3"/>
      <c r="CO751" s="3"/>
      <c r="CP751" s="6"/>
      <c r="CQ751" s="3"/>
      <c r="CR751" s="7"/>
      <c r="CS751" s="6"/>
      <c r="CT751" s="3"/>
      <c r="CU751" s="6"/>
      <c r="CV751" s="6"/>
      <c r="CW751" s="3"/>
      <c r="CX751" s="3"/>
      <c r="CY751" s="6"/>
      <c r="CZ751" s="3"/>
      <c r="DA751" s="3"/>
      <c r="DB751" s="6"/>
      <c r="DC751" s="3"/>
      <c r="DD751" s="3"/>
      <c r="DE751" s="6"/>
      <c r="DF751" s="3"/>
      <c r="DG751" s="7"/>
      <c r="DH751" s="6"/>
      <c r="DI751" s="3"/>
      <c r="DJ751" s="6"/>
      <c r="DK751" s="6"/>
      <c r="DL751" s="3"/>
      <c r="DM751" s="3"/>
      <c r="DN751" s="6"/>
      <c r="DO751" s="3"/>
      <c r="DP751" s="3"/>
      <c r="DQ751" s="6"/>
      <c r="DR751" s="3"/>
      <c r="DS751" s="3" t="str">
        <f>_xlfn.XLOOKUP(OfficeForms.Table[[#This Row],[Selecione a Categoria do Laboratório desta atividade prática:]],Planilha1!A:A,Planilha1!B:B)</f>
        <v>ECE-ENM-ENS-ENG-EEA-GPI-CDE-OBR-SAN-TER-FSA-SLF-QUI</v>
      </c>
      <c r="DT751" s="6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75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 Introdução a Caligrafia Técnica dentro das normas da ABNT (NBR 6492). +  Introdução aos Primeiros Passos</v>
      </c>
      <c r="DV75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75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751" s="6" t="e">
        <f>_xlfn.XLOOKUP(OfficeForms.Table[[#This Row],[CHAVE LINK POLO]],'[1]Quadro Geral de Lotação'!$B:$B,'[1]Quadro Geral de Lotação'!$I:$I)</f>
        <v>#N/A</v>
      </c>
      <c r="DY751" s="6" t="str">
        <f>OfficeForms.Table[[#This Row],[Selecione a Ordem de Disciplina]]</f>
        <v>Ordem 3</v>
      </c>
    </row>
    <row r="752" spans="1:129" ht="34.15" customHeight="1">
      <c r="A752" s="6">
        <v>752</v>
      </c>
      <c r="B752" s="2">
        <v>46128.457152777803</v>
      </c>
      <c r="C752" s="2">
        <v>46128.458356481497</v>
      </c>
      <c r="D752" s="3" t="s">
        <v>2176</v>
      </c>
      <c r="E752" s="3" t="s">
        <v>2177</v>
      </c>
      <c r="F752" s="6"/>
      <c r="G752" s="3"/>
      <c r="I752" s="3" t="s">
        <v>149</v>
      </c>
      <c r="J752" s="6"/>
      <c r="K752" s="3"/>
      <c r="L752" s="6" t="s">
        <v>678</v>
      </c>
      <c r="M752" s="6"/>
      <c r="N752" s="6"/>
      <c r="O752" s="3" t="s">
        <v>156</v>
      </c>
      <c r="P752" s="6"/>
      <c r="Q752" s="3"/>
      <c r="R752" s="3"/>
      <c r="S752" s="6"/>
      <c r="T752" s="3"/>
      <c r="U752" s="7"/>
      <c r="V752" s="6"/>
      <c r="W752" s="3"/>
      <c r="X752" s="6"/>
      <c r="Y752" s="6"/>
      <c r="Z752" s="3"/>
      <c r="AA752" s="3"/>
      <c r="AB752" s="6"/>
      <c r="AC752" s="3"/>
      <c r="AD752" s="3"/>
      <c r="AE752" s="6"/>
      <c r="AF752" s="3"/>
      <c r="AG752" s="3"/>
      <c r="AH752" s="6"/>
      <c r="AI752" s="3"/>
      <c r="AJ752" s="1"/>
      <c r="AK752" s="6"/>
      <c r="AL752" s="3"/>
      <c r="AM752" s="6"/>
      <c r="AN752" s="6"/>
      <c r="AO752" s="3"/>
      <c r="AP752" s="3"/>
      <c r="AQ752" s="6"/>
      <c r="AR752" s="3"/>
      <c r="AS752" s="3"/>
      <c r="AT752" s="6"/>
      <c r="AU752" s="3"/>
      <c r="AV752" s="3"/>
      <c r="AW752" s="6"/>
      <c r="AX752" s="3"/>
      <c r="AY752" s="7"/>
      <c r="AZ752" s="6"/>
      <c r="BA752" s="3"/>
      <c r="BB752" s="6"/>
      <c r="BC752" s="6"/>
      <c r="BD752" s="3"/>
      <c r="BE752" s="3"/>
      <c r="BF752" s="6"/>
      <c r="BG752" s="3"/>
      <c r="BH752" s="3"/>
      <c r="BI752" s="6"/>
      <c r="BJ752" s="3"/>
      <c r="BK752" s="3" t="s">
        <v>157</v>
      </c>
      <c r="BL752" s="6"/>
      <c r="BM752" s="3"/>
      <c r="BN752" s="7">
        <v>46071</v>
      </c>
      <c r="BO752" s="6"/>
      <c r="BP752" s="3"/>
      <c r="BQ752" s="6">
        <v>5</v>
      </c>
      <c r="BR752" s="6"/>
      <c r="BS752" s="3"/>
      <c r="BT752" s="3" t="s">
        <v>2178</v>
      </c>
      <c r="BU752" s="6"/>
      <c r="BV752" s="3"/>
      <c r="BW752" s="3" t="s">
        <v>2179</v>
      </c>
      <c r="BX752" s="6"/>
      <c r="BY752" s="3"/>
      <c r="BZ752" s="3"/>
      <c r="CA752" s="6"/>
      <c r="CB752" s="3"/>
      <c r="CC752" s="7"/>
      <c r="CD752" s="6"/>
      <c r="CE752" s="3"/>
      <c r="CF752" s="6"/>
      <c r="CG752" s="6"/>
      <c r="CH752" s="3"/>
      <c r="CI752" s="3"/>
      <c r="CJ752" s="6"/>
      <c r="CK752" s="3"/>
      <c r="CL752" s="3"/>
      <c r="CM752" s="6"/>
      <c r="CN752" s="3"/>
      <c r="CO752" s="3"/>
      <c r="CP752" s="6"/>
      <c r="CQ752" s="3"/>
      <c r="CR752" s="7"/>
      <c r="CS752" s="6"/>
      <c r="CT752" s="3"/>
      <c r="CU752" s="6"/>
      <c r="CV752" s="6"/>
      <c r="CW752" s="3"/>
      <c r="CX752" s="3"/>
      <c r="CY752" s="6"/>
      <c r="CZ752" s="3"/>
      <c r="DA752" s="3"/>
      <c r="DB752" s="6"/>
      <c r="DC752" s="3"/>
      <c r="DD752" s="3"/>
      <c r="DE752" s="6"/>
      <c r="DF752" s="3"/>
      <c r="DG752" s="7"/>
      <c r="DH752" s="6"/>
      <c r="DI752" s="3"/>
      <c r="DJ752" s="6"/>
      <c r="DK752" s="6"/>
      <c r="DL752" s="3"/>
      <c r="DM752" s="3"/>
      <c r="DN752" s="6"/>
      <c r="DO752" s="3"/>
      <c r="DP752" s="3"/>
      <c r="DQ752" s="6"/>
      <c r="DR752" s="3"/>
      <c r="DS752" s="3" t="str">
        <f>_xlfn.XLOOKUP(OfficeForms.Table[[#This Row],[Selecione a Categoria do Laboratório desta atividade prática:]],Planilha1!A:A,Planilha1!B:B)</f>
        <v>NTR</v>
      </c>
      <c r="DT752" s="6" t="str">
        <f>CONCATENATE(OfficeForms.Table[[#This Row],[Selecione seu Polo Laboratório de Atividades Presenciais:]],OfficeForms.Table[[#This Row],[CHAVE CONVERSÃO]])</f>
        <v>Itajaí/SC - São VicenteNTR</v>
      </c>
      <c r="DU75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75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75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752" s="6" t="str">
        <f>_xlfn.XLOOKUP(OfficeForms.Table[[#This Row],[CHAVE LINK POLO]],'[1]Quadro Geral de Lotação'!$B:$B,'[1]Quadro Geral de Lotação'!$I:$I)</f>
        <v>Lua Augusto De Araujo Costa</v>
      </c>
      <c r="DY752" s="6" t="str">
        <f>OfficeForms.Table[[#This Row],[Selecione a Ordem de Disciplina]]</f>
        <v>Ordem 2</v>
      </c>
    </row>
    <row r="753" spans="1:129" ht="34.15" customHeight="1">
      <c r="A753" s="6">
        <v>753</v>
      </c>
      <c r="B753" s="2">
        <v>46128.458414351902</v>
      </c>
      <c r="C753" s="2">
        <v>46128.459930555597</v>
      </c>
      <c r="D753" s="3" t="s">
        <v>2176</v>
      </c>
      <c r="E753" s="3" t="s">
        <v>2177</v>
      </c>
      <c r="F753" s="6"/>
      <c r="G753" s="3"/>
      <c r="I753" s="3" t="s">
        <v>149</v>
      </c>
      <c r="J753" s="6"/>
      <c r="K753" s="3"/>
      <c r="L753" s="6" t="s">
        <v>678</v>
      </c>
      <c r="M753" s="6"/>
      <c r="N753" s="6"/>
      <c r="O753" s="3" t="s">
        <v>156</v>
      </c>
      <c r="P753" s="6"/>
      <c r="Q753" s="3"/>
      <c r="R753" s="3"/>
      <c r="S753" s="6"/>
      <c r="T753" s="3"/>
      <c r="U753" s="7"/>
      <c r="V753" s="6"/>
      <c r="W753" s="3"/>
      <c r="X753" s="6"/>
      <c r="Y753" s="6"/>
      <c r="Z753" s="3"/>
      <c r="AA753" s="3"/>
      <c r="AB753" s="6"/>
      <c r="AC753" s="3"/>
      <c r="AD753" s="3"/>
      <c r="AE753" s="6"/>
      <c r="AF753" s="3"/>
      <c r="AG753" s="3"/>
      <c r="AH753" s="6"/>
      <c r="AI753" s="3"/>
      <c r="AJ753" s="1"/>
      <c r="AK753" s="6"/>
      <c r="AL753" s="3"/>
      <c r="AM753" s="6"/>
      <c r="AN753" s="6"/>
      <c r="AO753" s="3"/>
      <c r="AP753" s="3"/>
      <c r="AQ753" s="6"/>
      <c r="AR753" s="3"/>
      <c r="AS753" s="3"/>
      <c r="AT753" s="6"/>
      <c r="AU753" s="3"/>
      <c r="AV753" s="3"/>
      <c r="AW753" s="6"/>
      <c r="AX753" s="3"/>
      <c r="AY753" s="7"/>
      <c r="AZ753" s="6"/>
      <c r="BA753" s="3"/>
      <c r="BB753" s="6"/>
      <c r="BC753" s="6"/>
      <c r="BD753" s="3"/>
      <c r="BE753" s="3"/>
      <c r="BF753" s="6"/>
      <c r="BG753" s="3"/>
      <c r="BH753" s="3"/>
      <c r="BI753" s="6"/>
      <c r="BJ753" s="3"/>
      <c r="BK753" s="3" t="s">
        <v>165</v>
      </c>
      <c r="BL753" s="6"/>
      <c r="BM753" s="3"/>
      <c r="BN753" s="7">
        <v>46071</v>
      </c>
      <c r="BO753" s="6"/>
      <c r="BP753" s="3"/>
      <c r="BQ753" s="6">
        <v>4</v>
      </c>
      <c r="BR753" s="6"/>
      <c r="BS753" s="3"/>
      <c r="BT753" s="3" t="s">
        <v>2180</v>
      </c>
      <c r="BU753" s="6"/>
      <c r="BV753" s="3"/>
      <c r="BW753" s="3" t="s">
        <v>2181</v>
      </c>
      <c r="BX753" s="6"/>
      <c r="BY753" s="3"/>
      <c r="BZ753" s="3"/>
      <c r="CA753" s="6"/>
      <c r="CB753" s="3"/>
      <c r="CC753" s="7"/>
      <c r="CD753" s="6"/>
      <c r="CE753" s="3"/>
      <c r="CF753" s="6"/>
      <c r="CG753" s="6"/>
      <c r="CH753" s="3"/>
      <c r="CI753" s="3"/>
      <c r="CJ753" s="6"/>
      <c r="CK753" s="3"/>
      <c r="CL753" s="3"/>
      <c r="CM753" s="6"/>
      <c r="CN753" s="3"/>
      <c r="CO753" s="3"/>
      <c r="CP753" s="6"/>
      <c r="CQ753" s="3"/>
      <c r="CR753" s="7"/>
      <c r="CS753" s="6"/>
      <c r="CT753" s="3"/>
      <c r="CU753" s="6"/>
      <c r="CV753" s="6"/>
      <c r="CW753" s="3"/>
      <c r="CX753" s="3"/>
      <c r="CY753" s="6"/>
      <c r="CZ753" s="3"/>
      <c r="DA753" s="3"/>
      <c r="DB753" s="6"/>
      <c r="DC753" s="3"/>
      <c r="DD753" s="3"/>
      <c r="DE753" s="6"/>
      <c r="DF753" s="3"/>
      <c r="DG753" s="7"/>
      <c r="DH753" s="6"/>
      <c r="DI753" s="3"/>
      <c r="DJ753" s="6"/>
      <c r="DK753" s="6"/>
      <c r="DL753" s="3"/>
      <c r="DM753" s="3"/>
      <c r="DN753" s="6"/>
      <c r="DO753" s="3"/>
      <c r="DP753" s="3"/>
      <c r="DQ753" s="6"/>
      <c r="DR753" s="3"/>
      <c r="DS753" s="3" t="str">
        <f>_xlfn.XLOOKUP(OfficeForms.Table[[#This Row],[Selecione a Categoria do Laboratório desta atividade prática:]],Planilha1!A:A,Planilha1!B:B)</f>
        <v>NTR</v>
      </c>
      <c r="DT753" s="6" t="str">
        <f>CONCATENATE(OfficeForms.Table[[#This Row],[Selecione seu Polo Laboratório de Atividades Presenciais:]],OfficeForms.Table[[#This Row],[CHAVE CONVERSÃO]])</f>
        <v>Itajaí/SC - São VicenteNTR</v>
      </c>
      <c r="DU75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75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46071</v>
      </c>
      <c r="DW75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753" s="6" t="str">
        <f>_xlfn.XLOOKUP(OfficeForms.Table[[#This Row],[CHAVE LINK POLO]],'[1]Quadro Geral de Lotação'!$B:$B,'[1]Quadro Geral de Lotação'!$I:$I)</f>
        <v>Lua Augusto De Araujo Costa</v>
      </c>
      <c r="DY753" s="6" t="str">
        <f>OfficeForms.Table[[#This Row],[Selecione a Ordem de Disciplina]]</f>
        <v>Ordem 2</v>
      </c>
    </row>
    <row r="754" spans="1:129" ht="34.15" customHeight="1">
      <c r="A754" s="6">
        <v>754</v>
      </c>
      <c r="B754" s="2">
        <v>46128.460057870398</v>
      </c>
      <c r="C754" s="2">
        <v>46128.462974536997</v>
      </c>
      <c r="D754" s="3" t="s">
        <v>2176</v>
      </c>
      <c r="E754" s="3" t="s">
        <v>2177</v>
      </c>
      <c r="F754" s="6"/>
      <c r="G754" s="3"/>
      <c r="I754" s="3" t="s">
        <v>149</v>
      </c>
      <c r="J754" s="6"/>
      <c r="K754" s="3"/>
      <c r="L754" s="6" t="s">
        <v>678</v>
      </c>
      <c r="M754" s="6"/>
      <c r="N754" s="6"/>
      <c r="O754" s="3" t="s">
        <v>156</v>
      </c>
      <c r="P754" s="6"/>
      <c r="Q754" s="3"/>
      <c r="R754" s="3"/>
      <c r="S754" s="6"/>
      <c r="T754" s="3"/>
      <c r="U754" s="7"/>
      <c r="V754" s="6"/>
      <c r="W754" s="3"/>
      <c r="X754" s="6"/>
      <c r="Y754" s="6"/>
      <c r="Z754" s="3"/>
      <c r="AA754" s="3"/>
      <c r="AB754" s="6"/>
      <c r="AC754" s="3"/>
      <c r="AD754" s="3"/>
      <c r="AE754" s="6"/>
      <c r="AF754" s="3"/>
      <c r="AG754" s="3"/>
      <c r="AH754" s="6"/>
      <c r="AI754" s="3"/>
      <c r="AJ754" s="1"/>
      <c r="AK754" s="6"/>
      <c r="AL754" s="3"/>
      <c r="AM754" s="6"/>
      <c r="AN754" s="6"/>
      <c r="AO754" s="3"/>
      <c r="AP754" s="3"/>
      <c r="AQ754" s="6"/>
      <c r="AR754" s="3"/>
      <c r="AS754" s="3"/>
      <c r="AT754" s="6"/>
      <c r="AU754" s="3"/>
      <c r="AV754" s="3"/>
      <c r="AW754" s="6"/>
      <c r="AX754" s="3"/>
      <c r="AY754" s="7"/>
      <c r="AZ754" s="6"/>
      <c r="BA754" s="3"/>
      <c r="BB754" s="6"/>
      <c r="BC754" s="6"/>
      <c r="BD754" s="3"/>
      <c r="BE754" s="3"/>
      <c r="BF754" s="6"/>
      <c r="BG754" s="3"/>
      <c r="BH754" s="3"/>
      <c r="BI754" s="6"/>
      <c r="BJ754" s="3"/>
      <c r="BK754" s="3" t="s">
        <v>157</v>
      </c>
      <c r="BL754" s="6"/>
      <c r="BM754" s="3"/>
      <c r="BN754" s="7">
        <v>46078</v>
      </c>
      <c r="BO754" s="6"/>
      <c r="BP754" s="3"/>
      <c r="BQ754" s="6">
        <v>6</v>
      </c>
      <c r="BR754" s="6"/>
      <c r="BS754" s="3"/>
      <c r="BT754" s="3" t="s">
        <v>2182</v>
      </c>
      <c r="BU754" s="6"/>
      <c r="BV754" s="3"/>
      <c r="BW754" s="3" t="s">
        <v>2183</v>
      </c>
      <c r="BX754" s="6"/>
      <c r="BY754" s="3"/>
      <c r="BZ754" s="3"/>
      <c r="CA754" s="6"/>
      <c r="CB754" s="3"/>
      <c r="CC754" s="7"/>
      <c r="CD754" s="6"/>
      <c r="CE754" s="3"/>
      <c r="CF754" s="6"/>
      <c r="CG754" s="6"/>
      <c r="CH754" s="3"/>
      <c r="CI754" s="3"/>
      <c r="CJ754" s="6"/>
      <c r="CK754" s="3"/>
      <c r="CL754" s="3"/>
      <c r="CM754" s="6"/>
      <c r="CN754" s="3"/>
      <c r="CO754" s="3"/>
      <c r="CP754" s="6"/>
      <c r="CQ754" s="3"/>
      <c r="CR754" s="7"/>
      <c r="CS754" s="6"/>
      <c r="CT754" s="3"/>
      <c r="CU754" s="6"/>
      <c r="CV754" s="6"/>
      <c r="CW754" s="3"/>
      <c r="CX754" s="3"/>
      <c r="CY754" s="6"/>
      <c r="CZ754" s="3"/>
      <c r="DA754" s="3"/>
      <c r="DB754" s="6"/>
      <c r="DC754" s="3"/>
      <c r="DD754" s="3"/>
      <c r="DE754" s="6"/>
      <c r="DF754" s="3"/>
      <c r="DG754" s="7"/>
      <c r="DH754" s="6"/>
      <c r="DI754" s="3"/>
      <c r="DJ754" s="6"/>
      <c r="DK754" s="6"/>
      <c r="DL754" s="3"/>
      <c r="DM754" s="3"/>
      <c r="DN754" s="6"/>
      <c r="DO754" s="3"/>
      <c r="DP754" s="3"/>
      <c r="DQ754" s="6"/>
      <c r="DR754" s="3"/>
      <c r="DS754" s="3" t="str">
        <f>_xlfn.XLOOKUP(OfficeForms.Table[[#This Row],[Selecione a Categoria do Laboratório desta atividade prática:]],Planilha1!A:A,Planilha1!B:B)</f>
        <v>NTR</v>
      </c>
      <c r="DT754" s="6" t="str">
        <f>CONCATENATE(OfficeForms.Table[[#This Row],[Selecione seu Polo Laboratório de Atividades Presenciais:]],OfficeForms.Table[[#This Row],[CHAVE CONVERSÃO]])</f>
        <v>Itajaí/SC - São VicenteNTR</v>
      </c>
      <c r="DU75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I: Antropometria</v>
      </c>
      <c r="DV75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75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754" s="6" t="str">
        <f>_xlfn.XLOOKUP(OfficeForms.Table[[#This Row],[CHAVE LINK POLO]],'[1]Quadro Geral de Lotação'!$B:$B,'[1]Quadro Geral de Lotação'!$I:$I)</f>
        <v>Lua Augusto De Araujo Costa</v>
      </c>
      <c r="DY754" s="6" t="str">
        <f>OfficeForms.Table[[#This Row],[Selecione a Ordem de Disciplina]]</f>
        <v>Ordem 2</v>
      </c>
    </row>
    <row r="755" spans="1:129" ht="34.15" customHeight="1">
      <c r="A755" s="6">
        <v>755</v>
      </c>
      <c r="B755" s="2">
        <v>46128.463159722203</v>
      </c>
      <c r="C755" s="2">
        <v>46128.464803240699</v>
      </c>
      <c r="D755" s="3" t="s">
        <v>2176</v>
      </c>
      <c r="E755" s="3" t="s">
        <v>2177</v>
      </c>
      <c r="F755" s="6"/>
      <c r="G755" s="3"/>
      <c r="I755" s="3" t="s">
        <v>149</v>
      </c>
      <c r="J755" s="6"/>
      <c r="K755" s="3"/>
      <c r="L755" s="6" t="s">
        <v>678</v>
      </c>
      <c r="M755" s="6"/>
      <c r="N755" s="6"/>
      <c r="O755" s="3" t="s">
        <v>156</v>
      </c>
      <c r="P755" s="6"/>
      <c r="Q755" s="3"/>
      <c r="R755" s="3"/>
      <c r="S755" s="6"/>
      <c r="T755" s="3"/>
      <c r="U755" s="7"/>
      <c r="V755" s="6"/>
      <c r="W755" s="3"/>
      <c r="X755" s="6"/>
      <c r="Y755" s="6"/>
      <c r="Z755" s="3"/>
      <c r="AA755" s="3"/>
      <c r="AB755" s="6"/>
      <c r="AC755" s="3"/>
      <c r="AD755" s="3"/>
      <c r="AE755" s="6"/>
      <c r="AF755" s="3"/>
      <c r="AG755" s="3"/>
      <c r="AH755" s="6"/>
      <c r="AI755" s="3"/>
      <c r="AJ755" s="1"/>
      <c r="AK755" s="6"/>
      <c r="AL755" s="3"/>
      <c r="AM755" s="6"/>
      <c r="AN755" s="6"/>
      <c r="AO755" s="3"/>
      <c r="AP755" s="3"/>
      <c r="AQ755" s="6"/>
      <c r="AR755" s="3"/>
      <c r="AS755" s="3"/>
      <c r="AT755" s="6"/>
      <c r="AU755" s="3"/>
      <c r="AV755" s="3"/>
      <c r="AW755" s="6"/>
      <c r="AX755" s="3"/>
      <c r="AY755" s="7"/>
      <c r="AZ755" s="6"/>
      <c r="BA755" s="3"/>
      <c r="BB755" s="6"/>
      <c r="BC755" s="6"/>
      <c r="BD755" s="3"/>
      <c r="BE755" s="3"/>
      <c r="BF755" s="6"/>
      <c r="BG755" s="3"/>
      <c r="BH755" s="3"/>
      <c r="BI755" s="6"/>
      <c r="BJ755" s="3"/>
      <c r="BK755" s="3" t="s">
        <v>165</v>
      </c>
      <c r="BL755" s="6"/>
      <c r="BM755" s="3"/>
      <c r="BN755" s="7">
        <v>46078</v>
      </c>
      <c r="BO755" s="6"/>
      <c r="BP755" s="3"/>
      <c r="BQ755" s="6">
        <v>6</v>
      </c>
      <c r="BR755" s="6"/>
      <c r="BS755" s="3"/>
      <c r="BT755" s="3" t="s">
        <v>2184</v>
      </c>
      <c r="BU755" s="6"/>
      <c r="BV755" s="3"/>
      <c r="BW755" s="3" t="s">
        <v>2185</v>
      </c>
      <c r="BX755" s="6"/>
      <c r="BY755" s="3"/>
      <c r="BZ755" s="3"/>
      <c r="CA755" s="6"/>
      <c r="CB755" s="3"/>
      <c r="CC755" s="7"/>
      <c r="CD755" s="6"/>
      <c r="CE755" s="3"/>
      <c r="CF755" s="6"/>
      <c r="CG755" s="6"/>
      <c r="CH755" s="3"/>
      <c r="CI755" s="3"/>
      <c r="CJ755" s="6"/>
      <c r="CK755" s="3"/>
      <c r="CL755" s="3"/>
      <c r="CM755" s="6"/>
      <c r="CN755" s="3"/>
      <c r="CO755" s="3"/>
      <c r="CP755" s="6"/>
      <c r="CQ755" s="3"/>
      <c r="CR755" s="7"/>
      <c r="CS755" s="6"/>
      <c r="CT755" s="3"/>
      <c r="CU755" s="6"/>
      <c r="CV755" s="6"/>
      <c r="CW755" s="3"/>
      <c r="CX755" s="3"/>
      <c r="CY755" s="6"/>
      <c r="CZ755" s="3"/>
      <c r="DA755" s="3"/>
      <c r="DB755" s="6"/>
      <c r="DC755" s="3"/>
      <c r="DD755" s="3"/>
      <c r="DE755" s="6"/>
      <c r="DF755" s="3"/>
      <c r="DG755" s="7"/>
      <c r="DH755" s="6"/>
      <c r="DI755" s="3"/>
      <c r="DJ755" s="6"/>
      <c r="DK755" s="6"/>
      <c r="DL755" s="3"/>
      <c r="DM755" s="3"/>
      <c r="DN755" s="6"/>
      <c r="DO755" s="3"/>
      <c r="DP755" s="3"/>
      <c r="DQ755" s="6"/>
      <c r="DR755" s="3"/>
      <c r="DS755" s="3" t="str">
        <f>_xlfn.XLOOKUP(OfficeForms.Table[[#This Row],[Selecione a Categoria do Laboratório desta atividade prática:]],Planilha1!A:A,Planilha1!B:B)</f>
        <v>NTR</v>
      </c>
      <c r="DT755" s="6" t="str">
        <f>CONCATENATE(OfficeForms.Table[[#This Row],[Selecione seu Polo Laboratório de Atividades Presenciais:]],OfficeForms.Table[[#This Row],[CHAVE CONVERSÃO]])</f>
        <v>Itajaí/SC - São VicenteNTR</v>
      </c>
      <c r="DU75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gestante II: Anamnese e diagnóstico</v>
      </c>
      <c r="DV75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46078</v>
      </c>
      <c r="DW75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755" s="6" t="str">
        <f>_xlfn.XLOOKUP(OfficeForms.Table[[#This Row],[CHAVE LINK POLO]],'[1]Quadro Geral de Lotação'!$B:$B,'[1]Quadro Geral de Lotação'!$I:$I)</f>
        <v>Lua Augusto De Araujo Costa</v>
      </c>
      <c r="DY755" s="6" t="str">
        <f>OfficeForms.Table[[#This Row],[Selecione a Ordem de Disciplina]]</f>
        <v>Ordem 2</v>
      </c>
    </row>
    <row r="756" spans="1:129" ht="34.15" customHeight="1">
      <c r="A756" s="6">
        <v>756</v>
      </c>
      <c r="B756" s="2">
        <v>46128.465810185196</v>
      </c>
      <c r="C756" s="2">
        <v>46128.468136574098</v>
      </c>
      <c r="D756" s="3" t="s">
        <v>2176</v>
      </c>
      <c r="E756" s="3" t="s">
        <v>2177</v>
      </c>
      <c r="F756" s="6"/>
      <c r="G756" s="3"/>
      <c r="I756" s="3" t="s">
        <v>149</v>
      </c>
      <c r="J756" s="6"/>
      <c r="K756" s="3"/>
      <c r="L756" s="6" t="s">
        <v>678</v>
      </c>
      <c r="M756" s="6"/>
      <c r="N756" s="6"/>
      <c r="O756" s="3" t="s">
        <v>156</v>
      </c>
      <c r="P756" s="6"/>
      <c r="Q756" s="3"/>
      <c r="R756" s="3"/>
      <c r="S756" s="6"/>
      <c r="T756" s="3"/>
      <c r="U756" s="7"/>
      <c r="V756" s="6"/>
      <c r="W756" s="3"/>
      <c r="X756" s="6"/>
      <c r="Y756" s="6"/>
      <c r="Z756" s="3"/>
      <c r="AA756" s="3"/>
      <c r="AB756" s="6"/>
      <c r="AC756" s="3"/>
      <c r="AD756" s="3"/>
      <c r="AE756" s="6"/>
      <c r="AF756" s="3"/>
      <c r="AG756" s="3"/>
      <c r="AH756" s="6"/>
      <c r="AI756" s="3"/>
      <c r="AJ756" s="1"/>
      <c r="AK756" s="6"/>
      <c r="AL756" s="3"/>
      <c r="AM756" s="6"/>
      <c r="AN756" s="6"/>
      <c r="AO756" s="3"/>
      <c r="AP756" s="3"/>
      <c r="AQ756" s="6"/>
      <c r="AR756" s="3"/>
      <c r="AS756" s="3"/>
      <c r="AT756" s="6"/>
      <c r="AU756" s="3"/>
      <c r="AV756" s="3"/>
      <c r="AW756" s="6"/>
      <c r="AX756" s="3"/>
      <c r="AY756" s="7"/>
      <c r="AZ756" s="6"/>
      <c r="BA756" s="3"/>
      <c r="BB756" s="6"/>
      <c r="BC756" s="6"/>
      <c r="BD756" s="3"/>
      <c r="BE756" s="3"/>
      <c r="BF756" s="6"/>
      <c r="BG756" s="3"/>
      <c r="BH756" s="3"/>
      <c r="BI756" s="6"/>
      <c r="BJ756" s="3"/>
      <c r="BK756" s="3" t="s">
        <v>1237</v>
      </c>
      <c r="BL756" s="6"/>
      <c r="BM756" s="3"/>
      <c r="BN756" s="7">
        <v>46099</v>
      </c>
      <c r="BO756" s="6"/>
      <c r="BP756" s="3"/>
      <c r="BQ756" s="6">
        <v>7</v>
      </c>
      <c r="BR756" s="6"/>
      <c r="BS756" s="3"/>
      <c r="BT756" s="3" t="s">
        <v>2186</v>
      </c>
      <c r="BU756" s="6"/>
      <c r="BV756" s="3"/>
      <c r="BW756" s="3" t="s">
        <v>2187</v>
      </c>
      <c r="BX756" s="6"/>
      <c r="BY756" s="3"/>
      <c r="BZ756" s="3"/>
      <c r="CA756" s="6"/>
      <c r="CB756" s="3"/>
      <c r="CC756" s="7"/>
      <c r="CD756" s="6"/>
      <c r="CE756" s="3"/>
      <c r="CF756" s="6"/>
      <c r="CG756" s="6"/>
      <c r="CH756" s="3"/>
      <c r="CI756" s="3"/>
      <c r="CJ756" s="6"/>
      <c r="CK756" s="3"/>
      <c r="CL756" s="3"/>
      <c r="CM756" s="6"/>
      <c r="CN756" s="3"/>
      <c r="CO756" s="3"/>
      <c r="CP756" s="6"/>
      <c r="CQ756" s="3"/>
      <c r="CR756" s="7"/>
      <c r="CS756" s="6"/>
      <c r="CT756" s="3"/>
      <c r="CU756" s="6"/>
      <c r="CV756" s="6"/>
      <c r="CW756" s="3"/>
      <c r="CX756" s="3"/>
      <c r="CY756" s="6"/>
      <c r="CZ756" s="3"/>
      <c r="DA756" s="3"/>
      <c r="DB756" s="6"/>
      <c r="DC756" s="3"/>
      <c r="DD756" s="3"/>
      <c r="DE756" s="6"/>
      <c r="DF756" s="3"/>
      <c r="DG756" s="7"/>
      <c r="DH756" s="6"/>
      <c r="DI756" s="3"/>
      <c r="DJ756" s="6"/>
      <c r="DK756" s="6"/>
      <c r="DL756" s="3"/>
      <c r="DM756" s="3"/>
      <c r="DN756" s="6"/>
      <c r="DO756" s="3"/>
      <c r="DP756" s="3"/>
      <c r="DQ756" s="6"/>
      <c r="DR756" s="3"/>
      <c r="DS756" s="3" t="str">
        <f>_xlfn.XLOOKUP(OfficeForms.Table[[#This Row],[Selecione a Categoria do Laboratório desta atividade prática:]],Planilha1!A:A,Planilha1!B:B)</f>
        <v>NTR</v>
      </c>
      <c r="DT756" s="6" t="str">
        <f>CONCATENATE(OfficeForms.Table[[#This Row],[Selecione seu Polo Laboratório de Atividades Presenciais:]],OfficeForms.Table[[#This Row],[CHAVE CONVERSÃO]])</f>
        <v>Itajaí/SC - São VicenteNTR</v>
      </c>
      <c r="DU75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75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75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756" s="6" t="str">
        <f>_xlfn.XLOOKUP(OfficeForms.Table[[#This Row],[CHAVE LINK POLO]],'[1]Quadro Geral de Lotação'!$B:$B,'[1]Quadro Geral de Lotação'!$I:$I)</f>
        <v>Lua Augusto De Araujo Costa</v>
      </c>
      <c r="DY756" s="6" t="str">
        <f>OfficeForms.Table[[#This Row],[Selecione a Ordem de Disciplina]]</f>
        <v>Ordem 2</v>
      </c>
    </row>
    <row r="757" spans="1:129" ht="34.15" customHeight="1">
      <c r="A757" s="6">
        <v>757</v>
      </c>
      <c r="B757" s="2">
        <v>46128.4682986111</v>
      </c>
      <c r="C757" s="2">
        <v>46128.469780092601</v>
      </c>
      <c r="D757" s="3" t="s">
        <v>2176</v>
      </c>
      <c r="E757" s="3" t="s">
        <v>2177</v>
      </c>
      <c r="F757" s="6"/>
      <c r="G757" s="3"/>
      <c r="I757" s="3" t="s">
        <v>149</v>
      </c>
      <c r="J757" s="6"/>
      <c r="K757" s="3"/>
      <c r="L757" s="6" t="s">
        <v>678</v>
      </c>
      <c r="M757" s="6"/>
      <c r="N757" s="6"/>
      <c r="O757" s="3" t="s">
        <v>156</v>
      </c>
      <c r="P757" s="6"/>
      <c r="Q757" s="3"/>
      <c r="R757" s="3"/>
      <c r="S757" s="6"/>
      <c r="T757" s="3"/>
      <c r="U757" s="7"/>
      <c r="V757" s="6"/>
      <c r="W757" s="3"/>
      <c r="X757" s="6"/>
      <c r="Y757" s="6"/>
      <c r="Z757" s="3"/>
      <c r="AA757" s="3"/>
      <c r="AB757" s="6"/>
      <c r="AC757" s="3"/>
      <c r="AD757" s="3"/>
      <c r="AE757" s="6"/>
      <c r="AF757" s="3"/>
      <c r="AG757" s="3"/>
      <c r="AH757" s="6"/>
      <c r="AI757" s="3"/>
      <c r="AJ757" s="1"/>
      <c r="AK757" s="6"/>
      <c r="AL757" s="3"/>
      <c r="AM757" s="6"/>
      <c r="AN757" s="6"/>
      <c r="AO757" s="3"/>
      <c r="AP757" s="3"/>
      <c r="AQ757" s="6"/>
      <c r="AR757" s="3"/>
      <c r="AS757" s="3"/>
      <c r="AT757" s="6"/>
      <c r="AU757" s="3"/>
      <c r="AV757" s="3"/>
      <c r="AW757" s="6"/>
      <c r="AX757" s="3"/>
      <c r="AY757" s="7"/>
      <c r="AZ757" s="6"/>
      <c r="BA757" s="3"/>
      <c r="BB757" s="6"/>
      <c r="BC757" s="6"/>
      <c r="BD757" s="3"/>
      <c r="BE757" s="3"/>
      <c r="BF757" s="6"/>
      <c r="BG757" s="3"/>
      <c r="BH757" s="3"/>
      <c r="BI757" s="6"/>
      <c r="BJ757" s="3"/>
      <c r="BK757" s="3" t="s">
        <v>1240</v>
      </c>
      <c r="BL757" s="6"/>
      <c r="BM757" s="3"/>
      <c r="BN757" s="7">
        <v>46099</v>
      </c>
      <c r="BO757" s="6"/>
      <c r="BP757" s="3"/>
      <c r="BQ757" s="6">
        <v>7</v>
      </c>
      <c r="BR757" s="6"/>
      <c r="BS757" s="3"/>
      <c r="BT757" s="3" t="s">
        <v>2188</v>
      </c>
      <c r="BU757" s="6"/>
      <c r="BV757" s="3"/>
      <c r="BW757" s="3" t="s">
        <v>2189</v>
      </c>
      <c r="BX757" s="6"/>
      <c r="BY757" s="3"/>
      <c r="BZ757" s="3"/>
      <c r="CA757" s="6"/>
      <c r="CB757" s="3"/>
      <c r="CC757" s="7"/>
      <c r="CD757" s="6"/>
      <c r="CE757" s="3"/>
      <c r="CF757" s="6"/>
      <c r="CG757" s="6"/>
      <c r="CH757" s="3"/>
      <c r="CI757" s="3"/>
      <c r="CJ757" s="6"/>
      <c r="CK757" s="3"/>
      <c r="CL757" s="3"/>
      <c r="CM757" s="6"/>
      <c r="CN757" s="3"/>
      <c r="CO757" s="3"/>
      <c r="CP757" s="6"/>
      <c r="CQ757" s="3"/>
      <c r="CR757" s="7"/>
      <c r="CS757" s="6"/>
      <c r="CT757" s="3"/>
      <c r="CU757" s="6"/>
      <c r="CV757" s="6"/>
      <c r="CW757" s="3"/>
      <c r="CX757" s="3"/>
      <c r="CY757" s="6"/>
      <c r="CZ757" s="3"/>
      <c r="DA757" s="3"/>
      <c r="DB757" s="6"/>
      <c r="DC757" s="3"/>
      <c r="DD757" s="3"/>
      <c r="DE757" s="6"/>
      <c r="DF757" s="3"/>
      <c r="DG757" s="7"/>
      <c r="DH757" s="6"/>
      <c r="DI757" s="3"/>
      <c r="DJ757" s="6"/>
      <c r="DK757" s="6"/>
      <c r="DL757" s="3"/>
      <c r="DM757" s="3"/>
      <c r="DN757" s="6"/>
      <c r="DO757" s="3"/>
      <c r="DP757" s="3"/>
      <c r="DQ757" s="6"/>
      <c r="DR757" s="3"/>
      <c r="DS757" s="3" t="str">
        <f>_xlfn.XLOOKUP(OfficeForms.Table[[#This Row],[Selecione a Categoria do Laboratório desta atividade prática:]],Planilha1!A:A,Planilha1!B:B)</f>
        <v>NTR</v>
      </c>
      <c r="DT757" s="6" t="str">
        <f>CONCATENATE(OfficeForms.Table[[#This Row],[Selecione seu Polo Laboratório de Atividades Presenciais:]],OfficeForms.Table[[#This Row],[CHAVE CONVERSÃO]])</f>
        <v>Itajaí/SC - São VicenteNTR</v>
      </c>
      <c r="DU75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75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75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757" s="6" t="str">
        <f>_xlfn.XLOOKUP(OfficeForms.Table[[#This Row],[CHAVE LINK POLO]],'[1]Quadro Geral de Lotação'!$B:$B,'[1]Quadro Geral de Lotação'!$I:$I)</f>
        <v>Lua Augusto De Araujo Costa</v>
      </c>
      <c r="DY757" s="6" t="str">
        <f>OfficeForms.Table[[#This Row],[Selecione a Ordem de Disciplina]]</f>
        <v>Ordem 2</v>
      </c>
    </row>
    <row r="758" spans="1:129" ht="34.15" customHeight="1">
      <c r="A758" s="6">
        <v>758</v>
      </c>
      <c r="B758" s="2">
        <v>46128.470162037003</v>
      </c>
      <c r="C758" s="2">
        <v>46128.471712963001</v>
      </c>
      <c r="D758" s="3" t="s">
        <v>2176</v>
      </c>
      <c r="E758" s="3" t="s">
        <v>2177</v>
      </c>
      <c r="F758" s="6"/>
      <c r="G758" s="3"/>
      <c r="I758" s="3" t="s">
        <v>149</v>
      </c>
      <c r="J758" s="6"/>
      <c r="K758" s="3"/>
      <c r="L758" s="6" t="s">
        <v>678</v>
      </c>
      <c r="M758" s="6"/>
      <c r="N758" s="6"/>
      <c r="O758" s="3" t="s">
        <v>156</v>
      </c>
      <c r="P758" s="6"/>
      <c r="Q758" s="3"/>
      <c r="R758" s="3"/>
      <c r="S758" s="6"/>
      <c r="T758" s="3"/>
      <c r="U758" s="7"/>
      <c r="V758" s="6"/>
      <c r="W758" s="3"/>
      <c r="X758" s="6"/>
      <c r="Y758" s="6"/>
      <c r="Z758" s="3"/>
      <c r="AA758" s="3"/>
      <c r="AB758" s="6"/>
      <c r="AC758" s="3"/>
      <c r="AD758" s="3"/>
      <c r="AE758" s="6"/>
      <c r="AF758" s="3"/>
      <c r="AG758" s="3"/>
      <c r="AH758" s="6"/>
      <c r="AI758" s="3"/>
      <c r="AJ758" s="1"/>
      <c r="AK758" s="6"/>
      <c r="AL758" s="3"/>
      <c r="AM758" s="6"/>
      <c r="AN758" s="6"/>
      <c r="AO758" s="3"/>
      <c r="AP758" s="3"/>
      <c r="AQ758" s="6"/>
      <c r="AR758" s="3"/>
      <c r="AS758" s="3"/>
      <c r="AT758" s="6"/>
      <c r="AU758" s="3"/>
      <c r="AV758" s="3"/>
      <c r="AW758" s="6"/>
      <c r="AX758" s="3"/>
      <c r="AY758" s="7"/>
      <c r="AZ758" s="6"/>
      <c r="BA758" s="3"/>
      <c r="BB758" s="6"/>
      <c r="BC758" s="6"/>
      <c r="BD758" s="3"/>
      <c r="BE758" s="3"/>
      <c r="BF758" s="6"/>
      <c r="BG758" s="3"/>
      <c r="BH758" s="3"/>
      <c r="BI758" s="6"/>
      <c r="BJ758" s="3"/>
      <c r="BK758" s="3" t="s">
        <v>1237</v>
      </c>
      <c r="BL758" s="6"/>
      <c r="BM758" s="3"/>
      <c r="BN758" s="7">
        <v>46106</v>
      </c>
      <c r="BO758" s="6"/>
      <c r="BP758" s="3"/>
      <c r="BQ758" s="6">
        <v>5</v>
      </c>
      <c r="BR758" s="6"/>
      <c r="BS758" s="3"/>
      <c r="BT758" s="3" t="s">
        <v>2190</v>
      </c>
      <c r="BU758" s="6"/>
      <c r="BV758" s="3"/>
      <c r="BW758" s="3" t="s">
        <v>2191</v>
      </c>
      <c r="BX758" s="6"/>
      <c r="BY758" s="3"/>
      <c r="BZ758" s="3"/>
      <c r="CA758" s="6"/>
      <c r="CB758" s="3"/>
      <c r="CC758" s="7"/>
      <c r="CD758" s="6"/>
      <c r="CE758" s="3"/>
      <c r="CF758" s="6"/>
      <c r="CG758" s="6"/>
      <c r="CH758" s="3"/>
      <c r="CI758" s="3"/>
      <c r="CJ758" s="6"/>
      <c r="CK758" s="3"/>
      <c r="CL758" s="3"/>
      <c r="CM758" s="6"/>
      <c r="CN758" s="3"/>
      <c r="CO758" s="3"/>
      <c r="CP758" s="6"/>
      <c r="CQ758" s="3"/>
      <c r="CR758" s="7"/>
      <c r="CS758" s="6"/>
      <c r="CT758" s="3"/>
      <c r="CU758" s="6"/>
      <c r="CV758" s="6"/>
      <c r="CW758" s="3"/>
      <c r="CX758" s="3"/>
      <c r="CY758" s="6"/>
      <c r="CZ758" s="3"/>
      <c r="DA758" s="3"/>
      <c r="DB758" s="6"/>
      <c r="DC758" s="3"/>
      <c r="DD758" s="3"/>
      <c r="DE758" s="6"/>
      <c r="DF758" s="3"/>
      <c r="DG758" s="7"/>
      <c r="DH758" s="6"/>
      <c r="DI758" s="3"/>
      <c r="DJ758" s="6"/>
      <c r="DK758" s="6"/>
      <c r="DL758" s="3"/>
      <c r="DM758" s="3"/>
      <c r="DN758" s="6"/>
      <c r="DO758" s="3"/>
      <c r="DP758" s="3"/>
      <c r="DQ758" s="6"/>
      <c r="DR758" s="3"/>
      <c r="DS758" s="3" t="str">
        <f>_xlfn.XLOOKUP(OfficeForms.Table[[#This Row],[Selecione a Categoria do Laboratório desta atividade prática:]],Planilha1!A:A,Planilha1!B:B)</f>
        <v>NTR</v>
      </c>
      <c r="DT758" s="6" t="str">
        <f>CONCATENATE(OfficeForms.Table[[#This Row],[Selecione seu Polo Laboratório de Atividades Presenciais:]],OfficeForms.Table[[#This Row],[CHAVE CONVERSÃO]])</f>
        <v>Itajaí/SC - São VicenteNTR</v>
      </c>
      <c r="DU75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75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75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758" s="6" t="str">
        <f>_xlfn.XLOOKUP(OfficeForms.Table[[#This Row],[CHAVE LINK POLO]],'[1]Quadro Geral de Lotação'!$B:$B,'[1]Quadro Geral de Lotação'!$I:$I)</f>
        <v>Lua Augusto De Araujo Costa</v>
      </c>
      <c r="DY758" s="6" t="str">
        <f>OfficeForms.Table[[#This Row],[Selecione a Ordem de Disciplina]]</f>
        <v>Ordem 2</v>
      </c>
    </row>
    <row r="759" spans="1:129" ht="34.15" customHeight="1">
      <c r="A759" s="6">
        <v>759</v>
      </c>
      <c r="B759" s="2">
        <v>46128.472002314797</v>
      </c>
      <c r="C759" s="2">
        <v>46128.474652777797</v>
      </c>
      <c r="D759" s="3" t="s">
        <v>2176</v>
      </c>
      <c r="E759" s="3" t="s">
        <v>2177</v>
      </c>
      <c r="F759" s="6"/>
      <c r="G759" s="3"/>
      <c r="I759" s="3" t="s">
        <v>149</v>
      </c>
      <c r="J759" s="6"/>
      <c r="K759" s="3"/>
      <c r="L759" s="6" t="s">
        <v>678</v>
      </c>
      <c r="M759" s="6"/>
      <c r="N759" s="6"/>
      <c r="O759" s="3" t="s">
        <v>156</v>
      </c>
      <c r="P759" s="6"/>
      <c r="Q759" s="3"/>
      <c r="R759" s="3"/>
      <c r="S759" s="6"/>
      <c r="T759" s="3"/>
      <c r="U759" s="7"/>
      <c r="V759" s="6"/>
      <c r="W759" s="3"/>
      <c r="X759" s="6"/>
      <c r="Y759" s="6"/>
      <c r="Z759" s="3"/>
      <c r="AA759" s="3"/>
      <c r="AB759" s="6"/>
      <c r="AC759" s="3"/>
      <c r="AD759" s="3"/>
      <c r="AE759" s="6"/>
      <c r="AF759" s="3"/>
      <c r="AG759" s="3"/>
      <c r="AH759" s="6"/>
      <c r="AI759" s="3"/>
      <c r="AJ759" s="1"/>
      <c r="AK759" s="6"/>
      <c r="AL759" s="3"/>
      <c r="AM759" s="6"/>
      <c r="AN759" s="6"/>
      <c r="AO759" s="3"/>
      <c r="AP759" s="3"/>
      <c r="AQ759" s="6"/>
      <c r="AR759" s="3"/>
      <c r="AS759" s="3"/>
      <c r="AT759" s="6"/>
      <c r="AU759" s="3"/>
      <c r="AV759" s="3"/>
      <c r="AW759" s="6"/>
      <c r="AX759" s="3"/>
      <c r="AY759" s="7"/>
      <c r="AZ759" s="6"/>
      <c r="BA759" s="3"/>
      <c r="BB759" s="6"/>
      <c r="BC759" s="6"/>
      <c r="BD759" s="3"/>
      <c r="BE759" s="3"/>
      <c r="BF759" s="6"/>
      <c r="BG759" s="3"/>
      <c r="BH759" s="3"/>
      <c r="BI759" s="6"/>
      <c r="BJ759" s="3"/>
      <c r="BK759" s="3" t="s">
        <v>1240</v>
      </c>
      <c r="BL759" s="6"/>
      <c r="BM759" s="3"/>
      <c r="BN759" s="7">
        <v>46106</v>
      </c>
      <c r="BO759" s="6"/>
      <c r="BP759" s="3"/>
      <c r="BQ759" s="6">
        <v>5</v>
      </c>
      <c r="BR759" s="6"/>
      <c r="BS759" s="3"/>
      <c r="BT759" s="3" t="s">
        <v>2192</v>
      </c>
      <c r="BU759" s="6"/>
      <c r="BV759" s="3"/>
      <c r="BW759" s="3" t="s">
        <v>2193</v>
      </c>
      <c r="BX759" s="6"/>
      <c r="BY759" s="3"/>
      <c r="BZ759" s="3"/>
      <c r="CA759" s="6"/>
      <c r="CB759" s="3"/>
      <c r="CC759" s="7"/>
      <c r="CD759" s="6"/>
      <c r="CE759" s="3"/>
      <c r="CF759" s="6"/>
      <c r="CG759" s="6"/>
      <c r="CH759" s="3"/>
      <c r="CI759" s="3"/>
      <c r="CJ759" s="6"/>
      <c r="CK759" s="3"/>
      <c r="CL759" s="3"/>
      <c r="CM759" s="6"/>
      <c r="CN759" s="3"/>
      <c r="CO759" s="3"/>
      <c r="CP759" s="6"/>
      <c r="CQ759" s="3"/>
      <c r="CR759" s="7"/>
      <c r="CS759" s="6"/>
      <c r="CT759" s="3"/>
      <c r="CU759" s="6"/>
      <c r="CV759" s="6"/>
      <c r="CW759" s="3"/>
      <c r="CX759" s="3"/>
      <c r="CY759" s="6"/>
      <c r="CZ759" s="3"/>
      <c r="DA759" s="3"/>
      <c r="DB759" s="6"/>
      <c r="DC759" s="3"/>
      <c r="DD759" s="3"/>
      <c r="DE759" s="6"/>
      <c r="DF759" s="3"/>
      <c r="DG759" s="7"/>
      <c r="DH759" s="6"/>
      <c r="DI759" s="3"/>
      <c r="DJ759" s="6"/>
      <c r="DK759" s="6"/>
      <c r="DL759" s="3"/>
      <c r="DM759" s="3"/>
      <c r="DN759" s="6"/>
      <c r="DO759" s="3"/>
      <c r="DP759" s="3"/>
      <c r="DQ759" s="6"/>
      <c r="DR759" s="3"/>
      <c r="DS759" s="3" t="str">
        <f>_xlfn.XLOOKUP(OfficeForms.Table[[#This Row],[Selecione a Categoria do Laboratório desta atividade prática:]],Planilha1!A:A,Planilha1!B:B)</f>
        <v>NTR</v>
      </c>
      <c r="DT759" s="6" t="str">
        <f>CONCATENATE(OfficeForms.Table[[#This Row],[Selecione seu Polo Laboratório de Atividades Presenciais:]],OfficeForms.Table[[#This Row],[CHAVE CONVERSÃO]])</f>
        <v>Itajaí/SC - São VicenteNTR</v>
      </c>
      <c r="DU75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75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75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759" s="6" t="str">
        <f>_xlfn.XLOOKUP(OfficeForms.Table[[#This Row],[CHAVE LINK POLO]],'[1]Quadro Geral de Lotação'!$B:$B,'[1]Quadro Geral de Lotação'!$I:$I)</f>
        <v>Lua Augusto De Araujo Costa</v>
      </c>
      <c r="DY759" s="6" t="str">
        <f>OfficeForms.Table[[#This Row],[Selecione a Ordem de Disciplina]]</f>
        <v>Ordem 2</v>
      </c>
    </row>
    <row r="760" spans="1:129" ht="34.15" customHeight="1">
      <c r="A760" s="6">
        <v>760</v>
      </c>
      <c r="B760" s="2">
        <v>46128.474733796298</v>
      </c>
      <c r="C760" s="2">
        <v>46128.475636574098</v>
      </c>
      <c r="D760" s="3" t="s">
        <v>2176</v>
      </c>
      <c r="E760" s="3" t="s">
        <v>2177</v>
      </c>
      <c r="F760" s="6"/>
      <c r="G760" s="3"/>
      <c r="I760" s="3" t="s">
        <v>149</v>
      </c>
      <c r="J760" s="6"/>
      <c r="K760" s="3"/>
      <c r="L760" s="6" t="s">
        <v>678</v>
      </c>
      <c r="M760" s="6"/>
      <c r="N760" s="6"/>
      <c r="O760" s="3" t="s">
        <v>156</v>
      </c>
      <c r="P760" s="6"/>
      <c r="Q760" s="3"/>
      <c r="R760" s="3"/>
      <c r="S760" s="6"/>
      <c r="T760" s="3"/>
      <c r="U760" s="7"/>
      <c r="V760" s="6"/>
      <c r="W760" s="3"/>
      <c r="X760" s="6"/>
      <c r="Y760" s="6"/>
      <c r="Z760" s="3"/>
      <c r="AA760" s="3"/>
      <c r="AB760" s="6"/>
      <c r="AC760" s="3"/>
      <c r="AD760" s="3"/>
      <c r="AE760" s="6"/>
      <c r="AF760" s="3"/>
      <c r="AG760" s="3"/>
      <c r="AH760" s="6"/>
      <c r="AI760" s="3"/>
      <c r="AJ760" s="1"/>
      <c r="AK760" s="6"/>
      <c r="AL760" s="3"/>
      <c r="AM760" s="6"/>
      <c r="AN760" s="6"/>
      <c r="AO760" s="3"/>
      <c r="AP760" s="3"/>
      <c r="AQ760" s="6"/>
      <c r="AR760" s="3"/>
      <c r="AS760" s="3"/>
      <c r="AT760" s="6"/>
      <c r="AU760" s="3"/>
      <c r="AV760" s="3"/>
      <c r="AW760" s="6"/>
      <c r="AX760" s="3"/>
      <c r="AY760" s="7"/>
      <c r="AZ760" s="6"/>
      <c r="BA760" s="3"/>
      <c r="BB760" s="6"/>
      <c r="BC760" s="6"/>
      <c r="BD760" s="3"/>
      <c r="BE760" s="3"/>
      <c r="BF760" s="6"/>
      <c r="BG760" s="3"/>
      <c r="BH760" s="3"/>
      <c r="BI760" s="6"/>
      <c r="BJ760" s="3"/>
      <c r="BK760" s="3" t="s">
        <v>1237</v>
      </c>
      <c r="BL760" s="6"/>
      <c r="BM760" s="3"/>
      <c r="BN760" s="7">
        <v>46106</v>
      </c>
      <c r="BO760" s="6"/>
      <c r="BP760" s="3"/>
      <c r="BQ760" s="6">
        <v>5</v>
      </c>
      <c r="BR760" s="6"/>
      <c r="BS760" s="3"/>
      <c r="BT760" s="3" t="s">
        <v>2194</v>
      </c>
      <c r="BU760" s="6"/>
      <c r="BV760" s="3"/>
      <c r="BW760" s="3" t="s">
        <v>2195</v>
      </c>
      <c r="BX760" s="6"/>
      <c r="BY760" s="3"/>
      <c r="BZ760" s="3"/>
      <c r="CA760" s="6"/>
      <c r="CB760" s="3"/>
      <c r="CC760" s="7"/>
      <c r="CD760" s="6"/>
      <c r="CE760" s="3"/>
      <c r="CF760" s="6"/>
      <c r="CG760" s="6"/>
      <c r="CH760" s="3"/>
      <c r="CI760" s="3"/>
      <c r="CJ760" s="6"/>
      <c r="CK760" s="3"/>
      <c r="CL760" s="3"/>
      <c r="CM760" s="6"/>
      <c r="CN760" s="3"/>
      <c r="CO760" s="3"/>
      <c r="CP760" s="6"/>
      <c r="CQ760" s="3"/>
      <c r="CR760" s="7"/>
      <c r="CS760" s="6"/>
      <c r="CT760" s="3"/>
      <c r="CU760" s="6"/>
      <c r="CV760" s="6"/>
      <c r="CW760" s="3"/>
      <c r="CX760" s="3"/>
      <c r="CY760" s="6"/>
      <c r="CZ760" s="3"/>
      <c r="DA760" s="3"/>
      <c r="DB760" s="6"/>
      <c r="DC760" s="3"/>
      <c r="DD760" s="3"/>
      <c r="DE760" s="6"/>
      <c r="DF760" s="3"/>
      <c r="DG760" s="7"/>
      <c r="DH760" s="6"/>
      <c r="DI760" s="3"/>
      <c r="DJ760" s="6"/>
      <c r="DK760" s="6"/>
      <c r="DL760" s="3"/>
      <c r="DM760" s="3"/>
      <c r="DN760" s="6"/>
      <c r="DO760" s="3"/>
      <c r="DP760" s="3"/>
      <c r="DQ760" s="6"/>
      <c r="DR760" s="3"/>
      <c r="DS760" s="3" t="str">
        <f>_xlfn.XLOOKUP(OfficeForms.Table[[#This Row],[Selecione a Categoria do Laboratório desta atividade prática:]],Planilha1!A:A,Planilha1!B:B)</f>
        <v>NTR</v>
      </c>
      <c r="DT760" s="6" t="str">
        <f>CONCATENATE(OfficeForms.Table[[#This Row],[Selecione seu Polo Laboratório de Atividades Presenciais:]],OfficeForms.Table[[#This Row],[CHAVE CONVERSÃO]])</f>
        <v>Itajaí/SC - São VicenteNTR</v>
      </c>
      <c r="DU76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76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76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760" s="6" t="str">
        <f>_xlfn.XLOOKUP(OfficeForms.Table[[#This Row],[CHAVE LINK POLO]],'[1]Quadro Geral de Lotação'!$B:$B,'[1]Quadro Geral de Lotação'!$I:$I)</f>
        <v>Lua Augusto De Araujo Costa</v>
      </c>
      <c r="DY760" s="6" t="str">
        <f>OfficeForms.Table[[#This Row],[Selecione a Ordem de Disciplina]]</f>
        <v>Ordem 2</v>
      </c>
    </row>
    <row r="761" spans="1:129" ht="34.15" customHeight="1">
      <c r="A761" s="6">
        <v>761</v>
      </c>
      <c r="B761" s="2">
        <v>46128.4757060185</v>
      </c>
      <c r="C761" s="2">
        <v>46128.477500000001</v>
      </c>
      <c r="D761" s="3" t="s">
        <v>2176</v>
      </c>
      <c r="E761" s="3" t="s">
        <v>2177</v>
      </c>
      <c r="F761" s="6"/>
      <c r="G761" s="3"/>
      <c r="I761" s="3" t="s">
        <v>149</v>
      </c>
      <c r="J761" s="6"/>
      <c r="K761" s="3"/>
      <c r="L761" s="6" t="s">
        <v>678</v>
      </c>
      <c r="M761" s="6"/>
      <c r="N761" s="6"/>
      <c r="O761" s="3" t="s">
        <v>156</v>
      </c>
      <c r="P761" s="6"/>
      <c r="Q761" s="3"/>
      <c r="R761" s="3"/>
      <c r="S761" s="6"/>
      <c r="T761" s="3"/>
      <c r="U761" s="7"/>
      <c r="V761" s="6"/>
      <c r="W761" s="3"/>
      <c r="X761" s="6"/>
      <c r="Y761" s="6"/>
      <c r="Z761" s="3"/>
      <c r="AA761" s="3"/>
      <c r="AB761" s="6"/>
      <c r="AC761" s="3"/>
      <c r="AD761" s="3"/>
      <c r="AE761" s="6"/>
      <c r="AF761" s="3"/>
      <c r="AG761" s="3"/>
      <c r="AH761" s="6"/>
      <c r="AI761" s="3"/>
      <c r="AJ761" s="1"/>
      <c r="AK761" s="6"/>
      <c r="AL761" s="3"/>
      <c r="AM761" s="6"/>
      <c r="AN761" s="6"/>
      <c r="AO761" s="3"/>
      <c r="AP761" s="3"/>
      <c r="AQ761" s="6"/>
      <c r="AR761" s="3"/>
      <c r="AS761" s="3"/>
      <c r="AT761" s="6"/>
      <c r="AU761" s="3"/>
      <c r="AV761" s="3"/>
      <c r="AW761" s="6"/>
      <c r="AX761" s="3"/>
      <c r="AY761" s="7"/>
      <c r="AZ761" s="6"/>
      <c r="BA761" s="3"/>
      <c r="BB761" s="6"/>
      <c r="BC761" s="6"/>
      <c r="BD761" s="3"/>
      <c r="BE761" s="3"/>
      <c r="BF761" s="6"/>
      <c r="BG761" s="3"/>
      <c r="BH761" s="3"/>
      <c r="BI761" s="6"/>
      <c r="BJ761" s="3"/>
      <c r="BK761" s="3" t="s">
        <v>1756</v>
      </c>
      <c r="BL761" s="6"/>
      <c r="BM761" s="3"/>
      <c r="BN761" s="7">
        <v>46120</v>
      </c>
      <c r="BO761" s="6"/>
      <c r="BP761" s="3"/>
      <c r="BQ761" s="6">
        <v>4</v>
      </c>
      <c r="BR761" s="6"/>
      <c r="BS761" s="3"/>
      <c r="BT761" s="3" t="s">
        <v>2196</v>
      </c>
      <c r="BU761" s="6"/>
      <c r="BV761" s="3"/>
      <c r="BW761" s="3" t="s">
        <v>2197</v>
      </c>
      <c r="BX761" s="6"/>
      <c r="BY761" s="3"/>
      <c r="BZ761" s="3"/>
      <c r="CA761" s="6"/>
      <c r="CB761" s="3"/>
      <c r="CC761" s="7"/>
      <c r="CD761" s="6"/>
      <c r="CE761" s="3"/>
      <c r="CF761" s="6"/>
      <c r="CG761" s="6"/>
      <c r="CH761" s="3"/>
      <c r="CI761" s="3"/>
      <c r="CJ761" s="6"/>
      <c r="CK761" s="3"/>
      <c r="CL761" s="3"/>
      <c r="CM761" s="6"/>
      <c r="CN761" s="3"/>
      <c r="CO761" s="3"/>
      <c r="CP761" s="6"/>
      <c r="CQ761" s="3"/>
      <c r="CR761" s="7"/>
      <c r="CS761" s="6"/>
      <c r="CT761" s="3"/>
      <c r="CU761" s="6"/>
      <c r="CV761" s="6"/>
      <c r="CW761" s="3"/>
      <c r="CX761" s="3"/>
      <c r="CY761" s="6"/>
      <c r="CZ761" s="3"/>
      <c r="DA761" s="3"/>
      <c r="DB761" s="6"/>
      <c r="DC761" s="3"/>
      <c r="DD761" s="3"/>
      <c r="DE761" s="6"/>
      <c r="DF761" s="3"/>
      <c r="DG761" s="7"/>
      <c r="DH761" s="6"/>
      <c r="DI761" s="3"/>
      <c r="DJ761" s="6"/>
      <c r="DK761" s="6"/>
      <c r="DL761" s="3"/>
      <c r="DM761" s="3"/>
      <c r="DN761" s="6"/>
      <c r="DO761" s="3"/>
      <c r="DP761" s="3"/>
      <c r="DQ761" s="6"/>
      <c r="DR761" s="3"/>
      <c r="DS761" s="3" t="str">
        <f>_xlfn.XLOOKUP(OfficeForms.Table[[#This Row],[Selecione a Categoria do Laboratório desta atividade prática:]],Planilha1!A:A,Planilha1!B:B)</f>
        <v>NTR</v>
      </c>
      <c r="DT761" s="6" t="str">
        <f>CONCATENATE(OfficeForms.Table[[#This Row],[Selecione seu Polo Laboratório de Atividades Presenciais:]],OfficeForms.Table[[#This Row],[CHAVE CONVERSÃO]])</f>
        <v>Itajaí/SC - São VicenteNTR</v>
      </c>
      <c r="DU76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</v>
      </c>
      <c r="DV76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76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761" s="6" t="str">
        <f>_xlfn.XLOOKUP(OfficeForms.Table[[#This Row],[CHAVE LINK POLO]],'[1]Quadro Geral de Lotação'!$B:$B,'[1]Quadro Geral de Lotação'!$I:$I)</f>
        <v>Lua Augusto De Araujo Costa</v>
      </c>
      <c r="DY761" s="6" t="str">
        <f>OfficeForms.Table[[#This Row],[Selecione a Ordem de Disciplina]]</f>
        <v>Ordem 2</v>
      </c>
    </row>
    <row r="762" spans="1:129" ht="34.15" customHeight="1">
      <c r="A762" s="6">
        <v>762</v>
      </c>
      <c r="B762" s="2">
        <v>46128.477569444403</v>
      </c>
      <c r="C762" s="2">
        <v>46128.478587963</v>
      </c>
      <c r="D762" s="3" t="s">
        <v>2176</v>
      </c>
      <c r="E762" s="3" t="s">
        <v>2177</v>
      </c>
      <c r="F762" s="6"/>
      <c r="G762" s="3"/>
      <c r="I762" s="3" t="s">
        <v>149</v>
      </c>
      <c r="J762" s="6"/>
      <c r="K762" s="3"/>
      <c r="L762" s="6" t="s">
        <v>678</v>
      </c>
      <c r="M762" s="6"/>
      <c r="N762" s="6"/>
      <c r="O762" s="3" t="s">
        <v>156</v>
      </c>
      <c r="P762" s="6"/>
      <c r="Q762" s="3"/>
      <c r="R762" s="3"/>
      <c r="S762" s="6"/>
      <c r="T762" s="3"/>
      <c r="U762" s="7"/>
      <c r="V762" s="6"/>
      <c r="W762" s="3"/>
      <c r="X762" s="6"/>
      <c r="Y762" s="6"/>
      <c r="Z762" s="3"/>
      <c r="AA762" s="3"/>
      <c r="AB762" s="6"/>
      <c r="AC762" s="3"/>
      <c r="AD762" s="3"/>
      <c r="AE762" s="6"/>
      <c r="AF762" s="3"/>
      <c r="AG762" s="3"/>
      <c r="AH762" s="6"/>
      <c r="AI762" s="3"/>
      <c r="AJ762" s="1"/>
      <c r="AK762" s="6"/>
      <c r="AL762" s="3"/>
      <c r="AM762" s="6"/>
      <c r="AN762" s="6"/>
      <c r="AO762" s="3"/>
      <c r="AP762" s="3"/>
      <c r="AQ762" s="6"/>
      <c r="AR762" s="3"/>
      <c r="AS762" s="3"/>
      <c r="AT762" s="6"/>
      <c r="AU762" s="3"/>
      <c r="AV762" s="3"/>
      <c r="AW762" s="6"/>
      <c r="AX762" s="3"/>
      <c r="AY762" s="7"/>
      <c r="AZ762" s="6"/>
      <c r="BA762" s="3"/>
      <c r="BB762" s="6"/>
      <c r="BC762" s="6"/>
      <c r="BD762" s="3"/>
      <c r="BE762" s="3"/>
      <c r="BF762" s="6"/>
      <c r="BG762" s="3"/>
      <c r="BH762" s="3"/>
      <c r="BI762" s="6"/>
      <c r="BJ762" s="3"/>
      <c r="BK762" s="3" t="s">
        <v>455</v>
      </c>
      <c r="BL762" s="6"/>
      <c r="BM762" s="3"/>
      <c r="BN762" s="7">
        <v>46120</v>
      </c>
      <c r="BO762" s="6"/>
      <c r="BP762" s="3"/>
      <c r="BQ762" s="6">
        <v>3</v>
      </c>
      <c r="BR762" s="6"/>
      <c r="BS762" s="3"/>
      <c r="BT762" s="3" t="s">
        <v>2198</v>
      </c>
      <c r="BU762" s="6"/>
      <c r="BV762" s="3"/>
      <c r="BW762" s="3" t="s">
        <v>2199</v>
      </c>
      <c r="BX762" s="6"/>
      <c r="BY762" s="3"/>
      <c r="BZ762" s="3"/>
      <c r="CA762" s="6"/>
      <c r="CB762" s="3"/>
      <c r="CC762" s="7"/>
      <c r="CD762" s="6"/>
      <c r="CE762" s="3"/>
      <c r="CF762" s="6"/>
      <c r="CG762" s="6"/>
      <c r="CH762" s="3"/>
      <c r="CI762" s="3"/>
      <c r="CJ762" s="6"/>
      <c r="CK762" s="3"/>
      <c r="CL762" s="3"/>
      <c r="CM762" s="6"/>
      <c r="CN762" s="3"/>
      <c r="CO762" s="3"/>
      <c r="CP762" s="6"/>
      <c r="CQ762" s="3"/>
      <c r="CR762" s="7"/>
      <c r="CS762" s="6"/>
      <c r="CT762" s="3"/>
      <c r="CU762" s="6"/>
      <c r="CV762" s="6"/>
      <c r="CW762" s="3"/>
      <c r="CX762" s="3"/>
      <c r="CY762" s="6"/>
      <c r="CZ762" s="3"/>
      <c r="DA762" s="3"/>
      <c r="DB762" s="6"/>
      <c r="DC762" s="3"/>
      <c r="DD762" s="3"/>
      <c r="DE762" s="6"/>
      <c r="DF762" s="3"/>
      <c r="DG762" s="7"/>
      <c r="DH762" s="6"/>
      <c r="DI762" s="3"/>
      <c r="DJ762" s="6"/>
      <c r="DK762" s="6"/>
      <c r="DL762" s="3"/>
      <c r="DM762" s="3"/>
      <c r="DN762" s="6"/>
      <c r="DO762" s="3"/>
      <c r="DP762" s="3"/>
      <c r="DQ762" s="6"/>
      <c r="DR762" s="3"/>
      <c r="DS762" s="3" t="str">
        <f>_xlfn.XLOOKUP(OfficeForms.Table[[#This Row],[Selecione a Categoria do Laboratório desta atividade prática:]],Planilha1!A:A,Planilha1!B:B)</f>
        <v>NTR</v>
      </c>
      <c r="DT762" s="6" t="str">
        <f>CONCATENATE(OfficeForms.Table[[#This Row],[Selecione seu Polo Laboratório de Atividades Presenciais:]],OfficeForms.Table[[#This Row],[CHAVE CONVERSÃO]])</f>
        <v>Itajaí/SC - São VicenteNTR</v>
      </c>
      <c r="DU76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II: Anamnese e diagnóstico</v>
      </c>
      <c r="DV76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76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62" s="6" t="str">
        <f>_xlfn.XLOOKUP(OfficeForms.Table[[#This Row],[CHAVE LINK POLO]],'[1]Quadro Geral de Lotação'!$B:$B,'[1]Quadro Geral de Lotação'!$I:$I)</f>
        <v>Lua Augusto De Araujo Costa</v>
      </c>
      <c r="DY762" s="6" t="str">
        <f>OfficeForms.Table[[#This Row],[Selecione a Ordem de Disciplina]]</f>
        <v>Ordem 2</v>
      </c>
    </row>
    <row r="763" spans="1:129" ht="34.15" customHeight="1">
      <c r="A763" s="6">
        <v>763</v>
      </c>
      <c r="B763" s="2">
        <v>46128.504108796304</v>
      </c>
      <c r="C763" s="2">
        <v>46128.5094328704</v>
      </c>
      <c r="D763" s="3" t="s">
        <v>404</v>
      </c>
      <c r="E763" s="3" t="s">
        <v>405</v>
      </c>
      <c r="F763" s="6"/>
      <c r="G763" s="3"/>
      <c r="I763" s="3" t="s">
        <v>406</v>
      </c>
      <c r="J763" s="6"/>
      <c r="K763" s="3"/>
      <c r="L763" s="6" t="s">
        <v>678</v>
      </c>
      <c r="M763" s="6"/>
      <c r="N763" s="6"/>
      <c r="O763" s="3" t="s">
        <v>184</v>
      </c>
      <c r="P763" s="6"/>
      <c r="Q763" s="3"/>
      <c r="R763" s="3"/>
      <c r="S763" s="6"/>
      <c r="T763" s="3"/>
      <c r="U763" s="7"/>
      <c r="V763" s="6"/>
      <c r="W763" s="3"/>
      <c r="X763" s="6"/>
      <c r="Y763" s="6"/>
      <c r="Z763" s="3"/>
      <c r="AA763" s="3"/>
      <c r="AB763" s="6"/>
      <c r="AC763" s="3"/>
      <c r="AD763" s="3"/>
      <c r="AE763" s="6"/>
      <c r="AF763" s="3"/>
      <c r="AG763" s="3" t="s">
        <v>1013</v>
      </c>
      <c r="AH763" s="6"/>
      <c r="AI763" s="3"/>
      <c r="AJ763" s="1">
        <v>46107</v>
      </c>
      <c r="AK763" s="6"/>
      <c r="AL763" s="3"/>
      <c r="AM763" s="6">
        <v>0</v>
      </c>
      <c r="AN763" s="6"/>
      <c r="AO763" s="3"/>
      <c r="AP763" s="3" t="s">
        <v>2200</v>
      </c>
      <c r="AQ763" s="6"/>
      <c r="AR763" s="3"/>
      <c r="AS763" s="3" t="s">
        <v>2201</v>
      </c>
      <c r="AT763" s="6"/>
      <c r="AU763" s="3"/>
      <c r="AV763" s="3"/>
      <c r="AW763" s="6"/>
      <c r="AX763" s="3"/>
      <c r="AY763" s="7"/>
      <c r="AZ763" s="6"/>
      <c r="BA763" s="3"/>
      <c r="BB763" s="6"/>
      <c r="BC763" s="6"/>
      <c r="BD763" s="3"/>
      <c r="BE763" s="3"/>
      <c r="BF763" s="6"/>
      <c r="BG763" s="3"/>
      <c r="BH763" s="3"/>
      <c r="BI763" s="6"/>
      <c r="BJ763" s="3"/>
      <c r="BK763" s="3"/>
      <c r="BL763" s="6"/>
      <c r="BM763" s="3"/>
      <c r="BN763" s="7"/>
      <c r="BO763" s="6"/>
      <c r="BP763" s="3"/>
      <c r="BQ763" s="6"/>
      <c r="BR763" s="6"/>
      <c r="BS763" s="3"/>
      <c r="BT763" s="3"/>
      <c r="BU763" s="6"/>
      <c r="BV763" s="3"/>
      <c r="BW763" s="3"/>
      <c r="BX763" s="6"/>
      <c r="BY763" s="3"/>
      <c r="BZ763" s="3"/>
      <c r="CA763" s="6"/>
      <c r="CB763" s="3"/>
      <c r="CC763" s="7"/>
      <c r="CD763" s="6"/>
      <c r="CE763" s="3"/>
      <c r="CF763" s="6"/>
      <c r="CG763" s="6"/>
      <c r="CH763" s="3"/>
      <c r="CI763" s="3"/>
      <c r="CJ763" s="6"/>
      <c r="CK763" s="3"/>
      <c r="CL763" s="3"/>
      <c r="CM763" s="6"/>
      <c r="CN763" s="3"/>
      <c r="CO763" s="3"/>
      <c r="CP763" s="6"/>
      <c r="CQ763" s="3"/>
      <c r="CR763" s="7"/>
      <c r="CS763" s="6"/>
      <c r="CT763" s="3"/>
      <c r="CU763" s="6"/>
      <c r="CV763" s="6"/>
      <c r="CW763" s="3"/>
      <c r="CX763" s="3"/>
      <c r="CY763" s="6"/>
      <c r="CZ763" s="3"/>
      <c r="DA763" s="3"/>
      <c r="DB763" s="6"/>
      <c r="DC763" s="3"/>
      <c r="DD763" s="3"/>
      <c r="DE763" s="6"/>
      <c r="DF763" s="3"/>
      <c r="DG763" s="7"/>
      <c r="DH763" s="6"/>
      <c r="DI763" s="3"/>
      <c r="DJ763" s="6"/>
      <c r="DK763" s="6"/>
      <c r="DL763" s="3"/>
      <c r="DM763" s="3"/>
      <c r="DN763" s="6"/>
      <c r="DO763" s="3"/>
      <c r="DP763" s="3"/>
      <c r="DQ763" s="6"/>
      <c r="DR763" s="3"/>
      <c r="DS763" s="3" t="str">
        <f>_xlfn.XLOOKUP(OfficeForms.Table[[#This Row],[Selecione a Categoria do Laboratório desta atividade prática:]],Planilha1!A:A,Planilha1!B:B)</f>
        <v>EMF-ISN</v>
      </c>
      <c r="DT763" s="6" t="str">
        <f>CONCATENATE(OfficeForms.Table[[#This Row],[Selecione seu Polo Laboratório de Atividades Presenciais:]],OfficeForms.Table[[#This Row],[CHAVE CONVERSÃO]])</f>
        <v>Conselheiro Lafaiete/MGEMF-ISN</v>
      </c>
      <c r="DU76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76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76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63" s="6" t="str">
        <f>_xlfn.XLOOKUP(OfficeForms.Table[[#This Row],[CHAVE LINK POLO]],'[1]Quadro Geral de Lotação'!$B:$B,'[1]Quadro Geral de Lotação'!$I:$I)</f>
        <v>Aline Graziele Goncalves Costa</v>
      </c>
      <c r="DY763" s="6" t="str">
        <f>OfficeForms.Table[[#This Row],[Selecione a Ordem de Disciplina]]</f>
        <v>Ordem 2</v>
      </c>
    </row>
    <row r="764" spans="1:129" ht="34.15" customHeight="1">
      <c r="A764" s="6">
        <v>764</v>
      </c>
      <c r="B764" s="2">
        <v>46128.515324074098</v>
      </c>
      <c r="C764" s="2">
        <v>46128.517303240696</v>
      </c>
      <c r="D764" s="3" t="s">
        <v>404</v>
      </c>
      <c r="E764" s="3" t="s">
        <v>405</v>
      </c>
      <c r="F764" s="6"/>
      <c r="G764" s="3"/>
      <c r="I764" s="3" t="s">
        <v>406</v>
      </c>
      <c r="J764" s="6"/>
      <c r="K764" s="3"/>
      <c r="L764" s="6" t="s">
        <v>678</v>
      </c>
      <c r="M764" s="6"/>
      <c r="N764" s="6"/>
      <c r="O764" s="3" t="s">
        <v>184</v>
      </c>
      <c r="P764" s="6"/>
      <c r="Q764" s="3"/>
      <c r="R764" s="3"/>
      <c r="S764" s="6"/>
      <c r="T764" s="3"/>
      <c r="U764" s="7"/>
      <c r="V764" s="6"/>
      <c r="W764" s="3"/>
      <c r="X764" s="6"/>
      <c r="Y764" s="6"/>
      <c r="Z764" s="3"/>
      <c r="AA764" s="3"/>
      <c r="AB764" s="6"/>
      <c r="AC764" s="3"/>
      <c r="AD764" s="3"/>
      <c r="AE764" s="6"/>
      <c r="AF764" s="3"/>
      <c r="AG764" s="3" t="s">
        <v>211</v>
      </c>
      <c r="AH764" s="6"/>
      <c r="AI764" s="3"/>
      <c r="AJ764" s="1">
        <v>46107</v>
      </c>
      <c r="AK764" s="6"/>
      <c r="AL764" s="3"/>
      <c r="AM764" s="6">
        <v>0</v>
      </c>
      <c r="AN764" s="6"/>
      <c r="AO764" s="3"/>
      <c r="AP764" s="3" t="s">
        <v>2202</v>
      </c>
      <c r="AQ764" s="6"/>
      <c r="AR764" s="3"/>
      <c r="AS764" s="3" t="s">
        <v>2203</v>
      </c>
      <c r="AT764" s="6"/>
      <c r="AU764" s="3"/>
      <c r="AV764" s="3"/>
      <c r="AW764" s="6"/>
      <c r="AX764" s="3"/>
      <c r="AY764" s="7"/>
      <c r="AZ764" s="6"/>
      <c r="BA764" s="3"/>
      <c r="BB764" s="6"/>
      <c r="BC764" s="6"/>
      <c r="BD764" s="3"/>
      <c r="BE764" s="3"/>
      <c r="BF764" s="6"/>
      <c r="BG764" s="3"/>
      <c r="BH764" s="3"/>
      <c r="BI764" s="6"/>
      <c r="BJ764" s="3"/>
      <c r="BK764" s="3"/>
      <c r="BL764" s="6"/>
      <c r="BM764" s="3"/>
      <c r="BN764" s="7"/>
      <c r="BO764" s="6"/>
      <c r="BP764" s="3"/>
      <c r="BQ764" s="6"/>
      <c r="BR764" s="6"/>
      <c r="BS764" s="3"/>
      <c r="BT764" s="3"/>
      <c r="BU764" s="6"/>
      <c r="BV764" s="3"/>
      <c r="BW764" s="3"/>
      <c r="BX764" s="6"/>
      <c r="BY764" s="3"/>
      <c r="BZ764" s="3"/>
      <c r="CA764" s="6"/>
      <c r="CB764" s="3"/>
      <c r="CC764" s="7"/>
      <c r="CD764" s="6"/>
      <c r="CE764" s="3"/>
      <c r="CF764" s="6"/>
      <c r="CG764" s="6"/>
      <c r="CH764" s="3"/>
      <c r="CI764" s="3"/>
      <c r="CJ764" s="6"/>
      <c r="CK764" s="3"/>
      <c r="CL764" s="3"/>
      <c r="CM764" s="6"/>
      <c r="CN764" s="3"/>
      <c r="CO764" s="3"/>
      <c r="CP764" s="6"/>
      <c r="CQ764" s="3"/>
      <c r="CR764" s="7"/>
      <c r="CS764" s="6"/>
      <c r="CT764" s="3"/>
      <c r="CU764" s="6"/>
      <c r="CV764" s="6"/>
      <c r="CW764" s="3"/>
      <c r="CX764" s="3"/>
      <c r="CY764" s="6"/>
      <c r="CZ764" s="3"/>
      <c r="DA764" s="3"/>
      <c r="DB764" s="6"/>
      <c r="DC764" s="3"/>
      <c r="DD764" s="3"/>
      <c r="DE764" s="6"/>
      <c r="DF764" s="3"/>
      <c r="DG764" s="7"/>
      <c r="DH764" s="6"/>
      <c r="DI764" s="3"/>
      <c r="DJ764" s="6"/>
      <c r="DK764" s="6"/>
      <c r="DL764" s="3"/>
      <c r="DM764" s="3"/>
      <c r="DN764" s="6"/>
      <c r="DO764" s="3"/>
      <c r="DP764" s="3"/>
      <c r="DQ764" s="6"/>
      <c r="DR764" s="3"/>
      <c r="DS764" s="3" t="str">
        <f>_xlfn.XLOOKUP(OfficeForms.Table[[#This Row],[Selecione a Categoria do Laboratório desta atividade prática:]],Planilha1!A:A,Planilha1!B:B)</f>
        <v>EMF-ISN</v>
      </c>
      <c r="DT764" s="6" t="str">
        <f>CONCATENATE(OfficeForms.Table[[#This Row],[Selecione seu Polo Laboratório de Atividades Presenciais:]],OfficeForms.Table[[#This Row],[CHAVE CONVERSÃO]])</f>
        <v>Conselheiro Lafaiete/MGEMF-ISN</v>
      </c>
      <c r="DU76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76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76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64" s="6" t="str">
        <f>_xlfn.XLOOKUP(OfficeForms.Table[[#This Row],[CHAVE LINK POLO]],'[1]Quadro Geral de Lotação'!$B:$B,'[1]Quadro Geral de Lotação'!$I:$I)</f>
        <v>Aline Graziele Goncalves Costa</v>
      </c>
      <c r="DY764" s="6" t="str">
        <f>OfficeForms.Table[[#This Row],[Selecione a Ordem de Disciplina]]</f>
        <v>Ordem 2</v>
      </c>
    </row>
    <row r="765" spans="1:129" ht="34.15" customHeight="1">
      <c r="A765" s="6">
        <v>765</v>
      </c>
      <c r="B765" s="2">
        <v>46128.588437500002</v>
      </c>
      <c r="C765" s="2">
        <v>46128.611331018503</v>
      </c>
      <c r="D765" s="3" t="s">
        <v>214</v>
      </c>
      <c r="E765" s="3" t="s">
        <v>215</v>
      </c>
      <c r="F765" s="6"/>
      <c r="G765" s="3"/>
      <c r="I765" s="3" t="s">
        <v>216</v>
      </c>
      <c r="J765" s="6"/>
      <c r="K765" s="3"/>
      <c r="L765" s="6" t="s">
        <v>678</v>
      </c>
      <c r="M765" s="6"/>
      <c r="N765" s="6"/>
      <c r="O765" s="3" t="s">
        <v>133</v>
      </c>
      <c r="P765" s="6"/>
      <c r="Q765" s="3"/>
      <c r="R765" s="3"/>
      <c r="S765" s="6"/>
      <c r="T765" s="3"/>
      <c r="U765" s="7"/>
      <c r="V765" s="6"/>
      <c r="W765" s="3"/>
      <c r="X765" s="6"/>
      <c r="Y765" s="6"/>
      <c r="Z765" s="3"/>
      <c r="AA765" s="3"/>
      <c r="AB765" s="6"/>
      <c r="AC765" s="3"/>
      <c r="AD765" s="3"/>
      <c r="AE765" s="6"/>
      <c r="AF765" s="3"/>
      <c r="AG765" s="3"/>
      <c r="AH765" s="6"/>
      <c r="AI765" s="3"/>
      <c r="AJ765" s="1"/>
      <c r="AK765" s="6"/>
      <c r="AL765" s="3"/>
      <c r="AM765" s="6"/>
      <c r="AN765" s="6"/>
      <c r="AO765" s="3"/>
      <c r="AP765" s="3"/>
      <c r="AQ765" s="6"/>
      <c r="AR765" s="3"/>
      <c r="AS765" s="3"/>
      <c r="AT765" s="6"/>
      <c r="AU765" s="3"/>
      <c r="AV765" s="3" t="s">
        <v>1514</v>
      </c>
      <c r="AW765" s="6"/>
      <c r="AX765" s="3"/>
      <c r="AY765" s="7">
        <v>46113</v>
      </c>
      <c r="AZ765" s="6"/>
      <c r="BA765" s="3"/>
      <c r="BB765" s="6">
        <v>9</v>
      </c>
      <c r="BC765" s="6"/>
      <c r="BD765" s="3"/>
      <c r="BE765" s="3" t="s">
        <v>2204</v>
      </c>
      <c r="BF765" s="6"/>
      <c r="BG765" s="3"/>
      <c r="BH765" s="3" t="s">
        <v>2205</v>
      </c>
      <c r="BI765" s="6"/>
      <c r="BJ765" s="3"/>
      <c r="BK765" s="3"/>
      <c r="BL765" s="6"/>
      <c r="BM765" s="3"/>
      <c r="BN765" s="7"/>
      <c r="BO765" s="6"/>
      <c r="BP765" s="3"/>
      <c r="BQ765" s="6"/>
      <c r="BR765" s="6"/>
      <c r="BS765" s="3"/>
      <c r="BT765" s="3"/>
      <c r="BU765" s="6"/>
      <c r="BV765" s="3"/>
      <c r="BW765" s="3"/>
      <c r="BX765" s="6"/>
      <c r="BY765" s="3"/>
      <c r="BZ765" s="3"/>
      <c r="CA765" s="6"/>
      <c r="CB765" s="3"/>
      <c r="CC765" s="7"/>
      <c r="CD765" s="6"/>
      <c r="CE765" s="3"/>
      <c r="CF765" s="6"/>
      <c r="CG765" s="6"/>
      <c r="CH765" s="3"/>
      <c r="CI765" s="3"/>
      <c r="CJ765" s="6"/>
      <c r="CK765" s="3"/>
      <c r="CL765" s="3"/>
      <c r="CM765" s="6"/>
      <c r="CN765" s="3"/>
      <c r="CO765" s="3"/>
      <c r="CP765" s="6"/>
      <c r="CQ765" s="3"/>
      <c r="CR765" s="7"/>
      <c r="CS765" s="6"/>
      <c r="CT765" s="3"/>
      <c r="CU765" s="6"/>
      <c r="CV765" s="6"/>
      <c r="CW765" s="3"/>
      <c r="CX765" s="3"/>
      <c r="CY765" s="6"/>
      <c r="CZ765" s="3"/>
      <c r="DA765" s="3"/>
      <c r="DB765" s="6"/>
      <c r="DC765" s="3"/>
      <c r="DD765" s="3"/>
      <c r="DE765" s="6"/>
      <c r="DF765" s="3"/>
      <c r="DG765" s="7"/>
      <c r="DH765" s="6"/>
      <c r="DI765" s="3"/>
      <c r="DJ765" s="6"/>
      <c r="DK765" s="6"/>
      <c r="DL765" s="3"/>
      <c r="DM765" s="3"/>
      <c r="DN765" s="6"/>
      <c r="DO765" s="3"/>
      <c r="DP765" s="3"/>
      <c r="DQ765" s="6"/>
      <c r="DR765" s="3"/>
      <c r="DS765" s="3" t="str">
        <f>_xlfn.XLOOKUP(OfficeForms.Table[[#This Row],[Selecione a Categoria do Laboratório desta atividade prática:]],Planilha1!A:A,Planilha1!B:B)</f>
        <v>BFI</v>
      </c>
      <c r="DT765" s="6" t="str">
        <f>CONCATENATE(OfficeForms.Table[[#This Row],[Selecione seu Polo Laboratório de Atividades Presenciais:]],OfficeForms.Table[[#This Row],[CHAVE CONVERSÃO]])</f>
        <v>Feira De Santana/BA - CentroBFI</v>
      </c>
      <c r="DU76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Articular e Goniometria: Avaliação Quantitativa na Prática Fisioterapêutica</v>
      </c>
      <c r="DV76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76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765" s="6" t="str">
        <f>_xlfn.XLOOKUP(OfficeForms.Table[[#This Row],[CHAVE LINK POLO]],'[1]Quadro Geral de Lotação'!$B:$B,'[1]Quadro Geral de Lotação'!$I:$I)</f>
        <v>Clara Oliveira E Oliveira</v>
      </c>
      <c r="DY765" s="6" t="str">
        <f>OfficeForms.Table[[#This Row],[Selecione a Ordem de Disciplina]]</f>
        <v>Ordem 2</v>
      </c>
    </row>
    <row r="766" spans="1:129" ht="34.15" customHeight="1">
      <c r="A766" s="6">
        <v>766</v>
      </c>
      <c r="B766" s="2">
        <v>46128.611516203702</v>
      </c>
      <c r="C766" s="2">
        <v>46128.612581018497</v>
      </c>
      <c r="D766" s="3" t="s">
        <v>214</v>
      </c>
      <c r="E766" s="3" t="s">
        <v>215</v>
      </c>
      <c r="F766" s="6"/>
      <c r="G766" s="3"/>
      <c r="I766" s="3" t="s">
        <v>216</v>
      </c>
      <c r="J766" s="6"/>
      <c r="K766" s="3"/>
      <c r="L766" s="6" t="s">
        <v>678</v>
      </c>
      <c r="M766" s="6"/>
      <c r="N766" s="6"/>
      <c r="O766" s="3" t="s">
        <v>133</v>
      </c>
      <c r="P766" s="6"/>
      <c r="Q766" s="3"/>
      <c r="R766" s="3"/>
      <c r="S766" s="6"/>
      <c r="T766" s="3"/>
      <c r="U766" s="7"/>
      <c r="V766" s="6"/>
      <c r="W766" s="3"/>
      <c r="X766" s="6"/>
      <c r="Y766" s="6"/>
      <c r="Z766" s="3"/>
      <c r="AA766" s="3"/>
      <c r="AB766" s="6"/>
      <c r="AC766" s="3"/>
      <c r="AD766" s="3"/>
      <c r="AE766" s="6"/>
      <c r="AF766" s="3"/>
      <c r="AG766" s="3"/>
      <c r="AH766" s="6"/>
      <c r="AI766" s="3"/>
      <c r="AJ766" s="1"/>
      <c r="AK766" s="6"/>
      <c r="AL766" s="3"/>
      <c r="AM766" s="6"/>
      <c r="AN766" s="6"/>
      <c r="AO766" s="3"/>
      <c r="AP766" s="3"/>
      <c r="AQ766" s="6"/>
      <c r="AR766" s="3"/>
      <c r="AS766" s="3"/>
      <c r="AT766" s="6"/>
      <c r="AU766" s="3"/>
      <c r="AV766" s="3" t="s">
        <v>1514</v>
      </c>
      <c r="AW766" s="6"/>
      <c r="AX766" s="3"/>
      <c r="AY766" s="7">
        <v>46113</v>
      </c>
      <c r="AZ766" s="6"/>
      <c r="BA766" s="3"/>
      <c r="BB766" s="6">
        <v>9</v>
      </c>
      <c r="BC766" s="6"/>
      <c r="BD766" s="3"/>
      <c r="BE766" s="3" t="s">
        <v>2206</v>
      </c>
      <c r="BF766" s="6"/>
      <c r="BG766" s="3"/>
      <c r="BH766" s="3" t="s">
        <v>2207</v>
      </c>
      <c r="BI766" s="6"/>
      <c r="BJ766" s="3"/>
      <c r="BK766" s="3"/>
      <c r="BL766" s="6"/>
      <c r="BM766" s="3"/>
      <c r="BN766" s="7"/>
      <c r="BO766" s="6"/>
      <c r="BP766" s="3"/>
      <c r="BQ766" s="6"/>
      <c r="BR766" s="6"/>
      <c r="BS766" s="3"/>
      <c r="BT766" s="3"/>
      <c r="BU766" s="6"/>
      <c r="BV766" s="3"/>
      <c r="BW766" s="3"/>
      <c r="BX766" s="6"/>
      <c r="BY766" s="3"/>
      <c r="BZ766" s="3"/>
      <c r="CA766" s="6"/>
      <c r="CB766" s="3"/>
      <c r="CC766" s="7"/>
      <c r="CD766" s="6"/>
      <c r="CE766" s="3"/>
      <c r="CF766" s="6"/>
      <c r="CG766" s="6"/>
      <c r="CH766" s="3"/>
      <c r="CI766" s="3"/>
      <c r="CJ766" s="6"/>
      <c r="CK766" s="3"/>
      <c r="CL766" s="3"/>
      <c r="CM766" s="6"/>
      <c r="CN766" s="3"/>
      <c r="CO766" s="3"/>
      <c r="CP766" s="6"/>
      <c r="CQ766" s="3"/>
      <c r="CR766" s="7"/>
      <c r="CS766" s="6"/>
      <c r="CT766" s="3"/>
      <c r="CU766" s="6"/>
      <c r="CV766" s="6"/>
      <c r="CW766" s="3"/>
      <c r="CX766" s="3"/>
      <c r="CY766" s="6"/>
      <c r="CZ766" s="3"/>
      <c r="DA766" s="3"/>
      <c r="DB766" s="6"/>
      <c r="DC766" s="3"/>
      <c r="DD766" s="3"/>
      <c r="DE766" s="6"/>
      <c r="DF766" s="3"/>
      <c r="DG766" s="7"/>
      <c r="DH766" s="6"/>
      <c r="DI766" s="3"/>
      <c r="DJ766" s="6"/>
      <c r="DK766" s="6"/>
      <c r="DL766" s="3"/>
      <c r="DM766" s="3"/>
      <c r="DN766" s="6"/>
      <c r="DO766" s="3"/>
      <c r="DP766" s="3"/>
      <c r="DQ766" s="6"/>
      <c r="DR766" s="3"/>
      <c r="DS766" s="3" t="str">
        <f>_xlfn.XLOOKUP(OfficeForms.Table[[#This Row],[Selecione a Categoria do Laboratório desta atividade prática:]],Planilha1!A:A,Planilha1!B:B)</f>
        <v>BFI</v>
      </c>
      <c r="DT766" s="6" t="str">
        <f>CONCATENATE(OfficeForms.Table[[#This Row],[Selecione seu Polo Laboratório de Atividades Presenciais:]],OfficeForms.Table[[#This Row],[CHAVE CONVERSÃO]])</f>
        <v>Feira De Santana/BA - CentroBFI</v>
      </c>
      <c r="DU76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Articular e Goniometria: Avaliação Quantitativa na Prática Fisioterapêutica</v>
      </c>
      <c r="DV76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76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766" s="6" t="str">
        <f>_xlfn.XLOOKUP(OfficeForms.Table[[#This Row],[CHAVE LINK POLO]],'[1]Quadro Geral de Lotação'!$B:$B,'[1]Quadro Geral de Lotação'!$I:$I)</f>
        <v>Clara Oliveira E Oliveira</v>
      </c>
      <c r="DY766" s="6" t="str">
        <f>OfficeForms.Table[[#This Row],[Selecione a Ordem de Disciplina]]</f>
        <v>Ordem 2</v>
      </c>
    </row>
    <row r="767" spans="1:129" ht="34.15" customHeight="1">
      <c r="A767" s="6">
        <v>767</v>
      </c>
      <c r="B767" s="2">
        <v>46128.615428240701</v>
      </c>
      <c r="C767" s="2">
        <v>46128.620659722197</v>
      </c>
      <c r="D767" s="3" t="s">
        <v>214</v>
      </c>
      <c r="E767" s="3" t="s">
        <v>215</v>
      </c>
      <c r="F767" s="6"/>
      <c r="G767" s="3"/>
      <c r="I767" s="3" t="s">
        <v>216</v>
      </c>
      <c r="J767" s="6"/>
      <c r="K767" s="3"/>
      <c r="L767" s="6" t="s">
        <v>678</v>
      </c>
      <c r="M767" s="6"/>
      <c r="N767" s="6"/>
      <c r="O767" s="3" t="s">
        <v>133</v>
      </c>
      <c r="P767" s="6"/>
      <c r="Q767" s="3"/>
      <c r="R767" s="3"/>
      <c r="S767" s="6"/>
      <c r="T767" s="3"/>
      <c r="U767" s="7"/>
      <c r="V767" s="6"/>
      <c r="W767" s="3"/>
      <c r="X767" s="6"/>
      <c r="Y767" s="6"/>
      <c r="Z767" s="3"/>
      <c r="AA767" s="3"/>
      <c r="AB767" s="6"/>
      <c r="AC767" s="3"/>
      <c r="AD767" s="3"/>
      <c r="AE767" s="6"/>
      <c r="AF767" s="3"/>
      <c r="AG767" s="3"/>
      <c r="AH767" s="6"/>
      <c r="AI767" s="3"/>
      <c r="AJ767" s="1"/>
      <c r="AK767" s="6"/>
      <c r="AL767" s="3"/>
      <c r="AM767" s="6"/>
      <c r="AN767" s="6"/>
      <c r="AO767" s="3"/>
      <c r="AP767" s="3"/>
      <c r="AQ767" s="6"/>
      <c r="AR767" s="3"/>
      <c r="AS767" s="3"/>
      <c r="AT767" s="6"/>
      <c r="AU767" s="3"/>
      <c r="AV767" s="3" t="s">
        <v>1410</v>
      </c>
      <c r="AW767" s="6"/>
      <c r="AX767" s="3"/>
      <c r="AY767" s="7">
        <v>46120</v>
      </c>
      <c r="AZ767" s="6"/>
      <c r="BA767" s="3"/>
      <c r="BB767" s="6">
        <v>12</v>
      </c>
      <c r="BC767" s="6"/>
      <c r="BD767" s="3"/>
      <c r="BE767" s="3" t="s">
        <v>2208</v>
      </c>
      <c r="BF767" s="6"/>
      <c r="BG767" s="3"/>
      <c r="BH767" s="3" t="s">
        <v>2209</v>
      </c>
      <c r="BI767" s="6"/>
      <c r="BJ767" s="3"/>
      <c r="BK767" s="3"/>
      <c r="BL767" s="6"/>
      <c r="BM767" s="3"/>
      <c r="BN767" s="7"/>
      <c r="BO767" s="6"/>
      <c r="BP767" s="3"/>
      <c r="BQ767" s="6"/>
      <c r="BR767" s="6"/>
      <c r="BS767" s="3"/>
      <c r="BT767" s="3"/>
      <c r="BU767" s="6"/>
      <c r="BV767" s="3"/>
      <c r="BW767" s="3"/>
      <c r="BX767" s="6"/>
      <c r="BY767" s="3"/>
      <c r="BZ767" s="3"/>
      <c r="CA767" s="6"/>
      <c r="CB767" s="3"/>
      <c r="CC767" s="7"/>
      <c r="CD767" s="6"/>
      <c r="CE767" s="3"/>
      <c r="CF767" s="6"/>
      <c r="CG767" s="6"/>
      <c r="CH767" s="3"/>
      <c r="CI767" s="3"/>
      <c r="CJ767" s="6"/>
      <c r="CK767" s="3"/>
      <c r="CL767" s="3"/>
      <c r="CM767" s="6"/>
      <c r="CN767" s="3"/>
      <c r="CO767" s="3"/>
      <c r="CP767" s="6"/>
      <c r="CQ767" s="3"/>
      <c r="CR767" s="7"/>
      <c r="CS767" s="6"/>
      <c r="CT767" s="3"/>
      <c r="CU767" s="6"/>
      <c r="CV767" s="6"/>
      <c r="CW767" s="3"/>
      <c r="CX767" s="3"/>
      <c r="CY767" s="6"/>
      <c r="CZ767" s="3"/>
      <c r="DA767" s="3"/>
      <c r="DB767" s="6"/>
      <c r="DC767" s="3"/>
      <c r="DD767" s="3"/>
      <c r="DE767" s="6"/>
      <c r="DF767" s="3"/>
      <c r="DG767" s="7"/>
      <c r="DH767" s="6"/>
      <c r="DI767" s="3"/>
      <c r="DJ767" s="6"/>
      <c r="DK767" s="6"/>
      <c r="DL767" s="3"/>
      <c r="DM767" s="3"/>
      <c r="DN767" s="6"/>
      <c r="DO767" s="3"/>
      <c r="DP767" s="3"/>
      <c r="DQ767" s="6"/>
      <c r="DR767" s="3"/>
      <c r="DS767" s="3" t="str">
        <f>_xlfn.XLOOKUP(OfficeForms.Table[[#This Row],[Selecione a Categoria do Laboratório desta atividade prática:]],Planilha1!A:A,Planilha1!B:B)</f>
        <v>BFI</v>
      </c>
      <c r="DT767" s="6" t="str">
        <f>CONCATENATE(OfficeForms.Table[[#This Row],[Selecione seu Polo Laboratório de Atividades Presenciais:]],OfficeForms.Table[[#This Row],[CHAVE CONVERSÃO]])</f>
        <v>Feira De Santana/BA - CentroBFI</v>
      </c>
      <c r="DU76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Funcional e Cinesiologia da Marcha: Observação e Análise em Laboratório Prático</v>
      </c>
      <c r="DV76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76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767" s="6" t="str">
        <f>_xlfn.XLOOKUP(OfficeForms.Table[[#This Row],[CHAVE LINK POLO]],'[1]Quadro Geral de Lotação'!$B:$B,'[1]Quadro Geral de Lotação'!$I:$I)</f>
        <v>Clara Oliveira E Oliveira</v>
      </c>
      <c r="DY767" s="6" t="str">
        <f>OfficeForms.Table[[#This Row],[Selecione a Ordem de Disciplina]]</f>
        <v>Ordem 2</v>
      </c>
    </row>
    <row r="768" spans="1:129" ht="34.15" customHeight="1">
      <c r="A768" s="6">
        <v>768</v>
      </c>
      <c r="B768" s="2">
        <v>46128.621296296304</v>
      </c>
      <c r="C768" s="2">
        <v>46128.6242361111</v>
      </c>
      <c r="D768" s="3" t="s">
        <v>214</v>
      </c>
      <c r="E768" s="3" t="s">
        <v>215</v>
      </c>
      <c r="F768" s="6"/>
      <c r="G768" s="3"/>
      <c r="I768" s="3" t="s">
        <v>216</v>
      </c>
      <c r="J768" s="6"/>
      <c r="K768" s="3"/>
      <c r="L768" s="6" t="s">
        <v>678</v>
      </c>
      <c r="M768" s="6"/>
      <c r="N768" s="6"/>
      <c r="O768" s="3" t="s">
        <v>133</v>
      </c>
      <c r="P768" s="6"/>
      <c r="Q768" s="3"/>
      <c r="R768" s="3"/>
      <c r="S768" s="6"/>
      <c r="T768" s="3"/>
      <c r="U768" s="7"/>
      <c r="V768" s="6"/>
      <c r="W768" s="3"/>
      <c r="X768" s="6"/>
      <c r="Y768" s="6"/>
      <c r="Z768" s="3"/>
      <c r="AA768" s="3"/>
      <c r="AB768" s="6"/>
      <c r="AC768" s="3"/>
      <c r="AD768" s="3"/>
      <c r="AE768" s="6"/>
      <c r="AF768" s="3"/>
      <c r="AG768" s="3"/>
      <c r="AH768" s="6"/>
      <c r="AI768" s="3"/>
      <c r="AJ768" s="1"/>
      <c r="AK768" s="6"/>
      <c r="AL768" s="3"/>
      <c r="AM768" s="6"/>
      <c r="AN768" s="6"/>
      <c r="AO768" s="3"/>
      <c r="AP768" s="3"/>
      <c r="AQ768" s="6"/>
      <c r="AR768" s="3"/>
      <c r="AS768" s="3"/>
      <c r="AT768" s="6"/>
      <c r="AU768" s="3"/>
      <c r="AV768" s="3" t="s">
        <v>1410</v>
      </c>
      <c r="AW768" s="6"/>
      <c r="AX768" s="3"/>
      <c r="AY768" s="7">
        <v>46120</v>
      </c>
      <c r="AZ768" s="6"/>
      <c r="BA768" s="3"/>
      <c r="BB768" s="6">
        <v>12</v>
      </c>
      <c r="BC768" s="6"/>
      <c r="BD768" s="3"/>
      <c r="BE768" s="3" t="s">
        <v>2210</v>
      </c>
      <c r="BF768" s="6"/>
      <c r="BG768" s="3"/>
      <c r="BH768" s="3" t="s">
        <v>2211</v>
      </c>
      <c r="BI768" s="6"/>
      <c r="BJ768" s="3"/>
      <c r="BK768" s="3"/>
      <c r="BL768" s="6"/>
      <c r="BM768" s="3"/>
      <c r="BN768" s="7"/>
      <c r="BO768" s="6"/>
      <c r="BP768" s="3"/>
      <c r="BQ768" s="6"/>
      <c r="BR768" s="6"/>
      <c r="BS768" s="3"/>
      <c r="BT768" s="3"/>
      <c r="BU768" s="6"/>
      <c r="BV768" s="3"/>
      <c r="BW768" s="3"/>
      <c r="BX768" s="6"/>
      <c r="BY768" s="3"/>
      <c r="BZ768" s="3"/>
      <c r="CA768" s="6"/>
      <c r="CB768" s="3"/>
      <c r="CC768" s="7"/>
      <c r="CD768" s="6"/>
      <c r="CE768" s="3"/>
      <c r="CF768" s="6"/>
      <c r="CG768" s="6"/>
      <c r="CH768" s="3"/>
      <c r="CI768" s="3"/>
      <c r="CJ768" s="6"/>
      <c r="CK768" s="3"/>
      <c r="CL768" s="3"/>
      <c r="CM768" s="6"/>
      <c r="CN768" s="3"/>
      <c r="CO768" s="3"/>
      <c r="CP768" s="6"/>
      <c r="CQ768" s="3"/>
      <c r="CR768" s="7"/>
      <c r="CS768" s="6"/>
      <c r="CT768" s="3"/>
      <c r="CU768" s="6"/>
      <c r="CV768" s="6"/>
      <c r="CW768" s="3"/>
      <c r="CX768" s="3"/>
      <c r="CY768" s="6"/>
      <c r="CZ768" s="3"/>
      <c r="DA768" s="3"/>
      <c r="DB768" s="6"/>
      <c r="DC768" s="3"/>
      <c r="DD768" s="3"/>
      <c r="DE768" s="6"/>
      <c r="DF768" s="3"/>
      <c r="DG768" s="7"/>
      <c r="DH768" s="6"/>
      <c r="DI768" s="3"/>
      <c r="DJ768" s="6"/>
      <c r="DK768" s="6"/>
      <c r="DL768" s="3"/>
      <c r="DM768" s="3"/>
      <c r="DN768" s="6"/>
      <c r="DO768" s="3"/>
      <c r="DP768" s="3"/>
      <c r="DQ768" s="6"/>
      <c r="DR768" s="3"/>
      <c r="DS768" s="3" t="str">
        <f>_xlfn.XLOOKUP(OfficeForms.Table[[#This Row],[Selecione a Categoria do Laboratório desta atividade prática:]],Planilha1!A:A,Planilha1!B:B)</f>
        <v>BFI</v>
      </c>
      <c r="DT768" s="6" t="str">
        <f>CONCATENATE(OfficeForms.Table[[#This Row],[Selecione seu Polo Laboratório de Atividades Presenciais:]],OfficeForms.Table[[#This Row],[CHAVE CONVERSÃO]])</f>
        <v>Feira De Santana/BA - CentroBFI</v>
      </c>
      <c r="DU76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Funcional e Cinesiologia da Marcha: Observação e Análise em Laboratório Prático</v>
      </c>
      <c r="DV76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76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768" s="6" t="str">
        <f>_xlfn.XLOOKUP(OfficeForms.Table[[#This Row],[CHAVE LINK POLO]],'[1]Quadro Geral de Lotação'!$B:$B,'[1]Quadro Geral de Lotação'!$I:$I)</f>
        <v>Clara Oliveira E Oliveira</v>
      </c>
      <c r="DY768" s="6" t="str">
        <f>OfficeForms.Table[[#This Row],[Selecione a Ordem de Disciplina]]</f>
        <v>Ordem 2</v>
      </c>
    </row>
    <row r="769" spans="1:129" ht="34.15" customHeight="1">
      <c r="A769" s="6">
        <v>769</v>
      </c>
      <c r="B769" s="2">
        <v>46128.631793981498</v>
      </c>
      <c r="C769" s="2">
        <v>46128.632789351803</v>
      </c>
      <c r="D769" s="3" t="s">
        <v>214</v>
      </c>
      <c r="E769" s="3" t="s">
        <v>215</v>
      </c>
      <c r="F769" s="6"/>
      <c r="G769" s="3"/>
      <c r="I769" s="3" t="s">
        <v>216</v>
      </c>
      <c r="J769" s="6"/>
      <c r="K769" s="3"/>
      <c r="L769" s="6" t="s">
        <v>1325</v>
      </c>
      <c r="M769" s="6"/>
      <c r="N769" s="6"/>
      <c r="O769" s="3" t="s">
        <v>133</v>
      </c>
      <c r="P769" s="6"/>
      <c r="Q769" s="3"/>
      <c r="R769" s="3"/>
      <c r="S769" s="6"/>
      <c r="T769" s="3"/>
      <c r="U769" s="7"/>
      <c r="V769" s="6"/>
      <c r="W769" s="3"/>
      <c r="X769" s="6"/>
      <c r="Y769" s="6"/>
      <c r="Z769" s="3"/>
      <c r="AA769" s="3"/>
      <c r="AB769" s="6"/>
      <c r="AC769" s="3"/>
      <c r="AD769" s="3"/>
      <c r="AE769" s="6"/>
      <c r="AF769" s="3"/>
      <c r="AG769" s="3"/>
      <c r="AH769" s="6"/>
      <c r="AI769" s="3"/>
      <c r="AJ769" s="1"/>
      <c r="AK769" s="6"/>
      <c r="AL769" s="3"/>
      <c r="AM769" s="6"/>
      <c r="AN769" s="6"/>
      <c r="AO769" s="3"/>
      <c r="AP769" s="3"/>
      <c r="AQ769" s="6"/>
      <c r="AR769" s="3"/>
      <c r="AS769" s="3"/>
      <c r="AT769" s="6"/>
      <c r="AU769" s="3"/>
      <c r="AV769" s="3" t="s">
        <v>2212</v>
      </c>
      <c r="AW769" s="6"/>
      <c r="AX769" s="3"/>
      <c r="AY769" s="7">
        <v>46127</v>
      </c>
      <c r="AZ769" s="6"/>
      <c r="BA769" s="3"/>
      <c r="BB769" s="6">
        <v>7</v>
      </c>
      <c r="BC769" s="6"/>
      <c r="BD769" s="3"/>
      <c r="BE769" s="3" t="s">
        <v>2213</v>
      </c>
      <c r="BF769" s="6"/>
      <c r="BG769" s="3"/>
      <c r="BH769" s="3" t="s">
        <v>2214</v>
      </c>
      <c r="BI769" s="6"/>
      <c r="BJ769" s="3"/>
      <c r="BK769" s="3"/>
      <c r="BL769" s="6"/>
      <c r="BM769" s="3"/>
      <c r="BN769" s="7"/>
      <c r="BO769" s="6"/>
      <c r="BP769" s="3"/>
      <c r="BQ769" s="6"/>
      <c r="BR769" s="6"/>
      <c r="BS769" s="3"/>
      <c r="BT769" s="3"/>
      <c r="BU769" s="6"/>
      <c r="BV769" s="3"/>
      <c r="BW769" s="3"/>
      <c r="BX769" s="6"/>
      <c r="BY769" s="3"/>
      <c r="BZ769" s="3"/>
      <c r="CA769" s="6"/>
      <c r="CB769" s="3"/>
      <c r="CC769" s="7"/>
      <c r="CD769" s="6"/>
      <c r="CE769" s="3"/>
      <c r="CF769" s="6"/>
      <c r="CG769" s="6"/>
      <c r="CH769" s="3"/>
      <c r="CI769" s="3"/>
      <c r="CJ769" s="6"/>
      <c r="CK769" s="3"/>
      <c r="CL769" s="3"/>
      <c r="CM769" s="6"/>
      <c r="CN769" s="3"/>
      <c r="CO769" s="3"/>
      <c r="CP769" s="6"/>
      <c r="CQ769" s="3"/>
      <c r="CR769" s="7"/>
      <c r="CS769" s="6"/>
      <c r="CT769" s="3"/>
      <c r="CU769" s="6"/>
      <c r="CV769" s="6"/>
      <c r="CW769" s="3"/>
      <c r="CX769" s="3"/>
      <c r="CY769" s="6"/>
      <c r="CZ769" s="3"/>
      <c r="DA769" s="3"/>
      <c r="DB769" s="6"/>
      <c r="DC769" s="3"/>
      <c r="DD769" s="3"/>
      <c r="DE769" s="6"/>
      <c r="DF769" s="3"/>
      <c r="DG769" s="7"/>
      <c r="DH769" s="6"/>
      <c r="DI769" s="3"/>
      <c r="DJ769" s="6"/>
      <c r="DK769" s="6"/>
      <c r="DL769" s="3"/>
      <c r="DM769" s="3"/>
      <c r="DN769" s="6"/>
      <c r="DO769" s="3"/>
      <c r="DP769" s="3"/>
      <c r="DQ769" s="6"/>
      <c r="DR769" s="3"/>
      <c r="DS769" s="3" t="str">
        <f>_xlfn.XLOOKUP(OfficeForms.Table[[#This Row],[Selecione a Categoria do Laboratório desta atividade prática:]],Planilha1!A:A,Planilha1!B:B)</f>
        <v>BFI</v>
      </c>
      <c r="DT769" s="6" t="str">
        <f>CONCATENATE(OfficeForms.Table[[#This Row],[Selecione seu Polo Laboratório de Atividades Presenciais:]],OfficeForms.Table[[#This Row],[CHAVE CONVERSÃO]])</f>
        <v>Feira De Santana/BA - CentroBFI</v>
      </c>
      <c r="DU76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Fundamentos e Aplicações Clínicas da Eletroterapia: Prática em Eletrotermofototerapia</v>
      </c>
      <c r="DV76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76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769" s="6" t="str">
        <f>_xlfn.XLOOKUP(OfficeForms.Table[[#This Row],[CHAVE LINK POLO]],'[1]Quadro Geral de Lotação'!$B:$B,'[1]Quadro Geral de Lotação'!$I:$I)</f>
        <v>Clara Oliveira E Oliveira</v>
      </c>
      <c r="DY769" s="6" t="str">
        <f>OfficeForms.Table[[#This Row],[Selecione a Ordem de Disciplina]]</f>
        <v>Ordem 3</v>
      </c>
    </row>
    <row r="770" spans="1:129" ht="34.15" customHeight="1">
      <c r="A770" s="6">
        <v>770</v>
      </c>
      <c r="B770" s="2">
        <v>46128.633877314802</v>
      </c>
      <c r="C770" s="2">
        <v>46128.641446759299</v>
      </c>
      <c r="D770" s="3" t="s">
        <v>214</v>
      </c>
      <c r="E770" s="3" t="s">
        <v>215</v>
      </c>
      <c r="F770" s="6"/>
      <c r="G770" s="3"/>
      <c r="I770" s="3" t="s">
        <v>216</v>
      </c>
      <c r="J770" s="6"/>
      <c r="K770" s="3"/>
      <c r="L770" s="6" t="s">
        <v>1325</v>
      </c>
      <c r="M770" s="6"/>
      <c r="N770" s="6"/>
      <c r="O770" s="3" t="s">
        <v>133</v>
      </c>
      <c r="P770" s="6"/>
      <c r="Q770" s="3"/>
      <c r="R770" s="3"/>
      <c r="S770" s="6"/>
      <c r="T770" s="3"/>
      <c r="U770" s="7"/>
      <c r="V770" s="6"/>
      <c r="W770" s="3"/>
      <c r="X770" s="6"/>
      <c r="Y770" s="6"/>
      <c r="Z770" s="3"/>
      <c r="AA770" s="3"/>
      <c r="AB770" s="6"/>
      <c r="AC770" s="3"/>
      <c r="AD770" s="3"/>
      <c r="AE770" s="6"/>
      <c r="AF770" s="3"/>
      <c r="AG770" s="3"/>
      <c r="AH770" s="6"/>
      <c r="AI770" s="3"/>
      <c r="AJ770" s="1"/>
      <c r="AK770" s="6"/>
      <c r="AL770" s="3"/>
      <c r="AM770" s="6"/>
      <c r="AN770" s="6"/>
      <c r="AO770" s="3"/>
      <c r="AP770" s="3"/>
      <c r="AQ770" s="6"/>
      <c r="AR770" s="3"/>
      <c r="AS770" s="3"/>
      <c r="AT770" s="6"/>
      <c r="AU770" s="3"/>
      <c r="AV770" s="3" t="s">
        <v>2215</v>
      </c>
      <c r="AW770" s="6"/>
      <c r="AX770" s="3"/>
      <c r="AY770" s="7">
        <v>46127</v>
      </c>
      <c r="AZ770" s="6"/>
      <c r="BA770" s="3"/>
      <c r="BB770" s="6">
        <v>7</v>
      </c>
      <c r="BC770" s="6"/>
      <c r="BD770" s="3"/>
      <c r="BE770" s="3" t="s">
        <v>2216</v>
      </c>
      <c r="BF770" s="6"/>
      <c r="BG770" s="3"/>
      <c r="BH770" s="3" t="s">
        <v>2217</v>
      </c>
      <c r="BI770" s="6"/>
      <c r="BJ770" s="3"/>
      <c r="BK770" s="3"/>
      <c r="BL770" s="6"/>
      <c r="BM770" s="3"/>
      <c r="BN770" s="7"/>
      <c r="BO770" s="6"/>
      <c r="BP770" s="3"/>
      <c r="BQ770" s="6"/>
      <c r="BR770" s="6"/>
      <c r="BS770" s="3"/>
      <c r="BT770" s="3"/>
      <c r="BU770" s="6"/>
      <c r="BV770" s="3"/>
      <c r="BW770" s="3"/>
      <c r="BX770" s="6"/>
      <c r="BY770" s="3"/>
      <c r="BZ770" s="3"/>
      <c r="CA770" s="6"/>
      <c r="CB770" s="3"/>
      <c r="CC770" s="7"/>
      <c r="CD770" s="6"/>
      <c r="CE770" s="3"/>
      <c r="CF770" s="6"/>
      <c r="CG770" s="6"/>
      <c r="CH770" s="3"/>
      <c r="CI770" s="3"/>
      <c r="CJ770" s="6"/>
      <c r="CK770" s="3"/>
      <c r="CL770" s="3"/>
      <c r="CM770" s="6"/>
      <c r="CN770" s="3"/>
      <c r="CO770" s="3"/>
      <c r="CP770" s="6"/>
      <c r="CQ770" s="3"/>
      <c r="CR770" s="7"/>
      <c r="CS770" s="6"/>
      <c r="CT770" s="3"/>
      <c r="CU770" s="6"/>
      <c r="CV770" s="6"/>
      <c r="CW770" s="3"/>
      <c r="CX770" s="3"/>
      <c r="CY770" s="6"/>
      <c r="CZ770" s="3"/>
      <c r="DA770" s="3"/>
      <c r="DB770" s="6"/>
      <c r="DC770" s="3"/>
      <c r="DD770" s="3"/>
      <c r="DE770" s="6"/>
      <c r="DF770" s="3"/>
      <c r="DG770" s="7"/>
      <c r="DH770" s="6"/>
      <c r="DI770" s="3"/>
      <c r="DJ770" s="6"/>
      <c r="DK770" s="6"/>
      <c r="DL770" s="3"/>
      <c r="DM770" s="3"/>
      <c r="DN770" s="6"/>
      <c r="DO770" s="3"/>
      <c r="DP770" s="3"/>
      <c r="DQ770" s="6"/>
      <c r="DR770" s="3"/>
      <c r="DS770" s="3" t="str">
        <f>_xlfn.XLOOKUP(OfficeForms.Table[[#This Row],[Selecione a Categoria do Laboratório desta atividade prática:]],Planilha1!A:A,Planilha1!B:B)</f>
        <v>BFI</v>
      </c>
      <c r="DT770" s="6" t="str">
        <f>CONCATENATE(OfficeForms.Table[[#This Row],[Selecione seu Polo Laboratório de Atividades Presenciais:]],OfficeForms.Table[[#This Row],[CHAVE CONVERSÃO]])</f>
        <v>Feira De Santana/BA - CentroBFI</v>
      </c>
      <c r="DU77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Laser e LED</v>
      </c>
      <c r="DV77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77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770" s="6" t="str">
        <f>_xlfn.XLOOKUP(OfficeForms.Table[[#This Row],[CHAVE LINK POLO]],'[1]Quadro Geral de Lotação'!$B:$B,'[1]Quadro Geral de Lotação'!$I:$I)</f>
        <v>Clara Oliveira E Oliveira</v>
      </c>
      <c r="DY770" s="6" t="str">
        <f>OfficeForms.Table[[#This Row],[Selecione a Ordem de Disciplina]]</f>
        <v>Ordem 3</v>
      </c>
    </row>
    <row r="771" spans="1:129" ht="34.15" customHeight="1">
      <c r="A771" s="6">
        <v>771</v>
      </c>
      <c r="B771" s="2">
        <v>46128.675034722197</v>
      </c>
      <c r="C771" s="2">
        <v>46128.682314814803</v>
      </c>
      <c r="D771" s="3" t="s">
        <v>429</v>
      </c>
      <c r="E771" s="3" t="s">
        <v>430</v>
      </c>
      <c r="F771" s="6"/>
      <c r="G771" s="3"/>
      <c r="I771" s="3" t="s">
        <v>431</v>
      </c>
      <c r="J771" s="6"/>
      <c r="K771" s="3"/>
      <c r="L771" s="6" t="s">
        <v>678</v>
      </c>
      <c r="M771" s="6"/>
      <c r="N771" s="6"/>
      <c r="O771" s="3" t="s">
        <v>184</v>
      </c>
      <c r="P771" s="6"/>
      <c r="Q771" s="3"/>
      <c r="R771" s="3"/>
      <c r="S771" s="6"/>
      <c r="T771" s="3"/>
      <c r="U771" s="7"/>
      <c r="V771" s="6"/>
      <c r="W771" s="3"/>
      <c r="X771" s="6"/>
      <c r="Y771" s="6"/>
      <c r="Z771" s="3"/>
      <c r="AA771" s="3"/>
      <c r="AB771" s="6"/>
      <c r="AC771" s="3"/>
      <c r="AD771" s="3"/>
      <c r="AE771" s="6"/>
      <c r="AF771" s="3"/>
      <c r="AG771" s="3" t="s">
        <v>1031</v>
      </c>
      <c r="AH771" s="6"/>
      <c r="AI771" s="3"/>
      <c r="AJ771" s="1">
        <v>46120</v>
      </c>
      <c r="AK771" s="6"/>
      <c r="AL771" s="3"/>
      <c r="AM771" s="6">
        <v>9</v>
      </c>
      <c r="AN771" s="6"/>
      <c r="AO771" s="3"/>
      <c r="AP771" s="3" t="s">
        <v>2218</v>
      </c>
      <c r="AQ771" s="6"/>
      <c r="AR771" s="3"/>
      <c r="AS771" s="3" t="s">
        <v>2219</v>
      </c>
      <c r="AT771" s="6"/>
      <c r="AU771" s="3"/>
      <c r="AV771" s="3"/>
      <c r="AW771" s="6"/>
      <c r="AX771" s="3"/>
      <c r="AY771" s="7"/>
      <c r="AZ771" s="6"/>
      <c r="BA771" s="3"/>
      <c r="BB771" s="6"/>
      <c r="BC771" s="6"/>
      <c r="BD771" s="3"/>
      <c r="BE771" s="3"/>
      <c r="BF771" s="6"/>
      <c r="BG771" s="3"/>
      <c r="BH771" s="3"/>
      <c r="BI771" s="6"/>
      <c r="BJ771" s="3"/>
      <c r="BK771" s="3"/>
      <c r="BL771" s="6"/>
      <c r="BM771" s="3"/>
      <c r="BN771" s="7"/>
      <c r="BO771" s="6"/>
      <c r="BP771" s="3"/>
      <c r="BQ771" s="6"/>
      <c r="BR771" s="6"/>
      <c r="BS771" s="3"/>
      <c r="BT771" s="3"/>
      <c r="BU771" s="6"/>
      <c r="BV771" s="3"/>
      <c r="BW771" s="3"/>
      <c r="BX771" s="6"/>
      <c r="BY771" s="3"/>
      <c r="BZ771" s="3"/>
      <c r="CA771" s="6"/>
      <c r="CB771" s="3"/>
      <c r="CC771" s="7"/>
      <c r="CD771" s="6"/>
      <c r="CE771" s="3"/>
      <c r="CF771" s="6"/>
      <c r="CG771" s="6"/>
      <c r="CH771" s="3"/>
      <c r="CI771" s="3"/>
      <c r="CJ771" s="6"/>
      <c r="CK771" s="3"/>
      <c r="CL771" s="3"/>
      <c r="CM771" s="6"/>
      <c r="CN771" s="3"/>
      <c r="CO771" s="3"/>
      <c r="CP771" s="6"/>
      <c r="CQ771" s="3"/>
      <c r="CR771" s="7"/>
      <c r="CS771" s="6"/>
      <c r="CT771" s="3"/>
      <c r="CU771" s="6"/>
      <c r="CV771" s="6"/>
      <c r="CW771" s="3"/>
      <c r="CX771" s="3"/>
      <c r="CY771" s="6"/>
      <c r="CZ771" s="3"/>
      <c r="DA771" s="3"/>
      <c r="DB771" s="6"/>
      <c r="DC771" s="3"/>
      <c r="DD771" s="3"/>
      <c r="DE771" s="6"/>
      <c r="DF771" s="3"/>
      <c r="DG771" s="7"/>
      <c r="DH771" s="6"/>
      <c r="DI771" s="3"/>
      <c r="DJ771" s="6"/>
      <c r="DK771" s="6"/>
      <c r="DL771" s="3"/>
      <c r="DM771" s="3"/>
      <c r="DN771" s="6"/>
      <c r="DO771" s="3"/>
      <c r="DP771" s="3"/>
      <c r="DQ771" s="6"/>
      <c r="DR771" s="3"/>
      <c r="DS771" s="3" t="str">
        <f>_xlfn.XLOOKUP(OfficeForms.Table[[#This Row],[Selecione a Categoria do Laboratório desta atividade prática:]],Planilha1!A:A,Planilha1!B:B)</f>
        <v>EMF-ISN</v>
      </c>
      <c r="DT771" s="6" t="str">
        <f>CONCATENATE(OfficeForms.Table[[#This Row],[Selecione seu Polo Laboratório de Atividades Presenciais:]],OfficeForms.Table[[#This Row],[CHAVE CONVERSÃO]])</f>
        <v>Assú/RNEMF-ISN</v>
      </c>
      <c r="DU77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77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77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771" s="6" t="str">
        <f>_xlfn.XLOOKUP(OfficeForms.Table[[#This Row],[CHAVE LINK POLO]],'[1]Quadro Geral de Lotação'!$B:$B,'[1]Quadro Geral de Lotação'!$I:$I)</f>
        <v>Romulo Freire Pinto</v>
      </c>
      <c r="DY771" s="6" t="str">
        <f>OfficeForms.Table[[#This Row],[Selecione a Ordem de Disciplina]]</f>
        <v>Ordem 2</v>
      </c>
    </row>
    <row r="772" spans="1:129" ht="34.15" customHeight="1">
      <c r="A772" s="6">
        <v>772</v>
      </c>
      <c r="B772" s="2">
        <v>46128.802048611098</v>
      </c>
      <c r="C772" s="2">
        <v>46128.839143518497</v>
      </c>
      <c r="D772" s="3" t="s">
        <v>2064</v>
      </c>
      <c r="E772" s="3" t="s">
        <v>2065</v>
      </c>
      <c r="F772" s="6"/>
      <c r="G772" s="3"/>
      <c r="I772" s="3" t="s">
        <v>199</v>
      </c>
      <c r="J772" s="6"/>
      <c r="K772" s="3"/>
      <c r="L772" s="6" t="s">
        <v>678</v>
      </c>
      <c r="M772" s="6"/>
      <c r="N772" s="6"/>
      <c r="O772" s="3" t="s">
        <v>133</v>
      </c>
      <c r="P772" s="6"/>
      <c r="Q772" s="3"/>
      <c r="R772" s="3"/>
      <c r="S772" s="6"/>
      <c r="T772" s="3"/>
      <c r="U772" s="7"/>
      <c r="V772" s="6"/>
      <c r="W772" s="3"/>
      <c r="X772" s="6"/>
      <c r="Y772" s="6"/>
      <c r="Z772" s="3"/>
      <c r="AA772" s="3"/>
      <c r="AB772" s="6"/>
      <c r="AC772" s="3"/>
      <c r="AD772" s="3"/>
      <c r="AE772" s="6"/>
      <c r="AF772" s="3"/>
      <c r="AG772" s="3"/>
      <c r="AH772" s="6"/>
      <c r="AI772" s="3"/>
      <c r="AJ772" s="1"/>
      <c r="AK772" s="6"/>
      <c r="AL772" s="3"/>
      <c r="AM772" s="6"/>
      <c r="AN772" s="6"/>
      <c r="AO772" s="3"/>
      <c r="AP772" s="3"/>
      <c r="AQ772" s="6"/>
      <c r="AR772" s="3"/>
      <c r="AS772" s="3"/>
      <c r="AT772" s="6"/>
      <c r="AU772" s="3"/>
      <c r="AV772" s="3" t="s">
        <v>1514</v>
      </c>
      <c r="AW772" s="6"/>
      <c r="AX772" s="3"/>
      <c r="AY772" s="7">
        <v>46112</v>
      </c>
      <c r="AZ772" s="6"/>
      <c r="BA772" s="3"/>
      <c r="BB772" s="6">
        <v>8</v>
      </c>
      <c r="BC772" s="6"/>
      <c r="BD772" s="3"/>
      <c r="BE772" s="3" t="s">
        <v>2220</v>
      </c>
      <c r="BF772" s="6"/>
      <c r="BG772" s="3"/>
      <c r="BH772" s="3" t="s">
        <v>2221</v>
      </c>
      <c r="BI772" s="6"/>
      <c r="BJ772" s="3"/>
      <c r="BK772" s="3"/>
      <c r="BL772" s="6"/>
      <c r="BM772" s="3"/>
      <c r="BN772" s="7"/>
      <c r="BO772" s="6"/>
      <c r="BP772" s="3"/>
      <c r="BQ772" s="6"/>
      <c r="BR772" s="6"/>
      <c r="BS772" s="3"/>
      <c r="BT772" s="3"/>
      <c r="BU772" s="6"/>
      <c r="BV772" s="3"/>
      <c r="BW772" s="3"/>
      <c r="BX772" s="6"/>
      <c r="BY772" s="3"/>
      <c r="BZ772" s="3"/>
      <c r="CA772" s="6"/>
      <c r="CB772" s="3"/>
      <c r="CC772" s="7"/>
      <c r="CD772" s="6"/>
      <c r="CE772" s="3"/>
      <c r="CF772" s="6"/>
      <c r="CG772" s="6"/>
      <c r="CH772" s="3"/>
      <c r="CI772" s="3"/>
      <c r="CJ772" s="6"/>
      <c r="CK772" s="3"/>
      <c r="CL772" s="3"/>
      <c r="CM772" s="6"/>
      <c r="CN772" s="3"/>
      <c r="CO772" s="3"/>
      <c r="CP772" s="6"/>
      <c r="CQ772" s="3"/>
      <c r="CR772" s="7"/>
      <c r="CS772" s="6"/>
      <c r="CT772" s="3"/>
      <c r="CU772" s="6"/>
      <c r="CV772" s="6"/>
      <c r="CW772" s="3"/>
      <c r="CX772" s="3"/>
      <c r="CY772" s="6"/>
      <c r="CZ772" s="3"/>
      <c r="DA772" s="3"/>
      <c r="DB772" s="6"/>
      <c r="DC772" s="3"/>
      <c r="DD772" s="3"/>
      <c r="DE772" s="6"/>
      <c r="DF772" s="3"/>
      <c r="DG772" s="7"/>
      <c r="DH772" s="6"/>
      <c r="DI772" s="3"/>
      <c r="DJ772" s="6"/>
      <c r="DK772" s="6"/>
      <c r="DL772" s="3"/>
      <c r="DM772" s="3"/>
      <c r="DN772" s="6"/>
      <c r="DO772" s="3"/>
      <c r="DP772" s="3"/>
      <c r="DQ772" s="6"/>
      <c r="DR772" s="3"/>
      <c r="DS772" s="3" t="str">
        <f>_xlfn.XLOOKUP(OfficeForms.Table[[#This Row],[Selecione a Categoria do Laboratório desta atividade prática:]],Planilha1!A:A,Planilha1!B:B)</f>
        <v>BFI</v>
      </c>
      <c r="DT772" s="6" t="str">
        <f>CONCATENATE(OfficeForms.Table[[#This Row],[Selecione seu Polo Laboratório de Atividades Presenciais:]],OfficeForms.Table[[#This Row],[CHAVE CONVERSÃO]])</f>
        <v>Alagoinhas/BABFI</v>
      </c>
      <c r="DU77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Movimento Articular e Goniometria: Avaliação Quantitativa na Prática Fisioterapêutica</v>
      </c>
      <c r="DV77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77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772" s="6" t="str">
        <f>_xlfn.XLOOKUP(OfficeForms.Table[[#This Row],[CHAVE LINK POLO]],'[1]Quadro Geral de Lotação'!$B:$B,'[1]Quadro Geral de Lotação'!$I:$I)</f>
        <v>Priscila Maria Bittencourt Alves</v>
      </c>
      <c r="DY772" s="6" t="str">
        <f>OfficeForms.Table[[#This Row],[Selecione a Ordem de Disciplina]]</f>
        <v>Ordem 2</v>
      </c>
    </row>
    <row r="773" spans="1:129" ht="34.15" customHeight="1">
      <c r="A773" s="6">
        <v>773</v>
      </c>
      <c r="B773" s="2">
        <v>46128.842858796299</v>
      </c>
      <c r="C773" s="2">
        <v>46128.867488425902</v>
      </c>
      <c r="D773" s="3" t="s">
        <v>2064</v>
      </c>
      <c r="E773" s="3" t="s">
        <v>2065</v>
      </c>
      <c r="F773" s="6"/>
      <c r="G773" s="3"/>
      <c r="I773" s="3" t="s">
        <v>199</v>
      </c>
      <c r="J773" s="6"/>
      <c r="K773" s="3"/>
      <c r="L773" s="6" t="s">
        <v>678</v>
      </c>
      <c r="M773" s="6"/>
      <c r="N773" s="6"/>
      <c r="O773" s="3" t="s">
        <v>133</v>
      </c>
      <c r="P773" s="6"/>
      <c r="Q773" s="3"/>
      <c r="R773" s="3"/>
      <c r="S773" s="6"/>
      <c r="T773" s="3"/>
      <c r="U773" s="7"/>
      <c r="V773" s="6"/>
      <c r="W773" s="3"/>
      <c r="X773" s="6"/>
      <c r="Y773" s="6"/>
      <c r="Z773" s="3"/>
      <c r="AA773" s="3"/>
      <c r="AB773" s="6"/>
      <c r="AC773" s="3"/>
      <c r="AD773" s="3"/>
      <c r="AE773" s="6"/>
      <c r="AF773" s="3"/>
      <c r="AG773" s="3"/>
      <c r="AH773" s="6"/>
      <c r="AI773" s="3"/>
      <c r="AJ773" s="1"/>
      <c r="AK773" s="6"/>
      <c r="AL773" s="3"/>
      <c r="AM773" s="6"/>
      <c r="AN773" s="6"/>
      <c r="AO773" s="3"/>
      <c r="AP773" s="3"/>
      <c r="AQ773" s="6"/>
      <c r="AR773" s="3"/>
      <c r="AS773" s="3"/>
      <c r="AT773" s="6"/>
      <c r="AU773" s="3"/>
      <c r="AV773" s="3" t="s">
        <v>1439</v>
      </c>
      <c r="AW773" s="6"/>
      <c r="AX773" s="3"/>
      <c r="AY773" s="7">
        <v>46105</v>
      </c>
      <c r="AZ773" s="6"/>
      <c r="BA773" s="3"/>
      <c r="BB773" s="6">
        <v>4</v>
      </c>
      <c r="BC773" s="6"/>
      <c r="BD773" s="3"/>
      <c r="BE773" s="3" t="s">
        <v>2222</v>
      </c>
      <c r="BF773" s="6"/>
      <c r="BG773" s="3"/>
      <c r="BH773" s="3" t="s">
        <v>2223</v>
      </c>
      <c r="BI773" s="6"/>
      <c r="BJ773" s="3"/>
      <c r="BK773" s="3"/>
      <c r="BL773" s="6"/>
      <c r="BM773" s="3"/>
      <c r="BN773" s="7"/>
      <c r="BO773" s="6"/>
      <c r="BP773" s="3"/>
      <c r="BQ773" s="6"/>
      <c r="BR773" s="6"/>
      <c r="BS773" s="3"/>
      <c r="BT773" s="3"/>
      <c r="BU773" s="6"/>
      <c r="BV773" s="3"/>
      <c r="BW773" s="3"/>
      <c r="BX773" s="6"/>
      <c r="BY773" s="3"/>
      <c r="BZ773" s="3"/>
      <c r="CA773" s="6"/>
      <c r="CB773" s="3"/>
      <c r="CC773" s="7"/>
      <c r="CD773" s="6"/>
      <c r="CE773" s="3"/>
      <c r="CF773" s="6"/>
      <c r="CG773" s="6"/>
      <c r="CH773" s="3"/>
      <c r="CI773" s="3"/>
      <c r="CJ773" s="6"/>
      <c r="CK773" s="3"/>
      <c r="CL773" s="3"/>
      <c r="CM773" s="6"/>
      <c r="CN773" s="3"/>
      <c r="CO773" s="3"/>
      <c r="CP773" s="6"/>
      <c r="CQ773" s="3"/>
      <c r="CR773" s="7"/>
      <c r="CS773" s="6"/>
      <c r="CT773" s="3"/>
      <c r="CU773" s="6"/>
      <c r="CV773" s="6"/>
      <c r="CW773" s="3"/>
      <c r="CX773" s="3"/>
      <c r="CY773" s="6"/>
      <c r="CZ773" s="3"/>
      <c r="DA773" s="3"/>
      <c r="DB773" s="6"/>
      <c r="DC773" s="3"/>
      <c r="DD773" s="3"/>
      <c r="DE773" s="6"/>
      <c r="DF773" s="3"/>
      <c r="DG773" s="7"/>
      <c r="DH773" s="6"/>
      <c r="DI773" s="3"/>
      <c r="DJ773" s="6"/>
      <c r="DK773" s="6"/>
      <c r="DL773" s="3"/>
      <c r="DM773" s="3"/>
      <c r="DN773" s="6"/>
      <c r="DO773" s="3"/>
      <c r="DP773" s="3"/>
      <c r="DQ773" s="6"/>
      <c r="DR773" s="3"/>
      <c r="DS773" s="3" t="str">
        <f>_xlfn.XLOOKUP(OfficeForms.Table[[#This Row],[Selecione a Categoria do Laboratório desta atividade prática:]],Planilha1!A:A,Planilha1!B:B)</f>
        <v>BFI</v>
      </c>
      <c r="DT773" s="6" t="str">
        <f>CONCATENATE(OfficeForms.Table[[#This Row],[Selecione seu Polo Laboratório de Atividades Presenciais:]],OfficeForms.Table[[#This Row],[CHAVE CONVERSÃO]])</f>
        <v>Alagoinhas/BABFI</v>
      </c>
      <c r="DU77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Semiológica Cardiorrespiratória: Métodos de Inspeção, Palpação e Ausculta no Diagnóstico Cardiovascular</v>
      </c>
      <c r="DV77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77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773" s="6" t="str">
        <f>_xlfn.XLOOKUP(OfficeForms.Table[[#This Row],[CHAVE LINK POLO]],'[1]Quadro Geral de Lotação'!$B:$B,'[1]Quadro Geral de Lotação'!$I:$I)</f>
        <v>Priscila Maria Bittencourt Alves</v>
      </c>
      <c r="DY773" s="6" t="str">
        <f>OfficeForms.Table[[#This Row],[Selecione a Ordem de Disciplina]]</f>
        <v>Ordem 2</v>
      </c>
    </row>
    <row r="774" spans="1:129" ht="34.15" customHeight="1">
      <c r="A774" s="6">
        <v>774</v>
      </c>
      <c r="B774" s="2">
        <v>46128.864687499998</v>
      </c>
      <c r="C774" s="2">
        <v>46128.869629629597</v>
      </c>
      <c r="D774" s="3" t="s">
        <v>1127</v>
      </c>
      <c r="E774" s="3" t="s">
        <v>1128</v>
      </c>
      <c r="F774" s="6"/>
      <c r="G774" s="3"/>
      <c r="I774" s="3" t="s">
        <v>1129</v>
      </c>
      <c r="J774" s="6"/>
      <c r="K774" s="3"/>
      <c r="L774" s="6" t="s">
        <v>1325</v>
      </c>
      <c r="M774" s="6"/>
      <c r="N774" s="6"/>
      <c r="O774" s="3" t="s">
        <v>497</v>
      </c>
      <c r="P774" s="6"/>
      <c r="Q774" s="3"/>
      <c r="R774" s="3" t="s">
        <v>2224</v>
      </c>
      <c r="S774" s="6"/>
      <c r="T774" s="3"/>
      <c r="U774" s="7">
        <v>46127</v>
      </c>
      <c r="V774" s="6"/>
      <c r="W774" s="3"/>
      <c r="X774" s="6">
        <v>3</v>
      </c>
      <c r="Y774" s="6"/>
      <c r="Z774" s="3"/>
      <c r="AA774" s="3" t="s">
        <v>2225</v>
      </c>
      <c r="AB774" s="6"/>
      <c r="AC774" s="3"/>
      <c r="AD774" s="3" t="s">
        <v>2226</v>
      </c>
      <c r="AE774" s="6"/>
      <c r="AF774" s="3"/>
      <c r="AG774" s="3"/>
      <c r="AH774" s="6"/>
      <c r="AI774" s="3"/>
      <c r="AJ774" s="1"/>
      <c r="AK774" s="6"/>
      <c r="AL774" s="3"/>
      <c r="AM774" s="6"/>
      <c r="AN774" s="6"/>
      <c r="AO774" s="3"/>
      <c r="AP774" s="3"/>
      <c r="AQ774" s="6"/>
      <c r="AR774" s="3"/>
      <c r="AS774" s="3"/>
      <c r="AT774" s="6"/>
      <c r="AU774" s="3"/>
      <c r="AV774" s="3"/>
      <c r="AW774" s="6"/>
      <c r="AX774" s="3"/>
      <c r="AY774" s="7"/>
      <c r="AZ774" s="6"/>
      <c r="BA774" s="3"/>
      <c r="BB774" s="6"/>
      <c r="BC774" s="6"/>
      <c r="BD774" s="3"/>
      <c r="BE774" s="3"/>
      <c r="BF774" s="6"/>
      <c r="BG774" s="3"/>
      <c r="BH774" s="3"/>
      <c r="BI774" s="6"/>
      <c r="BJ774" s="3"/>
      <c r="BK774" s="3"/>
      <c r="BL774" s="6"/>
      <c r="BM774" s="3"/>
      <c r="BN774" s="7"/>
      <c r="BO774" s="6"/>
      <c r="BP774" s="3"/>
      <c r="BQ774" s="6"/>
      <c r="BR774" s="6"/>
      <c r="BS774" s="3"/>
      <c r="BT774" s="3"/>
      <c r="BU774" s="6"/>
      <c r="BV774" s="3"/>
      <c r="BW774" s="3"/>
      <c r="BX774" s="6"/>
      <c r="BY774" s="3"/>
      <c r="BZ774" s="3"/>
      <c r="CA774" s="6"/>
      <c r="CB774" s="3"/>
      <c r="CC774" s="7"/>
      <c r="CD774" s="6"/>
      <c r="CE774" s="3"/>
      <c r="CF774" s="6"/>
      <c r="CG774" s="6"/>
      <c r="CH774" s="3"/>
      <c r="CI774" s="3"/>
      <c r="CJ774" s="6"/>
      <c r="CK774" s="3"/>
      <c r="CL774" s="3"/>
      <c r="CM774" s="6"/>
      <c r="CN774" s="3"/>
      <c r="CO774" s="3"/>
      <c r="CP774" s="6"/>
      <c r="CQ774" s="3"/>
      <c r="CR774" s="7"/>
      <c r="CS774" s="6"/>
      <c r="CT774" s="3"/>
      <c r="CU774" s="6"/>
      <c r="CV774" s="6"/>
      <c r="CW774" s="3"/>
      <c r="CX774" s="3"/>
      <c r="CY774" s="6"/>
      <c r="CZ774" s="3"/>
      <c r="DA774" s="3"/>
      <c r="DB774" s="6"/>
      <c r="DC774" s="3"/>
      <c r="DD774" s="3"/>
      <c r="DE774" s="6"/>
      <c r="DF774" s="3"/>
      <c r="DG774" s="7"/>
      <c r="DH774" s="6"/>
      <c r="DI774" s="3"/>
      <c r="DJ774" s="6"/>
      <c r="DK774" s="6"/>
      <c r="DL774" s="3"/>
      <c r="DM774" s="3"/>
      <c r="DN774" s="6"/>
      <c r="DO774" s="3"/>
      <c r="DP774" s="3"/>
      <c r="DQ774" s="6"/>
      <c r="DR774" s="3"/>
      <c r="DS774" s="3" t="str">
        <f>_xlfn.XLOOKUP(OfficeForms.Table[[#This Row],[Selecione a Categoria do Laboratório desta atividade prática:]],Planilha1!A:A,Planilha1!B:B)</f>
        <v>BFR-BBI</v>
      </c>
      <c r="DT774" s="6" t="str">
        <f>CONCATENATE(OfficeForms.Table[[#This Row],[Selecione seu Polo Laboratório de Atividades Presenciais:]],OfficeForms.Table[[#This Row],[CHAVE CONVERSÃO]])</f>
        <v>Campina Grande/PBBFR-BBI</v>
      </c>
      <c r="DU77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à fresco (exame direto) de fungos dermatófitos e leveduras;Preparo de meio de cultura I</v>
      </c>
      <c r="DV77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77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74" s="6" t="e">
        <f>_xlfn.XLOOKUP(OfficeForms.Table[[#This Row],[CHAVE LINK POLO]],'[1]Quadro Geral de Lotação'!$B:$B,'[1]Quadro Geral de Lotação'!$I:$I)</f>
        <v>#N/A</v>
      </c>
      <c r="DY774" s="6" t="str">
        <f>OfficeForms.Table[[#This Row],[Selecione a Ordem de Disciplina]]</f>
        <v>Ordem 3</v>
      </c>
    </row>
    <row r="775" spans="1:129" ht="34.15" customHeight="1">
      <c r="A775" s="6">
        <v>775</v>
      </c>
      <c r="B775" s="2">
        <v>46128.775902777801</v>
      </c>
      <c r="C775" s="2">
        <v>46128.873124999998</v>
      </c>
      <c r="D775" s="3" t="s">
        <v>367</v>
      </c>
      <c r="E775" s="3" t="s">
        <v>368</v>
      </c>
      <c r="F775" s="6"/>
      <c r="G775" s="3"/>
      <c r="I775" s="3" t="s">
        <v>369</v>
      </c>
      <c r="J775" s="6"/>
      <c r="K775" s="3"/>
      <c r="L775" s="6" t="s">
        <v>1325</v>
      </c>
      <c r="M775" s="6"/>
      <c r="N775" s="6"/>
      <c r="O775" s="3" t="s">
        <v>184</v>
      </c>
      <c r="P775" s="6"/>
      <c r="Q775" s="3"/>
      <c r="R775" s="3"/>
      <c r="S775" s="6"/>
      <c r="T775" s="3"/>
      <c r="U775" s="7"/>
      <c r="V775" s="6"/>
      <c r="W775" s="3"/>
      <c r="X775" s="6"/>
      <c r="Y775" s="6"/>
      <c r="Z775" s="3"/>
      <c r="AA775" s="3"/>
      <c r="AB775" s="6"/>
      <c r="AC775" s="3"/>
      <c r="AD775" s="3"/>
      <c r="AE775" s="6"/>
      <c r="AF775" s="3"/>
      <c r="AG775" s="3" t="s">
        <v>2117</v>
      </c>
      <c r="AH775" s="6"/>
      <c r="AI775" s="3"/>
      <c r="AJ775" s="1">
        <v>46128</v>
      </c>
      <c r="AK775" s="6"/>
      <c r="AL775" s="3"/>
      <c r="AM775" s="6">
        <v>3</v>
      </c>
      <c r="AN775" s="6"/>
      <c r="AO775" s="3"/>
      <c r="AP775" s="3" t="s">
        <v>2227</v>
      </c>
      <c r="AQ775" s="6"/>
      <c r="AR775" s="3"/>
      <c r="AS775" s="3" t="s">
        <v>2228</v>
      </c>
      <c r="AT775" s="6"/>
      <c r="AU775" s="3"/>
      <c r="AV775" s="3"/>
      <c r="AW775" s="6"/>
      <c r="AX775" s="3"/>
      <c r="AY775" s="7"/>
      <c r="AZ775" s="6"/>
      <c r="BA775" s="3"/>
      <c r="BB775" s="6"/>
      <c r="BC775" s="6"/>
      <c r="BD775" s="3"/>
      <c r="BE775" s="3"/>
      <c r="BF775" s="6"/>
      <c r="BG775" s="3"/>
      <c r="BH775" s="3"/>
      <c r="BI775" s="6"/>
      <c r="BJ775" s="3"/>
      <c r="BK775" s="3"/>
      <c r="BL775" s="6"/>
      <c r="BM775" s="3"/>
      <c r="BN775" s="7"/>
      <c r="BO775" s="6"/>
      <c r="BP775" s="3"/>
      <c r="BQ775" s="6"/>
      <c r="BR775" s="6"/>
      <c r="BS775" s="3"/>
      <c r="BT775" s="3"/>
      <c r="BU775" s="6"/>
      <c r="BV775" s="3"/>
      <c r="BW775" s="3"/>
      <c r="BX775" s="6"/>
      <c r="BY775" s="3"/>
      <c r="BZ775" s="3"/>
      <c r="CA775" s="6"/>
      <c r="CB775" s="3"/>
      <c r="CC775" s="7"/>
      <c r="CD775" s="6"/>
      <c r="CE775" s="3"/>
      <c r="CF775" s="6"/>
      <c r="CG775" s="6"/>
      <c r="CH775" s="3"/>
      <c r="CI775" s="3"/>
      <c r="CJ775" s="6"/>
      <c r="CK775" s="3"/>
      <c r="CL775" s="3"/>
      <c r="CM775" s="6"/>
      <c r="CN775" s="3"/>
      <c r="CO775" s="3"/>
      <c r="CP775" s="6"/>
      <c r="CQ775" s="3"/>
      <c r="CR775" s="7"/>
      <c r="CS775" s="6"/>
      <c r="CT775" s="3"/>
      <c r="CU775" s="6"/>
      <c r="CV775" s="6"/>
      <c r="CW775" s="3"/>
      <c r="CX775" s="3"/>
      <c r="CY775" s="6"/>
      <c r="CZ775" s="3"/>
      <c r="DA775" s="3"/>
      <c r="DB775" s="6"/>
      <c r="DC775" s="3"/>
      <c r="DD775" s="3"/>
      <c r="DE775" s="6"/>
      <c r="DF775" s="3"/>
      <c r="DG775" s="7"/>
      <c r="DH775" s="6"/>
      <c r="DI775" s="3"/>
      <c r="DJ775" s="6"/>
      <c r="DK775" s="6"/>
      <c r="DL775" s="3"/>
      <c r="DM775" s="3"/>
      <c r="DN775" s="6"/>
      <c r="DO775" s="3"/>
      <c r="DP775" s="3"/>
      <c r="DQ775" s="6"/>
      <c r="DR775" s="3"/>
      <c r="DS775" s="3" t="str">
        <f>_xlfn.XLOOKUP(OfficeForms.Table[[#This Row],[Selecione a Categoria do Laboratório desta atividade prática:]],Planilha1!A:A,Planilha1!B:B)</f>
        <v>EMF-ISN</v>
      </c>
      <c r="DT775" s="6" t="str">
        <f>CONCATENATE(OfficeForms.Table[[#This Row],[Selecione seu Polo Laboratório de Atividades Presenciais:]],OfficeForms.Table[[#This Row],[CHAVE CONVERSÃO]])</f>
        <v>Niterói/RJ - IngáEMF-ISN</v>
      </c>
      <c r="DU77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gravídico-puerperal;Saúde da mulher reprodutiva + Realização do exame de Papanicolau</v>
      </c>
      <c r="DV77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77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75" s="6" t="str">
        <f>_xlfn.XLOOKUP(OfficeForms.Table[[#This Row],[CHAVE LINK POLO]],'[1]Quadro Geral de Lotação'!$B:$B,'[1]Quadro Geral de Lotação'!$I:$I)</f>
        <v>Conceicao Ignacio da Silva Delphino</v>
      </c>
      <c r="DY775" s="6" t="str">
        <f>OfficeForms.Table[[#This Row],[Selecione a Ordem de Disciplina]]</f>
        <v>Ordem 3</v>
      </c>
    </row>
    <row r="776" spans="1:129" ht="34.15" customHeight="1">
      <c r="A776" s="6">
        <v>776</v>
      </c>
      <c r="B776" s="2">
        <v>46128.878738425898</v>
      </c>
      <c r="C776" s="2">
        <v>46128.881342592598</v>
      </c>
      <c r="D776" s="3" t="s">
        <v>2229</v>
      </c>
      <c r="E776" s="3" t="s">
        <v>2230</v>
      </c>
      <c r="F776" s="6"/>
      <c r="G776" s="3"/>
      <c r="I776" s="3" t="s">
        <v>2231</v>
      </c>
      <c r="J776" s="6"/>
      <c r="K776" s="3"/>
      <c r="L776" s="6" t="s">
        <v>678</v>
      </c>
      <c r="M776" s="6"/>
      <c r="N776" s="6"/>
      <c r="O776" s="3" t="s">
        <v>177</v>
      </c>
      <c r="P776" s="6"/>
      <c r="Q776" s="3"/>
      <c r="R776" s="3"/>
      <c r="S776" s="6"/>
      <c r="T776" s="3"/>
      <c r="U776" s="7"/>
      <c r="V776" s="6"/>
      <c r="W776" s="3"/>
      <c r="X776" s="6"/>
      <c r="Y776" s="6"/>
      <c r="Z776" s="3"/>
      <c r="AA776" s="3"/>
      <c r="AB776" s="6"/>
      <c r="AC776" s="3"/>
      <c r="AD776" s="3"/>
      <c r="AE776" s="6"/>
      <c r="AF776" s="3"/>
      <c r="AG776" s="3"/>
      <c r="AH776" s="6"/>
      <c r="AI776" s="3"/>
      <c r="AJ776" s="1"/>
      <c r="AK776" s="6"/>
      <c r="AL776" s="3"/>
      <c r="AM776" s="6"/>
      <c r="AN776" s="6"/>
      <c r="AO776" s="3"/>
      <c r="AP776" s="3"/>
      <c r="AQ776" s="6"/>
      <c r="AR776" s="3"/>
      <c r="AS776" s="3"/>
      <c r="AT776" s="6"/>
      <c r="AU776" s="3"/>
      <c r="AV776" s="3"/>
      <c r="AW776" s="6"/>
      <c r="AX776" s="3"/>
      <c r="AY776" s="7"/>
      <c r="AZ776" s="6"/>
      <c r="BA776" s="3"/>
      <c r="BB776" s="6"/>
      <c r="BC776" s="6"/>
      <c r="BD776" s="3"/>
      <c r="BE776" s="3"/>
      <c r="BF776" s="6"/>
      <c r="BG776" s="3"/>
      <c r="BH776" s="3"/>
      <c r="BI776" s="6"/>
      <c r="BJ776" s="3"/>
      <c r="BK776" s="3"/>
      <c r="BL776" s="6"/>
      <c r="BM776" s="3"/>
      <c r="BN776" s="7"/>
      <c r="BO776" s="6"/>
      <c r="BP776" s="3"/>
      <c r="BQ776" s="6"/>
      <c r="BR776" s="6"/>
      <c r="BS776" s="3"/>
      <c r="BT776" s="3"/>
      <c r="BU776" s="6"/>
      <c r="BV776" s="3"/>
      <c r="BW776" s="3"/>
      <c r="BX776" s="6"/>
      <c r="BY776" s="3"/>
      <c r="BZ776" s="3"/>
      <c r="CA776" s="6"/>
      <c r="CB776" s="3"/>
      <c r="CC776" s="7"/>
      <c r="CD776" s="6"/>
      <c r="CE776" s="3"/>
      <c r="CF776" s="6"/>
      <c r="CG776" s="6"/>
      <c r="CH776" s="3"/>
      <c r="CI776" s="3"/>
      <c r="CJ776" s="6"/>
      <c r="CK776" s="3"/>
      <c r="CL776" s="3"/>
      <c r="CM776" s="6"/>
      <c r="CN776" s="3"/>
      <c r="CO776" s="3"/>
      <c r="CP776" s="6"/>
      <c r="CQ776" s="3"/>
      <c r="CR776" s="7"/>
      <c r="CS776" s="6"/>
      <c r="CT776" s="3"/>
      <c r="CU776" s="6"/>
      <c r="CV776" s="6"/>
      <c r="CW776" s="3"/>
      <c r="CX776" s="3"/>
      <c r="CY776" s="6"/>
      <c r="CZ776" s="3"/>
      <c r="DA776" s="3"/>
      <c r="DB776" s="6"/>
      <c r="DC776" s="3"/>
      <c r="DD776" s="3" t="s">
        <v>178</v>
      </c>
      <c r="DE776" s="6"/>
      <c r="DF776" s="3"/>
      <c r="DG776" s="7">
        <v>46098</v>
      </c>
      <c r="DH776" s="6"/>
      <c r="DI776" s="3"/>
      <c r="DJ776" s="6">
        <v>19</v>
      </c>
      <c r="DK776" s="6"/>
      <c r="DL776" s="3"/>
      <c r="DM776" s="3" t="s">
        <v>2232</v>
      </c>
      <c r="DN776" s="6"/>
      <c r="DO776" s="3"/>
      <c r="DP776" s="3" t="s">
        <v>2233</v>
      </c>
      <c r="DQ776" s="6"/>
      <c r="DR776" s="3"/>
      <c r="DS776" s="3" t="str">
        <f>_xlfn.XLOOKUP(OfficeForms.Table[[#This Row],[Selecione a Categoria do Laboratório desta atividade prática:]],Planilha1!A:A,Planilha1!B:B)</f>
        <v>AGM</v>
      </c>
      <c r="DT776" s="6" t="str">
        <f>CONCATENATE(OfficeForms.Table[[#This Row],[Selecione seu Polo Laboratório de Atividades Presenciais:]],OfficeForms.Table[[#This Row],[CHAVE CONVERSÃO]])</f>
        <v>Arapiraca/ALAGM</v>
      </c>
      <c r="DU77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Técnicas de propagação de plantas</v>
      </c>
      <c r="DV77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77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19</v>
      </c>
      <c r="DX776" s="6" t="str">
        <f>_xlfn.XLOOKUP(OfficeForms.Table[[#This Row],[CHAVE LINK POLO]],'[1]Quadro Geral de Lotação'!$B:$B,'[1]Quadro Geral de Lotação'!$I:$I)</f>
        <v>Emerson Dos Santos Ferreira Farias</v>
      </c>
      <c r="DY776" s="6" t="str">
        <f>OfficeForms.Table[[#This Row],[Selecione a Ordem de Disciplina]]</f>
        <v>Ordem 2</v>
      </c>
    </row>
    <row r="777" spans="1:129" ht="34.15" customHeight="1">
      <c r="A777" s="6">
        <v>777</v>
      </c>
      <c r="B777" s="2">
        <v>46128.879976851902</v>
      </c>
      <c r="C777" s="2">
        <v>46128.882870370398</v>
      </c>
      <c r="D777" s="3" t="s">
        <v>1571</v>
      </c>
      <c r="E777" s="3" t="s">
        <v>1572</v>
      </c>
      <c r="F777" s="6"/>
      <c r="G777" s="3"/>
      <c r="I777" s="3" t="s">
        <v>1573</v>
      </c>
      <c r="J777" s="6"/>
      <c r="K777" s="3"/>
      <c r="L777" s="6" t="s">
        <v>1325</v>
      </c>
      <c r="M777" s="6"/>
      <c r="N777" s="6"/>
      <c r="O777" s="3" t="s">
        <v>1482</v>
      </c>
      <c r="P777" s="6"/>
      <c r="Q777" s="3"/>
      <c r="R777" s="3"/>
      <c r="S777" s="6"/>
      <c r="T777" s="3"/>
      <c r="U777" s="7"/>
      <c r="V777" s="6"/>
      <c r="W777" s="3"/>
      <c r="X777" s="6"/>
      <c r="Y777" s="6"/>
      <c r="Z777" s="3"/>
      <c r="AA777" s="3"/>
      <c r="AB777" s="6"/>
      <c r="AC777" s="3"/>
      <c r="AD777" s="3"/>
      <c r="AE777" s="6"/>
      <c r="AF777" s="3"/>
      <c r="AG777" s="3"/>
      <c r="AH777" s="6"/>
      <c r="AI777" s="3"/>
      <c r="AJ777" s="1"/>
      <c r="AK777" s="6"/>
      <c r="AL777" s="3"/>
      <c r="AM777" s="6"/>
      <c r="AN777" s="6"/>
      <c r="AO777" s="3"/>
      <c r="AP777" s="3"/>
      <c r="AQ777" s="6"/>
      <c r="AR777" s="3"/>
      <c r="AS777" s="3"/>
      <c r="AT777" s="6"/>
      <c r="AU777" s="3"/>
      <c r="AV777" s="3"/>
      <c r="AW777" s="6"/>
      <c r="AX777" s="3"/>
      <c r="AY777" s="7"/>
      <c r="AZ777" s="6"/>
      <c r="BA777" s="3"/>
      <c r="BB777" s="6"/>
      <c r="BC777" s="6"/>
      <c r="BD777" s="3"/>
      <c r="BE777" s="3"/>
      <c r="BF777" s="6"/>
      <c r="BG777" s="3"/>
      <c r="BH777" s="3"/>
      <c r="BI777" s="6"/>
      <c r="BJ777" s="3"/>
      <c r="BK777" s="3"/>
      <c r="BL777" s="6"/>
      <c r="BM777" s="3"/>
      <c r="BN777" s="7"/>
      <c r="BO777" s="6"/>
      <c r="BP777" s="3"/>
      <c r="BQ777" s="6"/>
      <c r="BR777" s="6"/>
      <c r="BS777" s="3"/>
      <c r="BT777" s="3"/>
      <c r="BU777" s="6"/>
      <c r="BV777" s="3"/>
      <c r="BW777" s="3"/>
      <c r="BX777" s="6"/>
      <c r="BY777" s="3"/>
      <c r="BZ777" s="3"/>
      <c r="CA777" s="6"/>
      <c r="CB777" s="3"/>
      <c r="CC777" s="7"/>
      <c r="CD777" s="6"/>
      <c r="CE777" s="3"/>
      <c r="CF777" s="6"/>
      <c r="CG777" s="6"/>
      <c r="CH777" s="3"/>
      <c r="CI777" s="3"/>
      <c r="CJ777" s="6"/>
      <c r="CK777" s="3"/>
      <c r="CL777" s="3"/>
      <c r="CM777" s="6"/>
      <c r="CN777" s="3"/>
      <c r="CO777" s="3" t="s">
        <v>2234</v>
      </c>
      <c r="CP777" s="6"/>
      <c r="CQ777" s="3"/>
      <c r="CR777" s="7">
        <v>46128</v>
      </c>
      <c r="CS777" s="6"/>
      <c r="CT777" s="3"/>
      <c r="CU777" s="6">
        <v>3</v>
      </c>
      <c r="CV777" s="6"/>
      <c r="CW777" s="3"/>
      <c r="CX777" s="3" t="s">
        <v>2235</v>
      </c>
      <c r="CY777" s="6"/>
      <c r="CZ777" s="3"/>
      <c r="DA777" s="3" t="s">
        <v>2236</v>
      </c>
      <c r="DB777" s="6"/>
      <c r="DC777" s="3"/>
      <c r="DD777" s="3"/>
      <c r="DE777" s="6"/>
      <c r="DF777" s="3"/>
      <c r="DG777" s="7"/>
      <c r="DH777" s="6"/>
      <c r="DI777" s="3"/>
      <c r="DJ777" s="6"/>
      <c r="DK777" s="6"/>
      <c r="DL777" s="3"/>
      <c r="DM777" s="3"/>
      <c r="DN777" s="6"/>
      <c r="DO777" s="3"/>
      <c r="DP777" s="3"/>
      <c r="DQ777" s="6"/>
      <c r="DR777" s="3"/>
      <c r="DS777" s="3" t="str">
        <f>_xlfn.XLOOKUP(OfficeForms.Table[[#This Row],[Selecione a Categoria do Laboratório desta atividade prática:]],Planilha1!A:A,Planilha1!B:B)</f>
        <v>BAU</v>
      </c>
      <c r="DT777" s="6" t="str">
        <f>CONCATENATE(OfficeForms.Table[[#This Row],[Selecione seu Polo Laboratório de Atividades Presenciais:]],OfficeForms.Table[[#This Row],[CHAVE CONVERSÃO]])</f>
        <v>Camboriú/SCBAU</v>
      </c>
      <c r="DU77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Maquete Física Volumétrica (Parte 2);Assessoramento no desenvolvimento da perspectiva arquitetônica (Parte 2)</v>
      </c>
      <c r="DV77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77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77" s="6" t="str">
        <f>_xlfn.XLOOKUP(OfficeForms.Table[[#This Row],[CHAVE LINK POLO]],'[1]Quadro Geral de Lotação'!$B:$B,'[1]Quadro Geral de Lotação'!$I:$I)</f>
        <v>Gilnei Da Silva Dias</v>
      </c>
      <c r="DY777" s="6" t="str">
        <f>OfficeForms.Table[[#This Row],[Selecione a Ordem de Disciplina]]</f>
        <v>Ordem 3</v>
      </c>
    </row>
    <row r="778" spans="1:129" ht="34.15" customHeight="1">
      <c r="A778" s="6">
        <v>778</v>
      </c>
      <c r="B778" s="2">
        <v>46128.868611111102</v>
      </c>
      <c r="C778" s="2">
        <v>46128.893842592603</v>
      </c>
      <c r="D778" s="3" t="s">
        <v>2064</v>
      </c>
      <c r="E778" s="3" t="s">
        <v>2065</v>
      </c>
      <c r="F778" s="6"/>
      <c r="G778" s="3"/>
      <c r="I778" s="3" t="s">
        <v>199</v>
      </c>
      <c r="J778" s="6"/>
      <c r="K778" s="3"/>
      <c r="L778" s="6" t="s">
        <v>678</v>
      </c>
      <c r="M778" s="6"/>
      <c r="N778" s="6"/>
      <c r="O778" s="3" t="s">
        <v>133</v>
      </c>
      <c r="P778" s="6"/>
      <c r="Q778" s="3"/>
      <c r="R778" s="3"/>
      <c r="S778" s="6"/>
      <c r="T778" s="3"/>
      <c r="U778" s="7"/>
      <c r="V778" s="6"/>
      <c r="W778" s="3"/>
      <c r="X778" s="6"/>
      <c r="Y778" s="6"/>
      <c r="Z778" s="3"/>
      <c r="AA778" s="3"/>
      <c r="AB778" s="6"/>
      <c r="AC778" s="3"/>
      <c r="AD778" s="3"/>
      <c r="AE778" s="6"/>
      <c r="AF778" s="3"/>
      <c r="AG778" s="3"/>
      <c r="AH778" s="6"/>
      <c r="AI778" s="3"/>
      <c r="AJ778" s="1"/>
      <c r="AK778" s="6"/>
      <c r="AL778" s="3"/>
      <c r="AM778" s="6"/>
      <c r="AN778" s="6"/>
      <c r="AO778" s="3"/>
      <c r="AP778" s="3"/>
      <c r="AQ778" s="6"/>
      <c r="AR778" s="3"/>
      <c r="AS778" s="3"/>
      <c r="AT778" s="6"/>
      <c r="AU778" s="3"/>
      <c r="AV778" s="3" t="s">
        <v>829</v>
      </c>
      <c r="AW778" s="6"/>
      <c r="AX778" s="3"/>
      <c r="AY778" s="7">
        <v>46098</v>
      </c>
      <c r="AZ778" s="6"/>
      <c r="BA778" s="3"/>
      <c r="BB778" s="6">
        <v>2</v>
      </c>
      <c r="BC778" s="6"/>
      <c r="BD778" s="3"/>
      <c r="BE778" s="3" t="s">
        <v>2237</v>
      </c>
      <c r="BF778" s="6"/>
      <c r="BG778" s="3"/>
      <c r="BH778" s="3" t="s">
        <v>2238</v>
      </c>
      <c r="BI778" s="6"/>
      <c r="BJ778" s="3"/>
      <c r="BK778" s="3"/>
      <c r="BL778" s="6"/>
      <c r="BM778" s="3"/>
      <c r="BN778" s="7"/>
      <c r="BO778" s="6"/>
      <c r="BP778" s="3"/>
      <c r="BQ778" s="6"/>
      <c r="BR778" s="6"/>
      <c r="BS778" s="3"/>
      <c r="BT778" s="3"/>
      <c r="BU778" s="6"/>
      <c r="BV778" s="3"/>
      <c r="BW778" s="3"/>
      <c r="BX778" s="6"/>
      <c r="BY778" s="3"/>
      <c r="BZ778" s="3"/>
      <c r="CA778" s="6"/>
      <c r="CB778" s="3"/>
      <c r="CC778" s="7"/>
      <c r="CD778" s="6"/>
      <c r="CE778" s="3"/>
      <c r="CF778" s="6"/>
      <c r="CG778" s="6"/>
      <c r="CH778" s="3"/>
      <c r="CI778" s="3"/>
      <c r="CJ778" s="6"/>
      <c r="CK778" s="3"/>
      <c r="CL778" s="3"/>
      <c r="CM778" s="6"/>
      <c r="CN778" s="3"/>
      <c r="CO778" s="3"/>
      <c r="CP778" s="6"/>
      <c r="CQ778" s="3"/>
      <c r="CR778" s="7"/>
      <c r="CS778" s="6"/>
      <c r="CT778" s="3"/>
      <c r="CU778" s="6"/>
      <c r="CV778" s="6"/>
      <c r="CW778" s="3"/>
      <c r="CX778" s="3"/>
      <c r="CY778" s="6"/>
      <c r="CZ778" s="3"/>
      <c r="DA778" s="3"/>
      <c r="DB778" s="6"/>
      <c r="DC778" s="3"/>
      <c r="DD778" s="3"/>
      <c r="DE778" s="6"/>
      <c r="DF778" s="3"/>
      <c r="DG778" s="7"/>
      <c r="DH778" s="6"/>
      <c r="DI778" s="3"/>
      <c r="DJ778" s="6"/>
      <c r="DK778" s="6"/>
      <c r="DL778" s="3"/>
      <c r="DM778" s="3"/>
      <c r="DN778" s="6"/>
      <c r="DO778" s="3"/>
      <c r="DP778" s="3"/>
      <c r="DQ778" s="6"/>
      <c r="DR778" s="3"/>
      <c r="DS778" s="3" t="str">
        <f>_xlfn.XLOOKUP(OfficeForms.Table[[#This Row],[Selecione a Categoria do Laboratório desta atividade prática:]],Planilha1!A:A,Planilha1!B:B)</f>
        <v>BFI</v>
      </c>
      <c r="DT778" s="6" t="str">
        <f>CONCATENATE(OfficeForms.Table[[#This Row],[Selecione seu Polo Laboratório de Atividades Presenciais:]],OfficeForms.Table[[#This Row],[CHAVE CONVERSÃO]])</f>
        <v>Alagoinhas/BABFI</v>
      </c>
      <c r="DU77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Semiológica Cardiorrespiratória: Técnicas e Protocolos na Fisioterapia Cardiovascular</v>
      </c>
      <c r="DV77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77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78" s="6" t="str">
        <f>_xlfn.XLOOKUP(OfficeForms.Table[[#This Row],[CHAVE LINK POLO]],'[1]Quadro Geral de Lotação'!$B:$B,'[1]Quadro Geral de Lotação'!$I:$I)</f>
        <v>Priscila Maria Bittencourt Alves</v>
      </c>
      <c r="DY778" s="6" t="str">
        <f>OfficeForms.Table[[#This Row],[Selecione a Ordem de Disciplina]]</f>
        <v>Ordem 2</v>
      </c>
    </row>
    <row r="779" spans="1:129" ht="34.15" customHeight="1">
      <c r="A779" s="6">
        <v>779</v>
      </c>
      <c r="B779" s="2">
        <v>46129.325648148202</v>
      </c>
      <c r="C779" s="2">
        <v>46129.326261574097</v>
      </c>
      <c r="D779" s="3" t="s">
        <v>160</v>
      </c>
      <c r="E779" s="3" t="s">
        <v>161</v>
      </c>
      <c r="F779" s="6"/>
      <c r="G779" s="3"/>
      <c r="I779" s="3" t="s">
        <v>162</v>
      </c>
      <c r="J779" s="6"/>
      <c r="K779" s="3"/>
      <c r="L779" s="6" t="s">
        <v>678</v>
      </c>
      <c r="M779" s="6"/>
      <c r="N779" s="6"/>
      <c r="O779" s="3" t="s">
        <v>156</v>
      </c>
      <c r="P779" s="6"/>
      <c r="Q779" s="3"/>
      <c r="R779" s="3"/>
      <c r="S779" s="6"/>
      <c r="T779" s="3"/>
      <c r="U779" s="7"/>
      <c r="V779" s="6"/>
      <c r="W779" s="3"/>
      <c r="X779" s="6"/>
      <c r="Y779" s="6"/>
      <c r="Z779" s="3"/>
      <c r="AA779" s="3"/>
      <c r="AB779" s="6"/>
      <c r="AC779" s="3"/>
      <c r="AD779" s="3"/>
      <c r="AE779" s="6"/>
      <c r="AF779" s="3"/>
      <c r="AG779" s="3"/>
      <c r="AH779" s="6"/>
      <c r="AI779" s="3"/>
      <c r="AJ779" s="1"/>
      <c r="AK779" s="6"/>
      <c r="AL779" s="3"/>
      <c r="AM779" s="6"/>
      <c r="AN779" s="6"/>
      <c r="AO779" s="3"/>
      <c r="AP779" s="3"/>
      <c r="AQ779" s="6"/>
      <c r="AR779" s="3"/>
      <c r="AS779" s="3"/>
      <c r="AT779" s="6"/>
      <c r="AU779" s="3"/>
      <c r="AV779" s="3"/>
      <c r="AW779" s="6"/>
      <c r="AX779" s="3"/>
      <c r="AY779" s="7"/>
      <c r="AZ779" s="6"/>
      <c r="BA779" s="3"/>
      <c r="BB779" s="6"/>
      <c r="BC779" s="6"/>
      <c r="BD779" s="3"/>
      <c r="BE779" s="3"/>
      <c r="BF779" s="6"/>
      <c r="BG779" s="3"/>
      <c r="BH779" s="3"/>
      <c r="BI779" s="6"/>
      <c r="BJ779" s="3"/>
      <c r="BK779" s="3" t="s">
        <v>1237</v>
      </c>
      <c r="BL779" s="6"/>
      <c r="BM779" s="3"/>
      <c r="BN779" s="7">
        <v>46128</v>
      </c>
      <c r="BO779" s="6"/>
      <c r="BP779" s="3"/>
      <c r="BQ779" s="6">
        <v>1</v>
      </c>
      <c r="BR779" s="6"/>
      <c r="BS779" s="3"/>
      <c r="BT779" s="3" t="s">
        <v>2239</v>
      </c>
      <c r="BU779" s="6"/>
      <c r="BV779" s="3"/>
      <c r="BW779" s="3" t="s">
        <v>2240</v>
      </c>
      <c r="BX779" s="6"/>
      <c r="BY779" s="3"/>
      <c r="BZ779" s="3"/>
      <c r="CA779" s="6"/>
      <c r="CB779" s="3"/>
      <c r="CC779" s="7"/>
      <c r="CD779" s="6"/>
      <c r="CE779" s="3"/>
      <c r="CF779" s="6"/>
      <c r="CG779" s="6"/>
      <c r="CH779" s="3"/>
      <c r="CI779" s="3"/>
      <c r="CJ779" s="6"/>
      <c r="CK779" s="3"/>
      <c r="CL779" s="3"/>
      <c r="CM779" s="6"/>
      <c r="CN779" s="3"/>
      <c r="CO779" s="3"/>
      <c r="CP779" s="6"/>
      <c r="CQ779" s="3"/>
      <c r="CR779" s="7"/>
      <c r="CS779" s="6"/>
      <c r="CT779" s="3"/>
      <c r="CU779" s="6"/>
      <c r="CV779" s="6"/>
      <c r="CW779" s="3"/>
      <c r="CX779" s="3"/>
      <c r="CY779" s="6"/>
      <c r="CZ779" s="3"/>
      <c r="DA779" s="3"/>
      <c r="DB779" s="6"/>
      <c r="DC779" s="3"/>
      <c r="DD779" s="3"/>
      <c r="DE779" s="6"/>
      <c r="DF779" s="3"/>
      <c r="DG779" s="7"/>
      <c r="DH779" s="6"/>
      <c r="DI779" s="3"/>
      <c r="DJ779" s="6"/>
      <c r="DK779" s="6"/>
      <c r="DL779" s="3"/>
      <c r="DM779" s="3"/>
      <c r="DN779" s="6"/>
      <c r="DO779" s="3"/>
      <c r="DP779" s="3"/>
      <c r="DQ779" s="6"/>
      <c r="DR779" s="3"/>
      <c r="DS779" s="3" t="str">
        <f>_xlfn.XLOOKUP(OfficeForms.Table[[#This Row],[Selecione a Categoria do Laboratório desta atividade prática:]],Planilha1!A:A,Planilha1!B:B)</f>
        <v>NTR</v>
      </c>
      <c r="DT779" s="6" t="str">
        <f>CONCATENATE(OfficeForms.Table[[#This Row],[Selecione seu Polo Laboratório de Atividades Presenciais:]],OfficeForms.Table[[#This Row],[CHAVE CONVERSÃO]])</f>
        <v>Florianópolis/SC - CentroNTR</v>
      </c>
      <c r="DU77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antropométrico de adulto e de acamado</v>
      </c>
      <c r="DV77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77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779" s="6" t="str">
        <f>_xlfn.XLOOKUP(OfficeForms.Table[[#This Row],[CHAVE LINK POLO]],'[1]Quadro Geral de Lotação'!$B:$B,'[1]Quadro Geral de Lotação'!$I:$I)</f>
        <v>Laura Volpato</v>
      </c>
      <c r="DY779" s="6" t="str">
        <f>OfficeForms.Table[[#This Row],[Selecione a Ordem de Disciplina]]</f>
        <v>Ordem 2</v>
      </c>
    </row>
    <row r="780" spans="1:129" ht="34.15" customHeight="1">
      <c r="A780" s="6">
        <v>780</v>
      </c>
      <c r="B780" s="2">
        <v>46129.326319444401</v>
      </c>
      <c r="C780" s="2">
        <v>46129.326724537001</v>
      </c>
      <c r="D780" s="3" t="s">
        <v>160</v>
      </c>
      <c r="E780" s="3" t="s">
        <v>161</v>
      </c>
      <c r="F780" s="6"/>
      <c r="G780" s="3"/>
      <c r="I780" s="3" t="s">
        <v>162</v>
      </c>
      <c r="J780" s="6"/>
      <c r="K780" s="3"/>
      <c r="L780" s="6" t="s">
        <v>678</v>
      </c>
      <c r="M780" s="6"/>
      <c r="N780" s="6"/>
      <c r="O780" s="3" t="s">
        <v>156</v>
      </c>
      <c r="P780" s="6"/>
      <c r="Q780" s="3"/>
      <c r="R780" s="3"/>
      <c r="S780" s="6"/>
      <c r="T780" s="3"/>
      <c r="U780" s="7"/>
      <c r="V780" s="6"/>
      <c r="W780" s="3"/>
      <c r="X780" s="6"/>
      <c r="Y780" s="6"/>
      <c r="Z780" s="3"/>
      <c r="AA780" s="3"/>
      <c r="AB780" s="6"/>
      <c r="AC780" s="3"/>
      <c r="AD780" s="3"/>
      <c r="AE780" s="6"/>
      <c r="AF780" s="3"/>
      <c r="AG780" s="3"/>
      <c r="AH780" s="6"/>
      <c r="AI780" s="3"/>
      <c r="AJ780" s="1"/>
      <c r="AK780" s="6"/>
      <c r="AL780" s="3"/>
      <c r="AM780" s="6"/>
      <c r="AN780" s="6"/>
      <c r="AO780" s="3"/>
      <c r="AP780" s="3"/>
      <c r="AQ780" s="6"/>
      <c r="AR780" s="3"/>
      <c r="AS780" s="3"/>
      <c r="AT780" s="6"/>
      <c r="AU780" s="3"/>
      <c r="AV780" s="3"/>
      <c r="AW780" s="6"/>
      <c r="AX780" s="3"/>
      <c r="AY780" s="7"/>
      <c r="AZ780" s="6"/>
      <c r="BA780" s="3"/>
      <c r="BB780" s="6"/>
      <c r="BC780" s="6"/>
      <c r="BD780" s="3"/>
      <c r="BE780" s="3"/>
      <c r="BF780" s="6"/>
      <c r="BG780" s="3"/>
      <c r="BH780" s="3"/>
      <c r="BI780" s="6"/>
      <c r="BJ780" s="3"/>
      <c r="BK780" s="3" t="s">
        <v>1240</v>
      </c>
      <c r="BL780" s="6"/>
      <c r="BM780" s="3"/>
      <c r="BN780" s="7">
        <v>46128</v>
      </c>
      <c r="BO780" s="6"/>
      <c r="BP780" s="3"/>
      <c r="BQ780" s="6">
        <v>1</v>
      </c>
      <c r="BR780" s="6"/>
      <c r="BS780" s="3"/>
      <c r="BT780" s="3" t="s">
        <v>2241</v>
      </c>
      <c r="BU780" s="6"/>
      <c r="BV780" s="3"/>
      <c r="BW780" s="3" t="s">
        <v>2242</v>
      </c>
      <c r="BX780" s="6"/>
      <c r="BY780" s="3"/>
      <c r="BZ780" s="3"/>
      <c r="CA780" s="6"/>
      <c r="CB780" s="3"/>
      <c r="CC780" s="7"/>
      <c r="CD780" s="6"/>
      <c r="CE780" s="3"/>
      <c r="CF780" s="6"/>
      <c r="CG780" s="6"/>
      <c r="CH780" s="3"/>
      <c r="CI780" s="3"/>
      <c r="CJ780" s="6"/>
      <c r="CK780" s="3"/>
      <c r="CL780" s="3"/>
      <c r="CM780" s="6"/>
      <c r="CN780" s="3"/>
      <c r="CO780" s="3"/>
      <c r="CP780" s="6"/>
      <c r="CQ780" s="3"/>
      <c r="CR780" s="7"/>
      <c r="CS780" s="6"/>
      <c r="CT780" s="3"/>
      <c r="CU780" s="6"/>
      <c r="CV780" s="6"/>
      <c r="CW780" s="3"/>
      <c r="CX780" s="3"/>
      <c r="CY780" s="6"/>
      <c r="CZ780" s="3"/>
      <c r="DA780" s="3"/>
      <c r="DB780" s="6"/>
      <c r="DC780" s="3"/>
      <c r="DD780" s="3"/>
      <c r="DE780" s="6"/>
      <c r="DF780" s="3"/>
      <c r="DG780" s="7"/>
      <c r="DH780" s="6"/>
      <c r="DI780" s="3"/>
      <c r="DJ780" s="6"/>
      <c r="DK780" s="6"/>
      <c r="DL780" s="3"/>
      <c r="DM780" s="3"/>
      <c r="DN780" s="6"/>
      <c r="DO780" s="3"/>
      <c r="DP780" s="3"/>
      <c r="DQ780" s="6"/>
      <c r="DR780" s="3"/>
      <c r="DS780" s="3" t="str">
        <f>_xlfn.XLOOKUP(OfficeForms.Table[[#This Row],[Selecione a Categoria do Laboratório desta atividade prática:]],Planilha1!A:A,Planilha1!B:B)</f>
        <v>NTR</v>
      </c>
      <c r="DT780" s="6" t="str">
        <f>CONCATENATE(OfficeForms.Table[[#This Row],[Selecione seu Polo Laboratório de Atividades Presenciais:]],OfficeForms.Table[[#This Row],[CHAVE CONVERSÃO]])</f>
        <v>Florianópolis/SC - CentroNTR</v>
      </c>
      <c r="DU78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</v>
      </c>
      <c r="DV78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78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780" s="6" t="str">
        <f>_xlfn.XLOOKUP(OfficeForms.Table[[#This Row],[CHAVE LINK POLO]],'[1]Quadro Geral de Lotação'!$B:$B,'[1]Quadro Geral de Lotação'!$I:$I)</f>
        <v>Laura Volpato</v>
      </c>
      <c r="DY780" s="6" t="str">
        <f>OfficeForms.Table[[#This Row],[Selecione a Ordem de Disciplina]]</f>
        <v>Ordem 2</v>
      </c>
    </row>
    <row r="781" spans="1:129" ht="34.15" customHeight="1">
      <c r="A781" s="6">
        <v>781</v>
      </c>
      <c r="B781" s="2">
        <v>46129.431643518503</v>
      </c>
      <c r="C781" s="2">
        <v>46129.464155092603</v>
      </c>
      <c r="D781" s="3" t="s">
        <v>394</v>
      </c>
      <c r="E781" s="3" t="s">
        <v>395</v>
      </c>
      <c r="F781" s="6"/>
      <c r="G781" s="3"/>
      <c r="I781" s="3" t="s">
        <v>396</v>
      </c>
      <c r="J781" s="6"/>
      <c r="K781" s="3"/>
      <c r="L781" s="6" t="s">
        <v>1325</v>
      </c>
      <c r="M781" s="6"/>
      <c r="N781" s="6"/>
      <c r="O781" s="3" t="s">
        <v>133</v>
      </c>
      <c r="P781" s="6"/>
      <c r="Q781" s="3"/>
      <c r="R781" s="3"/>
      <c r="S781" s="6"/>
      <c r="T781" s="3"/>
      <c r="U781" s="7"/>
      <c r="V781" s="6"/>
      <c r="W781" s="3"/>
      <c r="X781" s="6"/>
      <c r="Y781" s="6"/>
      <c r="Z781" s="3"/>
      <c r="AA781" s="3"/>
      <c r="AB781" s="6"/>
      <c r="AC781" s="3"/>
      <c r="AD781" s="3"/>
      <c r="AE781" s="6"/>
      <c r="AF781" s="3"/>
      <c r="AG781" s="3"/>
      <c r="AH781" s="6"/>
      <c r="AI781" s="3"/>
      <c r="AJ781" s="1"/>
      <c r="AK781" s="6"/>
      <c r="AL781" s="3"/>
      <c r="AM781" s="6"/>
      <c r="AN781" s="6"/>
      <c r="AO781" s="3"/>
      <c r="AP781" s="3"/>
      <c r="AQ781" s="6"/>
      <c r="AR781" s="3"/>
      <c r="AS781" s="3"/>
      <c r="AT781" s="6"/>
      <c r="AU781" s="3"/>
      <c r="AV781" s="3" t="s">
        <v>2171</v>
      </c>
      <c r="AW781" s="6"/>
      <c r="AX781" s="3"/>
      <c r="AY781" s="7">
        <v>46128</v>
      </c>
      <c r="AZ781" s="6"/>
      <c r="BA781" s="3"/>
      <c r="BB781" s="6">
        <v>1</v>
      </c>
      <c r="BC781" s="6"/>
      <c r="BD781" s="3"/>
      <c r="BE781" s="3" t="s">
        <v>2243</v>
      </c>
      <c r="BF781" s="6"/>
      <c r="BG781" s="3"/>
      <c r="BH781" s="3" t="s">
        <v>2244</v>
      </c>
      <c r="BI781" s="6"/>
      <c r="BJ781" s="3"/>
      <c r="BK781" s="3"/>
      <c r="BL781" s="6"/>
      <c r="BM781" s="3"/>
      <c r="BN781" s="7"/>
      <c r="BO781" s="6"/>
      <c r="BP781" s="3"/>
      <c r="BQ781" s="6"/>
      <c r="BR781" s="6"/>
      <c r="BS781" s="3"/>
      <c r="BT781" s="3"/>
      <c r="BU781" s="6"/>
      <c r="BV781" s="3"/>
      <c r="BW781" s="3"/>
      <c r="BX781" s="6"/>
      <c r="BY781" s="3"/>
      <c r="BZ781" s="3"/>
      <c r="CA781" s="6"/>
      <c r="CB781" s="3"/>
      <c r="CC781" s="7"/>
      <c r="CD781" s="6"/>
      <c r="CE781" s="3"/>
      <c r="CF781" s="6"/>
      <c r="CG781" s="6"/>
      <c r="CH781" s="3"/>
      <c r="CI781" s="3"/>
      <c r="CJ781" s="6"/>
      <c r="CK781" s="3"/>
      <c r="CL781" s="3"/>
      <c r="CM781" s="6"/>
      <c r="CN781" s="3"/>
      <c r="CO781" s="3"/>
      <c r="CP781" s="6"/>
      <c r="CQ781" s="3"/>
      <c r="CR781" s="7"/>
      <c r="CS781" s="6"/>
      <c r="CT781" s="3"/>
      <c r="CU781" s="6"/>
      <c r="CV781" s="6"/>
      <c r="CW781" s="3"/>
      <c r="CX781" s="3"/>
      <c r="CY781" s="6"/>
      <c r="CZ781" s="3"/>
      <c r="DA781" s="3"/>
      <c r="DB781" s="6"/>
      <c r="DC781" s="3"/>
      <c r="DD781" s="3"/>
      <c r="DE781" s="6"/>
      <c r="DF781" s="3"/>
      <c r="DG781" s="7"/>
      <c r="DH781" s="6"/>
      <c r="DI781" s="3"/>
      <c r="DJ781" s="6"/>
      <c r="DK781" s="6"/>
      <c r="DL781" s="3"/>
      <c r="DM781" s="3"/>
      <c r="DN781" s="6"/>
      <c r="DO781" s="3"/>
      <c r="DP781" s="3"/>
      <c r="DQ781" s="6"/>
      <c r="DR781" s="3"/>
      <c r="DS781" s="3" t="str">
        <f>_xlfn.XLOOKUP(OfficeForms.Table[[#This Row],[Selecione a Categoria do Laboratório desta atividade prática:]],Planilha1!A:A,Planilha1!B:B)</f>
        <v>BFI</v>
      </c>
      <c r="DT781" s="6" t="str">
        <f>CONCATENATE(OfficeForms.Table[[#This Row],[Selecione seu Polo Laboratório de Atividades Presenciais:]],OfficeForms.Table[[#This Row],[CHAVE CONVERSÃO]])</f>
        <v>Blumenau/SC - Salto Do Norte (Centro Universitário Dante)BFI</v>
      </c>
      <c r="DU78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Laser e LED;Ultrassom Terapêutico (UST)</v>
      </c>
      <c r="DV78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78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781" s="6" t="str">
        <f>_xlfn.XLOOKUP(OfficeForms.Table[[#This Row],[CHAVE LINK POLO]],'[1]Quadro Geral de Lotação'!$B:$B,'[1]Quadro Geral de Lotação'!$I:$I)</f>
        <v>-</v>
      </c>
      <c r="DY781" s="6" t="str">
        <f>OfficeForms.Table[[#This Row],[Selecione a Ordem de Disciplina]]</f>
        <v>Ordem 3</v>
      </c>
    </row>
    <row r="782" spans="1:129" ht="34.15" customHeight="1">
      <c r="A782" s="6">
        <v>782</v>
      </c>
      <c r="B782" s="2">
        <v>46129.464965277803</v>
      </c>
      <c r="C782" s="2">
        <v>46129.467141203699</v>
      </c>
      <c r="D782" s="3" t="s">
        <v>203</v>
      </c>
      <c r="E782" s="3" t="s">
        <v>204</v>
      </c>
      <c r="F782" s="6"/>
      <c r="G782" s="3"/>
      <c r="I782" s="3" t="s">
        <v>205</v>
      </c>
      <c r="J782" s="6"/>
      <c r="K782" s="3"/>
      <c r="L782" s="6" t="s">
        <v>1325</v>
      </c>
      <c r="M782" s="6"/>
      <c r="N782" s="6"/>
      <c r="O782" s="3" t="s">
        <v>184</v>
      </c>
      <c r="P782" s="6"/>
      <c r="Q782" s="3"/>
      <c r="R782" s="3"/>
      <c r="S782" s="6"/>
      <c r="T782" s="3"/>
      <c r="U782" s="7"/>
      <c r="V782" s="6"/>
      <c r="W782" s="3"/>
      <c r="X782" s="6"/>
      <c r="Y782" s="6"/>
      <c r="Z782" s="3"/>
      <c r="AA782" s="3"/>
      <c r="AB782" s="6"/>
      <c r="AC782" s="3"/>
      <c r="AD782" s="3"/>
      <c r="AE782" s="6"/>
      <c r="AF782" s="3"/>
      <c r="AG782" s="3" t="s">
        <v>816</v>
      </c>
      <c r="AH782" s="6"/>
      <c r="AI782" s="3"/>
      <c r="AJ782" s="1">
        <v>46125</v>
      </c>
      <c r="AK782" s="6"/>
      <c r="AL782" s="3"/>
      <c r="AM782" s="6">
        <v>1</v>
      </c>
      <c r="AN782" s="6"/>
      <c r="AO782" s="3"/>
      <c r="AP782" s="3" t="s">
        <v>2245</v>
      </c>
      <c r="AQ782" s="6"/>
      <c r="AR782" s="3"/>
      <c r="AS782" s="3" t="s">
        <v>2246</v>
      </c>
      <c r="AT782" s="6"/>
      <c r="AU782" s="3"/>
      <c r="AV782" s="3"/>
      <c r="AW782" s="6"/>
      <c r="AX782" s="3"/>
      <c r="AY782" s="7"/>
      <c r="AZ782" s="6"/>
      <c r="BA782" s="3"/>
      <c r="BB782" s="6"/>
      <c r="BC782" s="6"/>
      <c r="BD782" s="3"/>
      <c r="BE782" s="3"/>
      <c r="BF782" s="6"/>
      <c r="BG782" s="3"/>
      <c r="BH782" s="3"/>
      <c r="BI782" s="6"/>
      <c r="BJ782" s="3"/>
      <c r="BK782" s="3"/>
      <c r="BL782" s="6"/>
      <c r="BM782" s="3"/>
      <c r="BN782" s="7"/>
      <c r="BO782" s="6"/>
      <c r="BP782" s="3"/>
      <c r="BQ782" s="6"/>
      <c r="BR782" s="6"/>
      <c r="BS782" s="3"/>
      <c r="BT782" s="3"/>
      <c r="BU782" s="6"/>
      <c r="BV782" s="3"/>
      <c r="BW782" s="3"/>
      <c r="BX782" s="6"/>
      <c r="BY782" s="3"/>
      <c r="BZ782" s="3"/>
      <c r="CA782" s="6"/>
      <c r="CB782" s="3"/>
      <c r="CC782" s="7"/>
      <c r="CD782" s="6"/>
      <c r="CE782" s="3"/>
      <c r="CF782" s="6"/>
      <c r="CG782" s="6"/>
      <c r="CH782" s="3"/>
      <c r="CI782" s="3"/>
      <c r="CJ782" s="6"/>
      <c r="CK782" s="3"/>
      <c r="CL782" s="3"/>
      <c r="CM782" s="6"/>
      <c r="CN782" s="3"/>
      <c r="CO782" s="3"/>
      <c r="CP782" s="6"/>
      <c r="CQ782" s="3"/>
      <c r="CR782" s="7"/>
      <c r="CS782" s="6"/>
      <c r="CT782" s="3"/>
      <c r="CU782" s="6"/>
      <c r="CV782" s="6"/>
      <c r="CW782" s="3"/>
      <c r="CX782" s="3"/>
      <c r="CY782" s="6"/>
      <c r="CZ782" s="3"/>
      <c r="DA782" s="3"/>
      <c r="DB782" s="6"/>
      <c r="DC782" s="3"/>
      <c r="DD782" s="3"/>
      <c r="DE782" s="6"/>
      <c r="DF782" s="3"/>
      <c r="DG782" s="7"/>
      <c r="DH782" s="6"/>
      <c r="DI782" s="3"/>
      <c r="DJ782" s="6"/>
      <c r="DK782" s="6"/>
      <c r="DL782" s="3"/>
      <c r="DM782" s="3"/>
      <c r="DN782" s="6"/>
      <c r="DO782" s="3"/>
      <c r="DP782" s="3"/>
      <c r="DQ782" s="6"/>
      <c r="DR782" s="3"/>
      <c r="DS782" s="3" t="str">
        <f>_xlfn.XLOOKUP(OfficeForms.Table[[#This Row],[Selecione a Categoria do Laboratório desta atividade prática:]],Planilha1!A:A,Planilha1!B:B)</f>
        <v>EMF-ISN</v>
      </c>
      <c r="DT782" s="6" t="str">
        <f>CONCATENATE(OfficeForms.Table[[#This Row],[Selecione seu Polo Laboratório de Atividades Presenciais:]],OfficeForms.Table[[#This Row],[CHAVE CONVERSÃO]])</f>
        <v>Rolim de Moura/ROEMF-ISN</v>
      </c>
      <c r="DU78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78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78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782" s="6" t="str">
        <f>_xlfn.XLOOKUP(OfficeForms.Table[[#This Row],[CHAVE LINK POLO]],'[1]Quadro Geral de Lotação'!$B:$B,'[1]Quadro Geral de Lotação'!$I:$I)</f>
        <v>Quezia Da Silva Dos Anjos Da Silva</v>
      </c>
      <c r="DY782" s="6" t="str">
        <f>OfficeForms.Table[[#This Row],[Selecione a Ordem de Disciplina]]</f>
        <v>Ordem 3</v>
      </c>
    </row>
    <row r="783" spans="1:129" ht="34.15" customHeight="1">
      <c r="A783" s="6">
        <v>783</v>
      </c>
      <c r="B783" s="2">
        <v>46129.471666666701</v>
      </c>
      <c r="C783" s="2">
        <v>46129.478576388901</v>
      </c>
      <c r="D783" s="3" t="s">
        <v>203</v>
      </c>
      <c r="E783" s="3" t="s">
        <v>204</v>
      </c>
      <c r="F783" s="6"/>
      <c r="G783" s="3"/>
      <c r="I783" s="3" t="s">
        <v>205</v>
      </c>
      <c r="J783" s="6"/>
      <c r="K783" s="3"/>
      <c r="L783" s="6" t="s">
        <v>1325</v>
      </c>
      <c r="M783" s="6"/>
      <c r="N783" s="6"/>
      <c r="O783" s="3" t="s">
        <v>184</v>
      </c>
      <c r="P783" s="6"/>
      <c r="Q783" s="3"/>
      <c r="R783" s="3"/>
      <c r="S783" s="6"/>
      <c r="T783" s="3"/>
      <c r="U783" s="7"/>
      <c r="V783" s="6"/>
      <c r="W783" s="3"/>
      <c r="X783" s="6"/>
      <c r="Y783" s="6"/>
      <c r="Z783" s="3"/>
      <c r="AA783" s="3"/>
      <c r="AB783" s="6"/>
      <c r="AC783" s="3"/>
      <c r="AD783" s="3"/>
      <c r="AE783" s="6"/>
      <c r="AF783" s="3"/>
      <c r="AG783" s="3" t="s">
        <v>816</v>
      </c>
      <c r="AH783" s="6"/>
      <c r="AI783" s="3"/>
      <c r="AJ783" s="1">
        <v>46125</v>
      </c>
      <c r="AK783" s="6"/>
      <c r="AL783" s="3"/>
      <c r="AM783" s="6">
        <v>1</v>
      </c>
      <c r="AN783" s="6"/>
      <c r="AO783" s="3"/>
      <c r="AP783" s="3" t="s">
        <v>2247</v>
      </c>
      <c r="AQ783" s="6"/>
      <c r="AR783" s="3"/>
      <c r="AS783" s="3" t="s">
        <v>2248</v>
      </c>
      <c r="AT783" s="6"/>
      <c r="AU783" s="3"/>
      <c r="AV783" s="3"/>
      <c r="AW783" s="6"/>
      <c r="AX783" s="3"/>
      <c r="AY783" s="7"/>
      <c r="AZ783" s="6"/>
      <c r="BA783" s="3"/>
      <c r="BB783" s="6"/>
      <c r="BC783" s="6"/>
      <c r="BD783" s="3"/>
      <c r="BE783" s="3"/>
      <c r="BF783" s="6"/>
      <c r="BG783" s="3"/>
      <c r="BH783" s="3"/>
      <c r="BI783" s="6"/>
      <c r="BJ783" s="3"/>
      <c r="BK783" s="3"/>
      <c r="BL783" s="6"/>
      <c r="BM783" s="3"/>
      <c r="BN783" s="7"/>
      <c r="BO783" s="6"/>
      <c r="BP783" s="3"/>
      <c r="BQ783" s="6"/>
      <c r="BR783" s="6"/>
      <c r="BS783" s="3"/>
      <c r="BT783" s="3"/>
      <c r="BU783" s="6"/>
      <c r="BV783" s="3"/>
      <c r="BW783" s="3"/>
      <c r="BX783" s="6"/>
      <c r="BY783" s="3"/>
      <c r="BZ783" s="3"/>
      <c r="CA783" s="6"/>
      <c r="CB783" s="3"/>
      <c r="CC783" s="7"/>
      <c r="CD783" s="6"/>
      <c r="CE783" s="3"/>
      <c r="CF783" s="6"/>
      <c r="CG783" s="6"/>
      <c r="CH783" s="3"/>
      <c r="CI783" s="3"/>
      <c r="CJ783" s="6"/>
      <c r="CK783" s="3"/>
      <c r="CL783" s="3"/>
      <c r="CM783" s="6"/>
      <c r="CN783" s="3"/>
      <c r="CO783" s="3"/>
      <c r="CP783" s="6"/>
      <c r="CQ783" s="3"/>
      <c r="CR783" s="7"/>
      <c r="CS783" s="6"/>
      <c r="CT783" s="3"/>
      <c r="CU783" s="6"/>
      <c r="CV783" s="6"/>
      <c r="CW783" s="3"/>
      <c r="CX783" s="3"/>
      <c r="CY783" s="6"/>
      <c r="CZ783" s="3"/>
      <c r="DA783" s="3"/>
      <c r="DB783" s="6"/>
      <c r="DC783" s="3"/>
      <c r="DD783" s="3"/>
      <c r="DE783" s="6"/>
      <c r="DF783" s="3"/>
      <c r="DG783" s="7"/>
      <c r="DH783" s="6"/>
      <c r="DI783" s="3"/>
      <c r="DJ783" s="6"/>
      <c r="DK783" s="6"/>
      <c r="DL783" s="3"/>
      <c r="DM783" s="3"/>
      <c r="DN783" s="6"/>
      <c r="DO783" s="3"/>
      <c r="DP783" s="3"/>
      <c r="DQ783" s="6"/>
      <c r="DR783" s="3"/>
      <c r="DS783" s="3" t="str">
        <f>_xlfn.XLOOKUP(OfficeForms.Table[[#This Row],[Selecione a Categoria do Laboratório desta atividade prática:]],Planilha1!A:A,Planilha1!B:B)</f>
        <v>EMF-ISN</v>
      </c>
      <c r="DT783" s="6" t="str">
        <f>CONCATENATE(OfficeForms.Table[[#This Row],[Selecione seu Polo Laboratório de Atividades Presenciais:]],OfficeForms.Table[[#This Row],[CHAVE CONVERSÃO]])</f>
        <v>Rolim de Moura/ROEMF-ISN</v>
      </c>
      <c r="DU78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78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78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783" s="6" t="str">
        <f>_xlfn.XLOOKUP(OfficeForms.Table[[#This Row],[CHAVE LINK POLO]],'[1]Quadro Geral de Lotação'!$B:$B,'[1]Quadro Geral de Lotação'!$I:$I)</f>
        <v>Quezia Da Silva Dos Anjos Da Silva</v>
      </c>
      <c r="DY783" s="6" t="str">
        <f>OfficeForms.Table[[#This Row],[Selecione a Ordem de Disciplina]]</f>
        <v>Ordem 3</v>
      </c>
    </row>
    <row r="784" spans="1:129" ht="34.15" customHeight="1">
      <c r="A784" s="6">
        <v>784</v>
      </c>
      <c r="B784" s="2">
        <v>46129.513564814799</v>
      </c>
      <c r="C784" s="2">
        <v>46129.515694444402</v>
      </c>
      <c r="D784" s="3" t="s">
        <v>168</v>
      </c>
      <c r="E784" s="3" t="s">
        <v>169</v>
      </c>
      <c r="F784" s="6"/>
      <c r="G784" s="3"/>
      <c r="I784" s="3" t="s">
        <v>170</v>
      </c>
      <c r="J784" s="6"/>
      <c r="K784" s="3"/>
      <c r="L784" s="6" t="s">
        <v>678</v>
      </c>
      <c r="M784" s="6"/>
      <c r="N784" s="6"/>
      <c r="O784" s="3" t="s">
        <v>133</v>
      </c>
      <c r="P784" s="6"/>
      <c r="Q784" s="3"/>
      <c r="R784" s="3"/>
      <c r="S784" s="6"/>
      <c r="T784" s="3"/>
      <c r="U784" s="7"/>
      <c r="V784" s="6"/>
      <c r="W784" s="3"/>
      <c r="X784" s="6"/>
      <c r="Y784" s="6"/>
      <c r="Z784" s="3"/>
      <c r="AA784" s="3"/>
      <c r="AB784" s="6"/>
      <c r="AC784" s="3"/>
      <c r="AD784" s="3"/>
      <c r="AE784" s="6"/>
      <c r="AF784" s="3"/>
      <c r="AG784" s="3"/>
      <c r="AH784" s="6"/>
      <c r="AI784" s="3"/>
      <c r="AJ784" s="1"/>
      <c r="AK784" s="6"/>
      <c r="AL784" s="3"/>
      <c r="AM784" s="6"/>
      <c r="AN784" s="6"/>
      <c r="AO784" s="3"/>
      <c r="AP784" s="3"/>
      <c r="AQ784" s="6"/>
      <c r="AR784" s="3"/>
      <c r="AS784" s="3"/>
      <c r="AT784" s="6"/>
      <c r="AU784" s="3"/>
      <c r="AV784" s="3" t="s">
        <v>2249</v>
      </c>
      <c r="AW784" s="6"/>
      <c r="AX784" s="3"/>
      <c r="AY784" s="7">
        <v>46128</v>
      </c>
      <c r="AZ784" s="6"/>
      <c r="BA784" s="3"/>
      <c r="BB784" s="6">
        <v>3</v>
      </c>
      <c r="BC784" s="6"/>
      <c r="BD784" s="3"/>
      <c r="BE784" s="3" t="s">
        <v>2250</v>
      </c>
      <c r="BF784" s="6"/>
      <c r="BG784" s="3"/>
      <c r="BH784" s="3" t="s">
        <v>2251</v>
      </c>
      <c r="BI784" s="6"/>
      <c r="BJ784" s="3"/>
      <c r="BK784" s="3"/>
      <c r="BL784" s="6"/>
      <c r="BM784" s="3"/>
      <c r="BN784" s="7"/>
      <c r="BO784" s="6"/>
      <c r="BP784" s="3"/>
      <c r="BQ784" s="6"/>
      <c r="BR784" s="6"/>
      <c r="BS784" s="3"/>
      <c r="BT784" s="3"/>
      <c r="BU784" s="6"/>
      <c r="BV784" s="3"/>
      <c r="BW784" s="3"/>
      <c r="BX784" s="6"/>
      <c r="BY784" s="3"/>
      <c r="BZ784" s="3"/>
      <c r="CA784" s="6"/>
      <c r="CB784" s="3"/>
      <c r="CC784" s="7"/>
      <c r="CD784" s="6"/>
      <c r="CE784" s="3"/>
      <c r="CF784" s="6"/>
      <c r="CG784" s="6"/>
      <c r="CH784" s="3"/>
      <c r="CI784" s="3"/>
      <c r="CJ784" s="6"/>
      <c r="CK784" s="3"/>
      <c r="CL784" s="3"/>
      <c r="CM784" s="6"/>
      <c r="CN784" s="3"/>
      <c r="CO784" s="3"/>
      <c r="CP784" s="6"/>
      <c r="CQ784" s="3"/>
      <c r="CR784" s="7"/>
      <c r="CS784" s="6"/>
      <c r="CT784" s="3"/>
      <c r="CU784" s="6"/>
      <c r="CV784" s="6"/>
      <c r="CW784" s="3"/>
      <c r="CX784" s="3"/>
      <c r="CY784" s="6"/>
      <c r="CZ784" s="3"/>
      <c r="DA784" s="3"/>
      <c r="DB784" s="6"/>
      <c r="DC784" s="3"/>
      <c r="DD784" s="3"/>
      <c r="DE784" s="6"/>
      <c r="DF784" s="3"/>
      <c r="DG784" s="7"/>
      <c r="DH784" s="6"/>
      <c r="DI784" s="3"/>
      <c r="DJ784" s="6"/>
      <c r="DK784" s="6"/>
      <c r="DL784" s="3"/>
      <c r="DM784" s="3"/>
      <c r="DN784" s="6"/>
      <c r="DO784" s="3"/>
      <c r="DP784" s="3"/>
      <c r="DQ784" s="6"/>
      <c r="DR784" s="3"/>
      <c r="DS784" s="3" t="str">
        <f>_xlfn.XLOOKUP(OfficeForms.Table[[#This Row],[Selecione a Categoria do Laboratório desta atividade prática:]],Planilha1!A:A,Planilha1!B:B)</f>
        <v>BFI</v>
      </c>
      <c r="DT784" s="6" t="str">
        <f>CONCATENATE(OfficeForms.Table[[#This Row],[Selecione seu Polo Laboratório de Atividades Presenciais:]],OfficeForms.Table[[#This Row],[CHAVE CONVERSÃO]])</f>
        <v>Paulo Afonso/BA - Tancredo Neves IIBFI</v>
      </c>
      <c r="DU78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Abordagens Fisioterapêuticas no Desenvolvimento Neuropsicomotor;Avaliação Motora e Estratégias de Reabilitação em Crianças com Paralisia Cerebral e Síndrome de Down</v>
      </c>
      <c r="DV78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78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84" s="6" t="str">
        <f>_xlfn.XLOOKUP(OfficeForms.Table[[#This Row],[CHAVE LINK POLO]],'[1]Quadro Geral de Lotação'!$B:$B,'[1]Quadro Geral de Lotação'!$I:$I)</f>
        <v>Vanessa Das Neves Varjao</v>
      </c>
      <c r="DY784" s="6" t="str">
        <f>OfficeForms.Table[[#This Row],[Selecione a Ordem de Disciplina]]</f>
        <v>Ordem 2</v>
      </c>
    </row>
    <row r="785" spans="1:129" ht="34.15" customHeight="1">
      <c r="A785" s="6">
        <v>785</v>
      </c>
      <c r="B785" s="2">
        <v>46129.577685185199</v>
      </c>
      <c r="C785" s="2">
        <v>46129.580798611103</v>
      </c>
      <c r="D785" s="3" t="s">
        <v>203</v>
      </c>
      <c r="E785" s="3" t="s">
        <v>204</v>
      </c>
      <c r="F785" s="6"/>
      <c r="G785" s="3"/>
      <c r="I785" s="3" t="s">
        <v>205</v>
      </c>
      <c r="J785" s="6"/>
      <c r="K785" s="3"/>
      <c r="L785" s="6" t="s">
        <v>1325</v>
      </c>
      <c r="M785" s="6"/>
      <c r="N785" s="6"/>
      <c r="O785" s="3" t="s">
        <v>184</v>
      </c>
      <c r="P785" s="6"/>
      <c r="Q785" s="3"/>
      <c r="R785" s="3"/>
      <c r="S785" s="6"/>
      <c r="T785" s="3"/>
      <c r="U785" s="7"/>
      <c r="V785" s="6"/>
      <c r="W785" s="3"/>
      <c r="X785" s="6"/>
      <c r="Y785" s="6"/>
      <c r="Z785" s="3"/>
      <c r="AA785" s="3"/>
      <c r="AB785" s="6"/>
      <c r="AC785" s="3"/>
      <c r="AD785" s="3"/>
      <c r="AE785" s="6"/>
      <c r="AF785" s="3"/>
      <c r="AG785" s="3" t="s">
        <v>2080</v>
      </c>
      <c r="AH785" s="6"/>
      <c r="AI785" s="3"/>
      <c r="AJ785" s="1">
        <v>46128</v>
      </c>
      <c r="AK785" s="6"/>
      <c r="AL785" s="3"/>
      <c r="AM785" s="6">
        <v>6</v>
      </c>
      <c r="AN785" s="6"/>
      <c r="AO785" s="3"/>
      <c r="AP785" s="3" t="s">
        <v>2252</v>
      </c>
      <c r="AQ785" s="6"/>
      <c r="AR785" s="3"/>
      <c r="AS785" s="3" t="s">
        <v>2253</v>
      </c>
      <c r="AT785" s="6"/>
      <c r="AU785" s="3"/>
      <c r="AV785" s="3"/>
      <c r="AW785" s="6"/>
      <c r="AX785" s="3"/>
      <c r="AY785" s="7"/>
      <c r="AZ785" s="6"/>
      <c r="BA785" s="3"/>
      <c r="BB785" s="6"/>
      <c r="BC785" s="6"/>
      <c r="BD785" s="3"/>
      <c r="BE785" s="3"/>
      <c r="BF785" s="6"/>
      <c r="BG785" s="3"/>
      <c r="BH785" s="3"/>
      <c r="BI785" s="6"/>
      <c r="BJ785" s="3"/>
      <c r="BK785" s="3"/>
      <c r="BL785" s="6"/>
      <c r="BM785" s="3"/>
      <c r="BN785" s="7"/>
      <c r="BO785" s="6"/>
      <c r="BP785" s="3"/>
      <c r="BQ785" s="6"/>
      <c r="BR785" s="6"/>
      <c r="BS785" s="3"/>
      <c r="BT785" s="3"/>
      <c r="BU785" s="6"/>
      <c r="BV785" s="3"/>
      <c r="BW785" s="3"/>
      <c r="BX785" s="6"/>
      <c r="BY785" s="3"/>
      <c r="BZ785" s="3"/>
      <c r="CA785" s="6"/>
      <c r="CB785" s="3"/>
      <c r="CC785" s="7"/>
      <c r="CD785" s="6"/>
      <c r="CE785" s="3"/>
      <c r="CF785" s="6"/>
      <c r="CG785" s="6"/>
      <c r="CH785" s="3"/>
      <c r="CI785" s="3"/>
      <c r="CJ785" s="6"/>
      <c r="CK785" s="3"/>
      <c r="CL785" s="3"/>
      <c r="CM785" s="6"/>
      <c r="CN785" s="3"/>
      <c r="CO785" s="3"/>
      <c r="CP785" s="6"/>
      <c r="CQ785" s="3"/>
      <c r="CR785" s="7"/>
      <c r="CS785" s="6"/>
      <c r="CT785" s="3"/>
      <c r="CU785" s="6"/>
      <c r="CV785" s="6"/>
      <c r="CW785" s="3"/>
      <c r="CX785" s="3"/>
      <c r="CY785" s="6"/>
      <c r="CZ785" s="3"/>
      <c r="DA785" s="3"/>
      <c r="DB785" s="6"/>
      <c r="DC785" s="3"/>
      <c r="DD785" s="3"/>
      <c r="DE785" s="6"/>
      <c r="DF785" s="3"/>
      <c r="DG785" s="7"/>
      <c r="DH785" s="6"/>
      <c r="DI785" s="3"/>
      <c r="DJ785" s="6"/>
      <c r="DK785" s="6"/>
      <c r="DL785" s="3"/>
      <c r="DM785" s="3"/>
      <c r="DN785" s="6"/>
      <c r="DO785" s="3"/>
      <c r="DP785" s="3"/>
      <c r="DQ785" s="6"/>
      <c r="DR785" s="3"/>
      <c r="DS785" s="3" t="str">
        <f>_xlfn.XLOOKUP(OfficeForms.Table[[#This Row],[Selecione a Categoria do Laboratório desta atividade prática:]],Planilha1!A:A,Planilha1!B:B)</f>
        <v>EMF-ISN</v>
      </c>
      <c r="DT785" s="6" t="str">
        <f>CONCATENATE(OfficeForms.Table[[#This Row],[Selecione seu Polo Laboratório de Atividades Presenciais:]],OfficeForms.Table[[#This Row],[CHAVE CONVERSÃO]])</f>
        <v>Rolim de Moura/ROEMF-ISN</v>
      </c>
      <c r="DU78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</v>
      </c>
      <c r="DV78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78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785" s="6" t="str">
        <f>_xlfn.XLOOKUP(OfficeForms.Table[[#This Row],[CHAVE LINK POLO]],'[1]Quadro Geral de Lotação'!$B:$B,'[1]Quadro Geral de Lotação'!$I:$I)</f>
        <v>Quezia Da Silva Dos Anjos Da Silva</v>
      </c>
      <c r="DY785" s="6" t="str">
        <f>OfficeForms.Table[[#This Row],[Selecione a Ordem de Disciplina]]</f>
        <v>Ordem 3</v>
      </c>
    </row>
    <row r="786" spans="1:129" ht="34.15" customHeight="1">
      <c r="A786" s="6">
        <v>786</v>
      </c>
      <c r="B786" s="2">
        <v>46129.590138888903</v>
      </c>
      <c r="C786" s="2">
        <v>46129.591145833299</v>
      </c>
      <c r="D786" s="3" t="s">
        <v>203</v>
      </c>
      <c r="E786" s="3" t="s">
        <v>204</v>
      </c>
      <c r="F786" s="6"/>
      <c r="G786" s="3"/>
      <c r="I786" s="3" t="s">
        <v>205</v>
      </c>
      <c r="J786" s="6"/>
      <c r="K786" s="3"/>
      <c r="L786" s="6" t="s">
        <v>1325</v>
      </c>
      <c r="M786" s="6"/>
      <c r="N786" s="6"/>
      <c r="O786" s="3" t="s">
        <v>184</v>
      </c>
      <c r="P786" s="6"/>
      <c r="Q786" s="3"/>
      <c r="R786" s="3"/>
      <c r="S786" s="6"/>
      <c r="T786" s="3"/>
      <c r="U786" s="7"/>
      <c r="V786" s="6"/>
      <c r="W786" s="3"/>
      <c r="X786" s="6"/>
      <c r="Y786" s="6"/>
      <c r="Z786" s="3"/>
      <c r="AA786" s="3"/>
      <c r="AB786" s="6"/>
      <c r="AC786" s="3"/>
      <c r="AD786" s="3"/>
      <c r="AE786" s="6"/>
      <c r="AF786" s="3"/>
      <c r="AG786" s="3" t="s">
        <v>2254</v>
      </c>
      <c r="AH786" s="6"/>
      <c r="AI786" s="3"/>
      <c r="AJ786" s="1">
        <v>46128</v>
      </c>
      <c r="AK786" s="6"/>
      <c r="AL786" s="3"/>
      <c r="AM786" s="6">
        <v>6</v>
      </c>
      <c r="AN786" s="6"/>
      <c r="AO786" s="3"/>
      <c r="AP786" s="3" t="s">
        <v>2255</v>
      </c>
      <c r="AQ786" s="6"/>
      <c r="AR786" s="3"/>
      <c r="AS786" s="3" t="s">
        <v>2256</v>
      </c>
      <c r="AT786" s="6"/>
      <c r="AU786" s="3"/>
      <c r="AV786" s="3"/>
      <c r="AW786" s="6"/>
      <c r="AX786" s="3"/>
      <c r="AY786" s="7"/>
      <c r="AZ786" s="6"/>
      <c r="BA786" s="3"/>
      <c r="BB786" s="6"/>
      <c r="BC786" s="6"/>
      <c r="BD786" s="3"/>
      <c r="BE786" s="3"/>
      <c r="BF786" s="6"/>
      <c r="BG786" s="3"/>
      <c r="BH786" s="3"/>
      <c r="BI786" s="6"/>
      <c r="BJ786" s="3"/>
      <c r="BK786" s="3"/>
      <c r="BL786" s="6"/>
      <c r="BM786" s="3"/>
      <c r="BN786" s="7"/>
      <c r="BO786" s="6"/>
      <c r="BP786" s="3"/>
      <c r="BQ786" s="6"/>
      <c r="BR786" s="6"/>
      <c r="BS786" s="3"/>
      <c r="BT786" s="3"/>
      <c r="BU786" s="6"/>
      <c r="BV786" s="3"/>
      <c r="BW786" s="3"/>
      <c r="BX786" s="6"/>
      <c r="BY786" s="3"/>
      <c r="BZ786" s="3"/>
      <c r="CA786" s="6"/>
      <c r="CB786" s="3"/>
      <c r="CC786" s="7"/>
      <c r="CD786" s="6"/>
      <c r="CE786" s="3"/>
      <c r="CF786" s="6"/>
      <c r="CG786" s="6"/>
      <c r="CH786" s="3"/>
      <c r="CI786" s="3"/>
      <c r="CJ786" s="6"/>
      <c r="CK786" s="3"/>
      <c r="CL786" s="3"/>
      <c r="CM786" s="6"/>
      <c r="CN786" s="3"/>
      <c r="CO786" s="3"/>
      <c r="CP786" s="6"/>
      <c r="CQ786" s="3"/>
      <c r="CR786" s="7"/>
      <c r="CS786" s="6"/>
      <c r="CT786" s="3"/>
      <c r="CU786" s="6"/>
      <c r="CV786" s="6"/>
      <c r="CW786" s="3"/>
      <c r="CX786" s="3"/>
      <c r="CY786" s="6"/>
      <c r="CZ786" s="3"/>
      <c r="DA786" s="3"/>
      <c r="DB786" s="6"/>
      <c r="DC786" s="3"/>
      <c r="DD786" s="3"/>
      <c r="DE786" s="6"/>
      <c r="DF786" s="3"/>
      <c r="DG786" s="7"/>
      <c r="DH786" s="6"/>
      <c r="DI786" s="3"/>
      <c r="DJ786" s="6"/>
      <c r="DK786" s="6"/>
      <c r="DL786" s="3"/>
      <c r="DM786" s="3"/>
      <c r="DN786" s="6"/>
      <c r="DO786" s="3"/>
      <c r="DP786" s="3"/>
      <c r="DQ786" s="6"/>
      <c r="DR786" s="3"/>
      <c r="DS786" s="3" t="str">
        <f>_xlfn.XLOOKUP(OfficeForms.Table[[#This Row],[Selecione a Categoria do Laboratório desta atividade prática:]],Planilha1!A:A,Planilha1!B:B)</f>
        <v>EMF-ISN</v>
      </c>
      <c r="DT786" s="6" t="str">
        <f>CONCATENATE(OfficeForms.Table[[#This Row],[Selecione seu Polo Laboratório de Atividades Presenciais:]],OfficeForms.Table[[#This Row],[CHAVE CONVERSÃO]])</f>
        <v>Rolim de Moura/ROEMF-ISN</v>
      </c>
      <c r="DU78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reprodutiva + Realização do exame de Papanicolau</v>
      </c>
      <c r="DV78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78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786" s="6" t="str">
        <f>_xlfn.XLOOKUP(OfficeForms.Table[[#This Row],[CHAVE LINK POLO]],'[1]Quadro Geral de Lotação'!$B:$B,'[1]Quadro Geral de Lotação'!$I:$I)</f>
        <v>Quezia Da Silva Dos Anjos Da Silva</v>
      </c>
      <c r="DY786" s="6" t="str">
        <f>OfficeForms.Table[[#This Row],[Selecione a Ordem de Disciplina]]</f>
        <v>Ordem 3</v>
      </c>
    </row>
    <row r="787" spans="1:129" ht="34.15" customHeight="1">
      <c r="A787" s="6">
        <v>787</v>
      </c>
      <c r="B787" s="2">
        <v>46129.661354166703</v>
      </c>
      <c r="C787" s="2">
        <v>46129.6628935185</v>
      </c>
      <c r="D787" s="3" t="s">
        <v>805</v>
      </c>
      <c r="E787" s="3" t="s">
        <v>806</v>
      </c>
      <c r="F787" s="6"/>
      <c r="G787" s="3"/>
      <c r="I787" s="3" t="s">
        <v>807</v>
      </c>
      <c r="J787" s="6"/>
      <c r="K787" s="3"/>
      <c r="L787" s="6" t="s">
        <v>678</v>
      </c>
      <c r="M787" s="6"/>
      <c r="N787" s="6"/>
      <c r="O787" s="3" t="s">
        <v>184</v>
      </c>
      <c r="P787" s="6"/>
      <c r="Q787" s="3"/>
      <c r="R787" s="3"/>
      <c r="S787" s="6"/>
      <c r="T787" s="3"/>
      <c r="U787" s="7"/>
      <c r="V787" s="6"/>
      <c r="W787" s="3"/>
      <c r="X787" s="6"/>
      <c r="Y787" s="6"/>
      <c r="Z787" s="3"/>
      <c r="AA787" s="3"/>
      <c r="AB787" s="6"/>
      <c r="AC787" s="3"/>
      <c r="AD787" s="3"/>
      <c r="AE787" s="6"/>
      <c r="AF787" s="3"/>
      <c r="AG787" s="3" t="s">
        <v>211</v>
      </c>
      <c r="AH787" s="6"/>
      <c r="AI787" s="3"/>
      <c r="AJ787" s="1">
        <v>46107</v>
      </c>
      <c r="AK787" s="6"/>
      <c r="AL787" s="3"/>
      <c r="AM787" s="6">
        <v>0</v>
      </c>
      <c r="AN787" s="6"/>
      <c r="AO787" s="3"/>
      <c r="AP787" s="3" t="s">
        <v>2257</v>
      </c>
      <c r="AQ787" s="6"/>
      <c r="AR787" s="3"/>
      <c r="AS787" s="3" t="s">
        <v>2258</v>
      </c>
      <c r="AT787" s="6"/>
      <c r="AU787" s="3"/>
      <c r="AV787" s="3"/>
      <c r="AW787" s="6"/>
      <c r="AX787" s="3"/>
      <c r="AY787" s="7"/>
      <c r="AZ787" s="6"/>
      <c r="BA787" s="3"/>
      <c r="BB787" s="6"/>
      <c r="BC787" s="6"/>
      <c r="BD787" s="3"/>
      <c r="BE787" s="3"/>
      <c r="BF787" s="6"/>
      <c r="BG787" s="3"/>
      <c r="BH787" s="3"/>
      <c r="BI787" s="6"/>
      <c r="BJ787" s="3"/>
      <c r="BK787" s="3"/>
      <c r="BL787" s="6"/>
      <c r="BM787" s="3"/>
      <c r="BN787" s="7"/>
      <c r="BO787" s="6"/>
      <c r="BP787" s="3"/>
      <c r="BQ787" s="6"/>
      <c r="BR787" s="6"/>
      <c r="BS787" s="3"/>
      <c r="BT787" s="3"/>
      <c r="BU787" s="6"/>
      <c r="BV787" s="3"/>
      <c r="BW787" s="3"/>
      <c r="BX787" s="6"/>
      <c r="BY787" s="3"/>
      <c r="BZ787" s="3"/>
      <c r="CA787" s="6"/>
      <c r="CB787" s="3"/>
      <c r="CC787" s="7"/>
      <c r="CD787" s="6"/>
      <c r="CE787" s="3"/>
      <c r="CF787" s="6"/>
      <c r="CG787" s="6"/>
      <c r="CH787" s="3"/>
      <c r="CI787" s="3"/>
      <c r="CJ787" s="6"/>
      <c r="CK787" s="3"/>
      <c r="CL787" s="3"/>
      <c r="CM787" s="6"/>
      <c r="CN787" s="3"/>
      <c r="CO787" s="3"/>
      <c r="CP787" s="6"/>
      <c r="CQ787" s="3"/>
      <c r="CR787" s="7"/>
      <c r="CS787" s="6"/>
      <c r="CT787" s="3"/>
      <c r="CU787" s="6"/>
      <c r="CV787" s="6"/>
      <c r="CW787" s="3"/>
      <c r="CX787" s="3"/>
      <c r="CY787" s="6"/>
      <c r="CZ787" s="3"/>
      <c r="DA787" s="3"/>
      <c r="DB787" s="6"/>
      <c r="DC787" s="3"/>
      <c r="DD787" s="3"/>
      <c r="DE787" s="6"/>
      <c r="DF787" s="3"/>
      <c r="DG787" s="7"/>
      <c r="DH787" s="6"/>
      <c r="DI787" s="3"/>
      <c r="DJ787" s="6"/>
      <c r="DK787" s="6"/>
      <c r="DL787" s="3"/>
      <c r="DM787" s="3"/>
      <c r="DN787" s="6"/>
      <c r="DO787" s="3"/>
      <c r="DP787" s="3"/>
      <c r="DQ787" s="6"/>
      <c r="DR787" s="3"/>
      <c r="DS787" s="3" t="str">
        <f>_xlfn.XLOOKUP(OfficeForms.Table[[#This Row],[Selecione a Categoria do Laboratório desta atividade prática:]],Planilha1!A:A,Planilha1!B:B)</f>
        <v>EMF-ISN</v>
      </c>
      <c r="DT787" s="6" t="str">
        <f>CONCATENATE(OfficeForms.Table[[#This Row],[Selecione seu Polo Laboratório de Atividades Presenciais:]],OfficeForms.Table[[#This Row],[CHAVE CONVERSÃO]])</f>
        <v>Sidrolândia/MSEMF-ISN</v>
      </c>
      <c r="DU78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78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78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87" s="6" t="str">
        <f>_xlfn.XLOOKUP(OfficeForms.Table[[#This Row],[CHAVE LINK POLO]],'[1]Quadro Geral de Lotação'!$B:$B,'[1]Quadro Geral de Lotação'!$I:$I)</f>
        <v>Maria Ignacia Fabricio Meirelles</v>
      </c>
      <c r="DY787" s="6" t="str">
        <f>OfficeForms.Table[[#This Row],[Selecione a Ordem de Disciplina]]</f>
        <v>Ordem 2</v>
      </c>
    </row>
    <row r="788" spans="1:129" ht="34.15" customHeight="1">
      <c r="A788" s="6">
        <v>788</v>
      </c>
      <c r="B788" s="2">
        <v>46129.836967592601</v>
      </c>
      <c r="C788" s="2">
        <v>46129.838819444398</v>
      </c>
      <c r="D788" s="3" t="s">
        <v>181</v>
      </c>
      <c r="E788" s="3" t="s">
        <v>182</v>
      </c>
      <c r="F788" s="6"/>
      <c r="G788" s="3"/>
      <c r="I788" s="3" t="s">
        <v>183</v>
      </c>
      <c r="J788" s="6"/>
      <c r="K788" s="3"/>
      <c r="L788" s="6" t="s">
        <v>1325</v>
      </c>
      <c r="M788" s="6"/>
      <c r="N788" s="6"/>
      <c r="O788" s="3" t="s">
        <v>184</v>
      </c>
      <c r="P788" s="6"/>
      <c r="Q788" s="3"/>
      <c r="R788" s="3"/>
      <c r="S788" s="6"/>
      <c r="T788" s="3"/>
      <c r="U788" s="7"/>
      <c r="V788" s="6"/>
      <c r="W788" s="3"/>
      <c r="X788" s="6"/>
      <c r="Y788" s="6"/>
      <c r="Z788" s="3"/>
      <c r="AA788" s="3"/>
      <c r="AB788" s="6"/>
      <c r="AC788" s="3"/>
      <c r="AD788" s="3"/>
      <c r="AE788" s="6"/>
      <c r="AF788" s="3"/>
      <c r="AG788" s="3" t="s">
        <v>194</v>
      </c>
      <c r="AH788" s="6"/>
      <c r="AI788" s="3"/>
      <c r="AJ788" s="1">
        <v>46122</v>
      </c>
      <c r="AK788" s="6"/>
      <c r="AL788" s="3"/>
      <c r="AM788" s="6">
        <v>2</v>
      </c>
      <c r="AN788" s="6"/>
      <c r="AO788" s="3"/>
      <c r="AP788" s="3" t="s">
        <v>2259</v>
      </c>
      <c r="AQ788" s="6"/>
      <c r="AR788" s="3"/>
      <c r="AS788" s="3" t="s">
        <v>2260</v>
      </c>
      <c r="AT788" s="6"/>
      <c r="AU788" s="3"/>
      <c r="AV788" s="3"/>
      <c r="AW788" s="6"/>
      <c r="AX788" s="3"/>
      <c r="AY788" s="7"/>
      <c r="AZ788" s="6"/>
      <c r="BA788" s="3"/>
      <c r="BB788" s="6"/>
      <c r="BC788" s="6"/>
      <c r="BD788" s="3"/>
      <c r="BE788" s="3"/>
      <c r="BF788" s="6"/>
      <c r="BG788" s="3"/>
      <c r="BH788" s="3"/>
      <c r="BI788" s="6"/>
      <c r="BJ788" s="3"/>
      <c r="BK788" s="3"/>
      <c r="BL788" s="6"/>
      <c r="BM788" s="3"/>
      <c r="BN788" s="7"/>
      <c r="BO788" s="6"/>
      <c r="BP788" s="3"/>
      <c r="BQ788" s="6"/>
      <c r="BR788" s="6"/>
      <c r="BS788" s="3"/>
      <c r="BT788" s="3"/>
      <c r="BU788" s="6"/>
      <c r="BV788" s="3"/>
      <c r="BW788" s="3"/>
      <c r="BX788" s="6"/>
      <c r="BY788" s="3"/>
      <c r="BZ788" s="3"/>
      <c r="CA788" s="6"/>
      <c r="CB788" s="3"/>
      <c r="CC788" s="7"/>
      <c r="CD788" s="6"/>
      <c r="CE788" s="3"/>
      <c r="CF788" s="6"/>
      <c r="CG788" s="6"/>
      <c r="CH788" s="3"/>
      <c r="CI788" s="3"/>
      <c r="CJ788" s="6"/>
      <c r="CK788" s="3"/>
      <c r="CL788" s="3"/>
      <c r="CM788" s="6"/>
      <c r="CN788" s="3"/>
      <c r="CO788" s="3"/>
      <c r="CP788" s="6"/>
      <c r="CQ788" s="3"/>
      <c r="CR788" s="7"/>
      <c r="CS788" s="6"/>
      <c r="CT788" s="3"/>
      <c r="CU788" s="6"/>
      <c r="CV788" s="6"/>
      <c r="CW788" s="3"/>
      <c r="CX788" s="3"/>
      <c r="CY788" s="6"/>
      <c r="CZ788" s="3"/>
      <c r="DA788" s="3"/>
      <c r="DB788" s="6"/>
      <c r="DC788" s="3"/>
      <c r="DD788" s="3"/>
      <c r="DE788" s="6"/>
      <c r="DF788" s="3"/>
      <c r="DG788" s="7"/>
      <c r="DH788" s="6"/>
      <c r="DI788" s="3"/>
      <c r="DJ788" s="6"/>
      <c r="DK788" s="6"/>
      <c r="DL788" s="3"/>
      <c r="DM788" s="3"/>
      <c r="DN788" s="6"/>
      <c r="DO788" s="3"/>
      <c r="DP788" s="3"/>
      <c r="DQ788" s="6"/>
      <c r="DR788" s="3"/>
      <c r="DS788" s="3" t="str">
        <f>_xlfn.XLOOKUP(OfficeForms.Table[[#This Row],[Selecione a Categoria do Laboratório desta atividade prática:]],Planilha1!A:A,Planilha1!B:B)</f>
        <v>EMF-ISN</v>
      </c>
      <c r="DT788" s="6" t="str">
        <f>CONCATENATE(OfficeForms.Table[[#This Row],[Selecione seu Polo Laboratório de Atividades Presenciais:]],OfficeForms.Table[[#This Row],[CHAVE CONVERSÃO]])</f>
        <v>Herval D'Oeste/SCEMF-ISN</v>
      </c>
      <c r="DU78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78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46122</v>
      </c>
      <c r="DW78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88" s="6" t="str">
        <f>_xlfn.XLOOKUP(OfficeForms.Table[[#This Row],[CHAVE LINK POLO]],'[1]Quadro Geral de Lotação'!$B:$B,'[1]Quadro Geral de Lotação'!$I:$I)</f>
        <v>Maksllene Ingrid De Souza Cavalcanti Spessatto</v>
      </c>
      <c r="DY788" s="6" t="str">
        <f>OfficeForms.Table[[#This Row],[Selecione a Ordem de Disciplina]]</f>
        <v>Ordem 3</v>
      </c>
    </row>
    <row r="789" spans="1:129" ht="34.15" customHeight="1">
      <c r="A789" s="6">
        <v>789</v>
      </c>
      <c r="B789" s="2">
        <v>46129.978344907402</v>
      </c>
      <c r="C789" s="2">
        <v>46129.982499999998</v>
      </c>
      <c r="D789" s="3" t="s">
        <v>2261</v>
      </c>
      <c r="E789" s="3" t="s">
        <v>2262</v>
      </c>
      <c r="F789" s="6"/>
      <c r="G789" s="3"/>
      <c r="I789" s="3" t="s">
        <v>2263</v>
      </c>
      <c r="J789" s="6"/>
      <c r="K789" s="3"/>
      <c r="L789" s="6" t="s">
        <v>132</v>
      </c>
      <c r="M789" s="6"/>
      <c r="N789" s="6"/>
      <c r="O789" s="3" t="s">
        <v>184</v>
      </c>
      <c r="P789" s="6"/>
      <c r="Q789" s="3"/>
      <c r="R789" s="3"/>
      <c r="S789" s="6"/>
      <c r="T789" s="3"/>
      <c r="U789" s="7"/>
      <c r="V789" s="6"/>
      <c r="W789" s="3"/>
      <c r="X789" s="6"/>
      <c r="Y789" s="6"/>
      <c r="Z789" s="3"/>
      <c r="AA789" s="3"/>
      <c r="AB789" s="6"/>
      <c r="AC789" s="3"/>
      <c r="AD789" s="3"/>
      <c r="AE789" s="6"/>
      <c r="AF789" s="3"/>
      <c r="AG789" s="3" t="s">
        <v>316</v>
      </c>
      <c r="AH789" s="6"/>
      <c r="AI789" s="3"/>
      <c r="AJ789" s="1">
        <v>46086</v>
      </c>
      <c r="AK789" s="6"/>
      <c r="AL789" s="3"/>
      <c r="AM789" s="6">
        <v>2</v>
      </c>
      <c r="AN789" s="6"/>
      <c r="AO789" s="3"/>
      <c r="AP789" s="3" t="s">
        <v>2264</v>
      </c>
      <c r="AQ789" s="6"/>
      <c r="AR789" s="3"/>
      <c r="AS789" s="3" t="s">
        <v>2265</v>
      </c>
      <c r="AT789" s="6"/>
      <c r="AU789" s="3"/>
      <c r="AV789" s="3"/>
      <c r="AW789" s="6"/>
      <c r="AX789" s="3"/>
      <c r="AY789" s="7"/>
      <c r="AZ789" s="6"/>
      <c r="BA789" s="3"/>
      <c r="BB789" s="6"/>
      <c r="BC789" s="6"/>
      <c r="BD789" s="3"/>
      <c r="BE789" s="3"/>
      <c r="BF789" s="6"/>
      <c r="BG789" s="3"/>
      <c r="BH789" s="3"/>
      <c r="BI789" s="6"/>
      <c r="BJ789" s="3"/>
      <c r="BK789" s="3"/>
      <c r="BL789" s="6"/>
      <c r="BM789" s="3"/>
      <c r="BN789" s="7"/>
      <c r="BO789" s="6"/>
      <c r="BP789" s="3"/>
      <c r="BQ789" s="6"/>
      <c r="BR789" s="6"/>
      <c r="BS789" s="3"/>
      <c r="BT789" s="3"/>
      <c r="BU789" s="6"/>
      <c r="BV789" s="3"/>
      <c r="BW789" s="3"/>
      <c r="BX789" s="6"/>
      <c r="BY789" s="3"/>
      <c r="BZ789" s="3"/>
      <c r="CA789" s="6"/>
      <c r="CB789" s="3"/>
      <c r="CC789" s="7"/>
      <c r="CD789" s="6"/>
      <c r="CE789" s="3"/>
      <c r="CF789" s="6"/>
      <c r="CG789" s="6"/>
      <c r="CH789" s="3"/>
      <c r="CI789" s="3"/>
      <c r="CJ789" s="6"/>
      <c r="CK789" s="3"/>
      <c r="CL789" s="3"/>
      <c r="CM789" s="6"/>
      <c r="CN789" s="3"/>
      <c r="CO789" s="3"/>
      <c r="CP789" s="6"/>
      <c r="CQ789" s="3"/>
      <c r="CR789" s="7"/>
      <c r="CS789" s="6"/>
      <c r="CT789" s="3"/>
      <c r="CU789" s="6"/>
      <c r="CV789" s="6"/>
      <c r="CW789" s="3"/>
      <c r="CX789" s="3"/>
      <c r="CY789" s="6"/>
      <c r="CZ789" s="3"/>
      <c r="DA789" s="3"/>
      <c r="DB789" s="6"/>
      <c r="DC789" s="3"/>
      <c r="DD789" s="3"/>
      <c r="DE789" s="6"/>
      <c r="DF789" s="3"/>
      <c r="DG789" s="7"/>
      <c r="DH789" s="6"/>
      <c r="DI789" s="3"/>
      <c r="DJ789" s="6"/>
      <c r="DK789" s="6"/>
      <c r="DL789" s="3"/>
      <c r="DM789" s="3"/>
      <c r="DN789" s="6"/>
      <c r="DO789" s="3"/>
      <c r="DP789" s="3"/>
      <c r="DQ789" s="6"/>
      <c r="DR789" s="3"/>
      <c r="DS789" s="3" t="str">
        <f>_xlfn.XLOOKUP(OfficeForms.Table[[#This Row],[Selecione a Categoria do Laboratório desta atividade prática:]],Planilha1!A:A,Planilha1!B:B)</f>
        <v>EMF-ISN</v>
      </c>
      <c r="DT789" s="6" t="str">
        <f>CONCATENATE(OfficeForms.Table[[#This Row],[Selecione seu Polo Laboratório de Atividades Presenciais:]],OfficeForms.Table[[#This Row],[CHAVE CONVERSÃO]])</f>
        <v>Barcelos/AMEMF-ISN</v>
      </c>
      <c r="DU78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78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46086</v>
      </c>
      <c r="DW78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89" s="6" t="str">
        <f>_xlfn.XLOOKUP(OfficeForms.Table[[#This Row],[CHAVE LINK POLO]],'[1]Quadro Geral de Lotação'!$B:$B,'[1]Quadro Geral de Lotação'!$I:$I)</f>
        <v>Priscila Ferreira De Sousa</v>
      </c>
      <c r="DY789" s="6" t="str">
        <f>OfficeForms.Table[[#This Row],[Selecione a Ordem de Disciplina]]</f>
        <v>Ordem 1</v>
      </c>
    </row>
    <row r="790" spans="1:129" ht="34.15" customHeight="1">
      <c r="A790" s="6">
        <v>790</v>
      </c>
      <c r="B790" s="2">
        <v>46129.982638888898</v>
      </c>
      <c r="C790" s="2">
        <v>46129.993888888901</v>
      </c>
      <c r="D790" s="3" t="s">
        <v>2261</v>
      </c>
      <c r="E790" s="3" t="s">
        <v>2262</v>
      </c>
      <c r="F790" s="6"/>
      <c r="G790" s="3"/>
      <c r="I790" s="3" t="s">
        <v>2263</v>
      </c>
      <c r="J790" s="6"/>
      <c r="K790" s="3"/>
      <c r="L790" s="6" t="s">
        <v>132</v>
      </c>
      <c r="M790" s="6"/>
      <c r="N790" s="6"/>
      <c r="O790" s="3" t="s">
        <v>184</v>
      </c>
      <c r="P790" s="6"/>
      <c r="Q790" s="3"/>
      <c r="R790" s="3"/>
      <c r="S790" s="6"/>
      <c r="T790" s="3"/>
      <c r="U790" s="7"/>
      <c r="V790" s="6"/>
      <c r="W790" s="3"/>
      <c r="X790" s="6"/>
      <c r="Y790" s="6"/>
      <c r="Z790" s="3"/>
      <c r="AA790" s="3"/>
      <c r="AB790" s="6"/>
      <c r="AC790" s="3"/>
      <c r="AD790" s="3"/>
      <c r="AE790" s="6"/>
      <c r="AF790" s="3"/>
      <c r="AG790" s="3" t="s">
        <v>414</v>
      </c>
      <c r="AH790" s="6"/>
      <c r="AI790" s="3"/>
      <c r="AJ790" s="1">
        <v>46093</v>
      </c>
      <c r="AK790" s="6"/>
      <c r="AL790" s="3"/>
      <c r="AM790" s="6">
        <v>2</v>
      </c>
      <c r="AN790" s="6"/>
      <c r="AO790" s="3"/>
      <c r="AP790" s="3" t="s">
        <v>2266</v>
      </c>
      <c r="AQ790" s="6"/>
      <c r="AR790" s="3"/>
      <c r="AS790" s="3" t="s">
        <v>2267</v>
      </c>
      <c r="AT790" s="6"/>
      <c r="AU790" s="3"/>
      <c r="AV790" s="3"/>
      <c r="AW790" s="6"/>
      <c r="AX790" s="3"/>
      <c r="AY790" s="7"/>
      <c r="AZ790" s="6"/>
      <c r="BA790" s="3"/>
      <c r="BB790" s="6"/>
      <c r="BC790" s="6"/>
      <c r="BD790" s="3"/>
      <c r="BE790" s="3"/>
      <c r="BF790" s="6"/>
      <c r="BG790" s="3"/>
      <c r="BH790" s="3"/>
      <c r="BI790" s="6"/>
      <c r="BJ790" s="3"/>
      <c r="BK790" s="3"/>
      <c r="BL790" s="6"/>
      <c r="BM790" s="3"/>
      <c r="BN790" s="7"/>
      <c r="BO790" s="6"/>
      <c r="BP790" s="3"/>
      <c r="BQ790" s="6"/>
      <c r="BR790" s="6"/>
      <c r="BS790" s="3"/>
      <c r="BT790" s="3"/>
      <c r="BU790" s="6"/>
      <c r="BV790" s="3"/>
      <c r="BW790" s="3"/>
      <c r="BX790" s="6"/>
      <c r="BY790" s="3"/>
      <c r="BZ790" s="3"/>
      <c r="CA790" s="6"/>
      <c r="CB790" s="3"/>
      <c r="CC790" s="7"/>
      <c r="CD790" s="6"/>
      <c r="CE790" s="3"/>
      <c r="CF790" s="6"/>
      <c r="CG790" s="6"/>
      <c r="CH790" s="3"/>
      <c r="CI790" s="3"/>
      <c r="CJ790" s="6"/>
      <c r="CK790" s="3"/>
      <c r="CL790" s="3"/>
      <c r="CM790" s="6"/>
      <c r="CN790" s="3"/>
      <c r="CO790" s="3"/>
      <c r="CP790" s="6"/>
      <c r="CQ790" s="3"/>
      <c r="CR790" s="7"/>
      <c r="CS790" s="6"/>
      <c r="CT790" s="3"/>
      <c r="CU790" s="6"/>
      <c r="CV790" s="6"/>
      <c r="CW790" s="3"/>
      <c r="CX790" s="3"/>
      <c r="CY790" s="6"/>
      <c r="CZ790" s="3"/>
      <c r="DA790" s="3"/>
      <c r="DB790" s="6"/>
      <c r="DC790" s="3"/>
      <c r="DD790" s="3"/>
      <c r="DE790" s="6"/>
      <c r="DF790" s="3"/>
      <c r="DG790" s="7"/>
      <c r="DH790" s="6"/>
      <c r="DI790" s="3"/>
      <c r="DJ790" s="6"/>
      <c r="DK790" s="6"/>
      <c r="DL790" s="3"/>
      <c r="DM790" s="3"/>
      <c r="DN790" s="6"/>
      <c r="DO790" s="3"/>
      <c r="DP790" s="3"/>
      <c r="DQ790" s="6"/>
      <c r="DR790" s="3"/>
      <c r="DS790" s="3" t="str">
        <f>_xlfn.XLOOKUP(OfficeForms.Table[[#This Row],[Selecione a Categoria do Laboratório desta atividade prática:]],Planilha1!A:A,Planilha1!B:B)</f>
        <v>EMF-ISN</v>
      </c>
      <c r="DT790" s="6" t="str">
        <f>CONCATENATE(OfficeForms.Table[[#This Row],[Selecione seu Polo Laboratório de Atividades Presenciais:]],OfficeForms.Table[[#This Row],[CHAVE CONVERSÃO]])</f>
        <v>Barcelos/AMEMF-ISN</v>
      </c>
      <c r="DU79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79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46093</v>
      </c>
      <c r="DW79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90" s="6" t="str">
        <f>_xlfn.XLOOKUP(OfficeForms.Table[[#This Row],[CHAVE LINK POLO]],'[1]Quadro Geral de Lotação'!$B:$B,'[1]Quadro Geral de Lotação'!$I:$I)</f>
        <v>Priscila Ferreira De Sousa</v>
      </c>
      <c r="DY790" s="6" t="str">
        <f>OfficeForms.Table[[#This Row],[Selecione a Ordem de Disciplina]]</f>
        <v>Ordem 1</v>
      </c>
    </row>
    <row r="791" spans="1:129" ht="34.15" customHeight="1">
      <c r="A791" s="6">
        <v>791</v>
      </c>
      <c r="B791" s="2">
        <v>46130.002303240697</v>
      </c>
      <c r="C791" s="2">
        <v>46130.007210648197</v>
      </c>
      <c r="D791" s="3" t="s">
        <v>2261</v>
      </c>
      <c r="E791" s="3" t="s">
        <v>2262</v>
      </c>
      <c r="F791" s="6"/>
      <c r="G791" s="3"/>
      <c r="I791" s="3" t="s">
        <v>2263</v>
      </c>
      <c r="J791" s="6"/>
      <c r="K791" s="3"/>
      <c r="L791" s="6" t="s">
        <v>678</v>
      </c>
      <c r="M791" s="6"/>
      <c r="N791" s="6"/>
      <c r="O791" s="3" t="s">
        <v>184</v>
      </c>
      <c r="P791" s="6"/>
      <c r="Q791" s="3"/>
      <c r="R791" s="3"/>
      <c r="S791" s="6"/>
      <c r="T791" s="3"/>
      <c r="U791" s="7"/>
      <c r="V791" s="6"/>
      <c r="W791" s="3"/>
      <c r="X791" s="6"/>
      <c r="Y791" s="6"/>
      <c r="Z791" s="3"/>
      <c r="AA791" s="3"/>
      <c r="AB791" s="6"/>
      <c r="AC791" s="3"/>
      <c r="AD791" s="3"/>
      <c r="AE791" s="6"/>
      <c r="AF791" s="3"/>
      <c r="AG791" s="3" t="s">
        <v>1105</v>
      </c>
      <c r="AH791" s="6"/>
      <c r="AI791" s="3"/>
      <c r="AJ791" s="1">
        <v>46123</v>
      </c>
      <c r="AK791" s="6"/>
      <c r="AL791" s="3"/>
      <c r="AM791" s="6">
        <v>2</v>
      </c>
      <c r="AN791" s="6"/>
      <c r="AO791" s="3"/>
      <c r="AP791" s="3" t="s">
        <v>2268</v>
      </c>
      <c r="AQ791" s="6"/>
      <c r="AR791" s="3"/>
      <c r="AS791" s="3" t="s">
        <v>2269</v>
      </c>
      <c r="AT791" s="6"/>
      <c r="AU791" s="3"/>
      <c r="AV791" s="3"/>
      <c r="AW791" s="6"/>
      <c r="AX791" s="3"/>
      <c r="AY791" s="7"/>
      <c r="AZ791" s="6"/>
      <c r="BA791" s="3"/>
      <c r="BB791" s="6"/>
      <c r="BC791" s="6"/>
      <c r="BD791" s="3"/>
      <c r="BE791" s="3"/>
      <c r="BF791" s="6"/>
      <c r="BG791" s="3"/>
      <c r="BH791" s="3"/>
      <c r="BI791" s="6"/>
      <c r="BJ791" s="3"/>
      <c r="BK791" s="3"/>
      <c r="BL791" s="6"/>
      <c r="BM791" s="3"/>
      <c r="BN791" s="7"/>
      <c r="BO791" s="6"/>
      <c r="BP791" s="3"/>
      <c r="BQ791" s="6"/>
      <c r="BR791" s="6"/>
      <c r="BS791" s="3"/>
      <c r="BT791" s="3"/>
      <c r="BU791" s="6"/>
      <c r="BV791" s="3"/>
      <c r="BW791" s="3"/>
      <c r="BX791" s="6"/>
      <c r="BY791" s="3"/>
      <c r="BZ791" s="3"/>
      <c r="CA791" s="6"/>
      <c r="CB791" s="3"/>
      <c r="CC791" s="7"/>
      <c r="CD791" s="6"/>
      <c r="CE791" s="3"/>
      <c r="CF791" s="6"/>
      <c r="CG791" s="6"/>
      <c r="CH791" s="3"/>
      <c r="CI791" s="3"/>
      <c r="CJ791" s="6"/>
      <c r="CK791" s="3"/>
      <c r="CL791" s="3"/>
      <c r="CM791" s="6"/>
      <c r="CN791" s="3"/>
      <c r="CO791" s="3"/>
      <c r="CP791" s="6"/>
      <c r="CQ791" s="3"/>
      <c r="CR791" s="7"/>
      <c r="CS791" s="6"/>
      <c r="CT791" s="3"/>
      <c r="CU791" s="6"/>
      <c r="CV791" s="6"/>
      <c r="CW791" s="3"/>
      <c r="CX791" s="3"/>
      <c r="CY791" s="6"/>
      <c r="CZ791" s="3"/>
      <c r="DA791" s="3"/>
      <c r="DB791" s="6"/>
      <c r="DC791" s="3"/>
      <c r="DD791" s="3"/>
      <c r="DE791" s="6"/>
      <c r="DF791" s="3"/>
      <c r="DG791" s="7"/>
      <c r="DH791" s="6"/>
      <c r="DI791" s="3"/>
      <c r="DJ791" s="6"/>
      <c r="DK791" s="6"/>
      <c r="DL791" s="3"/>
      <c r="DM791" s="3"/>
      <c r="DN791" s="6"/>
      <c r="DO791" s="3"/>
      <c r="DP791" s="3"/>
      <c r="DQ791" s="6"/>
      <c r="DR791" s="3"/>
      <c r="DS791" s="3" t="str">
        <f>_xlfn.XLOOKUP(OfficeForms.Table[[#This Row],[Selecione a Categoria do Laboratório desta atividade prática:]],Planilha1!A:A,Planilha1!B:B)</f>
        <v>EMF-ISN</v>
      </c>
      <c r="DT791" s="6" t="str">
        <f>CONCATENATE(OfficeForms.Table[[#This Row],[Selecione seu Polo Laboratório de Atividades Presenciais:]],OfficeForms.Table[[#This Row],[CHAVE CONVERSÃO]])</f>
        <v>Barcelos/AMEMF-ISN</v>
      </c>
      <c r="DU79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79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46123</v>
      </c>
      <c r="DW79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91" s="6" t="str">
        <f>_xlfn.XLOOKUP(OfficeForms.Table[[#This Row],[CHAVE LINK POLO]],'[1]Quadro Geral de Lotação'!$B:$B,'[1]Quadro Geral de Lotação'!$I:$I)</f>
        <v>Priscila Ferreira De Sousa</v>
      </c>
      <c r="DY791" s="6" t="str">
        <f>OfficeForms.Table[[#This Row],[Selecione a Ordem de Disciplina]]</f>
        <v>Ordem 2</v>
      </c>
    </row>
    <row r="792" spans="1:129" ht="34.15" customHeight="1">
      <c r="A792" s="6">
        <v>792</v>
      </c>
      <c r="B792" s="2">
        <v>46130.018136574101</v>
      </c>
      <c r="C792" s="2">
        <v>46130.021967592598</v>
      </c>
      <c r="D792" s="3" t="s">
        <v>2261</v>
      </c>
      <c r="E792" s="3" t="s">
        <v>2262</v>
      </c>
      <c r="F792" s="6"/>
      <c r="G792" s="3"/>
      <c r="I792" s="3" t="s">
        <v>2263</v>
      </c>
      <c r="J792" s="6"/>
      <c r="K792" s="3"/>
      <c r="L792" s="6" t="s">
        <v>678</v>
      </c>
      <c r="M792" s="6"/>
      <c r="N792" s="6"/>
      <c r="O792" s="3" t="s">
        <v>184</v>
      </c>
      <c r="P792" s="6"/>
      <c r="Q792" s="3"/>
      <c r="R792" s="3"/>
      <c r="S792" s="6"/>
      <c r="T792" s="3"/>
      <c r="U792" s="7"/>
      <c r="V792" s="6"/>
      <c r="W792" s="3"/>
      <c r="X792" s="6"/>
      <c r="Y792" s="6"/>
      <c r="Z792" s="3"/>
      <c r="AA792" s="3"/>
      <c r="AB792" s="6"/>
      <c r="AC792" s="3"/>
      <c r="AD792" s="3"/>
      <c r="AE792" s="6"/>
      <c r="AF792" s="3"/>
      <c r="AG792" s="3" t="s">
        <v>1278</v>
      </c>
      <c r="AH792" s="6"/>
      <c r="AI792" s="3"/>
      <c r="AJ792" s="1">
        <v>46121</v>
      </c>
      <c r="AK792" s="6"/>
      <c r="AL792" s="3"/>
      <c r="AM792" s="6">
        <v>2</v>
      </c>
      <c r="AN792" s="6"/>
      <c r="AO792" s="3"/>
      <c r="AP792" s="3" t="s">
        <v>2270</v>
      </c>
      <c r="AQ792" s="6"/>
      <c r="AR792" s="3"/>
      <c r="AS792" s="3" t="s">
        <v>2271</v>
      </c>
      <c r="AT792" s="6"/>
      <c r="AU792" s="3"/>
      <c r="AV792" s="3"/>
      <c r="AW792" s="6"/>
      <c r="AX792" s="3"/>
      <c r="AY792" s="7"/>
      <c r="AZ792" s="6"/>
      <c r="BA792" s="3"/>
      <c r="BB792" s="6"/>
      <c r="BC792" s="6"/>
      <c r="BD792" s="3"/>
      <c r="BE792" s="3"/>
      <c r="BF792" s="6"/>
      <c r="BG792" s="3"/>
      <c r="BH792" s="3"/>
      <c r="BI792" s="6"/>
      <c r="BJ792" s="3"/>
      <c r="BK792" s="3"/>
      <c r="BL792" s="6"/>
      <c r="BM792" s="3"/>
      <c r="BN792" s="7"/>
      <c r="BO792" s="6"/>
      <c r="BP792" s="3"/>
      <c r="BQ792" s="6"/>
      <c r="BR792" s="6"/>
      <c r="BS792" s="3"/>
      <c r="BT792" s="3"/>
      <c r="BU792" s="6"/>
      <c r="BV792" s="3"/>
      <c r="BW792" s="3"/>
      <c r="BX792" s="6"/>
      <c r="BY792" s="3"/>
      <c r="BZ792" s="3"/>
      <c r="CA792" s="6"/>
      <c r="CB792" s="3"/>
      <c r="CC792" s="7"/>
      <c r="CD792" s="6"/>
      <c r="CE792" s="3"/>
      <c r="CF792" s="6"/>
      <c r="CG792" s="6"/>
      <c r="CH792" s="3"/>
      <c r="CI792" s="3"/>
      <c r="CJ792" s="6"/>
      <c r="CK792" s="3"/>
      <c r="CL792" s="3"/>
      <c r="CM792" s="6"/>
      <c r="CN792" s="3"/>
      <c r="CO792" s="3"/>
      <c r="CP792" s="6"/>
      <c r="CQ792" s="3"/>
      <c r="CR792" s="7"/>
      <c r="CS792" s="6"/>
      <c r="CT792" s="3"/>
      <c r="CU792" s="6"/>
      <c r="CV792" s="6"/>
      <c r="CW792" s="3"/>
      <c r="CX792" s="3"/>
      <c r="CY792" s="6"/>
      <c r="CZ792" s="3"/>
      <c r="DA792" s="3"/>
      <c r="DB792" s="6"/>
      <c r="DC792" s="3"/>
      <c r="DD792" s="3"/>
      <c r="DE792" s="6"/>
      <c r="DF792" s="3"/>
      <c r="DG792" s="7"/>
      <c r="DH792" s="6"/>
      <c r="DI792" s="3"/>
      <c r="DJ792" s="6"/>
      <c r="DK792" s="6"/>
      <c r="DL792" s="3"/>
      <c r="DM792" s="3"/>
      <c r="DN792" s="6"/>
      <c r="DO792" s="3"/>
      <c r="DP792" s="3"/>
      <c r="DQ792" s="6"/>
      <c r="DR792" s="3"/>
      <c r="DS792" s="3" t="str">
        <f>_xlfn.XLOOKUP(OfficeForms.Table[[#This Row],[Selecione a Categoria do Laboratório desta atividade prática:]],Planilha1!A:A,Planilha1!B:B)</f>
        <v>EMF-ISN</v>
      </c>
      <c r="DT792" s="6" t="str">
        <f>CONCATENATE(OfficeForms.Table[[#This Row],[Selecione seu Polo Laboratório de Atividades Presenciais:]],OfficeForms.Table[[#This Row],[CHAVE CONVERSÃO]])</f>
        <v>Barcelos/AMEMF-ISN</v>
      </c>
      <c r="DU79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79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79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792" s="6" t="str">
        <f>_xlfn.XLOOKUP(OfficeForms.Table[[#This Row],[CHAVE LINK POLO]],'[1]Quadro Geral de Lotação'!$B:$B,'[1]Quadro Geral de Lotação'!$I:$I)</f>
        <v>Priscila Ferreira De Sousa</v>
      </c>
      <c r="DY792" s="6" t="str">
        <f>OfficeForms.Table[[#This Row],[Selecione a Ordem de Disciplina]]</f>
        <v>Ordem 2</v>
      </c>
    </row>
    <row r="793" spans="1:129" ht="34.15" customHeight="1">
      <c r="A793" s="6">
        <v>793</v>
      </c>
      <c r="B793" s="2">
        <v>46130.138564814799</v>
      </c>
      <c r="C793" s="2">
        <v>46130.144722222198</v>
      </c>
      <c r="D793" s="3" t="s">
        <v>1417</v>
      </c>
      <c r="E793" s="3" t="s">
        <v>1418</v>
      </c>
      <c r="F793" s="6"/>
      <c r="G793" s="3"/>
      <c r="I793" s="3" t="s">
        <v>1419</v>
      </c>
      <c r="J793" s="6"/>
      <c r="K793" s="3"/>
      <c r="L793" s="6" t="s">
        <v>678</v>
      </c>
      <c r="M793" s="6"/>
      <c r="N793" s="6"/>
      <c r="O793" s="3" t="s">
        <v>133</v>
      </c>
      <c r="P793" s="6"/>
      <c r="Q793" s="3"/>
      <c r="R793" s="3"/>
      <c r="S793" s="6"/>
      <c r="T793" s="3"/>
      <c r="U793" s="7"/>
      <c r="V793" s="6"/>
      <c r="W793" s="3"/>
      <c r="X793" s="6"/>
      <c r="Y793" s="6"/>
      <c r="Z793" s="3"/>
      <c r="AA793" s="3"/>
      <c r="AB793" s="6"/>
      <c r="AC793" s="3"/>
      <c r="AD793" s="3"/>
      <c r="AE793" s="6"/>
      <c r="AF793" s="3"/>
      <c r="AG793" s="3"/>
      <c r="AH793" s="6"/>
      <c r="AI793" s="3"/>
      <c r="AJ793" s="1"/>
      <c r="AK793" s="6"/>
      <c r="AL793" s="3"/>
      <c r="AM793" s="6"/>
      <c r="AN793" s="6"/>
      <c r="AO793" s="3"/>
      <c r="AP793" s="3"/>
      <c r="AQ793" s="6"/>
      <c r="AR793" s="3"/>
      <c r="AS793" s="3"/>
      <c r="AT793" s="6"/>
      <c r="AU793" s="3"/>
      <c r="AV793" s="3" t="s">
        <v>1307</v>
      </c>
      <c r="AW793" s="6"/>
      <c r="AX793" s="3"/>
      <c r="AY793" s="7">
        <v>46123</v>
      </c>
      <c r="AZ793" s="6"/>
      <c r="BA793" s="3"/>
      <c r="BB793" s="6">
        <v>3</v>
      </c>
      <c r="BC793" s="6"/>
      <c r="BD793" s="3"/>
      <c r="BE793" s="3" t="s">
        <v>2272</v>
      </c>
      <c r="BF793" s="6"/>
      <c r="BG793" s="3"/>
      <c r="BH793" s="3" t="s">
        <v>2273</v>
      </c>
      <c r="BI793" s="6"/>
      <c r="BJ793" s="3"/>
      <c r="BK793" s="3"/>
      <c r="BL793" s="6"/>
      <c r="BM793" s="3"/>
      <c r="BN793" s="7"/>
      <c r="BO793" s="6"/>
      <c r="BP793" s="3"/>
      <c r="BQ793" s="6"/>
      <c r="BR793" s="6"/>
      <c r="BS793" s="3"/>
      <c r="BT793" s="3"/>
      <c r="BU793" s="6"/>
      <c r="BV793" s="3"/>
      <c r="BW793" s="3"/>
      <c r="BX793" s="6"/>
      <c r="BY793" s="3"/>
      <c r="BZ793" s="3"/>
      <c r="CA793" s="6"/>
      <c r="CB793" s="3"/>
      <c r="CC793" s="7"/>
      <c r="CD793" s="6"/>
      <c r="CE793" s="3"/>
      <c r="CF793" s="6"/>
      <c r="CG793" s="6"/>
      <c r="CH793" s="3"/>
      <c r="CI793" s="3"/>
      <c r="CJ793" s="6"/>
      <c r="CK793" s="3"/>
      <c r="CL793" s="3"/>
      <c r="CM793" s="6"/>
      <c r="CN793" s="3"/>
      <c r="CO793" s="3"/>
      <c r="CP793" s="6"/>
      <c r="CQ793" s="3"/>
      <c r="CR793" s="7"/>
      <c r="CS793" s="6"/>
      <c r="CT793" s="3"/>
      <c r="CU793" s="6"/>
      <c r="CV793" s="6"/>
      <c r="CW793" s="3"/>
      <c r="CX793" s="3"/>
      <c r="CY793" s="6"/>
      <c r="CZ793" s="3"/>
      <c r="DA793" s="3"/>
      <c r="DB793" s="6"/>
      <c r="DC793" s="3"/>
      <c r="DD793" s="3"/>
      <c r="DE793" s="6"/>
      <c r="DF793" s="3"/>
      <c r="DG793" s="7"/>
      <c r="DH793" s="6"/>
      <c r="DI793" s="3"/>
      <c r="DJ793" s="6"/>
      <c r="DK793" s="6"/>
      <c r="DL793" s="3"/>
      <c r="DM793" s="3"/>
      <c r="DN793" s="6"/>
      <c r="DO793" s="3"/>
      <c r="DP793" s="3"/>
      <c r="DQ793" s="6"/>
      <c r="DR793" s="3"/>
      <c r="DS793" s="3" t="str">
        <f>_xlfn.XLOOKUP(OfficeForms.Table[[#This Row],[Selecione a Categoria do Laboratório desta atividade prática:]],Planilha1!A:A,Planilha1!B:B)</f>
        <v>BFI</v>
      </c>
      <c r="DT793" s="6" t="str">
        <f>CONCATENATE(OfficeForms.Table[[#This Row],[Selecione seu Polo Laboratório de Atividades Presenciais:]],OfficeForms.Table[[#This Row],[CHAVE CONVERSÃO]])</f>
        <v>Macapá/APBFI</v>
      </c>
      <c r="DU79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Braintom</v>
      </c>
      <c r="DV79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46123</v>
      </c>
      <c r="DW79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793" s="6" t="str">
        <f>_xlfn.XLOOKUP(OfficeForms.Table[[#This Row],[CHAVE LINK POLO]],'[1]Quadro Geral de Lotação'!$B:$B,'[1]Quadro Geral de Lotação'!$I:$I)</f>
        <v>-</v>
      </c>
      <c r="DY793" s="6" t="str">
        <f>OfficeForms.Table[[#This Row],[Selecione a Ordem de Disciplina]]</f>
        <v>Ordem 2</v>
      </c>
    </row>
    <row r="794" spans="1:129" ht="34.15" customHeight="1">
      <c r="A794" s="6">
        <v>794</v>
      </c>
      <c r="B794" s="2">
        <v>46130.145081018498</v>
      </c>
      <c r="C794" s="2">
        <v>46130.148738425902</v>
      </c>
      <c r="D794" s="3" t="s">
        <v>1417</v>
      </c>
      <c r="E794" s="3" t="s">
        <v>1418</v>
      </c>
      <c r="F794" s="6"/>
      <c r="G794" s="3"/>
      <c r="I794" s="3" t="s">
        <v>1419</v>
      </c>
      <c r="J794" s="6"/>
      <c r="K794" s="3"/>
      <c r="L794" s="6" t="s">
        <v>678</v>
      </c>
      <c r="M794" s="6"/>
      <c r="N794" s="6"/>
      <c r="O794" s="3" t="s">
        <v>133</v>
      </c>
      <c r="P794" s="6"/>
      <c r="Q794" s="3"/>
      <c r="R794" s="3"/>
      <c r="S794" s="6"/>
      <c r="T794" s="3"/>
      <c r="U794" s="7"/>
      <c r="V794" s="6"/>
      <c r="W794" s="3"/>
      <c r="X794" s="6"/>
      <c r="Y794" s="6"/>
      <c r="Z794" s="3"/>
      <c r="AA794" s="3"/>
      <c r="AB794" s="6"/>
      <c r="AC794" s="3"/>
      <c r="AD794" s="3"/>
      <c r="AE794" s="6"/>
      <c r="AF794" s="3"/>
      <c r="AG794" s="3"/>
      <c r="AH794" s="6"/>
      <c r="AI794" s="3"/>
      <c r="AJ794" s="1"/>
      <c r="AK794" s="6"/>
      <c r="AL794" s="3"/>
      <c r="AM794" s="6"/>
      <c r="AN794" s="6"/>
      <c r="AO794" s="3"/>
      <c r="AP794" s="3"/>
      <c r="AQ794" s="6"/>
      <c r="AR794" s="3"/>
      <c r="AS794" s="3"/>
      <c r="AT794" s="6"/>
      <c r="AU794" s="3"/>
      <c r="AV794" s="3" t="s">
        <v>1307</v>
      </c>
      <c r="AW794" s="6"/>
      <c r="AX794" s="3"/>
      <c r="AY794" s="7">
        <v>46119</v>
      </c>
      <c r="AZ794" s="6"/>
      <c r="BA794" s="3"/>
      <c r="BB794" s="6">
        <v>13</v>
      </c>
      <c r="BC794" s="6"/>
      <c r="BD794" s="3"/>
      <c r="BE794" s="3" t="s">
        <v>2274</v>
      </c>
      <c r="BF794" s="6"/>
      <c r="BG794" s="3"/>
      <c r="BH794" s="3" t="s">
        <v>2275</v>
      </c>
      <c r="BI794" s="6"/>
      <c r="BJ794" s="3"/>
      <c r="BK794" s="3"/>
      <c r="BL794" s="6"/>
      <c r="BM794" s="3"/>
      <c r="BN794" s="7"/>
      <c r="BO794" s="6"/>
      <c r="BP794" s="3"/>
      <c r="BQ794" s="6"/>
      <c r="BR794" s="6"/>
      <c r="BS794" s="3"/>
      <c r="BT794" s="3"/>
      <c r="BU794" s="6"/>
      <c r="BV794" s="3"/>
      <c r="BW794" s="3"/>
      <c r="BX794" s="6"/>
      <c r="BY794" s="3"/>
      <c r="BZ794" s="3"/>
      <c r="CA794" s="6"/>
      <c r="CB794" s="3"/>
      <c r="CC794" s="7"/>
      <c r="CD794" s="6"/>
      <c r="CE794" s="3"/>
      <c r="CF794" s="6"/>
      <c r="CG794" s="6"/>
      <c r="CH794" s="3"/>
      <c r="CI794" s="3"/>
      <c r="CJ794" s="6"/>
      <c r="CK794" s="3"/>
      <c r="CL794" s="3"/>
      <c r="CM794" s="6"/>
      <c r="CN794" s="3"/>
      <c r="CO794" s="3"/>
      <c r="CP794" s="6"/>
      <c r="CQ794" s="3"/>
      <c r="CR794" s="7"/>
      <c r="CS794" s="6"/>
      <c r="CT794" s="3"/>
      <c r="CU794" s="6"/>
      <c r="CV794" s="6"/>
      <c r="CW794" s="3"/>
      <c r="CX794" s="3"/>
      <c r="CY794" s="6"/>
      <c r="CZ794" s="3"/>
      <c r="DA794" s="3"/>
      <c r="DB794" s="6"/>
      <c r="DC794" s="3"/>
      <c r="DD794" s="3"/>
      <c r="DE794" s="6"/>
      <c r="DF794" s="3"/>
      <c r="DG794" s="7"/>
      <c r="DH794" s="6"/>
      <c r="DI794" s="3"/>
      <c r="DJ794" s="6"/>
      <c r="DK794" s="6"/>
      <c r="DL794" s="3"/>
      <c r="DM794" s="3"/>
      <c r="DN794" s="6"/>
      <c r="DO794" s="3"/>
      <c r="DP794" s="3"/>
      <c r="DQ794" s="6"/>
      <c r="DR794" s="3"/>
      <c r="DS794" s="3" t="str">
        <f>_xlfn.XLOOKUP(OfficeForms.Table[[#This Row],[Selecione a Categoria do Laboratório desta atividade prática:]],Planilha1!A:A,Planilha1!B:B)</f>
        <v>BFI</v>
      </c>
      <c r="DT794" s="6" t="str">
        <f>CONCATENATE(OfficeForms.Table[[#This Row],[Selecione seu Polo Laboratório de Atividades Presenciais:]],OfficeForms.Table[[#This Row],[CHAVE CONVERSÃO]])</f>
        <v>Macapá/APBFI</v>
      </c>
      <c r="DU79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Braintom</v>
      </c>
      <c r="DV79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46119</v>
      </c>
      <c r="DW79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794" s="6" t="str">
        <f>_xlfn.XLOOKUP(OfficeForms.Table[[#This Row],[CHAVE LINK POLO]],'[1]Quadro Geral de Lotação'!$B:$B,'[1]Quadro Geral de Lotação'!$I:$I)</f>
        <v>-</v>
      </c>
      <c r="DY794" s="6" t="str">
        <f>OfficeForms.Table[[#This Row],[Selecione a Ordem de Disciplina]]</f>
        <v>Ordem 2</v>
      </c>
    </row>
    <row r="795" spans="1:129" ht="34.15" customHeight="1">
      <c r="A795" s="6">
        <v>795</v>
      </c>
      <c r="B795" s="2">
        <v>46130.148969907401</v>
      </c>
      <c r="C795" s="2">
        <v>46130.174733796302</v>
      </c>
      <c r="D795" s="3" t="s">
        <v>1417</v>
      </c>
      <c r="E795" s="3" t="s">
        <v>1418</v>
      </c>
      <c r="F795" s="6"/>
      <c r="G795" s="3"/>
      <c r="I795" s="3" t="s">
        <v>1419</v>
      </c>
      <c r="J795" s="6"/>
      <c r="K795" s="3"/>
      <c r="L795" s="6" t="s">
        <v>678</v>
      </c>
      <c r="M795" s="6"/>
      <c r="N795" s="6"/>
      <c r="O795" s="3" t="s">
        <v>133</v>
      </c>
      <c r="P795" s="6"/>
      <c r="Q795" s="3"/>
      <c r="R795" s="3"/>
      <c r="S795" s="6"/>
      <c r="T795" s="3"/>
      <c r="U795" s="7"/>
      <c r="V795" s="6"/>
      <c r="W795" s="3"/>
      <c r="X795" s="6"/>
      <c r="Y795" s="6"/>
      <c r="Z795" s="3"/>
      <c r="AA795" s="3"/>
      <c r="AB795" s="6"/>
      <c r="AC795" s="3"/>
      <c r="AD795" s="3"/>
      <c r="AE795" s="6"/>
      <c r="AF795" s="3"/>
      <c r="AG795" s="3"/>
      <c r="AH795" s="6"/>
      <c r="AI795" s="3"/>
      <c r="AJ795" s="1"/>
      <c r="AK795" s="6"/>
      <c r="AL795" s="3"/>
      <c r="AM795" s="6"/>
      <c r="AN795" s="6"/>
      <c r="AO795" s="3"/>
      <c r="AP795" s="3"/>
      <c r="AQ795" s="6"/>
      <c r="AR795" s="3"/>
      <c r="AS795" s="3"/>
      <c r="AT795" s="6"/>
      <c r="AU795" s="3"/>
      <c r="AV795" s="3" t="s">
        <v>1557</v>
      </c>
      <c r="AW795" s="6"/>
      <c r="AX795" s="3"/>
      <c r="AY795" s="7">
        <v>46123</v>
      </c>
      <c r="AZ795" s="6"/>
      <c r="BA795" s="3"/>
      <c r="BB795" s="6">
        <v>8</v>
      </c>
      <c r="BC795" s="6"/>
      <c r="BD795" s="3"/>
      <c r="BE795" s="3" t="s">
        <v>2276</v>
      </c>
      <c r="BF795" s="6"/>
      <c r="BG795" s="3"/>
      <c r="BH795" s="3" t="s">
        <v>2277</v>
      </c>
      <c r="BI795" s="6"/>
      <c r="BJ795" s="3"/>
      <c r="BK795" s="3"/>
      <c r="BL795" s="6"/>
      <c r="BM795" s="3"/>
      <c r="BN795" s="7"/>
      <c r="BO795" s="6"/>
      <c r="BP795" s="3"/>
      <c r="BQ795" s="6"/>
      <c r="BR795" s="6"/>
      <c r="BS795" s="3"/>
      <c r="BT795" s="3"/>
      <c r="BU795" s="6"/>
      <c r="BV795" s="3"/>
      <c r="BW795" s="3"/>
      <c r="BX795" s="6"/>
      <c r="BY795" s="3"/>
      <c r="BZ795" s="3"/>
      <c r="CA795" s="6"/>
      <c r="CB795" s="3"/>
      <c r="CC795" s="7"/>
      <c r="CD795" s="6"/>
      <c r="CE795" s="3"/>
      <c r="CF795" s="6"/>
      <c r="CG795" s="6"/>
      <c r="CH795" s="3"/>
      <c r="CI795" s="3"/>
      <c r="CJ795" s="6"/>
      <c r="CK795" s="3"/>
      <c r="CL795" s="3"/>
      <c r="CM795" s="6"/>
      <c r="CN795" s="3"/>
      <c r="CO795" s="3"/>
      <c r="CP795" s="6"/>
      <c r="CQ795" s="3"/>
      <c r="CR795" s="7"/>
      <c r="CS795" s="6"/>
      <c r="CT795" s="3"/>
      <c r="CU795" s="6"/>
      <c r="CV795" s="6"/>
      <c r="CW795" s="3"/>
      <c r="CX795" s="3"/>
      <c r="CY795" s="6"/>
      <c r="CZ795" s="3"/>
      <c r="DA795" s="3"/>
      <c r="DB795" s="6"/>
      <c r="DC795" s="3"/>
      <c r="DD795" s="3"/>
      <c r="DE795" s="6"/>
      <c r="DF795" s="3"/>
      <c r="DG795" s="7"/>
      <c r="DH795" s="6"/>
      <c r="DI795" s="3"/>
      <c r="DJ795" s="6"/>
      <c r="DK795" s="6"/>
      <c r="DL795" s="3"/>
      <c r="DM795" s="3"/>
      <c r="DN795" s="6"/>
      <c r="DO795" s="3"/>
      <c r="DP795" s="3"/>
      <c r="DQ795" s="6"/>
      <c r="DR795" s="3"/>
      <c r="DS795" s="3" t="str">
        <f>_xlfn.XLOOKUP(OfficeForms.Table[[#This Row],[Selecione a Categoria do Laboratório desta atividade prática:]],Planilha1!A:A,Planilha1!B:B)</f>
        <v>BFI</v>
      </c>
      <c r="DT795" s="6" t="str">
        <f>CONCATENATE(OfficeForms.Table[[#This Row],[Selecione seu Polo Laboratório de Atividades Presenciais:]],OfficeForms.Table[[#This Row],[CHAVE CONVERSÃO]])</f>
        <v>Macapá/APBFI</v>
      </c>
      <c r="DU79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Inferiores</v>
      </c>
      <c r="DV79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46123</v>
      </c>
      <c r="DW79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795" s="6" t="str">
        <f>_xlfn.XLOOKUP(OfficeForms.Table[[#This Row],[CHAVE LINK POLO]],'[1]Quadro Geral de Lotação'!$B:$B,'[1]Quadro Geral de Lotação'!$I:$I)</f>
        <v>-</v>
      </c>
      <c r="DY795" s="6" t="str">
        <f>OfficeForms.Table[[#This Row],[Selecione a Ordem de Disciplina]]</f>
        <v>Ordem 2</v>
      </c>
    </row>
    <row r="796" spans="1:129" ht="34.15" customHeight="1">
      <c r="A796" s="6">
        <v>796</v>
      </c>
      <c r="B796" s="2">
        <v>46130.176678240699</v>
      </c>
      <c r="C796" s="2">
        <v>46130.187962962998</v>
      </c>
      <c r="D796" s="3" t="s">
        <v>1417</v>
      </c>
      <c r="E796" s="3" t="s">
        <v>1418</v>
      </c>
      <c r="F796" s="6"/>
      <c r="G796" s="3"/>
      <c r="I796" s="3" t="s">
        <v>1419</v>
      </c>
      <c r="J796" s="6"/>
      <c r="K796" s="3"/>
      <c r="L796" s="6" t="s">
        <v>678</v>
      </c>
      <c r="M796" s="6"/>
      <c r="N796" s="6"/>
      <c r="O796" s="3" t="s">
        <v>133</v>
      </c>
      <c r="P796" s="6"/>
      <c r="Q796" s="3"/>
      <c r="R796" s="3"/>
      <c r="S796" s="6"/>
      <c r="T796" s="3"/>
      <c r="U796" s="7"/>
      <c r="V796" s="6"/>
      <c r="W796" s="3"/>
      <c r="X796" s="6"/>
      <c r="Y796" s="6"/>
      <c r="Z796" s="3"/>
      <c r="AA796" s="3"/>
      <c r="AB796" s="6"/>
      <c r="AC796" s="3"/>
      <c r="AD796" s="3"/>
      <c r="AE796" s="6"/>
      <c r="AF796" s="3"/>
      <c r="AG796" s="3"/>
      <c r="AH796" s="6"/>
      <c r="AI796" s="3"/>
      <c r="AJ796" s="1"/>
      <c r="AK796" s="6"/>
      <c r="AL796" s="3"/>
      <c r="AM796" s="6"/>
      <c r="AN796" s="6"/>
      <c r="AO796" s="3"/>
      <c r="AP796" s="3"/>
      <c r="AQ796" s="6"/>
      <c r="AR796" s="3"/>
      <c r="AS796" s="3"/>
      <c r="AT796" s="6"/>
      <c r="AU796" s="3"/>
      <c r="AV796" s="3" t="s">
        <v>1557</v>
      </c>
      <c r="AW796" s="6"/>
      <c r="AX796" s="3"/>
      <c r="AY796" s="7">
        <v>46122</v>
      </c>
      <c r="AZ796" s="6"/>
      <c r="BA796" s="3"/>
      <c r="BB796" s="6">
        <v>10</v>
      </c>
      <c r="BC796" s="6"/>
      <c r="BD796" s="3"/>
      <c r="BE796" s="3" t="s">
        <v>2278</v>
      </c>
      <c r="BF796" s="6"/>
      <c r="BG796" s="3"/>
      <c r="BH796" s="3" t="s">
        <v>2279</v>
      </c>
      <c r="BI796" s="6"/>
      <c r="BJ796" s="3"/>
      <c r="BK796" s="3"/>
      <c r="BL796" s="6"/>
      <c r="BM796" s="3"/>
      <c r="BN796" s="7"/>
      <c r="BO796" s="6"/>
      <c r="BP796" s="3"/>
      <c r="BQ796" s="6"/>
      <c r="BR796" s="6"/>
      <c r="BS796" s="3"/>
      <c r="BT796" s="3"/>
      <c r="BU796" s="6"/>
      <c r="BV796" s="3"/>
      <c r="BW796" s="3"/>
      <c r="BX796" s="6"/>
      <c r="BY796" s="3"/>
      <c r="BZ796" s="3"/>
      <c r="CA796" s="6"/>
      <c r="CB796" s="3"/>
      <c r="CC796" s="7"/>
      <c r="CD796" s="6"/>
      <c r="CE796" s="3"/>
      <c r="CF796" s="6"/>
      <c r="CG796" s="6"/>
      <c r="CH796" s="3"/>
      <c r="CI796" s="3"/>
      <c r="CJ796" s="6"/>
      <c r="CK796" s="3"/>
      <c r="CL796" s="3"/>
      <c r="CM796" s="6"/>
      <c r="CN796" s="3"/>
      <c r="CO796" s="3"/>
      <c r="CP796" s="6"/>
      <c r="CQ796" s="3"/>
      <c r="CR796" s="7"/>
      <c r="CS796" s="6"/>
      <c r="CT796" s="3"/>
      <c r="CU796" s="6"/>
      <c r="CV796" s="6"/>
      <c r="CW796" s="3"/>
      <c r="CX796" s="3"/>
      <c r="CY796" s="6"/>
      <c r="CZ796" s="3"/>
      <c r="DA796" s="3"/>
      <c r="DB796" s="6"/>
      <c r="DC796" s="3"/>
      <c r="DD796" s="3"/>
      <c r="DE796" s="6"/>
      <c r="DF796" s="3"/>
      <c r="DG796" s="7"/>
      <c r="DH796" s="6"/>
      <c r="DI796" s="3"/>
      <c r="DJ796" s="6"/>
      <c r="DK796" s="6"/>
      <c r="DL796" s="3"/>
      <c r="DM796" s="3"/>
      <c r="DN796" s="6"/>
      <c r="DO796" s="3"/>
      <c r="DP796" s="3"/>
      <c r="DQ796" s="6"/>
      <c r="DR796" s="3"/>
      <c r="DS796" s="3" t="str">
        <f>_xlfn.XLOOKUP(OfficeForms.Table[[#This Row],[Selecione a Categoria do Laboratório desta atividade prática:]],Planilha1!A:A,Planilha1!B:B)</f>
        <v>BFI</v>
      </c>
      <c r="DT796" s="6" t="str">
        <f>CONCATENATE(OfficeForms.Table[[#This Row],[Selecione seu Polo Laboratório de Atividades Presenciais:]],OfficeForms.Table[[#This Row],[CHAVE CONVERSÃO]])</f>
        <v>Macapá/APBFI</v>
      </c>
      <c r="DU79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Inferiores</v>
      </c>
      <c r="DV79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46122</v>
      </c>
      <c r="DW79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796" s="6" t="str">
        <f>_xlfn.XLOOKUP(OfficeForms.Table[[#This Row],[CHAVE LINK POLO]],'[1]Quadro Geral de Lotação'!$B:$B,'[1]Quadro Geral de Lotação'!$I:$I)</f>
        <v>-</v>
      </c>
      <c r="DY796" s="6" t="str">
        <f>OfficeForms.Table[[#This Row],[Selecione a Ordem de Disciplina]]</f>
        <v>Ordem 2</v>
      </c>
    </row>
    <row r="797" spans="1:129" ht="34.15" customHeight="1">
      <c r="A797" s="6">
        <v>797</v>
      </c>
      <c r="B797" s="2">
        <v>46130.191180555601</v>
      </c>
      <c r="C797" s="2">
        <v>46130.194293981498</v>
      </c>
      <c r="D797" s="3" t="s">
        <v>1417</v>
      </c>
      <c r="E797" s="3" t="s">
        <v>1418</v>
      </c>
      <c r="F797" s="6"/>
      <c r="G797" s="3"/>
      <c r="I797" s="3" t="s">
        <v>1419</v>
      </c>
      <c r="J797" s="6"/>
      <c r="K797" s="3"/>
      <c r="L797" s="6" t="s">
        <v>678</v>
      </c>
      <c r="M797" s="6"/>
      <c r="N797" s="6"/>
      <c r="O797" s="3" t="s">
        <v>133</v>
      </c>
      <c r="P797" s="6"/>
      <c r="Q797" s="3"/>
      <c r="R797" s="3"/>
      <c r="S797" s="6"/>
      <c r="T797" s="3"/>
      <c r="U797" s="7"/>
      <c r="V797" s="6"/>
      <c r="W797" s="3"/>
      <c r="X797" s="6"/>
      <c r="Y797" s="6"/>
      <c r="Z797" s="3"/>
      <c r="AA797" s="3"/>
      <c r="AB797" s="6"/>
      <c r="AC797" s="3"/>
      <c r="AD797" s="3"/>
      <c r="AE797" s="6"/>
      <c r="AF797" s="3"/>
      <c r="AG797" s="3"/>
      <c r="AH797" s="6"/>
      <c r="AI797" s="3"/>
      <c r="AJ797" s="1"/>
      <c r="AK797" s="6"/>
      <c r="AL797" s="3"/>
      <c r="AM797" s="6"/>
      <c r="AN797" s="6"/>
      <c r="AO797" s="3"/>
      <c r="AP797" s="3"/>
      <c r="AQ797" s="6"/>
      <c r="AR797" s="3"/>
      <c r="AS797" s="3"/>
      <c r="AT797" s="6"/>
      <c r="AU797" s="3"/>
      <c r="AV797" s="3" t="s">
        <v>1375</v>
      </c>
      <c r="AW797" s="6"/>
      <c r="AX797" s="3"/>
      <c r="AY797" s="7">
        <v>46108</v>
      </c>
      <c r="AZ797" s="6"/>
      <c r="BA797" s="3"/>
      <c r="BB797" s="6">
        <v>13</v>
      </c>
      <c r="BC797" s="6"/>
      <c r="BD797" s="3"/>
      <c r="BE797" s="3" t="s">
        <v>2280</v>
      </c>
      <c r="BF797" s="6"/>
      <c r="BG797" s="3"/>
      <c r="BH797" s="3" t="s">
        <v>2281</v>
      </c>
      <c r="BI797" s="6"/>
      <c r="BJ797" s="3"/>
      <c r="BK797" s="3"/>
      <c r="BL797" s="6"/>
      <c r="BM797" s="3"/>
      <c r="BN797" s="7"/>
      <c r="BO797" s="6"/>
      <c r="BP797" s="3"/>
      <c r="BQ797" s="6"/>
      <c r="BR797" s="6"/>
      <c r="BS797" s="3"/>
      <c r="BT797" s="3"/>
      <c r="BU797" s="6"/>
      <c r="BV797" s="3"/>
      <c r="BW797" s="3"/>
      <c r="BX797" s="6"/>
      <c r="BY797" s="3"/>
      <c r="BZ797" s="3"/>
      <c r="CA797" s="6"/>
      <c r="CB797" s="3"/>
      <c r="CC797" s="7"/>
      <c r="CD797" s="6"/>
      <c r="CE797" s="3"/>
      <c r="CF797" s="6"/>
      <c r="CG797" s="6"/>
      <c r="CH797" s="3"/>
      <c r="CI797" s="3"/>
      <c r="CJ797" s="6"/>
      <c r="CK797" s="3"/>
      <c r="CL797" s="3"/>
      <c r="CM797" s="6"/>
      <c r="CN797" s="3"/>
      <c r="CO797" s="3"/>
      <c r="CP797" s="6"/>
      <c r="CQ797" s="3"/>
      <c r="CR797" s="7"/>
      <c r="CS797" s="6"/>
      <c r="CT797" s="3"/>
      <c r="CU797" s="6"/>
      <c r="CV797" s="6"/>
      <c r="CW797" s="3"/>
      <c r="CX797" s="3"/>
      <c r="CY797" s="6"/>
      <c r="CZ797" s="3"/>
      <c r="DA797" s="3"/>
      <c r="DB797" s="6"/>
      <c r="DC797" s="3"/>
      <c r="DD797" s="3"/>
      <c r="DE797" s="6"/>
      <c r="DF797" s="3"/>
      <c r="DG797" s="7"/>
      <c r="DH797" s="6"/>
      <c r="DI797" s="3"/>
      <c r="DJ797" s="6"/>
      <c r="DK797" s="6"/>
      <c r="DL797" s="3"/>
      <c r="DM797" s="3"/>
      <c r="DN797" s="6"/>
      <c r="DO797" s="3"/>
      <c r="DP797" s="3"/>
      <c r="DQ797" s="6"/>
      <c r="DR797" s="3"/>
      <c r="DS797" s="3" t="str">
        <f>_xlfn.XLOOKUP(OfficeForms.Table[[#This Row],[Selecione a Categoria do Laboratório desta atividade prática:]],Planilha1!A:A,Planilha1!B:B)</f>
        <v>BFI</v>
      </c>
      <c r="DT797" s="6" t="str">
        <f>CONCATENATE(OfficeForms.Table[[#This Row],[Selecione seu Polo Laboratório de Atividades Presenciais:]],OfficeForms.Table[[#This Row],[CHAVE CONVERSÃO]])</f>
        <v>Macapá/APBFI</v>
      </c>
      <c r="DU79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Superiores</v>
      </c>
      <c r="DV79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46108</v>
      </c>
      <c r="DW79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797" s="6" t="str">
        <f>_xlfn.XLOOKUP(OfficeForms.Table[[#This Row],[CHAVE LINK POLO]],'[1]Quadro Geral de Lotação'!$B:$B,'[1]Quadro Geral de Lotação'!$I:$I)</f>
        <v>-</v>
      </c>
      <c r="DY797" s="6" t="str">
        <f>OfficeForms.Table[[#This Row],[Selecione a Ordem de Disciplina]]</f>
        <v>Ordem 2</v>
      </c>
    </row>
    <row r="798" spans="1:129" ht="34.15" customHeight="1">
      <c r="A798" s="6">
        <v>798</v>
      </c>
      <c r="B798" s="2">
        <v>46130.198935185203</v>
      </c>
      <c r="C798" s="2">
        <v>46130.205081018503</v>
      </c>
      <c r="D798" s="3" t="s">
        <v>1417</v>
      </c>
      <c r="E798" s="3" t="s">
        <v>1418</v>
      </c>
      <c r="F798" s="6"/>
      <c r="G798" s="3"/>
      <c r="I798" s="3" t="s">
        <v>1419</v>
      </c>
      <c r="J798" s="6"/>
      <c r="K798" s="3"/>
      <c r="L798" s="6" t="s">
        <v>678</v>
      </c>
      <c r="M798" s="6"/>
      <c r="N798" s="6"/>
      <c r="O798" s="3" t="s">
        <v>133</v>
      </c>
      <c r="P798" s="6"/>
      <c r="Q798" s="3"/>
      <c r="R798" s="3"/>
      <c r="S798" s="6"/>
      <c r="T798" s="3"/>
      <c r="U798" s="7"/>
      <c r="V798" s="6"/>
      <c r="W798" s="3"/>
      <c r="X798" s="6"/>
      <c r="Y798" s="6"/>
      <c r="Z798" s="3"/>
      <c r="AA798" s="3"/>
      <c r="AB798" s="6"/>
      <c r="AC798" s="3"/>
      <c r="AD798" s="3"/>
      <c r="AE798" s="6"/>
      <c r="AF798" s="3"/>
      <c r="AG798" s="3"/>
      <c r="AH798" s="6"/>
      <c r="AI798" s="3"/>
      <c r="AJ798" s="1"/>
      <c r="AK798" s="6"/>
      <c r="AL798" s="3"/>
      <c r="AM798" s="6"/>
      <c r="AN798" s="6"/>
      <c r="AO798" s="3"/>
      <c r="AP798" s="3"/>
      <c r="AQ798" s="6"/>
      <c r="AR798" s="3"/>
      <c r="AS798" s="3"/>
      <c r="AT798" s="6"/>
      <c r="AU798" s="3"/>
      <c r="AV798" s="3" t="s">
        <v>1375</v>
      </c>
      <c r="AW798" s="6"/>
      <c r="AX798" s="3"/>
      <c r="AY798" s="7">
        <v>46108</v>
      </c>
      <c r="AZ798" s="6"/>
      <c r="BA798" s="3"/>
      <c r="BB798" s="6">
        <v>13</v>
      </c>
      <c r="BC798" s="6"/>
      <c r="BD798" s="3"/>
      <c r="BE798" s="3" t="s">
        <v>2282</v>
      </c>
      <c r="BF798" s="6"/>
      <c r="BG798" s="3"/>
      <c r="BH798" s="3" t="s">
        <v>2283</v>
      </c>
      <c r="BI798" s="6"/>
      <c r="BJ798" s="3"/>
      <c r="BK798" s="3"/>
      <c r="BL798" s="6"/>
      <c r="BM798" s="3"/>
      <c r="BN798" s="7"/>
      <c r="BO798" s="6"/>
      <c r="BP798" s="3"/>
      <c r="BQ798" s="6"/>
      <c r="BR798" s="6"/>
      <c r="BS798" s="3"/>
      <c r="BT798" s="3"/>
      <c r="BU798" s="6"/>
      <c r="BV798" s="3"/>
      <c r="BW798" s="3"/>
      <c r="BX798" s="6"/>
      <c r="BY798" s="3"/>
      <c r="BZ798" s="3"/>
      <c r="CA798" s="6"/>
      <c r="CB798" s="3"/>
      <c r="CC798" s="7"/>
      <c r="CD798" s="6"/>
      <c r="CE798" s="3"/>
      <c r="CF798" s="6"/>
      <c r="CG798" s="6"/>
      <c r="CH798" s="3"/>
      <c r="CI798" s="3"/>
      <c r="CJ798" s="6"/>
      <c r="CK798" s="3"/>
      <c r="CL798" s="3"/>
      <c r="CM798" s="6"/>
      <c r="CN798" s="3"/>
      <c r="CO798" s="3"/>
      <c r="CP798" s="6"/>
      <c r="CQ798" s="3"/>
      <c r="CR798" s="7"/>
      <c r="CS798" s="6"/>
      <c r="CT798" s="3"/>
      <c r="CU798" s="6"/>
      <c r="CV798" s="6"/>
      <c r="CW798" s="3"/>
      <c r="CX798" s="3"/>
      <c r="CY798" s="6"/>
      <c r="CZ798" s="3"/>
      <c r="DA798" s="3"/>
      <c r="DB798" s="6"/>
      <c r="DC798" s="3"/>
      <c r="DD798" s="3"/>
      <c r="DE798" s="6"/>
      <c r="DF798" s="3"/>
      <c r="DG798" s="7"/>
      <c r="DH798" s="6"/>
      <c r="DI798" s="3"/>
      <c r="DJ798" s="6"/>
      <c r="DK798" s="6"/>
      <c r="DL798" s="3"/>
      <c r="DM798" s="3"/>
      <c r="DN798" s="6"/>
      <c r="DO798" s="3"/>
      <c r="DP798" s="3"/>
      <c r="DQ798" s="6"/>
      <c r="DR798" s="3"/>
      <c r="DS798" s="3" t="str">
        <f>_xlfn.XLOOKUP(OfficeForms.Table[[#This Row],[Selecione a Categoria do Laboratório desta atividade prática:]],Planilha1!A:A,Planilha1!B:B)</f>
        <v>BFI</v>
      </c>
      <c r="DT798" s="6" t="str">
        <f>CONCATENATE(OfficeForms.Table[[#This Row],[Selecione seu Polo Laboratório de Atividades Presenciais:]],OfficeForms.Table[[#This Row],[CHAVE CONVERSÃO]])</f>
        <v>Macapá/APBFI</v>
      </c>
      <c r="DU79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Treino de Atividades da Vida Diária - Membros Superiores</v>
      </c>
      <c r="DV79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46108</v>
      </c>
      <c r="DW79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798" s="6" t="str">
        <f>_xlfn.XLOOKUP(OfficeForms.Table[[#This Row],[CHAVE LINK POLO]],'[1]Quadro Geral de Lotação'!$B:$B,'[1]Quadro Geral de Lotação'!$I:$I)</f>
        <v>-</v>
      </c>
      <c r="DY798" s="6" t="str">
        <f>OfficeForms.Table[[#This Row],[Selecione a Ordem de Disciplina]]</f>
        <v>Ordem 2</v>
      </c>
    </row>
    <row r="799" spans="1:129" ht="34.15" customHeight="1">
      <c r="A799" s="6">
        <v>799</v>
      </c>
      <c r="B799" s="2">
        <v>46130.355949074103</v>
      </c>
      <c r="C799" s="2">
        <v>46130.384328703702</v>
      </c>
      <c r="D799" s="3" t="s">
        <v>191</v>
      </c>
      <c r="E799" s="3" t="s">
        <v>192</v>
      </c>
      <c r="F799" s="6"/>
      <c r="G799" s="3"/>
      <c r="I799" s="3" t="s">
        <v>193</v>
      </c>
      <c r="J799" s="6"/>
      <c r="K799" s="3"/>
      <c r="L799" s="6" t="s">
        <v>1325</v>
      </c>
      <c r="M799" s="6"/>
      <c r="N799" s="6"/>
      <c r="O799" s="3" t="s">
        <v>184</v>
      </c>
      <c r="P799" s="6"/>
      <c r="Q799" s="3"/>
      <c r="R799" s="3"/>
      <c r="S799" s="6"/>
      <c r="T799" s="3"/>
      <c r="U799" s="7"/>
      <c r="V799" s="6"/>
      <c r="W799" s="3"/>
      <c r="X799" s="6"/>
      <c r="Y799" s="6"/>
      <c r="Z799" s="3"/>
      <c r="AA799" s="3"/>
      <c r="AB799" s="6"/>
      <c r="AC799" s="3"/>
      <c r="AD799" s="3"/>
      <c r="AE799" s="6"/>
      <c r="AF799" s="3"/>
      <c r="AG799" s="3" t="s">
        <v>2254</v>
      </c>
      <c r="AH799" s="6"/>
      <c r="AI799" s="3"/>
      <c r="AJ799" s="1">
        <v>46129</v>
      </c>
      <c r="AK799" s="6"/>
      <c r="AL799" s="3"/>
      <c r="AM799" s="6">
        <v>0</v>
      </c>
      <c r="AN799" s="6"/>
      <c r="AO799" s="3"/>
      <c r="AP799" s="3" t="s">
        <v>2284</v>
      </c>
      <c r="AQ799" s="6"/>
      <c r="AR799" s="3"/>
      <c r="AS799" s="3" t="s">
        <v>2285</v>
      </c>
      <c r="AT799" s="6"/>
      <c r="AU799" s="3"/>
      <c r="AV799" s="3"/>
      <c r="AW799" s="6"/>
      <c r="AX799" s="3"/>
      <c r="AY799" s="7"/>
      <c r="AZ799" s="6"/>
      <c r="BA799" s="3"/>
      <c r="BB799" s="6"/>
      <c r="BC799" s="6"/>
      <c r="BD799" s="3"/>
      <c r="BE799" s="3"/>
      <c r="BF799" s="6"/>
      <c r="BG799" s="3"/>
      <c r="BH799" s="3"/>
      <c r="BI799" s="6"/>
      <c r="BJ799" s="3"/>
      <c r="BK799" s="3"/>
      <c r="BL799" s="6"/>
      <c r="BM799" s="3"/>
      <c r="BN799" s="7"/>
      <c r="BO799" s="6"/>
      <c r="BP799" s="3"/>
      <c r="BQ799" s="6"/>
      <c r="BR799" s="6"/>
      <c r="BS799" s="3"/>
      <c r="BT799" s="3"/>
      <c r="BU799" s="6"/>
      <c r="BV799" s="3"/>
      <c r="BW799" s="3"/>
      <c r="BX799" s="6"/>
      <c r="BY799" s="3"/>
      <c r="BZ799" s="3"/>
      <c r="CA799" s="6"/>
      <c r="CB799" s="3"/>
      <c r="CC799" s="7"/>
      <c r="CD799" s="6"/>
      <c r="CE799" s="3"/>
      <c r="CF799" s="6"/>
      <c r="CG799" s="6"/>
      <c r="CH799" s="3"/>
      <c r="CI799" s="3"/>
      <c r="CJ799" s="6"/>
      <c r="CK799" s="3"/>
      <c r="CL799" s="3"/>
      <c r="CM799" s="6"/>
      <c r="CN799" s="3"/>
      <c r="CO799" s="3"/>
      <c r="CP799" s="6"/>
      <c r="CQ799" s="3"/>
      <c r="CR799" s="7"/>
      <c r="CS799" s="6"/>
      <c r="CT799" s="3"/>
      <c r="CU799" s="6"/>
      <c r="CV799" s="6"/>
      <c r="CW799" s="3"/>
      <c r="CX799" s="3"/>
      <c r="CY799" s="6"/>
      <c r="CZ799" s="3"/>
      <c r="DA799" s="3"/>
      <c r="DB799" s="6"/>
      <c r="DC799" s="3"/>
      <c r="DD799" s="3"/>
      <c r="DE799" s="6"/>
      <c r="DF799" s="3"/>
      <c r="DG799" s="7"/>
      <c r="DH799" s="6"/>
      <c r="DI799" s="3"/>
      <c r="DJ799" s="6"/>
      <c r="DK799" s="6"/>
      <c r="DL799" s="3"/>
      <c r="DM799" s="3"/>
      <c r="DN799" s="6"/>
      <c r="DO799" s="3"/>
      <c r="DP799" s="3"/>
      <c r="DQ799" s="6"/>
      <c r="DR799" s="3"/>
      <c r="DS799" s="3" t="str">
        <f>_xlfn.XLOOKUP(OfficeForms.Table[[#This Row],[Selecione a Categoria do Laboratório desta atividade prática:]],Planilha1!A:A,Planilha1!B:B)</f>
        <v>EMF-ISN</v>
      </c>
      <c r="DT799" s="6" t="str">
        <f>CONCATENATE(OfficeForms.Table[[#This Row],[Selecione seu Polo Laboratório de Atividades Presenciais:]],OfficeForms.Table[[#This Row],[CHAVE CONVERSÃO]])</f>
        <v>Ananindeua/PA - Cidade NovaEMF-ISN</v>
      </c>
      <c r="DU79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reprodutiva + Realização do exame de Papanicolau</v>
      </c>
      <c r="DV79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46129</v>
      </c>
      <c r="DW79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799" s="6" t="str">
        <f>_xlfn.XLOOKUP(OfficeForms.Table[[#This Row],[CHAVE LINK POLO]],'[1]Quadro Geral de Lotação'!$B:$B,'[1]Quadro Geral de Lotação'!$I:$I)</f>
        <v>Alina Dariane Freitas Da Silva</v>
      </c>
      <c r="DY799" s="6" t="str">
        <f>OfficeForms.Table[[#This Row],[Selecione a Ordem de Disciplina]]</f>
        <v>Ordem 3</v>
      </c>
    </row>
    <row r="800" spans="1:129" ht="34.15" customHeight="1">
      <c r="A800" s="6">
        <v>800</v>
      </c>
      <c r="B800" s="2">
        <v>46130.365173611099</v>
      </c>
      <c r="C800" s="2">
        <v>46130.446516203701</v>
      </c>
      <c r="D800" s="3" t="s">
        <v>227</v>
      </c>
      <c r="E800" s="3" t="s">
        <v>228</v>
      </c>
      <c r="F800" s="6"/>
      <c r="G800" s="3"/>
      <c r="I800" s="3" t="s">
        <v>229</v>
      </c>
      <c r="J800" s="6"/>
      <c r="K800" s="3"/>
      <c r="L800" s="6" t="s">
        <v>1325</v>
      </c>
      <c r="M800" s="6"/>
      <c r="N800" s="6"/>
      <c r="O800" s="3" t="s">
        <v>184</v>
      </c>
      <c r="P800" s="6"/>
      <c r="Q800" s="3"/>
      <c r="R800" s="3"/>
      <c r="S800" s="6"/>
      <c r="T800" s="3"/>
      <c r="U800" s="7"/>
      <c r="V800" s="6"/>
      <c r="W800" s="3"/>
      <c r="X800" s="6"/>
      <c r="Y800" s="6"/>
      <c r="Z800" s="3"/>
      <c r="AA800" s="3"/>
      <c r="AB800" s="6"/>
      <c r="AC800" s="3"/>
      <c r="AD800" s="3"/>
      <c r="AE800" s="6"/>
      <c r="AF800" s="3"/>
      <c r="AG800" s="3" t="s">
        <v>2286</v>
      </c>
      <c r="AH800" s="6"/>
      <c r="AI800" s="3"/>
      <c r="AJ800" s="1">
        <v>46130</v>
      </c>
      <c r="AK800" s="6"/>
      <c r="AL800" s="3"/>
      <c r="AM800" s="6">
        <v>2</v>
      </c>
      <c r="AN800" s="6"/>
      <c r="AO800" s="3"/>
      <c r="AP800" s="3" t="s">
        <v>2287</v>
      </c>
      <c r="AQ800" s="6"/>
      <c r="AR800" s="3"/>
      <c r="AS800" s="3" t="s">
        <v>2288</v>
      </c>
      <c r="AT800" s="6"/>
      <c r="AU800" s="3"/>
      <c r="AV800" s="3"/>
      <c r="AW800" s="6"/>
      <c r="AX800" s="3"/>
      <c r="AY800" s="7"/>
      <c r="AZ800" s="6"/>
      <c r="BA800" s="3"/>
      <c r="BB800" s="6"/>
      <c r="BC800" s="6"/>
      <c r="BD800" s="3"/>
      <c r="BE800" s="3"/>
      <c r="BF800" s="6"/>
      <c r="BG800" s="3"/>
      <c r="BH800" s="3"/>
      <c r="BI800" s="6"/>
      <c r="BJ800" s="3"/>
      <c r="BK800" s="3"/>
      <c r="BL800" s="6"/>
      <c r="BM800" s="3"/>
      <c r="BN800" s="7"/>
      <c r="BO800" s="6"/>
      <c r="BP800" s="3"/>
      <c r="BQ800" s="6"/>
      <c r="BR800" s="6"/>
      <c r="BS800" s="3"/>
      <c r="BT800" s="3"/>
      <c r="BU800" s="6"/>
      <c r="BV800" s="3"/>
      <c r="BW800" s="3"/>
      <c r="BX800" s="6"/>
      <c r="BY800" s="3"/>
      <c r="BZ800" s="3"/>
      <c r="CA800" s="6"/>
      <c r="CB800" s="3"/>
      <c r="CC800" s="7"/>
      <c r="CD800" s="6"/>
      <c r="CE800" s="3"/>
      <c r="CF800" s="6"/>
      <c r="CG800" s="6"/>
      <c r="CH800" s="3"/>
      <c r="CI800" s="3"/>
      <c r="CJ800" s="6"/>
      <c r="CK800" s="3"/>
      <c r="CL800" s="3"/>
      <c r="CM800" s="6"/>
      <c r="CN800" s="3"/>
      <c r="CO800" s="3"/>
      <c r="CP800" s="6"/>
      <c r="CQ800" s="3"/>
      <c r="CR800" s="7"/>
      <c r="CS800" s="6"/>
      <c r="CT800" s="3"/>
      <c r="CU800" s="6"/>
      <c r="CV800" s="6"/>
      <c r="CW800" s="3"/>
      <c r="CX800" s="3"/>
      <c r="CY800" s="6"/>
      <c r="CZ800" s="3"/>
      <c r="DA800" s="3"/>
      <c r="DB800" s="6"/>
      <c r="DC800" s="3"/>
      <c r="DD800" s="3"/>
      <c r="DE800" s="6"/>
      <c r="DF800" s="3"/>
      <c r="DG800" s="7"/>
      <c r="DH800" s="6"/>
      <c r="DI800" s="3"/>
      <c r="DJ800" s="6"/>
      <c r="DK800" s="6"/>
      <c r="DL800" s="3"/>
      <c r="DM800" s="3"/>
      <c r="DN800" s="6"/>
      <c r="DO800" s="3"/>
      <c r="DP800" s="3"/>
      <c r="DQ800" s="6"/>
      <c r="DR800" s="3"/>
      <c r="DS800" s="3" t="str">
        <f>_xlfn.XLOOKUP(OfficeForms.Table[[#This Row],[Selecione a Categoria do Laboratório desta atividade prática:]],Planilha1!A:A,Planilha1!B:B)</f>
        <v>EMF-ISN</v>
      </c>
      <c r="DT800" s="6" t="str">
        <f>CONCATENATE(OfficeForms.Table[[#This Row],[Selecione seu Polo Laboratório de Atividades Presenciais:]],OfficeForms.Table[[#This Row],[CHAVE CONVERSÃO]])</f>
        <v>Lages/SC - CentroEMF-ISN</v>
      </c>
      <c r="DU80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reprodutiva + Realização do exame de Papanicolau;Saúde da mulher no período gravídico-puerperal</v>
      </c>
      <c r="DV80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0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00" s="6" t="str">
        <f>_xlfn.XLOOKUP(OfficeForms.Table[[#This Row],[CHAVE LINK POLO]],'[1]Quadro Geral de Lotação'!$B:$B,'[1]Quadro Geral de Lotação'!$I:$I)</f>
        <v>Daniela Madruga</v>
      </c>
      <c r="DY800" s="6" t="str">
        <f>OfficeForms.Table[[#This Row],[Selecione a Ordem de Disciplina]]</f>
        <v>Ordem 3</v>
      </c>
    </row>
    <row r="801" spans="1:129" ht="34.15" customHeight="1">
      <c r="A801" s="6">
        <v>801</v>
      </c>
      <c r="B801" s="2">
        <v>46130.5003587963</v>
      </c>
      <c r="C801" s="2">
        <v>46130.502719907403</v>
      </c>
      <c r="D801" s="3" t="s">
        <v>313</v>
      </c>
      <c r="E801" s="3" t="s">
        <v>314</v>
      </c>
      <c r="F801" s="6"/>
      <c r="G801" s="3"/>
      <c r="I801" s="3" t="s">
        <v>315</v>
      </c>
      <c r="J801" s="6"/>
      <c r="K801" s="3"/>
      <c r="L801" s="6" t="s">
        <v>1325</v>
      </c>
      <c r="M801" s="6"/>
      <c r="N801" s="6"/>
      <c r="O801" s="3" t="s">
        <v>184</v>
      </c>
      <c r="P801" s="6"/>
      <c r="Q801" s="3"/>
      <c r="R801" s="3"/>
      <c r="S801" s="6"/>
      <c r="T801" s="3"/>
      <c r="U801" s="7"/>
      <c r="V801" s="6"/>
      <c r="W801" s="3"/>
      <c r="X801" s="6"/>
      <c r="Y801" s="6"/>
      <c r="Z801" s="3"/>
      <c r="AA801" s="3"/>
      <c r="AB801" s="6"/>
      <c r="AC801" s="3"/>
      <c r="AD801" s="3"/>
      <c r="AE801" s="6"/>
      <c r="AF801" s="3"/>
      <c r="AG801" s="3" t="s">
        <v>816</v>
      </c>
      <c r="AH801" s="6"/>
      <c r="AI801" s="3"/>
      <c r="AJ801" s="1">
        <v>46130</v>
      </c>
      <c r="AK801" s="6"/>
      <c r="AL801" s="3"/>
      <c r="AM801" s="6">
        <v>8</v>
      </c>
      <c r="AN801" s="6"/>
      <c r="AO801" s="3"/>
      <c r="AP801" s="3" t="s">
        <v>2289</v>
      </c>
      <c r="AQ801" s="6"/>
      <c r="AR801" s="3"/>
      <c r="AS801" s="3" t="s">
        <v>2290</v>
      </c>
      <c r="AT801" s="6"/>
      <c r="AU801" s="3"/>
      <c r="AV801" s="3"/>
      <c r="AW801" s="6"/>
      <c r="AX801" s="3"/>
      <c r="AY801" s="7"/>
      <c r="AZ801" s="6"/>
      <c r="BA801" s="3"/>
      <c r="BB801" s="6"/>
      <c r="BC801" s="6"/>
      <c r="BD801" s="3"/>
      <c r="BE801" s="3"/>
      <c r="BF801" s="6"/>
      <c r="BG801" s="3"/>
      <c r="BH801" s="3"/>
      <c r="BI801" s="6"/>
      <c r="BJ801" s="3"/>
      <c r="BK801" s="3"/>
      <c r="BL801" s="6"/>
      <c r="BM801" s="3"/>
      <c r="BN801" s="7"/>
      <c r="BO801" s="6"/>
      <c r="BP801" s="3"/>
      <c r="BQ801" s="6"/>
      <c r="BR801" s="6"/>
      <c r="BS801" s="3"/>
      <c r="BT801" s="3"/>
      <c r="BU801" s="6"/>
      <c r="BV801" s="3"/>
      <c r="BW801" s="3"/>
      <c r="BX801" s="6"/>
      <c r="BY801" s="3"/>
      <c r="BZ801" s="3"/>
      <c r="CA801" s="6"/>
      <c r="CB801" s="3"/>
      <c r="CC801" s="7"/>
      <c r="CD801" s="6"/>
      <c r="CE801" s="3"/>
      <c r="CF801" s="6"/>
      <c r="CG801" s="6"/>
      <c r="CH801" s="3"/>
      <c r="CI801" s="3"/>
      <c r="CJ801" s="6"/>
      <c r="CK801" s="3"/>
      <c r="CL801" s="3"/>
      <c r="CM801" s="6"/>
      <c r="CN801" s="3"/>
      <c r="CO801" s="3"/>
      <c r="CP801" s="6"/>
      <c r="CQ801" s="3"/>
      <c r="CR801" s="7"/>
      <c r="CS801" s="6"/>
      <c r="CT801" s="3"/>
      <c r="CU801" s="6"/>
      <c r="CV801" s="6"/>
      <c r="CW801" s="3"/>
      <c r="CX801" s="3"/>
      <c r="CY801" s="6"/>
      <c r="CZ801" s="3"/>
      <c r="DA801" s="3"/>
      <c r="DB801" s="6"/>
      <c r="DC801" s="3"/>
      <c r="DD801" s="3"/>
      <c r="DE801" s="6"/>
      <c r="DF801" s="3"/>
      <c r="DG801" s="7"/>
      <c r="DH801" s="6"/>
      <c r="DI801" s="3"/>
      <c r="DJ801" s="6"/>
      <c r="DK801" s="6"/>
      <c r="DL801" s="3"/>
      <c r="DM801" s="3"/>
      <c r="DN801" s="6"/>
      <c r="DO801" s="3"/>
      <c r="DP801" s="3"/>
      <c r="DQ801" s="6"/>
      <c r="DR801" s="3"/>
      <c r="DS801" s="3" t="str">
        <f>_xlfn.XLOOKUP(OfficeForms.Table[[#This Row],[Selecione a Categoria do Laboratório desta atividade prática:]],Planilha1!A:A,Planilha1!B:B)</f>
        <v>EMF-ISN</v>
      </c>
      <c r="DT801" s="6" t="str">
        <f>CONCATENATE(OfficeForms.Table[[#This Row],[Selecione seu Polo Laboratório de Atividades Presenciais:]],OfficeForms.Table[[#This Row],[CHAVE CONVERSÃO]])</f>
        <v>Alenquer/PAEMF-ISN</v>
      </c>
      <c r="DU80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80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0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801" s="6" t="str">
        <f>_xlfn.XLOOKUP(OfficeForms.Table[[#This Row],[CHAVE LINK POLO]],'[1]Quadro Geral de Lotação'!$B:$B,'[1]Quadro Geral de Lotação'!$I:$I)</f>
        <v>Ana Flavia Chaves De Souza</v>
      </c>
      <c r="DY801" s="6" t="str">
        <f>OfficeForms.Table[[#This Row],[Selecione a Ordem de Disciplina]]</f>
        <v>Ordem 3</v>
      </c>
    </row>
    <row r="802" spans="1:129" ht="34.15" customHeight="1">
      <c r="A802" s="6">
        <v>802</v>
      </c>
      <c r="B802" s="2">
        <v>46130.504085648201</v>
      </c>
      <c r="C802" s="2">
        <v>46130.505127314798</v>
      </c>
      <c r="D802" s="3" t="s">
        <v>313</v>
      </c>
      <c r="E802" s="3" t="s">
        <v>314</v>
      </c>
      <c r="F802" s="6"/>
      <c r="G802" s="3"/>
      <c r="I802" s="3" t="s">
        <v>315</v>
      </c>
      <c r="J802" s="6"/>
      <c r="K802" s="3"/>
      <c r="L802" s="6" t="s">
        <v>1325</v>
      </c>
      <c r="M802" s="6"/>
      <c r="N802" s="6"/>
      <c r="O802" s="3" t="s">
        <v>184</v>
      </c>
      <c r="P802" s="6"/>
      <c r="Q802" s="3"/>
      <c r="R802" s="3"/>
      <c r="S802" s="6"/>
      <c r="T802" s="3"/>
      <c r="U802" s="7"/>
      <c r="V802" s="6"/>
      <c r="W802" s="3"/>
      <c r="X802" s="6"/>
      <c r="Y802" s="6"/>
      <c r="Z802" s="3"/>
      <c r="AA802" s="3"/>
      <c r="AB802" s="6"/>
      <c r="AC802" s="3"/>
      <c r="AD802" s="3"/>
      <c r="AE802" s="6"/>
      <c r="AF802" s="3"/>
      <c r="AG802" s="3" t="s">
        <v>2120</v>
      </c>
      <c r="AH802" s="6"/>
      <c r="AI802" s="3"/>
      <c r="AJ802" s="1">
        <v>46130</v>
      </c>
      <c r="AK802" s="6"/>
      <c r="AL802" s="3"/>
      <c r="AM802" s="6">
        <v>7</v>
      </c>
      <c r="AN802" s="6"/>
      <c r="AO802" s="3"/>
      <c r="AP802" s="3" t="s">
        <v>2291</v>
      </c>
      <c r="AQ802" s="6"/>
      <c r="AR802" s="3"/>
      <c r="AS802" s="3" t="s">
        <v>2292</v>
      </c>
      <c r="AT802" s="6"/>
      <c r="AU802" s="3"/>
      <c r="AV802" s="3"/>
      <c r="AW802" s="6"/>
      <c r="AX802" s="3"/>
      <c r="AY802" s="7"/>
      <c r="AZ802" s="6"/>
      <c r="BA802" s="3"/>
      <c r="BB802" s="6"/>
      <c r="BC802" s="6"/>
      <c r="BD802" s="3"/>
      <c r="BE802" s="3"/>
      <c r="BF802" s="6"/>
      <c r="BG802" s="3"/>
      <c r="BH802" s="3"/>
      <c r="BI802" s="6"/>
      <c r="BJ802" s="3"/>
      <c r="BK802" s="3"/>
      <c r="BL802" s="6"/>
      <c r="BM802" s="3"/>
      <c r="BN802" s="7"/>
      <c r="BO802" s="6"/>
      <c r="BP802" s="3"/>
      <c r="BQ802" s="6"/>
      <c r="BR802" s="6"/>
      <c r="BS802" s="3"/>
      <c r="BT802" s="3"/>
      <c r="BU802" s="6"/>
      <c r="BV802" s="3"/>
      <c r="BW802" s="3"/>
      <c r="BX802" s="6"/>
      <c r="BY802" s="3"/>
      <c r="BZ802" s="3"/>
      <c r="CA802" s="6"/>
      <c r="CB802" s="3"/>
      <c r="CC802" s="7"/>
      <c r="CD802" s="6"/>
      <c r="CE802" s="3"/>
      <c r="CF802" s="6"/>
      <c r="CG802" s="6"/>
      <c r="CH802" s="3"/>
      <c r="CI802" s="3"/>
      <c r="CJ802" s="6"/>
      <c r="CK802" s="3"/>
      <c r="CL802" s="3"/>
      <c r="CM802" s="6"/>
      <c r="CN802" s="3"/>
      <c r="CO802" s="3"/>
      <c r="CP802" s="6"/>
      <c r="CQ802" s="3"/>
      <c r="CR802" s="7"/>
      <c r="CS802" s="6"/>
      <c r="CT802" s="3"/>
      <c r="CU802" s="6"/>
      <c r="CV802" s="6"/>
      <c r="CW802" s="3"/>
      <c r="CX802" s="3"/>
      <c r="CY802" s="6"/>
      <c r="CZ802" s="3"/>
      <c r="DA802" s="3"/>
      <c r="DB802" s="6"/>
      <c r="DC802" s="3"/>
      <c r="DD802" s="3"/>
      <c r="DE802" s="6"/>
      <c r="DF802" s="3"/>
      <c r="DG802" s="7"/>
      <c r="DH802" s="6"/>
      <c r="DI802" s="3"/>
      <c r="DJ802" s="6"/>
      <c r="DK802" s="6"/>
      <c r="DL802" s="3"/>
      <c r="DM802" s="3"/>
      <c r="DN802" s="6"/>
      <c r="DO802" s="3"/>
      <c r="DP802" s="3"/>
      <c r="DQ802" s="6"/>
      <c r="DR802" s="3"/>
      <c r="DS802" s="3" t="str">
        <f>_xlfn.XLOOKUP(OfficeForms.Table[[#This Row],[Selecione a Categoria do Laboratório desta atividade prática:]],Planilha1!A:A,Planilha1!B:B)</f>
        <v>EMF-ISN</v>
      </c>
      <c r="DT802" s="6" t="str">
        <f>CONCATENATE(OfficeForms.Table[[#This Row],[Selecione seu Polo Laboratório de Atividades Presenciais:]],OfficeForms.Table[[#This Row],[CHAVE CONVERSÃO]])</f>
        <v>Alenquer/PAEMF-ISN</v>
      </c>
      <c r="DU80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Venosa + Retirada de pontos</v>
      </c>
      <c r="DV80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0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802" s="6" t="str">
        <f>_xlfn.XLOOKUP(OfficeForms.Table[[#This Row],[CHAVE LINK POLO]],'[1]Quadro Geral de Lotação'!$B:$B,'[1]Quadro Geral de Lotação'!$I:$I)</f>
        <v>Ana Flavia Chaves De Souza</v>
      </c>
      <c r="DY802" s="6" t="str">
        <f>OfficeForms.Table[[#This Row],[Selecione a Ordem de Disciplina]]</f>
        <v>Ordem 3</v>
      </c>
    </row>
    <row r="803" spans="1:129" ht="34.15" customHeight="1">
      <c r="A803" s="6">
        <v>803</v>
      </c>
      <c r="B803" s="2">
        <v>46130.516585648104</v>
      </c>
      <c r="C803" s="2">
        <v>46130.519212963001</v>
      </c>
      <c r="D803" s="3" t="s">
        <v>977</v>
      </c>
      <c r="E803" s="3" t="s">
        <v>978</v>
      </c>
      <c r="F803" s="6"/>
      <c r="G803" s="3"/>
      <c r="I803" s="3" t="s">
        <v>825</v>
      </c>
      <c r="J803" s="6"/>
      <c r="K803" s="3"/>
      <c r="L803" s="6" t="s">
        <v>678</v>
      </c>
      <c r="M803" s="6"/>
      <c r="N803" s="6"/>
      <c r="O803" s="3" t="s">
        <v>184</v>
      </c>
      <c r="P803" s="6"/>
      <c r="Q803" s="3"/>
      <c r="R803" s="3"/>
      <c r="S803" s="6"/>
      <c r="T803" s="3"/>
      <c r="U803" s="7"/>
      <c r="V803" s="6"/>
      <c r="W803" s="3"/>
      <c r="X803" s="6"/>
      <c r="Y803" s="6"/>
      <c r="Z803" s="3"/>
      <c r="AA803" s="3"/>
      <c r="AB803" s="6"/>
      <c r="AC803" s="3"/>
      <c r="AD803" s="3"/>
      <c r="AE803" s="6"/>
      <c r="AF803" s="3"/>
      <c r="AG803" s="3" t="s">
        <v>1062</v>
      </c>
      <c r="AH803" s="6"/>
      <c r="AI803" s="3"/>
      <c r="AJ803" s="1">
        <v>46100</v>
      </c>
      <c r="AK803" s="6"/>
      <c r="AL803" s="3"/>
      <c r="AM803" s="6">
        <v>6</v>
      </c>
      <c r="AN803" s="6"/>
      <c r="AO803" s="3"/>
      <c r="AP803" s="3" t="s">
        <v>2293</v>
      </c>
      <c r="AQ803" s="6"/>
      <c r="AR803" s="3"/>
      <c r="AS803" s="3" t="s">
        <v>2294</v>
      </c>
      <c r="AT803" s="6"/>
      <c r="AU803" s="3"/>
      <c r="AV803" s="3"/>
      <c r="AW803" s="6"/>
      <c r="AX803" s="3"/>
      <c r="AY803" s="7"/>
      <c r="AZ803" s="6"/>
      <c r="BA803" s="3"/>
      <c r="BB803" s="6"/>
      <c r="BC803" s="6"/>
      <c r="BD803" s="3"/>
      <c r="BE803" s="3"/>
      <c r="BF803" s="6"/>
      <c r="BG803" s="3"/>
      <c r="BH803" s="3"/>
      <c r="BI803" s="6"/>
      <c r="BJ803" s="3"/>
      <c r="BK803" s="3"/>
      <c r="BL803" s="6"/>
      <c r="BM803" s="3"/>
      <c r="BN803" s="7"/>
      <c r="BO803" s="6"/>
      <c r="BP803" s="3"/>
      <c r="BQ803" s="6"/>
      <c r="BR803" s="6"/>
      <c r="BS803" s="3"/>
      <c r="BT803" s="3"/>
      <c r="BU803" s="6"/>
      <c r="BV803" s="3"/>
      <c r="BW803" s="3"/>
      <c r="BX803" s="6"/>
      <c r="BY803" s="3"/>
      <c r="BZ803" s="3"/>
      <c r="CA803" s="6"/>
      <c r="CB803" s="3"/>
      <c r="CC803" s="7"/>
      <c r="CD803" s="6"/>
      <c r="CE803" s="3"/>
      <c r="CF803" s="6"/>
      <c r="CG803" s="6"/>
      <c r="CH803" s="3"/>
      <c r="CI803" s="3"/>
      <c r="CJ803" s="6"/>
      <c r="CK803" s="3"/>
      <c r="CL803" s="3"/>
      <c r="CM803" s="6"/>
      <c r="CN803" s="3"/>
      <c r="CO803" s="3"/>
      <c r="CP803" s="6"/>
      <c r="CQ803" s="3"/>
      <c r="CR803" s="7"/>
      <c r="CS803" s="6"/>
      <c r="CT803" s="3"/>
      <c r="CU803" s="6"/>
      <c r="CV803" s="6"/>
      <c r="CW803" s="3"/>
      <c r="CX803" s="3"/>
      <c r="CY803" s="6"/>
      <c r="CZ803" s="3"/>
      <c r="DA803" s="3"/>
      <c r="DB803" s="6"/>
      <c r="DC803" s="3"/>
      <c r="DD803" s="3"/>
      <c r="DE803" s="6"/>
      <c r="DF803" s="3"/>
      <c r="DG803" s="7"/>
      <c r="DH803" s="6"/>
      <c r="DI803" s="3"/>
      <c r="DJ803" s="6"/>
      <c r="DK803" s="6"/>
      <c r="DL803" s="3"/>
      <c r="DM803" s="3"/>
      <c r="DN803" s="6"/>
      <c r="DO803" s="3"/>
      <c r="DP803" s="3"/>
      <c r="DQ803" s="6"/>
      <c r="DR803" s="3"/>
      <c r="DS803" s="3" t="str">
        <f>_xlfn.XLOOKUP(OfficeForms.Table[[#This Row],[Selecione a Categoria do Laboratório desta atividade prática:]],Planilha1!A:A,Planilha1!B:B)</f>
        <v>EMF-ISN</v>
      </c>
      <c r="DT803" s="6" t="str">
        <f>CONCATENATE(OfficeForms.Table[[#This Row],[Selecione seu Polo Laboratório de Atividades Presenciais:]],OfficeForms.Table[[#This Row],[CHAVE CONVERSÃO]])</f>
        <v>Manaus/AM - Cidade NovaEMF-ISN</v>
      </c>
      <c r="DU80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suicídio;Abordagem e cuidados de enfermagem em episódio de surto psicótico</v>
      </c>
      <c r="DV80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80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803" s="6" t="str">
        <f>_xlfn.XLOOKUP(OfficeForms.Table[[#This Row],[CHAVE LINK POLO]],'[1]Quadro Geral de Lotação'!$B:$B,'[1]Quadro Geral de Lotação'!$I:$I)</f>
        <v>Suzanne Taina Matos De Lima</v>
      </c>
      <c r="DY803" s="6" t="str">
        <f>OfficeForms.Table[[#This Row],[Selecione a Ordem de Disciplina]]</f>
        <v>Ordem 2</v>
      </c>
    </row>
    <row r="804" spans="1:129" ht="34.15" customHeight="1">
      <c r="A804" s="6">
        <v>804</v>
      </c>
      <c r="B804" s="2">
        <v>46130.519456018497</v>
      </c>
      <c r="C804" s="2">
        <v>46130.522048611099</v>
      </c>
      <c r="D804" s="3" t="s">
        <v>977</v>
      </c>
      <c r="E804" s="3" t="s">
        <v>978</v>
      </c>
      <c r="F804" s="6"/>
      <c r="G804" s="3"/>
      <c r="I804" s="3" t="s">
        <v>825</v>
      </c>
      <c r="J804" s="6"/>
      <c r="K804" s="3"/>
      <c r="L804" s="6" t="s">
        <v>678</v>
      </c>
      <c r="M804" s="6"/>
      <c r="N804" s="6"/>
      <c r="O804" s="3" t="s">
        <v>184</v>
      </c>
      <c r="P804" s="6"/>
      <c r="Q804" s="3"/>
      <c r="R804" s="3"/>
      <c r="S804" s="6"/>
      <c r="T804" s="3"/>
      <c r="U804" s="7"/>
      <c r="V804" s="6"/>
      <c r="W804" s="3"/>
      <c r="X804" s="6"/>
      <c r="Y804" s="6"/>
      <c r="Z804" s="3"/>
      <c r="AA804" s="3"/>
      <c r="AB804" s="6"/>
      <c r="AC804" s="3"/>
      <c r="AD804" s="3"/>
      <c r="AE804" s="6"/>
      <c r="AF804" s="3"/>
      <c r="AG804" s="3" t="s">
        <v>211</v>
      </c>
      <c r="AH804" s="6"/>
      <c r="AI804" s="3"/>
      <c r="AJ804" s="1">
        <v>46109</v>
      </c>
      <c r="AK804" s="6"/>
      <c r="AL804" s="3"/>
      <c r="AM804" s="6">
        <v>10</v>
      </c>
      <c r="AN804" s="6"/>
      <c r="AO804" s="3"/>
      <c r="AP804" s="3" t="s">
        <v>2295</v>
      </c>
      <c r="AQ804" s="6"/>
      <c r="AR804" s="3"/>
      <c r="AS804" s="3" t="s">
        <v>2296</v>
      </c>
      <c r="AT804" s="6"/>
      <c r="AU804" s="3"/>
      <c r="AV804" s="3"/>
      <c r="AW804" s="6"/>
      <c r="AX804" s="3"/>
      <c r="AY804" s="7"/>
      <c r="AZ804" s="6"/>
      <c r="BA804" s="3"/>
      <c r="BB804" s="6"/>
      <c r="BC804" s="6"/>
      <c r="BD804" s="3"/>
      <c r="BE804" s="3"/>
      <c r="BF804" s="6"/>
      <c r="BG804" s="3"/>
      <c r="BH804" s="3"/>
      <c r="BI804" s="6"/>
      <c r="BJ804" s="3"/>
      <c r="BK804" s="3"/>
      <c r="BL804" s="6"/>
      <c r="BM804" s="3"/>
      <c r="BN804" s="7"/>
      <c r="BO804" s="6"/>
      <c r="BP804" s="3"/>
      <c r="BQ804" s="6"/>
      <c r="BR804" s="6"/>
      <c r="BS804" s="3"/>
      <c r="BT804" s="3"/>
      <c r="BU804" s="6"/>
      <c r="BV804" s="3"/>
      <c r="BW804" s="3"/>
      <c r="BX804" s="6"/>
      <c r="BY804" s="3"/>
      <c r="BZ804" s="3"/>
      <c r="CA804" s="6"/>
      <c r="CB804" s="3"/>
      <c r="CC804" s="7"/>
      <c r="CD804" s="6"/>
      <c r="CE804" s="3"/>
      <c r="CF804" s="6"/>
      <c r="CG804" s="6"/>
      <c r="CH804" s="3"/>
      <c r="CI804" s="3"/>
      <c r="CJ804" s="6"/>
      <c r="CK804" s="3"/>
      <c r="CL804" s="3"/>
      <c r="CM804" s="6"/>
      <c r="CN804" s="3"/>
      <c r="CO804" s="3"/>
      <c r="CP804" s="6"/>
      <c r="CQ804" s="3"/>
      <c r="CR804" s="7"/>
      <c r="CS804" s="6"/>
      <c r="CT804" s="3"/>
      <c r="CU804" s="6"/>
      <c r="CV804" s="6"/>
      <c r="CW804" s="3"/>
      <c r="CX804" s="3"/>
      <c r="CY804" s="6"/>
      <c r="CZ804" s="3"/>
      <c r="DA804" s="3"/>
      <c r="DB804" s="6"/>
      <c r="DC804" s="3"/>
      <c r="DD804" s="3"/>
      <c r="DE804" s="6"/>
      <c r="DF804" s="3"/>
      <c r="DG804" s="7"/>
      <c r="DH804" s="6"/>
      <c r="DI804" s="3"/>
      <c r="DJ804" s="6"/>
      <c r="DK804" s="6"/>
      <c r="DL804" s="3"/>
      <c r="DM804" s="3"/>
      <c r="DN804" s="6"/>
      <c r="DO804" s="3"/>
      <c r="DP804" s="3"/>
      <c r="DQ804" s="6"/>
      <c r="DR804" s="3"/>
      <c r="DS804" s="3" t="str">
        <f>_xlfn.XLOOKUP(OfficeForms.Table[[#This Row],[Selecione a Categoria do Laboratório desta atividade prática:]],Planilha1!A:A,Planilha1!B:B)</f>
        <v>EMF-ISN</v>
      </c>
      <c r="DT804" s="6" t="str">
        <f>CONCATENATE(OfficeForms.Table[[#This Row],[Selecione seu Polo Laboratório de Atividades Presenciais:]],OfficeForms.Table[[#This Row],[CHAVE CONVERSÃO]])</f>
        <v>Manaus/AM - Cidade NovaEMF-ISN</v>
      </c>
      <c r="DU80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80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46109</v>
      </c>
      <c r="DW80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804" s="6" t="str">
        <f>_xlfn.XLOOKUP(OfficeForms.Table[[#This Row],[CHAVE LINK POLO]],'[1]Quadro Geral de Lotação'!$B:$B,'[1]Quadro Geral de Lotação'!$I:$I)</f>
        <v>Suzanne Taina Matos De Lima</v>
      </c>
      <c r="DY804" s="6" t="str">
        <f>OfficeForms.Table[[#This Row],[Selecione a Ordem de Disciplina]]</f>
        <v>Ordem 2</v>
      </c>
    </row>
    <row r="805" spans="1:129" ht="34.15" customHeight="1">
      <c r="A805" s="6">
        <v>805</v>
      </c>
      <c r="B805" s="2">
        <v>46130.522083333301</v>
      </c>
      <c r="C805" s="2">
        <v>46130.5231712963</v>
      </c>
      <c r="D805" s="3" t="s">
        <v>977</v>
      </c>
      <c r="E805" s="3" t="s">
        <v>978</v>
      </c>
      <c r="F805" s="6"/>
      <c r="G805" s="3"/>
      <c r="I805" s="3" t="s">
        <v>825</v>
      </c>
      <c r="J805" s="6"/>
      <c r="K805" s="3"/>
      <c r="L805" s="6" t="s">
        <v>678</v>
      </c>
      <c r="M805" s="6"/>
      <c r="N805" s="6"/>
      <c r="O805" s="3" t="s">
        <v>184</v>
      </c>
      <c r="P805" s="6"/>
      <c r="Q805" s="3"/>
      <c r="R805" s="3"/>
      <c r="S805" s="6"/>
      <c r="T805" s="3"/>
      <c r="U805" s="7"/>
      <c r="V805" s="6"/>
      <c r="W805" s="3"/>
      <c r="X805" s="6"/>
      <c r="Y805" s="6"/>
      <c r="Z805" s="3"/>
      <c r="AA805" s="3"/>
      <c r="AB805" s="6"/>
      <c r="AC805" s="3"/>
      <c r="AD805" s="3"/>
      <c r="AE805" s="6"/>
      <c r="AF805" s="3"/>
      <c r="AG805" s="3" t="s">
        <v>1638</v>
      </c>
      <c r="AH805" s="6"/>
      <c r="AI805" s="3"/>
      <c r="AJ805" s="1">
        <v>46114</v>
      </c>
      <c r="AK805" s="6"/>
      <c r="AL805" s="3"/>
      <c r="AM805" s="6">
        <v>0</v>
      </c>
      <c r="AN805" s="6"/>
      <c r="AO805" s="3"/>
      <c r="AP805" s="3" t="s">
        <v>2297</v>
      </c>
      <c r="AQ805" s="6"/>
      <c r="AR805" s="3"/>
      <c r="AS805" s="3" t="s">
        <v>2298</v>
      </c>
      <c r="AT805" s="6"/>
      <c r="AU805" s="3"/>
      <c r="AV805" s="3"/>
      <c r="AW805" s="6"/>
      <c r="AX805" s="3"/>
      <c r="AY805" s="7"/>
      <c r="AZ805" s="6"/>
      <c r="BA805" s="3"/>
      <c r="BB805" s="6"/>
      <c r="BC805" s="6"/>
      <c r="BD805" s="3"/>
      <c r="BE805" s="3"/>
      <c r="BF805" s="6"/>
      <c r="BG805" s="3"/>
      <c r="BH805" s="3"/>
      <c r="BI805" s="6"/>
      <c r="BJ805" s="3"/>
      <c r="BK805" s="3"/>
      <c r="BL805" s="6"/>
      <c r="BM805" s="3"/>
      <c r="BN805" s="7"/>
      <c r="BO805" s="6"/>
      <c r="BP805" s="3"/>
      <c r="BQ805" s="6"/>
      <c r="BR805" s="6"/>
      <c r="BS805" s="3"/>
      <c r="BT805" s="3"/>
      <c r="BU805" s="6"/>
      <c r="BV805" s="3"/>
      <c r="BW805" s="3"/>
      <c r="BX805" s="6"/>
      <c r="BY805" s="3"/>
      <c r="BZ805" s="3"/>
      <c r="CA805" s="6"/>
      <c r="CB805" s="3"/>
      <c r="CC805" s="7"/>
      <c r="CD805" s="6"/>
      <c r="CE805" s="3"/>
      <c r="CF805" s="6"/>
      <c r="CG805" s="6"/>
      <c r="CH805" s="3"/>
      <c r="CI805" s="3"/>
      <c r="CJ805" s="6"/>
      <c r="CK805" s="3"/>
      <c r="CL805" s="3"/>
      <c r="CM805" s="6"/>
      <c r="CN805" s="3"/>
      <c r="CO805" s="3"/>
      <c r="CP805" s="6"/>
      <c r="CQ805" s="3"/>
      <c r="CR805" s="7"/>
      <c r="CS805" s="6"/>
      <c r="CT805" s="3"/>
      <c r="CU805" s="6"/>
      <c r="CV805" s="6"/>
      <c r="CW805" s="3"/>
      <c r="CX805" s="3"/>
      <c r="CY805" s="6"/>
      <c r="CZ805" s="3"/>
      <c r="DA805" s="3"/>
      <c r="DB805" s="6"/>
      <c r="DC805" s="3"/>
      <c r="DD805" s="3"/>
      <c r="DE805" s="6"/>
      <c r="DF805" s="3"/>
      <c r="DG805" s="7"/>
      <c r="DH805" s="6"/>
      <c r="DI805" s="3"/>
      <c r="DJ805" s="6"/>
      <c r="DK805" s="6"/>
      <c r="DL805" s="3"/>
      <c r="DM805" s="3"/>
      <c r="DN805" s="6"/>
      <c r="DO805" s="3"/>
      <c r="DP805" s="3"/>
      <c r="DQ805" s="6"/>
      <c r="DR805" s="3"/>
      <c r="DS805" s="3" t="str">
        <f>_xlfn.XLOOKUP(OfficeForms.Table[[#This Row],[Selecione a Categoria do Laboratório desta atividade prática:]],Planilha1!A:A,Planilha1!B:B)</f>
        <v>EMF-ISN</v>
      </c>
      <c r="DT805" s="6" t="str">
        <f>CONCATENATE(OfficeForms.Table[[#This Row],[Selecione seu Polo Laboratório de Atividades Presenciais:]],OfficeForms.Table[[#This Row],[CHAVE CONVERSÃO]])</f>
        <v>Manaus/AM - Cidade NovaEMF-ISN</v>
      </c>
      <c r="DU80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Vida;Avaliação de enfermagem ao paciente com queimadura + Escala de Coma de Glasgow</v>
      </c>
      <c r="DV80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80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05" s="6" t="str">
        <f>_xlfn.XLOOKUP(OfficeForms.Table[[#This Row],[CHAVE LINK POLO]],'[1]Quadro Geral de Lotação'!$B:$B,'[1]Quadro Geral de Lotação'!$I:$I)</f>
        <v>Suzanne Taina Matos De Lima</v>
      </c>
      <c r="DY805" s="6" t="str">
        <f>OfficeForms.Table[[#This Row],[Selecione a Ordem de Disciplina]]</f>
        <v>Ordem 2</v>
      </c>
    </row>
    <row r="806" spans="1:129" ht="34.15" customHeight="1">
      <c r="A806" s="6">
        <v>806</v>
      </c>
      <c r="B806" s="2">
        <v>46130.523252314801</v>
      </c>
      <c r="C806" s="2">
        <v>46130.524444444403</v>
      </c>
      <c r="D806" s="3" t="s">
        <v>977</v>
      </c>
      <c r="E806" s="3" t="s">
        <v>978</v>
      </c>
      <c r="F806" s="6"/>
      <c r="G806" s="3"/>
      <c r="I806" s="3" t="s">
        <v>825</v>
      </c>
      <c r="J806" s="6"/>
      <c r="K806" s="3"/>
      <c r="L806" s="6" t="s">
        <v>678</v>
      </c>
      <c r="M806" s="6"/>
      <c r="N806" s="6"/>
      <c r="O806" s="3" t="s">
        <v>184</v>
      </c>
      <c r="P806" s="6"/>
      <c r="Q806" s="3"/>
      <c r="R806" s="3"/>
      <c r="S806" s="6"/>
      <c r="T806" s="3"/>
      <c r="U806" s="7"/>
      <c r="V806" s="6"/>
      <c r="W806" s="3"/>
      <c r="X806" s="6"/>
      <c r="Y806" s="6"/>
      <c r="Z806" s="3"/>
      <c r="AA806" s="3"/>
      <c r="AB806" s="6"/>
      <c r="AC806" s="3"/>
      <c r="AD806" s="3"/>
      <c r="AE806" s="6"/>
      <c r="AF806" s="3"/>
      <c r="AG806" s="3" t="s">
        <v>1013</v>
      </c>
      <c r="AH806" s="6"/>
      <c r="AI806" s="3"/>
      <c r="AJ806" s="1">
        <v>46123</v>
      </c>
      <c r="AK806" s="6"/>
      <c r="AL806" s="3"/>
      <c r="AM806" s="6">
        <v>16</v>
      </c>
      <c r="AN806" s="6"/>
      <c r="AO806" s="3"/>
      <c r="AP806" s="3" t="s">
        <v>2299</v>
      </c>
      <c r="AQ806" s="6"/>
      <c r="AR806" s="3"/>
      <c r="AS806" s="3" t="s">
        <v>2300</v>
      </c>
      <c r="AT806" s="6"/>
      <c r="AU806" s="3"/>
      <c r="AV806" s="3"/>
      <c r="AW806" s="6"/>
      <c r="AX806" s="3"/>
      <c r="AY806" s="7"/>
      <c r="AZ806" s="6"/>
      <c r="BA806" s="3"/>
      <c r="BB806" s="6"/>
      <c r="BC806" s="6"/>
      <c r="BD806" s="3"/>
      <c r="BE806" s="3"/>
      <c r="BF806" s="6"/>
      <c r="BG806" s="3"/>
      <c r="BH806" s="3"/>
      <c r="BI806" s="6"/>
      <c r="BJ806" s="3"/>
      <c r="BK806" s="3"/>
      <c r="BL806" s="6"/>
      <c r="BM806" s="3"/>
      <c r="BN806" s="7"/>
      <c r="BO806" s="6"/>
      <c r="BP806" s="3"/>
      <c r="BQ806" s="6"/>
      <c r="BR806" s="6"/>
      <c r="BS806" s="3"/>
      <c r="BT806" s="3"/>
      <c r="BU806" s="6"/>
      <c r="BV806" s="3"/>
      <c r="BW806" s="3"/>
      <c r="BX806" s="6"/>
      <c r="BY806" s="3"/>
      <c r="BZ806" s="3"/>
      <c r="CA806" s="6"/>
      <c r="CB806" s="3"/>
      <c r="CC806" s="7"/>
      <c r="CD806" s="6"/>
      <c r="CE806" s="3"/>
      <c r="CF806" s="6"/>
      <c r="CG806" s="6"/>
      <c r="CH806" s="3"/>
      <c r="CI806" s="3"/>
      <c r="CJ806" s="6"/>
      <c r="CK806" s="3"/>
      <c r="CL806" s="3"/>
      <c r="CM806" s="6"/>
      <c r="CN806" s="3"/>
      <c r="CO806" s="3"/>
      <c r="CP806" s="6"/>
      <c r="CQ806" s="3"/>
      <c r="CR806" s="7"/>
      <c r="CS806" s="6"/>
      <c r="CT806" s="3"/>
      <c r="CU806" s="6"/>
      <c r="CV806" s="6"/>
      <c r="CW806" s="3"/>
      <c r="CX806" s="3"/>
      <c r="CY806" s="6"/>
      <c r="CZ806" s="3"/>
      <c r="DA806" s="3"/>
      <c r="DB806" s="6"/>
      <c r="DC806" s="3"/>
      <c r="DD806" s="3"/>
      <c r="DE806" s="6"/>
      <c r="DF806" s="3"/>
      <c r="DG806" s="7"/>
      <c r="DH806" s="6"/>
      <c r="DI806" s="3"/>
      <c r="DJ806" s="6"/>
      <c r="DK806" s="6"/>
      <c r="DL806" s="3"/>
      <c r="DM806" s="3"/>
      <c r="DN806" s="6"/>
      <c r="DO806" s="3"/>
      <c r="DP806" s="3"/>
      <c r="DQ806" s="6"/>
      <c r="DR806" s="3"/>
      <c r="DS806" s="3" t="str">
        <f>_xlfn.XLOOKUP(OfficeForms.Table[[#This Row],[Selecione a Categoria do Laboratório desta atividade prática:]],Planilha1!A:A,Planilha1!B:B)</f>
        <v>EMF-ISN</v>
      </c>
      <c r="DT806" s="6" t="str">
        <f>CONCATENATE(OfficeForms.Table[[#This Row],[Selecione seu Polo Laboratório de Atividades Presenciais:]],OfficeForms.Table[[#This Row],[CHAVE CONVERSÃO]])</f>
        <v>Manaus/AM - Cidade NovaEMF-ISN</v>
      </c>
      <c r="DU80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80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46123</v>
      </c>
      <c r="DW80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16</v>
      </c>
      <c r="DX806" s="6" t="str">
        <f>_xlfn.XLOOKUP(OfficeForms.Table[[#This Row],[CHAVE LINK POLO]],'[1]Quadro Geral de Lotação'!$B:$B,'[1]Quadro Geral de Lotação'!$I:$I)</f>
        <v>Suzanne Taina Matos De Lima</v>
      </c>
      <c r="DY806" s="6" t="str">
        <f>OfficeForms.Table[[#This Row],[Selecione a Ordem de Disciplina]]</f>
        <v>Ordem 2</v>
      </c>
    </row>
    <row r="807" spans="1:129" ht="34.15" customHeight="1">
      <c r="A807" s="6">
        <v>807</v>
      </c>
      <c r="B807" s="2">
        <v>46130.681122685201</v>
      </c>
      <c r="C807" s="2">
        <v>46130.682152777801</v>
      </c>
      <c r="D807" s="3" t="s">
        <v>197</v>
      </c>
      <c r="E807" s="3" t="s">
        <v>198</v>
      </c>
      <c r="F807" s="6"/>
      <c r="G807" s="3"/>
      <c r="I807" s="3" t="s">
        <v>199</v>
      </c>
      <c r="J807" s="6"/>
      <c r="K807" s="3"/>
      <c r="L807" s="6" t="s">
        <v>1325</v>
      </c>
      <c r="M807" s="6"/>
      <c r="N807" s="6"/>
      <c r="O807" s="3" t="s">
        <v>177</v>
      </c>
      <c r="P807" s="6"/>
      <c r="Q807" s="3"/>
      <c r="R807" s="3"/>
      <c r="S807" s="6"/>
      <c r="T807" s="3"/>
      <c r="U807" s="7"/>
      <c r="V807" s="6"/>
      <c r="W807" s="3"/>
      <c r="X807" s="6"/>
      <c r="Y807" s="6"/>
      <c r="Z807" s="3"/>
      <c r="AA807" s="3"/>
      <c r="AB807" s="6"/>
      <c r="AC807" s="3"/>
      <c r="AD807" s="3"/>
      <c r="AE807" s="6"/>
      <c r="AF807" s="3"/>
      <c r="AG807" s="3"/>
      <c r="AH807" s="6"/>
      <c r="AI807" s="3"/>
      <c r="AJ807" s="1"/>
      <c r="AK807" s="6"/>
      <c r="AL807" s="3"/>
      <c r="AM807" s="6"/>
      <c r="AN807" s="6"/>
      <c r="AO807" s="3"/>
      <c r="AP807" s="3"/>
      <c r="AQ807" s="6"/>
      <c r="AR807" s="3"/>
      <c r="AS807" s="3"/>
      <c r="AT807" s="6"/>
      <c r="AU807" s="3"/>
      <c r="AV807" s="3"/>
      <c r="AW807" s="6"/>
      <c r="AX807" s="3"/>
      <c r="AY807" s="7"/>
      <c r="AZ807" s="6"/>
      <c r="BA807" s="3"/>
      <c r="BB807" s="6"/>
      <c r="BC807" s="6"/>
      <c r="BD807" s="3"/>
      <c r="BE807" s="3"/>
      <c r="BF807" s="6"/>
      <c r="BG807" s="3"/>
      <c r="BH807" s="3"/>
      <c r="BI807" s="6"/>
      <c r="BJ807" s="3"/>
      <c r="BK807" s="3"/>
      <c r="BL807" s="6"/>
      <c r="BM807" s="3"/>
      <c r="BN807" s="7"/>
      <c r="BO807" s="6"/>
      <c r="BP807" s="3"/>
      <c r="BQ807" s="6"/>
      <c r="BR807" s="6"/>
      <c r="BS807" s="3"/>
      <c r="BT807" s="3"/>
      <c r="BU807" s="6"/>
      <c r="BV807" s="3"/>
      <c r="BW807" s="3"/>
      <c r="BX807" s="6"/>
      <c r="BY807" s="3"/>
      <c r="BZ807" s="3"/>
      <c r="CA807" s="6"/>
      <c r="CB807" s="3"/>
      <c r="CC807" s="7"/>
      <c r="CD807" s="6"/>
      <c r="CE807" s="3"/>
      <c r="CF807" s="6"/>
      <c r="CG807" s="6"/>
      <c r="CH807" s="3"/>
      <c r="CI807" s="3"/>
      <c r="CJ807" s="6"/>
      <c r="CK807" s="3"/>
      <c r="CL807" s="3"/>
      <c r="CM807" s="6"/>
      <c r="CN807" s="3"/>
      <c r="CO807" s="3"/>
      <c r="CP807" s="6"/>
      <c r="CQ807" s="3"/>
      <c r="CR807" s="7"/>
      <c r="CS807" s="6"/>
      <c r="CT807" s="3"/>
      <c r="CU807" s="6"/>
      <c r="CV807" s="6"/>
      <c r="CW807" s="3"/>
      <c r="CX807" s="3"/>
      <c r="CY807" s="6"/>
      <c r="CZ807" s="3"/>
      <c r="DA807" s="3"/>
      <c r="DB807" s="6"/>
      <c r="DC807" s="3"/>
      <c r="DD807" s="3" t="s">
        <v>2301</v>
      </c>
      <c r="DE807" s="6"/>
      <c r="DF807" s="3"/>
      <c r="DG807" s="7">
        <v>46130</v>
      </c>
      <c r="DH807" s="6"/>
      <c r="DI807" s="3"/>
      <c r="DJ807" s="6">
        <v>11</v>
      </c>
      <c r="DK807" s="6"/>
      <c r="DL807" s="3"/>
      <c r="DM807" s="3" t="s">
        <v>2302</v>
      </c>
      <c r="DN807" s="6"/>
      <c r="DO807" s="3"/>
      <c r="DP807" s="3" t="s">
        <v>2303</v>
      </c>
      <c r="DQ807" s="6"/>
      <c r="DR807" s="3"/>
      <c r="DS807" s="3" t="str">
        <f>_xlfn.XLOOKUP(OfficeForms.Table[[#This Row],[Selecione a Categoria do Laboratório desta atividade prática:]],Planilha1!A:A,Planilha1!B:B)</f>
        <v>AGM</v>
      </c>
      <c r="DT807" s="6" t="str">
        <f>CONCATENATE(OfficeForms.Table[[#This Row],[Selecione seu Polo Laboratório de Atividades Presenciais:]],OfficeForms.Table[[#This Row],[CHAVE CONVERSÃO]])</f>
        <v>Alagoinhas/BAAGM</v>
      </c>
      <c r="DU80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Introdução a Caligrafia Técnica dentro das normas da ABNT (NBR 6492). +  Introdução aos Primeiros Passos</v>
      </c>
      <c r="DV80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0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807" s="6" t="str">
        <f>_xlfn.XLOOKUP(OfficeForms.Table[[#This Row],[CHAVE LINK POLO]],'[1]Quadro Geral de Lotação'!$B:$B,'[1]Quadro Geral de Lotação'!$I:$I)</f>
        <v>Vitor Batista Pinheiro</v>
      </c>
      <c r="DY807" s="6" t="str">
        <f>OfficeForms.Table[[#This Row],[Selecione a Ordem de Disciplina]]</f>
        <v>Ordem 3</v>
      </c>
    </row>
    <row r="808" spans="1:129" ht="34.15" customHeight="1">
      <c r="A808" s="6">
        <v>808</v>
      </c>
      <c r="B808" s="2">
        <v>46130.910115740699</v>
      </c>
      <c r="C808" s="2">
        <v>46130.911377314798</v>
      </c>
      <c r="D808" s="3" t="s">
        <v>1527</v>
      </c>
      <c r="E808" s="3" t="s">
        <v>1528</v>
      </c>
      <c r="F808" s="6"/>
      <c r="G808" s="3"/>
      <c r="I808" s="3" t="s">
        <v>1529</v>
      </c>
      <c r="J808" s="6"/>
      <c r="K808" s="3"/>
      <c r="L808" s="6" t="s">
        <v>678</v>
      </c>
      <c r="M808" s="6"/>
      <c r="N808" s="6"/>
      <c r="O808" s="3" t="s">
        <v>1482</v>
      </c>
      <c r="P808" s="6"/>
      <c r="Q808" s="3"/>
      <c r="R808" s="3"/>
      <c r="S808" s="6"/>
      <c r="T808" s="3"/>
      <c r="U808" s="7"/>
      <c r="V808" s="6"/>
      <c r="W808" s="3"/>
      <c r="X808" s="6"/>
      <c r="Y808" s="6"/>
      <c r="Z808" s="3"/>
      <c r="AA808" s="3"/>
      <c r="AB808" s="6"/>
      <c r="AC808" s="3"/>
      <c r="AD808" s="3"/>
      <c r="AE808" s="6"/>
      <c r="AF808" s="3"/>
      <c r="AG808" s="3"/>
      <c r="AH808" s="6"/>
      <c r="AI808" s="3"/>
      <c r="AJ808" s="1"/>
      <c r="AK808" s="6"/>
      <c r="AL808" s="3"/>
      <c r="AM808" s="6"/>
      <c r="AN808" s="6"/>
      <c r="AO808" s="3"/>
      <c r="AP808" s="3"/>
      <c r="AQ808" s="6"/>
      <c r="AR808" s="3"/>
      <c r="AS808" s="3"/>
      <c r="AT808" s="6"/>
      <c r="AU808" s="3"/>
      <c r="AV808" s="3"/>
      <c r="AW808" s="6"/>
      <c r="AX808" s="3"/>
      <c r="AY808" s="7"/>
      <c r="AZ808" s="6"/>
      <c r="BA808" s="3"/>
      <c r="BB808" s="6"/>
      <c r="BC808" s="6"/>
      <c r="BD808" s="3"/>
      <c r="BE808" s="3"/>
      <c r="BF808" s="6"/>
      <c r="BG808" s="3"/>
      <c r="BH808" s="3"/>
      <c r="BI808" s="6"/>
      <c r="BJ808" s="3"/>
      <c r="BK808" s="3"/>
      <c r="BL808" s="6"/>
      <c r="BM808" s="3"/>
      <c r="BN808" s="7"/>
      <c r="BO808" s="6"/>
      <c r="BP808" s="3"/>
      <c r="BQ808" s="6"/>
      <c r="BR808" s="6"/>
      <c r="BS808" s="3"/>
      <c r="BT808" s="3"/>
      <c r="BU808" s="6"/>
      <c r="BV808" s="3"/>
      <c r="BW808" s="3"/>
      <c r="BX808" s="6"/>
      <c r="BY808" s="3"/>
      <c r="BZ808" s="3"/>
      <c r="CA808" s="6"/>
      <c r="CB808" s="3"/>
      <c r="CC808" s="7"/>
      <c r="CD808" s="6"/>
      <c r="CE808" s="3"/>
      <c r="CF808" s="6"/>
      <c r="CG808" s="6"/>
      <c r="CH808" s="3"/>
      <c r="CI808" s="3"/>
      <c r="CJ808" s="6"/>
      <c r="CK808" s="3"/>
      <c r="CL808" s="3"/>
      <c r="CM808" s="6"/>
      <c r="CN808" s="3"/>
      <c r="CO808" s="3" t="s">
        <v>2304</v>
      </c>
      <c r="CP808" s="6"/>
      <c r="CQ808" s="3"/>
      <c r="CR808" s="7">
        <v>46081</v>
      </c>
      <c r="CS808" s="6"/>
      <c r="CT808" s="3"/>
      <c r="CU808" s="6">
        <v>4</v>
      </c>
      <c r="CV808" s="6"/>
      <c r="CW808" s="3"/>
      <c r="CX808" s="3" t="s">
        <v>2305</v>
      </c>
      <c r="CY808" s="6"/>
      <c r="CZ808" s="3"/>
      <c r="DA808" s="3" t="s">
        <v>2306</v>
      </c>
      <c r="DB808" s="6"/>
      <c r="DC808" s="3"/>
      <c r="DD808" s="3"/>
      <c r="DE808" s="6"/>
      <c r="DF808" s="3"/>
      <c r="DG808" s="7"/>
      <c r="DH808" s="6"/>
      <c r="DI808" s="3"/>
      <c r="DJ808" s="6"/>
      <c r="DK808" s="6"/>
      <c r="DL808" s="3"/>
      <c r="DM808" s="3"/>
      <c r="DN808" s="6"/>
      <c r="DO808" s="3"/>
      <c r="DP808" s="3"/>
      <c r="DQ808" s="6"/>
      <c r="DR808" s="3"/>
      <c r="DS808" s="3" t="str">
        <f>_xlfn.XLOOKUP(OfficeForms.Table[[#This Row],[Selecione a Categoria do Laboratório desta atividade prática:]],Planilha1!A:A,Planilha1!B:B)</f>
        <v>BAU</v>
      </c>
      <c r="DT808" s="6" t="str">
        <f>CONCATENATE(OfficeForms.Table[[#This Row],[Selecione seu Polo Laboratório de Atividades Presenciais:]],OfficeForms.Table[[#This Row],[CHAVE CONVERSÃO]])</f>
        <v>Itaguaí/RJ - Edifício ManancialBAU</v>
      </c>
      <c r="DU80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Conceitos Básicos do Desenho Auxiliado por Computador (AutoCAD);Desenho Técnico no AutoCAD: Prática Essencial para Iniciantes.</v>
      </c>
      <c r="DV80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46081</v>
      </c>
      <c r="DW80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808" s="6" t="str">
        <f>_xlfn.XLOOKUP(OfficeForms.Table[[#This Row],[CHAVE LINK POLO]],'[1]Quadro Geral de Lotação'!$B:$B,'[1]Quadro Geral de Lotação'!$I:$I)</f>
        <v>Marcelly Marinho Dos Santos</v>
      </c>
      <c r="DY808" s="6" t="str">
        <f>OfficeForms.Table[[#This Row],[Selecione a Ordem de Disciplina]]</f>
        <v>Ordem 2</v>
      </c>
    </row>
    <row r="809" spans="1:129" ht="34.15" customHeight="1">
      <c r="A809" s="6">
        <v>809</v>
      </c>
      <c r="B809" s="2">
        <v>46130.911504629599</v>
      </c>
      <c r="C809" s="2">
        <v>46130.917662036998</v>
      </c>
      <c r="D809" s="3" t="s">
        <v>1527</v>
      </c>
      <c r="E809" s="3" t="s">
        <v>1528</v>
      </c>
      <c r="F809" s="6"/>
      <c r="G809" s="3"/>
      <c r="I809" s="3" t="s">
        <v>1529</v>
      </c>
      <c r="J809" s="6"/>
      <c r="K809" s="3"/>
      <c r="L809" s="6" t="s">
        <v>678</v>
      </c>
      <c r="M809" s="6"/>
      <c r="N809" s="6"/>
      <c r="O809" s="3" t="s">
        <v>1482</v>
      </c>
      <c r="P809" s="6"/>
      <c r="Q809" s="3"/>
      <c r="R809" s="3"/>
      <c r="S809" s="6"/>
      <c r="T809" s="3"/>
      <c r="U809" s="7"/>
      <c r="V809" s="6"/>
      <c r="W809" s="3"/>
      <c r="X809" s="6"/>
      <c r="Y809" s="6"/>
      <c r="Z809" s="3"/>
      <c r="AA809" s="3"/>
      <c r="AB809" s="6"/>
      <c r="AC809" s="3"/>
      <c r="AD809" s="3"/>
      <c r="AE809" s="6"/>
      <c r="AF809" s="3"/>
      <c r="AG809" s="3"/>
      <c r="AH809" s="6"/>
      <c r="AI809" s="3"/>
      <c r="AJ809" s="1"/>
      <c r="AK809" s="6"/>
      <c r="AL809" s="3"/>
      <c r="AM809" s="6"/>
      <c r="AN809" s="6"/>
      <c r="AO809" s="3"/>
      <c r="AP809" s="3"/>
      <c r="AQ809" s="6"/>
      <c r="AR809" s="3"/>
      <c r="AS809" s="3"/>
      <c r="AT809" s="6"/>
      <c r="AU809" s="3"/>
      <c r="AV809" s="3"/>
      <c r="AW809" s="6"/>
      <c r="AX809" s="3"/>
      <c r="AY809" s="7"/>
      <c r="AZ809" s="6"/>
      <c r="BA809" s="3"/>
      <c r="BB809" s="6"/>
      <c r="BC809" s="6"/>
      <c r="BD809" s="3"/>
      <c r="BE809" s="3"/>
      <c r="BF809" s="6"/>
      <c r="BG809" s="3"/>
      <c r="BH809" s="3"/>
      <c r="BI809" s="6"/>
      <c r="BJ809" s="3"/>
      <c r="BK809" s="3"/>
      <c r="BL809" s="6"/>
      <c r="BM809" s="3"/>
      <c r="BN809" s="7"/>
      <c r="BO809" s="6"/>
      <c r="BP809" s="3"/>
      <c r="BQ809" s="6"/>
      <c r="BR809" s="6"/>
      <c r="BS809" s="3"/>
      <c r="BT809" s="3"/>
      <c r="BU809" s="6"/>
      <c r="BV809" s="3"/>
      <c r="BW809" s="3"/>
      <c r="BX809" s="6"/>
      <c r="BY809" s="3"/>
      <c r="BZ809" s="3"/>
      <c r="CA809" s="6"/>
      <c r="CB809" s="3"/>
      <c r="CC809" s="7"/>
      <c r="CD809" s="6"/>
      <c r="CE809" s="3"/>
      <c r="CF809" s="6"/>
      <c r="CG809" s="6"/>
      <c r="CH809" s="3"/>
      <c r="CI809" s="3"/>
      <c r="CJ809" s="6"/>
      <c r="CK809" s="3"/>
      <c r="CL809" s="3"/>
      <c r="CM809" s="6"/>
      <c r="CN809" s="3"/>
      <c r="CO809" s="3" t="s">
        <v>1950</v>
      </c>
      <c r="CP809" s="6"/>
      <c r="CQ809" s="3"/>
      <c r="CR809" s="7">
        <v>46116</v>
      </c>
      <c r="CS809" s="6"/>
      <c r="CT809" s="3"/>
      <c r="CU809" s="6">
        <v>0</v>
      </c>
      <c r="CV809" s="6"/>
      <c r="CW809" s="3"/>
      <c r="CX809" s="3" t="s">
        <v>2307</v>
      </c>
      <c r="CY809" s="6"/>
      <c r="CZ809" s="3"/>
      <c r="DA809" s="3" t="s">
        <v>2308</v>
      </c>
      <c r="DB809" s="6"/>
      <c r="DC809" s="3"/>
      <c r="DD809" s="3"/>
      <c r="DE809" s="6"/>
      <c r="DF809" s="3"/>
      <c r="DG809" s="7"/>
      <c r="DH809" s="6"/>
      <c r="DI809" s="3"/>
      <c r="DJ809" s="6"/>
      <c r="DK809" s="6"/>
      <c r="DL809" s="3"/>
      <c r="DM809" s="3"/>
      <c r="DN809" s="6"/>
      <c r="DO809" s="3"/>
      <c r="DP809" s="3"/>
      <c r="DQ809" s="6"/>
      <c r="DR809" s="3"/>
      <c r="DS809" s="3" t="str">
        <f>_xlfn.XLOOKUP(OfficeForms.Table[[#This Row],[Selecione a Categoria do Laboratório desta atividade prática:]],Planilha1!A:A,Planilha1!B:B)</f>
        <v>BAU</v>
      </c>
      <c r="DT809" s="6" t="str">
        <f>CONCATENATE(OfficeForms.Table[[#This Row],[Selecione seu Polo Laboratório de Atividades Presenciais:]],OfficeForms.Table[[#This Row],[CHAVE CONVERSÃO]])</f>
        <v>Itaguaí/RJ - Edifício ManancialBAU</v>
      </c>
      <c r="DU80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Assessoramento das diretrizes de conforto ambiental (Parte 1);Assessoramento das técnicas de restauro utilizadas e especificações das espécies de vegatação (Parte 1)</v>
      </c>
      <c r="DV80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46116</v>
      </c>
      <c r="DW80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09" s="6" t="str">
        <f>_xlfn.XLOOKUP(OfficeForms.Table[[#This Row],[CHAVE LINK POLO]],'[1]Quadro Geral de Lotação'!$B:$B,'[1]Quadro Geral de Lotação'!$I:$I)</f>
        <v>Marcelly Marinho Dos Santos</v>
      </c>
      <c r="DY809" s="6" t="str">
        <f>OfficeForms.Table[[#This Row],[Selecione a Ordem de Disciplina]]</f>
        <v>Ordem 2</v>
      </c>
    </row>
    <row r="810" spans="1:129" ht="34.15" customHeight="1">
      <c r="A810" s="6">
        <v>810</v>
      </c>
      <c r="B810" s="2">
        <v>46130.917708333298</v>
      </c>
      <c r="C810" s="2">
        <v>46130.929108796299</v>
      </c>
      <c r="D810" s="3" t="s">
        <v>1527</v>
      </c>
      <c r="E810" s="3" t="s">
        <v>1528</v>
      </c>
      <c r="F810" s="6"/>
      <c r="G810" s="3"/>
      <c r="I810" s="3" t="s">
        <v>1529</v>
      </c>
      <c r="J810" s="6"/>
      <c r="K810" s="3"/>
      <c r="L810" s="6" t="s">
        <v>678</v>
      </c>
      <c r="M810" s="6"/>
      <c r="N810" s="6"/>
      <c r="O810" s="3" t="s">
        <v>1482</v>
      </c>
      <c r="P810" s="6"/>
      <c r="Q810" s="3"/>
      <c r="R810" s="3"/>
      <c r="S810" s="6"/>
      <c r="T810" s="3"/>
      <c r="U810" s="7"/>
      <c r="V810" s="6"/>
      <c r="W810" s="3"/>
      <c r="X810" s="6"/>
      <c r="Y810" s="6"/>
      <c r="Z810" s="3"/>
      <c r="AA810" s="3"/>
      <c r="AB810" s="6"/>
      <c r="AC810" s="3"/>
      <c r="AD810" s="3"/>
      <c r="AE810" s="6"/>
      <c r="AF810" s="3"/>
      <c r="AG810" s="3"/>
      <c r="AH810" s="6"/>
      <c r="AI810" s="3"/>
      <c r="AJ810" s="1"/>
      <c r="AK810" s="6"/>
      <c r="AL810" s="3"/>
      <c r="AM810" s="6"/>
      <c r="AN810" s="6"/>
      <c r="AO810" s="3"/>
      <c r="AP810" s="3"/>
      <c r="AQ810" s="6"/>
      <c r="AR810" s="3"/>
      <c r="AS810" s="3"/>
      <c r="AT810" s="6"/>
      <c r="AU810" s="3"/>
      <c r="AV810" s="3"/>
      <c r="AW810" s="6"/>
      <c r="AX810" s="3"/>
      <c r="AY810" s="7"/>
      <c r="AZ810" s="6"/>
      <c r="BA810" s="3"/>
      <c r="BB810" s="6"/>
      <c r="BC810" s="6"/>
      <c r="BD810" s="3"/>
      <c r="BE810" s="3"/>
      <c r="BF810" s="6"/>
      <c r="BG810" s="3"/>
      <c r="BH810" s="3"/>
      <c r="BI810" s="6"/>
      <c r="BJ810" s="3"/>
      <c r="BK810" s="3"/>
      <c r="BL810" s="6"/>
      <c r="BM810" s="3"/>
      <c r="BN810" s="7"/>
      <c r="BO810" s="6"/>
      <c r="BP810" s="3"/>
      <c r="BQ810" s="6"/>
      <c r="BR810" s="6"/>
      <c r="BS810" s="3"/>
      <c r="BT810" s="3"/>
      <c r="BU810" s="6"/>
      <c r="BV810" s="3"/>
      <c r="BW810" s="3"/>
      <c r="BX810" s="6"/>
      <c r="BY810" s="3"/>
      <c r="BZ810" s="3"/>
      <c r="CA810" s="6"/>
      <c r="CB810" s="3"/>
      <c r="CC810" s="7"/>
      <c r="CD810" s="6"/>
      <c r="CE810" s="3"/>
      <c r="CF810" s="6"/>
      <c r="CG810" s="6"/>
      <c r="CH810" s="3"/>
      <c r="CI810" s="3"/>
      <c r="CJ810" s="6"/>
      <c r="CK810" s="3"/>
      <c r="CL810" s="3"/>
      <c r="CM810" s="6"/>
      <c r="CN810" s="3"/>
      <c r="CO810" s="3" t="s">
        <v>2309</v>
      </c>
      <c r="CP810" s="6"/>
      <c r="CQ810" s="3"/>
      <c r="CR810" s="7">
        <v>46123</v>
      </c>
      <c r="CS810" s="6"/>
      <c r="CT810" s="3"/>
      <c r="CU810" s="6">
        <v>1</v>
      </c>
      <c r="CV810" s="6"/>
      <c r="CW810" s="3"/>
      <c r="CX810" s="3" t="s">
        <v>2310</v>
      </c>
      <c r="CY810" s="6"/>
      <c r="CZ810" s="3"/>
      <c r="DA810" s="3" t="s">
        <v>2311</v>
      </c>
      <c r="DB810" s="6"/>
      <c r="DC810" s="3"/>
      <c r="DD810" s="3"/>
      <c r="DE810" s="6"/>
      <c r="DF810" s="3"/>
      <c r="DG810" s="7"/>
      <c r="DH810" s="6"/>
      <c r="DI810" s="3"/>
      <c r="DJ810" s="6"/>
      <c r="DK810" s="6"/>
      <c r="DL810" s="3"/>
      <c r="DM810" s="3"/>
      <c r="DN810" s="6"/>
      <c r="DO810" s="3"/>
      <c r="DP810" s="3"/>
      <c r="DQ810" s="6"/>
      <c r="DR810" s="3"/>
      <c r="DS810" s="3" t="str">
        <f>_xlfn.XLOOKUP(OfficeForms.Table[[#This Row],[Selecione a Categoria do Laboratório desta atividade prática:]],Planilha1!A:A,Planilha1!B:B)</f>
        <v>BAU</v>
      </c>
      <c r="DT810" s="6" t="str">
        <f>CONCATENATE(OfficeForms.Table[[#This Row],[Selecione seu Polo Laboratório de Atividades Presenciais:]],OfficeForms.Table[[#This Row],[CHAVE CONVERSÃO]])</f>
        <v>Itaguaí/RJ - Edifício ManancialBAU</v>
      </c>
      <c r="DU81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Assessoramento do perfil viário e detalhamento técnico de um lote (Parte 1);Maquete Física Volumétrica (Parte 1);Assessoramento no desenvolvimento da perspectiva arquitetônica (Parte 1)</v>
      </c>
      <c r="DV81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46123</v>
      </c>
      <c r="DW81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10" s="6" t="str">
        <f>_xlfn.XLOOKUP(OfficeForms.Table[[#This Row],[CHAVE LINK POLO]],'[1]Quadro Geral de Lotação'!$B:$B,'[1]Quadro Geral de Lotação'!$I:$I)</f>
        <v>Marcelly Marinho Dos Santos</v>
      </c>
      <c r="DY810" s="6" t="str">
        <f>OfficeForms.Table[[#This Row],[Selecione a Ordem de Disciplina]]</f>
        <v>Ordem 2</v>
      </c>
    </row>
    <row r="811" spans="1:129" ht="34.15" customHeight="1">
      <c r="A811" s="6">
        <v>811</v>
      </c>
      <c r="B811" s="2">
        <v>46130.929629629602</v>
      </c>
      <c r="C811" s="2">
        <v>46130.949699074103</v>
      </c>
      <c r="D811" s="3" t="s">
        <v>1527</v>
      </c>
      <c r="E811" s="3" t="s">
        <v>1528</v>
      </c>
      <c r="F811" s="6"/>
      <c r="G811" s="3"/>
      <c r="I811" s="3" t="s">
        <v>1529</v>
      </c>
      <c r="J811" s="6"/>
      <c r="K811" s="3"/>
      <c r="L811" s="6" t="s">
        <v>1325</v>
      </c>
      <c r="M811" s="6"/>
      <c r="N811" s="6"/>
      <c r="O811" s="3" t="s">
        <v>1482</v>
      </c>
      <c r="P811" s="6"/>
      <c r="Q811" s="3"/>
      <c r="R811" s="3"/>
      <c r="S811" s="6"/>
      <c r="T811" s="3"/>
      <c r="U811" s="7"/>
      <c r="V811" s="6"/>
      <c r="W811" s="3"/>
      <c r="X811" s="6"/>
      <c r="Y811" s="6"/>
      <c r="Z811" s="3"/>
      <c r="AA811" s="3"/>
      <c r="AB811" s="6"/>
      <c r="AC811" s="3"/>
      <c r="AD811" s="3"/>
      <c r="AE811" s="6"/>
      <c r="AF811" s="3"/>
      <c r="AG811" s="3"/>
      <c r="AH811" s="6"/>
      <c r="AI811" s="3"/>
      <c r="AJ811" s="1"/>
      <c r="AK811" s="6"/>
      <c r="AL811" s="3"/>
      <c r="AM811" s="6"/>
      <c r="AN811" s="6"/>
      <c r="AO811" s="3"/>
      <c r="AP811" s="3"/>
      <c r="AQ811" s="6"/>
      <c r="AR811" s="3"/>
      <c r="AS811" s="3"/>
      <c r="AT811" s="6"/>
      <c r="AU811" s="3"/>
      <c r="AV811" s="3"/>
      <c r="AW811" s="6"/>
      <c r="AX811" s="3"/>
      <c r="AY811" s="7"/>
      <c r="AZ811" s="6"/>
      <c r="BA811" s="3"/>
      <c r="BB811" s="6"/>
      <c r="BC811" s="6"/>
      <c r="BD811" s="3"/>
      <c r="BE811" s="3"/>
      <c r="BF811" s="6"/>
      <c r="BG811" s="3"/>
      <c r="BH811" s="3"/>
      <c r="BI811" s="6"/>
      <c r="BJ811" s="3"/>
      <c r="BK811" s="3"/>
      <c r="BL811" s="6"/>
      <c r="BM811" s="3"/>
      <c r="BN811" s="7"/>
      <c r="BO811" s="6"/>
      <c r="BP811" s="3"/>
      <c r="BQ811" s="6"/>
      <c r="BR811" s="6"/>
      <c r="BS811" s="3"/>
      <c r="BT811" s="3"/>
      <c r="BU811" s="6"/>
      <c r="BV811" s="3"/>
      <c r="BW811" s="3"/>
      <c r="BX811" s="6"/>
      <c r="BY811" s="3"/>
      <c r="BZ811" s="3"/>
      <c r="CA811" s="6"/>
      <c r="CB811" s="3"/>
      <c r="CC811" s="7"/>
      <c r="CD811" s="6"/>
      <c r="CE811" s="3"/>
      <c r="CF811" s="6"/>
      <c r="CG811" s="6"/>
      <c r="CH811" s="3"/>
      <c r="CI811" s="3"/>
      <c r="CJ811" s="6"/>
      <c r="CK811" s="3"/>
      <c r="CL811" s="3"/>
      <c r="CM811" s="6"/>
      <c r="CN811" s="3"/>
      <c r="CO811" s="3" t="s">
        <v>2312</v>
      </c>
      <c r="CP811" s="6"/>
      <c r="CQ811" s="3"/>
      <c r="CR811" s="7">
        <v>46130</v>
      </c>
      <c r="CS811" s="6"/>
      <c r="CT811" s="3"/>
      <c r="CU811" s="6">
        <v>27</v>
      </c>
      <c r="CV811" s="6"/>
      <c r="CW811" s="3"/>
      <c r="CX811" s="3" t="s">
        <v>2313</v>
      </c>
      <c r="CY811" s="6"/>
      <c r="CZ811" s="3"/>
      <c r="DA811" s="3" t="s">
        <v>2314</v>
      </c>
      <c r="DB811" s="6"/>
      <c r="DC811" s="3"/>
      <c r="DD811" s="3"/>
      <c r="DE811" s="6"/>
      <c r="DF811" s="3"/>
      <c r="DG811" s="7"/>
      <c r="DH811" s="6"/>
      <c r="DI811" s="3"/>
      <c r="DJ811" s="6"/>
      <c r="DK811" s="6"/>
      <c r="DL811" s="3"/>
      <c r="DM811" s="3"/>
      <c r="DN811" s="6"/>
      <c r="DO811" s="3"/>
      <c r="DP811" s="3"/>
      <c r="DQ811" s="6"/>
      <c r="DR811" s="3"/>
      <c r="DS811" s="3" t="str">
        <f>_xlfn.XLOOKUP(OfficeForms.Table[[#This Row],[Selecione a Categoria do Laboratório desta atividade prática:]],Planilha1!A:A,Planilha1!B:B)</f>
        <v>BAU</v>
      </c>
      <c r="DT811" s="6" t="str">
        <f>CONCATENATE(OfficeForms.Table[[#This Row],[Selecione seu Polo Laboratório de Atividades Presenciais:]],OfficeForms.Table[[#This Row],[CHAVE CONVERSÃO]])</f>
        <v>Itaguaí/RJ - Edifício ManancialBAU</v>
      </c>
      <c r="DU81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Representações do Desenho Técnico + Cotas e Escalas;Introdução a Caligrafia Técnica dentro das normas da ABNT (NBR 6492). +  Introdução aos Primeiros Passos</v>
      </c>
      <c r="DV81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1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27</v>
      </c>
      <c r="DX811" s="6" t="str">
        <f>_xlfn.XLOOKUP(OfficeForms.Table[[#This Row],[CHAVE LINK POLO]],'[1]Quadro Geral de Lotação'!$B:$B,'[1]Quadro Geral de Lotação'!$I:$I)</f>
        <v>Marcelly Marinho Dos Santos</v>
      </c>
      <c r="DY811" s="6" t="str">
        <f>OfficeForms.Table[[#This Row],[Selecione a Ordem de Disciplina]]</f>
        <v>Ordem 3</v>
      </c>
    </row>
    <row r="812" spans="1:129" ht="34.15" customHeight="1">
      <c r="A812" s="6">
        <v>812</v>
      </c>
      <c r="B812" s="2">
        <v>46130.986400463</v>
      </c>
      <c r="C812" s="2">
        <v>46131.022800925901</v>
      </c>
      <c r="D812" s="3" t="s">
        <v>2261</v>
      </c>
      <c r="E812" s="3" t="s">
        <v>2262</v>
      </c>
      <c r="F812" s="6"/>
      <c r="G812" s="3"/>
      <c r="I812" s="3" t="s">
        <v>2263</v>
      </c>
      <c r="J812" s="6"/>
      <c r="K812" s="3"/>
      <c r="L812" s="6" t="s">
        <v>1325</v>
      </c>
      <c r="M812" s="6"/>
      <c r="N812" s="6"/>
      <c r="O812" s="3" t="s">
        <v>184</v>
      </c>
      <c r="P812" s="6"/>
      <c r="Q812" s="3"/>
      <c r="R812" s="3"/>
      <c r="S812" s="6"/>
      <c r="T812" s="3"/>
      <c r="U812" s="7"/>
      <c r="V812" s="6"/>
      <c r="W812" s="3"/>
      <c r="X812" s="6"/>
      <c r="Y812" s="6"/>
      <c r="Z812" s="3"/>
      <c r="AA812" s="3"/>
      <c r="AB812" s="6"/>
      <c r="AC812" s="3"/>
      <c r="AD812" s="3"/>
      <c r="AE812" s="6"/>
      <c r="AF812" s="3"/>
      <c r="AG812" s="3" t="s">
        <v>2254</v>
      </c>
      <c r="AH812" s="6"/>
      <c r="AI812" s="3"/>
      <c r="AJ812" s="1">
        <v>46130</v>
      </c>
      <c r="AK812" s="6"/>
      <c r="AL812" s="3"/>
      <c r="AM812" s="6">
        <v>19</v>
      </c>
      <c r="AN812" s="6"/>
      <c r="AO812" s="3"/>
      <c r="AP812" s="3" t="s">
        <v>2315</v>
      </c>
      <c r="AQ812" s="6"/>
      <c r="AR812" s="3"/>
      <c r="AS812" s="3" t="s">
        <v>2316</v>
      </c>
      <c r="AT812" s="6"/>
      <c r="AU812" s="3"/>
      <c r="AV812" s="3"/>
      <c r="AW812" s="6"/>
      <c r="AX812" s="3"/>
      <c r="AY812" s="7"/>
      <c r="AZ812" s="6"/>
      <c r="BA812" s="3"/>
      <c r="BB812" s="6"/>
      <c r="BC812" s="6"/>
      <c r="BD812" s="3"/>
      <c r="BE812" s="3"/>
      <c r="BF812" s="6"/>
      <c r="BG812" s="3"/>
      <c r="BH812" s="3"/>
      <c r="BI812" s="6"/>
      <c r="BJ812" s="3"/>
      <c r="BK812" s="3"/>
      <c r="BL812" s="6"/>
      <c r="BM812" s="3"/>
      <c r="BN812" s="7"/>
      <c r="BO812" s="6"/>
      <c r="BP812" s="3"/>
      <c r="BQ812" s="6"/>
      <c r="BR812" s="6"/>
      <c r="BS812" s="3"/>
      <c r="BT812" s="3"/>
      <c r="BU812" s="6"/>
      <c r="BV812" s="3"/>
      <c r="BW812" s="3"/>
      <c r="BX812" s="6"/>
      <c r="BY812" s="3"/>
      <c r="BZ812" s="3"/>
      <c r="CA812" s="6"/>
      <c r="CB812" s="3"/>
      <c r="CC812" s="7"/>
      <c r="CD812" s="6"/>
      <c r="CE812" s="3"/>
      <c r="CF812" s="6"/>
      <c r="CG812" s="6"/>
      <c r="CH812" s="3"/>
      <c r="CI812" s="3"/>
      <c r="CJ812" s="6"/>
      <c r="CK812" s="3"/>
      <c r="CL812" s="3"/>
      <c r="CM812" s="6"/>
      <c r="CN812" s="3"/>
      <c r="CO812" s="3"/>
      <c r="CP812" s="6"/>
      <c r="CQ812" s="3"/>
      <c r="CR812" s="7"/>
      <c r="CS812" s="6"/>
      <c r="CT812" s="3"/>
      <c r="CU812" s="6"/>
      <c r="CV812" s="6"/>
      <c r="CW812" s="3"/>
      <c r="CX812" s="3"/>
      <c r="CY812" s="6"/>
      <c r="CZ812" s="3"/>
      <c r="DA812" s="3"/>
      <c r="DB812" s="6"/>
      <c r="DC812" s="3"/>
      <c r="DD812" s="3"/>
      <c r="DE812" s="6"/>
      <c r="DF812" s="3"/>
      <c r="DG812" s="7"/>
      <c r="DH812" s="6"/>
      <c r="DI812" s="3"/>
      <c r="DJ812" s="6"/>
      <c r="DK812" s="6"/>
      <c r="DL812" s="3"/>
      <c r="DM812" s="3"/>
      <c r="DN812" s="6"/>
      <c r="DO812" s="3"/>
      <c r="DP812" s="3"/>
      <c r="DQ812" s="6"/>
      <c r="DR812" s="3"/>
      <c r="DS812" s="3" t="str">
        <f>_xlfn.XLOOKUP(OfficeForms.Table[[#This Row],[Selecione a Categoria do Laboratório desta atividade prática:]],Planilha1!A:A,Planilha1!B:B)</f>
        <v>EMF-ISN</v>
      </c>
      <c r="DT812" s="6" t="str">
        <f>CONCATENATE(OfficeForms.Table[[#This Row],[Selecione seu Polo Laboratório de Atividades Presenciais:]],OfficeForms.Table[[#This Row],[CHAVE CONVERSÃO]])</f>
        <v>Barcelos/AMEMF-ISN</v>
      </c>
      <c r="DU81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reprodutiva + Realização do exame de Papanicolau</v>
      </c>
      <c r="DV81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1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19</v>
      </c>
      <c r="DX812" s="6" t="str">
        <f>_xlfn.XLOOKUP(OfficeForms.Table[[#This Row],[CHAVE LINK POLO]],'[1]Quadro Geral de Lotação'!$B:$B,'[1]Quadro Geral de Lotação'!$I:$I)</f>
        <v>Priscila Ferreira De Sousa</v>
      </c>
      <c r="DY812" s="6" t="str">
        <f>OfficeForms.Table[[#This Row],[Selecione a Ordem de Disciplina]]</f>
        <v>Ordem 3</v>
      </c>
    </row>
    <row r="813" spans="1:129" ht="34.15" customHeight="1">
      <c r="A813" s="6">
        <v>813</v>
      </c>
      <c r="B813" s="2">
        <v>46131.022847222201</v>
      </c>
      <c r="C813" s="2">
        <v>46131.029537037</v>
      </c>
      <c r="D813" s="3" t="s">
        <v>2261</v>
      </c>
      <c r="E813" s="3" t="s">
        <v>2262</v>
      </c>
      <c r="F813" s="6"/>
      <c r="G813" s="3"/>
      <c r="I813" s="3" t="s">
        <v>2263</v>
      </c>
      <c r="J813" s="6"/>
      <c r="K813" s="3"/>
      <c r="L813" s="6" t="s">
        <v>1325</v>
      </c>
      <c r="M813" s="6"/>
      <c r="N813" s="6"/>
      <c r="O813" s="3" t="s">
        <v>184</v>
      </c>
      <c r="P813" s="6"/>
      <c r="Q813" s="3"/>
      <c r="R813" s="3"/>
      <c r="S813" s="6"/>
      <c r="T813" s="3"/>
      <c r="U813" s="7"/>
      <c r="V813" s="6"/>
      <c r="W813" s="3"/>
      <c r="X813" s="6"/>
      <c r="Y813" s="6"/>
      <c r="Z813" s="3"/>
      <c r="AA813" s="3"/>
      <c r="AB813" s="6"/>
      <c r="AC813" s="3"/>
      <c r="AD813" s="3"/>
      <c r="AE813" s="6"/>
      <c r="AF813" s="3"/>
      <c r="AG813" s="3" t="s">
        <v>2254</v>
      </c>
      <c r="AH813" s="6"/>
      <c r="AI813" s="3"/>
      <c r="AJ813" s="1">
        <v>46130</v>
      </c>
      <c r="AK813" s="6"/>
      <c r="AL813" s="3"/>
      <c r="AM813" s="6">
        <v>3</v>
      </c>
      <c r="AN813" s="6"/>
      <c r="AO813" s="3"/>
      <c r="AP813" s="3" t="s">
        <v>2317</v>
      </c>
      <c r="AQ813" s="6"/>
      <c r="AR813" s="3"/>
      <c r="AS813" s="3" t="s">
        <v>2318</v>
      </c>
      <c r="AT813" s="6"/>
      <c r="AU813" s="3"/>
      <c r="AV813" s="3"/>
      <c r="AW813" s="6"/>
      <c r="AX813" s="3"/>
      <c r="AY813" s="7"/>
      <c r="AZ813" s="6"/>
      <c r="BA813" s="3"/>
      <c r="BB813" s="6"/>
      <c r="BC813" s="6"/>
      <c r="BD813" s="3"/>
      <c r="BE813" s="3"/>
      <c r="BF813" s="6"/>
      <c r="BG813" s="3"/>
      <c r="BH813" s="3"/>
      <c r="BI813" s="6"/>
      <c r="BJ813" s="3"/>
      <c r="BK813" s="3"/>
      <c r="BL813" s="6"/>
      <c r="BM813" s="3"/>
      <c r="BN813" s="7"/>
      <c r="BO813" s="6"/>
      <c r="BP813" s="3"/>
      <c r="BQ813" s="6"/>
      <c r="BR813" s="6"/>
      <c r="BS813" s="3"/>
      <c r="BT813" s="3"/>
      <c r="BU813" s="6"/>
      <c r="BV813" s="3"/>
      <c r="BW813" s="3"/>
      <c r="BX813" s="6"/>
      <c r="BY813" s="3"/>
      <c r="BZ813" s="3"/>
      <c r="CA813" s="6"/>
      <c r="CB813" s="3"/>
      <c r="CC813" s="7"/>
      <c r="CD813" s="6"/>
      <c r="CE813" s="3"/>
      <c r="CF813" s="6"/>
      <c r="CG813" s="6"/>
      <c r="CH813" s="3"/>
      <c r="CI813" s="3"/>
      <c r="CJ813" s="6"/>
      <c r="CK813" s="3"/>
      <c r="CL813" s="3"/>
      <c r="CM813" s="6"/>
      <c r="CN813" s="3"/>
      <c r="CO813" s="3"/>
      <c r="CP813" s="6"/>
      <c r="CQ813" s="3"/>
      <c r="CR813" s="7"/>
      <c r="CS813" s="6"/>
      <c r="CT813" s="3"/>
      <c r="CU813" s="6"/>
      <c r="CV813" s="6"/>
      <c r="CW813" s="3"/>
      <c r="CX813" s="3"/>
      <c r="CY813" s="6"/>
      <c r="CZ813" s="3"/>
      <c r="DA813" s="3"/>
      <c r="DB813" s="6"/>
      <c r="DC813" s="3"/>
      <c r="DD813" s="3"/>
      <c r="DE813" s="6"/>
      <c r="DF813" s="3"/>
      <c r="DG813" s="7"/>
      <c r="DH813" s="6"/>
      <c r="DI813" s="3"/>
      <c r="DJ813" s="6"/>
      <c r="DK813" s="6"/>
      <c r="DL813" s="3"/>
      <c r="DM813" s="3"/>
      <c r="DN813" s="6"/>
      <c r="DO813" s="3"/>
      <c r="DP813" s="3"/>
      <c r="DQ813" s="6"/>
      <c r="DR813" s="3"/>
      <c r="DS813" s="3" t="str">
        <f>_xlfn.XLOOKUP(OfficeForms.Table[[#This Row],[Selecione a Categoria do Laboratório desta atividade prática:]],Planilha1!A:A,Planilha1!B:B)</f>
        <v>EMF-ISN</v>
      </c>
      <c r="DT813" s="6" t="str">
        <f>CONCATENATE(OfficeForms.Table[[#This Row],[Selecione seu Polo Laboratório de Atividades Presenciais:]],OfficeForms.Table[[#This Row],[CHAVE CONVERSÃO]])</f>
        <v>Barcelos/AMEMF-ISN</v>
      </c>
      <c r="DU81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reprodutiva + Realização do exame de Papanicolau</v>
      </c>
      <c r="DV81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1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13" s="6" t="str">
        <f>_xlfn.XLOOKUP(OfficeForms.Table[[#This Row],[CHAVE LINK POLO]],'[1]Quadro Geral de Lotação'!$B:$B,'[1]Quadro Geral de Lotação'!$I:$I)</f>
        <v>Priscila Ferreira De Sousa</v>
      </c>
      <c r="DY813" s="6" t="str">
        <f>OfficeForms.Table[[#This Row],[Selecione a Ordem de Disciplina]]</f>
        <v>Ordem 3</v>
      </c>
    </row>
    <row r="814" spans="1:129" ht="34.15" customHeight="1">
      <c r="A814" s="6">
        <v>814</v>
      </c>
      <c r="B814" s="2">
        <v>46131.549375000002</v>
      </c>
      <c r="C814" s="2">
        <v>46131.551053240699</v>
      </c>
      <c r="D814" s="3" t="s">
        <v>129</v>
      </c>
      <c r="E814" s="3" t="s">
        <v>130</v>
      </c>
      <c r="F814" s="6"/>
      <c r="G814" s="3"/>
      <c r="I814" s="3" t="s">
        <v>131</v>
      </c>
      <c r="J814" s="6"/>
      <c r="K814" s="3"/>
      <c r="L814" s="6" t="s">
        <v>1325</v>
      </c>
      <c r="M814" s="6"/>
      <c r="N814" s="6"/>
      <c r="O814" s="3" t="s">
        <v>133</v>
      </c>
      <c r="P814" s="6"/>
      <c r="Q814" s="3"/>
      <c r="R814" s="3"/>
      <c r="S814" s="6"/>
      <c r="T814" s="3"/>
      <c r="U814" s="7"/>
      <c r="V814" s="6"/>
      <c r="W814" s="3"/>
      <c r="X814" s="6"/>
      <c r="Y814" s="6"/>
      <c r="Z814" s="3"/>
      <c r="AA814" s="3"/>
      <c r="AB814" s="6"/>
      <c r="AC814" s="3"/>
      <c r="AD814" s="3"/>
      <c r="AE814" s="6"/>
      <c r="AF814" s="3"/>
      <c r="AG814" s="3"/>
      <c r="AH814" s="6"/>
      <c r="AI814" s="3"/>
      <c r="AJ814" s="1"/>
      <c r="AK814" s="6"/>
      <c r="AL814" s="3"/>
      <c r="AM814" s="6"/>
      <c r="AN814" s="6"/>
      <c r="AO814" s="3"/>
      <c r="AP814" s="3"/>
      <c r="AQ814" s="6"/>
      <c r="AR814" s="3"/>
      <c r="AS814" s="3"/>
      <c r="AT814" s="6"/>
      <c r="AU814" s="3"/>
      <c r="AV814" s="3" t="s">
        <v>2212</v>
      </c>
      <c r="AW814" s="6"/>
      <c r="AX814" s="3"/>
      <c r="AY814" s="7">
        <v>46127</v>
      </c>
      <c r="AZ814" s="6"/>
      <c r="BA814" s="3"/>
      <c r="BB814" s="6">
        <v>2</v>
      </c>
      <c r="BC814" s="6"/>
      <c r="BD814" s="3"/>
      <c r="BE814" s="3" t="s">
        <v>2319</v>
      </c>
      <c r="BF814" s="6"/>
      <c r="BG814" s="3"/>
      <c r="BH814" s="3" t="s">
        <v>2320</v>
      </c>
      <c r="BI814" s="6"/>
      <c r="BJ814" s="3"/>
      <c r="BK814" s="3"/>
      <c r="BL814" s="6"/>
      <c r="BM814" s="3"/>
      <c r="BN814" s="7"/>
      <c r="BO814" s="6"/>
      <c r="BP814" s="3"/>
      <c r="BQ814" s="6"/>
      <c r="BR814" s="6"/>
      <c r="BS814" s="3"/>
      <c r="BT814" s="3"/>
      <c r="BU814" s="6"/>
      <c r="BV814" s="3"/>
      <c r="BW814" s="3"/>
      <c r="BX814" s="6"/>
      <c r="BY814" s="3"/>
      <c r="BZ814" s="3"/>
      <c r="CA814" s="6"/>
      <c r="CB814" s="3"/>
      <c r="CC814" s="7"/>
      <c r="CD814" s="6"/>
      <c r="CE814" s="3"/>
      <c r="CF814" s="6"/>
      <c r="CG814" s="6"/>
      <c r="CH814" s="3"/>
      <c r="CI814" s="3"/>
      <c r="CJ814" s="6"/>
      <c r="CK814" s="3"/>
      <c r="CL814" s="3"/>
      <c r="CM814" s="6"/>
      <c r="CN814" s="3"/>
      <c r="CO814" s="3"/>
      <c r="CP814" s="6"/>
      <c r="CQ814" s="3"/>
      <c r="CR814" s="7"/>
      <c r="CS814" s="6"/>
      <c r="CT814" s="3"/>
      <c r="CU814" s="6"/>
      <c r="CV814" s="6"/>
      <c r="CW814" s="3"/>
      <c r="CX814" s="3"/>
      <c r="CY814" s="6"/>
      <c r="CZ814" s="3"/>
      <c r="DA814" s="3"/>
      <c r="DB814" s="6"/>
      <c r="DC814" s="3"/>
      <c r="DD814" s="3"/>
      <c r="DE814" s="6"/>
      <c r="DF814" s="3"/>
      <c r="DG814" s="7"/>
      <c r="DH814" s="6"/>
      <c r="DI814" s="3"/>
      <c r="DJ814" s="6"/>
      <c r="DK814" s="6"/>
      <c r="DL814" s="3"/>
      <c r="DM814" s="3"/>
      <c r="DN814" s="6"/>
      <c r="DO814" s="3"/>
      <c r="DP814" s="3"/>
      <c r="DQ814" s="6"/>
      <c r="DR814" s="3"/>
      <c r="DS814" s="3" t="str">
        <f>_xlfn.XLOOKUP(OfficeForms.Table[[#This Row],[Selecione a Categoria do Laboratório desta atividade prática:]],Planilha1!A:A,Planilha1!B:B)</f>
        <v>BFI</v>
      </c>
      <c r="DT814" s="6" t="str">
        <f>CONCATENATE(OfficeForms.Table[[#This Row],[Selecione seu Polo Laboratório de Atividades Presenciais:]],OfficeForms.Table[[#This Row],[CHAVE CONVERSÃO]])</f>
        <v>Guarujá/SPBFI</v>
      </c>
      <c r="DU81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Fundamentos e Aplicações Clínicas da Eletroterapia: Prática em Eletrotermofototerapia</v>
      </c>
      <c r="DV81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1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14" s="6" t="str">
        <f>_xlfn.XLOOKUP(OfficeForms.Table[[#This Row],[CHAVE LINK POLO]],'[1]Quadro Geral de Lotação'!$B:$B,'[1]Quadro Geral de Lotação'!$I:$I)</f>
        <v>Lucas Soares De Medeiros</v>
      </c>
      <c r="DY814" s="6" t="str">
        <f>OfficeForms.Table[[#This Row],[Selecione a Ordem de Disciplina]]</f>
        <v>Ordem 3</v>
      </c>
    </row>
    <row r="815" spans="1:129" ht="34.15" customHeight="1">
      <c r="A815" s="6">
        <v>815</v>
      </c>
      <c r="B815" s="2">
        <v>46131.603483796302</v>
      </c>
      <c r="C815" s="2">
        <v>46131.6074421296</v>
      </c>
      <c r="D815" s="3" t="s">
        <v>448</v>
      </c>
      <c r="E815" s="3" t="s">
        <v>449</v>
      </c>
      <c r="F815" s="6"/>
      <c r="G815" s="3"/>
      <c r="I815" s="3" t="s">
        <v>450</v>
      </c>
      <c r="J815" s="6"/>
      <c r="K815" s="3"/>
      <c r="L815" s="6" t="s">
        <v>1325</v>
      </c>
      <c r="M815" s="6"/>
      <c r="N815" s="6"/>
      <c r="O815" s="3" t="s">
        <v>184</v>
      </c>
      <c r="P815" s="6"/>
      <c r="Q815" s="3"/>
      <c r="R815" s="3"/>
      <c r="S815" s="6"/>
      <c r="T815" s="3"/>
      <c r="U815" s="7"/>
      <c r="V815" s="6"/>
      <c r="W815" s="3"/>
      <c r="X815" s="6"/>
      <c r="Y815" s="6"/>
      <c r="Z815" s="3"/>
      <c r="AA815" s="3"/>
      <c r="AB815" s="6"/>
      <c r="AC815" s="3"/>
      <c r="AD815" s="3"/>
      <c r="AE815" s="6"/>
      <c r="AF815" s="3"/>
      <c r="AG815" s="3" t="s">
        <v>2254</v>
      </c>
      <c r="AH815" s="6"/>
      <c r="AI815" s="3"/>
      <c r="AJ815" s="1">
        <v>46130</v>
      </c>
      <c r="AK815" s="6"/>
      <c r="AL815" s="3"/>
      <c r="AM815" s="6">
        <v>6</v>
      </c>
      <c r="AN815" s="6"/>
      <c r="AO815" s="3"/>
      <c r="AP815" s="3" t="s">
        <v>2321</v>
      </c>
      <c r="AQ815" s="6"/>
      <c r="AR815" s="3"/>
      <c r="AS815" s="3" t="s">
        <v>2322</v>
      </c>
      <c r="AT815" s="6"/>
      <c r="AU815" s="3"/>
      <c r="AV815" s="3"/>
      <c r="AW815" s="6"/>
      <c r="AX815" s="3"/>
      <c r="AY815" s="7"/>
      <c r="AZ815" s="6"/>
      <c r="BA815" s="3"/>
      <c r="BB815" s="6"/>
      <c r="BC815" s="6"/>
      <c r="BD815" s="3"/>
      <c r="BE815" s="3"/>
      <c r="BF815" s="6"/>
      <c r="BG815" s="3"/>
      <c r="BH815" s="3"/>
      <c r="BI815" s="6"/>
      <c r="BJ815" s="3"/>
      <c r="BK815" s="3"/>
      <c r="BL815" s="6"/>
      <c r="BM815" s="3"/>
      <c r="BN815" s="7"/>
      <c r="BO815" s="6"/>
      <c r="BP815" s="3"/>
      <c r="BQ815" s="6"/>
      <c r="BR815" s="6"/>
      <c r="BS815" s="3"/>
      <c r="BT815" s="3"/>
      <c r="BU815" s="6"/>
      <c r="BV815" s="3"/>
      <c r="BW815" s="3"/>
      <c r="BX815" s="6"/>
      <c r="BY815" s="3"/>
      <c r="BZ815" s="3"/>
      <c r="CA815" s="6"/>
      <c r="CB815" s="3"/>
      <c r="CC815" s="7"/>
      <c r="CD815" s="6"/>
      <c r="CE815" s="3"/>
      <c r="CF815" s="6"/>
      <c r="CG815" s="6"/>
      <c r="CH815" s="3"/>
      <c r="CI815" s="3"/>
      <c r="CJ815" s="6"/>
      <c r="CK815" s="3"/>
      <c r="CL815" s="3"/>
      <c r="CM815" s="6"/>
      <c r="CN815" s="3"/>
      <c r="CO815" s="3"/>
      <c r="CP815" s="6"/>
      <c r="CQ815" s="3"/>
      <c r="CR815" s="7"/>
      <c r="CS815" s="6"/>
      <c r="CT815" s="3"/>
      <c r="CU815" s="6"/>
      <c r="CV815" s="6"/>
      <c r="CW815" s="3"/>
      <c r="CX815" s="3"/>
      <c r="CY815" s="6"/>
      <c r="CZ815" s="3"/>
      <c r="DA815" s="3"/>
      <c r="DB815" s="6"/>
      <c r="DC815" s="3"/>
      <c r="DD815" s="3"/>
      <c r="DE815" s="6"/>
      <c r="DF815" s="3"/>
      <c r="DG815" s="7"/>
      <c r="DH815" s="6"/>
      <c r="DI815" s="3"/>
      <c r="DJ815" s="6"/>
      <c r="DK815" s="6"/>
      <c r="DL815" s="3"/>
      <c r="DM815" s="3"/>
      <c r="DN815" s="6"/>
      <c r="DO815" s="3"/>
      <c r="DP815" s="3"/>
      <c r="DQ815" s="6"/>
      <c r="DR815" s="3"/>
      <c r="DS815" s="3" t="str">
        <f>_xlfn.XLOOKUP(OfficeForms.Table[[#This Row],[Selecione a Categoria do Laboratório desta atividade prática:]],Planilha1!A:A,Planilha1!B:B)</f>
        <v>EMF-ISN</v>
      </c>
      <c r="DT815" s="6" t="str">
        <f>CONCATENATE(OfficeForms.Table[[#This Row],[Selecione seu Polo Laboratório de Atividades Presenciais:]],OfficeForms.Table[[#This Row],[CHAVE CONVERSÃO]])</f>
        <v>Montes Claros/MG - CentroEMF-ISN</v>
      </c>
      <c r="DU81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reprodutiva + Realização do exame de Papanicolau</v>
      </c>
      <c r="DV81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1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815" s="6" t="str">
        <f>_xlfn.XLOOKUP(OfficeForms.Table[[#This Row],[CHAVE LINK POLO]],'[1]Quadro Geral de Lotação'!$B:$B,'[1]Quadro Geral de Lotação'!$I:$I)</f>
        <v>Izabel Francisca Da Silva</v>
      </c>
      <c r="DY815" s="6" t="str">
        <f>OfficeForms.Table[[#This Row],[Selecione a Ordem de Disciplina]]</f>
        <v>Ordem 3</v>
      </c>
    </row>
    <row r="816" spans="1:129" ht="34.15" customHeight="1">
      <c r="A816" s="6">
        <v>816</v>
      </c>
      <c r="B816" s="2">
        <v>46131.603020833303</v>
      </c>
      <c r="C816" s="2">
        <v>46131.609525462998</v>
      </c>
      <c r="D816" s="3" t="s">
        <v>448</v>
      </c>
      <c r="E816" s="3" t="s">
        <v>449</v>
      </c>
      <c r="F816" s="6"/>
      <c r="G816" s="3"/>
      <c r="I816" s="3" t="s">
        <v>450</v>
      </c>
      <c r="J816" s="6"/>
      <c r="K816" s="3"/>
      <c r="L816" s="6" t="s">
        <v>1325</v>
      </c>
      <c r="M816" s="6"/>
      <c r="N816" s="6"/>
      <c r="O816" s="3" t="s">
        <v>184</v>
      </c>
      <c r="P816" s="6"/>
      <c r="Q816" s="3"/>
      <c r="R816" s="3"/>
      <c r="S816" s="6"/>
      <c r="T816" s="3"/>
      <c r="U816" s="7"/>
      <c r="V816" s="6"/>
      <c r="W816" s="3"/>
      <c r="X816" s="6"/>
      <c r="Y816" s="6"/>
      <c r="Z816" s="3"/>
      <c r="AA816" s="3"/>
      <c r="AB816" s="6"/>
      <c r="AC816" s="3"/>
      <c r="AD816" s="3"/>
      <c r="AE816" s="6"/>
      <c r="AF816" s="3"/>
      <c r="AG816" s="3" t="s">
        <v>2080</v>
      </c>
      <c r="AH816" s="6"/>
      <c r="AI816" s="3"/>
      <c r="AJ816" s="1">
        <v>46130</v>
      </c>
      <c r="AK816" s="6"/>
      <c r="AL816" s="3"/>
      <c r="AM816" s="6">
        <v>7</v>
      </c>
      <c r="AN816" s="6"/>
      <c r="AO816" s="3"/>
      <c r="AP816" s="3" t="s">
        <v>2323</v>
      </c>
      <c r="AQ816" s="6"/>
      <c r="AR816" s="3"/>
      <c r="AS816" s="3" t="s">
        <v>2324</v>
      </c>
      <c r="AT816" s="6"/>
      <c r="AU816" s="3"/>
      <c r="AV816" s="3"/>
      <c r="AW816" s="6"/>
      <c r="AX816" s="3"/>
      <c r="AY816" s="7"/>
      <c r="AZ816" s="6"/>
      <c r="BA816" s="3"/>
      <c r="BB816" s="6"/>
      <c r="BC816" s="6"/>
      <c r="BD816" s="3"/>
      <c r="BE816" s="3"/>
      <c r="BF816" s="6"/>
      <c r="BG816" s="3"/>
      <c r="BH816" s="3"/>
      <c r="BI816" s="6"/>
      <c r="BJ816" s="3"/>
      <c r="BK816" s="3"/>
      <c r="BL816" s="6"/>
      <c r="BM816" s="3"/>
      <c r="BN816" s="7"/>
      <c r="BO816" s="6"/>
      <c r="BP816" s="3"/>
      <c r="BQ816" s="6"/>
      <c r="BR816" s="6"/>
      <c r="BS816" s="3"/>
      <c r="BT816" s="3"/>
      <c r="BU816" s="6"/>
      <c r="BV816" s="3"/>
      <c r="BW816" s="3"/>
      <c r="BX816" s="6"/>
      <c r="BY816" s="3"/>
      <c r="BZ816" s="3"/>
      <c r="CA816" s="6"/>
      <c r="CB816" s="3"/>
      <c r="CC816" s="7"/>
      <c r="CD816" s="6"/>
      <c r="CE816" s="3"/>
      <c r="CF816" s="6"/>
      <c r="CG816" s="6"/>
      <c r="CH816" s="3"/>
      <c r="CI816" s="3"/>
      <c r="CJ816" s="6"/>
      <c r="CK816" s="3"/>
      <c r="CL816" s="3"/>
      <c r="CM816" s="6"/>
      <c r="CN816" s="3"/>
      <c r="CO816" s="3"/>
      <c r="CP816" s="6"/>
      <c r="CQ816" s="3"/>
      <c r="CR816" s="7"/>
      <c r="CS816" s="6"/>
      <c r="CT816" s="3"/>
      <c r="CU816" s="6"/>
      <c r="CV816" s="6"/>
      <c r="CW816" s="3"/>
      <c r="CX816" s="3"/>
      <c r="CY816" s="6"/>
      <c r="CZ816" s="3"/>
      <c r="DA816" s="3"/>
      <c r="DB816" s="6"/>
      <c r="DC816" s="3"/>
      <c r="DD816" s="3"/>
      <c r="DE816" s="6"/>
      <c r="DF816" s="3"/>
      <c r="DG816" s="7"/>
      <c r="DH816" s="6"/>
      <c r="DI816" s="3"/>
      <c r="DJ816" s="6"/>
      <c r="DK816" s="6"/>
      <c r="DL816" s="3"/>
      <c r="DM816" s="3"/>
      <c r="DN816" s="6"/>
      <c r="DO816" s="3"/>
      <c r="DP816" s="3"/>
      <c r="DQ816" s="6"/>
      <c r="DR816" s="3"/>
      <c r="DS816" s="3" t="str">
        <f>_xlfn.XLOOKUP(OfficeForms.Table[[#This Row],[Selecione a Categoria do Laboratório desta atividade prática:]],Planilha1!A:A,Planilha1!B:B)</f>
        <v>EMF-ISN</v>
      </c>
      <c r="DT816" s="6" t="str">
        <f>CONCATENATE(OfficeForms.Table[[#This Row],[Selecione seu Polo Laboratório de Atividades Presenciais:]],OfficeForms.Table[[#This Row],[CHAVE CONVERSÃO]])</f>
        <v>Montes Claros/MG - CentroEMF-ISN</v>
      </c>
      <c r="DU81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</v>
      </c>
      <c r="DV81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1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816" s="6" t="str">
        <f>_xlfn.XLOOKUP(OfficeForms.Table[[#This Row],[CHAVE LINK POLO]],'[1]Quadro Geral de Lotação'!$B:$B,'[1]Quadro Geral de Lotação'!$I:$I)</f>
        <v>Izabel Francisca Da Silva</v>
      </c>
      <c r="DY816" s="6" t="str">
        <f>OfficeForms.Table[[#This Row],[Selecione a Ordem de Disciplina]]</f>
        <v>Ordem 3</v>
      </c>
    </row>
    <row r="817" spans="1:129" ht="34.15" customHeight="1">
      <c r="A817" s="6">
        <v>817</v>
      </c>
      <c r="B817" s="2">
        <v>46131.744340277801</v>
      </c>
      <c r="C817" s="2">
        <v>46131.745057870401</v>
      </c>
      <c r="D817" s="3" t="s">
        <v>357</v>
      </c>
      <c r="E817" s="3" t="s">
        <v>358</v>
      </c>
      <c r="F817" s="6"/>
      <c r="G817" s="3"/>
      <c r="I817" s="3" t="s">
        <v>359</v>
      </c>
      <c r="J817" s="6"/>
      <c r="K817" s="3"/>
      <c r="L817" s="6" t="s">
        <v>678</v>
      </c>
      <c r="M817" s="6"/>
      <c r="N817" s="6"/>
      <c r="O817" s="3" t="s">
        <v>156</v>
      </c>
      <c r="P817" s="6"/>
      <c r="Q817" s="3"/>
      <c r="R817" s="3"/>
      <c r="S817" s="6"/>
      <c r="T817" s="3"/>
      <c r="U817" s="7"/>
      <c r="V817" s="6"/>
      <c r="W817" s="3"/>
      <c r="X817" s="6"/>
      <c r="Y817" s="6"/>
      <c r="Z817" s="3"/>
      <c r="AA817" s="3"/>
      <c r="AB817" s="6"/>
      <c r="AC817" s="3"/>
      <c r="AD817" s="3"/>
      <c r="AE817" s="6"/>
      <c r="AF817" s="3"/>
      <c r="AG817" s="3"/>
      <c r="AH817" s="6"/>
      <c r="AI817" s="3"/>
      <c r="AJ817" s="1"/>
      <c r="AK817" s="6"/>
      <c r="AL817" s="3"/>
      <c r="AM817" s="6"/>
      <c r="AN817" s="6"/>
      <c r="AO817" s="3"/>
      <c r="AP817" s="3"/>
      <c r="AQ817" s="6"/>
      <c r="AR817" s="3"/>
      <c r="AS817" s="3"/>
      <c r="AT817" s="6"/>
      <c r="AU817" s="3"/>
      <c r="AV817" s="3"/>
      <c r="AW817" s="6"/>
      <c r="AX817" s="3"/>
      <c r="AY817" s="7"/>
      <c r="AZ817" s="6"/>
      <c r="BA817" s="3"/>
      <c r="BB817" s="6"/>
      <c r="BC817" s="6"/>
      <c r="BD817" s="3"/>
      <c r="BE817" s="3"/>
      <c r="BF817" s="6"/>
      <c r="BG817" s="3"/>
      <c r="BH817" s="3"/>
      <c r="BI817" s="6"/>
      <c r="BJ817" s="3"/>
      <c r="BK817" s="3" t="s">
        <v>1756</v>
      </c>
      <c r="BL817" s="6"/>
      <c r="BM817" s="3"/>
      <c r="BN817" s="7">
        <v>46126</v>
      </c>
      <c r="BO817" s="6"/>
      <c r="BP817" s="3"/>
      <c r="BQ817" s="6">
        <v>3</v>
      </c>
      <c r="BR817" s="6"/>
      <c r="BS817" s="3"/>
      <c r="BT817" s="3" t="s">
        <v>2325</v>
      </c>
      <c r="BU817" s="6"/>
      <c r="BV817" s="3"/>
      <c r="BW817" s="3" t="s">
        <v>2326</v>
      </c>
      <c r="BX817" s="6"/>
      <c r="BY817" s="3"/>
      <c r="BZ817" s="3"/>
      <c r="CA817" s="6"/>
      <c r="CB817" s="3"/>
      <c r="CC817" s="7"/>
      <c r="CD817" s="6"/>
      <c r="CE817" s="3"/>
      <c r="CF817" s="6"/>
      <c r="CG817" s="6"/>
      <c r="CH817" s="3"/>
      <c r="CI817" s="3"/>
      <c r="CJ817" s="6"/>
      <c r="CK817" s="3"/>
      <c r="CL817" s="3"/>
      <c r="CM817" s="6"/>
      <c r="CN817" s="3"/>
      <c r="CO817" s="3"/>
      <c r="CP817" s="6"/>
      <c r="CQ817" s="3"/>
      <c r="CR817" s="7"/>
      <c r="CS817" s="6"/>
      <c r="CT817" s="3"/>
      <c r="CU817" s="6"/>
      <c r="CV817" s="6"/>
      <c r="CW817" s="3"/>
      <c r="CX817" s="3"/>
      <c r="CY817" s="6"/>
      <c r="CZ817" s="3"/>
      <c r="DA817" s="3"/>
      <c r="DB817" s="6"/>
      <c r="DC817" s="3"/>
      <c r="DD817" s="3"/>
      <c r="DE817" s="6"/>
      <c r="DF817" s="3"/>
      <c r="DG817" s="7"/>
      <c r="DH817" s="6"/>
      <c r="DI817" s="3"/>
      <c r="DJ817" s="6"/>
      <c r="DK817" s="6"/>
      <c r="DL817" s="3"/>
      <c r="DM817" s="3"/>
      <c r="DN817" s="6"/>
      <c r="DO817" s="3"/>
      <c r="DP817" s="3"/>
      <c r="DQ817" s="6"/>
      <c r="DR817" s="3"/>
      <c r="DS817" s="3" t="str">
        <f>_xlfn.XLOOKUP(OfficeForms.Table[[#This Row],[Selecione a Categoria do Laboratório desta atividade prática:]],Planilha1!A:A,Planilha1!B:B)</f>
        <v>NTR</v>
      </c>
      <c r="DT817" s="6" t="str">
        <f>CONCATENATE(OfficeForms.Table[[#This Row],[Selecione seu Polo Laboratório de Atividades Presenciais:]],OfficeForms.Table[[#This Row],[CHAVE CONVERSÃO]])</f>
        <v>São Pedro da Aldeia/RJNTR</v>
      </c>
      <c r="DU81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nutricional de atleta e desportista I: Antropometria e Composição corporal</v>
      </c>
      <c r="DV81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81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17" s="6" t="str">
        <f>_xlfn.XLOOKUP(OfficeForms.Table[[#This Row],[CHAVE LINK POLO]],'[1]Quadro Geral de Lotação'!$B:$B,'[1]Quadro Geral de Lotação'!$I:$I)</f>
        <v>Natalia Silva De Mattos</v>
      </c>
      <c r="DY817" s="6" t="str">
        <f>OfficeForms.Table[[#This Row],[Selecione a Ordem de Disciplina]]</f>
        <v>Ordem 2</v>
      </c>
    </row>
    <row r="818" spans="1:129" ht="34.15" customHeight="1">
      <c r="A818" s="6">
        <v>818</v>
      </c>
      <c r="B818" s="2">
        <v>46131.710104166697</v>
      </c>
      <c r="C818" s="2">
        <v>46131.752013888901</v>
      </c>
      <c r="D818" s="3" t="s">
        <v>147</v>
      </c>
      <c r="E818" s="3" t="s">
        <v>148</v>
      </c>
      <c r="F818" s="6"/>
      <c r="G818" s="3"/>
      <c r="I818" s="3" t="s">
        <v>149</v>
      </c>
      <c r="J818" s="6"/>
      <c r="K818" s="3"/>
      <c r="L818" s="6" t="s">
        <v>1325</v>
      </c>
      <c r="M818" s="6"/>
      <c r="N818" s="6"/>
      <c r="O818" s="3" t="s">
        <v>133</v>
      </c>
      <c r="P818" s="6"/>
      <c r="Q818" s="3"/>
      <c r="R818" s="3"/>
      <c r="S818" s="6"/>
      <c r="T818" s="3"/>
      <c r="U818" s="7"/>
      <c r="V818" s="6"/>
      <c r="W818" s="3"/>
      <c r="X818" s="6"/>
      <c r="Y818" s="6"/>
      <c r="Z818" s="3"/>
      <c r="AA818" s="3"/>
      <c r="AB818" s="6"/>
      <c r="AC818" s="3"/>
      <c r="AD818" s="3"/>
      <c r="AE818" s="6"/>
      <c r="AF818" s="3"/>
      <c r="AG818" s="3"/>
      <c r="AH818" s="6"/>
      <c r="AI818" s="3"/>
      <c r="AJ818" s="1"/>
      <c r="AK818" s="6"/>
      <c r="AL818" s="3"/>
      <c r="AM818" s="6"/>
      <c r="AN818" s="6"/>
      <c r="AO818" s="3"/>
      <c r="AP818" s="3"/>
      <c r="AQ818" s="6"/>
      <c r="AR818" s="3"/>
      <c r="AS818" s="3"/>
      <c r="AT818" s="6"/>
      <c r="AU818" s="3"/>
      <c r="AV818" s="3" t="s">
        <v>2327</v>
      </c>
      <c r="AW818" s="6"/>
      <c r="AX818" s="3"/>
      <c r="AY818" s="7">
        <v>46128</v>
      </c>
      <c r="AZ818" s="6"/>
      <c r="BA818" s="3"/>
      <c r="BB818" s="6">
        <v>3</v>
      </c>
      <c r="BC818" s="6"/>
      <c r="BD818" s="3"/>
      <c r="BE818" s="3" t="s">
        <v>2328</v>
      </c>
      <c r="BF818" s="6"/>
      <c r="BG818" s="3"/>
      <c r="BH818" s="3" t="s">
        <v>2329</v>
      </c>
      <c r="BI818" s="6"/>
      <c r="BJ818" s="3"/>
      <c r="BK818" s="3"/>
      <c r="BL818" s="6"/>
      <c r="BM818" s="3"/>
      <c r="BN818" s="7"/>
      <c r="BO818" s="6"/>
      <c r="BP818" s="3"/>
      <c r="BQ818" s="6"/>
      <c r="BR818" s="6"/>
      <c r="BS818" s="3"/>
      <c r="BT818" s="3"/>
      <c r="BU818" s="6"/>
      <c r="BV818" s="3"/>
      <c r="BW818" s="3"/>
      <c r="BX818" s="6"/>
      <c r="BY818" s="3"/>
      <c r="BZ818" s="3"/>
      <c r="CA818" s="6"/>
      <c r="CB818" s="3"/>
      <c r="CC818" s="7"/>
      <c r="CD818" s="6"/>
      <c r="CE818" s="3"/>
      <c r="CF818" s="6"/>
      <c r="CG818" s="6"/>
      <c r="CH818" s="3"/>
      <c r="CI818" s="3"/>
      <c r="CJ818" s="6"/>
      <c r="CK818" s="3"/>
      <c r="CL818" s="3"/>
      <c r="CM818" s="6"/>
      <c r="CN818" s="3"/>
      <c r="CO818" s="3"/>
      <c r="CP818" s="6"/>
      <c r="CQ818" s="3"/>
      <c r="CR818" s="7"/>
      <c r="CS818" s="6"/>
      <c r="CT818" s="3"/>
      <c r="CU818" s="6"/>
      <c r="CV818" s="6"/>
      <c r="CW818" s="3"/>
      <c r="CX818" s="3"/>
      <c r="CY818" s="6"/>
      <c r="CZ818" s="3"/>
      <c r="DA818" s="3"/>
      <c r="DB818" s="6"/>
      <c r="DC818" s="3"/>
      <c r="DD818" s="3"/>
      <c r="DE818" s="6"/>
      <c r="DF818" s="3"/>
      <c r="DG818" s="7"/>
      <c r="DH818" s="6"/>
      <c r="DI818" s="3"/>
      <c r="DJ818" s="6"/>
      <c r="DK818" s="6"/>
      <c r="DL818" s="3"/>
      <c r="DM818" s="3"/>
      <c r="DN818" s="6"/>
      <c r="DO818" s="3"/>
      <c r="DP818" s="3"/>
      <c r="DQ818" s="6"/>
      <c r="DR818" s="3"/>
      <c r="DS818" s="3" t="str">
        <f>_xlfn.XLOOKUP(OfficeForms.Table[[#This Row],[Selecione a Categoria do Laboratório desta atividade prática:]],Planilha1!A:A,Planilha1!B:B)</f>
        <v>BFI</v>
      </c>
      <c r="DT818" s="6" t="str">
        <f>CONCATENATE(OfficeForms.Table[[#This Row],[Selecione seu Polo Laboratório de Atividades Presenciais:]],OfficeForms.Table[[#This Row],[CHAVE CONVERSÃO]])</f>
        <v>Itajaí/SC - São VicenteBFI</v>
      </c>
      <c r="DU81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Mapa Conceitual</v>
      </c>
      <c r="DV81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1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18" s="6" t="str">
        <f>_xlfn.XLOOKUP(OfficeForms.Table[[#This Row],[CHAVE LINK POLO]],'[1]Quadro Geral de Lotação'!$B:$B,'[1]Quadro Geral de Lotação'!$I:$I)</f>
        <v>Tuani Rafaela Matana Neves</v>
      </c>
      <c r="DY818" s="6" t="str">
        <f>OfficeForms.Table[[#This Row],[Selecione a Ordem de Disciplina]]</f>
        <v>Ordem 3</v>
      </c>
    </row>
    <row r="819" spans="1:129" ht="34.15" customHeight="1">
      <c r="A819" s="6">
        <v>819</v>
      </c>
      <c r="B819" s="2">
        <v>46131.752060185201</v>
      </c>
      <c r="C819" s="2">
        <v>46131.752812500003</v>
      </c>
      <c r="D819" s="3" t="s">
        <v>147</v>
      </c>
      <c r="E819" s="3" t="s">
        <v>148</v>
      </c>
      <c r="F819" s="6"/>
      <c r="G819" s="3"/>
      <c r="I819" s="3" t="s">
        <v>149</v>
      </c>
      <c r="J819" s="6"/>
      <c r="K819" s="3"/>
      <c r="L819" s="6" t="s">
        <v>1325</v>
      </c>
      <c r="M819" s="6"/>
      <c r="N819" s="6"/>
      <c r="O819" s="3" t="s">
        <v>133</v>
      </c>
      <c r="P819" s="6"/>
      <c r="Q819" s="3"/>
      <c r="R819" s="3"/>
      <c r="S819" s="6"/>
      <c r="T819" s="3"/>
      <c r="U819" s="7"/>
      <c r="V819" s="6"/>
      <c r="W819" s="3"/>
      <c r="X819" s="6"/>
      <c r="Y819" s="6"/>
      <c r="Z819" s="3"/>
      <c r="AA819" s="3"/>
      <c r="AB819" s="6"/>
      <c r="AC819" s="3"/>
      <c r="AD819" s="3"/>
      <c r="AE819" s="6"/>
      <c r="AF819" s="3"/>
      <c r="AG819" s="3"/>
      <c r="AH819" s="6"/>
      <c r="AI819" s="3"/>
      <c r="AJ819" s="1"/>
      <c r="AK819" s="6"/>
      <c r="AL819" s="3"/>
      <c r="AM819" s="6"/>
      <c r="AN819" s="6"/>
      <c r="AO819" s="3"/>
      <c r="AP819" s="3"/>
      <c r="AQ819" s="6"/>
      <c r="AR819" s="3"/>
      <c r="AS819" s="3"/>
      <c r="AT819" s="6"/>
      <c r="AU819" s="3"/>
      <c r="AV819" s="3" t="s">
        <v>2330</v>
      </c>
      <c r="AW819" s="6"/>
      <c r="AX819" s="3"/>
      <c r="AY819" s="7">
        <v>46128</v>
      </c>
      <c r="AZ819" s="6"/>
      <c r="BA819" s="3"/>
      <c r="BB819" s="6">
        <v>3</v>
      </c>
      <c r="BC819" s="6"/>
      <c r="BD819" s="3"/>
      <c r="BE819" s="3" t="s">
        <v>2331</v>
      </c>
      <c r="BF819" s="6"/>
      <c r="BG819" s="3"/>
      <c r="BH819" s="3" t="s">
        <v>2332</v>
      </c>
      <c r="BI819" s="6"/>
      <c r="BJ819" s="3"/>
      <c r="BK819" s="3"/>
      <c r="BL819" s="6"/>
      <c r="BM819" s="3"/>
      <c r="BN819" s="7"/>
      <c r="BO819" s="6"/>
      <c r="BP819" s="3"/>
      <c r="BQ819" s="6"/>
      <c r="BR819" s="6"/>
      <c r="BS819" s="3"/>
      <c r="BT819" s="3"/>
      <c r="BU819" s="6"/>
      <c r="BV819" s="3"/>
      <c r="BW819" s="3"/>
      <c r="BX819" s="6"/>
      <c r="BY819" s="3"/>
      <c r="BZ819" s="3"/>
      <c r="CA819" s="6"/>
      <c r="CB819" s="3"/>
      <c r="CC819" s="7"/>
      <c r="CD819" s="6"/>
      <c r="CE819" s="3"/>
      <c r="CF819" s="6"/>
      <c r="CG819" s="6"/>
      <c r="CH819" s="3"/>
      <c r="CI819" s="3"/>
      <c r="CJ819" s="6"/>
      <c r="CK819" s="3"/>
      <c r="CL819" s="3"/>
      <c r="CM819" s="6"/>
      <c r="CN819" s="3"/>
      <c r="CO819" s="3"/>
      <c r="CP819" s="6"/>
      <c r="CQ819" s="3"/>
      <c r="CR819" s="7"/>
      <c r="CS819" s="6"/>
      <c r="CT819" s="3"/>
      <c r="CU819" s="6"/>
      <c r="CV819" s="6"/>
      <c r="CW819" s="3"/>
      <c r="CX819" s="3"/>
      <c r="CY819" s="6"/>
      <c r="CZ819" s="3"/>
      <c r="DA819" s="3"/>
      <c r="DB819" s="6"/>
      <c r="DC819" s="3"/>
      <c r="DD819" s="3"/>
      <c r="DE819" s="6"/>
      <c r="DF819" s="3"/>
      <c r="DG819" s="7"/>
      <c r="DH819" s="6"/>
      <c r="DI819" s="3"/>
      <c r="DJ819" s="6"/>
      <c r="DK819" s="6"/>
      <c r="DL819" s="3"/>
      <c r="DM819" s="3"/>
      <c r="DN819" s="6"/>
      <c r="DO819" s="3"/>
      <c r="DP819" s="3"/>
      <c r="DQ819" s="6"/>
      <c r="DR819" s="3"/>
      <c r="DS819" s="3" t="str">
        <f>_xlfn.XLOOKUP(OfficeForms.Table[[#This Row],[Selecione a Categoria do Laboratório desta atividade prática:]],Planilha1!A:A,Planilha1!B:B)</f>
        <v>BFI</v>
      </c>
      <c r="DT819" s="6" t="str">
        <f>CONCATENATE(OfficeForms.Table[[#This Row],[Selecione seu Polo Laboratório de Atividades Presenciais:]],OfficeForms.Table[[#This Row],[CHAVE CONVERSÃO]])</f>
        <v>Itajaí/SC - São VicenteBFI</v>
      </c>
      <c r="DU81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Aprendizagem</v>
      </c>
      <c r="DV81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1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19" s="6" t="str">
        <f>_xlfn.XLOOKUP(OfficeForms.Table[[#This Row],[CHAVE LINK POLO]],'[1]Quadro Geral de Lotação'!$B:$B,'[1]Quadro Geral de Lotação'!$I:$I)</f>
        <v>Tuani Rafaela Matana Neves</v>
      </c>
      <c r="DY819" s="6" t="str">
        <f>OfficeForms.Table[[#This Row],[Selecione a Ordem de Disciplina]]</f>
        <v>Ordem 3</v>
      </c>
    </row>
    <row r="820" spans="1:129" ht="34.15" customHeight="1">
      <c r="A820" s="6">
        <v>820</v>
      </c>
      <c r="B820" s="2">
        <v>46131.834826388898</v>
      </c>
      <c r="C820" s="2">
        <v>46131.836851851898</v>
      </c>
      <c r="D820" s="3" t="s">
        <v>697</v>
      </c>
      <c r="E820" s="3" t="s">
        <v>698</v>
      </c>
      <c r="F820" s="6"/>
      <c r="G820" s="3"/>
      <c r="I820" s="3" t="s">
        <v>699</v>
      </c>
      <c r="J820" s="6"/>
      <c r="K820" s="3"/>
      <c r="L820" s="6" t="s">
        <v>1325</v>
      </c>
      <c r="M820" s="6"/>
      <c r="N820" s="6"/>
      <c r="O820" s="3" t="s">
        <v>184</v>
      </c>
      <c r="P820" s="6"/>
      <c r="Q820" s="3"/>
      <c r="R820" s="3"/>
      <c r="S820" s="6"/>
      <c r="T820" s="3"/>
      <c r="U820" s="7"/>
      <c r="V820" s="6"/>
      <c r="W820" s="3"/>
      <c r="X820" s="6"/>
      <c r="Y820" s="6"/>
      <c r="Z820" s="3"/>
      <c r="AA820" s="3"/>
      <c r="AB820" s="6"/>
      <c r="AC820" s="3"/>
      <c r="AD820" s="3"/>
      <c r="AE820" s="6"/>
      <c r="AF820" s="3"/>
      <c r="AG820" s="3" t="s">
        <v>816</v>
      </c>
      <c r="AH820" s="6"/>
      <c r="AI820" s="3"/>
      <c r="AJ820" s="1">
        <v>46128</v>
      </c>
      <c r="AK820" s="6"/>
      <c r="AL820" s="3"/>
      <c r="AM820" s="6">
        <v>1</v>
      </c>
      <c r="AN820" s="6"/>
      <c r="AO820" s="3"/>
      <c r="AP820" s="3" t="s">
        <v>2333</v>
      </c>
      <c r="AQ820" s="6"/>
      <c r="AR820" s="3"/>
      <c r="AS820" s="3" t="s">
        <v>2334</v>
      </c>
      <c r="AT820" s="6"/>
      <c r="AU820" s="3"/>
      <c r="AV820" s="3"/>
      <c r="AW820" s="6"/>
      <c r="AX820" s="3"/>
      <c r="AY820" s="7"/>
      <c r="AZ820" s="6"/>
      <c r="BA820" s="3"/>
      <c r="BB820" s="6"/>
      <c r="BC820" s="6"/>
      <c r="BD820" s="3"/>
      <c r="BE820" s="3"/>
      <c r="BF820" s="6"/>
      <c r="BG820" s="3"/>
      <c r="BH820" s="3"/>
      <c r="BI820" s="6"/>
      <c r="BJ820" s="3"/>
      <c r="BK820" s="3"/>
      <c r="BL820" s="6"/>
      <c r="BM820" s="3"/>
      <c r="BN820" s="7"/>
      <c r="BO820" s="6"/>
      <c r="BP820" s="3"/>
      <c r="BQ820" s="6"/>
      <c r="BR820" s="6"/>
      <c r="BS820" s="3"/>
      <c r="BT820" s="3"/>
      <c r="BU820" s="6"/>
      <c r="BV820" s="3"/>
      <c r="BW820" s="3"/>
      <c r="BX820" s="6"/>
      <c r="BY820" s="3"/>
      <c r="BZ820" s="3"/>
      <c r="CA820" s="6"/>
      <c r="CB820" s="3"/>
      <c r="CC820" s="7"/>
      <c r="CD820" s="6"/>
      <c r="CE820" s="3"/>
      <c r="CF820" s="6"/>
      <c r="CG820" s="6"/>
      <c r="CH820" s="3"/>
      <c r="CI820" s="3"/>
      <c r="CJ820" s="6"/>
      <c r="CK820" s="3"/>
      <c r="CL820" s="3"/>
      <c r="CM820" s="6"/>
      <c r="CN820" s="3"/>
      <c r="CO820" s="3"/>
      <c r="CP820" s="6"/>
      <c r="CQ820" s="3"/>
      <c r="CR820" s="7"/>
      <c r="CS820" s="6"/>
      <c r="CT820" s="3"/>
      <c r="CU820" s="6"/>
      <c r="CV820" s="6"/>
      <c r="CW820" s="3"/>
      <c r="CX820" s="3"/>
      <c r="CY820" s="6"/>
      <c r="CZ820" s="3"/>
      <c r="DA820" s="3"/>
      <c r="DB820" s="6"/>
      <c r="DC820" s="3"/>
      <c r="DD820" s="3"/>
      <c r="DE820" s="6"/>
      <c r="DF820" s="3"/>
      <c r="DG820" s="7"/>
      <c r="DH820" s="6"/>
      <c r="DI820" s="3"/>
      <c r="DJ820" s="6"/>
      <c r="DK820" s="6"/>
      <c r="DL820" s="3"/>
      <c r="DM820" s="3"/>
      <c r="DN820" s="6"/>
      <c r="DO820" s="3"/>
      <c r="DP820" s="3"/>
      <c r="DQ820" s="6"/>
      <c r="DR820" s="3"/>
      <c r="DS820" s="3" t="str">
        <f>_xlfn.XLOOKUP(OfficeForms.Table[[#This Row],[Selecione a Categoria do Laboratório desta atividade prática:]],Planilha1!A:A,Planilha1!B:B)</f>
        <v>EMF-ISN</v>
      </c>
      <c r="DT820" s="6" t="str">
        <f>CONCATENATE(OfficeForms.Table[[#This Row],[Selecione seu Polo Laboratório de Atividades Presenciais:]],OfficeForms.Table[[#This Row],[CHAVE CONVERSÃO]])</f>
        <v>Curitiba/PR - BoqueirãoEMF-ISN</v>
      </c>
      <c r="DU82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82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2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20" s="6" t="str">
        <f>_xlfn.XLOOKUP(OfficeForms.Table[[#This Row],[CHAVE LINK POLO]],'[1]Quadro Geral de Lotação'!$B:$B,'[1]Quadro Geral de Lotação'!$I:$I)</f>
        <v>Fadia Amira Baitala</v>
      </c>
      <c r="DY820" s="6" t="str">
        <f>OfficeForms.Table[[#This Row],[Selecione a Ordem de Disciplina]]</f>
        <v>Ordem 3</v>
      </c>
    </row>
    <row r="821" spans="1:129" ht="34.15" customHeight="1">
      <c r="A821" s="6">
        <v>821</v>
      </c>
      <c r="B821" s="2">
        <v>46131.836898148104</v>
      </c>
      <c r="C821" s="2">
        <v>46131.840706018498</v>
      </c>
      <c r="D821" s="3" t="s">
        <v>697</v>
      </c>
      <c r="E821" s="3" t="s">
        <v>698</v>
      </c>
      <c r="F821" s="6"/>
      <c r="G821" s="3"/>
      <c r="I821" s="3" t="s">
        <v>699</v>
      </c>
      <c r="J821" s="6"/>
      <c r="K821" s="3"/>
      <c r="L821" s="6" t="s">
        <v>1325</v>
      </c>
      <c r="M821" s="6"/>
      <c r="N821" s="6"/>
      <c r="O821" s="3" t="s">
        <v>184</v>
      </c>
      <c r="P821" s="6"/>
      <c r="Q821" s="3"/>
      <c r="R821" s="3"/>
      <c r="S821" s="6"/>
      <c r="T821" s="3"/>
      <c r="U821" s="7"/>
      <c r="V821" s="6"/>
      <c r="W821" s="3"/>
      <c r="X821" s="6"/>
      <c r="Y821" s="6"/>
      <c r="Z821" s="3"/>
      <c r="AA821" s="3"/>
      <c r="AB821" s="6"/>
      <c r="AC821" s="3"/>
      <c r="AD821" s="3"/>
      <c r="AE821" s="6"/>
      <c r="AF821" s="3"/>
      <c r="AG821" s="3" t="s">
        <v>2120</v>
      </c>
      <c r="AH821" s="6"/>
      <c r="AI821" s="3"/>
      <c r="AJ821" s="1">
        <v>46128</v>
      </c>
      <c r="AK821" s="6"/>
      <c r="AL821" s="3"/>
      <c r="AM821" s="6">
        <v>1</v>
      </c>
      <c r="AN821" s="6"/>
      <c r="AO821" s="3"/>
      <c r="AP821" s="3" t="s">
        <v>2335</v>
      </c>
      <c r="AQ821" s="6"/>
      <c r="AR821" s="3"/>
      <c r="AS821" s="3" t="s">
        <v>2336</v>
      </c>
      <c r="AT821" s="6"/>
      <c r="AU821" s="3"/>
      <c r="AV821" s="3"/>
      <c r="AW821" s="6"/>
      <c r="AX821" s="3"/>
      <c r="AY821" s="7"/>
      <c r="AZ821" s="6"/>
      <c r="BA821" s="3"/>
      <c r="BB821" s="6"/>
      <c r="BC821" s="6"/>
      <c r="BD821" s="3"/>
      <c r="BE821" s="3"/>
      <c r="BF821" s="6"/>
      <c r="BG821" s="3"/>
      <c r="BH821" s="3"/>
      <c r="BI821" s="6"/>
      <c r="BJ821" s="3"/>
      <c r="BK821" s="3"/>
      <c r="BL821" s="6"/>
      <c r="BM821" s="3"/>
      <c r="BN821" s="7"/>
      <c r="BO821" s="6"/>
      <c r="BP821" s="3"/>
      <c r="BQ821" s="6"/>
      <c r="BR821" s="6"/>
      <c r="BS821" s="3"/>
      <c r="BT821" s="3"/>
      <c r="BU821" s="6"/>
      <c r="BV821" s="3"/>
      <c r="BW821" s="3"/>
      <c r="BX821" s="6"/>
      <c r="BY821" s="3"/>
      <c r="BZ821" s="3"/>
      <c r="CA821" s="6"/>
      <c r="CB821" s="3"/>
      <c r="CC821" s="7"/>
      <c r="CD821" s="6"/>
      <c r="CE821" s="3"/>
      <c r="CF821" s="6"/>
      <c r="CG821" s="6"/>
      <c r="CH821" s="3"/>
      <c r="CI821" s="3"/>
      <c r="CJ821" s="6"/>
      <c r="CK821" s="3"/>
      <c r="CL821" s="3"/>
      <c r="CM821" s="6"/>
      <c r="CN821" s="3"/>
      <c r="CO821" s="3"/>
      <c r="CP821" s="6"/>
      <c r="CQ821" s="3"/>
      <c r="CR821" s="7"/>
      <c r="CS821" s="6"/>
      <c r="CT821" s="3"/>
      <c r="CU821" s="6"/>
      <c r="CV821" s="6"/>
      <c r="CW821" s="3"/>
      <c r="CX821" s="3"/>
      <c r="CY821" s="6"/>
      <c r="CZ821" s="3"/>
      <c r="DA821" s="3"/>
      <c r="DB821" s="6"/>
      <c r="DC821" s="3"/>
      <c r="DD821" s="3"/>
      <c r="DE821" s="6"/>
      <c r="DF821" s="3"/>
      <c r="DG821" s="7"/>
      <c r="DH821" s="6"/>
      <c r="DI821" s="3"/>
      <c r="DJ821" s="6"/>
      <c r="DK821" s="6"/>
      <c r="DL821" s="3"/>
      <c r="DM821" s="3"/>
      <c r="DN821" s="6"/>
      <c r="DO821" s="3"/>
      <c r="DP821" s="3"/>
      <c r="DQ821" s="6"/>
      <c r="DR821" s="3"/>
      <c r="DS821" s="3" t="str">
        <f>_xlfn.XLOOKUP(OfficeForms.Table[[#This Row],[Selecione a Categoria do Laboratório desta atividade prática:]],Planilha1!A:A,Planilha1!B:B)</f>
        <v>EMF-ISN</v>
      </c>
      <c r="DT821" s="6" t="str">
        <f>CONCATENATE(OfficeForms.Table[[#This Row],[Selecione seu Polo Laboratório de Atividades Presenciais:]],OfficeForms.Table[[#This Row],[CHAVE CONVERSÃO]])</f>
        <v>Curitiba/PR - BoqueirãoEMF-ISN</v>
      </c>
      <c r="DU82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Venosa + Retirada de pontos</v>
      </c>
      <c r="DV82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2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21" s="6" t="str">
        <f>_xlfn.XLOOKUP(OfficeForms.Table[[#This Row],[CHAVE LINK POLO]],'[1]Quadro Geral de Lotação'!$B:$B,'[1]Quadro Geral de Lotação'!$I:$I)</f>
        <v>Fadia Amira Baitala</v>
      </c>
      <c r="DY821" s="6" t="str">
        <f>OfficeForms.Table[[#This Row],[Selecione a Ordem de Disciplina]]</f>
        <v>Ordem 3</v>
      </c>
    </row>
    <row r="822" spans="1:129" ht="34.15" customHeight="1">
      <c r="A822" s="6">
        <v>822</v>
      </c>
      <c r="B822" s="2">
        <v>46132.759849536997</v>
      </c>
      <c r="C822" s="2">
        <v>46132.7629282407</v>
      </c>
      <c r="D822" s="3" t="s">
        <v>429</v>
      </c>
      <c r="E822" s="3" t="s">
        <v>430</v>
      </c>
      <c r="F822" s="6"/>
      <c r="G822" s="3"/>
      <c r="I822" s="3" t="s">
        <v>431</v>
      </c>
      <c r="J822" s="6"/>
      <c r="K822" s="3"/>
      <c r="L822" s="6" t="s">
        <v>1325</v>
      </c>
      <c r="M822" s="6"/>
      <c r="N822" s="6"/>
      <c r="O822" s="3" t="s">
        <v>184</v>
      </c>
      <c r="P822" s="6"/>
      <c r="Q822" s="3"/>
      <c r="R822" s="3"/>
      <c r="S822" s="6"/>
      <c r="T822" s="3"/>
      <c r="U822" s="7"/>
      <c r="V822" s="6"/>
      <c r="W822" s="3"/>
      <c r="X822" s="6"/>
      <c r="Y822" s="6"/>
      <c r="Z822" s="3"/>
      <c r="AA822" s="3"/>
      <c r="AB822" s="6"/>
      <c r="AC822" s="3"/>
      <c r="AD822" s="3"/>
      <c r="AE822" s="6"/>
      <c r="AF822" s="3"/>
      <c r="AG822" s="3" t="s">
        <v>816</v>
      </c>
      <c r="AH822" s="6"/>
      <c r="AI822" s="3"/>
      <c r="AJ822" s="1">
        <v>46127</v>
      </c>
      <c r="AK822" s="6"/>
      <c r="AL822" s="3"/>
      <c r="AM822" s="6">
        <v>9</v>
      </c>
      <c r="AN822" s="6"/>
      <c r="AO822" s="3"/>
      <c r="AP822" s="3" t="s">
        <v>2337</v>
      </c>
      <c r="AQ822" s="6"/>
      <c r="AR822" s="3"/>
      <c r="AS822" s="3" t="s">
        <v>2338</v>
      </c>
      <c r="AT822" s="6"/>
      <c r="AU822" s="3"/>
      <c r="AV822" s="3"/>
      <c r="AW822" s="6"/>
      <c r="AX822" s="3"/>
      <c r="AY822" s="7"/>
      <c r="AZ822" s="6"/>
      <c r="BA822" s="3"/>
      <c r="BB822" s="6"/>
      <c r="BC822" s="6"/>
      <c r="BD822" s="3"/>
      <c r="BE822" s="3"/>
      <c r="BF822" s="6"/>
      <c r="BG822" s="3"/>
      <c r="BH822" s="3"/>
      <c r="BI822" s="6"/>
      <c r="BJ822" s="3"/>
      <c r="BK822" s="3"/>
      <c r="BL822" s="6"/>
      <c r="BM822" s="3"/>
      <c r="BN822" s="7"/>
      <c r="BO822" s="6"/>
      <c r="BP822" s="3"/>
      <c r="BQ822" s="6"/>
      <c r="BR822" s="6"/>
      <c r="BS822" s="3"/>
      <c r="BT822" s="3"/>
      <c r="BU822" s="6"/>
      <c r="BV822" s="3"/>
      <c r="BW822" s="3"/>
      <c r="BX822" s="6"/>
      <c r="BY822" s="3"/>
      <c r="BZ822" s="3"/>
      <c r="CA822" s="6"/>
      <c r="CB822" s="3"/>
      <c r="CC822" s="7"/>
      <c r="CD822" s="6"/>
      <c r="CE822" s="3"/>
      <c r="CF822" s="6"/>
      <c r="CG822" s="6"/>
      <c r="CH822" s="3"/>
      <c r="CI822" s="3"/>
      <c r="CJ822" s="6"/>
      <c r="CK822" s="3"/>
      <c r="CL822" s="3"/>
      <c r="CM822" s="6"/>
      <c r="CN822" s="3"/>
      <c r="CO822" s="3"/>
      <c r="CP822" s="6"/>
      <c r="CQ822" s="3"/>
      <c r="CR822" s="7"/>
      <c r="CS822" s="6"/>
      <c r="CT822" s="3"/>
      <c r="CU822" s="6"/>
      <c r="CV822" s="6"/>
      <c r="CW822" s="3"/>
      <c r="CX822" s="3"/>
      <c r="CY822" s="6"/>
      <c r="CZ822" s="3"/>
      <c r="DA822" s="3"/>
      <c r="DB822" s="6"/>
      <c r="DC822" s="3"/>
      <c r="DD822" s="3"/>
      <c r="DE822" s="6"/>
      <c r="DF822" s="3"/>
      <c r="DG822" s="7"/>
      <c r="DH822" s="6"/>
      <c r="DI822" s="3"/>
      <c r="DJ822" s="6"/>
      <c r="DK822" s="6"/>
      <c r="DL822" s="3"/>
      <c r="DM822" s="3"/>
      <c r="DN822" s="6"/>
      <c r="DO822" s="3"/>
      <c r="DP822" s="3"/>
      <c r="DQ822" s="6"/>
      <c r="DR822" s="3"/>
      <c r="DS822" s="3" t="str">
        <f>_xlfn.XLOOKUP(OfficeForms.Table[[#This Row],[Selecione a Categoria do Laboratório desta atividade prática:]],Planilha1!A:A,Planilha1!B:B)</f>
        <v>EMF-ISN</v>
      </c>
      <c r="DT822" s="6" t="str">
        <f>CONCATENATE(OfficeForms.Table[[#This Row],[Selecione seu Polo Laboratório de Atividades Presenciais:]],OfficeForms.Table[[#This Row],[CHAVE CONVERSÃO]])</f>
        <v>Assú/RNEMF-ISN</v>
      </c>
      <c r="DU82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82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2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822" s="6" t="str">
        <f>_xlfn.XLOOKUP(OfficeForms.Table[[#This Row],[CHAVE LINK POLO]],'[1]Quadro Geral de Lotação'!$B:$B,'[1]Quadro Geral de Lotação'!$I:$I)</f>
        <v>Romulo Freire Pinto</v>
      </c>
      <c r="DY822" s="6" t="str">
        <f>OfficeForms.Table[[#This Row],[Selecione a Ordem de Disciplina]]</f>
        <v>Ordem 3</v>
      </c>
    </row>
    <row r="823" spans="1:129" ht="34.15" customHeight="1">
      <c r="A823" s="6">
        <v>823</v>
      </c>
      <c r="B823" s="2">
        <v>46132.763680555603</v>
      </c>
      <c r="C823" s="2">
        <v>46132.766354166699</v>
      </c>
      <c r="D823" s="3" t="s">
        <v>429</v>
      </c>
      <c r="E823" s="3" t="s">
        <v>430</v>
      </c>
      <c r="F823" s="6"/>
      <c r="G823" s="3"/>
      <c r="I823" s="3" t="s">
        <v>431</v>
      </c>
      <c r="J823" s="6"/>
      <c r="K823" s="3"/>
      <c r="L823" s="6" t="s">
        <v>1325</v>
      </c>
      <c r="M823" s="6"/>
      <c r="N823" s="6"/>
      <c r="O823" s="3" t="s">
        <v>184</v>
      </c>
      <c r="P823" s="6"/>
      <c r="Q823" s="3"/>
      <c r="R823" s="3"/>
      <c r="S823" s="6"/>
      <c r="T823" s="3"/>
      <c r="U823" s="7"/>
      <c r="V823" s="6"/>
      <c r="W823" s="3"/>
      <c r="X823" s="6"/>
      <c r="Y823" s="6"/>
      <c r="Z823" s="3"/>
      <c r="AA823" s="3"/>
      <c r="AB823" s="6"/>
      <c r="AC823" s="3"/>
      <c r="AD823" s="3"/>
      <c r="AE823" s="6"/>
      <c r="AF823" s="3"/>
      <c r="AG823" s="3" t="s">
        <v>2134</v>
      </c>
      <c r="AH823" s="6"/>
      <c r="AI823" s="3"/>
      <c r="AJ823" s="1">
        <v>46127</v>
      </c>
      <c r="AK823" s="6"/>
      <c r="AL823" s="3"/>
      <c r="AM823" s="6">
        <v>0</v>
      </c>
      <c r="AN823" s="6"/>
      <c r="AO823" s="3"/>
      <c r="AP823" s="3" t="s">
        <v>2339</v>
      </c>
      <c r="AQ823" s="6"/>
      <c r="AR823" s="3"/>
      <c r="AS823" s="3" t="s">
        <v>2340</v>
      </c>
      <c r="AT823" s="6"/>
      <c r="AU823" s="3"/>
      <c r="AV823" s="3"/>
      <c r="AW823" s="6"/>
      <c r="AX823" s="3"/>
      <c r="AY823" s="7"/>
      <c r="AZ823" s="6"/>
      <c r="BA823" s="3"/>
      <c r="BB823" s="6"/>
      <c r="BC823" s="6"/>
      <c r="BD823" s="3"/>
      <c r="BE823" s="3"/>
      <c r="BF823" s="6"/>
      <c r="BG823" s="3"/>
      <c r="BH823" s="3"/>
      <c r="BI823" s="6"/>
      <c r="BJ823" s="3"/>
      <c r="BK823" s="3"/>
      <c r="BL823" s="6"/>
      <c r="BM823" s="3"/>
      <c r="BN823" s="7"/>
      <c r="BO823" s="6"/>
      <c r="BP823" s="3"/>
      <c r="BQ823" s="6"/>
      <c r="BR823" s="6"/>
      <c r="BS823" s="3"/>
      <c r="BT823" s="3"/>
      <c r="BU823" s="6"/>
      <c r="BV823" s="3"/>
      <c r="BW823" s="3"/>
      <c r="BX823" s="6"/>
      <c r="BY823" s="3"/>
      <c r="BZ823" s="3"/>
      <c r="CA823" s="6"/>
      <c r="CB823" s="3"/>
      <c r="CC823" s="7"/>
      <c r="CD823" s="6"/>
      <c r="CE823" s="3"/>
      <c r="CF823" s="6"/>
      <c r="CG823" s="6"/>
      <c r="CH823" s="3"/>
      <c r="CI823" s="3"/>
      <c r="CJ823" s="6"/>
      <c r="CK823" s="3"/>
      <c r="CL823" s="3"/>
      <c r="CM823" s="6"/>
      <c r="CN823" s="3"/>
      <c r="CO823" s="3"/>
      <c r="CP823" s="6"/>
      <c r="CQ823" s="3"/>
      <c r="CR823" s="7"/>
      <c r="CS823" s="6"/>
      <c r="CT823" s="3"/>
      <c r="CU823" s="6"/>
      <c r="CV823" s="6"/>
      <c r="CW823" s="3"/>
      <c r="CX823" s="3"/>
      <c r="CY823" s="6"/>
      <c r="CZ823" s="3"/>
      <c r="DA823" s="3"/>
      <c r="DB823" s="6"/>
      <c r="DC823" s="3"/>
      <c r="DD823" s="3"/>
      <c r="DE823" s="6"/>
      <c r="DF823" s="3"/>
      <c r="DG823" s="7"/>
      <c r="DH823" s="6"/>
      <c r="DI823" s="3"/>
      <c r="DJ823" s="6"/>
      <c r="DK823" s="6"/>
      <c r="DL823" s="3"/>
      <c r="DM823" s="3"/>
      <c r="DN823" s="6"/>
      <c r="DO823" s="3"/>
      <c r="DP823" s="3"/>
      <c r="DQ823" s="6"/>
      <c r="DR823" s="3"/>
      <c r="DS823" s="3" t="str">
        <f>_xlfn.XLOOKUP(OfficeForms.Table[[#This Row],[Selecione a Categoria do Laboratório desta atividade prática:]],Planilha1!A:A,Planilha1!B:B)</f>
        <v>EMF-ISN</v>
      </c>
      <c r="DT823" s="6" t="str">
        <f>CONCATENATE(OfficeForms.Table[[#This Row],[Selecione seu Polo Laboratório de Atividades Presenciais:]],OfficeForms.Table[[#This Row],[CHAVE CONVERSÃO]])</f>
        <v>Assú/RNEMF-ISN</v>
      </c>
      <c r="DU82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Medidas antropométricas da criança e adolescente + Acolhimento e escala de Manchester pediatria</v>
      </c>
      <c r="DV82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2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23" s="6" t="str">
        <f>_xlfn.XLOOKUP(OfficeForms.Table[[#This Row],[CHAVE LINK POLO]],'[1]Quadro Geral de Lotação'!$B:$B,'[1]Quadro Geral de Lotação'!$I:$I)</f>
        <v>Romulo Freire Pinto</v>
      </c>
      <c r="DY823" s="6" t="str">
        <f>OfficeForms.Table[[#This Row],[Selecione a Ordem de Disciplina]]</f>
        <v>Ordem 3</v>
      </c>
    </row>
    <row r="824" spans="1:129" ht="34.15" customHeight="1">
      <c r="A824" s="6">
        <v>824</v>
      </c>
      <c r="B824" s="2">
        <v>46132.886354166701</v>
      </c>
      <c r="C824" s="2">
        <v>46132.887581018498</v>
      </c>
      <c r="D824" s="3" t="s">
        <v>273</v>
      </c>
      <c r="E824" s="3" t="s">
        <v>274</v>
      </c>
      <c r="F824" s="6"/>
      <c r="G824" s="3"/>
      <c r="I824" s="3" t="s">
        <v>275</v>
      </c>
      <c r="J824" s="6"/>
      <c r="K824" s="3"/>
      <c r="L824" s="6" t="s">
        <v>1325</v>
      </c>
      <c r="M824" s="6"/>
      <c r="N824" s="6"/>
      <c r="O824" s="3" t="s">
        <v>133</v>
      </c>
      <c r="P824" s="6"/>
      <c r="Q824" s="3"/>
      <c r="R824" s="3"/>
      <c r="S824" s="6"/>
      <c r="T824" s="3"/>
      <c r="U824" s="7"/>
      <c r="V824" s="6"/>
      <c r="W824" s="3"/>
      <c r="X824" s="6"/>
      <c r="Y824" s="6"/>
      <c r="Z824" s="3"/>
      <c r="AA824" s="3"/>
      <c r="AB824" s="6"/>
      <c r="AC824" s="3"/>
      <c r="AD824" s="3"/>
      <c r="AE824" s="6"/>
      <c r="AF824" s="3"/>
      <c r="AG824" s="3"/>
      <c r="AH824" s="6"/>
      <c r="AI824" s="3"/>
      <c r="AJ824" s="1"/>
      <c r="AK824" s="6"/>
      <c r="AL824" s="3"/>
      <c r="AM824" s="6"/>
      <c r="AN824" s="6"/>
      <c r="AO824" s="3"/>
      <c r="AP824" s="3"/>
      <c r="AQ824" s="6"/>
      <c r="AR824" s="3"/>
      <c r="AS824" s="3"/>
      <c r="AT824" s="6"/>
      <c r="AU824" s="3"/>
      <c r="AV824" s="3" t="s">
        <v>2341</v>
      </c>
      <c r="AW824" s="6"/>
      <c r="AX824" s="3"/>
      <c r="AY824" s="7">
        <v>46132</v>
      </c>
      <c r="AZ824" s="6"/>
      <c r="BA824" s="3"/>
      <c r="BB824" s="6">
        <v>1</v>
      </c>
      <c r="BC824" s="6"/>
      <c r="BD824" s="3"/>
      <c r="BE824" s="3" t="s">
        <v>2342</v>
      </c>
      <c r="BF824" s="6"/>
      <c r="BG824" s="3"/>
      <c r="BH824" s="3" t="s">
        <v>2343</v>
      </c>
      <c r="BI824" s="6"/>
      <c r="BJ824" s="3"/>
      <c r="BK824" s="3"/>
      <c r="BL824" s="6"/>
      <c r="BM824" s="3"/>
      <c r="BN824" s="7"/>
      <c r="BO824" s="6"/>
      <c r="BP824" s="3"/>
      <c r="BQ824" s="6"/>
      <c r="BR824" s="6"/>
      <c r="BS824" s="3"/>
      <c r="BT824" s="3"/>
      <c r="BU824" s="6"/>
      <c r="BV824" s="3"/>
      <c r="BW824" s="3"/>
      <c r="BX824" s="6"/>
      <c r="BY824" s="3"/>
      <c r="BZ824" s="3"/>
      <c r="CA824" s="6"/>
      <c r="CB824" s="3"/>
      <c r="CC824" s="7"/>
      <c r="CD824" s="6"/>
      <c r="CE824" s="3"/>
      <c r="CF824" s="6"/>
      <c r="CG824" s="6"/>
      <c r="CH824" s="3"/>
      <c r="CI824" s="3"/>
      <c r="CJ824" s="6"/>
      <c r="CK824" s="3"/>
      <c r="CL824" s="3"/>
      <c r="CM824" s="6"/>
      <c r="CN824" s="3"/>
      <c r="CO824" s="3"/>
      <c r="CP824" s="6"/>
      <c r="CQ824" s="3"/>
      <c r="CR824" s="7"/>
      <c r="CS824" s="6"/>
      <c r="CT824" s="3"/>
      <c r="CU824" s="6"/>
      <c r="CV824" s="6"/>
      <c r="CW824" s="3"/>
      <c r="CX824" s="3"/>
      <c r="CY824" s="6"/>
      <c r="CZ824" s="3"/>
      <c r="DA824" s="3"/>
      <c r="DB824" s="6"/>
      <c r="DC824" s="3"/>
      <c r="DD824" s="3"/>
      <c r="DE824" s="6"/>
      <c r="DF824" s="3"/>
      <c r="DG824" s="7"/>
      <c r="DH824" s="6"/>
      <c r="DI824" s="3"/>
      <c r="DJ824" s="6"/>
      <c r="DK824" s="6"/>
      <c r="DL824" s="3"/>
      <c r="DM824" s="3"/>
      <c r="DN824" s="6"/>
      <c r="DO824" s="3"/>
      <c r="DP824" s="3"/>
      <c r="DQ824" s="6"/>
      <c r="DR824" s="3"/>
      <c r="DS824" s="3" t="str">
        <f>_xlfn.XLOOKUP(OfficeForms.Table[[#This Row],[Selecione a Categoria do Laboratório desta atividade prática:]],Planilha1!A:A,Planilha1!B:B)</f>
        <v>BFI</v>
      </c>
      <c r="DT824" s="6" t="str">
        <f>CONCATENATE(OfficeForms.Table[[#This Row],[Selecione seu Polo Laboratório de Atividades Presenciais:]],OfficeForms.Table[[#This Row],[CHAVE CONVERSÃO]])</f>
        <v>Porto Alegre/RS - Zona NorteBFI</v>
      </c>
      <c r="DU82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Facial</v>
      </c>
      <c r="DV82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46132</v>
      </c>
      <c r="DW82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24" s="6" t="str">
        <f>_xlfn.XLOOKUP(OfficeForms.Table[[#This Row],[CHAVE LINK POLO]],'[1]Quadro Geral de Lotação'!$B:$B,'[1]Quadro Geral de Lotação'!$I:$I)</f>
        <v>Fabiano Johnson Duarte Bartmann</v>
      </c>
      <c r="DY824" s="6" t="str">
        <f>OfficeForms.Table[[#This Row],[Selecione a Ordem de Disciplina]]</f>
        <v>Ordem 3</v>
      </c>
    </row>
    <row r="825" spans="1:129" ht="34.15" customHeight="1">
      <c r="A825" s="6">
        <v>825</v>
      </c>
      <c r="B825" s="2">
        <v>46132.915983796302</v>
      </c>
      <c r="C825" s="2">
        <v>46132.9202083333</v>
      </c>
      <c r="D825" s="3" t="s">
        <v>1920</v>
      </c>
      <c r="E825" s="3" t="s">
        <v>1921</v>
      </c>
      <c r="F825" s="6"/>
      <c r="G825" s="3"/>
      <c r="I825" s="3" t="s">
        <v>1922</v>
      </c>
      <c r="J825" s="6"/>
      <c r="K825" s="3"/>
      <c r="L825" s="6" t="s">
        <v>132</v>
      </c>
      <c r="M825" s="6"/>
      <c r="N825" s="6"/>
      <c r="O825" s="3" t="s">
        <v>184</v>
      </c>
      <c r="P825" s="6"/>
      <c r="Q825" s="3"/>
      <c r="R825" s="3"/>
      <c r="S825" s="6"/>
      <c r="T825" s="3"/>
      <c r="U825" s="7"/>
      <c r="V825" s="6"/>
      <c r="W825" s="3"/>
      <c r="X825" s="6"/>
      <c r="Y825" s="6"/>
      <c r="Z825" s="3"/>
      <c r="AA825" s="3"/>
      <c r="AB825" s="6"/>
      <c r="AC825" s="3"/>
      <c r="AD825" s="3"/>
      <c r="AE825" s="6"/>
      <c r="AF825" s="3"/>
      <c r="AG825" s="3" t="s">
        <v>185</v>
      </c>
      <c r="AH825" s="6"/>
      <c r="AI825" s="3"/>
      <c r="AJ825" s="1">
        <v>46072</v>
      </c>
      <c r="AK825" s="6"/>
      <c r="AL825" s="3"/>
      <c r="AM825" s="6">
        <v>19</v>
      </c>
      <c r="AN825" s="6"/>
      <c r="AO825" s="3"/>
      <c r="AP825" s="3" t="s">
        <v>2344</v>
      </c>
      <c r="AQ825" s="6"/>
      <c r="AR825" s="3"/>
      <c r="AS825" s="3" t="s">
        <v>2345</v>
      </c>
      <c r="AT825" s="6"/>
      <c r="AU825" s="3"/>
      <c r="AV825" s="3"/>
      <c r="AW825" s="6"/>
      <c r="AX825" s="3"/>
      <c r="AY825" s="7"/>
      <c r="AZ825" s="6"/>
      <c r="BA825" s="3"/>
      <c r="BB825" s="6"/>
      <c r="BC825" s="6"/>
      <c r="BD825" s="3"/>
      <c r="BE825" s="3"/>
      <c r="BF825" s="6"/>
      <c r="BG825" s="3"/>
      <c r="BH825" s="3"/>
      <c r="BI825" s="6"/>
      <c r="BJ825" s="3"/>
      <c r="BK825" s="3"/>
      <c r="BL825" s="6"/>
      <c r="BM825" s="3"/>
      <c r="BN825" s="7"/>
      <c r="BO825" s="6"/>
      <c r="BP825" s="3"/>
      <c r="BQ825" s="6"/>
      <c r="BR825" s="6"/>
      <c r="BS825" s="3"/>
      <c r="BT825" s="3"/>
      <c r="BU825" s="6"/>
      <c r="BV825" s="3"/>
      <c r="BW825" s="3"/>
      <c r="BX825" s="6"/>
      <c r="BY825" s="3"/>
      <c r="BZ825" s="3"/>
      <c r="CA825" s="6"/>
      <c r="CB825" s="3"/>
      <c r="CC825" s="7"/>
      <c r="CD825" s="6"/>
      <c r="CE825" s="3"/>
      <c r="CF825" s="6"/>
      <c r="CG825" s="6"/>
      <c r="CH825" s="3"/>
      <c r="CI825" s="3"/>
      <c r="CJ825" s="6"/>
      <c r="CK825" s="3"/>
      <c r="CL825" s="3"/>
      <c r="CM825" s="6"/>
      <c r="CN825" s="3"/>
      <c r="CO825" s="3"/>
      <c r="CP825" s="6"/>
      <c r="CQ825" s="3"/>
      <c r="CR825" s="7"/>
      <c r="CS825" s="6"/>
      <c r="CT825" s="3"/>
      <c r="CU825" s="6"/>
      <c r="CV825" s="6"/>
      <c r="CW825" s="3"/>
      <c r="CX825" s="3"/>
      <c r="CY825" s="6"/>
      <c r="CZ825" s="3"/>
      <c r="DA825" s="3"/>
      <c r="DB825" s="6"/>
      <c r="DC825" s="3"/>
      <c r="DD825" s="3"/>
      <c r="DE825" s="6"/>
      <c r="DF825" s="3"/>
      <c r="DG825" s="7"/>
      <c r="DH825" s="6"/>
      <c r="DI825" s="3"/>
      <c r="DJ825" s="6"/>
      <c r="DK825" s="6"/>
      <c r="DL825" s="3"/>
      <c r="DM825" s="3"/>
      <c r="DN825" s="6"/>
      <c r="DO825" s="3"/>
      <c r="DP825" s="3"/>
      <c r="DQ825" s="6"/>
      <c r="DR825" s="3"/>
      <c r="DS825" s="3" t="str">
        <f>_xlfn.XLOOKUP(OfficeForms.Table[[#This Row],[Selecione a Categoria do Laboratório desta atividade prática:]],Planilha1!A:A,Planilha1!B:B)</f>
        <v>EMF-ISN</v>
      </c>
      <c r="DT825" s="6" t="str">
        <f>CONCATENATE(OfficeForms.Table[[#This Row],[Selecione seu Polo Laboratório de Atividades Presenciais:]],OfficeForms.Table[[#This Row],[CHAVE CONVERSÃO]])</f>
        <v>Fortaleza/CE - AguanambiEMF-ISN</v>
      </c>
      <c r="DU82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</v>
      </c>
      <c r="DV82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46072</v>
      </c>
      <c r="DW82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19</v>
      </c>
      <c r="DX825" s="6" t="str">
        <f>_xlfn.XLOOKUP(OfficeForms.Table[[#This Row],[CHAVE LINK POLO]],'[1]Quadro Geral de Lotação'!$B:$B,'[1]Quadro Geral de Lotação'!$I:$I)</f>
        <v>Karla Ingridy Cardoso Oliveira</v>
      </c>
      <c r="DY825" s="6" t="str">
        <f>OfficeForms.Table[[#This Row],[Selecione a Ordem de Disciplina]]</f>
        <v>Ordem 1</v>
      </c>
    </row>
    <row r="826" spans="1:129" ht="34.15" customHeight="1">
      <c r="A826" s="6">
        <v>826</v>
      </c>
      <c r="B826" s="2">
        <v>46132.920266203699</v>
      </c>
      <c r="C826" s="2">
        <v>46132.923611111102</v>
      </c>
      <c r="D826" s="3" t="s">
        <v>1920</v>
      </c>
      <c r="E826" s="3" t="s">
        <v>1921</v>
      </c>
      <c r="F826" s="6"/>
      <c r="G826" s="3"/>
      <c r="I826" s="3" t="s">
        <v>1922</v>
      </c>
      <c r="J826" s="6"/>
      <c r="K826" s="3"/>
      <c r="L826" s="6" t="s">
        <v>132</v>
      </c>
      <c r="M826" s="6"/>
      <c r="N826" s="6"/>
      <c r="O826" s="3" t="s">
        <v>184</v>
      </c>
      <c r="P826" s="6"/>
      <c r="Q826" s="3"/>
      <c r="R826" s="3"/>
      <c r="S826" s="6"/>
      <c r="T826" s="3"/>
      <c r="U826" s="7"/>
      <c r="V826" s="6"/>
      <c r="W826" s="3"/>
      <c r="X826" s="6"/>
      <c r="Y826" s="6"/>
      <c r="Z826" s="3"/>
      <c r="AA826" s="3"/>
      <c r="AB826" s="6"/>
      <c r="AC826" s="3"/>
      <c r="AD826" s="3"/>
      <c r="AE826" s="6"/>
      <c r="AF826" s="3"/>
      <c r="AG826" s="3" t="s">
        <v>414</v>
      </c>
      <c r="AH826" s="6"/>
      <c r="AI826" s="3"/>
      <c r="AJ826" s="1">
        <v>46073</v>
      </c>
      <c r="AK826" s="6"/>
      <c r="AL826" s="3"/>
      <c r="AM826" s="6">
        <v>3</v>
      </c>
      <c r="AN826" s="6"/>
      <c r="AO826" s="3"/>
      <c r="AP826" s="3" t="s">
        <v>2346</v>
      </c>
      <c r="AQ826" s="6"/>
      <c r="AR826" s="3"/>
      <c r="AS826" s="3" t="s">
        <v>2347</v>
      </c>
      <c r="AT826" s="6"/>
      <c r="AU826" s="3"/>
      <c r="AV826" s="3"/>
      <c r="AW826" s="6"/>
      <c r="AX826" s="3"/>
      <c r="AY826" s="7"/>
      <c r="AZ826" s="6"/>
      <c r="BA826" s="3"/>
      <c r="BB826" s="6"/>
      <c r="BC826" s="6"/>
      <c r="BD826" s="3"/>
      <c r="BE826" s="3"/>
      <c r="BF826" s="6"/>
      <c r="BG826" s="3"/>
      <c r="BH826" s="3"/>
      <c r="BI826" s="6"/>
      <c r="BJ826" s="3"/>
      <c r="BK826" s="3"/>
      <c r="BL826" s="6"/>
      <c r="BM826" s="3"/>
      <c r="BN826" s="7"/>
      <c r="BO826" s="6"/>
      <c r="BP826" s="3"/>
      <c r="BQ826" s="6"/>
      <c r="BR826" s="6"/>
      <c r="BS826" s="3"/>
      <c r="BT826" s="3"/>
      <c r="BU826" s="6"/>
      <c r="BV826" s="3"/>
      <c r="BW826" s="3"/>
      <c r="BX826" s="6"/>
      <c r="BY826" s="3"/>
      <c r="BZ826" s="3"/>
      <c r="CA826" s="6"/>
      <c r="CB826" s="3"/>
      <c r="CC826" s="7"/>
      <c r="CD826" s="6"/>
      <c r="CE826" s="3"/>
      <c r="CF826" s="6"/>
      <c r="CG826" s="6"/>
      <c r="CH826" s="3"/>
      <c r="CI826" s="3"/>
      <c r="CJ826" s="6"/>
      <c r="CK826" s="3"/>
      <c r="CL826" s="3"/>
      <c r="CM826" s="6"/>
      <c r="CN826" s="3"/>
      <c r="CO826" s="3"/>
      <c r="CP826" s="6"/>
      <c r="CQ826" s="3"/>
      <c r="CR826" s="7"/>
      <c r="CS826" s="6"/>
      <c r="CT826" s="3"/>
      <c r="CU826" s="6"/>
      <c r="CV826" s="6"/>
      <c r="CW826" s="3"/>
      <c r="CX826" s="3"/>
      <c r="CY826" s="6"/>
      <c r="CZ826" s="3"/>
      <c r="DA826" s="3"/>
      <c r="DB826" s="6"/>
      <c r="DC826" s="3"/>
      <c r="DD826" s="3"/>
      <c r="DE826" s="6"/>
      <c r="DF826" s="3"/>
      <c r="DG826" s="7"/>
      <c r="DH826" s="6"/>
      <c r="DI826" s="3"/>
      <c r="DJ826" s="6"/>
      <c r="DK826" s="6"/>
      <c r="DL826" s="3"/>
      <c r="DM826" s="3"/>
      <c r="DN826" s="6"/>
      <c r="DO826" s="3"/>
      <c r="DP826" s="3"/>
      <c r="DQ826" s="6"/>
      <c r="DR826" s="3"/>
      <c r="DS826" s="3" t="str">
        <f>_xlfn.XLOOKUP(OfficeForms.Table[[#This Row],[Selecione a Categoria do Laboratório desta atividade prática:]],Planilha1!A:A,Planilha1!B:B)</f>
        <v>EMF-ISN</v>
      </c>
      <c r="DT826" s="6" t="str">
        <f>CONCATENATE(OfficeForms.Table[[#This Row],[Selecione seu Polo Laboratório de Atividades Presenciais:]],OfficeForms.Table[[#This Row],[CHAVE CONVERSÃO]])</f>
        <v>Fortaleza/CE - AguanambiEMF-ISN</v>
      </c>
      <c r="DU82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corporal + Ausculta pulmonar + Ausculta cardiaca + Verificação de sinais vitais</v>
      </c>
      <c r="DV82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46073</v>
      </c>
      <c r="DW82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26" s="6" t="str">
        <f>_xlfn.XLOOKUP(OfficeForms.Table[[#This Row],[CHAVE LINK POLO]],'[1]Quadro Geral de Lotação'!$B:$B,'[1]Quadro Geral de Lotação'!$I:$I)</f>
        <v>Karla Ingridy Cardoso Oliveira</v>
      </c>
      <c r="DY826" s="6" t="str">
        <f>OfficeForms.Table[[#This Row],[Selecione a Ordem de Disciplina]]</f>
        <v>Ordem 1</v>
      </c>
    </row>
    <row r="827" spans="1:129" ht="34.15" customHeight="1">
      <c r="A827" s="6">
        <v>827</v>
      </c>
      <c r="B827" s="2">
        <v>46132.924814814804</v>
      </c>
      <c r="C827" s="2">
        <v>46132.928356481498</v>
      </c>
      <c r="D827" s="3" t="s">
        <v>1920</v>
      </c>
      <c r="E827" s="3" t="s">
        <v>1921</v>
      </c>
      <c r="F827" s="6"/>
      <c r="G827" s="3"/>
      <c r="I827" s="3" t="s">
        <v>1922</v>
      </c>
      <c r="J827" s="6"/>
      <c r="K827" s="3"/>
      <c r="L827" s="6" t="s">
        <v>132</v>
      </c>
      <c r="M827" s="6"/>
      <c r="N827" s="6"/>
      <c r="O827" s="3" t="s">
        <v>184</v>
      </c>
      <c r="P827" s="6"/>
      <c r="Q827" s="3"/>
      <c r="R827" s="3"/>
      <c r="S827" s="6"/>
      <c r="T827" s="3"/>
      <c r="U827" s="7"/>
      <c r="V827" s="6"/>
      <c r="W827" s="3"/>
      <c r="X827" s="6"/>
      <c r="Y827" s="6"/>
      <c r="Z827" s="3"/>
      <c r="AA827" s="3"/>
      <c r="AB827" s="6"/>
      <c r="AC827" s="3"/>
      <c r="AD827" s="3"/>
      <c r="AE827" s="6"/>
      <c r="AF827" s="3"/>
      <c r="AG827" s="3" t="s">
        <v>194</v>
      </c>
      <c r="AH827" s="6"/>
      <c r="AI827" s="3"/>
      <c r="AJ827" s="1">
        <v>46079</v>
      </c>
      <c r="AK827" s="6"/>
      <c r="AL827" s="3"/>
      <c r="AM827" s="6">
        <v>4</v>
      </c>
      <c r="AN827" s="6"/>
      <c r="AO827" s="3"/>
      <c r="AP827" s="3" t="s">
        <v>2348</v>
      </c>
      <c r="AQ827" s="6"/>
      <c r="AR827" s="3"/>
      <c r="AS827" s="3" t="s">
        <v>2349</v>
      </c>
      <c r="AT827" s="6"/>
      <c r="AU827" s="3"/>
      <c r="AV827" s="3"/>
      <c r="AW827" s="6"/>
      <c r="AX827" s="3"/>
      <c r="AY827" s="7"/>
      <c r="AZ827" s="6"/>
      <c r="BA827" s="3"/>
      <c r="BB827" s="6"/>
      <c r="BC827" s="6"/>
      <c r="BD827" s="3"/>
      <c r="BE827" s="3"/>
      <c r="BF827" s="6"/>
      <c r="BG827" s="3"/>
      <c r="BH827" s="3"/>
      <c r="BI827" s="6"/>
      <c r="BJ827" s="3"/>
      <c r="BK827" s="3"/>
      <c r="BL827" s="6"/>
      <c r="BM827" s="3"/>
      <c r="BN827" s="7"/>
      <c r="BO827" s="6"/>
      <c r="BP827" s="3"/>
      <c r="BQ827" s="6"/>
      <c r="BR827" s="6"/>
      <c r="BS827" s="3"/>
      <c r="BT827" s="3"/>
      <c r="BU827" s="6"/>
      <c r="BV827" s="3"/>
      <c r="BW827" s="3"/>
      <c r="BX827" s="6"/>
      <c r="BY827" s="3"/>
      <c r="BZ827" s="3"/>
      <c r="CA827" s="6"/>
      <c r="CB827" s="3"/>
      <c r="CC827" s="7"/>
      <c r="CD827" s="6"/>
      <c r="CE827" s="3"/>
      <c r="CF827" s="6"/>
      <c r="CG827" s="6"/>
      <c r="CH827" s="3"/>
      <c r="CI827" s="3"/>
      <c r="CJ827" s="6"/>
      <c r="CK827" s="3"/>
      <c r="CL827" s="3"/>
      <c r="CM827" s="6"/>
      <c r="CN827" s="3"/>
      <c r="CO827" s="3"/>
      <c r="CP827" s="6"/>
      <c r="CQ827" s="3"/>
      <c r="CR827" s="7"/>
      <c r="CS827" s="6"/>
      <c r="CT827" s="3"/>
      <c r="CU827" s="6"/>
      <c r="CV827" s="6"/>
      <c r="CW827" s="3"/>
      <c r="CX827" s="3"/>
      <c r="CY827" s="6"/>
      <c r="CZ827" s="3"/>
      <c r="DA827" s="3"/>
      <c r="DB827" s="6"/>
      <c r="DC827" s="3"/>
      <c r="DD827" s="3"/>
      <c r="DE827" s="6"/>
      <c r="DF827" s="3"/>
      <c r="DG827" s="7"/>
      <c r="DH827" s="6"/>
      <c r="DI827" s="3"/>
      <c r="DJ827" s="6"/>
      <c r="DK827" s="6"/>
      <c r="DL827" s="3"/>
      <c r="DM827" s="3"/>
      <c r="DN827" s="6"/>
      <c r="DO827" s="3"/>
      <c r="DP827" s="3"/>
      <c r="DQ827" s="6"/>
      <c r="DR827" s="3"/>
      <c r="DS827" s="3" t="str">
        <f>_xlfn.XLOOKUP(OfficeForms.Table[[#This Row],[Selecione a Categoria do Laboratório desta atividade prática:]],Planilha1!A:A,Planilha1!B:B)</f>
        <v>EMF-ISN</v>
      </c>
      <c r="DT827" s="6" t="str">
        <f>CONCATENATE(OfficeForms.Table[[#This Row],[Selecione seu Polo Laboratório de Atividades Presenciais:]],OfficeForms.Table[[#This Row],[CHAVE CONVERSÃO]])</f>
        <v>Fortaleza/CE - AguanambiEMF-ISN</v>
      </c>
      <c r="DU82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Trabalho de parto natural + Emergências obstétricas</v>
      </c>
      <c r="DV82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46079</v>
      </c>
      <c r="DW82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827" s="6" t="str">
        <f>_xlfn.XLOOKUP(OfficeForms.Table[[#This Row],[CHAVE LINK POLO]],'[1]Quadro Geral de Lotação'!$B:$B,'[1]Quadro Geral de Lotação'!$I:$I)</f>
        <v>Karla Ingridy Cardoso Oliveira</v>
      </c>
      <c r="DY827" s="6" t="str">
        <f>OfficeForms.Table[[#This Row],[Selecione a Ordem de Disciplina]]</f>
        <v>Ordem 1</v>
      </c>
    </row>
    <row r="828" spans="1:129" ht="34.15" customHeight="1">
      <c r="A828" s="6">
        <v>828</v>
      </c>
      <c r="B828" s="2">
        <v>46132.928414351903</v>
      </c>
      <c r="C828" s="2">
        <v>46132.9308564815</v>
      </c>
      <c r="D828" s="3" t="s">
        <v>1920</v>
      </c>
      <c r="E828" s="3" t="s">
        <v>1921</v>
      </c>
      <c r="F828" s="6"/>
      <c r="G828" s="3"/>
      <c r="I828" s="3" t="s">
        <v>1922</v>
      </c>
      <c r="J828" s="6"/>
      <c r="K828" s="3"/>
      <c r="L828" s="6" t="s">
        <v>132</v>
      </c>
      <c r="M828" s="6"/>
      <c r="N828" s="6"/>
      <c r="O828" s="3" t="s">
        <v>184</v>
      </c>
      <c r="P828" s="6"/>
      <c r="Q828" s="3"/>
      <c r="R828" s="3"/>
      <c r="S828" s="6"/>
      <c r="T828" s="3"/>
      <c r="U828" s="7"/>
      <c r="V828" s="6"/>
      <c r="W828" s="3"/>
      <c r="X828" s="6"/>
      <c r="Y828" s="6"/>
      <c r="Z828" s="3"/>
      <c r="AA828" s="3"/>
      <c r="AB828" s="6"/>
      <c r="AC828" s="3"/>
      <c r="AD828" s="3"/>
      <c r="AE828" s="6"/>
      <c r="AF828" s="3"/>
      <c r="AG828" s="3" t="s">
        <v>316</v>
      </c>
      <c r="AH828" s="6"/>
      <c r="AI828" s="3"/>
      <c r="AJ828" s="1">
        <v>46080</v>
      </c>
      <c r="AK828" s="6"/>
      <c r="AL828" s="3"/>
      <c r="AM828" s="6">
        <v>3</v>
      </c>
      <c r="AN828" s="6"/>
      <c r="AO828" s="3"/>
      <c r="AP828" s="3" t="s">
        <v>2350</v>
      </c>
      <c r="AQ828" s="6"/>
      <c r="AR828" s="3"/>
      <c r="AS828" s="3" t="s">
        <v>2351</v>
      </c>
      <c r="AT828" s="6"/>
      <c r="AU828" s="3"/>
      <c r="AV828" s="3"/>
      <c r="AW828" s="6"/>
      <c r="AX828" s="3"/>
      <c r="AY828" s="7"/>
      <c r="AZ828" s="6"/>
      <c r="BA828" s="3"/>
      <c r="BB828" s="6"/>
      <c r="BC828" s="6"/>
      <c r="BD828" s="3"/>
      <c r="BE828" s="3"/>
      <c r="BF828" s="6"/>
      <c r="BG828" s="3"/>
      <c r="BH828" s="3"/>
      <c r="BI828" s="6"/>
      <c r="BJ828" s="3"/>
      <c r="BK828" s="3"/>
      <c r="BL828" s="6"/>
      <c r="BM828" s="3"/>
      <c r="BN828" s="7"/>
      <c r="BO828" s="6"/>
      <c r="BP828" s="3"/>
      <c r="BQ828" s="6"/>
      <c r="BR828" s="6"/>
      <c r="BS828" s="3"/>
      <c r="BT828" s="3"/>
      <c r="BU828" s="6"/>
      <c r="BV828" s="3"/>
      <c r="BW828" s="3"/>
      <c r="BX828" s="6"/>
      <c r="BY828" s="3"/>
      <c r="BZ828" s="3"/>
      <c r="CA828" s="6"/>
      <c r="CB828" s="3"/>
      <c r="CC828" s="7"/>
      <c r="CD828" s="6"/>
      <c r="CE828" s="3"/>
      <c r="CF828" s="6"/>
      <c r="CG828" s="6"/>
      <c r="CH828" s="3"/>
      <c r="CI828" s="3"/>
      <c r="CJ828" s="6"/>
      <c r="CK828" s="3"/>
      <c r="CL828" s="3"/>
      <c r="CM828" s="6"/>
      <c r="CN828" s="3"/>
      <c r="CO828" s="3"/>
      <c r="CP828" s="6"/>
      <c r="CQ828" s="3"/>
      <c r="CR828" s="7"/>
      <c r="CS828" s="6"/>
      <c r="CT828" s="3"/>
      <c r="CU828" s="6"/>
      <c r="CV828" s="6"/>
      <c r="CW828" s="3"/>
      <c r="CX828" s="3"/>
      <c r="CY828" s="6"/>
      <c r="CZ828" s="3"/>
      <c r="DA828" s="3"/>
      <c r="DB828" s="6"/>
      <c r="DC828" s="3"/>
      <c r="DD828" s="3"/>
      <c r="DE828" s="6"/>
      <c r="DF828" s="3"/>
      <c r="DG828" s="7"/>
      <c r="DH828" s="6"/>
      <c r="DI828" s="3"/>
      <c r="DJ828" s="6"/>
      <c r="DK828" s="6"/>
      <c r="DL828" s="3"/>
      <c r="DM828" s="3"/>
      <c r="DN828" s="6"/>
      <c r="DO828" s="3"/>
      <c r="DP828" s="3"/>
      <c r="DQ828" s="6"/>
      <c r="DR828" s="3"/>
      <c r="DS828" s="3" t="str">
        <f>_xlfn.XLOOKUP(OfficeForms.Table[[#This Row],[Selecione a Categoria do Laboratório desta atividade prática:]],Planilha1!A:A,Planilha1!B:B)</f>
        <v>EMF-ISN</v>
      </c>
      <c r="DT828" s="6" t="str">
        <f>CONCATENATE(OfficeForms.Table[[#This Row],[Selecione seu Polo Laboratório de Atividades Presenciais:]],OfficeForms.Table[[#This Row],[CHAVE CONVERSÃO]])</f>
        <v>Fortaleza/CE - AguanambiEMF-ISN</v>
      </c>
      <c r="DU82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Curativo</v>
      </c>
      <c r="DV82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46080</v>
      </c>
      <c r="DW82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28" s="6" t="str">
        <f>_xlfn.XLOOKUP(OfficeForms.Table[[#This Row],[CHAVE LINK POLO]],'[1]Quadro Geral de Lotação'!$B:$B,'[1]Quadro Geral de Lotação'!$I:$I)</f>
        <v>Karla Ingridy Cardoso Oliveira</v>
      </c>
      <c r="DY828" s="6" t="str">
        <f>OfficeForms.Table[[#This Row],[Selecione a Ordem de Disciplina]]</f>
        <v>Ordem 1</v>
      </c>
    </row>
    <row r="829" spans="1:129" ht="34.15" customHeight="1">
      <c r="A829" s="6">
        <v>829</v>
      </c>
      <c r="B829" s="2">
        <v>46132.933773148201</v>
      </c>
      <c r="C829" s="2">
        <v>46132.934861111098</v>
      </c>
      <c r="D829" s="3" t="s">
        <v>1920</v>
      </c>
      <c r="E829" s="3" t="s">
        <v>1921</v>
      </c>
      <c r="F829" s="6"/>
      <c r="G829" s="3"/>
      <c r="I829" s="3" t="s">
        <v>1922</v>
      </c>
      <c r="J829" s="6"/>
      <c r="K829" s="3"/>
      <c r="L829" s="6" t="s">
        <v>678</v>
      </c>
      <c r="M829" s="6"/>
      <c r="N829" s="6"/>
      <c r="O829" s="3" t="s">
        <v>184</v>
      </c>
      <c r="P829" s="6"/>
      <c r="Q829" s="3"/>
      <c r="R829" s="3"/>
      <c r="S829" s="6"/>
      <c r="T829" s="3"/>
      <c r="U829" s="7"/>
      <c r="V829" s="6"/>
      <c r="W829" s="3"/>
      <c r="X829" s="6"/>
      <c r="Y829" s="6"/>
      <c r="Z829" s="3"/>
      <c r="AA829" s="3"/>
      <c r="AB829" s="6"/>
      <c r="AC829" s="3"/>
      <c r="AD829" s="3"/>
      <c r="AE829" s="6"/>
      <c r="AF829" s="3"/>
      <c r="AG829" s="3" t="s">
        <v>1105</v>
      </c>
      <c r="AH829" s="6"/>
      <c r="AI829" s="3"/>
      <c r="AJ829" s="1">
        <v>46097</v>
      </c>
      <c r="AK829" s="6"/>
      <c r="AL829" s="3"/>
      <c r="AM829" s="6">
        <v>2</v>
      </c>
      <c r="AN829" s="6"/>
      <c r="AO829" s="3"/>
      <c r="AP829" s="3" t="s">
        <v>2352</v>
      </c>
      <c r="AQ829" s="6"/>
      <c r="AR829" s="3"/>
      <c r="AS829" s="3" t="s">
        <v>2353</v>
      </c>
      <c r="AT829" s="6"/>
      <c r="AU829" s="3"/>
      <c r="AV829" s="3"/>
      <c r="AW829" s="6"/>
      <c r="AX829" s="3"/>
      <c r="AY829" s="7"/>
      <c r="AZ829" s="6"/>
      <c r="BA829" s="3"/>
      <c r="BB829" s="6"/>
      <c r="BC829" s="6"/>
      <c r="BD829" s="3"/>
      <c r="BE829" s="3"/>
      <c r="BF829" s="6"/>
      <c r="BG829" s="3"/>
      <c r="BH829" s="3"/>
      <c r="BI829" s="6"/>
      <c r="BJ829" s="3"/>
      <c r="BK829" s="3"/>
      <c r="BL829" s="6"/>
      <c r="BM829" s="3"/>
      <c r="BN829" s="7"/>
      <c r="BO829" s="6"/>
      <c r="BP829" s="3"/>
      <c r="BQ829" s="6"/>
      <c r="BR829" s="6"/>
      <c r="BS829" s="3"/>
      <c r="BT829" s="3"/>
      <c r="BU829" s="6"/>
      <c r="BV829" s="3"/>
      <c r="BW829" s="3"/>
      <c r="BX829" s="6"/>
      <c r="BY829" s="3"/>
      <c r="BZ829" s="3"/>
      <c r="CA829" s="6"/>
      <c r="CB829" s="3"/>
      <c r="CC829" s="7"/>
      <c r="CD829" s="6"/>
      <c r="CE829" s="3"/>
      <c r="CF829" s="6"/>
      <c r="CG829" s="6"/>
      <c r="CH829" s="3"/>
      <c r="CI829" s="3"/>
      <c r="CJ829" s="6"/>
      <c r="CK829" s="3"/>
      <c r="CL829" s="3"/>
      <c r="CM829" s="6"/>
      <c r="CN829" s="3"/>
      <c r="CO829" s="3"/>
      <c r="CP829" s="6"/>
      <c r="CQ829" s="3"/>
      <c r="CR829" s="7"/>
      <c r="CS829" s="6"/>
      <c r="CT829" s="3"/>
      <c r="CU829" s="6"/>
      <c r="CV829" s="6"/>
      <c r="CW829" s="3"/>
      <c r="CX829" s="3"/>
      <c r="CY829" s="6"/>
      <c r="CZ829" s="3"/>
      <c r="DA829" s="3"/>
      <c r="DB829" s="6"/>
      <c r="DC829" s="3"/>
      <c r="DD829" s="3"/>
      <c r="DE829" s="6"/>
      <c r="DF829" s="3"/>
      <c r="DG829" s="7"/>
      <c r="DH829" s="6"/>
      <c r="DI829" s="3"/>
      <c r="DJ829" s="6"/>
      <c r="DK829" s="6"/>
      <c r="DL829" s="3"/>
      <c r="DM829" s="3"/>
      <c r="DN829" s="6"/>
      <c r="DO829" s="3"/>
      <c r="DP829" s="3"/>
      <c r="DQ829" s="6"/>
      <c r="DR829" s="3"/>
      <c r="DS829" s="3" t="str">
        <f>_xlfn.XLOOKUP(OfficeForms.Table[[#This Row],[Selecione a Categoria do Laboratório desta atividade prática:]],Planilha1!A:A,Planilha1!B:B)</f>
        <v>EMF-ISN</v>
      </c>
      <c r="DT829" s="6" t="str">
        <f>CONCATENATE(OfficeForms.Table[[#This Row],[Selecione seu Polo Laboratório de Atividades Presenciais:]],OfficeForms.Table[[#This Row],[CHAVE CONVERSÃO]])</f>
        <v>Fortaleza/CE - AguanambiEMF-ISN</v>
      </c>
      <c r="DU82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82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46097</v>
      </c>
      <c r="DW82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29" s="6" t="str">
        <f>_xlfn.XLOOKUP(OfficeForms.Table[[#This Row],[CHAVE LINK POLO]],'[1]Quadro Geral de Lotação'!$B:$B,'[1]Quadro Geral de Lotação'!$I:$I)</f>
        <v>Karla Ingridy Cardoso Oliveira</v>
      </c>
      <c r="DY829" s="6" t="str">
        <f>OfficeForms.Table[[#This Row],[Selecione a Ordem de Disciplina]]</f>
        <v>Ordem 2</v>
      </c>
    </row>
    <row r="830" spans="1:129" ht="34.15" customHeight="1">
      <c r="A830" s="6">
        <v>830</v>
      </c>
      <c r="B830" s="2">
        <v>46132.935046296298</v>
      </c>
      <c r="C830" s="2">
        <v>46132.9383564815</v>
      </c>
      <c r="D830" s="3" t="s">
        <v>1920</v>
      </c>
      <c r="E830" s="3" t="s">
        <v>1921</v>
      </c>
      <c r="F830" s="6"/>
      <c r="G830" s="3"/>
      <c r="I830" s="3" t="s">
        <v>1922</v>
      </c>
      <c r="J830" s="6"/>
      <c r="K830" s="3"/>
      <c r="L830" s="6" t="s">
        <v>678</v>
      </c>
      <c r="M830" s="6"/>
      <c r="N830" s="6"/>
      <c r="O830" s="3" t="s">
        <v>184</v>
      </c>
      <c r="P830" s="6"/>
      <c r="Q830" s="3"/>
      <c r="R830" s="3"/>
      <c r="S830" s="6"/>
      <c r="T830" s="3"/>
      <c r="U830" s="7"/>
      <c r="V830" s="6"/>
      <c r="W830" s="3"/>
      <c r="X830" s="6"/>
      <c r="Y830" s="6"/>
      <c r="Z830" s="3"/>
      <c r="AA830" s="3"/>
      <c r="AB830" s="6"/>
      <c r="AC830" s="3"/>
      <c r="AD830" s="3"/>
      <c r="AE830" s="6"/>
      <c r="AF830" s="3"/>
      <c r="AG830" s="3" t="s">
        <v>211</v>
      </c>
      <c r="AH830" s="6"/>
      <c r="AI830" s="3"/>
      <c r="AJ830" s="1">
        <v>46098</v>
      </c>
      <c r="AK830" s="6"/>
      <c r="AL830" s="3"/>
      <c r="AM830" s="6">
        <v>11</v>
      </c>
      <c r="AN830" s="6"/>
      <c r="AO830" s="3"/>
      <c r="AP830" s="3" t="s">
        <v>2354</v>
      </c>
      <c r="AQ830" s="6"/>
      <c r="AR830" s="3"/>
      <c r="AS830" s="3" t="s">
        <v>2355</v>
      </c>
      <c r="AT830" s="6"/>
      <c r="AU830" s="3"/>
      <c r="AV830" s="3"/>
      <c r="AW830" s="6"/>
      <c r="AX830" s="3"/>
      <c r="AY830" s="7"/>
      <c r="AZ830" s="6"/>
      <c r="BA830" s="3"/>
      <c r="BB830" s="6"/>
      <c r="BC830" s="6"/>
      <c r="BD830" s="3"/>
      <c r="BE830" s="3"/>
      <c r="BF830" s="6"/>
      <c r="BG830" s="3"/>
      <c r="BH830" s="3"/>
      <c r="BI830" s="6"/>
      <c r="BJ830" s="3"/>
      <c r="BK830" s="3"/>
      <c r="BL830" s="6"/>
      <c r="BM830" s="3"/>
      <c r="BN830" s="7"/>
      <c r="BO830" s="6"/>
      <c r="BP830" s="3"/>
      <c r="BQ830" s="6"/>
      <c r="BR830" s="6"/>
      <c r="BS830" s="3"/>
      <c r="BT830" s="3"/>
      <c r="BU830" s="6"/>
      <c r="BV830" s="3"/>
      <c r="BW830" s="3"/>
      <c r="BX830" s="6"/>
      <c r="BY830" s="3"/>
      <c r="BZ830" s="3"/>
      <c r="CA830" s="6"/>
      <c r="CB830" s="3"/>
      <c r="CC830" s="7"/>
      <c r="CD830" s="6"/>
      <c r="CE830" s="3"/>
      <c r="CF830" s="6"/>
      <c r="CG830" s="6"/>
      <c r="CH830" s="3"/>
      <c r="CI830" s="3"/>
      <c r="CJ830" s="6"/>
      <c r="CK830" s="3"/>
      <c r="CL830" s="3"/>
      <c r="CM830" s="6"/>
      <c r="CN830" s="3"/>
      <c r="CO830" s="3"/>
      <c r="CP830" s="6"/>
      <c r="CQ830" s="3"/>
      <c r="CR830" s="7"/>
      <c r="CS830" s="6"/>
      <c r="CT830" s="3"/>
      <c r="CU830" s="6"/>
      <c r="CV830" s="6"/>
      <c r="CW830" s="3"/>
      <c r="CX830" s="3"/>
      <c r="CY830" s="6"/>
      <c r="CZ830" s="3"/>
      <c r="DA830" s="3"/>
      <c r="DB830" s="6"/>
      <c r="DC830" s="3"/>
      <c r="DD830" s="3"/>
      <c r="DE830" s="6"/>
      <c r="DF830" s="3"/>
      <c r="DG830" s="7"/>
      <c r="DH830" s="6"/>
      <c r="DI830" s="3"/>
      <c r="DJ830" s="6"/>
      <c r="DK830" s="6"/>
      <c r="DL830" s="3"/>
      <c r="DM830" s="3"/>
      <c r="DN830" s="6"/>
      <c r="DO830" s="3"/>
      <c r="DP830" s="3"/>
      <c r="DQ830" s="6"/>
      <c r="DR830" s="3"/>
      <c r="DS830" s="3" t="str">
        <f>_xlfn.XLOOKUP(OfficeForms.Table[[#This Row],[Selecione a Categoria do Laboratório desta atividade prática:]],Planilha1!A:A,Planilha1!B:B)</f>
        <v>EMF-ISN</v>
      </c>
      <c r="DT830" s="6" t="str">
        <f>CONCATENATE(OfficeForms.Table[[#This Row],[Selecione seu Polo Laboratório de Atividades Presenciais:]],OfficeForms.Table[[#This Row],[CHAVE CONVERSÃO]])</f>
        <v>Fortaleza/CE - AguanambiEMF-ISN</v>
      </c>
      <c r="DU83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83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83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830" s="6" t="str">
        <f>_xlfn.XLOOKUP(OfficeForms.Table[[#This Row],[CHAVE LINK POLO]],'[1]Quadro Geral de Lotação'!$B:$B,'[1]Quadro Geral de Lotação'!$I:$I)</f>
        <v>Karla Ingridy Cardoso Oliveira</v>
      </c>
      <c r="DY830" s="6" t="str">
        <f>OfficeForms.Table[[#This Row],[Selecione a Ordem de Disciplina]]</f>
        <v>Ordem 2</v>
      </c>
    </row>
    <row r="831" spans="1:129" ht="34.15" customHeight="1">
      <c r="A831" s="6">
        <v>831</v>
      </c>
      <c r="B831" s="2">
        <v>46133.431273148097</v>
      </c>
      <c r="C831" s="2">
        <v>46133.433506944399</v>
      </c>
      <c r="D831" s="3" t="s">
        <v>399</v>
      </c>
      <c r="E831" s="3" t="s">
        <v>400</v>
      </c>
      <c r="F831" s="6"/>
      <c r="G831" s="3"/>
      <c r="I831" s="3" t="s">
        <v>401</v>
      </c>
      <c r="J831" s="6"/>
      <c r="K831" s="3"/>
      <c r="L831" s="6" t="s">
        <v>1325</v>
      </c>
      <c r="M831" s="6"/>
      <c r="N831" s="6"/>
      <c r="O831" s="3" t="s">
        <v>184</v>
      </c>
      <c r="P831" s="6"/>
      <c r="Q831" s="3"/>
      <c r="R831" s="3"/>
      <c r="S831" s="6"/>
      <c r="T831" s="3"/>
      <c r="U831" s="7"/>
      <c r="V831" s="6"/>
      <c r="W831" s="3"/>
      <c r="X831" s="6"/>
      <c r="Y831" s="6"/>
      <c r="Z831" s="3"/>
      <c r="AA831" s="3"/>
      <c r="AB831" s="6"/>
      <c r="AC831" s="3"/>
      <c r="AD831" s="3"/>
      <c r="AE831" s="6"/>
      <c r="AF831" s="3"/>
      <c r="AG831" s="3" t="s">
        <v>2356</v>
      </c>
      <c r="AH831" s="6"/>
      <c r="AI831" s="3"/>
      <c r="AJ831" s="1">
        <v>46128</v>
      </c>
      <c r="AK831" s="6"/>
      <c r="AL831" s="3"/>
      <c r="AM831" s="6">
        <v>2</v>
      </c>
      <c r="AN831" s="6"/>
      <c r="AO831" s="3"/>
      <c r="AP831" s="3" t="s">
        <v>2357</v>
      </c>
      <c r="AQ831" s="6"/>
      <c r="AR831" s="3"/>
      <c r="AS831" s="3" t="s">
        <v>2358</v>
      </c>
      <c r="AT831" s="6"/>
      <c r="AU831" s="3"/>
      <c r="AV831" s="3"/>
      <c r="AW831" s="6"/>
      <c r="AX831" s="3"/>
      <c r="AY831" s="7"/>
      <c r="AZ831" s="6"/>
      <c r="BA831" s="3"/>
      <c r="BB831" s="6"/>
      <c r="BC831" s="6"/>
      <c r="BD831" s="3"/>
      <c r="BE831" s="3"/>
      <c r="BF831" s="6"/>
      <c r="BG831" s="3"/>
      <c r="BH831" s="3"/>
      <c r="BI831" s="6"/>
      <c r="BJ831" s="3"/>
      <c r="BK831" s="3"/>
      <c r="BL831" s="6"/>
      <c r="BM831" s="3"/>
      <c r="BN831" s="7"/>
      <c r="BO831" s="6"/>
      <c r="BP831" s="3"/>
      <c r="BQ831" s="6"/>
      <c r="BR831" s="6"/>
      <c r="BS831" s="3"/>
      <c r="BT831" s="3"/>
      <c r="BU831" s="6"/>
      <c r="BV831" s="3"/>
      <c r="BW831" s="3"/>
      <c r="BX831" s="6"/>
      <c r="BY831" s="3"/>
      <c r="BZ831" s="3"/>
      <c r="CA831" s="6"/>
      <c r="CB831" s="3"/>
      <c r="CC831" s="7"/>
      <c r="CD831" s="6"/>
      <c r="CE831" s="3"/>
      <c r="CF831" s="6"/>
      <c r="CG831" s="6"/>
      <c r="CH831" s="3"/>
      <c r="CI831" s="3"/>
      <c r="CJ831" s="6"/>
      <c r="CK831" s="3"/>
      <c r="CL831" s="3"/>
      <c r="CM831" s="6"/>
      <c r="CN831" s="3"/>
      <c r="CO831" s="3"/>
      <c r="CP831" s="6"/>
      <c r="CQ831" s="3"/>
      <c r="CR831" s="7"/>
      <c r="CS831" s="6"/>
      <c r="CT831" s="3"/>
      <c r="CU831" s="6"/>
      <c r="CV831" s="6"/>
      <c r="CW831" s="3"/>
      <c r="CX831" s="3"/>
      <c r="CY831" s="6"/>
      <c r="CZ831" s="3"/>
      <c r="DA831" s="3"/>
      <c r="DB831" s="6"/>
      <c r="DC831" s="3"/>
      <c r="DD831" s="3"/>
      <c r="DE831" s="6"/>
      <c r="DF831" s="3"/>
      <c r="DG831" s="7"/>
      <c r="DH831" s="6"/>
      <c r="DI831" s="3"/>
      <c r="DJ831" s="6"/>
      <c r="DK831" s="6"/>
      <c r="DL831" s="3"/>
      <c r="DM831" s="3"/>
      <c r="DN831" s="6"/>
      <c r="DO831" s="3"/>
      <c r="DP831" s="3"/>
      <c r="DQ831" s="6"/>
      <c r="DR831" s="3"/>
      <c r="DS831" s="3" t="str">
        <f>_xlfn.XLOOKUP(OfficeForms.Table[[#This Row],[Selecione a Categoria do Laboratório desta atividade prática:]],Planilha1!A:A,Planilha1!B:B)</f>
        <v>EMF-ISN</v>
      </c>
      <c r="DT831" s="6" t="str">
        <f>CONCATENATE(OfficeForms.Table[[#This Row],[Selecione seu Polo Laboratório de Atividades Presenciais:]],OfficeForms.Table[[#This Row],[CHAVE CONVERSÃO]])</f>
        <v>Itaboraí/RJEMF-ISN</v>
      </c>
      <c r="DU83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gástrica;Punção Venosa + Retirada de pontos;Sondagem vesical de alívio + Sondagem vesical de demora</v>
      </c>
      <c r="DV83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3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31" s="6" t="str">
        <f>_xlfn.XLOOKUP(OfficeForms.Table[[#This Row],[CHAVE LINK POLO]],'[1]Quadro Geral de Lotação'!$B:$B,'[1]Quadro Geral de Lotação'!$I:$I)</f>
        <v>Patricia da Silva Trasmontano</v>
      </c>
      <c r="DY831" s="6" t="str">
        <f>OfficeForms.Table[[#This Row],[Selecione a Ordem de Disciplina]]</f>
        <v>Ordem 3</v>
      </c>
    </row>
    <row r="832" spans="1:129" ht="34.15" customHeight="1">
      <c r="A832" s="6">
        <v>832</v>
      </c>
      <c r="B832" s="2">
        <v>46133.470972222203</v>
      </c>
      <c r="C832" s="2">
        <v>46133.479097222204</v>
      </c>
      <c r="D832" s="3" t="s">
        <v>2114</v>
      </c>
      <c r="E832" s="3" t="s">
        <v>2115</v>
      </c>
      <c r="F832" s="6"/>
      <c r="G832" s="3"/>
      <c r="I832" s="3" t="s">
        <v>2116</v>
      </c>
      <c r="J832" s="6"/>
      <c r="K832" s="3"/>
      <c r="L832" s="6" t="s">
        <v>1325</v>
      </c>
      <c r="M832" s="6"/>
      <c r="N832" s="6"/>
      <c r="O832" s="3" t="s">
        <v>184</v>
      </c>
      <c r="P832" s="6"/>
      <c r="Q832" s="3"/>
      <c r="R832" s="3"/>
      <c r="S832" s="6"/>
      <c r="T832" s="3"/>
      <c r="U832" s="7"/>
      <c r="V832" s="6"/>
      <c r="W832" s="3"/>
      <c r="X832" s="6"/>
      <c r="Y832" s="6"/>
      <c r="Z832" s="3"/>
      <c r="AA832" s="3"/>
      <c r="AB832" s="6"/>
      <c r="AC832" s="3"/>
      <c r="AD832" s="3"/>
      <c r="AE832" s="6"/>
      <c r="AF832" s="3"/>
      <c r="AG832" s="3" t="s">
        <v>2359</v>
      </c>
      <c r="AH832" s="6"/>
      <c r="AI832" s="3"/>
      <c r="AJ832" s="1">
        <v>46132</v>
      </c>
      <c r="AK832" s="6"/>
      <c r="AL832" s="3"/>
      <c r="AM832" s="6">
        <v>1</v>
      </c>
      <c r="AN832" s="6"/>
      <c r="AO832" s="3"/>
      <c r="AP832" s="3" t="s">
        <v>2360</v>
      </c>
      <c r="AQ832" s="6"/>
      <c r="AR832" s="3"/>
      <c r="AS832" s="3" t="s">
        <v>2361</v>
      </c>
      <c r="AT832" s="6"/>
      <c r="AU832" s="3"/>
      <c r="AV832" s="3"/>
      <c r="AW832" s="6"/>
      <c r="AX832" s="3"/>
      <c r="AY832" s="7"/>
      <c r="AZ832" s="6"/>
      <c r="BA832" s="3"/>
      <c r="BB832" s="6"/>
      <c r="BC832" s="6"/>
      <c r="BD832" s="3"/>
      <c r="BE832" s="3"/>
      <c r="BF832" s="6"/>
      <c r="BG832" s="3"/>
      <c r="BH832" s="3"/>
      <c r="BI832" s="6"/>
      <c r="BJ832" s="3"/>
      <c r="BK832" s="3"/>
      <c r="BL832" s="6"/>
      <c r="BM832" s="3"/>
      <c r="BN832" s="7"/>
      <c r="BO832" s="6"/>
      <c r="BP832" s="3"/>
      <c r="BQ832" s="6"/>
      <c r="BR832" s="6"/>
      <c r="BS832" s="3"/>
      <c r="BT832" s="3"/>
      <c r="BU832" s="6"/>
      <c r="BV832" s="3"/>
      <c r="BW832" s="3"/>
      <c r="BX832" s="6"/>
      <c r="BY832" s="3"/>
      <c r="BZ832" s="3"/>
      <c r="CA832" s="6"/>
      <c r="CB832" s="3"/>
      <c r="CC832" s="7"/>
      <c r="CD832" s="6"/>
      <c r="CE832" s="3"/>
      <c r="CF832" s="6"/>
      <c r="CG832" s="6"/>
      <c r="CH832" s="3"/>
      <c r="CI832" s="3"/>
      <c r="CJ832" s="6"/>
      <c r="CK832" s="3"/>
      <c r="CL832" s="3"/>
      <c r="CM832" s="6"/>
      <c r="CN832" s="3"/>
      <c r="CO832" s="3"/>
      <c r="CP832" s="6"/>
      <c r="CQ832" s="3"/>
      <c r="CR832" s="7"/>
      <c r="CS832" s="6"/>
      <c r="CT832" s="3"/>
      <c r="CU832" s="6"/>
      <c r="CV832" s="6"/>
      <c r="CW832" s="3"/>
      <c r="CX832" s="3"/>
      <c r="CY832" s="6"/>
      <c r="CZ832" s="3"/>
      <c r="DA832" s="3"/>
      <c r="DB832" s="6"/>
      <c r="DC832" s="3"/>
      <c r="DD832" s="3"/>
      <c r="DE832" s="6"/>
      <c r="DF832" s="3"/>
      <c r="DG832" s="7"/>
      <c r="DH832" s="6"/>
      <c r="DI832" s="3"/>
      <c r="DJ832" s="6"/>
      <c r="DK832" s="6"/>
      <c r="DL832" s="3"/>
      <c r="DM832" s="3"/>
      <c r="DN832" s="6"/>
      <c r="DO832" s="3"/>
      <c r="DP832" s="3"/>
      <c r="DQ832" s="6"/>
      <c r="DR832" s="3"/>
      <c r="DS832" s="3" t="str">
        <f>_xlfn.XLOOKUP(OfficeForms.Table[[#This Row],[Selecione a Categoria do Laboratório desta atividade prática:]],Planilha1!A:A,Planilha1!B:B)</f>
        <v>EMF-ISN</v>
      </c>
      <c r="DT832" s="6" t="str">
        <f>CONCATENATE(OfficeForms.Table[[#This Row],[Selecione seu Polo Laboratório de Atividades Presenciais:]],OfficeForms.Table[[#This Row],[CHAVE CONVERSÃO]])</f>
        <v>Pouso Alegre/MGEMF-ISN</v>
      </c>
      <c r="DU83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gástrica;Sondagem vesical de alívio + Sondagem vesical de demora</v>
      </c>
      <c r="DV83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46132</v>
      </c>
      <c r="DW83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32" s="6" t="str">
        <f>_xlfn.XLOOKUP(OfficeForms.Table[[#This Row],[CHAVE LINK POLO]],'[1]Quadro Geral de Lotação'!$B:$B,'[1]Quadro Geral de Lotação'!$I:$I)</f>
        <v>Leonardo Lucio Augusto Felipe</v>
      </c>
      <c r="DY832" s="6" t="str">
        <f>OfficeForms.Table[[#This Row],[Selecione a Ordem de Disciplina]]</f>
        <v>Ordem 3</v>
      </c>
    </row>
    <row r="833" spans="1:129" ht="34.15" customHeight="1">
      <c r="A833" s="6">
        <v>833</v>
      </c>
      <c r="B833" s="2">
        <v>46133.793009259301</v>
      </c>
      <c r="C833" s="2">
        <v>46133.794467592597</v>
      </c>
      <c r="D833" s="3" t="s">
        <v>593</v>
      </c>
      <c r="E833" s="3" t="s">
        <v>594</v>
      </c>
      <c r="F833" s="6"/>
      <c r="G833" s="3"/>
      <c r="I833" s="3" t="s">
        <v>595</v>
      </c>
      <c r="J833" s="6"/>
      <c r="K833" s="3"/>
      <c r="L833" s="6" t="s">
        <v>678</v>
      </c>
      <c r="M833" s="6"/>
      <c r="N833" s="6"/>
      <c r="O833" s="3" t="s">
        <v>184</v>
      </c>
      <c r="P833" s="6"/>
      <c r="Q833" s="3"/>
      <c r="R833" s="3"/>
      <c r="S833" s="6"/>
      <c r="T833" s="3"/>
      <c r="U833" s="7"/>
      <c r="V833" s="6"/>
      <c r="W833" s="3"/>
      <c r="X833" s="6"/>
      <c r="Y833" s="6"/>
      <c r="Z833" s="3"/>
      <c r="AA833" s="3"/>
      <c r="AB833" s="6"/>
      <c r="AC833" s="3"/>
      <c r="AD833" s="3"/>
      <c r="AE833" s="6"/>
      <c r="AF833" s="3"/>
      <c r="AG833" s="3" t="s">
        <v>211</v>
      </c>
      <c r="AH833" s="6"/>
      <c r="AI833" s="3"/>
      <c r="AJ833" s="1">
        <v>46105</v>
      </c>
      <c r="AK833" s="6"/>
      <c r="AL833" s="3"/>
      <c r="AM833" s="6">
        <v>7</v>
      </c>
      <c r="AN833" s="6"/>
      <c r="AO833" s="3"/>
      <c r="AP833" s="3" t="s">
        <v>2362</v>
      </c>
      <c r="AQ833" s="6"/>
      <c r="AR833" s="3"/>
      <c r="AS833" s="3" t="s">
        <v>2363</v>
      </c>
      <c r="AT833" s="6"/>
      <c r="AU833" s="3"/>
      <c r="AV833" s="3"/>
      <c r="AW833" s="6"/>
      <c r="AX833" s="3"/>
      <c r="AY833" s="7"/>
      <c r="AZ833" s="6"/>
      <c r="BA833" s="3"/>
      <c r="BB833" s="6"/>
      <c r="BC833" s="6"/>
      <c r="BD833" s="3"/>
      <c r="BE833" s="3"/>
      <c r="BF833" s="6"/>
      <c r="BG833" s="3"/>
      <c r="BH833" s="3"/>
      <c r="BI833" s="6"/>
      <c r="BJ833" s="3"/>
      <c r="BK833" s="3"/>
      <c r="BL833" s="6"/>
      <c r="BM833" s="3"/>
      <c r="BN833" s="7"/>
      <c r="BO833" s="6"/>
      <c r="BP833" s="3"/>
      <c r="BQ833" s="6"/>
      <c r="BR833" s="6"/>
      <c r="BS833" s="3"/>
      <c r="BT833" s="3"/>
      <c r="BU833" s="6"/>
      <c r="BV833" s="3"/>
      <c r="BW833" s="3"/>
      <c r="BX833" s="6"/>
      <c r="BY833" s="3"/>
      <c r="BZ833" s="3"/>
      <c r="CA833" s="6"/>
      <c r="CB833" s="3"/>
      <c r="CC833" s="7"/>
      <c r="CD833" s="6"/>
      <c r="CE833" s="3"/>
      <c r="CF833" s="6"/>
      <c r="CG833" s="6"/>
      <c r="CH833" s="3"/>
      <c r="CI833" s="3"/>
      <c r="CJ833" s="6"/>
      <c r="CK833" s="3"/>
      <c r="CL833" s="3"/>
      <c r="CM833" s="6"/>
      <c r="CN833" s="3"/>
      <c r="CO833" s="3"/>
      <c r="CP833" s="6"/>
      <c r="CQ833" s="3"/>
      <c r="CR833" s="7"/>
      <c r="CS833" s="6"/>
      <c r="CT833" s="3"/>
      <c r="CU833" s="6"/>
      <c r="CV833" s="6"/>
      <c r="CW833" s="3"/>
      <c r="CX833" s="3"/>
      <c r="CY833" s="6"/>
      <c r="CZ833" s="3"/>
      <c r="DA833" s="3"/>
      <c r="DB833" s="6"/>
      <c r="DC833" s="3"/>
      <c r="DD833" s="3"/>
      <c r="DE833" s="6"/>
      <c r="DF833" s="3"/>
      <c r="DG833" s="7"/>
      <c r="DH833" s="6"/>
      <c r="DI833" s="3"/>
      <c r="DJ833" s="6"/>
      <c r="DK833" s="6"/>
      <c r="DL833" s="3"/>
      <c r="DM833" s="3"/>
      <c r="DN833" s="6"/>
      <c r="DO833" s="3"/>
      <c r="DP833" s="3"/>
      <c r="DQ833" s="6"/>
      <c r="DR833" s="3"/>
      <c r="DS833" s="3" t="str">
        <f>_xlfn.XLOOKUP(OfficeForms.Table[[#This Row],[Selecione a Categoria do Laboratório desta atividade prática:]],Planilha1!A:A,Planilha1!B:B)</f>
        <v>EMF-ISN</v>
      </c>
      <c r="DT833" s="6" t="str">
        <f>CONCATENATE(OfficeForms.Table[[#This Row],[Selecione seu Polo Laboratório de Atividades Presenciais:]],OfficeForms.Table[[#This Row],[CHAVE CONVERSÃO]])</f>
        <v>Canoas/RS - CentroEMF-ISN</v>
      </c>
      <c r="DU83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83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46105</v>
      </c>
      <c r="DW83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7</v>
      </c>
      <c r="DX833" s="6" t="str">
        <f>_xlfn.XLOOKUP(OfficeForms.Table[[#This Row],[CHAVE LINK POLO]],'[1]Quadro Geral de Lotação'!$B:$B,'[1]Quadro Geral de Lotação'!$I:$I)</f>
        <v>Mariana Kallenbach Oliveira</v>
      </c>
      <c r="DY833" s="6" t="str">
        <f>OfficeForms.Table[[#This Row],[Selecione a Ordem de Disciplina]]</f>
        <v>Ordem 2</v>
      </c>
    </row>
    <row r="834" spans="1:129" ht="34.15" customHeight="1">
      <c r="A834" s="6">
        <v>834</v>
      </c>
      <c r="B834" s="2">
        <v>46133.794652777797</v>
      </c>
      <c r="C834" s="2">
        <v>46133.795937499999</v>
      </c>
      <c r="D834" s="3" t="s">
        <v>593</v>
      </c>
      <c r="E834" s="3" t="s">
        <v>594</v>
      </c>
      <c r="F834" s="6"/>
      <c r="G834" s="3"/>
      <c r="I834" s="3" t="s">
        <v>595</v>
      </c>
      <c r="J834" s="6"/>
      <c r="K834" s="3"/>
      <c r="L834" s="6" t="s">
        <v>678</v>
      </c>
      <c r="M834" s="6"/>
      <c r="N834" s="6"/>
      <c r="O834" s="3" t="s">
        <v>184</v>
      </c>
      <c r="P834" s="6"/>
      <c r="Q834" s="3"/>
      <c r="R834" s="3"/>
      <c r="S834" s="6"/>
      <c r="T834" s="3"/>
      <c r="U834" s="7"/>
      <c r="V834" s="6"/>
      <c r="W834" s="3"/>
      <c r="X834" s="6"/>
      <c r="Y834" s="6"/>
      <c r="Z834" s="3"/>
      <c r="AA834" s="3"/>
      <c r="AB834" s="6"/>
      <c r="AC834" s="3"/>
      <c r="AD834" s="3"/>
      <c r="AE834" s="6"/>
      <c r="AF834" s="3"/>
      <c r="AG834" s="3" t="s">
        <v>1016</v>
      </c>
      <c r="AH834" s="6"/>
      <c r="AI834" s="3"/>
      <c r="AJ834" s="1">
        <v>46100</v>
      </c>
      <c r="AK834" s="6"/>
      <c r="AL834" s="3"/>
      <c r="AM834" s="6">
        <v>9</v>
      </c>
      <c r="AN834" s="6"/>
      <c r="AO834" s="3"/>
      <c r="AP834" s="3" t="s">
        <v>2364</v>
      </c>
      <c r="AQ834" s="6"/>
      <c r="AR834" s="3"/>
      <c r="AS834" s="3" t="s">
        <v>2365</v>
      </c>
      <c r="AT834" s="6"/>
      <c r="AU834" s="3"/>
      <c r="AV834" s="3"/>
      <c r="AW834" s="6"/>
      <c r="AX834" s="3"/>
      <c r="AY834" s="7"/>
      <c r="AZ834" s="6"/>
      <c r="BA834" s="3"/>
      <c r="BB834" s="6"/>
      <c r="BC834" s="6"/>
      <c r="BD834" s="3"/>
      <c r="BE834" s="3"/>
      <c r="BF834" s="6"/>
      <c r="BG834" s="3"/>
      <c r="BH834" s="3"/>
      <c r="BI834" s="6"/>
      <c r="BJ834" s="3"/>
      <c r="BK834" s="3"/>
      <c r="BL834" s="6"/>
      <c r="BM834" s="3"/>
      <c r="BN834" s="7"/>
      <c r="BO834" s="6"/>
      <c r="BP834" s="3"/>
      <c r="BQ834" s="6"/>
      <c r="BR834" s="6"/>
      <c r="BS834" s="3"/>
      <c r="BT834" s="3"/>
      <c r="BU834" s="6"/>
      <c r="BV834" s="3"/>
      <c r="BW834" s="3"/>
      <c r="BX834" s="6"/>
      <c r="BY834" s="3"/>
      <c r="BZ834" s="3"/>
      <c r="CA834" s="6"/>
      <c r="CB834" s="3"/>
      <c r="CC834" s="7"/>
      <c r="CD834" s="6"/>
      <c r="CE834" s="3"/>
      <c r="CF834" s="6"/>
      <c r="CG834" s="6"/>
      <c r="CH834" s="3"/>
      <c r="CI834" s="3"/>
      <c r="CJ834" s="6"/>
      <c r="CK834" s="3"/>
      <c r="CL834" s="3"/>
      <c r="CM834" s="6"/>
      <c r="CN834" s="3"/>
      <c r="CO834" s="3"/>
      <c r="CP834" s="6"/>
      <c r="CQ834" s="3"/>
      <c r="CR834" s="7"/>
      <c r="CS834" s="6"/>
      <c r="CT834" s="3"/>
      <c r="CU834" s="6"/>
      <c r="CV834" s="6"/>
      <c r="CW834" s="3"/>
      <c r="CX834" s="3"/>
      <c r="CY834" s="6"/>
      <c r="CZ834" s="3"/>
      <c r="DA834" s="3"/>
      <c r="DB834" s="6"/>
      <c r="DC834" s="3"/>
      <c r="DD834" s="3"/>
      <c r="DE834" s="6"/>
      <c r="DF834" s="3"/>
      <c r="DG834" s="7"/>
      <c r="DH834" s="6"/>
      <c r="DI834" s="3"/>
      <c r="DJ834" s="6"/>
      <c r="DK834" s="6"/>
      <c r="DL834" s="3"/>
      <c r="DM834" s="3"/>
      <c r="DN834" s="6"/>
      <c r="DO834" s="3"/>
      <c r="DP834" s="3"/>
      <c r="DQ834" s="6"/>
      <c r="DR834" s="3"/>
      <c r="DS834" s="3" t="str">
        <f>_xlfn.XLOOKUP(OfficeForms.Table[[#This Row],[Selecione a Categoria do Laboratório desta atividade prática:]],Planilha1!A:A,Planilha1!B:B)</f>
        <v>EMF-ISN</v>
      </c>
      <c r="DT834" s="6" t="str">
        <f>CONCATENATE(OfficeForms.Table[[#This Row],[Selecione seu Polo Laboratório de Atividades Presenciais:]],OfficeForms.Table[[#This Row],[CHAVE CONVERSÃO]])</f>
        <v>Canoas/RS - CentroEMF-ISN</v>
      </c>
      <c r="DU83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83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46100</v>
      </c>
      <c r="DW83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834" s="6" t="str">
        <f>_xlfn.XLOOKUP(OfficeForms.Table[[#This Row],[CHAVE LINK POLO]],'[1]Quadro Geral de Lotação'!$B:$B,'[1]Quadro Geral de Lotação'!$I:$I)</f>
        <v>Mariana Kallenbach Oliveira</v>
      </c>
      <c r="DY834" s="6" t="str">
        <f>OfficeForms.Table[[#This Row],[Selecione a Ordem de Disciplina]]</f>
        <v>Ordem 2</v>
      </c>
    </row>
    <row r="835" spans="1:129" ht="34.15" customHeight="1">
      <c r="A835" s="6">
        <v>835</v>
      </c>
      <c r="B835" s="2">
        <v>46133.796435185199</v>
      </c>
      <c r="C835" s="2">
        <v>46133.797719907401</v>
      </c>
      <c r="D835" s="3" t="s">
        <v>593</v>
      </c>
      <c r="E835" s="3" t="s">
        <v>594</v>
      </c>
      <c r="F835" s="6"/>
      <c r="G835" s="3"/>
      <c r="I835" s="3" t="s">
        <v>595</v>
      </c>
      <c r="J835" s="6"/>
      <c r="K835" s="3"/>
      <c r="L835" s="6" t="s">
        <v>678</v>
      </c>
      <c r="M835" s="6"/>
      <c r="N835" s="6"/>
      <c r="O835" s="3" t="s">
        <v>184</v>
      </c>
      <c r="P835" s="6"/>
      <c r="Q835" s="3"/>
      <c r="R835" s="3"/>
      <c r="S835" s="6"/>
      <c r="T835" s="3"/>
      <c r="U835" s="7"/>
      <c r="V835" s="6"/>
      <c r="W835" s="3"/>
      <c r="X835" s="6"/>
      <c r="Y835" s="6"/>
      <c r="Z835" s="3"/>
      <c r="AA835" s="3"/>
      <c r="AB835" s="6"/>
      <c r="AC835" s="3"/>
      <c r="AD835" s="3"/>
      <c r="AE835" s="6"/>
      <c r="AF835" s="3"/>
      <c r="AG835" s="3" t="s">
        <v>1013</v>
      </c>
      <c r="AH835" s="6"/>
      <c r="AI835" s="3"/>
      <c r="AJ835" s="1">
        <v>46107</v>
      </c>
      <c r="AK835" s="6"/>
      <c r="AL835" s="3"/>
      <c r="AM835" s="6">
        <v>8</v>
      </c>
      <c r="AN835" s="6"/>
      <c r="AO835" s="3"/>
      <c r="AP835" s="3" t="s">
        <v>2366</v>
      </c>
      <c r="AQ835" s="6"/>
      <c r="AR835" s="3"/>
      <c r="AS835" s="3" t="s">
        <v>2367</v>
      </c>
      <c r="AT835" s="6"/>
      <c r="AU835" s="3"/>
      <c r="AV835" s="3"/>
      <c r="AW835" s="6"/>
      <c r="AX835" s="3"/>
      <c r="AY835" s="7"/>
      <c r="AZ835" s="6"/>
      <c r="BA835" s="3"/>
      <c r="BB835" s="6"/>
      <c r="BC835" s="6"/>
      <c r="BD835" s="3"/>
      <c r="BE835" s="3"/>
      <c r="BF835" s="6"/>
      <c r="BG835" s="3"/>
      <c r="BH835" s="3"/>
      <c r="BI835" s="6"/>
      <c r="BJ835" s="3"/>
      <c r="BK835" s="3"/>
      <c r="BL835" s="6"/>
      <c r="BM835" s="3"/>
      <c r="BN835" s="7"/>
      <c r="BO835" s="6"/>
      <c r="BP835" s="3"/>
      <c r="BQ835" s="6"/>
      <c r="BR835" s="6"/>
      <c r="BS835" s="3"/>
      <c r="BT835" s="3"/>
      <c r="BU835" s="6"/>
      <c r="BV835" s="3"/>
      <c r="BW835" s="3"/>
      <c r="BX835" s="6"/>
      <c r="BY835" s="3"/>
      <c r="BZ835" s="3"/>
      <c r="CA835" s="6"/>
      <c r="CB835" s="3"/>
      <c r="CC835" s="7"/>
      <c r="CD835" s="6"/>
      <c r="CE835" s="3"/>
      <c r="CF835" s="6"/>
      <c r="CG835" s="6"/>
      <c r="CH835" s="3"/>
      <c r="CI835" s="3"/>
      <c r="CJ835" s="6"/>
      <c r="CK835" s="3"/>
      <c r="CL835" s="3"/>
      <c r="CM835" s="6"/>
      <c r="CN835" s="3"/>
      <c r="CO835" s="3"/>
      <c r="CP835" s="6"/>
      <c r="CQ835" s="3"/>
      <c r="CR835" s="7"/>
      <c r="CS835" s="6"/>
      <c r="CT835" s="3"/>
      <c r="CU835" s="6"/>
      <c r="CV835" s="6"/>
      <c r="CW835" s="3"/>
      <c r="CX835" s="3"/>
      <c r="CY835" s="6"/>
      <c r="CZ835" s="3"/>
      <c r="DA835" s="3"/>
      <c r="DB835" s="6"/>
      <c r="DC835" s="3"/>
      <c r="DD835" s="3"/>
      <c r="DE835" s="6"/>
      <c r="DF835" s="3"/>
      <c r="DG835" s="7"/>
      <c r="DH835" s="6"/>
      <c r="DI835" s="3"/>
      <c r="DJ835" s="6"/>
      <c r="DK835" s="6"/>
      <c r="DL835" s="3"/>
      <c r="DM835" s="3"/>
      <c r="DN835" s="6"/>
      <c r="DO835" s="3"/>
      <c r="DP835" s="3"/>
      <c r="DQ835" s="6"/>
      <c r="DR835" s="3"/>
      <c r="DS835" s="3" t="str">
        <f>_xlfn.XLOOKUP(OfficeForms.Table[[#This Row],[Selecione a Categoria do Laboratório desta atividade prática:]],Planilha1!A:A,Planilha1!B:B)</f>
        <v>EMF-ISN</v>
      </c>
      <c r="DT835" s="6" t="str">
        <f>CONCATENATE(OfficeForms.Table[[#This Row],[Selecione seu Polo Laboratório de Atividades Presenciais:]],OfficeForms.Table[[#This Row],[CHAVE CONVERSÃO]])</f>
        <v>Canoas/RS - CentroEMF-ISN</v>
      </c>
      <c r="DU83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83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83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835" s="6" t="str">
        <f>_xlfn.XLOOKUP(OfficeForms.Table[[#This Row],[CHAVE LINK POLO]],'[1]Quadro Geral de Lotação'!$B:$B,'[1]Quadro Geral de Lotação'!$I:$I)</f>
        <v>Mariana Kallenbach Oliveira</v>
      </c>
      <c r="DY835" s="6" t="str">
        <f>OfficeForms.Table[[#This Row],[Selecione a Ordem de Disciplina]]</f>
        <v>Ordem 2</v>
      </c>
    </row>
    <row r="836" spans="1:129" ht="34.15" customHeight="1">
      <c r="A836" s="6">
        <v>836</v>
      </c>
      <c r="B836" s="2">
        <v>46133.809224536999</v>
      </c>
      <c r="C836" s="2">
        <v>46133.810763888898</v>
      </c>
      <c r="D836" s="3" t="s">
        <v>593</v>
      </c>
      <c r="E836" s="3" t="s">
        <v>594</v>
      </c>
      <c r="F836" s="6"/>
      <c r="G836" s="3"/>
      <c r="I836" s="3" t="s">
        <v>595</v>
      </c>
      <c r="J836" s="6"/>
      <c r="K836" s="3"/>
      <c r="L836" s="6" t="s">
        <v>678</v>
      </c>
      <c r="M836" s="6"/>
      <c r="N836" s="6"/>
      <c r="O836" s="3" t="s">
        <v>184</v>
      </c>
      <c r="P836" s="6"/>
      <c r="Q836" s="3"/>
      <c r="R836" s="3"/>
      <c r="S836" s="6"/>
      <c r="T836" s="3"/>
      <c r="U836" s="7"/>
      <c r="V836" s="6"/>
      <c r="W836" s="3"/>
      <c r="X836" s="6"/>
      <c r="Y836" s="6"/>
      <c r="Z836" s="3"/>
      <c r="AA836" s="3"/>
      <c r="AB836" s="6"/>
      <c r="AC836" s="3"/>
      <c r="AD836" s="3"/>
      <c r="AE836" s="6"/>
      <c r="AF836" s="3"/>
      <c r="AG836" s="3" t="s">
        <v>1013</v>
      </c>
      <c r="AH836" s="6"/>
      <c r="AI836" s="3"/>
      <c r="AJ836" s="1">
        <v>46107</v>
      </c>
      <c r="AK836" s="6"/>
      <c r="AL836" s="3"/>
      <c r="AM836" s="6">
        <v>8</v>
      </c>
      <c r="AN836" s="6"/>
      <c r="AO836" s="3"/>
      <c r="AP836" s="3" t="s">
        <v>2368</v>
      </c>
      <c r="AQ836" s="6"/>
      <c r="AR836" s="3"/>
      <c r="AS836" s="3" t="s">
        <v>2369</v>
      </c>
      <c r="AT836" s="6"/>
      <c r="AU836" s="3"/>
      <c r="AV836" s="3"/>
      <c r="AW836" s="6"/>
      <c r="AX836" s="3"/>
      <c r="AY836" s="7"/>
      <c r="AZ836" s="6"/>
      <c r="BA836" s="3"/>
      <c r="BB836" s="6"/>
      <c r="BC836" s="6"/>
      <c r="BD836" s="3"/>
      <c r="BE836" s="3"/>
      <c r="BF836" s="6"/>
      <c r="BG836" s="3"/>
      <c r="BH836" s="3"/>
      <c r="BI836" s="6"/>
      <c r="BJ836" s="3"/>
      <c r="BK836" s="3"/>
      <c r="BL836" s="6"/>
      <c r="BM836" s="3"/>
      <c r="BN836" s="7"/>
      <c r="BO836" s="6"/>
      <c r="BP836" s="3"/>
      <c r="BQ836" s="6"/>
      <c r="BR836" s="6"/>
      <c r="BS836" s="3"/>
      <c r="BT836" s="3"/>
      <c r="BU836" s="6"/>
      <c r="BV836" s="3"/>
      <c r="BW836" s="3"/>
      <c r="BX836" s="6"/>
      <c r="BY836" s="3"/>
      <c r="BZ836" s="3"/>
      <c r="CA836" s="6"/>
      <c r="CB836" s="3"/>
      <c r="CC836" s="7"/>
      <c r="CD836" s="6"/>
      <c r="CE836" s="3"/>
      <c r="CF836" s="6"/>
      <c r="CG836" s="6"/>
      <c r="CH836" s="3"/>
      <c r="CI836" s="3"/>
      <c r="CJ836" s="6"/>
      <c r="CK836" s="3"/>
      <c r="CL836" s="3"/>
      <c r="CM836" s="6"/>
      <c r="CN836" s="3"/>
      <c r="CO836" s="3"/>
      <c r="CP836" s="6"/>
      <c r="CQ836" s="3"/>
      <c r="CR836" s="7"/>
      <c r="CS836" s="6"/>
      <c r="CT836" s="3"/>
      <c r="CU836" s="6"/>
      <c r="CV836" s="6"/>
      <c r="CW836" s="3"/>
      <c r="CX836" s="3"/>
      <c r="CY836" s="6"/>
      <c r="CZ836" s="3"/>
      <c r="DA836" s="3"/>
      <c r="DB836" s="6"/>
      <c r="DC836" s="3"/>
      <c r="DD836" s="3"/>
      <c r="DE836" s="6"/>
      <c r="DF836" s="3"/>
      <c r="DG836" s="7"/>
      <c r="DH836" s="6"/>
      <c r="DI836" s="3"/>
      <c r="DJ836" s="6"/>
      <c r="DK836" s="6"/>
      <c r="DL836" s="3"/>
      <c r="DM836" s="3"/>
      <c r="DN836" s="6"/>
      <c r="DO836" s="3"/>
      <c r="DP836" s="3"/>
      <c r="DQ836" s="6"/>
      <c r="DR836" s="3"/>
      <c r="DS836" s="3" t="str">
        <f>_xlfn.XLOOKUP(OfficeForms.Table[[#This Row],[Selecione a Categoria do Laboratório desta atividade prática:]],Planilha1!A:A,Planilha1!B:B)</f>
        <v>EMF-ISN</v>
      </c>
      <c r="DT836" s="6" t="str">
        <f>CONCATENATE(OfficeForms.Table[[#This Row],[Selecione seu Polo Laboratório de Atividades Presenciais:]],OfficeForms.Table[[#This Row],[CHAVE CONVERSÃO]])</f>
        <v>Canoas/RS - CentroEMF-ISN</v>
      </c>
      <c r="DU83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83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83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836" s="6" t="str">
        <f>_xlfn.XLOOKUP(OfficeForms.Table[[#This Row],[CHAVE LINK POLO]],'[1]Quadro Geral de Lotação'!$B:$B,'[1]Quadro Geral de Lotação'!$I:$I)</f>
        <v>Mariana Kallenbach Oliveira</v>
      </c>
      <c r="DY836" s="6" t="str">
        <f>OfficeForms.Table[[#This Row],[Selecione a Ordem de Disciplina]]</f>
        <v>Ordem 2</v>
      </c>
    </row>
    <row r="837" spans="1:129" ht="34.15" customHeight="1">
      <c r="A837" s="6">
        <v>837</v>
      </c>
      <c r="B837" s="2">
        <v>46133.838495370401</v>
      </c>
      <c r="C837" s="2">
        <v>46133.851747685199</v>
      </c>
      <c r="D837" s="3" t="s">
        <v>373</v>
      </c>
      <c r="E837" s="3" t="s">
        <v>374</v>
      </c>
      <c r="F837" s="6"/>
      <c r="G837" s="3"/>
      <c r="I837" s="3" t="s">
        <v>375</v>
      </c>
      <c r="J837" s="6"/>
      <c r="K837" s="3"/>
      <c r="L837" s="6" t="s">
        <v>678</v>
      </c>
      <c r="M837" s="6"/>
      <c r="N837" s="6"/>
      <c r="O837" s="3" t="s">
        <v>184</v>
      </c>
      <c r="P837" s="6"/>
      <c r="Q837" s="3"/>
      <c r="R837" s="3"/>
      <c r="S837" s="6"/>
      <c r="T837" s="3"/>
      <c r="U837" s="7"/>
      <c r="V837" s="6"/>
      <c r="W837" s="3"/>
      <c r="X837" s="6"/>
      <c r="Y837" s="6"/>
      <c r="Z837" s="3"/>
      <c r="AA837" s="3"/>
      <c r="AB837" s="6"/>
      <c r="AC837" s="3"/>
      <c r="AD837" s="3"/>
      <c r="AE837" s="6"/>
      <c r="AF837" s="3"/>
      <c r="AG837" s="3" t="s">
        <v>1013</v>
      </c>
      <c r="AH837" s="6"/>
      <c r="AI837" s="3"/>
      <c r="AJ837" s="1">
        <v>46112</v>
      </c>
      <c r="AK837" s="6"/>
      <c r="AL837" s="3"/>
      <c r="AM837" s="6">
        <v>16</v>
      </c>
      <c r="AN837" s="6"/>
      <c r="AO837" s="3"/>
      <c r="AP837" s="3" t="s">
        <v>2370</v>
      </c>
      <c r="AQ837" s="6"/>
      <c r="AR837" s="3"/>
      <c r="AS837" s="3" t="s">
        <v>2371</v>
      </c>
      <c r="AT837" s="6"/>
      <c r="AU837" s="3"/>
      <c r="AV837" s="3"/>
      <c r="AW837" s="6"/>
      <c r="AX837" s="3"/>
      <c r="AY837" s="7"/>
      <c r="AZ837" s="6"/>
      <c r="BA837" s="3"/>
      <c r="BB837" s="6"/>
      <c r="BC837" s="6"/>
      <c r="BD837" s="3"/>
      <c r="BE837" s="3"/>
      <c r="BF837" s="6"/>
      <c r="BG837" s="3"/>
      <c r="BH837" s="3"/>
      <c r="BI837" s="6"/>
      <c r="BJ837" s="3"/>
      <c r="BK837" s="3"/>
      <c r="BL837" s="6"/>
      <c r="BM837" s="3"/>
      <c r="BN837" s="7"/>
      <c r="BO837" s="6"/>
      <c r="BP837" s="3"/>
      <c r="BQ837" s="6"/>
      <c r="BR837" s="6"/>
      <c r="BS837" s="3"/>
      <c r="BT837" s="3"/>
      <c r="BU837" s="6"/>
      <c r="BV837" s="3"/>
      <c r="BW837" s="3"/>
      <c r="BX837" s="6"/>
      <c r="BY837" s="3"/>
      <c r="BZ837" s="3"/>
      <c r="CA837" s="6"/>
      <c r="CB837" s="3"/>
      <c r="CC837" s="7"/>
      <c r="CD837" s="6"/>
      <c r="CE837" s="3"/>
      <c r="CF837" s="6"/>
      <c r="CG837" s="6"/>
      <c r="CH837" s="3"/>
      <c r="CI837" s="3"/>
      <c r="CJ837" s="6"/>
      <c r="CK837" s="3"/>
      <c r="CL837" s="3"/>
      <c r="CM837" s="6"/>
      <c r="CN837" s="3"/>
      <c r="CO837" s="3"/>
      <c r="CP837" s="6"/>
      <c r="CQ837" s="3"/>
      <c r="CR837" s="7"/>
      <c r="CS837" s="6"/>
      <c r="CT837" s="3"/>
      <c r="CU837" s="6"/>
      <c r="CV837" s="6"/>
      <c r="CW837" s="3"/>
      <c r="CX837" s="3"/>
      <c r="CY837" s="6"/>
      <c r="CZ837" s="3"/>
      <c r="DA837" s="3"/>
      <c r="DB837" s="6"/>
      <c r="DC837" s="3"/>
      <c r="DD837" s="3"/>
      <c r="DE837" s="6"/>
      <c r="DF837" s="3"/>
      <c r="DG837" s="7"/>
      <c r="DH837" s="6"/>
      <c r="DI837" s="3"/>
      <c r="DJ837" s="6"/>
      <c r="DK837" s="6"/>
      <c r="DL837" s="3"/>
      <c r="DM837" s="3"/>
      <c r="DN837" s="6"/>
      <c r="DO837" s="3"/>
      <c r="DP837" s="3"/>
      <c r="DQ837" s="6"/>
      <c r="DR837" s="3"/>
      <c r="DS837" s="3" t="str">
        <f>_xlfn.XLOOKUP(OfficeForms.Table[[#This Row],[Selecione a Categoria do Laboratório desta atividade prática:]],Planilha1!A:A,Planilha1!B:B)</f>
        <v>EMF-ISN</v>
      </c>
      <c r="DT837" s="6" t="str">
        <f>CONCATENATE(OfficeForms.Table[[#This Row],[Selecione seu Polo Laboratório de Atividades Presenciais:]],OfficeForms.Table[[#This Row],[CHAVE CONVERSÃO]])</f>
        <v>Brasília/DF - TaguatingaEMF-ISN</v>
      </c>
      <c r="DU83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83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46112</v>
      </c>
      <c r="DW83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16</v>
      </c>
      <c r="DX837" s="6" t="str">
        <f>_xlfn.XLOOKUP(OfficeForms.Table[[#This Row],[CHAVE LINK POLO]],'[1]Quadro Geral de Lotação'!$B:$B,'[1]Quadro Geral de Lotação'!$I:$I)</f>
        <v>Tatiane Da Silva Rodrigues</v>
      </c>
      <c r="DY837" s="6" t="str">
        <f>OfficeForms.Table[[#This Row],[Selecione a Ordem de Disciplina]]</f>
        <v>Ordem 2</v>
      </c>
    </row>
    <row r="838" spans="1:129" ht="34.15" customHeight="1">
      <c r="A838" s="6">
        <v>838</v>
      </c>
      <c r="B838" s="2">
        <v>46133.8807407407</v>
      </c>
      <c r="C838" s="2">
        <v>46133.881053240701</v>
      </c>
      <c r="D838" s="3" t="s">
        <v>373</v>
      </c>
      <c r="E838" s="3" t="s">
        <v>374</v>
      </c>
      <c r="F838" s="6"/>
      <c r="G838" s="3"/>
      <c r="I838" s="3" t="s">
        <v>375</v>
      </c>
      <c r="J838" s="6"/>
      <c r="K838" s="3"/>
      <c r="L838" s="6" t="s">
        <v>1325</v>
      </c>
      <c r="M838" s="6"/>
      <c r="N838" s="6"/>
      <c r="O838" s="3" t="s">
        <v>184</v>
      </c>
      <c r="P838" s="6"/>
      <c r="Q838" s="3"/>
      <c r="R838" s="3"/>
      <c r="S838" s="6"/>
      <c r="T838" s="3"/>
      <c r="U838" s="7"/>
      <c r="V838" s="6"/>
      <c r="W838" s="3"/>
      <c r="X838" s="6"/>
      <c r="Y838" s="6"/>
      <c r="Z838" s="3"/>
      <c r="AA838" s="3"/>
      <c r="AB838" s="6"/>
      <c r="AC838" s="3"/>
      <c r="AD838" s="3"/>
      <c r="AE838" s="6"/>
      <c r="AF838" s="3"/>
      <c r="AG838" s="3" t="s">
        <v>816</v>
      </c>
      <c r="AH838" s="6"/>
      <c r="AI838" s="3"/>
      <c r="AJ838" s="1">
        <v>46126</v>
      </c>
      <c r="AK838" s="6"/>
      <c r="AL838" s="3"/>
      <c r="AM838" s="6">
        <v>1</v>
      </c>
      <c r="AN838" s="6"/>
      <c r="AO838" s="3"/>
      <c r="AP838" s="3" t="s">
        <v>2372</v>
      </c>
      <c r="AQ838" s="6"/>
      <c r="AR838" s="3"/>
      <c r="AS838" s="3" t="s">
        <v>2373</v>
      </c>
      <c r="AT838" s="6"/>
      <c r="AU838" s="3"/>
      <c r="AV838" s="3"/>
      <c r="AW838" s="6"/>
      <c r="AX838" s="3"/>
      <c r="AY838" s="7"/>
      <c r="AZ838" s="6"/>
      <c r="BA838" s="3"/>
      <c r="BB838" s="6"/>
      <c r="BC838" s="6"/>
      <c r="BD838" s="3"/>
      <c r="BE838" s="3"/>
      <c r="BF838" s="6"/>
      <c r="BG838" s="3"/>
      <c r="BH838" s="3"/>
      <c r="BI838" s="6"/>
      <c r="BJ838" s="3"/>
      <c r="BK838" s="3"/>
      <c r="BL838" s="6"/>
      <c r="BM838" s="3"/>
      <c r="BN838" s="7"/>
      <c r="BO838" s="6"/>
      <c r="BP838" s="3"/>
      <c r="BQ838" s="6"/>
      <c r="BR838" s="6"/>
      <c r="BS838" s="3"/>
      <c r="BT838" s="3"/>
      <c r="BU838" s="6"/>
      <c r="BV838" s="3"/>
      <c r="BW838" s="3"/>
      <c r="BX838" s="6"/>
      <c r="BY838" s="3"/>
      <c r="BZ838" s="3"/>
      <c r="CA838" s="6"/>
      <c r="CB838" s="3"/>
      <c r="CC838" s="7"/>
      <c r="CD838" s="6"/>
      <c r="CE838" s="3"/>
      <c r="CF838" s="6"/>
      <c r="CG838" s="6"/>
      <c r="CH838" s="3"/>
      <c r="CI838" s="3"/>
      <c r="CJ838" s="6"/>
      <c r="CK838" s="3"/>
      <c r="CL838" s="3"/>
      <c r="CM838" s="6"/>
      <c r="CN838" s="3"/>
      <c r="CO838" s="3"/>
      <c r="CP838" s="6"/>
      <c r="CQ838" s="3"/>
      <c r="CR838" s="7"/>
      <c r="CS838" s="6"/>
      <c r="CT838" s="3"/>
      <c r="CU838" s="6"/>
      <c r="CV838" s="6"/>
      <c r="CW838" s="3"/>
      <c r="CX838" s="3"/>
      <c r="CY838" s="6"/>
      <c r="CZ838" s="3"/>
      <c r="DA838" s="3"/>
      <c r="DB838" s="6"/>
      <c r="DC838" s="3"/>
      <c r="DD838" s="3"/>
      <c r="DE838" s="6"/>
      <c r="DF838" s="3"/>
      <c r="DG838" s="7"/>
      <c r="DH838" s="6"/>
      <c r="DI838" s="3"/>
      <c r="DJ838" s="6"/>
      <c r="DK838" s="6"/>
      <c r="DL838" s="3"/>
      <c r="DM838" s="3"/>
      <c r="DN838" s="6"/>
      <c r="DO838" s="3"/>
      <c r="DP838" s="3"/>
      <c r="DQ838" s="6"/>
      <c r="DR838" s="3"/>
      <c r="DS838" s="3" t="str">
        <f>_xlfn.XLOOKUP(OfficeForms.Table[[#This Row],[Selecione a Categoria do Laboratório desta atividade prática:]],Planilha1!A:A,Planilha1!B:B)</f>
        <v>EMF-ISN</v>
      </c>
      <c r="DT838" s="6" t="str">
        <f>CONCATENATE(OfficeForms.Table[[#This Row],[Selecione seu Polo Laboratório de Atividades Presenciais:]],OfficeForms.Table[[#This Row],[CHAVE CONVERSÃO]])</f>
        <v>Brasília/DF - TaguatingaEMF-ISN</v>
      </c>
      <c r="DU83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83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83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38" s="6" t="str">
        <f>_xlfn.XLOOKUP(OfficeForms.Table[[#This Row],[CHAVE LINK POLO]],'[1]Quadro Geral de Lotação'!$B:$B,'[1]Quadro Geral de Lotação'!$I:$I)</f>
        <v>Tatiane Da Silva Rodrigues</v>
      </c>
      <c r="DY838" s="6" t="str">
        <f>OfficeForms.Table[[#This Row],[Selecione a Ordem de Disciplina]]</f>
        <v>Ordem 3</v>
      </c>
    </row>
    <row r="839" spans="1:129" ht="34.15" customHeight="1">
      <c r="A839" s="6">
        <v>839</v>
      </c>
      <c r="B839" s="2">
        <v>46133.902916666702</v>
      </c>
      <c r="C839" s="2">
        <v>46133.906828703701</v>
      </c>
      <c r="D839" s="3" t="s">
        <v>373</v>
      </c>
      <c r="E839" s="3" t="s">
        <v>374</v>
      </c>
      <c r="F839" s="6"/>
      <c r="G839" s="3"/>
      <c r="I839" s="3" t="s">
        <v>375</v>
      </c>
      <c r="J839" s="6"/>
      <c r="K839" s="3"/>
      <c r="L839" s="6" t="s">
        <v>1325</v>
      </c>
      <c r="M839" s="6"/>
      <c r="N839" s="6"/>
      <c r="O839" s="3" t="s">
        <v>184</v>
      </c>
      <c r="P839" s="6"/>
      <c r="Q839" s="3"/>
      <c r="R839" s="3"/>
      <c r="S839" s="6"/>
      <c r="T839" s="3"/>
      <c r="U839" s="7"/>
      <c r="V839" s="6"/>
      <c r="W839" s="3"/>
      <c r="X839" s="6"/>
      <c r="Y839" s="6"/>
      <c r="Z839" s="3"/>
      <c r="AA839" s="3"/>
      <c r="AB839" s="6"/>
      <c r="AC839" s="3"/>
      <c r="AD839" s="3"/>
      <c r="AE839" s="6"/>
      <c r="AF839" s="3"/>
      <c r="AG839" s="3" t="s">
        <v>2254</v>
      </c>
      <c r="AH839" s="6"/>
      <c r="AI839" s="3"/>
      <c r="AJ839" s="1">
        <v>46127</v>
      </c>
      <c r="AK839" s="6"/>
      <c r="AL839" s="3"/>
      <c r="AM839" s="6">
        <v>9</v>
      </c>
      <c r="AN839" s="6"/>
      <c r="AO839" s="3"/>
      <c r="AP839" s="3" t="s">
        <v>2374</v>
      </c>
      <c r="AQ839" s="6"/>
      <c r="AR839" s="3"/>
      <c r="AS839" s="3" t="s">
        <v>2375</v>
      </c>
      <c r="AT839" s="6"/>
      <c r="AU839" s="3"/>
      <c r="AV839" s="3"/>
      <c r="AW839" s="6"/>
      <c r="AX839" s="3"/>
      <c r="AY839" s="7"/>
      <c r="AZ839" s="6"/>
      <c r="BA839" s="3"/>
      <c r="BB839" s="6"/>
      <c r="BC839" s="6"/>
      <c r="BD839" s="3"/>
      <c r="BE839" s="3"/>
      <c r="BF839" s="6"/>
      <c r="BG839" s="3"/>
      <c r="BH839" s="3"/>
      <c r="BI839" s="6"/>
      <c r="BJ839" s="3"/>
      <c r="BK839" s="3"/>
      <c r="BL839" s="6"/>
      <c r="BM839" s="3"/>
      <c r="BN839" s="7"/>
      <c r="BO839" s="6"/>
      <c r="BP839" s="3"/>
      <c r="BQ839" s="6"/>
      <c r="BR839" s="6"/>
      <c r="BS839" s="3"/>
      <c r="BT839" s="3"/>
      <c r="BU839" s="6"/>
      <c r="BV839" s="3"/>
      <c r="BW839" s="3"/>
      <c r="BX839" s="6"/>
      <c r="BY839" s="3"/>
      <c r="BZ839" s="3"/>
      <c r="CA839" s="6"/>
      <c r="CB839" s="3"/>
      <c r="CC839" s="7"/>
      <c r="CD839" s="6"/>
      <c r="CE839" s="3"/>
      <c r="CF839" s="6"/>
      <c r="CG839" s="6"/>
      <c r="CH839" s="3"/>
      <c r="CI839" s="3"/>
      <c r="CJ839" s="6"/>
      <c r="CK839" s="3"/>
      <c r="CL839" s="3"/>
      <c r="CM839" s="6"/>
      <c r="CN839" s="3"/>
      <c r="CO839" s="3"/>
      <c r="CP839" s="6"/>
      <c r="CQ839" s="3"/>
      <c r="CR839" s="7"/>
      <c r="CS839" s="6"/>
      <c r="CT839" s="3"/>
      <c r="CU839" s="6"/>
      <c r="CV839" s="6"/>
      <c r="CW839" s="3"/>
      <c r="CX839" s="3"/>
      <c r="CY839" s="6"/>
      <c r="CZ839" s="3"/>
      <c r="DA839" s="3"/>
      <c r="DB839" s="6"/>
      <c r="DC839" s="3"/>
      <c r="DD839" s="3"/>
      <c r="DE839" s="6"/>
      <c r="DF839" s="3"/>
      <c r="DG839" s="7"/>
      <c r="DH839" s="6"/>
      <c r="DI839" s="3"/>
      <c r="DJ839" s="6"/>
      <c r="DK839" s="6"/>
      <c r="DL839" s="3"/>
      <c r="DM839" s="3"/>
      <c r="DN839" s="6"/>
      <c r="DO839" s="3"/>
      <c r="DP839" s="3"/>
      <c r="DQ839" s="6"/>
      <c r="DR839" s="3"/>
      <c r="DS839" s="3" t="str">
        <f>_xlfn.XLOOKUP(OfficeForms.Table[[#This Row],[Selecione a Categoria do Laboratório desta atividade prática:]],Planilha1!A:A,Planilha1!B:B)</f>
        <v>EMF-ISN</v>
      </c>
      <c r="DT839" s="6" t="str">
        <f>CONCATENATE(OfficeForms.Table[[#This Row],[Selecione seu Polo Laboratório de Atividades Presenciais:]],OfficeForms.Table[[#This Row],[CHAVE CONVERSÃO]])</f>
        <v>Brasília/DF - TaguatingaEMF-ISN</v>
      </c>
      <c r="DU83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reprodutiva + Realização do exame de Papanicolau</v>
      </c>
      <c r="DV83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3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839" s="6" t="str">
        <f>_xlfn.XLOOKUP(OfficeForms.Table[[#This Row],[CHAVE LINK POLO]],'[1]Quadro Geral de Lotação'!$B:$B,'[1]Quadro Geral de Lotação'!$I:$I)</f>
        <v>Tatiane Da Silva Rodrigues</v>
      </c>
      <c r="DY839" s="6" t="str">
        <f>OfficeForms.Table[[#This Row],[Selecione a Ordem de Disciplina]]</f>
        <v>Ordem 3</v>
      </c>
    </row>
    <row r="840" spans="1:129" ht="34.15" customHeight="1">
      <c r="A840" s="6">
        <v>840</v>
      </c>
      <c r="B840" s="2">
        <v>46133.931030092601</v>
      </c>
      <c r="C840" s="2">
        <v>46133.966840277797</v>
      </c>
      <c r="D840" s="3" t="s">
        <v>1040</v>
      </c>
      <c r="E840" s="3" t="s">
        <v>1041</v>
      </c>
      <c r="F840" s="6"/>
      <c r="G840" s="3"/>
      <c r="I840" s="3" t="s">
        <v>1042</v>
      </c>
      <c r="J840" s="6"/>
      <c r="K840" s="3"/>
      <c r="L840" s="6" t="s">
        <v>678</v>
      </c>
      <c r="M840" s="6"/>
      <c r="N840" s="6"/>
      <c r="O840" s="3" t="s">
        <v>184</v>
      </c>
      <c r="P840" s="6"/>
      <c r="Q840" s="3"/>
      <c r="R840" s="3"/>
      <c r="S840" s="6"/>
      <c r="T840" s="3"/>
      <c r="U840" s="7"/>
      <c r="V840" s="6"/>
      <c r="W840" s="3"/>
      <c r="X840" s="6"/>
      <c r="Y840" s="6"/>
      <c r="Z840" s="3"/>
      <c r="AA840" s="3"/>
      <c r="AB840" s="6"/>
      <c r="AC840" s="3"/>
      <c r="AD840" s="3"/>
      <c r="AE840" s="6"/>
      <c r="AF840" s="3"/>
      <c r="AG840" s="3" t="s">
        <v>1105</v>
      </c>
      <c r="AH840" s="6"/>
      <c r="AI840" s="3"/>
      <c r="AJ840" s="1">
        <v>46099</v>
      </c>
      <c r="AK840" s="6"/>
      <c r="AL840" s="3"/>
      <c r="AM840" s="6">
        <v>14</v>
      </c>
      <c r="AN840" s="6"/>
      <c r="AO840" s="3"/>
      <c r="AP840" s="3" t="s">
        <v>2376</v>
      </c>
      <c r="AQ840" s="6"/>
      <c r="AR840" s="3"/>
      <c r="AS840" s="3" t="s">
        <v>2377</v>
      </c>
      <c r="AT840" s="6"/>
      <c r="AU840" s="3"/>
      <c r="AV840" s="3"/>
      <c r="AW840" s="6"/>
      <c r="AX840" s="3"/>
      <c r="AY840" s="7"/>
      <c r="AZ840" s="6"/>
      <c r="BA840" s="3"/>
      <c r="BB840" s="6"/>
      <c r="BC840" s="6"/>
      <c r="BD840" s="3"/>
      <c r="BE840" s="3"/>
      <c r="BF840" s="6"/>
      <c r="BG840" s="3"/>
      <c r="BH840" s="3"/>
      <c r="BI840" s="6"/>
      <c r="BJ840" s="3"/>
      <c r="BK840" s="3"/>
      <c r="BL840" s="6"/>
      <c r="BM840" s="3"/>
      <c r="BN840" s="7"/>
      <c r="BO840" s="6"/>
      <c r="BP840" s="3"/>
      <c r="BQ840" s="6"/>
      <c r="BR840" s="6"/>
      <c r="BS840" s="3"/>
      <c r="BT840" s="3"/>
      <c r="BU840" s="6"/>
      <c r="BV840" s="3"/>
      <c r="BW840" s="3"/>
      <c r="BX840" s="6"/>
      <c r="BY840" s="3"/>
      <c r="BZ840" s="3"/>
      <c r="CA840" s="6"/>
      <c r="CB840" s="3"/>
      <c r="CC840" s="7"/>
      <c r="CD840" s="6"/>
      <c r="CE840" s="3"/>
      <c r="CF840" s="6"/>
      <c r="CG840" s="6"/>
      <c r="CH840" s="3"/>
      <c r="CI840" s="3"/>
      <c r="CJ840" s="6"/>
      <c r="CK840" s="3"/>
      <c r="CL840" s="3"/>
      <c r="CM840" s="6"/>
      <c r="CN840" s="3"/>
      <c r="CO840" s="3"/>
      <c r="CP840" s="6"/>
      <c r="CQ840" s="3"/>
      <c r="CR840" s="7"/>
      <c r="CS840" s="6"/>
      <c r="CT840" s="3"/>
      <c r="CU840" s="6"/>
      <c r="CV840" s="6"/>
      <c r="CW840" s="3"/>
      <c r="CX840" s="3"/>
      <c r="CY840" s="6"/>
      <c r="CZ840" s="3"/>
      <c r="DA840" s="3"/>
      <c r="DB840" s="6"/>
      <c r="DC840" s="3"/>
      <c r="DD840" s="3"/>
      <c r="DE840" s="6"/>
      <c r="DF840" s="3"/>
      <c r="DG840" s="7"/>
      <c r="DH840" s="6"/>
      <c r="DI840" s="3"/>
      <c r="DJ840" s="6"/>
      <c r="DK840" s="6"/>
      <c r="DL840" s="3"/>
      <c r="DM840" s="3"/>
      <c r="DN840" s="6"/>
      <c r="DO840" s="3"/>
      <c r="DP840" s="3"/>
      <c r="DQ840" s="6"/>
      <c r="DR840" s="3"/>
      <c r="DS840" s="3" t="str">
        <f>_xlfn.XLOOKUP(OfficeForms.Table[[#This Row],[Selecione a Categoria do Laboratório desta atividade prática:]],Planilha1!A:A,Planilha1!B:B)</f>
        <v>EMF-ISN</v>
      </c>
      <c r="DT840" s="6" t="str">
        <f>CONCATENATE(OfficeForms.Table[[#This Row],[Selecione seu Polo Laboratório de Atividades Presenciais:]],OfficeForms.Table[[#This Row],[CHAVE CONVERSÃO]])</f>
        <v>Pontes e Lacerda/MTEMF-ISN</v>
      </c>
      <c r="DU84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84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84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14</v>
      </c>
      <c r="DX840" s="6" t="str">
        <f>_xlfn.XLOOKUP(OfficeForms.Table[[#This Row],[CHAVE LINK POLO]],'[1]Quadro Geral de Lotação'!$B:$B,'[1]Quadro Geral de Lotação'!$I:$I)</f>
        <v>Leticia De Andrade Ciritelli</v>
      </c>
      <c r="DY840" s="6" t="str">
        <f>OfficeForms.Table[[#This Row],[Selecione a Ordem de Disciplina]]</f>
        <v>Ordem 2</v>
      </c>
    </row>
    <row r="841" spans="1:129" ht="34.15" customHeight="1">
      <c r="A841" s="6">
        <v>841</v>
      </c>
      <c r="B841" s="2">
        <v>46133.966921296298</v>
      </c>
      <c r="C841" s="2">
        <v>46133.968043981498</v>
      </c>
      <c r="D841" s="3" t="s">
        <v>1040</v>
      </c>
      <c r="E841" s="3" t="s">
        <v>1041</v>
      </c>
      <c r="F841" s="6"/>
      <c r="G841" s="3"/>
      <c r="I841" s="3" t="s">
        <v>1042</v>
      </c>
      <c r="J841" s="6"/>
      <c r="K841" s="3"/>
      <c r="L841" s="6" t="s">
        <v>678</v>
      </c>
      <c r="M841" s="6"/>
      <c r="N841" s="6"/>
      <c r="O841" s="3" t="s">
        <v>184</v>
      </c>
      <c r="P841" s="6"/>
      <c r="Q841" s="3"/>
      <c r="R841" s="3"/>
      <c r="S841" s="6"/>
      <c r="T841" s="3"/>
      <c r="U841" s="7"/>
      <c r="V841" s="6"/>
      <c r="W841" s="3"/>
      <c r="X841" s="6"/>
      <c r="Y841" s="6"/>
      <c r="Z841" s="3"/>
      <c r="AA841" s="3"/>
      <c r="AB841" s="6"/>
      <c r="AC841" s="3"/>
      <c r="AD841" s="3"/>
      <c r="AE841" s="6"/>
      <c r="AF841" s="3"/>
      <c r="AG841" s="3" t="s">
        <v>1278</v>
      </c>
      <c r="AH841" s="6"/>
      <c r="AI841" s="3"/>
      <c r="AJ841" s="1">
        <v>46099</v>
      </c>
      <c r="AK841" s="6"/>
      <c r="AL841" s="3"/>
      <c r="AM841" s="6">
        <v>14</v>
      </c>
      <c r="AN841" s="6"/>
      <c r="AO841" s="3"/>
      <c r="AP841" s="3" t="s">
        <v>2378</v>
      </c>
      <c r="AQ841" s="6"/>
      <c r="AR841" s="3"/>
      <c r="AS841" s="3" t="s">
        <v>2379</v>
      </c>
      <c r="AT841" s="6"/>
      <c r="AU841" s="3"/>
      <c r="AV841" s="3"/>
      <c r="AW841" s="6"/>
      <c r="AX841" s="3"/>
      <c r="AY841" s="7"/>
      <c r="AZ841" s="6"/>
      <c r="BA841" s="3"/>
      <c r="BB841" s="6"/>
      <c r="BC841" s="6"/>
      <c r="BD841" s="3"/>
      <c r="BE841" s="3"/>
      <c r="BF841" s="6"/>
      <c r="BG841" s="3"/>
      <c r="BH841" s="3"/>
      <c r="BI841" s="6"/>
      <c r="BJ841" s="3"/>
      <c r="BK841" s="3"/>
      <c r="BL841" s="6"/>
      <c r="BM841" s="3"/>
      <c r="BN841" s="7"/>
      <c r="BO841" s="6"/>
      <c r="BP841" s="3"/>
      <c r="BQ841" s="6"/>
      <c r="BR841" s="6"/>
      <c r="BS841" s="3"/>
      <c r="BT841" s="3"/>
      <c r="BU841" s="6"/>
      <c r="BV841" s="3"/>
      <c r="BW841" s="3"/>
      <c r="BX841" s="6"/>
      <c r="BY841" s="3"/>
      <c r="BZ841" s="3"/>
      <c r="CA841" s="6"/>
      <c r="CB841" s="3"/>
      <c r="CC841" s="7"/>
      <c r="CD841" s="6"/>
      <c r="CE841" s="3"/>
      <c r="CF841" s="6"/>
      <c r="CG841" s="6"/>
      <c r="CH841" s="3"/>
      <c r="CI841" s="3"/>
      <c r="CJ841" s="6"/>
      <c r="CK841" s="3"/>
      <c r="CL841" s="3"/>
      <c r="CM841" s="6"/>
      <c r="CN841" s="3"/>
      <c r="CO841" s="3"/>
      <c r="CP841" s="6"/>
      <c r="CQ841" s="3"/>
      <c r="CR841" s="7"/>
      <c r="CS841" s="6"/>
      <c r="CT841" s="3"/>
      <c r="CU841" s="6"/>
      <c r="CV841" s="6"/>
      <c r="CW841" s="3"/>
      <c r="CX841" s="3"/>
      <c r="CY841" s="6"/>
      <c r="CZ841" s="3"/>
      <c r="DA841" s="3"/>
      <c r="DB841" s="6"/>
      <c r="DC841" s="3"/>
      <c r="DD841" s="3"/>
      <c r="DE841" s="6"/>
      <c r="DF841" s="3"/>
      <c r="DG841" s="7"/>
      <c r="DH841" s="6"/>
      <c r="DI841" s="3"/>
      <c r="DJ841" s="6"/>
      <c r="DK841" s="6"/>
      <c r="DL841" s="3"/>
      <c r="DM841" s="3"/>
      <c r="DN841" s="6"/>
      <c r="DO841" s="3"/>
      <c r="DP841" s="3"/>
      <c r="DQ841" s="6"/>
      <c r="DR841" s="3"/>
      <c r="DS841" s="3" t="str">
        <f>_xlfn.XLOOKUP(OfficeForms.Table[[#This Row],[Selecione a Categoria do Laboratório desta atividade prática:]],Planilha1!A:A,Planilha1!B:B)</f>
        <v>EMF-ISN</v>
      </c>
      <c r="DT841" s="6" t="str">
        <f>CONCATENATE(OfficeForms.Table[[#This Row],[Selecione seu Polo Laboratório de Atividades Presenciais:]],OfficeForms.Table[[#This Row],[CHAVE CONVERSÃO]])</f>
        <v>Pontes e Lacerda/MTEMF-ISN</v>
      </c>
      <c r="DU84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Triagem de paciente com transtorno neurológico e risco de suicídio</v>
      </c>
      <c r="DV84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84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14</v>
      </c>
      <c r="DX841" s="6" t="str">
        <f>_xlfn.XLOOKUP(OfficeForms.Table[[#This Row],[CHAVE LINK POLO]],'[1]Quadro Geral de Lotação'!$B:$B,'[1]Quadro Geral de Lotação'!$I:$I)</f>
        <v>Leticia De Andrade Ciritelli</v>
      </c>
      <c r="DY841" s="6" t="str">
        <f>OfficeForms.Table[[#This Row],[Selecione a Ordem de Disciplina]]</f>
        <v>Ordem 2</v>
      </c>
    </row>
    <row r="842" spans="1:129" ht="34.15" customHeight="1">
      <c r="A842" s="6">
        <v>842</v>
      </c>
      <c r="B842" s="2">
        <v>46133.968090277798</v>
      </c>
      <c r="C842" s="2">
        <v>46133.969398148103</v>
      </c>
      <c r="D842" s="3" t="s">
        <v>1040</v>
      </c>
      <c r="E842" s="3" t="s">
        <v>1041</v>
      </c>
      <c r="F842" s="6"/>
      <c r="G842" s="3"/>
      <c r="I842" s="3" t="s">
        <v>1042</v>
      </c>
      <c r="J842" s="6"/>
      <c r="K842" s="3"/>
      <c r="L842" s="6" t="s">
        <v>678</v>
      </c>
      <c r="M842" s="6"/>
      <c r="N842" s="6"/>
      <c r="O842" s="3" t="s">
        <v>184</v>
      </c>
      <c r="P842" s="6"/>
      <c r="Q842" s="3"/>
      <c r="R842" s="3"/>
      <c r="S842" s="6"/>
      <c r="T842" s="3"/>
      <c r="U842" s="7"/>
      <c r="V842" s="6"/>
      <c r="W842" s="3"/>
      <c r="X842" s="6"/>
      <c r="Y842" s="6"/>
      <c r="Z842" s="3"/>
      <c r="AA842" s="3"/>
      <c r="AB842" s="6"/>
      <c r="AC842" s="3"/>
      <c r="AD842" s="3"/>
      <c r="AE842" s="6"/>
      <c r="AF842" s="3"/>
      <c r="AG842" s="3" t="s">
        <v>1302</v>
      </c>
      <c r="AH842" s="6"/>
      <c r="AI842" s="3"/>
      <c r="AJ842" s="1">
        <v>46113</v>
      </c>
      <c r="AK842" s="6"/>
      <c r="AL842" s="3"/>
      <c r="AM842" s="6">
        <v>1</v>
      </c>
      <c r="AN842" s="6"/>
      <c r="AO842" s="3"/>
      <c r="AP842" s="3" t="s">
        <v>2380</v>
      </c>
      <c r="AQ842" s="6"/>
      <c r="AR842" s="3"/>
      <c r="AS842" s="3" t="s">
        <v>2381</v>
      </c>
      <c r="AT842" s="6"/>
      <c r="AU842" s="3"/>
      <c r="AV842" s="3"/>
      <c r="AW842" s="6"/>
      <c r="AX842" s="3"/>
      <c r="AY842" s="7"/>
      <c r="AZ842" s="6"/>
      <c r="BA842" s="3"/>
      <c r="BB842" s="6"/>
      <c r="BC842" s="6"/>
      <c r="BD842" s="3"/>
      <c r="BE842" s="3"/>
      <c r="BF842" s="6"/>
      <c r="BG842" s="3"/>
      <c r="BH842" s="3"/>
      <c r="BI842" s="6"/>
      <c r="BJ842" s="3"/>
      <c r="BK842" s="3"/>
      <c r="BL842" s="6"/>
      <c r="BM842" s="3"/>
      <c r="BN842" s="7"/>
      <c r="BO842" s="6"/>
      <c r="BP842" s="3"/>
      <c r="BQ842" s="6"/>
      <c r="BR842" s="6"/>
      <c r="BS842" s="3"/>
      <c r="BT842" s="3"/>
      <c r="BU842" s="6"/>
      <c r="BV842" s="3"/>
      <c r="BW842" s="3"/>
      <c r="BX842" s="6"/>
      <c r="BY842" s="3"/>
      <c r="BZ842" s="3"/>
      <c r="CA842" s="6"/>
      <c r="CB842" s="3"/>
      <c r="CC842" s="7"/>
      <c r="CD842" s="6"/>
      <c r="CE842" s="3"/>
      <c r="CF842" s="6"/>
      <c r="CG842" s="6"/>
      <c r="CH842" s="3"/>
      <c r="CI842" s="3"/>
      <c r="CJ842" s="6"/>
      <c r="CK842" s="3"/>
      <c r="CL842" s="3"/>
      <c r="CM842" s="6"/>
      <c r="CN842" s="3"/>
      <c r="CO842" s="3"/>
      <c r="CP842" s="6"/>
      <c r="CQ842" s="3"/>
      <c r="CR842" s="7"/>
      <c r="CS842" s="6"/>
      <c r="CT842" s="3"/>
      <c r="CU842" s="6"/>
      <c r="CV842" s="6"/>
      <c r="CW842" s="3"/>
      <c r="CX842" s="3"/>
      <c r="CY842" s="6"/>
      <c r="CZ842" s="3"/>
      <c r="DA842" s="3"/>
      <c r="DB842" s="6"/>
      <c r="DC842" s="3"/>
      <c r="DD842" s="3"/>
      <c r="DE842" s="6"/>
      <c r="DF842" s="3"/>
      <c r="DG842" s="7"/>
      <c r="DH842" s="6"/>
      <c r="DI842" s="3"/>
      <c r="DJ842" s="6"/>
      <c r="DK842" s="6"/>
      <c r="DL842" s="3"/>
      <c r="DM842" s="3"/>
      <c r="DN842" s="6"/>
      <c r="DO842" s="3"/>
      <c r="DP842" s="3"/>
      <c r="DQ842" s="6"/>
      <c r="DR842" s="3"/>
      <c r="DS842" s="3" t="str">
        <f>_xlfn.XLOOKUP(OfficeForms.Table[[#This Row],[Selecione a Categoria do Laboratório desta atividade prática:]],Planilha1!A:A,Planilha1!B:B)</f>
        <v>EMF-ISN</v>
      </c>
      <c r="DT842" s="6" t="str">
        <f>CONCATENATE(OfficeForms.Table[[#This Row],[Selecione seu Polo Laboratório de Atividades Presenciais:]],OfficeForms.Table[[#This Row],[CHAVE CONVERSÃO]])</f>
        <v>Pontes e Lacerda/MTEMF-ISN</v>
      </c>
      <c r="DU84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Glasgow;Manobra de Suporte Básico de Vida</v>
      </c>
      <c r="DV84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84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42" s="6" t="str">
        <f>_xlfn.XLOOKUP(OfficeForms.Table[[#This Row],[CHAVE LINK POLO]],'[1]Quadro Geral de Lotação'!$B:$B,'[1]Quadro Geral de Lotação'!$I:$I)</f>
        <v>Leticia De Andrade Ciritelli</v>
      </c>
      <c r="DY842" s="6" t="str">
        <f>OfficeForms.Table[[#This Row],[Selecione a Ordem de Disciplina]]</f>
        <v>Ordem 2</v>
      </c>
    </row>
    <row r="843" spans="1:129" ht="34.15" customHeight="1">
      <c r="A843" s="6">
        <v>843</v>
      </c>
      <c r="B843" s="2">
        <v>46133.969432870399</v>
      </c>
      <c r="C843" s="2">
        <v>46133.970358796301</v>
      </c>
      <c r="D843" s="3" t="s">
        <v>1040</v>
      </c>
      <c r="E843" s="3" t="s">
        <v>1041</v>
      </c>
      <c r="F843" s="6"/>
      <c r="G843" s="3"/>
      <c r="I843" s="3" t="s">
        <v>1042</v>
      </c>
      <c r="J843" s="6"/>
      <c r="K843" s="3"/>
      <c r="L843" s="6" t="s">
        <v>678</v>
      </c>
      <c r="M843" s="6"/>
      <c r="N843" s="6"/>
      <c r="O843" s="3" t="s">
        <v>184</v>
      </c>
      <c r="P843" s="6"/>
      <c r="Q843" s="3"/>
      <c r="R843" s="3"/>
      <c r="S843" s="6"/>
      <c r="T843" s="3"/>
      <c r="U843" s="7"/>
      <c r="V843" s="6"/>
      <c r="W843" s="3"/>
      <c r="X843" s="6"/>
      <c r="Y843" s="6"/>
      <c r="Z843" s="3"/>
      <c r="AA843" s="3"/>
      <c r="AB843" s="6"/>
      <c r="AC843" s="3"/>
      <c r="AD843" s="3"/>
      <c r="AE843" s="6"/>
      <c r="AF843" s="3"/>
      <c r="AG843" s="3" t="s">
        <v>211</v>
      </c>
      <c r="AH843" s="6"/>
      <c r="AI843" s="3"/>
      <c r="AJ843" s="1">
        <v>46113</v>
      </c>
      <c r="AK843" s="6"/>
      <c r="AL843" s="3"/>
      <c r="AM843" s="6">
        <v>1</v>
      </c>
      <c r="AN843" s="6"/>
      <c r="AO843" s="3"/>
      <c r="AP843" s="3" t="s">
        <v>2382</v>
      </c>
      <c r="AQ843" s="6"/>
      <c r="AR843" s="3"/>
      <c r="AS843" s="3" t="s">
        <v>2383</v>
      </c>
      <c r="AT843" s="6"/>
      <c r="AU843" s="3"/>
      <c r="AV843" s="3"/>
      <c r="AW843" s="6"/>
      <c r="AX843" s="3"/>
      <c r="AY843" s="7"/>
      <c r="AZ843" s="6"/>
      <c r="BA843" s="3"/>
      <c r="BB843" s="6"/>
      <c r="BC843" s="6"/>
      <c r="BD843" s="3"/>
      <c r="BE843" s="3"/>
      <c r="BF843" s="6"/>
      <c r="BG843" s="3"/>
      <c r="BH843" s="3"/>
      <c r="BI843" s="6"/>
      <c r="BJ843" s="3"/>
      <c r="BK843" s="3"/>
      <c r="BL843" s="6"/>
      <c r="BM843" s="3"/>
      <c r="BN843" s="7"/>
      <c r="BO843" s="6"/>
      <c r="BP843" s="3"/>
      <c r="BQ843" s="6"/>
      <c r="BR843" s="6"/>
      <c r="BS843" s="3"/>
      <c r="BT843" s="3"/>
      <c r="BU843" s="6"/>
      <c r="BV843" s="3"/>
      <c r="BW843" s="3"/>
      <c r="BX843" s="6"/>
      <c r="BY843" s="3"/>
      <c r="BZ843" s="3"/>
      <c r="CA843" s="6"/>
      <c r="CB843" s="3"/>
      <c r="CC843" s="7"/>
      <c r="CD843" s="6"/>
      <c r="CE843" s="3"/>
      <c r="CF843" s="6"/>
      <c r="CG843" s="6"/>
      <c r="CH843" s="3"/>
      <c r="CI843" s="3"/>
      <c r="CJ843" s="6"/>
      <c r="CK843" s="3"/>
      <c r="CL843" s="3"/>
      <c r="CM843" s="6"/>
      <c r="CN843" s="3"/>
      <c r="CO843" s="3"/>
      <c r="CP843" s="6"/>
      <c r="CQ843" s="3"/>
      <c r="CR843" s="7"/>
      <c r="CS843" s="6"/>
      <c r="CT843" s="3"/>
      <c r="CU843" s="6"/>
      <c r="CV843" s="6"/>
      <c r="CW843" s="3"/>
      <c r="CX843" s="3"/>
      <c r="CY843" s="6"/>
      <c r="CZ843" s="3"/>
      <c r="DA843" s="3"/>
      <c r="DB843" s="6"/>
      <c r="DC843" s="3"/>
      <c r="DD843" s="3"/>
      <c r="DE843" s="6"/>
      <c r="DF843" s="3"/>
      <c r="DG843" s="7"/>
      <c r="DH843" s="6"/>
      <c r="DI843" s="3"/>
      <c r="DJ843" s="6"/>
      <c r="DK843" s="6"/>
      <c r="DL843" s="3"/>
      <c r="DM843" s="3"/>
      <c r="DN843" s="6"/>
      <c r="DO843" s="3"/>
      <c r="DP843" s="3"/>
      <c r="DQ843" s="6"/>
      <c r="DR843" s="3"/>
      <c r="DS843" s="3" t="str">
        <f>_xlfn.XLOOKUP(OfficeForms.Table[[#This Row],[Selecione a Categoria do Laboratório desta atividade prática:]],Planilha1!A:A,Planilha1!B:B)</f>
        <v>EMF-ISN</v>
      </c>
      <c r="DT843" s="6" t="str">
        <f>CONCATENATE(OfficeForms.Table[[#This Row],[Selecione seu Polo Laboratório de Atividades Presenciais:]],OfficeForms.Table[[#This Row],[CHAVE CONVERSÃO]])</f>
        <v>Pontes e Lacerda/MTEMF-ISN</v>
      </c>
      <c r="DU84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84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84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43" s="6" t="str">
        <f>_xlfn.XLOOKUP(OfficeForms.Table[[#This Row],[CHAVE LINK POLO]],'[1]Quadro Geral de Lotação'!$B:$B,'[1]Quadro Geral de Lotação'!$I:$I)</f>
        <v>Leticia De Andrade Ciritelli</v>
      </c>
      <c r="DY843" s="6" t="str">
        <f>OfficeForms.Table[[#This Row],[Selecione a Ordem de Disciplina]]</f>
        <v>Ordem 2</v>
      </c>
    </row>
    <row r="844" spans="1:129" ht="34.15" customHeight="1">
      <c r="A844" s="6">
        <v>844</v>
      </c>
      <c r="B844" s="2">
        <v>46134.3414583333</v>
      </c>
      <c r="C844" s="2">
        <v>46134.346828703703</v>
      </c>
      <c r="D844" s="3" t="s">
        <v>543</v>
      </c>
      <c r="E844" s="3" t="s">
        <v>544</v>
      </c>
      <c r="F844" s="6"/>
      <c r="G844" s="3"/>
      <c r="I844" s="3" t="s">
        <v>545</v>
      </c>
      <c r="J844" s="6"/>
      <c r="K844" s="3"/>
      <c r="L844" s="6" t="s">
        <v>1325</v>
      </c>
      <c r="M844" s="6"/>
      <c r="N844" s="6"/>
      <c r="O844" s="3" t="s">
        <v>140</v>
      </c>
      <c r="P844" s="6"/>
      <c r="Q844" s="3"/>
      <c r="R844" s="3"/>
      <c r="S844" s="6"/>
      <c r="T844" s="3"/>
      <c r="U844" s="7"/>
      <c r="V844" s="6"/>
      <c r="W844" s="3"/>
      <c r="X844" s="6"/>
      <c r="Y844" s="6"/>
      <c r="Z844" s="3"/>
      <c r="AA844" s="3"/>
      <c r="AB844" s="6"/>
      <c r="AC844" s="3"/>
      <c r="AD844" s="3"/>
      <c r="AE844" s="6"/>
      <c r="AF844" s="3"/>
      <c r="AG844" s="3"/>
      <c r="AH844" s="6"/>
      <c r="AI844" s="3"/>
      <c r="AJ844" s="1"/>
      <c r="AK844" s="6"/>
      <c r="AL844" s="3"/>
      <c r="AM844" s="6"/>
      <c r="AN844" s="6"/>
      <c r="AO844" s="3"/>
      <c r="AP844" s="3"/>
      <c r="AQ844" s="6"/>
      <c r="AR844" s="3"/>
      <c r="AS844" s="3"/>
      <c r="AT844" s="6"/>
      <c r="AU844" s="3"/>
      <c r="AV844" s="3"/>
      <c r="AW844" s="6"/>
      <c r="AX844" s="3"/>
      <c r="AY844" s="7"/>
      <c r="AZ844" s="6"/>
      <c r="BA844" s="3"/>
      <c r="BB844" s="6"/>
      <c r="BC844" s="6"/>
      <c r="BD844" s="3"/>
      <c r="BE844" s="3"/>
      <c r="BF844" s="6"/>
      <c r="BG844" s="3"/>
      <c r="BH844" s="3"/>
      <c r="BI844" s="6"/>
      <c r="BJ844" s="3"/>
      <c r="BK844" s="3"/>
      <c r="BL844" s="6"/>
      <c r="BM844" s="3"/>
      <c r="BN844" s="7"/>
      <c r="BO844" s="6"/>
      <c r="BP844" s="3"/>
      <c r="BQ844" s="6"/>
      <c r="BR844" s="6"/>
      <c r="BS844" s="3"/>
      <c r="BT844" s="3"/>
      <c r="BU844" s="6"/>
      <c r="BV844" s="3"/>
      <c r="BW844" s="3"/>
      <c r="BX844" s="6"/>
      <c r="BY844" s="3"/>
      <c r="BZ844" s="3" t="s">
        <v>144</v>
      </c>
      <c r="CA844" s="6"/>
      <c r="CB844" s="3"/>
      <c r="CC844" s="7">
        <v>46132</v>
      </c>
      <c r="CD844" s="6"/>
      <c r="CE844" s="3"/>
      <c r="CF844" s="6">
        <v>2</v>
      </c>
      <c r="CG844" s="6"/>
      <c r="CH844" s="3"/>
      <c r="CI844" s="3" t="s">
        <v>2384</v>
      </c>
      <c r="CJ844" s="6"/>
      <c r="CK844" s="3"/>
      <c r="CL844" s="3" t="s">
        <v>2385</v>
      </c>
      <c r="CM844" s="6"/>
      <c r="CN844" s="3"/>
      <c r="CO844" s="3"/>
      <c r="CP844" s="6"/>
      <c r="CQ844" s="3"/>
      <c r="CR844" s="7"/>
      <c r="CS844" s="6"/>
      <c r="CT844" s="3"/>
      <c r="CU844" s="6"/>
      <c r="CV844" s="6"/>
      <c r="CW844" s="3"/>
      <c r="CX844" s="3"/>
      <c r="CY844" s="6"/>
      <c r="CZ844" s="3"/>
      <c r="DA844" s="3"/>
      <c r="DB844" s="6"/>
      <c r="DC844" s="3"/>
      <c r="DD844" s="3"/>
      <c r="DE844" s="6"/>
      <c r="DF844" s="3"/>
      <c r="DG844" s="7"/>
      <c r="DH844" s="6"/>
      <c r="DI844" s="3"/>
      <c r="DJ844" s="6"/>
      <c r="DK844" s="6"/>
      <c r="DL844" s="3"/>
      <c r="DM844" s="3"/>
      <c r="DN844" s="6"/>
      <c r="DO844" s="3"/>
      <c r="DP844" s="3"/>
      <c r="DQ844" s="6"/>
      <c r="DR844" s="3"/>
      <c r="DS844" s="3" t="str">
        <f>_xlfn.XLOOKUP(OfficeForms.Table[[#This Row],[Selecione a Categoria do Laboratório desta atividade prática:]],Planilha1!A:A,Planilha1!B:B)</f>
        <v>ECE-ENM-ENS-ENG-EEA-GPI-CDE-OBR-SAN-TER-FSA-SLF-QUI</v>
      </c>
      <c r="DT844" s="6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84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Associação De Resistores Em Série e Paralelo</v>
      </c>
      <c r="DV84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46132</v>
      </c>
      <c r="DW84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44" s="6" t="e">
        <f>_xlfn.XLOOKUP(OfficeForms.Table[[#This Row],[CHAVE LINK POLO]],'[1]Quadro Geral de Lotação'!$B:$B,'[1]Quadro Geral de Lotação'!$I:$I)</f>
        <v>#N/A</v>
      </c>
      <c r="DY844" s="6" t="str">
        <f>OfficeForms.Table[[#This Row],[Selecione a Ordem de Disciplina]]</f>
        <v>Ordem 3</v>
      </c>
    </row>
    <row r="845" spans="1:129" ht="34.15" customHeight="1">
      <c r="A845" s="6">
        <v>845</v>
      </c>
      <c r="B845" s="2">
        <v>46134.419791666704</v>
      </c>
      <c r="C845" s="2">
        <v>46134.420902777798</v>
      </c>
      <c r="D845" s="3" t="s">
        <v>325</v>
      </c>
      <c r="E845" s="3" t="s">
        <v>326</v>
      </c>
      <c r="F845" s="6"/>
      <c r="G845" s="3"/>
      <c r="I845" s="3" t="s">
        <v>275</v>
      </c>
      <c r="J845" s="6"/>
      <c r="K845" s="3"/>
      <c r="L845" s="6" t="s">
        <v>1325</v>
      </c>
      <c r="M845" s="6"/>
      <c r="N845" s="6"/>
      <c r="O845" s="3" t="s">
        <v>133</v>
      </c>
      <c r="P845" s="6"/>
      <c r="Q845" s="3"/>
      <c r="R845" s="3"/>
      <c r="S845" s="6"/>
      <c r="T845" s="3"/>
      <c r="U845" s="7"/>
      <c r="V845" s="6"/>
      <c r="W845" s="3"/>
      <c r="X845" s="6"/>
      <c r="Y845" s="6"/>
      <c r="Z845" s="3"/>
      <c r="AA845" s="3"/>
      <c r="AB845" s="6"/>
      <c r="AC845" s="3"/>
      <c r="AD845" s="3"/>
      <c r="AE845" s="6"/>
      <c r="AF845" s="3"/>
      <c r="AG845" s="3"/>
      <c r="AH845" s="6"/>
      <c r="AI845" s="3"/>
      <c r="AJ845" s="1"/>
      <c r="AK845" s="6"/>
      <c r="AL845" s="3"/>
      <c r="AM845" s="6"/>
      <c r="AN845" s="6"/>
      <c r="AO845" s="3"/>
      <c r="AP845" s="3"/>
      <c r="AQ845" s="6"/>
      <c r="AR845" s="3"/>
      <c r="AS845" s="3"/>
      <c r="AT845" s="6"/>
      <c r="AU845" s="3"/>
      <c r="AV845" s="3" t="s">
        <v>2386</v>
      </c>
      <c r="AW845" s="6"/>
      <c r="AX845" s="3"/>
      <c r="AY845" s="7">
        <v>46128</v>
      </c>
      <c r="AZ845" s="6"/>
      <c r="BA845" s="3"/>
      <c r="BB845" s="6">
        <v>0</v>
      </c>
      <c r="BC845" s="6"/>
      <c r="BD845" s="3"/>
      <c r="BE845" s="3" t="s">
        <v>2387</v>
      </c>
      <c r="BF845" s="6"/>
      <c r="BG845" s="3"/>
      <c r="BH845" s="3" t="s">
        <v>2388</v>
      </c>
      <c r="BI845" s="6"/>
      <c r="BJ845" s="3"/>
      <c r="BK845" s="3"/>
      <c r="BL845" s="6"/>
      <c r="BM845" s="3"/>
      <c r="BN845" s="7"/>
      <c r="BO845" s="6"/>
      <c r="BP845" s="3"/>
      <c r="BQ845" s="6"/>
      <c r="BR845" s="6"/>
      <c r="BS845" s="3"/>
      <c r="BT845" s="3"/>
      <c r="BU845" s="6"/>
      <c r="BV845" s="3"/>
      <c r="BW845" s="3"/>
      <c r="BX845" s="6"/>
      <c r="BY845" s="3"/>
      <c r="BZ845" s="3"/>
      <c r="CA845" s="6"/>
      <c r="CB845" s="3"/>
      <c r="CC845" s="7"/>
      <c r="CD845" s="6"/>
      <c r="CE845" s="3"/>
      <c r="CF845" s="6"/>
      <c r="CG845" s="6"/>
      <c r="CH845" s="3"/>
      <c r="CI845" s="3"/>
      <c r="CJ845" s="6"/>
      <c r="CK845" s="3"/>
      <c r="CL845" s="3"/>
      <c r="CM845" s="6"/>
      <c r="CN845" s="3"/>
      <c r="CO845" s="3"/>
      <c r="CP845" s="6"/>
      <c r="CQ845" s="3"/>
      <c r="CR845" s="7"/>
      <c r="CS845" s="6"/>
      <c r="CT845" s="3"/>
      <c r="CU845" s="6"/>
      <c r="CV845" s="6"/>
      <c r="CW845" s="3"/>
      <c r="CX845" s="3"/>
      <c r="CY845" s="6"/>
      <c r="CZ845" s="3"/>
      <c r="DA845" s="3"/>
      <c r="DB845" s="6"/>
      <c r="DC845" s="3"/>
      <c r="DD845" s="3"/>
      <c r="DE845" s="6"/>
      <c r="DF845" s="3"/>
      <c r="DG845" s="7"/>
      <c r="DH845" s="6"/>
      <c r="DI845" s="3"/>
      <c r="DJ845" s="6"/>
      <c r="DK845" s="6"/>
      <c r="DL845" s="3"/>
      <c r="DM845" s="3"/>
      <c r="DN845" s="6"/>
      <c r="DO845" s="3"/>
      <c r="DP845" s="3"/>
      <c r="DQ845" s="6"/>
      <c r="DR845" s="3"/>
      <c r="DS845" s="3" t="str">
        <f>_xlfn.XLOOKUP(OfficeForms.Table[[#This Row],[Selecione a Categoria do Laboratório desta atividade prática:]],Planilha1!A:A,Planilha1!B:B)</f>
        <v>BFI</v>
      </c>
      <c r="DT845" s="6" t="str">
        <f>CONCATENATE(OfficeForms.Table[[#This Row],[Selecione seu Polo Laboratório de Atividades Presenciais:]],OfficeForms.Table[[#This Row],[CHAVE CONVERSÃO]])</f>
        <v>Porto Alegre/RS - Zona NorteBFI</v>
      </c>
      <c r="DU84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Prática de Análise Ergonômica: Identificação e Correção de Riscos Ergonômicos no Local de Trabalho</v>
      </c>
      <c r="DV84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4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45" s="6" t="str">
        <f>_xlfn.XLOOKUP(OfficeForms.Table[[#This Row],[CHAVE LINK POLO]],'[1]Quadro Geral de Lotação'!$B:$B,'[1]Quadro Geral de Lotação'!$I:$I)</f>
        <v>Fabiano Johnson Duarte Bartmann</v>
      </c>
      <c r="DY845" s="6" t="str">
        <f>OfficeForms.Table[[#This Row],[Selecione a Ordem de Disciplina]]</f>
        <v>Ordem 3</v>
      </c>
    </row>
    <row r="846" spans="1:129" ht="34.15" customHeight="1">
      <c r="A846" s="6">
        <v>846</v>
      </c>
      <c r="B846" s="2">
        <v>46134.420949074098</v>
      </c>
      <c r="C846" s="2">
        <v>46134.422696759299</v>
      </c>
      <c r="D846" s="3" t="s">
        <v>325</v>
      </c>
      <c r="E846" s="3" t="s">
        <v>326</v>
      </c>
      <c r="F846" s="6"/>
      <c r="G846" s="3"/>
      <c r="I846" s="3" t="s">
        <v>275</v>
      </c>
      <c r="J846" s="6"/>
      <c r="K846" s="3"/>
      <c r="L846" s="6" t="s">
        <v>1325</v>
      </c>
      <c r="M846" s="6"/>
      <c r="N846" s="6"/>
      <c r="O846" s="3" t="s">
        <v>133</v>
      </c>
      <c r="P846" s="6"/>
      <c r="Q846" s="3"/>
      <c r="R846" s="3"/>
      <c r="S846" s="6"/>
      <c r="T846" s="3"/>
      <c r="U846" s="7"/>
      <c r="V846" s="6"/>
      <c r="W846" s="3"/>
      <c r="X846" s="6"/>
      <c r="Y846" s="6"/>
      <c r="Z846" s="3"/>
      <c r="AA846" s="3"/>
      <c r="AB846" s="6"/>
      <c r="AC846" s="3"/>
      <c r="AD846" s="3"/>
      <c r="AE846" s="6"/>
      <c r="AF846" s="3"/>
      <c r="AG846" s="3"/>
      <c r="AH846" s="6"/>
      <c r="AI846" s="3"/>
      <c r="AJ846" s="1"/>
      <c r="AK846" s="6"/>
      <c r="AL846" s="3"/>
      <c r="AM846" s="6"/>
      <c r="AN846" s="6"/>
      <c r="AO846" s="3"/>
      <c r="AP846" s="3"/>
      <c r="AQ846" s="6"/>
      <c r="AR846" s="3"/>
      <c r="AS846" s="3"/>
      <c r="AT846" s="6"/>
      <c r="AU846" s="3"/>
      <c r="AV846" s="3" t="s">
        <v>2389</v>
      </c>
      <c r="AW846" s="6"/>
      <c r="AX846" s="3"/>
      <c r="AY846" s="7">
        <v>46128</v>
      </c>
      <c r="AZ846" s="6"/>
      <c r="BA846" s="3"/>
      <c r="BB846" s="6">
        <v>6</v>
      </c>
      <c r="BC846" s="6"/>
      <c r="BD846" s="3"/>
      <c r="BE846" s="3" t="s">
        <v>2390</v>
      </c>
      <c r="BF846" s="6"/>
      <c r="BG846" s="3"/>
      <c r="BH846" s="3" t="s">
        <v>2391</v>
      </c>
      <c r="BI846" s="6"/>
      <c r="BJ846" s="3"/>
      <c r="BK846" s="3"/>
      <c r="BL846" s="6"/>
      <c r="BM846" s="3"/>
      <c r="BN846" s="7"/>
      <c r="BO846" s="6"/>
      <c r="BP846" s="3"/>
      <c r="BQ846" s="6"/>
      <c r="BR846" s="6"/>
      <c r="BS846" s="3"/>
      <c r="BT846" s="3"/>
      <c r="BU846" s="6"/>
      <c r="BV846" s="3"/>
      <c r="BW846" s="3"/>
      <c r="BX846" s="6"/>
      <c r="BY846" s="3"/>
      <c r="BZ846" s="3"/>
      <c r="CA846" s="6"/>
      <c r="CB846" s="3"/>
      <c r="CC846" s="7"/>
      <c r="CD846" s="6"/>
      <c r="CE846" s="3"/>
      <c r="CF846" s="6"/>
      <c r="CG846" s="6"/>
      <c r="CH846" s="3"/>
      <c r="CI846" s="3"/>
      <c r="CJ846" s="6"/>
      <c r="CK846" s="3"/>
      <c r="CL846" s="3"/>
      <c r="CM846" s="6"/>
      <c r="CN846" s="3"/>
      <c r="CO846" s="3"/>
      <c r="CP846" s="6"/>
      <c r="CQ846" s="3"/>
      <c r="CR846" s="7"/>
      <c r="CS846" s="6"/>
      <c r="CT846" s="3"/>
      <c r="CU846" s="6"/>
      <c r="CV846" s="6"/>
      <c r="CW846" s="3"/>
      <c r="CX846" s="3"/>
      <c r="CY846" s="6"/>
      <c r="CZ846" s="3"/>
      <c r="DA846" s="3"/>
      <c r="DB846" s="6"/>
      <c r="DC846" s="3"/>
      <c r="DD846" s="3"/>
      <c r="DE846" s="6"/>
      <c r="DF846" s="3"/>
      <c r="DG846" s="7"/>
      <c r="DH846" s="6"/>
      <c r="DI846" s="3"/>
      <c r="DJ846" s="6"/>
      <c r="DK846" s="6"/>
      <c r="DL846" s="3"/>
      <c r="DM846" s="3"/>
      <c r="DN846" s="6"/>
      <c r="DO846" s="3"/>
      <c r="DP846" s="3"/>
      <c r="DQ846" s="6"/>
      <c r="DR846" s="3"/>
      <c r="DS846" s="3" t="str">
        <f>_xlfn.XLOOKUP(OfficeForms.Table[[#This Row],[Selecione a Categoria do Laboratório desta atividade prática:]],Planilha1!A:A,Planilha1!B:B)</f>
        <v>BFI</v>
      </c>
      <c r="DT846" s="6" t="str">
        <f>CONCATENATE(OfficeForms.Table[[#This Row],[Selecione seu Polo Laboratório de Atividades Presenciais:]],OfficeForms.Table[[#This Row],[CHAVE CONVERSÃO]])</f>
        <v>Porto Alegre/RS - Zona NorteBFI</v>
      </c>
      <c r="DU84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Aplicação da Eletrotermofototerapia em Casos Clínicos Reais</v>
      </c>
      <c r="DV84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4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846" s="6" t="str">
        <f>_xlfn.XLOOKUP(OfficeForms.Table[[#This Row],[CHAVE LINK POLO]],'[1]Quadro Geral de Lotação'!$B:$B,'[1]Quadro Geral de Lotação'!$I:$I)</f>
        <v>Fabiano Johnson Duarte Bartmann</v>
      </c>
      <c r="DY846" s="6" t="str">
        <f>OfficeForms.Table[[#This Row],[Selecione a Ordem de Disciplina]]</f>
        <v>Ordem 3</v>
      </c>
    </row>
    <row r="847" spans="1:129" ht="34.15" customHeight="1">
      <c r="A847" s="6">
        <v>847</v>
      </c>
      <c r="B847" s="2">
        <v>46134.459074074097</v>
      </c>
      <c r="C847" s="2">
        <v>46134.460289351897</v>
      </c>
      <c r="D847" s="3" t="s">
        <v>339</v>
      </c>
      <c r="E847" s="3" t="s">
        <v>340</v>
      </c>
      <c r="F847" s="6"/>
      <c r="G847" s="3"/>
      <c r="I847" s="3" t="s">
        <v>162</v>
      </c>
      <c r="J847" s="6"/>
      <c r="K847" s="3"/>
      <c r="L847" s="6" t="s">
        <v>1325</v>
      </c>
      <c r="M847" s="6"/>
      <c r="N847" s="6"/>
      <c r="O847" s="3" t="s">
        <v>177</v>
      </c>
      <c r="P847" s="6"/>
      <c r="Q847" s="3"/>
      <c r="R847" s="3"/>
      <c r="S847" s="6"/>
      <c r="T847" s="3"/>
      <c r="U847" s="7"/>
      <c r="V847" s="6"/>
      <c r="W847" s="3"/>
      <c r="X847" s="6"/>
      <c r="Y847" s="6"/>
      <c r="Z847" s="3"/>
      <c r="AA847" s="3"/>
      <c r="AB847" s="6"/>
      <c r="AC847" s="3"/>
      <c r="AD847" s="3"/>
      <c r="AE847" s="6"/>
      <c r="AF847" s="3"/>
      <c r="AG847" s="3"/>
      <c r="AH847" s="6"/>
      <c r="AI847" s="3"/>
      <c r="AJ847" s="1"/>
      <c r="AK847" s="6"/>
      <c r="AL847" s="3"/>
      <c r="AM847" s="6"/>
      <c r="AN847" s="6"/>
      <c r="AO847" s="3"/>
      <c r="AP847" s="3"/>
      <c r="AQ847" s="6"/>
      <c r="AR847" s="3"/>
      <c r="AS847" s="3"/>
      <c r="AT847" s="6"/>
      <c r="AU847" s="3"/>
      <c r="AV847" s="3"/>
      <c r="AW847" s="6"/>
      <c r="AX847" s="3"/>
      <c r="AY847" s="7"/>
      <c r="AZ847" s="6"/>
      <c r="BA847" s="3"/>
      <c r="BB847" s="6"/>
      <c r="BC847" s="6"/>
      <c r="BD847" s="3"/>
      <c r="BE847" s="3"/>
      <c r="BF847" s="6"/>
      <c r="BG847" s="3"/>
      <c r="BH847" s="3"/>
      <c r="BI847" s="6"/>
      <c r="BJ847" s="3"/>
      <c r="BK847" s="3"/>
      <c r="BL847" s="6"/>
      <c r="BM847" s="3"/>
      <c r="BN847" s="7"/>
      <c r="BO847" s="6"/>
      <c r="BP847" s="3"/>
      <c r="BQ847" s="6"/>
      <c r="BR847" s="6"/>
      <c r="BS847" s="3"/>
      <c r="BT847" s="3"/>
      <c r="BU847" s="6"/>
      <c r="BV847" s="3"/>
      <c r="BW847" s="3"/>
      <c r="BX847" s="6"/>
      <c r="BY847" s="3"/>
      <c r="BZ847" s="3"/>
      <c r="CA847" s="6"/>
      <c r="CB847" s="3"/>
      <c r="CC847" s="7"/>
      <c r="CD847" s="6"/>
      <c r="CE847" s="3"/>
      <c r="CF847" s="6"/>
      <c r="CG847" s="6"/>
      <c r="CH847" s="3"/>
      <c r="CI847" s="3"/>
      <c r="CJ847" s="6"/>
      <c r="CK847" s="3"/>
      <c r="CL847" s="3"/>
      <c r="CM847" s="6"/>
      <c r="CN847" s="3"/>
      <c r="CO847" s="3"/>
      <c r="CP847" s="6"/>
      <c r="CQ847" s="3"/>
      <c r="CR847" s="7"/>
      <c r="CS847" s="6"/>
      <c r="CT847" s="3"/>
      <c r="CU847" s="6"/>
      <c r="CV847" s="6"/>
      <c r="CW847" s="3"/>
      <c r="CX847" s="3"/>
      <c r="CY847" s="6"/>
      <c r="CZ847" s="3"/>
      <c r="DA847" s="3"/>
      <c r="DB847" s="6"/>
      <c r="DC847" s="3"/>
      <c r="DD847" s="3" t="s">
        <v>2301</v>
      </c>
      <c r="DE847" s="6"/>
      <c r="DF847" s="3"/>
      <c r="DG847" s="7">
        <v>46128</v>
      </c>
      <c r="DH847" s="6"/>
      <c r="DI847" s="3"/>
      <c r="DJ847" s="6">
        <v>1</v>
      </c>
      <c r="DK847" s="6"/>
      <c r="DL847" s="3"/>
      <c r="DM847" s="3" t="s">
        <v>2392</v>
      </c>
      <c r="DN847" s="6"/>
      <c r="DO847" s="3"/>
      <c r="DP847" s="3" t="s">
        <v>2393</v>
      </c>
      <c r="DQ847" s="6"/>
      <c r="DR847" s="3"/>
      <c r="DS847" s="3" t="str">
        <f>_xlfn.XLOOKUP(OfficeForms.Table[[#This Row],[Selecione a Categoria do Laboratório desta atividade prática:]],Planilha1!A:A,Planilha1!B:B)</f>
        <v>AGM</v>
      </c>
      <c r="DT847" s="6" t="str">
        <f>CONCATENATE(OfficeForms.Table[[#This Row],[Selecione seu Polo Laboratório de Atividades Presenciais:]],OfficeForms.Table[[#This Row],[CHAVE CONVERSÃO]])</f>
        <v>Florianópolis/SC - CentroAGM</v>
      </c>
      <c r="DU84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Introdução a Caligrafia Técnica dentro das normas da ABNT (NBR 6492). +  Introdução aos Primeiros Passos</v>
      </c>
      <c r="DV84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4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47" s="6" t="str">
        <f>_xlfn.XLOOKUP(OfficeForms.Table[[#This Row],[CHAVE LINK POLO]],'[1]Quadro Geral de Lotação'!$B:$B,'[1]Quadro Geral de Lotação'!$I:$I)</f>
        <v>Michelle Barros Pantoja</v>
      </c>
      <c r="DY847" s="6" t="str">
        <f>OfficeForms.Table[[#This Row],[Selecione a Ordem de Disciplina]]</f>
        <v>Ordem 3</v>
      </c>
    </row>
    <row r="848" spans="1:129" ht="34.15" customHeight="1">
      <c r="A848" s="6">
        <v>848</v>
      </c>
      <c r="B848" s="2">
        <v>46134.506342592598</v>
      </c>
      <c r="C848" s="2">
        <v>46134.5075462963</v>
      </c>
      <c r="D848" s="3" t="s">
        <v>174</v>
      </c>
      <c r="E848" s="3" t="s">
        <v>175</v>
      </c>
      <c r="F848" s="6"/>
      <c r="G848" s="3"/>
      <c r="I848" s="3" t="s">
        <v>176</v>
      </c>
      <c r="J848" s="6"/>
      <c r="K848" s="3"/>
      <c r="L848" s="6" t="s">
        <v>1325</v>
      </c>
      <c r="M848" s="6"/>
      <c r="N848" s="6"/>
      <c r="O848" s="3" t="s">
        <v>177</v>
      </c>
      <c r="P848" s="6"/>
      <c r="Q848" s="3"/>
      <c r="R848" s="3"/>
      <c r="S848" s="6"/>
      <c r="T848" s="3"/>
      <c r="U848" s="7"/>
      <c r="V848" s="6"/>
      <c r="W848" s="3"/>
      <c r="X848" s="6"/>
      <c r="Y848" s="6"/>
      <c r="Z848" s="3"/>
      <c r="AA848" s="3"/>
      <c r="AB848" s="6"/>
      <c r="AC848" s="3"/>
      <c r="AD848" s="3"/>
      <c r="AE848" s="6"/>
      <c r="AF848" s="3"/>
      <c r="AG848" s="3"/>
      <c r="AH848" s="6"/>
      <c r="AI848" s="3"/>
      <c r="AJ848" s="1"/>
      <c r="AK848" s="6"/>
      <c r="AL848" s="3"/>
      <c r="AM848" s="6"/>
      <c r="AN848" s="6"/>
      <c r="AO848" s="3"/>
      <c r="AP848" s="3"/>
      <c r="AQ848" s="6"/>
      <c r="AR848" s="3"/>
      <c r="AS848" s="3"/>
      <c r="AT848" s="6"/>
      <c r="AU848" s="3"/>
      <c r="AV848" s="3"/>
      <c r="AW848" s="6"/>
      <c r="AX848" s="3"/>
      <c r="AY848" s="7"/>
      <c r="AZ848" s="6"/>
      <c r="BA848" s="3"/>
      <c r="BB848" s="6"/>
      <c r="BC848" s="6"/>
      <c r="BD848" s="3"/>
      <c r="BE848" s="3"/>
      <c r="BF848" s="6"/>
      <c r="BG848" s="3"/>
      <c r="BH848" s="3"/>
      <c r="BI848" s="6"/>
      <c r="BJ848" s="3"/>
      <c r="BK848" s="3"/>
      <c r="BL848" s="6"/>
      <c r="BM848" s="3"/>
      <c r="BN848" s="7"/>
      <c r="BO848" s="6"/>
      <c r="BP848" s="3"/>
      <c r="BQ848" s="6"/>
      <c r="BR848" s="6"/>
      <c r="BS848" s="3"/>
      <c r="BT848" s="3"/>
      <c r="BU848" s="6"/>
      <c r="BV848" s="3"/>
      <c r="BW848" s="3"/>
      <c r="BX848" s="6"/>
      <c r="BY848" s="3"/>
      <c r="BZ848" s="3"/>
      <c r="CA848" s="6"/>
      <c r="CB848" s="3"/>
      <c r="CC848" s="7"/>
      <c r="CD848" s="6"/>
      <c r="CE848" s="3"/>
      <c r="CF848" s="6"/>
      <c r="CG848" s="6"/>
      <c r="CH848" s="3"/>
      <c r="CI848" s="3"/>
      <c r="CJ848" s="6"/>
      <c r="CK848" s="3"/>
      <c r="CL848" s="3"/>
      <c r="CM848" s="6"/>
      <c r="CN848" s="3"/>
      <c r="CO848" s="3"/>
      <c r="CP848" s="6"/>
      <c r="CQ848" s="3"/>
      <c r="CR848" s="7"/>
      <c r="CS848" s="6"/>
      <c r="CT848" s="3"/>
      <c r="CU848" s="6"/>
      <c r="CV848" s="6"/>
      <c r="CW848" s="3"/>
      <c r="CX848" s="3"/>
      <c r="CY848" s="6"/>
      <c r="CZ848" s="3"/>
      <c r="DA848" s="3"/>
      <c r="DB848" s="6"/>
      <c r="DC848" s="3"/>
      <c r="DD848" s="3" t="s">
        <v>2301</v>
      </c>
      <c r="DE848" s="6"/>
      <c r="DF848" s="3"/>
      <c r="DG848" s="7">
        <v>46128</v>
      </c>
      <c r="DH848" s="6"/>
      <c r="DI848" s="3"/>
      <c r="DJ848" s="6">
        <v>14</v>
      </c>
      <c r="DK848" s="6"/>
      <c r="DL848" s="3"/>
      <c r="DM848" s="3" t="s">
        <v>2394</v>
      </c>
      <c r="DN848" s="6"/>
      <c r="DO848" s="3"/>
      <c r="DP848" s="3" t="s">
        <v>2395</v>
      </c>
      <c r="DQ848" s="6"/>
      <c r="DR848" s="3"/>
      <c r="DS848" s="3" t="str">
        <f>_xlfn.XLOOKUP(OfficeForms.Table[[#This Row],[Selecione a Categoria do Laboratório desta atividade prática:]],Planilha1!A:A,Planilha1!B:B)</f>
        <v>AGM</v>
      </c>
      <c r="DT848" s="6" t="str">
        <f>CONCATENATE(OfficeForms.Table[[#This Row],[Selecione seu Polo Laboratório de Atividades Presenciais:]],OfficeForms.Table[[#This Row],[CHAVE CONVERSÃO]])</f>
        <v>Catalão/GOAGM</v>
      </c>
      <c r="DU84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Introdução a Caligrafia Técnica dentro das normas da ABNT (NBR 6492). +  Introdução aos Primeiros Passos</v>
      </c>
      <c r="DV84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4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14</v>
      </c>
      <c r="DX848" s="6" t="str">
        <f>_xlfn.XLOOKUP(OfficeForms.Table[[#This Row],[CHAVE LINK POLO]],'[1]Quadro Geral de Lotação'!$B:$B,'[1]Quadro Geral de Lotação'!$I:$I)</f>
        <v>Marla Maria Ferreira De Souza</v>
      </c>
      <c r="DY848" s="6" t="str">
        <f>OfficeForms.Table[[#This Row],[Selecione a Ordem de Disciplina]]</f>
        <v>Ordem 3</v>
      </c>
    </row>
    <row r="849" spans="1:129" ht="34.15" customHeight="1">
      <c r="A849" s="6">
        <v>849</v>
      </c>
      <c r="B849" s="2">
        <v>46134.508009259298</v>
      </c>
      <c r="C849" s="2">
        <v>46134.511006944398</v>
      </c>
      <c r="D849" s="3" t="s">
        <v>352</v>
      </c>
      <c r="E849" s="3" t="s">
        <v>353</v>
      </c>
      <c r="F849" s="6"/>
      <c r="G849" s="3"/>
      <c r="I849" s="3" t="s">
        <v>354</v>
      </c>
      <c r="J849" s="6"/>
      <c r="K849" s="3"/>
      <c r="L849" s="6" t="s">
        <v>1325</v>
      </c>
      <c r="M849" s="6"/>
      <c r="N849" s="6"/>
      <c r="O849" s="3" t="s">
        <v>184</v>
      </c>
      <c r="P849" s="6"/>
      <c r="Q849" s="3"/>
      <c r="R849" s="3"/>
      <c r="S849" s="6"/>
      <c r="T849" s="3"/>
      <c r="U849" s="7"/>
      <c r="V849" s="6"/>
      <c r="W849" s="3"/>
      <c r="X849" s="6"/>
      <c r="Y849" s="6"/>
      <c r="Z849" s="3"/>
      <c r="AA849" s="3"/>
      <c r="AB849" s="6"/>
      <c r="AC849" s="3"/>
      <c r="AD849" s="3"/>
      <c r="AE849" s="6"/>
      <c r="AF849" s="3"/>
      <c r="AG849" s="3" t="s">
        <v>2396</v>
      </c>
      <c r="AH849" s="6"/>
      <c r="AI849" s="3"/>
      <c r="AJ849" s="1">
        <v>46127</v>
      </c>
      <c r="AK849" s="6"/>
      <c r="AL849" s="3"/>
      <c r="AM849" s="6">
        <v>3</v>
      </c>
      <c r="AN849" s="6"/>
      <c r="AO849" s="3"/>
      <c r="AP849" s="3" t="s">
        <v>2397</v>
      </c>
      <c r="AQ849" s="6"/>
      <c r="AR849" s="3"/>
      <c r="AS849" s="3" t="s">
        <v>2398</v>
      </c>
      <c r="AT849" s="6"/>
      <c r="AU849" s="3"/>
      <c r="AV849" s="3"/>
      <c r="AW849" s="6"/>
      <c r="AX849" s="3"/>
      <c r="AY849" s="7"/>
      <c r="AZ849" s="6"/>
      <c r="BA849" s="3"/>
      <c r="BB849" s="6"/>
      <c r="BC849" s="6"/>
      <c r="BD849" s="3"/>
      <c r="BE849" s="3"/>
      <c r="BF849" s="6"/>
      <c r="BG849" s="3"/>
      <c r="BH849" s="3"/>
      <c r="BI849" s="6"/>
      <c r="BJ849" s="3"/>
      <c r="BK849" s="3"/>
      <c r="BL849" s="6"/>
      <c r="BM849" s="3"/>
      <c r="BN849" s="7"/>
      <c r="BO849" s="6"/>
      <c r="BP849" s="3"/>
      <c r="BQ849" s="6"/>
      <c r="BR849" s="6"/>
      <c r="BS849" s="3"/>
      <c r="BT849" s="3"/>
      <c r="BU849" s="6"/>
      <c r="BV849" s="3"/>
      <c r="BW849" s="3"/>
      <c r="BX849" s="6"/>
      <c r="BY849" s="3"/>
      <c r="BZ849" s="3"/>
      <c r="CA849" s="6"/>
      <c r="CB849" s="3"/>
      <c r="CC849" s="7"/>
      <c r="CD849" s="6"/>
      <c r="CE849" s="3"/>
      <c r="CF849" s="6"/>
      <c r="CG849" s="6"/>
      <c r="CH849" s="3"/>
      <c r="CI849" s="3"/>
      <c r="CJ849" s="6"/>
      <c r="CK849" s="3"/>
      <c r="CL849" s="3"/>
      <c r="CM849" s="6"/>
      <c r="CN849" s="3"/>
      <c r="CO849" s="3"/>
      <c r="CP849" s="6"/>
      <c r="CQ849" s="3"/>
      <c r="CR849" s="7"/>
      <c r="CS849" s="6"/>
      <c r="CT849" s="3"/>
      <c r="CU849" s="6"/>
      <c r="CV849" s="6"/>
      <c r="CW849" s="3"/>
      <c r="CX849" s="3"/>
      <c r="CY849" s="6"/>
      <c r="CZ849" s="3"/>
      <c r="DA849" s="3"/>
      <c r="DB849" s="6"/>
      <c r="DC849" s="3"/>
      <c r="DD849" s="3"/>
      <c r="DE849" s="6"/>
      <c r="DF849" s="3"/>
      <c r="DG849" s="7"/>
      <c r="DH849" s="6"/>
      <c r="DI849" s="3"/>
      <c r="DJ849" s="6"/>
      <c r="DK849" s="6"/>
      <c r="DL849" s="3"/>
      <c r="DM849" s="3"/>
      <c r="DN849" s="6"/>
      <c r="DO849" s="3"/>
      <c r="DP849" s="3"/>
      <c r="DQ849" s="6"/>
      <c r="DR849" s="3"/>
      <c r="DS849" s="3" t="str">
        <f>_xlfn.XLOOKUP(OfficeForms.Table[[#This Row],[Selecione a Categoria do Laboratório desta atividade prática:]],Planilha1!A:A,Planilha1!B:B)</f>
        <v>EMF-ISN</v>
      </c>
      <c r="DT849" s="6" t="str">
        <f>CONCATENATE(OfficeForms.Table[[#This Row],[Selecione seu Polo Laboratório de Atividades Presenciais:]],OfficeForms.Table[[#This Row],[CHAVE CONVERSÃO]])</f>
        <v>São Gonçalo/RJ - Partage ShoppingEMF-ISN</v>
      </c>
      <c r="DU84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Venosa + Retirada de pontos;Curativo;Banho de leito + Lavagem gástrica</v>
      </c>
      <c r="DV84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4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49" s="6" t="str">
        <f>_xlfn.XLOOKUP(OfficeForms.Table[[#This Row],[CHAVE LINK POLO]],'[1]Quadro Geral de Lotação'!$B:$B,'[1]Quadro Geral de Lotação'!$I:$I)</f>
        <v>William Da Silva Coimbra</v>
      </c>
      <c r="DY849" s="6" t="str">
        <f>OfficeForms.Table[[#This Row],[Selecione a Ordem de Disciplina]]</f>
        <v>Ordem 3</v>
      </c>
    </row>
    <row r="850" spans="1:129" ht="34.15" customHeight="1">
      <c r="A850" s="6">
        <v>850</v>
      </c>
      <c r="B850" s="2">
        <v>46134.673287037003</v>
      </c>
      <c r="C850" s="2">
        <v>46134.681828703702</v>
      </c>
      <c r="D850" s="3" t="s">
        <v>436</v>
      </c>
      <c r="E850" s="3" t="s">
        <v>437</v>
      </c>
      <c r="F850" s="6"/>
      <c r="G850" s="3"/>
      <c r="I850" s="3" t="s">
        <v>438</v>
      </c>
      <c r="J850" s="6"/>
      <c r="K850" s="3"/>
      <c r="L850" s="6" t="s">
        <v>1325</v>
      </c>
      <c r="M850" s="6"/>
      <c r="N850" s="6"/>
      <c r="O850" s="3" t="s">
        <v>184</v>
      </c>
      <c r="P850" s="6"/>
      <c r="Q850" s="3"/>
      <c r="R850" s="3"/>
      <c r="S850" s="6"/>
      <c r="T850" s="3"/>
      <c r="U850" s="7"/>
      <c r="V850" s="6"/>
      <c r="W850" s="3"/>
      <c r="X850" s="6"/>
      <c r="Y850" s="6"/>
      <c r="Z850" s="3"/>
      <c r="AA850" s="3"/>
      <c r="AB850" s="6"/>
      <c r="AC850" s="3"/>
      <c r="AD850" s="3"/>
      <c r="AE850" s="6"/>
      <c r="AF850" s="3"/>
      <c r="AG850" s="3" t="s">
        <v>1016</v>
      </c>
      <c r="AH850" s="6"/>
      <c r="AI850" s="3"/>
      <c r="AJ850" s="1">
        <v>46115</v>
      </c>
      <c r="AK850" s="6"/>
      <c r="AL850" s="3"/>
      <c r="AM850" s="6">
        <v>4</v>
      </c>
      <c r="AN850" s="6"/>
      <c r="AO850" s="3"/>
      <c r="AP850" s="3" t="s">
        <v>2399</v>
      </c>
      <c r="AQ850" s="6"/>
      <c r="AR850" s="3"/>
      <c r="AS850" s="3" t="s">
        <v>2400</v>
      </c>
      <c r="AT850" s="6"/>
      <c r="AU850" s="3"/>
      <c r="AV850" s="3"/>
      <c r="AW850" s="6"/>
      <c r="AX850" s="3"/>
      <c r="AY850" s="7"/>
      <c r="AZ850" s="6"/>
      <c r="BA850" s="3"/>
      <c r="BB850" s="6"/>
      <c r="BC850" s="6"/>
      <c r="BD850" s="3"/>
      <c r="BE850" s="3"/>
      <c r="BF850" s="6"/>
      <c r="BG850" s="3"/>
      <c r="BH850" s="3"/>
      <c r="BI850" s="6"/>
      <c r="BJ850" s="3"/>
      <c r="BK850" s="3"/>
      <c r="BL850" s="6"/>
      <c r="BM850" s="3"/>
      <c r="BN850" s="7"/>
      <c r="BO850" s="6"/>
      <c r="BP850" s="3"/>
      <c r="BQ850" s="6"/>
      <c r="BR850" s="6"/>
      <c r="BS850" s="3"/>
      <c r="BT850" s="3"/>
      <c r="BU850" s="6"/>
      <c r="BV850" s="3"/>
      <c r="BW850" s="3"/>
      <c r="BX850" s="6"/>
      <c r="BY850" s="3"/>
      <c r="BZ850" s="3"/>
      <c r="CA850" s="6"/>
      <c r="CB850" s="3"/>
      <c r="CC850" s="7"/>
      <c r="CD850" s="6"/>
      <c r="CE850" s="3"/>
      <c r="CF850" s="6"/>
      <c r="CG850" s="6"/>
      <c r="CH850" s="3"/>
      <c r="CI850" s="3"/>
      <c r="CJ850" s="6"/>
      <c r="CK850" s="3"/>
      <c r="CL850" s="3"/>
      <c r="CM850" s="6"/>
      <c r="CN850" s="3"/>
      <c r="CO850" s="3"/>
      <c r="CP850" s="6"/>
      <c r="CQ850" s="3"/>
      <c r="CR850" s="7"/>
      <c r="CS850" s="6"/>
      <c r="CT850" s="3"/>
      <c r="CU850" s="6"/>
      <c r="CV850" s="6"/>
      <c r="CW850" s="3"/>
      <c r="CX850" s="3"/>
      <c r="CY850" s="6"/>
      <c r="CZ850" s="3"/>
      <c r="DA850" s="3"/>
      <c r="DB850" s="6"/>
      <c r="DC850" s="3"/>
      <c r="DD850" s="3"/>
      <c r="DE850" s="6"/>
      <c r="DF850" s="3"/>
      <c r="DG850" s="7"/>
      <c r="DH850" s="6"/>
      <c r="DI850" s="3"/>
      <c r="DJ850" s="6"/>
      <c r="DK850" s="6"/>
      <c r="DL850" s="3"/>
      <c r="DM850" s="3"/>
      <c r="DN850" s="6"/>
      <c r="DO850" s="3"/>
      <c r="DP850" s="3"/>
      <c r="DQ850" s="6"/>
      <c r="DR850" s="3"/>
      <c r="DS850" s="3" t="str">
        <f>_xlfn.XLOOKUP(OfficeForms.Table[[#This Row],[Selecione a Categoria do Laboratório desta atividade prática:]],Planilha1!A:A,Planilha1!B:B)</f>
        <v>EMF-ISN</v>
      </c>
      <c r="DT850" s="6" t="str">
        <f>CONCATENATE(OfficeForms.Table[[#This Row],[Selecione seu Polo Laboratório de Atividades Presenciais:]],OfficeForms.Table[[#This Row],[CHAVE CONVERSÃO]])</f>
        <v>MÃE DO RIO/PAEMF-ISN</v>
      </c>
      <c r="DU85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</v>
      </c>
      <c r="DV85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46115</v>
      </c>
      <c r="DW85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850" s="6" t="str">
        <f>_xlfn.XLOOKUP(OfficeForms.Table[[#This Row],[CHAVE LINK POLO]],'[1]Quadro Geral de Lotação'!$B:$B,'[1]Quadro Geral de Lotação'!$I:$I)</f>
        <v>Maria Marly De Oliveira Reis Lopes</v>
      </c>
      <c r="DY850" s="6" t="str">
        <f>OfficeForms.Table[[#This Row],[Selecione a Ordem de Disciplina]]</f>
        <v>Ordem 3</v>
      </c>
    </row>
    <row r="851" spans="1:129" ht="34.15" customHeight="1">
      <c r="A851" s="6">
        <v>851</v>
      </c>
      <c r="B851" s="2">
        <v>46134.794976851903</v>
      </c>
      <c r="C851" s="2">
        <v>46134.796053240701</v>
      </c>
      <c r="D851" s="3" t="s">
        <v>221</v>
      </c>
      <c r="E851" s="3" t="s">
        <v>222</v>
      </c>
      <c r="F851" s="6"/>
      <c r="G851" s="3"/>
      <c r="I851" s="3" t="s">
        <v>223</v>
      </c>
      <c r="J851" s="6"/>
      <c r="K851" s="3"/>
      <c r="L851" s="6" t="s">
        <v>1325</v>
      </c>
      <c r="M851" s="6"/>
      <c r="N851" s="6"/>
      <c r="O851" s="3" t="s">
        <v>184</v>
      </c>
      <c r="P851" s="6"/>
      <c r="Q851" s="3"/>
      <c r="R851" s="3"/>
      <c r="S851" s="6"/>
      <c r="T851" s="3"/>
      <c r="U851" s="7"/>
      <c r="V851" s="6"/>
      <c r="W851" s="3"/>
      <c r="X851" s="6"/>
      <c r="Y851" s="6"/>
      <c r="Z851" s="3"/>
      <c r="AA851" s="3"/>
      <c r="AB851" s="6"/>
      <c r="AC851" s="3"/>
      <c r="AD851" s="3"/>
      <c r="AE851" s="6"/>
      <c r="AF851" s="3"/>
      <c r="AG851" s="3" t="s">
        <v>2117</v>
      </c>
      <c r="AH851" s="6"/>
      <c r="AI851" s="3"/>
      <c r="AJ851" s="1">
        <v>46125</v>
      </c>
      <c r="AK851" s="6"/>
      <c r="AL851" s="3"/>
      <c r="AM851" s="6">
        <v>1</v>
      </c>
      <c r="AN851" s="6"/>
      <c r="AO851" s="3"/>
      <c r="AP851" s="3" t="s">
        <v>2401</v>
      </c>
      <c r="AQ851" s="6"/>
      <c r="AR851" s="3"/>
      <c r="AS851" s="3" t="s">
        <v>2402</v>
      </c>
      <c r="AT851" s="6"/>
      <c r="AU851" s="3"/>
      <c r="AV851" s="3"/>
      <c r="AW851" s="6"/>
      <c r="AX851" s="3"/>
      <c r="AY851" s="7"/>
      <c r="AZ851" s="6"/>
      <c r="BA851" s="3"/>
      <c r="BB851" s="6"/>
      <c r="BC851" s="6"/>
      <c r="BD851" s="3"/>
      <c r="BE851" s="3"/>
      <c r="BF851" s="6"/>
      <c r="BG851" s="3"/>
      <c r="BH851" s="3"/>
      <c r="BI851" s="6"/>
      <c r="BJ851" s="3"/>
      <c r="BK851" s="3"/>
      <c r="BL851" s="6"/>
      <c r="BM851" s="3"/>
      <c r="BN851" s="7"/>
      <c r="BO851" s="6"/>
      <c r="BP851" s="3"/>
      <c r="BQ851" s="6"/>
      <c r="BR851" s="6"/>
      <c r="BS851" s="3"/>
      <c r="BT851" s="3"/>
      <c r="BU851" s="6"/>
      <c r="BV851" s="3"/>
      <c r="BW851" s="3"/>
      <c r="BX851" s="6"/>
      <c r="BY851" s="3"/>
      <c r="BZ851" s="3"/>
      <c r="CA851" s="6"/>
      <c r="CB851" s="3"/>
      <c r="CC851" s="7"/>
      <c r="CD851" s="6"/>
      <c r="CE851" s="3"/>
      <c r="CF851" s="6"/>
      <c r="CG851" s="6"/>
      <c r="CH851" s="3"/>
      <c r="CI851" s="3"/>
      <c r="CJ851" s="6"/>
      <c r="CK851" s="3"/>
      <c r="CL851" s="3"/>
      <c r="CM851" s="6"/>
      <c r="CN851" s="3"/>
      <c r="CO851" s="3"/>
      <c r="CP851" s="6"/>
      <c r="CQ851" s="3"/>
      <c r="CR851" s="7"/>
      <c r="CS851" s="6"/>
      <c r="CT851" s="3"/>
      <c r="CU851" s="6"/>
      <c r="CV851" s="6"/>
      <c r="CW851" s="3"/>
      <c r="CX851" s="3"/>
      <c r="CY851" s="6"/>
      <c r="CZ851" s="3"/>
      <c r="DA851" s="3"/>
      <c r="DB851" s="6"/>
      <c r="DC851" s="3"/>
      <c r="DD851" s="3"/>
      <c r="DE851" s="6"/>
      <c r="DF851" s="3"/>
      <c r="DG851" s="7"/>
      <c r="DH851" s="6"/>
      <c r="DI851" s="3"/>
      <c r="DJ851" s="6"/>
      <c r="DK851" s="6"/>
      <c r="DL851" s="3"/>
      <c r="DM851" s="3"/>
      <c r="DN851" s="6"/>
      <c r="DO851" s="3"/>
      <c r="DP851" s="3"/>
      <c r="DQ851" s="6"/>
      <c r="DR851" s="3"/>
      <c r="DS851" s="3" t="str">
        <f>_xlfn.XLOOKUP(OfficeForms.Table[[#This Row],[Selecione a Categoria do Laboratório desta atividade prática:]],Planilha1!A:A,Planilha1!B:B)</f>
        <v>EMF-ISN</v>
      </c>
      <c r="DT851" s="6" t="str">
        <f>CONCATENATE(OfficeForms.Table[[#This Row],[Selecione seu Polo Laboratório de Atividades Presenciais:]],OfficeForms.Table[[#This Row],[CHAVE CONVERSÃO]])</f>
        <v>Presidente Prudente/SP - Jardim GuanabaraEMF-ISN</v>
      </c>
      <c r="DU85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gravídico-puerperal;Saúde da mulher reprodutiva + Realização do exame de Papanicolau</v>
      </c>
      <c r="DV85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85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51" s="6" t="str">
        <f>_xlfn.XLOOKUP(OfficeForms.Table[[#This Row],[CHAVE LINK POLO]],'[1]Quadro Geral de Lotação'!$B:$B,'[1]Quadro Geral de Lotação'!$I:$I)</f>
        <v>Aquiles Gonzales De Andrade</v>
      </c>
      <c r="DY851" s="6" t="str">
        <f>OfficeForms.Table[[#This Row],[Selecione a Ordem de Disciplina]]</f>
        <v>Ordem 3</v>
      </c>
    </row>
    <row r="852" spans="1:129" ht="34.15" customHeight="1">
      <c r="A852" s="6">
        <v>852</v>
      </c>
      <c r="B852" s="2">
        <v>46134.790740740696</v>
      </c>
      <c r="C852" s="2">
        <v>46134.802962962996</v>
      </c>
      <c r="D852" s="3" t="s">
        <v>268</v>
      </c>
      <c r="E852" s="3" t="s">
        <v>269</v>
      </c>
      <c r="F852" s="6"/>
      <c r="G852" s="3"/>
      <c r="I852" s="3" t="s">
        <v>270</v>
      </c>
      <c r="J852" s="6"/>
      <c r="K852" s="3"/>
      <c r="L852" s="6" t="s">
        <v>678</v>
      </c>
      <c r="M852" s="6"/>
      <c r="N852" s="6"/>
      <c r="O852" s="3" t="s">
        <v>184</v>
      </c>
      <c r="P852" s="6"/>
      <c r="Q852" s="3"/>
      <c r="R852" s="3"/>
      <c r="S852" s="6"/>
      <c r="T852" s="3"/>
      <c r="U852" s="7"/>
      <c r="V852" s="6"/>
      <c r="W852" s="3"/>
      <c r="X852" s="6"/>
      <c r="Y852" s="6"/>
      <c r="Z852" s="3"/>
      <c r="AA852" s="3"/>
      <c r="AB852" s="6"/>
      <c r="AC852" s="3"/>
      <c r="AD852" s="3"/>
      <c r="AE852" s="6"/>
      <c r="AF852" s="3"/>
      <c r="AG852" s="3" t="s">
        <v>2403</v>
      </c>
      <c r="AH852" s="6"/>
      <c r="AI852" s="3"/>
      <c r="AJ852" s="1">
        <v>46127</v>
      </c>
      <c r="AK852" s="6"/>
      <c r="AL852" s="3"/>
      <c r="AM852" s="6">
        <v>3</v>
      </c>
      <c r="AN852" s="6"/>
      <c r="AO852" s="3"/>
      <c r="AP852" s="3" t="s">
        <v>2404</v>
      </c>
      <c r="AQ852" s="6"/>
      <c r="AR852" s="3"/>
      <c r="AS852" s="3" t="s">
        <v>2405</v>
      </c>
      <c r="AT852" s="6"/>
      <c r="AU852" s="3"/>
      <c r="AV852" s="3"/>
      <c r="AW852" s="6"/>
      <c r="AX852" s="3"/>
      <c r="AY852" s="7"/>
      <c r="AZ852" s="6"/>
      <c r="BA852" s="3"/>
      <c r="BB852" s="6"/>
      <c r="BC852" s="6"/>
      <c r="BD852" s="3"/>
      <c r="BE852" s="3"/>
      <c r="BF852" s="6"/>
      <c r="BG852" s="3"/>
      <c r="BH852" s="3"/>
      <c r="BI852" s="6"/>
      <c r="BJ852" s="3"/>
      <c r="BK852" s="3"/>
      <c r="BL852" s="6"/>
      <c r="BM852" s="3"/>
      <c r="BN852" s="7"/>
      <c r="BO852" s="6"/>
      <c r="BP852" s="3"/>
      <c r="BQ852" s="6"/>
      <c r="BR852" s="6"/>
      <c r="BS852" s="3"/>
      <c r="BT852" s="3"/>
      <c r="BU852" s="6"/>
      <c r="BV852" s="3"/>
      <c r="BW852" s="3"/>
      <c r="BX852" s="6"/>
      <c r="BY852" s="3"/>
      <c r="BZ852" s="3"/>
      <c r="CA852" s="6"/>
      <c r="CB852" s="3"/>
      <c r="CC852" s="7"/>
      <c r="CD852" s="6"/>
      <c r="CE852" s="3"/>
      <c r="CF852" s="6"/>
      <c r="CG852" s="6"/>
      <c r="CH852" s="3"/>
      <c r="CI852" s="3"/>
      <c r="CJ852" s="6"/>
      <c r="CK852" s="3"/>
      <c r="CL852" s="3"/>
      <c r="CM852" s="6"/>
      <c r="CN852" s="3"/>
      <c r="CO852" s="3"/>
      <c r="CP852" s="6"/>
      <c r="CQ852" s="3"/>
      <c r="CR852" s="7"/>
      <c r="CS852" s="6"/>
      <c r="CT852" s="3"/>
      <c r="CU852" s="6"/>
      <c r="CV852" s="6"/>
      <c r="CW852" s="3"/>
      <c r="CX852" s="3"/>
      <c r="CY852" s="6"/>
      <c r="CZ852" s="3"/>
      <c r="DA852" s="3"/>
      <c r="DB852" s="6"/>
      <c r="DC852" s="3"/>
      <c r="DD852" s="3"/>
      <c r="DE852" s="6"/>
      <c r="DF852" s="3"/>
      <c r="DG852" s="7"/>
      <c r="DH852" s="6"/>
      <c r="DI852" s="3"/>
      <c r="DJ852" s="6"/>
      <c r="DK852" s="6"/>
      <c r="DL852" s="3"/>
      <c r="DM852" s="3"/>
      <c r="DN852" s="6"/>
      <c r="DO852" s="3"/>
      <c r="DP852" s="3"/>
      <c r="DQ852" s="6"/>
      <c r="DR852" s="3"/>
      <c r="DS852" s="3" t="str">
        <f>_xlfn.XLOOKUP(OfficeForms.Table[[#This Row],[Selecione a Categoria do Laboratório desta atividade prática:]],Planilha1!A:A,Planilha1!B:B)</f>
        <v>EMF-ISN</v>
      </c>
      <c r="DT852" s="6" t="str">
        <f>CONCATENATE(OfficeForms.Table[[#This Row],[Selecione seu Polo Laboratório de Atividades Presenciais:]],OfficeForms.Table[[#This Row],[CHAVE CONVERSÃO]])</f>
        <v>Nossa Senhora da Glória/SEEMF-ISN</v>
      </c>
      <c r="DU85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Sondagem vesical de alívio + Sondagem vesical de demora;Punção Venosa + Retirada de pontos;Banho de leito + Lavagem gástrica</v>
      </c>
      <c r="DV85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5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52" s="6" t="str">
        <f>_xlfn.XLOOKUP(OfficeForms.Table[[#This Row],[CHAVE LINK POLO]],'[1]Quadro Geral de Lotação'!$B:$B,'[1]Quadro Geral de Lotação'!$I:$I)</f>
        <v>Amanda Santos</v>
      </c>
      <c r="DY852" s="6" t="str">
        <f>OfficeForms.Table[[#This Row],[Selecione a Ordem de Disciplina]]</f>
        <v>Ordem 2</v>
      </c>
    </row>
    <row r="853" spans="1:129" ht="34.15" customHeight="1">
      <c r="A853" s="6">
        <v>853</v>
      </c>
      <c r="B853" s="2">
        <v>46134.8034259259</v>
      </c>
      <c r="C853" s="2">
        <v>46134.810196759303</v>
      </c>
      <c r="D853" s="3" t="s">
        <v>268</v>
      </c>
      <c r="E853" s="3" t="s">
        <v>269</v>
      </c>
      <c r="F853" s="6"/>
      <c r="G853" s="3"/>
      <c r="I853" s="3" t="s">
        <v>270</v>
      </c>
      <c r="J853" s="6"/>
      <c r="K853" s="3"/>
      <c r="L853" s="6" t="s">
        <v>678</v>
      </c>
      <c r="M853" s="6"/>
      <c r="N853" s="6"/>
      <c r="O853" s="3" t="s">
        <v>184</v>
      </c>
      <c r="P853" s="6"/>
      <c r="Q853" s="3"/>
      <c r="R853" s="3"/>
      <c r="S853" s="6"/>
      <c r="T853" s="3"/>
      <c r="U853" s="7"/>
      <c r="V853" s="6"/>
      <c r="W853" s="3"/>
      <c r="X853" s="6"/>
      <c r="Y853" s="6"/>
      <c r="Z853" s="3"/>
      <c r="AA853" s="3"/>
      <c r="AB853" s="6"/>
      <c r="AC853" s="3"/>
      <c r="AD853" s="3"/>
      <c r="AE853" s="6"/>
      <c r="AF853" s="3"/>
      <c r="AG853" s="3" t="s">
        <v>1105</v>
      </c>
      <c r="AH853" s="6"/>
      <c r="AI853" s="3"/>
      <c r="AJ853" s="1">
        <v>46106</v>
      </c>
      <c r="AK853" s="6"/>
      <c r="AL853" s="3"/>
      <c r="AM853" s="6">
        <v>14</v>
      </c>
      <c r="AN853" s="6"/>
      <c r="AO853" s="3"/>
      <c r="AP853" s="3" t="s">
        <v>2406</v>
      </c>
      <c r="AQ853" s="6"/>
      <c r="AR853" s="3"/>
      <c r="AS853" s="3" t="s">
        <v>2407</v>
      </c>
      <c r="AT853" s="6"/>
      <c r="AU853" s="3"/>
      <c r="AV853" s="3"/>
      <c r="AW853" s="6"/>
      <c r="AX853" s="3"/>
      <c r="AY853" s="7"/>
      <c r="AZ853" s="6"/>
      <c r="BA853" s="3"/>
      <c r="BB853" s="6"/>
      <c r="BC853" s="6"/>
      <c r="BD853" s="3"/>
      <c r="BE853" s="3"/>
      <c r="BF853" s="6"/>
      <c r="BG853" s="3"/>
      <c r="BH853" s="3"/>
      <c r="BI853" s="6"/>
      <c r="BJ853" s="3"/>
      <c r="BK853" s="3"/>
      <c r="BL853" s="6"/>
      <c r="BM853" s="3"/>
      <c r="BN853" s="7"/>
      <c r="BO853" s="6"/>
      <c r="BP853" s="3"/>
      <c r="BQ853" s="6"/>
      <c r="BR853" s="6"/>
      <c r="BS853" s="3"/>
      <c r="BT853" s="3"/>
      <c r="BU853" s="6"/>
      <c r="BV853" s="3"/>
      <c r="BW853" s="3"/>
      <c r="BX853" s="6"/>
      <c r="BY853" s="3"/>
      <c r="BZ853" s="3"/>
      <c r="CA853" s="6"/>
      <c r="CB853" s="3"/>
      <c r="CC853" s="7"/>
      <c r="CD853" s="6"/>
      <c r="CE853" s="3"/>
      <c r="CF853" s="6"/>
      <c r="CG853" s="6"/>
      <c r="CH853" s="3"/>
      <c r="CI853" s="3"/>
      <c r="CJ853" s="6"/>
      <c r="CK853" s="3"/>
      <c r="CL853" s="3"/>
      <c r="CM853" s="6"/>
      <c r="CN853" s="3"/>
      <c r="CO853" s="3"/>
      <c r="CP853" s="6"/>
      <c r="CQ853" s="3"/>
      <c r="CR853" s="7"/>
      <c r="CS853" s="6"/>
      <c r="CT853" s="3"/>
      <c r="CU853" s="6"/>
      <c r="CV853" s="6"/>
      <c r="CW853" s="3"/>
      <c r="CX853" s="3"/>
      <c r="CY853" s="6"/>
      <c r="CZ853" s="3"/>
      <c r="DA853" s="3"/>
      <c r="DB853" s="6"/>
      <c r="DC853" s="3"/>
      <c r="DD853" s="3"/>
      <c r="DE853" s="6"/>
      <c r="DF853" s="3"/>
      <c r="DG853" s="7"/>
      <c r="DH853" s="6"/>
      <c r="DI853" s="3"/>
      <c r="DJ853" s="6"/>
      <c r="DK853" s="6"/>
      <c r="DL853" s="3"/>
      <c r="DM853" s="3"/>
      <c r="DN853" s="6"/>
      <c r="DO853" s="3"/>
      <c r="DP853" s="3"/>
      <c r="DQ853" s="6"/>
      <c r="DR853" s="3"/>
      <c r="DS853" s="3" t="str">
        <f>_xlfn.XLOOKUP(OfficeForms.Table[[#This Row],[Selecione a Categoria do Laboratório desta atividade prática:]],Planilha1!A:A,Planilha1!B:B)</f>
        <v>EMF-ISN</v>
      </c>
      <c r="DT853" s="6" t="str">
        <f>CONCATENATE(OfficeForms.Table[[#This Row],[Selecione seu Polo Laboratório de Atividades Presenciais:]],OfficeForms.Table[[#This Row],[CHAVE CONVERSÃO]])</f>
        <v>Nossa Senhora da Glória/SEEMF-ISN</v>
      </c>
      <c r="DU85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Abordagem e cuidados de enfermagem em episódio de surto psicótico</v>
      </c>
      <c r="DV85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46106</v>
      </c>
      <c r="DW85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14</v>
      </c>
      <c r="DX853" s="6" t="str">
        <f>_xlfn.XLOOKUP(OfficeForms.Table[[#This Row],[CHAVE LINK POLO]],'[1]Quadro Geral de Lotação'!$B:$B,'[1]Quadro Geral de Lotação'!$I:$I)</f>
        <v>Amanda Santos</v>
      </c>
      <c r="DY853" s="6" t="str">
        <f>OfficeForms.Table[[#This Row],[Selecione a Ordem de Disciplina]]</f>
        <v>Ordem 2</v>
      </c>
    </row>
    <row r="854" spans="1:129" ht="34.15" customHeight="1">
      <c r="A854" s="6">
        <v>854</v>
      </c>
      <c r="B854" s="2">
        <v>46134.818263888897</v>
      </c>
      <c r="C854" s="2">
        <v>46134.8194097222</v>
      </c>
      <c r="D854" s="3" t="s">
        <v>268</v>
      </c>
      <c r="E854" s="3" t="s">
        <v>269</v>
      </c>
      <c r="F854" s="6"/>
      <c r="G854" s="3"/>
      <c r="I854" s="3" t="s">
        <v>270</v>
      </c>
      <c r="J854" s="6"/>
      <c r="K854" s="3"/>
      <c r="L854" s="6" t="s">
        <v>1325</v>
      </c>
      <c r="M854" s="6"/>
      <c r="N854" s="6"/>
      <c r="O854" s="3" t="s">
        <v>184</v>
      </c>
      <c r="P854" s="6"/>
      <c r="Q854" s="3"/>
      <c r="R854" s="3"/>
      <c r="S854" s="6"/>
      <c r="T854" s="3"/>
      <c r="U854" s="7"/>
      <c r="V854" s="6"/>
      <c r="W854" s="3"/>
      <c r="X854" s="6"/>
      <c r="Y854" s="6"/>
      <c r="Z854" s="3"/>
      <c r="AA854" s="3"/>
      <c r="AB854" s="6"/>
      <c r="AC854" s="3"/>
      <c r="AD854" s="3"/>
      <c r="AE854" s="6"/>
      <c r="AF854" s="3"/>
      <c r="AG854" s="3" t="s">
        <v>1013</v>
      </c>
      <c r="AH854" s="6"/>
      <c r="AI854" s="3"/>
      <c r="AJ854" s="1">
        <v>46120</v>
      </c>
      <c r="AK854" s="6"/>
      <c r="AL854" s="3"/>
      <c r="AM854" s="6">
        <v>2</v>
      </c>
      <c r="AN854" s="6"/>
      <c r="AO854" s="3"/>
      <c r="AP854" s="3" t="s">
        <v>2408</v>
      </c>
      <c r="AQ854" s="6"/>
      <c r="AR854" s="3"/>
      <c r="AS854" s="3" t="s">
        <v>2409</v>
      </c>
      <c r="AT854" s="6"/>
      <c r="AU854" s="3"/>
      <c r="AV854" s="3"/>
      <c r="AW854" s="6"/>
      <c r="AX854" s="3"/>
      <c r="AY854" s="7"/>
      <c r="AZ854" s="6"/>
      <c r="BA854" s="3"/>
      <c r="BB854" s="6"/>
      <c r="BC854" s="6"/>
      <c r="BD854" s="3"/>
      <c r="BE854" s="3"/>
      <c r="BF854" s="6"/>
      <c r="BG854" s="3"/>
      <c r="BH854" s="3"/>
      <c r="BI854" s="6"/>
      <c r="BJ854" s="3"/>
      <c r="BK854" s="3"/>
      <c r="BL854" s="6"/>
      <c r="BM854" s="3"/>
      <c r="BN854" s="7"/>
      <c r="BO854" s="6"/>
      <c r="BP854" s="3"/>
      <c r="BQ854" s="6"/>
      <c r="BR854" s="6"/>
      <c r="BS854" s="3"/>
      <c r="BT854" s="3"/>
      <c r="BU854" s="6"/>
      <c r="BV854" s="3"/>
      <c r="BW854" s="3"/>
      <c r="BX854" s="6"/>
      <c r="BY854" s="3"/>
      <c r="BZ854" s="3"/>
      <c r="CA854" s="6"/>
      <c r="CB854" s="3"/>
      <c r="CC854" s="7"/>
      <c r="CD854" s="6"/>
      <c r="CE854" s="3"/>
      <c r="CF854" s="6"/>
      <c r="CG854" s="6"/>
      <c r="CH854" s="3"/>
      <c r="CI854" s="3"/>
      <c r="CJ854" s="6"/>
      <c r="CK854" s="3"/>
      <c r="CL854" s="3"/>
      <c r="CM854" s="6"/>
      <c r="CN854" s="3"/>
      <c r="CO854" s="3"/>
      <c r="CP854" s="6"/>
      <c r="CQ854" s="3"/>
      <c r="CR854" s="7"/>
      <c r="CS854" s="6"/>
      <c r="CT854" s="3"/>
      <c r="CU854" s="6"/>
      <c r="CV854" s="6"/>
      <c r="CW854" s="3"/>
      <c r="CX854" s="3"/>
      <c r="CY854" s="6"/>
      <c r="CZ854" s="3"/>
      <c r="DA854" s="3"/>
      <c r="DB854" s="6"/>
      <c r="DC854" s="3"/>
      <c r="DD854" s="3"/>
      <c r="DE854" s="6"/>
      <c r="DF854" s="3"/>
      <c r="DG854" s="7"/>
      <c r="DH854" s="6"/>
      <c r="DI854" s="3"/>
      <c r="DJ854" s="6"/>
      <c r="DK854" s="6"/>
      <c r="DL854" s="3"/>
      <c r="DM854" s="3"/>
      <c r="DN854" s="6"/>
      <c r="DO854" s="3"/>
      <c r="DP854" s="3"/>
      <c r="DQ854" s="6"/>
      <c r="DR854" s="3"/>
      <c r="DS854" s="3" t="str">
        <f>_xlfn.XLOOKUP(OfficeForms.Table[[#This Row],[Selecione a Categoria do Laboratório desta atividade prática:]],Planilha1!A:A,Planilha1!B:B)</f>
        <v>EMF-ISN</v>
      </c>
      <c r="DT854" s="6" t="str">
        <f>CONCATENATE(OfficeForms.Table[[#This Row],[Selecione seu Polo Laboratório de Atividades Presenciais:]],OfficeForms.Table[[#This Row],[CHAVE CONVERSÃO]])</f>
        <v>Nossa Senhora da Glória/SEEMF-ISN</v>
      </c>
      <c r="DU85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</v>
      </c>
      <c r="DV85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85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54" s="6" t="str">
        <f>_xlfn.XLOOKUP(OfficeForms.Table[[#This Row],[CHAVE LINK POLO]],'[1]Quadro Geral de Lotação'!$B:$B,'[1]Quadro Geral de Lotação'!$I:$I)</f>
        <v>Amanda Santos</v>
      </c>
      <c r="DY854" s="6" t="str">
        <f>OfficeForms.Table[[#This Row],[Selecione a Ordem de Disciplina]]</f>
        <v>Ordem 3</v>
      </c>
    </row>
    <row r="855" spans="1:129" ht="34.15" customHeight="1">
      <c r="A855" s="6">
        <v>855</v>
      </c>
      <c r="B855" s="2">
        <v>46134.798888888901</v>
      </c>
      <c r="C855" s="2">
        <v>46134.829317129603</v>
      </c>
      <c r="D855" s="3" t="s">
        <v>2410</v>
      </c>
      <c r="E855" s="3" t="s">
        <v>2411</v>
      </c>
      <c r="F855" s="6"/>
      <c r="G855" s="3"/>
      <c r="I855" s="3" t="s">
        <v>149</v>
      </c>
      <c r="J855" s="6"/>
      <c r="K855" s="3"/>
      <c r="L855" s="6" t="s">
        <v>1325</v>
      </c>
      <c r="M855" s="6"/>
      <c r="N855" s="6"/>
      <c r="O855" s="3" t="s">
        <v>497</v>
      </c>
      <c r="P855" s="6"/>
      <c r="Q855" s="3"/>
      <c r="R855" s="3" t="s">
        <v>1854</v>
      </c>
      <c r="S855" s="6"/>
      <c r="T855" s="3"/>
      <c r="U855" s="7">
        <v>46128</v>
      </c>
      <c r="V855" s="6"/>
      <c r="W855" s="3"/>
      <c r="X855" s="6">
        <v>8</v>
      </c>
      <c r="Y855" s="6"/>
      <c r="Z855" s="3"/>
      <c r="AA855" s="3" t="s">
        <v>2412</v>
      </c>
      <c r="AB855" s="6"/>
      <c r="AC855" s="3"/>
      <c r="AD855" s="3" t="s">
        <v>2413</v>
      </c>
      <c r="AE855" s="6"/>
      <c r="AF855" s="3"/>
      <c r="AG855" s="3"/>
      <c r="AH855" s="6"/>
      <c r="AI855" s="3"/>
      <c r="AJ855" s="1"/>
      <c r="AK855" s="6"/>
      <c r="AL855" s="3"/>
      <c r="AM855" s="6"/>
      <c r="AN855" s="6"/>
      <c r="AO855" s="3"/>
      <c r="AP855" s="3"/>
      <c r="AQ855" s="6"/>
      <c r="AR855" s="3"/>
      <c r="AS855" s="3"/>
      <c r="AT855" s="6"/>
      <c r="AU855" s="3"/>
      <c r="AV855" s="3"/>
      <c r="AW855" s="6"/>
      <c r="AX855" s="3"/>
      <c r="AY855" s="7"/>
      <c r="AZ855" s="6"/>
      <c r="BA855" s="3"/>
      <c r="BB855" s="6"/>
      <c r="BC855" s="6"/>
      <c r="BD855" s="3"/>
      <c r="BE855" s="3"/>
      <c r="BF855" s="6"/>
      <c r="BG855" s="3"/>
      <c r="BH855" s="3"/>
      <c r="BI855" s="6"/>
      <c r="BJ855" s="3"/>
      <c r="BK855" s="3"/>
      <c r="BL855" s="6"/>
      <c r="BM855" s="3"/>
      <c r="BN855" s="7"/>
      <c r="BO855" s="6"/>
      <c r="BP855" s="3"/>
      <c r="BQ855" s="6"/>
      <c r="BR855" s="6"/>
      <c r="BS855" s="3"/>
      <c r="BT855" s="3"/>
      <c r="BU855" s="6"/>
      <c r="BV855" s="3"/>
      <c r="BW855" s="3"/>
      <c r="BX855" s="6"/>
      <c r="BY855" s="3"/>
      <c r="BZ855" s="3"/>
      <c r="CA855" s="6"/>
      <c r="CB855" s="3"/>
      <c r="CC855" s="7"/>
      <c r="CD855" s="6"/>
      <c r="CE855" s="3"/>
      <c r="CF855" s="6"/>
      <c r="CG855" s="6"/>
      <c r="CH855" s="3"/>
      <c r="CI855" s="3"/>
      <c r="CJ855" s="6"/>
      <c r="CK855" s="3"/>
      <c r="CL855" s="3"/>
      <c r="CM855" s="6"/>
      <c r="CN855" s="3"/>
      <c r="CO855" s="3"/>
      <c r="CP855" s="6"/>
      <c r="CQ855" s="3"/>
      <c r="CR855" s="7"/>
      <c r="CS855" s="6"/>
      <c r="CT855" s="3"/>
      <c r="CU855" s="6"/>
      <c r="CV855" s="6"/>
      <c r="CW855" s="3"/>
      <c r="CX855" s="3"/>
      <c r="CY855" s="6"/>
      <c r="CZ855" s="3"/>
      <c r="DA855" s="3"/>
      <c r="DB855" s="6"/>
      <c r="DC855" s="3"/>
      <c r="DD855" s="3"/>
      <c r="DE855" s="6"/>
      <c r="DF855" s="3"/>
      <c r="DG855" s="7"/>
      <c r="DH855" s="6"/>
      <c r="DI855" s="3"/>
      <c r="DJ855" s="6"/>
      <c r="DK855" s="6"/>
      <c r="DL855" s="3"/>
      <c r="DM855" s="3"/>
      <c r="DN855" s="6"/>
      <c r="DO855" s="3"/>
      <c r="DP855" s="3"/>
      <c r="DQ855" s="6"/>
      <c r="DR855" s="3"/>
      <c r="DS855" s="3" t="str">
        <f>_xlfn.XLOOKUP(OfficeForms.Table[[#This Row],[Selecione a Categoria do Laboratório desta atividade prática:]],Planilha1!A:A,Planilha1!B:B)</f>
        <v>BFR-BBI</v>
      </c>
      <c r="DT855" s="6" t="str">
        <f>CONCATENATE(OfficeForms.Table[[#This Row],[Selecione seu Polo Laboratório de Atividades Presenciais:]],OfficeForms.Table[[#This Row],[CHAVE CONVERSÃO]])</f>
        <v>Itajaí/SC - São VicenteBFR-BBI</v>
      </c>
      <c r="DU85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Velocidade de Hemossedimentação</v>
      </c>
      <c r="DV85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5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855" s="6" t="e">
        <f>_xlfn.XLOOKUP(OfficeForms.Table[[#This Row],[CHAVE LINK POLO]],'[1]Quadro Geral de Lotação'!$B:$B,'[1]Quadro Geral de Lotação'!$I:$I)</f>
        <v>#N/A</v>
      </c>
      <c r="DY855" s="6" t="str">
        <f>OfficeForms.Table[[#This Row],[Selecione a Ordem de Disciplina]]</f>
        <v>Ordem 3</v>
      </c>
    </row>
    <row r="856" spans="1:129" ht="34.15" customHeight="1">
      <c r="A856" s="6">
        <v>856</v>
      </c>
      <c r="B856" s="2">
        <v>46134.865324074097</v>
      </c>
      <c r="C856" s="2">
        <v>46134.8683101852</v>
      </c>
      <c r="D856" s="3" t="s">
        <v>319</v>
      </c>
      <c r="E856" s="3" t="s">
        <v>320</v>
      </c>
      <c r="F856" s="6"/>
      <c r="G856" s="3"/>
      <c r="I856" s="3" t="s">
        <v>321</v>
      </c>
      <c r="J856" s="6"/>
      <c r="K856" s="3"/>
      <c r="L856" s="6" t="s">
        <v>678</v>
      </c>
      <c r="M856" s="6"/>
      <c r="N856" s="6"/>
      <c r="O856" s="3" t="s">
        <v>184</v>
      </c>
      <c r="P856" s="6"/>
      <c r="Q856" s="3"/>
      <c r="R856" s="3"/>
      <c r="S856" s="6"/>
      <c r="T856" s="3"/>
      <c r="U856" s="7"/>
      <c r="V856" s="6"/>
      <c r="W856" s="3"/>
      <c r="X856" s="6"/>
      <c r="Y856" s="6"/>
      <c r="Z856" s="3"/>
      <c r="AA856" s="3"/>
      <c r="AB856" s="6"/>
      <c r="AC856" s="3"/>
      <c r="AD856" s="3"/>
      <c r="AE856" s="6"/>
      <c r="AF856" s="3"/>
      <c r="AG856" s="3" t="s">
        <v>1031</v>
      </c>
      <c r="AH856" s="6"/>
      <c r="AI856" s="3"/>
      <c r="AJ856" s="1">
        <v>46113</v>
      </c>
      <c r="AK856" s="6"/>
      <c r="AL856" s="3"/>
      <c r="AM856" s="6">
        <v>0</v>
      </c>
      <c r="AN856" s="6"/>
      <c r="AO856" s="3"/>
      <c r="AP856" s="3" t="s">
        <v>2414</v>
      </c>
      <c r="AQ856" s="6"/>
      <c r="AR856" s="3"/>
      <c r="AS856" s="3" t="s">
        <v>2415</v>
      </c>
      <c r="AT856" s="6"/>
      <c r="AU856" s="3"/>
      <c r="AV856" s="3"/>
      <c r="AW856" s="6"/>
      <c r="AX856" s="3"/>
      <c r="AY856" s="7"/>
      <c r="AZ856" s="6"/>
      <c r="BA856" s="3"/>
      <c r="BB856" s="6"/>
      <c r="BC856" s="6"/>
      <c r="BD856" s="3"/>
      <c r="BE856" s="3"/>
      <c r="BF856" s="6"/>
      <c r="BG856" s="3"/>
      <c r="BH856" s="3"/>
      <c r="BI856" s="6"/>
      <c r="BJ856" s="3"/>
      <c r="BK856" s="3"/>
      <c r="BL856" s="6"/>
      <c r="BM856" s="3"/>
      <c r="BN856" s="7"/>
      <c r="BO856" s="6"/>
      <c r="BP856" s="3"/>
      <c r="BQ856" s="6"/>
      <c r="BR856" s="6"/>
      <c r="BS856" s="3"/>
      <c r="BT856" s="3"/>
      <c r="BU856" s="6"/>
      <c r="BV856" s="3"/>
      <c r="BW856" s="3"/>
      <c r="BX856" s="6"/>
      <c r="BY856" s="3"/>
      <c r="BZ856" s="3"/>
      <c r="CA856" s="6"/>
      <c r="CB856" s="3"/>
      <c r="CC856" s="7"/>
      <c r="CD856" s="6"/>
      <c r="CE856" s="3"/>
      <c r="CF856" s="6"/>
      <c r="CG856" s="6"/>
      <c r="CH856" s="3"/>
      <c r="CI856" s="3"/>
      <c r="CJ856" s="6"/>
      <c r="CK856" s="3"/>
      <c r="CL856" s="3"/>
      <c r="CM856" s="6"/>
      <c r="CN856" s="3"/>
      <c r="CO856" s="3"/>
      <c r="CP856" s="6"/>
      <c r="CQ856" s="3"/>
      <c r="CR856" s="7"/>
      <c r="CS856" s="6"/>
      <c r="CT856" s="3"/>
      <c r="CU856" s="6"/>
      <c r="CV856" s="6"/>
      <c r="CW856" s="3"/>
      <c r="CX856" s="3"/>
      <c r="CY856" s="6"/>
      <c r="CZ856" s="3"/>
      <c r="DA856" s="3"/>
      <c r="DB856" s="6"/>
      <c r="DC856" s="3"/>
      <c r="DD856" s="3"/>
      <c r="DE856" s="6"/>
      <c r="DF856" s="3"/>
      <c r="DG856" s="7"/>
      <c r="DH856" s="6"/>
      <c r="DI856" s="3"/>
      <c r="DJ856" s="6"/>
      <c r="DK856" s="6"/>
      <c r="DL856" s="3"/>
      <c r="DM856" s="3"/>
      <c r="DN856" s="6"/>
      <c r="DO856" s="3"/>
      <c r="DP856" s="3"/>
      <c r="DQ856" s="6"/>
      <c r="DR856" s="3"/>
      <c r="DS856" s="3" t="str">
        <f>_xlfn.XLOOKUP(OfficeForms.Table[[#This Row],[Selecione a Categoria do Laboratório desta atividade prática:]],Planilha1!A:A,Planilha1!B:B)</f>
        <v>EMF-ISN</v>
      </c>
      <c r="DT856" s="6" t="str">
        <f>CONCATENATE(OfficeForms.Table[[#This Row],[Selecione seu Polo Laboratório de Atividades Presenciais:]],OfficeForms.Table[[#This Row],[CHAVE CONVERSÃO]])</f>
        <v>Praia Grande/SPEMF-ISN</v>
      </c>
      <c r="DU85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</v>
      </c>
      <c r="DV85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85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56" s="6" t="str">
        <f>_xlfn.XLOOKUP(OfficeForms.Table[[#This Row],[CHAVE LINK POLO]],'[1]Quadro Geral de Lotação'!$B:$B,'[1]Quadro Geral de Lotação'!$I:$I)</f>
        <v>Eliana Lazari Vieira Goncalves</v>
      </c>
      <c r="DY856" s="6" t="str">
        <f>OfficeForms.Table[[#This Row],[Selecione a Ordem de Disciplina]]</f>
        <v>Ordem 2</v>
      </c>
    </row>
    <row r="857" spans="1:129" ht="34.15" customHeight="1">
      <c r="A857" s="6">
        <v>857</v>
      </c>
      <c r="B857" s="2">
        <v>46134.868414351797</v>
      </c>
      <c r="C857" s="2">
        <v>46134.871863425898</v>
      </c>
      <c r="D857" s="3" t="s">
        <v>319</v>
      </c>
      <c r="E857" s="3" t="s">
        <v>320</v>
      </c>
      <c r="F857" s="6"/>
      <c r="G857" s="3"/>
      <c r="I857" s="3" t="s">
        <v>321</v>
      </c>
      <c r="J857" s="6"/>
      <c r="K857" s="3"/>
      <c r="L857" s="6" t="s">
        <v>678</v>
      </c>
      <c r="M857" s="6"/>
      <c r="N857" s="6"/>
      <c r="O857" s="3" t="s">
        <v>184</v>
      </c>
      <c r="P857" s="6"/>
      <c r="Q857" s="3"/>
      <c r="R857" s="3"/>
      <c r="S857" s="6"/>
      <c r="T857" s="3"/>
      <c r="U857" s="7"/>
      <c r="V857" s="6"/>
      <c r="W857" s="3"/>
      <c r="X857" s="6"/>
      <c r="Y857" s="6"/>
      <c r="Z857" s="3"/>
      <c r="AA857" s="3"/>
      <c r="AB857" s="6"/>
      <c r="AC857" s="3"/>
      <c r="AD857" s="3"/>
      <c r="AE857" s="6"/>
      <c r="AF857" s="3"/>
      <c r="AG857" s="3" t="s">
        <v>2416</v>
      </c>
      <c r="AH857" s="6"/>
      <c r="AI857" s="3"/>
      <c r="AJ857" s="1">
        <v>46120</v>
      </c>
      <c r="AK857" s="6"/>
      <c r="AL857" s="3"/>
      <c r="AM857" s="6">
        <v>1</v>
      </c>
      <c r="AN857" s="6"/>
      <c r="AO857" s="3"/>
      <c r="AP857" s="3" t="s">
        <v>2417</v>
      </c>
      <c r="AQ857" s="6"/>
      <c r="AR857" s="3"/>
      <c r="AS857" s="3" t="s">
        <v>2418</v>
      </c>
      <c r="AT857" s="6"/>
      <c r="AU857" s="3"/>
      <c r="AV857" s="3"/>
      <c r="AW857" s="6"/>
      <c r="AX857" s="3"/>
      <c r="AY857" s="7"/>
      <c r="AZ857" s="6"/>
      <c r="BA857" s="3"/>
      <c r="BB857" s="6"/>
      <c r="BC857" s="6"/>
      <c r="BD857" s="3"/>
      <c r="BE857" s="3"/>
      <c r="BF857" s="6"/>
      <c r="BG857" s="3"/>
      <c r="BH857" s="3"/>
      <c r="BI857" s="6"/>
      <c r="BJ857" s="3"/>
      <c r="BK857" s="3"/>
      <c r="BL857" s="6"/>
      <c r="BM857" s="3"/>
      <c r="BN857" s="7"/>
      <c r="BO857" s="6"/>
      <c r="BP857" s="3"/>
      <c r="BQ857" s="6"/>
      <c r="BR857" s="6"/>
      <c r="BS857" s="3"/>
      <c r="BT857" s="3"/>
      <c r="BU857" s="6"/>
      <c r="BV857" s="3"/>
      <c r="BW857" s="3"/>
      <c r="BX857" s="6"/>
      <c r="BY857" s="3"/>
      <c r="BZ857" s="3"/>
      <c r="CA857" s="6"/>
      <c r="CB857" s="3"/>
      <c r="CC857" s="7"/>
      <c r="CD857" s="6"/>
      <c r="CE857" s="3"/>
      <c r="CF857" s="6"/>
      <c r="CG857" s="6"/>
      <c r="CH857" s="3"/>
      <c r="CI857" s="3"/>
      <c r="CJ857" s="6"/>
      <c r="CK857" s="3"/>
      <c r="CL857" s="3"/>
      <c r="CM857" s="6"/>
      <c r="CN857" s="3"/>
      <c r="CO857" s="3"/>
      <c r="CP857" s="6"/>
      <c r="CQ857" s="3"/>
      <c r="CR857" s="7"/>
      <c r="CS857" s="6"/>
      <c r="CT857" s="3"/>
      <c r="CU857" s="6"/>
      <c r="CV857" s="6"/>
      <c r="CW857" s="3"/>
      <c r="CX857" s="3"/>
      <c r="CY857" s="6"/>
      <c r="CZ857" s="3"/>
      <c r="DA857" s="3"/>
      <c r="DB857" s="6"/>
      <c r="DC857" s="3"/>
      <c r="DD857" s="3"/>
      <c r="DE857" s="6"/>
      <c r="DF857" s="3"/>
      <c r="DG857" s="7"/>
      <c r="DH857" s="6"/>
      <c r="DI857" s="3"/>
      <c r="DJ857" s="6"/>
      <c r="DK857" s="6"/>
      <c r="DL857" s="3"/>
      <c r="DM857" s="3"/>
      <c r="DN857" s="6"/>
      <c r="DO857" s="3"/>
      <c r="DP857" s="3"/>
      <c r="DQ857" s="6"/>
      <c r="DR857" s="3"/>
      <c r="DS857" s="3" t="str">
        <f>_xlfn.XLOOKUP(OfficeForms.Table[[#This Row],[Selecione a Categoria do Laboratório desta atividade prática:]],Planilha1!A:A,Planilha1!B:B)</f>
        <v>EMF-ISN</v>
      </c>
      <c r="DT857" s="6" t="str">
        <f>CONCATENATE(OfficeForms.Table[[#This Row],[Selecione seu Polo Laboratório de Atividades Presenciais:]],OfficeForms.Table[[#This Row],[CHAVE CONVERSÃO]])</f>
        <v>Praia Grande/SPEMF-ISN</v>
      </c>
      <c r="DU85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e manutenção de cateter de longa permanência + Troca de bolsa de ostomia;Administração de medicamento pela via subcutânea + Administração de medicamento pela via oral</v>
      </c>
      <c r="DV85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85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57" s="6" t="str">
        <f>_xlfn.XLOOKUP(OfficeForms.Table[[#This Row],[CHAVE LINK POLO]],'[1]Quadro Geral de Lotação'!$B:$B,'[1]Quadro Geral de Lotação'!$I:$I)</f>
        <v>Eliana Lazari Vieira Goncalves</v>
      </c>
      <c r="DY857" s="6" t="str">
        <f>OfficeForms.Table[[#This Row],[Selecione a Ordem de Disciplina]]</f>
        <v>Ordem 2</v>
      </c>
    </row>
    <row r="858" spans="1:129" ht="34.15" customHeight="1">
      <c r="A858" s="6">
        <v>858</v>
      </c>
      <c r="B858" s="2">
        <v>46134.872280092597</v>
      </c>
      <c r="C858" s="2">
        <v>46134.875844907401</v>
      </c>
      <c r="D858" s="3" t="s">
        <v>319</v>
      </c>
      <c r="E858" s="3" t="s">
        <v>320</v>
      </c>
      <c r="F858" s="6"/>
      <c r="G858" s="3"/>
      <c r="I858" s="3" t="s">
        <v>321</v>
      </c>
      <c r="J858" s="6"/>
      <c r="K858" s="3"/>
      <c r="L858" s="6" t="s">
        <v>1325</v>
      </c>
      <c r="M858" s="6"/>
      <c r="N858" s="6"/>
      <c r="O858" s="3" t="s">
        <v>184</v>
      </c>
      <c r="P858" s="6"/>
      <c r="Q858" s="3"/>
      <c r="R858" s="3"/>
      <c r="S858" s="6"/>
      <c r="T858" s="3"/>
      <c r="U858" s="7"/>
      <c r="V858" s="6"/>
      <c r="W858" s="3"/>
      <c r="X858" s="6"/>
      <c r="Y858" s="6"/>
      <c r="Z858" s="3"/>
      <c r="AA858" s="3"/>
      <c r="AB858" s="6"/>
      <c r="AC858" s="3"/>
      <c r="AD858" s="3"/>
      <c r="AE858" s="6"/>
      <c r="AF858" s="3"/>
      <c r="AG858" s="3" t="s">
        <v>2101</v>
      </c>
      <c r="AH858" s="6"/>
      <c r="AI858" s="3"/>
      <c r="AJ858" s="1">
        <v>46127</v>
      </c>
      <c r="AK858" s="6"/>
      <c r="AL858" s="3"/>
      <c r="AM858" s="6">
        <v>1</v>
      </c>
      <c r="AN858" s="6"/>
      <c r="AO858" s="3"/>
      <c r="AP858" s="3" t="s">
        <v>2419</v>
      </c>
      <c r="AQ858" s="6"/>
      <c r="AR858" s="3"/>
      <c r="AS858" s="3" t="s">
        <v>2420</v>
      </c>
      <c r="AT858" s="6"/>
      <c r="AU858" s="3"/>
      <c r="AV858" s="3"/>
      <c r="AW858" s="6"/>
      <c r="AX858" s="3"/>
      <c r="AY858" s="7"/>
      <c r="AZ858" s="6"/>
      <c r="BA858" s="3"/>
      <c r="BB858" s="6"/>
      <c r="BC858" s="6"/>
      <c r="BD858" s="3"/>
      <c r="BE858" s="3"/>
      <c r="BF858" s="6"/>
      <c r="BG858" s="3"/>
      <c r="BH858" s="3"/>
      <c r="BI858" s="6"/>
      <c r="BJ858" s="3"/>
      <c r="BK858" s="3"/>
      <c r="BL858" s="6"/>
      <c r="BM858" s="3"/>
      <c r="BN858" s="7"/>
      <c r="BO858" s="6"/>
      <c r="BP858" s="3"/>
      <c r="BQ858" s="6"/>
      <c r="BR858" s="6"/>
      <c r="BS858" s="3"/>
      <c r="BT858" s="3"/>
      <c r="BU858" s="6"/>
      <c r="BV858" s="3"/>
      <c r="BW858" s="3"/>
      <c r="BX858" s="6"/>
      <c r="BY858" s="3"/>
      <c r="BZ858" s="3"/>
      <c r="CA858" s="6"/>
      <c r="CB858" s="3"/>
      <c r="CC858" s="7"/>
      <c r="CD858" s="6"/>
      <c r="CE858" s="3"/>
      <c r="CF858" s="6"/>
      <c r="CG858" s="6"/>
      <c r="CH858" s="3"/>
      <c r="CI858" s="3"/>
      <c r="CJ858" s="6"/>
      <c r="CK858" s="3"/>
      <c r="CL858" s="3"/>
      <c r="CM858" s="6"/>
      <c r="CN858" s="3"/>
      <c r="CO858" s="3"/>
      <c r="CP858" s="6"/>
      <c r="CQ858" s="3"/>
      <c r="CR858" s="7"/>
      <c r="CS858" s="6"/>
      <c r="CT858" s="3"/>
      <c r="CU858" s="6"/>
      <c r="CV858" s="6"/>
      <c r="CW858" s="3"/>
      <c r="CX858" s="3"/>
      <c r="CY858" s="6"/>
      <c r="CZ858" s="3"/>
      <c r="DA858" s="3"/>
      <c r="DB858" s="6"/>
      <c r="DC858" s="3"/>
      <c r="DD858" s="3"/>
      <c r="DE858" s="6"/>
      <c r="DF858" s="3"/>
      <c r="DG858" s="7"/>
      <c r="DH858" s="6"/>
      <c r="DI858" s="3"/>
      <c r="DJ858" s="6"/>
      <c r="DK858" s="6"/>
      <c r="DL858" s="3"/>
      <c r="DM858" s="3"/>
      <c r="DN858" s="6"/>
      <c r="DO858" s="3"/>
      <c r="DP858" s="3"/>
      <c r="DQ858" s="6"/>
      <c r="DR858" s="3"/>
      <c r="DS858" s="3" t="str">
        <f>_xlfn.XLOOKUP(OfficeForms.Table[[#This Row],[Selecione a Categoria do Laboratório desta atividade prática:]],Planilha1!A:A,Planilha1!B:B)</f>
        <v>EMF-ISN</v>
      </c>
      <c r="DT858" s="6" t="str">
        <f>CONCATENATE(OfficeForms.Table[[#This Row],[Selecione seu Polo Laboratório de Atividades Presenciais:]],OfficeForms.Table[[#This Row],[CHAVE CONVERSÃO]])</f>
        <v>Praia Grande/SPEMF-ISN</v>
      </c>
      <c r="DU85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gástrica;Punção Venosa + Retirada de pontos</v>
      </c>
      <c r="DV85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5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58" s="6" t="str">
        <f>_xlfn.XLOOKUP(OfficeForms.Table[[#This Row],[CHAVE LINK POLO]],'[1]Quadro Geral de Lotação'!$B:$B,'[1]Quadro Geral de Lotação'!$I:$I)</f>
        <v>Eliana Lazari Vieira Goncalves</v>
      </c>
      <c r="DY858" s="6" t="str">
        <f>OfficeForms.Table[[#This Row],[Selecione a Ordem de Disciplina]]</f>
        <v>Ordem 3</v>
      </c>
    </row>
    <row r="859" spans="1:129" ht="34.15" customHeight="1">
      <c r="A859" s="6">
        <v>859</v>
      </c>
      <c r="B859" s="2">
        <v>46134.8771180556</v>
      </c>
      <c r="C859" s="2">
        <v>46134.878391203703</v>
      </c>
      <c r="D859" s="3" t="s">
        <v>306</v>
      </c>
      <c r="E859" s="3" t="s">
        <v>307</v>
      </c>
      <c r="F859" s="6"/>
      <c r="G859" s="3"/>
      <c r="I859" s="3" t="s">
        <v>308</v>
      </c>
      <c r="J859" s="6"/>
      <c r="K859" s="3"/>
      <c r="L859" s="6" t="s">
        <v>1325</v>
      </c>
      <c r="M859" s="6"/>
      <c r="N859" s="6"/>
      <c r="O859" s="3" t="s">
        <v>133</v>
      </c>
      <c r="P859" s="6"/>
      <c r="Q859" s="3"/>
      <c r="R859" s="3"/>
      <c r="S859" s="6"/>
      <c r="T859" s="3"/>
      <c r="U859" s="7"/>
      <c r="V859" s="6"/>
      <c r="W859" s="3"/>
      <c r="X859" s="6"/>
      <c r="Y859" s="6"/>
      <c r="Z859" s="3"/>
      <c r="AA859" s="3"/>
      <c r="AB859" s="6"/>
      <c r="AC859" s="3"/>
      <c r="AD859" s="3"/>
      <c r="AE859" s="6"/>
      <c r="AF859" s="3"/>
      <c r="AG859" s="3"/>
      <c r="AH859" s="6"/>
      <c r="AI859" s="3"/>
      <c r="AJ859" s="1"/>
      <c r="AK859" s="6"/>
      <c r="AL859" s="3"/>
      <c r="AM859" s="6"/>
      <c r="AN859" s="6"/>
      <c r="AO859" s="3"/>
      <c r="AP859" s="3"/>
      <c r="AQ859" s="6"/>
      <c r="AR859" s="3"/>
      <c r="AS859" s="3"/>
      <c r="AT859" s="6"/>
      <c r="AU859" s="3"/>
      <c r="AV859" s="3" t="s">
        <v>2421</v>
      </c>
      <c r="AW859" s="6"/>
      <c r="AX859" s="3"/>
      <c r="AY859" s="7">
        <v>46134</v>
      </c>
      <c r="AZ859" s="6"/>
      <c r="BA859" s="3"/>
      <c r="BB859" s="6">
        <v>2</v>
      </c>
      <c r="BC859" s="6"/>
      <c r="BD859" s="3"/>
      <c r="BE859" s="3" t="s">
        <v>2422</v>
      </c>
      <c r="BF859" s="6"/>
      <c r="BG859" s="3"/>
      <c r="BH859" s="3" t="s">
        <v>2423</v>
      </c>
      <c r="BI859" s="6"/>
      <c r="BJ859" s="3"/>
      <c r="BK859" s="3"/>
      <c r="BL859" s="6"/>
      <c r="BM859" s="3"/>
      <c r="BN859" s="7"/>
      <c r="BO859" s="6"/>
      <c r="BP859" s="3"/>
      <c r="BQ859" s="6"/>
      <c r="BR859" s="6"/>
      <c r="BS859" s="3"/>
      <c r="BT859" s="3"/>
      <c r="BU859" s="6"/>
      <c r="BV859" s="3"/>
      <c r="BW859" s="3"/>
      <c r="BX859" s="6"/>
      <c r="BY859" s="3"/>
      <c r="BZ859" s="3"/>
      <c r="CA859" s="6"/>
      <c r="CB859" s="3"/>
      <c r="CC859" s="7"/>
      <c r="CD859" s="6"/>
      <c r="CE859" s="3"/>
      <c r="CF859" s="6"/>
      <c r="CG859" s="6"/>
      <c r="CH859" s="3"/>
      <c r="CI859" s="3"/>
      <c r="CJ859" s="6"/>
      <c r="CK859" s="3"/>
      <c r="CL859" s="3"/>
      <c r="CM859" s="6"/>
      <c r="CN859" s="3"/>
      <c r="CO859" s="3"/>
      <c r="CP859" s="6"/>
      <c r="CQ859" s="3"/>
      <c r="CR859" s="7"/>
      <c r="CS859" s="6"/>
      <c r="CT859" s="3"/>
      <c r="CU859" s="6"/>
      <c r="CV859" s="6"/>
      <c r="CW859" s="3"/>
      <c r="CX859" s="3"/>
      <c r="CY859" s="6"/>
      <c r="CZ859" s="3"/>
      <c r="DA859" s="3"/>
      <c r="DB859" s="6"/>
      <c r="DC859" s="3"/>
      <c r="DD859" s="3"/>
      <c r="DE859" s="6"/>
      <c r="DF859" s="3"/>
      <c r="DG859" s="7"/>
      <c r="DH859" s="6"/>
      <c r="DI859" s="3"/>
      <c r="DJ859" s="6"/>
      <c r="DK859" s="6"/>
      <c r="DL859" s="3"/>
      <c r="DM859" s="3"/>
      <c r="DN859" s="6"/>
      <c r="DO859" s="3"/>
      <c r="DP859" s="3"/>
      <c r="DQ859" s="6"/>
      <c r="DR859" s="3"/>
      <c r="DS859" s="3" t="str">
        <f>_xlfn.XLOOKUP(OfficeForms.Table[[#This Row],[Selecione a Categoria do Laboratório desta atividade prática:]],Planilha1!A:A,Planilha1!B:B)</f>
        <v>BFI</v>
      </c>
      <c r="DT859" s="6" t="str">
        <f>CONCATENATE(OfficeForms.Table[[#This Row],[Selecione seu Polo Laboratório de Atividades Presenciais:]],OfficeForms.Table[[#This Row],[CHAVE CONVERSÃO]])</f>
        <v>Salvador/BA - Caminho das ÁrvoresBFI</v>
      </c>
      <c r="DU85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Massagem Relaxante</v>
      </c>
      <c r="DV85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5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59" s="6" t="str">
        <f>_xlfn.XLOOKUP(OfficeForms.Table[[#This Row],[CHAVE LINK POLO]],'[1]Quadro Geral de Lotação'!$B:$B,'[1]Quadro Geral de Lotação'!$I:$I)</f>
        <v>Helenice Sacramento Souza Melo</v>
      </c>
      <c r="DY859" s="6" t="str">
        <f>OfficeForms.Table[[#This Row],[Selecione a Ordem de Disciplina]]</f>
        <v>Ordem 3</v>
      </c>
    </row>
    <row r="860" spans="1:129" ht="34.15" customHeight="1">
      <c r="A860" s="6">
        <v>860</v>
      </c>
      <c r="B860" s="2">
        <v>46134.875949074099</v>
      </c>
      <c r="C860" s="2">
        <v>46134.881655092599</v>
      </c>
      <c r="D860" s="3" t="s">
        <v>319</v>
      </c>
      <c r="E860" s="3" t="s">
        <v>320</v>
      </c>
      <c r="F860" s="6"/>
      <c r="G860" s="3"/>
      <c r="I860" s="3" t="s">
        <v>321</v>
      </c>
      <c r="J860" s="6"/>
      <c r="K860" s="3"/>
      <c r="L860" s="6" t="s">
        <v>1325</v>
      </c>
      <c r="M860" s="6"/>
      <c r="N860" s="6"/>
      <c r="O860" s="3" t="s">
        <v>184</v>
      </c>
      <c r="P860" s="6"/>
      <c r="Q860" s="3"/>
      <c r="R860" s="3"/>
      <c r="S860" s="6"/>
      <c r="T860" s="3"/>
      <c r="U860" s="7"/>
      <c r="V860" s="6"/>
      <c r="W860" s="3"/>
      <c r="X860" s="6"/>
      <c r="Y860" s="6"/>
      <c r="Z860" s="3"/>
      <c r="AA860" s="3"/>
      <c r="AB860" s="6"/>
      <c r="AC860" s="3"/>
      <c r="AD860" s="3"/>
      <c r="AE860" s="6"/>
      <c r="AF860" s="3"/>
      <c r="AG860" s="3" t="s">
        <v>2117</v>
      </c>
      <c r="AH860" s="6"/>
      <c r="AI860" s="3"/>
      <c r="AJ860" s="1">
        <v>46134</v>
      </c>
      <c r="AK860" s="6"/>
      <c r="AL860" s="3"/>
      <c r="AM860" s="6">
        <v>0</v>
      </c>
      <c r="AN860" s="6"/>
      <c r="AO860" s="3"/>
      <c r="AP860" s="3" t="s">
        <v>2424</v>
      </c>
      <c r="AQ860" s="6"/>
      <c r="AR860" s="3"/>
      <c r="AS860" s="3" t="s">
        <v>2425</v>
      </c>
      <c r="AT860" s="6"/>
      <c r="AU860" s="3"/>
      <c r="AV860" s="3"/>
      <c r="AW860" s="6"/>
      <c r="AX860" s="3"/>
      <c r="AY860" s="7"/>
      <c r="AZ860" s="6"/>
      <c r="BA860" s="3"/>
      <c r="BB860" s="6"/>
      <c r="BC860" s="6"/>
      <c r="BD860" s="3"/>
      <c r="BE860" s="3"/>
      <c r="BF860" s="6"/>
      <c r="BG860" s="3"/>
      <c r="BH860" s="3"/>
      <c r="BI860" s="6"/>
      <c r="BJ860" s="3"/>
      <c r="BK860" s="3"/>
      <c r="BL860" s="6"/>
      <c r="BM860" s="3"/>
      <c r="BN860" s="7"/>
      <c r="BO860" s="6"/>
      <c r="BP860" s="3"/>
      <c r="BQ860" s="6"/>
      <c r="BR860" s="6"/>
      <c r="BS860" s="3"/>
      <c r="BT860" s="3"/>
      <c r="BU860" s="6"/>
      <c r="BV860" s="3"/>
      <c r="BW860" s="3"/>
      <c r="BX860" s="6"/>
      <c r="BY860" s="3"/>
      <c r="BZ860" s="3"/>
      <c r="CA860" s="6"/>
      <c r="CB860" s="3"/>
      <c r="CC860" s="7"/>
      <c r="CD860" s="6"/>
      <c r="CE860" s="3"/>
      <c r="CF860" s="6"/>
      <c r="CG860" s="6"/>
      <c r="CH860" s="3"/>
      <c r="CI860" s="3"/>
      <c r="CJ860" s="6"/>
      <c r="CK860" s="3"/>
      <c r="CL860" s="3"/>
      <c r="CM860" s="6"/>
      <c r="CN860" s="3"/>
      <c r="CO860" s="3"/>
      <c r="CP860" s="6"/>
      <c r="CQ860" s="3"/>
      <c r="CR860" s="7"/>
      <c r="CS860" s="6"/>
      <c r="CT860" s="3"/>
      <c r="CU860" s="6"/>
      <c r="CV860" s="6"/>
      <c r="CW860" s="3"/>
      <c r="CX860" s="3"/>
      <c r="CY860" s="6"/>
      <c r="CZ860" s="3"/>
      <c r="DA860" s="3"/>
      <c r="DB860" s="6"/>
      <c r="DC860" s="3"/>
      <c r="DD860" s="3"/>
      <c r="DE860" s="6"/>
      <c r="DF860" s="3"/>
      <c r="DG860" s="7"/>
      <c r="DH860" s="6"/>
      <c r="DI860" s="3"/>
      <c r="DJ860" s="6"/>
      <c r="DK860" s="6"/>
      <c r="DL860" s="3"/>
      <c r="DM860" s="3"/>
      <c r="DN860" s="6"/>
      <c r="DO860" s="3"/>
      <c r="DP860" s="3"/>
      <c r="DQ860" s="6"/>
      <c r="DR860" s="3"/>
      <c r="DS860" s="3" t="str">
        <f>_xlfn.XLOOKUP(OfficeForms.Table[[#This Row],[Selecione a Categoria do Laboratório desta atividade prática:]],Planilha1!A:A,Planilha1!B:B)</f>
        <v>EMF-ISN</v>
      </c>
      <c r="DT860" s="6" t="str">
        <f>CONCATENATE(OfficeForms.Table[[#This Row],[Selecione seu Polo Laboratório de Atividades Presenciais:]],OfficeForms.Table[[#This Row],[CHAVE CONVERSÃO]])</f>
        <v>Praia Grande/SPEMF-ISN</v>
      </c>
      <c r="DU86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gravídico-puerperal;Saúde da mulher reprodutiva + Realização do exame de Papanicolau</v>
      </c>
      <c r="DV86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6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60" s="6" t="str">
        <f>_xlfn.XLOOKUP(OfficeForms.Table[[#This Row],[CHAVE LINK POLO]],'[1]Quadro Geral de Lotação'!$B:$B,'[1]Quadro Geral de Lotação'!$I:$I)</f>
        <v>Eliana Lazari Vieira Goncalves</v>
      </c>
      <c r="DY860" s="6" t="str">
        <f>OfficeForms.Table[[#This Row],[Selecione a Ordem de Disciplina]]</f>
        <v>Ordem 3</v>
      </c>
    </row>
    <row r="861" spans="1:129" ht="34.15" customHeight="1">
      <c r="A861" s="6">
        <v>861</v>
      </c>
      <c r="B861" s="2">
        <v>46134.882291666698</v>
      </c>
      <c r="C861" s="2">
        <v>46134.902395833298</v>
      </c>
      <c r="D861" s="3" t="s">
        <v>494</v>
      </c>
      <c r="E861" s="3" t="s">
        <v>495</v>
      </c>
      <c r="F861" s="6"/>
      <c r="G861" s="3"/>
      <c r="I861" s="3" t="s">
        <v>496</v>
      </c>
      <c r="J861" s="6"/>
      <c r="K861" s="3"/>
      <c r="L861" s="6" t="s">
        <v>678</v>
      </c>
      <c r="M861" s="6"/>
      <c r="N861" s="6"/>
      <c r="O861" s="3" t="s">
        <v>497</v>
      </c>
      <c r="P861" s="6"/>
      <c r="Q861" s="3"/>
      <c r="R861" s="3" t="s">
        <v>879</v>
      </c>
      <c r="S861" s="6"/>
      <c r="T861" s="3"/>
      <c r="U861" s="7">
        <v>46134</v>
      </c>
      <c r="V861" s="6"/>
      <c r="W861" s="3"/>
      <c r="X861" s="6">
        <v>3</v>
      </c>
      <c r="Y861" s="6"/>
      <c r="Z861" s="3"/>
      <c r="AA861" s="3" t="s">
        <v>2426</v>
      </c>
      <c r="AB861" s="6"/>
      <c r="AC861" s="3"/>
      <c r="AD861" s="3" t="s">
        <v>2427</v>
      </c>
      <c r="AE861" s="6"/>
      <c r="AF861" s="3"/>
      <c r="AG861" s="3"/>
      <c r="AH861" s="6"/>
      <c r="AI861" s="3"/>
      <c r="AJ861" s="1"/>
      <c r="AK861" s="6"/>
      <c r="AL861" s="3"/>
      <c r="AM861" s="6"/>
      <c r="AN861" s="6"/>
      <c r="AO861" s="3"/>
      <c r="AP861" s="3"/>
      <c r="AQ861" s="6"/>
      <c r="AR861" s="3"/>
      <c r="AS861" s="3"/>
      <c r="AT861" s="6"/>
      <c r="AU861" s="3"/>
      <c r="AV861" s="3"/>
      <c r="AW861" s="6"/>
      <c r="AX861" s="3"/>
      <c r="AY861" s="7"/>
      <c r="AZ861" s="6"/>
      <c r="BA861" s="3"/>
      <c r="BB861" s="6"/>
      <c r="BC861" s="6"/>
      <c r="BD861" s="3"/>
      <c r="BE861" s="3"/>
      <c r="BF861" s="6"/>
      <c r="BG861" s="3"/>
      <c r="BH861" s="3"/>
      <c r="BI861" s="6"/>
      <c r="BJ861" s="3"/>
      <c r="BK861" s="3"/>
      <c r="BL861" s="6"/>
      <c r="BM861" s="3"/>
      <c r="BN861" s="7"/>
      <c r="BO861" s="6"/>
      <c r="BP861" s="3"/>
      <c r="BQ861" s="6"/>
      <c r="BR861" s="6"/>
      <c r="BS861" s="3"/>
      <c r="BT861" s="3"/>
      <c r="BU861" s="6"/>
      <c r="BV861" s="3"/>
      <c r="BW861" s="3"/>
      <c r="BX861" s="6"/>
      <c r="BY861" s="3"/>
      <c r="BZ861" s="3"/>
      <c r="CA861" s="6"/>
      <c r="CB861" s="3"/>
      <c r="CC861" s="7"/>
      <c r="CD861" s="6"/>
      <c r="CE861" s="3"/>
      <c r="CF861" s="6"/>
      <c r="CG861" s="6"/>
      <c r="CH861" s="3"/>
      <c r="CI861" s="3"/>
      <c r="CJ861" s="6"/>
      <c r="CK861" s="3"/>
      <c r="CL861" s="3"/>
      <c r="CM861" s="6"/>
      <c r="CN861" s="3"/>
      <c r="CO861" s="3"/>
      <c r="CP861" s="6"/>
      <c r="CQ861" s="3"/>
      <c r="CR861" s="7"/>
      <c r="CS861" s="6"/>
      <c r="CT861" s="3"/>
      <c r="CU861" s="6"/>
      <c r="CV861" s="6"/>
      <c r="CW861" s="3"/>
      <c r="CX861" s="3"/>
      <c r="CY861" s="6"/>
      <c r="CZ861" s="3"/>
      <c r="DA861" s="3"/>
      <c r="DB861" s="6"/>
      <c r="DC861" s="3"/>
      <c r="DD861" s="3"/>
      <c r="DE861" s="6"/>
      <c r="DF861" s="3"/>
      <c r="DG861" s="7"/>
      <c r="DH861" s="6"/>
      <c r="DI861" s="3"/>
      <c r="DJ861" s="6"/>
      <c r="DK861" s="6"/>
      <c r="DL861" s="3"/>
      <c r="DM861" s="3"/>
      <c r="DN861" s="6"/>
      <c r="DO861" s="3"/>
      <c r="DP861" s="3"/>
      <c r="DQ861" s="6"/>
      <c r="DR861" s="3"/>
      <c r="DS861" s="3" t="str">
        <f>_xlfn.XLOOKUP(OfficeForms.Table[[#This Row],[Selecione a Categoria do Laboratório desta atividade prática:]],Planilha1!A:A,Planilha1!B:B)</f>
        <v>BFR-BBI</v>
      </c>
      <c r="DT861" s="6" t="str">
        <f>CONCATENATE(OfficeForms.Table[[#This Row],[Selecione seu Polo Laboratório de Atividades Presenciais:]],OfficeForms.Table[[#This Row],[CHAVE CONVERSÃO]])</f>
        <v>Campo Grande/MS - Santo AntonioBFR-BBI</v>
      </c>
      <c r="DU86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Contagem diferencial de leucócitos</v>
      </c>
      <c r="DV86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6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61" s="6" t="e">
        <f>_xlfn.XLOOKUP(OfficeForms.Table[[#This Row],[CHAVE LINK POLO]],'[1]Quadro Geral de Lotação'!$B:$B,'[1]Quadro Geral de Lotação'!$I:$I)</f>
        <v>#N/A</v>
      </c>
      <c r="DY861" s="6" t="str">
        <f>OfficeForms.Table[[#This Row],[Selecione a Ordem de Disciplina]]</f>
        <v>Ordem 2</v>
      </c>
    </row>
    <row r="862" spans="1:129" ht="34.15" customHeight="1">
      <c r="A862" s="6">
        <v>862</v>
      </c>
      <c r="B862" s="2">
        <v>46134.882326388899</v>
      </c>
      <c r="C862" s="2">
        <v>46134.915960648097</v>
      </c>
      <c r="D862" s="3" t="s">
        <v>494</v>
      </c>
      <c r="E862" s="3" t="s">
        <v>495</v>
      </c>
      <c r="F862" s="6"/>
      <c r="G862" s="3"/>
      <c r="I862" s="3" t="s">
        <v>496</v>
      </c>
      <c r="J862" s="6"/>
      <c r="K862" s="3"/>
      <c r="L862" s="6" t="s">
        <v>1325</v>
      </c>
      <c r="M862" s="6"/>
      <c r="N862" s="6"/>
      <c r="O862" s="3" t="s">
        <v>497</v>
      </c>
      <c r="P862" s="6"/>
      <c r="Q862" s="3"/>
      <c r="R862" s="3" t="s">
        <v>1854</v>
      </c>
      <c r="S862" s="6"/>
      <c r="T862" s="3"/>
      <c r="U862" s="7">
        <v>46126</v>
      </c>
      <c r="V862" s="6"/>
      <c r="W862" s="3"/>
      <c r="X862" s="6">
        <v>4</v>
      </c>
      <c r="Y862" s="6"/>
      <c r="Z862" s="3"/>
      <c r="AA862" s="3" t="s">
        <v>2428</v>
      </c>
      <c r="AB862" s="6"/>
      <c r="AC862" s="3"/>
      <c r="AD862" s="3" t="s">
        <v>2429</v>
      </c>
      <c r="AE862" s="6"/>
      <c r="AF862" s="3"/>
      <c r="AG862" s="3"/>
      <c r="AH862" s="6"/>
      <c r="AI862" s="3"/>
      <c r="AJ862" s="1"/>
      <c r="AK862" s="6"/>
      <c r="AL862" s="3"/>
      <c r="AM862" s="6"/>
      <c r="AN862" s="6"/>
      <c r="AO862" s="3"/>
      <c r="AP862" s="3"/>
      <c r="AQ862" s="6"/>
      <c r="AR862" s="3"/>
      <c r="AS862" s="3"/>
      <c r="AT862" s="6"/>
      <c r="AU862" s="3"/>
      <c r="AV862" s="3"/>
      <c r="AW862" s="6"/>
      <c r="AX862" s="3"/>
      <c r="AY862" s="7"/>
      <c r="AZ862" s="6"/>
      <c r="BA862" s="3"/>
      <c r="BB862" s="6"/>
      <c r="BC862" s="6"/>
      <c r="BD862" s="3"/>
      <c r="BE862" s="3"/>
      <c r="BF862" s="6"/>
      <c r="BG862" s="3"/>
      <c r="BH862" s="3"/>
      <c r="BI862" s="6"/>
      <c r="BJ862" s="3"/>
      <c r="BK862" s="3"/>
      <c r="BL862" s="6"/>
      <c r="BM862" s="3"/>
      <c r="BN862" s="7"/>
      <c r="BO862" s="6"/>
      <c r="BP862" s="3"/>
      <c r="BQ862" s="6"/>
      <c r="BR862" s="6"/>
      <c r="BS862" s="3"/>
      <c r="BT862" s="3"/>
      <c r="BU862" s="6"/>
      <c r="BV862" s="3"/>
      <c r="BW862" s="3"/>
      <c r="BX862" s="6"/>
      <c r="BY862" s="3"/>
      <c r="BZ862" s="3"/>
      <c r="CA862" s="6"/>
      <c r="CB862" s="3"/>
      <c r="CC862" s="7"/>
      <c r="CD862" s="6"/>
      <c r="CE862" s="3"/>
      <c r="CF862" s="6"/>
      <c r="CG862" s="6"/>
      <c r="CH862" s="3"/>
      <c r="CI862" s="3"/>
      <c r="CJ862" s="6"/>
      <c r="CK862" s="3"/>
      <c r="CL862" s="3"/>
      <c r="CM862" s="6"/>
      <c r="CN862" s="3"/>
      <c r="CO862" s="3"/>
      <c r="CP862" s="6"/>
      <c r="CQ862" s="3"/>
      <c r="CR862" s="7"/>
      <c r="CS862" s="6"/>
      <c r="CT862" s="3"/>
      <c r="CU862" s="6"/>
      <c r="CV862" s="6"/>
      <c r="CW862" s="3"/>
      <c r="CX862" s="3"/>
      <c r="CY862" s="6"/>
      <c r="CZ862" s="3"/>
      <c r="DA862" s="3"/>
      <c r="DB862" s="6"/>
      <c r="DC862" s="3"/>
      <c r="DD862" s="3"/>
      <c r="DE862" s="6"/>
      <c r="DF862" s="3"/>
      <c r="DG862" s="7"/>
      <c r="DH862" s="6"/>
      <c r="DI862" s="3"/>
      <c r="DJ862" s="6"/>
      <c r="DK862" s="6"/>
      <c r="DL862" s="3"/>
      <c r="DM862" s="3"/>
      <c r="DN862" s="6"/>
      <c r="DO862" s="3"/>
      <c r="DP862" s="3"/>
      <c r="DQ862" s="6"/>
      <c r="DR862" s="3"/>
      <c r="DS862" s="3" t="str">
        <f>_xlfn.XLOOKUP(OfficeForms.Table[[#This Row],[Selecione a Categoria do Laboratório desta atividade prática:]],Planilha1!A:A,Planilha1!B:B)</f>
        <v>BFR-BBI</v>
      </c>
      <c r="DT862" s="6" t="str">
        <f>CONCATENATE(OfficeForms.Table[[#This Row],[Selecione seu Polo Laboratório de Atividades Presenciais:]],OfficeForms.Table[[#This Row],[CHAVE CONVERSÃO]])</f>
        <v>Campo Grande/MS - Santo AntonioBFR-BBI</v>
      </c>
      <c r="DU86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Velocidade de Hemossedimentação</v>
      </c>
      <c r="DV86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46126</v>
      </c>
      <c r="DW86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862" s="6" t="e">
        <f>_xlfn.XLOOKUP(OfficeForms.Table[[#This Row],[CHAVE LINK POLO]],'[1]Quadro Geral de Lotação'!$B:$B,'[1]Quadro Geral de Lotação'!$I:$I)</f>
        <v>#N/A</v>
      </c>
      <c r="DY862" s="6" t="str">
        <f>OfficeForms.Table[[#This Row],[Selecione a Ordem de Disciplina]]</f>
        <v>Ordem 3</v>
      </c>
    </row>
    <row r="863" spans="1:129" ht="34.15" customHeight="1">
      <c r="A863" s="6">
        <v>863</v>
      </c>
      <c r="B863" s="2">
        <v>46135.317557870403</v>
      </c>
      <c r="C863" s="2">
        <v>46135.323564814797</v>
      </c>
      <c r="D863" s="3" t="s">
        <v>137</v>
      </c>
      <c r="E863" s="3" t="s">
        <v>138</v>
      </c>
      <c r="F863" s="6"/>
      <c r="G863" s="3"/>
      <c r="I863" s="3" t="s">
        <v>139</v>
      </c>
      <c r="J863" s="6"/>
      <c r="K863" s="3"/>
      <c r="L863" s="6" t="s">
        <v>1325</v>
      </c>
      <c r="M863" s="6"/>
      <c r="N863" s="6"/>
      <c r="O863" s="3" t="s">
        <v>140</v>
      </c>
      <c r="P863" s="6"/>
      <c r="Q863" s="3"/>
      <c r="R863" s="3"/>
      <c r="S863" s="6"/>
      <c r="T863" s="3"/>
      <c r="U863" s="7"/>
      <c r="V863" s="6"/>
      <c r="W863" s="3"/>
      <c r="X863" s="6"/>
      <c r="Y863" s="6"/>
      <c r="Z863" s="3"/>
      <c r="AA863" s="3"/>
      <c r="AB863" s="6"/>
      <c r="AC863" s="3"/>
      <c r="AD863" s="3"/>
      <c r="AE863" s="6"/>
      <c r="AF863" s="3"/>
      <c r="AG863" s="3"/>
      <c r="AH863" s="6"/>
      <c r="AI863" s="3"/>
      <c r="AJ863" s="1"/>
      <c r="AK863" s="6"/>
      <c r="AL863" s="3"/>
      <c r="AM863" s="6"/>
      <c r="AN863" s="6"/>
      <c r="AO863" s="3"/>
      <c r="AP863" s="3"/>
      <c r="AQ863" s="6"/>
      <c r="AR863" s="3"/>
      <c r="AS863" s="3"/>
      <c r="AT863" s="6"/>
      <c r="AU863" s="3"/>
      <c r="AV863" s="3"/>
      <c r="AW863" s="6"/>
      <c r="AX863" s="3"/>
      <c r="AY863" s="7"/>
      <c r="AZ863" s="6"/>
      <c r="BA863" s="3"/>
      <c r="BB863" s="6"/>
      <c r="BC863" s="6"/>
      <c r="BD863" s="3"/>
      <c r="BE863" s="3"/>
      <c r="BF863" s="6"/>
      <c r="BG863" s="3"/>
      <c r="BH863" s="3"/>
      <c r="BI863" s="6"/>
      <c r="BJ863" s="3"/>
      <c r="BK863" s="3"/>
      <c r="BL863" s="6"/>
      <c r="BM863" s="3"/>
      <c r="BN863" s="7"/>
      <c r="BO863" s="6"/>
      <c r="BP863" s="3"/>
      <c r="BQ863" s="6"/>
      <c r="BR863" s="6"/>
      <c r="BS863" s="3"/>
      <c r="BT863" s="3"/>
      <c r="BU863" s="6"/>
      <c r="BV863" s="3"/>
      <c r="BW863" s="3"/>
      <c r="BX863" s="6"/>
      <c r="BY863" s="3"/>
      <c r="BZ863" s="3" t="s">
        <v>1231</v>
      </c>
      <c r="CA863" s="6"/>
      <c r="CB863" s="3"/>
      <c r="CC863" s="7">
        <v>46128</v>
      </c>
      <c r="CD863" s="6"/>
      <c r="CE863" s="3"/>
      <c r="CF863" s="6">
        <v>12</v>
      </c>
      <c r="CG863" s="6"/>
      <c r="CH863" s="3"/>
      <c r="CI863" s="3" t="s">
        <v>2430</v>
      </c>
      <c r="CJ863" s="6"/>
      <c r="CK863" s="3"/>
      <c r="CL863" s="3" t="s">
        <v>2431</v>
      </c>
      <c r="CM863" s="6"/>
      <c r="CN863" s="3"/>
      <c r="CO863" s="3"/>
      <c r="CP863" s="6"/>
      <c r="CQ863" s="3"/>
      <c r="CR863" s="7"/>
      <c r="CS863" s="6"/>
      <c r="CT863" s="3"/>
      <c r="CU863" s="6"/>
      <c r="CV863" s="6"/>
      <c r="CW863" s="3"/>
      <c r="CX863" s="3"/>
      <c r="CY863" s="6"/>
      <c r="CZ863" s="3"/>
      <c r="DA863" s="3"/>
      <c r="DB863" s="6"/>
      <c r="DC863" s="3"/>
      <c r="DD863" s="3"/>
      <c r="DE863" s="6"/>
      <c r="DF863" s="3"/>
      <c r="DG863" s="7"/>
      <c r="DH863" s="6"/>
      <c r="DI863" s="3"/>
      <c r="DJ863" s="6"/>
      <c r="DK863" s="6"/>
      <c r="DL863" s="3"/>
      <c r="DM863" s="3"/>
      <c r="DN863" s="6"/>
      <c r="DO863" s="3"/>
      <c r="DP863" s="3"/>
      <c r="DQ863" s="6"/>
      <c r="DR863" s="3"/>
      <c r="DS863" s="3" t="str">
        <f>_xlfn.XLOOKUP(OfficeForms.Table[[#This Row],[Selecione a Categoria do Laboratório desta atividade prática:]],Planilha1!A:A,Planilha1!B:B)</f>
        <v>ECE-ENM-ENS-ENG-EEA-GPI-CDE-OBR-SAN-TER-FSA-SLF-QUI</v>
      </c>
      <c r="DT863" s="6" t="str">
        <f>CONCATENATE(OfficeForms.Table[[#This Row],[Selecione seu Polo Laboratório de Atividades Presenciais:]],OfficeForms.Table[[#This Row],[CHAVE CONVERSÃO]])</f>
        <v>Chapecó/SC - CentroECE-ENM-ENS-ENG-EEA-GPI-CDE-OBR-SAN-TER-FSA-SLF-QUI</v>
      </c>
      <c r="DU86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 Introdução a Caligrafia Técnica dentro das normas da ABNT (NBR 6492). +  Introdução aos Primeiros Passos</v>
      </c>
      <c r="DV86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6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863" s="6" t="str">
        <f>_xlfn.XLOOKUP(OfficeForms.Table[[#This Row],[CHAVE LINK POLO]],'[1]Quadro Geral de Lotação'!$B:$B,'[1]Quadro Geral de Lotação'!$I:$I)</f>
        <v>Gabriela Fanck Dos Santos</v>
      </c>
      <c r="DY863" s="6" t="str">
        <f>OfficeForms.Table[[#This Row],[Selecione a Ordem de Disciplina]]</f>
        <v>Ordem 3</v>
      </c>
    </row>
    <row r="864" spans="1:129" ht="34.15" customHeight="1">
      <c r="A864" s="6">
        <v>864</v>
      </c>
      <c r="B864" s="2">
        <v>46135.323726851901</v>
      </c>
      <c r="C864" s="2">
        <v>46135.325729166703</v>
      </c>
      <c r="D864" s="3" t="s">
        <v>137</v>
      </c>
      <c r="E864" s="3" t="s">
        <v>138</v>
      </c>
      <c r="F864" s="6"/>
      <c r="G864" s="3"/>
      <c r="I864" s="3" t="s">
        <v>139</v>
      </c>
      <c r="J864" s="6"/>
      <c r="K864" s="3"/>
      <c r="L864" s="6" t="s">
        <v>1325</v>
      </c>
      <c r="M864" s="6"/>
      <c r="N864" s="6"/>
      <c r="O864" s="3" t="s">
        <v>140</v>
      </c>
      <c r="P864" s="6"/>
      <c r="Q864" s="3"/>
      <c r="R864" s="3"/>
      <c r="S864" s="6"/>
      <c r="T864" s="3"/>
      <c r="U864" s="7"/>
      <c r="V864" s="6"/>
      <c r="W864" s="3"/>
      <c r="X864" s="6"/>
      <c r="Y864" s="6"/>
      <c r="Z864" s="3"/>
      <c r="AA864" s="3"/>
      <c r="AB864" s="6"/>
      <c r="AC864" s="3"/>
      <c r="AD864" s="3"/>
      <c r="AE864" s="6"/>
      <c r="AF864" s="3"/>
      <c r="AG864" s="3"/>
      <c r="AH864" s="6"/>
      <c r="AI864" s="3"/>
      <c r="AJ864" s="1"/>
      <c r="AK864" s="6"/>
      <c r="AL864" s="3"/>
      <c r="AM864" s="6"/>
      <c r="AN864" s="6"/>
      <c r="AO864" s="3"/>
      <c r="AP864" s="3"/>
      <c r="AQ864" s="6"/>
      <c r="AR864" s="3"/>
      <c r="AS864" s="3"/>
      <c r="AT864" s="6"/>
      <c r="AU864" s="3"/>
      <c r="AV864" s="3"/>
      <c r="AW864" s="6"/>
      <c r="AX864" s="3"/>
      <c r="AY864" s="7"/>
      <c r="AZ864" s="6"/>
      <c r="BA864" s="3"/>
      <c r="BB864" s="6"/>
      <c r="BC864" s="6"/>
      <c r="BD864" s="3"/>
      <c r="BE864" s="3"/>
      <c r="BF864" s="6"/>
      <c r="BG864" s="3"/>
      <c r="BH864" s="3"/>
      <c r="BI864" s="6"/>
      <c r="BJ864" s="3"/>
      <c r="BK864" s="3"/>
      <c r="BL864" s="6"/>
      <c r="BM864" s="3"/>
      <c r="BN864" s="7"/>
      <c r="BO864" s="6"/>
      <c r="BP864" s="3"/>
      <c r="BQ864" s="6"/>
      <c r="BR864" s="6"/>
      <c r="BS864" s="3"/>
      <c r="BT864" s="3"/>
      <c r="BU864" s="6"/>
      <c r="BV864" s="3"/>
      <c r="BW864" s="3"/>
      <c r="BX864" s="6"/>
      <c r="BY864" s="3"/>
      <c r="BZ864" s="3" t="s">
        <v>1262</v>
      </c>
      <c r="CA864" s="6"/>
      <c r="CB864" s="3"/>
      <c r="CC864" s="7">
        <v>46128</v>
      </c>
      <c r="CD864" s="6"/>
      <c r="CE864" s="3"/>
      <c r="CF864" s="6">
        <v>9</v>
      </c>
      <c r="CG864" s="6"/>
      <c r="CH864" s="3"/>
      <c r="CI864" s="3" t="s">
        <v>2432</v>
      </c>
      <c r="CJ864" s="6"/>
      <c r="CK864" s="3"/>
      <c r="CL864" s="3" t="s">
        <v>2433</v>
      </c>
      <c r="CM864" s="6"/>
      <c r="CN864" s="3"/>
      <c r="CO864" s="3"/>
      <c r="CP864" s="6"/>
      <c r="CQ864" s="3"/>
      <c r="CR864" s="7"/>
      <c r="CS864" s="6"/>
      <c r="CT864" s="3"/>
      <c r="CU864" s="6"/>
      <c r="CV864" s="6"/>
      <c r="CW864" s="3"/>
      <c r="CX864" s="3"/>
      <c r="CY864" s="6"/>
      <c r="CZ864" s="3"/>
      <c r="DA864" s="3"/>
      <c r="DB864" s="6"/>
      <c r="DC864" s="3"/>
      <c r="DD864" s="3"/>
      <c r="DE864" s="6"/>
      <c r="DF864" s="3"/>
      <c r="DG864" s="7"/>
      <c r="DH864" s="6"/>
      <c r="DI864" s="3"/>
      <c r="DJ864" s="6"/>
      <c r="DK864" s="6"/>
      <c r="DL864" s="3"/>
      <c r="DM864" s="3"/>
      <c r="DN864" s="6"/>
      <c r="DO864" s="3"/>
      <c r="DP864" s="3"/>
      <c r="DQ864" s="6"/>
      <c r="DR864" s="3"/>
      <c r="DS864" s="3" t="str">
        <f>_xlfn.XLOOKUP(OfficeForms.Table[[#This Row],[Selecione a Categoria do Laboratório desta atividade prática:]],Planilha1!A:A,Planilha1!B:B)</f>
        <v>ECE-ENM-ENS-ENG-EEA-GPI-CDE-OBR-SAN-TER-FSA-SLF-QUI</v>
      </c>
      <c r="DT864" s="6" t="str">
        <f>CONCATENATE(OfficeForms.Table[[#This Row],[Selecione seu Polo Laboratório de Atividades Presenciais:]],OfficeForms.Table[[#This Row],[CHAVE CONVERSÃO]])</f>
        <v>Chapecó/SC - CentroECE-ENM-ENS-ENG-EEA-GPI-CDE-OBR-SAN-TER-FSA-SLF-QUI</v>
      </c>
      <c r="DU86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 Representações do Desenho Técnico + Cotas e Escalas</v>
      </c>
      <c r="DV86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6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9</v>
      </c>
      <c r="DX864" s="6" t="str">
        <f>_xlfn.XLOOKUP(OfficeForms.Table[[#This Row],[CHAVE LINK POLO]],'[1]Quadro Geral de Lotação'!$B:$B,'[1]Quadro Geral de Lotação'!$I:$I)</f>
        <v>Gabriela Fanck Dos Santos</v>
      </c>
      <c r="DY864" s="6" t="str">
        <f>OfficeForms.Table[[#This Row],[Selecione a Ordem de Disciplina]]</f>
        <v>Ordem 3</v>
      </c>
    </row>
    <row r="865" spans="1:129" ht="34.15" customHeight="1">
      <c r="A865" s="6">
        <v>865</v>
      </c>
      <c r="B865" s="2">
        <v>46135.333877314799</v>
      </c>
      <c r="C865" s="2">
        <v>46135.335254629601</v>
      </c>
      <c r="D865" s="3" t="s">
        <v>543</v>
      </c>
      <c r="E865" s="3" t="s">
        <v>544</v>
      </c>
      <c r="F865" s="6"/>
      <c r="G865" s="3"/>
      <c r="I865" s="3" t="s">
        <v>545</v>
      </c>
      <c r="J865" s="6"/>
      <c r="K865" s="3"/>
      <c r="L865" s="6" t="s">
        <v>1325</v>
      </c>
      <c r="M865" s="6"/>
      <c r="N865" s="6"/>
      <c r="O865" s="3" t="s">
        <v>140</v>
      </c>
      <c r="P865" s="6"/>
      <c r="Q865" s="3"/>
      <c r="R865" s="3"/>
      <c r="S865" s="6"/>
      <c r="T865" s="3"/>
      <c r="U865" s="7"/>
      <c r="V865" s="6"/>
      <c r="W865" s="3"/>
      <c r="X865" s="6"/>
      <c r="Y865" s="6"/>
      <c r="Z865" s="3"/>
      <c r="AA865" s="3"/>
      <c r="AB865" s="6"/>
      <c r="AC865" s="3"/>
      <c r="AD865" s="3"/>
      <c r="AE865" s="6"/>
      <c r="AF865" s="3"/>
      <c r="AG865" s="3"/>
      <c r="AH865" s="6"/>
      <c r="AI865" s="3"/>
      <c r="AJ865" s="1"/>
      <c r="AK865" s="6"/>
      <c r="AL865" s="3"/>
      <c r="AM865" s="6"/>
      <c r="AN865" s="6"/>
      <c r="AO865" s="3"/>
      <c r="AP865" s="3"/>
      <c r="AQ865" s="6"/>
      <c r="AR865" s="3"/>
      <c r="AS865" s="3"/>
      <c r="AT865" s="6"/>
      <c r="AU865" s="3"/>
      <c r="AV865" s="3"/>
      <c r="AW865" s="6"/>
      <c r="AX865" s="3"/>
      <c r="AY865" s="7"/>
      <c r="AZ865" s="6"/>
      <c r="BA865" s="3"/>
      <c r="BB865" s="6"/>
      <c r="BC865" s="6"/>
      <c r="BD865" s="3"/>
      <c r="BE865" s="3"/>
      <c r="BF865" s="6"/>
      <c r="BG865" s="3"/>
      <c r="BH865" s="3"/>
      <c r="BI865" s="6"/>
      <c r="BJ865" s="3"/>
      <c r="BK865" s="3"/>
      <c r="BL865" s="6"/>
      <c r="BM865" s="3"/>
      <c r="BN865" s="7"/>
      <c r="BO865" s="6"/>
      <c r="BP865" s="3"/>
      <c r="BQ865" s="6"/>
      <c r="BR865" s="6"/>
      <c r="BS865" s="3"/>
      <c r="BT865" s="3"/>
      <c r="BU865" s="6"/>
      <c r="BV865" s="3"/>
      <c r="BW865" s="3"/>
      <c r="BX865" s="6"/>
      <c r="BY865" s="3"/>
      <c r="BZ865" s="3" t="s">
        <v>1426</v>
      </c>
      <c r="CA865" s="6"/>
      <c r="CB865" s="3"/>
      <c r="CC865" s="7">
        <v>46134</v>
      </c>
      <c r="CD865" s="6"/>
      <c r="CE865" s="3"/>
      <c r="CF865" s="6">
        <v>4</v>
      </c>
      <c r="CG865" s="6"/>
      <c r="CH865" s="3"/>
      <c r="CI865" s="3" t="s">
        <v>2434</v>
      </c>
      <c r="CJ865" s="6"/>
      <c r="CK865" s="3"/>
      <c r="CL865" s="3" t="s">
        <v>2435</v>
      </c>
      <c r="CM865" s="6"/>
      <c r="CN865" s="3"/>
      <c r="CO865" s="3"/>
      <c r="CP865" s="6"/>
      <c r="CQ865" s="3"/>
      <c r="CR865" s="7"/>
      <c r="CS865" s="6"/>
      <c r="CT865" s="3"/>
      <c r="CU865" s="6"/>
      <c r="CV865" s="6"/>
      <c r="CW865" s="3"/>
      <c r="CX865" s="3"/>
      <c r="CY865" s="6"/>
      <c r="CZ865" s="3"/>
      <c r="DA865" s="3"/>
      <c r="DB865" s="6"/>
      <c r="DC865" s="3"/>
      <c r="DD865" s="3"/>
      <c r="DE865" s="6"/>
      <c r="DF865" s="3"/>
      <c r="DG865" s="7"/>
      <c r="DH865" s="6"/>
      <c r="DI865" s="3"/>
      <c r="DJ865" s="6"/>
      <c r="DK865" s="6"/>
      <c r="DL865" s="3"/>
      <c r="DM865" s="3"/>
      <c r="DN865" s="6"/>
      <c r="DO865" s="3"/>
      <c r="DP865" s="3"/>
      <c r="DQ865" s="6"/>
      <c r="DR865" s="3"/>
      <c r="DS865" s="3" t="str">
        <f>_xlfn.XLOOKUP(OfficeForms.Table[[#This Row],[Selecione a Categoria do Laboratório desta atividade prática:]],Planilha1!A:A,Planilha1!B:B)</f>
        <v>ECE-ENM-ENS-ENG-EEA-GPI-CDE-OBR-SAN-TER-FSA-SLF-QUI</v>
      </c>
      <c r="DT865" s="6" t="str">
        <f>CONCATENATE(OfficeForms.Table[[#This Row],[Selecione seu Polo Laboratório de Atividades Presenciais:]],OfficeForms.Table[[#This Row],[CHAVE CONVERSÃO]])</f>
        <v>Porto Alegre/RS - Centro HistóricoECE-ENM-ENS-ENG-EEA-GPI-CDE-OBR-SAN-TER-FSA-SLF-QUI</v>
      </c>
      <c r="DU86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QUÍMICA E FÍSICA - Condições de equilíbrio de um corpo rígido</v>
      </c>
      <c r="DV86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6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4</v>
      </c>
      <c r="DX865" s="6" t="e">
        <f>_xlfn.XLOOKUP(OfficeForms.Table[[#This Row],[CHAVE LINK POLO]],'[1]Quadro Geral de Lotação'!$B:$B,'[1]Quadro Geral de Lotação'!$I:$I)</f>
        <v>#N/A</v>
      </c>
      <c r="DY865" s="6" t="str">
        <f>OfficeForms.Table[[#This Row],[Selecione a Ordem de Disciplina]]</f>
        <v>Ordem 3</v>
      </c>
    </row>
    <row r="866" spans="1:129" ht="34.15" customHeight="1">
      <c r="A866" s="6">
        <v>866</v>
      </c>
      <c r="B866" s="2">
        <v>46135.487303240698</v>
      </c>
      <c r="C866" s="2">
        <v>46135.488668981503</v>
      </c>
      <c r="D866" s="3" t="s">
        <v>1330</v>
      </c>
      <c r="E866" s="3" t="s">
        <v>1331</v>
      </c>
      <c r="F866" s="6"/>
      <c r="G866" s="3"/>
      <c r="I866" s="3" t="s">
        <v>245</v>
      </c>
      <c r="J866" s="6"/>
      <c r="K866" s="3"/>
      <c r="L866" s="6" t="s">
        <v>1325</v>
      </c>
      <c r="M866" s="6"/>
      <c r="N866" s="6"/>
      <c r="O866" s="3" t="s">
        <v>184</v>
      </c>
      <c r="P866" s="6"/>
      <c r="Q866" s="3"/>
      <c r="R866" s="3"/>
      <c r="S866" s="6"/>
      <c r="T866" s="3"/>
      <c r="U866" s="7"/>
      <c r="V866" s="6"/>
      <c r="W866" s="3"/>
      <c r="X866" s="6"/>
      <c r="Y866" s="6"/>
      <c r="Z866" s="3"/>
      <c r="AA866" s="3"/>
      <c r="AB866" s="6"/>
      <c r="AC866" s="3"/>
      <c r="AD866" s="3"/>
      <c r="AE866" s="6"/>
      <c r="AF866" s="3"/>
      <c r="AG866" s="3" t="s">
        <v>816</v>
      </c>
      <c r="AH866" s="6"/>
      <c r="AI866" s="3"/>
      <c r="AJ866" s="1">
        <v>46130</v>
      </c>
      <c r="AK866" s="6"/>
      <c r="AL866" s="3"/>
      <c r="AM866" s="6">
        <v>1</v>
      </c>
      <c r="AN866" s="6"/>
      <c r="AO866" s="3"/>
      <c r="AP866" s="3" t="s">
        <v>2436</v>
      </c>
      <c r="AQ866" s="6"/>
      <c r="AR866" s="3"/>
      <c r="AS866" s="3" t="s">
        <v>2437</v>
      </c>
      <c r="AT866" s="6"/>
      <c r="AU866" s="3"/>
      <c r="AV866" s="3"/>
      <c r="AW866" s="6"/>
      <c r="AX866" s="3"/>
      <c r="AY866" s="7"/>
      <c r="AZ866" s="6"/>
      <c r="BA866" s="3"/>
      <c r="BB866" s="6"/>
      <c r="BC866" s="6"/>
      <c r="BD866" s="3"/>
      <c r="BE866" s="3"/>
      <c r="BF866" s="6"/>
      <c r="BG866" s="3"/>
      <c r="BH866" s="3"/>
      <c r="BI866" s="6"/>
      <c r="BJ866" s="3"/>
      <c r="BK866" s="3"/>
      <c r="BL866" s="6"/>
      <c r="BM866" s="3"/>
      <c r="BN866" s="7"/>
      <c r="BO866" s="6"/>
      <c r="BP866" s="3"/>
      <c r="BQ866" s="6"/>
      <c r="BR866" s="6"/>
      <c r="BS866" s="3"/>
      <c r="BT866" s="3"/>
      <c r="BU866" s="6"/>
      <c r="BV866" s="3"/>
      <c r="BW866" s="3"/>
      <c r="BX866" s="6"/>
      <c r="BY866" s="3"/>
      <c r="BZ866" s="3"/>
      <c r="CA866" s="6"/>
      <c r="CB866" s="3"/>
      <c r="CC866" s="7"/>
      <c r="CD866" s="6"/>
      <c r="CE866" s="3"/>
      <c r="CF866" s="6"/>
      <c r="CG866" s="6"/>
      <c r="CH866" s="3"/>
      <c r="CI866" s="3"/>
      <c r="CJ866" s="6"/>
      <c r="CK866" s="3"/>
      <c r="CL866" s="3"/>
      <c r="CM866" s="6"/>
      <c r="CN866" s="3"/>
      <c r="CO866" s="3"/>
      <c r="CP866" s="6"/>
      <c r="CQ866" s="3"/>
      <c r="CR866" s="7"/>
      <c r="CS866" s="6"/>
      <c r="CT866" s="3"/>
      <c r="CU866" s="6"/>
      <c r="CV866" s="6"/>
      <c r="CW866" s="3"/>
      <c r="CX866" s="3"/>
      <c r="CY866" s="6"/>
      <c r="CZ866" s="3"/>
      <c r="DA866" s="3"/>
      <c r="DB866" s="6"/>
      <c r="DC866" s="3"/>
      <c r="DD866" s="3"/>
      <c r="DE866" s="6"/>
      <c r="DF866" s="3"/>
      <c r="DG866" s="7"/>
      <c r="DH866" s="6"/>
      <c r="DI866" s="3"/>
      <c r="DJ866" s="6"/>
      <c r="DK866" s="6"/>
      <c r="DL866" s="3"/>
      <c r="DM866" s="3"/>
      <c r="DN866" s="6"/>
      <c r="DO866" s="3"/>
      <c r="DP866" s="3"/>
      <c r="DQ866" s="6"/>
      <c r="DR866" s="3"/>
      <c r="DS866" s="3" t="str">
        <f>_xlfn.XLOOKUP(OfficeForms.Table[[#This Row],[Selecione a Categoria do Laboratório desta atividade prática:]],Planilha1!A:A,Planilha1!B:B)</f>
        <v>EMF-ISN</v>
      </c>
      <c r="DT866" s="6" t="str">
        <f>CONCATENATE(OfficeForms.Table[[#This Row],[Selecione seu Polo Laboratório de Atividades Presenciais:]],OfficeForms.Table[[#This Row],[CHAVE CONVERSÃO]])</f>
        <v>Avaré/SPEMF-ISN</v>
      </c>
      <c r="DU86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</v>
      </c>
      <c r="DV86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6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66" s="6" t="str">
        <f>_xlfn.XLOOKUP(OfficeForms.Table[[#This Row],[CHAVE LINK POLO]],'[1]Quadro Geral de Lotação'!$B:$B,'[1]Quadro Geral de Lotação'!$I:$I)</f>
        <v>Larissa Brandolin Ventura</v>
      </c>
      <c r="DY866" s="6" t="str">
        <f>OfficeForms.Table[[#This Row],[Selecione a Ordem de Disciplina]]</f>
        <v>Ordem 3</v>
      </c>
    </row>
    <row r="867" spans="1:129" ht="34.15" customHeight="1">
      <c r="A867" s="6">
        <v>867</v>
      </c>
      <c r="B867" s="2">
        <v>46135.488981481503</v>
      </c>
      <c r="C867" s="2">
        <v>46135.489733796298</v>
      </c>
      <c r="D867" s="3" t="s">
        <v>1330</v>
      </c>
      <c r="E867" s="3" t="s">
        <v>1331</v>
      </c>
      <c r="F867" s="6"/>
      <c r="G867" s="3"/>
      <c r="I867" s="3" t="s">
        <v>245</v>
      </c>
      <c r="J867" s="6"/>
      <c r="K867" s="3"/>
      <c r="L867" s="6" t="s">
        <v>132</v>
      </c>
      <c r="M867" s="6"/>
      <c r="N867" s="6"/>
      <c r="O867" s="3" t="s">
        <v>184</v>
      </c>
      <c r="P867" s="6"/>
      <c r="Q867" s="3"/>
      <c r="R867" s="3"/>
      <c r="S867" s="6"/>
      <c r="T867" s="3"/>
      <c r="U867" s="7"/>
      <c r="V867" s="6"/>
      <c r="W867" s="3"/>
      <c r="X867" s="6"/>
      <c r="Y867" s="6"/>
      <c r="Z867" s="3"/>
      <c r="AA867" s="3"/>
      <c r="AB867" s="6"/>
      <c r="AC867" s="3"/>
      <c r="AD867" s="3"/>
      <c r="AE867" s="6"/>
      <c r="AF867" s="3"/>
      <c r="AG867" s="3" t="s">
        <v>224</v>
      </c>
      <c r="AH867" s="6"/>
      <c r="AI867" s="3"/>
      <c r="AJ867" s="1">
        <v>46130</v>
      </c>
      <c r="AK867" s="6"/>
      <c r="AL867" s="3"/>
      <c r="AM867" s="6">
        <v>1</v>
      </c>
      <c r="AN867" s="6"/>
      <c r="AO867" s="3"/>
      <c r="AP867" s="3" t="s">
        <v>2438</v>
      </c>
      <c r="AQ867" s="6"/>
      <c r="AR867" s="3"/>
      <c r="AS867" s="3" t="s">
        <v>2439</v>
      </c>
      <c r="AT867" s="6"/>
      <c r="AU867" s="3"/>
      <c r="AV867" s="3"/>
      <c r="AW867" s="6"/>
      <c r="AX867" s="3"/>
      <c r="AY867" s="7"/>
      <c r="AZ867" s="6"/>
      <c r="BA867" s="3"/>
      <c r="BB867" s="6"/>
      <c r="BC867" s="6"/>
      <c r="BD867" s="3"/>
      <c r="BE867" s="3"/>
      <c r="BF867" s="6"/>
      <c r="BG867" s="3"/>
      <c r="BH867" s="3"/>
      <c r="BI867" s="6"/>
      <c r="BJ867" s="3"/>
      <c r="BK867" s="3"/>
      <c r="BL867" s="6"/>
      <c r="BM867" s="3"/>
      <c r="BN867" s="7"/>
      <c r="BO867" s="6"/>
      <c r="BP867" s="3"/>
      <c r="BQ867" s="6"/>
      <c r="BR867" s="6"/>
      <c r="BS867" s="3"/>
      <c r="BT867" s="3"/>
      <c r="BU867" s="6"/>
      <c r="BV867" s="3"/>
      <c r="BW867" s="3"/>
      <c r="BX867" s="6"/>
      <c r="BY867" s="3"/>
      <c r="BZ867" s="3"/>
      <c r="CA867" s="6"/>
      <c r="CB867" s="3"/>
      <c r="CC867" s="7"/>
      <c r="CD867" s="6"/>
      <c r="CE867" s="3"/>
      <c r="CF867" s="6"/>
      <c r="CG867" s="6"/>
      <c r="CH867" s="3"/>
      <c r="CI867" s="3"/>
      <c r="CJ867" s="6"/>
      <c r="CK867" s="3"/>
      <c r="CL867" s="3"/>
      <c r="CM867" s="6"/>
      <c r="CN867" s="3"/>
      <c r="CO867" s="3"/>
      <c r="CP867" s="6"/>
      <c r="CQ867" s="3"/>
      <c r="CR867" s="7"/>
      <c r="CS867" s="6"/>
      <c r="CT867" s="3"/>
      <c r="CU867" s="6"/>
      <c r="CV867" s="6"/>
      <c r="CW867" s="3"/>
      <c r="CX867" s="3"/>
      <c r="CY867" s="6"/>
      <c r="CZ867" s="3"/>
      <c r="DA867" s="3"/>
      <c r="DB867" s="6"/>
      <c r="DC867" s="3"/>
      <c r="DD867" s="3"/>
      <c r="DE867" s="6"/>
      <c r="DF867" s="3"/>
      <c r="DG867" s="7"/>
      <c r="DH867" s="6"/>
      <c r="DI867" s="3"/>
      <c r="DJ867" s="6"/>
      <c r="DK867" s="6"/>
      <c r="DL867" s="3"/>
      <c r="DM867" s="3"/>
      <c r="DN867" s="6"/>
      <c r="DO867" s="3"/>
      <c r="DP867" s="3"/>
      <c r="DQ867" s="6"/>
      <c r="DR867" s="3"/>
      <c r="DS867" s="3" t="str">
        <f>_xlfn.XLOOKUP(OfficeForms.Table[[#This Row],[Selecione a Categoria do Laboratório desta atividade prática:]],Planilha1!A:A,Planilha1!B:B)</f>
        <v>EMF-ISN</v>
      </c>
      <c r="DT867" s="6" t="str">
        <f>CONCATENATE(OfficeForms.Table[[#This Row],[Selecione seu Polo Laboratório de Atividades Presenciais:]],OfficeForms.Table[[#This Row],[CHAVE CONVERSÃO]])</f>
        <v>Avaré/SPEMF-ISN</v>
      </c>
      <c r="DU86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 de medicamento por Cateter Venoso Central + Monitorização hemodinâmica  do paciente;Aspiração de vias aéreas (com e sem TOT)</v>
      </c>
      <c r="DV86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46130</v>
      </c>
      <c r="DW86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67" s="6" t="str">
        <f>_xlfn.XLOOKUP(OfficeForms.Table[[#This Row],[CHAVE LINK POLO]],'[1]Quadro Geral de Lotação'!$B:$B,'[1]Quadro Geral de Lotação'!$I:$I)</f>
        <v>Larissa Brandolin Ventura</v>
      </c>
      <c r="DY867" s="6" t="str">
        <f>OfficeForms.Table[[#This Row],[Selecione a Ordem de Disciplina]]</f>
        <v>Ordem 1</v>
      </c>
    </row>
    <row r="868" spans="1:129" ht="34.15" customHeight="1">
      <c r="A868" s="6">
        <v>868</v>
      </c>
      <c r="B868" s="2">
        <v>46135.483009259297</v>
      </c>
      <c r="C868" s="2">
        <v>46135.513483796298</v>
      </c>
      <c r="D868" s="3" t="s">
        <v>914</v>
      </c>
      <c r="E868" s="3" t="s">
        <v>915</v>
      </c>
      <c r="F868" s="6"/>
      <c r="G868" s="3"/>
      <c r="I868" s="3" t="s">
        <v>916</v>
      </c>
      <c r="J868" s="6"/>
      <c r="K868" s="3"/>
      <c r="L868" s="6" t="s">
        <v>1325</v>
      </c>
      <c r="M868" s="6"/>
      <c r="N868" s="6"/>
      <c r="O868" s="3" t="s">
        <v>497</v>
      </c>
      <c r="P868" s="6"/>
      <c r="Q868" s="3"/>
      <c r="R868" s="3" t="s">
        <v>2440</v>
      </c>
      <c r="S868" s="6"/>
      <c r="T868" s="3"/>
      <c r="U868" s="7">
        <v>46128</v>
      </c>
      <c r="V868" s="6"/>
      <c r="W868" s="3"/>
      <c r="X868" s="6">
        <v>3</v>
      </c>
      <c r="Y868" s="6"/>
      <c r="Z868" s="3"/>
      <c r="AA868" s="3" t="s">
        <v>2441</v>
      </c>
      <c r="AB868" s="6"/>
      <c r="AC868" s="3"/>
      <c r="AD868" s="3" t="s">
        <v>2442</v>
      </c>
      <c r="AE868" s="6"/>
      <c r="AF868" s="3"/>
      <c r="AG868" s="3"/>
      <c r="AH868" s="6"/>
      <c r="AI868" s="3"/>
      <c r="AJ868" s="1"/>
      <c r="AK868" s="6"/>
      <c r="AL868" s="3"/>
      <c r="AM868" s="6"/>
      <c r="AN868" s="6"/>
      <c r="AO868" s="3"/>
      <c r="AP868" s="3"/>
      <c r="AQ868" s="6"/>
      <c r="AR868" s="3"/>
      <c r="AS868" s="3"/>
      <c r="AT868" s="6"/>
      <c r="AU868" s="3"/>
      <c r="AV868" s="3"/>
      <c r="AW868" s="6"/>
      <c r="AX868" s="3"/>
      <c r="AY868" s="7"/>
      <c r="AZ868" s="6"/>
      <c r="BA868" s="3"/>
      <c r="BB868" s="6"/>
      <c r="BC868" s="6"/>
      <c r="BD868" s="3"/>
      <c r="BE868" s="3"/>
      <c r="BF868" s="6"/>
      <c r="BG868" s="3"/>
      <c r="BH868" s="3"/>
      <c r="BI868" s="6"/>
      <c r="BJ868" s="3"/>
      <c r="BK868" s="3"/>
      <c r="BL868" s="6"/>
      <c r="BM868" s="3"/>
      <c r="BN868" s="7"/>
      <c r="BO868" s="6"/>
      <c r="BP868" s="3"/>
      <c r="BQ868" s="6"/>
      <c r="BR868" s="6"/>
      <c r="BS868" s="3"/>
      <c r="BT868" s="3"/>
      <c r="BU868" s="6"/>
      <c r="BV868" s="3"/>
      <c r="BW868" s="3"/>
      <c r="BX868" s="6"/>
      <c r="BY868" s="3"/>
      <c r="BZ868" s="3"/>
      <c r="CA868" s="6"/>
      <c r="CB868" s="3"/>
      <c r="CC868" s="7"/>
      <c r="CD868" s="6"/>
      <c r="CE868" s="3"/>
      <c r="CF868" s="6"/>
      <c r="CG868" s="6"/>
      <c r="CH868" s="3"/>
      <c r="CI868" s="3"/>
      <c r="CJ868" s="6"/>
      <c r="CK868" s="3"/>
      <c r="CL868" s="3"/>
      <c r="CM868" s="6"/>
      <c r="CN868" s="3"/>
      <c r="CO868" s="3"/>
      <c r="CP868" s="6"/>
      <c r="CQ868" s="3"/>
      <c r="CR868" s="7"/>
      <c r="CS868" s="6"/>
      <c r="CT868" s="3"/>
      <c r="CU868" s="6"/>
      <c r="CV868" s="6"/>
      <c r="CW868" s="3"/>
      <c r="CX868" s="3"/>
      <c r="CY868" s="6"/>
      <c r="CZ868" s="3"/>
      <c r="DA868" s="3"/>
      <c r="DB868" s="6"/>
      <c r="DC868" s="3"/>
      <c r="DD868" s="3"/>
      <c r="DE868" s="6"/>
      <c r="DF868" s="3"/>
      <c r="DG868" s="7"/>
      <c r="DH868" s="6"/>
      <c r="DI868" s="3"/>
      <c r="DJ868" s="6"/>
      <c r="DK868" s="6"/>
      <c r="DL868" s="3"/>
      <c r="DM868" s="3"/>
      <c r="DN868" s="6"/>
      <c r="DO868" s="3"/>
      <c r="DP868" s="3"/>
      <c r="DQ868" s="6"/>
      <c r="DR868" s="3"/>
      <c r="DS868" s="3" t="str">
        <f>_xlfn.XLOOKUP(OfficeForms.Table[[#This Row],[Selecione a Categoria do Laboratório desta atividade prática:]],Planilha1!A:A,Planilha1!B:B)</f>
        <v>BFR-BBI</v>
      </c>
      <c r="DT868" s="6" t="str">
        <f>CONCATENATE(OfficeForms.Table[[#This Row],[Selecione seu Polo Laboratório de Atividades Presenciais:]],OfficeForms.Table[[#This Row],[CHAVE CONVERSÃO]])</f>
        <v>Itapipoca/CEBFR-BBI</v>
      </c>
      <c r="DU86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Contagem diferencial de leucócitos;Esfregaço sanguíneo e colorações  (contagem diferencial de leucócitos)</v>
      </c>
      <c r="DV86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6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68" s="6" t="e">
        <f>_xlfn.XLOOKUP(OfficeForms.Table[[#This Row],[CHAVE LINK POLO]],'[1]Quadro Geral de Lotação'!$B:$B,'[1]Quadro Geral de Lotação'!$I:$I)</f>
        <v>#N/A</v>
      </c>
      <c r="DY868" s="6" t="str">
        <f>OfficeForms.Table[[#This Row],[Selecione a Ordem de Disciplina]]</f>
        <v>Ordem 3</v>
      </c>
    </row>
    <row r="869" spans="1:129" ht="34.15" customHeight="1">
      <c r="A869" s="6">
        <v>869</v>
      </c>
      <c r="B869" s="2">
        <v>46135.602951388901</v>
      </c>
      <c r="C869" s="2">
        <v>46135.604594907403</v>
      </c>
      <c r="D869" s="3" t="s">
        <v>2127</v>
      </c>
      <c r="E869" s="3" t="s">
        <v>2128</v>
      </c>
      <c r="F869" s="6"/>
      <c r="G869" s="3"/>
      <c r="I869" s="3" t="s">
        <v>1247</v>
      </c>
      <c r="J869" s="6"/>
      <c r="K869" s="3"/>
      <c r="L869" s="6" t="s">
        <v>1325</v>
      </c>
      <c r="M869" s="6"/>
      <c r="N869" s="6"/>
      <c r="O869" s="3" t="s">
        <v>156</v>
      </c>
      <c r="P869" s="6"/>
      <c r="Q869" s="3"/>
      <c r="R869" s="3"/>
      <c r="S869" s="6"/>
      <c r="T869" s="3"/>
      <c r="U869" s="7"/>
      <c r="V869" s="6"/>
      <c r="W869" s="3"/>
      <c r="X869" s="6"/>
      <c r="Y869" s="6"/>
      <c r="Z869" s="3"/>
      <c r="AA869" s="3"/>
      <c r="AB869" s="6"/>
      <c r="AC869" s="3"/>
      <c r="AD869" s="3"/>
      <c r="AE869" s="6"/>
      <c r="AF869" s="3"/>
      <c r="AG869" s="3"/>
      <c r="AH869" s="6"/>
      <c r="AI869" s="3"/>
      <c r="AJ869" s="1"/>
      <c r="AK869" s="6"/>
      <c r="AL869" s="3"/>
      <c r="AM869" s="6"/>
      <c r="AN869" s="6"/>
      <c r="AO869" s="3"/>
      <c r="AP869" s="3"/>
      <c r="AQ869" s="6"/>
      <c r="AR869" s="3"/>
      <c r="AS869" s="3"/>
      <c r="AT869" s="6"/>
      <c r="AU869" s="3"/>
      <c r="AV869" s="3"/>
      <c r="AW869" s="6"/>
      <c r="AX869" s="3"/>
      <c r="AY869" s="7"/>
      <c r="AZ869" s="6"/>
      <c r="BA869" s="3"/>
      <c r="BB869" s="6"/>
      <c r="BC869" s="6"/>
      <c r="BD869" s="3"/>
      <c r="BE869" s="3"/>
      <c r="BF869" s="6"/>
      <c r="BG869" s="3"/>
      <c r="BH869" s="3"/>
      <c r="BI869" s="6"/>
      <c r="BJ869" s="3"/>
      <c r="BK869" s="3" t="s">
        <v>1489</v>
      </c>
      <c r="BL869" s="6"/>
      <c r="BM869" s="3"/>
      <c r="BN869" s="7">
        <v>46134</v>
      </c>
      <c r="BO869" s="6"/>
      <c r="BP869" s="3"/>
      <c r="BQ869" s="6">
        <v>6</v>
      </c>
      <c r="BR869" s="6"/>
      <c r="BS869" s="3"/>
      <c r="BT869" s="3" t="s">
        <v>2443</v>
      </c>
      <c r="BU869" s="6"/>
      <c r="BV869" s="3"/>
      <c r="BW869" s="3" t="s">
        <v>2444</v>
      </c>
      <c r="BX869" s="6"/>
      <c r="BY869" s="3"/>
      <c r="BZ869" s="3"/>
      <c r="CA869" s="6"/>
      <c r="CB869" s="3"/>
      <c r="CC869" s="7"/>
      <c r="CD869" s="6"/>
      <c r="CE869" s="3"/>
      <c r="CF869" s="6"/>
      <c r="CG869" s="6"/>
      <c r="CH869" s="3"/>
      <c r="CI869" s="3"/>
      <c r="CJ869" s="6"/>
      <c r="CK869" s="3"/>
      <c r="CL869" s="3"/>
      <c r="CM869" s="6"/>
      <c r="CN869" s="3"/>
      <c r="CO869" s="3"/>
      <c r="CP869" s="6"/>
      <c r="CQ869" s="3"/>
      <c r="CR869" s="7"/>
      <c r="CS869" s="6"/>
      <c r="CT869" s="3"/>
      <c r="CU869" s="6"/>
      <c r="CV869" s="6"/>
      <c r="CW869" s="3"/>
      <c r="CX869" s="3"/>
      <c r="CY869" s="6"/>
      <c r="CZ869" s="3"/>
      <c r="DA869" s="3"/>
      <c r="DB869" s="6"/>
      <c r="DC869" s="3"/>
      <c r="DD869" s="3"/>
      <c r="DE869" s="6"/>
      <c r="DF869" s="3"/>
      <c r="DG869" s="7"/>
      <c r="DH869" s="6"/>
      <c r="DI869" s="3"/>
      <c r="DJ869" s="6"/>
      <c r="DK869" s="6"/>
      <c r="DL869" s="3"/>
      <c r="DM869" s="3"/>
      <c r="DN869" s="6"/>
      <c r="DO869" s="3"/>
      <c r="DP869" s="3"/>
      <c r="DQ869" s="6"/>
      <c r="DR869" s="3"/>
      <c r="DS869" s="3" t="str">
        <f>_xlfn.XLOOKUP(OfficeForms.Table[[#This Row],[Selecione a Categoria do Laboratório desta atividade prática:]],Planilha1!A:A,Planilha1!B:B)</f>
        <v>NTR</v>
      </c>
      <c r="DT869" s="6" t="str">
        <f>CONCATENATE(OfficeForms.Table[[#This Row],[Selecione seu Polo Laboratório de Atividades Presenciais:]],OfficeForms.Table[[#This Row],[CHAVE CONVERSÃO]])</f>
        <v>Belo Horizonte/MG - Shopping Estação BHNTR</v>
      </c>
      <c r="DU86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Anamnese nutricional do adulto e Diagnóstico nutricional;Avaliação antropométrico de adulto e de acamado</v>
      </c>
      <c r="DV86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6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869" s="6" t="str">
        <f>_xlfn.XLOOKUP(OfficeForms.Table[[#This Row],[CHAVE LINK POLO]],'[1]Quadro Geral de Lotação'!$B:$B,'[1]Quadro Geral de Lotação'!$I:$I)</f>
        <v>Vinicius Augusto Da Silva</v>
      </c>
      <c r="DY869" s="6" t="str">
        <f>OfficeForms.Table[[#This Row],[Selecione a Ordem de Disciplina]]</f>
        <v>Ordem 3</v>
      </c>
    </row>
    <row r="870" spans="1:129" ht="34.15" customHeight="1">
      <c r="A870" s="6">
        <v>870</v>
      </c>
      <c r="B870" s="2">
        <v>46135.642638888901</v>
      </c>
      <c r="C870" s="2">
        <v>46135.654699074097</v>
      </c>
      <c r="D870" s="3" t="s">
        <v>232</v>
      </c>
      <c r="E870" s="3" t="s">
        <v>233</v>
      </c>
      <c r="F870" s="6"/>
      <c r="G870" s="3"/>
      <c r="I870" s="3" t="s">
        <v>234</v>
      </c>
      <c r="J870" s="6"/>
      <c r="K870" s="3"/>
      <c r="L870" s="6" t="s">
        <v>1325</v>
      </c>
      <c r="M870" s="6"/>
      <c r="N870" s="6"/>
      <c r="O870" s="3" t="s">
        <v>184</v>
      </c>
      <c r="P870" s="6"/>
      <c r="Q870" s="3"/>
      <c r="R870" s="3"/>
      <c r="S870" s="6"/>
      <c r="T870" s="3"/>
      <c r="U870" s="7"/>
      <c r="V870" s="6"/>
      <c r="W870" s="3"/>
      <c r="X870" s="6"/>
      <c r="Y870" s="6"/>
      <c r="Z870" s="3"/>
      <c r="AA870" s="3"/>
      <c r="AB870" s="6"/>
      <c r="AC870" s="3"/>
      <c r="AD870" s="3"/>
      <c r="AE870" s="6"/>
      <c r="AF870" s="3"/>
      <c r="AG870" s="3" t="s">
        <v>2120</v>
      </c>
      <c r="AH870" s="6"/>
      <c r="AI870" s="3"/>
      <c r="AJ870" s="1">
        <v>46127</v>
      </c>
      <c r="AK870" s="6"/>
      <c r="AL870" s="3"/>
      <c r="AM870" s="6">
        <v>3</v>
      </c>
      <c r="AN870" s="6"/>
      <c r="AO870" s="3"/>
      <c r="AP870" s="3" t="s">
        <v>2445</v>
      </c>
      <c r="AQ870" s="6"/>
      <c r="AR870" s="3"/>
      <c r="AS870" s="3" t="s">
        <v>2446</v>
      </c>
      <c r="AT870" s="6"/>
      <c r="AU870" s="3"/>
      <c r="AV870" s="3"/>
      <c r="AW870" s="6"/>
      <c r="AX870" s="3"/>
      <c r="AY870" s="7"/>
      <c r="AZ870" s="6"/>
      <c r="BA870" s="3"/>
      <c r="BB870" s="6"/>
      <c r="BC870" s="6"/>
      <c r="BD870" s="3"/>
      <c r="BE870" s="3"/>
      <c r="BF870" s="6"/>
      <c r="BG870" s="3"/>
      <c r="BH870" s="3"/>
      <c r="BI870" s="6"/>
      <c r="BJ870" s="3"/>
      <c r="BK870" s="3"/>
      <c r="BL870" s="6"/>
      <c r="BM870" s="3"/>
      <c r="BN870" s="7"/>
      <c r="BO870" s="6"/>
      <c r="BP870" s="3"/>
      <c r="BQ870" s="6"/>
      <c r="BR870" s="6"/>
      <c r="BS870" s="3"/>
      <c r="BT870" s="3"/>
      <c r="BU870" s="6"/>
      <c r="BV870" s="3"/>
      <c r="BW870" s="3"/>
      <c r="BX870" s="6"/>
      <c r="BY870" s="3"/>
      <c r="BZ870" s="3"/>
      <c r="CA870" s="6"/>
      <c r="CB870" s="3"/>
      <c r="CC870" s="7"/>
      <c r="CD870" s="6"/>
      <c r="CE870" s="3"/>
      <c r="CF870" s="6"/>
      <c r="CG870" s="6"/>
      <c r="CH870" s="3"/>
      <c r="CI870" s="3"/>
      <c r="CJ870" s="6"/>
      <c r="CK870" s="3"/>
      <c r="CL870" s="3"/>
      <c r="CM870" s="6"/>
      <c r="CN870" s="3"/>
      <c r="CO870" s="3"/>
      <c r="CP870" s="6"/>
      <c r="CQ870" s="3"/>
      <c r="CR870" s="7"/>
      <c r="CS870" s="6"/>
      <c r="CT870" s="3"/>
      <c r="CU870" s="6"/>
      <c r="CV870" s="6"/>
      <c r="CW870" s="3"/>
      <c r="CX870" s="3"/>
      <c r="CY870" s="6"/>
      <c r="CZ870" s="3"/>
      <c r="DA870" s="3"/>
      <c r="DB870" s="6"/>
      <c r="DC870" s="3"/>
      <c r="DD870" s="3"/>
      <c r="DE870" s="6"/>
      <c r="DF870" s="3"/>
      <c r="DG870" s="7"/>
      <c r="DH870" s="6"/>
      <c r="DI870" s="3"/>
      <c r="DJ870" s="6"/>
      <c r="DK870" s="6"/>
      <c r="DL870" s="3"/>
      <c r="DM870" s="3"/>
      <c r="DN870" s="6"/>
      <c r="DO870" s="3"/>
      <c r="DP870" s="3"/>
      <c r="DQ870" s="6"/>
      <c r="DR870" s="3"/>
      <c r="DS870" s="3" t="str">
        <f>_xlfn.XLOOKUP(OfficeForms.Table[[#This Row],[Selecione a Categoria do Laboratório desta atividade prática:]],Planilha1!A:A,Planilha1!B:B)</f>
        <v>EMF-ISN</v>
      </c>
      <c r="DT870" s="6" t="str">
        <f>CONCATENATE(OfficeForms.Table[[#This Row],[Selecione seu Polo Laboratório de Atividades Presenciais:]],OfficeForms.Table[[#This Row],[CHAVE CONVERSÃO]])</f>
        <v>Santa Fé do Sul/SPEMF-ISN</v>
      </c>
      <c r="DU87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Punção Venosa + Retirada de pontos</v>
      </c>
      <c r="DV87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7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70" s="6" t="str">
        <f>_xlfn.XLOOKUP(OfficeForms.Table[[#This Row],[CHAVE LINK POLO]],'[1]Quadro Geral de Lotação'!$B:$B,'[1]Quadro Geral de Lotação'!$I:$I)</f>
        <v>Mariana Mirian Correia</v>
      </c>
      <c r="DY870" s="6" t="str">
        <f>OfficeForms.Table[[#This Row],[Selecione a Ordem de Disciplina]]</f>
        <v>Ordem 3</v>
      </c>
    </row>
    <row r="871" spans="1:129" ht="34.15" customHeight="1">
      <c r="A871" s="6">
        <v>871</v>
      </c>
      <c r="B871" s="2">
        <v>46135.669259259303</v>
      </c>
      <c r="C871" s="2">
        <v>46135.670462962997</v>
      </c>
      <c r="D871" s="3" t="s">
        <v>914</v>
      </c>
      <c r="E871" s="3" t="s">
        <v>915</v>
      </c>
      <c r="F871" s="6"/>
      <c r="G871" s="3"/>
      <c r="I871" s="3" t="s">
        <v>916</v>
      </c>
      <c r="J871" s="6"/>
      <c r="K871" s="3"/>
      <c r="L871" s="6" t="s">
        <v>678</v>
      </c>
      <c r="M871" s="6"/>
      <c r="N871" s="6"/>
      <c r="O871" s="3" t="s">
        <v>497</v>
      </c>
      <c r="P871" s="6"/>
      <c r="Q871" s="3"/>
      <c r="R871" s="3" t="s">
        <v>2447</v>
      </c>
      <c r="S871" s="6"/>
      <c r="T871" s="3"/>
      <c r="U871" s="7">
        <v>46107</v>
      </c>
      <c r="V871" s="6"/>
      <c r="W871" s="3"/>
      <c r="X871" s="6">
        <v>6</v>
      </c>
      <c r="Y871" s="6"/>
      <c r="Z871" s="3"/>
      <c r="AA871" s="3" t="s">
        <v>2448</v>
      </c>
      <c r="AB871" s="6"/>
      <c r="AC871" s="3"/>
      <c r="AD871" s="3" t="s">
        <v>2449</v>
      </c>
      <c r="AE871" s="6"/>
      <c r="AF871" s="3"/>
      <c r="AG871" s="3"/>
      <c r="AH871" s="6"/>
      <c r="AI871" s="3"/>
      <c r="AJ871" s="1"/>
      <c r="AK871" s="6"/>
      <c r="AL871" s="3"/>
      <c r="AM871" s="6"/>
      <c r="AN871" s="6"/>
      <c r="AO871" s="3"/>
      <c r="AP871" s="3"/>
      <c r="AQ871" s="6"/>
      <c r="AR871" s="3"/>
      <c r="AS871" s="3"/>
      <c r="AT871" s="6"/>
      <c r="AU871" s="3"/>
      <c r="AV871" s="3"/>
      <c r="AW871" s="6"/>
      <c r="AX871" s="3"/>
      <c r="AY871" s="7"/>
      <c r="AZ871" s="6"/>
      <c r="BA871" s="3"/>
      <c r="BB871" s="6"/>
      <c r="BC871" s="6"/>
      <c r="BD871" s="3"/>
      <c r="BE871" s="3"/>
      <c r="BF871" s="6"/>
      <c r="BG871" s="3"/>
      <c r="BH871" s="3"/>
      <c r="BI871" s="6"/>
      <c r="BJ871" s="3"/>
      <c r="BK871" s="3"/>
      <c r="BL871" s="6"/>
      <c r="BM871" s="3"/>
      <c r="BN871" s="7"/>
      <c r="BO871" s="6"/>
      <c r="BP871" s="3"/>
      <c r="BQ871" s="6"/>
      <c r="BR871" s="6"/>
      <c r="BS871" s="3"/>
      <c r="BT871" s="3"/>
      <c r="BU871" s="6"/>
      <c r="BV871" s="3"/>
      <c r="BW871" s="3"/>
      <c r="BX871" s="6"/>
      <c r="BY871" s="3"/>
      <c r="BZ871" s="3"/>
      <c r="CA871" s="6"/>
      <c r="CB871" s="3"/>
      <c r="CC871" s="7"/>
      <c r="CD871" s="6"/>
      <c r="CE871" s="3"/>
      <c r="CF871" s="6"/>
      <c r="CG871" s="6"/>
      <c r="CH871" s="3"/>
      <c r="CI871" s="3"/>
      <c r="CJ871" s="6"/>
      <c r="CK871" s="3"/>
      <c r="CL871" s="3"/>
      <c r="CM871" s="6"/>
      <c r="CN871" s="3"/>
      <c r="CO871" s="3"/>
      <c r="CP871" s="6"/>
      <c r="CQ871" s="3"/>
      <c r="CR871" s="7"/>
      <c r="CS871" s="6"/>
      <c r="CT871" s="3"/>
      <c r="CU871" s="6"/>
      <c r="CV871" s="6"/>
      <c r="CW871" s="3"/>
      <c r="CX871" s="3"/>
      <c r="CY871" s="6"/>
      <c r="CZ871" s="3"/>
      <c r="DA871" s="3"/>
      <c r="DB871" s="6"/>
      <c r="DC871" s="3"/>
      <c r="DD871" s="3"/>
      <c r="DE871" s="6"/>
      <c r="DF871" s="3"/>
      <c r="DG871" s="7"/>
      <c r="DH871" s="6"/>
      <c r="DI871" s="3"/>
      <c r="DJ871" s="6"/>
      <c r="DK871" s="6"/>
      <c r="DL871" s="3"/>
      <c r="DM871" s="3"/>
      <c r="DN871" s="6"/>
      <c r="DO871" s="3"/>
      <c r="DP871" s="3"/>
      <c r="DQ871" s="6"/>
      <c r="DR871" s="3"/>
      <c r="DS871" s="3" t="str">
        <f>_xlfn.XLOOKUP(OfficeForms.Table[[#This Row],[Selecione a Categoria do Laboratório desta atividade prática:]],Planilha1!A:A,Planilha1!B:B)</f>
        <v>BFR-BBI</v>
      </c>
      <c r="DT871" s="6" t="str">
        <f>CONCATENATE(OfficeForms.Table[[#This Row],[Selecione seu Polo Laboratório de Atividades Presenciais:]],OfficeForms.Table[[#This Row],[CHAVE CONVERSÃO]])</f>
        <v>Itapipoca/CEBFR-BBI</v>
      </c>
      <c r="DU87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Método de Hoffman</v>
      </c>
      <c r="DV87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46107</v>
      </c>
      <c r="DW87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871" s="6" t="e">
        <f>_xlfn.XLOOKUP(OfficeForms.Table[[#This Row],[CHAVE LINK POLO]],'[1]Quadro Geral de Lotação'!$B:$B,'[1]Quadro Geral de Lotação'!$I:$I)</f>
        <v>#N/A</v>
      </c>
      <c r="DY871" s="6" t="str">
        <f>OfficeForms.Table[[#This Row],[Selecione a Ordem de Disciplina]]</f>
        <v>Ordem 2</v>
      </c>
    </row>
    <row r="872" spans="1:129" ht="34.15" customHeight="1">
      <c r="A872" s="6">
        <v>872</v>
      </c>
      <c r="B872" s="2">
        <v>46135.675810185203</v>
      </c>
      <c r="C872" s="2">
        <v>46135.677291666703</v>
      </c>
      <c r="D872" s="3" t="s">
        <v>914</v>
      </c>
      <c r="E872" s="3" t="s">
        <v>915</v>
      </c>
      <c r="F872" s="6"/>
      <c r="G872" s="3"/>
      <c r="I872" s="3" t="s">
        <v>916</v>
      </c>
      <c r="J872" s="6"/>
      <c r="K872" s="3"/>
      <c r="L872" s="6" t="s">
        <v>678</v>
      </c>
      <c r="M872" s="6"/>
      <c r="N872" s="6"/>
      <c r="O872" s="3" t="s">
        <v>497</v>
      </c>
      <c r="P872" s="6"/>
      <c r="Q872" s="3"/>
      <c r="R872" s="3" t="s">
        <v>2450</v>
      </c>
      <c r="S872" s="6"/>
      <c r="T872" s="3"/>
      <c r="U872" s="7">
        <v>46114</v>
      </c>
      <c r="V872" s="6"/>
      <c r="W872" s="3"/>
      <c r="X872" s="6">
        <v>6</v>
      </c>
      <c r="Y872" s="6"/>
      <c r="Z872" s="3"/>
      <c r="AA872" s="3" t="s">
        <v>2451</v>
      </c>
      <c r="AB872" s="6"/>
      <c r="AC872" s="3"/>
      <c r="AD872" s="3" t="s">
        <v>2452</v>
      </c>
      <c r="AE872" s="6"/>
      <c r="AF872" s="3"/>
      <c r="AG872" s="3"/>
      <c r="AH872" s="6"/>
      <c r="AI872" s="3"/>
      <c r="AJ872" s="1"/>
      <c r="AK872" s="6"/>
      <c r="AL872" s="3"/>
      <c r="AM872" s="6"/>
      <c r="AN872" s="6"/>
      <c r="AO872" s="3"/>
      <c r="AP872" s="3"/>
      <c r="AQ872" s="6"/>
      <c r="AR872" s="3"/>
      <c r="AS872" s="3"/>
      <c r="AT872" s="6"/>
      <c r="AU872" s="3"/>
      <c r="AV872" s="3"/>
      <c r="AW872" s="6"/>
      <c r="AX872" s="3"/>
      <c r="AY872" s="7"/>
      <c r="AZ872" s="6"/>
      <c r="BA872" s="3"/>
      <c r="BB872" s="6"/>
      <c r="BC872" s="6"/>
      <c r="BD872" s="3"/>
      <c r="BE872" s="3"/>
      <c r="BF872" s="6"/>
      <c r="BG872" s="3"/>
      <c r="BH872" s="3"/>
      <c r="BI872" s="6"/>
      <c r="BJ872" s="3"/>
      <c r="BK872" s="3"/>
      <c r="BL872" s="6"/>
      <c r="BM872" s="3"/>
      <c r="BN872" s="7"/>
      <c r="BO872" s="6"/>
      <c r="BP872" s="3"/>
      <c r="BQ872" s="6"/>
      <c r="BR872" s="6"/>
      <c r="BS872" s="3"/>
      <c r="BT872" s="3"/>
      <c r="BU872" s="6"/>
      <c r="BV872" s="3"/>
      <c r="BW872" s="3"/>
      <c r="BX872" s="6"/>
      <c r="BY872" s="3"/>
      <c r="BZ872" s="3"/>
      <c r="CA872" s="6"/>
      <c r="CB872" s="3"/>
      <c r="CC872" s="7"/>
      <c r="CD872" s="6"/>
      <c r="CE872" s="3"/>
      <c r="CF872" s="6"/>
      <c r="CG872" s="6"/>
      <c r="CH872" s="3"/>
      <c r="CI872" s="3"/>
      <c r="CJ872" s="6"/>
      <c r="CK872" s="3"/>
      <c r="CL872" s="3"/>
      <c r="CM872" s="6"/>
      <c r="CN872" s="3"/>
      <c r="CO872" s="3"/>
      <c r="CP872" s="6"/>
      <c r="CQ872" s="3"/>
      <c r="CR872" s="7"/>
      <c r="CS872" s="6"/>
      <c r="CT872" s="3"/>
      <c r="CU872" s="6"/>
      <c r="CV872" s="6"/>
      <c r="CW872" s="3"/>
      <c r="CX872" s="3"/>
      <c r="CY872" s="6"/>
      <c r="CZ872" s="3"/>
      <c r="DA872" s="3"/>
      <c r="DB872" s="6"/>
      <c r="DC872" s="3"/>
      <c r="DD872" s="3"/>
      <c r="DE872" s="6"/>
      <c r="DF872" s="3"/>
      <c r="DG872" s="7"/>
      <c r="DH872" s="6"/>
      <c r="DI872" s="3"/>
      <c r="DJ872" s="6"/>
      <c r="DK872" s="6"/>
      <c r="DL872" s="3"/>
      <c r="DM872" s="3"/>
      <c r="DN872" s="6"/>
      <c r="DO872" s="3"/>
      <c r="DP872" s="3"/>
      <c r="DQ872" s="6"/>
      <c r="DR872" s="3"/>
      <c r="DS872" s="3" t="str">
        <f>_xlfn.XLOOKUP(OfficeForms.Table[[#This Row],[Selecione a Categoria do Laboratório desta atividade prática:]],Planilha1!A:A,Planilha1!B:B)</f>
        <v>BFR-BBI</v>
      </c>
      <c r="DT872" s="6" t="str">
        <f>CONCATENATE(OfficeForms.Table[[#This Row],[Selecione seu Polo Laboratório de Atividades Presenciais:]],OfficeForms.Table[[#This Row],[CHAVE CONVERSÃO]])</f>
        <v>Itapipoca/CEBFR-BBI</v>
      </c>
      <c r="DU87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Exame direto a fresco e gota espessa</v>
      </c>
      <c r="DV87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87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872" s="6" t="e">
        <f>_xlfn.XLOOKUP(OfficeForms.Table[[#This Row],[CHAVE LINK POLO]],'[1]Quadro Geral de Lotação'!$B:$B,'[1]Quadro Geral de Lotação'!$I:$I)</f>
        <v>#N/A</v>
      </c>
      <c r="DY872" s="6" t="str">
        <f>OfficeForms.Table[[#This Row],[Selecione a Ordem de Disciplina]]</f>
        <v>Ordem 2</v>
      </c>
    </row>
    <row r="873" spans="1:129" ht="34.15" customHeight="1">
      <c r="A873" s="6">
        <v>873</v>
      </c>
      <c r="B873" s="2">
        <v>46135.681655092601</v>
      </c>
      <c r="C873" s="2">
        <v>46135.683865740699</v>
      </c>
      <c r="D873" s="3" t="s">
        <v>1320</v>
      </c>
      <c r="E873" s="3" t="s">
        <v>1321</v>
      </c>
      <c r="F873" s="6"/>
      <c r="G873" s="3"/>
      <c r="I873" s="3" t="s">
        <v>1322</v>
      </c>
      <c r="J873" s="6"/>
      <c r="K873" s="3"/>
      <c r="L873" s="6" t="s">
        <v>1325</v>
      </c>
      <c r="M873" s="6"/>
      <c r="N873" s="6"/>
      <c r="O873" s="3" t="s">
        <v>184</v>
      </c>
      <c r="P873" s="6"/>
      <c r="Q873" s="3"/>
      <c r="R873" s="3"/>
      <c r="S873" s="6"/>
      <c r="T873" s="3"/>
      <c r="U873" s="7"/>
      <c r="V873" s="6"/>
      <c r="W873" s="3"/>
      <c r="X873" s="6"/>
      <c r="Y873" s="6"/>
      <c r="Z873" s="3"/>
      <c r="AA873" s="3"/>
      <c r="AB873" s="6"/>
      <c r="AC873" s="3"/>
      <c r="AD873" s="3"/>
      <c r="AE873" s="6"/>
      <c r="AF873" s="3"/>
      <c r="AG873" s="3" t="s">
        <v>2254</v>
      </c>
      <c r="AH873" s="6"/>
      <c r="AI873" s="3"/>
      <c r="AJ873" s="1">
        <v>46129</v>
      </c>
      <c r="AK873" s="6"/>
      <c r="AL873" s="3"/>
      <c r="AM873" s="6">
        <v>1</v>
      </c>
      <c r="AN873" s="6"/>
      <c r="AO873" s="3"/>
      <c r="AP873" s="3" t="s">
        <v>2453</v>
      </c>
      <c r="AQ873" s="6"/>
      <c r="AR873" s="3"/>
      <c r="AS873" s="3" t="s">
        <v>2454</v>
      </c>
      <c r="AT873" s="6"/>
      <c r="AU873" s="3"/>
      <c r="AV873" s="3"/>
      <c r="AW873" s="6"/>
      <c r="AX873" s="3"/>
      <c r="AY873" s="7"/>
      <c r="AZ873" s="6"/>
      <c r="BA873" s="3"/>
      <c r="BB873" s="6"/>
      <c r="BC873" s="6"/>
      <c r="BD873" s="3"/>
      <c r="BE873" s="3"/>
      <c r="BF873" s="6"/>
      <c r="BG873" s="3"/>
      <c r="BH873" s="3"/>
      <c r="BI873" s="6"/>
      <c r="BJ873" s="3"/>
      <c r="BK873" s="3"/>
      <c r="BL873" s="6"/>
      <c r="BM873" s="3"/>
      <c r="BN873" s="7"/>
      <c r="BO873" s="6"/>
      <c r="BP873" s="3"/>
      <c r="BQ873" s="6"/>
      <c r="BR873" s="6"/>
      <c r="BS873" s="3"/>
      <c r="BT873" s="3"/>
      <c r="BU873" s="6"/>
      <c r="BV873" s="3"/>
      <c r="BW873" s="3"/>
      <c r="BX873" s="6"/>
      <c r="BY873" s="3"/>
      <c r="BZ873" s="3"/>
      <c r="CA873" s="6"/>
      <c r="CB873" s="3"/>
      <c r="CC873" s="7"/>
      <c r="CD873" s="6"/>
      <c r="CE873" s="3"/>
      <c r="CF873" s="6"/>
      <c r="CG873" s="6"/>
      <c r="CH873" s="3"/>
      <c r="CI873" s="3"/>
      <c r="CJ873" s="6"/>
      <c r="CK873" s="3"/>
      <c r="CL873" s="3"/>
      <c r="CM873" s="6"/>
      <c r="CN873" s="3"/>
      <c r="CO873" s="3"/>
      <c r="CP873" s="6"/>
      <c r="CQ873" s="3"/>
      <c r="CR873" s="7"/>
      <c r="CS873" s="6"/>
      <c r="CT873" s="3"/>
      <c r="CU873" s="6"/>
      <c r="CV873" s="6"/>
      <c r="CW873" s="3"/>
      <c r="CX873" s="3"/>
      <c r="CY873" s="6"/>
      <c r="CZ873" s="3"/>
      <c r="DA873" s="3"/>
      <c r="DB873" s="6"/>
      <c r="DC873" s="3"/>
      <c r="DD873" s="3"/>
      <c r="DE873" s="6"/>
      <c r="DF873" s="3"/>
      <c r="DG873" s="7"/>
      <c r="DH873" s="6"/>
      <c r="DI873" s="3"/>
      <c r="DJ873" s="6"/>
      <c r="DK873" s="6"/>
      <c r="DL873" s="3"/>
      <c r="DM873" s="3"/>
      <c r="DN873" s="6"/>
      <c r="DO873" s="3"/>
      <c r="DP873" s="3"/>
      <c r="DQ873" s="6"/>
      <c r="DR873" s="3"/>
      <c r="DS873" s="3" t="str">
        <f>_xlfn.XLOOKUP(OfficeForms.Table[[#This Row],[Selecione a Categoria do Laboratório desta atividade prática:]],Planilha1!A:A,Planilha1!B:B)</f>
        <v>EMF-ISN</v>
      </c>
      <c r="DT873" s="6" t="str">
        <f>CONCATENATE(OfficeForms.Table[[#This Row],[Selecione seu Polo Laboratório de Atividades Presenciais:]],OfficeForms.Table[[#This Row],[CHAVE CONVERSÃO]])</f>
        <v>Itacoatiara/AMEMF-ISN</v>
      </c>
      <c r="DU87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reprodutiva + Realização do exame de Papanicolau</v>
      </c>
      <c r="DV87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46129</v>
      </c>
      <c r="DW87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73" s="6" t="str">
        <f>_xlfn.XLOOKUP(OfficeForms.Table[[#This Row],[CHAVE LINK POLO]],'[1]Quadro Geral de Lotação'!$B:$B,'[1]Quadro Geral de Lotação'!$I:$I)</f>
        <v>Cinthia Clece Dos Santos Macedo</v>
      </c>
      <c r="DY873" s="6" t="str">
        <f>OfficeForms.Table[[#This Row],[Selecione a Ordem de Disciplina]]</f>
        <v>Ordem 3</v>
      </c>
    </row>
    <row r="874" spans="1:129" ht="34.15" customHeight="1">
      <c r="A874" s="6">
        <v>874</v>
      </c>
      <c r="B874" s="2">
        <v>46135.684039351901</v>
      </c>
      <c r="C874" s="2">
        <v>46135.685127314799</v>
      </c>
      <c r="D874" s="3" t="s">
        <v>1320</v>
      </c>
      <c r="E874" s="3" t="s">
        <v>1321</v>
      </c>
      <c r="F874" s="6"/>
      <c r="G874" s="3"/>
      <c r="I874" s="3" t="s">
        <v>1322</v>
      </c>
      <c r="J874" s="6"/>
      <c r="K874" s="3"/>
      <c r="L874" s="6" t="s">
        <v>1325</v>
      </c>
      <c r="M874" s="6"/>
      <c r="N874" s="6"/>
      <c r="O874" s="3" t="s">
        <v>184</v>
      </c>
      <c r="P874" s="6"/>
      <c r="Q874" s="3"/>
      <c r="R874" s="3"/>
      <c r="S874" s="6"/>
      <c r="T874" s="3"/>
      <c r="U874" s="7"/>
      <c r="V874" s="6"/>
      <c r="W874" s="3"/>
      <c r="X874" s="6"/>
      <c r="Y874" s="6"/>
      <c r="Z874" s="3"/>
      <c r="AA874" s="3"/>
      <c r="AB874" s="6"/>
      <c r="AC874" s="3"/>
      <c r="AD874" s="3"/>
      <c r="AE874" s="6"/>
      <c r="AF874" s="3"/>
      <c r="AG874" s="3" t="s">
        <v>2080</v>
      </c>
      <c r="AH874" s="6"/>
      <c r="AI874" s="3"/>
      <c r="AJ874" s="1">
        <v>46129</v>
      </c>
      <c r="AK874" s="6"/>
      <c r="AL874" s="3"/>
      <c r="AM874" s="6">
        <v>1</v>
      </c>
      <c r="AN874" s="6"/>
      <c r="AO874" s="3"/>
      <c r="AP874" s="3" t="s">
        <v>2455</v>
      </c>
      <c r="AQ874" s="6"/>
      <c r="AR874" s="3"/>
      <c r="AS874" s="3" t="s">
        <v>2456</v>
      </c>
      <c r="AT874" s="6"/>
      <c r="AU874" s="3"/>
      <c r="AV874" s="3"/>
      <c r="AW874" s="6"/>
      <c r="AX874" s="3"/>
      <c r="AY874" s="7"/>
      <c r="AZ874" s="6"/>
      <c r="BA874" s="3"/>
      <c r="BB874" s="6"/>
      <c r="BC874" s="6"/>
      <c r="BD874" s="3"/>
      <c r="BE874" s="3"/>
      <c r="BF874" s="6"/>
      <c r="BG874" s="3"/>
      <c r="BH874" s="3"/>
      <c r="BI874" s="6"/>
      <c r="BJ874" s="3"/>
      <c r="BK874" s="3"/>
      <c r="BL874" s="6"/>
      <c r="BM874" s="3"/>
      <c r="BN874" s="7"/>
      <c r="BO874" s="6"/>
      <c r="BP874" s="3"/>
      <c r="BQ874" s="6"/>
      <c r="BR874" s="6"/>
      <c r="BS874" s="3"/>
      <c r="BT874" s="3"/>
      <c r="BU874" s="6"/>
      <c r="BV874" s="3"/>
      <c r="BW874" s="3"/>
      <c r="BX874" s="6"/>
      <c r="BY874" s="3"/>
      <c r="BZ874" s="3"/>
      <c r="CA874" s="6"/>
      <c r="CB874" s="3"/>
      <c r="CC874" s="7"/>
      <c r="CD874" s="6"/>
      <c r="CE874" s="3"/>
      <c r="CF874" s="6"/>
      <c r="CG874" s="6"/>
      <c r="CH874" s="3"/>
      <c r="CI874" s="3"/>
      <c r="CJ874" s="6"/>
      <c r="CK874" s="3"/>
      <c r="CL874" s="3"/>
      <c r="CM874" s="6"/>
      <c r="CN874" s="3"/>
      <c r="CO874" s="3"/>
      <c r="CP874" s="6"/>
      <c r="CQ874" s="3"/>
      <c r="CR874" s="7"/>
      <c r="CS874" s="6"/>
      <c r="CT874" s="3"/>
      <c r="CU874" s="6"/>
      <c r="CV874" s="6"/>
      <c r="CW874" s="3"/>
      <c r="CX874" s="3"/>
      <c r="CY874" s="6"/>
      <c r="CZ874" s="3"/>
      <c r="DA874" s="3"/>
      <c r="DB874" s="6"/>
      <c r="DC874" s="3"/>
      <c r="DD874" s="3"/>
      <c r="DE874" s="6"/>
      <c r="DF874" s="3"/>
      <c r="DG874" s="7"/>
      <c r="DH874" s="6"/>
      <c r="DI874" s="3"/>
      <c r="DJ874" s="6"/>
      <c r="DK874" s="6"/>
      <c r="DL874" s="3"/>
      <c r="DM874" s="3"/>
      <c r="DN874" s="6"/>
      <c r="DO874" s="3"/>
      <c r="DP874" s="3"/>
      <c r="DQ874" s="6"/>
      <c r="DR874" s="3"/>
      <c r="DS874" s="3" t="str">
        <f>_xlfn.XLOOKUP(OfficeForms.Table[[#This Row],[Selecione a Categoria do Laboratório desta atividade prática:]],Planilha1!A:A,Planilha1!B:B)</f>
        <v>EMF-ISN</v>
      </c>
      <c r="DT874" s="6" t="str">
        <f>CONCATENATE(OfficeForms.Table[[#This Row],[Selecione seu Polo Laboratório de Atividades Presenciais:]],OfficeForms.Table[[#This Row],[CHAVE CONVERSÃO]])</f>
        <v>Itacoatiara/AMEMF-ISN</v>
      </c>
      <c r="DU87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</v>
      </c>
      <c r="DV87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46129</v>
      </c>
      <c r="DW87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74" s="6" t="str">
        <f>_xlfn.XLOOKUP(OfficeForms.Table[[#This Row],[CHAVE LINK POLO]],'[1]Quadro Geral de Lotação'!$B:$B,'[1]Quadro Geral de Lotação'!$I:$I)</f>
        <v>Cinthia Clece Dos Santos Macedo</v>
      </c>
      <c r="DY874" s="6" t="str">
        <f>OfficeForms.Table[[#This Row],[Selecione a Ordem de Disciplina]]</f>
        <v>Ordem 3</v>
      </c>
    </row>
    <row r="875" spans="1:129" ht="34.15" customHeight="1">
      <c r="A875" s="6">
        <v>875</v>
      </c>
      <c r="B875" s="2">
        <v>46135.683807870402</v>
      </c>
      <c r="C875" s="2">
        <v>46135.685659722199</v>
      </c>
      <c r="D875" s="3" t="s">
        <v>2457</v>
      </c>
      <c r="E875" s="3" t="s">
        <v>130</v>
      </c>
      <c r="F875" s="6"/>
      <c r="G875" s="3"/>
      <c r="I875" s="3" t="s">
        <v>131</v>
      </c>
      <c r="J875" s="6"/>
      <c r="K875" s="3"/>
      <c r="L875" s="6" t="s">
        <v>1325</v>
      </c>
      <c r="M875" s="6"/>
      <c r="N875" s="6"/>
      <c r="O875" s="3" t="s">
        <v>133</v>
      </c>
      <c r="P875" s="6"/>
      <c r="Q875" s="3"/>
      <c r="R875" s="3"/>
      <c r="S875" s="6"/>
      <c r="T875" s="3"/>
      <c r="U875" s="7"/>
      <c r="V875" s="6"/>
      <c r="W875" s="3"/>
      <c r="X875" s="6"/>
      <c r="Y875" s="6"/>
      <c r="Z875" s="3"/>
      <c r="AA875" s="3"/>
      <c r="AB875" s="6"/>
      <c r="AC875" s="3"/>
      <c r="AD875" s="3"/>
      <c r="AE875" s="6"/>
      <c r="AF875" s="3"/>
      <c r="AG875" s="3"/>
      <c r="AH875" s="6"/>
      <c r="AI875" s="3"/>
      <c r="AJ875" s="1"/>
      <c r="AK875" s="6"/>
      <c r="AL875" s="3"/>
      <c r="AM875" s="6"/>
      <c r="AN875" s="6"/>
      <c r="AO875" s="3"/>
      <c r="AP875" s="3"/>
      <c r="AQ875" s="6"/>
      <c r="AR875" s="3"/>
      <c r="AS875" s="3"/>
      <c r="AT875" s="6"/>
      <c r="AU875" s="3"/>
      <c r="AV875" s="3" t="s">
        <v>2458</v>
      </c>
      <c r="AW875" s="6"/>
      <c r="AX875" s="3"/>
      <c r="AY875" s="7">
        <v>46127</v>
      </c>
      <c r="AZ875" s="6"/>
      <c r="BA875" s="3"/>
      <c r="BB875" s="6">
        <v>2</v>
      </c>
      <c r="BC875" s="6"/>
      <c r="BD875" s="3"/>
      <c r="BE875" s="3" t="s">
        <v>2459</v>
      </c>
      <c r="BF875" s="6"/>
      <c r="BG875" s="3"/>
      <c r="BH875" s="3" t="s">
        <v>2460</v>
      </c>
      <c r="BI875" s="6"/>
      <c r="BJ875" s="3"/>
      <c r="BK875" s="3"/>
      <c r="BL875" s="6"/>
      <c r="BM875" s="3"/>
      <c r="BN875" s="7"/>
      <c r="BO875" s="6"/>
      <c r="BP875" s="3"/>
      <c r="BQ875" s="6"/>
      <c r="BR875" s="6"/>
      <c r="BS875" s="3"/>
      <c r="BT875" s="3"/>
      <c r="BU875" s="6"/>
      <c r="BV875" s="3"/>
      <c r="BW875" s="3"/>
      <c r="BX875" s="6"/>
      <c r="BY875" s="3"/>
      <c r="BZ875" s="3"/>
      <c r="CA875" s="6"/>
      <c r="CB875" s="3"/>
      <c r="CC875" s="7"/>
      <c r="CD875" s="6"/>
      <c r="CE875" s="3"/>
      <c r="CF875" s="6"/>
      <c r="CG875" s="6"/>
      <c r="CH875" s="3"/>
      <c r="CI875" s="3"/>
      <c r="CJ875" s="6"/>
      <c r="CK875" s="3"/>
      <c r="CL875" s="3"/>
      <c r="CM875" s="6"/>
      <c r="CN875" s="3"/>
      <c r="CO875" s="3"/>
      <c r="CP875" s="6"/>
      <c r="CQ875" s="3"/>
      <c r="CR875" s="7"/>
      <c r="CS875" s="6"/>
      <c r="CT875" s="3"/>
      <c r="CU875" s="6"/>
      <c r="CV875" s="6"/>
      <c r="CW875" s="3"/>
      <c r="CX875" s="3"/>
      <c r="CY875" s="6"/>
      <c r="CZ875" s="3"/>
      <c r="DA875" s="3"/>
      <c r="DB875" s="6"/>
      <c r="DC875" s="3"/>
      <c r="DD875" s="3"/>
      <c r="DE875" s="6"/>
      <c r="DF875" s="3"/>
      <c r="DG875" s="7"/>
      <c r="DH875" s="6"/>
      <c r="DI875" s="3"/>
      <c r="DJ875" s="6"/>
      <c r="DK875" s="6"/>
      <c r="DL875" s="3"/>
      <c r="DM875" s="3"/>
      <c r="DN875" s="6"/>
      <c r="DO875" s="3"/>
      <c r="DP875" s="3"/>
      <c r="DQ875" s="6"/>
      <c r="DR875" s="3"/>
      <c r="DS875" s="3" t="str">
        <f>_xlfn.XLOOKUP(OfficeForms.Table[[#This Row],[Selecione a Categoria do Laboratório desta atividade prática:]],Planilha1!A:A,Planilha1!B:B)</f>
        <v>BFI</v>
      </c>
      <c r="DT875" s="6" t="str">
        <f>CONCATENATE(OfficeForms.Table[[#This Row],[Selecione seu Polo Laboratório de Atividades Presenciais:]],OfficeForms.Table[[#This Row],[CHAVE CONVERSÃO]])</f>
        <v>Guarujá/SPBFI</v>
      </c>
      <c r="DU87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Fototerapia na Reabilitação Fisioterapêutica: Prática em Eletrotermofototerapia</v>
      </c>
      <c r="DV87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7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75" s="6" t="str">
        <f>_xlfn.XLOOKUP(OfficeForms.Table[[#This Row],[CHAVE LINK POLO]],'[1]Quadro Geral de Lotação'!$B:$B,'[1]Quadro Geral de Lotação'!$I:$I)</f>
        <v>Lucas Soares De Medeiros</v>
      </c>
      <c r="DY875" s="6" t="str">
        <f>OfficeForms.Table[[#This Row],[Selecione a Ordem de Disciplina]]</f>
        <v>Ordem 3</v>
      </c>
    </row>
    <row r="876" spans="1:129" ht="34.15" customHeight="1">
      <c r="A876" s="6">
        <v>876</v>
      </c>
      <c r="B876" s="2">
        <v>46135.687476851803</v>
      </c>
      <c r="C876" s="2">
        <v>46135.692071759302</v>
      </c>
      <c r="D876" s="3" t="s">
        <v>2457</v>
      </c>
      <c r="E876" s="3" t="s">
        <v>130</v>
      </c>
      <c r="F876" s="6"/>
      <c r="G876" s="3"/>
      <c r="I876" s="3" t="s">
        <v>131</v>
      </c>
      <c r="J876" s="6"/>
      <c r="K876" s="3"/>
      <c r="L876" s="6" t="s">
        <v>1325</v>
      </c>
      <c r="M876" s="6"/>
      <c r="N876" s="6"/>
      <c r="O876" s="3" t="s">
        <v>133</v>
      </c>
      <c r="P876" s="6"/>
      <c r="Q876" s="3"/>
      <c r="R876" s="3"/>
      <c r="S876" s="6"/>
      <c r="T876" s="3"/>
      <c r="U876" s="7"/>
      <c r="V876" s="6"/>
      <c r="W876" s="3"/>
      <c r="X876" s="6"/>
      <c r="Y876" s="6"/>
      <c r="Z876" s="3"/>
      <c r="AA876" s="3"/>
      <c r="AB876" s="6"/>
      <c r="AC876" s="3"/>
      <c r="AD876" s="3"/>
      <c r="AE876" s="6"/>
      <c r="AF876" s="3"/>
      <c r="AG876" s="3"/>
      <c r="AH876" s="6"/>
      <c r="AI876" s="3"/>
      <c r="AJ876" s="1"/>
      <c r="AK876" s="6"/>
      <c r="AL876" s="3"/>
      <c r="AM876" s="6"/>
      <c r="AN876" s="6"/>
      <c r="AO876" s="3"/>
      <c r="AP876" s="3"/>
      <c r="AQ876" s="6"/>
      <c r="AR876" s="3"/>
      <c r="AS876" s="3"/>
      <c r="AT876" s="6"/>
      <c r="AU876" s="3"/>
      <c r="AV876" s="3" t="s">
        <v>2461</v>
      </c>
      <c r="AW876" s="6"/>
      <c r="AX876" s="3"/>
      <c r="AY876" s="7">
        <v>46134</v>
      </c>
      <c r="AZ876" s="6"/>
      <c r="BA876" s="3"/>
      <c r="BB876" s="6">
        <v>2</v>
      </c>
      <c r="BC876" s="6"/>
      <c r="BD876" s="3"/>
      <c r="BE876" s="3" t="s">
        <v>2462</v>
      </c>
      <c r="BF876" s="6"/>
      <c r="BG876" s="3"/>
      <c r="BH876" s="3" t="s">
        <v>2463</v>
      </c>
      <c r="BI876" s="6"/>
      <c r="BJ876" s="3"/>
      <c r="BK876" s="3"/>
      <c r="BL876" s="6"/>
      <c r="BM876" s="3"/>
      <c r="BN876" s="7"/>
      <c r="BO876" s="6"/>
      <c r="BP876" s="3"/>
      <c r="BQ876" s="6"/>
      <c r="BR876" s="6"/>
      <c r="BS876" s="3"/>
      <c r="BT876" s="3"/>
      <c r="BU876" s="6"/>
      <c r="BV876" s="3"/>
      <c r="BW876" s="3"/>
      <c r="BX876" s="6"/>
      <c r="BY876" s="3"/>
      <c r="BZ876" s="3"/>
      <c r="CA876" s="6"/>
      <c r="CB876" s="3"/>
      <c r="CC876" s="7"/>
      <c r="CD876" s="6"/>
      <c r="CE876" s="3"/>
      <c r="CF876" s="6"/>
      <c r="CG876" s="6"/>
      <c r="CH876" s="3"/>
      <c r="CI876" s="3"/>
      <c r="CJ876" s="6"/>
      <c r="CK876" s="3"/>
      <c r="CL876" s="3"/>
      <c r="CM876" s="6"/>
      <c r="CN876" s="3"/>
      <c r="CO876" s="3"/>
      <c r="CP876" s="6"/>
      <c r="CQ876" s="3"/>
      <c r="CR876" s="7"/>
      <c r="CS876" s="6"/>
      <c r="CT876" s="3"/>
      <c r="CU876" s="6"/>
      <c r="CV876" s="6"/>
      <c r="CW876" s="3"/>
      <c r="CX876" s="3"/>
      <c r="CY876" s="6"/>
      <c r="CZ876" s="3"/>
      <c r="DA876" s="3"/>
      <c r="DB876" s="6"/>
      <c r="DC876" s="3"/>
      <c r="DD876" s="3"/>
      <c r="DE876" s="6"/>
      <c r="DF876" s="3"/>
      <c r="DG876" s="7"/>
      <c r="DH876" s="6"/>
      <c r="DI876" s="3"/>
      <c r="DJ876" s="6"/>
      <c r="DK876" s="6"/>
      <c r="DL876" s="3"/>
      <c r="DM876" s="3"/>
      <c r="DN876" s="6"/>
      <c r="DO876" s="3"/>
      <c r="DP876" s="3"/>
      <c r="DQ876" s="6"/>
      <c r="DR876" s="3"/>
      <c r="DS876" s="3" t="str">
        <f>_xlfn.XLOOKUP(OfficeForms.Table[[#This Row],[Selecione a Categoria do Laboratório desta atividade prática:]],Planilha1!A:A,Planilha1!B:B)</f>
        <v>BFI</v>
      </c>
      <c r="DT876" s="6" t="str">
        <f>CONCATENATE(OfficeForms.Table[[#This Row],[Selecione seu Polo Laboratório de Atividades Presenciais:]],OfficeForms.Table[[#This Row],[CHAVE CONVERSÃO]])</f>
        <v>Guarujá/SPBFI</v>
      </c>
      <c r="DU87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Termoterapia na Reabilitação Fisioterapêutica: Aplicações Práticas e Benefícios Terapêuticos</v>
      </c>
      <c r="DV87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7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76" s="6" t="str">
        <f>_xlfn.XLOOKUP(OfficeForms.Table[[#This Row],[CHAVE LINK POLO]],'[1]Quadro Geral de Lotação'!$B:$B,'[1]Quadro Geral de Lotação'!$I:$I)</f>
        <v>Lucas Soares De Medeiros</v>
      </c>
      <c r="DY876" s="6" t="str">
        <f>OfficeForms.Table[[#This Row],[Selecione a Ordem de Disciplina]]</f>
        <v>Ordem 3</v>
      </c>
    </row>
    <row r="877" spans="1:129" ht="34.15" customHeight="1">
      <c r="A877" s="6">
        <v>877</v>
      </c>
      <c r="B877" s="2">
        <v>46135.683738425898</v>
      </c>
      <c r="C877" s="2">
        <v>46135.695428240702</v>
      </c>
      <c r="D877" s="3" t="s">
        <v>2457</v>
      </c>
      <c r="E877" s="3" t="s">
        <v>130</v>
      </c>
      <c r="F877" s="6"/>
      <c r="G877" s="3"/>
      <c r="I877" s="3" t="s">
        <v>131</v>
      </c>
      <c r="J877" s="6"/>
      <c r="K877" s="3"/>
      <c r="L877" s="6" t="s">
        <v>1325</v>
      </c>
      <c r="M877" s="6"/>
      <c r="N877" s="6"/>
      <c r="O877" s="3" t="s">
        <v>133</v>
      </c>
      <c r="P877" s="6"/>
      <c r="Q877" s="3"/>
      <c r="R877" s="3"/>
      <c r="S877" s="6"/>
      <c r="T877" s="3"/>
      <c r="U877" s="7"/>
      <c r="V877" s="6"/>
      <c r="W877" s="3"/>
      <c r="X877" s="6"/>
      <c r="Y877" s="6"/>
      <c r="Z877" s="3"/>
      <c r="AA877" s="3"/>
      <c r="AB877" s="6"/>
      <c r="AC877" s="3"/>
      <c r="AD877" s="3"/>
      <c r="AE877" s="6"/>
      <c r="AF877" s="3"/>
      <c r="AG877" s="3"/>
      <c r="AH877" s="6"/>
      <c r="AI877" s="3"/>
      <c r="AJ877" s="1"/>
      <c r="AK877" s="6"/>
      <c r="AL877" s="3"/>
      <c r="AM877" s="6"/>
      <c r="AN877" s="6"/>
      <c r="AO877" s="3"/>
      <c r="AP877" s="3"/>
      <c r="AQ877" s="6"/>
      <c r="AR877" s="3"/>
      <c r="AS877" s="3"/>
      <c r="AT877" s="6"/>
      <c r="AU877" s="3"/>
      <c r="AV877" s="3" t="s">
        <v>2389</v>
      </c>
      <c r="AW877" s="6"/>
      <c r="AX877" s="3"/>
      <c r="AY877" s="7">
        <v>46134</v>
      </c>
      <c r="AZ877" s="6"/>
      <c r="BA877" s="3"/>
      <c r="BB877" s="6">
        <v>2</v>
      </c>
      <c r="BC877" s="6"/>
      <c r="BD877" s="3"/>
      <c r="BE877" s="3" t="s">
        <v>2464</v>
      </c>
      <c r="BF877" s="6"/>
      <c r="BG877" s="3"/>
      <c r="BH877" s="3" t="s">
        <v>2465</v>
      </c>
      <c r="BI877" s="6"/>
      <c r="BJ877" s="3"/>
      <c r="BK877" s="3"/>
      <c r="BL877" s="6"/>
      <c r="BM877" s="3"/>
      <c r="BN877" s="7"/>
      <c r="BO877" s="6"/>
      <c r="BP877" s="3"/>
      <c r="BQ877" s="6"/>
      <c r="BR877" s="6"/>
      <c r="BS877" s="3"/>
      <c r="BT877" s="3"/>
      <c r="BU877" s="6"/>
      <c r="BV877" s="3"/>
      <c r="BW877" s="3"/>
      <c r="BX877" s="6"/>
      <c r="BY877" s="3"/>
      <c r="BZ877" s="3"/>
      <c r="CA877" s="6"/>
      <c r="CB877" s="3"/>
      <c r="CC877" s="7"/>
      <c r="CD877" s="6"/>
      <c r="CE877" s="3"/>
      <c r="CF877" s="6"/>
      <c r="CG877" s="6"/>
      <c r="CH877" s="3"/>
      <c r="CI877" s="3"/>
      <c r="CJ877" s="6"/>
      <c r="CK877" s="3"/>
      <c r="CL877" s="3"/>
      <c r="CM877" s="6"/>
      <c r="CN877" s="3"/>
      <c r="CO877" s="3"/>
      <c r="CP877" s="6"/>
      <c r="CQ877" s="3"/>
      <c r="CR877" s="7"/>
      <c r="CS877" s="6"/>
      <c r="CT877" s="3"/>
      <c r="CU877" s="6"/>
      <c r="CV877" s="6"/>
      <c r="CW877" s="3"/>
      <c r="CX877" s="3"/>
      <c r="CY877" s="6"/>
      <c r="CZ877" s="3"/>
      <c r="DA877" s="3"/>
      <c r="DB877" s="6"/>
      <c r="DC877" s="3"/>
      <c r="DD877" s="3"/>
      <c r="DE877" s="6"/>
      <c r="DF877" s="3"/>
      <c r="DG877" s="7"/>
      <c r="DH877" s="6"/>
      <c r="DI877" s="3"/>
      <c r="DJ877" s="6"/>
      <c r="DK877" s="6"/>
      <c r="DL877" s="3"/>
      <c r="DM877" s="3"/>
      <c r="DN877" s="6"/>
      <c r="DO877" s="3"/>
      <c r="DP877" s="3"/>
      <c r="DQ877" s="6"/>
      <c r="DR877" s="3"/>
      <c r="DS877" s="3" t="str">
        <f>_xlfn.XLOOKUP(OfficeForms.Table[[#This Row],[Selecione a Categoria do Laboratório desta atividade prática:]],Planilha1!A:A,Planilha1!B:B)</f>
        <v>BFI</v>
      </c>
      <c r="DT877" s="6" t="str">
        <f>CONCATENATE(OfficeForms.Table[[#This Row],[Selecione seu Polo Laboratório de Atividades Presenciais:]],OfficeForms.Table[[#This Row],[CHAVE CONVERSÃO]])</f>
        <v>Guarujá/SPBFI</v>
      </c>
      <c r="DU87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Aplicação da Eletrotermofototerapia em Casos Clínicos Reais</v>
      </c>
      <c r="DV87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7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77" s="6" t="str">
        <f>_xlfn.XLOOKUP(OfficeForms.Table[[#This Row],[CHAVE LINK POLO]],'[1]Quadro Geral de Lotação'!$B:$B,'[1]Quadro Geral de Lotação'!$I:$I)</f>
        <v>Lucas Soares De Medeiros</v>
      </c>
      <c r="DY877" s="6" t="str">
        <f>OfficeForms.Table[[#This Row],[Selecione a Ordem de Disciplina]]</f>
        <v>Ordem 3</v>
      </c>
    </row>
    <row r="878" spans="1:129" ht="34.15" customHeight="1">
      <c r="A878" s="6">
        <v>878</v>
      </c>
      <c r="B878" s="2">
        <v>46135.659710648099</v>
      </c>
      <c r="C878" s="2">
        <v>46135.719085648103</v>
      </c>
      <c r="D878" s="3" t="s">
        <v>232</v>
      </c>
      <c r="E878" s="3" t="s">
        <v>233</v>
      </c>
      <c r="F878" s="6"/>
      <c r="G878" s="3"/>
      <c r="I878" s="3" t="s">
        <v>234</v>
      </c>
      <c r="J878" s="6"/>
      <c r="K878" s="3"/>
      <c r="L878" s="6" t="s">
        <v>1325</v>
      </c>
      <c r="M878" s="6"/>
      <c r="N878" s="6"/>
      <c r="O878" s="3" t="s">
        <v>184</v>
      </c>
      <c r="P878" s="6"/>
      <c r="Q878" s="3"/>
      <c r="R878" s="3"/>
      <c r="S878" s="6"/>
      <c r="T878" s="3"/>
      <c r="U878" s="7"/>
      <c r="V878" s="6"/>
      <c r="W878" s="3"/>
      <c r="X878" s="6"/>
      <c r="Y878" s="6"/>
      <c r="Z878" s="3"/>
      <c r="AA878" s="3"/>
      <c r="AB878" s="6"/>
      <c r="AC878" s="3"/>
      <c r="AD878" s="3"/>
      <c r="AE878" s="6"/>
      <c r="AF878" s="3"/>
      <c r="AG878" s="3" t="s">
        <v>2466</v>
      </c>
      <c r="AH878" s="6"/>
      <c r="AI878" s="3"/>
      <c r="AJ878" s="1">
        <v>46134</v>
      </c>
      <c r="AK878" s="6"/>
      <c r="AL878" s="3"/>
      <c r="AM878" s="6">
        <v>0</v>
      </c>
      <c r="AN878" s="6"/>
      <c r="AO878" s="3"/>
      <c r="AP878" s="3" t="s">
        <v>2467</v>
      </c>
      <c r="AQ878" s="6"/>
      <c r="AR878" s="3"/>
      <c r="AS878" s="3" t="s">
        <v>2468</v>
      </c>
      <c r="AT878" s="6"/>
      <c r="AU878" s="3"/>
      <c r="AV878" s="3"/>
      <c r="AW878" s="6"/>
      <c r="AX878" s="3"/>
      <c r="AY878" s="7"/>
      <c r="AZ878" s="6"/>
      <c r="BA878" s="3"/>
      <c r="BB878" s="6"/>
      <c r="BC878" s="6"/>
      <c r="BD878" s="3"/>
      <c r="BE878" s="3"/>
      <c r="BF878" s="6"/>
      <c r="BG878" s="3"/>
      <c r="BH878" s="3"/>
      <c r="BI878" s="6"/>
      <c r="BJ878" s="3"/>
      <c r="BK878" s="3"/>
      <c r="BL878" s="6"/>
      <c r="BM878" s="3"/>
      <c r="BN878" s="7"/>
      <c r="BO878" s="6"/>
      <c r="BP878" s="3"/>
      <c r="BQ878" s="6"/>
      <c r="BR878" s="6"/>
      <c r="BS878" s="3"/>
      <c r="BT878" s="3"/>
      <c r="BU878" s="6"/>
      <c r="BV878" s="3"/>
      <c r="BW878" s="3"/>
      <c r="BX878" s="6"/>
      <c r="BY878" s="3"/>
      <c r="BZ878" s="3"/>
      <c r="CA878" s="6"/>
      <c r="CB878" s="3"/>
      <c r="CC878" s="7"/>
      <c r="CD878" s="6"/>
      <c r="CE878" s="3"/>
      <c r="CF878" s="6"/>
      <c r="CG878" s="6"/>
      <c r="CH878" s="3"/>
      <c r="CI878" s="3"/>
      <c r="CJ878" s="6"/>
      <c r="CK878" s="3"/>
      <c r="CL878" s="3"/>
      <c r="CM878" s="6"/>
      <c r="CN878" s="3"/>
      <c r="CO878" s="3"/>
      <c r="CP878" s="6"/>
      <c r="CQ878" s="3"/>
      <c r="CR878" s="7"/>
      <c r="CS878" s="6"/>
      <c r="CT878" s="3"/>
      <c r="CU878" s="6"/>
      <c r="CV878" s="6"/>
      <c r="CW878" s="3"/>
      <c r="CX878" s="3"/>
      <c r="CY878" s="6"/>
      <c r="CZ878" s="3"/>
      <c r="DA878" s="3"/>
      <c r="DB878" s="6"/>
      <c r="DC878" s="3"/>
      <c r="DD878" s="3"/>
      <c r="DE878" s="6"/>
      <c r="DF878" s="3"/>
      <c r="DG878" s="7"/>
      <c r="DH878" s="6"/>
      <c r="DI878" s="3"/>
      <c r="DJ878" s="6"/>
      <c r="DK878" s="6"/>
      <c r="DL878" s="3"/>
      <c r="DM878" s="3"/>
      <c r="DN878" s="6"/>
      <c r="DO878" s="3"/>
      <c r="DP878" s="3"/>
      <c r="DQ878" s="6"/>
      <c r="DR878" s="3"/>
      <c r="DS878" s="3" t="str">
        <f>_xlfn.XLOOKUP(OfficeForms.Table[[#This Row],[Selecione a Categoria do Laboratório desta atividade prática:]],Planilha1!A:A,Planilha1!B:B)</f>
        <v>EMF-ISN</v>
      </c>
      <c r="DT878" s="6" t="str">
        <f>CONCATENATE(OfficeForms.Table[[#This Row],[Selecione seu Polo Laboratório de Atividades Presenciais:]],OfficeForms.Table[[#This Row],[CHAVE CONVERSÃO]])</f>
        <v>Santa Fé do Sul/SPEMF-ISN</v>
      </c>
      <c r="DU87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Medidas antropométricas da criança e adolescente + Acolhimento e escala de Manchester pediatria;Obstrução de vias aéreas + Prática de vacinação</v>
      </c>
      <c r="DV87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7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78" s="6" t="str">
        <f>_xlfn.XLOOKUP(OfficeForms.Table[[#This Row],[CHAVE LINK POLO]],'[1]Quadro Geral de Lotação'!$B:$B,'[1]Quadro Geral de Lotação'!$I:$I)</f>
        <v>Mariana Mirian Correia</v>
      </c>
      <c r="DY878" s="6" t="str">
        <f>OfficeForms.Table[[#This Row],[Selecione a Ordem de Disciplina]]</f>
        <v>Ordem 3</v>
      </c>
    </row>
    <row r="879" spans="1:129" ht="34.15" customHeight="1">
      <c r="A879" s="6">
        <v>879</v>
      </c>
      <c r="B879" s="2">
        <v>46135.810532407399</v>
      </c>
      <c r="C879" s="2">
        <v>46135.815150463</v>
      </c>
      <c r="D879" s="3" t="s">
        <v>1127</v>
      </c>
      <c r="E879" s="3" t="s">
        <v>1128</v>
      </c>
      <c r="F879" s="6"/>
      <c r="G879" s="3"/>
      <c r="I879" s="3" t="s">
        <v>1129</v>
      </c>
      <c r="J879" s="6"/>
      <c r="K879" s="3"/>
      <c r="L879" s="6" t="s">
        <v>1325</v>
      </c>
      <c r="M879" s="6"/>
      <c r="N879" s="6"/>
      <c r="O879" s="3" t="s">
        <v>497</v>
      </c>
      <c r="P879" s="6"/>
      <c r="Q879" s="3"/>
      <c r="R879" s="3" t="s">
        <v>2469</v>
      </c>
      <c r="S879" s="6"/>
      <c r="T879" s="3"/>
      <c r="U879" s="7">
        <v>46134</v>
      </c>
      <c r="V879" s="6"/>
      <c r="W879" s="3"/>
      <c r="X879" s="6">
        <v>3</v>
      </c>
      <c r="Y879" s="6"/>
      <c r="Z879" s="3"/>
      <c r="AA879" s="3" t="s">
        <v>2470</v>
      </c>
      <c r="AB879" s="6"/>
      <c r="AC879" s="3"/>
      <c r="AD879" s="3" t="s">
        <v>2471</v>
      </c>
      <c r="AE879" s="6"/>
      <c r="AF879" s="3"/>
      <c r="AG879" s="3"/>
      <c r="AH879" s="6"/>
      <c r="AI879" s="3"/>
      <c r="AJ879" s="1"/>
      <c r="AK879" s="6"/>
      <c r="AL879" s="3"/>
      <c r="AM879" s="6"/>
      <c r="AN879" s="6"/>
      <c r="AO879" s="3"/>
      <c r="AP879" s="3"/>
      <c r="AQ879" s="6"/>
      <c r="AR879" s="3"/>
      <c r="AS879" s="3"/>
      <c r="AT879" s="6"/>
      <c r="AU879" s="3"/>
      <c r="AV879" s="3"/>
      <c r="AW879" s="6"/>
      <c r="AX879" s="3"/>
      <c r="AY879" s="7"/>
      <c r="AZ879" s="6"/>
      <c r="BA879" s="3"/>
      <c r="BB879" s="6"/>
      <c r="BC879" s="6"/>
      <c r="BD879" s="3"/>
      <c r="BE879" s="3"/>
      <c r="BF879" s="6"/>
      <c r="BG879" s="3"/>
      <c r="BH879" s="3"/>
      <c r="BI879" s="6"/>
      <c r="BJ879" s="3"/>
      <c r="BK879" s="3"/>
      <c r="BL879" s="6"/>
      <c r="BM879" s="3"/>
      <c r="BN879" s="7"/>
      <c r="BO879" s="6"/>
      <c r="BP879" s="3"/>
      <c r="BQ879" s="6"/>
      <c r="BR879" s="6"/>
      <c r="BS879" s="3"/>
      <c r="BT879" s="3"/>
      <c r="BU879" s="6"/>
      <c r="BV879" s="3"/>
      <c r="BW879" s="3"/>
      <c r="BX879" s="6"/>
      <c r="BY879" s="3"/>
      <c r="BZ879" s="3"/>
      <c r="CA879" s="6"/>
      <c r="CB879" s="3"/>
      <c r="CC879" s="7"/>
      <c r="CD879" s="6"/>
      <c r="CE879" s="3"/>
      <c r="CF879" s="6"/>
      <c r="CG879" s="6"/>
      <c r="CH879" s="3"/>
      <c r="CI879" s="3"/>
      <c r="CJ879" s="6"/>
      <c r="CK879" s="3"/>
      <c r="CL879" s="3"/>
      <c r="CM879" s="6"/>
      <c r="CN879" s="3"/>
      <c r="CO879" s="3"/>
      <c r="CP879" s="6"/>
      <c r="CQ879" s="3"/>
      <c r="CR879" s="7"/>
      <c r="CS879" s="6"/>
      <c r="CT879" s="3"/>
      <c r="CU879" s="6"/>
      <c r="CV879" s="6"/>
      <c r="CW879" s="3"/>
      <c r="CX879" s="3"/>
      <c r="CY879" s="6"/>
      <c r="CZ879" s="3"/>
      <c r="DA879" s="3"/>
      <c r="DB879" s="6"/>
      <c r="DC879" s="3"/>
      <c r="DD879" s="3"/>
      <c r="DE879" s="6"/>
      <c r="DF879" s="3"/>
      <c r="DG879" s="7"/>
      <c r="DH879" s="6"/>
      <c r="DI879" s="3"/>
      <c r="DJ879" s="6"/>
      <c r="DK879" s="6"/>
      <c r="DL879" s="3"/>
      <c r="DM879" s="3"/>
      <c r="DN879" s="6"/>
      <c r="DO879" s="3"/>
      <c r="DP879" s="3"/>
      <c r="DQ879" s="6"/>
      <c r="DR879" s="3"/>
      <c r="DS879" s="3" t="str">
        <f>_xlfn.XLOOKUP(OfficeForms.Table[[#This Row],[Selecione a Categoria do Laboratório desta atividade prática:]],Planilha1!A:A,Planilha1!B:B)</f>
        <v>BFR-BBI</v>
      </c>
      <c r="DT879" s="6" t="str">
        <f>CONCATENATE(OfficeForms.Table[[#This Row],[Selecione seu Polo Laboratório de Atividades Presenciais:]],OfficeForms.Table[[#This Row],[CHAVE CONVERSÃO]])</f>
        <v>Campina Grande/PBBFR-BBI</v>
      </c>
      <c r="DU87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macro e micromorfológica de fungos leveduriformes;Velocidade de Hemossedimentação</v>
      </c>
      <c r="DV87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7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79" s="6" t="e">
        <f>_xlfn.XLOOKUP(OfficeForms.Table[[#This Row],[CHAVE LINK POLO]],'[1]Quadro Geral de Lotação'!$B:$B,'[1]Quadro Geral de Lotação'!$I:$I)</f>
        <v>#N/A</v>
      </c>
      <c r="DY879" s="6" t="str">
        <f>OfficeForms.Table[[#This Row],[Selecione a Ordem de Disciplina]]</f>
        <v>Ordem 3</v>
      </c>
    </row>
    <row r="880" spans="1:129" ht="34.15" customHeight="1">
      <c r="A880" s="6">
        <v>880</v>
      </c>
      <c r="B880" s="2">
        <v>46135.895231481503</v>
      </c>
      <c r="C880" s="2">
        <v>46135.898877314801</v>
      </c>
      <c r="D880" s="3" t="s">
        <v>1110</v>
      </c>
      <c r="E880" s="3" t="s">
        <v>1111</v>
      </c>
      <c r="F880" s="6"/>
      <c r="G880" s="3"/>
      <c r="I880" s="3" t="s">
        <v>259</v>
      </c>
      <c r="J880" s="6"/>
      <c r="K880" s="3"/>
      <c r="L880" s="6" t="s">
        <v>1325</v>
      </c>
      <c r="M880" s="6"/>
      <c r="N880" s="6"/>
      <c r="O880" s="3" t="s">
        <v>140</v>
      </c>
      <c r="P880" s="6"/>
      <c r="Q880" s="3"/>
      <c r="R880" s="3"/>
      <c r="S880" s="6"/>
      <c r="T880" s="3"/>
      <c r="U880" s="7"/>
      <c r="V880" s="6"/>
      <c r="W880" s="3"/>
      <c r="X880" s="6"/>
      <c r="Y880" s="6"/>
      <c r="Z880" s="3"/>
      <c r="AA880" s="3"/>
      <c r="AB880" s="6"/>
      <c r="AC880" s="3"/>
      <c r="AD880" s="3"/>
      <c r="AE880" s="6"/>
      <c r="AF880" s="3"/>
      <c r="AG880" s="3"/>
      <c r="AH880" s="6"/>
      <c r="AI880" s="3"/>
      <c r="AJ880" s="1"/>
      <c r="AK880" s="6"/>
      <c r="AL880" s="3"/>
      <c r="AM880" s="6"/>
      <c r="AN880" s="6"/>
      <c r="AO880" s="3"/>
      <c r="AP880" s="3"/>
      <c r="AQ880" s="6"/>
      <c r="AR880" s="3"/>
      <c r="AS880" s="3"/>
      <c r="AT880" s="6"/>
      <c r="AU880" s="3"/>
      <c r="AV880" s="3"/>
      <c r="AW880" s="6"/>
      <c r="AX880" s="3"/>
      <c r="AY880" s="7"/>
      <c r="AZ880" s="6"/>
      <c r="BA880" s="3"/>
      <c r="BB880" s="6"/>
      <c r="BC880" s="6"/>
      <c r="BD880" s="3"/>
      <c r="BE880" s="3"/>
      <c r="BF880" s="6"/>
      <c r="BG880" s="3"/>
      <c r="BH880" s="3"/>
      <c r="BI880" s="6"/>
      <c r="BJ880" s="3"/>
      <c r="BK880" s="3"/>
      <c r="BL880" s="6"/>
      <c r="BM880" s="3"/>
      <c r="BN880" s="7"/>
      <c r="BO880" s="6"/>
      <c r="BP880" s="3"/>
      <c r="BQ880" s="6"/>
      <c r="BR880" s="6"/>
      <c r="BS880" s="3"/>
      <c r="BT880" s="3"/>
      <c r="BU880" s="6"/>
      <c r="BV880" s="3"/>
      <c r="BW880" s="3"/>
      <c r="BX880" s="6"/>
      <c r="BY880" s="3"/>
      <c r="BZ880" s="3" t="s">
        <v>1231</v>
      </c>
      <c r="CA880" s="6"/>
      <c r="CB880" s="3"/>
      <c r="CC880" s="7">
        <v>46127</v>
      </c>
      <c r="CD880" s="6"/>
      <c r="CE880" s="3"/>
      <c r="CF880" s="6">
        <v>11</v>
      </c>
      <c r="CG880" s="6"/>
      <c r="CH880" s="3"/>
      <c r="CI880" s="3" t="s">
        <v>2472</v>
      </c>
      <c r="CJ880" s="6"/>
      <c r="CK880" s="3"/>
      <c r="CL880" s="3" t="s">
        <v>2473</v>
      </c>
      <c r="CM880" s="6"/>
      <c r="CN880" s="3"/>
      <c r="CO880" s="3"/>
      <c r="CP880" s="6"/>
      <c r="CQ880" s="3"/>
      <c r="CR880" s="7"/>
      <c r="CS880" s="6"/>
      <c r="CT880" s="3"/>
      <c r="CU880" s="6"/>
      <c r="CV880" s="6"/>
      <c r="CW880" s="3"/>
      <c r="CX880" s="3"/>
      <c r="CY880" s="6"/>
      <c r="CZ880" s="3"/>
      <c r="DA880" s="3"/>
      <c r="DB880" s="6"/>
      <c r="DC880" s="3"/>
      <c r="DD880" s="3"/>
      <c r="DE880" s="6"/>
      <c r="DF880" s="3"/>
      <c r="DG880" s="7"/>
      <c r="DH880" s="6"/>
      <c r="DI880" s="3"/>
      <c r="DJ880" s="6"/>
      <c r="DK880" s="6"/>
      <c r="DL880" s="3"/>
      <c r="DM880" s="3"/>
      <c r="DN880" s="6"/>
      <c r="DO880" s="3"/>
      <c r="DP880" s="3"/>
      <c r="DQ880" s="6"/>
      <c r="DR880" s="3"/>
      <c r="DS880" s="3" t="str">
        <f>_xlfn.XLOOKUP(OfficeForms.Table[[#This Row],[Selecione a Categoria do Laboratório desta atividade prática:]],Planilha1!A:A,Planilha1!B:B)</f>
        <v>ECE-ENM-ENS-ENG-EEA-GPI-CDE-OBR-SAN-TER-FSA-SLF-QUI</v>
      </c>
      <c r="DT880" s="6" t="str">
        <f>CONCATENATE(OfficeForms.Table[[#This Row],[Selecione seu Polo Laboratório de Atividades Presenciais:]],OfficeForms.Table[[#This Row],[CHAVE CONVERSÃO]])</f>
        <v>Capão Da Canoa/RSECE-ENM-ENS-ENG-EEA-GPI-CDE-OBR-SAN-TER-FSA-SLF-QUI</v>
      </c>
      <c r="DU88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 Introdução a Caligrafia Técnica dentro das normas da ABNT (NBR 6492). +  Introdução aos Primeiros Passos</v>
      </c>
      <c r="DV88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8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880" s="6" t="e">
        <f>_xlfn.XLOOKUP(OfficeForms.Table[[#This Row],[CHAVE LINK POLO]],'[1]Quadro Geral de Lotação'!$B:$B,'[1]Quadro Geral de Lotação'!$I:$I)</f>
        <v>#N/A</v>
      </c>
      <c r="DY880" s="6" t="str">
        <f>OfficeForms.Table[[#This Row],[Selecione a Ordem de Disciplina]]</f>
        <v>Ordem 3</v>
      </c>
    </row>
    <row r="881" spans="1:129" ht="34.15" customHeight="1">
      <c r="A881" s="6">
        <v>881</v>
      </c>
      <c r="B881" s="2">
        <v>46135.899351851898</v>
      </c>
      <c r="C881" s="2">
        <v>46135.9040046296</v>
      </c>
      <c r="D881" s="3" t="s">
        <v>1110</v>
      </c>
      <c r="E881" s="3" t="s">
        <v>1111</v>
      </c>
      <c r="F881" s="6"/>
      <c r="G881" s="3"/>
      <c r="I881" s="3" t="s">
        <v>259</v>
      </c>
      <c r="J881" s="6"/>
      <c r="K881" s="3"/>
      <c r="L881" s="6" t="s">
        <v>1325</v>
      </c>
      <c r="M881" s="6"/>
      <c r="N881" s="6"/>
      <c r="O881" s="3" t="s">
        <v>140</v>
      </c>
      <c r="P881" s="6"/>
      <c r="Q881" s="3"/>
      <c r="R881" s="3"/>
      <c r="S881" s="6"/>
      <c r="T881" s="3"/>
      <c r="U881" s="7"/>
      <c r="V881" s="6"/>
      <c r="W881" s="3"/>
      <c r="X881" s="6"/>
      <c r="Y881" s="6"/>
      <c r="Z881" s="3"/>
      <c r="AA881" s="3"/>
      <c r="AB881" s="6"/>
      <c r="AC881" s="3"/>
      <c r="AD881" s="3"/>
      <c r="AE881" s="6"/>
      <c r="AF881" s="3"/>
      <c r="AG881" s="3"/>
      <c r="AH881" s="6"/>
      <c r="AI881" s="3"/>
      <c r="AJ881" s="1"/>
      <c r="AK881" s="6"/>
      <c r="AL881" s="3"/>
      <c r="AM881" s="6"/>
      <c r="AN881" s="6"/>
      <c r="AO881" s="3"/>
      <c r="AP881" s="3"/>
      <c r="AQ881" s="6"/>
      <c r="AR881" s="3"/>
      <c r="AS881" s="3"/>
      <c r="AT881" s="6"/>
      <c r="AU881" s="3"/>
      <c r="AV881" s="3"/>
      <c r="AW881" s="6"/>
      <c r="AX881" s="3"/>
      <c r="AY881" s="7"/>
      <c r="AZ881" s="6"/>
      <c r="BA881" s="3"/>
      <c r="BB881" s="6"/>
      <c r="BC881" s="6"/>
      <c r="BD881" s="3"/>
      <c r="BE881" s="3"/>
      <c r="BF881" s="6"/>
      <c r="BG881" s="3"/>
      <c r="BH881" s="3"/>
      <c r="BI881" s="6"/>
      <c r="BJ881" s="3"/>
      <c r="BK881" s="3"/>
      <c r="BL881" s="6"/>
      <c r="BM881" s="3"/>
      <c r="BN881" s="7"/>
      <c r="BO881" s="6"/>
      <c r="BP881" s="3"/>
      <c r="BQ881" s="6"/>
      <c r="BR881" s="6"/>
      <c r="BS881" s="3"/>
      <c r="BT881" s="3"/>
      <c r="BU881" s="6"/>
      <c r="BV881" s="3"/>
      <c r="BW881" s="3"/>
      <c r="BX881" s="6"/>
      <c r="BY881" s="3"/>
      <c r="BZ881" s="3" t="s">
        <v>1262</v>
      </c>
      <c r="CA881" s="6"/>
      <c r="CB881" s="3"/>
      <c r="CC881" s="7">
        <v>46134</v>
      </c>
      <c r="CD881" s="6"/>
      <c r="CE881" s="3"/>
      <c r="CF881" s="6">
        <v>13</v>
      </c>
      <c r="CG881" s="6"/>
      <c r="CH881" s="3"/>
      <c r="CI881" s="3" t="s">
        <v>2474</v>
      </c>
      <c r="CJ881" s="6"/>
      <c r="CK881" s="3"/>
      <c r="CL881" s="3" t="s">
        <v>2475</v>
      </c>
      <c r="CM881" s="6"/>
      <c r="CN881" s="3"/>
      <c r="CO881" s="3"/>
      <c r="CP881" s="6"/>
      <c r="CQ881" s="3"/>
      <c r="CR881" s="7"/>
      <c r="CS881" s="6"/>
      <c r="CT881" s="3"/>
      <c r="CU881" s="6"/>
      <c r="CV881" s="6"/>
      <c r="CW881" s="3"/>
      <c r="CX881" s="3"/>
      <c r="CY881" s="6"/>
      <c r="CZ881" s="3"/>
      <c r="DA881" s="3"/>
      <c r="DB881" s="6"/>
      <c r="DC881" s="3"/>
      <c r="DD881" s="3"/>
      <c r="DE881" s="6"/>
      <c r="DF881" s="3"/>
      <c r="DG881" s="7"/>
      <c r="DH881" s="6"/>
      <c r="DI881" s="3"/>
      <c r="DJ881" s="6"/>
      <c r="DK881" s="6"/>
      <c r="DL881" s="3"/>
      <c r="DM881" s="3"/>
      <c r="DN881" s="6"/>
      <c r="DO881" s="3"/>
      <c r="DP881" s="3"/>
      <c r="DQ881" s="6"/>
      <c r="DR881" s="3"/>
      <c r="DS881" s="3" t="str">
        <f>_xlfn.XLOOKUP(OfficeForms.Table[[#This Row],[Selecione a Categoria do Laboratório desta atividade prática:]],Planilha1!A:A,Planilha1!B:B)</f>
        <v>ECE-ENM-ENS-ENG-EEA-GPI-CDE-OBR-SAN-TER-FSA-SLF-QUI</v>
      </c>
      <c r="DT881" s="6" t="str">
        <f>CONCATENATE(OfficeForms.Table[[#This Row],[Selecione seu Polo Laboratório de Atividades Presenciais:]],OfficeForms.Table[[#This Row],[CHAVE CONVERSÃO]])</f>
        <v>Capão Da Canoa/RSECE-ENM-ENS-ENG-EEA-GPI-CDE-OBR-SAN-TER-FSA-SLF-QUI</v>
      </c>
      <c r="DU88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 Representações do Desenho Técnico + Cotas e Escalas</v>
      </c>
      <c r="DV88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8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13</v>
      </c>
      <c r="DX881" s="6" t="e">
        <f>_xlfn.XLOOKUP(OfficeForms.Table[[#This Row],[CHAVE LINK POLO]],'[1]Quadro Geral de Lotação'!$B:$B,'[1]Quadro Geral de Lotação'!$I:$I)</f>
        <v>#N/A</v>
      </c>
      <c r="DY881" s="6" t="str">
        <f>OfficeForms.Table[[#This Row],[Selecione a Ordem de Disciplina]]</f>
        <v>Ordem 3</v>
      </c>
    </row>
    <row r="882" spans="1:129" ht="34.15" customHeight="1">
      <c r="A882" s="6">
        <v>882</v>
      </c>
      <c r="B882" s="2">
        <v>46135.982164351903</v>
      </c>
      <c r="C882" s="2">
        <v>46135.988425925898</v>
      </c>
      <c r="D882" s="3" t="s">
        <v>914</v>
      </c>
      <c r="E882" s="3" t="s">
        <v>915</v>
      </c>
      <c r="F882" s="6"/>
      <c r="G882" s="3"/>
      <c r="I882" s="3" t="s">
        <v>916</v>
      </c>
      <c r="J882" s="6"/>
      <c r="K882" s="3"/>
      <c r="L882" s="6" t="s">
        <v>1325</v>
      </c>
      <c r="M882" s="6"/>
      <c r="N882" s="6"/>
      <c r="O882" s="3" t="s">
        <v>497</v>
      </c>
      <c r="P882" s="6"/>
      <c r="Q882" s="3"/>
      <c r="R882" s="3" t="s">
        <v>2476</v>
      </c>
      <c r="S882" s="6"/>
      <c r="T882" s="3"/>
      <c r="U882" s="7">
        <v>46136</v>
      </c>
      <c r="V882" s="6"/>
      <c r="W882" s="3"/>
      <c r="X882" s="6">
        <v>6</v>
      </c>
      <c r="Y882" s="6"/>
      <c r="Z882" s="3"/>
      <c r="AA882" s="3" t="s">
        <v>2477</v>
      </c>
      <c r="AB882" s="6"/>
      <c r="AC882" s="3"/>
      <c r="AD882" s="3" t="s">
        <v>2478</v>
      </c>
      <c r="AE882" s="6"/>
      <c r="AF882" s="3"/>
      <c r="AG882" s="3"/>
      <c r="AH882" s="6"/>
      <c r="AI882" s="3"/>
      <c r="AJ882" s="1"/>
      <c r="AK882" s="6"/>
      <c r="AL882" s="3"/>
      <c r="AM882" s="6"/>
      <c r="AN882" s="6"/>
      <c r="AO882" s="3"/>
      <c r="AP882" s="3"/>
      <c r="AQ882" s="6"/>
      <c r="AR882" s="3"/>
      <c r="AS882" s="3"/>
      <c r="AT882" s="6"/>
      <c r="AU882" s="3"/>
      <c r="AV882" s="3"/>
      <c r="AW882" s="6"/>
      <c r="AX882" s="3"/>
      <c r="AY882" s="7"/>
      <c r="AZ882" s="6"/>
      <c r="BA882" s="3"/>
      <c r="BB882" s="6"/>
      <c r="BC882" s="6"/>
      <c r="BD882" s="3"/>
      <c r="BE882" s="3"/>
      <c r="BF882" s="6"/>
      <c r="BG882" s="3"/>
      <c r="BH882" s="3"/>
      <c r="BI882" s="6"/>
      <c r="BJ882" s="3"/>
      <c r="BK882" s="3"/>
      <c r="BL882" s="6"/>
      <c r="BM882" s="3"/>
      <c r="BN882" s="7"/>
      <c r="BO882" s="6"/>
      <c r="BP882" s="3"/>
      <c r="BQ882" s="6"/>
      <c r="BR882" s="6"/>
      <c r="BS882" s="3"/>
      <c r="BT882" s="3"/>
      <c r="BU882" s="6"/>
      <c r="BV882" s="3"/>
      <c r="BW882" s="3"/>
      <c r="BX882" s="6"/>
      <c r="BY882" s="3"/>
      <c r="BZ882" s="3"/>
      <c r="CA882" s="6"/>
      <c r="CB882" s="3"/>
      <c r="CC882" s="7"/>
      <c r="CD882" s="6"/>
      <c r="CE882" s="3"/>
      <c r="CF882" s="6"/>
      <c r="CG882" s="6"/>
      <c r="CH882" s="3"/>
      <c r="CI882" s="3"/>
      <c r="CJ882" s="6"/>
      <c r="CK882" s="3"/>
      <c r="CL882" s="3"/>
      <c r="CM882" s="6"/>
      <c r="CN882" s="3"/>
      <c r="CO882" s="3"/>
      <c r="CP882" s="6"/>
      <c r="CQ882" s="3"/>
      <c r="CR882" s="7"/>
      <c r="CS882" s="6"/>
      <c r="CT882" s="3"/>
      <c r="CU882" s="6"/>
      <c r="CV882" s="6"/>
      <c r="CW882" s="3"/>
      <c r="CX882" s="3"/>
      <c r="CY882" s="6"/>
      <c r="CZ882" s="3"/>
      <c r="DA882" s="3"/>
      <c r="DB882" s="6"/>
      <c r="DC882" s="3"/>
      <c r="DD882" s="3"/>
      <c r="DE882" s="6"/>
      <c r="DF882" s="3"/>
      <c r="DG882" s="7"/>
      <c r="DH882" s="6"/>
      <c r="DI882" s="3"/>
      <c r="DJ882" s="6"/>
      <c r="DK882" s="6"/>
      <c r="DL882" s="3"/>
      <c r="DM882" s="3"/>
      <c r="DN882" s="6"/>
      <c r="DO882" s="3"/>
      <c r="DP882" s="3"/>
      <c r="DQ882" s="6"/>
      <c r="DR882" s="3"/>
      <c r="DS882" s="3" t="str">
        <f>_xlfn.XLOOKUP(OfficeForms.Table[[#This Row],[Selecione a Categoria do Laboratório desta atividade prática:]],Planilha1!A:A,Planilha1!B:B)</f>
        <v>BFR-BBI</v>
      </c>
      <c r="DT882" s="6" t="str">
        <f>CONCATENATE(OfficeForms.Table[[#This Row],[Selecione seu Polo Laboratório de Atividades Presenciais:]],OfficeForms.Table[[#This Row],[CHAVE CONVERSÃO]])</f>
        <v>Itapipoca/CEBFR-BBI</v>
      </c>
      <c r="DU88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macro e micromorfológica de fungos leveduriformes;Análise à fresco (exame direto) de fungos dermatófitos e leveduras</v>
      </c>
      <c r="DV88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46136</v>
      </c>
      <c r="DW88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882" s="6" t="e">
        <f>_xlfn.XLOOKUP(OfficeForms.Table[[#This Row],[CHAVE LINK POLO]],'[1]Quadro Geral de Lotação'!$B:$B,'[1]Quadro Geral de Lotação'!$I:$I)</f>
        <v>#N/A</v>
      </c>
      <c r="DY882" s="6" t="str">
        <f>OfficeForms.Table[[#This Row],[Selecione a Ordem de Disciplina]]</f>
        <v>Ordem 3</v>
      </c>
    </row>
    <row r="883" spans="1:129" ht="34.15" customHeight="1">
      <c r="A883" s="6">
        <v>883</v>
      </c>
      <c r="B883" s="2">
        <v>46135.996747685203</v>
      </c>
      <c r="C883" s="2">
        <v>46135.998657407399</v>
      </c>
      <c r="D883" s="3" t="s">
        <v>914</v>
      </c>
      <c r="E883" s="3" t="s">
        <v>915</v>
      </c>
      <c r="F883" s="6"/>
      <c r="G883" s="3"/>
      <c r="I883" s="3" t="s">
        <v>916</v>
      </c>
      <c r="J883" s="6"/>
      <c r="K883" s="3"/>
      <c r="L883" s="6" t="s">
        <v>678</v>
      </c>
      <c r="M883" s="6"/>
      <c r="N883" s="6"/>
      <c r="O883" s="3" t="s">
        <v>497</v>
      </c>
      <c r="P883" s="6"/>
      <c r="Q883" s="3"/>
      <c r="R883" s="3" t="s">
        <v>2479</v>
      </c>
      <c r="S883" s="6"/>
      <c r="T883" s="3"/>
      <c r="U883" s="7">
        <v>46121</v>
      </c>
      <c r="V883" s="6"/>
      <c r="W883" s="3"/>
      <c r="X883" s="6">
        <v>6</v>
      </c>
      <c r="Y883" s="6"/>
      <c r="Z883" s="3"/>
      <c r="AA883" s="3" t="s">
        <v>2480</v>
      </c>
      <c r="AB883" s="6"/>
      <c r="AC883" s="3"/>
      <c r="AD883" s="3" t="s">
        <v>2481</v>
      </c>
      <c r="AE883" s="6"/>
      <c r="AF883" s="3"/>
      <c r="AG883" s="3"/>
      <c r="AH883" s="6"/>
      <c r="AI883" s="3"/>
      <c r="AJ883" s="1"/>
      <c r="AK883" s="6"/>
      <c r="AL883" s="3"/>
      <c r="AM883" s="6"/>
      <c r="AN883" s="6"/>
      <c r="AO883" s="3"/>
      <c r="AP883" s="3"/>
      <c r="AQ883" s="6"/>
      <c r="AR883" s="3"/>
      <c r="AS883" s="3"/>
      <c r="AT883" s="6"/>
      <c r="AU883" s="3"/>
      <c r="AV883" s="3"/>
      <c r="AW883" s="6"/>
      <c r="AX883" s="3"/>
      <c r="AY883" s="7"/>
      <c r="AZ883" s="6"/>
      <c r="BA883" s="3"/>
      <c r="BB883" s="6"/>
      <c r="BC883" s="6"/>
      <c r="BD883" s="3"/>
      <c r="BE883" s="3"/>
      <c r="BF883" s="6"/>
      <c r="BG883" s="3"/>
      <c r="BH883" s="3"/>
      <c r="BI883" s="6"/>
      <c r="BJ883" s="3"/>
      <c r="BK883" s="3"/>
      <c r="BL883" s="6"/>
      <c r="BM883" s="3"/>
      <c r="BN883" s="7"/>
      <c r="BO883" s="6"/>
      <c r="BP883" s="3"/>
      <c r="BQ883" s="6"/>
      <c r="BR883" s="6"/>
      <c r="BS883" s="3"/>
      <c r="BT883" s="3"/>
      <c r="BU883" s="6"/>
      <c r="BV883" s="3"/>
      <c r="BW883" s="3"/>
      <c r="BX883" s="6"/>
      <c r="BY883" s="3"/>
      <c r="BZ883" s="3"/>
      <c r="CA883" s="6"/>
      <c r="CB883" s="3"/>
      <c r="CC883" s="7"/>
      <c r="CD883" s="6"/>
      <c r="CE883" s="3"/>
      <c r="CF883" s="6"/>
      <c r="CG883" s="6"/>
      <c r="CH883" s="3"/>
      <c r="CI883" s="3"/>
      <c r="CJ883" s="6"/>
      <c r="CK883" s="3"/>
      <c r="CL883" s="3"/>
      <c r="CM883" s="6"/>
      <c r="CN883" s="3"/>
      <c r="CO883" s="3"/>
      <c r="CP883" s="6"/>
      <c r="CQ883" s="3"/>
      <c r="CR883" s="7"/>
      <c r="CS883" s="6"/>
      <c r="CT883" s="3"/>
      <c r="CU883" s="6"/>
      <c r="CV883" s="6"/>
      <c r="CW883" s="3"/>
      <c r="CX883" s="3"/>
      <c r="CY883" s="6"/>
      <c r="CZ883" s="3"/>
      <c r="DA883" s="3"/>
      <c r="DB883" s="6"/>
      <c r="DC883" s="3"/>
      <c r="DD883" s="3"/>
      <c r="DE883" s="6"/>
      <c r="DF883" s="3"/>
      <c r="DG883" s="7"/>
      <c r="DH883" s="6"/>
      <c r="DI883" s="3"/>
      <c r="DJ883" s="6"/>
      <c r="DK883" s="6"/>
      <c r="DL883" s="3"/>
      <c r="DM883" s="3"/>
      <c r="DN883" s="6"/>
      <c r="DO883" s="3"/>
      <c r="DP883" s="3"/>
      <c r="DQ883" s="6"/>
      <c r="DR883" s="3"/>
      <c r="DS883" s="3" t="str">
        <f>_xlfn.XLOOKUP(OfficeForms.Table[[#This Row],[Selecione a Categoria do Laboratório desta atividade prática:]],Planilha1!A:A,Planilha1!B:B)</f>
        <v>BFR-BBI</v>
      </c>
      <c r="DT883" s="6" t="str">
        <f>CONCATENATE(OfficeForms.Table[[#This Row],[Selecione seu Polo Laboratório de Atividades Presenciais:]],OfficeForms.Table[[#This Row],[CHAVE CONVERSÃO]])</f>
        <v>Itapipoca/CEBFR-BBI</v>
      </c>
      <c r="DU88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Laminário de ovos de helmintos</v>
      </c>
      <c r="DV88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88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6</v>
      </c>
      <c r="DX883" s="6" t="e">
        <f>_xlfn.XLOOKUP(OfficeForms.Table[[#This Row],[CHAVE LINK POLO]],'[1]Quadro Geral de Lotação'!$B:$B,'[1]Quadro Geral de Lotação'!$I:$I)</f>
        <v>#N/A</v>
      </c>
      <c r="DY883" s="6" t="str">
        <f>OfficeForms.Table[[#This Row],[Selecione a Ordem de Disciplina]]</f>
        <v>Ordem 2</v>
      </c>
    </row>
    <row r="884" spans="1:129" ht="34.15" customHeight="1">
      <c r="A884" s="6">
        <v>884</v>
      </c>
      <c r="B884" s="2">
        <v>46136.435729166697</v>
      </c>
      <c r="C884" s="2">
        <v>46136.449907407397</v>
      </c>
      <c r="D884" s="3" t="s">
        <v>952</v>
      </c>
      <c r="E884" s="3" t="s">
        <v>953</v>
      </c>
      <c r="F884" s="6"/>
      <c r="G884" s="3"/>
      <c r="I884" s="3" t="s">
        <v>954</v>
      </c>
      <c r="J884" s="6"/>
      <c r="K884" s="3"/>
      <c r="L884" s="6" t="s">
        <v>678</v>
      </c>
      <c r="M884" s="6"/>
      <c r="N884" s="6"/>
      <c r="O884" s="3" t="s">
        <v>184</v>
      </c>
      <c r="P884" s="6"/>
      <c r="Q884" s="3"/>
      <c r="R884" s="3"/>
      <c r="S884" s="6"/>
      <c r="T884" s="3"/>
      <c r="U884" s="7"/>
      <c r="V884" s="6"/>
      <c r="W884" s="3"/>
      <c r="X884" s="6"/>
      <c r="Y884" s="6"/>
      <c r="Z884" s="3"/>
      <c r="AA884" s="3"/>
      <c r="AB884" s="6"/>
      <c r="AC884" s="3"/>
      <c r="AD884" s="3"/>
      <c r="AE884" s="6"/>
      <c r="AF884" s="3"/>
      <c r="AG884" s="3" t="s">
        <v>1970</v>
      </c>
      <c r="AH884" s="6"/>
      <c r="AI884" s="3"/>
      <c r="AJ884" s="1">
        <v>46099</v>
      </c>
      <c r="AK884" s="6"/>
      <c r="AL884" s="3"/>
      <c r="AM884" s="6">
        <v>1</v>
      </c>
      <c r="AN884" s="6"/>
      <c r="AO884" s="3"/>
      <c r="AP884" s="3" t="s">
        <v>2482</v>
      </c>
      <c r="AQ884" s="6"/>
      <c r="AR884" s="3"/>
      <c r="AS884" s="3" t="s">
        <v>2483</v>
      </c>
      <c r="AT884" s="6"/>
      <c r="AU884" s="3"/>
      <c r="AV884" s="3"/>
      <c r="AW884" s="6"/>
      <c r="AX884" s="3"/>
      <c r="AY884" s="7"/>
      <c r="AZ884" s="6"/>
      <c r="BA884" s="3"/>
      <c r="BB884" s="6"/>
      <c r="BC884" s="6"/>
      <c r="BD884" s="3"/>
      <c r="BE884" s="3"/>
      <c r="BF884" s="6"/>
      <c r="BG884" s="3"/>
      <c r="BH884" s="3"/>
      <c r="BI884" s="6"/>
      <c r="BJ884" s="3"/>
      <c r="BK884" s="3"/>
      <c r="BL884" s="6"/>
      <c r="BM884" s="3"/>
      <c r="BN884" s="7"/>
      <c r="BO884" s="6"/>
      <c r="BP884" s="3"/>
      <c r="BQ884" s="6"/>
      <c r="BR884" s="6"/>
      <c r="BS884" s="3"/>
      <c r="BT884" s="3"/>
      <c r="BU884" s="6"/>
      <c r="BV884" s="3"/>
      <c r="BW884" s="3"/>
      <c r="BX884" s="6"/>
      <c r="BY884" s="3"/>
      <c r="BZ884" s="3"/>
      <c r="CA884" s="6"/>
      <c r="CB884" s="3"/>
      <c r="CC884" s="7"/>
      <c r="CD884" s="6"/>
      <c r="CE884" s="3"/>
      <c r="CF884" s="6"/>
      <c r="CG884" s="6"/>
      <c r="CH884" s="3"/>
      <c r="CI884" s="3"/>
      <c r="CJ884" s="6"/>
      <c r="CK884" s="3"/>
      <c r="CL884" s="3"/>
      <c r="CM884" s="6"/>
      <c r="CN884" s="3"/>
      <c r="CO884" s="3"/>
      <c r="CP884" s="6"/>
      <c r="CQ884" s="3"/>
      <c r="CR884" s="7"/>
      <c r="CS884" s="6"/>
      <c r="CT884" s="3"/>
      <c r="CU884" s="6"/>
      <c r="CV884" s="6"/>
      <c r="CW884" s="3"/>
      <c r="CX884" s="3"/>
      <c r="CY884" s="6"/>
      <c r="CZ884" s="3"/>
      <c r="DA884" s="3"/>
      <c r="DB884" s="6"/>
      <c r="DC884" s="3"/>
      <c r="DD884" s="3"/>
      <c r="DE884" s="6"/>
      <c r="DF884" s="3"/>
      <c r="DG884" s="7"/>
      <c r="DH884" s="6"/>
      <c r="DI884" s="3"/>
      <c r="DJ884" s="6"/>
      <c r="DK884" s="6"/>
      <c r="DL884" s="3"/>
      <c r="DM884" s="3"/>
      <c r="DN884" s="6"/>
      <c r="DO884" s="3"/>
      <c r="DP884" s="3"/>
      <c r="DQ884" s="6"/>
      <c r="DR884" s="3"/>
      <c r="DS884" s="3" t="str">
        <f>_xlfn.XLOOKUP(OfficeForms.Table[[#This Row],[Selecione a Categoria do Laboratório desta atividade prática:]],Planilha1!A:A,Planilha1!B:B)</f>
        <v>EMF-ISN</v>
      </c>
      <c r="DT884" s="6" t="str">
        <f>CONCATENATE(OfficeForms.Table[[#This Row],[Selecione seu Polo Laboratório de Atividades Presenciais:]],OfficeForms.Table[[#This Row],[CHAVE CONVERSÃO]])</f>
        <v>Barreirinhas/MAEMF-ISN</v>
      </c>
      <c r="DU88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Manobra de Suporte Básico de Vida;Punção e manutenção de cateter de longa permanência + Troca de bolsa de ostomia</v>
      </c>
      <c r="DV88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46099</v>
      </c>
      <c r="DW88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84" s="6" t="str">
        <f>_xlfn.XLOOKUP(OfficeForms.Table[[#This Row],[CHAVE LINK POLO]],'[1]Quadro Geral de Lotação'!$B:$B,'[1]Quadro Geral de Lotação'!$I:$I)</f>
        <v>Hozana De Almeida Evangelista</v>
      </c>
      <c r="DY884" s="6" t="str">
        <f>OfficeForms.Table[[#This Row],[Selecione a Ordem de Disciplina]]</f>
        <v>Ordem 2</v>
      </c>
    </row>
    <row r="885" spans="1:129" ht="34.15" customHeight="1">
      <c r="A885" s="6">
        <v>885</v>
      </c>
      <c r="B885" s="2">
        <v>46136.456655092603</v>
      </c>
      <c r="C885" s="2">
        <v>46136.458634259303</v>
      </c>
      <c r="D885" s="3" t="s">
        <v>952</v>
      </c>
      <c r="E885" s="3" t="s">
        <v>953</v>
      </c>
      <c r="F885" s="6"/>
      <c r="G885" s="3"/>
      <c r="I885" s="3" t="s">
        <v>954</v>
      </c>
      <c r="J885" s="6"/>
      <c r="K885" s="3"/>
      <c r="L885" s="6" t="s">
        <v>678</v>
      </c>
      <c r="M885" s="6"/>
      <c r="N885" s="6"/>
      <c r="O885" s="3" t="s">
        <v>184</v>
      </c>
      <c r="P885" s="6"/>
      <c r="Q885" s="3"/>
      <c r="R885" s="3"/>
      <c r="S885" s="6"/>
      <c r="T885" s="3"/>
      <c r="U885" s="7"/>
      <c r="V885" s="6"/>
      <c r="W885" s="3"/>
      <c r="X885" s="6"/>
      <c r="Y885" s="6"/>
      <c r="Z885" s="3"/>
      <c r="AA885" s="3"/>
      <c r="AB885" s="6"/>
      <c r="AC885" s="3"/>
      <c r="AD885" s="3"/>
      <c r="AE885" s="6"/>
      <c r="AF885" s="3"/>
      <c r="AG885" s="3" t="s">
        <v>860</v>
      </c>
      <c r="AH885" s="6"/>
      <c r="AI885" s="3"/>
      <c r="AJ885" s="1">
        <v>46113</v>
      </c>
      <c r="AK885" s="6"/>
      <c r="AL885" s="3"/>
      <c r="AM885" s="6">
        <v>1</v>
      </c>
      <c r="AN885" s="6"/>
      <c r="AO885" s="3"/>
      <c r="AP885" s="3" t="s">
        <v>2484</v>
      </c>
      <c r="AQ885" s="6"/>
      <c r="AR885" s="3"/>
      <c r="AS885" s="3" t="s">
        <v>2485</v>
      </c>
      <c r="AT885" s="6"/>
      <c r="AU885" s="3"/>
      <c r="AV885" s="3"/>
      <c r="AW885" s="6"/>
      <c r="AX885" s="3"/>
      <c r="AY885" s="7"/>
      <c r="AZ885" s="6"/>
      <c r="BA885" s="3"/>
      <c r="BB885" s="6"/>
      <c r="BC885" s="6"/>
      <c r="BD885" s="3"/>
      <c r="BE885" s="3"/>
      <c r="BF885" s="6"/>
      <c r="BG885" s="3"/>
      <c r="BH885" s="3"/>
      <c r="BI885" s="6"/>
      <c r="BJ885" s="3"/>
      <c r="BK885" s="3"/>
      <c r="BL885" s="6"/>
      <c r="BM885" s="3"/>
      <c r="BN885" s="7"/>
      <c r="BO885" s="6"/>
      <c r="BP885" s="3"/>
      <c r="BQ885" s="6"/>
      <c r="BR885" s="6"/>
      <c r="BS885" s="3"/>
      <c r="BT885" s="3"/>
      <c r="BU885" s="6"/>
      <c r="BV885" s="3"/>
      <c r="BW885" s="3"/>
      <c r="BX885" s="6"/>
      <c r="BY885" s="3"/>
      <c r="BZ885" s="3"/>
      <c r="CA885" s="6"/>
      <c r="CB885" s="3"/>
      <c r="CC885" s="7"/>
      <c r="CD885" s="6"/>
      <c r="CE885" s="3"/>
      <c r="CF885" s="6"/>
      <c r="CG885" s="6"/>
      <c r="CH885" s="3"/>
      <c r="CI885" s="3"/>
      <c r="CJ885" s="6"/>
      <c r="CK885" s="3"/>
      <c r="CL885" s="3"/>
      <c r="CM885" s="6"/>
      <c r="CN885" s="3"/>
      <c r="CO885" s="3"/>
      <c r="CP885" s="6"/>
      <c r="CQ885" s="3"/>
      <c r="CR885" s="7"/>
      <c r="CS885" s="6"/>
      <c r="CT885" s="3"/>
      <c r="CU885" s="6"/>
      <c r="CV885" s="6"/>
      <c r="CW885" s="3"/>
      <c r="CX885" s="3"/>
      <c r="CY885" s="6"/>
      <c r="CZ885" s="3"/>
      <c r="DA885" s="3"/>
      <c r="DB885" s="6"/>
      <c r="DC885" s="3"/>
      <c r="DD885" s="3"/>
      <c r="DE885" s="6"/>
      <c r="DF885" s="3"/>
      <c r="DG885" s="7"/>
      <c r="DH885" s="6"/>
      <c r="DI885" s="3"/>
      <c r="DJ885" s="6"/>
      <c r="DK885" s="6"/>
      <c r="DL885" s="3"/>
      <c r="DM885" s="3"/>
      <c r="DN885" s="6"/>
      <c r="DO885" s="3"/>
      <c r="DP885" s="3"/>
      <c r="DQ885" s="6"/>
      <c r="DR885" s="3"/>
      <c r="DS885" s="3" t="str">
        <f>_xlfn.XLOOKUP(OfficeForms.Table[[#This Row],[Selecione a Categoria do Laboratório desta atividade prática:]],Planilha1!A:A,Planilha1!B:B)</f>
        <v>EMF-ISN</v>
      </c>
      <c r="DT885" s="6" t="str">
        <f>CONCATENATE(OfficeForms.Table[[#This Row],[Selecione seu Polo Laboratório de Atividades Presenciais:]],OfficeForms.Table[[#This Row],[CHAVE CONVERSÃO]])</f>
        <v>Barreirinhas/MAEMF-ISN</v>
      </c>
      <c r="DU88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de enfermagem ao paciente com queimadura + Escala de Coma de Glasgow;Administração de medicamento pela via subcutânea + Administração de medicamento pela via oral</v>
      </c>
      <c r="DV88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88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885" s="6" t="str">
        <f>_xlfn.XLOOKUP(OfficeForms.Table[[#This Row],[CHAVE LINK POLO]],'[1]Quadro Geral de Lotação'!$B:$B,'[1]Quadro Geral de Lotação'!$I:$I)</f>
        <v>Hozana De Almeida Evangelista</v>
      </c>
      <c r="DY885" s="6" t="str">
        <f>OfficeForms.Table[[#This Row],[Selecione a Ordem de Disciplina]]</f>
        <v>Ordem 2</v>
      </c>
    </row>
    <row r="886" spans="1:129" ht="34.15" customHeight="1">
      <c r="A886" s="6">
        <v>886</v>
      </c>
      <c r="B886" s="2">
        <v>46136.491585648197</v>
      </c>
      <c r="C886" s="2">
        <v>46136.502465277801</v>
      </c>
      <c r="D886" s="3" t="s">
        <v>1973</v>
      </c>
      <c r="E886" s="3" t="s">
        <v>1974</v>
      </c>
      <c r="F886" s="6"/>
      <c r="G886" s="3"/>
      <c r="I886" s="3" t="s">
        <v>1975</v>
      </c>
      <c r="J886" s="6"/>
      <c r="K886" s="3"/>
      <c r="L886" s="6" t="s">
        <v>1325</v>
      </c>
      <c r="M886" s="6"/>
      <c r="N886" s="6"/>
      <c r="O886" s="3" t="s">
        <v>184</v>
      </c>
      <c r="P886" s="6"/>
      <c r="Q886" s="3"/>
      <c r="R886" s="3"/>
      <c r="S886" s="6"/>
      <c r="T886" s="3"/>
      <c r="U886" s="7"/>
      <c r="V886" s="6"/>
      <c r="W886" s="3"/>
      <c r="X886" s="6"/>
      <c r="Y886" s="6"/>
      <c r="Z886" s="3"/>
      <c r="AA886" s="3"/>
      <c r="AB886" s="6"/>
      <c r="AC886" s="3"/>
      <c r="AD886" s="3"/>
      <c r="AE886" s="6"/>
      <c r="AF886" s="3"/>
      <c r="AG886" s="3" t="s">
        <v>2080</v>
      </c>
      <c r="AH886" s="6"/>
      <c r="AI886" s="3"/>
      <c r="AJ886" s="1">
        <v>46135</v>
      </c>
      <c r="AK886" s="6"/>
      <c r="AL886" s="3"/>
      <c r="AM886" s="6">
        <v>0</v>
      </c>
      <c r="AN886" s="6"/>
      <c r="AO886" s="3"/>
      <c r="AP886" s="3" t="s">
        <v>2486</v>
      </c>
      <c r="AQ886" s="6"/>
      <c r="AR886" s="3"/>
      <c r="AS886" s="3" t="s">
        <v>2487</v>
      </c>
      <c r="AT886" s="6"/>
      <c r="AU886" s="3"/>
      <c r="AV886" s="3"/>
      <c r="AW886" s="6"/>
      <c r="AX886" s="3"/>
      <c r="AY886" s="7"/>
      <c r="AZ886" s="6"/>
      <c r="BA886" s="3"/>
      <c r="BB886" s="6"/>
      <c r="BC886" s="6"/>
      <c r="BD886" s="3"/>
      <c r="BE886" s="3"/>
      <c r="BF886" s="6"/>
      <c r="BG886" s="3"/>
      <c r="BH886" s="3"/>
      <c r="BI886" s="6"/>
      <c r="BJ886" s="3"/>
      <c r="BK886" s="3"/>
      <c r="BL886" s="6"/>
      <c r="BM886" s="3"/>
      <c r="BN886" s="7"/>
      <c r="BO886" s="6"/>
      <c r="BP886" s="3"/>
      <c r="BQ886" s="6"/>
      <c r="BR886" s="6"/>
      <c r="BS886" s="3"/>
      <c r="BT886" s="3"/>
      <c r="BU886" s="6"/>
      <c r="BV886" s="3"/>
      <c r="BW886" s="3"/>
      <c r="BX886" s="6"/>
      <c r="BY886" s="3"/>
      <c r="BZ886" s="3"/>
      <c r="CA886" s="6"/>
      <c r="CB886" s="3"/>
      <c r="CC886" s="7"/>
      <c r="CD886" s="6"/>
      <c r="CE886" s="3"/>
      <c r="CF886" s="6"/>
      <c r="CG886" s="6"/>
      <c r="CH886" s="3"/>
      <c r="CI886" s="3"/>
      <c r="CJ886" s="6"/>
      <c r="CK886" s="3"/>
      <c r="CL886" s="3"/>
      <c r="CM886" s="6"/>
      <c r="CN886" s="3"/>
      <c r="CO886" s="3"/>
      <c r="CP886" s="6"/>
      <c r="CQ886" s="3"/>
      <c r="CR886" s="7"/>
      <c r="CS886" s="6"/>
      <c r="CT886" s="3"/>
      <c r="CU886" s="6"/>
      <c r="CV886" s="6"/>
      <c r="CW886" s="3"/>
      <c r="CX886" s="3"/>
      <c r="CY886" s="6"/>
      <c r="CZ886" s="3"/>
      <c r="DA886" s="3"/>
      <c r="DB886" s="6"/>
      <c r="DC886" s="3"/>
      <c r="DD886" s="3"/>
      <c r="DE886" s="6"/>
      <c r="DF886" s="3"/>
      <c r="DG886" s="7"/>
      <c r="DH886" s="6"/>
      <c r="DI886" s="3"/>
      <c r="DJ886" s="6"/>
      <c r="DK886" s="6"/>
      <c r="DL886" s="3"/>
      <c r="DM886" s="3"/>
      <c r="DN886" s="6"/>
      <c r="DO886" s="3"/>
      <c r="DP886" s="3"/>
      <c r="DQ886" s="6"/>
      <c r="DR886" s="3"/>
      <c r="DS886" s="3" t="str">
        <f>_xlfn.XLOOKUP(OfficeForms.Table[[#This Row],[Selecione a Categoria do Laboratório desta atividade prática:]],Planilha1!A:A,Planilha1!B:B)</f>
        <v>EMF-ISN</v>
      </c>
      <c r="DT886" s="6" t="str">
        <f>CONCATENATE(OfficeForms.Table[[#This Row],[Selecione seu Polo Laboratório de Atividades Presenciais:]],OfficeForms.Table[[#This Row],[CHAVE CONVERSÃO]])</f>
        <v>Porto Velho/RO - Distrito de ExtremaEMF-ISN</v>
      </c>
      <c r="DU88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no período gravídico-puerperal</v>
      </c>
      <c r="DV88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46135</v>
      </c>
      <c r="DW88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86" s="6" t="str">
        <f>_xlfn.XLOOKUP(OfficeForms.Table[[#This Row],[CHAVE LINK POLO]],'[1]Quadro Geral de Lotação'!$B:$B,'[1]Quadro Geral de Lotação'!$I:$I)</f>
        <v>Raul Dos Santos Aguirre</v>
      </c>
      <c r="DY886" s="6" t="str">
        <f>OfficeForms.Table[[#This Row],[Selecione a Ordem de Disciplina]]</f>
        <v>Ordem 3</v>
      </c>
    </row>
    <row r="887" spans="1:129" ht="34.15" customHeight="1">
      <c r="A887" s="6">
        <v>887</v>
      </c>
      <c r="B887" s="2">
        <v>46136.503125000003</v>
      </c>
      <c r="C887" s="2">
        <v>46136.504479166702</v>
      </c>
      <c r="D887" s="3" t="s">
        <v>1973</v>
      </c>
      <c r="E887" s="3" t="s">
        <v>1974</v>
      </c>
      <c r="F887" s="6"/>
      <c r="G887" s="3"/>
      <c r="I887" s="3" t="s">
        <v>1975</v>
      </c>
      <c r="J887" s="6"/>
      <c r="K887" s="3"/>
      <c r="L887" s="6" t="s">
        <v>1325</v>
      </c>
      <c r="M887" s="6"/>
      <c r="N887" s="6"/>
      <c r="O887" s="3" t="s">
        <v>184</v>
      </c>
      <c r="P887" s="6"/>
      <c r="Q887" s="3"/>
      <c r="R887" s="3"/>
      <c r="S887" s="6"/>
      <c r="T887" s="3"/>
      <c r="U887" s="7"/>
      <c r="V887" s="6"/>
      <c r="W887" s="3"/>
      <c r="X887" s="6"/>
      <c r="Y887" s="6"/>
      <c r="Z887" s="3"/>
      <c r="AA887" s="3"/>
      <c r="AB887" s="6"/>
      <c r="AC887" s="3"/>
      <c r="AD887" s="3"/>
      <c r="AE887" s="6"/>
      <c r="AF887" s="3"/>
      <c r="AG887" s="3" t="s">
        <v>2254</v>
      </c>
      <c r="AH887" s="6"/>
      <c r="AI887" s="3"/>
      <c r="AJ887" s="1">
        <v>46135</v>
      </c>
      <c r="AK887" s="6"/>
      <c r="AL887" s="3"/>
      <c r="AM887" s="6">
        <v>0</v>
      </c>
      <c r="AN887" s="6"/>
      <c r="AO887" s="3"/>
      <c r="AP887" s="3" t="s">
        <v>2488</v>
      </c>
      <c r="AQ887" s="6"/>
      <c r="AR887" s="3"/>
      <c r="AS887" s="3" t="s">
        <v>2489</v>
      </c>
      <c r="AT887" s="6"/>
      <c r="AU887" s="3"/>
      <c r="AV887" s="3"/>
      <c r="AW887" s="6"/>
      <c r="AX887" s="3"/>
      <c r="AY887" s="7"/>
      <c r="AZ887" s="6"/>
      <c r="BA887" s="3"/>
      <c r="BB887" s="6"/>
      <c r="BC887" s="6"/>
      <c r="BD887" s="3"/>
      <c r="BE887" s="3"/>
      <c r="BF887" s="6"/>
      <c r="BG887" s="3"/>
      <c r="BH887" s="3"/>
      <c r="BI887" s="6"/>
      <c r="BJ887" s="3"/>
      <c r="BK887" s="3"/>
      <c r="BL887" s="6"/>
      <c r="BM887" s="3"/>
      <c r="BN887" s="7"/>
      <c r="BO887" s="6"/>
      <c r="BP887" s="3"/>
      <c r="BQ887" s="6"/>
      <c r="BR887" s="6"/>
      <c r="BS887" s="3"/>
      <c r="BT887" s="3"/>
      <c r="BU887" s="6"/>
      <c r="BV887" s="3"/>
      <c r="BW887" s="3"/>
      <c r="BX887" s="6"/>
      <c r="BY887" s="3"/>
      <c r="BZ887" s="3"/>
      <c r="CA887" s="6"/>
      <c r="CB887" s="3"/>
      <c r="CC887" s="7"/>
      <c r="CD887" s="6"/>
      <c r="CE887" s="3"/>
      <c r="CF887" s="6"/>
      <c r="CG887" s="6"/>
      <c r="CH887" s="3"/>
      <c r="CI887" s="3"/>
      <c r="CJ887" s="6"/>
      <c r="CK887" s="3"/>
      <c r="CL887" s="3"/>
      <c r="CM887" s="6"/>
      <c r="CN887" s="3"/>
      <c r="CO887" s="3"/>
      <c r="CP887" s="6"/>
      <c r="CQ887" s="3"/>
      <c r="CR887" s="7"/>
      <c r="CS887" s="6"/>
      <c r="CT887" s="3"/>
      <c r="CU887" s="6"/>
      <c r="CV887" s="6"/>
      <c r="CW887" s="3"/>
      <c r="CX887" s="3"/>
      <c r="CY887" s="6"/>
      <c r="CZ887" s="3"/>
      <c r="DA887" s="3"/>
      <c r="DB887" s="6"/>
      <c r="DC887" s="3"/>
      <c r="DD887" s="3"/>
      <c r="DE887" s="6"/>
      <c r="DF887" s="3"/>
      <c r="DG887" s="7"/>
      <c r="DH887" s="6"/>
      <c r="DI887" s="3"/>
      <c r="DJ887" s="6"/>
      <c r="DK887" s="6"/>
      <c r="DL887" s="3"/>
      <c r="DM887" s="3"/>
      <c r="DN887" s="6"/>
      <c r="DO887" s="3"/>
      <c r="DP887" s="3"/>
      <c r="DQ887" s="6"/>
      <c r="DR887" s="3"/>
      <c r="DS887" s="3" t="str">
        <f>_xlfn.XLOOKUP(OfficeForms.Table[[#This Row],[Selecione a Categoria do Laboratório desta atividade prática:]],Planilha1!A:A,Planilha1!B:B)</f>
        <v>EMF-ISN</v>
      </c>
      <c r="DT887" s="6" t="str">
        <f>CONCATENATE(OfficeForms.Table[[#This Row],[Selecione seu Polo Laboratório de Atividades Presenciais:]],OfficeForms.Table[[#This Row],[CHAVE CONVERSÃO]])</f>
        <v>Porto Velho/RO - Distrito de ExtremaEMF-ISN</v>
      </c>
      <c r="DU88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Saúde da mulher reprodutiva + Realização do exame de Papanicolau</v>
      </c>
      <c r="DV88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46135</v>
      </c>
      <c r="DW88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87" s="6" t="str">
        <f>_xlfn.XLOOKUP(OfficeForms.Table[[#This Row],[CHAVE LINK POLO]],'[1]Quadro Geral de Lotação'!$B:$B,'[1]Quadro Geral de Lotação'!$I:$I)</f>
        <v>Raul Dos Santos Aguirre</v>
      </c>
      <c r="DY887" s="6" t="str">
        <f>OfficeForms.Table[[#This Row],[Selecione a Ordem de Disciplina]]</f>
        <v>Ordem 3</v>
      </c>
    </row>
    <row r="888" spans="1:129" ht="34.15" customHeight="1">
      <c r="A888" s="6">
        <v>888</v>
      </c>
      <c r="B888" s="2">
        <v>46136.499467592599</v>
      </c>
      <c r="C888" s="2">
        <v>46136.5098842593</v>
      </c>
      <c r="D888" s="3" t="s">
        <v>2490</v>
      </c>
      <c r="E888" s="3" t="s">
        <v>2491</v>
      </c>
      <c r="F888" s="6"/>
      <c r="G888" s="3"/>
      <c r="I888" s="3" t="s">
        <v>131</v>
      </c>
      <c r="J888" s="6"/>
      <c r="K888" s="3"/>
      <c r="L888" s="6" t="s">
        <v>1325</v>
      </c>
      <c r="M888" s="6"/>
      <c r="N888" s="6"/>
      <c r="O888" s="3" t="s">
        <v>497</v>
      </c>
      <c r="P888" s="6"/>
      <c r="Q888" s="3"/>
      <c r="R888" s="3" t="s">
        <v>2492</v>
      </c>
      <c r="S888" s="6"/>
      <c r="T888" s="3"/>
      <c r="U888" s="7">
        <v>46128</v>
      </c>
      <c r="V888" s="6"/>
      <c r="W888" s="3"/>
      <c r="X888" s="6">
        <v>0</v>
      </c>
      <c r="Y888" s="6"/>
      <c r="Z888" s="3"/>
      <c r="AA888" s="3" t="s">
        <v>2493</v>
      </c>
      <c r="AB888" s="6"/>
      <c r="AC888" s="3"/>
      <c r="AD888" s="3" t="s">
        <v>2494</v>
      </c>
      <c r="AE888" s="6"/>
      <c r="AF888" s="3"/>
      <c r="AG888" s="3"/>
      <c r="AH888" s="6"/>
      <c r="AI888" s="3"/>
      <c r="AJ888" s="1"/>
      <c r="AK888" s="6"/>
      <c r="AL888" s="3"/>
      <c r="AM888" s="6"/>
      <c r="AN888" s="6"/>
      <c r="AO888" s="3"/>
      <c r="AP888" s="3"/>
      <c r="AQ888" s="6"/>
      <c r="AR888" s="3"/>
      <c r="AS888" s="3"/>
      <c r="AT888" s="6"/>
      <c r="AU888" s="3"/>
      <c r="AV888" s="3"/>
      <c r="AW888" s="6"/>
      <c r="AX888" s="3"/>
      <c r="AY888" s="7"/>
      <c r="AZ888" s="6"/>
      <c r="BA888" s="3"/>
      <c r="BB888" s="6"/>
      <c r="BC888" s="6"/>
      <c r="BD888" s="3"/>
      <c r="BE888" s="3"/>
      <c r="BF888" s="6"/>
      <c r="BG888" s="3"/>
      <c r="BH888" s="3"/>
      <c r="BI888" s="6"/>
      <c r="BJ888" s="3"/>
      <c r="BK888" s="3"/>
      <c r="BL888" s="6"/>
      <c r="BM888" s="3"/>
      <c r="BN888" s="7"/>
      <c r="BO888" s="6"/>
      <c r="BP888" s="3"/>
      <c r="BQ888" s="6"/>
      <c r="BR888" s="6"/>
      <c r="BS888" s="3"/>
      <c r="BT888" s="3"/>
      <c r="BU888" s="6"/>
      <c r="BV888" s="3"/>
      <c r="BW888" s="3"/>
      <c r="BX888" s="6"/>
      <c r="BY888" s="3"/>
      <c r="BZ888" s="3"/>
      <c r="CA888" s="6"/>
      <c r="CB888" s="3"/>
      <c r="CC888" s="7"/>
      <c r="CD888" s="6"/>
      <c r="CE888" s="3"/>
      <c r="CF888" s="6"/>
      <c r="CG888" s="6"/>
      <c r="CH888" s="3"/>
      <c r="CI888" s="3"/>
      <c r="CJ888" s="6"/>
      <c r="CK888" s="3"/>
      <c r="CL888" s="3"/>
      <c r="CM888" s="6"/>
      <c r="CN888" s="3"/>
      <c r="CO888" s="3"/>
      <c r="CP888" s="6"/>
      <c r="CQ888" s="3"/>
      <c r="CR888" s="7"/>
      <c r="CS888" s="6"/>
      <c r="CT888" s="3"/>
      <c r="CU888" s="6"/>
      <c r="CV888" s="6"/>
      <c r="CW888" s="3"/>
      <c r="CX888" s="3"/>
      <c r="CY888" s="6"/>
      <c r="CZ888" s="3"/>
      <c r="DA888" s="3"/>
      <c r="DB888" s="6"/>
      <c r="DC888" s="3"/>
      <c r="DD888" s="3"/>
      <c r="DE888" s="6"/>
      <c r="DF888" s="3"/>
      <c r="DG888" s="7"/>
      <c r="DH888" s="6"/>
      <c r="DI888" s="3"/>
      <c r="DJ888" s="6"/>
      <c r="DK888" s="6"/>
      <c r="DL888" s="3"/>
      <c r="DM888" s="3"/>
      <c r="DN888" s="6"/>
      <c r="DO888" s="3"/>
      <c r="DP888" s="3"/>
      <c r="DQ888" s="6"/>
      <c r="DR888" s="3"/>
      <c r="DS888" s="3" t="str">
        <f>_xlfn.XLOOKUP(OfficeForms.Table[[#This Row],[Selecione a Categoria do Laboratório desta atividade prática:]],Planilha1!A:A,Planilha1!B:B)</f>
        <v>BFR-BBI</v>
      </c>
      <c r="DT888" s="6" t="str">
        <f>CONCATENATE(OfficeForms.Table[[#This Row],[Selecione seu Polo Laboratório de Atividades Presenciais:]],OfficeForms.Table[[#This Row],[CHAVE CONVERSÃO]])</f>
        <v>Guarujá/SPBFR-BBI</v>
      </c>
      <c r="DU88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Contagem diferencial de leucócitos;Velocidade de Hemossedimentação</v>
      </c>
      <c r="DV88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46128</v>
      </c>
      <c r="DW88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88" s="6" t="e">
        <f>_xlfn.XLOOKUP(OfficeForms.Table[[#This Row],[CHAVE LINK POLO]],'[1]Quadro Geral de Lotação'!$B:$B,'[1]Quadro Geral de Lotação'!$I:$I)</f>
        <v>#N/A</v>
      </c>
      <c r="DY888" s="6" t="str">
        <f>OfficeForms.Table[[#This Row],[Selecione a Ordem de Disciplina]]</f>
        <v>Ordem 3</v>
      </c>
    </row>
    <row r="889" spans="1:129" ht="34.15" customHeight="1">
      <c r="A889" s="6">
        <v>889</v>
      </c>
      <c r="B889" s="2">
        <v>46136.516354166699</v>
      </c>
      <c r="C889" s="2">
        <v>46136.517939814803</v>
      </c>
      <c r="D889" s="3" t="s">
        <v>2490</v>
      </c>
      <c r="E889" s="3" t="s">
        <v>2491</v>
      </c>
      <c r="F889" s="6"/>
      <c r="G889" s="3"/>
      <c r="I889" s="3" t="s">
        <v>131</v>
      </c>
      <c r="J889" s="6"/>
      <c r="K889" s="3"/>
      <c r="L889" s="6" t="s">
        <v>1325</v>
      </c>
      <c r="M889" s="6"/>
      <c r="N889" s="6"/>
      <c r="O889" s="3" t="s">
        <v>497</v>
      </c>
      <c r="P889" s="6"/>
      <c r="Q889" s="3"/>
      <c r="R889" s="3" t="s">
        <v>2476</v>
      </c>
      <c r="S889" s="6"/>
      <c r="T889" s="3"/>
      <c r="U889" s="7">
        <v>46135</v>
      </c>
      <c r="V889" s="6"/>
      <c r="W889" s="3"/>
      <c r="X889" s="6">
        <v>2</v>
      </c>
      <c r="Y889" s="6"/>
      <c r="Z889" s="3"/>
      <c r="AA889" s="3" t="s">
        <v>2495</v>
      </c>
      <c r="AB889" s="6"/>
      <c r="AC889" s="3"/>
      <c r="AD889" s="3" t="s">
        <v>2496</v>
      </c>
      <c r="AE889" s="6"/>
      <c r="AF889" s="3"/>
      <c r="AG889" s="3"/>
      <c r="AH889" s="6"/>
      <c r="AI889" s="3"/>
      <c r="AJ889" s="1"/>
      <c r="AK889" s="6"/>
      <c r="AL889" s="3"/>
      <c r="AM889" s="6"/>
      <c r="AN889" s="6"/>
      <c r="AO889" s="3"/>
      <c r="AP889" s="3"/>
      <c r="AQ889" s="6"/>
      <c r="AR889" s="3"/>
      <c r="AS889" s="3"/>
      <c r="AT889" s="6"/>
      <c r="AU889" s="3"/>
      <c r="AV889" s="3"/>
      <c r="AW889" s="6"/>
      <c r="AX889" s="3"/>
      <c r="AY889" s="7"/>
      <c r="AZ889" s="6"/>
      <c r="BA889" s="3"/>
      <c r="BB889" s="6"/>
      <c r="BC889" s="6"/>
      <c r="BD889" s="3"/>
      <c r="BE889" s="3"/>
      <c r="BF889" s="6"/>
      <c r="BG889" s="3"/>
      <c r="BH889" s="3"/>
      <c r="BI889" s="6"/>
      <c r="BJ889" s="3"/>
      <c r="BK889" s="3"/>
      <c r="BL889" s="6"/>
      <c r="BM889" s="3"/>
      <c r="BN889" s="7"/>
      <c r="BO889" s="6"/>
      <c r="BP889" s="3"/>
      <c r="BQ889" s="6"/>
      <c r="BR889" s="6"/>
      <c r="BS889" s="3"/>
      <c r="BT889" s="3"/>
      <c r="BU889" s="6"/>
      <c r="BV889" s="3"/>
      <c r="BW889" s="3"/>
      <c r="BX889" s="6"/>
      <c r="BY889" s="3"/>
      <c r="BZ889" s="3"/>
      <c r="CA889" s="6"/>
      <c r="CB889" s="3"/>
      <c r="CC889" s="7"/>
      <c r="CD889" s="6"/>
      <c r="CE889" s="3"/>
      <c r="CF889" s="6"/>
      <c r="CG889" s="6"/>
      <c r="CH889" s="3"/>
      <c r="CI889" s="3"/>
      <c r="CJ889" s="6"/>
      <c r="CK889" s="3"/>
      <c r="CL889" s="3"/>
      <c r="CM889" s="6"/>
      <c r="CN889" s="3"/>
      <c r="CO889" s="3"/>
      <c r="CP889" s="6"/>
      <c r="CQ889" s="3"/>
      <c r="CR889" s="7"/>
      <c r="CS889" s="6"/>
      <c r="CT889" s="3"/>
      <c r="CU889" s="6"/>
      <c r="CV889" s="6"/>
      <c r="CW889" s="3"/>
      <c r="CX889" s="3"/>
      <c r="CY889" s="6"/>
      <c r="CZ889" s="3"/>
      <c r="DA889" s="3"/>
      <c r="DB889" s="6"/>
      <c r="DC889" s="3"/>
      <c r="DD889" s="3"/>
      <c r="DE889" s="6"/>
      <c r="DF889" s="3"/>
      <c r="DG889" s="7"/>
      <c r="DH889" s="6"/>
      <c r="DI889" s="3"/>
      <c r="DJ889" s="6"/>
      <c r="DK889" s="6"/>
      <c r="DL889" s="3"/>
      <c r="DM889" s="3"/>
      <c r="DN889" s="6"/>
      <c r="DO889" s="3"/>
      <c r="DP889" s="3"/>
      <c r="DQ889" s="6"/>
      <c r="DR889" s="3"/>
      <c r="DS889" s="3" t="str">
        <f>_xlfn.XLOOKUP(OfficeForms.Table[[#This Row],[Selecione a Categoria do Laboratório desta atividade prática:]],Planilha1!A:A,Planilha1!B:B)</f>
        <v>BFR-BBI</v>
      </c>
      <c r="DT889" s="6" t="str">
        <f>CONCATENATE(OfficeForms.Table[[#This Row],[Selecione seu Polo Laboratório de Atividades Presenciais:]],OfficeForms.Table[[#This Row],[CHAVE CONVERSÃO]])</f>
        <v>Guarujá/SPBFR-BBI</v>
      </c>
      <c r="DU88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Análise macro e micromorfológica de fungos leveduriformes;Análise à fresco (exame direto) de fungos dermatófitos e leveduras</v>
      </c>
      <c r="DV88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46135</v>
      </c>
      <c r="DW88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89" s="6" t="e">
        <f>_xlfn.XLOOKUP(OfficeForms.Table[[#This Row],[CHAVE LINK POLO]],'[1]Quadro Geral de Lotação'!$B:$B,'[1]Quadro Geral de Lotação'!$I:$I)</f>
        <v>#N/A</v>
      </c>
      <c r="DY889" s="6" t="str">
        <f>OfficeForms.Table[[#This Row],[Selecione a Ordem de Disciplina]]</f>
        <v>Ordem 3</v>
      </c>
    </row>
    <row r="890" spans="1:129" ht="34.15" customHeight="1">
      <c r="A890" s="6">
        <v>890</v>
      </c>
      <c r="B890" s="2">
        <v>46136.578148148197</v>
      </c>
      <c r="C890" s="2">
        <v>46136.580219907402</v>
      </c>
      <c r="D890" s="3" t="s">
        <v>168</v>
      </c>
      <c r="E890" s="3" t="s">
        <v>169</v>
      </c>
      <c r="F890" s="6"/>
      <c r="G890" s="3"/>
      <c r="I890" s="3" t="s">
        <v>170</v>
      </c>
      <c r="J890" s="6"/>
      <c r="K890" s="3"/>
      <c r="L890" s="6" t="s">
        <v>1325</v>
      </c>
      <c r="M890" s="6"/>
      <c r="N890" s="6"/>
      <c r="O890" s="3" t="s">
        <v>133</v>
      </c>
      <c r="P890" s="6"/>
      <c r="Q890" s="3"/>
      <c r="R890" s="3"/>
      <c r="S890" s="6"/>
      <c r="T890" s="3"/>
      <c r="U890" s="7"/>
      <c r="V890" s="6"/>
      <c r="W890" s="3"/>
      <c r="X890" s="6"/>
      <c r="Y890" s="6"/>
      <c r="Z890" s="3"/>
      <c r="AA890" s="3"/>
      <c r="AB890" s="6"/>
      <c r="AC890" s="3"/>
      <c r="AD890" s="3"/>
      <c r="AE890" s="6"/>
      <c r="AF890" s="3"/>
      <c r="AG890" s="3"/>
      <c r="AH890" s="6"/>
      <c r="AI890" s="3"/>
      <c r="AJ890" s="1"/>
      <c r="AK890" s="6"/>
      <c r="AL890" s="3"/>
      <c r="AM890" s="6"/>
      <c r="AN890" s="6"/>
      <c r="AO890" s="3"/>
      <c r="AP890" s="3"/>
      <c r="AQ890" s="6"/>
      <c r="AR890" s="3"/>
      <c r="AS890" s="3"/>
      <c r="AT890" s="6"/>
      <c r="AU890" s="3"/>
      <c r="AV890" s="3" t="s">
        <v>2497</v>
      </c>
      <c r="AW890" s="6"/>
      <c r="AX890" s="3"/>
      <c r="AY890" s="7">
        <v>46135</v>
      </c>
      <c r="AZ890" s="6"/>
      <c r="BA890" s="3"/>
      <c r="BB890" s="6">
        <v>3</v>
      </c>
      <c r="BC890" s="6"/>
      <c r="BD890" s="3"/>
      <c r="BE890" s="3" t="s">
        <v>2498</v>
      </c>
      <c r="BF890" s="6"/>
      <c r="BG890" s="3"/>
      <c r="BH890" s="3" t="s">
        <v>2499</v>
      </c>
      <c r="BI890" s="6"/>
      <c r="BJ890" s="3"/>
      <c r="BK890" s="3"/>
      <c r="BL890" s="6"/>
      <c r="BM890" s="3"/>
      <c r="BN890" s="7"/>
      <c r="BO890" s="6"/>
      <c r="BP890" s="3"/>
      <c r="BQ890" s="6"/>
      <c r="BR890" s="6"/>
      <c r="BS890" s="3"/>
      <c r="BT890" s="3"/>
      <c r="BU890" s="6"/>
      <c r="BV890" s="3"/>
      <c r="BW890" s="3"/>
      <c r="BX890" s="6"/>
      <c r="BY890" s="3"/>
      <c r="BZ890" s="3"/>
      <c r="CA890" s="6"/>
      <c r="CB890" s="3"/>
      <c r="CC890" s="7"/>
      <c r="CD890" s="6"/>
      <c r="CE890" s="3"/>
      <c r="CF890" s="6"/>
      <c r="CG890" s="6"/>
      <c r="CH890" s="3"/>
      <c r="CI890" s="3"/>
      <c r="CJ890" s="6"/>
      <c r="CK890" s="3"/>
      <c r="CL890" s="3"/>
      <c r="CM890" s="6"/>
      <c r="CN890" s="3"/>
      <c r="CO890" s="3"/>
      <c r="CP890" s="6"/>
      <c r="CQ890" s="3"/>
      <c r="CR890" s="7"/>
      <c r="CS890" s="6"/>
      <c r="CT890" s="3"/>
      <c r="CU890" s="6"/>
      <c r="CV890" s="6"/>
      <c r="CW890" s="3"/>
      <c r="CX890" s="3"/>
      <c r="CY890" s="6"/>
      <c r="CZ890" s="3"/>
      <c r="DA890" s="3"/>
      <c r="DB890" s="6"/>
      <c r="DC890" s="3"/>
      <c r="DD890" s="3"/>
      <c r="DE890" s="6"/>
      <c r="DF890" s="3"/>
      <c r="DG890" s="7"/>
      <c r="DH890" s="6"/>
      <c r="DI890" s="3"/>
      <c r="DJ890" s="6"/>
      <c r="DK890" s="6"/>
      <c r="DL890" s="3"/>
      <c r="DM890" s="3"/>
      <c r="DN890" s="6"/>
      <c r="DO890" s="3"/>
      <c r="DP890" s="3"/>
      <c r="DQ890" s="6"/>
      <c r="DR890" s="3"/>
      <c r="DS890" s="3" t="str">
        <f>_xlfn.XLOOKUP(OfficeForms.Table[[#This Row],[Selecione a Categoria do Laboratório desta atividade prática:]],Planilha1!A:A,Planilha1!B:B)</f>
        <v>BFI</v>
      </c>
      <c r="DT890" s="6" t="str">
        <f>CONCATENATE(OfficeForms.Table[[#This Row],[Selecione seu Polo Laboratório de Atividades Presenciais:]],OfficeForms.Table[[#This Row],[CHAVE CONVERSÃO]])</f>
        <v>Paulo Afonso/BA - Tancredo Neves IIBFI</v>
      </c>
      <c r="DU89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Avaliação Infantil;Circuito de  Intervenções Fisioterapêuticas em Pediatria</v>
      </c>
      <c r="DV89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46135</v>
      </c>
      <c r="DW89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</v>
      </c>
      <c r="DX890" s="6" t="str">
        <f>_xlfn.XLOOKUP(OfficeForms.Table[[#This Row],[CHAVE LINK POLO]],'[1]Quadro Geral de Lotação'!$B:$B,'[1]Quadro Geral de Lotação'!$I:$I)</f>
        <v>Vanessa Das Neves Varjao</v>
      </c>
      <c r="DY890" s="6" t="str">
        <f>OfficeForms.Table[[#This Row],[Selecione a Ordem de Disciplina]]</f>
        <v>Ordem 3</v>
      </c>
    </row>
    <row r="891" spans="1:129" ht="34.15" customHeight="1">
      <c r="A891" s="6">
        <v>891</v>
      </c>
      <c r="B891" s="2">
        <v>46136.648877314801</v>
      </c>
      <c r="C891" s="2">
        <v>46136.650046296301</v>
      </c>
      <c r="D891" s="3" t="s">
        <v>526</v>
      </c>
      <c r="E891" s="3" t="s">
        <v>527</v>
      </c>
      <c r="F891" s="6"/>
      <c r="G891" s="3"/>
      <c r="I891" s="3" t="s">
        <v>528</v>
      </c>
      <c r="J891" s="6"/>
      <c r="K891" s="3"/>
      <c r="L891" s="6" t="s">
        <v>710</v>
      </c>
      <c r="M891" s="6"/>
      <c r="N891" s="6"/>
      <c r="O891" s="3" t="s">
        <v>184</v>
      </c>
      <c r="P891" s="6"/>
      <c r="Q891" s="3"/>
      <c r="R891" s="3"/>
      <c r="S891" s="6"/>
      <c r="T891" s="3"/>
      <c r="U891" s="7"/>
      <c r="V891" s="6"/>
      <c r="W891" s="3"/>
      <c r="X891" s="6"/>
      <c r="Y891" s="6"/>
      <c r="Z891" s="3"/>
      <c r="AA891" s="3"/>
      <c r="AB891" s="6"/>
      <c r="AC891" s="3"/>
      <c r="AD891" s="3"/>
      <c r="AE891" s="6"/>
      <c r="AF891" s="3"/>
      <c r="AG891" s="3" t="s">
        <v>2500</v>
      </c>
      <c r="AH891" s="6"/>
      <c r="AI891" s="3"/>
      <c r="AJ891" s="1">
        <v>46134</v>
      </c>
      <c r="AK891" s="6"/>
      <c r="AL891" s="3"/>
      <c r="AM891" s="6">
        <v>2</v>
      </c>
      <c r="AN891" s="6"/>
      <c r="AO891" s="3"/>
      <c r="AP891" s="3" t="s">
        <v>2501</v>
      </c>
      <c r="AQ891" s="6"/>
      <c r="AR891" s="3"/>
      <c r="AS891" s="3" t="s">
        <v>2502</v>
      </c>
      <c r="AT891" s="6"/>
      <c r="AU891" s="3"/>
      <c r="AV891" s="3"/>
      <c r="AW891" s="6"/>
      <c r="AX891" s="3"/>
      <c r="AY891" s="7"/>
      <c r="AZ891" s="6"/>
      <c r="BA891" s="3"/>
      <c r="BB891" s="6"/>
      <c r="BC891" s="6"/>
      <c r="BD891" s="3"/>
      <c r="BE891" s="3"/>
      <c r="BF891" s="6"/>
      <c r="BG891" s="3"/>
      <c r="BH891" s="3"/>
      <c r="BI891" s="6"/>
      <c r="BJ891" s="3"/>
      <c r="BK891" s="3"/>
      <c r="BL891" s="6"/>
      <c r="BM891" s="3"/>
      <c r="BN891" s="7"/>
      <c r="BO891" s="6"/>
      <c r="BP891" s="3"/>
      <c r="BQ891" s="6"/>
      <c r="BR891" s="6"/>
      <c r="BS891" s="3"/>
      <c r="BT891" s="3"/>
      <c r="BU891" s="6"/>
      <c r="BV891" s="3"/>
      <c r="BW891" s="3"/>
      <c r="BX891" s="6"/>
      <c r="BY891" s="3"/>
      <c r="BZ891" s="3"/>
      <c r="CA891" s="6"/>
      <c r="CB891" s="3"/>
      <c r="CC891" s="7"/>
      <c r="CD891" s="6"/>
      <c r="CE891" s="3"/>
      <c r="CF891" s="6"/>
      <c r="CG891" s="6"/>
      <c r="CH891" s="3"/>
      <c r="CI891" s="3"/>
      <c r="CJ891" s="6"/>
      <c r="CK891" s="3"/>
      <c r="CL891" s="3"/>
      <c r="CM891" s="6"/>
      <c r="CN891" s="3"/>
      <c r="CO891" s="3"/>
      <c r="CP891" s="6"/>
      <c r="CQ891" s="3"/>
      <c r="CR891" s="7"/>
      <c r="CS891" s="6"/>
      <c r="CT891" s="3"/>
      <c r="CU891" s="6"/>
      <c r="CV891" s="6"/>
      <c r="CW891" s="3"/>
      <c r="CX891" s="3"/>
      <c r="CY891" s="6"/>
      <c r="CZ891" s="3"/>
      <c r="DA891" s="3"/>
      <c r="DB891" s="6"/>
      <c r="DC891" s="3"/>
      <c r="DD891" s="3"/>
      <c r="DE891" s="6"/>
      <c r="DF891" s="3"/>
      <c r="DG891" s="7"/>
      <c r="DH891" s="6"/>
      <c r="DI891" s="3"/>
      <c r="DJ891" s="6"/>
      <c r="DK891" s="6"/>
      <c r="DL891" s="3"/>
      <c r="DM891" s="3"/>
      <c r="DN891" s="6"/>
      <c r="DO891" s="3"/>
      <c r="DP891" s="3"/>
      <c r="DQ891" s="6"/>
      <c r="DR891" s="3"/>
      <c r="DS891" s="3" t="str">
        <f>_xlfn.XLOOKUP(OfficeForms.Table[[#This Row],[Selecione a Categoria do Laboratório desta atividade prática:]],Planilha1!A:A,Planilha1!B:B)</f>
        <v>EMF-ISN</v>
      </c>
      <c r="DT891" s="6" t="str">
        <f>CONCATENATE(OfficeForms.Table[[#This Row],[Selecione seu Polo Laboratório de Atividades Presenciais:]],OfficeForms.Table[[#This Row],[CHAVE CONVERSÃO]])</f>
        <v>Sinop/MTEMF-ISN</v>
      </c>
      <c r="DU89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Consulta de enfermagem no pré-natal de baixo risco + Administração de medicamento pela via intramuscular;Saúde da mulher no período gravídico-puerperal;Saúde da mulher reprodutiva + Realização do exame de Papanicolau</v>
      </c>
      <c r="DV89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9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91" s="6" t="str">
        <f>_xlfn.XLOOKUP(OfficeForms.Table[[#This Row],[CHAVE LINK POLO]],'[1]Quadro Geral de Lotação'!$B:$B,'[1]Quadro Geral de Lotação'!$I:$I)</f>
        <v>Sara Jane Amann</v>
      </c>
      <c r="DY891" s="6" t="str">
        <f>OfficeForms.Table[[#This Row],[Selecione a Ordem de Disciplina]]</f>
        <v>Ordem 5</v>
      </c>
    </row>
    <row r="892" spans="1:129" ht="34.15" customHeight="1">
      <c r="A892" s="6">
        <v>892</v>
      </c>
      <c r="B892" s="2">
        <v>46136.710914351803</v>
      </c>
      <c r="C892" s="2">
        <v>46136.723217592596</v>
      </c>
      <c r="D892" s="3" t="s">
        <v>658</v>
      </c>
      <c r="E892" s="3" t="s">
        <v>659</v>
      </c>
      <c r="F892" s="6"/>
      <c r="G892" s="3"/>
      <c r="I892" s="3" t="s">
        <v>308</v>
      </c>
      <c r="J892" s="6"/>
      <c r="K892" s="3"/>
      <c r="L892" s="6" t="s">
        <v>678</v>
      </c>
      <c r="M892" s="6"/>
      <c r="N892" s="6"/>
      <c r="O892" s="3" t="s">
        <v>133</v>
      </c>
      <c r="P892" s="6"/>
      <c r="Q892" s="3"/>
      <c r="R892" s="3"/>
      <c r="S892" s="6"/>
      <c r="T892" s="3"/>
      <c r="U892" s="7"/>
      <c r="V892" s="6"/>
      <c r="W892" s="3"/>
      <c r="X892" s="6"/>
      <c r="Y892" s="6"/>
      <c r="Z892" s="3"/>
      <c r="AA892" s="3"/>
      <c r="AB892" s="6"/>
      <c r="AC892" s="3"/>
      <c r="AD892" s="3"/>
      <c r="AE892" s="6"/>
      <c r="AF892" s="3"/>
      <c r="AG892" s="3"/>
      <c r="AH892" s="6"/>
      <c r="AI892" s="3"/>
      <c r="AJ892" s="1"/>
      <c r="AK892" s="6"/>
      <c r="AL892" s="3"/>
      <c r="AM892" s="6"/>
      <c r="AN892" s="6"/>
      <c r="AO892" s="3"/>
      <c r="AP892" s="3"/>
      <c r="AQ892" s="6"/>
      <c r="AR892" s="3"/>
      <c r="AS892" s="3"/>
      <c r="AT892" s="6"/>
      <c r="AU892" s="3"/>
      <c r="AV892" s="3" t="s">
        <v>1307</v>
      </c>
      <c r="AW892" s="6"/>
      <c r="AX892" s="3"/>
      <c r="AY892" s="7">
        <v>46113</v>
      </c>
      <c r="AZ892" s="6"/>
      <c r="BA892" s="3"/>
      <c r="BB892" s="6">
        <v>12</v>
      </c>
      <c r="BC892" s="6"/>
      <c r="BD892" s="3"/>
      <c r="BE892" s="3" t="s">
        <v>2503</v>
      </c>
      <c r="BF892" s="6"/>
      <c r="BG892" s="3"/>
      <c r="BH892" s="3" t="s">
        <v>2504</v>
      </c>
      <c r="BI892" s="6"/>
      <c r="BJ892" s="3"/>
      <c r="BK892" s="3"/>
      <c r="BL892" s="6"/>
      <c r="BM892" s="3"/>
      <c r="BN892" s="7"/>
      <c r="BO892" s="6"/>
      <c r="BP892" s="3"/>
      <c r="BQ892" s="6"/>
      <c r="BR892" s="6"/>
      <c r="BS892" s="3"/>
      <c r="BT892" s="3"/>
      <c r="BU892" s="6"/>
      <c r="BV892" s="3"/>
      <c r="BW892" s="3"/>
      <c r="BX892" s="6"/>
      <c r="BY892" s="3"/>
      <c r="BZ892" s="3"/>
      <c r="CA892" s="6"/>
      <c r="CB892" s="3"/>
      <c r="CC892" s="7"/>
      <c r="CD892" s="6"/>
      <c r="CE892" s="3"/>
      <c r="CF892" s="6"/>
      <c r="CG892" s="6"/>
      <c r="CH892" s="3"/>
      <c r="CI892" s="3"/>
      <c r="CJ892" s="6"/>
      <c r="CK892" s="3"/>
      <c r="CL892" s="3"/>
      <c r="CM892" s="6"/>
      <c r="CN892" s="3"/>
      <c r="CO892" s="3"/>
      <c r="CP892" s="6"/>
      <c r="CQ892" s="3"/>
      <c r="CR892" s="7"/>
      <c r="CS892" s="6"/>
      <c r="CT892" s="3"/>
      <c r="CU892" s="6"/>
      <c r="CV892" s="6"/>
      <c r="CW892" s="3"/>
      <c r="CX892" s="3"/>
      <c r="CY892" s="6"/>
      <c r="CZ892" s="3"/>
      <c r="DA892" s="3"/>
      <c r="DB892" s="6"/>
      <c r="DC892" s="3"/>
      <c r="DD892" s="3"/>
      <c r="DE892" s="6"/>
      <c r="DF892" s="3"/>
      <c r="DG892" s="7"/>
      <c r="DH892" s="6"/>
      <c r="DI892" s="3"/>
      <c r="DJ892" s="6"/>
      <c r="DK892" s="6"/>
      <c r="DL892" s="3"/>
      <c r="DM892" s="3"/>
      <c r="DN892" s="6"/>
      <c r="DO892" s="3"/>
      <c r="DP892" s="3"/>
      <c r="DQ892" s="6"/>
      <c r="DR892" s="3"/>
      <c r="DS892" s="3" t="str">
        <f>_xlfn.XLOOKUP(OfficeForms.Table[[#This Row],[Selecione a Categoria do Laboratório desta atividade prática:]],Planilha1!A:A,Planilha1!B:B)</f>
        <v>BFI</v>
      </c>
      <c r="DT892" s="6" t="str">
        <f>CONCATENATE(OfficeForms.Table[[#This Row],[Selecione seu Polo Laboratório de Atividades Presenciais:]],OfficeForms.Table[[#This Row],[CHAVE CONVERSÃO]])</f>
        <v>Salvador/BA - Caminho das ÁrvoresBFI</v>
      </c>
      <c r="DU89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Braintom</v>
      </c>
      <c r="DV89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46113</v>
      </c>
      <c r="DW89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12</v>
      </c>
      <c r="DX892" s="6" t="str">
        <f>_xlfn.XLOOKUP(OfficeForms.Table[[#This Row],[CHAVE LINK POLO]],'[1]Quadro Geral de Lotação'!$B:$B,'[1]Quadro Geral de Lotação'!$I:$I)</f>
        <v>Helenice Sacramento Souza Melo</v>
      </c>
      <c r="DY892" s="6" t="str">
        <f>OfficeForms.Table[[#This Row],[Selecione a Ordem de Disciplina]]</f>
        <v>Ordem 2</v>
      </c>
    </row>
    <row r="893" spans="1:129" ht="34.15" customHeight="1">
      <c r="A893" s="6">
        <v>893</v>
      </c>
      <c r="B893" s="2">
        <v>46136.723298611098</v>
      </c>
      <c r="C893" s="2">
        <v>46136.725983796299</v>
      </c>
      <c r="D893" s="3" t="s">
        <v>658</v>
      </c>
      <c r="E893" s="3" t="s">
        <v>659</v>
      </c>
      <c r="F893" s="6"/>
      <c r="G893" s="3"/>
      <c r="I893" s="3" t="s">
        <v>308</v>
      </c>
      <c r="J893" s="6"/>
      <c r="K893" s="3"/>
      <c r="L893" s="6" t="s">
        <v>678</v>
      </c>
      <c r="M893" s="6"/>
      <c r="N893" s="6"/>
      <c r="O893" s="3" t="s">
        <v>133</v>
      </c>
      <c r="P893" s="6"/>
      <c r="Q893" s="3"/>
      <c r="R893" s="3"/>
      <c r="S893" s="6"/>
      <c r="T893" s="3"/>
      <c r="U893" s="7"/>
      <c r="V893" s="6"/>
      <c r="W893" s="3"/>
      <c r="X893" s="6"/>
      <c r="Y893" s="6"/>
      <c r="Z893" s="3"/>
      <c r="AA893" s="3"/>
      <c r="AB893" s="6"/>
      <c r="AC893" s="3"/>
      <c r="AD893" s="3"/>
      <c r="AE893" s="6"/>
      <c r="AF893" s="3"/>
      <c r="AG893" s="3"/>
      <c r="AH893" s="6"/>
      <c r="AI893" s="3"/>
      <c r="AJ893" s="1"/>
      <c r="AK893" s="6"/>
      <c r="AL893" s="3"/>
      <c r="AM893" s="6"/>
      <c r="AN893" s="6"/>
      <c r="AO893" s="3"/>
      <c r="AP893" s="3"/>
      <c r="AQ893" s="6"/>
      <c r="AR893" s="3"/>
      <c r="AS893" s="3"/>
      <c r="AT893" s="6"/>
      <c r="AU893" s="3"/>
      <c r="AV893" s="3" t="s">
        <v>150</v>
      </c>
      <c r="AW893" s="6"/>
      <c r="AX893" s="3"/>
      <c r="AY893" s="7">
        <v>46120</v>
      </c>
      <c r="AZ893" s="6"/>
      <c r="BA893" s="3"/>
      <c r="BB893" s="6">
        <v>10</v>
      </c>
      <c r="BC893" s="6"/>
      <c r="BD893" s="3"/>
      <c r="BE893" s="3" t="s">
        <v>2505</v>
      </c>
      <c r="BF893" s="6"/>
      <c r="BG893" s="3"/>
      <c r="BH893" s="3" t="s">
        <v>2506</v>
      </c>
      <c r="BI893" s="6"/>
      <c r="BJ893" s="3"/>
      <c r="BK893" s="3"/>
      <c r="BL893" s="6"/>
      <c r="BM893" s="3"/>
      <c r="BN893" s="7"/>
      <c r="BO893" s="6"/>
      <c r="BP893" s="3"/>
      <c r="BQ893" s="6"/>
      <c r="BR893" s="6"/>
      <c r="BS893" s="3"/>
      <c r="BT893" s="3"/>
      <c r="BU893" s="6"/>
      <c r="BV893" s="3"/>
      <c r="BW893" s="3"/>
      <c r="BX893" s="6"/>
      <c r="BY893" s="3"/>
      <c r="BZ893" s="3"/>
      <c r="CA893" s="6"/>
      <c r="CB893" s="3"/>
      <c r="CC893" s="7"/>
      <c r="CD893" s="6"/>
      <c r="CE893" s="3"/>
      <c r="CF893" s="6"/>
      <c r="CG893" s="6"/>
      <c r="CH893" s="3"/>
      <c r="CI893" s="3"/>
      <c r="CJ893" s="6"/>
      <c r="CK893" s="3"/>
      <c r="CL893" s="3"/>
      <c r="CM893" s="6"/>
      <c r="CN893" s="3"/>
      <c r="CO893" s="3"/>
      <c r="CP893" s="6"/>
      <c r="CQ893" s="3"/>
      <c r="CR893" s="7"/>
      <c r="CS893" s="6"/>
      <c r="CT893" s="3"/>
      <c r="CU893" s="6"/>
      <c r="CV893" s="6"/>
      <c r="CW893" s="3"/>
      <c r="CX893" s="3"/>
      <c r="CY893" s="6"/>
      <c r="CZ893" s="3"/>
      <c r="DA893" s="3"/>
      <c r="DB893" s="6"/>
      <c r="DC893" s="3"/>
      <c r="DD893" s="3"/>
      <c r="DE893" s="6"/>
      <c r="DF893" s="3"/>
      <c r="DG893" s="7"/>
      <c r="DH893" s="6"/>
      <c r="DI893" s="3"/>
      <c r="DJ893" s="6"/>
      <c r="DK893" s="6"/>
      <c r="DL893" s="3"/>
      <c r="DM893" s="3"/>
      <c r="DN893" s="6"/>
      <c r="DO893" s="3"/>
      <c r="DP893" s="3"/>
      <c r="DQ893" s="6"/>
      <c r="DR893" s="3"/>
      <c r="DS893" s="3" t="str">
        <f>_xlfn.XLOOKUP(OfficeForms.Table[[#This Row],[Selecione a Categoria do Laboratório desta atividade prática:]],Planilha1!A:A,Planilha1!B:B)</f>
        <v>BFI</v>
      </c>
      <c r="DT893" s="6" t="str">
        <f>CONCATENATE(OfficeForms.Table[[#This Row],[Selecione seu Polo Laboratório de Atividades Presenciais:]],OfficeForms.Table[[#This Row],[CHAVE CONVERSÃO]])</f>
        <v>Salvador/BA - Caminho das ÁrvoresBFI</v>
      </c>
      <c r="DU89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Pontos cardeais</v>
      </c>
      <c r="DV89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46120</v>
      </c>
      <c r="DW89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893" s="6" t="str">
        <f>_xlfn.XLOOKUP(OfficeForms.Table[[#This Row],[CHAVE LINK POLO]],'[1]Quadro Geral de Lotação'!$B:$B,'[1]Quadro Geral de Lotação'!$I:$I)</f>
        <v>Helenice Sacramento Souza Melo</v>
      </c>
      <c r="DY893" s="6" t="str">
        <f>OfficeForms.Table[[#This Row],[Selecione a Ordem de Disciplina]]</f>
        <v>Ordem 2</v>
      </c>
    </row>
    <row r="894" spans="1:129" ht="34.15" customHeight="1">
      <c r="A894" s="6">
        <v>894</v>
      </c>
      <c r="B894" s="2">
        <v>46136.726053240702</v>
      </c>
      <c r="C894" s="2">
        <v>46136.730659722198</v>
      </c>
      <c r="D894" s="3" t="s">
        <v>658</v>
      </c>
      <c r="E894" s="3" t="s">
        <v>659</v>
      </c>
      <c r="F894" s="6"/>
      <c r="G894" s="3"/>
      <c r="I894" s="3" t="s">
        <v>308</v>
      </c>
      <c r="J894" s="6"/>
      <c r="K894" s="3"/>
      <c r="L894" s="6" t="s">
        <v>1325</v>
      </c>
      <c r="M894" s="6"/>
      <c r="N894" s="6"/>
      <c r="O894" s="3" t="s">
        <v>133</v>
      </c>
      <c r="P894" s="6"/>
      <c r="Q894" s="3"/>
      <c r="R894" s="3"/>
      <c r="S894" s="6"/>
      <c r="T894" s="3"/>
      <c r="U894" s="7"/>
      <c r="V894" s="6"/>
      <c r="W894" s="3"/>
      <c r="X894" s="6"/>
      <c r="Y894" s="6"/>
      <c r="Z894" s="3"/>
      <c r="AA894" s="3"/>
      <c r="AB894" s="6"/>
      <c r="AC894" s="3"/>
      <c r="AD894" s="3"/>
      <c r="AE894" s="6"/>
      <c r="AF894" s="3"/>
      <c r="AG894" s="3"/>
      <c r="AH894" s="6"/>
      <c r="AI894" s="3"/>
      <c r="AJ894" s="1"/>
      <c r="AK894" s="6"/>
      <c r="AL894" s="3"/>
      <c r="AM894" s="6"/>
      <c r="AN894" s="6"/>
      <c r="AO894" s="3"/>
      <c r="AP894" s="3"/>
      <c r="AQ894" s="6"/>
      <c r="AR894" s="3"/>
      <c r="AS894" s="3"/>
      <c r="AT894" s="6"/>
      <c r="AU894" s="3"/>
      <c r="AV894" s="3" t="s">
        <v>2507</v>
      </c>
      <c r="AW894" s="6"/>
      <c r="AX894" s="3"/>
      <c r="AY894" s="7">
        <v>46127</v>
      </c>
      <c r="AZ894" s="6"/>
      <c r="BA894" s="3"/>
      <c r="BB894" s="6">
        <v>11</v>
      </c>
      <c r="BC894" s="6"/>
      <c r="BD894" s="3"/>
      <c r="BE894" s="3" t="s">
        <v>2508</v>
      </c>
      <c r="BF894" s="6"/>
      <c r="BG894" s="3"/>
      <c r="BH894" s="3" t="s">
        <v>2509</v>
      </c>
      <c r="BI894" s="6"/>
      <c r="BJ894" s="3"/>
      <c r="BK894" s="3"/>
      <c r="BL894" s="6"/>
      <c r="BM894" s="3"/>
      <c r="BN894" s="7"/>
      <c r="BO894" s="6"/>
      <c r="BP894" s="3"/>
      <c r="BQ894" s="6"/>
      <c r="BR894" s="6"/>
      <c r="BS894" s="3"/>
      <c r="BT894" s="3"/>
      <c r="BU894" s="6"/>
      <c r="BV894" s="3"/>
      <c r="BW894" s="3"/>
      <c r="BX894" s="6"/>
      <c r="BY894" s="3"/>
      <c r="BZ894" s="3"/>
      <c r="CA894" s="6"/>
      <c r="CB894" s="3"/>
      <c r="CC894" s="7"/>
      <c r="CD894" s="6"/>
      <c r="CE894" s="3"/>
      <c r="CF894" s="6"/>
      <c r="CG894" s="6"/>
      <c r="CH894" s="3"/>
      <c r="CI894" s="3"/>
      <c r="CJ894" s="6"/>
      <c r="CK894" s="3"/>
      <c r="CL894" s="3"/>
      <c r="CM894" s="6"/>
      <c r="CN894" s="3"/>
      <c r="CO894" s="3"/>
      <c r="CP894" s="6"/>
      <c r="CQ894" s="3"/>
      <c r="CR894" s="7"/>
      <c r="CS894" s="6"/>
      <c r="CT894" s="3"/>
      <c r="CU894" s="6"/>
      <c r="CV894" s="6"/>
      <c r="CW894" s="3"/>
      <c r="CX894" s="3"/>
      <c r="CY894" s="6"/>
      <c r="CZ894" s="3"/>
      <c r="DA894" s="3"/>
      <c r="DB894" s="6"/>
      <c r="DC894" s="3"/>
      <c r="DD894" s="3"/>
      <c r="DE894" s="6"/>
      <c r="DF894" s="3"/>
      <c r="DG894" s="7"/>
      <c r="DH894" s="6"/>
      <c r="DI894" s="3"/>
      <c r="DJ894" s="6"/>
      <c r="DK894" s="6"/>
      <c r="DL894" s="3"/>
      <c r="DM894" s="3"/>
      <c r="DN894" s="6"/>
      <c r="DO894" s="3"/>
      <c r="DP894" s="3"/>
      <c r="DQ894" s="6"/>
      <c r="DR894" s="3"/>
      <c r="DS894" s="3" t="str">
        <f>_xlfn.XLOOKUP(OfficeForms.Table[[#This Row],[Selecione a Categoria do Laboratório desta atividade prática:]],Planilha1!A:A,Planilha1!B:B)</f>
        <v>BFI</v>
      </c>
      <c r="DT894" s="6" t="str">
        <f>CONCATENATE(OfficeForms.Table[[#This Row],[Selecione seu Polo Laboratório de Atividades Presenciais:]],OfficeForms.Table[[#This Row],[CHAVE CONVERSÃO]])</f>
        <v>Salvador/BA - Caminho das ÁrvoresBFI</v>
      </c>
      <c r="DU89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Oficinas de terapia ocupacional na saude mental</v>
      </c>
      <c r="DV89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46127</v>
      </c>
      <c r="DW89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894" s="6" t="str">
        <f>_xlfn.XLOOKUP(OfficeForms.Table[[#This Row],[CHAVE LINK POLO]],'[1]Quadro Geral de Lotação'!$B:$B,'[1]Quadro Geral de Lotação'!$I:$I)</f>
        <v>Helenice Sacramento Souza Melo</v>
      </c>
      <c r="DY894" s="6" t="str">
        <f>OfficeForms.Table[[#This Row],[Selecione a Ordem de Disciplina]]</f>
        <v>Ordem 3</v>
      </c>
    </row>
    <row r="895" spans="1:129" ht="34.15" customHeight="1">
      <c r="A895" s="6">
        <v>895</v>
      </c>
      <c r="B895" s="2">
        <v>46136.730740740699</v>
      </c>
      <c r="C895" s="2">
        <v>46136.733287037001</v>
      </c>
      <c r="D895" s="3" t="s">
        <v>658</v>
      </c>
      <c r="E895" s="3" t="s">
        <v>659</v>
      </c>
      <c r="F895" s="6"/>
      <c r="G895" s="3"/>
      <c r="I895" s="3" t="s">
        <v>308</v>
      </c>
      <c r="J895" s="6"/>
      <c r="K895" s="3"/>
      <c r="L895" s="6" t="s">
        <v>1325</v>
      </c>
      <c r="M895" s="6"/>
      <c r="N895" s="6"/>
      <c r="O895" s="3" t="s">
        <v>133</v>
      </c>
      <c r="P895" s="6"/>
      <c r="Q895" s="3"/>
      <c r="R895" s="3"/>
      <c r="S895" s="6"/>
      <c r="T895" s="3"/>
      <c r="U895" s="7"/>
      <c r="V895" s="6"/>
      <c r="W895" s="3"/>
      <c r="X895" s="6"/>
      <c r="Y895" s="6"/>
      <c r="Z895" s="3"/>
      <c r="AA895" s="3"/>
      <c r="AB895" s="6"/>
      <c r="AC895" s="3"/>
      <c r="AD895" s="3"/>
      <c r="AE895" s="6"/>
      <c r="AF895" s="3"/>
      <c r="AG895" s="3"/>
      <c r="AH895" s="6"/>
      <c r="AI895" s="3"/>
      <c r="AJ895" s="1"/>
      <c r="AK895" s="6"/>
      <c r="AL895" s="3"/>
      <c r="AM895" s="6"/>
      <c r="AN895" s="6"/>
      <c r="AO895" s="3"/>
      <c r="AP895" s="3"/>
      <c r="AQ895" s="6"/>
      <c r="AR895" s="3"/>
      <c r="AS895" s="3"/>
      <c r="AT895" s="6"/>
      <c r="AU895" s="3"/>
      <c r="AV895" s="3" t="s">
        <v>2330</v>
      </c>
      <c r="AW895" s="6"/>
      <c r="AX895" s="3"/>
      <c r="AY895" s="7">
        <v>46134</v>
      </c>
      <c r="AZ895" s="6"/>
      <c r="BA895" s="3"/>
      <c r="BB895" s="6">
        <v>10</v>
      </c>
      <c r="BC895" s="6"/>
      <c r="BD895" s="3"/>
      <c r="BE895" s="3" t="s">
        <v>2510</v>
      </c>
      <c r="BF895" s="6"/>
      <c r="BG895" s="3"/>
      <c r="BH895" s="3" t="s">
        <v>2511</v>
      </c>
      <c r="BI895" s="6"/>
      <c r="BJ895" s="3"/>
      <c r="BK895" s="3"/>
      <c r="BL895" s="6"/>
      <c r="BM895" s="3"/>
      <c r="BN895" s="7"/>
      <c r="BO895" s="6"/>
      <c r="BP895" s="3"/>
      <c r="BQ895" s="6"/>
      <c r="BR895" s="6"/>
      <c r="BS895" s="3"/>
      <c r="BT895" s="3"/>
      <c r="BU895" s="6"/>
      <c r="BV895" s="3"/>
      <c r="BW895" s="3"/>
      <c r="BX895" s="6"/>
      <c r="BY895" s="3"/>
      <c r="BZ895" s="3"/>
      <c r="CA895" s="6"/>
      <c r="CB895" s="3"/>
      <c r="CC895" s="7"/>
      <c r="CD895" s="6"/>
      <c r="CE895" s="3"/>
      <c r="CF895" s="6"/>
      <c r="CG895" s="6"/>
      <c r="CH895" s="3"/>
      <c r="CI895" s="3"/>
      <c r="CJ895" s="6"/>
      <c r="CK895" s="3"/>
      <c r="CL895" s="3"/>
      <c r="CM895" s="6"/>
      <c r="CN895" s="3"/>
      <c r="CO895" s="3"/>
      <c r="CP895" s="6"/>
      <c r="CQ895" s="3"/>
      <c r="CR895" s="7"/>
      <c r="CS895" s="6"/>
      <c r="CT895" s="3"/>
      <c r="CU895" s="6"/>
      <c r="CV895" s="6"/>
      <c r="CW895" s="3"/>
      <c r="CX895" s="3"/>
      <c r="CY895" s="6"/>
      <c r="CZ895" s="3"/>
      <c r="DA895" s="3"/>
      <c r="DB895" s="6"/>
      <c r="DC895" s="3"/>
      <c r="DD895" s="3"/>
      <c r="DE895" s="6"/>
      <c r="DF895" s="3"/>
      <c r="DG895" s="7"/>
      <c r="DH895" s="6"/>
      <c r="DI895" s="3"/>
      <c r="DJ895" s="6"/>
      <c r="DK895" s="6"/>
      <c r="DL895" s="3"/>
      <c r="DM895" s="3"/>
      <c r="DN895" s="6"/>
      <c r="DO895" s="3"/>
      <c r="DP895" s="3"/>
      <c r="DQ895" s="6"/>
      <c r="DR895" s="3"/>
      <c r="DS895" s="3" t="str">
        <f>_xlfn.XLOOKUP(OfficeForms.Table[[#This Row],[Selecione a Categoria do Laboratório desta atividade prática:]],Planilha1!A:A,Planilha1!B:B)</f>
        <v>BFI</v>
      </c>
      <c r="DT895" s="6" t="str">
        <f>CONCATENATE(OfficeForms.Table[[#This Row],[Selecione seu Polo Laboratório de Atividades Presenciais:]],OfficeForms.Table[[#This Row],[CHAVE CONVERSÃO]])</f>
        <v>Salvador/BA - Caminho das ÁrvoresBFI</v>
      </c>
      <c r="DU89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Aprendizagem</v>
      </c>
      <c r="DV89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9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10</v>
      </c>
      <c r="DX895" s="6" t="str">
        <f>_xlfn.XLOOKUP(OfficeForms.Table[[#This Row],[CHAVE LINK POLO]],'[1]Quadro Geral de Lotação'!$B:$B,'[1]Quadro Geral de Lotação'!$I:$I)</f>
        <v>Helenice Sacramento Souza Melo</v>
      </c>
      <c r="DY895" s="6" t="str">
        <f>OfficeForms.Table[[#This Row],[Selecione a Ordem de Disciplina]]</f>
        <v>Ordem 3</v>
      </c>
    </row>
    <row r="896" spans="1:129" ht="34.15" customHeight="1">
      <c r="A896" s="6">
        <v>896</v>
      </c>
      <c r="B896" s="2">
        <v>46136.924351851798</v>
      </c>
      <c r="C896" s="2">
        <v>46136.927291666703</v>
      </c>
      <c r="D896" s="3" t="s">
        <v>417</v>
      </c>
      <c r="E896" s="3" t="s">
        <v>418</v>
      </c>
      <c r="F896" s="6"/>
      <c r="G896" s="3"/>
      <c r="I896" s="3" t="s">
        <v>131</v>
      </c>
      <c r="J896" s="6"/>
      <c r="K896" s="3"/>
      <c r="L896" s="6" t="s">
        <v>1325</v>
      </c>
      <c r="M896" s="6"/>
      <c r="N896" s="6"/>
      <c r="O896" s="3" t="s">
        <v>184</v>
      </c>
      <c r="P896" s="6"/>
      <c r="Q896" s="3"/>
      <c r="R896" s="3"/>
      <c r="S896" s="6"/>
      <c r="T896" s="3"/>
      <c r="U896" s="7"/>
      <c r="V896" s="6"/>
      <c r="W896" s="3"/>
      <c r="X896" s="6"/>
      <c r="Y896" s="6"/>
      <c r="Z896" s="3"/>
      <c r="AA896" s="3"/>
      <c r="AB896" s="6"/>
      <c r="AC896" s="3"/>
      <c r="AD896" s="3"/>
      <c r="AE896" s="6"/>
      <c r="AF896" s="3"/>
      <c r="AG896" s="3" t="s">
        <v>2134</v>
      </c>
      <c r="AH896" s="6"/>
      <c r="AI896" s="3"/>
      <c r="AJ896" s="1">
        <v>46134</v>
      </c>
      <c r="AK896" s="6"/>
      <c r="AL896" s="3"/>
      <c r="AM896" s="6">
        <v>0</v>
      </c>
      <c r="AN896" s="6"/>
      <c r="AO896" s="3"/>
      <c r="AP896" s="3" t="s">
        <v>2512</v>
      </c>
      <c r="AQ896" s="6"/>
      <c r="AR896" s="3"/>
      <c r="AS896" s="3" t="s">
        <v>2513</v>
      </c>
      <c r="AT896" s="6"/>
      <c r="AU896" s="3"/>
      <c r="AV896" s="3"/>
      <c r="AW896" s="6"/>
      <c r="AX896" s="3"/>
      <c r="AY896" s="7"/>
      <c r="AZ896" s="6"/>
      <c r="BA896" s="3"/>
      <c r="BB896" s="6"/>
      <c r="BC896" s="6"/>
      <c r="BD896" s="3"/>
      <c r="BE896" s="3"/>
      <c r="BF896" s="6"/>
      <c r="BG896" s="3"/>
      <c r="BH896" s="3"/>
      <c r="BI896" s="6"/>
      <c r="BJ896" s="3"/>
      <c r="BK896" s="3"/>
      <c r="BL896" s="6"/>
      <c r="BM896" s="3"/>
      <c r="BN896" s="7"/>
      <c r="BO896" s="6"/>
      <c r="BP896" s="3"/>
      <c r="BQ896" s="6"/>
      <c r="BR896" s="6"/>
      <c r="BS896" s="3"/>
      <c r="BT896" s="3"/>
      <c r="BU896" s="6"/>
      <c r="BV896" s="3"/>
      <c r="BW896" s="3"/>
      <c r="BX896" s="6"/>
      <c r="BY896" s="3"/>
      <c r="BZ896" s="3"/>
      <c r="CA896" s="6"/>
      <c r="CB896" s="3"/>
      <c r="CC896" s="7"/>
      <c r="CD896" s="6"/>
      <c r="CE896" s="3"/>
      <c r="CF896" s="6"/>
      <c r="CG896" s="6"/>
      <c r="CH896" s="3"/>
      <c r="CI896" s="3"/>
      <c r="CJ896" s="6"/>
      <c r="CK896" s="3"/>
      <c r="CL896" s="3"/>
      <c r="CM896" s="6"/>
      <c r="CN896" s="3"/>
      <c r="CO896" s="3"/>
      <c r="CP896" s="6"/>
      <c r="CQ896" s="3"/>
      <c r="CR896" s="7"/>
      <c r="CS896" s="6"/>
      <c r="CT896" s="3"/>
      <c r="CU896" s="6"/>
      <c r="CV896" s="6"/>
      <c r="CW896" s="3"/>
      <c r="CX896" s="3"/>
      <c r="CY896" s="6"/>
      <c r="CZ896" s="3"/>
      <c r="DA896" s="3"/>
      <c r="DB896" s="6"/>
      <c r="DC896" s="3"/>
      <c r="DD896" s="3"/>
      <c r="DE896" s="6"/>
      <c r="DF896" s="3"/>
      <c r="DG896" s="7"/>
      <c r="DH896" s="6"/>
      <c r="DI896" s="3"/>
      <c r="DJ896" s="6"/>
      <c r="DK896" s="6"/>
      <c r="DL896" s="3"/>
      <c r="DM896" s="3"/>
      <c r="DN896" s="6"/>
      <c r="DO896" s="3"/>
      <c r="DP896" s="3"/>
      <c r="DQ896" s="6"/>
      <c r="DR896" s="3"/>
      <c r="DS896" s="3" t="str">
        <f>_xlfn.XLOOKUP(OfficeForms.Table[[#This Row],[Selecione a Categoria do Laboratório desta atividade prática:]],Planilha1!A:A,Planilha1!B:B)</f>
        <v>EMF-ISN</v>
      </c>
      <c r="DT896" s="6" t="str">
        <f>CONCATENATE(OfficeForms.Table[[#This Row],[Selecione seu Polo Laboratório de Atividades Presenciais:]],OfficeForms.Table[[#This Row],[CHAVE CONVERSÃO]])</f>
        <v>Guarujá/SPEMF-ISN</v>
      </c>
      <c r="DU89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Medidas antropométricas da criança e adolescente + Acolhimento e escala de Manchester pediatria</v>
      </c>
      <c r="DV89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9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896" s="6" t="str">
        <f>_xlfn.XLOOKUP(OfficeForms.Table[[#This Row],[CHAVE LINK POLO]],'[1]Quadro Geral de Lotação'!$B:$B,'[1]Quadro Geral de Lotação'!$I:$I)</f>
        <v>Marilene Da Fonseca Magalhaes Silva</v>
      </c>
      <c r="DY896" s="6" t="str">
        <f>OfficeForms.Table[[#This Row],[Selecione a Ordem de Disciplina]]</f>
        <v>Ordem 3</v>
      </c>
    </row>
    <row r="897" spans="1:129" ht="34.15" customHeight="1">
      <c r="A897" s="6">
        <v>897</v>
      </c>
      <c r="B897" s="2">
        <v>46136.927361111098</v>
      </c>
      <c r="C897" s="2">
        <v>46136.929062499999</v>
      </c>
      <c r="D897" s="3" t="s">
        <v>417</v>
      </c>
      <c r="E897" s="3" t="s">
        <v>418</v>
      </c>
      <c r="F897" s="6"/>
      <c r="G897" s="3"/>
      <c r="I897" s="3" t="s">
        <v>131</v>
      </c>
      <c r="J897" s="6"/>
      <c r="K897" s="3"/>
      <c r="L897" s="6" t="s">
        <v>1325</v>
      </c>
      <c r="M897" s="6"/>
      <c r="N897" s="6"/>
      <c r="O897" s="3" t="s">
        <v>184</v>
      </c>
      <c r="P897" s="6"/>
      <c r="Q897" s="3"/>
      <c r="R897" s="3"/>
      <c r="S897" s="6"/>
      <c r="T897" s="3"/>
      <c r="U897" s="7"/>
      <c r="V897" s="6"/>
      <c r="W897" s="3"/>
      <c r="X897" s="6"/>
      <c r="Y897" s="6"/>
      <c r="Z897" s="3"/>
      <c r="AA897" s="3"/>
      <c r="AB897" s="6"/>
      <c r="AC897" s="3"/>
      <c r="AD897" s="3"/>
      <c r="AE897" s="6"/>
      <c r="AF897" s="3"/>
      <c r="AG897" s="3" t="s">
        <v>1511</v>
      </c>
      <c r="AH897" s="6"/>
      <c r="AI897" s="3"/>
      <c r="AJ897" s="1">
        <v>46134</v>
      </c>
      <c r="AK897" s="6"/>
      <c r="AL897" s="3"/>
      <c r="AM897" s="6">
        <v>2</v>
      </c>
      <c r="AN897" s="6"/>
      <c r="AO897" s="3"/>
      <c r="AP897" s="3" t="s">
        <v>2514</v>
      </c>
      <c r="AQ897" s="6"/>
      <c r="AR897" s="3"/>
      <c r="AS897" s="3" t="s">
        <v>2515</v>
      </c>
      <c r="AT897" s="6"/>
      <c r="AU897" s="3"/>
      <c r="AV897" s="3"/>
      <c r="AW897" s="6"/>
      <c r="AX897" s="3"/>
      <c r="AY897" s="7"/>
      <c r="AZ897" s="6"/>
      <c r="BA897" s="3"/>
      <c r="BB897" s="6"/>
      <c r="BC897" s="6"/>
      <c r="BD897" s="3"/>
      <c r="BE897" s="3"/>
      <c r="BF897" s="6"/>
      <c r="BG897" s="3"/>
      <c r="BH897" s="3"/>
      <c r="BI897" s="6"/>
      <c r="BJ897" s="3"/>
      <c r="BK897" s="3"/>
      <c r="BL897" s="6"/>
      <c r="BM897" s="3"/>
      <c r="BN897" s="7"/>
      <c r="BO897" s="6"/>
      <c r="BP897" s="3"/>
      <c r="BQ897" s="6"/>
      <c r="BR897" s="6"/>
      <c r="BS897" s="3"/>
      <c r="BT897" s="3"/>
      <c r="BU897" s="6"/>
      <c r="BV897" s="3"/>
      <c r="BW897" s="3"/>
      <c r="BX897" s="6"/>
      <c r="BY897" s="3"/>
      <c r="BZ897" s="3"/>
      <c r="CA897" s="6"/>
      <c r="CB897" s="3"/>
      <c r="CC897" s="7"/>
      <c r="CD897" s="6"/>
      <c r="CE897" s="3"/>
      <c r="CF897" s="6"/>
      <c r="CG897" s="6"/>
      <c r="CH897" s="3"/>
      <c r="CI897" s="3"/>
      <c r="CJ897" s="6"/>
      <c r="CK897" s="3"/>
      <c r="CL897" s="3"/>
      <c r="CM897" s="6"/>
      <c r="CN897" s="3"/>
      <c r="CO897" s="3"/>
      <c r="CP897" s="6"/>
      <c r="CQ897" s="3"/>
      <c r="CR897" s="7"/>
      <c r="CS897" s="6"/>
      <c r="CT897" s="3"/>
      <c r="CU897" s="6"/>
      <c r="CV897" s="6"/>
      <c r="CW897" s="3"/>
      <c r="CX897" s="3"/>
      <c r="CY897" s="6"/>
      <c r="CZ897" s="3"/>
      <c r="DA897" s="3"/>
      <c r="DB897" s="6"/>
      <c r="DC897" s="3"/>
      <c r="DD897" s="3"/>
      <c r="DE897" s="6"/>
      <c r="DF897" s="3"/>
      <c r="DG897" s="7"/>
      <c r="DH897" s="6"/>
      <c r="DI897" s="3"/>
      <c r="DJ897" s="6"/>
      <c r="DK897" s="6"/>
      <c r="DL897" s="3"/>
      <c r="DM897" s="3"/>
      <c r="DN897" s="6"/>
      <c r="DO897" s="3"/>
      <c r="DP897" s="3"/>
      <c r="DQ897" s="6"/>
      <c r="DR897" s="3"/>
      <c r="DS897" s="3" t="str">
        <f>_xlfn.XLOOKUP(OfficeForms.Table[[#This Row],[Selecione a Categoria do Laboratório desta atividade prática:]],Planilha1!A:A,Planilha1!B:B)</f>
        <v>EMF-ISN</v>
      </c>
      <c r="DT897" s="6" t="str">
        <f>CONCATENATE(OfficeForms.Table[[#This Row],[Selecione seu Polo Laboratório de Atividades Presenciais:]],OfficeForms.Table[[#This Row],[CHAVE CONVERSÃO]])</f>
        <v>Guarujá/SPEMF-ISN</v>
      </c>
      <c r="DU89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Sondagem vesical de alívio + Sondagem vesical de demora</v>
      </c>
      <c r="DV89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89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2</v>
      </c>
      <c r="DX897" s="6" t="str">
        <f>_xlfn.XLOOKUP(OfficeForms.Table[[#This Row],[CHAVE LINK POLO]],'[1]Quadro Geral de Lotação'!$B:$B,'[1]Quadro Geral de Lotação'!$I:$I)</f>
        <v>Marilene Da Fonseca Magalhaes Silva</v>
      </c>
      <c r="DY897" s="6" t="str">
        <f>OfficeForms.Table[[#This Row],[Selecione a Ordem de Disciplina]]</f>
        <v>Ordem 3</v>
      </c>
    </row>
    <row r="898" spans="1:129" ht="34.15" customHeight="1">
      <c r="A898" s="6">
        <v>898</v>
      </c>
      <c r="B898" s="2">
        <v>46137.401238425897</v>
      </c>
      <c r="C898" s="2">
        <v>46137.415879629603</v>
      </c>
      <c r="D898" s="3" t="s">
        <v>1973</v>
      </c>
      <c r="E898" s="3" t="s">
        <v>1974</v>
      </c>
      <c r="F898" s="6"/>
      <c r="G898" s="3"/>
      <c r="I898" s="3" t="s">
        <v>1975</v>
      </c>
      <c r="J898" s="6"/>
      <c r="K898" s="3"/>
      <c r="L898" s="6" t="s">
        <v>1325</v>
      </c>
      <c r="M898" s="6"/>
      <c r="N898" s="6"/>
      <c r="O898" s="3" t="s">
        <v>184</v>
      </c>
      <c r="P898" s="6"/>
      <c r="Q898" s="3"/>
      <c r="R898" s="3"/>
      <c r="S898" s="6"/>
      <c r="T898" s="3"/>
      <c r="U898" s="7"/>
      <c r="V898" s="6"/>
      <c r="W898" s="3"/>
      <c r="X898" s="6"/>
      <c r="Y898" s="6"/>
      <c r="Z898" s="3"/>
      <c r="AA898" s="3"/>
      <c r="AB898" s="6"/>
      <c r="AC898" s="3"/>
      <c r="AD898" s="3"/>
      <c r="AE898" s="6"/>
      <c r="AF898" s="3"/>
      <c r="AG898" s="3" t="s">
        <v>2516</v>
      </c>
      <c r="AH898" s="6"/>
      <c r="AI898" s="3"/>
      <c r="AJ898" s="1">
        <v>46136</v>
      </c>
      <c r="AK898" s="6"/>
      <c r="AL898" s="3"/>
      <c r="AM898" s="6">
        <v>11</v>
      </c>
      <c r="AN898" s="6"/>
      <c r="AO898" s="3"/>
      <c r="AP898" s="3" t="s">
        <v>2517</v>
      </c>
      <c r="AQ898" s="6"/>
      <c r="AR898" s="3"/>
      <c r="AS898" s="3" t="s">
        <v>2518</v>
      </c>
      <c r="AT898" s="6"/>
      <c r="AU898" s="3"/>
      <c r="AV898" s="3"/>
      <c r="AW898" s="6"/>
      <c r="AX898" s="3"/>
      <c r="AY898" s="7"/>
      <c r="AZ898" s="6"/>
      <c r="BA898" s="3"/>
      <c r="BB898" s="6"/>
      <c r="BC898" s="6"/>
      <c r="BD898" s="3"/>
      <c r="BE898" s="3"/>
      <c r="BF898" s="6"/>
      <c r="BG898" s="3"/>
      <c r="BH898" s="3"/>
      <c r="BI898" s="6"/>
      <c r="BJ898" s="3"/>
      <c r="BK898" s="3"/>
      <c r="BL898" s="6"/>
      <c r="BM898" s="3"/>
      <c r="BN898" s="7"/>
      <c r="BO898" s="6"/>
      <c r="BP898" s="3"/>
      <c r="BQ898" s="6"/>
      <c r="BR898" s="6"/>
      <c r="BS898" s="3"/>
      <c r="BT898" s="3"/>
      <c r="BU898" s="6"/>
      <c r="BV898" s="3"/>
      <c r="BW898" s="3"/>
      <c r="BX898" s="6"/>
      <c r="BY898" s="3"/>
      <c r="BZ898" s="3"/>
      <c r="CA898" s="6"/>
      <c r="CB898" s="3"/>
      <c r="CC898" s="7"/>
      <c r="CD898" s="6"/>
      <c r="CE898" s="3"/>
      <c r="CF898" s="6"/>
      <c r="CG898" s="6"/>
      <c r="CH898" s="3"/>
      <c r="CI898" s="3"/>
      <c r="CJ898" s="6"/>
      <c r="CK898" s="3"/>
      <c r="CL898" s="3"/>
      <c r="CM898" s="6"/>
      <c r="CN898" s="3"/>
      <c r="CO898" s="3"/>
      <c r="CP898" s="6"/>
      <c r="CQ898" s="3"/>
      <c r="CR898" s="7"/>
      <c r="CS898" s="6"/>
      <c r="CT898" s="3"/>
      <c r="CU898" s="6"/>
      <c r="CV898" s="6"/>
      <c r="CW898" s="3"/>
      <c r="CX898" s="3"/>
      <c r="CY898" s="6"/>
      <c r="CZ898" s="3"/>
      <c r="DA898" s="3"/>
      <c r="DB898" s="6"/>
      <c r="DC898" s="3"/>
      <c r="DD898" s="3"/>
      <c r="DE898" s="6"/>
      <c r="DF898" s="3"/>
      <c r="DG898" s="7"/>
      <c r="DH898" s="6"/>
      <c r="DI898" s="3"/>
      <c r="DJ898" s="6"/>
      <c r="DK898" s="6"/>
      <c r="DL898" s="3"/>
      <c r="DM898" s="3"/>
      <c r="DN898" s="6"/>
      <c r="DO898" s="3"/>
      <c r="DP898" s="3"/>
      <c r="DQ898" s="6"/>
      <c r="DR898" s="3"/>
      <c r="DS898" s="3" t="str">
        <f>_xlfn.XLOOKUP(OfficeForms.Table[[#This Row],[Selecione a Categoria do Laboratório desta atividade prática:]],Planilha1!A:A,Planilha1!B:B)</f>
        <v>EMF-ISN</v>
      </c>
      <c r="DT898" s="6" t="str">
        <f>CONCATENATE(OfficeForms.Table[[#This Row],[Selecione seu Polo Laboratório de Atividades Presenciais:]],OfficeForms.Table[[#This Row],[CHAVE CONVERSÃO]])</f>
        <v>Porto Velho/RO - Distrito de ExtremaEMF-ISN</v>
      </c>
      <c r="DU89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Obstrução de vias aéreas + Prática de vacinação</v>
      </c>
      <c r="DV89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46136</v>
      </c>
      <c r="DW89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898" s="6" t="str">
        <f>_xlfn.XLOOKUP(OfficeForms.Table[[#This Row],[CHAVE LINK POLO]],'[1]Quadro Geral de Lotação'!$B:$B,'[1]Quadro Geral de Lotação'!$I:$I)</f>
        <v>Raul Dos Santos Aguirre</v>
      </c>
      <c r="DY898" s="6" t="str">
        <f>OfficeForms.Table[[#This Row],[Selecione a Ordem de Disciplina]]</f>
        <v>Ordem 3</v>
      </c>
    </row>
    <row r="899" spans="1:129" ht="34.15" customHeight="1">
      <c r="A899" s="6">
        <v>899</v>
      </c>
      <c r="B899" s="2">
        <v>46137.416585648098</v>
      </c>
      <c r="C899" s="2">
        <v>46137.418379629598</v>
      </c>
      <c r="D899" s="3" t="s">
        <v>1973</v>
      </c>
      <c r="E899" s="3" t="s">
        <v>1974</v>
      </c>
      <c r="F899" s="6"/>
      <c r="G899" s="3"/>
      <c r="I899" s="3" t="s">
        <v>1975</v>
      </c>
      <c r="J899" s="6"/>
      <c r="K899" s="3"/>
      <c r="L899" s="6" t="s">
        <v>1325</v>
      </c>
      <c r="M899" s="6"/>
      <c r="N899" s="6"/>
      <c r="O899" s="3" t="s">
        <v>184</v>
      </c>
      <c r="P899" s="6"/>
      <c r="Q899" s="3"/>
      <c r="R899" s="3"/>
      <c r="S899" s="6"/>
      <c r="T899" s="3"/>
      <c r="U899" s="7"/>
      <c r="V899" s="6"/>
      <c r="W899" s="3"/>
      <c r="X899" s="6"/>
      <c r="Y899" s="6"/>
      <c r="Z899" s="3"/>
      <c r="AA899" s="3"/>
      <c r="AB899" s="6"/>
      <c r="AC899" s="3"/>
      <c r="AD899" s="3"/>
      <c r="AE899" s="6"/>
      <c r="AF899" s="3"/>
      <c r="AG899" s="3" t="s">
        <v>2134</v>
      </c>
      <c r="AH899" s="6"/>
      <c r="AI899" s="3"/>
      <c r="AJ899" s="1">
        <v>46129</v>
      </c>
      <c r="AK899" s="6"/>
      <c r="AL899" s="3"/>
      <c r="AM899" s="6">
        <v>11</v>
      </c>
      <c r="AN899" s="6"/>
      <c r="AO899" s="3"/>
      <c r="AP899" s="3" t="s">
        <v>2519</v>
      </c>
      <c r="AQ899" s="6"/>
      <c r="AR899" s="3"/>
      <c r="AS899" s="3" t="s">
        <v>2520</v>
      </c>
      <c r="AT899" s="6"/>
      <c r="AU899" s="3"/>
      <c r="AV899" s="3"/>
      <c r="AW899" s="6"/>
      <c r="AX899" s="3"/>
      <c r="AY899" s="7"/>
      <c r="AZ899" s="6"/>
      <c r="BA899" s="3"/>
      <c r="BB899" s="6"/>
      <c r="BC899" s="6"/>
      <c r="BD899" s="3"/>
      <c r="BE899" s="3"/>
      <c r="BF899" s="6"/>
      <c r="BG899" s="3"/>
      <c r="BH899" s="3"/>
      <c r="BI899" s="6"/>
      <c r="BJ899" s="3"/>
      <c r="BK899" s="3"/>
      <c r="BL899" s="6"/>
      <c r="BM899" s="3"/>
      <c r="BN899" s="7"/>
      <c r="BO899" s="6"/>
      <c r="BP899" s="3"/>
      <c r="BQ899" s="6"/>
      <c r="BR899" s="6"/>
      <c r="BS899" s="3"/>
      <c r="BT899" s="3"/>
      <c r="BU899" s="6"/>
      <c r="BV899" s="3"/>
      <c r="BW899" s="3"/>
      <c r="BX899" s="6"/>
      <c r="BY899" s="3"/>
      <c r="BZ899" s="3"/>
      <c r="CA899" s="6"/>
      <c r="CB899" s="3"/>
      <c r="CC899" s="7"/>
      <c r="CD899" s="6"/>
      <c r="CE899" s="3"/>
      <c r="CF899" s="6"/>
      <c r="CG899" s="6"/>
      <c r="CH899" s="3"/>
      <c r="CI899" s="3"/>
      <c r="CJ899" s="6"/>
      <c r="CK899" s="3"/>
      <c r="CL899" s="3"/>
      <c r="CM899" s="6"/>
      <c r="CN899" s="3"/>
      <c r="CO899" s="3"/>
      <c r="CP899" s="6"/>
      <c r="CQ899" s="3"/>
      <c r="CR899" s="7"/>
      <c r="CS899" s="6"/>
      <c r="CT899" s="3"/>
      <c r="CU899" s="6"/>
      <c r="CV899" s="6"/>
      <c r="CW899" s="3"/>
      <c r="CX899" s="3"/>
      <c r="CY899" s="6"/>
      <c r="CZ899" s="3"/>
      <c r="DA899" s="3"/>
      <c r="DB899" s="6"/>
      <c r="DC899" s="3"/>
      <c r="DD899" s="3"/>
      <c r="DE899" s="6"/>
      <c r="DF899" s="3"/>
      <c r="DG899" s="7"/>
      <c r="DH899" s="6"/>
      <c r="DI899" s="3"/>
      <c r="DJ899" s="6"/>
      <c r="DK899" s="6"/>
      <c r="DL899" s="3"/>
      <c r="DM899" s="3"/>
      <c r="DN899" s="6"/>
      <c r="DO899" s="3"/>
      <c r="DP899" s="3"/>
      <c r="DQ899" s="6"/>
      <c r="DR899" s="3"/>
      <c r="DS899" s="3" t="str">
        <f>_xlfn.XLOOKUP(OfficeForms.Table[[#This Row],[Selecione a Categoria do Laboratório desta atividade prática:]],Planilha1!A:A,Planilha1!B:B)</f>
        <v>EMF-ISN</v>
      </c>
      <c r="DT899" s="6" t="str">
        <f>CONCATENATE(OfficeForms.Table[[#This Row],[Selecione seu Polo Laboratório de Atividades Presenciais:]],OfficeForms.Table[[#This Row],[CHAVE CONVERSÃO]])</f>
        <v>Porto Velho/RO - Distrito de ExtremaEMF-ISN</v>
      </c>
      <c r="DU89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Medidas antropométricas da criança e adolescente + Acolhimento e escala de Manchester pediatria</v>
      </c>
      <c r="DV89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46129</v>
      </c>
      <c r="DW89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11</v>
      </c>
      <c r="DX899" s="6" t="str">
        <f>_xlfn.XLOOKUP(OfficeForms.Table[[#This Row],[CHAVE LINK POLO]],'[1]Quadro Geral de Lotação'!$B:$B,'[1]Quadro Geral de Lotação'!$I:$I)</f>
        <v>Raul Dos Santos Aguirre</v>
      </c>
      <c r="DY899" s="6" t="str">
        <f>OfficeForms.Table[[#This Row],[Selecione a Ordem de Disciplina]]</f>
        <v>Ordem 3</v>
      </c>
    </row>
    <row r="900" spans="1:129" ht="34.15" customHeight="1">
      <c r="A900" s="6">
        <v>900</v>
      </c>
      <c r="B900" s="2">
        <v>46137.388819444401</v>
      </c>
      <c r="C900" s="2">
        <v>46137.469618055598</v>
      </c>
      <c r="D900" s="3" t="s">
        <v>227</v>
      </c>
      <c r="E900" s="3" t="s">
        <v>228</v>
      </c>
      <c r="F900" s="6"/>
      <c r="G900" s="3"/>
      <c r="I900" s="3" t="s">
        <v>229</v>
      </c>
      <c r="J900" s="6"/>
      <c r="K900" s="3"/>
      <c r="L900" s="6" t="s">
        <v>1325</v>
      </c>
      <c r="M900" s="6"/>
      <c r="N900" s="6"/>
      <c r="O900" s="3" t="s">
        <v>184</v>
      </c>
      <c r="P900" s="6"/>
      <c r="Q900" s="3"/>
      <c r="R900" s="3"/>
      <c r="S900" s="6"/>
      <c r="T900" s="3"/>
      <c r="U900" s="7"/>
      <c r="V900" s="6"/>
      <c r="W900" s="3"/>
      <c r="X900" s="6"/>
      <c r="Y900" s="6"/>
      <c r="Z900" s="3"/>
      <c r="AA900" s="3"/>
      <c r="AB900" s="6"/>
      <c r="AC900" s="3"/>
      <c r="AD900" s="3"/>
      <c r="AE900" s="6"/>
      <c r="AF900" s="3"/>
      <c r="AG900" s="3" t="s">
        <v>2359</v>
      </c>
      <c r="AH900" s="6"/>
      <c r="AI900" s="3"/>
      <c r="AJ900" s="1">
        <v>46137</v>
      </c>
      <c r="AK900" s="6"/>
      <c r="AL900" s="3"/>
      <c r="AM900" s="6">
        <v>1</v>
      </c>
      <c r="AN900" s="6"/>
      <c r="AO900" s="3"/>
      <c r="AP900" s="3" t="s">
        <v>2521</v>
      </c>
      <c r="AQ900" s="6"/>
      <c r="AR900" s="3"/>
      <c r="AS900" s="3" t="s">
        <v>2522</v>
      </c>
      <c r="AT900" s="6"/>
      <c r="AU900" s="3"/>
      <c r="AV900" s="3"/>
      <c r="AW900" s="6"/>
      <c r="AX900" s="3"/>
      <c r="AY900" s="7"/>
      <c r="AZ900" s="6"/>
      <c r="BA900" s="3"/>
      <c r="BB900" s="6"/>
      <c r="BC900" s="6"/>
      <c r="BD900" s="3"/>
      <c r="BE900" s="3"/>
      <c r="BF900" s="6"/>
      <c r="BG900" s="3"/>
      <c r="BH900" s="3"/>
      <c r="BI900" s="6"/>
      <c r="BJ900" s="3"/>
      <c r="BK900" s="3"/>
      <c r="BL900" s="6"/>
      <c r="BM900" s="3"/>
      <c r="BN900" s="7"/>
      <c r="BO900" s="6"/>
      <c r="BP900" s="3"/>
      <c r="BQ900" s="6"/>
      <c r="BR900" s="6"/>
      <c r="BS900" s="3"/>
      <c r="BT900" s="3"/>
      <c r="BU900" s="6"/>
      <c r="BV900" s="3"/>
      <c r="BW900" s="3"/>
      <c r="BX900" s="6"/>
      <c r="BY900" s="3"/>
      <c r="BZ900" s="3"/>
      <c r="CA900" s="6"/>
      <c r="CB900" s="3"/>
      <c r="CC900" s="7"/>
      <c r="CD900" s="6"/>
      <c r="CE900" s="3"/>
      <c r="CF900" s="6"/>
      <c r="CG900" s="6"/>
      <c r="CH900" s="3"/>
      <c r="CI900" s="3"/>
      <c r="CJ900" s="6"/>
      <c r="CK900" s="3"/>
      <c r="CL900" s="3"/>
      <c r="CM900" s="6"/>
      <c r="CN900" s="3"/>
      <c r="CO900" s="3"/>
      <c r="CP900" s="6"/>
      <c r="CQ900" s="3"/>
      <c r="CR900" s="7"/>
      <c r="CS900" s="6"/>
      <c r="CT900" s="3"/>
      <c r="CU900" s="6"/>
      <c r="CV900" s="6"/>
      <c r="CW900" s="3"/>
      <c r="CX900" s="3"/>
      <c r="CY900" s="6"/>
      <c r="CZ900" s="3"/>
      <c r="DA900" s="3"/>
      <c r="DB900" s="6"/>
      <c r="DC900" s="3"/>
      <c r="DD900" s="3"/>
      <c r="DE900" s="6"/>
      <c r="DF900" s="3"/>
      <c r="DG900" s="7"/>
      <c r="DH900" s="6"/>
      <c r="DI900" s="3"/>
      <c r="DJ900" s="6"/>
      <c r="DK900" s="6"/>
      <c r="DL900" s="3"/>
      <c r="DM900" s="3"/>
      <c r="DN900" s="6"/>
      <c r="DO900" s="3"/>
      <c r="DP900" s="3"/>
      <c r="DQ900" s="6"/>
      <c r="DR900" s="3"/>
      <c r="DS900" s="3" t="str">
        <f>_xlfn.XLOOKUP(OfficeForms.Table[[#This Row],[Selecione a Categoria do Laboratório desta atividade prática:]],Planilha1!A:A,Planilha1!B:B)</f>
        <v>EMF-ISN</v>
      </c>
      <c r="DT900" s="6" t="str">
        <f>CONCATENATE(OfficeForms.Table[[#This Row],[Selecione seu Polo Laboratório de Atividades Presenciais:]],OfficeForms.Table[[#This Row],[CHAVE CONVERSÃO]])</f>
        <v>Lages/SC - CentroEMF-ISN</v>
      </c>
      <c r="DU90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Banho de leito + Lavagem gástrica;Sondagem vesical de alívio + Sondagem vesical de demora</v>
      </c>
      <c r="DV90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46137</v>
      </c>
      <c r="DW90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900" s="6" t="str">
        <f>_xlfn.XLOOKUP(OfficeForms.Table[[#This Row],[CHAVE LINK POLO]],'[1]Quadro Geral de Lotação'!$B:$B,'[1]Quadro Geral de Lotação'!$I:$I)</f>
        <v>Daniela Madruga</v>
      </c>
      <c r="DY900" s="6" t="str">
        <f>OfficeForms.Table[[#This Row],[Selecione a Ordem de Disciplina]]</f>
        <v>Ordem 3</v>
      </c>
    </row>
    <row r="901" spans="1:129" ht="34.15" customHeight="1">
      <c r="A901" s="6">
        <v>901</v>
      </c>
      <c r="B901" s="2">
        <v>46137.475069444401</v>
      </c>
      <c r="C901" s="2">
        <v>46137.4761574074</v>
      </c>
      <c r="D901" s="3" t="s">
        <v>463</v>
      </c>
      <c r="E901" s="3" t="s">
        <v>464</v>
      </c>
      <c r="F901" s="6"/>
      <c r="G901" s="3"/>
      <c r="I901" s="3" t="s">
        <v>445</v>
      </c>
      <c r="J901" s="6"/>
      <c r="K901" s="3"/>
      <c r="L901" s="6" t="s">
        <v>1325</v>
      </c>
      <c r="M901" s="6"/>
      <c r="N901" s="6"/>
      <c r="O901" s="3" t="s">
        <v>156</v>
      </c>
      <c r="P901" s="6"/>
      <c r="Q901" s="3"/>
      <c r="R901" s="3"/>
      <c r="S901" s="6"/>
      <c r="T901" s="3"/>
      <c r="U901" s="7"/>
      <c r="V901" s="6"/>
      <c r="W901" s="3"/>
      <c r="X901" s="6"/>
      <c r="Y901" s="6"/>
      <c r="Z901" s="3"/>
      <c r="AA901" s="3"/>
      <c r="AB901" s="6"/>
      <c r="AC901" s="3"/>
      <c r="AD901" s="3"/>
      <c r="AE901" s="6"/>
      <c r="AF901" s="3"/>
      <c r="AG901" s="3"/>
      <c r="AH901" s="6"/>
      <c r="AI901" s="3"/>
      <c r="AJ901" s="1"/>
      <c r="AK901" s="6"/>
      <c r="AL901" s="3"/>
      <c r="AM901" s="6"/>
      <c r="AN901" s="6"/>
      <c r="AO901" s="3"/>
      <c r="AP901" s="3"/>
      <c r="AQ901" s="6"/>
      <c r="AR901" s="3"/>
      <c r="AS901" s="3"/>
      <c r="AT901" s="6"/>
      <c r="AU901" s="3"/>
      <c r="AV901" s="3"/>
      <c r="AW901" s="6"/>
      <c r="AX901" s="3"/>
      <c r="AY901" s="7"/>
      <c r="AZ901" s="6"/>
      <c r="BA901" s="3"/>
      <c r="BB901" s="6"/>
      <c r="BC901" s="6"/>
      <c r="BD901" s="3"/>
      <c r="BE901" s="3"/>
      <c r="BF901" s="6"/>
      <c r="BG901" s="3"/>
      <c r="BH901" s="3"/>
      <c r="BI901" s="6"/>
      <c r="BJ901" s="3"/>
      <c r="BK901" s="3" t="s">
        <v>2523</v>
      </c>
      <c r="BL901" s="6"/>
      <c r="BM901" s="3"/>
      <c r="BN901" s="7">
        <v>46135</v>
      </c>
      <c r="BO901" s="6"/>
      <c r="BP901" s="3"/>
      <c r="BQ901" s="6">
        <v>8</v>
      </c>
      <c r="BR901" s="6"/>
      <c r="BS901" s="3"/>
      <c r="BT901" s="3" t="s">
        <v>2524</v>
      </c>
      <c r="BU901" s="6"/>
      <c r="BV901" s="3"/>
      <c r="BW901" s="3" t="s">
        <v>2525</v>
      </c>
      <c r="BX901" s="6"/>
      <c r="BY901" s="3"/>
      <c r="BZ901" s="3"/>
      <c r="CA901" s="6"/>
      <c r="CB901" s="3"/>
      <c r="CC901" s="7"/>
      <c r="CD901" s="6"/>
      <c r="CE901" s="3"/>
      <c r="CF901" s="6"/>
      <c r="CG901" s="6"/>
      <c r="CH901" s="3"/>
      <c r="CI901" s="3"/>
      <c r="CJ901" s="6"/>
      <c r="CK901" s="3"/>
      <c r="CL901" s="3"/>
      <c r="CM901" s="6"/>
      <c r="CN901" s="3"/>
      <c r="CO901" s="3"/>
      <c r="CP901" s="6"/>
      <c r="CQ901" s="3"/>
      <c r="CR901" s="7"/>
      <c r="CS901" s="6"/>
      <c r="CT901" s="3"/>
      <c r="CU901" s="6"/>
      <c r="CV901" s="6"/>
      <c r="CW901" s="3"/>
      <c r="CX901" s="3"/>
      <c r="CY901" s="6"/>
      <c r="CZ901" s="3"/>
      <c r="DA901" s="3"/>
      <c r="DB901" s="6"/>
      <c r="DC901" s="3"/>
      <c r="DD901" s="3"/>
      <c r="DE901" s="6"/>
      <c r="DF901" s="3"/>
      <c r="DG901" s="7"/>
      <c r="DH901" s="6"/>
      <c r="DI901" s="3"/>
      <c r="DJ901" s="6"/>
      <c r="DK901" s="6"/>
      <c r="DL901" s="3"/>
      <c r="DM901" s="3"/>
      <c r="DN901" s="6"/>
      <c r="DO901" s="3"/>
      <c r="DP901" s="3"/>
      <c r="DQ901" s="6"/>
      <c r="DR901" s="3"/>
      <c r="DS901" s="3" t="str">
        <f>_xlfn.XLOOKUP(OfficeForms.Table[[#This Row],[Selecione a Categoria do Laboratório desta atividade prática:]],Planilha1!A:A,Planilha1!B:B)</f>
        <v>NTR</v>
      </c>
      <c r="DT901" s="6" t="str">
        <f>CONCATENATE(OfficeForms.Table[[#This Row],[Selecione seu Polo Laboratório de Atividades Presenciais:]],OfficeForms.Table[[#This Row],[CHAVE CONVERSÃO]])</f>
        <v>Goiânia/GO - Jardim EuropaNTR</v>
      </c>
      <c r="DU90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 Dietética 1: carnes, ovos e leguminosas;Técnica Dietética: pesos e medidas em alimentos e aplicação dos indicadores de preparo dos alimentos</v>
      </c>
      <c r="DV90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46135</v>
      </c>
      <c r="DW90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8</v>
      </c>
      <c r="DX901" s="6" t="str">
        <f>_xlfn.XLOOKUP(OfficeForms.Table[[#This Row],[CHAVE LINK POLO]],'[1]Quadro Geral de Lotação'!$B:$B,'[1]Quadro Geral de Lotação'!$I:$I)</f>
        <v>Kellen Ferreira Nascimento</v>
      </c>
      <c r="DY901" s="6" t="str">
        <f>OfficeForms.Table[[#This Row],[Selecione a Ordem de Disciplina]]</f>
        <v>Ordem 3</v>
      </c>
    </row>
    <row r="902" spans="1:129" ht="34.15" customHeight="1">
      <c r="A902" s="6">
        <v>902</v>
      </c>
      <c r="B902" s="2">
        <v>46137.495162036997</v>
      </c>
      <c r="C902" s="2">
        <v>46137.496678240699</v>
      </c>
      <c r="D902" s="3" t="s">
        <v>313</v>
      </c>
      <c r="E902" s="3" t="s">
        <v>314</v>
      </c>
      <c r="F902" s="6"/>
      <c r="G902" s="3"/>
      <c r="I902" s="3" t="s">
        <v>315</v>
      </c>
      <c r="J902" s="6"/>
      <c r="K902" s="3"/>
      <c r="L902" s="6" t="s">
        <v>1325</v>
      </c>
      <c r="M902" s="6"/>
      <c r="N902" s="6"/>
      <c r="O902" s="3" t="s">
        <v>184</v>
      </c>
      <c r="P902" s="6"/>
      <c r="Q902" s="3"/>
      <c r="R902" s="3"/>
      <c r="S902" s="6"/>
      <c r="T902" s="3"/>
      <c r="U902" s="7"/>
      <c r="V902" s="6"/>
      <c r="W902" s="3"/>
      <c r="X902" s="6"/>
      <c r="Y902" s="6"/>
      <c r="Z902" s="3"/>
      <c r="AA902" s="3"/>
      <c r="AB902" s="6"/>
      <c r="AC902" s="3"/>
      <c r="AD902" s="3"/>
      <c r="AE902" s="6"/>
      <c r="AF902" s="3"/>
      <c r="AG902" s="3" t="s">
        <v>1511</v>
      </c>
      <c r="AH902" s="6"/>
      <c r="AI902" s="3"/>
      <c r="AJ902" s="1">
        <v>46137</v>
      </c>
      <c r="AK902" s="6"/>
      <c r="AL902" s="3"/>
      <c r="AM902" s="6">
        <v>5</v>
      </c>
      <c r="AN902" s="6"/>
      <c r="AO902" s="3"/>
      <c r="AP902" s="3" t="s">
        <v>2526</v>
      </c>
      <c r="AQ902" s="6"/>
      <c r="AR902" s="3"/>
      <c r="AS902" s="3" t="s">
        <v>2527</v>
      </c>
      <c r="AT902" s="6"/>
      <c r="AU902" s="3"/>
      <c r="AV902" s="3"/>
      <c r="AW902" s="6"/>
      <c r="AX902" s="3"/>
      <c r="AY902" s="7"/>
      <c r="AZ902" s="6"/>
      <c r="BA902" s="3"/>
      <c r="BB902" s="6"/>
      <c r="BC902" s="6"/>
      <c r="BD902" s="3"/>
      <c r="BE902" s="3"/>
      <c r="BF902" s="6"/>
      <c r="BG902" s="3"/>
      <c r="BH902" s="3"/>
      <c r="BI902" s="6"/>
      <c r="BJ902" s="3"/>
      <c r="BK902" s="3"/>
      <c r="BL902" s="6"/>
      <c r="BM902" s="3"/>
      <c r="BN902" s="7"/>
      <c r="BO902" s="6"/>
      <c r="BP902" s="3"/>
      <c r="BQ902" s="6"/>
      <c r="BR902" s="6"/>
      <c r="BS902" s="3"/>
      <c r="BT902" s="3"/>
      <c r="BU902" s="6"/>
      <c r="BV902" s="3"/>
      <c r="BW902" s="3"/>
      <c r="BX902" s="6"/>
      <c r="BY902" s="3"/>
      <c r="BZ902" s="3"/>
      <c r="CA902" s="6"/>
      <c r="CB902" s="3"/>
      <c r="CC902" s="7"/>
      <c r="CD902" s="6"/>
      <c r="CE902" s="3"/>
      <c r="CF902" s="6"/>
      <c r="CG902" s="6"/>
      <c r="CH902" s="3"/>
      <c r="CI902" s="3"/>
      <c r="CJ902" s="6"/>
      <c r="CK902" s="3"/>
      <c r="CL902" s="3"/>
      <c r="CM902" s="6"/>
      <c r="CN902" s="3"/>
      <c r="CO902" s="3"/>
      <c r="CP902" s="6"/>
      <c r="CQ902" s="3"/>
      <c r="CR902" s="7"/>
      <c r="CS902" s="6"/>
      <c r="CT902" s="3"/>
      <c r="CU902" s="6"/>
      <c r="CV902" s="6"/>
      <c r="CW902" s="3"/>
      <c r="CX902" s="3"/>
      <c r="CY902" s="6"/>
      <c r="CZ902" s="3"/>
      <c r="DA902" s="3"/>
      <c r="DB902" s="6"/>
      <c r="DC902" s="3"/>
      <c r="DD902" s="3"/>
      <c r="DE902" s="6"/>
      <c r="DF902" s="3"/>
      <c r="DG902" s="7"/>
      <c r="DH902" s="6"/>
      <c r="DI902" s="3"/>
      <c r="DJ902" s="6"/>
      <c r="DK902" s="6"/>
      <c r="DL902" s="3"/>
      <c r="DM902" s="3"/>
      <c r="DN902" s="6"/>
      <c r="DO902" s="3"/>
      <c r="DP902" s="3"/>
      <c r="DQ902" s="6"/>
      <c r="DR902" s="3"/>
      <c r="DS902" s="3" t="str">
        <f>_xlfn.XLOOKUP(OfficeForms.Table[[#This Row],[Selecione a Categoria do Laboratório desta atividade prática:]],Planilha1!A:A,Planilha1!B:B)</f>
        <v>EMF-ISN</v>
      </c>
      <c r="DT902" s="6" t="str">
        <f>CONCATENATE(OfficeForms.Table[[#This Row],[Selecione seu Polo Laboratório de Atividades Presenciais:]],OfficeForms.Table[[#This Row],[CHAVE CONVERSÃO]])</f>
        <v>Alenquer/PAEMF-ISN</v>
      </c>
      <c r="DU90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Sondagem vesical de alívio + Sondagem vesical de demora</v>
      </c>
      <c r="DV90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46137</v>
      </c>
      <c r="DW90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902" s="6" t="str">
        <f>_xlfn.XLOOKUP(OfficeForms.Table[[#This Row],[CHAVE LINK POLO]],'[1]Quadro Geral de Lotação'!$B:$B,'[1]Quadro Geral de Lotação'!$I:$I)</f>
        <v>Ana Flavia Chaves De Souza</v>
      </c>
      <c r="DY902" s="6" t="str">
        <f>OfficeForms.Table[[#This Row],[Selecione a Ordem de Disciplina]]</f>
        <v>Ordem 3</v>
      </c>
    </row>
    <row r="903" spans="1:129" ht="34.15" customHeight="1">
      <c r="A903" s="6">
        <v>903</v>
      </c>
      <c r="B903" s="2">
        <v>46137.806365740696</v>
      </c>
      <c r="C903" s="2">
        <v>46137.819745370398</v>
      </c>
      <c r="D903" s="3" t="s">
        <v>344</v>
      </c>
      <c r="E903" s="3" t="s">
        <v>345</v>
      </c>
      <c r="F903" s="6"/>
      <c r="G903" s="3"/>
      <c r="I903" s="3" t="s">
        <v>346</v>
      </c>
      <c r="J903" s="6"/>
      <c r="K903" s="3"/>
      <c r="L903" s="6" t="s">
        <v>1325</v>
      </c>
      <c r="M903" s="6"/>
      <c r="N903" s="6"/>
      <c r="O903" s="3" t="s">
        <v>133</v>
      </c>
      <c r="P903" s="6"/>
      <c r="Q903" s="3"/>
      <c r="R903" s="3"/>
      <c r="S903" s="6"/>
      <c r="T903" s="3"/>
      <c r="U903" s="7"/>
      <c r="V903" s="6"/>
      <c r="W903" s="3"/>
      <c r="X903" s="6"/>
      <c r="Y903" s="6"/>
      <c r="Z903" s="3"/>
      <c r="AA903" s="3"/>
      <c r="AB903" s="6"/>
      <c r="AC903" s="3"/>
      <c r="AD903" s="3"/>
      <c r="AE903" s="6"/>
      <c r="AF903" s="3"/>
      <c r="AG903" s="3"/>
      <c r="AH903" s="6"/>
      <c r="AI903" s="3"/>
      <c r="AJ903" s="1"/>
      <c r="AK903" s="6"/>
      <c r="AL903" s="3"/>
      <c r="AM903" s="6"/>
      <c r="AN903" s="6"/>
      <c r="AO903" s="3"/>
      <c r="AP903" s="3"/>
      <c r="AQ903" s="6"/>
      <c r="AR903" s="3"/>
      <c r="AS903" s="3"/>
      <c r="AT903" s="6"/>
      <c r="AU903" s="3"/>
      <c r="AV903" s="3" t="s">
        <v>2528</v>
      </c>
      <c r="AW903" s="6"/>
      <c r="AX903" s="3"/>
      <c r="AY903" s="7">
        <v>46125</v>
      </c>
      <c r="AZ903" s="6"/>
      <c r="BA903" s="3"/>
      <c r="BB903" s="6">
        <v>0</v>
      </c>
      <c r="BC903" s="6"/>
      <c r="BD903" s="3"/>
      <c r="BE903" s="3" t="s">
        <v>2529</v>
      </c>
      <c r="BF903" s="6"/>
      <c r="BG903" s="3"/>
      <c r="BH903" s="3" t="s">
        <v>2530</v>
      </c>
      <c r="BI903" s="6"/>
      <c r="BJ903" s="3"/>
      <c r="BK903" s="3"/>
      <c r="BL903" s="6"/>
      <c r="BM903" s="3"/>
      <c r="BN903" s="7"/>
      <c r="BO903" s="6"/>
      <c r="BP903" s="3"/>
      <c r="BQ903" s="6"/>
      <c r="BR903" s="6"/>
      <c r="BS903" s="3"/>
      <c r="BT903" s="3"/>
      <c r="BU903" s="6"/>
      <c r="BV903" s="3"/>
      <c r="BW903" s="3"/>
      <c r="BX903" s="6"/>
      <c r="BY903" s="3"/>
      <c r="BZ903" s="3"/>
      <c r="CA903" s="6"/>
      <c r="CB903" s="3"/>
      <c r="CC903" s="7"/>
      <c r="CD903" s="6"/>
      <c r="CE903" s="3"/>
      <c r="CF903" s="6"/>
      <c r="CG903" s="6"/>
      <c r="CH903" s="3"/>
      <c r="CI903" s="3"/>
      <c r="CJ903" s="6"/>
      <c r="CK903" s="3"/>
      <c r="CL903" s="3"/>
      <c r="CM903" s="6"/>
      <c r="CN903" s="3"/>
      <c r="CO903" s="3"/>
      <c r="CP903" s="6"/>
      <c r="CQ903" s="3"/>
      <c r="CR903" s="7"/>
      <c r="CS903" s="6"/>
      <c r="CT903" s="3"/>
      <c r="CU903" s="6"/>
      <c r="CV903" s="6"/>
      <c r="CW903" s="3"/>
      <c r="CX903" s="3"/>
      <c r="CY903" s="6"/>
      <c r="CZ903" s="3"/>
      <c r="DA903" s="3"/>
      <c r="DB903" s="6"/>
      <c r="DC903" s="3"/>
      <c r="DD903" s="3"/>
      <c r="DE903" s="6"/>
      <c r="DF903" s="3"/>
      <c r="DG903" s="7"/>
      <c r="DH903" s="6"/>
      <c r="DI903" s="3"/>
      <c r="DJ903" s="6"/>
      <c r="DK903" s="6"/>
      <c r="DL903" s="3"/>
      <c r="DM903" s="3"/>
      <c r="DN903" s="6"/>
      <c r="DO903" s="3"/>
      <c r="DP903" s="3"/>
      <c r="DQ903" s="6"/>
      <c r="DR903" s="3"/>
      <c r="DS903" s="3" t="str">
        <f>_xlfn.XLOOKUP(OfficeForms.Table[[#This Row],[Selecione a Categoria do Laboratório desta atividade prática:]],Planilha1!A:A,Planilha1!B:B)</f>
        <v>BFI</v>
      </c>
      <c r="DT903" s="6" t="str">
        <f>CONCATENATE(OfficeForms.Table[[#This Row],[Selecione seu Polo Laboratório de Atividades Presenciais:]],OfficeForms.Table[[#This Row],[CHAVE CONVERSÃO]])</f>
        <v>Boa Viagem/CEBFI</v>
      </c>
      <c r="DU90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Fototerapia na Reabilitação Fisioterapêutica: Prática em Eletrotermofototerapia;Fundamentos e Aplicações Clínicas da Eletroterapia: Prática em Eletrotermofototerapia</v>
      </c>
      <c r="DV90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46125</v>
      </c>
      <c r="DW90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903" s="6" t="str">
        <f>_xlfn.XLOOKUP(OfficeForms.Table[[#This Row],[CHAVE LINK POLO]],'[1]Quadro Geral de Lotação'!$B:$B,'[1]Quadro Geral de Lotação'!$I:$I)</f>
        <v>Airton Souza Farias</v>
      </c>
      <c r="DY903" s="6" t="str">
        <f>OfficeForms.Table[[#This Row],[Selecione a Ordem de Disciplina]]</f>
        <v>Ordem 3</v>
      </c>
    </row>
    <row r="904" spans="1:129" ht="34.15" customHeight="1">
      <c r="A904" s="6">
        <v>904</v>
      </c>
      <c r="B904" s="2">
        <v>46137.819803240702</v>
      </c>
      <c r="C904" s="2">
        <v>46137.828703703701</v>
      </c>
      <c r="D904" s="3" t="s">
        <v>344</v>
      </c>
      <c r="E904" s="3" t="s">
        <v>345</v>
      </c>
      <c r="F904" s="6"/>
      <c r="G904" s="3"/>
      <c r="I904" s="3" t="s">
        <v>346</v>
      </c>
      <c r="J904" s="6"/>
      <c r="K904" s="3"/>
      <c r="L904" s="6" t="s">
        <v>1325</v>
      </c>
      <c r="M904" s="6"/>
      <c r="N904" s="6"/>
      <c r="O904" s="3" t="s">
        <v>133</v>
      </c>
      <c r="P904" s="6"/>
      <c r="Q904" s="3"/>
      <c r="R904" s="3"/>
      <c r="S904" s="6"/>
      <c r="T904" s="3"/>
      <c r="U904" s="7"/>
      <c r="V904" s="6"/>
      <c r="W904" s="3"/>
      <c r="X904" s="6"/>
      <c r="Y904" s="6"/>
      <c r="Z904" s="3"/>
      <c r="AA904" s="3"/>
      <c r="AB904" s="6"/>
      <c r="AC904" s="3"/>
      <c r="AD904" s="3"/>
      <c r="AE904" s="6"/>
      <c r="AF904" s="3"/>
      <c r="AG904" s="3"/>
      <c r="AH904" s="6"/>
      <c r="AI904" s="3"/>
      <c r="AJ904" s="1"/>
      <c r="AK904" s="6"/>
      <c r="AL904" s="3"/>
      <c r="AM904" s="6"/>
      <c r="AN904" s="6"/>
      <c r="AO904" s="3"/>
      <c r="AP904" s="3"/>
      <c r="AQ904" s="6"/>
      <c r="AR904" s="3"/>
      <c r="AS904" s="3"/>
      <c r="AT904" s="6"/>
      <c r="AU904" s="3"/>
      <c r="AV904" s="3" t="s">
        <v>2531</v>
      </c>
      <c r="AW904" s="6"/>
      <c r="AX904" s="3"/>
      <c r="AY904" s="7">
        <v>46132</v>
      </c>
      <c r="AZ904" s="6"/>
      <c r="BA904" s="3"/>
      <c r="BB904" s="6">
        <v>0</v>
      </c>
      <c r="BC904" s="6"/>
      <c r="BD904" s="3"/>
      <c r="BE904" s="3" t="s">
        <v>2532</v>
      </c>
      <c r="BF904" s="6"/>
      <c r="BG904" s="3"/>
      <c r="BH904" s="3" t="s">
        <v>2533</v>
      </c>
      <c r="BI904" s="6"/>
      <c r="BJ904" s="3"/>
      <c r="BK904" s="3"/>
      <c r="BL904" s="6"/>
      <c r="BM904" s="3"/>
      <c r="BN904" s="7"/>
      <c r="BO904" s="6"/>
      <c r="BP904" s="3"/>
      <c r="BQ904" s="6"/>
      <c r="BR904" s="6"/>
      <c r="BS904" s="3"/>
      <c r="BT904" s="3"/>
      <c r="BU904" s="6"/>
      <c r="BV904" s="3"/>
      <c r="BW904" s="3"/>
      <c r="BX904" s="6"/>
      <c r="BY904" s="3"/>
      <c r="BZ904" s="3"/>
      <c r="CA904" s="6"/>
      <c r="CB904" s="3"/>
      <c r="CC904" s="7"/>
      <c r="CD904" s="6"/>
      <c r="CE904" s="3"/>
      <c r="CF904" s="6"/>
      <c r="CG904" s="6"/>
      <c r="CH904" s="3"/>
      <c r="CI904" s="3"/>
      <c r="CJ904" s="6"/>
      <c r="CK904" s="3"/>
      <c r="CL904" s="3"/>
      <c r="CM904" s="6"/>
      <c r="CN904" s="3"/>
      <c r="CO904" s="3"/>
      <c r="CP904" s="6"/>
      <c r="CQ904" s="3"/>
      <c r="CR904" s="7"/>
      <c r="CS904" s="6"/>
      <c r="CT904" s="3"/>
      <c r="CU904" s="6"/>
      <c r="CV904" s="6"/>
      <c r="CW904" s="3"/>
      <c r="CX904" s="3"/>
      <c r="CY904" s="6"/>
      <c r="CZ904" s="3"/>
      <c r="DA904" s="3"/>
      <c r="DB904" s="6"/>
      <c r="DC904" s="3"/>
      <c r="DD904" s="3"/>
      <c r="DE904" s="6"/>
      <c r="DF904" s="3"/>
      <c r="DG904" s="7"/>
      <c r="DH904" s="6"/>
      <c r="DI904" s="3"/>
      <c r="DJ904" s="6"/>
      <c r="DK904" s="6"/>
      <c r="DL904" s="3"/>
      <c r="DM904" s="3"/>
      <c r="DN904" s="6"/>
      <c r="DO904" s="3"/>
      <c r="DP904" s="3"/>
      <c r="DQ904" s="6"/>
      <c r="DR904" s="3"/>
      <c r="DS904" s="3" t="str">
        <f>_xlfn.XLOOKUP(OfficeForms.Table[[#This Row],[Selecione a Categoria do Laboratório desta atividade prática:]],Planilha1!A:A,Planilha1!B:B)</f>
        <v>BFI</v>
      </c>
      <c r="DT904" s="6" t="str">
        <f>CONCATENATE(OfficeForms.Table[[#This Row],[Selecione seu Polo Laboratório de Atividades Presenciais:]],OfficeForms.Table[[#This Row],[CHAVE CONVERSÃO]])</f>
        <v>Boa Viagem/CEBFI</v>
      </c>
      <c r="DU90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Termoterapia na Reabilitação Fisioterapêutica: Aplicações Práticas e Benefícios Terapêuticos;Aplicação da Eletrotermofototerapia em Casos Clínicos Reais</v>
      </c>
      <c r="DV90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46132</v>
      </c>
      <c r="DW90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904" s="6" t="str">
        <f>_xlfn.XLOOKUP(OfficeForms.Table[[#This Row],[CHAVE LINK POLO]],'[1]Quadro Geral de Lotação'!$B:$B,'[1]Quadro Geral de Lotação'!$I:$I)</f>
        <v>Airton Souza Farias</v>
      </c>
      <c r="DY904" s="6" t="str">
        <f>OfficeForms.Table[[#This Row],[Selecione a Ordem de Disciplina]]</f>
        <v>Ordem 3</v>
      </c>
    </row>
    <row r="905" spans="1:129" ht="34.15" customHeight="1">
      <c r="A905" s="6">
        <v>905</v>
      </c>
      <c r="B905" s="2">
        <v>46138.447858796302</v>
      </c>
      <c r="C905" s="2">
        <v>46138.452037037001</v>
      </c>
      <c r="D905" s="3" t="s">
        <v>1480</v>
      </c>
      <c r="E905" s="3" t="s">
        <v>1481</v>
      </c>
      <c r="F905" s="6"/>
      <c r="G905" s="3"/>
      <c r="I905" s="3" t="s">
        <v>545</v>
      </c>
      <c r="J905" s="6"/>
      <c r="K905" s="3"/>
      <c r="L905" s="6" t="s">
        <v>1325</v>
      </c>
      <c r="M905" s="6"/>
      <c r="N905" s="6"/>
      <c r="O905" s="3" t="s">
        <v>1482</v>
      </c>
      <c r="P905" s="6"/>
      <c r="Q905" s="3"/>
      <c r="R905" s="3"/>
      <c r="S905" s="6"/>
      <c r="T905" s="3"/>
      <c r="U905" s="7"/>
      <c r="V905" s="6"/>
      <c r="W905" s="3"/>
      <c r="X905" s="6"/>
      <c r="Y905" s="6"/>
      <c r="Z905" s="3"/>
      <c r="AA905" s="3"/>
      <c r="AB905" s="6"/>
      <c r="AC905" s="3"/>
      <c r="AD905" s="3"/>
      <c r="AE905" s="6"/>
      <c r="AF905" s="3"/>
      <c r="AG905" s="3"/>
      <c r="AH905" s="6"/>
      <c r="AI905" s="3"/>
      <c r="AJ905" s="1"/>
      <c r="AK905" s="6"/>
      <c r="AL905" s="3"/>
      <c r="AM905" s="6"/>
      <c r="AN905" s="6"/>
      <c r="AO905" s="3"/>
      <c r="AP905" s="3"/>
      <c r="AQ905" s="6"/>
      <c r="AR905" s="3"/>
      <c r="AS905" s="3"/>
      <c r="AT905" s="6"/>
      <c r="AU905" s="3"/>
      <c r="AV905" s="3"/>
      <c r="AW905" s="6"/>
      <c r="AX905" s="3"/>
      <c r="AY905" s="7"/>
      <c r="AZ905" s="6"/>
      <c r="BA905" s="3"/>
      <c r="BB905" s="6"/>
      <c r="BC905" s="6"/>
      <c r="BD905" s="3"/>
      <c r="BE905" s="3"/>
      <c r="BF905" s="6"/>
      <c r="BG905" s="3"/>
      <c r="BH905" s="3"/>
      <c r="BI905" s="6"/>
      <c r="BJ905" s="3"/>
      <c r="BK905" s="3"/>
      <c r="BL905" s="6"/>
      <c r="BM905" s="3"/>
      <c r="BN905" s="7"/>
      <c r="BO905" s="6"/>
      <c r="BP905" s="3"/>
      <c r="BQ905" s="6"/>
      <c r="BR905" s="6"/>
      <c r="BS905" s="3"/>
      <c r="BT905" s="3"/>
      <c r="BU905" s="6"/>
      <c r="BV905" s="3"/>
      <c r="BW905" s="3"/>
      <c r="BX905" s="6"/>
      <c r="BY905" s="3"/>
      <c r="BZ905" s="3"/>
      <c r="CA905" s="6"/>
      <c r="CB905" s="3"/>
      <c r="CC905" s="7"/>
      <c r="CD905" s="6"/>
      <c r="CE905" s="3"/>
      <c r="CF905" s="6"/>
      <c r="CG905" s="6"/>
      <c r="CH905" s="3"/>
      <c r="CI905" s="3"/>
      <c r="CJ905" s="6"/>
      <c r="CK905" s="3"/>
      <c r="CL905" s="3"/>
      <c r="CM905" s="6"/>
      <c r="CN905" s="3"/>
      <c r="CO905" s="3" t="s">
        <v>2301</v>
      </c>
      <c r="CP905" s="6"/>
      <c r="CQ905" s="3"/>
      <c r="CR905" s="7">
        <v>46134</v>
      </c>
      <c r="CS905" s="6"/>
      <c r="CT905" s="3"/>
      <c r="CU905" s="6">
        <v>38</v>
      </c>
      <c r="CV905" s="6"/>
      <c r="CW905" s="3"/>
      <c r="CX905" s="3" t="s">
        <v>2534</v>
      </c>
      <c r="CY905" s="6"/>
      <c r="CZ905" s="3"/>
      <c r="DA905" s="3" t="s">
        <v>2535</v>
      </c>
      <c r="DB905" s="6"/>
      <c r="DC905" s="3"/>
      <c r="DD905" s="3"/>
      <c r="DE905" s="6"/>
      <c r="DF905" s="3"/>
      <c r="DG905" s="7"/>
      <c r="DH905" s="6"/>
      <c r="DI905" s="3"/>
      <c r="DJ905" s="6"/>
      <c r="DK905" s="6"/>
      <c r="DL905" s="3"/>
      <c r="DM905" s="3"/>
      <c r="DN905" s="6"/>
      <c r="DO905" s="3"/>
      <c r="DP905" s="3"/>
      <c r="DQ905" s="6"/>
      <c r="DR905" s="3"/>
      <c r="DS905" s="3" t="str">
        <f>_xlfn.XLOOKUP(OfficeForms.Table[[#This Row],[Selecione a Categoria do Laboratório desta atividade prática:]],Planilha1!A:A,Planilha1!B:B)</f>
        <v>BAU</v>
      </c>
      <c r="DT905" s="6" t="str">
        <f>CONCATENATE(OfficeForms.Table[[#This Row],[Selecione seu Polo Laboratório de Atividades Presenciais:]],OfficeForms.Table[[#This Row],[CHAVE CONVERSÃO]])</f>
        <v>Porto Alegre/RS - Centro HistóricoBAU</v>
      </c>
      <c r="DU90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Introdução a Caligrafia Técnica dentro das normas da ABNT (NBR 6492). +  Introdução aos Primeiros Passos</v>
      </c>
      <c r="DV90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90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38</v>
      </c>
      <c r="DX905" s="6" t="str">
        <f>_xlfn.XLOOKUP(OfficeForms.Table[[#This Row],[CHAVE LINK POLO]],'[1]Quadro Geral de Lotação'!$B:$B,'[1]Quadro Geral de Lotação'!$I:$I)</f>
        <v>Maria Cristina De Freitas Guerreiro</v>
      </c>
      <c r="DY905" s="6" t="str">
        <f>OfficeForms.Table[[#This Row],[Selecione a Ordem de Disciplina]]</f>
        <v>Ordem 3</v>
      </c>
    </row>
    <row r="906" spans="1:129" ht="34.15" customHeight="1">
      <c r="A906" s="6">
        <v>906</v>
      </c>
      <c r="B906" s="2">
        <v>46138.452106481498</v>
      </c>
      <c r="C906" s="2">
        <v>46138.453472222202</v>
      </c>
      <c r="D906" s="3" t="s">
        <v>1480</v>
      </c>
      <c r="E906" s="3" t="s">
        <v>1481</v>
      </c>
      <c r="F906" s="6"/>
      <c r="G906" s="3"/>
      <c r="I906" s="3" t="s">
        <v>545</v>
      </c>
      <c r="J906" s="6"/>
      <c r="K906" s="3"/>
      <c r="L906" s="6" t="s">
        <v>1325</v>
      </c>
      <c r="M906" s="6"/>
      <c r="N906" s="6"/>
      <c r="O906" s="3" t="s">
        <v>1482</v>
      </c>
      <c r="P906" s="6"/>
      <c r="Q906" s="3"/>
      <c r="R906" s="3"/>
      <c r="S906" s="6"/>
      <c r="T906" s="3"/>
      <c r="U906" s="7"/>
      <c r="V906" s="6"/>
      <c r="W906" s="3"/>
      <c r="X906" s="6"/>
      <c r="Y906" s="6"/>
      <c r="Z906" s="3"/>
      <c r="AA906" s="3"/>
      <c r="AB906" s="6"/>
      <c r="AC906" s="3"/>
      <c r="AD906" s="3"/>
      <c r="AE906" s="6"/>
      <c r="AF906" s="3"/>
      <c r="AG906" s="3"/>
      <c r="AH906" s="6"/>
      <c r="AI906" s="3"/>
      <c r="AJ906" s="1"/>
      <c r="AK906" s="6"/>
      <c r="AL906" s="3"/>
      <c r="AM906" s="6"/>
      <c r="AN906" s="6"/>
      <c r="AO906" s="3"/>
      <c r="AP906" s="3"/>
      <c r="AQ906" s="6"/>
      <c r="AR906" s="3"/>
      <c r="AS906" s="3"/>
      <c r="AT906" s="6"/>
      <c r="AU906" s="3"/>
      <c r="AV906" s="3"/>
      <c r="AW906" s="6"/>
      <c r="AX906" s="3"/>
      <c r="AY906" s="7"/>
      <c r="AZ906" s="6"/>
      <c r="BA906" s="3"/>
      <c r="BB906" s="6"/>
      <c r="BC906" s="6"/>
      <c r="BD906" s="3"/>
      <c r="BE906" s="3"/>
      <c r="BF906" s="6"/>
      <c r="BG906" s="3"/>
      <c r="BH906" s="3"/>
      <c r="BI906" s="6"/>
      <c r="BJ906" s="3"/>
      <c r="BK906" s="3"/>
      <c r="BL906" s="6"/>
      <c r="BM906" s="3"/>
      <c r="BN906" s="7"/>
      <c r="BO906" s="6"/>
      <c r="BP906" s="3"/>
      <c r="BQ906" s="6"/>
      <c r="BR906" s="6"/>
      <c r="BS906" s="3"/>
      <c r="BT906" s="3"/>
      <c r="BU906" s="6"/>
      <c r="BV906" s="3"/>
      <c r="BW906" s="3"/>
      <c r="BX906" s="6"/>
      <c r="BY906" s="3"/>
      <c r="BZ906" s="3"/>
      <c r="CA906" s="6"/>
      <c r="CB906" s="3"/>
      <c r="CC906" s="7"/>
      <c r="CD906" s="6"/>
      <c r="CE906" s="3"/>
      <c r="CF906" s="6"/>
      <c r="CG906" s="6"/>
      <c r="CH906" s="3"/>
      <c r="CI906" s="3"/>
      <c r="CJ906" s="6"/>
      <c r="CK906" s="3"/>
      <c r="CL906" s="3"/>
      <c r="CM906" s="6"/>
      <c r="CN906" s="3"/>
      <c r="CO906" s="3" t="s">
        <v>2536</v>
      </c>
      <c r="CP906" s="6"/>
      <c r="CQ906" s="3"/>
      <c r="CR906" s="7">
        <v>46134</v>
      </c>
      <c r="CS906" s="6"/>
      <c r="CT906" s="3"/>
      <c r="CU906" s="6">
        <v>38</v>
      </c>
      <c r="CV906" s="6"/>
      <c r="CW906" s="3"/>
      <c r="CX906" s="3" t="s">
        <v>2537</v>
      </c>
      <c r="CY906" s="6"/>
      <c r="CZ906" s="3"/>
      <c r="DA906" s="3" t="s">
        <v>2538</v>
      </c>
      <c r="DB906" s="6"/>
      <c r="DC906" s="3"/>
      <c r="DD906" s="3"/>
      <c r="DE906" s="6"/>
      <c r="DF906" s="3"/>
      <c r="DG906" s="7"/>
      <c r="DH906" s="6"/>
      <c r="DI906" s="3"/>
      <c r="DJ906" s="6"/>
      <c r="DK906" s="6"/>
      <c r="DL906" s="3"/>
      <c r="DM906" s="3"/>
      <c r="DN906" s="6"/>
      <c r="DO906" s="3"/>
      <c r="DP906" s="3"/>
      <c r="DQ906" s="6"/>
      <c r="DR906" s="3"/>
      <c r="DS906" s="3" t="str">
        <f>_xlfn.XLOOKUP(OfficeForms.Table[[#This Row],[Selecione a Categoria do Laboratório desta atividade prática:]],Planilha1!A:A,Planilha1!B:B)</f>
        <v>BAU</v>
      </c>
      <c r="DT906" s="6" t="str">
        <f>CONCATENATE(OfficeForms.Table[[#This Row],[Selecione seu Polo Laboratório de Atividades Presenciais:]],OfficeForms.Table[[#This Row],[CHAVE CONVERSÃO]])</f>
        <v>Porto Alegre/RS - Centro HistóricoBAU</v>
      </c>
      <c r="DU906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Representações do Desenho Técnico + Cotas e Escalas</v>
      </c>
      <c r="DV906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46134</v>
      </c>
      <c r="DW906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38</v>
      </c>
      <c r="DX906" s="6" t="str">
        <f>_xlfn.XLOOKUP(OfficeForms.Table[[#This Row],[CHAVE LINK POLO]],'[1]Quadro Geral de Lotação'!$B:$B,'[1]Quadro Geral de Lotação'!$I:$I)</f>
        <v>Maria Cristina De Freitas Guerreiro</v>
      </c>
      <c r="DY906" s="6" t="str">
        <f>OfficeForms.Table[[#This Row],[Selecione a Ordem de Disciplina]]</f>
        <v>Ordem 3</v>
      </c>
    </row>
    <row r="907" spans="1:129" ht="34.15" customHeight="1">
      <c r="A907" s="6">
        <v>907</v>
      </c>
      <c r="B907" s="2">
        <v>46138.705347222203</v>
      </c>
      <c r="C907" s="2">
        <v>46138.711539351803</v>
      </c>
      <c r="D907" s="3" t="s">
        <v>2539</v>
      </c>
      <c r="E907" s="3" t="s">
        <v>2540</v>
      </c>
      <c r="F907" s="6"/>
      <c r="G907" s="3"/>
      <c r="I907" s="3" t="s">
        <v>2541</v>
      </c>
      <c r="J907" s="6"/>
      <c r="K907" s="3"/>
      <c r="L907" s="6" t="s">
        <v>678</v>
      </c>
      <c r="M907" s="6"/>
      <c r="N907" s="6"/>
      <c r="O907" s="3" t="s">
        <v>140</v>
      </c>
      <c r="P907" s="6"/>
      <c r="Q907" s="3"/>
      <c r="R907" s="3"/>
      <c r="S907" s="6"/>
      <c r="T907" s="3"/>
      <c r="U907" s="7"/>
      <c r="V907" s="6"/>
      <c r="W907" s="3"/>
      <c r="X907" s="6"/>
      <c r="Y907" s="6"/>
      <c r="Z907" s="3"/>
      <c r="AA907" s="3"/>
      <c r="AB907" s="6"/>
      <c r="AC907" s="3"/>
      <c r="AD907" s="3"/>
      <c r="AE907" s="6"/>
      <c r="AF907" s="3"/>
      <c r="AG907" s="3"/>
      <c r="AH907" s="6"/>
      <c r="AI907" s="3"/>
      <c r="AJ907" s="1"/>
      <c r="AK907" s="6"/>
      <c r="AL907" s="3"/>
      <c r="AM907" s="6"/>
      <c r="AN907" s="6"/>
      <c r="AO907" s="3"/>
      <c r="AP907" s="3"/>
      <c r="AQ907" s="6"/>
      <c r="AR907" s="3"/>
      <c r="AS907" s="3"/>
      <c r="AT907" s="6"/>
      <c r="AU907" s="3"/>
      <c r="AV907" s="3"/>
      <c r="AW907" s="6"/>
      <c r="AX907" s="3"/>
      <c r="AY907" s="7"/>
      <c r="AZ907" s="6"/>
      <c r="BA907" s="3"/>
      <c r="BB907" s="6"/>
      <c r="BC907" s="6"/>
      <c r="BD907" s="3"/>
      <c r="BE907" s="3"/>
      <c r="BF907" s="6"/>
      <c r="BG907" s="3"/>
      <c r="BH907" s="3"/>
      <c r="BI907" s="6"/>
      <c r="BJ907" s="3"/>
      <c r="BK907" s="3"/>
      <c r="BL907" s="6"/>
      <c r="BM907" s="3"/>
      <c r="BN907" s="7"/>
      <c r="BO907" s="6"/>
      <c r="BP907" s="3"/>
      <c r="BQ907" s="6"/>
      <c r="BR907" s="6"/>
      <c r="BS907" s="3"/>
      <c r="BT907" s="3"/>
      <c r="BU907" s="6"/>
      <c r="BV907" s="3"/>
      <c r="BW907" s="3"/>
      <c r="BX907" s="6"/>
      <c r="BY907" s="3"/>
      <c r="BZ907" s="3" t="s">
        <v>2542</v>
      </c>
      <c r="CA907" s="6"/>
      <c r="CB907" s="3"/>
      <c r="CC907" s="7">
        <v>46114</v>
      </c>
      <c r="CD907" s="6"/>
      <c r="CE907" s="3"/>
      <c r="CF907" s="6">
        <v>1</v>
      </c>
      <c r="CG907" s="6"/>
      <c r="CH907" s="3"/>
      <c r="CI907" s="3" t="s">
        <v>2543</v>
      </c>
      <c r="CJ907" s="6"/>
      <c r="CK907" s="3"/>
      <c r="CL907" s="3" t="s">
        <v>2544</v>
      </c>
      <c r="CM907" s="6"/>
      <c r="CN907" s="3"/>
      <c r="CO907" s="3"/>
      <c r="CP907" s="6"/>
      <c r="CQ907" s="3"/>
      <c r="CR907" s="7"/>
      <c r="CS907" s="6"/>
      <c r="CT907" s="3"/>
      <c r="CU907" s="6"/>
      <c r="CV907" s="6"/>
      <c r="CW907" s="3"/>
      <c r="CX907" s="3"/>
      <c r="CY907" s="6"/>
      <c r="CZ907" s="3"/>
      <c r="DA907" s="3"/>
      <c r="DB907" s="6"/>
      <c r="DC907" s="3"/>
      <c r="DD907" s="3"/>
      <c r="DE907" s="6"/>
      <c r="DF907" s="3"/>
      <c r="DG907" s="7"/>
      <c r="DH907" s="6"/>
      <c r="DI907" s="3"/>
      <c r="DJ907" s="6"/>
      <c r="DK907" s="6"/>
      <c r="DL907" s="3"/>
      <c r="DM907" s="3"/>
      <c r="DN907" s="6"/>
      <c r="DO907" s="3"/>
      <c r="DP907" s="3"/>
      <c r="DQ907" s="6"/>
      <c r="DR907" s="3"/>
      <c r="DS907" s="3" t="str">
        <f>_xlfn.XLOOKUP(OfficeForms.Table[[#This Row],[Selecione a Categoria do Laboratório desta atividade prática:]],Planilha1!A:A,Planilha1!B:B)</f>
        <v>ECE-ENM-ENS-ENG-EEA-GPI-CDE-OBR-SAN-TER-FSA-SLF-QUI</v>
      </c>
      <c r="DT907" s="6" t="str">
        <f>CONCATENATE(OfficeForms.Table[[#This Row],[Selecione seu Polo Laboratório de Atividades Presenciais:]],OfficeForms.Table[[#This Row],[CHAVE CONVERSÃO]])</f>
        <v>Guaramirim/SCECE-ENM-ENS-ENG-EEA-GPI-CDE-OBR-SAN-TER-FSA-SLF-QUI</v>
      </c>
      <c r="DU907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 Desenho Técnico no AutoCAD: Prática Essencial para Iniciantes.</v>
      </c>
      <c r="DV907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46114</v>
      </c>
      <c r="DW907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907" s="6" t="e">
        <f>_xlfn.XLOOKUP(OfficeForms.Table[[#This Row],[CHAVE LINK POLO]],'[1]Quadro Geral de Lotação'!$B:$B,'[1]Quadro Geral de Lotação'!$I:$I)</f>
        <v>#N/A</v>
      </c>
      <c r="DY907" s="6" t="str">
        <f>OfficeForms.Table[[#This Row],[Selecione a Ordem de Disciplina]]</f>
        <v>Ordem 2</v>
      </c>
    </row>
    <row r="908" spans="1:129" ht="34.15" customHeight="1">
      <c r="A908" s="6">
        <v>908</v>
      </c>
      <c r="B908" s="2">
        <v>46138.711643518502</v>
      </c>
      <c r="C908" s="2">
        <v>46138.714074074102</v>
      </c>
      <c r="D908" s="3" t="s">
        <v>2539</v>
      </c>
      <c r="E908" s="3" t="s">
        <v>2540</v>
      </c>
      <c r="F908" s="6"/>
      <c r="G908" s="3"/>
      <c r="I908" s="3" t="s">
        <v>2541</v>
      </c>
      <c r="J908" s="6"/>
      <c r="K908" s="3"/>
      <c r="L908" s="6" t="s">
        <v>678</v>
      </c>
      <c r="M908" s="6"/>
      <c r="N908" s="6"/>
      <c r="O908" s="3" t="s">
        <v>140</v>
      </c>
      <c r="P908" s="6"/>
      <c r="Q908" s="3"/>
      <c r="R908" s="3"/>
      <c r="S908" s="6"/>
      <c r="T908" s="3"/>
      <c r="U908" s="7"/>
      <c r="V908" s="6"/>
      <c r="W908" s="3"/>
      <c r="X908" s="6"/>
      <c r="Y908" s="6"/>
      <c r="Z908" s="3"/>
      <c r="AA908" s="3"/>
      <c r="AB908" s="6"/>
      <c r="AC908" s="3"/>
      <c r="AD908" s="3"/>
      <c r="AE908" s="6"/>
      <c r="AF908" s="3"/>
      <c r="AG908" s="3"/>
      <c r="AH908" s="6"/>
      <c r="AI908" s="3"/>
      <c r="AJ908" s="1"/>
      <c r="AK908" s="6"/>
      <c r="AL908" s="3"/>
      <c r="AM908" s="6"/>
      <c r="AN908" s="6"/>
      <c r="AO908" s="3"/>
      <c r="AP908" s="3"/>
      <c r="AQ908" s="6"/>
      <c r="AR908" s="3"/>
      <c r="AS908" s="3"/>
      <c r="AT908" s="6"/>
      <c r="AU908" s="3"/>
      <c r="AV908" s="3"/>
      <c r="AW908" s="6"/>
      <c r="AX908" s="3"/>
      <c r="AY908" s="7"/>
      <c r="AZ908" s="6"/>
      <c r="BA908" s="3"/>
      <c r="BB908" s="6"/>
      <c r="BC908" s="6"/>
      <c r="BD908" s="3"/>
      <c r="BE908" s="3"/>
      <c r="BF908" s="6"/>
      <c r="BG908" s="3"/>
      <c r="BH908" s="3"/>
      <c r="BI908" s="6"/>
      <c r="BJ908" s="3"/>
      <c r="BK908" s="3"/>
      <c r="BL908" s="6"/>
      <c r="BM908" s="3"/>
      <c r="BN908" s="7"/>
      <c r="BO908" s="6"/>
      <c r="BP908" s="3"/>
      <c r="BQ908" s="6"/>
      <c r="BR908" s="6"/>
      <c r="BS908" s="3"/>
      <c r="BT908" s="3"/>
      <c r="BU908" s="6"/>
      <c r="BV908" s="3"/>
      <c r="BW908" s="3"/>
      <c r="BX908" s="6"/>
      <c r="BY908" s="3"/>
      <c r="BZ908" s="3" t="s">
        <v>2545</v>
      </c>
      <c r="CA908" s="6"/>
      <c r="CB908" s="3"/>
      <c r="CC908" s="7">
        <v>46121</v>
      </c>
      <c r="CD908" s="6"/>
      <c r="CE908" s="3"/>
      <c r="CF908" s="6">
        <v>1</v>
      </c>
      <c r="CG908" s="6"/>
      <c r="CH908" s="3"/>
      <c r="CI908" s="3" t="s">
        <v>2546</v>
      </c>
      <c r="CJ908" s="6"/>
      <c r="CK908" s="3"/>
      <c r="CL908" s="3" t="s">
        <v>2547</v>
      </c>
      <c r="CM908" s="6"/>
      <c r="CN908" s="3"/>
      <c r="CO908" s="3"/>
      <c r="CP908" s="6"/>
      <c r="CQ908" s="3"/>
      <c r="CR908" s="7"/>
      <c r="CS908" s="6"/>
      <c r="CT908" s="3"/>
      <c r="CU908" s="6"/>
      <c r="CV908" s="6"/>
      <c r="CW908" s="3"/>
      <c r="CX908" s="3"/>
      <c r="CY908" s="6"/>
      <c r="CZ908" s="3"/>
      <c r="DA908" s="3"/>
      <c r="DB908" s="6"/>
      <c r="DC908" s="3"/>
      <c r="DD908" s="3"/>
      <c r="DE908" s="6"/>
      <c r="DF908" s="3"/>
      <c r="DG908" s="7"/>
      <c r="DH908" s="6"/>
      <c r="DI908" s="3"/>
      <c r="DJ908" s="6"/>
      <c r="DK908" s="6"/>
      <c r="DL908" s="3"/>
      <c r="DM908" s="3"/>
      <c r="DN908" s="6"/>
      <c r="DO908" s="3"/>
      <c r="DP908" s="3"/>
      <c r="DQ908" s="6"/>
      <c r="DR908" s="3"/>
      <c r="DS908" s="3" t="str">
        <f>_xlfn.XLOOKUP(OfficeForms.Table[[#This Row],[Selecione a Categoria do Laboratório desta atividade prática:]],Planilha1!A:A,Planilha1!B:B)</f>
        <v>ECE-ENM-ENS-ENG-EEA-GPI-CDE-OBR-SAN-TER-FSA-SLF-QUI</v>
      </c>
      <c r="DT908" s="6" t="str">
        <f>CONCATENATE(OfficeForms.Table[[#This Row],[Selecione seu Polo Laboratório de Atividades Presenciais:]],OfficeForms.Table[[#This Row],[CHAVE CONVERSÃO]])</f>
        <v>Guaramirim/SCECE-ENM-ENS-ENG-EEA-GPI-CDE-OBR-SAN-TER-FSA-SLF-QUI</v>
      </c>
      <c r="DU908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ENGMAKER - Conceitos Básicos do Desenho Auxiliado por Computador (AutoCAD)</v>
      </c>
      <c r="DV908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46121</v>
      </c>
      <c r="DW908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908" s="6" t="e">
        <f>_xlfn.XLOOKUP(OfficeForms.Table[[#This Row],[CHAVE LINK POLO]],'[1]Quadro Geral de Lotação'!$B:$B,'[1]Quadro Geral de Lotação'!$I:$I)</f>
        <v>#N/A</v>
      </c>
      <c r="DY908" s="6" t="str">
        <f>OfficeForms.Table[[#This Row],[Selecione a Ordem de Disciplina]]</f>
        <v>Ordem 2</v>
      </c>
    </row>
    <row r="909" spans="1:129" ht="34.15" customHeight="1">
      <c r="A909" s="6">
        <v>909</v>
      </c>
      <c r="B909" s="2">
        <v>46139.398067129601</v>
      </c>
      <c r="C909" s="2">
        <v>46139.399305555598</v>
      </c>
      <c r="D909" s="3" t="s">
        <v>339</v>
      </c>
      <c r="E909" s="3" t="s">
        <v>340</v>
      </c>
      <c r="F909" s="6"/>
      <c r="G909" s="3"/>
      <c r="I909" s="3" t="s">
        <v>162</v>
      </c>
      <c r="J909" s="6"/>
      <c r="K909" s="3"/>
      <c r="L909" s="6" t="s">
        <v>1325</v>
      </c>
      <c r="M909" s="6"/>
      <c r="N909" s="6"/>
      <c r="O909" s="3" t="s">
        <v>177</v>
      </c>
      <c r="P909" s="6"/>
      <c r="Q909" s="3"/>
      <c r="R909" s="3"/>
      <c r="S909" s="6"/>
      <c r="T909" s="3"/>
      <c r="U909" s="7"/>
      <c r="V909" s="6"/>
      <c r="W909" s="3"/>
      <c r="X909" s="6"/>
      <c r="Y909" s="6"/>
      <c r="Z909" s="3"/>
      <c r="AA909" s="3"/>
      <c r="AB909" s="6"/>
      <c r="AC909" s="3"/>
      <c r="AD909" s="3"/>
      <c r="AE909" s="6"/>
      <c r="AF909" s="3"/>
      <c r="AG909" s="3"/>
      <c r="AH909" s="6"/>
      <c r="AI909" s="3"/>
      <c r="AJ909" s="1"/>
      <c r="AK909" s="6"/>
      <c r="AL909" s="3"/>
      <c r="AM909" s="6"/>
      <c r="AN909" s="6"/>
      <c r="AO909" s="3"/>
      <c r="AP909" s="3"/>
      <c r="AQ909" s="6"/>
      <c r="AR909" s="3"/>
      <c r="AS909" s="3"/>
      <c r="AT909" s="6"/>
      <c r="AU909" s="3"/>
      <c r="AV909" s="3"/>
      <c r="AW909" s="6"/>
      <c r="AX909" s="3"/>
      <c r="AY909" s="7"/>
      <c r="AZ909" s="6"/>
      <c r="BA909" s="3"/>
      <c r="BB909" s="6"/>
      <c r="BC909" s="6"/>
      <c r="BD909" s="3"/>
      <c r="BE909" s="3"/>
      <c r="BF909" s="6"/>
      <c r="BG909" s="3"/>
      <c r="BH909" s="3"/>
      <c r="BI909" s="6"/>
      <c r="BJ909" s="3"/>
      <c r="BK909" s="3"/>
      <c r="BL909" s="6"/>
      <c r="BM909" s="3"/>
      <c r="BN909" s="7"/>
      <c r="BO909" s="6"/>
      <c r="BP909" s="3"/>
      <c r="BQ909" s="6"/>
      <c r="BR909" s="6"/>
      <c r="BS909" s="3"/>
      <c r="BT909" s="3"/>
      <c r="BU909" s="6"/>
      <c r="BV909" s="3"/>
      <c r="BW909" s="3"/>
      <c r="BX909" s="6"/>
      <c r="BY909" s="3"/>
      <c r="BZ909" s="3"/>
      <c r="CA909" s="6"/>
      <c r="CB909" s="3"/>
      <c r="CC909" s="7"/>
      <c r="CD909" s="6"/>
      <c r="CE909" s="3"/>
      <c r="CF909" s="6"/>
      <c r="CG909" s="6"/>
      <c r="CH909" s="3"/>
      <c r="CI909" s="3"/>
      <c r="CJ909" s="6"/>
      <c r="CK909" s="3"/>
      <c r="CL909" s="3"/>
      <c r="CM909" s="6"/>
      <c r="CN909" s="3"/>
      <c r="CO909" s="3"/>
      <c r="CP909" s="6"/>
      <c r="CQ909" s="3"/>
      <c r="CR909" s="7"/>
      <c r="CS909" s="6"/>
      <c r="CT909" s="3"/>
      <c r="CU909" s="6"/>
      <c r="CV909" s="6"/>
      <c r="CW909" s="3"/>
      <c r="CX909" s="3"/>
      <c r="CY909" s="6"/>
      <c r="CZ909" s="3"/>
      <c r="DA909" s="3"/>
      <c r="DB909" s="6"/>
      <c r="DC909" s="3"/>
      <c r="DD909" s="3" t="s">
        <v>2301</v>
      </c>
      <c r="DE909" s="6"/>
      <c r="DF909" s="3"/>
      <c r="DG909" s="7">
        <v>46135</v>
      </c>
      <c r="DH909" s="6"/>
      <c r="DI909" s="3"/>
      <c r="DJ909" s="6">
        <v>0</v>
      </c>
      <c r="DK909" s="6"/>
      <c r="DL909" s="3"/>
      <c r="DM909" s="3" t="s">
        <v>2548</v>
      </c>
      <c r="DN909" s="6"/>
      <c r="DO909" s="3"/>
      <c r="DP909" s="3" t="s">
        <v>2549</v>
      </c>
      <c r="DQ909" s="6"/>
      <c r="DR909" s="3"/>
      <c r="DS909" s="3" t="str">
        <f>_xlfn.XLOOKUP(OfficeForms.Table[[#This Row],[Selecione a Categoria do Laboratório desta atividade prática:]],Planilha1!A:A,Planilha1!B:B)</f>
        <v>AGM</v>
      </c>
      <c r="DT909" s="6" t="str">
        <f>CONCATENATE(OfficeForms.Table[[#This Row],[Selecione seu Polo Laboratório de Atividades Presenciais:]],OfficeForms.Table[[#This Row],[CHAVE CONVERSÃO]])</f>
        <v>Florianópolis/SC - CentroAGM</v>
      </c>
      <c r="DU909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Introdução a Caligrafia Técnica dentro das normas da ABNT (NBR 6492). +  Introdução aos Primeiros Passos</v>
      </c>
      <c r="DV909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46135</v>
      </c>
      <c r="DW909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0</v>
      </c>
      <c r="DX909" s="6" t="str">
        <f>_xlfn.XLOOKUP(OfficeForms.Table[[#This Row],[CHAVE LINK POLO]],'[1]Quadro Geral de Lotação'!$B:$B,'[1]Quadro Geral de Lotação'!$I:$I)</f>
        <v>Michelle Barros Pantoja</v>
      </c>
      <c r="DY909" s="6" t="str">
        <f>OfficeForms.Table[[#This Row],[Selecione a Ordem de Disciplina]]</f>
        <v>Ordem 3</v>
      </c>
    </row>
    <row r="910" spans="1:129" ht="34.15" customHeight="1">
      <c r="A910" s="6">
        <v>910</v>
      </c>
      <c r="B910" s="2">
        <v>46139.407893518503</v>
      </c>
      <c r="C910" s="2">
        <v>46139.408333333296</v>
      </c>
      <c r="D910" s="3" t="s">
        <v>160</v>
      </c>
      <c r="E910" s="3" t="s">
        <v>161</v>
      </c>
      <c r="F910" s="6"/>
      <c r="G910" s="3"/>
      <c r="I910" s="3" t="s">
        <v>162</v>
      </c>
      <c r="J910" s="6"/>
      <c r="K910" s="3"/>
      <c r="L910" s="6" t="s">
        <v>1325</v>
      </c>
      <c r="M910" s="6"/>
      <c r="N910" s="6"/>
      <c r="O910" s="3" t="s">
        <v>156</v>
      </c>
      <c r="P910" s="6"/>
      <c r="Q910" s="3"/>
      <c r="R910" s="3"/>
      <c r="S910" s="6"/>
      <c r="T910" s="3"/>
      <c r="U910" s="7"/>
      <c r="V910" s="6"/>
      <c r="W910" s="3"/>
      <c r="X910" s="6"/>
      <c r="Y910" s="6"/>
      <c r="Z910" s="3"/>
      <c r="AA910" s="3"/>
      <c r="AB910" s="6"/>
      <c r="AC910" s="3"/>
      <c r="AD910" s="3"/>
      <c r="AE910" s="6"/>
      <c r="AF910" s="3"/>
      <c r="AG910" s="3"/>
      <c r="AH910" s="6"/>
      <c r="AI910" s="3"/>
      <c r="AJ910" s="1"/>
      <c r="AK910" s="6"/>
      <c r="AL910" s="3"/>
      <c r="AM910" s="6"/>
      <c r="AN910" s="6"/>
      <c r="AO910" s="3"/>
      <c r="AP910" s="3"/>
      <c r="AQ910" s="6"/>
      <c r="AR910" s="3"/>
      <c r="AS910" s="3"/>
      <c r="AT910" s="6"/>
      <c r="AU910" s="3"/>
      <c r="AV910" s="3"/>
      <c r="AW910" s="6"/>
      <c r="AX910" s="3"/>
      <c r="AY910" s="7"/>
      <c r="AZ910" s="6"/>
      <c r="BA910" s="3"/>
      <c r="BB910" s="6"/>
      <c r="BC910" s="6"/>
      <c r="BD910" s="3"/>
      <c r="BE910" s="3"/>
      <c r="BF910" s="6"/>
      <c r="BG910" s="3"/>
      <c r="BH910" s="3"/>
      <c r="BI910" s="6"/>
      <c r="BJ910" s="3"/>
      <c r="BK910" s="3" t="s">
        <v>2550</v>
      </c>
      <c r="BL910" s="6"/>
      <c r="BM910" s="3"/>
      <c r="BN910" s="7">
        <v>46135</v>
      </c>
      <c r="BO910" s="6"/>
      <c r="BP910" s="3"/>
      <c r="BQ910" s="6">
        <v>1</v>
      </c>
      <c r="BR910" s="6"/>
      <c r="BS910" s="3"/>
      <c r="BT910" s="3" t="s">
        <v>2551</v>
      </c>
      <c r="BU910" s="6"/>
      <c r="BV910" s="3"/>
      <c r="BW910" s="3" t="s">
        <v>2552</v>
      </c>
      <c r="BX910" s="6"/>
      <c r="BY910" s="3"/>
      <c r="BZ910" s="3"/>
      <c r="CA910" s="6"/>
      <c r="CB910" s="3"/>
      <c r="CC910" s="7"/>
      <c r="CD910" s="6"/>
      <c r="CE910" s="3"/>
      <c r="CF910" s="6"/>
      <c r="CG910" s="6"/>
      <c r="CH910" s="3"/>
      <c r="CI910" s="3"/>
      <c r="CJ910" s="6"/>
      <c r="CK910" s="3"/>
      <c r="CL910" s="3"/>
      <c r="CM910" s="6"/>
      <c r="CN910" s="3"/>
      <c r="CO910" s="3"/>
      <c r="CP910" s="6"/>
      <c r="CQ910" s="3"/>
      <c r="CR910" s="7"/>
      <c r="CS910" s="6"/>
      <c r="CT910" s="3"/>
      <c r="CU910" s="6"/>
      <c r="CV910" s="6"/>
      <c r="CW910" s="3"/>
      <c r="CX910" s="3"/>
      <c r="CY910" s="6"/>
      <c r="CZ910" s="3"/>
      <c r="DA910" s="3"/>
      <c r="DB910" s="6"/>
      <c r="DC910" s="3"/>
      <c r="DD910" s="3"/>
      <c r="DE910" s="6"/>
      <c r="DF910" s="3"/>
      <c r="DG910" s="7"/>
      <c r="DH910" s="6"/>
      <c r="DI910" s="3"/>
      <c r="DJ910" s="6"/>
      <c r="DK910" s="6"/>
      <c r="DL910" s="3"/>
      <c r="DM910" s="3"/>
      <c r="DN910" s="6"/>
      <c r="DO910" s="3"/>
      <c r="DP910" s="3"/>
      <c r="DQ910" s="6"/>
      <c r="DR910" s="3"/>
      <c r="DS910" s="3" t="str">
        <f>_xlfn.XLOOKUP(OfficeForms.Table[[#This Row],[Selecione a Categoria do Laboratório desta atividade prática:]],Planilha1!A:A,Planilha1!B:B)</f>
        <v>NTR</v>
      </c>
      <c r="DT910" s="6" t="str">
        <f>CONCATENATE(OfficeForms.Table[[#This Row],[Selecione seu Polo Laboratório de Atividades Presenciais:]],OfficeForms.Table[[#This Row],[CHAVE CONVERSÃO]])</f>
        <v>Florianópolis/SC - CentroNTR</v>
      </c>
      <c r="DU910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 Dietética: pesos e medidas em alimentos e aplicação dos indicadores de preparo dos alimentos</v>
      </c>
      <c r="DV910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46135</v>
      </c>
      <c r="DW910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910" s="6" t="str">
        <f>_xlfn.XLOOKUP(OfficeForms.Table[[#This Row],[CHAVE LINK POLO]],'[1]Quadro Geral de Lotação'!$B:$B,'[1]Quadro Geral de Lotação'!$I:$I)</f>
        <v>Laura Volpato</v>
      </c>
      <c r="DY910" s="6" t="str">
        <f>OfficeForms.Table[[#This Row],[Selecione a Ordem de Disciplina]]</f>
        <v>Ordem 3</v>
      </c>
    </row>
    <row r="911" spans="1:129" ht="34.15" customHeight="1">
      <c r="A911" s="6">
        <v>911</v>
      </c>
      <c r="B911" s="2">
        <v>46139.408379629604</v>
      </c>
      <c r="C911" s="2">
        <v>46139.408738425896</v>
      </c>
      <c r="D911" s="3" t="s">
        <v>160</v>
      </c>
      <c r="E911" s="3" t="s">
        <v>161</v>
      </c>
      <c r="F911" s="6"/>
      <c r="G911" s="3"/>
      <c r="I911" s="3" t="s">
        <v>162</v>
      </c>
      <c r="J911" s="6"/>
      <c r="K911" s="3"/>
      <c r="L911" s="6" t="s">
        <v>1325</v>
      </c>
      <c r="M911" s="6"/>
      <c r="N911" s="6"/>
      <c r="O911" s="3" t="s">
        <v>156</v>
      </c>
      <c r="P911" s="6"/>
      <c r="Q911" s="3"/>
      <c r="R911" s="3"/>
      <c r="S911" s="6"/>
      <c r="T911" s="3"/>
      <c r="U911" s="7"/>
      <c r="V911" s="6"/>
      <c r="W911" s="3"/>
      <c r="X911" s="6"/>
      <c r="Y911" s="6"/>
      <c r="Z911" s="3"/>
      <c r="AA911" s="3"/>
      <c r="AB911" s="6"/>
      <c r="AC911" s="3"/>
      <c r="AD911" s="3"/>
      <c r="AE911" s="6"/>
      <c r="AF911" s="3"/>
      <c r="AG911" s="3"/>
      <c r="AH911" s="6"/>
      <c r="AI911" s="3"/>
      <c r="AJ911" s="1"/>
      <c r="AK911" s="6"/>
      <c r="AL911" s="3"/>
      <c r="AM911" s="6"/>
      <c r="AN911" s="6"/>
      <c r="AO911" s="3"/>
      <c r="AP911" s="3"/>
      <c r="AQ911" s="6"/>
      <c r="AR911" s="3"/>
      <c r="AS911" s="3"/>
      <c r="AT911" s="6"/>
      <c r="AU911" s="3"/>
      <c r="AV911" s="3"/>
      <c r="AW911" s="6"/>
      <c r="AX911" s="3"/>
      <c r="AY911" s="7"/>
      <c r="AZ911" s="6"/>
      <c r="BA911" s="3"/>
      <c r="BB911" s="6"/>
      <c r="BC911" s="6"/>
      <c r="BD911" s="3"/>
      <c r="BE911" s="3"/>
      <c r="BF911" s="6"/>
      <c r="BG911" s="3"/>
      <c r="BH911" s="3"/>
      <c r="BI911" s="6"/>
      <c r="BJ911" s="3"/>
      <c r="BK911" s="3" t="s">
        <v>2550</v>
      </c>
      <c r="BL911" s="6"/>
      <c r="BM911" s="3"/>
      <c r="BN911" s="7">
        <v>46135</v>
      </c>
      <c r="BO911" s="6"/>
      <c r="BP911" s="3"/>
      <c r="BQ911" s="6">
        <v>5</v>
      </c>
      <c r="BR911" s="6"/>
      <c r="BS911" s="3"/>
      <c r="BT911" s="3" t="s">
        <v>2553</v>
      </c>
      <c r="BU911" s="6"/>
      <c r="BV911" s="3"/>
      <c r="BW911" s="3" t="s">
        <v>2554</v>
      </c>
      <c r="BX911" s="6"/>
      <c r="BY911" s="3"/>
      <c r="BZ911" s="3"/>
      <c r="CA911" s="6"/>
      <c r="CB911" s="3"/>
      <c r="CC911" s="7"/>
      <c r="CD911" s="6"/>
      <c r="CE911" s="3"/>
      <c r="CF911" s="6"/>
      <c r="CG911" s="6"/>
      <c r="CH911" s="3"/>
      <c r="CI911" s="3"/>
      <c r="CJ911" s="6"/>
      <c r="CK911" s="3"/>
      <c r="CL911" s="3"/>
      <c r="CM911" s="6"/>
      <c r="CN911" s="3"/>
      <c r="CO911" s="3"/>
      <c r="CP911" s="6"/>
      <c r="CQ911" s="3"/>
      <c r="CR911" s="7"/>
      <c r="CS911" s="6"/>
      <c r="CT911" s="3"/>
      <c r="CU911" s="6"/>
      <c r="CV911" s="6"/>
      <c r="CW911" s="3"/>
      <c r="CX911" s="3"/>
      <c r="CY911" s="6"/>
      <c r="CZ911" s="3"/>
      <c r="DA911" s="3"/>
      <c r="DB911" s="6"/>
      <c r="DC911" s="3"/>
      <c r="DD911" s="3"/>
      <c r="DE911" s="6"/>
      <c r="DF911" s="3"/>
      <c r="DG911" s="7"/>
      <c r="DH911" s="6"/>
      <c r="DI911" s="3"/>
      <c r="DJ911" s="6"/>
      <c r="DK911" s="6"/>
      <c r="DL911" s="3"/>
      <c r="DM911" s="3"/>
      <c r="DN911" s="6"/>
      <c r="DO911" s="3"/>
      <c r="DP911" s="3"/>
      <c r="DQ911" s="6"/>
      <c r="DR911" s="3"/>
      <c r="DS911" s="3" t="str">
        <f>_xlfn.XLOOKUP(OfficeForms.Table[[#This Row],[Selecione a Categoria do Laboratório desta atividade prática:]],Planilha1!A:A,Planilha1!B:B)</f>
        <v>NTR</v>
      </c>
      <c r="DT911" s="6" t="str">
        <f>CONCATENATE(OfficeForms.Table[[#This Row],[Selecione seu Polo Laboratório de Atividades Presenciais:]],OfficeForms.Table[[#This Row],[CHAVE CONVERSÃO]])</f>
        <v>Florianópolis/SC - CentroNTR</v>
      </c>
      <c r="DU911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Técnica Dietética: pesos e medidas em alimentos e aplicação dos indicadores de preparo dos alimentos</v>
      </c>
      <c r="DV911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46135</v>
      </c>
      <c r="DW911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911" s="6" t="str">
        <f>_xlfn.XLOOKUP(OfficeForms.Table[[#This Row],[CHAVE LINK POLO]],'[1]Quadro Geral de Lotação'!$B:$B,'[1]Quadro Geral de Lotação'!$I:$I)</f>
        <v>Laura Volpato</v>
      </c>
      <c r="DY911" s="6" t="str">
        <f>OfficeForms.Table[[#This Row],[Selecione a Ordem de Disciplina]]</f>
        <v>Ordem 3</v>
      </c>
    </row>
    <row r="912" spans="1:129" ht="34.15" customHeight="1">
      <c r="A912" s="6">
        <v>912</v>
      </c>
      <c r="B912" s="2">
        <v>46139.384733796302</v>
      </c>
      <c r="C912" s="2">
        <v>46139.423020833303</v>
      </c>
      <c r="D912" s="3" t="s">
        <v>842</v>
      </c>
      <c r="E912" s="3" t="s">
        <v>843</v>
      </c>
      <c r="F912" s="6"/>
      <c r="G912" s="3"/>
      <c r="I912" s="3" t="s">
        <v>545</v>
      </c>
      <c r="J912" s="6"/>
      <c r="K912" s="3"/>
      <c r="L912" s="6" t="s">
        <v>132</v>
      </c>
      <c r="M912" s="6"/>
      <c r="N912" s="6"/>
      <c r="O912" s="3" t="s">
        <v>184</v>
      </c>
      <c r="P912" s="6"/>
      <c r="Q912" s="3"/>
      <c r="R912" s="3"/>
      <c r="S912" s="6"/>
      <c r="T912" s="3"/>
      <c r="U912" s="7"/>
      <c r="V912" s="6"/>
      <c r="W912" s="3"/>
      <c r="X912" s="6"/>
      <c r="Y912" s="6"/>
      <c r="Z912" s="3"/>
      <c r="AA912" s="3"/>
      <c r="AB912" s="6"/>
      <c r="AC912" s="3"/>
      <c r="AD912" s="3"/>
      <c r="AE912" s="6"/>
      <c r="AF912" s="3"/>
      <c r="AG912" s="3" t="s">
        <v>211</v>
      </c>
      <c r="AH912" s="6"/>
      <c r="AI912" s="3"/>
      <c r="AJ912" s="1">
        <v>46098</v>
      </c>
      <c r="AK912" s="6"/>
      <c r="AL912" s="3"/>
      <c r="AM912" s="6">
        <v>5</v>
      </c>
      <c r="AN912" s="6"/>
      <c r="AO912" s="3"/>
      <c r="AP912" s="3" t="s">
        <v>2555</v>
      </c>
      <c r="AQ912" s="6"/>
      <c r="AR912" s="3"/>
      <c r="AS912" s="3" t="s">
        <v>2556</v>
      </c>
      <c r="AT912" s="6"/>
      <c r="AU912" s="3"/>
      <c r="AV912" s="3"/>
      <c r="AW912" s="6"/>
      <c r="AX912" s="3"/>
      <c r="AY912" s="7"/>
      <c r="AZ912" s="6"/>
      <c r="BA912" s="3"/>
      <c r="BB912" s="6"/>
      <c r="BC912" s="6"/>
      <c r="BD912" s="3"/>
      <c r="BE912" s="3"/>
      <c r="BF912" s="6"/>
      <c r="BG912" s="3"/>
      <c r="BH912" s="3"/>
      <c r="BI912" s="6"/>
      <c r="BJ912" s="3"/>
      <c r="BK912" s="3"/>
      <c r="BL912" s="6"/>
      <c r="BM912" s="3"/>
      <c r="BN912" s="7"/>
      <c r="BO912" s="6"/>
      <c r="BP912" s="3"/>
      <c r="BQ912" s="6"/>
      <c r="BR912" s="6"/>
      <c r="BS912" s="3"/>
      <c r="BT912" s="3"/>
      <c r="BU912" s="6"/>
      <c r="BV912" s="3"/>
      <c r="BW912" s="3"/>
      <c r="BX912" s="6"/>
      <c r="BY912" s="3"/>
      <c r="BZ912" s="3"/>
      <c r="CA912" s="6"/>
      <c r="CB912" s="3"/>
      <c r="CC912" s="7"/>
      <c r="CD912" s="6"/>
      <c r="CE912" s="3"/>
      <c r="CF912" s="6"/>
      <c r="CG912" s="6"/>
      <c r="CH912" s="3"/>
      <c r="CI912" s="3"/>
      <c r="CJ912" s="6"/>
      <c r="CK912" s="3"/>
      <c r="CL912" s="3"/>
      <c r="CM912" s="6"/>
      <c r="CN912" s="3"/>
      <c r="CO912" s="3"/>
      <c r="CP912" s="6"/>
      <c r="CQ912" s="3"/>
      <c r="CR912" s="7"/>
      <c r="CS912" s="6"/>
      <c r="CT912" s="3"/>
      <c r="CU912" s="6"/>
      <c r="CV912" s="6"/>
      <c r="CW912" s="3"/>
      <c r="CX912" s="3"/>
      <c r="CY912" s="6"/>
      <c r="CZ912" s="3"/>
      <c r="DA912" s="3"/>
      <c r="DB912" s="6"/>
      <c r="DC912" s="3"/>
      <c r="DD912" s="3"/>
      <c r="DE912" s="6"/>
      <c r="DF912" s="3"/>
      <c r="DG912" s="7"/>
      <c r="DH912" s="6"/>
      <c r="DI912" s="3"/>
      <c r="DJ912" s="6"/>
      <c r="DK912" s="6"/>
      <c r="DL912" s="3"/>
      <c r="DM912" s="3"/>
      <c r="DN912" s="6"/>
      <c r="DO912" s="3"/>
      <c r="DP912" s="3"/>
      <c r="DQ912" s="6"/>
      <c r="DR912" s="3"/>
      <c r="DS912" s="3" t="str">
        <f>_xlfn.XLOOKUP(OfficeForms.Table[[#This Row],[Selecione a Categoria do Laboratório desta atividade prática:]],Planilha1!A:A,Planilha1!B:B)</f>
        <v>EMF-ISN</v>
      </c>
      <c r="DT912" s="6" t="str">
        <f>CONCATENATE(OfficeForms.Table[[#This Row],[Selecione seu Polo Laboratório de Atividades Presenciais:]],OfficeForms.Table[[#This Row],[CHAVE CONVERSÃO]])</f>
        <v>Porto Alegre/RS - Centro HistóricoEMF-ISN</v>
      </c>
      <c r="DU912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Administração de medicamento pela via subcutânea + Administração de medicamento pela via oral</v>
      </c>
      <c r="DV912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46098</v>
      </c>
      <c r="DW912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912" s="6" t="str">
        <f>_xlfn.XLOOKUP(OfficeForms.Table[[#This Row],[CHAVE LINK POLO]],'[1]Quadro Geral de Lotação'!$B:$B,'[1]Quadro Geral de Lotação'!$I:$I)</f>
        <v>Ester De Melo Borba</v>
      </c>
      <c r="DY912" s="6" t="str">
        <f>OfficeForms.Table[[#This Row],[Selecione a Ordem de Disciplina]]</f>
        <v>Ordem 1</v>
      </c>
    </row>
    <row r="913" spans="1:129" ht="34.15" customHeight="1">
      <c r="A913" s="6">
        <v>913</v>
      </c>
      <c r="B913" s="2">
        <v>46139.4824884259</v>
      </c>
      <c r="C913" s="2">
        <v>46139.484479166698</v>
      </c>
      <c r="D913" s="3" t="s">
        <v>147</v>
      </c>
      <c r="E913" s="3" t="s">
        <v>148</v>
      </c>
      <c r="F913" s="6"/>
      <c r="G913" s="3"/>
      <c r="I913" s="3" t="s">
        <v>149</v>
      </c>
      <c r="J913" s="6"/>
      <c r="K913" s="3"/>
      <c r="L913" s="6" t="s">
        <v>1325</v>
      </c>
      <c r="M913" s="6"/>
      <c r="N913" s="6"/>
      <c r="O913" s="3" t="s">
        <v>133</v>
      </c>
      <c r="P913" s="6"/>
      <c r="Q913" s="3"/>
      <c r="R913" s="3"/>
      <c r="S913" s="6"/>
      <c r="T913" s="3"/>
      <c r="U913" s="7"/>
      <c r="V913" s="6"/>
      <c r="W913" s="3"/>
      <c r="X913" s="6"/>
      <c r="Y913" s="6"/>
      <c r="Z913" s="3"/>
      <c r="AA913" s="3"/>
      <c r="AB913" s="6"/>
      <c r="AC913" s="3"/>
      <c r="AD913" s="3"/>
      <c r="AE913" s="6"/>
      <c r="AF913" s="3"/>
      <c r="AG913" s="3"/>
      <c r="AH913" s="6"/>
      <c r="AI913" s="3"/>
      <c r="AJ913" s="1"/>
      <c r="AK913" s="6"/>
      <c r="AL913" s="3"/>
      <c r="AM913" s="6"/>
      <c r="AN913" s="6"/>
      <c r="AO913" s="3"/>
      <c r="AP913" s="3"/>
      <c r="AQ913" s="6"/>
      <c r="AR913" s="3"/>
      <c r="AS913" s="3"/>
      <c r="AT913" s="6"/>
      <c r="AU913" s="3"/>
      <c r="AV913" s="3" t="s">
        <v>2507</v>
      </c>
      <c r="AW913" s="6"/>
      <c r="AX913" s="3"/>
      <c r="AY913" s="7">
        <v>46135</v>
      </c>
      <c r="AZ913" s="6"/>
      <c r="BA913" s="3"/>
      <c r="BB913" s="6">
        <v>5</v>
      </c>
      <c r="BC913" s="6"/>
      <c r="BD913" s="3"/>
      <c r="BE913" s="3" t="s">
        <v>2557</v>
      </c>
      <c r="BF913" s="6"/>
      <c r="BG913" s="3"/>
      <c r="BH913" s="3" t="s">
        <v>2558</v>
      </c>
      <c r="BI913" s="6"/>
      <c r="BJ913" s="3"/>
      <c r="BK913" s="3"/>
      <c r="BL913" s="6"/>
      <c r="BM913" s="3"/>
      <c r="BN913" s="7"/>
      <c r="BO913" s="6"/>
      <c r="BP913" s="3"/>
      <c r="BQ913" s="6"/>
      <c r="BR913" s="6"/>
      <c r="BS913" s="3"/>
      <c r="BT913" s="3"/>
      <c r="BU913" s="6"/>
      <c r="BV913" s="3"/>
      <c r="BW913" s="3"/>
      <c r="BX913" s="6"/>
      <c r="BY913" s="3"/>
      <c r="BZ913" s="3"/>
      <c r="CA913" s="6"/>
      <c r="CB913" s="3"/>
      <c r="CC913" s="7"/>
      <c r="CD913" s="6"/>
      <c r="CE913" s="3"/>
      <c r="CF913" s="6"/>
      <c r="CG913" s="6"/>
      <c r="CH913" s="3"/>
      <c r="CI913" s="3"/>
      <c r="CJ913" s="6"/>
      <c r="CK913" s="3"/>
      <c r="CL913" s="3"/>
      <c r="CM913" s="6"/>
      <c r="CN913" s="3"/>
      <c r="CO913" s="3"/>
      <c r="CP913" s="6"/>
      <c r="CQ913" s="3"/>
      <c r="CR913" s="7"/>
      <c r="CS913" s="6"/>
      <c r="CT913" s="3"/>
      <c r="CU913" s="6"/>
      <c r="CV913" s="6"/>
      <c r="CW913" s="3"/>
      <c r="CX913" s="3"/>
      <c r="CY913" s="6"/>
      <c r="CZ913" s="3"/>
      <c r="DA913" s="3"/>
      <c r="DB913" s="6"/>
      <c r="DC913" s="3"/>
      <c r="DD913" s="3"/>
      <c r="DE913" s="6"/>
      <c r="DF913" s="3"/>
      <c r="DG913" s="7"/>
      <c r="DH913" s="6"/>
      <c r="DI913" s="3"/>
      <c r="DJ913" s="6"/>
      <c r="DK913" s="6"/>
      <c r="DL913" s="3"/>
      <c r="DM913" s="3"/>
      <c r="DN913" s="6"/>
      <c r="DO913" s="3"/>
      <c r="DP913" s="3"/>
      <c r="DQ913" s="6"/>
      <c r="DR913" s="3"/>
      <c r="DS913" s="3" t="str">
        <f>_xlfn.XLOOKUP(OfficeForms.Table[[#This Row],[Selecione a Categoria do Laboratório desta atividade prática:]],Planilha1!A:A,Planilha1!B:B)</f>
        <v>BFI</v>
      </c>
      <c r="DT913" s="6" t="str">
        <f>CONCATENATE(OfficeForms.Table[[#This Row],[Selecione seu Polo Laboratório de Atividades Presenciais:]],OfficeForms.Table[[#This Row],[CHAVE CONVERSÃO]])</f>
        <v>Itajaí/SC - São VicenteBFI</v>
      </c>
      <c r="DU913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Oficinas de terapia ocupacional na saude mental</v>
      </c>
      <c r="DV913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46135</v>
      </c>
      <c r="DW913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5</v>
      </c>
      <c r="DX913" s="6" t="str">
        <f>_xlfn.XLOOKUP(OfficeForms.Table[[#This Row],[CHAVE LINK POLO]],'[1]Quadro Geral de Lotação'!$B:$B,'[1]Quadro Geral de Lotação'!$I:$I)</f>
        <v>Tuani Rafaela Matana Neves</v>
      </c>
      <c r="DY913" s="6" t="str">
        <f>OfficeForms.Table[[#This Row],[Selecione a Ordem de Disciplina]]</f>
        <v>Ordem 3</v>
      </c>
    </row>
    <row r="914" spans="1:129" ht="34.15" customHeight="1">
      <c r="A914" s="6">
        <v>914</v>
      </c>
      <c r="B914" s="2">
        <v>46139.534918981502</v>
      </c>
      <c r="C914" s="2">
        <v>46139.537094907399</v>
      </c>
      <c r="D914" s="3" t="s">
        <v>197</v>
      </c>
      <c r="E914" s="3" t="s">
        <v>198</v>
      </c>
      <c r="F914" s="6"/>
      <c r="G914" s="3"/>
      <c r="I914" s="3" t="s">
        <v>199</v>
      </c>
      <c r="J914" s="6"/>
      <c r="K914" s="3"/>
      <c r="L914" s="6" t="s">
        <v>1325</v>
      </c>
      <c r="M914" s="6"/>
      <c r="N914" s="6"/>
      <c r="O914" s="3" t="s">
        <v>177</v>
      </c>
      <c r="P914" s="6"/>
      <c r="Q914" s="3"/>
      <c r="R914" s="3"/>
      <c r="S914" s="6"/>
      <c r="T914" s="3"/>
      <c r="U914" s="7"/>
      <c r="V914" s="6"/>
      <c r="W914" s="3"/>
      <c r="X914" s="6"/>
      <c r="Y914" s="6"/>
      <c r="Z914" s="3"/>
      <c r="AA914" s="3"/>
      <c r="AB914" s="6"/>
      <c r="AC914" s="3"/>
      <c r="AD914" s="3"/>
      <c r="AE914" s="6"/>
      <c r="AF914" s="3"/>
      <c r="AG914" s="3"/>
      <c r="AH914" s="6"/>
      <c r="AI914" s="3"/>
      <c r="AJ914" s="1"/>
      <c r="AK914" s="6"/>
      <c r="AL914" s="3"/>
      <c r="AM914" s="6"/>
      <c r="AN914" s="6"/>
      <c r="AO914" s="3"/>
      <c r="AP914" s="3"/>
      <c r="AQ914" s="6"/>
      <c r="AR914" s="3"/>
      <c r="AS914" s="3"/>
      <c r="AT914" s="6"/>
      <c r="AU914" s="3"/>
      <c r="AV914" s="3"/>
      <c r="AW914" s="6"/>
      <c r="AX914" s="3"/>
      <c r="AY914" s="7"/>
      <c r="AZ914" s="6"/>
      <c r="BA914" s="3"/>
      <c r="BB914" s="6"/>
      <c r="BC914" s="6"/>
      <c r="BD914" s="3"/>
      <c r="BE914" s="3"/>
      <c r="BF914" s="6"/>
      <c r="BG914" s="3"/>
      <c r="BH914" s="3"/>
      <c r="BI914" s="6"/>
      <c r="BJ914" s="3"/>
      <c r="BK914" s="3"/>
      <c r="BL914" s="6"/>
      <c r="BM914" s="3"/>
      <c r="BN914" s="7"/>
      <c r="BO914" s="6"/>
      <c r="BP914" s="3"/>
      <c r="BQ914" s="6"/>
      <c r="BR914" s="6"/>
      <c r="BS914" s="3"/>
      <c r="BT914" s="3"/>
      <c r="BU914" s="6"/>
      <c r="BV914" s="3"/>
      <c r="BW914" s="3"/>
      <c r="BX914" s="6"/>
      <c r="BY914" s="3"/>
      <c r="BZ914" s="3"/>
      <c r="CA914" s="6"/>
      <c r="CB914" s="3"/>
      <c r="CC914" s="7"/>
      <c r="CD914" s="6"/>
      <c r="CE914" s="3"/>
      <c r="CF914" s="6"/>
      <c r="CG914" s="6"/>
      <c r="CH914" s="3"/>
      <c r="CI914" s="3"/>
      <c r="CJ914" s="6"/>
      <c r="CK914" s="3"/>
      <c r="CL914" s="3"/>
      <c r="CM914" s="6"/>
      <c r="CN914" s="3"/>
      <c r="CO914" s="3"/>
      <c r="CP914" s="6"/>
      <c r="CQ914" s="3"/>
      <c r="CR914" s="7"/>
      <c r="CS914" s="6"/>
      <c r="CT914" s="3"/>
      <c r="CU914" s="6"/>
      <c r="CV914" s="6"/>
      <c r="CW914" s="3"/>
      <c r="CX914" s="3"/>
      <c r="CY914" s="6"/>
      <c r="CZ914" s="3"/>
      <c r="DA914" s="3"/>
      <c r="DB914" s="6"/>
      <c r="DC914" s="3"/>
      <c r="DD914" s="3" t="s">
        <v>2559</v>
      </c>
      <c r="DE914" s="6"/>
      <c r="DF914" s="3"/>
      <c r="DG914" s="7">
        <v>46137</v>
      </c>
      <c r="DH914" s="6"/>
      <c r="DI914" s="3"/>
      <c r="DJ914" s="6">
        <v>1</v>
      </c>
      <c r="DK914" s="6"/>
      <c r="DL914" s="3"/>
      <c r="DM914" s="3" t="s">
        <v>2560</v>
      </c>
      <c r="DN914" s="6"/>
      <c r="DO914" s="3"/>
      <c r="DP914" s="3" t="s">
        <v>2561</v>
      </c>
      <c r="DQ914" s="6"/>
      <c r="DR914" s="3"/>
      <c r="DS914" s="3" t="str">
        <f>_xlfn.XLOOKUP(OfficeForms.Table[[#This Row],[Selecione a Categoria do Laboratório desta atividade prática:]],Planilha1!A:A,Planilha1!B:B)</f>
        <v>AGM</v>
      </c>
      <c r="DT914" s="6" t="str">
        <f>CONCATENATE(OfficeForms.Table[[#This Row],[Selecione seu Polo Laboratório de Atividades Presenciais:]],OfficeForms.Table[[#This Row],[CHAVE CONVERSÃO]])</f>
        <v>Alagoinhas/BAAGM</v>
      </c>
      <c r="DU914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Emprego da reação de Benedict para a identificação de açúcares redutores em amostras vegetais</v>
      </c>
      <c r="DV914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46137</v>
      </c>
      <c r="DW914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914" s="6" t="str">
        <f>_xlfn.XLOOKUP(OfficeForms.Table[[#This Row],[CHAVE LINK POLO]],'[1]Quadro Geral de Lotação'!$B:$B,'[1]Quadro Geral de Lotação'!$I:$I)</f>
        <v>Vitor Batista Pinheiro</v>
      </c>
      <c r="DY914" s="6" t="str">
        <f>OfficeForms.Table[[#This Row],[Selecione a Ordem de Disciplina]]</f>
        <v>Ordem 3</v>
      </c>
    </row>
    <row r="915" spans="1:129" ht="34.15" customHeight="1">
      <c r="A915" s="6">
        <v>915</v>
      </c>
      <c r="B915" s="2">
        <v>46139.537152777797</v>
      </c>
      <c r="C915" s="2">
        <v>46139.537905092599</v>
      </c>
      <c r="D915" s="3" t="s">
        <v>197</v>
      </c>
      <c r="E915" s="3" t="s">
        <v>198</v>
      </c>
      <c r="F915" s="6"/>
      <c r="G915" s="3"/>
      <c r="I915" s="3" t="s">
        <v>199</v>
      </c>
      <c r="J915" s="6"/>
      <c r="K915" s="3"/>
      <c r="L915" s="6" t="s">
        <v>1325</v>
      </c>
      <c r="M915" s="6"/>
      <c r="N915" s="6"/>
      <c r="O915" s="3" t="s">
        <v>177</v>
      </c>
      <c r="P915" s="6"/>
      <c r="Q915" s="3"/>
      <c r="R915" s="3"/>
      <c r="S915" s="6"/>
      <c r="T915" s="3"/>
      <c r="U915" s="7"/>
      <c r="V915" s="6"/>
      <c r="W915" s="3"/>
      <c r="X915" s="6"/>
      <c r="Y915" s="6"/>
      <c r="Z915" s="3"/>
      <c r="AA915" s="3"/>
      <c r="AB915" s="6"/>
      <c r="AC915" s="3"/>
      <c r="AD915" s="3"/>
      <c r="AE915" s="6"/>
      <c r="AF915" s="3"/>
      <c r="AG915" s="3"/>
      <c r="AH915" s="6"/>
      <c r="AI915" s="3"/>
      <c r="AJ915" s="1"/>
      <c r="AK915" s="6"/>
      <c r="AL915" s="3"/>
      <c r="AM915" s="6"/>
      <c r="AN915" s="6"/>
      <c r="AO915" s="3"/>
      <c r="AP915" s="3"/>
      <c r="AQ915" s="6"/>
      <c r="AR915" s="3"/>
      <c r="AS915" s="3"/>
      <c r="AT915" s="6"/>
      <c r="AU915" s="3"/>
      <c r="AV915" s="3"/>
      <c r="AW915" s="6"/>
      <c r="AX915" s="3"/>
      <c r="AY915" s="7"/>
      <c r="AZ915" s="6"/>
      <c r="BA915" s="3"/>
      <c r="BB915" s="6"/>
      <c r="BC915" s="6"/>
      <c r="BD915" s="3"/>
      <c r="BE915" s="3"/>
      <c r="BF915" s="6"/>
      <c r="BG915" s="3"/>
      <c r="BH915" s="3"/>
      <c r="BI915" s="6"/>
      <c r="BJ915" s="3"/>
      <c r="BK915" s="3"/>
      <c r="BL915" s="6"/>
      <c r="BM915" s="3"/>
      <c r="BN915" s="7"/>
      <c r="BO915" s="6"/>
      <c r="BP915" s="3"/>
      <c r="BQ915" s="6"/>
      <c r="BR915" s="6"/>
      <c r="BS915" s="3"/>
      <c r="BT915" s="3"/>
      <c r="BU915" s="6"/>
      <c r="BV915" s="3"/>
      <c r="BW915" s="3"/>
      <c r="BX915" s="6"/>
      <c r="BY915" s="3"/>
      <c r="BZ915" s="3"/>
      <c r="CA915" s="6"/>
      <c r="CB915" s="3"/>
      <c r="CC915" s="7"/>
      <c r="CD915" s="6"/>
      <c r="CE915" s="3"/>
      <c r="CF915" s="6"/>
      <c r="CG915" s="6"/>
      <c r="CH915" s="3"/>
      <c r="CI915" s="3"/>
      <c r="CJ915" s="6"/>
      <c r="CK915" s="3"/>
      <c r="CL915" s="3"/>
      <c r="CM915" s="6"/>
      <c r="CN915" s="3"/>
      <c r="CO915" s="3"/>
      <c r="CP915" s="6"/>
      <c r="CQ915" s="3"/>
      <c r="CR915" s="7"/>
      <c r="CS915" s="6"/>
      <c r="CT915" s="3"/>
      <c r="CU915" s="6"/>
      <c r="CV915" s="6"/>
      <c r="CW915" s="3"/>
      <c r="CX915" s="3"/>
      <c r="CY915" s="6"/>
      <c r="CZ915" s="3"/>
      <c r="DA915" s="3"/>
      <c r="DB915" s="6"/>
      <c r="DC915" s="3"/>
      <c r="DD915" s="3" t="s">
        <v>2301</v>
      </c>
      <c r="DE915" s="6"/>
      <c r="DF915" s="3"/>
      <c r="DG915" s="7">
        <v>46137</v>
      </c>
      <c r="DH915" s="6"/>
      <c r="DI915" s="3"/>
      <c r="DJ915" s="6">
        <v>1</v>
      </c>
      <c r="DK915" s="6"/>
      <c r="DL915" s="3"/>
      <c r="DM915" s="3" t="s">
        <v>2562</v>
      </c>
      <c r="DN915" s="6"/>
      <c r="DO915" s="3"/>
      <c r="DP915" s="3" t="s">
        <v>2563</v>
      </c>
      <c r="DQ915" s="6"/>
      <c r="DR915" s="3"/>
      <c r="DS915" s="3" t="str">
        <f>_xlfn.XLOOKUP(OfficeForms.Table[[#This Row],[Selecione a Categoria do Laboratório desta atividade prática:]],Planilha1!A:A,Planilha1!B:B)</f>
        <v>AGM</v>
      </c>
      <c r="DT915" s="6" t="str">
        <f>CONCATENATE(OfficeForms.Table[[#This Row],[Selecione seu Polo Laboratório de Atividades Presenciais:]],OfficeForms.Table[[#This Row],[CHAVE CONVERSÃO]])</f>
        <v>Alagoinhas/BAAGM</v>
      </c>
      <c r="DU915" s="6" t="str">
        <f>CONCATENATE(OfficeForms.Table[[#This Row],[Selecione quais Protocolos de Atividades Práticas foram realizados no laboratório:]],OfficeForms.Table[[#This Row],[Selecione quais Protocolos de Atividades Práticas foram realizados no laboratório:1]],OfficeForms.Table[[#This Row],[Selecione quais Protocolos de Atividades Práticas foram realizados no laboratório:2]],OfficeForms.Table[[#This Row],[Selecione quais Protocolos de Atividades Práticas foram realizados no laboratório:3]],OfficeForms.Table[[#This Row],[Selecione quais Protocolos de Atividades Práticas foram realizados no laboratório:4]],OfficeForms.Table[[#This Row],[Selecione quais Protocolos de Atividades Práticas foram realizados no laboratório:5]],OfficeForms.Table[[#This Row],[Selecione quais Protocolos de Atividades Práticas foram realizados no laboratório:6]])</f>
        <v>Introdução a Caligrafia Técnica dentro das normas da ABNT (NBR 6492). +  Introdução aos Primeiros Passos</v>
      </c>
      <c r="DV915" s="7">
        <f>SUM(OfficeForms.Table[[#This Row],[Data da aplicação do Protocolo de Prática:]],OfficeForms.Table[[#This Row],[Data da aplicação do Protocolo de Prática:1]],OfficeForms.Table[[#This Row],[Data da aplicação do Protocolo de Prática:2]],OfficeForms.Table[[#This Row],[Data da aplicação do Protocolo de Prática:3]],OfficeForms.Table[[#This Row],[Data da aplicação do Protocolo de Prática:4]],OfficeForms.Table[[#This Row],[Data da aplicação do Protocolo de Prática:5]],OfficeForms.Table[[#This Row],[Data da aplicação do Protocolo de Prática:6]])</f>
        <v>46137</v>
      </c>
      <c r="DW915" s="6">
        <f>SUM(OfficeForms.Table[[#This Row],[Quantos Estudantes presentes neste Experimento?]],OfficeForms.Table[[#This Row],[Quantos Estudantes presentes neste Experimento?1]],OfficeForms.Table[[#This Row],[Quantos Estudantes presentes neste Experimento?2]],OfficeForms.Table[[#This Row],[Quantos Estudantes presentes neste Experimento?3]],OfficeForms.Table[[#This Row],[Quantos Estudantes presentes neste Experimento?4]],OfficeForms.Table[[#This Row],[Quantos Estudantes presentes neste Experimento?5]],OfficeForms.Table[[#This Row],[Quantos Estudantes presentes neste Experimento?6]])</f>
        <v>1</v>
      </c>
      <c r="DX915" s="6" t="str">
        <f>_xlfn.XLOOKUP(OfficeForms.Table[[#This Row],[CHAVE LINK POLO]],'[1]Quadro Geral de Lotação'!$B:$B,'[1]Quadro Geral de Lotação'!$I:$I)</f>
        <v>Vitor Batista Pinheiro</v>
      </c>
      <c r="DY915" s="6" t="str">
        <f>OfficeForms.Table[[#This Row],[Selecione a Ordem de Disciplina]]</f>
        <v>Ordem 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7FDE-EADF-4CED-97AE-DD274D200919}">
  <dimension ref="A1:B11"/>
  <sheetViews>
    <sheetView workbookViewId="0">
      <selection activeCell="A15" sqref="A15"/>
    </sheetView>
  </sheetViews>
  <sheetFormatPr defaultRowHeight="14.45"/>
  <cols>
    <col min="1" max="1" width="98.42578125" bestFit="1" customWidth="1"/>
  </cols>
  <sheetData>
    <row r="1" spans="1:2">
      <c r="A1" t="s">
        <v>2564</v>
      </c>
      <c r="B1" t="s">
        <v>2565</v>
      </c>
    </row>
    <row r="2" spans="1:2" ht="16.899999999999999">
      <c r="A2" s="4" t="s">
        <v>184</v>
      </c>
      <c r="B2" t="s">
        <v>2566</v>
      </c>
    </row>
    <row r="3" spans="1:2" ht="16.899999999999999">
      <c r="A3" s="4" t="s">
        <v>133</v>
      </c>
      <c r="B3" t="s">
        <v>2567</v>
      </c>
    </row>
    <row r="4" spans="1:2" ht="16.899999999999999">
      <c r="A4" s="4" t="s">
        <v>140</v>
      </c>
      <c r="B4" t="s">
        <v>2568</v>
      </c>
    </row>
    <row r="5" spans="1:2" ht="16.899999999999999">
      <c r="A5" s="4" t="s">
        <v>177</v>
      </c>
      <c r="B5" t="s">
        <v>2569</v>
      </c>
    </row>
    <row r="6" spans="1:2" ht="16.899999999999999">
      <c r="A6" s="4" t="s">
        <v>156</v>
      </c>
      <c r="B6" t="s">
        <v>2570</v>
      </c>
    </row>
    <row r="7" spans="1:2" ht="16.899999999999999">
      <c r="A7" s="4" t="s">
        <v>497</v>
      </c>
      <c r="B7" t="s">
        <v>2571</v>
      </c>
    </row>
    <row r="8" spans="1:2" ht="16.899999999999999">
      <c r="A8" s="4" t="s">
        <v>2572</v>
      </c>
      <c r="B8" t="s">
        <v>2573</v>
      </c>
    </row>
    <row r="9" spans="1:2" ht="16.899999999999999">
      <c r="A9" s="4" t="s">
        <v>2574</v>
      </c>
      <c r="B9" t="s">
        <v>2575</v>
      </c>
    </row>
    <row r="10" spans="1:2" ht="16.899999999999999">
      <c r="A10" s="4" t="s">
        <v>2574</v>
      </c>
      <c r="B10" t="s">
        <v>2576</v>
      </c>
    </row>
    <row r="11" spans="1:2">
      <c r="A11" t="s">
        <v>1482</v>
      </c>
      <c r="B11" t="s">
        <v>2573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Elienai Morgado Cesar</cp:lastModifiedBy>
  <cp:revision/>
  <dcterms:created xsi:type="dcterms:W3CDTF">2026-02-19T17:28:30Z</dcterms:created>
  <dcterms:modified xsi:type="dcterms:W3CDTF">2026-04-27T18:47:34Z</dcterms:modified>
  <cp:category/>
  <cp:contentStatus/>
</cp:coreProperties>
</file>